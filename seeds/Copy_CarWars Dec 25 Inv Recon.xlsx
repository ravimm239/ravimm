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2.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24226"/>
  <mc:AlternateContent xmlns:mc="http://schemas.openxmlformats.org/markup-compatibility/2006">
    <mc:Choice Requires="x15">
      <x15ac:absPath xmlns:x15ac="http://schemas.microsoft.com/office/spreadsheetml/2010/11/ac" url="C:\Users\arunachr\Downloads\"/>
    </mc:Choice>
  </mc:AlternateContent>
  <xr:revisionPtr revIDLastSave="0" documentId="8_{3ED12014-4394-4021-B200-746F0FF23A02}" xr6:coauthVersionLast="47" xr6:coauthVersionMax="47" xr10:uidLastSave="{00000000-0000-0000-0000-000000000000}"/>
  <bookViews>
    <workbookView xWindow="-110" yWindow="-110" windowWidth="19420" windowHeight="10300" tabRatio="868" activeTab="3" xr2:uid="{3774FA60-8337-4116-ACF4-EA4CD442B078}"/>
  </bookViews>
  <sheets>
    <sheet name="Nov Inv Recon" sheetId="3" r:id="rId1"/>
    <sheet name="VictoryHeitrich" sheetId="16" r:id="rId2"/>
    <sheet name="Detail1" sheetId="17" r:id="rId3"/>
    <sheet name="Nov Inv Recon Pivot" sheetId="13" r:id="rId4"/>
    <sheet name="Nov Vendor Inv Detail" sheetId="1" r:id="rId5"/>
    <sheet name="Vendor Inv Pivot" sheetId="2" r:id="rId6"/>
    <sheet name="Detail2" sheetId="18" r:id="rId7"/>
    <sheet name="Billing CDK pivot" sheetId="6" r:id="rId8"/>
    <sheet name="Billing CDK pivot (No match)" sheetId="14" r:id="rId9"/>
    <sheet name="Cognos - CDK Contract Detail" sheetId="10" r:id="rId10"/>
    <sheet name="Cognos - Inv Detail Packages" sheetId="12" r:id="rId11"/>
    <sheet name="Billing CDK pivot (by package)" sheetId="9" r:id="rId12"/>
    <sheet name="Billing CDK pivot (overages)" sheetId="8" r:id="rId13"/>
    <sheet name="CDK Contract Dtl Pivot" sheetId="11" r:id="rId14"/>
    <sheet name="Cognos - Nov Billing CDK" sheetId="5" r:id="rId15"/>
    <sheet name="Mapping" sheetId="7" r:id="rId16"/>
  </sheets>
  <definedNames>
    <definedName name="\103">#REF!</definedName>
    <definedName name="\107">#REF!</definedName>
    <definedName name="\108">#REF!</definedName>
    <definedName name="\109">#REF!</definedName>
    <definedName name="\112">#REF!</definedName>
    <definedName name="\114">#REF!</definedName>
    <definedName name="\115">#REF!</definedName>
    <definedName name="\117">#REF!</definedName>
    <definedName name="\118">#REF!</definedName>
    <definedName name="\119">#REF!</definedName>
    <definedName name="\120">#REF!</definedName>
    <definedName name="\121">#REF!</definedName>
    <definedName name="\123">#REF!</definedName>
    <definedName name="\124">#REF!</definedName>
    <definedName name="\125">#REF!</definedName>
    <definedName name="\126">#REF!</definedName>
    <definedName name="\128">#REF!</definedName>
    <definedName name="\139">#REF!</definedName>
    <definedName name="\140">#REF!</definedName>
    <definedName name="\150">#REF!</definedName>
    <definedName name="\154">#REF!</definedName>
    <definedName name="\156">#REF!</definedName>
    <definedName name="\157">#REF!</definedName>
    <definedName name="\158">#REF!</definedName>
    <definedName name="\160">#REF!</definedName>
    <definedName name="\305">#REF!</definedName>
    <definedName name="\323">#REF!</definedName>
    <definedName name="\325">#REF!</definedName>
    <definedName name="\326">#REF!</definedName>
    <definedName name="\327">#REF!</definedName>
    <definedName name="\328">#REF!</definedName>
    <definedName name="\342">#REF!</definedName>
    <definedName name="\346">#REF!</definedName>
    <definedName name="\347">#REF!</definedName>
    <definedName name="\348">#REF!</definedName>
    <definedName name="\349">#REF!</definedName>
    <definedName name="\353">#REF!</definedName>
    <definedName name="\357">#REF!</definedName>
    <definedName name="\358">#REF!</definedName>
    <definedName name="\359">#REF!</definedName>
    <definedName name="\4055">#REF!</definedName>
    <definedName name="\4057">#REF!</definedName>
    <definedName name="\4059">#REF!</definedName>
    <definedName name="\4062">#REF!</definedName>
    <definedName name="\4063">#REF!</definedName>
    <definedName name="\4064">#REF!</definedName>
    <definedName name="\4065">#REF!</definedName>
    <definedName name="\4066">#REF!</definedName>
    <definedName name="\4069">#REF!</definedName>
    <definedName name="\A">#REF!</definedName>
    <definedName name="\B">#REF!</definedName>
    <definedName name="\D">#REF!</definedName>
    <definedName name="\G">#REF!</definedName>
    <definedName name="\H">#REF!</definedName>
    <definedName name="\J">#REF!</definedName>
    <definedName name="\m">#REF!</definedName>
    <definedName name="\P">#REF!</definedName>
    <definedName name="\Q">#REF!</definedName>
    <definedName name="\R">#REF!</definedName>
    <definedName name="\S">#REF!</definedName>
    <definedName name="\T">#REF!</definedName>
    <definedName name="\V">#REF!</definedName>
    <definedName name="\W">#REF!</definedName>
    <definedName name="\y">#REF!</definedName>
    <definedName name="\Z">#REF!</definedName>
    <definedName name="_____Apr2">#N/A</definedName>
    <definedName name="_____Aug2">#N/A</definedName>
    <definedName name="_____Dec2">#N/A</definedName>
    <definedName name="_____Feb2">#N/A</definedName>
    <definedName name="_____Jan2">#N/A</definedName>
    <definedName name="_____Jun2">#N/A</definedName>
    <definedName name="_____Mar2">#N/A</definedName>
    <definedName name="_____May2">#N/A</definedName>
    <definedName name="_____Nov2">#N/A</definedName>
    <definedName name="_____Oct2">#N/A</definedName>
    <definedName name="_____PG1">#REF!</definedName>
    <definedName name="_____Q1">#REF!</definedName>
    <definedName name="_____Q2">#REF!</definedName>
    <definedName name="_____Q3">#REF!</definedName>
    <definedName name="_____Q4">#REF!</definedName>
    <definedName name="_____Sep2">#N/A</definedName>
    <definedName name="_____TD2">#REF!</definedName>
    <definedName name="_____TD3">#REF!</definedName>
    <definedName name="____Apr2">#N/A</definedName>
    <definedName name="____Aug2">#N/A</definedName>
    <definedName name="____Dec2">#N/A</definedName>
    <definedName name="____Feb2">#N/A</definedName>
    <definedName name="____gh2" localSheetId="4" hidden="1">{"'100'!$A$1:$M$83"}</definedName>
    <definedName name="____gh2" hidden="1">{"'100'!$A$1:$M$83"}</definedName>
    <definedName name="____hg2" localSheetId="4" hidden="1">{"'100'!$A$1:$M$83"}</definedName>
    <definedName name="____hg2" hidden="1">{"'100'!$A$1:$M$83"}</definedName>
    <definedName name="____Jan2">#N/A</definedName>
    <definedName name="____Jun2">#N/A</definedName>
    <definedName name="____Mar2">#N/A</definedName>
    <definedName name="____May2">#N/A</definedName>
    <definedName name="____Nov2">#N/A</definedName>
    <definedName name="____Oct2">#N/A</definedName>
    <definedName name="____p120" localSheetId="4"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____p120"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____PG1">#REF!</definedName>
    <definedName name="____PG2">#REF!</definedName>
    <definedName name="____Q1">#REF!</definedName>
    <definedName name="____Q2">#REF!</definedName>
    <definedName name="____Q3">#REF!</definedName>
    <definedName name="____Q4">#REF!</definedName>
    <definedName name="____Sep2">#N/A</definedName>
    <definedName name="____t2" localSheetId="4" hidden="1">{#N/A,#N/A,FALSE,"Assessment";#N/A,#N/A,FALSE,"Staffing";#N/A,#N/A,FALSE,"Hires";#N/A,#N/A,FALSE,"Assumptions"}</definedName>
    <definedName name="____t2" hidden="1">{#N/A,#N/A,FALSE,"Assessment";#N/A,#N/A,FALSE,"Staffing";#N/A,#N/A,FALSE,"Hires";#N/A,#N/A,FALSE,"Assumptions"}</definedName>
    <definedName name="____t3" localSheetId="4" hidden="1">{#N/A,#N/A,FALSE,"Assessment";#N/A,#N/A,FALSE,"Staffing";#N/A,#N/A,FALSE,"Hires";#N/A,#N/A,FALSE,"Assumptions"}</definedName>
    <definedName name="____t3" hidden="1">{#N/A,#N/A,FALSE,"Assessment";#N/A,#N/A,FALSE,"Staffing";#N/A,#N/A,FALSE,"Hires";#N/A,#N/A,FALSE,"Assumptions"}</definedName>
    <definedName name="____t4" localSheetId="4" hidden="1">{#N/A,#N/A,FALSE,"Assessment";#N/A,#N/A,FALSE,"Staffing";#N/A,#N/A,FALSE,"Hires";#N/A,#N/A,FALSE,"Assumptions"}</definedName>
    <definedName name="____t4" hidden="1">{#N/A,#N/A,FALSE,"Assessment";#N/A,#N/A,FALSE,"Staffing";#N/A,#N/A,FALSE,"Hires";#N/A,#N/A,FALSE,"Assumptions"}</definedName>
    <definedName name="____TD2">#REF!</definedName>
    <definedName name="____TD3">#REF!</definedName>
    <definedName name="____V1" localSheetId="4"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____V1"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____V11" localSheetId="4"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____V11"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____X1111" localSheetId="4"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____X1111"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___1ST">#REF!</definedName>
    <definedName name="___2ND">#REF!</definedName>
    <definedName name="___3RD">#REF!</definedName>
    <definedName name="___456Graph_A" hidden="1">#REF!</definedName>
    <definedName name="___4TH">#REF!</definedName>
    <definedName name="___gh2" localSheetId="4" hidden="1">{"'100'!$A$1:$M$83"}</definedName>
    <definedName name="___gh2" hidden="1">{"'100'!$A$1:$M$83"}</definedName>
    <definedName name="___hg2" localSheetId="4" hidden="1">{"'100'!$A$1:$M$83"}</definedName>
    <definedName name="___hg2" hidden="1">{"'100'!$A$1:$M$83"}</definedName>
    <definedName name="___PG1">#REF!</definedName>
    <definedName name="___PG2">#REF!</definedName>
    <definedName name="___Q1">#REF!</definedName>
    <definedName name="___Q2">#REF!</definedName>
    <definedName name="___Q3">#REF!</definedName>
    <definedName name="___Q4">#REF!</definedName>
    <definedName name="___t2" localSheetId="4" hidden="1">{#N/A,#N/A,FALSE,"Assessment";#N/A,#N/A,FALSE,"Staffing";#N/A,#N/A,FALSE,"Hires";#N/A,#N/A,FALSE,"Assumptions"}</definedName>
    <definedName name="___t2" hidden="1">{#N/A,#N/A,FALSE,"Assessment";#N/A,#N/A,FALSE,"Staffing";#N/A,#N/A,FALSE,"Hires";#N/A,#N/A,FALSE,"Assumptions"}</definedName>
    <definedName name="___t3" localSheetId="4" hidden="1">{#N/A,#N/A,FALSE,"Assessment";#N/A,#N/A,FALSE,"Staffing";#N/A,#N/A,FALSE,"Hires";#N/A,#N/A,FALSE,"Assumptions"}</definedName>
    <definedName name="___t3" hidden="1">{#N/A,#N/A,FALSE,"Assessment";#N/A,#N/A,FALSE,"Staffing";#N/A,#N/A,FALSE,"Hires";#N/A,#N/A,FALSE,"Assumptions"}</definedName>
    <definedName name="___t4" localSheetId="4" hidden="1">{#N/A,#N/A,FALSE,"Assessment";#N/A,#N/A,FALSE,"Staffing";#N/A,#N/A,FALSE,"Hires";#N/A,#N/A,FALSE,"Assumptions"}</definedName>
    <definedName name="___t4" hidden="1">{#N/A,#N/A,FALSE,"Assessment";#N/A,#N/A,FALSE,"Staffing";#N/A,#N/A,FALSE,"Hires";#N/A,#N/A,FALSE,"Assumptions"}</definedName>
    <definedName name="___TD2">#REF!</definedName>
    <definedName name="___TD3">#REF!</definedName>
    <definedName name="___thinkcell8JddlIYHa02zNXE_0VK6Mw" hidden="1">#REF!</definedName>
    <definedName name="___TOP1">#REF!</definedName>
    <definedName name="___TOP2">#REF!</definedName>
    <definedName name="___V1" localSheetId="4"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___V1"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___V11" localSheetId="4"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___V11"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___X1111" localSheetId="4"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___X1111"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__1_1ST">#REF!</definedName>
    <definedName name="__123Graph_A" hidden="1">#REF!</definedName>
    <definedName name="__123Graph_AEXPS97" hidden="1">#REF!</definedName>
    <definedName name="__123Graph_APROFIT97" hidden="1">#REF!</definedName>
    <definedName name="__123Graph_AREV97" hidden="1">#REF!</definedName>
    <definedName name="__123Graph_AREVS" hidden="1">#REF!</definedName>
    <definedName name="__123Graph_ARPE97" hidden="1">#REF!</definedName>
    <definedName name="__123Graph_B" hidden="1">#REF!</definedName>
    <definedName name="__123Graph_BRPE97" hidden="1">#REF!</definedName>
    <definedName name="__123Graph_C" hidden="1">#REF!</definedName>
    <definedName name="__123Graph_CRPE97" hidden="1">#REF!</definedName>
    <definedName name="__123Graph_D" hidden="1">#REF!</definedName>
    <definedName name="__123Graph_E" hidden="1">#REF!</definedName>
    <definedName name="__123Graph_F" hidden="1">#REF!</definedName>
    <definedName name="__123Graph_X" hidden="1">#REF!</definedName>
    <definedName name="__123Graph_XEXPS97" hidden="1">#REF!</definedName>
    <definedName name="__123Graph_XPROFIT97" hidden="1">#REF!</definedName>
    <definedName name="__123Graph_XREV97" hidden="1">#REF!</definedName>
    <definedName name="__123Graph_XREVS" hidden="1">#REF!</definedName>
    <definedName name="__123Graph_XRPE97" hidden="1">#REF!</definedName>
    <definedName name="__2_2ND">#REF!</definedName>
    <definedName name="__3_3RD">#REF!</definedName>
    <definedName name="__4_4TH">#REF!</definedName>
    <definedName name="__ALL4">#REF!</definedName>
    <definedName name="__Apr2">#N/A</definedName>
    <definedName name="__AQ362659">#REF!</definedName>
    <definedName name="__Aug2">#N/A</definedName>
    <definedName name="__Dec2">#N/A</definedName>
    <definedName name="__DIR1">#REF!</definedName>
    <definedName name="__DIR10">#REF!</definedName>
    <definedName name="__DIR11">#REF!</definedName>
    <definedName name="__DIR12">#REF!</definedName>
    <definedName name="__DIR2">#REF!</definedName>
    <definedName name="__DIR3">#REF!</definedName>
    <definedName name="__DIR4">#REF!</definedName>
    <definedName name="__DIR5">#REF!</definedName>
    <definedName name="__DIR6">#REF!</definedName>
    <definedName name="__DIR7">#REF!</definedName>
    <definedName name="__DIR8">#REF!</definedName>
    <definedName name="__DIR9">#REF!</definedName>
    <definedName name="__EMP1">#REF!</definedName>
    <definedName name="__EMP10">#REF!</definedName>
    <definedName name="__EMP11">#REF!</definedName>
    <definedName name="__EMP12">#REF!</definedName>
    <definedName name="__EMP2">#REF!</definedName>
    <definedName name="__EMP3">#REF!</definedName>
    <definedName name="__EMP4">#REF!</definedName>
    <definedName name="__EMP5">#REF!</definedName>
    <definedName name="__EMP6">#REF!</definedName>
    <definedName name="__EMP7">#REF!</definedName>
    <definedName name="__EMP8">#REF!</definedName>
    <definedName name="__EMP9">#REF!</definedName>
    <definedName name="__ESG07">#REF!</definedName>
    <definedName name="__ewp1">#REF!</definedName>
    <definedName name="__FDS_HYPERLINK_TOGGLE_STATE__" hidden="1">"ON"</definedName>
    <definedName name="__Feb2">#N/A</definedName>
    <definedName name="__FY11" hidden="1">{#N/A,#N/A,FALSE,"JUL-05";#N/A,#N/A,FALSE,"AUG-05";#N/A,#N/A,FALSE,"SEP-05";#N/A,#N/A,FALSE,"OCT-05";#N/A,#N/A,FALSE,"NOV-05";#N/A,#N/A,FALSE,"DEC-05";#N/A,#N/A,FALSE,"JAN-06";#N/A,#N/A,FALSE,"FEB-06";#N/A,#N/A,FALSE,"MAR-06";#N/A,#N/A,FALSE,"APR-06";#N/A,#N/A,FALSE,"MAY-06";#N/A,#N/A,FALSE,"JUN-06"}</definedName>
    <definedName name="__FY12" hidden="1">{#N/A,#N/A,FALSE,"Full Year";#N/A,#N/A,FALSE,"Current Month";#N/A,#N/A,FALSE,"YTD";#N/A,#N/A,FALSE,"Remainder";#N/A,#N/A,FALSE,"Full Year Variance";#N/A,#N/A,FALSE,"Quarterly Variance"}</definedName>
    <definedName name="__fy13">#REF!</definedName>
    <definedName name="__gh2" localSheetId="4" hidden="1">{"'100'!$A$1:$M$83"}</definedName>
    <definedName name="__gh2" hidden="1">{"'100'!$A$1:$M$83"}</definedName>
    <definedName name="__hg2" localSheetId="4" hidden="1">{"'100'!$A$1:$M$83"}</definedName>
    <definedName name="__hg2" hidden="1">{"'100'!$A$1:$M$83"}</definedName>
    <definedName name="__Jan2">#N/A</definedName>
    <definedName name="__JE1">#REF!</definedName>
    <definedName name="__JE2">#REF!</definedName>
    <definedName name="__JE3">#REF!</definedName>
    <definedName name="__JE4">#REF!</definedName>
    <definedName name="__JE5">#REF!</definedName>
    <definedName name="__JE6">#REF!</definedName>
    <definedName name="__JE7">#REF!</definedName>
    <definedName name="__Jun2">#N/A</definedName>
    <definedName name="__Mar2">#N/A</definedName>
    <definedName name="__May2">#N/A</definedName>
    <definedName name="__Nov2">#N/A</definedName>
    <definedName name="__Oct2">#N/A</definedName>
    <definedName name="__PG1">#REF!</definedName>
    <definedName name="__PG2">#REF!</definedName>
    <definedName name="__PR1">#REF!</definedName>
    <definedName name="__PR2">#REF!</definedName>
    <definedName name="__PR3">#REF!</definedName>
    <definedName name="__PR4">#REF!</definedName>
    <definedName name="__PRE1">#REF!</definedName>
    <definedName name="__PRE2">#REF!</definedName>
    <definedName name="__PRE3">#REF!</definedName>
    <definedName name="__PRE4">#REF!</definedName>
    <definedName name="__PRT1">#REF!</definedName>
    <definedName name="__Q1">#REF!</definedName>
    <definedName name="__Q2">#REF!</definedName>
    <definedName name="__Q3">#REF!</definedName>
    <definedName name="__Q4">#REF!</definedName>
    <definedName name="__Sep2">#N/A</definedName>
    <definedName name="__SUM1">#REF!</definedName>
    <definedName name="__t2" localSheetId="4" hidden="1">{#N/A,#N/A,FALSE,"Assessment";#N/A,#N/A,FALSE,"Staffing";#N/A,#N/A,FALSE,"Hires";#N/A,#N/A,FALSE,"Assumptions"}</definedName>
    <definedName name="__t2" hidden="1">{#N/A,#N/A,FALSE,"Assessment";#N/A,#N/A,FALSE,"Staffing";#N/A,#N/A,FALSE,"Hires";#N/A,#N/A,FALSE,"Assumptions"}</definedName>
    <definedName name="__t3" localSheetId="4" hidden="1">{#N/A,#N/A,FALSE,"Assessment";#N/A,#N/A,FALSE,"Staffing";#N/A,#N/A,FALSE,"Hires";#N/A,#N/A,FALSE,"Assumptions"}</definedName>
    <definedName name="__t3" hidden="1">{#N/A,#N/A,FALSE,"Assessment";#N/A,#N/A,FALSE,"Staffing";#N/A,#N/A,FALSE,"Hires";#N/A,#N/A,FALSE,"Assumptions"}</definedName>
    <definedName name="__t4" localSheetId="4" hidden="1">{#N/A,#N/A,FALSE,"Assessment";#N/A,#N/A,FALSE,"Staffing";#N/A,#N/A,FALSE,"Hires";#N/A,#N/A,FALSE,"Assumptions"}</definedName>
    <definedName name="__t4" hidden="1">{#N/A,#N/A,FALSE,"Assessment";#N/A,#N/A,FALSE,"Staffing";#N/A,#N/A,FALSE,"Hires";#N/A,#N/A,FALSE,"Assumptions"}</definedName>
    <definedName name="__TD2">#REF!</definedName>
    <definedName name="__TD3">#REF!</definedName>
    <definedName name="__TOP1">#REF!</definedName>
    <definedName name="__TOP2">#REF!</definedName>
    <definedName name="__TOP3">#REF!</definedName>
    <definedName name="__V1" localSheetId="4"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__V1"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__V11" localSheetId="4"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__V11"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__X1111" localSheetId="4"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__X1111"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_019">#REF!</definedName>
    <definedName name="_1">#REF!</definedName>
    <definedName name="_1__123Graph_ACHART_1" hidden="1">#REF!</definedName>
    <definedName name="_1__123Graph_ACHART_3" hidden="1">#REF!</definedName>
    <definedName name="_1_1ST">#REF!</definedName>
    <definedName name="_10__123Graph_CCHART_1" hidden="1">#REF!</definedName>
    <definedName name="_10__123Graph_CCHART_2" hidden="1">#REF!</definedName>
    <definedName name="_10__123Graph_XCHART_3" hidden="1">#REF!</definedName>
    <definedName name="_100">#REF!</definedName>
    <definedName name="_100300ytd">#REF!</definedName>
    <definedName name="_100301ytd">#REF!</definedName>
    <definedName name="_100302ytd">#REF!</definedName>
    <definedName name="_100303ytd">#REF!</definedName>
    <definedName name="_100304ytd">#REF!</definedName>
    <definedName name="_100305ytd">#REF!</definedName>
    <definedName name="_100306ytd">#REF!</definedName>
    <definedName name="_100307ytd">#REF!</definedName>
    <definedName name="_100308ytd">#REF!</definedName>
    <definedName name="_100309ytd">#REF!</definedName>
    <definedName name="_100310ytd">#REF!</definedName>
    <definedName name="_100315ytd">#REF!</definedName>
    <definedName name="_100316ytd">#REF!</definedName>
    <definedName name="_100317ytd">#REF!</definedName>
    <definedName name="_100318ytd">#REF!</definedName>
    <definedName name="_100319ytd">#REF!</definedName>
    <definedName name="_100320ytd">#REF!</definedName>
    <definedName name="_100321ytd">#REF!</definedName>
    <definedName name="_100322ytd">#REF!</definedName>
    <definedName name="_100323ytd">#REF!</definedName>
    <definedName name="_100324ytd">#REF!</definedName>
    <definedName name="_100325ytd">#REF!</definedName>
    <definedName name="_100326ytd">#REF!</definedName>
    <definedName name="_100327ytd">#REF!</definedName>
    <definedName name="_100328ytd">#REF!</definedName>
    <definedName name="_100329ytd">#REF!</definedName>
    <definedName name="_100330ytd">#REF!</definedName>
    <definedName name="_100331ytd">#REF!</definedName>
    <definedName name="_100332ytd">#REF!</definedName>
    <definedName name="_100333ytd">#REF!</definedName>
    <definedName name="_100334ytd">#REF!</definedName>
    <definedName name="_100335ytd">#REF!</definedName>
    <definedName name="_100336ytd">#REF!</definedName>
    <definedName name="_100337ytd">#REF!</definedName>
    <definedName name="_100340ytd">#REF!</definedName>
    <definedName name="_100data">#REF!</definedName>
    <definedName name="_100hdr">#REF!</definedName>
    <definedName name="_101__123Graph_LBL_BCHART_3" hidden="1">#REF!</definedName>
    <definedName name="_102__123Graph_XCHART_2" hidden="1">#REF!</definedName>
    <definedName name="_105__123Graph_BCHART_1" hidden="1">#REF!</definedName>
    <definedName name="_105__123Graph_DCHART_3" hidden="1">#REF!</definedName>
    <definedName name="_108__123Graph_ECHART_2" hidden="1">#REF!</definedName>
    <definedName name="_11__123Graph_ACHART_4" hidden="1">#REF!</definedName>
    <definedName name="_11__123Graph_CCHART_3" hidden="1">#REF!</definedName>
    <definedName name="_110__123Graph_XCHART_4" hidden="1">#REF!</definedName>
    <definedName name="_110data">#REF!</definedName>
    <definedName name="_110hdr">#REF!</definedName>
    <definedName name="_111__123Graph_BCHART_2" hidden="1">#REF!</definedName>
    <definedName name="_111__123Graph_ECHART_3" hidden="1">#REF!</definedName>
    <definedName name="_1111">#REF!</definedName>
    <definedName name="_111210">#REF!</definedName>
    <definedName name="_112__123Graph_DCHART_4" hidden="1">#REF!</definedName>
    <definedName name="_113__123Graph_ECHART_2" hidden="1">#REF!</definedName>
    <definedName name="_114__123Graph_ECHART_3" hidden="1">#REF!</definedName>
    <definedName name="_115">#REF!</definedName>
    <definedName name="_116">#REF!</definedName>
    <definedName name="_116_111">#REF!</definedName>
    <definedName name="_116111">#REF!</definedName>
    <definedName name="_116112">#REF!</definedName>
    <definedName name="_117">#REF!</definedName>
    <definedName name="_118">#REF!</definedName>
    <definedName name="_119">#REF!</definedName>
    <definedName name="_119__123Graph_ECHART_1" hidden="1">#REF!</definedName>
    <definedName name="_12__123Graph_BCHART_1" hidden="1">#REF!</definedName>
    <definedName name="_12__123Graph_CCHART_4" hidden="1">#REF!</definedName>
    <definedName name="_12__123Graph_XCHART_3" hidden="1">#REF!</definedName>
    <definedName name="_120data">#REF!</definedName>
    <definedName name="_120hdr">#REF!</definedName>
    <definedName name="_122420ytd">#REF!</definedName>
    <definedName name="_123" hidden="1">#REF!</definedName>
    <definedName name="_123__123Graph_ECHART_4" hidden="1">#REF!</definedName>
    <definedName name="_126__123Graph_ECHART_2" hidden="1">#REF!</definedName>
    <definedName name="_127Aytd">#REF!</definedName>
    <definedName name="_127Bytd">#REF!</definedName>
    <definedName name="_127Cytd">#REF!</definedName>
    <definedName name="_127Dytd">#REF!</definedName>
    <definedName name="_127Eytd">#REF!</definedName>
    <definedName name="_127Fytd">#REF!</definedName>
    <definedName name="_13__123Graph_BCHART_2" hidden="1">#REF!</definedName>
    <definedName name="_13__123Graph_DCHART_1" hidden="1">#REF!</definedName>
    <definedName name="_130">#REF!</definedName>
    <definedName name="_130__123Graph_ECHART_4" hidden="1">#REF!</definedName>
    <definedName name="_130data">#REF!</definedName>
    <definedName name="_130hdr">#REF!</definedName>
    <definedName name="_1315">#REF!</definedName>
    <definedName name="_132__123Graph_BCHART_3" hidden="1">#REF!</definedName>
    <definedName name="_133__123Graph_ECHART_3" hidden="1">#REF!</definedName>
    <definedName name="_134__123Graph_LBL_ACHART_1" hidden="1">#REF!</definedName>
    <definedName name="_1352">#REF!</definedName>
    <definedName name="_1365">#REF!</definedName>
    <definedName name="_1372">#REF!</definedName>
    <definedName name="_1373">#REF!</definedName>
    <definedName name="_1379">#REF!</definedName>
    <definedName name="_14__123Graph_ACHART_2" hidden="1">#REF!</definedName>
    <definedName name="_14__123Graph_BCHART_3" hidden="1">#REF!</definedName>
    <definedName name="_14__123Graph_DCHART_2" hidden="1">#REF!</definedName>
    <definedName name="_140">#REF!</definedName>
    <definedName name="_140__123Graph_ECHART_4" hidden="1">#REF!</definedName>
    <definedName name="_140855">#REF!</definedName>
    <definedName name="_14085513">#REF!</definedName>
    <definedName name="_140863">#REF!</definedName>
    <definedName name="_140865">#REF!</definedName>
    <definedName name="_141__123Graph_LBL_ACHART_1" hidden="1">#REF!</definedName>
    <definedName name="_142__123Graph_LBL_ACHART_3" hidden="1">#REF!</definedName>
    <definedName name="_143__123Graph_LBL_BCHART_1" hidden="1">#REF!</definedName>
    <definedName name="_144__123Graph_LBL_BCHART_3" hidden="1">#REF!</definedName>
    <definedName name="_145__123Graph_LBL_ACHART_1" hidden="1">#REF!</definedName>
    <definedName name="_145__123Graph_LBL_ACHART_3" hidden="1">#REF!</definedName>
    <definedName name="_15__123Graph_DCHART_3" hidden="1">#REF!</definedName>
    <definedName name="_151">#REF!</definedName>
    <definedName name="_151__123Graph_XCHART_2" hidden="1">#REF!</definedName>
    <definedName name="_152">#REF!</definedName>
    <definedName name="_152700">#REF!</definedName>
    <definedName name="_152724">#REF!</definedName>
    <definedName name="_152Aytd">#REF!</definedName>
    <definedName name="_152Bytd">#REF!</definedName>
    <definedName name="_152Cytd">#REF!</definedName>
    <definedName name="_153__123Graph_BCHART_4" hidden="1">#REF!</definedName>
    <definedName name="_154">#REF!</definedName>
    <definedName name="_156__123Graph_LBL_BCHART_1" hidden="1">#REF!</definedName>
    <definedName name="_158__123Graph_XCHART_4" hidden="1">#REF!</definedName>
    <definedName name="_159__123Graph_CCHART_1" hidden="1">#REF!</definedName>
    <definedName name="_16__123Graph_BCHART_3" hidden="1">#REF!</definedName>
    <definedName name="_16__123Graph_DCHART_4" hidden="1">#REF!</definedName>
    <definedName name="_160__123Graph_LBL_ACHART_3" hidden="1">#REF!</definedName>
    <definedName name="_1630">#REF!</definedName>
    <definedName name="_1631">#REF!</definedName>
    <definedName name="_1632">#REF!</definedName>
    <definedName name="_165__123Graph_CCHART_2" hidden="1">#REF!</definedName>
    <definedName name="_167__123Graph_LBL_BCHART_3" hidden="1">#REF!</definedName>
    <definedName name="_17__123Graph_ECHART_1" hidden="1">#REF!</definedName>
    <definedName name="_170__123Graph_XCHART_2" hidden="1">#REF!</definedName>
    <definedName name="_171__123Graph_CCHART_3" hidden="1">#REF!</definedName>
    <definedName name="_172">#REF!</definedName>
    <definedName name="_173">#REF!</definedName>
    <definedName name="_175__123Graph_LBL_BCHART_1" hidden="1">#REF!</definedName>
    <definedName name="_1782">#REF!</definedName>
    <definedName name="_18__123Graph_BCHART_1" hidden="1">#REF!</definedName>
    <definedName name="_18__123Graph_ECHART_2" hidden="1">#REF!</definedName>
    <definedName name="_182__123Graph_XCHART_4" hidden="1">#REF!</definedName>
    <definedName name="_185">#REF!</definedName>
    <definedName name="_185_760">#REF!</definedName>
    <definedName name="_185_792">#REF!</definedName>
    <definedName name="_185_793">#REF!</definedName>
    <definedName name="_185_824">#REF!</definedName>
    <definedName name="_185757">#REF!</definedName>
    <definedName name="_185760">#REF!</definedName>
    <definedName name="_185790">#REF!</definedName>
    <definedName name="_185792">#REF!</definedName>
    <definedName name="_185794">#REF!</definedName>
    <definedName name="_185824">#REF!</definedName>
    <definedName name="_185848">#REF!</definedName>
    <definedName name="_185856">#REF!</definedName>
    <definedName name="_185871">#REF!</definedName>
    <definedName name="_19__123Graph_ECHART_3" hidden="1">#REF!</definedName>
    <definedName name="_190__123Graph_LBL_BCHART_3" hidden="1">#REF!</definedName>
    <definedName name="_191__123Graph_XCHART_2" hidden="1">#REF!</definedName>
    <definedName name="_192__123Graph_CCHART_4" hidden="1">#REF!</definedName>
    <definedName name="_195">#REF!</definedName>
    <definedName name="_195110">#REF!</definedName>
    <definedName name="_195466">#REF!</definedName>
    <definedName name="_195723">#REF!</definedName>
    <definedName name="_195730">#REF!</definedName>
    <definedName name="_195768">#REF!</definedName>
    <definedName name="_19576866">#REF!</definedName>
    <definedName name="_198__123Graph_DCHART_1" hidden="1">#REF!</definedName>
    <definedName name="_1ST">#REF!</definedName>
    <definedName name="_2">#REF!</definedName>
    <definedName name="_2__123Graph_ACHART_1" hidden="1">#REF!</definedName>
    <definedName name="_2__123Graph_ACHART_2" hidden="1">#REF!</definedName>
    <definedName name="_2__123Graph_ACHART_3" hidden="1">#REF!</definedName>
    <definedName name="_2__123Graph_BCHART_1" hidden="1">#REF!</definedName>
    <definedName name="_2_2ND">#REF!</definedName>
    <definedName name="_20__123Graph_CCHART_1" hidden="1">#REF!</definedName>
    <definedName name="_20__123Graph_ECHART_4" hidden="1">#REF!</definedName>
    <definedName name="_200data">#REF!</definedName>
    <definedName name="_200hdr">#REF!</definedName>
    <definedName name="_2013">#REF!</definedName>
    <definedName name="_201403">#REF!</definedName>
    <definedName name="_207__123Graph_XCHART_4" hidden="1">#REF!</definedName>
    <definedName name="_21__123Graph_ACHART_1" hidden="1">#REF!</definedName>
    <definedName name="_21__123Graph_ACHART_3" hidden="1">#REF!</definedName>
    <definedName name="_21__123Graph_ACHART_4" hidden="1">#REF!</definedName>
    <definedName name="_21__123Graph_LBL_ACHART_1" hidden="1">#REF!</definedName>
    <definedName name="_2126">#REF!</definedName>
    <definedName name="_2127">#REF!</definedName>
    <definedName name="_2133">#REF!</definedName>
    <definedName name="_2135">#REF!</definedName>
    <definedName name="_2146">#REF!</definedName>
    <definedName name="_219__123Graph_DCHART_2" hidden="1">#REF!</definedName>
    <definedName name="_22__123Graph_ACHART_4" hidden="1">#REF!</definedName>
    <definedName name="_22__123Graph_BCHART_4" hidden="1">#REF!</definedName>
    <definedName name="_22__123Graph_LBL_ACHART_3" hidden="1">#REF!</definedName>
    <definedName name="_220968ytd">#REF!</definedName>
    <definedName name="_2232">#REF!</definedName>
    <definedName name="_2236">#REF!</definedName>
    <definedName name="_225__123Graph_DCHART_3" hidden="1">#REF!</definedName>
    <definedName name="_226">#REF!</definedName>
    <definedName name="_2269">#REF!</definedName>
    <definedName name="_2278">#REF!</definedName>
    <definedName name="_228501">#REF!</definedName>
    <definedName name="_2299">#REF!</definedName>
    <definedName name="_23">#REF!</definedName>
    <definedName name="_23__123Graph_CCHART_1" hidden="1">#REF!</definedName>
    <definedName name="_23__123Graph_LBL_BCHART_1" hidden="1">#REF!</definedName>
    <definedName name="_230975ytd">#REF!</definedName>
    <definedName name="_234_x" hidden="1">#REF!</definedName>
    <definedName name="_24__123Graph_BCHART_1" hidden="1">#REF!</definedName>
    <definedName name="_24__123Graph_CCHART_2" hidden="1">#REF!</definedName>
    <definedName name="_24__123Graph_LBL_BCHART_3" hidden="1">#REF!</definedName>
    <definedName name="_24__123Graph_XCHART_3" hidden="1">#REF!</definedName>
    <definedName name="_246__123Graph_DCHART_4" hidden="1">#REF!</definedName>
    <definedName name="_25__123Graph_BCHART_2" hidden="1">#REF!</definedName>
    <definedName name="_25__123Graph_CCHART_3" hidden="1">#REF!</definedName>
    <definedName name="_25__123Graph_XCHART_2" hidden="1">#REF!</definedName>
    <definedName name="_252__123Graph_ECHART_1" hidden="1">#REF!</definedName>
    <definedName name="_26__123Graph_XCHART_4" hidden="1">#REF!</definedName>
    <definedName name="_265">#REF!</definedName>
    <definedName name="_265272">#REF!</definedName>
    <definedName name="_265727">#REF!</definedName>
    <definedName name="_265758">#REF!</definedName>
    <definedName name="_267">#REF!</definedName>
    <definedName name="_27__123Graph_BCHART_2" hidden="1">#REF!</definedName>
    <definedName name="_27__123Graph_BCHART_3" hidden="1">#REF!</definedName>
    <definedName name="_273__123Graph_ECHART_2" hidden="1">#REF!</definedName>
    <definedName name="_279__123Graph_ECHART_3" hidden="1">#REF!</definedName>
    <definedName name="_28__123Graph_ACHART_4" hidden="1">#REF!</definedName>
    <definedName name="_2ND">#REF!</definedName>
    <definedName name="_3">#REF!</definedName>
    <definedName name="_3__123Graph_ACHART_1" hidden="1">#REF!</definedName>
    <definedName name="_3__123Graph_ACHART_3" hidden="1">#REF!</definedName>
    <definedName name="_3__123Graph_BCHART_3" hidden="1">#REF!</definedName>
    <definedName name="_3_3RD">#REF!</definedName>
    <definedName name="_30__123Graph_BCHART_3" hidden="1">#REF!</definedName>
    <definedName name="_300__123Graph_ECHART_4" hidden="1">#REF!</definedName>
    <definedName name="_300data">#REF!</definedName>
    <definedName name="_300hdr">#REF!</definedName>
    <definedName name="_301">#REF!</definedName>
    <definedName name="_301__123Graph_LBL_ACHART_1" hidden="1">#REF!</definedName>
    <definedName name="_302__123Graph_LBL_ACHART_3" hidden="1">#REF!</definedName>
    <definedName name="_303__123Graph_LBL_BCHART_1" hidden="1">#REF!</definedName>
    <definedName name="_304__123Graph_LBL_BCHART_3" hidden="1">#REF!</definedName>
    <definedName name="_305702">#REF!</definedName>
    <definedName name="_310__123Graph_XCHART_2" hidden="1">#REF!</definedName>
    <definedName name="_320">#REF!</definedName>
    <definedName name="_33__123Graph_CCHART_4" hidden="1">#REF!</definedName>
    <definedName name="_331__123Graph_XCHART_4" hidden="1">#REF!</definedName>
    <definedName name="_34__123Graph_DCHART_1" hidden="1">#REF!</definedName>
    <definedName name="_3430">#REF!</definedName>
    <definedName name="_3435">#REF!</definedName>
    <definedName name="_35__123Graph_BCHART_1" hidden="1">#REF!</definedName>
    <definedName name="_350700">#REF!</definedName>
    <definedName name="_350701">#REF!</definedName>
    <definedName name="_350702">#REF!</definedName>
    <definedName name="_3540">#REF!</definedName>
    <definedName name="_36__123Graph_CCHART_1" hidden="1">#REF!</definedName>
    <definedName name="_360">#REF!</definedName>
    <definedName name="_360177">#REF!</definedName>
    <definedName name="_360179">#REF!</definedName>
    <definedName name="_360180">#REF!</definedName>
    <definedName name="_360181">#REF!</definedName>
    <definedName name="_360721">#REF!</definedName>
    <definedName name="_360723">#REF!</definedName>
    <definedName name="_360727">#REF!</definedName>
    <definedName name="_360728">#REF!</definedName>
    <definedName name="_361">#REF!</definedName>
    <definedName name="_361315">#REF!</definedName>
    <definedName name="_361316">#REF!</definedName>
    <definedName name="_361317">#REF!</definedName>
    <definedName name="_362186">#REF!</definedName>
    <definedName name="_370">#REF!</definedName>
    <definedName name="_370_758">#REF!</definedName>
    <definedName name="_370_762">#REF!</definedName>
    <definedName name="_370768">#REF!</definedName>
    <definedName name="_380">#REF!</definedName>
    <definedName name="_380796">#REF!</definedName>
    <definedName name="_380797">#REF!</definedName>
    <definedName name="_380798">#REF!</definedName>
    <definedName name="_381">#REF!</definedName>
    <definedName name="_381210">#REF!</definedName>
    <definedName name="_381211">#REF!</definedName>
    <definedName name="_381791">#REF!</definedName>
    <definedName name="_381792">#REF!</definedName>
    <definedName name="_381793">#REF!</definedName>
    <definedName name="_381793A">#REF!</definedName>
    <definedName name="_385_796">#REF!</definedName>
    <definedName name="_385796">#REF!</definedName>
    <definedName name="_385797">#REF!</definedName>
    <definedName name="_390411">#REF!</definedName>
    <definedName name="_391">#REF!</definedName>
    <definedName name="_3RD">#REF!</definedName>
    <definedName name="_4__123Graph_ACHART_2" hidden="1">#REF!</definedName>
    <definedName name="_4__123Graph_ACHART_3" hidden="1">#REF!</definedName>
    <definedName name="_4__123Graph_ACHART_4" hidden="1">#REF!</definedName>
    <definedName name="_4__123Graph_BCHART_1" hidden="1">#REF!</definedName>
    <definedName name="_4__123Graph_CCHART_1" hidden="1">#REF!</definedName>
    <definedName name="_4_4TH">#REF!</definedName>
    <definedName name="_400">#REF!</definedName>
    <definedName name="_40084813">#REF!</definedName>
    <definedName name="_400data">#REF!</definedName>
    <definedName name="_400hdr">#REF!</definedName>
    <definedName name="_401K">#REF!</definedName>
    <definedName name="_401KSUMM">#REF!</definedName>
    <definedName name="_410">#REF!</definedName>
    <definedName name="_410855">#REF!</definedName>
    <definedName name="_410858">#REF!</definedName>
    <definedName name="_42__123Graph_ACHART_2" hidden="1">#REF!</definedName>
    <definedName name="_42__123Graph_BCHART_2" hidden="1">#REF!</definedName>
    <definedName name="_42__123Graph_BCHART_4" hidden="1">#REF!</definedName>
    <definedName name="_42__123Graph_DCHART_2" hidden="1">#REF!</definedName>
    <definedName name="_420">#REF!</definedName>
    <definedName name="_43__123Graph_BCHART_4" hidden="1">#REF!</definedName>
    <definedName name="_43__123Graph_DCHART_3" hidden="1">#REF!</definedName>
    <definedName name="_44__123Graph_CCHART_1" hidden="1">#REF!</definedName>
    <definedName name="_45__123Graph_CCHART_1" hidden="1">#REF!</definedName>
    <definedName name="_45__123Graph_CCHART_2" hidden="1">#REF!</definedName>
    <definedName name="_45__123Graph_XCHART_3" hidden="1">#REF!</definedName>
    <definedName name="_455">#REF!</definedName>
    <definedName name="_46__123Graph_CCHART_3" hidden="1">#REF!</definedName>
    <definedName name="_460">#REF!</definedName>
    <definedName name="_461">#REF!</definedName>
    <definedName name="_46113">#REF!</definedName>
    <definedName name="_470">#REF!</definedName>
    <definedName name="_470470">#REF!</definedName>
    <definedName name="_47047013">#REF!</definedName>
    <definedName name="_470611">#REF!</definedName>
    <definedName name="_471">#REF!</definedName>
    <definedName name="_472">#REF!</definedName>
    <definedName name="_473">#REF!</definedName>
    <definedName name="_48__123Graph_CCHART_2" hidden="1">#REF!</definedName>
    <definedName name="_485">#REF!</definedName>
    <definedName name="_49__123Graph_BCHART_3" hidden="1">#REF!</definedName>
    <definedName name="_4TH">#REF!</definedName>
    <definedName name="_5__123Graph_BCHART_1" hidden="1">#REF!</definedName>
    <definedName name="_5__123Graph_XCHART_3" hidden="1">#REF!</definedName>
    <definedName name="_500data">#REF!</definedName>
    <definedName name="_500hdr">#REF!</definedName>
    <definedName name="_51__123Graph_CCHART_3" hidden="1">#REF!</definedName>
    <definedName name="_51__123Graph_DCHART_4" hidden="1">#REF!</definedName>
    <definedName name="_52__123Graph_ECHART_1" hidden="1">#REF!</definedName>
    <definedName name="_56__123Graph_BCHART_4" hidden="1">#REF!</definedName>
    <definedName name="_6__123Graph_ACHART_2" hidden="1">#REF!</definedName>
    <definedName name="_6__123Graph_ACHART_3" hidden="1">#REF!</definedName>
    <definedName name="_6__123Graph_BCHART_1" hidden="1">#REF!</definedName>
    <definedName name="_6__123Graph_BCHART_2" hidden="1">#REF!</definedName>
    <definedName name="_6__123Graph_BCHART_3" hidden="1">#REF!</definedName>
    <definedName name="_60__123Graph_ECHART_2" hidden="1">#REF!</definedName>
    <definedName name="_600data">#REF!</definedName>
    <definedName name="_600hdr">#REF!</definedName>
    <definedName name="_608A">#REF!</definedName>
    <definedName name="_61__123Graph_ECHART_3" hidden="1">#REF!</definedName>
    <definedName name="_610data">#REF!</definedName>
    <definedName name="_610hdr">#REF!</definedName>
    <definedName name="_62__123Graph_CCHART_4" hidden="1">#REF!</definedName>
    <definedName name="_63__123Graph_ACHART_3" hidden="1">#REF!</definedName>
    <definedName name="_63__123Graph_CCHART_1" hidden="1">#REF!</definedName>
    <definedName name="_63__123Graph_CCHART_4" hidden="1">#REF!</definedName>
    <definedName name="_63__123Graph_DCHART_1" hidden="1">#REF!</definedName>
    <definedName name="_66__123Graph_DCHART_1" hidden="1">#REF!</definedName>
    <definedName name="_69__123Graph_ECHART_4" hidden="1">#REF!</definedName>
    <definedName name="_7__123Graph_ACHART_1" hidden="1">#REF!</definedName>
    <definedName name="_7__123Graph_BCHART_3" hidden="1">#REF!</definedName>
    <definedName name="_70__123Graph_CCHART_2" hidden="1">#REF!</definedName>
    <definedName name="_700data">#REF!</definedName>
    <definedName name="_700hdr">#REF!</definedName>
    <definedName name="_710data">#REF!</definedName>
    <definedName name="_710hdr">#REF!</definedName>
    <definedName name="_77__123Graph_CCHART_3" hidden="1">#REF!</definedName>
    <definedName name="_77__123Graph_LBL_ACHART_1" hidden="1">#REF!</definedName>
    <definedName name="_78__123Graph_DCHART_2" hidden="1">#REF!</definedName>
    <definedName name="_79__123Graph_DCHART_2" hidden="1">#REF!</definedName>
    <definedName name="_793HISTORY">#REF!</definedName>
    <definedName name="_798ytd">#REF!</definedName>
    <definedName name="_8__123Graph_ACHART_3" hidden="1">#REF!</definedName>
    <definedName name="_8__123Graph_BCHART_3" hidden="1">#REF!</definedName>
    <definedName name="_8__123Graph_BCHART_4" hidden="1">#REF!</definedName>
    <definedName name="_8__123Graph_CCHART_1" hidden="1">#REF!</definedName>
    <definedName name="_80__123Graph_DCHART_3" hidden="1">#REF!</definedName>
    <definedName name="_800data">#REF!</definedName>
    <definedName name="_800hdr">#REF!</definedName>
    <definedName name="_800ytd">#REF!</definedName>
    <definedName name="_802ytd">#REF!</definedName>
    <definedName name="_804ytd">#REF!</definedName>
    <definedName name="_81__123Graph_DCHART_3" hidden="1">#REF!</definedName>
    <definedName name="_810data">#REF!</definedName>
    <definedName name="_810hdr">#REF!</definedName>
    <definedName name="_810ytd">#REF!</definedName>
    <definedName name="_812ytd">#REF!</definedName>
    <definedName name="_817ytd">#REF!</definedName>
    <definedName name="_818ytd">#REF!</definedName>
    <definedName name="_820data">#REF!</definedName>
    <definedName name="_820hdr">#REF!</definedName>
    <definedName name="_821ytd">#REF!</definedName>
    <definedName name="_822ytd">#REF!</definedName>
    <definedName name="_823ytd">#REF!</definedName>
    <definedName name="_824ytd">#REF!</definedName>
    <definedName name="_825ytd">#REF!</definedName>
    <definedName name="_830ytd">#REF!</definedName>
    <definedName name="_84__123Graph_ACHART_4" hidden="1">#REF!</definedName>
    <definedName name="_84__123Graph_CCHART_4" hidden="1">#REF!</definedName>
    <definedName name="_85__123Graph_LBL_ACHART_3" hidden="1">#REF!</definedName>
    <definedName name="_9__123Graph_ACHART_3" hidden="1">#REF!</definedName>
    <definedName name="_9__123Graph_CCHART_1" hidden="1">#REF!</definedName>
    <definedName name="_900data">#REF!</definedName>
    <definedName name="_900hdr">#REF!</definedName>
    <definedName name="_90DAY">#REF!</definedName>
    <definedName name="_91__123Graph_DCHART_1" hidden="1">#REF!</definedName>
    <definedName name="_910data">#REF!</definedName>
    <definedName name="_910hdr">#REF!</definedName>
    <definedName name="_920data">#REF!</definedName>
    <definedName name="_920hdr">#REF!</definedName>
    <definedName name="_93__123Graph_DCHART_4" hidden="1">#REF!</definedName>
    <definedName name="_93__123Graph_LBL_BCHART_1" hidden="1">#REF!</definedName>
    <definedName name="_96__123Graph_DCHART_4" hidden="1">#REF!</definedName>
    <definedName name="_96__123Graph_ECHART_1" hidden="1">#REF!</definedName>
    <definedName name="_97__123Graph_ECHART_1" hidden="1">#REF!</definedName>
    <definedName name="_98__123Graph_DCHART_2" hidden="1">#REF!</definedName>
    <definedName name="_999data">#REF!</definedName>
    <definedName name="_999hdr">#REF!</definedName>
    <definedName name="_A">#REF!</definedName>
    <definedName name="_ACT94">#REF!</definedName>
    <definedName name="_air1">#REF!</definedName>
    <definedName name="_AIR103118">#REF!</definedName>
    <definedName name="_AIR113018">#REF!</definedName>
    <definedName name="_air2">#REF!</definedName>
    <definedName name="_air3">#REF!</definedName>
    <definedName name="_air4">#REF!</definedName>
    <definedName name="_ALL4">#REF!</definedName>
    <definedName name="_Apr2">#N/A</definedName>
    <definedName name="_AQ362659">#REF!</definedName>
    <definedName name="_Aug2">#N/A</definedName>
    <definedName name="_Batch4NewRow">#REF!</definedName>
    <definedName name="_bdm.0265B141C2664CDBB5F03BA5B2440EDE.edm" hidden="1">#REF!</definedName>
    <definedName name="_bdm.19A012D11E8C4FFFA03E761C472395BA.edm" hidden="1">#REF!</definedName>
    <definedName name="_bdm.4A2169BDF3954ED6A860C7860FF093A0.edm" hidden="1">#REF!</definedName>
    <definedName name="_bdm.6C951E959AAD49A7B246ACE4894096BD.edm" hidden="1">#REF!</definedName>
    <definedName name="_bdm.EA55C7C9422B405BA01CBDD1A427B782.edm" hidden="1">#REF!</definedName>
    <definedName name="_CDK103118">#REF!</definedName>
    <definedName name="_CDK113018">#REF!</definedName>
    <definedName name="_DAT1">#REF!</definedName>
    <definedName name="_DAT10">#REF!</definedName>
    <definedName name="_DAT15">#REF!</definedName>
    <definedName name="_DAT17">#REF!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2">#N/A</definedName>
    <definedName name="_Delete_JE_Rows1">#REF!</definedName>
    <definedName name="_Delete_JE_Rows2">#REF!</definedName>
    <definedName name="_Delete_JE_Rows4">#REF!</definedName>
    <definedName name="_DIR1">#REF!</definedName>
    <definedName name="_DIR10">#REF!</definedName>
    <definedName name="_DIR11">#REF!</definedName>
    <definedName name="_DIR12">#REF!</definedName>
    <definedName name="_DIR2">#REF!</definedName>
    <definedName name="_DIR3">#REF!</definedName>
    <definedName name="_DIR4">#REF!</definedName>
    <definedName name="_DIR5">#REF!</definedName>
    <definedName name="_DIR6">#REF!</definedName>
    <definedName name="_DIR7">#REF!</definedName>
    <definedName name="_DIR8">#REF!</definedName>
    <definedName name="_DIR9">#REF!</definedName>
    <definedName name="_EMP1">#REF!</definedName>
    <definedName name="_EMP10">#REF!</definedName>
    <definedName name="_EMP11">#REF!</definedName>
    <definedName name="_EMP12">#REF!</definedName>
    <definedName name="_EMP2">#REF!</definedName>
    <definedName name="_EMP3">#REF!</definedName>
    <definedName name="_EMP4">#REF!</definedName>
    <definedName name="_EMP5">#REF!</definedName>
    <definedName name="_EMP6">#REF!</definedName>
    <definedName name="_EMP7">#REF!</definedName>
    <definedName name="_EMP8">#REF!</definedName>
    <definedName name="_EMP9">#REF!</definedName>
    <definedName name="_ESG07">#REF!</definedName>
    <definedName name="_ewp1">#REF!</definedName>
    <definedName name="_FACSNationalSUMytd">#REF!</definedName>
    <definedName name="_FACSPleasantonImpSUMytd">#REF!</definedName>
    <definedName name="_FACSPleasantonOPENSytd">#REF!</definedName>
    <definedName name="_FACSPleasantonSUMytd">#REF!</definedName>
    <definedName name="_FB103118">#REF!</definedName>
    <definedName name="_FB113018">#REF!</definedName>
    <definedName name="_Feb2">#N/A</definedName>
    <definedName name="_Fill" hidden="1">#REF!</definedName>
    <definedName name="_xlnm._FilterDatabase" localSheetId="9" hidden="1">'Cognos - CDK Contract Detail'!$A$1:$CP$1</definedName>
    <definedName name="_xlnm._FilterDatabase" localSheetId="14" hidden="1">'Cognos - Nov Billing CDK'!$A$1:$AB$631</definedName>
    <definedName name="_xlnm._FilterDatabase" localSheetId="0" hidden="1">'Nov Inv Recon'!$A$2:$AA$385</definedName>
    <definedName name="_xlnm._FilterDatabase" localSheetId="4" hidden="1">'Nov Vendor Inv Detail'!$A$1:$L$706</definedName>
    <definedName name="_xlnm._FilterDatabase" localSheetId="1" hidden="1">VictoryHeitrich!$A$2:$L$77</definedName>
    <definedName name="_FY11" hidden="1">{#N/A,#N/A,FALSE,"JUL-05";#N/A,#N/A,FALSE,"AUG-05";#N/A,#N/A,FALSE,"SEP-05";#N/A,#N/A,FALSE,"OCT-05";#N/A,#N/A,FALSE,"NOV-05";#N/A,#N/A,FALSE,"DEC-05";#N/A,#N/A,FALSE,"JAN-06";#N/A,#N/A,FALSE,"FEB-06";#N/A,#N/A,FALSE,"MAR-06";#N/A,#N/A,FALSE,"APR-06";#N/A,#N/A,FALSE,"MAY-06";#N/A,#N/A,FALSE,"JUN-06"}</definedName>
    <definedName name="_FY12" hidden="1">{#N/A,#N/A,FALSE,"Full Year";#N/A,#N/A,FALSE,"Current Month";#N/A,#N/A,FALSE,"YTD";#N/A,#N/A,FALSE,"Remainder";#N/A,#N/A,FALSE,"Full Year Variance";#N/A,#N/A,FALSE,"Quarterly Variance"}</definedName>
    <definedName name="_fy13">#REF!</definedName>
    <definedName name="_gh2" localSheetId="4" hidden="1">{"'100'!$A$1:$M$83"}</definedName>
    <definedName name="_gh2" hidden="1">{"'100'!$A$1:$M$83"}</definedName>
    <definedName name="_gl1">#REF!</definedName>
    <definedName name="_GSOPENSytd">#REF!</definedName>
    <definedName name="_GSSUMytd">#REF!</definedName>
    <definedName name="_hg2" localSheetId="4" hidden="1">{"'100'!$A$1:$M$83"}</definedName>
    <definedName name="_hg2" hidden="1">{"'100'!$A$1:$M$83"}</definedName>
    <definedName name="_Hide_Row4">#REF!</definedName>
    <definedName name="_HJH103118">#REF!</definedName>
    <definedName name="_HJH113018">#REF!</definedName>
    <definedName name="_hod2" localSheetId="4" hidden="1">{#N/A,#N/A,FALSE,"TS";#N/A,#N/A,FALSE,"Combo";#N/A,#N/A,FALSE,"FAIR";#N/A,#N/A,FALSE,"RBC";#N/A,#N/A,FALSE,"xxxx";#N/A,#N/A,FALSE,"A_D";#N/A,#N/A,FALSE,"WACC";#N/A,#N/A,FALSE,"DCF";#N/A,#N/A,FALSE,"LBO";#N/A,#N/A,FALSE,"AcqMults";#N/A,#N/A,FALSE,"CompMults"}</definedName>
    <definedName name="_hod2" hidden="1">{#N/A,#N/A,FALSE,"TS";#N/A,#N/A,FALSE,"Combo";#N/A,#N/A,FALSE,"FAIR";#N/A,#N/A,FALSE,"RBC";#N/A,#N/A,FALSE,"xxxx";#N/A,#N/A,FALSE,"A_D";#N/A,#N/A,FALSE,"WACC";#N/A,#N/A,FALSE,"DCF";#N/A,#N/A,FALSE,"LBO";#N/A,#N/A,FALSE,"AcqMults";#N/A,#N/A,FALSE,"CompMults"}</definedName>
    <definedName name="_ibo2" localSheetId="4" hidden="1">{#N/A,#N/A,FALSE,"Summary";#N/A,#N/A,FALSE,"Projections";#N/A,#N/A,FALSE,"Mkt Mults";#N/A,#N/A,FALSE,"DCF";#N/A,#N/A,FALSE,"Accr Dil";#N/A,#N/A,FALSE,"PIC LBO";#N/A,#N/A,FALSE,"MULT10_4";#N/A,#N/A,FALSE,"CBI LBO"}</definedName>
    <definedName name="_ibo2" hidden="1">{#N/A,#N/A,FALSE,"Summary";#N/A,#N/A,FALSE,"Projections";#N/A,#N/A,FALSE,"Mkt Mults";#N/A,#N/A,FALSE,"DCF";#N/A,#N/A,FALSE,"Accr Dil";#N/A,#N/A,FALSE,"PIC LBO";#N/A,#N/A,FALSE,"MULT10_4";#N/A,#N/A,FALSE,"CBI LBO"}</definedName>
    <definedName name="_ImplementationSUMytd">#REF!</definedName>
    <definedName name="_Jan2">#N/A</definedName>
    <definedName name="_JE_Data1">#REF!</definedName>
    <definedName name="_JE_Data2">#REF!</definedName>
    <definedName name="_JE_Data4">#REF!</definedName>
    <definedName name="_JE_Population4">#REF!</definedName>
    <definedName name="_JE1">#REF!</definedName>
    <definedName name="_JE2">#REF!</definedName>
    <definedName name="_JE3">#REF!</definedName>
    <definedName name="_JE4">#REF!</definedName>
    <definedName name="_JE5">#REF!</definedName>
    <definedName name="_JE6">#REF!</definedName>
    <definedName name="_JE7">#REF!</definedName>
    <definedName name="_jeform_">#REF!</definedName>
    <definedName name="_JUN_TOT_INV">#REF!</definedName>
    <definedName name="_Jun2">#N/A</definedName>
    <definedName name="_JV_PRINT_AREA">#REF!</definedName>
    <definedName name="_Key1" hidden="1">#REF!</definedName>
    <definedName name="_Key2" hidden="1">#REF!</definedName>
    <definedName name="_MA_NSE">#REF!</definedName>
    <definedName name="_MACROS">#REF!</definedName>
    <definedName name="_Mar2">#N/A</definedName>
    <definedName name="_marketingytd">#REF!</definedName>
    <definedName name="_May2">#N/A</definedName>
    <definedName name="_MCI">#REF!</definedName>
    <definedName name="_NationalImpSUMytd">#REF!</definedName>
    <definedName name="_Nov2">#N/A</definedName>
    <definedName name="_NPC">#REF!</definedName>
    <definedName name="_NSE">#REF!</definedName>
    <definedName name="_Oct2">#N/A</definedName>
    <definedName name="_ODBCDATASOURCE6">#REF!</definedName>
    <definedName name="_Order1" hidden="1">0</definedName>
    <definedName name="_Order2" hidden="1">255</definedName>
    <definedName name="_p120" localSheetId="4"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_p120"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_Parse_In" hidden="1">#REF!</definedName>
    <definedName name="_Parse_Out" hidden="1">#REF!</definedName>
    <definedName name="_PC2000">#REF!</definedName>
    <definedName name="_PG1">#REF!</definedName>
    <definedName name="_PG2">#REF!</definedName>
    <definedName name="_PORTILLO">#REF!</definedName>
    <definedName name="_POSTERRORSTOPUSP16">#REF!</definedName>
    <definedName name="_PR1">#REF!</definedName>
    <definedName name="_PR2">#REF!</definedName>
    <definedName name="_PR3">#REF!</definedName>
    <definedName name="_PR4">#REF!</definedName>
    <definedName name="_PRE1">#REF!</definedName>
    <definedName name="_PRE2">#REF!</definedName>
    <definedName name="_PRE3">#REF!</definedName>
    <definedName name="_PRE4">#REF!</definedName>
    <definedName name="_PRT1">#REF!</definedName>
    <definedName name="_Q1">#REF!</definedName>
    <definedName name="_Q2">#REF!</definedName>
    <definedName name="_Q3">#REF!</definedName>
    <definedName name="_Q4">#REF!</definedName>
    <definedName name="_Regression_Int" hidden="1">1</definedName>
    <definedName name="_rod1" localSheetId="4" hidden="1">{#N/A,#N/A,FALSE,"Projections";#N/A,#N/A,FALSE,"Multiples Valuation";#N/A,#N/A,FALSE,"LBO";#N/A,#N/A,FALSE,"Multiples_Sensitivity";#N/A,#N/A,FALSE,"Summary"}</definedName>
    <definedName name="_rod1" hidden="1">{#N/A,#N/A,FALSE,"Projections";#N/A,#N/A,FALSE,"Multiples Valuation";#N/A,#N/A,FALSE,"LBO";#N/A,#N/A,FALSE,"Multiples_Sensitivity";#N/A,#N/A,FALSE,"Summary"}</definedName>
    <definedName name="_sa1">#REF!</definedName>
    <definedName name="_sa2">#REF!</definedName>
    <definedName name="_SANationalSUMytdLangenwalter">#REF!</definedName>
    <definedName name="_SANationalSUMytdMachado">#REF!</definedName>
    <definedName name="_se2">#REF!</definedName>
    <definedName name="_Sep2">#N/A</definedName>
    <definedName name="_SETOFBOOKSID1">#REF!</definedName>
    <definedName name="_sm1">#REF!</definedName>
    <definedName name="_sm2">#REF!</definedName>
    <definedName name="_sm3">#REF!</definedName>
    <definedName name="_Sort" hidden="1">#REF!</definedName>
    <definedName name="_SUM1">#REF!</definedName>
    <definedName name="_SUMGSandWalMart">#REF!</definedName>
    <definedName name="_t2" localSheetId="4" hidden="1">{#N/A,#N/A,FALSE,"Assessment";#N/A,#N/A,FALSE,"Staffing";#N/A,#N/A,FALSE,"Hires";#N/A,#N/A,FALSE,"Assumptions"}</definedName>
    <definedName name="_t2" hidden="1">{#N/A,#N/A,FALSE,"Assessment";#N/A,#N/A,FALSE,"Staffing";#N/A,#N/A,FALSE,"Hires";#N/A,#N/A,FALSE,"Assumptions"}</definedName>
    <definedName name="_t3" localSheetId="4" hidden="1">{#N/A,#N/A,FALSE,"Assessment";#N/A,#N/A,FALSE,"Staffing";#N/A,#N/A,FALSE,"Hires";#N/A,#N/A,FALSE,"Assumptions"}</definedName>
    <definedName name="_t3" hidden="1">{#N/A,#N/A,FALSE,"Assessment";#N/A,#N/A,FALSE,"Staffing";#N/A,#N/A,FALSE,"Hires";#N/A,#N/A,FALSE,"Assumptions"}</definedName>
    <definedName name="_t4" localSheetId="4" hidden="1">{#N/A,#N/A,FALSE,"Assessment";#N/A,#N/A,FALSE,"Staffing";#N/A,#N/A,FALSE,"Hires";#N/A,#N/A,FALSE,"Assumptions"}</definedName>
    <definedName name="_t4" hidden="1">{#N/A,#N/A,FALSE,"Assessment";#N/A,#N/A,FALSE,"Staffing";#N/A,#N/A,FALSE,"Hires";#N/A,#N/A,FALSE,"Assumptions"}</definedName>
    <definedName name="_TD2">#REF!</definedName>
    <definedName name="_TD3">#REF!</definedName>
    <definedName name="_Templateytd">#REF!</definedName>
    <definedName name="_TOP3">#REF!</definedName>
    <definedName name="_TotalFACSDLSUMytd">#REF!</definedName>
    <definedName name="_TotalFACSDLwithImpSUMytd">#REF!</definedName>
    <definedName name="_TotalFACSSUMytd">#REF!</definedName>
    <definedName name="_UNTITLED">#REF!</definedName>
    <definedName name="_UPPER_DESC">#REF!</definedName>
    <definedName name="_V1" localSheetId="4"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_V1"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_V11" localSheetId="4"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_V11"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_WALMART">#REF!</definedName>
    <definedName name="_WGPSEBTSSUMytd">#REF!</definedName>
    <definedName name="_WGPSOPENSytd">#REF!</definedName>
    <definedName name="_X1111" localSheetId="4"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_X1111"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a" localSheetId="4" hidden="1">{"'Hardware Req.'!$A$1:$C$23"}</definedName>
    <definedName name="a" hidden="1">{"'Hardware Req.'!$A$1:$C$23"}</definedName>
    <definedName name="aa" localSheetId="4" hidden="1">{"summary",#N/A,FALSE,"Revenue Strat Plan"}</definedName>
    <definedName name="aa" hidden="1">{"summary",#N/A,FALSE,"Revenue Strat Plan"}</definedName>
    <definedName name="aaa" localSheetId="4" hidden="1">{#N/A,#N/A,FALSE,"Projections";#N/A,#N/A,FALSE,"Multiples Valuation";#N/A,#N/A,FALSE,"LBO";#N/A,#N/A,FALSE,"Multiples_Sensitivity";#N/A,#N/A,FALSE,"Summary"}</definedName>
    <definedName name="aaa" hidden="1">{#N/A,#N/A,FALSE,"Projections";#N/A,#N/A,FALSE,"Multiples Valuation";#N/A,#N/A,FALSE,"LBO";#N/A,#N/A,FALSE,"Multiples_Sensitivity";#N/A,#N/A,FALSE,"Summary"}</definedName>
    <definedName name="abc" localSheetId="4" hidden="1">{#N/A,#N/A,FALSE,"Projections";#N/A,#N/A,FALSE,"Multiples Valuation";#N/A,#N/A,FALSE,"LBO";#N/A,#N/A,FALSE,"Multiples_Sensitivity";#N/A,#N/A,FALSE,"Summary"}</definedName>
    <definedName name="abc" hidden="1">{#N/A,#N/A,FALSE,"Projections";#N/A,#N/A,FALSE,"Multiples Valuation";#N/A,#N/A,FALSE,"LBO";#N/A,#N/A,FALSE,"Multiples_Sensitivity";#N/A,#N/A,FALSE,"Summary"}</definedName>
    <definedName name="abc.abc" localSheetId="4" hidden="1">{"cash flow - FY02",#N/A,FALSE,"P &amp; L";"cash flow - FY03",#N/A,FALSE,"P &amp; L"}</definedName>
    <definedName name="abc.abc" hidden="1">{"cash flow - FY02",#N/A,FALSE,"P &amp; L";"cash flow - FY03",#N/A,FALSE,"P &amp; L"}</definedName>
    <definedName name="abnm">#REF!</definedName>
    <definedName name="ACC_401K">#REF!</definedName>
    <definedName name="ACC_401K_LOAN">#REF!</definedName>
    <definedName name="ACC_COMP_SAL">#REF!</definedName>
    <definedName name="acc_Dep_Emp">#REF!</definedName>
    <definedName name="ACC_DESC">#REF!</definedName>
    <definedName name="ACC_EMP_BALLY">#REF!</definedName>
    <definedName name="ACC_EMP_DEF">#REF!</definedName>
    <definedName name="ACC_EMP_DENTAL">#REF!</definedName>
    <definedName name="ACC_EMP_DEP">#REF!</definedName>
    <definedName name="ACC_EMP_HCPLUS">#REF!</definedName>
    <definedName name="ACC_EMP_LIFE">#REF!</definedName>
    <definedName name="ACC_EMP_LTD">#REF!</definedName>
    <definedName name="ACC_EMP_MED">#REF!</definedName>
    <definedName name="ACC_EMP_PASS">#REF!</definedName>
    <definedName name="ACC_EMP_PERS_AC">#REF!</definedName>
    <definedName name="ACC_EMP_VIS">#REF!</definedName>
    <definedName name="ACC_FICA">#REF!</definedName>
    <definedName name="ACC_MISC_GRP">#REF!</definedName>
    <definedName name="ACC_SALE_USE">#REF!</definedName>
    <definedName name="ACC_SALES_TAX">#REF!</definedName>
    <definedName name="ACC_TAX_FICA">#REF!</definedName>
    <definedName name="ACC_TAX_FUTA">#REF!</definedName>
    <definedName name="ACC_TAX_SUI">#REF!</definedName>
    <definedName name="ACC_WH_CITY">#REF!</definedName>
    <definedName name="ACC_WH_FED">#REF!</definedName>
    <definedName name="ACC_WH_FICA">#REF!</definedName>
    <definedName name="ACC_WH_STATE">#REF!</definedName>
    <definedName name="ACCOUNTEDPERIODTYPE1">#REF!</definedName>
    <definedName name="ACCOUNTEDPERIODTYPE16">#REF!</definedName>
    <definedName name="ACCOUNTEDPERIODTYPE6">#REF!</definedName>
    <definedName name="accounting" localSheetId="4" hidden="1">{#N/A,#N/A,FALSE,"Full Year";#N/A,#N/A,FALSE,"Current Month";#N/A,#N/A,FALSE,"Remainder";#N/A,#N/A,FALSE,"Quarterly Variance";#N/A,#N/A,FALSE,"YTD";#N/A,#N/A,FALSE,"Full Year Variance";#N/A,#N/A,FALSE,"Growth";#N/A,#N/A,FALSE,"Risk Adj Summary";#N/A,#N/A,FALSE,"Selling";#N/A,#N/A,FALSE,"Setup";#N/A,#N/A,FALSE,"CM Comp"}</definedName>
    <definedName name="accounting" hidden="1">{#N/A,#N/A,FALSE,"Full Year";#N/A,#N/A,FALSE,"Current Month";#N/A,#N/A,FALSE,"Remainder";#N/A,#N/A,FALSE,"Quarterly Variance";#N/A,#N/A,FALSE,"YTD";#N/A,#N/A,FALSE,"Full Year Variance";#N/A,#N/A,FALSE,"Growth";#N/A,#N/A,FALSE,"Risk Adj Summary";#N/A,#N/A,FALSE,"Selling";#N/A,#N/A,FALSE,"Setup";#N/A,#N/A,FALSE,"CM Comp"}</definedName>
    <definedName name="ACCOUNTSEGMENT1">#REF!</definedName>
    <definedName name="ACCTS_REC">#REF!</definedName>
    <definedName name="Acquisitions">#REF!</definedName>
    <definedName name="ACRL">#REF!</definedName>
    <definedName name="ACT">#REF!</definedName>
    <definedName name="actbase">#REF!</definedName>
    <definedName name="ACTDATA">#REF!</definedName>
    <definedName name="activations" localSheetId="4" hidden="1">{"'Hardware Req.'!$A$1:$C$23"}</definedName>
    <definedName name="activations" hidden="1">{"'Hardware Req.'!$A$1:$C$23"}</definedName>
    <definedName name="activity">#REF!</definedName>
    <definedName name="activity1">#REF!</definedName>
    <definedName name="ACTUAL_MA">#REF!</definedName>
    <definedName name="ADDS">#REF!</definedName>
    <definedName name="adm">#REF!</definedName>
    <definedName name="Admin">#REF!</definedName>
    <definedName name="ADMINSTRATION_w_o_BCampbell">#REF!</definedName>
    <definedName name="AdminTIPS">#REF!</definedName>
    <definedName name="ADP_DATA_COLLECTOR">#REF!</definedName>
    <definedName name="ADP_Internationals_Master">#REF!</definedName>
    <definedName name="ADP_Renters_Master">#REF!</definedName>
    <definedName name="ADP_SKEW">#REF!</definedName>
    <definedName name="ADPCC">#REF!</definedName>
    <definedName name="ae">#REF!</definedName>
    <definedName name="ae_current">#REF!</definedName>
    <definedName name="ae_plan">#REF!</definedName>
    <definedName name="AECost">70000</definedName>
    <definedName name="AG">#REF!</definedName>
    <definedName name="Agents">#REF!</definedName>
    <definedName name="AGICOMP">#REF!</definedName>
    <definedName name="AGIF_F">#REF!</definedName>
    <definedName name="AGIL_H">#REF!</definedName>
    <definedName name="AGISOFT">#REF!</definedName>
    <definedName name="AGWAY">#REF!</definedName>
    <definedName name="AIG">#REF!</definedName>
    <definedName name="Air">#REF!</definedName>
    <definedName name="ALL">#REF!</definedName>
    <definedName name="ALLIANCE">#REF!</definedName>
    <definedName name="ALLOC">#REF!</definedName>
    <definedName name="ALLOW">#REF!</definedName>
    <definedName name="AllPax">#REF!</definedName>
    <definedName name="AllRequestSummed">#REF!</definedName>
    <definedName name="ALS">#REF!</definedName>
    <definedName name="Alt_Dist">#REF!</definedName>
    <definedName name="American_Standard">#REF!</definedName>
    <definedName name="amy" localSheetId="4" hidden="1">{#N/A,#N/A,FALSE,"AD_Purchase";#N/A,#N/A,FALSE,"Credit";#N/A,#N/A,FALSE,"PF Acquisition";#N/A,#N/A,FALSE,"PF Offering"}</definedName>
    <definedName name="amy" hidden="1">{#N/A,#N/A,FALSE,"AD_Purchase";#N/A,#N/A,FALSE,"Credit";#N/A,#N/A,FALSE,"PF Acquisition";#N/A,#N/A,FALSE,"PF Offering"}</definedName>
    <definedName name="amy.mistake" localSheetId="4" hidden="1">{#N/A,#N/A,FALSE,"AD_Purchase";#N/A,#N/A,FALSE,"Credit";#N/A,#N/A,FALSE,"PF Acquisition";#N/A,#N/A,FALSE,"PF Offering"}</definedName>
    <definedName name="amy.mistake" hidden="1">{#N/A,#N/A,FALSE,"AD_Purchase";#N/A,#N/A,FALSE,"Credit";#N/A,#N/A,FALSE,"PF Acquisition";#N/A,#N/A,FALSE,"PF Offering"}</definedName>
    <definedName name="ANALYSIS">#REF!</definedName>
    <definedName name="ANCILLARY_EXPENSE">#REF!</definedName>
    <definedName name="ANCILLARY_REPORTS">#REF!</definedName>
    <definedName name="Andover_Newton">#REF!</definedName>
    <definedName name="Annual">#REF!</definedName>
    <definedName name="annualtrans">11800</definedName>
    <definedName name="ANO_ANTERIOR">#REF!</definedName>
    <definedName name="anscount" hidden="1">1</definedName>
    <definedName name="AP">#REF!</definedName>
    <definedName name="AP_">#REF!</definedName>
    <definedName name="AP_ACCRUALS">#REF!</definedName>
    <definedName name="AP_TRADE">#REF!</definedName>
    <definedName name="APII">#REF!</definedName>
    <definedName name="APII99">#REF!</definedName>
    <definedName name="Application_Upgrades">#REF!,#REF!,#REF!</definedName>
    <definedName name="APPSUSERNAME1">#REF!</definedName>
    <definedName name="APPSUSERNAME16">#REF!</definedName>
    <definedName name="APPSUSERNAME6">#REF!</definedName>
    <definedName name="April">#N/A</definedName>
    <definedName name="aqqq" localSheetId="4" hidden="1">{#N/A,#N/A,FALSE,"BrkgCover";#N/A,#N/A,FALSE,"brrevex";#N/A,#N/A,FALSE,"brbkbo";#N/A,#N/A,FALSE,"NOISum";#N/A,#N/A,FALSE,"inst";#N/A,#N/A,FALSE,"164";#N/A,#N/A,FALSE,"167";#N/A,#N/A,FALSE,"168";#N/A,#N/A,FALSE,"169";#N/A,#N/A,FALSE,"180";#N/A,#N/A,FALSE,"181";#N/A,#N/A,FALSE,"182";#N/A,#N/A,FALSE,"194";#N/A,#N/A,FALSE,"199";#N/A,#N/A,FALSE,"178-9";#N/A,#N/A,FALSE,"Heads";#N/A,#N/A,FALSE,"Capital"}</definedName>
    <definedName name="aqqq" hidden="1">{#N/A,#N/A,FALSE,"BrkgCover";#N/A,#N/A,FALSE,"brrevex";#N/A,#N/A,FALSE,"brbkbo";#N/A,#N/A,FALSE,"NOISum";#N/A,#N/A,FALSE,"inst";#N/A,#N/A,FALSE,"164";#N/A,#N/A,FALSE,"167";#N/A,#N/A,FALSE,"168";#N/A,#N/A,FALSE,"169";#N/A,#N/A,FALSE,"180";#N/A,#N/A,FALSE,"181";#N/A,#N/A,FALSE,"182";#N/A,#N/A,FALSE,"194";#N/A,#N/A,FALSE,"199";#N/A,#N/A,FALSE,"178-9";#N/A,#N/A,FALSE,"Heads";#N/A,#N/A,FALSE,"Capital"}</definedName>
    <definedName name="AR">#REF!</definedName>
    <definedName name="AR_116">#REF!</definedName>
    <definedName name="AR_OTHER">#REF!</definedName>
    <definedName name="ARINP">#REF!</definedName>
    <definedName name="armcannualtrans">5730</definedName>
    <definedName name="armcdlrs">4</definedName>
    <definedName name="armcmotrans">25</definedName>
    <definedName name="armcpct">0.6</definedName>
    <definedName name="armctransfee">8</definedName>
    <definedName name="ARTWORK">#REF!</definedName>
    <definedName name="as">#REF!</definedName>
    <definedName name="AS2DocOpenMode" hidden="1">"AS2DocumentEdit"</definedName>
    <definedName name="AS2NamedRange" hidden="1">6</definedName>
    <definedName name="AS2ReportLS" hidden="1">2</definedName>
    <definedName name="AS2StaticLS" hidden="1">#REF!</definedName>
    <definedName name="AS2SyncStepLS" hidden="1">0</definedName>
    <definedName name="AS2VersionLS" hidden="1">300</definedName>
    <definedName name="asd" hidden="1">#REF!</definedName>
    <definedName name="asdf" localSheetId="4" hidden="1">{#N/A,#N/A,FALSE,"Full Year";#N/A,#N/A,FALSE,"Current Month";#N/A,#N/A,FALSE,"YTD";#N/A,#N/A,FALSE,"Remainder";#N/A,#N/A,FALSE,"Full Year Variance";#N/A,#N/A,FALSE,"Quarterly Variance"}</definedName>
    <definedName name="asdf" hidden="1">{#N/A,#N/A,FALSE,"Full Year";#N/A,#N/A,FALSE,"Current Month";#N/A,#N/A,FALSE,"YTD";#N/A,#N/A,FALSE,"Remainder";#N/A,#N/A,FALSE,"Full Year Variance";#N/A,#N/A,FALSE,"Quarterly Variance"}</definedName>
    <definedName name="asdfasdfasd">#REF!</definedName>
    <definedName name="asdfasdfasdf">#REF!</definedName>
    <definedName name="ASG">#REF!</definedName>
    <definedName name="ASIAPAC">#REF!</definedName>
    <definedName name="ASIAPACTITLES">#REF!</definedName>
    <definedName name="Aspect_Technology">#REF!</definedName>
    <definedName name="ASSA">#N/A</definedName>
    <definedName name="Assets_having_diff_mthly_amort_amt_do_not_delete">#REF!</definedName>
    <definedName name="Assets_that_have_diff_Mthly_Amort_Amt">#REF!</definedName>
    <definedName name="Assets_that_have_diff_Mthly_Amort_Amt__do_not_delete_">#REF!</definedName>
    <definedName name="ATLANTA">#REF!</definedName>
    <definedName name="Attrition" localSheetId="4" hidden="1">{#N/A,#N/A,FALSE,"BrkgCover";#N/A,#N/A,FALSE,"brrevex";#N/A,#N/A,FALSE,"brbkbo";#N/A,#N/A,FALSE,"NOISum";#N/A,#N/A,FALSE,"inst";#N/A,#N/A,FALSE,"164";#N/A,#N/A,FALSE,"167";#N/A,#N/A,FALSE,"168";#N/A,#N/A,FALSE,"169";#N/A,#N/A,FALSE,"180";#N/A,#N/A,FALSE,"181";#N/A,#N/A,FALSE,"182";#N/A,#N/A,FALSE,"194";#N/A,#N/A,FALSE,"199";#N/A,#N/A,FALSE,"178-9";#N/A,#N/A,FALSE,"Heads";#N/A,#N/A,FALSE,"Capital"}</definedName>
    <definedName name="Attrition" hidden="1">{#N/A,#N/A,FALSE,"BrkgCover";#N/A,#N/A,FALSE,"brrevex";#N/A,#N/A,FALSE,"brbkbo";#N/A,#N/A,FALSE,"NOISum";#N/A,#N/A,FALSE,"inst";#N/A,#N/A,FALSE,"164";#N/A,#N/A,FALSE,"167";#N/A,#N/A,FALSE,"168";#N/A,#N/A,FALSE,"169";#N/A,#N/A,FALSE,"180";#N/A,#N/A,FALSE,"181";#N/A,#N/A,FALSE,"182";#N/A,#N/A,FALSE,"194";#N/A,#N/A,FALSE,"199";#N/A,#N/A,FALSE,"178-9";#N/A,#N/A,FALSE,"Heads";#N/A,#N/A,FALSE,"Capital"}</definedName>
    <definedName name="AuctionMoTrans">150</definedName>
    <definedName name="aug">#REF!</definedName>
    <definedName name="August">#N/A</definedName>
    <definedName name="augusta">#REF!</definedName>
    <definedName name="AUNITS">#REF!</definedName>
    <definedName name="AutoCollatedPackets">#REF!</definedName>
    <definedName name="Automation">#REF!</definedName>
    <definedName name="AUTONET_INSTALLS">#REF!</definedName>
    <definedName name="AUTONET_NORMAL">#REF!</definedName>
    <definedName name="AUTONET_PORT">#REF!</definedName>
    <definedName name="AUTONET_WATS">#REF!</definedName>
    <definedName name="AVAYA_BY_ASSET_DESCRIPTION">#REF!</definedName>
    <definedName name="Average_Postage">#REF!</definedName>
    <definedName name="avg_ex_rate">#REF!</definedName>
    <definedName name="AVSAnalysis">#REF!</definedName>
    <definedName name="ax" localSheetId="4" hidden="1">{#N/A,#N/A,FALSE,"Full Year";#N/A,#N/A,FALSE,"Current Month";#N/A,#N/A,FALSE,"Remainder";#N/A,#N/A,FALSE,"Quarterly Variance";#N/A,#N/A,FALSE,"YTD";#N/A,#N/A,FALSE,"Full Year Variance";#N/A,#N/A,FALSE,"Growth";#N/A,#N/A,FALSE,"Risk Adj Summary";#N/A,#N/A,FALSE,"Selling";#N/A,#N/A,FALSE,"Setup";#N/A,#N/A,FALSE,"CM Comp"}</definedName>
    <definedName name="ax" hidden="1">{#N/A,#N/A,FALSE,"Full Year";#N/A,#N/A,FALSE,"Current Month";#N/A,#N/A,FALSE,"Remainder";#N/A,#N/A,FALSE,"Quarterly Variance";#N/A,#N/A,FALSE,"YTD";#N/A,#N/A,FALSE,"Full Year Variance";#N/A,#N/A,FALSE,"Growth";#N/A,#N/A,FALSE,"Risk Adj Summary";#N/A,#N/A,FALSE,"Selling";#N/A,#N/A,FALSE,"Setup";#N/A,#N/A,FALSE,"CM Comp"}</definedName>
    <definedName name="B" hidden="1">#REF!</definedName>
    <definedName name="backlog" localSheetId="4" hidden="1">{"NATotRev",#N/A,FALSE,"NA";"NAProcRev",#N/A,FALSE,"NA";"NAProcPRHR",#N/A,FALSE,"NA";"NAProcTAMS",#N/A,FALSE,"NA";"NAProcNewTot",#N/A,FALSE,"NA";"NASalesStarts",#N/A,FALSE,"NA";"NALoss",#N/A,FALSE,"NA";"NASUYrend",#N/A,FALSE,"NA";"NAclients",#N/A,FALSE,"NA";"NAinput",#N/A,FALSE,"NA";"NAclients",#N/A,FALSE,"NA"}</definedName>
    <definedName name="backlog" hidden="1">{"NATotRev",#N/A,FALSE,"NA";"NAProcRev",#N/A,FALSE,"NA";"NAProcPRHR",#N/A,FALSE,"NA";"NAProcTAMS",#N/A,FALSE,"NA";"NAProcNewTot",#N/A,FALSE,"NA";"NASalesStarts",#N/A,FALSE,"NA";"NALoss",#N/A,FALSE,"NA";"NASUYrend",#N/A,FALSE,"NA";"NAclients",#N/A,FALSE,"NA";"NAinput",#N/A,FALSE,"NA";"NAclients",#N/A,FALSE,"NA"}</definedName>
    <definedName name="Backlog_0409">#REF!</definedName>
    <definedName name="backlog_0411">#REF!</definedName>
    <definedName name="bak" localSheetId="4" hidden="1">{"MATotrev",#N/A,FALSE,"MA";"MAProcRev",#N/A,FALSE,"MA";"MAProcPRHR",#N/A,FALSE,"MA";"MAProcTAMS",#N/A,FALSE,"MA";"MAProcNewTot",#N/A,FALSE,"MA";"MASalesStarts",#N/A,FALSE,"MA";"MALoss",#N/A,FALSE,"MA";"MASUYRend",#N/A,FALSE,"MA";"MAClientno",#N/A,FALSE,"MA";"MAinput",#N/A,FALSE,"MA";"MAClientno",#N/A,FALSE,"MA"}</definedName>
    <definedName name="bak" hidden="1">{"MATotrev",#N/A,FALSE,"MA";"MAProcRev",#N/A,FALSE,"MA";"MAProcPRHR",#N/A,FALSE,"MA";"MAProcTAMS",#N/A,FALSE,"MA";"MAProcNewTot",#N/A,FALSE,"MA";"MASalesStarts",#N/A,FALSE,"MA";"MALoss",#N/A,FALSE,"MA";"MASUYRend",#N/A,FALSE,"MA";"MAClientno",#N/A,FALSE,"MA";"MAinput",#N/A,FALSE,"MA";"MAClientno",#N/A,FALSE,"MA"}</definedName>
    <definedName name="Banking">#REF!</definedName>
    <definedName name="baselineOSS">#REF!</definedName>
    <definedName name="BASEOSS">#REF!</definedName>
    <definedName name="BASIC_DATA">#REF!</definedName>
    <definedName name="Bay_Networks">#REF!</definedName>
    <definedName name="bb" localSheetId="4" hidden="1">{#N/A,#N/A,FALSE,"Full Year";#N/A,#N/A,FALSE,"Current Month";#N/A,#N/A,FALSE,"YTD";#N/A,#N/A,FALSE,"Remainder";#N/A,#N/A,FALSE,"Full Year Variance";#N/A,#N/A,FALSE,"Quarterly Variance"}</definedName>
    <definedName name="bb" hidden="1">{#N/A,#N/A,FALSE,"Full Year";#N/A,#N/A,FALSE,"Current Month";#N/A,#N/A,FALSE,"YTD";#N/A,#N/A,FALSE,"Remainder";#N/A,#N/A,FALSE,"Full Year Variance";#N/A,#N/A,FALSE,"Quarterly Variance"}</definedName>
    <definedName name="BB2_">#REF!</definedName>
    <definedName name="BB3_">#REF!</definedName>
    <definedName name="BCBS">#REF!</definedName>
    <definedName name="BDAssets">#REF!</definedName>
    <definedName name="BDENTRY">#REF!</definedName>
    <definedName name="Bear" localSheetId="4" hidden="1">{#N/A,#N/A,FALSE,"TS";#N/A,#N/A,FALSE,"Combo";#N/A,#N/A,FALSE,"FAIR";#N/A,#N/A,FALSE,"RBC";#N/A,#N/A,FALSE,"xxxx";#N/A,#N/A,FALSE,"A_D";#N/A,#N/A,FALSE,"WACC";#N/A,#N/A,FALSE,"DCF";#N/A,#N/A,FALSE,"LBO";#N/A,#N/A,FALSE,"AcqMults";#N/A,#N/A,FALSE,"CompMults"}</definedName>
    <definedName name="Bear" hidden="1">{#N/A,#N/A,FALSE,"TS";#N/A,#N/A,FALSE,"Combo";#N/A,#N/A,FALSE,"FAIR";#N/A,#N/A,FALSE,"RBC";#N/A,#N/A,FALSE,"xxxx";#N/A,#N/A,FALSE,"A_D";#N/A,#N/A,FALSE,"WACC";#N/A,#N/A,FALSE,"DCF";#N/A,#N/A,FALSE,"LBO";#N/A,#N/A,FALSE,"AcqMults";#N/A,#N/A,FALSE,"CompMults"}</definedName>
    <definedName name="bear2" localSheetId="4" hidden="1">{#N/A,#N/A,FALSE,"TS";#N/A,#N/A,FALSE,"Combo";#N/A,#N/A,FALSE,"FAIR";#N/A,#N/A,FALSE,"RBC";#N/A,#N/A,FALSE,"xxxx";#N/A,#N/A,FALSE,"A_D";#N/A,#N/A,FALSE,"WACC";#N/A,#N/A,FALSE,"DCF";#N/A,#N/A,FALSE,"LBO";#N/A,#N/A,FALSE,"AcqMults";#N/A,#N/A,FALSE,"CompMults"}</definedName>
    <definedName name="bear2" hidden="1">{#N/A,#N/A,FALSE,"TS";#N/A,#N/A,FALSE,"Combo";#N/A,#N/A,FALSE,"FAIR";#N/A,#N/A,FALSE,"RBC";#N/A,#N/A,FALSE,"xxxx";#N/A,#N/A,FALSE,"A_D";#N/A,#N/A,FALSE,"WACC";#N/A,#N/A,FALSE,"DCF";#N/A,#N/A,FALSE,"LBO";#N/A,#N/A,FALSE,"AcqMults";#N/A,#N/A,FALSE,"CompMults"}</definedName>
    <definedName name="BEG_PROV">#REF!</definedName>
    <definedName name="BEGBAL">#REF!</definedName>
    <definedName name="BEGIN_INSERT">#REF!</definedName>
    <definedName name="benefit">#REF!</definedName>
    <definedName name="BG_Del" hidden="1">15</definedName>
    <definedName name="BG_Ins" hidden="1">4</definedName>
    <definedName name="BG_Mod" hidden="1">6</definedName>
    <definedName name="billingfeed">#REF!</definedName>
    <definedName name="BIRM">#REF!</definedName>
    <definedName name="Blackbook_FYPlan_Oss">#REF!</definedName>
    <definedName name="BLANK2">#REF!</definedName>
    <definedName name="BLANK3">#REF!</definedName>
    <definedName name="BLANK5">#REF!</definedName>
    <definedName name="BLANK6">#REF!</definedName>
    <definedName name="BLANK7">#REF!</definedName>
    <definedName name="BLGPPL">#REF!</definedName>
    <definedName name="BLPH1" hidden="1">#REF!</definedName>
    <definedName name="BLPH10" hidden="1">#REF!</definedName>
    <definedName name="BLPH18" hidden="1">#REF!</definedName>
    <definedName name="BLPH19" hidden="1">#REF!</definedName>
    <definedName name="BLPH2" hidden="1">#REF!</definedName>
    <definedName name="BLPH20" hidden="1">#REF!</definedName>
    <definedName name="BLPH21" hidden="1">#REF!</definedName>
    <definedName name="BLPH22" hidden="1">#REF!</definedName>
    <definedName name="BLPH23" hidden="1">#REF!</definedName>
    <definedName name="BLPH24" hidden="1">#REF!</definedName>
    <definedName name="BLPH25" hidden="1">#REF!</definedName>
    <definedName name="BLPH26" hidden="1">#REF!</definedName>
    <definedName name="BLPH3" hidden="1">#REF!</definedName>
    <definedName name="BLPH31" hidden="1">#REF!</definedName>
    <definedName name="BLPH32" hidden="1">#REF!</definedName>
    <definedName name="BLPH33" hidden="1">#REF!</definedName>
    <definedName name="BLPH34" hidden="1">#REF!</definedName>
    <definedName name="BLPH35" hidden="1">#REF!</definedName>
    <definedName name="BLPH4" hidden="1">#REF!</definedName>
    <definedName name="BLPH5" hidden="1">#REF!</definedName>
    <definedName name="BLPH6" hidden="1">#REF!</definedName>
    <definedName name="BLPH7" hidden="1">#REF!</definedName>
    <definedName name="BLPH8" hidden="1">#REF!</definedName>
    <definedName name="BLPH9" hidden="1">#REF!</definedName>
    <definedName name="BMW_DIMMAS">#REF!</definedName>
    <definedName name="BNE_MESSAGES_HIDDEN" hidden="1">#REF!</definedName>
    <definedName name="BNKREC">#REF!</definedName>
    <definedName name="BODPage1">#REF!</definedName>
    <definedName name="BODPage2">#REF!</definedName>
    <definedName name="BOND">#REF!</definedName>
    <definedName name="BONUS">#REF!</definedName>
    <definedName name="BORD">#REF!</definedName>
    <definedName name="BORDER1">#REF!</definedName>
    <definedName name="BORDER2">#REF!</definedName>
    <definedName name="BORDER3">#REF!</definedName>
    <definedName name="BORG">#REF!</definedName>
    <definedName name="BOSTON">#REF!</definedName>
    <definedName name="BOTTOMS">#REF!</definedName>
    <definedName name="BRASS00">#REF!</definedName>
    <definedName name="BRASS01">#REF!</definedName>
    <definedName name="bud1data">#REF!</definedName>
    <definedName name="bud1hdr">#REF!</definedName>
    <definedName name="BUDGETCURRENCYCODE1">#REF!</definedName>
    <definedName name="BUDGETDECIMALPLACES1">#REF!</definedName>
    <definedName name="BUDGETENDPERIODYEAR1">#REF!</definedName>
    <definedName name="BUDGETENTITYID1">#REF!</definedName>
    <definedName name="BUDGETGRAPHCORRESPONDING1">#REF!</definedName>
    <definedName name="BUDGETGRAPHINCACTUALS1">#REF!</definedName>
    <definedName name="BUDGETGRAPHINCBUDGETS1">#REF!</definedName>
    <definedName name="BUDGETGRAPHINCTITLES1">#REF!</definedName>
    <definedName name="BUDGETGRAPHINCVARIANCES1">#REF!</definedName>
    <definedName name="BUDGETGRAPHSTYLE1">#REF!</definedName>
    <definedName name="BUDGETHEADINGSBACKCOLOUR1">#REF!</definedName>
    <definedName name="BUDGETHEADINGSFORECOLOUR1">#REF!</definedName>
    <definedName name="BUDGETNAME1">#REF!</definedName>
    <definedName name="BUDGETORG1">#REF!</definedName>
    <definedName name="BUDGETORGFROZEN1">#REF!</definedName>
    <definedName name="BUDGETOUTPUTOPTION1">#REF!</definedName>
    <definedName name="BUDGETPASSWORDREQUIREDFLAG1">#REF!</definedName>
    <definedName name="BUDGETSHOWCRITERIASHEET1">#REF!</definedName>
    <definedName name="BUDGETSTARTPERIODSTARTDATE1">#REF!</definedName>
    <definedName name="BUDGETSTARTPERIODYEAR1">#REF!</definedName>
    <definedName name="BUDGETSTATUS1">#REF!</definedName>
    <definedName name="budgetsummary">#REF!</definedName>
    <definedName name="BUDGETTITLEBACKCOLOUR1">#REF!</definedName>
    <definedName name="BUDGETTITLEBORDERCOLOUR1">#REF!</definedName>
    <definedName name="BUDGETTITLEFORECOLOUR1">#REF!</definedName>
    <definedName name="BUDGETVALUESWIDTH1">#REF!</definedName>
    <definedName name="BUDGETVERSIONID1">#REF!</definedName>
    <definedName name="BUFFALO">#REF!</definedName>
    <definedName name="BUILD">#REF!</definedName>
    <definedName name="butt">#REF!</definedName>
    <definedName name="bvwrg" localSheetId="4"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bvwrg"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C_">#REF!</definedName>
    <definedName name="CALENDAR">#REF!</definedName>
    <definedName name="CAPITAL">#REF!</definedName>
    <definedName name="Cash_Rec">#REF!</definedName>
    <definedName name="Cat">#REF!</definedName>
    <definedName name="Catalog">#REF!</definedName>
    <definedName name="cawc" localSheetId="4"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cawc"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CC_REVENUE">#REF!</definedName>
    <definedName name="CDK">#REF!</definedName>
    <definedName name="CDP">#REF!</definedName>
    <definedName name="CENTER">#REF!</definedName>
    <definedName name="central">#REF!</definedName>
    <definedName name="CFTM">#REF!</definedName>
    <definedName name="CHAMP">#REF!</definedName>
    <definedName name="channel">#REF!</definedName>
    <definedName name="CHARLOTTE">#REF!</definedName>
    <definedName name="CHARTOFACCOUNTSID1">#REF!</definedName>
    <definedName name="CHARTOFACCOUNTSID16">#REF!</definedName>
    <definedName name="CHARTOFACCOUNTSID6">#REF!</definedName>
    <definedName name="check">#REF!</definedName>
    <definedName name="CHESAPEAKE">#REF!</definedName>
    <definedName name="Chiron_Norwood">#REF!</definedName>
    <definedName name="Chiron_Walpole">#REF!</definedName>
    <definedName name="Chock" localSheetId="4" hidden="1">{#N/A,#N/A,FALSE,"Nat Gas Chart";#N/A,#N/A,FALSE,"Diesel Chart";#N/A,#N/A,FALSE,"KC Wheat Chart";#N/A,#N/A,FALSE,"KC Midds Chart";#N/A,#N/A,FALSE,"KC Basis Chart";#N/A,#N/A,FALSE,"Minn Wheat Chart";#N/A,#N/A,FALSE,"Minn Midds Chart";#N/A,#N/A,FALSE,"Minn Basis Chart ";#N/A,#N/A,FALSE,"Chicago Wheat Chart";#N/A,#N/A,FALSE,"Chicago Midds Chart";#N/A,#N/A,FALSE,"Chicago Basis Chart";#N/A,#N/A,FALSE,"Soy Oil Chart";#N/A,#N/A,FALSE,"Soy Basis Chart";#N/A,#N/A,FALSE,"Corn Chart";#N/A,#N/A,FALSE,"Co-Products Chart";#N/A,#N/A,FALSE,"Alum Chart";#N/A,#N/A,FALSE,"MWP Chart"}</definedName>
    <definedName name="Chock" hidden="1">{#N/A,#N/A,FALSE,"Nat Gas Chart";#N/A,#N/A,FALSE,"Diesel Chart";#N/A,#N/A,FALSE,"KC Wheat Chart";#N/A,#N/A,FALSE,"KC Midds Chart";#N/A,#N/A,FALSE,"KC Basis Chart";#N/A,#N/A,FALSE,"Minn Wheat Chart";#N/A,#N/A,FALSE,"Minn Midds Chart";#N/A,#N/A,FALSE,"Minn Basis Chart ";#N/A,#N/A,FALSE,"Chicago Wheat Chart";#N/A,#N/A,FALSE,"Chicago Midds Chart";#N/A,#N/A,FALSE,"Chicago Basis Chart";#N/A,#N/A,FALSE,"Soy Oil Chart";#N/A,#N/A,FALSE,"Soy Basis Chart";#N/A,#N/A,FALSE,"Corn Chart";#N/A,#N/A,FALSE,"Co-Products Chart";#N/A,#N/A,FALSE,"Alum Chart";#N/A,#N/A,FALSE,"MWP Chart"}</definedName>
    <definedName name="Chocolate" localSheetId="4" hidden="1">{#N/A,#N/A,TRUE,"New Summary";#N/A,#N/A,TRUE,"New Top Item";#N/A,#N/A,TRUE,"Review Sheet";#N/A,#N/A,TRUE,"TOP SUMMARY";#N/A,#N/A,TRUE,"YTD-YTG";#N/A,#N/A,TRUE,"Total Impact";#N/A,#N/A,TRUE,"Total Impact Overview";#N/A,#N/A,TRUE,"Total Impact F&amp;B";#N/A,#N/A,TRUE,"Total Impact FoodService";#N/A,#N/A,TRUE,"Hedged Commodity";#N/A,#N/A,TRUE,"KC Wheat";#N/A,#N/A,TRUE,"MPLS Wheat";#N/A,#N/A,TRUE,"CGO Wheat";#N/A,#N/A,TRUE,"Soy Oil Comm";#N/A,#N/A,TRUE,"Corn Comm";#N/A,#N/A,TRUE,"Alum Comm";#N/A,#N/A,TRUE,"Natural Gas Hedged Commodity";#N/A,#N/A,TRUE,"Diesel Hedged Commodity";#N/A,#N/A,TRUE,"Packaging Summary";#N/A,#N/A,TRUE,"Bakery Bags";#N/A,#N/A,TRUE,"Fold Cart";#N/A,#N/A,TRUE,"Corrugated";#N/A,#N/A,TRUE,"Comp Cans";#N/A,#N/A,TRUE,"Aluminum";#N/A,#N/A,TRUE,"Rid Plastic";#N/A,#N/A,TRUE,"Misc Flex";#N/A,#N/A,TRUE,"Misc Pack";#N/A,#N/A,TRUE,"Dough Labels";#N/A,#N/A,TRUE,"LE &amp; Committed &amp; CS";#N/A,#N/A,TRUE,"Combined Rolling";#N/A,#N/A,TRUE,"Rolling LE";#N/A,#N/A,TRUE,"F&amp;B LE";#N/A,#N/A,TRUE,"FS LE";#N/A,#N/A,TRUE,"Rolling Commited";#N/A,#N/A,TRUE,"F&amp;B Commited";#N/A,#N/A,TRUE,"FS Commited";#N/A,#N/A,TRUE,"Rebate Schedule";#N/A,#N/A,TRUE,"Contract Log"}</definedName>
    <definedName name="Chocolate" hidden="1">{#N/A,#N/A,TRUE,"New Summary";#N/A,#N/A,TRUE,"New Top Item";#N/A,#N/A,TRUE,"Review Sheet";#N/A,#N/A,TRUE,"TOP SUMMARY";#N/A,#N/A,TRUE,"YTD-YTG";#N/A,#N/A,TRUE,"Total Impact";#N/A,#N/A,TRUE,"Total Impact Overview";#N/A,#N/A,TRUE,"Total Impact F&amp;B";#N/A,#N/A,TRUE,"Total Impact FoodService";#N/A,#N/A,TRUE,"Hedged Commodity";#N/A,#N/A,TRUE,"KC Wheat";#N/A,#N/A,TRUE,"MPLS Wheat";#N/A,#N/A,TRUE,"CGO Wheat";#N/A,#N/A,TRUE,"Soy Oil Comm";#N/A,#N/A,TRUE,"Corn Comm";#N/A,#N/A,TRUE,"Alum Comm";#N/A,#N/A,TRUE,"Natural Gas Hedged Commodity";#N/A,#N/A,TRUE,"Diesel Hedged Commodity";#N/A,#N/A,TRUE,"Packaging Summary";#N/A,#N/A,TRUE,"Bakery Bags";#N/A,#N/A,TRUE,"Fold Cart";#N/A,#N/A,TRUE,"Corrugated";#N/A,#N/A,TRUE,"Comp Cans";#N/A,#N/A,TRUE,"Aluminum";#N/A,#N/A,TRUE,"Rid Plastic";#N/A,#N/A,TRUE,"Misc Flex";#N/A,#N/A,TRUE,"Misc Pack";#N/A,#N/A,TRUE,"Dough Labels";#N/A,#N/A,TRUE,"LE &amp; Committed &amp; CS";#N/A,#N/A,TRUE,"Combined Rolling";#N/A,#N/A,TRUE,"Rolling LE";#N/A,#N/A,TRUE,"F&amp;B LE";#N/A,#N/A,TRUE,"FS LE";#N/A,#N/A,TRUE,"Rolling Commited";#N/A,#N/A,TRUE,"F&amp;B Commited";#N/A,#N/A,TRUE,"FS Commited";#N/A,#N/A,TRUE,"Rebate Schedule";#N/A,#N/A,TRUE,"Contract Log"}</definedName>
    <definedName name="ChocolateComm" localSheetId="4" hidden="1">{#N/A,#N/A,FALSE,"Nat Gas Chart";#N/A,#N/A,FALSE,"Diesel Chart";#N/A,#N/A,FALSE,"KC Wheat Chart";#N/A,#N/A,FALSE,"KC Midds Chart";#N/A,#N/A,FALSE,"KC Basis Chart";#N/A,#N/A,FALSE,"Minn Wheat Chart";#N/A,#N/A,FALSE,"Minn Midds Chart";#N/A,#N/A,FALSE,"Minn Basis Chart ";#N/A,#N/A,FALSE,"Chicago Wheat Chart";#N/A,#N/A,FALSE,"Chicago Midds Chart";#N/A,#N/A,FALSE,"Chicago Basis Chart";#N/A,#N/A,FALSE,"Soy Oil Chart";#N/A,#N/A,FALSE,"Soy Basis Chart";#N/A,#N/A,FALSE,"Corn Chart";#N/A,#N/A,FALSE,"Co-Products Chart";#N/A,#N/A,FALSE,"Alum Chart";#N/A,#N/A,FALSE,"MWP Chart"}</definedName>
    <definedName name="ChocolateComm" hidden="1">{#N/A,#N/A,FALSE,"Nat Gas Chart";#N/A,#N/A,FALSE,"Diesel Chart";#N/A,#N/A,FALSE,"KC Wheat Chart";#N/A,#N/A,FALSE,"KC Midds Chart";#N/A,#N/A,FALSE,"KC Basis Chart";#N/A,#N/A,FALSE,"Minn Wheat Chart";#N/A,#N/A,FALSE,"Minn Midds Chart";#N/A,#N/A,FALSE,"Minn Basis Chart ";#N/A,#N/A,FALSE,"Chicago Wheat Chart";#N/A,#N/A,FALSE,"Chicago Midds Chart";#N/A,#N/A,FALSE,"Chicago Basis Chart";#N/A,#N/A,FALSE,"Soy Oil Chart";#N/A,#N/A,FALSE,"Soy Basis Chart";#N/A,#N/A,FALSE,"Corn Chart";#N/A,#N/A,FALSE,"Co-Products Chart";#N/A,#N/A,FALSE,"Alum Chart";#N/A,#N/A,FALSE,"MWP Chart"}</definedName>
    <definedName name="CI_AE_hrs">#REF!</definedName>
    <definedName name="CI_FS_hrs">#REF!</definedName>
    <definedName name="CI_OE_hrs">#REF!</definedName>
    <definedName name="CI_PM_hrs">#REF!</definedName>
    <definedName name="CI_RE_hrs">#REF!</definedName>
    <definedName name="CI_SDC_hrs">#REF!</definedName>
    <definedName name="CI_Staging_hrs">#REF!</definedName>
    <definedName name="cin100_000">#REF!</definedName>
    <definedName name="cin116_000">#REF!</definedName>
    <definedName name="cin116_111">#REF!</definedName>
    <definedName name="Cisco_Systems">#REF!</definedName>
    <definedName name="CiscoFY07_1">#REF!</definedName>
    <definedName name="CiscoFY07_2">#REF!</definedName>
    <definedName name="CLASS">#REF!</definedName>
    <definedName name="CLEANUP">#REF!</definedName>
    <definedName name="CLEAR401K">#REF!</definedName>
    <definedName name="CLEAR401K2">#REF!</definedName>
    <definedName name="ClearArea">#REF!</definedName>
    <definedName name="CLEARATLANTA">#REF!</definedName>
    <definedName name="CLEARATLANTA2">#REF!</definedName>
    <definedName name="CLEARBOSTON">#REF!</definedName>
    <definedName name="CLEARBOSTON2">#REF!</definedName>
    <definedName name="CLEARBUFFALO">#REF!</definedName>
    <definedName name="CLEARBUFFALO2">#REF!</definedName>
    <definedName name="CLEARCHARLOTTE">#REF!</definedName>
    <definedName name="CLEARCHARLOTTE2">#REF!</definedName>
    <definedName name="CLEARCHESAPEAK2">#REF!</definedName>
    <definedName name="CLEARCHESAPEAKE">#REF!</definedName>
    <definedName name="CLEARHARTFORD">#REF!</definedName>
    <definedName name="CLEARHARTFORD2">#REF!</definedName>
    <definedName name="CLEARLONGISL2">#REF!</definedName>
    <definedName name="CLEARLONGISLAND">#REF!</definedName>
    <definedName name="CLEARMIAMI">#REF!</definedName>
    <definedName name="CLEARMIAMI2">#REF!</definedName>
    <definedName name="CLEARNYMETRO">#REF!</definedName>
    <definedName name="CLEARNYMETRO2">#REF!</definedName>
    <definedName name="CLEARPHILLY">#REF!</definedName>
    <definedName name="CLEARPHILLY2">#REF!</definedName>
    <definedName name="CLEARPITTSBURG2">#REF!</definedName>
    <definedName name="CLEARPITTSBURGH">#REF!</definedName>
    <definedName name="CLEARPRINCETON">#REF!</definedName>
    <definedName name="CLEARPRINCETON2">#REF!</definedName>
    <definedName name="CLEARSYRACUSE">#REF!</definedName>
    <definedName name="CLEARSYRACUSE2">#REF!</definedName>
    <definedName name="Client">#REF!</definedName>
    <definedName name="Client_Industry">#REF!</definedName>
    <definedName name="collectors">#REF!</definedName>
    <definedName name="Column1">#REF!</definedName>
    <definedName name="ColumnHeaderRange">#REF!</definedName>
    <definedName name="Columns_WS">#REF!</definedName>
    <definedName name="comm">#REF!</definedName>
    <definedName name="CommAgreeement">#REF!</definedName>
    <definedName name="CommAgreement">#REF!</definedName>
    <definedName name="COMMON_REVIEW1">#REF!</definedName>
    <definedName name="COMMON_REVIEW2">#REF!</definedName>
    <definedName name="COMP">#REF!</definedName>
    <definedName name="CompanyCode">#REF!</definedName>
    <definedName name="complete">#REF!</definedName>
    <definedName name="COMPUTER">#REF!</definedName>
    <definedName name="COMPUTER_ROOM">#REF!</definedName>
    <definedName name="condata">#REF!</definedName>
    <definedName name="CONECTIV">#REF!</definedName>
    <definedName name="conhdr">#REF!</definedName>
    <definedName name="CONNECTSTRING1">#REF!</definedName>
    <definedName name="CONNECTSTRING16">#REF!</definedName>
    <definedName name="CONNECTSTRING6">#REF!</definedName>
    <definedName name="CONS">#REF!</definedName>
    <definedName name="CONSOL">#REF!</definedName>
    <definedName name="consultant1">#REF!</definedName>
    <definedName name="consultant2">#REF!</definedName>
    <definedName name="consultant3">#REF!</definedName>
    <definedName name="consultant4">#REF!</definedName>
    <definedName name="CONTINGENCY">#REF!</definedName>
    <definedName name="CONTROLS">#REF!</definedName>
    <definedName name="COOPS">#REF!</definedName>
    <definedName name="copy" localSheetId="4" hidden="1">{#N/A,#N/A,FALSE,"Projections";#N/A,#N/A,FALSE,"Multiples Valuation";#N/A,#N/A,FALSE,"LBO";#N/A,#N/A,FALSE,"Multiples_Sensitivity";#N/A,#N/A,FALSE,"Summary"}</definedName>
    <definedName name="copy" hidden="1">{#N/A,#N/A,FALSE,"Projections";#N/A,#N/A,FALSE,"Multiples Valuation";#N/A,#N/A,FALSE,"LBO";#N/A,#N/A,FALSE,"Multiples_Sensitivity";#N/A,#N/A,FALSE,"Summary"}</definedName>
    <definedName name="CORE">#REF!</definedName>
    <definedName name="CORP">#REF!</definedName>
    <definedName name="Corp_amort_01plan">#REF!</definedName>
    <definedName name="Corp_amort_actuals">#REF!</definedName>
    <definedName name="Covenants" localSheetId="4" hidden="1">{#N/A,#N/A,FALSE,"Projections";#N/A,#N/A,FALSE,"Multiples Valuation";#N/A,#N/A,FALSE,"LBO";#N/A,#N/A,FALSE,"Multiples_Sensitivity";#N/A,#N/A,FALSE,"Summary"}</definedName>
    <definedName name="Covenants" hidden="1">{#N/A,#N/A,FALSE,"Projections";#N/A,#N/A,FALSE,"Multiples Valuation";#N/A,#N/A,FALSE,"LBO";#N/A,#N/A,FALSE,"Multiples_Sensitivity";#N/A,#N/A,FALSE,"Summary"}</definedName>
    <definedName name="COVER">#REF!</definedName>
    <definedName name="CPA">#REF!</definedName>
    <definedName name="cr_1">#REF!</definedName>
    <definedName name="cr_2">#REF!</definedName>
    <definedName name="craig">#REF!</definedName>
    <definedName name="crd_one">#REF!</definedName>
    <definedName name="crd_two">#REF!</definedName>
    <definedName name="CREATEGRAPH1">#REF!</definedName>
    <definedName name="CreateSummaryJnls1">#REF!</definedName>
    <definedName name="CREATESUMMARYJNLS16">#REF!</definedName>
    <definedName name="CREATESUMMARYJNLS6">#REF!</definedName>
    <definedName name="credit">#REF!</definedName>
    <definedName name="CREDIT_BUREAU">#REF!</definedName>
    <definedName name="CREDIT_CHECK">#REF!</definedName>
    <definedName name="credit_connection__revenue_summary">#REF!</definedName>
    <definedName name="Credit07">#REF!</definedName>
    <definedName name="Credit08">#REF!</definedName>
    <definedName name="Credit09">#REF!</definedName>
    <definedName name="Credit10">#REF!</definedName>
    <definedName name="Credit11">#REF!</definedName>
    <definedName name="_xlnm.Criteria">#REF!</definedName>
    <definedName name="CriteriaColumn1">#REF!</definedName>
    <definedName name="CRITERIACOLUMN16">#REF!</definedName>
    <definedName name="CRITERIACOLUMN6">#REF!</definedName>
    <definedName name="CRR">#REF!</definedName>
    <definedName name="CSS">#REF!</definedName>
    <definedName name="CSSRECAP">#REF!</definedName>
    <definedName name="CTA">#REF!</definedName>
    <definedName name="CTACost">45000</definedName>
    <definedName name="CTI_FSR_hrs">#REF!</definedName>
    <definedName name="CTI_OE_hrs">#REF!</definedName>
    <definedName name="CTI_PM_hrs">#REF!</definedName>
    <definedName name="CTI_RE_hrs">#REF!</definedName>
    <definedName name="CTI_SDC_hrs">#REF!</definedName>
    <definedName name="CTIData">#REF!</definedName>
    <definedName name="CTIINSTALL">#REF!</definedName>
    <definedName name="CTISUPP">#REF!</definedName>
    <definedName name="Currency_Code">#REF!</definedName>
    <definedName name="CurrentColumnIndex">#REF!</definedName>
    <definedName name="CurrentColumnRowIndex">#REF!</definedName>
    <definedName name="CurrentMo380">#REF!</definedName>
    <definedName name="CurrentMo385">#REF!</definedName>
    <definedName name="CurrentRowLineItemIndex">#REF!</definedName>
    <definedName name="CVR">#REF!</definedName>
    <definedName name="CVR_FY02_Plan">#REF!</definedName>
    <definedName name="cxaa" localSheetId="4" hidden="1">{#N/A,#N/A,FALSE,"Adj Proj";#N/A,#N/A,FALSE,"Sheet1";#N/A,#N/A,FALSE,"LBO";#N/A,#N/A,FALSE,"LBOMER";#N/A,#N/A,FALSE,"WACC";#N/A,#N/A,FALSE,"DCF";#N/A,#N/A,FALSE,"DCFMER";#N/A,#N/A,FALSE,"Pooling";#N/A,#N/A,FALSE,"income";#N/A,#N/A,FALSE,"Offer"}</definedName>
    <definedName name="cxaa" hidden="1">{#N/A,#N/A,FALSE,"Adj Proj";#N/A,#N/A,FALSE,"Sheet1";#N/A,#N/A,FALSE,"LBO";#N/A,#N/A,FALSE,"LBOMER";#N/A,#N/A,FALSE,"WACC";#N/A,#N/A,FALSE,"DCF";#N/A,#N/A,FALSE,"DCFMER";#N/A,#N/A,FALSE,"Pooling";#N/A,#N/A,FALSE,"income";#N/A,#N/A,FALSE,"Offer"}</definedName>
    <definedName name="cz">#REF!</definedName>
    <definedName name="d" localSheetId="4" hidden="1">{"'Hardware Req.'!$A$1:$C$23"}</definedName>
    <definedName name="d" hidden="1">{"'Hardware Req.'!$A$1:$C$23"}</definedName>
    <definedName name="d120a">#REF!</definedName>
    <definedName name="d120b">#REF!</definedName>
    <definedName name="d130a">#REF!</definedName>
    <definedName name="d130b">#REF!</definedName>
    <definedName name="d200a">#REF!</definedName>
    <definedName name="d200b">#REF!</definedName>
    <definedName name="d201a">#REF!</definedName>
    <definedName name="d201b">#REF!</definedName>
    <definedName name="d202a">#REF!</definedName>
    <definedName name="d202b">#REF!</definedName>
    <definedName name="d203a">#REF!</definedName>
    <definedName name="d203b">#REF!</definedName>
    <definedName name="d2042b">#REF!</definedName>
    <definedName name="d204a">#REF!</definedName>
    <definedName name="d204b">#REF!</definedName>
    <definedName name="d350a">#REF!</definedName>
    <definedName name="d350b">#REF!</definedName>
    <definedName name="d361a">#REF!</definedName>
    <definedName name="d361b">#REF!</definedName>
    <definedName name="d362a">#REF!</definedName>
    <definedName name="d362b">#REF!</definedName>
    <definedName name="d363a">#REF!</definedName>
    <definedName name="d363b">#REF!</definedName>
    <definedName name="d367a">#REF!</definedName>
    <definedName name="d367b">#REF!</definedName>
    <definedName name="d372a">#REF!</definedName>
    <definedName name="d372b">#REF!</definedName>
    <definedName name="d373a">#REF!</definedName>
    <definedName name="d373b">#REF!</definedName>
    <definedName name="d374a">#REF!</definedName>
    <definedName name="d374b">#REF!</definedName>
    <definedName name="d375a">#REF!</definedName>
    <definedName name="d375b">#REF!</definedName>
    <definedName name="d376a">#REF!</definedName>
    <definedName name="d376b">#REF!</definedName>
    <definedName name="d377a">#REF!</definedName>
    <definedName name="d377b">#REF!</definedName>
    <definedName name="d379a">#REF!</definedName>
    <definedName name="d379b">#REF!</definedName>
    <definedName name="d405a">#REF!</definedName>
    <definedName name="d405b">#REF!</definedName>
    <definedName name="d406a">#REF!</definedName>
    <definedName name="d406b">#REF!</definedName>
    <definedName name="d407a">#REF!</definedName>
    <definedName name="d407b">#REF!</definedName>
    <definedName name="d411a">#REF!</definedName>
    <definedName name="d411b">#REF!</definedName>
    <definedName name="d412a">#REF!</definedName>
    <definedName name="d412b">#REF!</definedName>
    <definedName name="d413a">#REF!</definedName>
    <definedName name="d413b">#REF!</definedName>
    <definedName name="d414a">#REF!</definedName>
    <definedName name="d414b">#REF!</definedName>
    <definedName name="d417a">#REF!</definedName>
    <definedName name="d417b">#REF!</definedName>
    <definedName name="d418a">#REF!</definedName>
    <definedName name="d418b">#REF!</definedName>
    <definedName name="d421a">#REF!</definedName>
    <definedName name="d421b">#REF!</definedName>
    <definedName name="d423a">#REF!</definedName>
    <definedName name="d423b">#REF!</definedName>
    <definedName name="d429a">#REF!</definedName>
    <definedName name="d429b">#REF!</definedName>
    <definedName name="d42a">#REF!</definedName>
    <definedName name="d42b">#REF!</definedName>
    <definedName name="d430a">#REF!</definedName>
    <definedName name="d430b">#REF!</definedName>
    <definedName name="DAILY">#REF!</definedName>
    <definedName name="DAIRY" localSheetId="4" hidden="1">{#N/A,#N/A,FALSE,"Nat Gas Chart";#N/A,#N/A,FALSE,"Diesel Chart";#N/A,#N/A,FALSE,"KC Wheat Chart";#N/A,#N/A,FALSE,"KC Midds Chart";#N/A,#N/A,FALSE,"KC Basis Chart";#N/A,#N/A,FALSE,"Minn Wheat Chart";#N/A,#N/A,FALSE,"Minn Midds Chart";#N/A,#N/A,FALSE,"Minn Basis Chart ";#N/A,#N/A,FALSE,"Chicago Wheat Chart";#N/A,#N/A,FALSE,"Chicago Midds Chart";#N/A,#N/A,FALSE,"Chicago Basis Chart";#N/A,#N/A,FALSE,"Soy Oil Chart";#N/A,#N/A,FALSE,"Soy Basis Chart";#N/A,#N/A,FALSE,"Corn Chart";#N/A,#N/A,FALSE,"Co-Products Chart";#N/A,#N/A,FALSE,"Alum Chart";#N/A,#N/A,FALSE,"MWP Chart"}</definedName>
    <definedName name="DAIRY" hidden="1">{#N/A,#N/A,FALSE,"Nat Gas Chart";#N/A,#N/A,FALSE,"Diesel Chart";#N/A,#N/A,FALSE,"KC Wheat Chart";#N/A,#N/A,FALSE,"KC Midds Chart";#N/A,#N/A,FALSE,"KC Basis Chart";#N/A,#N/A,FALSE,"Minn Wheat Chart";#N/A,#N/A,FALSE,"Minn Midds Chart";#N/A,#N/A,FALSE,"Minn Basis Chart ";#N/A,#N/A,FALSE,"Chicago Wheat Chart";#N/A,#N/A,FALSE,"Chicago Midds Chart";#N/A,#N/A,FALSE,"Chicago Basis Chart";#N/A,#N/A,FALSE,"Soy Oil Chart";#N/A,#N/A,FALSE,"Soy Basis Chart";#N/A,#N/A,FALSE,"Corn Chart";#N/A,#N/A,FALSE,"Co-Products Chart";#N/A,#N/A,FALSE,"Alum Chart";#N/A,#N/A,FALSE,"MWP Chart"}</definedName>
    <definedName name="dat22a">#REF!</definedName>
    <definedName name="data">#REF!</definedName>
    <definedName name="DATA_COLLECTOR">#REF!</definedName>
    <definedName name="data_regions">#REF!</definedName>
    <definedName name="data1">#REF!</definedName>
    <definedName name="Data2" localSheetId="4">#REF!</definedName>
    <definedName name="Data2">#REF!</definedName>
    <definedName name="data3">#REF!</definedName>
    <definedName name="_xlnm.Database">#REF!</definedName>
    <definedName name="date">#REF!</definedName>
    <definedName name="DBNAME1">#REF!</definedName>
    <definedName name="DBNAME16">#REF!</definedName>
    <definedName name="DBNAME6">#REF!</definedName>
    <definedName name="DBUSERNAME1">#REF!</definedName>
    <definedName name="DBUSERNAME16">#REF!</definedName>
    <definedName name="DBUSERNAME6">#REF!</definedName>
    <definedName name="dd" localSheetId="4" hidden="1">{"totrevbx",#N/A,FALSE,"Paris Rev";"totrevbxparis",#N/A,FALSE,"Total Rev";"totprocrevben",#N/A,FALSE,"Tot Proc Rev";"totloss",#N/A,FALSE,"HL";"ISSummary",#N/A,FALSE,"Tot Proc Rev";"TotClientnum",#N/A,FALSE,"HL";"otherinc",#N/A,FALSE,"Other Inc";"totprocsched",#N/A,FALSE,"HL";"inputtotsal",#N/A,FALSE,"HL";"salesinputcap",#N/A,FALSE,"HL";"saleswoyrendtotben",#N/A,FALSE,"HL";"totprocsched",#N/A,FALSE,"HL";"TotClientnum",#N/A,FALSE,"HL";"otherinc",#N/A,FALSE,"HL";"totprocsched",#N/A,FALSE,"HL";"startcap",#N/A,FALSE,"HL";"starttotben",#N/A,FALSE,"HL"}</definedName>
    <definedName name="dd" hidden="1">{"totrevbx",#N/A,FALSE,"Paris Rev";"totrevbxparis",#N/A,FALSE,"Total Rev";"totprocrevben",#N/A,FALSE,"Tot Proc Rev";"totloss",#N/A,FALSE,"HL";"ISSummary",#N/A,FALSE,"Tot Proc Rev";"TotClientnum",#N/A,FALSE,"HL";"otherinc",#N/A,FALSE,"Other Inc";"totprocsched",#N/A,FALSE,"HL";"inputtotsal",#N/A,FALSE,"HL";"salesinputcap",#N/A,FALSE,"HL";"saleswoyrendtotben",#N/A,FALSE,"HL";"totprocsched",#N/A,FALSE,"HL";"TotClientnum",#N/A,FALSE,"HL";"otherinc",#N/A,FALSE,"HL";"totprocsched",#N/A,FALSE,"HL";"startcap",#N/A,FALSE,"HL";"starttotben",#N/A,FALSE,"HL"}</definedName>
    <definedName name="dda" hidden="1">#REF!</definedName>
    <definedName name="dddd" localSheetId="4" hidden="1">{#N/A,#N/A,FALSE,"AD_Purchase";#N/A,#N/A,FALSE,"Credit";#N/A,#N/A,FALSE,"PF Acquisition";#N/A,#N/A,FALSE,"PF Offering"}</definedName>
    <definedName name="dddd" hidden="1">{#N/A,#N/A,FALSE,"AD_Purchase";#N/A,#N/A,FALSE,"Credit";#N/A,#N/A,FALSE,"PF Acquisition";#N/A,#N/A,FALSE,"PF Offering"}</definedName>
    <definedName name="ddddddddd" localSheetId="4"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ddddddddd"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Dealers">5</definedName>
    <definedName name="dec">#REF!</definedName>
    <definedName name="December">#N/A</definedName>
    <definedName name="Delete_WS">#REF!</definedName>
    <definedName name="DELETELOGICTYPE1">#REF!</definedName>
    <definedName name="DELETELOGICTYPE16">#REF!</definedName>
    <definedName name="DELETELOGICTYPE6">#REF!</definedName>
    <definedName name="Delivery">#REF!</definedName>
    <definedName name="delta" localSheetId="4" hidden="1">{#N/A,#N/A,FALSE,"FY97";#N/A,#N/A,FALSE,"FY98";#N/A,#N/A,FALSE,"FY99";#N/A,#N/A,FALSE,"FY00";#N/A,#N/A,FALSE,"FY01"}</definedName>
    <definedName name="delta" hidden="1">{#N/A,#N/A,FALSE,"FY97";#N/A,#N/A,FALSE,"FY98";#N/A,#N/A,FALSE,"FY99";#N/A,#N/A,FALSE,"FY00";#N/A,#N/A,FALSE,"FY01"}</definedName>
    <definedName name="DEMAG">#REF!</definedName>
    <definedName name="DepositData">#REF!</definedName>
    <definedName name="dept">#REF!</definedName>
    <definedName name="Dept_Analysis">#REF!</definedName>
    <definedName name="Dept_Type">#REF!</definedName>
    <definedName name="DEPT3481FY00">#REF!</definedName>
    <definedName name="DEPT3481FY01">#REF!</definedName>
    <definedName name="DESC">#REF!</definedName>
    <definedName name="DESIGN">#REF!</definedName>
    <definedName name="DESP.POR_C.CUSTO">#REF!</definedName>
    <definedName name="DESP.POR_RUBRICA_FILIAL">#REF!</definedName>
    <definedName name="DET">#REF!</definedName>
    <definedName name="Detail">#REF!</definedName>
    <definedName name="Detail_Print">#REF!</definedName>
    <definedName name="DETCON">#REF!</definedName>
    <definedName name="dfadfa" hidden="1">{"Aug 02 Revenue &amp; Expense",#N/A,FALSE,"August 02";"Aug 02 Recoveries",#N/A,FALSE,"August 02"}</definedName>
    <definedName name="dfdafadfa">#REF!</definedName>
    <definedName name="dfg" localSheetId="4" hidden="1">{#N/A,#N/A,FALSE,"HuscoCombined-Summ";#N/A,#N/A,FALSE,"HuscoCombined-Income";#N/A,#N/A,FALSE,"HuscoCombined-Offering";#N/A,#N/A,FALSE,"Husco-Income";#N/A,#N/A,FALSE,"TargetEngineer";#N/A,#N/A,FALSE,"TargetAcqCalc";#N/A,#N/A,FALSE,"Husco-Acq"}</definedName>
    <definedName name="dfg" hidden="1">{#N/A,#N/A,FALSE,"HuscoCombined-Summ";#N/A,#N/A,FALSE,"HuscoCombined-Income";#N/A,#N/A,FALSE,"HuscoCombined-Offering";#N/A,#N/A,FALSE,"Husco-Income";#N/A,#N/A,FALSE,"TargetEngineer";#N/A,#N/A,FALSE,"TargetAcqCalc";#N/A,#N/A,FALSE,"Husco-Acq"}</definedName>
    <definedName name="dfgdfg" localSheetId="4"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dfgdfg"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dfgdfgdfg" localSheetId="4" hidden="1">{#N/A,#N/A,FALSE,"Assump";#N/A,#N/A,FALSE,"Income";#N/A,#N/A,FALSE,"Balance";#N/A,#N/A,FALSE,"DCF Pump";#N/A,#N/A,FALSE,"Trans Assump";#N/A,#N/A,FALSE,"Combined Income";#N/A,#N/A,FALSE,"Combined Balance"}</definedName>
    <definedName name="dfgdfgdfg" hidden="1">{#N/A,#N/A,FALSE,"Assump";#N/A,#N/A,FALSE,"Income";#N/A,#N/A,FALSE,"Balance";#N/A,#N/A,FALSE,"DCF Pump";#N/A,#N/A,FALSE,"Trans Assump";#N/A,#N/A,FALSE,"Combined Income";#N/A,#N/A,FALSE,"Combined Balance"}</definedName>
    <definedName name="DIR">#REF!</definedName>
    <definedName name="Direct_Heavy">#REF!</definedName>
    <definedName name="DISAST">#REF!</definedName>
    <definedName name="Division">#REF!</definedName>
    <definedName name="DLOV_oracle_apps_financials_generalLedger_journals_desktopEntry_di_FinGlDesktopMultibatchEntryPageDef_PeriodName_LedgerId_0">#REF!</definedName>
    <definedName name="DLOV_oracle_apps_financials_generalLedger_journals_desktopEntry_di_FinGlDesktopMultibatchEntryPageDef_ReversalPeriodName_LedgerId_0">#REF!</definedName>
    <definedName name="DlrIncrement">3</definedName>
    <definedName name="DosName">#REF!</definedName>
    <definedName name="download">#REF!</definedName>
    <definedName name="DPLN">#REF!</definedName>
    <definedName name="DSI_REPORT_MAP">#REF!</definedName>
    <definedName name="DVCOMP">#REF!</definedName>
    <definedName name="DVME">#REF!</definedName>
    <definedName name="DVP_Cons">#REF!</definedName>
    <definedName name="DVSOFT">#REF!</definedName>
    <definedName name="dwcwc" localSheetId="4" hidden="1">{#N/A,#N/A,FALSE,"Assump";#N/A,#N/A,FALSE,"Income";#N/A,#N/A,FALSE,"Balance";#N/A,#N/A,FALSE,"DCF Pump";#N/A,#N/A,FALSE,"Trans Assump";#N/A,#N/A,FALSE,"Combined Income";#N/A,#N/A,FALSE,"Combined Balance"}</definedName>
    <definedName name="dwcwc" hidden="1">{#N/A,#N/A,FALSE,"Assump";#N/A,#N/A,FALSE,"Income";#N/A,#N/A,FALSE,"Balance";#N/A,#N/A,FALSE,"DCF Pump";#N/A,#N/A,FALSE,"Trans Assump";#N/A,#N/A,FALSE,"Combined Income";#N/A,#N/A,FALSE,"Combined Balance"}</definedName>
    <definedName name="e" localSheetId="4" hidden="1">{"'Hardware Req.'!$A$1:$C$23"}</definedName>
    <definedName name="e" hidden="1">{"'Hardware Req.'!$A$1:$C$23"}</definedName>
    <definedName name="Earn">#REF!</definedName>
    <definedName name="EB2_">#REF!</definedName>
    <definedName name="EB3_">#REF!</definedName>
    <definedName name="EBS_NSE">#REF!</definedName>
    <definedName name="ed" localSheetId="4" hidden="1">{#N/A,#N/A,FALSE,"Full Year";#N/A,#N/A,FALSE,"Current Month";#N/A,#N/A,FALSE,"YTD";#N/A,#N/A,FALSE,"Remainder";#N/A,#N/A,FALSE,"Full Year Variance";#N/A,#N/A,FALSE,"Quarterly Variance"}</definedName>
    <definedName name="ed" hidden="1">{#N/A,#N/A,FALSE,"Full Year";#N/A,#N/A,FALSE,"Current Month";#N/A,#N/A,FALSE,"YTD";#N/A,#N/A,FALSE,"Remainder";#N/A,#N/A,FALSE,"Full Year Variance";#N/A,#N/A,FALSE,"Quarterly Variance"}</definedName>
    <definedName name="EE" hidden="1">#REF!</definedName>
    <definedName name="ee_names">#REF!</definedName>
    <definedName name="EEE" hidden="1">#REF!</definedName>
    <definedName name="EEEE" hidden="1">#REF!</definedName>
    <definedName name="eerrr" localSheetId="4" hidden="1">{#N/A,#N/A,FALSE,"Full Year";#N/A,#N/A,FALSE,"Current Month";#N/A,#N/A,FALSE,"Remainder";#N/A,#N/A,FALSE,"Quarterly Variance";#N/A,#N/A,FALSE,"YTD";#N/A,#N/A,FALSE,"Full Year Variance";#N/A,#N/A,FALSE,"Growth";#N/A,#N/A,FALSE,"Risk Adj Summary";#N/A,#N/A,FALSE,"Selling";#N/A,#N/A,FALSE,"Setup";#N/A,#N/A,FALSE,"CM Comp"}</definedName>
    <definedName name="eerrr" hidden="1">{#N/A,#N/A,FALSE,"Full Year";#N/A,#N/A,FALSE,"Current Month";#N/A,#N/A,FALSE,"Remainder";#N/A,#N/A,FALSE,"Quarterly Variance";#N/A,#N/A,FALSE,"YTD";#N/A,#N/A,FALSE,"Full Year Variance";#N/A,#N/A,FALSE,"Growth";#N/A,#N/A,FALSE,"Risk Adj Summary";#N/A,#N/A,FALSE,"Selling";#N/A,#N/A,FALSE,"Setup";#N/A,#N/A,FALSE,"CM Comp"}</definedName>
    <definedName name="Eggs" localSheetId="4" hidden="1">{#N/A,#N/A,TRUE,"New Summary";#N/A,#N/A,TRUE,"New Top Item";#N/A,#N/A,TRUE,"Review Sheet";#N/A,#N/A,TRUE,"TOP SUMMARY";#N/A,#N/A,TRUE,"YTD-YTG";#N/A,#N/A,TRUE,"Total Impact";#N/A,#N/A,TRUE,"Total Impact Overview";#N/A,#N/A,TRUE,"Total Impact F&amp;B";#N/A,#N/A,TRUE,"Total Impact FoodService";#N/A,#N/A,TRUE,"Hedged Commodity";#N/A,#N/A,TRUE,"KC Wheat";#N/A,#N/A,TRUE,"MPLS Wheat";#N/A,#N/A,TRUE,"CGO Wheat";#N/A,#N/A,TRUE,"Soy Oil Comm";#N/A,#N/A,TRUE,"Corn Comm";#N/A,#N/A,TRUE,"Alum Comm";#N/A,#N/A,TRUE,"Natural Gas Hedged Commodity";#N/A,#N/A,TRUE,"Diesel Hedged Commodity";#N/A,#N/A,TRUE,"Packaging Summary";#N/A,#N/A,TRUE,"Bakery Bags";#N/A,#N/A,TRUE,"Fold Cart";#N/A,#N/A,TRUE,"Corrugated";#N/A,#N/A,TRUE,"Comp Cans";#N/A,#N/A,TRUE,"Aluminum";#N/A,#N/A,TRUE,"Rid Plastic";#N/A,#N/A,TRUE,"Misc Flex";#N/A,#N/A,TRUE,"Misc Pack";#N/A,#N/A,TRUE,"Dough Labels";#N/A,#N/A,TRUE,"LE &amp; Committed &amp; CS";#N/A,#N/A,TRUE,"Combined Rolling";#N/A,#N/A,TRUE,"Rolling LE";#N/A,#N/A,TRUE,"F&amp;B LE";#N/A,#N/A,TRUE,"FS LE";#N/A,#N/A,TRUE,"Rolling Commited";#N/A,#N/A,TRUE,"F&amp;B Commited";#N/A,#N/A,TRUE,"FS Commited";#N/A,#N/A,TRUE,"Rebate Schedule";#N/A,#N/A,TRUE,"Contract Log"}</definedName>
    <definedName name="Eggs" hidden="1">{#N/A,#N/A,TRUE,"New Summary";#N/A,#N/A,TRUE,"New Top Item";#N/A,#N/A,TRUE,"Review Sheet";#N/A,#N/A,TRUE,"TOP SUMMARY";#N/A,#N/A,TRUE,"YTD-YTG";#N/A,#N/A,TRUE,"Total Impact";#N/A,#N/A,TRUE,"Total Impact Overview";#N/A,#N/A,TRUE,"Total Impact F&amp;B";#N/A,#N/A,TRUE,"Total Impact FoodService";#N/A,#N/A,TRUE,"Hedged Commodity";#N/A,#N/A,TRUE,"KC Wheat";#N/A,#N/A,TRUE,"MPLS Wheat";#N/A,#N/A,TRUE,"CGO Wheat";#N/A,#N/A,TRUE,"Soy Oil Comm";#N/A,#N/A,TRUE,"Corn Comm";#N/A,#N/A,TRUE,"Alum Comm";#N/A,#N/A,TRUE,"Natural Gas Hedged Commodity";#N/A,#N/A,TRUE,"Diesel Hedged Commodity";#N/A,#N/A,TRUE,"Packaging Summary";#N/A,#N/A,TRUE,"Bakery Bags";#N/A,#N/A,TRUE,"Fold Cart";#N/A,#N/A,TRUE,"Corrugated";#N/A,#N/A,TRUE,"Comp Cans";#N/A,#N/A,TRUE,"Aluminum";#N/A,#N/A,TRUE,"Rid Plastic";#N/A,#N/A,TRUE,"Misc Flex";#N/A,#N/A,TRUE,"Misc Pack";#N/A,#N/A,TRUE,"Dough Labels";#N/A,#N/A,TRUE,"LE &amp; Committed &amp; CS";#N/A,#N/A,TRUE,"Combined Rolling";#N/A,#N/A,TRUE,"Rolling LE";#N/A,#N/A,TRUE,"F&amp;B LE";#N/A,#N/A,TRUE,"FS LE";#N/A,#N/A,TRUE,"Rolling Commited";#N/A,#N/A,TRUE,"F&amp;B Commited";#N/A,#N/A,TRUE,"FS Commited";#N/A,#N/A,TRUE,"Rebate Schedule";#N/A,#N/A,TRUE,"Contract Log"}</definedName>
    <definedName name="EggsComm" localSheetId="4" hidden="1">{#N/A,#N/A,FALSE,"Nat Gas Chart";#N/A,#N/A,FALSE,"Diesel Chart";#N/A,#N/A,FALSE,"KC Wheat Chart";#N/A,#N/A,FALSE,"KC Midds Chart";#N/A,#N/A,FALSE,"KC Basis Chart";#N/A,#N/A,FALSE,"Minn Wheat Chart";#N/A,#N/A,FALSE,"Minn Midds Chart";#N/A,#N/A,FALSE,"Minn Basis Chart ";#N/A,#N/A,FALSE,"Chicago Wheat Chart";#N/A,#N/A,FALSE,"Chicago Midds Chart";#N/A,#N/A,FALSE,"Chicago Basis Chart";#N/A,#N/A,FALSE,"Soy Oil Chart";#N/A,#N/A,FALSE,"Soy Basis Chart";#N/A,#N/A,FALSE,"Corn Chart";#N/A,#N/A,FALSE,"Co-Products Chart";#N/A,#N/A,FALSE,"Alum Chart";#N/A,#N/A,FALSE,"MWP Chart"}</definedName>
    <definedName name="EggsComm" hidden="1">{#N/A,#N/A,FALSE,"Nat Gas Chart";#N/A,#N/A,FALSE,"Diesel Chart";#N/A,#N/A,FALSE,"KC Wheat Chart";#N/A,#N/A,FALSE,"KC Midds Chart";#N/A,#N/A,FALSE,"KC Basis Chart";#N/A,#N/A,FALSE,"Minn Wheat Chart";#N/A,#N/A,FALSE,"Minn Midds Chart";#N/A,#N/A,FALSE,"Minn Basis Chart ";#N/A,#N/A,FALSE,"Chicago Wheat Chart";#N/A,#N/A,FALSE,"Chicago Midds Chart";#N/A,#N/A,FALSE,"Chicago Basis Chart";#N/A,#N/A,FALSE,"Soy Oil Chart";#N/A,#N/A,FALSE,"Soy Basis Chart";#N/A,#N/A,FALSE,"Corn Chart";#N/A,#N/A,FALSE,"Co-Products Chart";#N/A,#N/A,FALSE,"Alum Chart";#N/A,#N/A,FALSE,"MWP Chart"}</definedName>
    <definedName name="el">#REF!</definedName>
    <definedName name="ELECTRICAL">#REF!</definedName>
    <definedName name="eligbledlrs1">TotalDlrs*Penetration</definedName>
    <definedName name="EligibleDlrs">TotalDlrs*Penetration</definedName>
    <definedName name="ELIST">#REF!</definedName>
    <definedName name="elpaso">#REF!</definedName>
    <definedName name="Emerson_College">#REF!</definedName>
    <definedName name="EMP">#REF!</definedName>
    <definedName name="EMPLOYEE">#REF!</definedName>
    <definedName name="EMPLYDEDUCT">#REF!</definedName>
    <definedName name="END">#REF!</definedName>
    <definedName name="ENDBAL">#REF!</definedName>
    <definedName name="enddate">"Month ending March- 2002"</definedName>
    <definedName name="ENDPERIODNAME1">#REF!</definedName>
    <definedName name="ENDPERIODNUM1">#REF!</definedName>
    <definedName name="ENDPERIODYEAR1">#REF!</definedName>
    <definedName name="ENTRY">#REF!</definedName>
    <definedName name="EP">#REF!</definedName>
    <definedName name="EPMWorkbookOptions_1" hidden="1">"SAEAAB|LCAAAAAAABADsvQdgHEmWJSYvbcp7f0r1StfgdKEIgGATJNiQQBDswYjN5pLsHWlHIymrKoHKZVZlXWYWQMztnbz33nvvvffee||997o7nU4n99//P1xmZAFs9s5K2smeIYCqyB8/fnwfPyIe/x7vFmV6mddNUS0/|2h3vPNRmi|n1axYXnz20bo939799KPf4|g3Th5/t6rfTqrq7Zerlpo2Kb23bB69a4rPPpq37erR3btXV1fjq3v"</definedName>
    <definedName name="EPMWorkbookOptions_2" hidden="1">"jqr64u7ezs3v39/7i|evpPF9k28WyabPlNP/IvjW7|a2PqNc0ffwqP6/zZv7l8stVvjw6z8omf3w3/JDbnZR5Vj/N2uzL5evsMjctux9zWzOWl3XV5tM2n5nW/S/C9lez9C6IYRsqNY7|nwAAAP//Sn4wTEgBAAA="</definedName>
    <definedName name="EQU">#REF!</definedName>
    <definedName name="ERE" localSheetId="4" hidden="1">{#N/A,#N/A,FALSE,"Full Year";#N/A,#N/A,FALSE,"Current Month";#N/A,#N/A,FALSE,"YTD";#N/A,#N/A,FALSE,"Remainder";#N/A,#N/A,FALSE,"Full Year Variance";#N/A,#N/A,FALSE,"Quarterly Variance"}</definedName>
    <definedName name="ERE" hidden="1">{#N/A,#N/A,FALSE,"Full Year";#N/A,#N/A,FALSE,"Current Month";#N/A,#N/A,FALSE,"YTD";#N/A,#N/A,FALSE,"Remainder";#N/A,#N/A,FALSE,"Full Year Variance";#N/A,#N/A,FALSE,"Quarterly Variance"}</definedName>
    <definedName name="ert" localSheetId="4" hidden="1">{#N/A,#N/A,FALSE,"Projections";#N/A,#N/A,FALSE,"Acq Mult";#N/A,#N/A,FALSE,"TWER Mult";#N/A,#N/A,FALSE,"DCF EBITDA";#N/A,#N/A,FALSE,"DCF EBIT";#N/A,#N/A,FALSE,"Debt Accr";#N/A,#N/A,FALSE,"Stock Accr";#N/A,#N/A,FALSE,"Debt Stock Accr";#N/A,#N/A,FALSE,"Accr Dil Sensi"}</definedName>
    <definedName name="ert" hidden="1">{#N/A,#N/A,FALSE,"Projections";#N/A,#N/A,FALSE,"Acq Mult";#N/A,#N/A,FALSE,"TWER Mult";#N/A,#N/A,FALSE,"DCF EBITDA";#N/A,#N/A,FALSE,"DCF EBIT";#N/A,#N/A,FALSE,"Debt Accr";#N/A,#N/A,FALSE,"Stock Accr";#N/A,#N/A,FALSE,"Debt Stock Accr";#N/A,#N/A,FALSE,"Accr Dil Sensi"}</definedName>
    <definedName name="ESCHEAT">#REF!</definedName>
    <definedName name="Ess_Fiscal_Year">#REF!</definedName>
    <definedName name="Ess_GL_Dept">#REF!</definedName>
    <definedName name="Ess_Overlay">#REF!</definedName>
    <definedName name="Ess_PRODUCT">#REF!</definedName>
    <definedName name="Ess_REGION">#REF!</definedName>
    <definedName name="Ess_SALPLANSHEET">#REF!</definedName>
    <definedName name="Ess_Scenario">#REF!</definedName>
    <definedName name="Ess_TOTALS_BENEFITS_LTD_EXPENSES">#REF!</definedName>
    <definedName name="Ess_TOTALS_BENEFITS_MEDICAL_EXPENSES">#REF!</definedName>
    <definedName name="Ess_TOTALS_BENEFITS_RECAP_EXPENSES">#REF!</definedName>
    <definedName name="Ess_TOTALS_BENEFITS_VACATION_SEVERANCE">#REF!</definedName>
    <definedName name="Ess_TOTALS_BONUS_EXPENSE">#REF!</definedName>
    <definedName name="Ess_TOTALS_FTEs">#REF!</definedName>
    <definedName name="Ess_TOTALS_HDCT">#REF!</definedName>
    <definedName name="Ess_TOTALS_LABOR_EXPENSE">#REF!</definedName>
    <definedName name="Ess_TOTALS_OVERTIME_EXPENSE">#REF!</definedName>
    <definedName name="Ess_TOTALS_PAYROLL_TAX_EXPENSE">#REF!</definedName>
    <definedName name="Ess_Version">#REF!</definedName>
    <definedName name="EssAliasTable">"Default"</definedName>
    <definedName name="EssLatest">"BegBalance"</definedName>
    <definedName name="essoptions">#REF!</definedName>
    <definedName name="EssSamplingValue">100</definedName>
    <definedName name="EUROAUTO">#REF!</definedName>
    <definedName name="EUROAUTOTITLES">#REF!</definedName>
    <definedName name="EUROPE">#REF!,#REF!,#REF!,#REF!</definedName>
    <definedName name="EUROPWSPRTS">#REF!</definedName>
    <definedName name="EUROPWSPRTTITLES">#REF!</definedName>
    <definedName name="EV__LASTREFTIME__" hidden="1">38618.5925694444</definedName>
    <definedName name="ewp">#REF!</definedName>
    <definedName name="excel" localSheetId="4" hidden="1">{"cash flow - FY00",#N/A,FALSE,"P &amp; L";"cash flow - FY01",#N/A,FALSE,"P &amp; L"}</definedName>
    <definedName name="excel" hidden="1">{"cash flow - FY00",#N/A,FALSE,"P &amp; L";"cash flow - FY01",#N/A,FALSE,"P &amp; L"}</definedName>
    <definedName name="execs">#REF!</definedName>
    <definedName name="EXP">#REF!</definedName>
    <definedName name="EXPDEPT">#REF!</definedName>
    <definedName name="EXPENSE">#REF!</definedName>
    <definedName name="ExpenseAccounts">#REF!</definedName>
    <definedName name="ExpenseDepartments">#REF!</definedName>
    <definedName name="Explain_Print">#REF!</definedName>
    <definedName name="EXPREG">#REF!</definedName>
    <definedName name="EXPSUMM">#REF!</definedName>
    <definedName name="External">sheet1</definedName>
    <definedName name="EXTRA">#REF!</definedName>
    <definedName name="_xlnm.Extract">#REF!</definedName>
    <definedName name="EZPAY">#REF!</definedName>
    <definedName name="F_F">#REF!</definedName>
    <definedName name="fa">#REF!</definedName>
    <definedName name="Factor">#REF!</definedName>
    <definedName name="fasderqwrqwer" localSheetId="4" hidden="1">{"'Hardware Req.'!$A$1:$C$23"}</definedName>
    <definedName name="fasderqwrqwer" hidden="1">{"'Hardware Req.'!$A$1:$C$23"}</definedName>
    <definedName name="FCST">#REF!</definedName>
    <definedName name="Fcst_Det">#REF!</definedName>
    <definedName name="FCSTVAR">#REF!</definedName>
    <definedName name="FCVAR">#REF!</definedName>
    <definedName name="fdg" localSheetId="4" hidden="1">{"Assumptions",#N/A,TRUE,"Assumptions";"Income",#N/A,TRUE,"Income";"Balance",#N/A,TRUE,"Balance"}</definedName>
    <definedName name="fdg" hidden="1">{"Assumptions",#N/A,TRUE,"Assumptions";"Income",#N/A,TRUE,"Income";"Balance",#N/A,TRUE,"Balance"}</definedName>
    <definedName name="FEB">#REF!</definedName>
    <definedName name="Feb_Apr12_Trans_Chargeback_Rpt">#REF!</definedName>
    <definedName name="Feb02_201_ADD">#REF!</definedName>
    <definedName name="February">#N/A</definedName>
    <definedName name="FEDEX">#REF!</definedName>
    <definedName name="FEES">#REF!</definedName>
    <definedName name="FFAPPCOLNAME1_1">#REF!</definedName>
    <definedName name="FFAPPCOLNAME1_16">#REF!</definedName>
    <definedName name="FFAPPCOLNAME1_6">#REF!</definedName>
    <definedName name="FFAPPCOLNAME2_1">#REF!</definedName>
    <definedName name="FFAPPCOLNAME2_16">#REF!</definedName>
    <definedName name="FFAPPCOLNAME2_6">#REF!</definedName>
    <definedName name="FFAPPCOLNAME3_1">#REF!</definedName>
    <definedName name="FFAPPCOLNAME3_16">#REF!</definedName>
    <definedName name="FFAPPCOLNAME3_6">#REF!</definedName>
    <definedName name="FFAPPCOLNAME4_1">#REF!</definedName>
    <definedName name="FFAPPCOLNAME4_16">#REF!</definedName>
    <definedName name="FFAPPCOLNAME4_6">#REF!</definedName>
    <definedName name="FFAPPCOLNAME5_1">#REF!</definedName>
    <definedName name="FFAPPCOLNAME5_16">#REF!</definedName>
    <definedName name="FFAPPCOLNAME5_6">#REF!</definedName>
    <definedName name="FFAPPCOLNAME6_1">#REF!</definedName>
    <definedName name="FFAPPCOLNAME6_16">#REF!</definedName>
    <definedName name="FFAPPCOLNAME6_6">#REF!</definedName>
    <definedName name="FFAppColName7_1">#REF!</definedName>
    <definedName name="fff" hidden="1">#REF!</definedName>
    <definedName name="FFFF">#REF!</definedName>
    <definedName name="FFSEGDESC1_1">#REF!</definedName>
    <definedName name="FFSEGDESC2_1">#REF!</definedName>
    <definedName name="FFSEGDESC3_1">#REF!</definedName>
    <definedName name="FFSEGDESC4_1">#REF!</definedName>
    <definedName name="FFSEGDESC5_1">#REF!</definedName>
    <definedName name="FFSEGDESC6_1">#REF!</definedName>
    <definedName name="FFSEGMENT1_1">#REF!</definedName>
    <definedName name="FFSEGMENT1_16">#REF!</definedName>
    <definedName name="FFSEGMENT1_6">#REF!</definedName>
    <definedName name="FFSEGMENT2_1">#REF!</definedName>
    <definedName name="FFSEGMENT2_16">#REF!</definedName>
    <definedName name="FFSEGMENT2_6">#REF!</definedName>
    <definedName name="FFSEGMENT3_1">#REF!</definedName>
    <definedName name="FFSEGMENT3_16">#REF!</definedName>
    <definedName name="FFSEGMENT3_6">#REF!</definedName>
    <definedName name="FFSEGMENT4_1">#REF!</definedName>
    <definedName name="FFSEGMENT4_16">#REF!</definedName>
    <definedName name="FFSEGMENT4_6">#REF!</definedName>
    <definedName name="FFSEGMENT5_1">#REF!</definedName>
    <definedName name="FFSEGMENT5_16">#REF!</definedName>
    <definedName name="FFSEGMENT5_6">#REF!</definedName>
    <definedName name="FFSEGMENT6_1">#REF!</definedName>
    <definedName name="FFSEGMENT6_16">#REF!</definedName>
    <definedName name="FFSEGMENT6_6">#REF!</definedName>
    <definedName name="FFSegment7_1">#REF!</definedName>
    <definedName name="FFSEGSEPARATOR1">#REF!</definedName>
    <definedName name="FFSEGSEPARATOR16">#REF!</definedName>
    <definedName name="FFSEGSEPARATOR6">#REF!</definedName>
    <definedName name="fg" localSheetId="4" hidden="1">{#N/A,#N/A,FALSE,"Pooling";#N/A,#N/A,FALSE,"income";#N/A,#N/A,FALSE,"valuation"}</definedName>
    <definedName name="fg" hidden="1">{#N/A,#N/A,FALSE,"Pooling";#N/A,#N/A,FALSE,"income";#N/A,#N/A,FALSE,"valuation"}</definedName>
    <definedName name="fgggggggg" localSheetId="4" hidden="1">{#N/A,#N/A,FALSE,"TOTAL";#N/A,#N/A,FALSE,"BURGER KING";#N/A,#N/A,FALSE,"MARRIOTT";#N/A,#N/A,FALSE,"DISNEY";#N/A,#N/A,FALSE,"DISTRIBUTORS";#N/A,#N/A,FALSE,"FORMULA"}</definedName>
    <definedName name="fgggggggg" hidden="1">{#N/A,#N/A,FALSE,"TOTAL";#N/A,#N/A,FALSE,"BURGER KING";#N/A,#N/A,FALSE,"MARRIOTT";#N/A,#N/A,FALSE,"DISNEY";#N/A,#N/A,FALSE,"DISTRIBUTORS";#N/A,#N/A,FALSE,"FORMULA"}</definedName>
    <definedName name="fica_cap">#REF!</definedName>
    <definedName name="ficass_cap">#REF!</definedName>
    <definedName name="FieldNameColumn1">#REF!</definedName>
    <definedName name="FIELDNAMECOLUMN16">#REF!</definedName>
    <definedName name="FIELDNAMECOLUMN6">#REF!</definedName>
    <definedName name="FieldNameRow1">#REF!</definedName>
    <definedName name="FIELDNAMEROW16">#REF!</definedName>
    <definedName name="FIELDNAMEROW6">#REF!</definedName>
    <definedName name="FINACT">#REF!</definedName>
    <definedName name="FINAL">#REF!</definedName>
    <definedName name="Final_Total">#REF!</definedName>
    <definedName name="find" localSheetId="4" hidden="1">{#N/A,#N/A,FALSE,"Full Year";#N/A,#N/A,FALSE,"Current Month";#N/A,#N/A,FALSE,"Remainder";#N/A,#N/A,FALSE,"Quarterly Variance";#N/A,#N/A,FALSE,"YTD";#N/A,#N/A,FALSE,"Full Year Variance";#N/A,#N/A,FALSE,"Growth";#N/A,#N/A,FALSE,"Risk Adj Summary";#N/A,#N/A,FALSE,"Selling";#N/A,#N/A,FALSE,"Setup";#N/A,#N/A,FALSE,"CM Comp"}</definedName>
    <definedName name="find" hidden="1">{#N/A,#N/A,FALSE,"Full Year";#N/A,#N/A,FALSE,"Current Month";#N/A,#N/A,FALSE,"Remainder";#N/A,#N/A,FALSE,"Quarterly Variance";#N/A,#N/A,FALSE,"YTD";#N/A,#N/A,FALSE,"Full Year Variance";#N/A,#N/A,FALSE,"Growth";#N/A,#N/A,FALSE,"Risk Adj Summary";#N/A,#N/A,FALSE,"Selling";#N/A,#N/A,FALSE,"Setup";#N/A,#N/A,FALSE,"CM Comp"}</definedName>
    <definedName name="FIND2" localSheetId="4" hidden="1">{#N/A,#N/A,FALSE,"Full Year";#N/A,#N/A,FALSE,"Current Month";#N/A,#N/A,FALSE,"Remainder";#N/A,#N/A,FALSE,"Quarterly Variance";#N/A,#N/A,FALSE,"YTD";#N/A,#N/A,FALSE,"Full Year Variance";#N/A,#N/A,FALSE,"Growth";#N/A,#N/A,FALSE,"Risk Adj Summary";#N/A,#N/A,FALSE,"Selling";#N/A,#N/A,FALSE,"Setup";#N/A,#N/A,FALSE,"CM Comp"}</definedName>
    <definedName name="FIND2" hidden="1">{#N/A,#N/A,FALSE,"Full Year";#N/A,#N/A,FALSE,"Current Month";#N/A,#N/A,FALSE,"Remainder";#N/A,#N/A,FALSE,"Quarterly Variance";#N/A,#N/A,FALSE,"YTD";#N/A,#N/A,FALSE,"Full Year Variance";#N/A,#N/A,FALSE,"Growth";#N/A,#N/A,FALSE,"Risk Adj Summary";#N/A,#N/A,FALSE,"Selling";#N/A,#N/A,FALSE,"Setup";#N/A,#N/A,FALSE,"CM Comp"}</definedName>
    <definedName name="FINFCST">#REF!</definedName>
    <definedName name="FINHC">#REF!</definedName>
    <definedName name="FINPLAN">#REF!</definedName>
    <definedName name="FirstDataRow1">#REF!</definedName>
    <definedName name="FIRSTDATAROW16">#REF!</definedName>
    <definedName name="FIRSTDATAROW6">#REF!</definedName>
    <definedName name="firstdepdt">#REF!</definedName>
    <definedName name="firstje">#REF!</definedName>
    <definedName name="Fiscal">#REF!</definedName>
    <definedName name="FISCAL_YEAR">#REF!</definedName>
    <definedName name="FIX">#REF!</definedName>
    <definedName name="FLASH">#REF!</definedName>
    <definedName name="float">#REF!</definedName>
    <definedName name="FLOCRR">#REF!</definedName>
    <definedName name="FLOGA">#REF!</definedName>
    <definedName name="FLOPO">#REF!</definedName>
    <definedName name="FLVesselDlrs">5</definedName>
    <definedName name="FNDNAM1">#REF!</definedName>
    <definedName name="FNDNAM16">#REF!</definedName>
    <definedName name="FNDNAM6">#REF!</definedName>
    <definedName name="FNDUSERID1">#REF!</definedName>
    <definedName name="FNDUSERID16">#REF!</definedName>
    <definedName name="FNDUSERID6">#REF!</definedName>
    <definedName name="folkert" localSheetId="4" hidden="1">{"totrevbx",#N/A,FALSE,"Paris Rev";"totrevbxparis",#N/A,FALSE,"Total Rev";"totprocrevben",#N/A,FALSE,"Tot Proc Rev";"totloss",#N/A,FALSE,"HL";"ISSummary",#N/A,FALSE,"Tot Proc Rev";"TotClientnum",#N/A,FALSE,"HL";"otherinc",#N/A,FALSE,"Other Inc";"totprocsched",#N/A,FALSE,"HL";"inputtotsal",#N/A,FALSE,"HL";"salesinputcap",#N/A,FALSE,"HL";"saleswoyrendtotben",#N/A,FALSE,"HL";"totprocsched",#N/A,FALSE,"HL";"TotClientnum",#N/A,FALSE,"HL";"otherinc",#N/A,FALSE,"HL";"totprocsched",#N/A,FALSE,"HL";"startcap",#N/A,FALSE,"HL";"starttotben",#N/A,FALSE,"HL"}</definedName>
    <definedName name="folkert" hidden="1">{"totrevbx",#N/A,FALSE,"Paris Rev";"totrevbxparis",#N/A,FALSE,"Total Rev";"totprocrevben",#N/A,FALSE,"Tot Proc Rev";"totloss",#N/A,FALSE,"HL";"ISSummary",#N/A,FALSE,"Tot Proc Rev";"TotClientnum",#N/A,FALSE,"HL";"otherinc",#N/A,FALSE,"Other Inc";"totprocsched",#N/A,FALSE,"HL";"inputtotsal",#N/A,FALSE,"HL";"salesinputcap",#N/A,FALSE,"HL";"saleswoyrendtotben",#N/A,FALSE,"HL";"totprocsched",#N/A,FALSE,"HL";"TotClientnum",#N/A,FALSE,"HL";"otherinc",#N/A,FALSE,"HL";"totprocsched",#N/A,FALSE,"HL";"startcap",#N/A,FALSE,"HL";"starttotben",#N/A,FALSE,"HL"}</definedName>
    <definedName name="folkert1" localSheetId="4" hidden="1">{"totrevbx",#N/A,FALSE,"Paris Rev";"totrevbxparis",#N/A,FALSE,"Total Rev";"totprocrevben",#N/A,FALSE,"Tot Proc Rev";"totloss",#N/A,FALSE,"HL";"ISSummary",#N/A,FALSE,"Tot Proc Rev";"TotClientnum",#N/A,FALSE,"HL";"otherinc",#N/A,FALSE,"Other Inc";"totprocsched",#N/A,FALSE,"HL";"inputtotsal",#N/A,FALSE,"HL";"salesinputcap",#N/A,FALSE,"HL";"saleswoyrendtotben",#N/A,FALSE,"HL";"totprocsched",#N/A,FALSE,"HL";"TotClientnum",#N/A,FALSE,"HL";"otherinc",#N/A,FALSE,"HL";"totprocsched",#N/A,FALSE,"HL";"startcap",#N/A,FALSE,"HL";"starttotben",#N/A,FALSE,"HL"}</definedName>
    <definedName name="folkert1" hidden="1">{"totrevbx",#N/A,FALSE,"Paris Rev";"totrevbxparis",#N/A,FALSE,"Total Rev";"totprocrevben",#N/A,FALSE,"Tot Proc Rev";"totloss",#N/A,FALSE,"HL";"ISSummary",#N/A,FALSE,"Tot Proc Rev";"TotClientnum",#N/A,FALSE,"HL";"otherinc",#N/A,FALSE,"Other Inc";"totprocsched",#N/A,FALSE,"HL";"inputtotsal",#N/A,FALSE,"HL";"salesinputcap",#N/A,FALSE,"HL";"saleswoyrendtotben",#N/A,FALSE,"HL";"totprocsched",#N/A,FALSE,"HL";"TotClientnum",#N/A,FALSE,"HL";"otherinc",#N/A,FALSE,"HL";"totprocsched",#N/A,FALSE,"HL";"startcap",#N/A,FALSE,"HL";"starttotben",#N/A,FALSE,"HL"}</definedName>
    <definedName name="folkert2" localSheetId="4" hidden="1">{"UtrTotRev",#N/A,FALSE,"Utrecht";"UtrTotProc",#N/A,FALSE,"Utrecht";"UtrProcPRHR",#N/A,FALSE,"Utrecht";"UtrProcTAMS",#N/A,FALSE,"Utrecht";"UtrProcNewTot",#N/A,FALSE,"Utrecht";"UtrSalesStarts",#N/A,FALSE,"Utrecht";"UtrLoss",#N/A,FALSE,"Utrecht";"UtrSUYrEnd",#N/A,FALSE,"Utrecht";"Utrclients",#N/A,FALSE,"Utrecht";"Utrinput",#N/A,FALSE,"Utrecht"}</definedName>
    <definedName name="folkert2" hidden="1">{"UtrTotRev",#N/A,FALSE,"Utrecht";"UtrTotProc",#N/A,FALSE,"Utrecht";"UtrProcPRHR",#N/A,FALSE,"Utrecht";"UtrProcTAMS",#N/A,FALSE,"Utrecht";"UtrProcNewTot",#N/A,FALSE,"Utrecht";"UtrSalesStarts",#N/A,FALSE,"Utrecht";"UtrLoss",#N/A,FALSE,"Utrecht";"UtrSUYrEnd",#N/A,FALSE,"Utrecht";"Utrclients",#N/A,FALSE,"Utrecht";"Utrinput",#N/A,FALSE,"Utrecht"}</definedName>
    <definedName name="FOOT401K">#REF!</definedName>
    <definedName name="FOOTATLANTA">#REF!</definedName>
    <definedName name="FOOTBOSTON">#REF!</definedName>
    <definedName name="FOOTBUFFALO">#REF!</definedName>
    <definedName name="FOOTCHARLOTTE">#REF!</definedName>
    <definedName name="FOOTCHESAPEAKE">#REF!</definedName>
    <definedName name="FOOTHARTFORD">#REF!</definedName>
    <definedName name="FOOTLONGISLAND">#REF!</definedName>
    <definedName name="FOOTMIAMI">#REF!</definedName>
    <definedName name="FOOTNYMETRO">#REF!</definedName>
    <definedName name="FOOTPHILLY">#REF!</definedName>
    <definedName name="FOOTPITTSBURGH">#REF!</definedName>
    <definedName name="FOOTPRINCETON">#REF!</definedName>
    <definedName name="FOOTSYRACUSE">#REF!</definedName>
    <definedName name="FORC">#REF!</definedName>
    <definedName name="FORD_SHIPPER">#REF!</definedName>
    <definedName name="FORE">#REF!</definedName>
    <definedName name="Forecast">#REF!</definedName>
    <definedName name="Forecast1">#REF!</definedName>
    <definedName name="forecast2">#REF!</definedName>
    <definedName name="foreign_ex_an_client">#REF!</definedName>
    <definedName name="foreign_ex_an_internal">#REF!</definedName>
    <definedName name="FORM">#REF!</definedName>
    <definedName name="FORM1">#REF!</definedName>
    <definedName name="FORMULAS">#REF!</definedName>
    <definedName name="fr" localSheetId="4" hidden="1">{"TBB3 Assns",#N/A,FALSE,"Valuation";"TBB3 assumptions",#N/A,FALSE,"Assumptions";"TBB3 model",#N/A,FALSE,"INCOME"}</definedName>
    <definedName name="fr" hidden="1">{"TBB3 Assns",#N/A,FALSE,"Valuation";"TBB3 assumptions",#N/A,FALSE,"Assumptions";"TBB3 model",#N/A,FALSE,"INCOME"}</definedName>
    <definedName name="frcst_recap">#REF!</definedName>
    <definedName name="FRCSTFLASH">#REF!</definedName>
    <definedName name="Freight">OFFSET(#REF!,0,0,COUNTA(#REF!),17)</definedName>
    <definedName name="FreshB">#REF!</definedName>
    <definedName name="Fringe">#REF!</definedName>
    <definedName name="FRONT">#REF!</definedName>
    <definedName name="FrzFrcst">#N/A</definedName>
    <definedName name="Frzfrcst2">#N/A</definedName>
    <definedName name="FrzPlan">#N/A</definedName>
    <definedName name="Frzplan2">#N/A</definedName>
    <definedName name="FSACT">#REF!</definedName>
    <definedName name="fsdfs" localSheetId="4" hidden="1">{"HLTotRev",#N/A,FALSE,"HL";"HLProcRev",#N/A,FALSE,"HL";"HLProcPRHRTA",#N/A,FALSE,"HL";"HLProcMSNEWTot",#N/A,FALSE,"HL";"HLSalesStarts",#N/A,FALSE,"HL";"HLLoss",#N/A,FALSE,"HL";"HLSUYrend",#N/A,FALSE,"HL";"Clients",#N/A,FALSE,"HL";"InputSales",#N/A,FALSE,"HL"}</definedName>
    <definedName name="fsdfs" hidden="1">{"HLTotRev",#N/A,FALSE,"HL";"HLProcRev",#N/A,FALSE,"HL";"HLProcPRHRTA",#N/A,FALSE,"HL";"HLProcMSNEWTot",#N/A,FALSE,"HL";"HLSalesStarts",#N/A,FALSE,"HL";"HLLoss",#N/A,FALSE,"HL";"HLSUYrend",#N/A,FALSE,"HL";"Clients",#N/A,FALSE,"HL";"InputSales",#N/A,FALSE,"HL"}</definedName>
    <definedName name="FSFCST">#REF!</definedName>
    <definedName name="FSHC">#REF!</definedName>
    <definedName name="FSPLAN">#REF!</definedName>
    <definedName name="FTE">#REF!</definedName>
    <definedName name="FULL">#REF!</definedName>
    <definedName name="FunctionalCurrency1">#REF!</definedName>
    <definedName name="FUNCTIONALCURRENCY16">#REF!</definedName>
    <definedName name="FUNCTIONALCURRENCY6">#REF!</definedName>
    <definedName name="Funding">#REF!</definedName>
    <definedName name="futa_cap">#REF!</definedName>
    <definedName name="FUTA_RATE">#REF!</definedName>
    <definedName name="fy04priceincrease">#REF!</definedName>
    <definedName name="fy06fringe">#REF!</definedName>
    <definedName name="fy06priceincrease">#REF!</definedName>
    <definedName name="fy07fringe">#REF!</definedName>
    <definedName name="FY07PI">#REF!</definedName>
    <definedName name="FY07Trips">#REF!</definedName>
    <definedName name="FY92_">#REF!</definedName>
    <definedName name="FY94_">#REF!</definedName>
    <definedName name="FY95PLAN">#REF!</definedName>
    <definedName name="FY96_">#REF!</definedName>
    <definedName name="FY963MNTHFCST">#REF!</definedName>
    <definedName name="FY96OSSINING">#REF!</definedName>
    <definedName name="FY97PLAN">#REF!</definedName>
    <definedName name="FYFCST">#REF!</definedName>
    <definedName name="FYVAR">#REF!</definedName>
    <definedName name="g">#REF!</definedName>
    <definedName name="GA">#REF!</definedName>
    <definedName name="garnishments">sheet1</definedName>
    <definedName name="GAS">#REF!</definedName>
    <definedName name="gdfs" localSheetId="4" hidden="1">{#N/A,#N/A,FALSE,"Projections";#N/A,#N/A,FALSE,"Multiples Valuation";#N/A,#N/A,FALSE,"LBO";#N/A,#N/A,FALSE,"Multiples_Sensitivity";#N/A,#N/A,FALSE,"Summary"}</definedName>
    <definedName name="gdfs" hidden="1">{#N/A,#N/A,FALSE,"Projections";#N/A,#N/A,FALSE,"Multiples Valuation";#N/A,#N/A,FALSE,"LBO";#N/A,#N/A,FALSE,"Multiples_Sensitivity";#N/A,#N/A,FALSE,"Summary"}</definedName>
    <definedName name="GE">#REF!</definedName>
    <definedName name="GETIP">#REF!</definedName>
    <definedName name="gg" hidden="1">#REF!</definedName>
    <definedName name="ggg" hidden="1">#REF!</definedName>
    <definedName name="GL_Dept">#REF!</definedName>
    <definedName name="GL_Inquiry_Results">#REF!</definedName>
    <definedName name="GlideChartMarker" hidden="1">"Chart!A1"</definedName>
    <definedName name="GlideDataMarker" hidden="1">"Data!A1"</definedName>
    <definedName name="GlideHiddenMarker" hidden="1">"Costcurvedata!A1"</definedName>
    <definedName name="GlideMaxCharts" hidden="1">7</definedName>
    <definedName name="gmgm">#REF!</definedName>
    <definedName name="Grand_total">#REF!</definedName>
    <definedName name="gross">#REF!</definedName>
    <definedName name="GROUPALLOC">#REF!</definedName>
    <definedName name="GRPENTRY">#REF!</definedName>
    <definedName name="GS_INV">#REF!</definedName>
    <definedName name="gt">#REF!</definedName>
    <definedName name="GVTACT">#REF!</definedName>
    <definedName name="GVTFCST">#REF!</definedName>
    <definedName name="GVTHC">#REF!</definedName>
    <definedName name="GVTPLAN">#REF!</definedName>
    <definedName name="gwact">#REF!</definedName>
    <definedName name="gwcaact">#REF!</definedName>
    <definedName name="gwcaplan">#REF!</definedName>
    <definedName name="gwplan">#REF!+#REF!</definedName>
    <definedName name="GWYUID1">#REF!</definedName>
    <definedName name="GWYUID16">#REF!</definedName>
    <definedName name="GWYUID6">#REF!</definedName>
    <definedName name="hardware">#REF!</definedName>
    <definedName name="HARMON">#REF!</definedName>
    <definedName name="HARRIS">#REF!</definedName>
    <definedName name="HARTFORD">#REF!</definedName>
    <definedName name="HC">#REF!</definedName>
    <definedName name="HDCT">#REF!</definedName>
    <definedName name="head_count">#REF!</definedName>
    <definedName name="headcount">#REF!</definedName>
    <definedName name="Headcount_Mid">#REF!</definedName>
    <definedName name="HEADCOUNT_REPORT">#REF!</definedName>
    <definedName name="HEADER">#REF!</definedName>
    <definedName name="help" localSheetId="4" hidden="1">{#N/A,#N/A,FALSE,"Summary";#N/A,#N/A,FALSE,"proj1";#N/A,#N/A,FALSE,"proj2";#N/A,#N/A,FALSE,"DCF"}</definedName>
    <definedName name="help" hidden="1">{#N/A,#N/A,FALSE,"Summary";#N/A,#N/A,FALSE,"proj1";#N/A,#N/A,FALSE,"proj2";#N/A,#N/A,FALSE,"DCF"}</definedName>
    <definedName name="HERCULES">#REF!</definedName>
    <definedName name="HERE1">#REF!</definedName>
    <definedName name="HH" hidden="1">#REF!</definedName>
    <definedName name="hhh" hidden="1">#REF!</definedName>
    <definedName name="hhhh" hidden="1">#REF!</definedName>
    <definedName name="hide_benefits1">#REF!</definedName>
    <definedName name="hide_benefits2">#REF!</definedName>
    <definedName name="hilde" localSheetId="4" hidden="1">{"totrevbx",#N/A,FALSE,"Paris Rev";"totrevbxparis",#N/A,FALSE,"Total Rev";"totprocrevben",#N/A,FALSE,"Tot Proc Rev";"totloss",#N/A,FALSE,"HL";"ISSummary",#N/A,FALSE,"Tot Proc Rev";"TotClientnum",#N/A,FALSE,"HL";"otherinc",#N/A,FALSE,"Other Inc";"totprocsched",#N/A,FALSE,"HL";"inputtotsal",#N/A,FALSE,"HL";"salesinputcap",#N/A,FALSE,"HL";"saleswoyrendtotben",#N/A,FALSE,"HL";"totprocsched",#N/A,FALSE,"HL";"TotClientnum",#N/A,FALSE,"HL";"otherinc",#N/A,FALSE,"HL";"totprocsched",#N/A,FALSE,"HL";"startcap",#N/A,FALSE,"HL";"starttotben",#N/A,FALSE,"HL"}</definedName>
    <definedName name="hilde" hidden="1">{"totrevbx",#N/A,FALSE,"Paris Rev";"totrevbxparis",#N/A,FALSE,"Total Rev";"totprocrevben",#N/A,FALSE,"Tot Proc Rev";"totloss",#N/A,FALSE,"HL";"ISSummary",#N/A,FALSE,"Tot Proc Rev";"TotClientnum",#N/A,FALSE,"HL";"otherinc",#N/A,FALSE,"Other Inc";"totprocsched",#N/A,FALSE,"HL";"inputtotsal",#N/A,FALSE,"HL";"salesinputcap",#N/A,FALSE,"HL";"saleswoyrendtotben",#N/A,FALSE,"HL";"totprocsched",#N/A,FALSE,"HL";"TotClientnum",#N/A,FALSE,"HL";"otherinc",#N/A,FALSE,"HL";"totprocsched",#N/A,FALSE,"HL";"startcap",#N/A,FALSE,"HL";"starttotben",#N/A,FALSE,"HL"}</definedName>
    <definedName name="hilde2" localSheetId="4" hidden="1">{"UtrTotRev",#N/A,FALSE,"Utrecht";"UtrTotProc",#N/A,FALSE,"Utrecht";"UtrProcPRHR",#N/A,FALSE,"Utrecht";"UtrProcTAMS",#N/A,FALSE,"Utrecht";"UtrProcNewTot",#N/A,FALSE,"Utrecht";"UtrSalesStarts",#N/A,FALSE,"Utrecht";"UtrLoss",#N/A,FALSE,"Utrecht";"UtrSUYrEnd",#N/A,FALSE,"Utrecht";"Utrclients",#N/A,FALSE,"Utrecht";"Utrinput",#N/A,FALSE,"Utrecht"}</definedName>
    <definedName name="hilde2" hidden="1">{"UtrTotRev",#N/A,FALSE,"Utrecht";"UtrTotProc",#N/A,FALSE,"Utrecht";"UtrProcPRHR",#N/A,FALSE,"Utrecht";"UtrProcTAMS",#N/A,FALSE,"Utrecht";"UtrProcNewTot",#N/A,FALSE,"Utrecht";"UtrSalesStarts",#N/A,FALSE,"Utrecht";"UtrLoss",#N/A,FALSE,"Utrecht";"UtrSUYrEnd",#N/A,FALSE,"Utrecht";"Utrclients",#N/A,FALSE,"Utrecht";"Utrinput",#N/A,FALSE,"Utrecht"}</definedName>
    <definedName name="HIM">#REF!</definedName>
    <definedName name="hjyny" localSheetId="4" hidden="1">{#N/A,#N/A,FALSE,"TSUM";#N/A,#N/A,FALSE,"shares";#N/A,#N/A,FALSE,"earnout";#N/A,#N/A,FALSE,"Heaty";#N/A,#N/A,FALSE,"self-tend";#N/A,#N/A,FALSE,"self-sum"}</definedName>
    <definedName name="hjyny" hidden="1">{#N/A,#N/A,FALSE,"TSUM";#N/A,#N/A,FALSE,"shares";#N/A,#N/A,FALSE,"earnout";#N/A,#N/A,FALSE,"Heaty";#N/A,#N/A,FALSE,"self-tend";#N/A,#N/A,FALSE,"self-sum"}</definedName>
    <definedName name="hod" localSheetId="4" hidden="1">{#N/A,#N/A,FALSE,"TS";#N/A,#N/A,FALSE,"Combo";#N/A,#N/A,FALSE,"FAIR";#N/A,#N/A,FALSE,"RBC";#N/A,#N/A,FALSE,"xxxx";#N/A,#N/A,FALSE,"A_D";#N/A,#N/A,FALSE,"WACC";#N/A,#N/A,FALSE,"DCF";#N/A,#N/A,FALSE,"LBO";#N/A,#N/A,FALSE,"AcqMults";#N/A,#N/A,FALSE,"CompMults"}</definedName>
    <definedName name="hod" hidden="1">{#N/A,#N/A,FALSE,"TS";#N/A,#N/A,FALSE,"Combo";#N/A,#N/A,FALSE,"FAIR";#N/A,#N/A,FALSE,"RBC";#N/A,#N/A,FALSE,"xxxx";#N/A,#N/A,FALSE,"A_D";#N/A,#N/A,FALSE,"WACC";#N/A,#N/A,FALSE,"DCF";#N/A,#N/A,FALSE,"LBO";#N/A,#N/A,FALSE,"AcqMults";#N/A,#N/A,FALSE,"CompMults"}</definedName>
    <definedName name="HOME">#REF!</definedName>
    <definedName name="HOMESAVINGS">#REF!</definedName>
    <definedName name="HOSP">#REF!</definedName>
    <definedName name="hotel1">#REF!</definedName>
    <definedName name="hotel2">#REF!</definedName>
    <definedName name="hotel3">#REF!</definedName>
    <definedName name="hotel4">#REF!</definedName>
    <definedName name="houy" localSheetId="4" hidden="1">{#N/A,#N/A,FALSE,"AD_Purchase";#N/A,#N/A,FALSE,"Credit";#N/A,#N/A,FALSE,"PF Acquisition";#N/A,#N/A,FALSE,"PF Offering"}</definedName>
    <definedName name="houy" hidden="1">{#N/A,#N/A,FALSE,"AD_Purchase";#N/A,#N/A,FALSE,"Credit";#N/A,#N/A,FALSE,"PF Acquisition";#N/A,#N/A,FALSE,"PF Offering"}</definedName>
    <definedName name="houy2" localSheetId="4" hidden="1">{#N/A,#N/A,FALSE,"AD_Purchase";#N/A,#N/A,FALSE,"Credit";#N/A,#N/A,FALSE,"PF Acquisition";#N/A,#N/A,FALSE,"PF Offering"}</definedName>
    <definedName name="houy2" hidden="1">{#N/A,#N/A,FALSE,"AD_Purchase";#N/A,#N/A,FALSE,"Credit";#N/A,#N/A,FALSE,"PF Acquisition";#N/A,#N/A,FALSE,"PF Offering"}</definedName>
    <definedName name="HP_Chelmsford">#REF!</definedName>
    <definedName name="HP_Florham_Park">#REF!</definedName>
    <definedName name="HP_Manhattan">#REF!</definedName>
    <definedName name="HP_Melville">#REF!</definedName>
    <definedName name="HP_Paramus">#REF!</definedName>
    <definedName name="HP_Piscataway">#REF!</definedName>
    <definedName name="HP_Rockville">#REF!</definedName>
    <definedName name="HP_Stamford">#REF!</definedName>
    <definedName name="HRD">#REF!</definedName>
    <definedName name="HTML_CodePage" hidden="1">1252</definedName>
    <definedName name="HTML_Control" localSheetId="4" hidden="1">{"'Hardware Req.'!$A$1:$C$23"}</definedName>
    <definedName name="HTML_Control" hidden="1">{"'Hardware Req.'!$A$1:$C$23"}</definedName>
    <definedName name="HTML_Description" hidden="1">""</definedName>
    <definedName name="HTML_Email" hidden="1">""</definedName>
    <definedName name="HTML_Header" hidden="1">"Hardware Req."</definedName>
    <definedName name="HTML_LastUpdate" hidden="1">"5/31/02"</definedName>
    <definedName name="HTML_LineAfter" hidden="1">FALSE</definedName>
    <definedName name="HTML_LineBefore" hidden="1">FALSE</definedName>
    <definedName name="HTML_Name" hidden="1">"Preferred Customer"</definedName>
    <definedName name="HTML_OBDlg2" hidden="1">TRUE</definedName>
    <definedName name="HTML_OBDlg4" hidden="1">TRUE</definedName>
    <definedName name="HTML_OS" hidden="1">0</definedName>
    <definedName name="HTML_PathFile" hidden="1">"a:\nitra-environment.html"</definedName>
    <definedName name="HTML_Title" hidden="1">"Nitra-Staging-Environment"</definedName>
    <definedName name="IBM">#REF!</definedName>
    <definedName name="IDR">#REF!</definedName>
    <definedName name="IDV">#REF!</definedName>
    <definedName name="iffy" localSheetId="4"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jn" localSheetId="4" hidden="1">{#N/A,#N/A,FALSE,"AD_Purchase";#N/A,#N/A,FALSE,"Credit";#N/A,#N/A,FALSE,"PF Acquisition";#N/A,#N/A,FALSE,"PF Offering"}</definedName>
    <definedName name="ijn" hidden="1">{#N/A,#N/A,FALSE,"AD_Purchase";#N/A,#N/A,FALSE,"Credit";#N/A,#N/A,FALSE,"PF Acquisition";#N/A,#N/A,FALSE,"PF Offering"}</definedName>
    <definedName name="Imagyn" localSheetId="4" hidden="1">{#N/A,#N/A,FALSE,"Projections";#N/A,#N/A,FALSE,"Multiples Valuation";#N/A,#N/A,FALSE,"LBO";#N/A,#N/A,FALSE,"Multiples_Sensitivity";#N/A,#N/A,FALSE,"Summary"}</definedName>
    <definedName name="Imagyn" hidden="1">{#N/A,#N/A,FALSE,"Projections";#N/A,#N/A,FALSE,"Multiples Valuation";#N/A,#N/A,FALSE,"LBO";#N/A,#N/A,FALSE,"Multiples_Sensitivity";#N/A,#N/A,FALSE,"Summary"}</definedName>
    <definedName name="IMP_COL_END">#REF!</definedName>
    <definedName name="IMP_ROW_END">#REF!</definedName>
    <definedName name="IMPNDENT">#REF!</definedName>
    <definedName name="IMPORT_AREA">#REF!</definedName>
    <definedName name="ImportDFF1">#REF!</definedName>
    <definedName name="IMPORTDFF16">#REF!</definedName>
    <definedName name="IMPORTDFF6">#REF!</definedName>
    <definedName name="IMPOUND">#REF!</definedName>
    <definedName name="INCOMESUMMARY">#REF!</definedName>
    <definedName name="INDEX">#REF!</definedName>
    <definedName name="INDIR">#REF!</definedName>
    <definedName name="INDIR1">#REF!</definedName>
    <definedName name="INDIR10">#REF!</definedName>
    <definedName name="INDIR11">#REF!</definedName>
    <definedName name="INDIR12">#REF!</definedName>
    <definedName name="INDIR2">#REF!</definedName>
    <definedName name="INDIR3">#REF!</definedName>
    <definedName name="INDIR4">#REF!</definedName>
    <definedName name="INDIR5">#REF!</definedName>
    <definedName name="INDIR6">#REF!</definedName>
    <definedName name="INDIR7">#REF!</definedName>
    <definedName name="INDIR8">#REF!</definedName>
    <definedName name="INDIR9">#REF!</definedName>
    <definedName name="Indirect_Heavy">#REF!</definedName>
    <definedName name="Insert_Row_ColA">#REF!</definedName>
    <definedName name="Insert_Row_Range">#REF!</definedName>
    <definedName name="INSERT1">#REF!</definedName>
    <definedName name="INSERT4">#REF!</definedName>
    <definedName name="install">#REF!</definedName>
    <definedName name="INSTR">#REF!</definedName>
    <definedName name="INSTRUCT">#REF!</definedName>
    <definedName name="interco">#REF!</definedName>
    <definedName name="INTEREST">#REF!</definedName>
    <definedName name="internal">sheet1</definedName>
    <definedName name="INTERNATAUTO">#REF!</definedName>
    <definedName name="INTERNATAUTOTITLES">#REF!</definedName>
    <definedName name="INV">#REF!</definedName>
    <definedName name="InvCost">7000</definedName>
    <definedName name="INVESTMENT">#REF!</definedName>
    <definedName name="Invocie_4">#REF!</definedName>
    <definedName name="invoice">#REF!</definedName>
    <definedName name="Invoice_1">#REF!</definedName>
    <definedName name="Invoice_3">#REF!</definedName>
    <definedName name="Invoice_4">#REF!</definedName>
    <definedName name="Invoice_5">#REF!</definedName>
    <definedName name="involve">#REF!</definedName>
    <definedName name="IQ_ACCOUNT_CHANGE" hidden="1">"c1449"</definedName>
    <definedName name="IQ_ACCOUNTING_STANDARD" hidden="1">"c4539"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INDUSTRY_REC" hidden="1">"c4455"</definedName>
    <definedName name="IQ_AVG_INDUSTRY_REC_NO" hidden="1">"c4454"</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TA" hidden="1">"c88"</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REUT" hidden="1">"c5471"</definedName>
    <definedName name="IQ_BV_EST_REUT" hidden="1">"c5403"</definedName>
    <definedName name="IQ_BV_HIGH_EST_REUT" hidden="1">"c5405"</definedName>
    <definedName name="IQ_BV_LOW_EST_REUT" hidden="1">"c5406"</definedName>
    <definedName name="IQ_BV_MEDIAN_EST_REUT" hidden="1">"c5404"</definedName>
    <definedName name="IQ_BV_NUM_EST_REUT" hidden="1">"c5407"</definedName>
    <definedName name="IQ_BV_OVER_SHARES" hidden="1">"c1349"</definedName>
    <definedName name="IQ_BV_SHARE" hidden="1">"c100"</definedName>
    <definedName name="IQ_BV_SHARE_ACT_OR_EST" hidden="1">"c3587"</definedName>
    <definedName name="IQ_BV_SHARE_ACT_OR_EST_REUT" hidden="1">"c5477"</definedName>
    <definedName name="IQ_BV_SHARE_EST" hidden="1">"c3541"</definedName>
    <definedName name="IQ_BV_SHARE_EST_REUT" hidden="1">"c5439"</definedName>
    <definedName name="IQ_BV_SHARE_HIGH_EST" hidden="1">"c3542"</definedName>
    <definedName name="IQ_BV_SHARE_HIGH_EST_REUT" hidden="1">"c5441"</definedName>
    <definedName name="IQ_BV_SHARE_LOW_EST" hidden="1">"c3543"</definedName>
    <definedName name="IQ_BV_SHARE_LOW_EST_REUT" hidden="1">"c5442"</definedName>
    <definedName name="IQ_BV_SHARE_MEDIAN_EST" hidden="1">"c3544"</definedName>
    <definedName name="IQ_BV_SHARE_MEDIAN_EST_REUT" hidden="1">"c5440"</definedName>
    <definedName name="IQ_BV_SHARE_NUM_EST" hidden="1">"c3539"</definedName>
    <definedName name="IQ_BV_SHARE_NUM_EST_REUT" hidden="1">"c5443"</definedName>
    <definedName name="IQ_BV_SHARE_STDDEV_EST" hidden="1">"c3540"</definedName>
    <definedName name="IQ_BV_SHARE_STDDEV_EST_REUT" hidden="1">"c5444"</definedName>
    <definedName name="IQ_BV_STDDEV_EST_REUT" hidden="1">"c5408"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ACT_OR_EST" hidden="1">"c3584"</definedName>
    <definedName name="IQ_CAPEX_ACT_OR_EST_REUT" hidden="1">"c5474"</definedName>
    <definedName name="IQ_CAPEX_BNK" hidden="1">"c110"</definedName>
    <definedName name="IQ_CAPEX_BR" hidden="1">"c111"</definedName>
    <definedName name="IQ_CAPEX_EST" hidden="1">"c3523"</definedName>
    <definedName name="IQ_CAPEX_EST_REUT" hidden="1">"c3969"</definedName>
    <definedName name="IQ_CAPEX_FIN" hidden="1">"c112"</definedName>
    <definedName name="IQ_CAPEX_GUIDANCE" hidden="1">"c4150"</definedName>
    <definedName name="IQ_CAPEX_HIGH_EST" hidden="1">"c3524"</definedName>
    <definedName name="IQ_CAPEX_HIGH_EST_REUT" hidden="1">"c3971"</definedName>
    <definedName name="IQ_CAPEX_HIGH_GUIDANCE" hidden="1">"c4180"</definedName>
    <definedName name="IQ_CAPEX_INS" hidden="1">"c113"</definedName>
    <definedName name="IQ_CAPEX_LOW_EST" hidden="1">"c3525"</definedName>
    <definedName name="IQ_CAPEX_LOW_EST_REUT" hidden="1">"c3972"</definedName>
    <definedName name="IQ_CAPEX_LOW_GUIDANCE" hidden="1">"c4220"</definedName>
    <definedName name="IQ_CAPEX_MEDIAN_EST" hidden="1">"c3526"</definedName>
    <definedName name="IQ_CAPEX_MEDIAN_EST_REUT" hidden="1">"c3970"</definedName>
    <definedName name="IQ_CAPEX_NUM_EST" hidden="1">"c3521"</definedName>
    <definedName name="IQ_CAPEX_NUM_EST_REUT" hidden="1">"c3973"</definedName>
    <definedName name="IQ_CAPEX_STDDEV_EST" hidden="1">"c3522"</definedName>
    <definedName name="IQ_CAPEX_STDDEV_EST_REUT" hidden="1">"c3974"</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FLOW_ACT_OR_EST" hidden="1">"c4154"</definedName>
    <definedName name="IQ_CASH_FLOW_EST" hidden="1">"c4153"</definedName>
    <definedName name="IQ_CASH_FLOW_GUIDANCE" hidden="1">"c4155"</definedName>
    <definedName name="IQ_CASH_FLOW_HIGH_EST" hidden="1">"c4156"</definedName>
    <definedName name="IQ_CASH_FLOW_HIGH_GUIDANCE" hidden="1">"c4201"</definedName>
    <definedName name="IQ_CASH_FLOW_LOW_EST" hidden="1">"c4157"</definedName>
    <definedName name="IQ_CASH_FLOW_LOW_GUIDANCE" hidden="1">"c4241"</definedName>
    <definedName name="IQ_CASH_FLOW_MEDIAN_EST" hidden="1">"c4158"</definedName>
    <definedName name="IQ_CASH_FLOW_NUM_EST" hidden="1">"c4159"</definedName>
    <definedName name="IQ_CASH_FLOW_STDDEV_EST" hidden="1">"c4160"</definedName>
    <definedName name="IQ_CASH_INTEREST" hidden="1">"c120"</definedName>
    <definedName name="IQ_CASH_INVEST" hidden="1">"c121"</definedName>
    <definedName name="IQ_CASH_OPER" hidden="1">"c122"</definedName>
    <definedName name="IQ_CASH_OPER_ACT_OR_EST" hidden="1">"c4164"</definedName>
    <definedName name="IQ_CASH_OPER_EST" hidden="1">"c4163"</definedName>
    <definedName name="IQ_CASH_OPER_GUIDANCE" hidden="1">"c4165"</definedName>
    <definedName name="IQ_CASH_OPER_HIGH_EST" hidden="1">"c4166"</definedName>
    <definedName name="IQ_CASH_OPER_HIGH_GUIDANCE" hidden="1">"c4185"</definedName>
    <definedName name="IQ_CASH_OPER_LOW_EST" hidden="1">"c4244"</definedName>
    <definedName name="IQ_CASH_OPER_LOW_GUIDANCE" hidden="1">"c4225"</definedName>
    <definedName name="IQ_CASH_OPER_MEDIAN_EST" hidden="1">"c4245"</definedName>
    <definedName name="IQ_CASH_OPER_NUM_EST" hidden="1">"c4246"</definedName>
    <definedName name="IQ_CASH_OPER_STDDEV_EST" hidden="1">"c4247"</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GUIDANCE" hidden="1">"c4250"</definedName>
    <definedName name="IQ_CASH_ST_INVEST_HIGH_EST" hidden="1">"c4251"</definedName>
    <definedName name="IQ_CASH_ST_INVEST_HIGH_GUIDANCE" hidden="1">"c4195"</definedName>
    <definedName name="IQ_CASH_ST_INVEST_LOW_EST" hidden="1">"c4252"</definedName>
    <definedName name="IQ_CASH_ST_INVEST_LOW_GUIDANCE" hidden="1">"c4235"</definedName>
    <definedName name="IQ_CASH_ST_INVEST_MEDIAN_EST" hidden="1">"c4253"</definedName>
    <definedName name="IQ_CASH_ST_INVEST_NUM_EST" hidden="1">"c4254"</definedName>
    <definedName name="IQ_CASH_ST_INVEST_STDDEV_EST" hidden="1">"c4255"</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ACT_OR_EST_REUT" hidden="1">"c5463"</definedName>
    <definedName name="IQ_CFPS_EST" hidden="1">"c1667"</definedName>
    <definedName name="IQ_CFPS_EST_REUT" hidden="1">"c3844"</definedName>
    <definedName name="IQ_CFPS_GUIDANCE" hidden="1">"c4256"</definedName>
    <definedName name="IQ_CFPS_HIGH_EST" hidden="1">"c1669"</definedName>
    <definedName name="IQ_CFPS_HIGH_EST_REUT" hidden="1">"c3846"</definedName>
    <definedName name="IQ_CFPS_HIGH_GUIDANCE" hidden="1">"c4167"</definedName>
    <definedName name="IQ_CFPS_LOW_EST" hidden="1">"c1670"</definedName>
    <definedName name="IQ_CFPS_LOW_EST_REUT" hidden="1">"c3847"</definedName>
    <definedName name="IQ_CFPS_LOW_GUIDANCE" hidden="1">"c4207"</definedName>
    <definedName name="IQ_CFPS_MEDIAN_EST" hidden="1">"c1668"</definedName>
    <definedName name="IQ_CFPS_MEDIAN_EST_REUT" hidden="1">"c3845"</definedName>
    <definedName name="IQ_CFPS_NUM_EST" hidden="1">"c1671"</definedName>
    <definedName name="IQ_CFPS_NUM_EST_REUT" hidden="1">"c3848"</definedName>
    <definedName name="IQ_CFPS_STDDEV_EST" hidden="1">"c1672"</definedName>
    <definedName name="IQ_CFPS_STDDEV_EST_REUT" hidden="1">"c3849"</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TY_EST" hidden="1">"c4257"</definedName>
    <definedName name="IQ_DEBT_EQUITY_HIGH_EST" hidden="1">"c4258"</definedName>
    <definedName name="IQ_DEBT_EQUITY_LOW_EST" hidden="1">"c4259"</definedName>
    <definedName name="IQ_DEBT_EQUITY_MEDIAN_EST" hidden="1">"c4260"</definedName>
    <definedName name="IQ_DEBT_EQUITY_NUM_EST" hidden="1">"c4261"</definedName>
    <definedName name="IQ_DEBT_EQUITY_STDDEV_EST" hidden="1">"c4262"</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OSITS_INTEREST_SECURITIES" hidden="1">"c5509"</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"c322"</definedName>
    <definedName name="IQ_DEVELOP_LAND" hidden="1">"c323"</definedName>
    <definedName name="IQ_DIFF_LASTCLOSE_TARGET_PRICE" hidden="1">"c1854"</definedName>
    <definedName name="IQ_DIFF_LASTCLOSE_TARGET_PRICE_REUT" hidden="1">"c5436"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HIGH_EST" hidden="1">"c4264"</definedName>
    <definedName name="IQ_DILUT_OUTSTANDING_CURRENT_LOW_EST" hidden="1">"c4265"</definedName>
    <definedName name="IQ_DILUT_OUTSTANDING_CURRENT_MEDIAN_EST" hidden="1">"c4266"</definedName>
    <definedName name="IQ_DILUT_OUTSTANDING_CURRENT_NUM_EST" hidden="1">"c4267"</definedName>
    <definedName name="IQ_DILUT_OUTSTANDING_CURRENT_STDDEV_EST" hidden="1">"c4268"</definedName>
    <definedName name="IQ_DILUT_WEIGHT" hidden="1">"c326"</definedName>
    <definedName name="IQ_DILUT_WEIGHT_EST" hidden="1">"c4269"</definedName>
    <definedName name="IQ_DILUT_WEIGHT_GUIDANCE" hidden="1">"c4270"</definedName>
    <definedName name="IQ_DILUT_WEIGHT_HIGH_EST" hidden="1">"c4271"</definedName>
    <definedName name="IQ_DILUT_WEIGHT_LOW_EST" hidden="1">"c4272"</definedName>
    <definedName name="IQ_DILUT_WEIGHT_MEDIAN_EST" hidden="1">"c4273"</definedName>
    <definedName name="IQ_DILUT_WEIGHT_NUM_EST" hidden="1">"c4274"</definedName>
    <definedName name="IQ_DILUT_WEIGHT_STDDEV_EST" hidden="1">"c4275"</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EST" hidden="1">"c4277"</definedName>
    <definedName name="IQ_DISTRIBUTABLE_CASH_GUIDANCE" hidden="1">"c4279"</definedName>
    <definedName name="IQ_DISTRIBUTABLE_CASH_HIGH_EST" hidden="1">"c4280"</definedName>
    <definedName name="IQ_DISTRIBUTABLE_CASH_HIGH_GUIDANCE" hidden="1">"c4198"</definedName>
    <definedName name="IQ_DISTRIBUTABLE_CASH_LOW_EST" hidden="1">"c4281"</definedName>
    <definedName name="IQ_DISTRIBUTABLE_CASH_LOW_GUIDANCE" hidden="1">"c4238"</definedName>
    <definedName name="IQ_DISTRIBUTABLE_CASH_MEDIAN_EST" hidden="1">"c4282"</definedName>
    <definedName name="IQ_DISTRIBUTABLE_CASH_NUM_EST" hidden="1">"c4283"</definedName>
    <definedName name="IQ_DISTRIBUTABLE_CASH_PAYOUT" hidden="1">"c3005"</definedName>
    <definedName name="IQ_DISTRIBUTABLE_CASH_SHARE" hidden="1">"c3003"</definedName>
    <definedName name="IQ_DISTRIBUTABLE_CASH_SHARE_ACT_OR_EST" hidden="1">"c4286"</definedName>
    <definedName name="IQ_DISTRIBUTABLE_CASH_SHARE_EST" hidden="1">"c4285"</definedName>
    <definedName name="IQ_DISTRIBUTABLE_CASH_SHARE_GUIDANCE" hidden="1">"c4287"</definedName>
    <definedName name="IQ_DISTRIBUTABLE_CASH_SHARE_HIGH_EST" hidden="1">"c4288"</definedName>
    <definedName name="IQ_DISTRIBUTABLE_CASH_SHARE_HIGH_GUIDANCE" hidden="1">"c4199"</definedName>
    <definedName name="IQ_DISTRIBUTABLE_CASH_SHARE_LOW_EST" hidden="1">"c4289"</definedName>
    <definedName name="IQ_DISTRIBUTABLE_CASH_SHARE_LOW_GUIDANCE" hidden="1">"c4239"</definedName>
    <definedName name="IQ_DISTRIBUTABLE_CASH_SHARE_MEDIAN_EST" hidden="1">"c4290"</definedName>
    <definedName name="IQ_DISTRIBUTABLE_CASH_SHARE_NUM_EST" hidden="1">"c4291"</definedName>
    <definedName name="IQ_DISTRIBUTABLE_CASH_SHARE_STDDEV_EST" hidden="1">"c4292"</definedName>
    <definedName name="IQ_DISTRIBUTABLE_CASH_STDDEV_EST" hidden="1">"c4294"</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EST" hidden="1">"c4296"</definedName>
    <definedName name="IQ_DIVIDEND_HIGH_EST" hidden="1">"c4297"</definedName>
    <definedName name="IQ_DIVIDEND_LOW_EST" hidden="1">"c4298"</definedName>
    <definedName name="IQ_DIVIDEND_MEDIAN_EST" hidden="1">"c4299"</definedName>
    <definedName name="IQ_DIVIDEND_NUM_EST" hidden="1">"c4300"</definedName>
    <definedName name="IQ_DIVIDEND_STDDEV_EST" hidden="1">"c4301"</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ACT_OR_EST_REUT" hidden="1">"c5464"</definedName>
    <definedName name="IQ_DPS_EST" hidden="1">"c1674"</definedName>
    <definedName name="IQ_DPS_EST_BOTTOM_UP" hidden="1">"c5493"</definedName>
    <definedName name="IQ_DPS_EST_BOTTOM_UP_REUT" hidden="1">"c5501"</definedName>
    <definedName name="IQ_DPS_EST_REUT" hidden="1">"c3851"</definedName>
    <definedName name="IQ_DPS_GUIDANCE" hidden="1">"c4302"</definedName>
    <definedName name="IQ_DPS_HIGH_EST" hidden="1">"c1676"</definedName>
    <definedName name="IQ_DPS_HIGH_EST_REUT" hidden="1">"c3853"</definedName>
    <definedName name="IQ_DPS_HIGH_GUIDANCE" hidden="1">"c4168"</definedName>
    <definedName name="IQ_DPS_LOW_EST" hidden="1">"c1677"</definedName>
    <definedName name="IQ_DPS_LOW_EST_REUT" hidden="1">"c3854"</definedName>
    <definedName name="IQ_DPS_LOW_GUIDANCE" hidden="1">"c4208"</definedName>
    <definedName name="IQ_DPS_MEDIAN_EST" hidden="1">"c1675"</definedName>
    <definedName name="IQ_DPS_MEDIAN_EST_REUT" hidden="1">"c3852"</definedName>
    <definedName name="IQ_DPS_NUM_EST" hidden="1">"c1678"</definedName>
    <definedName name="IQ_DPS_NUM_EST_REUT" hidden="1">"c3855"</definedName>
    <definedName name="IQ_DPS_STDDEV_EST" hidden="1">"c1679"</definedName>
    <definedName name="IQ_DPS_STDDEV_EST_REUT" hidden="1">"c3856"</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ACT_OR_EST_REUT" hidden="1">"c5465"</definedName>
    <definedName name="IQ_EBIT_EQ_INC" hidden="1">"c3498"</definedName>
    <definedName name="IQ_EBIT_EQ_INC_EXCL_SBC" hidden="1">"c3502"</definedName>
    <definedName name="IQ_EBIT_EST" hidden="1">"c1681"</definedName>
    <definedName name="IQ_EBIT_EST_REUT" hidden="1">"c5333"</definedName>
    <definedName name="IQ_EBIT_EXCL_SBC" hidden="1">"c3082"</definedName>
    <definedName name="IQ_EBIT_GUIDANCE" hidden="1">"c4303"</definedName>
    <definedName name="IQ_EBIT_GW_ACT_OR_EST" hidden="1">"c4306"</definedName>
    <definedName name="IQ_EBIT_GW_EST" hidden="1">"c4305"</definedName>
    <definedName name="IQ_EBIT_GW_GUIDANCE" hidden="1">"c4307"</definedName>
    <definedName name="IQ_EBIT_GW_HIGH_EST" hidden="1">"c4308"</definedName>
    <definedName name="IQ_EBIT_GW_HIGH_GUIDANCE" hidden="1">"c4171"</definedName>
    <definedName name="IQ_EBIT_GW_LOW_EST" hidden="1">"c4309"</definedName>
    <definedName name="IQ_EBIT_GW_LOW_GUIDANCE" hidden="1">"c4211"</definedName>
    <definedName name="IQ_EBIT_GW_MEDIAN_EST" hidden="1">"c4310"</definedName>
    <definedName name="IQ_EBIT_GW_NUM_EST" hidden="1">"c4311"</definedName>
    <definedName name="IQ_EBIT_GW_STDDEV_EST" hidden="1">"c4312"</definedName>
    <definedName name="IQ_EBIT_HIGH_EST" hidden="1">"c1683"</definedName>
    <definedName name="IQ_EBIT_HIGH_EST_REUT" hidden="1">"c5335"</definedName>
    <definedName name="IQ_EBIT_HIGH_GUIDANCE" hidden="1">"c4172"</definedName>
    <definedName name="IQ_EBIT_INT" hidden="1">"c360"</definedName>
    <definedName name="IQ_EBIT_LOW_EST" hidden="1">"c1684"</definedName>
    <definedName name="IQ_EBIT_LOW_EST_REUT" hidden="1">"c5336"</definedName>
    <definedName name="IQ_EBIT_LOW_GUIDANCE" hidden="1">"c4212"</definedName>
    <definedName name="IQ_EBIT_MARGIN" hidden="1">"c359"</definedName>
    <definedName name="IQ_EBIT_MEDIAN_EST" hidden="1">"c1682"</definedName>
    <definedName name="IQ_EBIT_MEDIAN_EST_REUT" hidden="1">"c5334"</definedName>
    <definedName name="IQ_EBIT_NUM_EST" hidden="1">"c1685"</definedName>
    <definedName name="IQ_EBIT_NUM_EST_REUT" hidden="1">"c5337"</definedName>
    <definedName name="IQ_EBIT_OVER_IE" hidden="1">"c1369"</definedName>
    <definedName name="IQ_EBIT_SBC_ACT_OR_EST" hidden="1">"c4316"</definedName>
    <definedName name="IQ_EBIT_SBC_EST" hidden="1">"c4315"</definedName>
    <definedName name="IQ_EBIT_SBC_GUIDANCE" hidden="1">"c4317"</definedName>
    <definedName name="IQ_EBIT_SBC_GW_ACT_OR_EST" hidden="1">"c4320"</definedName>
    <definedName name="IQ_EBIT_SBC_GW_EST" hidden="1">"c4319"</definedName>
    <definedName name="IQ_EBIT_SBC_GW_GUIDANCE" hidden="1">"c4321"</definedName>
    <definedName name="IQ_EBIT_SBC_GW_HIGH_EST" hidden="1">"c4322"</definedName>
    <definedName name="IQ_EBIT_SBC_GW_HIGH_GUIDANCE" hidden="1">"c4193"</definedName>
    <definedName name="IQ_EBIT_SBC_GW_LOW_EST" hidden="1">"c4323"</definedName>
    <definedName name="IQ_EBIT_SBC_GW_LOW_GUIDANCE" hidden="1">"c4233"</definedName>
    <definedName name="IQ_EBIT_SBC_GW_MEDIAN_EST" hidden="1">"c4324"</definedName>
    <definedName name="IQ_EBIT_SBC_GW_NUM_EST" hidden="1">"c4325"</definedName>
    <definedName name="IQ_EBIT_SBC_GW_STDDEV_EST" hidden="1">"c4326"</definedName>
    <definedName name="IQ_EBIT_SBC_HIGH_EST" hidden="1">"c4328"</definedName>
    <definedName name="IQ_EBIT_SBC_HIGH_GUIDANCE" hidden="1">"c4192"</definedName>
    <definedName name="IQ_EBIT_SBC_LOW_EST" hidden="1">"c4329"</definedName>
    <definedName name="IQ_EBIT_SBC_LOW_GUIDANCE" hidden="1">"c4232"</definedName>
    <definedName name="IQ_EBIT_SBC_MEDIAN_EST" hidden="1">"c4330"</definedName>
    <definedName name="IQ_EBIT_SBC_NUM_EST" hidden="1">"c4331"</definedName>
    <definedName name="IQ_EBIT_SBC_STDDEV_EST" hidden="1">"c4332"</definedName>
    <definedName name="IQ_EBIT_STDDEV_EST" hidden="1">"c1686"</definedName>
    <definedName name="IQ_EBIT_STDDEV_EST_REUT" hidden="1">"c5338"</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ACT_OR_EST_REUT" hidden="1">"c5462"</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GUIDANCE" hidden="1">"c4334"</definedName>
    <definedName name="IQ_EBITDA_HIGH_EST" hidden="1">"c370"</definedName>
    <definedName name="IQ_EBITDA_HIGH_EST_REUT" hidden="1">"c3642"</definedName>
    <definedName name="IQ_EBITDA_HIGH_GUIDANCE" hidden="1">"c4170"</definedName>
    <definedName name="IQ_EBITDA_INT" hidden="1">"c373"</definedName>
    <definedName name="IQ_EBITDA_LOW_EST" hidden="1">"c371"</definedName>
    <definedName name="IQ_EBITDA_LOW_EST_REUT" hidden="1">"c3643"</definedName>
    <definedName name="IQ_EBITDA_LOW_GUIDANCE" hidden="1">"c4210"</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BC_EST" hidden="1">"c4336"</definedName>
    <definedName name="IQ_EBITDA_SBC_GUIDANCE" hidden="1">"c4338"</definedName>
    <definedName name="IQ_EBITDA_SBC_HIGH_EST" hidden="1">"c4339"</definedName>
    <definedName name="IQ_EBITDA_SBC_HIGH_GUIDANCE" hidden="1">"c4194"</definedName>
    <definedName name="IQ_EBITDA_SBC_LOW_EST" hidden="1">"c4340"</definedName>
    <definedName name="IQ_EBITDA_SBC_LOW_GUIDANCE" hidden="1">"c4234"</definedName>
    <definedName name="IQ_EBITDA_SBC_MEDIAN_EST" hidden="1">"c4341"</definedName>
    <definedName name="IQ_EBITDA_SBC_NUM_EST" hidden="1">"c4342"</definedName>
    <definedName name="IQ_EBITDA_SBC_STDDEV_EST" hidden="1">"c4343"</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GAAP_GUIDANCE" hidden="1">"c4345"</definedName>
    <definedName name="IQ_EBT_GAAP_HIGH_GUIDANCE" hidden="1">"c4174"</definedName>
    <definedName name="IQ_EBT_GAAP_LOW_GUIDANCE" hidden="1">"c4214"</definedName>
    <definedName name="IQ_EBT_GUIDANCE" hidden="1">"c4346"</definedName>
    <definedName name="IQ_EBT_GW_GUIDANCE" hidden="1">"c4347"</definedName>
    <definedName name="IQ_EBT_GW_HIGH_GUIDANCE" hidden="1">"c4175"</definedName>
    <definedName name="IQ_EBT_GW_LOW_GUIDANCE" hidden="1">"c4215"</definedName>
    <definedName name="IQ_EBT_HIGH_GUIDANCE" hidden="1">"c4173"</definedName>
    <definedName name="IQ_EBT_INCL_MARGIN" hidden="1">"c387"</definedName>
    <definedName name="IQ_EBT_INS" hidden="1">"c388"</definedName>
    <definedName name="IQ_EBT_LOW_GUIDANCE" hidden="1">"c4213"</definedName>
    <definedName name="IQ_EBT_REIT" hidden="1">"c389"</definedName>
    <definedName name="IQ_EBT_SBC_ACT_OR_EST" hidden="1">"c4350"</definedName>
    <definedName name="IQ_EBT_SBC_EST" hidden="1">"c4349"</definedName>
    <definedName name="IQ_EBT_SBC_GUIDANCE" hidden="1">"c4351"</definedName>
    <definedName name="IQ_EBT_SBC_GW_ACT_OR_EST" hidden="1">"c4354"</definedName>
    <definedName name="IQ_EBT_SBC_GW_EST" hidden="1">"c4353"</definedName>
    <definedName name="IQ_EBT_SBC_GW_GUIDANCE" hidden="1">"c4355"</definedName>
    <definedName name="IQ_EBT_SBC_GW_HIGH_EST" hidden="1">"c4356"</definedName>
    <definedName name="IQ_EBT_SBC_GW_HIGH_GUIDANCE" hidden="1">"c4191"</definedName>
    <definedName name="IQ_EBT_SBC_GW_LOW_EST" hidden="1">"c4357"</definedName>
    <definedName name="IQ_EBT_SBC_GW_LOW_GUIDANCE" hidden="1">"c4231"</definedName>
    <definedName name="IQ_EBT_SBC_GW_MEDIAN_EST" hidden="1">"c4358"</definedName>
    <definedName name="IQ_EBT_SBC_GW_NUM_EST" hidden="1">"c4359"</definedName>
    <definedName name="IQ_EBT_SBC_GW_STDDEV_EST" hidden="1">"c4360"</definedName>
    <definedName name="IQ_EBT_SBC_HIGH_EST" hidden="1">"c4362"</definedName>
    <definedName name="IQ_EBT_SBC_HIGH_GUIDANCE" hidden="1">"c4190"</definedName>
    <definedName name="IQ_EBT_SBC_LOW_EST" hidden="1">"c4363"</definedName>
    <definedName name="IQ_EBT_SBC_LOW_GUIDANCE" hidden="1">"c4230"</definedName>
    <definedName name="IQ_EBT_SBC_MEDIAN_EST" hidden="1">"c4364"</definedName>
    <definedName name="IQ_EBT_SBC_NUM_EST" hidden="1">"c4365"</definedName>
    <definedName name="IQ_EBT_SBC_STDDEV_EST" hidden="1">"c4366"</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ACT_OR_EST_REUT" hidden="1">"c5460"</definedName>
    <definedName name="IQ_EPS_EST" hidden="1">"c399"</definedName>
    <definedName name="IQ_EPS_EST_BOTTOM_UP" hidden="1">"c5489"</definedName>
    <definedName name="IQ_EPS_EST_BOTTOM_UP_REUT" hidden="1">"c5497"</definedName>
    <definedName name="IQ_EPS_EST_REUT" hidden="1">"c5453"</definedName>
    <definedName name="IQ_EPS_EXCL_GUIDANCE" hidden="1">"c4368"</definedName>
    <definedName name="IQ_EPS_EXCL_HIGH_GUIDANCE" hidden="1">"c4369"</definedName>
    <definedName name="IQ_EPS_EXCL_LOW_GUIDANCE" hidden="1">"c4204"</definedName>
    <definedName name="IQ_EPS_GAAP_GUIDANCE" hidden="1">"c4370"</definedName>
    <definedName name="IQ_EPS_GAAP_HIGH_GUIDANCE" hidden="1">"c4371"</definedName>
    <definedName name="IQ_EPS_GAAP_LOW_GUIDANCE" hidden="1">"c4205"</definedName>
    <definedName name="IQ_EPS_GW_ACT_OR_EST" hidden="1">"c2223"</definedName>
    <definedName name="IQ_EPS_GW_ACT_OR_EST_REUT" hidden="1">"c5469"</definedName>
    <definedName name="IQ_EPS_GW_EST" hidden="1">"c1737"</definedName>
    <definedName name="IQ_EPS_GW_EST_BOTTOM_UP" hidden="1">"c5491"</definedName>
    <definedName name="IQ_EPS_GW_EST_BOTTOM_UP_REUT" hidden="1">"c5499"</definedName>
    <definedName name="IQ_EPS_GW_EST_REUT" hidden="1">"c5389"</definedName>
    <definedName name="IQ_EPS_GW_GUIDANCE" hidden="1">"c4372"</definedName>
    <definedName name="IQ_EPS_GW_HIGH_EST" hidden="1">"c1739"</definedName>
    <definedName name="IQ_EPS_GW_HIGH_EST_REUT" hidden="1">"c5391"</definedName>
    <definedName name="IQ_EPS_GW_HIGH_GUIDANCE" hidden="1">"c4373"</definedName>
    <definedName name="IQ_EPS_GW_LOW_EST" hidden="1">"c1740"</definedName>
    <definedName name="IQ_EPS_GW_LOW_EST_REUT" hidden="1">"c5392"</definedName>
    <definedName name="IQ_EPS_GW_LOW_GUIDANCE" hidden="1">"c4206"</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ORM_EST" hidden="1">"c2226"</definedName>
    <definedName name="IQ_EPS_NORM_EST_BOTTOM_UP" hidden="1">"c5490"</definedName>
    <definedName name="IQ_EPS_NORM_EST_BOTTOM_UP_REUT" hidden="1">"c5498"</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REPORT_ACT_OR_EST" hidden="1">"c2224"</definedName>
    <definedName name="IQ_EPS_REPORT_ACT_OR_EST_REUT" hidden="1">"c5470"</definedName>
    <definedName name="IQ_EPS_REPORTED_EST" hidden="1">"c1744"</definedName>
    <definedName name="IQ_EPS_REPORTED_EST_BOTTOM_UP" hidden="1">"c5492"</definedName>
    <definedName name="IQ_EPS_REPORTED_EST_BOTTOM_UP_REUT" hidden="1">"c5500"</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EST" hidden="1">"c4375"</definedName>
    <definedName name="IQ_EPS_SBC_GUIDANCE" hidden="1">"c4377"</definedName>
    <definedName name="IQ_EPS_SBC_GW_ACT_OR_EST" hidden="1">"c4380"</definedName>
    <definedName name="IQ_EPS_SBC_GW_EST" hidden="1">"c4379"</definedName>
    <definedName name="IQ_EPS_SBC_GW_GUIDANCE" hidden="1">"c4381"</definedName>
    <definedName name="IQ_EPS_SBC_GW_HIGH_EST" hidden="1">"c4382"</definedName>
    <definedName name="IQ_EPS_SBC_GW_HIGH_GUIDANCE" hidden="1">"c4189"</definedName>
    <definedName name="IQ_EPS_SBC_GW_LOW_EST" hidden="1">"c4383"</definedName>
    <definedName name="IQ_EPS_SBC_GW_LOW_GUIDANCE" hidden="1">"c4229"</definedName>
    <definedName name="IQ_EPS_SBC_GW_MEDIAN_EST" hidden="1">"c4384"</definedName>
    <definedName name="IQ_EPS_SBC_GW_NUM_EST" hidden="1">"c4385"</definedName>
    <definedName name="IQ_EPS_SBC_GW_STDDEV_EST" hidden="1">"c4386"</definedName>
    <definedName name="IQ_EPS_SBC_HIGH_EST" hidden="1">"c4388"</definedName>
    <definedName name="IQ_EPS_SBC_HIGH_GUIDANCE" hidden="1">"c4188"</definedName>
    <definedName name="IQ_EPS_SBC_LOW_EST" hidden="1">"c4389"</definedName>
    <definedName name="IQ_EPS_SBC_LOW_GUIDANCE" hidden="1">"c4228"</definedName>
    <definedName name="IQ_EPS_SBC_MEDIAN_EST" hidden="1">"c4390"</definedName>
    <definedName name="IQ_EPS_SBC_NUM_EST" hidden="1">"c4391"</definedName>
    <definedName name="IQ_EPS_SBC_STDDEV_EST" hidden="1">"c4392"</definedName>
    <definedName name="IQ_EPS_STDDEV_EST" hidden="1">"c403"</definedName>
    <definedName name="IQ_EPS_STDDEV_EST_REUT" hidden="1">"c5452"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BV_REUT" hidden="1">"c5409"</definedName>
    <definedName name="IQ_EST_ACT_BV_SHARE" hidden="1">"c3549"</definedName>
    <definedName name="IQ_EST_ACT_BV_SHARE_REUT" hidden="1">"c5445"</definedName>
    <definedName name="IQ_EST_ACT_CAPEX" hidden="1">"c3546"</definedName>
    <definedName name="IQ_EST_ACT_CAPEX_REUT" hidden="1">"c3975"</definedName>
    <definedName name="IQ_EST_ACT_CASH_FLOW" hidden="1">"c4394"</definedName>
    <definedName name="IQ_EST_ACT_CASH_OPER" hidden="1">"c4395"</definedName>
    <definedName name="IQ_EST_ACT_CFPS" hidden="1">"c1673"</definedName>
    <definedName name="IQ_EST_ACT_CFPS_REUT" hidden="1">"c3850"</definedName>
    <definedName name="IQ_EST_ACT_DISTRIBUTABLE_CASH" hidden="1">"c4396"</definedName>
    <definedName name="IQ_EST_ACT_DISTRIBUTABLE_CASH_SHARE" hidden="1">"c4397"</definedName>
    <definedName name="IQ_EST_ACT_DPS" hidden="1">"c1680"</definedName>
    <definedName name="IQ_EST_ACT_DPS_REUT" hidden="1">"c3857"</definedName>
    <definedName name="IQ_EST_ACT_EBIT" hidden="1">"c1687"</definedName>
    <definedName name="IQ_EST_ACT_EBIT_GW" hidden="1">"c4398"</definedName>
    <definedName name="IQ_EST_ACT_EBIT_REUT" hidden="1">"c5339"</definedName>
    <definedName name="IQ_EST_ACT_EBIT_SBC" hidden="1">"c4399"</definedName>
    <definedName name="IQ_EST_ACT_EBIT_SBC_GW" hidden="1">"c4400"</definedName>
    <definedName name="IQ_EST_ACT_EBITDA" hidden="1">"c1664"</definedName>
    <definedName name="IQ_EST_ACT_EBITDA_REUT" hidden="1">"c3836"</definedName>
    <definedName name="IQ_EST_ACT_EBITDA_SBC" hidden="1">"c4401"</definedName>
    <definedName name="IQ_EST_ACT_EBT_SBC" hidden="1">"c4402"</definedName>
    <definedName name="IQ_EST_ACT_EBT_SBC_GW" hidden="1">"c4403"</definedName>
    <definedName name="IQ_EST_ACT_EPS" hidden="1">"c1648"</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REPORTED" hidden="1">"c1750"</definedName>
    <definedName name="IQ_EST_ACT_EPS_REPORTED_REUT" hidden="1">"c5402"</definedName>
    <definedName name="IQ_EST_ACT_EPS_REUT" hidden="1">"c5457"</definedName>
    <definedName name="IQ_EST_ACT_EPS_SBC" hidden="1">"c4404"</definedName>
    <definedName name="IQ_EST_ACT_EPS_SBC_GW" hidden="1">"c4405"</definedName>
    <definedName name="IQ_EST_ACT_FFO" hidden="1">"c1666"</definedName>
    <definedName name="IQ_EST_ACT_FFO_ADJ" hidden="1">"c4406"</definedName>
    <definedName name="IQ_EST_ACT_FFO_REUT" hidden="1">"c3843"</definedName>
    <definedName name="IQ_EST_ACT_FFO_SHARE" hidden="1">"c4407"</definedName>
    <definedName name="IQ_EST_ACT_GROSS_MARGIN" hidden="1">"c5553"</definedName>
    <definedName name="IQ_EST_ACT_MAINT_CAPEX" hidden="1">"c4408"</definedName>
    <definedName name="IQ_EST_ACT_NAV" hidden="1">"c1757"</definedName>
    <definedName name="IQ_EST_ACT_NET_DEBT" hidden="1">"c3545"</definedName>
    <definedName name="IQ_EST_ACT_NET_DEBT_REUT" hidden="1">"c5446"</definedName>
    <definedName name="IQ_EST_ACT_NI" hidden="1">"c1722"</definedName>
    <definedName name="IQ_EST_ACT_NI_GW" hidden="1">"c1729"</definedName>
    <definedName name="IQ_EST_ACT_NI_GW_REUT" hidden="1">"c5381"</definedName>
    <definedName name="IQ_EST_ACT_NI_REPORTED" hidden="1">"c1736"</definedName>
    <definedName name="IQ_EST_ACT_NI_REPORTED_REUT" hidden="1">"c5388"</definedName>
    <definedName name="IQ_EST_ACT_NI_REUT" hidden="1">"c5374"</definedName>
    <definedName name="IQ_EST_ACT_NI_SBC" hidden="1">"c4409"</definedName>
    <definedName name="IQ_EST_ACT_NI_SBC_GW" hidden="1">"c4410"</definedName>
    <definedName name="IQ_EST_ACT_OPER_INC" hidden="1">"c1694"</definedName>
    <definedName name="IQ_EST_ACT_OPER_INC_REUT" hidden="1">"c5346"</definedName>
    <definedName name="IQ_EST_ACT_PRETAX_GW_INC" hidden="1">"c1708"</definedName>
    <definedName name="IQ_EST_ACT_PRETAX_GW_INC_REUT" hidden="1">"c5360"</definedName>
    <definedName name="IQ_EST_ACT_PRETAX_INC" hidden="1">"c1701"</definedName>
    <definedName name="IQ_EST_ACT_PRETAX_INC_REUT" hidden="1">"c5353"</definedName>
    <definedName name="IQ_EST_ACT_PRETAX_REPORT_INC" hidden="1">"c1715"</definedName>
    <definedName name="IQ_EST_ACT_PRETAX_REPORT_INC_REUT" hidden="1">"c5367"</definedName>
    <definedName name="IQ_EST_ACT_RECURRING_PROFIT" hidden="1">"c4411"</definedName>
    <definedName name="IQ_EST_ACT_RECURRING_PROFIT_SHARE" hidden="1">"c4412"</definedName>
    <definedName name="IQ_EST_ACT_RETURN_ASSETS" hidden="1">"c3547"</definedName>
    <definedName name="IQ_EST_ACT_RETURN_ASSETS_REUT" hidden="1">"c3996"</definedName>
    <definedName name="IQ_EST_ACT_RETURN_EQUITY" hidden="1">"c3548"</definedName>
    <definedName name="IQ_EST_ACT_RETURN_EQUITY_REUT" hidden="1">"c3989"</definedName>
    <definedName name="IQ_EST_ACT_REV" hidden="1">"c2113"</definedName>
    <definedName name="IQ_EST_ACT_REV_REUT" hidden="1">"c3835"</definedName>
    <definedName name="IQ_EST_BV_DIFF_REUT" hidden="1">"c5433"</definedName>
    <definedName name="IQ_EST_BV_SHARE_DIFF" hidden="1">"c4147"</definedName>
    <definedName name="IQ_EST_BV_SHARE_SURPRISE_PERCENT" hidden="1">"c4148"</definedName>
    <definedName name="IQ_EST_BV_SURPRISE_PERCENT_REUT" hidden="1">"c5434"</definedName>
    <definedName name="IQ_EST_CAPEX_DIFF" hidden="1">"c4149"</definedName>
    <definedName name="IQ_EST_CAPEX_GROWTH_1YR" hidden="1">"c3588"</definedName>
    <definedName name="IQ_EST_CAPEX_GROWTH_1YR_REUT" hidden="1">"c5447"</definedName>
    <definedName name="IQ_EST_CAPEX_GROWTH_2YR" hidden="1">"c3589"</definedName>
    <definedName name="IQ_EST_CAPEX_GROWTH_2YR_REUT" hidden="1">"c5448"</definedName>
    <definedName name="IQ_EST_CAPEX_GROWTH_Q_1YR" hidden="1">"c3590"</definedName>
    <definedName name="IQ_EST_CAPEX_GROWTH_Q_1YR_REUT" hidden="1">"c5449"</definedName>
    <definedName name="IQ_EST_CAPEX_SEQ_GROWTH_Q" hidden="1">"c3591"</definedName>
    <definedName name="IQ_EST_CAPEX_SEQ_GROWTH_Q_REUT" hidden="1">"c5450"</definedName>
    <definedName name="IQ_EST_CAPEX_SURPRISE_PERCENT" hidden="1">"c4151"</definedName>
    <definedName name="IQ_EST_CASH_FLOW_DIFF" hidden="1">"c4152"</definedName>
    <definedName name="IQ_EST_CASH_FLOW_SURPRISE_PERCENT" hidden="1">"c4161"</definedName>
    <definedName name="IQ_EST_CASH_OPER_DIFF" hidden="1">"c4162"</definedName>
    <definedName name="IQ_EST_CASH_OPER_SURPRISE_PERCENT" hidden="1">"c4248"</definedName>
    <definedName name="IQ_EST_CFPS_DIFF" hidden="1">"c1871"</definedName>
    <definedName name="IQ_EST_CFPS_DIFF_REUT" hidden="1">"c3892"</definedName>
    <definedName name="IQ_EST_CFPS_GROWTH_1YR" hidden="1">"c1774"</definedName>
    <definedName name="IQ_EST_CFPS_GROWTH_1YR_REUT" hidden="1">"c3878"</definedName>
    <definedName name="IQ_EST_CFPS_GROWTH_2YR" hidden="1">"c1775"</definedName>
    <definedName name="IQ_EST_CFPS_GROWTH_2YR_REUT" hidden="1">"c3879"</definedName>
    <definedName name="IQ_EST_CFPS_GROWTH_Q_1YR" hidden="1">"c1776"</definedName>
    <definedName name="IQ_EST_CFPS_GROWTH_Q_1YR_REUT" hidden="1">"c3880"</definedName>
    <definedName name="IQ_EST_CFPS_SEQ_GROWTH_Q" hidden="1">"c1777"</definedName>
    <definedName name="IQ_EST_CFPS_SEQ_GROWTH_Q_REUT" hidden="1">"c3881"</definedName>
    <definedName name="IQ_EST_CFPS_SURPRISE_PERCENT" hidden="1">"c1872"</definedName>
    <definedName name="IQ_EST_CFPS_SURPRISE_PERCENT_REUT" hidden="1">"c3893"</definedName>
    <definedName name="IQ_EST_CURRENCY" hidden="1">"c2140"</definedName>
    <definedName name="IQ_EST_CURRENCY_REUT" hidden="1">"c5437"</definedName>
    <definedName name="IQ_EST_DATE" hidden="1">"c1634"</definedName>
    <definedName name="IQ_EST_DATE_REUT" hidden="1">"c5438"</definedName>
    <definedName name="IQ_EST_DISTRIBUTABLE_CASH_DIFF" hidden="1">"c4276"</definedName>
    <definedName name="IQ_EST_DISTRIBUTABLE_CASH_GROWTH_1YR" hidden="1">"c4413"</definedName>
    <definedName name="IQ_EST_DISTRIBUTABLE_CASH_GROWTH_2YR" hidden="1">"c4414"</definedName>
    <definedName name="IQ_EST_DISTRIBUTABLE_CASH_GROWTH_Q_1YR" hidden="1">"c4415"</definedName>
    <definedName name="IQ_EST_DISTRIBUTABLE_CASH_SEQ_GROWTH_Q" hidden="1">"c4416"</definedName>
    <definedName name="IQ_EST_DISTRIBUTABLE_CASH_SHARE_DIFF" hidden="1">"c4284"</definedName>
    <definedName name="IQ_EST_DISTRIBUTABLE_CASH_SHARE_GROWTH_1YR" hidden="1">"c4417"</definedName>
    <definedName name="IQ_EST_DISTRIBUTABLE_CASH_SHARE_GROWTH_2YR" hidden="1">"c4418"</definedName>
    <definedName name="IQ_EST_DISTRIBUTABLE_CASH_SHARE_GROWTH_Q_1YR" hidden="1">"c4419"</definedName>
    <definedName name="IQ_EST_DISTRIBUTABLE_CASH_SHARE_SEQ_GROWTH_Q" hidden="1">"c4420"</definedName>
    <definedName name="IQ_EST_DISTRIBUTABLE_CASH_SHARE_SURPRISE_PERCENT" hidden="1">"c4293"</definedName>
    <definedName name="IQ_EST_DISTRIBUTABLE_CASH_SURPRISE_PERCENT" hidden="1">"c4295"</definedName>
    <definedName name="IQ_EST_DPS_DIFF" hidden="1">"c1873"</definedName>
    <definedName name="IQ_EST_DPS_DIFF_REUT" hidden="1">"c3894"</definedName>
    <definedName name="IQ_EST_DPS_GROWTH_1YR" hidden="1">"c1778"</definedName>
    <definedName name="IQ_EST_DPS_GROWTH_1YR_REUT" hidden="1">"c3882"</definedName>
    <definedName name="IQ_EST_DPS_GROWTH_2YR" hidden="1">"c1779"</definedName>
    <definedName name="IQ_EST_DPS_GROWTH_2YR_REUT" hidden="1">"c3883"</definedName>
    <definedName name="IQ_EST_DPS_GROWTH_Q_1YR" hidden="1">"c1780"</definedName>
    <definedName name="IQ_EST_DPS_GROWTH_Q_1YR_REUT" hidden="1">"c3884"</definedName>
    <definedName name="IQ_EST_DPS_SEQ_GROWTH_Q" hidden="1">"c1781"</definedName>
    <definedName name="IQ_EST_DPS_SEQ_GROWTH_Q_REUT" hidden="1">"c3885"</definedName>
    <definedName name="IQ_EST_DPS_SURPRISE_PERCENT" hidden="1">"c1874"</definedName>
    <definedName name="IQ_EST_DPS_SURPRISE_PERCENT_REUT" hidden="1">"c3895"</definedName>
    <definedName name="IQ_EST_EBIT_DIFF" hidden="1">"c1875"</definedName>
    <definedName name="IQ_EST_EBIT_DIFF_REUT" hidden="1">"c5413"</definedName>
    <definedName name="IQ_EST_EBIT_GW_DIFF" hidden="1">"c4304"</definedName>
    <definedName name="IQ_EST_EBIT_GW_SURPRISE_PERCENT" hidden="1">"c4313"</definedName>
    <definedName name="IQ_EST_EBIT_SBC_DIFF" hidden="1">"c4314"</definedName>
    <definedName name="IQ_EST_EBIT_SBC_GW_DIFF" hidden="1">"c4318"</definedName>
    <definedName name="IQ_EST_EBIT_SBC_GW_SURPRISE_PERCENT" hidden="1">"c4327"</definedName>
    <definedName name="IQ_EST_EBIT_SBC_SURPRISE_PERCENT" hidden="1">"c4333"</definedName>
    <definedName name="IQ_EST_EBIT_SURPRISE_PERCENT" hidden="1">"c1876"</definedName>
    <definedName name="IQ_EST_EBIT_SURPRISE_PERCENT_REUT" hidden="1">"c5414"</definedName>
    <definedName name="IQ_EST_EBITDA_DIFF" hidden="1">"c1867"</definedName>
    <definedName name="IQ_EST_EBITDA_DIFF_REUT" hidden="1">"c3888"</definedName>
    <definedName name="IQ_EST_EBITDA_GROWTH_1YR" hidden="1">"c1766"</definedName>
    <definedName name="IQ_EST_EBITDA_GROWTH_1YR_REUT" hidden="1">"c3864"</definedName>
    <definedName name="IQ_EST_EBITDA_GROWTH_2YR" hidden="1">"c1767"</definedName>
    <definedName name="IQ_EST_EBITDA_GROWTH_2YR_REUT" hidden="1">"c3865"</definedName>
    <definedName name="IQ_EST_EBITDA_GROWTH_Q_1YR" hidden="1">"c1768"</definedName>
    <definedName name="IQ_EST_EBITDA_GROWTH_Q_1YR_REUT" hidden="1">"c3866"</definedName>
    <definedName name="IQ_EST_EBITDA_SBC_DIFF" hidden="1">"c4335"</definedName>
    <definedName name="IQ_EST_EBITDA_SBC_SURPRISE_PERCENT" hidden="1">"c4344"</definedName>
    <definedName name="IQ_EST_EBITDA_SEQ_GROWTH_Q" hidden="1">"c1769"</definedName>
    <definedName name="IQ_EST_EBITDA_SEQ_GROWTH_Q_REUT" hidden="1">"c3867"</definedName>
    <definedName name="IQ_EST_EBITDA_SURPRISE_PERCENT" hidden="1">"c1868"</definedName>
    <definedName name="IQ_EST_EBITDA_SURPRISE_PERCENT_REUT" hidden="1">"c3889"</definedName>
    <definedName name="IQ_EST_EBT_SBC_DIFF" hidden="1">"c4348"</definedName>
    <definedName name="IQ_EST_EBT_SBC_GW_DIFF" hidden="1">"c4352"</definedName>
    <definedName name="IQ_EST_EBT_SBC_GW_SURPRISE_PERCENT" hidden="1">"c4361"</definedName>
    <definedName name="IQ_EST_EBT_SBC_SURPRISE_PERCENT" hidden="1">"c4367"</definedName>
    <definedName name="IQ_EST_EPS_DIFF" hidden="1">"c1864"</definedName>
    <definedName name="IQ_EST_EPS_DIFF_REUT" hidden="1">"c5458"</definedName>
    <definedName name="IQ_EST_EPS_GROWTH_1YR" hidden="1">"c1636"</definedName>
    <definedName name="IQ_EST_EPS_GROWTH_1YR_REUT" hidden="1">"c3646"</definedName>
    <definedName name="IQ_EST_EPS_GROWTH_2YR" hidden="1">"c1637"</definedName>
    <definedName name="IQ_EST_EPS_GROWTH_2YR_REUT" hidden="1">"c3858"</definedName>
    <definedName name="IQ_EST_EPS_GROWTH_5YR" hidden="1">"c1655"</definedName>
    <definedName name="IQ_EST_EPS_GROWTH_5YR_BOTTOM_UP" hidden="1">"c5487"</definedName>
    <definedName name="IQ_EST_EPS_GROWTH_5YR_BOTTOM_UP_REUT" hidden="1">"c5495"</definedName>
    <definedName name="IQ_EST_EPS_GROWTH_5YR_HIGH" hidden="1">"c1657"</definedName>
    <definedName name="IQ_EST_EPS_GROWTH_5YR_HIGH_REUT" hidden="1">"c5322"</definedName>
    <definedName name="IQ_EST_EPS_GROWTH_5YR_LOW" hidden="1">"c1658"</definedName>
    <definedName name="IQ_EST_EPS_GROWTH_5YR_LOW_REUT" hidden="1">"c5323"</definedName>
    <definedName name="IQ_EST_EPS_GROWTH_5YR_MEDIAN" hidden="1">"c1656"</definedName>
    <definedName name="IQ_EST_EPS_GROWTH_5YR_MEDIAN_REUT" hidden="1">"c5321"</definedName>
    <definedName name="IQ_EST_EPS_GROWTH_5YR_NUM" hidden="1">"c1659"</definedName>
    <definedName name="IQ_EST_EPS_GROWTH_5YR_NUM_REUT" hidden="1">"c5324"</definedName>
    <definedName name="IQ_EST_EPS_GROWTH_5YR_REUT" hidden="1">"c3633"</definedName>
    <definedName name="IQ_EST_EPS_GROWTH_5YR_STDDEV" hidden="1">"c1660"</definedName>
    <definedName name="IQ_EST_EPS_GROWTH_5YR_STDDEV_REUT" hidden="1">"c5325"</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EPS_SBC_DIFF" hidden="1">"c4374"</definedName>
    <definedName name="IQ_EST_EPS_SBC_GW_DIFF" hidden="1">"c4378"</definedName>
    <definedName name="IQ_EST_EPS_SBC_GW_SURPRISE_PERCENT" hidden="1">"c4387"</definedName>
    <definedName name="IQ_EST_EPS_SBC_SURPRISE_PERCENT" hidden="1">"c4393"</definedName>
    <definedName name="IQ_EST_EPS_SEQ_GROWTH_Q" hidden="1">"c1764"</definedName>
    <definedName name="IQ_EST_EPS_SEQ_GROWTH_Q_REUT" hidden="1">"c3859"</definedName>
    <definedName name="IQ_EST_EPS_SURPRISE" hidden="1">"c1635"</definedName>
    <definedName name="IQ_EST_EPS_SURPRISE_PERCENT" hidden="1">"c1635"</definedName>
    <definedName name="IQ_EST_EPS_SURPRISE_PERCENT_REUT" hidden="1">"c5459"</definedName>
    <definedName name="IQ_EST_FFO_ADJ_DIFF" hidden="1">"c4433"</definedName>
    <definedName name="IQ_EST_FFO_ADJ_GROWTH_1YR" hidden="1">"c4421"</definedName>
    <definedName name="IQ_EST_FFO_ADJ_GROWTH_2YR" hidden="1">"c4422"</definedName>
    <definedName name="IQ_EST_FFO_ADJ_GROWTH_Q_1YR" hidden="1">"c4423"</definedName>
    <definedName name="IQ_EST_FFO_ADJ_SEQ_GROWTH_Q" hidden="1">"c4424"</definedName>
    <definedName name="IQ_EST_FFO_ADJ_SURPRISE_PERCENT" hidden="1">"c4442"</definedName>
    <definedName name="IQ_EST_FFO_DIFF" hidden="1">"c1869"</definedName>
    <definedName name="IQ_EST_FFO_DIFF_REUT" hidden="1">"c3890"</definedName>
    <definedName name="IQ_EST_FFO_GROWTH_1YR" hidden="1">"c1770"</definedName>
    <definedName name="IQ_EST_FFO_GROWTH_1YR_REUT" hidden="1">"c3874"</definedName>
    <definedName name="IQ_EST_FFO_GROWTH_2YR" hidden="1">"c1771"</definedName>
    <definedName name="IQ_EST_FFO_GROWTH_2YR_REUT" hidden="1">"c3875"</definedName>
    <definedName name="IQ_EST_FFO_GROWTH_Q_1YR" hidden="1">"c1772"</definedName>
    <definedName name="IQ_EST_FFO_GROWTH_Q_1YR_REUT" hidden="1">"c3876"</definedName>
    <definedName name="IQ_EST_FFO_SEQ_GROWTH_Q" hidden="1">"c1773"</definedName>
    <definedName name="IQ_EST_FFO_SEQ_GROWTH_Q_REUT" hidden="1">"c3877"</definedName>
    <definedName name="IQ_EST_FFO_SHARE_DIFF" hidden="1">"c4444"</definedName>
    <definedName name="IQ_EST_FFO_SHARE_GROWTH_1YR" hidden="1">"c4425"</definedName>
    <definedName name="IQ_EST_FFO_SHARE_GROWTH_2YR" hidden="1">"c4426"</definedName>
    <definedName name="IQ_EST_FFO_SHARE_GROWTH_Q_1YR" hidden="1">"c4427"</definedName>
    <definedName name="IQ_EST_FFO_SHARE_SEQ_GROWTH_Q" hidden="1">"c4428"</definedName>
    <definedName name="IQ_EST_FFO_SHARE_SURPRISE_PERCENT" hidden="1">"c4453"</definedName>
    <definedName name="IQ_EST_FFO_SURPRISE_PERCENT" hidden="1">"c1870"</definedName>
    <definedName name="IQ_EST_FFO_SURPRISE_PERCENT_REUT" hidden="1">"c3891"</definedName>
    <definedName name="IQ_EST_FOOTNOTE" hidden="1">"c4540"</definedName>
    <definedName name="IQ_EST_FOOTNOTE_REUT" hidden="1">"c5478"</definedName>
    <definedName name="IQ_EST_MAINT_CAPEX_DIFF" hidden="1">"c4456"</definedName>
    <definedName name="IQ_EST_MAINT_CAPEX_GROWTH_1YR" hidden="1">"c4429"</definedName>
    <definedName name="IQ_EST_MAINT_CAPEX_GROWTH_2YR" hidden="1">"c4430"</definedName>
    <definedName name="IQ_EST_MAINT_CAPEX_GROWTH_Q_1YR" hidden="1">"c4431"</definedName>
    <definedName name="IQ_EST_MAINT_CAPEX_SEQ_GROWTH_Q" hidden="1">"c4432"</definedName>
    <definedName name="IQ_EST_MAINT_CAPEX_SURPRISE_PERCENT" hidden="1">"c4465"</definedName>
    <definedName name="IQ_EST_NAV_DIFF" hidden="1">"c1895"</definedName>
    <definedName name="IQ_EST_NAV_SURPRISE_PERCENT" hidden="1">"c1896"</definedName>
    <definedName name="IQ_EST_NET_DEBT_DIFF" hidden="1">"c4466"</definedName>
    <definedName name="IQ_EST_NET_DEBT_SURPRISE_PERCENT" hidden="1">"c4468"</definedName>
    <definedName name="IQ_EST_NI_DIFF" hidden="1">"c1885"</definedName>
    <definedName name="IQ_EST_NI_DIFF_REUT" hidden="1">"c5423"</definedName>
    <definedName name="IQ_EST_NI_GW_DIFF" hidden="1">"c1887"</definedName>
    <definedName name="IQ_EST_NI_GW_DIFF_REUT" hidden="1">"c5425"</definedName>
    <definedName name="IQ_EST_NI_GW_SURPRISE_PERCENT" hidden="1">"c1888"</definedName>
    <definedName name="IQ_EST_NI_GW_SURPRISE_PERCENT_REUT" hidden="1">"c5426"</definedName>
    <definedName name="IQ_EST_NI_REPORT_DIFF" hidden="1">"c1889"</definedName>
    <definedName name="IQ_EST_NI_REPORT_DIFF_REUT" hidden="1">"c5427"</definedName>
    <definedName name="IQ_EST_NI_REPORT_SURPRISE_PERCENT" hidden="1">"c1890"</definedName>
    <definedName name="IQ_EST_NI_REPORT_SURPRISE_PERCENT_REUT" hidden="1">"c5428"</definedName>
    <definedName name="IQ_EST_NI_SBC_DIFF" hidden="1">"c4472"</definedName>
    <definedName name="IQ_EST_NI_SBC_GW_DIFF" hidden="1">"c4476"</definedName>
    <definedName name="IQ_EST_NI_SBC_GW_SURPRISE_PERCENT" hidden="1">"c4485"</definedName>
    <definedName name="IQ_EST_NI_SBC_SURPRISE_PERCENT" hidden="1">"c4491"</definedName>
    <definedName name="IQ_EST_NI_SURPRISE_PERCENT" hidden="1">"c1886"</definedName>
    <definedName name="IQ_EST_NI_SURPRISE_PERCENT_REUT" hidden="1">"c5424"</definedName>
    <definedName name="IQ_EST_NUM_BUY" hidden="1">"c1759"</definedName>
    <definedName name="IQ_EST_NUM_BUY_REUT" hidden="1">"c3869"</definedName>
    <definedName name="IQ_EST_NUM_HOLD" hidden="1">"c1761"</definedName>
    <definedName name="IQ_EST_NUM_HOLD_REUT" hidden="1">"c3871"</definedName>
    <definedName name="IQ_EST_NUM_NO_OPINION" hidden="1">"c1758"</definedName>
    <definedName name="IQ_EST_NUM_NO_OPINION_REUT" hidden="1">"c3868"</definedName>
    <definedName name="IQ_EST_NUM_OUTPERFORM" hidden="1">"c1760"</definedName>
    <definedName name="IQ_EST_NUM_OUTPERFORM_REUT" hidden="1">"c3870"</definedName>
    <definedName name="IQ_EST_NUM_SELL" hidden="1">"c1763"</definedName>
    <definedName name="IQ_EST_NUM_SELL_REUT" hidden="1">"c3873"</definedName>
    <definedName name="IQ_EST_NUM_UNDERPERFORM" hidden="1">"c1762"</definedName>
    <definedName name="IQ_EST_NUM_UNDERPERFORM_REUT" hidden="1">"c3872"</definedName>
    <definedName name="IQ_EST_OPER_INC_DIFF" hidden="1">"c1877"</definedName>
    <definedName name="IQ_EST_OPER_INC_DIFF_REUT" hidden="1">"c5415"</definedName>
    <definedName name="IQ_EST_OPER_INC_SURPRISE_PERCENT" hidden="1">"c1878"</definedName>
    <definedName name="IQ_EST_OPER_INC_SURPRISE_PERCENT_REUT" hidden="1">"c5416"</definedName>
    <definedName name="IQ_EST_PRE_TAX_DIFF" hidden="1">"c1879"</definedName>
    <definedName name="IQ_EST_PRE_TAX_DIFF_REUT" hidden="1">"c5417"</definedName>
    <definedName name="IQ_EST_PRE_TAX_GW_DIFF" hidden="1">"c1881"</definedName>
    <definedName name="IQ_EST_PRE_TAX_GW_DIFF_REUT" hidden="1">"c5419"</definedName>
    <definedName name="IQ_EST_PRE_TAX_GW_SURPRISE_PERCENT" hidden="1">"c1882"</definedName>
    <definedName name="IQ_EST_PRE_TAX_GW_SURPRISE_PERCENT_REUT" hidden="1">"c5420"</definedName>
    <definedName name="IQ_EST_PRE_TAX_REPORT_DIFF" hidden="1">"c1883"</definedName>
    <definedName name="IQ_EST_PRE_TAX_REPORT_DIFF_REUT" hidden="1">"c5421"</definedName>
    <definedName name="IQ_EST_PRE_TAX_REPORT_SURPRISE_PERCENT" hidden="1">"c1884"</definedName>
    <definedName name="IQ_EST_PRE_TAX_REPORT_SURPRISE_PERCENT_REUT" hidden="1">"c5422"</definedName>
    <definedName name="IQ_EST_PRE_TAX_SURPRISE_PERCENT" hidden="1">"c1880"</definedName>
    <definedName name="IQ_EST_PRE_TAX_SURPRISE_PERCENT_REUT" hidden="1">"c5418"</definedName>
    <definedName name="IQ_EST_RECURRING_PROFIT_SHARE_DIFF" hidden="1">"c4505"</definedName>
    <definedName name="IQ_EST_RECURRING_PROFIT_SHARE_SURPRISE_PERCENT" hidden="1">"c4515"</definedName>
    <definedName name="IQ_EST_REV_DIFF" hidden="1">"c1865"</definedName>
    <definedName name="IQ_EST_REV_DIFF_REUT" hidden="1">"c3886"</definedName>
    <definedName name="IQ_EST_REV_GROWTH_1YR" hidden="1">"c1638"</definedName>
    <definedName name="IQ_EST_REV_GROWTH_1YR_REUT" hidden="1">"c3860"</definedName>
    <definedName name="IQ_EST_REV_GROWTH_2YR" hidden="1">"c1639"</definedName>
    <definedName name="IQ_EST_REV_GROWTH_2YR_REUT" hidden="1">"c3861"</definedName>
    <definedName name="IQ_EST_REV_GROWTH_Q_1YR" hidden="1">"c1640"</definedName>
    <definedName name="IQ_EST_REV_GROWTH_Q_1YR_REUT" hidden="1">"c3862"</definedName>
    <definedName name="IQ_EST_REV_SEQ_GROWTH_Q" hidden="1">"c1765"</definedName>
    <definedName name="IQ_EST_REV_SEQ_GROWTH_Q_REUT" hidden="1">"c3863"</definedName>
    <definedName name="IQ_EST_REV_SURPRISE_PERCENT" hidden="1">"c1866"</definedName>
    <definedName name="IQ_EST_REV_SURPRISE_PERCENT_REUT" hidden="1">"c3887"</definedName>
    <definedName name="IQ_EST_VENDOR" hidden="1">"c5564"</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TRN_PENSION_FOREIGN" hidden="1">"c408"</definedName>
    <definedName name="IQ_EXP_RETURN_PENSION_DOMESTIC" hidden="1">"c407"</definedName>
    <definedName name="IQ_EXP_RETURN_PENSION_FOREIGN" hidden="1">"c408"</definedName>
    <definedName name="IQ_EXPLORE_DRILL" hidden="1">"c409"</definedName>
    <definedName name="IQ_EXTRA_ACC_ATEMS_BR" hidden="1">"c412"</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ADJ_ACT_OR_EST" hidden="1">"c4435"</definedName>
    <definedName name="IQ_FFO_ADJ_EST" hidden="1">"c4434"</definedName>
    <definedName name="IQ_FFO_ADJ_GUIDANCE" hidden="1">"c4436"</definedName>
    <definedName name="IQ_FFO_ADJ_HIGH_EST" hidden="1">"c4437"</definedName>
    <definedName name="IQ_FFO_ADJ_HIGH_GUIDANCE" hidden="1">"c4202"</definedName>
    <definedName name="IQ_FFO_ADJ_LOW_EST" hidden="1">"c4438"</definedName>
    <definedName name="IQ_FFO_ADJ_LOW_GUIDANCE" hidden="1">"c4242"</definedName>
    <definedName name="IQ_FFO_ADJ_MEDIAN_EST" hidden="1">"c4439"</definedName>
    <definedName name="IQ_FFO_ADJ_NUM_EST" hidden="1">"c4440"</definedName>
    <definedName name="IQ_FFO_ADJ_STDDEV_EST" hidden="1">"c4441"</definedName>
    <definedName name="IQ_FFO_EST" hidden="1">"c418"</definedName>
    <definedName name="IQ_FFO_EST_REUT" hidden="1">"c3837"</definedName>
    <definedName name="IQ_FFO_GUIDANCE" hidden="1">"c4443"</definedName>
    <definedName name="IQ_FFO_HIGH_EST" hidden="1">"c419"</definedName>
    <definedName name="IQ_FFO_HIGH_EST_REUT" hidden="1">"c3839"</definedName>
    <definedName name="IQ_FFO_HIGH_GUIDANCE" hidden="1">"c4184"</definedName>
    <definedName name="IQ_FFO_LOW_EST" hidden="1">"c420"</definedName>
    <definedName name="IQ_FFO_LOW_EST_REUT" hidden="1">"c3840"</definedName>
    <definedName name="IQ_FFO_LOW_GUIDANCE" hidden="1">"c4224"</definedName>
    <definedName name="IQ_FFO_MEDIAN_EST" hidden="1">"c1665"</definedName>
    <definedName name="IQ_FFO_MEDIAN_EST_REUT" hidden="1">"c3838"</definedName>
    <definedName name="IQ_FFO_NUM_EST" hidden="1">"c421"</definedName>
    <definedName name="IQ_FFO_NUM_EST_REUT" hidden="1">"c3841"</definedName>
    <definedName name="IQ_FFO_PAYOUT_RATIO" hidden="1">"c3492"</definedName>
    <definedName name="IQ_FFO_SHARE_ACT_OR_EST" hidden="1">"c4446"</definedName>
    <definedName name="IQ_FFO_SHARE_EST" hidden="1">"c4445"</definedName>
    <definedName name="IQ_FFO_SHARE_GUIDANCE" hidden="1">"c4447"</definedName>
    <definedName name="IQ_FFO_SHARE_HIGH_EST" hidden="1">"c4448"</definedName>
    <definedName name="IQ_FFO_SHARE_HIGH_GUIDANCE" hidden="1">"c4203"</definedName>
    <definedName name="IQ_FFO_SHARE_LOW_EST" hidden="1">"c4449"</definedName>
    <definedName name="IQ_FFO_SHARE_LOW_GUIDANCE" hidden="1">"c4243"</definedName>
    <definedName name="IQ_FFO_SHARE_MEDIAN_EST" hidden="1">"c4450"</definedName>
    <definedName name="IQ_FFO_SHARE_NUM_EST" hidden="1">"c4451"</definedName>
    <definedName name="IQ_FFO_SHARE_STDDEV_EST" hidden="1">"c4452"</definedName>
    <definedName name="IQ_FFO_STDDEV_EST" hidden="1">"c422"</definedName>
    <definedName name="IQ_FFO_STDDEV_EST_REUT" hidden="1">"c3842"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HLB_DUE_NEXTV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_DIV_ST_DEBT_TOTAL" hidden="1">"c5527"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MARGIN_ACT_OR_EST" hidden="1">"c5554"</definedName>
    <definedName name="IQ_GROSS_MARGIN_EST" hidden="1">"c5547"</definedName>
    <definedName name="IQ_GROSS_MARGIN_HIGH_EST" hidden="1">"c5549"</definedName>
    <definedName name="IQ_GROSS_MARGIN_LOW_EST" hidden="1">"c5550"</definedName>
    <definedName name="IQ_GROSS_MARGIN_MEDIAN_EST" hidden="1">"c5548"</definedName>
    <definedName name="IQ_GROSS_MARGIN_NUM_EST" hidden="1">"c5551"</definedName>
    <definedName name="IQ_GROSS_MARGIN_STDDEV_EST" hidden="1">"c5552"</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_TARGET_PRICE_REUT" hidden="1">"c5317"</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_SECURITY_SUPPL" hidden="1">"c5511"</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CAPEX_EST" hidden="1">"c4457"</definedName>
    <definedName name="IQ_MAINT_CAPEX_GUIDANCE" hidden="1">"c4459"</definedName>
    <definedName name="IQ_MAINT_CAPEX_HIGH_EST" hidden="1">"c4460"</definedName>
    <definedName name="IQ_MAINT_CAPEX_HIGH_GUIDANCE" hidden="1">"c4197"</definedName>
    <definedName name="IQ_MAINT_CAPEX_LOW_EST" hidden="1">"c4461"</definedName>
    <definedName name="IQ_MAINT_CAPEX_LOW_GUIDANCE" hidden="1">"c4237"</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41014.5946875</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REUT" hidden="1">"c5473"</definedName>
    <definedName name="IQ_NET_DEBT_EBITDA" hidden="1">"c750"</definedName>
    <definedName name="IQ_NET_DEBT_EBITDA_CAPEX" hidden="1">"c2949"</definedName>
    <definedName name="IQ_NET_DEBT_EST" hidden="1">"c3517"</definedName>
    <definedName name="IQ_NET_DEBT_EST_REUT" hidden="1">"c3976"</definedName>
    <definedName name="IQ_NET_DEBT_GUIDANCE" hidden="1">"c4467"</definedName>
    <definedName name="IQ_NET_DEBT_HIGH_EST" hidden="1">"c3518"</definedName>
    <definedName name="IQ_NET_DEBT_HIGH_EST_REUT" hidden="1">"c3978"</definedName>
    <definedName name="IQ_NET_DEBT_HIGH_GUIDANCE" hidden="1">"c4181"</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DEBT_LOW_EST" hidden="1">"c3519"</definedName>
    <definedName name="IQ_NET_DEBT_LOW_EST_REUT" hidden="1">"c3979"</definedName>
    <definedName name="IQ_NET_DEBT_LOW_GUIDANCE" hidden="1">"c4221"</definedName>
    <definedName name="IQ_NET_DEBT_MEDIAN_EST" hidden="1">"c3520"</definedName>
    <definedName name="IQ_NET_DEBT_MEDIAN_EST_REUT" hidden="1">"c3977"</definedName>
    <definedName name="IQ_NET_DEBT_NUM_EST" hidden="1">"c3515"</definedName>
    <definedName name="IQ_NET_DEBT_NUM_EST_REUT" hidden="1">"c3980"</definedName>
    <definedName name="IQ_NET_DEBT_STDDEV_EST" hidden="1">"c3516"</definedName>
    <definedName name="IQ_NET_DEBT_STDDEV_EST_REUT" hidden="1">"c3981"</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EST_REUT" hidden="1">"c5368"</definedName>
    <definedName name="IQ_NI_GAAP_GUIDANCE" hidden="1">"c4470"</definedName>
    <definedName name="IQ_NI_GAAP_HIGH_GUIDANCE" hidden="1">"c4177"</definedName>
    <definedName name="IQ_NI_GAAP_LOW_GUIDANCE" hidden="1">"c4217"</definedName>
    <definedName name="IQ_NI_GUIDANCE" hidden="1">"c4469"</definedName>
    <definedName name="IQ_NI_GW_EST" hidden="1">"c1723"</definedName>
    <definedName name="IQ_NI_GW_EST_REUT" hidden="1">"c5375"</definedName>
    <definedName name="IQ_NI_GW_GUIDANCE" hidden="1">"c4471"</definedName>
    <definedName name="IQ_NI_GW_HIGH_EST" hidden="1">"c1725"</definedName>
    <definedName name="IQ_NI_GW_HIGH_EST_REUT" hidden="1">"c5377"</definedName>
    <definedName name="IQ_NI_GW_HIGH_GUIDANCE" hidden="1">"c4178"</definedName>
    <definedName name="IQ_NI_GW_LOW_EST" hidden="1">"c1726"</definedName>
    <definedName name="IQ_NI_GW_LOW_EST_REUT" hidden="1">"c5378"</definedName>
    <definedName name="IQ_NI_GW_LOW_GUIDANCE" hidden="1">"c4218"</definedName>
    <definedName name="IQ_NI_GW_MEDIAN_EST" hidden="1">"c1724"</definedName>
    <definedName name="IQ_NI_GW_MEDIAN_EST_REUT" hidden="1">"c5376"</definedName>
    <definedName name="IQ_NI_GW_NUM_EST" hidden="1">"c1727"</definedName>
    <definedName name="IQ_NI_GW_NUM_EST_REUT" hidden="1">"c5379"</definedName>
    <definedName name="IQ_NI_GW_STDDEV_EST" hidden="1">"c1728"</definedName>
    <definedName name="IQ_NI_GW_STDDEV_EST_REUT" hidden="1">"c5380"</definedName>
    <definedName name="IQ_NI_HIGH_EST" hidden="1">"c1718"</definedName>
    <definedName name="IQ_NI_HIGH_EST_REUT" hidden="1">"c5370"</definedName>
    <definedName name="IQ_NI_HIGH_GUIDANCE" hidden="1">"c4176"</definedName>
    <definedName name="IQ_NI_LOW_EST" hidden="1">"c1719"</definedName>
    <definedName name="IQ_NI_LOW_EST_REUT" hidden="1">"c5371"</definedName>
    <definedName name="IQ_NI_LOW_GUIDANCE" hidden="1">"c4216"</definedName>
    <definedName name="IQ_NI_MARGIN" hidden="1">"c794"</definedName>
    <definedName name="IQ_NI_MEDIAN_EST" hidden="1">"c1717"</definedName>
    <definedName name="IQ_NI_MEDIAN_EST_REUT" hidden="1">"c5369"</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NUM_EST_REUT" hidden="1">"c5372"</definedName>
    <definedName name="IQ_NI_REPORTED_EST" hidden="1">"c1730"</definedName>
    <definedName name="IQ_NI_REPORTED_EST_REUT" hidden="1">"c5382"</definedName>
    <definedName name="IQ_NI_REPORTED_HIGH_EST" hidden="1">"c1732"</definedName>
    <definedName name="IQ_NI_REPORTED_HIGH_EST_REUT" hidden="1">"c5384"</definedName>
    <definedName name="IQ_NI_REPORTED_LOW_EST" hidden="1">"c1733"</definedName>
    <definedName name="IQ_NI_REPORTED_LOW_EST_REUT" hidden="1">"c5385"</definedName>
    <definedName name="IQ_NI_REPORTED_MEDIAN_EST" hidden="1">"c1731"</definedName>
    <definedName name="IQ_NI_REPORTED_MEDIAN_EST_REUT" hidden="1">"c5383"</definedName>
    <definedName name="IQ_NI_REPORTED_NUM_EST" hidden="1">"c1734"</definedName>
    <definedName name="IQ_NI_REPORTED_NUM_EST_REUT" hidden="1">"c5386"</definedName>
    <definedName name="IQ_NI_REPORTED_STDDEV_EST" hidden="1">"c1735"</definedName>
    <definedName name="IQ_NI_REPORTED_STDDEV_EST_REUT" hidden="1">"c5387"</definedName>
    <definedName name="IQ_NI_SBC_ACT_OR_EST" hidden="1">"c4474"</definedName>
    <definedName name="IQ_NI_SBC_EST" hidden="1">"c4473"</definedName>
    <definedName name="IQ_NI_SBC_GUIDANCE" hidden="1">"c4475"</definedName>
    <definedName name="IQ_NI_SBC_GW_ACT_OR_EST" hidden="1">"c4478"</definedName>
    <definedName name="IQ_NI_SBC_GW_EST" hidden="1">"c4477"</definedName>
    <definedName name="IQ_NI_SBC_GW_GUIDANCE" hidden="1">"c4479"</definedName>
    <definedName name="IQ_NI_SBC_GW_HIGH_EST" hidden="1">"c4480"</definedName>
    <definedName name="IQ_NI_SBC_GW_HIGH_GUIDANCE" hidden="1">"c4187"</definedName>
    <definedName name="IQ_NI_SBC_GW_LOW_EST" hidden="1">"c4481"</definedName>
    <definedName name="IQ_NI_SBC_GW_LOW_GUIDANCE" hidden="1">"c4227"</definedName>
    <definedName name="IQ_NI_SBC_GW_MEDIAN_EST" hidden="1">"c4482"</definedName>
    <definedName name="IQ_NI_SBC_GW_NUM_EST" hidden="1">"c4483"</definedName>
    <definedName name="IQ_NI_SBC_GW_STDDEV_EST" hidden="1">"c4484"</definedName>
    <definedName name="IQ_NI_SBC_HIGH_EST" hidden="1">"c4486"</definedName>
    <definedName name="IQ_NI_SBC_HIGH_GUIDANCE" hidden="1">"c4186"</definedName>
    <definedName name="IQ_NI_SBC_LOW_EST" hidden="1">"c4487"</definedName>
    <definedName name="IQ_NI_SBC_LOW_GUIDANCE" hidden="1">"c4226"</definedName>
    <definedName name="IQ_NI_SBC_MEDIAN_EST" hidden="1">"c4488"</definedName>
    <definedName name="IQ_NI_SBC_NUM_EST" hidden="1">"c4489"</definedName>
    <definedName name="IQ_NI_SBC_STDDEV_EST" hidden="1">"c4490"</definedName>
    <definedName name="IQ_NI_SFAS" hidden="1">"c795"</definedName>
    <definedName name="IQ_NI_STDDEV_EST" hidden="1">"c1721"</definedName>
    <definedName name="IQ_NI_STDDEV_EST_REUT" hidden="1">"c5373"</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ACT_OR_EST_REUT" hidden="1">"c5466"</definedName>
    <definedName name="IQ_OPER_INC_BR" hidden="1">"c850"</definedName>
    <definedName name="IQ_OPER_INC_EST" hidden="1">"c1688"</definedName>
    <definedName name="IQ_OPER_INC_EST_REUT" hidden="1">"c5340"</definedName>
    <definedName name="IQ_OPER_INC_FIN" hidden="1">"c851"</definedName>
    <definedName name="IQ_OPER_INC_HIGH_EST" hidden="1">"c1690"</definedName>
    <definedName name="IQ_OPER_INC_HIGH_EST_REUT" hidden="1">"c5342"</definedName>
    <definedName name="IQ_OPER_INC_INS" hidden="1">"c852"</definedName>
    <definedName name="IQ_OPER_INC_LOW_EST" hidden="1">"c1691"</definedName>
    <definedName name="IQ_OPER_INC_LOW_EST_REUT" hidden="1">"c5343"</definedName>
    <definedName name="IQ_OPER_INC_MARGIN" hidden="1">"c1448"</definedName>
    <definedName name="IQ_OPER_INC_MEDIAN_EST" hidden="1">"c1689"</definedName>
    <definedName name="IQ_OPER_INC_MEDIAN_EST_REUT" hidden="1">"c5341"</definedName>
    <definedName name="IQ_OPER_INC_NUM_EST" hidden="1">"c1692"</definedName>
    <definedName name="IQ_OPER_INC_NUM_EST_REUT" hidden="1">"c5344"</definedName>
    <definedName name="IQ_OPER_INC_REIT" hidden="1">"c853"</definedName>
    <definedName name="IQ_OPER_INC_STDDEV_EST" hidden="1">"c1693"</definedName>
    <definedName name="IQ_OPER_INC_STDDEV_EST_REUT" hidden="1">"c5345"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MORT" hidden="1">"c5563"</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"c1022"</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REUT" hidden="1">"c3959"</definedName>
    <definedName name="IQ_PERCENT_CHANGE_EST_5YR_GROWTH_RATE_18MONTHS" hidden="1">"c1853"</definedName>
    <definedName name="IQ_PERCENT_CHANGE_EST_5YR_GROWTH_RATE_18MONTHS_REUT" hidden="1">"c3960"</definedName>
    <definedName name="IQ_PERCENT_CHANGE_EST_5YR_GROWTH_RATE_3MONTHS" hidden="1">"c1849"</definedName>
    <definedName name="IQ_PERCENT_CHANGE_EST_5YR_GROWTH_RATE_3MONTHS_REUT" hidden="1">"c3956"</definedName>
    <definedName name="IQ_PERCENT_CHANGE_EST_5YR_GROWTH_RATE_6MONTHS" hidden="1">"c1850"</definedName>
    <definedName name="IQ_PERCENT_CHANGE_EST_5YR_GROWTH_RATE_6MONTHS_REUT" hidden="1">"c3957"</definedName>
    <definedName name="IQ_PERCENT_CHANGE_EST_5YR_GROWTH_RATE_9MONTHS" hidden="1">"c1851"</definedName>
    <definedName name="IQ_PERCENT_CHANGE_EST_5YR_GROWTH_RATE_9MONTHS_REUT" hidden="1">"c3958"</definedName>
    <definedName name="IQ_PERCENT_CHANGE_EST_5YR_GROWTH_RATE_DAY" hidden="1">"c1846"</definedName>
    <definedName name="IQ_PERCENT_CHANGE_EST_5YR_GROWTH_RATE_DAY_REUT" hidden="1">"c3954"</definedName>
    <definedName name="IQ_PERCENT_CHANGE_EST_5YR_GROWTH_RATE_MONTH" hidden="1">"c1848"</definedName>
    <definedName name="IQ_PERCENT_CHANGE_EST_5YR_GROWTH_RATE_MONTH_REUT" hidden="1">"c3955"</definedName>
    <definedName name="IQ_PERCENT_CHANGE_EST_5YR_GROWTH_RATE_WEEK" hidden="1">"c1847"</definedName>
    <definedName name="IQ_PERCENT_CHANGE_EST_5YR_GROWTH_RATE_WEEK_REUT" hidden="1">"c5435"</definedName>
    <definedName name="IQ_PERCENT_CHANGE_EST_CFPS_12MONTHS" hidden="1">"c1812"</definedName>
    <definedName name="IQ_PERCENT_CHANGE_EST_CFPS_12MONTHS_REUT" hidden="1">"c3924"</definedName>
    <definedName name="IQ_PERCENT_CHANGE_EST_CFPS_18MONTHS" hidden="1">"c1813"</definedName>
    <definedName name="IQ_PERCENT_CHANGE_EST_CFPS_18MONTHS_REUT" hidden="1">"c3925"</definedName>
    <definedName name="IQ_PERCENT_CHANGE_EST_CFPS_3MONTHS" hidden="1">"c1809"</definedName>
    <definedName name="IQ_PERCENT_CHANGE_EST_CFPS_3MONTHS_REUT" hidden="1">"c3921"</definedName>
    <definedName name="IQ_PERCENT_CHANGE_EST_CFPS_6MONTHS" hidden="1">"c1810"</definedName>
    <definedName name="IQ_PERCENT_CHANGE_EST_CFPS_6MONTHS_REUT" hidden="1">"c3922"</definedName>
    <definedName name="IQ_PERCENT_CHANGE_EST_CFPS_9MONTHS" hidden="1">"c1811"</definedName>
    <definedName name="IQ_PERCENT_CHANGE_EST_CFPS_9MONTHS_REUT" hidden="1">"c3923"</definedName>
    <definedName name="IQ_PERCENT_CHANGE_EST_CFPS_DAY" hidden="1">"c1806"</definedName>
    <definedName name="IQ_PERCENT_CHANGE_EST_CFPS_DAY_REUT" hidden="1">"c3919"</definedName>
    <definedName name="IQ_PERCENT_CHANGE_EST_CFPS_MONTH" hidden="1">"c1808"</definedName>
    <definedName name="IQ_PERCENT_CHANGE_EST_CFPS_MONTH_REUT" hidden="1">"c3920"</definedName>
    <definedName name="IQ_PERCENT_CHANGE_EST_CFPS_WEEK" hidden="1">"c1807"</definedName>
    <definedName name="IQ_PERCENT_CHANGE_EST_CFPS_WEEK_REUT" hidden="1">"c3962"</definedName>
    <definedName name="IQ_PERCENT_CHANGE_EST_DPS_12MONTHS" hidden="1">"c1820"</definedName>
    <definedName name="IQ_PERCENT_CHANGE_EST_DPS_12MONTHS_REUT" hidden="1">"c3931"</definedName>
    <definedName name="IQ_PERCENT_CHANGE_EST_DPS_18MONTHS" hidden="1">"c1821"</definedName>
    <definedName name="IQ_PERCENT_CHANGE_EST_DPS_18MONTHS_REUT" hidden="1">"c3932"</definedName>
    <definedName name="IQ_PERCENT_CHANGE_EST_DPS_3MONTHS" hidden="1">"c1817"</definedName>
    <definedName name="IQ_PERCENT_CHANGE_EST_DPS_3MONTHS_REUT" hidden="1">"c3928"</definedName>
    <definedName name="IQ_PERCENT_CHANGE_EST_DPS_6MONTHS" hidden="1">"c1818"</definedName>
    <definedName name="IQ_PERCENT_CHANGE_EST_DPS_6MONTHS_REUT" hidden="1">"c3929"</definedName>
    <definedName name="IQ_PERCENT_CHANGE_EST_DPS_9MONTHS" hidden="1">"c1819"</definedName>
    <definedName name="IQ_PERCENT_CHANGE_EST_DPS_9MONTHS_REUT" hidden="1">"c3930"</definedName>
    <definedName name="IQ_PERCENT_CHANGE_EST_DPS_DAY" hidden="1">"c1814"</definedName>
    <definedName name="IQ_PERCENT_CHANGE_EST_DPS_DAY_REUT" hidden="1">"c3926"</definedName>
    <definedName name="IQ_PERCENT_CHANGE_EST_DPS_MONTH" hidden="1">"c1816"</definedName>
    <definedName name="IQ_PERCENT_CHANGE_EST_DPS_MONTH_REUT" hidden="1">"c3927"</definedName>
    <definedName name="IQ_PERCENT_CHANGE_EST_DPS_WEEK" hidden="1">"c1815"</definedName>
    <definedName name="IQ_PERCENT_CHANGE_EST_DPS_WEEK_REUT" hidden="1">"c3963"</definedName>
    <definedName name="IQ_PERCENT_CHANGE_EST_EBITDA_12MONTHS" hidden="1">"c1804"</definedName>
    <definedName name="IQ_PERCENT_CHANGE_EST_EBITDA_12MONTHS_REUT" hidden="1">"c3917"</definedName>
    <definedName name="IQ_PERCENT_CHANGE_EST_EBITDA_18MONTHS" hidden="1">"c1805"</definedName>
    <definedName name="IQ_PERCENT_CHANGE_EST_EBITDA_18MONTHS_REUT" hidden="1">"c3918"</definedName>
    <definedName name="IQ_PERCENT_CHANGE_EST_EBITDA_3MONTHS" hidden="1">"c1801"</definedName>
    <definedName name="IQ_PERCENT_CHANGE_EST_EBITDA_3MONTHS_REUT" hidden="1">"c3914"</definedName>
    <definedName name="IQ_PERCENT_CHANGE_EST_EBITDA_6MONTHS" hidden="1">"c1802"</definedName>
    <definedName name="IQ_PERCENT_CHANGE_EST_EBITDA_6MONTHS_REUT" hidden="1">"c3915"</definedName>
    <definedName name="IQ_PERCENT_CHANGE_EST_EBITDA_9MONTHS" hidden="1">"c1803"</definedName>
    <definedName name="IQ_PERCENT_CHANGE_EST_EBITDA_9MONTHS_REUT" hidden="1">"c3916"</definedName>
    <definedName name="IQ_PERCENT_CHANGE_EST_EBITDA_DAY" hidden="1">"c1798"</definedName>
    <definedName name="IQ_PERCENT_CHANGE_EST_EBITDA_DAY_REUT" hidden="1">"c3912"</definedName>
    <definedName name="IQ_PERCENT_CHANGE_EST_EBITDA_MONTH" hidden="1">"c1800"</definedName>
    <definedName name="IQ_PERCENT_CHANGE_EST_EBITDA_MONTH_REUT" hidden="1">"c3913"</definedName>
    <definedName name="IQ_PERCENT_CHANGE_EST_EBITDA_WEEK" hidden="1">"c1799"</definedName>
    <definedName name="IQ_PERCENT_CHANGE_EST_EBITDA_WEEK_REUT" hidden="1">"c3961"</definedName>
    <definedName name="IQ_PERCENT_CHANGE_EST_EPS_12MONTHS" hidden="1">"c1788"</definedName>
    <definedName name="IQ_PERCENT_CHANGE_EST_EPS_12MONTHS_REUT" hidden="1">"c3902"</definedName>
    <definedName name="IQ_PERCENT_CHANGE_EST_EPS_18MONTHS" hidden="1">"c1789"</definedName>
    <definedName name="IQ_PERCENT_CHANGE_EST_EPS_18MONTHS_REUT" hidden="1">"c3903"</definedName>
    <definedName name="IQ_PERCENT_CHANGE_EST_EPS_3MONTHS" hidden="1">"c1785"</definedName>
    <definedName name="IQ_PERCENT_CHANGE_EST_EPS_3MONTHS_REUT" hidden="1">"c3899"</definedName>
    <definedName name="IQ_PERCENT_CHANGE_EST_EPS_6MONTHS" hidden="1">"c1786"</definedName>
    <definedName name="IQ_PERCENT_CHANGE_EST_EPS_6MONTHS_REUT" hidden="1">"c3900"</definedName>
    <definedName name="IQ_PERCENT_CHANGE_EST_EPS_9MONTHS" hidden="1">"c1787"</definedName>
    <definedName name="IQ_PERCENT_CHANGE_EST_EPS_9MONTHS_REUT" hidden="1">"c3901"</definedName>
    <definedName name="IQ_PERCENT_CHANGE_EST_EPS_DAY" hidden="1">"c1782"</definedName>
    <definedName name="IQ_PERCENT_CHANGE_EST_EPS_DAY_REUT" hidden="1">"c3896"</definedName>
    <definedName name="IQ_PERCENT_CHANGE_EST_EPS_MONTH" hidden="1">"c1784"</definedName>
    <definedName name="IQ_PERCENT_CHANGE_EST_EPS_MONTH_REUT" hidden="1">"c3898"</definedName>
    <definedName name="IQ_PERCENT_CHANGE_EST_EPS_WEEK" hidden="1">"c1783"</definedName>
    <definedName name="IQ_PERCENT_CHANGE_EST_EPS_WEEK_REUT" hidden="1">"c3897"</definedName>
    <definedName name="IQ_PERCENT_CHANGE_EST_FFO_12MONTHS" hidden="1">"c1828"</definedName>
    <definedName name="IQ_PERCENT_CHANGE_EST_FFO_12MONTHS_REUT" hidden="1">"c3938"</definedName>
    <definedName name="IQ_PERCENT_CHANGE_EST_FFO_18MONTHS" hidden="1">"c1829"</definedName>
    <definedName name="IQ_PERCENT_CHANGE_EST_FFO_18MONTHS_REUT" hidden="1">"c3939"</definedName>
    <definedName name="IQ_PERCENT_CHANGE_EST_FFO_3MONTHS" hidden="1">"c1825"</definedName>
    <definedName name="IQ_PERCENT_CHANGE_EST_FFO_3MONTHS_REUT" hidden="1">"c3935"</definedName>
    <definedName name="IQ_PERCENT_CHANGE_EST_FFO_6MONTHS" hidden="1">"c1826"</definedName>
    <definedName name="IQ_PERCENT_CHANGE_EST_FFO_6MONTHS_REUT" hidden="1">"c3936"</definedName>
    <definedName name="IQ_PERCENT_CHANGE_EST_FFO_9MONTHS" hidden="1">"c1827"</definedName>
    <definedName name="IQ_PERCENT_CHANGE_EST_FFO_9MONTHS_REUT" hidden="1">"c3937"</definedName>
    <definedName name="IQ_PERCENT_CHANGE_EST_FFO_DAY" hidden="1">"c1822"</definedName>
    <definedName name="IQ_PERCENT_CHANGE_EST_FFO_DAY_REUT" hidden="1">"c3933"</definedName>
    <definedName name="IQ_PERCENT_CHANGE_EST_FFO_MONTH" hidden="1">"c1824"</definedName>
    <definedName name="IQ_PERCENT_CHANGE_EST_FFO_MONTH_REUT" hidden="1">"c3934"</definedName>
    <definedName name="IQ_PERCENT_CHANGE_EST_FFO_WEEK" hidden="1">"c1823"</definedName>
    <definedName name="IQ_PERCENT_CHANGE_EST_FFO_WEEK_REUT" hidden="1">"c3964"</definedName>
    <definedName name="IQ_PERCENT_CHANGE_EST_PRICE_TARGET_12MONTHS" hidden="1">"c1844"</definedName>
    <definedName name="IQ_PERCENT_CHANGE_EST_PRICE_TARGET_12MONTHS_REUT" hidden="1">"c3952"</definedName>
    <definedName name="IQ_PERCENT_CHANGE_EST_PRICE_TARGET_18MONTHS" hidden="1">"c1845"</definedName>
    <definedName name="IQ_PERCENT_CHANGE_EST_PRICE_TARGET_18MONTHS_REUT" hidden="1">"c3953"</definedName>
    <definedName name="IQ_PERCENT_CHANGE_EST_PRICE_TARGET_3MONTHS" hidden="1">"c1841"</definedName>
    <definedName name="IQ_PERCENT_CHANGE_EST_PRICE_TARGET_3MONTHS_REUT" hidden="1">"c3949"</definedName>
    <definedName name="IQ_PERCENT_CHANGE_EST_PRICE_TARGET_6MONTHS" hidden="1">"c1842"</definedName>
    <definedName name="IQ_PERCENT_CHANGE_EST_PRICE_TARGET_6MONTHS_REUT" hidden="1">"c3950"</definedName>
    <definedName name="IQ_PERCENT_CHANGE_EST_PRICE_TARGET_9MONTHS" hidden="1">"c1843"</definedName>
    <definedName name="IQ_PERCENT_CHANGE_EST_PRICE_TARGET_9MONTHS_REUT" hidden="1">"c3951"</definedName>
    <definedName name="IQ_PERCENT_CHANGE_EST_PRICE_TARGET_DAY" hidden="1">"c1838"</definedName>
    <definedName name="IQ_PERCENT_CHANGE_EST_PRICE_TARGET_DAY_REUT" hidden="1">"c3947"</definedName>
    <definedName name="IQ_PERCENT_CHANGE_EST_PRICE_TARGET_MONTH" hidden="1">"c1840"</definedName>
    <definedName name="IQ_PERCENT_CHANGE_EST_PRICE_TARGET_MONTH_REUT" hidden="1">"c3948"</definedName>
    <definedName name="IQ_PERCENT_CHANGE_EST_PRICE_TARGET_WEEK" hidden="1">"c1839"</definedName>
    <definedName name="IQ_PERCENT_CHANGE_EST_PRICE_TARGET_WEEK_REUT" hidden="1">"c3967"</definedName>
    <definedName name="IQ_PERCENT_CHANGE_EST_RECO_12MONTHS" hidden="1">"c1836"</definedName>
    <definedName name="IQ_PERCENT_CHANGE_EST_RECO_12MONTHS_REUT" hidden="1">"c3945"</definedName>
    <definedName name="IQ_PERCENT_CHANGE_EST_RECO_18MONTHS" hidden="1">"c1837"</definedName>
    <definedName name="IQ_PERCENT_CHANGE_EST_RECO_18MONTHS_REUT" hidden="1">"c3946"</definedName>
    <definedName name="IQ_PERCENT_CHANGE_EST_RECO_3MONTHS" hidden="1">"c1833"</definedName>
    <definedName name="IQ_PERCENT_CHANGE_EST_RECO_3MONTHS_REUT" hidden="1">"c3942"</definedName>
    <definedName name="IQ_PERCENT_CHANGE_EST_RECO_6MONTHS" hidden="1">"c1834"</definedName>
    <definedName name="IQ_PERCENT_CHANGE_EST_RECO_6MONTHS_REUT" hidden="1">"c3943"</definedName>
    <definedName name="IQ_PERCENT_CHANGE_EST_RECO_9MONTHS" hidden="1">"c1835"</definedName>
    <definedName name="IQ_PERCENT_CHANGE_EST_RECO_9MONTHS_REUT" hidden="1">"c3944"</definedName>
    <definedName name="IQ_PERCENT_CHANGE_EST_RECO_DAY" hidden="1">"c1830"</definedName>
    <definedName name="IQ_PERCENT_CHANGE_EST_RECO_DAY_REUT" hidden="1">"c3940"</definedName>
    <definedName name="IQ_PERCENT_CHANGE_EST_RECO_MONTH" hidden="1">"c1832"</definedName>
    <definedName name="IQ_PERCENT_CHANGE_EST_RECO_MONTH_REUT" hidden="1">"c3941"</definedName>
    <definedName name="IQ_PERCENT_CHANGE_EST_RECO_WEEK" hidden="1">"c1831"</definedName>
    <definedName name="IQ_PERCENT_CHANGE_EST_RECO_WEEK_REUT" hidden="1">"c3965"</definedName>
    <definedName name="IQ_PERCENT_CHANGE_EST_REV_12MONTHS" hidden="1">"c1796"</definedName>
    <definedName name="IQ_PERCENT_CHANGE_EST_REV_12MONTHS_REUT" hidden="1">"c3910"</definedName>
    <definedName name="IQ_PERCENT_CHANGE_EST_REV_18MONTHS" hidden="1">"c1797"</definedName>
    <definedName name="IQ_PERCENT_CHANGE_EST_REV_18MONTHS_REUT" hidden="1">"c3911"</definedName>
    <definedName name="IQ_PERCENT_CHANGE_EST_REV_3MONTHS" hidden="1">"c1793"</definedName>
    <definedName name="IQ_PERCENT_CHANGE_EST_REV_3MONTHS_REUT" hidden="1">"c3907"</definedName>
    <definedName name="IQ_PERCENT_CHANGE_EST_REV_6MONTHS" hidden="1">"c1794"</definedName>
    <definedName name="IQ_PERCENT_CHANGE_EST_REV_6MONTHS_REUT" hidden="1">"c3908"</definedName>
    <definedName name="IQ_PERCENT_CHANGE_EST_REV_9MONTHS" hidden="1">"c1795"</definedName>
    <definedName name="IQ_PERCENT_CHANGE_EST_REV_9MONTHS_REUT" hidden="1">"c3909"</definedName>
    <definedName name="IQ_PERCENT_CHANGE_EST_REV_DAY" hidden="1">"c1790"</definedName>
    <definedName name="IQ_PERCENT_CHANGE_EST_REV_DAY_REUT" hidden="1">"c3904"</definedName>
    <definedName name="IQ_PERCENT_CHANGE_EST_REV_MONTH" hidden="1">"c1792"</definedName>
    <definedName name="IQ_PERCENT_CHANGE_EST_REV_MONTH_REUT" hidden="1">"c3906"</definedName>
    <definedName name="IQ_PERCENT_CHANGE_EST_REV_WEEK" hidden="1">"c1791"</definedName>
    <definedName name="IQ_PERCENT_CHANGE_EST_REV_WEEK_REUT" hidden="1">"c3905"</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REUT" hidden="1">"c3968"</definedName>
    <definedName name="IQ_PRE_OPEN_COST" hidden="1">"c1040"</definedName>
    <definedName name="IQ_PRE_TAX_ACT_OR_EST" hidden="1">"c2221"</definedName>
    <definedName name="IQ_PRE_TAX_ACT_OR_EST_REUT" hidden="1">"c5467"</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EST_REUT" hidden="1">"c5354"</definedName>
    <definedName name="IQ_PRETAX_GW_INC_HIGH_EST" hidden="1">"c1704"</definedName>
    <definedName name="IQ_PRETAX_GW_INC_HIGH_EST_REUT" hidden="1">"c5356"</definedName>
    <definedName name="IQ_PRETAX_GW_INC_LOW_EST" hidden="1">"c1705"</definedName>
    <definedName name="IQ_PRETAX_GW_INC_LOW_EST_REUT" hidden="1">"c5357"</definedName>
    <definedName name="IQ_PRETAX_GW_INC_MEDIAN_EST" hidden="1">"c1703"</definedName>
    <definedName name="IQ_PRETAX_GW_INC_MEDIAN_EST_REUT" hidden="1">"c5355"</definedName>
    <definedName name="IQ_PRETAX_GW_INC_NUM_EST" hidden="1">"c1706"</definedName>
    <definedName name="IQ_PRETAX_GW_INC_NUM_EST_REUT" hidden="1">"c5358"</definedName>
    <definedName name="IQ_PRETAX_GW_INC_STDDEV_EST" hidden="1">"c1707"</definedName>
    <definedName name="IQ_PRETAX_GW_INC_STDDEV_EST_REUT" hidden="1">"c5359"</definedName>
    <definedName name="IQ_PRETAX_INC_EST" hidden="1">"c1695"</definedName>
    <definedName name="IQ_PRETAX_INC_EST_REUT" hidden="1">"c5347"</definedName>
    <definedName name="IQ_PRETAX_INC_HIGH_EST" hidden="1">"c1697"</definedName>
    <definedName name="IQ_PRETAX_INC_HIGH_EST_REUT" hidden="1">"c5349"</definedName>
    <definedName name="IQ_PRETAX_INC_LOW_EST" hidden="1">"c1698"</definedName>
    <definedName name="IQ_PRETAX_INC_LOW_EST_REUT" hidden="1">"c5350"</definedName>
    <definedName name="IQ_PRETAX_INC_MEDIAN_EST" hidden="1">"c1696"</definedName>
    <definedName name="IQ_PRETAX_INC_MEDIAN_EST_REUT" hidden="1">"c5348"</definedName>
    <definedName name="IQ_PRETAX_INC_NUM_EST" hidden="1">"c1699"</definedName>
    <definedName name="IQ_PRETAX_INC_NUM_EST_REUT" hidden="1">"c5351"</definedName>
    <definedName name="IQ_PRETAX_INC_STDDEV_EST" hidden="1">"c1700"</definedName>
    <definedName name="IQ_PRETAX_INC_STDDEV_EST_REUT" hidden="1">"c5352"</definedName>
    <definedName name="IQ_PRETAX_REPORT_INC_EST" hidden="1">"c1709"</definedName>
    <definedName name="IQ_PRETAX_REPORT_INC_EST_REUT" hidden="1">"c5361"</definedName>
    <definedName name="IQ_PRETAX_REPORT_INC_HIGH_EST" hidden="1">"c1711"</definedName>
    <definedName name="IQ_PRETAX_REPORT_INC_HIGH_EST_REUT" hidden="1">"c5363"</definedName>
    <definedName name="IQ_PRETAX_REPORT_INC_LOW_EST" hidden="1">"c1712"</definedName>
    <definedName name="IQ_PRETAX_REPORT_INC_LOW_EST_REUT" hidden="1">"c5364"</definedName>
    <definedName name="IQ_PRETAX_REPORT_INC_MEDIAN_EST" hidden="1">"c1710"</definedName>
    <definedName name="IQ_PRETAX_REPORT_INC_MEDIAN_EST_REUT" hidden="1">"c5362"</definedName>
    <definedName name="IQ_PRETAX_REPORT_INC_NUM_EST" hidden="1">"c1713"</definedName>
    <definedName name="IQ_PRETAX_REPORT_INC_NUM_EST_REUT" hidden="1">"c5365"</definedName>
    <definedName name="IQ_PRETAX_REPORT_INC_STDDEV_EST" hidden="1">"c1714"</definedName>
    <definedName name="IQ_PRETAX_REPORT_INC_STDDEV_EST_REUT" hidden="1">"c5366"</definedName>
    <definedName name="IQ_PRICE_CFPS_FWD" hidden="1">"c2237"</definedName>
    <definedName name="IQ_PRICE_CFPS_FWD_REUT" hidden="1">"c4053"</definedName>
    <definedName name="IQ_PRICE_OVER_BVPS" hidden="1">"c1412"</definedName>
    <definedName name="IQ_PRICE_OVER_LTM_EPS" hidden="1">"c1413"</definedName>
    <definedName name="IQ_PRICE_TARGET" hidden="1">"c82"</definedName>
    <definedName name="IQ_PRICE_TARGET_BOTTOM_UP" hidden="1">"c5486"</definedName>
    <definedName name="IQ_PRICE_TARGET_BOTTOM_UP_REUT" hidden="1">"c5494"</definedName>
    <definedName name="IQ_PRICE_TARGET_REUT" hidden="1">"c3631"</definedName>
    <definedName name="IQ_PRICE_VOLATILITY_EST" hidden="1">"c4492"</definedName>
    <definedName name="IQ_PRICE_VOLATILITY_HIGH" hidden="1">"c4493"</definedName>
    <definedName name="IQ_PRICE_VOLATILITY_LOW" hidden="1">"c4494"</definedName>
    <definedName name="IQ_PRICE_VOLATILITY_MEDIAN" hidden="1">"c4495"</definedName>
    <definedName name="IQ_PRICE_VOLATILITY_NUM" hidden="1">"c4496"</definedName>
    <definedName name="IQ_PRICE_VOLATILITY_STDDEV" hidden="1">"c4497"</definedName>
    <definedName name="IQ_PRICEDATE" hidden="1">"c1069"</definedName>
    <definedName name="IQ_PRICING_DATE" hidden="1">"c1613"</definedName>
    <definedName name="IQ_PRIMARY_EPS_TYPE" hidden="1">"c4498"</definedName>
    <definedName name="IQ_PRIMARY_EPS_TYPE_REUT" hidden="1">"c5481"</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CURRING_PROFIT_ACT_OR_EST" hidden="1">"c4507"</definedName>
    <definedName name="IQ_RECURRING_PROFIT_EST" hidden="1">"c4499"</definedName>
    <definedName name="IQ_RECURRING_PROFIT_GUIDANCE" hidden="1">"c4500"</definedName>
    <definedName name="IQ_RECURRING_PROFIT_HIGH_EST" hidden="1">"c4501"</definedName>
    <definedName name="IQ_RECURRING_PROFIT_HIGH_GUIDANCE" hidden="1">"c4179"</definedName>
    <definedName name="IQ_RECURRING_PROFIT_LOW_EST" hidden="1">"c4502"</definedName>
    <definedName name="IQ_RECURRING_PROFIT_LOW_GUIDANCE" hidden="1">"c4219"</definedName>
    <definedName name="IQ_RECURRING_PROFIT_MEDIAN_EST" hidden="1">"c4503"</definedName>
    <definedName name="IQ_RECURRING_PROFIT_NUM_EST" hidden="1">"c4504"</definedName>
    <definedName name="IQ_RECURRING_PROFIT_SHARE_ACT_OR_EST" hidden="1">"c4508"</definedName>
    <definedName name="IQ_RECURRING_PROFIT_SHARE_EST" hidden="1">"c4506"</definedName>
    <definedName name="IQ_RECURRING_PROFIT_SHARE_GUIDANCE" hidden="1">"c4509"</definedName>
    <definedName name="IQ_RECURRING_PROFIT_SHARE_HIGH_EST" hidden="1">"c4510"</definedName>
    <definedName name="IQ_RECURRING_PROFIT_SHARE_HIGH_GUIDANCE" hidden="1">"c4200"</definedName>
    <definedName name="IQ_RECURRING_PROFIT_SHARE_LOW_EST" hidden="1">"c4511"</definedName>
    <definedName name="IQ_RECURRING_PROFIT_SHARE_LOW_GUIDANCE" hidden="1">"c4240"</definedName>
    <definedName name="IQ_RECURRING_PROFIT_SHARE_MEDIAN_EST" hidden="1">"c4512"</definedName>
    <definedName name="IQ_RECURRING_PROFIT_SHARE_NUM_EST" hidden="1">"c4513"</definedName>
    <definedName name="IQ_RECURRING_PROFIT_SHARE_STDDEV_EST" hidden="1">"c4514"</definedName>
    <definedName name="IQ_RECURRING_PROFIT_STDDEV_EST" hidden="1">"c4516"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ACT_OR_EST" hidden="1">"c3585"</definedName>
    <definedName name="IQ_RETURN_ASSETS_ACT_OR_EST_REUT" hidden="1">"c5475"</definedName>
    <definedName name="IQ_RETURN_ASSETS_BANK" hidden="1">"c1114"</definedName>
    <definedName name="IQ_RETURN_ASSETS_BROK" hidden="1">"c1115"</definedName>
    <definedName name="IQ_RETURN_ASSETS_EST" hidden="1">"c3529"</definedName>
    <definedName name="IQ_RETURN_ASSETS_EST_REUT" hidden="1">"c3990"</definedName>
    <definedName name="IQ_RETURN_ASSETS_FS" hidden="1">"c1116"</definedName>
    <definedName name="IQ_RETURN_ASSETS_GUIDANCE" hidden="1">"c4517"</definedName>
    <definedName name="IQ_RETURN_ASSETS_HIGH_EST" hidden="1">"c3530"</definedName>
    <definedName name="IQ_RETURN_ASSETS_HIGH_EST_REUT" hidden="1">"c3992"</definedName>
    <definedName name="IQ_RETURN_ASSETS_HIGH_GUIDANCE" hidden="1">"c4183"</definedName>
    <definedName name="IQ_RETURN_ASSETS_LOW_EST" hidden="1">"c3531"</definedName>
    <definedName name="IQ_RETURN_ASSETS_LOW_EST_REUT" hidden="1">"c3993"</definedName>
    <definedName name="IQ_RETURN_ASSETS_LOW_GUIDANCE" hidden="1">"c4223"</definedName>
    <definedName name="IQ_RETURN_ASSETS_MEDIAN_EST" hidden="1">"c3532"</definedName>
    <definedName name="IQ_RETURN_ASSETS_MEDIAN_EST_REUT" hidden="1">"c3991"</definedName>
    <definedName name="IQ_RETURN_ASSETS_NUM_EST" hidden="1">"c3527"</definedName>
    <definedName name="IQ_RETURN_ASSETS_NUM_EST_REUT" hidden="1">"c3994"</definedName>
    <definedName name="IQ_RETURN_ASSETS_STDDEV_EST" hidden="1">"c3528"</definedName>
    <definedName name="IQ_RETURN_ASSETS_STDDEV_EST_REUT" hidden="1">"c3995"</definedName>
    <definedName name="IQ_RETURN_CAPITAL" hidden="1">"c1117"</definedName>
    <definedName name="IQ_RETURN_EQUITY" hidden="1">"c1118"</definedName>
    <definedName name="IQ_RETURN_EQUITY_ACT_OR_EST" hidden="1">"c3586"</definedName>
    <definedName name="IQ_RETURN_EQUITY_ACT_OR_EST_REUT" hidden="1">"c5476"</definedName>
    <definedName name="IQ_RETURN_EQUITY_BANK" hidden="1">"c1119"</definedName>
    <definedName name="IQ_RETURN_EQUITY_BROK" hidden="1">"c1120"</definedName>
    <definedName name="IQ_RETURN_EQUITY_EST" hidden="1">"c3535"</definedName>
    <definedName name="IQ_RETURN_EQUITY_EST_REUT" hidden="1">"c3983"</definedName>
    <definedName name="IQ_RETURN_EQUITY_FS" hidden="1">"c1121"</definedName>
    <definedName name="IQ_RETURN_EQUITY_GUIDANCE" hidden="1">"c4518"</definedName>
    <definedName name="IQ_RETURN_EQUITY_HIGH_EST" hidden="1">"c3536"</definedName>
    <definedName name="IQ_RETURN_EQUITY_HIGH_EST_REUT" hidden="1">"c3985"</definedName>
    <definedName name="IQ_RETURN_EQUITY_HIGH_GUIDANCE" hidden="1">"c4182"</definedName>
    <definedName name="IQ_RETURN_EQUITY_LOW_EST" hidden="1">"c3537"</definedName>
    <definedName name="IQ_RETURN_EQUITY_LOW_EST_REUT" hidden="1">"c3986"</definedName>
    <definedName name="IQ_RETURN_EQUITY_LOW_GUIDANCE" hidden="1">"c4222"</definedName>
    <definedName name="IQ_RETURN_EQUITY_MEDIAN_EST" hidden="1">"c3538"</definedName>
    <definedName name="IQ_RETURN_EQUITY_MEDIAN_EST_REUT" hidden="1">"c3984"</definedName>
    <definedName name="IQ_RETURN_EQUITY_NUM_EST" hidden="1">"c3533"</definedName>
    <definedName name="IQ_RETURN_EQUITY_NUM_EST_REUT" hidden="1">"c3987"</definedName>
    <definedName name="IQ_RETURN_EQUITY_STDDEV_EST" hidden="1">"c3534"</definedName>
    <definedName name="IQ_RETURN_EQUITY_STDDEV_EST_REUT" hidden="1">"c3988"</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ENUE" hidden="1">"c1422"</definedName>
    <definedName name="IQ_REVENUE_ACT_OR_EST" hidden="1">"c2214"</definedName>
    <definedName name="IQ_REVENUE_ACT_OR_EST_REUT" hidden="1">"c5461"</definedName>
    <definedName name="IQ_REVENUE_EST" hidden="1">"c1126"</definedName>
    <definedName name="IQ_REVENUE_EST_BOTTOM_UP" hidden="1">"c5488"</definedName>
    <definedName name="IQ_REVENUE_EST_BOTTOM_UP_REUT" hidden="1">"c5496"</definedName>
    <definedName name="IQ_REVENUE_EST_REUT" hidden="1">"c3634"</definedName>
    <definedName name="IQ_REVENUE_GUIDANCE" hidden="1">"c4519"</definedName>
    <definedName name="IQ_REVENUE_HIGH_EST" hidden="1">"c1127"</definedName>
    <definedName name="IQ_REVENUE_HIGH_EST_REUT" hidden="1">"c3636"</definedName>
    <definedName name="IQ_REVENUE_HIGH_GUIDANCE" hidden="1">"c4169"</definedName>
    <definedName name="IQ_REVENUE_LOW_EST" hidden="1">"c1128"</definedName>
    <definedName name="IQ_REVENUE_LOW_EST_REUT" hidden="1">"c3637"</definedName>
    <definedName name="IQ_REVENUE_LOW_GUIDANCE" hidden="1">"c4209"</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38894.5735185185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GA" hidden="1">"c2993"</definedName>
    <definedName name="IQ_STOCK_BASED_HIGH_EST" hidden="1">"c4521"</definedName>
    <definedName name="IQ_STOCK_BASED_LOW_EST" hidden="1">"c4522"</definedName>
    <definedName name="IQ_STOCK_BASED_MEDIAN_EST" hidden="1">"c4523"</definedName>
    <definedName name="IQ_STOCK_BASED_NUM_EST" hidden="1">"c4524"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REUT" hidden="1">"c4054"</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EST" hidden="1">"c4526"</definedName>
    <definedName name="IQ_TEV_HIGH_EST" hidden="1">"c4527"</definedName>
    <definedName name="IQ_TEV_LOW_EST" hidden="1">"c4528"</definedName>
    <definedName name="IQ_TEV_MEDIAN_EST" hidden="1">"c4529"</definedName>
    <definedName name="IQ_TEV_NUM_EST" hidden="1">"c4530"</definedName>
    <definedName name="IQ_TEV_STDDEV_EST" hidden="1">"c4531"</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XCL_FIN" hidden="1">"c2937"</definedName>
    <definedName name="IQ_TOTAL_DEBT_GUIDANCE" hidden="1">"c4533"</definedName>
    <definedName name="IQ_TOTAL_DEBT_HIGH_EST" hidden="1">"c4534"</definedName>
    <definedName name="IQ_TOTAL_DEBT_HIGH_GUIDANCE" hidden="1">"c4196"</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GUIDANCE" hidden="1">"c4236"</definedName>
    <definedName name="IQ_TOTAL_DEBT_MEDIAN_EST" hidden="1">"c4536"</definedName>
    <definedName name="IQ_TOTAL_DEBT_NUM_EST" hidden="1">"c4537"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BT_STDDEV_EST" hidden="1">"c4538"</definedName>
    <definedName name="IQ_TOTAL_DEPOSITS" hidden="1">"c1265"</definedName>
    <definedName name="IQ_TOTAL_DIV_PAID_CF" hidden="1">"c1266"</definedName>
    <definedName name="IQ_TOTAL_EMPLOYEE" hidden="1">"c1522"</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RI_WorkspaceId" hidden="1">"e0a3a37b0bef47cfbb640cda5eee3e2d"</definedName>
    <definedName name="IS_ACCESS_FEE">#REF!</definedName>
    <definedName name="IVR_AE_hrs">#REF!</definedName>
    <definedName name="IVR_FSR_hrs">#REF!</definedName>
    <definedName name="IVR_OE_hrs">#REF!</definedName>
    <definedName name="IVR_PM_hrs">#REF!</definedName>
    <definedName name="IVR_RE_hrs">#REF!</definedName>
    <definedName name="IVR_SDC_hrs">#REF!</definedName>
    <definedName name="IVR_Staging_hrs">#REF!</definedName>
    <definedName name="j">#REF!</definedName>
    <definedName name="JACK">#REF!</definedName>
    <definedName name="JAGUAR_FINANCIALS">#REF!</definedName>
    <definedName name="JAGUAR_LOCATOR">#REF!</definedName>
    <definedName name="JAN">#REF!</definedName>
    <definedName name="January">#N/A</definedName>
    <definedName name="JANUARY_HEADS">#REF!</definedName>
    <definedName name="JAYA">#REF!</definedName>
    <definedName name="JE">#REF!</definedName>
    <definedName name="JEFORM">#REF!</definedName>
    <definedName name="JETAM410">#REF!</definedName>
    <definedName name="JETAM411">#REF!</definedName>
    <definedName name="jj" hidden="1">#REF!</definedName>
    <definedName name="jjj">#REF!</definedName>
    <definedName name="jjjj" hidden="1">#REF!</definedName>
    <definedName name="jkdf">#REF!</definedName>
    <definedName name="JOHN">#REF!</definedName>
    <definedName name="Journal_Entry">#REF!</definedName>
    <definedName name="July">#N/A</definedName>
    <definedName name="July_Invoices_as_of_8_26_ver2">#REF!</definedName>
    <definedName name="July_Invoices_as_of_8_26_ver4">#REF!</definedName>
    <definedName name="July2">#N/A</definedName>
    <definedName name="JUN_TOT_INV">#REF!</definedName>
    <definedName name="June">#N/A</definedName>
    <definedName name="JUNEINVS">#REF!</definedName>
    <definedName name="JV_PRINT_AREA">#REF!</definedName>
    <definedName name="K">#REF!</definedName>
    <definedName name="KAISER">#REF!</definedName>
    <definedName name="KEMPER">#REF!</definedName>
    <definedName name="KENDAL">#REF!</definedName>
    <definedName name="kk" localSheetId="4" hidden="1">{"HLTotRev",#N/A,FALSE,"HL";"HLProcRev",#N/A,FALSE,"HL";"HLProcPRHRTA",#N/A,FALSE,"HL";"HLProcMSNEWTot",#N/A,FALSE,"HL";"HLSalesStarts",#N/A,FALSE,"HL";"HLLoss",#N/A,FALSE,"HL";"HLSUYrend",#N/A,FALSE,"HL";"Clients",#N/A,FALSE,"HL";"InputSales",#N/A,FALSE,"HL"}</definedName>
    <definedName name="kk" hidden="1">{"HLTotRev",#N/A,FALSE,"HL";"HLProcRev",#N/A,FALSE,"HL";"HLProcPRHRTA",#N/A,FALSE,"HL";"HLProcMSNEWTot",#N/A,FALSE,"HL";"HLSalesStarts",#N/A,FALSE,"HL";"HLLoss",#N/A,FALSE,"HL";"HLSUYrend",#N/A,FALSE,"HL";"Clients",#N/A,FALSE,"HL";"InputSales",#N/A,FALSE,"HL"}</definedName>
    <definedName name="kkkk" hidden="1">#REF!</definedName>
    <definedName name="KPMG">#REF!</definedName>
    <definedName name="ksr">#REF!</definedName>
    <definedName name="KVIACCT1">#REF!</definedName>
    <definedName name="l" hidden="1">#REF!</definedName>
    <definedName name="L_H">#REF!</definedName>
    <definedName name="laafbyex">#REF!</definedName>
    <definedName name="LabelTextColumn1">#REF!</definedName>
    <definedName name="LABELTEXTCOLUMN16">#REF!</definedName>
    <definedName name="LABELTEXTCOLUMN6">#REF!</definedName>
    <definedName name="LabelTextRow1">#REF!</definedName>
    <definedName name="LABELTEXTROW16">#REF!</definedName>
    <definedName name="LABELTEXTROW6">#REF!</definedName>
    <definedName name="LABOR_ACCESS">#REF!,#REF!,#REF!,#REF!,#REF!,#REF!,#REF!</definedName>
    <definedName name="LABOR_COST_SUMMARY">#REF!</definedName>
    <definedName name="Labor_Detail_Header">#REF!</definedName>
    <definedName name="landpkgp">#REF!</definedName>
    <definedName name="LAPTOP">#REF!</definedName>
    <definedName name="LAST">#REF!</definedName>
    <definedName name="lastyr">#REF!</definedName>
    <definedName name="lbo" localSheetId="4" hidden="1">{#N/A,#N/A,FALSE,"Summary";#N/A,#N/A,FALSE,"Projections";#N/A,#N/A,FALSE,"Mkt Mults";#N/A,#N/A,FALSE,"DCF";#N/A,#N/A,FALSE,"Accr Dil";#N/A,#N/A,FALSE,"PIC LBO";#N/A,#N/A,FALSE,"MULT10_4";#N/A,#N/A,FALSE,"CBI LBO"}</definedName>
    <definedName name="lbo" hidden="1">{#N/A,#N/A,FALSE,"Summary";#N/A,#N/A,FALSE,"Projections";#N/A,#N/A,FALSE,"Mkt Mults";#N/A,#N/A,FALSE,"DCF";#N/A,#N/A,FALSE,"Accr Dil";#N/A,#N/A,FALSE,"PIC LBO";#N/A,#N/A,FALSE,"MULT10_4";#N/A,#N/A,FALSE,"CBI LBO"}</definedName>
    <definedName name="LCI">#REF!</definedName>
    <definedName name="LDE">#REF!</definedName>
    <definedName name="Lea" localSheetId="4" hidden="1">{"AprJE to Everham",#N/A,FALSE,"JEto Jen"}</definedName>
    <definedName name="Lea" hidden="1">{"AprJE to Everham",#N/A,FALSE,"JEto Jen"}</definedName>
    <definedName name="LEASEBAL">#REF!</definedName>
    <definedName name="LEASEQUOTE">#REF!</definedName>
    <definedName name="Lee_Jaffe_SFTW_IPMT_Sept04">#REF!</definedName>
    <definedName name="Leeds_Construction">#REF!</definedName>
    <definedName name="Legal_Entity">#REF!</definedName>
    <definedName name="licfees">#REF!</definedName>
    <definedName name="licfees2">#REF!</definedName>
    <definedName name="links">#REF!</definedName>
    <definedName name="LISTBOX1">"List Box 6"</definedName>
    <definedName name="lkl" localSheetId="4" hidden="1">{#N/A,#N/A,FALSE,"TOTAL";#N/A,#N/A,FALSE,"BURGER KING";#N/A,#N/A,FALSE,"MARRIOTT";#N/A,#N/A,FALSE,"DISNEY";#N/A,#N/A,FALSE,"DISTRIBUTORS";#N/A,#N/A,FALSE,"FORMULA"}</definedName>
    <definedName name="lkl" hidden="1">{#N/A,#N/A,FALSE,"TOTAL";#N/A,#N/A,FALSE,"BURGER KING";#N/A,#N/A,FALSE,"MARRIOTT";#N/A,#N/A,FALSE,"DISNEY";#N/A,#N/A,FALSE,"DISTRIBUTORS";#N/A,#N/A,FALSE,"FORMULA"}</definedName>
    <definedName name="lkup">#REF!</definedName>
    <definedName name="ll" localSheetId="4" hidden="1">{"totrevbx",#N/A,FALSE,"Paris Rev";"totrevbxparis",#N/A,FALSE,"Total Rev";"totprocrevben",#N/A,FALSE,"Tot Proc Rev";"totloss",#N/A,FALSE,"HL";"ISSummary",#N/A,FALSE,"Tot Proc Rev";"TotClientnum",#N/A,FALSE,"HL";"otherinc",#N/A,FALSE,"Other Inc";"totprocsched",#N/A,FALSE,"HL";"inputtotsal",#N/A,FALSE,"HL";"salesinputcap",#N/A,FALSE,"HL";"saleswoyrendtotben",#N/A,FALSE,"HL";"totprocsched",#N/A,FALSE,"HL";"TotClientnum",#N/A,FALSE,"HL";"otherinc",#N/A,FALSE,"HL";"totprocsched",#N/A,FALSE,"HL";"startcap",#N/A,FALSE,"HL";"starttotben",#N/A,FALSE,"HL"}</definedName>
    <definedName name="ll" hidden="1">{"totrevbx",#N/A,FALSE,"Paris Rev";"totrevbxparis",#N/A,FALSE,"Total Rev";"totprocrevben",#N/A,FALSE,"Tot Proc Rev";"totloss",#N/A,FALSE,"HL";"ISSummary",#N/A,FALSE,"Tot Proc Rev";"TotClientnum",#N/A,FALSE,"HL";"otherinc",#N/A,FALSE,"Other Inc";"totprocsched",#N/A,FALSE,"HL";"inputtotsal",#N/A,FALSE,"HL";"salesinputcap",#N/A,FALSE,"HL";"saleswoyrendtotben",#N/A,FALSE,"HL";"totprocsched",#N/A,FALSE,"HL";"TotClientnum",#N/A,FALSE,"HL";"otherinc",#N/A,FALSE,"HL";"totprocsched",#N/A,FALSE,"HL";"startcap",#N/A,FALSE,"HL";"starttotben",#N/A,FALSE,"HL"}</definedName>
    <definedName name="LONGISL">#REF!</definedName>
    <definedName name="lookup">#REF!</definedName>
    <definedName name="losses">#REF!</definedName>
    <definedName name="LOV_FinGlDesktopEntryPageDef_HeaderAccountingPeriodList" hidden="1">#REF!</definedName>
    <definedName name="LOV_FinGlDesktopEntryPageDef_HeaderLedgerIdList" hidden="1">#REF!</definedName>
    <definedName name="LOV_FinGlDesktopEntryPageDef_HeaderReversalPeriodList" hidden="1">#REF!</definedName>
    <definedName name="LOV_FinGlDesktopEntryPageDef_HeaderSourceList" hidden="1">#REF!</definedName>
    <definedName name="LOV_oracle_apps_financials_generalLedger_journals_desktopEntry_di_FinGlDesktopMultibatchEntryPageDef_LedgerId" hidden="1">#REF!</definedName>
    <definedName name="LOV_oracle_apps_financials_generalLedger_journals_desktopEntry_di_FinGlDesktopMultibatchEntryPageDef_PeriodName" hidden="1">#REF!</definedName>
    <definedName name="LOV_oracle_apps_financials_generalLedger_journals_desktopEntry_di_FinGlDesktopMultibatchEntryPageDef_ReversalPeriodName" hidden="1">#REF!</definedName>
    <definedName name="LOV_oracle_apps_financials_generalLedger_journals_desktopEntry_di_FinGlDesktopMultibatchEntryPageDef_UserJeSourceName" hidden="1">#REF!</definedName>
    <definedName name="M">#REF!</definedName>
    <definedName name="ma">#N/A</definedName>
    <definedName name="MA_NSE">#REF!</definedName>
    <definedName name="maboatdlrs">25</definedName>
    <definedName name="maboatdlrsinc">5</definedName>
    <definedName name="maboatfee">25</definedName>
    <definedName name="maboattrans">50</definedName>
    <definedName name="MACRO">#REF!</definedName>
    <definedName name="MACROS">#REF!</definedName>
    <definedName name="MAGNUM_SW">#REF!</definedName>
    <definedName name="MAIN">#REF!</definedName>
    <definedName name="Maj_YTD_Fcst">#REF!</definedName>
    <definedName name="MAJNAT">#REF!</definedName>
    <definedName name="MANEELY">#REF!</definedName>
    <definedName name="ManualInserts">#REF!</definedName>
    <definedName name="MARCH">#REF!</definedName>
    <definedName name="MatlMark">#REF!</definedName>
    <definedName name="matt" localSheetId="4" hidden="1">{"Oct 02 Revenue &amp; Expense",#N/A,FALSE,"October 02";"Oct 02 Recoveries",#N/A,FALSE,"October 02"}</definedName>
    <definedName name="matt" hidden="1">{"Oct 02 Revenue &amp; Expense",#N/A,FALSE,"October 02";"Oct 02 Recoveries",#N/A,FALSE,"October 02"}</definedName>
    <definedName name="May">#N/A</definedName>
    <definedName name="MAZDA_PARTS_LOCATOR">#REF!</definedName>
    <definedName name="MBS">#REF!</definedName>
    <definedName name="mcdlrs">8</definedName>
    <definedName name="MCI">#REF!</definedName>
    <definedName name="MCQUAY">#REF!</definedName>
    <definedName name="mdmcannualtrans">9568</definedName>
    <definedName name="mdmcdlrs">10</definedName>
    <definedName name="mdmcmotrans">25</definedName>
    <definedName name="mdmcpct">0.6</definedName>
    <definedName name="mdmcpilotdlrs">2</definedName>
    <definedName name="mdmctransfee">8</definedName>
    <definedName name="mdregsvcannualtrans">10800</definedName>
    <definedName name="mdregsvcfee">5</definedName>
    <definedName name="mdregsvcpct">1</definedName>
    <definedName name="mdsalvageannualtrans">24000</definedName>
    <definedName name="mdsalvagefee">3</definedName>
    <definedName name="mdsalvagepct">1</definedName>
    <definedName name="ME">#REF!</definedName>
    <definedName name="meals1">#REF!</definedName>
    <definedName name="meals2">#REF!</definedName>
    <definedName name="meals3">#REF!</definedName>
    <definedName name="meals4">#REF!</definedName>
    <definedName name="Med_prod" localSheetId="4" hidden="1">{#N/A,#N/A,FALSE,"Prem_Sum";#N/A,#N/A,FALSE,"Prem"}</definedName>
    <definedName name="Med_prod" hidden="1">{#N/A,#N/A,FALSE,"Prem_Sum";#N/A,#N/A,FALSE,"Prem"}</definedName>
    <definedName name="Med_prod.xls" localSheetId="4" hidden="1">{#N/A,#N/A,FALSE,"FACTSHEETS";#N/A,#N/A,FALSE,"pump";#N/A,#N/A,FALSE,"filter"}</definedName>
    <definedName name="Med_prod.xls" hidden="1">{#N/A,#N/A,FALSE,"FACTSHEETS";#N/A,#N/A,FALSE,"pump";#N/A,#N/A,FALSE,"filter"}</definedName>
    <definedName name="Med_products" localSheetId="4" hidden="1">{#N/A,#N/A,FALSE,"FACTSHEETS";#N/A,#N/A,FALSE,"pump";#N/A,#N/A,FALSE,"filter"}</definedName>
    <definedName name="Med_products" hidden="1">{#N/A,#N/A,FALSE,"FACTSHEETS";#N/A,#N/A,FALSE,"pump";#N/A,#N/A,FALSE,"filter"}</definedName>
    <definedName name="Media_One">#REF!</definedName>
    <definedName name="Media_Pubs_Actuals_Apr02_1416_770807">#REF!</definedName>
    <definedName name="MEDICARE_RATE">#REF!</definedName>
    <definedName name="Meeting1">#REF!</definedName>
    <definedName name="Meeting2">#REF!</definedName>
    <definedName name="MEMO">#REF!</definedName>
    <definedName name="MEMP">#REF!</definedName>
    <definedName name="MENU">#REF!</definedName>
    <definedName name="MenuInsertColumnValues">#REF!</definedName>
    <definedName name="MenuInsertRowValues">#REF!</definedName>
    <definedName name="merit_increase">#REF!</definedName>
    <definedName name="Mgt_Fee">#REF!</definedName>
    <definedName name="MIAMI">#REF!</definedName>
    <definedName name="mike">#REF!</definedName>
    <definedName name="MINNCRR">#REF!</definedName>
    <definedName name="MISC">#REF!</definedName>
    <definedName name="misc1">#REF!</definedName>
    <definedName name="misc2">#REF!</definedName>
    <definedName name="misc3">#REF!</definedName>
    <definedName name="misc4">#REF!</definedName>
    <definedName name="MISS">#REF!</definedName>
    <definedName name="mo">#REF!</definedName>
    <definedName name="mo_lkup">#REF!</definedName>
    <definedName name="MONTH">#REF!</definedName>
    <definedName name="MONTH_ENDING">#REF!</definedName>
    <definedName name="monthlabel">#REF!</definedName>
    <definedName name="MonthList">#REF!</definedName>
    <definedName name="MONTHLY_LABOR_EXPENSE">#REF!</definedName>
    <definedName name="MonthlyAmort">#REF!</definedName>
    <definedName name="Months2">#REF!</definedName>
    <definedName name="MONTHTABLE">#REF!</definedName>
    <definedName name="MoTelcoCost">1250</definedName>
    <definedName name="motrans">25</definedName>
    <definedName name="MrkMgrCost">50000</definedName>
    <definedName name="MTA">#REF!</definedName>
    <definedName name="MthlyAmort">#REF!</definedName>
    <definedName name="Mults02" localSheetId="4" hidden="1">{#N/A,#N/A,FALSE,"Projections";#N/A,#N/A,FALSE,"Multiples Valuation";#N/A,#N/A,FALSE,"LBO";#N/A,#N/A,FALSE,"Multiples_Sensitivity";#N/A,#N/A,FALSE,"Summary"}</definedName>
    <definedName name="Mults02" hidden="1">{#N/A,#N/A,FALSE,"Projections";#N/A,#N/A,FALSE,"Multiples Valuation";#N/A,#N/A,FALSE,"LBO";#N/A,#N/A,FALSE,"Multiples_Sensitivity";#N/A,#N/A,FALSE,"Summary"}</definedName>
    <definedName name="n">#REF!</definedName>
    <definedName name="NA_NSE">#REF!</definedName>
    <definedName name="NAAUTO">#REF!</definedName>
    <definedName name="NAAUTOTITLES">#REF!</definedName>
    <definedName name="name">#REF!</definedName>
    <definedName name="NAMELIST">#REF!</definedName>
    <definedName name="NASH">#REF!</definedName>
    <definedName name="National_Account_Services">#REF!</definedName>
    <definedName name="NATIONAL_ACCOUNT_SERVICES___PROBUSINESS">#REF!</definedName>
    <definedName name="NATLHEALTH">#REF!</definedName>
    <definedName name="ncAuctionMoTrans">250</definedName>
    <definedName name="ncheavtdlrs">5</definedName>
    <definedName name="ncheavyannualtrans">25641</definedName>
    <definedName name="ncheavydlrs">4</definedName>
    <definedName name="ncheavymotrans">25</definedName>
    <definedName name="ncheavypct">0.6</definedName>
    <definedName name="ncheavytransfee">12</definedName>
    <definedName name="ncmcannualtrans">12268</definedName>
    <definedName name="ncmcdlrs">4</definedName>
    <definedName name="NCMCmotrans">25</definedName>
    <definedName name="ncmcpct">0.6</definedName>
    <definedName name="NCMCpilotdlrs">4</definedName>
    <definedName name="ncmctransfee">12</definedName>
    <definedName name="NDC">#REF!</definedName>
    <definedName name="NEC">#REF!</definedName>
    <definedName name="new" localSheetId="4" hidden="1">{"'Hardware Req.'!$A$1:$C$23"}</definedName>
    <definedName name="new" hidden="1">{"'Hardware Req.'!$A$1:$C$23"}</definedName>
    <definedName name="New_Client_List">#REF!</definedName>
    <definedName name="New_Markets">#REF!</definedName>
    <definedName name="New_Row_Labor_Sheet">#REF!</definedName>
    <definedName name="New_Row_Labor_Sheet_Destination">#REF!</definedName>
    <definedName name="New_Row_Labor_Sheet_Hide_Rows">#REF!</definedName>
    <definedName name="New_Row_Row">#REF!</definedName>
    <definedName name="New_Row_RowCol1">#REF!</definedName>
    <definedName name="NEW_YEAR">#REF!</definedName>
    <definedName name="NEWBAL">#REF!</definedName>
    <definedName name="NEWBAL2">#REF!</definedName>
    <definedName name="newfile" hidden="1">{#N/A,#N/A,FALSE,"Full Year";#N/A,#N/A,FALSE,"Current Month";#N/A,#N/A,FALSE,"YTD";#N/A,#N/A,FALSE,"Remainder";#N/A,#N/A,FALSE,"Full Year Variance";#N/A,#N/A,FALSE,"Quarterly Variance"}</definedName>
    <definedName name="NEWGLDEC11TOMAR11">OFFSET(#REF!,0,0,COUNTA(#REF!),28)</definedName>
    <definedName name="NEWGLJUL11TOOCT11">OFFSET(#REF!,0,0,COUNTA(#REF!),28)</definedName>
    <definedName name="NEWGLNOV11TOFEB11">OFFSET(#REF!,0,0,COUNTA(#REF!),28)</definedName>
    <definedName name="NEWO">#REF!</definedName>
    <definedName name="NEWSTATUS">#REF!</definedName>
    <definedName name="NEXTBEST">#REF!</definedName>
    <definedName name="nnnnnnn" localSheetId="4" hidden="1">{#N/A,#N/A,TRUE,"TS";#N/A,#N/A,TRUE,"Combo";#N/A,#N/A,TRUE,"FAIR";#N/A,#N/A,TRUE,"RBC";#N/A,#N/A,TRUE,"xxxx"}</definedName>
    <definedName name="nnnnnnn" hidden="1">{#N/A,#N/A,TRUE,"TS";#N/A,#N/A,TRUE,"Combo";#N/A,#N/A,TRUE,"FAIR";#N/A,#N/A,TRUE,"RBC";#N/A,#N/A,TRUE,"xxxx"}</definedName>
    <definedName name="No">#REF!</definedName>
    <definedName name="NoAuctionPct">0.6</definedName>
    <definedName name="NOMORE">#REF!</definedName>
    <definedName name="nonononono">#REF!</definedName>
    <definedName name="NOOFFFSEGMENTS1">#REF!</definedName>
    <definedName name="NOOFFFSEGMENTS16">#REF!</definedName>
    <definedName name="NOOFFFSEGMENTS6">#REF!</definedName>
    <definedName name="NOOFPERIODS1">#REF!</definedName>
    <definedName name="nov">#REF!</definedName>
    <definedName name="NOVACARE">#REF!</definedName>
    <definedName name="novaccrual">#REF!</definedName>
    <definedName name="novdownload">#REF!</definedName>
    <definedName name="November">#N/A</definedName>
    <definedName name="NPC">#REF!</definedName>
    <definedName name="npi">#REF!</definedName>
    <definedName name="nse">#REF!</definedName>
    <definedName name="Number_of_Photocopies">#REF!</definedName>
    <definedName name="NumberofAutoInserts">#REF!</definedName>
    <definedName name="NumberOfColumnHeadingLines">#REF!</definedName>
    <definedName name="NumberOfDetailFields1">#REF!</definedName>
    <definedName name="NUMBEROFDETAILFIELDS16">#REF!</definedName>
    <definedName name="NUMBEROFDETAILFIELDS6">#REF!</definedName>
    <definedName name="NumberOfHeaderFields1">#REF!</definedName>
    <definedName name="NUMBEROFHEADERFIELDS16">#REF!</definedName>
    <definedName name="NUMBEROFHEADERFIELDS6">#REF!</definedName>
    <definedName name="NumberofPulls">#REF!</definedName>
    <definedName name="NYMETRO">#REF!</definedName>
    <definedName name="o" hidden="1">#REF!</definedName>
    <definedName name="OCT">#REF!</definedName>
    <definedName name="octincrease">#REF!</definedName>
    <definedName name="October">#N/A</definedName>
    <definedName name="ODBCDATASOURCE1">#REF!</definedName>
    <definedName name="ODBCDATASOURCE6">#REF!</definedName>
    <definedName name="oeilist">#REF!</definedName>
    <definedName name="OGILVY">#REF!</definedName>
    <definedName name="OHSAnalysis">#REF!</definedName>
    <definedName name="OHSSummary">#REF!</definedName>
    <definedName name="ok" localSheetId="4" hidden="1">{"AprJE to Everham",#N/A,FALSE,"JEto Jen"}</definedName>
    <definedName name="ok" hidden="1">{"AprJE to Everham",#N/A,FALSE,"JEto Jen"}</definedName>
    <definedName name="OLDBAL">#REF!</definedName>
    <definedName name="OLDBAL2">#REF!</definedName>
    <definedName name="One_Centenial_Place">#REF!</definedName>
    <definedName name="ONE_TOUCH">#REF!</definedName>
    <definedName name="OO" hidden="1">#REF!</definedName>
    <definedName name="OPLN">#REF!</definedName>
    <definedName name="OPS">#REF!</definedName>
    <definedName name="opsdata">#REF!</definedName>
    <definedName name="opshdr">#REF!</definedName>
    <definedName name="ORÇAMENTO">#REF!</definedName>
    <definedName name="OS">#REF!</definedName>
    <definedName name="OTHER_CONSULT1">#REF!</definedName>
    <definedName name="OTHER_CONSULT2">#REF!</definedName>
    <definedName name="OTHER_EXPENSE_PLANNING">#REF!</definedName>
    <definedName name="Other_Pass_Through">#REF!</definedName>
    <definedName name="output">#REF!</definedName>
    <definedName name="outsource">#REF!</definedName>
    <definedName name="OUTSTAND_CK">#REF!</definedName>
    <definedName name="Overage">#REF!</definedName>
    <definedName name="Overall">#REF!</definedName>
    <definedName name="OVERTIME_PLANNING">#REF!</definedName>
    <definedName name="OVERWITH">#REF!</definedName>
    <definedName name="P">#REF!</definedName>
    <definedName name="p.kh" localSheetId="4" hidden="1">{#N/A,#N/A,FALSE,"Heat";#N/A,#N/A,FALSE,"DCF";#N/A,#N/A,FALSE,"LBO";#N/A,#N/A,FALSE,"A";#N/A,#N/A,FALSE,"C";#N/A,#N/A,FALSE,"impd";#N/A,#N/A,FALSE,"Accr-Dilu"}</definedName>
    <definedName name="p.kh" hidden="1">{#N/A,#N/A,FALSE,"Heat";#N/A,#N/A,FALSE,"DCF";#N/A,#N/A,FALSE,"LBO";#N/A,#N/A,FALSE,"A";#N/A,#N/A,FALSE,"C";#N/A,#N/A,FALSE,"impd";#N/A,#N/A,FALSE,"Accr-Dilu"}</definedName>
    <definedName name="P058DATA1">#REF!</definedName>
    <definedName name="PACIFICARE">#REF!</definedName>
    <definedName name="PacketsCollatedManually">#REF!</definedName>
    <definedName name="PAD">#REF!</definedName>
    <definedName name="PAGE1">#REF!</definedName>
    <definedName name="PAGE1A">#REF!</definedName>
    <definedName name="PAGE2">#REF!</definedName>
    <definedName name="PAGE2A">#REF!</definedName>
    <definedName name="PAGE3">#REF!</definedName>
    <definedName name="PAGE3A">#REF!</definedName>
    <definedName name="PAINTING">#REF!</definedName>
    <definedName name="PARTS_LOCATOR">#REF!</definedName>
    <definedName name="PASSBACK">#REF!</definedName>
    <definedName name="PassThru">#REF!</definedName>
    <definedName name="pax">#REF!</definedName>
    <definedName name="PAY_SEGMENTS">#REF!</definedName>
    <definedName name="payment">#REF!</definedName>
    <definedName name="Payroll">#REF!</definedName>
    <definedName name="PAYROLL_CASH">#REF!</definedName>
    <definedName name="PAYROLL_REC">#REF!</definedName>
    <definedName name="PAYWISE">#REF!</definedName>
    <definedName name="PC">#REF!</definedName>
    <definedName name="PC_98">#REF!</definedName>
    <definedName name="PC_99">#REF!</definedName>
    <definedName name="PCONSOL">#REF!</definedName>
    <definedName name="PCS">#REF!</definedName>
    <definedName name="pct">0.6</definedName>
    <definedName name="PDM">#REF!</definedName>
    <definedName name="Penetration">0.5</definedName>
    <definedName name="Period">#REF!</definedName>
    <definedName name="Periods">#REF!</definedName>
    <definedName name="PERIODSETNAME1">#REF!</definedName>
    <definedName name="PERIODSETNAME16">#REF!</definedName>
    <definedName name="PERIODSETNAME6">#REF!</definedName>
    <definedName name="PERIODYEAR1">#REF!</definedName>
    <definedName name="PERSONNEL">#REF!</definedName>
    <definedName name="PETTY">#REF!</definedName>
    <definedName name="Phase3">#REF!</definedName>
    <definedName name="PHILLY">#REF!</definedName>
    <definedName name="Phoenix_Payroll">#REF!</definedName>
    <definedName name="phone">#REF!</definedName>
    <definedName name="Photocopy_Charge">#REF!</definedName>
    <definedName name="pilotdlrs">5</definedName>
    <definedName name="PIN_REVENUE">#REF!</definedName>
    <definedName name="Pinnacle_Management">#REF!</definedName>
    <definedName name="pioche">#REF!</definedName>
    <definedName name="PITTSBURGH">#REF!</definedName>
    <definedName name="PL">#REF!</definedName>
    <definedName name="plan" localSheetId="4" hidden="1">{#N/A,#N/A,FALSE,"BalSheet 0899";#N/A,#N/A,FALSE,"ytdpl899";#N/A,#N/A,FALSE,"Aug PL";#N/A,#N/A,FALSE,"Minority Int";#N/A,#N/A,FALSE,"Equity Roll Forward";#N/A,#N/A,FALSE,"Book Equity Test"}</definedName>
    <definedName name="plan" hidden="1">{#N/A,#N/A,FALSE,"BalSheet 0899";#N/A,#N/A,FALSE,"ytdpl899";#N/A,#N/A,FALSE,"Aug PL";#N/A,#N/A,FALSE,"Minority Int";#N/A,#N/A,FALSE,"Equity Roll Forward";#N/A,#N/A,FALSE,"Book Equity Test"}</definedName>
    <definedName name="plan_det">#REF!</definedName>
    <definedName name="PLAN95">#REF!</definedName>
    <definedName name="planning" localSheetId="4" hidden="1">{#N/A,#N/A,FALSE,"BalSheet 0899";#N/A,#N/A,FALSE,"ytdpl899";#N/A,#N/A,FALSE,"Aug PL";#N/A,#N/A,FALSE,"Minority Int";#N/A,#N/A,FALSE,"Equity Roll Forward";#N/A,#N/A,FALSE,"Book Equity Test"}</definedName>
    <definedName name="planning" hidden="1">{#N/A,#N/A,FALSE,"BalSheet 0899";#N/A,#N/A,FALSE,"ytdpl899";#N/A,#N/A,FALSE,"Aug PL";#N/A,#N/A,FALSE,"Minority Int";#N/A,#N/A,FALSE,"Equity Roll Forward";#N/A,#N/A,FALSE,"Book Equity Test"}</definedName>
    <definedName name="Planrate">#REF!</definedName>
    <definedName name="plans">#REF!</definedName>
    <definedName name="PLANTS">#REF!</definedName>
    <definedName name="PLNVAR">#REF!</definedName>
    <definedName name="ploi" localSheetId="4" hidden="1">{#N/A,#N/A,FALSE,"Assump2";#N/A,#N/A,FALSE,"Income2";#N/A,#N/A,FALSE,"Balance2";#N/A,#N/A,FALSE,"DCF Filter";#N/A,#N/A,FALSE,"Trans Assump2";#N/A,#N/A,FALSE,"Combined Income2";#N/A,#N/A,FALSE,"Combined Balance2"}</definedName>
    <definedName name="ploi" hidden="1">{#N/A,#N/A,FALSE,"Assump2";#N/A,#N/A,FALSE,"Income2";#N/A,#N/A,FALSE,"Balance2";#N/A,#N/A,FALSE,"DCF Filter";#N/A,#N/A,FALSE,"Trans Assump2";#N/A,#N/A,FALSE,"Combined Income2";#N/A,#N/A,FALSE,"Combined Balance2"}</definedName>
    <definedName name="PM_FEE">#REF!</definedName>
    <definedName name="PO">#REF!</definedName>
    <definedName name="Pol">#REF!</definedName>
    <definedName name="Pola">#REF!</definedName>
    <definedName name="PopCache_GL_INTERFACE_REFERENCE7" localSheetId="4">#REF!</definedName>
    <definedName name="PopCache_GL_INTERFACE_REFERENCE7">#REF!</definedName>
    <definedName name="PORSCHE_PARTS_LOCATOR">#REF!</definedName>
    <definedName name="PORTILLO">#REF!</definedName>
    <definedName name="Postage_Pass_Through_Charges">#REF!</definedName>
    <definedName name="PostErrorsToSusp1">#REF!</definedName>
    <definedName name="POSTERRORSTOSUSP16">#REF!</definedName>
    <definedName name="POSTERRORSTOSUSP6">#REF!</definedName>
    <definedName name="PQ">#REF!</definedName>
    <definedName name="PR">#REF!</definedName>
    <definedName name="pracdata">#REF!</definedName>
    <definedName name="prachdr">#REF!</definedName>
    <definedName name="PRAXAIR">#REF!</definedName>
    <definedName name="pre_sm">#REF!</definedName>
    <definedName name="PRELIMFLASH">#REF!</definedName>
    <definedName name="PREMIER">#REF!</definedName>
    <definedName name="PremiumPaidSUmmary" localSheetId="4" hidden="1">{#N/A,#N/A,FALSE,"Projections";#N/A,#N/A,FALSE,"Multiples Valuation";#N/A,#N/A,FALSE,"LBO";#N/A,#N/A,FALSE,"Multiples_Sensitivity";#N/A,#N/A,FALSE,"Summary"}</definedName>
    <definedName name="PremiumPaidSUmmary" hidden="1">{#N/A,#N/A,FALSE,"Projections";#N/A,#N/A,FALSE,"Multiples Valuation";#N/A,#N/A,FALSE,"LBO";#N/A,#N/A,FALSE,"Multiples_Sensitivity";#N/A,#N/A,FALSE,"Summary"}</definedName>
    <definedName name="Prepared_By___Tom_Wilson">#REF!</definedName>
    <definedName name="Prepared_by_Russell_Murphy">#REF!</definedName>
    <definedName name="PRES97">#REF!</definedName>
    <definedName name="PreTripLabor">#REF!</definedName>
    <definedName name="PreTripMat">#REF!</definedName>
    <definedName name="PreTripTIPS">#REF!</definedName>
    <definedName name="PRICE_UPDATES">#REF!</definedName>
    <definedName name="priceincrease">#REF!</definedName>
    <definedName name="PRINCETON">#REF!</definedName>
    <definedName name="PRINT">#REF!</definedName>
    <definedName name="Print_">#REF!</definedName>
    <definedName name="Print_All">#REF!</definedName>
    <definedName name="PRINT_AR01">#REF!</definedName>
    <definedName name="_xlnm.Print_Area">#REF!</definedName>
    <definedName name="Print_Area_MI">#REF!</definedName>
    <definedName name="Print_Area1">#REF!</definedName>
    <definedName name="Print_Area1A">#REF!</definedName>
    <definedName name="Print_Area2">#REF!</definedName>
    <definedName name="Print_Area3">#REF!</definedName>
    <definedName name="Print_Area5">#REF!</definedName>
    <definedName name="Print_Area7">#REF!</definedName>
    <definedName name="Print_AreaII">#REF!</definedName>
    <definedName name="Print_AreaIII">#REF!</definedName>
    <definedName name="print_oss">#REF!</definedName>
    <definedName name="Print_Range_Squ">#REF!</definedName>
    <definedName name="_xlnm.Print_Titles">#REF!</definedName>
    <definedName name="PRINT_TITLES_MI">#REF!</definedName>
    <definedName name="PRINTENTRY">#REF!</definedName>
    <definedName name="PRINTEXP">#REF!</definedName>
    <definedName name="PRINTFORECAST">#REF!</definedName>
    <definedName name="PRINTING">#REF!</definedName>
    <definedName name="PRINTMONTHSUMM">#REF!</definedName>
    <definedName name="printoss">#REF!</definedName>
    <definedName name="PRINTREVDET">#REF!</definedName>
    <definedName name="PRINTS">#REF!</definedName>
    <definedName name="PRINTSUMM">#REF!</definedName>
    <definedName name="PRINTTEMP">#REF!</definedName>
    <definedName name="PRJ_ORG_TYPE_1">#REF!</definedName>
    <definedName name="Prodcost">7500</definedName>
    <definedName name="Products">#REF!</definedName>
    <definedName name="PROFIT_PLAN">#REF!</definedName>
    <definedName name="PROPERT">#REF!</definedName>
    <definedName name="prtax">#REF!</definedName>
    <definedName name="PTAM_SFTW_IPMT_Sept04">#REF!</definedName>
    <definedName name="q" hidden="1">#REF!</definedName>
    <definedName name="Q1TOTAL">#REF!</definedName>
    <definedName name="Q1TOTAL2">#REF!</definedName>
    <definedName name="q4NIvsplan" localSheetId="4" hidden="1">{#N/A,#N/A,FALSE,"BalSheet 0899";#N/A,#N/A,FALSE,"ytdpl899";#N/A,#N/A,FALSE,"Aug PL";#N/A,#N/A,FALSE,"Minority Int";#N/A,#N/A,FALSE,"Equity Roll Forward";#N/A,#N/A,FALSE,"Book Equity Test"}</definedName>
    <definedName name="q4NIvsplan" hidden="1">{#N/A,#N/A,FALSE,"BalSheet 0899";#N/A,#N/A,FALSE,"ytdpl899";#N/A,#N/A,FALSE,"Aug PL";#N/A,#N/A,FALSE,"Minority Int";#N/A,#N/A,FALSE,"Equity Roll Forward";#N/A,#N/A,FALSE,"Book Equity Test"}</definedName>
    <definedName name="qoexra">#REF!</definedName>
    <definedName name="QQ" hidden="1">#REF!</definedName>
    <definedName name="QQQQ" hidden="1">#REF!</definedName>
    <definedName name="QQQQQ" hidden="1">#REF!</definedName>
    <definedName name="QQQQQQ" hidden="1">#REF!</definedName>
    <definedName name="QQQQQQQ" hidden="1">#REF!</definedName>
    <definedName name="QRY_AESWITSTEP.20">#REF!</definedName>
    <definedName name="qryDollarsByEmployee___UK">#REF!</definedName>
    <definedName name="qryDollarsByEmployee___US">#REF!</definedName>
    <definedName name="qryDollarsByEmployee_UK1">#REF!</definedName>
    <definedName name="qryDollarsByEmployeeTrain">#REF!</definedName>
    <definedName name="qryExpensesByEmployee">#REF!</definedName>
    <definedName name="Query1">#REF!</definedName>
    <definedName name="qwe" localSheetId="4" hidden="1">{#N/A,#N/A,FALSE,"Projections";#N/A,#N/A,FALSE,"Multiples Valuation";#N/A,#N/A,FALSE,"LBO";#N/A,#N/A,FALSE,"Multiples_Sensitivity";#N/A,#N/A,FALSE,"Summary"}</definedName>
    <definedName name="qwe" hidden="1">{#N/A,#N/A,FALSE,"Projections";#N/A,#N/A,FALSE,"Multiples Valuation";#N/A,#N/A,FALSE,"LBO";#N/A,#N/A,FALSE,"Multiples_Sensitivity";#N/A,#N/A,FALSE,"Summary"}</definedName>
    <definedName name="R_">#REF!</definedName>
    <definedName name="RASG">#REF!</definedName>
    <definedName name="rate">#REF!</definedName>
    <definedName name="RATE_ASSUMPTIONS">#REF!</definedName>
    <definedName name="rates">#REF!</definedName>
    <definedName name="RAY">#REF!</definedName>
    <definedName name="Rd">#REF!</definedName>
    <definedName name="RDCost">100000</definedName>
    <definedName name="READONLYBACKCOLOUR1">#REF!</definedName>
    <definedName name="READWRITEBACKCOLOUR1">#REF!</definedName>
    <definedName name="Reason">#REF!</definedName>
    <definedName name="Recap_In">#REF!</definedName>
    <definedName name="Recap_Out">#REF!</definedName>
    <definedName name="RECON">#REF!</definedName>
    <definedName name="RECRUIT">#REF!</definedName>
    <definedName name="RECRUITING">#REF!</definedName>
    <definedName name="Recruitment" localSheetId="4" hidden="1">{#N/A,#N/A,FALSE,"BrkgCover";#N/A,#N/A,FALSE,"brrevex";#N/A,#N/A,FALSE,"brbkbo";#N/A,#N/A,FALSE,"NOISum";#N/A,#N/A,FALSE,"inst";#N/A,#N/A,FALSE,"164";#N/A,#N/A,FALSE,"167";#N/A,#N/A,FALSE,"168";#N/A,#N/A,FALSE,"169";#N/A,#N/A,FALSE,"180";#N/A,#N/A,FALSE,"181";#N/A,#N/A,FALSE,"182";#N/A,#N/A,FALSE,"194";#N/A,#N/A,FALSE,"199";#N/A,#N/A,FALSE,"178-9";#N/A,#N/A,FALSE,"Heads";#N/A,#N/A,FALSE,"Capital"}</definedName>
    <definedName name="Recruitment" hidden="1">{#N/A,#N/A,FALSE,"BrkgCover";#N/A,#N/A,FALSE,"brrevex";#N/A,#N/A,FALSE,"brbkbo";#N/A,#N/A,FALSE,"NOISum";#N/A,#N/A,FALSE,"inst";#N/A,#N/A,FALSE,"164";#N/A,#N/A,FALSE,"167";#N/A,#N/A,FALSE,"168";#N/A,#N/A,FALSE,"169";#N/A,#N/A,FALSE,"180";#N/A,#N/A,FALSE,"181";#N/A,#N/A,FALSE,"182";#N/A,#N/A,FALSE,"194";#N/A,#N/A,FALSE,"199";#N/A,#N/A,FALSE,"178-9";#N/A,#N/A,FALSE,"Heads";#N/A,#N/A,FALSE,"Capital"}</definedName>
    <definedName name="Recrutiement" localSheetId="4" hidden="1">{#N/A,#N/A,FALSE,"BrkgCover";#N/A,#N/A,FALSE,"brrevex";#N/A,#N/A,FALSE,"brbkbo";#N/A,#N/A,FALSE,"NOISum";#N/A,#N/A,FALSE,"inst";#N/A,#N/A,FALSE,"164";#N/A,#N/A,FALSE,"167";#N/A,#N/A,FALSE,"168";#N/A,#N/A,FALSE,"169";#N/A,#N/A,FALSE,"180";#N/A,#N/A,FALSE,"181";#N/A,#N/A,FALSE,"182";#N/A,#N/A,FALSE,"194";#N/A,#N/A,FALSE,"199";#N/A,#N/A,FALSE,"178-9";#N/A,#N/A,FALSE,"Heads";#N/A,#N/A,FALSE,"Capital"}</definedName>
    <definedName name="Recrutiement" hidden="1">{#N/A,#N/A,FALSE,"BrkgCover";#N/A,#N/A,FALSE,"brrevex";#N/A,#N/A,FALSE,"brbkbo";#N/A,#N/A,FALSE,"NOISum";#N/A,#N/A,FALSE,"inst";#N/A,#N/A,FALSE,"164";#N/A,#N/A,FALSE,"167";#N/A,#N/A,FALSE,"168";#N/A,#N/A,FALSE,"169";#N/A,#N/A,FALSE,"180";#N/A,#N/A,FALSE,"181";#N/A,#N/A,FALSE,"182";#N/A,#N/A,FALSE,"194";#N/A,#N/A,FALSE,"199";#N/A,#N/A,FALSE,"178-9";#N/A,#N/A,FALSE,"Heads";#N/A,#N/A,FALSE,"Capital"}</definedName>
    <definedName name="REF_NUMBER">#REF!</definedName>
    <definedName name="Refer">#REF!</definedName>
    <definedName name="Referrals">#REF!</definedName>
    <definedName name="REG_MACRO">#REF!</definedName>
    <definedName name="REG_OUT">#REF!</definedName>
    <definedName name="REG_PRINT">#REF!</definedName>
    <definedName name="Region">#REF!</definedName>
    <definedName name="region_lookup">#REF!</definedName>
    <definedName name="Region_Name___214_Enterprise_Payroll_Services">#REF!</definedName>
    <definedName name="Region_Table">#REF!</definedName>
    <definedName name="REGIONS">#REF!</definedName>
    <definedName name="REGIONS_BY_PREFIX">#REF!</definedName>
    <definedName name="REGIONSUM">#REF!</definedName>
    <definedName name="REGTOT">#REF!</definedName>
    <definedName name="RELO">#REF!</definedName>
    <definedName name="RELOCATION">#REF!</definedName>
    <definedName name="REMDIR">#REF!</definedName>
    <definedName name="REMDIRMO">#REF!</definedName>
    <definedName name="REMEMP">#REF!</definedName>
    <definedName name="REMEMPMO">#REF!</definedName>
    <definedName name="REMINDIR">#REF!</definedName>
    <definedName name="REMINDIRMO">#REF!</definedName>
    <definedName name="rental1">#REF!</definedName>
    <definedName name="rental2">#REF!</definedName>
    <definedName name="rental3">#REF!</definedName>
    <definedName name="rental4">#REF!</definedName>
    <definedName name="RENTPD">#REF!</definedName>
    <definedName name="REPORT">#REF!</definedName>
    <definedName name="Report_Version_3">"A1"</definedName>
    <definedName name="ReportDateRange">#REF!</definedName>
    <definedName name="ReportNameRange">#REF!</definedName>
    <definedName name="ReportRunDateRange">#REF!</definedName>
    <definedName name="REQUIREBUDGETJOURNALSFLAG1">#REF!</definedName>
    <definedName name="RESERVE">#REF!</definedName>
    <definedName name="RESPONSIBILITYAPPLICATIONID1">#REF!</definedName>
    <definedName name="RESPONSIBILITYAPPLICATIONID16">#REF!</definedName>
    <definedName name="RESPONSIBILITYAPPLICATIONID6">#REF!</definedName>
    <definedName name="RESPONSIBILITYID1">#REF!</definedName>
    <definedName name="RESPONSIBILITYID16">#REF!</definedName>
    <definedName name="RESPONSIBILITYID6">#REF!</definedName>
    <definedName name="RESPONSIBILITYNAME1">#REF!</definedName>
    <definedName name="RESPONSIBILITYNAME16">#REF!</definedName>
    <definedName name="RESPONSIBILITYNAME6">#REF!</definedName>
    <definedName name="RetenRetrieve">#REF!</definedName>
    <definedName name="RETRIEVE">#REF!</definedName>
    <definedName name="Retrieve_Range_Squ1">#REF!</definedName>
    <definedName name="Retrieve_Range_Squ2">#REF!</definedName>
    <definedName name="Retrieve_Range_Squ3">#REF!</definedName>
    <definedName name="Retrieve_Range_Squ4">#REF!</definedName>
    <definedName name="rev">#REF!</definedName>
    <definedName name="revdata">#REF!</definedName>
    <definedName name="REVENUE">#REF!</definedName>
    <definedName name="revhdr">#REF!</definedName>
    <definedName name="REVPRD">#REF!</definedName>
    <definedName name="revresultpct">#REF!</definedName>
    <definedName name="REVSUM">#REF!</definedName>
    <definedName name="richres">#REF!</definedName>
    <definedName name="risks" localSheetId="4" hidden="1">{#N/A,#N/A,FALSE,"Full Year";#N/A,#N/A,FALSE,"Current Month";#N/A,#N/A,FALSE,"YTD";#N/A,#N/A,FALSE,"Remainder";#N/A,#N/A,FALSE,"Full Year Variance";#N/A,#N/A,FALSE,"Quarterly Variance"}</definedName>
    <definedName name="risks" hidden="1">{#N/A,#N/A,FALSE,"Full Year";#N/A,#N/A,FALSE,"Current Month";#N/A,#N/A,FALSE,"YTD";#N/A,#N/A,FALSE,"Remainder";#N/A,#N/A,FALSE,"Full Year Variance";#N/A,#N/A,FALSE,"Quarterly Variance"}</definedName>
    <definedName name="rmcAccount">38700</definedName>
    <definedName name="rmcCategory">"PRIOR1"</definedName>
    <definedName name="rmcFrequency">"YTD"</definedName>
    <definedName name="rmcName">"CON"</definedName>
    <definedName name="RMCOptions">"*000000000000000"</definedName>
    <definedName name="rmcPeriod">9601</definedName>
    <definedName name="Robert">#REF!</definedName>
    <definedName name="ROWSTOUPLOAD1">#REF!</definedName>
    <definedName name="ROWSTOUPLOAD16">#REF!</definedName>
    <definedName name="ROWSTOUPLOAD6">#REF!</definedName>
    <definedName name="rr" hidden="1">#REF!</definedName>
    <definedName name="rrr">#REF!</definedName>
    <definedName name="RRRR" hidden="1">#REF!</definedName>
    <definedName name="rx" localSheetId="4" hidden="1">{#N/A,#N/A,FALSE,"Full Year";#N/A,#N/A,FALSE,"Current Month";#N/A,#N/A,FALSE,"YTD";#N/A,#N/A,FALSE,"Remainder";#N/A,#N/A,FALSE,"Full Year Variance";#N/A,#N/A,FALSE,"Quarterly Variance"}</definedName>
    <definedName name="rx" hidden="1">{#N/A,#N/A,FALSE,"Full Year";#N/A,#N/A,FALSE,"Current Month";#N/A,#N/A,FALSE,"YTD";#N/A,#N/A,FALSE,"Remainder";#N/A,#N/A,FALSE,"Full Year Variance";#N/A,#N/A,FALSE,"Quarterly Variance"}</definedName>
    <definedName name="s">#REF!</definedName>
    <definedName name="saf" localSheetId="4" hidden="1">{#N/A,#N/A,FALSE,"Projections";#N/A,#N/A,FALSE,"Contribution_Stock";#N/A,#N/A,FALSE,"PF_Combo_Stock";#N/A,#N/A,FALSE,"Projections";#N/A,#N/A,FALSE,"Contribution_Cash";#N/A,#N/A,FALSE,"PF_Combo_Cash";#N/A,#N/A,FALSE,"IPO_Cash"}</definedName>
    <definedName name="saf" hidden="1">{#N/A,#N/A,FALSE,"Projections";#N/A,#N/A,FALSE,"Contribution_Stock";#N/A,#N/A,FALSE,"PF_Combo_Stock";#N/A,#N/A,FALSE,"Projections";#N/A,#N/A,FALSE,"Contribution_Cash";#N/A,#N/A,FALSE,"PF_Combo_Cash";#N/A,#N/A,FALSE,"IPO_Cash"}</definedName>
    <definedName name="SAGE_AIR">#REF!</definedName>
    <definedName name="SAGE_CDK">#REF!</definedName>
    <definedName name="SAGE_FBI">#REF!</definedName>
    <definedName name="SAGE_HJH">#REF!</definedName>
    <definedName name="sal_grade">#REF!</definedName>
    <definedName name="SALARY">#REF!</definedName>
    <definedName name="SALARY_PLANNING">#REF!</definedName>
    <definedName name="salaryplan">#REF!</definedName>
    <definedName name="sales">#REF!</definedName>
    <definedName name="SALES_TAX">#REF!</definedName>
    <definedName name="salesnumber">#REF!</definedName>
    <definedName name="SalesOps">#REF!</definedName>
    <definedName name="salesplan">#REF!</definedName>
    <definedName name="SalesVP">#REF!</definedName>
    <definedName name="SALPLAN">#REF!</definedName>
    <definedName name="SalvageMoTrans">150</definedName>
    <definedName name="SalvageTransFee">3</definedName>
    <definedName name="SAPBEXhrIndnt" hidden="1">"Wide"</definedName>
    <definedName name="SAPsysID" hidden="1">"708C5W7SBKP804JT78WJ0JNKI"</definedName>
    <definedName name="SAPwbID" hidden="1">"ARS"</definedName>
    <definedName name="SASSSummary">#REF!</definedName>
    <definedName name="sat_code">#REF!</definedName>
    <definedName name="sat_region">#REF!</definedName>
    <definedName name="Satdesc_Reg_Sat">#REF!</definedName>
    <definedName name="satlookup">#REF!</definedName>
    <definedName name="SCNS">#REF!</definedName>
    <definedName name="sdf" localSheetId="4" hidden="1">{#N/A,#N/A,FALSE,"rollup";#N/A,#N/A,FALSE,"perf_total+gorm";#N/A,#N/A,FALSE,"perf_total";#N/A,#N/A,FALSE,"pi_total";#N/A,#N/A,FALSE,"pi_us";#N/A,#N/A,FALSE,"pi_can";#N/A,#N/A,FALSE,"pcc_total";#N/A,#N/A,FALSE,"pcc_us";#N/A,#N/A,FALSE,"pcc_can";#N/A,#N/A,FALSE,"gorman";#N/A,#N/A,FALSE,"novak_total";#N/A,#N/A,FALSE,"novak";#N/A,#N/A,FALSE,"novak_us"}</definedName>
    <definedName name="sdf" hidden="1">{#N/A,#N/A,FALSE,"rollup";#N/A,#N/A,FALSE,"perf_total+gorm";#N/A,#N/A,FALSE,"perf_total";#N/A,#N/A,FALSE,"pi_total";#N/A,#N/A,FALSE,"pi_us";#N/A,#N/A,FALSE,"pi_can";#N/A,#N/A,FALSE,"pcc_total";#N/A,#N/A,FALSE,"pcc_us";#N/A,#N/A,FALSE,"pcc_can";#N/A,#N/A,FALSE,"gorman";#N/A,#N/A,FALSE,"novak_total";#N/A,#N/A,FALSE,"novak";#N/A,#N/A,FALSE,"novak_us"}</definedName>
    <definedName name="sdfsdaf" localSheetId="4" hidden="1">{"May 03 Revenue &amp; Expense",#N/A,FALSE,"May 03";"May 03 Recoveries",#N/A,FALSE,"May 03"}</definedName>
    <definedName name="sdfsdaf" hidden="1">{"May 03 Revenue &amp; Expense",#N/A,FALSE,"May 03";"May 03 Recoveries",#N/A,FALSE,"May 03"}</definedName>
    <definedName name="SEG1_DIRECTION1">#REF!</definedName>
    <definedName name="SEG1_FROM1">#REF!</definedName>
    <definedName name="SEG1_SORT1">#REF!</definedName>
    <definedName name="SEG1_TO1">#REF!</definedName>
    <definedName name="SEG2_DIRECTION1">#REF!</definedName>
    <definedName name="SEG2_FROM1">#REF!</definedName>
    <definedName name="SEG2_SORT1">#REF!</definedName>
    <definedName name="SEG2_TO1">#REF!</definedName>
    <definedName name="SEG3_DIRECTION1">#REF!</definedName>
    <definedName name="SEG3_FROM1">#REF!</definedName>
    <definedName name="SEG3_SORT1">#REF!</definedName>
    <definedName name="SEG3_TO1">#REF!</definedName>
    <definedName name="SEG4_DIRECTION1">#REF!</definedName>
    <definedName name="SEG4_FROM1">#REF!</definedName>
    <definedName name="SEG4_SORT1">#REF!</definedName>
    <definedName name="SEG4_TO1">#REF!</definedName>
    <definedName name="SEG5_DIRECTION1">#REF!</definedName>
    <definedName name="SEG5_FROM1">#REF!</definedName>
    <definedName name="SEG5_SORT1">#REF!</definedName>
    <definedName name="SEG5_TO1">#REF!</definedName>
    <definedName name="SEG6_DIRECTION1">#REF!</definedName>
    <definedName name="SEG6_FROM1">#REF!</definedName>
    <definedName name="SEG6_SORT1">#REF!</definedName>
    <definedName name="SEG6_TO1">#REF!</definedName>
    <definedName name="SELECTPP">#REF!</definedName>
    <definedName name="SendtoAccess">#REF!</definedName>
    <definedName name="SEP">#REF!</definedName>
    <definedName name="September">#N/A</definedName>
    <definedName name="SERECAP">#REF!</definedName>
    <definedName name="SETOFBOOKSID1">#REF!</definedName>
    <definedName name="SETOFBOOKSID16">#REF!</definedName>
    <definedName name="SETOFBOOKSID6">#REF!</definedName>
    <definedName name="SETOFBOOKSNAME1">#REF!</definedName>
    <definedName name="SETOFBOOKSNAME16">#REF!</definedName>
    <definedName name="SETOFBOOKSNAME6">#REF!</definedName>
    <definedName name="setup">#REF!</definedName>
    <definedName name="severed">#REF!</definedName>
    <definedName name="SF">#REF!</definedName>
    <definedName name="sftw">#REF!</definedName>
    <definedName name="sheet">#REF!</definedName>
    <definedName name="sheet1">#REF!</definedName>
    <definedName name="Sheet2" localSheetId="4" hidden="1">{#N/A,#N/A,FALSE,"Adj Proj";#N/A,#N/A,FALSE,"Sheet1";#N/A,#N/A,FALSE,"LBO";#N/A,#N/A,FALSE,"LBOMER";#N/A,#N/A,FALSE,"WACC";#N/A,#N/A,FALSE,"DCF";#N/A,#N/A,FALSE,"DCFMER";#N/A,#N/A,FALSE,"Pooling";#N/A,#N/A,FALSE,"income";#N/A,#N/A,FALSE,"Offer"}</definedName>
    <definedName name="Sheet2" hidden="1">{#N/A,#N/A,FALSE,"Adj Proj";#N/A,#N/A,FALSE,"Sheet1";#N/A,#N/A,FALSE,"LBO";#N/A,#N/A,FALSE,"LBOMER";#N/A,#N/A,FALSE,"WACC";#N/A,#N/A,FALSE,"DCF";#N/A,#N/A,FALSE,"DCFMER";#N/A,#N/A,FALSE,"Pooling";#N/A,#N/A,FALSE,"income";#N/A,#N/A,FALSE,"Offer"}</definedName>
    <definedName name="Sheet3" localSheetId="4" hidden="1">{#N/A,#N/A,FALSE,"Projections";#N/A,#N/A,FALSE,"Multiples Valuation";#N/A,#N/A,FALSE,"LBO";#N/A,#N/A,FALSE,"Multiples_Sensitivity";#N/A,#N/A,FALSE,"Summary"}</definedName>
    <definedName name="Sheet3" hidden="1">{#N/A,#N/A,FALSE,"Projections";#N/A,#N/A,FALSE,"Multiples Valuation";#N/A,#N/A,FALSE,"LBO";#N/A,#N/A,FALSE,"Multiples_Sensitivity";#N/A,#N/A,FALSE,"Summary"}</definedName>
    <definedName name="Sheet4" localSheetId="4" hidden="1">{#N/A,#N/A,FALSE,"Projections";#N/A,#N/A,FALSE,"Multiples Valuation";#N/A,#N/A,FALSE,"LBO";#N/A,#N/A,FALSE,"Multiples_Sensitivity";#N/A,#N/A,FALSE,"Summary"}</definedName>
    <definedName name="Sheet4" hidden="1">{#N/A,#N/A,FALSE,"Projections";#N/A,#N/A,FALSE,"Multiples Valuation";#N/A,#N/A,FALSE,"LBO";#N/A,#N/A,FALSE,"Multiples_Sensitivity";#N/A,#N/A,FALSE,"Summary"}</definedName>
    <definedName name="Sheet6" localSheetId="4" hidden="1">{#N/A,#N/A,FALSE,"Projections";#N/A,#N/A,FALSE,"Multiples Valuation";#N/A,#N/A,FALSE,"LBO";#N/A,#N/A,FALSE,"Multiples_Sensitivity";#N/A,#N/A,FALSE,"Summary"}</definedName>
    <definedName name="Sheet6" hidden="1">{#N/A,#N/A,FALSE,"Projections";#N/A,#N/A,FALSE,"Multiples Valuation";#N/A,#N/A,FALSE,"LBO";#N/A,#N/A,FALSE,"Multiples_Sensitivity";#N/A,#N/A,FALSE,"Summary"}</definedName>
    <definedName name="SHIFT_D_PERCENTAGE">#REF!</definedName>
    <definedName name="SHIFT_DIFFERENTIAL">#REF!</definedName>
    <definedName name="shift2_flag">#REF!</definedName>
    <definedName name="shift2_percentage">#REF!</definedName>
    <definedName name="Shift3_flag">#REF!</definedName>
    <definedName name="shift3_percentage">#REF!</definedName>
    <definedName name="SHIP">#REF!</definedName>
    <definedName name="shuttle1">#REF!</definedName>
    <definedName name="shuttle2">#REF!</definedName>
    <definedName name="shuttle3">#REF!</definedName>
    <definedName name="shuttle4">#REF!</definedName>
    <definedName name="Silicon_Valley">#REF!</definedName>
    <definedName name="sitapl">#REF!</definedName>
    <definedName name="SMPS" localSheetId="4" hidden="1">{#N/A,#N/A,FALSE,"AD_Purchase";#N/A,#N/A,FALSE,"Credit";#N/A,#N/A,FALSE,"PF Acquisition";#N/A,#N/A,FALSE,"PF Offering"}</definedName>
    <definedName name="SMPS" hidden="1">{#N/A,#N/A,FALSE,"AD_Purchase";#N/A,#N/A,FALSE,"Credit";#N/A,#N/A,FALSE,"PF Acquisition";#N/A,#N/A,FALSE,"PF Offering"}</definedName>
    <definedName name="SOCSEC_RATE">#REF!</definedName>
    <definedName name="software">#REF!</definedName>
    <definedName name="solver_adj" hidden="1">#REF!</definedName>
    <definedName name="solver_adj1" hidden="1">#REF!</definedName>
    <definedName name="solver_lin" hidden="1">0</definedName>
    <definedName name="solver_num" hidden="1">0</definedName>
    <definedName name="solver_opt" hidden="1">#REF!</definedName>
    <definedName name="solver_opt1" hidden="1">#REF!</definedName>
    <definedName name="solver_typ" hidden="1">1</definedName>
    <definedName name="solver_val" hidden="1">0</definedName>
    <definedName name="SpecialRequestHours">#REF!</definedName>
    <definedName name="specprog">#REF!</definedName>
    <definedName name="SPIFF">#REF!</definedName>
    <definedName name="SPREAD">#REF!</definedName>
    <definedName name="SPREADSUM">#REF!</definedName>
    <definedName name="SQUARE_D">#REF!</definedName>
    <definedName name="ss" localSheetId="4" hidden="1">{#N/A,#N/A,FALSE,"BrkgCover";#N/A,#N/A,FALSE,"brrevex";#N/A,#N/A,FALSE,"brbkbo";#N/A,#N/A,FALSE,"NOISum";#N/A,#N/A,FALSE,"inst";#N/A,#N/A,FALSE,"164";#N/A,#N/A,FALSE,"167";#N/A,#N/A,FALSE,"168";#N/A,#N/A,FALSE,"169";#N/A,#N/A,FALSE,"180";#N/A,#N/A,FALSE,"181";#N/A,#N/A,FALSE,"182";#N/A,#N/A,FALSE,"194";#N/A,#N/A,FALSE,"199";#N/A,#N/A,FALSE,"178-9";#N/A,#N/A,FALSE,"Heads";#N/A,#N/A,FALSE,"Capital"}</definedName>
    <definedName name="ss" hidden="1">{#N/A,#N/A,FALSE,"BrkgCover";#N/A,#N/A,FALSE,"brrevex";#N/A,#N/A,FALSE,"brbkbo";#N/A,#N/A,FALSE,"NOISum";#N/A,#N/A,FALSE,"inst";#N/A,#N/A,FALSE,"164";#N/A,#N/A,FALSE,"167";#N/A,#N/A,FALSE,"168";#N/A,#N/A,FALSE,"169";#N/A,#N/A,FALSE,"180";#N/A,#N/A,FALSE,"181";#N/A,#N/A,FALSE,"182";#N/A,#N/A,FALSE,"194";#N/A,#N/A,FALSE,"199";#N/A,#N/A,FALSE,"178-9";#N/A,#N/A,FALSE,"Heads";#N/A,#N/A,FALSE,"Capital"}</definedName>
    <definedName name="ssss" hidden="1">#REF!</definedName>
    <definedName name="sssss" hidden="1">#REF!</definedName>
    <definedName name="ssssss" hidden="1">#REF!</definedName>
    <definedName name="ST" localSheetId="4" hidden="1">{#N/A,#N/A,FALSE,"FY97";#N/A,#N/A,FALSE,"FY98";#N/A,#N/A,FALSE,"FY99";#N/A,#N/A,FALSE,"FY00";#N/A,#N/A,FALSE,"FY01"}</definedName>
    <definedName name="ST" hidden="1">{#N/A,#N/A,FALSE,"FY97";#N/A,#N/A,FALSE,"FY98";#N/A,#N/A,FALSE,"FY99";#N/A,#N/A,FALSE,"FY00";#N/A,#N/A,FALSE,"FY01"}</definedName>
    <definedName name="STARKIST">#REF!</definedName>
    <definedName name="START">#REF!</definedName>
    <definedName name="START_INSERT">#REF!</definedName>
    <definedName name="STARTBUDGETPOST1">#REF!</definedName>
    <definedName name="StartColumnIndex">#REF!</definedName>
    <definedName name="StartColumnRowIndex">#REF!</definedName>
    <definedName name="StartJournalImport1">#REF!</definedName>
    <definedName name="STARTJOURNALIMPORT16">#REF!</definedName>
    <definedName name="STARTJOURNALIMPORT6">#REF!</definedName>
    <definedName name="STARTPERIODNAME1">#REF!</definedName>
    <definedName name="STARTPERIODNUM1">#REF!</definedName>
    <definedName name="STARTPERIODYEAR1">#REF!</definedName>
    <definedName name="StartRowLineItemIndex">#REF!</definedName>
    <definedName name="starts">#REF!</definedName>
    <definedName name="Status">#REF!</definedName>
    <definedName name="StdCstDept">#REF!</definedName>
    <definedName name="STK_PLAN_3">#REF!</definedName>
    <definedName name="STK_PLN_1">#REF!</definedName>
    <definedName name="STK_PLN_2">#REF!</definedName>
    <definedName name="stmgrcost">80000</definedName>
    <definedName name="STOP">#REF!</definedName>
    <definedName name="STRUC_ENG_FEE">#REF!</definedName>
    <definedName name="Subtype2">#REF!</definedName>
    <definedName name="sui_cap">#REF!</definedName>
    <definedName name="SUI_RATE">#REF!</definedName>
    <definedName name="SUMM">#REF!</definedName>
    <definedName name="Summ_Print">#REF!</definedName>
    <definedName name="Summary">#REF!</definedName>
    <definedName name="Summary2" localSheetId="4" hidden="1">{#N/A,#N/A,FALSE,"FACTSHEETS";#N/A,#N/A,FALSE,"pump";#N/A,#N/A,FALSE,"filter"}</definedName>
    <definedName name="Summary2" hidden="1">{#N/A,#N/A,FALSE,"FACTSHEETS";#N/A,#N/A,FALSE,"pump";#N/A,#N/A,FALSE,"filter"}</definedName>
    <definedName name="SUPER_98">#REF!</definedName>
    <definedName name="SUPER99">#REF!</definedName>
    <definedName name="SUPERSTARTS2000">#REF!</definedName>
    <definedName name="SUPP">#REF!</definedName>
    <definedName name="SUPPLY">#REF!</definedName>
    <definedName name="SUSP_WACH">#REF!</definedName>
    <definedName name="SUSPENSE">#REF!</definedName>
    <definedName name="SW">#REF!</definedName>
    <definedName name="SWM">#REF!</definedName>
    <definedName name="SYRACUSE">#REF!</definedName>
    <definedName name="TAB1136877249">#REF!</definedName>
    <definedName name="table">#REF!</definedName>
    <definedName name="Tax" localSheetId="4" hidden="1">{#N/A,#N/A,FALSE,"Full Year";#N/A,#N/A,FALSE,"Current Month";#N/A,#N/A,FALSE,"YTD";#N/A,#N/A,FALSE,"Remainder";#N/A,#N/A,FALSE,"Full Year Variance";#N/A,#N/A,FALSE,"Quarterly Variance"}</definedName>
    <definedName name="Tax" hidden="1">{#N/A,#N/A,FALSE,"Full Year";#N/A,#N/A,FALSE,"Current Month";#N/A,#N/A,FALSE,"YTD";#N/A,#N/A,FALSE,"Remainder";#N/A,#N/A,FALSE,"Full Year Variance";#N/A,#N/A,FALSE,"Quarterly Variance"}</definedName>
    <definedName name="TAX_REPORT">#REF!</definedName>
    <definedName name="TAXDATA">#REF!</definedName>
    <definedName name="TAXENT">#REF!</definedName>
    <definedName name="TAXENT1">#REF!</definedName>
    <definedName name="TAXENT2">#REF!</definedName>
    <definedName name="TAXTPACH">#REF!</definedName>
    <definedName name="TE">#REF!</definedName>
    <definedName name="TELECOMM">#REF!</definedName>
    <definedName name="TELEDYNE">#REF!</definedName>
    <definedName name="Telephone">#REF!</definedName>
    <definedName name="TeleWeb">#REF!</definedName>
    <definedName name="temp_cell">#REF!</definedName>
    <definedName name="TEMP1">#REF!</definedName>
    <definedName name="TEMP2">#REF!</definedName>
    <definedName name="TEMP3">#REF!</definedName>
    <definedName name="TEMP4">#REF!</definedName>
    <definedName name="TemplateNumber1">#REF!</definedName>
    <definedName name="TEMPLATENUMBER16">#REF!</definedName>
    <definedName name="TEMPLATENUMBER6">#REF!</definedName>
    <definedName name="TemplateStyle1">#REF!</definedName>
    <definedName name="TEMPLATESTYLE16">#REF!</definedName>
    <definedName name="TEMPLATESTYLE6">#REF!</definedName>
    <definedName name="TemplateType1">#REF!</definedName>
    <definedName name="TEMPLATETYPE16">#REF!</definedName>
    <definedName name="TEMPLATETYPE6">#REF!</definedName>
    <definedName name="terry">#REF!</definedName>
    <definedName name="TEST">#REF!</definedName>
    <definedName name="TEST1">#REF!</definedName>
    <definedName name="TESTKEYS">#REF!</definedName>
    <definedName name="TESTVKEY">#REF!</definedName>
    <definedName name="TEXAS_BOOT">#REF!</definedName>
    <definedName name="TextRefCopyRangeCount" hidden="1">1</definedName>
    <definedName name="TEXTRON">#REF!</definedName>
    <definedName name="Tiger" localSheetId="4" hidden="1">{#N/A,#N/A,FALSE,"TS";#N/A,#N/A,FALSE,"Combo";#N/A,#N/A,FALSE,"FAIR";#N/A,#N/A,FALSE,"RBC";#N/A,#N/A,FALSE,"xxxx";#N/A,#N/A,FALSE,"A_D";#N/A,#N/A,FALSE,"WACC";#N/A,#N/A,FALSE,"DCF";#N/A,#N/A,FALSE,"LBO";#N/A,#N/A,FALSE,"AcqMults";#N/A,#N/A,FALSE,"CompMults"}</definedName>
    <definedName name="Tiger" hidden="1">{#N/A,#N/A,FALSE,"TS";#N/A,#N/A,FALSE,"Combo";#N/A,#N/A,FALSE,"FAIR";#N/A,#N/A,FALSE,"RBC";#N/A,#N/A,FALSE,"xxxx";#N/A,#N/A,FALSE,"A_D";#N/A,#N/A,FALSE,"WACC";#N/A,#N/A,FALSE,"DCF";#N/A,#N/A,FALSE,"LBO";#N/A,#N/A,FALSE,"AcqMults";#N/A,#N/A,FALSE,"CompMults"}</definedName>
    <definedName name="Tina_Yr_2006_T_Doc">#REF!</definedName>
    <definedName name="TITLE">#REF!</definedName>
    <definedName name="TITLES">#REF!</definedName>
    <definedName name="TNE">#REF!</definedName>
    <definedName name="TOIAE75">#REF!</definedName>
    <definedName name="TOP">#REF!</definedName>
    <definedName name="TOPS">#REF!</definedName>
    <definedName name="TOPVENDOR">#REF!</definedName>
    <definedName name="Tot_Inv">#REF!</definedName>
    <definedName name="TOTAL">#REF!</definedName>
    <definedName name="Total_Collation_Charge">#REF!</definedName>
    <definedName name="Total_Exp_Bonus">#REF!</definedName>
    <definedName name="Total_Exp_OT">#REF!</definedName>
    <definedName name="Total_Exp_Salary">#REF!</definedName>
    <definedName name="TOTAL_EXPENSE">#REF!</definedName>
    <definedName name="Total_Hdcnt">#REF!</definedName>
    <definedName name="Total_Invoice">#REF!</definedName>
    <definedName name="Total_Onhand">#REF!</definedName>
    <definedName name="Total_Packages">#REF!</definedName>
    <definedName name="TOTAL401K">#REF!</definedName>
    <definedName name="TOTALATLANTA">#REF!</definedName>
    <definedName name="TOTALBOSTON">#REF!</definedName>
    <definedName name="TOTALBUFFALO">#REF!</definedName>
    <definedName name="TOTALCHARLOTTE">#REF!</definedName>
    <definedName name="TOTALCHESAPEAKE">#REF!</definedName>
    <definedName name="TOTALDIR">#REF!</definedName>
    <definedName name="TotalDlrs">500</definedName>
    <definedName name="TOTALEMP">#REF!</definedName>
    <definedName name="TOTALEUROPE">#REF!</definedName>
    <definedName name="TOTALEUROTITLES">#REF!</definedName>
    <definedName name="totalexp">#REF!</definedName>
    <definedName name="TOTALHARTFORD">#REF!</definedName>
    <definedName name="TOTALINDIR">#REF!</definedName>
    <definedName name="TOTALLONGISLAND">#REF!</definedName>
    <definedName name="TOTALMIAMI">#REF!</definedName>
    <definedName name="TOTALNYMETRO">#REF!</definedName>
    <definedName name="totalop">#REF!</definedName>
    <definedName name="TOTALPHILLY">#REF!</definedName>
    <definedName name="TOTALPITTSBURGH">#REF!</definedName>
    <definedName name="TOTALPRINCETON">#REF!</definedName>
    <definedName name="totalrev">#REF!</definedName>
    <definedName name="TOTALS_BENEFITS_LTD_EXPENSES">#REF!</definedName>
    <definedName name="TOTALS_BENEFITS_MEDICAL_EXPENSES">#REF!</definedName>
    <definedName name="TOTALS_BENEFITS_RECAP_EXPENSES">#REF!</definedName>
    <definedName name="TOTALS_BENEFITS_VACATION_SEVERANCE">#REF!</definedName>
    <definedName name="TOTALS_BONUS_EXPENSE">#REF!</definedName>
    <definedName name="TOTALS_FTEs">#REF!</definedName>
    <definedName name="TOTALS_HDCT">#REF!</definedName>
    <definedName name="TOTALS_LABOR_EXPENSE">#REF!</definedName>
    <definedName name="TOTALS_PAYROLL_TAX_EXPENSE">#REF!</definedName>
    <definedName name="TotalsRange">#REF!</definedName>
    <definedName name="TOTALSYRACUSE">#REF!</definedName>
    <definedName name="TotAuction">6</definedName>
    <definedName name="TotNetTrav">#REF!</definedName>
    <definedName name="TotSalvage">6</definedName>
    <definedName name="toytd">#REF!</definedName>
    <definedName name="TR_1">#REF!</definedName>
    <definedName name="TR_2">#REF!</definedName>
    <definedName name="TR_3">#REF!</definedName>
    <definedName name="TR_3A">#REF!</definedName>
    <definedName name="TR_4">#REF!</definedName>
    <definedName name="TR_5">#REF!</definedName>
    <definedName name="TR_5A">#REF!</definedName>
    <definedName name="TR_5B">#REF!</definedName>
    <definedName name="TR_6">#REF!</definedName>
    <definedName name="TR_7">#REF!</definedName>
    <definedName name="TR_8">#REF!</definedName>
    <definedName name="TR_9">#REF!</definedName>
    <definedName name="TRA">#REF!</definedName>
    <definedName name="TRAIN">#REF!</definedName>
    <definedName name="Training">#REF!</definedName>
    <definedName name="TRANS">#REF!</definedName>
    <definedName name="TransCost">4</definedName>
    <definedName name="transfee">8</definedName>
    <definedName name="TransfersIn">#REF!</definedName>
    <definedName name="TransfersOut">#REF!</definedName>
    <definedName name="TRAV">#REF!</definedName>
    <definedName name="travel">#REF!</definedName>
    <definedName name="TravelLabor">#REF!</definedName>
    <definedName name="TravelTIPS">#REF!</definedName>
    <definedName name="TRW">#REF!</definedName>
    <definedName name="TS">#REF!</definedName>
    <definedName name="TSentry">#REF!</definedName>
    <definedName name="TSUMM">#REF!</definedName>
    <definedName name="TT">#REF!</definedName>
    <definedName name="TTL">#REF!</definedName>
    <definedName name="TTPLUS">#REF!</definedName>
    <definedName name="TTT" hidden="1">#REF!</definedName>
    <definedName name="TTTTT" hidden="1">#REF!</definedName>
    <definedName name="TTTTTTT" hidden="1">#REF!</definedName>
    <definedName name="type_of_curr">#REF!</definedName>
    <definedName name="Type2">#REF!</definedName>
    <definedName name="u" hidden="1">#REF!</definedName>
    <definedName name="uiknu" localSheetId="4"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uiknu"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Unbilled_Recon_Projects">#REF!</definedName>
    <definedName name="Unhide">#N/A</definedName>
    <definedName name="Unhide2">#N/A</definedName>
    <definedName name="UniqueID">#REF!</definedName>
    <definedName name="UnitofTime">#REF!</definedName>
    <definedName name="Untitled">#REF!</definedName>
    <definedName name="UPDATELOGICTYPE1">#REF!</definedName>
    <definedName name="UPDATESUMMARY" localSheetId="4" hidden="1">{#N/A,#N/A,FALSE,"FACTSHEETS";#N/A,#N/A,FALSE,"pump";#N/A,#N/A,FALSE,"filter"}</definedName>
    <definedName name="UPDATESUMMARY" hidden="1">{#N/A,#N/A,FALSE,"FACTSHEETS";#N/A,#N/A,FALSE,"pump";#N/A,#N/A,FALSE,"filter"}</definedName>
    <definedName name="UPPER_DESC">#REF!</definedName>
    <definedName name="upsTDATAMAP">#REF!</definedName>
    <definedName name="usd_equiv">#REF!</definedName>
    <definedName name="UTILITIES">#REF!</definedName>
    <definedName name="uyuyuy" hidden="1">#REF!</definedName>
    <definedName name="v" localSheetId="4" hidden="1">{"'Hardware Req.'!$A$1:$C$23"}</definedName>
    <definedName name="v" hidden="1">{"'Hardware Req.'!$A$1:$C$23"}</definedName>
    <definedName name="VACA">#REF!</definedName>
    <definedName name="validation">#REF!</definedName>
    <definedName name="vapaperlessannualtrans">460000</definedName>
    <definedName name="vapaperlessdlrs">8</definedName>
    <definedName name="vapaperlessfee">1</definedName>
    <definedName name="vapaperlesstrans">100</definedName>
    <definedName name="VAR">#REF!</definedName>
    <definedName name="Varanalysis2001" localSheetId="4" hidden="1">{#N/A,#N/A,FALSE,"BalSheet 0899";#N/A,#N/A,FALSE,"ytdpl899";#N/A,#N/A,FALSE,"Aug PL";#N/A,#N/A,FALSE,"Minority Int";#N/A,#N/A,FALSE,"Equity Roll Forward";#N/A,#N/A,FALSE,"Book Equity Test"}</definedName>
    <definedName name="Varanalysis2001" hidden="1">{#N/A,#N/A,FALSE,"BalSheet 0899";#N/A,#N/A,FALSE,"ytdpl899";#N/A,#N/A,FALSE,"Aug PL";#N/A,#N/A,FALSE,"Minority Int";#N/A,#N/A,FALSE,"Equity Roll Forward";#N/A,#N/A,FALSE,"Book Equity Test"}</definedName>
    <definedName name="VARIANCE">#REF!</definedName>
    <definedName name="Variance_Print">#REF!</definedName>
    <definedName name="VENDOR">#REF!</definedName>
    <definedName name="VENDORS">#REF!</definedName>
    <definedName name="VersionSelection">#REF!</definedName>
    <definedName name="VesselRegFee">4</definedName>
    <definedName name="VesselTRFee">8</definedName>
    <definedName name="vwew32" localSheetId="4" hidden="1">{"Assumptions",#N/A,TRUE,"Assumptions";"Income",#N/A,TRUE,"Income";"Balance",#N/A,TRUE,"Balance"}</definedName>
    <definedName name="vwew32" hidden="1">{"Assumptions",#N/A,TRUE,"Assumptions";"Income",#N/A,TRUE,"Income";"Balance",#N/A,TRUE,"Balance"}</definedName>
    <definedName name="vzssw" localSheetId="4" hidden="1">{#N/A,#N/A,FALSE,"Projections";#N/A,#N/A,FALSE,"Acq Mult";#N/A,#N/A,FALSE,"TWER Mult";#N/A,#N/A,FALSE,"DCF EBITDA";#N/A,#N/A,FALSE,"DCF EBIT";#N/A,#N/A,FALSE,"Debt Accr";#N/A,#N/A,FALSE,"Stock Accr";#N/A,#N/A,FALSE,"Debt Stock Accr";#N/A,#N/A,FALSE,"Accr Dil Sensi"}</definedName>
    <definedName name="vzssw" hidden="1">{#N/A,#N/A,FALSE,"Projections";#N/A,#N/A,FALSE,"Acq Mult";#N/A,#N/A,FALSE,"TWER Mult";#N/A,#N/A,FALSE,"DCF EBITDA";#N/A,#N/A,FALSE,"DCF EBIT";#N/A,#N/A,FALSE,"Debt Accr";#N/A,#N/A,FALSE,"Stock Accr";#N/A,#N/A,FALSE,"Debt Stock Accr";#N/A,#N/A,FALSE,"Accr Dil Sensi"}</definedName>
    <definedName name="w" localSheetId="4" hidden="1">{"TBB3 Assns",#N/A,FALSE,"Valuation";"TBB3 assumptions",#N/A,FALSE,"Assumptions";"TBB3 model",#N/A,FALSE,"INCOME"}</definedName>
    <definedName name="w" hidden="1">{"TBB3 Assns",#N/A,FALSE,"Valuation";"TBB3 assumptions",#N/A,FALSE,"Assumptions";"TBB3 model",#N/A,FALSE,"INCOME"}</definedName>
    <definedName name="W_DVP">#REF!</definedName>
    <definedName name="WbsbsNBMNT">#REF!</definedName>
    <definedName name="WbsnsMSS">#REF!</definedName>
    <definedName name="WbsnsRnwl">#REF!</definedName>
    <definedName name="WDS" hidden="1">#REF!</definedName>
    <definedName name="WE" localSheetId="4" hidden="1">{#N/A,#N/A,FALSE,"Full Year";#N/A,#N/A,FALSE,"Current Month";#N/A,#N/A,FALSE,"Remainder";#N/A,#N/A,FALSE,"Quarterly Variance";#N/A,#N/A,FALSE,"YTD";#N/A,#N/A,FALSE,"Full Year Variance";#N/A,#N/A,FALSE,"Growth";#N/A,#N/A,FALSE,"Risk Adj Summary";#N/A,#N/A,FALSE,"Selling";#N/A,#N/A,FALSE,"Setup";#N/A,#N/A,FALSE,"CM Comp"}</definedName>
    <definedName name="WE" hidden="1">{#N/A,#N/A,FALSE,"Full Year";#N/A,#N/A,FALSE,"Current Month";#N/A,#N/A,FALSE,"Remainder";#N/A,#N/A,FALSE,"Quarterly Variance";#N/A,#N/A,FALSE,"YTD";#N/A,#N/A,FALSE,"Full Year Variance";#N/A,#N/A,FALSE,"Growth";#N/A,#N/A,FALSE,"Risk Adj Summary";#N/A,#N/A,FALSE,"Selling";#N/A,#N/A,FALSE,"Setup";#N/A,#N/A,FALSE,"CM Comp"}</definedName>
    <definedName name="WebsnsMSS">#REF!</definedName>
    <definedName name="werrr" localSheetId="4" hidden="1">{#N/A,#N/A,FALSE,"Adj Proj";#N/A,#N/A,FALSE,"Sheet1";#N/A,#N/A,FALSE,"LBO";#N/A,#N/A,FALSE,"LBOMER";#N/A,#N/A,FALSE,"WACC";#N/A,#N/A,FALSE,"DCF";#N/A,#N/A,FALSE,"DCFMER";#N/A,#N/A,FALSE,"Pooling";#N/A,#N/A,FALSE,"income";#N/A,#N/A,FALSE,"Offer"}</definedName>
    <definedName name="werrr" hidden="1">{#N/A,#N/A,FALSE,"Adj Proj";#N/A,#N/A,FALSE,"Sheet1";#N/A,#N/A,FALSE,"LBO";#N/A,#N/A,FALSE,"LBOMER";#N/A,#N/A,FALSE,"WACC";#N/A,#N/A,FALSE,"DCF";#N/A,#N/A,FALSE,"DCFMER";#N/A,#N/A,FALSE,"Pooling";#N/A,#N/A,FALSE,"income";#N/A,#N/A,FALSE,"Offer"}</definedName>
    <definedName name="Westburne" localSheetId="4" hidden="1">{#N/A,#N/A,FALSE,"Projections";#N/A,#N/A,FALSE,"Multiples Valuation";#N/A,#N/A,FALSE,"LBO";#N/A,#N/A,FALSE,"Multiples_Sensitivity";#N/A,#N/A,FALSE,"Summary"}</definedName>
    <definedName name="Westburne" hidden="1">{#N/A,#N/A,FALSE,"Projections";#N/A,#N/A,FALSE,"Multiples Valuation";#N/A,#N/A,FALSE,"LBO";#N/A,#N/A,FALSE,"Multiples_Sensitivity";#N/A,#N/A,FALSE,"Summary"}</definedName>
    <definedName name="WGPS">#REF!</definedName>
    <definedName name="what" localSheetId="4"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hat"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hatisthis" localSheetId="4" hidden="1">{#N/A,#N/A,FALSE,"Summary";#N/A,#N/A,FALSE,"Projections";#N/A,#N/A,FALSE,"Mkt Mults";#N/A,#N/A,FALSE,"DCF";#N/A,#N/A,FALSE,"Accr Dil";#N/A,#N/A,FALSE,"PIC LBO";#N/A,#N/A,FALSE,"MULT10_4";#N/A,#N/A,FALSE,"CBI LBO"}</definedName>
    <definedName name="whatisthis" hidden="1">{#N/A,#N/A,FALSE,"Summary";#N/A,#N/A,FALSE,"Projections";#N/A,#N/A,FALSE,"Mkt Mults";#N/A,#N/A,FALSE,"DCF";#N/A,#N/A,FALSE,"Accr Dil";#N/A,#N/A,FALSE,"PIC LBO";#N/A,#N/A,FALSE,"MULT10_4";#N/A,#N/A,FALSE,"CBI LBO"}</definedName>
    <definedName name="whatisthissss" localSheetId="4" hidden="1">{#N/A,#N/A,FALSE,"IPO";#N/A,#N/A,FALSE,"DCF";#N/A,#N/A,FALSE,"LBO";#N/A,#N/A,FALSE,"MULT_VAL";#N/A,#N/A,FALSE,"Status Quo";#N/A,#N/A,FALSE,"Recap"}</definedName>
    <definedName name="whatisthissss" hidden="1">{#N/A,#N/A,FALSE,"IPO";#N/A,#N/A,FALSE,"DCF";#N/A,#N/A,FALSE,"LBO";#N/A,#N/A,FALSE,"MULT_VAL";#N/A,#N/A,FALSE,"Status Quo";#N/A,#N/A,FALSE,"Recap"}</definedName>
    <definedName name="whatisthisssss" localSheetId="4" hidden="1">{#N/A,#N/A,FALSE,"Summary";#N/A,#N/A,FALSE,"Projections";#N/A,#N/A,FALSE,"Mkt Mults";#N/A,#N/A,FALSE,"DCF";#N/A,#N/A,FALSE,"Accr Dil";#N/A,#N/A,FALSE,"PIC LBO";#N/A,#N/A,FALSE,"MULT10_4";#N/A,#N/A,FALSE,"CBI LBO"}</definedName>
    <definedName name="whatisthisssss" hidden="1">{#N/A,#N/A,FALSE,"Summary";#N/A,#N/A,FALSE,"Projections";#N/A,#N/A,FALSE,"Mkt Mults";#N/A,#N/A,FALSE,"DCF";#N/A,#N/A,FALSE,"Accr Dil";#N/A,#N/A,FALSE,"PIC LBO";#N/A,#N/A,FALSE,"MULT10_4";#N/A,#N/A,FALSE,"CBI LBO"}</definedName>
    <definedName name="whole_report">#REF!</definedName>
    <definedName name="Wholesale">#REF!</definedName>
    <definedName name="will">#REF!</definedName>
    <definedName name="william" localSheetId="4" hidden="1">{#N/A,#N/A,FALSE,"Projections";#N/A,#N/A,FALSE,"AccrDil";#N/A,#N/A,FALSE,"PurchPriMult";#N/A,#N/A,FALSE,"Mults7_13";#N/A,#N/A,FALSE,"Mkt Mults";#N/A,#N/A,FALSE,"Acq Mults";#N/A,#N/A,FALSE,"StockPrices";#N/A,#N/A,FALSE,"Prem Paid";#N/A,#N/A,FALSE,"DCF";#N/A,#N/A,FALSE,"AUTO";#N/A,#N/A,FALSE,"Relative Trading";#N/A,#N/A,FALSE,"Mkt Val";#N/A,#N/A,FALSE,"Acq Val"}</definedName>
    <definedName name="william" hidden="1">{#N/A,#N/A,FALSE,"Projections";#N/A,#N/A,FALSE,"AccrDil";#N/A,#N/A,FALSE,"PurchPriMult";#N/A,#N/A,FALSE,"Mults7_13";#N/A,#N/A,FALSE,"Mkt Mults";#N/A,#N/A,FALSE,"Acq Mults";#N/A,#N/A,FALSE,"StockPrices";#N/A,#N/A,FALSE,"Prem Paid";#N/A,#N/A,FALSE,"DCF";#N/A,#N/A,FALSE,"AUTO";#N/A,#N/A,FALSE,"Relative Trading";#N/A,#N/A,FALSE,"Mkt Val";#N/A,#N/A,FALSE,"Acq Val"}</definedName>
    <definedName name="Wire">#REF!</definedName>
    <definedName name="wo" localSheetId="4" hidden="1">{#N/A,#N/A,FALSE,"Full Year";#N/A,#N/A,FALSE,"Current Month";#N/A,#N/A,FALSE,"Remainder";#N/A,#N/A,FALSE,"Quarterly Variance";#N/A,#N/A,FALSE,"YTD";#N/A,#N/A,FALSE,"Full Year Variance";#N/A,#N/A,FALSE,"Growth";#N/A,#N/A,FALSE,"Risk Adj Summary";#N/A,#N/A,FALSE,"Selling";#N/A,#N/A,FALSE,"Setup";#N/A,#N/A,FALSE,"CM Comp"}</definedName>
    <definedName name="wo" hidden="1">{#N/A,#N/A,FALSE,"Full Year";#N/A,#N/A,FALSE,"Current Month";#N/A,#N/A,FALSE,"Remainder";#N/A,#N/A,FALSE,"Quarterly Variance";#N/A,#N/A,FALSE,"YTD";#N/A,#N/A,FALSE,"Full Year Variance";#N/A,#N/A,FALSE,"Growth";#N/A,#N/A,FALSE,"Risk Adj Summary";#N/A,#N/A,FALSE,"Selling";#N/A,#N/A,FALSE,"Setup";#N/A,#N/A,FALSE,"CM Comp"}</definedName>
    <definedName name="WOC_501">#REF!</definedName>
    <definedName name="WOC_502_503_504_505">#REF!</definedName>
    <definedName name="WOC_506">#REF!</definedName>
    <definedName name="WOC_510">#REF!</definedName>
    <definedName name="Woonsocket_Operations_Center">#REF!</definedName>
    <definedName name="WORKSHEET">#REF!</definedName>
    <definedName name="wqwt" localSheetId="4" hidden="1">{#N/A,#N/A,FALSE,"Projections";#N/A,#N/A,FALSE,"Contribution_Stock";#N/A,#N/A,FALSE,"PF_Combo_Stock";#N/A,#N/A,FALSE,"Projections";#N/A,#N/A,FALSE,"Contribution_Cash";#N/A,#N/A,FALSE,"PF_Combo_Cash";#N/A,#N/A,FALSE,"IPO_Cash"}</definedName>
    <definedName name="wqwt" hidden="1">{#N/A,#N/A,FALSE,"Projections";#N/A,#N/A,FALSE,"Contribution_Stock";#N/A,#N/A,FALSE,"PF_Combo_Stock";#N/A,#N/A,FALSE,"Projections";#N/A,#N/A,FALSE,"Contribution_Cash";#N/A,#N/A,FALSE,"PF_Combo_Cash";#N/A,#N/A,FALSE,"IPO_Cash"}</definedName>
    <definedName name="wrbqerb" hidden="1">#REF!</definedName>
    <definedName name="wrn" localSheetId="4" hidden="1">{"AprJE to Everham",#N/A,FALSE,"JEto Jen"}</definedName>
    <definedName name="wrn" hidden="1">{"AprJE to Everham",#N/A,FALSE,"JEto Jen"}</definedName>
    <definedName name="wrn.02._.PLAN." localSheetId="4" hidden="1">{"INT 02 PLAN",#N/A,FALSE,"INT";"INTCA 02 PLAN",#N/A,FALSE,"intca";"INTOFF 02 PLAN",#N/A,FALSE,"intoff";"INTCE 02 PLAN",#N/A,FALSE,"intce"}</definedName>
    <definedName name="wrn.02._.PLAN." hidden="1">{"INT 02 PLAN",#N/A,FALSE,"INT";"INTCA 02 PLAN",#N/A,FALSE,"intca";"INTOFF 02 PLAN",#N/A,FALSE,"intoff";"INTCE 02 PLAN",#N/A,FALSE,"intce"}</definedName>
    <definedName name="wrn.A_VALUATION." localSheetId="4" hidden="1">{#N/A,#N/A,FALSE,"A_D";#N/A,#N/A,FALSE,"WACC";#N/A,#N/A,FALSE,"DCF";#N/A,#N/A,FALSE,"A";#N/A,#N/A,FALSE,"LBO";#N/A,#N/A,FALSE,"C";#N/A,#N/A,FALSE,"impd";#N/A,#N/A,FALSE,"comps"}</definedName>
    <definedName name="wrn.A_VALUATION." hidden="1">{#N/A,#N/A,FALSE,"A_D";#N/A,#N/A,FALSE,"WACC";#N/A,#N/A,FALSE,"DCF";#N/A,#N/A,FALSE,"A";#N/A,#N/A,FALSE,"LBO";#N/A,#N/A,FALSE,"C";#N/A,#N/A,FALSE,"impd";#N/A,#N/A,FALSE,"comps"}</definedName>
    <definedName name="wrn.Accr_Dil." localSheetId="4" hidden="1">{#N/A,#N/A,FALSE,"Debt Accr";#N/A,#N/A,FALSE,"Stock Accr";#N/A,#N/A,FALSE,"Debt Stock Accr"}</definedName>
    <definedName name="wrn.Accr_Dil." hidden="1">{#N/A,#N/A,FALSE,"Debt Accr";#N/A,#N/A,FALSE,"Stock Accr";#N/A,#N/A,FALSE,"Debt Stock Accr"}</definedName>
    <definedName name="wrn.ACTUALS." localSheetId="4" hidden="1">{"INT ACTUALS",#N/A,FALSE,"intce";"INTCA ACTUALS",#N/A,FALSE,"intce";"INTCE ACTUALS",#N/A,FALSE,"intce";"INTOFF ACTUALS",#N/A,FALSE,"intce";"INTSRA ACTUALS",#N/A,FALSE,"intce"}</definedName>
    <definedName name="wrn.ACTUALS." hidden="1">{"INT ACTUALS",#N/A,FALSE,"intce";"INTCA ACTUALS",#N/A,FALSE,"intce";"INTCE ACTUALS",#N/A,FALSE,"intce";"INTOFF ACTUALS",#N/A,FALSE,"intce";"INTSRA ACTUALS",#N/A,FALSE,"intce"}</definedName>
    <definedName name="wrn.Aging._.and._.Trend._.Analysis." localSheetId="4"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4" hidden="1">{#N/A,#N/A,FALSE,"assumptions";#N/A,#N/A,FALSE,"v_projcy";#N/A,#N/A,FALSE,"tar_proj";#N/A,#N/A,FALSE,"contrib_annual";#N/A,#N/A,FALSE,"Proforma";#N/A,#N/A,FALSE,"purc_97";#N/A,#N/A,FALSE,"syn_purc_97";#N/A,#N/A,FALSE,"pool_97";#N/A,#N/A,FALSE,"syn_pool_97";#N/A,#N/A,FALSE,"pool1_FY2"}</definedName>
    <definedName name="wrn.all." hidden="1">{#N/A,#N/A,FALSE,"assumptions";#N/A,#N/A,FALSE,"v_projcy";#N/A,#N/A,FALSE,"tar_proj";#N/A,#N/A,FALSE,"contrib_annual";#N/A,#N/A,FALSE,"Proforma";#N/A,#N/A,FALSE,"purc_97";#N/A,#N/A,FALSE,"syn_purc_97";#N/A,#N/A,FALSE,"pool_97";#N/A,#N/A,FALSE,"syn_pool_97";#N/A,#N/A,FALSE,"pool1_FY2"}</definedName>
    <definedName name="wrn.all._.gulp._.sheets." localSheetId="4"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PAGES." localSheetId="4" hidden="1">{#N/A,#N/A,FALSE,"puboff";#N/A,#N/A,FALSE,"financials";#N/A,#N/A,FALSE,"valuation";#N/A,#N/A,FALSE,"split"}</definedName>
    <definedName name="wrn.ALL._.PAGES." hidden="1">{#N/A,#N/A,FALSE,"puboff";#N/A,#N/A,FALSE,"financials";#N/A,#N/A,FALSE,"valuation";#N/A,#N/A,FALSE,"split"}</definedName>
    <definedName name="wrn.ALL._.SHEETS." localSheetId="4" hidden="1">{#N/A,#N/A,FALSE,"Adj Proj";#N/A,#N/A,FALSE,"Sheet1";#N/A,#N/A,FALSE,"LBO";#N/A,#N/A,FALSE,"LBOMER";#N/A,#N/A,FALSE,"WACC";#N/A,#N/A,FALSE,"DCF";#N/A,#N/A,FALSE,"DCFMER";#N/A,#N/A,FALSE,"Pooling";#N/A,#N/A,FALSE,"income";#N/A,#N/A,FALSE,"Offer"}</definedName>
    <definedName name="wrn.ALL._.SHEETS." hidden="1">{#N/A,#N/A,FALSE,"Adj Proj";#N/A,#N/A,FALSE,"Sheet1";#N/A,#N/A,FALSE,"LBO";#N/A,#N/A,FALSE,"LBOMER";#N/A,#N/A,FALSE,"WACC";#N/A,#N/A,FALSE,"DCF";#N/A,#N/A,FALSE,"DCFMER";#N/A,#N/A,FALSE,"Pooling";#N/A,#N/A,FALSE,"income";#N/A,#N/A,FALSE,"Offer"}</definedName>
    <definedName name="wrn.All_Models." localSheetId="4" hidden="1">{#N/A,#N/A,FALSE,"Summary";#N/A,#N/A,FALSE,"Projections";#N/A,#N/A,FALSE,"Mkt Mults";#N/A,#N/A,FALSE,"DCF";#N/A,#N/A,FALSE,"Accr Dil";#N/A,#N/A,FALSE,"PIC LBO";#N/A,#N/A,FALSE,"MULT10_4";#N/A,#N/A,FALSE,"CBI LBO"}</definedName>
    <definedName name="wrn.All_Models." hidden="1">{#N/A,#N/A,FALSE,"Summary";#N/A,#N/A,FALSE,"Projections";#N/A,#N/A,FALSE,"Mkt Mults";#N/A,#N/A,FALSE,"DCF";#N/A,#N/A,FALSE,"Accr Dil";#N/A,#N/A,FALSE,"PIC LBO";#N/A,#N/A,FALSE,"MULT10_4";#N/A,#N/A,FALSE,"CBI LBO"}</definedName>
    <definedName name="wrn.All_Models2" localSheetId="4" hidden="1">{#N/A,#N/A,FALSE,"Projections";#N/A,#N/A,FALSE,"Multiples Valuation";#N/A,#N/A,FALSE,"LBO";#N/A,#N/A,FALSE,"Multiples_Sensitivity";#N/A,#N/A,FALSE,"Summary"}</definedName>
    <definedName name="wrn.All_Models2" hidden="1">{#N/A,#N/A,FALSE,"Projections";#N/A,#N/A,FALSE,"Multiples Valuation";#N/A,#N/A,FALSE,"LBO";#N/A,#N/A,FALSE,"Multiples_Sensitivity";#N/A,#N/A,FALSE,"Summary"}</definedName>
    <definedName name="wrn.All_Sheets." localSheetId="4" hidden="1">{#N/A,#N/A,FALSE,"Projections";#N/A,#N/A,FALSE,"Contribution_Stock";#N/A,#N/A,FALSE,"PF_Combo_Stock";#N/A,#N/A,FALSE,"Projections";#N/A,#N/A,FALSE,"Contribution_Cash";#N/A,#N/A,FALSE,"PF_Combo_Cash";#N/A,#N/A,FALSE,"IPO_Cash"}</definedName>
    <definedName name="wrn.All_Sheets." hidden="1">{#N/A,#N/A,FALSE,"Projections";#N/A,#N/A,FALSE,"Contribution_Stock";#N/A,#N/A,FALSE,"PF_Combo_Stock";#N/A,#N/A,FALSE,"Projections";#N/A,#N/A,FALSE,"Contribution_Cash";#N/A,#N/A,FALSE,"PF_Combo_Cash";#N/A,#N/A,FALSE,"IPO_Cash"}</definedName>
    <definedName name="wrn.ALLbutPREMIUM." localSheetId="4"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UIM2" localSheetId="4"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UIM2"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localSheetId="4" hidden="1">{#N/A,#N/A,FALSE,"AD_Purchase";#N/A,#N/A,FALSE,"Credit";#N/A,#N/A,FALSE,"PF Acquisition";#N/A,#N/A,FALSE,"PF Offering"}</definedName>
    <definedName name="wrn.AllModels." hidden="1">{#N/A,#N/A,FALSE,"AD_Purchase";#N/A,#N/A,FALSE,"Credit";#N/A,#N/A,FALSE,"PF Acquisition";#N/A,#N/A,FALSE,"PF Offering"}</definedName>
    <definedName name="wrn.ANALYSIS." localSheetId="4" hidden="1">{#N/A,#N/A,FALSE,"TOTAL";#N/A,#N/A,FALSE,"BURGER KING";#N/A,#N/A,FALSE,"MARRIOTT";#N/A,#N/A,FALSE,"DISNEY";#N/A,#N/A,FALSE,"DISTRIBUTORS";#N/A,#N/A,FALSE,"FORMULA"}</definedName>
    <definedName name="wrn.ANALYSIS." hidden="1">{#N/A,#N/A,FALSE,"TOTAL";#N/A,#N/A,FALSE,"BURGER KING";#N/A,#N/A,FALSE,"MARRIOTT";#N/A,#N/A,FALSE,"DISNEY";#N/A,#N/A,FALSE,"DISTRIBUTORS";#N/A,#N/A,FALSE,"FORMULA"}</definedName>
    <definedName name="wrn.Analytic." localSheetId="4" hidden="1">{#N/A,#N/A,FALSE,"Fisons_Sci_Instr";#N/A,#N/A,FALSE,"Fisons_Lab_Supplies";#N/A,#N/A,FALSE,"Nunc";#N/A,#N/A,FALSE,"Sorvall";#N/A,#N/A,FALSE,"Dynatech";#N/A,#N/A,FALSE,"Hach"}</definedName>
    <definedName name="wrn.Analytic." hidden="1">{#N/A,#N/A,FALSE,"Fisons_Sci_Instr";#N/A,#N/A,FALSE,"Fisons_Lab_Supplies";#N/A,#N/A,FALSE,"Nunc";#N/A,#N/A,FALSE,"Sorvall";#N/A,#N/A,FALSE,"Dynatech";#N/A,#N/A,FALSE,"Hach"}</definedName>
    <definedName name="wrn.Apr._.03._.Key._.Stats." localSheetId="4" hidden="1">{"Apr 03 Revenue &amp; Expense",#N/A,FALSE,"Apr 03";"Apr 03 Recoveries",#N/A,FALSE,"Apr 03"}</definedName>
    <definedName name="wrn.Apr._.03._.Key._.Stats." hidden="1">{"Apr 03 Revenue &amp; Expense",#N/A,FALSE,"Apr 03";"Apr 03 Recoveries",#N/A,FALSE,"Apr 03"}</definedName>
    <definedName name="wrn.April._.JE." localSheetId="4" hidden="1">{"AprJE to Everham",#N/A,FALSE,"JEto Jen"}</definedName>
    <definedName name="wrn.April._.JE." hidden="1">{"AprJE to Everham",#N/A,FALSE,"JEto Jen"}</definedName>
    <definedName name="wrn.Aug._.02._.Key._.Stats." localSheetId="4" hidden="1">{"Aug 02 Revenue &amp; Expense",#N/A,FALSE,"August 02";"Aug 02 Recoveries",#N/A,FALSE,"August 02"}</definedName>
    <definedName name="wrn.Aug._.02._.Key._.Stats." hidden="1">{"Aug 02 Revenue &amp; Expense",#N/A,FALSE,"August 02";"Aug 02 Recoveries",#N/A,FALSE,"August 02"}</definedName>
    <definedName name="wrn.b" localSheetId="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 localSheetId="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lance._.sheets._.FY01._.to._.FY03." localSheetId="4" hidden="1">{"BS FY01",#N/A,FALSE,"P &amp; L";"BS FY02",#N/A,FALSE,"P &amp; L";"BS FY03",#N/A,FALSE,"P &amp; L"}</definedName>
    <definedName name="wrn.Balance._.sheets._.FY01._.to._.FY03." hidden="1">{"BS FY01",#N/A,FALSE,"P &amp; L";"BS FY02",#N/A,FALSE,"P &amp; L";"BS FY03",#N/A,FALSE,"P &amp; L"}</definedName>
    <definedName name="wrn.bas" localSheetId="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1" localSheetId="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2" localSheetId="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3" localSheetId="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3"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 localSheetId="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 localSheetId="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 localSheetId="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2" localSheetId="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3" localSheetId="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3"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2" localSheetId="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3" localSheetId="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3"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4" localSheetId="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5" localSheetId="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5"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s" localSheetId="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s"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s." localSheetId="4" hidden="1">{#N/A,#N/A,FALSE,"TSUM";#N/A,#N/A,FALSE,"shares";#N/A,#N/A,FALSE,"earnout";#N/A,#N/A,FALSE,"Heaty";#N/A,#N/A,FALSE,"self-tend";#N/A,#N/A,FALSE,"self-sum"}</definedName>
    <definedName name="wrn.basics." hidden="1">{#N/A,#N/A,FALSE,"TSUM";#N/A,#N/A,FALSE,"shares";#N/A,#N/A,FALSE,"earnout";#N/A,#N/A,FALSE,"Heaty";#N/A,#N/A,FALSE,"self-tend";#N/A,#N/A,FALSE,"self-sum"}</definedName>
    <definedName name="wrn.basicss" localSheetId="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ss"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ii" localSheetId="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ii"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rad." localSheetId="4" hidden="1">{#N/A,#N/A,FALSE,"Rollop";#N/A,#N/A,FALSE,"4062";#N/A,#N/A,FALSE,"4063";#N/A,#N/A,FALSE,"4064";#N/A,#N/A,FALSE,"Rollce";#N/A,#N/A,FALSE,"8005";#N/A,#N/A,FALSE,"8006";#N/A,#N/A,FALSE,"8007";#N/A,#N/A,FALSE,"4040";#N/A,#N/A,FALSE,"Rollct";#N/A,#N/A,FALSE,"4046";#N/A,#N/A,FALSE,"4048";#N/A,#N/A,FALSE,"Rollfa";#N/A,#N/A,FALSE,"7122F";#N/A,#N/A,FALSE,"7127F";#N/A,#N/A,FALSE,"5430"}</definedName>
    <definedName name="wrn.brad." hidden="1">{#N/A,#N/A,FALSE,"Rollop";#N/A,#N/A,FALSE,"4062";#N/A,#N/A,FALSE,"4063";#N/A,#N/A,FALSE,"4064";#N/A,#N/A,FALSE,"Rollce";#N/A,#N/A,FALSE,"8005";#N/A,#N/A,FALSE,"8006";#N/A,#N/A,FALSE,"8007";#N/A,#N/A,FALSE,"4040";#N/A,#N/A,FALSE,"Rollct";#N/A,#N/A,FALSE,"4046";#N/A,#N/A,FALSE,"4048";#N/A,#N/A,FALSE,"Rollfa";#N/A,#N/A,FALSE,"7122F";#N/A,#N/A,FALSE,"7127F";#N/A,#N/A,FALSE,"5430"}</definedName>
    <definedName name="wrn.BrkgPkg." localSheetId="4" hidden="1">{#N/A,#N/A,FALSE,"BrkgCover";#N/A,#N/A,FALSE,"brrevex";#N/A,#N/A,FALSE,"brbkbo";#N/A,#N/A,FALSE,"NOISum";#N/A,#N/A,FALSE,"inst";#N/A,#N/A,FALSE,"164";#N/A,#N/A,FALSE,"167";#N/A,#N/A,FALSE,"168";#N/A,#N/A,FALSE,"169";#N/A,#N/A,FALSE,"180";#N/A,#N/A,FALSE,"181";#N/A,#N/A,FALSE,"182";#N/A,#N/A,FALSE,"194";#N/A,#N/A,FALSE,"199";#N/A,#N/A,FALSE,"178-9";#N/A,#N/A,FALSE,"Heads";#N/A,#N/A,FALSE,"Capital"}</definedName>
    <definedName name="wrn.BrkgPkg." hidden="1">{#N/A,#N/A,FALSE,"BrkgCover";#N/A,#N/A,FALSE,"brrevex";#N/A,#N/A,FALSE,"brbkbo";#N/A,#N/A,FALSE,"NOISum";#N/A,#N/A,FALSE,"inst";#N/A,#N/A,FALSE,"164";#N/A,#N/A,FALSE,"167";#N/A,#N/A,FALSE,"168";#N/A,#N/A,FALSE,"169";#N/A,#N/A,FALSE,"180";#N/A,#N/A,FALSE,"181";#N/A,#N/A,FALSE,"182";#N/A,#N/A,FALSE,"194";#N/A,#N/A,FALSE,"199";#N/A,#N/A,FALSE,"178-9";#N/A,#N/A,FALSE,"Heads";#N/A,#N/A,FALSE,"Capital"}</definedName>
    <definedName name="wrn.bullshit1." localSheetId="4" hidden="1">{#N/A,#N/A,FALSE,"Sheet1";#N/A,#N/A,FALSE,"Summary";#N/A,#N/A,FALSE,"proj1";#N/A,#N/A,FALSE,"proj2"}</definedName>
    <definedName name="wrn.bullshit1." hidden="1">{#N/A,#N/A,FALSE,"Sheet1";#N/A,#N/A,FALSE,"Summary";#N/A,#N/A,FALSE,"proj1";#N/A,#N/A,FALSE,"proj2"}</definedName>
    <definedName name="wrn.cash._.flow._.FY00._.and._.FY01." localSheetId="4" hidden="1">{"cash flow - FY00",#N/A,FALSE,"P &amp; L";"cash flow - FY01",#N/A,FALSE,"P &amp; L"}</definedName>
    <definedName name="wrn.cash._.flow._.FY00._.and._.FY01." hidden="1">{"cash flow - FY00",#N/A,FALSE,"P &amp; L";"cash flow - FY01",#N/A,FALSE,"P &amp; L"}</definedName>
    <definedName name="wrn.cash._.flow._.FY02._.and._.FY03." localSheetId="4" hidden="1">{"cash flow - FY02",#N/A,FALSE,"P &amp; L";"cash flow - FY03",#N/A,FALSE,"P &amp; L"}</definedName>
    <definedName name="wrn.cash._.flow._.FY02._.and._.FY03." hidden="1">{"cash flow - FY02",#N/A,FALSE,"P &amp; L";"cash flow - FY03",#N/A,FALSE,"P &amp; L"}</definedName>
    <definedName name="wrn.com" localSheetId="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com"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Complete._.Budget." localSheetId="4"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Budget."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x" localSheetId="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complex"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Consol._.FS." localSheetId="4" hidden="1">{#N/A,#N/A,FALSE,"BalSheet 0899";#N/A,#N/A,FALSE,"ytdpl899";#N/A,#N/A,FALSE,"Aug PL";#N/A,#N/A,FALSE,"Minority Int";#N/A,#N/A,FALSE,"Equity Roll Forward";#N/A,#N/A,FALSE,"Book Equity Test"}</definedName>
    <definedName name="wrn.Consol._.FS." hidden="1">{#N/A,#N/A,FALSE,"BalSheet 0899";#N/A,#N/A,FALSE,"ytdpl899";#N/A,#N/A,FALSE,"Aug PL";#N/A,#N/A,FALSE,"Minority Int";#N/A,#N/A,FALSE,"Equity Roll Forward";#N/A,#N/A,FALSE,"Book Equity Test"}</definedName>
    <definedName name="wrn.Dec._.02._.Key._.Stats." localSheetId="4" hidden="1">{"Dec 02 Recoveries",#N/A,FALSE,"December 02";"Dec 02 Revenue &amp; Expense",#N/A,FALSE,"December 02"}</definedName>
    <definedName name="wrn.Dec._.02._.Key._.Stats." hidden="1">{"Dec 02 Recoveries",#N/A,FALSE,"December 02";"Dec 02 Revenue &amp; Expense",#N/A,FALSE,"December 02"}</definedName>
    <definedName name="wrn.detail." localSheetId="4" hidden="1">{"detail",#N/A,FALSE,"Revenue Strat Plan"}</definedName>
    <definedName name="wrn.detail." hidden="1">{"detail",#N/A,FALSE,"Revenue Strat Plan"}</definedName>
    <definedName name="wrn.dir." localSheetId="4" hidden="1">{#N/A,#N/A,FALSE,"Dir. Marketing_Summary";#N/A,#N/A,FALSE,"Infolink";#N/A,#N/A,FALSE,"Direct";#N/A,#N/A,FALSE,"Med_Marketing";#N/A,#N/A,FALSE,"Dimac_1";#N/A,#N/A,FALSE,"Dimac_2";#N/A,#N/A,FALSE,"Vantage";#N/A,#N/A,FALSE,"Tomahawk";#N/A,#N/A,FALSE,"BofA";#N/A,#N/A,FALSE,"Epsilon";#N/A,#N/A,FALSE,"Epsilon"}</definedName>
    <definedName name="wrn.dir." hidden="1">{#N/A,#N/A,FALSE,"Dir. Marketing_Summary";#N/A,#N/A,FALSE,"Infolink";#N/A,#N/A,FALSE,"Direct";#N/A,#N/A,FALSE,"Med_Marketing";#N/A,#N/A,FALSE,"Dimac_1";#N/A,#N/A,FALSE,"Dimac_2";#N/A,#N/A,FALSE,"Vantage";#N/A,#N/A,FALSE,"Tomahawk";#N/A,#N/A,FALSE,"BofA";#N/A,#N/A,FALSE,"Epsilon";#N/A,#N/A,FALSE,"Epsilon"}</definedName>
    <definedName name="wrn.executive._.summary._.reports." localSheetId="4" hidden="1">{"4 year overview",#N/A,FALSE,"P &amp; L";"key indicators",#N/A,FALSE,"P &amp; L"}</definedName>
    <definedName name="wrn.executive._.summary._.reports." hidden="1">{"4 year overview",#N/A,FALSE,"P &amp; L";"key indicators",#N/A,FALSE,"P &amp; L"}</definedName>
    <definedName name="wrn.f" localSheetId="4"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eb._.03._.Key._.Stats." localSheetId="4" hidden="1">{"Feb 03 Revenue &amp; Expense",#N/A,FALSE,"February 03";"Feb 03 Recoveries",#N/A,FALSE,"February 03"}</definedName>
    <definedName name="wrn.Feb._.03._.Key._.Stats." hidden="1">{"Feb 03 Revenue &amp; Expense",#N/A,FALSE,"February 03";"Feb 03 Recoveries",#N/A,FALSE,"February 03"}</definedName>
    <definedName name="wrn.Filter." localSheetId="4" hidden="1">{#N/A,#N/A,FALSE,"Assump2";#N/A,#N/A,FALSE,"Income2";#N/A,#N/A,FALSE,"Balance2";#N/A,#N/A,FALSE,"DCF Filter";#N/A,#N/A,FALSE,"Trans Assump2";#N/A,#N/A,FALSE,"Combined Income2";#N/A,#N/A,FALSE,"Combined Balance2"}</definedName>
    <definedName name="wrn.Filter." hidden="1">{#N/A,#N/A,FALSE,"Assump2";#N/A,#N/A,FALSE,"Income2";#N/A,#N/A,FALSE,"Balance2";#N/A,#N/A,FALSE,"DCF Filter";#N/A,#N/A,FALSE,"Trans Assump2";#N/A,#N/A,FALSE,"Combined Income2";#N/A,#N/A,FALSE,"Combined Balance2"}</definedName>
    <definedName name="wrn.First._.2._.Pages." localSheetId="4" hidden="1">{"First 2 Pages",#N/A,FALSE,"A";"First 2 Pages",#N/A,FALSE,"A"}</definedName>
    <definedName name="wrn.First._.2._.Pages." hidden="1">{"First 2 Pages",#N/A,FALSE,"A";"First 2 Pages",#N/A,FALSE,"A"}</definedName>
    <definedName name="wrn.first2." localSheetId="4" hidden="1">{#N/A,#N/A,FALSE,"sum-don";#N/A,#N/A,FALSE,"inc-don"}</definedName>
    <definedName name="wrn.first2." hidden="1">{#N/A,#N/A,FALSE,"sum-don";#N/A,#N/A,FALSE,"inc-don"}</definedName>
    <definedName name="wrn.first3." localSheetId="4" hidden="1">{#N/A,#N/A,FALSE,"Summary";#N/A,#N/A,FALSE,"proj1";#N/A,#N/A,FALSE,"proj2"}</definedName>
    <definedName name="wrn.first3." hidden="1">{#N/A,#N/A,FALSE,"Summary";#N/A,#N/A,FALSE,"proj1";#N/A,#N/A,FALSE,"proj2"}</definedName>
    <definedName name="wrn.first4." localSheetId="4" hidden="1">{#N/A,#N/A,FALSE,"Summary";#N/A,#N/A,FALSE,"proj1";#N/A,#N/A,FALSE,"proj2";#N/A,#N/A,FALSE,"DCF"}</definedName>
    <definedName name="wrn.first4." hidden="1">{#N/A,#N/A,FALSE,"Summary";#N/A,#N/A,FALSE,"proj1";#N/A,#N/A,FALSE,"proj2";#N/A,#N/A,FALSE,"DCF"}</definedName>
    <definedName name="wrn.first5000." localSheetId="4" hidden="1">{#N/A,#N/A,FALSE,"sum-don";#N/A,#N/A,FALSE,"inc-don"}</definedName>
    <definedName name="wrn.first5000." hidden="1">{#N/A,#N/A,FALSE,"sum-don";#N/A,#N/A,FALSE,"inc-don"}</definedName>
    <definedName name="wrn.Five._.Year._.Model." localSheetId="4"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Model."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ORECAST." localSheetId="4" hidden="1">{"FOSUMMARY",#N/A,FALSE,"SUMMARY";"ACTVAR",#N/A,FALSE,"ACT VAR";"FCSTVAR",#N/A,FALSE,"FCST VAR"}</definedName>
    <definedName name="wrn.FORECAST." hidden="1">{"FOSUMMARY",#N/A,FALSE,"SUMMARY";"ACTVAR",#N/A,FALSE,"ACT VAR";"FCSTVAR",#N/A,FALSE,"FCST VAR"}</definedName>
    <definedName name="wrn.Forecast._.Summary." localSheetId="4" hidden="1">{#N/A,#N/A,FALSE,"Full Year";#N/A,#N/A,FALSE,"Current Month";#N/A,#N/A,FALSE,"YTD";#N/A,#N/A,FALSE,"Remainder";#N/A,#N/A,FALSE,"Full Year Variance";#N/A,#N/A,FALSE,"Quarterly Variance"}</definedName>
    <definedName name="wrn.Forecast._.Summary." hidden="1">{#N/A,#N/A,FALSE,"Full Year";#N/A,#N/A,FALSE,"Current Month";#N/A,#N/A,FALSE,"YTD";#N/A,#N/A,FALSE,"Remainder";#N/A,#N/A,FALSE,"Full Year Variance";#N/A,#N/A,FALSE,"Quarterly Variance"}</definedName>
    <definedName name="wrn.fu" localSheetId="4"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ll." localSheetId="4"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ll."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ll.2" localSheetId="4"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ll.2"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Y00._.all._.reports." localSheetId="4" hidden="1">{"cash flow - FY00",#N/A,FALSE,"P &amp; L";"qtrly summ-FY00",#N/A,FALSE,"P &amp; L";"monthly P&amp;L-FY00",#N/A,FALSE,"P &amp; L";"P&amp;L FY00",#N/A,FALSE,"P &amp; L";"BS FY00",#N/A,FALSE,"P &amp; L";"staffing - FY00",#N/A,FALSE,"P &amp; L"}</definedName>
    <definedName name="wrn.FY00._.all._.reports." hidden="1">{"cash flow - FY00",#N/A,FALSE,"P &amp; L";"qtrly summ-FY00",#N/A,FALSE,"P &amp; L";"monthly P&amp;L-FY00",#N/A,FALSE,"P &amp; L";"P&amp;L FY00",#N/A,FALSE,"P &amp; L";"BS FY00",#N/A,FALSE,"P &amp; L";"staffing - FY00",#N/A,FALSE,"P &amp; L"}</definedName>
    <definedName name="wrn.FY01._.all._.reports." localSheetId="4" hidden="1">{"qtrly summ-FY01",#N/A,FALSE,"P &amp; L";"monthly P&amp;L-FY01",#N/A,FALSE,"P &amp; L";"cash flow - FY01",#N/A,FALSE,"P &amp; L";"P&amp;L FY01",#N/A,FALSE,"P &amp; L";"BS FY01",#N/A,FALSE,"P &amp; L";"staffing - FY01",#N/A,FALSE,"P &amp; L"}</definedName>
    <definedName name="wrn.FY01._.all._.reports." hidden="1">{"qtrly summ-FY01",#N/A,FALSE,"P &amp; L";"monthly P&amp;L-FY01",#N/A,FALSE,"P &amp; L";"cash flow - FY01",#N/A,FALSE,"P &amp; L";"P&amp;L FY01",#N/A,FALSE,"P &amp; L";"BS FY01",#N/A,FALSE,"P &amp; L";"staffing - FY01",#N/A,FALSE,"P &amp; L"}</definedName>
    <definedName name="wrn.FY02._.all._.reports." localSheetId="4" hidden="1">{"cash flow - FY02",#N/A,FALSE,"P &amp; L";"qtrly summ-FY02",#N/A,FALSE,"P &amp; L";"monthly P&amp;L-FY02",#N/A,FALSE,"P &amp; L";"P&amp;L FY02",#N/A,FALSE,"P &amp; L";"BS FY02",#N/A,FALSE,"P &amp; L";"staffing - FY02",#N/A,FALSE,"P &amp; L"}</definedName>
    <definedName name="wrn.FY02._.all._.reports." hidden="1">{"cash flow - FY02",#N/A,FALSE,"P &amp; L";"qtrly summ-FY02",#N/A,FALSE,"P &amp; L";"monthly P&amp;L-FY02",#N/A,FALSE,"P &amp; L";"P&amp;L FY02",#N/A,FALSE,"P &amp; L";"BS FY02",#N/A,FALSE,"P &amp; L";"staffing - FY02",#N/A,FALSE,"P &amp; L"}</definedName>
    <definedName name="wrn.FY03._.all._.reports." localSheetId="4" hidden="1">{"cash flow - FY03",#N/A,FALSE,"P &amp; L";"qtrly summ-FY03",#N/A,FALSE,"P &amp; L";"monthly P&amp;L-FY03",#N/A,FALSE,"P &amp; L";"P&amp;L FY03",#N/A,FALSE,"P &amp; L";"BS FY03",#N/A,FALSE,"P &amp; L";"staffing - FY03",#N/A,FALSE,"P &amp; L"}</definedName>
    <definedName name="wrn.FY03._.all._.reports." hidden="1">{"cash flow - FY03",#N/A,FALSE,"P &amp; L";"qtrly summ-FY03",#N/A,FALSE,"P &amp; L";"monthly P&amp;L-FY03",#N/A,FALSE,"P &amp; L";"P&amp;L FY03",#N/A,FALSE,"P &amp; L";"BS FY03",#N/A,FALSE,"P &amp; L";"staffing - FY03",#N/A,FALSE,"P &amp; L"}</definedName>
    <definedName name="wrn.FY06." localSheetId="4" hidden="1">{#N/A,#N/A,FALSE,"JUL-05";#N/A,#N/A,FALSE,"AUG-05";#N/A,#N/A,FALSE,"SEP-05";#N/A,#N/A,FALSE,"OCT-05";#N/A,#N/A,FALSE,"NOV-05";#N/A,#N/A,FALSE,"DEC-05";#N/A,#N/A,FALSE,"JAN-06";#N/A,#N/A,FALSE,"FEB-06";#N/A,#N/A,FALSE,"MAR-06";#N/A,#N/A,FALSE,"APR-06";#N/A,#N/A,FALSE,"MAY-06";#N/A,#N/A,FALSE,"JUN-06"}</definedName>
    <definedName name="wrn.FY06." hidden="1">{#N/A,#N/A,FALSE,"JUL-05";#N/A,#N/A,FALSE,"AUG-05";#N/A,#N/A,FALSE,"SEP-05";#N/A,#N/A,FALSE,"OCT-05";#N/A,#N/A,FALSE,"NOV-05";#N/A,#N/A,FALSE,"DEC-05";#N/A,#N/A,FALSE,"JAN-06";#N/A,#N/A,FALSE,"FEB-06";#N/A,#N/A,FALSE,"MAR-06";#N/A,#N/A,FALSE,"APR-06";#N/A,#N/A,FALSE,"MAY-06";#N/A,#N/A,FALSE,"JUN-06"}</definedName>
    <definedName name="wrn.FY97SBP." localSheetId="4" hidden="1">{#N/A,#N/A,FALSE,"FY97";#N/A,#N/A,FALSE,"FY98";#N/A,#N/A,FALSE,"FY99";#N/A,#N/A,FALSE,"FY00";#N/A,#N/A,FALSE,"FY01"}</definedName>
    <definedName name="wrn.FY97SBP." hidden="1">{#N/A,#N/A,FALSE,"FY97";#N/A,#N/A,FALSE,"FY98";#N/A,#N/A,FALSE,"FY99";#N/A,#N/A,FALSE,"FY00";#N/A,#N/A,FALSE,"FY01"}</definedName>
    <definedName name="wrn.Group." localSheetId="4" hidden="1">{#N/A,#N/A,FALSE,"Summary";#N/A,#N/A,FALSE,"Projections";#N/A,#N/A,FALSE,"Debt Schedule";#N/A,#N/A,FALSE,"Mayline Sales Group";#N/A,#N/A,FALSE,"Sales Groups";#N/A,#N/A,FALSE,"Operating Expenses";#N/A,#N/A,FALSE,"Depreciation";#N/A,#N/A,FALSE,"Balance Sheet";#N/A,#N/A,FALSE,"Working Capital";#N/A,#N/A,FALSE,"Addbacks"}</definedName>
    <definedName name="wrn.Group." hidden="1">{#N/A,#N/A,FALSE,"Summary";#N/A,#N/A,FALSE,"Projections";#N/A,#N/A,FALSE,"Debt Schedule";#N/A,#N/A,FALSE,"Mayline Sales Group";#N/A,#N/A,FALSE,"Sales Groups";#N/A,#N/A,FALSE,"Operating Expenses";#N/A,#N/A,FALSE,"Depreciation";#N/A,#N/A,FALSE,"Balance Sheet";#N/A,#N/A,FALSE,"Working Capital";#N/A,#N/A,FALSE,"Addbacks"}</definedName>
    <definedName name="wrn.GW._.02._.PLAN." localSheetId="4" hidden="1">{"GW02",#N/A,FALSE,"GW";"CA02",#N/A,FALSE,"ca";"OFF02",#N/A,FALSE,"off";"CE02",#N/A,FALSE,"ce";"noncorp 02",#N/A,FALSE,"noncorp"}</definedName>
    <definedName name="wrn.GW._.02._.PLAN." hidden="1">{"GW02",#N/A,FALSE,"GW";"CA02",#N/A,FALSE,"ca";"OFF02",#N/A,FALSE,"off";"CE02",#N/A,FALSE,"ce";"noncorp 02",#N/A,FALSE,"noncorp"}</definedName>
    <definedName name="wrn.GW._.Actuals." localSheetId="4" hidden="1">{"GW ACTUALS",#N/A,FALSE,"GW";"CA ACTUALS",#N/A,FALSE,"GW";"CORP EXP ACTUALS",#N/A,FALSE,"GW";"GWOFF ACTUALS",#N/A,FALSE,"GW";"SRA ACTUALS",#N/A,FALSE,"GW"}</definedName>
    <definedName name="wrn.GW._.Actuals." hidden="1">{"GW ACTUALS",#N/A,FALSE,"GW";"CA ACTUALS",#N/A,FALSE,"GW";"CORP EXP ACTUALS",#N/A,FALSE,"GW";"GWOFF ACTUALS",#N/A,FALSE,"GW";"SRA ACTUALS",#N/A,FALSE,"GW"}</definedName>
    <definedName name="wrn.GW._.PLAN." localSheetId="4" hidden="1">{"GW PLAN",#N/A,FALSE,"GW";"CA PLAN",#N/A,FALSE,"GW";"CORP EXP PLAN",#N/A,FALSE,"GW";"GWOFF PLAN",#N/A,FALSE,"GW"}</definedName>
    <definedName name="wrn.GW._.PLAN." hidden="1">{"GW PLAN",#N/A,FALSE,"GW";"CA PLAN",#N/A,FALSE,"GW";"CORP EXP PLAN",#N/A,FALSE,"GW";"GWOFF PLAN",#N/A,FALSE,"GW"}</definedName>
    <definedName name="wrn.GW._.VARIANCE." localSheetId="4" hidden="1">{"GW VARIANCE",#N/A,FALSE,"GW";"CA VARIANCE",#N/A,FALSE,"GW";"CE VARIANCE",#N/A,FALSE,"GW";"OFF VARIANCE",#N/A,FALSE,"GW";"SRA VARIANCE",#N/A,FALSE,"sra"}</definedName>
    <definedName name="wrn.GW._.VARIANCE." hidden="1">{"GW VARIANCE",#N/A,FALSE,"GW";"CA VARIANCE",#N/A,FALSE,"GW";"CE VARIANCE",#N/A,FALSE,"GW";"OFF VARIANCE",#N/A,FALSE,"GW";"SRA VARIANCE",#N/A,FALSE,"sra"}</definedName>
    <definedName name="wrn.HEAT." localSheetId="4" hidden="1">{#N/A,#N/A,FALSE,"Heat";#N/A,#N/A,FALSE,"DCF";#N/A,#N/A,FALSE,"LBO";#N/A,#N/A,FALSE,"A";#N/A,#N/A,FALSE,"C";#N/A,#N/A,FALSE,"impd";#N/A,#N/A,FALSE,"Accr-Dilu"}</definedName>
    <definedName name="wrn.HEAT." hidden="1">{#N/A,#N/A,FALSE,"Heat";#N/A,#N/A,FALSE,"DCF";#N/A,#N/A,FALSE,"LBO";#N/A,#N/A,FALSE,"A";#N/A,#N/A,FALSE,"C";#N/A,#N/A,FALSE,"impd";#N/A,#N/A,FALSE,"Accr-Dilu"}</definedName>
    <definedName name="wrn.HL." localSheetId="4" hidden="1">{"HLTotRev",#N/A,FALSE,"HL";"HLProcRev",#N/A,FALSE,"HL";"HLProcPRHRTA",#N/A,FALSE,"HL";"HLProcMSNEWTot",#N/A,FALSE,"HL";"HLSalesStarts",#N/A,FALSE,"HL";"HLLoss",#N/A,FALSE,"HL";"HLSUYrend",#N/A,FALSE,"HL";"Clients",#N/A,FALSE,"HL";"InputSales",#N/A,FALSE,"HL"}</definedName>
    <definedName name="wrn.HL." hidden="1">{"HLTotRev",#N/A,FALSE,"HL";"HLProcRev",#N/A,FALSE,"HL";"HLProcPRHRTA",#N/A,FALSE,"HL";"HLProcMSNEWTot",#N/A,FALSE,"HL";"HLSalesStarts",#N/A,FALSE,"HL";"HLLoss",#N/A,FALSE,"HL";"HLSUYrend",#N/A,FALSE,"HL";"Clients",#N/A,FALSE,"HL";"InputSales",#N/A,FALSE,"HL"}</definedName>
    <definedName name="wrn.Hydraulic." localSheetId="4"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4" hidden="1">{#N/A,#N/A,FALSE,"HuscoCombined-Summ";#N/A,#N/A,FALSE,"HuscoCombined-Income";#N/A,#N/A,FALSE,"HuscoCombined-Offering";#N/A,#N/A,FALSE,"Husco-Income";#N/A,#N/A,FALSE,"TargetEngineer";#N/A,#N/A,FALSE,"TargetAcqCalc";#N/A,#N/A,FALSE,"Husco-Acq"}</definedName>
    <definedName name="wrn.Hydraulic2." hidden="1">{#N/A,#N/A,FALSE,"HuscoCombined-Summ";#N/A,#N/A,FALSE,"HuscoCombined-Income";#N/A,#N/A,FALSE,"HuscoCombined-Offering";#N/A,#N/A,FALSE,"Husco-Income";#N/A,#N/A,FALSE,"TargetEngineer";#N/A,#N/A,FALSE,"TargetAcqCalc";#N/A,#N/A,FALSE,"Husco-Acq"}</definedName>
    <definedName name="wrn.info." localSheetId="4" hidden="1">{#N/A,#N/A,FALSE,"IT_Summary";#N/A,#N/A,FALSE,"Renaissance";#N/A,#N/A,FALSE,"Intermetrics";#N/A,#N/A,FALSE,"Systems";#N/A,#N/A,FALSE,"IMI";#N/A,#N/A,FALSE,"Landmark";#N/A,#N/A,FALSE,"Rational";#N/A,#N/A,FALSE,"AGS";#N/A,#N/A,FALSE,"GE"}</definedName>
    <definedName name="wrn.info." hidden="1">{#N/A,#N/A,FALSE,"IT_Summary";#N/A,#N/A,FALSE,"Renaissance";#N/A,#N/A,FALSE,"Intermetrics";#N/A,#N/A,FALSE,"Systems";#N/A,#N/A,FALSE,"IMI";#N/A,#N/A,FALSE,"Landmark";#N/A,#N/A,FALSE,"Rational";#N/A,#N/A,FALSE,"AGS";#N/A,#N/A,FALSE,"GE"}</definedName>
    <definedName name="wrn.ipovalue." localSheetId="4" hidden="1">{#N/A,#N/A,FALSE,"puboff";#N/A,#N/A,FALSE,"valuation";#N/A,#N/A,FALSE,"finanalsis";#N/A,#N/A,FALSE,"split";#N/A,#N/A,FALSE,"ownership"}</definedName>
    <definedName name="wrn.ipovalue." hidden="1">{#N/A,#N/A,FALSE,"puboff";#N/A,#N/A,FALSE,"valuation";#N/A,#N/A,FALSE,"finanalsis";#N/A,#N/A,FALSE,"split";#N/A,#N/A,FALSE,"ownership"}</definedName>
    <definedName name="wrn.ISCG._.model." localSheetId="4" hidden="1">{#N/A,#N/A,FALSE,"Second";#N/A,#N/A,FALSE,"ownership";#N/A,#N/A,FALSE,"Valuation";#N/A,#N/A,FALSE,"Eqiv";#N/A,#N/A,FALSE,"Mults";#N/A,#N/A,FALSE,"ISCG Graphics"}</definedName>
    <definedName name="wrn.ISCG._.model." hidden="1">{#N/A,#N/A,FALSE,"Second";#N/A,#N/A,FALSE,"ownership";#N/A,#N/A,FALSE,"Valuation";#N/A,#N/A,FALSE,"Eqiv";#N/A,#N/A,FALSE,"Mults";#N/A,#N/A,FALSE,"ISCG Graphics"}</definedName>
    <definedName name="wrn.Jan._.03._.Key._.Stats." localSheetId="4" hidden="1">{"Jan 03 Revenue &amp; Expense",#N/A,FALSE,"January 03";"Jan 03 Recoveries",#N/A,FALSE,"January 03"}</definedName>
    <definedName name="wrn.Jan._.03._.Key._.Stats." hidden="1">{"Jan 03 Revenue &amp; Expense",#N/A,FALSE,"January 03";"Jan 03 Recoveries",#N/A,FALSE,"January 03"}</definedName>
    <definedName name="wrn.Jul._.02._.Key._.Stats." localSheetId="4" hidden="1">{"Jul 02 Revenue &amp; Expense",#N/A,FALSE,"July 02";"Jul 02 Recoveries",#N/A,FALSE,"July 02"}</definedName>
    <definedName name="wrn.Jul._.02._.Key._.Stats." hidden="1">{"Jul 02 Revenue &amp; Expense",#N/A,FALSE,"July 02";"Jul 02 Recoveries",#N/A,FALSE,"July 02"}</definedName>
    <definedName name="wrn.June._.03._.Key._.Stats." localSheetId="4" hidden="1">{"June 03 Revenue &amp; Expense",#N/A,FALSE,"June 03";"June 03 Recoveries",#N/A,FALSE,"June 03"}</definedName>
    <definedName name="wrn.June._.03._.Key._.Stats." hidden="1">{"June 03 Revenue &amp; Expense",#N/A,FALSE,"June 03";"June 03 Recoveries",#N/A,FALSE,"June 03"}</definedName>
    <definedName name="wrn.k" localSheetId="4" hidden="1">{#N/A,#N/A,FALSE,"AD_Purchase";#N/A,#N/A,FALSE,"Credit";#N/A,#N/A,FALSE,"PF Acquisition";#N/A,#N/A,FALSE,"PF Offering"}</definedName>
    <definedName name="wrn.k" hidden="1">{#N/A,#N/A,FALSE,"AD_Purchase";#N/A,#N/A,FALSE,"Credit";#N/A,#N/A,FALSE,"PF Acquisition";#N/A,#N/A,FALSE,"PF Offering"}</definedName>
    <definedName name="wrn.Last._.Page." localSheetId="4" hidden="1">{"Last Page",#N/A,FALSE,"A"}</definedName>
    <definedName name="wrn.Last._.Page." hidden="1">{"Last Page",#N/A,FALSE,"A"}</definedName>
    <definedName name="wrn.Losses98." localSheetId="4" hidden="1">{"losses98",#N/A,FALSE,"Losses98"}</definedName>
    <definedName name="wrn.Losses98." hidden="1">{"losses98",#N/A,FALSE,"Losses98"}</definedName>
    <definedName name="wrn.Losses99." localSheetId="4" hidden="1">{"losses1",#N/A,FALSE,"Losses99";"losses2",#N/A,FALSE,"Losses99"}</definedName>
    <definedName name="wrn.Losses99." hidden="1">{"losses1",#N/A,FALSE,"Losses99";"losses2",#N/A,FALSE,"Losses99"}</definedName>
    <definedName name="wrn.MA." localSheetId="4" hidden="1">{"MATotrev",#N/A,FALSE,"MA";"MAProcRev",#N/A,FALSE,"MA";"MAProcPRHR",#N/A,FALSE,"MA";"MAProcTAMS",#N/A,FALSE,"MA";"MAProcNewTot",#N/A,FALSE,"MA";"MASalesStarts",#N/A,FALSE,"MA";"MALoss",#N/A,FALSE,"MA";"MASUYRend",#N/A,FALSE,"MA";"MAClientno",#N/A,FALSE,"MA";"MAinput",#N/A,FALSE,"MA";"MAClientno",#N/A,FALSE,"MA"}</definedName>
    <definedName name="wrn.MA." hidden="1">{"MATotrev",#N/A,FALSE,"MA";"MAProcRev",#N/A,FALSE,"MA";"MAProcPRHR",#N/A,FALSE,"MA";"MAProcTAMS",#N/A,FALSE,"MA";"MAProcNewTot",#N/A,FALSE,"MA";"MASalesStarts",#N/A,FALSE,"MA";"MALoss",#N/A,FALSE,"MA";"MASUYRend",#N/A,FALSE,"MA";"MAClientno",#N/A,FALSE,"MA";"MAinput",#N/A,FALSE,"MA";"MAClientno",#N/A,FALSE,"MA"}</definedName>
    <definedName name="wrn.Maine." localSheetId="4" hidden="1">{"Assumptions",#N/A,TRUE,"Assumptions";"Income",#N/A,TRUE,"Income";"Balance",#N/A,TRUE,"Balance"}</definedName>
    <definedName name="wrn.Maine." hidden="1">{"Assumptions",#N/A,TRUE,"Assumptions";"Income",#N/A,TRUE,"Income";"Balance",#N/A,TRUE,"Balance"}</definedName>
    <definedName name="wrn.Maine2." localSheetId="4"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tW2." localSheetId="4" hidden="1">{"MaintW2",#N/A,FALSE,"MaintW2"}</definedName>
    <definedName name="wrn.MaintW2." hidden="1">{"MaintW2",#N/A,FALSE,"MaintW2"}</definedName>
    <definedName name="wrn.Mar._.03._.Key._.Stats." localSheetId="4" hidden="1">{"Mar 03 Revenue &amp; Expense",#N/A,FALSE,"March 03";"Mar 03 Recoveries",#N/A,FALSE,"March 03"}</definedName>
    <definedName name="wrn.Mar._.03._.Key._.Stats." hidden="1">{"Mar 03 Revenue &amp; Expense",#N/A,FALSE,"March 03";"Mar 03 Recoveries",#N/A,FALSE,"March 03"}</definedName>
    <definedName name="wrn.May._.03._.Key._.Stats." localSheetId="4" hidden="1">{"May 03 Revenue &amp; Expense",#N/A,FALSE,"May 03";"May 03 Recoveries",#N/A,FALSE,"May 03"}</definedName>
    <definedName name="wrn.May._.03._.Key._.Stats." hidden="1">{"May 03 Revenue &amp; Expense",#N/A,FALSE,"May 03";"May 03 Recoveries",#N/A,FALSE,"May 03"}</definedName>
    <definedName name="wrn.merge." localSheetId="4" hidden="1">{#N/A,#N/A,FALSE,"IPO";#N/A,#N/A,FALSE,"DCF";#N/A,#N/A,FALSE,"LBO";#N/A,#N/A,FALSE,"MULT_VAL";#N/A,#N/A,FALSE,"Status Quo";#N/A,#N/A,FALSE,"Recap"}</definedName>
    <definedName name="wrn.merge." hidden="1">{#N/A,#N/A,FALSE,"IPO";#N/A,#N/A,FALSE,"DCF";#N/A,#N/A,FALSE,"LBO";#N/A,#N/A,FALSE,"MULT_VAL";#N/A,#N/A,FALSE,"Status Quo";#N/A,#N/A,FALSE,"Recap"}</definedName>
    <definedName name="wrn.merge.1" localSheetId="4" hidden="1">{#N/A,#N/A,FALSE,"IPO";#N/A,#N/A,FALSE,"DCF";#N/A,#N/A,FALSE,"LBO";#N/A,#N/A,FALSE,"MULT_VAL";#N/A,#N/A,FALSE,"Status Quo";#N/A,#N/A,FALSE,"Recap"}</definedName>
    <definedName name="wrn.merge.1" hidden="1">{#N/A,#N/A,FALSE,"IPO";#N/A,#N/A,FALSE,"DCF";#N/A,#N/A,FALSE,"LBO";#N/A,#N/A,FALSE,"MULT_VAL";#N/A,#N/A,FALSE,"Status Quo";#N/A,#N/A,FALSE,"Recap"}</definedName>
    <definedName name="wrn.mike." localSheetId="4" hidden="1">{#N/A,#N/A,FALSE,"Rollcs";#N/A,#N/A,FALSE,"5425";#N/A,#N/A,FALSE,"5334";#N/A,#N/A,FALSE,"5339"}</definedName>
    <definedName name="wrn.mike." hidden="1">{#N/A,#N/A,FALSE,"Rollcs";#N/A,#N/A,FALSE,"5425";#N/A,#N/A,FALSE,"5334";#N/A,#N/A,FALSE,"5339"}</definedName>
    <definedName name="wrn.models" localSheetId="4" hidden="1">{#N/A,#N/A,FALSE,"Summary";#N/A,#N/A,FALSE,"Projections";#N/A,#N/A,FALSE,"Mkt Mults";#N/A,#N/A,FALSE,"DCF";#N/A,#N/A,FALSE,"Accr Dil";#N/A,#N/A,FALSE,"PIC LBO";#N/A,#N/A,FALSE,"MULT10_4";#N/A,#N/A,FALSE,"CBI LBO"}</definedName>
    <definedName name="wrn.models" hidden="1">{#N/A,#N/A,FALSE,"Summary";#N/A,#N/A,FALSE,"Projections";#N/A,#N/A,FALSE,"Mkt Mults";#N/A,#N/A,FALSE,"DCF";#N/A,#N/A,FALSE,"Accr Dil";#N/A,#N/A,FALSE,"PIC LBO";#N/A,#N/A,FALSE,"MULT10_4";#N/A,#N/A,FALSE,"CBI LBO"}</definedName>
    <definedName name="wrn.NA." localSheetId="4" hidden="1">{"NATotRev",#N/A,FALSE,"NA";"NAProcRev",#N/A,FALSE,"NA";"NAProcPRHR",#N/A,FALSE,"NA";"NAProcTAMS",#N/A,FALSE,"NA";"NAProcNewTot",#N/A,FALSE,"NA";"NASalesStarts",#N/A,FALSE,"NA";"NALoss",#N/A,FALSE,"NA";"NASUYrend",#N/A,FALSE,"NA";"NAclients",#N/A,FALSE,"NA";"NAinput",#N/A,FALSE,"NA";"NAclients",#N/A,FALSE,"NA"}</definedName>
    <definedName name="wrn.NA." hidden="1">{"NATotRev",#N/A,FALSE,"NA";"NAProcRev",#N/A,FALSE,"NA";"NAProcPRHR",#N/A,FALSE,"NA";"NAProcTAMS",#N/A,FALSE,"NA";"NAProcNewTot",#N/A,FALSE,"NA";"NASalesStarts",#N/A,FALSE,"NA";"NALoss",#N/A,FALSE,"NA";"NASUYrend",#N/A,FALSE,"NA";"NAclients",#N/A,FALSE,"NA";"NAinput",#N/A,FALSE,"NA";"NAclients",#N/A,FALSE,"NA"}</definedName>
    <definedName name="wrn.newest." localSheetId="4" hidden="1">{#N/A,#N/A,TRUE,"TS";#N/A,#N/A,TRUE,"Combo";#N/A,#N/A,TRUE,"FAIR";#N/A,#N/A,TRUE,"RBC";#N/A,#N/A,TRUE,"xxxx"}</definedName>
    <definedName name="wrn.newest." hidden="1">{#N/A,#N/A,TRUE,"TS";#N/A,#N/A,TRUE,"Combo";#N/A,#N/A,TRUE,"FAIR";#N/A,#N/A,TRUE,"RBC";#N/A,#N/A,TRUE,"xxxx"}</definedName>
    <definedName name="wrn.Nov._.02._.Key._.Stats." localSheetId="4" hidden="1">{"Nov 02 Revenue &amp; Expense",#N/A,FALSE,"November 02";"Nov 02 Recoveries",#N/A,FALSE,"November 02"}</definedName>
    <definedName name="wrn.Nov._.02._.Key._.Stats." hidden="1">{"Nov 02 Revenue &amp; Expense",#N/A,FALSE,"November 02";"Nov 02 Recoveries",#N/A,FALSE,"November 02"}</definedName>
    <definedName name="wrn.Oct._.02._.Key._.Stats." localSheetId="4" hidden="1">{"Oct 02 Revenue &amp; Expense",#N/A,FALSE,"October 02";"Oct 02 Recoveries",#N/A,FALSE,"October 02"}</definedName>
    <definedName name="wrn.Oct._.02._.Key._.Stats." hidden="1">{"Oct 02 Revenue &amp; Expense",#N/A,FALSE,"October 02";"Oct 02 Recoveries",#N/A,FALSE,"October 02"}</definedName>
    <definedName name="wrn.Other._.revenue." localSheetId="4" hidden="1">{"other",#N/A,FALSE,"Other"}</definedName>
    <definedName name="wrn.Other._.revenue." hidden="1">{"other",#N/A,FALSE,"Other"}</definedName>
    <definedName name="wrn.Package." localSheetId="4" hidden="1">{#N/A,#N/A,FALSE,"Full Year";#N/A,#N/A,FALSE,"Current Month";#N/A,#N/A,FALSE,"Remainder";#N/A,#N/A,FALSE,"Quarterly Variance";#N/A,#N/A,FALSE,"YTD";#N/A,#N/A,FALSE,"Full Year Variance";#N/A,#N/A,FALSE,"Growth";#N/A,#N/A,FALSE,"Risk Adj Summary";#N/A,#N/A,FALSE,"Selling";#N/A,#N/A,FALSE,"Setup";#N/A,#N/A,FALSE,"CM Comp"}</definedName>
    <definedName name="wrn.Package." hidden="1">{#N/A,#N/A,FALSE,"Full Year";#N/A,#N/A,FALSE,"Current Month";#N/A,#N/A,FALSE,"Remainder";#N/A,#N/A,FALSE,"Quarterly Variance";#N/A,#N/A,FALSE,"YTD";#N/A,#N/A,FALSE,"Full Year Variance";#N/A,#N/A,FALSE,"Growth";#N/A,#N/A,FALSE,"Risk Adj Summary";#N/A,#N/A,FALSE,"Selling";#N/A,#N/A,FALSE,"Setup";#N/A,#N/A,FALSE,"CM Comp"}</definedName>
    <definedName name="wrn.packer._.1." localSheetId="4"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L." localSheetId="4" hidden="1">{"PL",#N/A,FALSE,"TEMPLT3"}</definedName>
    <definedName name="wrn.PL." hidden="1">{"PL",#N/A,FALSE,"TEMPLT3"}</definedName>
    <definedName name="wrn.PLAN." localSheetId="4" hidden="1">{"INT PLAN",#N/A,FALSE,"intce";"INTCA PLAN",#N/A,FALSE,"intce";"INTCE PLAN",#N/A,FALSE,"intce";"INTOFF PLAN",#N/A,FALSE,"intce";"OFFSET PLAN",#N/A,FALSE,"intce"}</definedName>
    <definedName name="wrn.PLAN." hidden="1">{"INT PLAN",#N/A,FALSE,"intce";"INTCA PLAN",#N/A,FALSE,"intce";"INTCE PLAN",#N/A,FALSE,"intce";"INTOFF PLAN",#N/A,FALSE,"intce";"OFFSET PLAN",#N/A,FALSE,"intce"}</definedName>
    <definedName name="wrn.Print._.Range." localSheetId="4" hidden="1">{"Plan",#N/A,FALSE,"Rolldbse";"Forecast",#N/A,FALSE,"Rolldbse"}</definedName>
    <definedName name="wrn.Print._.Range." hidden="1">{"Plan",#N/A,FALSE,"Rolldbse";"Forecast",#N/A,FALSE,"Rolldbse"}</definedName>
    <definedName name="wrn.Print._.Report." localSheetId="4" hidden="1">{#N/A,#N/A,TRUE,"Total PPV Summary";#N/A,#N/A,TRUE,"New Summary";#N/A,#N/A,TRUE,"New Top Item";#N/A,#N/A,TRUE,"Total Impact-exclude";#N/A,#N/A,TRUE,"Total Impact Overview";#N/A,#N/A,TRUE,"Total Impact F&amp;B";#N/A,#N/A,TRUE,"Total Impact FoodService";#N/A,#N/A,TRUE,"Hedged Commodity";#N/A,#N/A,TRUE,"KC Wheat";#N/A,#N/A,TRUE,"MPLS Wheat";#N/A,#N/A,TRUE,"CGO Wheat";#N/A,#N/A,TRUE,"Edible Oil Comm";#N/A,#N/A,TRUE,"Dairy Comm";#N/A,#N/A,TRUE,"Sugar Comm";#N/A,#N/A,TRUE,"Eggs Comm";#N/A,#N/A,TRUE,"Cacao Comm";#N/A,#N/A,TRUE,"Corn Comm";#N/A,#N/A,TRUE,"Combined Rolling";#N/A,#N/A,TRUE,"Combined Rolling F&amp;B";#N/A,#N/A,TRUE,"DSD Rolling";#N/A,#N/A,TRUE,"Combined Rolling FS";#N/A,#N/A,TRUE,"Rebate Schedule";#N/A,#N/A,TRUE,"Contract Log"}</definedName>
    <definedName name="wrn.Print._.Report." hidden="1">{#N/A,#N/A,TRUE,"Total PPV Summary";#N/A,#N/A,TRUE,"New Summary";#N/A,#N/A,TRUE,"New Top Item";#N/A,#N/A,TRUE,"Total Impact-exclude";#N/A,#N/A,TRUE,"Total Impact Overview";#N/A,#N/A,TRUE,"Total Impact F&amp;B";#N/A,#N/A,TRUE,"Total Impact FoodService";#N/A,#N/A,TRUE,"Hedged Commodity";#N/A,#N/A,TRUE,"KC Wheat";#N/A,#N/A,TRUE,"MPLS Wheat";#N/A,#N/A,TRUE,"CGO Wheat";#N/A,#N/A,TRUE,"Edible Oil Comm";#N/A,#N/A,TRUE,"Dairy Comm";#N/A,#N/A,TRUE,"Sugar Comm";#N/A,#N/A,TRUE,"Eggs Comm";#N/A,#N/A,TRUE,"Cacao Comm";#N/A,#N/A,TRUE,"Corn Comm";#N/A,#N/A,TRUE,"Combined Rolling";#N/A,#N/A,TRUE,"Combined Rolling F&amp;B";#N/A,#N/A,TRUE,"DSD Rolling";#N/A,#N/A,TRUE,"Combined Rolling FS";#N/A,#N/A,TRUE,"Rebate Schedule";#N/A,#N/A,TRUE,"Contract Log"}</definedName>
    <definedName name="wrn.print_all." localSheetId="4" hidden="1">{#N/A,#N/A,FALSE,"rollup";#N/A,#N/A,FALSE,"perf_total+gorm";#N/A,#N/A,FALSE,"perf_total";#N/A,#N/A,FALSE,"pi_total";#N/A,#N/A,FALSE,"pi_us";#N/A,#N/A,FALSE,"pi_can";#N/A,#N/A,FALSE,"pcc_total";#N/A,#N/A,FALSE,"pcc_us";#N/A,#N/A,FALSE,"pcc_can";#N/A,#N/A,FALSE,"gorman";#N/A,#N/A,FALSE,"novak_total";#N/A,#N/A,FALSE,"novak";#N/A,#N/A,FALSE,"novak_us"}</definedName>
    <definedName name="wrn.print_all." hidden="1">{#N/A,#N/A,FALSE,"rollup";#N/A,#N/A,FALSE,"perf_total+gorm";#N/A,#N/A,FALSE,"perf_total";#N/A,#N/A,FALSE,"pi_total";#N/A,#N/A,FALSE,"pi_us";#N/A,#N/A,FALSE,"pi_can";#N/A,#N/A,FALSE,"pcc_total";#N/A,#N/A,FALSE,"pcc_us";#N/A,#N/A,FALSE,"pcc_can";#N/A,#N/A,FALSE,"gorman";#N/A,#N/A,FALSE,"novak_total";#N/A,#N/A,FALSE,"novak";#N/A,#N/A,FALSE,"novak_us"}</definedName>
    <definedName name="wrn.PRINT2." localSheetId="4" hidden="1">{"PAGE1",#N/A,FALSE,"ADJMODL";"PAGE2",#N/A,FALSE,"ADJMODL";"PAGE3",#N/A,FALSE,"ADJMODL";"PAGE4",#N/A,FALSE,"ADJMODL";"PAGE5",#N/A,FALSE,"ADJMODL";"PAGE6",#N/A,FALSE,"ADJMODL";"PAGE7",#N/A,FALSE,"ADJMODL";"PAGE8",#N/A,FALSE,"ADJMODL"}</definedName>
    <definedName name="wrn.PRINT2." hidden="1">{"PAGE1",#N/A,FALSE,"ADJMODL";"PAGE2",#N/A,FALSE,"ADJMODL";"PAGE3",#N/A,FALSE,"ADJMODL";"PAGE4",#N/A,FALSE,"ADJMODL";"PAGE5",#N/A,FALSE,"ADJMODL";"PAGE6",#N/A,FALSE,"ADJMODL";"PAGE7",#N/A,FALSE,"ADJMODL";"PAGE8",#N/A,FALSE,"ADJMODL"}</definedName>
    <definedName name="wrn.print3." localSheetId="4" hidden="1">{"PAGE1",#N/A,FALSE,"ADJMODL";"PAGE2",#N/A,FALSE,"ADJMODL";"PAGE3",#N/A,FALSE,"ADJMODL";"PAGE4",#N/A,FALSE,"ADJMODL";"PAGE5",#N/A,FALSE,"ADJMODL";"PAGE6",#N/A,FALSE,"ADJMODL";"PAGE7",#N/A,FALSE,"ADJMODL";"PAGE8",#N/A,FALSE,"ADJMODL"}</definedName>
    <definedName name="wrn.print3." hidden="1">{"PAGE1",#N/A,FALSE,"ADJMODL";"PAGE2",#N/A,FALSE,"ADJMODL";"PAGE3",#N/A,FALSE,"ADJMODL";"PAGE4",#N/A,FALSE,"ADJMODL";"PAGE5",#N/A,FALSE,"ADJMODL";"PAGE6",#N/A,FALSE,"ADJMODL";"PAGE7",#N/A,FALSE,"ADJMODL";"PAGE8",#N/A,FALSE,"ADJMODL"}</definedName>
    <definedName name="wrn.PrintAll." localSheetId="4" hidden="1">{#N/A,#N/A,FALSE,"Summary";#N/A,#N/A,FALSE,"Rollup";#N/A,#N/A,FALSE,"Trades";#N/A,#N/A,FALSE,"Base";#N/A,#N/A,FALSE,"New Sales";#N/A,#N/A,FALSE,"VAP";#N/A,#N/A,FALSE,"Software Sales";#N/A,#N/A,FALSE,"Price Increases";#N/A,#N/A,FALSE,"Lost Business";#N/A,#N/A,FALSE,"Concessions";#N/A,#N/A,FALSE,"Disaster Recovery"}</definedName>
    <definedName name="wrn.PrintAll." hidden="1">{#N/A,#N/A,FALSE,"Summary";#N/A,#N/A,FALSE,"Rollup";#N/A,#N/A,FALSE,"Trades";#N/A,#N/A,FALSE,"Base";#N/A,#N/A,FALSE,"New Sales";#N/A,#N/A,FALSE,"VAP";#N/A,#N/A,FALSE,"Software Sales";#N/A,#N/A,FALSE,"Price Increases";#N/A,#N/A,FALSE,"Lost Business";#N/A,#N/A,FALSE,"Concessions";#N/A,#N/A,FALSE,"Disaster Recovery"}</definedName>
    <definedName name="wrn.PrintCharts." localSheetId="4" hidden="1">{#N/A,#N/A,FALSE,"Nat Gas Chart";#N/A,#N/A,FALSE,"Diesel Chart";#N/A,#N/A,FALSE,"KC Wheat Chart";#N/A,#N/A,FALSE,"KC Midds Chart";#N/A,#N/A,FALSE,"KC Basis Chart";#N/A,#N/A,FALSE,"Minn Wheat Chart";#N/A,#N/A,FALSE,"Minn Midds Chart";#N/A,#N/A,FALSE,"Minn Basis Chart ";#N/A,#N/A,FALSE,"Chicago Wheat Chart";#N/A,#N/A,FALSE,"Chicago Midds Chart";#N/A,#N/A,FALSE,"Chicago Basis Chart";#N/A,#N/A,FALSE,"Soy Oil Chart";#N/A,#N/A,FALSE,"Soy Basis Chart";#N/A,#N/A,FALSE,"Corn Chart";#N/A,#N/A,FALSE,"Co-Products Chart";#N/A,#N/A,FALSE,"Alum Chart";#N/A,#N/A,FALSE,"MWP Chart"}</definedName>
    <definedName name="wrn.PrintCharts." hidden="1">{#N/A,#N/A,FALSE,"Nat Gas Chart";#N/A,#N/A,FALSE,"Diesel Chart";#N/A,#N/A,FALSE,"KC Wheat Chart";#N/A,#N/A,FALSE,"KC Midds Chart";#N/A,#N/A,FALSE,"KC Basis Chart";#N/A,#N/A,FALSE,"Minn Wheat Chart";#N/A,#N/A,FALSE,"Minn Midds Chart";#N/A,#N/A,FALSE,"Minn Basis Chart ";#N/A,#N/A,FALSE,"Chicago Wheat Chart";#N/A,#N/A,FALSE,"Chicago Midds Chart";#N/A,#N/A,FALSE,"Chicago Basis Chart";#N/A,#N/A,FALSE,"Soy Oil Chart";#N/A,#N/A,FALSE,"Soy Basis Chart";#N/A,#N/A,FALSE,"Corn Chart";#N/A,#N/A,FALSE,"Co-Products Chart";#N/A,#N/A,FALSE,"Alum Chart";#N/A,#N/A,FALSE,"MWP Chart"}</definedName>
    <definedName name="wrn.Processing." localSheetId="4" hidden="1">{"processing",#N/A,FALSE,"Proc9899"}</definedName>
    <definedName name="wrn.Processing." hidden="1">{"processing",#N/A,FALSE,"Proc9899"}</definedName>
    <definedName name="wrn.Pump." localSheetId="4" hidden="1">{#N/A,#N/A,FALSE,"Assump";#N/A,#N/A,FALSE,"Income";#N/A,#N/A,FALSE,"Balance";#N/A,#N/A,FALSE,"DCF Pump";#N/A,#N/A,FALSE,"Trans Assump";#N/A,#N/A,FALSE,"Combined Income";#N/A,#N/A,FALSE,"Combined Balance"}</definedName>
    <definedName name="wrn.Pump." hidden="1">{#N/A,#N/A,FALSE,"Assump";#N/A,#N/A,FALSE,"Income";#N/A,#N/A,FALSE,"Balance";#N/A,#N/A,FALSE,"DCF Pump";#N/A,#N/A,FALSE,"Trans Assump";#N/A,#N/A,FALSE,"Combined Income";#N/A,#N/A,FALSE,"Combined Balance"}</definedName>
    <definedName name="wrn.qtrly._.PL._.summary._.FY01._.to._.FY03." localSheetId="4" hidden="1">{"qtrly summ-FY01",#N/A,FALSE,"P &amp; L";"qtrly summ-FY02",#N/A,FALSE,"P &amp; L";"qtrly summ-FY03",#N/A,FALSE,"P &amp; L"}</definedName>
    <definedName name="wrn.qtrly._.PL._.summary._.FY01._.to._.FY03." hidden="1">{"qtrly summ-FY01",#N/A,FALSE,"P &amp; L";"qtrly summ-FY02",#N/A,FALSE,"P &amp; L";"qtrly summ-FY03",#N/A,FALSE,"P &amp; L"}</definedName>
    <definedName name="wrn.RELEVANTSHEETS." localSheetId="4" hidden="1">{#N/A,#N/A,FALSE,"AD_Purch";#N/A,#N/A,FALSE,"Projections";#N/A,#N/A,FALSE,"DCF";#N/A,#N/A,FALSE,"Mkt Val"}</definedName>
    <definedName name="wrn.RELEVANTSHEETS." hidden="1">{#N/A,#N/A,FALSE,"AD_Purch";#N/A,#N/A,FALSE,"Projections";#N/A,#N/A,FALSE,"DCF";#N/A,#N/A,FALSE,"Mkt Val"}</definedName>
    <definedName name="wrn.report." localSheetId="4" hidden="1">{#N/A,#N/A,FALSE,"Temp Staf_Summary";#N/A,#N/A,FALSE,"ATC Services";#N/A,#N/A,FALSE,"Brannon &amp; Tully";#N/A,#N/A,FALSE,"Debbie";#N/A,#N/A,FALSE,"Alternative";#N/A,#N/A,FALSE,"Mid-States";#N/A,#N/A,FALSE,"United Temp."}</definedName>
    <definedName name="wrn.report." hidden="1">{#N/A,#N/A,FALSE,"Temp Staf_Summary";#N/A,#N/A,FALSE,"ATC Services";#N/A,#N/A,FALSE,"Brannon &amp; Tully";#N/A,#N/A,FALSE,"Debbie";#N/A,#N/A,FALSE,"Alternative";#N/A,#N/A,FALSE,"Mid-States";#N/A,#N/A,FALSE,"United Temp."}</definedName>
    <definedName name="wrn.Revenue98." localSheetId="4" hidden="1">{"revenue98",#N/A,FALSE,"FY98"}</definedName>
    <definedName name="wrn.Revenue98." hidden="1">{"revenue98",#N/A,FALSE,"FY98"}</definedName>
    <definedName name="wrn.Revenue99." localSheetId="4" hidden="1">{"revenue99",#N/A,FALSE,"FY99"}</definedName>
    <definedName name="wrn.Revenue99." hidden="1">{"revenue99",#N/A,FALSE,"FY99"}</definedName>
    <definedName name="wrn.Sales98." localSheetId="4" hidden="1">{"sales98",#N/A,FALSE,"Sales98"}</definedName>
    <definedName name="wrn.Sales98." hidden="1">{"sales98",#N/A,FALSE,"Sales98"}</definedName>
    <definedName name="wrn.Sales99." localSheetId="4" hidden="1">{"sales99",#N/A,FALSE,"Sales99"}</definedName>
    <definedName name="wrn.Sales99." hidden="1">{"sales99",#N/A,FALSE,"Sales99"}</definedName>
    <definedName name="wrn.Sep._.02._.Key._.Stats." localSheetId="4" hidden="1">{"Sep 02 Revenue &amp; Expense",#N/A,FALSE,"September 02";"Sep 02 Recoveries",#N/A,FALSE,"September 02"}</definedName>
    <definedName name="wrn.Sep._.02._.Key._.Stats." hidden="1">{"Sep 02 Revenue &amp; Expense",#N/A,FALSE,"September 02";"Sep 02 Recoveries",#N/A,FALSE,"September 02"}</definedName>
    <definedName name="wrn.Snaphots." localSheetId="4" hidden="1">{#N/A,#N/A,FALSE,"Total with ASC";#N/A,#N/A,FALSE,"Total";#N/A,#N/A,FALSE,"Seminars";#N/A,#N/A,FALSE,"Ford";#N/A,#N/A,FALSE,"GM Perf &amp; Impr";#N/A,#N/A,FALSE,"Service";#N/A,#N/A,FALSE,"Midwest Euro";#N/A,#N/A,FALSE,"Consulting";#N/A,#N/A,FALSE,"WCO";#N/A,#N/A,FALSE,"CSIS";#N/A,#N/A,FALSE,"ADP";#N/A,#N/A,FALSE,"ASC";#N/A,#N/A,FALSE,"MNI";#N/A,#N/A,FALSE,"PFI"}</definedName>
    <definedName name="wrn.Snaphots." hidden="1">{#N/A,#N/A,FALSE,"Total with ASC";#N/A,#N/A,FALSE,"Total";#N/A,#N/A,FALSE,"Seminars";#N/A,#N/A,FALSE,"Ford";#N/A,#N/A,FALSE,"GM Perf &amp; Impr";#N/A,#N/A,FALSE,"Service";#N/A,#N/A,FALSE,"Midwest Euro";#N/A,#N/A,FALSE,"Consulting";#N/A,#N/A,FALSE,"WCO";#N/A,#N/A,FALSE,"CSIS";#N/A,#N/A,FALSE,"ADP";#N/A,#N/A,FALSE,"ASC";#N/A,#N/A,FALSE,"MNI";#N/A,#N/A,FALSE,"PFI"}</definedName>
    <definedName name="wrn.standard." localSheetId="4" hidden="1">{#N/A,#N/A,FALSE,"Title";#N/A,#N/A,FALSE,"EMA";#N/A,#N/A,FALSE,"Components";#N/A,#N/A,FALSE,"Walgreens";#N/A,#N/A,FALSE,"KMart";#N/A,#N/A,FALSE,"CVR Title";#N/A,#N/A,FALSE,"MVIC";#N/A,#N/A,FALSE,"EM Trend";#N/A,#N/A,FALSE,"Econ Aud Charts";#N/A,#N/A,FALSE,"AppxTitle ";#N/A,#N/A,FALSE,"Shaw";#N/A,#N/A,FALSE,"PEERS";#N/A,#N/A,FALSE,"WALGR";#N/A,#N/A,FALSE,"Decomp Chart"}</definedName>
    <definedName name="wrn.standard." hidden="1">{#N/A,#N/A,FALSE,"Title";#N/A,#N/A,FALSE,"EMA";#N/A,#N/A,FALSE,"Components";#N/A,#N/A,FALSE,"Walgreens";#N/A,#N/A,FALSE,"KMart";#N/A,#N/A,FALSE,"CVR Title";#N/A,#N/A,FALSE,"MVIC";#N/A,#N/A,FALSE,"EM Trend";#N/A,#N/A,FALSE,"Econ Aud Charts";#N/A,#N/A,FALSE,"AppxTitle ";#N/A,#N/A,FALSE,"Shaw";#N/A,#N/A,FALSE,"PEERS";#N/A,#N/A,FALSE,"WALGR";#N/A,#N/A,FALSE,"Decomp Chart"}</definedName>
    <definedName name="wrn.Starts98." localSheetId="4" hidden="1">{"Starts99",#N/A,FALSE,"Starts98"}</definedName>
    <definedName name="wrn.Starts98." hidden="1">{"Starts99",#N/A,FALSE,"Starts98"}</definedName>
    <definedName name="wrn.Starts99." localSheetId="4" hidden="1">{"Starts1",#N/A,TRUE,"Starts99";"starts2",#N/A,TRUE,"Starts99";"starts3",#N/A,TRUE,"Starts99"}</definedName>
    <definedName name="wrn.Starts99." hidden="1">{"Starts1",#N/A,TRUE,"Starts99";"starts2",#N/A,TRUE,"Starts99";"starts3",#N/A,TRUE,"Starts99"}</definedName>
    <definedName name="wrn.summary." localSheetId="4" hidden="1">{"summary",#N/A,FALSE,"Revenue Strat Plan"}</definedName>
    <definedName name="wrn.summary." hidden="1">{"summary",#N/A,FALSE,"Revenue Strat Plan"}</definedName>
    <definedName name="wrn.summaryANDbackup." localSheetId="4" hidden="1">{#N/A,#N/A,FALSE,"Prem_Sum";#N/A,#N/A,FALSE,"Prem"}</definedName>
    <definedName name="wrn.summaryANDbackup." hidden="1">{#N/A,#N/A,FALSE,"Prem_Sum";#N/A,#N/A,FALSE,"Prem"}</definedName>
    <definedName name="wrn.TBB3." localSheetId="4" hidden="1">{"TBB3 Assns",#N/A,FALSE,"Valuation";"TBB3 assumptions",#N/A,FALSE,"Assumptions";"TBB3 model",#N/A,FALSE,"INCOME"}</definedName>
    <definedName name="wrn.TBB3." hidden="1">{"TBB3 Assns",#N/A,FALSE,"Valuation";"TBB3 assumptions",#N/A,FALSE,"Assumptions";"TBB3 model",#N/A,FALSE,"INCOME"}</definedName>
    <definedName name="wrn.TBB34" localSheetId="4" hidden="1">{"TBB3 Assns",#N/A,FALSE,"Valuation";"TBB3 assumptions",#N/A,FALSE,"Assumptions";"TBB3 model",#N/A,FALSE,"INCOME"}</definedName>
    <definedName name="wrn.TBB34" hidden="1">{"TBB3 Assns",#N/A,FALSE,"Valuation";"TBB3 assumptions",#N/A,FALSE,"Assumptions";"TBB3 model",#N/A,FALSE,"INCOME"}</definedName>
    <definedName name="wrn.tel2." localSheetId="4" hidden="1">{#N/A,#N/A,FALSE,"FS_Summary";#N/A,#N/A,FALSE,"Tel_Summary";#N/A,#N/A,FALSE,"Tomahawk";#N/A,#N/A,FALSE,"Medical Marketing";#N/A,#N/A,FALSE,"DIMAC";#N/A,#N/A,FALSE,"Epsilon";#N/A,#N/A,FALSE,"Direct";#N/A,#N/A,FALSE,"DIMAC(2)"}</definedName>
    <definedName name="wrn.tel2." hidden="1">{#N/A,#N/A,FALSE,"FS_Summary";#N/A,#N/A,FALSE,"Tel_Summary";#N/A,#N/A,FALSE,"Tomahawk";#N/A,#N/A,FALSE,"Medical Marketing";#N/A,#N/A,FALSE,"DIMAC";#N/A,#N/A,FALSE,"Epsilon";#N/A,#N/A,FALSE,"Direct";#N/A,#N/A,FALSE,"DIMAC(2)"}</definedName>
    <definedName name="wrn.telem." localSheetId="4" hidden="1">{#N/A,#N/A,FALSE,"FS_Summary";#N/A,#N/A,FALSE,"Tomahawk";#N/A,#N/A,FALSE,"Medical Marketing";#N/A,#N/A,FALSE,"Epsilon";#N/A,#N/A,FALSE,"DIMAC";#N/A,#N/A,FALSE,"Direct";#N/A,#N/A,FALSE,"DIMAC(2)"}</definedName>
    <definedName name="wrn.telem." hidden="1">{#N/A,#N/A,FALSE,"FS_Summary";#N/A,#N/A,FALSE,"Tomahawk";#N/A,#N/A,FALSE,"Medical Marketing";#N/A,#N/A,FALSE,"Epsilon";#N/A,#N/A,FALSE,"DIMAC";#N/A,#N/A,FALSE,"Direct";#N/A,#N/A,FALSE,"DIMAC(2)"}</definedName>
    <definedName name="wrn.TOOL." localSheetId="4"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tal." localSheetId="4" hidden="1">{#N/A,#N/A,FALSE,"Trans-Sum";#N/A,#N/A,FALSE,"Accr-Dilu2";#N/A,#N/A,FALSE,"Contribution";#N/A,#N/A,FALSE,"Combined";#N/A,#N/A,FALSE,"ASTF";#N/A,#N/A,FALSE,"BRA";#N/A,#N/A,FALSE,"Bra_C";#N/A,#N/A,FALSE,"AcqMults";#N/A,#N/A,FALSE,"CompMults";#N/A,#N/A,FALSE,"DCF";#N/A,#N/A,FALSE,"WACC";#N/A,#N/A,FALSE,"LBO";#N/A,#N/A,FALSE,"Summary";#N/A,#N/A,FALSE,"StructSum"}</definedName>
    <definedName name="wrn.Total." hidden="1">{#N/A,#N/A,FALSE,"Trans-Sum";#N/A,#N/A,FALSE,"Accr-Dilu2";#N/A,#N/A,FALSE,"Contribution";#N/A,#N/A,FALSE,"Combined";#N/A,#N/A,FALSE,"ASTF";#N/A,#N/A,FALSE,"BRA";#N/A,#N/A,FALSE,"Bra_C";#N/A,#N/A,FALSE,"AcqMults";#N/A,#N/A,FALSE,"CompMults";#N/A,#N/A,FALSE,"DCF";#N/A,#N/A,FALSE,"WACC";#N/A,#N/A,FALSE,"LBO";#N/A,#N/A,FALSE,"Summary";#N/A,#N/A,FALSE,"StructSum"}</definedName>
    <definedName name="wrn.Totpgs." localSheetId="4" hidden="1">{"totrevbx",#N/A,FALSE,"Paris Rev";"totrevbxparis",#N/A,FALSE,"Total Rev";"totprocrevben",#N/A,FALSE,"Tot Proc Rev";"totloss",#N/A,FALSE,"HL";"ISSummary",#N/A,FALSE,"Tot Proc Rev";"TotClientnum",#N/A,FALSE,"HL";"otherinc",#N/A,FALSE,"Other Inc";"totprocsched",#N/A,FALSE,"HL";"inputtotsal",#N/A,FALSE,"HL";"salesinputcap",#N/A,FALSE,"HL";"saleswoyrendtotben",#N/A,FALSE,"HL";"totprocsched",#N/A,FALSE,"HL";"TotClientnum",#N/A,FALSE,"HL";"otherinc",#N/A,FALSE,"HL";"totprocsched",#N/A,FALSE,"HL";"startcap",#N/A,FALSE,"HL";"starttotben",#N/A,FALSE,"HL"}</definedName>
    <definedName name="wrn.Totpgs." hidden="1">{"totrevbx",#N/A,FALSE,"Paris Rev";"totrevbxparis",#N/A,FALSE,"Total Rev";"totprocrevben",#N/A,FALSE,"Tot Proc Rev";"totloss",#N/A,FALSE,"HL";"ISSummary",#N/A,FALSE,"Tot Proc Rev";"TotClientnum",#N/A,FALSE,"HL";"otherinc",#N/A,FALSE,"Other Inc";"totprocsched",#N/A,FALSE,"HL";"inputtotsal",#N/A,FALSE,"HL";"salesinputcap",#N/A,FALSE,"HL";"saleswoyrendtotben",#N/A,FALSE,"HL";"totprocsched",#N/A,FALSE,"HL";"TotClientnum",#N/A,FALSE,"HL";"otherinc",#N/A,FALSE,"HL";"totprocsched",#N/A,FALSE,"HL";"startcap",#N/A,FALSE,"HL";"starttotben",#N/A,FALSE,"HL"}</definedName>
    <definedName name="wrn.Transfert." localSheetId="4" hidden="1">{"transfert",#N/A,FALSE,"Transfert"}</definedName>
    <definedName name="wrn.Transfert." hidden="1">{"transfert",#N/A,FALSE,"Transfert"}</definedName>
    <definedName name="wrn.TransPrcd_123." localSheetId="4" hidden="1">{#N/A,#N/A,TRUE,"TransPrcd 1";#N/A,#N/A,TRUE,"TransPrcd 2";#N/A,#N/A,TRUE,"TransPrcd 3"}</definedName>
    <definedName name="wrn.TransPrcd_123." hidden="1">{#N/A,#N/A,TRUE,"TransPrcd 1";#N/A,#N/A,TRUE,"TransPrcd 2";#N/A,#N/A,TRUE,"TransPrcd 3"}</definedName>
    <definedName name="wrn.Utrecht." localSheetId="4" hidden="1">{"UtrTotRev",#N/A,FALSE,"Utrecht";"UtrTotProc",#N/A,FALSE,"Utrecht";"UtrProcPRHR",#N/A,FALSE,"Utrecht";"UtrProcTAMS",#N/A,FALSE,"Utrecht";"UtrProcNewTot",#N/A,FALSE,"Utrecht";"UtrSalesStarts",#N/A,FALSE,"Utrecht";"UtrLoss",#N/A,FALSE,"Utrecht";"UtrSUYrEnd",#N/A,FALSE,"Utrecht";"Utrclients",#N/A,FALSE,"Utrecht";"Utrinput",#N/A,FALSE,"Utrecht"}</definedName>
    <definedName name="wrn.Utrecht." hidden="1">{"UtrTotRev",#N/A,FALSE,"Utrecht";"UtrTotProc",#N/A,FALSE,"Utrecht";"UtrProcPRHR",#N/A,FALSE,"Utrecht";"UtrProcTAMS",#N/A,FALSE,"Utrecht";"UtrProcNewTot",#N/A,FALSE,"Utrecht";"UtrSalesStarts",#N/A,FALSE,"Utrecht";"UtrLoss",#N/A,FALSE,"Utrecht";"UtrSUYrEnd",#N/A,FALSE,"Utrecht";"Utrclients",#N/A,FALSE,"Utrecht";"Utrinput",#N/A,FALSE,"Utrecht"}</definedName>
    <definedName name="wrn.VALUATION." localSheetId="4" hidden="1">{#N/A,#N/A,FALSE,"Pooling";#N/A,#N/A,FALSE,"income";#N/A,#N/A,FALSE,"valuation"}</definedName>
    <definedName name="wrn.VALUATION." hidden="1">{#N/A,#N/A,FALSE,"Pooling";#N/A,#N/A,FALSE,"income";#N/A,#N/A,FALSE,"valuation"}</definedName>
    <definedName name="wrn.VARIANCE." localSheetId="4" hidden="1">{"INT VARIANCE",#N/A,FALSE,"intce";"INTCA VARIANCE",#N/A,FALSE,"intce";"INTCE VARIANCE",#N/A,FALSE,"intce";"INTOFF VARIANCE",#N/A,FALSE,"intce";"INTSRA VARIANCE",#N/A,FALSE,"intce"}</definedName>
    <definedName name="wrn.VARIANCE." hidden="1">{"INT VARIANCE",#N/A,FALSE,"intce";"INTCA VARIANCE",#N/A,FALSE,"intce";"INTCE VARIANCE",#N/A,FALSE,"intce";"INTOFF VARIANCE",#N/A,FALSE,"intce";"INTSRA VARIANCE",#N/A,FALSE,"intce"}</definedName>
    <definedName name="wrn.WATERTOWN._.BUDGET." localSheetId="4" hidden="1">{#N/A,#N/A,TRUE,"Inc. St.";#N/A,#N/A,TRUE,"SalesLabor";#N/A,#N/A,TRUE,"Labor";#N/A,#N/A,TRUE,"TEMP.";#N/A,#N/A,TRUE,"Manuf.";#N/A,#N/A,TRUE,"Repairs";#N/A,#N/A,TRUE,"G&amp;A";#N/A,#N/A,TRUE,"Inv.";#N/A,#N/A,TRUE,"Cap.X";#N/A,#N/A,TRUE,"Leases"}</definedName>
    <definedName name="wrn.WATERTOWN._.BUDGET." hidden="1">{#N/A,#N/A,TRUE,"Inc. St.";#N/A,#N/A,TRUE,"SalesLabor";#N/A,#N/A,TRUE,"Labor";#N/A,#N/A,TRUE,"TEMP.";#N/A,#N/A,TRUE,"Manuf.";#N/A,#N/A,TRUE,"Repairs";#N/A,#N/A,TRUE,"G&amp;A";#N/A,#N/A,TRUE,"Inv.";#N/A,#N/A,TRUE,"Cap.X";#N/A,#N/A,TRUE,"Leases"}</definedName>
    <definedName name="wrn.Western._.Metal." localSheetId="4" hidden="1">{#N/A,#N/A,FALSE,"Western";#N/A,#N/A,FALSE,"Inc. St.";#N/A,#N/A,FALSE,"Hist.";#N/A,#N/A,FALSE,"SalesLabor";#N/A,#N/A,FALSE,"Labor";#N/A,#N/A,FALSE,"Manuf.";#N/A,#N/A,FALSE,"Repairs";#N/A,#N/A,FALSE,"G&amp;A";#N/A,#N/A,FALSE,"Inv.";#N/A,#N/A,FALSE,"Cap. X"}</definedName>
    <definedName name="wrn.Western._.Metal." hidden="1">{#N/A,#N/A,FALSE,"Western";#N/A,#N/A,FALSE,"Inc. St.";#N/A,#N/A,FALSE,"Hist.";#N/A,#N/A,FALSE,"SalesLabor";#N/A,#N/A,FALSE,"Labor";#N/A,#N/A,FALSE,"Manuf.";#N/A,#N/A,FALSE,"Repairs";#N/A,#N/A,FALSE,"G&amp;A";#N/A,#N/A,FALSE,"Inv.";#N/A,#N/A,FALSE,"Cap. X"}</definedName>
    <definedName name="wrn.wicor." localSheetId="4" hidden="1">{#N/A,#N/A,FALSE,"FACTSHEETS";#N/A,#N/A,FALSE,"pump";#N/A,#N/A,FALSE,"filter"}</definedName>
    <definedName name="wrn.wicor." hidden="1">{#N/A,#N/A,FALSE,"FACTSHEETS";#N/A,#N/A,FALSE,"pump";#N/A,#N/A,FALSE,"filter"}</definedName>
    <definedName name="wrn.YTD._.Key._.Stats." localSheetId="4" hidden="1">{"YTD Revenue &amp; Expense",#N/A,FALSE,"YTD";"YTD Recoveries",#N/A,FALSE,"YTD"}</definedName>
    <definedName name="wrn.YTD._.Key._.Stats." hidden="1">{"YTD Revenue &amp; Expense",#N/A,FALSE,"YTD";"YTD Recoveries",#N/A,FALSE,"YTD"}</definedName>
    <definedName name="WTR">#REF!</definedName>
    <definedName name="WTRDV">#REF!</definedName>
    <definedName name="WTRSUMM">#REF!</definedName>
    <definedName name="WW" hidden="1">#REF!</definedName>
    <definedName name="x" hidden="1">#REF!</definedName>
    <definedName name="x_ESP">0.03942</definedName>
    <definedName name="x_ITL">0.00339</definedName>
    <definedName name="xc" localSheetId="4" hidden="1">{"'Ft Payne all'!$A$1:$BQ$375"}</definedName>
    <definedName name="xc" hidden="1">{"'Ft Payne all'!$A$1:$BQ$375"}</definedName>
    <definedName name="xcxzc" localSheetId="4" hidden="1">{#N/A,#N/A,FALSE,"AD_Purchase";#N/A,#N/A,FALSE,"Credit";#N/A,#N/A,FALSE,"PF Acquisition";#N/A,#N/A,FALSE,"PF Offering"}</definedName>
    <definedName name="xcxzc" hidden="1">{#N/A,#N/A,FALSE,"AD_Purchase";#N/A,#N/A,FALSE,"Credit";#N/A,#N/A,FALSE,"PF Acquisition";#N/A,#N/A,FALSE,"PF Offering"}</definedName>
    <definedName name="XREF_COLUMN_2" hidden="1">#REF!</definedName>
    <definedName name="XRefActiveRow" hidden="1">#REF!</definedName>
    <definedName name="XRefColumnsCount" hidden="1">2</definedName>
    <definedName name="XRefCopy2" hidden="1">#REF!</definedName>
    <definedName name="XRefCopy2Row" hidden="1">#REF!</definedName>
    <definedName name="XRefCopyRangeCount" hidden="1">2</definedName>
    <definedName name="XRefPasteRangeCount" hidden="1">2</definedName>
    <definedName name="xxx" localSheetId="4" hidden="1">{"totrevbx",#N/A,FALSE,"Paris Rev";"totrevbxparis",#N/A,FALSE,"Total Rev";"totprocrevben",#N/A,FALSE,"Tot Proc Rev";"totloss",#N/A,FALSE,"HL";"ISSummary",#N/A,FALSE,"Tot Proc Rev";"TotClientnum",#N/A,FALSE,"HL";"otherinc",#N/A,FALSE,"Other Inc";"totprocsched",#N/A,FALSE,"HL";"inputtotsal",#N/A,FALSE,"HL";"salesinputcap",#N/A,FALSE,"HL";"saleswoyrendtotben",#N/A,FALSE,"HL";"totprocsched",#N/A,FALSE,"HL";"TotClientnum",#N/A,FALSE,"HL";"otherinc",#N/A,FALSE,"HL";"totprocsched",#N/A,FALSE,"HL";"startcap",#N/A,FALSE,"HL";"starttotben",#N/A,FALSE,"HL"}</definedName>
    <definedName name="xxx" hidden="1">{"totrevbx",#N/A,FALSE,"Paris Rev";"totrevbxparis",#N/A,FALSE,"Total Rev";"totprocrevben",#N/A,FALSE,"Tot Proc Rev";"totloss",#N/A,FALSE,"HL";"ISSummary",#N/A,FALSE,"Tot Proc Rev";"TotClientnum",#N/A,FALSE,"HL";"otherinc",#N/A,FALSE,"Other Inc";"totprocsched",#N/A,FALSE,"HL";"inputtotsal",#N/A,FALSE,"HL";"salesinputcap",#N/A,FALSE,"HL";"saleswoyrendtotben",#N/A,FALSE,"HL";"totprocsched",#N/A,FALSE,"HL";"TotClientnum",#N/A,FALSE,"HL";"otherinc",#N/A,FALSE,"HL";"totprocsched",#N/A,FALSE,"HL";"startcap",#N/A,FALSE,"HL";"starttotben",#N/A,FALSE,"HL"}</definedName>
    <definedName name="xxxx" hidden="1">#REF!</definedName>
    <definedName name="y" localSheetId="4" hidden="1">{"'Hardware Req.'!$A$1:$C$23"}</definedName>
    <definedName name="y" hidden="1">{"'Hardware Req.'!$A$1:$C$23"}</definedName>
    <definedName name="yhn" localSheetId="4" hidden="1">{#N/A,#N/A,FALSE,"TS";#N/A,#N/A,FALSE,"Combo";#N/A,#N/A,FALSE,"FAIR";#N/A,#N/A,FALSE,"RBC";#N/A,#N/A,FALSE,"xxxx";#N/A,#N/A,FALSE,"A_D";#N/A,#N/A,FALSE,"WACC";#N/A,#N/A,FALSE,"DCF";#N/A,#N/A,FALSE,"LBO";#N/A,#N/A,FALSE,"AcqMults";#N/A,#N/A,FALSE,"CompMults"}</definedName>
    <definedName name="yhn" hidden="1">{#N/A,#N/A,FALSE,"TS";#N/A,#N/A,FALSE,"Combo";#N/A,#N/A,FALSE,"FAIR";#N/A,#N/A,FALSE,"RBC";#N/A,#N/A,FALSE,"xxxx";#N/A,#N/A,FALSE,"A_D";#N/A,#N/A,FALSE,"WACC";#N/A,#N/A,FALSE,"DCF";#N/A,#N/A,FALSE,"LBO";#N/A,#N/A,FALSE,"AcqMults";#N/A,#N/A,FALSE,"CompMults"}</definedName>
    <definedName name="YRLY">#REF!</definedName>
    <definedName name="ytd">#REF!</definedName>
    <definedName name="YTD_F_A__do_not_delete_">#REF!</definedName>
    <definedName name="YTD_F_A_4019_4038__do_not_delete_">#REF!</definedName>
    <definedName name="YTD_Fcst">#REF!</definedName>
    <definedName name="YTD2">#REF!</definedName>
    <definedName name="YTD380">#REF!</definedName>
    <definedName name="YTD385">#REF!</definedName>
    <definedName name="YTDDIR">#REF!</definedName>
    <definedName name="YTDDIRPT">#REF!</definedName>
    <definedName name="YTDEMP">#REF!</definedName>
    <definedName name="YTDEMPPT">#REF!</definedName>
    <definedName name="YTDINDIR">#REF!</definedName>
    <definedName name="YTDINDIRPT">#REF!</definedName>
    <definedName name="YTDTABLE">#REF!</definedName>
    <definedName name="YTDVAR">#REF!</definedName>
    <definedName name="yu" localSheetId="4" hidden="1">{#N/A,#N/A,FALSE,"Projections";#N/A,#N/A,FALSE,"AccrDil";#N/A,#N/A,FALSE,"PurchPriMult";#N/A,#N/A,FALSE,"Mults7_13";#N/A,#N/A,FALSE,"Mkt Mults";#N/A,#N/A,FALSE,"Acq Mults";#N/A,#N/A,FALSE,"StockPrices";#N/A,#N/A,FALSE,"Prem Paid";#N/A,#N/A,FALSE,"DCF";#N/A,#N/A,FALSE,"AUTO";#N/A,#N/A,FALSE,"Relative Trading";#N/A,#N/A,FALSE,"Mkt Val";#N/A,#N/A,FALSE,"Acq Val"}</definedName>
    <definedName name="yu" hidden="1">{#N/A,#N/A,FALSE,"Projections";#N/A,#N/A,FALSE,"AccrDil";#N/A,#N/A,FALSE,"PurchPriMult";#N/A,#N/A,FALSE,"Mults7_13";#N/A,#N/A,FALSE,"Mkt Mults";#N/A,#N/A,FALSE,"Acq Mults";#N/A,#N/A,FALSE,"StockPrices";#N/A,#N/A,FALSE,"Prem Paid";#N/A,#N/A,FALSE,"DCF";#N/A,#N/A,FALSE,"AUTO";#N/A,#N/A,FALSE,"Relative Trading";#N/A,#N/A,FALSE,"Mkt Val";#N/A,#N/A,FALSE,"Acq Val"}</definedName>
    <definedName name="z" localSheetId="4" hidden="1">{"'Hardware Req.'!$A$1:$C$23"}</definedName>
    <definedName name="z" hidden="1">{"'Hardware Req.'!$A$1:$C$23"}</definedName>
    <definedName name="zcvqa" localSheetId="4" hidden="1">{#N/A,#N/A,FALSE,"AD_Purchase";#N/A,#N/A,FALSE,"Credit";#N/A,#N/A,FALSE,"PF Acquisition";#N/A,#N/A,FALSE,"PF Offering"}</definedName>
    <definedName name="zcvqa" hidden="1">{#N/A,#N/A,FALSE,"AD_Purchase";#N/A,#N/A,FALSE,"Credit";#N/A,#N/A,FALSE,"PF Acquisition";#N/A,#N/A,FALSE,"PF Offering"}</definedName>
    <definedName name="zcvzaa" localSheetId="4" hidden="1">{#N/A,#N/A,FALSE,"Debt Accr";#N/A,#N/A,FALSE,"Stock Accr";#N/A,#N/A,FALSE,"Debt Stock Accr"}</definedName>
    <definedName name="zcvzaa" hidden="1">{#N/A,#N/A,FALSE,"Debt Accr";#N/A,#N/A,FALSE,"Stock Accr";#N/A,#N/A,FALSE,"Debt Stock Accr"}</definedName>
    <definedName name="zcxzxva" localSheetId="4" hidden="1">{#N/A,#N/A,FALSE,"HuscoCombined-Summ";#N/A,#N/A,FALSE,"HuscoCombined-Income";#N/A,#N/A,FALSE,"HuscoCombined-Offering";#N/A,#N/A,FALSE,"Husco-Income";#N/A,#N/A,FALSE,"TargetEngineer";#N/A,#N/A,FALSE,"TargetAcqCalc";#N/A,#N/A,FALSE,"Husco-Acq"}</definedName>
    <definedName name="zcxzxva" hidden="1">{#N/A,#N/A,FALSE,"HuscoCombined-Summ";#N/A,#N/A,FALSE,"HuscoCombined-Income";#N/A,#N/A,FALSE,"HuscoCombined-Offering";#N/A,#N/A,FALSE,"Husco-Income";#N/A,#N/A,FALSE,"TargetEngineer";#N/A,#N/A,FALSE,"TargetAcqCalc";#N/A,#N/A,FALSE,"Husco-Acq"}</definedName>
    <definedName name="zscz" localSheetId="4" hidden="1">{#N/A,#N/A,FALSE,"Pooling";#N/A,#N/A,FALSE,"income";#N/A,#N/A,FALSE,"valuation"}</definedName>
    <definedName name="zscz" hidden="1">{#N/A,#N/A,FALSE,"Pooling";#N/A,#N/A,FALSE,"income";#N/A,#N/A,FALSE,"valuation"}</definedName>
    <definedName name="zx" localSheetId="4" hidden="1">{#N/A,#N/A,FALSE,"AD_Purchase";#N/A,#N/A,FALSE,"Credit";#N/A,#N/A,FALSE,"PF Acquisition";#N/A,#N/A,FALSE,"PF Offering"}</definedName>
    <definedName name="zx" hidden="1">{#N/A,#N/A,FALSE,"AD_Purchase";#N/A,#N/A,FALSE,"Credit";#N/A,#N/A,FALSE,"PF Acquisition";#N/A,#N/A,FALSE,"PF Offering"}</definedName>
    <definedName name="zxcc" localSheetId="4" hidden="1">{#N/A,#N/A,FALSE,"Projections";#N/A,#N/A,FALSE,"Contribution_Stock";#N/A,#N/A,FALSE,"PF_Combo_Stock";#N/A,#N/A,FALSE,"Projections";#N/A,#N/A,FALSE,"Contribution_Cash";#N/A,#N/A,FALSE,"PF_Combo_Cash";#N/A,#N/A,FALSE,"IPO_Cash"}</definedName>
    <definedName name="zxcc" hidden="1">{#N/A,#N/A,FALSE,"Projections";#N/A,#N/A,FALSE,"Contribution_Stock";#N/A,#N/A,FALSE,"PF_Combo_Stock";#N/A,#N/A,FALSE,"Projections";#N/A,#N/A,FALSE,"Contribution_Cash";#N/A,#N/A,FALSE,"PF_Combo_Cash";#N/A,#N/A,FALSE,"IPO_Cash"}</definedName>
    <definedName name="zz" localSheetId="4" hidden="1">{"TBB3 Assns",#N/A,FALSE,"Valuation";"TBB3 assumptions",#N/A,FALSE,"Assumptions";"TBB3 model",#N/A,FALSE,"INCOME"}</definedName>
    <definedName name="zz" hidden="1">{"TBB3 Assns",#N/A,FALSE,"Valuation";"TBB3 assumptions",#N/A,FALSE,"Assumptions";"TBB3 model",#N/A,FALSE,"INCOME"}</definedName>
    <definedName name="zzz" hidden="1">#REF!</definedName>
  </definedNames>
  <calcPr calcId="191028"/>
  <pivotCaches>
    <pivotCache cacheId="4" r:id="rId17"/>
    <pivotCache cacheId="5" r:id="rId18"/>
    <pivotCache cacheId="6" r:id="rId19"/>
    <pivotCache cacheId="7" r:id="rId2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5" l="1"/>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2" i="5"/>
  <c r="H7" i="16"/>
  <c r="H77" i="16"/>
  <c r="H76" i="16"/>
  <c r="I77" i="16"/>
  <c r="I76" i="16"/>
  <c r="I75" i="16"/>
  <c r="I74" i="16"/>
  <c r="I73" i="16"/>
  <c r="I72" i="16"/>
  <c r="I71" i="16"/>
  <c r="I70" i="16"/>
  <c r="I69" i="16"/>
  <c r="I68" i="16"/>
  <c r="I67" i="16"/>
  <c r="I66" i="16"/>
  <c r="I65" i="16"/>
  <c r="I64" i="16"/>
  <c r="I63" i="16"/>
  <c r="I62" i="16"/>
  <c r="I61" i="16"/>
  <c r="I60" i="16"/>
  <c r="I59" i="16"/>
  <c r="I6" i="16"/>
  <c r="I8" i="16"/>
  <c r="I9" i="16"/>
  <c r="I10" i="16"/>
  <c r="I11" i="16"/>
  <c r="I12" i="16"/>
  <c r="I13" i="16"/>
  <c r="I14" i="16"/>
  <c r="I15" i="16"/>
  <c r="I16" i="16"/>
  <c r="I17" i="16"/>
  <c r="I18" i="16"/>
  <c r="I19" i="16"/>
  <c r="I20" i="16"/>
  <c r="I21" i="16"/>
  <c r="I22" i="16"/>
  <c r="I23" i="16"/>
  <c r="I24" i="16"/>
  <c r="I25" i="16"/>
  <c r="I26" i="16"/>
  <c r="I27" i="16"/>
  <c r="I28" i="16"/>
  <c r="I3" i="16"/>
  <c r="I29" i="16"/>
  <c r="I30" i="16"/>
  <c r="I4" i="16"/>
  <c r="I31" i="16"/>
  <c r="I32" i="16"/>
  <c r="I33" i="16"/>
  <c r="I34" i="16"/>
  <c r="I35" i="16"/>
  <c r="I36" i="16"/>
  <c r="I37" i="16"/>
  <c r="I38" i="16"/>
  <c r="I39" i="16"/>
  <c r="I40" i="16"/>
  <c r="I5" i="16"/>
  <c r="I41" i="16"/>
  <c r="I42" i="16"/>
  <c r="I43" i="16"/>
  <c r="I44" i="16"/>
  <c r="I45" i="16"/>
  <c r="I46" i="16"/>
  <c r="I47" i="16"/>
  <c r="I48" i="16"/>
  <c r="I49" i="16"/>
  <c r="I50" i="16"/>
  <c r="I51" i="16"/>
  <c r="I52" i="16"/>
  <c r="I53" i="16"/>
  <c r="I54" i="16"/>
  <c r="I55" i="16"/>
  <c r="I56" i="16"/>
  <c r="I57" i="16"/>
  <c r="I58" i="16"/>
  <c r="I7" i="16"/>
  <c r="H75" i="16" l="1"/>
  <c r="H74" i="16"/>
  <c r="H73" i="16"/>
  <c r="H72" i="16"/>
  <c r="H71" i="16"/>
  <c r="H70" i="16"/>
  <c r="H69" i="16"/>
  <c r="H68" i="16"/>
  <c r="H67" i="16"/>
  <c r="H66" i="16"/>
  <c r="H65" i="16"/>
  <c r="H64" i="16"/>
  <c r="H63" i="16"/>
  <c r="H62" i="16"/>
  <c r="H61" i="16"/>
  <c r="H60" i="16"/>
  <c r="H59" i="16"/>
  <c r="H6" i="16"/>
  <c r="H58" i="16"/>
  <c r="H57" i="16"/>
  <c r="H56" i="16"/>
  <c r="H55" i="16"/>
  <c r="H54" i="16"/>
  <c r="H53" i="16"/>
  <c r="H52" i="16"/>
  <c r="H51" i="16"/>
  <c r="H50" i="16"/>
  <c r="H49" i="16"/>
  <c r="H48" i="16"/>
  <c r="H47" i="16"/>
  <c r="H46" i="16"/>
  <c r="H45" i="16"/>
  <c r="H44" i="16"/>
  <c r="H43" i="16"/>
  <c r="H42" i="16"/>
  <c r="H41" i="16"/>
  <c r="H28" i="16"/>
  <c r="H27" i="16"/>
  <c r="H26" i="16"/>
  <c r="H25" i="16"/>
  <c r="H24" i="16"/>
  <c r="H23" i="16"/>
  <c r="H22" i="16"/>
  <c r="H21" i="16"/>
  <c r="H20" i="16"/>
  <c r="H19" i="16"/>
  <c r="H18" i="16"/>
  <c r="H17" i="16"/>
  <c r="H16" i="16"/>
  <c r="H15" i="16"/>
  <c r="H14" i="16"/>
  <c r="H13" i="16"/>
  <c r="H12" i="16"/>
  <c r="H11" i="16"/>
  <c r="H10" i="16"/>
  <c r="H9" i="16"/>
  <c r="H8" i="16"/>
  <c r="N7" i="3"/>
  <c r="M7" i="3"/>
  <c r="M70" i="5" l="1"/>
  <c r="M71" i="5"/>
  <c r="M72" i="5"/>
  <c r="M73" i="5"/>
  <c r="M74"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9" i="5"/>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2" i="1"/>
  <c r="H3" i="12" l="1" a="1"/>
  <c r="H3" i="12" s="1"/>
  <c r="I3" i="12" a="1"/>
  <c r="I3" i="12" s="1"/>
  <c r="J3" i="12" a="1"/>
  <c r="J3" i="12" s="1"/>
  <c r="H4" i="12" a="1"/>
  <c r="H4" i="12"/>
  <c r="I4" i="12" a="1"/>
  <c r="I4" i="12" s="1"/>
  <c r="J4" i="12" a="1"/>
  <c r="J4" i="12"/>
  <c r="H5" i="12" a="1"/>
  <c r="H5" i="12" s="1"/>
  <c r="I5" i="12" a="1"/>
  <c r="I5" i="12" s="1"/>
  <c r="J5" i="12" a="1"/>
  <c r="J5" i="12" s="1"/>
  <c r="H6" i="12" a="1"/>
  <c r="H6" i="12" s="1"/>
  <c r="I6" i="12" a="1"/>
  <c r="I6" i="12"/>
  <c r="J6" i="12" a="1"/>
  <c r="J6" i="12" s="1"/>
  <c r="H7" i="12" a="1"/>
  <c r="H7" i="12" s="1"/>
  <c r="I7" i="12" a="1"/>
  <c r="I7" i="12" s="1"/>
  <c r="J7" i="12" a="1"/>
  <c r="J7" i="12" s="1"/>
  <c r="H8" i="12" a="1"/>
  <c r="H8" i="12" s="1"/>
  <c r="I8" i="12" a="1"/>
  <c r="I8" i="12" s="1"/>
  <c r="J8" i="12" a="1"/>
  <c r="J8" i="12"/>
  <c r="H9" i="12" a="1"/>
  <c r="H9" i="12" s="1"/>
  <c r="I9" i="12" a="1"/>
  <c r="I9" i="12" s="1"/>
  <c r="J9" i="12" a="1"/>
  <c r="J9" i="12"/>
  <c r="H10" i="12" a="1"/>
  <c r="H10" i="12" s="1"/>
  <c r="I10" i="12" a="1"/>
  <c r="I10" i="12" s="1"/>
  <c r="J10" i="12" a="1"/>
  <c r="J10" i="12" s="1"/>
  <c r="H11" i="12" a="1"/>
  <c r="H11" i="12" s="1"/>
  <c r="I11" i="12" a="1"/>
  <c r="I11" i="12" s="1"/>
  <c r="J11" i="12" a="1"/>
  <c r="J11" i="12" s="1"/>
  <c r="H12" i="12" a="1"/>
  <c r="H12" i="12"/>
  <c r="I12" i="12" a="1"/>
  <c r="I12" i="12" s="1"/>
  <c r="J12" i="12" a="1"/>
  <c r="J12" i="12" s="1"/>
  <c r="H13" i="12" a="1"/>
  <c r="H13" i="12" s="1"/>
  <c r="I13" i="12" a="1"/>
  <c r="I13" i="12" s="1"/>
  <c r="J13" i="12" a="1"/>
  <c r="J13" i="12"/>
  <c r="H14" i="12" a="1"/>
  <c r="H14" i="12" s="1"/>
  <c r="I14" i="12" a="1"/>
  <c r="I14" i="12"/>
  <c r="J14" i="12" a="1"/>
  <c r="J14" i="12" s="1"/>
  <c r="H15" i="12" a="1"/>
  <c r="H15" i="12" s="1"/>
  <c r="I15" i="12" a="1"/>
  <c r="I15" i="12" s="1"/>
  <c r="J15" i="12" a="1"/>
  <c r="J15" i="12" s="1"/>
  <c r="H16" i="12" a="1"/>
  <c r="H16" i="12"/>
  <c r="I16" i="12" a="1"/>
  <c r="I16" i="12" s="1"/>
  <c r="J16" i="12" a="1"/>
  <c r="J16" i="12"/>
  <c r="H17" i="12" a="1"/>
  <c r="H17" i="12" s="1"/>
  <c r="I17" i="12" a="1"/>
  <c r="I17" i="12" s="1"/>
  <c r="J17" i="12" a="1"/>
  <c r="J17" i="12" s="1"/>
  <c r="H18" i="12" a="1"/>
  <c r="H18" i="12" s="1"/>
  <c r="I18" i="12" a="1"/>
  <c r="I18" i="12"/>
  <c r="J18" i="12" a="1"/>
  <c r="J18" i="12" s="1"/>
  <c r="H19" i="12" a="1"/>
  <c r="H19" i="12" s="1"/>
  <c r="I19" i="12" a="1"/>
  <c r="I19" i="12" s="1"/>
  <c r="J19" i="12" a="1"/>
  <c r="J19" i="12" s="1"/>
  <c r="H20" i="12" a="1"/>
  <c r="H20" i="12" s="1"/>
  <c r="I20" i="12" a="1"/>
  <c r="I20" i="12" s="1"/>
  <c r="J20" i="12" a="1"/>
  <c r="J20" i="12"/>
  <c r="H21" i="12" a="1"/>
  <c r="H21" i="12" s="1"/>
  <c r="I21" i="12" a="1"/>
  <c r="I21" i="12" s="1"/>
  <c r="J21" i="12" a="1"/>
  <c r="J21" i="12" s="1"/>
  <c r="H22" i="12" a="1"/>
  <c r="H22" i="12" s="1"/>
  <c r="I22" i="12" a="1"/>
  <c r="I22" i="12" s="1"/>
  <c r="J22" i="12" a="1"/>
  <c r="J22" i="12" s="1"/>
  <c r="H23" i="12" a="1"/>
  <c r="H23" i="12" s="1"/>
  <c r="I23" i="12" a="1"/>
  <c r="I23" i="12" s="1"/>
  <c r="J23" i="12" a="1"/>
  <c r="J23" i="12" s="1"/>
  <c r="H24" i="12" a="1"/>
  <c r="H24" i="12" s="1"/>
  <c r="I24" i="12" a="1"/>
  <c r="I24" i="12" s="1"/>
  <c r="J24" i="12" a="1"/>
  <c r="J24" i="12" s="1"/>
  <c r="H25" i="12" a="1"/>
  <c r="H25" i="12" s="1"/>
  <c r="I25" i="12" a="1"/>
  <c r="I25" i="12" s="1"/>
  <c r="J25" i="12" a="1"/>
  <c r="J25" i="12"/>
  <c r="H26" i="12" a="1"/>
  <c r="H26" i="12" s="1"/>
  <c r="I26" i="12" a="1"/>
  <c r="I26" i="12" s="1"/>
  <c r="J26" i="12" a="1"/>
  <c r="J26" i="12" s="1"/>
  <c r="H27" i="12" a="1"/>
  <c r="H27" i="12" s="1"/>
  <c r="I27" i="12" a="1"/>
  <c r="I27" i="12" s="1"/>
  <c r="J27" i="12" a="1"/>
  <c r="J27" i="12" s="1"/>
  <c r="H28" i="12" a="1"/>
  <c r="H28" i="12"/>
  <c r="I28" i="12" a="1"/>
  <c r="I28" i="12" s="1"/>
  <c r="J28" i="12" a="1"/>
  <c r="J28" i="12" s="1"/>
  <c r="H29" i="12" a="1"/>
  <c r="H29" i="12" s="1"/>
  <c r="I29" i="12" a="1"/>
  <c r="I29" i="12" s="1"/>
  <c r="J29" i="12" a="1"/>
  <c r="J29" i="12" s="1"/>
  <c r="H30" i="12" a="1"/>
  <c r="H30" i="12" s="1"/>
  <c r="I30" i="12" a="1"/>
  <c r="I30" i="12"/>
  <c r="J30" i="12" a="1"/>
  <c r="J30" i="12" s="1"/>
  <c r="H31" i="12" a="1"/>
  <c r="H31" i="12" s="1"/>
  <c r="I31" i="12" a="1"/>
  <c r="I31" i="12" s="1"/>
  <c r="J31" i="12" a="1"/>
  <c r="J31" i="12" s="1"/>
  <c r="H32" i="12" a="1"/>
  <c r="H32" i="12" s="1"/>
  <c r="I32" i="12" a="1"/>
  <c r="I32" i="12" s="1"/>
  <c r="J32" i="12" a="1"/>
  <c r="J32" i="12"/>
  <c r="H33" i="12" a="1"/>
  <c r="H33" i="12" s="1"/>
  <c r="I33" i="12" a="1"/>
  <c r="I33" i="12" s="1"/>
  <c r="J33" i="12" a="1"/>
  <c r="J33" i="12" s="1"/>
  <c r="H34" i="12" a="1"/>
  <c r="H34" i="12" s="1"/>
  <c r="I34" i="12" a="1"/>
  <c r="I34" i="12" s="1"/>
  <c r="J34" i="12" a="1"/>
  <c r="J34" i="12" s="1"/>
  <c r="H35" i="12" a="1"/>
  <c r="H35" i="12" s="1"/>
  <c r="I35" i="12" a="1"/>
  <c r="I35" i="12" s="1"/>
  <c r="J35" i="12" a="1"/>
  <c r="J35" i="12" s="1"/>
  <c r="H36" i="12" a="1"/>
  <c r="H36" i="12" s="1"/>
  <c r="I36" i="12" a="1"/>
  <c r="I36" i="12" s="1"/>
  <c r="J36" i="12" a="1"/>
  <c r="J36" i="12" s="1"/>
  <c r="H37" i="12" a="1"/>
  <c r="H37" i="12" s="1"/>
  <c r="I37" i="12" a="1"/>
  <c r="I37" i="12" s="1"/>
  <c r="J37" i="12" a="1"/>
  <c r="J37" i="12"/>
  <c r="H38" i="12" a="1"/>
  <c r="H38" i="12" s="1"/>
  <c r="I38" i="12" a="1"/>
  <c r="I38" i="12" s="1"/>
  <c r="J38" i="12" a="1"/>
  <c r="J38" i="12" s="1"/>
  <c r="H39" i="12" a="1"/>
  <c r="H39" i="12" s="1"/>
  <c r="I39" i="12" a="1"/>
  <c r="I39" i="12" s="1"/>
  <c r="J39" i="12" a="1"/>
  <c r="J39" i="12" s="1"/>
  <c r="H40" i="12" a="1"/>
  <c r="H40" i="12"/>
  <c r="I40" i="12" a="1"/>
  <c r="I40" i="12" s="1"/>
  <c r="J40" i="12" a="1"/>
  <c r="J40" i="12" s="1"/>
  <c r="H41" i="12" a="1"/>
  <c r="H41" i="12" s="1"/>
  <c r="I41" i="12" a="1"/>
  <c r="I41" i="12" s="1"/>
  <c r="J41" i="12" a="1"/>
  <c r="J41" i="12" s="1"/>
  <c r="H42" i="12" a="1"/>
  <c r="H42" i="12" s="1"/>
  <c r="I42" i="12" a="1"/>
  <c r="I42" i="12"/>
  <c r="J42" i="12" a="1"/>
  <c r="J42" i="12" s="1"/>
  <c r="H43" i="12" a="1"/>
  <c r="H43" i="12" s="1"/>
  <c r="I43" i="12" a="1"/>
  <c r="I43" i="12" s="1"/>
  <c r="J43" i="12" a="1"/>
  <c r="J43" i="12" s="1"/>
  <c r="H44" i="12" a="1"/>
  <c r="H44" i="12" s="1"/>
  <c r="I44" i="12" a="1"/>
  <c r="I44" i="12" s="1"/>
  <c r="J44" i="12" a="1"/>
  <c r="J44" i="12"/>
  <c r="H45" i="12" a="1"/>
  <c r="H45" i="12" s="1"/>
  <c r="I45" i="12" a="1"/>
  <c r="I45" i="12" s="1"/>
  <c r="J45" i="12" a="1"/>
  <c r="J45" i="12" s="1"/>
  <c r="H46" i="12" a="1"/>
  <c r="H46" i="12" s="1"/>
  <c r="I46" i="12" a="1"/>
  <c r="I46" i="12" s="1"/>
  <c r="J46" i="12" a="1"/>
  <c r="J46" i="12" s="1"/>
  <c r="H47" i="12" a="1"/>
  <c r="H47" i="12" s="1"/>
  <c r="I47" i="12" a="1"/>
  <c r="I47" i="12" s="1"/>
  <c r="J47" i="12" a="1"/>
  <c r="J47" i="12" s="1"/>
  <c r="H48" i="12" a="1"/>
  <c r="H48" i="12" s="1"/>
  <c r="I48" i="12" a="1"/>
  <c r="I48" i="12" s="1"/>
  <c r="J48" i="12" a="1"/>
  <c r="J48" i="12" s="1"/>
  <c r="H49" i="12" a="1"/>
  <c r="H49" i="12" s="1"/>
  <c r="I49" i="12" a="1"/>
  <c r="I49" i="12" s="1"/>
  <c r="J49" i="12" a="1"/>
  <c r="J49" i="12"/>
  <c r="H50" i="12" a="1"/>
  <c r="H50" i="12" s="1"/>
  <c r="I50" i="12" a="1"/>
  <c r="I50" i="12" s="1"/>
  <c r="J50" i="12" a="1"/>
  <c r="J50" i="12" s="1"/>
  <c r="H51" i="12" a="1"/>
  <c r="H51" i="12" s="1"/>
  <c r="I51" i="12" a="1"/>
  <c r="I51" i="12" s="1"/>
  <c r="J51" i="12" a="1"/>
  <c r="J51" i="12" s="1"/>
  <c r="H52" i="12" a="1"/>
  <c r="H52" i="12"/>
  <c r="I52" i="12" a="1"/>
  <c r="I52" i="12" s="1"/>
  <c r="J52" i="12" a="1"/>
  <c r="J52" i="12" s="1"/>
  <c r="H53" i="12" a="1"/>
  <c r="H53" i="12" s="1"/>
  <c r="I53" i="12" a="1"/>
  <c r="I53" i="12" s="1"/>
  <c r="J53" i="12" a="1"/>
  <c r="J53" i="12" s="1"/>
  <c r="H54" i="12" a="1"/>
  <c r="H54" i="12" s="1"/>
  <c r="I54" i="12" a="1"/>
  <c r="I54" i="12"/>
  <c r="J54" i="12" a="1"/>
  <c r="J54" i="12" s="1"/>
  <c r="H55" i="12" a="1"/>
  <c r="H55" i="12" s="1"/>
  <c r="I55" i="12" a="1"/>
  <c r="I55" i="12" s="1"/>
  <c r="J55" i="12" a="1"/>
  <c r="J55" i="12" s="1"/>
  <c r="H56" i="12" a="1"/>
  <c r="H56" i="12" s="1"/>
  <c r="I56" i="12" a="1"/>
  <c r="I56" i="12" s="1"/>
  <c r="J56" i="12" a="1"/>
  <c r="J56" i="12"/>
  <c r="H57" i="12" a="1"/>
  <c r="H57" i="12" s="1"/>
  <c r="I57" i="12" a="1"/>
  <c r="I57" i="12" s="1"/>
  <c r="J57" i="12" a="1"/>
  <c r="J57" i="12"/>
  <c r="H58" i="12" a="1"/>
  <c r="H58" i="12" s="1"/>
  <c r="I58" i="12" a="1"/>
  <c r="I58" i="12" s="1"/>
  <c r="J58" i="12" a="1"/>
  <c r="J58" i="12" s="1"/>
  <c r="H59" i="12" a="1"/>
  <c r="H59" i="12" s="1"/>
  <c r="I59" i="12" a="1"/>
  <c r="I59" i="12" s="1"/>
  <c r="J59" i="12" a="1"/>
  <c r="J59" i="12" s="1"/>
  <c r="H60" i="12" a="1"/>
  <c r="H60" i="12" s="1"/>
  <c r="I60" i="12" a="1"/>
  <c r="I60" i="12" s="1"/>
  <c r="J60" i="12" a="1"/>
  <c r="J60" i="12" s="1"/>
  <c r="H61" i="12" a="1"/>
  <c r="H61" i="12" s="1"/>
  <c r="I61" i="12" a="1"/>
  <c r="I61" i="12" s="1"/>
  <c r="J61" i="12" a="1"/>
  <c r="J61" i="12"/>
  <c r="H62" i="12" a="1"/>
  <c r="H62" i="12" s="1"/>
  <c r="I62" i="12" a="1"/>
  <c r="I62" i="12" s="1"/>
  <c r="J62" i="12" a="1"/>
  <c r="J62" i="12" s="1"/>
  <c r="H63" i="12" a="1"/>
  <c r="H63" i="12" s="1"/>
  <c r="I63" i="12" a="1"/>
  <c r="I63" i="12" s="1"/>
  <c r="J63" i="12" a="1"/>
  <c r="J63" i="12" s="1"/>
  <c r="H64" i="12" a="1"/>
  <c r="H64" i="12"/>
  <c r="I64" i="12" a="1"/>
  <c r="I64" i="12" s="1"/>
  <c r="J64" i="12" a="1"/>
  <c r="J64" i="12" s="1"/>
  <c r="H65" i="12" a="1"/>
  <c r="H65" i="12" s="1"/>
  <c r="I65" i="12" a="1"/>
  <c r="I65" i="12" s="1"/>
  <c r="J65" i="12" a="1"/>
  <c r="J65" i="12" s="1"/>
  <c r="H66" i="12" a="1"/>
  <c r="H66" i="12" s="1"/>
  <c r="I66" i="12" a="1"/>
  <c r="I66" i="12"/>
  <c r="J66" i="12" a="1"/>
  <c r="J66" i="12" s="1"/>
  <c r="H67" i="12" a="1"/>
  <c r="H67" i="12" s="1"/>
  <c r="I67" i="12" a="1"/>
  <c r="I67" i="12" s="1"/>
  <c r="J67" i="12" a="1"/>
  <c r="J67" i="12" s="1"/>
  <c r="H68" i="12" a="1"/>
  <c r="H68" i="12" s="1"/>
  <c r="I68" i="12" a="1"/>
  <c r="I68" i="12" s="1"/>
  <c r="J68" i="12" a="1"/>
  <c r="J68" i="12" s="1"/>
  <c r="H69" i="12" a="1"/>
  <c r="H69" i="12" s="1"/>
  <c r="I69" i="12" a="1"/>
  <c r="I69" i="12" s="1"/>
  <c r="J69" i="12" a="1"/>
  <c r="J69" i="12"/>
  <c r="H70" i="12" a="1"/>
  <c r="H70" i="12" s="1"/>
  <c r="I70" i="12" a="1"/>
  <c r="I70" i="12" s="1"/>
  <c r="J70" i="12" a="1"/>
  <c r="J70" i="12" s="1"/>
  <c r="H71" i="12" a="1"/>
  <c r="H71" i="12" s="1"/>
  <c r="I71" i="12" a="1"/>
  <c r="I71" i="12" s="1"/>
  <c r="J71" i="12" a="1"/>
  <c r="J71" i="12" s="1"/>
  <c r="H72" i="12" a="1"/>
  <c r="H72" i="12" s="1"/>
  <c r="I72" i="12" a="1"/>
  <c r="I72" i="12" s="1"/>
  <c r="J72" i="12" a="1"/>
  <c r="J72" i="12" s="1"/>
  <c r="H73" i="12" a="1"/>
  <c r="H73" i="12" s="1"/>
  <c r="I73" i="12" a="1"/>
  <c r="I73" i="12" s="1"/>
  <c r="J73" i="12" a="1"/>
  <c r="J73" i="12" s="1"/>
  <c r="H74" i="12" a="1"/>
  <c r="H74" i="12" s="1"/>
  <c r="I74" i="12" a="1"/>
  <c r="I74" i="12" s="1"/>
  <c r="J74" i="12" a="1"/>
  <c r="J74" i="12" s="1"/>
  <c r="H75" i="12" a="1"/>
  <c r="H75" i="12" s="1"/>
  <c r="I75" i="12" a="1"/>
  <c r="I75" i="12" s="1"/>
  <c r="J75" i="12" a="1"/>
  <c r="J75" i="12" s="1"/>
  <c r="H76" i="12" a="1"/>
  <c r="H76" i="12" s="1"/>
  <c r="I76" i="12" a="1"/>
  <c r="I76" i="12" s="1"/>
  <c r="J76" i="12" a="1"/>
  <c r="J76" i="12" s="1"/>
  <c r="H77" i="12" a="1"/>
  <c r="H77" i="12" s="1"/>
  <c r="I77" i="12" a="1"/>
  <c r="I77" i="12" s="1"/>
  <c r="J77" i="12" a="1"/>
  <c r="J77" i="12" s="1"/>
  <c r="H78" i="12" a="1"/>
  <c r="H78" i="12" s="1"/>
  <c r="I78" i="12" a="1"/>
  <c r="I78" i="12" s="1"/>
  <c r="J78" i="12" a="1"/>
  <c r="J78" i="12" s="1"/>
  <c r="H79" i="12" a="1"/>
  <c r="H79" i="12" s="1"/>
  <c r="I79" i="12" a="1"/>
  <c r="I79" i="12" s="1"/>
  <c r="J79" i="12" a="1"/>
  <c r="J79" i="12" s="1"/>
  <c r="H80" i="12" a="1"/>
  <c r="H80" i="12" s="1"/>
  <c r="I80" i="12" a="1"/>
  <c r="I80" i="12" s="1"/>
  <c r="J80" i="12" a="1"/>
  <c r="J80" i="12" s="1"/>
  <c r="H81" i="12" a="1"/>
  <c r="H81" i="12" s="1"/>
  <c r="I81" i="12" a="1"/>
  <c r="I81" i="12" s="1"/>
  <c r="J81" i="12" a="1"/>
  <c r="J81" i="12"/>
  <c r="H82" i="12" a="1"/>
  <c r="H82" i="12" s="1"/>
  <c r="I82" i="12" a="1"/>
  <c r="I82" i="12" s="1"/>
  <c r="J82" i="12" a="1"/>
  <c r="J82" i="12" s="1"/>
  <c r="H83" i="12" a="1"/>
  <c r="H83" i="12" s="1"/>
  <c r="I83" i="12" a="1"/>
  <c r="I83" i="12" s="1"/>
  <c r="J83" i="12" a="1"/>
  <c r="J83" i="12" s="1"/>
  <c r="H84" i="12" a="1"/>
  <c r="H84" i="12" s="1"/>
  <c r="I84" i="12" a="1"/>
  <c r="I84" i="12" s="1"/>
  <c r="J84" i="12" a="1"/>
  <c r="J84" i="12" s="1"/>
  <c r="H85" i="12" a="1"/>
  <c r="H85" i="12" s="1"/>
  <c r="I85" i="12" a="1"/>
  <c r="I85" i="12" s="1"/>
  <c r="J85" i="12" a="1"/>
  <c r="J85" i="12" s="1"/>
  <c r="H86" i="12" a="1"/>
  <c r="H86" i="12" s="1"/>
  <c r="I86" i="12" a="1"/>
  <c r="I86" i="12" s="1"/>
  <c r="J86" i="12" a="1"/>
  <c r="J86" i="12" s="1"/>
  <c r="H87" i="12" a="1"/>
  <c r="H87" i="12" s="1"/>
  <c r="I87" i="12" a="1"/>
  <c r="I87" i="12" s="1"/>
  <c r="J87" i="12" a="1"/>
  <c r="J87" i="12" s="1"/>
  <c r="H88" i="12" a="1"/>
  <c r="H88" i="12" s="1"/>
  <c r="I88" i="12" a="1"/>
  <c r="I88" i="12" s="1"/>
  <c r="J88" i="12" a="1"/>
  <c r="J88" i="12" s="1"/>
  <c r="H89" i="12" a="1"/>
  <c r="H89" i="12" s="1"/>
  <c r="I89" i="12" a="1"/>
  <c r="I89" i="12" s="1"/>
  <c r="J89" i="12" a="1"/>
  <c r="J89" i="12" s="1"/>
  <c r="H90" i="12" a="1"/>
  <c r="H90" i="12" s="1"/>
  <c r="I90" i="12" a="1"/>
  <c r="I90" i="12" s="1"/>
  <c r="J90" i="12" a="1"/>
  <c r="J90" i="12" s="1"/>
  <c r="H91" i="12" a="1"/>
  <c r="H91" i="12" s="1"/>
  <c r="I91" i="12" a="1"/>
  <c r="I91" i="12" s="1"/>
  <c r="J91" i="12" a="1"/>
  <c r="J91" i="12" s="1"/>
  <c r="H92" i="12" a="1"/>
  <c r="H92" i="12" s="1"/>
  <c r="I92" i="12" a="1"/>
  <c r="I92" i="12" s="1"/>
  <c r="J92" i="12" a="1"/>
  <c r="J92" i="12" s="1"/>
  <c r="H93" i="12" a="1"/>
  <c r="H93" i="12" s="1"/>
  <c r="I93" i="12" a="1"/>
  <c r="I93" i="12" s="1"/>
  <c r="J93" i="12" a="1"/>
  <c r="J93" i="12"/>
  <c r="H94" i="12" a="1"/>
  <c r="H94" i="12" s="1"/>
  <c r="I94" i="12" a="1"/>
  <c r="I94" i="12" s="1"/>
  <c r="J94" i="12" a="1"/>
  <c r="J94" i="12" s="1"/>
  <c r="H95" i="12" a="1"/>
  <c r="H95" i="12" s="1"/>
  <c r="I95" i="12" a="1"/>
  <c r="I95" i="12" s="1"/>
  <c r="J95" i="12" a="1"/>
  <c r="J95" i="12" s="1"/>
  <c r="H96" i="12" a="1"/>
  <c r="H96" i="12" s="1"/>
  <c r="I96" i="12" a="1"/>
  <c r="I96" i="12" s="1"/>
  <c r="J96" i="12" a="1"/>
  <c r="J96" i="12" s="1"/>
  <c r="H97" i="12" a="1"/>
  <c r="H97" i="12" s="1"/>
  <c r="I97" i="12" a="1"/>
  <c r="I97" i="12" s="1"/>
  <c r="J97" i="12" a="1"/>
  <c r="J97" i="12" s="1"/>
  <c r="H98" i="12" a="1"/>
  <c r="H98" i="12" s="1"/>
  <c r="I98" i="12" a="1"/>
  <c r="I98" i="12" s="1"/>
  <c r="J98" i="12" a="1"/>
  <c r="J98" i="12" s="1"/>
  <c r="H99" i="12" a="1"/>
  <c r="H99" i="12" s="1"/>
  <c r="I99" i="12" a="1"/>
  <c r="I99" i="12" s="1"/>
  <c r="J99" i="12" a="1"/>
  <c r="J99" i="12" s="1"/>
  <c r="H100" i="12" a="1"/>
  <c r="H100" i="12" s="1"/>
  <c r="I100" i="12" a="1"/>
  <c r="I100" i="12" s="1"/>
  <c r="J100" i="12" a="1"/>
  <c r="J100" i="12" s="1"/>
  <c r="H101" i="12" a="1"/>
  <c r="H101" i="12" s="1"/>
  <c r="I101" i="12" a="1"/>
  <c r="I101" i="12" s="1"/>
  <c r="J101" i="12" a="1"/>
  <c r="J101" i="12" s="1"/>
  <c r="H102" i="12" a="1"/>
  <c r="H102" i="12" s="1"/>
  <c r="I102" i="12" a="1"/>
  <c r="I102" i="12" s="1"/>
  <c r="J102" i="12" a="1"/>
  <c r="J102" i="12" s="1"/>
  <c r="H103" i="12" a="1"/>
  <c r="H103" i="12" s="1"/>
  <c r="I103" i="12" a="1"/>
  <c r="I103" i="12" s="1"/>
  <c r="J103" i="12" a="1"/>
  <c r="J103" i="12" s="1"/>
  <c r="H104" i="12" a="1"/>
  <c r="H104" i="12" s="1"/>
  <c r="I104" i="12" a="1"/>
  <c r="I104" i="12" s="1"/>
  <c r="J104" i="12" a="1"/>
  <c r="J104" i="12" s="1"/>
  <c r="H105" i="12" a="1"/>
  <c r="H105" i="12" s="1"/>
  <c r="I105" i="12" a="1"/>
  <c r="I105" i="12" s="1"/>
  <c r="J105" i="12" a="1"/>
  <c r="J105" i="12"/>
  <c r="H106" i="12" a="1"/>
  <c r="H106" i="12" s="1"/>
  <c r="I106" i="12" a="1"/>
  <c r="I106" i="12" s="1"/>
  <c r="J106" i="12" a="1"/>
  <c r="J106" i="12" s="1"/>
  <c r="H107" i="12" a="1"/>
  <c r="H107" i="12" s="1"/>
  <c r="I107" i="12" a="1"/>
  <c r="I107" i="12" s="1"/>
  <c r="J107" i="12" a="1"/>
  <c r="J107" i="12" s="1"/>
  <c r="H108" i="12" a="1"/>
  <c r="H108" i="12" s="1"/>
  <c r="I108" i="12" a="1"/>
  <c r="I108" i="12" s="1"/>
  <c r="J108" i="12" a="1"/>
  <c r="J108" i="12" s="1"/>
  <c r="H109" i="12" a="1"/>
  <c r="H109" i="12" s="1"/>
  <c r="I109" i="12" a="1"/>
  <c r="I109" i="12" s="1"/>
  <c r="J109" i="12" a="1"/>
  <c r="J109" i="12" s="1"/>
  <c r="H110" i="12" a="1"/>
  <c r="H110" i="12" s="1"/>
  <c r="I110" i="12" a="1"/>
  <c r="I110" i="12" s="1"/>
  <c r="J110" i="12" a="1"/>
  <c r="J110" i="12" s="1"/>
  <c r="H111" i="12" a="1"/>
  <c r="H111" i="12" s="1"/>
  <c r="I111" i="12" a="1"/>
  <c r="I111" i="12" s="1"/>
  <c r="J111" i="12" a="1"/>
  <c r="J111" i="12" s="1"/>
  <c r="H112" i="12" a="1"/>
  <c r="H112" i="12" s="1"/>
  <c r="I112" i="12" a="1"/>
  <c r="I112" i="12" s="1"/>
  <c r="J112" i="12" a="1"/>
  <c r="J112" i="12"/>
  <c r="H113" i="12" a="1"/>
  <c r="H113" i="12" s="1"/>
  <c r="I113" i="12" a="1"/>
  <c r="I113" i="12" s="1"/>
  <c r="J113" i="12" a="1"/>
  <c r="J113" i="12" s="1"/>
  <c r="H114" i="12" a="1"/>
  <c r="H114" i="12" s="1"/>
  <c r="I114" i="12" a="1"/>
  <c r="I114" i="12" s="1"/>
  <c r="J114" i="12" a="1"/>
  <c r="J114" i="12" s="1"/>
  <c r="H115" i="12" a="1"/>
  <c r="H115" i="12" s="1"/>
  <c r="I115" i="12" a="1"/>
  <c r="I115" i="12" s="1"/>
  <c r="J115" i="12" a="1"/>
  <c r="J115" i="12" s="1"/>
  <c r="H116" i="12" a="1"/>
  <c r="H116" i="12" s="1"/>
  <c r="I116" i="12" a="1"/>
  <c r="I116" i="12" s="1"/>
  <c r="J116" i="12" a="1"/>
  <c r="J116" i="12" s="1"/>
  <c r="H117" i="12" a="1"/>
  <c r="H117" i="12" s="1"/>
  <c r="I117" i="12" a="1"/>
  <c r="I117" i="12" s="1"/>
  <c r="J117" i="12" a="1"/>
  <c r="J117" i="12"/>
  <c r="H118" i="12" a="1"/>
  <c r="H118" i="12" s="1"/>
  <c r="I118" i="12" a="1"/>
  <c r="I118" i="12" s="1"/>
  <c r="J118" i="12" a="1"/>
  <c r="J118" i="12" s="1"/>
  <c r="H119" i="12" a="1"/>
  <c r="H119" i="12" s="1"/>
  <c r="I119" i="12" a="1"/>
  <c r="I119" i="12" s="1"/>
  <c r="J119" i="12" a="1"/>
  <c r="J119" i="12" s="1"/>
  <c r="H120" i="12" a="1"/>
  <c r="H120" i="12" s="1"/>
  <c r="I120" i="12" a="1"/>
  <c r="I120" i="12" s="1"/>
  <c r="J120" i="12" a="1"/>
  <c r="J120" i="12" s="1"/>
  <c r="H121" i="12" a="1"/>
  <c r="H121" i="12" s="1"/>
  <c r="I121" i="12" a="1"/>
  <c r="I121" i="12" s="1"/>
  <c r="J121" i="12" a="1"/>
  <c r="J121" i="12" s="1"/>
  <c r="H122" i="12" a="1"/>
  <c r="H122" i="12" s="1"/>
  <c r="I122" i="12" a="1"/>
  <c r="I122" i="12" s="1"/>
  <c r="J122" i="12" a="1"/>
  <c r="J122" i="12" s="1"/>
  <c r="H123" i="12" a="1"/>
  <c r="H123" i="12" s="1"/>
  <c r="I123" i="12" a="1"/>
  <c r="I123" i="12" s="1"/>
  <c r="J123" i="12" a="1"/>
  <c r="J123" i="12" s="1"/>
  <c r="H124" i="12" a="1"/>
  <c r="H124" i="12" s="1"/>
  <c r="I124" i="12" a="1"/>
  <c r="I124" i="12" s="1"/>
  <c r="J124" i="12" a="1"/>
  <c r="J124" i="12"/>
  <c r="H125" i="12" a="1"/>
  <c r="H125" i="12" s="1"/>
  <c r="I125" i="12" a="1"/>
  <c r="I125" i="12" s="1"/>
  <c r="J125" i="12" a="1"/>
  <c r="J125" i="12" s="1"/>
  <c r="H126" i="12" a="1"/>
  <c r="H126" i="12" s="1"/>
  <c r="I126" i="12" a="1"/>
  <c r="I126" i="12" s="1"/>
  <c r="J126" i="12" a="1"/>
  <c r="J126" i="12" s="1"/>
  <c r="H127" i="12" a="1"/>
  <c r="H127" i="12" s="1"/>
  <c r="I127" i="12" a="1"/>
  <c r="I127" i="12" s="1"/>
  <c r="J127" i="12" a="1"/>
  <c r="J127" i="12" s="1"/>
  <c r="H128" i="12" a="1"/>
  <c r="H128" i="12" s="1"/>
  <c r="I128" i="12" a="1"/>
  <c r="I128" i="12" s="1"/>
  <c r="J128" i="12" a="1"/>
  <c r="J128" i="12" s="1"/>
  <c r="H129" i="12" a="1"/>
  <c r="H129" i="12" s="1"/>
  <c r="I129" i="12" a="1"/>
  <c r="I129" i="12" s="1"/>
  <c r="J129" i="12" a="1"/>
  <c r="J129" i="12"/>
  <c r="H130" i="12" a="1"/>
  <c r="H130" i="12" s="1"/>
  <c r="I130" i="12" a="1"/>
  <c r="I130" i="12" s="1"/>
  <c r="J130" i="12" a="1"/>
  <c r="J130" i="12" s="1"/>
  <c r="H131" i="12" a="1"/>
  <c r="H131" i="12" s="1"/>
  <c r="I131" i="12" a="1"/>
  <c r="I131" i="12" s="1"/>
  <c r="J131" i="12" a="1"/>
  <c r="J131" i="12" s="1"/>
  <c r="H132" i="12" a="1"/>
  <c r="H132" i="12" s="1"/>
  <c r="I132" i="12" a="1"/>
  <c r="I132" i="12" s="1"/>
  <c r="J132" i="12" a="1"/>
  <c r="J132" i="12" s="1"/>
  <c r="H133" i="12" a="1"/>
  <c r="H133" i="12" s="1"/>
  <c r="I133" i="12" a="1"/>
  <c r="I133" i="12" s="1"/>
  <c r="J133" i="12" a="1"/>
  <c r="J133" i="12" s="1"/>
  <c r="H134" i="12" a="1"/>
  <c r="H134" i="12" s="1"/>
  <c r="I134" i="12" a="1"/>
  <c r="I134" i="12" s="1"/>
  <c r="J134" i="12" a="1"/>
  <c r="J134" i="12" s="1"/>
  <c r="H135" i="12" a="1"/>
  <c r="H135" i="12" s="1"/>
  <c r="I135" i="12" a="1"/>
  <c r="I135" i="12" s="1"/>
  <c r="J135" i="12" a="1"/>
  <c r="J135" i="12" s="1"/>
  <c r="H136" i="12" a="1"/>
  <c r="H136" i="12" s="1"/>
  <c r="I136" i="12" a="1"/>
  <c r="I136" i="12" s="1"/>
  <c r="J136" i="12" a="1"/>
  <c r="J136" i="12"/>
  <c r="H137" i="12" a="1"/>
  <c r="H137" i="12" s="1"/>
  <c r="I137" i="12" a="1"/>
  <c r="I137" i="12" s="1"/>
  <c r="J137" i="12" a="1"/>
  <c r="J137" i="12" s="1"/>
  <c r="H138" i="12" a="1"/>
  <c r="H138" i="12" s="1"/>
  <c r="I138" i="12" a="1"/>
  <c r="I138" i="12" s="1"/>
  <c r="J138" i="12" a="1"/>
  <c r="J138" i="12" s="1"/>
  <c r="H139" i="12" a="1"/>
  <c r="H139" i="12" s="1"/>
  <c r="I139" i="12" a="1"/>
  <c r="I139" i="12" s="1"/>
  <c r="J139" i="12" a="1"/>
  <c r="J139" i="12" s="1"/>
  <c r="H140" i="12" a="1"/>
  <c r="H140" i="12" s="1"/>
  <c r="I140" i="12" a="1"/>
  <c r="I140" i="12" s="1"/>
  <c r="J140" i="12" a="1"/>
  <c r="J140" i="12" s="1"/>
  <c r="H141" i="12" a="1"/>
  <c r="H141" i="12" s="1"/>
  <c r="I141" i="12" a="1"/>
  <c r="I141" i="12" s="1"/>
  <c r="J141" i="12" a="1"/>
  <c r="J141" i="12"/>
  <c r="H142" i="12" a="1"/>
  <c r="H142" i="12" s="1"/>
  <c r="I142" i="12" a="1"/>
  <c r="I142" i="12" s="1"/>
  <c r="J142" i="12" a="1"/>
  <c r="J142" i="12" s="1"/>
  <c r="H143" i="12" a="1"/>
  <c r="H143" i="12" s="1"/>
  <c r="I143" i="12" a="1"/>
  <c r="I143" i="12" s="1"/>
  <c r="J143" i="12" a="1"/>
  <c r="J143" i="12" s="1"/>
  <c r="H144" i="12" a="1"/>
  <c r="H144" i="12" s="1"/>
  <c r="I144" i="12" a="1"/>
  <c r="I144" i="12" s="1"/>
  <c r="J144" i="12" a="1"/>
  <c r="J144" i="12" s="1"/>
  <c r="H145" i="12" a="1"/>
  <c r="H145" i="12" s="1"/>
  <c r="I145" i="12" a="1"/>
  <c r="I145" i="12" s="1"/>
  <c r="J145" i="12" a="1"/>
  <c r="J145" i="12" s="1"/>
  <c r="H146" i="12" a="1"/>
  <c r="H146" i="12" s="1"/>
  <c r="I146" i="12" a="1"/>
  <c r="I146" i="12" s="1"/>
  <c r="J146" i="12" a="1"/>
  <c r="J146" i="12" s="1"/>
  <c r="H147" i="12" a="1"/>
  <c r="H147" i="12" s="1"/>
  <c r="I147" i="12" a="1"/>
  <c r="I147" i="12" s="1"/>
  <c r="J147" i="12" a="1"/>
  <c r="J147" i="12" s="1"/>
  <c r="H148" i="12" a="1"/>
  <c r="H148" i="12" s="1"/>
  <c r="I148" i="12" a="1"/>
  <c r="I148" i="12" s="1"/>
  <c r="J148" i="12" a="1"/>
  <c r="J148" i="12"/>
  <c r="H149" i="12" a="1"/>
  <c r="H149" i="12" s="1"/>
  <c r="I149" i="12" a="1"/>
  <c r="I149" i="12" s="1"/>
  <c r="J149" i="12" a="1"/>
  <c r="J149" i="12" s="1"/>
  <c r="H150" i="12" a="1"/>
  <c r="H150" i="12" s="1"/>
  <c r="I150" i="12" a="1"/>
  <c r="I150" i="12" s="1"/>
  <c r="J150" i="12" a="1"/>
  <c r="J150" i="12" s="1"/>
  <c r="H151" i="12" a="1"/>
  <c r="H151" i="12" s="1"/>
  <c r="I151" i="12" a="1"/>
  <c r="I151" i="12" s="1"/>
  <c r="J151" i="12" a="1"/>
  <c r="J151" i="12" s="1"/>
  <c r="H152" i="12" a="1"/>
  <c r="H152" i="12" s="1"/>
  <c r="I152" i="12" a="1"/>
  <c r="I152" i="12" s="1"/>
  <c r="J152" i="12" a="1"/>
  <c r="J152" i="12" s="1"/>
  <c r="H153" i="12" a="1"/>
  <c r="H153" i="12" s="1"/>
  <c r="I153" i="12" a="1"/>
  <c r="I153" i="12" s="1"/>
  <c r="J153" i="12" a="1"/>
  <c r="J153" i="12"/>
  <c r="H154" i="12" a="1"/>
  <c r="H154" i="12" s="1"/>
  <c r="I154" i="12" a="1"/>
  <c r="I154" i="12" s="1"/>
  <c r="J154" i="12" a="1"/>
  <c r="J154" i="12" s="1"/>
  <c r="H155" i="12" a="1"/>
  <c r="H155" i="12" s="1"/>
  <c r="I155" i="12" a="1"/>
  <c r="I155" i="12" s="1"/>
  <c r="J155" i="12" a="1"/>
  <c r="J155" i="12" s="1"/>
  <c r="H156" i="12" a="1"/>
  <c r="H156" i="12" s="1"/>
  <c r="I156" i="12" a="1"/>
  <c r="I156" i="12" s="1"/>
  <c r="J156" i="12" a="1"/>
  <c r="J156" i="12" s="1"/>
  <c r="H157" i="12" a="1"/>
  <c r="H157" i="12" s="1"/>
  <c r="I157" i="12" a="1"/>
  <c r="I157" i="12" s="1"/>
  <c r="J157" i="12" a="1"/>
  <c r="J157" i="12" s="1"/>
  <c r="H158" i="12" a="1"/>
  <c r="H158" i="12" s="1"/>
  <c r="I158" i="12" a="1"/>
  <c r="I158" i="12" s="1"/>
  <c r="J158" i="12" a="1"/>
  <c r="J158" i="12" s="1"/>
  <c r="H159" i="12" a="1"/>
  <c r="H159" i="12" s="1"/>
  <c r="I159" i="12" a="1"/>
  <c r="I159" i="12" s="1"/>
  <c r="J159" i="12" a="1"/>
  <c r="J159" i="12"/>
  <c r="H160" i="12" a="1"/>
  <c r="H160" i="12"/>
  <c r="I160" i="12" a="1"/>
  <c r="I160" i="12" s="1"/>
  <c r="J160" i="12" a="1"/>
  <c r="J160" i="12"/>
  <c r="H161" i="12" a="1"/>
  <c r="H161" i="12" s="1"/>
  <c r="I161" i="12" a="1"/>
  <c r="I161" i="12" s="1"/>
  <c r="J161" i="12" a="1"/>
  <c r="J161" i="12" s="1"/>
  <c r="H162" i="12" a="1"/>
  <c r="H162" i="12" s="1"/>
  <c r="I162" i="12" a="1"/>
  <c r="I162" i="12"/>
  <c r="J162" i="12" a="1"/>
  <c r="J162" i="12" s="1"/>
  <c r="H163" i="12" a="1"/>
  <c r="H163" i="12" s="1"/>
  <c r="I163" i="12" a="1"/>
  <c r="I163" i="12" s="1"/>
  <c r="J163" i="12" a="1"/>
  <c r="J163" i="12"/>
  <c r="H164" i="12" a="1"/>
  <c r="H164" i="12" s="1"/>
  <c r="I164" i="12" a="1"/>
  <c r="I164" i="12" s="1"/>
  <c r="J164" i="12" a="1"/>
  <c r="J164" i="12" s="1"/>
  <c r="H165" i="12" a="1"/>
  <c r="H165" i="12" s="1"/>
  <c r="I165" i="12" a="1"/>
  <c r="I165" i="12" s="1"/>
  <c r="J165" i="12" a="1"/>
  <c r="J165" i="12"/>
  <c r="H166" i="12" a="1"/>
  <c r="H166" i="12"/>
  <c r="I166" i="12" a="1"/>
  <c r="I166" i="12" s="1"/>
  <c r="J166" i="12" a="1"/>
  <c r="J166" i="12" s="1"/>
  <c r="H167" i="12" a="1"/>
  <c r="H167" i="12" s="1"/>
  <c r="I167" i="12" a="1"/>
  <c r="I167" i="12" s="1"/>
  <c r="J167" i="12" a="1"/>
  <c r="J167" i="12"/>
  <c r="H168" i="12" a="1"/>
  <c r="H168" i="12" s="1"/>
  <c r="I168" i="12" a="1"/>
  <c r="I168" i="12" s="1"/>
  <c r="J168" i="12" a="1"/>
  <c r="J168" i="12" s="1"/>
  <c r="H169" i="12" a="1"/>
  <c r="H169" i="12" s="1"/>
  <c r="I169" i="12" a="1"/>
  <c r="I169" i="12" s="1"/>
  <c r="J169" i="12" a="1"/>
  <c r="J169" i="12" s="1"/>
  <c r="H170" i="12" a="1"/>
  <c r="H170" i="12" s="1"/>
  <c r="I170" i="12" a="1"/>
  <c r="I170" i="12"/>
  <c r="J170" i="12" a="1"/>
  <c r="J170" i="12"/>
  <c r="H171" i="12" a="1"/>
  <c r="H171" i="12" s="1"/>
  <c r="I171" i="12" a="1"/>
  <c r="I171" i="12" s="1"/>
  <c r="J171" i="12" a="1"/>
  <c r="J171" i="12" s="1"/>
  <c r="H172" i="12" a="1"/>
  <c r="H172" i="12" s="1"/>
  <c r="I172" i="12" a="1"/>
  <c r="I172" i="12" s="1"/>
  <c r="J172" i="12" a="1"/>
  <c r="J172" i="12"/>
  <c r="H173" i="12" a="1"/>
  <c r="H173" i="12"/>
  <c r="I173" i="12" a="1"/>
  <c r="I173" i="12" s="1"/>
  <c r="J173" i="12" a="1"/>
  <c r="J173" i="12"/>
  <c r="H174" i="12" a="1"/>
  <c r="H174" i="12" s="1"/>
  <c r="I174" i="12" a="1"/>
  <c r="I174" i="12"/>
  <c r="J174" i="12" a="1"/>
  <c r="J174" i="12"/>
  <c r="H175" i="12" a="1"/>
  <c r="H175" i="12" s="1"/>
  <c r="I175" i="12" a="1"/>
  <c r="I175" i="12" s="1"/>
  <c r="J175" i="12" a="1"/>
  <c r="J175" i="12"/>
  <c r="H176" i="12" a="1"/>
  <c r="H176" i="12" s="1"/>
  <c r="I176" i="12" a="1"/>
  <c r="I176" i="12" s="1"/>
  <c r="J176" i="12" a="1"/>
  <c r="J176" i="12" s="1"/>
  <c r="H177" i="12" a="1"/>
  <c r="H177" i="12"/>
  <c r="I177" i="12" a="1"/>
  <c r="I177" i="12" s="1"/>
  <c r="J177" i="12" a="1"/>
  <c r="J177" i="12" s="1"/>
  <c r="H178" i="12" a="1"/>
  <c r="H178" i="12"/>
  <c r="I178" i="12" a="1"/>
  <c r="I178" i="12" s="1"/>
  <c r="J178" i="12" a="1"/>
  <c r="J178" i="12"/>
  <c r="H179" i="12" a="1"/>
  <c r="H179" i="12"/>
  <c r="I179" i="12" a="1"/>
  <c r="I179" i="12" s="1"/>
  <c r="J179" i="12" a="1"/>
  <c r="J179" i="12"/>
  <c r="H180" i="12" a="1"/>
  <c r="H180" i="12"/>
  <c r="I180" i="12" a="1"/>
  <c r="I180" i="12" s="1"/>
  <c r="J180" i="12" a="1"/>
  <c r="J180" i="12" s="1"/>
  <c r="H181" i="12" a="1"/>
  <c r="H181" i="12" s="1"/>
  <c r="I181" i="12" a="1"/>
  <c r="I181" i="12" s="1"/>
  <c r="J181" i="12" a="1"/>
  <c r="J181" i="12" s="1"/>
  <c r="H182" i="12" a="1"/>
  <c r="H182" i="12" s="1"/>
  <c r="I182" i="12" a="1"/>
  <c r="I182" i="12"/>
  <c r="J182" i="12" a="1"/>
  <c r="J182" i="12" s="1"/>
  <c r="H183" i="12" a="1"/>
  <c r="H183" i="12"/>
  <c r="I183" i="12" a="1"/>
  <c r="I183" i="12" s="1"/>
  <c r="J183" i="12" a="1"/>
  <c r="J183" i="12"/>
  <c r="H184" i="12" a="1"/>
  <c r="H184" i="12"/>
  <c r="I184" i="12" a="1"/>
  <c r="I184" i="12"/>
  <c r="J184" i="12" a="1"/>
  <c r="J184" i="12" s="1"/>
  <c r="H185" i="12" a="1"/>
  <c r="H185" i="12" s="1"/>
  <c r="I185" i="12" a="1"/>
  <c r="I185" i="12" s="1"/>
  <c r="J185" i="12" a="1"/>
  <c r="J185" i="12"/>
  <c r="H186" i="12" a="1"/>
  <c r="H186" i="12" s="1"/>
  <c r="I186" i="12" a="1"/>
  <c r="I186" i="12" s="1"/>
  <c r="J186" i="12" a="1"/>
  <c r="J186" i="12"/>
  <c r="H187" i="12" a="1"/>
  <c r="H187" i="12" s="1"/>
  <c r="I187" i="12" a="1"/>
  <c r="I187" i="12" s="1"/>
  <c r="J187" i="12" a="1"/>
  <c r="J187" i="12" s="1"/>
  <c r="H188" i="12" a="1"/>
  <c r="H188" i="12"/>
  <c r="I188" i="12" a="1"/>
  <c r="I188" i="12"/>
  <c r="J188" i="12" a="1"/>
  <c r="J188" i="12"/>
  <c r="H189" i="12" a="1"/>
  <c r="H189" i="12" s="1"/>
  <c r="I189" i="12" a="1"/>
  <c r="I189" i="12" s="1"/>
  <c r="J189" i="12" a="1"/>
  <c r="J189" i="12"/>
  <c r="H190" i="12" a="1"/>
  <c r="H190" i="12"/>
  <c r="I190" i="12" a="1"/>
  <c r="I190" i="12" s="1"/>
  <c r="J190" i="12" a="1"/>
  <c r="J190" i="12" s="1"/>
  <c r="H191" i="12" a="1"/>
  <c r="H191" i="12"/>
  <c r="I191" i="12" a="1"/>
  <c r="I191" i="12" s="1"/>
  <c r="J191" i="12" a="1"/>
  <c r="J191" i="12" s="1"/>
  <c r="H192" i="12" a="1"/>
  <c r="H192" i="12" s="1"/>
  <c r="I192" i="12" a="1"/>
  <c r="I192" i="12"/>
  <c r="J192" i="12" a="1"/>
  <c r="J192" i="12"/>
  <c r="H193" i="12" a="1"/>
  <c r="H193" i="12"/>
  <c r="I193" i="12" a="1"/>
  <c r="I193" i="12" s="1"/>
  <c r="J193" i="12" a="1"/>
  <c r="J193" i="12" s="1"/>
  <c r="H194" i="12" a="1"/>
  <c r="H194" i="12"/>
  <c r="I194" i="12" a="1"/>
  <c r="I194" i="12"/>
  <c r="J194" i="12" a="1"/>
  <c r="J194" i="12" s="1"/>
  <c r="H195" i="12" a="1"/>
  <c r="H195" i="12" s="1"/>
  <c r="I195" i="12" a="1"/>
  <c r="I195" i="12" s="1"/>
  <c r="J195" i="12" a="1"/>
  <c r="J195" i="12" s="1"/>
  <c r="H196" i="12" a="1"/>
  <c r="H196" i="12" s="1"/>
  <c r="I196" i="12" a="1"/>
  <c r="I196" i="12" s="1"/>
  <c r="J196" i="12" a="1"/>
  <c r="J196" i="12"/>
  <c r="H197" i="12" a="1"/>
  <c r="H197" i="12"/>
  <c r="I197" i="12" a="1"/>
  <c r="I197" i="12" s="1"/>
  <c r="J197" i="12" a="1"/>
  <c r="J197" i="12"/>
  <c r="H198" i="12" a="1"/>
  <c r="H198" i="12" s="1"/>
  <c r="I198" i="12" a="1"/>
  <c r="I198" i="12"/>
  <c r="J198" i="12" a="1"/>
  <c r="J198" i="12"/>
  <c r="H199" i="12" a="1"/>
  <c r="H199" i="12" s="1"/>
  <c r="I199" i="12" a="1"/>
  <c r="I199" i="12" s="1"/>
  <c r="J199" i="12" a="1"/>
  <c r="J199" i="12"/>
  <c r="H200" i="12" a="1"/>
  <c r="H200" i="12" s="1"/>
  <c r="I200" i="12" a="1"/>
  <c r="I200" i="12" s="1"/>
  <c r="J200" i="12" a="1"/>
  <c r="J200" i="12" s="1"/>
  <c r="H201" i="12" a="1"/>
  <c r="H201" i="12"/>
  <c r="I201" i="12" a="1"/>
  <c r="I201" i="12" s="1"/>
  <c r="J201" i="12" a="1"/>
  <c r="J201" i="12" s="1"/>
  <c r="H202" i="12" a="1"/>
  <c r="H202" i="12"/>
  <c r="I202" i="12" a="1"/>
  <c r="I202" i="12" s="1"/>
  <c r="J202" i="12" a="1"/>
  <c r="J202" i="12"/>
  <c r="H203" i="12" a="1"/>
  <c r="H203" i="12"/>
  <c r="I203" i="12" a="1"/>
  <c r="I203" i="12" s="1"/>
  <c r="J203" i="12" a="1"/>
  <c r="J203" i="12"/>
  <c r="H204" i="12" a="1"/>
  <c r="H204" i="12"/>
  <c r="I204" i="12" a="1"/>
  <c r="I204" i="12" s="1"/>
  <c r="J204" i="12" a="1"/>
  <c r="J204" i="12" s="1"/>
  <c r="H205" i="12" a="1"/>
  <c r="H205" i="12" s="1"/>
  <c r="I205" i="12" a="1"/>
  <c r="I205" i="12" s="1"/>
  <c r="J205" i="12" a="1"/>
  <c r="J205" i="12" s="1"/>
  <c r="H206" i="12" a="1"/>
  <c r="H206" i="12" s="1"/>
  <c r="I206" i="12" a="1"/>
  <c r="I206" i="12"/>
  <c r="J206" i="12" a="1"/>
  <c r="J206" i="12" s="1"/>
  <c r="H207" i="12" a="1"/>
  <c r="H207" i="12"/>
  <c r="I207" i="12" a="1"/>
  <c r="I207" i="12" s="1"/>
  <c r="J207" i="12" a="1"/>
  <c r="J207" i="12"/>
  <c r="H208" i="12" a="1"/>
  <c r="H208" i="12"/>
  <c r="I208" i="12" a="1"/>
  <c r="I208" i="12"/>
  <c r="J208" i="12" a="1"/>
  <c r="J208" i="12" s="1"/>
  <c r="H209" i="12" a="1"/>
  <c r="H209" i="12" s="1"/>
  <c r="I209" i="12" a="1"/>
  <c r="I209" i="12" s="1"/>
  <c r="J209" i="12" a="1"/>
  <c r="J209" i="12"/>
  <c r="H210" i="12" a="1"/>
  <c r="H210" i="12" s="1"/>
  <c r="I210" i="12" a="1"/>
  <c r="I210" i="12" s="1"/>
  <c r="J210" i="12" a="1"/>
  <c r="J210" i="12"/>
  <c r="H211" i="12" a="1"/>
  <c r="H211" i="12" s="1"/>
  <c r="I211" i="12" a="1"/>
  <c r="I211" i="12" s="1"/>
  <c r="J211" i="12" a="1"/>
  <c r="J211" i="12" s="1"/>
  <c r="H212" i="12" a="1"/>
  <c r="H212" i="12"/>
  <c r="I212" i="12" a="1"/>
  <c r="I212" i="12"/>
  <c r="J212" i="12" a="1"/>
  <c r="J212" i="12"/>
  <c r="H213" i="12" a="1"/>
  <c r="H213" i="12" s="1"/>
  <c r="I213" i="12" a="1"/>
  <c r="I213" i="12" s="1"/>
  <c r="J213" i="12" a="1"/>
  <c r="J213" i="12"/>
  <c r="H214" i="12" a="1"/>
  <c r="H214" i="12"/>
  <c r="I214" i="12" a="1"/>
  <c r="I214" i="12" s="1"/>
  <c r="J214" i="12" a="1"/>
  <c r="J214" i="12" s="1"/>
  <c r="H215" i="12" a="1"/>
  <c r="H215" i="12"/>
  <c r="I215" i="12" a="1"/>
  <c r="I215" i="12" s="1"/>
  <c r="J215" i="12" a="1"/>
  <c r="J215" i="12" s="1"/>
  <c r="H216" i="12" a="1"/>
  <c r="H216" i="12" s="1"/>
  <c r="I216" i="12" a="1"/>
  <c r="I216" i="12"/>
  <c r="J216" i="12" a="1"/>
  <c r="J216" i="12"/>
  <c r="H217" i="12" a="1"/>
  <c r="H217" i="12"/>
  <c r="I217" i="12" a="1"/>
  <c r="I217" i="12" s="1"/>
  <c r="J217" i="12" a="1"/>
  <c r="J217" i="12" s="1"/>
  <c r="H218" i="12" a="1"/>
  <c r="H218" i="12"/>
  <c r="I218" i="12" a="1"/>
  <c r="I218" i="12"/>
  <c r="J218" i="12" a="1"/>
  <c r="J218" i="12" s="1"/>
  <c r="H219" i="12" a="1"/>
  <c r="H219" i="12" s="1"/>
  <c r="I219" i="12" a="1"/>
  <c r="I219" i="12" s="1"/>
  <c r="J219" i="12" a="1"/>
  <c r="J219" i="12" s="1"/>
  <c r="H220" i="12" a="1"/>
  <c r="H220" i="12" s="1"/>
  <c r="I220" i="12" a="1"/>
  <c r="I220" i="12" s="1"/>
  <c r="J220" i="12" a="1"/>
  <c r="J220" i="12"/>
  <c r="H221" i="12" a="1"/>
  <c r="H221" i="12"/>
  <c r="I221" i="12" a="1"/>
  <c r="I221" i="12" s="1"/>
  <c r="J221" i="12" a="1"/>
  <c r="J221" i="12"/>
  <c r="H222" i="12" a="1"/>
  <c r="H222" i="12" s="1"/>
  <c r="I222" i="12" a="1"/>
  <c r="I222" i="12"/>
  <c r="J222" i="12" a="1"/>
  <c r="J222" i="12"/>
  <c r="H223" i="12" a="1"/>
  <c r="H223" i="12" s="1"/>
  <c r="I223" i="12" a="1"/>
  <c r="I223" i="12" s="1"/>
  <c r="J223" i="12" a="1"/>
  <c r="J223" i="12"/>
  <c r="H224" i="12" a="1"/>
  <c r="H224" i="12" s="1"/>
  <c r="I224" i="12" a="1"/>
  <c r="I224" i="12" s="1"/>
  <c r="J224" i="12" a="1"/>
  <c r="J224" i="12" s="1"/>
  <c r="H225" i="12" a="1"/>
  <c r="H225" i="12"/>
  <c r="I225" i="12" a="1"/>
  <c r="I225" i="12" s="1"/>
  <c r="J225" i="12" a="1"/>
  <c r="J225" i="12" s="1"/>
  <c r="H226" i="12" a="1"/>
  <c r="H226" i="12"/>
  <c r="I226" i="12" a="1"/>
  <c r="I226" i="12" s="1"/>
  <c r="J226" i="12" a="1"/>
  <c r="J226" i="12"/>
  <c r="H227" i="12" a="1"/>
  <c r="H227" i="12"/>
  <c r="I227" i="12" a="1"/>
  <c r="I227" i="12" s="1"/>
  <c r="J227" i="12" a="1"/>
  <c r="J227" i="12"/>
  <c r="H228" i="12" a="1"/>
  <c r="H228" i="12"/>
  <c r="I228" i="12" a="1"/>
  <c r="I228" i="12" s="1"/>
  <c r="J228" i="12" a="1"/>
  <c r="J228" i="12" s="1"/>
  <c r="H229" i="12" a="1"/>
  <c r="H229" i="12" s="1"/>
  <c r="I229" i="12" a="1"/>
  <c r="I229" i="12" s="1"/>
  <c r="J229" i="12" a="1"/>
  <c r="J229" i="12" s="1"/>
  <c r="H230" i="12" a="1"/>
  <c r="H230" i="12" s="1"/>
  <c r="I230" i="12" a="1"/>
  <c r="I230" i="12"/>
  <c r="J230" i="12" a="1"/>
  <c r="J230" i="12" s="1"/>
  <c r="H231" i="12" a="1"/>
  <c r="H231" i="12"/>
  <c r="I231" i="12" a="1"/>
  <c r="I231" i="12" s="1"/>
  <c r="J231" i="12" a="1"/>
  <c r="J231" i="12"/>
  <c r="H232" i="12" a="1"/>
  <c r="H232" i="12"/>
  <c r="I232" i="12" a="1"/>
  <c r="I232" i="12"/>
  <c r="J232" i="12" a="1"/>
  <c r="J232" i="12" s="1"/>
  <c r="H233" i="12" a="1"/>
  <c r="H233" i="12" s="1"/>
  <c r="I233" i="12" a="1"/>
  <c r="I233" i="12" s="1"/>
  <c r="J233" i="12" a="1"/>
  <c r="J233" i="12"/>
  <c r="H234" i="12" a="1"/>
  <c r="H234" i="12" s="1"/>
  <c r="I234" i="12" a="1"/>
  <c r="I234" i="12" s="1"/>
  <c r="J234" i="12" a="1"/>
  <c r="J234" i="12"/>
  <c r="H235" i="12" a="1"/>
  <c r="H235" i="12" s="1"/>
  <c r="I235" i="12" a="1"/>
  <c r="I235" i="12" s="1"/>
  <c r="J235" i="12" a="1"/>
  <c r="J235" i="12" s="1"/>
  <c r="H236" i="12" a="1"/>
  <c r="H236" i="12"/>
  <c r="I236" i="12" a="1"/>
  <c r="I236" i="12"/>
  <c r="J236" i="12" a="1"/>
  <c r="J236" i="12"/>
  <c r="H237" i="12" a="1"/>
  <c r="H237" i="12" s="1"/>
  <c r="I237" i="12" a="1"/>
  <c r="I237" i="12" s="1"/>
  <c r="J237" i="12" a="1"/>
  <c r="J237" i="12"/>
  <c r="H238" i="12" a="1"/>
  <c r="H238" i="12"/>
  <c r="I238" i="12" a="1"/>
  <c r="I238" i="12" s="1"/>
  <c r="J238" i="12" a="1"/>
  <c r="J238" i="12" s="1"/>
  <c r="H239" i="12" a="1"/>
  <c r="H239" i="12"/>
  <c r="I239" i="12" a="1"/>
  <c r="I239" i="12" s="1"/>
  <c r="J239" i="12" a="1"/>
  <c r="J239" i="12" s="1"/>
  <c r="H240" i="12" a="1"/>
  <c r="H240" i="12" s="1"/>
  <c r="I240" i="12" a="1"/>
  <c r="I240" i="12"/>
  <c r="J240" i="12" a="1"/>
  <c r="J240" i="12"/>
  <c r="H241" i="12" a="1"/>
  <c r="H241" i="12"/>
  <c r="I241" i="12" a="1"/>
  <c r="I241" i="12" s="1"/>
  <c r="J241" i="12" a="1"/>
  <c r="J241" i="12" s="1"/>
  <c r="H242" i="12" a="1"/>
  <c r="H242" i="12"/>
  <c r="I242" i="12" a="1"/>
  <c r="I242" i="12"/>
  <c r="J242" i="12" a="1"/>
  <c r="J242" i="12" s="1"/>
  <c r="H243" i="12" a="1"/>
  <c r="H243" i="12" s="1"/>
  <c r="I243" i="12" a="1"/>
  <c r="I243" i="12" s="1"/>
  <c r="J243" i="12" a="1"/>
  <c r="J243" i="12" s="1"/>
  <c r="H244" i="12" a="1"/>
  <c r="H244" i="12" s="1"/>
  <c r="I244" i="12" a="1"/>
  <c r="I244" i="12" s="1"/>
  <c r="J244" i="12" a="1"/>
  <c r="J244" i="12"/>
  <c r="H245" i="12" a="1"/>
  <c r="H245" i="12"/>
  <c r="I245" i="12" a="1"/>
  <c r="I245" i="12" s="1"/>
  <c r="J245" i="12" a="1"/>
  <c r="J245" i="12"/>
  <c r="H246" i="12" a="1"/>
  <c r="H246" i="12" s="1"/>
  <c r="I246" i="12" a="1"/>
  <c r="I246" i="12"/>
  <c r="J246" i="12" a="1"/>
  <c r="J246" i="12"/>
  <c r="H247" i="12" a="1"/>
  <c r="H247" i="12" s="1"/>
  <c r="I247" i="12" a="1"/>
  <c r="I247" i="12" s="1"/>
  <c r="J247" i="12" a="1"/>
  <c r="J247" i="12"/>
  <c r="H248" i="12" a="1"/>
  <c r="H248" i="12" s="1"/>
  <c r="I248" i="12" a="1"/>
  <c r="I248" i="12" s="1"/>
  <c r="J248" i="12" a="1"/>
  <c r="J248" i="12" s="1"/>
  <c r="H249" i="12" a="1"/>
  <c r="H249" i="12"/>
  <c r="I249" i="12" a="1"/>
  <c r="I249" i="12" s="1"/>
  <c r="J249" i="12" a="1"/>
  <c r="J249" i="12" s="1"/>
  <c r="H250" i="12" a="1"/>
  <c r="H250" i="12"/>
  <c r="I250" i="12" a="1"/>
  <c r="I250" i="12" s="1"/>
  <c r="J250" i="12" a="1"/>
  <c r="J250" i="12"/>
  <c r="H251" i="12" a="1"/>
  <c r="H251" i="12"/>
  <c r="I251" i="12" a="1"/>
  <c r="I251" i="12" s="1"/>
  <c r="J251" i="12" a="1"/>
  <c r="J251" i="12"/>
  <c r="H252" i="12" a="1"/>
  <c r="H252" i="12"/>
  <c r="I252" i="12" a="1"/>
  <c r="I252" i="12" s="1"/>
  <c r="J252" i="12" a="1"/>
  <c r="J252" i="12" s="1"/>
  <c r="H253" i="12" a="1"/>
  <c r="H253" i="12" s="1"/>
  <c r="I253" i="12" a="1"/>
  <c r="I253" i="12" s="1"/>
  <c r="J253" i="12" a="1"/>
  <c r="J253" i="12" s="1"/>
  <c r="H254" i="12" a="1"/>
  <c r="H254" i="12" s="1"/>
  <c r="I254" i="12" a="1"/>
  <c r="I254" i="12"/>
  <c r="J254" i="12" a="1"/>
  <c r="J254" i="12" s="1"/>
  <c r="H255" i="12" a="1"/>
  <c r="H255" i="12"/>
  <c r="I255" i="12" a="1"/>
  <c r="I255" i="12" s="1"/>
  <c r="J255" i="12" a="1"/>
  <c r="J255" i="12"/>
  <c r="H256" i="12" a="1"/>
  <c r="H256" i="12"/>
  <c r="I256" i="12" a="1"/>
  <c r="I256" i="12"/>
  <c r="J256" i="12" a="1"/>
  <c r="J256" i="12" s="1"/>
  <c r="H257" i="12" a="1"/>
  <c r="H257" i="12" s="1"/>
  <c r="I257" i="12" a="1"/>
  <c r="I257" i="12" s="1"/>
  <c r="J257" i="12" a="1"/>
  <c r="J257" i="12"/>
  <c r="H258" i="12" a="1"/>
  <c r="H258" i="12" s="1"/>
  <c r="I258" i="12" a="1"/>
  <c r="I258" i="12" s="1"/>
  <c r="J258" i="12" a="1"/>
  <c r="J258" i="12"/>
  <c r="H259" i="12" a="1"/>
  <c r="H259" i="12" s="1"/>
  <c r="I259" i="12" a="1"/>
  <c r="I259" i="12" s="1"/>
  <c r="J259" i="12" a="1"/>
  <c r="J259" i="12" s="1"/>
  <c r="H260" i="12" a="1"/>
  <c r="H260" i="12"/>
  <c r="I260" i="12" a="1"/>
  <c r="I260" i="12"/>
  <c r="J260" i="12" a="1"/>
  <c r="J260" i="12"/>
  <c r="H261" i="12" a="1"/>
  <c r="H261" i="12" s="1"/>
  <c r="I261" i="12" a="1"/>
  <c r="I261" i="12" s="1"/>
  <c r="J261" i="12" a="1"/>
  <c r="J261" i="12"/>
  <c r="H262" i="12" a="1"/>
  <c r="H262" i="12"/>
  <c r="I262" i="12" a="1"/>
  <c r="I262" i="12" s="1"/>
  <c r="J262" i="12" a="1"/>
  <c r="J262" i="12" s="1"/>
  <c r="H263" i="12" a="1"/>
  <c r="H263" i="12"/>
  <c r="I263" i="12" a="1"/>
  <c r="I263" i="12" s="1"/>
  <c r="J263" i="12" a="1"/>
  <c r="J263" i="12" s="1"/>
  <c r="H264" i="12" a="1"/>
  <c r="H264" i="12" s="1"/>
  <c r="I264" i="12" a="1"/>
  <c r="I264" i="12"/>
  <c r="J264" i="12" a="1"/>
  <c r="J264" i="12"/>
  <c r="H265" i="12" a="1"/>
  <c r="H265" i="12"/>
  <c r="I265" i="12" a="1"/>
  <c r="I265" i="12" s="1"/>
  <c r="J265" i="12" a="1"/>
  <c r="J265" i="12" s="1"/>
  <c r="H266" i="12" a="1"/>
  <c r="H266" i="12"/>
  <c r="I266" i="12" a="1"/>
  <c r="I266" i="12"/>
  <c r="J266" i="12" a="1"/>
  <c r="J266" i="12" s="1"/>
  <c r="H267" i="12" a="1"/>
  <c r="H267" i="12" s="1"/>
  <c r="I267" i="12" a="1"/>
  <c r="I267" i="12" s="1"/>
  <c r="J267" i="12" a="1"/>
  <c r="J267" i="12" s="1"/>
  <c r="H268" i="12" a="1"/>
  <c r="H268" i="12" s="1"/>
  <c r="I268" i="12" a="1"/>
  <c r="I268" i="12" s="1"/>
  <c r="J268" i="12" a="1"/>
  <c r="J268" i="12"/>
  <c r="H269" i="12" a="1"/>
  <c r="H269" i="12"/>
  <c r="I269" i="12" a="1"/>
  <c r="I269" i="12" s="1"/>
  <c r="J269" i="12" a="1"/>
  <c r="J269" i="12"/>
  <c r="H270" i="12" a="1"/>
  <c r="H270" i="12" s="1"/>
  <c r="I270" i="12" a="1"/>
  <c r="I270" i="12"/>
  <c r="J270" i="12" a="1"/>
  <c r="J270" i="12"/>
  <c r="H271" i="12" a="1"/>
  <c r="H271" i="12" s="1"/>
  <c r="I271" i="12" a="1"/>
  <c r="I271" i="12" s="1"/>
  <c r="J271" i="12" a="1"/>
  <c r="J271" i="12"/>
  <c r="H272" i="12" a="1"/>
  <c r="H272" i="12" s="1"/>
  <c r="I272" i="12" a="1"/>
  <c r="I272" i="12" s="1"/>
  <c r="J272" i="12" a="1"/>
  <c r="J272" i="12" s="1"/>
  <c r="H273" i="12" a="1"/>
  <c r="H273" i="12"/>
  <c r="I273" i="12" a="1"/>
  <c r="I273" i="12" s="1"/>
  <c r="J273" i="12" a="1"/>
  <c r="J273" i="12" s="1"/>
  <c r="H274" i="12" a="1"/>
  <c r="H274" i="12"/>
  <c r="I274" i="12" a="1"/>
  <c r="I274" i="12" s="1"/>
  <c r="J274" i="12" a="1"/>
  <c r="J274" i="12"/>
  <c r="H275" i="12" a="1"/>
  <c r="H275" i="12"/>
  <c r="I275" i="12" a="1"/>
  <c r="I275" i="12" s="1"/>
  <c r="J275" i="12" a="1"/>
  <c r="J275" i="12"/>
  <c r="H276" i="12" a="1"/>
  <c r="H276" i="12"/>
  <c r="I276" i="12" a="1"/>
  <c r="I276" i="12" s="1"/>
  <c r="J276" i="12" a="1"/>
  <c r="J276" i="12" s="1"/>
  <c r="H277" i="12" a="1"/>
  <c r="H277" i="12" s="1"/>
  <c r="I277" i="12" a="1"/>
  <c r="I277" i="12" s="1"/>
  <c r="J277" i="12" a="1"/>
  <c r="J277" i="12" s="1"/>
  <c r="H278" i="12" a="1"/>
  <c r="H278" i="12" s="1"/>
  <c r="I278" i="12" a="1"/>
  <c r="I278" i="12"/>
  <c r="J278" i="12" a="1"/>
  <c r="J278" i="12" s="1"/>
  <c r="H279" i="12" a="1"/>
  <c r="H279" i="12"/>
  <c r="I279" i="12" a="1"/>
  <c r="I279" i="12" s="1"/>
  <c r="J279" i="12" a="1"/>
  <c r="J279" i="12"/>
  <c r="H280" i="12" a="1"/>
  <c r="H280" i="12"/>
  <c r="I280" i="12" a="1"/>
  <c r="I280" i="12"/>
  <c r="J280" i="12" a="1"/>
  <c r="J280" i="12" s="1"/>
  <c r="H281" i="12" a="1"/>
  <c r="H281" i="12" s="1"/>
  <c r="I281" i="12" a="1"/>
  <c r="I281" i="12" s="1"/>
  <c r="J281" i="12" a="1"/>
  <c r="J281" i="12"/>
  <c r="H282" i="12" a="1"/>
  <c r="H282" i="12" s="1"/>
  <c r="I282" i="12" a="1"/>
  <c r="I282" i="12" s="1"/>
  <c r="J282" i="12" a="1"/>
  <c r="J282" i="12"/>
  <c r="H283" i="12" a="1"/>
  <c r="H283" i="12" s="1"/>
  <c r="I283" i="12" a="1"/>
  <c r="I283" i="12" s="1"/>
  <c r="J283" i="12" a="1"/>
  <c r="J283" i="12" s="1"/>
  <c r="H284" i="12" a="1"/>
  <c r="H284" i="12"/>
  <c r="I284" i="12" a="1"/>
  <c r="I284" i="12"/>
  <c r="J284" i="12" a="1"/>
  <c r="J284" i="12"/>
  <c r="H285" i="12" a="1"/>
  <c r="H285" i="12" s="1"/>
  <c r="I285" i="12" a="1"/>
  <c r="I285" i="12" s="1"/>
  <c r="J285" i="12" a="1"/>
  <c r="J285" i="12"/>
  <c r="H286" i="12" a="1"/>
  <c r="H286" i="12"/>
  <c r="I286" i="12" a="1"/>
  <c r="I286" i="12" s="1"/>
  <c r="J286" i="12" a="1"/>
  <c r="J286" i="12" s="1"/>
  <c r="H287" i="12" a="1"/>
  <c r="H287" i="12"/>
  <c r="I287" i="12" a="1"/>
  <c r="I287" i="12" s="1"/>
  <c r="J287" i="12" a="1"/>
  <c r="J287" i="12" s="1"/>
  <c r="H288" i="12" a="1"/>
  <c r="H288" i="12" s="1"/>
  <c r="I288" i="12" a="1"/>
  <c r="I288" i="12"/>
  <c r="J288" i="12" a="1"/>
  <c r="J288" i="12"/>
  <c r="H289" i="12" a="1"/>
  <c r="H289" i="12"/>
  <c r="I289" i="12" a="1"/>
  <c r="I289" i="12" s="1"/>
  <c r="J289" i="12" a="1"/>
  <c r="J289" i="12" s="1"/>
  <c r="H290" i="12" a="1"/>
  <c r="H290" i="12"/>
  <c r="I290" i="12" a="1"/>
  <c r="I290" i="12"/>
  <c r="J290" i="12" a="1"/>
  <c r="J290" i="12" s="1"/>
  <c r="H291" i="12" a="1"/>
  <c r="H291" i="12" s="1"/>
  <c r="I291" i="12" a="1"/>
  <c r="I291" i="12" s="1"/>
  <c r="J291" i="12" a="1"/>
  <c r="J291" i="12" s="1"/>
  <c r="H292" i="12" a="1"/>
  <c r="H292" i="12" s="1"/>
  <c r="I292" i="12" a="1"/>
  <c r="I292" i="12" s="1"/>
  <c r="J292" i="12" a="1"/>
  <c r="J292" i="12"/>
  <c r="H293" i="12" a="1"/>
  <c r="H293" i="12"/>
  <c r="I293" i="12" a="1"/>
  <c r="I293" i="12" s="1"/>
  <c r="J293" i="12" a="1"/>
  <c r="J293" i="12"/>
  <c r="H294" i="12" a="1"/>
  <c r="H294" i="12" s="1"/>
  <c r="I294" i="12" a="1"/>
  <c r="I294" i="12"/>
  <c r="J294" i="12" a="1"/>
  <c r="J294" i="12"/>
  <c r="H295" i="12" a="1"/>
  <c r="H295" i="12" s="1"/>
  <c r="I295" i="12" a="1"/>
  <c r="I295" i="12" s="1"/>
  <c r="J295" i="12" a="1"/>
  <c r="J295" i="12"/>
  <c r="H296" i="12" a="1"/>
  <c r="H296" i="12" s="1"/>
  <c r="I296" i="12" a="1"/>
  <c r="I296" i="12" s="1"/>
  <c r="J296" i="12" a="1"/>
  <c r="J296" i="12" s="1"/>
  <c r="H297" i="12" a="1"/>
  <c r="H297" i="12"/>
  <c r="I297" i="12" a="1"/>
  <c r="I297" i="12" s="1"/>
  <c r="J297" i="12" a="1"/>
  <c r="J297" i="12" s="1"/>
  <c r="H298" i="12" a="1"/>
  <c r="H298" i="12"/>
  <c r="I298" i="12" a="1"/>
  <c r="I298" i="12" s="1"/>
  <c r="J298" i="12" a="1"/>
  <c r="J298" i="12"/>
  <c r="H299" i="12" a="1"/>
  <c r="H299" i="12"/>
  <c r="I299" i="12" a="1"/>
  <c r="I299" i="12" s="1"/>
  <c r="J299" i="12" a="1"/>
  <c r="J299" i="12"/>
  <c r="H300" i="12" a="1"/>
  <c r="H300" i="12"/>
  <c r="I300" i="12" a="1"/>
  <c r="I300" i="12" s="1"/>
  <c r="J300" i="12" a="1"/>
  <c r="J300" i="12" s="1"/>
  <c r="H301" i="12" a="1"/>
  <c r="H301" i="12" s="1"/>
  <c r="I301" i="12" a="1"/>
  <c r="I301" i="12" s="1"/>
  <c r="J301" i="12" a="1"/>
  <c r="J301" i="12" s="1"/>
  <c r="H302" i="12" a="1"/>
  <c r="H302" i="12" s="1"/>
  <c r="I302" i="12" a="1"/>
  <c r="I302" i="12"/>
  <c r="J302" i="12" a="1"/>
  <c r="J302" i="12" s="1"/>
  <c r="H303" i="12" a="1"/>
  <c r="H303" i="12"/>
  <c r="I303" i="12" a="1"/>
  <c r="I303" i="12" s="1"/>
  <c r="J303" i="12" a="1"/>
  <c r="J303" i="12"/>
  <c r="H304" i="12" a="1"/>
  <c r="H304" i="12"/>
  <c r="I304" i="12" a="1"/>
  <c r="I304" i="12"/>
  <c r="J304" i="12" a="1"/>
  <c r="J304" i="12" s="1"/>
  <c r="H305" i="12" a="1"/>
  <c r="H305" i="12" s="1"/>
  <c r="I305" i="12" a="1"/>
  <c r="I305" i="12" s="1"/>
  <c r="J305" i="12" a="1"/>
  <c r="J305" i="12"/>
  <c r="H306" i="12" a="1"/>
  <c r="H306" i="12" s="1"/>
  <c r="I306" i="12" a="1"/>
  <c r="I306" i="12" s="1"/>
  <c r="J306" i="12" a="1"/>
  <c r="J306" i="12"/>
  <c r="H307" i="12" a="1"/>
  <c r="H307" i="12" s="1"/>
  <c r="I307" i="12" a="1"/>
  <c r="I307" i="12" s="1"/>
  <c r="J307" i="12" a="1"/>
  <c r="J307" i="12" s="1"/>
  <c r="H308" i="12" a="1"/>
  <c r="H308" i="12"/>
  <c r="I308" i="12" a="1"/>
  <c r="I308" i="12"/>
  <c r="J308" i="12" a="1"/>
  <c r="J308" i="12"/>
  <c r="H309" i="12" a="1"/>
  <c r="H309" i="12" s="1"/>
  <c r="I309" i="12" a="1"/>
  <c r="I309" i="12" s="1"/>
  <c r="J309" i="12" a="1"/>
  <c r="J309" i="12"/>
  <c r="H310" i="12" a="1"/>
  <c r="H310" i="12"/>
  <c r="I310" i="12" a="1"/>
  <c r="I310" i="12" s="1"/>
  <c r="J310" i="12" a="1"/>
  <c r="J310" i="12" s="1"/>
  <c r="H311" i="12" a="1"/>
  <c r="H311" i="12"/>
  <c r="I311" i="12" a="1"/>
  <c r="I311" i="12" s="1"/>
  <c r="J311" i="12" a="1"/>
  <c r="J311" i="12" s="1"/>
  <c r="H312" i="12" a="1"/>
  <c r="H312" i="12" s="1"/>
  <c r="I312" i="12" a="1"/>
  <c r="I312" i="12"/>
  <c r="J312" i="12" a="1"/>
  <c r="J312" i="12"/>
  <c r="H313" i="12" a="1"/>
  <c r="H313" i="12"/>
  <c r="I313" i="12" a="1"/>
  <c r="I313" i="12" s="1"/>
  <c r="J313" i="12" a="1"/>
  <c r="J313" i="12" s="1"/>
  <c r="H314" i="12" a="1"/>
  <c r="H314" i="12"/>
  <c r="I314" i="12" a="1"/>
  <c r="I314" i="12"/>
  <c r="J314" i="12" a="1"/>
  <c r="J314" i="12" s="1"/>
  <c r="H315" i="12" a="1"/>
  <c r="H315" i="12" s="1"/>
  <c r="I315" i="12" a="1"/>
  <c r="I315" i="12" s="1"/>
  <c r="J315" i="12" a="1"/>
  <c r="J315" i="12" s="1"/>
  <c r="H316" i="12" a="1"/>
  <c r="H316" i="12" s="1"/>
  <c r="I316" i="12" a="1"/>
  <c r="I316" i="12" s="1"/>
  <c r="J316" i="12" a="1"/>
  <c r="J316" i="12"/>
  <c r="H317" i="12" a="1"/>
  <c r="H317" i="12"/>
  <c r="I317" i="12" a="1"/>
  <c r="I317" i="12" s="1"/>
  <c r="J317" i="12" a="1"/>
  <c r="J317" i="12"/>
  <c r="H318" i="12" a="1"/>
  <c r="H318" i="12" s="1"/>
  <c r="I318" i="12" a="1"/>
  <c r="I318" i="12"/>
  <c r="J318" i="12" a="1"/>
  <c r="J318" i="12"/>
  <c r="H319" i="12" a="1"/>
  <c r="H319" i="12" s="1"/>
  <c r="I319" i="12" a="1"/>
  <c r="I319" i="12" s="1"/>
  <c r="J319" i="12" a="1"/>
  <c r="J319" i="12"/>
  <c r="H320" i="12" a="1"/>
  <c r="H320" i="12" s="1"/>
  <c r="I320" i="12" a="1"/>
  <c r="I320" i="12" s="1"/>
  <c r="J320" i="12" a="1"/>
  <c r="J320" i="12" s="1"/>
  <c r="H321" i="12" a="1"/>
  <c r="H321" i="12"/>
  <c r="I321" i="12" a="1"/>
  <c r="I321" i="12" s="1"/>
  <c r="J321" i="12" a="1"/>
  <c r="J321" i="12" s="1"/>
  <c r="H322" i="12" a="1"/>
  <c r="H322" i="12"/>
  <c r="I322" i="12" a="1"/>
  <c r="I322" i="12" s="1"/>
  <c r="J322" i="12" a="1"/>
  <c r="J322" i="12"/>
  <c r="H323" i="12" a="1"/>
  <c r="H323" i="12"/>
  <c r="I323" i="12" a="1"/>
  <c r="I323" i="12" s="1"/>
  <c r="J323" i="12" a="1"/>
  <c r="J323" i="12"/>
  <c r="H324" i="12" a="1"/>
  <c r="H324" i="12"/>
  <c r="I324" i="12" a="1"/>
  <c r="I324" i="12" s="1"/>
  <c r="J324" i="12" a="1"/>
  <c r="J324" i="12" s="1"/>
  <c r="H325" i="12" a="1"/>
  <c r="H325" i="12" s="1"/>
  <c r="I325" i="12" a="1"/>
  <c r="I325" i="12" s="1"/>
  <c r="J325" i="12" a="1"/>
  <c r="J325" i="12" s="1"/>
  <c r="H326" i="12" a="1"/>
  <c r="H326" i="12" s="1"/>
  <c r="I326" i="12" a="1"/>
  <c r="I326" i="12"/>
  <c r="J326" i="12" a="1"/>
  <c r="J326" i="12" s="1"/>
  <c r="H327" i="12" a="1"/>
  <c r="H327" i="12"/>
  <c r="I327" i="12" a="1"/>
  <c r="I327" i="12" s="1"/>
  <c r="J327" i="12" a="1"/>
  <c r="J327" i="12"/>
  <c r="H328" i="12" a="1"/>
  <c r="H328" i="12"/>
  <c r="I328" i="12" a="1"/>
  <c r="I328" i="12"/>
  <c r="J328" i="12" a="1"/>
  <c r="J328" i="12" s="1"/>
  <c r="H329" i="12" a="1"/>
  <c r="H329" i="12" s="1"/>
  <c r="I329" i="12" a="1"/>
  <c r="I329" i="12" s="1"/>
  <c r="J329" i="12" a="1"/>
  <c r="J329" i="12"/>
  <c r="H330" i="12" a="1"/>
  <c r="H330" i="12" s="1"/>
  <c r="I330" i="12" a="1"/>
  <c r="I330" i="12" s="1"/>
  <c r="J330" i="12" a="1"/>
  <c r="J330" i="12"/>
  <c r="H331" i="12" a="1"/>
  <c r="H331" i="12" s="1"/>
  <c r="I331" i="12" a="1"/>
  <c r="I331" i="12" s="1"/>
  <c r="J331" i="12" a="1"/>
  <c r="J331" i="12" s="1"/>
  <c r="H332" i="12" a="1"/>
  <c r="H332" i="12"/>
  <c r="I332" i="12" a="1"/>
  <c r="I332" i="12"/>
  <c r="J332" i="12" a="1"/>
  <c r="J332" i="12"/>
  <c r="H333" i="12" a="1"/>
  <c r="H333" i="12" s="1"/>
  <c r="I333" i="12" a="1"/>
  <c r="I333" i="12" s="1"/>
  <c r="J333" i="12" a="1"/>
  <c r="J333" i="12"/>
  <c r="H334" i="12" a="1"/>
  <c r="H334" i="12"/>
  <c r="I334" i="12" a="1"/>
  <c r="I334" i="12" s="1"/>
  <c r="J334" i="12" a="1"/>
  <c r="J334" i="12" s="1"/>
  <c r="H335" i="12" a="1"/>
  <c r="H335" i="12"/>
  <c r="I335" i="12" a="1"/>
  <c r="I335" i="12" s="1"/>
  <c r="J335" i="12" a="1"/>
  <c r="J335" i="12" s="1"/>
  <c r="H336" i="12" a="1"/>
  <c r="H336" i="12" s="1"/>
  <c r="I336" i="12" a="1"/>
  <c r="I336" i="12"/>
  <c r="J336" i="12" a="1"/>
  <c r="J336" i="12"/>
  <c r="H337" i="12" a="1"/>
  <c r="H337" i="12"/>
  <c r="I337" i="12" a="1"/>
  <c r="I337" i="12" s="1"/>
  <c r="J337" i="12" a="1"/>
  <c r="J337" i="12" s="1"/>
  <c r="H338" i="12" a="1"/>
  <c r="H338" i="12"/>
  <c r="I338" i="12" a="1"/>
  <c r="I338" i="12"/>
  <c r="J338" i="12" a="1"/>
  <c r="J338" i="12" s="1"/>
  <c r="H339" i="12" a="1"/>
  <c r="H339" i="12" s="1"/>
  <c r="I339" i="12" a="1"/>
  <c r="I339" i="12" s="1"/>
  <c r="J339" i="12" a="1"/>
  <c r="J339" i="12" s="1"/>
  <c r="H340" i="12" a="1"/>
  <c r="H340" i="12" s="1"/>
  <c r="I340" i="12" a="1"/>
  <c r="I340" i="12" s="1"/>
  <c r="J340" i="12" a="1"/>
  <c r="J340" i="12"/>
  <c r="H341" i="12" a="1"/>
  <c r="H341" i="12"/>
  <c r="I341" i="12" a="1"/>
  <c r="I341" i="12" s="1"/>
  <c r="J341" i="12" a="1"/>
  <c r="J341" i="12" s="1"/>
  <c r="H342" i="12" a="1"/>
  <c r="H342" i="12" s="1"/>
  <c r="I342" i="12" a="1"/>
  <c r="I342" i="12"/>
  <c r="J342" i="12" a="1"/>
  <c r="J342" i="12"/>
  <c r="H343" i="12" a="1"/>
  <c r="H343" i="12" s="1"/>
  <c r="I343" i="12" a="1"/>
  <c r="I343" i="12" s="1"/>
  <c r="J343" i="12" a="1"/>
  <c r="J343" i="12"/>
  <c r="H344" i="12" a="1"/>
  <c r="H344" i="12" s="1"/>
  <c r="I344" i="12" a="1"/>
  <c r="I344" i="12" s="1"/>
  <c r="J344" i="12" a="1"/>
  <c r="J344" i="12" s="1"/>
  <c r="H345" i="12" a="1"/>
  <c r="H345" i="12"/>
  <c r="I345" i="12" a="1"/>
  <c r="I345" i="12" s="1"/>
  <c r="J345" i="12" a="1"/>
  <c r="J345" i="12" s="1"/>
  <c r="H346" i="12" a="1"/>
  <c r="H346" i="12" s="1"/>
  <c r="I346" i="12" a="1"/>
  <c r="I346" i="12" s="1"/>
  <c r="J346" i="12" a="1"/>
  <c r="J346" i="12"/>
  <c r="H347" i="12" a="1"/>
  <c r="H347" i="12"/>
  <c r="I347" i="12" a="1"/>
  <c r="I347" i="12" s="1"/>
  <c r="J347" i="12" a="1"/>
  <c r="J347" i="12"/>
  <c r="H348" i="12" a="1"/>
  <c r="H348" i="12"/>
  <c r="I348" i="12" a="1"/>
  <c r="I348" i="12" s="1"/>
  <c r="J348" i="12" a="1"/>
  <c r="J348" i="12" s="1"/>
  <c r="H349" i="12" a="1"/>
  <c r="H349" i="12" s="1"/>
  <c r="I349" i="12" a="1"/>
  <c r="I349" i="12" s="1"/>
  <c r="J349" i="12" a="1"/>
  <c r="J349" i="12" s="1"/>
  <c r="H350" i="12" a="1"/>
  <c r="H350" i="12" s="1"/>
  <c r="I350" i="12" a="1"/>
  <c r="I350" i="12" s="1"/>
  <c r="J350" i="12" a="1"/>
  <c r="J350" i="12" s="1"/>
  <c r="H351" i="12" a="1"/>
  <c r="H351" i="12"/>
  <c r="I351" i="12" a="1"/>
  <c r="I351" i="12" s="1"/>
  <c r="J351" i="12" a="1"/>
  <c r="J351" i="12"/>
  <c r="H352" i="12" a="1"/>
  <c r="H352" i="12"/>
  <c r="I352" i="12" a="1"/>
  <c r="I352" i="12"/>
  <c r="J352" i="12" a="1"/>
  <c r="J352" i="12" s="1"/>
  <c r="H353" i="12" a="1"/>
  <c r="H353" i="12" s="1"/>
  <c r="I353" i="12" a="1"/>
  <c r="I353" i="12" s="1"/>
  <c r="J353" i="12" a="1"/>
  <c r="J353" i="12"/>
  <c r="H354" i="12" a="1"/>
  <c r="H354" i="12" s="1"/>
  <c r="I354" i="12" a="1"/>
  <c r="I354" i="12" s="1"/>
  <c r="J354" i="12" a="1"/>
  <c r="J354" i="12"/>
  <c r="H355" i="12" a="1"/>
  <c r="H355" i="12" s="1"/>
  <c r="I355" i="12" a="1"/>
  <c r="I355" i="12" s="1"/>
  <c r="J355" i="12" a="1"/>
  <c r="J355" i="12" s="1"/>
  <c r="H356" i="12" a="1"/>
  <c r="H356" i="12"/>
  <c r="I356" i="12" a="1"/>
  <c r="I356" i="12"/>
  <c r="J356" i="12" a="1"/>
  <c r="J356" i="12"/>
  <c r="H357" i="12" a="1"/>
  <c r="H357" i="12" s="1"/>
  <c r="I357" i="12" a="1"/>
  <c r="I357" i="12" s="1"/>
  <c r="J357" i="12" a="1"/>
  <c r="J357" i="12"/>
  <c r="H358" i="12" a="1"/>
  <c r="H358" i="12"/>
  <c r="I358" i="12" a="1"/>
  <c r="I358" i="12" s="1"/>
  <c r="J358" i="12" a="1"/>
  <c r="J358" i="12" s="1"/>
  <c r="H359" i="12" a="1"/>
  <c r="H359" i="12"/>
  <c r="I359" i="12" a="1"/>
  <c r="I359" i="12" s="1"/>
  <c r="J359" i="12" a="1"/>
  <c r="J359" i="12" s="1"/>
  <c r="H360" i="12" a="1"/>
  <c r="H360" i="12" s="1"/>
  <c r="I360" i="12" a="1"/>
  <c r="I360" i="12"/>
  <c r="J360" i="12" a="1"/>
  <c r="J360" i="12"/>
  <c r="H361" i="12" a="1"/>
  <c r="H361" i="12"/>
  <c r="I361" i="12" a="1"/>
  <c r="I361" i="12" s="1"/>
  <c r="J361" i="12" a="1"/>
  <c r="J361" i="12"/>
  <c r="H362" i="12" a="1"/>
  <c r="H362" i="12"/>
  <c r="I362" i="12" a="1"/>
  <c r="I362" i="12"/>
  <c r="J362" i="12" a="1"/>
  <c r="J362" i="12" s="1"/>
  <c r="H363" i="12" a="1"/>
  <c r="H363" i="12" s="1"/>
  <c r="I363" i="12" a="1"/>
  <c r="I363" i="12" s="1"/>
  <c r="J363" i="12" a="1"/>
  <c r="J363" i="12"/>
  <c r="H364" i="12" a="1"/>
  <c r="H364" i="12" s="1"/>
  <c r="I364" i="12" a="1"/>
  <c r="I364" i="12" s="1"/>
  <c r="J364" i="12" a="1"/>
  <c r="J364" i="12"/>
  <c r="H365" i="12" a="1"/>
  <c r="H365" i="12"/>
  <c r="I365" i="12" a="1"/>
  <c r="I365" i="12" s="1"/>
  <c r="J365" i="12" a="1"/>
  <c r="J365" i="12"/>
  <c r="H366" i="12" a="1"/>
  <c r="H366" i="12" s="1"/>
  <c r="I366" i="12" a="1"/>
  <c r="I366" i="12"/>
  <c r="J366" i="12" a="1"/>
  <c r="J366" i="12"/>
  <c r="H367" i="12" a="1"/>
  <c r="H367" i="12" s="1"/>
  <c r="I367" i="12" a="1"/>
  <c r="I367" i="12" s="1"/>
  <c r="J367" i="12" a="1"/>
  <c r="J367" i="12"/>
  <c r="H368" i="12" a="1"/>
  <c r="H368" i="12"/>
  <c r="I368" i="12" a="1"/>
  <c r="I368" i="12" s="1"/>
  <c r="J368" i="12" a="1"/>
  <c r="J368" i="12" s="1"/>
  <c r="H369" i="12" a="1"/>
  <c r="H369" i="12"/>
  <c r="I369" i="12" a="1"/>
  <c r="I369" i="12" s="1"/>
  <c r="J369" i="12" a="1"/>
  <c r="J369" i="12" s="1"/>
  <c r="H370" i="12" a="1"/>
  <c r="H370" i="12" s="1"/>
  <c r="I370" i="12" a="1"/>
  <c r="I370" i="12"/>
  <c r="J370" i="12" a="1"/>
  <c r="J370" i="12"/>
  <c r="H371" i="12" a="1"/>
  <c r="H371" i="12"/>
  <c r="I371" i="12" a="1"/>
  <c r="I371" i="12" s="1"/>
  <c r="J371" i="12" a="1"/>
  <c r="J371" i="12"/>
  <c r="H372" i="12" a="1"/>
  <c r="H372" i="12" s="1"/>
  <c r="I372" i="12" a="1"/>
  <c r="I372" i="12"/>
  <c r="J372" i="12" a="1"/>
  <c r="J372" i="12" s="1"/>
  <c r="H373" i="12" a="1"/>
  <c r="H373" i="12" s="1"/>
  <c r="I373" i="12" a="1"/>
  <c r="I373" i="12" s="1"/>
  <c r="J373" i="12" a="1"/>
  <c r="J373" i="12" s="1"/>
  <c r="H374" i="12" a="1"/>
  <c r="H374" i="12"/>
  <c r="I374" i="12" a="1"/>
  <c r="I374" i="12"/>
  <c r="J374" i="12" a="1"/>
  <c r="J374" i="12" s="1"/>
  <c r="H375" i="12" a="1"/>
  <c r="H375" i="12"/>
  <c r="I375" i="12" a="1"/>
  <c r="I375" i="12" s="1"/>
  <c r="J375" i="12" a="1"/>
  <c r="J375" i="12"/>
  <c r="H376" i="12" a="1"/>
  <c r="H376" i="12"/>
  <c r="I376" i="12" a="1"/>
  <c r="I376" i="12" s="1"/>
  <c r="J376" i="12" a="1"/>
  <c r="J376" i="12" s="1"/>
  <c r="H377" i="12" a="1"/>
  <c r="H377" i="12" s="1"/>
  <c r="I377" i="12" a="1"/>
  <c r="I377" i="12" s="1"/>
  <c r="J377" i="12" a="1"/>
  <c r="J377" i="12"/>
  <c r="H378" i="12" a="1"/>
  <c r="H378" i="12" s="1"/>
  <c r="I378" i="12" a="1"/>
  <c r="I378" i="12" s="1"/>
  <c r="J378" i="12" a="1"/>
  <c r="J378" i="12"/>
  <c r="H379" i="12" a="1"/>
  <c r="H379" i="12"/>
  <c r="I379" i="12" a="1"/>
  <c r="I379" i="12" s="1"/>
  <c r="J379" i="12" a="1"/>
  <c r="J379" i="12" s="1"/>
  <c r="H380" i="12" a="1"/>
  <c r="H380" i="12" s="1"/>
  <c r="I380" i="12" a="1"/>
  <c r="I380" i="12"/>
  <c r="J380" i="12" a="1"/>
  <c r="J380" i="12" s="1"/>
  <c r="H381" i="12" a="1"/>
  <c r="H381" i="12"/>
  <c r="I381" i="12" a="1"/>
  <c r="I381" i="12" s="1"/>
  <c r="J381" i="12" a="1"/>
  <c r="J381" i="12"/>
  <c r="H382" i="12" a="1"/>
  <c r="H382" i="12"/>
  <c r="I382" i="12" a="1"/>
  <c r="I382" i="12" s="1"/>
  <c r="J382" i="12" a="1"/>
  <c r="J382" i="12"/>
  <c r="H383" i="12" a="1"/>
  <c r="H383" i="12" s="1"/>
  <c r="I383" i="12" a="1"/>
  <c r="I383" i="12" s="1"/>
  <c r="J383" i="12" a="1"/>
  <c r="J383" i="12" s="1"/>
  <c r="H384" i="12" a="1"/>
  <c r="H384" i="12" s="1"/>
  <c r="I384" i="12" a="1"/>
  <c r="I384" i="12" s="1"/>
  <c r="J384" i="12" a="1"/>
  <c r="J384" i="12"/>
  <c r="H385" i="12" a="1"/>
  <c r="H385" i="12"/>
  <c r="I385" i="12" a="1"/>
  <c r="I385" i="12" s="1"/>
  <c r="J385" i="12" a="1"/>
  <c r="J385" i="12" s="1"/>
  <c r="H386" i="12" a="1"/>
  <c r="H386" i="12"/>
  <c r="I386" i="12" a="1"/>
  <c r="I386" i="12"/>
  <c r="J386" i="12" a="1"/>
  <c r="J386" i="12" s="1"/>
  <c r="H387" i="12" a="1"/>
  <c r="H387" i="12" s="1"/>
  <c r="I387" i="12" a="1"/>
  <c r="I387" i="12" s="1"/>
  <c r="J387" i="12" a="1"/>
  <c r="J387" i="12"/>
  <c r="H388" i="12" a="1"/>
  <c r="H388" i="12" s="1"/>
  <c r="I388" i="12" a="1"/>
  <c r="I388" i="12" s="1"/>
  <c r="J388" i="12" a="1"/>
  <c r="J388" i="12"/>
  <c r="H389" i="12" a="1"/>
  <c r="H389" i="12"/>
  <c r="I389" i="12" a="1"/>
  <c r="I389" i="12" s="1"/>
  <c r="J389" i="12" a="1"/>
  <c r="J389" i="12" s="1"/>
  <c r="H390" i="12" a="1"/>
  <c r="H390" i="12"/>
  <c r="I390" i="12" a="1"/>
  <c r="I390" i="12"/>
  <c r="J390" i="12" a="1"/>
  <c r="J390" i="12"/>
  <c r="H391" i="12" a="1"/>
  <c r="H391" i="12" s="1"/>
  <c r="I391" i="12" a="1"/>
  <c r="I391" i="12" s="1"/>
  <c r="J391" i="12" a="1"/>
  <c r="J391" i="12" s="1"/>
  <c r="H392" i="12" a="1"/>
  <c r="H392" i="12" s="1"/>
  <c r="I392" i="12" a="1"/>
  <c r="I392" i="12" s="1"/>
  <c r="J392" i="12" a="1"/>
  <c r="J392" i="12" s="1"/>
  <c r="H393" i="12" a="1"/>
  <c r="H393" i="12"/>
  <c r="I393" i="12" a="1"/>
  <c r="I393" i="12" s="1"/>
  <c r="J393" i="12" a="1"/>
  <c r="J393" i="12"/>
  <c r="H394" i="12" a="1"/>
  <c r="H394" i="12"/>
  <c r="I394" i="12" a="1"/>
  <c r="I394" i="12" s="1"/>
  <c r="J394" i="12" a="1"/>
  <c r="J394" i="12"/>
  <c r="H395" i="12" a="1"/>
  <c r="H395" i="12"/>
  <c r="I395" i="12" a="1"/>
  <c r="I395" i="12" s="1"/>
  <c r="J395" i="12" a="1"/>
  <c r="J395" i="12"/>
  <c r="H396" i="12" a="1"/>
  <c r="H396" i="12"/>
  <c r="I396" i="12" a="1"/>
  <c r="I396" i="12" s="1"/>
  <c r="J396" i="12" a="1"/>
  <c r="J396" i="12" s="1"/>
  <c r="H397" i="12" a="1"/>
  <c r="H397" i="12" s="1"/>
  <c r="I397" i="12" a="1"/>
  <c r="I397" i="12" s="1"/>
  <c r="J397" i="12" a="1"/>
  <c r="J397" i="12" s="1"/>
  <c r="H398" i="12" a="1"/>
  <c r="H398" i="12"/>
  <c r="I398" i="12" a="1"/>
  <c r="I398" i="12"/>
  <c r="J398" i="12" a="1"/>
  <c r="J398" i="12" s="1"/>
  <c r="H399" i="12" a="1"/>
  <c r="H399" i="12"/>
  <c r="I399" i="12" a="1"/>
  <c r="I399" i="12" s="1"/>
  <c r="J399" i="12" a="1"/>
  <c r="J399" i="12"/>
  <c r="H400" i="12" a="1"/>
  <c r="H400" i="12"/>
  <c r="I400" i="12" a="1"/>
  <c r="I400" i="12" s="1"/>
  <c r="J400" i="12" a="1"/>
  <c r="J400" i="12"/>
  <c r="H401" i="12" a="1"/>
  <c r="H401" i="12" s="1"/>
  <c r="I401" i="12" a="1"/>
  <c r="I401" i="12" s="1"/>
  <c r="J401" i="12" a="1"/>
  <c r="J401" i="12" s="1"/>
  <c r="H402" i="12" a="1"/>
  <c r="H402" i="12"/>
  <c r="I402" i="12" a="1"/>
  <c r="I402" i="12"/>
  <c r="J402" i="12" a="1"/>
  <c r="J402" i="12" s="1"/>
  <c r="H403" i="12" a="1"/>
  <c r="H403" i="12" s="1"/>
  <c r="I403" i="12" a="1"/>
  <c r="I403" i="12" s="1"/>
  <c r="J403" i="12" a="1"/>
  <c r="J403" i="12"/>
  <c r="H404" i="12" a="1"/>
  <c r="H404" i="12"/>
  <c r="I404" i="12" a="1"/>
  <c r="I404" i="12"/>
  <c r="J404" i="12" a="1"/>
  <c r="J404" i="12"/>
  <c r="H405" i="12" a="1"/>
  <c r="H405" i="12" s="1"/>
  <c r="I405" i="12" a="1"/>
  <c r="I405" i="12" s="1"/>
  <c r="J405" i="12" a="1"/>
  <c r="J405" i="12"/>
  <c r="H406" i="12" a="1"/>
  <c r="H406" i="12"/>
  <c r="I406" i="12" a="1"/>
  <c r="I406" i="12" s="1"/>
  <c r="J406" i="12" a="1"/>
  <c r="J406" i="12"/>
  <c r="H407" i="12" a="1"/>
  <c r="H407" i="12" s="1"/>
  <c r="I407" i="12" a="1"/>
  <c r="I407" i="12" s="1"/>
  <c r="J407" i="12" a="1"/>
  <c r="J407" i="12" s="1"/>
  <c r="H408" i="12" a="1"/>
  <c r="H408" i="12"/>
  <c r="I408" i="12" a="1"/>
  <c r="I408" i="12" s="1"/>
  <c r="J408" i="12" a="1"/>
  <c r="J408" i="12" s="1"/>
  <c r="H409" i="12" a="1"/>
  <c r="H409" i="12" s="1"/>
  <c r="I409" i="12" a="1"/>
  <c r="I409" i="12" s="1"/>
  <c r="J409" i="12" a="1"/>
  <c r="J409" i="12" s="1"/>
  <c r="H410" i="12" a="1"/>
  <c r="H410" i="12"/>
  <c r="I410" i="12" a="1"/>
  <c r="I410" i="12"/>
  <c r="J410" i="12" a="1"/>
  <c r="J410" i="12" s="1"/>
  <c r="H411" i="12" a="1"/>
  <c r="H411" i="12" s="1"/>
  <c r="I411" i="12" a="1"/>
  <c r="I411" i="12" s="1"/>
  <c r="J411" i="12" a="1"/>
  <c r="J411" i="12"/>
  <c r="H412" i="12" a="1"/>
  <c r="H412" i="12" s="1"/>
  <c r="I412" i="12" a="1"/>
  <c r="I412" i="12" s="1"/>
  <c r="J412" i="12" a="1"/>
  <c r="J412" i="12"/>
  <c r="H413" i="12" a="1"/>
  <c r="H413" i="12" s="1"/>
  <c r="I413" i="12" a="1"/>
  <c r="I413" i="12" s="1"/>
  <c r="J413" i="12" a="1"/>
  <c r="J413" i="12" s="1"/>
  <c r="H414" i="12" a="1"/>
  <c r="H414" i="12" s="1"/>
  <c r="I414" i="12" a="1"/>
  <c r="I414" i="12" s="1"/>
  <c r="J414" i="12" a="1"/>
  <c r="J414" i="12" s="1"/>
  <c r="H415" i="12" a="1"/>
  <c r="H415" i="12" s="1"/>
  <c r="I415" i="12" a="1"/>
  <c r="I415" i="12" s="1"/>
  <c r="J415" i="12" a="1"/>
  <c r="J415" i="12" s="1"/>
  <c r="H416" i="12" a="1"/>
  <c r="H416" i="12" s="1"/>
  <c r="I416" i="12" a="1"/>
  <c r="I416" i="12" s="1"/>
  <c r="J416" i="12" a="1"/>
  <c r="J416" i="12" s="1"/>
  <c r="H417" i="12" a="1"/>
  <c r="H417" i="12" s="1"/>
  <c r="I417" i="12" a="1"/>
  <c r="I417" i="12" s="1"/>
  <c r="J417" i="12" a="1"/>
  <c r="J417" i="12" s="1"/>
  <c r="H418" i="12" a="1"/>
  <c r="H418" i="12" s="1"/>
  <c r="I418" i="12" a="1"/>
  <c r="I418" i="12" s="1"/>
  <c r="J418" i="12" a="1"/>
  <c r="J418" i="12" s="1"/>
  <c r="H419" i="12" a="1"/>
  <c r="H419" i="12" s="1"/>
  <c r="I419" i="12" a="1"/>
  <c r="I419" i="12" s="1"/>
  <c r="J419" i="12" a="1"/>
  <c r="J419" i="12" s="1"/>
  <c r="H420" i="12" a="1"/>
  <c r="H420" i="12" s="1"/>
  <c r="I420" i="12" a="1"/>
  <c r="I420" i="12" s="1"/>
  <c r="J420" i="12" a="1"/>
  <c r="J420" i="12" s="1"/>
  <c r="H421" i="12" a="1"/>
  <c r="H421" i="12" s="1"/>
  <c r="I421" i="12" a="1"/>
  <c r="I421" i="12" s="1"/>
  <c r="J421" i="12" a="1"/>
  <c r="J421" i="12"/>
  <c r="H422" i="12" a="1"/>
  <c r="H422" i="12"/>
  <c r="I422" i="12" a="1"/>
  <c r="I422" i="12"/>
  <c r="J422" i="12" a="1"/>
  <c r="J422" i="12"/>
  <c r="H423" i="12" a="1"/>
  <c r="H423" i="12"/>
  <c r="I423" i="12" a="1"/>
  <c r="I423" i="12" s="1"/>
  <c r="J423" i="12" a="1"/>
  <c r="J423" i="12" s="1"/>
  <c r="H424" i="12" a="1"/>
  <c r="H424" i="12" s="1"/>
  <c r="I424" i="12" a="1"/>
  <c r="I424" i="12" s="1"/>
  <c r="J424" i="12" a="1"/>
  <c r="J424" i="12" s="1"/>
  <c r="H425" i="12" a="1"/>
  <c r="H425" i="12" s="1"/>
  <c r="I425" i="12" a="1"/>
  <c r="I425" i="12" s="1"/>
  <c r="J425" i="12" a="1"/>
  <c r="J425" i="12"/>
  <c r="H426" i="12" a="1"/>
  <c r="H426" i="12"/>
  <c r="I426" i="12" a="1"/>
  <c r="I426" i="12"/>
  <c r="J426" i="12" a="1"/>
  <c r="J426" i="12"/>
  <c r="H427" i="12" a="1"/>
  <c r="H427" i="12"/>
  <c r="I427" i="12" a="1"/>
  <c r="I427" i="12" s="1"/>
  <c r="J427" i="12" a="1"/>
  <c r="J427" i="12" s="1"/>
  <c r="H428" i="12" a="1"/>
  <c r="H428" i="12" s="1"/>
  <c r="I428" i="12" a="1"/>
  <c r="I428" i="12" s="1"/>
  <c r="J428" i="12" a="1"/>
  <c r="J428" i="12" s="1"/>
  <c r="H429" i="12" a="1"/>
  <c r="H429" i="12" s="1"/>
  <c r="I429" i="12" a="1"/>
  <c r="I429" i="12" s="1"/>
  <c r="J429" i="12" a="1"/>
  <c r="J429" i="12"/>
  <c r="H430" i="12" a="1"/>
  <c r="H430" i="12"/>
  <c r="I430" i="12" a="1"/>
  <c r="I430" i="12"/>
  <c r="J430" i="12" a="1"/>
  <c r="J430" i="12"/>
  <c r="H431" i="12" a="1"/>
  <c r="H431" i="12"/>
  <c r="I431" i="12" a="1"/>
  <c r="I431" i="12" s="1"/>
  <c r="J431" i="12" a="1"/>
  <c r="J431" i="12" s="1"/>
  <c r="H432" i="12" a="1"/>
  <c r="H432" i="12" s="1"/>
  <c r="I432" i="12" a="1"/>
  <c r="I432" i="12" s="1"/>
  <c r="J432" i="12" a="1"/>
  <c r="J432" i="12" s="1"/>
  <c r="H433" i="12" a="1"/>
  <c r="H433" i="12" s="1"/>
  <c r="I433" i="12" a="1"/>
  <c r="I433" i="12" s="1"/>
  <c r="J433" i="12" a="1"/>
  <c r="J433" i="12"/>
  <c r="H434" i="12" a="1"/>
  <c r="H434" i="12"/>
  <c r="I434" i="12" a="1"/>
  <c r="I434" i="12"/>
  <c r="J434" i="12" a="1"/>
  <c r="J434" i="12"/>
  <c r="H435" i="12" a="1"/>
  <c r="H435" i="12"/>
  <c r="I435" i="12" a="1"/>
  <c r="I435" i="12" s="1"/>
  <c r="J435" i="12" a="1"/>
  <c r="J435" i="12" s="1"/>
  <c r="H436" i="12" a="1"/>
  <c r="H436" i="12" s="1"/>
  <c r="I436" i="12" a="1"/>
  <c r="I436" i="12" s="1"/>
  <c r="J436" i="12" a="1"/>
  <c r="J436" i="12" s="1"/>
  <c r="H437" i="12" a="1"/>
  <c r="H437" i="12" s="1"/>
  <c r="I437" i="12" a="1"/>
  <c r="I437" i="12" s="1"/>
  <c r="J437" i="12" a="1"/>
  <c r="J437" i="12"/>
  <c r="H438" i="12" a="1"/>
  <c r="H438" i="12"/>
  <c r="I438" i="12" a="1"/>
  <c r="I438" i="12"/>
  <c r="J438" i="12" a="1"/>
  <c r="J438" i="12"/>
  <c r="H439" i="12" a="1"/>
  <c r="H439" i="12"/>
  <c r="I439" i="12" a="1"/>
  <c r="I439" i="12" s="1"/>
  <c r="J439" i="12" a="1"/>
  <c r="J439" i="12" s="1"/>
  <c r="H440" i="12" a="1"/>
  <c r="H440" i="12" s="1"/>
  <c r="I440" i="12" a="1"/>
  <c r="I440" i="12" s="1"/>
  <c r="J440" i="12" a="1"/>
  <c r="J440" i="12" s="1"/>
  <c r="H441" i="12" a="1"/>
  <c r="H441" i="12" s="1"/>
  <c r="I441" i="12" a="1"/>
  <c r="I441" i="12" s="1"/>
  <c r="J441" i="12" a="1"/>
  <c r="J441" i="12"/>
  <c r="H442" i="12" a="1"/>
  <c r="H442" i="12"/>
  <c r="I442" i="12" a="1"/>
  <c r="I442" i="12"/>
  <c r="J442" i="12" a="1"/>
  <c r="J442" i="12"/>
  <c r="H443" i="12" a="1"/>
  <c r="H443" i="12"/>
  <c r="I443" i="12" a="1"/>
  <c r="I443" i="12" s="1"/>
  <c r="J443" i="12" a="1"/>
  <c r="J443" i="12" s="1"/>
  <c r="H444" i="12" a="1"/>
  <c r="H444" i="12" s="1"/>
  <c r="I444" i="12" a="1"/>
  <c r="I444" i="12" s="1"/>
  <c r="J444" i="12" a="1"/>
  <c r="J444" i="12" s="1"/>
  <c r="H445" i="12" a="1"/>
  <c r="H445" i="12" s="1"/>
  <c r="I445" i="12" a="1"/>
  <c r="I445" i="12" s="1"/>
  <c r="J445" i="12" a="1"/>
  <c r="J445" i="12"/>
  <c r="H446" i="12" a="1"/>
  <c r="H446" i="12"/>
  <c r="I446" i="12" a="1"/>
  <c r="I446" i="12"/>
  <c r="J446" i="12" a="1"/>
  <c r="J446" i="12"/>
  <c r="H447" i="12" a="1"/>
  <c r="H447" i="12"/>
  <c r="I447" i="12" a="1"/>
  <c r="I447" i="12" s="1"/>
  <c r="J447" i="12" a="1"/>
  <c r="J447" i="12" s="1"/>
  <c r="H448" i="12" a="1"/>
  <c r="H448" i="12" s="1"/>
  <c r="I448" i="12" a="1"/>
  <c r="I448" i="12" s="1"/>
  <c r="J448" i="12" a="1"/>
  <c r="J448" i="12" s="1"/>
  <c r="H449" i="12" a="1"/>
  <c r="H449" i="12" s="1"/>
  <c r="I449" i="12" a="1"/>
  <c r="I449" i="12" s="1"/>
  <c r="J449" i="12" a="1"/>
  <c r="J449" i="12"/>
  <c r="H450" i="12" a="1"/>
  <c r="H450" i="12"/>
  <c r="I450" i="12" a="1"/>
  <c r="I450" i="12"/>
  <c r="J450" i="12" a="1"/>
  <c r="J450" i="12"/>
  <c r="H451" i="12" a="1"/>
  <c r="H451" i="12"/>
  <c r="I451" i="12" a="1"/>
  <c r="I451" i="12" s="1"/>
  <c r="J451" i="12" a="1"/>
  <c r="J451" i="12" s="1"/>
  <c r="H452" i="12" a="1"/>
  <c r="H452" i="12" s="1"/>
  <c r="I452" i="12" a="1"/>
  <c r="I452" i="12" s="1"/>
  <c r="J452" i="12" a="1"/>
  <c r="J452" i="12"/>
  <c r="H453" i="12" a="1"/>
  <c r="H453" i="12" s="1"/>
  <c r="I453" i="12" a="1"/>
  <c r="I453" i="12" s="1"/>
  <c r="J453" i="12" a="1"/>
  <c r="J453" i="12"/>
  <c r="H454" i="12" a="1"/>
  <c r="H454" i="12"/>
  <c r="I454" i="12" a="1"/>
  <c r="I454" i="12"/>
  <c r="J454" i="12" a="1"/>
  <c r="J454" i="12"/>
  <c r="H455" i="12" a="1"/>
  <c r="H455" i="12"/>
  <c r="I455" i="12" a="1"/>
  <c r="I455" i="12" s="1"/>
  <c r="J455" i="12" a="1"/>
  <c r="J455" i="12" s="1"/>
  <c r="H456" i="12" a="1"/>
  <c r="H456" i="12" s="1"/>
  <c r="I456" i="12" a="1"/>
  <c r="I456" i="12" s="1"/>
  <c r="J456" i="12" a="1"/>
  <c r="J456" i="12" s="1"/>
  <c r="H457" i="12" a="1"/>
  <c r="H457" i="12"/>
  <c r="I457" i="12" a="1"/>
  <c r="I457" i="12" s="1"/>
  <c r="J457" i="12" a="1"/>
  <c r="J457" i="12"/>
  <c r="H458" i="12" a="1"/>
  <c r="H458" i="12"/>
  <c r="I458" i="12" a="1"/>
  <c r="I458" i="12"/>
  <c r="J458" i="12" a="1"/>
  <c r="J458" i="12"/>
  <c r="H459" i="12" a="1"/>
  <c r="H459" i="12"/>
  <c r="I459" i="12" a="1"/>
  <c r="I459" i="12" s="1"/>
  <c r="J459" i="12" a="1"/>
  <c r="J459" i="12" s="1"/>
  <c r="H460" i="12" a="1"/>
  <c r="H460" i="12" s="1"/>
  <c r="I460" i="12" a="1"/>
  <c r="I460" i="12" s="1"/>
  <c r="J460" i="12" a="1"/>
  <c r="J460" i="12" s="1"/>
  <c r="H461" i="12" a="1"/>
  <c r="H461" i="12" s="1"/>
  <c r="I461" i="12" a="1"/>
  <c r="I461" i="12" s="1"/>
  <c r="J461" i="12" a="1"/>
  <c r="J461" i="12"/>
  <c r="H462" i="12" a="1"/>
  <c r="H462" i="12"/>
  <c r="I462" i="12" a="1"/>
  <c r="I462" i="12"/>
  <c r="J462" i="12" a="1"/>
  <c r="J462" i="12"/>
  <c r="H463" i="12" a="1"/>
  <c r="H463" i="12"/>
  <c r="I463" i="12" a="1"/>
  <c r="I463" i="12" s="1"/>
  <c r="J463" i="12" a="1"/>
  <c r="J463" i="12"/>
  <c r="H464" i="12" a="1"/>
  <c r="H464" i="12" s="1"/>
  <c r="I464" i="12" a="1"/>
  <c r="I464" i="12" s="1"/>
  <c r="J464" i="12" a="1"/>
  <c r="J464" i="12" s="1"/>
  <c r="H465" i="12" a="1"/>
  <c r="H465" i="12" s="1"/>
  <c r="I465" i="12" a="1"/>
  <c r="I465" i="12" s="1"/>
  <c r="J465" i="12" a="1"/>
  <c r="J465" i="12"/>
  <c r="H466" i="12" a="1"/>
  <c r="H466" i="12"/>
  <c r="I466" i="12" a="1"/>
  <c r="I466" i="12"/>
  <c r="J466" i="12" a="1"/>
  <c r="J466" i="12"/>
  <c r="H467" i="12" a="1"/>
  <c r="H467" i="12"/>
  <c r="I467" i="12" a="1"/>
  <c r="I467" i="12" s="1"/>
  <c r="J467" i="12" a="1"/>
  <c r="J467" i="12" s="1"/>
  <c r="H468" i="12" a="1"/>
  <c r="H468" i="12"/>
  <c r="I468" i="12" a="1"/>
  <c r="I468" i="12" s="1"/>
  <c r="J468" i="12" a="1"/>
  <c r="J468" i="12" s="1"/>
  <c r="H469" i="12" a="1"/>
  <c r="H469" i="12" s="1"/>
  <c r="I469" i="12" a="1"/>
  <c r="I469" i="12" s="1"/>
  <c r="J469" i="12" a="1"/>
  <c r="J469" i="12"/>
  <c r="H470" i="12" a="1"/>
  <c r="H470" i="12"/>
  <c r="I470" i="12" a="1"/>
  <c r="I470" i="12"/>
  <c r="J470" i="12" a="1"/>
  <c r="J470" i="12"/>
  <c r="H471" i="12" a="1"/>
  <c r="H471" i="12"/>
  <c r="I471" i="12" a="1"/>
  <c r="I471" i="12" s="1"/>
  <c r="J471" i="12" a="1"/>
  <c r="J471" i="12" s="1"/>
  <c r="H472" i="12" a="1"/>
  <c r="H472" i="12" s="1"/>
  <c r="I472" i="12" a="1"/>
  <c r="I472" i="12"/>
  <c r="J472" i="12" a="1"/>
  <c r="J472" i="12" s="1"/>
  <c r="H473" i="12" a="1"/>
  <c r="H473" i="12" s="1"/>
  <c r="I473" i="12" a="1"/>
  <c r="I473" i="12" s="1"/>
  <c r="J473" i="12" a="1"/>
  <c r="J473" i="12"/>
  <c r="H474" i="12" a="1"/>
  <c r="H474" i="12"/>
  <c r="I474" i="12" a="1"/>
  <c r="I474" i="12"/>
  <c r="J474" i="12" a="1"/>
  <c r="J474" i="12"/>
  <c r="H475" i="12" a="1"/>
  <c r="H475" i="12"/>
  <c r="I475" i="12" a="1"/>
  <c r="I475" i="12" s="1"/>
  <c r="J475" i="12" a="1"/>
  <c r="J475" i="12" s="1"/>
  <c r="H476" i="12" a="1"/>
  <c r="H476" i="12"/>
  <c r="I476" i="12" a="1"/>
  <c r="I476" i="12" s="1"/>
  <c r="J476" i="12" a="1"/>
  <c r="J476" i="12"/>
  <c r="H477" i="12" a="1"/>
  <c r="H477" i="12" s="1"/>
  <c r="I477" i="12" a="1"/>
  <c r="I477" i="12" s="1"/>
  <c r="J477" i="12" a="1"/>
  <c r="J477" i="12"/>
  <c r="H2" i="12" a="1"/>
  <c r="H2" i="12" s="1"/>
  <c r="J2" i="12" a="1"/>
  <c r="J2" i="12" s="1"/>
  <c r="I2" i="12" a="1"/>
  <c r="I2" i="12" s="1"/>
  <c r="K473" i="12" a="1"/>
  <c r="K473" i="12" s="1"/>
  <c r="L473" i="12" a="1"/>
  <c r="L473" i="12" s="1"/>
  <c r="M473" i="12" a="1"/>
  <c r="M473" i="12" s="1"/>
  <c r="N473" i="12" a="1"/>
  <c r="N473" i="12" s="1"/>
  <c r="K474" i="12" a="1"/>
  <c r="K474" i="12" s="1"/>
  <c r="L474" i="12" a="1"/>
  <c r="L474" i="12" s="1"/>
  <c r="M474" i="12" a="1"/>
  <c r="M474" i="12" s="1"/>
  <c r="N474" i="12" a="1"/>
  <c r="N474" i="12" s="1"/>
  <c r="O24" i="3" l="1"/>
  <c r="O4" i="3"/>
  <c r="O5" i="3"/>
  <c r="O161" i="3"/>
  <c r="O6" i="3"/>
  <c r="O7" i="3"/>
  <c r="O162" i="3"/>
  <c r="O163" i="3"/>
  <c r="O8" i="3"/>
  <c r="O9" i="3"/>
  <c r="O10" i="3"/>
  <c r="O11" i="3"/>
  <c r="O12" i="3"/>
  <c r="O13" i="3"/>
  <c r="O14" i="3"/>
  <c r="O22" i="3"/>
  <c r="O25" i="3"/>
  <c r="O15" i="3"/>
  <c r="O16" i="3"/>
  <c r="O164" i="3"/>
  <c r="O17" i="3"/>
  <c r="O18" i="3"/>
  <c r="O20" i="3"/>
  <c r="O346" i="3"/>
  <c r="O19" i="3"/>
  <c r="O23" i="3"/>
  <c r="O21" i="3"/>
  <c r="O26" i="3"/>
  <c r="O27" i="3"/>
  <c r="O28" i="3"/>
  <c r="O29" i="3"/>
  <c r="O30" i="3"/>
  <c r="O31" i="3"/>
  <c r="O105"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6" i="3"/>
  <c r="O107" i="3"/>
  <c r="O108" i="3"/>
  <c r="O109" i="3"/>
  <c r="O110" i="3"/>
  <c r="O111" i="3"/>
  <c r="O112" i="3"/>
  <c r="O113" i="3"/>
  <c r="O114" i="3"/>
  <c r="O115" i="3"/>
  <c r="O116" i="3"/>
  <c r="O117" i="3"/>
  <c r="O118" i="3"/>
  <c r="O119" i="3"/>
  <c r="O120" i="3"/>
  <c r="O121" i="3"/>
  <c r="O122" i="3"/>
  <c r="O123" i="3"/>
  <c r="O124" i="3"/>
  <c r="O125" i="3"/>
  <c r="O126" i="3"/>
  <c r="O165" i="3"/>
  <c r="O127" i="3"/>
  <c r="O128" i="3"/>
  <c r="O166" i="3"/>
  <c r="O167" i="3"/>
  <c r="O168" i="3"/>
  <c r="O129" i="3"/>
  <c r="O158" i="3"/>
  <c r="O159" i="3"/>
  <c r="O160"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104" i="3"/>
  <c r="O130" i="3"/>
  <c r="O131" i="3"/>
  <c r="O132" i="3"/>
  <c r="O169" i="3"/>
  <c r="O133" i="3"/>
  <c r="O134" i="3"/>
  <c r="O135" i="3"/>
  <c r="O136" i="3"/>
  <c r="O341" i="3"/>
  <c r="O342" i="3"/>
  <c r="O170" i="3"/>
  <c r="O137" i="3"/>
  <c r="O171" i="3"/>
  <c r="O138" i="3"/>
  <c r="O139" i="3"/>
  <c r="O140" i="3"/>
  <c r="O141" i="3"/>
  <c r="O142" i="3"/>
  <c r="O143" i="3"/>
  <c r="O144" i="3"/>
  <c r="O145" i="3"/>
  <c r="O146" i="3"/>
  <c r="O172" i="3"/>
  <c r="O147" i="3"/>
  <c r="O173" i="3"/>
  <c r="O148" i="3"/>
  <c r="O149" i="3"/>
  <c r="O343" i="3"/>
  <c r="O150" i="3"/>
  <c r="O151" i="3"/>
  <c r="O152" i="3"/>
  <c r="O153" i="3"/>
  <c r="O344" i="3"/>
  <c r="O174" i="3"/>
  <c r="O175" i="3"/>
  <c r="O176" i="3"/>
  <c r="O345" i="3"/>
  <c r="O177" i="3"/>
  <c r="O154" i="3"/>
  <c r="O178" i="3"/>
  <c r="O179" i="3"/>
  <c r="O155" i="3"/>
  <c r="O156" i="3"/>
  <c r="O157" i="3"/>
  <c r="P24" i="3"/>
  <c r="P4" i="3"/>
  <c r="P5" i="3"/>
  <c r="P161" i="3"/>
  <c r="P6" i="3"/>
  <c r="P7" i="3"/>
  <c r="P162" i="3"/>
  <c r="P163" i="3"/>
  <c r="P8" i="3"/>
  <c r="P9" i="3"/>
  <c r="P10" i="3"/>
  <c r="P11" i="3"/>
  <c r="P12" i="3"/>
  <c r="P13" i="3"/>
  <c r="P14" i="3"/>
  <c r="P22" i="3"/>
  <c r="P25" i="3"/>
  <c r="P15" i="3"/>
  <c r="P16" i="3"/>
  <c r="P164" i="3"/>
  <c r="P17" i="3"/>
  <c r="P18" i="3"/>
  <c r="P20" i="3"/>
  <c r="P346" i="3"/>
  <c r="P19" i="3"/>
  <c r="P23" i="3"/>
  <c r="P21" i="3"/>
  <c r="P26" i="3"/>
  <c r="P27" i="3"/>
  <c r="P28" i="3"/>
  <c r="P29" i="3"/>
  <c r="P30" i="3"/>
  <c r="P31" i="3"/>
  <c r="P105"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6" i="3"/>
  <c r="P107" i="3"/>
  <c r="P108" i="3"/>
  <c r="P109" i="3"/>
  <c r="P110" i="3"/>
  <c r="P111" i="3"/>
  <c r="P112" i="3"/>
  <c r="P113" i="3"/>
  <c r="P114" i="3"/>
  <c r="P115" i="3"/>
  <c r="P116" i="3"/>
  <c r="P117" i="3"/>
  <c r="P118" i="3"/>
  <c r="P119" i="3"/>
  <c r="P120" i="3"/>
  <c r="P121" i="3"/>
  <c r="P122" i="3"/>
  <c r="P123" i="3"/>
  <c r="P124" i="3"/>
  <c r="P125" i="3"/>
  <c r="P126" i="3"/>
  <c r="P165" i="3"/>
  <c r="P127" i="3"/>
  <c r="P128" i="3"/>
  <c r="P166" i="3"/>
  <c r="P167" i="3"/>
  <c r="P168" i="3"/>
  <c r="P129" i="3"/>
  <c r="P158" i="3"/>
  <c r="P159" i="3"/>
  <c r="P160"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104" i="3"/>
  <c r="P130" i="3"/>
  <c r="P131" i="3"/>
  <c r="P132" i="3"/>
  <c r="P169" i="3"/>
  <c r="P133" i="3"/>
  <c r="P134" i="3"/>
  <c r="P135" i="3"/>
  <c r="P136" i="3"/>
  <c r="P341" i="3"/>
  <c r="P342" i="3"/>
  <c r="P170" i="3"/>
  <c r="P137" i="3"/>
  <c r="P171" i="3"/>
  <c r="P138" i="3"/>
  <c r="P139" i="3"/>
  <c r="P140" i="3"/>
  <c r="P141" i="3"/>
  <c r="P142" i="3"/>
  <c r="P143" i="3"/>
  <c r="P144" i="3"/>
  <c r="P145" i="3"/>
  <c r="P146" i="3"/>
  <c r="P172" i="3"/>
  <c r="P147" i="3"/>
  <c r="P173" i="3"/>
  <c r="P148" i="3"/>
  <c r="P149" i="3"/>
  <c r="P343" i="3"/>
  <c r="P150" i="3"/>
  <c r="P151" i="3"/>
  <c r="P152" i="3"/>
  <c r="P153" i="3"/>
  <c r="P344" i="3"/>
  <c r="P174" i="3"/>
  <c r="P175" i="3"/>
  <c r="P176" i="3"/>
  <c r="P345" i="3"/>
  <c r="P177" i="3"/>
  <c r="P154" i="3"/>
  <c r="P178" i="3"/>
  <c r="P179" i="3"/>
  <c r="P155" i="3"/>
  <c r="P156" i="3"/>
  <c r="P157" i="3"/>
  <c r="P3" i="3"/>
  <c r="AB70" i="5" l="1"/>
  <c r="AB71" i="5"/>
  <c r="AB72" i="5"/>
  <c r="AB73" i="5"/>
  <c r="AB2" i="5"/>
  <c r="AB10" i="5"/>
  <c r="AB74" i="5"/>
  <c r="AB38" i="5"/>
  <c r="AB67" i="5"/>
  <c r="AB62" i="5"/>
  <c r="AB63" i="5"/>
  <c r="AB30" i="5"/>
  <c r="AB54" i="5"/>
  <c r="AB65" i="5"/>
  <c r="AB75" i="5"/>
  <c r="AB5" i="5"/>
  <c r="AB8" i="5"/>
  <c r="AB57" i="5"/>
  <c r="AB15" i="5"/>
  <c r="AB22" i="5"/>
  <c r="AB24" i="5"/>
  <c r="AB76" i="5"/>
  <c r="AB37" i="5"/>
  <c r="AB13" i="5"/>
  <c r="AB59" i="5"/>
  <c r="AB18" i="5"/>
  <c r="AB4" i="5"/>
  <c r="AB47" i="5"/>
  <c r="AB50" i="5"/>
  <c r="AB51" i="5"/>
  <c r="AB60" i="5"/>
  <c r="AB17" i="5"/>
  <c r="AB20" i="5"/>
  <c r="AB77" i="5"/>
  <c r="AB26" i="5"/>
  <c r="AB41" i="5"/>
  <c r="AB53" i="5"/>
  <c r="AB14" i="5"/>
  <c r="AB78" i="5"/>
  <c r="AB12" i="5"/>
  <c r="AB11" i="5"/>
  <c r="AB61" i="5"/>
  <c r="AB79" i="5"/>
  <c r="AB49" i="5"/>
  <c r="AB9" i="5"/>
  <c r="AB16" i="5"/>
  <c r="AB19" i="5"/>
  <c r="AB23" i="5"/>
  <c r="AB6" i="5"/>
  <c r="AB48" i="5"/>
  <c r="AB52" i="5"/>
  <c r="AB64" i="5"/>
  <c r="AB66" i="5"/>
  <c r="AB80" i="5"/>
  <c r="AB42" i="5"/>
  <c r="AB58" i="5"/>
  <c r="AB21" i="5"/>
  <c r="AB68" i="5"/>
  <c r="AB81" i="5"/>
  <c r="AB82" i="5"/>
  <c r="AB83" i="5"/>
  <c r="AB84" i="5"/>
  <c r="AB85" i="5"/>
  <c r="AB86" i="5"/>
  <c r="AB87" i="5"/>
  <c r="AB88" i="5"/>
  <c r="AB89" i="5"/>
  <c r="AB90" i="5"/>
  <c r="AB91" i="5"/>
  <c r="AB92" i="5"/>
  <c r="AB93" i="5"/>
  <c r="AB94" i="5"/>
  <c r="AB95" i="5"/>
  <c r="AB96" i="5"/>
  <c r="AB97" i="5"/>
  <c r="AB98" i="5"/>
  <c r="AB99" i="5"/>
  <c r="AB100" i="5"/>
  <c r="AB101" i="5"/>
  <c r="AB102" i="5"/>
  <c r="AB103" i="5"/>
  <c r="AB104" i="5"/>
  <c r="AB105" i="5"/>
  <c r="AB106" i="5"/>
  <c r="AB107" i="5"/>
  <c r="AB108" i="5"/>
  <c r="AB109" i="5"/>
  <c r="AB110" i="5"/>
  <c r="AB111" i="5"/>
  <c r="AB112" i="5"/>
  <c r="AB113" i="5"/>
  <c r="AB114" i="5"/>
  <c r="AB115" i="5"/>
  <c r="AB116" i="5"/>
  <c r="AB117" i="5"/>
  <c r="AB118" i="5"/>
  <c r="AB119" i="5"/>
  <c r="AB120" i="5"/>
  <c r="AB121" i="5"/>
  <c r="AB122" i="5"/>
  <c r="AB123" i="5"/>
  <c r="AB124" i="5"/>
  <c r="AB125" i="5"/>
  <c r="AB126" i="5"/>
  <c r="AB127" i="5"/>
  <c r="AB128" i="5"/>
  <c r="AB129" i="5"/>
  <c r="AB130" i="5"/>
  <c r="AB131" i="5"/>
  <c r="AB132" i="5"/>
  <c r="AB133" i="5"/>
  <c r="AB134" i="5"/>
  <c r="AB135" i="5"/>
  <c r="AB136" i="5"/>
  <c r="AB137" i="5"/>
  <c r="AB138" i="5"/>
  <c r="AB139" i="5"/>
  <c r="AB140" i="5"/>
  <c r="AB141" i="5"/>
  <c r="AB142" i="5"/>
  <c r="AB143" i="5"/>
  <c r="AB144" i="5"/>
  <c r="AB145" i="5"/>
  <c r="AB146" i="5"/>
  <c r="AB147" i="5"/>
  <c r="AB148" i="5"/>
  <c r="AB149" i="5"/>
  <c r="AB150" i="5"/>
  <c r="AB151" i="5"/>
  <c r="AB152" i="5"/>
  <c r="AB153" i="5"/>
  <c r="AB154" i="5"/>
  <c r="AB155" i="5"/>
  <c r="AB156" i="5"/>
  <c r="AB157" i="5"/>
  <c r="AB158" i="5"/>
  <c r="AB159" i="5"/>
  <c r="AB160" i="5"/>
  <c r="AB161" i="5"/>
  <c r="AB162" i="5"/>
  <c r="AB163" i="5"/>
  <c r="AB164" i="5"/>
  <c r="AB165" i="5"/>
  <c r="AB166" i="5"/>
  <c r="AB167" i="5"/>
  <c r="AB168" i="5"/>
  <c r="AB169" i="5"/>
  <c r="AB170" i="5"/>
  <c r="AB171" i="5"/>
  <c r="AB172" i="5"/>
  <c r="AB173" i="5"/>
  <c r="AB174" i="5"/>
  <c r="AB175" i="5"/>
  <c r="AB176" i="5"/>
  <c r="AB177" i="5"/>
  <c r="AB178" i="5"/>
  <c r="AB179" i="5"/>
  <c r="AB180" i="5"/>
  <c r="AB181" i="5"/>
  <c r="AB182" i="5"/>
  <c r="AB183" i="5"/>
  <c r="AB184" i="5"/>
  <c r="AB185" i="5"/>
  <c r="AB186" i="5"/>
  <c r="AB187" i="5"/>
  <c r="AB188" i="5"/>
  <c r="AB189" i="5"/>
  <c r="AB190" i="5"/>
  <c r="AB191" i="5"/>
  <c r="AB192" i="5"/>
  <c r="AB193" i="5"/>
  <c r="AB194" i="5"/>
  <c r="AB195" i="5"/>
  <c r="AB196" i="5"/>
  <c r="AB197" i="5"/>
  <c r="AB198" i="5"/>
  <c r="AB199" i="5"/>
  <c r="AB200" i="5"/>
  <c r="AB201" i="5"/>
  <c r="AB202" i="5"/>
  <c r="AB203" i="5"/>
  <c r="AB204" i="5"/>
  <c r="AB205" i="5"/>
  <c r="AB206" i="5"/>
  <c r="AB207" i="5"/>
  <c r="AB208" i="5"/>
  <c r="AB209" i="5"/>
  <c r="AB210" i="5"/>
  <c r="AB211" i="5"/>
  <c r="AB212" i="5"/>
  <c r="AB213" i="5"/>
  <c r="AB214" i="5"/>
  <c r="AB215" i="5"/>
  <c r="AB216" i="5"/>
  <c r="AB217" i="5"/>
  <c r="AB218" i="5"/>
  <c r="AB219" i="5"/>
  <c r="AB220" i="5"/>
  <c r="AB221" i="5"/>
  <c r="AB222" i="5"/>
  <c r="AB223" i="5"/>
  <c r="AB224" i="5"/>
  <c r="AB225" i="5"/>
  <c r="AB226" i="5"/>
  <c r="AB227" i="5"/>
  <c r="AB228" i="5"/>
  <c r="AB229" i="5"/>
  <c r="AB230" i="5"/>
  <c r="AB231" i="5"/>
  <c r="AB232" i="5"/>
  <c r="AB233" i="5"/>
  <c r="AB234" i="5"/>
  <c r="AB235" i="5"/>
  <c r="AB236" i="5"/>
  <c r="AB237" i="5"/>
  <c r="AB238" i="5"/>
  <c r="AB239" i="5"/>
  <c r="AB240" i="5"/>
  <c r="AB241" i="5"/>
  <c r="AB242" i="5"/>
  <c r="AB243" i="5"/>
  <c r="AB244" i="5"/>
  <c r="AB245" i="5"/>
  <c r="AB246" i="5"/>
  <c r="AB247" i="5"/>
  <c r="AB248" i="5"/>
  <c r="AB249" i="5"/>
  <c r="AB250" i="5"/>
  <c r="AB251" i="5"/>
  <c r="AB252" i="5"/>
  <c r="AB253" i="5"/>
  <c r="AB254" i="5"/>
  <c r="AB255" i="5"/>
  <c r="AB256" i="5"/>
  <c r="AB257" i="5"/>
  <c r="AB258" i="5"/>
  <c r="AB259" i="5"/>
  <c r="AB260" i="5"/>
  <c r="AB261" i="5"/>
  <c r="AB262" i="5"/>
  <c r="AB263" i="5"/>
  <c r="AB264" i="5"/>
  <c r="AB265" i="5"/>
  <c r="AB266" i="5"/>
  <c r="AB267" i="5"/>
  <c r="AB268" i="5"/>
  <c r="AB269" i="5"/>
  <c r="AB270" i="5"/>
  <c r="AB271" i="5"/>
  <c r="AB272" i="5"/>
  <c r="AB273" i="5"/>
  <c r="AB274" i="5"/>
  <c r="AB275" i="5"/>
  <c r="AB276" i="5"/>
  <c r="AB277" i="5"/>
  <c r="AB278" i="5"/>
  <c r="AB279" i="5"/>
  <c r="AB280" i="5"/>
  <c r="AB281" i="5"/>
  <c r="AB282" i="5"/>
  <c r="AB283" i="5"/>
  <c r="AB284" i="5"/>
  <c r="AB285" i="5"/>
  <c r="AB286" i="5"/>
  <c r="AB287" i="5"/>
  <c r="AB288" i="5"/>
  <c r="AB289" i="5"/>
  <c r="AB290" i="5"/>
  <c r="AB291" i="5"/>
  <c r="AB292" i="5"/>
  <c r="AB293" i="5"/>
  <c r="AB294" i="5"/>
  <c r="AB295" i="5"/>
  <c r="AB296" i="5"/>
  <c r="AB297" i="5"/>
  <c r="AB298" i="5"/>
  <c r="AB299" i="5"/>
  <c r="AB300" i="5"/>
  <c r="AB301" i="5"/>
  <c r="AB302" i="5"/>
  <c r="AB303" i="5"/>
  <c r="AB304" i="5"/>
  <c r="AB305" i="5"/>
  <c r="AB306" i="5"/>
  <c r="AB307" i="5"/>
  <c r="AB308" i="5"/>
  <c r="AB309" i="5"/>
  <c r="AB310" i="5"/>
  <c r="AB311" i="5"/>
  <c r="AB312" i="5"/>
  <c r="AB313" i="5"/>
  <c r="AB314" i="5"/>
  <c r="AB315" i="5"/>
  <c r="AB316" i="5"/>
  <c r="AB317" i="5"/>
  <c r="AB318" i="5"/>
  <c r="AB319" i="5"/>
  <c r="AB320" i="5"/>
  <c r="AB321" i="5"/>
  <c r="AB322" i="5"/>
  <c r="AB323" i="5"/>
  <c r="AB324" i="5"/>
  <c r="AB325" i="5"/>
  <c r="AB326" i="5"/>
  <c r="AB327" i="5"/>
  <c r="AB328" i="5"/>
  <c r="AB329" i="5"/>
  <c r="AB330" i="5"/>
  <c r="AB331" i="5"/>
  <c r="AB332" i="5"/>
  <c r="AB333" i="5"/>
  <c r="AB334" i="5"/>
  <c r="AB335" i="5"/>
  <c r="AB336" i="5"/>
  <c r="AB337" i="5"/>
  <c r="AB338" i="5"/>
  <c r="AB339" i="5"/>
  <c r="AB340" i="5"/>
  <c r="AB341" i="5"/>
  <c r="AB342" i="5"/>
  <c r="AB343" i="5"/>
  <c r="AB344" i="5"/>
  <c r="AB345" i="5"/>
  <c r="AB346" i="5"/>
  <c r="AB347" i="5"/>
  <c r="AB348" i="5"/>
  <c r="AB349" i="5"/>
  <c r="AB350" i="5"/>
  <c r="AB351" i="5"/>
  <c r="AB352" i="5"/>
  <c r="AB353" i="5"/>
  <c r="AB354" i="5"/>
  <c r="AB355" i="5"/>
  <c r="AB356" i="5"/>
  <c r="AB357" i="5"/>
  <c r="AB358" i="5"/>
  <c r="AB359" i="5"/>
  <c r="AB360" i="5"/>
  <c r="AB361" i="5"/>
  <c r="AB362" i="5"/>
  <c r="AB363" i="5"/>
  <c r="AB364" i="5"/>
  <c r="AB365" i="5"/>
  <c r="AB366" i="5"/>
  <c r="AB367" i="5"/>
  <c r="AB368" i="5"/>
  <c r="AB369" i="5"/>
  <c r="AB370" i="5"/>
  <c r="AB371" i="5"/>
  <c r="AB372" i="5"/>
  <c r="AB373" i="5"/>
  <c r="AB374" i="5"/>
  <c r="AB375" i="5"/>
  <c r="AB376" i="5"/>
  <c r="AB377" i="5"/>
  <c r="AB378" i="5"/>
  <c r="AB379" i="5"/>
  <c r="AB380" i="5"/>
  <c r="AB381" i="5"/>
  <c r="AB382" i="5"/>
  <c r="AB383" i="5"/>
  <c r="AB384" i="5"/>
  <c r="AB385" i="5"/>
  <c r="AB386" i="5"/>
  <c r="AB387" i="5"/>
  <c r="AB388" i="5"/>
  <c r="AB389" i="5"/>
  <c r="AB390" i="5"/>
  <c r="AB391" i="5"/>
  <c r="AB392" i="5"/>
  <c r="AB393" i="5"/>
  <c r="AB394" i="5"/>
  <c r="AB395" i="5"/>
  <c r="AB396" i="5"/>
  <c r="AB397" i="5"/>
  <c r="AB398" i="5"/>
  <c r="AB399" i="5"/>
  <c r="AB400" i="5"/>
  <c r="AB401" i="5"/>
  <c r="AB402" i="5"/>
  <c r="AB403" i="5"/>
  <c r="AB404" i="5"/>
  <c r="AB405" i="5"/>
  <c r="AB406" i="5"/>
  <c r="AB407" i="5"/>
  <c r="AB408" i="5"/>
  <c r="AB409" i="5"/>
  <c r="AB410" i="5"/>
  <c r="AB411" i="5"/>
  <c r="AB412" i="5"/>
  <c r="AB413" i="5"/>
  <c r="AB414" i="5"/>
  <c r="AB415" i="5"/>
  <c r="AB416" i="5"/>
  <c r="AB417" i="5"/>
  <c r="AB418" i="5"/>
  <c r="AB419" i="5"/>
  <c r="AB420" i="5"/>
  <c r="AB421" i="5"/>
  <c r="AB422" i="5"/>
  <c r="AB423" i="5"/>
  <c r="AB424" i="5"/>
  <c r="AB425" i="5"/>
  <c r="AB426" i="5"/>
  <c r="AB427" i="5"/>
  <c r="AB428" i="5"/>
  <c r="AB429" i="5"/>
  <c r="AB430" i="5"/>
  <c r="AB431" i="5"/>
  <c r="AB432" i="5"/>
  <c r="AB433" i="5"/>
  <c r="AB434" i="5"/>
  <c r="AB435" i="5"/>
  <c r="AB436" i="5"/>
  <c r="AB437" i="5"/>
  <c r="AB438" i="5"/>
  <c r="AB439" i="5"/>
  <c r="AB440" i="5"/>
  <c r="AB441" i="5"/>
  <c r="AB442" i="5"/>
  <c r="AB443" i="5"/>
  <c r="AB444" i="5"/>
  <c r="AB445" i="5"/>
  <c r="AB446" i="5"/>
  <c r="AB447" i="5"/>
  <c r="AB448" i="5"/>
  <c r="AB55" i="5"/>
  <c r="AB449" i="5"/>
  <c r="AB450" i="5"/>
  <c r="AB56" i="5"/>
  <c r="AB451" i="5"/>
  <c r="AB452" i="5"/>
  <c r="AB453" i="5"/>
  <c r="AB454" i="5"/>
  <c r="AB455" i="5"/>
  <c r="AB456" i="5"/>
  <c r="AB457" i="5"/>
  <c r="AB458" i="5"/>
  <c r="AB459" i="5"/>
  <c r="AB460" i="5"/>
  <c r="AB461" i="5"/>
  <c r="AB34" i="5"/>
  <c r="AB462" i="5"/>
  <c r="AB463" i="5"/>
  <c r="AB464" i="5"/>
  <c r="AB465" i="5"/>
  <c r="AB466" i="5"/>
  <c r="AB467" i="5"/>
  <c r="AB468" i="5"/>
  <c r="AB46" i="5"/>
  <c r="AB469" i="5"/>
  <c r="AB470" i="5"/>
  <c r="AB471" i="5"/>
  <c r="AB39" i="5"/>
  <c r="AB472" i="5"/>
  <c r="AB473" i="5"/>
  <c r="AB474" i="5"/>
  <c r="AB32" i="5"/>
  <c r="AB475" i="5"/>
  <c r="AB476" i="5"/>
  <c r="AB477" i="5"/>
  <c r="AB478" i="5"/>
  <c r="AB479" i="5"/>
  <c r="AB480" i="5"/>
  <c r="AB481" i="5"/>
  <c r="AB482" i="5"/>
  <c r="AB483" i="5"/>
  <c r="AB3" i="5"/>
  <c r="AB484" i="5"/>
  <c r="AB485" i="5"/>
  <c r="AB486" i="5"/>
  <c r="AB487" i="5"/>
  <c r="AB488" i="5"/>
  <c r="AB489" i="5"/>
  <c r="AB490" i="5"/>
  <c r="AB491" i="5"/>
  <c r="AB492" i="5"/>
  <c r="AB33" i="5"/>
  <c r="AB493" i="5"/>
  <c r="AB494" i="5"/>
  <c r="AB495" i="5"/>
  <c r="AB496" i="5"/>
  <c r="AB497" i="5"/>
  <c r="AB498" i="5"/>
  <c r="AB499" i="5"/>
  <c r="AB500" i="5"/>
  <c r="AB501" i="5"/>
  <c r="AB502" i="5"/>
  <c r="AB27" i="5"/>
  <c r="AB503" i="5"/>
  <c r="AB25" i="5"/>
  <c r="AB504" i="5"/>
  <c r="AB28" i="5"/>
  <c r="AB505" i="5"/>
  <c r="AB506" i="5"/>
  <c r="AB507" i="5"/>
  <c r="AB508" i="5"/>
  <c r="AB509" i="5"/>
  <c r="AB510" i="5"/>
  <c r="AB511" i="5"/>
  <c r="AB512" i="5"/>
  <c r="AB513" i="5"/>
  <c r="AB514" i="5"/>
  <c r="AB515" i="5"/>
  <c r="AB45" i="5"/>
  <c r="AB516" i="5"/>
  <c r="AB517" i="5"/>
  <c r="AB518" i="5"/>
  <c r="AB519" i="5"/>
  <c r="AB520" i="5"/>
  <c r="AB521" i="5"/>
  <c r="AB522" i="5"/>
  <c r="AB7" i="5"/>
  <c r="AB523" i="5"/>
  <c r="AB524" i="5"/>
  <c r="AB525" i="5"/>
  <c r="AB43" i="5"/>
  <c r="AB526" i="5"/>
  <c r="AB527" i="5"/>
  <c r="AB528" i="5"/>
  <c r="AB529" i="5"/>
  <c r="AB530" i="5"/>
  <c r="AB29" i="5"/>
  <c r="AB531" i="5"/>
  <c r="AB532" i="5"/>
  <c r="AB533" i="5"/>
  <c r="AB534" i="5"/>
  <c r="AB535" i="5"/>
  <c r="AB536" i="5"/>
  <c r="AB537" i="5"/>
  <c r="AB538" i="5"/>
  <c r="AB539" i="5"/>
  <c r="AB44" i="5"/>
  <c r="AB540" i="5"/>
  <c r="AB541" i="5"/>
  <c r="AB542" i="5"/>
  <c r="AB543" i="5"/>
  <c r="AB544" i="5"/>
  <c r="AB35" i="5"/>
  <c r="AB36" i="5"/>
  <c r="AB545" i="5"/>
  <c r="AB546" i="5"/>
  <c r="AB547" i="5"/>
  <c r="AB548" i="5"/>
  <c r="AB549" i="5"/>
  <c r="AB550" i="5"/>
  <c r="AB551" i="5"/>
  <c r="AB552" i="5"/>
  <c r="AB553" i="5"/>
  <c r="AB554" i="5"/>
  <c r="AB40" i="5"/>
  <c r="AB31" i="5"/>
  <c r="AB555" i="5"/>
  <c r="AB556" i="5"/>
  <c r="AB557" i="5"/>
  <c r="AB558" i="5"/>
  <c r="AB559" i="5"/>
  <c r="AB560" i="5"/>
  <c r="AB561" i="5"/>
  <c r="AB562" i="5"/>
  <c r="AB563" i="5"/>
  <c r="AB564" i="5"/>
  <c r="AB565" i="5"/>
  <c r="AB566" i="5"/>
  <c r="AB567" i="5"/>
  <c r="AB568" i="5"/>
  <c r="AB569" i="5"/>
  <c r="AB570" i="5"/>
  <c r="AB571" i="5"/>
  <c r="AB572" i="5"/>
  <c r="AB573" i="5"/>
  <c r="AB574" i="5"/>
  <c r="AB575" i="5"/>
  <c r="AB576" i="5"/>
  <c r="AB577" i="5"/>
  <c r="AB578" i="5"/>
  <c r="AB579" i="5"/>
  <c r="AB580" i="5"/>
  <c r="AB581" i="5"/>
  <c r="AB582" i="5"/>
  <c r="AB583" i="5"/>
  <c r="AB584" i="5"/>
  <c r="AB585" i="5"/>
  <c r="AB586" i="5"/>
  <c r="AB587" i="5"/>
  <c r="AB588" i="5"/>
  <c r="AB589" i="5"/>
  <c r="AB590" i="5"/>
  <c r="AB591" i="5"/>
  <c r="AB592" i="5"/>
  <c r="AB593" i="5"/>
  <c r="AB594" i="5"/>
  <c r="AB595" i="5"/>
  <c r="AB596" i="5"/>
  <c r="AB597" i="5"/>
  <c r="AB598" i="5"/>
  <c r="AB599" i="5"/>
  <c r="AB600" i="5"/>
  <c r="AB601" i="5"/>
  <c r="AB602" i="5"/>
  <c r="AB603" i="5"/>
  <c r="AB604" i="5"/>
  <c r="AB605" i="5"/>
  <c r="AB606" i="5"/>
  <c r="AB607" i="5"/>
  <c r="AB608" i="5"/>
  <c r="AB609" i="5"/>
  <c r="AB610" i="5"/>
  <c r="AB611" i="5"/>
  <c r="AB612" i="5"/>
  <c r="AB613" i="5"/>
  <c r="AB614" i="5"/>
  <c r="AB615" i="5"/>
  <c r="AB616" i="5"/>
  <c r="AB617" i="5"/>
  <c r="AB618" i="5"/>
  <c r="AB619" i="5"/>
  <c r="AB620" i="5"/>
  <c r="AB621" i="5"/>
  <c r="AB622" i="5"/>
  <c r="AB623" i="5"/>
  <c r="AB624" i="5"/>
  <c r="AB625" i="5"/>
  <c r="AB626" i="5"/>
  <c r="AB627" i="5"/>
  <c r="AB628" i="5"/>
  <c r="AB629" i="5"/>
  <c r="AB630" i="5"/>
  <c r="AB631" i="5"/>
  <c r="AB69" i="5"/>
  <c r="M107" i="3"/>
  <c r="N107" i="3"/>
  <c r="Q107" i="3"/>
  <c r="M262" i="3"/>
  <c r="N262" i="3"/>
  <c r="M185" i="3"/>
  <c r="N185" i="3"/>
  <c r="M253" i="3"/>
  <c r="N253" i="3"/>
  <c r="M186" i="3"/>
  <c r="N186" i="3"/>
  <c r="M165" i="3"/>
  <c r="N165" i="3"/>
  <c r="Q165" i="3"/>
  <c r="M108" i="3"/>
  <c r="N108" i="3"/>
  <c r="M127" i="3"/>
  <c r="N127" i="3"/>
  <c r="Q127" i="3"/>
  <c r="M376" i="3"/>
  <c r="N376" i="3"/>
  <c r="M274" i="3"/>
  <c r="N274" i="3"/>
  <c r="M65" i="3"/>
  <c r="N65" i="3"/>
  <c r="M360" i="3"/>
  <c r="N360" i="3"/>
  <c r="O3" i="3"/>
  <c r="Q3" i="3" s="1"/>
  <c r="M261" i="3"/>
  <c r="N261" i="3"/>
  <c r="M319" i="3"/>
  <c r="N319" i="3"/>
  <c r="M311" i="3"/>
  <c r="N311" i="3"/>
  <c r="Q4" i="3"/>
  <c r="M258" i="3"/>
  <c r="N258" i="3"/>
  <c r="M197" i="3"/>
  <c r="N197" i="3"/>
  <c r="M109" i="3"/>
  <c r="N109" i="3"/>
  <c r="M33" i="3"/>
  <c r="N33" i="3"/>
  <c r="M325" i="3"/>
  <c r="N325" i="3"/>
  <c r="M329" i="3"/>
  <c r="N329" i="3"/>
  <c r="M358" i="3"/>
  <c r="N358" i="3"/>
  <c r="Q358" i="3"/>
  <c r="M110" i="3"/>
  <c r="N110" i="3"/>
  <c r="M130" i="3"/>
  <c r="N130" i="3"/>
  <c r="M266" i="3"/>
  <c r="N266" i="3"/>
  <c r="M278" i="3"/>
  <c r="N278" i="3"/>
  <c r="M276" i="3"/>
  <c r="N276" i="3"/>
  <c r="M279" i="3"/>
  <c r="N279" i="3"/>
  <c r="M379" i="3"/>
  <c r="N379" i="3"/>
  <c r="M299" i="3"/>
  <c r="N299" i="3"/>
  <c r="M131" i="3"/>
  <c r="N131" i="3"/>
  <c r="M132" i="3"/>
  <c r="N132" i="3"/>
  <c r="M169" i="3"/>
  <c r="N169" i="3"/>
  <c r="Q169" i="3"/>
  <c r="M184" i="3"/>
  <c r="N184" i="3"/>
  <c r="M198" i="3"/>
  <c r="N198" i="3"/>
  <c r="M111" i="3"/>
  <c r="N111" i="3"/>
  <c r="M68" i="3"/>
  <c r="N68" i="3"/>
  <c r="M254" i="3"/>
  <c r="N254" i="3"/>
  <c r="M354" i="3"/>
  <c r="N354" i="3"/>
  <c r="M333" i="3"/>
  <c r="N333" i="3"/>
  <c r="Q333" i="3"/>
  <c r="M334" i="3"/>
  <c r="N334" i="3"/>
  <c r="M350" i="3"/>
  <c r="N350" i="3"/>
  <c r="M288" i="3"/>
  <c r="N288" i="3"/>
  <c r="M196" i="3"/>
  <c r="N196" i="3"/>
  <c r="M313" i="3"/>
  <c r="N313" i="3"/>
  <c r="Q313" i="3"/>
  <c r="M314" i="3"/>
  <c r="N314" i="3"/>
  <c r="M187" i="3"/>
  <c r="N187" i="3"/>
  <c r="M315" i="3"/>
  <c r="N315" i="3"/>
  <c r="M188" i="3"/>
  <c r="N188" i="3"/>
  <c r="M234" i="3"/>
  <c r="N234" i="3"/>
  <c r="M133" i="3"/>
  <c r="N133" i="3"/>
  <c r="M134" i="3"/>
  <c r="N134" i="3"/>
  <c r="Q134" i="3"/>
  <c r="M135" i="3"/>
  <c r="N135" i="3"/>
  <c r="M136" i="3"/>
  <c r="N136" i="3"/>
  <c r="M378" i="3"/>
  <c r="N378" i="3"/>
  <c r="M341" i="3"/>
  <c r="N341" i="3"/>
  <c r="M375" i="3"/>
  <c r="N375" i="3"/>
  <c r="Q375" i="3"/>
  <c r="M223" i="3"/>
  <c r="N223" i="3"/>
  <c r="M199" i="3"/>
  <c r="N199" i="3"/>
  <c r="M224" i="3"/>
  <c r="N224" i="3"/>
  <c r="M289" i="3"/>
  <c r="N289" i="3"/>
  <c r="M290" i="3"/>
  <c r="N290" i="3"/>
  <c r="M200" i="3"/>
  <c r="N200" i="3"/>
  <c r="Q200" i="3"/>
  <c r="M225" i="3"/>
  <c r="N225" i="3"/>
  <c r="Q225" i="3"/>
  <c r="M226" i="3"/>
  <c r="N226" i="3"/>
  <c r="M201" i="3"/>
  <c r="N201" i="3"/>
  <c r="M202" i="3"/>
  <c r="N202" i="3"/>
  <c r="M203" i="3"/>
  <c r="N203" i="3"/>
  <c r="M342" i="3"/>
  <c r="N342" i="3"/>
  <c r="Q342" i="3"/>
  <c r="M204" i="3"/>
  <c r="N204" i="3"/>
  <c r="M205" i="3"/>
  <c r="N205" i="3"/>
  <c r="M306" i="3"/>
  <c r="N306" i="3"/>
  <c r="M112" i="3"/>
  <c r="N112" i="3"/>
  <c r="M309" i="3"/>
  <c r="N309" i="3"/>
  <c r="M275" i="3"/>
  <c r="N275" i="3"/>
  <c r="M170" i="3"/>
  <c r="N170" i="3"/>
  <c r="M273" i="3"/>
  <c r="N273" i="3"/>
  <c r="M137" i="3"/>
  <c r="N137" i="3"/>
  <c r="M51" i="3"/>
  <c r="N51" i="3"/>
  <c r="Q6" i="3"/>
  <c r="M171" i="3"/>
  <c r="N171" i="3"/>
  <c r="M363" i="3"/>
  <c r="N363" i="3"/>
  <c r="M381" i="3"/>
  <c r="N381" i="3"/>
  <c r="M189" i="3"/>
  <c r="N189" i="3"/>
  <c r="M138" i="3"/>
  <c r="N138" i="3"/>
  <c r="M139" i="3"/>
  <c r="N139" i="3"/>
  <c r="M67" i="3"/>
  <c r="N67" i="3"/>
  <c r="M385" i="3"/>
  <c r="N385" i="3"/>
  <c r="Q385" i="3"/>
  <c r="M380" i="3"/>
  <c r="N380" i="3"/>
  <c r="M232" i="3"/>
  <c r="N232" i="3"/>
  <c r="M190" i="3"/>
  <c r="N190" i="3"/>
  <c r="M255" i="3"/>
  <c r="N255" i="3"/>
  <c r="M206" i="3"/>
  <c r="N206" i="3"/>
  <c r="M321" i="3"/>
  <c r="N321" i="3"/>
  <c r="M42" i="3"/>
  <c r="N42" i="3"/>
  <c r="M236" i="3"/>
  <c r="N236" i="3"/>
  <c r="M221" i="3"/>
  <c r="N221" i="3"/>
  <c r="M207" i="3"/>
  <c r="N207" i="3"/>
  <c r="M366" i="3"/>
  <c r="N366" i="3"/>
  <c r="M250" i="3"/>
  <c r="N250" i="3"/>
  <c r="Q250" i="3"/>
  <c r="M70" i="3"/>
  <c r="N70" i="3"/>
  <c r="M181" i="3"/>
  <c r="N181" i="3"/>
  <c r="M208" i="3"/>
  <c r="N208" i="3"/>
  <c r="M209" i="3"/>
  <c r="N209" i="3"/>
  <c r="M210" i="3"/>
  <c r="N210" i="3"/>
  <c r="M211" i="3"/>
  <c r="N211" i="3"/>
  <c r="M212" i="3"/>
  <c r="N212" i="3"/>
  <c r="M213" i="3"/>
  <c r="N213" i="3"/>
  <c r="M214" i="3"/>
  <c r="N214" i="3"/>
  <c r="M182" i="3"/>
  <c r="N182" i="3"/>
  <c r="M215" i="3"/>
  <c r="N215" i="3"/>
  <c r="M286" i="3"/>
  <c r="N286" i="3"/>
  <c r="Q286" i="3"/>
  <c r="M287" i="3"/>
  <c r="N287" i="3"/>
  <c r="M353" i="3"/>
  <c r="N353" i="3"/>
  <c r="M235" i="3"/>
  <c r="N235" i="3"/>
  <c r="M95" i="3"/>
  <c r="N95" i="3"/>
  <c r="M96" i="3"/>
  <c r="N96" i="3"/>
  <c r="M97" i="3"/>
  <c r="N97" i="3"/>
  <c r="Q27" i="3"/>
  <c r="M227" i="3"/>
  <c r="N227" i="3"/>
  <c r="M128" i="3"/>
  <c r="N128" i="3"/>
  <c r="M310" i="3"/>
  <c r="N310" i="3"/>
  <c r="M166" i="3"/>
  <c r="N166" i="3"/>
  <c r="M267" i="3"/>
  <c r="N267" i="3"/>
  <c r="M349" i="3"/>
  <c r="N349" i="3"/>
  <c r="M237" i="3"/>
  <c r="N237" i="3"/>
  <c r="M297" i="3"/>
  <c r="N297" i="3"/>
  <c r="M113" i="3"/>
  <c r="N113" i="3"/>
  <c r="M114" i="3"/>
  <c r="N114" i="3"/>
  <c r="M280" i="3"/>
  <c r="N280" i="3"/>
  <c r="M238" i="3"/>
  <c r="N238" i="3"/>
  <c r="M239" i="3"/>
  <c r="N239" i="3"/>
  <c r="M123" i="3"/>
  <c r="N123" i="3"/>
  <c r="M124" i="3"/>
  <c r="N124" i="3"/>
  <c r="M140" i="3"/>
  <c r="N140" i="3"/>
  <c r="Q140" i="3"/>
  <c r="M231" i="3"/>
  <c r="N231" i="3"/>
  <c r="M141" i="3"/>
  <c r="N141" i="3"/>
  <c r="M367" i="3"/>
  <c r="N367" i="3"/>
  <c r="M40" i="3"/>
  <c r="N40" i="3"/>
  <c r="M44" i="3"/>
  <c r="N44" i="3"/>
  <c r="M268" i="3"/>
  <c r="N268" i="3"/>
  <c r="M32" i="3"/>
  <c r="N32" i="3"/>
  <c r="M45" i="3"/>
  <c r="N45" i="3"/>
  <c r="M369" i="3"/>
  <c r="N369" i="3"/>
  <c r="M302" i="3"/>
  <c r="N302" i="3"/>
  <c r="M43" i="3"/>
  <c r="N43" i="3"/>
  <c r="M46" i="3"/>
  <c r="N46" i="3"/>
  <c r="M364" i="3"/>
  <c r="N364" i="3"/>
  <c r="M38" i="3"/>
  <c r="N38" i="3"/>
  <c r="M47" i="3"/>
  <c r="N47" i="3"/>
  <c r="M365" i="3"/>
  <c r="N365" i="3"/>
  <c r="M37" i="3"/>
  <c r="N37" i="3"/>
  <c r="M269" i="3"/>
  <c r="N269" i="3"/>
  <c r="M167" i="3"/>
  <c r="N167" i="3"/>
  <c r="M370" i="3"/>
  <c r="N370" i="3"/>
  <c r="M142" i="3"/>
  <c r="N142" i="3"/>
  <c r="Q142" i="3"/>
  <c r="M168" i="3"/>
  <c r="N168" i="3"/>
  <c r="M362" i="3"/>
  <c r="N362" i="3"/>
  <c r="M90" i="3"/>
  <c r="N90" i="3"/>
  <c r="M69" i="3"/>
  <c r="N69" i="3"/>
  <c r="M216" i="3"/>
  <c r="N216" i="3"/>
  <c r="M372" i="3"/>
  <c r="N372" i="3"/>
  <c r="M217" i="3"/>
  <c r="N217" i="3"/>
  <c r="M62" i="3"/>
  <c r="N62" i="3"/>
  <c r="M191" i="3"/>
  <c r="N191" i="3"/>
  <c r="M240" i="3"/>
  <c r="N240" i="3"/>
  <c r="M241" i="3"/>
  <c r="N241" i="3"/>
  <c r="M242" i="3"/>
  <c r="N242" i="3"/>
  <c r="M243" i="3"/>
  <c r="N243" i="3"/>
  <c r="M244" i="3"/>
  <c r="N244" i="3"/>
  <c r="M143" i="3"/>
  <c r="N143" i="3"/>
  <c r="M383" i="3"/>
  <c r="N383" i="3"/>
  <c r="M256" i="3"/>
  <c r="N256" i="3"/>
  <c r="M233" i="3"/>
  <c r="N233" i="3"/>
  <c r="M251" i="3"/>
  <c r="N251" i="3"/>
  <c r="M264" i="3"/>
  <c r="N264" i="3"/>
  <c r="M301" i="3"/>
  <c r="N301" i="3"/>
  <c r="M129" i="3"/>
  <c r="N129" i="3"/>
  <c r="Q129" i="3"/>
  <c r="M49" i="3"/>
  <c r="N49" i="3"/>
  <c r="M229" i="3"/>
  <c r="N229" i="3"/>
  <c r="M308" i="3"/>
  <c r="N308" i="3"/>
  <c r="M91" i="3"/>
  <c r="N91" i="3"/>
  <c r="M102" i="3"/>
  <c r="N102" i="3"/>
  <c r="M377" i="3"/>
  <c r="N377" i="3"/>
  <c r="M103" i="3"/>
  <c r="N103" i="3"/>
  <c r="M322" i="3"/>
  <c r="N322" i="3"/>
  <c r="M305" i="3"/>
  <c r="N305" i="3"/>
  <c r="M357" i="3"/>
  <c r="N357" i="3"/>
  <c r="M252" i="3"/>
  <c r="N252" i="3"/>
  <c r="M330" i="3"/>
  <c r="N330" i="3"/>
  <c r="M144" i="3"/>
  <c r="N144" i="3"/>
  <c r="M351" i="3"/>
  <c r="N351" i="3"/>
  <c r="M259" i="3"/>
  <c r="N259" i="3"/>
  <c r="M145" i="3"/>
  <c r="N145" i="3"/>
  <c r="M245" i="3"/>
  <c r="N245" i="3"/>
  <c r="M115" i="3"/>
  <c r="N115" i="3"/>
  <c r="M116" i="3"/>
  <c r="N116" i="3"/>
  <c r="M117" i="3"/>
  <c r="N117" i="3"/>
  <c r="M118" i="3"/>
  <c r="N118" i="3"/>
  <c r="M246" i="3"/>
  <c r="N246" i="3"/>
  <c r="M146" i="3"/>
  <c r="N146" i="3"/>
  <c r="M318" i="3"/>
  <c r="N318" i="3"/>
  <c r="M307" i="3"/>
  <c r="N307" i="3"/>
  <c r="M222" i="3"/>
  <c r="N222" i="3"/>
  <c r="M320" i="3"/>
  <c r="N320" i="3"/>
  <c r="M324" i="3"/>
  <c r="N324" i="3"/>
  <c r="M281" i="3"/>
  <c r="N281" i="3"/>
  <c r="M359" i="3"/>
  <c r="N359" i="3"/>
  <c r="M300" i="3"/>
  <c r="N300" i="3"/>
  <c r="M295" i="3"/>
  <c r="N295" i="3"/>
  <c r="M296" i="3"/>
  <c r="N296" i="3"/>
  <c r="M63" i="3"/>
  <c r="N63" i="3"/>
  <c r="M53" i="3"/>
  <c r="N53" i="3"/>
  <c r="M54" i="3"/>
  <c r="N54" i="3"/>
  <c r="M172" i="3"/>
  <c r="N172" i="3"/>
  <c r="M55" i="3"/>
  <c r="N55" i="3"/>
  <c r="M56" i="3"/>
  <c r="N56" i="3"/>
  <c r="M57" i="3"/>
  <c r="N57" i="3"/>
  <c r="M58" i="3"/>
  <c r="N58" i="3"/>
  <c r="M59" i="3"/>
  <c r="N59" i="3"/>
  <c r="M52" i="3"/>
  <c r="N52" i="3"/>
  <c r="M61" i="3"/>
  <c r="N61" i="3"/>
  <c r="M39" i="3"/>
  <c r="N39" i="3"/>
  <c r="M66" i="3"/>
  <c r="N66" i="3"/>
  <c r="M60" i="3"/>
  <c r="N60" i="3"/>
  <c r="M64" i="3"/>
  <c r="N64" i="3"/>
  <c r="M192" i="3"/>
  <c r="N192" i="3"/>
  <c r="M282" i="3"/>
  <c r="N282" i="3"/>
  <c r="M193" i="3"/>
  <c r="N193" i="3"/>
  <c r="M247" i="3"/>
  <c r="N247" i="3"/>
  <c r="M218" i="3"/>
  <c r="N218" i="3"/>
  <c r="M371" i="3"/>
  <c r="N371" i="3"/>
  <c r="M147" i="3"/>
  <c r="N147" i="3"/>
  <c r="M374" i="3"/>
  <c r="N374" i="3"/>
  <c r="M368" i="3"/>
  <c r="N368" i="3"/>
  <c r="M173" i="3"/>
  <c r="N173" i="3"/>
  <c r="M31" i="3"/>
  <c r="N31" i="3"/>
  <c r="M298" i="3"/>
  <c r="N298" i="3"/>
  <c r="M148" i="3"/>
  <c r="N148" i="3"/>
  <c r="M339" i="3"/>
  <c r="N339" i="3"/>
  <c r="M335" i="3"/>
  <c r="N335" i="3"/>
  <c r="M149" i="3"/>
  <c r="N149" i="3"/>
  <c r="M119" i="3"/>
  <c r="N119" i="3"/>
  <c r="M277" i="3"/>
  <c r="N277" i="3"/>
  <c r="M343" i="3"/>
  <c r="N343" i="3"/>
  <c r="M291" i="3"/>
  <c r="N291" i="3"/>
  <c r="M101" i="3"/>
  <c r="N101" i="3"/>
  <c r="M347" i="3"/>
  <c r="N347" i="3"/>
  <c r="M195" i="3"/>
  <c r="N195" i="3"/>
  <c r="M125" i="3"/>
  <c r="N125" i="3"/>
  <c r="M122" i="3"/>
  <c r="N122" i="3"/>
  <c r="M92" i="3"/>
  <c r="N92" i="3"/>
  <c r="M93" i="3"/>
  <c r="N93" i="3"/>
  <c r="M292" i="3"/>
  <c r="N292" i="3"/>
  <c r="M293" i="3"/>
  <c r="N293" i="3"/>
  <c r="M361" i="3"/>
  <c r="N361" i="3"/>
  <c r="M316" i="3"/>
  <c r="N316" i="3"/>
  <c r="M260" i="3"/>
  <c r="N260" i="3"/>
  <c r="M228" i="3"/>
  <c r="N228" i="3"/>
  <c r="M219" i="3"/>
  <c r="N219" i="3"/>
  <c r="M336" i="3"/>
  <c r="N336" i="3"/>
  <c r="M183" i="3"/>
  <c r="N183" i="3"/>
  <c r="M150" i="3"/>
  <c r="N150" i="3"/>
  <c r="M384" i="3"/>
  <c r="N384" i="3"/>
  <c r="M230" i="3"/>
  <c r="N230" i="3"/>
  <c r="M356" i="3"/>
  <c r="N356" i="3"/>
  <c r="M323" i="3"/>
  <c r="N323" i="3"/>
  <c r="M151" i="3"/>
  <c r="N151" i="3"/>
  <c r="M304" i="3"/>
  <c r="N304" i="3"/>
  <c r="M331" i="3"/>
  <c r="N331" i="3"/>
  <c r="M326" i="3"/>
  <c r="N326" i="3"/>
  <c r="M327" i="3"/>
  <c r="N327" i="3"/>
  <c r="M332" i="3"/>
  <c r="N332" i="3"/>
  <c r="M328" i="3"/>
  <c r="N328" i="3"/>
  <c r="M352" i="3"/>
  <c r="N352" i="3"/>
  <c r="M104" i="3"/>
  <c r="N104" i="3"/>
  <c r="M312" i="3"/>
  <c r="N312" i="3"/>
  <c r="Q312" i="3"/>
  <c r="M120" i="3"/>
  <c r="N120" i="3"/>
  <c r="M248" i="3"/>
  <c r="N248" i="3"/>
  <c r="M152" i="3"/>
  <c r="N152" i="3"/>
  <c r="M153" i="3"/>
  <c r="N153" i="3"/>
  <c r="M283" i="3"/>
  <c r="N283" i="3"/>
  <c r="M284" i="3"/>
  <c r="N284" i="3"/>
  <c r="M194" i="3"/>
  <c r="N194" i="3"/>
  <c r="M340" i="3"/>
  <c r="N340" i="3"/>
  <c r="M344" i="3"/>
  <c r="N344" i="3"/>
  <c r="M174" i="3"/>
  <c r="N174" i="3"/>
  <c r="M175" i="3"/>
  <c r="N175" i="3"/>
  <c r="M176" i="3"/>
  <c r="N176" i="3"/>
  <c r="Q176" i="3"/>
  <c r="M345" i="3"/>
  <c r="N345" i="3"/>
  <c r="M177" i="3"/>
  <c r="N177" i="3"/>
  <c r="M77" i="3"/>
  <c r="N77" i="3"/>
  <c r="M78" i="3"/>
  <c r="N78" i="3"/>
  <c r="M79" i="3"/>
  <c r="N79" i="3"/>
  <c r="M80" i="3"/>
  <c r="N80" i="3"/>
  <c r="M73" i="3"/>
  <c r="N73" i="3"/>
  <c r="M81" i="3"/>
  <c r="N81" i="3"/>
  <c r="M98" i="3"/>
  <c r="N98" i="3"/>
  <c r="M82" i="3"/>
  <c r="N82" i="3"/>
  <c r="M50" i="3"/>
  <c r="N50" i="3"/>
  <c r="M83" i="3"/>
  <c r="N83" i="3"/>
  <c r="M180" i="3"/>
  <c r="N180" i="3"/>
  <c r="M94" i="3"/>
  <c r="N94" i="3"/>
  <c r="M84" i="3"/>
  <c r="N84" i="3"/>
  <c r="M85" i="3"/>
  <c r="N85" i="3"/>
  <c r="M99" i="3"/>
  <c r="N99" i="3"/>
  <c r="M100" i="3"/>
  <c r="N100" i="3"/>
  <c r="M86" i="3"/>
  <c r="N86" i="3"/>
  <c r="M74" i="3"/>
  <c r="N74" i="3"/>
  <c r="M75" i="3"/>
  <c r="N75" i="3"/>
  <c r="M76" i="3"/>
  <c r="N76" i="3"/>
  <c r="M87" i="3"/>
  <c r="N87" i="3"/>
  <c r="M88" i="3"/>
  <c r="N88" i="3"/>
  <c r="M89" i="3"/>
  <c r="N89" i="3"/>
  <c r="M249" i="3"/>
  <c r="N249" i="3"/>
  <c r="M285" i="3"/>
  <c r="N285" i="3"/>
  <c r="M48" i="3"/>
  <c r="N48" i="3"/>
  <c r="M263" i="3"/>
  <c r="N263" i="3"/>
  <c r="M121" i="3"/>
  <c r="N121" i="3"/>
  <c r="M355" i="3"/>
  <c r="N355" i="3"/>
  <c r="M303" i="3"/>
  <c r="N303" i="3"/>
  <c r="M154" i="3"/>
  <c r="N154" i="3"/>
  <c r="M294" i="3"/>
  <c r="N294" i="3"/>
  <c r="M265" i="3"/>
  <c r="N265" i="3"/>
  <c r="M105" i="3"/>
  <c r="N105" i="3"/>
  <c r="M348" i="3"/>
  <c r="N348" i="3"/>
  <c r="M337" i="3"/>
  <c r="N337" i="3"/>
  <c r="M338" i="3"/>
  <c r="N338" i="3"/>
  <c r="M220" i="3"/>
  <c r="N220" i="3"/>
  <c r="M317" i="3"/>
  <c r="N317" i="3"/>
  <c r="M270" i="3"/>
  <c r="N270" i="3"/>
  <c r="M34" i="3"/>
  <c r="N34" i="3"/>
  <c r="M178" i="3"/>
  <c r="N178" i="3"/>
  <c r="M35" i="3"/>
  <c r="N35" i="3"/>
  <c r="M382" i="3"/>
  <c r="N382" i="3"/>
  <c r="M373" i="3"/>
  <c r="N373" i="3"/>
  <c r="M271" i="3"/>
  <c r="N271" i="3"/>
  <c r="M71" i="3"/>
  <c r="N71" i="3"/>
  <c r="M257" i="3"/>
  <c r="N257" i="3"/>
  <c r="M272" i="3"/>
  <c r="N272" i="3"/>
  <c r="M36" i="3"/>
  <c r="N36" i="3"/>
  <c r="M72" i="3"/>
  <c r="N72" i="3"/>
  <c r="M179" i="3"/>
  <c r="N179" i="3"/>
  <c r="M41" i="3"/>
  <c r="N41" i="3"/>
  <c r="M155" i="3"/>
  <c r="N155" i="3"/>
  <c r="M156" i="3"/>
  <c r="N156" i="3"/>
  <c r="M157" i="3"/>
  <c r="N157" i="3"/>
  <c r="N126" i="3"/>
  <c r="M126" i="3"/>
  <c r="G107" i="3"/>
  <c r="G262" i="3"/>
  <c r="G185" i="3"/>
  <c r="G253" i="3"/>
  <c r="G186" i="3"/>
  <c r="G165" i="3"/>
  <c r="G108" i="3"/>
  <c r="G127" i="3"/>
  <c r="G376" i="3"/>
  <c r="G274" i="3"/>
  <c r="G65" i="3"/>
  <c r="G360" i="3"/>
  <c r="G3" i="3"/>
  <c r="G261" i="3"/>
  <c r="G319" i="3"/>
  <c r="G311" i="3"/>
  <c r="G24" i="3"/>
  <c r="G4" i="3"/>
  <c r="G258" i="3"/>
  <c r="G197" i="3"/>
  <c r="G109" i="3"/>
  <c r="G33" i="3"/>
  <c r="G325" i="3"/>
  <c r="G329" i="3"/>
  <c r="G358" i="3"/>
  <c r="G110" i="3"/>
  <c r="G130" i="3"/>
  <c r="G266" i="3"/>
  <c r="G278" i="3"/>
  <c r="G276" i="3"/>
  <c r="G279" i="3"/>
  <c r="G379" i="3"/>
  <c r="G5" i="3"/>
  <c r="G299" i="3"/>
  <c r="G131" i="3"/>
  <c r="G132" i="3"/>
  <c r="G169" i="3"/>
  <c r="G184" i="3"/>
  <c r="G198" i="3"/>
  <c r="G111" i="3"/>
  <c r="G68" i="3"/>
  <c r="G254" i="3"/>
  <c r="G354" i="3"/>
  <c r="G333" i="3"/>
  <c r="G334" i="3"/>
  <c r="G350" i="3"/>
  <c r="G288" i="3"/>
  <c r="G196" i="3"/>
  <c r="G313" i="3"/>
  <c r="G314" i="3"/>
  <c r="G187" i="3"/>
  <c r="G315" i="3"/>
  <c r="G188" i="3"/>
  <c r="G234" i="3"/>
  <c r="G133" i="3"/>
  <c r="G134" i="3"/>
  <c r="G135" i="3"/>
  <c r="G136" i="3"/>
  <c r="G378" i="3"/>
  <c r="G341" i="3"/>
  <c r="G375" i="3"/>
  <c r="G223" i="3"/>
  <c r="G199" i="3"/>
  <c r="G224" i="3"/>
  <c r="G289" i="3"/>
  <c r="G290" i="3"/>
  <c r="G200" i="3"/>
  <c r="G225" i="3"/>
  <c r="G226" i="3"/>
  <c r="G201" i="3"/>
  <c r="G202" i="3"/>
  <c r="G203" i="3"/>
  <c r="G342" i="3"/>
  <c r="G204" i="3"/>
  <c r="G205" i="3"/>
  <c r="G306" i="3"/>
  <c r="G112" i="3"/>
  <c r="G309" i="3"/>
  <c r="G275" i="3"/>
  <c r="G170" i="3"/>
  <c r="G273" i="3"/>
  <c r="G137" i="3"/>
  <c r="G161" i="3"/>
  <c r="G51" i="3"/>
  <c r="G6" i="3"/>
  <c r="G171" i="3"/>
  <c r="G363" i="3"/>
  <c r="G381" i="3"/>
  <c r="G7" i="3"/>
  <c r="G189" i="3"/>
  <c r="G162" i="3"/>
  <c r="G163" i="3"/>
  <c r="G138" i="3"/>
  <c r="G139" i="3"/>
  <c r="G67" i="3"/>
  <c r="G106" i="3"/>
  <c r="G385" i="3"/>
  <c r="G380" i="3"/>
  <c r="G232" i="3"/>
  <c r="G190" i="3"/>
  <c r="G255" i="3"/>
  <c r="G206" i="3"/>
  <c r="G321" i="3"/>
  <c r="G42" i="3"/>
  <c r="G236" i="3"/>
  <c r="G221" i="3"/>
  <c r="G207" i="3"/>
  <c r="G366" i="3"/>
  <c r="G250" i="3"/>
  <c r="G70" i="3"/>
  <c r="G181" i="3"/>
  <c r="G208" i="3"/>
  <c r="G209" i="3"/>
  <c r="G210" i="3"/>
  <c r="G211" i="3"/>
  <c r="G212" i="3"/>
  <c r="G213" i="3"/>
  <c r="G214" i="3"/>
  <c r="G182" i="3"/>
  <c r="G215" i="3"/>
  <c r="G286" i="3"/>
  <c r="G287" i="3"/>
  <c r="G353" i="3"/>
  <c r="G235" i="3"/>
  <c r="G95" i="3"/>
  <c r="G96" i="3"/>
  <c r="G97" i="3"/>
  <c r="G26" i="3"/>
  <c r="G27" i="3"/>
  <c r="G227" i="3"/>
  <c r="G128" i="3"/>
  <c r="G310" i="3"/>
  <c r="G166" i="3"/>
  <c r="G267" i="3"/>
  <c r="G349" i="3"/>
  <c r="G237" i="3"/>
  <c r="G297" i="3"/>
  <c r="G113" i="3"/>
  <c r="G114" i="3"/>
  <c r="G280" i="3"/>
  <c r="G238" i="3"/>
  <c r="G239" i="3"/>
  <c r="G123" i="3"/>
  <c r="G124" i="3"/>
  <c r="G140" i="3"/>
  <c r="G231" i="3"/>
  <c r="G141" i="3"/>
  <c r="G367" i="3"/>
  <c r="G40" i="3"/>
  <c r="G44" i="3"/>
  <c r="G268" i="3"/>
  <c r="G32" i="3"/>
  <c r="G45" i="3"/>
  <c r="G369" i="3"/>
  <c r="G302" i="3"/>
  <c r="G158" i="3"/>
  <c r="G43" i="3"/>
  <c r="G46" i="3"/>
  <c r="G364" i="3"/>
  <c r="G38" i="3"/>
  <c r="G159" i="3"/>
  <c r="G47" i="3"/>
  <c r="G365" i="3"/>
  <c r="G37" i="3"/>
  <c r="G269" i="3"/>
  <c r="G167" i="3"/>
  <c r="G370" i="3"/>
  <c r="G160" i="3"/>
  <c r="G142" i="3"/>
  <c r="G168" i="3"/>
  <c r="G362" i="3"/>
  <c r="G90" i="3"/>
  <c r="G69" i="3"/>
  <c r="G216" i="3"/>
  <c r="G372" i="3"/>
  <c r="G217" i="3"/>
  <c r="G62" i="3"/>
  <c r="G28" i="3"/>
  <c r="G191" i="3"/>
  <c r="G240" i="3"/>
  <c r="G241" i="3"/>
  <c r="G242" i="3"/>
  <c r="G243" i="3"/>
  <c r="G244" i="3"/>
  <c r="G143" i="3"/>
  <c r="G383" i="3"/>
  <c r="G256" i="3"/>
  <c r="G233" i="3"/>
  <c r="G251" i="3"/>
  <c r="G264" i="3"/>
  <c r="G301" i="3"/>
  <c r="G29" i="3"/>
  <c r="G129" i="3"/>
  <c r="G49" i="3"/>
  <c r="G229" i="3"/>
  <c r="G8" i="3"/>
  <c r="G9" i="3"/>
  <c r="G10" i="3"/>
  <c r="G308" i="3"/>
  <c r="G91" i="3"/>
  <c r="G102" i="3"/>
  <c r="G377" i="3"/>
  <c r="G103" i="3"/>
  <c r="G322" i="3"/>
  <c r="G305" i="3"/>
  <c r="G357" i="3"/>
  <c r="G252" i="3"/>
  <c r="G330" i="3"/>
  <c r="G144" i="3"/>
  <c r="G351" i="3"/>
  <c r="G259" i="3"/>
  <c r="G11" i="3"/>
  <c r="G145" i="3"/>
  <c r="G245" i="3"/>
  <c r="G115" i="3"/>
  <c r="G116" i="3"/>
  <c r="G117" i="3"/>
  <c r="G118" i="3"/>
  <c r="G246" i="3"/>
  <c r="G146" i="3"/>
  <c r="G318" i="3"/>
  <c r="G307" i="3"/>
  <c r="G222" i="3"/>
  <c r="G320" i="3"/>
  <c r="G324" i="3"/>
  <c r="G21" i="3"/>
  <c r="G281" i="3"/>
  <c r="G12" i="3"/>
  <c r="G359" i="3"/>
  <c r="G300" i="3"/>
  <c r="G13" i="3"/>
  <c r="G295" i="3"/>
  <c r="G296" i="3"/>
  <c r="G14" i="3"/>
  <c r="G63" i="3"/>
  <c r="G53" i="3"/>
  <c r="G54" i="3"/>
  <c r="G172" i="3"/>
  <c r="G55" i="3"/>
  <c r="G56" i="3"/>
  <c r="G57" i="3"/>
  <c r="G58" i="3"/>
  <c r="G59" i="3"/>
  <c r="G52" i="3"/>
  <c r="G22" i="3"/>
  <c r="G61" i="3"/>
  <c r="G39" i="3"/>
  <c r="G66" i="3"/>
  <c r="G60" i="3"/>
  <c r="G64" i="3"/>
  <c r="G192" i="3"/>
  <c r="G282" i="3"/>
  <c r="G193" i="3"/>
  <c r="G247" i="3"/>
  <c r="G25" i="3"/>
  <c r="G218" i="3"/>
  <c r="G30" i="3"/>
  <c r="G371" i="3"/>
  <c r="G147" i="3"/>
  <c r="G374" i="3"/>
  <c r="G15" i="3"/>
  <c r="G368" i="3"/>
  <c r="G173" i="3"/>
  <c r="G31" i="3"/>
  <c r="G298" i="3"/>
  <c r="G148" i="3"/>
  <c r="G339" i="3"/>
  <c r="G335" i="3"/>
  <c r="G149" i="3"/>
  <c r="G119" i="3"/>
  <c r="G277" i="3"/>
  <c r="G343" i="3"/>
  <c r="G291" i="3"/>
  <c r="G101" i="3"/>
  <c r="G347" i="3"/>
  <c r="G16" i="3"/>
  <c r="G195" i="3"/>
  <c r="G125" i="3"/>
  <c r="G122" i="3"/>
  <c r="G92" i="3"/>
  <c r="G93" i="3"/>
  <c r="G292" i="3"/>
  <c r="G293" i="3"/>
  <c r="G164" i="3"/>
  <c r="G361" i="3"/>
  <c r="G316" i="3"/>
  <c r="G260" i="3"/>
  <c r="G228" i="3"/>
  <c r="G219" i="3"/>
  <c r="G17" i="3"/>
  <c r="G336" i="3"/>
  <c r="G183" i="3"/>
  <c r="G18" i="3"/>
  <c r="G150" i="3"/>
  <c r="G384" i="3"/>
  <c r="G230" i="3"/>
  <c r="G356" i="3"/>
  <c r="G323" i="3"/>
  <c r="G151" i="3"/>
  <c r="G304" i="3"/>
  <c r="G331" i="3"/>
  <c r="G326" i="3"/>
  <c r="G327" i="3"/>
  <c r="G332" i="3"/>
  <c r="G328" i="3"/>
  <c r="G20" i="3"/>
  <c r="G352" i="3"/>
  <c r="G104" i="3"/>
  <c r="G312" i="3"/>
  <c r="G120" i="3"/>
  <c r="G248" i="3"/>
  <c r="G152" i="3"/>
  <c r="G153" i="3"/>
  <c r="G283" i="3"/>
  <c r="G284" i="3"/>
  <c r="G194" i="3"/>
  <c r="G340" i="3"/>
  <c r="G344" i="3"/>
  <c r="G174" i="3"/>
  <c r="G175" i="3"/>
  <c r="G176" i="3"/>
  <c r="G345" i="3"/>
  <c r="G177" i="3"/>
  <c r="G77" i="3"/>
  <c r="G78" i="3"/>
  <c r="G79" i="3"/>
  <c r="G80" i="3"/>
  <c r="G73" i="3"/>
  <c r="G81" i="3"/>
  <c r="G98" i="3"/>
  <c r="G82" i="3"/>
  <c r="G50" i="3"/>
  <c r="G83" i="3"/>
  <c r="G180" i="3"/>
  <c r="G94" i="3"/>
  <c r="G84" i="3"/>
  <c r="G85" i="3"/>
  <c r="G99" i="3"/>
  <c r="G100" i="3"/>
  <c r="G86" i="3"/>
  <c r="G74" i="3"/>
  <c r="G75" i="3"/>
  <c r="G76" i="3"/>
  <c r="G87" i="3"/>
  <c r="G88" i="3"/>
  <c r="G89" i="3"/>
  <c r="G249" i="3"/>
  <c r="G285" i="3"/>
  <c r="G48" i="3"/>
  <c r="G346" i="3"/>
  <c r="G263" i="3"/>
  <c r="G19" i="3"/>
  <c r="G121" i="3"/>
  <c r="G355" i="3"/>
  <c r="G303" i="3"/>
  <c r="G154" i="3"/>
  <c r="G294" i="3"/>
  <c r="G265" i="3"/>
  <c r="G105" i="3"/>
  <c r="G348" i="3"/>
  <c r="G337" i="3"/>
  <c r="G338" i="3"/>
  <c r="G220" i="3"/>
  <c r="G317" i="3"/>
  <c r="G270" i="3"/>
  <c r="G23" i="3"/>
  <c r="G34" i="3"/>
  <c r="G178" i="3"/>
  <c r="G35" i="3"/>
  <c r="G382" i="3"/>
  <c r="G373" i="3"/>
  <c r="G271" i="3"/>
  <c r="G71" i="3"/>
  <c r="G257" i="3"/>
  <c r="G272" i="3"/>
  <c r="G36" i="3"/>
  <c r="G72" i="3"/>
  <c r="G179" i="3"/>
  <c r="G41" i="3"/>
  <c r="G155" i="3"/>
  <c r="G156" i="3"/>
  <c r="G157" i="3"/>
  <c r="G126" i="3"/>
  <c r="R82" i="3" l="1"/>
  <c r="S82" i="3" s="1"/>
  <c r="Q324" i="3"/>
  <c r="Q110" i="3"/>
  <c r="Q294" i="3"/>
  <c r="Q35" i="3"/>
  <c r="Q269" i="3"/>
  <c r="Q376" i="3"/>
  <c r="Q278" i="3"/>
  <c r="Q43" i="3"/>
  <c r="Q203" i="3"/>
  <c r="R164" i="3"/>
  <c r="S164" i="3" s="1"/>
  <c r="Q192" i="3"/>
  <c r="Q186" i="3"/>
  <c r="R178" i="3"/>
  <c r="S178" i="3" s="1"/>
  <c r="R154" i="3"/>
  <c r="S154" i="3" s="1"/>
  <c r="R104" i="3"/>
  <c r="S104" i="3" s="1"/>
  <c r="Q52" i="3"/>
  <c r="R233" i="3"/>
  <c r="S233" i="3" s="1"/>
  <c r="Q367" i="3"/>
  <c r="Q235" i="3"/>
  <c r="R97" i="3"/>
  <c r="S97" i="3" s="1"/>
  <c r="Q353" i="3"/>
  <c r="Q363" i="3"/>
  <c r="R275" i="3"/>
  <c r="S275" i="3" s="1"/>
  <c r="Q289" i="3"/>
  <c r="Q194" i="3"/>
  <c r="Q218" i="3"/>
  <c r="R53" i="3"/>
  <c r="S53" i="3" s="1"/>
  <c r="R37" i="3"/>
  <c r="S37" i="3" s="1"/>
  <c r="R375" i="3"/>
  <c r="S375" i="3" s="1"/>
  <c r="R169" i="3"/>
  <c r="S169" i="3" s="1"/>
  <c r="R3" i="3"/>
  <c r="S3" i="3" s="1"/>
  <c r="R41" i="3"/>
  <c r="S41" i="3" s="1"/>
  <c r="R34" i="3"/>
  <c r="S34" i="3" s="1"/>
  <c r="R220" i="3"/>
  <c r="S220" i="3" s="1"/>
  <c r="R303" i="3"/>
  <c r="S303" i="3" s="1"/>
  <c r="R263" i="3"/>
  <c r="S263" i="3" s="1"/>
  <c r="R76" i="3"/>
  <c r="S76" i="3" s="1"/>
  <c r="R100" i="3"/>
  <c r="S100" i="3" s="1"/>
  <c r="R352" i="3"/>
  <c r="S352" i="3" s="1"/>
  <c r="R327" i="3"/>
  <c r="S327" i="3" s="1"/>
  <c r="R293" i="3"/>
  <c r="S293" i="3" s="1"/>
  <c r="R277" i="3"/>
  <c r="S277" i="3" s="1"/>
  <c r="R59" i="3"/>
  <c r="S59" i="3" s="1"/>
  <c r="R222" i="3"/>
  <c r="S222" i="3" s="1"/>
  <c r="R259" i="3"/>
  <c r="S259" i="3" s="1"/>
  <c r="Q199" i="3"/>
  <c r="R133" i="3"/>
  <c r="S133" i="3" s="1"/>
  <c r="R354" i="3"/>
  <c r="S354" i="3" s="1"/>
  <c r="Q198" i="3"/>
  <c r="R279" i="3"/>
  <c r="S279" i="3" s="1"/>
  <c r="R258" i="3"/>
  <c r="S258" i="3" s="1"/>
  <c r="Q319" i="3"/>
  <c r="R108" i="3"/>
  <c r="S108" i="3" s="1"/>
  <c r="Q185" i="3"/>
  <c r="R126" i="3"/>
  <c r="S126" i="3" s="1"/>
  <c r="R87" i="3"/>
  <c r="S87" i="3" s="1"/>
  <c r="R175" i="3"/>
  <c r="S175" i="3" s="1"/>
  <c r="R230" i="3"/>
  <c r="S230" i="3" s="1"/>
  <c r="R343" i="3"/>
  <c r="S343" i="3" s="1"/>
  <c r="R11" i="3"/>
  <c r="S11" i="3" s="1"/>
  <c r="R91" i="3"/>
  <c r="S91" i="3" s="1"/>
  <c r="Q244" i="3"/>
  <c r="R32" i="3"/>
  <c r="S32" i="3" s="1"/>
  <c r="R26" i="3"/>
  <c r="S26" i="3" s="1"/>
  <c r="R212" i="3"/>
  <c r="S212" i="3" s="1"/>
  <c r="Q224" i="3"/>
  <c r="Q111" i="3"/>
  <c r="R75" i="3"/>
  <c r="S75" i="3" s="1"/>
  <c r="R20" i="3"/>
  <c r="S20" i="3" s="1"/>
  <c r="R119" i="3"/>
  <c r="S119" i="3" s="1"/>
  <c r="R307" i="3"/>
  <c r="S307" i="3" s="1"/>
  <c r="R351" i="3"/>
  <c r="S351" i="3" s="1"/>
  <c r="R10" i="3"/>
  <c r="S10" i="3" s="1"/>
  <c r="R383" i="3"/>
  <c r="S383" i="3" s="1"/>
  <c r="R216" i="3"/>
  <c r="S216" i="3" s="1"/>
  <c r="R44" i="3"/>
  <c r="S44" i="3" s="1"/>
  <c r="R96" i="3"/>
  <c r="S96" i="3" s="1"/>
  <c r="R206" i="3"/>
  <c r="S206" i="3" s="1"/>
  <c r="R234" i="3"/>
  <c r="S234" i="3" s="1"/>
  <c r="Q24" i="3"/>
  <c r="Q354" i="3"/>
  <c r="Q253" i="3"/>
  <c r="R341" i="3"/>
  <c r="S341" i="3" s="1"/>
  <c r="R132" i="3"/>
  <c r="S132" i="3" s="1"/>
  <c r="R360" i="3"/>
  <c r="S360" i="3" s="1"/>
  <c r="R24" i="3"/>
  <c r="S24" i="3" s="1"/>
  <c r="R68" i="3"/>
  <c r="S68" i="3" s="1"/>
  <c r="Q257" i="3"/>
  <c r="Q99" i="3"/>
  <c r="Q17" i="3"/>
  <c r="Q247" i="3"/>
  <c r="Q70" i="3"/>
  <c r="Q314" i="3"/>
  <c r="Q184" i="3"/>
  <c r="Q261" i="3"/>
  <c r="Q72" i="3"/>
  <c r="Q121" i="3"/>
  <c r="Q74" i="3"/>
  <c r="Q78" i="3"/>
  <c r="Q340" i="3"/>
  <c r="Q93" i="3"/>
  <c r="Q149" i="3"/>
  <c r="Q22" i="3"/>
  <c r="Q9" i="3"/>
  <c r="Q143" i="3"/>
  <c r="Q69" i="3"/>
  <c r="Q159" i="3"/>
  <c r="Q40" i="3"/>
  <c r="Q297" i="3"/>
  <c r="Q255" i="3"/>
  <c r="Q7" i="3"/>
  <c r="Q188" i="3"/>
  <c r="Q216" i="3"/>
  <c r="Q108" i="3"/>
  <c r="Q277" i="3"/>
  <c r="Q352" i="3"/>
  <c r="Q222" i="3"/>
  <c r="Q75" i="3"/>
  <c r="Q97" i="3"/>
  <c r="Q11" i="3"/>
  <c r="Q133" i="3"/>
  <c r="Q91" i="3"/>
  <c r="Q175" i="3"/>
  <c r="Q328" i="3"/>
  <c r="Q212" i="3"/>
  <c r="Q71" i="3"/>
  <c r="Q337" i="3"/>
  <c r="Q48" i="3"/>
  <c r="Q85" i="3"/>
  <c r="Q153" i="3"/>
  <c r="Q331" i="3"/>
  <c r="Q219" i="3"/>
  <c r="Q195" i="3"/>
  <c r="Q298" i="3"/>
  <c r="Q193" i="3"/>
  <c r="Q57" i="3"/>
  <c r="Q68" i="3"/>
  <c r="Q53" i="3"/>
  <c r="Q279" i="3"/>
  <c r="R272" i="3"/>
  <c r="S272" i="3" s="1"/>
  <c r="Q272" i="3"/>
  <c r="R373" i="3"/>
  <c r="S373" i="3" s="1"/>
  <c r="R105" i="3"/>
  <c r="S105" i="3" s="1"/>
  <c r="Q105" i="3"/>
  <c r="R249" i="3"/>
  <c r="S249" i="3" s="1"/>
  <c r="R94" i="3"/>
  <c r="S94" i="3" s="1"/>
  <c r="Q82" i="3"/>
  <c r="R80" i="3"/>
  <c r="S80" i="3" s="1"/>
  <c r="Q80" i="3"/>
  <c r="R177" i="3"/>
  <c r="S177" i="3" s="1"/>
  <c r="Q174" i="3"/>
  <c r="R174" i="3"/>
  <c r="S174" i="3" s="1"/>
  <c r="R284" i="3"/>
  <c r="S284" i="3" s="1"/>
  <c r="Q284" i="3"/>
  <c r="R248" i="3"/>
  <c r="S248" i="3" s="1"/>
  <c r="R151" i="3"/>
  <c r="S151" i="3" s="1"/>
  <c r="R384" i="3"/>
  <c r="S384" i="3" s="1"/>
  <c r="Q384" i="3"/>
  <c r="R336" i="3"/>
  <c r="S336" i="3" s="1"/>
  <c r="Q336" i="3"/>
  <c r="R260" i="3"/>
  <c r="S260" i="3" s="1"/>
  <c r="Q122" i="3"/>
  <c r="R122" i="3"/>
  <c r="S122" i="3" s="1"/>
  <c r="R347" i="3"/>
  <c r="S347" i="3" s="1"/>
  <c r="R339" i="3"/>
  <c r="S339" i="3" s="1"/>
  <c r="Q339" i="3"/>
  <c r="R173" i="3"/>
  <c r="S173" i="3" s="1"/>
  <c r="Q147" i="3"/>
  <c r="R147" i="3"/>
  <c r="S147" i="3" s="1"/>
  <c r="R25" i="3"/>
  <c r="S25" i="3" s="1"/>
  <c r="Q25" i="3"/>
  <c r="R192" i="3"/>
  <c r="S192" i="3" s="1"/>
  <c r="Q39" i="3"/>
  <c r="R39" i="3"/>
  <c r="S39" i="3" s="1"/>
  <c r="R55" i="3"/>
  <c r="S55" i="3" s="1"/>
  <c r="R63" i="3"/>
  <c r="S63" i="3" s="1"/>
  <c r="Q63" i="3"/>
  <c r="R13" i="3"/>
  <c r="S13" i="3" s="1"/>
  <c r="Q13" i="3"/>
  <c r="R281" i="3"/>
  <c r="S281" i="3" s="1"/>
  <c r="Q281" i="3"/>
  <c r="R246" i="3"/>
  <c r="S246" i="3" s="1"/>
  <c r="Q246" i="3"/>
  <c r="R115" i="3"/>
  <c r="S115" i="3" s="1"/>
  <c r="R252" i="3"/>
  <c r="S252" i="3" s="1"/>
  <c r="Q252" i="3"/>
  <c r="R103" i="3"/>
  <c r="S103" i="3" s="1"/>
  <c r="Q308" i="3"/>
  <c r="R308" i="3"/>
  <c r="S308" i="3" s="1"/>
  <c r="R229" i="3"/>
  <c r="S229" i="3" s="1"/>
  <c r="Q229" i="3"/>
  <c r="R301" i="3"/>
  <c r="S301" i="3" s="1"/>
  <c r="Q256" i="3"/>
  <c r="R256" i="3"/>
  <c r="S256" i="3" s="1"/>
  <c r="R243" i="3"/>
  <c r="S243" i="3" s="1"/>
  <c r="Q243" i="3"/>
  <c r="R191" i="3"/>
  <c r="S191" i="3" s="1"/>
  <c r="Q372" i="3"/>
  <c r="R372" i="3"/>
  <c r="S372" i="3" s="1"/>
  <c r="R362" i="3"/>
  <c r="S362" i="3" s="1"/>
  <c r="Q362" i="3"/>
  <c r="R370" i="3"/>
  <c r="S370" i="3" s="1"/>
  <c r="Q365" i="3"/>
  <c r="R365" i="3"/>
  <c r="S365" i="3" s="1"/>
  <c r="R364" i="3"/>
  <c r="S364" i="3" s="1"/>
  <c r="Q364" i="3"/>
  <c r="R302" i="3"/>
  <c r="S302" i="3" s="1"/>
  <c r="Q268" i="3"/>
  <c r="R268" i="3"/>
  <c r="S268" i="3" s="1"/>
  <c r="R141" i="3"/>
  <c r="S141" i="3" s="1"/>
  <c r="R123" i="3"/>
  <c r="S123" i="3" s="1"/>
  <c r="Q114" i="3"/>
  <c r="R114" i="3"/>
  <c r="S114" i="3" s="1"/>
  <c r="R349" i="3"/>
  <c r="S349" i="3" s="1"/>
  <c r="Q349" i="3"/>
  <c r="R128" i="3"/>
  <c r="S128" i="3" s="1"/>
  <c r="R353" i="3"/>
  <c r="S353" i="3" s="1"/>
  <c r="R182" i="3"/>
  <c r="S182" i="3" s="1"/>
  <c r="Q211" i="3"/>
  <c r="R211" i="3"/>
  <c r="S211" i="3" s="1"/>
  <c r="R181" i="3"/>
  <c r="S181" i="3" s="1"/>
  <c r="Q181" i="3"/>
  <c r="R207" i="3"/>
  <c r="S207" i="3" s="1"/>
  <c r="Q321" i="3"/>
  <c r="R321" i="3"/>
  <c r="S321" i="3" s="1"/>
  <c r="R232" i="3"/>
  <c r="S232" i="3" s="1"/>
  <c r="Q232" i="3"/>
  <c r="R67" i="3"/>
  <c r="S67" i="3" s="1"/>
  <c r="Q162" i="3"/>
  <c r="R162" i="3"/>
  <c r="S162" i="3" s="1"/>
  <c r="R363" i="3"/>
  <c r="S363" i="3" s="1"/>
  <c r="R161" i="3"/>
  <c r="S161" i="3" s="1"/>
  <c r="R205" i="3"/>
  <c r="S205" i="3" s="1"/>
  <c r="Q205" i="3"/>
  <c r="R202" i="3"/>
  <c r="S202" i="3" s="1"/>
  <c r="Q202" i="3"/>
  <c r="Q141" i="3"/>
  <c r="Q343" i="3"/>
  <c r="Q230" i="3"/>
  <c r="Q44" i="3"/>
  <c r="Q293" i="3"/>
  <c r="Q41" i="3"/>
  <c r="Q303" i="3"/>
  <c r="Q76" i="3"/>
  <c r="R157" i="3"/>
  <c r="S157" i="3" s="1"/>
  <c r="R382" i="3"/>
  <c r="S382" i="3" s="1"/>
  <c r="Q355" i="3"/>
  <c r="R355" i="3"/>
  <c r="S355" i="3" s="1"/>
  <c r="Q98" i="3"/>
  <c r="R98" i="3"/>
  <c r="S98" i="3" s="1"/>
  <c r="R120" i="3"/>
  <c r="S120" i="3" s="1"/>
  <c r="R17" i="3"/>
  <c r="S17" i="3" s="1"/>
  <c r="R101" i="3"/>
  <c r="S101" i="3" s="1"/>
  <c r="R148" i="3"/>
  <c r="S148" i="3" s="1"/>
  <c r="Q148" i="3"/>
  <c r="R64" i="3"/>
  <c r="S64" i="3" s="1"/>
  <c r="R172" i="3"/>
  <c r="S172" i="3" s="1"/>
  <c r="R21" i="3"/>
  <c r="S21" i="3" s="1"/>
  <c r="Q21" i="3"/>
  <c r="R118" i="3"/>
  <c r="S118" i="3" s="1"/>
  <c r="R377" i="3"/>
  <c r="S377" i="3" s="1"/>
  <c r="R28" i="3"/>
  <c r="S28" i="3" s="1"/>
  <c r="Q47" i="3"/>
  <c r="R47" i="3"/>
  <c r="S47" i="3" s="1"/>
  <c r="R231" i="3"/>
  <c r="S231" i="3" s="1"/>
  <c r="Q231" i="3"/>
  <c r="R227" i="3"/>
  <c r="S227" i="3" s="1"/>
  <c r="Q210" i="3"/>
  <c r="R210" i="3"/>
  <c r="S210" i="3" s="1"/>
  <c r="R139" i="3"/>
  <c r="S139" i="3" s="1"/>
  <c r="R171" i="3"/>
  <c r="S171" i="3" s="1"/>
  <c r="R137" i="3"/>
  <c r="S137" i="3" s="1"/>
  <c r="R204" i="3"/>
  <c r="S204" i="3" s="1"/>
  <c r="Q204" i="3"/>
  <c r="R201" i="3"/>
  <c r="S201" i="3" s="1"/>
  <c r="Q290" i="3"/>
  <c r="R290" i="3"/>
  <c r="S290" i="3" s="1"/>
  <c r="R223" i="3"/>
  <c r="S223" i="3" s="1"/>
  <c r="Q223" i="3"/>
  <c r="R136" i="3"/>
  <c r="S136" i="3" s="1"/>
  <c r="R314" i="3"/>
  <c r="S314" i="3" s="1"/>
  <c r="R350" i="3"/>
  <c r="S350" i="3" s="1"/>
  <c r="Q254" i="3"/>
  <c r="R254" i="3"/>
  <c r="S254" i="3" s="1"/>
  <c r="R184" i="3"/>
  <c r="S184" i="3" s="1"/>
  <c r="R299" i="3"/>
  <c r="S299" i="3" s="1"/>
  <c r="R276" i="3"/>
  <c r="S276" i="3" s="1"/>
  <c r="Q276" i="3"/>
  <c r="Q119" i="3"/>
  <c r="Q20" i="3"/>
  <c r="Q307" i="3"/>
  <c r="R283" i="3"/>
  <c r="S283" i="3" s="1"/>
  <c r="Q283" i="3"/>
  <c r="R323" i="3"/>
  <c r="S323" i="3" s="1"/>
  <c r="Q61" i="3"/>
  <c r="R61" i="3"/>
  <c r="S61" i="3" s="1"/>
  <c r="R309" i="3"/>
  <c r="S309" i="3" s="1"/>
  <c r="Q309" i="3"/>
  <c r="Q96" i="3"/>
  <c r="Q118" i="3"/>
  <c r="Q206" i="3"/>
  <c r="Q10" i="3"/>
  <c r="R71" i="3"/>
  <c r="S71" i="3" s="1"/>
  <c r="R270" i="3"/>
  <c r="S270" i="3" s="1"/>
  <c r="R337" i="3"/>
  <c r="S337" i="3" s="1"/>
  <c r="R48" i="3"/>
  <c r="S48" i="3" s="1"/>
  <c r="R74" i="3"/>
  <c r="S74" i="3" s="1"/>
  <c r="R85" i="3"/>
  <c r="S85" i="3" s="1"/>
  <c r="R81" i="3"/>
  <c r="S81" i="3" s="1"/>
  <c r="R78" i="3"/>
  <c r="S78" i="3" s="1"/>
  <c r="R153" i="3"/>
  <c r="S153" i="3" s="1"/>
  <c r="R328" i="3"/>
  <c r="S328" i="3" s="1"/>
  <c r="R331" i="3"/>
  <c r="S331" i="3" s="1"/>
  <c r="R18" i="3"/>
  <c r="S18" i="3" s="1"/>
  <c r="R219" i="3"/>
  <c r="S219" i="3" s="1"/>
  <c r="R93" i="3"/>
  <c r="S93" i="3" s="1"/>
  <c r="R195" i="3"/>
  <c r="S195" i="3" s="1"/>
  <c r="R149" i="3"/>
  <c r="S149" i="3" s="1"/>
  <c r="R298" i="3"/>
  <c r="S298" i="3" s="1"/>
  <c r="R30" i="3"/>
  <c r="S30" i="3" s="1"/>
  <c r="R193" i="3"/>
  <c r="S193" i="3" s="1"/>
  <c r="R22" i="3"/>
  <c r="S22" i="3" s="1"/>
  <c r="R57" i="3"/>
  <c r="S57" i="3" s="1"/>
  <c r="R296" i="3"/>
  <c r="S296" i="3" s="1"/>
  <c r="R359" i="3"/>
  <c r="S359" i="3" s="1"/>
  <c r="R318" i="3"/>
  <c r="S318" i="3" s="1"/>
  <c r="R117" i="3"/>
  <c r="S117" i="3" s="1"/>
  <c r="R144" i="3"/>
  <c r="S144" i="3" s="1"/>
  <c r="R305" i="3"/>
  <c r="S305" i="3" s="1"/>
  <c r="R9" i="3"/>
  <c r="S9" i="3" s="1"/>
  <c r="R129" i="3"/>
  <c r="S129" i="3" s="1"/>
  <c r="R241" i="3"/>
  <c r="S241" i="3" s="1"/>
  <c r="R69" i="3"/>
  <c r="S69" i="3" s="1"/>
  <c r="R142" i="3"/>
  <c r="S142" i="3" s="1"/>
  <c r="R159" i="3"/>
  <c r="S159" i="3" s="1"/>
  <c r="R40" i="3"/>
  <c r="S40" i="3" s="1"/>
  <c r="R166" i="3"/>
  <c r="S166" i="3" s="1"/>
  <c r="R95" i="3"/>
  <c r="S95" i="3" s="1"/>
  <c r="R286" i="3"/>
  <c r="S286" i="3" s="1"/>
  <c r="R209" i="3"/>
  <c r="S209" i="3" s="1"/>
  <c r="R250" i="3"/>
  <c r="S250" i="3" s="1"/>
  <c r="R255" i="3"/>
  <c r="S255" i="3" s="1"/>
  <c r="R6" i="3"/>
  <c r="S6" i="3" s="1"/>
  <c r="R112" i="3"/>
  <c r="S112" i="3" s="1"/>
  <c r="R289" i="3"/>
  <c r="S289" i="3" s="1"/>
  <c r="R188" i="3"/>
  <c r="S188" i="3" s="1"/>
  <c r="R313" i="3"/>
  <c r="S313" i="3" s="1"/>
  <c r="R278" i="3"/>
  <c r="S278" i="3" s="1"/>
  <c r="R358" i="3"/>
  <c r="S358" i="3" s="1"/>
  <c r="R186" i="3"/>
  <c r="S186" i="3" s="1"/>
  <c r="R180" i="3"/>
  <c r="S180" i="3" s="1"/>
  <c r="Q292" i="3"/>
  <c r="R292" i="3"/>
  <c r="S292" i="3" s="1"/>
  <c r="Q259" i="3"/>
  <c r="Q171" i="3"/>
  <c r="R380" i="3"/>
  <c r="S380" i="3" s="1"/>
  <c r="Q380" i="3"/>
  <c r="Q351" i="3"/>
  <c r="Q275" i="3"/>
  <c r="Q178" i="3"/>
  <c r="Q179" i="3"/>
  <c r="R179" i="3"/>
  <c r="S179" i="3" s="1"/>
  <c r="R257" i="3"/>
  <c r="S257" i="3" s="1"/>
  <c r="R23" i="3"/>
  <c r="S23" i="3" s="1"/>
  <c r="Q23" i="3"/>
  <c r="R338" i="3"/>
  <c r="S338" i="3" s="1"/>
  <c r="Q338" i="3"/>
  <c r="R265" i="3"/>
  <c r="S265" i="3" s="1"/>
  <c r="Q265" i="3"/>
  <c r="R346" i="3"/>
  <c r="S346" i="3" s="1"/>
  <c r="R89" i="3"/>
  <c r="S89" i="3" s="1"/>
  <c r="R99" i="3"/>
  <c r="S99" i="3" s="1"/>
  <c r="R79" i="3"/>
  <c r="S79" i="3" s="1"/>
  <c r="Q79" i="3"/>
  <c r="R345" i="3"/>
  <c r="S345" i="3" s="1"/>
  <c r="Q344" i="3"/>
  <c r="R344" i="3"/>
  <c r="S344" i="3" s="1"/>
  <c r="R326" i="3"/>
  <c r="S326" i="3" s="1"/>
  <c r="Q326" i="3"/>
  <c r="R150" i="3"/>
  <c r="S150" i="3" s="1"/>
  <c r="Q150" i="3"/>
  <c r="R316" i="3"/>
  <c r="S316" i="3" s="1"/>
  <c r="R125" i="3"/>
  <c r="S125" i="3" s="1"/>
  <c r="Q125" i="3"/>
  <c r="R368" i="3"/>
  <c r="S368" i="3" s="1"/>
  <c r="Q371" i="3"/>
  <c r="R371" i="3"/>
  <c r="S371" i="3" s="1"/>
  <c r="R247" i="3"/>
  <c r="S247" i="3" s="1"/>
  <c r="R58" i="3"/>
  <c r="S58" i="3" s="1"/>
  <c r="R14" i="3"/>
  <c r="S14" i="3" s="1"/>
  <c r="Q14" i="3"/>
  <c r="R300" i="3"/>
  <c r="S300" i="3" s="1"/>
  <c r="R245" i="3"/>
  <c r="S245" i="3" s="1"/>
  <c r="R357" i="3"/>
  <c r="S357" i="3" s="1"/>
  <c r="R49" i="3"/>
  <c r="S49" i="3" s="1"/>
  <c r="Q49" i="3"/>
  <c r="R264" i="3"/>
  <c r="S264" i="3" s="1"/>
  <c r="R242" i="3"/>
  <c r="S242" i="3" s="1"/>
  <c r="Q242" i="3"/>
  <c r="R168" i="3"/>
  <c r="S168" i="3" s="1"/>
  <c r="R167" i="3"/>
  <c r="S167" i="3" s="1"/>
  <c r="Q167" i="3"/>
  <c r="R46" i="3"/>
  <c r="S46" i="3" s="1"/>
  <c r="Q46" i="3"/>
  <c r="R369" i="3"/>
  <c r="S369" i="3" s="1"/>
  <c r="R239" i="3"/>
  <c r="S239" i="3" s="1"/>
  <c r="Q113" i="3"/>
  <c r="R113" i="3"/>
  <c r="S113" i="3" s="1"/>
  <c r="R267" i="3"/>
  <c r="S267" i="3" s="1"/>
  <c r="Q267" i="3"/>
  <c r="R287" i="3"/>
  <c r="S287" i="3" s="1"/>
  <c r="Q287" i="3"/>
  <c r="R214" i="3"/>
  <c r="S214" i="3" s="1"/>
  <c r="R70" i="3"/>
  <c r="S70" i="3" s="1"/>
  <c r="R221" i="3"/>
  <c r="S221" i="3" s="1"/>
  <c r="Q189" i="3"/>
  <c r="R189" i="3"/>
  <c r="S189" i="3" s="1"/>
  <c r="R155" i="3"/>
  <c r="S155" i="3" s="1"/>
  <c r="Q155" i="3"/>
  <c r="R36" i="3"/>
  <c r="S36" i="3" s="1"/>
  <c r="Q36" i="3"/>
  <c r="R271" i="3"/>
  <c r="S271" i="3" s="1"/>
  <c r="R317" i="3"/>
  <c r="S317" i="3" s="1"/>
  <c r="Q317" i="3"/>
  <c r="R348" i="3"/>
  <c r="S348" i="3" s="1"/>
  <c r="R19" i="3"/>
  <c r="S19" i="3" s="1"/>
  <c r="Q19" i="3"/>
  <c r="R285" i="3"/>
  <c r="S285" i="3" s="1"/>
  <c r="R86" i="3"/>
  <c r="S86" i="3" s="1"/>
  <c r="Q86" i="3"/>
  <c r="R84" i="3"/>
  <c r="S84" i="3" s="1"/>
  <c r="R50" i="3"/>
  <c r="S50" i="3" s="1"/>
  <c r="Q50" i="3"/>
  <c r="Q73" i="3"/>
  <c r="R73" i="3"/>
  <c r="S73" i="3" s="1"/>
  <c r="R77" i="3"/>
  <c r="S77" i="3" s="1"/>
  <c r="R194" i="3"/>
  <c r="S194" i="3" s="1"/>
  <c r="R152" i="3"/>
  <c r="S152" i="3" s="1"/>
  <c r="R332" i="3"/>
  <c r="S332" i="3" s="1"/>
  <c r="Q332" i="3"/>
  <c r="R304" i="3"/>
  <c r="S304" i="3" s="1"/>
  <c r="R183" i="3"/>
  <c r="S183" i="3" s="1"/>
  <c r="Q183" i="3"/>
  <c r="R228" i="3"/>
  <c r="S228" i="3" s="1"/>
  <c r="R92" i="3"/>
  <c r="S92" i="3" s="1"/>
  <c r="Q92" i="3"/>
  <c r="R16" i="3"/>
  <c r="S16" i="3" s="1"/>
  <c r="R335" i="3"/>
  <c r="S335" i="3" s="1"/>
  <c r="Q335" i="3"/>
  <c r="R31" i="3"/>
  <c r="S31" i="3" s="1"/>
  <c r="R374" i="3"/>
  <c r="S374" i="3" s="1"/>
  <c r="Q374" i="3"/>
  <c r="R218" i="3"/>
  <c r="S218" i="3" s="1"/>
  <c r="R282" i="3"/>
  <c r="S282" i="3" s="1"/>
  <c r="R66" i="3"/>
  <c r="S66" i="3" s="1"/>
  <c r="Q66" i="3"/>
  <c r="R52" i="3"/>
  <c r="S52" i="3" s="1"/>
  <c r="R56" i="3"/>
  <c r="S56" i="3" s="1"/>
  <c r="R295" i="3"/>
  <c r="S295" i="3" s="1"/>
  <c r="Q295" i="3"/>
  <c r="R12" i="3"/>
  <c r="S12" i="3" s="1"/>
  <c r="R320" i="3"/>
  <c r="S320" i="3" s="1"/>
  <c r="Q320" i="3"/>
  <c r="R146" i="3"/>
  <c r="S146" i="3" s="1"/>
  <c r="Q146" i="3"/>
  <c r="R116" i="3"/>
  <c r="S116" i="3" s="1"/>
  <c r="Q330" i="3"/>
  <c r="R330" i="3"/>
  <c r="S330" i="3" s="1"/>
  <c r="R322" i="3"/>
  <c r="S322" i="3" s="1"/>
  <c r="R8" i="3"/>
  <c r="S8" i="3" s="1"/>
  <c r="Q8" i="3"/>
  <c r="R29" i="3"/>
  <c r="S29" i="3" s="1"/>
  <c r="R244" i="3"/>
  <c r="S244" i="3" s="1"/>
  <c r="R240" i="3"/>
  <c r="S240" i="3" s="1"/>
  <c r="Q217" i="3"/>
  <c r="R217" i="3"/>
  <c r="S217" i="3" s="1"/>
  <c r="R90" i="3"/>
  <c r="S90" i="3" s="1"/>
  <c r="Q90" i="3"/>
  <c r="R160" i="3"/>
  <c r="S160" i="3" s="1"/>
  <c r="Q38" i="3"/>
  <c r="R38" i="3"/>
  <c r="S38" i="3" s="1"/>
  <c r="R158" i="3"/>
  <c r="S158" i="3" s="1"/>
  <c r="R367" i="3"/>
  <c r="S367" i="3" s="1"/>
  <c r="R124" i="3"/>
  <c r="S124" i="3" s="1"/>
  <c r="R280" i="3"/>
  <c r="S280" i="3" s="1"/>
  <c r="Q280" i="3"/>
  <c r="R237" i="3"/>
  <c r="S237" i="3" s="1"/>
  <c r="Q237" i="3"/>
  <c r="R310" i="3"/>
  <c r="S310" i="3" s="1"/>
  <c r="R235" i="3"/>
  <c r="S235" i="3" s="1"/>
  <c r="R215" i="3"/>
  <c r="S215" i="3" s="1"/>
  <c r="Q208" i="3"/>
  <c r="R208" i="3"/>
  <c r="S208" i="3" s="1"/>
  <c r="R366" i="3"/>
  <c r="S366" i="3" s="1"/>
  <c r="R42" i="3"/>
  <c r="S42" i="3" s="1"/>
  <c r="Q42" i="3"/>
  <c r="Q190" i="3"/>
  <c r="R190" i="3"/>
  <c r="S190" i="3" s="1"/>
  <c r="R106" i="3"/>
  <c r="S106" i="3" s="1"/>
  <c r="R163" i="3"/>
  <c r="S163" i="3" s="1"/>
  <c r="Q163" i="3"/>
  <c r="R381" i="3"/>
  <c r="S381" i="3" s="1"/>
  <c r="Q381" i="3"/>
  <c r="R51" i="3"/>
  <c r="S51" i="3" s="1"/>
  <c r="R170" i="3"/>
  <c r="S170" i="3" s="1"/>
  <c r="Q170" i="3"/>
  <c r="R306" i="3"/>
  <c r="S306" i="3" s="1"/>
  <c r="Q306" i="3"/>
  <c r="R315" i="3"/>
  <c r="S315" i="3" s="1"/>
  <c r="R196" i="3"/>
  <c r="S196" i="3" s="1"/>
  <c r="R111" i="3"/>
  <c r="S111" i="3" s="1"/>
  <c r="R266" i="3"/>
  <c r="S266" i="3" s="1"/>
  <c r="R329" i="3"/>
  <c r="S329" i="3" s="1"/>
  <c r="R311" i="3"/>
  <c r="S311" i="3" s="1"/>
  <c r="R253" i="3"/>
  <c r="S253" i="3" s="1"/>
  <c r="Q100" i="3"/>
  <c r="Q168" i="3"/>
  <c r="Q382" i="3"/>
  <c r="Q34" i="3"/>
  <c r="Q234" i="3"/>
  <c r="Q271" i="3"/>
  <c r="Q348" i="3"/>
  <c r="Q285" i="3"/>
  <c r="Q84" i="3"/>
  <c r="Q77" i="3"/>
  <c r="Q152" i="3"/>
  <c r="Q304" i="3"/>
  <c r="Q228" i="3"/>
  <c r="Q16" i="3"/>
  <c r="Q31" i="3"/>
  <c r="Q282" i="3"/>
  <c r="Q56" i="3"/>
  <c r="Q12" i="3"/>
  <c r="Q116" i="3"/>
  <c r="Q359" i="3"/>
  <c r="Q117" i="3"/>
  <c r="Q305" i="3"/>
  <c r="R140" i="3"/>
  <c r="S140" i="3" s="1"/>
  <c r="R385" i="3"/>
  <c r="S385" i="3" s="1"/>
  <c r="R342" i="3"/>
  <c r="S342" i="3" s="1"/>
  <c r="R107" i="3"/>
  <c r="S107" i="3" s="1"/>
  <c r="Q322" i="3"/>
  <c r="Q29" i="3"/>
  <c r="Q240" i="3"/>
  <c r="Q160" i="3"/>
  <c r="Q158" i="3"/>
  <c r="Q124" i="3"/>
  <c r="Q310" i="3"/>
  <c r="Q215" i="3"/>
  <c r="Q366" i="3"/>
  <c r="Q106" i="3"/>
  <c r="Q51" i="3"/>
  <c r="Q341" i="3"/>
  <c r="Q196" i="3"/>
  <c r="Q132" i="3"/>
  <c r="Q329" i="3"/>
  <c r="Q360" i="3"/>
  <c r="Q126" i="3"/>
  <c r="R203" i="3"/>
  <c r="S203" i="3" s="1"/>
  <c r="R225" i="3"/>
  <c r="S225" i="3" s="1"/>
  <c r="R134" i="3"/>
  <c r="S134" i="3" s="1"/>
  <c r="R333" i="3"/>
  <c r="S333" i="3" s="1"/>
  <c r="R379" i="3"/>
  <c r="S379" i="3" s="1"/>
  <c r="R197" i="3"/>
  <c r="S197" i="3" s="1"/>
  <c r="R127" i="3"/>
  <c r="S127" i="3" s="1"/>
  <c r="Q197" i="3"/>
  <c r="Q95" i="3"/>
  <c r="Q373" i="3"/>
  <c r="Q249" i="3"/>
  <c r="Q94" i="3"/>
  <c r="Q177" i="3"/>
  <c r="Q248" i="3"/>
  <c r="Q151" i="3"/>
  <c r="Q260" i="3"/>
  <c r="Q347" i="3"/>
  <c r="Q173" i="3"/>
  <c r="Q55" i="3"/>
  <c r="Q115" i="3"/>
  <c r="R200" i="3"/>
  <c r="S200" i="3" s="1"/>
  <c r="Q241" i="3"/>
  <c r="Q311" i="3"/>
  <c r="Q112" i="3"/>
  <c r="Q157" i="3"/>
  <c r="Q89" i="3"/>
  <c r="Q180" i="3"/>
  <c r="Q345" i="3"/>
  <c r="Q120" i="3"/>
  <c r="Q323" i="3"/>
  <c r="Q316" i="3"/>
  <c r="Q101" i="3"/>
  <c r="Q368" i="3"/>
  <c r="Q64" i="3"/>
  <c r="Q172" i="3"/>
  <c r="Q245" i="3"/>
  <c r="R4" i="3"/>
  <c r="S4" i="3" s="1"/>
  <c r="Q315" i="3"/>
  <c r="Q18" i="3"/>
  <c r="Q296" i="3"/>
  <c r="Q209" i="3"/>
  <c r="Q156" i="3"/>
  <c r="Q88" i="3"/>
  <c r="Q83" i="3"/>
  <c r="Q356" i="3"/>
  <c r="Q361" i="3"/>
  <c r="Q291" i="3"/>
  <c r="Q15" i="3"/>
  <c r="Q60" i="3"/>
  <c r="Q54" i="3"/>
  <c r="Q145" i="3"/>
  <c r="Q102" i="3"/>
  <c r="Q251" i="3"/>
  <c r="R72" i="3"/>
  <c r="S72" i="3" s="1"/>
  <c r="R121" i="3"/>
  <c r="S121" i="3" s="1"/>
  <c r="R143" i="3"/>
  <c r="S143" i="3" s="1"/>
  <c r="R297" i="3"/>
  <c r="S297" i="3" s="1"/>
  <c r="R7" i="3"/>
  <c r="S7" i="3" s="1"/>
  <c r="R199" i="3"/>
  <c r="S199" i="3" s="1"/>
  <c r="R378" i="3"/>
  <c r="S378" i="3" s="1"/>
  <c r="R187" i="3"/>
  <c r="S187" i="3" s="1"/>
  <c r="R288" i="3"/>
  <c r="S288" i="3" s="1"/>
  <c r="R198" i="3"/>
  <c r="S198" i="3" s="1"/>
  <c r="R131" i="3"/>
  <c r="S131" i="3" s="1"/>
  <c r="Q130" i="3"/>
  <c r="R130" i="3"/>
  <c r="S130" i="3" s="1"/>
  <c r="R325" i="3"/>
  <c r="S325" i="3" s="1"/>
  <c r="Q258" i="3"/>
  <c r="R319" i="3"/>
  <c r="S319" i="3" s="1"/>
  <c r="R65" i="3"/>
  <c r="S65" i="3" s="1"/>
  <c r="R185" i="3"/>
  <c r="S185" i="3" s="1"/>
  <c r="Q166" i="3"/>
  <c r="Q187" i="3"/>
  <c r="Q318" i="3"/>
  <c r="Q154" i="3"/>
  <c r="Q87" i="3"/>
  <c r="Q104" i="3"/>
  <c r="Q164" i="3"/>
  <c r="R224" i="3"/>
  <c r="S224" i="3" s="1"/>
  <c r="R43" i="3"/>
  <c r="S43" i="3" s="1"/>
  <c r="Q383" i="3"/>
  <c r="R165" i="3"/>
  <c r="S165" i="3" s="1"/>
  <c r="R110" i="3"/>
  <c r="S110" i="3" s="1"/>
  <c r="R33" i="3"/>
  <c r="S33" i="3" s="1"/>
  <c r="R261" i="3"/>
  <c r="S261" i="3" s="1"/>
  <c r="R274" i="3"/>
  <c r="S274" i="3" s="1"/>
  <c r="R262" i="3"/>
  <c r="S262" i="3" s="1"/>
  <c r="Q262" i="3"/>
  <c r="Q220" i="3"/>
  <c r="Q263" i="3"/>
  <c r="Q327" i="3"/>
  <c r="Q59" i="3"/>
  <c r="R340" i="3"/>
  <c r="S340" i="3" s="1"/>
  <c r="R156" i="3"/>
  <c r="S156" i="3" s="1"/>
  <c r="R35" i="3"/>
  <c r="S35" i="3" s="1"/>
  <c r="Q270" i="3"/>
  <c r="R294" i="3"/>
  <c r="S294" i="3" s="1"/>
  <c r="R88" i="3"/>
  <c r="S88" i="3" s="1"/>
  <c r="R83" i="3"/>
  <c r="S83" i="3" s="1"/>
  <c r="Q81" i="3"/>
  <c r="R176" i="3"/>
  <c r="S176" i="3" s="1"/>
  <c r="R312" i="3"/>
  <c r="S312" i="3" s="1"/>
  <c r="R356" i="3"/>
  <c r="S356" i="3" s="1"/>
  <c r="R361" i="3"/>
  <c r="S361" i="3" s="1"/>
  <c r="R291" i="3"/>
  <c r="S291" i="3" s="1"/>
  <c r="R15" i="3"/>
  <c r="S15" i="3" s="1"/>
  <c r="Q30" i="3"/>
  <c r="R60" i="3"/>
  <c r="S60" i="3" s="1"/>
  <c r="R54" i="3"/>
  <c r="S54" i="3" s="1"/>
  <c r="R324" i="3"/>
  <c r="S324" i="3" s="1"/>
  <c r="R145" i="3"/>
  <c r="S145" i="3" s="1"/>
  <c r="Q144" i="3"/>
  <c r="R102" i="3"/>
  <c r="S102" i="3" s="1"/>
  <c r="R251" i="3"/>
  <c r="S251" i="3" s="1"/>
  <c r="R62" i="3"/>
  <c r="S62" i="3" s="1"/>
  <c r="R269" i="3"/>
  <c r="S269" i="3" s="1"/>
  <c r="R45" i="3"/>
  <c r="S45" i="3" s="1"/>
  <c r="R238" i="3"/>
  <c r="S238" i="3" s="1"/>
  <c r="R27" i="3"/>
  <c r="S27" i="3" s="1"/>
  <c r="R213" i="3"/>
  <c r="S213" i="3" s="1"/>
  <c r="R236" i="3"/>
  <c r="S236" i="3" s="1"/>
  <c r="R138" i="3"/>
  <c r="S138" i="3" s="1"/>
  <c r="R273" i="3"/>
  <c r="S273" i="3" s="1"/>
  <c r="R226" i="3"/>
  <c r="S226" i="3" s="1"/>
  <c r="Q135" i="3"/>
  <c r="R135" i="3"/>
  <c r="S135" i="3" s="1"/>
  <c r="R334" i="3"/>
  <c r="S334" i="3" s="1"/>
  <c r="R5" i="3"/>
  <c r="S5" i="3" s="1"/>
  <c r="R109" i="3"/>
  <c r="S109" i="3" s="1"/>
  <c r="R376" i="3"/>
  <c r="S376" i="3" s="1"/>
  <c r="Q266" i="3"/>
  <c r="Q103" i="3"/>
  <c r="Q301" i="3"/>
  <c r="Q191" i="3"/>
  <c r="Q370" i="3"/>
  <c r="Q302" i="3"/>
  <c r="Q123" i="3"/>
  <c r="Q128" i="3"/>
  <c r="Q182" i="3"/>
  <c r="Q207" i="3"/>
  <c r="Q67" i="3"/>
  <c r="Q161" i="3"/>
  <c r="Q378" i="3"/>
  <c r="Q288" i="3"/>
  <c r="Q131" i="3"/>
  <c r="Q325" i="3"/>
  <c r="Q65" i="3"/>
  <c r="Q377" i="3"/>
  <c r="Q264" i="3"/>
  <c r="Q28" i="3"/>
  <c r="Q369" i="3"/>
  <c r="Q239" i="3"/>
  <c r="Q227" i="3"/>
  <c r="Q214" i="3"/>
  <c r="Q221" i="3"/>
  <c r="Q139" i="3"/>
  <c r="Q137" i="3"/>
  <c r="Q201" i="3"/>
  <c r="Q136" i="3"/>
  <c r="Q350" i="3"/>
  <c r="Q299" i="3"/>
  <c r="Q33" i="3"/>
  <c r="Q274" i="3"/>
  <c r="Q62" i="3"/>
  <c r="Q45" i="3"/>
  <c r="Q238" i="3"/>
  <c r="Q213" i="3"/>
  <c r="Q236" i="3"/>
  <c r="Q138" i="3"/>
  <c r="Q273" i="3"/>
  <c r="Q226" i="3"/>
  <c r="Q334" i="3"/>
  <c r="Q5" i="3"/>
  <c r="Q109" i="3"/>
  <c r="Q233" i="3"/>
  <c r="Q37" i="3"/>
  <c r="Q32" i="3"/>
  <c r="Q26" i="3"/>
  <c r="Q379" i="3"/>
  <c r="Q346" i="3"/>
  <c r="Q58" i="3"/>
  <c r="Q300" i="3"/>
  <c r="Q357" i="3"/>
  <c r="G706"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tc={49683B90-1AA3-4580-8ACB-9442892DCC31}</author>
    <author>tc={EE4FA7CE-5D9E-4056-9F03-E4D6711D61F7}</author>
  </authors>
  <commentList>
    <comment ref="M1" authorId="0" shapeId="0" xr:uid="{49683B90-1AA3-4580-8ACB-9442892DCC31}">
      <text>
        <t>[Threaded comment]
Your version of Excel allows you to read this threaded comment; however, any edits to it will get removed if the file is opened in a newer version of Excel. Learn more: https://go.microsoft.com/fwlink/?linkid=870924
Comment:
    calculated by Christine M</t>
      </text>
    </comment>
    <comment ref="N1" authorId="1" shapeId="0" xr:uid="{EE4FA7CE-5D9E-4056-9F03-E4D6711D61F7}">
      <text>
        <t>[Threaded comment]
Your version of Excel allows you to read this threaded comment; however, any edits to it will get removed if the file is opened in a newer version of Excel. Learn more: https://go.microsoft.com/fwlink/?linkid=870924
Comment:
    calculated by Christine M</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<sst xmlns="http://schemas.openxmlformats.org/spreadsheetml/2006/main" count="28866" uniqueCount="3002">
  <si>
    <t>Nov Vendor Inv Detail</t>
  </si>
  <si>
    <t>Calculated</t>
  </si>
  <si>
    <t>Cognos - Nov Billing CDK</t>
  </si>
  <si>
    <t>Cognos - CDK Contract Detail</t>
  </si>
  <si>
    <t>Manual</t>
  </si>
  <si>
    <t>Cognos - Inv Detail Packages</t>
  </si>
  <si>
    <t>?</t>
  </si>
  <si>
    <t>Account</t>
  </si>
  <si>
    <t>Customer_ID</t>
  </si>
  <si>
    <t>External Billing ID</t>
  </si>
  <si>
    <t>Total minutes</t>
  </si>
  <si>
    <t>Overages</t>
  </si>
  <si>
    <t>Billing_amount</t>
  </si>
  <si>
    <t>CarWars Excl Overage</t>
  </si>
  <si>
    <t>CMF</t>
  </si>
  <si>
    <t>Ship to Name</t>
  </si>
  <si>
    <t>ANS Date</t>
  </si>
  <si>
    <t>Install Date</t>
  </si>
  <si>
    <t>LSS Date</t>
  </si>
  <si>
    <t>Catalog Number</t>
  </si>
  <si>
    <t>Catalog Description</t>
  </si>
  <si>
    <t>CDK Billing</t>
  </si>
  <si>
    <t>CDK Overages</t>
  </si>
  <si>
    <t>CDK total Billing</t>
  </si>
  <si>
    <t>Margin Excl Overage</t>
  </si>
  <si>
    <t>Margin % Excl Overage</t>
  </si>
  <si>
    <t>Comment Group</t>
  </si>
  <si>
    <t>CDK Package 1</t>
  </si>
  <si>
    <t>CDK Package 2</t>
  </si>
  <si>
    <t>CDK Package 3</t>
  </si>
  <si>
    <t>CallRevu Package 1</t>
  </si>
  <si>
    <t>CallRevu Package 2</t>
  </si>
  <si>
    <t>CallRevu Package 3</t>
  </si>
  <si>
    <t>Baker - Buick GMC Cadillac</t>
  </si>
  <si>
    <t>BAKER BUICK GMC CADILLAC</t>
  </si>
  <si>
    <t>4570060</t>
  </si>
  <si>
    <t>CRM OUTBOUND TELEPHONY TRACKING (NEW AND CONVERSION)</t>
  </si>
  <si>
    <t>ANS/Loss</t>
  </si>
  <si>
    <t>Secondary Package: Carrier Registration - Monthly ($10.00)</t>
  </si>
  <si>
    <t/>
  </si>
  <si>
    <t>Bob Bell Hyundai</t>
  </si>
  <si>
    <t>BOB BELL HYUNDAI</t>
  </si>
  <si>
    <t>4570062</t>
  </si>
  <si>
    <t>CARWARS PREMIUM SALES</t>
  </si>
  <si>
    <t>Elead CW Unlimited v2 ($1,571.65)</t>
  </si>
  <si>
    <t>Cella Ford</t>
  </si>
  <si>
    <t>08320047</t>
  </si>
  <si>
    <t>CELLA FORD</t>
  </si>
  <si>
    <t>4570009</t>
  </si>
  <si>
    <t>CARWARS STARTER 3500</t>
  </si>
  <si>
    <t>Elead CW Starter 4000 v2 ($254.15)</t>
  </si>
  <si>
    <t>Fair Oaks CDJR</t>
  </si>
  <si>
    <t>FAIR OAKS CHANTILLY CHRYSLER DODGE JEEP RAM</t>
  </si>
  <si>
    <t>eLead - CW Starter - 7500 mins v2 ($424.15)</t>
  </si>
  <si>
    <t>eLead - CW Premium - Sales 50k v2 ($1,571.65)</t>
  </si>
  <si>
    <t>Secondary Package: eLead - Car Wars Texting v2 ($211.65)</t>
  </si>
  <si>
    <t>Fredy KIA</t>
  </si>
  <si>
    <t>FREDY KIA</t>
  </si>
  <si>
    <t>eLead - CW Starter - 3500 mins v2 ($254.15)</t>
  </si>
  <si>
    <t>King KIA</t>
  </si>
  <si>
    <t>KING KIA</t>
  </si>
  <si>
    <t>King Kia of Laurel</t>
  </si>
  <si>
    <t>KING KIA OF LAUREL</t>
  </si>
  <si>
    <t>King Volkswagen</t>
  </si>
  <si>
    <t>KING VOLKSWAGEN</t>
  </si>
  <si>
    <t>Lokey Nissan</t>
  </si>
  <si>
    <t>LOKEY NISSAN</t>
  </si>
  <si>
    <t>4571030</t>
  </si>
  <si>
    <t>CARWARS STARTER 5000</t>
  </si>
  <si>
    <t>eLead - Elite Small v2 ($1,274.15)</t>
  </si>
  <si>
    <t>Mel Hambelton Ford</t>
  </si>
  <si>
    <t>MEL HAMBELTON FORD</t>
  </si>
  <si>
    <t>Midlands Toyota</t>
  </si>
  <si>
    <t>MIDLANDS TOYOTA</t>
  </si>
  <si>
    <t>4570058</t>
  </si>
  <si>
    <t>CARWARS STARTER 7500</t>
  </si>
  <si>
    <t>Mobile Bay Harley Davidson</t>
  </si>
  <si>
    <t>MOBILE BAY HARLEY DAVIDSON</t>
  </si>
  <si>
    <t>New Orleans Harley Davidson</t>
  </si>
  <si>
    <t>NEW ORLEANS HARLEY-DAVIDSON</t>
  </si>
  <si>
    <t>Elead Outbound 4000 v2 ($129.00)</t>
  </si>
  <si>
    <t>Piazza Nissan of Ardmore</t>
  </si>
  <si>
    <t>PIAZZA NISSAN OF ARDMORE</t>
  </si>
  <si>
    <t>Renaldo Kia</t>
  </si>
  <si>
    <t>RENALDO KIA</t>
  </si>
  <si>
    <t>Rosedale Chevrolet</t>
  </si>
  <si>
    <t>ROSEDALE CHEVROLET</t>
  </si>
  <si>
    <t>4570383</t>
  </si>
  <si>
    <t>EL1OUTCALLTRACK (GM IMR)</t>
  </si>
  <si>
    <t>Elead - 24' CW Elite Small ($839.00)</t>
  </si>
  <si>
    <t>Union Auto Grupo Usados</t>
  </si>
  <si>
    <t>UNION AUTO GRUPO USADOS</t>
  </si>
  <si>
    <t>Stanley Ford Sweetwater</t>
  </si>
  <si>
    <t>STANLEY FORD SWEETWATER</t>
  </si>
  <si>
    <t>ANS/Loss - Click to all active and reason on CLM of billing line is that this is downgrading to Carwars starter 7500 from carwars advanced sales - no billing though</t>
  </si>
  <si>
    <t>McSweeney Auto Group Clanton LLC</t>
  </si>
  <si>
    <t>MCSWEENEY CHRYSLER DODGE JEEP RAM</t>
  </si>
  <si>
    <t>4570289</t>
  </si>
  <si>
    <t>CARWARS ELITE 12,500 PACKAGE</t>
  </si>
  <si>
    <t>ANS/Loss - Deactivated Apr - Reactive as of Sept</t>
  </si>
  <si>
    <t>Elead - 24' CW Elite Medium ($1,294.00)</t>
  </si>
  <si>
    <t>Secondary Package: Elead - 24' CW Elite Medium Service ($349.00)</t>
  </si>
  <si>
    <t>Modern Nissan of Lake Norman</t>
  </si>
  <si>
    <t>MODERN NISSAN OF LAKE NORMAN</t>
  </si>
  <si>
    <t>ANS/Loss - sent form but Carwars said dealer wanted to keep it but no billing - sent email to sales</t>
  </si>
  <si>
    <t>Zimbrick Acura of Brookfield</t>
  </si>
  <si>
    <t>ZIMBRICK ACURA OF BROOKFIELD</t>
  </si>
  <si>
    <t>ANS/Loss - sent to carwars 8/12/25</t>
  </si>
  <si>
    <t>eLead - Elite Small ($1,019.00)</t>
  </si>
  <si>
    <t>Bob Bell Ford</t>
  </si>
  <si>
    <t>BOB BELL FORD</t>
  </si>
  <si>
    <t>ANS/Loss - Sent to carwars 8/8/25</t>
  </si>
  <si>
    <t>Moonshine Harley Davidson</t>
  </si>
  <si>
    <t>MOONSHINE HARLEY-DAVIDSON</t>
  </si>
  <si>
    <t>CARWARS LEISURE SMALL (SALES ONLY)</t>
  </si>
  <si>
    <t>Margin &gt;30%</t>
  </si>
  <si>
    <t>eLead - CW Leisure Small (Sales Only) ($489.00)</t>
  </si>
  <si>
    <t>HAN - Audi Jacksonville</t>
  </si>
  <si>
    <t>AUDI JACKSONVILLE</t>
  </si>
  <si>
    <t>Moved to call Revu</t>
  </si>
  <si>
    <t>HAN - Coconut Point Honda</t>
  </si>
  <si>
    <t>COCONUT POINT HONDA</t>
  </si>
  <si>
    <t>Infiniti of Tallahassee</t>
  </si>
  <si>
    <t>KRAFT INFINITI</t>
  </si>
  <si>
    <t>Keyser and Miller Ford</t>
  </si>
  <si>
    <t>KEYSER &amp; MILLER FORD</t>
  </si>
  <si>
    <t>Murray Chrysler Dodge Jeep Ram</t>
  </si>
  <si>
    <t>MURRAY CHRYSLER DODGE JEEP</t>
  </si>
  <si>
    <t>Moved to Call Revu in 2021</t>
  </si>
  <si>
    <t>North Point CJDR</t>
  </si>
  <si>
    <t>01326364</t>
  </si>
  <si>
    <t>NORTH POINT CHRYSLER DODGE JEEP RAM</t>
  </si>
  <si>
    <t>Negative Margin</t>
  </si>
  <si>
    <t>CRM OUTBOUND TELEPHONY TRACKING (NEW AND CONVERSION) ($131.04)</t>
  </si>
  <si>
    <t>Holman NC - Leith Autopark Wendell</t>
  </si>
  <si>
    <t>LEITH AUTO PARK KIA</t>
  </si>
  <si>
    <t>CRM OUTBOUND TELEPHONY TRACKING (NEW AND CONVERSION) ($199.00)</t>
  </si>
  <si>
    <t>CARWARS INDEFINITE CALL RECORDINGS ($10.00)</t>
  </si>
  <si>
    <t>eLead - CW Advanced - Sales - 7500 mins v2 ($849.15)</t>
  </si>
  <si>
    <t>Secondary Package: Long Term Audio Storage - $10 ($10.00)</t>
  </si>
  <si>
    <t>Bruce Bennett Nissan of Danbury</t>
  </si>
  <si>
    <t>DANBURY NISSAN INFINITI</t>
  </si>
  <si>
    <t>CARWARS STARTER 7500 ($499.00)</t>
  </si>
  <si>
    <t>Elead Launch Phase-0 ($0.00)</t>
  </si>
  <si>
    <t>Zimbrick BMW</t>
  </si>
  <si>
    <t>ZIMBRICK BMW</t>
  </si>
  <si>
    <t>CRM OUTBOUND TELEPHONY TRACKING (NEW AND CONVERSION) ($142.17)</t>
  </si>
  <si>
    <t>Elead CW Starter 8000 v2 ($424.15)</t>
  </si>
  <si>
    <t>Zimbrick Chevrolet</t>
  </si>
  <si>
    <t>ZIMBRICK CHEVROLET</t>
  </si>
  <si>
    <t>Zimbrick Mini</t>
  </si>
  <si>
    <t>ZIMBRICK MINI</t>
  </si>
  <si>
    <t>Holman NC - Leith Porsche Cary</t>
  </si>
  <si>
    <t>01021838</t>
  </si>
  <si>
    <t>LEITH PORSCHE</t>
  </si>
  <si>
    <t>CARWARS STARTER 5000 ($599.00)</t>
  </si>
  <si>
    <t>Holman NC - Leith Maserati of Raleigh</t>
  </si>
  <si>
    <t>MASERATI OF RALEIGH</t>
  </si>
  <si>
    <t>CARWARS INDEFINITE CALL RECORDINGS ($20.00)</t>
  </si>
  <si>
    <t>Modern Subaru of Boone</t>
  </si>
  <si>
    <t>MODERN SUBARU OF BOONE</t>
  </si>
  <si>
    <t>CARWARS STARTER 3500 ($200.93)</t>
  </si>
  <si>
    <t>Holman NC - Leith Audi Raleigh</t>
  </si>
  <si>
    <t>AUDI RALEIGH</t>
  </si>
  <si>
    <t>CARWARS STARTER UNLIMITED (FOR PHONE SYSTEMS) ($799.00)</t>
  </si>
  <si>
    <t>Zimbrick Volkswagen of Madison</t>
  </si>
  <si>
    <t>ZIMBRICK VOLKSWAGEN EAST</t>
  </si>
  <si>
    <t>CRM OUTBOUND TELEPHONY TRACKING (NEW AND CONVERSION) ($145.08)</t>
  </si>
  <si>
    <t>Greenway - Greenway Kia of Rivergate</t>
  </si>
  <si>
    <t>GREENWAY KIA RIVERGATE</t>
  </si>
  <si>
    <t>CRM OUTBOUND TELEPHONY TRACKING (NEW AND CONVERSION) ($995.00)</t>
  </si>
  <si>
    <t>Holman NC - Leith Jaguar Land Rover of Raleigh</t>
  </si>
  <si>
    <t>JAGUAR LAND ROVER RALEIGH</t>
  </si>
  <si>
    <t>CARWARS ADVANCED SALES ($999.00)</t>
  </si>
  <si>
    <t>Holman NC - Leith Autopark Chrysler Jeep</t>
  </si>
  <si>
    <t>01327379</t>
  </si>
  <si>
    <t>AUTO PARK CHRYSLER JEEP</t>
  </si>
  <si>
    <t>Holman NC - Leith BMW</t>
  </si>
  <si>
    <t>01021824</t>
  </si>
  <si>
    <t>LEITH BMW</t>
  </si>
  <si>
    <t>Holman NC - Leith Land Rover Cary</t>
  </si>
  <si>
    <t>09700157</t>
  </si>
  <si>
    <t>LAND ROVER CARY</t>
  </si>
  <si>
    <t>Holman NC - Leith Mercedes-Benz of Raleigh</t>
  </si>
  <si>
    <t>01021828</t>
  </si>
  <si>
    <t>LEITH MERCEDES BENZ OF RALEIGH</t>
  </si>
  <si>
    <t>Toyota of Wichita Falls</t>
  </si>
  <si>
    <t>BRADLEY/WILSON W.F., LLLP DBA TOYOTA WICHITA FALLS</t>
  </si>
  <si>
    <t>CARWARS STARTER 7500 ($294.41)</t>
  </si>
  <si>
    <t>Kia of Abilene</t>
  </si>
  <si>
    <t>KIA OF ABILENE</t>
  </si>
  <si>
    <t>CARWARS PREMIUM SALES ($1,090.91)</t>
  </si>
  <si>
    <t>TMC - Manchester Harley-Davidson</t>
  </si>
  <si>
    <t>MANCHESTER HARLEY DAVIDSON</t>
  </si>
  <si>
    <t>CARWARS PREMIUM SALES ($1,386.75)</t>
  </si>
  <si>
    <t>Secondary Package: Reseller - Voice Recongnition v2 ($424.00)</t>
  </si>
  <si>
    <t>Evergreen Kia</t>
  </si>
  <si>
    <t>EVERGREEN MOTORS INC</t>
  </si>
  <si>
    <t>CARWARS STARTER 3500 ($319.00)</t>
  </si>
  <si>
    <t>Modern Nissan of Hickory</t>
  </si>
  <si>
    <t>MODERN NISSAN OF HICKORY</t>
  </si>
  <si>
    <t>Modern Chevrolet Cadillac of Burlington</t>
  </si>
  <si>
    <t>MODERN CHEVROLET CADILLAC OF BURLINGTON</t>
  </si>
  <si>
    <t>Modern Ford of Boone</t>
  </si>
  <si>
    <t>MODERN FORD OF BOONE, LLC</t>
  </si>
  <si>
    <t>Modern Hyundai of Concord</t>
  </si>
  <si>
    <t>MODERN HYUNDAI OF CONCORD</t>
  </si>
  <si>
    <t>eLead - CW Starter - 5000 mins v2 ($509.15)</t>
  </si>
  <si>
    <t>Modern Infiniti of Greensboro</t>
  </si>
  <si>
    <t>MODERN INFINITI OF GREENSBORO</t>
  </si>
  <si>
    <t>Modern Infiniti of Winston Salem</t>
  </si>
  <si>
    <t>MODERN INFINITI OF WINSTON-SALEM</t>
  </si>
  <si>
    <t>Modern Mazda of Burlington</t>
  </si>
  <si>
    <t>MODERN MAZDA OF BURLINGTON</t>
  </si>
  <si>
    <t>Modern Nissan of Concord</t>
  </si>
  <si>
    <t>MODERN NISSAN OF CONCORD</t>
  </si>
  <si>
    <t>Modern Toyota of Boone</t>
  </si>
  <si>
    <t>MODERN TOYOTA OF BOONE</t>
  </si>
  <si>
    <t>Modern Nissan of Winston Salem</t>
  </si>
  <si>
    <t>MODERN NISSAN</t>
  </si>
  <si>
    <t>CARWARS STARTER 7500 ($335.33)</t>
  </si>
  <si>
    <t>Independence Harley Davidson</t>
  </si>
  <si>
    <t>INDEPENDENCE HARLEY</t>
  </si>
  <si>
    <t>CRM OUTBOUND TELEPHONY TRACKING (NEW AND CONVERSION) ($338.20)</t>
  </si>
  <si>
    <t>Modern Chevrolet - Winston</t>
  </si>
  <si>
    <t>MODERN CHEVROLET - WINSTON</t>
  </si>
  <si>
    <t>CARWARS PREMIUM SALES ($1,242.53)</t>
  </si>
  <si>
    <t>Modern Toyota Winston</t>
  </si>
  <si>
    <t>MODERN TOYOTA</t>
  </si>
  <si>
    <t>Athens BMW</t>
  </si>
  <si>
    <t>ATHENS BMW</t>
  </si>
  <si>
    <t>CARWARS STARTER 7500 ($350.30)</t>
  </si>
  <si>
    <t>Modern Toyota of Asheboro</t>
  </si>
  <si>
    <t>MODERN TOYOTA OF ASHEBORO</t>
  </si>
  <si>
    <t>CARWARS STARTER 3500 ($213.49)</t>
  </si>
  <si>
    <t>Grainger Honda</t>
  </si>
  <si>
    <t>08300018</t>
  </si>
  <si>
    <t>GRAINGER HONDA</t>
  </si>
  <si>
    <t>CARWARS PREMIUM SALES ($1,294.30)</t>
  </si>
  <si>
    <t>Circle - Volkswagen of Garden Grove</t>
  </si>
  <si>
    <t>VW OF GARDEN GROVE</t>
  </si>
  <si>
    <t>CARWARS STARTER 3500 ($217.23)</t>
  </si>
  <si>
    <t>Hughes Subaru</t>
  </si>
  <si>
    <t>HUGHES SUBARU</t>
  </si>
  <si>
    <t>Greenway - Riverchase Kia</t>
  </si>
  <si>
    <t>GREENWAY KIA OF RIVERCHASE</t>
  </si>
  <si>
    <t>CRM OUTBOUND TELEPHONY TRACKING (NEW AND CONVERSION) ($499.00)</t>
  </si>
  <si>
    <t>eLead - Starter 7500 + Starter 7500 ($588.00)</t>
  </si>
  <si>
    <t>Zimbrick Hyundai East</t>
  </si>
  <si>
    <t>ZIMBRICK HYUNDAI EAST</t>
  </si>
  <si>
    <t>CRM OUTBOUND TELEPHONY TRACKING (NEW AND CONVERSION) ($217.99)</t>
  </si>
  <si>
    <t>Zimbrick Nissan</t>
  </si>
  <si>
    <t>ZIMBRICK EASTSIDE NISSAN</t>
  </si>
  <si>
    <t>TMC - Harley-Davidson of The Woodlands</t>
  </si>
  <si>
    <t>HARLEY-DAVIDSON OF THE WOODLANDS</t>
  </si>
  <si>
    <t>Secondary Package: Long Term Audio Storage ($20.00)</t>
  </si>
  <si>
    <t>TMC - Rockstar Powersports of Brandon</t>
  </si>
  <si>
    <t>ROCKSTAR POWERSPORTS OF BRANDON</t>
  </si>
  <si>
    <t>TMC - Rockstar Powersports of Brooksville</t>
  </si>
  <si>
    <t>ROCKSTAR POWERSPORTS OF BROOKSVILLE</t>
  </si>
  <si>
    <t>TMC - Rockstar Powersports of St Pete</t>
  </si>
  <si>
    <t>ROCKSTAR POWERSPORTS OF ST PETE</t>
  </si>
  <si>
    <t>TMC - Alligator Alley Harley-Davidson</t>
  </si>
  <si>
    <t>ALLIGATOR ALLEY HARELY DAVIDSON</t>
  </si>
  <si>
    <t>TMC - Atlanta Harley-Davidson</t>
  </si>
  <si>
    <t>ATLANTA HARLEY-DAVIDSON</t>
  </si>
  <si>
    <t>TMC - Avalanche Harley-Davidson</t>
  </si>
  <si>
    <t>AVALANCHE HARLEY DAVIDSON</t>
  </si>
  <si>
    <t>TMC - Desert Wind Harley-Davidson</t>
  </si>
  <si>
    <t>DESERT WIND HARLEY - DAVIDSON</t>
  </si>
  <si>
    <t>TMC - High Octane Harley-Davidson</t>
  </si>
  <si>
    <t>HIGH OCTANE HARLEY DAVIDSON</t>
  </si>
  <si>
    <t>TMC - Jet City Harley-Davidson</t>
  </si>
  <si>
    <t>JET CITY HARLEY-DAVIDSON</t>
  </si>
  <si>
    <t>TMC - Motor City Harley-Davidson</t>
  </si>
  <si>
    <t>MOTORCITY HARLEY-DAVIDSON</t>
  </si>
  <si>
    <t>TMC - Palm Beach Harley-Davidson</t>
  </si>
  <si>
    <t>HARLEY-DAVIDSON OF PALM BEACH</t>
  </si>
  <si>
    <t>TMC - Patriot Harley Davidson</t>
  </si>
  <si>
    <t>PATRIOT HARLEY DAVIDSON</t>
  </si>
  <si>
    <t>TMC - Rockstar Harley-Davidson</t>
  </si>
  <si>
    <t>ROCKSTAR HARLEY-DAVIDSON</t>
  </si>
  <si>
    <t>TMC - Stars and Stripes Harley-Davidson</t>
  </si>
  <si>
    <t>STARS AND STRIPES HARLEY-DAVIDSON</t>
  </si>
  <si>
    <t>TMC - Summit Harley Davidson</t>
  </si>
  <si>
    <t>SUMMIT HARLEY-DAVIDSON</t>
  </si>
  <si>
    <t>TMC - Volcano Harley-Davidson</t>
  </si>
  <si>
    <t>VOLCANO HARLEY-DAVIDSON</t>
  </si>
  <si>
    <t>HUD - Rock Hill Nissan</t>
  </si>
  <si>
    <t>(blank)</t>
  </si>
  <si>
    <t>ROCK HILL NISSAN</t>
  </si>
  <si>
    <t>Koeppel Hyundai</t>
  </si>
  <si>
    <t>KOEPPEL HYUNDAI</t>
  </si>
  <si>
    <t>CARWARS ELITE 12,500 PACKAGE ($1,499.00)</t>
  </si>
  <si>
    <t>Elead - CW Elite Small + Advanced Service ($1,688.00)</t>
  </si>
  <si>
    <t>Pine Belt Nissan of Keyport</t>
  </si>
  <si>
    <t>PINE BELT NISSAN OF KEYPORT</t>
  </si>
  <si>
    <t>CARWARS PREMIUM SALES ($1,408.33)</t>
  </si>
  <si>
    <t>Void / $0 ($0.00)</t>
  </si>
  <si>
    <t>Pine Belt Nissan of Toms River</t>
  </si>
  <si>
    <t>PINE BELT NISSAN OF TOMS RIVER</t>
  </si>
  <si>
    <t>TMC - Old Glory Harley-Davidson</t>
  </si>
  <si>
    <t>OLD GLORY HARLEY-DAVIDSON</t>
  </si>
  <si>
    <t>CARWARS PREMIUM SALES ($1,469.12)</t>
  </si>
  <si>
    <t>Haldeman Ford East Windsor</t>
  </si>
  <si>
    <t>HALDEMAN FORD EAST WINDSOR</t>
  </si>
  <si>
    <t>CARWARS ELITE SMALL ($1,199.00)</t>
  </si>
  <si>
    <t>Haldeman Lexus of Princeton</t>
  </si>
  <si>
    <t>HALDEMAN LEXUS OF PRINCETON</t>
  </si>
  <si>
    <t>Haldeman Subaru</t>
  </si>
  <si>
    <t>HALDEMAN SUBARU</t>
  </si>
  <si>
    <t>TMC - Huntington Beach Harley-Davidson</t>
  </si>
  <si>
    <t>HUNTINGTON BEACH HARLEY-DAVIDSON</t>
  </si>
  <si>
    <t>CRM TELEPHONY TRACKING ($100.00)</t>
  </si>
  <si>
    <t>TMC - Rawhide Harley-Davidson</t>
  </si>
  <si>
    <t>RAWHIDE HARLEY-DAVIDSON</t>
  </si>
  <si>
    <t>TMC - Riverside Harley-Davidson</t>
  </si>
  <si>
    <t>RIVERSIDE HARLEY-DAVIDSON</t>
  </si>
  <si>
    <t>Phil Hughes Honda</t>
  </si>
  <si>
    <t>PHIL HUGHES HONDA</t>
  </si>
  <si>
    <t>CARWARS INDEFINITE CALL RECORDINGS ($14.04)</t>
  </si>
  <si>
    <t>CARWARS VOICE RECOGNITION (STARTER/ADV) ($268.92)</t>
  </si>
  <si>
    <t>Koeppel Mazda</t>
  </si>
  <si>
    <t>KOEPPEL MAZDA</t>
  </si>
  <si>
    <t>CARWARS ELITE 12,500 PACKAGE ($1,618.92)</t>
  </si>
  <si>
    <t>Koeppel Subaru</t>
  </si>
  <si>
    <t>KOEPPEL SUBARU</t>
  </si>
  <si>
    <t>Staunton Chrysler Dodge Jeep RAM</t>
  </si>
  <si>
    <t>STAUNTON CHRYSLER, DODGE,JEEP,RAM</t>
  </si>
  <si>
    <t>CDK no Charge</t>
  </si>
  <si>
    <t>CRM OUTBOUND TELEPHONY TRACKING (NEW AND CONVERSION) ($0.00)</t>
  </si>
  <si>
    <t>Williamsburg Chrysler Dodge Jeep Ram</t>
  </si>
  <si>
    <t>08300413</t>
  </si>
  <si>
    <t>WILLIAMSBURG CHRYSLER JEEP DODGE</t>
  </si>
  <si>
    <t>Negative Margin - Should have been Deactivated in Sep</t>
  </si>
  <si>
    <t>CARWARS CARRIER REGISTRATION ($0.65)</t>
  </si>
  <si>
    <t>CARWARS STARTER 5000 ($38.65)</t>
  </si>
  <si>
    <t>eLead - CW Starter - 5000 mins ($419.00)</t>
  </si>
  <si>
    <t>Grainger Nissan of Beaufort</t>
  </si>
  <si>
    <t>GRAINGER NISSAN OF BEAUFORT</t>
  </si>
  <si>
    <t>No charge from Carwars</t>
  </si>
  <si>
    <t>ELEAD1ONE CRM</t>
  </si>
  <si>
    <t>Apple Honda</t>
  </si>
  <si>
    <t>Bob Robinson Chevrolet Buick GMC</t>
  </si>
  <si>
    <t>Call Box test</t>
  </si>
  <si>
    <t>Chrysler Dodge Jeep Ram of Franklin</t>
  </si>
  <si>
    <t>Downtown Nashville Nissan</t>
  </si>
  <si>
    <t>HeightsNissan</t>
  </si>
  <si>
    <t>Secondary Package: Long Term Audio Storage - Fee Waived ($0.00)</t>
  </si>
  <si>
    <t>HERTRICH AUTO GROUP (elead)</t>
  </si>
  <si>
    <t>Major World CDJR</t>
  </si>
  <si>
    <t>Major World Chevrolet</t>
  </si>
  <si>
    <t xml:space="preserve"> ($0.00)</t>
  </si>
  <si>
    <t>Major World Chrysler Dodge Jeep</t>
  </si>
  <si>
    <t>Parks Toyota of Deland</t>
  </si>
  <si>
    <t>Stone Mountain Volkswagen</t>
  </si>
  <si>
    <t>VA - Victory Honda Peoria</t>
  </si>
  <si>
    <t>Pine Belt Chevrolet</t>
  </si>
  <si>
    <t>PINE BELT CHEVROLET</t>
  </si>
  <si>
    <t>No charge from CarWars but CDK Billing - In Loss status - maybe timing</t>
  </si>
  <si>
    <t>CRM OUTBOUND TELEPHONY TRACKING (NEW AND CONVERSION) ($246.39)</t>
  </si>
  <si>
    <t>Sub $0 ($0.00)</t>
  </si>
  <si>
    <t>High Country Harley Davidson - Cheyenne</t>
  </si>
  <si>
    <t>HIGH COUNTRY HARLEY DAVIDSON OF CHEYENNE</t>
  </si>
  <si>
    <t>High Country Harley Davidson - Frederick</t>
  </si>
  <si>
    <t>HIGH COUNTRY HARLEY-DAVIDSON</t>
  </si>
  <si>
    <t>CARWARS STARTER 3500 ($337.95)</t>
  </si>
  <si>
    <t>Pine Belt CDJR</t>
  </si>
  <si>
    <t>PINE BELT MOTORS CDJR</t>
  </si>
  <si>
    <t>CARWARS STARTER 3500 ($350.38)</t>
  </si>
  <si>
    <t>Jordan Ford</t>
  </si>
  <si>
    <t>No match</t>
  </si>
  <si>
    <t>Price_plan ($Excl Overages)</t>
  </si>
  <si>
    <t>Apple Honda MD</t>
  </si>
  <si>
    <t>Harley-Davidson of Cool Spring</t>
  </si>
  <si>
    <t>KIA Mall of Georgia</t>
  </si>
  <si>
    <t>Capital - Hyundai of Jacksonville</t>
  </si>
  <si>
    <t>CENTURY BUICK GMC</t>
  </si>
  <si>
    <t>eLead CW Elite (Sales Service AI) v2 ($2,533.85)</t>
  </si>
  <si>
    <t>Century Kia of Tampa</t>
  </si>
  <si>
    <t>DARCARS Chrysler Jeep Dodge RAM of Rockville</t>
  </si>
  <si>
    <t>DARCARS Honda</t>
  </si>
  <si>
    <t>DARCARS Lexus of Silver Spring</t>
  </si>
  <si>
    <t>David Taylor Michigan City CDJR IN</t>
  </si>
  <si>
    <t>ELEAD1ONE Marketing</t>
  </si>
  <si>
    <t>Glenbrook Mercedes-Benz of Fort Wayne</t>
  </si>
  <si>
    <t>Go WheelMart</t>
  </si>
  <si>
    <t>Elead CW 8000 ($710.00)</t>
  </si>
  <si>
    <t>Holland Motorsports/Harley Davidson of Dothan</t>
  </si>
  <si>
    <t>Holman NC - Leith Acura of Raleigh</t>
  </si>
  <si>
    <t>Honda of Illinois</t>
  </si>
  <si>
    <t>Jack Schmitt Ford Lincoln</t>
  </si>
  <si>
    <t>Lexus of Maplewood</t>
  </si>
  <si>
    <t>Long Hyundai Genesis Volvo</t>
  </si>
  <si>
    <t>Mall of Georgia Chrysler Dodge Jeep</t>
  </si>
  <si>
    <t>New Country Audi Bethesda</t>
  </si>
  <si>
    <t>Parks Ford Lincoln Hyundai of Gainesville</t>
  </si>
  <si>
    <t>Parks Seminole Powersports</t>
  </si>
  <si>
    <t>RRR - Toyota Certified at Capital Plaza</t>
  </si>
  <si>
    <t>Southern Chrysler Dodge Jeep Ram Greenbrier</t>
  </si>
  <si>
    <t>Sun Auto Warehouse</t>
  </si>
  <si>
    <t>Sun Auto Warehouse of Cortland</t>
  </si>
  <si>
    <t>Volume Chevrolet Buick</t>
  </si>
  <si>
    <t>ZT Mercedes of Fort Walton Beach</t>
  </si>
  <si>
    <t>ZT Motors BMW of Fort Walton Beach</t>
  </si>
  <si>
    <t>ZT Motors Mazda of Fort Walton Beach</t>
  </si>
  <si>
    <t>Holman NC - Leith Honda Chrysler Dodge Jeep RAM Aberdeen</t>
  </si>
  <si>
    <t>LEITH HONDA OF ABERDEEN</t>
  </si>
  <si>
    <t>4570129</t>
  </si>
  <si>
    <t>CARWARS INDEFINITE CALL RECORDINGS</t>
  </si>
  <si>
    <t>Only biling secondary packages</t>
  </si>
  <si>
    <t>Holman NC - Leith Mercedes Benz of Cary</t>
  </si>
  <si>
    <t>MERCEDES BENZ OF CARY</t>
  </si>
  <si>
    <t>Holman NC - Leith Volkswagen Raleigh</t>
  </si>
  <si>
    <t>VOLKSWAGEN OF RALEIGH</t>
  </si>
  <si>
    <t>Emerald Coast Harley-Davidson</t>
  </si>
  <si>
    <t>EMERALD COAST HARLEY-DAVIDSON</t>
  </si>
  <si>
    <t>Positive Margin &lt;30%</t>
  </si>
  <si>
    <t>ELead Marketing - $2 per line / 06¢ per min ($551.11)</t>
  </si>
  <si>
    <t>Galeana Chrysler Jeep Ram of Fort Myers</t>
  </si>
  <si>
    <t>CDJR OF FORT MYERS</t>
  </si>
  <si>
    <t>Elead - Elite Small 37.5k ($1,914.00)</t>
  </si>
  <si>
    <t>Galeana KIA of Fort Myers</t>
  </si>
  <si>
    <t>KIA OF FORT MYERS</t>
  </si>
  <si>
    <t>Premier Toyota</t>
  </si>
  <si>
    <t>PREMIER TOYOTA</t>
  </si>
  <si>
    <t>Anderson Crystal Lake BMW / Mazda</t>
  </si>
  <si>
    <t>4613a</t>
  </si>
  <si>
    <t>ANDERSON MOTORS OF CRYSTAL LAKE</t>
  </si>
  <si>
    <t>Harold Chevrolet</t>
  </si>
  <si>
    <t>HAROLD CHEVROLET</t>
  </si>
  <si>
    <t>Holman NC - Leith Vinfast</t>
  </si>
  <si>
    <t>LEITH VINFAST</t>
  </si>
  <si>
    <t>House Chevrolet Cadillac</t>
  </si>
  <si>
    <t>HOUSE CHEVROLET CADILLAC</t>
  </si>
  <si>
    <t>Charlie Clark Nissan Harlingen</t>
  </si>
  <si>
    <t>CHARLIE CLARK NISSAN EL PASO</t>
  </si>
  <si>
    <t>Elder Jaguar Land Rover Lakeland</t>
  </si>
  <si>
    <t>JAGUAR LAND ROVER LAKELAND</t>
  </si>
  <si>
    <t>Fairview Ford</t>
  </si>
  <si>
    <t>FAIRVIEW FORD</t>
  </si>
  <si>
    <t>Modern Genesis of Lake Norman</t>
  </si>
  <si>
    <t>GENESIS OF LAKE NORMAN</t>
  </si>
  <si>
    <t>Nissan of Midland</t>
  </si>
  <si>
    <t>MIDLAND NISSAN LP</t>
  </si>
  <si>
    <t>Timbrook - Chambersburg Hyundai</t>
  </si>
  <si>
    <t>CHAMBERSBURG HYUNDAI</t>
  </si>
  <si>
    <t>Timbrook - Greencastle Chevrolet</t>
  </si>
  <si>
    <t>GREENCASTLE CHEVROLET</t>
  </si>
  <si>
    <t>Timbrook - Hazleton Honda</t>
  </si>
  <si>
    <t>HAZLETON HONDA</t>
  </si>
  <si>
    <t>Timbrook -Altoona Honda</t>
  </si>
  <si>
    <t>ALTOONA HONDA</t>
  </si>
  <si>
    <t>Zimbrick Buick GMC West</t>
  </si>
  <si>
    <t>ZIMBRICK BUICK WEST</t>
  </si>
  <si>
    <t>Zimbrick Volkswagen</t>
  </si>
  <si>
    <t>ZIMBRICK MIDDLETON VOLKSWAGEN</t>
  </si>
  <si>
    <t>TMC - Motown Harley-Davidson</t>
  </si>
  <si>
    <t>17217a</t>
  </si>
  <si>
    <t>MOTOWN HARLEY-DAVIDSON</t>
  </si>
  <si>
    <t>CRM OUTBOUND TELEPHONY TRACKING (NEW AND CONVERSION) ($299.00)</t>
  </si>
  <si>
    <t>Greenway - San Antonio CDJR</t>
  </si>
  <si>
    <t>SAN ANTONIO CHRYSLER DODGE JEEP RAM</t>
  </si>
  <si>
    <t>CRM OUTBOUND TELEPHONY TRACKING (NEW AND CONVERSION) ($2,800.00)</t>
  </si>
  <si>
    <t>Greenway - University Kia</t>
  </si>
  <si>
    <t>UNIVERSITY KIA</t>
  </si>
  <si>
    <t>Ron Anderson Chevrolet Buick GMC</t>
  </si>
  <si>
    <t>RON ANDERSON CHEVROLET BUICK GMC</t>
  </si>
  <si>
    <t>EL1OUTCALLTRACK (GM IMR) ($489.02)</t>
  </si>
  <si>
    <t>Cherry Hill Nissan</t>
  </si>
  <si>
    <t>CHERRY HILL NISSAN</t>
  </si>
  <si>
    <t>CARWARS STARTER 3500 ($299.00)</t>
  </si>
  <si>
    <t>ALBRECHT - NASHUA INFINITI</t>
  </si>
  <si>
    <t>INFINITI OF NASHUA</t>
  </si>
  <si>
    <t>Alpha One Motors</t>
  </si>
  <si>
    <t>ALPHA ONE MOTORS</t>
  </si>
  <si>
    <t>Commonwealth Nissan</t>
  </si>
  <si>
    <t>COMMONWEALTH NISSAN</t>
  </si>
  <si>
    <t>Commuter Cars</t>
  </si>
  <si>
    <t>COMMUTER CARS</t>
  </si>
  <si>
    <t>Freeway Ford</t>
  </si>
  <si>
    <t>FREEWAY FORD</t>
  </si>
  <si>
    <t>Greenway - Greenway FIAT of East Orlando</t>
  </si>
  <si>
    <t>GREENWAY FIAT OF EAST ORLANDO</t>
  </si>
  <si>
    <t>Iron Steed Harley Davidson</t>
  </si>
  <si>
    <t>IRON STEED HARLEY-DAVIDSON</t>
  </si>
  <si>
    <t>Montgomeryville Acura</t>
  </si>
  <si>
    <t>08300016</t>
  </si>
  <si>
    <t>MONTGOMERYVILLE ACURA</t>
  </si>
  <si>
    <t>Montgomeryville Nissan</t>
  </si>
  <si>
    <t>MONTGOMERYVILLE NISSAN</t>
  </si>
  <si>
    <t>Terry Lambert Hyundai</t>
  </si>
  <si>
    <t>TERRY LAMBERT HYUNDAI</t>
  </si>
  <si>
    <t>Pine Belt Cadillac</t>
  </si>
  <si>
    <t>PINE BELT CADILLAC OF TOMS RIVER</t>
  </si>
  <si>
    <t>EL1OUTCALLTRACK (GM IMR) ($979.02)</t>
  </si>
  <si>
    <t>Commonwealth Chevrolet</t>
  </si>
  <si>
    <t>COMMONWEALTH CHEVROLET</t>
  </si>
  <si>
    <t>OUTBOUND CALL TRACKING PKGS (GM IMR CONVERSION) ($1,812.02)</t>
  </si>
  <si>
    <t>Bob Brown Chevrolet</t>
  </si>
  <si>
    <t>BOB BROWN CHEVROLET</t>
  </si>
  <si>
    <t>OUTBOUND CALL TRACKING PKGS (GM IMR CONVERSION) ($2,921.38)</t>
  </si>
  <si>
    <t>Chi Town Harley-Davidson</t>
  </si>
  <si>
    <t>CHI-TOWN HARLEY-DAVIDSON</t>
  </si>
  <si>
    <t>Deacon Jones Chevrolet Buick GMC of Clinton</t>
  </si>
  <si>
    <t>DEACON JONES CHEVROLET BUICK GMC OF CLINTON</t>
  </si>
  <si>
    <t>Deacon Jones Ford</t>
  </si>
  <si>
    <t>DEACON JONES FORD LINCOLN-MERCURY INC</t>
  </si>
  <si>
    <t>Deacon Jones Honda</t>
  </si>
  <si>
    <t>DEACON JONES HONDA</t>
  </si>
  <si>
    <t>Deacon Jones Hyundai</t>
  </si>
  <si>
    <t>DEACON JONES HYUNDAI</t>
  </si>
  <si>
    <t>Deacon Jones Kia</t>
  </si>
  <si>
    <t>DEACON JONES KIA</t>
  </si>
  <si>
    <t>Deacon Jones Nissan</t>
  </si>
  <si>
    <t>DEACON JONES NISSAN</t>
  </si>
  <si>
    <t>Deacon Jones Toyota</t>
  </si>
  <si>
    <t>DEACON JONES TOYOTA</t>
  </si>
  <si>
    <t>Greenway - Greenway Kia of Franklin</t>
  </si>
  <si>
    <t>GREENWAY KIA FRANKLIN</t>
  </si>
  <si>
    <t>Greenway - Laredo DCJR</t>
  </si>
  <si>
    <t>LAREDO DODGE CHRYSLER JEEP</t>
  </si>
  <si>
    <t>Greenway - Team1One CDJR of Gadsen</t>
  </si>
  <si>
    <t>TEAM ONE CHRYSLER DODGE JEEP RAM OF GADSDEN</t>
  </si>
  <si>
    <t>Greenway - Team1One Chevrolet of Gadsden</t>
  </si>
  <si>
    <t>TEAM ONE CHEVROLET</t>
  </si>
  <si>
    <t>Greenway - Team1One Hyundai of Gadsden</t>
  </si>
  <si>
    <t>TEAM ONE HYUNDAI OF GADSDEN</t>
  </si>
  <si>
    <t>Greenway - Team1One Nissan of Albertville</t>
  </si>
  <si>
    <t>TEAM ONE NISSAN OF ALBERTVILLE</t>
  </si>
  <si>
    <t>Greenway - Team1One Toyota of Gadsden</t>
  </si>
  <si>
    <t>TEAM ONE TOYOTA OF GADSDEN</t>
  </si>
  <si>
    <t>Greenway - University CDJR of Anniston</t>
  </si>
  <si>
    <t>GREENWAY CDJR ANNISTON</t>
  </si>
  <si>
    <t>Greenway - University CDJR of Rome</t>
  </si>
  <si>
    <t>GREENWAY CDJR OF ROME</t>
  </si>
  <si>
    <t>Greenway - Winter Haven Honda</t>
  </si>
  <si>
    <t>WINTER HAVEN HONDA</t>
  </si>
  <si>
    <t>Hyman Bros Land Rover Richmond</t>
  </si>
  <si>
    <t>LAND ROVER JAGUAR RICHMOND</t>
  </si>
  <si>
    <t>Hyman Bros Subaru</t>
  </si>
  <si>
    <t>HYMAN BROS SUBARU</t>
  </si>
  <si>
    <t>Mount Holly Nissan</t>
  </si>
  <si>
    <t>MOUNT HOLLY NISSAN</t>
  </si>
  <si>
    <t>Randy Marion Ford of West Jefferson</t>
  </si>
  <si>
    <t>RANDY MARION FORD OF WEST JEFFERSON</t>
  </si>
  <si>
    <t>Woodbury Nissan</t>
  </si>
  <si>
    <t>WOODBURY NISSAN, INC.</t>
  </si>
  <si>
    <t>Greenway - Kia at the Avenues</t>
  </si>
  <si>
    <t>GREENWAY KIA AT THE AVENUES</t>
  </si>
  <si>
    <t>Matt LaFontaine Automotive</t>
  </si>
  <si>
    <t>MATT LAFONTAINE AUTOMOTIVE</t>
  </si>
  <si>
    <t>EL1OUTCALLTRACK (GM IMR) ($293.02)</t>
  </si>
  <si>
    <t>Deacon Jones CDJR of Clinton</t>
  </si>
  <si>
    <t>CLINTON AUTO, LLC DBA DEACON JONES CHRYSLER DODGE</t>
  </si>
  <si>
    <t>Deacon Jones Chevrolet GMC of Kinston</t>
  </si>
  <si>
    <t>DEACON JONES CHEVROLET GMC OF KINSTON</t>
  </si>
  <si>
    <t>Deacon Jones Ford of Clinton</t>
  </si>
  <si>
    <t>CLINTON AUTOMOTIVE, LLC DBA DEACON JONES FORD OF</t>
  </si>
  <si>
    <t>Deacon Jones Ford of Kinston</t>
  </si>
  <si>
    <t>DEACON JONES FORD OF KINSTON</t>
  </si>
  <si>
    <t>HAN - Hanania CDJR of St. Augustine</t>
  </si>
  <si>
    <t>HANANIA CDJR OF ST. AUGUSTINE</t>
  </si>
  <si>
    <t>Randy Marion Chevrolet Buick GMC of West Jefferson</t>
  </si>
  <si>
    <t>RANDY MARION CHEVROLET BUICK GMC OF WEST JEFFERSON</t>
  </si>
  <si>
    <t>Kia of San Angelo</t>
  </si>
  <si>
    <t>KIA OF SAN ANGELO</t>
  </si>
  <si>
    <t>CARWARS TEXTING (STARTER/ADVANCED) ($249.00)</t>
  </si>
  <si>
    <t>Rusty Wallace Honda</t>
  </si>
  <si>
    <t>RUSTY WALLACE HONDA</t>
  </si>
  <si>
    <t>Secondary Package: Exception: ELEAD Texting v2 ($211.65)</t>
  </si>
  <si>
    <t>Holman NC - Leith Acura of Cary</t>
  </si>
  <si>
    <t>01021822</t>
  </si>
  <si>
    <t>LEITH ACURA-CARY</t>
  </si>
  <si>
    <t>Greenway - Ford KC</t>
  </si>
  <si>
    <t>GREENWAY FORD OF KANSAS CITY</t>
  </si>
  <si>
    <t>JT's AUTOLAND II</t>
  </si>
  <si>
    <t>JT'S AUTOMOTIVE OF LEXINGTON LP DBA JTS AUTOLAND I</t>
  </si>
  <si>
    <t>Crescent Ford</t>
  </si>
  <si>
    <t>CRESCENT FORD</t>
  </si>
  <si>
    <t>Haldeman Ford</t>
  </si>
  <si>
    <t>HALDEMAN FORD HAMILTON</t>
  </si>
  <si>
    <t>Greenway - Greenway Mazda</t>
  </si>
  <si>
    <t>GREENWAY MAZDA</t>
  </si>
  <si>
    <t>Headquarter Mazda</t>
  </si>
  <si>
    <t>HEADQUARTER MAZDA</t>
  </si>
  <si>
    <t>Hertrich Nissan of Dover</t>
  </si>
  <si>
    <t>HERTRICH NISSAN</t>
  </si>
  <si>
    <t>Hertrich Nissan of Newark</t>
  </si>
  <si>
    <t>HERTRICH NISSAN OF NEWARK</t>
  </si>
  <si>
    <t>Jack Daniels Audi</t>
  </si>
  <si>
    <t>JACK DANIELS AUDI OF UPPER SADDLE RIVER</t>
  </si>
  <si>
    <t>Jack Daniels Audi of Paramus</t>
  </si>
  <si>
    <t>JACK DANIELS AUDI OF PARAMUS</t>
  </si>
  <si>
    <t>Jack Daniels KIA</t>
  </si>
  <si>
    <t>JACK DANIELS KIA</t>
  </si>
  <si>
    <t>Jack Daniels Porsche</t>
  </si>
  <si>
    <t>JACK DANIELS PORSCHE</t>
  </si>
  <si>
    <t>Jack Daniels Volkswagen</t>
  </si>
  <si>
    <t>JACK DANIELS VOLKSWAGEN</t>
  </si>
  <si>
    <t>Lou Sobh Volkswagen of Athens</t>
  </si>
  <si>
    <t>LOU SOBH VOLKSWAGEN OF ATHENS</t>
  </si>
  <si>
    <t>Malcolm Cunningham Northpoint Chevrolet</t>
  </si>
  <si>
    <t>MALCOLM CUNNINGHAM CHEVROLET NORTHPOINT</t>
  </si>
  <si>
    <t>Monumental Ford</t>
  </si>
  <si>
    <t>MONUMENTAL FORD</t>
  </si>
  <si>
    <t>Summit Toyota of Akron</t>
  </si>
  <si>
    <t>SUMMIT TOYOTA OF AKRON</t>
  </si>
  <si>
    <t>Tommie Vaughn Motors</t>
  </si>
  <si>
    <t>TOMMIE VAUGHN FORD</t>
  </si>
  <si>
    <t>Greenway - Opelika CDJR Ford</t>
  </si>
  <si>
    <t>OPELIKA FORD</t>
  </si>
  <si>
    <t>JT's Kia of Columbia II</t>
  </si>
  <si>
    <t>J.T.'S KIA OF COLUMBIA II</t>
  </si>
  <si>
    <t>CARWARS PREMIUM SALES ($1,849.00)</t>
  </si>
  <si>
    <t>Lee Ford of Wilson</t>
  </si>
  <si>
    <t>LEE MOTOR COMPANY</t>
  </si>
  <si>
    <t>CARWARS ELITE LARGE ($2,981.00)</t>
  </si>
  <si>
    <t>Allan Vigil Ford Lincoln</t>
  </si>
  <si>
    <t>ALLAN VIGIL FORD</t>
  </si>
  <si>
    <t>Cloninger Ford of Hickory</t>
  </si>
  <si>
    <t>CLONINGER FORD OF HICKORY</t>
  </si>
  <si>
    <t>Greenway - Greenway Hyundai Orlando</t>
  </si>
  <si>
    <t>GREENWAY HYUNDAI OF ORLANDO</t>
  </si>
  <si>
    <t>Jaguar Land Rover Coral Gables</t>
  </si>
  <si>
    <t>JAGUAR LAND ROVER CORAL GABLES</t>
  </si>
  <si>
    <t>Zimbrick Hyundai West</t>
  </si>
  <si>
    <t>ZIMBRICK HYUNDAI WEST</t>
  </si>
  <si>
    <t>CARWARS CARRIER REGISTRATION ($10.00)</t>
  </si>
  <si>
    <t>Bob Bell Nissan</t>
  </si>
  <si>
    <t>BOB BELL NISSAN</t>
  </si>
  <si>
    <t>Lodi Toyota</t>
  </si>
  <si>
    <t>LODI TOYOTA</t>
  </si>
  <si>
    <t>Rafferty Subaru</t>
  </si>
  <si>
    <t>RAFFERTY SUBARU</t>
  </si>
  <si>
    <t>Berglund Toyota</t>
  </si>
  <si>
    <t>BERGLUND TOYOTA</t>
  </si>
  <si>
    <t>ALBRECHT - INFINITI OF NORWOOD</t>
  </si>
  <si>
    <t>INFINITI OF NORWOOD</t>
  </si>
  <si>
    <t>Trotter Ford Lincoln</t>
  </si>
  <si>
    <t>TROTTER FORD LINCOLN</t>
  </si>
  <si>
    <t>Keffer - Elevation Chevrolet Buick GMC</t>
  </si>
  <si>
    <t>ELEVATION CHEVROLET BUICK GMC</t>
  </si>
  <si>
    <t>Wilkie Lexus</t>
  </si>
  <si>
    <t>WILKIE LEXUS</t>
  </si>
  <si>
    <t>Car Town Hyundai</t>
  </si>
  <si>
    <t>CAR TOWN HYUNDAI</t>
  </si>
  <si>
    <t>Harold Ford</t>
  </si>
  <si>
    <t>HAROLD FORD</t>
  </si>
  <si>
    <t>Holman NC - Leith Autopark Honda</t>
  </si>
  <si>
    <t>01021835</t>
  </si>
  <si>
    <t>AUTOPARK HONDA</t>
  </si>
  <si>
    <t>Holman NC - Leith Toyota</t>
  </si>
  <si>
    <t>LEITH TOYOTA</t>
  </si>
  <si>
    <t>Zimbrick Acura</t>
  </si>
  <si>
    <t>ZIMBRICK MIDDLETON ACURA</t>
  </si>
  <si>
    <t>Zimbrick Honda</t>
  </si>
  <si>
    <t>ZIMBRICK HONDA</t>
  </si>
  <si>
    <t>Zimbrick Infiniti</t>
  </si>
  <si>
    <t>ZIMBRICK INFINITI</t>
  </si>
  <si>
    <t>Elder Jaguar Land Rover Lakeside</t>
  </si>
  <si>
    <t>JAGUAR LAND ROVER LAKESIDE</t>
  </si>
  <si>
    <t>Arrive n Drive</t>
  </si>
  <si>
    <t>ARRIVE N DRIVE</t>
  </si>
  <si>
    <t>Elder Hyundai</t>
  </si>
  <si>
    <t>ELDER AUTOMOTIVE GROUP LLC</t>
  </si>
  <si>
    <t>CRM OUTBOUND TELEPHONY TRACKING (NEW AND CONVERSION) ($261.45)</t>
  </si>
  <si>
    <t>CarHeroes USA Tampa</t>
  </si>
  <si>
    <t>CARHEROES USA, LLC</t>
  </si>
  <si>
    <t>Peachtree Mitsubishi</t>
  </si>
  <si>
    <t>PEACHTREE MITSUBISHI</t>
  </si>
  <si>
    <t>CarHeroes USA</t>
  </si>
  <si>
    <t>CARHEROES</t>
  </si>
  <si>
    <t>Cavalier Ford at Chesapeake Square</t>
  </si>
  <si>
    <t>CAVALIER FORD AT CHESAPEAKE SQUARE</t>
  </si>
  <si>
    <t>Hertrich Infiniti of Newark</t>
  </si>
  <si>
    <t>HERTRICH INFINITI OF NEWARK</t>
  </si>
  <si>
    <t>Med Center Mazda</t>
  </si>
  <si>
    <t>MED CENTER MAZDA</t>
  </si>
  <si>
    <t>Montgomeryville Mitsubishi</t>
  </si>
  <si>
    <t>MONTGOMERYVILLE MITSUBISHI</t>
  </si>
  <si>
    <t>T C Powersports</t>
  </si>
  <si>
    <t>TC POWERSPORTS</t>
  </si>
  <si>
    <t>Tecumseh Harley-Davidson</t>
  </si>
  <si>
    <t>TECUMSEH HARLEY-DAVIDSON</t>
  </si>
  <si>
    <t>Town and Country Sports Center</t>
  </si>
  <si>
    <t>TOWN AND COUNTRY SPORTS CENTER</t>
  </si>
  <si>
    <t>Gunter CDJR of Martinsville</t>
  </si>
  <si>
    <t>GUNTER CDJR OF MARTINSVILLE</t>
  </si>
  <si>
    <t>CRM OUTBOUND TELEPHONY TRACKING (NEW AND CONVERSION) ($1,028.97)</t>
  </si>
  <si>
    <t>Gunter Nissan of Martinsville</t>
  </si>
  <si>
    <t>GUNTER NISSAN OF MARTINSVILLE</t>
  </si>
  <si>
    <t>Coconut Point Ford</t>
  </si>
  <si>
    <t>COCONUT POINT FORD</t>
  </si>
  <si>
    <t>CARWARS STARTER 7500 ($528.64)</t>
  </si>
  <si>
    <t>Deacon Jones Chevrolet of La Grange</t>
  </si>
  <si>
    <t>DEACON JONES CHEVROLET OF LA GRANGE</t>
  </si>
  <si>
    <t>Deacon Jones Chrysler Jeep Dodge Ram</t>
  </si>
  <si>
    <t>DEACON JONES CHRYSLER DODGE JEEP RAM</t>
  </si>
  <si>
    <t>Phantom Harley-Davidson</t>
  </si>
  <si>
    <t>PHANTOM HARLEY-DAVIDSON</t>
  </si>
  <si>
    <t>Plaza Cadillac</t>
  </si>
  <si>
    <t>PLAZA CADILLAC</t>
  </si>
  <si>
    <t>Plaza Lincoln</t>
  </si>
  <si>
    <t>PLAZA LINCOLN</t>
  </si>
  <si>
    <t>Volvo Cars Tampa</t>
  </si>
  <si>
    <t>VOLVO OF TAMPA</t>
  </si>
  <si>
    <t>CARWARS STARTER 3500 ($322.92)</t>
  </si>
  <si>
    <t>Mike Castrucci Ford Lincoln of Alexandria</t>
  </si>
  <si>
    <t>MIKE CASTRUCCI FORD LINCOLN OF ALEXANDRIA</t>
  </si>
  <si>
    <t>CARWARS PREMIUM SALES ($1,941.45)</t>
  </si>
  <si>
    <t>Mike Castrucci Ford Sales</t>
  </si>
  <si>
    <t>MIKE CASTRUCCI FORD SALES</t>
  </si>
  <si>
    <t>Headquarter Toyota</t>
  </si>
  <si>
    <t>01262401</t>
  </si>
  <si>
    <t>HEADQUARTER TOYOTA</t>
  </si>
  <si>
    <t>CARWARS ELITE LARGE ($3,130.05)</t>
  </si>
  <si>
    <t>Northway Toyota</t>
  </si>
  <si>
    <t>NORTHWAY TOYOTA</t>
  </si>
  <si>
    <t>CRM OUTBOUND TELEPHONY TRACKING (NEW AND CONVERSION) ($313.95)</t>
  </si>
  <si>
    <t>Central Ford</t>
  </si>
  <si>
    <t>CENTRAL FORD</t>
  </si>
  <si>
    <t>CARWARS ELITE LARGE ($3,158.07)</t>
  </si>
  <si>
    <t>Michael Jordan Nissan</t>
  </si>
  <si>
    <t>01273001</t>
  </si>
  <si>
    <t>MICHAEL JORDAN NISSAN</t>
  </si>
  <si>
    <t>CARWARS STARTER 7500 ($541.42)</t>
  </si>
  <si>
    <t>Keffer - Hyundai of Anderson</t>
  </si>
  <si>
    <t>HYUNDAI OF ANDERSON</t>
  </si>
  <si>
    <t>CARWARS ADVANCED SALES ($1,078.92)</t>
  </si>
  <si>
    <t>Holman NC - Leith Honda</t>
  </si>
  <si>
    <t>01021802</t>
  </si>
  <si>
    <t>LEITH HONDA</t>
  </si>
  <si>
    <t>CRM OUTBOUND TELEPHONY TRACKING (NEW AND CONVERSION) ($279.00)</t>
  </si>
  <si>
    <t>Secondary Package: eLead - Leith EHOB ($109.00)</t>
  </si>
  <si>
    <t>Vista Ford Lincoln</t>
  </si>
  <si>
    <t>VISTA FORD</t>
  </si>
  <si>
    <t>CARWARS PREMIUM SALES ($995.00)</t>
  </si>
  <si>
    <t>Spartanburg Chrysler Dodge Ram Jeep</t>
  </si>
  <si>
    <t>SPARTANBURG DODGE</t>
  </si>
  <si>
    <t>CARWARS ELITE LARGE ($3,219.48)</t>
  </si>
  <si>
    <t>Lakeland Volkswagen</t>
  </si>
  <si>
    <t>LAKELAND VW</t>
  </si>
  <si>
    <t>Deel Volkswagen</t>
  </si>
  <si>
    <t>01014818</t>
  </si>
  <si>
    <t>DEEL VW FIXED OPS</t>
  </si>
  <si>
    <t>Matt Bowers Chevrolet of Metarie</t>
  </si>
  <si>
    <t>MATT BOWERS CHEVROLET METAIRIE</t>
  </si>
  <si>
    <t>Knight Sunrise Ford Fontana</t>
  </si>
  <si>
    <t>SUNRISE FORD</t>
  </si>
  <si>
    <t>CARWARS ELITE LARGE ($3,250.78)</t>
  </si>
  <si>
    <t>Drivers Way</t>
  </si>
  <si>
    <t>DRIVERS WAY</t>
  </si>
  <si>
    <t>Harley-Davidson of Greenville</t>
  </si>
  <si>
    <t>HARLEY DAVIDSON OF GREENVILLE</t>
  </si>
  <si>
    <t>CRM OUTBOUND TELEPHONY TRACKING (NEW AND CONVERSION) ($339.09)</t>
  </si>
  <si>
    <t>BMW/MINI of the Main Line</t>
  </si>
  <si>
    <t>MINI OF THE MAIN LINE</t>
  </si>
  <si>
    <t>Stearns Ford</t>
  </si>
  <si>
    <t>STEARNS FORD</t>
  </si>
  <si>
    <t>CRM OUTBOUND TELEPHONY TRACKING (NEW AND CONVERSION) ($572.06)</t>
  </si>
  <si>
    <t>Commonwealth Honda</t>
  </si>
  <si>
    <t>COMMONWEALTH HONDA</t>
  </si>
  <si>
    <t>CARWARS STARTER 3500 ($350.37)</t>
  </si>
  <si>
    <t>Commonwealth Kia</t>
  </si>
  <si>
    <t>COMMONWEALTH KIA</t>
  </si>
  <si>
    <t>Commonwealth Volkswagen</t>
  </si>
  <si>
    <t>COMMONWEALTH VOLKSWAGEN</t>
  </si>
  <si>
    <t>Price Chevrolet</t>
  </si>
  <si>
    <t>PRICE CHEVROLET</t>
  </si>
  <si>
    <t>Worth Harley Davidson</t>
  </si>
  <si>
    <t>WORTH HARLEY-DAVIDSON NORTH</t>
  </si>
  <si>
    <t>Matt Bowers Chevrolet</t>
  </si>
  <si>
    <t>MATT BOWERS CHEVROLET CADILLAC</t>
  </si>
  <si>
    <t>CARWARS STARTER 3500 ($342.10)</t>
  </si>
  <si>
    <t>Bill Black Chevrolet Cadillac</t>
  </si>
  <si>
    <t>BILL BLACK CHEVROLET CADILLAC</t>
  </si>
  <si>
    <t>CARWARS STARTER 7500 ($584.73)</t>
  </si>
  <si>
    <t>Maxie Price Chevrolet</t>
  </si>
  <si>
    <t>01325978</t>
  </si>
  <si>
    <t>MAXIE PRICE CHEVROLET</t>
  </si>
  <si>
    <t>CRM OUTBOUND TELEPHONY TRACKING (NEW AND CONVERSION) ($584.73)</t>
  </si>
  <si>
    <t>Greenway - Greenway Kia of Hickory Hollow</t>
  </si>
  <si>
    <t>GREENWAY KIA HICKORY HOLLOW</t>
  </si>
  <si>
    <t>Lake Keowee Ford</t>
  </si>
  <si>
    <t>LAKE KEOWEE FORD</t>
  </si>
  <si>
    <t>CARWARS ELITE 12,500 PACKAGE ($1,756.53)</t>
  </si>
  <si>
    <t>Rusty Wallace Toyota</t>
  </si>
  <si>
    <t>01179304</t>
  </si>
  <si>
    <t>RUSTY WALLACE TOYOTA</t>
  </si>
  <si>
    <t>Maxie Price RV of Loganville</t>
  </si>
  <si>
    <t>MAXIE PRICE RV OF LOGANVILLE</t>
  </si>
  <si>
    <t>Buchanan Auto Park</t>
  </si>
  <si>
    <t>BUCHANAN AUTO PARK</t>
  </si>
  <si>
    <t>CRM OUTBOUND TELEPHONY TRACKING (NEW AND CONVERSION) ($370.20)</t>
  </si>
  <si>
    <t>Stanley CDJR Gilmer</t>
  </si>
  <si>
    <t>STANLEY CDJR - GILMER</t>
  </si>
  <si>
    <t>CRM OUTBOUND TELEPHONY TRACKING (NEW AND CONVERSION) ($371.18)</t>
  </si>
  <si>
    <t>Stanley Ford Eastland</t>
  </si>
  <si>
    <t>STANLEY FORD EASTLAND</t>
  </si>
  <si>
    <t>Stanley Ford McGregor</t>
  </si>
  <si>
    <t>STANLEY FORD MCGREGOR</t>
  </si>
  <si>
    <t>Buchanan Chevrolet Buick GMC Cadillac of Waynesboro</t>
  </si>
  <si>
    <t>BUCHANAN AUTOMOTIVE</t>
  </si>
  <si>
    <t>Lee Nissan</t>
  </si>
  <si>
    <t>LEE NISSAN</t>
  </si>
  <si>
    <t>CARWARS STARTER 3500 ($371.18)</t>
  </si>
  <si>
    <t>Stanley CDJ Brownwood</t>
  </si>
  <si>
    <t>STANLEY DODGE</t>
  </si>
  <si>
    <t>Stanley Ford Gilmer</t>
  </si>
  <si>
    <t>STANLEY FORD</t>
  </si>
  <si>
    <t>Cloninger Ford of Salisbury</t>
  </si>
  <si>
    <t>CLONINGER FORD TOYOTA SCION</t>
  </si>
  <si>
    <t>CRM OUTBOUND TELEPHONY TRACKING (NEW AND CONVERSION) ($371.36)</t>
  </si>
  <si>
    <t>Cloninger Toyota</t>
  </si>
  <si>
    <t>CLONINGER FORD TOYOTA SCION BRANCH</t>
  </si>
  <si>
    <t>Parks Lincoln of Tampa</t>
  </si>
  <si>
    <t>PARKS LINCOLN OF TAMPA</t>
  </si>
  <si>
    <t>Rocky Mount Chrysler Dodge Jeep Ram</t>
  </si>
  <si>
    <t>ROCKY MOUNT CHRYSLER DODGE JEEP RAM</t>
  </si>
  <si>
    <t>CRM OUTBOUND TELEPHONY TRACKING (NEW AND CONVERSION) ($617.83)</t>
  </si>
  <si>
    <t>Wilson CDJR</t>
  </si>
  <si>
    <t>WILSON CHRYSLER DODGE JEEP RAM</t>
  </si>
  <si>
    <t>CARWARS ELITE SMALL SERVICE ($399.00)</t>
  </si>
  <si>
    <t>eLead - CW Elite Small + Service Small ($1,118.00)</t>
  </si>
  <si>
    <t>Wilson Chevrolet</t>
  </si>
  <si>
    <t>WILSON CHEVROLET</t>
  </si>
  <si>
    <t>Parks Ford of Wesley Chapel</t>
  </si>
  <si>
    <t>PARKS FORD OF WESLEY CHAPEL</t>
  </si>
  <si>
    <t>CRM OUTBOUND TELEPHONY TRACKING (NEW AND CONVERSION) ($619.46)</t>
  </si>
  <si>
    <t>Thomasville Toyota</t>
  </si>
  <si>
    <t>THOMASVILLE TOYOTA</t>
  </si>
  <si>
    <t>Deacon Jones BMW of Kinston</t>
  </si>
  <si>
    <t>BMW OF KINSTON</t>
  </si>
  <si>
    <t>Positive Margin &gt; 30%</t>
  </si>
  <si>
    <t>Deacon Jones Kia of Kinston</t>
  </si>
  <si>
    <t>KIA OF KINSTON</t>
  </si>
  <si>
    <t>Peterson BMW</t>
  </si>
  <si>
    <t>PETERSON AUTOPLEX</t>
  </si>
  <si>
    <t>Timbrook - Brookville Chevrolet</t>
  </si>
  <si>
    <t>BROOKVILLE CHEVROLET</t>
  </si>
  <si>
    <t>Timbrook - Waynesboro Hyundai</t>
  </si>
  <si>
    <t>WAYNESBORO HYUNDAI</t>
  </si>
  <si>
    <t>Trent Cadillac Buick GMC</t>
  </si>
  <si>
    <t>TALL OAKS AUTOMOTIVE LLC</t>
  </si>
  <si>
    <t>Phillips Chrysler Dodge Jeep Ram</t>
  </si>
  <si>
    <t>PHILLIPS CHRYSLER JEEP, INC.</t>
  </si>
  <si>
    <t>Willis Automotive</t>
  </si>
  <si>
    <t>WILLIS AUTO CAMPUS</t>
  </si>
  <si>
    <t>CARWARS CRM MAINTENANCE ($1,998.00)</t>
  </si>
  <si>
    <t>eLead - CW Elite ($3,427.00)</t>
  </si>
  <si>
    <t>Headquarter Hyundai</t>
  </si>
  <si>
    <t>HEADQUARTER HYUNDAI</t>
  </si>
  <si>
    <t>CRM OUTBOUND TELEPHONY TRACKING (NEW AND CONVERSION) ($1,044.75)</t>
  </si>
  <si>
    <t>Coastal Kia</t>
  </si>
  <si>
    <t>10557A</t>
  </si>
  <si>
    <t>COASTAL KIA</t>
  </si>
  <si>
    <t>CARWARS PREMIUM SALES ($2,295.36)</t>
  </si>
  <si>
    <t>Lipton Toyota</t>
  </si>
  <si>
    <t>LIPTON TOYOTA</t>
  </si>
  <si>
    <t>CRM OUTBOUND TELEPHONY TRACKING (NEW AND CONVERSION) ($2,911.24)</t>
  </si>
  <si>
    <t>Secondary Package: Elead CW Turbo v2 ($424.15)</t>
  </si>
  <si>
    <t>Star Ford Lincoln</t>
  </si>
  <si>
    <t>STAR FORD LINCOLN</t>
  </si>
  <si>
    <t>CRM OUTBOUND TELEPHONY TRACKING (NEW AND CONVERSION) ($2,914.82)</t>
  </si>
  <si>
    <t>Secondary Package: eLead - Call Recaps Unlimited v2 ($424.15)</t>
  </si>
  <si>
    <t>Hacienda Ford</t>
  </si>
  <si>
    <t>HACIENDA FORD</t>
  </si>
  <si>
    <t>CARWARS ELITE LARGE ($3,700.63)</t>
  </si>
  <si>
    <t>Cloninger Ford of Morganton</t>
  </si>
  <si>
    <t>CLONINGER FORD OF MORGANTON</t>
  </si>
  <si>
    <t>Victory Layne Chevrolet</t>
  </si>
  <si>
    <t>VICTORY LAYNE CHEVROLET</t>
  </si>
  <si>
    <t>Rusty Wallace KIA - Alcoa Highway</t>
  </si>
  <si>
    <t>RUSTY WALLACE KIA</t>
  </si>
  <si>
    <t>Laria Chevrolet Buick</t>
  </si>
  <si>
    <t>LARIA CHEVROLET BUICK, INC.</t>
  </si>
  <si>
    <t>Buchanan KIA</t>
  </si>
  <si>
    <t>BUCHANAN KIA</t>
  </si>
  <si>
    <t>Metter Ford</t>
  </si>
  <si>
    <t>METTER FORD</t>
  </si>
  <si>
    <t>Audi Miami South</t>
  </si>
  <si>
    <t>AUDI MIAMI SOUTH</t>
  </si>
  <si>
    <t>CARWARS ADVANCED SERVICE ($999.00)</t>
  </si>
  <si>
    <t>Prestige Ford Inc.</t>
  </si>
  <si>
    <t>PRESTIGE FORD, INC.</t>
  </si>
  <si>
    <t>House Ford CDJR</t>
  </si>
  <si>
    <t>HOUSE FORD CHRYSLER JEEP DODGE RAM</t>
  </si>
  <si>
    <t>CARWARS ELITE 12,500 PACKAGE ($1,915.50)</t>
  </si>
  <si>
    <t>Ford of Upland</t>
  </si>
  <si>
    <t>PARK PLACE FORD, LLC DBA FORD OF UPLAND</t>
  </si>
  <si>
    <t>CRM OUTBOUND TELEPHONY TRACKING (NEW AND CONVERSION) ($422.90)</t>
  </si>
  <si>
    <t>Holman NC - Leith Lincoln</t>
  </si>
  <si>
    <t>01021829</t>
  </si>
  <si>
    <t>LEITH LINCOLN</t>
  </si>
  <si>
    <t>CRM OUTBOUND TELEPHONY TRACKING (NEW AND CONVERSION) ($1,274.00)</t>
  </si>
  <si>
    <t>Holman NC - Leith Nissan</t>
  </si>
  <si>
    <t>LEITH NISSAN</t>
  </si>
  <si>
    <t>Greenway - Norristown Chrysler Dodge Jeep Ram</t>
  </si>
  <si>
    <t>NORRISTOWN CHRYSLER JEEP DODGE RAM</t>
  </si>
  <si>
    <t>CARWARS STARTER 5000 ($1,198.00)</t>
  </si>
  <si>
    <t>eLead - CW Starter 5000 *2 ($838.00)</t>
  </si>
  <si>
    <t>Holman NC - Leith Audi Cary</t>
  </si>
  <si>
    <t>LEITH AUDI OF CARY</t>
  </si>
  <si>
    <t>CARWARS ADVANCED SALES ($745.00)</t>
  </si>
  <si>
    <t>Custom Starter 4k and Enhanced Outbound ($629.00)</t>
  </si>
  <si>
    <t>Nissan of Hendersonville</t>
  </si>
  <si>
    <t>NISSAN OF HENDERSONVILLE</t>
  </si>
  <si>
    <t>CARWARS ADVANCED SALES ($1,170.63)</t>
  </si>
  <si>
    <t>CARWARS ADVANCED SERVICE ($1,170.63)</t>
  </si>
  <si>
    <t>CARWARS VOICE RECOGNITION (STARTER/ADV) ($249.00)</t>
  </si>
  <si>
    <t>eLead - CW Advanced - Sales &amp; Service - 15000 mins ($1,338.00)</t>
  </si>
  <si>
    <t>Secondary Package: Reseller - Voice Recongnition ($299.00)</t>
  </si>
  <si>
    <t>Holman NC - Leith Chrysler Jeep</t>
  </si>
  <si>
    <t>LEITH CHRYSLER JEEP</t>
  </si>
  <si>
    <t>CRM OUTBOUND TELEPHONY TRACKING (NEW AND CONVERSION) ($1,024.00)</t>
  </si>
  <si>
    <t>Elead - CW 4000 ($520.00)</t>
  </si>
  <si>
    <t>Holman NC - Leith Volkswagen Cary</t>
  </si>
  <si>
    <t>LEITH VOLKSWAGEN</t>
  </si>
  <si>
    <t>Myrtle Beach Chrysler Jeep</t>
  </si>
  <si>
    <t>BOBBY GALE'S MYRTLE BEACH CHRYSLER JEEP</t>
  </si>
  <si>
    <t>eLead - Car Wars - Phone System Integration - No Reviews POR ($471.00)</t>
  </si>
  <si>
    <t>Hyman Bros Nissan Kia</t>
  </si>
  <si>
    <t>HYMAN BROS NISSAN</t>
  </si>
  <si>
    <t>CARWARS STARTER 7500 ($998.00)</t>
  </si>
  <si>
    <t>Zimbrick GMC Buick East</t>
  </si>
  <si>
    <t>ZIMBRICK EASTSIDE BUICK</t>
  </si>
  <si>
    <t>CRM OUTBOUND TELEPHONY TRACKING (NEW AND CONVERSION) ($435.98)</t>
  </si>
  <si>
    <t>New Country EuroMotorcars Germantown</t>
  </si>
  <si>
    <t>EURO MOTOR CARS GERMANTOWN INC</t>
  </si>
  <si>
    <t>CRM OUTBOUND TELEPHONY TRACKING (NEW AND CONVERSION) ($221.32)</t>
  </si>
  <si>
    <t>Deacon Jones Buick GMC</t>
  </si>
  <si>
    <t>DEACON JONES BUICK GMC</t>
  </si>
  <si>
    <t>CARWARS STARTER 7500 ($1,057.28)</t>
  </si>
  <si>
    <t>Apple Tree Superstore</t>
  </si>
  <si>
    <t>APPLE TREE SUPERSTORE</t>
  </si>
  <si>
    <t>CRM OUTBOUND TELEPHONY TRACKING (NEW AND CONVERSION) ($247.16)</t>
  </si>
  <si>
    <t>Koeppel Nissan</t>
  </si>
  <si>
    <t>KOEPPEL NISSAN INC</t>
  </si>
  <si>
    <t>Dayton Andrews St Petersburg</t>
  </si>
  <si>
    <t>DAYTON ANDREWS DODGE CITY</t>
  </si>
  <si>
    <t>CRM OUTBOUND TELEPHONY TRACKING (NEW AND CONVERSION) ($1,107.33)</t>
  </si>
  <si>
    <t>Cavalier Mazda</t>
  </si>
  <si>
    <t>CAVALIER MAZDA</t>
  </si>
  <si>
    <t>Greenway - Awesome Nissan of Brunswick</t>
  </si>
  <si>
    <t>GREENWAY NISSAN OF BRUNSWICK</t>
  </si>
  <si>
    <t>CRM OUTBOUND TELEPHONY TRACKING (NEW AND CONVERSION) ($998.00)</t>
  </si>
  <si>
    <t>Frankies Auto Sales</t>
  </si>
  <si>
    <t>FRANKIE'S AUTO SALES</t>
  </si>
  <si>
    <t>Zimbrick European</t>
  </si>
  <si>
    <t>ZIMBRICK EUROPEAN</t>
  </si>
  <si>
    <t>Jackson Acura of Roswell</t>
  </si>
  <si>
    <t>JACKSON ACURA OF ROSWELL</t>
  </si>
  <si>
    <t>Rusty Wallace Chevrolet</t>
  </si>
  <si>
    <t>RUSTY WALLACE CHEVROLET</t>
  </si>
  <si>
    <t>OUTBOUND CALL TRACKING PKGS (GM IMR CONVERSION) ($979.02)</t>
  </si>
  <si>
    <t>Grainger Nissan of Savannah</t>
  </si>
  <si>
    <t>GRAINGER NISSAN</t>
  </si>
  <si>
    <t>CRM TELEPHONY TRACKING ($70.35)</t>
  </si>
  <si>
    <t>CARWARS INDEFINITE CALL RECORDINGS ($14.00)</t>
  </si>
  <si>
    <t>Vendor Invoice Detail</t>
  </si>
  <si>
    <t>CDK Invoice Detail</t>
  </si>
  <si>
    <t>NOV Billing CDK</t>
  </si>
  <si>
    <t>Name</t>
  </si>
  <si>
    <t>Nov Recurring</t>
  </si>
  <si>
    <t>Nov Overages</t>
  </si>
  <si>
    <t>Nov Bill</t>
  </si>
  <si>
    <t>Comments/updated eleadID</t>
  </si>
  <si>
    <t>VA - Ocean Honda Milford</t>
  </si>
  <si>
    <t>76257348</t>
  </si>
  <si>
    <t>OCEAN HONDA MILFORD</t>
  </si>
  <si>
    <t>CAR WARS CUSTOM PACKAGE--VICTORY AUTO</t>
  </si>
  <si>
    <t>Dec Billing</t>
  </si>
  <si>
    <t>VA - Ocean Honda of Ventura</t>
  </si>
  <si>
    <t>76217400</t>
  </si>
  <si>
    <t>OCEAN HONDA OF VENTURA</t>
  </si>
  <si>
    <t>LSS</t>
  </si>
  <si>
    <t>VA - Victory Chrysler Dodge Jeep Ram</t>
  </si>
  <si>
    <t>76188954</t>
  </si>
  <si>
    <t>VICTORY CHRYSLER DODGE JEEP RAM</t>
  </si>
  <si>
    <t>Crossroads Hyundai of Loveland at Centerra</t>
  </si>
  <si>
    <t>CROSSROADS HYUNDAI</t>
  </si>
  <si>
    <t>No Call Tracking Catalog</t>
  </si>
  <si>
    <t>VA - Albany Subaru</t>
  </si>
  <si>
    <t>76228429</t>
  </si>
  <si>
    <t>ALBANY SUBARU</t>
  </si>
  <si>
    <t>OK</t>
  </si>
  <si>
    <t>VA - Auburn Honda</t>
  </si>
  <si>
    <t>76202512</t>
  </si>
  <si>
    <t>AUBURN HONDA</t>
  </si>
  <si>
    <t>VA - BMW of Humboldt Bay</t>
  </si>
  <si>
    <t>76245927</t>
  </si>
  <si>
    <t>BMW OF HUMBOLDT BAY</t>
  </si>
  <si>
    <t>VA - Chevrolet Milan</t>
  </si>
  <si>
    <t>76202505</t>
  </si>
  <si>
    <t>VICTORY CHEVROLET BUICK</t>
  </si>
  <si>
    <t>VA - Cookevillle Honda</t>
  </si>
  <si>
    <t>76202499</t>
  </si>
  <si>
    <t>COOKEVILLE HONDA</t>
  </si>
  <si>
    <t>VA - Dave Kirk Chevrolet GMC</t>
  </si>
  <si>
    <t>76235670</t>
  </si>
  <si>
    <t>DAVE KIRK AUTOMOTIVE</t>
  </si>
  <si>
    <t>VA - East Tennessee Dodge</t>
  </si>
  <si>
    <t>76202568</t>
  </si>
  <si>
    <t>EAST TENNESSEE DODGE CHRYSLER JEEP</t>
  </si>
  <si>
    <t>VA - East Tennessee Ford</t>
  </si>
  <si>
    <t>76202498</t>
  </si>
  <si>
    <t>EAST TENNESSEE FORD</t>
  </si>
  <si>
    <t>VA - Freeway Toyota</t>
  </si>
  <si>
    <t>76179964</t>
  </si>
  <si>
    <t>FREEWAY TOYOTA OF HANFORD</t>
  </si>
  <si>
    <t>VA - Freeway Toyota of Gilroy</t>
  </si>
  <si>
    <t>76228607</t>
  </si>
  <si>
    <t>FREEWAY TOYOTA OF GILROY</t>
  </si>
  <si>
    <t>VA - Honda of Jackson</t>
  </si>
  <si>
    <t>76202492</t>
  </si>
  <si>
    <t>VICTORY HONDA OF JACKSON</t>
  </si>
  <si>
    <t>VA - Honda of Monroe</t>
  </si>
  <si>
    <t>76202491</t>
  </si>
  <si>
    <t>VICTORY HONDA OF MONROE</t>
  </si>
  <si>
    <t>VA - Honda of Morgan Hill</t>
  </si>
  <si>
    <t>76214531</t>
  </si>
  <si>
    <t>VICTORY HONDA OF MORGAN HILL</t>
  </si>
  <si>
    <t>VA - Honda of Muncie</t>
  </si>
  <si>
    <t>76202355</t>
  </si>
  <si>
    <t>VICTORY HONDA OF MUNCIE</t>
  </si>
  <si>
    <t>VA - Honda of Plymouth</t>
  </si>
  <si>
    <t>76202360</t>
  </si>
  <si>
    <t>VICTORY HONDA OF PLYMOUTH</t>
  </si>
  <si>
    <t>VA - Kastner Honda</t>
  </si>
  <si>
    <t>76232648</t>
  </si>
  <si>
    <t>KASTNER HONDA</t>
  </si>
  <si>
    <t>VA - Lexus Monterey Peninsula</t>
  </si>
  <si>
    <t>76211755</t>
  </si>
  <si>
    <t>LEXUS MONTEREY PENINSULA</t>
  </si>
  <si>
    <t>VA - Marin County Ford</t>
  </si>
  <si>
    <t>76169916</t>
  </si>
  <si>
    <t>MARIN COUNTY FORD</t>
  </si>
  <si>
    <t>VA - Melody Toyota</t>
  </si>
  <si>
    <t>76202911</t>
  </si>
  <si>
    <t>VICTORY TOYOTA OF SAN BRUNO</t>
  </si>
  <si>
    <t>VA - Nissan West Dickson</t>
  </si>
  <si>
    <t>76202353</t>
  </si>
  <si>
    <t>VICTORY NISSAN WEST</t>
  </si>
  <si>
    <t>VA - Ocean Honda</t>
  </si>
  <si>
    <t>76202509</t>
  </si>
  <si>
    <t>OCEAN HONDA</t>
  </si>
  <si>
    <t>VA - Ocean Honda Groton</t>
  </si>
  <si>
    <t>76255144</t>
  </si>
  <si>
    <t>OCEAN HONDA GROTON</t>
  </si>
  <si>
    <t>VA - Ocean Honda of Brockton</t>
  </si>
  <si>
    <t>76216792</t>
  </si>
  <si>
    <t>OCEAN HONDA OF BROCKTON</t>
  </si>
  <si>
    <t>VA - Ocean Honda of Burlingame</t>
  </si>
  <si>
    <t>76212419</t>
  </si>
  <si>
    <t>OCEAN HONDA OF BURLINGAME</t>
  </si>
  <si>
    <t>VA - Ocean Honda of Weymouth</t>
  </si>
  <si>
    <t>76211538</t>
  </si>
  <si>
    <t>OCEAN HONDA OF HANOVER</t>
  </si>
  <si>
    <t>VA - Ocean Honda of Whittier</t>
  </si>
  <si>
    <t>76202508</t>
  </si>
  <si>
    <t>OCEAN HONDA OF WHITTIER</t>
  </si>
  <si>
    <t>VA - Ocean Subaru of Fullerton</t>
  </si>
  <si>
    <t>76217403</t>
  </si>
  <si>
    <t>OCEAN SUBARU</t>
  </si>
  <si>
    <t>VA - San Francisco Honda</t>
  </si>
  <si>
    <t>76204566</t>
  </si>
  <si>
    <t>SAN FRANCISCO HONDA ACURA</t>
  </si>
  <si>
    <t>VA - Tower Honda</t>
  </si>
  <si>
    <t>76202671</t>
  </si>
  <si>
    <t>TOWER HONDA OF LONGVIEW</t>
  </si>
  <si>
    <t>VA - Toyota of Canton</t>
  </si>
  <si>
    <t>76125298</t>
  </si>
  <si>
    <t>VICTORY TOYOTA OF CANTON</t>
  </si>
  <si>
    <t>VA - Toyota of Midtown</t>
  </si>
  <si>
    <t>76221153</t>
  </si>
  <si>
    <t>VICTORY TOYOTA OF MIDTOWN</t>
  </si>
  <si>
    <t>VA - Toyota of Seaside</t>
  </si>
  <si>
    <t>76164812</t>
  </si>
  <si>
    <t>VICTORY TOYOTA</t>
  </si>
  <si>
    <t>VA - Tri Cities Chrysler Dodge Jeep Ram</t>
  </si>
  <si>
    <t>76202493</t>
  </si>
  <si>
    <t>TRI-CITIES CHRYSLER DODGE JEEP RAM</t>
  </si>
  <si>
    <t>VA - Victory Chevrolet GMC Highlands</t>
  </si>
  <si>
    <t>76242001</t>
  </si>
  <si>
    <t>VICTORY CHEVROLET GMC HIGHLANDS</t>
  </si>
  <si>
    <t>VA - Victory Honda Austinburg</t>
  </si>
  <si>
    <t>76232504</t>
  </si>
  <si>
    <t>VICTORY HONDA</t>
  </si>
  <si>
    <t>VA - Victory Honda Chicago-Northside</t>
  </si>
  <si>
    <t>76256438</t>
  </si>
  <si>
    <t>VICTORY HONDA CHICAGO-NORTHSIDE</t>
  </si>
  <si>
    <t>VA - Victory Honda Highland</t>
  </si>
  <si>
    <t>76254200</t>
  </si>
  <si>
    <t>VICTORY HONDA HIGHLAND</t>
  </si>
  <si>
    <t>VA - Victory Honda Michigan City</t>
  </si>
  <si>
    <t>76254199</t>
  </si>
  <si>
    <t>VICTORY HONDA MICHIGAN CITY</t>
  </si>
  <si>
    <t>VA - Victory Honda of San Bruno</t>
  </si>
  <si>
    <t>76202358</t>
  </si>
  <si>
    <t>VICTORY HONDA OF SAN BRUNO</t>
  </si>
  <si>
    <t>VA - Victory Hyundai Jefferson</t>
  </si>
  <si>
    <t>76245508</t>
  </si>
  <si>
    <t>VICTORY HYUNDAI</t>
  </si>
  <si>
    <t>VA - Victory Mazda San Leandro</t>
  </si>
  <si>
    <t>76251847</t>
  </si>
  <si>
    <t>VICTORY MAZDA SAN LEANDRO</t>
  </si>
  <si>
    <t>VA - Victory Nissan Chesterton</t>
  </si>
  <si>
    <t>76254201</t>
  </si>
  <si>
    <t>VICTORY NISSAN CHESTERTON</t>
  </si>
  <si>
    <t>VA - Victory Nissan of Mechanicsville</t>
  </si>
  <si>
    <t>76245758</t>
  </si>
  <si>
    <t>VICTORY NISSAN OF MECHANICSVILLE</t>
  </si>
  <si>
    <t>VA - Victory Nissan of Nashville</t>
  </si>
  <si>
    <t>76245787</t>
  </si>
  <si>
    <t>VICTORY NISSAN OF NASHVILLE</t>
  </si>
  <si>
    <t xml:space="preserve">VA - Victory Toyota Barboursville </t>
  </si>
  <si>
    <t>76252209</t>
  </si>
  <si>
    <t>VICTORY TOYOTA BARBOURSVILLE</t>
  </si>
  <si>
    <t>VA - Victory Toyota CDJR</t>
  </si>
  <si>
    <t>76238017</t>
  </si>
  <si>
    <t>VICTORY TOYOTA CDJR MARIETTA</t>
  </si>
  <si>
    <t>VA - Victory Toyota Charleston</t>
  </si>
  <si>
    <t>76252216</t>
  </si>
  <si>
    <t>VICTORY TOYOTA CHARLESTON</t>
  </si>
  <si>
    <t>VA - Victory Toyota Ford CDJR Dyersburg</t>
  </si>
  <si>
    <t>76236637</t>
  </si>
  <si>
    <t>VICTORY TOYOTA FORD CDJR DYERSBURG</t>
  </si>
  <si>
    <t>VA - Victory Toyota Highlands</t>
  </si>
  <si>
    <t>76242002</t>
  </si>
  <si>
    <t>VICTORY TOYOTA HIGHLANDS</t>
  </si>
  <si>
    <t>VA - Victory Toyota of Ashtabula County</t>
  </si>
  <si>
    <t>76232503</t>
  </si>
  <si>
    <t>VICTORY TOYOTA OF ASHTABULA COUNTY</t>
  </si>
  <si>
    <t>VA - Victory Toyota of Brook Park</t>
  </si>
  <si>
    <t>76244926</t>
  </si>
  <si>
    <t>VICTORY TOYOTA OF BROOK PARK</t>
  </si>
  <si>
    <t>VA - Victory Toyota of St. Louis</t>
  </si>
  <si>
    <t>76250786</t>
  </si>
  <si>
    <t>VICTORY TOYOTA OF ST LOUIS</t>
  </si>
  <si>
    <t>Hertrich Acura of New Castle</t>
  </si>
  <si>
    <t>76211581</t>
  </si>
  <si>
    <t>HERTRICH ACURA OF NEW CASTLE</t>
  </si>
  <si>
    <t>Hertrich All American Chevrolet</t>
  </si>
  <si>
    <t>76217649</t>
  </si>
  <si>
    <t>HERTRICH CHEVROLET</t>
  </si>
  <si>
    <t>Hertrich Buick GMC of Salisbury</t>
  </si>
  <si>
    <t>9218A</t>
  </si>
  <si>
    <t>76211548</t>
  </si>
  <si>
    <t>HERTRICH BUICK GMC OF SALISBURY</t>
  </si>
  <si>
    <t>Hertrich Buick GMC of Seaford</t>
  </si>
  <si>
    <t>76211510</t>
  </si>
  <si>
    <t>HERTRICH CHEVROLET GMC OF EASTON</t>
  </si>
  <si>
    <t>Hertrich CDJR and Ford of Pocomoke</t>
  </si>
  <si>
    <t>76214817</t>
  </si>
  <si>
    <t>HERTRICH CHRYSLER DODGE FORD OF POCOMOKE</t>
  </si>
  <si>
    <t>Hertrich Chevrolet</t>
  </si>
  <si>
    <t>Hertrich Chevrolet Buick GMC</t>
  </si>
  <si>
    <t>76211989</t>
  </si>
  <si>
    <t>HERTRICH BUICK GMC</t>
  </si>
  <si>
    <t>Hertrich Chevrolet Cadillac Salisbury</t>
  </si>
  <si>
    <t>76219122</t>
  </si>
  <si>
    <t>HERTRICH CHEVROLET CADILLAC OF SALISBURY</t>
  </si>
  <si>
    <t xml:space="preserve">Hertrich Chevrolet of Dover </t>
  </si>
  <si>
    <t>76195594</t>
  </si>
  <si>
    <t>HERTRICH CHEVROLET OF DOVER</t>
  </si>
  <si>
    <t>Hertrich Chrysler Dodge Jeep Ram of Elkton</t>
  </si>
  <si>
    <t>76217603</t>
  </si>
  <si>
    <t>HERTRICH CHRYSLER DODGE JEEP RAM OF ELKTON</t>
  </si>
  <si>
    <t>Hertrich Ford - Lincoln of Milford</t>
  </si>
  <si>
    <t>76149019</t>
  </si>
  <si>
    <t>HERTRICH FORD LINCOLN</t>
  </si>
  <si>
    <t>Hertrich Ford of Easton</t>
  </si>
  <si>
    <t>76212090</t>
  </si>
  <si>
    <t>HERTRICH FORD OF EASTON</t>
  </si>
  <si>
    <t>Hertrich Ford of Elkton</t>
  </si>
  <si>
    <t>76218332</t>
  </si>
  <si>
    <t>HERTRICH FORD OF ELKTON</t>
  </si>
  <si>
    <t>Hertrich Frederick Ford</t>
  </si>
  <si>
    <t>76211981</t>
  </si>
  <si>
    <t>HERTRICH FREDERICK FORD</t>
  </si>
  <si>
    <t>Hertrich Honda KIA</t>
  </si>
  <si>
    <t>76212075</t>
  </si>
  <si>
    <t>HERTRICH HONDA KIA OF EASTON</t>
  </si>
  <si>
    <t>Hertrich Hyundai of New Castle</t>
  </si>
  <si>
    <t>76211580</t>
  </si>
  <si>
    <t>HERTRICH HYUNDAI OF NEW CASTLE</t>
  </si>
  <si>
    <t>Hertrich Toyota Chevrolet Buick Cadillac</t>
  </si>
  <si>
    <t>76215188</t>
  </si>
  <si>
    <t>HERTRICH TOYOTA CHEVROLET</t>
  </si>
  <si>
    <t>Hertrich Toyota of Milford</t>
  </si>
  <si>
    <t>76212307</t>
  </si>
  <si>
    <t>HERTRICH TOYOTA SCION OF MILFORD</t>
  </si>
  <si>
    <t>Hertrich's Capitol</t>
  </si>
  <si>
    <t>76212369</t>
  </si>
  <si>
    <t>HERTRICH'S CAPITAL</t>
  </si>
  <si>
    <t>Details for Count of Account - Comment Group: CDK no Charge</t>
  </si>
  <si>
    <t>Row Labels</t>
  </si>
  <si>
    <t>Count of Account</t>
  </si>
  <si>
    <t>Sum of Billing_amount</t>
  </si>
  <si>
    <t>No Charge from Car wars</t>
  </si>
  <si>
    <t>No charge from CarWars but CDK Billing</t>
  </si>
  <si>
    <t>Grand Total</t>
  </si>
  <si>
    <t>Tracking_lines</t>
  </si>
  <si>
    <t>Dynamic_website_tracking</t>
  </si>
  <si>
    <t>Total Minutes</t>
  </si>
  <si>
    <t>Minutes_Inbound</t>
  </si>
  <si>
    <t>Minutes_Outbound</t>
  </si>
  <si>
    <t>Minutes_Humanatic</t>
  </si>
  <si>
    <t>Price_plan</t>
  </si>
  <si>
    <t>Excl Overages</t>
  </si>
  <si>
    <t xml:space="preserve"> Jordan Ford</t>
  </si>
  <si>
    <t>Elead CW Starter 4000 v2</t>
  </si>
  <si>
    <t xml:space="preserve">			ELEAD1ONE CRM</t>
  </si>
  <si>
    <t>Elead Launch Phase-0</t>
  </si>
  <si>
    <t xml:space="preserve">ALBRECHT - INFINITI OF NORWOOD </t>
  </si>
  <si>
    <t>eLead - CW Starter - 3500 mins v2</t>
  </si>
  <si>
    <t>-</t>
  </si>
  <si>
    <t>Secondary Package: Carrier Registration - Monthly</t>
  </si>
  <si>
    <t xml:space="preserve">Allan Vigil Ford Lincoln </t>
  </si>
  <si>
    <t>eLead CW Elite (Sales Service AI) v2</t>
  </si>
  <si>
    <t>Elead - 24' CW Elite Medium</t>
  </si>
  <si>
    <t>Elead Outbound 4000 v2</t>
  </si>
  <si>
    <t>eLead - CW Starter - 5000 mins v2</t>
  </si>
  <si>
    <t>eLead - CW Starter - 7500 mins v2</t>
  </si>
  <si>
    <t>Elead - CW Elite Small + Advanced Service</t>
  </si>
  <si>
    <t>Elead CW Unlimited  v2</t>
  </si>
  <si>
    <t>eLead - CW Premium - Sales 50k v2</t>
  </si>
  <si>
    <t>Elead CW 8000</t>
  </si>
  <si>
    <t>eLead - Elite Small v2</t>
  </si>
  <si>
    <t xml:space="preserve">10557A </t>
  </si>
  <si>
    <t>eLead - Elite Small</t>
  </si>
  <si>
    <t xml:space="preserve">Deacon Jones BMW of Kinston </t>
  </si>
  <si>
    <t>eLead - Starter 7500 + Starter 7500</t>
  </si>
  <si>
    <t xml:space="preserve">Deacon Jones Chevrolet Buick GMC of Clinton </t>
  </si>
  <si>
    <t xml:space="preserve">Deacon Jones Hyundai </t>
  </si>
  <si>
    <t>Secondary Package: eLead - Car Wars Texting v2</t>
  </si>
  <si>
    <t>ELead Marketing - $2 per line / 06¢ per min</t>
  </si>
  <si>
    <t>eLead - CW Starter - 5000 mins</t>
  </si>
  <si>
    <t>Elead - Elite Small 37.5k</t>
  </si>
  <si>
    <t>Secondary Package: Long Term Audio Storage - $10</t>
  </si>
  <si>
    <t>Sub $0</t>
  </si>
  <si>
    <t>eLead - CW Advanced - Sales - 7500 mins v2</t>
  </si>
  <si>
    <t>Secondary Package: Long Term Audio Storage</t>
  </si>
  <si>
    <t xml:space="preserve">Greenway - Kia at the Avenues </t>
  </si>
  <si>
    <t>eLead - CW Starter 5000 *2</t>
  </si>
  <si>
    <t xml:space="preserve">Harold Chevrolet </t>
  </si>
  <si>
    <t>Secondary Package: Long Term Audio Storage - Fee Waived</t>
  </si>
  <si>
    <t>Void / $0</t>
  </si>
  <si>
    <t>Custom Starter 4k and Enhanced Outbound</t>
  </si>
  <si>
    <t>Elead - CW 4000</t>
  </si>
  <si>
    <t>Secondary Package: eLead - Leith EHOB</t>
  </si>
  <si>
    <t xml:space="preserve">Jaguar Land Rover Coral Gables </t>
  </si>
  <si>
    <t xml:space="preserve">JT's Kia of Columbia II </t>
  </si>
  <si>
    <t>Secondary Package: Elead CW Turbo v2</t>
  </si>
  <si>
    <t>Elead CW Starter 8000 v2</t>
  </si>
  <si>
    <t>Secondary Package: Elead - 24' CW Elite Medium Service</t>
  </si>
  <si>
    <t>Midlands  Toyota</t>
  </si>
  <si>
    <t xml:space="preserve">eLead - CW Leisure Small (Sales Only) </t>
  </si>
  <si>
    <t>eLead - Car Wars - Phone System Integration - No Reviews POR</t>
  </si>
  <si>
    <t>eLead - CW Advanced - Sales &amp; Service - 15000 mins</t>
  </si>
  <si>
    <t>Secondary Package: Reseller - Voice Recongnition</t>
  </si>
  <si>
    <t xml:space="preserve">Peachtree Mitsubishi </t>
  </si>
  <si>
    <t>Elead - 24' CW Elite Small</t>
  </si>
  <si>
    <t>Secondary Package: Exception: ELEAD Texting v2</t>
  </si>
  <si>
    <t>Secondary Package: eLead - Call Recaps Unlimited v2</t>
  </si>
  <si>
    <t xml:space="preserve">Timbrook - Waynesboro Hyundai </t>
  </si>
  <si>
    <t>Secondary Package: Reseller - Voice Recongnition v2</t>
  </si>
  <si>
    <t xml:space="preserve">TMC - Rockstar Powersports of Brandon </t>
  </si>
  <si>
    <t xml:space="preserve">TMC - Rockstar Powersports of Brooksville </t>
  </si>
  <si>
    <t xml:space="preserve">TMC - Rockstar Powersports of St Pete </t>
  </si>
  <si>
    <t>eLead - CW Elite</t>
  </si>
  <si>
    <t>eLead - CW Elite Small + Service Small</t>
  </si>
  <si>
    <t>Sum of Total Minutes</t>
  </si>
  <si>
    <t>Sum of Overages</t>
  </si>
  <si>
    <t>Details for Sum of Recurring Amount (U.S.) - Ship-To Name: STAUNTON CHRYSLER, DODGE,JEEP,RAM, CMF Number: 76212445, Charge Reference: 00200283SW05, Catalog Number: 4570009, Catalog Description: CALLSOURCE (CONVERSION) (+)</t>
  </si>
  <si>
    <t>Business Unit Code</t>
  </si>
  <si>
    <t>Product Level 1 Description</t>
  </si>
  <si>
    <t>Product Level 2 Description</t>
  </si>
  <si>
    <t>Product Level 3 Description</t>
  </si>
  <si>
    <t>Line of Business Code</t>
  </si>
  <si>
    <t>Account Code</t>
  </si>
  <si>
    <t>Primary (Y/N/NA)</t>
  </si>
  <si>
    <t>Ship-To/Location State/Province</t>
  </si>
  <si>
    <t>One Time Amount (U.S.)</t>
  </si>
  <si>
    <t>Recurring Amount (U.S.)</t>
  </si>
  <si>
    <t>Quantity</t>
  </si>
  <si>
    <t>CMF Number</t>
  </si>
  <si>
    <t>On Carwars Inv</t>
  </si>
  <si>
    <t>On Heitrich/Victory</t>
  </si>
  <si>
    <t>Ship-To Name</t>
  </si>
  <si>
    <t>Transaction Type</t>
  </si>
  <si>
    <t>Charge Reference</t>
  </si>
  <si>
    <t>CDF Id</t>
  </si>
  <si>
    <t>Charge Type</t>
  </si>
  <si>
    <t>Charge Type Description</t>
  </si>
  <si>
    <t>Invoice Fiscal Year</t>
  </si>
  <si>
    <t>Invoice Fiscal Month</t>
  </si>
  <si>
    <t>Rollup Level Code</t>
  </si>
  <si>
    <t>Invoice Calendar Year</t>
  </si>
  <si>
    <t>Invoice Month Name</t>
  </si>
  <si>
    <t>Primary / Secondary</t>
  </si>
  <si>
    <t>0914</t>
  </si>
  <si>
    <t>ELEAD</t>
  </si>
  <si>
    <t>ELEAD OTHER</t>
  </si>
  <si>
    <t>CALL TRACKING COUNT AS ONE</t>
  </si>
  <si>
    <t>21112</t>
  </si>
  <si>
    <t>4111001</t>
  </si>
  <si>
    <t>N</t>
  </si>
  <si>
    <t>IL</t>
  </si>
  <si>
    <t>76212445</t>
  </si>
  <si>
    <t>US INVOICE</t>
  </si>
  <si>
    <t>67035312SW04</t>
  </si>
  <si>
    <t>SWW</t>
  </si>
  <si>
    <t>SW ACCESS VIA WEB</t>
  </si>
  <si>
    <t>FIN5030</t>
  </si>
  <si>
    <t xml:space="preserve">November  </t>
  </si>
  <si>
    <t>Primary</t>
  </si>
  <si>
    <t>(Multiple Items)</t>
  </si>
  <si>
    <t>(All)</t>
  </si>
  <si>
    <t>Sum of Recurring Amount (U.S.)</t>
  </si>
  <si>
    <t>#N/A</t>
  </si>
  <si>
    <t>Sum of One Time Amount (U.S.)</t>
  </si>
  <si>
    <t>01231901</t>
  </si>
  <si>
    <t>CECIL CLARK CHEVROLET</t>
  </si>
  <si>
    <t>4570358</t>
  </si>
  <si>
    <t>OUTBOUND CALL TRACKING PKGS (GM IMR CONVERSION)</t>
  </si>
  <si>
    <t>05237634</t>
  </si>
  <si>
    <t>SANTA MARGARITA FORD</t>
  </si>
  <si>
    <t>4570120</t>
  </si>
  <si>
    <t>CRM TELEPHONY TRACKING</t>
  </si>
  <si>
    <t>08300215</t>
  </si>
  <si>
    <t>HONDA KINGSTON</t>
  </si>
  <si>
    <t>09700154</t>
  </si>
  <si>
    <t>POHANKA HONDA OF FREDERICKSBURG</t>
  </si>
  <si>
    <t>17272601</t>
  </si>
  <si>
    <t>DON DAVIS EL CAMPO</t>
  </si>
  <si>
    <t>17272602</t>
  </si>
  <si>
    <t>DON DAVIS BUICK,PONT.,GMC</t>
  </si>
  <si>
    <t>25149301</t>
  </si>
  <si>
    <t>WESTBROOK HONDA</t>
  </si>
  <si>
    <t>25149302</t>
  </si>
  <si>
    <t>HONDA OF WATERTOWN</t>
  </si>
  <si>
    <t>25149303</t>
  </si>
  <si>
    <t>ACURA OF AVON</t>
  </si>
  <si>
    <t>25149304</t>
  </si>
  <si>
    <t>ACURA OF MILFORD</t>
  </si>
  <si>
    <t>25149306</t>
  </si>
  <si>
    <t>TOYOTA OF WESTBROOK</t>
  </si>
  <si>
    <t>25152901</t>
  </si>
  <si>
    <t>BRANDFON HONDA</t>
  </si>
  <si>
    <t>25298953</t>
  </si>
  <si>
    <t>SENTRY FORD LINCOLN</t>
  </si>
  <si>
    <t>25298955</t>
  </si>
  <si>
    <t>POHANKA LEXUS</t>
  </si>
  <si>
    <t>33053503</t>
  </si>
  <si>
    <t>POHANKA HYUNDAI OF CAPITOL HEIGHTS</t>
  </si>
  <si>
    <t>33053504</t>
  </si>
  <si>
    <t>POHANKA HONDA OF CAPITOL HEIGHTS</t>
  </si>
  <si>
    <t>33053507</t>
  </si>
  <si>
    <t>POHANKA ACURA</t>
  </si>
  <si>
    <t>33053512</t>
  </si>
  <si>
    <t>POHANKA CHEVROLET</t>
  </si>
  <si>
    <t>52214201</t>
  </si>
  <si>
    <t>WOODALL AUTOMOTIVE GROUP</t>
  </si>
  <si>
    <t>52280001</t>
  </si>
  <si>
    <t>MARSHAL MIZE FORD INC</t>
  </si>
  <si>
    <t>52462701</t>
  </si>
  <si>
    <t>PAULY TOYOTA</t>
  </si>
  <si>
    <t>4570405</t>
  </si>
  <si>
    <t>CALLSOURCE (CONVERSION)</t>
  </si>
  <si>
    <t>71034719</t>
  </si>
  <si>
    <t>LITHIA TOYOTA OF SPRINGFIELD</t>
  </si>
  <si>
    <t>71040843</t>
  </si>
  <si>
    <t>PACIFIC VW</t>
  </si>
  <si>
    <t>71040844</t>
  </si>
  <si>
    <t>LEXUS SANTA MONICA</t>
  </si>
  <si>
    <t>71040845</t>
  </si>
  <si>
    <t>TOYOTA OF HOLLYWOOD</t>
  </si>
  <si>
    <t>71050665</t>
  </si>
  <si>
    <t>BARLOW BUICK GMC OF WOODBURY</t>
  </si>
  <si>
    <t>71051066</t>
  </si>
  <si>
    <t>PORSCHE SOUTH BAY</t>
  </si>
  <si>
    <t>71056819</t>
  </si>
  <si>
    <t>TOYOTA SANTA MONICA</t>
  </si>
  <si>
    <t>71061908</t>
  </si>
  <si>
    <t>YOUNGER NISSAN OF FREDERICK</t>
  </si>
  <si>
    <t>76018428</t>
  </si>
  <si>
    <t>KRAFT NISSAN OF TALLAHASSEE</t>
  </si>
  <si>
    <t>76020657</t>
  </si>
  <si>
    <t>JIM COLEMAN CADILLAC</t>
  </si>
  <si>
    <t>76032560</t>
  </si>
  <si>
    <t>LEXUS OF WATERTOWN</t>
  </si>
  <si>
    <t>76043533</t>
  </si>
  <si>
    <t>NORTH BAY CADILLAC BUICK GMC</t>
  </si>
  <si>
    <t>76066625</t>
  </si>
  <si>
    <t>ZIMBRICK HONDA SERVICE CENTER</t>
  </si>
  <si>
    <t>76067571</t>
  </si>
  <si>
    <t>STATELINE CHRYSLER JEEP DODGE RAM FIAT</t>
  </si>
  <si>
    <t>76071194</t>
  </si>
  <si>
    <t>DAVENPORT AUTO PARK</t>
  </si>
  <si>
    <t>76071534</t>
  </si>
  <si>
    <t>PETERSON AUTOPLEX - BMW</t>
  </si>
  <si>
    <t>4570783</t>
  </si>
  <si>
    <t>CARWARS CARRIER REGISTRATION</t>
  </si>
  <si>
    <t>76075902</t>
  </si>
  <si>
    <t>PENSKE BUICK GMC OF CERRITOS</t>
  </si>
  <si>
    <t>76075904</t>
  </si>
  <si>
    <t>PENSKE CADILLAC BUICK GMC SOUTH BAY</t>
  </si>
  <si>
    <t>76075905</t>
  </si>
  <si>
    <t>PENSKE HONDA</t>
  </si>
  <si>
    <t>76075907</t>
  </si>
  <si>
    <t>PENSKE TOYOTA</t>
  </si>
  <si>
    <t>76076039</t>
  </si>
  <si>
    <t>PENSKE CHEVROLET OF CERRITOS</t>
  </si>
  <si>
    <t>76097658</t>
  </si>
  <si>
    <t>STATELINE MASERATI ALFA ROMEO</t>
  </si>
  <si>
    <t>76130683</t>
  </si>
  <si>
    <t>HONDA OF CHANTILLY</t>
  </si>
  <si>
    <t>76143629</t>
  </si>
  <si>
    <t>SUBARU PACIFIC</t>
  </si>
  <si>
    <t>76150772</t>
  </si>
  <si>
    <t>MAZDA OF NEW ROCHELLE</t>
  </si>
  <si>
    <t>76159907</t>
  </si>
  <si>
    <t>POHANKA VOLKSWAGEN OF CAPITOL HEIGHTS</t>
  </si>
  <si>
    <t>76166404</t>
  </si>
  <si>
    <t>GRAINGER NISSAN OF ANDERSON</t>
  </si>
  <si>
    <t>76176063</t>
  </si>
  <si>
    <t>EURO MOTORCARS BETHESDA</t>
  </si>
  <si>
    <t>76179173</t>
  </si>
  <si>
    <t>SUBARU SANTA MONICA</t>
  </si>
  <si>
    <t>76179594</t>
  </si>
  <si>
    <t>BERT SMITH SUBARU</t>
  </si>
  <si>
    <t>4570104</t>
  </si>
  <si>
    <t>CALLSOURCE EL ATTRIBUTED SMALL</t>
  </si>
  <si>
    <t>76179599</t>
  </si>
  <si>
    <t>BERT SMITH VOLKSWAGEN</t>
  </si>
  <si>
    <t>76183626</t>
  </si>
  <si>
    <t>BMW MINI KINGSTON</t>
  </si>
  <si>
    <t>76188473</t>
  </si>
  <si>
    <t>BRANDFON HYUNDAI</t>
  </si>
  <si>
    <t>76202496</t>
  </si>
  <si>
    <t>NEWTON NISSAN SOUTH</t>
  </si>
  <si>
    <t>76208270</t>
  </si>
  <si>
    <t>MERCEDES BENZ OF FT. WAYNE</t>
  </si>
  <si>
    <t>76210768</t>
  </si>
  <si>
    <t>MERCEDES-BENZ OF MELBOURNE</t>
  </si>
  <si>
    <t>76211542</t>
  </si>
  <si>
    <t>GARY MILLER CHRYSLER JEEP</t>
  </si>
  <si>
    <t>76211644</t>
  </si>
  <si>
    <t>PORSCHE MELBOURNE</t>
  </si>
  <si>
    <t>76212368</t>
  </si>
  <si>
    <t>ALL AMERICAN CHEVROLET</t>
  </si>
  <si>
    <t>76212775</t>
  </si>
  <si>
    <t>HONDA OF SANTA MONICA</t>
  </si>
  <si>
    <t>76214303</t>
  </si>
  <si>
    <t>WESLEY CHAPEL HONDA</t>
  </si>
  <si>
    <t>76214322</t>
  </si>
  <si>
    <t>LITHIA TAMPA HONDA</t>
  </si>
  <si>
    <t>76215808</t>
  </si>
  <si>
    <t>GULF COAST AUTO PARK (ELEAD)</t>
  </si>
  <si>
    <t>76215859</t>
  </si>
  <si>
    <t>DAVE HALLMAN CHEVROLET</t>
  </si>
  <si>
    <t>4570648</t>
  </si>
  <si>
    <t>SERVICE VISION PACKAGE 300 CALLS WINTEL (FOPS CMONITORING WPERFANALYTICS)</t>
  </si>
  <si>
    <t>76216996</t>
  </si>
  <si>
    <t>SOUTHWEST INFINITI-</t>
  </si>
  <si>
    <t>76222492</t>
  </si>
  <si>
    <t>PENSKE VOLVO PUENTE HILLS</t>
  </si>
  <si>
    <t>76222495</t>
  </si>
  <si>
    <t>LAND ROVER PUENTE HILLS</t>
  </si>
  <si>
    <t>76223605</t>
  </si>
  <si>
    <t>AUTOMALL AUTOMOTIVE LLC DBA TOWBIN DODGE RAM AND F</t>
  </si>
  <si>
    <t>76223993</t>
  </si>
  <si>
    <t>GUNTERSVILLE CHEVROLET</t>
  </si>
  <si>
    <t>76224292</t>
  </si>
  <si>
    <t>NEWTON CHEVROLET BUICK GMC</t>
  </si>
  <si>
    <t>76224293</t>
  </si>
  <si>
    <t>NEWTON NISSAN OF GALLATIN</t>
  </si>
  <si>
    <t>76224320</t>
  </si>
  <si>
    <t>NEWTON FORD SOUTH</t>
  </si>
  <si>
    <t>76225979</t>
  </si>
  <si>
    <t>BERT SMITH BMW</t>
  </si>
  <si>
    <t>76225980</t>
  </si>
  <si>
    <t>PORSCHE CLEARWATER</t>
  </si>
  <si>
    <t>76226123</t>
  </si>
  <si>
    <t>BACHMAN BERNARD CHEVROLET GMC CADILLAC</t>
  </si>
  <si>
    <t>76227862</t>
  </si>
  <si>
    <t xml:space="preserve">MATT BOWERS HYUNDAI - GULFPORT	</t>
  </si>
  <si>
    <t>76228314</t>
  </si>
  <si>
    <t>WEST HOUSTON HYUNDAI</t>
  </si>
  <si>
    <t>76228707</t>
  </si>
  <si>
    <t>DIRITO BROTHERS WALNUT CREEK VW</t>
  </si>
  <si>
    <t>76229799</t>
  </si>
  <si>
    <t>ROBERTS FORD</t>
  </si>
  <si>
    <t>4570522</t>
  </si>
  <si>
    <t>SERVICE VISION PACKAGE 100 CALLS WINTEL (FOPS CMONITORING WPERFANALYTICS)</t>
  </si>
  <si>
    <t>76230570</t>
  </si>
  <si>
    <t>NEWTON CHEVROLET BUICK OF RUSSELVILLE</t>
  </si>
  <si>
    <t>76237626</t>
  </si>
  <si>
    <t>COLUMBIA POWERSPORTS SUPERCENTER</t>
  </si>
  <si>
    <t>76238757</t>
  </si>
  <si>
    <t>FRED ANDERSON KIA OF GREENVILLE</t>
  </si>
  <si>
    <t>76238762</t>
  </si>
  <si>
    <t>FRED ANDERSON KIA OF GREER</t>
  </si>
  <si>
    <t>76238766</t>
  </si>
  <si>
    <t>FRED ANDERSON TOYOTA OF GREER</t>
  </si>
  <si>
    <t>4570124</t>
  </si>
  <si>
    <t>CARWARS CARI AI</t>
  </si>
  <si>
    <t>76239770</t>
  </si>
  <si>
    <t>FRED ANDERSON HYUNDAI</t>
  </si>
  <si>
    <t>76240559</t>
  </si>
  <si>
    <t>ROBERTS CHEVROLET GMC</t>
  </si>
  <si>
    <t>76240828</t>
  </si>
  <si>
    <t>MCSWEENEY AUTO GROUP CLANTON, LLC</t>
  </si>
  <si>
    <t>76245381</t>
  </si>
  <si>
    <t>NORTHWEST HYUNDAI</t>
  </si>
  <si>
    <t>76250570</t>
  </si>
  <si>
    <t>ESCUDE NISSAN OF GREER</t>
  </si>
  <si>
    <t>76253984</t>
  </si>
  <si>
    <t>76253986</t>
  </si>
  <si>
    <t>SMOKIN HARLEY DAVIDSON</t>
  </si>
  <si>
    <t>76253994</t>
  </si>
  <si>
    <t>76253995</t>
  </si>
  <si>
    <t>PENSACOLA HARLEY-DAVIDSON</t>
  </si>
  <si>
    <t>76255362</t>
  </si>
  <si>
    <t>4570548</t>
  </si>
  <si>
    <t>76257172</t>
  </si>
  <si>
    <t>4571029</t>
  </si>
  <si>
    <t>CARWARS ADDITIONAL BLOCK MINUTES</t>
  </si>
  <si>
    <t>76257174</t>
  </si>
  <si>
    <t>CDF ID</t>
  </si>
  <si>
    <t>CNV CDF Catalog Number</t>
  </si>
  <si>
    <t>CNV Catalog Number Description</t>
  </si>
  <si>
    <t>Consolidated Location Type Rollup</t>
  </si>
  <si>
    <t>Active Automobile Party Count Tier</t>
  </si>
  <si>
    <t>Consolidated Location Type Tier</t>
  </si>
  <si>
    <t>Location Type/General Classification</t>
  </si>
  <si>
    <t>Term</t>
  </si>
  <si>
    <t>Ship-To CMF</t>
  </si>
  <si>
    <t>Recurring Charge Ship-to CMF</t>
  </si>
  <si>
    <t>Is Ford Direct (Y/N)</t>
  </si>
  <si>
    <t>Is Ford Direct Sister Store (Y/N)</t>
  </si>
  <si>
    <t>ELEAD Id</t>
  </si>
  <si>
    <t>CDF Status (w/ATN)</t>
  </si>
  <si>
    <t>CDF Sale Type</t>
  </si>
  <si>
    <t>Conversion To CDF ID</t>
  </si>
  <si>
    <t>CNV CDF ID</t>
  </si>
  <si>
    <t>Installed DMS Vendor &amp; System</t>
  </si>
  <si>
    <t>Consolidation Id</t>
  </si>
  <si>
    <t>Consolidation Name</t>
  </si>
  <si>
    <t>Consolidated Party Number</t>
  </si>
  <si>
    <t>Consolidated Party Name</t>
  </si>
  <si>
    <t>Consolidated Location Type</t>
  </si>
  <si>
    <t>Default Bill-To CMF Number</t>
  </si>
  <si>
    <t>Default Bill-To Name</t>
  </si>
  <si>
    <t>Bill-To Designation CMF</t>
  </si>
  <si>
    <t>Bill-To Name</t>
  </si>
  <si>
    <t>Region Code</t>
  </si>
  <si>
    <t>Market Code</t>
  </si>
  <si>
    <t>Ship-To/Location Address</t>
  </si>
  <si>
    <t>Ship-To City</t>
  </si>
  <si>
    <t>Ship-To State/Province</t>
  </si>
  <si>
    <t>Ship-To Country</t>
  </si>
  <si>
    <t>Rollup Level Description</t>
  </si>
  <si>
    <t>Product Level 3 Consolidator Description</t>
  </si>
  <si>
    <t>Product Tier</t>
  </si>
  <si>
    <t>Front-End List (U.S.)</t>
  </si>
  <si>
    <t>Front-End Sale (U.S.)</t>
  </si>
  <si>
    <t>Install List (U.S.)</t>
  </si>
  <si>
    <t>Install Sale (U.S.)</t>
  </si>
  <si>
    <t>Monthly List (U.S.)</t>
  </si>
  <si>
    <t>Monthly Sale (U.S.)</t>
  </si>
  <si>
    <t>Total QC</t>
  </si>
  <si>
    <t>Free Months</t>
  </si>
  <si>
    <t>Status Change Date</t>
  </si>
  <si>
    <t>Roll Call Date</t>
  </si>
  <si>
    <t>Roll Call Fiscal Year</t>
  </si>
  <si>
    <t>Roll Call Fiscal Month</t>
  </si>
  <si>
    <t>ANS Fiscal Year</t>
  </si>
  <si>
    <t>ANS Fiscal Month</t>
  </si>
  <si>
    <t>Protected From ATN (Y/N)</t>
  </si>
  <si>
    <t>Auto ANS (Y/N)</t>
  </si>
  <si>
    <t>Auto ANS Date</t>
  </si>
  <si>
    <t>Auto ANS Fiscal Year</t>
  </si>
  <si>
    <t>Auto ANS Fiscal Month</t>
  </si>
  <si>
    <t>Auto ANS Reverse Date</t>
  </si>
  <si>
    <t>Auto ANS Reverse Fiscal Year</t>
  </si>
  <si>
    <t>Auto ANS Reverse Fiscal Month</t>
  </si>
  <si>
    <t>Actual Install Date</t>
  </si>
  <si>
    <t>Install Fiscal Year</t>
  </si>
  <si>
    <t>Install Fiscal Month</t>
  </si>
  <si>
    <t>Current Invoice Fiscal Year (based on Billing Cycle)</t>
  </si>
  <si>
    <t>Install Fiscal Month (based on Billing Cycle)</t>
  </si>
  <si>
    <t>Estimated Install Date</t>
  </si>
  <si>
    <t>Estimated Install Fiscal Year</t>
  </si>
  <si>
    <t>Estimated Install Fiscal Month</t>
  </si>
  <si>
    <t>Estimated Install Fiscal Year (based on Billing Cycle)</t>
  </si>
  <si>
    <t>Estimated Install Fiscal Month (based on Billing Cycle)</t>
  </si>
  <si>
    <t>Loss Date</t>
  </si>
  <si>
    <t>Loss Fiscal Year</t>
  </si>
  <si>
    <t>Loss Fiscal Month</t>
  </si>
  <si>
    <t>Reason Code</t>
  </si>
  <si>
    <t>Reason Code Description</t>
  </si>
  <si>
    <t>Rekey (Y/N)</t>
  </si>
  <si>
    <t>Reason Group Code</t>
  </si>
  <si>
    <t>Reason Group Description</t>
  </si>
  <si>
    <t>Reason Category Code</t>
  </si>
  <si>
    <t>Reason Category Description</t>
  </si>
  <si>
    <t>Scenario Code</t>
  </si>
  <si>
    <t>Scenario Description</t>
  </si>
  <si>
    <t>Chosen Alternative Description</t>
  </si>
  <si>
    <t>Replacement Vendor Name</t>
  </si>
  <si>
    <t>Hold Code</t>
  </si>
  <si>
    <t>Hold Code Description</t>
  </si>
  <si>
    <t>68168332SW04</t>
  </si>
  <si>
    <t>AUTOMOBILE</t>
  </si>
  <si>
    <t>1-2</t>
  </si>
  <si>
    <t>NEW AUTO</t>
  </si>
  <si>
    <t>AUTO</t>
  </si>
  <si>
    <t>76215681</t>
  </si>
  <si>
    <t>23551</t>
  </si>
  <si>
    <t>TRENT CADILLAC BUICK GMC</t>
  </si>
  <si>
    <t xml:space="preserve">N </t>
  </si>
  <si>
    <t>68188401SW10</t>
  </si>
  <si>
    <t>0014000000JW2YAAAR</t>
  </si>
  <si>
    <t>40016</t>
  </si>
  <si>
    <t>0127</t>
  </si>
  <si>
    <t>127</t>
  </si>
  <si>
    <t>120</t>
  </si>
  <si>
    <t>1707 HWY 70 E</t>
  </si>
  <si>
    <t>NEW BERN</t>
  </si>
  <si>
    <t>NC</t>
  </si>
  <si>
    <t>UNITED STATES</t>
  </si>
  <si>
    <t>FRONT OFFICE</t>
  </si>
  <si>
    <t>CALL TRACKING</t>
  </si>
  <si>
    <t>221</t>
  </si>
  <si>
    <t>CDK CONVERSION - SYS GENERATED</t>
  </si>
  <si>
    <t>C</t>
  </si>
  <si>
    <t>CDK Conversion</t>
  </si>
  <si>
    <t>CV</t>
  </si>
  <si>
    <t>Conversion</t>
  </si>
  <si>
    <t>G</t>
  </si>
  <si>
    <t>SYS GEN</t>
  </si>
  <si>
    <t>CDK</t>
  </si>
  <si>
    <t>ADP</t>
  </si>
  <si>
    <t>68186645SW01</t>
  </si>
  <si>
    <t>76003426</t>
  </si>
  <si>
    <t>10445</t>
  </si>
  <si>
    <t xml:space="preserve">C </t>
  </si>
  <si>
    <t>68216748SW01</t>
  </si>
  <si>
    <t>68175496SW10</t>
  </si>
  <si>
    <t>0014000000JW3Q3AAJ</t>
  </si>
  <si>
    <t>FAIR OAKS CHANTILLY CHRYSLER JEEP DODGE RAM</t>
  </si>
  <si>
    <t>25108</t>
  </si>
  <si>
    <t>4170 AUTO PARK CIRCLE</t>
  </si>
  <si>
    <t>CHANTILLY</t>
  </si>
  <si>
    <t>VA</t>
  </si>
  <si>
    <t>4570602</t>
  </si>
  <si>
    <t>INTERACTIVETEL TOTAL TRACK 200+</t>
  </si>
  <si>
    <t>68163968SW01</t>
  </si>
  <si>
    <t>Y</t>
  </si>
  <si>
    <t>8230</t>
  </si>
  <si>
    <t>68172588SW01</t>
  </si>
  <si>
    <t>0014000000JW305AAB</t>
  </si>
  <si>
    <t>10123709</t>
  </si>
  <si>
    <t>3210 DR M L KING JR BLVD</t>
  </si>
  <si>
    <t>64238223SW12</t>
  </si>
  <si>
    <t>4570089</t>
  </si>
  <si>
    <t>CALLREVU 8000</t>
  </si>
  <si>
    <t>3-5</t>
  </si>
  <si>
    <t>76167994</t>
  </si>
  <si>
    <t>18231</t>
  </si>
  <si>
    <t>INS</t>
  </si>
  <si>
    <t>64191075SW42</t>
  </si>
  <si>
    <t>00140000011RWX6AAK</t>
  </si>
  <si>
    <t>MURRAY AUTO GROUP</t>
  </si>
  <si>
    <t>187371</t>
  </si>
  <si>
    <t>0122</t>
  </si>
  <si>
    <t>122</t>
  </si>
  <si>
    <t>15160 HWY 301 S</t>
  </si>
  <si>
    <t>STARKE</t>
  </si>
  <si>
    <t>FL</t>
  </si>
  <si>
    <t>4571047</t>
  </si>
  <si>
    <t>CALLREVU GROWTH 5K</t>
  </si>
  <si>
    <t>67046811SW01</t>
  </si>
  <si>
    <t>76055608</t>
  </si>
  <si>
    <t>11619</t>
  </si>
  <si>
    <t>64226861SW29</t>
  </si>
  <si>
    <t>67037962SW08</t>
  </si>
  <si>
    <t>0014000000JVWFPAAR</t>
  </si>
  <si>
    <t>METROCORP</t>
  </si>
  <si>
    <t>187885</t>
  </si>
  <si>
    <t>76210967</t>
  </si>
  <si>
    <t>GM IMR TURNKEY VENDOR PROGRAM</t>
  </si>
  <si>
    <t>2845 HIGHWAY 35W</t>
  </si>
  <si>
    <t>ROSEVILLE</t>
  </si>
  <si>
    <t>MN</t>
  </si>
  <si>
    <t>38109204SW01</t>
  </si>
  <si>
    <t>RECREATION</t>
  </si>
  <si>
    <t>Non-Auto</t>
  </si>
  <si>
    <t>MOTORCYCLE</t>
  </si>
  <si>
    <t>76212580</t>
  </si>
  <si>
    <t>9973</t>
  </si>
  <si>
    <t>64238640SW16</t>
  </si>
  <si>
    <t>0010B00002DHZOWAA1</t>
  </si>
  <si>
    <t>1733397</t>
  </si>
  <si>
    <t>788 BEAL PKWY NW</t>
  </si>
  <si>
    <t>FORT WALTON BEACH</t>
  </si>
  <si>
    <t>68219682SW09</t>
  </si>
  <si>
    <t>68220056SW01</t>
  </si>
  <si>
    <t>68163607SW01</t>
  </si>
  <si>
    <t>76067593</t>
  </si>
  <si>
    <t>19910</t>
  </si>
  <si>
    <t>68215936SW01</t>
  </si>
  <si>
    <t>0014000000JW296AAB</t>
  </si>
  <si>
    <t>53354501</t>
  </si>
  <si>
    <t>8 E MAIN ST</t>
  </si>
  <si>
    <t>COLLEGEVILLE</t>
  </si>
  <si>
    <t>PA</t>
  </si>
  <si>
    <t>64169272SW04</t>
  </si>
  <si>
    <t>76062949</t>
  </si>
  <si>
    <t>0014000000JVXTMAAR</t>
  </si>
  <si>
    <t>208052</t>
  </si>
  <si>
    <t>0125</t>
  </si>
  <si>
    <t>125</t>
  </si>
  <si>
    <t>11711 GULF FREEWAY</t>
  </si>
  <si>
    <t>HOUSTON</t>
  </si>
  <si>
    <t>TX</t>
  </si>
  <si>
    <t>833</t>
  </si>
  <si>
    <t>Ownership Change</t>
  </si>
  <si>
    <t>M</t>
  </si>
  <si>
    <t>BACK TO MANUAL</t>
  </si>
  <si>
    <t>DA</t>
  </si>
  <si>
    <t>Dropped Apps</t>
  </si>
  <si>
    <t>P</t>
  </si>
  <si>
    <t>PRODUCT</t>
  </si>
  <si>
    <t xml:space="preserve">R </t>
  </si>
  <si>
    <t>823</t>
  </si>
  <si>
    <t>Error Correction</t>
  </si>
  <si>
    <t>EC</t>
  </si>
  <si>
    <t>ADMINISTRATIVE ADJUSTMENT</t>
  </si>
  <si>
    <t>CA</t>
  </si>
  <si>
    <t>CONTRA ADD</t>
  </si>
  <si>
    <t>N/A</t>
  </si>
  <si>
    <t>64226735SW01</t>
  </si>
  <si>
    <t>76201662</t>
  </si>
  <si>
    <t>17993</t>
  </si>
  <si>
    <t>0010B00001SWNXUAAG</t>
  </si>
  <si>
    <t>1704275</t>
  </si>
  <si>
    <t>2605 DR. JOHN HANNES DR.</t>
  </si>
  <si>
    <t>PELL CITY</t>
  </si>
  <si>
    <t>AL</t>
  </si>
  <si>
    <t>844</t>
  </si>
  <si>
    <t>Dealership Downsizing</t>
  </si>
  <si>
    <t>68209897SW37</t>
  </si>
  <si>
    <t>11+</t>
  </si>
  <si>
    <t>76228629</t>
  </si>
  <si>
    <t>7459A</t>
  </si>
  <si>
    <t>68189336SW40</t>
  </si>
  <si>
    <t>0015A00002TK3GOAA0</t>
  </si>
  <si>
    <t>HUDSON AUTOMOTIVE</t>
  </si>
  <si>
    <t>196172</t>
  </si>
  <si>
    <t>240 KILLIAN COMMON PKWY</t>
  </si>
  <si>
    <t>COLUMBIA</t>
  </si>
  <si>
    <t>SC</t>
  </si>
  <si>
    <t>836</t>
  </si>
  <si>
    <t>Price/Value Proposition</t>
  </si>
  <si>
    <t>68168556SW01</t>
  </si>
  <si>
    <t>76217678</t>
  </si>
  <si>
    <t>18596</t>
  </si>
  <si>
    <t>68228662SW12</t>
  </si>
  <si>
    <t>0014000000JW2XJAAR</t>
  </si>
  <si>
    <t>BOB BELL</t>
  </si>
  <si>
    <t>1799131</t>
  </si>
  <si>
    <t>7117 RITCHIE HWY</t>
  </si>
  <si>
    <t>GLEN BURNIE</t>
  </si>
  <si>
    <t>MD</t>
  </si>
  <si>
    <t>812</t>
  </si>
  <si>
    <t>67041955SW02</t>
  </si>
  <si>
    <t>76215011</t>
  </si>
  <si>
    <t>23308</t>
  </si>
  <si>
    <t>68188288SW06</t>
  </si>
  <si>
    <t>0014000000JW0UHAAZ</t>
  </si>
  <si>
    <t>PIAZZA AUTO GROUP</t>
  </si>
  <si>
    <t>71055667</t>
  </si>
  <si>
    <t>265 E LANCASTER AVE</t>
  </si>
  <si>
    <t>ARDMORE</t>
  </si>
  <si>
    <t>64169219SW03</t>
  </si>
  <si>
    <t>76211956</t>
  </si>
  <si>
    <t>17155</t>
  </si>
  <si>
    <t>0014000000MV8QAAA0</t>
  </si>
  <si>
    <t>1447686</t>
  </si>
  <si>
    <t>3260 PLEASANT VALLEY RD</t>
  </si>
  <si>
    <t>MOBILE</t>
  </si>
  <si>
    <t>827</t>
  </si>
  <si>
    <t>Low or No Utilization</t>
  </si>
  <si>
    <t>64226735SW02</t>
  </si>
  <si>
    <t>4570123</t>
  </si>
  <si>
    <t>CARWARS ADVANCED SERVICE</t>
  </si>
  <si>
    <t>64226787SW02</t>
  </si>
  <si>
    <t>6-10</t>
  </si>
  <si>
    <t>76220529</t>
  </si>
  <si>
    <t>GALEANA CHRYSLER DODGE JEEP RAM OF FORT MYERS</t>
  </si>
  <si>
    <t>64243030SW25</t>
  </si>
  <si>
    <t>0014000000JWA15AAF</t>
  </si>
  <si>
    <t>GALEANA AUTOMOTIVE GROUP</t>
  </si>
  <si>
    <t>1361687</t>
  </si>
  <si>
    <t>14375 S TAMIAMI TRAIL</t>
  </si>
  <si>
    <t>FORT MYERS</t>
  </si>
  <si>
    <t>68187007SW14</t>
  </si>
  <si>
    <t>76217276</t>
  </si>
  <si>
    <t>WYATT-JOHNSON BUICK GMC</t>
  </si>
  <si>
    <t>64231666SW01</t>
  </si>
  <si>
    <t>76211594</t>
  </si>
  <si>
    <t>10786</t>
  </si>
  <si>
    <t>64193165SW01</t>
  </si>
  <si>
    <t>0014000000M6G8KAAB</t>
  </si>
  <si>
    <t>PAUL LOKEY</t>
  </si>
  <si>
    <t>01156105</t>
  </si>
  <si>
    <t>27758 US HIGHWAY 19 N</t>
  </si>
  <si>
    <t>CLEARWATER</t>
  </si>
  <si>
    <t>64231666SW02</t>
  </si>
  <si>
    <t>64233126SW78</t>
  </si>
  <si>
    <t>76200288</t>
  </si>
  <si>
    <t>0014000000JW9X1AAB</t>
  </si>
  <si>
    <t>JACK HANANIA</t>
  </si>
  <si>
    <t>1695755</t>
  </si>
  <si>
    <t>76230871</t>
  </si>
  <si>
    <t>HANANIA AUTO</t>
  </si>
  <si>
    <t>11401 ATLANTIC BLVD</t>
  </si>
  <si>
    <t>JACKSONVILLE</t>
  </si>
  <si>
    <t>4571049</t>
  </si>
  <si>
    <t>CALLREVU GROWTH 15K</t>
  </si>
  <si>
    <t>64168877SW02</t>
  </si>
  <si>
    <t>76211939</t>
  </si>
  <si>
    <t>4545</t>
  </si>
  <si>
    <t>MOONSHINE HARLEY DAVIDSON</t>
  </si>
  <si>
    <t>0014000000MV3SUAAK</t>
  </si>
  <si>
    <t>1443259</t>
  </si>
  <si>
    <t>7128 SOUTH SPRINGS DR</t>
  </si>
  <si>
    <t>FRANKLIN</t>
  </si>
  <si>
    <t>TN</t>
  </si>
  <si>
    <t>68243199SW02</t>
  </si>
  <si>
    <t>64226788SW02</t>
  </si>
  <si>
    <t>76220548</t>
  </si>
  <si>
    <t>GALEANA KIA OF FORT MYERS</t>
  </si>
  <si>
    <t>64243030SW21</t>
  </si>
  <si>
    <t>186155</t>
  </si>
  <si>
    <t>14483 S TAMIAMI TRL</t>
  </si>
  <si>
    <t>68172164SW40</t>
  </si>
  <si>
    <t>76049589</t>
  </si>
  <si>
    <t>18076</t>
  </si>
  <si>
    <t>0015A00003EKE0EAAX</t>
  </si>
  <si>
    <t>KING AUTO GROUP</t>
  </si>
  <si>
    <t>70397813</t>
  </si>
  <si>
    <t>953 N FREDERICK AVE</t>
  </si>
  <si>
    <t>GAITHERSBURG</t>
  </si>
  <si>
    <t>38103593SW02</t>
  </si>
  <si>
    <t>38095572SW02</t>
  </si>
  <si>
    <t>68193749SW02</t>
  </si>
  <si>
    <t>76143222</t>
  </si>
  <si>
    <t>17223</t>
  </si>
  <si>
    <t>68164176SW02</t>
  </si>
  <si>
    <t>0014000000JW330AAB</t>
  </si>
  <si>
    <t>TOMMY BAKER</t>
  </si>
  <si>
    <t>102187</t>
  </si>
  <si>
    <t>1621 SAVANNAH HIGHWAY</t>
  </si>
  <si>
    <t>CHARLESTON</t>
  </si>
  <si>
    <t>64226787SW01</t>
  </si>
  <si>
    <t>4570122</t>
  </si>
  <si>
    <t>CARWARS ADVANCED SALES</t>
  </si>
  <si>
    <t>64243030SW24</t>
  </si>
  <si>
    <t>68182618SW01</t>
  </si>
  <si>
    <t>68199331SW01</t>
  </si>
  <si>
    <t>76171765</t>
  </si>
  <si>
    <t>68243830SW17</t>
  </si>
  <si>
    <t>0014000000JW9Y1AAB</t>
  </si>
  <si>
    <t>DONALD AUTOMOTIVE GROUP</t>
  </si>
  <si>
    <t>71053228</t>
  </si>
  <si>
    <t>4425 E DIXON BLVD</t>
  </si>
  <si>
    <t>SHELBY</t>
  </si>
  <si>
    <t>68228477SW22</t>
  </si>
  <si>
    <t>25181201</t>
  </si>
  <si>
    <t>18577</t>
  </si>
  <si>
    <t>ANS</t>
  </si>
  <si>
    <t>7125 RITCHIE HWY</t>
  </si>
  <si>
    <t>S</t>
  </si>
  <si>
    <t>SITE</t>
  </si>
  <si>
    <t>68244081SW18</t>
  </si>
  <si>
    <t>64169289SW03</t>
  </si>
  <si>
    <t>76211900</t>
  </si>
  <si>
    <t>4548</t>
  </si>
  <si>
    <t>0014000000MV2TKAA0</t>
  </si>
  <si>
    <t>1441908</t>
  </si>
  <si>
    <t>6015 AIRLINE DRIVE</t>
  </si>
  <si>
    <t>METAIRIE</t>
  </si>
  <si>
    <t>LA</t>
  </si>
  <si>
    <t>64188763SW01</t>
  </si>
  <si>
    <t>76177675</t>
  </si>
  <si>
    <t>15230</t>
  </si>
  <si>
    <t>64233126SW75</t>
  </si>
  <si>
    <t>1581742</t>
  </si>
  <si>
    <t>22240 S. TAMIAMI TRAIL</t>
  </si>
  <si>
    <t>ESTERO</t>
  </si>
  <si>
    <t>64192511SW08</t>
  </si>
  <si>
    <t>USED AUTO</t>
  </si>
  <si>
    <t>USED VEHICLE</t>
  </si>
  <si>
    <t>76224283</t>
  </si>
  <si>
    <t>25433</t>
  </si>
  <si>
    <t>64185402SW02</t>
  </si>
  <si>
    <t>0015A00002ZONADAAK</t>
  </si>
  <si>
    <t>UNION AUTO GROUP</t>
  </si>
  <si>
    <t>1839493</t>
  </si>
  <si>
    <t>867 AVE LUIS MUNOZ RIVERA</t>
  </si>
  <si>
    <t>SAN JUAN</t>
  </si>
  <si>
    <t>PR</t>
  </si>
  <si>
    <t>68164391SW06</t>
  </si>
  <si>
    <t>76193826</t>
  </si>
  <si>
    <t>17563</t>
  </si>
  <si>
    <t>0014000000JW3AMAAR</t>
  </si>
  <si>
    <t>GRAINGER</t>
  </si>
  <si>
    <t>1661251</t>
  </si>
  <si>
    <t>219 ROBERT SMALLS PARKWAY</t>
  </si>
  <si>
    <t>BEAUFORT</t>
  </si>
  <si>
    <t>64169289SW04</t>
  </si>
  <si>
    <t>64238640SW03</t>
  </si>
  <si>
    <t>67037594SW02</t>
  </si>
  <si>
    <t>76066612</t>
  </si>
  <si>
    <t>15952</t>
  </si>
  <si>
    <t>0014000000JVW6GAAB</t>
  </si>
  <si>
    <t>ZIMBRICK</t>
  </si>
  <si>
    <t>1361883</t>
  </si>
  <si>
    <t>ACURA OF BROOKFIELD</t>
  </si>
  <si>
    <t>76066605</t>
  </si>
  <si>
    <t>19180 W BLUEMOUND ROAD</t>
  </si>
  <si>
    <t>BROOKFIELD</t>
  </si>
  <si>
    <t>WI</t>
  </si>
  <si>
    <t>68174966SW11</t>
  </si>
  <si>
    <t>68181487SW01</t>
  </si>
  <si>
    <t>4570288</t>
  </si>
  <si>
    <t>CARWARS TEXTING (PREMIUM)</t>
  </si>
  <si>
    <t>818</t>
  </si>
  <si>
    <t>Conversion to Another CDK Division</t>
  </si>
  <si>
    <t>64168996SW05</t>
  </si>
  <si>
    <t>64168880SW03</t>
  </si>
  <si>
    <t>64238640SW12</t>
  </si>
  <si>
    <t>67035426SW10</t>
  </si>
  <si>
    <t>64196224SW12</t>
  </si>
  <si>
    <t>76049550</t>
  </si>
  <si>
    <t>19638</t>
  </si>
  <si>
    <t>0014000000F2TTXAAI</t>
  </si>
  <si>
    <t>MEL HAMBELTON</t>
  </si>
  <si>
    <t>155779</t>
  </si>
  <si>
    <t>11771 W KELLOGG DR</t>
  </si>
  <si>
    <t>WICHITA</t>
  </si>
  <si>
    <t>KS</t>
  </si>
  <si>
    <t>CL</t>
  </si>
  <si>
    <t>COMPETITIVE LOSS</t>
  </si>
  <si>
    <t>CM</t>
  </si>
  <si>
    <t>Competitive</t>
  </si>
  <si>
    <t>Competitor</t>
  </si>
  <si>
    <t>Other Vendor</t>
  </si>
  <si>
    <t>64169219SW05</t>
  </si>
  <si>
    <t>64238640SW05</t>
  </si>
  <si>
    <t>68233896SW13</t>
  </si>
  <si>
    <t>76252487</t>
  </si>
  <si>
    <t>68234112SW16</t>
  </si>
  <si>
    <t>68207128SW01</t>
  </si>
  <si>
    <t>0014000000JW0PEAAJ</t>
  </si>
  <si>
    <t>AMHERST AUTOMOTIVE</t>
  </si>
  <si>
    <t>2009633</t>
  </si>
  <si>
    <t>47190 COOPER FOSTER PARK ROAD</t>
  </si>
  <si>
    <t>AMHERST</t>
  </si>
  <si>
    <t>OH</t>
  </si>
  <si>
    <t>64164460SW01</t>
  </si>
  <si>
    <t>64244482SW01</t>
  </si>
  <si>
    <t>4570084</t>
  </si>
  <si>
    <t>CALLREVU CALL TRACKING PLUS 4000</t>
  </si>
  <si>
    <t>64226788SW01</t>
  </si>
  <si>
    <t>64243030SW20</t>
  </si>
  <si>
    <t>68182618SW02</t>
  </si>
  <si>
    <t>64169292SW02</t>
  </si>
  <si>
    <t>76166962</t>
  </si>
  <si>
    <t>18849</t>
  </si>
  <si>
    <t>0014000000VCZDIAA1</t>
  </si>
  <si>
    <t>STANLEY</t>
  </si>
  <si>
    <t>71044942</t>
  </si>
  <si>
    <t>603 SW GEORGIA AVE</t>
  </si>
  <si>
    <t>SWEETWATER</t>
  </si>
  <si>
    <t>68189189SW11</t>
  </si>
  <si>
    <t>76230032</t>
  </si>
  <si>
    <t>27069</t>
  </si>
  <si>
    <t>71061381</t>
  </si>
  <si>
    <t>14921 N BALTIMORE AVE</t>
  </si>
  <si>
    <t>LAUREL</t>
  </si>
  <si>
    <t>4570290</t>
  </si>
  <si>
    <t>CALLREVU 50 PACKAGE</t>
  </si>
  <si>
    <t>64169783SW03</t>
  </si>
  <si>
    <t>76208041</t>
  </si>
  <si>
    <t>19515</t>
  </si>
  <si>
    <t>0010B00002FXS1FAAF</t>
  </si>
  <si>
    <t>KRAFT AUTOMOTIVE</t>
  </si>
  <si>
    <t>205378</t>
  </si>
  <si>
    <t>INFINITI OF TALLAHASSEE</t>
  </si>
  <si>
    <t>3377 MAHAN DRIVE</t>
  </si>
  <si>
    <t>TALLAHASSEE</t>
  </si>
  <si>
    <t>820</t>
  </si>
  <si>
    <t>Dealer Refused Comment/Reason Unknown</t>
  </si>
  <si>
    <t>68172164SW30</t>
  </si>
  <si>
    <t>76049571</t>
  </si>
  <si>
    <t>68164146SW07</t>
  </si>
  <si>
    <t>500204</t>
  </si>
  <si>
    <t>979 N. FREDERICK AVENUE</t>
  </si>
  <si>
    <t>64236640SW03</t>
  </si>
  <si>
    <t>64239796SW14</t>
  </si>
  <si>
    <t>64169056SW02</t>
  </si>
  <si>
    <t>17989</t>
  </si>
  <si>
    <t>68162606SW02</t>
  </si>
  <si>
    <t>76165887</t>
  </si>
  <si>
    <t>0014000000JW9WFAAR</t>
  </si>
  <si>
    <t>MODERN</t>
  </si>
  <si>
    <t>208484</t>
  </si>
  <si>
    <t>71047244</t>
  </si>
  <si>
    <t>18615 STATESVILLE ROAD</t>
  </si>
  <si>
    <t>CORNELIUS</t>
  </si>
  <si>
    <t>15691</t>
  </si>
  <si>
    <t>841</t>
  </si>
  <si>
    <t>Service/Support Issue</t>
  </si>
  <si>
    <t>64236640SW02</t>
  </si>
  <si>
    <t>64168932SW04</t>
  </si>
  <si>
    <t>Package 1</t>
  </si>
  <si>
    <t>Package 2</t>
  </si>
  <si>
    <t>Package 3</t>
  </si>
  <si>
    <t>LEITH ACURA OF CARY</t>
  </si>
  <si>
    <t>BMW OF RALEIGH</t>
  </si>
  <si>
    <t>PORSCHE CARY</t>
  </si>
  <si>
    <t>4570064</t>
  </si>
  <si>
    <t>CARWARS ELITE LARGE</t>
  </si>
  <si>
    <t>25070101</t>
  </si>
  <si>
    <t>25078101</t>
  </si>
  <si>
    <t>WILLIAMSBURG CHRYSLER DODGE JEEP RAM</t>
  </si>
  <si>
    <t>LAND ROVER JAGUAR CARY</t>
  </si>
  <si>
    <t>25298808</t>
  </si>
  <si>
    <t>25298851</t>
  </si>
  <si>
    <t>41002552</t>
  </si>
  <si>
    <t>41741101</t>
  </si>
  <si>
    <t>52079901</t>
  </si>
  <si>
    <t>52198501</t>
  </si>
  <si>
    <t>71039289</t>
  </si>
  <si>
    <t>71043919</t>
  </si>
  <si>
    <t>71043920</t>
  </si>
  <si>
    <t>4570779</t>
  </si>
  <si>
    <t>CARWARS ELITE SMALL</t>
  </si>
  <si>
    <t>71043922</t>
  </si>
  <si>
    <t>71043923</t>
  </si>
  <si>
    <t>71043924</t>
  </si>
  <si>
    <t>71046613</t>
  </si>
  <si>
    <t>71057013</t>
  </si>
  <si>
    <t>71057131</t>
  </si>
  <si>
    <t>71058098</t>
  </si>
  <si>
    <t>71058869</t>
  </si>
  <si>
    <t>71060891</t>
  </si>
  <si>
    <t>71061706</t>
  </si>
  <si>
    <t>4570780</t>
  </si>
  <si>
    <t>CARWARS ELITE SMALL SERVICE</t>
  </si>
  <si>
    <t>71061708</t>
  </si>
  <si>
    <t>71061710</t>
  </si>
  <si>
    <t>71063011</t>
  </si>
  <si>
    <t>71063149</t>
  </si>
  <si>
    <t>71063916</t>
  </si>
  <si>
    <t>71064573</t>
  </si>
  <si>
    <t>76001666</t>
  </si>
  <si>
    <t>76002263</t>
  </si>
  <si>
    <t>76003331</t>
  </si>
  <si>
    <t>76003345</t>
  </si>
  <si>
    <t>4570128</t>
  </si>
  <si>
    <t>CARWARS TEXTING (STARTER/ADVANCED)</t>
  </si>
  <si>
    <t>76014409</t>
  </si>
  <si>
    <t>76015613</t>
  </si>
  <si>
    <t>76016573</t>
  </si>
  <si>
    <t>76020588</t>
  </si>
  <si>
    <t>76022930</t>
  </si>
  <si>
    <t>76024834</t>
  </si>
  <si>
    <t>76025044</t>
  </si>
  <si>
    <t>76025122</t>
  </si>
  <si>
    <t>76025871</t>
  </si>
  <si>
    <t>76025950</t>
  </si>
  <si>
    <t>76029030</t>
  </si>
  <si>
    <t>76029454</t>
  </si>
  <si>
    <t>76030502</t>
  </si>
  <si>
    <t>76031247</t>
  </si>
  <si>
    <t>76036962</t>
  </si>
  <si>
    <t>76037927</t>
  </si>
  <si>
    <t>76039334</t>
  </si>
  <si>
    <t>76043216</t>
  </si>
  <si>
    <t>76044726</t>
  </si>
  <si>
    <t>76045170</t>
  </si>
  <si>
    <t>76048070</t>
  </si>
  <si>
    <t>76048072</t>
  </si>
  <si>
    <t>76051369</t>
  </si>
  <si>
    <t>76055606</t>
  </si>
  <si>
    <t>76058883</t>
  </si>
  <si>
    <t>76061826</t>
  </si>
  <si>
    <t>76065770</t>
  </si>
  <si>
    <t>76065772</t>
  </si>
  <si>
    <t>76065926</t>
  </si>
  <si>
    <t>4570286</t>
  </si>
  <si>
    <t>CARWARS VOICE RECOGNITION (STARTER/ADV)</t>
  </si>
  <si>
    <t>76066617</t>
  </si>
  <si>
    <t>76066619</t>
  </si>
  <si>
    <t>76066621</t>
  </si>
  <si>
    <t>76066622</t>
  </si>
  <si>
    <t>76066623</t>
  </si>
  <si>
    <t>76066624</t>
  </si>
  <si>
    <t>76066626</t>
  </si>
  <si>
    <t>76066633</t>
  </si>
  <si>
    <t>76066638</t>
  </si>
  <si>
    <t>76066646</t>
  </si>
  <si>
    <t>76066648</t>
  </si>
  <si>
    <t>76067136</t>
  </si>
  <si>
    <t>76067575</t>
  </si>
  <si>
    <t>76067624</t>
  </si>
  <si>
    <t>76069427</t>
  </si>
  <si>
    <t>76070071</t>
  </si>
  <si>
    <t>76071533</t>
  </si>
  <si>
    <t>76071932</t>
  </si>
  <si>
    <t>76072454</t>
  </si>
  <si>
    <t>76072668</t>
  </si>
  <si>
    <t>76073734</t>
  </si>
  <si>
    <t>76073874</t>
  </si>
  <si>
    <t>76075892</t>
  </si>
  <si>
    <t>76076425</t>
  </si>
  <si>
    <t>76076583</t>
  </si>
  <si>
    <t>76090518</t>
  </si>
  <si>
    <t>76140120</t>
  </si>
  <si>
    <t>76141328</t>
  </si>
  <si>
    <t>76142673</t>
  </si>
  <si>
    <t>76144665</t>
  </si>
  <si>
    <t>76145408</t>
  </si>
  <si>
    <t>76145456</t>
  </si>
  <si>
    <t>76145782</t>
  </si>
  <si>
    <t>76150081</t>
  </si>
  <si>
    <t>76152812</t>
  </si>
  <si>
    <t>76153470</t>
  </si>
  <si>
    <t>76155736</t>
  </si>
  <si>
    <t>76156785</t>
  </si>
  <si>
    <t>76158989</t>
  </si>
  <si>
    <t>76158992</t>
  </si>
  <si>
    <t>76160401</t>
  </si>
  <si>
    <t>4570585</t>
  </si>
  <si>
    <t>CARWARS STARTER UNLIMITED (FOR PHONE SYSTEMS)</t>
  </si>
  <si>
    <t>76160664</t>
  </si>
  <si>
    <t>76160666</t>
  </si>
  <si>
    <t>76161145</t>
  </si>
  <si>
    <t>76161776</t>
  </si>
  <si>
    <t>76162428</t>
  </si>
  <si>
    <t>76162431</t>
  </si>
  <si>
    <t>76162462</t>
  </si>
  <si>
    <t>76166889</t>
  </si>
  <si>
    <t>76166930</t>
  </si>
  <si>
    <t>76166940</t>
  </si>
  <si>
    <t>76168517</t>
  </si>
  <si>
    <t>4570126</t>
  </si>
  <si>
    <t>CARWARS CRM MAINTENANCE</t>
  </si>
  <si>
    <t>76170037</t>
  </si>
  <si>
    <t>76171120</t>
  </si>
  <si>
    <t>76174589</t>
  </si>
  <si>
    <t>76176067</t>
  </si>
  <si>
    <t>76177663</t>
  </si>
  <si>
    <t>LEITH VOLKSWAGEN OF RALEIGH</t>
  </si>
  <si>
    <t>76179715</t>
  </si>
  <si>
    <t>76179995</t>
  </si>
  <si>
    <t>76180714</t>
  </si>
  <si>
    <t>76181075</t>
  </si>
  <si>
    <t>76183681</t>
  </si>
  <si>
    <t>76184866</t>
  </si>
  <si>
    <t>76186932</t>
  </si>
  <si>
    <t>76186951</t>
  </si>
  <si>
    <t>76187302</t>
  </si>
  <si>
    <t>76190193</t>
  </si>
  <si>
    <t>76191233</t>
  </si>
  <si>
    <t>76192363</t>
  </si>
  <si>
    <t>76192405</t>
  </si>
  <si>
    <t>76193819</t>
  </si>
  <si>
    <t>LEITH HONDA ABERDEEN</t>
  </si>
  <si>
    <t>76202140</t>
  </si>
  <si>
    <t xml:space="preserve">HIGH COUNTRY HARLEY DAVIDSON OF CHEYENNE			</t>
  </si>
  <si>
    <t>76203700</t>
  </si>
  <si>
    <t>76203742</t>
  </si>
  <si>
    <t>76203780</t>
  </si>
  <si>
    <t>76205217</t>
  </si>
  <si>
    <t>76205667</t>
  </si>
  <si>
    <t>76208075</t>
  </si>
  <si>
    <t>76208273</t>
  </si>
  <si>
    <t>76208343</t>
  </si>
  <si>
    <t>76209452</t>
  </si>
  <si>
    <t>76209484</t>
  </si>
  <si>
    <t>76209490</t>
  </si>
  <si>
    <t>76209492</t>
  </si>
  <si>
    <t>76209493</t>
  </si>
  <si>
    <t>76209494</t>
  </si>
  <si>
    <t>76209497</t>
  </si>
  <si>
    <t>76209498</t>
  </si>
  <si>
    <t>76209885</t>
  </si>
  <si>
    <t>76210024</t>
  </si>
  <si>
    <t>76210608</t>
  </si>
  <si>
    <t>76210932</t>
  </si>
  <si>
    <t>76210935</t>
  </si>
  <si>
    <t>76210975</t>
  </si>
  <si>
    <t>76211482</t>
  </si>
  <si>
    <t>76211528</t>
  </si>
  <si>
    <t>76211637</t>
  </si>
  <si>
    <t>76211659</t>
  </si>
  <si>
    <t>76211746</t>
  </si>
  <si>
    <t>76211762</t>
  </si>
  <si>
    <t>76211838</t>
  </si>
  <si>
    <t>76211875</t>
  </si>
  <si>
    <t>76211920</t>
  </si>
  <si>
    <t>76211978</t>
  </si>
  <si>
    <t>76211997</t>
  </si>
  <si>
    <t>76212077</t>
  </si>
  <si>
    <t>76212103</t>
  </si>
  <si>
    <t>76212138</t>
  </si>
  <si>
    <t>76212200</t>
  </si>
  <si>
    <t>76212236</t>
  </si>
  <si>
    <t>76212246</t>
  </si>
  <si>
    <t>76212334</t>
  </si>
  <si>
    <t>76212370</t>
  </si>
  <si>
    <t>76212373</t>
  </si>
  <si>
    <t>76212374</t>
  </si>
  <si>
    <t>76212401</t>
  </si>
  <si>
    <t>76212418</t>
  </si>
  <si>
    <t>76212425</t>
  </si>
  <si>
    <t>76212679</t>
  </si>
  <si>
    <t>76212701</t>
  </si>
  <si>
    <t>76212720</t>
  </si>
  <si>
    <t>76212721</t>
  </si>
  <si>
    <t>76213002</t>
  </si>
  <si>
    <t>76213059</t>
  </si>
  <si>
    <t>76213062</t>
  </si>
  <si>
    <t>76213065</t>
  </si>
  <si>
    <t>76213066</t>
  </si>
  <si>
    <t>76213067</t>
  </si>
  <si>
    <t>76213169</t>
  </si>
  <si>
    <t>76213688</t>
  </si>
  <si>
    <t>76213700</t>
  </si>
  <si>
    <t>76213848</t>
  </si>
  <si>
    <t>76213850</t>
  </si>
  <si>
    <t>76213867</t>
  </si>
  <si>
    <t>76214101</t>
  </si>
  <si>
    <t>76214539</t>
  </si>
  <si>
    <t>76214615</t>
  </si>
  <si>
    <t>76214654</t>
  </si>
  <si>
    <t>76214799</t>
  </si>
  <si>
    <t>76214865</t>
  </si>
  <si>
    <t>76215888</t>
  </si>
  <si>
    <t>76215893</t>
  </si>
  <si>
    <t>76217130</t>
  </si>
  <si>
    <t>76219293</t>
  </si>
  <si>
    <t>76219520</t>
  </si>
  <si>
    <t>76219965</t>
  </si>
  <si>
    <t>76220875</t>
  </si>
  <si>
    <t>76220881</t>
  </si>
  <si>
    <t>76222868</t>
  </si>
  <si>
    <t>76223210</t>
  </si>
  <si>
    <t>76225896</t>
  </si>
  <si>
    <t>76225899</t>
  </si>
  <si>
    <t>76226259</t>
  </si>
  <si>
    <t>76226286</t>
  </si>
  <si>
    <t>76227241</t>
  </si>
  <si>
    <t>76228449</t>
  </si>
  <si>
    <t>76228615</t>
  </si>
  <si>
    <t>76228616</t>
  </si>
  <si>
    <t>76228618</t>
  </si>
  <si>
    <t>76228624</t>
  </si>
  <si>
    <t>76228625</t>
  </si>
  <si>
    <t>76228628</t>
  </si>
  <si>
    <t>76228640</t>
  </si>
  <si>
    <t>76229204</t>
  </si>
  <si>
    <t>76229519</t>
  </si>
  <si>
    <t>76229614</t>
  </si>
  <si>
    <t>76229657</t>
  </si>
  <si>
    <t>76230046</t>
  </si>
  <si>
    <t>76230963</t>
  </si>
  <si>
    <t>76231018</t>
  </si>
  <si>
    <t>76231359</t>
  </si>
  <si>
    <t>76232569</t>
  </si>
  <si>
    <t>76232941</t>
  </si>
  <si>
    <t>76233858</t>
  </si>
  <si>
    <t>76234209</t>
  </si>
  <si>
    <t>76234211</t>
  </si>
  <si>
    <t>76234357</t>
  </si>
  <si>
    <t>76235053</t>
  </si>
  <si>
    <t>76235054</t>
  </si>
  <si>
    <t>76236368</t>
  </si>
  <si>
    <t>76236371</t>
  </si>
  <si>
    <t>76236892</t>
  </si>
  <si>
    <t>76237651</t>
  </si>
  <si>
    <t>76237653</t>
  </si>
  <si>
    <t>76237654</t>
  </si>
  <si>
    <t>76237872</t>
  </si>
  <si>
    <t>76238033</t>
  </si>
  <si>
    <t>76238599</t>
  </si>
  <si>
    <t>76238610</t>
  </si>
  <si>
    <t>BRUCE BENNETT NISSAN OF DANBURY</t>
  </si>
  <si>
    <t>76240063</t>
  </si>
  <si>
    <t>76240124</t>
  </si>
  <si>
    <t xml:space="preserve">KOEPPEL HYUNDAI	</t>
  </si>
  <si>
    <t>76241289</t>
  </si>
  <si>
    <t>76241993</t>
  </si>
  <si>
    <t>76241994</t>
  </si>
  <si>
    <t>76241995</t>
  </si>
  <si>
    <t>76242141</t>
  </si>
  <si>
    <t>76243311</t>
  </si>
  <si>
    <t>76243351</t>
  </si>
  <si>
    <t>76243357</t>
  </si>
  <si>
    <t>76243435</t>
  </si>
  <si>
    <t>76243652</t>
  </si>
  <si>
    <t>76243828</t>
  </si>
  <si>
    <t>76244702</t>
  </si>
  <si>
    <t>76245198</t>
  </si>
  <si>
    <t>76245201</t>
  </si>
  <si>
    <t>4571026</t>
  </si>
  <si>
    <t>76246706</t>
  </si>
  <si>
    <t>76246708</t>
  </si>
  <si>
    <t>76246712</t>
  </si>
  <si>
    <t>76250477</t>
  </si>
  <si>
    <t>76250870</t>
  </si>
  <si>
    <t>76250872</t>
  </si>
  <si>
    <t>76250874</t>
  </si>
  <si>
    <t>76250875</t>
  </si>
  <si>
    <t>76250876</t>
  </si>
  <si>
    <t>76250877</t>
  </si>
  <si>
    <t>76250879</t>
  </si>
  <si>
    <t>76250884</t>
  </si>
  <si>
    <t>76251019</t>
  </si>
  <si>
    <t>76252505</t>
  </si>
  <si>
    <t>76253402</t>
  </si>
  <si>
    <t>76253988</t>
  </si>
  <si>
    <t>76253993</t>
  </si>
  <si>
    <t>76254227</t>
  </si>
  <si>
    <t>76256834</t>
  </si>
  <si>
    <t>76256842</t>
  </si>
  <si>
    <t>76257159</t>
  </si>
  <si>
    <t>76257162</t>
  </si>
  <si>
    <t>91080015</t>
  </si>
  <si>
    <t>SUMMIT HARLEY- DAVIDSON</t>
  </si>
  <si>
    <t>ROCKSTAR POWERSPORTS OF ST. PETE</t>
  </si>
  <si>
    <t>VICTORY CDJR MERRILLVILLE</t>
  </si>
  <si>
    <t>08320071</t>
  </si>
  <si>
    <t>CAROLINA VOLKSWAGEN</t>
  </si>
  <si>
    <t>76060185</t>
  </si>
  <si>
    <t>CENTURY KIA</t>
  </si>
  <si>
    <t>76176104</t>
  </si>
  <si>
    <t>AUDI BETHESDA</t>
  </si>
  <si>
    <t>76213061</t>
  </si>
  <si>
    <t>OPELIKA CHRYSLER DODGE JEEP RAM</t>
  </si>
  <si>
    <t>76237466</t>
  </si>
  <si>
    <t>SOUTHERN MOTORS HONDA</t>
  </si>
  <si>
    <t>76240994</t>
  </si>
  <si>
    <t>76254215</t>
  </si>
  <si>
    <t>HEIGHTS NISSAN</t>
  </si>
  <si>
    <t>Sum of Quantity</t>
  </si>
  <si>
    <t>08320047 Total</t>
  </si>
  <si>
    <t>25181201 Total</t>
  </si>
  <si>
    <t>76003426 Total</t>
  </si>
  <si>
    <t>76049550 Total</t>
  </si>
  <si>
    <t>76049571 Total</t>
  </si>
  <si>
    <t>76049589 Total</t>
  </si>
  <si>
    <t>76055608 Total</t>
  </si>
  <si>
    <t>76062949 Total</t>
  </si>
  <si>
    <t>76066612 Total</t>
  </si>
  <si>
    <t>76067593 Total</t>
  </si>
  <si>
    <t>76143222 Total</t>
  </si>
  <si>
    <t>76165887 Total</t>
  </si>
  <si>
    <t>76166962 Total</t>
  </si>
  <si>
    <t>76167994 Total</t>
  </si>
  <si>
    <t>76171765 Total</t>
  </si>
  <si>
    <t>76177675 Total</t>
  </si>
  <si>
    <t>76193826 Total</t>
  </si>
  <si>
    <t>76200288 Total</t>
  </si>
  <si>
    <t>76201662 Total</t>
  </si>
  <si>
    <t>76208041 Total</t>
  </si>
  <si>
    <t>76211594 Total</t>
  </si>
  <si>
    <t>76211900 Total</t>
  </si>
  <si>
    <t>76211939 Total</t>
  </si>
  <si>
    <t>76211956 Total</t>
  </si>
  <si>
    <t>76212580 Total</t>
  </si>
  <si>
    <t>76215011 Total</t>
  </si>
  <si>
    <t>76215681 Total</t>
  </si>
  <si>
    <t>76217678 Total</t>
  </si>
  <si>
    <t>76220529 Total</t>
  </si>
  <si>
    <t>76220548 Total</t>
  </si>
  <si>
    <t>76224283 Total</t>
  </si>
  <si>
    <t>76228629 Total</t>
  </si>
  <si>
    <t>76230032 Total</t>
  </si>
  <si>
    <t>76252487 Total</t>
  </si>
  <si>
    <t>MI</t>
  </si>
  <si>
    <t>64222204SW03</t>
  </si>
  <si>
    <t>DE</t>
  </si>
  <si>
    <t>68164310SW01</t>
  </si>
  <si>
    <t>62179736SW02</t>
  </si>
  <si>
    <t>62179736SW03</t>
  </si>
  <si>
    <t>58040491SW13</t>
  </si>
  <si>
    <t>68175358SW02</t>
  </si>
  <si>
    <t>64222204SW04</t>
  </si>
  <si>
    <t>IN</t>
  </si>
  <si>
    <t>64222204SW05</t>
  </si>
  <si>
    <t>62179736SW05</t>
  </si>
  <si>
    <t>64222204SW06</t>
  </si>
  <si>
    <t>64222204SW07</t>
  </si>
  <si>
    <t>64222204SW08</t>
  </si>
  <si>
    <t>64222204SW09</t>
  </si>
  <si>
    <t>64222204SW10</t>
  </si>
  <si>
    <t>64222204SW11</t>
  </si>
  <si>
    <t>64222204SW12</t>
  </si>
  <si>
    <t>62179736SW07</t>
  </si>
  <si>
    <t>62179736SW08</t>
  </si>
  <si>
    <t>62179736SW09</t>
  </si>
  <si>
    <t>64222204SW14</t>
  </si>
  <si>
    <t>64222204SW13</t>
  </si>
  <si>
    <t>62179736SW11</t>
  </si>
  <si>
    <t>62179736SW12</t>
  </si>
  <si>
    <t>68162672SW01</t>
  </si>
  <si>
    <t>MA</t>
  </si>
  <si>
    <t>68219362SW03</t>
  </si>
  <si>
    <t>68164308SW01</t>
  </si>
  <si>
    <t>68163330SW01</t>
  </si>
  <si>
    <t>68162673SW01</t>
  </si>
  <si>
    <t>62179736SW13</t>
  </si>
  <si>
    <t>68163572SW01</t>
  </si>
  <si>
    <t>68163331SW01</t>
  </si>
  <si>
    <t>68163827SW01</t>
  </si>
  <si>
    <t>68163574SW01</t>
  </si>
  <si>
    <t>68175356SW02</t>
  </si>
  <si>
    <t>68164311SW01</t>
  </si>
  <si>
    <t>62179736SW14</t>
  </si>
  <si>
    <t>62179736SW15</t>
  </si>
  <si>
    <t>68163329SW01</t>
  </si>
  <si>
    <t>68172657SW01</t>
  </si>
  <si>
    <t>68219362SW04</t>
  </si>
  <si>
    <t>62179736SW17</t>
  </si>
  <si>
    <t>68168607SW01</t>
  </si>
  <si>
    <t>68175354SW02</t>
  </si>
  <si>
    <t>68175357SW02</t>
  </si>
  <si>
    <t>68173249SW09</t>
  </si>
  <si>
    <t>64222204SW16</t>
  </si>
  <si>
    <t>62179736SW01</t>
  </si>
  <si>
    <t>62179736SW18</t>
  </si>
  <si>
    <t>68219362SW05</t>
  </si>
  <si>
    <t>68219362SW06</t>
  </si>
  <si>
    <t>62179736SW19</t>
  </si>
  <si>
    <t>64222204SW01</t>
  </si>
  <si>
    <t>64222204SW02</t>
  </si>
  <si>
    <t>58036657SW01</t>
  </si>
  <si>
    <t>58036656SW01</t>
  </si>
  <si>
    <t>68219362SW01</t>
  </si>
  <si>
    <t>WV</t>
  </si>
  <si>
    <t>68215407SW17</t>
  </si>
  <si>
    <t>68219362SW02</t>
  </si>
  <si>
    <t>58036073SW01</t>
  </si>
  <si>
    <t>58036392SW01</t>
  </si>
  <si>
    <t>58036474SW17</t>
  </si>
  <si>
    <t>58036524SW17</t>
  </si>
  <si>
    <t>58036634SW15</t>
  </si>
  <si>
    <t>MO</t>
  </si>
  <si>
    <t>58037575SW06</t>
  </si>
  <si>
    <t>58038034SW14</t>
  </si>
  <si>
    <t>64234009SW01</t>
  </si>
  <si>
    <t>58038262SW01</t>
  </si>
  <si>
    <t>67035276SW02</t>
  </si>
  <si>
    <t>64229211SW40</t>
  </si>
  <si>
    <t>64229211SW42</t>
  </si>
  <si>
    <t>64229211SW43</t>
  </si>
  <si>
    <t>64229211SW37</t>
  </si>
  <si>
    <t>58039593SW05</t>
  </si>
  <si>
    <t>58039177SW10</t>
  </si>
  <si>
    <t>58039172SW03</t>
  </si>
  <si>
    <t>58039178SW08</t>
  </si>
  <si>
    <t>58039173SW06</t>
  </si>
  <si>
    <t>CT</t>
  </si>
  <si>
    <t>58039501SW11</t>
  </si>
  <si>
    <t>64241512SW01</t>
  </si>
  <si>
    <t>0918</t>
  </si>
  <si>
    <t>21114</t>
  </si>
  <si>
    <t>64243069SW23</t>
  </si>
  <si>
    <t>64243069SW22</t>
  </si>
  <si>
    <t>4199002</t>
  </si>
  <si>
    <t>64194606SW01</t>
  </si>
  <si>
    <t>68216113SW01</t>
  </si>
  <si>
    <t>58038391SW35</t>
  </si>
  <si>
    <t>58038028SW60</t>
  </si>
  <si>
    <t>58038309SW39</t>
  </si>
  <si>
    <t>58038029SW29</t>
  </si>
  <si>
    <t>68186813SW04</t>
  </si>
  <si>
    <t>68228462SW17</t>
  </si>
  <si>
    <t>62164402SW02</t>
  </si>
  <si>
    <t>58038028SW21</t>
  </si>
  <si>
    <t>64233160SW01</t>
  </si>
  <si>
    <t>58038309SW49</t>
  </si>
  <si>
    <t>58038309SW31</t>
  </si>
  <si>
    <t>68228462SW16</t>
  </si>
  <si>
    <t>64230019SW02</t>
  </si>
  <si>
    <t>64218586SW02</t>
  </si>
  <si>
    <t>NY</t>
  </si>
  <si>
    <t>68224082SW02</t>
  </si>
  <si>
    <t>68211044SW42</t>
  </si>
  <si>
    <t>64241433SW02</t>
  </si>
  <si>
    <t>2025/10/30-2025/10/31</t>
  </si>
  <si>
    <t>68244443SW02</t>
  </si>
  <si>
    <t>68237629SW04</t>
  </si>
  <si>
    <t>68237629SW02</t>
  </si>
  <si>
    <t>64238240SW01</t>
  </si>
  <si>
    <t>64242723SW08</t>
  </si>
  <si>
    <t>64242723SW04</t>
  </si>
  <si>
    <t>64238641SW03</t>
  </si>
  <si>
    <t>64241044SW04</t>
  </si>
  <si>
    <t>64242723SW06</t>
  </si>
  <si>
    <t>64242723SW02</t>
  </si>
  <si>
    <t>64241044SW02</t>
  </si>
  <si>
    <t>ID</t>
  </si>
  <si>
    <t>62192235SW01</t>
  </si>
  <si>
    <t>IA</t>
  </si>
  <si>
    <t>67052158SW01</t>
  </si>
  <si>
    <t>62189504SW01</t>
  </si>
  <si>
    <t>NJ</t>
  </si>
  <si>
    <t>68231661SW68</t>
  </si>
  <si>
    <t>GA</t>
  </si>
  <si>
    <t>68217569SW01</t>
  </si>
  <si>
    <t>68226286SW01</t>
  </si>
  <si>
    <t>64222579SW10</t>
  </si>
  <si>
    <t>68231661SW64</t>
  </si>
  <si>
    <t>68231661SW60</t>
  </si>
  <si>
    <t>64243069SW20</t>
  </si>
  <si>
    <t>68242546SW11</t>
  </si>
  <si>
    <t>64230019SW01</t>
  </si>
  <si>
    <t>68231661SW66</t>
  </si>
  <si>
    <t>68229856SW04</t>
  </si>
  <si>
    <t>64205187SW01</t>
  </si>
  <si>
    <t>68231661SW62</t>
  </si>
  <si>
    <t>64222629SW01</t>
  </si>
  <si>
    <t>68232710SW01</t>
  </si>
  <si>
    <t>67049562SW05</t>
  </si>
  <si>
    <t>68210338SW01</t>
  </si>
  <si>
    <t>64228106SW01</t>
  </si>
  <si>
    <t>64243069SW24</t>
  </si>
  <si>
    <t>62174765SW02</t>
  </si>
  <si>
    <t>62186811SW34</t>
  </si>
  <si>
    <t>68188348SW37</t>
  </si>
  <si>
    <t>64189756SW03</t>
  </si>
  <si>
    <t>64218586SW01</t>
  </si>
  <si>
    <t>68188348SW33</t>
  </si>
  <si>
    <t>68229856SW08</t>
  </si>
  <si>
    <t>68229856SW01</t>
  </si>
  <si>
    <t>2025/10/21-2025/10/31</t>
  </si>
  <si>
    <t>68242478SW11</t>
  </si>
  <si>
    <t>68224082SW01</t>
  </si>
  <si>
    <t>68228500SW01</t>
  </si>
  <si>
    <t>68229856SW05</t>
  </si>
  <si>
    <t>68206625SW02</t>
  </si>
  <si>
    <t>68191822SW06</t>
  </si>
  <si>
    <t>68206625SW01</t>
  </si>
  <si>
    <t>64222579SW14</t>
  </si>
  <si>
    <t>68242698SW10</t>
  </si>
  <si>
    <t>62176126SW01</t>
  </si>
  <si>
    <t>64222579SW05</t>
  </si>
  <si>
    <t>64167985SW01</t>
  </si>
  <si>
    <t>K10691820001</t>
  </si>
  <si>
    <t>68186358SW01</t>
  </si>
  <si>
    <t>64200101SW01</t>
  </si>
  <si>
    <t>62191000SW01</t>
  </si>
  <si>
    <t>68198677SW01</t>
  </si>
  <si>
    <t>67049032SW12</t>
  </si>
  <si>
    <t>62186821SW01</t>
  </si>
  <si>
    <t>68194237SW01</t>
  </si>
  <si>
    <t>64166976SW01</t>
  </si>
  <si>
    <t>68243172SW01</t>
  </si>
  <si>
    <t>64242723SW03</t>
  </si>
  <si>
    <t>64241044SW03</t>
  </si>
  <si>
    <t>68239224SW04</t>
  </si>
  <si>
    <t>64242723SW05</t>
  </si>
  <si>
    <t>68239224SW03</t>
  </si>
  <si>
    <t>68237629SW05</t>
  </si>
  <si>
    <t>68237629SW03</t>
  </si>
  <si>
    <t>2025/10/24-2025/10/31</t>
  </si>
  <si>
    <t>64243989SW01</t>
  </si>
  <si>
    <t>64242723SW01</t>
  </si>
  <si>
    <t>64241044SW01</t>
  </si>
  <si>
    <t>64242723SW07</t>
  </si>
  <si>
    <t>68239224SW01</t>
  </si>
  <si>
    <t>64241433SW01</t>
  </si>
  <si>
    <t>68239224SW02</t>
  </si>
  <si>
    <t>68237629SW06</t>
  </si>
  <si>
    <t>68237629SW01</t>
  </si>
  <si>
    <t>68227988SW27</t>
  </si>
  <si>
    <t>68229856SW03</t>
  </si>
  <si>
    <t>58038454SW26</t>
  </si>
  <si>
    <t>68178106SW01</t>
  </si>
  <si>
    <t>64237542SW15</t>
  </si>
  <si>
    <t>58038309SW46</t>
  </si>
  <si>
    <t>58038309SW43</t>
  </si>
  <si>
    <t>58038463SW26</t>
  </si>
  <si>
    <t>58038408SW23</t>
  </si>
  <si>
    <t>58038028SW96</t>
  </si>
  <si>
    <t>58038029SW11</t>
  </si>
  <si>
    <t>58038391SW41</t>
  </si>
  <si>
    <t>58038235SW09</t>
  </si>
  <si>
    <t>58038326SW17</t>
  </si>
  <si>
    <t>58038028SW55</t>
  </si>
  <si>
    <t>58038408SW13</t>
  </si>
  <si>
    <t>68242546SW10</t>
  </si>
  <si>
    <t>68229856SW02</t>
  </si>
  <si>
    <t>68242478SW10</t>
  </si>
  <si>
    <t>58038309SW35</t>
  </si>
  <si>
    <t>58038454SW21</t>
  </si>
  <si>
    <t>68229856SW06</t>
  </si>
  <si>
    <t>64233160SW02</t>
  </si>
  <si>
    <t>68242040SW38</t>
  </si>
  <si>
    <t>64229517SW01</t>
  </si>
  <si>
    <t>68227988SW23</t>
  </si>
  <si>
    <t>K10741740001</t>
  </si>
  <si>
    <t>58038391SW21</t>
  </si>
  <si>
    <t>58038454SW24</t>
  </si>
  <si>
    <t>58038028SW20</t>
  </si>
  <si>
    <t>68229856SW07</t>
  </si>
  <si>
    <t>58038309SW38</t>
  </si>
  <si>
    <t>58038463SW20</t>
  </si>
  <si>
    <t>68243076SW11</t>
  </si>
  <si>
    <t>64238641SW02</t>
  </si>
  <si>
    <t>58026117SW38</t>
  </si>
  <si>
    <t>68184711SW02</t>
  </si>
  <si>
    <t>68228234SW06</t>
  </si>
  <si>
    <t>58038309SW41</t>
  </si>
  <si>
    <t>64230854SW06</t>
  </si>
  <si>
    <t>64230855SW32</t>
  </si>
  <si>
    <t>62164402SW01</t>
  </si>
  <si>
    <t>62185264SW27</t>
  </si>
  <si>
    <t>64230855SW34</t>
  </si>
  <si>
    <t>CO</t>
  </si>
  <si>
    <t>62185265SW10</t>
  </si>
  <si>
    <t>WA</t>
  </si>
  <si>
    <t>62185264SW28</t>
  </si>
  <si>
    <t>68240452SW33</t>
  </si>
  <si>
    <t>64230855SW25</t>
  </si>
  <si>
    <t>62185266SW05</t>
  </si>
  <si>
    <t>68228231SW12</t>
  </si>
  <si>
    <t>68215919SW01</t>
  </si>
  <si>
    <t>68228232SW12</t>
  </si>
  <si>
    <t>68217852SW16</t>
  </si>
  <si>
    <t>UT</t>
  </si>
  <si>
    <t>62185265SW11</t>
  </si>
  <si>
    <t>62185264SW23</t>
  </si>
  <si>
    <t>68193843SW43</t>
  </si>
  <si>
    <t>58038463SW28</t>
  </si>
  <si>
    <t>68240452SW30</t>
  </si>
  <si>
    <t>64188817SW01</t>
  </si>
  <si>
    <t>64238300SW01</t>
  </si>
  <si>
    <t>68211044SW41</t>
  </si>
  <si>
    <t>58038408SW15</t>
  </si>
  <si>
    <t>68228232SW11</t>
  </si>
  <si>
    <t>68189797SW51</t>
  </si>
  <si>
    <t>68242040SW34</t>
  </si>
  <si>
    <t>AZ</t>
  </si>
  <si>
    <t>62185264SW25</t>
  </si>
  <si>
    <t>NH</t>
  </si>
  <si>
    <t>68228231SW09</t>
  </si>
  <si>
    <t>KY</t>
  </si>
  <si>
    <t>64238300SW02</t>
  </si>
  <si>
    <t>68228233SW05</t>
  </si>
  <si>
    <t>64230855SW29</t>
  </si>
  <si>
    <t>68217915SW44</t>
  </si>
  <si>
    <t>64230856SW09</t>
  </si>
  <si>
    <t>64230855SW37</t>
  </si>
  <si>
    <t>OR</t>
  </si>
  <si>
    <t>62185264SW32</t>
  </si>
  <si>
    <t>64230856SW12</t>
  </si>
  <si>
    <t>64230855SW28</t>
  </si>
  <si>
    <t>68189671SW41</t>
  </si>
  <si>
    <t>OVERAGES</t>
  </si>
  <si>
    <t>68188312SW33</t>
  </si>
  <si>
    <t>64202345SW13</t>
  </si>
  <si>
    <t>64191811SW09</t>
  </si>
  <si>
    <t>64194633SW05</t>
  </si>
  <si>
    <t>AR</t>
  </si>
  <si>
    <t>64196381SW01</t>
  </si>
  <si>
    <t>64184249SW02</t>
  </si>
  <si>
    <t>68192959SW24</t>
  </si>
  <si>
    <t>68188312SW25</t>
  </si>
  <si>
    <t>64208630SW12</t>
  </si>
  <si>
    <t>68178562SW02</t>
  </si>
  <si>
    <t>64205613SW06</t>
  </si>
  <si>
    <t>64192062SW37</t>
  </si>
  <si>
    <t>MS</t>
  </si>
  <si>
    <t>64184342SW10</t>
  </si>
  <si>
    <t>68197027SW11</t>
  </si>
  <si>
    <t>68211044SW19</t>
  </si>
  <si>
    <t>38124089SW06</t>
  </si>
  <si>
    <t>68217777SW21</t>
  </si>
  <si>
    <t>64192062SW40</t>
  </si>
  <si>
    <t>64190442SW14</t>
  </si>
  <si>
    <t>68217940SW61</t>
  </si>
  <si>
    <t>68217974SW57</t>
  </si>
  <si>
    <t>68217974SW60</t>
  </si>
  <si>
    <t>WY</t>
  </si>
  <si>
    <t>38124089SW11</t>
  </si>
  <si>
    <t>68212725SW01</t>
  </si>
  <si>
    <t>68217940SW64</t>
  </si>
  <si>
    <t>64192183SW12</t>
  </si>
  <si>
    <t>68217951SW29</t>
  </si>
  <si>
    <t>64192126SW08</t>
  </si>
  <si>
    <t>68217777SW15</t>
  </si>
  <si>
    <t>K10701600002</t>
  </si>
  <si>
    <t>68217963SW15</t>
  </si>
  <si>
    <t>68217951SW32</t>
  </si>
  <si>
    <t>68192959SW17</t>
  </si>
  <si>
    <t>68210512SW11</t>
  </si>
  <si>
    <t>68157703SW02</t>
  </si>
  <si>
    <t>68211053SW53</t>
  </si>
  <si>
    <t>68207051SW02</t>
  </si>
  <si>
    <t>62178484SW07</t>
  </si>
  <si>
    <t>64202342SW14</t>
  </si>
  <si>
    <t>38118245SW08</t>
  </si>
  <si>
    <t>68217974SW65</t>
  </si>
  <si>
    <t>64195085SW08</t>
  </si>
  <si>
    <t>64213138SW07</t>
  </si>
  <si>
    <t>68217963SW16</t>
  </si>
  <si>
    <t>68217915SW46</t>
  </si>
  <si>
    <t>68157621SW02</t>
  </si>
  <si>
    <t>68197027SW10</t>
  </si>
  <si>
    <t>64226714SW01</t>
  </si>
  <si>
    <t>62180420SW27</t>
  </si>
  <si>
    <t>68217777SW18</t>
  </si>
  <si>
    <t>JUNE OVERAGES</t>
  </si>
  <si>
    <t>68217974SW61</t>
  </si>
  <si>
    <t>68157703SW04</t>
  </si>
  <si>
    <t>68192959SW27</t>
  </si>
  <si>
    <t>68160127SW02</t>
  </si>
  <si>
    <t>64170801SW01</t>
  </si>
  <si>
    <t>68223304SW02</t>
  </si>
  <si>
    <t>68227237SW02</t>
  </si>
  <si>
    <t>68233442SW01</t>
  </si>
  <si>
    <t>68227988SW28</t>
  </si>
  <si>
    <t>68223304SW01</t>
  </si>
  <si>
    <t>68227988SW34</t>
  </si>
  <si>
    <t>68228477SW30</t>
  </si>
  <si>
    <t>58038028SW32</t>
  </si>
  <si>
    <t>68227664SW23</t>
  </si>
  <si>
    <t>64232304SW01</t>
  </si>
  <si>
    <t>64237900SW01</t>
  </si>
  <si>
    <t>68227237SW01</t>
  </si>
  <si>
    <t>68238929SW01</t>
  </si>
  <si>
    <t>62192211SW01</t>
  </si>
  <si>
    <t>64235251SW06</t>
  </si>
  <si>
    <t>64233160SW03</t>
  </si>
  <si>
    <t>68223304SW04</t>
  </si>
  <si>
    <t>68227988SW24</t>
  </si>
  <si>
    <t>68223304SW03</t>
  </si>
  <si>
    <t>68244443SW01</t>
  </si>
  <si>
    <t>62192038SW01</t>
  </si>
  <si>
    <t>68223382SW01</t>
  </si>
  <si>
    <t>58038454SW22</t>
  </si>
  <si>
    <t>58039547SW05</t>
  </si>
  <si>
    <t>62189519SW01</t>
  </si>
  <si>
    <t>68233442SW02</t>
  </si>
  <si>
    <t>62183766SW11</t>
  </si>
  <si>
    <t>64200760SW01</t>
  </si>
  <si>
    <t>68178106SW04</t>
  </si>
  <si>
    <t>64194973SW02</t>
  </si>
  <si>
    <t>38115113SW01</t>
  </si>
  <si>
    <t>68217307SW01</t>
  </si>
  <si>
    <t>68217307SW04</t>
  </si>
  <si>
    <t>68217307SW09</t>
  </si>
  <si>
    <t>68216194SW01</t>
  </si>
  <si>
    <t>68217522SW12</t>
  </si>
  <si>
    <t>38115113SW03</t>
  </si>
  <si>
    <t>68217307SW03</t>
  </si>
  <si>
    <t>68200338SW01</t>
  </si>
  <si>
    <t>64200760SW02</t>
  </si>
  <si>
    <t>68216120SW01</t>
  </si>
  <si>
    <t>68217307SW02</t>
  </si>
  <si>
    <t>68217307SW05</t>
  </si>
  <si>
    <t>68217307SW07</t>
  </si>
  <si>
    <t>68217307SW10</t>
  </si>
  <si>
    <t>68213851SW15</t>
  </si>
  <si>
    <t>62158161SW11</t>
  </si>
  <si>
    <t>68217307SW08</t>
  </si>
  <si>
    <t>64185774SW01</t>
  </si>
  <si>
    <t>68214515SW04</t>
  </si>
  <si>
    <t>68171923SW01</t>
  </si>
  <si>
    <t>68192220SW51</t>
  </si>
  <si>
    <t>68206186SW01</t>
  </si>
  <si>
    <t>68217307SW06</t>
  </si>
  <si>
    <t>68185848SW01</t>
  </si>
  <si>
    <t>68192220SW30</t>
  </si>
  <si>
    <t>68192235SW07</t>
  </si>
  <si>
    <t>68211053SW35</t>
  </si>
  <si>
    <t>68178106SW03</t>
  </si>
  <si>
    <t>68189742SW06</t>
  </si>
  <si>
    <t>68217940SW57</t>
  </si>
  <si>
    <t>64202282SW02</t>
  </si>
  <si>
    <t>68178106SW02</t>
  </si>
  <si>
    <t>64209915SW01</t>
  </si>
  <si>
    <t>64207269SW01</t>
  </si>
  <si>
    <t>58038028SW90</t>
  </si>
  <si>
    <t>64202282SW03</t>
  </si>
  <si>
    <t>58038391SW39</t>
  </si>
  <si>
    <t>64229510SW01</t>
  </si>
  <si>
    <t>68180070SW01</t>
  </si>
  <si>
    <t>68228462SW22</t>
  </si>
  <si>
    <t>64228395SW15</t>
  </si>
  <si>
    <t>64226832SW03</t>
  </si>
  <si>
    <t>64169883SW06</t>
  </si>
  <si>
    <t>38095589SW04</t>
  </si>
  <si>
    <t>68227988SW26</t>
  </si>
  <si>
    <t>64179631SW21</t>
  </si>
  <si>
    <t>58038454SW27</t>
  </si>
  <si>
    <t>58038463SW19</t>
  </si>
  <si>
    <t>64222579SW23</t>
  </si>
  <si>
    <t>67034958SW03</t>
  </si>
  <si>
    <t>68219881SW01</t>
  </si>
  <si>
    <t>68163560SW01</t>
  </si>
  <si>
    <t>68235305SW36</t>
  </si>
  <si>
    <t>58038391SW27</t>
  </si>
  <si>
    <t>64169188SW01</t>
  </si>
  <si>
    <t>68239649SW02</t>
  </si>
  <si>
    <t>64222579SW06</t>
  </si>
  <si>
    <t>64222579SW27</t>
  </si>
  <si>
    <t>64169910SW03</t>
  </si>
  <si>
    <t>64222579SW17</t>
  </si>
  <si>
    <t>68189788SW29</t>
  </si>
  <si>
    <t>68162671SW02</t>
  </si>
  <si>
    <t>64227692SW34</t>
  </si>
  <si>
    <t>64227720SW69</t>
  </si>
  <si>
    <t>64227720SW63</t>
  </si>
  <si>
    <t>68164285SW01</t>
  </si>
  <si>
    <t>64170124SW01</t>
  </si>
  <si>
    <t>64170203SW01</t>
  </si>
  <si>
    <t>64169518SW01</t>
  </si>
  <si>
    <t>58038408SW17</t>
  </si>
  <si>
    <t>64222579SW26</t>
  </si>
  <si>
    <t>62142533SW01</t>
  </si>
  <si>
    <t>64222579SW16</t>
  </si>
  <si>
    <t>58039655SW67</t>
  </si>
  <si>
    <t>64222579SW19</t>
  </si>
  <si>
    <t>68162952SW01</t>
  </si>
  <si>
    <t>64222579SW25</t>
  </si>
  <si>
    <t>64222579SW07</t>
  </si>
  <si>
    <t>68235305SW44</t>
  </si>
  <si>
    <t>64186378SW19</t>
  </si>
  <si>
    <t>68235305SW26</t>
  </si>
  <si>
    <t>64169434SW07</t>
  </si>
  <si>
    <t>67035328SW03</t>
  </si>
  <si>
    <t>58038408SW25</t>
  </si>
  <si>
    <t>68175284SW01</t>
  </si>
  <si>
    <t>68189788SW31</t>
  </si>
  <si>
    <t>64222579SW13</t>
  </si>
  <si>
    <t>64222579SW21</t>
  </si>
  <si>
    <t>58039655SW36</t>
  </si>
  <si>
    <t>64222579SW18</t>
  </si>
  <si>
    <t>64227692SW38</t>
  </si>
  <si>
    <t>64227692SW35</t>
  </si>
  <si>
    <t>64169434SW06</t>
  </si>
  <si>
    <t>64169441SW01</t>
  </si>
  <si>
    <t>68239818SW54</t>
  </si>
  <si>
    <t>38095635SW04</t>
  </si>
  <si>
    <t>62163740SW01</t>
  </si>
  <si>
    <t>58038326SW13</t>
  </si>
  <si>
    <t>58038463SW21</t>
  </si>
  <si>
    <t>58038326SW11</t>
  </si>
  <si>
    <t>62142533SW02</t>
  </si>
  <si>
    <t>64169830SW04</t>
  </si>
  <si>
    <t>68163551SW02</t>
  </si>
  <si>
    <t>68164269SW04</t>
  </si>
  <si>
    <t>67035004SW05</t>
  </si>
  <si>
    <t>68237938SW01</t>
  </si>
  <si>
    <t>68163825SW03</t>
  </si>
  <si>
    <t>68163484SW04</t>
  </si>
  <si>
    <t>68211655SW01</t>
  </si>
  <si>
    <t>58038408SW26</t>
  </si>
  <si>
    <t>68163056SW04</t>
  </si>
  <si>
    <t>68189797SW50</t>
  </si>
  <si>
    <t>38095578SW04</t>
  </si>
  <si>
    <t>68163823SW01</t>
  </si>
  <si>
    <t>64222579SW15</t>
  </si>
  <si>
    <t>68163344SW01</t>
  </si>
  <si>
    <t>64209710SW24</t>
  </si>
  <si>
    <t>68235305SW48</t>
  </si>
  <si>
    <t>68235305SW32</t>
  </si>
  <si>
    <t>64227711SW41</t>
  </si>
  <si>
    <t>64227720SW61</t>
  </si>
  <si>
    <t>68163145SW02</t>
  </si>
  <si>
    <t>64180854SW03</t>
  </si>
  <si>
    <t>64169966SW01</t>
  </si>
  <si>
    <t>68163935SW01</t>
  </si>
  <si>
    <t>64222579SW08</t>
  </si>
  <si>
    <t>64169961SW01</t>
  </si>
  <si>
    <t>68164058SW03</t>
  </si>
  <si>
    <t>64170539SW01</t>
  </si>
  <si>
    <t>64169455SW04</t>
  </si>
  <si>
    <t>62184080SW34</t>
  </si>
  <si>
    <t>68203324SW11</t>
  </si>
  <si>
    <t>64169487SW07</t>
  </si>
  <si>
    <t>64169965SW01</t>
  </si>
  <si>
    <t>68162917SW06</t>
  </si>
  <si>
    <t>58038454SW28</t>
  </si>
  <si>
    <t>38106699SW05</t>
  </si>
  <si>
    <t>68230019SW14</t>
  </si>
  <si>
    <t>68239649SW01</t>
  </si>
  <si>
    <t>64222579SW20</t>
  </si>
  <si>
    <t>64222579SW24</t>
  </si>
  <si>
    <t>64222579SW02</t>
  </si>
  <si>
    <t>64238570SW02</t>
  </si>
  <si>
    <t>58026309SW22</t>
  </si>
  <si>
    <t>68163757SW02</t>
  </si>
  <si>
    <t>68237105SW20</t>
  </si>
  <si>
    <t>68203870SW47</t>
  </si>
  <si>
    <t>68203854SW23</t>
  </si>
  <si>
    <t>67060780SW01</t>
  </si>
  <si>
    <t>68220419SW16</t>
  </si>
  <si>
    <t>68183029SW09</t>
  </si>
  <si>
    <t>64185475SW32</t>
  </si>
  <si>
    <t>64185476SW09</t>
  </si>
  <si>
    <t>64169978SW03</t>
  </si>
  <si>
    <t>68242040SW36</t>
  </si>
  <si>
    <t>68164274SW01</t>
  </si>
  <si>
    <t>62193800SW42</t>
  </si>
  <si>
    <t>68203900SW38</t>
  </si>
  <si>
    <t>38095648SW03</t>
  </si>
  <si>
    <t>62193792SW13</t>
  </si>
  <si>
    <t>58037686SW33</t>
  </si>
  <si>
    <t>58034345SW02</t>
  </si>
  <si>
    <t>68242040SW41</t>
  </si>
  <si>
    <t>58034345SW14</t>
  </si>
  <si>
    <t>64185475SW26</t>
  </si>
  <si>
    <t>64238640SW15</t>
  </si>
  <si>
    <t>68203919SW45</t>
  </si>
  <si>
    <t>68203870SW49</t>
  </si>
  <si>
    <t>62193800SW35</t>
  </si>
  <si>
    <t>62193792SW04</t>
  </si>
  <si>
    <t>68203870SW46</t>
  </si>
  <si>
    <t>58034345SW11</t>
  </si>
  <si>
    <t>68203927SW45</t>
  </si>
  <si>
    <t>58034345SW05</t>
  </si>
  <si>
    <t>62184178SW14</t>
  </si>
  <si>
    <t>64185475SW29</t>
  </si>
  <si>
    <t>62193790SW93</t>
  </si>
  <si>
    <t>38119956SW11</t>
  </si>
  <si>
    <t>62142722SW03</t>
  </si>
  <si>
    <t>68181366SW09</t>
  </si>
  <si>
    <t>68237734SW22</t>
  </si>
  <si>
    <t>62193792SW07</t>
  </si>
  <si>
    <t>62193792SW12</t>
  </si>
  <si>
    <t>68181366SW18</t>
  </si>
  <si>
    <t>64199490SW02</t>
  </si>
  <si>
    <t>64208124SW01</t>
  </si>
  <si>
    <t>58034345SW17</t>
  </si>
  <si>
    <t>58037686SW26</t>
  </si>
  <si>
    <t>62193800SW32</t>
  </si>
  <si>
    <t>JM</t>
  </si>
  <si>
    <t>64226223SW58</t>
  </si>
  <si>
    <t>68238027SW03</t>
  </si>
  <si>
    <t>58033653SW04</t>
  </si>
  <si>
    <t>68203927SW49</t>
  </si>
  <si>
    <t>68211112SW24</t>
  </si>
  <si>
    <t>68225289SW26</t>
  </si>
  <si>
    <t>58034345SW08</t>
  </si>
  <si>
    <t>64226223SW66</t>
  </si>
  <si>
    <t>NV</t>
  </si>
  <si>
    <t>62167401SW32</t>
  </si>
  <si>
    <t>64182692SW07</t>
  </si>
  <si>
    <t>64217992SW01</t>
  </si>
  <si>
    <t>68236803SW16</t>
  </si>
  <si>
    <t>64217695SW15</t>
  </si>
  <si>
    <t>68240452SW36</t>
  </si>
  <si>
    <t>64199598SW11</t>
  </si>
  <si>
    <t>67041379SW03</t>
  </si>
  <si>
    <t>68180035SW01</t>
  </si>
  <si>
    <t>68185719SW03</t>
  </si>
  <si>
    <t>68235472SW01</t>
  </si>
  <si>
    <t>64235014SW38</t>
  </si>
  <si>
    <t>00200565SW02</t>
  </si>
  <si>
    <t>00201724SW01</t>
  </si>
  <si>
    <t>00200283SW05</t>
  </si>
  <si>
    <t>64216695SW02</t>
  </si>
  <si>
    <t>62175746SW02</t>
  </si>
  <si>
    <t>68187586SW02</t>
  </si>
  <si>
    <t>Secondary</t>
  </si>
  <si>
    <t>CM Comments on process:</t>
  </si>
  <si>
    <t>Looked in contract detail and pulled all contract lines associated to the CMF number for the call tracking catalogs in scope. Based on manual review, determined that the most recent contract line was either in ANS or Loss status which means CDK is not billing the customer but the vendor is still billing CDK</t>
  </si>
  <si>
    <t>Same comment as in row 4 but we worked with contract team to get more information.</t>
  </si>
  <si>
    <t>When I pulled contract detail I pulled all catalogs for call tracking and not just Car wars so I noticed the customer had an active call revu contract line</t>
  </si>
  <si>
    <t>This is just math - flagged anything with a negative margin</t>
  </si>
  <si>
    <t>same comment as in row 4 but received more information from Leigh Broomberg on the cancellation. She works with the vendor to cancel the lines if needed. This was the date Leigh sent the cancellation to car wars but it doesn't appear the cancellation happened as we were still billed.</t>
  </si>
  <si>
    <t>same comment as in row 4 but received more information from Leigh Broomberg on the cancellation. She works with the vendor to cancel the lines if needed.</t>
  </si>
  <si>
    <t>Just based on math - used 30% as 30% was the expected target for this vendor</t>
  </si>
  <si>
    <t>Bad grouping. Should have used the same grouping as row 20</t>
  </si>
  <si>
    <t>Should have probably been included in negative margin group</t>
  </si>
  <si>
    <t>These should have been assigned to one of the margin categories</t>
  </si>
  <si>
    <t>This is just math - flagged anything with a negative margin. However information from Leigh Broomberg said see sent cancellation in sep but it was never cancelled on car wars side</t>
  </si>
  <si>
    <t>Billing amount from carwars was $0 so didn't investigate these lines further</t>
  </si>
  <si>
    <t>Could not identify a CMF that matched. First did a match to contract detail/ invoice detail based on customer name as it appears on the invoice, then used data warehouse customer lookup to parts of customer name to see if I find a match. For this vendor, I also asked the vendor for address and tried to match address or parts of address to contract detail. As a last step I determined if there was any customers we were billing that we didn't have a match for and tired to see if those 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</si>
</sst>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quot;$&quot;#,##0.00_);[Red]\(&quot;$&quot;#,##0.00\)"/>
    <numFmt numFmtId="165" formatCode="_(&quot;$&quot;* #,##0.00_);_(&quot;$&quot;* \(#,##0.00\);_(&quot;$&quot;* &quot;-&quot;??_);_(@_)"/>
    <numFmt numFmtId="166" formatCode="_(* #,##0.00_);_(* \(#,##0.00\);_(* &quot;-&quot;??_);_(@_)"/>
    <numFmt numFmtId="167" formatCode="_(* #,##0.0_);_(* \(#,##0.0\);_(* &quot;-&quot;??_);_(@_)"/>
    <numFmt numFmtId="168" formatCode="[$$-409]#,##0.00;\([$$-409]#,##0.00\)"/>
    <numFmt numFmtId="169" formatCode="#0"/>
    <numFmt numFmtId="170" formatCode="0.0%"/>
    <numFmt numFmtId="171" formatCode="mm/dd/yy"/>
  </numFmts>
  <fonts count="12"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8"/>
      <color theme="1"/>
      <name val="Tahoma"/>
      <family val="2"/>
    </font>
    <font>
      <sz val="11"/>
      <name val="Aptos Narrow"/>
      <family val="2"/>
    </font>
    <font>
      <sz val="11"/>
      <color rgb="FF9C5700"/>
      <name val="Calibri"/>
      <family val="2"/>
      <scheme val="minor"/>
    </font>
    <font>
      <b/>
      <sz val="10"/>
      <name val="Arial"/>
      <family val="2"/>
    </font>
    <font>
      <b/>
      <u/>
      <sz val="11"/>
      <color theme="1"/>
      <name val="Calibri"/>
      <family val="2"/>
      <scheme val="minor"/>
    </font>
  </fonts>
  <fills count="7">
    <fill>
      <patternFill patternType="none"/>
    </fill>
    <fill>
      <patternFill patternType="gray125"/>
    </fill>
    <fill>
      <patternFill patternType="solid">
        <fgColor rgb="FFFFC000"/>
        <bgColor indexed="64"/>
      </patternFill>
    </fill>
    <fill>
      <patternFill patternType="solid">
        <fgColor rgb="FFBFD2E2"/>
      </patternFill>
    </fill>
    <fill>
      <patternFill patternType="solid">
        <fgColor rgb="FFFFFF00"/>
        <bgColor indexed="64"/>
      </patternFill>
    </fill>
    <fill>
      <patternFill patternType="solid">
        <fgColor theme="0"/>
        <bgColor indexed="64"/>
      </patternFill>
    </fill>
    <fill>
      <patternFill patternType="solid">
        <fgColor rgb="FFFFEB9C"/>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rgb="FF608BB4"/>
      </left>
      <right style="medium">
        <color rgb="FF608BB4"/>
      </right>
      <top style="medium">
        <color rgb="FF608BB4"/>
      </top>
      <bottom style="medium">
        <color rgb="FF608BB4"/>
      </bottom>
      <diagonal/>
    </border>
    <border>
      <left style="medium">
        <color rgb="FFCCCCCC"/>
      </left>
      <right style="medium">
        <color rgb="FFCCCCCC"/>
      </right>
      <top/>
      <bottom style="medium">
        <color rgb="FFCCCCCC"/>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7">
    <xf numFmtId="0" fontId="0" fillId="0" borderId="1">
      <alignment wrapText="1"/>
    </xf>
    <xf numFmtId="166" fontId="6" fillId="0" borderId="0" applyFont="0" applyFill="0" applyBorder="0" applyAlignment="0" applyProtection="0"/>
    <xf numFmtId="165" fontId="3" fillId="0" borderId="0" applyFont="0" applyFill="0" applyBorder="0" applyAlignment="0" applyProtection="0"/>
    <xf numFmtId="9" fontId="4" fillId="0" borderId="0" applyFont="0" applyFill="0" applyBorder="0" applyAlignment="0" applyProtection="0"/>
    <xf numFmtId="0" fontId="3" fillId="0" borderId="0"/>
    <xf numFmtId="0" fontId="8" fillId="0" borderId="0"/>
    <xf numFmtId="0" fontId="9" fillId="6" borderId="0" applyNumberFormat="0" applyBorder="0" applyAlignment="0" applyProtection="0"/>
  </cellStyleXfs>
  <cellXfs count="66">
    <xf numFmtId="0" fontId="0" fillId="0" borderId="1" xfId="0">
      <alignment wrapText="1"/>
    </xf>
    <xf numFmtId="0" fontId="0" fillId="0" borderId="1" xfId="0" applyAlignment="1"/>
    <xf numFmtId="0" fontId="5" fillId="2" borderId="1" xfId="0" applyFont="1" applyFill="1" applyAlignment="1"/>
    <xf numFmtId="165" fontId="0" fillId="0" borderId="1" xfId="2" applyFont="1" applyBorder="1" applyAlignment="1"/>
    <xf numFmtId="0" fontId="5" fillId="0" borderId="0" xfId="4" applyFont="1"/>
    <xf numFmtId="166" fontId="0" fillId="2" borderId="0" xfId="1" applyFont="1" applyFill="1"/>
    <xf numFmtId="0" fontId="3" fillId="0" borderId="0" xfId="4"/>
    <xf numFmtId="166" fontId="5" fillId="2" borderId="0" xfId="1" applyFont="1" applyFill="1"/>
    <xf numFmtId="0" fontId="0" fillId="2" borderId="1" xfId="0" applyFill="1" applyAlignment="1"/>
    <xf numFmtId="0" fontId="0" fillId="0" borderId="0" xfId="0" pivotButton="1" applyBorder="1" applyAlignment="1"/>
    <xf numFmtId="0" fontId="0" fillId="0" borderId="0" xfId="0" applyBorder="1" applyAlignment="1"/>
    <xf numFmtId="165" fontId="3" fillId="0" borderId="0" xfId="2"/>
    <xf numFmtId="0" fontId="7" fillId="3" borderId="2" xfId="0" applyFont="1" applyFill="1" applyBorder="1" applyAlignment="1">
      <alignment horizontal="center" vertical="top"/>
    </xf>
    <xf numFmtId="0" fontId="7" fillId="0" borderId="3" xfId="0" applyFont="1" applyBorder="1" applyAlignment="1">
      <alignment horizontal="left" vertical="top"/>
    </xf>
    <xf numFmtId="168" fontId="7" fillId="0" borderId="3" xfId="0" applyNumberFormat="1" applyFont="1" applyBorder="1" applyAlignment="1">
      <alignment horizontal="right" vertical="top"/>
    </xf>
    <xf numFmtId="3" fontId="7" fillId="0" borderId="3" xfId="0" applyNumberFormat="1" applyFont="1" applyBorder="1" applyAlignment="1">
      <alignment horizontal="right" vertical="top"/>
    </xf>
    <xf numFmtId="0" fontId="0" fillId="0" borderId="3" xfId="0" applyBorder="1" applyAlignment="1"/>
    <xf numFmtId="169" fontId="7" fillId="0" borderId="3" xfId="0" applyNumberFormat="1" applyFont="1" applyBorder="1" applyAlignment="1">
      <alignment horizontal="left" vertical="top"/>
    </xf>
    <xf numFmtId="0" fontId="0" fillId="0" borderId="1" xfId="0" pivotButton="1" applyAlignment="1"/>
    <xf numFmtId="165" fontId="0" fillId="0" borderId="1" xfId="0" applyNumberFormat="1" applyAlignment="1"/>
    <xf numFmtId="14" fontId="3" fillId="0" borderId="0" xfId="4" applyNumberFormat="1"/>
    <xf numFmtId="171" fontId="7" fillId="0" borderId="3" xfId="0" applyNumberFormat="1" applyFont="1" applyBorder="1" applyAlignment="1">
      <alignment horizontal="left" vertical="top"/>
    </xf>
    <xf numFmtId="4" fontId="7" fillId="0" borderId="3" xfId="0" applyNumberFormat="1" applyFont="1" applyBorder="1" applyAlignment="1">
      <alignment horizontal="right" vertical="top"/>
    </xf>
    <xf numFmtId="0" fontId="3" fillId="4" borderId="0" xfId="4" applyFill="1"/>
    <xf numFmtId="165" fontId="5" fillId="0" borderId="0" xfId="2" applyFont="1" applyFill="1"/>
    <xf numFmtId="165" fontId="3" fillId="0" borderId="0" xfId="2" applyFill="1"/>
    <xf numFmtId="165" fontId="3" fillId="0" borderId="0" xfId="4" applyNumberFormat="1"/>
    <xf numFmtId="0" fontId="3" fillId="0" borderId="4" xfId="4" applyBorder="1"/>
    <xf numFmtId="14" fontId="0" fillId="0" borderId="4" xfId="0" applyNumberFormat="1" applyBorder="1" applyAlignment="1"/>
    <xf numFmtId="14" fontId="0" fillId="0" borderId="4" xfId="0" applyNumberFormat="1" applyBorder="1" applyAlignment="1">
      <alignment horizontal="left"/>
    </xf>
    <xf numFmtId="0" fontId="3" fillId="0" borderId="0" xfId="4" applyAlignment="1">
      <alignment horizontal="center"/>
    </xf>
    <xf numFmtId="0" fontId="3" fillId="0" borderId="0" xfId="4" applyAlignment="1">
      <alignment horizontal="right"/>
    </xf>
    <xf numFmtId="0" fontId="0" fillId="0" borderId="1" xfId="0" pivotButton="1">
      <alignment wrapText="1"/>
    </xf>
    <xf numFmtId="0" fontId="0" fillId="0" borderId="1" xfId="0" applyAlignment="1">
      <alignment horizontal="left" wrapText="1"/>
    </xf>
    <xf numFmtId="0" fontId="2" fillId="0" borderId="0" xfId="0" applyFont="1" applyBorder="1" applyAlignment="1"/>
    <xf numFmtId="164" fontId="3" fillId="0" borderId="0" xfId="4" applyNumberFormat="1"/>
    <xf numFmtId="0" fontId="5" fillId="5" borderId="0" xfId="4" applyFont="1" applyFill="1"/>
    <xf numFmtId="14" fontId="5" fillId="5" borderId="0" xfId="4" applyNumberFormat="1" applyFont="1" applyFill="1"/>
    <xf numFmtId="0" fontId="5" fillId="4" borderId="0" xfId="4" applyFont="1" applyFill="1" applyAlignment="1">
      <alignment horizontal="center"/>
    </xf>
    <xf numFmtId="0" fontId="5" fillId="4" borderId="1" xfId="4" applyFont="1" applyFill="1" applyBorder="1" applyAlignment="1">
      <alignment horizontal="center"/>
    </xf>
    <xf numFmtId="14" fontId="5" fillId="4" borderId="1" xfId="4" applyNumberFormat="1" applyFont="1" applyFill="1" applyBorder="1" applyAlignment="1">
      <alignment horizontal="center"/>
    </xf>
    <xf numFmtId="165" fontId="5" fillId="4" borderId="1" xfId="2" applyFont="1" applyFill="1" applyBorder="1" applyAlignment="1">
      <alignment horizontal="center"/>
    </xf>
    <xf numFmtId="0" fontId="9" fillId="6" borderId="0" xfId="6"/>
    <xf numFmtId="0" fontId="9" fillId="6" borderId="0" xfId="6" quotePrefix="1"/>
    <xf numFmtId="14" fontId="9" fillId="6" borderId="0" xfId="6" applyNumberFormat="1"/>
    <xf numFmtId="165" fontId="9" fillId="6" borderId="0" xfId="6" applyNumberFormat="1"/>
    <xf numFmtId="0" fontId="9" fillId="6" borderId="0" xfId="6" applyAlignment="1">
      <alignment horizontal="center"/>
    </xf>
    <xf numFmtId="167" fontId="2" fillId="0" borderId="0" xfId="1" applyNumberFormat="1" applyFont="1" applyFill="1"/>
    <xf numFmtId="170" fontId="2" fillId="0" borderId="0" xfId="3" applyNumberFormat="1" applyFont="1" applyFill="1"/>
    <xf numFmtId="0" fontId="2" fillId="0" borderId="0" xfId="4" applyFont="1"/>
    <xf numFmtId="0" fontId="2" fillId="0" borderId="0" xfId="4" quotePrefix="1" applyFont="1"/>
    <xf numFmtId="0" fontId="2" fillId="0" borderId="0" xfId="4" quotePrefix="1" applyFont="1" applyAlignment="1">
      <alignment horizontal="center"/>
    </xf>
    <xf numFmtId="14" fontId="2" fillId="0" borderId="0" xfId="4" applyNumberFormat="1" applyFont="1"/>
    <xf numFmtId="0" fontId="2" fillId="4" borderId="0" xfId="4" applyFont="1" applyFill="1"/>
    <xf numFmtId="0" fontId="0" fillId="0" borderId="5" xfId="0" applyBorder="1">
      <alignment wrapText="1"/>
    </xf>
    <xf numFmtId="0" fontId="0" fillId="0" borderId="6" xfId="0" applyBorder="1">
      <alignment wrapText="1"/>
    </xf>
    <xf numFmtId="0" fontId="0" fillId="0" borderId="7" xfId="0" applyBorder="1">
      <alignment wrapText="1"/>
    </xf>
    <xf numFmtId="0" fontId="0" fillId="0" borderId="8" xfId="0" applyBorder="1">
      <alignment wrapText="1"/>
    </xf>
    <xf numFmtId="0" fontId="0" fillId="0" borderId="9" xfId="0" applyBorder="1">
      <alignment wrapText="1"/>
    </xf>
    <xf numFmtId="0" fontId="0" fillId="0" borderId="10" xfId="0" applyBorder="1">
      <alignment wrapText="1"/>
    </xf>
    <xf numFmtId="0" fontId="10" fillId="0" borderId="1" xfId="0" applyFont="1">
      <alignment wrapText="1"/>
    </xf>
    <xf numFmtId="0" fontId="1" fillId="0" borderId="0" xfId="4" applyFont="1"/>
    <xf numFmtId="0" fontId="11" fillId="0" borderId="0" xfId="4" applyFont="1"/>
    <xf numFmtId="0" fontId="1" fillId="0" borderId="0" xfId="4" applyFont="1" applyAlignment="1">
      <alignment wrapText="1"/>
    </xf>
    <xf numFmtId="0" fontId="2" fillId="0" borderId="0" xfId="0" applyFont="1" applyBorder="1" applyAlignment="1">
      <alignment vertical="center"/>
    </xf>
    <xf numFmtId="0" fontId="5" fillId="4" borderId="0" xfId="4" applyFont="1" applyFill="1" applyAlignment="1">
      <alignment horizontal="center"/>
    </xf>
  </cellXfs>
  <cellStyles count="7">
    <cellStyle name="Comma" xfId="1" builtinId="3"/>
    <cellStyle name="Currency" xfId="2" builtinId="4"/>
    <cellStyle name="Neutral" xfId="6" builtinId="28"/>
    <cellStyle name="Normal" xfId="0" builtinId="0"/>
    <cellStyle name="Normal 2" xfId="5" xr:uid="{8A164CFA-2AD4-4949-B6EE-A4EF1C78E752}"/>
    <cellStyle name="Normal 2 2 2 19" xfId="4" xr:uid="{F6405F54-5153-45C3-94BA-81B961DFD61D}"/>
    <cellStyle name="Percent" xfId="3" builtinId="5"/>
  </cellStyles>
  <dxfs count="12417">
    <dxf>
      <numFmt numFmtId="172" formatCode="m/d/yyyy"/>
    </dxf>
    <dxf>
      <numFmt numFmtId="172" formatCode="m/d/yyyy"/>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numFmt numFmtId="165" formatCode="_(&quot;$&quot;* #,##0.00_);_(&quot;$&quot;* \(#,##0.00\);_(&quot;$&quot;* &quot;-&quot;??_);_(@_)"/>
    </dxf>
    <dxf>
      <numFmt numFmtId="165" formatCode="_(&quot;$&quot;* #,##0.00_);_(&quot;$&quot;* \(#,##0.00\);_(&quot;$&quot;* &quot;-&quot;??_);_(@_)"/>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165" formatCode="_(&quot;$&quot;* #,##0.00_);_(&quot;$&quot;* \(#,##0.00\);_(&quot;$&quot;* &quot;-&quot;??_);_(@_)"/>
    </dxf>
    <dxf>
      <numFmt numFmtId="165" formatCode="_(&quot;$&quot;* #,##0.00_);_(&quot;$&quot;* \(#,##0.00\);_(&quot;$&quot;* &quot;-&quot;??_);_(@_)"/>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165" formatCode="_(&quot;$&quot;* #,##0.00_);_(&quot;$&quot;* \(#,##0.00\);_(&quot;$&quot;* &quot;-&quot;??_);_(@_)"/>
    </dxf>
    <dxf>
      <numFmt numFmtId="165" formatCode="_(&quot;$&quot;* #,##0.00_);_(&quot;$&quot;* \(#,##0.00\);_(&quot;$&quot;* &quot;-&quot;??_);_(@_)"/>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165" formatCode="_(&quot;$&quot;* #,##0.00_);_(&quot;$&quot;* \(#,##0.00\);_(&quot;$&quot;* &quot;-&quot;??_);_(@_)"/>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border diagonalUp="0" diagonalDown="0">
        <left style="thin">
          <color indexed="64"/>
        </left>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right style="thin">
          <color indexed="64"/>
        </right>
        <top style="thin">
          <color indexed="64"/>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border>
    </dxf>
    <dxf>
      <border>
        <left/>
        <right/>
        <top/>
        <bottom/>
        <vertical/>
        <horizontal/>
      </border>
    </dxf>
    <dxf>
      <alignment vertical="center"/>
    </dxf>
    <dxf>
      <alignment vertical="cent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border diagonalUp="0" diagonalDown="0">
        <left style="thin">
          <color indexed="64"/>
        </left>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vertical/>
        <horizontal/>
      </border>
    </dxf>
    <dxf>
      <border diagonalUp="0" diagonalDown="0">
        <left/>
        <right style="thin">
          <color indexed="64"/>
        </right>
        <top style="thin">
          <color indexed="64"/>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Sprinkle-Walker, Maryann" id="{53769D3C-C97D-43B7-AFF5-E02F0484AC7D}" userId="S::maryann.sprinkle-walker@cdk.com::70083074-73aa-4c10-99eb-8757a851174f"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ntanion, Christine" refreshedDate="45998.83778321759" createdVersion="8" refreshedVersion="8" minRefreshableVersion="3" recordCount="722" xr:uid="{783AB072-E37B-4B47-95F6-F0FF75644B71}">
  <cacheSource type="worksheet">
    <worksheetSource ref="A1:L1048576" sheet="Nov Vendor Inv Detail"/>
  </cacheSource>
  <cacheFields count="12">
    <cacheField name="Account" numFmtId="0">
      <sharedItems containsBlank="1" count="383">
        <s v="_x0009__x0009__x0009_ELEAD1ONE CRM"/>
        <s v=" Jordan Ford"/>
        <s v="ALBRECHT - INFINITI OF NORWOOD "/>
        <s v="ALBRECHT - NASHUA INFINITI"/>
        <s v="Allan Vigil Ford Lincoln "/>
        <s v="Alpha One Motors"/>
        <s v="Anderson Crystal Lake BMW / Mazda"/>
        <s v="Apple Honda"/>
        <s v="Apple Honda MD"/>
        <s v="Apple Tree Superstore"/>
        <s v="Arrive n Drive"/>
        <s v="Athens BMW"/>
        <s v="Audi Miami South"/>
        <s v="Baker - Buick GMC Cadillac"/>
        <s v="Berglund Toyota"/>
        <s v="Bill Black Chevrolet Cadillac"/>
        <s v="BMW/MINI of the Main Line"/>
        <s v="Bob Bell Ford"/>
        <s v="Bob Bell Hyundai"/>
        <s v="Bob Bell Nissan"/>
        <s v="Bob Brown Chevrolet"/>
        <s v="Bob Robinson Chevrolet Buick GMC"/>
        <s v="Bruce Bennett Nissan of Danbury"/>
        <s v="Buchanan Auto Park"/>
        <s v="Buchanan Chevrolet Buick GMC Cadillac of Waynesboro"/>
        <s v="Buchanan KIA"/>
        <s v="Call Box test"/>
        <s v="Capital - Hyundai of Jacksonville"/>
        <s v="Car Town Hyundai"/>
        <s v="CarHeroes USA"/>
        <s v="CarHeroes USA Tampa"/>
        <s v="Cavalier Ford at Chesapeake Square"/>
        <s v="Cavalier Mazda"/>
        <s v="Cella Ford"/>
        <s v="Central Ford"/>
        <s v="CENTURY BUICK GMC"/>
        <s v="Century Kia of Tampa"/>
        <s v="Charlie Clark Nissan Harlingen"/>
        <s v="Cherry Hill Nissan"/>
        <s v="Chi Town Harley-Davidson"/>
        <s v="Chrysler Dodge Jeep Ram of Franklin"/>
        <s v="Circle - Volkswagen of Garden Grove"/>
        <s v="Cloninger Ford of Hickory"/>
        <s v="Cloninger Ford of Morganton"/>
        <s v="Cloninger Ford of Salisbury"/>
        <s v="Cloninger Toyota"/>
        <s v="Coastal Kia"/>
        <s v="Coconut Point Ford"/>
        <s v="Commonwealth Chevrolet"/>
        <s v="Commonwealth Honda"/>
        <s v="Commonwealth Kia"/>
        <s v="Commonwealth Nissan"/>
        <s v="Commonwealth Volkswagen"/>
        <s v="Commuter Cars"/>
        <s v="Crescent Ford"/>
        <s v="DARCARS Chrysler Jeep Dodge RAM of Rockville"/>
        <s v="DARCARS Honda"/>
        <s v="DARCARS Lexus of Silver Spring"/>
        <s v="David Taylor Michigan City CDJR IN"/>
        <s v="Dayton Andrews St Petersburg"/>
        <s v="Deacon Jones BMW of Kinston "/>
        <s v="Deacon Jones Buick GMC"/>
        <s v="Deacon Jones CDJR of Clinton"/>
        <s v="Deacon Jones Chevrolet Buick GMC of Clinton "/>
        <s v="Deacon Jones Chevrolet GMC of Kinston"/>
        <s v="Deacon Jones Chevrolet of La Grange"/>
        <s v="Deacon Jones Chrysler Jeep Dodge Ram"/>
        <s v="Deacon Jones Ford"/>
        <s v="Deacon Jones Ford of Clinton"/>
        <s v="Deacon Jones Ford of Kinston"/>
        <s v="Deacon Jones Honda"/>
        <s v="Deacon Jones Hyundai "/>
        <s v="Deacon Jones Kia"/>
        <s v="Deacon Jones Kia of Kinston"/>
        <s v="Deacon Jones Nissan"/>
        <s v="Deacon Jones Toyota"/>
        <s v="Deel Volkswagen"/>
        <s v="Downtown Nashville Nissan"/>
        <s v="Drivers Way"/>
        <s v="Elder Hyundai"/>
        <s v="Elder Jaguar Land Rover Lakeland"/>
        <s v="Elder Jaguar Land Rover Lakeside"/>
        <s v="ELEAD1ONE Marketing"/>
        <s v="Emerald Coast Harley-Davidson"/>
        <s v="Evergreen Kia"/>
        <s v="Fair Oaks CDJR"/>
        <s v="Fairview Ford"/>
        <s v="Ford of Upland"/>
        <s v="Frankies Auto Sales"/>
        <s v="Fredy KIA"/>
        <s v="Freeway Ford"/>
        <s v="Galeana Chrysler Jeep Ram of Fort Myers"/>
        <s v="Galeana KIA of Fort Myers"/>
        <s v="Glenbrook Mercedes-Benz of Fort Wayne"/>
        <s v="Go WheelMart"/>
        <s v="Grainger Honda"/>
        <s v="Grainger Nissan of Beaufort"/>
        <s v="Grainger Nissan of Savannah"/>
        <s v="Greenway - Awesome Nissan of Brunswick"/>
        <s v="Greenway - Ford KC"/>
        <s v="Greenway - Greenway FIAT of East Orlando"/>
        <s v="Greenway - Greenway Hyundai Orlando"/>
        <s v="Greenway - Greenway Kia of Franklin"/>
        <s v="Greenway - Greenway Kia of Hickory Hollow"/>
        <s v="Greenway - Greenway Kia of Rivergate"/>
        <s v="Greenway - Greenway Mazda"/>
        <s v="Greenway - Kia at the Avenues "/>
        <s v="Greenway - Laredo DCJR"/>
        <s v="Greenway - Norristown Chrysler Dodge Jeep Ram"/>
        <s v="Greenway - Opelika CDJR Ford"/>
        <s v="Greenway - Riverchase Kia"/>
        <s v="Greenway - San Antonio CDJR"/>
        <s v="Greenway - Team1One CDJR of Gadsen"/>
        <s v="Greenway - Team1One Chevrolet of Gadsden"/>
        <s v="Greenway - Team1One Hyundai of Gadsden"/>
        <s v="Greenway - Team1One Nissan of Albertville"/>
        <s v="Greenway - Team1One Toyota of Gadsden"/>
        <s v="Greenway - University CDJR of Anniston"/>
        <s v="Greenway - University CDJR of Rome"/>
        <s v="Greenway - University Kia"/>
        <s v="Greenway - Winter Haven Honda"/>
        <s v="Gunter CDJR of Martinsville"/>
        <s v="Gunter Nissan of Martinsville"/>
        <s v="Hacienda Ford"/>
        <s v="Haldeman Ford"/>
        <s v="Haldeman Ford East Windsor"/>
        <s v="Haldeman Lexus of Princeton"/>
        <s v="Haldeman Subaru"/>
        <s v="HAN - Audi Jacksonville"/>
        <s v="HAN - Coconut Point Honda"/>
        <s v="HAN - Hanania CDJR of St. Augustine"/>
        <s v="Harley-Davidson of Cool Spring"/>
        <s v="Harley-Davidson of Greenville"/>
        <s v="Harold Chevrolet "/>
        <s v="Harold Ford"/>
        <s v="Headquarter Hyundai"/>
        <s v="Headquarter Mazda"/>
        <s v="Headquarter Toyota"/>
        <s v="HeightsNissan"/>
        <s v="HERTRICH AUTO GROUP (elead)"/>
        <s v="Hertrich Infiniti of Newark"/>
        <s v="Hertrich Nissan of Dover"/>
        <s v="Hertrich Nissan of Newark"/>
        <s v="High Country Harley Davidson - Cheyenne"/>
        <s v="High Country Harley Davidson - Frederick"/>
        <s v="Holland Motorsports/Harley Davidson of Dothan"/>
        <s v="Holman NC - Leith Acura of Cary"/>
        <s v="Holman NC - Leith Acura of Raleigh"/>
        <s v="Holman NC - Leith Audi Cary"/>
        <s v="Holman NC - Leith Audi Raleigh"/>
        <s v="Holman NC - Leith Autopark Chrysler Jeep"/>
        <s v="Holman NC - Leith Autopark Honda"/>
        <s v="Holman NC - Leith Autopark Wendell"/>
        <s v="Holman NC - Leith BMW"/>
        <s v="Holman NC - Leith Chrysler Jeep"/>
        <s v="Holman NC - Leith Honda"/>
        <s v="Holman NC - Leith Honda Chrysler Dodge Jeep RAM Aberdeen"/>
        <s v="Holman NC - Leith Jaguar Land Rover of Raleigh"/>
        <s v="Holman NC - Leith Land Rover Cary"/>
        <s v="Holman NC - Leith Lincoln"/>
        <s v="Holman NC - Leith Maserati of Raleigh"/>
        <s v="Holman NC - Leith Mercedes Benz of Cary"/>
        <s v="Holman NC - Leith Mercedes-Benz of Raleigh"/>
        <s v="Holman NC - Leith Nissan"/>
        <s v="Holman NC - Leith Porsche Cary"/>
        <s v="Holman NC - Leith Toyota"/>
        <s v="Holman NC - Leith Vinfast"/>
        <s v="Holman NC - Leith Volkswagen Cary"/>
        <s v="Holman NC - Leith Volkswagen Raleigh"/>
        <s v="Honda of Illinois"/>
        <s v="House Chevrolet Cadillac"/>
        <s v="House Ford CDJR"/>
        <s v="HUD - Rock Hill Nissan"/>
        <s v="Hughes Subaru"/>
        <s v="Hyman Bros Land Rover Richmond"/>
        <s v="Hyman Bros Nissan Kia"/>
        <s v="Hyman Bros Subaru"/>
        <s v="Independence Harley Davidson"/>
        <s v="Infiniti of Tallahassee"/>
        <s v="Iron Steed Harley Davidson"/>
        <s v="Jack Daniels Audi"/>
        <s v="Jack Daniels Audi of Paramus"/>
        <s v="Jack Daniels KIA"/>
        <s v="Jack Daniels Porsche"/>
        <s v="Jack Daniels Volkswagen"/>
        <s v="Jack Schmitt Ford Lincoln"/>
        <s v="Jackson Acura of Roswell"/>
        <s v="Jaguar Land Rover Coral Gables "/>
        <s v="JT's AUTOLAND II"/>
        <s v="JT's Kia of Columbia II "/>
        <s v="Keffer - Elevation Chevrolet Buick GMC"/>
        <s v="Keffer - Hyundai of Anderson"/>
        <s v="Keyser and Miller Ford"/>
        <s v="KIA Mall of Georgia"/>
        <s v="Kia of Abilene"/>
        <s v="Kia of San Angelo"/>
        <s v="King KIA"/>
        <s v="King Kia of Laurel"/>
        <s v="King Volkswagen"/>
        <s v="Knight Sunrise Ford Fontana"/>
        <s v="Koeppel Hyundai"/>
        <s v="Koeppel Mazda"/>
        <s v="Koeppel Nissan"/>
        <s v="Koeppel Subaru"/>
        <s v="Lake Keowee Ford"/>
        <s v="Lakeland Volkswagen"/>
        <s v="Laria Chevrolet Buick"/>
        <s v="Lee Ford of Wilson"/>
        <s v="Lee Nissan"/>
        <s v="Lexus of Maplewood"/>
        <s v="Lipton Toyota"/>
        <s v="Lodi Toyota"/>
        <s v="Lokey Nissan"/>
        <s v="Long Hyundai Genesis Volvo"/>
        <s v="Lou Sobh Volkswagen of Athens"/>
        <s v="Major World CDJR"/>
        <s v="Major World Chevrolet"/>
        <s v="Major World Chrysler Dodge Jeep"/>
        <s v="Malcolm Cunningham Northpoint Chevrolet"/>
        <s v="Mall of Georgia Chrysler Dodge Jeep"/>
        <s v="Matt Bowers Chevrolet"/>
        <s v="Matt Bowers Chevrolet of Metarie"/>
        <s v="Matt LaFontaine Automotive"/>
        <s v="Maxie Price Chevrolet"/>
        <s v="Maxie Price RV of Loganville"/>
        <s v="McSweeney Auto Group Clanton LLC"/>
        <s v="Med Center Mazda"/>
        <s v="Mel Hambelton Ford"/>
        <s v="Metter Ford"/>
        <s v="Michael Jordan Nissan"/>
        <s v="Midlands  Toyota"/>
        <s v="Mike Castrucci Ford Lincoln of Alexandria"/>
        <s v="Mike Castrucci Ford Sales"/>
        <s v="Mobile Bay Harley Davidson"/>
        <s v="Modern Chevrolet - Winston"/>
        <s v="Modern Chevrolet Cadillac of Burlington"/>
        <s v="Modern Ford of Boone"/>
        <s v="Modern Genesis of Lake Norman"/>
        <s v="Modern Hyundai of Concord"/>
        <s v="Modern Infiniti of Greensboro"/>
        <s v="Modern Infiniti of Winston Salem"/>
        <s v="Modern Mazda of Burlington"/>
        <s v="Modern Nissan of Concord"/>
        <s v="Modern Nissan of Hickory"/>
        <s v="Modern Nissan of Lake Norman"/>
        <s v="Modern Nissan of Winston Salem"/>
        <s v="Modern Subaru of Boone"/>
        <s v="Modern Toyota of Asheboro"/>
        <s v="Modern Toyota of Boone"/>
        <s v="Modern Toyota Winston"/>
        <s v="Montgomeryville Acura"/>
        <s v="Montgomeryville Mitsubishi"/>
        <s v="Montgomeryville Nissan"/>
        <s v="Monumental Ford"/>
        <s v="Moonshine Harley Davidson"/>
        <s v="Mount Holly Nissan"/>
        <s v="Murray Chrysler Dodge Jeep Ram"/>
        <s v="Myrtle Beach Chrysler Jeep"/>
        <s v="New Country Audi Bethesda"/>
        <s v="New Country EuroMotorcars Germantown"/>
        <s v="New Orleans Harley Davidson"/>
        <s v="Nissan of Hendersonville"/>
        <s v="Nissan of Midland"/>
        <s v="North Point CJDR"/>
        <s v="Northway Toyota"/>
        <s v="Parks Ford Lincoln Hyundai of Gainesville"/>
        <s v="Parks Ford of Wesley Chapel"/>
        <s v="Parks Lincoln of Tampa"/>
        <s v="Parks Seminole Powersports"/>
        <s v="Parks Toyota of Deland"/>
        <s v="Peachtree Mitsubishi "/>
        <s v="Peterson BMW"/>
        <s v="Phantom Harley-Davidson"/>
        <s v="Phil Hughes Honda"/>
        <s v="Phillips Chrysler Dodge Jeep Ram"/>
        <s v="Piazza Nissan of Ardmore"/>
        <s v="Pine Belt Cadillac"/>
        <s v="Pine Belt CDJR"/>
        <s v="Pine Belt Chevrolet"/>
        <s v="Pine Belt Nissan of Keyport"/>
        <s v="Pine Belt Nissan of Toms River"/>
        <s v="Plaza Cadillac"/>
        <s v="Plaza Lincoln"/>
        <s v="Premier Toyota"/>
        <s v="Prestige Ford Inc."/>
        <s v="Price Chevrolet"/>
        <s v="Rafferty Subaru"/>
        <s v="Randy Marion Chevrolet Buick GMC of West Jefferson"/>
        <s v="Randy Marion Ford of West Jefferson"/>
        <s v="Renaldo Kia"/>
        <s v="Rocky Mount Chrysler Dodge Jeep Ram"/>
        <s v="Ron Anderson Chevrolet Buick GMC"/>
        <s v="Rosedale Chevrolet"/>
        <s v="RRR - Toyota Certified at Capital Plaza"/>
        <s v="Rusty Wallace Chevrolet"/>
        <s v="Rusty Wallace Honda"/>
        <s v="Rusty Wallace KIA - Alcoa Highway"/>
        <s v="Rusty Wallace Toyota"/>
        <s v="Southern Chrysler Dodge Jeep Ram Greenbrier"/>
        <s v="Spartanburg Chrysler Dodge Ram Jeep"/>
        <s v="Stanley CDJ Brownwood"/>
        <s v="Stanley CDJR Gilmer"/>
        <s v="Stanley Ford Eastland"/>
        <s v="Stanley Ford Gilmer"/>
        <s v="Stanley Ford McGregor"/>
        <s v="Stanley Ford Sweetwater"/>
        <s v="Star Ford Lincoln"/>
        <s v="Staunton Chrysler Dodge Jeep RAM"/>
        <s v="Stearns Ford"/>
        <s v="Stone Mountain Volkswagen"/>
        <s v="Summit Toyota of Akron"/>
        <s v="Sun Auto Warehouse"/>
        <s v="Sun Auto Warehouse of Cortland"/>
        <s v="T C Powersports"/>
        <s v="Tecumseh Harley-Davidson"/>
        <s v="Terry Lambert Hyundai"/>
        <s v="Thomasville Toyota"/>
        <s v="Timbrook - Brookville Chevrolet"/>
        <s v="Timbrook - Chambersburg Hyundai"/>
        <s v="Timbrook - Greencastle Chevrolet"/>
        <s v="Timbrook - Hazleton Honda"/>
        <s v="Timbrook - Waynesboro Hyundai "/>
        <s v="Timbrook -Altoona Honda"/>
        <s v="TMC - Alligator Alley Harley-Davidson"/>
        <s v="TMC - Atlanta Harley-Davidson"/>
        <s v="TMC - Avalanche Harley-Davidson"/>
        <s v="TMC - Desert Wind Harley-Davidson"/>
        <s v="TMC - Harley-Davidson of The Woodlands"/>
        <s v="TMC - High Octane Harley-Davidson"/>
        <s v="TMC - Huntington Beach Harley-Davidson"/>
        <s v="TMC - Jet City Harley-Davidson"/>
        <s v="TMC - Manchester Harley-Davidson"/>
        <s v="TMC - Motor City Harley-Davidson"/>
        <s v="TMC - Motown Harley-Davidson"/>
        <s v="TMC - Old Glory Harley-Davidson"/>
        <s v="TMC - Palm Beach Harley-Davidson"/>
        <s v="TMC - Patriot Harley Davidson"/>
        <s v="TMC - Rawhide Harley-Davidson"/>
        <s v="TMC - Riverside Harley-Davidson"/>
        <s v="TMC - Rockstar Harley-Davidson"/>
        <s v="TMC - Rockstar Powersports of Brandon "/>
        <s v="TMC - Rockstar Powersports of Brooksville "/>
        <s v="TMC - Rockstar Powersports of St Pete "/>
        <s v="TMC - Stars and Stripes Harley-Davidson"/>
        <s v="TMC - Summit Harley Davidson"/>
        <s v="TMC - Volcano Harley-Davidson"/>
        <s v="Tommie Vaughn Motors"/>
        <s v="Town and Country Sports Center"/>
        <s v="Toyota of Wichita Falls"/>
        <s v="Trent Cadillac Buick GMC"/>
        <s v="Trotter Ford Lincoln"/>
        <s v="Union Auto Grupo Usados"/>
        <s v="VA - Victory Honda Peoria"/>
        <s v="Victory Layne Chevrolet"/>
        <s v="Vista Ford Lincoln"/>
        <s v="Volume Chevrolet Buick"/>
        <s v="Volvo Cars Tampa"/>
        <s v="Wilkie Lexus"/>
        <s v="Williamsburg Chrysler Dodge Jeep Ram"/>
        <s v="Willis Automotive"/>
        <s v="Wilson CDJR"/>
        <s v="Wilson Chevrolet"/>
        <s v="Woodbury Nissan"/>
        <s v="Worth Harley Davidson"/>
        <s v="Zimbrick Acura"/>
        <s v="Zimbrick Acura of Brookfield"/>
        <s v="Zimbrick BMW"/>
        <s v="Zimbrick Buick GMC West"/>
        <s v="Zimbrick Chevrolet"/>
        <s v="Zimbrick European"/>
        <s v="Zimbrick GMC Buick East"/>
        <s v="Zimbrick Honda"/>
        <s v="Zimbrick Hyundai East"/>
        <s v="Zimbrick Hyundai West"/>
        <s v="Zimbrick Infiniti"/>
        <s v="Zimbrick Mini"/>
        <s v="Zimbrick Nissan"/>
        <s v="Zimbrick Volkswagen"/>
        <s v="Zimbrick Volkswagen of Madison"/>
        <s v="ZT Mercedes of Fort Walton Beach"/>
        <s v="ZT Motors BMW of Fort Walton Beach"/>
        <s v="ZT Motors Mazda of Fort Walton Beach"/>
        <m/>
      </sharedItems>
    </cacheField>
    <cacheField name="Customer_ID" numFmtId="0">
      <sharedItems containsString="0" containsBlank="1" containsNumber="1" containsInteger="1" minValue="8012" maxValue="188958" count="384">
        <n v="8012"/>
        <n v="61934"/>
        <n v="62658"/>
        <n v="62657"/>
        <n v="154247"/>
        <n v="149876"/>
        <n v="84602"/>
        <n v="188955"/>
        <n v="97941"/>
        <n v="99534"/>
        <n v="187858"/>
        <n v="84739"/>
        <n v="185463"/>
        <n v="76195"/>
        <n v="96547"/>
        <n v="142323"/>
        <n v="74464"/>
        <n v="59246"/>
        <n v="92128"/>
        <n v="90311"/>
        <n v="138653"/>
        <n v="159842"/>
        <n v="154578"/>
        <n v="61123"/>
        <n v="61125"/>
        <n v="61126"/>
        <n v="143336"/>
        <n v="36446"/>
        <n v="144287"/>
        <n v="141461"/>
        <n v="156703"/>
        <n v="74078"/>
        <n v="50391"/>
        <n v="90338"/>
        <n v="79776"/>
        <n v="46371"/>
        <n v="46376"/>
        <n v="84596"/>
        <n v="147556"/>
        <n v="149326"/>
        <n v="187147"/>
        <n v="143783"/>
        <n v="108920"/>
        <n v="108919"/>
        <n v="108921"/>
        <n v="108918"/>
        <n v="36440"/>
        <n v="156745"/>
        <n v="84459"/>
        <n v="84504"/>
        <n v="84503"/>
        <n v="84465"/>
        <n v="84506"/>
        <n v="150041"/>
        <n v="146876"/>
        <n v="59903"/>
        <n v="58680"/>
        <n v="58685"/>
        <n v="121132"/>
        <n v="99695"/>
        <n v="177336"/>
        <n v="149427"/>
        <n v="185318"/>
        <n v="149420"/>
        <n v="177335"/>
        <n v="149415"/>
        <n v="149418"/>
        <n v="149425"/>
        <n v="185319"/>
        <n v="177338"/>
        <n v="149419"/>
        <n v="149421"/>
        <n v="149423"/>
        <n v="177337"/>
        <n v="149424"/>
        <n v="149422"/>
        <n v="145760"/>
        <n v="188644"/>
        <n v="154845"/>
        <n v="132558"/>
        <n v="146535"/>
        <n v="135211"/>
        <n v="74101"/>
        <n v="99644"/>
        <n v="156791"/>
        <n v="93471"/>
        <n v="188178"/>
        <n v="81817"/>
        <n v="143374"/>
        <n v="116892"/>
        <n v="149960"/>
        <n v="146053"/>
        <n v="146055"/>
        <n v="85622"/>
        <n v="153017"/>
        <n v="79044"/>
        <n v="79245"/>
        <n v="116893"/>
        <n v="118920"/>
        <n v="118906"/>
        <n v="82486"/>
        <n v="84240"/>
        <n v="117573"/>
        <n v="79117"/>
        <n v="79241"/>
        <n v="118922"/>
        <n v="156783"/>
        <n v="118900"/>
        <n v="141757"/>
        <n v="118913"/>
        <n v="118912"/>
        <n v="118924"/>
        <n v="118917"/>
        <n v="118916"/>
        <n v="118914"/>
        <n v="118918"/>
        <n v="118915"/>
        <n v="118909"/>
        <n v="118923"/>
        <n v="118908"/>
        <n v="118921"/>
        <n v="119596"/>
        <n v="119126"/>
        <n v="138536"/>
        <n v="90416"/>
        <n v="90532"/>
        <n v="75178"/>
        <n v="186357"/>
        <n v="94617"/>
        <n v="146561"/>
        <n v="186120"/>
        <n v="99795"/>
        <n v="93881"/>
        <n v="18040"/>
        <n v="139216"/>
        <n v="73576"/>
        <n v="108923"/>
        <n v="96592"/>
        <n v="188956"/>
        <n v="76985"/>
        <n v="154901"/>
        <n v="59090"/>
        <n v="154900"/>
        <n v="154756"/>
        <n v="154755"/>
        <n v="77178"/>
        <n v="61229"/>
        <n v="138752"/>
        <n v="61224"/>
        <n v="61230"/>
        <n v="58253"/>
        <n v="58252"/>
        <n v="61226"/>
        <n v="58245"/>
        <n v="61221"/>
        <n v="58247"/>
        <n v="61232"/>
        <n v="115628"/>
        <n v="61223"/>
        <n v="61219"/>
        <n v="61222"/>
        <n v="58246"/>
        <n v="150508"/>
        <n v="58251"/>
        <n v="61225"/>
        <n v="58248"/>
        <n v="188195"/>
        <n v="61228"/>
        <n v="61231"/>
        <n v="77177"/>
        <n v="96473"/>
        <n v="119044"/>
        <n v="90212"/>
        <n v="125150"/>
        <n v="142809"/>
        <n v="143527"/>
        <n v="142811"/>
        <n v="120186"/>
        <n v="115609"/>
        <n v="150665"/>
        <n v="122660"/>
        <n v="122661"/>
        <n v="122662"/>
        <n v="122663"/>
        <n v="122664"/>
        <n v="83085"/>
        <n v="77807"/>
        <n v="153404"/>
        <n v="159190"/>
        <n v="159263"/>
        <n v="159539"/>
        <n v="147873"/>
        <n v="117484"/>
        <n v="72057"/>
        <n v="144285"/>
        <n v="149893"/>
        <n v="86863"/>
        <n v="150401"/>
        <n v="86862"/>
        <n v="76551"/>
        <n v="150176"/>
        <n v="145665"/>
        <n v="145666"/>
        <n v="145668"/>
        <n v="146974"/>
        <n v="144080"/>
        <n v="92437"/>
        <n v="143996"/>
        <n v="144423"/>
        <n v="104610"/>
        <n v="83171"/>
        <n v="154308"/>
        <n v="148843"/>
        <n v="145823"/>
        <n v="177879"/>
        <n v="188933"/>
        <n v="187032"/>
        <n v="188935"/>
        <n v="46251"/>
        <n v="186481"/>
        <n v="72053"/>
        <n v="134332"/>
        <n v="139339"/>
        <n v="99512"/>
        <n v="77683"/>
        <n v="144127"/>
        <n v="187780"/>
        <n v="154791"/>
        <n v="116785"/>
        <n v="121695"/>
        <n v="145649"/>
        <n v="46377"/>
        <n v="142723"/>
        <n v="142727"/>
        <n v="99628"/>
        <n v="136865"/>
        <n v="139748"/>
        <n v="144122"/>
        <n v="188153"/>
        <n v="138603"/>
        <n v="131694"/>
        <n v="131695"/>
        <n v="143944"/>
        <n v="138480"/>
        <n v="140643"/>
        <n v="131763"/>
        <n v="140642"/>
        <n v="131769"/>
        <n v="147129"/>
        <n v="131770"/>
        <n v="139282"/>
        <n v="134212"/>
        <n v="158059"/>
        <n v="134214"/>
        <n v="159517"/>
        <n v="119133"/>
        <n v="159022"/>
        <n v="90442"/>
        <n v="43384"/>
        <n v="83339"/>
        <n v="42452"/>
        <n v="99624"/>
        <n v="145131"/>
        <n v="188199"/>
        <n v="81644"/>
        <n v="116981"/>
        <n v="77184"/>
        <n v="78775"/>
        <n v="78776"/>
        <n v="77166"/>
        <n v="188958"/>
        <n v="158051"/>
        <n v="156684"/>
        <n v="149327"/>
        <n v="92188"/>
        <n v="62672"/>
        <n v="142901"/>
        <n v="140775"/>
        <n v="141760"/>
        <n v="91217"/>
        <n v="140778"/>
        <n v="140777"/>
        <n v="153596"/>
        <n v="153597"/>
        <n v="156704"/>
        <n v="159077"/>
        <n v="139747"/>
        <n v="135471"/>
        <n v="177300"/>
        <n v="159260"/>
        <n v="154381"/>
        <n v="90204"/>
        <n v="94552"/>
        <n v="59676"/>
        <n v="84669"/>
        <n v="96883"/>
        <n v="96887"/>
        <n v="96884"/>
        <n v="91496"/>
        <n v="91411"/>
        <n v="147445"/>
        <n v="97592"/>
        <n v="117610"/>
        <n v="97583"/>
        <n v="97580"/>
        <n v="97582"/>
        <n v="97584"/>
        <n v="78445"/>
        <n v="79668"/>
        <n v="85476"/>
        <n v="186595"/>
        <n v="117481"/>
        <n v="91848"/>
        <n v="91849"/>
        <n v="160092"/>
        <n v="160095"/>
        <n v="153501"/>
        <n v="91436"/>
        <n v="188774"/>
        <n v="186132"/>
        <n v="186133"/>
        <n v="186134"/>
        <n v="188726"/>
        <n v="186130"/>
        <n v="138485"/>
        <n v="153774"/>
        <n v="76163"/>
        <n v="118740"/>
        <n v="156700"/>
        <n v="72226"/>
        <n v="94337"/>
        <n v="99533"/>
        <n v="138624"/>
        <n v="146893"/>
        <n v="91364"/>
        <n v="143252"/>
        <n v="72659"/>
        <n v="155386"/>
        <n v="98156"/>
        <n v="84176"/>
        <n v="92413"/>
        <n v="155859"/>
        <n v="155855"/>
        <n v="155857"/>
        <n v="144005"/>
        <n v="154997"/>
        <n v="146894"/>
        <n v="135209"/>
        <n v="160126"/>
        <n v="145647"/>
        <n v="141208"/>
        <n v="142302"/>
        <n v="145682"/>
        <n v="188879"/>
        <n v="76664"/>
        <n v="91135"/>
        <n v="117422"/>
        <n v="144079"/>
        <n v="61931"/>
        <n v="188815"/>
        <n v="56252"/>
        <n v="187881"/>
        <n v="187880"/>
        <n v="159261"/>
        <n v="76538"/>
        <n v="56401"/>
        <n v="141131"/>
        <n v="56397"/>
        <n v="57773"/>
        <n v="56395"/>
        <n v="87076"/>
        <n v="87081"/>
        <n v="57772"/>
        <n v="87080"/>
        <n v="56404"/>
        <n v="57771"/>
        <n v="56403"/>
        <n v="87079"/>
        <n v="56399"/>
        <n v="84497"/>
        <n v="78609"/>
        <n v="78604"/>
        <n v="78606"/>
        <m/>
      </sharedItems>
    </cacheField>
    <cacheField name="External Billing ID" numFmtId="0">
      <sharedItems containsBlank="1" containsMixedTypes="1" containsNumber="1" containsInteger="1" minValue="468" maxValue="76243311" count="356">
        <m/>
        <n v="16480"/>
        <n v="16613"/>
        <n v="16614"/>
        <n v="468"/>
        <n v="27280"/>
        <s v="4613a"/>
        <n v="32347"/>
        <n v="19240"/>
        <n v="30006"/>
        <n v="18059"/>
        <n v="29715"/>
        <n v="17223"/>
        <n v="7862"/>
        <n v="22425"/>
        <n v="16765"/>
        <n v="18577"/>
        <n v="18596"/>
        <n v="18246"/>
        <n v="22237"/>
        <n v="29415"/>
        <n v="27016"/>
        <n v="7279"/>
        <n v="16270"/>
        <n v="16271"/>
        <n v="123456"/>
        <n v="10556"/>
        <n v="24709"/>
        <n v="22159"/>
        <n v="29023"/>
        <n v="5068"/>
        <n v="15178"/>
        <n v="8230"/>
        <n v="17654"/>
        <n v="11519"/>
        <n v="15064"/>
        <n v="17024"/>
        <n v="26427"/>
        <n v="26939"/>
        <n v="4352"/>
        <n v="20698"/>
        <n v="19322"/>
        <n v="19326"/>
        <n v="19319"/>
        <n v="19295"/>
        <s v="10557A "/>
        <n v="3869"/>
        <n v="18079"/>
        <n v="18080"/>
        <n v="18081"/>
        <n v="18082"/>
        <n v="18083"/>
        <n v="17995"/>
        <n v="8209"/>
        <n v="5252"/>
        <n v="9472"/>
        <n v="2432"/>
        <n v="21229"/>
        <n v="17450"/>
        <n v="29810"/>
        <n v="26921"/>
        <n v="11341"/>
        <n v="26923"/>
        <n v="29559"/>
        <n v="26928"/>
        <n v="26929"/>
        <n v="26926"/>
        <n v="15443"/>
        <n v="29561"/>
        <n v="26930"/>
        <n v="24151"/>
        <n v="26927"/>
        <n v="29809"/>
        <n v="26925"/>
        <n v="26922"/>
        <n v="4698"/>
        <n v="7792"/>
        <n v="28328"/>
        <n v="16879"/>
        <n v="25162"/>
        <n v="15308"/>
        <n v="999999"/>
        <n v="9973"/>
        <n v="28946"/>
        <n v="10445"/>
        <n v="13466"/>
        <n v="17668"/>
        <n v="24083"/>
        <n v="6397"/>
        <n v="15685"/>
        <n v="24505"/>
        <n v="24510"/>
        <n v="17914"/>
        <n v="27897"/>
        <n v="15653"/>
        <n v="17563"/>
        <n v="11012"/>
        <n v="19770"/>
        <n v="19773"/>
        <n v="17715"/>
        <n v="17302"/>
        <n v="17537"/>
        <n v="17536"/>
        <n v="19750"/>
        <n v="28998"/>
        <n v="19824"/>
        <n v="17782"/>
        <n v="19809"/>
        <n v="19810"/>
        <n v="19746"/>
        <n v="19804"/>
        <n v="19806"/>
        <n v="19808"/>
        <n v="19803"/>
        <n v="19807"/>
        <n v="19811"/>
        <n v="19749"/>
        <n v="19812"/>
        <n v="19748"/>
        <n v="19976"/>
        <n v="19975"/>
        <n v="16121"/>
        <n v="9103"/>
        <n v="9100"/>
        <n v="9104"/>
        <n v="29183"/>
        <n v="17989"/>
        <n v="15230"/>
        <n v="30092"/>
        <n v="4545"/>
        <n v="18655"/>
        <n v="377649"/>
        <n v="5118"/>
        <n v="16761"/>
        <n v="16341"/>
        <n v="16781"/>
        <n v="25376"/>
        <n v="28188"/>
        <n v="16303"/>
        <n v="28187"/>
        <n v="28303"/>
        <n v="28305"/>
        <n v="16702"/>
        <n v="16394"/>
        <n v="16381"/>
        <n v="16397"/>
        <n v="16166"/>
        <n v="16165"/>
        <n v="16386"/>
        <n v="16167"/>
        <n v="3934"/>
        <n v="16164"/>
        <n v="16395"/>
        <n v="19523"/>
        <n v="16372"/>
        <n v="16369"/>
        <n v="16370"/>
        <n v="16168"/>
        <n v="16169"/>
        <n v="16171"/>
        <n v="16380"/>
        <n v="16163"/>
        <n v="31841"/>
        <n v="16388"/>
        <n v="16396"/>
        <n v="17265"/>
        <n v="18864"/>
        <n v="21218"/>
        <n v="18058"/>
        <n v="23503"/>
        <n v="23501"/>
        <n v="23500"/>
        <n v="21332"/>
        <n v="19515"/>
        <n v="27596"/>
        <n v="17813"/>
        <n v="7742"/>
        <n v="27739"/>
        <n v="28942"/>
        <n v="437779"/>
        <n v="29582"/>
        <n v="26623"/>
        <n v="19910"/>
        <n v="16585"/>
        <n v="24706"/>
        <n v="24705"/>
        <n v="18077"/>
        <n v="27069"/>
        <n v="18076"/>
        <n v="9737"/>
        <n v="26261"/>
        <n v="25374"/>
        <n v="25377"/>
        <n v="8323"/>
        <n v="6706"/>
        <n v="18665"/>
        <n v="19613"/>
        <n v="19607"/>
        <n v="19236"/>
        <n v="8604"/>
        <n v="10632"/>
        <n v="10786"/>
        <n v="25641"/>
        <n v="32327"/>
        <n v="32326"/>
        <n v="76213688"/>
        <n v="16586"/>
        <n v="16067"/>
        <n v="6972"/>
        <n v="11003"/>
        <n v="24727"/>
        <n v="76201662"/>
        <n v="28325"/>
        <n v="19638"/>
        <n v="21212"/>
        <n v="25474"/>
        <n v="8725"/>
        <n v="23288"/>
        <n v="23289"/>
        <n v="17155"/>
        <n v="22158"/>
        <n v="9273"/>
        <n v="19202"/>
        <n v="30664"/>
        <n v="22232"/>
        <n v="21728"/>
        <n v="21729"/>
        <n v="21588"/>
        <n v="22230"/>
        <n v="23116"/>
        <n v="21795"/>
        <n v="23115"/>
        <n v="21831"/>
        <n v="9504"/>
        <n v="21830"/>
        <n v="22278"/>
        <n v="21055"/>
        <n v="29095"/>
        <n v="20587"/>
        <n v="29204"/>
        <n v="29348"/>
        <n v="18231"/>
        <n v="7409"/>
        <n v="11195"/>
        <n v="11238"/>
        <n v="4548"/>
        <n v="25216"/>
        <n v="24697"/>
        <n v="17721"/>
        <n v="18705"/>
        <n v="17386"/>
        <n v="17380"/>
        <n v="17383"/>
        <n v="17384"/>
        <n v="32013"/>
        <n v="29006"/>
        <n v="26937"/>
        <n v="18515"/>
        <n v="9944"/>
        <n v="23308"/>
        <n v="18422"/>
        <n v="18160"/>
        <n v="23379"/>
        <n v="23370"/>
        <n v="18928"/>
        <n v="19555"/>
        <n v="29001"/>
        <n v="19633"/>
        <n v="5616"/>
        <n v="20693"/>
        <n v="18362"/>
        <n v="13684"/>
        <n v="9560"/>
        <n v="11174"/>
        <n v="18817"/>
        <n v="11619"/>
        <n v="17114"/>
        <n v="5906"/>
        <n v="17138"/>
        <n v="17409"/>
        <n v="7993"/>
        <n v="10429"/>
        <n v="18847"/>
        <n v="19948"/>
        <n v="18845"/>
        <n v="18855"/>
        <n v="18860"/>
        <n v="18849"/>
        <n v="10064"/>
        <n v="17662"/>
        <n v="18017"/>
        <n v="5407"/>
        <n v="19614"/>
        <n v="18468"/>
        <n v="18469"/>
        <n v="29628"/>
        <n v="29629"/>
        <n v="27305"/>
        <n v="18454"/>
        <n v="32051"/>
        <n v="76232941"/>
        <n v="76243311"/>
        <n v="76228449"/>
        <n v="32050"/>
        <n v="76230046"/>
        <n v="22454"/>
        <n v="27795"/>
        <n v="6660"/>
        <n v="19659"/>
        <n v="28612"/>
        <n v="6605"/>
        <n v="11739"/>
        <n v="19252"/>
        <n v="18505"/>
        <n v="17936"/>
        <s v="17217a"/>
        <n v="17362"/>
        <n v="16266"/>
        <n v="17456"/>
        <n v="5641"/>
        <n v="9141"/>
        <n v="9591"/>
        <n v="27874"/>
        <n v="27872"/>
        <n v="27873"/>
        <n v="24621"/>
        <n v="28220"/>
        <n v="25647"/>
        <n v="16847"/>
        <n v="29626"/>
        <n v="24702"/>
        <n v="23551"/>
        <n v="11013"/>
        <n v="25433"/>
        <n v="32160"/>
        <n v="17313"/>
        <n v="17928"/>
        <n v="10519"/>
        <n v="2006"/>
        <n v="16192"/>
        <n v="8336"/>
        <n v="15775"/>
        <n v="71043923"/>
        <n v="71043924"/>
        <n v="29484"/>
        <n v="10382"/>
        <n v="15949"/>
        <n v="15952"/>
        <n v="15958"/>
        <n v="15964"/>
        <n v="15963"/>
        <n v="15962"/>
        <n v="15961"/>
        <n v="15331"/>
        <n v="15334"/>
        <n v="15333"/>
      </sharedItems>
    </cacheField>
    <cacheField name="Tracking_lines" numFmtId="0">
      <sharedItems containsBlank="1" containsMixedTypes="1" containsNumber="1" containsInteger="1" minValue="0" maxValue="562"/>
    </cacheField>
    <cacheField name="Dynamic_website_tracking" numFmtId="0">
      <sharedItems containsBlank="1" containsMixedTypes="1" containsNumber="1" containsInteger="1" minValue="0" maxValue="2"/>
    </cacheField>
    <cacheField name="Total Minutes" numFmtId="0">
      <sharedItems containsBlank="1" containsMixedTypes="1" containsNumber="1" minValue="0" maxValue="67953.679999999993" count="358">
        <n v="4.67"/>
        <n v="82.34"/>
        <n v="1890.85"/>
        <n v="37.67"/>
        <s v="-"/>
        <n v="18325.189999999999"/>
        <n v="13.35"/>
        <n v="1140.56"/>
        <n v="0"/>
        <n v="79.33"/>
        <n v="6415.46"/>
        <n v="3126.83"/>
        <n v="1292.6400000000001"/>
        <n v="3608.44"/>
        <n v="8351.73"/>
        <n v="2965.1"/>
        <n v="679.89"/>
        <n v="24179.119999999999"/>
        <n v="13420.63"/>
        <n v="9740.35"/>
        <n v="5375.75"/>
        <n v="4.32"/>
        <n v="14366.1"/>
        <n v="5108.68"/>
        <n v="2834.74"/>
        <n v="266.63"/>
        <n v="41.02"/>
        <n v="746.64"/>
        <n v="6171.14"/>
        <n v="4685.8599999999997"/>
        <n v="4458.1899999999996"/>
        <n v="4384.01"/>
        <n v="2477.75"/>
        <n v="18972.27"/>
        <n v="3112.69"/>
        <n v="4038.14"/>
        <n v="23.66"/>
        <n v="5634.21"/>
        <n v="460.01"/>
        <n v="2158.0500000000002"/>
        <n v="8650.1299999999992"/>
        <n v="1352.5"/>
        <n v="16135.7"/>
        <n v="3911.88"/>
        <n v="2455.5300000000002"/>
        <n v="1571.65"/>
        <n v="1525.89"/>
        <n v="1418.84"/>
        <n v="2205.35"/>
        <n v="138.12"/>
        <n v="7719.1"/>
        <n v="0.33"/>
        <n v="20.98"/>
        <n v="3170.77"/>
        <n v="1878.39"/>
        <n v="9286.66"/>
        <n v="2149.7800000000002"/>
        <n v="2832.14"/>
        <n v="1685.36"/>
        <n v="875.39"/>
        <n v="3174.74"/>
        <n v="3513.73"/>
        <n v="777.31"/>
        <n v="4878.8500000000004"/>
        <n v="4070.25"/>
        <n v="5053.22"/>
        <n v="4153.3"/>
        <n v="268.94"/>
        <n v="1013"/>
        <n v="3562.32"/>
        <n v="1923.63"/>
        <n v="8426.2000000000007"/>
        <n v="8645.8700000000008"/>
        <n v="3210.96"/>
        <n v="9606.64"/>
        <n v="6518.42"/>
        <n v="6865.19"/>
        <n v="1905.45"/>
        <n v="1934.7"/>
        <n v="3608.17"/>
        <n v="1227.92"/>
        <n v="52.02"/>
        <n v="3685.36"/>
        <n v="19140.18"/>
        <n v="16076.93"/>
        <n v="249.02"/>
        <n v="6.63"/>
        <n v="8188.13"/>
        <n v="255.45"/>
        <n v="464.45"/>
        <n v="3843.79"/>
        <n v="3818.54"/>
        <n v="17.64"/>
        <n v="21950.17"/>
        <n v="2554.66"/>
        <n v="12216.95"/>
        <n v="9824.7000000000007"/>
        <n v="11938.02"/>
        <n v="8005.94"/>
        <n v="3104.9"/>
        <n v="3171.09"/>
        <n v="15565.79"/>
        <n v="4486.8100000000004"/>
        <n v="41253.040000000001"/>
        <n v="3775.14"/>
        <n v="5573.17"/>
        <n v="2103.7600000000002"/>
        <n v="2105.1999999999998"/>
        <n v="7289.06"/>
        <n v="4593.3900000000003"/>
        <n v="4349.97"/>
        <n v="2494.2399999999998"/>
        <n v="8995.0499999999993"/>
        <n v="507.2"/>
        <n v="751.96"/>
        <n v="32703.23"/>
        <n v="9614.06"/>
        <n v="4733.6000000000004"/>
        <n v="6648.22"/>
        <n v="5175.25"/>
        <n v="0.99"/>
        <n v="7791.46"/>
        <n v="1.34"/>
        <n v="691.39"/>
        <n v="4290.18"/>
        <n v="491.1"/>
        <n v="3208.86"/>
        <n v="7512.82"/>
        <n v="14547.04"/>
        <n v="1211"/>
        <n v="3597.68"/>
        <n v="7062.71"/>
        <n v="5.34"/>
        <n v="522.63"/>
        <n v="2095.71"/>
        <n v="1451.06"/>
        <n v="4345.6099999999997"/>
        <n v="2412.1799999999998"/>
        <n v="4579.92"/>
        <n v="14578.12"/>
        <n v="13441.24"/>
        <n v="16121.39"/>
        <n v="2102.37"/>
        <n v="9868.43"/>
        <n v="3785.22"/>
        <n v="6368.57"/>
        <n v="9131.4599999999991"/>
        <n v="6213.33"/>
        <n v="3014.34"/>
        <n v="7073.76"/>
        <n v="15069.56"/>
        <n v="7494.86"/>
        <n v="8772.33"/>
        <n v="30481.3"/>
        <n v="3280.93"/>
        <n v="4422.4399999999996"/>
        <n v="6564.12"/>
        <n v="9316.81"/>
        <n v="10318.92"/>
        <n v="3808.83"/>
        <n v="4395.91"/>
        <n v="14842.95"/>
        <n v="505.37"/>
        <n v="1346.42"/>
        <n v="243.17"/>
        <n v="2691.58"/>
        <n v="5925.73"/>
        <n v="5176.63"/>
        <n v="7620.45"/>
        <n v="1168.94"/>
        <n v="6533.87"/>
        <n v="21.22"/>
        <n v="2190.42"/>
        <n v="633.74"/>
        <n v="18877.78"/>
        <n v="3026.4"/>
        <n v="12309.71"/>
        <n v="2190.39"/>
        <n v="11163.04"/>
        <n v="8455.44"/>
        <n v="4423.0200000000004"/>
        <n v="9933.82"/>
        <n v="4425.79"/>
        <n v="66464.31"/>
        <n v="4850.0200000000004"/>
        <n v="12246.32"/>
        <n v="10397.799999999999"/>
        <n v="6713.86"/>
        <n v="135.66999999999999"/>
        <n v="10107.959999999999"/>
        <n v="4167.6400000000003"/>
        <n v="13428.5"/>
        <n v="1104.6099999999999"/>
        <n v="5"/>
        <n v="31481.439999999999"/>
        <n v="8722.3799999999992"/>
        <n v="183.65"/>
        <n v="4088.49"/>
        <n v="1664.29"/>
        <n v="2908.42"/>
        <n v="8993.15"/>
        <n v="46.01"/>
        <n v="0.66"/>
        <n v="6288.09"/>
        <n v="47.66"/>
        <n v="6935.99"/>
        <n v="189.32"/>
        <n v="4406.9799999999996"/>
        <n v="119.95"/>
        <n v="43"/>
        <n v="71.98"/>
        <n v="4253.05"/>
        <n v="36"/>
        <n v="8178.1"/>
        <n v="5652.07"/>
        <n v="1264.3399999999999"/>
        <n v="14083.53"/>
        <n v="2041.07"/>
        <n v="733.39"/>
        <n v="2001.55"/>
        <n v="5949.05"/>
        <n v="2550.33"/>
        <n v="1726.19"/>
        <n v="894.45"/>
        <n v="12233.14"/>
        <n v="5305.43"/>
        <n v="3176.66"/>
        <n v="12096.9"/>
        <n v="1393.76"/>
        <n v="2219.7800000000002"/>
        <n v="4028.11"/>
        <n v="24380.16"/>
        <n v="1510.68"/>
        <n v="326.5"/>
        <n v="4459.16"/>
        <n v="577.61"/>
        <n v="6999.72"/>
        <n v="442.87"/>
        <n v="23726.95"/>
        <n v="3702.75"/>
        <n v="1564.71"/>
        <n v="42.65"/>
        <n v="10421.280000000001"/>
        <n v="489.28"/>
        <n v="16020.29"/>
        <n v="43.72"/>
        <n v="7220.55"/>
        <n v="1838.2"/>
        <n v="72.680000000000007"/>
        <n v="333.98"/>
        <n v="5113.42"/>
        <n v="3899.66"/>
        <n v="627.71"/>
        <n v="11449.4"/>
        <n v="8582.85"/>
        <n v="2877.99"/>
        <n v="2"/>
        <n v="8860.5499999999993"/>
        <n v="5850.92"/>
        <n v="383.62"/>
        <n v="380.05"/>
        <n v="4272.51"/>
        <n v="10768.08"/>
        <n v="15.32"/>
        <n v="7757.61"/>
        <n v="2789.79"/>
        <n v="3905.62"/>
        <n v="4150.71"/>
        <n v="232.86"/>
        <n v="11274.29"/>
        <n v="857.55"/>
        <n v="917.21"/>
        <n v="3078.02"/>
        <n v="5959.22"/>
        <n v="2822.58"/>
        <n v="14.33"/>
        <n v="6183.13"/>
        <n v="3453.03"/>
        <n v="3759.46"/>
        <n v="5953.88"/>
        <n v="3100.06"/>
        <n v="4674.26"/>
        <n v="8390.85"/>
        <n v="8485.2900000000009"/>
        <n v="2844.43"/>
        <n v="14934.04"/>
        <n v="9646.32"/>
        <n v="101.27"/>
        <n v="12.96"/>
        <n v="97.64"/>
        <n v="25.31"/>
        <n v="10651.94"/>
        <n v="8641.2199999999993"/>
        <n v="493.73"/>
        <n v="1889.87"/>
        <n v="6293.54"/>
        <n v="499.87"/>
        <n v="2635.59"/>
        <n v="1137.6500000000001"/>
        <n v="18267.36"/>
        <n v="17073.86"/>
        <n v="14663.07"/>
        <n v="19836.939999999999"/>
        <n v="29704.12"/>
        <n v="10838.75"/>
        <n v="27424.03"/>
        <n v="8504.56"/>
        <n v="12758.72"/>
        <n v="17120.669999999998"/>
        <n v="15560.38"/>
        <n v="17349.189999999999"/>
        <n v="10870.28"/>
        <n v="10322.959999999999"/>
        <n v="18371.22"/>
        <n v="26264.33"/>
        <n v="14694.23"/>
        <n v="10395.36"/>
        <n v="9723.67"/>
        <n v="8614.89"/>
        <n v="15677.9"/>
        <n v="8108.46"/>
        <n v="9778.3700000000008"/>
        <n v="13678.95"/>
        <n v="435.58"/>
        <n v="624.96"/>
        <n v="3181.17"/>
        <n v="8.99"/>
        <n v="11.34"/>
        <n v="10.98"/>
        <n v="10599.24"/>
        <n v="576.41"/>
        <n v="2710.31"/>
        <n v="2437.1999999999998"/>
        <n v="1417.33"/>
        <n v="67953.679999999993"/>
        <n v="8826.08"/>
        <n v="5332.44"/>
        <n v="29.37"/>
        <n v="371.97"/>
        <n v="223.34"/>
        <n v="1584.05"/>
        <n v="9173.52"/>
        <n v="623.21"/>
        <n v="1040.22"/>
        <n v="924.87"/>
        <n v="363.02"/>
        <n v="2029.32"/>
        <n v="244.35"/>
        <n v="1336.39"/>
        <n v="158.02000000000001"/>
        <n v="1760.72"/>
        <n v="326.63"/>
        <n v="80.650000000000006"/>
        <n v="518.33000000000004"/>
        <n v="11.63"/>
        <n v="26.67"/>
        <n v="86.68"/>
        <m/>
      </sharedItems>
    </cacheField>
    <cacheField name="Overages" numFmtId="0">
      <sharedItems containsBlank="1" containsMixedTypes="1" containsNumber="1" minValue="0" maxValue="9997.0999999999967"/>
    </cacheField>
    <cacheField name="Minutes_Inbound" numFmtId="0">
      <sharedItems containsBlank="1" containsMixedTypes="1" containsNumber="1" minValue="0" maxValue="43840.15"/>
    </cacheField>
    <cacheField name="Minutes_Outbound" numFmtId="0">
      <sharedItems containsBlank="1" containsMixedTypes="1" containsNumber="1" minValue="0" maxValue="41070.6"/>
    </cacheField>
    <cacheField name="Minutes_Humanatic" numFmtId="0">
      <sharedItems containsBlank="1" containsMixedTypes="1" containsNumber="1" minValue="0" maxValue="53844.67"/>
    </cacheField>
    <cacheField name="Price_plan" numFmtId="0">
      <sharedItems containsBlank="1"/>
    </cacheField>
    <cacheField name="Billing_amount" numFmtId="165">
      <sharedItems containsString="0" containsBlank="1" containsNumber="1" minValue="0" maxValue="3715.9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ntanion, Christine" refreshedDate="45998.873132638888" createdVersion="8" refreshedVersion="8" minRefreshableVersion="3" recordCount="73" xr:uid="{A9562F27-E7F5-4728-A4DC-D4FBDFF80C0C}">
  <cacheSource type="worksheet">
    <worksheetSource ref="A1:CP74" sheet="Cognos - CDK Contract Detail"/>
  </cacheSource>
  <cacheFields count="94">
    <cacheField name="CDF ID" numFmtId="0">
      <sharedItems/>
    </cacheField>
    <cacheField name="CNV CDF Catalog Number" numFmtId="0">
      <sharedItems containsBlank="1"/>
    </cacheField>
    <cacheField name="CNV Catalog Number Description" numFmtId="0">
      <sharedItems containsBlank="1"/>
    </cacheField>
    <cacheField name="Consolidated Location Type Rollup" numFmtId="0">
      <sharedItems/>
    </cacheField>
    <cacheField name="Active Automobile Party Count Tier" numFmtId="0">
      <sharedItems/>
    </cacheField>
    <cacheField name="Consolidated Location Type Tier" numFmtId="0">
      <sharedItems/>
    </cacheField>
    <cacheField name="Location Type/General Classification" numFmtId="0">
      <sharedItems/>
    </cacheField>
    <cacheField name="Term" numFmtId="169">
      <sharedItems containsSemiMixedTypes="0" containsString="0" containsNumber="1" containsInteger="1" minValue="1" maxValue="66"/>
    </cacheField>
    <cacheField name="Ship-To CMF" numFmtId="0">
      <sharedItems containsNonDate="0" containsString="0" containsBlank="1"/>
    </cacheField>
    <cacheField name="Recurring Charge Ship-to CMF" numFmtId="0">
      <sharedItems containsBlank="1"/>
    </cacheField>
    <cacheField name="Is Ford Direct (Y/N)" numFmtId="0">
      <sharedItems/>
    </cacheField>
    <cacheField name="Is Ford Direct Sister Store (Y/N)" numFmtId="0">
      <sharedItems/>
    </cacheField>
    <cacheField name="CMF Number" numFmtId="0">
      <sharedItems count="34">
        <s v="76215681"/>
        <s v="76003426"/>
        <s v="08320047"/>
        <s v="76167994"/>
        <s v="76055608"/>
        <s v="76212580"/>
        <s v="76067593"/>
        <s v="76062949"/>
        <s v="76201662"/>
        <s v="76228629"/>
        <s v="76217678"/>
        <s v="76215011"/>
        <s v="76211956"/>
        <s v="76220529"/>
        <s v="76211594"/>
        <s v="76200288"/>
        <s v="76211939"/>
        <s v="76220548"/>
        <s v="76049589"/>
        <s v="76143222"/>
        <s v="76171765"/>
        <s v="25181201"/>
        <s v="76211900"/>
        <s v="76177675"/>
        <s v="76224283"/>
        <s v="76193826"/>
        <s v="76066612"/>
        <s v="76049550"/>
        <s v="76252487"/>
        <s v="76166962"/>
        <s v="76230032"/>
        <s v="76208041"/>
        <s v="76049571"/>
        <s v="76165887"/>
      </sharedItems>
    </cacheField>
    <cacheField name="ELEAD Id" numFmtId="0">
      <sharedItems containsBlank="1"/>
    </cacheField>
    <cacheField name="Ship-To Name" numFmtId="0">
      <sharedItems count="34">
        <s v="TRENT CADILLAC BUICK GMC"/>
        <s v="FAIR OAKS CHANTILLY CHRYSLER DODGE JEEP RAM"/>
        <s v="CELLA FORD"/>
        <s v="MURRAY CHRYSLER DODGE JEEP"/>
        <s v="ROSEDALE CHEVROLET"/>
        <s v="EMERALD COAST HARLEY-DAVIDSON"/>
        <s v="KEYSER &amp; MILLER FORD"/>
        <s v="FREDY KIA"/>
        <s v="MCSWEENEY CHRYSLER DODGE JEEP RAM"/>
        <s v="MIDLANDS TOYOTA"/>
        <s v="BOB BELL HYUNDAI"/>
        <s v="PIAZZA NISSAN OF ARDMORE"/>
        <s v="MOBILE BAY HARLEY DAVIDSON"/>
        <s v="GALEANA CHRYSLER DODGE JEEP RAM OF FORT MYERS"/>
        <s v="LOKEY NISSAN"/>
        <s v="AUDI JACKSONVILLE"/>
        <s v="MOONSHINE HARLEY DAVIDSON"/>
        <s v="GALEANA KIA OF FORT MYERS"/>
        <s v="KING KIA"/>
        <s v="BAKER BUICK GMC CADILLAC"/>
        <s v="RENALDO KIA"/>
        <s v="BOB BELL FORD"/>
        <s v="NEW ORLEANS HARLEY-DAVIDSON"/>
        <s v="COCONUT POINT HONDA"/>
        <s v="UNION AUTO GRUPO USADOS"/>
        <s v="GRAINGER NISSAN OF BEAUFORT"/>
        <s v="ZIMBRICK ACURA OF BROOKFIELD"/>
        <s v="MEL HAMBELTON FORD"/>
        <s v="PREMIER TOYOTA"/>
        <s v="STANLEY FORD SWEETWATER"/>
        <s v="KING KIA OF LAUREL"/>
        <s v="KRAFT INFINITI"/>
        <s v="KING VOLKSWAGEN"/>
        <s v="MODERN NISSAN OF LAKE NORMAN"/>
      </sharedItems>
    </cacheField>
    <cacheField name="CDF Status (w/ATN)" numFmtId="0">
      <sharedItems/>
    </cacheField>
    <cacheField name="CDF Sale Type" numFmtId="0">
      <sharedItems/>
    </cacheField>
    <cacheField name="Conversion To CDF ID" numFmtId="0">
      <sharedItems containsBlank="1"/>
    </cacheField>
    <cacheField name="CNV CDF ID" numFmtId="0">
      <sharedItems containsBlank="1"/>
    </cacheField>
    <cacheField name="Installed DMS Vendor &amp; System" numFmtId="0">
      <sharedItems containsNonDate="0" containsString="0" containsBlank="1"/>
    </cacheField>
    <cacheField name="Consolidation Id" numFmtId="0">
      <sharedItems/>
    </cacheField>
    <cacheField name="Consolidation Name" numFmtId="0">
      <sharedItems/>
    </cacheField>
    <cacheField name="Consolidated Party Number" numFmtId="0">
      <sharedItems/>
    </cacheField>
    <cacheField name="Consolidated Party Name" numFmtId="0">
      <sharedItems/>
    </cacheField>
    <cacheField name="Consolidated Location Type" numFmtId="0">
      <sharedItems/>
    </cacheField>
    <cacheField name="Default Bill-To CMF Number" numFmtId="0">
      <sharedItems/>
    </cacheField>
    <cacheField name="Default Bill-To Name" numFmtId="0">
      <sharedItems/>
    </cacheField>
    <cacheField name="Bill-To Designation CMF" numFmtId="0">
      <sharedItems containsNonDate="0" containsString="0" containsBlank="1"/>
    </cacheField>
    <cacheField name="Bill-To Name" numFmtId="0">
      <sharedItems/>
    </cacheField>
    <cacheField name="Business Unit Code" numFmtId="0">
      <sharedItems/>
    </cacheField>
    <cacheField name="Region Code" numFmtId="0">
      <sharedItems/>
    </cacheField>
    <cacheField name="Market Code" numFmtId="0">
      <sharedItems/>
    </cacheField>
    <cacheField name="Ship-To/Location Address" numFmtId="0">
      <sharedItems/>
    </cacheField>
    <cacheField name="Ship-To City" numFmtId="0">
      <sharedItems/>
    </cacheField>
    <cacheField name="Ship-To State/Province" numFmtId="0">
      <sharedItems/>
    </cacheField>
    <cacheField name="Ship-To Country" numFmtId="0">
      <sharedItems/>
    </cacheField>
    <cacheField name="Catalog Number" numFmtId="0">
      <sharedItems count="18">
        <s v="4570058"/>
        <s v="4570602"/>
        <s v="4570060"/>
        <s v="4571047"/>
        <s v="4570383"/>
        <s v="4570009"/>
        <s v="4570289"/>
        <s v="4570120"/>
        <s v="4570123"/>
        <s v="4571029"/>
        <s v="4571030"/>
        <s v="4571049"/>
        <s v="4570062"/>
        <s v="4570288"/>
        <s v="4570122"/>
        <s v="4570089"/>
        <s v="4570084"/>
        <s v="4570290"/>
      </sharedItems>
    </cacheField>
    <cacheField name="Catalog Description" numFmtId="0">
      <sharedItems count="18">
        <s v="CARWARS STARTER 7500"/>
        <s v="INTERACTIVETEL TOTAL TRACK 200+"/>
        <s v="CRM OUTBOUND TELEPHONY TRACKING (NEW AND CONVERSION)"/>
        <s v="CALLREVU GROWTH 5K"/>
        <s v="EL1OUTCALLTRACK (GM IMR)"/>
        <s v="CARWARS STARTER 3500"/>
        <s v="CARWARS ELITE 12,500 PACKAGE"/>
        <s v="CRM TELEPHONY TRACKING"/>
        <s v="CARWARS ADVANCED SERVICE"/>
        <s v="CARWARS ADDITIONAL BLOCK MINUTES"/>
        <s v="CARWARS STARTER 5000"/>
        <s v="CALLREVU GROWTH 15K"/>
        <s v="CARWARS PREMIUM SALES"/>
        <s v="CARWARS TEXTING (PREMIUM)"/>
        <s v="CARWARS ADVANCED SALES"/>
        <s v="CALLREVU 8000"/>
        <s v="CALLREVU CALL TRACKING PLUS 4000"/>
        <s v="CALLREVU 50 PACKAGE"/>
      </sharedItems>
    </cacheField>
    <cacheField name="Rollup Level Description" numFmtId="0">
      <sharedItems/>
    </cacheField>
    <cacheField name="Product Level 1 Description" numFmtId="0">
      <sharedItems/>
    </cacheField>
    <cacheField name="Product Level 2 Description" numFmtId="0">
      <sharedItems/>
    </cacheField>
    <cacheField name="Product Level 3 Consolidator Description" numFmtId="0">
      <sharedItems/>
    </cacheField>
    <cacheField name="Product Tier" numFmtId="0">
      <sharedItems containsNonDate="0" containsString="0" containsBlank="1"/>
    </cacheField>
    <cacheField name="Primary (Y/N/NA)" numFmtId="0">
      <sharedItems/>
    </cacheField>
    <cacheField name="Quantity" numFmtId="3">
      <sharedItems containsSemiMixedTypes="0" containsString="0" containsNumber="1" containsInteger="1" minValue="1" maxValue="1"/>
    </cacheField>
    <cacheField name="Front-End List (U.S.)" numFmtId="168">
      <sharedItems containsSemiMixedTypes="0" containsString="0" containsNumber="1" containsInteger="1" minValue="0" maxValue="0"/>
    </cacheField>
    <cacheField name="Front-End Sale (U.S.)" numFmtId="168">
      <sharedItems containsSemiMixedTypes="0" containsString="0" containsNumber="1" containsInteger="1" minValue="0" maxValue="0"/>
    </cacheField>
    <cacheField name="Install List (U.S.)" numFmtId="168">
      <sharedItems containsSemiMixedTypes="0" containsString="0" containsNumber="1" containsInteger="1" minValue="0" maxValue="0"/>
    </cacheField>
    <cacheField name="Install Sale (U.S.)" numFmtId="168">
      <sharedItems containsSemiMixedTypes="0" containsString="0" containsNumber="1" containsInteger="1" minValue="0" maxValue="0"/>
    </cacheField>
    <cacheField name="Monthly List (U.S.)" numFmtId="168">
      <sharedItems containsSemiMixedTypes="0" containsString="0" containsNumber="1" containsInteger="1" minValue="0" maxValue="1995"/>
    </cacheField>
    <cacheField name="Monthly Sale (U.S.)" numFmtId="168">
      <sharedItems containsSemiMixedTypes="0" containsString="0" containsNumber="1" minValue="70" maxValue="2981"/>
    </cacheField>
    <cacheField name="Total QC" numFmtId="0">
      <sharedItems containsSemiMixedTypes="0" containsString="0" containsNumber="1" minValue="-3811.92" maxValue="22188"/>
    </cacheField>
    <cacheField name="Free Months" numFmtId="3">
      <sharedItems containsSemiMixedTypes="0" containsString="0" containsNumber="1" containsInteger="1" minValue="0" maxValue="4"/>
    </cacheField>
    <cacheField name="Status Change Date" numFmtId="171">
      <sharedItems containsSemiMixedTypes="0" containsNonDate="0" containsDate="1" containsString="0" minDate="2020-02-17T00:00:00" maxDate="2025-11-20T00:00:00"/>
    </cacheField>
    <cacheField name="Roll Call Date" numFmtId="171">
      <sharedItems containsSemiMixedTypes="0" containsNonDate="0" containsDate="1" containsString="0" minDate="2019-07-30T00:00:00" maxDate="2025-11-08T00:00:00"/>
    </cacheField>
    <cacheField name="Roll Call Fiscal Year" numFmtId="169">
      <sharedItems containsSemiMixedTypes="0" containsString="0" containsNumber="1" containsInteger="1" minValue="2020" maxValue="2025"/>
    </cacheField>
    <cacheField name="Roll Call Fiscal Month" numFmtId="169">
      <sharedItems containsSemiMixedTypes="0" containsString="0" containsNumber="1" containsInteger="1" minValue="1" maxValue="17"/>
    </cacheField>
    <cacheField name="ANS Date" numFmtId="0">
      <sharedItems containsNonDate="0" containsDate="1" containsString="0" containsBlank="1" minDate="2024-08-22T00:00:00" maxDate="2024-08-23T00:00:00"/>
    </cacheField>
    <cacheField name="ANS Fiscal Year" numFmtId="0">
      <sharedItems containsString="0" containsBlank="1" containsNumber="1" containsInteger="1" minValue="2024" maxValue="2024"/>
    </cacheField>
    <cacheField name="ANS Fiscal Month" numFmtId="0">
      <sharedItems containsString="0" containsBlank="1" containsNumber="1" containsInteger="1" minValue="8" maxValue="8"/>
    </cacheField>
    <cacheField name="Protected From ATN (Y/N)" numFmtId="0">
      <sharedItems/>
    </cacheField>
    <cacheField name="Auto ANS (Y/N)" numFmtId="0">
      <sharedItems containsNonDate="0" containsString="0" containsBlank="1"/>
    </cacheField>
    <cacheField name="Auto ANS Date" numFmtId="0">
      <sharedItems containsNonDate="0" containsString="0" containsBlank="1"/>
    </cacheField>
    <cacheField name="Auto ANS Fiscal Year" numFmtId="0">
      <sharedItems containsNonDate="0" containsString="0" containsBlank="1"/>
    </cacheField>
    <cacheField name="Auto ANS Fiscal Month" numFmtId="0">
      <sharedItems containsNonDate="0" containsString="0" containsBlank="1"/>
    </cacheField>
    <cacheField name="Auto ANS Reverse Date" numFmtId="0">
      <sharedItems containsNonDate="0" containsString="0" containsBlank="1"/>
    </cacheField>
    <cacheField name="Auto ANS Reverse Fiscal Year" numFmtId="0">
      <sharedItems containsNonDate="0" containsString="0" containsBlank="1"/>
    </cacheField>
    <cacheField name="Auto ANS Reverse Fiscal Month" numFmtId="0">
      <sharedItems containsNonDate="0" containsString="0" containsBlank="1"/>
    </cacheField>
    <cacheField name="Actual Install Date" numFmtId="0">
      <sharedItems containsNonDate="0" containsDate="1" containsString="0" containsBlank="1" minDate="2019-09-16T00:00:00" maxDate="2025-11-20T00:00:00" count="48">
        <d v="2020-05-04T00:00:00"/>
        <d v="2021-11-01T00:00:00"/>
        <d v="2020-02-01T00:00:00"/>
        <d v="2025-07-31T00:00:00"/>
        <d v="2021-02-24T00:00:00"/>
        <d v="2021-06-16T00:00:00"/>
        <d v="2024-01-08T00:00:00"/>
        <d v="2024-02-26T00:00:00"/>
        <d v="2023-12-19T00:00:00"/>
        <d v="2024-04-08T00:00:00"/>
        <d v="2020-05-14T00:00:00"/>
        <d v="2023-06-13T00:00:00"/>
        <d v="2020-04-01T00:00:00"/>
        <d v="2020-10-14T00:00:00"/>
        <d v="2024-04-18T00:00:00"/>
        <d v="2022-01-25T00:00:00"/>
        <d v="2024-09-10T00:00:00"/>
        <d v="2025-02-13T00:00:00"/>
        <d v="2024-10-01T00:00:00"/>
        <d v="2020-07-01T00:00:00"/>
        <d v="2021-02-12T00:00:00"/>
        <d v="2022-05-26T00:00:00"/>
        <d v="2023-02-01T00:00:00"/>
        <m/>
        <d v="2025-11-19T00:00:00"/>
        <d v="2021-09-22T00:00:00"/>
        <d v="2021-12-01T00:00:00"/>
        <d v="2020-09-08T00:00:00"/>
        <d v="2020-10-01T00:00:00"/>
        <d v="2021-04-12T00:00:00"/>
        <d v="2022-01-07T00:00:00"/>
        <d v="2021-12-07T00:00:00"/>
        <d v="2022-01-10T00:00:00"/>
        <d v="2021-06-09T00:00:00"/>
        <d v="2022-04-06T00:00:00"/>
        <d v="2024-12-16T00:00:00"/>
        <d v="2019-09-16T00:00:00"/>
        <d v="2025-11-12T00:00:00"/>
        <d v="2021-04-19T00:00:00"/>
        <d v="2022-04-12T00:00:00"/>
        <d v="2023-12-14T00:00:00"/>
        <d v="2025-02-11T00:00:00"/>
        <d v="2025-02-26T00:00:00"/>
        <d v="2021-06-08T00:00:00"/>
        <d v="2024-04-03T00:00:00"/>
        <d v="2021-10-04T00:00:00"/>
        <d v="2025-08-28T00:00:00"/>
        <d v="2020-08-10T00:00:00"/>
      </sharedItems>
    </cacheField>
    <cacheField name="Install Fiscal Year" numFmtId="0">
      <sharedItems containsString="0" containsBlank="1" containsNumber="1" containsInteger="1" minValue="2020" maxValue="2025"/>
    </cacheField>
    <cacheField name="Install Fiscal Month" numFmtId="0">
      <sharedItems containsString="0" containsBlank="1" containsNumber="1" containsInteger="1" minValue="1" maxValue="12"/>
    </cacheField>
    <cacheField name="Current Invoice Fiscal Year (based on Billing Cycle)" numFmtId="0">
      <sharedItems containsString="0" containsBlank="1" containsNumber="1" containsInteger="1" minValue="2026" maxValue="2026"/>
    </cacheField>
    <cacheField name="Install Fiscal Month (based on Billing Cycle)" numFmtId="0">
      <sharedItems containsString="0" containsBlank="1" containsNumber="1" containsInteger="1" minValue="1" maxValue="12"/>
    </cacheField>
    <cacheField name="Estimated Install Date" numFmtId="0">
      <sharedItems containsNonDate="0" containsDate="1" containsString="0" containsBlank="1" minDate="2019-07-17T00:00:00" maxDate="2025-11-20T00:00:00"/>
    </cacheField>
    <cacheField name="Estimated Install Fiscal Year" numFmtId="0">
      <sharedItems containsString="0" containsBlank="1" containsNumber="1" containsInteger="1" minValue="2020" maxValue="2025"/>
    </cacheField>
    <cacheField name="Estimated Install Fiscal Month" numFmtId="0">
      <sharedItems containsString="0" containsBlank="1" containsNumber="1" containsInteger="1" minValue="1" maxValue="12"/>
    </cacheField>
    <cacheField name="Estimated Install Fiscal Year (based on Billing Cycle)" numFmtId="0">
      <sharedItems containsString="0" containsBlank="1" containsNumber="1" containsInteger="1" minValue="2020" maxValue="2025"/>
    </cacheField>
    <cacheField name="Estimated Install Fiscal Month (based on Billing Cycle)" numFmtId="0">
      <sharedItems containsString="0" containsBlank="1" containsNumber="1" containsInteger="1" minValue="2" maxValue="12"/>
    </cacheField>
    <cacheField name="Loss Date" numFmtId="0">
      <sharedItems containsNonDate="0" containsDate="1" containsString="0" containsBlank="1" minDate="2020-02-17T00:00:00" maxDate="2025-11-01T00:00:00" count="42">
        <d v="2022-06-12T00:00:00"/>
        <d v="2023-12-18T00:00:00"/>
        <d v="2020-08-09T00:00:00"/>
        <m/>
        <d v="2024-04-02T00:00:00"/>
        <d v="2025-04-30T00:00:00"/>
        <d v="2024-02-25T00:00:00"/>
        <d v="2023-12-13T00:00:00"/>
        <d v="2025-07-31T00:00:00"/>
        <d v="2024-04-30T00:00:00"/>
        <d v="2024-10-30T00:00:00"/>
        <d v="2021-02-23T00:00:00"/>
        <d v="2025-02-28T00:00:00"/>
        <d v="2024-08-31T00:00:00"/>
        <d v="2021-12-06T00:00:00"/>
        <d v="2023-04-20T00:00:00"/>
        <d v="2025-09-24T00:00:00"/>
        <d v="2023-06-12T00:00:00"/>
        <d v="2025-01-31T00:00:00"/>
        <d v="2025-09-14T00:00:00"/>
        <d v="2021-04-30T00:00:00"/>
        <d v="2025-05-31T00:00:00"/>
        <d v="2025-09-30T00:00:00"/>
        <d v="2025-02-25T00:00:00"/>
        <d v="2020-08-31T00:00:00"/>
        <d v="2021-10-31T00:00:00"/>
        <d v="2021-11-30T00:00:00"/>
        <d v="2021-02-11T00:00:00"/>
        <d v="2022-01-24T00:00:00"/>
        <d v="2025-08-31T00:00:00"/>
        <d v="2024-09-09T00:00:00"/>
        <d v="2024-04-17T00:00:00"/>
        <d v="2020-04-30T00:00:00"/>
        <d v="2025-03-24T00:00:00"/>
        <d v="2021-10-03T00:00:00"/>
        <d v="2020-02-17T00:00:00"/>
        <d v="2025-08-27T00:00:00"/>
        <d v="2024-01-31T00:00:00"/>
        <d v="2020-06-30T00:00:00"/>
        <d v="2025-07-30T00:00:00"/>
        <d v="2025-10-31T00:00:00"/>
        <d v="2022-03-31T00:00:00"/>
      </sharedItems>
    </cacheField>
    <cacheField name="Loss Fiscal Year" numFmtId="0">
      <sharedItems containsString="0" containsBlank="1" containsNumber="1" containsInteger="1" minValue="2020" maxValue="2025"/>
    </cacheField>
    <cacheField name="Loss Fiscal Month" numFmtId="0">
      <sharedItems containsString="0" containsBlank="1" containsNumber="1" containsInteger="1" minValue="1" maxValue="12"/>
    </cacheField>
    <cacheField name="Reason Code" numFmtId="0">
      <sharedItems containsBlank="1"/>
    </cacheField>
    <cacheField name="Reason Code Description" numFmtId="0">
      <sharedItems containsBlank="1"/>
    </cacheField>
    <cacheField name="Rekey (Y/N)" numFmtId="0">
      <sharedItems containsBlank="1"/>
    </cacheField>
    <cacheField name="Reason Group Code" numFmtId="0">
      <sharedItems containsBlank="1"/>
    </cacheField>
    <cacheField name="Reason Group Description" numFmtId="0">
      <sharedItems containsBlank="1"/>
    </cacheField>
    <cacheField name="Reason Category Code" numFmtId="0">
      <sharedItems containsBlank="1"/>
    </cacheField>
    <cacheField name="Reason Category Description" numFmtId="0">
      <sharedItems containsBlank="1"/>
    </cacheField>
    <cacheField name="Scenario Code" numFmtId="0">
      <sharedItems containsBlank="1"/>
    </cacheField>
    <cacheField name="Scenario Description" numFmtId="0">
      <sharedItems containsBlank="1"/>
    </cacheField>
    <cacheField name="Chosen Alternative Description" numFmtId="0">
      <sharedItems containsBlank="1"/>
    </cacheField>
    <cacheField name="Replacement Vendor Name" numFmtId="0">
      <sharedItems containsBlank="1"/>
    </cacheField>
    <cacheField name="Hold Code" numFmtId="0">
      <sharedItems containsNonDate="0" containsString="0" containsBlank="1"/>
    </cacheField>
    <cacheField name="Hold Code Description"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ntanion, Christine" refreshedDate="46008.364454282404" createdVersion="8" refreshedVersion="8" minRefreshableVersion="3" recordCount="384" xr:uid="{A5BB23C6-4774-44F6-9F5E-5FB077778637}">
  <cacheSource type="worksheet">
    <worksheetSource ref="A1:Z1048576" sheet="Nov Inv Recon"/>
  </cacheSource>
  <cacheFields count="26">
    <cacheField name="Account" numFmtId="0">
      <sharedItems containsBlank="1"/>
    </cacheField>
    <cacheField name="Customer_ID" numFmtId="0">
      <sharedItems containsString="0" containsBlank="1" containsNumber="1" containsInteger="1" minValue="8012" maxValue="188958"/>
    </cacheField>
    <cacheField name="External Billing ID" numFmtId="0">
      <sharedItems containsBlank="1" containsMixedTypes="1" containsNumber="1" containsInteger="1" minValue="468" maxValue="76243311"/>
    </cacheField>
    <cacheField name="Total minutes" numFmtId="0">
      <sharedItems containsString="0" containsBlank="1" containsNumber="1" minValue="0" maxValue="67953.679999999993"/>
    </cacheField>
    <cacheField name="Overages" numFmtId="165">
      <sharedItems containsString="0" containsBlank="1" containsNumber="1" minValue="0" maxValue="1182.1400000000001"/>
    </cacheField>
    <cacheField name="Billing_amount" numFmtId="165">
      <sharedItems containsString="0" containsBlank="1" containsNumber="1" minValue="0" maxValue="3725.99"/>
    </cacheField>
    <cacheField name="CarWars Excl Overage" numFmtId="0">
      <sharedItems containsString="0" containsBlank="1" containsNumber="1" minValue="0" maxValue="3437"/>
    </cacheField>
    <cacheField name="CMF" numFmtId="0">
      <sharedItems containsBlank="1" containsMixedTypes="1" containsNumber="1" containsInteger="1" minValue="13496595" maxValue="76247573"/>
    </cacheField>
    <cacheField name="Ship to Name" numFmtId="0">
      <sharedItems containsBlank="1"/>
    </cacheField>
    <cacheField name="ANS Date" numFmtId="0">
      <sharedItems containsNonDate="0" containsDate="1" containsString="0" containsBlank="1" minDate="2024-08-22T00:00:00" maxDate="2024-08-23T00:00:00"/>
    </cacheField>
    <cacheField name="Install Date" numFmtId="0">
      <sharedItems containsNonDate="0" containsDate="1" containsString="0" containsBlank="1" minDate="2020-02-01T00:00:00" maxDate="2024-10-02T00:00:00"/>
    </cacheField>
    <cacheField name="LSS Date" numFmtId="0">
      <sharedItems containsNonDate="0" containsDate="1" containsString="0" containsBlank="1" minDate="2020-02-17T00:00:00" maxDate="2025-11-01T00:00:00"/>
    </cacheField>
    <cacheField name="Catalog Number" numFmtId="0">
      <sharedItems containsBlank="1"/>
    </cacheField>
    <cacheField name="Catalog Description" numFmtId="0">
      <sharedItems containsBlank="1"/>
    </cacheField>
    <cacheField name="CDK Billing" numFmtId="165">
      <sharedItems containsBlank="1" containsMixedTypes="1" containsNumber="1" minValue="0" maxValue="4979"/>
    </cacheField>
    <cacheField name="CDK Overages" numFmtId="165">
      <sharedItems containsString="0" containsBlank="1" containsNumber="1" minValue="0" maxValue="955.96"/>
    </cacheField>
    <cacheField name="CDK total Billing" numFmtId="165">
      <sharedItems containsBlank="1" containsMixedTypes="1" containsNumber="1" minValue="0" maxValue="4979"/>
    </cacheField>
    <cacheField name="Margin Excl Overage" numFmtId="0">
      <sharedItems containsBlank="1" containsMixedTypes="1" containsNumber="1" minValue="-1561.65" maxValue="1542"/>
    </cacheField>
    <cacheField name="Margin % Excl Overage" numFmtId="0">
      <sharedItems containsBlank="1" containsMixedTypes="1" containsNumber="1" minValue="-78.08250000000001" maxValue="1"/>
    </cacheField>
    <cacheField name="Comment Group" numFmtId="0">
      <sharedItems containsBlank="1" count="21">
        <s v="ANS/Loss"/>
        <s v="ANS/Loss - Click to all active and reason on CLM of billing line is that this is downgrading to Carwars starter 7500 from carwars advanced sales - no billing though"/>
        <s v="ANS/Loss - Deactivated Apr - Reactive as of Sept"/>
        <s v="ANS/Loss - sent form but Carwars said dealer wanted to keep it but no billing - sent email to sales"/>
        <s v="ANS/Loss - sent to carwars 8/12/25"/>
        <s v="ANS/Loss - Sent to carwars 8/8/25"/>
        <s v="Margin &gt;30%"/>
        <s v="Moved to call Revu"/>
        <s v="Moved to Call Revu in 2021"/>
        <s v="Negative Margin"/>
        <s v="CDK no Charge"/>
        <s v="Negative Margin - Should have been Deactivated in Sep"/>
        <s v="No Charge from Car wars"/>
        <s v="No charge from Carwars"/>
        <s v="No charge from CarWars but CDK Billing"/>
        <s v="No match"/>
        <s v="Only biling secondary packages"/>
        <s v="Positive Margin &lt;30%"/>
        <s v="Positive Margin &gt; 30%"/>
        <m/>
        <s v="OK" u="1"/>
      </sharedItems>
    </cacheField>
    <cacheField name="CDK Package 1" numFmtId="0">
      <sharedItems containsBlank="1"/>
    </cacheField>
    <cacheField name="CDK Package 2" numFmtId="0">
      <sharedItems containsBlank="1"/>
    </cacheField>
    <cacheField name="CDK Package 3" numFmtId="0">
      <sharedItems containsBlank="1"/>
    </cacheField>
    <cacheField name="CallRevu Package 1" numFmtId="0">
      <sharedItems containsBlank="1"/>
    </cacheField>
    <cacheField name="CallRevu Package 2" numFmtId="0">
      <sharedItems containsBlank="1"/>
    </cacheField>
    <cacheField name="CallRevu Package 3"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ntanion, Christine" refreshedDate="46008.394706250001" createdVersion="8" refreshedVersion="8" minRefreshableVersion="3" recordCount="631" xr:uid="{A4A7EA00-74F6-46FE-9EDD-DF051CF082BE}">
  <cacheSource type="worksheet">
    <worksheetSource ref="A1:AB1048576" sheet="Cognos - Nov Billing CDK"/>
  </cacheSource>
  <cacheFields count="28">
    <cacheField name="Business Unit Code" numFmtId="0">
      <sharedItems containsBlank="1"/>
    </cacheField>
    <cacheField name="Product Level 1 Description" numFmtId="0">
      <sharedItems containsBlank="1"/>
    </cacheField>
    <cacheField name="Product Level 2 Description" numFmtId="0">
      <sharedItems containsBlank="1"/>
    </cacheField>
    <cacheField name="Product Level 3 Description" numFmtId="0">
      <sharedItems containsBlank="1"/>
    </cacheField>
    <cacheField name="Line of Business Code" numFmtId="0">
      <sharedItems containsBlank="1"/>
    </cacheField>
    <cacheField name="Account Code" numFmtId="0">
      <sharedItems containsBlank="1"/>
    </cacheField>
    <cacheField name="Primary (Y/N/NA)" numFmtId="0">
      <sharedItems containsBlank="1"/>
    </cacheField>
    <cacheField name="Ship-To/Location State/Province" numFmtId="0">
      <sharedItems containsBlank="1"/>
    </cacheField>
    <cacheField name="One Time Amount (U.S.)" numFmtId="0">
      <sharedItems containsString="0" containsBlank="1" containsNumber="1" minValue="0" maxValue="955.96"/>
    </cacheField>
    <cacheField name="Recurring Amount (U.S.)" numFmtId="0">
      <sharedItems containsString="0" containsBlank="1" containsNumber="1" minValue="0" maxValue="3700.63"/>
    </cacheField>
    <cacheField name="Quantity" numFmtId="0">
      <sharedItems containsString="0" containsBlank="1" containsNumber="1" containsInteger="1" minValue="1" maxValue="11"/>
    </cacheField>
    <cacheField name="CMF Number" numFmtId="0">
      <sharedItems containsBlank="1" count="489">
        <s v="76125298"/>
        <s v="76149019"/>
        <s v="76164812"/>
        <s v="76169916"/>
        <s v="76179964"/>
        <s v="76195594"/>
        <s v="76202353"/>
        <s v="76202355"/>
        <s v="76202358"/>
        <s v="76202360"/>
        <s v="76202491"/>
        <s v="76202492"/>
        <s v="76202493"/>
        <s v="76202498"/>
        <s v="76202499"/>
        <s v="76202505"/>
        <s v="76202508"/>
        <s v="76202509"/>
        <s v="76202512"/>
        <s v="76202568"/>
        <s v="76202671"/>
        <s v="76202911"/>
        <s v="76204566"/>
        <s v="76211510"/>
        <s v="76211538"/>
        <s v="76211548"/>
        <s v="76211580"/>
        <s v="76211581"/>
        <s v="76211755"/>
        <s v="76211981"/>
        <s v="76211989"/>
        <s v="76212075"/>
        <s v="76212090"/>
        <s v="76212307"/>
        <s v="76212369"/>
        <s v="76212419"/>
        <s v="76214531"/>
        <s v="76214817"/>
        <s v="76215188"/>
        <s v="76216792"/>
        <s v="76217403"/>
        <s v="76217603"/>
        <s v="76217649"/>
        <s v="76218332"/>
        <s v="76219122"/>
        <s v="76221153"/>
        <s v="76228429"/>
        <s v="76228607"/>
        <s v="76232503"/>
        <s v="76232504"/>
        <s v="76232648"/>
        <s v="76235670"/>
        <s v="76236637"/>
        <s v="76238017"/>
        <s v="76242001"/>
        <s v="76242002"/>
        <s v="76244926"/>
        <s v="76245508"/>
        <s v="76245758"/>
        <s v="76245787"/>
        <s v="76245927"/>
        <s v="76250786"/>
        <s v="76251847"/>
        <s v="76252209"/>
        <s v="76252216"/>
        <s v="52462701"/>
        <s v="76179599"/>
        <s v="76225979"/>
        <s v="76225980"/>
        <s v="76179594"/>
        <s v="76255362"/>
        <s v="76254199"/>
        <s v="76254227"/>
        <s v="76254200"/>
        <s v="76254201"/>
        <s v="76255144"/>
        <s v="76256438"/>
        <s v="76257159"/>
        <s v="76257162"/>
        <s v="76257174"/>
        <s v="76257172"/>
        <s v="76213067"/>
        <s v="76237872"/>
        <s v="71057013"/>
        <s v="09700157"/>
        <s v="01021824"/>
        <s v="76208075"/>
        <s v="76187302"/>
        <s v="76251019"/>
        <s v="76029454"/>
        <s v="01021828"/>
        <s v="76229204"/>
        <s v="01327379"/>
        <s v="01021822"/>
        <s v="76244702"/>
        <s v="76186951"/>
        <s v="76001666"/>
        <s v="76238766"/>
        <s v="76066623"/>
        <s v="08300413"/>
        <s v="71043924"/>
        <s v="71043923"/>
        <s v="76246712"/>
        <s v="76066638"/>
        <s v="76066622"/>
        <s v="76253988"/>
        <s v="76066646"/>
        <s v="76066626"/>
        <s v="76066605"/>
        <s v="76066633"/>
        <s v="76071534"/>
        <s v="76076583"/>
        <s v="52079901"/>
        <s v="76158989"/>
        <s v="76241289"/>
        <s v="76243828"/>
        <s v="76213066"/>
        <s v="76024834"/>
        <s v="76003331"/>
        <s v="76256834"/>
        <s v="76058883"/>
        <s v="76230046"/>
        <s v="76212103"/>
        <s v="76003345"/>
        <s v="76238599"/>
        <s v="76214799"/>
        <s v="76210608"/>
        <s v="76037927"/>
        <s v="71058098"/>
        <s v="76153470"/>
        <s v="76233858"/>
        <s v="76076425"/>
        <s v="76212200"/>
        <s v="76075892"/>
        <s v="76243311"/>
        <s v="76228449"/>
        <s v="76256842"/>
        <s v="76145456"/>
        <s v="76232941"/>
        <s v="76234209"/>
        <s v="76226286"/>
        <s v="76212370"/>
        <s v="76158992"/>
        <s v="76213688"/>
        <s v="76229614"/>
        <s v="76211659"/>
        <s v="01262401"/>
        <s v="41741101"/>
        <s v="76022930"/>
        <s v="76232569"/>
        <s v="76071533"/>
        <s v="76025044"/>
        <s v="76211920"/>
        <s v="76144665"/>
        <s v="76210024"/>
        <s v="76238033"/>
        <s v="76231359"/>
        <s v="71061710"/>
        <s v="52198501"/>
        <s v="71061706"/>
        <s v="71061708"/>
        <s v="76193819"/>
        <s v="76150081"/>
        <s v="76025871"/>
        <s v="76240828"/>
        <s v="01021835"/>
        <s v="71063916"/>
        <s v="01021829"/>
        <s v="76072454"/>
        <s v="76160401"/>
        <s v="71057131"/>
        <s v="76061826"/>
        <s v="01021802"/>
        <s v="76025122"/>
        <s v="76145782"/>
        <s v="76213059"/>
        <s v="76031247"/>
        <s v="71039289"/>
        <s v="76142673"/>
        <s v="71060891"/>
        <s v="76229657"/>
        <s v="76216996"/>
        <s v="71058869"/>
        <s v="76250876"/>
        <s v="76072668"/>
        <s v="76250877"/>
        <s v="76212334"/>
        <s v="76250879"/>
        <s v="76237651"/>
        <s v="76215888"/>
        <s v="25298851"/>
        <s v="76192405"/>
        <s v="76250870"/>
        <s v="76237653"/>
        <s v="76242141"/>
        <s v="76236368"/>
        <s v="71047244"/>
        <s v="76250872"/>
        <s v="76161776"/>
        <s v="76030502"/>
        <s v="25298808"/>
        <s v="76152812"/>
        <s v="76036962"/>
        <s v="76220875"/>
        <s v="76183681"/>
        <s v="08300018"/>
        <s v="76208273"/>
        <s v="76044726"/>
        <s v="76090518"/>
        <s v="76250874"/>
        <s v="76237654"/>
        <s v="71043919"/>
        <s v="76219293"/>
        <s v="76250884"/>
        <s v="76250875"/>
        <s v="76225896"/>
        <s v="76212401"/>
        <s v="76212138"/>
        <s v="76219965"/>
        <s v="76055606"/>
        <s v="76177663"/>
        <s v="76250477"/>
        <s v="76240063"/>
        <s v="76243357"/>
        <s v="76235053"/>
        <s v="71043920"/>
        <s v="71064573"/>
        <s v="76219520"/>
        <s v="76226259"/>
        <s v="76210975"/>
        <s v="76214615"/>
        <s v="25078101"/>
        <s v="76045170"/>
        <s v="76213061"/>
        <s v="76029030"/>
        <s v="76002263"/>
        <s v="76171120"/>
        <s v="76166940"/>
        <s v="76220881"/>
        <s v="76213700"/>
        <s v="76067136"/>
        <s v="76065772"/>
        <s v="76205217"/>
        <s v="76060185"/>
        <s v="76254215"/>
        <s v="76253993"/>
        <s v="76020588"/>
        <s v="76238757"/>
        <s v="76160664"/>
        <s v="76241995"/>
        <s v="76145408"/>
        <s v="76227862"/>
        <s v="76162428"/>
        <s v="71043922"/>
        <s v="76043216"/>
        <s v="76176104"/>
        <s v="08320071"/>
        <s v="76212580"/>
        <s v="76205667"/>
        <s v="76174589"/>
        <s v="76160666"/>
        <s v="76230963"/>
        <s v="76231018"/>
        <s v="76179995"/>
        <s v="01014818"/>
        <s v="76073874"/>
        <s v="76211528"/>
        <s v="76211939"/>
        <s v="91080015"/>
        <s v="76049589"/>
        <s v="76240994"/>
        <s v="76241993"/>
        <s v="76234211"/>
        <s v="76190193"/>
        <s v="76227241"/>
        <s v="08300016"/>
        <s v="76215893"/>
        <s v="71063149"/>
        <s v="76240124"/>
        <s v="76213848"/>
        <s v="76212720"/>
        <s v="76239770"/>
        <s v="76238610"/>
        <s v="76228314"/>
        <s v="76235054"/>
        <s v="76165887"/>
        <s v="76203700"/>
        <s v="76217130"/>
        <s v="76203780"/>
        <s v="76203742"/>
        <s v="76162431"/>
        <s v="76213850"/>
        <s v="76214539"/>
        <s v="76212679"/>
        <s v="76065770"/>
        <s v="76039334"/>
        <s v="76241994"/>
        <s v="76237466"/>
        <s v="76230032"/>
        <s v="76162462"/>
        <s v="76213867"/>
        <s v="76212373"/>
        <s v="76211637"/>
        <s v="76212077"/>
        <s v="76246708"/>
        <s v="76213065"/>
        <s v="76243351"/>
        <s v="76222868"/>
        <s v="01021838"/>
        <s v="76250570"/>
        <s v="76246706"/>
        <s v="76253402"/>
        <s v="76070071"/>
        <s v="76016573"/>
        <s v="76236371"/>
        <s v="76245201"/>
        <s v="76245198"/>
        <s v="76141328"/>
        <s v="76236892"/>
        <s v="76243435"/>
        <s v="76179715"/>
        <s v="76252505"/>
        <s v="76245381"/>
        <s v="76168517"/>
        <s v="76140120"/>
        <s v="76015613"/>
        <s v="71063011"/>
        <s v="76228615"/>
        <s v="76228628"/>
        <s v="76234357"/>
        <s v="76243652"/>
        <s v="76229519"/>
        <s v="76223210"/>
        <s v="76225899"/>
        <s v="76211838"/>
        <s v="25070101"/>
        <s v="76209885"/>
        <s v="76228616"/>
        <s v="76228624"/>
        <s v="76228640"/>
        <s v="01273001"/>
        <s v="76228707"/>
        <s v="76228625"/>
        <s v="76214101"/>
        <s v="76192363"/>
        <s v="76025950"/>
        <s v="76228618"/>
        <s v="71046613"/>
        <s v="76051369"/>
        <s v="76184866"/>
        <s v="76238762"/>
        <s v="76071932"/>
        <s v="76211997"/>
        <s v="76212374"/>
        <s v="76212418"/>
        <s v="76066617"/>
        <s v="76066619"/>
        <s v="76065926"/>
        <s v="76191233"/>
        <s v="76253984"/>
        <s v="76018428"/>
        <s v="76213002"/>
        <s v="76212445"/>
        <s v="76213169"/>
        <s v="76209484"/>
        <s v="25149303"/>
        <s v="76176067"/>
        <s v="76211746"/>
        <s v="76212236"/>
        <s v="76176063"/>
        <s v="76066648"/>
        <s v="76066624"/>
        <s v="76066621"/>
        <s v="76048072"/>
        <s v="76170037"/>
        <s v="76212246"/>
        <s v="76213062"/>
        <s v="76211644"/>
        <s v="76209493"/>
        <s v="76209490"/>
        <s v="25149304"/>
        <s v="17272602"/>
        <s v="25149301"/>
        <s v="76067575"/>
        <s v="76209452"/>
        <s v="76209492"/>
        <s v="76210768"/>
        <s v="76209494"/>
        <s v="76161145"/>
        <s v="76069427"/>
        <s v="76048070"/>
        <s v="76180714"/>
        <s v="76253994"/>
        <s v="76014409"/>
        <s v="76214865"/>
        <s v="76208270"/>
        <s v="52280001"/>
        <s v="76181075"/>
        <s v="01325978"/>
        <s v="76210935"/>
        <s v="76212368"/>
        <s v="76209497"/>
        <s v="76208343"/>
        <s v="25149306"/>
        <s v="25149302"/>
        <s v="76066625"/>
        <s v="01179304"/>
        <s v="76186932"/>
        <s v="76166930"/>
        <s v="76212425"/>
        <s v="76214654"/>
        <s v="76211762"/>
        <s v="76210932"/>
        <s v="17272601"/>
        <s v="76067571"/>
        <s v="76202140"/>
        <s v="76166889"/>
        <s v="76097658"/>
        <s v="01326364"/>
        <s v="76209498"/>
        <s v="76212721"/>
        <s v="76212701"/>
        <s v="76156785"/>
        <s v="71034719"/>
        <s v="76032560"/>
        <s v="76043533"/>
        <s v="33053507"/>
        <s v="33053503"/>
        <s v="76230570"/>
        <s v="52214201"/>
        <s v="76226123"/>
        <s v="76224293"/>
        <s v="76223993"/>
        <s v="76215808"/>
        <s v="76211542"/>
        <s v="76212775"/>
        <s v="76159907"/>
        <s v="76179173"/>
        <s v="76214322"/>
        <s v="76075902"/>
        <s v="76166404"/>
        <s v="76222492"/>
        <s v="76202496"/>
        <s v="76253995"/>
        <s v="25298955"/>
        <s v="33053512"/>
        <s v="71040844"/>
        <s v="71051066"/>
        <s v="33053504"/>
        <s v="76076039"/>
        <s v="09700154"/>
        <s v="76075905"/>
        <s v="05237634"/>
        <s v="76224292"/>
        <s v="71040845"/>
        <s v="25152901"/>
        <s v="25298953"/>
        <s v="71056819"/>
        <s v="76143629"/>
        <s v="76188473"/>
        <s v="76224320"/>
        <s v="76237626"/>
        <s v="76222495"/>
        <s v="76214303"/>
        <s v="71040843"/>
        <s v="76183626"/>
        <s v="76253986"/>
        <s v="76075904"/>
        <s v="76130683"/>
        <s v="71061908"/>
        <s v="76150772"/>
        <s v="76075907"/>
        <s v="08300215"/>
        <s v="76223605"/>
        <s v="76240559"/>
        <s v="76071194"/>
        <s v="76073734"/>
        <s v="41002552"/>
        <s v="76211482"/>
        <s v="76211978"/>
        <s v="71050665"/>
        <s v="76215859"/>
        <s v="76020657"/>
        <s v="76067624"/>
        <s v="76155736"/>
        <s v="76211875"/>
        <s v="01231901"/>
        <s v="76229799"/>
        <m/>
      </sharedItems>
    </cacheField>
    <cacheField name="On Carwars Inv" numFmtId="0">
      <sharedItems containsBlank="1" count="386">
        <s v="76125298"/>
        <s v="76149019"/>
        <s v="76164812"/>
        <s v="76169916"/>
        <s v="76179964"/>
        <s v="76195594"/>
        <s v="76202353"/>
        <s v="76202355"/>
        <s v="76202358"/>
        <s v="76202360"/>
        <s v="76202491"/>
        <s v="76202492"/>
        <s v="76202493"/>
        <s v="76202498"/>
        <s v="76202499"/>
        <s v="76202505"/>
        <s v="76202508"/>
        <s v="76202509"/>
        <s v="76202512"/>
        <s v="76202568"/>
        <s v="76202671"/>
        <s v="76202911"/>
        <s v="76204566"/>
        <s v="76211510"/>
        <s v="76211538"/>
        <s v="76211548"/>
        <s v="76211580"/>
        <s v="76211581"/>
        <s v="76211755"/>
        <s v="76211981"/>
        <s v="76211989"/>
        <s v="76212075"/>
        <s v="76212090"/>
        <s v="76212307"/>
        <s v="76212369"/>
        <s v="76212419"/>
        <s v="76214531"/>
        <s v="76214817"/>
        <s v="76215188"/>
        <s v="76216792"/>
        <s v="76217403"/>
        <s v="76217603"/>
        <s v="76217649"/>
        <s v="76218332"/>
        <s v="76219122"/>
        <s v="76221153"/>
        <s v="76228429"/>
        <s v="76228607"/>
        <s v="76232503"/>
        <s v="76232504"/>
        <s v="76232648"/>
        <s v="76235670"/>
        <s v="76236637"/>
        <s v="76238017"/>
        <s v="76242001"/>
        <s v="76242002"/>
        <s v="76244926"/>
        <s v="76245508"/>
        <s v="76245758"/>
        <s v="76245787"/>
        <s v="76245927"/>
        <s v="76250786"/>
        <s v="76251847"/>
        <s v="76252209"/>
        <s v="76252216"/>
        <e v="#N/A"/>
        <s v="76254199"/>
        <s v="76254227"/>
        <s v="76254200"/>
        <s v="76254201"/>
        <s v="76255144"/>
        <s v="76256438"/>
        <s v="76257159"/>
        <s v="76257162"/>
        <s v="76213067"/>
        <s v="76237872"/>
        <s v="71057013"/>
        <s v="09700157"/>
        <s v="01021824"/>
        <s v="76208075"/>
        <s v="76187302"/>
        <s v="76251019"/>
        <s v="76029454"/>
        <s v="01021828"/>
        <s v="76229204"/>
        <s v="01327379"/>
        <s v="01021822"/>
        <s v="76244702"/>
        <s v="76186951"/>
        <s v="76001666"/>
        <s v="76066623"/>
        <s v="08300413"/>
        <s v="71043924"/>
        <s v="71043923"/>
        <s v="76246712"/>
        <s v="76066638"/>
        <s v="76066622"/>
        <s v="76253988"/>
        <s v="76066646"/>
        <s v="76066626"/>
        <s v="76066605"/>
        <s v="76066633"/>
        <s v="76076583"/>
        <s v="52079901"/>
        <s v="76158989"/>
        <s v="76241289"/>
        <s v="76243828"/>
        <s v="76213066"/>
        <s v="76024834"/>
        <s v="76003331"/>
        <s v="76256834"/>
        <s v="76058883"/>
        <s v="76230046"/>
        <s v="76212103"/>
        <s v="76003345"/>
        <s v="76238599"/>
        <s v="76214799"/>
        <s v="76210608"/>
        <s v="76037927"/>
        <s v="71058098"/>
        <s v="76153470"/>
        <s v="76233858"/>
        <s v="76076425"/>
        <s v="76212200"/>
        <s v="76075892"/>
        <s v="76243311"/>
        <s v="76228449"/>
        <s v="76256842"/>
        <s v="76145456"/>
        <s v="76232941"/>
        <s v="76234209"/>
        <s v="76226286"/>
        <s v="76212370"/>
        <s v="76158992"/>
        <s v="76213688"/>
        <s v="76229614"/>
        <s v="76211659"/>
        <s v="01262401"/>
        <s v="41741101"/>
        <s v="76022930"/>
        <s v="76232569"/>
        <s v="76071533"/>
        <s v="76025044"/>
        <s v="76211920"/>
        <s v="76144665"/>
        <s v="76210024"/>
        <s v="76238033"/>
        <s v="76231359"/>
        <s v="71061710"/>
        <s v="52198501"/>
        <s v="71061706"/>
        <s v="71061708"/>
        <s v="76193819"/>
        <s v="76150081"/>
        <s v="76025871"/>
        <s v="01021835"/>
        <s v="71063916"/>
        <s v="01021829"/>
        <s v="76072454"/>
        <s v="76160401"/>
        <s v="71057131"/>
        <s v="76061826"/>
        <s v="01021802"/>
        <s v="76025122"/>
        <s v="76145782"/>
        <s v="76213059"/>
        <s v="76031247"/>
        <s v="71039289"/>
        <s v="76142673"/>
        <s v="71060891"/>
        <s v="76229657"/>
        <s v="71058869"/>
        <s v="76250876"/>
        <s v="76072668"/>
        <s v="76250877"/>
        <s v="76212334"/>
        <s v="76250879"/>
        <s v="76237651"/>
        <s v="76215888"/>
        <s v="25298851"/>
        <s v="76192405"/>
        <s v="76250870"/>
        <s v="76237653"/>
        <s v="76242141"/>
        <s v="76236368"/>
        <s v="71047244"/>
        <s v="76250872"/>
        <s v="76161776"/>
        <s v="76030502"/>
        <s v="25298808"/>
        <s v="76152812"/>
        <s v="76036962"/>
        <s v="76220875"/>
        <s v="76183681"/>
        <s v="08300018"/>
        <s v="76208273"/>
        <s v="76044726"/>
        <s v="76090518"/>
        <s v="76250874"/>
        <s v="76237654"/>
        <s v="71043919"/>
        <s v="76219293"/>
        <s v="76250884"/>
        <s v="76250875"/>
        <s v="76225896"/>
        <s v="76212401"/>
        <s v="76212138"/>
        <s v="76219965"/>
        <s v="76055606"/>
        <s v="76177663"/>
        <s v="76250477"/>
        <s v="76240063"/>
        <s v="76243357"/>
        <s v="76235053"/>
        <s v="71043920"/>
        <s v="71064573"/>
        <s v="76219520"/>
        <s v="76226259"/>
        <s v="76210975"/>
        <s v="76214615"/>
        <s v="25078101"/>
        <s v="76045170"/>
        <s v="76029030"/>
        <s v="76002263"/>
        <s v="76171120"/>
        <s v="76166940"/>
        <s v="76220881"/>
        <s v="76213700"/>
        <s v="76067136"/>
        <s v="76065772"/>
        <s v="76205217"/>
        <s v="76253993"/>
        <s v="76020588"/>
        <s v="76160664"/>
        <s v="76241995"/>
        <s v="76145408"/>
        <s v="76162428"/>
        <s v="71043922"/>
        <s v="76043216"/>
        <s v="76205667"/>
        <s v="76174589"/>
        <s v="76160666"/>
        <s v="76230963"/>
        <s v="76231018"/>
        <s v="76179995"/>
        <s v="01014818"/>
        <s v="76073874"/>
        <s v="76211528"/>
        <s v="91080015"/>
        <s v="76049589"/>
        <s v="76241993"/>
        <s v="76234211"/>
        <s v="76190193"/>
        <s v="76227241"/>
        <s v="08300016"/>
        <s v="76215893"/>
        <s v="71063149"/>
        <s v="76240124"/>
        <s v="76213848"/>
        <s v="76212720"/>
        <s v="76238610"/>
        <s v="76235054"/>
        <s v="76165887"/>
        <s v="76203700"/>
        <s v="76217130"/>
        <s v="76203780"/>
        <s v="76203742"/>
        <s v="76162431"/>
        <s v="76213850"/>
        <s v="76214539"/>
        <s v="76212679"/>
        <s v="76065770"/>
        <s v="76039334"/>
        <s v="76241994"/>
        <s v="76230032"/>
        <s v="76162462"/>
        <s v="76213867"/>
        <s v="76212373"/>
        <s v="76211637"/>
        <s v="76212077"/>
        <s v="76246708"/>
        <s v="76213065"/>
        <s v="76243351"/>
        <s v="76222868"/>
        <s v="01021838"/>
        <s v="76246706"/>
        <s v="76253402"/>
        <s v="76070071"/>
        <s v="76016573"/>
        <s v="76236371"/>
        <s v="76245201"/>
        <s v="76245198"/>
        <s v="76141328"/>
        <s v="76236892"/>
        <s v="76243435"/>
        <s v="76179715"/>
        <s v="76252505"/>
        <s v="76168517"/>
        <s v="76140120"/>
        <s v="76015613"/>
        <s v="71063011"/>
        <s v="76228615"/>
        <s v="76228628"/>
        <s v="76234357"/>
        <s v="76243652"/>
        <s v="76229519"/>
        <s v="76223210"/>
        <s v="76225899"/>
        <s v="76211838"/>
        <s v="25070101"/>
        <s v="76209885"/>
        <s v="76228616"/>
        <s v="76228624"/>
        <s v="76228640"/>
        <s v="01273001"/>
        <s v="76228625"/>
        <s v="76214101"/>
        <s v="76192363"/>
        <s v="76025950"/>
        <s v="76228618"/>
        <s v="71046613"/>
        <s v="76051369"/>
        <s v="76184866"/>
        <s v="76071932"/>
        <s v="76211997"/>
        <s v="76212374"/>
        <s v="76212418"/>
        <s v="76066617"/>
        <s v="76066619"/>
        <s v="76065926"/>
        <s v="76191233"/>
        <s v="76213002"/>
        <s v="76212445"/>
        <s v="76213169"/>
        <s v="76209484"/>
        <s v="76176067"/>
        <s v="76211746"/>
        <s v="76212236"/>
        <s v="76066648"/>
        <s v="76066624"/>
        <s v="76066621"/>
        <s v="76048072"/>
        <s v="76170037"/>
        <s v="76212246"/>
        <s v="76213062"/>
        <s v="76209493"/>
        <s v="76209490"/>
        <s v="76067575"/>
        <s v="76209452"/>
        <s v="76209492"/>
        <s v="76209494"/>
        <s v="76161145"/>
        <s v="76069427"/>
        <s v="76048070"/>
        <s v="76180714"/>
        <s v="76014409"/>
        <s v="76214865"/>
        <s v="76181075"/>
        <s v="01325978"/>
        <s v="76210935"/>
        <s v="76209497"/>
        <s v="76208343"/>
        <s v="01179304"/>
        <s v="76186932"/>
        <s v="76166930"/>
        <s v="76212425"/>
        <s v="76214654"/>
        <s v="76211762"/>
        <s v="76210932"/>
        <s v="76202140"/>
        <s v="76166889"/>
        <s v="01326364"/>
        <s v="76209498"/>
        <s v="76212721"/>
        <s v="76212701"/>
        <s v="76156785"/>
        <s v="76073734"/>
        <s v="41002552"/>
        <s v="76211482"/>
        <s v="76211978"/>
        <s v="76067624"/>
        <s v="76155736"/>
        <s v="76211875"/>
        <m/>
        <s v="76212580" u="1"/>
        <s v="76211939" u="1"/>
      </sharedItems>
    </cacheField>
    <cacheField name="On Heitrich/Victory" numFmtId="0">
      <sharedItems containsBlank="1"/>
    </cacheField>
    <cacheField name="Ship-To Name" numFmtId="0">
      <sharedItems containsBlank="1" count="485">
        <s v="VICTORY TOYOTA OF CANTON"/>
        <s v="HERTRICH FORD LINCOLN"/>
        <s v="VICTORY TOYOTA"/>
        <s v="MARIN COUNTY FORD"/>
        <s v="FREEWAY TOYOTA OF HANFORD"/>
        <s v="HERTRICH CHEVROLET OF DOVER"/>
        <s v="VICTORY NISSAN WEST"/>
        <s v="VICTORY HONDA OF MUNCIE"/>
        <s v="VICTORY HONDA OF SAN BRUNO"/>
        <s v="VICTORY HONDA OF PLYMOUTH"/>
        <s v="VICTORY HONDA OF MONROE"/>
        <s v="VICTORY HONDA OF JACKSON"/>
        <s v="TRI-CITIES CHRYSLER DODGE JEEP RAM"/>
        <s v="EAST TENNESSEE FORD"/>
        <s v="COOKEVILLE HONDA"/>
        <s v="VICTORY CHEVROLET BUICK"/>
        <s v="OCEAN HONDA OF WHITTIER"/>
        <s v="OCEAN HONDA"/>
        <s v="AUBURN HONDA"/>
        <s v="EAST TENNESSEE DODGE CHRYSLER JEEP"/>
        <s v="TOWER HONDA OF LONGVIEW"/>
        <s v="VICTORY TOYOTA OF SAN BRUNO"/>
        <s v="SAN FRANCISCO HONDA ACURA"/>
        <s v="HERTRICH CHEVROLET GMC OF EASTON"/>
        <s v="OCEAN HONDA OF HANOVER"/>
        <s v="HERTRICH BUICK GMC OF SALISBURY"/>
        <s v="HERTRICH HYUNDAI OF NEW CASTLE"/>
        <s v="HERTRICH ACURA OF NEW CASTLE"/>
        <s v="LEXUS MONTEREY PENINSULA"/>
        <s v="HERTRICH FREDERICK FORD"/>
        <s v="HERTRICH BUICK GMC"/>
        <s v="HERTRICH HONDA KIA OF EASTON"/>
        <s v="HERTRICH FORD OF EASTON"/>
        <s v="HERTRICH TOYOTA SCION OF MILFORD"/>
        <s v="HERTRICH'S CAPITAL"/>
        <s v="OCEAN HONDA OF BURLINGAME"/>
        <s v="VICTORY HONDA OF MORGAN HILL"/>
        <s v="HERTRICH CHRYSLER DODGE FORD OF POCOMOKE"/>
        <s v="HERTRICH TOYOTA CHEVROLET"/>
        <s v="OCEAN HONDA OF BROCKTON"/>
        <s v="OCEAN SUBARU"/>
        <s v="HERTRICH CHRYSLER DODGE JEEP RAM OF ELKTON"/>
        <s v="HERTRICH CHEVROLET"/>
        <s v="HERTRICH FORD OF ELKTON"/>
        <s v="HERTRICH CHEVROLET CADILLAC OF SALISBURY"/>
        <s v="VICTORY TOYOTA OF MIDTOWN"/>
        <s v="ALBANY SUBARU"/>
        <s v="FREEWAY TOYOTA OF GILROY"/>
        <s v="VICTORY TOYOTA OF ASHTABULA COUNTY"/>
        <s v="VICTORY HONDA"/>
        <s v="KASTNER HONDA"/>
        <s v="DAVE KIRK AUTOMOTIVE"/>
        <s v="VICTORY TOYOTA FORD CDJR DYERSBURG"/>
        <s v="VICTORY TOYOTA CDJR MARIETTA"/>
        <s v="VICTORY CHEVROLET GMC HIGHLANDS"/>
        <s v="VICTORY TOYOTA HIGHLANDS"/>
        <s v="VICTORY TOYOTA OF BROOK PARK"/>
        <s v="VICTORY HYUNDAI"/>
        <s v="VICTORY NISSAN OF MECHANICSVILLE"/>
        <s v="VICTORY NISSAN OF NASHVILLE"/>
        <s v="BMW OF HUMBOLDT BAY"/>
        <s v="VICTORY TOYOTA OF ST LOUIS"/>
        <s v="VICTORY MAZDA SAN LEANDRO"/>
        <s v="VICTORY TOYOTA BARBOURSVILLE"/>
        <s v="VICTORY TOYOTA CHARLESTON"/>
        <s v="PAULY TOYOTA"/>
        <s v="BERT SMITH VOLKSWAGEN"/>
        <s v="BERT SMITH BMW"/>
        <s v="PORSCHE CLEARWATER"/>
        <s v="BERT SMITH SUBARU"/>
        <s v="OCEAN HONDA OF VENTURA"/>
        <s v="VICTORY HONDA MICHIGAN CITY"/>
        <s v="VICTORY CDJR MERRILLVILLE"/>
        <s v="VICTORY HONDA HIGHLAND"/>
        <s v="VICTORY NISSAN CHESTERTON"/>
        <s v="OCEAN HONDA GROTON"/>
        <s v="VICTORY HONDA CHICAGO-NORTHSIDE"/>
        <s v="KIA OF FORT MYERS"/>
        <s v="CDJR OF FORT MYERS"/>
        <s v="GREENWAY FORD OF KANSAS CITY"/>
        <s v="JT'S AUTOMOTIVE OF LEXINGTON LP DBA JTS AUTOLAND I"/>
        <s v="LEITH AUDI OF CARY"/>
        <s v="LAND ROVER JAGUAR CARY"/>
        <s v="BMW OF RALEIGH"/>
        <s v="JAGUAR LAND ROVER RALEIGH"/>
        <s v="HYUNDAI OF ANDERSON"/>
        <s v="NISSAN OF HENDERSONVILLE"/>
        <s v="VISTA FORD"/>
        <s v="LEITH MERCEDES BENZ OF RALEIGH"/>
        <s v="HAROLD CHEVROLET"/>
        <s v="AUTO PARK CHRYSLER JEEP"/>
        <s v="LEITH ACURA OF CARY"/>
        <s v="AUDI MIAMI SOUTH"/>
        <s v="PRESTIGE FORD, INC."/>
        <s v="KOEPPEL NISSAN INC"/>
        <s v="FRED ANDERSON TOYOTA OF GREER"/>
        <s v="ZIMBRICK EUROPEAN"/>
        <s v="WILLIAMSBURG CHRYSLER DODGE JEEP RAM"/>
        <s v="WILSON CHEVROLET"/>
        <s v="WILSON CHRYSLER DODGE JEEP RAM"/>
        <s v="ARRIVE N DRIVE"/>
        <s v="ZIMBRICK INFINITI"/>
        <s v="ZIMBRICK HONDA"/>
        <s v="MOONSHINE HARLEY-DAVIDSON"/>
        <s v="ZIMBRICK MIDDLETON VOLKSWAGEN"/>
        <s v="ZIMBRICK HYUNDAI WEST"/>
        <s v="ZIMBRICK BUICK WEST"/>
        <s v="ZIMBRICK MIDDLETON ACURA"/>
        <s v="PETERSON AUTOPLEX - BMW"/>
        <s v="WILLIS AUTO CAMPUS"/>
        <s v="TOMMIE VAUGHN FORD"/>
        <s v="JACK DANIELS AUDI OF PARAMUS"/>
        <s v="MONUMENTAL FORD"/>
        <s v="LOU SOBH VOLKSWAGEN OF ATHENS"/>
        <s v="GREENWAY MAZDA"/>
        <s v="JACK DANIELS AUDI OF UPPER SADDLE RIVER"/>
        <s v="JACK DANIELS PORSCHE"/>
        <s v="WAYNESBORO HYUNDAI"/>
        <s v="JACK DANIELS KIA"/>
        <s v="ALTOONA HONDA"/>
        <s v="HEADQUARTER MAZDA"/>
        <s v="JACK DANIELS VOLKSWAGEN"/>
        <s v="GREENWAY KIA AT THE AVENUES"/>
        <s v="CLONINGER FORD OF MORGANTON"/>
        <s v="HOUSE FORD CHRYSLER JEEP DODGE RAM"/>
        <s v="RAFFERTY SUBARU"/>
        <s v="PHILLIPS CHRYSLER JEEP, INC."/>
        <s v="PARK PLACE FORD, LLC DBA FORD OF UPLAND"/>
        <s v="LODI TOYOTA"/>
        <s v="KOEPPEL SUBARU"/>
        <s v="LAKE KEOWEE FORD"/>
        <s v="KOEPPEL MAZDA"/>
        <s v="GREENCASTLE CHEVROLET"/>
        <s v="HAZLETON HONDA"/>
        <s v="BROOKVILLE CHEVROLET"/>
        <s v="SUMMIT TOYOTA OF AKRON"/>
        <s v="CHAMBERSBURG HYUNDAI"/>
        <s v="HERTRICH NISSAN OF NEWARK"/>
        <s v="KOEPPEL HYUNDAI_x0009_"/>
        <s v="HERTRICH NISSAN"/>
        <s v="OPELIKA FORD"/>
        <s v="MALCOLM CUNNINGHAM CHEVROLET NORTHPOINT"/>
        <s v="SUNRISE FORD"/>
        <s v="GREENWAY HYUNDAI OF ORLANDO"/>
        <s v="HEADQUARTER TOYOTA"/>
        <s v="CLONINGER FORD OF HICKORY"/>
        <s v="SPARTANBURG DODGE"/>
        <s v="JAGUAR LAND ROVER CORAL GABLES"/>
        <s v="PETERSON AUTOPLEX"/>
        <s v="ALLAN VIGIL FORD"/>
        <s v="CENTRAL FORD"/>
        <s v="LEE MOTOR COMPANY"/>
        <s v="HACIENDA FORD"/>
        <s v="CRESCENT FORD"/>
        <s v="HALDEMAN SUBARU"/>
        <s v="HALDEMAN FORD EAST WINDSOR"/>
        <s v="DAYTON ANDREWS DODGE CITY"/>
        <s v="HALDEMAN FORD HAMILTON"/>
        <s v="HALDEMAN LEXUS OF PRINCETON"/>
        <s v="ELDER AUTOMOTIVE GROUP LLC"/>
        <s v="LEITH NISSAN"/>
        <s v="PHIL HUGHES HONDA"/>
        <s v="MCSWEENEY AUTO GROUP CLANTON, LLC"/>
        <s v="AUTOPARK HONDA"/>
        <s v="LEITH TOYOTA"/>
        <s v="LEITH LINCOLN"/>
        <s v="AUDI RALEIGH"/>
        <s v="LEITH HONDA ABERDEEN"/>
        <s v="MERCEDES BENZ OF CARY"/>
        <s v="LEITH CHRYSLER JEEP"/>
        <s v="LEITH HONDA"/>
        <s v="MASERATI OF RALEIGH"/>
        <s v="GRAINGER NISSAN"/>
        <s v="GREENWAY KIA HICKORY HOLLOW"/>
        <s v="JAGUAR LAND ROVER LAKESIDE"/>
        <s v="LEITH AUTO PARK KIA"/>
        <s v="LEITH VOLKSWAGEN OF RALEIGH"/>
        <s v="LEITH VOLKSWAGEN"/>
        <s v="TALL OAKS AUTOMOTIVE LLC"/>
        <s v="SOUTHWEST INFINITI-"/>
        <s v="COASTAL KIA"/>
        <s v="ATLANTA HARLEY-DAVIDSON"/>
        <s v="RAWHIDE HARLEY-DAVIDSON"/>
        <s v="ROCKSTAR POWERSPORTS OF BRANDON"/>
        <s v="HUNTINGTON BEACH HARLEY-DAVIDSON"/>
        <s v="ROCKSTAR POWERSPORTS OF BROOKSVILLE"/>
        <s v="AVALANCHE HARLEY DAVIDSON"/>
        <s v="JET CITY HARLEY-DAVIDSON"/>
        <s v="PINE BELT NISSAN OF KEYPORT"/>
        <s v="ALLIGATOR ALLEY HARELY DAVIDSON"/>
        <s v="HARLEY-DAVIDSON OF THE WOODLANDS"/>
        <s v="HIGH OCTANE HARLEY DAVIDSON"/>
        <s v="J.T.'S KIA OF COLUMBIA II"/>
        <s v="PATRIOT HARLEY DAVIDSON"/>
        <s v="MODERN CHEVROLET - WINSTON"/>
        <s v="SUMMIT HARLEY- DAVIDSON"/>
        <s v="RIVERSIDE HARLEY-DAVIDSON"/>
        <s v="BERGLUND TOYOTA"/>
        <s v="PINE BELT NISSAN OF TOMS RIVER"/>
        <s v="KIA OF ABILENE"/>
        <s v="MIKE CASTRUCCI FORD SALES"/>
        <s v="OLD GLORY HARLEY-DAVIDSON"/>
        <s v="MINI OF THE MAIN LINE"/>
        <s v="GRAINGER HONDA"/>
        <s v="DESERT WIND HARLEY - DAVIDSON"/>
        <s v="MANCHESTER HARLEY DAVIDSON"/>
        <s v="MIKE CASTRUCCI FORD LINCOLN OF ALEXANDRIA"/>
        <s v="STARS AND STRIPES HARLEY-DAVIDSON"/>
        <s v="ROCKSTAR HARLEY-DAVIDSON"/>
        <s v="MODERN TOYOTA"/>
        <s v="MOTOWN HARLEY-DAVIDSON"/>
        <s v="ROCKSTAR POWERSPORTS OF ST. PETE"/>
        <s v="VOLCANO HARLEY-DAVIDSON"/>
        <s v="MOTORCITY HARLEY-DAVIDSON"/>
        <s v="HARLEY-DAVIDSON OF PALM BEACH"/>
        <s v="ROCK HILL NISSAN"/>
        <s v="KIA OF SAN ANGELO"/>
        <s v="FREEWAY FORD"/>
        <s v="INFINITI OF NASHUA"/>
        <s v="HANANIA CDJR OF ST. AUGUSTINE"/>
        <s v="CARHEROES USA, LLC"/>
        <s v="DEACON JONES FORD OF KINSTON"/>
        <s v="DRIVERS WAY"/>
        <s v="MODERN NISSAN"/>
        <s v="MODERN TOYOTA OF BOONE"/>
        <s v="MATT BOWERS CHEVROLET METAIRIE"/>
        <s v="ALPHA ONE MOTORS"/>
        <s v="TROTTER FORD LINCOLN"/>
        <s v="LEE NISSAN"/>
        <s v="CHERRY HILL NISSAN"/>
        <s v="CAVALIER MAZDA"/>
        <s v="OPELIKA CHRYSLER DODGE JEEP RAM"/>
        <s v="INFINITI OF NORWOOD"/>
        <s v="EVERGREEN MOTORS INC"/>
        <s v="HYMAN BROS NISSAN"/>
        <s v="STANLEY FORD EASTLAND"/>
        <s v="MAXIE PRICE RV OF LOGANVILLE"/>
        <s v="CARHEROES"/>
        <s v="VOLVO OF TAMPA"/>
        <s v="BUCHANAN AUTO PARK"/>
        <s v="PINE BELT MOTORS CDJR"/>
        <s v="CENTURY KIA"/>
        <s v="HEIGHTS NISSAN"/>
        <s v="EMERALD COAST HARLEY-DAVIDSON"/>
        <s v="CAVALIER FORD AT CHESAPEAKE SQUARE"/>
        <s v="FRED ANDERSON KIA OF GREENVILLE"/>
        <s v="HIGH COUNTRY HARLEY-DAVIDSON"/>
        <s v="TOWN AND COUNTRY SPORTS CENTER"/>
        <s v="LAKELAND VW"/>
        <s v="MATT BOWERS HYUNDAI - GULFPORT_x0009_"/>
        <s v="MODERN NISSAN OF CONCORD"/>
        <s v="MODERN INFINITI OF GREENSBORO"/>
        <s v="MODERN HYUNDAI OF CONCORD"/>
        <s v="AUDI BETHESDA"/>
        <s v="CAROLINA VOLKSWAGEN"/>
        <s v="CLONINGER FORD TOYOTA SCION"/>
        <s v="STEARNS FORD"/>
        <s v="HIGH COUNTRY HARLEY DAVIDSON OF CHEYENNE_x0009__x0009__x0009_"/>
        <s v="TERRY LAMBERT HYUNDAI"/>
        <s v="IRON STEED HARLEY-DAVIDSON"/>
        <s v="MODERN NISSAN OF HICKORY"/>
        <s v="DEEL VW FIXED OPS"/>
        <s v="MATT BOWERS CHEVROLET CADILLAC"/>
        <s v="LARIA CHEVROLET BUICK, INC."/>
        <s v="MOONSHINE HARLEY DAVIDSON"/>
        <s v="BOB BELL NISSAN"/>
        <s v="KING KIA"/>
        <s v="TC POWERSPORTS"/>
        <s v="HERTRICH INFINITI OF NEWARK"/>
        <s v="MODERN FORD OF BOONE, LLC"/>
        <s v="MODERN TOYOTA OF ASHEBORO"/>
        <s v="MONTGOMERYVILLE ACURA"/>
        <s v="STANLEY CDJR - GILMER"/>
        <s v="MONTGOMERYVILLE NISSAN"/>
        <s v="MONTGOMERYVILLE MITSUBISHI"/>
        <s v="COMMONWEALTH VOLKSWAGEN"/>
        <s v="WINTER HAVEN HONDA"/>
        <s v="FRED ANDERSON HYUNDAI"/>
        <s v="PEACHTREE MITSUBISHI"/>
        <s v="WEST HOUSTON HYUNDAI"/>
        <s v="MED CENTER MAZDA"/>
        <s v="MODERN NISSAN OF LAKE NORMAN"/>
        <s v="MODERN MAZDA OF BURLINGTON"/>
        <s v="COMMUTER CARS"/>
        <s v="TEAM ONE CHRYSLER DODGE JEEP RAM OF GADSDEN"/>
        <s v="MODERN CHEVROLET CADILLAC OF BURLINGTON"/>
        <s v="MODERN SUBARU OF BOONE"/>
        <s v="COMMONWEALTH KIA"/>
        <s v="APPLE TREE SUPERSTORE"/>
        <s v="CLONINGER FORD TOYOTA SCION BRANCH"/>
        <s v="BUCHANAN AUTOMOTIVE"/>
        <s v="VW OF GARDEN GROVE"/>
        <s v="TECUMSEH HARLEY-DAVIDSON"/>
        <s v="SOUTHERN MOTORS HONDA"/>
        <s v="KING KIA OF LAUREL"/>
        <s v="MODERN INFINITI OF WINSTON-SALEM"/>
        <s v="COMMONWEALTH NISSAN"/>
        <s v="COMMONWEALTH HONDA"/>
        <s v="RUSTY WALLACE KIA"/>
        <s v="PRICE CHEVROLET"/>
        <s v="CLINTON AUTOMOTIVE, LLC DBA DEACON JONES FORD OF"/>
        <s v="NORRISTOWN CHRYSLER JEEP DODGE RAM"/>
        <s v="DEACON JONES CHEVROLET GMC OF KINSTON"/>
        <s v="JAGUAR LAND ROVER LAKELAND"/>
        <s v="PORSCHE CARY"/>
        <s v="ESCUDE NISSAN OF GREER"/>
        <s v="CLINTON AUTO, LLC DBA DEACON JONES CHRYSLER DODGE"/>
        <s v="GENESIS OF LAKE NORMAN"/>
        <s v="MIDLAND NISSAN LP"/>
        <s v="FRANKIE'S AUTO SALES"/>
        <s v="HAROLD FORD"/>
        <s v="BMW OF KINSTON"/>
        <s v="KIA OF KINSTON"/>
        <s v="FAIRVIEW FORD"/>
        <s v="RANDY MARION CHEVROLET BUICK GMC OF WEST JEFFERSON"/>
        <s v="LEITH VINFAST"/>
        <s v="CAR TOWN HYUNDAI"/>
        <s v="PREMIER TOYOTA"/>
        <s v="NORTHWEST HYUNDAI"/>
        <s v="PLAZA LINCOLN"/>
        <s v="HUGHES SUBARU"/>
        <s v="CHI-TOWN HARLEY-DAVIDSON"/>
        <s v="DEACON JONES FORD LINCOLN-MERCURY INC"/>
        <s v="DEACON JONES CHEVROLET OF LA GRANGE"/>
        <s v="DEACON JONES KIA"/>
        <s v="RANDY MARION FORD OF WEST JEFFERSON"/>
        <s v="ELEVATION CHEVROLET BUICK GMC"/>
        <s v="PHANTOM HARLEY-DAVIDSON"/>
        <s v="DEACON JONES BUICK GMC"/>
        <s v="BRUCE BENNETT NISSAN OF DANBURY"/>
        <s v="PLAZA CADILLAC"/>
        <s v="WOODBURY NISSAN, INC."/>
        <s v="DEACON JONES HYUNDAI"/>
        <s v="DEACON JONES CHRYSLER DODGE JEEP RAM"/>
        <s v="DEACON JONES TOYOTA"/>
        <s v="DEACON JONES CHEVROLET BUICK GMC OF CLINTON"/>
        <s v="MICHAEL JORDAN NISSAN"/>
        <s v="DIRITO BROTHERS WALNUT CREEK VW"/>
        <s v="DEACON JONES NISSAN"/>
        <s v="BRADLEY/WILSON W.F., LLLP DBA TOYOTA WICHITA FALLS"/>
        <s v="MOUNT HOLLY NISSAN"/>
        <s v="BILL BLACK CHEVROLET CADILLAC"/>
        <s v="DEACON JONES HONDA"/>
        <s v="WILKIE LEXUS"/>
        <s v="LAND ROVER JAGUAR RICHMOND"/>
        <s v="HYMAN BROS SUBARU"/>
        <s v="FRED ANDERSON KIA OF GREER"/>
        <s v="ATHENS BMW"/>
        <s v="RUSTY WALLACE HONDA"/>
        <s v="COCONUT POINT FORD"/>
        <s v="BOBBY GALE'S MYRTLE BEACH CHRYSLER JEEP"/>
        <s v="ZIMBRICK BMW"/>
        <s v="ZIMBRICK EASTSIDE BUICK"/>
        <s v="VICTORY LAYNE CHEVROLET"/>
        <s v="HARLEY DAVIDSON OF GREENVILLE"/>
        <s v="MOBILE BAY HARLEY DAVIDSON"/>
        <s v="KRAFT NISSAN OF TALLAHASSEE"/>
        <s v="GREENWAY CDJR ANNISTON"/>
        <s v="STAUNTON CHRYSLER, DODGE,JEEP,RAM"/>
        <s v="ANDERSON MOTORS OF CRYSTAL LAKE"/>
        <s v="GREENWAY NISSAN OF BRUNSWICK"/>
        <s v="ACURA OF AVON"/>
        <s v="EURO MOTOR CARS GERMANTOWN INC"/>
        <s v="GREENWAY KIA FRANKLIN"/>
        <s v="JACKSON ACURA OF ROSWELL"/>
        <s v="EURO MOTORCARS BETHESDA"/>
        <s v="ZIMBRICK VOLKSWAGEN EAST"/>
        <s v="ZIMBRICK HYUNDAI EAST"/>
        <s v="ZIMBRICK EASTSIDE NISSAN"/>
        <s v="PARKS FORD OF WESLEY CHAPEL"/>
        <s v="STANLEY DODGE"/>
        <s v="STAR FORD LINCOLN"/>
        <s v="SAN ANTONIO CHRYSLER DODGE JEEP RAM"/>
        <s v="PORSCHE MELBOURNE"/>
        <s v="TEAM ONE HYUNDAI OF GADSDEN"/>
        <s v="UNIVERSITY KIA"/>
        <s v="ACURA OF MILFORD"/>
        <s v="DON DAVIS BUICK,PONT.,GMC"/>
        <s v="WESTBROOK HONDA"/>
        <s v="LIPTON TOYOTA"/>
        <s v="LAREDO DODGE CHRYSLER JEEP"/>
        <s v="TEAM ONE TOYOTA OF GADSDEN"/>
        <s v="MERCEDES-BENZ OF MELBOURNE"/>
        <s v="TEAM ONE CHEVROLET"/>
        <s v="ZIMBRICK CHEVROLET"/>
        <s v="ZIMBRICK MINI"/>
        <s v="PARKS LINCOLN OF TAMPA"/>
        <s v="NORTHWAY TOYOTA"/>
        <s v="NEW ORLEANS HARLEY-DAVIDSON"/>
        <s v="WORTH HARLEY-DAVIDSON NORTH"/>
        <s v="GUNTER NISSAN OF MARTINSVILLE"/>
        <s v="MERCEDES BENZ OF FT. WAYNE"/>
        <s v="MARSHAL MIZE FORD INC"/>
        <s v="THOMASVILLE TOYOTA"/>
        <s v="MAXIE PRICE CHEVROLET"/>
        <s v="INDEPENDENCE HARLEY"/>
        <s v="ALL AMERICAN CHEVROLET"/>
        <s v="GREENWAY KIA OF RIVERCHASE"/>
        <s v="METTER FORD"/>
        <s v="TOYOTA OF WESTBROOK"/>
        <s v="HONDA OF WATERTOWN"/>
        <s v="ZIMBRICK HONDA SERVICE CENTER"/>
        <s v="RUSTY WALLACE TOYOTA"/>
        <s v="CHARLIE CLARK NISSAN EL PASO"/>
        <s v="STANLEY FORD MCGREGOR"/>
        <s v="GREENWAY KIA RIVERGATE"/>
        <s v="ROCKY MOUNT CHRYSLER DODGE JEEP RAM"/>
        <s v="BUCHANAN KIA"/>
        <s v="GUNTER CDJR OF MARTINSVILLE"/>
        <s v="DON DAVIS EL CAMPO"/>
        <s v="STATELINE CHRYSLER JEEP DODGE RAM FIAT"/>
        <s v="PINE BELT CHEVROLET"/>
        <s v="STANLEY FORD"/>
        <s v="STATELINE MASERATI ALFA ROMEO"/>
        <s v="NORTH POINT CHRYSLER DODGE JEEP RAM"/>
        <s v="TEAM ONE NISSAN OF ALBERTVILLE"/>
        <s v="GREENWAY CDJR OF ROME"/>
        <s v="GREENWAY FIAT OF EAST ORLANDO"/>
        <s v="HEADQUARTER HYUNDAI"/>
        <s v="LITHIA TOYOTA OF SPRINGFIELD"/>
        <s v="LEXUS OF WATERTOWN"/>
        <s v="NORTH BAY CADILLAC BUICK GMC"/>
        <s v="POHANKA ACURA"/>
        <s v="POHANKA HYUNDAI OF CAPITOL HEIGHTS"/>
        <s v="NEWTON CHEVROLET BUICK OF RUSSELVILLE"/>
        <s v="WOODALL AUTOMOTIVE GROUP"/>
        <s v="BACHMAN BERNARD CHEVROLET GMC CADILLAC"/>
        <s v="NEWTON NISSAN OF GALLATIN"/>
        <s v="GUNTERSVILLE CHEVROLET"/>
        <s v="GULF COAST AUTO PARK (ELEAD)"/>
        <s v="GARY MILLER CHRYSLER JEEP"/>
        <s v="HONDA OF SANTA MONICA"/>
        <s v="POHANKA VOLKSWAGEN OF CAPITOL HEIGHTS"/>
        <s v="SUBARU SANTA MONICA"/>
        <s v="LITHIA TAMPA HONDA"/>
        <s v="PENSKE BUICK GMC OF CERRITOS"/>
        <s v="GRAINGER NISSAN OF ANDERSON"/>
        <s v="PENSKE VOLVO PUENTE HILLS"/>
        <s v="NEWTON NISSAN SOUTH"/>
        <s v="PENSACOLA HARLEY-DAVIDSON"/>
        <s v="POHANKA LEXUS"/>
        <s v="POHANKA CHEVROLET"/>
        <s v="LEXUS SANTA MONICA"/>
        <s v="PORSCHE SOUTH BAY"/>
        <s v="POHANKA HONDA OF CAPITOL HEIGHTS"/>
        <s v="PENSKE CHEVROLET OF CERRITOS"/>
        <s v="POHANKA HONDA OF FREDERICKSBURG"/>
        <s v="PENSKE HONDA"/>
        <s v="SANTA MARGARITA FORD"/>
        <s v="NEWTON CHEVROLET BUICK GMC"/>
        <s v="TOYOTA OF HOLLYWOOD"/>
        <s v="BRANDFON HONDA"/>
        <s v="SENTRY FORD LINCOLN"/>
        <s v="TOYOTA SANTA MONICA"/>
        <s v="SUBARU PACIFIC"/>
        <s v="BRANDFON HYUNDAI"/>
        <s v="NEWTON FORD SOUTH"/>
        <s v="COLUMBIA POWERSPORTS SUPERCENTER"/>
        <s v="LAND ROVER PUENTE HILLS"/>
        <s v="WESLEY CHAPEL HONDA"/>
        <s v="PACIFIC VW"/>
        <s v="BMW MINI KINGSTON"/>
        <s v="SMOKIN HARLEY DAVIDSON"/>
        <s v="PENSKE CADILLAC BUICK GMC SOUTH BAY"/>
        <s v="HONDA OF CHANTILLY"/>
        <s v="YOUNGER NISSAN OF FREDERICK"/>
        <s v="MAZDA OF NEW ROCHELLE"/>
        <s v="PENSKE TOYOTA"/>
        <s v="HONDA KINGSTON"/>
        <s v="AUTOMALL AUTOMOTIVE LLC DBA TOWBIN DODGE RAM AND F"/>
        <s v="ROBERTS CHEVROLET GMC"/>
        <s v="DAVENPORT AUTO PARK"/>
        <s v="MATT LAFONTAINE AUTOMOTIVE"/>
        <s v="PINE BELT CADILLAC OF TOMS RIVER"/>
        <s v="RON ANDERSON CHEVROLET BUICK GMC"/>
        <s v="HOUSE CHEVROLET CADILLAC"/>
        <s v="BARLOW BUICK GMC OF WOODBURY"/>
        <s v="DAVE HALLMAN CHEVROLET"/>
        <s v="JIM COLEMAN CADILLAC"/>
        <s v="BOB BROWN CHEVROLET"/>
        <s v="COMMONWEALTH CHEVROLET"/>
        <s v="RUSTY WALLACE CHEVROLET"/>
        <s v="CECIL CLARK CHEVROLET"/>
        <s v="ROBERTS FORD"/>
        <m/>
      </sharedItems>
    </cacheField>
    <cacheField name="Transaction Type" numFmtId="0">
      <sharedItems containsBlank="1"/>
    </cacheField>
    <cacheField name="Charge Reference" numFmtId="0">
      <sharedItems containsBlank="1" count="573">
        <s v="64222204SW03"/>
        <s v="68164310SW01"/>
        <s v="62179736SW02"/>
        <s v="62179736SW03"/>
        <s v="58040491SW13"/>
        <s v="68175358SW02"/>
        <s v="64222204SW04"/>
        <s v="64222204SW05"/>
        <s v="62179736SW05"/>
        <s v="64222204SW06"/>
        <s v="64222204SW07"/>
        <s v="64222204SW08"/>
        <s v="64222204SW09"/>
        <s v="64222204SW10"/>
        <s v="64222204SW11"/>
        <s v="64222204SW12"/>
        <s v="62179736SW07"/>
        <s v="62179736SW08"/>
        <s v="62179736SW09"/>
        <s v="64222204SW14"/>
        <s v="64222204SW13"/>
        <s v="62179736SW11"/>
        <s v="62179736SW12"/>
        <s v="68162672SW01"/>
        <s v="68219362SW03"/>
        <s v="68164308SW01"/>
        <s v="68163330SW01"/>
        <s v="68162673SW01"/>
        <s v="62179736SW13"/>
        <s v="68163572SW01"/>
        <s v="68163331SW01"/>
        <s v="68163827SW01"/>
        <s v="68163574SW01"/>
        <s v="68175356SW02"/>
        <s v="68164311SW01"/>
        <s v="62179736SW14"/>
        <s v="62179736SW15"/>
        <s v="68163329SW01"/>
        <s v="68172657SW01"/>
        <s v="68219362SW04"/>
        <s v="62179736SW17"/>
        <s v="68168607SW01"/>
        <s v="68175354SW02"/>
        <s v="68175357SW02"/>
        <s v="68173249SW09"/>
        <s v="64222204SW16"/>
        <s v="62179736SW01"/>
        <s v="62179736SW18"/>
        <s v="68219362SW05"/>
        <s v="68219362SW06"/>
        <s v="62179736SW19"/>
        <s v="64222204SW01"/>
        <s v="64222204SW02"/>
        <s v="58036657SW01"/>
        <s v="58036656SW01"/>
        <s v="68219362SW01"/>
        <s v="68215407SW17"/>
        <s v="68219362SW02"/>
        <s v="58036073SW01"/>
        <s v="58036392SW01"/>
        <s v="58036474SW17"/>
        <s v="58036524SW17"/>
        <s v="58036634SW15"/>
        <s v="58037575SW06"/>
        <s v="58038034SW14"/>
        <s v="64234009SW01"/>
        <s v="58038262SW01"/>
        <s v="67035276SW02"/>
        <s v="64229211SW40"/>
        <s v="64229211SW42"/>
        <s v="64229211SW43"/>
        <s v="64229211SW37"/>
        <s v="58039593SW05"/>
        <s v="58039177SW10"/>
        <s v="58039172SW03"/>
        <s v="58039178SW08"/>
        <s v="58039173SW06"/>
        <s v="58039501SW11"/>
        <s v="64241512SW01"/>
        <s v="64243030SW21"/>
        <s v="64243030SW25"/>
        <s v="64243069SW23"/>
        <s v="64243069SW22"/>
        <s v="64194606SW01"/>
        <s v="68216113SW01"/>
        <s v="58038391SW35"/>
        <s v="58038028SW60"/>
        <s v="58038309SW39"/>
        <s v="58038029SW29"/>
        <s v="68186813SW04"/>
        <s v="68228462SW17"/>
        <s v="62164402SW02"/>
        <s v="58038028SW21"/>
        <s v="64233160SW01"/>
        <s v="58038309SW49"/>
        <s v="58038309SW31"/>
        <s v="68228462SW16"/>
        <s v="64230019SW02"/>
        <s v="64218586SW02"/>
        <s v="68224082SW02"/>
        <s v="68211044SW42"/>
        <s v="64241433SW02"/>
        <s v="2025/10/30-2025/10/31"/>
        <s v="68237629SW04"/>
        <s v="68237629SW02"/>
        <s v="64238240SW01"/>
        <s v="64242723SW08"/>
        <s v="64242723SW04"/>
        <s v="64238641SW03"/>
        <s v="68244443SW02"/>
        <s v="64241044SW04"/>
        <s v="64242723SW06"/>
        <s v="64242723SW02"/>
        <s v="64241044SW02"/>
        <s v="62192235SW01"/>
        <s v="67052158SW01"/>
        <s v="62189504SW01"/>
        <s v="68231661SW68"/>
        <s v="68217569SW01"/>
        <s v="68226286SW01"/>
        <s v="64222579SW10"/>
        <s v="68231661SW64"/>
        <s v="68231661SW60"/>
        <s v="64243069SW20"/>
        <s v="68242546SW11"/>
        <s v="64230019SW01"/>
        <s v="68231661SW66"/>
        <s v="68229856SW04"/>
        <s v="64205187SW01"/>
        <s v="68231661SW62"/>
        <s v="64243030SW20"/>
        <s v="64222629SW01"/>
        <s v="68232710SW01"/>
        <s v="67049562SW05"/>
        <s v="68210338SW01"/>
        <s v="64228106SW01"/>
        <s v="64243069SW24"/>
        <s v="62174765SW02"/>
        <s v="62186811SW34"/>
        <s v="68188348SW37"/>
        <s v="64189756SW03"/>
        <s v="64218586SW01"/>
        <s v="64243030SW24"/>
        <s v="68188348SW33"/>
        <s v="68229856SW08"/>
        <s v="68229856SW01"/>
        <s v="2025/10/21-2025/10/31"/>
        <s v="68224082SW01"/>
        <s v="68228500SW01"/>
        <s v="68229856SW05"/>
        <s v="68242478SW11"/>
        <s v="68206625SW02"/>
        <s v="68191822SW06"/>
        <s v="68206625SW01"/>
        <s v="64222579SW14"/>
        <s v="68242698SW10"/>
        <s v="62176126SW01"/>
        <s v="64222579SW05"/>
        <s v="64167985SW01"/>
        <s v="K10691820001"/>
        <s v="68186358SW01"/>
        <s v="64200101SW01"/>
        <s v="62191000SW01"/>
        <s v="68198677SW01"/>
        <s v="67049032SW12"/>
        <s v="62186821SW01"/>
        <s v="68194237SW01"/>
        <s v="64166976SW01"/>
        <s v="68243172SW01"/>
        <s v="64242723SW03"/>
        <s v="64241044SW03"/>
        <s v="68239224SW04"/>
        <s v="64242723SW05"/>
        <s v="68239224SW03"/>
        <s v="68237629SW05"/>
        <s v="68237629SW03"/>
        <s v="2025/10/24-2025/10/31"/>
        <s v="64242723SW01"/>
        <s v="64241044SW01"/>
        <s v="64242723SW07"/>
        <s v="68239224SW01"/>
        <s v="64241433SW01"/>
        <s v="64243989SW01"/>
        <s v="68239224SW02"/>
        <s v="68237629SW06"/>
        <s v="68237629SW01"/>
        <s v="68227988SW27"/>
        <s v="68229856SW03"/>
        <s v="58038454SW26"/>
        <s v="68178106SW01"/>
        <s v="64237542SW15"/>
        <s v="58038309SW46"/>
        <s v="58038309SW43"/>
        <s v="58038463SW26"/>
        <s v="58038408SW23"/>
        <s v="58038028SW96"/>
        <s v="58038029SW11"/>
        <s v="58038391SW41"/>
        <s v="58038235SW09"/>
        <s v="58038326SW17"/>
        <s v="58038028SW55"/>
        <s v="58038408SW13"/>
        <s v="68242546SW10"/>
        <s v="68229856SW02"/>
        <s v="58038309SW35"/>
        <s v="58038454SW21"/>
        <s v="68229856SW06"/>
        <s v="64233160SW02"/>
        <s v="68242040SW38"/>
        <s v="64229517SW01"/>
        <s v="68227988SW23"/>
        <s v="K10741740001"/>
        <s v="68242478SW10"/>
        <s v="58038391SW21"/>
        <s v="58038454SW24"/>
        <s v="58038028SW20"/>
        <s v="68229856SW07"/>
        <s v="58038309SW38"/>
        <s v="58038463SW20"/>
        <s v="68243076SW11"/>
        <s v="64238641SW02"/>
        <s v="58026117SW38"/>
        <s v="68184711SW02"/>
        <s v="68228234SW06"/>
        <s v="58038309SW41"/>
        <s v="64230854SW06"/>
        <s v="64230855SW32"/>
        <s v="62164402SW01"/>
        <s v="62185264SW27"/>
        <s v="64230855SW34"/>
        <s v="62185265SW10"/>
        <s v="62185264SW28"/>
        <s v="68240452SW33"/>
        <s v="64230855SW25"/>
        <s v="62185266SW05"/>
        <s v="68228231SW12"/>
        <s v="68215919SW01"/>
        <s v="68228232SW12"/>
        <s v="68217852SW16"/>
        <s v="62185265SW11"/>
        <s v="62185264SW23"/>
        <s v="68193843SW43"/>
        <s v="58038463SW28"/>
        <s v="68240452SW30"/>
        <s v="64188817SW01"/>
        <s v="64238300SW01"/>
        <s v="68211044SW41"/>
        <s v="58038408SW15"/>
        <s v="68228232SW11"/>
        <s v="68189797SW51"/>
        <s v="68242040SW34"/>
        <s v="62185264SW25"/>
        <s v="68228231SW09"/>
        <s v="64238300SW02"/>
        <s v="68228233SW05"/>
        <s v="64230855SW29"/>
        <s v="68217915SW44"/>
        <s v="64230856SW09"/>
        <s v="64230855SW37"/>
        <s v="62185264SW32"/>
        <s v="64230856SW12"/>
        <s v="64230855SW28"/>
        <s v="68189671SW41"/>
        <s v="OVERAGES"/>
        <s v="68188312SW33"/>
        <s v="64202345SW13"/>
        <s v="64191811SW09"/>
        <s v="64194633SW05"/>
        <s v="64196381SW01"/>
        <s v="64184249SW02"/>
        <s v="68192959SW24"/>
        <s v="68188312SW25"/>
        <s v="64208630SW12"/>
        <s v="68178562SW02"/>
        <s v="64205613SW06"/>
        <s v="64192062SW37"/>
        <s v="64184342SW10"/>
        <s v="64238640SW16"/>
        <s v="68197027SW11"/>
        <s v="68211044SW19"/>
        <s v="38124089SW06"/>
        <s v="68217777SW21"/>
        <s v="64192062SW40"/>
        <s v="64190442SW14"/>
        <s v="68217940SW61"/>
        <s v="68217974SW57"/>
        <s v="68217974SW60"/>
        <s v="38124089SW11"/>
        <s v="68212725SW01"/>
        <s v="68217940SW64"/>
        <s v="64192183SW12"/>
        <s v="68217951SW29"/>
        <s v="64192126SW08"/>
        <s v="68217777SW15"/>
        <s v="K10701600002"/>
        <s v="68217963SW15"/>
        <s v="68217951SW32"/>
        <s v="68192959SW17"/>
        <s v="68210512SW11"/>
        <s v="68157703SW02"/>
        <s v="68211053SW53"/>
        <s v="68207051SW02"/>
        <s v="62178484SW07"/>
        <s v="64202342SW14"/>
        <s v="38118245SW08"/>
        <s v="68217974SW65"/>
        <s v="64195085SW08"/>
        <s v="64213138SW07"/>
        <s v="68217963SW16"/>
        <s v="68217915SW46"/>
        <s v="68157621SW02"/>
        <s v="68197027SW10"/>
        <s v="64226714SW01"/>
        <s v="62180420SW27"/>
        <s v="68217777SW18"/>
        <s v="JUNE OVERAGES"/>
        <s v="68217974SW61"/>
        <s v="68157703SW04"/>
        <s v="68192959SW27"/>
        <s v="68160127SW02"/>
        <s v="64170801SW01"/>
        <s v="68223304SW02"/>
        <s v="68227237SW02"/>
        <s v="68233442SW01"/>
        <s v="68227988SW28"/>
        <s v="68223304SW01"/>
        <s v="68227988SW34"/>
        <s v="68228477SW30"/>
        <s v="58038028SW32"/>
        <s v="68227664SW23"/>
        <s v="64232304SW01"/>
        <s v="64237900SW01"/>
        <s v="68227237SW01"/>
        <s v="68238929SW01"/>
        <s v="62192211SW01"/>
        <s v="64235251SW06"/>
        <s v="64233160SW03"/>
        <s v="68223304SW04"/>
        <s v="68227988SW24"/>
        <s v="68223304SW03"/>
        <s v="68244443SW01"/>
        <s v="62192038SW01"/>
        <s v="68223382SW01"/>
        <s v="58038454SW22"/>
        <s v="58039547SW05"/>
        <s v="62189519SW01"/>
        <s v="68233442SW02"/>
        <s v="68234112SW16"/>
        <s v="62183766SW11"/>
        <s v="64200760SW01"/>
        <s v="68178106SW04"/>
        <s v="64194973SW02"/>
        <s v="38115113SW01"/>
        <s v="68217307SW01"/>
        <s v="68217307SW04"/>
        <s v="68217307SW09"/>
        <s v="68216194SW01"/>
        <s v="68217522SW12"/>
        <s v="38115113SW03"/>
        <s v="68217307SW03"/>
        <s v="68200338SW01"/>
        <s v="64200760SW02"/>
        <s v="68216120SW01"/>
        <s v="68217307SW02"/>
        <s v="68217307SW05"/>
        <s v="68217307SW07"/>
        <s v="68217307SW10"/>
        <s v="68213851SW15"/>
        <s v="62158161SW11"/>
        <s v="68217307SW08"/>
        <s v="64185774SW01"/>
        <s v="68214515SW04"/>
        <s v="68171923SW01"/>
        <s v="68192220SW51"/>
        <s v="68206186SW01"/>
        <s v="68217307SW06"/>
        <s v="68185848SW01"/>
        <s v="68192220SW30"/>
        <s v="68192235SW07"/>
        <s v="68211053SW35"/>
        <s v="68178106SW03"/>
        <s v="68189742SW06"/>
        <s v="68217940SW57"/>
        <s v="64202282SW02"/>
        <s v="68178106SW02"/>
        <s v="64209915SW01"/>
        <s v="64207269SW01"/>
        <s v="58038028SW90"/>
        <s v="64202282SW03"/>
        <s v="58038391SW39"/>
        <s v="64229510SW01"/>
        <s v="68180070SW01"/>
        <s v="68228462SW22"/>
        <s v="64228395SW15"/>
        <s v="64226832SW03"/>
        <s v="64169883SW06"/>
        <s v="38095589SW04"/>
        <s v="68227988SW26"/>
        <s v="64238640SW05"/>
        <s v="64179631SW21"/>
        <s v="58038454SW27"/>
        <s v="58038463SW19"/>
        <s v="64222579SW23"/>
        <s v="67035312SW04"/>
        <s v="67034958SW03"/>
        <s v="68219881SW01"/>
        <s v="68163560SW01"/>
        <s v="68235305SW36"/>
        <s v="58038391SW27"/>
        <s v="64169188SW01"/>
        <s v="68239649SW02"/>
        <s v="64222579SW06"/>
        <s v="64222579SW27"/>
        <s v="64169910SW03"/>
        <s v="64222579SW17"/>
        <s v="68189788SW29"/>
        <s v="68162671SW02"/>
        <s v="64227692SW34"/>
        <s v="64227720SW69"/>
        <s v="64227720SW63"/>
        <s v="68164285SW01"/>
        <s v="64170124SW01"/>
        <s v="64170203SW01"/>
        <s v="64169518SW01"/>
        <s v="58038408SW17"/>
        <s v="64222579SW26"/>
        <s v="62142533SW01"/>
        <s v="64222579SW16"/>
        <s v="58039655SW67"/>
        <s v="64222579SW19"/>
        <s v="68162952SW01"/>
        <s v="64222579SW25"/>
        <s v="64222579SW07"/>
        <s v="68235305SW44"/>
        <s v="64186378SW19"/>
        <s v="68235305SW26"/>
        <s v="64169434SW07"/>
        <s v="67035328SW03"/>
        <s v="58038408SW25"/>
        <s v="68175284SW01"/>
        <s v="68189788SW31"/>
        <s v="64222579SW13"/>
        <s v="64222579SW21"/>
        <s v="58039655SW36"/>
        <s v="64222579SW18"/>
        <s v="64227692SW38"/>
        <s v="64227692SW35"/>
        <s v="64169434SW06"/>
        <s v="64169441SW01"/>
        <s v="68239818SW54"/>
        <s v="64238640SW03"/>
        <s v="38095635SW04"/>
        <s v="62163740SW01"/>
        <s v="58038326SW13"/>
        <s v="58038463SW21"/>
        <s v="58038326SW11"/>
        <s v="62142533SW02"/>
        <s v="64169830SW04"/>
        <s v="68163551SW02"/>
        <s v="68164269SW04"/>
        <s v="67035004SW05"/>
        <s v="68237938SW01"/>
        <s v="68163825SW03"/>
        <s v="68163484SW04"/>
        <s v="68211655SW01"/>
        <s v="58038408SW26"/>
        <s v="68163056SW04"/>
        <s v="68189797SW50"/>
        <s v="38095578SW04"/>
        <s v="68163823SW01"/>
        <s v="64222579SW15"/>
        <s v="68163344SW01"/>
        <s v="64209710SW24"/>
        <s v="68235305SW48"/>
        <s v="68235305SW32"/>
        <s v="64227711SW41"/>
        <s v="64227720SW61"/>
        <s v="68163145SW02"/>
        <s v="64180854SW03"/>
        <s v="64169966SW01"/>
        <s v="68163935SW01"/>
        <s v="64222579SW08"/>
        <s v="64169961SW01"/>
        <s v="68164058SW03"/>
        <s v="64170539SW01"/>
        <s v="64169455SW04"/>
        <s v="62184080SW34"/>
        <s v="68203324SW11"/>
        <s v="64169487SW07"/>
        <s v="64169965SW01"/>
        <s v="68162917SW06"/>
        <s v="58038454SW28"/>
        <s v="38106699SW05"/>
        <s v="68230019SW14"/>
        <s v="68239649SW01"/>
        <s v="64222579SW20"/>
        <s v="64222579SW24"/>
        <s v="64222579SW02"/>
        <s v="64238570SW02"/>
        <s v="58026309SW22"/>
        <s v="64238640SW12"/>
        <s v="68163757SW02"/>
        <s v="68237105SW20"/>
        <s v="68203870SW47"/>
        <s v="68203854SW23"/>
        <s v="67060780SW01"/>
        <s v="68220419SW16"/>
        <s v="68183029SW09"/>
        <s v="64185475SW32"/>
        <s v="64185476SW09"/>
        <s v="64169978SW03"/>
        <s v="68242040SW36"/>
        <s v="68164274SW01"/>
        <s v="62193800SW42"/>
        <s v="68203900SW38"/>
        <s v="38095648SW03"/>
        <s v="62193792SW13"/>
        <s v="58037686SW33"/>
        <s v="58034345SW02"/>
        <s v="68242040SW41"/>
        <s v="58034345SW14"/>
        <s v="64185475SW26"/>
        <s v="64238640SW15"/>
        <s v="68203919SW45"/>
        <s v="68203870SW49"/>
        <s v="62193800SW35"/>
        <s v="62193792SW04"/>
        <s v="68203870SW46"/>
        <s v="58034345SW11"/>
        <s v="68203927SW45"/>
        <s v="58034345SW05"/>
        <s v="62184178SW14"/>
        <s v="64185475SW29"/>
        <s v="62193790SW93"/>
        <s v="38119956SW11"/>
        <s v="62142722SW03"/>
        <s v="68181366SW09"/>
        <s v="68237734SW22"/>
        <s v="62193792SW07"/>
        <s v="62193792SW12"/>
        <s v="68181366SW18"/>
        <s v="64199490SW02"/>
        <s v="64208124SW01"/>
        <s v="58034345SW17"/>
        <s v="58037686SW26"/>
        <s v="62193800SW32"/>
        <s v="64226223SW58"/>
        <s v="68238027SW03"/>
        <s v="58033653SW04"/>
        <s v="68203927SW49"/>
        <s v="68211112SW24"/>
        <s v="68225289SW26"/>
        <s v="58034345SW08"/>
        <s v="64226223SW66"/>
        <s v="62167401SW32"/>
        <s v="64182692SW07"/>
        <s v="64217992SW01"/>
        <s v="68236803SW16"/>
        <s v="64217695SW15"/>
        <s v="68240452SW36"/>
        <s v="64199598SW11"/>
        <s v="67041379SW03"/>
        <s v="68180035SW01"/>
        <s v="68185719SW03"/>
        <s v="68235472SW01"/>
        <s v="64235014SW38"/>
        <s v="00200565SW02"/>
        <s v="00201724SW01"/>
        <s v="00200283SW05"/>
        <s v="64216695SW02"/>
        <s v="62175746SW02"/>
        <s v="68187586SW02"/>
        <m/>
      </sharedItems>
    </cacheField>
    <cacheField name="CDF Id" numFmtId="0">
      <sharedItems containsBlank="1"/>
    </cacheField>
    <cacheField name="Catalog Number" numFmtId="0">
      <sharedItems containsBlank="1" count="29">
        <s v="4570548"/>
        <s v="4570060"/>
        <s v="4570128"/>
        <s v="4570405"/>
        <s v="4570104"/>
        <s v="4571029"/>
        <s v="4570122"/>
        <s v="4570123"/>
        <s v="4570124"/>
        <s v="4570783"/>
        <s v="4570126"/>
        <s v="4570289"/>
        <s v="4570064"/>
        <s v="4570779"/>
        <s v="4570780"/>
        <s v="4570129"/>
        <s v="4571026"/>
        <s v="4570062"/>
        <s v="4570009"/>
        <s v="4571030"/>
        <s v="4570058"/>
        <s v="4570585"/>
        <s v="4570286"/>
        <s v="4570120"/>
        <s v="4570383"/>
        <s v="4570358"/>
        <s v="4570522"/>
        <s v="4570648"/>
        <m/>
      </sharedItems>
    </cacheField>
    <cacheField name="Catalog Description" numFmtId="0">
      <sharedItems containsBlank="1" count="29">
        <s v="CAR WARS CUSTOM PACKAGE--VICTORY AUTO"/>
        <s v="CRM OUTBOUND TELEPHONY TRACKING (NEW AND CONVERSION)"/>
        <s v="CARWARS TEXTING (STARTER/ADVANCED)"/>
        <s v="CALLSOURCE (CONVERSION)"/>
        <s v="CALLSOURCE EL ATTRIBUTED SMALL"/>
        <s v="CARWARS ADDITIONAL BLOCK MINUTES"/>
        <s v="CARWARS ADVANCED SALES"/>
        <s v="CARWARS ADVANCED SERVICE"/>
        <s v="CARWARS CARI AI"/>
        <s v="CARWARS CARRIER REGISTRATION"/>
        <s v="CARWARS CRM MAINTENANCE"/>
        <s v="CARWARS ELITE 12,500 PACKAGE"/>
        <s v="CARWARS ELITE LARGE"/>
        <s v="CARWARS ELITE SMALL"/>
        <s v="CARWARS ELITE SMALL SERVICE"/>
        <s v="CARWARS INDEFINITE CALL RECORDINGS"/>
        <s v="CARWARS LEISURE SMALL (SALES ONLY)"/>
        <s v="CARWARS PREMIUM SALES"/>
        <s v="CARWARS STARTER 3500"/>
        <s v="CARWARS STARTER 5000"/>
        <s v="CARWARS STARTER 7500"/>
        <s v="CARWARS STARTER UNLIMITED (FOR PHONE SYSTEMS)"/>
        <s v="CARWARS VOICE RECOGNITION (STARTER/ADV)"/>
        <s v="CRM TELEPHONY TRACKING"/>
        <s v="EL1OUTCALLTRACK (GM IMR)"/>
        <s v="OUTBOUND CALL TRACKING PKGS (GM IMR CONVERSION)"/>
        <s v="SERVICE VISION PACKAGE 100 CALLS WINTEL (FOPS CMONITORING WPERFANALYTICS)"/>
        <s v="SERVICE VISION PACKAGE 300 CALLS WINTEL (FOPS CMONITORING WPERFANALYTICS)"/>
        <m/>
      </sharedItems>
    </cacheField>
    <cacheField name="Charge Type" numFmtId="0">
      <sharedItems containsBlank="1"/>
    </cacheField>
    <cacheField name="Charge Type Description" numFmtId="0">
      <sharedItems containsBlank="1"/>
    </cacheField>
    <cacheField name="Invoice Fiscal Year" numFmtId="0">
      <sharedItems containsString="0" containsBlank="1" containsNumber="1" containsInteger="1" minValue="2025" maxValue="2025"/>
    </cacheField>
    <cacheField name="Invoice Fiscal Month" numFmtId="0">
      <sharedItems containsString="0" containsBlank="1" containsNumber="1" containsInteger="1" minValue="11" maxValue="11"/>
    </cacheField>
    <cacheField name="Rollup Level Code" numFmtId="0">
      <sharedItems containsBlank="1"/>
    </cacheField>
    <cacheField name="Invoice Calendar Year" numFmtId="0">
      <sharedItems containsString="0" containsBlank="1" containsNumber="1" containsInteger="1" minValue="2025" maxValue="2025"/>
    </cacheField>
    <cacheField name="Invoice Month Name" numFmtId="0">
      <sharedItems containsBlank="1"/>
    </cacheField>
    <cacheField name="Primary / Secondary" numFmtId="0">
      <sharedItems containsBlank="1" count="3">
        <s v="Primary"/>
        <s v="Secondary"/>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2">
  <r>
    <x v="0"/>
    <x v="0"/>
    <x v="0"/>
    <n v="2"/>
    <n v="0"/>
    <x v="0"/>
    <n v="0"/>
    <n v="4.67"/>
    <n v="0"/>
    <n v="0"/>
    <s v="Elead Launch Phase-0"/>
    <n v="0"/>
  </r>
  <r>
    <x v="1"/>
    <x v="1"/>
    <x v="1"/>
    <n v="16"/>
    <n v="0"/>
    <x v="1"/>
    <n v="0"/>
    <n v="82.34"/>
    <n v="0"/>
    <n v="0"/>
    <s v="Elead CW Starter 4000 v2"/>
    <n v="254.15"/>
  </r>
  <r>
    <x v="2"/>
    <x v="2"/>
    <x v="2"/>
    <n v="21"/>
    <n v="0"/>
    <x v="2"/>
    <n v="0"/>
    <n v="1890.85"/>
    <n v="0"/>
    <n v="0"/>
    <s v="eLead - CW Starter - 3500 mins v2"/>
    <n v="254.15"/>
  </r>
  <r>
    <x v="3"/>
    <x v="3"/>
    <x v="3"/>
    <n v="19"/>
    <n v="0"/>
    <x v="3"/>
    <n v="0"/>
    <n v="37.67"/>
    <n v="0"/>
    <n v="0"/>
    <s v="eLead - CW Starter - 3500 mins v2"/>
    <n v="254.15"/>
  </r>
  <r>
    <x v="3"/>
    <x v="3"/>
    <x v="3"/>
    <s v="-"/>
    <s v="-"/>
    <x v="4"/>
    <s v="-"/>
    <s v="-"/>
    <s v="-"/>
    <s v="-"/>
    <s v="Secondary Package: Carrier Registration - Monthly"/>
    <n v="10"/>
  </r>
  <r>
    <x v="4"/>
    <x v="4"/>
    <x v="4"/>
    <n v="84"/>
    <n v="0"/>
    <x v="5"/>
    <n v="0"/>
    <n v="1395.62"/>
    <n v="16929.57"/>
    <n v="14001.79"/>
    <s v="eLead CW Elite (Sales Service AI) v2"/>
    <n v="2533.85"/>
  </r>
  <r>
    <x v="4"/>
    <x v="4"/>
    <x v="4"/>
    <s v="-"/>
    <s v="-"/>
    <x v="4"/>
    <s v="-"/>
    <s v="-"/>
    <s v="-"/>
    <s v="-"/>
    <s v="Secondary Package: Carrier Registration - Monthly"/>
    <n v="10"/>
  </r>
  <r>
    <x v="5"/>
    <x v="5"/>
    <x v="5"/>
    <n v="11"/>
    <n v="0"/>
    <x v="6"/>
    <n v="0"/>
    <n v="13.35"/>
    <n v="0"/>
    <n v="0"/>
    <s v="eLead - CW Starter - 3500 mins v2"/>
    <n v="254.15"/>
  </r>
  <r>
    <x v="5"/>
    <x v="5"/>
    <x v="5"/>
    <s v="-"/>
    <s v="-"/>
    <x v="4"/>
    <s v="-"/>
    <s v="-"/>
    <s v="-"/>
    <s v="-"/>
    <s v="Secondary Package: Carrier Registration - Monthly"/>
    <n v="10"/>
  </r>
  <r>
    <x v="6"/>
    <x v="6"/>
    <x v="6"/>
    <n v="34"/>
    <n v="0"/>
    <x v="7"/>
    <n v="0"/>
    <n v="102.95"/>
    <n v="1037.6099999999999"/>
    <n v="0"/>
    <s v="Elead CW Starter 4000 v2"/>
    <n v="254.15"/>
  </r>
  <r>
    <x v="6"/>
    <x v="6"/>
    <x v="6"/>
    <s v="-"/>
    <s v="-"/>
    <x v="4"/>
    <s v="-"/>
    <s v="-"/>
    <s v="-"/>
    <s v="-"/>
    <s v="Secondary Package: Carrier Registration - Monthly"/>
    <n v="10"/>
  </r>
  <r>
    <x v="7"/>
    <x v="7"/>
    <x v="7"/>
    <n v="0"/>
    <n v="0"/>
    <x v="8"/>
    <n v="0"/>
    <n v="0"/>
    <n v="0"/>
    <n v="0"/>
    <s v="Elead Launch Phase-0"/>
    <n v="0"/>
  </r>
  <r>
    <x v="8"/>
    <x v="8"/>
    <x v="0"/>
    <n v="50"/>
    <n v="0"/>
    <x v="9"/>
    <n v="0"/>
    <n v="16.66"/>
    <n v="62.67"/>
    <n v="72.02"/>
    <s v="Elead - 24' CW Elite Medium"/>
    <n v="1294"/>
  </r>
  <r>
    <x v="8"/>
    <x v="8"/>
    <x v="0"/>
    <s v="-"/>
    <s v="-"/>
    <x v="4"/>
    <s v="-"/>
    <s v="-"/>
    <s v="-"/>
    <s v="-"/>
    <s v="Secondary Package: Carrier Registration - Monthly"/>
    <n v="10"/>
  </r>
  <r>
    <x v="9"/>
    <x v="9"/>
    <x v="8"/>
    <n v="3"/>
    <n v="0"/>
    <x v="10"/>
    <n v="48.31"/>
    <n v="523.99"/>
    <n v="5891.47"/>
    <n v="0"/>
    <s v="Elead Outbound 4000 v2"/>
    <n v="177.31"/>
  </r>
  <r>
    <x v="9"/>
    <x v="9"/>
    <x v="8"/>
    <s v="-"/>
    <s v="-"/>
    <x v="4"/>
    <s v="-"/>
    <s v="-"/>
    <s v="-"/>
    <s v="-"/>
    <s v="Secondary Package: Carrier Registration - Monthly"/>
    <n v="10"/>
  </r>
  <r>
    <x v="10"/>
    <x v="10"/>
    <x v="9"/>
    <n v="12"/>
    <n v="0"/>
    <x v="11"/>
    <n v="0"/>
    <n v="626.69000000000005"/>
    <n v="2500.14"/>
    <n v="0"/>
    <s v="eLead - CW Starter - 5000 mins v2"/>
    <n v="509.15"/>
  </r>
  <r>
    <x v="11"/>
    <x v="11"/>
    <x v="10"/>
    <n v="10"/>
    <n v="0"/>
    <x v="12"/>
    <n v="0"/>
    <n v="278.72000000000003"/>
    <n v="1013.92"/>
    <n v="0"/>
    <s v="eLead - CW Starter - 7500 mins v2"/>
    <n v="424.15"/>
  </r>
  <r>
    <x v="11"/>
    <x v="11"/>
    <x v="10"/>
    <s v="-"/>
    <s v="-"/>
    <x v="4"/>
    <s v="-"/>
    <s v="-"/>
    <s v="-"/>
    <s v="-"/>
    <s v="Secondary Package: Carrier Registration - Monthly"/>
    <n v="10"/>
  </r>
  <r>
    <x v="12"/>
    <x v="12"/>
    <x v="11"/>
    <n v="53"/>
    <n v="0"/>
    <x v="13"/>
    <n v="0"/>
    <n v="2979.4"/>
    <n v="629.04"/>
    <n v="2283.2800000000002"/>
    <s v="Elead - CW Elite Small + Advanced Service"/>
    <n v="1688"/>
  </r>
  <r>
    <x v="12"/>
    <x v="12"/>
    <x v="11"/>
    <s v="-"/>
    <s v="-"/>
    <x v="4"/>
    <s v="-"/>
    <s v="-"/>
    <s v="-"/>
    <s v="-"/>
    <s v="Secondary Package: Carrier Registration - Monthly"/>
    <n v="10"/>
  </r>
  <r>
    <x v="13"/>
    <x v="13"/>
    <x v="12"/>
    <n v="82"/>
    <n v="0"/>
    <x v="14"/>
    <n v="0"/>
    <n v="8351.73"/>
    <n v="0"/>
    <n v="1596.02"/>
    <s v="Elead CW Unlimited  v2"/>
    <n v="1571.65"/>
  </r>
  <r>
    <x v="14"/>
    <x v="14"/>
    <x v="13"/>
    <n v="37"/>
    <n v="0"/>
    <x v="15"/>
    <n v="0"/>
    <n v="2894.11"/>
    <n v="70.989999999999995"/>
    <n v="645.70000000000005"/>
    <s v="Elead CW Unlimited  v2"/>
    <n v="1571.65"/>
  </r>
  <r>
    <x v="15"/>
    <x v="15"/>
    <x v="14"/>
    <n v="14"/>
    <n v="0"/>
    <x v="16"/>
    <n v="0"/>
    <n v="77.33"/>
    <n v="602.55999999999995"/>
    <n v="0"/>
    <s v="eLead - CW Starter - 7500 mins v2"/>
    <n v="424.15"/>
  </r>
  <r>
    <x v="15"/>
    <x v="15"/>
    <x v="14"/>
    <s v="-"/>
    <s v="-"/>
    <x v="4"/>
    <s v="-"/>
    <s v="-"/>
    <s v="-"/>
    <s v="-"/>
    <s v="Secondary Package: Carrier Registration - Monthly"/>
    <n v="10"/>
  </r>
  <r>
    <x v="16"/>
    <x v="16"/>
    <x v="15"/>
    <n v="129"/>
    <n v="0"/>
    <x v="17"/>
    <n v="0"/>
    <n v="18067.14"/>
    <n v="6111.98"/>
    <n v="6130.54"/>
    <s v="eLead - CW Premium - Sales 50k v2"/>
    <n v="1571.65"/>
  </r>
  <r>
    <x v="16"/>
    <x v="16"/>
    <x v="15"/>
    <s v="-"/>
    <s v="-"/>
    <x v="4"/>
    <s v="-"/>
    <s v="-"/>
    <s v="-"/>
    <s v="-"/>
    <s v="Secondary Package: Carrier Registration - Monthly"/>
    <n v="10"/>
  </r>
  <r>
    <x v="17"/>
    <x v="17"/>
    <x v="16"/>
    <n v="17"/>
    <n v="0"/>
    <x v="18"/>
    <n v="0"/>
    <n v="7548.65"/>
    <n v="5871.98"/>
    <n v="5617.04"/>
    <s v="eLead - CW Premium - Sales 50k v2"/>
    <n v="1571.65"/>
  </r>
  <r>
    <x v="17"/>
    <x v="17"/>
    <x v="16"/>
    <s v="-"/>
    <s v="-"/>
    <x v="4"/>
    <s v="-"/>
    <s v="-"/>
    <s v="-"/>
    <s v="-"/>
    <s v="Secondary Package: Carrier Registration - Monthly"/>
    <n v="10"/>
  </r>
  <r>
    <x v="18"/>
    <x v="18"/>
    <x v="17"/>
    <n v="76"/>
    <n v="0"/>
    <x v="19"/>
    <n v="0"/>
    <n v="5682.62"/>
    <n v="4057.73"/>
    <n v="8870.65"/>
    <s v="Elead CW Unlimited  v2"/>
    <n v="1571.65"/>
  </r>
  <r>
    <x v="18"/>
    <x v="18"/>
    <x v="17"/>
    <s v="-"/>
    <s v="-"/>
    <x v="4"/>
    <s v="-"/>
    <s v="-"/>
    <s v="-"/>
    <s v="-"/>
    <s v="Secondary Package: Carrier Registration - Monthly"/>
    <n v="10"/>
  </r>
  <r>
    <x v="19"/>
    <x v="19"/>
    <x v="18"/>
    <n v="45"/>
    <n v="0"/>
    <x v="20"/>
    <n v="33.82"/>
    <n v="255.14"/>
    <n v="5120.6099999999997"/>
    <n v="0"/>
    <s v="eLead - CW Starter - 5000 mins v2"/>
    <n v="542.97"/>
  </r>
  <r>
    <x v="20"/>
    <x v="20"/>
    <x v="19"/>
    <n v="73"/>
    <n v="0"/>
    <x v="21"/>
    <n v="0"/>
    <n v="0.67"/>
    <n v="3.65"/>
    <n v="0"/>
    <s v="eLead CW Elite (Sales Service AI) v2"/>
    <n v="2533.85"/>
  </r>
  <r>
    <x v="20"/>
    <x v="20"/>
    <x v="19"/>
    <s v="-"/>
    <s v="-"/>
    <x v="4"/>
    <s v="-"/>
    <s v="-"/>
    <s v="-"/>
    <s v="-"/>
    <s v="Secondary Package: Carrier Registration - Monthly"/>
    <n v="10"/>
  </r>
  <r>
    <x v="21"/>
    <x v="21"/>
    <x v="20"/>
    <n v="0"/>
    <n v="0"/>
    <x v="8"/>
    <n v="0"/>
    <n v="0"/>
    <n v="0"/>
    <n v="0"/>
    <s v="Elead Launch Phase-0"/>
    <n v="0"/>
  </r>
  <r>
    <x v="22"/>
    <x v="22"/>
    <x v="21"/>
    <n v="54"/>
    <n v="0"/>
    <x v="22"/>
    <n v="0"/>
    <n v="4792.49"/>
    <n v="9573.61"/>
    <n v="12831.22"/>
    <s v="eLead - CW Premium - Sales 50k v2"/>
    <n v="1571.65"/>
  </r>
  <r>
    <x v="22"/>
    <x v="22"/>
    <x v="21"/>
    <s v="-"/>
    <s v="-"/>
    <x v="4"/>
    <s v="-"/>
    <s v="-"/>
    <s v="-"/>
    <s v="-"/>
    <s v="Secondary Package: Carrier Registration - Monthly"/>
    <n v="10"/>
  </r>
  <r>
    <x v="23"/>
    <x v="23"/>
    <x v="22"/>
    <n v="30"/>
    <n v="0"/>
    <x v="23"/>
    <n v="76.5"/>
    <n v="3173.73"/>
    <n v="1934.95"/>
    <n v="0"/>
    <s v="Elead CW Starter 4000 v2"/>
    <n v="330.65"/>
  </r>
  <r>
    <x v="23"/>
    <x v="23"/>
    <x v="22"/>
    <s v="-"/>
    <s v="-"/>
    <x v="4"/>
    <s v="-"/>
    <s v="-"/>
    <s v="-"/>
    <s v="-"/>
    <s v="Secondary Package: Carrier Registration - Monthly"/>
    <n v="10"/>
  </r>
  <r>
    <x v="24"/>
    <x v="24"/>
    <x v="23"/>
    <n v="24"/>
    <n v="0"/>
    <x v="24"/>
    <n v="0"/>
    <n v="1272.55"/>
    <n v="1562.19"/>
    <n v="0"/>
    <s v="Elead CW Starter 4000 v2"/>
    <n v="254.15"/>
  </r>
  <r>
    <x v="24"/>
    <x v="24"/>
    <x v="23"/>
    <s v="-"/>
    <s v="-"/>
    <x v="4"/>
    <s v="-"/>
    <s v="-"/>
    <s v="-"/>
    <s v="-"/>
    <s v="Secondary Package: Carrier Registration - Monthly"/>
    <n v="10"/>
  </r>
  <r>
    <x v="25"/>
    <x v="25"/>
    <x v="24"/>
    <n v="25"/>
    <n v="0"/>
    <x v="25"/>
    <n v="0"/>
    <n v="125.99"/>
    <n v="140.63999999999999"/>
    <n v="0"/>
    <s v="Elead CW Starter 4000 v2"/>
    <n v="254.15"/>
  </r>
  <r>
    <x v="26"/>
    <x v="26"/>
    <x v="25"/>
    <n v="2"/>
    <n v="0"/>
    <x v="8"/>
    <n v="0"/>
    <n v="0"/>
    <n v="0"/>
    <n v="0"/>
    <s v="Elead Launch Phase-0"/>
    <n v="0"/>
  </r>
  <r>
    <x v="27"/>
    <x v="27"/>
    <x v="26"/>
    <n v="15"/>
    <n v="0"/>
    <x v="26"/>
    <n v="0"/>
    <n v="41.02"/>
    <n v="0"/>
    <n v="40.69"/>
    <s v="Elead CW 8000"/>
    <n v="710"/>
  </r>
  <r>
    <x v="28"/>
    <x v="28"/>
    <x v="27"/>
    <n v="15"/>
    <n v="0"/>
    <x v="27"/>
    <n v="0"/>
    <n v="746.31"/>
    <n v="0.33"/>
    <n v="0"/>
    <s v="eLead - CW Starter - 5000 mins v2"/>
    <n v="509.15"/>
  </r>
  <r>
    <x v="29"/>
    <x v="29"/>
    <x v="28"/>
    <n v="11"/>
    <n v="0"/>
    <x v="28"/>
    <n v="184.31"/>
    <n v="1777.18"/>
    <n v="4393.96"/>
    <n v="0"/>
    <s v="eLead - CW Starter - 3500 mins v2"/>
    <n v="438.46"/>
  </r>
  <r>
    <x v="29"/>
    <x v="29"/>
    <x v="28"/>
    <s v="-"/>
    <s v="-"/>
    <x v="4"/>
    <s v="-"/>
    <s v="-"/>
    <s v="-"/>
    <s v="-"/>
    <s v="Secondary Package: Carrier Registration - Monthly"/>
    <n v="10"/>
  </r>
  <r>
    <x v="30"/>
    <x v="30"/>
    <x v="29"/>
    <n v="10"/>
    <n v="0"/>
    <x v="29"/>
    <n v="81.819999999999993"/>
    <n v="777.91"/>
    <n v="3907.95"/>
    <n v="0"/>
    <s v="eLead - CW Starter - 3500 mins v2"/>
    <n v="335.97"/>
  </r>
  <r>
    <x v="30"/>
    <x v="30"/>
    <x v="29"/>
    <s v="-"/>
    <s v="-"/>
    <x v="4"/>
    <s v="-"/>
    <s v="-"/>
    <s v="-"/>
    <s v="-"/>
    <s v="Secondary Package: Carrier Registration - Monthly"/>
    <n v="10"/>
  </r>
  <r>
    <x v="31"/>
    <x v="31"/>
    <x v="30"/>
    <n v="14"/>
    <n v="0"/>
    <x v="30"/>
    <n v="31.62"/>
    <n v="2637.44"/>
    <n v="1820.75"/>
    <n v="0"/>
    <s v="Elead CW Starter 4000 v2"/>
    <n v="285.77"/>
  </r>
  <r>
    <x v="31"/>
    <x v="31"/>
    <x v="30"/>
    <s v="-"/>
    <s v="-"/>
    <x v="4"/>
    <s v="-"/>
    <s v="-"/>
    <s v="-"/>
    <s v="-"/>
    <s v="Secondary Package: Carrier Registration - Monthly"/>
    <n v="10"/>
  </r>
  <r>
    <x v="32"/>
    <x v="32"/>
    <x v="31"/>
    <n v="2"/>
    <n v="0"/>
    <x v="31"/>
    <n v="7.68"/>
    <n v="323.89"/>
    <n v="4060.12"/>
    <n v="0"/>
    <s v="Elead Outbound 4000 v2"/>
    <n v="136.68"/>
  </r>
  <r>
    <x v="32"/>
    <x v="32"/>
    <x v="31"/>
    <s v="-"/>
    <s v="-"/>
    <x v="4"/>
    <s v="-"/>
    <s v="-"/>
    <s v="-"/>
    <s v="-"/>
    <s v="Secondary Package: Carrier Registration - Monthly"/>
    <n v="10"/>
  </r>
  <r>
    <x v="33"/>
    <x v="33"/>
    <x v="32"/>
    <n v="19"/>
    <n v="0"/>
    <x v="32"/>
    <n v="0"/>
    <n v="267.36"/>
    <n v="2210.39"/>
    <n v="0"/>
    <s v="Elead CW Starter 4000 v2"/>
    <n v="254.15"/>
  </r>
  <r>
    <x v="33"/>
    <x v="33"/>
    <x v="32"/>
    <s v="-"/>
    <s v="-"/>
    <x v="4"/>
    <s v="-"/>
    <s v="-"/>
    <s v="-"/>
    <s v="-"/>
    <s v="Secondary Package: Carrier Registration - Monthly"/>
    <n v="10"/>
  </r>
  <r>
    <x v="34"/>
    <x v="34"/>
    <x v="33"/>
    <n v="53"/>
    <n v="0"/>
    <x v="33"/>
    <n v="0"/>
    <n v="13251.63"/>
    <n v="5720.64"/>
    <n v="6623.52"/>
    <s v="eLead CW Elite (Sales Service AI) v2"/>
    <n v="2533.85"/>
  </r>
  <r>
    <x v="35"/>
    <x v="35"/>
    <x v="34"/>
    <n v="2"/>
    <n v="0"/>
    <x v="34"/>
    <n v="0"/>
    <n v="0"/>
    <n v="3112.69"/>
    <n v="0"/>
    <s v="Elead Outbound 4000 v2"/>
    <n v="129"/>
  </r>
  <r>
    <x v="35"/>
    <x v="35"/>
    <x v="34"/>
    <s v="-"/>
    <s v="-"/>
    <x v="4"/>
    <s v="-"/>
    <s v="-"/>
    <s v="-"/>
    <s v="-"/>
    <s v="Secondary Package: Carrier Registration - Monthly"/>
    <n v="10"/>
  </r>
  <r>
    <x v="36"/>
    <x v="36"/>
    <x v="35"/>
    <n v="2"/>
    <n v="0"/>
    <x v="35"/>
    <n v="0.76"/>
    <n v="296.83999999999997"/>
    <n v="3741.3"/>
    <n v="0"/>
    <s v="Elead Outbound 4000 v2"/>
    <n v="129.76"/>
  </r>
  <r>
    <x v="37"/>
    <x v="37"/>
    <x v="36"/>
    <n v="4"/>
    <n v="0"/>
    <x v="36"/>
    <n v="0"/>
    <n v="22.66"/>
    <n v="1"/>
    <n v="0"/>
    <s v="Elead CW Starter 4000 v2"/>
    <n v="254.15"/>
  </r>
  <r>
    <x v="38"/>
    <x v="38"/>
    <x v="37"/>
    <n v="14"/>
    <n v="0"/>
    <x v="37"/>
    <n v="147.26"/>
    <n v="26.05"/>
    <n v="5608.16"/>
    <n v="0"/>
    <s v="eLead - CW Starter - 3500 mins v2"/>
    <n v="401.41"/>
  </r>
  <r>
    <x v="38"/>
    <x v="38"/>
    <x v="37"/>
    <s v="-"/>
    <s v="-"/>
    <x v="4"/>
    <s v="-"/>
    <s v="-"/>
    <s v="-"/>
    <s v="-"/>
    <s v="Secondary Package: Carrier Registration - Monthly"/>
    <n v="10"/>
  </r>
  <r>
    <x v="39"/>
    <x v="39"/>
    <x v="38"/>
    <n v="5"/>
    <n v="0"/>
    <x v="38"/>
    <n v="0"/>
    <n v="35.68"/>
    <n v="424.33"/>
    <n v="0"/>
    <s v="eLead - CW Starter - 7500 mins v2"/>
    <n v="424.15"/>
  </r>
  <r>
    <x v="39"/>
    <x v="39"/>
    <x v="38"/>
    <s v="-"/>
    <s v="-"/>
    <x v="4"/>
    <s v="-"/>
    <s v="-"/>
    <s v="-"/>
    <s v="-"/>
    <s v="Secondary Package: Carrier Registration - Monthly"/>
    <n v="10"/>
  </r>
  <r>
    <x v="40"/>
    <x v="40"/>
    <x v="39"/>
    <n v="0"/>
    <n v="0"/>
    <x v="8"/>
    <n v="0"/>
    <n v="0"/>
    <n v="0"/>
    <n v="0"/>
    <s v="Elead Launch Phase-0"/>
    <n v="0"/>
  </r>
  <r>
    <x v="41"/>
    <x v="41"/>
    <x v="40"/>
    <n v="12"/>
    <n v="0"/>
    <x v="39"/>
    <n v="0"/>
    <n v="1700.68"/>
    <n v="457.37"/>
    <n v="0"/>
    <s v="eLead - CW Starter - 3500 mins v2"/>
    <n v="254.15"/>
  </r>
  <r>
    <x v="41"/>
    <x v="41"/>
    <x v="40"/>
    <s v="-"/>
    <s v="-"/>
    <x v="4"/>
    <s v="-"/>
    <s v="-"/>
    <s v="-"/>
    <s v="-"/>
    <s v="Secondary Package: Carrier Registration - Monthly"/>
    <n v="10"/>
  </r>
  <r>
    <x v="42"/>
    <x v="42"/>
    <x v="41"/>
    <n v="86"/>
    <n v="0"/>
    <x v="40"/>
    <n v="0"/>
    <n v="891.16"/>
    <n v="7758.97"/>
    <n v="7087.85"/>
    <s v="eLead CW Elite (Sales Service AI) v2"/>
    <n v="2533.85"/>
  </r>
  <r>
    <x v="42"/>
    <x v="42"/>
    <x v="41"/>
    <s v="-"/>
    <s v="-"/>
    <x v="4"/>
    <s v="-"/>
    <s v="-"/>
    <s v="-"/>
    <s v="-"/>
    <s v="Secondary Package: Carrier Registration - Monthly"/>
    <n v="10"/>
  </r>
  <r>
    <x v="43"/>
    <x v="43"/>
    <x v="42"/>
    <n v="32"/>
    <n v="0"/>
    <x v="41"/>
    <n v="0"/>
    <n v="236.6"/>
    <n v="1115.9000000000001"/>
    <n v="1287.2"/>
    <s v="eLead - Elite Small v2"/>
    <n v="1274.1500000000001"/>
  </r>
  <r>
    <x v="43"/>
    <x v="43"/>
    <x v="42"/>
    <s v="-"/>
    <s v="-"/>
    <x v="4"/>
    <s v="-"/>
    <s v="-"/>
    <s v="-"/>
    <s v="-"/>
    <s v="Secondary Package: Carrier Registration - Monthly"/>
    <n v="10"/>
  </r>
  <r>
    <x v="44"/>
    <x v="44"/>
    <x v="43"/>
    <n v="15"/>
    <n v="0"/>
    <x v="8"/>
    <n v="0"/>
    <n v="0"/>
    <n v="0"/>
    <n v="0"/>
    <s v="Elead CW Starter 4000 v2"/>
    <n v="254.15"/>
  </r>
  <r>
    <x v="44"/>
    <x v="44"/>
    <x v="43"/>
    <s v="-"/>
    <s v="-"/>
    <x v="4"/>
    <s v="-"/>
    <s v="-"/>
    <s v="-"/>
    <s v="-"/>
    <s v="Secondary Package: Carrier Registration - Monthly"/>
    <n v="10"/>
  </r>
  <r>
    <x v="45"/>
    <x v="45"/>
    <x v="44"/>
    <n v="14"/>
    <n v="0"/>
    <x v="8"/>
    <n v="0"/>
    <n v="0"/>
    <n v="0"/>
    <n v="0"/>
    <s v="Elead CW Starter 4000 v2"/>
    <n v="254.15"/>
  </r>
  <r>
    <x v="45"/>
    <x v="45"/>
    <x v="44"/>
    <s v="-"/>
    <s v="-"/>
    <x v="4"/>
    <s v="-"/>
    <s v="-"/>
    <s v="-"/>
    <s v="-"/>
    <s v="Secondary Package: Carrier Registration - Monthly"/>
    <n v="10"/>
  </r>
  <r>
    <x v="46"/>
    <x v="46"/>
    <x v="45"/>
    <n v="248"/>
    <n v="0"/>
    <x v="42"/>
    <n v="0"/>
    <n v="955.16"/>
    <n v="15180.54"/>
    <n v="13083.84"/>
    <s v="eLead - CW Premium - Sales 50k v2"/>
    <n v="1571.65"/>
  </r>
  <r>
    <x v="46"/>
    <x v="46"/>
    <x v="45"/>
    <s v="-"/>
    <s v="-"/>
    <x v="4"/>
    <s v="-"/>
    <s v="-"/>
    <s v="-"/>
    <s v="-"/>
    <s v="Secondary Package: Carrier Registration - Monthly"/>
    <n v="10"/>
  </r>
  <r>
    <x v="47"/>
    <x v="47"/>
    <x v="46"/>
    <n v="10"/>
    <n v="0"/>
    <x v="43"/>
    <n v="0"/>
    <n v="287.2"/>
    <n v="3624.68"/>
    <n v="0"/>
    <s v="eLead - CW Starter - 7500 mins v2"/>
    <n v="424.15"/>
  </r>
  <r>
    <x v="47"/>
    <x v="47"/>
    <x v="46"/>
    <s v="-"/>
    <s v="-"/>
    <x v="4"/>
    <s v="-"/>
    <s v="-"/>
    <s v="-"/>
    <s v="-"/>
    <s v="Secondary Package: Carrier Registration - Monthly"/>
    <n v="10"/>
  </r>
  <r>
    <x v="48"/>
    <x v="48"/>
    <x v="47"/>
    <n v="42"/>
    <n v="1"/>
    <x v="44"/>
    <n v="0"/>
    <n v="1590.05"/>
    <n v="865.48"/>
    <n v="1747.53"/>
    <s v="Elead CW Unlimited  v2"/>
    <n v="1571.65"/>
  </r>
  <r>
    <x v="48"/>
    <x v="48"/>
    <x v="47"/>
    <s v="-"/>
    <s v="-"/>
    <x v="4"/>
    <s v="-"/>
    <s v="-"/>
    <s v="-"/>
    <s v="-"/>
    <s v="Secondary Package: Carrier Registration - Monthly"/>
    <n v="10"/>
  </r>
  <r>
    <x v="49"/>
    <x v="49"/>
    <x v="48"/>
    <n v="33"/>
    <n v="2"/>
    <x v="45"/>
    <n v="0"/>
    <n v="215.29"/>
    <n v="1356.36"/>
    <n v="0"/>
    <s v="eLead - CW Starter - 3500 mins v2"/>
    <n v="254.15"/>
  </r>
  <r>
    <x v="49"/>
    <x v="49"/>
    <x v="48"/>
    <s v="-"/>
    <s v="-"/>
    <x v="4"/>
    <s v="-"/>
    <s v="-"/>
    <s v="-"/>
    <s v="-"/>
    <s v="Secondary Package: Carrier Registration - Monthly"/>
    <n v="10"/>
  </r>
  <r>
    <x v="50"/>
    <x v="50"/>
    <x v="49"/>
    <n v="50"/>
    <n v="1"/>
    <x v="46"/>
    <n v="0"/>
    <n v="573.36"/>
    <n v="952.53"/>
    <n v="0"/>
    <s v="eLead - CW Starter - 3500 mins v2"/>
    <n v="254.15"/>
  </r>
  <r>
    <x v="50"/>
    <x v="50"/>
    <x v="49"/>
    <s v="-"/>
    <s v="-"/>
    <x v="4"/>
    <s v="-"/>
    <s v="-"/>
    <s v="-"/>
    <s v="-"/>
    <s v="Secondary Package: Carrier Registration - Monthly"/>
    <n v="10"/>
  </r>
  <r>
    <x v="51"/>
    <x v="51"/>
    <x v="50"/>
    <n v="72"/>
    <n v="1"/>
    <x v="47"/>
    <n v="0"/>
    <n v="617.17999999999995"/>
    <n v="801.66"/>
    <n v="0"/>
    <s v="eLead - CW Starter - 3500 mins v2"/>
    <n v="254.15"/>
  </r>
  <r>
    <x v="51"/>
    <x v="51"/>
    <x v="50"/>
    <s v="-"/>
    <s v="-"/>
    <x v="4"/>
    <s v="-"/>
    <s v="-"/>
    <s v="-"/>
    <s v="-"/>
    <s v="Secondary Package: Carrier Registration - Monthly"/>
    <n v="10"/>
  </r>
  <r>
    <x v="52"/>
    <x v="52"/>
    <x v="51"/>
    <n v="28"/>
    <n v="1"/>
    <x v="48"/>
    <n v="0"/>
    <n v="1569.59"/>
    <n v="635.76"/>
    <n v="0"/>
    <s v="eLead - CW Starter - 3500 mins v2"/>
    <n v="254.15"/>
  </r>
  <r>
    <x v="52"/>
    <x v="52"/>
    <x v="51"/>
    <s v="-"/>
    <s v="-"/>
    <x v="4"/>
    <s v="-"/>
    <s v="-"/>
    <s v="-"/>
    <s v="-"/>
    <s v="Secondary Package: Carrier Registration - Monthly"/>
    <n v="10"/>
  </r>
  <r>
    <x v="53"/>
    <x v="53"/>
    <x v="52"/>
    <n v="3"/>
    <n v="0"/>
    <x v="49"/>
    <n v="0"/>
    <n v="2.3199999999999998"/>
    <n v="135.80000000000001"/>
    <n v="0"/>
    <s v="eLead - CW Starter - 3500 mins v2"/>
    <n v="254.15"/>
  </r>
  <r>
    <x v="53"/>
    <x v="53"/>
    <x v="52"/>
    <s v="-"/>
    <s v="-"/>
    <x v="4"/>
    <s v="-"/>
    <s v="-"/>
    <s v="-"/>
    <s v="-"/>
    <s v="Secondary Package: Carrier Registration - Monthly"/>
    <n v="10"/>
  </r>
  <r>
    <x v="54"/>
    <x v="54"/>
    <x v="53"/>
    <n v="23"/>
    <n v="0"/>
    <x v="50"/>
    <n v="0"/>
    <n v="4159.09"/>
    <n v="3560.01"/>
    <n v="7140.73"/>
    <s v="eLead - Elite Small"/>
    <n v="1019"/>
  </r>
  <r>
    <x v="54"/>
    <x v="54"/>
    <x v="53"/>
    <s v="-"/>
    <s v="-"/>
    <x v="4"/>
    <s v="-"/>
    <s v="-"/>
    <s v="-"/>
    <s v="-"/>
    <s v="Secondary Package: Carrier Registration - Monthly"/>
    <n v="10"/>
  </r>
  <r>
    <x v="55"/>
    <x v="55"/>
    <x v="54"/>
    <n v="2"/>
    <n v="0"/>
    <x v="51"/>
    <n v="0"/>
    <n v="0"/>
    <n v="0.33"/>
    <n v="0"/>
    <s v="Elead Outbound 4000 v2"/>
    <n v="129"/>
  </r>
  <r>
    <x v="56"/>
    <x v="56"/>
    <x v="55"/>
    <n v="2"/>
    <n v="0"/>
    <x v="8"/>
    <n v="0"/>
    <n v="0"/>
    <n v="0"/>
    <n v="0"/>
    <s v="Elead Outbound 4000 v2"/>
    <n v="129"/>
  </r>
  <r>
    <x v="57"/>
    <x v="57"/>
    <x v="56"/>
    <n v="2"/>
    <n v="0"/>
    <x v="8"/>
    <n v="0"/>
    <n v="0"/>
    <n v="0"/>
    <n v="0"/>
    <s v="Elead Outbound 4000 v2"/>
    <n v="129"/>
  </r>
  <r>
    <x v="58"/>
    <x v="58"/>
    <x v="57"/>
    <n v="8"/>
    <n v="0"/>
    <x v="52"/>
    <n v="0"/>
    <n v="19.329999999999998"/>
    <n v="1.65"/>
    <n v="0"/>
    <s v="eLead - CW Starter - 3500 mins v2"/>
    <n v="254.15"/>
  </r>
  <r>
    <x v="59"/>
    <x v="59"/>
    <x v="58"/>
    <n v="45"/>
    <n v="0"/>
    <x v="53"/>
    <n v="0"/>
    <n v="260.47000000000003"/>
    <n v="2910.3"/>
    <n v="2820.42"/>
    <s v="eLead - Elite Small"/>
    <n v="1019"/>
  </r>
  <r>
    <x v="60"/>
    <x v="60"/>
    <x v="59"/>
    <n v="12"/>
    <n v="0"/>
    <x v="54"/>
    <n v="0"/>
    <n v="1741.07"/>
    <n v="137.32"/>
    <n v="0"/>
    <s v="eLead - CW Starter - 3500 mins v2"/>
    <n v="254.15"/>
  </r>
  <r>
    <x v="60"/>
    <x v="60"/>
    <x v="59"/>
    <s v="-"/>
    <s v="-"/>
    <x v="4"/>
    <s v="-"/>
    <s v="-"/>
    <s v="-"/>
    <s v="-"/>
    <s v="Secondary Package: Carrier Registration - Monthly"/>
    <n v="10"/>
  </r>
  <r>
    <x v="61"/>
    <x v="61"/>
    <x v="60"/>
    <n v="30"/>
    <n v="0"/>
    <x v="55"/>
    <n v="0"/>
    <n v="4207.18"/>
    <n v="5079.4799999999996"/>
    <n v="0"/>
    <s v="eLead - Starter 7500 + Starter 7500"/>
    <n v="588"/>
  </r>
  <r>
    <x v="61"/>
    <x v="61"/>
    <x v="60"/>
    <s v="-"/>
    <s v="-"/>
    <x v="4"/>
    <s v="-"/>
    <s v="-"/>
    <s v="-"/>
    <s v="-"/>
    <s v="Secondary Package: Carrier Registration - Monthly"/>
    <n v="10"/>
  </r>
  <r>
    <x v="62"/>
    <x v="62"/>
    <x v="61"/>
    <n v="17"/>
    <n v="0"/>
    <x v="56"/>
    <n v="0"/>
    <n v="1802.54"/>
    <n v="347.24"/>
    <n v="0"/>
    <s v="eLead - CW Starter - 5000 mins v2"/>
    <n v="509.15"/>
  </r>
  <r>
    <x v="62"/>
    <x v="62"/>
    <x v="61"/>
    <s v="-"/>
    <s v="-"/>
    <x v="4"/>
    <s v="-"/>
    <s v="-"/>
    <s v="-"/>
    <s v="-"/>
    <s v="Secondary Package: Carrier Registration - Monthly"/>
    <n v="10"/>
  </r>
  <r>
    <x v="63"/>
    <x v="63"/>
    <x v="62"/>
    <n v="20"/>
    <n v="0"/>
    <x v="57"/>
    <n v="0"/>
    <n v="2415.85"/>
    <n v="416.29"/>
    <n v="0"/>
    <s v="eLead - CW Starter - 7500 mins v2"/>
    <n v="424.15"/>
  </r>
  <r>
    <x v="63"/>
    <x v="63"/>
    <x v="62"/>
    <s v="-"/>
    <s v="-"/>
    <x v="4"/>
    <s v="-"/>
    <s v="-"/>
    <s v="-"/>
    <s v="-"/>
    <s v="Secondary Package: Carrier Registration - Monthly"/>
    <n v="10"/>
  </r>
  <r>
    <x v="64"/>
    <x v="64"/>
    <x v="63"/>
    <n v="13"/>
    <n v="0"/>
    <x v="58"/>
    <n v="0"/>
    <n v="1598.69"/>
    <n v="86.67"/>
    <n v="0"/>
    <s v="eLead - CW Starter - 5000 mins v2"/>
    <n v="509.15"/>
  </r>
  <r>
    <x v="64"/>
    <x v="64"/>
    <x v="63"/>
    <s v="-"/>
    <s v="-"/>
    <x v="4"/>
    <s v="-"/>
    <s v="-"/>
    <s v="-"/>
    <s v="-"/>
    <s v="Secondary Package: Carrier Registration - Monthly"/>
    <n v="10"/>
  </r>
  <r>
    <x v="65"/>
    <x v="65"/>
    <x v="64"/>
    <n v="20"/>
    <n v="0"/>
    <x v="59"/>
    <n v="0"/>
    <n v="827.4"/>
    <n v="47.99"/>
    <n v="0"/>
    <s v="eLead - CW Starter - 7500 mins v2"/>
    <n v="424.15"/>
  </r>
  <r>
    <x v="65"/>
    <x v="65"/>
    <x v="64"/>
    <s v="-"/>
    <s v="-"/>
    <x v="4"/>
    <s v="-"/>
    <s v="-"/>
    <s v="-"/>
    <s v="-"/>
    <s v="Secondary Package: Carrier Registration - Monthly"/>
    <n v="10"/>
  </r>
  <r>
    <x v="66"/>
    <x v="66"/>
    <x v="65"/>
    <n v="20"/>
    <n v="0"/>
    <x v="60"/>
    <n v="0"/>
    <n v="3174.41"/>
    <n v="0.33"/>
    <n v="0"/>
    <s v="eLead - CW Starter - 7500 mins v2"/>
    <n v="424.15"/>
  </r>
  <r>
    <x v="66"/>
    <x v="66"/>
    <x v="65"/>
    <s v="-"/>
    <s v="-"/>
    <x v="4"/>
    <s v="-"/>
    <s v="-"/>
    <s v="-"/>
    <s v="-"/>
    <s v="Secondary Package: Carrier Registration - Monthly"/>
    <n v="10"/>
  </r>
  <r>
    <x v="67"/>
    <x v="67"/>
    <x v="66"/>
    <n v="20"/>
    <n v="0"/>
    <x v="61"/>
    <n v="0"/>
    <n v="3451.73"/>
    <n v="62"/>
    <n v="0"/>
    <s v="eLead - CW Starter - 7500 mins v2"/>
    <n v="424.15"/>
  </r>
  <r>
    <x v="67"/>
    <x v="67"/>
    <x v="66"/>
    <s v="-"/>
    <s v="-"/>
    <x v="4"/>
    <s v="-"/>
    <s v="-"/>
    <s v="-"/>
    <s v="-"/>
    <s v="Secondary Package: Carrier Registration - Monthly"/>
    <n v="10"/>
  </r>
  <r>
    <x v="68"/>
    <x v="68"/>
    <x v="67"/>
    <n v="17"/>
    <n v="0"/>
    <x v="62"/>
    <n v="0"/>
    <n v="608.28"/>
    <n v="169.03"/>
    <n v="0"/>
    <s v="eLead - CW Starter - 5000 mins v2"/>
    <n v="509.15"/>
  </r>
  <r>
    <x v="68"/>
    <x v="68"/>
    <x v="67"/>
    <s v="-"/>
    <s v="-"/>
    <x v="4"/>
    <s v="-"/>
    <s v="-"/>
    <s v="-"/>
    <s v="-"/>
    <s v="Secondary Package: Carrier Registration - Monthly"/>
    <n v="10"/>
  </r>
  <r>
    <x v="69"/>
    <x v="69"/>
    <x v="68"/>
    <n v="12"/>
    <n v="0"/>
    <x v="63"/>
    <n v="0"/>
    <n v="1364.05"/>
    <n v="3514.8"/>
    <n v="0"/>
    <s v="eLead - CW Starter - 5000 mins v2"/>
    <n v="509.15"/>
  </r>
  <r>
    <x v="69"/>
    <x v="69"/>
    <x v="68"/>
    <s v="-"/>
    <s v="-"/>
    <x v="4"/>
    <s v="-"/>
    <s v="-"/>
    <s v="-"/>
    <s v="-"/>
    <s v="Secondary Package: Carrier Registration - Monthly"/>
    <n v="10"/>
  </r>
  <r>
    <x v="70"/>
    <x v="70"/>
    <x v="69"/>
    <n v="20"/>
    <n v="0"/>
    <x v="64"/>
    <n v="0"/>
    <n v="3958.61"/>
    <n v="111.64"/>
    <n v="0"/>
    <s v="eLead - CW Starter - 7500 mins v2"/>
    <n v="424.15"/>
  </r>
  <r>
    <x v="70"/>
    <x v="70"/>
    <x v="69"/>
    <s v="-"/>
    <s v="-"/>
    <x v="4"/>
    <s v="-"/>
    <s v="-"/>
    <s v="-"/>
    <s v="-"/>
    <s v="Secondary Package: Carrier Registration - Monthly"/>
    <n v="10"/>
  </r>
  <r>
    <x v="71"/>
    <x v="71"/>
    <x v="70"/>
    <n v="20"/>
    <n v="0"/>
    <x v="65"/>
    <n v="0"/>
    <n v="5044.55"/>
    <n v="8.67"/>
    <n v="0"/>
    <s v="eLead - CW Starter - 7500 mins v2"/>
    <n v="424.15"/>
  </r>
  <r>
    <x v="71"/>
    <x v="71"/>
    <x v="70"/>
    <s v="-"/>
    <s v="-"/>
    <x v="4"/>
    <s v="-"/>
    <s v="-"/>
    <s v="-"/>
    <s v="-"/>
    <s v="Secondary Package: Carrier Registration - Monthly"/>
    <n v="10"/>
  </r>
  <r>
    <x v="72"/>
    <x v="72"/>
    <x v="71"/>
    <n v="23"/>
    <n v="0"/>
    <x v="66"/>
    <n v="0"/>
    <n v="3346.64"/>
    <n v="806.66"/>
    <n v="0"/>
    <s v="eLead - CW Starter - 7500 mins v2"/>
    <n v="424.15"/>
  </r>
  <r>
    <x v="72"/>
    <x v="72"/>
    <x v="71"/>
    <s v="-"/>
    <s v="-"/>
    <x v="4"/>
    <s v="-"/>
    <s v="-"/>
    <s v="-"/>
    <s v="-"/>
    <s v="Secondary Package: Carrier Registration - Monthly"/>
    <n v="10"/>
  </r>
  <r>
    <x v="73"/>
    <x v="73"/>
    <x v="72"/>
    <n v="12"/>
    <n v="0"/>
    <x v="67"/>
    <n v="0"/>
    <n v="213.64"/>
    <n v="55.3"/>
    <n v="0"/>
    <s v="eLead - CW Starter - 3500 mins v2"/>
    <n v="254.15"/>
  </r>
  <r>
    <x v="73"/>
    <x v="73"/>
    <x v="72"/>
    <s v="-"/>
    <s v="-"/>
    <x v="4"/>
    <s v="-"/>
    <s v="-"/>
    <s v="-"/>
    <s v="-"/>
    <s v="Secondary Package: Carrier Registration - Monthly"/>
    <n v="10"/>
  </r>
  <r>
    <x v="74"/>
    <x v="74"/>
    <x v="73"/>
    <n v="20"/>
    <n v="0"/>
    <x v="68"/>
    <n v="0"/>
    <n v="1011"/>
    <n v="2"/>
    <n v="0"/>
    <s v="eLead - CW Starter - 7500 mins v2"/>
    <n v="424.15"/>
  </r>
  <r>
    <x v="74"/>
    <x v="74"/>
    <x v="73"/>
    <s v="-"/>
    <s v="-"/>
    <x v="4"/>
    <s v="-"/>
    <s v="-"/>
    <s v="-"/>
    <s v="-"/>
    <s v="Secondary Package: Carrier Registration - Monthly"/>
    <n v="10"/>
  </r>
  <r>
    <x v="75"/>
    <x v="75"/>
    <x v="74"/>
    <n v="20"/>
    <n v="0"/>
    <x v="69"/>
    <n v="0"/>
    <n v="3526.67"/>
    <n v="35.65"/>
    <n v="0"/>
    <s v="eLead - CW Starter - 7500 mins v2"/>
    <n v="424.15"/>
  </r>
  <r>
    <x v="75"/>
    <x v="75"/>
    <x v="74"/>
    <s v="-"/>
    <s v="-"/>
    <x v="4"/>
    <s v="-"/>
    <s v="-"/>
    <s v="-"/>
    <s v="-"/>
    <s v="Secondary Package: Carrier Registration - Monthly"/>
    <n v="10"/>
  </r>
  <r>
    <x v="76"/>
    <x v="76"/>
    <x v="75"/>
    <n v="13"/>
    <n v="0"/>
    <x v="70"/>
    <n v="0"/>
    <n v="143.91"/>
    <n v="1779.72"/>
    <n v="0"/>
    <s v="eLead - CW Starter - 3500 mins v2"/>
    <n v="254.15"/>
  </r>
  <r>
    <x v="77"/>
    <x v="77"/>
    <x v="76"/>
    <n v="0"/>
    <n v="0"/>
    <x v="8"/>
    <n v="0"/>
    <n v="0"/>
    <n v="0"/>
    <n v="0"/>
    <s v="Elead Launch Phase-0"/>
    <n v="0"/>
  </r>
  <r>
    <x v="78"/>
    <x v="78"/>
    <x v="77"/>
    <n v="11"/>
    <n v="0"/>
    <x v="71"/>
    <n v="339.91"/>
    <n v="3270.87"/>
    <n v="5155.33"/>
    <n v="0"/>
    <s v="eLead - CW Starter - 3500 mins v2"/>
    <n v="594.05999999999995"/>
  </r>
  <r>
    <x v="78"/>
    <x v="78"/>
    <x v="77"/>
    <s v="-"/>
    <s v="-"/>
    <x v="4"/>
    <s v="-"/>
    <s v="-"/>
    <s v="-"/>
    <s v="-"/>
    <s v="Secondary Package: Carrier Registration - Monthly"/>
    <n v="10"/>
  </r>
  <r>
    <x v="79"/>
    <x v="79"/>
    <x v="78"/>
    <n v="45"/>
    <n v="0"/>
    <x v="72"/>
    <n v="328.13"/>
    <n v="6961.37"/>
    <n v="1684.5"/>
    <n v="0"/>
    <s v="eLead - CW Starter - 5000 mins v2"/>
    <n v="837.28"/>
  </r>
  <r>
    <x v="79"/>
    <x v="79"/>
    <x v="78"/>
    <s v="-"/>
    <s v="-"/>
    <x v="4"/>
    <s v="-"/>
    <s v="-"/>
    <s v="-"/>
    <s v="-"/>
    <s v="Secondary Package: Carrier Registration - Monthly"/>
    <n v="10"/>
  </r>
  <r>
    <x v="79"/>
    <x v="79"/>
    <x v="78"/>
    <s v="-"/>
    <s v="-"/>
    <x v="4"/>
    <s v="-"/>
    <s v="-"/>
    <s v="-"/>
    <s v="-"/>
    <s v="Secondary Package: eLead - Car Wars Texting v2"/>
    <n v="211.65"/>
  </r>
  <r>
    <x v="80"/>
    <x v="80"/>
    <x v="79"/>
    <n v="13"/>
    <n v="0"/>
    <x v="73"/>
    <n v="0"/>
    <n v="2718.76"/>
    <n v="492.2"/>
    <n v="0"/>
    <s v="eLead - CW Starter - 5000 mins v2"/>
    <n v="509.15"/>
  </r>
  <r>
    <x v="80"/>
    <x v="80"/>
    <x v="79"/>
    <s v="-"/>
    <s v="-"/>
    <x v="4"/>
    <s v="-"/>
    <s v="-"/>
    <s v="-"/>
    <s v="-"/>
    <s v="Secondary Package: Carrier Registration - Monthly"/>
    <n v="10"/>
  </r>
  <r>
    <x v="81"/>
    <x v="81"/>
    <x v="80"/>
    <n v="28"/>
    <n v="0"/>
    <x v="74"/>
    <n v="414.6"/>
    <n v="5564.02"/>
    <n v="4042.62"/>
    <n v="0"/>
    <s v="eLead - CW Starter - 5000 mins v2"/>
    <n v="923.75"/>
  </r>
  <r>
    <x v="81"/>
    <x v="81"/>
    <x v="80"/>
    <s v="-"/>
    <s v="-"/>
    <x v="4"/>
    <s v="-"/>
    <s v="-"/>
    <s v="-"/>
    <s v="-"/>
    <s v="Secondary Package: Carrier Registration - Monthly"/>
    <n v="10"/>
  </r>
  <r>
    <x v="82"/>
    <x v="82"/>
    <x v="81"/>
    <n v="80"/>
    <n v="0"/>
    <x v="75"/>
    <n v="0"/>
    <n v="6518.42"/>
    <n v="0"/>
    <n v="0"/>
    <s v="ELead Marketing - $2 per line / 06¢ per min"/>
    <n v="551.11"/>
  </r>
  <r>
    <x v="83"/>
    <x v="83"/>
    <x v="82"/>
    <n v="19"/>
    <n v="0"/>
    <x v="76"/>
    <n v="232.2"/>
    <n v="5402.28"/>
    <n v="1462.91"/>
    <n v="0"/>
    <s v="eLead - CW Starter - 3500 mins v2"/>
    <n v="486.35"/>
  </r>
  <r>
    <x v="83"/>
    <x v="83"/>
    <x v="82"/>
    <s v="-"/>
    <s v="-"/>
    <x v="4"/>
    <s v="-"/>
    <s v="-"/>
    <s v="-"/>
    <s v="-"/>
    <s v="Secondary Package: Carrier Registration - Monthly"/>
    <n v="10"/>
  </r>
  <r>
    <x v="84"/>
    <x v="84"/>
    <x v="83"/>
    <n v="16"/>
    <n v="0"/>
    <x v="77"/>
    <n v="0"/>
    <n v="1904.78"/>
    <n v="0.67"/>
    <n v="0"/>
    <s v="eLead - CW Starter - 7500 mins v2"/>
    <n v="424.15"/>
  </r>
  <r>
    <x v="85"/>
    <x v="85"/>
    <x v="84"/>
    <n v="65"/>
    <n v="0"/>
    <x v="8"/>
    <n v="0"/>
    <n v="0"/>
    <n v="0"/>
    <n v="0"/>
    <s v="eLead - CW Premium - Sales 50k v2"/>
    <n v="1571.65"/>
  </r>
  <r>
    <x v="85"/>
    <x v="85"/>
    <x v="84"/>
    <s v="-"/>
    <s v="-"/>
    <x v="4"/>
    <s v="-"/>
    <s v="-"/>
    <s v="-"/>
    <s v="-"/>
    <s v="Secondary Package: Carrier Registration - Monthly"/>
    <n v="10"/>
  </r>
  <r>
    <x v="85"/>
    <x v="85"/>
    <x v="84"/>
    <s v="-"/>
    <s v="-"/>
    <x v="4"/>
    <s v="-"/>
    <s v="-"/>
    <s v="-"/>
    <s v="-"/>
    <s v="Secondary Package: eLead - Car Wars Texting v2"/>
    <n v="211.65"/>
  </r>
  <r>
    <x v="86"/>
    <x v="86"/>
    <x v="85"/>
    <n v="20"/>
    <n v="0"/>
    <x v="78"/>
    <n v="0"/>
    <n v="350.63"/>
    <n v="1584.07"/>
    <n v="0"/>
    <s v="eLead - CW Starter - 5000 mins"/>
    <n v="419"/>
  </r>
  <r>
    <x v="86"/>
    <x v="86"/>
    <x v="85"/>
    <s v="-"/>
    <s v="-"/>
    <x v="4"/>
    <s v="-"/>
    <s v="-"/>
    <s v="-"/>
    <s v="-"/>
    <s v="Secondary Package: Carrier Registration - Monthly"/>
    <n v="10"/>
  </r>
  <r>
    <x v="87"/>
    <x v="87"/>
    <x v="86"/>
    <n v="102"/>
    <n v="0"/>
    <x v="79"/>
    <n v="0"/>
    <n v="1541.12"/>
    <n v="2067.0500000000002"/>
    <n v="2006.62"/>
    <s v="eLead - Elite Small v2"/>
    <n v="1274.1500000000001"/>
  </r>
  <r>
    <x v="87"/>
    <x v="87"/>
    <x v="86"/>
    <s v="-"/>
    <s v="-"/>
    <x v="4"/>
    <s v="-"/>
    <s v="-"/>
    <s v="-"/>
    <s v="-"/>
    <s v="Secondary Package: Carrier Registration - Monthly"/>
    <n v="10"/>
  </r>
  <r>
    <x v="88"/>
    <x v="88"/>
    <x v="87"/>
    <n v="18"/>
    <n v="0"/>
    <x v="80"/>
    <n v="0"/>
    <n v="1227.92"/>
    <n v="0"/>
    <n v="0"/>
    <s v="eLead - CW Starter - 3500 mins v2"/>
    <n v="254.15"/>
  </r>
  <r>
    <x v="89"/>
    <x v="89"/>
    <x v="88"/>
    <n v="562"/>
    <n v="1"/>
    <x v="81"/>
    <n v="0"/>
    <n v="52.02"/>
    <n v="0"/>
    <n v="2"/>
    <s v="eLead - CW Premium - Sales 50k v2"/>
    <n v="1571.65"/>
  </r>
  <r>
    <x v="89"/>
    <x v="89"/>
    <x v="88"/>
    <s v="-"/>
    <s v="-"/>
    <x v="4"/>
    <s v="-"/>
    <s v="-"/>
    <s v="-"/>
    <s v="-"/>
    <s v="Secondary Package: Carrier Registration - Monthly"/>
    <n v="10"/>
  </r>
  <r>
    <x v="90"/>
    <x v="90"/>
    <x v="89"/>
    <n v="14"/>
    <n v="0"/>
    <x v="82"/>
    <n v="12.79"/>
    <n v="3615.08"/>
    <n v="70.28"/>
    <n v="0"/>
    <s v="eLead - CW Starter - 3500 mins v2"/>
    <n v="266.94"/>
  </r>
  <r>
    <x v="90"/>
    <x v="90"/>
    <x v="89"/>
    <s v="-"/>
    <s v="-"/>
    <x v="4"/>
    <s v="-"/>
    <s v="-"/>
    <s v="-"/>
    <s v="-"/>
    <s v="Secondary Package: Carrier Registration - Monthly"/>
    <n v="10"/>
  </r>
  <r>
    <x v="91"/>
    <x v="91"/>
    <x v="90"/>
    <n v="55"/>
    <n v="0"/>
    <x v="83"/>
    <n v="0"/>
    <n v="17690.849999999999"/>
    <n v="1449.33"/>
    <n v="17961.2"/>
    <s v="Elead - Elite Small 37.5k"/>
    <n v="1914"/>
  </r>
  <r>
    <x v="91"/>
    <x v="91"/>
    <x v="90"/>
    <s v="-"/>
    <s v="-"/>
    <x v="4"/>
    <s v="-"/>
    <s v="-"/>
    <s v="-"/>
    <s v="-"/>
    <s v="Secondary Package: Carrier Registration - Monthly"/>
    <n v="10"/>
  </r>
  <r>
    <x v="92"/>
    <x v="92"/>
    <x v="91"/>
    <n v="36"/>
    <n v="0"/>
    <x v="84"/>
    <n v="0"/>
    <n v="12592.25"/>
    <n v="3484.68"/>
    <n v="14800.67"/>
    <s v="Elead - Elite Small 37.5k"/>
    <n v="1914"/>
  </r>
  <r>
    <x v="92"/>
    <x v="92"/>
    <x v="91"/>
    <s v="-"/>
    <s v="-"/>
    <x v="4"/>
    <s v="-"/>
    <s v="-"/>
    <s v="-"/>
    <s v="-"/>
    <s v="Secondary Package: Carrier Registration - Monthly"/>
    <n v="10"/>
  </r>
  <r>
    <x v="93"/>
    <x v="93"/>
    <x v="92"/>
    <n v="20"/>
    <n v="0"/>
    <x v="85"/>
    <n v="0"/>
    <n v="248.69"/>
    <n v="0.33"/>
    <n v="241.35"/>
    <s v="Elead CW 8000"/>
    <n v="710"/>
  </r>
  <r>
    <x v="94"/>
    <x v="94"/>
    <x v="93"/>
    <n v="8"/>
    <n v="0"/>
    <x v="86"/>
    <n v="0"/>
    <n v="4.32"/>
    <n v="2.31"/>
    <n v="0"/>
    <s v="eLead - CW Starter - 3500 mins v2"/>
    <n v="254.15"/>
  </r>
  <r>
    <x v="94"/>
    <x v="94"/>
    <x v="93"/>
    <s v="-"/>
    <s v="-"/>
    <x v="4"/>
    <s v="-"/>
    <s v="-"/>
    <s v="-"/>
    <s v="-"/>
    <s v="Secondary Package: Carrier Registration - Monthly"/>
    <n v="10"/>
  </r>
  <r>
    <x v="95"/>
    <x v="95"/>
    <x v="94"/>
    <n v="212"/>
    <n v="1"/>
    <x v="87"/>
    <n v="0"/>
    <n v="8187.13"/>
    <n v="1"/>
    <n v="0"/>
    <s v="Elead CW Unlimited  v2"/>
    <n v="1571.65"/>
  </r>
  <r>
    <x v="95"/>
    <x v="95"/>
    <x v="94"/>
    <s v="-"/>
    <s v="-"/>
    <x v="4"/>
    <s v="-"/>
    <s v="-"/>
    <s v="-"/>
    <s v="-"/>
    <s v="Secondary Package: Long Term Audio Storage - $10"/>
    <n v="10"/>
  </r>
  <r>
    <x v="95"/>
    <x v="95"/>
    <x v="94"/>
    <s v="-"/>
    <s v="-"/>
    <x v="4"/>
    <s v="-"/>
    <s v="-"/>
    <s v="-"/>
    <s v="-"/>
    <s v="Secondary Package: Carrier Registration - Monthly"/>
    <n v="10"/>
  </r>
  <r>
    <x v="96"/>
    <x v="96"/>
    <x v="95"/>
    <n v="16"/>
    <n v="0"/>
    <x v="88"/>
    <n v="0"/>
    <n v="71.09"/>
    <n v="184.36"/>
    <n v="0"/>
    <s v="Sub $0"/>
    <n v="0"/>
  </r>
  <r>
    <x v="97"/>
    <x v="97"/>
    <x v="96"/>
    <n v="46"/>
    <n v="0"/>
    <x v="89"/>
    <n v="0"/>
    <n v="91.29"/>
    <n v="373.16"/>
    <n v="376.53"/>
    <s v="Sub $0"/>
    <n v="0"/>
  </r>
  <r>
    <x v="97"/>
    <x v="97"/>
    <x v="96"/>
    <s v="-"/>
    <s v="-"/>
    <x v="4"/>
    <s v="-"/>
    <s v="-"/>
    <s v="-"/>
    <s v="-"/>
    <s v="Secondary Package: Carrier Registration - Monthly"/>
    <n v="10"/>
  </r>
  <r>
    <x v="98"/>
    <x v="98"/>
    <x v="97"/>
    <n v="22"/>
    <n v="0"/>
    <x v="90"/>
    <n v="0"/>
    <n v="2097.36"/>
    <n v="1746.43"/>
    <n v="0"/>
    <s v="eLead - CW Starter - 7500 mins v2"/>
    <n v="424.15"/>
  </r>
  <r>
    <x v="98"/>
    <x v="98"/>
    <x v="97"/>
    <s v="-"/>
    <s v="-"/>
    <x v="4"/>
    <s v="-"/>
    <s v="-"/>
    <s v="-"/>
    <s v="-"/>
    <s v="Secondary Package: Carrier Registration - Monthly"/>
    <n v="10"/>
  </r>
  <r>
    <x v="99"/>
    <x v="99"/>
    <x v="98"/>
    <n v="16"/>
    <n v="0"/>
    <x v="91"/>
    <n v="0"/>
    <n v="1650.3"/>
    <n v="2168.2399999999998"/>
    <n v="3272.07"/>
    <s v="eLead - CW Advanced - Sales - 7500 mins v2"/>
    <n v="849.15"/>
  </r>
  <r>
    <x v="99"/>
    <x v="99"/>
    <x v="98"/>
    <s v="-"/>
    <s v="-"/>
    <x v="4"/>
    <s v="-"/>
    <s v="-"/>
    <s v="-"/>
    <s v="-"/>
    <s v="Secondary Package: Carrier Registration - Monthly"/>
    <n v="10"/>
  </r>
  <r>
    <x v="100"/>
    <x v="100"/>
    <x v="99"/>
    <n v="29"/>
    <n v="0"/>
    <x v="92"/>
    <n v="0"/>
    <n v="11.35"/>
    <n v="6.29"/>
    <n v="0"/>
    <s v="Elead CW Starter 4000 v2"/>
    <n v="254.15"/>
  </r>
  <r>
    <x v="100"/>
    <x v="100"/>
    <x v="99"/>
    <s v="-"/>
    <s v="-"/>
    <x v="4"/>
    <s v="-"/>
    <s v="-"/>
    <s v="-"/>
    <s v="-"/>
    <s v="Secondary Package: Carrier Registration - Monthly"/>
    <n v="10"/>
  </r>
  <r>
    <x v="101"/>
    <x v="101"/>
    <x v="0"/>
    <n v="335"/>
    <n v="0"/>
    <x v="93"/>
    <n v="0"/>
    <n v="5319.21"/>
    <n v="16630.96"/>
    <n v="14719.62"/>
    <s v="eLead CW Elite (Sales Service AI) v2"/>
    <n v="2533.85"/>
  </r>
  <r>
    <x v="101"/>
    <x v="101"/>
    <x v="0"/>
    <s v="-"/>
    <s v="-"/>
    <x v="4"/>
    <s v="-"/>
    <s v="-"/>
    <s v="-"/>
    <s v="-"/>
    <s v="Secondary Package: Carrier Registration - Monthly"/>
    <n v="10"/>
  </r>
  <r>
    <x v="102"/>
    <x v="102"/>
    <x v="100"/>
    <n v="26"/>
    <n v="0"/>
    <x v="94"/>
    <n v="0"/>
    <n v="742.63"/>
    <n v="1812.03"/>
    <n v="0"/>
    <s v="eLead - CW Starter - 7500 mins v2"/>
    <n v="424.15"/>
  </r>
  <r>
    <x v="102"/>
    <x v="102"/>
    <x v="100"/>
    <s v="-"/>
    <s v="-"/>
    <x v="4"/>
    <s v="-"/>
    <s v="-"/>
    <s v="-"/>
    <s v="-"/>
    <s v="Secondary Package: Carrier Registration - Monthly"/>
    <n v="10"/>
  </r>
  <r>
    <x v="103"/>
    <x v="103"/>
    <x v="101"/>
    <n v="32"/>
    <n v="0"/>
    <x v="95"/>
    <n v="329.34"/>
    <n v="5069.07"/>
    <n v="7147.88"/>
    <n v="10783.52"/>
    <s v="Elead CW 8000"/>
    <n v="1039.3399999999999"/>
  </r>
  <r>
    <x v="103"/>
    <x v="103"/>
    <x v="101"/>
    <s v="-"/>
    <s v="-"/>
    <x v="4"/>
    <s v="-"/>
    <s v="-"/>
    <s v="-"/>
    <s v="-"/>
    <s v="Secondary Package: Long Term Audio Storage"/>
    <n v="20"/>
  </r>
  <r>
    <x v="103"/>
    <x v="103"/>
    <x v="101"/>
    <s v="-"/>
    <s v="-"/>
    <x v="4"/>
    <s v="-"/>
    <s v="-"/>
    <s v="-"/>
    <s v="-"/>
    <s v="Secondary Package: Carrier Registration - Monthly"/>
    <n v="10"/>
  </r>
  <r>
    <x v="104"/>
    <x v="104"/>
    <x v="102"/>
    <n v="34"/>
    <n v="0"/>
    <x v="96"/>
    <n v="0"/>
    <n v="7448.3"/>
    <n v="2376.4"/>
    <n v="9576.52"/>
    <s v="eLead - CW Premium - Sales 50k v2"/>
    <n v="1571.65"/>
  </r>
  <r>
    <x v="104"/>
    <x v="104"/>
    <x v="102"/>
    <s v="-"/>
    <s v="-"/>
    <x v="4"/>
    <s v="-"/>
    <s v="-"/>
    <s v="-"/>
    <s v="-"/>
    <s v="Secondary Package: Carrier Registration - Monthly"/>
    <n v="10"/>
  </r>
  <r>
    <x v="105"/>
    <x v="105"/>
    <x v="103"/>
    <n v="235"/>
    <n v="0"/>
    <x v="97"/>
    <n v="0"/>
    <n v="4523.6000000000004"/>
    <n v="7414.42"/>
    <n v="10752.68"/>
    <s v="eLead - Elite Small v2"/>
    <n v="1274.1500000000001"/>
  </r>
  <r>
    <x v="105"/>
    <x v="105"/>
    <x v="103"/>
    <s v="-"/>
    <s v="-"/>
    <x v="4"/>
    <s v="-"/>
    <s v="-"/>
    <s v="-"/>
    <s v="-"/>
    <s v="Secondary Package: Carrier Registration - Monthly"/>
    <n v="10"/>
  </r>
  <r>
    <x v="106"/>
    <x v="106"/>
    <x v="104"/>
    <n v="25"/>
    <n v="0"/>
    <x v="98"/>
    <n v="0"/>
    <n v="782.7"/>
    <n v="7223.24"/>
    <n v="6879.91"/>
    <s v="eLead - Elite Small v2"/>
    <n v="1274.1500000000001"/>
  </r>
  <r>
    <x v="106"/>
    <x v="106"/>
    <x v="104"/>
    <s v="-"/>
    <s v="-"/>
    <x v="4"/>
    <s v="-"/>
    <s v="-"/>
    <s v="-"/>
    <s v="-"/>
    <s v="Secondary Package: Long Term Audio Storage"/>
    <n v="20"/>
  </r>
  <r>
    <x v="106"/>
    <x v="106"/>
    <x v="104"/>
    <s v="-"/>
    <s v="-"/>
    <x v="4"/>
    <s v="-"/>
    <s v="-"/>
    <s v="-"/>
    <s v="-"/>
    <s v="Secondary Package: Carrier Registration - Monthly"/>
    <n v="10"/>
  </r>
  <r>
    <x v="107"/>
    <x v="107"/>
    <x v="105"/>
    <n v="23"/>
    <n v="0"/>
    <x v="99"/>
    <n v="0"/>
    <n v="414.9"/>
    <n v="2690"/>
    <n v="0"/>
    <s v="eLead - CW Starter - 7500 mins v2"/>
    <n v="424.15"/>
  </r>
  <r>
    <x v="107"/>
    <x v="107"/>
    <x v="105"/>
    <s v="-"/>
    <s v="-"/>
    <x v="4"/>
    <s v="-"/>
    <s v="-"/>
    <s v="-"/>
    <s v="-"/>
    <s v="Secondary Package: Carrier Registration - Monthly"/>
    <n v="10"/>
  </r>
  <r>
    <x v="108"/>
    <x v="108"/>
    <x v="106"/>
    <n v="15"/>
    <n v="0"/>
    <x v="100"/>
    <n v="0"/>
    <n v="2101.39"/>
    <n v="1069.7"/>
    <n v="0"/>
    <s v="eLead - CW Starter 5000 *2"/>
    <n v="838"/>
  </r>
  <r>
    <x v="108"/>
    <x v="108"/>
    <x v="106"/>
    <s v="-"/>
    <s v="-"/>
    <x v="4"/>
    <s v="-"/>
    <s v="-"/>
    <s v="-"/>
    <s v="-"/>
    <s v="Secondary Package: Carrier Registration - Monthly"/>
    <n v="10"/>
  </r>
  <r>
    <x v="109"/>
    <x v="109"/>
    <x v="107"/>
    <n v="220"/>
    <n v="0"/>
    <x v="101"/>
    <n v="239.44"/>
    <n v="10086.15"/>
    <n v="5479.64"/>
    <n v="14949.95"/>
    <s v="eLead - Elite Small v2"/>
    <n v="1513.59"/>
  </r>
  <r>
    <x v="109"/>
    <x v="109"/>
    <x v="107"/>
    <s v="-"/>
    <s v="-"/>
    <x v="4"/>
    <s v="-"/>
    <s v="-"/>
    <s v="-"/>
    <s v="-"/>
    <s v="Secondary Package: Carrier Registration - Monthly"/>
    <n v="10"/>
  </r>
  <r>
    <x v="110"/>
    <x v="110"/>
    <x v="108"/>
    <n v="17"/>
    <n v="0"/>
    <x v="102"/>
    <n v="0"/>
    <n v="1028.29"/>
    <n v="3458.52"/>
    <n v="0"/>
    <s v="eLead - Starter 7500 + Starter 7500"/>
    <n v="588"/>
  </r>
  <r>
    <x v="110"/>
    <x v="110"/>
    <x v="108"/>
    <s v="-"/>
    <s v="-"/>
    <x v="4"/>
    <s v="-"/>
    <s v="-"/>
    <s v="-"/>
    <s v="-"/>
    <s v="Secondary Package: Carrier Registration - Monthly"/>
    <n v="10"/>
  </r>
  <r>
    <x v="111"/>
    <x v="111"/>
    <x v="109"/>
    <n v="82"/>
    <n v="0"/>
    <x v="103"/>
    <n v="0"/>
    <n v="16911.669999999998"/>
    <n v="24341.37"/>
    <n v="30941.42"/>
    <s v="eLead CW Elite (Sales Service AI) v2"/>
    <n v="2533.85"/>
  </r>
  <r>
    <x v="111"/>
    <x v="111"/>
    <x v="109"/>
    <s v="-"/>
    <s v="-"/>
    <x v="4"/>
    <s v="-"/>
    <s v="-"/>
    <s v="-"/>
    <s v="-"/>
    <s v="Secondary Package: Long Term Audio Storage"/>
    <n v="20"/>
  </r>
  <r>
    <x v="111"/>
    <x v="111"/>
    <x v="109"/>
    <s v="-"/>
    <s v="-"/>
    <x v="4"/>
    <s v="-"/>
    <s v="-"/>
    <s v="-"/>
    <s v="-"/>
    <s v="Secondary Package: Carrier Registration - Monthly"/>
    <n v="10"/>
  </r>
  <r>
    <x v="112"/>
    <x v="112"/>
    <x v="110"/>
    <n v="73"/>
    <n v="0"/>
    <x v="104"/>
    <n v="0"/>
    <n v="626.22"/>
    <n v="3148.92"/>
    <n v="0"/>
    <s v="eLead - CW Starter - 7500 mins v2"/>
    <n v="424.15"/>
  </r>
  <r>
    <x v="112"/>
    <x v="112"/>
    <x v="110"/>
    <s v="-"/>
    <s v="-"/>
    <x v="4"/>
    <s v="-"/>
    <s v="-"/>
    <s v="-"/>
    <s v="-"/>
    <s v="Secondary Package: Carrier Registration - Monthly"/>
    <n v="10"/>
  </r>
  <r>
    <x v="113"/>
    <x v="113"/>
    <x v="111"/>
    <n v="62"/>
    <n v="0"/>
    <x v="105"/>
    <n v="0"/>
    <n v="3329.95"/>
    <n v="2243.2199999999998"/>
    <n v="0"/>
    <s v="eLead - CW Starter - 7500 mins v2"/>
    <n v="424.15"/>
  </r>
  <r>
    <x v="113"/>
    <x v="113"/>
    <x v="111"/>
    <s v="-"/>
    <s v="-"/>
    <x v="4"/>
    <s v="-"/>
    <s v="-"/>
    <s v="-"/>
    <s v="-"/>
    <s v="Secondary Package: Carrier Registration - Monthly"/>
    <n v="10"/>
  </r>
  <r>
    <x v="114"/>
    <x v="114"/>
    <x v="112"/>
    <n v="75"/>
    <n v="0"/>
    <x v="106"/>
    <n v="0"/>
    <n v="502.46"/>
    <n v="1601.3"/>
    <n v="0"/>
    <s v="eLead - CW Starter - 7500 mins v2"/>
    <n v="424.15"/>
  </r>
  <r>
    <x v="114"/>
    <x v="114"/>
    <x v="112"/>
    <s v="-"/>
    <s v="-"/>
    <x v="4"/>
    <s v="-"/>
    <s v="-"/>
    <s v="-"/>
    <s v="-"/>
    <s v="Secondary Package: Carrier Registration - Monthly"/>
    <n v="10"/>
  </r>
  <r>
    <x v="115"/>
    <x v="115"/>
    <x v="113"/>
    <n v="55"/>
    <n v="0"/>
    <x v="107"/>
    <n v="0"/>
    <n v="464.64"/>
    <n v="1640.56"/>
    <n v="0"/>
    <s v="eLead - CW Starter - 7500 mins v2"/>
    <n v="424.15"/>
  </r>
  <r>
    <x v="115"/>
    <x v="115"/>
    <x v="113"/>
    <s v="-"/>
    <s v="-"/>
    <x v="4"/>
    <s v="-"/>
    <s v="-"/>
    <s v="-"/>
    <s v="-"/>
    <s v="Secondary Package: Carrier Registration - Monthly"/>
    <n v="10"/>
  </r>
  <r>
    <x v="116"/>
    <x v="116"/>
    <x v="114"/>
    <n v="84"/>
    <n v="0"/>
    <x v="108"/>
    <n v="0"/>
    <n v="3875.69"/>
    <n v="3413.37"/>
    <n v="0"/>
    <s v="eLead - CW Starter - 7500 mins v2"/>
    <n v="424.15"/>
  </r>
  <r>
    <x v="116"/>
    <x v="116"/>
    <x v="114"/>
    <s v="-"/>
    <s v="-"/>
    <x v="4"/>
    <s v="-"/>
    <s v="-"/>
    <s v="-"/>
    <s v="-"/>
    <s v="Secondary Package: Carrier Registration - Monthly"/>
    <n v="10"/>
  </r>
  <r>
    <x v="117"/>
    <x v="117"/>
    <x v="115"/>
    <n v="16"/>
    <n v="0"/>
    <x v="109"/>
    <n v="0"/>
    <n v="3000.09"/>
    <n v="1593.3"/>
    <n v="0"/>
    <s v="eLead - CW Starter - 7500 mins v2"/>
    <n v="424.15"/>
  </r>
  <r>
    <x v="117"/>
    <x v="117"/>
    <x v="115"/>
    <s v="-"/>
    <s v="-"/>
    <x v="4"/>
    <s v="-"/>
    <s v="-"/>
    <s v="-"/>
    <s v="-"/>
    <s v="Secondary Package: Carrier Registration - Monthly"/>
    <n v="10"/>
  </r>
  <r>
    <x v="118"/>
    <x v="118"/>
    <x v="116"/>
    <n v="17"/>
    <n v="0"/>
    <x v="110"/>
    <n v="0"/>
    <n v="793.59"/>
    <n v="3556.38"/>
    <n v="0"/>
    <s v="eLead - CW Starter - 7500 mins v2"/>
    <n v="424.15"/>
  </r>
  <r>
    <x v="118"/>
    <x v="118"/>
    <x v="116"/>
    <s v="-"/>
    <s v="-"/>
    <x v="4"/>
    <s v="-"/>
    <s v="-"/>
    <s v="-"/>
    <s v="-"/>
    <s v="Secondary Package: Carrier Registration - Monthly"/>
    <n v="10"/>
  </r>
  <r>
    <x v="119"/>
    <x v="119"/>
    <x v="117"/>
    <n v="20"/>
    <n v="0"/>
    <x v="111"/>
    <n v="0"/>
    <n v="307.16000000000003"/>
    <n v="2187.08"/>
    <n v="0"/>
    <s v="eLead - CW Starter - 7500 mins v2"/>
    <n v="424.15"/>
  </r>
  <r>
    <x v="119"/>
    <x v="119"/>
    <x v="117"/>
    <s v="-"/>
    <s v="-"/>
    <x v="4"/>
    <s v="-"/>
    <s v="-"/>
    <s v="-"/>
    <s v="-"/>
    <s v="Secondary Package: Long Term Audio Storage"/>
    <n v="20"/>
  </r>
  <r>
    <x v="119"/>
    <x v="119"/>
    <x v="117"/>
    <s v="-"/>
    <s v="-"/>
    <x v="4"/>
    <s v="-"/>
    <s v="-"/>
    <s v="-"/>
    <s v="-"/>
    <s v="Secondary Package: Carrier Registration - Monthly"/>
    <n v="10"/>
  </r>
  <r>
    <x v="120"/>
    <x v="120"/>
    <x v="118"/>
    <n v="17"/>
    <n v="0"/>
    <x v="112"/>
    <n v="103.16"/>
    <n v="5468.61"/>
    <n v="3526.44"/>
    <n v="0"/>
    <s v="eLead - CW Starter - 7500 mins v2"/>
    <n v="527.30999999999995"/>
  </r>
  <r>
    <x v="120"/>
    <x v="120"/>
    <x v="118"/>
    <s v="-"/>
    <s v="-"/>
    <x v="4"/>
    <s v="-"/>
    <s v="-"/>
    <s v="-"/>
    <s v="-"/>
    <s v="Secondary Package: Carrier Registration - Monthly"/>
    <n v="10"/>
  </r>
  <r>
    <x v="121"/>
    <x v="121"/>
    <x v="119"/>
    <n v="96"/>
    <n v="0"/>
    <x v="113"/>
    <n v="0"/>
    <n v="67.64"/>
    <n v="439.56"/>
    <n v="429.33"/>
    <s v="eLead - CW Advanced - Sales - 7500 mins v2"/>
    <n v="849.15"/>
  </r>
  <r>
    <x v="122"/>
    <x v="122"/>
    <x v="120"/>
    <n v="77"/>
    <n v="0"/>
    <x v="114"/>
    <n v="0"/>
    <n v="284.66000000000003"/>
    <n v="467.3"/>
    <n v="473.29"/>
    <s v="eLead - CW Advanced - Sales - 7500 mins v2"/>
    <n v="849.15"/>
  </r>
  <r>
    <x v="123"/>
    <x v="123"/>
    <x v="121"/>
    <n v="221"/>
    <n v="1"/>
    <x v="115"/>
    <n v="0"/>
    <n v="25056.47"/>
    <n v="7646.76"/>
    <n v="21069.72"/>
    <s v="eLead CW Elite (Sales Service AI) v2"/>
    <n v="2533.85"/>
  </r>
  <r>
    <x v="123"/>
    <x v="123"/>
    <x v="121"/>
    <s v="-"/>
    <s v="-"/>
    <x v="4"/>
    <s v="-"/>
    <s v="-"/>
    <s v="-"/>
    <s v="-"/>
    <s v="Secondary Package: Carrier Registration - Monthly"/>
    <n v="10"/>
  </r>
  <r>
    <x v="124"/>
    <x v="124"/>
    <x v="122"/>
    <n v="143"/>
    <n v="0"/>
    <x v="116"/>
    <n v="0"/>
    <n v="4872.4399999999996"/>
    <n v="4741.62"/>
    <n v="7940.6"/>
    <s v="eLead - Elite Small"/>
    <n v="1019"/>
  </r>
  <r>
    <x v="124"/>
    <x v="124"/>
    <x v="122"/>
    <s v="-"/>
    <s v="-"/>
    <x v="4"/>
    <s v="-"/>
    <s v="-"/>
    <s v="-"/>
    <s v="-"/>
    <s v="Secondary Package: Carrier Registration - Monthly"/>
    <n v="10"/>
  </r>
  <r>
    <x v="125"/>
    <x v="125"/>
    <x v="123"/>
    <n v="59"/>
    <n v="0"/>
    <x v="117"/>
    <n v="0"/>
    <n v="2764.7"/>
    <n v="1968.9"/>
    <n v="4016.98"/>
    <s v="eLead - Elite Small v2"/>
    <n v="1274.1500000000001"/>
  </r>
  <r>
    <x v="125"/>
    <x v="125"/>
    <x v="123"/>
    <s v="-"/>
    <s v="-"/>
    <x v="4"/>
    <s v="-"/>
    <s v="-"/>
    <s v="-"/>
    <s v="-"/>
    <s v="Secondary Package: Carrier Registration - Monthly"/>
    <n v="10"/>
  </r>
  <r>
    <x v="126"/>
    <x v="126"/>
    <x v="124"/>
    <n v="27"/>
    <n v="0"/>
    <x v="118"/>
    <n v="0"/>
    <n v="2377.35"/>
    <n v="4270.87"/>
    <n v="5386.73"/>
    <s v="eLead - Elite Small v2"/>
    <n v="1274.1500000000001"/>
  </r>
  <r>
    <x v="126"/>
    <x v="126"/>
    <x v="124"/>
    <s v="-"/>
    <s v="-"/>
    <x v="4"/>
    <s v="-"/>
    <s v="-"/>
    <s v="-"/>
    <s v="-"/>
    <s v="Secondary Package: Carrier Registration - Monthly"/>
    <n v="10"/>
  </r>
  <r>
    <x v="127"/>
    <x v="127"/>
    <x v="125"/>
    <n v="35"/>
    <n v="0"/>
    <x v="119"/>
    <n v="0"/>
    <n v="1467.48"/>
    <n v="3707.77"/>
    <n v="4700.28"/>
    <s v="eLead - Elite Small v2"/>
    <n v="1274.1500000000001"/>
  </r>
  <r>
    <x v="127"/>
    <x v="127"/>
    <x v="125"/>
    <s v="-"/>
    <s v="-"/>
    <x v="4"/>
    <s v="-"/>
    <s v="-"/>
    <s v="-"/>
    <s v="-"/>
    <s v="Secondary Package: Carrier Registration - Monthly"/>
    <n v="10"/>
  </r>
  <r>
    <x v="128"/>
    <x v="128"/>
    <x v="126"/>
    <n v="1"/>
    <n v="0"/>
    <x v="120"/>
    <n v="0"/>
    <n v="0"/>
    <n v="0.99"/>
    <n v="0"/>
    <s v="Elead Outbound 4000 v2"/>
    <n v="129"/>
  </r>
  <r>
    <x v="128"/>
    <x v="128"/>
    <x v="126"/>
    <s v="-"/>
    <s v="-"/>
    <x v="4"/>
    <s v="-"/>
    <s v="-"/>
    <s v="-"/>
    <s v="-"/>
    <s v="Secondary Package: Carrier Registration - Monthly"/>
    <n v="10"/>
  </r>
  <r>
    <x v="129"/>
    <x v="129"/>
    <x v="127"/>
    <n v="0"/>
    <n v="0"/>
    <x v="8"/>
    <n v="0"/>
    <n v="0"/>
    <n v="0"/>
    <n v="0"/>
    <s v="eLead - Elite Small v2"/>
    <n v="1274.1500000000001"/>
  </r>
  <r>
    <x v="129"/>
    <x v="129"/>
    <x v="127"/>
    <s v="-"/>
    <s v="-"/>
    <x v="4"/>
    <s v="-"/>
    <s v="-"/>
    <s v="-"/>
    <s v="-"/>
    <s v="Secondary Package: Carrier Registration - Monthly"/>
    <n v="10"/>
  </r>
  <r>
    <x v="130"/>
    <x v="130"/>
    <x v="128"/>
    <n v="12"/>
    <n v="0"/>
    <x v="121"/>
    <n v="251.23"/>
    <n v="818.16"/>
    <n v="6973.3"/>
    <n v="0"/>
    <s v="eLead - CW Starter - 5000 mins v2"/>
    <n v="760.38"/>
  </r>
  <r>
    <x v="130"/>
    <x v="130"/>
    <x v="128"/>
    <s v="-"/>
    <s v="-"/>
    <x v="4"/>
    <s v="-"/>
    <s v="-"/>
    <s v="-"/>
    <s v="-"/>
    <s v="Secondary Package: Carrier Registration - Monthly"/>
    <n v="10"/>
  </r>
  <r>
    <x v="131"/>
    <x v="131"/>
    <x v="129"/>
    <n v="2"/>
    <n v="0"/>
    <x v="122"/>
    <n v="0"/>
    <n v="1.34"/>
    <n v="0"/>
    <n v="0"/>
    <s v="Elead Outbound 4000 v2"/>
    <n v="129"/>
  </r>
  <r>
    <x v="132"/>
    <x v="132"/>
    <x v="130"/>
    <n v="10"/>
    <n v="0"/>
    <x v="123"/>
    <n v="0"/>
    <n v="82.66"/>
    <n v="608.73"/>
    <n v="0"/>
    <s v="Elead CW Starter 4000 v2"/>
    <n v="254.15"/>
  </r>
  <r>
    <x v="132"/>
    <x v="132"/>
    <x v="130"/>
    <s v="-"/>
    <s v="-"/>
    <x v="4"/>
    <s v="-"/>
    <s v="-"/>
    <s v="-"/>
    <s v="-"/>
    <s v="Secondary Package: Carrier Registration - Monthly"/>
    <n v="10"/>
  </r>
  <r>
    <x v="133"/>
    <x v="133"/>
    <x v="131"/>
    <n v="27"/>
    <n v="0"/>
    <x v="124"/>
    <n v="0"/>
    <n v="1873.3"/>
    <n v="2416.88"/>
    <n v="3653.9"/>
    <s v="eLead - CW Advanced - Sales - 7500 mins v2"/>
    <n v="849.15"/>
  </r>
  <r>
    <x v="133"/>
    <x v="133"/>
    <x v="131"/>
    <s v="-"/>
    <s v="-"/>
    <x v="4"/>
    <s v="-"/>
    <s v="-"/>
    <s v="-"/>
    <s v="-"/>
    <s v="Secondary Package: Long Term Audio Storage"/>
    <n v="20"/>
  </r>
  <r>
    <x v="134"/>
    <x v="134"/>
    <x v="132"/>
    <n v="13"/>
    <n v="0"/>
    <x v="125"/>
    <n v="0"/>
    <n v="49.31"/>
    <n v="441.79"/>
    <n v="0"/>
    <s v="eLead - CW Starter - 5000 mins v2"/>
    <n v="509.15"/>
  </r>
  <r>
    <x v="135"/>
    <x v="135"/>
    <x v="133"/>
    <n v="12"/>
    <n v="0"/>
    <x v="126"/>
    <n v="0"/>
    <n v="2295.46"/>
    <n v="913.4"/>
    <n v="2998.21"/>
    <s v="Elead CW 8000"/>
    <n v="710"/>
  </r>
  <r>
    <x v="135"/>
    <x v="135"/>
    <x v="133"/>
    <s v="-"/>
    <s v="-"/>
    <x v="4"/>
    <s v="-"/>
    <s v="-"/>
    <s v="-"/>
    <s v="-"/>
    <s v="Secondary Package: Carrier Registration - Monthly"/>
    <n v="10"/>
  </r>
  <r>
    <x v="136"/>
    <x v="136"/>
    <x v="134"/>
    <n v="40"/>
    <n v="0"/>
    <x v="127"/>
    <n v="0"/>
    <n v="5457.06"/>
    <n v="2055.7600000000002"/>
    <n v="2026.79"/>
    <s v="eLead - Elite Small v2"/>
    <n v="1274.1500000000001"/>
  </r>
  <r>
    <x v="136"/>
    <x v="136"/>
    <x v="134"/>
    <s v="-"/>
    <s v="-"/>
    <x v="4"/>
    <s v="-"/>
    <s v="-"/>
    <s v="-"/>
    <s v="-"/>
    <s v="Secondary Package: Carrier Registration - Monthly"/>
    <n v="10"/>
  </r>
  <r>
    <x v="137"/>
    <x v="137"/>
    <x v="135"/>
    <n v="59"/>
    <n v="1"/>
    <x v="128"/>
    <n v="0"/>
    <n v="7681.53"/>
    <n v="6865.51"/>
    <n v="9897.32"/>
    <s v="eLead CW Elite (Sales Service AI) v2"/>
    <n v="2533.85"/>
  </r>
  <r>
    <x v="137"/>
    <x v="137"/>
    <x v="135"/>
    <s v="-"/>
    <s v="-"/>
    <x v="4"/>
    <s v="-"/>
    <s v="-"/>
    <s v="-"/>
    <s v="-"/>
    <s v="Secondary Package: Long Term Audio Storage - Fee Waived"/>
    <n v="0"/>
  </r>
  <r>
    <x v="137"/>
    <x v="137"/>
    <x v="135"/>
    <s v="-"/>
    <s v="-"/>
    <x v="4"/>
    <s v="-"/>
    <s v="-"/>
    <s v="-"/>
    <s v="-"/>
    <s v="Secondary Package: Carrier Registration - Monthly"/>
    <n v="10"/>
  </r>
  <r>
    <x v="138"/>
    <x v="138"/>
    <x v="136"/>
    <n v="0"/>
    <n v="0"/>
    <x v="8"/>
    <n v="0"/>
    <n v="0"/>
    <n v="0"/>
    <n v="0"/>
    <s v="Elead Launch Phase-0"/>
    <n v="0"/>
  </r>
  <r>
    <x v="139"/>
    <x v="139"/>
    <x v="0"/>
    <n v="0"/>
    <n v="0"/>
    <x v="8"/>
    <n v="0"/>
    <n v="0"/>
    <n v="0"/>
    <n v="0"/>
    <s v="Void / $0"/>
    <n v="0"/>
  </r>
  <r>
    <x v="140"/>
    <x v="140"/>
    <x v="137"/>
    <n v="5"/>
    <n v="0"/>
    <x v="129"/>
    <n v="0"/>
    <n v="827.77"/>
    <n v="383.23"/>
    <n v="0"/>
    <s v="eLead - CW Starter - 3500 mins v2"/>
    <n v="254.15"/>
  </r>
  <r>
    <x v="140"/>
    <x v="140"/>
    <x v="137"/>
    <s v="-"/>
    <s v="-"/>
    <x v="4"/>
    <s v="-"/>
    <s v="-"/>
    <s v="-"/>
    <s v="-"/>
    <s v="Secondary Package: Carrier Registration - Monthly"/>
    <n v="10"/>
  </r>
  <r>
    <x v="141"/>
    <x v="141"/>
    <x v="138"/>
    <n v="45"/>
    <n v="1"/>
    <x v="130"/>
    <n v="0"/>
    <n v="1514.99"/>
    <n v="2082.69"/>
    <n v="2322.58"/>
    <s v="eLead - Elite Small v2"/>
    <n v="1274.1500000000001"/>
  </r>
  <r>
    <x v="141"/>
    <x v="141"/>
    <x v="138"/>
    <s v="-"/>
    <s v="-"/>
    <x v="4"/>
    <s v="-"/>
    <s v="-"/>
    <s v="-"/>
    <s v="-"/>
    <s v="Secondary Package: Carrier Registration - Monthly"/>
    <n v="10"/>
  </r>
  <r>
    <x v="142"/>
    <x v="142"/>
    <x v="139"/>
    <n v="24"/>
    <n v="0"/>
    <x v="131"/>
    <n v="0"/>
    <n v="3448.1"/>
    <n v="3614.61"/>
    <n v="5805.99"/>
    <s v="eLead - Elite Small v2"/>
    <n v="1274.1500000000001"/>
  </r>
  <r>
    <x v="142"/>
    <x v="142"/>
    <x v="139"/>
    <s v="-"/>
    <s v="-"/>
    <x v="4"/>
    <s v="-"/>
    <s v="-"/>
    <s v="-"/>
    <s v="-"/>
    <s v="Secondary Package: Carrier Registration - Monthly"/>
    <n v="10"/>
  </r>
  <r>
    <x v="143"/>
    <x v="143"/>
    <x v="140"/>
    <n v="8"/>
    <n v="0"/>
    <x v="132"/>
    <n v="0"/>
    <n v="5.34"/>
    <n v="0"/>
    <n v="0"/>
    <s v="Void / $0"/>
    <n v="0"/>
  </r>
  <r>
    <x v="144"/>
    <x v="144"/>
    <x v="141"/>
    <n v="12"/>
    <n v="0"/>
    <x v="21"/>
    <n v="0"/>
    <n v="4.32"/>
    <n v="0"/>
    <n v="0"/>
    <s v="Void / $0"/>
    <n v="0"/>
  </r>
  <r>
    <x v="145"/>
    <x v="145"/>
    <x v="142"/>
    <n v="8"/>
    <n v="0"/>
    <x v="133"/>
    <n v="0"/>
    <n v="2"/>
    <n v="520.63"/>
    <n v="0"/>
    <s v="Elead CW Starter 4000 v2"/>
    <n v="254.15"/>
  </r>
  <r>
    <x v="146"/>
    <x v="146"/>
    <x v="143"/>
    <n v="41"/>
    <n v="0"/>
    <x v="134"/>
    <n v="0"/>
    <n v="338.02"/>
    <n v="1757.69"/>
    <n v="1918.29"/>
    <s v="eLead - CW Advanced - Sales - 7500 mins v2"/>
    <n v="849.15"/>
  </r>
  <r>
    <x v="146"/>
    <x v="146"/>
    <x v="143"/>
    <s v="-"/>
    <s v="-"/>
    <x v="4"/>
    <s v="-"/>
    <s v="-"/>
    <s v="-"/>
    <s v="-"/>
    <s v="Secondary Package: Long Term Audio Storage - $10"/>
    <n v="10"/>
  </r>
  <r>
    <x v="146"/>
    <x v="146"/>
    <x v="143"/>
    <s v="-"/>
    <s v="-"/>
    <x v="4"/>
    <s v="-"/>
    <s v="-"/>
    <s v="-"/>
    <s v="-"/>
    <s v="Secondary Package: Carrier Registration - Monthly"/>
    <n v="10"/>
  </r>
  <r>
    <x v="147"/>
    <x v="147"/>
    <x v="0"/>
    <n v="13"/>
    <n v="0"/>
    <x v="135"/>
    <n v="0"/>
    <n v="1167.48"/>
    <n v="283.58"/>
    <n v="0"/>
    <s v="eLead - CW Starter - 3500 mins v2"/>
    <n v="254.15"/>
  </r>
  <r>
    <x v="147"/>
    <x v="147"/>
    <x v="0"/>
    <s v="-"/>
    <s v="-"/>
    <x v="4"/>
    <s v="-"/>
    <s v="-"/>
    <s v="-"/>
    <s v="-"/>
    <s v="Secondary Package: Carrier Registration - Monthly"/>
    <n v="10"/>
  </r>
  <r>
    <x v="148"/>
    <x v="148"/>
    <x v="144"/>
    <n v="46"/>
    <n v="0"/>
    <x v="136"/>
    <n v="26.99"/>
    <n v="1434.23"/>
    <n v="2911.38"/>
    <n v="3216.82"/>
    <s v="Custom Starter 4k and Enhanced Outbound"/>
    <n v="655.99"/>
  </r>
  <r>
    <x v="148"/>
    <x v="148"/>
    <x v="144"/>
    <s v="-"/>
    <s v="-"/>
    <x v="4"/>
    <s v="-"/>
    <s v="-"/>
    <s v="-"/>
    <s v="-"/>
    <s v="Secondary Package: Long Term Audio Storage - $10"/>
    <n v="10"/>
  </r>
  <r>
    <x v="148"/>
    <x v="148"/>
    <x v="144"/>
    <s v="-"/>
    <s v="-"/>
    <x v="4"/>
    <s v="-"/>
    <s v="-"/>
    <s v="-"/>
    <s v="-"/>
    <s v="Secondary Package: Carrier Registration - Monthly"/>
    <n v="10"/>
  </r>
  <r>
    <x v="149"/>
    <x v="149"/>
    <x v="145"/>
    <n v="20"/>
    <n v="0"/>
    <x v="137"/>
    <n v="0"/>
    <n v="372.76"/>
    <n v="2039.42"/>
    <n v="2291.42"/>
    <s v="eLead - CW Premium - Sales 50k v2"/>
    <n v="1571.65"/>
  </r>
  <r>
    <x v="149"/>
    <x v="149"/>
    <x v="145"/>
    <s v="-"/>
    <s v="-"/>
    <x v="4"/>
    <s v="-"/>
    <s v="-"/>
    <s v="-"/>
    <s v="-"/>
    <s v="Secondary Package: Carrier Registration - Monthly"/>
    <n v="10"/>
  </r>
  <r>
    <x v="150"/>
    <x v="150"/>
    <x v="146"/>
    <n v="86"/>
    <n v="0"/>
    <x v="138"/>
    <n v="0"/>
    <n v="1850.18"/>
    <n v="2729.74"/>
    <n v="4148.8500000000004"/>
    <s v="eLead - CW Premium - Sales 50k v2"/>
    <n v="1571.65"/>
  </r>
  <r>
    <x v="150"/>
    <x v="150"/>
    <x v="146"/>
    <s v="-"/>
    <s v="-"/>
    <x v="4"/>
    <s v="-"/>
    <s v="-"/>
    <s v="-"/>
    <s v="-"/>
    <s v="Secondary Package: Carrier Registration - Monthly"/>
    <n v="10"/>
  </r>
  <r>
    <x v="151"/>
    <x v="151"/>
    <x v="147"/>
    <n v="34"/>
    <n v="0"/>
    <x v="139"/>
    <n v="0"/>
    <n v="8047.34"/>
    <n v="6530.78"/>
    <n v="14069.87"/>
    <s v="eLead - CW Premium - Sales 50k v2"/>
    <n v="1571.65"/>
  </r>
  <r>
    <x v="151"/>
    <x v="151"/>
    <x v="147"/>
    <s v="-"/>
    <s v="-"/>
    <x v="4"/>
    <s v="-"/>
    <s v="-"/>
    <s v="-"/>
    <s v="-"/>
    <s v="Secondary Package: Carrier Registration - Monthly"/>
    <n v="10"/>
  </r>
  <r>
    <x v="152"/>
    <x v="152"/>
    <x v="148"/>
    <n v="28"/>
    <n v="0"/>
    <x v="140"/>
    <n v="426.58"/>
    <n v="1413.33"/>
    <n v="12027.91"/>
    <n v="12409.79"/>
    <s v="eLead - CW Advanced - Sales - 7500 mins v2"/>
    <n v="1275.73"/>
  </r>
  <r>
    <x v="152"/>
    <x v="152"/>
    <x v="148"/>
    <s v="-"/>
    <s v="-"/>
    <x v="4"/>
    <s v="-"/>
    <s v="-"/>
    <s v="-"/>
    <s v="-"/>
    <s v="Secondary Package: Long Term Audio Storage - $10"/>
    <n v="10"/>
  </r>
  <r>
    <x v="152"/>
    <x v="152"/>
    <x v="148"/>
    <s v="-"/>
    <s v="-"/>
    <x v="4"/>
    <s v="-"/>
    <s v="-"/>
    <s v="-"/>
    <s v="-"/>
    <s v="Secondary Package: Carrier Registration - Monthly"/>
    <n v="10"/>
  </r>
  <r>
    <x v="153"/>
    <x v="153"/>
    <x v="149"/>
    <n v="23"/>
    <n v="0"/>
    <x v="141"/>
    <n v="0"/>
    <n v="13645.19"/>
    <n v="2476.1999999999998"/>
    <n v="15175.07"/>
    <s v="eLead - CW Premium - Sales 50k v2"/>
    <n v="1571.65"/>
  </r>
  <r>
    <x v="153"/>
    <x v="153"/>
    <x v="149"/>
    <s v="-"/>
    <s v="-"/>
    <x v="4"/>
    <s v="-"/>
    <s v="-"/>
    <s v="-"/>
    <s v="-"/>
    <s v="Secondary Package: Carrier Registration - Monthly"/>
    <n v="10"/>
  </r>
  <r>
    <x v="154"/>
    <x v="154"/>
    <x v="150"/>
    <n v="22"/>
    <n v="0"/>
    <x v="142"/>
    <n v="0"/>
    <n v="349.27"/>
    <n v="1753.1"/>
    <n v="1929.6"/>
    <s v="Elead - CW 4000"/>
    <n v="520"/>
  </r>
  <r>
    <x v="154"/>
    <x v="154"/>
    <x v="150"/>
    <s v="-"/>
    <s v="-"/>
    <x v="4"/>
    <s v="-"/>
    <s v="-"/>
    <s v="-"/>
    <s v="-"/>
    <s v="Secondary Package: Long Term Audio Storage - $10"/>
    <n v="10"/>
  </r>
  <r>
    <x v="154"/>
    <x v="154"/>
    <x v="150"/>
    <s v="-"/>
    <s v="-"/>
    <x v="4"/>
    <s v="-"/>
    <s v="-"/>
    <s v="-"/>
    <s v="-"/>
    <s v="Secondary Package: eLead - Leith EHOB"/>
    <n v="109"/>
  </r>
  <r>
    <x v="154"/>
    <x v="154"/>
    <x v="150"/>
    <s v="-"/>
    <s v="-"/>
    <x v="4"/>
    <s v="-"/>
    <s v="-"/>
    <s v="-"/>
    <s v="-"/>
    <s v="Secondary Package: Carrier Registration - Monthly"/>
    <n v="10"/>
  </r>
  <r>
    <x v="155"/>
    <x v="155"/>
    <x v="151"/>
    <n v="23"/>
    <n v="0"/>
    <x v="143"/>
    <n v="0"/>
    <n v="2389.7199999999998"/>
    <n v="7478.71"/>
    <n v="8672.7800000000007"/>
    <s v="eLead - CW Premium - Sales 50k v2"/>
    <n v="1571.65"/>
  </r>
  <r>
    <x v="155"/>
    <x v="155"/>
    <x v="151"/>
    <s v="-"/>
    <s v="-"/>
    <x v="4"/>
    <s v="-"/>
    <s v="-"/>
    <s v="-"/>
    <s v="-"/>
    <s v="Secondary Package: Long Term Audio Storage - $10"/>
    <n v="10"/>
  </r>
  <r>
    <x v="155"/>
    <x v="155"/>
    <x v="151"/>
    <s v="-"/>
    <s v="-"/>
    <x v="4"/>
    <s v="-"/>
    <s v="-"/>
    <s v="-"/>
    <s v="-"/>
    <s v="Secondary Package: eLead - Leith EHOB"/>
    <n v="109"/>
  </r>
  <r>
    <x v="155"/>
    <x v="155"/>
    <x v="151"/>
    <s v="-"/>
    <s v="-"/>
    <x v="4"/>
    <s v="-"/>
    <s v="-"/>
    <s v="-"/>
    <s v="-"/>
    <s v="Secondary Package: Carrier Registration - Monthly"/>
    <n v="10"/>
  </r>
  <r>
    <x v="156"/>
    <x v="156"/>
    <x v="152"/>
    <n v="95"/>
    <n v="0"/>
    <x v="144"/>
    <n v="0"/>
    <n v="464.61"/>
    <n v="3320.61"/>
    <n v="1804.77"/>
    <s v="eLead - CW Premium - Sales 50k v2"/>
    <n v="1571.65"/>
  </r>
  <r>
    <x v="156"/>
    <x v="156"/>
    <x v="152"/>
    <s v="-"/>
    <s v="-"/>
    <x v="4"/>
    <s v="-"/>
    <s v="-"/>
    <s v="-"/>
    <s v="-"/>
    <s v="Secondary Package: Carrier Registration - Monthly"/>
    <n v="10"/>
  </r>
  <r>
    <x v="157"/>
    <x v="157"/>
    <x v="153"/>
    <n v="44"/>
    <n v="0"/>
    <x v="145"/>
    <n v="0"/>
    <n v="2317.1799999999998"/>
    <n v="4051.39"/>
    <n v="5295.45"/>
    <s v="eLead - CW Premium - Sales 50k v2"/>
    <n v="1571.65"/>
  </r>
  <r>
    <x v="157"/>
    <x v="157"/>
    <x v="153"/>
    <s v="-"/>
    <s v="-"/>
    <x v="4"/>
    <s v="-"/>
    <s v="-"/>
    <s v="-"/>
    <s v="-"/>
    <s v="Secondary Package: Carrier Registration - Monthly"/>
    <n v="10"/>
  </r>
  <r>
    <x v="158"/>
    <x v="158"/>
    <x v="154"/>
    <n v="36"/>
    <n v="0"/>
    <x v="146"/>
    <n v="0"/>
    <n v="6129.16"/>
    <n v="3002.3"/>
    <n v="7946.4"/>
    <s v="eLead - CW Premium - Sales 50k v2"/>
    <n v="1571.65"/>
  </r>
  <r>
    <x v="158"/>
    <x v="158"/>
    <x v="154"/>
    <s v="-"/>
    <s v="-"/>
    <x v="4"/>
    <s v="-"/>
    <s v="-"/>
    <s v="-"/>
    <s v="-"/>
    <s v="Secondary Package: Carrier Registration - Monthly"/>
    <n v="10"/>
  </r>
  <r>
    <x v="159"/>
    <x v="159"/>
    <x v="155"/>
    <n v="30"/>
    <n v="0"/>
    <x v="147"/>
    <n v="0"/>
    <n v="3021.8"/>
    <n v="3191.53"/>
    <n v="5575.97"/>
    <s v="Elead CW 8000"/>
    <n v="710"/>
  </r>
  <r>
    <x v="159"/>
    <x v="159"/>
    <x v="155"/>
    <s v="-"/>
    <s v="-"/>
    <x v="4"/>
    <s v="-"/>
    <s v="-"/>
    <s v="-"/>
    <s v="-"/>
    <s v="Secondary Package: Long Term Audio Storage - $10"/>
    <n v="10"/>
  </r>
  <r>
    <x v="159"/>
    <x v="159"/>
    <x v="155"/>
    <s v="-"/>
    <s v="-"/>
    <x v="4"/>
    <s v="-"/>
    <s v="-"/>
    <s v="-"/>
    <s v="-"/>
    <s v="Secondary Package: eLead - Leith EHOB"/>
    <n v="109"/>
  </r>
  <r>
    <x v="159"/>
    <x v="159"/>
    <x v="155"/>
    <s v="-"/>
    <s v="-"/>
    <x v="4"/>
    <s v="-"/>
    <s v="-"/>
    <s v="-"/>
    <s v="-"/>
    <s v="Secondary Package: Carrier Registration - Monthly"/>
    <n v="10"/>
  </r>
  <r>
    <x v="160"/>
    <x v="160"/>
    <x v="156"/>
    <n v="27"/>
    <n v="0"/>
    <x v="148"/>
    <n v="0"/>
    <n v="2023.99"/>
    <n v="990.35"/>
    <n v="2831.33"/>
    <s v="eLead - CW Premium - Sales 50k v2"/>
    <n v="1571.65"/>
  </r>
  <r>
    <x v="160"/>
    <x v="160"/>
    <x v="156"/>
    <s v="-"/>
    <s v="-"/>
    <x v="4"/>
    <s v="-"/>
    <s v="-"/>
    <s v="-"/>
    <s v="-"/>
    <s v="Secondary Package: Carrier Registration - Monthly"/>
    <n v="10"/>
  </r>
  <r>
    <x v="161"/>
    <x v="161"/>
    <x v="157"/>
    <n v="16"/>
    <n v="0"/>
    <x v="149"/>
    <n v="0"/>
    <n v="4401.47"/>
    <n v="2672.29"/>
    <n v="6799.88"/>
    <s v="eLead - CW Premium - Sales 50k v2"/>
    <n v="1571.65"/>
  </r>
  <r>
    <x v="161"/>
    <x v="161"/>
    <x v="157"/>
    <s v="-"/>
    <s v="-"/>
    <x v="4"/>
    <s v="-"/>
    <s v="-"/>
    <s v="-"/>
    <s v="-"/>
    <s v="Secondary Package: Carrier Registration - Monthly"/>
    <n v="10"/>
  </r>
  <r>
    <x v="162"/>
    <x v="162"/>
    <x v="158"/>
    <n v="31"/>
    <n v="0"/>
    <x v="150"/>
    <n v="0"/>
    <n v="10942.66"/>
    <n v="4126.8999999999996"/>
    <n v="14687.94"/>
    <s v="eLead - CW Premium - Sales 50k v2"/>
    <n v="1571.65"/>
  </r>
  <r>
    <x v="162"/>
    <x v="162"/>
    <x v="158"/>
    <s v="-"/>
    <s v="-"/>
    <x v="4"/>
    <s v="-"/>
    <s v="-"/>
    <s v="-"/>
    <s v="-"/>
    <s v="Secondary Package: Carrier Registration - Monthly"/>
    <n v="10"/>
  </r>
  <r>
    <x v="163"/>
    <x v="163"/>
    <x v="159"/>
    <n v="18"/>
    <n v="0"/>
    <x v="151"/>
    <n v="0"/>
    <n v="2056.13"/>
    <n v="5438.73"/>
    <n v="5592.89"/>
    <s v="Elead CW 8000"/>
    <n v="710"/>
  </r>
  <r>
    <x v="163"/>
    <x v="163"/>
    <x v="159"/>
    <s v="-"/>
    <s v="-"/>
    <x v="4"/>
    <s v="-"/>
    <s v="-"/>
    <s v="-"/>
    <s v="-"/>
    <s v="Secondary Package: Long Term Audio Storage - $10"/>
    <n v="10"/>
  </r>
  <r>
    <x v="163"/>
    <x v="163"/>
    <x v="159"/>
    <s v="-"/>
    <s v="-"/>
    <x v="4"/>
    <s v="-"/>
    <s v="-"/>
    <s v="-"/>
    <s v="-"/>
    <s v="Secondary Package: eLead - Leith EHOB"/>
    <n v="109"/>
  </r>
  <r>
    <x v="163"/>
    <x v="163"/>
    <x v="159"/>
    <s v="-"/>
    <s v="-"/>
    <x v="4"/>
    <s v="-"/>
    <s v="-"/>
    <s v="-"/>
    <s v="-"/>
    <s v="Secondary Package: Carrier Registration - Monthly"/>
    <n v="10"/>
  </r>
  <r>
    <x v="164"/>
    <x v="164"/>
    <x v="160"/>
    <n v="30"/>
    <n v="0"/>
    <x v="152"/>
    <n v="0"/>
    <n v="5098.68"/>
    <n v="3673.65"/>
    <n v="5790.07"/>
    <s v="eLead - CW Premium - Sales 50k v2"/>
    <n v="1571.65"/>
  </r>
  <r>
    <x v="164"/>
    <x v="164"/>
    <x v="160"/>
    <s v="-"/>
    <s v="-"/>
    <x v="4"/>
    <s v="-"/>
    <s v="-"/>
    <s v="-"/>
    <s v="-"/>
    <s v="Secondary Package: Carrier Registration - Monthly"/>
    <n v="10"/>
  </r>
  <r>
    <x v="165"/>
    <x v="165"/>
    <x v="161"/>
    <n v="46"/>
    <n v="0"/>
    <x v="153"/>
    <n v="0"/>
    <n v="20493.02"/>
    <n v="9988.2800000000007"/>
    <n v="27041.73"/>
    <s v="eLead - CW Premium - Sales 50k v2"/>
    <n v="1571.65"/>
  </r>
  <r>
    <x v="165"/>
    <x v="165"/>
    <x v="161"/>
    <s v="-"/>
    <s v="-"/>
    <x v="4"/>
    <s v="-"/>
    <s v="-"/>
    <s v="-"/>
    <s v="-"/>
    <s v="Secondary Package: Carrier Registration - Monthly"/>
    <n v="10"/>
  </r>
  <r>
    <x v="166"/>
    <x v="166"/>
    <x v="162"/>
    <n v="43"/>
    <n v="0"/>
    <x v="154"/>
    <n v="0"/>
    <n v="1917.42"/>
    <n v="1363.51"/>
    <n v="0"/>
    <s v="eLead - CW Starter - 5000 mins"/>
    <n v="419"/>
  </r>
  <r>
    <x v="166"/>
    <x v="166"/>
    <x v="162"/>
    <s v="-"/>
    <s v="-"/>
    <x v="4"/>
    <s v="-"/>
    <s v="-"/>
    <s v="-"/>
    <s v="-"/>
    <s v="Secondary Package: Carrier Registration - Monthly"/>
    <n v="10"/>
  </r>
  <r>
    <x v="167"/>
    <x v="167"/>
    <x v="163"/>
    <n v="54"/>
    <n v="0"/>
    <x v="155"/>
    <n v="32.99"/>
    <n v="1195.18"/>
    <n v="3227.26"/>
    <n v="3148.82"/>
    <s v="Elead - CW 4000"/>
    <n v="552.99"/>
  </r>
  <r>
    <x v="167"/>
    <x v="167"/>
    <x v="163"/>
    <s v="-"/>
    <s v="-"/>
    <x v="4"/>
    <s v="-"/>
    <s v="-"/>
    <s v="-"/>
    <s v="-"/>
    <s v="Secondary Package: Long Term Audio Storage - $10"/>
    <n v="10"/>
  </r>
  <r>
    <x v="167"/>
    <x v="167"/>
    <x v="163"/>
    <s v="-"/>
    <s v="-"/>
    <x v="4"/>
    <s v="-"/>
    <s v="-"/>
    <s v="-"/>
    <s v="-"/>
    <s v="Secondary Package: eLead - Leith EHOB"/>
    <n v="109"/>
  </r>
  <r>
    <x v="167"/>
    <x v="167"/>
    <x v="163"/>
    <s v="-"/>
    <s v="-"/>
    <x v="4"/>
    <s v="-"/>
    <s v="-"/>
    <s v="-"/>
    <s v="-"/>
    <s v="Secondary Package: Carrier Registration - Monthly"/>
    <n v="10"/>
  </r>
  <r>
    <x v="168"/>
    <x v="168"/>
    <x v="164"/>
    <n v="39"/>
    <n v="0"/>
    <x v="156"/>
    <n v="0"/>
    <n v="2749.75"/>
    <n v="3814.37"/>
    <n v="6135.31"/>
    <s v="eLead - CW Premium - Sales 50k v2"/>
    <n v="1571.65"/>
  </r>
  <r>
    <x v="168"/>
    <x v="168"/>
    <x v="164"/>
    <s v="-"/>
    <s v="-"/>
    <x v="4"/>
    <s v="-"/>
    <s v="-"/>
    <s v="-"/>
    <s v="-"/>
    <s v="Secondary Package: Carrier Registration - Monthly"/>
    <n v="10"/>
  </r>
  <r>
    <x v="169"/>
    <x v="169"/>
    <x v="165"/>
    <n v="2"/>
    <n v="0"/>
    <x v="8"/>
    <n v="0"/>
    <n v="0"/>
    <n v="0"/>
    <n v="0"/>
    <s v="Elead Outbound 4000 v2"/>
    <n v="129"/>
  </r>
  <r>
    <x v="170"/>
    <x v="170"/>
    <x v="166"/>
    <n v="74"/>
    <n v="2"/>
    <x v="157"/>
    <n v="0"/>
    <n v="5616.92"/>
    <n v="3699.89"/>
    <n v="6805.57"/>
    <s v="eLead - Elite Small v2"/>
    <n v="1274.1500000000001"/>
  </r>
  <r>
    <x v="170"/>
    <x v="170"/>
    <x v="166"/>
    <s v="-"/>
    <s v="-"/>
    <x v="4"/>
    <s v="-"/>
    <s v="-"/>
    <s v="-"/>
    <s v="-"/>
    <s v="Secondary Package: Carrier Registration - Monthly"/>
    <n v="10"/>
  </r>
  <r>
    <x v="171"/>
    <x v="171"/>
    <x v="167"/>
    <n v="61"/>
    <n v="2"/>
    <x v="158"/>
    <n v="0"/>
    <n v="5499.39"/>
    <n v="4819.53"/>
    <n v="8345.06"/>
    <s v="eLead - Elite Small v2"/>
    <n v="1274.1500000000001"/>
  </r>
  <r>
    <x v="171"/>
    <x v="171"/>
    <x v="167"/>
    <s v="-"/>
    <s v="-"/>
    <x v="4"/>
    <s v="-"/>
    <s v="-"/>
    <s v="-"/>
    <s v="-"/>
    <s v="Secondary Package: Carrier Registration - Monthly"/>
    <n v="10"/>
  </r>
  <r>
    <x v="172"/>
    <x v="172"/>
    <x v="0"/>
    <n v="0"/>
    <n v="0"/>
    <x v="8"/>
    <n v="0"/>
    <n v="0"/>
    <n v="0"/>
    <n v="0"/>
    <s v="Elead CW Unlimited  v2"/>
    <n v="1571.65"/>
  </r>
  <r>
    <x v="173"/>
    <x v="173"/>
    <x v="168"/>
    <n v="20"/>
    <n v="0"/>
    <x v="159"/>
    <n v="0"/>
    <n v="452.85"/>
    <n v="3355.98"/>
    <n v="0"/>
    <s v="eLead - CW Starter - 7500 mins v2"/>
    <n v="424.15"/>
  </r>
  <r>
    <x v="174"/>
    <x v="174"/>
    <x v="169"/>
    <n v="17"/>
    <n v="0"/>
    <x v="160"/>
    <n v="0"/>
    <n v="4395.91"/>
    <n v="0"/>
    <n v="0"/>
    <s v="eLead - CW Starter - 7500 mins v2"/>
    <n v="424.15"/>
  </r>
  <r>
    <x v="174"/>
    <x v="174"/>
    <x v="169"/>
    <s v="-"/>
    <s v="-"/>
    <x v="4"/>
    <s v="-"/>
    <s v="-"/>
    <s v="-"/>
    <s v="-"/>
    <s v="Secondary Package: Carrier Registration - Monthly"/>
    <n v="10"/>
  </r>
  <r>
    <x v="175"/>
    <x v="175"/>
    <x v="170"/>
    <n v="15"/>
    <n v="0"/>
    <x v="161"/>
    <n v="0"/>
    <n v="9378.3700000000008"/>
    <n v="5464.58"/>
    <n v="0"/>
    <s v="eLead - Starter 7500 + Starter 7500"/>
    <n v="588"/>
  </r>
  <r>
    <x v="175"/>
    <x v="175"/>
    <x v="170"/>
    <s v="-"/>
    <s v="-"/>
    <x v="4"/>
    <s v="-"/>
    <s v="-"/>
    <s v="-"/>
    <s v="-"/>
    <s v="Secondary Package: Carrier Registration - Monthly"/>
    <n v="10"/>
  </r>
  <r>
    <x v="176"/>
    <x v="176"/>
    <x v="171"/>
    <n v="14"/>
    <n v="0"/>
    <x v="162"/>
    <n v="0"/>
    <n v="360.06"/>
    <n v="145.31"/>
    <n v="0"/>
    <s v="eLead - CW Starter - 7500 mins v2"/>
    <n v="424.15"/>
  </r>
  <r>
    <x v="176"/>
    <x v="176"/>
    <x v="171"/>
    <s v="-"/>
    <s v="-"/>
    <x v="4"/>
    <s v="-"/>
    <s v="-"/>
    <s v="-"/>
    <s v="-"/>
    <s v="Secondary Package: Carrier Registration - Monthly"/>
    <n v="10"/>
  </r>
  <r>
    <x v="177"/>
    <x v="177"/>
    <x v="172"/>
    <n v="16"/>
    <n v="0"/>
    <x v="163"/>
    <n v="0"/>
    <n v="130.62"/>
    <n v="1215.8"/>
    <n v="0"/>
    <s v="eLead - CW Starter - 7500 mins v2"/>
    <n v="424.15"/>
  </r>
  <r>
    <x v="177"/>
    <x v="177"/>
    <x v="172"/>
    <s v="-"/>
    <s v="-"/>
    <x v="4"/>
    <s v="-"/>
    <s v="-"/>
    <s v="-"/>
    <s v="-"/>
    <s v="Secondary Package: Carrier Registration - Monthly"/>
    <n v="10"/>
  </r>
  <r>
    <x v="178"/>
    <x v="178"/>
    <x v="173"/>
    <n v="16"/>
    <n v="0"/>
    <x v="164"/>
    <n v="0"/>
    <n v="243.17"/>
    <n v="0"/>
    <n v="0"/>
    <s v="eLead - CW Starter - 3500 mins v2"/>
    <n v="254.15"/>
  </r>
  <r>
    <x v="178"/>
    <x v="178"/>
    <x v="173"/>
    <s v="-"/>
    <s v="-"/>
    <x v="4"/>
    <s v="-"/>
    <s v="-"/>
    <s v="-"/>
    <s v="-"/>
    <s v="Secondary Package: Carrier Registration - Monthly"/>
    <n v="10"/>
  </r>
  <r>
    <x v="179"/>
    <x v="179"/>
    <x v="174"/>
    <n v="17"/>
    <n v="0"/>
    <x v="165"/>
    <n v="0"/>
    <n v="187.57"/>
    <n v="2504.0100000000002"/>
    <n v="0"/>
    <s v="eLead - CW Starter - 3500 mins v2"/>
    <n v="254.15"/>
  </r>
  <r>
    <x v="179"/>
    <x v="179"/>
    <x v="174"/>
    <s v="-"/>
    <s v="-"/>
    <x v="4"/>
    <s v="-"/>
    <s v="-"/>
    <s v="-"/>
    <s v="-"/>
    <s v="Secondary Package: Carrier Registration - Monthly"/>
    <n v="10"/>
  </r>
  <r>
    <x v="180"/>
    <x v="180"/>
    <x v="0"/>
    <n v="53"/>
    <n v="0"/>
    <x v="166"/>
    <n v="0"/>
    <n v="874.17"/>
    <n v="5051.5600000000004"/>
    <n v="4340.16"/>
    <s v="eLead - Elite Small v2"/>
    <n v="1274.1500000000001"/>
  </r>
  <r>
    <x v="180"/>
    <x v="180"/>
    <x v="0"/>
    <s v="-"/>
    <s v="-"/>
    <x v="4"/>
    <s v="-"/>
    <s v="-"/>
    <s v="-"/>
    <s v="-"/>
    <s v="Secondary Package: Carrier Registration - Monthly"/>
    <n v="10"/>
  </r>
  <r>
    <x v="181"/>
    <x v="181"/>
    <x v="0"/>
    <n v="90"/>
    <n v="0"/>
    <x v="167"/>
    <n v="0"/>
    <n v="701.76"/>
    <n v="4474.87"/>
    <n v="4337.3500000000004"/>
    <s v="eLead - Elite Small v2"/>
    <n v="1274.1500000000001"/>
  </r>
  <r>
    <x v="181"/>
    <x v="181"/>
    <x v="0"/>
    <s v="-"/>
    <s v="-"/>
    <x v="4"/>
    <s v="-"/>
    <s v="-"/>
    <s v="-"/>
    <s v="-"/>
    <s v="Secondary Package: Carrier Registration - Monthly"/>
    <n v="10"/>
  </r>
  <r>
    <x v="182"/>
    <x v="182"/>
    <x v="0"/>
    <n v="126"/>
    <n v="0"/>
    <x v="168"/>
    <n v="0"/>
    <n v="1573.49"/>
    <n v="6046.96"/>
    <n v="6019.94"/>
    <s v="eLead - Elite Small v2"/>
    <n v="1274.1500000000001"/>
  </r>
  <r>
    <x v="182"/>
    <x v="182"/>
    <x v="0"/>
    <s v="-"/>
    <s v="-"/>
    <x v="4"/>
    <s v="-"/>
    <s v="-"/>
    <s v="-"/>
    <s v="-"/>
    <s v="Secondary Package: Carrier Registration - Monthly"/>
    <n v="10"/>
  </r>
  <r>
    <x v="183"/>
    <x v="183"/>
    <x v="0"/>
    <n v="68"/>
    <n v="0"/>
    <x v="169"/>
    <n v="0"/>
    <n v="854.61"/>
    <n v="314.33"/>
    <n v="1009.07"/>
    <s v="eLead - Elite Small v2"/>
    <n v="1274.1500000000001"/>
  </r>
  <r>
    <x v="183"/>
    <x v="183"/>
    <x v="0"/>
    <s v="-"/>
    <s v="-"/>
    <x v="4"/>
    <s v="-"/>
    <s v="-"/>
    <s v="-"/>
    <s v="-"/>
    <s v="Secondary Package: Carrier Registration - Monthly"/>
    <n v="10"/>
  </r>
  <r>
    <x v="184"/>
    <x v="184"/>
    <x v="0"/>
    <n v="109"/>
    <n v="0"/>
    <x v="170"/>
    <n v="0"/>
    <n v="4075.05"/>
    <n v="2458.8200000000002"/>
    <n v="2952.8"/>
    <s v="eLead - Elite Small v2"/>
    <n v="1274.1500000000001"/>
  </r>
  <r>
    <x v="184"/>
    <x v="184"/>
    <x v="0"/>
    <s v="-"/>
    <s v="-"/>
    <x v="4"/>
    <s v="-"/>
    <s v="-"/>
    <s v="-"/>
    <s v="-"/>
    <s v="Secondary Package: Carrier Registration - Monthly"/>
    <n v="10"/>
  </r>
  <r>
    <x v="185"/>
    <x v="185"/>
    <x v="175"/>
    <n v="31"/>
    <n v="0"/>
    <x v="8"/>
    <n v="0"/>
    <n v="0"/>
    <n v="0"/>
    <n v="0"/>
    <s v="Elead CW Starter 4000 v2"/>
    <n v="254.15"/>
  </r>
  <r>
    <x v="186"/>
    <x v="186"/>
    <x v="176"/>
    <n v="35"/>
    <n v="0"/>
    <x v="171"/>
    <n v="0"/>
    <n v="21.22"/>
    <n v="0"/>
    <n v="0"/>
    <s v="Elead CW Starter 4000 v2"/>
    <n v="254.15"/>
  </r>
  <r>
    <x v="187"/>
    <x v="187"/>
    <x v="177"/>
    <n v="70"/>
    <n v="0"/>
    <x v="172"/>
    <n v="0"/>
    <n v="1865.11"/>
    <n v="325.31"/>
    <n v="1577.63"/>
    <s v="eLead CW Elite (Sales Service AI) v2"/>
    <n v="2533.85"/>
  </r>
  <r>
    <x v="187"/>
    <x v="187"/>
    <x v="177"/>
    <s v="-"/>
    <s v="-"/>
    <x v="4"/>
    <s v="-"/>
    <s v="-"/>
    <s v="-"/>
    <s v="-"/>
    <s v="Secondary Package: Carrier Registration - Monthly"/>
    <n v="10"/>
  </r>
  <r>
    <x v="188"/>
    <x v="188"/>
    <x v="178"/>
    <n v="23"/>
    <n v="0"/>
    <x v="173"/>
    <n v="0"/>
    <n v="160.99"/>
    <n v="472.75"/>
    <n v="565.70000000000005"/>
    <s v="eLead - CW Advanced - Sales - 7500 mins v2"/>
    <n v="849.15"/>
  </r>
  <r>
    <x v="188"/>
    <x v="188"/>
    <x v="178"/>
    <s v="-"/>
    <s v="-"/>
    <x v="4"/>
    <s v="-"/>
    <s v="-"/>
    <s v="-"/>
    <s v="-"/>
    <s v="Secondary Package: Carrier Registration - Monthly"/>
    <n v="10"/>
  </r>
  <r>
    <x v="189"/>
    <x v="189"/>
    <x v="179"/>
    <n v="15"/>
    <n v="0"/>
    <x v="174"/>
    <n v="0"/>
    <n v="11328.67"/>
    <n v="7549.11"/>
    <n v="16992.36"/>
    <s v="eLead - CW Premium - Sales 50k v2"/>
    <n v="1571.65"/>
  </r>
  <r>
    <x v="189"/>
    <x v="189"/>
    <x v="179"/>
    <s v="-"/>
    <s v="-"/>
    <x v="4"/>
    <s v="-"/>
    <s v="-"/>
    <s v="-"/>
    <s v="-"/>
    <s v="Secondary Package: Carrier Registration - Monthly"/>
    <n v="10"/>
  </r>
  <r>
    <x v="190"/>
    <x v="190"/>
    <x v="180"/>
    <n v="25"/>
    <n v="0"/>
    <x v="175"/>
    <n v="0"/>
    <n v="3026.4"/>
    <n v="0"/>
    <n v="0"/>
    <s v="eLead - CW Starter - 7500 mins v2"/>
    <n v="424.15"/>
  </r>
  <r>
    <x v="191"/>
    <x v="191"/>
    <x v="181"/>
    <n v="62"/>
    <n v="0"/>
    <x v="176"/>
    <n v="345.34"/>
    <n v="4232.25"/>
    <n v="8077.46"/>
    <n v="10389.66"/>
    <s v="eLead - CW Advanced - Sales - 7500 mins v2"/>
    <n v="1194.49"/>
  </r>
  <r>
    <x v="191"/>
    <x v="191"/>
    <x v="181"/>
    <s v="-"/>
    <s v="-"/>
    <x v="4"/>
    <s v="-"/>
    <s v="-"/>
    <s v="-"/>
    <s v="-"/>
    <s v="Secondary Package: Carrier Registration - Monthly"/>
    <n v="10"/>
  </r>
  <r>
    <x v="192"/>
    <x v="192"/>
    <x v="182"/>
    <n v="0"/>
    <n v="0"/>
    <x v="8"/>
    <n v="0"/>
    <n v="0"/>
    <n v="0"/>
    <n v="0"/>
    <s v="eLead - CW Starter - 3500 mins v2"/>
    <n v="254.15"/>
  </r>
  <r>
    <x v="193"/>
    <x v="193"/>
    <x v="183"/>
    <n v="15"/>
    <n v="0"/>
    <x v="177"/>
    <n v="0"/>
    <n v="2190.39"/>
    <n v="0"/>
    <n v="0"/>
    <s v="Elead CW Starter 4000 v2"/>
    <n v="254.15"/>
  </r>
  <r>
    <x v="194"/>
    <x v="194"/>
    <x v="184"/>
    <n v="163"/>
    <n v="0"/>
    <x v="178"/>
    <n v="0"/>
    <n v="8177.16"/>
    <n v="2985.88"/>
    <n v="3448.55"/>
    <s v="eLead - CW Premium - Sales 50k v2"/>
    <n v="1571.65"/>
  </r>
  <r>
    <x v="194"/>
    <x v="194"/>
    <x v="184"/>
    <s v="-"/>
    <s v="-"/>
    <x v="4"/>
    <s v="-"/>
    <s v="-"/>
    <s v="-"/>
    <s v="-"/>
    <s v="Secondary Package: Carrier Registration - Monthly"/>
    <n v="10"/>
  </r>
  <r>
    <x v="195"/>
    <x v="195"/>
    <x v="185"/>
    <n v="36"/>
    <n v="0"/>
    <x v="179"/>
    <n v="65.930000000000007"/>
    <n v="2855.22"/>
    <n v="5600.22"/>
    <n v="0"/>
    <s v="eLead - CW Starter - 7500 mins v2"/>
    <n v="490.08"/>
  </r>
  <r>
    <x v="195"/>
    <x v="195"/>
    <x v="185"/>
    <s v="-"/>
    <s v="-"/>
    <x v="4"/>
    <s v="-"/>
    <s v="-"/>
    <s v="-"/>
    <s v="-"/>
    <s v="Secondary Package: Carrier Registration - Monthly"/>
    <n v="10"/>
  </r>
  <r>
    <x v="195"/>
    <x v="195"/>
    <x v="185"/>
    <s v="-"/>
    <s v="-"/>
    <x v="4"/>
    <s v="-"/>
    <s v="-"/>
    <s v="-"/>
    <s v="-"/>
    <s v="Secondary Package: eLead - Car Wars Texting v2"/>
    <n v="211.65"/>
  </r>
  <r>
    <x v="196"/>
    <x v="196"/>
    <x v="186"/>
    <n v="10"/>
    <n v="0"/>
    <x v="180"/>
    <n v="29.19"/>
    <n v="2333.14"/>
    <n v="2089.88"/>
    <n v="0"/>
    <s v="Elead CW Starter 4000 v2"/>
    <n v="283.33999999999997"/>
  </r>
  <r>
    <x v="196"/>
    <x v="196"/>
    <x v="186"/>
    <s v="-"/>
    <s v="-"/>
    <x v="4"/>
    <s v="-"/>
    <s v="-"/>
    <s v="-"/>
    <s v="-"/>
    <s v="Secondary Package: Carrier Registration - Monthly"/>
    <n v="10"/>
  </r>
  <r>
    <x v="197"/>
    <x v="197"/>
    <x v="187"/>
    <n v="8"/>
    <n v="0"/>
    <x v="181"/>
    <n v="443.93"/>
    <n v="6393.94"/>
    <n v="3539.88"/>
    <n v="0"/>
    <s v="eLead - CW Starter - 3500 mins v2"/>
    <n v="698.08"/>
  </r>
  <r>
    <x v="197"/>
    <x v="197"/>
    <x v="187"/>
    <s v="-"/>
    <s v="-"/>
    <x v="4"/>
    <s v="-"/>
    <s v="-"/>
    <s v="-"/>
    <s v="-"/>
    <s v="Secondary Package: Carrier Registration - Monthly"/>
    <n v="10"/>
  </r>
  <r>
    <x v="198"/>
    <x v="198"/>
    <x v="188"/>
    <n v="10"/>
    <n v="0"/>
    <x v="182"/>
    <n v="29.38"/>
    <n v="459.3"/>
    <n v="3966.49"/>
    <n v="0"/>
    <s v="Elead CW Starter 4000 v2"/>
    <n v="283.52999999999997"/>
  </r>
  <r>
    <x v="198"/>
    <x v="198"/>
    <x v="188"/>
    <s v="-"/>
    <s v="-"/>
    <x v="4"/>
    <s v="-"/>
    <s v="-"/>
    <s v="-"/>
    <s v="-"/>
    <s v="Secondary Package: Carrier Registration - Monthly"/>
    <n v="10"/>
  </r>
  <r>
    <x v="199"/>
    <x v="199"/>
    <x v="189"/>
    <n v="157"/>
    <n v="0"/>
    <x v="183"/>
    <n v="1182.1400000000001"/>
    <n v="25393.71"/>
    <n v="41070.6"/>
    <n v="49277.47"/>
    <s v="eLead CW Elite (Sales Service AI) v2"/>
    <n v="3715.99"/>
  </r>
  <r>
    <x v="199"/>
    <x v="199"/>
    <x v="189"/>
    <s v="-"/>
    <s v="-"/>
    <x v="4"/>
    <s v="-"/>
    <s v="-"/>
    <s v="-"/>
    <s v="-"/>
    <s v="Secondary Package: Carrier Registration - Monthly"/>
    <n v="10"/>
  </r>
  <r>
    <x v="200"/>
    <x v="200"/>
    <x v="190"/>
    <n v="55"/>
    <n v="0"/>
    <x v="184"/>
    <n v="0"/>
    <n v="582.55999999999995"/>
    <n v="4267.46"/>
    <n v="3375.9"/>
    <s v="Elead - CW Elite Small + Advanced Service"/>
    <n v="1688"/>
  </r>
  <r>
    <x v="200"/>
    <x v="200"/>
    <x v="190"/>
    <s v="-"/>
    <s v="-"/>
    <x v="4"/>
    <s v="-"/>
    <s v="-"/>
    <s v="-"/>
    <s v="-"/>
    <s v="Secondary Package: Carrier Registration - Monthly"/>
    <n v="10"/>
  </r>
  <r>
    <x v="201"/>
    <x v="201"/>
    <x v="191"/>
    <n v="212"/>
    <n v="0"/>
    <x v="185"/>
    <n v="0"/>
    <n v="7074.25"/>
    <n v="5172.07"/>
    <n v="9041.84"/>
    <s v="Elead - CW Elite Small + Advanced Service"/>
    <n v="1688"/>
  </r>
  <r>
    <x v="201"/>
    <x v="201"/>
    <x v="191"/>
    <s v="-"/>
    <s v="-"/>
    <x v="4"/>
    <s v="-"/>
    <s v="-"/>
    <s v="-"/>
    <s v="-"/>
    <s v="Secondary Package: Carrier Registration - Monthly"/>
    <n v="10"/>
  </r>
  <r>
    <x v="202"/>
    <x v="202"/>
    <x v="136"/>
    <n v="243"/>
    <n v="1"/>
    <x v="186"/>
    <n v="0"/>
    <n v="4930.32"/>
    <n v="5467.48"/>
    <n v="4197.45"/>
    <s v="eLead - Elite Small v2"/>
    <n v="1274.1500000000001"/>
  </r>
  <r>
    <x v="202"/>
    <x v="202"/>
    <x v="136"/>
    <s v="-"/>
    <s v="-"/>
    <x v="4"/>
    <s v="-"/>
    <s v="-"/>
    <s v="-"/>
    <s v="-"/>
    <s v="Secondary Package: Carrier Registration - Monthly"/>
    <n v="10"/>
  </r>
  <r>
    <x v="203"/>
    <x v="203"/>
    <x v="192"/>
    <n v="118"/>
    <n v="1"/>
    <x v="187"/>
    <n v="0"/>
    <n v="427.48"/>
    <n v="6286.38"/>
    <n v="5729.11"/>
    <s v="Elead - CW Elite Small + Advanced Service"/>
    <n v="1688"/>
  </r>
  <r>
    <x v="203"/>
    <x v="203"/>
    <x v="192"/>
    <s v="-"/>
    <s v="-"/>
    <x v="4"/>
    <s v="-"/>
    <s v="-"/>
    <s v="-"/>
    <s v="-"/>
    <s v="Secondary Package: Carrier Registration - Monthly"/>
    <n v="10"/>
  </r>
  <r>
    <x v="204"/>
    <x v="204"/>
    <x v="193"/>
    <n v="14"/>
    <n v="0"/>
    <x v="188"/>
    <n v="0"/>
    <n v="49.04"/>
    <n v="86.63"/>
    <n v="129.69999999999999"/>
    <s v="eLead - Elite Small v2"/>
    <n v="1274.1500000000001"/>
  </r>
  <r>
    <x v="205"/>
    <x v="205"/>
    <x v="194"/>
    <n v="13"/>
    <n v="0"/>
    <x v="189"/>
    <n v="455.95"/>
    <n v="10104.99"/>
    <n v="2.97"/>
    <n v="0"/>
    <s v="eLead - CW Starter - 3500 mins v2"/>
    <n v="710.1"/>
  </r>
  <r>
    <x v="206"/>
    <x v="206"/>
    <x v="195"/>
    <n v="22"/>
    <n v="0"/>
    <x v="190"/>
    <n v="11.57"/>
    <n v="3897.64"/>
    <n v="270"/>
    <n v="0"/>
    <s v="Elead CW Starter 4000 v2"/>
    <n v="265.72000000000003"/>
  </r>
  <r>
    <x v="207"/>
    <x v="207"/>
    <x v="196"/>
    <n v="37"/>
    <n v="0"/>
    <x v="191"/>
    <n v="0"/>
    <n v="9135.93"/>
    <n v="4292.57"/>
    <n v="10035.33"/>
    <s v="eLead CW Elite (Sales Service AI) v2"/>
    <n v="2533.85"/>
  </r>
  <r>
    <x v="207"/>
    <x v="207"/>
    <x v="196"/>
    <s v="-"/>
    <s v="-"/>
    <x v="4"/>
    <s v="-"/>
    <s v="-"/>
    <s v="-"/>
    <s v="-"/>
    <s v="Secondary Package: Long Term Audio Storage"/>
    <n v="20"/>
  </r>
  <r>
    <x v="207"/>
    <x v="207"/>
    <x v="196"/>
    <s v="-"/>
    <s v="-"/>
    <x v="4"/>
    <s v="-"/>
    <s v="-"/>
    <s v="-"/>
    <s v="-"/>
    <s v="Secondary Package: Carrier Registration - Monthly"/>
    <n v="10"/>
  </r>
  <r>
    <x v="208"/>
    <x v="208"/>
    <x v="197"/>
    <n v="20"/>
    <n v="1"/>
    <x v="192"/>
    <n v="0"/>
    <n v="408.91"/>
    <n v="695.7"/>
    <n v="0"/>
    <s v="eLead - CW Starter - 3500 mins v2"/>
    <n v="254.15"/>
  </r>
  <r>
    <x v="208"/>
    <x v="208"/>
    <x v="197"/>
    <s v="-"/>
    <s v="-"/>
    <x v="4"/>
    <s v="-"/>
    <s v="-"/>
    <s v="-"/>
    <s v="-"/>
    <s v="Secondary Package: Carrier Registration - Monthly"/>
    <n v="10"/>
  </r>
  <r>
    <x v="209"/>
    <x v="209"/>
    <x v="198"/>
    <n v="17"/>
    <n v="0"/>
    <x v="193"/>
    <n v="0"/>
    <n v="5"/>
    <n v="0"/>
    <n v="0"/>
    <s v="Elead CW Starter 4000 v2"/>
    <n v="254.15"/>
  </r>
  <r>
    <x v="210"/>
    <x v="210"/>
    <x v="199"/>
    <n v="103"/>
    <n v="0"/>
    <x v="194"/>
    <n v="0"/>
    <n v="15390.65"/>
    <n v="16090.79"/>
    <n v="16556.490000000002"/>
    <s v="Elead CW Unlimited  v2"/>
    <n v="1571.65"/>
  </r>
  <r>
    <x v="210"/>
    <x v="210"/>
    <x v="199"/>
    <s v="-"/>
    <s v="-"/>
    <x v="4"/>
    <s v="-"/>
    <s v="-"/>
    <s v="-"/>
    <s v="-"/>
    <s v="Secondary Package: Carrier Registration - Monthly"/>
    <n v="10"/>
  </r>
  <r>
    <x v="210"/>
    <x v="210"/>
    <x v="199"/>
    <s v="-"/>
    <s v="-"/>
    <x v="4"/>
    <s v="-"/>
    <s v="-"/>
    <s v="-"/>
    <s v="-"/>
    <s v="Secondary Package: Elead CW Turbo v2"/>
    <n v="424.15"/>
  </r>
  <r>
    <x v="211"/>
    <x v="211"/>
    <x v="200"/>
    <n v="83"/>
    <n v="0"/>
    <x v="195"/>
    <n v="0"/>
    <n v="7188.68"/>
    <n v="1533.7"/>
    <n v="5571.23"/>
    <s v="eLead - Elite Small v2"/>
    <n v="1274.1500000000001"/>
  </r>
  <r>
    <x v="212"/>
    <x v="212"/>
    <x v="201"/>
    <n v="16"/>
    <n v="0"/>
    <x v="8"/>
    <n v="0"/>
    <n v="0"/>
    <n v="0"/>
    <n v="0"/>
    <s v="Void / $0"/>
    <n v="0"/>
  </r>
  <r>
    <x v="213"/>
    <x v="213"/>
    <x v="202"/>
    <n v="23"/>
    <n v="0"/>
    <x v="196"/>
    <n v="0"/>
    <n v="9.66"/>
    <n v="173.99"/>
    <n v="0"/>
    <s v="eLead - CW Starter - 7500 mins v2"/>
    <n v="424.15"/>
  </r>
  <r>
    <x v="214"/>
    <x v="214"/>
    <x v="0"/>
    <n v="58"/>
    <n v="1"/>
    <x v="197"/>
    <n v="0"/>
    <n v="2662.58"/>
    <n v="1425.91"/>
    <n v="3576.02"/>
    <s v="eLead - Elite Small v2"/>
    <n v="1274.1500000000001"/>
  </r>
  <r>
    <x v="214"/>
    <x v="214"/>
    <x v="0"/>
    <s v="-"/>
    <s v="-"/>
    <x v="4"/>
    <s v="-"/>
    <s v="-"/>
    <s v="-"/>
    <s v="-"/>
    <s v="Secondary Package: Carrier Registration - Monthly"/>
    <n v="10"/>
  </r>
  <r>
    <x v="215"/>
    <x v="215"/>
    <x v="203"/>
    <n v="0"/>
    <n v="0"/>
    <x v="8"/>
    <n v="0"/>
    <n v="0"/>
    <n v="0"/>
    <n v="0"/>
    <s v="Elead Launch Phase-0"/>
    <n v="0"/>
  </r>
  <r>
    <x v="216"/>
    <x v="216"/>
    <x v="0"/>
    <n v="19"/>
    <n v="0"/>
    <x v="198"/>
    <n v="0"/>
    <n v="1664.29"/>
    <n v="0"/>
    <n v="1556.41"/>
    <s v="Elead Launch Phase-0"/>
    <n v="0"/>
  </r>
  <r>
    <x v="216"/>
    <x v="217"/>
    <x v="204"/>
    <n v="0"/>
    <n v="0"/>
    <x v="8"/>
    <n v="0"/>
    <n v="0"/>
    <n v="0"/>
    <n v="0"/>
    <s v="Elead Launch Phase-0"/>
    <n v="0"/>
  </r>
  <r>
    <x v="217"/>
    <x v="218"/>
    <x v="0"/>
    <n v="15"/>
    <n v="0"/>
    <x v="199"/>
    <n v="0"/>
    <n v="387.23"/>
    <n v="2521.19"/>
    <n v="2423.3200000000002"/>
    <s v="Elead Launch Phase-0"/>
    <n v="0"/>
  </r>
  <r>
    <x v="218"/>
    <x v="219"/>
    <x v="205"/>
    <n v="29"/>
    <n v="0"/>
    <x v="200"/>
    <n v="0"/>
    <n v="658.4"/>
    <n v="8334.75"/>
    <n v="8176.84"/>
    <s v="eLead - Elite Small v2"/>
    <n v="1274.1500000000001"/>
  </r>
  <r>
    <x v="218"/>
    <x v="219"/>
    <x v="205"/>
    <s v="-"/>
    <s v="-"/>
    <x v="4"/>
    <s v="-"/>
    <s v="-"/>
    <s v="-"/>
    <s v="-"/>
    <s v="Secondary Package: Carrier Registration - Monthly"/>
    <n v="10"/>
  </r>
  <r>
    <x v="219"/>
    <x v="220"/>
    <x v="206"/>
    <n v="12"/>
    <n v="0"/>
    <x v="201"/>
    <n v="0"/>
    <n v="46.01"/>
    <n v="0"/>
    <n v="0"/>
    <s v="Elead CW Starter 4000 v2"/>
    <n v="254.15"/>
  </r>
  <r>
    <x v="220"/>
    <x v="221"/>
    <x v="207"/>
    <n v="15"/>
    <n v="0"/>
    <x v="202"/>
    <n v="0"/>
    <n v="0.66"/>
    <n v="0"/>
    <n v="0"/>
    <s v="eLead - CW Starter - 3500 mins v2"/>
    <n v="254.15"/>
  </r>
  <r>
    <x v="221"/>
    <x v="222"/>
    <x v="208"/>
    <n v="15"/>
    <n v="0"/>
    <x v="203"/>
    <n v="192.38"/>
    <n v="390.07"/>
    <n v="5898.02"/>
    <n v="0"/>
    <s v="eLead - CW Starter - 3500 mins v2"/>
    <n v="446.53"/>
  </r>
  <r>
    <x v="222"/>
    <x v="223"/>
    <x v="0"/>
    <n v="12"/>
    <n v="0"/>
    <x v="204"/>
    <n v="0"/>
    <n v="47.66"/>
    <n v="0"/>
    <n v="0"/>
    <s v="Elead CW Starter 4000 v2"/>
    <n v="254.15"/>
  </r>
  <r>
    <x v="223"/>
    <x v="224"/>
    <x v="209"/>
    <n v="136"/>
    <n v="0"/>
    <x v="205"/>
    <n v="0"/>
    <n v="992.3"/>
    <n v="5943.69"/>
    <n v="0"/>
    <s v="Elead CW Starter 8000 v2"/>
    <n v="424.15"/>
  </r>
  <r>
    <x v="223"/>
    <x v="224"/>
    <x v="209"/>
    <s v="-"/>
    <s v="-"/>
    <x v="4"/>
    <s v="-"/>
    <s v="-"/>
    <s v="-"/>
    <s v="-"/>
    <s v="Secondary Package: Carrier Registration - Monthly"/>
    <n v="10"/>
  </r>
  <r>
    <x v="224"/>
    <x v="225"/>
    <x v="210"/>
    <n v="12"/>
    <n v="0"/>
    <x v="206"/>
    <n v="0"/>
    <n v="35.659999999999997"/>
    <n v="153.66"/>
    <n v="0"/>
    <s v="eLead - CW Starter - 3500 mins v2"/>
    <n v="254.15"/>
  </r>
  <r>
    <x v="225"/>
    <x v="226"/>
    <x v="211"/>
    <n v="36"/>
    <n v="0"/>
    <x v="207"/>
    <n v="0"/>
    <n v="441.32"/>
    <n v="3965.66"/>
    <n v="3526.8"/>
    <s v="Elead - 24' CW Elite Medium"/>
    <n v="1294"/>
  </r>
  <r>
    <x v="225"/>
    <x v="226"/>
    <x v="211"/>
    <s v="-"/>
    <s v="-"/>
    <x v="4"/>
    <s v="-"/>
    <s v="-"/>
    <s v="-"/>
    <s v="-"/>
    <s v="Secondary Package: Carrier Registration - Monthly"/>
    <n v="10"/>
  </r>
  <r>
    <x v="225"/>
    <x v="226"/>
    <x v="211"/>
    <s v="-"/>
    <s v="-"/>
    <x v="4"/>
    <s v="-"/>
    <s v="-"/>
    <s v="-"/>
    <s v="-"/>
    <s v="Secondary Package: Elead - 24' CW Elite Medium Service"/>
    <n v="349"/>
  </r>
  <r>
    <x v="226"/>
    <x v="227"/>
    <x v="212"/>
    <n v="16"/>
    <n v="0"/>
    <x v="208"/>
    <n v="0"/>
    <n v="41.96"/>
    <n v="77.989999999999995"/>
    <n v="0"/>
    <s v="eLead - CW Starter - 3500 mins v2"/>
    <n v="254.15"/>
  </r>
  <r>
    <x v="226"/>
    <x v="227"/>
    <x v="212"/>
    <s v="-"/>
    <s v="-"/>
    <x v="4"/>
    <s v="-"/>
    <s v="-"/>
    <s v="-"/>
    <s v="-"/>
    <s v="Secondary Package: Carrier Registration - Monthly"/>
    <n v="10"/>
  </r>
  <r>
    <x v="227"/>
    <x v="228"/>
    <x v="213"/>
    <n v="27"/>
    <n v="0"/>
    <x v="209"/>
    <n v="0"/>
    <n v="43"/>
    <n v="0"/>
    <n v="43"/>
    <s v="eLead - CW Premium - Sales 50k v2"/>
    <n v="1571.65"/>
  </r>
  <r>
    <x v="228"/>
    <x v="229"/>
    <x v="214"/>
    <n v="19"/>
    <n v="0"/>
    <x v="210"/>
    <n v="0"/>
    <n v="36.979999999999997"/>
    <n v="35"/>
    <n v="0"/>
    <s v="eLead - CW Starter - 3500 mins v2"/>
    <n v="254.15"/>
  </r>
  <r>
    <x v="229"/>
    <x v="230"/>
    <x v="215"/>
    <n v="14"/>
    <n v="0"/>
    <x v="211"/>
    <n v="0"/>
    <n v="244.91"/>
    <n v="4008.14"/>
    <n v="0"/>
    <s v="eLead - CW Starter - 7500 mins v2"/>
    <n v="424.15"/>
  </r>
  <r>
    <x v="229"/>
    <x v="230"/>
    <x v="215"/>
    <s v="-"/>
    <s v="-"/>
    <x v="4"/>
    <s v="-"/>
    <s v="-"/>
    <s v="-"/>
    <s v="-"/>
    <s v="Secondary Package: Carrier Registration - Monthly"/>
    <n v="10"/>
  </r>
  <r>
    <x v="230"/>
    <x v="231"/>
    <x v="216"/>
    <n v="3"/>
    <n v="0"/>
    <x v="212"/>
    <n v="0"/>
    <n v="31"/>
    <n v="5"/>
    <n v="31"/>
    <s v="Elead Launch Phase-0"/>
    <n v="0"/>
  </r>
  <r>
    <x v="231"/>
    <x v="232"/>
    <x v="217"/>
    <n v="117"/>
    <n v="0"/>
    <x v="213"/>
    <n v="0"/>
    <n v="7535.79"/>
    <n v="642.30999999999995"/>
    <n v="7001.96"/>
    <s v="eLead - CW Premium - Sales 50k v2"/>
    <n v="1571.65"/>
  </r>
  <r>
    <x v="231"/>
    <x v="232"/>
    <x v="217"/>
    <s v="-"/>
    <s v="-"/>
    <x v="4"/>
    <s v="-"/>
    <s v="-"/>
    <s v="-"/>
    <s v="-"/>
    <s v="Secondary Package: Carrier Registration - Monthly"/>
    <n v="10"/>
  </r>
  <r>
    <x v="232"/>
    <x v="233"/>
    <x v="218"/>
    <n v="155"/>
    <n v="0"/>
    <x v="214"/>
    <n v="0"/>
    <n v="4047.58"/>
    <n v="1604.49"/>
    <n v="2700.94"/>
    <s v="eLead - CW Premium - Sales 50k v2"/>
    <n v="1571.65"/>
  </r>
  <r>
    <x v="232"/>
    <x v="233"/>
    <x v="218"/>
    <s v="-"/>
    <s v="-"/>
    <x v="4"/>
    <s v="-"/>
    <s v="-"/>
    <s v="-"/>
    <s v="-"/>
    <s v="Secondary Package: Carrier Registration - Monthly"/>
    <n v="10"/>
  </r>
  <r>
    <x v="233"/>
    <x v="234"/>
    <x v="219"/>
    <n v="18"/>
    <n v="0"/>
    <x v="215"/>
    <n v="0"/>
    <n v="1257.02"/>
    <n v="7.32"/>
    <n v="0"/>
    <s v="eLead - CW Starter - 3500 mins v2"/>
    <n v="254.15"/>
  </r>
  <r>
    <x v="233"/>
    <x v="234"/>
    <x v="219"/>
    <s v="-"/>
    <s v="-"/>
    <x v="4"/>
    <s v="-"/>
    <s v="-"/>
    <s v="-"/>
    <s v="-"/>
    <s v="Secondary Package: Carrier Registration - Monthly"/>
    <n v="10"/>
  </r>
  <r>
    <x v="234"/>
    <x v="235"/>
    <x v="220"/>
    <n v="85"/>
    <n v="0"/>
    <x v="216"/>
    <n v="0"/>
    <n v="9439.83"/>
    <n v="4643.7"/>
    <n v="7227.35"/>
    <s v="eLead - CW Premium - Sales 50k v2"/>
    <n v="1571.65"/>
  </r>
  <r>
    <x v="234"/>
    <x v="235"/>
    <x v="220"/>
    <s v="-"/>
    <s v="-"/>
    <x v="4"/>
    <s v="-"/>
    <s v="-"/>
    <s v="-"/>
    <s v="-"/>
    <s v="Secondary Package: Carrier Registration - Monthly"/>
    <n v="10"/>
  </r>
  <r>
    <x v="235"/>
    <x v="236"/>
    <x v="221"/>
    <n v="22"/>
    <n v="0"/>
    <x v="217"/>
    <n v="0"/>
    <n v="350.57"/>
    <n v="1690.5"/>
    <n v="0"/>
    <s v="eLead - CW Starter - 3500 mins v2"/>
    <n v="254.15"/>
  </r>
  <r>
    <x v="235"/>
    <x v="236"/>
    <x v="221"/>
    <s v="-"/>
    <s v="-"/>
    <x v="4"/>
    <s v="-"/>
    <s v="-"/>
    <s v="-"/>
    <s v="-"/>
    <s v="Secondary Package: Carrier Registration - Monthly"/>
    <n v="10"/>
  </r>
  <r>
    <x v="236"/>
    <x v="237"/>
    <x v="222"/>
    <n v="6"/>
    <n v="0"/>
    <x v="218"/>
    <n v="0"/>
    <n v="52.02"/>
    <n v="681.37"/>
    <n v="0"/>
    <s v="eLead - CW Starter - 3500 mins v2"/>
    <n v="254.15"/>
  </r>
  <r>
    <x v="236"/>
    <x v="237"/>
    <x v="222"/>
    <s v="-"/>
    <s v="-"/>
    <x v="4"/>
    <s v="-"/>
    <s v="-"/>
    <s v="-"/>
    <s v="-"/>
    <s v="Secondary Package: Carrier Registration - Monthly"/>
    <n v="10"/>
  </r>
  <r>
    <x v="237"/>
    <x v="238"/>
    <x v="223"/>
    <n v="3"/>
    <n v="0"/>
    <x v="219"/>
    <n v="0"/>
    <n v="201.76"/>
    <n v="1799.79"/>
    <n v="0"/>
    <s v="eLead - CW Starter - 5000 mins v2"/>
    <n v="509.15"/>
  </r>
  <r>
    <x v="238"/>
    <x v="239"/>
    <x v="224"/>
    <n v="29"/>
    <n v="0"/>
    <x v="220"/>
    <n v="168.98"/>
    <n v="2789.36"/>
    <n v="3159.69"/>
    <n v="0"/>
    <s v="eLead - CW Starter - 3500 mins v2"/>
    <n v="423.13"/>
  </r>
  <r>
    <x v="238"/>
    <x v="239"/>
    <x v="224"/>
    <s v="-"/>
    <s v="-"/>
    <x v="4"/>
    <s v="-"/>
    <s v="-"/>
    <s v="-"/>
    <s v="-"/>
    <s v="Secondary Package: Carrier Registration - Monthly"/>
    <n v="10"/>
  </r>
  <r>
    <x v="239"/>
    <x v="240"/>
    <x v="225"/>
    <n v="18"/>
    <n v="0"/>
    <x v="221"/>
    <n v="0"/>
    <n v="464.89"/>
    <n v="2085.44"/>
    <n v="0"/>
    <s v="eLead - CW Starter - 3500 mins v2"/>
    <n v="254.15"/>
  </r>
  <r>
    <x v="239"/>
    <x v="240"/>
    <x v="225"/>
    <s v="-"/>
    <s v="-"/>
    <x v="4"/>
    <s v="-"/>
    <s v="-"/>
    <s v="-"/>
    <s v="-"/>
    <s v="Secondary Package: Carrier Registration - Monthly"/>
    <n v="10"/>
  </r>
  <r>
    <x v="240"/>
    <x v="241"/>
    <x v="226"/>
    <n v="18"/>
    <n v="0"/>
    <x v="222"/>
    <n v="0"/>
    <n v="310.01"/>
    <n v="1416.18"/>
    <n v="0"/>
    <s v="eLead - CW Starter - 3500 mins v2"/>
    <n v="254.15"/>
  </r>
  <r>
    <x v="240"/>
    <x v="241"/>
    <x v="226"/>
    <s v="-"/>
    <s v="-"/>
    <x v="4"/>
    <s v="-"/>
    <s v="-"/>
    <s v="-"/>
    <s v="-"/>
    <s v="Secondary Package: Carrier Registration - Monthly"/>
    <n v="10"/>
  </r>
  <r>
    <x v="241"/>
    <x v="242"/>
    <x v="227"/>
    <n v="10"/>
    <n v="0"/>
    <x v="223"/>
    <n v="0"/>
    <n v="209.64"/>
    <n v="684.81"/>
    <n v="0"/>
    <s v="eLead - CW Starter - 3500 mins v2"/>
    <n v="254.15"/>
  </r>
  <r>
    <x v="241"/>
    <x v="242"/>
    <x v="227"/>
    <s v="-"/>
    <s v="-"/>
    <x v="4"/>
    <s v="-"/>
    <s v="-"/>
    <s v="-"/>
    <s v="-"/>
    <s v="Secondary Package: Carrier Registration - Monthly"/>
    <n v="10"/>
  </r>
  <r>
    <x v="242"/>
    <x v="243"/>
    <x v="228"/>
    <n v="43"/>
    <n v="0"/>
    <x v="224"/>
    <n v="602.59"/>
    <n v="10038.280000000001"/>
    <n v="2194.86"/>
    <n v="0"/>
    <s v="eLead - CW Starter - 3500 mins v2"/>
    <n v="856.74"/>
  </r>
  <r>
    <x v="242"/>
    <x v="243"/>
    <x v="228"/>
    <s v="-"/>
    <s v="-"/>
    <x v="4"/>
    <s v="-"/>
    <s v="-"/>
    <s v="-"/>
    <s v="-"/>
    <s v="Secondary Package: Carrier Registration - Monthly"/>
    <n v="10"/>
  </r>
  <r>
    <x v="243"/>
    <x v="244"/>
    <x v="229"/>
    <n v="30"/>
    <n v="0"/>
    <x v="225"/>
    <n v="124.57"/>
    <n v="557.89"/>
    <n v="4747.54"/>
    <n v="0"/>
    <s v="eLead - CW Starter - 3500 mins v2"/>
    <n v="378.72"/>
  </r>
  <r>
    <x v="243"/>
    <x v="244"/>
    <x v="229"/>
    <s v="-"/>
    <s v="-"/>
    <x v="4"/>
    <s v="-"/>
    <s v="-"/>
    <s v="-"/>
    <s v="-"/>
    <s v="Secondary Package: Carrier Registration - Monthly"/>
    <n v="10"/>
  </r>
  <r>
    <x v="244"/>
    <x v="245"/>
    <x v="230"/>
    <n v="22"/>
    <n v="0"/>
    <x v="226"/>
    <n v="0"/>
    <n v="691.57"/>
    <n v="2485.09"/>
    <n v="0"/>
    <s v="eLead - CW Starter - 3500 mins v2"/>
    <n v="254.15"/>
  </r>
  <r>
    <x v="244"/>
    <x v="245"/>
    <x v="230"/>
    <s v="-"/>
    <s v="-"/>
    <x v="4"/>
    <s v="-"/>
    <s v="-"/>
    <s v="-"/>
    <s v="-"/>
    <s v="Secondary Package: Carrier Registration - Monthly"/>
    <n v="10"/>
  </r>
  <r>
    <x v="245"/>
    <x v="246"/>
    <x v="231"/>
    <n v="33"/>
    <n v="0"/>
    <x v="227"/>
    <n v="317.19"/>
    <n v="6497.41"/>
    <n v="5599.49"/>
    <n v="0"/>
    <s v="eLead - CW Starter - 7500 mins v2"/>
    <n v="741.34"/>
  </r>
  <r>
    <x v="245"/>
    <x v="246"/>
    <x v="231"/>
    <s v="-"/>
    <s v="-"/>
    <x v="4"/>
    <s v="-"/>
    <s v="-"/>
    <s v="-"/>
    <s v="-"/>
    <s v="Secondary Package: Carrier Registration - Monthly"/>
    <n v="10"/>
  </r>
  <r>
    <x v="246"/>
    <x v="247"/>
    <x v="232"/>
    <n v="26"/>
    <n v="0"/>
    <x v="228"/>
    <n v="0"/>
    <n v="232.71"/>
    <n v="1161.05"/>
    <n v="0"/>
    <s v="eLead - CW Starter - 7500 mins v2"/>
    <n v="424.15"/>
  </r>
  <r>
    <x v="246"/>
    <x v="247"/>
    <x v="232"/>
    <s v="-"/>
    <s v="-"/>
    <x v="4"/>
    <s v="-"/>
    <s v="-"/>
    <s v="-"/>
    <s v="-"/>
    <s v="Secondary Package: Carrier Registration - Monthly"/>
    <n v="10"/>
  </r>
  <r>
    <x v="247"/>
    <x v="248"/>
    <x v="233"/>
    <n v="10"/>
    <n v="0"/>
    <x v="229"/>
    <n v="0"/>
    <n v="347.96"/>
    <n v="1871.82"/>
    <n v="0"/>
    <s v="eLead - CW Starter - 3500 mins v2"/>
    <n v="254.15"/>
  </r>
  <r>
    <x v="247"/>
    <x v="248"/>
    <x v="233"/>
    <s v="-"/>
    <s v="-"/>
    <x v="4"/>
    <s v="-"/>
    <s v="-"/>
    <s v="-"/>
    <s v="-"/>
    <s v="Secondary Package: Carrier Registration - Monthly"/>
    <n v="10"/>
  </r>
  <r>
    <x v="248"/>
    <x v="249"/>
    <x v="234"/>
    <n v="24"/>
    <n v="0"/>
    <x v="230"/>
    <n v="36.44"/>
    <n v="2659.34"/>
    <n v="1368.77"/>
    <n v="0"/>
    <s v="eLead - CW Starter - 3500 mins v2"/>
    <n v="290.58999999999997"/>
  </r>
  <r>
    <x v="248"/>
    <x v="249"/>
    <x v="234"/>
    <s v="-"/>
    <s v="-"/>
    <x v="4"/>
    <s v="-"/>
    <s v="-"/>
    <s v="-"/>
    <s v="-"/>
    <s v="Secondary Package: Carrier Registration - Monthly"/>
    <n v="10"/>
  </r>
  <r>
    <x v="249"/>
    <x v="250"/>
    <x v="235"/>
    <n v="57"/>
    <n v="0"/>
    <x v="231"/>
    <n v="0"/>
    <n v="13864.45"/>
    <n v="10515.71"/>
    <n v="19428.43"/>
    <s v="eLead - CW Premium - Sales 50k v2"/>
    <n v="1571.65"/>
  </r>
  <r>
    <x v="249"/>
    <x v="250"/>
    <x v="235"/>
    <s v="-"/>
    <s v="-"/>
    <x v="4"/>
    <s v="-"/>
    <s v="-"/>
    <s v="-"/>
    <s v="-"/>
    <s v="Secondary Package: Carrier Registration - Monthly"/>
    <n v="10"/>
  </r>
  <r>
    <x v="250"/>
    <x v="251"/>
    <x v="236"/>
    <n v="12"/>
    <n v="0"/>
    <x v="232"/>
    <n v="0"/>
    <n v="4.33"/>
    <n v="1506.35"/>
    <n v="0"/>
    <s v="eLead - CW Starter - 3500 mins v2"/>
    <n v="254.15"/>
  </r>
  <r>
    <x v="250"/>
    <x v="251"/>
    <x v="236"/>
    <s v="-"/>
    <s v="-"/>
    <x v="4"/>
    <s v="-"/>
    <s v="-"/>
    <s v="-"/>
    <s v="-"/>
    <s v="Secondary Package: Carrier Registration - Monthly"/>
    <n v="10"/>
  </r>
  <r>
    <x v="251"/>
    <x v="252"/>
    <x v="237"/>
    <n v="9"/>
    <n v="0"/>
    <x v="233"/>
    <n v="0"/>
    <n v="0"/>
    <n v="326.5"/>
    <n v="0"/>
    <s v="eLead - CW Starter - 3500 mins v2"/>
    <n v="254.15"/>
  </r>
  <r>
    <x v="251"/>
    <x v="252"/>
    <x v="237"/>
    <s v="-"/>
    <s v="-"/>
    <x v="4"/>
    <s v="-"/>
    <s v="-"/>
    <s v="-"/>
    <s v="-"/>
    <s v="Secondary Package: Carrier Registration - Monthly"/>
    <n v="10"/>
  </r>
  <r>
    <x v="252"/>
    <x v="253"/>
    <x v="238"/>
    <n v="12"/>
    <n v="0"/>
    <x v="234"/>
    <n v="66.180000000000007"/>
    <n v="9.67"/>
    <n v="4449.49"/>
    <n v="0"/>
    <s v="eLead - CW Starter - 3500 mins v2"/>
    <n v="320.33"/>
  </r>
  <r>
    <x v="252"/>
    <x v="253"/>
    <x v="238"/>
    <s v="-"/>
    <s v="-"/>
    <x v="4"/>
    <s v="-"/>
    <s v="-"/>
    <s v="-"/>
    <s v="-"/>
    <s v="Secondary Package: Carrier Registration - Monthly"/>
    <n v="10"/>
  </r>
  <r>
    <x v="253"/>
    <x v="254"/>
    <x v="239"/>
    <n v="28"/>
    <n v="0"/>
    <x v="235"/>
    <n v="0"/>
    <n v="351.72"/>
    <n v="225.89"/>
    <n v="239.57"/>
    <s v="eLead - Elite Small v2"/>
    <n v="1274.1500000000001"/>
  </r>
  <r>
    <x v="253"/>
    <x v="254"/>
    <x v="239"/>
    <s v="-"/>
    <s v="-"/>
    <x v="4"/>
    <s v="-"/>
    <s v="-"/>
    <s v="-"/>
    <s v="-"/>
    <s v="Secondary Package: Carrier Registration - Monthly"/>
    <n v="10"/>
  </r>
  <r>
    <x v="254"/>
    <x v="255"/>
    <x v="129"/>
    <n v="28"/>
    <n v="0"/>
    <x v="236"/>
    <n v="0"/>
    <n v="4486.6000000000004"/>
    <n v="2513.12"/>
    <n v="6523.78"/>
    <s v="eLead - CW Leisure Small (Sales Only) "/>
    <n v="489"/>
  </r>
  <r>
    <x v="254"/>
    <x v="255"/>
    <x v="129"/>
    <s v="-"/>
    <s v="-"/>
    <x v="4"/>
    <s v="-"/>
    <s v="-"/>
    <s v="-"/>
    <s v="-"/>
    <s v="Secondary Package: Carrier Registration - Monthly"/>
    <n v="10"/>
  </r>
  <r>
    <x v="255"/>
    <x v="256"/>
    <x v="240"/>
    <n v="27"/>
    <n v="0"/>
    <x v="237"/>
    <n v="0"/>
    <n v="52.31"/>
    <n v="390.56"/>
    <n v="0"/>
    <s v="eLead - CW Starter - 7500 mins v2"/>
    <n v="424.15"/>
  </r>
  <r>
    <x v="255"/>
    <x v="256"/>
    <x v="240"/>
    <s v="-"/>
    <s v="-"/>
    <x v="4"/>
    <s v="-"/>
    <s v="-"/>
    <s v="-"/>
    <s v="-"/>
    <s v="Secondary Package: Carrier Registration - Monthly"/>
    <n v="10"/>
  </r>
  <r>
    <x v="256"/>
    <x v="257"/>
    <x v="241"/>
    <n v="5"/>
    <n v="0"/>
    <x v="8"/>
    <n v="0"/>
    <n v="0"/>
    <n v="0"/>
    <n v="0"/>
    <s v="Elead CW Starter 8000 v2"/>
    <n v="424.15"/>
  </r>
  <r>
    <x v="257"/>
    <x v="258"/>
    <x v="242"/>
    <n v="1"/>
    <n v="0"/>
    <x v="238"/>
    <n v="0"/>
    <n v="12679.73"/>
    <n v="11047.22"/>
    <n v="0"/>
    <s v="eLead - Car Wars - Phone System Integration - No Reviews POR"/>
    <n v="471"/>
  </r>
  <r>
    <x v="257"/>
    <x v="258"/>
    <x v="242"/>
    <s v="-"/>
    <s v="-"/>
    <x v="4"/>
    <s v="-"/>
    <s v="-"/>
    <s v="-"/>
    <s v="-"/>
    <s v="Secondary Package: Carrier Registration - Monthly"/>
    <n v="10"/>
  </r>
  <r>
    <x v="258"/>
    <x v="259"/>
    <x v="243"/>
    <n v="18"/>
    <n v="0"/>
    <x v="239"/>
    <n v="0"/>
    <n v="18.36"/>
    <n v="3684.39"/>
    <n v="0"/>
    <s v="Elead Outbound 4000 v2"/>
    <n v="129"/>
  </r>
  <r>
    <x v="258"/>
    <x v="259"/>
    <x v="243"/>
    <s v="-"/>
    <s v="-"/>
    <x v="4"/>
    <s v="-"/>
    <s v="-"/>
    <s v="-"/>
    <s v="-"/>
    <s v="Secondary Package: Carrier Registration - Monthly"/>
    <n v="10"/>
  </r>
  <r>
    <x v="259"/>
    <x v="260"/>
    <x v="244"/>
    <n v="1"/>
    <n v="0"/>
    <x v="240"/>
    <n v="0"/>
    <n v="0"/>
    <n v="1564.71"/>
    <n v="1462.54"/>
    <s v="Elead Outbound 4000 v2"/>
    <n v="129"/>
  </r>
  <r>
    <x v="260"/>
    <x v="261"/>
    <x v="245"/>
    <n v="2"/>
    <n v="0"/>
    <x v="241"/>
    <n v="0"/>
    <n v="9.66"/>
    <n v="32.99"/>
    <n v="0"/>
    <s v="Elead Outbound 4000 v2"/>
    <n v="129"/>
  </r>
  <r>
    <x v="260"/>
    <x v="261"/>
    <x v="245"/>
    <s v="-"/>
    <s v="-"/>
    <x v="4"/>
    <s v="-"/>
    <s v="-"/>
    <s v="-"/>
    <s v="-"/>
    <s v="Secondary Package: Carrier Registration - Monthly"/>
    <n v="10"/>
  </r>
  <r>
    <x v="261"/>
    <x v="262"/>
    <x v="246"/>
    <n v="128"/>
    <n v="0"/>
    <x v="242"/>
    <n v="0"/>
    <n v="7530.21"/>
    <n v="2891.07"/>
    <n v="5537.51"/>
    <s v="eLead - CW Advanced - Sales &amp; Service - 15000 mins"/>
    <n v="1338"/>
  </r>
  <r>
    <x v="261"/>
    <x v="262"/>
    <x v="246"/>
    <s v="-"/>
    <s v="-"/>
    <x v="4"/>
    <s v="-"/>
    <s v="-"/>
    <s v="-"/>
    <s v="-"/>
    <s v="Secondary Package: Reseller - Voice Recongnition"/>
    <n v="299"/>
  </r>
  <r>
    <x v="261"/>
    <x v="262"/>
    <x v="246"/>
    <s v="-"/>
    <s v="-"/>
    <x v="4"/>
    <s v="-"/>
    <s v="-"/>
    <s v="-"/>
    <s v="-"/>
    <s v="Secondary Package: Carrier Registration - Monthly"/>
    <n v="10"/>
  </r>
  <r>
    <x v="262"/>
    <x v="263"/>
    <x v="247"/>
    <n v="11"/>
    <n v="0"/>
    <x v="243"/>
    <n v="0"/>
    <n v="171.96"/>
    <n v="317.32"/>
    <n v="0"/>
    <s v="eLead - CW Starter - 5000 mins"/>
    <n v="419"/>
  </r>
  <r>
    <x v="262"/>
    <x v="263"/>
    <x v="247"/>
    <s v="-"/>
    <s v="-"/>
    <x v="4"/>
    <s v="-"/>
    <s v="-"/>
    <s v="-"/>
    <s v="-"/>
    <s v="Secondary Package: Carrier Registration - Monthly"/>
    <n v="10"/>
  </r>
  <r>
    <x v="263"/>
    <x v="264"/>
    <x v="248"/>
    <n v="107"/>
    <n v="1"/>
    <x v="244"/>
    <n v="0"/>
    <n v="10061.379999999999"/>
    <n v="5958.91"/>
    <n v="7471.27"/>
    <s v="Elead CW Unlimited  v2"/>
    <n v="1571.65"/>
  </r>
  <r>
    <x v="263"/>
    <x v="264"/>
    <x v="248"/>
    <s v="-"/>
    <s v="-"/>
    <x v="4"/>
    <s v="-"/>
    <s v="-"/>
    <s v="-"/>
    <s v="-"/>
    <s v="Secondary Package: Carrier Registration - Monthly"/>
    <n v="10"/>
  </r>
  <r>
    <x v="264"/>
    <x v="265"/>
    <x v="249"/>
    <n v="12"/>
    <n v="0"/>
    <x v="8"/>
    <n v="0"/>
    <n v="0"/>
    <n v="0"/>
    <n v="0"/>
    <s v="eLead - CW Starter - 3500 mins v2"/>
    <n v="254.15"/>
  </r>
  <r>
    <x v="265"/>
    <x v="266"/>
    <x v="250"/>
    <n v="9"/>
    <n v="0"/>
    <x v="245"/>
    <n v="0"/>
    <n v="43.72"/>
    <n v="0"/>
    <n v="0"/>
    <s v="Elead CW Starter 4000 v2"/>
    <n v="254.15"/>
  </r>
  <r>
    <x v="266"/>
    <x v="267"/>
    <x v="251"/>
    <n v="23"/>
    <n v="0"/>
    <x v="246"/>
    <n v="0"/>
    <n v="708.22"/>
    <n v="6512.33"/>
    <n v="0"/>
    <s v="Elead CW Starter 8000 v2"/>
    <n v="424.15"/>
  </r>
  <r>
    <x v="266"/>
    <x v="267"/>
    <x v="251"/>
    <s v="-"/>
    <s v="-"/>
    <x v="4"/>
    <s v="-"/>
    <s v="-"/>
    <s v="-"/>
    <s v="-"/>
    <s v="Secondary Package: Carrier Registration - Monthly"/>
    <n v="10"/>
  </r>
  <r>
    <x v="267"/>
    <x v="268"/>
    <x v="252"/>
    <n v="24"/>
    <n v="0"/>
    <x v="247"/>
    <n v="0"/>
    <n v="280.36"/>
    <n v="1557.84"/>
    <n v="0"/>
    <s v="Elead CW Starter 4000 v2"/>
    <n v="254.15"/>
  </r>
  <r>
    <x v="267"/>
    <x v="268"/>
    <x v="252"/>
    <s v="-"/>
    <s v="-"/>
    <x v="4"/>
    <s v="-"/>
    <s v="-"/>
    <s v="-"/>
    <s v="-"/>
    <s v="Secondary Package: Carrier Registration - Monthly"/>
    <n v="10"/>
  </r>
  <r>
    <x v="268"/>
    <x v="269"/>
    <x v="253"/>
    <n v="8"/>
    <n v="0"/>
    <x v="248"/>
    <n v="0"/>
    <n v="72.680000000000007"/>
    <n v="0"/>
    <n v="0"/>
    <s v="Elead CW Starter 8000 v2"/>
    <n v="424.15"/>
  </r>
  <r>
    <x v="269"/>
    <x v="270"/>
    <x v="254"/>
    <n v="40"/>
    <n v="0"/>
    <x v="249"/>
    <n v="0"/>
    <n v="97.32"/>
    <n v="236.66"/>
    <n v="304.99"/>
    <s v="Elead Launch Phase-0"/>
    <n v="0"/>
  </r>
  <r>
    <x v="270"/>
    <x v="271"/>
    <x v="255"/>
    <n v="11"/>
    <n v="0"/>
    <x v="250"/>
    <n v="111.33"/>
    <n v="680.59"/>
    <n v="4432.83"/>
    <n v="0"/>
    <s v="eLead - CW Starter - 3500 mins v2"/>
    <n v="365.48"/>
  </r>
  <r>
    <x v="270"/>
    <x v="271"/>
    <x v="255"/>
    <s v="-"/>
    <s v="-"/>
    <x v="4"/>
    <s v="-"/>
    <s v="-"/>
    <s v="-"/>
    <s v="-"/>
    <s v="Secondary Package: Carrier Registration - Monthly"/>
    <n v="10"/>
  </r>
  <r>
    <x v="271"/>
    <x v="272"/>
    <x v="0"/>
    <n v="39"/>
    <n v="0"/>
    <x v="251"/>
    <n v="0"/>
    <n v="3455.4"/>
    <n v="444.26"/>
    <n v="3675.37"/>
    <s v="Elead - 24' CW Elite Medium"/>
    <n v="1294"/>
  </r>
  <r>
    <x v="271"/>
    <x v="272"/>
    <x v="0"/>
    <s v="-"/>
    <s v="-"/>
    <x v="4"/>
    <s v="-"/>
    <s v="-"/>
    <s v="-"/>
    <s v="-"/>
    <s v="Secondary Package: Carrier Registration - Monthly"/>
    <n v="10"/>
  </r>
  <r>
    <x v="271"/>
    <x v="272"/>
    <x v="0"/>
    <s v="-"/>
    <s v="-"/>
    <x v="4"/>
    <s v="-"/>
    <s v="-"/>
    <s v="-"/>
    <s v="-"/>
    <s v="Secondary Package: Elead - 24' CW Elite Medium Service"/>
    <n v="349"/>
  </r>
  <r>
    <x v="272"/>
    <x v="273"/>
    <x v="256"/>
    <n v="5"/>
    <n v="0"/>
    <x v="252"/>
    <n v="0"/>
    <n v="627.71"/>
    <n v="0"/>
    <n v="0"/>
    <s v="eLead - CW Starter - 7500 mins v2"/>
    <n v="424.15"/>
  </r>
  <r>
    <x v="272"/>
    <x v="273"/>
    <x v="256"/>
    <s v="-"/>
    <s v="-"/>
    <x v="4"/>
    <s v="-"/>
    <s v="-"/>
    <s v="-"/>
    <s v="-"/>
    <s v="Secondary Package: Carrier Registration - Monthly"/>
    <n v="10"/>
  </r>
  <r>
    <x v="273"/>
    <x v="274"/>
    <x v="257"/>
    <n v="33"/>
    <n v="0"/>
    <x v="253"/>
    <n v="272.51"/>
    <n v="5449.26"/>
    <n v="6000.14"/>
    <n v="0"/>
    <s v="eLead - CW Starter - 7500 mins v2"/>
    <n v="696.66"/>
  </r>
  <r>
    <x v="273"/>
    <x v="274"/>
    <x v="257"/>
    <s v="-"/>
    <s v="-"/>
    <x v="4"/>
    <s v="-"/>
    <s v="-"/>
    <s v="-"/>
    <s v="-"/>
    <s v="Secondary Package: Long Term Audio Storage"/>
    <n v="20"/>
  </r>
  <r>
    <x v="273"/>
    <x v="274"/>
    <x v="257"/>
    <s v="-"/>
    <s v="-"/>
    <x v="4"/>
    <s v="-"/>
    <s v="-"/>
    <s v="-"/>
    <s v="-"/>
    <s v="Secondary Package: Carrier Registration - Monthly"/>
    <n v="10"/>
  </r>
  <r>
    <x v="273"/>
    <x v="274"/>
    <x v="257"/>
    <s v="-"/>
    <s v="-"/>
    <x v="4"/>
    <s v="-"/>
    <s v="-"/>
    <s v="-"/>
    <s v="-"/>
    <s v="Secondary Package: eLead - Car Wars Texting v2"/>
    <n v="211.65"/>
  </r>
  <r>
    <x v="274"/>
    <x v="275"/>
    <x v="258"/>
    <n v="71"/>
    <n v="0"/>
    <x v="254"/>
    <n v="0"/>
    <n v="3205.66"/>
    <n v="5377.19"/>
    <n v="6454.63"/>
    <s v="eLead - Elite Small"/>
    <n v="1019"/>
  </r>
  <r>
    <x v="274"/>
    <x v="275"/>
    <x v="258"/>
    <s v="-"/>
    <s v="-"/>
    <x v="4"/>
    <s v="-"/>
    <s v="-"/>
    <s v="-"/>
    <s v="-"/>
    <s v="Secondary Package: Long Term Audio Storage - $10"/>
    <n v="10"/>
  </r>
  <r>
    <x v="274"/>
    <x v="275"/>
    <x v="258"/>
    <s v="-"/>
    <s v="-"/>
    <x v="4"/>
    <s v="-"/>
    <s v="-"/>
    <s v="-"/>
    <s v="-"/>
    <s v="Secondary Package: Carrier Registration - Monthly"/>
    <n v="10"/>
  </r>
  <r>
    <x v="275"/>
    <x v="276"/>
    <x v="259"/>
    <n v="2"/>
    <n v="0"/>
    <x v="8"/>
    <n v="0"/>
    <n v="0"/>
    <n v="0"/>
    <n v="0"/>
    <s v="eLead - CW Starter - 3500 mins v2"/>
    <n v="254.15"/>
  </r>
  <r>
    <x v="276"/>
    <x v="277"/>
    <x v="0"/>
    <n v="45"/>
    <n v="1"/>
    <x v="255"/>
    <n v="0"/>
    <n v="523.79"/>
    <n v="2354.1999999999998"/>
    <n v="2582.39"/>
    <s v="eLead - CW Advanced - Sales - 7500 mins v2"/>
    <n v="849.15"/>
  </r>
  <r>
    <x v="276"/>
    <x v="277"/>
    <x v="0"/>
    <s v="-"/>
    <s v="-"/>
    <x v="4"/>
    <s v="-"/>
    <s v="-"/>
    <s v="-"/>
    <s v="-"/>
    <s v="Secondary Package: Carrier Registration - Monthly"/>
    <n v="10"/>
  </r>
  <r>
    <x v="277"/>
    <x v="278"/>
    <x v="260"/>
    <n v="1"/>
    <n v="0"/>
    <x v="256"/>
    <n v="0"/>
    <n v="2"/>
    <n v="0"/>
    <n v="0"/>
    <s v="Sub $0"/>
    <n v="0"/>
  </r>
  <r>
    <x v="278"/>
    <x v="279"/>
    <x v="261"/>
    <n v="0"/>
    <n v="0"/>
    <x v="8"/>
    <n v="0"/>
    <n v="0"/>
    <n v="0"/>
    <n v="0"/>
    <s v="Void / $0"/>
    <n v="0"/>
  </r>
  <r>
    <x v="279"/>
    <x v="280"/>
    <x v="262"/>
    <n v="32"/>
    <n v="1"/>
    <x v="257"/>
    <n v="0"/>
    <n v="2593.75"/>
    <n v="6266.8"/>
    <n v="7187.43"/>
    <s v="eLead - CW Premium - Sales 50k v2"/>
    <n v="1571.65"/>
  </r>
  <r>
    <x v="279"/>
    <x v="280"/>
    <x v="262"/>
    <s v="-"/>
    <s v="-"/>
    <x v="4"/>
    <s v="-"/>
    <s v="-"/>
    <s v="-"/>
    <s v="-"/>
    <s v="Secondary Package: Carrier Registration - Monthly"/>
    <n v="10"/>
  </r>
  <r>
    <x v="280"/>
    <x v="281"/>
    <x v="263"/>
    <n v="39"/>
    <n v="1"/>
    <x v="258"/>
    <n v="0"/>
    <n v="2740.8"/>
    <n v="3110.12"/>
    <n v="3939.8"/>
    <s v="eLead - CW Premium - Sales 50k v2"/>
    <n v="1571.65"/>
  </r>
  <r>
    <x v="280"/>
    <x v="281"/>
    <x v="263"/>
    <s v="-"/>
    <s v="-"/>
    <x v="4"/>
    <s v="-"/>
    <s v="-"/>
    <s v="-"/>
    <s v="-"/>
    <s v="Secondary Package: Carrier Registration - Monthly"/>
    <n v="10"/>
  </r>
  <r>
    <x v="281"/>
    <x v="282"/>
    <x v="264"/>
    <n v="12"/>
    <n v="0"/>
    <x v="259"/>
    <n v="0"/>
    <n v="149.36000000000001"/>
    <n v="234.26"/>
    <n v="0"/>
    <s v="eLead - CW Starter - 7500 mins v2"/>
    <n v="424.15"/>
  </r>
  <r>
    <x v="281"/>
    <x v="282"/>
    <x v="264"/>
    <s v="-"/>
    <s v="-"/>
    <x v="4"/>
    <s v="-"/>
    <s v="-"/>
    <s v="-"/>
    <s v="-"/>
    <s v="Secondary Package: Carrier Registration - Monthly"/>
    <n v="10"/>
  </r>
  <r>
    <x v="282"/>
    <x v="283"/>
    <x v="265"/>
    <n v="16"/>
    <n v="0"/>
    <x v="260"/>
    <n v="0"/>
    <n v="189.05"/>
    <n v="191"/>
    <n v="0"/>
    <s v="eLead - CW Starter - 7500 mins v2"/>
    <n v="424.15"/>
  </r>
  <r>
    <x v="282"/>
    <x v="283"/>
    <x v="265"/>
    <s v="-"/>
    <s v="-"/>
    <x v="4"/>
    <s v="-"/>
    <s v="-"/>
    <s v="-"/>
    <s v="-"/>
    <s v="Secondary Package: Carrier Registration - Monthly"/>
    <n v="10"/>
  </r>
  <r>
    <x v="283"/>
    <x v="284"/>
    <x v="266"/>
    <n v="11"/>
    <n v="0"/>
    <x v="261"/>
    <n v="0"/>
    <n v="3994.27"/>
    <n v="278.24"/>
    <n v="0"/>
    <s v="eLead - CW Starter - 7500 mins v2"/>
    <n v="424.15"/>
  </r>
  <r>
    <x v="283"/>
    <x v="284"/>
    <x v="266"/>
    <s v="-"/>
    <s v="-"/>
    <x v="4"/>
    <s v="-"/>
    <s v="-"/>
    <s v="-"/>
    <s v="-"/>
    <s v="Secondary Package: Carrier Registration - Monthly"/>
    <n v="10"/>
  </r>
  <r>
    <x v="284"/>
    <x v="285"/>
    <x v="267"/>
    <n v="62"/>
    <n v="1"/>
    <x v="262"/>
    <n v="0"/>
    <n v="2760.3"/>
    <n v="8007.78"/>
    <n v="8568.86"/>
    <s v="Elead - CW Elite Small + Advanced Service"/>
    <n v="1688"/>
  </r>
  <r>
    <x v="284"/>
    <x v="285"/>
    <x v="267"/>
    <s v="-"/>
    <s v="-"/>
    <x v="4"/>
    <s v="-"/>
    <s v="-"/>
    <s v="-"/>
    <s v="-"/>
    <s v="Secondary Package: Carrier Registration - Monthly"/>
    <n v="10"/>
  </r>
  <r>
    <x v="285"/>
    <x v="286"/>
    <x v="268"/>
    <n v="2"/>
    <n v="0"/>
    <x v="263"/>
    <n v="0"/>
    <n v="2.67"/>
    <n v="12.65"/>
    <n v="0"/>
    <s v="eLead - CW Starter - 3500 mins v2"/>
    <n v="254.15"/>
  </r>
  <r>
    <x v="285"/>
    <x v="286"/>
    <x v="268"/>
    <s v="-"/>
    <s v="-"/>
    <x v="4"/>
    <s v="-"/>
    <s v="-"/>
    <s v="-"/>
    <s v="-"/>
    <s v="Secondary Package: Carrier Registration - Monthly"/>
    <n v="10"/>
  </r>
  <r>
    <x v="286"/>
    <x v="287"/>
    <x v="269"/>
    <n v="39"/>
    <n v="0"/>
    <x v="264"/>
    <n v="0"/>
    <n v="4602.88"/>
    <n v="3154.73"/>
    <n v="5859.82"/>
    <s v="eLead - Elite Small v2"/>
    <n v="1274.1500000000001"/>
  </r>
  <r>
    <x v="287"/>
    <x v="288"/>
    <x v="270"/>
    <n v="12"/>
    <n v="0"/>
    <x v="265"/>
    <n v="0"/>
    <n v="928.08"/>
    <n v="1861.71"/>
    <n v="0"/>
    <s v="eLead - CW Starter - 5000 mins v2"/>
    <n v="509.15"/>
  </r>
  <r>
    <x v="287"/>
    <x v="288"/>
    <x v="270"/>
    <s v="-"/>
    <s v="-"/>
    <x v="4"/>
    <s v="-"/>
    <s v="-"/>
    <s v="-"/>
    <s v="-"/>
    <s v="Secondary Package: Carrier Registration - Monthly"/>
    <n v="10"/>
  </r>
  <r>
    <x v="288"/>
    <x v="289"/>
    <x v="271"/>
    <n v="19"/>
    <n v="0"/>
    <x v="266"/>
    <n v="0"/>
    <n v="2476.7800000000002"/>
    <n v="1428.84"/>
    <n v="0"/>
    <s v="eLead - CW Starter - 7500 mins v2"/>
    <n v="424.15"/>
  </r>
  <r>
    <x v="288"/>
    <x v="289"/>
    <x v="271"/>
    <s v="-"/>
    <s v="-"/>
    <x v="4"/>
    <s v="-"/>
    <s v="-"/>
    <s v="-"/>
    <s v="-"/>
    <s v="Secondary Package: Carrier Registration - Monthly"/>
    <n v="10"/>
  </r>
  <r>
    <x v="289"/>
    <x v="290"/>
    <x v="272"/>
    <n v="4"/>
    <n v="0"/>
    <x v="256"/>
    <n v="0"/>
    <n v="0.33"/>
    <n v="1.67"/>
    <n v="0"/>
    <s v="eLead - CW Starter - 7500 mins v2"/>
    <n v="424.15"/>
  </r>
  <r>
    <x v="289"/>
    <x v="290"/>
    <x v="272"/>
    <s v="-"/>
    <s v="-"/>
    <x v="4"/>
    <s v="-"/>
    <s v="-"/>
    <s v="-"/>
    <s v="-"/>
    <s v="Secondary Package: Carrier Registration - Monthly"/>
    <n v="10"/>
  </r>
  <r>
    <x v="290"/>
    <x v="291"/>
    <x v="273"/>
    <n v="28"/>
    <n v="0"/>
    <x v="267"/>
    <n v="0"/>
    <n v="3519.49"/>
    <n v="631.22"/>
    <n v="0"/>
    <s v="Elead CW Starter 8000 v2"/>
    <n v="424.15"/>
  </r>
  <r>
    <x v="290"/>
    <x v="291"/>
    <x v="273"/>
    <s v="-"/>
    <s v="-"/>
    <x v="4"/>
    <s v="-"/>
    <s v="-"/>
    <s v="-"/>
    <s v="-"/>
    <s v="Secondary Package: Carrier Registration - Monthly"/>
    <n v="10"/>
  </r>
  <r>
    <x v="291"/>
    <x v="292"/>
    <x v="274"/>
    <n v="15"/>
    <n v="0"/>
    <x v="268"/>
    <n v="0"/>
    <n v="136.22999999999999"/>
    <n v="96.63"/>
    <n v="0"/>
    <s v="eLead - CW Starter - 7500 mins v2"/>
    <n v="424.15"/>
  </r>
  <r>
    <x v="291"/>
    <x v="292"/>
    <x v="274"/>
    <s v="-"/>
    <s v="-"/>
    <x v="4"/>
    <s v="-"/>
    <s v="-"/>
    <s v="-"/>
    <s v="-"/>
    <s v="Secondary Package: Carrier Registration - Monthly"/>
    <n v="10"/>
  </r>
  <r>
    <x v="292"/>
    <x v="293"/>
    <x v="275"/>
    <n v="137"/>
    <n v="0"/>
    <x v="269"/>
    <n v="449.14"/>
    <n v="8988.01"/>
    <n v="2286.2800000000002"/>
    <n v="3382.12"/>
    <s v="Elead - 24' CW Elite Small"/>
    <n v="1288.1400000000001"/>
  </r>
  <r>
    <x v="292"/>
    <x v="293"/>
    <x v="275"/>
    <s v="-"/>
    <s v="-"/>
    <x v="4"/>
    <s v="-"/>
    <s v="-"/>
    <s v="-"/>
    <s v="-"/>
    <s v="Secondary Package: Carrier Registration - Monthly"/>
    <n v="10"/>
  </r>
  <r>
    <x v="293"/>
    <x v="294"/>
    <x v="0"/>
    <n v="42"/>
    <n v="1"/>
    <x v="270"/>
    <n v="0"/>
    <n v="857.22"/>
    <n v="0.33"/>
    <n v="649.97"/>
    <s v="eLead CW Elite (Sales Service AI) v2"/>
    <n v="2533.85"/>
  </r>
  <r>
    <x v="293"/>
    <x v="294"/>
    <x v="0"/>
    <s v="-"/>
    <s v="-"/>
    <x v="4"/>
    <s v="-"/>
    <s v="-"/>
    <s v="-"/>
    <s v="-"/>
    <s v="Secondary Package: Carrier Registration - Monthly"/>
    <n v="10"/>
  </r>
  <r>
    <x v="294"/>
    <x v="295"/>
    <x v="276"/>
    <n v="11"/>
    <n v="0"/>
    <x v="271"/>
    <n v="0"/>
    <n v="204.92"/>
    <n v="712.29"/>
    <n v="727.44"/>
    <s v="Elead CW Starter 4000 v2"/>
    <n v="254.15"/>
  </r>
  <r>
    <x v="295"/>
    <x v="296"/>
    <x v="277"/>
    <n v="42"/>
    <n v="0"/>
    <x v="272"/>
    <n v="0"/>
    <n v="1397.54"/>
    <n v="1680.48"/>
    <n v="0"/>
    <s v="eLead - CW Starter - 7500 mins v2"/>
    <n v="424.15"/>
  </r>
  <r>
    <x v="295"/>
    <x v="296"/>
    <x v="277"/>
    <s v="-"/>
    <s v="-"/>
    <x v="4"/>
    <s v="-"/>
    <s v="-"/>
    <s v="-"/>
    <s v="-"/>
    <s v="Secondary Package: Carrier Registration - Monthly"/>
    <n v="10"/>
  </r>
  <r>
    <x v="295"/>
    <x v="296"/>
    <x v="277"/>
    <s v="-"/>
    <s v="-"/>
    <x v="4"/>
    <s v="-"/>
    <s v="-"/>
    <s v="-"/>
    <s v="-"/>
    <s v="Secondary Package: Exception: ELEAD Texting v2"/>
    <n v="211.65"/>
  </r>
  <r>
    <x v="296"/>
    <x v="297"/>
    <x v="278"/>
    <n v="7"/>
    <n v="0"/>
    <x v="273"/>
    <n v="135.19"/>
    <n v="5453.56"/>
    <n v="505.66"/>
    <n v="0"/>
    <s v="Elead CW Starter 4000 v2"/>
    <n v="389.34"/>
  </r>
  <r>
    <x v="297"/>
    <x v="298"/>
    <x v="279"/>
    <n v="10"/>
    <n v="0"/>
    <x v="274"/>
    <n v="0"/>
    <n v="2752.23"/>
    <n v="70.349999999999994"/>
    <n v="0"/>
    <s v="Elead CW Starter 8000 v2"/>
    <n v="424.15"/>
  </r>
  <r>
    <x v="298"/>
    <x v="299"/>
    <x v="280"/>
    <n v="13"/>
    <n v="0"/>
    <x v="275"/>
    <n v="0"/>
    <n v="14.33"/>
    <n v="0"/>
    <n v="0"/>
    <s v="Elead CW Starter 4000 v2"/>
    <n v="254.15"/>
  </r>
  <r>
    <x v="299"/>
    <x v="300"/>
    <x v="281"/>
    <n v="78"/>
    <n v="0"/>
    <x v="276"/>
    <n v="0"/>
    <n v="6161.47"/>
    <n v="21.66"/>
    <n v="3981"/>
    <s v="eLead CW Elite (Sales Service AI) v2"/>
    <n v="2533.85"/>
  </r>
  <r>
    <x v="299"/>
    <x v="300"/>
    <x v="281"/>
    <s v="-"/>
    <s v="-"/>
    <x v="4"/>
    <s v="-"/>
    <s v="-"/>
    <s v="-"/>
    <s v="-"/>
    <s v="Secondary Package: Carrier Registration - Monthly"/>
    <n v="10"/>
  </r>
  <r>
    <x v="300"/>
    <x v="301"/>
    <x v="282"/>
    <n v="73"/>
    <n v="0"/>
    <x v="277"/>
    <n v="0"/>
    <n v="537.5"/>
    <n v="2915.53"/>
    <n v="0"/>
    <s v="Elead CW Starter 4000 v2"/>
    <n v="254.15"/>
  </r>
  <r>
    <x v="300"/>
    <x v="301"/>
    <x v="282"/>
    <s v="-"/>
    <s v="-"/>
    <x v="4"/>
    <s v="-"/>
    <s v="-"/>
    <s v="-"/>
    <s v="-"/>
    <s v="Secondary Package: Carrier Registration - Monthly"/>
    <n v="10"/>
  </r>
  <r>
    <x v="301"/>
    <x v="302"/>
    <x v="283"/>
    <n v="70"/>
    <n v="0"/>
    <x v="278"/>
    <n v="17.899999999999999"/>
    <n v="2615.27"/>
    <n v="1144.19"/>
    <n v="0"/>
    <s v="eLead - CW Starter - 3500 mins v2"/>
    <n v="272.05"/>
  </r>
  <r>
    <x v="301"/>
    <x v="302"/>
    <x v="283"/>
    <s v="-"/>
    <s v="-"/>
    <x v="4"/>
    <s v="-"/>
    <s v="-"/>
    <s v="-"/>
    <s v="-"/>
    <s v="Secondary Package: Carrier Registration - Monthly"/>
    <n v="10"/>
  </r>
  <r>
    <x v="302"/>
    <x v="303"/>
    <x v="284"/>
    <n v="81"/>
    <n v="0"/>
    <x v="279"/>
    <n v="134.82"/>
    <n v="1269.6099999999999"/>
    <n v="4684.2700000000004"/>
    <n v="0"/>
    <s v="Elead CW Starter 4000 v2"/>
    <n v="388.97"/>
  </r>
  <r>
    <x v="302"/>
    <x v="303"/>
    <x v="284"/>
    <s v="-"/>
    <s v="-"/>
    <x v="4"/>
    <s v="-"/>
    <s v="-"/>
    <s v="-"/>
    <s v="-"/>
    <s v="Secondary Package: Carrier Registration - Monthly"/>
    <n v="10"/>
  </r>
  <r>
    <x v="303"/>
    <x v="304"/>
    <x v="285"/>
    <n v="83"/>
    <n v="0"/>
    <x v="280"/>
    <n v="0"/>
    <n v="990.87"/>
    <n v="2109.19"/>
    <n v="0"/>
    <s v="Elead CW Starter 4000 v2"/>
    <n v="254.15"/>
  </r>
  <r>
    <x v="303"/>
    <x v="304"/>
    <x v="285"/>
    <s v="-"/>
    <s v="-"/>
    <x v="4"/>
    <s v="-"/>
    <s v="-"/>
    <s v="-"/>
    <s v="-"/>
    <s v="Secondary Package: Carrier Registration - Monthly"/>
    <n v="10"/>
  </r>
  <r>
    <x v="304"/>
    <x v="305"/>
    <x v="286"/>
    <n v="149"/>
    <n v="0"/>
    <x v="281"/>
    <n v="46.52"/>
    <n v="2527.29"/>
    <n v="2146.9699999999998"/>
    <n v="0"/>
    <s v="Elead CW Starter 4000 v2"/>
    <n v="300.67"/>
  </r>
  <r>
    <x v="304"/>
    <x v="305"/>
    <x v="286"/>
    <s v="-"/>
    <s v="-"/>
    <x v="4"/>
    <s v="-"/>
    <s v="-"/>
    <s v="-"/>
    <s v="-"/>
    <s v="Secondary Package: Carrier Registration - Monthly"/>
    <n v="10"/>
  </r>
  <r>
    <x v="305"/>
    <x v="306"/>
    <x v="287"/>
    <n v="60"/>
    <n v="1"/>
    <x v="282"/>
    <n v="61.47"/>
    <n v="4053.64"/>
    <n v="4337.21"/>
    <n v="0"/>
    <s v="eLead - CW Starter - 7500 mins v2"/>
    <n v="485.62"/>
  </r>
  <r>
    <x v="305"/>
    <x v="306"/>
    <x v="287"/>
    <s v="-"/>
    <s v="-"/>
    <x v="4"/>
    <s v="-"/>
    <s v="-"/>
    <s v="-"/>
    <s v="-"/>
    <s v="Secondary Package: Carrier Registration - Monthly"/>
    <n v="10"/>
  </r>
  <r>
    <x v="306"/>
    <x v="307"/>
    <x v="288"/>
    <n v="32"/>
    <n v="0"/>
    <x v="283"/>
    <n v="0"/>
    <n v="917.84"/>
    <n v="7567.45"/>
    <n v="7274.74"/>
    <s v="Elead CW Unlimited  v2"/>
    <n v="1571.65"/>
  </r>
  <r>
    <x v="306"/>
    <x v="307"/>
    <x v="288"/>
    <s v="-"/>
    <s v="-"/>
    <x v="4"/>
    <s v="-"/>
    <s v="-"/>
    <s v="-"/>
    <s v="-"/>
    <s v="Secondary Package: Carrier Registration - Monthly"/>
    <n v="10"/>
  </r>
  <r>
    <x v="306"/>
    <x v="307"/>
    <x v="288"/>
    <s v="-"/>
    <s v="-"/>
    <x v="4"/>
    <s v="-"/>
    <s v="-"/>
    <s v="-"/>
    <s v="-"/>
    <s v="Secondary Package: eLead - Call Recaps Unlimited v2"/>
    <n v="424.15"/>
  </r>
  <r>
    <x v="307"/>
    <x v="308"/>
    <x v="289"/>
    <n v="17"/>
    <n v="0"/>
    <x v="284"/>
    <n v="0"/>
    <n v="835.61"/>
    <n v="2008.82"/>
    <n v="0"/>
    <s v="Elead CW Starter 4000 v2"/>
    <n v="254.15"/>
  </r>
  <r>
    <x v="308"/>
    <x v="309"/>
    <x v="290"/>
    <n v="39"/>
    <n v="0"/>
    <x v="285"/>
    <n v="478.45"/>
    <n v="3437.87"/>
    <n v="11496.17"/>
    <n v="0"/>
    <s v="Elead CW Starter 8000 v2"/>
    <n v="902.6"/>
  </r>
  <r>
    <x v="308"/>
    <x v="309"/>
    <x v="290"/>
    <s v="-"/>
    <s v="-"/>
    <x v="4"/>
    <s v="-"/>
    <s v="-"/>
    <s v="-"/>
    <s v="-"/>
    <s v="Secondary Package: Carrier Registration - Monthly"/>
    <n v="10"/>
  </r>
  <r>
    <x v="309"/>
    <x v="310"/>
    <x v="291"/>
    <n v="0"/>
    <n v="0"/>
    <x v="8"/>
    <n v="0"/>
    <n v="0"/>
    <n v="0"/>
    <n v="0"/>
    <s v="Elead Launch Phase-0"/>
    <n v="0"/>
  </r>
  <r>
    <x v="310"/>
    <x v="311"/>
    <x v="292"/>
    <n v="70"/>
    <n v="0"/>
    <x v="286"/>
    <n v="0"/>
    <n v="4321.6000000000004"/>
    <n v="5324.72"/>
    <n v="9083.09"/>
    <s v="eLead - Elite Small v2"/>
    <n v="1274.1500000000001"/>
  </r>
  <r>
    <x v="310"/>
    <x v="311"/>
    <x v="292"/>
    <s v="-"/>
    <s v="-"/>
    <x v="4"/>
    <s v="-"/>
    <s v="-"/>
    <s v="-"/>
    <s v="-"/>
    <s v="Secondary Package: Carrier Registration - Monthly"/>
    <n v="10"/>
  </r>
  <r>
    <x v="311"/>
    <x v="312"/>
    <x v="293"/>
    <n v="64"/>
    <n v="0"/>
    <x v="287"/>
    <n v="0"/>
    <n v="101.27"/>
    <n v="0"/>
    <n v="0"/>
    <s v="eLead - CW Starter - 7500 mins v2"/>
    <n v="424.15"/>
  </r>
  <r>
    <x v="312"/>
    <x v="313"/>
    <x v="294"/>
    <n v="20"/>
    <n v="0"/>
    <x v="288"/>
    <n v="0"/>
    <n v="12.96"/>
    <n v="0"/>
    <n v="0"/>
    <s v="eLead - CW Starter - 7500 mins v2"/>
    <n v="424.15"/>
  </r>
  <r>
    <x v="313"/>
    <x v="314"/>
    <x v="295"/>
    <n v="22"/>
    <n v="0"/>
    <x v="289"/>
    <n v="0"/>
    <n v="2.3199999999999998"/>
    <n v="95.32"/>
    <n v="0"/>
    <s v="eLead - CW Starter - 3500 mins v2"/>
    <n v="254.15"/>
  </r>
  <r>
    <x v="313"/>
    <x v="314"/>
    <x v="295"/>
    <s v="-"/>
    <s v="-"/>
    <x v="4"/>
    <s v="-"/>
    <s v="-"/>
    <s v="-"/>
    <s v="-"/>
    <s v="Secondary Package: Carrier Registration - Monthly"/>
    <n v="10"/>
  </r>
  <r>
    <x v="314"/>
    <x v="315"/>
    <x v="296"/>
    <n v="12"/>
    <n v="0"/>
    <x v="290"/>
    <n v="0"/>
    <n v="12.33"/>
    <n v="12.98"/>
    <n v="0"/>
    <s v="eLead - CW Starter - 3500 mins v2"/>
    <n v="254.15"/>
  </r>
  <r>
    <x v="314"/>
    <x v="315"/>
    <x v="296"/>
    <s v="-"/>
    <s v="-"/>
    <x v="4"/>
    <s v="-"/>
    <s v="-"/>
    <s v="-"/>
    <s v="-"/>
    <s v="Secondary Package: Carrier Registration - Monthly"/>
    <n v="10"/>
  </r>
  <r>
    <x v="315"/>
    <x v="316"/>
    <x v="297"/>
    <n v="19"/>
    <n v="0"/>
    <x v="291"/>
    <n v="493.48"/>
    <n v="7574.73"/>
    <n v="3077.21"/>
    <n v="0"/>
    <s v="eLead - CW Starter - 3500 mins v2"/>
    <n v="747.63"/>
  </r>
  <r>
    <x v="315"/>
    <x v="316"/>
    <x v="297"/>
    <s v="-"/>
    <s v="-"/>
    <x v="4"/>
    <s v="-"/>
    <s v="-"/>
    <s v="-"/>
    <s v="-"/>
    <s v="Secondary Package: Carrier Registration - Monthly"/>
    <n v="10"/>
  </r>
  <r>
    <x v="316"/>
    <x v="317"/>
    <x v="298"/>
    <n v="19"/>
    <n v="0"/>
    <x v="292"/>
    <n v="44.24"/>
    <n v="720.52"/>
    <n v="7920.7"/>
    <n v="0"/>
    <s v="Elead CW Starter 8000 v2"/>
    <n v="468.39"/>
  </r>
  <r>
    <x v="316"/>
    <x v="317"/>
    <x v="298"/>
    <s v="-"/>
    <s v="-"/>
    <x v="4"/>
    <s v="-"/>
    <s v="-"/>
    <s v="-"/>
    <s v="-"/>
    <s v="Secondary Package: Carrier Registration - Monthly"/>
    <n v="10"/>
  </r>
  <r>
    <x v="317"/>
    <x v="318"/>
    <x v="299"/>
    <n v="25"/>
    <n v="0"/>
    <x v="293"/>
    <n v="0"/>
    <n v="428.69"/>
    <n v="65.040000000000006"/>
    <n v="483.09"/>
    <s v="eLead - Elite Small"/>
    <n v="1019"/>
  </r>
  <r>
    <x v="317"/>
    <x v="318"/>
    <x v="299"/>
    <s v="-"/>
    <s v="-"/>
    <x v="4"/>
    <s v="-"/>
    <s v="-"/>
    <s v="-"/>
    <s v="-"/>
    <s v="Secondary Package: Carrier Registration - Monthly"/>
    <n v="10"/>
  </r>
  <r>
    <x v="318"/>
    <x v="319"/>
    <x v="300"/>
    <n v="50"/>
    <n v="0"/>
    <x v="294"/>
    <n v="0"/>
    <n v="825.97"/>
    <n v="1063.9000000000001"/>
    <n v="1788.65"/>
    <s v="eLead - Elite Small v2"/>
    <n v="1274.1500000000001"/>
  </r>
  <r>
    <x v="318"/>
    <x v="319"/>
    <x v="300"/>
    <s v="-"/>
    <s v="-"/>
    <x v="4"/>
    <s v="-"/>
    <s v="-"/>
    <s v="-"/>
    <s v="-"/>
    <s v="Secondary Package: Carrier Registration - Monthly"/>
    <n v="10"/>
  </r>
  <r>
    <x v="319"/>
    <x v="320"/>
    <x v="301"/>
    <n v="41"/>
    <n v="0"/>
    <x v="295"/>
    <n v="0"/>
    <n v="2519.1"/>
    <n v="3774.44"/>
    <n v="5921.53"/>
    <s v="eLead - Elite Small v2"/>
    <n v="1274.1500000000001"/>
  </r>
  <r>
    <x v="319"/>
    <x v="320"/>
    <x v="301"/>
    <s v="-"/>
    <s v="-"/>
    <x v="4"/>
    <s v="-"/>
    <s v="-"/>
    <s v="-"/>
    <s v="-"/>
    <s v="Secondary Package: Carrier Registration - Monthly"/>
    <n v="10"/>
  </r>
  <r>
    <x v="320"/>
    <x v="321"/>
    <x v="302"/>
    <n v="39"/>
    <n v="0"/>
    <x v="296"/>
    <n v="0"/>
    <n v="431.86"/>
    <n v="68.010000000000005"/>
    <n v="479.97"/>
    <s v="eLead - Elite Small v2"/>
    <n v="1274.1500000000001"/>
  </r>
  <r>
    <x v="320"/>
    <x v="321"/>
    <x v="302"/>
    <s v="-"/>
    <s v="-"/>
    <x v="4"/>
    <s v="-"/>
    <s v="-"/>
    <s v="-"/>
    <s v="-"/>
    <s v="Secondary Package: Carrier Registration - Monthly"/>
    <n v="10"/>
  </r>
  <r>
    <x v="321"/>
    <x v="322"/>
    <x v="303"/>
    <n v="26"/>
    <n v="0"/>
    <x v="297"/>
    <n v="0"/>
    <n v="864.96"/>
    <n v="1770.63"/>
    <n v="2229.1999999999998"/>
    <s v="eLead - Elite Small"/>
    <n v="1019"/>
  </r>
  <r>
    <x v="321"/>
    <x v="322"/>
    <x v="303"/>
    <s v="-"/>
    <s v="-"/>
    <x v="4"/>
    <s v="-"/>
    <s v="-"/>
    <s v="-"/>
    <s v="-"/>
    <s v="Secondary Package: Carrier Registration - Monthly"/>
    <n v="10"/>
  </r>
  <r>
    <x v="322"/>
    <x v="323"/>
    <x v="304"/>
    <n v="34"/>
    <n v="0"/>
    <x v="298"/>
    <n v="0"/>
    <n v="524.35"/>
    <n v="613.29999999999995"/>
    <n v="1109.33"/>
    <s v="eLead - Elite Small v2"/>
    <n v="1274.1500000000001"/>
  </r>
  <r>
    <x v="322"/>
    <x v="323"/>
    <x v="304"/>
    <s v="-"/>
    <s v="-"/>
    <x v="4"/>
    <s v="-"/>
    <s v="-"/>
    <s v="-"/>
    <s v="-"/>
    <s v="Secondary Package: Carrier Registration - Monthly"/>
    <n v="10"/>
  </r>
  <r>
    <x v="323"/>
    <x v="324"/>
    <x v="305"/>
    <n v="37"/>
    <n v="0"/>
    <x v="299"/>
    <n v="0"/>
    <n v="9599.34"/>
    <n v="8668.02"/>
    <n v="8544.74"/>
    <s v="eLead - CW Premium - Sales 50k v2"/>
    <n v="1571.65"/>
  </r>
  <r>
    <x v="323"/>
    <x v="324"/>
    <x v="305"/>
    <s v="-"/>
    <s v="-"/>
    <x v="4"/>
    <s v="-"/>
    <s v="-"/>
    <s v="-"/>
    <s v="-"/>
    <s v="Secondary Package: Carrier Registration - Monthly"/>
    <n v="10"/>
  </r>
  <r>
    <x v="324"/>
    <x v="325"/>
    <x v="306"/>
    <n v="39"/>
    <n v="0"/>
    <x v="300"/>
    <n v="0"/>
    <n v="6655.97"/>
    <n v="10417.89"/>
    <n v="10871.58"/>
    <s v="eLead - CW Premium - Sales 50k v2"/>
    <n v="1571.65"/>
  </r>
  <r>
    <x v="324"/>
    <x v="325"/>
    <x v="306"/>
    <s v="-"/>
    <s v="-"/>
    <x v="4"/>
    <s v="-"/>
    <s v="-"/>
    <s v="-"/>
    <s v="-"/>
    <s v="Secondary Package: Carrier Registration - Monthly"/>
    <n v="10"/>
  </r>
  <r>
    <x v="325"/>
    <x v="326"/>
    <x v="307"/>
    <n v="38"/>
    <n v="0"/>
    <x v="301"/>
    <n v="0"/>
    <n v="5816.89"/>
    <n v="8846.18"/>
    <n v="8102.59"/>
    <s v="eLead - CW Premium - Sales 50k v2"/>
    <n v="1571.65"/>
  </r>
  <r>
    <x v="325"/>
    <x v="326"/>
    <x v="307"/>
    <s v="-"/>
    <s v="-"/>
    <x v="4"/>
    <s v="-"/>
    <s v="-"/>
    <s v="-"/>
    <s v="-"/>
    <s v="Secondary Package: Carrier Registration - Monthly"/>
    <n v="10"/>
  </r>
  <r>
    <x v="326"/>
    <x v="327"/>
    <x v="308"/>
    <n v="35"/>
    <n v="1"/>
    <x v="302"/>
    <n v="0"/>
    <n v="8850.7199999999993"/>
    <n v="10986.22"/>
    <n v="12476.34"/>
    <s v="eLead - CW Premium - Sales 50k v2"/>
    <n v="1571.65"/>
  </r>
  <r>
    <x v="326"/>
    <x v="327"/>
    <x v="308"/>
    <s v="-"/>
    <s v="-"/>
    <x v="4"/>
    <s v="-"/>
    <s v="-"/>
    <s v="-"/>
    <s v="-"/>
    <s v="Secondary Package: Carrier Registration - Monthly"/>
    <n v="10"/>
  </r>
  <r>
    <x v="327"/>
    <x v="328"/>
    <x v="309"/>
    <n v="78"/>
    <n v="0"/>
    <x v="303"/>
    <n v="0"/>
    <n v="13648.75"/>
    <n v="16055.37"/>
    <n v="17170.03"/>
    <s v="eLead - CW Premium - Sales 50k v2"/>
    <n v="1571.65"/>
  </r>
  <r>
    <x v="327"/>
    <x v="328"/>
    <x v="309"/>
    <s v="-"/>
    <s v="-"/>
    <x v="4"/>
    <s v="-"/>
    <s v="-"/>
    <s v="-"/>
    <s v="-"/>
    <s v="Secondary Package: Long Term Audio Storage"/>
    <n v="20"/>
  </r>
  <r>
    <x v="327"/>
    <x v="328"/>
    <x v="309"/>
    <s v="-"/>
    <s v="-"/>
    <x v="4"/>
    <s v="-"/>
    <s v="-"/>
    <s v="-"/>
    <s v="-"/>
    <s v="Secondary Package: Carrier Registration - Monthly"/>
    <n v="10"/>
  </r>
  <r>
    <x v="328"/>
    <x v="329"/>
    <x v="310"/>
    <n v="36"/>
    <n v="1"/>
    <x v="304"/>
    <n v="0"/>
    <n v="4834.47"/>
    <n v="6004.28"/>
    <n v="6271.31"/>
    <s v="eLead - CW Premium - Sales 50k v2"/>
    <n v="1571.65"/>
  </r>
  <r>
    <x v="328"/>
    <x v="329"/>
    <x v="310"/>
    <s v="-"/>
    <s v="-"/>
    <x v="4"/>
    <s v="-"/>
    <s v="-"/>
    <s v="-"/>
    <s v="-"/>
    <s v="Secondary Package: Carrier Registration - Monthly"/>
    <n v="10"/>
  </r>
  <r>
    <x v="329"/>
    <x v="330"/>
    <x v="311"/>
    <n v="36"/>
    <n v="0"/>
    <x v="305"/>
    <n v="0"/>
    <n v="13181.12"/>
    <n v="14242.91"/>
    <n v="15361.92"/>
    <s v="eLead - CW Premium - Sales 50k v2"/>
    <n v="1571.65"/>
  </r>
  <r>
    <x v="329"/>
    <x v="330"/>
    <x v="311"/>
    <s v="-"/>
    <s v="-"/>
    <x v="4"/>
    <s v="-"/>
    <s v="-"/>
    <s v="-"/>
    <s v="-"/>
    <s v="Secondary Package: Carrier Registration - Monthly"/>
    <n v="10"/>
  </r>
  <r>
    <x v="330"/>
    <x v="331"/>
    <x v="312"/>
    <n v="34"/>
    <n v="0"/>
    <x v="306"/>
    <n v="0"/>
    <n v="4175.0200000000004"/>
    <n v="4329.54"/>
    <n v="4599.88"/>
    <s v="eLead - CW Premium - Sales 50k v2"/>
    <n v="1571.65"/>
  </r>
  <r>
    <x v="330"/>
    <x v="331"/>
    <x v="312"/>
    <s v="-"/>
    <s v="-"/>
    <x v="4"/>
    <s v="-"/>
    <s v="-"/>
    <s v="-"/>
    <s v="-"/>
    <s v="Secondary Package: Carrier Registration - Monthly"/>
    <n v="10"/>
  </r>
  <r>
    <x v="331"/>
    <x v="332"/>
    <x v="313"/>
    <n v="7"/>
    <n v="0"/>
    <x v="307"/>
    <n v="0"/>
    <n v="4565.09"/>
    <n v="8193.6299999999992"/>
    <n v="6999.43"/>
    <s v="eLead - CW Premium - Sales 50k v2"/>
    <n v="1571.65"/>
  </r>
  <r>
    <x v="331"/>
    <x v="332"/>
    <x v="313"/>
    <s v="-"/>
    <s v="-"/>
    <x v="4"/>
    <s v="-"/>
    <s v="-"/>
    <s v="-"/>
    <s v="-"/>
    <s v="Secondary Package: Carrier Registration - Monthly"/>
    <n v="10"/>
  </r>
  <r>
    <x v="331"/>
    <x v="332"/>
    <x v="313"/>
    <s v="-"/>
    <s v="-"/>
    <x v="4"/>
    <s v="-"/>
    <s v="-"/>
    <s v="-"/>
    <s v="-"/>
    <s v="Secondary Package: Reseller - Voice Recongnition v2"/>
    <n v="424"/>
  </r>
  <r>
    <x v="332"/>
    <x v="333"/>
    <x v="314"/>
    <n v="18"/>
    <n v="0"/>
    <x v="308"/>
    <n v="0"/>
    <n v="6080.7"/>
    <n v="11039.97"/>
    <n v="9717.01"/>
    <s v="eLead - CW Premium - Sales 50k v2"/>
    <n v="1571.65"/>
  </r>
  <r>
    <x v="332"/>
    <x v="333"/>
    <x v="314"/>
    <s v="-"/>
    <s v="-"/>
    <x v="4"/>
    <s v="-"/>
    <s v="-"/>
    <s v="-"/>
    <s v="-"/>
    <s v="Secondary Package: Carrier Registration - Monthly"/>
    <n v="10"/>
  </r>
  <r>
    <x v="333"/>
    <x v="334"/>
    <x v="315"/>
    <n v="16"/>
    <n v="1"/>
    <x v="309"/>
    <n v="0"/>
    <n v="5340.62"/>
    <n v="10219.76"/>
    <n v="9583.7199999999993"/>
    <s v="eLead - CW Premium - Sales 50k v2"/>
    <n v="1571.65"/>
  </r>
  <r>
    <x v="333"/>
    <x v="334"/>
    <x v="315"/>
    <s v="-"/>
    <s v="-"/>
    <x v="4"/>
    <s v="-"/>
    <s v="-"/>
    <s v="-"/>
    <s v="-"/>
    <s v="Secondary Package: Carrier Registration - Monthly"/>
    <n v="10"/>
  </r>
  <r>
    <x v="334"/>
    <x v="335"/>
    <x v="316"/>
    <n v="38"/>
    <n v="0"/>
    <x v="310"/>
    <n v="0"/>
    <n v="7192.12"/>
    <n v="10157.07"/>
    <n v="9498.2000000000007"/>
    <s v="eLead - CW Premium - Sales 50k v2"/>
    <n v="1571.65"/>
  </r>
  <r>
    <x v="334"/>
    <x v="335"/>
    <x v="316"/>
    <s v="-"/>
    <s v="-"/>
    <x v="4"/>
    <s v="-"/>
    <s v="-"/>
    <s v="-"/>
    <s v="-"/>
    <s v="Secondary Package: Carrier Registration - Monthly"/>
    <n v="10"/>
  </r>
  <r>
    <x v="335"/>
    <x v="336"/>
    <x v="317"/>
    <n v="37"/>
    <n v="0"/>
    <x v="311"/>
    <n v="0"/>
    <n v="7431.46"/>
    <n v="3438.82"/>
    <n v="3863.9"/>
    <s v="eLead - CW Premium - Sales 50k v2"/>
    <n v="1571.65"/>
  </r>
  <r>
    <x v="335"/>
    <x v="336"/>
    <x v="317"/>
    <s v="-"/>
    <s v="-"/>
    <x v="4"/>
    <s v="-"/>
    <s v="-"/>
    <s v="-"/>
    <s v="-"/>
    <s v="Secondary Package: Carrier Registration - Monthly"/>
    <n v="10"/>
  </r>
  <r>
    <x v="336"/>
    <x v="337"/>
    <x v="318"/>
    <n v="36"/>
    <n v="0"/>
    <x v="312"/>
    <n v="0"/>
    <n v="4493.79"/>
    <n v="5829.17"/>
    <n v="5615.83"/>
    <s v="eLead - CW Premium - Sales 50k v2"/>
    <n v="1571.65"/>
  </r>
  <r>
    <x v="336"/>
    <x v="337"/>
    <x v="318"/>
    <s v="-"/>
    <s v="-"/>
    <x v="4"/>
    <s v="-"/>
    <s v="-"/>
    <s v="-"/>
    <s v="-"/>
    <s v="Secondary Package: Carrier Registration - Monthly"/>
    <n v="10"/>
  </r>
  <r>
    <x v="337"/>
    <x v="338"/>
    <x v="319"/>
    <n v="7"/>
    <n v="0"/>
    <x v="313"/>
    <n v="0"/>
    <n v="7414.64"/>
    <n v="10956.58"/>
    <n v="10962.65"/>
    <s v="eLead - CW Premium - Sales 50k v2"/>
    <n v="1571.65"/>
  </r>
  <r>
    <x v="337"/>
    <x v="338"/>
    <x v="319"/>
    <s v="-"/>
    <s v="-"/>
    <x v="4"/>
    <s v="-"/>
    <s v="-"/>
    <s v="-"/>
    <s v="-"/>
    <s v="Secondary Package: Carrier Registration - Monthly"/>
    <n v="10"/>
  </r>
  <r>
    <x v="338"/>
    <x v="339"/>
    <x v="320"/>
    <n v="39"/>
    <n v="0"/>
    <x v="314"/>
    <n v="0"/>
    <n v="14550.14"/>
    <n v="11714.19"/>
    <n v="11481.38"/>
    <s v="eLead - CW Premium - Sales 50k v2"/>
    <n v="1571.65"/>
  </r>
  <r>
    <x v="338"/>
    <x v="339"/>
    <x v="320"/>
    <s v="-"/>
    <s v="-"/>
    <x v="4"/>
    <s v="-"/>
    <s v="-"/>
    <s v="-"/>
    <s v="-"/>
    <s v="Secondary Package: Carrier Registration - Monthly"/>
    <n v="10"/>
  </r>
  <r>
    <x v="339"/>
    <x v="340"/>
    <x v="321"/>
    <n v="32"/>
    <n v="0"/>
    <x v="315"/>
    <n v="0"/>
    <n v="7391.22"/>
    <n v="7303.01"/>
    <n v="8228.34"/>
    <s v="eLead - CW Premium - Sales 50k v2"/>
    <n v="1571.65"/>
  </r>
  <r>
    <x v="339"/>
    <x v="340"/>
    <x v="321"/>
    <s v="-"/>
    <s v="-"/>
    <x v="4"/>
    <s v="-"/>
    <s v="-"/>
    <s v="-"/>
    <s v="-"/>
    <s v="Secondary Package: Carrier Registration - Monthly"/>
    <n v="10"/>
  </r>
  <r>
    <x v="340"/>
    <x v="341"/>
    <x v="322"/>
    <n v="34"/>
    <n v="0"/>
    <x v="316"/>
    <n v="0"/>
    <n v="6859.53"/>
    <n v="3535.83"/>
    <n v="5071.26"/>
    <s v="eLead - CW Premium - Sales 50k v2"/>
    <n v="1571.65"/>
  </r>
  <r>
    <x v="340"/>
    <x v="341"/>
    <x v="322"/>
    <s v="-"/>
    <s v="-"/>
    <x v="4"/>
    <s v="-"/>
    <s v="-"/>
    <s v="-"/>
    <s v="-"/>
    <s v="Secondary Package: Long Term Audio Storage"/>
    <n v="20"/>
  </r>
  <r>
    <x v="340"/>
    <x v="341"/>
    <x v="322"/>
    <s v="-"/>
    <s v="-"/>
    <x v="4"/>
    <s v="-"/>
    <s v="-"/>
    <s v="-"/>
    <s v="-"/>
    <s v="Secondary Package: Carrier Registration - Monthly"/>
    <n v="10"/>
  </r>
  <r>
    <x v="341"/>
    <x v="342"/>
    <x v="323"/>
    <n v="34"/>
    <n v="0"/>
    <x v="317"/>
    <n v="0"/>
    <n v="5330.73"/>
    <n v="4392.9399999999996"/>
    <n v="5488.31"/>
    <s v="eLead - CW Premium - Sales 50k v2"/>
    <n v="1571.65"/>
  </r>
  <r>
    <x v="341"/>
    <x v="342"/>
    <x v="323"/>
    <s v="-"/>
    <s v="-"/>
    <x v="4"/>
    <s v="-"/>
    <s v="-"/>
    <s v="-"/>
    <s v="-"/>
    <s v="Secondary Package: Long Term Audio Storage"/>
    <n v="20"/>
  </r>
  <r>
    <x v="341"/>
    <x v="342"/>
    <x v="323"/>
    <s v="-"/>
    <s v="-"/>
    <x v="4"/>
    <s v="-"/>
    <s v="-"/>
    <s v="-"/>
    <s v="-"/>
    <s v="Secondary Package: Carrier Registration - Monthly"/>
    <n v="10"/>
  </r>
  <r>
    <x v="342"/>
    <x v="343"/>
    <x v="324"/>
    <n v="37"/>
    <n v="0"/>
    <x v="318"/>
    <n v="0"/>
    <n v="5709.85"/>
    <n v="2905.04"/>
    <n v="3704.89"/>
    <s v="eLead - CW Premium - Sales 50k v2"/>
    <n v="1571.65"/>
  </r>
  <r>
    <x v="342"/>
    <x v="343"/>
    <x v="324"/>
    <s v="-"/>
    <s v="-"/>
    <x v="4"/>
    <s v="-"/>
    <s v="-"/>
    <s v="-"/>
    <s v="-"/>
    <s v="Secondary Package: Long Term Audio Storage"/>
    <n v="20"/>
  </r>
  <r>
    <x v="342"/>
    <x v="343"/>
    <x v="324"/>
    <s v="-"/>
    <s v="-"/>
    <x v="4"/>
    <s v="-"/>
    <s v="-"/>
    <s v="-"/>
    <s v="-"/>
    <s v="Secondary Package: Carrier Registration - Monthly"/>
    <n v="10"/>
  </r>
  <r>
    <x v="343"/>
    <x v="344"/>
    <x v="325"/>
    <n v="79"/>
    <n v="0"/>
    <x v="319"/>
    <n v="0"/>
    <n v="6239.13"/>
    <n v="9438.77"/>
    <n v="9683.35"/>
    <s v="eLead - CW Premium - Sales 50k v2"/>
    <n v="1571.65"/>
  </r>
  <r>
    <x v="343"/>
    <x v="344"/>
    <x v="325"/>
    <s v="-"/>
    <s v="-"/>
    <x v="4"/>
    <s v="-"/>
    <s v="-"/>
    <s v="-"/>
    <s v="-"/>
    <s v="Secondary Package: Carrier Registration - Monthly"/>
    <n v="10"/>
  </r>
  <r>
    <x v="344"/>
    <x v="345"/>
    <x v="326"/>
    <n v="36"/>
    <n v="0"/>
    <x v="320"/>
    <n v="0"/>
    <n v="4096.67"/>
    <n v="4011.79"/>
    <n v="4431.8"/>
    <s v="eLead - CW Premium - Sales 50k v2"/>
    <n v="1571.65"/>
  </r>
  <r>
    <x v="344"/>
    <x v="345"/>
    <x v="326"/>
    <s v="-"/>
    <s v="-"/>
    <x v="4"/>
    <s v="-"/>
    <s v="-"/>
    <s v="-"/>
    <s v="-"/>
    <s v="Secondary Package: Carrier Registration - Monthly"/>
    <n v="10"/>
  </r>
  <r>
    <x v="345"/>
    <x v="346"/>
    <x v="327"/>
    <n v="59"/>
    <n v="0"/>
    <x v="321"/>
    <n v="0"/>
    <n v="4736.07"/>
    <n v="5042.3"/>
    <n v="4951.59"/>
    <s v="eLead - CW Premium - Sales 50k v2"/>
    <n v="1571.65"/>
  </r>
  <r>
    <x v="345"/>
    <x v="346"/>
    <x v="327"/>
    <s v="-"/>
    <s v="-"/>
    <x v="4"/>
    <s v="-"/>
    <s v="-"/>
    <s v="-"/>
    <s v="-"/>
    <s v="Secondary Package: Carrier Registration - Monthly"/>
    <n v="10"/>
  </r>
  <r>
    <x v="346"/>
    <x v="347"/>
    <x v="328"/>
    <n v="177"/>
    <n v="0"/>
    <x v="322"/>
    <n v="92.08"/>
    <n v="7705.05"/>
    <n v="5973.9"/>
    <n v="6671.06"/>
    <s v="eLead - Elite Small v2"/>
    <n v="1366.23"/>
  </r>
  <r>
    <x v="346"/>
    <x v="347"/>
    <x v="328"/>
    <s v="-"/>
    <s v="-"/>
    <x v="4"/>
    <s v="-"/>
    <s v="-"/>
    <s v="-"/>
    <s v="-"/>
    <s v="Secondary Package: Carrier Registration - Monthly"/>
    <n v="10"/>
  </r>
  <r>
    <x v="347"/>
    <x v="348"/>
    <x v="329"/>
    <n v="10"/>
    <n v="0"/>
    <x v="323"/>
    <n v="0"/>
    <n v="339.28"/>
    <n v="96.3"/>
    <n v="0"/>
    <s v="eLead - CW Starter - 3500 mins v2"/>
    <n v="254.15"/>
  </r>
  <r>
    <x v="347"/>
    <x v="348"/>
    <x v="329"/>
    <s v="-"/>
    <s v="-"/>
    <x v="4"/>
    <s v="-"/>
    <s v="-"/>
    <s v="-"/>
    <s v="-"/>
    <s v="Secondary Package: Carrier Registration - Monthly"/>
    <n v="10"/>
  </r>
  <r>
    <x v="348"/>
    <x v="349"/>
    <x v="330"/>
    <n v="16"/>
    <n v="0"/>
    <x v="324"/>
    <n v="0"/>
    <n v="596.96"/>
    <n v="28"/>
    <n v="0"/>
    <s v="eLead - CW Starter - 7500 mins v2"/>
    <n v="424.15"/>
  </r>
  <r>
    <x v="348"/>
    <x v="349"/>
    <x v="330"/>
    <s v="-"/>
    <s v="-"/>
    <x v="4"/>
    <s v="-"/>
    <s v="-"/>
    <s v="-"/>
    <s v="-"/>
    <s v="Secondary Package: Carrier Registration - Monthly"/>
    <n v="10"/>
  </r>
  <r>
    <x v="349"/>
    <x v="350"/>
    <x v="331"/>
    <n v="19"/>
    <n v="0"/>
    <x v="325"/>
    <n v="0"/>
    <n v="568.34"/>
    <n v="2612.83"/>
    <n v="0"/>
    <s v="eLead - CW Starter - 7500 mins v2"/>
    <n v="424.15"/>
  </r>
  <r>
    <x v="349"/>
    <x v="350"/>
    <x v="331"/>
    <s v="-"/>
    <s v="-"/>
    <x v="4"/>
    <s v="-"/>
    <s v="-"/>
    <s v="-"/>
    <s v="-"/>
    <s v="Secondary Package: Carrier Registration - Monthly"/>
    <n v="10"/>
  </r>
  <r>
    <x v="350"/>
    <x v="351"/>
    <x v="332"/>
    <n v="31"/>
    <n v="0"/>
    <x v="326"/>
    <n v="0"/>
    <n v="0.66"/>
    <n v="8.33"/>
    <n v="0"/>
    <s v="eLead - CW Starter - 3500 mins v2"/>
    <n v="254.15"/>
  </r>
  <r>
    <x v="351"/>
    <x v="352"/>
    <x v="333"/>
    <n v="8"/>
    <n v="0"/>
    <x v="8"/>
    <n v="0"/>
    <n v="0"/>
    <n v="0"/>
    <n v="0"/>
    <s v="eLead - CW Starter - 3500 mins v2"/>
    <n v="254.15"/>
  </r>
  <r>
    <x v="352"/>
    <x v="353"/>
    <x v="334"/>
    <n v="12"/>
    <n v="0"/>
    <x v="327"/>
    <n v="0"/>
    <n v="11.34"/>
    <n v="0"/>
    <n v="6.35"/>
    <s v="Elead Launch Phase-0"/>
    <n v="0"/>
  </r>
  <r>
    <x v="353"/>
    <x v="354"/>
    <x v="335"/>
    <n v="11"/>
    <n v="0"/>
    <x v="328"/>
    <n v="0"/>
    <n v="10.98"/>
    <n v="0"/>
    <n v="0"/>
    <s v="Elead CW Starter 4000 v2"/>
    <n v="254.15"/>
  </r>
  <r>
    <x v="354"/>
    <x v="355"/>
    <x v="336"/>
    <n v="57"/>
    <n v="0"/>
    <x v="329"/>
    <n v="0"/>
    <n v="10174.290000000001"/>
    <n v="424.95"/>
    <n v="1655.01"/>
    <s v="eLead - CW Premium - Sales 50k v2"/>
    <n v="1571.65"/>
  </r>
  <r>
    <x v="354"/>
    <x v="355"/>
    <x v="336"/>
    <s v="-"/>
    <s v="-"/>
    <x v="4"/>
    <s v="-"/>
    <s v="-"/>
    <s v="-"/>
    <s v="-"/>
    <s v="Secondary Package: Carrier Registration - Monthly"/>
    <n v="10"/>
  </r>
  <r>
    <x v="355"/>
    <x v="356"/>
    <x v="337"/>
    <n v="18"/>
    <n v="0"/>
    <x v="330"/>
    <n v="0"/>
    <n v="576.41"/>
    <n v="0"/>
    <n v="0"/>
    <s v="eLead - CW Starter - 3500 mins v2"/>
    <n v="254.15"/>
  </r>
  <r>
    <x v="355"/>
    <x v="356"/>
    <x v="337"/>
    <s v="-"/>
    <s v="-"/>
    <x v="4"/>
    <s v="-"/>
    <s v="-"/>
    <s v="-"/>
    <s v="-"/>
    <s v="Secondary Package: Carrier Registration - Monthly"/>
    <n v="10"/>
  </r>
  <r>
    <x v="356"/>
    <x v="357"/>
    <x v="338"/>
    <n v="14"/>
    <n v="0"/>
    <x v="331"/>
    <n v="0"/>
    <n v="1160.93"/>
    <n v="1549.38"/>
    <n v="0"/>
    <s v="eLead - CW Starter - 3500 mins v2"/>
    <n v="254.15"/>
  </r>
  <r>
    <x v="356"/>
    <x v="357"/>
    <x v="338"/>
    <s v="-"/>
    <s v="-"/>
    <x v="4"/>
    <s v="-"/>
    <s v="-"/>
    <s v="-"/>
    <s v="-"/>
    <s v="Secondary Package: Carrier Registration - Monthly"/>
    <n v="10"/>
  </r>
  <r>
    <x v="357"/>
    <x v="358"/>
    <x v="339"/>
    <n v="19"/>
    <n v="0"/>
    <x v="332"/>
    <n v="0"/>
    <n v="722.91"/>
    <n v="1714.29"/>
    <n v="0"/>
    <s v="eLead - CW Starter - 7500 mins v2"/>
    <n v="424.15"/>
  </r>
  <r>
    <x v="358"/>
    <x v="359"/>
    <x v="340"/>
    <n v="10"/>
    <n v="0"/>
    <x v="333"/>
    <n v="0"/>
    <n v="131.36000000000001"/>
    <n v="1285.97"/>
    <n v="0"/>
    <s v="eLead - CW Starter - 5000 mins"/>
    <n v="419"/>
  </r>
  <r>
    <x v="358"/>
    <x v="359"/>
    <x v="340"/>
    <s v="-"/>
    <s v="-"/>
    <x v="4"/>
    <s v="-"/>
    <s v="-"/>
    <s v="-"/>
    <s v="-"/>
    <s v="Secondary Package: Carrier Registration - Monthly"/>
    <n v="10"/>
  </r>
  <r>
    <x v="359"/>
    <x v="360"/>
    <x v="341"/>
    <n v="97"/>
    <n v="0"/>
    <x v="334"/>
    <n v="0"/>
    <n v="43840.15"/>
    <n v="24113.53"/>
    <n v="53844.67"/>
    <s v="eLead - CW Elite"/>
    <n v="3427"/>
  </r>
  <r>
    <x v="359"/>
    <x v="360"/>
    <x v="341"/>
    <s v="-"/>
    <s v="-"/>
    <x v="4"/>
    <s v="-"/>
    <s v="-"/>
    <s v="-"/>
    <s v="-"/>
    <s v="Secondary Package: Carrier Registration - Monthly"/>
    <n v="10"/>
  </r>
  <r>
    <x v="360"/>
    <x v="361"/>
    <x v="342"/>
    <n v="12"/>
    <n v="0"/>
    <x v="335"/>
    <n v="157.80000000000001"/>
    <n v="4686.7299999999996"/>
    <n v="4139.3500000000004"/>
    <n v="6787.54"/>
    <s v="eLead - CW Elite Small + Service Small"/>
    <n v="1275.8"/>
  </r>
  <r>
    <x v="360"/>
    <x v="361"/>
    <x v="342"/>
    <s v="-"/>
    <s v="-"/>
    <x v="4"/>
    <s v="-"/>
    <s v="-"/>
    <s v="-"/>
    <s v="-"/>
    <s v="Secondary Package: Carrier Registration - Monthly"/>
    <n v="10"/>
  </r>
  <r>
    <x v="361"/>
    <x v="362"/>
    <x v="343"/>
    <n v="26"/>
    <n v="0"/>
    <x v="336"/>
    <n v="0"/>
    <n v="2899.76"/>
    <n v="2432.6799999999998"/>
    <n v="4165.1099999999997"/>
    <s v="eLead - CW Elite Small + Service Small"/>
    <n v="1118"/>
  </r>
  <r>
    <x v="361"/>
    <x v="362"/>
    <x v="343"/>
    <s v="-"/>
    <s v="-"/>
    <x v="4"/>
    <s v="-"/>
    <s v="-"/>
    <s v="-"/>
    <s v="-"/>
    <s v="Secondary Package: Carrier Registration - Monthly"/>
    <n v="10"/>
  </r>
  <r>
    <x v="362"/>
    <x v="363"/>
    <x v="344"/>
    <n v="14"/>
    <n v="0"/>
    <x v="337"/>
    <n v="0"/>
    <n v="3.67"/>
    <n v="25.7"/>
    <n v="0"/>
    <s v="eLead - CW Starter - 7500 mins v2"/>
    <n v="424.15"/>
  </r>
  <r>
    <x v="362"/>
    <x v="363"/>
    <x v="344"/>
    <s v="-"/>
    <s v="-"/>
    <x v="4"/>
    <s v="-"/>
    <s v="-"/>
    <s v="-"/>
    <s v="-"/>
    <s v="Secondary Package: Carrier Registration - Monthly"/>
    <n v="10"/>
  </r>
  <r>
    <x v="363"/>
    <x v="364"/>
    <x v="345"/>
    <n v="9"/>
    <n v="0"/>
    <x v="338"/>
    <n v="0"/>
    <n v="369.99"/>
    <n v="1.98"/>
    <n v="0"/>
    <s v="Elead CW Starter 4000 v2"/>
    <n v="254.15"/>
  </r>
  <r>
    <x v="364"/>
    <x v="365"/>
    <x v="346"/>
    <n v="48"/>
    <n v="0"/>
    <x v="339"/>
    <n v="0"/>
    <n v="133.65"/>
    <n v="89.69"/>
    <n v="210.04"/>
    <s v="eLead - Elite Small"/>
    <n v="1019"/>
  </r>
  <r>
    <x v="365"/>
    <x v="366"/>
    <x v="347"/>
    <n v="19"/>
    <n v="0"/>
    <x v="340"/>
    <n v="0"/>
    <n v="1062.5"/>
    <n v="521.54999999999995"/>
    <n v="0"/>
    <s v="eLead - CW Starter - 7500 mins v2"/>
    <n v="424.15"/>
  </r>
  <r>
    <x v="365"/>
    <x v="366"/>
    <x v="347"/>
    <s v="-"/>
    <s v="-"/>
    <x v="4"/>
    <s v="-"/>
    <s v="-"/>
    <s v="-"/>
    <s v="-"/>
    <s v="Secondary Package: Carrier Registration - Monthly"/>
    <n v="10"/>
  </r>
  <r>
    <x v="366"/>
    <x v="367"/>
    <x v="346"/>
    <n v="17"/>
    <n v="0"/>
    <x v="341"/>
    <n v="80.97"/>
    <n v="5995.12"/>
    <n v="3178.4"/>
    <n v="0"/>
    <s v="Elead CW Starter 8000 v2"/>
    <n v="505.12"/>
  </r>
  <r>
    <x v="366"/>
    <x v="367"/>
    <x v="346"/>
    <s v="-"/>
    <s v="-"/>
    <x v="4"/>
    <s v="-"/>
    <s v="-"/>
    <s v="-"/>
    <s v="-"/>
    <s v="Secondary Package: Long Term Audio Storage - $10"/>
    <n v="10"/>
  </r>
  <r>
    <x v="366"/>
    <x v="367"/>
    <x v="346"/>
    <s v="-"/>
    <s v="-"/>
    <x v="4"/>
    <s v="-"/>
    <s v="-"/>
    <s v="-"/>
    <s v="-"/>
    <s v="Secondary Package: Carrier Registration - Monthly"/>
    <n v="10"/>
  </r>
  <r>
    <x v="367"/>
    <x v="368"/>
    <x v="346"/>
    <n v="30"/>
    <n v="0"/>
    <x v="342"/>
    <n v="0"/>
    <n v="17.260000000000002"/>
    <n v="605.95000000000005"/>
    <n v="615.23"/>
    <s v="eLead - Elite Small"/>
    <n v="1019"/>
  </r>
  <r>
    <x v="367"/>
    <x v="368"/>
    <x v="346"/>
    <s v="-"/>
    <s v="-"/>
    <x v="4"/>
    <s v="-"/>
    <s v="-"/>
    <s v="-"/>
    <s v="-"/>
    <s v="Secondary Package: Carrier Registration - Monthly"/>
    <n v="10"/>
  </r>
  <r>
    <x v="368"/>
    <x v="369"/>
    <x v="346"/>
    <n v="15"/>
    <n v="0"/>
    <x v="343"/>
    <n v="0"/>
    <n v="5.67"/>
    <n v="1034.55"/>
    <n v="0"/>
    <s v="Elead CW Starter 8000 v2"/>
    <n v="424.15"/>
  </r>
  <r>
    <x v="368"/>
    <x v="369"/>
    <x v="346"/>
    <s v="-"/>
    <s v="-"/>
    <x v="4"/>
    <s v="-"/>
    <s v="-"/>
    <s v="-"/>
    <s v="-"/>
    <s v="Secondary Package: Carrier Registration - Monthly"/>
    <n v="10"/>
  </r>
  <r>
    <x v="369"/>
    <x v="370"/>
    <x v="348"/>
    <n v="25"/>
    <n v="0"/>
    <x v="344"/>
    <n v="0"/>
    <n v="322.27"/>
    <n v="602.6"/>
    <n v="909.9"/>
    <s v="eLead - CW Leisure Small (Sales Only) "/>
    <n v="489"/>
  </r>
  <r>
    <x v="369"/>
    <x v="370"/>
    <x v="348"/>
    <s v="-"/>
    <s v="-"/>
    <x v="4"/>
    <s v="-"/>
    <s v="-"/>
    <s v="-"/>
    <s v="-"/>
    <s v="Secondary Package: Carrier Registration - Monthly"/>
    <n v="10"/>
  </r>
  <r>
    <x v="370"/>
    <x v="371"/>
    <x v="349"/>
    <n v="17"/>
    <n v="0"/>
    <x v="345"/>
    <n v="0"/>
    <n v="24.99"/>
    <n v="338.03"/>
    <n v="0"/>
    <s v="Elead CW Starter 4000 v2"/>
    <n v="254.15"/>
  </r>
  <r>
    <x v="371"/>
    <x v="372"/>
    <x v="346"/>
    <n v="23"/>
    <n v="0"/>
    <x v="346"/>
    <n v="0"/>
    <n v="169.68"/>
    <n v="1859.64"/>
    <n v="1947.61"/>
    <s v="eLead - Elite Small"/>
    <n v="1019"/>
  </r>
  <r>
    <x v="372"/>
    <x v="373"/>
    <x v="350"/>
    <n v="17"/>
    <n v="0"/>
    <x v="347"/>
    <n v="0"/>
    <n v="1.33"/>
    <n v="243.02"/>
    <n v="0"/>
    <s v="Elead CW Starter 4000 v2"/>
    <n v="254.15"/>
  </r>
  <r>
    <x v="373"/>
    <x v="374"/>
    <x v="346"/>
    <n v="18"/>
    <n v="0"/>
    <x v="348"/>
    <n v="0"/>
    <n v="4.66"/>
    <n v="1331.73"/>
    <n v="1292.1199999999999"/>
    <s v="eLead - Elite Small"/>
    <n v="1019"/>
  </r>
  <r>
    <x v="373"/>
    <x v="374"/>
    <x v="346"/>
    <s v="-"/>
    <s v="-"/>
    <x v="4"/>
    <s v="-"/>
    <s v="-"/>
    <s v="-"/>
    <s v="-"/>
    <s v="Secondary Package: Carrier Registration - Monthly"/>
    <n v="10"/>
  </r>
  <r>
    <x v="374"/>
    <x v="375"/>
    <x v="346"/>
    <n v="21"/>
    <n v="0"/>
    <x v="349"/>
    <n v="0"/>
    <n v="0.67"/>
    <n v="157.35"/>
    <n v="156.69"/>
    <s v="eLead - Elite Small"/>
    <n v="1019"/>
  </r>
  <r>
    <x v="375"/>
    <x v="376"/>
    <x v="346"/>
    <n v="13"/>
    <n v="0"/>
    <x v="350"/>
    <n v="0"/>
    <n v="1117.04"/>
    <n v="643.67999999999995"/>
    <n v="0"/>
    <s v="Elead CW Starter 8000 v2"/>
    <n v="424.15"/>
  </r>
  <r>
    <x v="375"/>
    <x v="376"/>
    <x v="346"/>
    <s v="-"/>
    <s v="-"/>
    <x v="4"/>
    <s v="-"/>
    <s v="-"/>
    <s v="-"/>
    <s v="-"/>
    <s v="Secondary Package: Carrier Registration - Monthly"/>
    <n v="10"/>
  </r>
  <r>
    <x v="376"/>
    <x v="377"/>
    <x v="351"/>
    <n v="17"/>
    <n v="0"/>
    <x v="351"/>
    <n v="0"/>
    <n v="0.67"/>
    <n v="325.95999999999998"/>
    <n v="0"/>
    <s v="Elead CW Starter 4000 v2"/>
    <n v="254.15"/>
  </r>
  <r>
    <x v="377"/>
    <x v="378"/>
    <x v="346"/>
    <n v="57"/>
    <n v="0"/>
    <x v="352"/>
    <n v="0"/>
    <n v="9.65"/>
    <n v="71"/>
    <n v="72"/>
    <s v="eLead - Elite Small"/>
    <n v="1019"/>
  </r>
  <r>
    <x v="378"/>
    <x v="379"/>
    <x v="352"/>
    <n v="19"/>
    <n v="0"/>
    <x v="353"/>
    <n v="0"/>
    <n v="491"/>
    <n v="27.33"/>
    <n v="0"/>
    <s v="eLead - CW Starter - 3500 mins v2"/>
    <n v="254.15"/>
  </r>
  <r>
    <x v="378"/>
    <x v="379"/>
    <x v="352"/>
    <s v="-"/>
    <s v="-"/>
    <x v="4"/>
    <s v="-"/>
    <s v="-"/>
    <s v="-"/>
    <s v="-"/>
    <s v="Secondary Package: Carrier Registration - Monthly"/>
    <n v="10"/>
  </r>
  <r>
    <x v="379"/>
    <x v="380"/>
    <x v="353"/>
    <n v="13"/>
    <n v="0"/>
    <x v="354"/>
    <n v="0"/>
    <n v="10.97"/>
    <n v="0.66"/>
    <n v="0"/>
    <s v="Elead CW Starter 4000 v2"/>
    <n v="254.15"/>
  </r>
  <r>
    <x v="380"/>
    <x v="381"/>
    <x v="354"/>
    <n v="11"/>
    <n v="0"/>
    <x v="355"/>
    <n v="0"/>
    <n v="26.67"/>
    <n v="0"/>
    <n v="0"/>
    <s v="Elead CW Starter 4000 v2"/>
    <n v="254.15"/>
  </r>
  <r>
    <x v="381"/>
    <x v="382"/>
    <x v="355"/>
    <n v="13"/>
    <n v="0"/>
    <x v="356"/>
    <n v="0"/>
    <n v="86.68"/>
    <n v="0"/>
    <n v="0"/>
    <s v="Elead CW Starter 4000 v2"/>
    <n v="254.15"/>
  </r>
  <r>
    <x v="382"/>
    <x v="383"/>
    <x v="0"/>
    <m/>
    <m/>
    <x v="357"/>
    <n v="9997.0999999999967"/>
    <m/>
    <m/>
    <m/>
    <m/>
    <m/>
  </r>
  <r>
    <x v="382"/>
    <x v="383"/>
    <x v="0"/>
    <m/>
    <m/>
    <x v="357"/>
    <m/>
    <m/>
    <m/>
    <m/>
    <m/>
    <m/>
  </r>
  <r>
    <x v="382"/>
    <x v="383"/>
    <x v="0"/>
    <m/>
    <m/>
    <x v="357"/>
    <m/>
    <m/>
    <m/>
    <m/>
    <m/>
    <m/>
  </r>
  <r>
    <x v="382"/>
    <x v="383"/>
    <x v="0"/>
    <m/>
    <m/>
    <x v="357"/>
    <m/>
    <m/>
    <m/>
    <m/>
    <m/>
    <m/>
  </r>
  <r>
    <x v="382"/>
    <x v="383"/>
    <x v="0"/>
    <m/>
    <m/>
    <x v="357"/>
    <m/>
    <m/>
    <m/>
    <m/>
    <m/>
    <m/>
  </r>
  <r>
    <x v="382"/>
    <x v="383"/>
    <x v="0"/>
    <m/>
    <m/>
    <x v="357"/>
    <m/>
    <m/>
    <m/>
    <m/>
    <m/>
    <m/>
  </r>
  <r>
    <x v="382"/>
    <x v="383"/>
    <x v="0"/>
    <m/>
    <m/>
    <x v="357"/>
    <m/>
    <m/>
    <m/>
    <m/>
    <m/>
    <m/>
  </r>
  <r>
    <x v="382"/>
    <x v="383"/>
    <x v="0"/>
    <m/>
    <m/>
    <x v="357"/>
    <m/>
    <m/>
    <m/>
    <m/>
    <m/>
    <m/>
  </r>
  <r>
    <x v="382"/>
    <x v="383"/>
    <x v="0"/>
    <m/>
    <m/>
    <x v="357"/>
    <m/>
    <m/>
    <m/>
    <m/>
    <m/>
    <m/>
  </r>
  <r>
    <x v="382"/>
    <x v="383"/>
    <x v="0"/>
    <m/>
    <m/>
    <x v="357"/>
    <m/>
    <m/>
    <m/>
    <m/>
    <m/>
    <m/>
  </r>
  <r>
    <x v="382"/>
    <x v="383"/>
    <x v="0"/>
    <m/>
    <m/>
    <x v="357"/>
    <m/>
    <m/>
    <m/>
    <m/>
    <m/>
    <m/>
  </r>
  <r>
    <x v="382"/>
    <x v="383"/>
    <x v="0"/>
    <m/>
    <m/>
    <x v="357"/>
    <m/>
    <m/>
    <m/>
    <m/>
    <m/>
    <m/>
  </r>
  <r>
    <x v="382"/>
    <x v="383"/>
    <x v="0"/>
    <m/>
    <m/>
    <x v="357"/>
    <m/>
    <m/>
    <m/>
    <m/>
    <m/>
    <m/>
  </r>
  <r>
    <x v="382"/>
    <x v="383"/>
    <x v="0"/>
    <m/>
    <m/>
    <x v="357"/>
    <m/>
    <m/>
    <m/>
    <m/>
    <m/>
    <m/>
  </r>
  <r>
    <x v="382"/>
    <x v="383"/>
    <x v="0"/>
    <m/>
    <m/>
    <x v="357"/>
    <m/>
    <m/>
    <m/>
    <m/>
    <m/>
    <m/>
  </r>
  <r>
    <x v="382"/>
    <x v="383"/>
    <x v="0"/>
    <m/>
    <m/>
    <x v="357"/>
    <m/>
    <m/>
    <m/>
    <m/>
    <m/>
    <m/>
  </r>
  <r>
    <x v="382"/>
    <x v="383"/>
    <x v="0"/>
    <m/>
    <m/>
    <x v="357"/>
    <m/>
    <m/>
    <m/>
    <m/>
    <m/>
    <m/>
  </r>
  <r>
    <x v="382"/>
    <x v="383"/>
    <x v="0"/>
    <m/>
    <m/>
    <x v="357"/>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
  <r>
    <s v="68168332SW04"/>
    <m/>
    <m/>
    <s v="AUTOMOBILE"/>
    <s v="1-2"/>
    <s v="NEW AUTO"/>
    <s v="AUTO"/>
    <n v="12"/>
    <m/>
    <m/>
    <s v="N"/>
    <s v="N"/>
    <x v="0"/>
    <s v="23551"/>
    <x v="0"/>
    <s v="LSS"/>
    <s v="N "/>
    <s v="68188401SW10"/>
    <m/>
    <m/>
    <s v="0014000000JW2YAAAR"/>
    <s v="TRENT CADILLAC BUICK GMC"/>
    <s v="40016"/>
    <s v="TRENT CADILLAC BUICK GMC"/>
    <s v="AUTO"/>
    <s v="76215681"/>
    <s v="TRENT CADILLAC BUICK GMC"/>
    <m/>
    <s v="TRENT CADILLAC BUICK GMC"/>
    <s v="0127"/>
    <s v="127"/>
    <s v="120"/>
    <s v="1707 HWY 70 E"/>
    <s v="NEW BERN"/>
    <s v="NC"/>
    <s v="UNITED STATES"/>
    <x v="0"/>
    <x v="0"/>
    <s v="FRONT OFFICE"/>
    <s v="ELEAD"/>
    <s v="ELEAD OTHER"/>
    <s v="CALL TRACKING"/>
    <m/>
    <s v="N"/>
    <n v="1"/>
    <n v="0"/>
    <n v="0"/>
    <n v="0"/>
    <n v="0"/>
    <n v="499"/>
    <n v="499"/>
    <n v="5988"/>
    <n v="0"/>
    <d v="2022-06-14T00:00:00"/>
    <d v="2020-03-26T00:00:00"/>
    <n v="2020"/>
    <n v="9"/>
    <m/>
    <m/>
    <m/>
    <s v="N"/>
    <m/>
    <m/>
    <m/>
    <m/>
    <m/>
    <m/>
    <m/>
    <x v="0"/>
    <n v="2020"/>
    <n v="11"/>
    <n v="2026"/>
    <n v="11"/>
    <d v="2020-05-04T00:00:00"/>
    <n v="2020"/>
    <n v="10"/>
    <n v="2020"/>
    <n v="11"/>
    <x v="0"/>
    <n v="2022"/>
    <n v="12"/>
    <s v="221"/>
    <s v="CDK CONVERSION - SYS GENERATED"/>
    <s v="N"/>
    <s v="C"/>
    <s v="CDK Conversion"/>
    <s v="CV"/>
    <s v="Conversion"/>
    <s v="G"/>
    <s v="SYS GEN"/>
    <s v="CDK"/>
    <s v="ADP"/>
    <m/>
    <m/>
  </r>
  <r>
    <s v="68186645SW01"/>
    <s v="4570062"/>
    <s v="CARWARS PREMIUM SALES"/>
    <s v="AUTOMOBILE"/>
    <s v="1-2"/>
    <s v="NEW AUTO"/>
    <s v="AUTO"/>
    <n v="3"/>
    <m/>
    <m/>
    <s v="N"/>
    <s v="N"/>
    <x v="1"/>
    <s v="10445"/>
    <x v="1"/>
    <s v="LSS"/>
    <s v="C "/>
    <s v="68216748SW01"/>
    <s v="68175496SW10"/>
    <m/>
    <s v="0014000000JW3Q3AAJ"/>
    <s v="FAIR OAKS CHANTILLY CHRYSLER JEEP DODGE RAM"/>
    <s v="25108"/>
    <s v="FAIR OAKS CHANTILLY CHRYSLER JEEP DODGE RAM"/>
    <s v="AUTO"/>
    <s v="76003426"/>
    <s v="FAIR OAKS CHANTILLY CHRYSLER DODGE JEEP RAM"/>
    <m/>
    <s v="FAIR OAKS CHANTILLY CHRYSLER DODGE JEEP RAM"/>
    <s v="0127"/>
    <s v="127"/>
    <s v="120"/>
    <s v="4170 AUTO PARK CIRCLE"/>
    <s v="CHANTILLY"/>
    <s v="VA"/>
    <s v="UNITED STATES"/>
    <x v="1"/>
    <x v="1"/>
    <s v="FRONT OFFICE"/>
    <s v="ELEAD"/>
    <s v="ELEAD OTHER"/>
    <s v="CALL TRACKING"/>
    <m/>
    <s v="N"/>
    <n v="1"/>
    <n v="0"/>
    <n v="0"/>
    <n v="0"/>
    <n v="0"/>
    <n v="1995"/>
    <n v="1995"/>
    <n v="4426.08"/>
    <n v="0"/>
    <d v="2023-12-19T00:00:00"/>
    <d v="2021-10-03T00:00:00"/>
    <n v="2022"/>
    <n v="3"/>
    <m/>
    <m/>
    <m/>
    <s v="N"/>
    <m/>
    <m/>
    <m/>
    <m/>
    <m/>
    <m/>
    <m/>
    <x v="1"/>
    <n v="2022"/>
    <n v="5"/>
    <n v="2026"/>
    <n v="5"/>
    <d v="2021-11-23T00:00:00"/>
    <n v="2022"/>
    <n v="5"/>
    <n v="2022"/>
    <n v="6"/>
    <x v="1"/>
    <n v="2023"/>
    <n v="12"/>
    <s v="221"/>
    <s v="CDK CONVERSION - SYS GENERATED"/>
    <s v="N"/>
    <s v="C"/>
    <s v="CDK Conversion"/>
    <s v="CV"/>
    <s v="Conversion"/>
    <s v="G"/>
    <s v="SYS GEN"/>
    <s v="CDK"/>
    <s v="ADP"/>
    <m/>
    <m/>
  </r>
  <r>
    <s v="68163968SW01"/>
    <m/>
    <m/>
    <s v="AUTOMOBILE"/>
    <s v="1-2"/>
    <s v="NEW AUTO"/>
    <s v="AUTO"/>
    <n v="1"/>
    <m/>
    <m/>
    <s v="Y"/>
    <s v="N"/>
    <x v="2"/>
    <s v="8230"/>
    <x v="2"/>
    <s v="LSS"/>
    <s v="N "/>
    <s v="68172588SW01"/>
    <m/>
    <m/>
    <s v="0014000000JW305AAB"/>
    <s v="CELLA FORD"/>
    <s v="10123709"/>
    <s v="CELLA FORD"/>
    <s v="AUTO"/>
    <s v="08320047"/>
    <s v="CELLA FORD"/>
    <m/>
    <s v="CELLA FORD"/>
    <s v="0127"/>
    <s v="127"/>
    <s v="120"/>
    <s v="3210 DR M L KING JR BLVD"/>
    <s v="NEW BERN"/>
    <s v="NC"/>
    <s v="UNITED STATES"/>
    <x v="2"/>
    <x v="2"/>
    <s v="FRONT OFFICE"/>
    <s v="ELEAD"/>
    <s v="ELEAD OTHER"/>
    <s v="CALL TRACKING"/>
    <m/>
    <s v="N"/>
    <n v="1"/>
    <n v="0"/>
    <n v="0"/>
    <n v="0"/>
    <n v="0"/>
    <n v="195"/>
    <n v="359"/>
    <n v="0"/>
    <n v="0"/>
    <d v="2020-08-11T00:00:00"/>
    <d v="2020-01-19T00:00:00"/>
    <n v="2020"/>
    <n v="7"/>
    <m/>
    <m/>
    <m/>
    <s v="N"/>
    <m/>
    <m/>
    <m/>
    <m/>
    <m/>
    <m/>
    <m/>
    <x v="2"/>
    <n v="2020"/>
    <n v="7"/>
    <n v="2026"/>
    <n v="8"/>
    <m/>
    <m/>
    <m/>
    <m/>
    <m/>
    <x v="2"/>
    <n v="2021"/>
    <n v="2"/>
    <s v="221"/>
    <s v="CDK CONVERSION - SYS GENERATED"/>
    <s v="N"/>
    <s v="C"/>
    <s v="CDK Conversion"/>
    <s v="CV"/>
    <s v="Conversion"/>
    <s v="G"/>
    <s v="SYS GEN"/>
    <s v="CDK"/>
    <s v="ADP"/>
    <m/>
    <m/>
  </r>
  <r>
    <s v="64238223SW12"/>
    <s v="4570089"/>
    <s v="CALLREVU 8000"/>
    <s v="AUTOMOBILE"/>
    <s v="3-5"/>
    <s v="NEW AUTO"/>
    <s v="AUTO"/>
    <n v="12"/>
    <m/>
    <s v="76167994"/>
    <s v="N"/>
    <s v="N"/>
    <x v="3"/>
    <s v="18231"/>
    <x v="3"/>
    <s v="INS"/>
    <s v="C "/>
    <m/>
    <s v="64191075SW42"/>
    <m/>
    <s v="00140000011RWX6AAK"/>
    <s v="MURRAY AUTO GROUP"/>
    <s v="187371"/>
    <s v="MURRAY CHRYSLER DODGE JEEP"/>
    <s v="AUTO"/>
    <s v="76167994"/>
    <s v="MURRAY CHRYSLER DODGE JEEP"/>
    <m/>
    <s v="MURRAY CHRYSLER DODGE JEEP"/>
    <s v="0122"/>
    <s v="122"/>
    <s v="120"/>
    <s v="15160 HWY 301 S"/>
    <s v="STARKE"/>
    <s v="FL"/>
    <s v="UNITED STATES"/>
    <x v="3"/>
    <x v="3"/>
    <s v="FRONT OFFICE"/>
    <s v="ELEAD"/>
    <s v="ELEAD OTHER"/>
    <s v="CALL TRACKING"/>
    <m/>
    <s v="N"/>
    <n v="1"/>
    <n v="0"/>
    <n v="0"/>
    <n v="0"/>
    <n v="0"/>
    <n v="599"/>
    <n v="599"/>
    <n v="0"/>
    <n v="0"/>
    <d v="2025-07-31T00:00:00"/>
    <d v="2025-03-28T00:00:00"/>
    <n v="2025"/>
    <n v="3"/>
    <m/>
    <m/>
    <m/>
    <s v="N"/>
    <m/>
    <m/>
    <m/>
    <m/>
    <m/>
    <m/>
    <m/>
    <x v="3"/>
    <n v="2025"/>
    <n v="7"/>
    <n v="2026"/>
    <n v="8"/>
    <d v="2025-07-31T00:00:00"/>
    <n v="2025"/>
    <n v="7"/>
    <n v="2025"/>
    <n v="8"/>
    <x v="3"/>
    <m/>
    <m/>
    <m/>
    <m/>
    <m/>
    <m/>
    <m/>
    <m/>
    <m/>
    <m/>
    <m/>
    <m/>
    <m/>
    <m/>
    <m/>
  </r>
  <r>
    <s v="67046811SW01"/>
    <s v="4570383"/>
    <s v="EL1OUTCALLTRACK (GM IMR)"/>
    <s v="AUTOMOBILE"/>
    <s v="3-5"/>
    <s v="NEW AUTO"/>
    <s v="AUTO"/>
    <n v="6"/>
    <m/>
    <m/>
    <s v="N"/>
    <s v="N"/>
    <x v="4"/>
    <s v="11619"/>
    <x v="4"/>
    <s v="LSS"/>
    <s v="C "/>
    <s v="64226861SW29"/>
    <s v="67037962SW08"/>
    <m/>
    <s v="0014000000JVWFPAAR"/>
    <s v="METROCORP"/>
    <s v="187885"/>
    <s v="ROSEDALE CHEVROLET"/>
    <s v="AUTO"/>
    <s v="76210967"/>
    <s v="GM IMR TURNKEY VENDOR PROGRAM"/>
    <m/>
    <s v="GM IMR TURNKEY VENDOR PROGRAM"/>
    <s v="0122"/>
    <s v="122"/>
    <s v="120"/>
    <s v="2845 HIGHWAY 35W"/>
    <s v="ROSEVILLE"/>
    <s v="MN"/>
    <s v="UNITED STATES"/>
    <x v="4"/>
    <x v="4"/>
    <s v="FRONT OFFICE"/>
    <s v="ELEAD"/>
    <s v="ELEAD OTHER"/>
    <s v="CALL TRACKING"/>
    <m/>
    <s v="N"/>
    <n v="1"/>
    <n v="0"/>
    <n v="0"/>
    <n v="0"/>
    <n v="0"/>
    <n v="0"/>
    <n v="2981"/>
    <n v="6792"/>
    <n v="0"/>
    <d v="2024-04-03T00:00:00"/>
    <d v="2021-02-18T00:00:00"/>
    <n v="2021"/>
    <n v="8"/>
    <m/>
    <m/>
    <m/>
    <s v="N"/>
    <m/>
    <m/>
    <m/>
    <m/>
    <m/>
    <m/>
    <m/>
    <x v="4"/>
    <n v="2021"/>
    <n v="8"/>
    <n v="2026"/>
    <n v="9"/>
    <m/>
    <m/>
    <m/>
    <m/>
    <m/>
    <x v="4"/>
    <n v="2024"/>
    <n v="4"/>
    <s v="221"/>
    <s v="CDK CONVERSION - SYS GENERATED"/>
    <s v="N"/>
    <s v="C"/>
    <s v="CDK Conversion"/>
    <s v="CV"/>
    <s v="Conversion"/>
    <s v="G"/>
    <s v="SYS GEN"/>
    <s v="CDK"/>
    <s v="ADP"/>
    <m/>
    <m/>
  </r>
  <r>
    <s v="38109204SW01"/>
    <m/>
    <m/>
    <s v="RECREATION"/>
    <s v="Non-Auto"/>
    <s v="RECREATION"/>
    <s v="MOTORCYCLE"/>
    <n v="1"/>
    <m/>
    <m/>
    <s v="N"/>
    <s v="N"/>
    <x v="5"/>
    <s v="9973"/>
    <x v="5"/>
    <s v="LSS"/>
    <s v="N "/>
    <s v="64238640SW16"/>
    <m/>
    <m/>
    <s v="0010B00002DHZOWAA1"/>
    <s v="EMERALD COAST HARLEY-DAVIDSON"/>
    <s v="1733397"/>
    <s v="EMERALD COAST HARLEY-DAVIDSON"/>
    <s v="MOTORCYCLE"/>
    <s v="76212580"/>
    <s v="EMERALD COAST HARLEY-DAVIDSON"/>
    <m/>
    <s v="EMERALD COAST HARLEY-DAVIDSON"/>
    <s v="0122"/>
    <s v="122"/>
    <s v="120"/>
    <s v="788 BEAL PKWY NW"/>
    <s v="FORT WALTON BEACH"/>
    <s v="FL"/>
    <s v="UNITED STATES"/>
    <x v="5"/>
    <x v="5"/>
    <s v="FRONT OFFICE"/>
    <s v="ELEAD"/>
    <s v="ELEAD OTHER"/>
    <s v="CALL TRACKING"/>
    <m/>
    <s v="N"/>
    <n v="1"/>
    <n v="0"/>
    <n v="0"/>
    <n v="0"/>
    <n v="0"/>
    <n v="299"/>
    <n v="299"/>
    <n v="1794"/>
    <n v="0"/>
    <d v="2025-05-01T00:00:00"/>
    <d v="2021-05-27T00:00:00"/>
    <n v="2021"/>
    <n v="11"/>
    <m/>
    <m/>
    <m/>
    <s v="N"/>
    <m/>
    <m/>
    <m/>
    <m/>
    <m/>
    <m/>
    <m/>
    <x v="5"/>
    <n v="2021"/>
    <n v="12"/>
    <n v="2026"/>
    <n v="1"/>
    <m/>
    <m/>
    <m/>
    <m/>
    <m/>
    <x v="5"/>
    <n v="2025"/>
    <n v="4"/>
    <s v="221"/>
    <s v="CDK CONVERSION - SYS GENERATED"/>
    <s v="N"/>
    <s v="C"/>
    <s v="CDK Conversion"/>
    <s v="CV"/>
    <s v="Conversion"/>
    <s v="G"/>
    <s v="SYS GEN"/>
    <s v="CDK"/>
    <s v="ADP"/>
    <m/>
    <m/>
  </r>
  <r>
    <s v="68219682SW09"/>
    <m/>
    <m/>
    <s v="AUTOMOBILE"/>
    <s v="1-2"/>
    <s v="NEW AUTO"/>
    <s v="AUTO"/>
    <n v="1"/>
    <m/>
    <m/>
    <s v="N"/>
    <s v="N"/>
    <x v="1"/>
    <s v="10445"/>
    <x v="1"/>
    <s v="LSS"/>
    <s v="N "/>
    <s v="68220056SW01"/>
    <m/>
    <m/>
    <s v="0014000000JW3Q3AAJ"/>
    <s v="FAIR OAKS CHANTILLY CHRYSLER JEEP DODGE RAM"/>
    <s v="25108"/>
    <s v="FAIR OAKS CHANTILLY CHRYSLER JEEP DODGE RAM"/>
    <s v="AUTO"/>
    <s v="76003426"/>
    <s v="FAIR OAKS CHANTILLY CHRYSLER DODGE JEEP RAM"/>
    <m/>
    <s v="FAIR OAKS CHANTILLY CHRYSLER DODGE JEEP RAM"/>
    <s v="0127"/>
    <s v="127"/>
    <s v="120"/>
    <s v="4170 AUTO PARK CIRCLE"/>
    <s v="CHANTILLY"/>
    <s v="VA"/>
    <s v="UNITED STATES"/>
    <x v="1"/>
    <x v="1"/>
    <s v="FRONT OFFICE"/>
    <s v="ELEAD"/>
    <s v="ELEAD OTHER"/>
    <s v="CALL TRACKING"/>
    <m/>
    <s v="N"/>
    <n v="1"/>
    <n v="0"/>
    <n v="0"/>
    <n v="0"/>
    <n v="0"/>
    <n v="1995"/>
    <n v="2267.36"/>
    <n v="13604.16"/>
    <n v="0"/>
    <d v="2024-03-01T00:00:00"/>
    <d v="2024-01-25T00:00:00"/>
    <n v="2024"/>
    <n v="1"/>
    <m/>
    <m/>
    <m/>
    <s v="N"/>
    <m/>
    <m/>
    <m/>
    <m/>
    <m/>
    <m/>
    <m/>
    <x v="6"/>
    <n v="2024"/>
    <n v="1"/>
    <n v="2026"/>
    <n v="1"/>
    <m/>
    <m/>
    <m/>
    <m/>
    <m/>
    <x v="6"/>
    <n v="2024"/>
    <n v="2"/>
    <s v="221"/>
    <s v="CDK CONVERSION - SYS GENERATED"/>
    <s v="N"/>
    <s v="C"/>
    <s v="CDK Conversion"/>
    <s v="CV"/>
    <s v="Conversion"/>
    <s v="G"/>
    <s v="SYS GEN"/>
    <s v="CDK"/>
    <s v="ADP"/>
    <m/>
    <m/>
  </r>
  <r>
    <s v="68220056SW01"/>
    <s v="4570602"/>
    <s v="INTERACTIVETEL TOTAL TRACK 200+"/>
    <s v="AUTOMOBILE"/>
    <s v="1-2"/>
    <s v="NEW AUTO"/>
    <s v="AUTO"/>
    <n v="1"/>
    <m/>
    <s v="76003426"/>
    <s v="N"/>
    <s v="N"/>
    <x v="1"/>
    <s v="10445"/>
    <x v="1"/>
    <s v="INS"/>
    <s v="C "/>
    <m/>
    <s v="68219682SW09"/>
    <m/>
    <s v="0014000000JW3Q3AAJ"/>
    <s v="FAIR OAKS CHANTILLY CHRYSLER JEEP DODGE RAM"/>
    <s v="25108"/>
    <s v="FAIR OAKS CHANTILLY CHRYSLER JEEP DODGE RAM"/>
    <s v="AUTO"/>
    <s v="76003426"/>
    <s v="FAIR OAKS CHANTILLY CHRYSLER DODGE JEEP RAM"/>
    <m/>
    <s v="FAIR OAKS CHANTILLY CHRYSLER DODGE JEEP RAM"/>
    <s v="0127"/>
    <s v="127"/>
    <s v="120"/>
    <s v="4170 AUTO PARK CIRCLE"/>
    <s v="CHANTILLY"/>
    <s v="VA"/>
    <s v="UNITED STATES"/>
    <x v="1"/>
    <x v="1"/>
    <s v="FRONT OFFICE"/>
    <s v="ELEAD"/>
    <s v="ELEAD OTHER"/>
    <s v="CALL TRACKING"/>
    <m/>
    <s v="N"/>
    <n v="1"/>
    <n v="0"/>
    <n v="0"/>
    <n v="0"/>
    <n v="0"/>
    <n v="1995"/>
    <n v="1995"/>
    <n v="-1634.16"/>
    <n v="0"/>
    <d v="2024-03-01T00:00:00"/>
    <d v="2024-01-30T00:00:00"/>
    <n v="2024"/>
    <n v="1"/>
    <m/>
    <m/>
    <m/>
    <s v="N"/>
    <m/>
    <m/>
    <m/>
    <m/>
    <m/>
    <m/>
    <m/>
    <x v="7"/>
    <n v="2024"/>
    <n v="2"/>
    <n v="2026"/>
    <n v="3"/>
    <d v="2024-02-26T00:00:00"/>
    <n v="2024"/>
    <n v="2"/>
    <n v="2024"/>
    <n v="3"/>
    <x v="3"/>
    <m/>
    <m/>
    <m/>
    <m/>
    <m/>
    <m/>
    <m/>
    <m/>
    <m/>
    <m/>
    <m/>
    <m/>
    <m/>
    <m/>
    <m/>
  </r>
  <r>
    <s v="68163607SW01"/>
    <m/>
    <m/>
    <s v="AUTOMOBILE"/>
    <s v="1-2"/>
    <s v="NEW AUTO"/>
    <s v="AUTO"/>
    <n v="1"/>
    <m/>
    <m/>
    <s v="Y"/>
    <s v="N"/>
    <x v="6"/>
    <s v="19910"/>
    <x v="6"/>
    <s v="LSS"/>
    <s v="N "/>
    <s v="68215936SW01"/>
    <m/>
    <m/>
    <s v="0014000000JW296AAB"/>
    <s v="KEYSER &amp; MILLER FORD"/>
    <s v="53354501"/>
    <s v="KEYSER &amp; MILLER FORD"/>
    <s v="AUTO"/>
    <s v="76067593"/>
    <s v="KEYSER &amp; MILLER FORD"/>
    <m/>
    <s v="KEYSER &amp; MILLER FORD"/>
    <s v="0127"/>
    <s v="127"/>
    <s v="120"/>
    <s v="8 E MAIN ST"/>
    <s v="COLLEGEVILLE"/>
    <s v="PA"/>
    <s v="UNITED STATES"/>
    <x v="2"/>
    <x v="2"/>
    <s v="FRONT OFFICE"/>
    <s v="ELEAD"/>
    <s v="ELEAD OTHER"/>
    <s v="CALL TRACKING"/>
    <m/>
    <s v="N"/>
    <n v="1"/>
    <n v="0"/>
    <n v="0"/>
    <n v="0"/>
    <n v="0"/>
    <n v="195"/>
    <n v="299"/>
    <n v="0"/>
    <n v="0"/>
    <d v="2023-12-14T00:00:00"/>
    <d v="2020-01-18T00:00:00"/>
    <n v="2020"/>
    <n v="7"/>
    <m/>
    <m/>
    <m/>
    <s v="N"/>
    <m/>
    <m/>
    <m/>
    <m/>
    <m/>
    <m/>
    <m/>
    <x v="2"/>
    <n v="2020"/>
    <n v="7"/>
    <n v="2026"/>
    <n v="8"/>
    <m/>
    <m/>
    <m/>
    <m/>
    <m/>
    <x v="7"/>
    <n v="2023"/>
    <n v="12"/>
    <s v="221"/>
    <s v="CDK CONVERSION - SYS GENERATED"/>
    <s v="N"/>
    <s v="C"/>
    <s v="CDK Conversion"/>
    <s v="CV"/>
    <s v="Conversion"/>
    <s v="G"/>
    <s v="SYS GEN"/>
    <s v="CDK"/>
    <s v="ADP"/>
    <m/>
    <m/>
  </r>
  <r>
    <s v="64169272SW04"/>
    <m/>
    <m/>
    <s v="AUTOMOBILE"/>
    <s v="1-2"/>
    <s v="NEW AUTO"/>
    <s v="AUTO"/>
    <n v="38"/>
    <m/>
    <m/>
    <s v="N"/>
    <s v="N"/>
    <x v="7"/>
    <m/>
    <x v="7"/>
    <s v="LSS"/>
    <s v="N "/>
    <m/>
    <m/>
    <m/>
    <s v="0014000000JVXTMAAR"/>
    <s v="FREDY KIA"/>
    <s v="208052"/>
    <s v="FREDY KIA"/>
    <s v="AUTO"/>
    <s v="76062949"/>
    <s v="FREDY KIA"/>
    <m/>
    <s v="FREDY KIA"/>
    <s v="0125"/>
    <s v="125"/>
    <s v="120"/>
    <s v="11711 GULF FREEWAY"/>
    <s v="HOUSTON"/>
    <s v="TX"/>
    <s v="UNITED STATES"/>
    <x v="2"/>
    <x v="2"/>
    <s v="FRONT OFFICE"/>
    <s v="ELEAD"/>
    <s v="ELEAD OTHER"/>
    <s v="CALL TRACKING"/>
    <m/>
    <s v="N"/>
    <n v="1"/>
    <n v="0"/>
    <n v="0"/>
    <n v="0"/>
    <n v="0"/>
    <n v="195"/>
    <n v="1849"/>
    <n v="0"/>
    <n v="0"/>
    <d v="2025-08-12T00:00:00"/>
    <d v="2020-01-18T00:00:00"/>
    <n v="2020"/>
    <n v="7"/>
    <m/>
    <m/>
    <m/>
    <s v="N"/>
    <m/>
    <m/>
    <m/>
    <m/>
    <m/>
    <m/>
    <m/>
    <x v="2"/>
    <n v="2020"/>
    <n v="7"/>
    <n v="2026"/>
    <n v="8"/>
    <m/>
    <m/>
    <m/>
    <m/>
    <m/>
    <x v="8"/>
    <n v="2025"/>
    <n v="8"/>
    <s v="833"/>
    <s v="Ownership Change"/>
    <s v="N"/>
    <s v="M"/>
    <s v="BACK TO MANUAL"/>
    <s v="DA"/>
    <s v="Dropped Apps"/>
    <s v="P"/>
    <s v="PRODUCT"/>
    <s v="Manual"/>
    <m/>
    <m/>
    <m/>
  </r>
  <r>
    <s v="68216748SW01"/>
    <s v="4570602"/>
    <s v="INTERACTIVETEL TOTAL TRACK 200+"/>
    <s v="AUTOMOBILE"/>
    <s v="1-2"/>
    <s v="NEW AUTO"/>
    <s v="AUTO"/>
    <n v="1"/>
    <m/>
    <m/>
    <s v="N"/>
    <s v="N"/>
    <x v="1"/>
    <s v="10445"/>
    <x v="1"/>
    <s v="LSS"/>
    <s v="R "/>
    <m/>
    <s v="68186645SW01"/>
    <m/>
    <s v="0014000000JW3Q3AAJ"/>
    <s v="FAIR OAKS CHANTILLY CHRYSLER JEEP DODGE RAM"/>
    <s v="25108"/>
    <s v="FAIR OAKS CHANTILLY CHRYSLER JEEP DODGE RAM"/>
    <s v="AUTO"/>
    <s v="76003426"/>
    <s v="FAIR OAKS CHANTILLY CHRYSLER DODGE JEEP RAM"/>
    <m/>
    <s v="FAIR OAKS CHANTILLY CHRYSLER DODGE JEEP RAM"/>
    <s v="0127"/>
    <s v="127"/>
    <s v="120"/>
    <s v="4170 AUTO PARK CIRCLE"/>
    <s v="CHANTILLY"/>
    <s v="VA"/>
    <s v="UNITED STATES"/>
    <x v="1"/>
    <x v="1"/>
    <s v="FRONT OFFICE"/>
    <s v="ELEAD"/>
    <s v="ELEAD OTHER"/>
    <s v="CALL TRACKING"/>
    <m/>
    <s v="N"/>
    <n v="1"/>
    <n v="0"/>
    <n v="0"/>
    <n v="0"/>
    <n v="0"/>
    <n v="1995"/>
    <n v="1995"/>
    <n v="0"/>
    <n v="0"/>
    <d v="2024-05-02T00:00:00"/>
    <d v="2023-12-14T00:00:00"/>
    <n v="2023"/>
    <n v="12"/>
    <m/>
    <m/>
    <m/>
    <s v="N"/>
    <m/>
    <m/>
    <m/>
    <m/>
    <m/>
    <m/>
    <m/>
    <x v="8"/>
    <n v="2023"/>
    <n v="12"/>
    <n v="2026"/>
    <n v="1"/>
    <m/>
    <m/>
    <m/>
    <m/>
    <m/>
    <x v="9"/>
    <n v="2024"/>
    <n v="5"/>
    <s v="823"/>
    <s v="Error Correction"/>
    <s v="Y"/>
    <s v="EC"/>
    <s v="ADMINISTRATIVE ADJUSTMENT"/>
    <s v="CA"/>
    <s v="CONTRA ADD"/>
    <s v="P"/>
    <s v="PRODUCT"/>
    <s v="N/A"/>
    <m/>
    <m/>
    <m/>
  </r>
  <r>
    <s v="64226735SW01"/>
    <m/>
    <m/>
    <s v="AUTOMOBILE"/>
    <s v="1-2"/>
    <s v="NEW AUTO"/>
    <s v="AUTO"/>
    <n v="6"/>
    <m/>
    <m/>
    <s v="N"/>
    <s v="N"/>
    <x v="8"/>
    <s v="17993"/>
    <x v="8"/>
    <s v="LSS"/>
    <s v="N "/>
    <m/>
    <m/>
    <m/>
    <s v="0010B00001SWNXUAAG"/>
    <s v="MCSWEENEY CHRYSLER DODGE JEEP RAM"/>
    <s v="1704275"/>
    <s v="MCSWEENEY CHRYSLER DODGE JEEP RAM"/>
    <s v="AUTO"/>
    <s v="76201662"/>
    <s v="MCSWEENEY CHRYSLER DODGE JEEP RAM"/>
    <m/>
    <s v="MCSWEENEY CHRYSLER DODGE JEEP RAM"/>
    <s v="0122"/>
    <s v="122"/>
    <s v="120"/>
    <s v="2605 DR. JOHN HANNES DR."/>
    <s v="PELL CITY"/>
    <s v="AL"/>
    <s v="UNITED STATES"/>
    <x v="6"/>
    <x v="6"/>
    <s v="FRONT OFFICE"/>
    <s v="ELEAD"/>
    <s v="ELEAD OTHER"/>
    <s v="CALL TRACKING"/>
    <m/>
    <s v="N"/>
    <n v="1"/>
    <n v="0"/>
    <n v="0"/>
    <n v="0"/>
    <n v="0"/>
    <n v="1499"/>
    <n v="1499"/>
    <n v="8994"/>
    <n v="0"/>
    <d v="2024-10-30T00:00:00"/>
    <d v="2024-03-20T00:00:00"/>
    <n v="2024"/>
    <n v="3"/>
    <m/>
    <m/>
    <m/>
    <s v="N"/>
    <m/>
    <m/>
    <m/>
    <m/>
    <m/>
    <m/>
    <m/>
    <x v="9"/>
    <n v="2024"/>
    <n v="4"/>
    <n v="2026"/>
    <n v="4"/>
    <m/>
    <m/>
    <m/>
    <m/>
    <m/>
    <x v="10"/>
    <n v="2024"/>
    <n v="10"/>
    <s v="844"/>
    <s v="Dealership Downsizing"/>
    <s v="N"/>
    <s v="M"/>
    <s v="BACK TO MANUAL"/>
    <s v="DA"/>
    <s v="Dropped Apps"/>
    <s v="P"/>
    <s v="PRODUCT"/>
    <s v="N/A"/>
    <m/>
    <m/>
    <m/>
  </r>
  <r>
    <s v="67037962SW08"/>
    <m/>
    <m/>
    <s v="AUTOMOBILE"/>
    <s v="3-5"/>
    <s v="NEW AUTO"/>
    <s v="AUTO"/>
    <n v="1"/>
    <m/>
    <m/>
    <s v="N"/>
    <s v="N"/>
    <x v="4"/>
    <s v="11619"/>
    <x v="4"/>
    <s v="LSS"/>
    <s v="N "/>
    <s v="67046811SW01"/>
    <m/>
    <m/>
    <s v="0014000000JVWFPAAR"/>
    <s v="METROCORP"/>
    <s v="187885"/>
    <s v="ROSEDALE CHEVROLET"/>
    <s v="AUTO"/>
    <s v="76210967"/>
    <s v="GM IMR TURNKEY VENDOR PROGRAM"/>
    <m/>
    <s v="GM IMR TURNKEY VENDOR PROGRAM"/>
    <s v="0122"/>
    <s v="122"/>
    <s v="120"/>
    <s v="2845 HIGHWAY 35W"/>
    <s v="ROSEVILLE"/>
    <s v="MN"/>
    <s v="UNITED STATES"/>
    <x v="4"/>
    <x v="4"/>
    <s v="FRONT OFFICE"/>
    <s v="ELEAD"/>
    <s v="ELEAD OTHER"/>
    <s v="CALL TRACKING"/>
    <m/>
    <s v="N"/>
    <n v="1"/>
    <n v="0"/>
    <n v="0"/>
    <n v="0"/>
    <n v="0"/>
    <n v="0"/>
    <n v="1849"/>
    <n v="11094"/>
    <n v="0"/>
    <d v="2021-02-24T00:00:00"/>
    <d v="2020-04-08T00:00:00"/>
    <n v="2020"/>
    <n v="10"/>
    <m/>
    <m/>
    <m/>
    <s v="N"/>
    <m/>
    <m/>
    <m/>
    <m/>
    <m/>
    <m/>
    <m/>
    <x v="10"/>
    <n v="2020"/>
    <n v="12"/>
    <n v="2026"/>
    <n v="12"/>
    <m/>
    <m/>
    <m/>
    <m/>
    <m/>
    <x v="11"/>
    <n v="2021"/>
    <n v="8"/>
    <s v="221"/>
    <s v="CDK CONVERSION - SYS GENERATED"/>
    <s v="N"/>
    <s v="C"/>
    <s v="CDK Conversion"/>
    <s v="CV"/>
    <s v="Conversion"/>
    <s v="G"/>
    <s v="SYS GEN"/>
    <s v="CDK"/>
    <s v="ADP"/>
    <m/>
    <m/>
  </r>
  <r>
    <s v="68209897SW37"/>
    <s v="4570058"/>
    <s v="CARWARS STARTER 7500"/>
    <s v="AUTOMOBILE"/>
    <s v="11+"/>
    <s v="NEW AUTO"/>
    <s v="AUTO"/>
    <n v="60"/>
    <m/>
    <m/>
    <s v="N"/>
    <s v="N"/>
    <x v="9"/>
    <s v="7459A"/>
    <x v="9"/>
    <s v="LSS"/>
    <s v="R "/>
    <m/>
    <s v="68189336SW40"/>
    <m/>
    <s v="0015A00002TK3GOAA0"/>
    <s v="HUDSON AUTOMOTIVE"/>
    <s v="196172"/>
    <s v="MIDLANDS TOYOTA"/>
    <s v="AUTO"/>
    <s v="76228629"/>
    <s v="MIDLANDS TOYOTA"/>
    <m/>
    <s v="MIDLANDS TOYOTA"/>
    <s v="0127"/>
    <s v="127"/>
    <s v="120"/>
    <s v="240 KILLIAN COMMON PKWY"/>
    <s v="COLUMBIA"/>
    <s v="SC"/>
    <s v="UNITED STATES"/>
    <x v="0"/>
    <x v="0"/>
    <s v="FRONT OFFICE"/>
    <s v="ELEAD"/>
    <s v="ELEAD OTHER"/>
    <s v="CALL TRACKING"/>
    <m/>
    <s v="N"/>
    <n v="1"/>
    <n v="0"/>
    <n v="0"/>
    <n v="0"/>
    <n v="0"/>
    <n v="499"/>
    <n v="499"/>
    <n v="0"/>
    <n v="0"/>
    <d v="2025-02-28T00:00:00"/>
    <d v="2023-06-14T00:00:00"/>
    <n v="2023"/>
    <n v="6"/>
    <m/>
    <m/>
    <m/>
    <s v="N"/>
    <m/>
    <m/>
    <m/>
    <m/>
    <m/>
    <m/>
    <m/>
    <x v="11"/>
    <n v="2023"/>
    <n v="6"/>
    <n v="2026"/>
    <n v="6"/>
    <m/>
    <m/>
    <m/>
    <m/>
    <m/>
    <x v="12"/>
    <n v="2025"/>
    <n v="2"/>
    <s v="836"/>
    <s v="Price/Value Proposition"/>
    <s v="N"/>
    <s v="M"/>
    <s v="BACK TO MANUAL"/>
    <s v="DA"/>
    <s v="Dropped Apps"/>
    <s v="P"/>
    <s v="PRODUCT"/>
    <s v="Manual"/>
    <m/>
    <m/>
    <m/>
  </r>
  <r>
    <s v="68168556SW01"/>
    <m/>
    <m/>
    <s v="AUTOMOBILE"/>
    <s v="3-5"/>
    <s v="NEW AUTO"/>
    <s v="AUTO"/>
    <n v="1"/>
    <m/>
    <m/>
    <s v="N"/>
    <s v="N"/>
    <x v="10"/>
    <s v="18596"/>
    <x v="10"/>
    <s v="LSS"/>
    <s v="N "/>
    <s v="68228662SW12"/>
    <m/>
    <m/>
    <s v="0014000000JW2XJAAR"/>
    <s v="BOB BELL"/>
    <s v="1799131"/>
    <s v="BOB BELL HYUNDAI"/>
    <s v="AUTO"/>
    <s v="76217678"/>
    <s v="BOB BELL HYUNDAI"/>
    <m/>
    <s v="BOB BELL HYUNDAI"/>
    <s v="0127"/>
    <s v="127"/>
    <s v="120"/>
    <s v="7117 RITCHIE HWY"/>
    <s v="GLEN BURNIE"/>
    <s v="MD"/>
    <s v="UNITED STATES"/>
    <x v="2"/>
    <x v="2"/>
    <s v="FRONT OFFICE"/>
    <s v="ELEAD"/>
    <s v="ELEAD OTHER"/>
    <s v="CALL TRACKING"/>
    <m/>
    <s v="N"/>
    <n v="1"/>
    <n v="0"/>
    <n v="0"/>
    <n v="0"/>
    <n v="0"/>
    <n v="195"/>
    <n v="1849"/>
    <n v="0"/>
    <n v="0"/>
    <d v="2024-09-09T00:00:00"/>
    <d v="2020-04-01T00:00:00"/>
    <n v="2020"/>
    <n v="9"/>
    <m/>
    <m/>
    <m/>
    <s v="N"/>
    <m/>
    <m/>
    <m/>
    <m/>
    <m/>
    <m/>
    <m/>
    <x v="12"/>
    <n v="2020"/>
    <n v="9"/>
    <n v="2026"/>
    <n v="10"/>
    <m/>
    <m/>
    <m/>
    <m/>
    <m/>
    <x v="13"/>
    <n v="2024"/>
    <n v="9"/>
    <s v="812"/>
    <s v="CDK Conversion"/>
    <s v="N"/>
    <s v="C"/>
    <s v="CDK Conversion"/>
    <s v="CV"/>
    <s v="Conversion"/>
    <s v="P"/>
    <s v="PRODUCT"/>
    <s v="CDK"/>
    <s v="ADP"/>
    <m/>
    <m/>
  </r>
  <r>
    <s v="67041955SW02"/>
    <m/>
    <m/>
    <s v="AUTOMOBILE"/>
    <s v="11+"/>
    <s v="NEW AUTO"/>
    <s v="AUTO"/>
    <n v="12"/>
    <m/>
    <m/>
    <s v="N"/>
    <s v="N"/>
    <x v="11"/>
    <s v="23308"/>
    <x v="11"/>
    <s v="LSS"/>
    <s v="N "/>
    <s v="68188288SW06"/>
    <m/>
    <m/>
    <s v="0014000000JW0UHAAZ"/>
    <s v="PIAZZA AUTO GROUP"/>
    <s v="71055667"/>
    <s v="PIAZZA NISSAN OF ARDMORE"/>
    <s v="AUTO"/>
    <s v="76215011"/>
    <s v="PIAZZA NISSAN OF ARDMORE"/>
    <m/>
    <s v="PIAZZA NISSAN OF ARDMORE"/>
    <s v="0127"/>
    <s v="127"/>
    <s v="120"/>
    <s v="265 E LANCASTER AVE"/>
    <s v="ARDMORE"/>
    <s v="PA"/>
    <s v="UNITED STATES"/>
    <x v="5"/>
    <x v="5"/>
    <s v="FRONT OFFICE"/>
    <s v="ELEAD"/>
    <s v="ELEAD OTHER"/>
    <s v="CALL TRACKING"/>
    <m/>
    <s v="N"/>
    <n v="1"/>
    <n v="0"/>
    <n v="0"/>
    <n v="0"/>
    <n v="0"/>
    <n v="299"/>
    <n v="299"/>
    <n v="3588"/>
    <n v="0"/>
    <d v="2021-12-07T00:00:00"/>
    <d v="2020-09-17T00:00:00"/>
    <n v="2021"/>
    <n v="3"/>
    <m/>
    <m/>
    <m/>
    <s v="N"/>
    <m/>
    <m/>
    <m/>
    <m/>
    <m/>
    <m/>
    <m/>
    <x v="13"/>
    <n v="2021"/>
    <n v="4"/>
    <n v="2026"/>
    <n v="4"/>
    <d v="2020-11-12T00:00:00"/>
    <n v="2021"/>
    <n v="5"/>
    <n v="2021"/>
    <n v="5"/>
    <x v="14"/>
    <n v="2022"/>
    <n v="6"/>
    <s v="221"/>
    <s v="CDK CONVERSION - SYS GENERATED"/>
    <s v="N"/>
    <s v="C"/>
    <s v="CDK Conversion"/>
    <s v="CV"/>
    <s v="Conversion"/>
    <s v="G"/>
    <s v="SYS GEN"/>
    <s v="CDK"/>
    <s v="ADP"/>
    <m/>
    <m/>
  </r>
  <r>
    <s v="64169219SW03"/>
    <m/>
    <m/>
    <s v="RECREATION"/>
    <s v="Non-Auto"/>
    <s v="RECREATION"/>
    <s v="MOTORCYCLE"/>
    <n v="1"/>
    <m/>
    <m/>
    <s v="N"/>
    <s v="N"/>
    <x v="12"/>
    <s v="17155"/>
    <x v="12"/>
    <s v="LSS"/>
    <s v="N "/>
    <m/>
    <m/>
    <m/>
    <s v="0014000000MV8QAAA0"/>
    <s v="MOBILE BAY HARLEY DAVIDSON"/>
    <s v="1447686"/>
    <s v="MOBILE BAY HARLEY DAVIDSON"/>
    <s v="MOTORCYCLE"/>
    <s v="76211956"/>
    <s v="MOBILE BAY HARLEY DAVIDSON"/>
    <m/>
    <s v="MOBILE BAY HARLEY DAVIDSON"/>
    <s v="0122"/>
    <s v="122"/>
    <s v="120"/>
    <s v="3260 PLEASANT VALLEY RD"/>
    <s v="MOBILE"/>
    <s v="AL"/>
    <s v="UNITED STATES"/>
    <x v="7"/>
    <x v="7"/>
    <s v="FRONT OFFICE"/>
    <s v="ELEAD"/>
    <s v="ELEAD OTHER"/>
    <s v="CALL TRACKING"/>
    <m/>
    <s v="N"/>
    <n v="1"/>
    <n v="0"/>
    <n v="0"/>
    <n v="0"/>
    <n v="0"/>
    <n v="100"/>
    <n v="70"/>
    <n v="0"/>
    <n v="0"/>
    <d v="2023-04-20T00:00:00"/>
    <d v="2020-01-18T00:00:00"/>
    <n v="2020"/>
    <n v="7"/>
    <m/>
    <m/>
    <m/>
    <s v="N"/>
    <m/>
    <m/>
    <m/>
    <m/>
    <m/>
    <m/>
    <m/>
    <x v="2"/>
    <n v="2020"/>
    <n v="7"/>
    <n v="2026"/>
    <n v="8"/>
    <m/>
    <m/>
    <m/>
    <m/>
    <m/>
    <x v="15"/>
    <n v="2023"/>
    <n v="4"/>
    <s v="827"/>
    <s v="Low or No Utilization"/>
    <s v="N"/>
    <s v="M"/>
    <s v="BACK TO MANUAL"/>
    <s v="DA"/>
    <s v="Dropped Apps"/>
    <s v="P"/>
    <s v="PRODUCT"/>
    <s v="N/A"/>
    <m/>
    <m/>
    <m/>
  </r>
  <r>
    <s v="64226735SW02"/>
    <m/>
    <m/>
    <s v="AUTOMOBILE"/>
    <s v="1-2"/>
    <s v="NEW AUTO"/>
    <s v="AUTO"/>
    <n v="6"/>
    <m/>
    <m/>
    <s v="N"/>
    <s v="N"/>
    <x v="8"/>
    <s v="17993"/>
    <x v="8"/>
    <s v="LSS"/>
    <s v="N "/>
    <m/>
    <m/>
    <m/>
    <s v="0010B00001SWNXUAAG"/>
    <s v="MCSWEENEY CHRYSLER DODGE JEEP RAM"/>
    <s v="1704275"/>
    <s v="MCSWEENEY CHRYSLER DODGE JEEP RAM"/>
    <s v="AUTO"/>
    <s v="76201662"/>
    <s v="MCSWEENEY CHRYSLER DODGE JEEP RAM"/>
    <m/>
    <s v="MCSWEENEY CHRYSLER DODGE JEEP RAM"/>
    <s v="0122"/>
    <s v="122"/>
    <s v="120"/>
    <s v="2605 DR. JOHN HANNES DR."/>
    <s v="PELL CITY"/>
    <s v="AL"/>
    <s v="UNITED STATES"/>
    <x v="8"/>
    <x v="8"/>
    <s v="FRONT OFFICE"/>
    <s v="ELEAD"/>
    <s v="ELEAD OTHER"/>
    <s v="CALL TRACKING"/>
    <m/>
    <s v="N"/>
    <n v="1"/>
    <n v="0"/>
    <n v="0"/>
    <n v="0"/>
    <n v="0"/>
    <n v="999"/>
    <n v="999"/>
    <n v="5994"/>
    <n v="0"/>
    <d v="2024-10-30T00:00:00"/>
    <d v="2024-03-20T00:00:00"/>
    <n v="2024"/>
    <n v="3"/>
    <m/>
    <m/>
    <m/>
    <s v="N"/>
    <m/>
    <m/>
    <m/>
    <m/>
    <m/>
    <m/>
    <m/>
    <x v="9"/>
    <n v="2024"/>
    <n v="4"/>
    <n v="2026"/>
    <n v="4"/>
    <m/>
    <m/>
    <m/>
    <m/>
    <m/>
    <x v="10"/>
    <n v="2024"/>
    <n v="10"/>
    <s v="844"/>
    <s v="Dealership Downsizing"/>
    <s v="N"/>
    <s v="M"/>
    <s v="BACK TO MANUAL"/>
    <s v="DA"/>
    <s v="Dropped Apps"/>
    <s v="P"/>
    <s v="PRODUCT"/>
    <s v="N/A"/>
    <m/>
    <m/>
    <m/>
  </r>
  <r>
    <s v="64226787SW02"/>
    <m/>
    <m/>
    <s v="AUTOMOBILE"/>
    <s v="6-10"/>
    <s v="NEW AUTO"/>
    <s v="AUTO"/>
    <n v="12"/>
    <m/>
    <m/>
    <s v="N"/>
    <s v="N"/>
    <x v="13"/>
    <m/>
    <x v="13"/>
    <s v="LSS"/>
    <s v="N "/>
    <s v="64243030SW25"/>
    <m/>
    <m/>
    <s v="0014000000JWA15AAF"/>
    <s v="GALEANA AUTOMOTIVE GROUP"/>
    <s v="1361687"/>
    <s v="GALEANA CHRYSLER DODGE JEEP RAM OF FORT MYERS"/>
    <s v="AUTO"/>
    <s v="76220529"/>
    <s v="GALEANA CHRYSLER DODGE JEEP RAM OF FORT MYERS"/>
    <m/>
    <s v="GALEANA CHRYSLER DODGE JEEP RAM OF FORT MYERS"/>
    <s v="0122"/>
    <s v="122"/>
    <s v="120"/>
    <s v="14375 S TAMIAMI TRAIL"/>
    <s v="FORT MYERS"/>
    <s v="FL"/>
    <s v="UNITED STATES"/>
    <x v="9"/>
    <x v="9"/>
    <s v="FRONT OFFICE"/>
    <s v="ELEAD"/>
    <s v="ELEAD OTHER"/>
    <s v="CALL TRACKING"/>
    <m/>
    <s v="N"/>
    <n v="1"/>
    <n v="0"/>
    <n v="0"/>
    <n v="0"/>
    <n v="0"/>
    <n v="999"/>
    <n v="999"/>
    <n v="11988"/>
    <n v="0"/>
    <d v="2025-09-25T00:00:00"/>
    <d v="2024-03-22T00:00:00"/>
    <n v="2024"/>
    <n v="3"/>
    <m/>
    <m/>
    <m/>
    <s v="N"/>
    <m/>
    <m/>
    <m/>
    <m/>
    <m/>
    <m/>
    <m/>
    <x v="14"/>
    <n v="2024"/>
    <n v="4"/>
    <n v="2026"/>
    <n v="5"/>
    <d v="2024-04-18T00:00:00"/>
    <n v="2024"/>
    <n v="4"/>
    <n v="2024"/>
    <n v="5"/>
    <x v="16"/>
    <n v="2025"/>
    <n v="9"/>
    <s v="221"/>
    <s v="CDK CONVERSION - SYS GENERATED"/>
    <s v="N"/>
    <s v="C"/>
    <s v="CDK Conversion"/>
    <s v="CV"/>
    <s v="Conversion"/>
    <s v="G"/>
    <s v="SYS GEN"/>
    <s v="CDK"/>
    <s v="ADP"/>
    <m/>
    <m/>
  </r>
  <r>
    <s v="68189336SW40"/>
    <s v="4570058"/>
    <s v="CARWARS STARTER 7500"/>
    <s v="AUTOMOBILE"/>
    <s v="11+"/>
    <s v="NEW AUTO"/>
    <s v="AUTO"/>
    <n v="60"/>
    <m/>
    <m/>
    <s v="N"/>
    <s v="N"/>
    <x v="9"/>
    <s v="7459A"/>
    <x v="9"/>
    <s v="LSS"/>
    <s v="R "/>
    <s v="68209897SW37"/>
    <s v="68187007SW14"/>
    <m/>
    <s v="0015A00002TK3GOAA0"/>
    <s v="HUDSON AUTOMOTIVE"/>
    <s v="196172"/>
    <s v="MIDLANDS TOYOTA"/>
    <s v="AUTO"/>
    <s v="76217276"/>
    <s v="WYATT-JOHNSON BUICK GMC"/>
    <m/>
    <s v="WYATT-JOHNSON BUICK GMC"/>
    <s v="0127"/>
    <s v="127"/>
    <s v="120"/>
    <s v="240 KILLIAN COMMON PKWY"/>
    <s v="COLUMBIA"/>
    <s v="SC"/>
    <s v="UNITED STATES"/>
    <x v="0"/>
    <x v="0"/>
    <s v="FRONT OFFICE"/>
    <s v="ELEAD"/>
    <s v="ELEAD OTHER"/>
    <s v="CALL TRACKING"/>
    <m/>
    <s v="N"/>
    <n v="1"/>
    <n v="0"/>
    <n v="0"/>
    <n v="0"/>
    <n v="0"/>
    <n v="499"/>
    <n v="499"/>
    <n v="0"/>
    <n v="0"/>
    <d v="2023-06-21T00:00:00"/>
    <d v="2022-01-05T00:00:00"/>
    <n v="2022"/>
    <n v="6"/>
    <m/>
    <m/>
    <m/>
    <s v="N"/>
    <m/>
    <m/>
    <m/>
    <m/>
    <m/>
    <m/>
    <m/>
    <x v="15"/>
    <n v="2022"/>
    <n v="7"/>
    <n v="2026"/>
    <n v="8"/>
    <m/>
    <m/>
    <m/>
    <m/>
    <m/>
    <x v="17"/>
    <n v="2023"/>
    <n v="6"/>
    <s v="221"/>
    <s v="CDK CONVERSION - SYS GENERATED"/>
    <s v="N"/>
    <s v="C"/>
    <s v="CDK Conversion"/>
    <s v="CV"/>
    <s v="Conversion"/>
    <s v="G"/>
    <s v="SYS GEN"/>
    <s v="CDK"/>
    <s v="ADP"/>
    <m/>
    <m/>
  </r>
  <r>
    <s v="64231666SW01"/>
    <s v="4570062"/>
    <s v="CARWARS PREMIUM SALES"/>
    <s v="AUTOMOBILE"/>
    <s v="3-5"/>
    <s v="NEW AUTO"/>
    <s v="AUTO"/>
    <n v="12"/>
    <m/>
    <m/>
    <s v="N"/>
    <s v="N"/>
    <x v="14"/>
    <s v="10786"/>
    <x v="14"/>
    <s v="LSS"/>
    <s v="C "/>
    <m/>
    <s v="64193165SW01"/>
    <m/>
    <s v="0014000000M6G8KAAB"/>
    <s v="PAUL LOKEY"/>
    <s v="01156105"/>
    <s v="LOKEY NISSAN"/>
    <s v="AUTO"/>
    <s v="76211594"/>
    <s v="LOKEY NISSAN"/>
    <m/>
    <s v="LOKEY NISSAN"/>
    <s v="0122"/>
    <s v="122"/>
    <s v="120"/>
    <s v="27758 US HIGHWAY 19 N"/>
    <s v="CLEARWATER"/>
    <s v="FL"/>
    <s v="UNITED STATES"/>
    <x v="10"/>
    <x v="10"/>
    <s v="FRONT OFFICE"/>
    <s v="ELEAD"/>
    <s v="ELEAD OTHER"/>
    <s v="CALL TRACKING"/>
    <m/>
    <s v="N"/>
    <n v="1"/>
    <n v="0"/>
    <n v="0"/>
    <n v="0"/>
    <n v="0"/>
    <n v="599"/>
    <n v="599"/>
    <n v="0"/>
    <n v="0"/>
    <d v="2025-01-31T00:00:00"/>
    <d v="2024-09-06T00:00:00"/>
    <n v="2024"/>
    <n v="9"/>
    <m/>
    <m/>
    <m/>
    <s v="N"/>
    <m/>
    <m/>
    <m/>
    <m/>
    <m/>
    <m/>
    <m/>
    <x v="16"/>
    <n v="2024"/>
    <n v="9"/>
    <n v="2026"/>
    <n v="9"/>
    <m/>
    <m/>
    <m/>
    <m/>
    <m/>
    <x v="18"/>
    <n v="2025"/>
    <n v="1"/>
    <s v="827"/>
    <s v="Low or No Utilization"/>
    <s v="N"/>
    <s v="M"/>
    <s v="BACK TO MANUAL"/>
    <s v="DA"/>
    <s v="Dropped Apps"/>
    <s v="P"/>
    <s v="PRODUCT"/>
    <s v="N/A"/>
    <m/>
    <m/>
    <m/>
  </r>
  <r>
    <s v="64231666SW02"/>
    <m/>
    <m/>
    <s v="AUTOMOBILE"/>
    <s v="3-5"/>
    <s v="NEW AUTO"/>
    <s v="AUTO"/>
    <n v="12"/>
    <m/>
    <m/>
    <s v="N"/>
    <s v="N"/>
    <x v="14"/>
    <s v="10786"/>
    <x v="14"/>
    <s v="LSS"/>
    <s v="N "/>
    <m/>
    <m/>
    <m/>
    <s v="0014000000M6G8KAAB"/>
    <s v="PAUL LOKEY"/>
    <s v="01156105"/>
    <s v="LOKEY NISSAN"/>
    <s v="AUTO"/>
    <s v="76211594"/>
    <s v="LOKEY NISSAN"/>
    <m/>
    <s v="LOKEY NISSAN"/>
    <s v="0122"/>
    <s v="122"/>
    <s v="120"/>
    <s v="27758 US HIGHWAY 19 N"/>
    <s v="CLEARWATER"/>
    <s v="FL"/>
    <s v="UNITED STATES"/>
    <x v="10"/>
    <x v="10"/>
    <s v="FRONT OFFICE"/>
    <s v="ELEAD"/>
    <s v="ELEAD OTHER"/>
    <s v="CALL TRACKING"/>
    <m/>
    <s v="N"/>
    <n v="1"/>
    <n v="0"/>
    <n v="0"/>
    <n v="0"/>
    <n v="0"/>
    <n v="599"/>
    <n v="599"/>
    <n v="7188"/>
    <n v="0"/>
    <d v="2025-01-31T00:00:00"/>
    <d v="2024-09-06T00:00:00"/>
    <n v="2024"/>
    <n v="9"/>
    <m/>
    <m/>
    <m/>
    <s v="N"/>
    <m/>
    <m/>
    <m/>
    <m/>
    <m/>
    <m/>
    <m/>
    <x v="16"/>
    <n v="2024"/>
    <n v="9"/>
    <n v="2026"/>
    <n v="9"/>
    <m/>
    <m/>
    <m/>
    <m/>
    <m/>
    <x v="18"/>
    <n v="2025"/>
    <n v="1"/>
    <s v="827"/>
    <s v="Low or No Utilization"/>
    <s v="N"/>
    <s v="M"/>
    <s v="BACK TO MANUAL"/>
    <s v="DA"/>
    <s v="Dropped Apps"/>
    <s v="P"/>
    <s v="PRODUCT"/>
    <s v="N/A"/>
    <m/>
    <m/>
    <m/>
  </r>
  <r>
    <s v="64233126SW78"/>
    <m/>
    <m/>
    <s v="AUTOMOBILE"/>
    <s v="11+"/>
    <s v="NEW AUTO"/>
    <s v="AUTO"/>
    <n v="60"/>
    <m/>
    <s v="76200288"/>
    <s v="N"/>
    <s v="N"/>
    <x v="15"/>
    <m/>
    <x v="15"/>
    <s v="INS"/>
    <s v="N "/>
    <m/>
    <m/>
    <m/>
    <s v="0014000000JW9X1AAB"/>
    <s v="JACK HANANIA"/>
    <s v="1695755"/>
    <s v="AUDI JACKSONVILLE"/>
    <s v="AUTO"/>
    <s v="76230871"/>
    <s v="HANANIA AUTO"/>
    <m/>
    <s v="HANANIA AUTO"/>
    <s v="0122"/>
    <s v="122"/>
    <s v="120"/>
    <s v="11401 ATLANTIC BLVD"/>
    <s v="JACKSONVILLE"/>
    <s v="FL"/>
    <s v="UNITED STATES"/>
    <x v="11"/>
    <x v="11"/>
    <s v="FRONT OFFICE"/>
    <s v="ELEAD"/>
    <s v="ELEAD OTHER"/>
    <s v="CALL TRACKING"/>
    <m/>
    <s v="N"/>
    <n v="1"/>
    <n v="0"/>
    <n v="0"/>
    <n v="0"/>
    <n v="0"/>
    <n v="1199"/>
    <n v="1199"/>
    <n v="14388"/>
    <n v="0"/>
    <d v="2025-02-13T00:00:00"/>
    <d v="2024-10-23T00:00:00"/>
    <n v="2024"/>
    <n v="10"/>
    <m/>
    <m/>
    <m/>
    <s v="N"/>
    <m/>
    <m/>
    <m/>
    <m/>
    <m/>
    <m/>
    <m/>
    <x v="17"/>
    <n v="2025"/>
    <n v="2"/>
    <n v="2026"/>
    <n v="3"/>
    <m/>
    <m/>
    <m/>
    <m/>
    <m/>
    <x v="3"/>
    <m/>
    <m/>
    <m/>
    <m/>
    <m/>
    <m/>
    <m/>
    <m/>
    <m/>
    <m/>
    <m/>
    <m/>
    <m/>
    <m/>
    <m/>
  </r>
  <r>
    <s v="64168877SW02"/>
    <m/>
    <m/>
    <s v="RECREATION"/>
    <s v="Non-Auto"/>
    <s v="RECREATION"/>
    <s v="MOTORCYCLE"/>
    <n v="1"/>
    <m/>
    <m/>
    <s v="N"/>
    <s v="N"/>
    <x v="16"/>
    <s v="4545"/>
    <x v="16"/>
    <s v="LSS"/>
    <s v="N "/>
    <m/>
    <m/>
    <m/>
    <s v="0014000000MV3SUAAK"/>
    <s v="MOONSHINE HARLEY-DAVIDSON"/>
    <s v="1443259"/>
    <s v="MOONSHINE HARLEY-DAVIDSON"/>
    <s v="MOTORCYCLE"/>
    <s v="76211939"/>
    <s v="MOONSHINE HARLEY DAVIDSON"/>
    <m/>
    <s v="MOONSHINE HARLEY DAVIDSON"/>
    <s v="0122"/>
    <s v="122"/>
    <s v="120"/>
    <s v="7128 SOUTH SPRINGS DR"/>
    <s v="FRANKLIN"/>
    <s v="TN"/>
    <s v="UNITED STATES"/>
    <x v="2"/>
    <x v="2"/>
    <s v="FRONT OFFICE"/>
    <s v="ELEAD"/>
    <s v="ELEAD OTHER"/>
    <s v="CALL TRACKING"/>
    <m/>
    <s v="N"/>
    <n v="1"/>
    <n v="0"/>
    <n v="0"/>
    <n v="0"/>
    <n v="0"/>
    <n v="195"/>
    <n v="499"/>
    <n v="0"/>
    <n v="0"/>
    <d v="2023-04-20T00:00:00"/>
    <d v="2020-01-18T00:00:00"/>
    <n v="2020"/>
    <n v="7"/>
    <m/>
    <m/>
    <m/>
    <s v="N"/>
    <m/>
    <m/>
    <m/>
    <m/>
    <m/>
    <m/>
    <m/>
    <x v="2"/>
    <n v="2020"/>
    <n v="7"/>
    <n v="2026"/>
    <n v="8"/>
    <m/>
    <m/>
    <m/>
    <m/>
    <m/>
    <x v="15"/>
    <n v="2023"/>
    <n v="4"/>
    <s v="827"/>
    <s v="Low or No Utilization"/>
    <s v="N"/>
    <s v="M"/>
    <s v="BACK TO MANUAL"/>
    <s v="DA"/>
    <s v="Dropped Apps"/>
    <s v="P"/>
    <s v="PRODUCT"/>
    <s v="N/A"/>
    <m/>
    <m/>
    <m/>
  </r>
  <r>
    <s v="68228662SW12"/>
    <s v="4570060"/>
    <s v="CRM OUTBOUND TELEPHONY TRACKING (NEW AND CONVERSION)"/>
    <s v="AUTOMOBILE"/>
    <s v="3-5"/>
    <s v="NEW AUTO"/>
    <s v="AUTO"/>
    <n v="66"/>
    <m/>
    <m/>
    <s v="N"/>
    <s v="N"/>
    <x v="10"/>
    <s v="18596"/>
    <x v="10"/>
    <s v="LSS"/>
    <s v="C "/>
    <s v="68243199SW02"/>
    <s v="68168556SW01"/>
    <m/>
    <s v="0014000000JW2XJAAR"/>
    <s v="BOB BELL"/>
    <s v="1799131"/>
    <s v="BOB BELL HYUNDAI"/>
    <s v="AUTO"/>
    <s v="76217678"/>
    <s v="BOB BELL HYUNDAI"/>
    <m/>
    <s v="BOB BELL HYUNDAI"/>
    <s v="0127"/>
    <s v="127"/>
    <s v="120"/>
    <s v="7117 RITCHIE HWY"/>
    <s v="GLEN BURNIE"/>
    <s v="MD"/>
    <s v="UNITED STATES"/>
    <x v="12"/>
    <x v="12"/>
    <s v="FRONT OFFICE"/>
    <s v="ELEAD"/>
    <s v="ELEAD OTHER"/>
    <s v="CALL TRACKING"/>
    <m/>
    <s v="N"/>
    <n v="1"/>
    <n v="0"/>
    <n v="0"/>
    <n v="0"/>
    <n v="0"/>
    <n v="1849"/>
    <n v="1849"/>
    <n v="-3811.92"/>
    <n v="0"/>
    <d v="2025-09-15T00:00:00"/>
    <d v="2024-08-26T00:00:00"/>
    <n v="2024"/>
    <n v="8"/>
    <m/>
    <m/>
    <m/>
    <s v="N"/>
    <m/>
    <m/>
    <m/>
    <m/>
    <m/>
    <m/>
    <m/>
    <x v="18"/>
    <n v="2024"/>
    <n v="10"/>
    <n v="2026"/>
    <n v="10"/>
    <m/>
    <m/>
    <m/>
    <m/>
    <m/>
    <x v="19"/>
    <n v="2025"/>
    <n v="9"/>
    <s v="221"/>
    <s v="CDK CONVERSION - SYS GENERATED"/>
    <s v="N"/>
    <s v="C"/>
    <s v="CDK Conversion"/>
    <s v="CV"/>
    <s v="Conversion"/>
    <s v="G"/>
    <s v="SYS GEN"/>
    <s v="CDK"/>
    <s v="ADP"/>
    <m/>
    <m/>
  </r>
  <r>
    <s v="64226788SW02"/>
    <m/>
    <m/>
    <s v="AUTOMOBILE"/>
    <s v="6-10"/>
    <s v="NEW AUTO"/>
    <s v="AUTO"/>
    <n v="12"/>
    <m/>
    <m/>
    <s v="N"/>
    <s v="N"/>
    <x v="17"/>
    <m/>
    <x v="17"/>
    <s v="LSS"/>
    <s v="N "/>
    <s v="64243030SW21"/>
    <m/>
    <m/>
    <s v="0014000000JWA15AAF"/>
    <s v="GALEANA AUTOMOTIVE GROUP"/>
    <s v="186155"/>
    <s v="GALEANA KIA OF FORT MYERS"/>
    <s v="AUTO"/>
    <s v="76220548"/>
    <s v="GALEANA KIA OF FORT MYERS"/>
    <m/>
    <s v="GALEANA KIA OF FORT MYERS"/>
    <s v="0122"/>
    <s v="122"/>
    <s v="120"/>
    <s v="14483 S TAMIAMI TRL"/>
    <s v="FORT MYERS"/>
    <s v="FL"/>
    <s v="UNITED STATES"/>
    <x v="9"/>
    <x v="9"/>
    <s v="FRONT OFFICE"/>
    <s v="ELEAD"/>
    <s v="ELEAD OTHER"/>
    <s v="CALL TRACKING"/>
    <m/>
    <s v="N"/>
    <n v="1"/>
    <n v="0"/>
    <n v="0"/>
    <n v="0"/>
    <n v="0"/>
    <n v="999"/>
    <n v="999"/>
    <n v="11988"/>
    <n v="0"/>
    <d v="2025-09-25T00:00:00"/>
    <d v="2024-03-22T00:00:00"/>
    <n v="2024"/>
    <n v="3"/>
    <m/>
    <m/>
    <m/>
    <s v="N"/>
    <m/>
    <m/>
    <m/>
    <m/>
    <m/>
    <m/>
    <m/>
    <x v="14"/>
    <n v="2024"/>
    <n v="4"/>
    <n v="2026"/>
    <n v="5"/>
    <d v="2024-04-18T00:00:00"/>
    <n v="2024"/>
    <n v="4"/>
    <n v="2024"/>
    <n v="5"/>
    <x v="16"/>
    <n v="2025"/>
    <n v="9"/>
    <s v="221"/>
    <s v="CDK CONVERSION - SYS GENERATED"/>
    <s v="N"/>
    <s v="C"/>
    <s v="CDK Conversion"/>
    <s v="CV"/>
    <s v="Conversion"/>
    <s v="G"/>
    <s v="SYS GEN"/>
    <s v="CDK"/>
    <s v="ADP"/>
    <m/>
    <m/>
  </r>
  <r>
    <s v="68172164SW40"/>
    <m/>
    <m/>
    <s v="AUTOMOBILE"/>
    <s v="6-10"/>
    <s v="NEW AUTO"/>
    <s v="AUTO"/>
    <n v="60"/>
    <m/>
    <m/>
    <s v="N"/>
    <s v="N"/>
    <x v="18"/>
    <s v="18076"/>
    <x v="18"/>
    <s v="LSS"/>
    <s v="N "/>
    <m/>
    <m/>
    <m/>
    <s v="0015A00003EKE0EAAX"/>
    <s v="KING AUTO GROUP"/>
    <s v="70397813"/>
    <s v="KING KIA"/>
    <s v="AUTO"/>
    <s v="76049589"/>
    <s v="KING KIA"/>
    <m/>
    <s v="KING KIA"/>
    <s v="0127"/>
    <s v="127"/>
    <s v="120"/>
    <s v="953 N FREDERICK AVE"/>
    <s v="GAITHERSBURG"/>
    <s v="MD"/>
    <s v="UNITED STATES"/>
    <x v="5"/>
    <x v="5"/>
    <s v="FRONT OFFICE"/>
    <s v="ELEAD"/>
    <s v="ELEAD OTHER"/>
    <s v="CALL TRACKING"/>
    <m/>
    <s v="N"/>
    <n v="1"/>
    <n v="0"/>
    <n v="0"/>
    <n v="0"/>
    <n v="0"/>
    <n v="299"/>
    <n v="299"/>
    <n v="3588"/>
    <n v="0"/>
    <d v="2025-05-12T00:00:00"/>
    <d v="2020-07-21T00:00:00"/>
    <n v="2021"/>
    <n v="1"/>
    <m/>
    <m/>
    <m/>
    <s v="N"/>
    <m/>
    <m/>
    <m/>
    <m/>
    <m/>
    <m/>
    <m/>
    <x v="19"/>
    <n v="2021"/>
    <n v="1"/>
    <n v="2026"/>
    <n v="1"/>
    <m/>
    <m/>
    <m/>
    <m/>
    <m/>
    <x v="5"/>
    <n v="2025"/>
    <n v="5"/>
    <s v="836"/>
    <s v="Price/Value Proposition"/>
    <s v="N"/>
    <s v="M"/>
    <s v="BACK TO MANUAL"/>
    <s v="DA"/>
    <s v="Dropped Apps"/>
    <s v="P"/>
    <s v="PRODUCT"/>
    <s v="Manual"/>
    <m/>
    <m/>
    <m/>
  </r>
  <r>
    <s v="38103593SW02"/>
    <s v="4570120"/>
    <s v="CRM TELEPHONY TRACKING"/>
    <s v="RECREATION"/>
    <s v="Non-Auto"/>
    <s v="RECREATION"/>
    <s v="MOTORCYCLE"/>
    <n v="1"/>
    <m/>
    <m/>
    <s v="N"/>
    <s v="N"/>
    <x v="5"/>
    <s v="9973"/>
    <x v="5"/>
    <s v="LSS"/>
    <s v="C "/>
    <m/>
    <s v="38095572SW02"/>
    <m/>
    <s v="0010B00002DHZOWAA1"/>
    <s v="EMERALD COAST HARLEY-DAVIDSON"/>
    <s v="1733397"/>
    <s v="EMERALD COAST HARLEY-DAVIDSON"/>
    <s v="MOTORCYCLE"/>
    <s v="76212580"/>
    <s v="EMERALD COAST HARLEY-DAVIDSON"/>
    <m/>
    <s v="EMERALD COAST HARLEY-DAVIDSON"/>
    <s v="0122"/>
    <s v="122"/>
    <s v="120"/>
    <s v="788 BEAL PKWY NW"/>
    <s v="FORT WALTON BEACH"/>
    <s v="FL"/>
    <s v="UNITED STATES"/>
    <x v="5"/>
    <x v="5"/>
    <s v="FRONT OFFICE"/>
    <s v="ELEAD"/>
    <s v="ELEAD OTHER"/>
    <s v="CALL TRACKING"/>
    <m/>
    <s v="N"/>
    <n v="1"/>
    <n v="0"/>
    <n v="0"/>
    <n v="0"/>
    <n v="0"/>
    <n v="299"/>
    <n v="299"/>
    <n v="1374"/>
    <n v="0"/>
    <d v="2021-05-13T00:00:00"/>
    <d v="2020-11-26T00:00:00"/>
    <n v="2021"/>
    <n v="5"/>
    <m/>
    <m/>
    <m/>
    <s v="N"/>
    <m/>
    <m/>
    <m/>
    <m/>
    <m/>
    <m/>
    <m/>
    <x v="20"/>
    <n v="2021"/>
    <n v="8"/>
    <n v="2026"/>
    <n v="9"/>
    <m/>
    <m/>
    <m/>
    <m/>
    <m/>
    <x v="20"/>
    <n v="2021"/>
    <n v="11"/>
    <s v="836"/>
    <s v="Price/Value Proposition"/>
    <s v="N"/>
    <s v="M"/>
    <s v="BACK TO MANUAL"/>
    <s v="DA"/>
    <s v="Dropped Apps"/>
    <s v="P"/>
    <s v="PRODUCT"/>
    <s v="Manual"/>
    <m/>
    <m/>
    <m/>
  </r>
  <r>
    <s v="68193749SW02"/>
    <s v="4570060"/>
    <s v="CRM OUTBOUND TELEPHONY TRACKING (NEW AND CONVERSION)"/>
    <s v="AUTOMOBILE"/>
    <s v="11+"/>
    <s v="NEW AUTO"/>
    <s v="AUTO"/>
    <n v="1"/>
    <m/>
    <m/>
    <s v="N"/>
    <s v="N"/>
    <x v="19"/>
    <s v="17223"/>
    <x v="19"/>
    <s v="LSS"/>
    <s v="C "/>
    <m/>
    <s v="68164176SW02"/>
    <m/>
    <s v="0014000000JW330AAB"/>
    <s v="TOMMY BAKER"/>
    <s v="102187"/>
    <s v="BAKER BUICK GMC CADILLAC"/>
    <s v="AUTO"/>
    <s v="76143222"/>
    <s v="BAKER BUICK GMC CADILLAC"/>
    <m/>
    <s v="BAKER BUICK GMC CADILLAC"/>
    <s v="0127"/>
    <s v="127"/>
    <s v="120"/>
    <s v="1621 SAVANNAH HIGHWAY"/>
    <s v="CHARLESTON"/>
    <s v="SC"/>
    <s v="UNITED STATES"/>
    <x v="2"/>
    <x v="2"/>
    <s v="FRONT OFFICE"/>
    <s v="ELEAD"/>
    <s v="ELEAD OTHER"/>
    <s v="CALL TRACKING"/>
    <m/>
    <s v="N"/>
    <n v="1"/>
    <n v="0"/>
    <n v="0"/>
    <n v="0"/>
    <n v="0"/>
    <n v="195"/>
    <n v="1849"/>
    <n v="0"/>
    <n v="0"/>
    <d v="2025-06-02T00:00:00"/>
    <d v="2022-05-24T00:00:00"/>
    <n v="2022"/>
    <n v="11"/>
    <m/>
    <m/>
    <m/>
    <s v="N"/>
    <m/>
    <m/>
    <m/>
    <m/>
    <m/>
    <m/>
    <m/>
    <x v="21"/>
    <n v="2022"/>
    <n v="11"/>
    <n v="2026"/>
    <n v="12"/>
    <m/>
    <m/>
    <m/>
    <m/>
    <m/>
    <x v="21"/>
    <n v="2025"/>
    <n v="5"/>
    <s v="812"/>
    <s v="CDK Conversion"/>
    <s v="N"/>
    <s v="C"/>
    <s v="CDK Conversion"/>
    <s v="CV"/>
    <s v="Conversion"/>
    <s v="P"/>
    <s v="PRODUCT"/>
    <s v="CDK"/>
    <s v="ADP"/>
    <m/>
    <m/>
  </r>
  <r>
    <s v="64226787SW01"/>
    <s v="4570122"/>
    <s v="CARWARS ADVANCED SALES"/>
    <s v="AUTOMOBILE"/>
    <s v="6-10"/>
    <s v="NEW AUTO"/>
    <s v="AUTO"/>
    <n v="12"/>
    <m/>
    <m/>
    <s v="N"/>
    <s v="N"/>
    <x v="13"/>
    <m/>
    <x v="13"/>
    <s v="LSS"/>
    <s v="C "/>
    <s v="64243030SW24"/>
    <s v="68182618SW01"/>
    <m/>
    <s v="0014000000JWA15AAF"/>
    <s v="GALEANA AUTOMOTIVE GROUP"/>
    <s v="1361687"/>
    <s v="GALEANA CHRYSLER DODGE JEEP RAM OF FORT MYERS"/>
    <s v="AUTO"/>
    <s v="76220529"/>
    <s v="GALEANA CHRYSLER DODGE JEEP RAM OF FORT MYERS"/>
    <m/>
    <s v="GALEANA CHRYSLER DODGE JEEP RAM OF FORT MYERS"/>
    <s v="0122"/>
    <s v="122"/>
    <s v="120"/>
    <s v="14375 S TAMIAMI TRAIL"/>
    <s v="FORT MYERS"/>
    <s v="FL"/>
    <s v="UNITED STATES"/>
    <x v="6"/>
    <x v="6"/>
    <s v="FRONT OFFICE"/>
    <s v="ELEAD"/>
    <s v="ELEAD OTHER"/>
    <s v="CALL TRACKING"/>
    <m/>
    <s v="N"/>
    <n v="1"/>
    <n v="0"/>
    <n v="0"/>
    <n v="0"/>
    <n v="0"/>
    <n v="1499"/>
    <n v="1499"/>
    <n v="6000"/>
    <n v="0"/>
    <d v="2025-09-25T00:00:00"/>
    <d v="2024-03-22T00:00:00"/>
    <n v="2024"/>
    <n v="3"/>
    <m/>
    <m/>
    <m/>
    <s v="N"/>
    <m/>
    <m/>
    <m/>
    <m/>
    <m/>
    <m/>
    <m/>
    <x v="14"/>
    <n v="2024"/>
    <n v="4"/>
    <n v="2026"/>
    <n v="5"/>
    <d v="2024-04-18T00:00:00"/>
    <n v="2024"/>
    <n v="4"/>
    <n v="2024"/>
    <n v="5"/>
    <x v="16"/>
    <n v="2025"/>
    <n v="9"/>
    <s v="221"/>
    <s v="CDK CONVERSION - SYS GENERATED"/>
    <s v="N"/>
    <s v="C"/>
    <s v="CDK Conversion"/>
    <s v="CV"/>
    <s v="Conversion"/>
    <s v="G"/>
    <s v="SYS GEN"/>
    <s v="CDK"/>
    <s v="ADP"/>
    <m/>
    <m/>
  </r>
  <r>
    <s v="68199331SW01"/>
    <m/>
    <m/>
    <s v="AUTOMOBILE"/>
    <s v="6-10"/>
    <s v="NEW AUTO"/>
    <s v="AUTO"/>
    <n v="12"/>
    <m/>
    <m/>
    <s v="N"/>
    <s v="N"/>
    <x v="20"/>
    <m/>
    <x v="20"/>
    <s v="LSS"/>
    <s v="N "/>
    <s v="68243830SW17"/>
    <m/>
    <m/>
    <s v="0014000000JW9Y1AAB"/>
    <s v="DONALD AUTOMOTIVE GROUP"/>
    <s v="71053228"/>
    <s v="RENALDO KIA"/>
    <s v="AUTO"/>
    <s v="76171765"/>
    <s v="RENALDO KIA"/>
    <m/>
    <s v="RENALDO KIA"/>
    <s v="0127"/>
    <s v="127"/>
    <s v="120"/>
    <s v="4425 E DIXON BLVD"/>
    <s v="SHELBY"/>
    <s v="NC"/>
    <s v="UNITED STATES"/>
    <x v="0"/>
    <x v="0"/>
    <s v="FRONT OFFICE"/>
    <s v="ELEAD"/>
    <s v="ELEAD OTHER"/>
    <s v="CALL TRACKING"/>
    <m/>
    <s v="N"/>
    <n v="1"/>
    <n v="0"/>
    <n v="0"/>
    <n v="0"/>
    <n v="0"/>
    <n v="499"/>
    <n v="499"/>
    <n v="5988"/>
    <n v="0"/>
    <d v="2025-10-02T00:00:00"/>
    <d v="2022-11-04T00:00:00"/>
    <n v="2022"/>
    <n v="17"/>
    <m/>
    <m/>
    <m/>
    <s v="N"/>
    <m/>
    <m/>
    <m/>
    <m/>
    <m/>
    <m/>
    <m/>
    <x v="22"/>
    <n v="2023"/>
    <n v="2"/>
    <n v="2026"/>
    <n v="2"/>
    <d v="2023-02-01T00:00:00"/>
    <n v="2023"/>
    <n v="1"/>
    <n v="2023"/>
    <n v="2"/>
    <x v="22"/>
    <n v="2025"/>
    <n v="10"/>
    <s v="221"/>
    <s v="CDK CONVERSION - SYS GENERATED"/>
    <s v="N"/>
    <s v="C"/>
    <s v="CDK Conversion"/>
    <s v="CV"/>
    <s v="Conversion"/>
    <s v="G"/>
    <s v="SYS GEN"/>
    <s v="CDK"/>
    <s v="ADP"/>
    <m/>
    <m/>
  </r>
  <r>
    <s v="68228477SW22"/>
    <m/>
    <m/>
    <s v="AUTOMOBILE"/>
    <s v="3-5"/>
    <s v="NEW AUTO"/>
    <s v="AUTO"/>
    <n v="66"/>
    <m/>
    <m/>
    <s v="Y"/>
    <s v="N"/>
    <x v="21"/>
    <s v="18577"/>
    <x v="21"/>
    <s v="ANS"/>
    <s v="N "/>
    <m/>
    <m/>
    <m/>
    <s v="0014000000JW2XJAAR"/>
    <s v="BOB BELL"/>
    <s v="25181201"/>
    <s v="BOB BELL FORD"/>
    <s v="AUTO"/>
    <s v="25181201"/>
    <s v="BOB BELL FORD"/>
    <m/>
    <s v="BOB BELL FORD"/>
    <s v="0127"/>
    <s v="127"/>
    <s v="120"/>
    <s v="7125 RITCHIE HWY"/>
    <s v="GLEN BURNIE"/>
    <s v="MD"/>
    <s v="UNITED STATES"/>
    <x v="12"/>
    <x v="12"/>
    <s v="FRONT OFFICE"/>
    <s v="ELEAD"/>
    <s v="ELEAD OTHER"/>
    <s v="CALL TRACKING"/>
    <m/>
    <s v="N"/>
    <n v="1"/>
    <n v="0"/>
    <n v="0"/>
    <n v="0"/>
    <n v="0"/>
    <n v="1849"/>
    <n v="1849"/>
    <n v="22188"/>
    <n v="4"/>
    <d v="2024-08-22T13:04:24"/>
    <d v="2024-08-21T00:00:00"/>
    <n v="2024"/>
    <n v="8"/>
    <d v="2024-08-22T00:00:00"/>
    <n v="2024"/>
    <n v="8"/>
    <s v="N"/>
    <m/>
    <m/>
    <m/>
    <m/>
    <m/>
    <m/>
    <m/>
    <x v="23"/>
    <m/>
    <m/>
    <m/>
    <m/>
    <m/>
    <m/>
    <m/>
    <m/>
    <m/>
    <x v="3"/>
    <m/>
    <m/>
    <s v="823"/>
    <s v="Error Correction"/>
    <s v="Y"/>
    <s v="EC"/>
    <s v="ADMINISTRATIVE ADJUSTMENT"/>
    <s v="CA"/>
    <s v="CONTRA ADD"/>
    <s v="S"/>
    <s v="SITE"/>
    <s v="N/A"/>
    <m/>
    <m/>
    <m/>
  </r>
  <r>
    <s v="68244081SW18"/>
    <s v="4570009"/>
    <s v="CARWARS STARTER 3500"/>
    <s v="AUTOMOBILE"/>
    <s v="1-2"/>
    <s v="NEW AUTO"/>
    <s v="AUTO"/>
    <n v="24"/>
    <m/>
    <s v="08320047"/>
    <s v="Y"/>
    <s v="N"/>
    <x v="2"/>
    <s v="8230"/>
    <x v="2"/>
    <s v="INS"/>
    <s v="C "/>
    <m/>
    <s v="68172588SW01"/>
    <m/>
    <s v="0014000000JW305AAB"/>
    <s v="CELLA FORD"/>
    <s v="10123709"/>
    <s v="CELLA FORD"/>
    <s v="AUTO"/>
    <s v="08320047"/>
    <s v="CELLA FORD"/>
    <m/>
    <s v="CELLA FORD"/>
    <s v="0127"/>
    <s v="127"/>
    <s v="120"/>
    <s v="3210 DR M L KING JR BLVD"/>
    <s v="NEW BERN"/>
    <s v="NC"/>
    <s v="UNITED STATES"/>
    <x v="10"/>
    <x v="10"/>
    <s v="FRONT OFFICE"/>
    <s v="ELEAD"/>
    <s v="ELEAD OTHER"/>
    <s v="CALL TRACKING"/>
    <m/>
    <s v="N"/>
    <n v="1"/>
    <n v="0"/>
    <n v="0"/>
    <n v="0"/>
    <n v="0"/>
    <n v="599"/>
    <n v="599"/>
    <n v="4519.2"/>
    <n v="0"/>
    <d v="2025-11-19T00:00:00"/>
    <d v="2025-10-01T00:00:00"/>
    <n v="2025"/>
    <n v="9"/>
    <m/>
    <m/>
    <m/>
    <s v="N"/>
    <m/>
    <m/>
    <m/>
    <m/>
    <m/>
    <m/>
    <m/>
    <x v="24"/>
    <n v="2025"/>
    <n v="11"/>
    <n v="2026"/>
    <n v="12"/>
    <d v="2025-11-19T00:00:00"/>
    <n v="2025"/>
    <n v="11"/>
    <n v="2025"/>
    <n v="12"/>
    <x v="3"/>
    <m/>
    <m/>
    <m/>
    <m/>
    <m/>
    <m/>
    <m/>
    <m/>
    <m/>
    <m/>
    <m/>
    <m/>
    <m/>
    <m/>
    <m/>
  </r>
  <r>
    <s v="64169289SW03"/>
    <m/>
    <m/>
    <s v="RECREATION"/>
    <s v="Non-Auto"/>
    <s v="RECREATION"/>
    <s v="MOTORCYCLE"/>
    <n v="1"/>
    <m/>
    <m/>
    <s v="N"/>
    <s v="N"/>
    <x v="22"/>
    <s v="4548"/>
    <x v="22"/>
    <s v="LSS"/>
    <s v="N "/>
    <m/>
    <m/>
    <m/>
    <s v="0014000000MV2TKAA0"/>
    <s v="NEW ORLEANS HARLEY-DAVIDSON"/>
    <s v="1441908"/>
    <s v="NEW ORLEANS HARLEY-DAVIDSON"/>
    <s v="MOTORCYCLE"/>
    <s v="76211900"/>
    <s v="NEW ORLEANS HARLEY-DAVIDSON"/>
    <m/>
    <s v="NEW ORLEANS HARLEY-DAVIDSON"/>
    <s v="0122"/>
    <s v="122"/>
    <s v="120"/>
    <s v="6015 AIRLINE DRIVE"/>
    <s v="METAIRIE"/>
    <s v="LA"/>
    <s v="UNITED STATES"/>
    <x v="7"/>
    <x v="7"/>
    <s v="FRONT OFFICE"/>
    <s v="ELEAD"/>
    <s v="ELEAD OTHER"/>
    <s v="CALL TRACKING"/>
    <m/>
    <s v="N"/>
    <n v="1"/>
    <n v="0"/>
    <n v="0"/>
    <n v="0"/>
    <n v="0"/>
    <n v="100"/>
    <n v="70"/>
    <n v="0"/>
    <n v="0"/>
    <d v="2023-04-20T00:00:00"/>
    <d v="2020-01-18T00:00:00"/>
    <n v="2020"/>
    <n v="7"/>
    <m/>
    <m/>
    <m/>
    <s v="N"/>
    <m/>
    <m/>
    <m/>
    <m/>
    <m/>
    <m/>
    <m/>
    <x v="2"/>
    <n v="2020"/>
    <n v="7"/>
    <n v="2026"/>
    <n v="8"/>
    <m/>
    <m/>
    <m/>
    <m/>
    <m/>
    <x v="15"/>
    <n v="2023"/>
    <n v="4"/>
    <s v="827"/>
    <s v="Low or No Utilization"/>
    <s v="N"/>
    <s v="M"/>
    <s v="BACK TO MANUAL"/>
    <s v="DA"/>
    <s v="Dropped Apps"/>
    <s v="P"/>
    <s v="PRODUCT"/>
    <s v="N/A"/>
    <m/>
    <m/>
    <m/>
  </r>
  <r>
    <s v="64188763SW01"/>
    <m/>
    <m/>
    <s v="AUTOMOBILE"/>
    <s v="11+"/>
    <s v="NEW AUTO"/>
    <s v="AUTO"/>
    <n v="12"/>
    <m/>
    <m/>
    <s v="N"/>
    <s v="N"/>
    <x v="23"/>
    <s v="15230"/>
    <x v="23"/>
    <s v="LSS"/>
    <s v="N "/>
    <s v="64233126SW75"/>
    <m/>
    <m/>
    <s v="0014000000JW9X1AAB"/>
    <s v="JACK HANANIA"/>
    <s v="1581742"/>
    <s v="COCONUT POINT HONDA"/>
    <s v="AUTO"/>
    <s v="76230871"/>
    <s v="HANANIA AUTO"/>
    <m/>
    <s v="COCONUT POINT HONDA"/>
    <s v="0122"/>
    <s v="122"/>
    <s v="120"/>
    <s v="22240 S. TAMIAMI TRAIL"/>
    <s v="ESTERO"/>
    <s v="FL"/>
    <s v="UNITED STATES"/>
    <x v="6"/>
    <x v="6"/>
    <s v="FRONT OFFICE"/>
    <s v="ELEAD"/>
    <s v="ELEAD OTHER"/>
    <s v="CALL TRACKING"/>
    <m/>
    <s v="N"/>
    <n v="1"/>
    <n v="0"/>
    <n v="0"/>
    <n v="0"/>
    <n v="0"/>
    <n v="1499"/>
    <n v="1499"/>
    <n v="17988"/>
    <n v="0"/>
    <d v="2025-02-26T00:00:00"/>
    <d v="2021-06-30T00:00:00"/>
    <n v="2021"/>
    <n v="12"/>
    <m/>
    <m/>
    <m/>
    <s v="N"/>
    <m/>
    <m/>
    <m/>
    <m/>
    <m/>
    <m/>
    <m/>
    <x v="25"/>
    <n v="2022"/>
    <n v="3"/>
    <n v="2026"/>
    <n v="4"/>
    <d v="2021-09-17T00:00:00"/>
    <n v="2022"/>
    <n v="3"/>
    <n v="2022"/>
    <n v="4"/>
    <x v="23"/>
    <n v="2025"/>
    <n v="2"/>
    <s v="221"/>
    <s v="CDK CONVERSION - SYS GENERATED"/>
    <s v="N"/>
    <s v="C"/>
    <s v="CDK Conversion"/>
    <s v="CV"/>
    <s v="Conversion"/>
    <s v="G"/>
    <s v="SYS GEN"/>
    <s v="CDK"/>
    <s v="ADP"/>
    <m/>
    <m/>
  </r>
  <r>
    <s v="64192511SW08"/>
    <s v="4570009"/>
    <s v="CARWARS STARTER 3500"/>
    <s v="AUTOMOBILE"/>
    <s v="6-10"/>
    <s v="USED AUTO"/>
    <s v="USED VEHICLE"/>
    <n v="60"/>
    <m/>
    <m/>
    <s v="N"/>
    <s v="N"/>
    <x v="24"/>
    <s v="25433"/>
    <x v="24"/>
    <s v="LSS"/>
    <s v="R "/>
    <m/>
    <s v="64185402SW02"/>
    <m/>
    <s v="0015A00002ZONADAAK"/>
    <s v="UNION AUTO GROUP"/>
    <s v="1839493"/>
    <s v="UNION AUTO GROUP"/>
    <s v="USED VEHICLE"/>
    <s v="76224283"/>
    <s v="UNION AUTO GRUPO USADOS"/>
    <m/>
    <s v="UNION AUTO GRUPO USADOS"/>
    <s v="0122"/>
    <s v="122"/>
    <s v="120"/>
    <s v="867 AVE LUIS MUNOZ RIVERA"/>
    <s v="SAN JUAN"/>
    <s v="PR"/>
    <s v="UNITED STATES"/>
    <x v="5"/>
    <x v="5"/>
    <s v="FRONT OFFICE"/>
    <s v="ELEAD"/>
    <s v="ELEAD OTHER"/>
    <s v="CALL TRACKING"/>
    <m/>
    <s v="N"/>
    <n v="1"/>
    <n v="0"/>
    <n v="0"/>
    <n v="0"/>
    <n v="0"/>
    <n v="299"/>
    <n v="262"/>
    <n v="0"/>
    <n v="0"/>
    <d v="2025-08-12T00:00:00"/>
    <d v="2021-11-24T00:00:00"/>
    <n v="2022"/>
    <n v="5"/>
    <m/>
    <m/>
    <m/>
    <s v="N"/>
    <m/>
    <m/>
    <m/>
    <m/>
    <m/>
    <m/>
    <m/>
    <x v="26"/>
    <n v="2022"/>
    <n v="5"/>
    <n v="2026"/>
    <n v="6"/>
    <d v="2021-12-01T00:00:00"/>
    <n v="2022"/>
    <n v="5"/>
    <n v="2022"/>
    <n v="6"/>
    <x v="8"/>
    <n v="2025"/>
    <n v="8"/>
    <s v="812"/>
    <s v="CDK Conversion"/>
    <s v="N"/>
    <s v="C"/>
    <s v="CDK Conversion"/>
    <s v="CV"/>
    <s v="Conversion"/>
    <s v="P"/>
    <s v="PRODUCT"/>
    <s v="CDK"/>
    <s v="ADP"/>
    <m/>
    <m/>
  </r>
  <r>
    <s v="68164391SW06"/>
    <m/>
    <m/>
    <s v="AUTOMOBILE"/>
    <s v="3-5"/>
    <s v="NEW AUTO"/>
    <s v="AUTO"/>
    <n v="1"/>
    <m/>
    <m/>
    <s v="N"/>
    <s v="N"/>
    <x v="25"/>
    <s v="17563"/>
    <x v="25"/>
    <s v="LSS"/>
    <s v="N "/>
    <m/>
    <m/>
    <m/>
    <s v="0014000000JW3AMAAR"/>
    <s v="GRAINGER"/>
    <s v="1661251"/>
    <s v="GRAINGER NISSAN OF BEAUFORT"/>
    <s v="AUTO"/>
    <s v="76193826"/>
    <s v="GRAINGER NISSAN OF BEAUFORT"/>
    <m/>
    <s v="GRAINGER NISSAN OF BEAUFORT"/>
    <s v="0127"/>
    <s v="127"/>
    <s v="120"/>
    <s v="219 ROBERT SMALLS PARKWAY"/>
    <s v="BEAUFORT"/>
    <s v="SC"/>
    <s v="UNITED STATES"/>
    <x v="2"/>
    <x v="2"/>
    <s v="FRONT OFFICE"/>
    <s v="ELEAD"/>
    <s v="ELEAD OTHER"/>
    <s v="CALL TRACKING"/>
    <m/>
    <s v="N"/>
    <n v="1"/>
    <n v="0"/>
    <n v="0"/>
    <n v="0"/>
    <n v="0"/>
    <n v="195"/>
    <n v="995"/>
    <n v="0"/>
    <n v="0"/>
    <d v="2020-08-31T00:00:00"/>
    <d v="2020-01-19T00:00:00"/>
    <n v="2020"/>
    <n v="7"/>
    <m/>
    <m/>
    <m/>
    <s v="N"/>
    <m/>
    <m/>
    <m/>
    <m/>
    <m/>
    <m/>
    <m/>
    <x v="2"/>
    <n v="2020"/>
    <n v="7"/>
    <n v="2026"/>
    <n v="8"/>
    <m/>
    <m/>
    <m/>
    <m/>
    <m/>
    <x v="24"/>
    <n v="2021"/>
    <n v="2"/>
    <s v="823"/>
    <s v="Error Correction"/>
    <s v="Y"/>
    <s v="EC"/>
    <s v="ADMINISTRATIVE ADJUSTMENT"/>
    <s v="CA"/>
    <s v="CONTRA ADD"/>
    <s v="P"/>
    <s v="PRODUCT"/>
    <s v="N/A"/>
    <m/>
    <m/>
    <m/>
  </r>
  <r>
    <s v="64169289SW04"/>
    <m/>
    <m/>
    <s v="RECREATION"/>
    <s v="Non-Auto"/>
    <s v="RECREATION"/>
    <s v="MOTORCYCLE"/>
    <n v="1"/>
    <m/>
    <m/>
    <s v="N"/>
    <s v="N"/>
    <x v="22"/>
    <s v="4548"/>
    <x v="22"/>
    <s v="LSS"/>
    <s v="N "/>
    <s v="64238640SW03"/>
    <m/>
    <m/>
    <s v="0014000000MV2TKAA0"/>
    <s v="NEW ORLEANS HARLEY-DAVIDSON"/>
    <s v="1441908"/>
    <s v="NEW ORLEANS HARLEY-DAVIDSON"/>
    <s v="MOTORCYCLE"/>
    <s v="76211900"/>
    <s v="NEW ORLEANS HARLEY-DAVIDSON"/>
    <m/>
    <s v="NEW ORLEANS HARLEY-DAVIDSON"/>
    <s v="0122"/>
    <s v="122"/>
    <s v="120"/>
    <s v="6015 AIRLINE DRIVE"/>
    <s v="METAIRIE"/>
    <s v="LA"/>
    <s v="UNITED STATES"/>
    <x v="2"/>
    <x v="2"/>
    <s v="FRONT OFFICE"/>
    <s v="ELEAD"/>
    <s v="ELEAD OTHER"/>
    <s v="CALL TRACKING"/>
    <m/>
    <s v="N"/>
    <n v="1"/>
    <n v="0"/>
    <n v="0"/>
    <n v="0"/>
    <n v="0"/>
    <n v="195"/>
    <n v="199"/>
    <n v="0"/>
    <n v="0"/>
    <d v="2025-05-01T00:00:00"/>
    <d v="2020-01-18T00:00:00"/>
    <n v="2020"/>
    <n v="7"/>
    <m/>
    <m/>
    <m/>
    <s v="N"/>
    <m/>
    <m/>
    <m/>
    <m/>
    <m/>
    <m/>
    <m/>
    <x v="2"/>
    <n v="2020"/>
    <n v="7"/>
    <n v="2026"/>
    <n v="8"/>
    <m/>
    <m/>
    <m/>
    <m/>
    <m/>
    <x v="5"/>
    <n v="2025"/>
    <n v="4"/>
    <s v="221"/>
    <s v="CDK CONVERSION - SYS GENERATED"/>
    <s v="N"/>
    <s v="C"/>
    <s v="CDK Conversion"/>
    <s v="CV"/>
    <s v="Conversion"/>
    <s v="G"/>
    <s v="SYS GEN"/>
    <s v="CDK"/>
    <s v="ADP"/>
    <m/>
    <m/>
  </r>
  <r>
    <s v="67037594SW02"/>
    <m/>
    <m/>
    <s v="AUTOMOBILE"/>
    <s v="11+"/>
    <s v="NEW AUTO"/>
    <s v="AUTO"/>
    <n v="1"/>
    <m/>
    <m/>
    <s v="N"/>
    <s v="N"/>
    <x v="26"/>
    <s v="15952"/>
    <x v="26"/>
    <s v="LSS"/>
    <s v="N "/>
    <m/>
    <m/>
    <m/>
    <s v="0014000000JVW6GAAB"/>
    <s v="ZIMBRICK"/>
    <s v="1361883"/>
    <s v="ACURA OF BROOKFIELD"/>
    <s v="AUTO"/>
    <s v="76066605"/>
    <s v="ZIMBRICK BUICK WEST"/>
    <m/>
    <s v="ZIMBRICK BUICK WEST"/>
    <s v="0122"/>
    <s v="122"/>
    <s v="120"/>
    <s v="19180 W BLUEMOUND ROAD"/>
    <s v="BROOKFIELD"/>
    <s v="WI"/>
    <s v="UNITED STATES"/>
    <x v="0"/>
    <x v="0"/>
    <s v="FRONT OFFICE"/>
    <s v="ELEAD"/>
    <s v="ELEAD OTHER"/>
    <s v="CALL TRACKING"/>
    <m/>
    <s v="N"/>
    <n v="1"/>
    <n v="0"/>
    <n v="0"/>
    <n v="0"/>
    <n v="0"/>
    <n v="499"/>
    <n v="499"/>
    <n v="2994"/>
    <n v="0"/>
    <d v="2024-05-08T00:00:00"/>
    <d v="2020-03-20T00:00:00"/>
    <n v="2020"/>
    <n v="9"/>
    <m/>
    <m/>
    <m/>
    <s v="N"/>
    <m/>
    <m/>
    <m/>
    <m/>
    <m/>
    <m/>
    <m/>
    <x v="27"/>
    <n v="2021"/>
    <n v="4"/>
    <n v="2026"/>
    <n v="3"/>
    <m/>
    <m/>
    <m/>
    <m/>
    <m/>
    <x v="9"/>
    <n v="2024"/>
    <n v="5"/>
    <s v="827"/>
    <s v="Low or No Utilization"/>
    <s v="N"/>
    <s v="M"/>
    <s v="BACK TO MANUAL"/>
    <s v="DA"/>
    <s v="Dropped Apps"/>
    <s v="P"/>
    <s v="PRODUCT"/>
    <s v="N/A"/>
    <m/>
    <m/>
    <m/>
  </r>
  <r>
    <s v="68175496SW10"/>
    <s v="4570062"/>
    <s v="CARWARS PREMIUM SALES"/>
    <s v="AUTOMOBILE"/>
    <s v="1-2"/>
    <s v="NEW AUTO"/>
    <s v="AUTO"/>
    <n v="36"/>
    <m/>
    <m/>
    <s v="N"/>
    <s v="N"/>
    <x v="1"/>
    <s v="10445"/>
    <x v="1"/>
    <s v="LSS"/>
    <s v="R "/>
    <s v="68186645SW01"/>
    <s v="68174966SW11"/>
    <m/>
    <s v="0014000000JW3Q3AAJ"/>
    <s v="FAIR OAKS CHANTILLY CHRYSLER JEEP DODGE RAM"/>
    <s v="25108"/>
    <s v="FAIR OAKS CHANTILLY CHRYSLER JEEP DODGE RAM"/>
    <s v="AUTO"/>
    <s v="76003426"/>
    <s v="FAIR OAKS CHANTILLY CHRYSLER DODGE JEEP RAM"/>
    <m/>
    <s v="FAIR OAKS CHANTILLY CHRYSLER DODGE JEEP RAM"/>
    <s v="0127"/>
    <s v="127"/>
    <s v="120"/>
    <s v="4170 AUTO PARK CIRCLE"/>
    <s v="CHANTILLY"/>
    <s v="VA"/>
    <s v="UNITED STATES"/>
    <x v="12"/>
    <x v="12"/>
    <s v="FRONT OFFICE"/>
    <s v="ELEAD"/>
    <s v="ELEAD OTHER"/>
    <s v="CALL TRACKING"/>
    <m/>
    <s v="N"/>
    <n v="1"/>
    <n v="0"/>
    <n v="0"/>
    <n v="0"/>
    <n v="0"/>
    <n v="1849"/>
    <n v="1849"/>
    <n v="0"/>
    <n v="0"/>
    <d v="2021-11-22T00:00:00"/>
    <d v="2020-10-14T00:00:00"/>
    <n v="2021"/>
    <n v="4"/>
    <m/>
    <m/>
    <m/>
    <s v="N"/>
    <m/>
    <m/>
    <m/>
    <m/>
    <m/>
    <m/>
    <m/>
    <x v="28"/>
    <n v="2021"/>
    <n v="4"/>
    <n v="2026"/>
    <n v="4"/>
    <m/>
    <m/>
    <m/>
    <m/>
    <m/>
    <x v="25"/>
    <n v="2022"/>
    <n v="5"/>
    <s v="221"/>
    <s v="CDK CONVERSION - SYS GENERATED"/>
    <s v="N"/>
    <s v="C"/>
    <s v="CDK Conversion"/>
    <s v="CV"/>
    <s v="Conversion"/>
    <s v="G"/>
    <s v="SYS GEN"/>
    <s v="CDK"/>
    <s v="ADP"/>
    <m/>
    <m/>
  </r>
  <r>
    <s v="68181487SW01"/>
    <m/>
    <m/>
    <s v="AUTOMOBILE"/>
    <s v="1-2"/>
    <s v="NEW AUTO"/>
    <s v="AUTO"/>
    <n v="12"/>
    <m/>
    <m/>
    <s v="N"/>
    <s v="N"/>
    <x v="1"/>
    <s v="10445"/>
    <x v="1"/>
    <s v="LSS"/>
    <s v="N "/>
    <m/>
    <m/>
    <m/>
    <s v="0014000000JW3Q3AAJ"/>
    <s v="FAIR OAKS CHANTILLY CHRYSLER JEEP DODGE RAM"/>
    <s v="25108"/>
    <s v="FAIR OAKS CHANTILLY CHRYSLER JEEP DODGE RAM"/>
    <s v="AUTO"/>
    <s v="76003426"/>
    <s v="FAIR OAKS CHANTILLY CHRYSLER DODGE JEEP RAM"/>
    <m/>
    <s v="FAIR OAKS CHANTILLY CHRYSLER DODGE JEEP RAM"/>
    <s v="0127"/>
    <s v="127"/>
    <s v="120"/>
    <s v="4170 AUTO PARK CIRCLE"/>
    <s v="CHANTILLY"/>
    <s v="VA"/>
    <s v="UNITED STATES"/>
    <x v="13"/>
    <x v="13"/>
    <s v="FRONT OFFICE"/>
    <s v="ELEAD"/>
    <s v="ELEAD OTHER"/>
    <s v="CALL TRACKING"/>
    <m/>
    <s v="N"/>
    <n v="1"/>
    <n v="0"/>
    <n v="0"/>
    <n v="0"/>
    <n v="0"/>
    <n v="499"/>
    <n v="499"/>
    <n v="5988"/>
    <n v="0"/>
    <d v="2021-11-30T00:00:00"/>
    <d v="2021-04-06T00:00:00"/>
    <n v="2021"/>
    <n v="10"/>
    <m/>
    <m/>
    <m/>
    <s v="N"/>
    <m/>
    <m/>
    <m/>
    <m/>
    <m/>
    <m/>
    <m/>
    <x v="29"/>
    <n v="2021"/>
    <n v="10"/>
    <n v="2026"/>
    <n v="10"/>
    <d v="2021-04-12T00:00:00"/>
    <n v="2021"/>
    <n v="10"/>
    <n v="2021"/>
    <n v="10"/>
    <x v="26"/>
    <n v="2022"/>
    <n v="5"/>
    <s v="836"/>
    <s v="Price/Value Proposition"/>
    <s v="N"/>
    <s v="M"/>
    <s v="BACK TO MANUAL"/>
    <s v="DA"/>
    <s v="Dropped Apps"/>
    <s v="P"/>
    <s v="PRODUCT"/>
    <s v="Manual"/>
    <m/>
    <m/>
    <m/>
  </r>
  <r>
    <s v="38095572SW02"/>
    <m/>
    <m/>
    <s v="RECREATION"/>
    <s v="Non-Auto"/>
    <s v="RECREATION"/>
    <s v="MOTORCYCLE"/>
    <n v="1"/>
    <m/>
    <m/>
    <s v="N"/>
    <s v="N"/>
    <x v="5"/>
    <s v="9973"/>
    <x v="5"/>
    <s v="LSS"/>
    <s v="N "/>
    <s v="38103593SW02"/>
    <m/>
    <m/>
    <s v="0010B00002DHZOWAA1"/>
    <s v="EMERALD COAST HARLEY-DAVIDSON"/>
    <s v="1733397"/>
    <s v="EMERALD COAST HARLEY-DAVIDSON"/>
    <s v="MOTORCYCLE"/>
    <s v="76212580"/>
    <s v="EMERALD COAST HARLEY-DAVIDSON"/>
    <m/>
    <s v="EMERALD COAST HARLEY-DAVIDSON"/>
    <s v="0122"/>
    <s v="122"/>
    <s v="120"/>
    <s v="788 BEAL PKWY NW"/>
    <s v="FORT WALTON BEACH"/>
    <s v="FL"/>
    <s v="UNITED STATES"/>
    <x v="7"/>
    <x v="7"/>
    <s v="FRONT OFFICE"/>
    <s v="ELEAD"/>
    <s v="ELEAD OTHER"/>
    <s v="CALL TRACKING"/>
    <m/>
    <s v="N"/>
    <n v="1"/>
    <n v="0"/>
    <n v="0"/>
    <n v="0"/>
    <n v="0"/>
    <n v="100"/>
    <n v="70"/>
    <n v="0"/>
    <n v="0"/>
    <d v="2021-02-12T00:00:00"/>
    <d v="2020-01-18T00:00:00"/>
    <n v="2020"/>
    <n v="7"/>
    <m/>
    <m/>
    <m/>
    <s v="N"/>
    <m/>
    <m/>
    <m/>
    <m/>
    <m/>
    <m/>
    <m/>
    <x v="2"/>
    <n v="2020"/>
    <n v="7"/>
    <n v="2026"/>
    <n v="8"/>
    <m/>
    <m/>
    <m/>
    <m/>
    <m/>
    <x v="27"/>
    <n v="2021"/>
    <n v="8"/>
    <s v="221"/>
    <s v="CDK CONVERSION - SYS GENERATED"/>
    <s v="N"/>
    <s v="C"/>
    <s v="CDK Conversion"/>
    <s v="CV"/>
    <s v="Conversion"/>
    <s v="G"/>
    <s v="SYS GEN"/>
    <s v="CDK"/>
    <s v="ADP"/>
    <m/>
    <m/>
  </r>
  <r>
    <s v="68187007SW14"/>
    <m/>
    <m/>
    <s v="AUTOMOBILE"/>
    <s v="11+"/>
    <s v="NEW AUTO"/>
    <s v="AUTO"/>
    <n v="36"/>
    <m/>
    <m/>
    <s v="N"/>
    <s v="N"/>
    <x v="9"/>
    <m/>
    <x v="9"/>
    <s v="LSS"/>
    <s v="N "/>
    <s v="68189336SW40"/>
    <m/>
    <m/>
    <s v="0015A00002TK3GOAA0"/>
    <s v="HUDSON AUTOMOTIVE"/>
    <s v="196172"/>
    <s v="MIDLANDS TOYOTA"/>
    <s v="AUTO"/>
    <s v="76217276"/>
    <s v="WYATT-JOHNSON BUICK GMC"/>
    <m/>
    <s v="WYATT-JOHNSON BUICK GMC"/>
    <s v="0127"/>
    <s v="127"/>
    <s v="120"/>
    <s v="240 KILLIAN COMMON PKWY"/>
    <s v="COLUMBIA"/>
    <s v="SC"/>
    <s v="UNITED STATES"/>
    <x v="0"/>
    <x v="0"/>
    <s v="FRONT OFFICE"/>
    <s v="ELEAD"/>
    <s v="ELEAD OTHER"/>
    <s v="CALL TRACKING"/>
    <m/>
    <s v="N"/>
    <n v="1"/>
    <n v="0"/>
    <n v="0"/>
    <n v="0"/>
    <n v="0"/>
    <n v="499"/>
    <n v="499"/>
    <n v="5988"/>
    <n v="0"/>
    <d v="2022-01-25T00:00:00"/>
    <d v="2021-10-15T00:00:00"/>
    <n v="2022"/>
    <n v="4"/>
    <m/>
    <m/>
    <m/>
    <s v="N"/>
    <m/>
    <m/>
    <m/>
    <m/>
    <m/>
    <m/>
    <m/>
    <x v="30"/>
    <n v="2022"/>
    <n v="7"/>
    <n v="2026"/>
    <n v="7"/>
    <d v="2021-11-01T00:00:00"/>
    <n v="2022"/>
    <n v="4"/>
    <n v="2022"/>
    <n v="5"/>
    <x v="28"/>
    <n v="2022"/>
    <n v="7"/>
    <s v="221"/>
    <s v="CDK CONVERSION - SYS GENERATED"/>
    <s v="N"/>
    <s v="C"/>
    <s v="CDK Conversion"/>
    <s v="CV"/>
    <s v="Conversion"/>
    <s v="G"/>
    <s v="SYS GEN"/>
    <s v="CDK"/>
    <s v="ADP"/>
    <m/>
    <m/>
  </r>
  <r>
    <s v="68188288SW06"/>
    <s v="4570009"/>
    <s v="CARWARS STARTER 3500"/>
    <s v="AUTOMOBILE"/>
    <s v="11+"/>
    <s v="NEW AUTO"/>
    <s v="AUTO"/>
    <n v="45"/>
    <m/>
    <m/>
    <s v="N"/>
    <s v="N"/>
    <x v="11"/>
    <s v="23308"/>
    <x v="11"/>
    <s v="LSS"/>
    <s v="R "/>
    <m/>
    <s v="67041955SW02"/>
    <m/>
    <s v="0014000000JW0UHAAZ"/>
    <s v="PIAZZA AUTO GROUP"/>
    <s v="71055667"/>
    <s v="PIAZZA NISSAN OF ARDMORE"/>
    <s v="AUTO"/>
    <s v="76215011"/>
    <s v="PIAZZA NISSAN OF ARDMORE"/>
    <m/>
    <s v="PIAZZA NISSAN OF ARDMORE"/>
    <s v="0127"/>
    <s v="127"/>
    <s v="120"/>
    <s v="265 E LANCASTER AVE"/>
    <s v="ARDMORE"/>
    <s v="PA"/>
    <s v="UNITED STATES"/>
    <x v="5"/>
    <x v="5"/>
    <s v="FRONT OFFICE"/>
    <s v="ELEAD"/>
    <s v="ELEAD OTHER"/>
    <s v="CALL TRACKING"/>
    <m/>
    <s v="N"/>
    <n v="1"/>
    <n v="0"/>
    <n v="0"/>
    <n v="0"/>
    <n v="0"/>
    <n v="299"/>
    <n v="299"/>
    <n v="0"/>
    <n v="0"/>
    <d v="2025-09-15T00:00:00"/>
    <d v="2021-12-03T00:00:00"/>
    <n v="2022"/>
    <n v="5"/>
    <m/>
    <m/>
    <m/>
    <s v="N"/>
    <m/>
    <m/>
    <m/>
    <m/>
    <m/>
    <m/>
    <m/>
    <x v="31"/>
    <n v="2022"/>
    <n v="6"/>
    <n v="2026"/>
    <n v="6"/>
    <m/>
    <m/>
    <m/>
    <m/>
    <m/>
    <x v="29"/>
    <n v="2025"/>
    <n v="9"/>
    <s v="818"/>
    <s v="Conversion to Another CDK Division"/>
    <s v="N"/>
    <s v="C"/>
    <s v="CDK Conversion"/>
    <s v="CV"/>
    <s v="Conversion"/>
    <s v="P"/>
    <s v="PRODUCT"/>
    <s v="CDK"/>
    <s v="ADP"/>
    <m/>
    <m/>
  </r>
  <r>
    <s v="64193165SW01"/>
    <m/>
    <m/>
    <s v="AUTOMOBILE"/>
    <s v="3-5"/>
    <s v="NEW AUTO"/>
    <s v="AUTO"/>
    <n v="12"/>
    <m/>
    <m/>
    <s v="N"/>
    <s v="N"/>
    <x v="14"/>
    <s v="10786"/>
    <x v="14"/>
    <s v="LSS"/>
    <s v="N "/>
    <s v="64231666SW01"/>
    <m/>
    <m/>
    <s v="0014000000M6G8KAAB"/>
    <s v="PAUL LOKEY"/>
    <s v="01156105"/>
    <s v="LOKEY NISSAN"/>
    <s v="AUTO"/>
    <s v="76211594"/>
    <s v="LOKEY NISSAN"/>
    <m/>
    <s v="LOKEY NISSAN"/>
    <s v="0122"/>
    <s v="122"/>
    <s v="120"/>
    <s v="27758 US HIGHWAY 19 N"/>
    <s v="CLEARWATER"/>
    <s v="FL"/>
    <s v="UNITED STATES"/>
    <x v="12"/>
    <x v="12"/>
    <s v="FRONT OFFICE"/>
    <s v="ELEAD"/>
    <s v="ELEAD OTHER"/>
    <s v="CALL TRACKING"/>
    <m/>
    <s v="N"/>
    <n v="1"/>
    <n v="0"/>
    <n v="0"/>
    <n v="0"/>
    <n v="0"/>
    <n v="1849"/>
    <n v="1849"/>
    <n v="22188"/>
    <n v="0"/>
    <d v="2024-09-10T00:00:00"/>
    <d v="2021-12-15T00:00:00"/>
    <n v="2022"/>
    <n v="6"/>
    <m/>
    <m/>
    <m/>
    <s v="N"/>
    <m/>
    <m/>
    <m/>
    <m/>
    <m/>
    <m/>
    <m/>
    <x v="32"/>
    <n v="2022"/>
    <n v="7"/>
    <n v="2026"/>
    <n v="7"/>
    <d v="2022-01-26T00:00:00"/>
    <n v="2022"/>
    <n v="7"/>
    <n v="2022"/>
    <n v="8"/>
    <x v="30"/>
    <n v="2024"/>
    <n v="9"/>
    <s v="221"/>
    <s v="CDK CONVERSION - SYS GENERATED"/>
    <s v="N"/>
    <s v="C"/>
    <s v="CDK Conversion"/>
    <s v="CV"/>
    <s v="Conversion"/>
    <s v="G"/>
    <s v="SYS GEN"/>
    <s v="CDK"/>
    <s v="ADP"/>
    <m/>
    <m/>
  </r>
  <r>
    <s v="64168996SW05"/>
    <m/>
    <m/>
    <s v="AUTOMOBILE"/>
    <s v="3-5"/>
    <s v="NEW AUTO"/>
    <s v="AUTO"/>
    <n v="1"/>
    <m/>
    <m/>
    <s v="N"/>
    <s v="N"/>
    <x v="3"/>
    <s v="18231"/>
    <x v="3"/>
    <s v="LSS"/>
    <s v="N "/>
    <m/>
    <m/>
    <m/>
    <s v="00140000011RWX6AAK"/>
    <s v="MURRAY AUTO GROUP"/>
    <s v="187371"/>
    <s v="MURRAY CHRYSLER DODGE JEEP"/>
    <s v="AUTO"/>
    <s v="76167994"/>
    <s v="MURRAY CHRYSLER DODGE JEEP"/>
    <m/>
    <s v="MURRAY CHRYSLER DODGE JEEP"/>
    <s v="0122"/>
    <s v="122"/>
    <s v="120"/>
    <s v="15160 HWY 301 S"/>
    <s v="STARKE"/>
    <s v="FL"/>
    <s v="UNITED STATES"/>
    <x v="2"/>
    <x v="2"/>
    <s v="FRONT OFFICE"/>
    <s v="ELEAD"/>
    <s v="ELEAD OTHER"/>
    <s v="CALL TRACKING"/>
    <m/>
    <s v="N"/>
    <n v="1"/>
    <n v="0"/>
    <n v="0"/>
    <n v="0"/>
    <n v="0"/>
    <n v="195"/>
    <n v="499"/>
    <n v="0"/>
    <n v="0"/>
    <d v="2021-10-31T00:00:00"/>
    <d v="2020-01-18T00:00:00"/>
    <n v="2020"/>
    <n v="7"/>
    <m/>
    <m/>
    <m/>
    <s v="N"/>
    <m/>
    <m/>
    <m/>
    <m/>
    <m/>
    <m/>
    <m/>
    <x v="2"/>
    <n v="2020"/>
    <n v="7"/>
    <n v="2026"/>
    <n v="8"/>
    <m/>
    <m/>
    <m/>
    <m/>
    <m/>
    <x v="25"/>
    <n v="2022"/>
    <n v="4"/>
    <s v="812"/>
    <s v="CDK Conversion"/>
    <s v="N"/>
    <s v="C"/>
    <s v="CDK Conversion"/>
    <s v="CV"/>
    <s v="Conversion"/>
    <s v="P"/>
    <s v="PRODUCT"/>
    <s v="CDK"/>
    <s v="ADP"/>
    <m/>
    <m/>
  </r>
  <r>
    <s v="68182618SW01"/>
    <m/>
    <m/>
    <s v="AUTOMOBILE"/>
    <s v="6-10"/>
    <s v="NEW AUTO"/>
    <s v="AUTO"/>
    <n v="12"/>
    <m/>
    <m/>
    <s v="N"/>
    <s v="N"/>
    <x v="13"/>
    <m/>
    <x v="13"/>
    <s v="LSS"/>
    <s v="N "/>
    <s v="64226787SW01"/>
    <m/>
    <m/>
    <s v="0014000000JWA15AAF"/>
    <s v="GALEANA AUTOMOTIVE GROUP"/>
    <s v="1361687"/>
    <s v="GALEANA CHRYSLER DODGE JEEP RAM OF FORT MYERS"/>
    <s v="AUTO"/>
    <s v="76220529"/>
    <s v="GALEANA CHRYSLER DODGE JEEP RAM OF FORT MYERS"/>
    <m/>
    <s v="GALEANA CHRYSLER DODGE JEEP RAM OF FORT MYERS"/>
    <s v="0122"/>
    <s v="122"/>
    <s v="120"/>
    <s v="14375 S TAMIAMI TRAIL"/>
    <s v="FORT MYERS"/>
    <s v="FL"/>
    <s v="UNITED STATES"/>
    <x v="14"/>
    <x v="14"/>
    <s v="FRONT OFFICE"/>
    <s v="ELEAD"/>
    <s v="ELEAD OTHER"/>
    <s v="CALL TRACKING"/>
    <m/>
    <s v="N"/>
    <n v="1"/>
    <n v="0"/>
    <n v="0"/>
    <n v="0"/>
    <n v="0"/>
    <n v="999"/>
    <n v="999"/>
    <n v="11988"/>
    <n v="0"/>
    <d v="2024-04-19T00:00:00"/>
    <d v="2021-05-13T00:00:00"/>
    <n v="2021"/>
    <n v="11"/>
    <m/>
    <m/>
    <m/>
    <s v="N"/>
    <m/>
    <m/>
    <m/>
    <m/>
    <m/>
    <m/>
    <m/>
    <x v="33"/>
    <n v="2021"/>
    <n v="12"/>
    <n v="2026"/>
    <n v="12"/>
    <d v="2021-06-07T00:00:00"/>
    <n v="2021"/>
    <n v="12"/>
    <n v="2021"/>
    <n v="12"/>
    <x v="31"/>
    <n v="2024"/>
    <n v="4"/>
    <s v="221"/>
    <s v="CDK CONVERSION - SYS GENERATED"/>
    <s v="N"/>
    <s v="C"/>
    <s v="CDK Conversion"/>
    <s v="CV"/>
    <s v="Conversion"/>
    <s v="G"/>
    <s v="SYS GEN"/>
    <s v="CDK"/>
    <s v="ADP"/>
    <m/>
    <m/>
  </r>
  <r>
    <s v="64168880SW03"/>
    <m/>
    <m/>
    <s v="RECREATION"/>
    <s v="Non-Auto"/>
    <s v="RECREATION"/>
    <s v="MOTORCYCLE"/>
    <n v="1"/>
    <m/>
    <m/>
    <s v="N"/>
    <s v="N"/>
    <x v="16"/>
    <s v="4545"/>
    <x v="16"/>
    <s v="LSS"/>
    <s v="N "/>
    <s v="64238640SW12"/>
    <m/>
    <m/>
    <s v="0014000000MV3SUAAK"/>
    <s v="MOONSHINE HARLEY-DAVIDSON"/>
    <s v="1443259"/>
    <s v="MOONSHINE HARLEY-DAVIDSON"/>
    <s v="MOTORCYCLE"/>
    <s v="76211939"/>
    <s v="MOONSHINE HARLEY DAVIDSON"/>
    <m/>
    <s v="MOONSHINE HARLEY DAVIDSON"/>
    <s v="0122"/>
    <s v="122"/>
    <s v="120"/>
    <s v="7128 SOUTH SPRINGS DR"/>
    <s v="FRANKLIN"/>
    <s v="TN"/>
    <s v="UNITED STATES"/>
    <x v="7"/>
    <x v="7"/>
    <s v="FRONT OFFICE"/>
    <s v="ELEAD"/>
    <s v="ELEAD OTHER"/>
    <s v="CALL TRACKING"/>
    <m/>
    <s v="N"/>
    <n v="1"/>
    <n v="0"/>
    <n v="0"/>
    <n v="0"/>
    <n v="0"/>
    <n v="100"/>
    <n v="70"/>
    <n v="0"/>
    <n v="0"/>
    <d v="2025-05-01T00:00:00"/>
    <d v="2020-01-18T00:00:00"/>
    <n v="2020"/>
    <n v="7"/>
    <m/>
    <m/>
    <m/>
    <s v="N"/>
    <m/>
    <m/>
    <m/>
    <m/>
    <m/>
    <m/>
    <m/>
    <x v="2"/>
    <n v="2020"/>
    <n v="7"/>
    <n v="2026"/>
    <n v="8"/>
    <m/>
    <m/>
    <m/>
    <m/>
    <m/>
    <x v="5"/>
    <n v="2025"/>
    <n v="4"/>
    <s v="221"/>
    <s v="CDK CONVERSION - SYS GENERATED"/>
    <s v="N"/>
    <s v="C"/>
    <s v="CDK Conversion"/>
    <s v="CV"/>
    <s v="Conversion"/>
    <s v="G"/>
    <s v="SYS GEN"/>
    <s v="CDK"/>
    <s v="ADP"/>
    <m/>
    <m/>
  </r>
  <r>
    <s v="67035426SW10"/>
    <m/>
    <m/>
    <s v="AUTOMOBILE"/>
    <s v="3-5"/>
    <s v="NEW AUTO"/>
    <s v="AUTO"/>
    <n v="1"/>
    <m/>
    <m/>
    <s v="N"/>
    <s v="N"/>
    <x v="4"/>
    <s v="11619"/>
    <x v="4"/>
    <s v="LSS"/>
    <s v="N "/>
    <m/>
    <m/>
    <m/>
    <s v="0014000000JVWFPAAR"/>
    <s v="METROCORP"/>
    <s v="187885"/>
    <s v="ROSEDALE CHEVROLET"/>
    <s v="AUTO"/>
    <s v="76055608"/>
    <s v="ROSEDALE CHEVROLET"/>
    <m/>
    <s v="ROSEDALE CHEVROLET"/>
    <s v="0122"/>
    <s v="122"/>
    <s v="120"/>
    <s v="2845 HIGHWAY 35W"/>
    <s v="ROSEVILLE"/>
    <s v="MN"/>
    <s v="UNITED STATES"/>
    <x v="2"/>
    <x v="2"/>
    <s v="FRONT OFFICE"/>
    <s v="ELEAD"/>
    <s v="ELEAD OTHER"/>
    <s v="CALL TRACKING"/>
    <m/>
    <s v="N"/>
    <n v="1"/>
    <n v="0"/>
    <n v="0"/>
    <n v="0"/>
    <n v="0"/>
    <n v="195"/>
    <n v="995"/>
    <n v="0"/>
    <n v="0"/>
    <d v="2020-04-30T00:00:00"/>
    <d v="2020-01-19T00:00:00"/>
    <n v="2020"/>
    <n v="7"/>
    <m/>
    <m/>
    <m/>
    <s v="N"/>
    <m/>
    <m/>
    <m/>
    <m/>
    <m/>
    <m/>
    <m/>
    <x v="2"/>
    <n v="2020"/>
    <n v="7"/>
    <n v="2026"/>
    <n v="8"/>
    <m/>
    <m/>
    <m/>
    <m/>
    <m/>
    <x v="32"/>
    <n v="2020"/>
    <n v="10"/>
    <s v="836"/>
    <s v="Price/Value Proposition"/>
    <s v="N"/>
    <s v="M"/>
    <s v="BACK TO MANUAL"/>
    <s v="DA"/>
    <s v="Dropped Apps"/>
    <s v="P"/>
    <s v="PRODUCT"/>
    <s v="Manual"/>
    <m/>
    <m/>
    <m/>
  </r>
  <r>
    <s v="64196224SW12"/>
    <m/>
    <m/>
    <s v="AUTOMOBILE"/>
    <s v="1-2"/>
    <s v="NEW AUTO"/>
    <s v="AUTO"/>
    <n v="60"/>
    <m/>
    <m/>
    <s v="Y"/>
    <s v="N"/>
    <x v="27"/>
    <s v="19638"/>
    <x v="27"/>
    <s v="LSS"/>
    <s v="N "/>
    <m/>
    <m/>
    <m/>
    <s v="0014000000F2TTXAAI"/>
    <s v="MEL HAMBELTON"/>
    <s v="155779"/>
    <s v="MEL HAMBELTON FORD"/>
    <s v="AUTO"/>
    <s v="76049550"/>
    <s v="MEL HAMBELTON FORD"/>
    <m/>
    <s v="MEL HAMBELTON FORD"/>
    <s v="0122"/>
    <s v="122"/>
    <s v="120"/>
    <s v="11771 W KELLOGG DR"/>
    <s v="WICHITA"/>
    <s v="KS"/>
    <s v="UNITED STATES"/>
    <x v="12"/>
    <x v="12"/>
    <s v="FRONT OFFICE"/>
    <s v="ELEAD"/>
    <s v="ELEAD OTHER"/>
    <s v="CALL TRACKING"/>
    <m/>
    <s v="N"/>
    <n v="1"/>
    <n v="0"/>
    <n v="0"/>
    <n v="0"/>
    <n v="0"/>
    <n v="1849"/>
    <n v="1849"/>
    <n v="22188"/>
    <n v="0"/>
    <d v="2025-04-30T00:00:00"/>
    <d v="2022-04-04T00:00:00"/>
    <n v="2022"/>
    <n v="9"/>
    <m/>
    <m/>
    <m/>
    <s v="N"/>
    <m/>
    <m/>
    <m/>
    <m/>
    <m/>
    <m/>
    <m/>
    <x v="34"/>
    <n v="2022"/>
    <n v="10"/>
    <n v="2026"/>
    <n v="10"/>
    <d v="2022-04-06T00:00:00"/>
    <n v="2022"/>
    <n v="10"/>
    <n v="2022"/>
    <n v="10"/>
    <x v="5"/>
    <n v="2025"/>
    <n v="4"/>
    <s v="836"/>
    <s v="Price/Value Proposition"/>
    <s v="N"/>
    <s v="CL"/>
    <s v="COMPETITIVE LOSS"/>
    <s v="CM"/>
    <s v="Competitive"/>
    <s v="P"/>
    <s v="PRODUCT"/>
    <s v="Competitor"/>
    <s v="Other Vendor"/>
    <m/>
    <m/>
  </r>
  <r>
    <s v="64169219SW05"/>
    <m/>
    <m/>
    <s v="RECREATION"/>
    <s v="Non-Auto"/>
    <s v="RECREATION"/>
    <s v="MOTORCYCLE"/>
    <n v="1"/>
    <m/>
    <m/>
    <s v="N"/>
    <s v="N"/>
    <x v="12"/>
    <s v="17155"/>
    <x v="12"/>
    <s v="LSS"/>
    <s v="N "/>
    <s v="64238640SW05"/>
    <m/>
    <m/>
    <s v="0014000000MV8QAAA0"/>
    <s v="MOBILE BAY HARLEY DAVIDSON"/>
    <s v="1447686"/>
    <s v="MOBILE BAY HARLEY DAVIDSON"/>
    <s v="MOTORCYCLE"/>
    <s v="76211956"/>
    <s v="MOBILE BAY HARLEY DAVIDSON"/>
    <m/>
    <s v="MOBILE BAY HARLEY DAVIDSON"/>
    <s v="0122"/>
    <s v="122"/>
    <s v="120"/>
    <s v="3260 PLEASANT VALLEY RD"/>
    <s v="MOBILE"/>
    <s v="AL"/>
    <s v="UNITED STATES"/>
    <x v="2"/>
    <x v="2"/>
    <s v="FRONT OFFICE"/>
    <s v="ELEAD"/>
    <s v="ELEAD OTHER"/>
    <s v="CALL TRACKING"/>
    <m/>
    <s v="N"/>
    <n v="1"/>
    <n v="0"/>
    <n v="0"/>
    <n v="0"/>
    <n v="0"/>
    <n v="195"/>
    <n v="299"/>
    <n v="0"/>
    <n v="0"/>
    <d v="2025-05-01T00:00:00"/>
    <d v="2020-01-18T00:00:00"/>
    <n v="2020"/>
    <n v="7"/>
    <m/>
    <m/>
    <m/>
    <s v="N"/>
    <m/>
    <m/>
    <m/>
    <m/>
    <m/>
    <m/>
    <m/>
    <x v="2"/>
    <n v="2020"/>
    <n v="7"/>
    <n v="2026"/>
    <n v="8"/>
    <m/>
    <m/>
    <m/>
    <m/>
    <m/>
    <x v="5"/>
    <n v="2025"/>
    <n v="4"/>
    <s v="221"/>
    <s v="CDK CONVERSION - SYS GENERATED"/>
    <s v="N"/>
    <s v="C"/>
    <s v="CDK Conversion"/>
    <s v="CV"/>
    <s v="Conversion"/>
    <s v="G"/>
    <s v="SYS GEN"/>
    <s v="CDK"/>
    <s v="ADP"/>
    <m/>
    <m/>
  </r>
  <r>
    <s v="68233896SW13"/>
    <s v="4570058"/>
    <s v="CARWARS STARTER 7500"/>
    <s v="AUTOMOBILE"/>
    <s v="1-2"/>
    <s v="NEW AUTO"/>
    <s v="AUTO"/>
    <n v="12"/>
    <m/>
    <m/>
    <s v="N"/>
    <s v="N"/>
    <x v="28"/>
    <m/>
    <x v="28"/>
    <s v="LSS"/>
    <s v="C "/>
    <s v="68234112SW16"/>
    <s v="68207128SW01"/>
    <m/>
    <s v="0014000000JW0PEAAJ"/>
    <s v="AMHERST AUTOMOTIVE"/>
    <s v="2009633"/>
    <s v="PREMIER TOYOTA"/>
    <s v="AUTO"/>
    <s v="76252487"/>
    <s v="PREMIER TOYOTA"/>
    <m/>
    <s v="PREMIER TOYOTA"/>
    <s v="0127"/>
    <s v="127"/>
    <s v="120"/>
    <s v="47190 COOPER FOSTER PARK ROAD"/>
    <s v="AMHERST"/>
    <s v="OH"/>
    <s v="UNITED STATES"/>
    <x v="10"/>
    <x v="10"/>
    <s v="FRONT OFFICE"/>
    <s v="ELEAD"/>
    <s v="ELEAD OTHER"/>
    <s v="CALL TRACKING"/>
    <m/>
    <s v="N"/>
    <n v="1"/>
    <n v="0"/>
    <n v="0"/>
    <n v="0"/>
    <n v="0"/>
    <n v="599"/>
    <n v="599"/>
    <n v="2875.2"/>
    <n v="0"/>
    <d v="2025-03-26T00:00:00"/>
    <d v="2024-12-13T00:00:00"/>
    <n v="2024"/>
    <n v="12"/>
    <m/>
    <m/>
    <m/>
    <s v="N"/>
    <m/>
    <m/>
    <m/>
    <m/>
    <m/>
    <m/>
    <m/>
    <x v="35"/>
    <n v="2024"/>
    <n v="12"/>
    <n v="2026"/>
    <n v="1"/>
    <d v="2025-02-17T00:00:00"/>
    <n v="2025"/>
    <n v="2"/>
    <n v="2025"/>
    <n v="3"/>
    <x v="33"/>
    <n v="2025"/>
    <n v="3"/>
    <s v="221"/>
    <s v="CDK CONVERSION - SYS GENERATED"/>
    <s v="N"/>
    <s v="C"/>
    <s v="CDK Conversion"/>
    <s v="CV"/>
    <s v="Conversion"/>
    <s v="G"/>
    <s v="SYS GEN"/>
    <s v="CDK"/>
    <s v="ADP"/>
    <m/>
    <m/>
  </r>
  <r>
    <s v="64164460SW01"/>
    <m/>
    <m/>
    <s v="AUTOMOBILE"/>
    <s v="3-5"/>
    <s v="NEW AUTO"/>
    <s v="AUTO"/>
    <n v="1"/>
    <m/>
    <m/>
    <s v="N"/>
    <s v="N"/>
    <x v="3"/>
    <s v="18231"/>
    <x v="3"/>
    <s v="LSS"/>
    <s v="N "/>
    <s v="64191075SW42"/>
    <m/>
    <m/>
    <s v="00140000011RWX6AAK"/>
    <s v="MURRAY AUTO GROUP"/>
    <s v="187371"/>
    <s v="MURRAY CHRYSLER DODGE JEEP"/>
    <s v="AUTO"/>
    <s v="76167994"/>
    <s v="MURRAY CHRYSLER DODGE JEEP"/>
    <m/>
    <s v="MURRAY CHRYSLER DODGE JEEP"/>
    <s v="0122"/>
    <s v="122"/>
    <s v="120"/>
    <s v="15160 HWY 301 S"/>
    <s v="STARKE"/>
    <s v="FL"/>
    <s v="UNITED STATES"/>
    <x v="15"/>
    <x v="15"/>
    <s v="FRONT OFFICE"/>
    <s v="ELEAD"/>
    <s v="ELEAD OTHER"/>
    <s v="CALL TRACKING"/>
    <m/>
    <s v="N"/>
    <n v="1"/>
    <n v="0"/>
    <n v="0"/>
    <n v="0"/>
    <n v="0"/>
    <n v="1394"/>
    <n v="1394"/>
    <n v="0"/>
    <n v="0"/>
    <d v="2021-10-15T00:00:00"/>
    <d v="2019-07-30T00:00:00"/>
    <n v="2020"/>
    <n v="1"/>
    <m/>
    <m/>
    <m/>
    <s v="N"/>
    <m/>
    <m/>
    <m/>
    <m/>
    <m/>
    <m/>
    <m/>
    <x v="36"/>
    <n v="2020"/>
    <n v="4"/>
    <n v="2026"/>
    <n v="4"/>
    <d v="2019-07-17T00:00:00"/>
    <n v="2020"/>
    <n v="1"/>
    <n v="2020"/>
    <n v="2"/>
    <x v="34"/>
    <n v="2022"/>
    <n v="4"/>
    <s v="221"/>
    <s v="CDK CONVERSION - SYS GENERATED"/>
    <s v="N"/>
    <s v="C"/>
    <s v="CDK Conversion"/>
    <s v="CV"/>
    <s v="Conversion"/>
    <s v="G"/>
    <s v="SYS GEN"/>
    <s v="CDK"/>
    <s v="ADP"/>
    <m/>
    <m/>
  </r>
  <r>
    <s v="64244482SW01"/>
    <m/>
    <m/>
    <s v="AUTOMOBILE"/>
    <s v="3-5"/>
    <s v="NEW AUTO"/>
    <s v="AUTO"/>
    <n v="12"/>
    <m/>
    <s v="76211594"/>
    <s v="N"/>
    <s v="N"/>
    <x v="14"/>
    <s v="10786"/>
    <x v="14"/>
    <s v="INS"/>
    <s v="N "/>
    <m/>
    <m/>
    <m/>
    <s v="0014000000M6G8KAAB"/>
    <s v="PAUL LOKEY"/>
    <s v="01156105"/>
    <s v="LOKEY NISSAN"/>
    <s v="AUTO"/>
    <s v="76211594"/>
    <s v="LOKEY NISSAN"/>
    <m/>
    <s v="LOKEY NISSAN"/>
    <s v="0122"/>
    <s v="122"/>
    <s v="120"/>
    <s v="27758 US HIGHWAY 19 N"/>
    <s v="CLEARWATER"/>
    <s v="FL"/>
    <s v="UNITED STATES"/>
    <x v="16"/>
    <x v="16"/>
    <s v="FRONT OFFICE"/>
    <s v="ELEAD"/>
    <s v="ELEAD OTHER"/>
    <s v="CALL TRACKING"/>
    <m/>
    <s v="N"/>
    <n v="1"/>
    <n v="0"/>
    <n v="0"/>
    <n v="0"/>
    <n v="0"/>
    <n v="299"/>
    <n v="299"/>
    <n v="3588"/>
    <n v="0"/>
    <d v="2025-11-12T00:00:00"/>
    <d v="2025-11-07T00:00:00"/>
    <n v="2025"/>
    <n v="11"/>
    <m/>
    <m/>
    <m/>
    <s v="N"/>
    <m/>
    <m/>
    <m/>
    <m/>
    <m/>
    <m/>
    <m/>
    <x v="37"/>
    <n v="2025"/>
    <n v="11"/>
    <n v="2026"/>
    <n v="11"/>
    <d v="2025-11-12T00:00:00"/>
    <n v="2025"/>
    <n v="11"/>
    <n v="2025"/>
    <n v="11"/>
    <x v="3"/>
    <m/>
    <m/>
    <m/>
    <m/>
    <m/>
    <m/>
    <m/>
    <m/>
    <m/>
    <m/>
    <m/>
    <m/>
    <m/>
    <m/>
    <m/>
  </r>
  <r>
    <s v="64185402SW02"/>
    <m/>
    <m/>
    <s v="AUTOMOBILE"/>
    <s v="6-10"/>
    <s v="USED AUTO"/>
    <s v="USED VEHICLE"/>
    <n v="36"/>
    <m/>
    <m/>
    <s v="N"/>
    <s v="N"/>
    <x v="24"/>
    <s v="25433"/>
    <x v="24"/>
    <s v="LSS"/>
    <s v="N "/>
    <s v="64192511SW08"/>
    <m/>
    <m/>
    <s v="0015A00002ZONADAAK"/>
    <s v="UNION AUTO GROUP"/>
    <s v="1839493"/>
    <s v="UNION AUTO GROUP"/>
    <s v="USED VEHICLE"/>
    <s v="76224283"/>
    <s v="UNION AUTO GRUPO USADOS"/>
    <m/>
    <s v="UNION AUTO GRUPO USADOS"/>
    <s v="0122"/>
    <s v="122"/>
    <s v="120"/>
    <s v="867 AVE LUIS MUNOZ RIVERA"/>
    <s v="SAN JUAN"/>
    <s v="PR"/>
    <s v="UNITED STATES"/>
    <x v="5"/>
    <x v="5"/>
    <s v="FRONT OFFICE"/>
    <s v="ELEAD"/>
    <s v="ELEAD OTHER"/>
    <s v="CALL TRACKING"/>
    <m/>
    <s v="N"/>
    <n v="1"/>
    <n v="0"/>
    <n v="0"/>
    <n v="0"/>
    <n v="0"/>
    <n v="299"/>
    <n v="262"/>
    <n v="3144"/>
    <n v="0"/>
    <d v="2021-12-01T00:00:00"/>
    <d v="2021-03-08T00:00:00"/>
    <n v="2021"/>
    <n v="9"/>
    <m/>
    <m/>
    <m/>
    <s v="N"/>
    <m/>
    <m/>
    <m/>
    <m/>
    <m/>
    <m/>
    <m/>
    <x v="38"/>
    <n v="2021"/>
    <n v="10"/>
    <n v="2026"/>
    <n v="11"/>
    <m/>
    <m/>
    <m/>
    <m/>
    <m/>
    <x v="26"/>
    <n v="2022"/>
    <n v="5"/>
    <s v="221"/>
    <s v="CDK CONVERSION - SYS GENERATED"/>
    <s v="N"/>
    <s v="C"/>
    <s v="CDK Conversion"/>
    <s v="CV"/>
    <s v="Conversion"/>
    <s v="G"/>
    <s v="SYS GEN"/>
    <s v="CDK"/>
    <s v="ADP"/>
    <m/>
    <m/>
  </r>
  <r>
    <s v="64226788SW01"/>
    <s v="4570122"/>
    <s v="CARWARS ADVANCED SALES"/>
    <s v="AUTOMOBILE"/>
    <s v="6-10"/>
    <s v="NEW AUTO"/>
    <s v="AUTO"/>
    <n v="12"/>
    <m/>
    <m/>
    <s v="N"/>
    <s v="N"/>
    <x v="17"/>
    <m/>
    <x v="17"/>
    <s v="LSS"/>
    <s v="C "/>
    <s v="64243030SW20"/>
    <s v="68182618SW02"/>
    <m/>
    <s v="0014000000JWA15AAF"/>
    <s v="GALEANA AUTOMOTIVE GROUP"/>
    <s v="186155"/>
    <s v="GALEANA KIA OF FORT MYERS"/>
    <s v="AUTO"/>
    <s v="76220548"/>
    <s v="GALEANA KIA OF FORT MYERS"/>
    <m/>
    <s v="GALEANA KIA OF FORT MYERS"/>
    <s v="0122"/>
    <s v="122"/>
    <s v="120"/>
    <s v="14483 S TAMIAMI TRL"/>
    <s v="FORT MYERS"/>
    <s v="FL"/>
    <s v="UNITED STATES"/>
    <x v="6"/>
    <x v="6"/>
    <s v="FRONT OFFICE"/>
    <s v="ELEAD"/>
    <s v="ELEAD OTHER"/>
    <s v="CALL TRACKING"/>
    <m/>
    <s v="N"/>
    <n v="1"/>
    <n v="0"/>
    <n v="0"/>
    <n v="0"/>
    <n v="0"/>
    <n v="1499"/>
    <n v="1499"/>
    <n v="6000"/>
    <n v="0"/>
    <d v="2025-09-25T00:00:00"/>
    <d v="2024-03-22T00:00:00"/>
    <n v="2024"/>
    <n v="3"/>
    <m/>
    <m/>
    <m/>
    <s v="N"/>
    <m/>
    <m/>
    <m/>
    <m/>
    <m/>
    <m/>
    <m/>
    <x v="14"/>
    <n v="2024"/>
    <n v="4"/>
    <n v="2026"/>
    <n v="5"/>
    <d v="2024-04-18T00:00:00"/>
    <n v="2024"/>
    <n v="4"/>
    <n v="2024"/>
    <n v="5"/>
    <x v="16"/>
    <n v="2025"/>
    <n v="9"/>
    <s v="221"/>
    <s v="CDK CONVERSION - SYS GENERATED"/>
    <s v="N"/>
    <s v="C"/>
    <s v="CDK Conversion"/>
    <s v="CV"/>
    <s v="Conversion"/>
    <s v="G"/>
    <s v="SYS GEN"/>
    <s v="CDK"/>
    <s v="ADP"/>
    <m/>
    <m/>
  </r>
  <r>
    <s v="64169292SW02"/>
    <m/>
    <m/>
    <s v="AUTOMOBILE"/>
    <s v="11+"/>
    <s v="NEW AUTO"/>
    <s v="AUTO"/>
    <n v="1"/>
    <m/>
    <m/>
    <s v="Y"/>
    <s v="N"/>
    <x v="29"/>
    <s v="18849"/>
    <x v="29"/>
    <s v="LSS"/>
    <s v="N "/>
    <m/>
    <m/>
    <m/>
    <s v="0014000000VCZDIAA1"/>
    <s v="STANLEY"/>
    <s v="71044942"/>
    <s v="STANLEY FORD SWEETWATER"/>
    <s v="AUTO"/>
    <s v="76166962"/>
    <s v="STANLEY FORD SWEETWATER"/>
    <m/>
    <s v="STANLEY FORD SWEETWATER"/>
    <s v="0122"/>
    <s v="122"/>
    <s v="120"/>
    <s v="603 SW GEORGIA AVE"/>
    <s v="SWEETWATER"/>
    <s v="TX"/>
    <s v="UNITED STATES"/>
    <x v="2"/>
    <x v="2"/>
    <s v="FRONT OFFICE"/>
    <s v="ELEAD"/>
    <s v="ELEAD OTHER"/>
    <s v="CALL TRACKING"/>
    <m/>
    <s v="N"/>
    <n v="1"/>
    <n v="0"/>
    <n v="0"/>
    <n v="0"/>
    <n v="0"/>
    <n v="195"/>
    <n v="999"/>
    <n v="0"/>
    <n v="0"/>
    <d v="2020-02-17T00:00:00"/>
    <d v="2020-01-18T00:00:00"/>
    <n v="2020"/>
    <n v="7"/>
    <m/>
    <m/>
    <m/>
    <s v="N"/>
    <m/>
    <m/>
    <m/>
    <m/>
    <m/>
    <m/>
    <m/>
    <x v="2"/>
    <n v="2020"/>
    <n v="7"/>
    <n v="2026"/>
    <n v="8"/>
    <m/>
    <m/>
    <m/>
    <m/>
    <m/>
    <x v="35"/>
    <n v="2020"/>
    <n v="8"/>
    <s v="836"/>
    <s v="Price/Value Proposition"/>
    <s v="N"/>
    <s v="M"/>
    <s v="BACK TO MANUAL"/>
    <s v="DA"/>
    <s v="Dropped Apps"/>
    <s v="P"/>
    <s v="PRODUCT"/>
    <s v="Manual"/>
    <m/>
    <m/>
    <m/>
  </r>
  <r>
    <s v="68189189SW11"/>
    <m/>
    <m/>
    <s v="AUTOMOBILE"/>
    <s v="6-10"/>
    <s v="NEW AUTO"/>
    <s v="AUTO"/>
    <n v="44"/>
    <m/>
    <m/>
    <s v="N"/>
    <s v="N"/>
    <x v="30"/>
    <s v="27069"/>
    <x v="30"/>
    <s v="LSS"/>
    <s v="N "/>
    <m/>
    <m/>
    <m/>
    <s v="0015A00003EKE0EAAX"/>
    <s v="KING AUTO GROUP"/>
    <s v="71061381"/>
    <s v="KING KIA OF LAUREL"/>
    <s v="AUTO"/>
    <s v="76230032"/>
    <s v="KING KIA OF LAUREL"/>
    <m/>
    <s v="KING KIA OF LAUREL"/>
    <s v="0127"/>
    <s v="127"/>
    <s v="120"/>
    <s v="14921 N BALTIMORE AVE"/>
    <s v="LAUREL"/>
    <s v="MD"/>
    <s v="UNITED STATES"/>
    <x v="5"/>
    <x v="5"/>
    <s v="FRONT OFFICE"/>
    <s v="ELEAD"/>
    <s v="ELEAD OTHER"/>
    <s v="CALL TRACKING"/>
    <m/>
    <s v="N"/>
    <n v="1"/>
    <n v="0"/>
    <n v="0"/>
    <n v="0"/>
    <n v="0"/>
    <n v="299"/>
    <n v="299"/>
    <n v="3588"/>
    <n v="3"/>
    <d v="2025-05-12T00:00:00"/>
    <d v="2022-01-03T00:00:00"/>
    <n v="2022"/>
    <n v="6"/>
    <m/>
    <m/>
    <m/>
    <s v="N"/>
    <m/>
    <m/>
    <m/>
    <m/>
    <m/>
    <m/>
    <m/>
    <x v="39"/>
    <n v="2022"/>
    <n v="10"/>
    <n v="2026"/>
    <n v="10"/>
    <d v="2022-04-25T00:00:00"/>
    <n v="2022"/>
    <n v="10"/>
    <n v="2022"/>
    <n v="11"/>
    <x v="5"/>
    <n v="2025"/>
    <n v="5"/>
    <s v="836"/>
    <s v="Price/Value Proposition"/>
    <s v="N"/>
    <s v="M"/>
    <s v="BACK TO MANUAL"/>
    <s v="DA"/>
    <s v="Dropped Apps"/>
    <s v="P"/>
    <s v="PRODUCT"/>
    <s v="Manual"/>
    <m/>
    <m/>
    <m/>
  </r>
  <r>
    <s v="68215936SW01"/>
    <s v="4570060"/>
    <s v="CRM OUTBOUND TELEPHONY TRACKING (NEW AND CONVERSION)"/>
    <s v="AUTOMOBILE"/>
    <s v="1-2"/>
    <s v="NEW AUTO"/>
    <s v="AUTO"/>
    <n v="12"/>
    <m/>
    <s v="76067593"/>
    <s v="Y"/>
    <s v="N"/>
    <x v="6"/>
    <s v="19910"/>
    <x v="6"/>
    <s v="INS"/>
    <s v="C "/>
    <m/>
    <s v="68163607SW01"/>
    <m/>
    <s v="0014000000JW296AAB"/>
    <s v="KEYSER &amp; MILLER FORD"/>
    <s v="53354501"/>
    <s v="KEYSER &amp; MILLER FORD"/>
    <s v="AUTO"/>
    <s v="76067593"/>
    <s v="KEYSER &amp; MILLER FORD"/>
    <m/>
    <s v="KEYSER &amp; MILLER FORD"/>
    <s v="0127"/>
    <s v="127"/>
    <s v="120"/>
    <s v="8 E MAIN ST"/>
    <s v="COLLEGEVILLE"/>
    <s v="PA"/>
    <s v="UNITED STATES"/>
    <x v="17"/>
    <x v="17"/>
    <s v="FRONT OFFICE"/>
    <s v="ELEAD"/>
    <s v="ELEAD OTHER"/>
    <s v="CALL TRACKING"/>
    <m/>
    <s v="N"/>
    <n v="1"/>
    <n v="0"/>
    <n v="0"/>
    <n v="0"/>
    <n v="0"/>
    <n v="789"/>
    <n v="789"/>
    <n v="5263.56"/>
    <n v="0"/>
    <d v="2023-12-14T00:00:00"/>
    <d v="2023-11-20T00:00:00"/>
    <n v="2023"/>
    <n v="11"/>
    <m/>
    <m/>
    <m/>
    <s v="N"/>
    <m/>
    <m/>
    <m/>
    <m/>
    <m/>
    <m/>
    <m/>
    <x v="40"/>
    <n v="2023"/>
    <n v="12"/>
    <n v="2026"/>
    <n v="1"/>
    <d v="2023-12-12T00:00:00"/>
    <n v="2023"/>
    <n v="12"/>
    <n v="2023"/>
    <n v="12"/>
    <x v="3"/>
    <m/>
    <m/>
    <m/>
    <m/>
    <m/>
    <m/>
    <m/>
    <m/>
    <m/>
    <m/>
    <m/>
    <m/>
    <m/>
    <m/>
    <m/>
  </r>
  <r>
    <s v="64169783SW03"/>
    <m/>
    <m/>
    <s v="AUTOMOBILE"/>
    <s v="1-2"/>
    <s v="NEW AUTO"/>
    <s v="AUTO"/>
    <n v="1"/>
    <m/>
    <m/>
    <s v="N"/>
    <s v="N"/>
    <x v="31"/>
    <s v="19515"/>
    <x v="31"/>
    <s v="LSS"/>
    <s v="N "/>
    <m/>
    <m/>
    <m/>
    <s v="0010B00002FXS1FAAF"/>
    <s v="KRAFT AUTOMOTIVE"/>
    <s v="205378"/>
    <s v="INFINITI OF TALLAHASSEE"/>
    <s v="AUTO"/>
    <s v="76208041"/>
    <s v="KRAFT INFINITI"/>
    <m/>
    <s v="KRAFT INFINITI"/>
    <s v="0122"/>
    <s v="122"/>
    <s v="120"/>
    <s v="3377 MAHAN DRIVE"/>
    <s v="TALLAHASSEE"/>
    <s v="FL"/>
    <s v="UNITED STATES"/>
    <x v="2"/>
    <x v="2"/>
    <s v="FRONT OFFICE"/>
    <s v="ELEAD"/>
    <s v="ELEAD OTHER"/>
    <s v="CALL TRACKING"/>
    <m/>
    <s v="N"/>
    <n v="1"/>
    <n v="0"/>
    <n v="0"/>
    <n v="0"/>
    <n v="0"/>
    <n v="195"/>
    <n v="299"/>
    <n v="0"/>
    <n v="0"/>
    <d v="2025-09-15T00:00:00"/>
    <d v="2020-01-18T00:00:00"/>
    <n v="2020"/>
    <n v="7"/>
    <m/>
    <m/>
    <m/>
    <s v="N"/>
    <m/>
    <m/>
    <m/>
    <m/>
    <m/>
    <m/>
    <m/>
    <x v="2"/>
    <n v="2020"/>
    <n v="7"/>
    <n v="2026"/>
    <n v="8"/>
    <m/>
    <m/>
    <m/>
    <m/>
    <m/>
    <x v="29"/>
    <n v="2025"/>
    <n v="9"/>
    <s v="820"/>
    <s v="Dealer Refused Comment/Reason Unknown"/>
    <s v="N"/>
    <s v="CL"/>
    <s v="COMPETITIVE LOSS"/>
    <s v="CM"/>
    <s v="Competitive"/>
    <s v="P"/>
    <s v="PRODUCT"/>
    <s v="Competitor"/>
    <s v="Other Vendor"/>
    <m/>
    <m/>
  </r>
  <r>
    <s v="68172164SW30"/>
    <s v="4570060"/>
    <s v="CRM OUTBOUND TELEPHONY TRACKING (NEW AND CONVERSION)"/>
    <s v="AUTOMOBILE"/>
    <s v="6-10"/>
    <s v="NEW AUTO"/>
    <s v="AUTO"/>
    <n v="60"/>
    <m/>
    <m/>
    <s v="N"/>
    <s v="N"/>
    <x v="32"/>
    <s v="18076"/>
    <x v="32"/>
    <s v="LSS"/>
    <s v="C "/>
    <m/>
    <s v="68164146SW07"/>
    <m/>
    <s v="0015A00003EKE0EAAX"/>
    <s v="KING AUTO GROUP"/>
    <s v="500204"/>
    <s v="KING VOLKSWAGEN"/>
    <s v="AUTO"/>
    <s v="76049571"/>
    <s v="KING VOLKSWAGEN"/>
    <m/>
    <s v="KING VOLKSWAGEN"/>
    <s v="0127"/>
    <s v="127"/>
    <s v="120"/>
    <s v="979 N. FREDERICK AVENUE"/>
    <s v="GAITHERSBURG"/>
    <s v="MD"/>
    <s v="UNITED STATES"/>
    <x v="5"/>
    <x v="5"/>
    <s v="FRONT OFFICE"/>
    <s v="ELEAD"/>
    <s v="ELEAD OTHER"/>
    <s v="CALL TRACKING"/>
    <m/>
    <s v="N"/>
    <n v="1"/>
    <n v="0"/>
    <n v="0"/>
    <n v="0"/>
    <n v="0"/>
    <n v="299"/>
    <n v="299"/>
    <n v="0"/>
    <n v="0"/>
    <d v="2025-05-12T00:00:00"/>
    <d v="2020-07-21T00:00:00"/>
    <n v="2021"/>
    <n v="1"/>
    <m/>
    <m/>
    <m/>
    <s v="N"/>
    <m/>
    <m/>
    <m/>
    <m/>
    <m/>
    <m/>
    <m/>
    <x v="19"/>
    <n v="2021"/>
    <n v="1"/>
    <n v="2026"/>
    <n v="1"/>
    <m/>
    <m/>
    <m/>
    <m/>
    <m/>
    <x v="5"/>
    <n v="2025"/>
    <n v="5"/>
    <s v="836"/>
    <s v="Price/Value Proposition"/>
    <s v="N"/>
    <s v="M"/>
    <s v="BACK TO MANUAL"/>
    <s v="DA"/>
    <s v="Dropped Apps"/>
    <s v="P"/>
    <s v="PRODUCT"/>
    <s v="Manual"/>
    <m/>
    <m/>
    <m/>
  </r>
  <r>
    <s v="64236640SW03"/>
    <m/>
    <m/>
    <s v="AUTOMOBILE"/>
    <s v="3-5"/>
    <s v="NEW AUTO"/>
    <s v="AUTO"/>
    <n v="7"/>
    <m/>
    <m/>
    <s v="N"/>
    <s v="N"/>
    <x v="14"/>
    <s v="10786"/>
    <x v="14"/>
    <s v="LSS"/>
    <s v="N "/>
    <s v="64239796SW14"/>
    <m/>
    <m/>
    <s v="0014000000M6G8KAAB"/>
    <s v="PAUL LOKEY"/>
    <s v="01156105"/>
    <s v="LOKEY NISSAN"/>
    <s v="AUTO"/>
    <s v="76211594"/>
    <s v="LOKEY NISSAN"/>
    <m/>
    <s v="LOKEY NISSAN"/>
    <s v="0122"/>
    <s v="122"/>
    <s v="120"/>
    <s v="27758 US HIGHWAY 19 N"/>
    <s v="CLEARWATER"/>
    <s v="FL"/>
    <s v="UNITED STATES"/>
    <x v="10"/>
    <x v="10"/>
    <s v="FRONT OFFICE"/>
    <s v="ELEAD"/>
    <s v="ELEAD OTHER"/>
    <s v="CALL TRACKING"/>
    <m/>
    <s v="N"/>
    <n v="1"/>
    <n v="0"/>
    <n v="0"/>
    <n v="0"/>
    <n v="0"/>
    <n v="599"/>
    <n v="599"/>
    <n v="3594"/>
    <n v="0"/>
    <d v="2025-08-28T00:00:00"/>
    <d v="2025-02-05T00:00:00"/>
    <n v="2025"/>
    <n v="2"/>
    <m/>
    <m/>
    <m/>
    <s v="N"/>
    <m/>
    <m/>
    <m/>
    <m/>
    <m/>
    <m/>
    <m/>
    <x v="41"/>
    <n v="2025"/>
    <n v="2"/>
    <n v="2026"/>
    <n v="2"/>
    <m/>
    <m/>
    <m/>
    <m/>
    <m/>
    <x v="36"/>
    <n v="2025"/>
    <n v="8"/>
    <s v="221"/>
    <s v="CDK CONVERSION - SYS GENERATED"/>
    <s v="N"/>
    <s v="C"/>
    <s v="CDK Conversion"/>
    <s v="CV"/>
    <s v="Conversion"/>
    <s v="G"/>
    <s v="SYS GEN"/>
    <s v="CDK"/>
    <s v="ADP"/>
    <m/>
    <m/>
  </r>
  <r>
    <s v="64169056SW02"/>
    <m/>
    <m/>
    <s v="AUTOMOBILE"/>
    <s v="11+"/>
    <s v="NEW AUTO"/>
    <s v="AUTO"/>
    <n v="1"/>
    <m/>
    <m/>
    <s v="N"/>
    <s v="N"/>
    <x v="15"/>
    <s v="17989"/>
    <x v="15"/>
    <s v="LSS"/>
    <s v="N "/>
    <m/>
    <m/>
    <m/>
    <s v="0014000000JW9X1AAB"/>
    <s v="JACK HANANIA"/>
    <s v="1695755"/>
    <s v="AUDI JACKSONVILLE"/>
    <s v="AUTO"/>
    <s v="76230871"/>
    <s v="HANANIA AUTO"/>
    <m/>
    <s v="AUDI JACKSONVILLE"/>
    <s v="0122"/>
    <s v="122"/>
    <s v="120"/>
    <s v="11401 ATLANTIC BLVD"/>
    <s v="JACKSONVILLE"/>
    <s v="FL"/>
    <s v="UNITED STATES"/>
    <x v="2"/>
    <x v="2"/>
    <s v="FRONT OFFICE"/>
    <s v="ELEAD"/>
    <s v="ELEAD OTHER"/>
    <s v="CALL TRACKING"/>
    <m/>
    <s v="N"/>
    <n v="1"/>
    <n v="0"/>
    <n v="0"/>
    <n v="0"/>
    <n v="0"/>
    <n v="195"/>
    <n v="199"/>
    <n v="0"/>
    <n v="0"/>
    <d v="2025-02-14T00:00:00"/>
    <d v="2020-01-18T00:00:00"/>
    <n v="2020"/>
    <n v="7"/>
    <m/>
    <m/>
    <m/>
    <s v="N"/>
    <m/>
    <m/>
    <m/>
    <m/>
    <m/>
    <m/>
    <m/>
    <x v="2"/>
    <n v="2020"/>
    <n v="7"/>
    <n v="2026"/>
    <n v="8"/>
    <m/>
    <m/>
    <m/>
    <m/>
    <m/>
    <x v="18"/>
    <n v="2025"/>
    <n v="2"/>
    <s v="812"/>
    <s v="CDK Conversion"/>
    <s v="N"/>
    <s v="C"/>
    <s v="CDK Conversion"/>
    <s v="CV"/>
    <s v="Conversion"/>
    <s v="P"/>
    <s v="PRODUCT"/>
    <s v="CDK"/>
    <s v="ADP"/>
    <m/>
    <m/>
  </r>
  <r>
    <s v="68162606SW02"/>
    <m/>
    <m/>
    <s v="AUTOMOBILE"/>
    <s v="11+"/>
    <s v="NEW AUTO"/>
    <s v="AUTO"/>
    <n v="7"/>
    <m/>
    <m/>
    <s v="N"/>
    <s v="N"/>
    <x v="33"/>
    <m/>
    <x v="33"/>
    <s v="LSS"/>
    <s v="N "/>
    <m/>
    <m/>
    <m/>
    <s v="0014000000JW9WFAAR"/>
    <s v="MODERN"/>
    <s v="208484"/>
    <s v="MODERN NISSAN OF LAKE NORMAN"/>
    <s v="AUTO"/>
    <s v="71047244"/>
    <s v="MODERN CHEVROLET - WINSTON"/>
    <m/>
    <s v="MODERN NISSAN OF LAKE NORMAN"/>
    <s v="0127"/>
    <s v="127"/>
    <s v="120"/>
    <s v="18615 STATESVILLE ROAD"/>
    <s v="CORNELIUS"/>
    <s v="NC"/>
    <s v="UNITED STATES"/>
    <x v="2"/>
    <x v="2"/>
    <s v="FRONT OFFICE"/>
    <s v="ELEAD"/>
    <s v="ELEAD OTHER"/>
    <s v="CALL TRACKING"/>
    <m/>
    <s v="N"/>
    <n v="1"/>
    <n v="0"/>
    <n v="0"/>
    <n v="0"/>
    <n v="0"/>
    <n v="195"/>
    <n v="999"/>
    <n v="0"/>
    <n v="0"/>
    <d v="2024-01-31T00:00:00"/>
    <d v="2020-01-18T00:00:00"/>
    <n v="2020"/>
    <n v="7"/>
    <m/>
    <m/>
    <m/>
    <s v="N"/>
    <m/>
    <m/>
    <m/>
    <m/>
    <m/>
    <m/>
    <m/>
    <x v="2"/>
    <n v="2020"/>
    <n v="7"/>
    <n v="2026"/>
    <n v="8"/>
    <m/>
    <m/>
    <m/>
    <m/>
    <m/>
    <x v="37"/>
    <n v="2024"/>
    <n v="1"/>
    <s v="836"/>
    <s v="Price/Value Proposition"/>
    <s v="N"/>
    <s v="M"/>
    <s v="BACK TO MANUAL"/>
    <s v="DA"/>
    <s v="Dropped Apps"/>
    <s v="P"/>
    <s v="PRODUCT"/>
    <s v="Manual"/>
    <m/>
    <m/>
    <m/>
  </r>
  <r>
    <s v="68164146SW07"/>
    <m/>
    <m/>
    <s v="AUTOMOBILE"/>
    <s v="6-10"/>
    <s v="NEW AUTO"/>
    <s v="AUTO"/>
    <n v="1"/>
    <m/>
    <m/>
    <s v="N"/>
    <s v="N"/>
    <x v="32"/>
    <s v="18076"/>
    <x v="32"/>
    <s v="LSS"/>
    <s v="N "/>
    <s v="68172164SW30"/>
    <m/>
    <m/>
    <s v="0015A00003EKE0EAAX"/>
    <s v="KING AUTO GROUP"/>
    <s v="500204"/>
    <s v="KING VOLKSWAGEN"/>
    <s v="AUTO"/>
    <s v="76049571"/>
    <s v="KING VOLKSWAGEN"/>
    <m/>
    <s v="KING VOLKSWAGEN"/>
    <s v="0127"/>
    <s v="127"/>
    <s v="120"/>
    <s v="979 N. FREDERICK AVENUE"/>
    <s v="GAITHERSBURG"/>
    <s v="MD"/>
    <s v="UNITED STATES"/>
    <x v="2"/>
    <x v="2"/>
    <s v="FRONT OFFICE"/>
    <s v="ELEAD"/>
    <s v="ELEAD OTHER"/>
    <s v="CALL TRACKING"/>
    <m/>
    <s v="N"/>
    <n v="1"/>
    <n v="0"/>
    <n v="0"/>
    <n v="0"/>
    <n v="0"/>
    <n v="195"/>
    <n v="299"/>
    <n v="0"/>
    <n v="0"/>
    <d v="2020-07-24T00:00:00"/>
    <d v="2020-01-19T00:00:00"/>
    <n v="2020"/>
    <n v="7"/>
    <m/>
    <m/>
    <m/>
    <s v="N"/>
    <m/>
    <m/>
    <m/>
    <m/>
    <m/>
    <m/>
    <m/>
    <x v="2"/>
    <n v="2020"/>
    <n v="7"/>
    <n v="2026"/>
    <n v="8"/>
    <m/>
    <m/>
    <m/>
    <m/>
    <m/>
    <x v="38"/>
    <n v="2021"/>
    <n v="1"/>
    <s v="221"/>
    <s v="CDK CONVERSION - SYS GENERATED"/>
    <s v="N"/>
    <s v="C"/>
    <s v="CDK Conversion"/>
    <s v="CV"/>
    <s v="Conversion"/>
    <s v="G"/>
    <s v="SYS GEN"/>
    <s v="CDK"/>
    <s v="ADP"/>
    <m/>
    <m/>
  </r>
  <r>
    <s v="64233126SW75"/>
    <s v="4570289"/>
    <s v="CARWARS ELITE 12,500 PACKAGE"/>
    <s v="AUTOMOBILE"/>
    <s v="11+"/>
    <s v="NEW AUTO"/>
    <s v="AUTO"/>
    <n v="60"/>
    <m/>
    <s v="76177675"/>
    <s v="N"/>
    <s v="N"/>
    <x v="23"/>
    <m/>
    <x v="23"/>
    <s v="INS"/>
    <s v="C "/>
    <m/>
    <s v="64188763SW01"/>
    <m/>
    <s v="0014000000JW9X1AAB"/>
    <s v="JACK HANANIA"/>
    <s v="1581742"/>
    <s v="COCONUT POINT HONDA"/>
    <s v="AUTO"/>
    <s v="76230871"/>
    <s v="HANANIA AUTO"/>
    <m/>
    <s v="HANANIA AUTO"/>
    <s v="0122"/>
    <s v="122"/>
    <s v="120"/>
    <s v="22240 S. TAMIAMI TRAIL"/>
    <s v="ESTERO"/>
    <s v="FL"/>
    <s v="UNITED STATES"/>
    <x v="11"/>
    <x v="11"/>
    <s v="FRONT OFFICE"/>
    <s v="ELEAD"/>
    <s v="ELEAD OTHER"/>
    <s v="CALL TRACKING"/>
    <m/>
    <s v="N"/>
    <n v="1"/>
    <n v="0"/>
    <n v="0"/>
    <n v="0"/>
    <n v="0"/>
    <n v="1199"/>
    <n v="1199"/>
    <n v="0"/>
    <n v="0"/>
    <d v="2025-02-26T00:00:00"/>
    <d v="2024-10-23T00:00:00"/>
    <n v="2024"/>
    <n v="10"/>
    <m/>
    <m/>
    <m/>
    <s v="N"/>
    <m/>
    <m/>
    <m/>
    <m/>
    <m/>
    <m/>
    <m/>
    <x v="42"/>
    <n v="2025"/>
    <n v="2"/>
    <n v="2026"/>
    <n v="3"/>
    <m/>
    <m/>
    <m/>
    <m/>
    <m/>
    <x v="3"/>
    <m/>
    <m/>
    <m/>
    <m/>
    <m/>
    <m/>
    <m/>
    <m/>
    <m/>
    <m/>
    <m/>
    <m/>
    <m/>
    <m/>
    <m/>
  </r>
  <r>
    <s v="68182618SW02"/>
    <m/>
    <m/>
    <s v="AUTOMOBILE"/>
    <s v="6-10"/>
    <s v="NEW AUTO"/>
    <s v="AUTO"/>
    <n v="12"/>
    <m/>
    <m/>
    <s v="N"/>
    <s v="N"/>
    <x v="17"/>
    <m/>
    <x v="17"/>
    <s v="LSS"/>
    <s v="N "/>
    <s v="64226788SW01"/>
    <m/>
    <m/>
    <s v="0014000000JWA15AAF"/>
    <s v="GALEANA AUTOMOTIVE GROUP"/>
    <s v="186155"/>
    <s v="GALEANA KIA OF FORT MYERS"/>
    <s v="AUTO"/>
    <s v="76220548"/>
    <s v="GALEANA KIA OF FORT MYERS"/>
    <m/>
    <s v="GALEANA KIA OF FORT MYERS"/>
    <s v="0122"/>
    <s v="122"/>
    <s v="120"/>
    <s v="14483 S TAMIAMI TRL"/>
    <s v="FORT MYERS"/>
    <s v="FL"/>
    <s v="UNITED STATES"/>
    <x v="14"/>
    <x v="14"/>
    <s v="FRONT OFFICE"/>
    <s v="ELEAD"/>
    <s v="ELEAD OTHER"/>
    <s v="CALL TRACKING"/>
    <m/>
    <s v="N"/>
    <n v="1"/>
    <n v="0"/>
    <n v="0"/>
    <n v="0"/>
    <n v="0"/>
    <n v="999"/>
    <n v="999"/>
    <n v="11988"/>
    <n v="0"/>
    <d v="2024-04-19T00:00:00"/>
    <d v="2021-05-13T00:00:00"/>
    <n v="2021"/>
    <n v="11"/>
    <m/>
    <m/>
    <m/>
    <s v="N"/>
    <m/>
    <m/>
    <m/>
    <m/>
    <m/>
    <m/>
    <m/>
    <x v="43"/>
    <n v="2021"/>
    <n v="12"/>
    <n v="2026"/>
    <n v="12"/>
    <d v="2021-06-07T00:00:00"/>
    <n v="2021"/>
    <n v="12"/>
    <n v="2021"/>
    <n v="12"/>
    <x v="31"/>
    <n v="2024"/>
    <n v="4"/>
    <s v="221"/>
    <s v="CDK CONVERSION - SYS GENERATED"/>
    <s v="N"/>
    <s v="C"/>
    <s v="CDK Conversion"/>
    <s v="CV"/>
    <s v="Conversion"/>
    <s v="G"/>
    <s v="SYS GEN"/>
    <s v="CDK"/>
    <s v="ADP"/>
    <m/>
    <m/>
  </r>
  <r>
    <s v="64226861SW29"/>
    <s v="4570383"/>
    <s v="EL1OUTCALLTRACK (GM IMR)"/>
    <s v="AUTOMOBILE"/>
    <s v="3-5"/>
    <s v="NEW AUTO"/>
    <s v="AUTO"/>
    <n v="60"/>
    <m/>
    <m/>
    <s v="N"/>
    <s v="Y"/>
    <x v="4"/>
    <s v="15691"/>
    <x v="4"/>
    <s v="LSS"/>
    <s v="R "/>
    <m/>
    <s v="67046811SW01"/>
    <m/>
    <s v="0014000000JVWFPAAR"/>
    <s v="METROCORP"/>
    <s v="187885"/>
    <s v="ROSEDALE CHEVROLET"/>
    <s v="AUTO"/>
    <s v="76210967"/>
    <s v="GM IMR TURNKEY VENDOR PROGRAM"/>
    <m/>
    <s v="GM IMR TURNKEY VENDOR PROGRAM"/>
    <s v="0122"/>
    <s v="122"/>
    <s v="120"/>
    <s v="2845 HIGHWAY 35W"/>
    <s v="ROSEVILLE"/>
    <s v="MN"/>
    <s v="UNITED STATES"/>
    <x v="4"/>
    <x v="4"/>
    <s v="FRONT OFFICE"/>
    <s v="ELEAD"/>
    <s v="ELEAD OTHER"/>
    <s v="CALL TRACKING"/>
    <m/>
    <s v="N"/>
    <n v="1"/>
    <n v="0"/>
    <n v="0"/>
    <n v="0"/>
    <n v="0"/>
    <n v="0"/>
    <n v="2981"/>
    <n v="0"/>
    <n v="0"/>
    <d v="2025-09-30T00:00:00"/>
    <d v="2024-03-28T00:00:00"/>
    <n v="2024"/>
    <n v="3"/>
    <m/>
    <m/>
    <m/>
    <s v="N"/>
    <m/>
    <m/>
    <m/>
    <m/>
    <m/>
    <m/>
    <m/>
    <x v="44"/>
    <n v="2024"/>
    <n v="4"/>
    <n v="2026"/>
    <n v="4"/>
    <d v="2024-04-05T00:00:00"/>
    <n v="2024"/>
    <n v="4"/>
    <n v="2024"/>
    <n v="4"/>
    <x v="22"/>
    <n v="2025"/>
    <n v="9"/>
    <s v="841"/>
    <s v="Service/Support Issue"/>
    <s v="N"/>
    <s v="M"/>
    <s v="BACK TO MANUAL"/>
    <s v="DA"/>
    <s v="Dropped Apps"/>
    <s v="P"/>
    <s v="PRODUCT"/>
    <s v="Manual"/>
    <m/>
    <m/>
    <m/>
  </r>
  <r>
    <s v="64236640SW02"/>
    <m/>
    <m/>
    <s v="AUTOMOBILE"/>
    <s v="3-5"/>
    <s v="NEW AUTO"/>
    <s v="AUTO"/>
    <n v="7"/>
    <m/>
    <m/>
    <s v="N"/>
    <s v="N"/>
    <x v="14"/>
    <s v="10786"/>
    <x v="14"/>
    <s v="LSS"/>
    <s v="N "/>
    <m/>
    <m/>
    <m/>
    <s v="0014000000M6G8KAAB"/>
    <s v="PAUL LOKEY"/>
    <s v="01156105"/>
    <s v="LOKEY NISSAN"/>
    <s v="AUTO"/>
    <s v="76211594"/>
    <s v="LOKEY NISSAN"/>
    <m/>
    <s v="LOKEY NISSAN"/>
    <s v="0122"/>
    <s v="122"/>
    <s v="120"/>
    <s v="27758 US HIGHWAY 19 N"/>
    <s v="CLEARWATER"/>
    <s v="FL"/>
    <s v="UNITED STATES"/>
    <x v="10"/>
    <x v="10"/>
    <s v="FRONT OFFICE"/>
    <s v="ELEAD"/>
    <s v="ELEAD OTHER"/>
    <s v="CALL TRACKING"/>
    <m/>
    <s v="N"/>
    <n v="1"/>
    <n v="0"/>
    <n v="0"/>
    <n v="0"/>
    <n v="0"/>
    <n v="599"/>
    <n v="599"/>
    <n v="3594"/>
    <n v="0"/>
    <d v="2025-10-13T00:00:00"/>
    <d v="2025-02-05T00:00:00"/>
    <n v="2025"/>
    <n v="2"/>
    <m/>
    <m/>
    <m/>
    <s v="N"/>
    <m/>
    <m/>
    <m/>
    <m/>
    <m/>
    <m/>
    <m/>
    <x v="41"/>
    <n v="2025"/>
    <n v="2"/>
    <n v="2026"/>
    <n v="2"/>
    <m/>
    <m/>
    <m/>
    <m/>
    <m/>
    <x v="22"/>
    <n v="2025"/>
    <n v="10"/>
    <s v="823"/>
    <s v="Error Correction"/>
    <s v="Y"/>
    <s v="EC"/>
    <s v="ADMINISTRATIVE ADJUSTMENT"/>
    <s v="CA"/>
    <s v="CONTRA ADD"/>
    <s v="P"/>
    <s v="PRODUCT"/>
    <s v="N/A"/>
    <m/>
    <m/>
    <m/>
  </r>
  <r>
    <s v="64191075SW42"/>
    <s v="4570089"/>
    <s v="CALLREVU 8000"/>
    <s v="AUTOMOBILE"/>
    <s v="3-5"/>
    <s v="NEW AUTO"/>
    <s v="AUTO"/>
    <n v="36"/>
    <m/>
    <m/>
    <s v="N"/>
    <s v="N"/>
    <x v="3"/>
    <s v="18231"/>
    <x v="3"/>
    <s v="LSS"/>
    <s v="R "/>
    <s v="64238223SW12"/>
    <s v="64164460SW01"/>
    <m/>
    <s v="00140000011RWX6AAK"/>
    <s v="MURRAY AUTO GROUP"/>
    <s v="187371"/>
    <s v="MURRAY CHRYSLER DODGE JEEP"/>
    <s v="AUTO"/>
    <s v="76167994"/>
    <s v="MURRAY CHRYSLER DODGE JEEP"/>
    <m/>
    <s v="MURRAY CHRYSLER DODGE JEEP"/>
    <s v="0122"/>
    <s v="122"/>
    <s v="120"/>
    <s v="15160 HWY 301 S"/>
    <s v="STARKE"/>
    <s v="FL"/>
    <s v="UNITED STATES"/>
    <x v="15"/>
    <x v="15"/>
    <s v="FRONT OFFICE"/>
    <s v="ELEAD"/>
    <s v="ELEAD OTHER"/>
    <s v="CALL TRACKING"/>
    <m/>
    <s v="N"/>
    <n v="1"/>
    <n v="0"/>
    <n v="0"/>
    <n v="0"/>
    <n v="0"/>
    <n v="1394"/>
    <n v="1394"/>
    <n v="0"/>
    <n v="0"/>
    <d v="2025-07-31T00:00:00"/>
    <d v="2021-09-29T00:00:00"/>
    <n v="2022"/>
    <n v="3"/>
    <m/>
    <m/>
    <m/>
    <s v="N"/>
    <m/>
    <m/>
    <m/>
    <m/>
    <m/>
    <m/>
    <m/>
    <x v="45"/>
    <n v="2022"/>
    <n v="4"/>
    <n v="2026"/>
    <n v="4"/>
    <d v="2021-10-11T00:00:00"/>
    <n v="2022"/>
    <n v="4"/>
    <n v="2022"/>
    <n v="4"/>
    <x v="39"/>
    <n v="2025"/>
    <n v="7"/>
    <s v="221"/>
    <s v="CDK CONVERSION - SYS GENERATED"/>
    <s v="N"/>
    <s v="C"/>
    <s v="CDK Conversion"/>
    <s v="CV"/>
    <s v="Conversion"/>
    <s v="G"/>
    <s v="SYS GEN"/>
    <s v="CDK"/>
    <s v="ADP"/>
    <m/>
    <m/>
  </r>
  <r>
    <s v="64239796SW14"/>
    <s v="4571030"/>
    <s v="CARWARS STARTER 5000"/>
    <s v="AUTOMOBILE"/>
    <s v="3-5"/>
    <s v="NEW AUTO"/>
    <s v="AUTO"/>
    <n v="36"/>
    <m/>
    <m/>
    <s v="N"/>
    <s v="N"/>
    <x v="14"/>
    <s v="10786"/>
    <x v="14"/>
    <s v="LSS"/>
    <s v="C "/>
    <m/>
    <s v="64236640SW03"/>
    <m/>
    <s v="0014000000M6G8KAAB"/>
    <s v="PAUL LOKEY"/>
    <s v="01156105"/>
    <s v="LOKEY NISSAN"/>
    <s v="AUTO"/>
    <s v="76211594"/>
    <s v="LOKEY NISSAN"/>
    <m/>
    <s v="LOKEY NISSAN"/>
    <s v="0122"/>
    <s v="122"/>
    <s v="120"/>
    <s v="27758 US HIGHWAY 19 N"/>
    <s v="CLEARWATER"/>
    <s v="FL"/>
    <s v="UNITED STATES"/>
    <x v="10"/>
    <x v="10"/>
    <s v="FRONT OFFICE"/>
    <s v="ELEAD"/>
    <s v="ELEAD OTHER"/>
    <s v="CALL TRACKING"/>
    <m/>
    <s v="N"/>
    <n v="1"/>
    <n v="0"/>
    <n v="0"/>
    <n v="0"/>
    <n v="0"/>
    <n v="599"/>
    <n v="599"/>
    <n v="0"/>
    <n v="0"/>
    <d v="2025-10-31T00:00:00"/>
    <d v="2025-05-21T00:00:00"/>
    <n v="2025"/>
    <n v="5"/>
    <m/>
    <m/>
    <m/>
    <s v="N"/>
    <m/>
    <m/>
    <m/>
    <m/>
    <m/>
    <m/>
    <m/>
    <x v="46"/>
    <n v="2025"/>
    <n v="8"/>
    <n v="2026"/>
    <n v="9"/>
    <d v="2025-08-28T00:00:00"/>
    <n v="2025"/>
    <n v="8"/>
    <n v="2025"/>
    <n v="9"/>
    <x v="40"/>
    <n v="2025"/>
    <n v="10"/>
    <s v="836"/>
    <s v="Price/Value Proposition"/>
    <s v="N"/>
    <s v="CL"/>
    <s v="COMPETITIVE LOSS"/>
    <s v="CM"/>
    <s v="Competitive"/>
    <s v="P"/>
    <s v="PRODUCT"/>
    <s v="Competitor"/>
    <s v="Other Vendor"/>
    <m/>
    <m/>
  </r>
  <r>
    <s v="64168932SW04"/>
    <m/>
    <m/>
    <s v="AUTOMOBILE"/>
    <s v="1-2"/>
    <s v="NEW AUTO"/>
    <s v="AUTO"/>
    <n v="1"/>
    <m/>
    <m/>
    <s v="Y"/>
    <s v="N"/>
    <x v="27"/>
    <s v="19638"/>
    <x v="27"/>
    <s v="LSS"/>
    <s v="N "/>
    <m/>
    <m/>
    <m/>
    <s v="0014000000F2TTXAAI"/>
    <s v="MEL HAMBELTON"/>
    <s v="155779"/>
    <s v="MEL HAMBELTON FORD"/>
    <s v="AUTO"/>
    <s v="76049550"/>
    <s v="MEL HAMBELTON FORD"/>
    <m/>
    <s v="MEL HAMBELTON FORD"/>
    <s v="0122"/>
    <s v="122"/>
    <s v="120"/>
    <s v="11771 W KELLOGG DR"/>
    <s v="WICHITA"/>
    <s v="KS"/>
    <s v="UNITED STATES"/>
    <x v="2"/>
    <x v="2"/>
    <s v="FRONT OFFICE"/>
    <s v="ELEAD"/>
    <s v="ELEAD OTHER"/>
    <s v="CALL TRACKING"/>
    <m/>
    <s v="N"/>
    <n v="1"/>
    <n v="0"/>
    <n v="0"/>
    <n v="0"/>
    <n v="0"/>
    <n v="195"/>
    <n v="1849"/>
    <n v="0"/>
    <n v="0"/>
    <d v="2022-04-13T00:00:00"/>
    <d v="2020-01-18T00:00:00"/>
    <n v="2020"/>
    <n v="7"/>
    <m/>
    <m/>
    <m/>
    <s v="N"/>
    <m/>
    <m/>
    <m/>
    <m/>
    <m/>
    <m/>
    <m/>
    <x v="2"/>
    <n v="2020"/>
    <n v="7"/>
    <n v="2026"/>
    <n v="8"/>
    <m/>
    <m/>
    <m/>
    <m/>
    <m/>
    <x v="41"/>
    <n v="2022"/>
    <n v="10"/>
    <s v="812"/>
    <s v="CDK Conversion"/>
    <s v="N"/>
    <s v="C"/>
    <s v="CDK Conversion"/>
    <s v="CV"/>
    <s v="Conversion"/>
    <s v="P"/>
    <s v="PRODUCT"/>
    <s v="CDK"/>
    <s v="ADP"/>
    <m/>
    <m/>
  </r>
  <r>
    <s v="68172588SW01"/>
    <s v="4570060"/>
    <s v="CRM OUTBOUND TELEPHONY TRACKING (NEW AND CONVERSION)"/>
    <s v="AUTOMOBILE"/>
    <s v="1-2"/>
    <s v="NEW AUTO"/>
    <s v="AUTO"/>
    <n v="48"/>
    <m/>
    <m/>
    <s v="Y"/>
    <s v="N"/>
    <x v="2"/>
    <s v="8230"/>
    <x v="2"/>
    <s v="LSS"/>
    <s v="C "/>
    <s v="68244081SW18"/>
    <s v="68163968SW01"/>
    <m/>
    <s v="0014000000JW305AAB"/>
    <s v="CELLA FORD"/>
    <s v="10123709"/>
    <s v="CELLA FORD"/>
    <s v="AUTO"/>
    <s v="08320047"/>
    <s v="CELLA FORD"/>
    <m/>
    <s v="CELLA FORD"/>
    <s v="0127"/>
    <s v="127"/>
    <s v="120"/>
    <s v="3210 DR M L KING JR BLVD"/>
    <s v="NEW BERN"/>
    <s v="NC"/>
    <s v="UNITED STATES"/>
    <x v="5"/>
    <x v="5"/>
    <s v="FRONT OFFICE"/>
    <s v="ELEAD"/>
    <s v="ELEAD OTHER"/>
    <s v="CALL TRACKING"/>
    <m/>
    <s v="N"/>
    <n v="1"/>
    <n v="0"/>
    <n v="0"/>
    <n v="0"/>
    <n v="0"/>
    <n v="299"/>
    <n v="359"/>
    <n v="0"/>
    <n v="0"/>
    <d v="2025-11-05T00:00:00"/>
    <d v="2020-08-03T00:00:00"/>
    <n v="2021"/>
    <n v="1"/>
    <m/>
    <m/>
    <m/>
    <s v="N"/>
    <m/>
    <m/>
    <m/>
    <m/>
    <m/>
    <m/>
    <m/>
    <x v="47"/>
    <n v="2021"/>
    <n v="2"/>
    <n v="2026"/>
    <n v="2"/>
    <m/>
    <m/>
    <m/>
    <m/>
    <m/>
    <x v="40"/>
    <n v="2025"/>
    <n v="11"/>
    <s v="812"/>
    <s v="CDK Conversion"/>
    <s v="N"/>
    <s v="C"/>
    <s v="CDK Conversion"/>
    <s v="CV"/>
    <s v="Conversion"/>
    <s v="P"/>
    <s v="PRODUCT"/>
    <s v="CDK"/>
    <s v="ADP"/>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4">
  <r>
    <s v="Baker - Buick GMC Cadillac"/>
    <n v="76195"/>
    <n v="17223"/>
    <n v="8351.73"/>
    <n v="0"/>
    <n v="1571.65"/>
    <n v="1571.65"/>
    <s v="76143222"/>
    <s v="BAKER BUICK GMC CADILLAC"/>
    <m/>
    <d v="2022-05-26T00:00:00"/>
    <d v="2025-05-31T00:00:00"/>
    <s v="4570060"/>
    <s v="CRM OUTBOUND TELEPHONY TRACKING (NEW AND CONVERSION)"/>
    <e v="#N/A"/>
    <n v="0"/>
    <e v="#N/A"/>
    <e v="#N/A"/>
    <e v="#N/A"/>
    <x v="0"/>
    <e v="#N/A"/>
    <e v="#N/A"/>
    <e v="#N/A"/>
    <s v="Secondary Package: Carrier Registration - Monthly ($10.00)"/>
    <s v=""/>
    <s v=""/>
  </r>
  <r>
    <s v="Bob Bell Hyundai"/>
    <n v="92128"/>
    <n v="18596"/>
    <n v="9740.35"/>
    <n v="0"/>
    <n v="1581.65"/>
    <n v="1581.65"/>
    <s v="76217678"/>
    <s v="BOB BELL HYUNDAI"/>
    <m/>
    <d v="2024-10-01T00:00:00"/>
    <d v="2025-09-14T00:00:00"/>
    <s v="4570062"/>
    <s v="CARWARS PREMIUM SALES"/>
    <e v="#N/A"/>
    <n v="0"/>
    <e v="#N/A"/>
    <e v="#N/A"/>
    <e v="#N/A"/>
    <x v="0"/>
    <e v="#N/A"/>
    <e v="#N/A"/>
    <e v="#N/A"/>
    <s v="Secondary Package: Carrier Registration - Monthly ($10.00)"/>
    <s v="Elead CW Unlimited  v2 ($1,571.65)"/>
    <s v=""/>
  </r>
  <r>
    <s v="Cella Ford"/>
    <n v="90338"/>
    <n v="8230"/>
    <n v="2477.75"/>
    <n v="0"/>
    <n v="264.14999999999998"/>
    <n v="264.14999999999998"/>
    <s v="08320047"/>
    <s v="CELLA FORD"/>
    <m/>
    <d v="2020-08-10T00:00:00"/>
    <d v="2025-10-31T00:00:00"/>
    <s v="4570009"/>
    <s v="CARWARS STARTER 3500"/>
    <e v="#N/A"/>
    <n v="0"/>
    <e v="#N/A"/>
    <e v="#N/A"/>
    <e v="#N/A"/>
    <x v="0"/>
    <e v="#N/A"/>
    <e v="#N/A"/>
    <e v="#N/A"/>
    <s v="Secondary Package: Carrier Registration - Monthly ($10.00)"/>
    <s v="Elead CW Starter 4000 v2 ($254.15)"/>
    <s v=""/>
  </r>
  <r>
    <s v="Fair Oaks CDJR"/>
    <n v="93471"/>
    <n v="10445"/>
    <n v="0"/>
    <n v="0"/>
    <n v="1793.3000000000002"/>
    <n v="1793.3000000000002"/>
    <s v="76003426"/>
    <s v="FAIR OAKS CHANTILLY CHRYSLER DODGE JEEP RAM"/>
    <m/>
    <d v="2020-08-10T00:00:00"/>
    <d v="2025-10-31T00:00:00"/>
    <s v="4570009"/>
    <s v="CARWARS STARTER 3500"/>
    <e v="#N/A"/>
    <n v="0"/>
    <e v="#N/A"/>
    <e v="#N/A"/>
    <e v="#N/A"/>
    <x v="0"/>
    <e v="#N/A"/>
    <e v="#N/A"/>
    <e v="#N/A"/>
    <s v="eLead - CW Starter - 7500 mins v2 ($424.15)"/>
    <s v="eLead - CW Premium - Sales 50k v2 ($1,571.65)"/>
    <s v="Secondary Package: eLead - Car Wars Texting v2 ($211.65)"/>
  </r>
  <r>
    <s v="Fredy KIA"/>
    <n v="116892"/>
    <n v="6397"/>
    <n v="52.02"/>
    <n v="0"/>
    <n v="1581.65"/>
    <n v="1581.65"/>
    <s v="76062949"/>
    <s v="FREDY KIA"/>
    <m/>
    <d v="2020-02-01T00:00:00"/>
    <d v="2025-07-31T00:00:00"/>
    <e v="#N/A"/>
    <e v="#N/A"/>
    <e v="#N/A"/>
    <n v="0"/>
    <e v="#N/A"/>
    <e v="#N/A"/>
    <e v="#N/A"/>
    <x v="0"/>
    <e v="#N/A"/>
    <e v="#N/A"/>
    <e v="#N/A"/>
    <s v="eLead - CW Starter - 3500 mins v2 ($254.15)"/>
    <s v="eLead - CW Premium - Sales 50k v2 ($1,571.65)"/>
    <s v=""/>
  </r>
  <r>
    <s v="King KIA"/>
    <n v="86863"/>
    <n v="18077"/>
    <n v="4423.0200000000004"/>
    <n v="29.19"/>
    <n v="293.33999999999997"/>
    <n v="264.14999999999998"/>
    <s v="76049589"/>
    <s v="KING KIA"/>
    <m/>
    <d v="2020-07-01T00:00:00"/>
    <d v="2025-04-30T00:00:00"/>
    <s v="4570009"/>
    <s v="CARWARS STARTER 3500"/>
    <e v="#N/A"/>
    <n v="141"/>
    <e v="#N/A"/>
    <e v="#N/A"/>
    <e v="#N/A"/>
    <x v="0"/>
    <e v="#N/A"/>
    <e v="#N/A"/>
    <e v="#N/A"/>
    <s v="Secondary Package: Carrier Registration - Monthly ($10.00)"/>
    <s v="Elead CW Starter 4000 v2 ($254.15)"/>
    <s v=""/>
  </r>
  <r>
    <s v="King Kia of Laurel"/>
    <n v="150401"/>
    <n v="27069"/>
    <n v="9933.82"/>
    <n v="443.93"/>
    <n v="708.08"/>
    <n v="264.15000000000003"/>
    <s v="76230032"/>
    <s v="KING KIA OF LAUREL"/>
    <m/>
    <d v="2022-04-12T00:00:00"/>
    <d v="2025-04-30T00:00:00"/>
    <s v="4570009"/>
    <s v="CARWARS STARTER 3500"/>
    <e v="#N/A"/>
    <n v="586.51"/>
    <e v="#N/A"/>
    <e v="#N/A"/>
    <e v="#N/A"/>
    <x v="0"/>
    <e v="#N/A"/>
    <e v="#N/A"/>
    <e v="#N/A"/>
    <s v="Secondary Package: Carrier Registration - Monthly ($10.00)"/>
    <s v="eLead - CW Starter - 3500 mins v2 ($254.15)"/>
    <s v=""/>
  </r>
  <r>
    <s v="King Volkswagen"/>
    <n v="86862"/>
    <n v="18076"/>
    <n v="4425.79"/>
    <n v="29.38"/>
    <n v="293.52999999999997"/>
    <n v="264.14999999999998"/>
    <s v="76049571"/>
    <s v="KING VOLKSWAGEN"/>
    <m/>
    <d v="2020-07-01T00:00:00"/>
    <d v="2025-04-30T00:00:00"/>
    <s v="4570009"/>
    <s v="CARWARS STARTER 3500"/>
    <e v="#N/A"/>
    <n v="0"/>
    <e v="#N/A"/>
    <e v="#N/A"/>
    <e v="#N/A"/>
    <x v="0"/>
    <e v="#N/A"/>
    <e v="#N/A"/>
    <e v="#N/A"/>
    <s v="Secondary Package: Carrier Registration - Monthly ($10.00)"/>
    <s v="Elead CW Starter 4000 v2 ($254.15)"/>
    <s v=""/>
  </r>
  <r>
    <s v="Lokey Nissan"/>
    <n v="148843"/>
    <n v="10786"/>
    <n v="0"/>
    <n v="0"/>
    <n v="0"/>
    <n v="0"/>
    <s v="76211594"/>
    <s v="LOKEY NISSAN"/>
    <m/>
    <d v="2024-09-10T00:00:00"/>
    <d v="2025-10-31T00:00:00"/>
    <s v="4571030"/>
    <s v="CARWARS STARTER 5000"/>
    <e v="#N/A"/>
    <n v="0"/>
    <e v="#N/A"/>
    <e v="#N/A"/>
    <e v="#N/A"/>
    <x v="0"/>
    <e v="#N/A"/>
    <e v="#N/A"/>
    <e v="#N/A"/>
    <s v="eLead - Elite Small v2 ($1,274.15)"/>
    <s v=""/>
    <s v=""/>
  </r>
  <r>
    <s v="Mel Hambelton Ford"/>
    <n v="116785"/>
    <n v="19638"/>
    <n v="43"/>
    <n v="0"/>
    <n v="1571.65"/>
    <n v="1571.65"/>
    <s v="76049550"/>
    <s v="MEL HAMBELTON FORD"/>
    <m/>
    <d v="2022-04-06T00:00:00"/>
    <d v="2025-04-30T00:00:00"/>
    <s v="4570062"/>
    <s v="CARWARS PREMIUM SALES"/>
    <e v="#N/A"/>
    <n v="0"/>
    <e v="#N/A"/>
    <e v="#N/A"/>
    <e v="#N/A"/>
    <x v="0"/>
    <e v="#N/A"/>
    <e v="#N/A"/>
    <e v="#N/A"/>
    <s v="Secondary Package: Carrier Registration - Monthly ($10.00)"/>
    <s v=""/>
    <s v=""/>
  </r>
  <r>
    <s v="Midlands  Toyota"/>
    <n v="46377"/>
    <n v="8725"/>
    <n v="36"/>
    <n v="0"/>
    <n v="0"/>
    <n v="0"/>
    <s v="76228629"/>
    <s v="MIDLANDS TOYOTA"/>
    <m/>
    <d v="2022-01-07T00:00:00"/>
    <d v="2025-02-28T00:00:00"/>
    <s v="4570058"/>
    <s v="CARWARS STARTER 7500"/>
    <e v="#N/A"/>
    <n v="0"/>
    <e v="#N/A"/>
    <e v="#N/A"/>
    <e v="#N/A"/>
    <x v="0"/>
    <e v="#N/A"/>
    <e v="#N/A"/>
    <e v="#N/A"/>
    <s v="Secondary Package: Carrier Registration - Monthly ($10.00)"/>
    <s v=""/>
    <s v=""/>
  </r>
  <r>
    <s v="Mobile Bay Harley Davidson"/>
    <n v="99628"/>
    <n v="17155"/>
    <n v="1264.3399999999999"/>
    <n v="0"/>
    <n v="264.14999999999998"/>
    <n v="264.14999999999998"/>
    <s v="76211956"/>
    <s v="MOBILE BAY HARLEY DAVIDSON"/>
    <m/>
    <d v="2020-02-01T00:00:00"/>
    <d v="2025-04-30T00:00:00"/>
    <s v="4570060"/>
    <s v="CRM OUTBOUND TELEPHONY TRACKING (NEW AND CONVERSION)"/>
    <e v="#N/A"/>
    <n v="0"/>
    <e v="#N/A"/>
    <e v="#N/A"/>
    <e v="#N/A"/>
    <x v="0"/>
    <e v="#N/A"/>
    <e v="#N/A"/>
    <e v="#N/A"/>
    <s v="Secondary Package: Carrier Registration - Monthly ($10.00)"/>
    <s v="eLead - CW Starter - 3500 mins v2 ($254.15)"/>
    <s v=""/>
  </r>
  <r>
    <s v="New Orleans Harley Davidson"/>
    <n v="99624"/>
    <n v="4548"/>
    <n v="42.65"/>
    <n v="0"/>
    <n v="139"/>
    <n v="139"/>
    <s v="76211900"/>
    <s v="NEW ORLEANS HARLEY-DAVIDSON"/>
    <m/>
    <d v="2020-02-01T00:00:00"/>
    <d v="2025-04-30T00:00:00"/>
    <s v="4570060"/>
    <s v="CRM OUTBOUND TELEPHONY TRACKING (NEW AND CONVERSION)"/>
    <e v="#N/A"/>
    <n v="0"/>
    <e v="#N/A"/>
    <e v="#N/A"/>
    <e v="#N/A"/>
    <x v="0"/>
    <e v="#N/A"/>
    <e v="#N/A"/>
    <e v="#N/A"/>
    <s v="Elead Outbound 4000 v2 ($129.00)"/>
    <s v="Elead Outbound 4000 v2 ($129.00)"/>
    <s v=""/>
  </r>
  <r>
    <s v="Piazza Nissan of Ardmore"/>
    <n v="142901"/>
    <n v="23308"/>
    <n v="0"/>
    <n v="0"/>
    <n v="254.15"/>
    <n v="254.15"/>
    <s v="76215011"/>
    <s v="PIAZZA NISSAN OF ARDMORE"/>
    <m/>
    <d v="2020-10-14T00:00:00"/>
    <d v="2025-08-31T00:00:00"/>
    <s v="4570009"/>
    <s v="CARWARS STARTER 3500"/>
    <e v="#N/A"/>
    <n v="0"/>
    <e v="#N/A"/>
    <e v="#N/A"/>
    <e v="#N/A"/>
    <x v="0"/>
    <e v="#N/A"/>
    <e v="#N/A"/>
    <e v="#N/A"/>
    <s v="Secondary Package: Carrier Registration - Monthly ($10.00)"/>
    <s v=""/>
    <s v=""/>
  </r>
  <r>
    <s v="Renaldo Kia"/>
    <n v="154381"/>
    <n v="9560"/>
    <n v="2"/>
    <n v="0"/>
    <n v="434.15"/>
    <n v="434.15"/>
    <s v="76171765"/>
    <s v="RENALDO KIA"/>
    <m/>
    <d v="2023-02-01T00:00:00"/>
    <d v="2025-09-30T00:00:00"/>
    <s v="4570058"/>
    <s v="CARWARS STARTER 7500"/>
    <e v="#N/A"/>
    <n v="0"/>
    <e v="#N/A"/>
    <e v="#N/A"/>
    <e v="#N/A"/>
    <x v="0"/>
    <e v="#N/A"/>
    <e v="#N/A"/>
    <e v="#N/A"/>
    <s v="Secondary Package: Carrier Registration - Monthly ($10.00)"/>
    <s v="eLead - CW Starter - 7500 mins v2 ($424.15)"/>
    <s v=""/>
  </r>
  <r>
    <s v="Rosedale Chevrolet"/>
    <n v="59676"/>
    <n v="11619"/>
    <n v="11274.29"/>
    <n v="449.14"/>
    <n v="1298.1400000000001"/>
    <n v="849.00000000000011"/>
    <s v="76055608"/>
    <s v="ROSEDALE CHEVROLET"/>
    <m/>
    <d v="2020-05-14T00:00:00"/>
    <d v="2025-09-30T00:00:00"/>
    <s v="4570383"/>
    <s v="EL1OUTCALLTRACK (GM IMR)"/>
    <e v="#N/A"/>
    <n v="0"/>
    <e v="#N/A"/>
    <e v="#N/A"/>
    <e v="#N/A"/>
    <x v="0"/>
    <e v="#N/A"/>
    <e v="#N/A"/>
    <e v="#N/A"/>
    <s v="Secondary Package: Carrier Registration - Monthly ($10.00)"/>
    <s v="Elead - 24' CW Elite Small ($839.00)"/>
    <s v=""/>
  </r>
  <r>
    <s v="Union Auto Grupo Usados"/>
    <n v="145682"/>
    <n v="25433"/>
    <n v="0"/>
    <n v="0"/>
    <n v="254.15"/>
    <n v="254.15"/>
    <s v="76224283"/>
    <s v="UNION AUTO GRUPO USADOS"/>
    <m/>
    <d v="2021-04-19T00:00:00"/>
    <d v="2025-07-31T00:00:00"/>
    <s v="4570009"/>
    <s v="CARWARS STARTER 3500"/>
    <e v="#N/A"/>
    <n v="0"/>
    <e v="#N/A"/>
    <e v="#N/A"/>
    <e v="#N/A"/>
    <x v="0"/>
    <e v="#N/A"/>
    <e v="#N/A"/>
    <e v="#N/A"/>
    <s v="eLead - CW Starter - 3500 mins v2 ($254.15)"/>
    <s v=""/>
    <s v=""/>
  </r>
  <r>
    <s v="Stanley Ford Sweetwater"/>
    <n v="97584"/>
    <n v="18849"/>
    <n v="8390.85"/>
    <n v="61.47"/>
    <n v="495.62"/>
    <n v="434.15"/>
    <s v="76166962"/>
    <s v="STANLEY FORD SWEETWATER"/>
    <m/>
    <d v="2020-02-01T00:00:00"/>
    <d v="2020-02-17T00:00:00"/>
    <s v="4570060"/>
    <s v="CRM OUTBOUND TELEPHONY TRACKING (NEW AND CONVERSION)"/>
    <e v="#N/A"/>
    <n v="0"/>
    <e v="#N/A"/>
    <e v="#N/A"/>
    <e v="#N/A"/>
    <x v="1"/>
    <e v="#N/A"/>
    <e v="#N/A"/>
    <e v="#N/A"/>
    <s v="Secondary Package: Carrier Registration - Monthly ($10.00)"/>
    <s v="eLead - CW Starter - 7500 mins v2 ($424.15)"/>
    <s v=""/>
  </r>
  <r>
    <s v="McSweeney Auto Group Clanton LLC"/>
    <n v="187780"/>
    <n v="76201662"/>
    <n v="4406.9799999999996"/>
    <n v="0"/>
    <n v="1653"/>
    <n v="1653"/>
    <s v="76201662"/>
    <s v="MCSWEENEY CHRYSLER DODGE JEEP RAM"/>
    <m/>
    <d v="2024-04-08T00:00:00"/>
    <d v="2024-10-30T00:00:00"/>
    <s v="4570289"/>
    <s v="CARWARS ELITE 12,500 PACKAGE"/>
    <e v="#N/A"/>
    <n v="0"/>
    <e v="#N/A"/>
    <e v="#N/A"/>
    <e v="#N/A"/>
    <x v="2"/>
    <e v="#N/A"/>
    <e v="#N/A"/>
    <e v="#N/A"/>
    <s v="eLead - CW Starter - 3500 mins v2 ($254.15)"/>
    <s v="Elead - 24' CW Elite Medium ($1,294.00)"/>
    <s v="Secondary Package: Elead - 24' CW Elite Medium Service ($349.00)"/>
  </r>
  <r>
    <s v="Modern Nissan of Lake Norman"/>
    <n v="131763"/>
    <n v="21795"/>
    <n v="3176.66"/>
    <n v="0"/>
    <n v="264.14999999999998"/>
    <n v="264.14999999999998"/>
    <s v="76165887"/>
    <s v="MODERN NISSAN OF LAKE NORMAN"/>
    <m/>
    <d v="2020-02-01T00:00:00"/>
    <d v="2024-01-31T00:00:00"/>
    <s v="4570060"/>
    <s v="CRM OUTBOUND TELEPHONY TRACKING (NEW AND CONVERSION)"/>
    <e v="#N/A"/>
    <n v="54.58"/>
    <e v="#N/A"/>
    <e v="#N/A"/>
    <e v="#N/A"/>
    <x v="3"/>
    <e v="#N/A"/>
    <e v="#N/A"/>
    <e v="#N/A"/>
    <s v="Secondary Package: Carrier Registration - Monthly ($10.00)"/>
    <s v="eLead - CW Starter - 3500 mins v2 ($254.15)"/>
    <s v=""/>
  </r>
  <r>
    <s v="Zimbrick Acura of Brookfield"/>
    <n v="141131"/>
    <n v="15952"/>
    <n v="1584.05"/>
    <n v="0"/>
    <n v="434.15"/>
    <n v="434.15"/>
    <s v="76066612"/>
    <s v="ZIMBRICK ACURA OF BROOKFIELD"/>
    <m/>
    <d v="2020-09-08T00:00:00"/>
    <d v="2024-04-30T00:00:00"/>
    <s v="4570058"/>
    <s v="CARWARS STARTER 7500"/>
    <e v="#N/A"/>
    <n v="0"/>
    <e v="#N/A"/>
    <e v="#N/A"/>
    <e v="#N/A"/>
    <x v="4"/>
    <e v="#N/A"/>
    <e v="#N/A"/>
    <e v="#N/A"/>
    <s v="eLead - Elite Small ($1,019.00)"/>
    <s v="eLead - CW Starter - 7500 mins v2 ($424.15)"/>
    <s v=""/>
  </r>
  <r>
    <s v="Bob Bell Ford"/>
    <n v="59246"/>
    <n v="18577"/>
    <n v="13420.63"/>
    <n v="0"/>
    <n v="1581.65"/>
    <n v="1581.65"/>
    <s v="25181201"/>
    <s v="BOB BELL FORD"/>
    <d v="2024-08-22T00:00:00"/>
    <m/>
    <m/>
    <s v="4570062"/>
    <s v="CARWARS PREMIUM SALES"/>
    <e v="#N/A"/>
    <n v="0"/>
    <e v="#N/A"/>
    <e v="#N/A"/>
    <e v="#N/A"/>
    <x v="5"/>
    <e v="#N/A"/>
    <e v="#N/A"/>
    <e v="#N/A"/>
    <s v="Secondary Package: Carrier Registration - Monthly ($10.00)"/>
    <s v="eLead - CW Premium - Sales 50k v2 ($1,571.65)"/>
    <s v=""/>
  </r>
  <r>
    <s v="Moonshine Harley Davidson"/>
    <n v="119133"/>
    <n v="4545"/>
    <n v="6999.72"/>
    <n v="0"/>
    <n v="499"/>
    <n v="499"/>
    <s v="76253988"/>
    <s v="MOONSHINE HARLEY-DAVIDSON"/>
    <m/>
    <m/>
    <m/>
    <s v="4570060"/>
    <s v="CARWARS LEISURE SMALL (SALES ONLY)"/>
    <n v="783.94"/>
    <n v="0"/>
    <n v="783.94"/>
    <n v="284.94000000000005"/>
    <n v="0.36347169426231601"/>
    <x v="6"/>
    <e v="#N/A"/>
    <e v="#N/A"/>
    <e v="#N/A"/>
    <s v="Secondary Package: Carrier Registration - Monthly ($10.00)"/>
    <s v="eLead - CW Leisure Small (Sales Only)  ($489.00)"/>
    <s v=""/>
  </r>
  <r>
    <s v="HAN - Audi Jacksonville"/>
    <n v="94617"/>
    <n v="17989"/>
    <n v="0.99"/>
    <n v="0"/>
    <n v="139"/>
    <n v="139"/>
    <s v="76200288"/>
    <s v="AUDI JACKSONVILLE"/>
    <m/>
    <d v="2020-02-01T00:00:00"/>
    <d v="2025-01-31T00:00:00"/>
    <s v="4570060"/>
    <s v="CRM OUTBOUND TELEPHONY TRACKING (NEW AND CONVERSION)"/>
    <e v="#N/A"/>
    <n v="0"/>
    <e v="#N/A"/>
    <e v="#N/A"/>
    <e v="#N/A"/>
    <x v="7"/>
    <e v="#N/A"/>
    <e v="#N/A"/>
    <e v="#N/A"/>
    <s v="Secondary Package: Carrier Registration - Monthly ($10.00)"/>
    <s v="Elead Outbound 4000 v2 ($129.00)"/>
    <s v=""/>
  </r>
  <r>
    <s v="HAN - Coconut Point Honda"/>
    <n v="146561"/>
    <n v="15230"/>
    <n v="0"/>
    <n v="0"/>
    <n v="1284.1500000000001"/>
    <n v="1284.1500000000001"/>
    <s v="76177675"/>
    <s v="COCONUT POINT HONDA"/>
    <m/>
    <d v="2021-09-22T00:00:00"/>
    <d v="2025-02-25T00:00:00"/>
    <s v="4570289"/>
    <s v="CARWARS ELITE 12,500 PACKAGE"/>
    <e v="#N/A"/>
    <n v="0"/>
    <e v="#N/A"/>
    <e v="#N/A"/>
    <e v="#N/A"/>
    <x v="7"/>
    <e v="#N/A"/>
    <e v="#N/A"/>
    <e v="#N/A"/>
    <s v="Secondary Package: Carrier Registration - Monthly ($10.00)"/>
    <s v="eLead - Elite Small v2 ($1,274.15)"/>
    <s v=""/>
  </r>
  <r>
    <s v="Infiniti of Tallahassee"/>
    <n v="115609"/>
    <n v="19515"/>
    <n v="243.17"/>
    <n v="0"/>
    <n v="264.14999999999998"/>
    <n v="264.14999999999998"/>
    <s v="76208041"/>
    <s v="KRAFT INFINITI"/>
    <m/>
    <d v="2020-02-01T00:00:00"/>
    <d v="2023-12-13T00:00:00"/>
    <s v="4570060"/>
    <s v="CRM OUTBOUND TELEPHONY TRACKING (NEW AND CONVERSION)"/>
    <e v="#N/A"/>
    <n v="0"/>
    <e v="#N/A"/>
    <e v="#N/A"/>
    <e v="#N/A"/>
    <x v="7"/>
    <e v="#N/A"/>
    <e v="#N/A"/>
    <e v="#N/A"/>
    <s v="Secondary Package: Carrier Registration - Monthly ($10.00)"/>
    <s v="eLead - CW Starter - 3500 mins v2 ($254.15)"/>
    <s v=""/>
  </r>
  <r>
    <s v="Keyser and Miller Ford"/>
    <n v="117484"/>
    <n v="19910"/>
    <n v="0"/>
    <n v="0"/>
    <n v="254.15"/>
    <n v="254.15"/>
    <s v="76067593"/>
    <s v="KEYSER &amp; MILLER FORD"/>
    <m/>
    <d v="2020-02-01T00:00:00"/>
    <d v="2023-12-13T00:00:00"/>
    <s v="4570060"/>
    <s v="CRM OUTBOUND TELEPHONY TRACKING (NEW AND CONVERSION)"/>
    <e v="#N/A"/>
    <n v="0"/>
    <e v="#N/A"/>
    <e v="#N/A"/>
    <e v="#N/A"/>
    <x v="7"/>
    <e v="#N/A"/>
    <e v="#N/A"/>
    <e v="#N/A"/>
    <s v="Secondary Package: Carrier Registration - Monthly ($10.00)"/>
    <s v=""/>
    <s v=""/>
  </r>
  <r>
    <s v="Murray Chrysler Dodge Jeep Ram"/>
    <n v="90442"/>
    <n v="18231"/>
    <n v="0"/>
    <n v="0"/>
    <n v="424.15"/>
    <n v="424.15"/>
    <s v="76167994"/>
    <s v="MURRAY CHRYSLER DODGE JEEP"/>
    <m/>
    <d v="2020-02-01T00:00:00"/>
    <d v="2021-10-31T00:00:00"/>
    <s v="4570060"/>
    <s v="CRM OUTBOUND TELEPHONY TRACKING (NEW AND CONVERSION)"/>
    <e v="#N/A"/>
    <n v="0"/>
    <e v="#N/A"/>
    <e v="#N/A"/>
    <e v="#N/A"/>
    <x v="8"/>
    <e v="#N/A"/>
    <e v="#N/A"/>
    <e v="#N/A"/>
    <s v="Secondary Package: Carrier Registration - Monthly ($10.00)"/>
    <s v=""/>
    <s v=""/>
  </r>
  <r>
    <s v="North Point CJDR"/>
    <n v="81644"/>
    <n v="17721"/>
    <n v="16020.29"/>
    <n v="0"/>
    <n v="1581.65"/>
    <n v="1581.65"/>
    <s v="01326364"/>
    <s v="NORTH POINT CHRYSLER DODGE JEEP RAM"/>
    <m/>
    <m/>
    <m/>
    <s v="4570060"/>
    <s v="CRM OUTBOUND TELEPHONY TRACKING (NEW AND CONVERSION)"/>
    <n v="131.04"/>
    <n v="0"/>
    <n v="131.04"/>
    <n v="-1450.6100000000001"/>
    <n v="-11.069978632478634"/>
    <x v="9"/>
    <s v="CRM OUTBOUND TELEPHONY TRACKING (NEW AND CONVERSION) ($131.04)"/>
    <s v=""/>
    <s v=""/>
    <s v="Secondary Package: Carrier Registration - Monthly ($10.00)"/>
    <s v="Elead CW Unlimited  v2 ($1,571.65)"/>
    <s v=""/>
  </r>
  <r>
    <s v="Holman NC - Leith Autopark Wendell"/>
    <n v="61226"/>
    <n v="16386"/>
    <n v="13441.24"/>
    <n v="426.58"/>
    <n v="1295.73"/>
    <n v="869.15000000000009"/>
    <s v="71039289"/>
    <s v="LEITH AUTO PARK KIA"/>
    <m/>
    <m/>
    <m/>
    <s v="4570060"/>
    <s v="CRM OUTBOUND TELEPHONY TRACKING (NEW AND CONVERSION)"/>
    <n v="209"/>
    <n v="174.63"/>
    <n v="383.63"/>
    <n v="-660.15000000000009"/>
    <n v="-3.158612440191388"/>
    <x v="9"/>
    <s v="CRM OUTBOUND TELEPHONY TRACKING (NEW AND CONVERSION) ($199.00)"/>
    <s v="CARWARS INDEFINITE CALL RECORDINGS ($10.00)"/>
    <s v=""/>
    <s v="Secondary Package: Carrier Registration - Monthly ($10.00)"/>
    <s v="eLead - CW Advanced - Sales - 7500 mins v2 ($849.15)"/>
    <s v="Secondary Package: Long Term Audio Storage - $10 ($10.00)"/>
  </r>
  <r>
    <s v="Bruce Bennett Nissan of Danbury"/>
    <n v="154578"/>
    <n v="27016"/>
    <n v="14366.1"/>
    <n v="0"/>
    <n v="1581.65"/>
    <n v="1581.65"/>
    <s v="76225899"/>
    <s v="DANBURY NISSAN INFINITI"/>
    <m/>
    <m/>
    <m/>
    <s v="4570058"/>
    <s v="CARWARS STARTER 7500"/>
    <n v="499"/>
    <n v="0"/>
    <n v="499"/>
    <n v="-1082.6500000000001"/>
    <n v="-2.1696392785571144"/>
    <x v="9"/>
    <s v="CARWARS STARTER 7500 ($499.00)"/>
    <s v=""/>
    <s v=""/>
    <s v="Elead Launch Phase-0 ($0.00)"/>
    <s v="eLead - CW Premium - Sales 50k v2 ($1,571.65)"/>
    <s v=""/>
  </r>
  <r>
    <s v="Zimbrick BMW"/>
    <n v="56397"/>
    <n v="15949"/>
    <n v="9173.52"/>
    <n v="80.97"/>
    <n v="525.12"/>
    <n v="444.15"/>
    <s v="76066617"/>
    <s v="ZIMBRICK BMW"/>
    <m/>
    <m/>
    <m/>
    <s v="4570060"/>
    <s v="CRM OUTBOUND TELEPHONY TRACKING (NEW AND CONVERSION)"/>
    <n v="142.16999999999999"/>
    <n v="0"/>
    <n v="142.16999999999999"/>
    <n v="-301.98"/>
    <n v="-2.1240768094534714"/>
    <x v="9"/>
    <s v="CRM OUTBOUND TELEPHONY TRACKING (NEW AND CONVERSION) ($142.17)"/>
    <s v=""/>
    <s v=""/>
    <s v="Secondary Package: Carrier Registration - Monthly ($10.00)"/>
    <s v="Elead CW Starter 8000 v2 ($424.15)"/>
    <s v="Secondary Package: Long Term Audio Storage - $10 ($10.00)"/>
  </r>
  <r>
    <s v="Zimbrick Chevrolet"/>
    <n v="56395"/>
    <n v="15949"/>
    <n v="1040.22"/>
    <n v="0"/>
    <n v="434.15"/>
    <n v="434.15"/>
    <s v="76161145"/>
    <s v="ZIMBRICK CHEVROLET"/>
    <m/>
    <m/>
    <m/>
    <s v="4570060"/>
    <s v="CRM OUTBOUND TELEPHONY TRACKING (NEW AND CONVERSION)"/>
    <n v="142.16999999999999"/>
    <n v="0"/>
    <n v="142.16999999999999"/>
    <n v="-291.98"/>
    <n v="-2.053738482098896"/>
    <x v="9"/>
    <s v="CRM OUTBOUND TELEPHONY TRACKING (NEW AND CONVERSION) ($142.17)"/>
    <s v=""/>
    <s v=""/>
    <s v="Secondary Package: Carrier Registration - Monthly ($10.00)"/>
    <s v="Elead CW Starter 8000 v2 ($424.15)"/>
    <s v=""/>
  </r>
  <r>
    <s v="Zimbrick Mini"/>
    <n v="56403"/>
    <n v="15949"/>
    <n v="1760.72"/>
    <n v="0"/>
    <n v="434.15"/>
    <n v="434.15"/>
    <s v="76069427"/>
    <s v="ZIMBRICK MINI"/>
    <m/>
    <m/>
    <m/>
    <s v="4570060"/>
    <s v="CRM OUTBOUND TELEPHONY TRACKING (NEW AND CONVERSION)"/>
    <n v="142.16999999999999"/>
    <n v="0"/>
    <n v="142.16999999999999"/>
    <n v="-291.98"/>
    <n v="-2.053738482098896"/>
    <x v="9"/>
    <s v="CRM OUTBOUND TELEPHONY TRACKING (NEW AND CONVERSION) ($142.17)"/>
    <s v=""/>
    <s v=""/>
    <s v="eLead - Elite Small ($1,019.00)"/>
    <s v="Elead CW Starter 8000 v2 ($424.15)"/>
    <s v=""/>
  </r>
  <r>
    <s v="Holman NC - Leith Porsche Cary"/>
    <n v="61225"/>
    <n v="16380"/>
    <n v="8772.33"/>
    <n v="0"/>
    <n v="1581.65"/>
    <n v="1581.65"/>
    <s v="01021838"/>
    <s v="LEITH PORSCHE"/>
    <m/>
    <m/>
    <m/>
    <s v="4571030"/>
    <s v="CARWARS STARTER 5000"/>
    <n v="599"/>
    <n v="0"/>
    <n v="599"/>
    <n v="-982.65000000000009"/>
    <n v="-1.6404841402337231"/>
    <x v="9"/>
    <s v="CARWARS STARTER 5000 ($599.00)"/>
    <s v=""/>
    <s v=""/>
    <s v="Secondary Package: Carrier Registration - Monthly ($10.00)"/>
    <s v="eLead - CW Premium - Sales 50k v2 ($1,571.65)"/>
    <s v=""/>
  </r>
  <r>
    <s v="Holman NC - Leith Maserati of Raleigh"/>
    <n v="61222"/>
    <n v="16370"/>
    <n v="3014.34"/>
    <n v="0"/>
    <n v="1581.65"/>
    <n v="1581.65"/>
    <s v="76025122"/>
    <s v="MASERATI OF RALEIGH"/>
    <m/>
    <m/>
    <m/>
    <s v="4570129"/>
    <s v="CARWARS INDEFINITE CALL RECORDINGS"/>
    <n v="619"/>
    <n v="0"/>
    <n v="619"/>
    <n v="-962.65000000000009"/>
    <n v="-1.5551696284329566"/>
    <x v="9"/>
    <s v="CARWARS INDEFINITE CALL RECORDINGS ($20.00)"/>
    <s v="CARWARS STARTER 5000 ($599.00)"/>
    <s v=""/>
    <s v="Secondary Package: Carrier Registration - Monthly ($10.00)"/>
    <s v="eLead - CW Premium - Sales 50k v2 ($1,571.65)"/>
    <s v=""/>
  </r>
  <r>
    <s v="Modern Subaru of Boone"/>
    <n v="131769"/>
    <n v="21831"/>
    <n v="1393.76"/>
    <n v="0"/>
    <n v="434.15"/>
    <n v="434.15"/>
    <s v="76162431"/>
    <s v="MODERN SUBARU OF BOONE"/>
    <m/>
    <m/>
    <m/>
    <s v="4570009"/>
    <s v="CARWARS STARTER 3500"/>
    <n v="200.93"/>
    <n v="0"/>
    <n v="200.93"/>
    <n v="-233.21999999999997"/>
    <n v="-1.1607027322948289"/>
    <x v="9"/>
    <s v="CARWARS STARTER 3500 ($200.93)"/>
    <s v=""/>
    <s v=""/>
    <s v="Secondary Package: Carrier Registration - Monthly ($10.00)"/>
    <s v="eLead - CW Starter - 7500 mins v2 ($424.15)"/>
    <s v=""/>
  </r>
  <r>
    <s v="Holman NC - Leith Audi Raleigh"/>
    <n v="61230"/>
    <n v="16397"/>
    <n v="2412.1799999999998"/>
    <n v="0"/>
    <n v="1581.65"/>
    <n v="1581.65"/>
    <s v="76072454"/>
    <s v="AUDI RALEIGH"/>
    <m/>
    <m/>
    <m/>
    <s v="4570129"/>
    <s v="CARWARS INDEFINITE CALL RECORDINGS"/>
    <n v="819"/>
    <n v="0"/>
    <n v="819"/>
    <n v="-762.65000000000009"/>
    <n v="-0.93119658119658133"/>
    <x v="9"/>
    <s v="CARWARS INDEFINITE CALL RECORDINGS ($20.00)"/>
    <s v="CARWARS STARTER UNLIMITED (FOR PHONE SYSTEMS) ($799.00)"/>
    <s v=""/>
    <s v="Secondary Package: Carrier Registration - Monthly ($10.00)"/>
    <s v="eLead - CW Premium - Sales 50k v2 ($1,571.65)"/>
    <s v=""/>
  </r>
  <r>
    <s v="Zimbrick Volkswagen of Madison"/>
    <n v="84497"/>
    <n v="15961"/>
    <n v="518.33000000000004"/>
    <n v="0"/>
    <n v="264.14999999999998"/>
    <n v="264.14999999999998"/>
    <s v="76066648"/>
    <s v="ZIMBRICK VOLKSWAGEN EAST"/>
    <m/>
    <m/>
    <m/>
    <s v="4570060"/>
    <s v="CRM OUTBOUND TELEPHONY TRACKING (NEW AND CONVERSION)"/>
    <n v="145.08000000000001"/>
    <n v="0"/>
    <n v="145.08000000000001"/>
    <n v="-119.06999999999996"/>
    <n v="-0.82071960297766722"/>
    <x v="9"/>
    <s v="CRM OUTBOUND TELEPHONY TRACKING (NEW AND CONVERSION) ($145.08)"/>
    <s v=""/>
    <s v=""/>
    <s v="eLead - Elite Small ($1,019.00)"/>
    <s v="eLead - CW Starter - 3500 mins v2 ($254.15)"/>
    <s v=""/>
  </r>
  <r>
    <s v="Greenway - Greenway Kia of Rivergate"/>
    <n v="79241"/>
    <n v="17536"/>
    <n v="9824.7000000000007"/>
    <n v="0"/>
    <n v="1581.65"/>
    <n v="1581.65"/>
    <s v="76212425"/>
    <s v="GREENWAY KIA RIVERGATE"/>
    <m/>
    <m/>
    <m/>
    <s v="4570060"/>
    <s v="CRM OUTBOUND TELEPHONY TRACKING (NEW AND CONVERSION)"/>
    <n v="995"/>
    <n v="0"/>
    <n v="995"/>
    <n v="-586.65000000000009"/>
    <n v="-0.58959798994974888"/>
    <x v="9"/>
    <s v="CRM OUTBOUND TELEPHONY TRACKING (NEW AND CONVERSION) ($995.00)"/>
    <s v=""/>
    <s v=""/>
    <s v="Secondary Package: Carrier Registration - Monthly ($10.00)"/>
    <s v="eLead - CW Premium - Sales 50k v2 ($1,571.65)"/>
    <s v=""/>
  </r>
  <r>
    <s v="Holman NC - Leith Jaguar Land Rover of Raleigh"/>
    <n v="115628"/>
    <n v="19523"/>
    <n v="6368.57"/>
    <n v="0"/>
    <n v="1581.65"/>
    <n v="1581.65"/>
    <s v="76208075"/>
    <s v="JAGUAR LAND ROVER RALEIGH"/>
    <m/>
    <m/>
    <m/>
    <s v="4570122"/>
    <s v="CARWARS ADVANCED SALES"/>
    <n v="999"/>
    <n v="0"/>
    <n v="999"/>
    <n v="-582.65000000000009"/>
    <n v="-0.58323323323323328"/>
    <x v="9"/>
    <s v="CARWARS ADVANCED SALES ($999.00)"/>
    <s v=""/>
    <s v=""/>
    <s v="Secondary Package: Carrier Registration - Monthly ($10.00)"/>
    <s v="eLead - CW Premium - Sales 50k v2 ($1,571.65)"/>
    <s v=""/>
  </r>
  <r>
    <s v="Holman NC - Leith Autopark Chrysler Jeep"/>
    <n v="58253"/>
    <n v="16166"/>
    <n v="4579.92"/>
    <n v="0"/>
    <n v="1581.65"/>
    <n v="1581.65"/>
    <s v="01327379"/>
    <s v="AUTO PARK CHRYSLER JEEP"/>
    <m/>
    <m/>
    <m/>
    <s v="4570122"/>
    <s v="CARWARS ADVANCED SALES"/>
    <n v="1019"/>
    <n v="0"/>
    <n v="1019"/>
    <n v="-562.65000000000009"/>
    <n v="-0.55215897939156044"/>
    <x v="9"/>
    <s v="CARWARS ADVANCED SALES ($999.00)"/>
    <s v="CARWARS INDEFINITE CALL RECORDINGS ($20.00)"/>
    <s v=""/>
    <s v="Secondary Package: Carrier Registration - Monthly ($10.00)"/>
    <s v="eLead - CW Premium - Sales 50k v2 ($1,571.65)"/>
    <s v=""/>
  </r>
  <r>
    <s v="Holman NC - Leith BMW"/>
    <n v="58245"/>
    <n v="16167"/>
    <n v="16121.39"/>
    <n v="0"/>
    <n v="1581.65"/>
    <n v="1581.65"/>
    <s v="01021824"/>
    <s v="LEITH BMW"/>
    <m/>
    <m/>
    <m/>
    <s v="4570122"/>
    <s v="CARWARS ADVANCED SALES"/>
    <n v="1019"/>
    <n v="0"/>
    <n v="1019"/>
    <n v="-562.65000000000009"/>
    <n v="-0.55215897939156044"/>
    <x v="9"/>
    <s v="CARWARS ADVANCED SALES ($999.00)"/>
    <s v="CARWARS INDEFINITE CALL RECORDINGS ($20.00)"/>
    <s v=""/>
    <s v="Secondary Package: Carrier Registration - Monthly ($10.00)"/>
    <s v="eLead - CW Premium - Sales 50k v2 ($1,571.65)"/>
    <s v=""/>
  </r>
  <r>
    <s v="Holman NC - Leith Land Rover Cary"/>
    <n v="61223"/>
    <n v="16372"/>
    <n v="9131.4599999999991"/>
    <n v="0"/>
    <n v="1581.65"/>
    <n v="1581.65"/>
    <s v="09700157"/>
    <s v="LAND ROVER CARY"/>
    <m/>
    <m/>
    <m/>
    <s v="4570122"/>
    <s v="CARWARS ADVANCED SALES"/>
    <n v="1019"/>
    <n v="0"/>
    <n v="1019"/>
    <n v="-562.65000000000009"/>
    <n v="-0.55215897939156044"/>
    <x v="9"/>
    <s v="CARWARS ADVANCED SALES ($999.00)"/>
    <s v="CARWARS INDEFINITE CALL RECORDINGS ($20.00)"/>
    <s v=""/>
    <s v="Secondary Package: Carrier Registration - Monthly ($10.00)"/>
    <s v="eLead - CW Premium - Sales 50k v2 ($1,571.65)"/>
    <s v=""/>
  </r>
  <r>
    <s v="Holman NC - Leith Mercedes-Benz of Raleigh"/>
    <n v="150508"/>
    <n v="16169"/>
    <n v="15069.56"/>
    <n v="0"/>
    <n v="1581.65"/>
    <n v="1581.65"/>
    <s v="01021828"/>
    <s v="LEITH MERCEDES BENZ OF RALEIGH"/>
    <m/>
    <m/>
    <m/>
    <s v="4570122"/>
    <s v="CARWARS ADVANCED SALES"/>
    <n v="1019"/>
    <n v="0"/>
    <n v="1019"/>
    <n v="-562.65000000000009"/>
    <n v="-0.55215897939156044"/>
    <x v="9"/>
    <s v="CARWARS ADVANCED SALES ($999.00)"/>
    <s v="CARWARS INDEFINITE CALL RECORDINGS ($20.00)"/>
    <s v=""/>
    <s v="Secondary Package: Carrier Registration - Monthly ($10.00)"/>
    <s v="eLead - CW Premium - Sales 50k v2 ($1,571.65)"/>
    <s v=""/>
  </r>
  <r>
    <s v="Toyota of Wichita Falls"/>
    <n v="145647"/>
    <n v="24702"/>
    <n v="624.96"/>
    <n v="0"/>
    <n v="434.15"/>
    <n v="434.15"/>
    <s v="76214101"/>
    <s v="BRADLEY/WILSON W.F., LLLP DBA TOYOTA WICHITA FALLS"/>
    <m/>
    <m/>
    <m/>
    <s v="4570058"/>
    <s v="CARWARS STARTER 7500"/>
    <n v="294.41000000000003"/>
    <n v="0"/>
    <n v="294.41000000000003"/>
    <n v="-139.73999999999995"/>
    <n v="-0.47464420366156018"/>
    <x v="9"/>
    <s v="CARWARS STARTER 7500 ($294.41)"/>
    <s v=""/>
    <s v=""/>
    <s v="Secondary Package: Carrier Registration - Monthly ($10.00)"/>
    <s v="eLead - CW Starter - 7500 mins v2 ($424.15)"/>
    <s v=""/>
  </r>
  <r>
    <s v="Kia of Abilene"/>
    <n v="144285"/>
    <n v="24706"/>
    <n v="11163.04"/>
    <n v="0"/>
    <n v="1581.65"/>
    <n v="1581.65"/>
    <s v="76152812"/>
    <s v="KIA OF ABILENE"/>
    <m/>
    <m/>
    <m/>
    <s v="4570062"/>
    <s v="CARWARS PREMIUM SALES"/>
    <n v="1090.9100000000001"/>
    <n v="0"/>
    <n v="1090.9100000000001"/>
    <n v="-490.74"/>
    <n v="-0.44984462512947904"/>
    <x v="9"/>
    <s v="CARWARS PREMIUM SALES ($1,090.91)"/>
    <s v=""/>
    <s v=""/>
    <s v="Elead CW Starter 4000 v2 ($254.15)"/>
    <s v="eLead - CW Premium - Sales 50k v2 ($1,571.65)"/>
    <s v=""/>
  </r>
  <r>
    <s v="TMC - Manchester Harley-Davidson"/>
    <n v="138624"/>
    <n v="18505"/>
    <n v="12758.72"/>
    <n v="0"/>
    <n v="2005.65"/>
    <n v="2005.65"/>
    <s v="76044726"/>
    <s v="MANCHESTER HARLEY DAVIDSON"/>
    <m/>
    <m/>
    <m/>
    <s v="4570062"/>
    <s v="CARWARS PREMIUM SALES"/>
    <n v="1386.75"/>
    <n v="0"/>
    <n v="1386.75"/>
    <n v="-618.90000000000009"/>
    <n v="-0.4462952947539211"/>
    <x v="9"/>
    <s v="CARWARS PREMIUM SALES ($1,386.75)"/>
    <s v=""/>
    <s v=""/>
    <s v="Secondary Package: Carrier Registration - Monthly ($10.00)"/>
    <s v="eLead - CW Premium - Sales 50k v2 ($1,571.65)"/>
    <s v="Secondary Package: Reseller - Voice Recongnition v2 ($424.00)"/>
  </r>
  <r>
    <s v="Evergreen Kia"/>
    <n v="156791"/>
    <n v="28946"/>
    <n v="1905.45"/>
    <n v="0"/>
    <n v="424.15"/>
    <n v="424.15"/>
    <s v="76002263"/>
    <s v="EVERGREEN MOTORS INC"/>
    <m/>
    <m/>
    <m/>
    <s v="4570009"/>
    <s v="CARWARS STARTER 3500"/>
    <n v="319"/>
    <n v="0"/>
    <n v="319"/>
    <n v="-105.14999999999998"/>
    <n v="-0.32962382445141059"/>
    <x v="9"/>
    <s v="CARWARS STARTER 3500 ($319.00)"/>
    <s v=""/>
    <s v=""/>
    <s v="Secondary Package: Carrier Registration - Monthly ($10.00)"/>
    <s v=""/>
    <s v=""/>
  </r>
  <r>
    <s v="Modern Nissan of Hickory"/>
    <n v="140643"/>
    <n v="23116"/>
    <n v="5305.43"/>
    <n v="124.57"/>
    <n v="388.72"/>
    <n v="264.15000000000003"/>
    <s v="76179995"/>
    <s v="MODERN NISSAN OF HICKORY"/>
    <m/>
    <m/>
    <m/>
    <s v="4570009"/>
    <s v="CARWARS STARTER 3500"/>
    <n v="200.93"/>
    <n v="171.28"/>
    <n v="372.21000000000004"/>
    <n v="-63.220000000000027"/>
    <n v="-0.31463693823719718"/>
    <x v="9"/>
    <s v="CARWARS STARTER 3500 ($200.93)"/>
    <s v=""/>
    <s v=""/>
    <s v="Secondary Package: Carrier Registration - Monthly ($10.00)"/>
    <s v="eLead - CW Starter - 3500 mins v2 ($254.15)"/>
    <s v=""/>
  </r>
  <r>
    <s v="Modern Chevrolet Cadillac of Burlington"/>
    <n v="139748"/>
    <n v="9273"/>
    <n v="2041.07"/>
    <n v="0"/>
    <n v="264.14999999999998"/>
    <n v="264.14999999999998"/>
    <s v="76203742"/>
    <s v="MODERN CHEVROLET CADILLAC OF BURLINGTON"/>
    <m/>
    <m/>
    <m/>
    <s v="4570009"/>
    <s v="CARWARS STARTER 3500"/>
    <n v="200.93"/>
    <n v="0"/>
    <n v="200.93"/>
    <n v="-63.21999999999997"/>
    <n v="-0.31463693823719685"/>
    <x v="9"/>
    <s v="CARWARS STARTER 3500 ($200.93)"/>
    <s v=""/>
    <s v=""/>
    <s v="Secondary Package: Carrier Registration - Monthly ($10.00)"/>
    <s v="eLead - CW Starter - 3500 mins v2 ($254.15)"/>
    <s v=""/>
  </r>
  <r>
    <s v="Modern Ford of Boone"/>
    <n v="144122"/>
    <n v="19202"/>
    <n v="733.39"/>
    <n v="0"/>
    <n v="264.14999999999998"/>
    <n v="264.14999999999998"/>
    <s v="76190193"/>
    <s v="MODERN FORD OF BOONE, LLC"/>
    <m/>
    <m/>
    <m/>
    <s v="4570009"/>
    <s v="CARWARS STARTER 3500"/>
    <n v="200.93"/>
    <n v="0"/>
    <n v="200.93"/>
    <n v="-63.21999999999997"/>
    <n v="-0.31463693823719685"/>
    <x v="9"/>
    <s v="CARWARS STARTER 3500 ($200.93)"/>
    <s v=""/>
    <s v=""/>
    <s v="Secondary Package: Carrier Registration - Monthly ($10.00)"/>
    <s v="eLead - CW Starter - 3500 mins v2 ($254.15)"/>
    <s v=""/>
  </r>
  <r>
    <s v="Modern Hyundai of Concord"/>
    <n v="138603"/>
    <n v="22232"/>
    <n v="5949.05"/>
    <n v="168.98"/>
    <n v="433.13"/>
    <n v="264.14999999999998"/>
    <s v="76043216"/>
    <s v="MODERN HYUNDAI OF CONCORD"/>
    <m/>
    <m/>
    <m/>
    <s v="4570009"/>
    <s v="CARWARS STARTER 3500"/>
    <n v="200.93"/>
    <n v="186.02"/>
    <n v="386.95000000000005"/>
    <n v="-63.21999999999997"/>
    <n v="-0.31463693823719685"/>
    <x v="9"/>
    <s v="CARWARS STARTER 3500 ($200.93)"/>
    <s v=""/>
    <s v=""/>
    <s v="eLead - CW Starter - 5000 mins v2 ($509.15)"/>
    <s v="eLead - CW Starter - 3500 mins v2 ($254.15)"/>
    <s v=""/>
  </r>
  <r>
    <s v="Modern Infiniti of Greensboro"/>
    <n v="131694"/>
    <n v="21728"/>
    <n v="2550.33"/>
    <n v="0"/>
    <n v="264.14999999999998"/>
    <n v="264.14999999999998"/>
    <s v="71043922"/>
    <s v="MODERN INFINITI OF GREENSBORO"/>
    <m/>
    <m/>
    <m/>
    <s v="4570009"/>
    <s v="CARWARS STARTER 3500"/>
    <n v="200.93"/>
    <n v="0"/>
    <n v="200.93"/>
    <n v="-63.21999999999997"/>
    <n v="-0.31463693823719685"/>
    <x v="9"/>
    <s v="CARWARS STARTER 3500 ($200.93)"/>
    <s v=""/>
    <s v=""/>
    <s v="Secondary Package: Carrier Registration - Monthly ($10.00)"/>
    <s v="eLead - CW Starter - 3500 mins v2 ($254.15)"/>
    <s v=""/>
  </r>
  <r>
    <s v="Modern Infiniti of Winston Salem"/>
    <n v="131695"/>
    <n v="21729"/>
    <n v="1726.19"/>
    <n v="0"/>
    <n v="264.14999999999998"/>
    <n v="264.14999999999998"/>
    <s v="76162462"/>
    <s v="MODERN INFINITI OF WINSTON-SALEM"/>
    <m/>
    <m/>
    <m/>
    <s v="4570009"/>
    <s v="CARWARS STARTER 3500"/>
    <n v="200.93"/>
    <n v="0"/>
    <n v="200.93"/>
    <n v="-63.21999999999997"/>
    <n v="-0.31463693823719685"/>
    <x v="9"/>
    <s v="CARWARS STARTER 3500 ($200.93)"/>
    <s v=""/>
    <s v=""/>
    <s v="Secondary Package: Carrier Registration - Monthly ($10.00)"/>
    <s v="eLead - CW Starter - 3500 mins v2 ($254.15)"/>
    <s v=""/>
  </r>
  <r>
    <s v="Modern Mazda of Burlington"/>
    <n v="143944"/>
    <n v="21588"/>
    <n v="894.45"/>
    <n v="0"/>
    <n v="264.14999999999998"/>
    <n v="264.14999999999998"/>
    <s v="76203700"/>
    <s v="MODERN MAZDA OF BURLINGTON"/>
    <m/>
    <m/>
    <m/>
    <s v="4570009"/>
    <s v="CARWARS STARTER 3500"/>
    <n v="200.93"/>
    <n v="0"/>
    <n v="200.93"/>
    <n v="-63.21999999999997"/>
    <n v="-0.31463693823719685"/>
    <x v="9"/>
    <s v="CARWARS STARTER 3500 ($200.93)"/>
    <s v=""/>
    <s v=""/>
    <s v="Secondary Package: Carrier Registration - Monthly ($10.00)"/>
    <s v="eLead - CW Starter - 3500 mins v2 ($254.15)"/>
    <s v=""/>
  </r>
  <r>
    <s v="Modern Nissan of Concord"/>
    <n v="138480"/>
    <n v="22230"/>
    <n v="12233.14"/>
    <n v="602.59"/>
    <n v="866.74"/>
    <n v="264.14999999999998"/>
    <s v="76162428"/>
    <s v="MODERN NISSAN OF CONCORD"/>
    <m/>
    <m/>
    <m/>
    <s v="4570009"/>
    <s v="CARWARS STARTER 3500"/>
    <n v="200.93"/>
    <n v="674.18"/>
    <n v="875.1099999999999"/>
    <n v="-63.21999999999997"/>
    <n v="-0.31463693823719685"/>
    <x v="9"/>
    <s v="CARWARS STARTER 3500 ($200.93)"/>
    <s v=""/>
    <s v=""/>
    <s v="Secondary Package: Carrier Registration - Monthly ($10.00)"/>
    <s v="eLead - CW Starter - 3500 mins v2 ($254.15)"/>
    <s v=""/>
  </r>
  <r>
    <s v="Modern Toyota of Boone"/>
    <n v="131770"/>
    <n v="21830"/>
    <n v="4028.11"/>
    <n v="36.44"/>
    <n v="300.58999999999997"/>
    <n v="264.14999999999998"/>
    <s v="71064573"/>
    <s v="MODERN TOYOTA OF BOONE"/>
    <m/>
    <m/>
    <m/>
    <s v="4570009"/>
    <s v="CARWARS STARTER 3500"/>
    <n v="200.93"/>
    <n v="50.68"/>
    <n v="251.61"/>
    <n v="-63.21999999999997"/>
    <n v="-0.31463693823719685"/>
    <x v="9"/>
    <s v="CARWARS STARTER 3500 ($200.93)"/>
    <s v=""/>
    <s v=""/>
    <s v="Secondary Package: Carrier Registration - Monthly ($10.00)"/>
    <s v="eLead - CW Starter - 3500 mins v2 ($254.15)"/>
    <s v=""/>
  </r>
  <r>
    <s v="Modern Nissan of Winston Salem"/>
    <n v="140642"/>
    <n v="23115"/>
    <n v="12096.9"/>
    <n v="317.19"/>
    <n v="751.34"/>
    <n v="434.15000000000003"/>
    <s v="71043920"/>
    <s v="MODERN NISSAN"/>
    <m/>
    <m/>
    <m/>
    <s v="4570058"/>
    <s v="CARWARS STARTER 7500"/>
    <n v="335.33"/>
    <n v="429.88"/>
    <n v="765.21"/>
    <n v="-98.82000000000005"/>
    <n v="-0.29469477827811424"/>
    <x v="9"/>
    <s v="CARWARS STARTER 7500 ($335.33)"/>
    <s v=""/>
    <s v=""/>
    <s v="Secondary Package: Carrier Registration - Monthly ($10.00)"/>
    <s v="eLead - CW Starter - 7500 mins v2 ($424.15)"/>
    <s v=""/>
  </r>
  <r>
    <s v="Independence Harley Davidson"/>
    <n v="120186"/>
    <n v="21332"/>
    <n v="1346.42"/>
    <n v="0"/>
    <n v="434.15"/>
    <n v="434.15"/>
    <s v="76210935"/>
    <s v="INDEPENDENCE HARLEY"/>
    <m/>
    <m/>
    <m/>
    <s v="4570060"/>
    <s v="CRM OUTBOUND TELEPHONY TRACKING (NEW AND CONVERSION)"/>
    <n v="338.2"/>
    <n v="0"/>
    <n v="338.2"/>
    <n v="-95.949999999999989"/>
    <n v="-0.2837078651685393"/>
    <x v="9"/>
    <s v="CRM OUTBOUND TELEPHONY TRACKING (NEW AND CONVERSION) ($338.20)"/>
    <s v=""/>
    <s v=""/>
    <s v="Secondary Package: Carrier Registration - Monthly ($10.00)"/>
    <s v="eLead - CW Starter - 7500 mins v2 ($424.15)"/>
    <s v=""/>
  </r>
  <r>
    <s v="Modern Chevrolet - Winston"/>
    <n v="136865"/>
    <n v="22158"/>
    <n v="14083.53"/>
    <n v="0"/>
    <n v="1581.65"/>
    <n v="1581.65"/>
    <s v="71047244"/>
    <s v="MODERN CHEVROLET - WINSTON"/>
    <m/>
    <m/>
    <m/>
    <s v="4570062"/>
    <s v="CARWARS PREMIUM SALES"/>
    <n v="1242.53"/>
    <n v="0"/>
    <n v="1242.53"/>
    <n v="-339.12000000000012"/>
    <n v="-0.27292701182265228"/>
    <x v="9"/>
    <s v="CARWARS PREMIUM SALES ($1,242.53)"/>
    <s v=""/>
    <s v=""/>
    <s v="Secondary Package: Carrier Registration - Monthly ($10.00)"/>
    <s v="eLead - CW Premium - Sales 50k v2 ($1,571.65)"/>
    <s v=""/>
  </r>
  <r>
    <s v="Modern Toyota Winston"/>
    <n v="139282"/>
    <n v="22278"/>
    <n v="24380.16"/>
    <n v="0"/>
    <n v="1581.65"/>
    <n v="1581.65"/>
    <s v="71043919"/>
    <s v="MODERN TOYOTA"/>
    <m/>
    <m/>
    <m/>
    <s v="4570062"/>
    <s v="CARWARS PREMIUM SALES"/>
    <n v="1242.53"/>
    <n v="0"/>
    <n v="1242.53"/>
    <n v="-339.12000000000012"/>
    <n v="-0.27292701182265228"/>
    <x v="9"/>
    <s v="CARWARS PREMIUM SALES ($1,242.53)"/>
    <s v=""/>
    <s v=""/>
    <s v="Secondary Package: Carrier Registration - Monthly ($10.00)"/>
    <s v="eLead - CW Premium - Sales 50k v2 ($1,571.65)"/>
    <s v=""/>
  </r>
  <r>
    <s v="Athens BMW"/>
    <n v="84739"/>
    <n v="18059"/>
    <n v="1292.6400000000001"/>
    <n v="0"/>
    <n v="434.15"/>
    <n v="434.15"/>
    <s v="76071932"/>
    <s v="ATHENS BMW"/>
    <m/>
    <m/>
    <m/>
    <s v="4570058"/>
    <s v="CARWARS STARTER 7500"/>
    <n v="350.3"/>
    <n v="0"/>
    <n v="350.3"/>
    <n v="-83.849999999999966"/>
    <n v="-0.23936625749357682"/>
    <x v="9"/>
    <s v="CARWARS STARTER 7500 ($350.30)"/>
    <s v=""/>
    <s v=""/>
    <s v="eLead - CW Starter - 5000 mins v2 ($509.15)"/>
    <s v="eLead - CW Starter - 7500 mins v2 ($424.15)"/>
    <s v=""/>
  </r>
  <r>
    <s v="Modern Toyota of Asheboro"/>
    <n v="147129"/>
    <n v="9504"/>
    <n v="2219.7800000000002"/>
    <n v="0"/>
    <n v="264.14999999999998"/>
    <n v="264.14999999999998"/>
    <s v="76227241"/>
    <s v="MODERN TOYOTA OF ASHEBORO"/>
    <m/>
    <m/>
    <m/>
    <s v="4570009"/>
    <s v="CARWARS STARTER 3500"/>
    <n v="213.49"/>
    <n v="0"/>
    <n v="213.49"/>
    <n v="-50.659999999999968"/>
    <n v="-0.23729448686121113"/>
    <x v="9"/>
    <s v="CARWARS STARTER 3500 ($213.49)"/>
    <s v=""/>
    <s v=""/>
    <s v="Secondary Package: Carrier Registration - Monthly ($10.00)"/>
    <s v="eLead - CW Starter - 3500 mins v2 ($254.15)"/>
    <s v=""/>
  </r>
  <r>
    <s v="Grainger Honda"/>
    <n v="79044"/>
    <n v="15653"/>
    <n v="8188.13"/>
    <n v="0"/>
    <n v="1591.65"/>
    <n v="1591.65"/>
    <s v="08300018"/>
    <s v="GRAINGER HONDA"/>
    <m/>
    <m/>
    <m/>
    <s v="4570062"/>
    <s v="CARWARS PREMIUM SALES"/>
    <n v="1294.3"/>
    <n v="0"/>
    <n v="1294.3"/>
    <n v="-297.35000000000014"/>
    <n v="-0.22973808236112195"/>
    <x v="9"/>
    <s v="CARWARS PREMIUM SALES ($1,294.30)"/>
    <s v=""/>
    <s v=""/>
    <s v="Secondary Package: Carrier Registration - Monthly ($10.00)"/>
    <s v="Elead CW Unlimited  v2 ($1,571.65)"/>
    <s v="Secondary Package: Long Term Audio Storage - $10 ($10.00)"/>
  </r>
  <r>
    <s v="Circle - Volkswagen of Garden Grove"/>
    <n v="143783"/>
    <n v="20698"/>
    <n v="2158.0500000000002"/>
    <n v="0"/>
    <n v="264.14999999999998"/>
    <n v="264.14999999999998"/>
    <s v="76039334"/>
    <s v="VW OF GARDEN GROVE"/>
    <m/>
    <m/>
    <m/>
    <s v="4570009"/>
    <s v="CARWARS STARTER 3500"/>
    <n v="217.23"/>
    <n v="0"/>
    <n v="217.23"/>
    <n v="-46.919999999999987"/>
    <n v="-0.21599226626156603"/>
    <x v="9"/>
    <s v="CARWARS STARTER 3500 ($217.23)"/>
    <s v=""/>
    <s v=""/>
    <s v="Elead Launch Phase-0 ($0.00)"/>
    <s v="eLead - CW Starter - 3500 mins v2 ($254.15)"/>
    <s v=""/>
  </r>
  <r>
    <s v="Hughes Subaru"/>
    <n v="125150"/>
    <n v="18058"/>
    <n v="3808.83"/>
    <n v="0"/>
    <n v="424.15"/>
    <n v="424.15"/>
    <s v="76140120"/>
    <s v="HUGHES SUBARU"/>
    <m/>
    <m/>
    <m/>
    <s v="4570058"/>
    <s v="CARWARS STARTER 7500"/>
    <n v="350.3"/>
    <n v="0"/>
    <n v="350.3"/>
    <n v="-73.849999999999966"/>
    <n v="-0.21081929774479008"/>
    <x v="9"/>
    <s v="CARWARS STARTER 7500 ($350.30)"/>
    <s v=""/>
    <s v=""/>
    <s v="Elead CW Unlimited  v2 ($1,571.65)"/>
    <s v=""/>
    <s v=""/>
  </r>
  <r>
    <s v="Greenway - Riverchase Kia"/>
    <n v="118912"/>
    <n v="19810"/>
    <n v="4486.8100000000004"/>
    <n v="0"/>
    <n v="598"/>
    <n v="598"/>
    <s v="76209497"/>
    <s v="GREENWAY KIA OF RIVERCHASE"/>
    <m/>
    <m/>
    <m/>
    <s v="4570060"/>
    <s v="CRM OUTBOUND TELEPHONY TRACKING (NEW AND CONVERSION)"/>
    <n v="499"/>
    <n v="0"/>
    <n v="499"/>
    <n v="-99"/>
    <n v="-0.19839679358717435"/>
    <x v="9"/>
    <s v="CRM OUTBOUND TELEPHONY TRACKING (NEW AND CONVERSION) ($499.00)"/>
    <s v=""/>
    <s v=""/>
    <s v="Secondary Package: Carrier Registration - Monthly ($10.00)"/>
    <s v="eLead - Starter 7500 + Starter 7500 ($588.00)"/>
    <s v=""/>
  </r>
  <r>
    <s v="Zimbrick Hyundai East"/>
    <n v="87080"/>
    <n v="15963"/>
    <n v="244.35"/>
    <n v="0"/>
    <n v="254.15"/>
    <n v="254.15"/>
    <s v="76066624"/>
    <s v="ZIMBRICK HYUNDAI EAST"/>
    <m/>
    <m/>
    <m/>
    <s v="4570060"/>
    <s v="CRM OUTBOUND TELEPHONY TRACKING (NEW AND CONVERSION)"/>
    <n v="217.99"/>
    <n v="0"/>
    <n v="217.99"/>
    <n v="-36.159999999999997"/>
    <n v="-0.16587916876920958"/>
    <x v="9"/>
    <s v="CRM OUTBOUND TELEPHONY TRACKING (NEW AND CONVERSION) ($217.99)"/>
    <s v=""/>
    <s v=""/>
    <s v="eLead - Elite Small ($1,019.00)"/>
    <s v=""/>
    <s v=""/>
  </r>
  <r>
    <s v="Zimbrick Nissan"/>
    <n v="87079"/>
    <n v="15962"/>
    <n v="326.63"/>
    <n v="0"/>
    <n v="254.15"/>
    <n v="254.15"/>
    <s v="76066621"/>
    <s v="ZIMBRICK EASTSIDE NISSAN"/>
    <m/>
    <m/>
    <m/>
    <s v="4570060"/>
    <s v="CRM OUTBOUND TELEPHONY TRACKING (NEW AND CONVERSION)"/>
    <n v="217.99"/>
    <n v="0"/>
    <n v="217.99"/>
    <n v="-36.159999999999997"/>
    <n v="-0.16587916876920958"/>
    <x v="9"/>
    <s v="CRM OUTBOUND TELEPHONY TRACKING (NEW AND CONVERSION) ($217.99)"/>
    <s v=""/>
    <s v=""/>
    <s v="Secondary Package: Carrier Registration - Monthly ($10.00)"/>
    <s v=""/>
    <s v=""/>
  </r>
  <r>
    <s v="TMC - Harley-Davidson of The Woodlands"/>
    <n v="156700"/>
    <n v="28612"/>
    <n v="29704.12"/>
    <n v="0"/>
    <n v="1601.65"/>
    <n v="1601.65"/>
    <s v="76250870"/>
    <s v="HARLEY-DAVIDSON OF THE WOODLANDS"/>
    <m/>
    <m/>
    <m/>
    <s v="4570062"/>
    <s v="CARWARS PREMIUM SALES"/>
    <n v="1386.75"/>
    <n v="0"/>
    <n v="1386.75"/>
    <n v="-214.90000000000009"/>
    <n v="-0.15496664863890397"/>
    <x v="9"/>
    <s v="CARWARS PREMIUM SALES ($1,386.75)"/>
    <s v=""/>
    <s v=""/>
    <s v="Secondary Package: Carrier Registration - Monthly ($10.00)"/>
    <s v="eLead - CW Premium - Sales 50k v2 ($1,571.65)"/>
    <s v="Secondary Package: Long Term Audio Storage ($20.00)"/>
  </r>
  <r>
    <s v="TMC - Rockstar Powersports of Brandon "/>
    <n v="155859"/>
    <n v="27874"/>
    <n v="10395.36"/>
    <n v="0"/>
    <n v="1601.65"/>
    <n v="1601.65"/>
    <s v="76250877"/>
    <s v="ROCKSTAR POWERSPORTS OF BRANDON"/>
    <m/>
    <m/>
    <m/>
    <s v="4570062"/>
    <s v="CARWARS PREMIUM SALES"/>
    <n v="1386.75"/>
    <n v="0"/>
    <n v="1386.75"/>
    <n v="-214.90000000000009"/>
    <n v="-0.15496664863890397"/>
    <x v="9"/>
    <s v="CARWARS PREMIUM SALES ($1,386.75)"/>
    <s v=""/>
    <s v=""/>
    <s v="Secondary Package: Carrier Registration - Monthly ($10.00)"/>
    <s v="eLead - CW Premium - Sales 50k v2 ($1,571.65)"/>
    <s v="Secondary Package: Long Term Audio Storage ($20.00)"/>
  </r>
  <r>
    <s v="TMC - Rockstar Powersports of Brooksville "/>
    <n v="155855"/>
    <n v="27872"/>
    <n v="9723.67"/>
    <n v="0"/>
    <n v="1601.65"/>
    <n v="1601.65"/>
    <s v="76250879"/>
    <s v="ROCKSTAR POWERSPORTS OF BROOKSVILLE"/>
    <m/>
    <m/>
    <m/>
    <s v="4570062"/>
    <s v="CARWARS PREMIUM SALES"/>
    <n v="1386.75"/>
    <n v="0"/>
    <n v="1386.75"/>
    <n v="-214.90000000000009"/>
    <n v="-0.15496664863890397"/>
    <x v="9"/>
    <s v="CARWARS PREMIUM SALES ($1,386.75)"/>
    <s v=""/>
    <s v=""/>
    <s v="Secondary Package: Carrier Registration - Monthly ($10.00)"/>
    <s v="eLead - CW Premium - Sales 50k v2 ($1,571.65)"/>
    <s v="Secondary Package: Long Term Audio Storage ($20.00)"/>
  </r>
  <r>
    <s v="TMC - Rockstar Powersports of St Pete "/>
    <n v="155857"/>
    <n v="27873"/>
    <n v="8614.89"/>
    <n v="0"/>
    <n v="1601.65"/>
    <n v="1601.65"/>
    <s v="76250884"/>
    <s v="ROCKSTAR POWERSPORTS OF ST PETE"/>
    <m/>
    <m/>
    <m/>
    <s v="4570062"/>
    <s v="CARWARS PREMIUM SALES"/>
    <n v="1386.75"/>
    <n v="0"/>
    <n v="1386.75"/>
    <n v="-214.90000000000009"/>
    <n v="-0.15496664863890397"/>
    <x v="9"/>
    <s v="CARWARS PREMIUM SALES ($1,386.75)"/>
    <s v=""/>
    <s v=""/>
    <s v="Secondary Package: Carrier Registration - Monthly ($10.00)"/>
    <s v="eLead - CW Premium - Sales 50k v2 ($1,571.65)"/>
    <s v="Secondary Package: Long Term Audio Storage ($20.00)"/>
  </r>
  <r>
    <s v="TMC - Alligator Alley Harley-Davidson"/>
    <n v="138485"/>
    <n v="22454"/>
    <n v="18267.36"/>
    <n v="0"/>
    <n v="1581.65"/>
    <n v="1581.65"/>
    <s v="76192405"/>
    <s v="ALLIGATOR ALLEY HARELY DAVIDSON"/>
    <m/>
    <m/>
    <m/>
    <s v="4570062"/>
    <s v="CARWARS PREMIUM SALES"/>
    <n v="1386.75"/>
    <n v="0"/>
    <n v="1386.75"/>
    <n v="-194.90000000000009"/>
    <n v="-0.14054443843519027"/>
    <x v="9"/>
    <s v="CARWARS PREMIUM SALES ($1,386.75)"/>
    <s v=""/>
    <s v=""/>
    <s v="Secondary Package: Carrier Registration - Monthly ($10.00)"/>
    <s v="eLead - CW Premium - Sales 50k v2 ($1,571.65)"/>
    <s v=""/>
  </r>
  <r>
    <s v="TMC - Atlanta Harley-Davidson"/>
    <n v="153774"/>
    <n v="27795"/>
    <n v="17073.86"/>
    <n v="0"/>
    <n v="1581.65"/>
    <n v="1581.65"/>
    <s v="76250876"/>
    <s v="ATLANTA HARLEY-DAVIDSON"/>
    <m/>
    <m/>
    <m/>
    <s v="4570062"/>
    <s v="CARWARS PREMIUM SALES"/>
    <n v="1386.75"/>
    <n v="0"/>
    <n v="1386.75"/>
    <n v="-194.90000000000009"/>
    <n v="-0.14054443843519027"/>
    <x v="9"/>
    <s v="CARWARS PREMIUM SALES ($1,386.75)"/>
    <s v=""/>
    <s v=""/>
    <s v="Secondary Package: Carrier Registration - Monthly ($10.00)"/>
    <s v="eLead - CW Premium - Sales 50k v2 ($1,571.65)"/>
    <s v=""/>
  </r>
  <r>
    <s v="TMC - Avalanche Harley-Davidson"/>
    <n v="76163"/>
    <n v="6660"/>
    <n v="14663.07"/>
    <n v="0"/>
    <n v="1581.65"/>
    <n v="1581.65"/>
    <s v="76237651"/>
    <s v="AVALANCHE HARLEY DAVIDSON"/>
    <m/>
    <m/>
    <m/>
    <s v="4570062"/>
    <s v="CARWARS PREMIUM SALES"/>
    <n v="1386.75"/>
    <n v="0"/>
    <n v="1386.75"/>
    <n v="-194.90000000000009"/>
    <n v="-0.14054443843519027"/>
    <x v="9"/>
    <s v="CARWARS PREMIUM SALES ($1,386.75)"/>
    <s v=""/>
    <s v=""/>
    <s v="Secondary Package: Carrier Registration - Monthly ($10.00)"/>
    <s v="eLead - CW Premium - Sales 50k v2 ($1,571.65)"/>
    <s v=""/>
  </r>
  <r>
    <s v="TMC - Desert Wind Harley-Davidson"/>
    <n v="118740"/>
    <n v="19659"/>
    <n v="19836.939999999999"/>
    <n v="0"/>
    <n v="1581.65"/>
    <n v="1581.65"/>
    <s v="76208273"/>
    <s v="DESERT WIND HARLEY - DAVIDSON"/>
    <m/>
    <m/>
    <m/>
    <s v="4570062"/>
    <s v="CARWARS PREMIUM SALES"/>
    <n v="1386.75"/>
    <n v="0"/>
    <n v="1386.75"/>
    <n v="-194.90000000000009"/>
    <n v="-0.14054443843519027"/>
    <x v="9"/>
    <s v="CARWARS PREMIUM SALES ($1,386.75)"/>
    <s v=""/>
    <s v=""/>
    <s v="Secondary Package: Carrier Registration - Monthly ($10.00)"/>
    <s v="eLead - CW Premium - Sales 50k v2 ($1,571.65)"/>
    <s v=""/>
  </r>
  <r>
    <s v="TMC - High Octane Harley-Davidson"/>
    <n v="72226"/>
    <n v="6605"/>
    <n v="10838.75"/>
    <n v="0"/>
    <n v="1581.65"/>
    <n v="1581.65"/>
    <s v="76237653"/>
    <s v="HIGH OCTANE HARLEY DAVIDSON"/>
    <m/>
    <m/>
    <m/>
    <s v="4570062"/>
    <s v="CARWARS PREMIUM SALES"/>
    <n v="1386.75"/>
    <n v="0"/>
    <n v="1386.75"/>
    <n v="-194.90000000000009"/>
    <n v="-0.14054443843519027"/>
    <x v="9"/>
    <s v="CARWARS PREMIUM SALES ($1,386.75)"/>
    <s v=""/>
    <s v=""/>
    <s v="Secondary Package: Carrier Registration - Monthly ($10.00)"/>
    <s v="eLead - CW Premium - Sales 50k v2 ($1,571.65)"/>
    <s v=""/>
  </r>
  <r>
    <s v="TMC - Jet City Harley-Davidson"/>
    <n v="99533"/>
    <n v="19252"/>
    <n v="8504.56"/>
    <n v="0"/>
    <n v="1581.65"/>
    <n v="1581.65"/>
    <s v="76215888"/>
    <s v="JET CITY HARLEY-DAVIDSON"/>
    <m/>
    <m/>
    <m/>
    <s v="4570062"/>
    <s v="CARWARS PREMIUM SALES"/>
    <n v="1386.75"/>
    <n v="0"/>
    <n v="1386.75"/>
    <n v="-194.90000000000009"/>
    <n v="-0.14054443843519027"/>
    <x v="9"/>
    <s v="CARWARS PREMIUM SALES ($1,386.75)"/>
    <s v=""/>
    <s v=""/>
    <s v="Secondary Package: Carrier Registration - Monthly ($10.00)"/>
    <s v="eLead - CW Premium - Sales 50k v2 ($1,571.65)"/>
    <s v=""/>
  </r>
  <r>
    <s v="TMC - Motor City Harley-Davidson"/>
    <n v="146893"/>
    <n v="17936"/>
    <n v="17120.669999999998"/>
    <n v="0"/>
    <n v="1581.65"/>
    <n v="1581.65"/>
    <s v="76225896"/>
    <s v="MOTORCITY HARLEY-DAVIDSON"/>
    <m/>
    <m/>
    <m/>
    <s v="4570062"/>
    <s v="CARWARS PREMIUM SALES"/>
    <n v="1386.75"/>
    <n v="0"/>
    <n v="1386.75"/>
    <n v="-194.90000000000009"/>
    <n v="-0.14054443843519027"/>
    <x v="9"/>
    <s v="CARWARS PREMIUM SALES ($1,386.75)"/>
    <s v=""/>
    <s v=""/>
    <s v="Secondary Package: Carrier Registration - Monthly ($10.00)"/>
    <s v="eLead - CW Premium - Sales 50k v2 ($1,571.65)"/>
    <s v=""/>
  </r>
  <r>
    <s v="TMC - Palm Beach Harley-Davidson"/>
    <n v="72659"/>
    <n v="16266"/>
    <n v="10870.28"/>
    <n v="0"/>
    <n v="1581.65"/>
    <n v="1581.65"/>
    <s v="76212401"/>
    <s v="HARLEY-DAVIDSON OF PALM BEACH"/>
    <m/>
    <m/>
    <m/>
    <s v="4570062"/>
    <s v="CARWARS PREMIUM SALES"/>
    <n v="1386.75"/>
    <n v="0"/>
    <n v="1386.75"/>
    <n v="-194.90000000000009"/>
    <n v="-0.14054443843519027"/>
    <x v="9"/>
    <s v="CARWARS PREMIUM SALES ($1,386.75)"/>
    <s v=""/>
    <s v=""/>
    <s v="Secondary Package: Carrier Registration - Monthly ($10.00)"/>
    <s v="eLead - CW Premium - Sales 50k v2 ($1,571.65)"/>
    <s v=""/>
  </r>
  <r>
    <s v="TMC - Patriot Harley Davidson"/>
    <n v="155386"/>
    <n v="17456"/>
    <n v="10322.959999999999"/>
    <n v="0"/>
    <n v="1581.65"/>
    <n v="1581.65"/>
    <s v="76236368"/>
    <s v="PATRIOT HARLEY DAVIDSON"/>
    <m/>
    <m/>
    <m/>
    <s v="4570062"/>
    <s v="CARWARS PREMIUM SALES"/>
    <n v="1386.75"/>
    <n v="0"/>
    <n v="1386.75"/>
    <n v="-194.90000000000009"/>
    <n v="-0.14054443843519027"/>
    <x v="9"/>
    <s v="CARWARS PREMIUM SALES ($1,386.75)"/>
    <s v=""/>
    <s v=""/>
    <s v="Secondary Package: Carrier Registration - Monthly ($10.00)"/>
    <s v="eLead - CW Premium - Sales 50k v2 ($1,571.65)"/>
    <s v=""/>
  </r>
  <r>
    <s v="TMC - Rockstar Harley-Davidson"/>
    <n v="92413"/>
    <n v="9591"/>
    <n v="14694.23"/>
    <n v="0"/>
    <n v="1581.65"/>
    <n v="1581.65"/>
    <s v="76237654"/>
    <s v="ROCKSTAR HARLEY-DAVIDSON"/>
    <m/>
    <m/>
    <m/>
    <s v="4570062"/>
    <s v="CARWARS PREMIUM SALES"/>
    <n v="1386.75"/>
    <n v="0"/>
    <n v="1386.75"/>
    <n v="-194.90000000000009"/>
    <n v="-0.14054443843519027"/>
    <x v="9"/>
    <s v="CARWARS PREMIUM SALES ($1,386.75)"/>
    <s v=""/>
    <s v=""/>
    <s v="Secondary Package: Carrier Registration - Monthly ($10.00)"/>
    <s v="eLead - CW Premium - Sales 50k v2 ($1,571.65)"/>
    <s v=""/>
  </r>
  <r>
    <s v="TMC - Stars and Stripes Harley-Davidson"/>
    <n v="144005"/>
    <n v="24621"/>
    <n v="15677.9"/>
    <n v="0"/>
    <n v="1581.65"/>
    <n v="1581.65"/>
    <s v="76250874"/>
    <s v="STARS AND STRIPES HARLEY-DAVIDSON"/>
    <m/>
    <m/>
    <m/>
    <s v="4570062"/>
    <s v="CARWARS PREMIUM SALES"/>
    <n v="1386.75"/>
    <n v="0"/>
    <n v="1386.75"/>
    <n v="-194.90000000000009"/>
    <n v="-0.14054443843519027"/>
    <x v="9"/>
    <s v="CARWARS PREMIUM SALES ($1,386.75)"/>
    <s v=""/>
    <s v=""/>
    <s v="Secondary Package: Carrier Registration - Monthly ($10.00)"/>
    <s v="eLead - CW Premium - Sales 50k v2 ($1,571.65)"/>
    <s v=""/>
  </r>
  <r>
    <s v="TMC - Summit Harley Davidson"/>
    <n v="154997"/>
    <n v="28220"/>
    <n v="8108.46"/>
    <n v="0"/>
    <n v="1581.65"/>
    <n v="1581.65"/>
    <s v="76250872"/>
    <s v="SUMMIT HARLEY-DAVIDSON"/>
    <m/>
    <m/>
    <m/>
    <s v="4570062"/>
    <s v="CARWARS PREMIUM SALES"/>
    <n v="1386.75"/>
    <n v="0"/>
    <n v="1386.75"/>
    <n v="-194.90000000000009"/>
    <n v="-0.14054443843519027"/>
    <x v="9"/>
    <s v="CARWARS PREMIUM SALES ($1,386.75)"/>
    <s v=""/>
    <s v=""/>
    <s v="Secondary Package: Carrier Registration - Monthly ($10.00)"/>
    <s v="eLead - CW Premium - Sales 50k v2 ($1,571.65)"/>
    <s v=""/>
  </r>
  <r>
    <s v="TMC - Volcano Harley-Davidson"/>
    <n v="146894"/>
    <n v="25647"/>
    <n v="9778.3700000000008"/>
    <n v="0"/>
    <n v="1581.65"/>
    <n v="1581.65"/>
    <s v="76250875"/>
    <s v="VOLCANO HARLEY-DAVIDSON"/>
    <m/>
    <m/>
    <m/>
    <s v="4570062"/>
    <s v="CARWARS PREMIUM SALES"/>
    <n v="1386.75"/>
    <n v="0"/>
    <n v="1386.75"/>
    <n v="-194.90000000000009"/>
    <n v="-0.14054443843519027"/>
    <x v="9"/>
    <s v="CARWARS PREMIUM SALES ($1,386.75)"/>
    <s v=""/>
    <s v=""/>
    <s v="Secondary Package: Carrier Registration - Monthly ($10.00)"/>
    <s v="eLead - CW Premium - Sales 50k v2 ($1,571.65)"/>
    <s v=""/>
  </r>
  <r>
    <s v="HUD - Rock Hill Nissan"/>
    <n v="90212"/>
    <s v="(blank)"/>
    <n v="0"/>
    <n v="0"/>
    <n v="1571.65"/>
    <n v="1571.65"/>
    <s v="76212138"/>
    <s v="ROCK HILL NISSAN"/>
    <m/>
    <m/>
    <m/>
    <s v="4570062"/>
    <s v="CARWARS PREMIUM SALES"/>
    <n v="1386.75"/>
    <n v="0"/>
    <n v="1386.75"/>
    <n v="-184.90000000000009"/>
    <n v="-0.13333333333333339"/>
    <x v="9"/>
    <s v="CARWARS PREMIUM SALES ($1,386.75)"/>
    <s v=""/>
    <s v=""/>
    <s v="Secondary Package: Carrier Registration - Monthly ($10.00)"/>
    <s v=""/>
    <s v=""/>
  </r>
  <r>
    <s v="Koeppel Hyundai"/>
    <n v="150176"/>
    <n v="26261"/>
    <n v="4850.0200000000004"/>
    <n v="0"/>
    <n v="1698"/>
    <n v="1698"/>
    <s v="76226286"/>
    <s v="KOEPPEL HYUNDAI_x0009_"/>
    <m/>
    <m/>
    <m/>
    <s v="4570289"/>
    <s v="CARWARS ELITE 12,500 PACKAGE"/>
    <n v="1499"/>
    <n v="0"/>
    <n v="1499"/>
    <n v="-199"/>
    <n v="-0.13275517011340893"/>
    <x v="9"/>
    <s v="CARWARS ELITE 12,500 PACKAGE ($1,499.00)"/>
    <s v=""/>
    <s v=""/>
    <s v="Secondary Package: Carrier Registration - Monthly ($10.00)"/>
    <s v="Elead - CW Elite Small + Advanced Service ($1,688.00)"/>
    <s v=""/>
  </r>
  <r>
    <s v="Pine Belt Nissan of Keyport"/>
    <n v="140778"/>
    <n v="23379"/>
    <n v="8860.5499999999993"/>
    <n v="0"/>
    <n v="1581.65"/>
    <n v="1581.65"/>
    <s v="25298851"/>
    <s v="PINE BELT NISSAN OF KEYPORT"/>
    <m/>
    <m/>
    <m/>
    <s v="4570062"/>
    <s v="CARWARS PREMIUM SALES"/>
    <n v="1408.33"/>
    <n v="0"/>
    <n v="1408.33"/>
    <n v="-173.32000000000016"/>
    <n v="-0.12306774690590996"/>
    <x v="9"/>
    <s v="CARWARS PREMIUM SALES ($1,408.33)"/>
    <s v=""/>
    <s v=""/>
    <s v="Void / $0 ($0.00)"/>
    <s v="eLead - CW Premium - Sales 50k v2 ($1,571.65)"/>
    <s v=""/>
  </r>
  <r>
    <s v="Pine Belt Nissan of Toms River"/>
    <n v="140777"/>
    <n v="23370"/>
    <n v="5850.92"/>
    <n v="0"/>
    <n v="1581.65"/>
    <n v="1581.65"/>
    <s v="25298808"/>
    <s v="PINE BELT NISSAN OF TOMS RIVER"/>
    <m/>
    <m/>
    <m/>
    <s v="4570062"/>
    <s v="CARWARS PREMIUM SALES"/>
    <n v="1408.33"/>
    <n v="0"/>
    <n v="1408.33"/>
    <n v="-173.32000000000016"/>
    <n v="-0.12306774690590996"/>
    <x v="9"/>
    <s v="CARWARS PREMIUM SALES ($1,408.33)"/>
    <s v=""/>
    <s v=""/>
    <s v="Secondary Package: Carrier Registration - Monthly ($10.00)"/>
    <s v="eLead - CW Premium - Sales 50k v2 ($1,571.65)"/>
    <s v=""/>
  </r>
  <r>
    <s v="TMC - Old Glory Harley-Davidson"/>
    <n v="143252"/>
    <n v="17362"/>
    <n v="17349.189999999999"/>
    <n v="0"/>
    <n v="1581.65"/>
    <n v="1581.65"/>
    <s v="76220875"/>
    <s v="OLD GLORY HARLEY-DAVIDSON"/>
    <m/>
    <m/>
    <m/>
    <s v="4570062"/>
    <s v="CARWARS PREMIUM SALES"/>
    <n v="1469.12"/>
    <n v="0"/>
    <n v="1469.12"/>
    <n v="-112.5300000000002"/>
    <n v="-7.6596874319320551E-2"/>
    <x v="9"/>
    <s v="CARWARS PREMIUM SALES ($1,469.12)"/>
    <s v=""/>
    <s v=""/>
    <s v="Secondary Package: Carrier Registration - Monthly ($10.00)"/>
    <s v="eLead - CW Premium - Sales 50k v2 ($1,571.65)"/>
    <s v=""/>
  </r>
  <r>
    <s v="Haldeman Ford East Windsor"/>
    <n v="90532"/>
    <n v="9100"/>
    <n v="4733.6000000000004"/>
    <n v="0"/>
    <n v="1284.1500000000001"/>
    <n v="1284.1500000000001"/>
    <s v="71061710"/>
    <s v="HALDEMAN FORD EAST WINDSOR"/>
    <m/>
    <m/>
    <m/>
    <s v="4570779"/>
    <s v="CARWARS ELITE SMALL"/>
    <n v="1199"/>
    <n v="0"/>
    <n v="1199"/>
    <n v="-85.150000000000091"/>
    <n v="-7.1017514595496323E-2"/>
    <x v="9"/>
    <s v="CARWARS ELITE SMALL ($1,199.00)"/>
    <s v=""/>
    <s v=""/>
    <s v="Secondary Package: Carrier Registration - Monthly ($10.00)"/>
    <s v="eLead - Elite Small v2 ($1,274.15)"/>
    <s v=""/>
  </r>
  <r>
    <s v="Haldeman Lexus of Princeton"/>
    <n v="75178"/>
    <n v="9104"/>
    <n v="6648.22"/>
    <n v="0"/>
    <n v="1284.1500000000001"/>
    <n v="1284.1500000000001"/>
    <s v="71061708"/>
    <s v="HALDEMAN LEXUS OF PRINCETON"/>
    <m/>
    <m/>
    <m/>
    <s v="4570779"/>
    <s v="CARWARS ELITE SMALL"/>
    <n v="1199"/>
    <n v="0"/>
    <n v="1199"/>
    <n v="-85.150000000000091"/>
    <n v="-7.1017514595496323E-2"/>
    <x v="9"/>
    <s v="CARWARS ELITE SMALL ($1,199.00)"/>
    <s v=""/>
    <s v=""/>
    <s v="Secondary Package: Carrier Registration - Monthly ($10.00)"/>
    <s v="eLead - Elite Small v2 ($1,274.15)"/>
    <s v=""/>
  </r>
  <r>
    <s v="Haldeman Subaru"/>
    <n v="186357"/>
    <n v="29183"/>
    <n v="5175.25"/>
    <n v="0"/>
    <n v="1284.1500000000001"/>
    <n v="1284.1500000000001"/>
    <s v="76231359"/>
    <s v="HALDEMAN SUBARU"/>
    <m/>
    <m/>
    <m/>
    <s v="4570779"/>
    <s v="CARWARS ELITE SMALL"/>
    <n v="1199"/>
    <n v="0"/>
    <n v="1199"/>
    <n v="-85.150000000000091"/>
    <n v="-7.1017514595496323E-2"/>
    <x v="9"/>
    <s v="CARWARS ELITE SMALL ($1,199.00)"/>
    <s v=""/>
    <s v=""/>
    <s v="Secondary Package: Carrier Registration - Monthly ($10.00)"/>
    <s v="eLead - Elite Small v2 ($1,274.15)"/>
    <s v=""/>
  </r>
  <r>
    <s v="TMC - Huntington Beach Harley-Davidson"/>
    <n v="94337"/>
    <n v="11739"/>
    <n v="27424.03"/>
    <n v="0"/>
    <n v="1581.65"/>
    <n v="1581.65"/>
    <s v="76212334"/>
    <s v="HUNTINGTON BEACH HARLEY-DAVIDSON"/>
    <m/>
    <m/>
    <m/>
    <s v="4570062"/>
    <s v="CARWARS PREMIUM SALES"/>
    <n v="1486.75"/>
    <n v="0"/>
    <n v="1486.75"/>
    <n v="-94.900000000000091"/>
    <n v="-6.3830502774508219E-2"/>
    <x v="9"/>
    <s v="CARWARS PREMIUM SALES ($1,386.75)"/>
    <s v="CRM TELEPHONY TRACKING ($100.00)"/>
    <s v=""/>
    <s v="Secondary Package: Carrier Registration - Monthly ($10.00)"/>
    <s v="eLead - CW Premium - Sales 50k v2 ($1,571.65)"/>
    <s v=""/>
  </r>
  <r>
    <s v="TMC - Rawhide Harley-Davidson"/>
    <n v="98156"/>
    <n v="5641"/>
    <n v="18371.22"/>
    <n v="0"/>
    <n v="1581.65"/>
    <n v="1581.65"/>
    <s v="76072668"/>
    <s v="RAWHIDE HARLEY-DAVIDSON"/>
    <m/>
    <m/>
    <m/>
    <s v="4570062"/>
    <s v="CARWARS PREMIUM SALES"/>
    <n v="1486.75"/>
    <n v="0"/>
    <n v="1486.75"/>
    <n v="-94.900000000000091"/>
    <n v="-6.3830502774508219E-2"/>
    <x v="9"/>
    <s v="CARWARS PREMIUM SALES ($1,386.75)"/>
    <s v="CRM TELEPHONY TRACKING ($100.00)"/>
    <s v=""/>
    <s v="Secondary Package: Carrier Registration - Monthly ($10.00)"/>
    <s v="eLead - CW Premium - Sales 50k v2 ($1,571.65)"/>
    <s v=""/>
  </r>
  <r>
    <s v="TMC - Riverside Harley-Davidson"/>
    <n v="84176"/>
    <n v="9141"/>
    <n v="26264.33"/>
    <n v="0"/>
    <n v="1581.65"/>
    <n v="1581.65"/>
    <s v="76161776"/>
    <s v="RIVERSIDE HARLEY-DAVIDSON"/>
    <m/>
    <m/>
    <m/>
    <s v="4570062"/>
    <s v="CARWARS PREMIUM SALES"/>
    <n v="1486.75"/>
    <n v="0"/>
    <n v="1486.75"/>
    <n v="-94.900000000000091"/>
    <n v="-6.3830502774508219E-2"/>
    <x v="9"/>
    <s v="CARWARS PREMIUM SALES ($1,386.75)"/>
    <s v="CRM TELEPHONY TRACKING ($100.00)"/>
    <s v=""/>
    <s v="Secondary Package: Carrier Registration - Monthly ($10.00)"/>
    <s v="eLead - CW Premium - Sales 50k v2 ($1,571.65)"/>
    <s v=""/>
  </r>
  <r>
    <s v="Phil Hughes Honda"/>
    <n v="92188"/>
    <n v="18515"/>
    <n v="11449.4"/>
    <n v="272.51"/>
    <n v="938.31"/>
    <n v="665.8"/>
    <s v="76025871"/>
    <s v="PHIL HUGHES HONDA"/>
    <m/>
    <m/>
    <m/>
    <s v="4570058"/>
    <s v="CARWARS STARTER 7500"/>
    <n v="633.26"/>
    <n v="407.64"/>
    <n v="1040.9000000000001"/>
    <n v="-32.539999999999964"/>
    <n v="-5.1384897198622943E-2"/>
    <x v="9"/>
    <s v="CARWARS STARTER 7500 ($350.30)"/>
    <s v="CARWARS INDEFINITE CALL RECORDINGS ($14.04)"/>
    <s v="CARWARS VOICE RECOGNITION (STARTER/ADV) ($268.92)"/>
    <s v="Secondary Package: Carrier Registration - Monthly ($10.00)"/>
    <s v="eLead - CW Starter - 7500 mins v2 ($424.15)"/>
    <s v="Secondary Package: eLead - Car Wars Texting v2 ($211.65)"/>
  </r>
  <r>
    <s v="Koeppel Mazda"/>
    <n v="145665"/>
    <n v="25374"/>
    <n v="12246.32"/>
    <n v="0"/>
    <n v="1698"/>
    <n v="1698"/>
    <s v="76075892"/>
    <s v="KOEPPEL MAZDA"/>
    <m/>
    <m/>
    <m/>
    <s v="4570289"/>
    <s v="CARWARS ELITE 12,500 PACKAGE"/>
    <n v="1618.92"/>
    <n v="0"/>
    <n v="1618.92"/>
    <n v="-79.079999999999927"/>
    <n v="-4.8847379734637861E-2"/>
    <x v="9"/>
    <s v="CARWARS ELITE 12,500 PACKAGE ($1,618.92)"/>
    <s v=""/>
    <s v=""/>
    <s v="Secondary Package: Carrier Registration - Monthly ($10.00)"/>
    <s v="Elead - CW Elite Small + Advanced Service ($1,688.00)"/>
    <s v=""/>
  </r>
  <r>
    <s v="Koeppel Subaru"/>
    <n v="145668"/>
    <n v="25377"/>
    <n v="6713.86"/>
    <n v="0"/>
    <n v="1698"/>
    <n v="1698"/>
    <s v="76076425"/>
    <s v="KOEPPEL SUBARU"/>
    <m/>
    <m/>
    <m/>
    <s v="4570289"/>
    <s v="CARWARS ELITE 12,500 PACKAGE"/>
    <n v="1618.92"/>
    <n v="0"/>
    <n v="1618.92"/>
    <n v="-79.079999999999927"/>
    <n v="-4.8847379734637861E-2"/>
    <x v="9"/>
    <s v="CARWARS ELITE 12,500 PACKAGE ($1,618.92)"/>
    <s v=""/>
    <s v=""/>
    <s v="Secondary Package: Carrier Registration - Monthly ($10.00)"/>
    <s v="Elead - CW Elite Small + Advanced Service ($1,688.00)"/>
    <s v=""/>
  </r>
  <r>
    <s v="Staunton Chrysler Dodge Jeep RAM"/>
    <n v="79668"/>
    <n v="17662"/>
    <n v="2844.43"/>
    <n v="0"/>
    <n v="254.15"/>
    <n v="254.15"/>
    <s v="76212445"/>
    <s v="STAUNTON CHRYSLER, DODGE,JEEP,RAM"/>
    <m/>
    <m/>
    <m/>
    <s v="4570060"/>
    <s v="CRM OUTBOUND TELEPHONY TRACKING (NEW AND CONVERSION)"/>
    <n v="0"/>
    <n v="0"/>
    <n v="0"/>
    <n v="-254.15"/>
    <e v="#DIV/0!"/>
    <x v="10"/>
    <s v="CRM OUTBOUND TELEPHONY TRACKING (NEW AND CONVERSION) ($0.00)"/>
    <s v=""/>
    <s v=""/>
    <s v="Secondary Package: Carrier Registration - Monthly ($10.00)"/>
    <s v=""/>
    <s v=""/>
  </r>
  <r>
    <s v="Williamsburg Chrysler Dodge Jeep Ram"/>
    <n v="188815"/>
    <n v="8336"/>
    <n v="1417.33"/>
    <n v="0"/>
    <n v="429"/>
    <n v="429"/>
    <s v="08300413"/>
    <s v="WILLIAMSBURG CHRYSLER JEEP DODGE"/>
    <m/>
    <m/>
    <m/>
    <s v="4570783"/>
    <s v="CARWARS CARRIER REGISTRATION"/>
    <n v="39.299999999999997"/>
    <n v="0"/>
    <n v="39.299999999999997"/>
    <n v="-389.7"/>
    <n v="-9.9160305343511457"/>
    <x v="11"/>
    <s v="CARWARS CARRIER REGISTRATION ($0.65)"/>
    <s v="CARWARS STARTER 5000 ($38.65)"/>
    <s v=""/>
    <s v="eLead - CW Starter - 7500 mins v2 ($424.15)"/>
    <s v="eLead - CW Starter - 5000 mins ($419.00)"/>
    <s v=""/>
  </r>
  <r>
    <s v="Grainger Nissan of Beaufort"/>
    <n v="79245"/>
    <n v="17563"/>
    <n v="255.45"/>
    <n v="0"/>
    <n v="0"/>
    <n v="0"/>
    <s v="76193826"/>
    <s v="GRAINGER NISSAN OF BEAUFORT"/>
    <m/>
    <d v="2020-02-01T00:00:00"/>
    <d v="2020-08-31T00:00:00"/>
    <s v="4570060"/>
    <s v="CRM OUTBOUND TELEPHONY TRACKING (NEW AND CONVERSION)"/>
    <e v="#N/A"/>
    <n v="0"/>
    <e v="#N/A"/>
    <e v="#N/A"/>
    <e v="#N/A"/>
    <x v="12"/>
    <e v="#N/A"/>
    <e v="#N/A"/>
    <e v="#N/A"/>
    <s v="Secondary Package: Carrier Registration - Monthly ($10.00)"/>
    <s v=""/>
    <s v=""/>
  </r>
  <r>
    <s v="_x0009__x0009__x0009_ELEAD1ONE CRM"/>
    <n v="8012"/>
    <s v="(blank)"/>
    <n v="4.67"/>
    <n v="0"/>
    <n v="0"/>
    <n v="0"/>
    <e v="#N/A"/>
    <e v="#N/A"/>
    <m/>
    <m/>
    <m/>
    <e v="#N/A"/>
    <e v="#N/A"/>
    <e v="#N/A"/>
    <n v="0"/>
    <e v="#N/A"/>
    <e v="#N/A"/>
    <e v="#N/A"/>
    <x v="13"/>
    <e v="#N/A"/>
    <e v="#N/A"/>
    <e v="#N/A"/>
    <s v="Elead CW Starter 4000 v2 ($254.15)"/>
    <s v=""/>
    <s v=""/>
  </r>
  <r>
    <s v="Apple Honda"/>
    <n v="188955"/>
    <n v="32347"/>
    <n v="0"/>
    <n v="0"/>
    <n v="0"/>
    <n v="0"/>
    <e v="#N/A"/>
    <e v="#N/A"/>
    <m/>
    <m/>
    <m/>
    <e v="#N/A"/>
    <e v="#N/A"/>
    <e v="#N/A"/>
    <n v="0"/>
    <e v="#N/A"/>
    <e v="#N/A"/>
    <e v="#N/A"/>
    <x v="13"/>
    <e v="#N/A"/>
    <e v="#N/A"/>
    <e v="#N/A"/>
    <s v="Secondary Package: Carrier Registration - Monthly ($10.00)"/>
    <s v=""/>
    <s v=""/>
  </r>
  <r>
    <s v="Bob Robinson Chevrolet Buick GMC"/>
    <n v="159842"/>
    <n v="29415"/>
    <n v="0"/>
    <n v="0"/>
    <n v="0"/>
    <n v="0"/>
    <e v="#N/A"/>
    <e v="#N/A"/>
    <m/>
    <m/>
    <m/>
    <e v="#N/A"/>
    <e v="#N/A"/>
    <e v="#N/A"/>
    <n v="0"/>
    <e v="#N/A"/>
    <e v="#N/A"/>
    <e v="#N/A"/>
    <x v="13"/>
    <e v="#N/A"/>
    <e v="#N/A"/>
    <e v="#N/A"/>
    <s v="Secondary Package: Carrier Registration - Monthly ($10.00)"/>
    <s v=""/>
    <s v=""/>
  </r>
  <r>
    <s v="Call Box test"/>
    <n v="143336"/>
    <n v="123456"/>
    <n v="0"/>
    <n v="0"/>
    <n v="0"/>
    <n v="0"/>
    <e v="#N/A"/>
    <e v="#N/A"/>
    <m/>
    <m/>
    <m/>
    <e v="#N/A"/>
    <e v="#N/A"/>
    <e v="#N/A"/>
    <n v="0"/>
    <e v="#N/A"/>
    <e v="#N/A"/>
    <e v="#N/A"/>
    <x v="13"/>
    <e v="#N/A"/>
    <e v="#N/A"/>
    <e v="#N/A"/>
    <s v="Elead CW Starter 4000 v2 ($254.15)"/>
    <s v=""/>
    <s v=""/>
  </r>
  <r>
    <s v="Chrysler Dodge Jeep Ram of Franklin"/>
    <n v="187147"/>
    <n v="4352"/>
    <n v="0"/>
    <n v="0"/>
    <n v="0"/>
    <n v="0"/>
    <e v="#N/A"/>
    <e v="#N/A"/>
    <m/>
    <m/>
    <m/>
    <e v="#N/A"/>
    <e v="#N/A"/>
    <e v="#N/A"/>
    <n v="0"/>
    <e v="#N/A"/>
    <e v="#N/A"/>
    <e v="#N/A"/>
    <x v="13"/>
    <e v="#N/A"/>
    <e v="#N/A"/>
    <e v="#N/A"/>
    <s v="Secondary Package: Carrier Registration - Monthly ($10.00)"/>
    <s v=""/>
    <s v=""/>
  </r>
  <r>
    <s v="Downtown Nashville Nissan"/>
    <n v="188644"/>
    <n v="7792"/>
    <n v="0"/>
    <n v="0"/>
    <n v="0"/>
    <n v="0"/>
    <e v="#N/A"/>
    <e v="#N/A"/>
    <m/>
    <m/>
    <m/>
    <e v="#N/A"/>
    <e v="#N/A"/>
    <e v="#N/A"/>
    <n v="0"/>
    <e v="#N/A"/>
    <e v="#N/A"/>
    <e v="#N/A"/>
    <x v="13"/>
    <e v="#N/A"/>
    <e v="#N/A"/>
    <e v="#N/A"/>
    <s v="eLead - CW Starter - 3500 mins v2 ($254.15)"/>
    <s v=""/>
    <s v=""/>
  </r>
  <r>
    <s v="HeightsNissan"/>
    <n v="188956"/>
    <n v="25376"/>
    <n v="0"/>
    <n v="0"/>
    <n v="0"/>
    <n v="0"/>
    <e v="#N/A"/>
    <e v="#N/A"/>
    <m/>
    <m/>
    <m/>
    <e v="#N/A"/>
    <e v="#N/A"/>
    <e v="#N/A"/>
    <n v="0"/>
    <e v="#N/A"/>
    <e v="#N/A"/>
    <e v="#N/A"/>
    <x v="13"/>
    <e v="#N/A"/>
    <e v="#N/A"/>
    <e v="#N/A"/>
    <s v="Secondary Package: Long Term Audio Storage - Fee Waived ($0.00)"/>
    <s v=""/>
    <s v=""/>
  </r>
  <r>
    <s v="HERTRICH AUTO GROUP (elead)"/>
    <n v="76985"/>
    <s v="(blank)"/>
    <n v="0"/>
    <n v="0"/>
    <n v="0"/>
    <n v="0"/>
    <e v="#N/A"/>
    <e v="#N/A"/>
    <m/>
    <m/>
    <m/>
    <e v="#N/A"/>
    <e v="#N/A"/>
    <e v="#N/A"/>
    <n v="0"/>
    <e v="#N/A"/>
    <e v="#N/A"/>
    <e v="#N/A"/>
    <x v="13"/>
    <e v="#N/A"/>
    <e v="#N/A"/>
    <e v="#N/A"/>
    <s v="Elead Launch Phase-0 ($0.00)"/>
    <s v=""/>
    <s v=""/>
  </r>
  <r>
    <s v="Major World CDJR"/>
    <n v="188933"/>
    <n v="32327"/>
    <n v="0"/>
    <n v="0"/>
    <n v="0"/>
    <n v="0"/>
    <e v="#N/A"/>
    <e v="#N/A"/>
    <m/>
    <m/>
    <m/>
    <e v="#N/A"/>
    <e v="#N/A"/>
    <e v="#N/A"/>
    <n v="0"/>
    <e v="#N/A"/>
    <e v="#N/A"/>
    <e v="#N/A"/>
    <x v="13"/>
    <e v="#N/A"/>
    <e v="#N/A"/>
    <e v="#N/A"/>
    <s v="Secondary Package: Carrier Registration - Monthly ($10.00)"/>
    <s v=""/>
    <s v=""/>
  </r>
  <r>
    <s v="Major World Chevrolet"/>
    <n v="187032"/>
    <s v="(blank)"/>
    <n v="1664.29"/>
    <n v="0"/>
    <n v="0"/>
    <n v="0"/>
    <e v="#N/A"/>
    <e v="#N/A"/>
    <m/>
    <m/>
    <m/>
    <e v="#N/A"/>
    <e v="#N/A"/>
    <e v="#N/A"/>
    <n v="0"/>
    <e v="#N/A"/>
    <e v="#N/A"/>
    <e v="#N/A"/>
    <x v="13"/>
    <e v="#N/A"/>
    <e v="#N/A"/>
    <e v="#N/A"/>
    <s v="Elead Launch Phase-0 ($0.00)"/>
    <s v="Elead Launch Phase-0 ($0.00)"/>
    <s v=""/>
  </r>
  <r>
    <m/>
    <n v="188935"/>
    <n v="32326"/>
    <n v="0"/>
    <n v="0"/>
    <n v="0"/>
    <n v="0"/>
    <e v="#N/A"/>
    <e v="#N/A"/>
    <m/>
    <m/>
    <m/>
    <e v="#N/A"/>
    <e v="#N/A"/>
    <e v="#N/A"/>
    <n v="0"/>
    <e v="#N/A"/>
    <e v="#N/A"/>
    <e v="#N/A"/>
    <x v="13"/>
    <e v="#N/A"/>
    <e v="#N/A"/>
    <e v="#N/A"/>
    <s v="Elead CW Starter 4000 v2 ($254.15)"/>
    <s v=" ($0.00)"/>
    <s v=" ($0.00)"/>
  </r>
  <r>
    <s v="Major World Chrysler Dodge Jeep"/>
    <n v="46251"/>
    <s v="(blank)"/>
    <n v="2908.42"/>
    <n v="0"/>
    <n v="0"/>
    <n v="0"/>
    <e v="#N/A"/>
    <e v="#N/A"/>
    <m/>
    <m/>
    <m/>
    <e v="#N/A"/>
    <e v="#N/A"/>
    <e v="#N/A"/>
    <n v="0"/>
    <e v="#N/A"/>
    <e v="#N/A"/>
    <e v="#N/A"/>
    <x v="13"/>
    <e v="#N/A"/>
    <e v="#N/A"/>
    <e v="#N/A"/>
    <s v="Elead Launch Phase-0 ($0.00)"/>
    <s v=""/>
    <s v=""/>
  </r>
  <r>
    <s v="Parks Toyota of Deland"/>
    <n v="188958"/>
    <n v="32013"/>
    <n v="333.98"/>
    <n v="0"/>
    <n v="0"/>
    <n v="0"/>
    <e v="#N/A"/>
    <e v="#N/A"/>
    <m/>
    <m/>
    <m/>
    <e v="#N/A"/>
    <e v="#N/A"/>
    <e v="#N/A"/>
    <n v="0"/>
    <e v="#N/A"/>
    <e v="#N/A"/>
    <e v="#N/A"/>
    <x v="13"/>
    <e v="#N/A"/>
    <e v="#N/A"/>
    <e v="#N/A"/>
    <s v="Elead CW Starter 8000 v2 ($424.15)"/>
    <s v=""/>
    <s v=""/>
  </r>
  <r>
    <s v="Stone Mountain Volkswagen"/>
    <n v="186595"/>
    <n v="5407"/>
    <n v="0"/>
    <n v="0"/>
    <n v="0"/>
    <n v="0"/>
    <e v="#N/A"/>
    <e v="#N/A"/>
    <m/>
    <m/>
    <m/>
    <e v="#N/A"/>
    <e v="#N/A"/>
    <e v="#N/A"/>
    <n v="0"/>
    <e v="#N/A"/>
    <e v="#N/A"/>
    <e v="#N/A"/>
    <x v="13"/>
    <e v="#N/A"/>
    <e v="#N/A"/>
    <e v="#N/A"/>
    <s v="Secondary Package: Carrier Registration - Monthly ($10.00)"/>
    <s v=""/>
    <s v=""/>
  </r>
  <r>
    <s v="VA - Victory Honda Peoria"/>
    <n v="188879"/>
    <n v="32160"/>
    <n v="11.34"/>
    <n v="0"/>
    <n v="0"/>
    <n v="0"/>
    <e v="#N/A"/>
    <e v="#N/A"/>
    <m/>
    <m/>
    <m/>
    <e v="#N/A"/>
    <e v="#N/A"/>
    <e v="#N/A"/>
    <n v="0"/>
    <e v="#N/A"/>
    <e v="#N/A"/>
    <e v="#N/A"/>
    <x v="13"/>
    <e v="#N/A"/>
    <e v="#N/A"/>
    <e v="#N/A"/>
    <s v="eLead - CW Starter - 3500 mins v2 ($254.15)"/>
    <s v=""/>
    <s v=""/>
  </r>
  <r>
    <s v="Pine Belt Chevrolet"/>
    <n v="91217"/>
    <n v="18160"/>
    <n v="0"/>
    <n v="0"/>
    <n v="0"/>
    <n v="0"/>
    <s v="76202140"/>
    <s v="PINE BELT CHEVROLET"/>
    <m/>
    <m/>
    <m/>
    <s v="4570060"/>
    <s v="CRM OUTBOUND TELEPHONY TRACKING (NEW AND CONVERSION)"/>
    <n v="246.39"/>
    <n v="0"/>
    <n v="246.39"/>
    <n v="246.39"/>
    <n v="1"/>
    <x v="14"/>
    <s v="CRM OUTBOUND TELEPHONY TRACKING (NEW AND CONVERSION) ($246.39)"/>
    <s v=""/>
    <s v=""/>
    <s v="Sub $0 ($0.00)"/>
    <s v=""/>
    <s v=""/>
  </r>
  <r>
    <s v="High Country Harley Davidson - Cheyenne"/>
    <n v="154756"/>
    <n v="28303"/>
    <n v="5.34"/>
    <n v="0"/>
    <n v="0"/>
    <n v="0"/>
    <s v="76160666"/>
    <s v="HIGH COUNTRY HARLEY DAVIDSON OF CHEYENNE_x0009__x0009__x0009_"/>
    <m/>
    <m/>
    <m/>
    <s v="4570009"/>
    <s v="CARWARS STARTER 3500"/>
    <n v="319"/>
    <n v="0"/>
    <n v="319"/>
    <n v="319"/>
    <n v="1"/>
    <x v="14"/>
    <s v="CARWARS STARTER 3500 ($319.00)"/>
    <s v=""/>
    <s v=""/>
    <s v="Secondary Package: Carrier Registration - Monthly ($10.00)"/>
    <s v=""/>
    <s v=""/>
  </r>
  <r>
    <s v="High Country Harley Davidson - Frederick"/>
    <n v="154755"/>
    <n v="28305"/>
    <n v="4.32"/>
    <n v="0"/>
    <n v="0"/>
    <n v="0"/>
    <s v="76160664"/>
    <s v="HIGH COUNTRY HARLEY-DAVIDSON"/>
    <m/>
    <m/>
    <m/>
    <s v="4570009"/>
    <s v="CARWARS STARTER 3500"/>
    <n v="337.95"/>
    <n v="130.65"/>
    <n v="468.6"/>
    <n v="337.95"/>
    <n v="1"/>
    <x v="14"/>
    <s v="CARWARS STARTER 3500 ($337.95)"/>
    <s v=""/>
    <s v=""/>
    <s v="Void / $0 ($0.00)"/>
    <s v=""/>
    <s v=""/>
  </r>
  <r>
    <s v="Pine Belt CDJR"/>
    <n v="141760"/>
    <n v="18422"/>
    <n v="2"/>
    <n v="0"/>
    <n v="0"/>
    <n v="0"/>
    <s v="76205217"/>
    <s v="PINE BELT MOTORS CDJR"/>
    <m/>
    <m/>
    <m/>
    <s v="4570009"/>
    <s v="CARWARS STARTER 3500"/>
    <n v="350.38"/>
    <n v="0"/>
    <n v="350.38"/>
    <n v="350.38"/>
    <n v="1"/>
    <x v="14"/>
    <s v="CARWARS STARTER 3500 ($350.38)"/>
    <s v=""/>
    <s v=""/>
    <s v="Secondary Package: Carrier Registration - Monthly ($10.00)"/>
    <s v=""/>
    <s v=""/>
  </r>
  <r>
    <s v=" Jordan Ford"/>
    <n v="61934"/>
    <n v="16480"/>
    <n v="82.34"/>
    <n v="0"/>
    <n v="254.15"/>
    <n v="254.15"/>
    <e v="#N/A"/>
    <e v="#N/A"/>
    <m/>
    <m/>
    <m/>
    <e v="#N/A"/>
    <e v="#N/A"/>
    <e v="#N/A"/>
    <n v="0"/>
    <e v="#N/A"/>
    <e v="#N/A"/>
    <e v="#N/A"/>
    <x v="15"/>
    <e v="#N/A"/>
    <e v="#N/A"/>
    <e v="#N/A"/>
    <s v="Price_plan ($Excl Overages)"/>
    <s v=""/>
    <s v=""/>
  </r>
  <r>
    <s v="Apple Honda MD"/>
    <n v="97941"/>
    <s v="(blank)"/>
    <n v="79.33"/>
    <n v="0"/>
    <n v="1304"/>
    <n v="1304"/>
    <e v="#N/A"/>
    <e v="#N/A"/>
    <m/>
    <m/>
    <m/>
    <e v="#N/A"/>
    <e v="#N/A"/>
    <e v="#N/A"/>
    <n v="0"/>
    <e v="#N/A"/>
    <e v="#N/A"/>
    <e v="#N/A"/>
    <x v="15"/>
    <e v="#N/A"/>
    <e v="#N/A"/>
    <e v="#N/A"/>
    <s v="Elead Launch Phase-0 ($0.00)"/>
    <s v="Elead - 24' CW Elite Medium ($1,294.00)"/>
    <s v=""/>
  </r>
  <r>
    <s v="Harley-Davidson of Cool Spring"/>
    <n v="99795"/>
    <n v="4545"/>
    <n v="1.34"/>
    <n v="0"/>
    <n v="129"/>
    <n v="129"/>
    <e v="#N/A"/>
    <e v="#N/A"/>
    <m/>
    <m/>
    <m/>
    <e v="#N/A"/>
    <e v="#N/A"/>
    <e v="#N/A"/>
    <n v="0"/>
    <e v="#N/A"/>
    <e v="#N/A"/>
    <e v="#N/A"/>
    <x v="15"/>
    <e v="#N/A"/>
    <e v="#N/A"/>
    <e v="#N/A"/>
    <s v="Secondary Package: Carrier Registration - Monthly ($10.00)"/>
    <s v=""/>
    <s v=""/>
  </r>
  <r>
    <s v="KIA Mall of Georgia"/>
    <n v="72057"/>
    <n v="16585"/>
    <n v="2190.39"/>
    <n v="0"/>
    <n v="254.15"/>
    <n v="254.15"/>
    <e v="#N/A"/>
    <e v="#N/A"/>
    <m/>
    <m/>
    <m/>
    <e v="#N/A"/>
    <e v="#N/A"/>
    <e v="#N/A"/>
    <n v="0"/>
    <e v="#N/A"/>
    <e v="#N/A"/>
    <e v="#N/A"/>
    <x v="15"/>
    <e v="#N/A"/>
    <e v="#N/A"/>
    <e v="#N/A"/>
    <s v="eLead - CW Starter - 3500 mins v2 ($254.15)"/>
    <s v=""/>
    <s v=""/>
  </r>
  <r>
    <s v="Capital - Hyundai of Jacksonville"/>
    <n v="36446"/>
    <n v="10556"/>
    <n v="41.02"/>
    <n v="0"/>
    <n v="710"/>
    <n v="710"/>
    <n v="76213993"/>
    <e v="#N/A"/>
    <m/>
    <m/>
    <m/>
    <e v="#N/A"/>
    <e v="#N/A"/>
    <e v="#N/A"/>
    <n v="0"/>
    <e v="#N/A"/>
    <e v="#N/A"/>
    <e v="#N/A"/>
    <x v="15"/>
    <e v="#N/A"/>
    <e v="#N/A"/>
    <e v="#N/A"/>
    <s v="Elead Launch Phase-0 ($0.00)"/>
    <s v=""/>
    <s v=""/>
  </r>
  <r>
    <s v="CENTURY BUICK GMC"/>
    <n v="46371"/>
    <n v="11519"/>
    <n v="3112.69"/>
    <n v="0"/>
    <n v="139"/>
    <n v="139"/>
    <n v="41002528"/>
    <e v="#N/A"/>
    <m/>
    <m/>
    <m/>
    <e v="#N/A"/>
    <e v="#N/A"/>
    <e v="#N/A"/>
    <n v="0"/>
    <e v="#N/A"/>
    <e v="#N/A"/>
    <e v="#N/A"/>
    <x v="15"/>
    <e v="#N/A"/>
    <e v="#N/A"/>
    <e v="#N/A"/>
    <s v="eLead CW Elite (Sales Service AI) v2 ($2,533.85)"/>
    <s v="Elead Outbound 4000 v2 ($129.00)"/>
    <s v=""/>
  </r>
  <r>
    <s v="Century Kia of Tampa"/>
    <n v="46376"/>
    <n v="15064"/>
    <n v="4038.14"/>
    <n v="0.76"/>
    <n v="129.76"/>
    <n v="129"/>
    <n v="76060185"/>
    <e v="#N/A"/>
    <m/>
    <m/>
    <m/>
    <e v="#N/A"/>
    <e v="#N/A"/>
    <e v="#N/A"/>
    <n v="0"/>
    <e v="#N/A"/>
    <e v="#N/A"/>
    <e v="#N/A"/>
    <x v="15"/>
    <e v="#N/A"/>
    <e v="#N/A"/>
    <e v="#N/A"/>
    <s v="Secondary Package: Carrier Registration - Monthly ($10.00)"/>
    <s v=""/>
    <s v=""/>
  </r>
  <r>
    <s v="DARCARS Chrysler Jeep Dodge RAM of Rockville"/>
    <n v="59903"/>
    <n v="5252"/>
    <n v="0.33"/>
    <n v="0"/>
    <n v="129"/>
    <n v="129"/>
    <n v="76216678"/>
    <e v="#N/A"/>
    <m/>
    <m/>
    <m/>
    <e v="#N/A"/>
    <e v="#N/A"/>
    <e v="#N/A"/>
    <n v="0"/>
    <e v="#N/A"/>
    <e v="#N/A"/>
    <e v="#N/A"/>
    <x v="15"/>
    <e v="#N/A"/>
    <e v="#N/A"/>
    <e v="#N/A"/>
    <s v="Secondary Package: Carrier Registration - Monthly ($10.00)"/>
    <s v=""/>
    <s v=""/>
  </r>
  <r>
    <s v="DARCARS Honda"/>
    <n v="58680"/>
    <n v="9472"/>
    <n v="0"/>
    <n v="0"/>
    <n v="129"/>
    <n v="129"/>
    <n v="76179736"/>
    <e v="#N/A"/>
    <m/>
    <m/>
    <m/>
    <e v="#N/A"/>
    <e v="#N/A"/>
    <e v="#N/A"/>
    <n v="0"/>
    <e v="#N/A"/>
    <e v="#N/A"/>
    <e v="#N/A"/>
    <x v="15"/>
    <e v="#N/A"/>
    <e v="#N/A"/>
    <e v="#N/A"/>
    <s v="Elead Outbound 4000 v2 ($129.00)"/>
    <s v=""/>
    <s v=""/>
  </r>
  <r>
    <s v="DARCARS Lexus of Silver Spring"/>
    <n v="58685"/>
    <n v="2432"/>
    <n v="0"/>
    <n v="0"/>
    <n v="129"/>
    <n v="129"/>
    <n v="76211699"/>
    <e v="#N/A"/>
    <m/>
    <m/>
    <m/>
    <e v="#N/A"/>
    <e v="#N/A"/>
    <e v="#N/A"/>
    <n v="0"/>
    <e v="#N/A"/>
    <e v="#N/A"/>
    <e v="#N/A"/>
    <x v="15"/>
    <e v="#N/A"/>
    <e v="#N/A"/>
    <e v="#N/A"/>
    <s v="Elead Outbound 4000 v2 ($129.00)"/>
    <s v=""/>
    <s v=""/>
  </r>
  <r>
    <s v="David Taylor Michigan City CDJR IN"/>
    <n v="121132"/>
    <n v="21229"/>
    <n v="20.98"/>
    <n v="0"/>
    <n v="254.15"/>
    <n v="254.15"/>
    <n v="76205924"/>
    <e v="#N/A"/>
    <m/>
    <m/>
    <m/>
    <e v="#N/A"/>
    <e v="#N/A"/>
    <e v="#N/A"/>
    <n v="0"/>
    <e v="#N/A"/>
    <e v="#N/A"/>
    <e v="#N/A"/>
    <x v="15"/>
    <e v="#N/A"/>
    <e v="#N/A"/>
    <e v="#N/A"/>
    <s v="Elead Outbound 4000 v2 ($129.00)"/>
    <s v=""/>
    <s v=""/>
  </r>
  <r>
    <s v="ELEAD1ONE Marketing"/>
    <n v="74101"/>
    <n v="999999"/>
    <n v="6518.42"/>
    <n v="0"/>
    <n v="551.11"/>
    <n v="551.11"/>
    <e v="#N/A"/>
    <e v="#N/A"/>
    <m/>
    <m/>
    <m/>
    <e v="#N/A"/>
    <e v="#N/A"/>
    <e v="#N/A"/>
    <n v="0"/>
    <e v="#N/A"/>
    <e v="#N/A"/>
    <e v="#N/A"/>
    <x v="15"/>
    <e v="#N/A"/>
    <e v="#N/A"/>
    <e v="#N/A"/>
    <s v="Secondary Package: Carrier Registration - Monthly ($10.00)"/>
    <s v=""/>
    <s v=""/>
  </r>
  <r>
    <s v="Glenbrook Mercedes-Benz of Fort Wayne"/>
    <n v="85622"/>
    <n v="17914"/>
    <n v="249.02"/>
    <n v="0"/>
    <n v="710"/>
    <n v="710"/>
    <e v="#N/A"/>
    <e v="#N/A"/>
    <m/>
    <m/>
    <m/>
    <e v="#N/A"/>
    <e v="#N/A"/>
    <e v="#N/A"/>
    <n v="0"/>
    <e v="#N/A"/>
    <e v="#N/A"/>
    <e v="#N/A"/>
    <x v="15"/>
    <e v="#N/A"/>
    <e v="#N/A"/>
    <e v="#N/A"/>
    <s v="Secondary Package: Carrier Registration - Monthly ($10.00)"/>
    <s v=""/>
    <s v=""/>
  </r>
  <r>
    <s v="Go WheelMart"/>
    <n v="153017"/>
    <n v="27897"/>
    <n v="6.63"/>
    <n v="0"/>
    <n v="264.14999999999998"/>
    <n v="264.14999999999998"/>
    <n v="76233177"/>
    <e v="#N/A"/>
    <m/>
    <m/>
    <m/>
    <e v="#N/A"/>
    <e v="#N/A"/>
    <e v="#N/A"/>
    <n v="0"/>
    <e v="#N/A"/>
    <e v="#N/A"/>
    <e v="#N/A"/>
    <x v="15"/>
    <e v="#N/A"/>
    <e v="#N/A"/>
    <e v="#N/A"/>
    <s v="Elead CW 8000 ($710.00)"/>
    <s v="eLead - CW Starter - 3500 mins v2 ($254.15)"/>
    <s v=""/>
  </r>
  <r>
    <s v="Holland Motorsports/Harley Davidson of Dothan"/>
    <n v="77178"/>
    <n v="16702"/>
    <n v="522.63"/>
    <n v="0"/>
    <n v="254.15"/>
    <n v="254.15"/>
    <n v="76214809"/>
    <e v="#N/A"/>
    <m/>
    <m/>
    <m/>
    <e v="#N/A"/>
    <e v="#N/A"/>
    <e v="#N/A"/>
    <n v="0"/>
    <e v="#N/A"/>
    <e v="#N/A"/>
    <e v="#N/A"/>
    <x v="15"/>
    <e v="#N/A"/>
    <e v="#N/A"/>
    <e v="#N/A"/>
    <s v="Void / $0 ($0.00)"/>
    <s v=""/>
    <s v=""/>
  </r>
  <r>
    <s v="Holman NC - Leith Acura of Raleigh"/>
    <n v="138752"/>
    <s v="(blank)"/>
    <n v="1451.06"/>
    <n v="0"/>
    <n v="264.14999999999998"/>
    <n v="264.14999999999998"/>
    <n v="76213921"/>
    <e v="#N/A"/>
    <m/>
    <m/>
    <m/>
    <e v="#N/A"/>
    <e v="#N/A"/>
    <e v="#N/A"/>
    <n v="0"/>
    <e v="#N/A"/>
    <e v="#N/A"/>
    <e v="#N/A"/>
    <x v="15"/>
    <e v="#N/A"/>
    <e v="#N/A"/>
    <e v="#N/A"/>
    <s v="Secondary Package: Carrier Registration - Monthly ($10.00)"/>
    <s v="eLead - CW Starter - 3500 mins v2 ($254.15)"/>
    <s v=""/>
  </r>
  <r>
    <s v="Honda of Illinois"/>
    <n v="77177"/>
    <n v="17265"/>
    <n v="0"/>
    <n v="0"/>
    <n v="129"/>
    <n v="129"/>
    <n v="71047088"/>
    <e v="#N/A"/>
    <m/>
    <m/>
    <m/>
    <e v="#N/A"/>
    <e v="#N/A"/>
    <e v="#N/A"/>
    <n v="0"/>
    <e v="#N/A"/>
    <e v="#N/A"/>
    <e v="#N/A"/>
    <x v="15"/>
    <e v="#N/A"/>
    <e v="#N/A"/>
    <e v="#N/A"/>
    <s v="Secondary Package: Carrier Registration - Monthly ($10.00)"/>
    <s v=""/>
    <s v=""/>
  </r>
  <r>
    <s v="Jack Schmitt Ford Lincoln"/>
    <n v="83085"/>
    <n v="17813"/>
    <n v="0"/>
    <n v="0"/>
    <n v="254.15"/>
    <n v="254.15"/>
    <n v="13496595"/>
    <e v="#N/A"/>
    <m/>
    <m/>
    <m/>
    <e v="#N/A"/>
    <e v="#N/A"/>
    <e v="#N/A"/>
    <n v="0"/>
    <e v="#N/A"/>
    <e v="#N/A"/>
    <e v="#N/A"/>
    <x v="15"/>
    <e v="#N/A"/>
    <e v="#N/A"/>
    <e v="#N/A"/>
    <s v="Secondary Package: Carrier Registration - Monthly ($10.00)"/>
    <s v=""/>
    <s v=""/>
  </r>
  <r>
    <s v="Lexus of Maplewood"/>
    <n v="104610"/>
    <n v="19236"/>
    <n v="5"/>
    <n v="0"/>
    <n v="254.15"/>
    <n v="254.15"/>
    <n v="76208860"/>
    <e v="#N/A"/>
    <m/>
    <m/>
    <m/>
    <e v="#N/A"/>
    <e v="#N/A"/>
    <e v="#N/A"/>
    <n v="0"/>
    <e v="#N/A"/>
    <e v="#N/A"/>
    <e v="#N/A"/>
    <x v="15"/>
    <e v="#N/A"/>
    <e v="#N/A"/>
    <e v="#N/A"/>
    <s v="Secondary Package: Carrier Registration - Monthly ($10.00)"/>
    <s v=""/>
    <s v=""/>
  </r>
  <r>
    <s v="Long Hyundai Genesis Volvo"/>
    <n v="145823"/>
    <n v="25641"/>
    <n v="183.65"/>
    <n v="0"/>
    <n v="424.15"/>
    <n v="424.15"/>
    <n v="76226789"/>
    <e v="#N/A"/>
    <m/>
    <m/>
    <m/>
    <e v="#N/A"/>
    <e v="#N/A"/>
    <e v="#N/A"/>
    <n v="0"/>
    <e v="#N/A"/>
    <e v="#N/A"/>
    <e v="#N/A"/>
    <x v="15"/>
    <e v="#N/A"/>
    <e v="#N/A"/>
    <e v="#N/A"/>
    <s v="Void / $0 ($0.00)"/>
    <s v=""/>
    <s v=""/>
  </r>
  <r>
    <s v="Mall of Georgia Chrysler Dodge Jeep"/>
    <n v="72053"/>
    <n v="16586"/>
    <n v="46.01"/>
    <n v="0"/>
    <n v="254.15"/>
    <n v="254.15"/>
    <n v="76024841"/>
    <e v="#N/A"/>
    <m/>
    <m/>
    <m/>
    <e v="#N/A"/>
    <e v="#N/A"/>
    <e v="#N/A"/>
    <n v="0"/>
    <e v="#N/A"/>
    <e v="#N/A"/>
    <e v="#N/A"/>
    <x v="15"/>
    <e v="#N/A"/>
    <e v="#N/A"/>
    <e v="#N/A"/>
    <s v="Secondary Package: Carrier Registration - Monthly ($10.00)"/>
    <s v=""/>
    <s v=""/>
  </r>
  <r>
    <s v="New Country Audi Bethesda"/>
    <n v="83339"/>
    <n v="11195"/>
    <n v="3702.75"/>
    <n v="0"/>
    <n v="139"/>
    <n v="139"/>
    <n v="76176104"/>
    <e v="#N/A"/>
    <m/>
    <m/>
    <m/>
    <e v="#N/A"/>
    <e v="#N/A"/>
    <e v="#N/A"/>
    <n v="0"/>
    <e v="#N/A"/>
    <e v="#N/A"/>
    <e v="#N/A"/>
    <x v="15"/>
    <e v="#N/A"/>
    <e v="#N/A"/>
    <e v="#N/A"/>
    <s v="Secondary Package: Carrier Registration - Monthly ($10.00)"/>
    <s v="Elead Outbound 4000 v2 ($129.00)"/>
    <s v=""/>
  </r>
  <r>
    <s v="Parks Ford Lincoln Hyundai of Gainesville"/>
    <n v="77184"/>
    <n v="17386"/>
    <n v="43.72"/>
    <n v="0"/>
    <n v="254.15"/>
    <n v="254.15"/>
    <n v="76028194"/>
    <e v="#N/A"/>
    <m/>
    <m/>
    <m/>
    <e v="#N/A"/>
    <e v="#N/A"/>
    <e v="#N/A"/>
    <n v="0"/>
    <e v="#N/A"/>
    <e v="#N/A"/>
    <e v="#N/A"/>
    <x v="15"/>
    <e v="#N/A"/>
    <e v="#N/A"/>
    <e v="#N/A"/>
    <s v="eLead - CW Starter - 3500 mins v2 ($254.15)"/>
    <s v=""/>
    <s v=""/>
  </r>
  <r>
    <s v="Parks Seminole Powersports"/>
    <n v="77166"/>
    <n v="17384"/>
    <n v="72.680000000000007"/>
    <n v="0"/>
    <n v="424.15"/>
    <n v="424.15"/>
    <n v="76247573"/>
    <e v="#N/A"/>
    <m/>
    <m/>
    <m/>
    <e v="#N/A"/>
    <e v="#N/A"/>
    <e v="#N/A"/>
    <n v="0"/>
    <e v="#N/A"/>
    <e v="#N/A"/>
    <e v="#N/A"/>
    <x v="15"/>
    <e v="#N/A"/>
    <e v="#N/A"/>
    <e v="#N/A"/>
    <s v="Secondary Package: Carrier Registration - Monthly ($10.00)"/>
    <s v=""/>
    <s v=""/>
  </r>
  <r>
    <s v="RRR - Toyota Certified at Capital Plaza"/>
    <n v="84669"/>
    <s v="(blank)"/>
    <n v="857.55"/>
    <n v="0"/>
    <n v="2543.85"/>
    <n v="2543.85"/>
    <n v="76243956"/>
    <e v="#N/A"/>
    <m/>
    <m/>
    <m/>
    <e v="#N/A"/>
    <e v="#N/A"/>
    <e v="#N/A"/>
    <n v="0"/>
    <e v="#N/A"/>
    <e v="#N/A"/>
    <e v="#N/A"/>
    <x v="15"/>
    <e v="#N/A"/>
    <e v="#N/A"/>
    <e v="#N/A"/>
    <s v="Secondary Package: Carrier Registration - Monthly ($10.00)"/>
    <s v="eLead CW Elite (Sales Service AI) v2 ($2,533.85)"/>
    <s v=""/>
  </r>
  <r>
    <s v="Southern Chrysler Dodge Jeep Ram Greenbrier"/>
    <n v="91411"/>
    <n v="7993"/>
    <n v="14.33"/>
    <n v="0"/>
    <n v="254.15"/>
    <n v="254.15"/>
    <e v="#N/A"/>
    <e v="#N/A"/>
    <m/>
    <m/>
    <m/>
    <e v="#N/A"/>
    <e v="#N/A"/>
    <e v="#N/A"/>
    <n v="0"/>
    <e v="#N/A"/>
    <e v="#N/A"/>
    <e v="#N/A"/>
    <x v="15"/>
    <e v="#N/A"/>
    <e v="#N/A"/>
    <e v="#N/A"/>
    <s v="Elead CW Starter 8000 v2 ($424.15)"/>
    <s v=""/>
    <s v=""/>
  </r>
  <r>
    <s v="Sun Auto Warehouse"/>
    <n v="91848"/>
    <n v="18468"/>
    <n v="101.27"/>
    <n v="0"/>
    <n v="424.15"/>
    <n v="424.15"/>
    <n v="76151748"/>
    <e v="#N/A"/>
    <m/>
    <m/>
    <m/>
    <e v="#N/A"/>
    <e v="#N/A"/>
    <e v="#N/A"/>
    <n v="0"/>
    <e v="#N/A"/>
    <e v="#N/A"/>
    <e v="#N/A"/>
    <x v="15"/>
    <e v="#N/A"/>
    <e v="#N/A"/>
    <e v="#N/A"/>
    <s v="Secondary Package: Carrier Registration - Monthly ($10.00)"/>
    <s v=""/>
    <s v=""/>
  </r>
  <r>
    <s v="Sun Auto Warehouse of Cortland"/>
    <n v="91849"/>
    <n v="18469"/>
    <n v="12.96"/>
    <n v="0"/>
    <n v="424.15"/>
    <n v="424.15"/>
    <n v="76216892"/>
    <e v="#N/A"/>
    <m/>
    <m/>
    <m/>
    <e v="#N/A"/>
    <e v="#N/A"/>
    <e v="#N/A"/>
    <n v="0"/>
    <e v="#N/A"/>
    <e v="#N/A"/>
    <e v="#N/A"/>
    <x v="15"/>
    <e v="#N/A"/>
    <e v="#N/A"/>
    <e v="#N/A"/>
    <s v="eLead - CW Starter - 7500 mins v2 ($424.15)"/>
    <s v=""/>
    <s v=""/>
  </r>
  <r>
    <s v="Volume Chevrolet Buick"/>
    <n v="117422"/>
    <n v="10519"/>
    <n v="576.41"/>
    <n v="0"/>
    <n v="264.14999999999998"/>
    <n v="264.14999999999998"/>
    <n v="76093254"/>
    <e v="#N/A"/>
    <m/>
    <m/>
    <m/>
    <e v="#N/A"/>
    <e v="#N/A"/>
    <e v="#N/A"/>
    <n v="0"/>
    <e v="#N/A"/>
    <e v="#N/A"/>
    <e v="#N/A"/>
    <x v="15"/>
    <e v="#N/A"/>
    <e v="#N/A"/>
    <e v="#N/A"/>
    <s v="Secondary Package: Carrier Registration - Monthly ($10.00)"/>
    <s v="eLead - CW Starter - 3500 mins v2 ($254.15)"/>
    <s v=""/>
  </r>
  <r>
    <s v="ZT Mercedes of Fort Walton Beach"/>
    <n v="78609"/>
    <n v="15331"/>
    <n v="11.63"/>
    <n v="0"/>
    <n v="254.15"/>
    <n v="254.15"/>
    <n v="76171629"/>
    <e v="#N/A"/>
    <m/>
    <m/>
    <m/>
    <e v="#N/A"/>
    <e v="#N/A"/>
    <e v="#N/A"/>
    <n v="0"/>
    <e v="#N/A"/>
    <e v="#N/A"/>
    <e v="#N/A"/>
    <x v="15"/>
    <e v="#N/A"/>
    <e v="#N/A"/>
    <e v="#N/A"/>
    <s v="Secondary Package: Carrier Registration - Monthly ($10.00)"/>
    <s v=""/>
    <s v=""/>
  </r>
  <r>
    <s v="ZT Motors BMW of Fort Walton Beach"/>
    <n v="78604"/>
    <n v="15334"/>
    <n v="26.67"/>
    <n v="0"/>
    <n v="254.15"/>
    <n v="254.15"/>
    <n v="76171631"/>
    <e v="#N/A"/>
    <m/>
    <m/>
    <m/>
    <e v="#N/A"/>
    <e v="#N/A"/>
    <e v="#N/A"/>
    <n v="0"/>
    <e v="#N/A"/>
    <e v="#N/A"/>
    <e v="#N/A"/>
    <x v="15"/>
    <e v="#N/A"/>
    <e v="#N/A"/>
    <e v="#N/A"/>
    <s v="Elead CW Starter 4000 v2 ($254.15)"/>
    <s v=""/>
    <s v=""/>
  </r>
  <r>
    <s v="ZT Motors Mazda of Fort Walton Beach"/>
    <n v="78606"/>
    <n v="15333"/>
    <n v="86.68"/>
    <n v="0"/>
    <n v="254.15"/>
    <n v="254.15"/>
    <n v="76171630"/>
    <e v="#N/A"/>
    <m/>
    <m/>
    <m/>
    <e v="#N/A"/>
    <e v="#N/A"/>
    <e v="#N/A"/>
    <n v="0"/>
    <e v="#N/A"/>
    <e v="#N/A"/>
    <e v="#N/A"/>
    <x v="15"/>
    <e v="#N/A"/>
    <e v="#N/A"/>
    <e v="#N/A"/>
    <s v="Elead CW Starter 4000 v2 ($254.15)"/>
    <s v=""/>
    <s v=""/>
  </r>
  <r>
    <s v="Holman NC - Leith Honda Chrysler Dodge Jeep RAM Aberdeen"/>
    <n v="61232"/>
    <n v="16395"/>
    <n v="3785.22"/>
    <n v="0"/>
    <n v="1581.65"/>
    <n v="1581.65"/>
    <s v="76160401"/>
    <s v="LEITH HONDA OF ABERDEEN"/>
    <m/>
    <m/>
    <m/>
    <s v="4570129"/>
    <s v="CARWARS INDEFINITE CALL RECORDINGS"/>
    <n v="20"/>
    <n v="0"/>
    <n v="20"/>
    <n v="-1561.65"/>
    <n v="-78.08250000000001"/>
    <x v="16"/>
    <s v="CARWARS INDEFINITE CALL RECORDINGS ($20.00)"/>
    <s v=""/>
    <s v=""/>
    <s v="Secondary Package: Carrier Registration - Monthly ($10.00)"/>
    <s v="eLead - CW Premium - Sales 50k v2 ($1,571.65)"/>
    <s v=""/>
  </r>
  <r>
    <s v="Holman NC - Leith Mercedes Benz of Cary"/>
    <n v="58246"/>
    <n v="16168"/>
    <n v="7073.76"/>
    <n v="0"/>
    <n v="1581.65"/>
    <n v="1581.65"/>
    <s v="71057131"/>
    <s v="MERCEDES BENZ OF CARY"/>
    <m/>
    <m/>
    <m/>
    <s v="4570129"/>
    <s v="CARWARS INDEFINITE CALL RECORDINGS"/>
    <n v="20"/>
    <n v="0"/>
    <n v="20"/>
    <n v="-1561.65"/>
    <n v="-78.08250000000001"/>
    <x v="16"/>
    <s v="CARWARS INDEFINITE CALL RECORDINGS ($20.00)"/>
    <s v=""/>
    <s v=""/>
    <s v="Secondary Package: Carrier Registration - Monthly ($10.00)"/>
    <s v="eLead - CW Premium - Sales 50k v2 ($1,571.65)"/>
    <s v=""/>
  </r>
  <r>
    <s v="Holman NC - Leith Volkswagen Raleigh"/>
    <n v="61231"/>
    <n v="16396"/>
    <n v="6564.12"/>
    <n v="0"/>
    <n v="1581.65"/>
    <n v="1581.65"/>
    <s v="76142673"/>
    <s v="VOLKSWAGEN OF RALEIGH"/>
    <m/>
    <m/>
    <m/>
    <s v="4570129"/>
    <s v="CARWARS INDEFINITE CALL RECORDINGS"/>
    <n v="20"/>
    <n v="0"/>
    <n v="20"/>
    <n v="-1561.65"/>
    <n v="-78.08250000000001"/>
    <x v="16"/>
    <s v="CARWARS INDEFINITE CALL RECORDINGS ($20.00)"/>
    <s v=""/>
    <s v=""/>
    <s v="Secondary Package: Carrier Registration - Monthly ($10.00)"/>
    <s v="eLead - CW Premium - Sales 50k v2 ($1,571.65)"/>
    <s v=""/>
  </r>
  <r>
    <s v="Emerald Coast Harley-Davidson"/>
    <n v="99644"/>
    <n v="9973"/>
    <n v="6865.19"/>
    <n v="232.2"/>
    <n v="496.35"/>
    <n v="264.15000000000003"/>
    <s v="76253993"/>
    <s v="EMERALD COAST HARLEY-DAVIDSON"/>
    <m/>
    <m/>
    <m/>
    <s v="4570009"/>
    <s v="CARWARS STARTER 3500"/>
    <n v="299"/>
    <n v="0"/>
    <n v="299"/>
    <n v="34.849999999999966"/>
    <n v="0.11655518394648819"/>
    <x v="17"/>
    <e v="#N/A"/>
    <e v="#N/A"/>
    <e v="#N/A"/>
    <s v="ELead Marketing - $2 per line / 06¢ per min ($551.11)"/>
    <s v="eLead - CW Starter - 3500 mins v2 ($254.15)"/>
    <s v=""/>
  </r>
  <r>
    <s v="Galeana Chrysler Jeep Ram of Fort Myers"/>
    <n v="146053"/>
    <n v="24505"/>
    <n v="19140.18"/>
    <n v="0"/>
    <n v="1924"/>
    <n v="1924"/>
    <s v="76257162"/>
    <s v="CDJR OF FORT MYERS"/>
    <m/>
    <m/>
    <m/>
    <s v="4570289"/>
    <s v="CARWARS ELITE 12,500 PACKAGE"/>
    <n v="2498"/>
    <n v="0"/>
    <n v="2498"/>
    <n v="574"/>
    <n v="0.22978382706164932"/>
    <x v="17"/>
    <e v="#N/A"/>
    <e v="#N/A"/>
    <e v="#N/A"/>
    <s v="Secondary Package: Carrier Registration - Monthly ($10.00)"/>
    <s v="Elead - Elite Small 37.5k ($1,914.00)"/>
    <s v=""/>
  </r>
  <r>
    <s v="Galeana KIA of Fort Myers"/>
    <n v="146055"/>
    <n v="24510"/>
    <n v="16076.93"/>
    <n v="0"/>
    <n v="1924"/>
    <n v="1924"/>
    <s v="76257159"/>
    <s v="KIA OF FORT MYERS"/>
    <m/>
    <m/>
    <m/>
    <s v="4570289"/>
    <s v="CARWARS ELITE 12,500 PACKAGE"/>
    <n v="2498"/>
    <n v="0"/>
    <n v="2498"/>
    <n v="574"/>
    <n v="0.22978382706164932"/>
    <x v="17"/>
    <e v="#N/A"/>
    <e v="#N/A"/>
    <e v="#N/A"/>
    <s v="Secondary Package: Carrier Registration - Monthly ($10.00)"/>
    <s v="Elead - Elite Small 37.5k ($1,914.00)"/>
    <s v=""/>
  </r>
  <r>
    <s v="Premier Toyota"/>
    <n v="156704"/>
    <n v="29001"/>
    <n v="4272.51"/>
    <n v="0"/>
    <n v="434.15"/>
    <n v="434.15"/>
    <s v="76252505"/>
    <s v="PREMIER TOYOTA"/>
    <m/>
    <m/>
    <m/>
    <s v="4571030"/>
    <s v="CARWARS STARTER 5000"/>
    <n v="599"/>
    <n v="0"/>
    <n v="599"/>
    <n v="164.85000000000002"/>
    <n v="0.2752086811352254"/>
    <x v="17"/>
    <e v="#N/A"/>
    <e v="#N/A"/>
    <e v="#N/A"/>
    <s v="Secondary Package: Carrier Registration - Monthly ($10.00)"/>
    <s v="eLead - CW Starter - 7500 mins v2 ($424.15)"/>
    <s v=""/>
  </r>
  <r>
    <s v="Anderson Crystal Lake BMW / Mazda"/>
    <n v="84602"/>
    <s v="4613a"/>
    <n v="1140.56"/>
    <n v="0"/>
    <n v="264.14999999999998"/>
    <n v="264.14999999999998"/>
    <s v="76213169"/>
    <s v="ANDERSON MOTORS OF CRYSTAL LAKE"/>
    <m/>
    <m/>
    <m/>
    <s v="4570060"/>
    <s v="CRM OUTBOUND TELEPHONY TRACKING (NEW AND CONVERSION)"/>
    <n v="310.95999999999998"/>
    <n v="0"/>
    <n v="310.95999999999998"/>
    <n v="46.81"/>
    <n v="0.15053383071777723"/>
    <x v="17"/>
    <e v="#N/A"/>
    <e v="#N/A"/>
    <e v="#N/A"/>
    <s v="Secondary Package: Carrier Registration - Monthly ($10.00)"/>
    <s v="Elead CW Starter 4000 v2 ($254.15)"/>
    <s v=""/>
  </r>
  <r>
    <s v="Harold Chevrolet "/>
    <n v="18040"/>
    <n v="377649"/>
    <n v="4290.18"/>
    <n v="0"/>
    <n v="869.15"/>
    <n v="869.15"/>
    <s v="76229204"/>
    <s v="HAROLD CHEVROLET"/>
    <m/>
    <m/>
    <m/>
    <s v="4570122"/>
    <s v="CARWARS ADVANCED SALES"/>
    <n v="1019"/>
    <n v="0"/>
    <n v="1019"/>
    <n v="149.85000000000002"/>
    <n v="0.14705593719332682"/>
    <x v="17"/>
    <e v="#N/A"/>
    <e v="#N/A"/>
    <e v="#N/A"/>
    <s v="Secondary Package: Carrier Registration - Monthly ($10.00)"/>
    <s v="eLead - CW Advanced - Sales - 7500 mins v2 ($849.15)"/>
    <s v=""/>
  </r>
  <r>
    <s v="Holman NC - Leith Vinfast"/>
    <n v="188195"/>
    <n v="31841"/>
    <n v="3280.93"/>
    <n v="0"/>
    <n v="429"/>
    <n v="429"/>
    <s v="76243435"/>
    <s v="LEITH VINFAST"/>
    <m/>
    <m/>
    <m/>
    <s v="4571030"/>
    <s v="CARWARS STARTER 5000"/>
    <n v="599"/>
    <n v="0"/>
    <n v="599"/>
    <n v="170"/>
    <n v="0.28380634390651083"/>
    <x v="17"/>
    <e v="#N/A"/>
    <e v="#N/A"/>
    <e v="#N/A"/>
    <s v="Secondary Package: Carrier Registration - Monthly ($10.00)"/>
    <s v="eLead - CW Starter - 5000 mins ($419.00)"/>
    <s v=""/>
  </r>
  <r>
    <s v="House Chevrolet Cadillac"/>
    <n v="96473"/>
    <n v="18864"/>
    <n v="9316.81"/>
    <n v="0"/>
    <n v="1284.1500000000001"/>
    <n v="1284.1500000000001"/>
    <s v="76211978"/>
    <s v="HOUSE CHEVROLET CADILLAC"/>
    <m/>
    <m/>
    <m/>
    <s v="4570383"/>
    <s v="EL1OUTCALLTRACK (GM IMR)"/>
    <n v="1469.02"/>
    <n v="0"/>
    <n v="1469.02"/>
    <n v="184.86999999999989"/>
    <n v="0.12584580196321349"/>
    <x v="17"/>
    <e v="#N/A"/>
    <e v="#N/A"/>
    <e v="#N/A"/>
    <s v="Elead Outbound 4000 v2 ($129.00)"/>
    <s v="eLead - Elite Small v2 ($1,274.15)"/>
    <s v=""/>
  </r>
  <r>
    <s v="Charlie Clark Nissan Harlingen"/>
    <n v="84596"/>
    <n v="17024"/>
    <n v="23.66"/>
    <n v="0"/>
    <n v="254.15"/>
    <n v="254.15"/>
    <s v="76186932"/>
    <s v="CHARLIE CLARK NISSAN EL PASO"/>
    <m/>
    <m/>
    <m/>
    <s v="4570060"/>
    <s v="CRM OUTBOUND TELEPHONY TRACKING (NEW AND CONVERSION)"/>
    <n v="342.3"/>
    <n v="0"/>
    <n v="342.3"/>
    <n v="88.15"/>
    <n v="0.2575226409582238"/>
    <x v="17"/>
    <e v="#N/A"/>
    <e v="#N/A"/>
    <e v="#N/A"/>
    <s v="Elead Outbound 4000 v2 ($129.00)"/>
    <s v=""/>
    <s v=""/>
  </r>
  <r>
    <s v="Elder Jaguar Land Rover Lakeland"/>
    <n v="146535"/>
    <n v="25162"/>
    <n v="3210.96"/>
    <n v="0"/>
    <n v="519.15"/>
    <n v="519.15"/>
    <s v="76222868"/>
    <s v="JAGUAR LAND ROVER LAKELAND"/>
    <m/>
    <m/>
    <m/>
    <s v="4571030"/>
    <s v="CARWARS STARTER 5000"/>
    <n v="599"/>
    <n v="0"/>
    <n v="599"/>
    <n v="79.850000000000023"/>
    <n v="0.13330550918196998"/>
    <x v="17"/>
    <e v="#N/A"/>
    <e v="#N/A"/>
    <e v="#N/A"/>
    <s v="Secondary Package: Carrier Registration - Monthly ($10.00)"/>
    <s v="eLead - CW Starter - 5000 mins v2 ($509.15)"/>
    <s v=""/>
  </r>
  <r>
    <s v="Fairview Ford"/>
    <n v="188178"/>
    <n v="13466"/>
    <n v="1934.7"/>
    <n v="0"/>
    <n v="429"/>
    <n v="429"/>
    <s v="76141328"/>
    <s v="FAIRVIEW FORD"/>
    <m/>
    <m/>
    <m/>
    <s v="4571030"/>
    <s v="CARWARS STARTER 5000"/>
    <n v="599"/>
    <n v="0"/>
    <n v="599"/>
    <n v="170"/>
    <n v="0.28380634390651083"/>
    <x v="17"/>
    <e v="#N/A"/>
    <e v="#N/A"/>
    <e v="#N/A"/>
    <s v="Secondary Package: Carrier Registration - Monthly ($10.00)"/>
    <s v="eLead - CW Starter - 5000 mins ($419.00)"/>
    <s v=""/>
  </r>
  <r>
    <s v="Modern Genesis of Lake Norman"/>
    <n v="188153"/>
    <n v="30664"/>
    <n v="2001.55"/>
    <n v="0"/>
    <n v="509.15"/>
    <n v="509.15"/>
    <s v="76253402"/>
    <s v="GENESIS OF LAKE NORMAN"/>
    <m/>
    <m/>
    <m/>
    <s v="4571030"/>
    <s v="CARWARS STARTER 5000"/>
    <n v="599"/>
    <n v="0"/>
    <n v="599"/>
    <n v="89.850000000000023"/>
    <n v="0.15000000000000005"/>
    <x v="17"/>
    <e v="#N/A"/>
    <e v="#N/A"/>
    <e v="#N/A"/>
    <s v="Secondary Package: Carrier Registration - Monthly ($10.00)"/>
    <s v=""/>
    <s v=""/>
  </r>
  <r>
    <s v="Nissan of Midland"/>
    <n v="188199"/>
    <n v="24697"/>
    <n v="489.28"/>
    <n v="0"/>
    <n v="429"/>
    <n v="429"/>
    <s v="76070071"/>
    <s v="MIDLAND NISSAN LP"/>
    <m/>
    <m/>
    <m/>
    <s v="4571030"/>
    <s v="CARWARS STARTER 5000"/>
    <n v="599"/>
    <n v="0"/>
    <n v="599"/>
    <n v="170"/>
    <n v="0.28380634390651083"/>
    <x v="17"/>
    <e v="#N/A"/>
    <e v="#N/A"/>
    <e v="#N/A"/>
    <s v="Secondary Package: Carrier Registration - Monthly ($10.00)"/>
    <s v="eLead - CW Starter - 5000 mins ($419.00)"/>
    <s v=""/>
  </r>
  <r>
    <s v="Timbrook - Chambersburg Hyundai"/>
    <n v="186132"/>
    <n v="76232941"/>
    <n v="1889.87"/>
    <n v="0"/>
    <n v="1284.1500000000001"/>
    <n v="1284.1500000000001"/>
    <s v="76232941"/>
    <s v="CHAMBERSBURG HYUNDAI"/>
    <m/>
    <m/>
    <m/>
    <s v="4570129"/>
    <s v="CARWARS INDEFINITE CALL RECORDINGS"/>
    <n v="1519"/>
    <n v="0"/>
    <n v="1519"/>
    <n v="234.84999999999991"/>
    <n v="0.15460829493087552"/>
    <x v="17"/>
    <e v="#N/A"/>
    <e v="#N/A"/>
    <e v="#N/A"/>
    <s v="Secondary Package: Carrier Registration - Monthly ($10.00)"/>
    <s v="eLead - Elite Small v2 ($1,274.15)"/>
    <s v=""/>
  </r>
  <r>
    <s v="Timbrook - Greencastle Chevrolet"/>
    <n v="186133"/>
    <n v="76243311"/>
    <n v="6293.54"/>
    <n v="0"/>
    <n v="1284.1500000000001"/>
    <n v="1284.1500000000001"/>
    <s v="76243311"/>
    <s v="GREENCASTLE CHEVROLET"/>
    <m/>
    <m/>
    <m/>
    <s v="4570129"/>
    <s v="CARWARS INDEFINITE CALL RECORDINGS"/>
    <n v="1519"/>
    <n v="0"/>
    <n v="1519"/>
    <n v="234.84999999999991"/>
    <n v="0.15460829493087552"/>
    <x v="17"/>
    <e v="#N/A"/>
    <e v="#N/A"/>
    <e v="#N/A"/>
    <s v="Secondary Package: Carrier Registration - Monthly ($10.00)"/>
    <s v="eLead - Elite Small v2 ($1,274.15)"/>
    <s v=""/>
  </r>
  <r>
    <s v="Timbrook - Hazleton Honda"/>
    <n v="186134"/>
    <n v="76228449"/>
    <n v="499.87"/>
    <n v="0"/>
    <n v="1284.1500000000001"/>
    <n v="1284.1500000000001"/>
    <s v="76228449"/>
    <s v="HAZLETON HONDA"/>
    <m/>
    <m/>
    <m/>
    <s v="4570129"/>
    <s v="CARWARS INDEFINITE CALL RECORDINGS"/>
    <n v="1519"/>
    <n v="0"/>
    <n v="1519"/>
    <n v="234.84999999999991"/>
    <n v="0.15460829493087552"/>
    <x v="17"/>
    <e v="#N/A"/>
    <e v="#N/A"/>
    <e v="#N/A"/>
    <s v="Secondary Package: Carrier Registration - Monthly ($10.00)"/>
    <s v="eLead - Elite Small v2 ($1,274.15)"/>
    <s v=""/>
  </r>
  <r>
    <s v="Timbrook -Altoona Honda"/>
    <n v="186130"/>
    <n v="76230046"/>
    <n v="1137.6500000000001"/>
    <n v="0"/>
    <n v="1284.1500000000001"/>
    <n v="1284.1500000000001"/>
    <s v="76230046"/>
    <s v="ALTOONA HONDA"/>
    <m/>
    <m/>
    <m/>
    <s v="4570129"/>
    <s v="CARWARS INDEFINITE CALL RECORDINGS"/>
    <n v="1519"/>
    <n v="0"/>
    <n v="1519"/>
    <n v="234.84999999999991"/>
    <n v="0.15460829493087552"/>
    <x v="17"/>
    <e v="#N/A"/>
    <e v="#N/A"/>
    <e v="#N/A"/>
    <s v="Secondary Package: Carrier Registration - Monthly ($10.00)"/>
    <s v="eLead - Elite Small v2 ($1,274.15)"/>
    <s v=""/>
  </r>
  <r>
    <s v="Zimbrick Buick GMC West"/>
    <n v="57773"/>
    <n v="15949"/>
    <n v="623.21"/>
    <n v="0"/>
    <n v="1029"/>
    <n v="1029"/>
    <s v="76066605"/>
    <s v="ZIMBRICK BUICK WEST"/>
    <m/>
    <m/>
    <m/>
    <s v="4570779"/>
    <s v="CARWARS ELITE SMALL"/>
    <n v="1209"/>
    <n v="0"/>
    <n v="1209"/>
    <n v="180"/>
    <n v="0.14888337468982629"/>
    <x v="17"/>
    <e v="#N/A"/>
    <e v="#N/A"/>
    <e v="#N/A"/>
    <s v="Secondary Package: Carrier Registration - Monthly ($10.00)"/>
    <s v="eLead - Elite Small ($1,019.00)"/>
    <s v=""/>
  </r>
  <r>
    <s v="Zimbrick Volkswagen"/>
    <n v="56399"/>
    <n v="15949"/>
    <n v="80.650000000000006"/>
    <n v="0"/>
    <n v="1019"/>
    <n v="1019"/>
    <s v="76066646"/>
    <s v="ZIMBRICK MIDDLETON VOLKSWAGEN"/>
    <m/>
    <m/>
    <m/>
    <s v="4570779"/>
    <s v="CARWARS ELITE SMALL"/>
    <n v="1209"/>
    <n v="0"/>
    <n v="1209"/>
    <n v="190"/>
    <n v="0.15715467328370555"/>
    <x v="17"/>
    <e v="#N/A"/>
    <e v="#N/A"/>
    <e v="#N/A"/>
    <s v="Elead CW Starter 4000 v2 ($254.15)"/>
    <s v=""/>
    <s v=""/>
  </r>
  <r>
    <s v="TMC - Motown Harley-Davidson"/>
    <n v="91364"/>
    <s v="17217a"/>
    <n v="15560.38"/>
    <n v="0"/>
    <n v="1581.65"/>
    <n v="1581.65"/>
    <s v="76219293"/>
    <s v="MOTOWN HARLEY-DAVIDSON"/>
    <m/>
    <m/>
    <m/>
    <s v="4570060"/>
    <s v="CRM OUTBOUND TELEPHONY TRACKING (NEW AND CONVERSION)"/>
    <n v="1685.75"/>
    <n v="0"/>
    <n v="1685.75"/>
    <n v="104.09999999999991"/>
    <n v="6.1752928963369369E-2"/>
    <x v="17"/>
    <s v="CRM OUTBOUND TELEPHONY TRACKING (NEW AND CONVERSION) ($299.00)"/>
    <s v="CARWARS PREMIUM SALES ($1,386.75)"/>
    <s v=""/>
    <s v="Secondary Package: Carrier Registration - Monthly ($10.00)"/>
    <s v="eLead - CW Premium - Sales 50k v2 ($1,571.65)"/>
    <s v=""/>
  </r>
  <r>
    <s v="Greenway - San Antonio CDJR"/>
    <n v="118924"/>
    <n v="19746"/>
    <n v="41253.040000000001"/>
    <n v="0"/>
    <n v="2563.85"/>
    <n v="2563.85"/>
    <s v="76213062"/>
    <s v="SAN ANTONIO CHRYSLER DODGE JEEP RAM"/>
    <m/>
    <m/>
    <m/>
    <s v="4570060"/>
    <s v="CRM OUTBOUND TELEPHONY TRACKING (NEW AND CONVERSION)"/>
    <n v="2800"/>
    <n v="0"/>
    <n v="2800"/>
    <n v="236.15000000000009"/>
    <n v="8.4339285714285742E-2"/>
    <x v="17"/>
    <s v="CRM OUTBOUND TELEPHONY TRACKING (NEW AND CONVERSION) ($2,800.00)"/>
    <s v=""/>
    <s v=""/>
    <s v="Secondary Package: Carrier Registration - Monthly ($10.00)"/>
    <s v="eLead CW Elite (Sales Service AI) v2 ($2,533.85)"/>
    <s v="Secondary Package: Long Term Audio Storage ($20.00)"/>
  </r>
  <r>
    <s v="Greenway - University Kia"/>
    <n v="118908"/>
    <n v="19812"/>
    <n v="2494.2399999999998"/>
    <n v="0"/>
    <n v="454.15"/>
    <n v="454.15"/>
    <s v="76209490"/>
    <s v="UNIVERSITY KIA"/>
    <m/>
    <m/>
    <m/>
    <s v="4570060"/>
    <s v="CRM OUTBOUND TELEPHONY TRACKING (NEW AND CONVERSION)"/>
    <n v="499"/>
    <n v="0"/>
    <n v="499"/>
    <n v="44.850000000000023"/>
    <n v="8.9879759519038122E-2"/>
    <x v="17"/>
    <s v="CRM OUTBOUND TELEPHONY TRACKING (NEW AND CONVERSION) ($499.00)"/>
    <s v=""/>
    <s v=""/>
    <s v="Secondary Package: Carrier Registration - Monthly ($10.00)"/>
    <s v="eLead - CW Starter - 7500 mins v2 ($424.15)"/>
    <s v="Secondary Package: Long Term Audio Storage ($20.00)"/>
  </r>
  <r>
    <s v="Ron Anderson Chevrolet Buick GMC"/>
    <n v="94552"/>
    <n v="18817"/>
    <n v="232.86"/>
    <n v="0"/>
    <n v="434.15"/>
    <n v="434.15"/>
    <s v="76211482"/>
    <s v="RON ANDERSON CHEVROLET BUICK GMC"/>
    <m/>
    <m/>
    <m/>
    <s v="4570383"/>
    <s v="EL1OUTCALLTRACK (GM IMR)"/>
    <n v="489.02"/>
    <n v="0"/>
    <n v="489.02"/>
    <n v="54.870000000000005"/>
    <n v="0.11220399983640753"/>
    <x v="17"/>
    <s v="EL1OUTCALLTRACK (GM IMR) ($489.02)"/>
    <s v=""/>
    <s v=""/>
    <s v="Secondary Package: Carrier Registration - Monthly ($10.00)"/>
    <s v="eLead - CW Starter - 7500 mins v2 ($424.15)"/>
    <s v=""/>
  </r>
  <r>
    <s v="Cherry Hill Nissan"/>
    <n v="147556"/>
    <n v="26427"/>
    <n v="5634.21"/>
    <n v="147.26"/>
    <n v="411.41"/>
    <n v="264.15000000000003"/>
    <s v="25078101"/>
    <s v="CHERRY HILL NISSAN"/>
    <m/>
    <m/>
    <m/>
    <s v="4570009"/>
    <s v="CARWARS STARTER 3500"/>
    <n v="299"/>
    <n v="187.04"/>
    <n v="486.03999999999996"/>
    <n v="34.849999999999966"/>
    <n v="0.11655518394648819"/>
    <x v="17"/>
    <s v="CARWARS STARTER 3500 ($299.00)"/>
    <s v=""/>
    <s v=""/>
    <s v="Elead CW Starter 4000 v2 ($254.15)"/>
    <s v="eLead - CW Starter - 3500 mins v2 ($254.15)"/>
    <s v=""/>
  </r>
  <r>
    <s v="ALBRECHT - NASHUA INFINITI"/>
    <n v="62657"/>
    <n v="16614"/>
    <n v="37.67"/>
    <n v="0"/>
    <n v="264.14999999999998"/>
    <n v="264.14999999999998"/>
    <s v="76177663"/>
    <s v="INFINITI OF NASHUA"/>
    <m/>
    <m/>
    <m/>
    <s v="4570009"/>
    <s v="CARWARS STARTER 3500"/>
    <n v="299"/>
    <n v="0"/>
    <n v="299"/>
    <n v="34.850000000000023"/>
    <n v="0.11655518394648837"/>
    <x v="17"/>
    <s v="CARWARS STARTER 3500 ($299.00)"/>
    <s v=""/>
    <s v=""/>
    <s v="eLead - CW Starter - 3500 mins v2 ($254.15)"/>
    <s v="eLead - CW Starter - 3500 mins v2 ($254.15)"/>
    <s v=""/>
  </r>
  <r>
    <s v="Alpha One Motors"/>
    <n v="149876"/>
    <n v="27280"/>
    <n v="13.35"/>
    <n v="0"/>
    <n v="264.14999999999998"/>
    <n v="264.14999999999998"/>
    <s v="76226259"/>
    <s v="ALPHA ONE MOTORS"/>
    <m/>
    <m/>
    <m/>
    <s v="4570009"/>
    <s v="CARWARS STARTER 3500"/>
    <n v="299"/>
    <n v="0"/>
    <n v="299"/>
    <n v="34.850000000000023"/>
    <n v="0.11655518394648837"/>
    <x v="17"/>
    <s v="CARWARS STARTER 3500 ($299.00)"/>
    <s v=""/>
    <s v=""/>
    <s v="Secondary Package: Carrier Registration - Monthly ($10.00)"/>
    <s v="eLead - CW Starter - 3500 mins v2 ($254.15)"/>
    <s v=""/>
  </r>
  <r>
    <s v="Commonwealth Nissan"/>
    <n v="84465"/>
    <n v="18082"/>
    <n v="1418.84"/>
    <n v="0"/>
    <n v="264.14999999999998"/>
    <n v="264.14999999999998"/>
    <s v="76213867"/>
    <s v="COMMONWEALTH NISSAN"/>
    <m/>
    <m/>
    <m/>
    <s v="4570009"/>
    <s v="CARWARS STARTER 3500"/>
    <n v="299"/>
    <n v="0"/>
    <n v="299"/>
    <n v="34.850000000000023"/>
    <n v="0.11655518394648837"/>
    <x v="17"/>
    <s v="CARWARS STARTER 3500 ($299.00)"/>
    <s v="CRM OUTBOUND TELEPHONY TRACKING (NEW AND CONVERSION) ($0.00)"/>
    <s v=""/>
    <s v="Secondary Package: Carrier Registration - Monthly ($10.00)"/>
    <s v="eLead - CW Starter - 3500 mins v2 ($254.15)"/>
    <s v=""/>
  </r>
  <r>
    <s v="Commuter Cars"/>
    <n v="150041"/>
    <n v="17995"/>
    <n v="138.12"/>
    <n v="0"/>
    <n v="264.14999999999998"/>
    <n v="264.14999999999998"/>
    <s v="76217130"/>
    <s v="COMMUTER CARS"/>
    <m/>
    <m/>
    <m/>
    <s v="4570009"/>
    <s v="CARWARS STARTER 3500"/>
    <n v="299"/>
    <n v="0"/>
    <n v="299"/>
    <n v="34.850000000000023"/>
    <n v="0.11655518394648837"/>
    <x v="17"/>
    <s v="CARWARS STARTER 3500 ($299.00)"/>
    <s v=""/>
    <s v=""/>
    <s v="Secondary Package: Carrier Registration - Monthly ($10.00)"/>
    <s v="eLead - CW Starter - 3500 mins v2 ($254.15)"/>
    <s v=""/>
  </r>
  <r>
    <s v="Freeway Ford"/>
    <n v="149960"/>
    <n v="15685"/>
    <n v="3685.36"/>
    <n v="12.79"/>
    <n v="276.94"/>
    <n v="264.14999999999998"/>
    <s v="76055606"/>
    <s v="FREEWAY FORD"/>
    <m/>
    <m/>
    <m/>
    <s v="4570009"/>
    <s v="CARWARS STARTER 3500"/>
    <n v="299"/>
    <n v="71.650000000000006"/>
    <n v="370.65"/>
    <n v="34.850000000000023"/>
    <n v="0.11655518394648837"/>
    <x v="17"/>
    <s v="CARWARS STARTER 3500 ($299.00)"/>
    <s v=""/>
    <s v=""/>
    <s v="Secondary Package: Carrier Registration - Monthly ($10.00)"/>
    <s v="eLead - CW Starter - 3500 mins v2 ($254.15)"/>
    <s v=""/>
  </r>
  <r>
    <s v="Greenway - Greenway FIAT of East Orlando"/>
    <n v="82486"/>
    <n v="17715"/>
    <n v="17.64"/>
    <n v="0"/>
    <n v="264.14999999999998"/>
    <n v="264.14999999999998"/>
    <s v="76212701"/>
    <s v="GREENWAY FIAT OF EAST ORLANDO"/>
    <m/>
    <m/>
    <m/>
    <s v="4570060"/>
    <s v="CRM OUTBOUND TELEPHONY TRACKING (NEW AND CONVERSION)"/>
    <n v="299"/>
    <n v="0"/>
    <n v="299"/>
    <n v="34.850000000000023"/>
    <n v="0.11655518394648837"/>
    <x v="17"/>
    <s v="CRM OUTBOUND TELEPHONY TRACKING (NEW AND CONVERSION) ($299.00)"/>
    <s v=""/>
    <s v=""/>
    <s v="Secondary Package: Carrier Registration - Monthly ($10.00)"/>
    <s v="Elead CW Starter 4000 v2 ($254.15)"/>
    <s v=""/>
  </r>
  <r>
    <s v="Iron Steed Harley Davidson"/>
    <n v="150665"/>
    <n v="27596"/>
    <n v="2691.58"/>
    <n v="0"/>
    <n v="264.14999999999998"/>
    <n v="264.14999999999998"/>
    <s v="76231018"/>
    <s v="IRON STEED HARLEY-DAVIDSON"/>
    <m/>
    <m/>
    <m/>
    <s v="4570009"/>
    <s v="CARWARS STARTER 3500"/>
    <n v="299"/>
    <n v="9.8699999999999992"/>
    <n v="308.87"/>
    <n v="34.850000000000023"/>
    <n v="0.11655518394648837"/>
    <x v="17"/>
    <s v="CARWARS STARTER 3500 ($299.00)"/>
    <s v=""/>
    <s v=""/>
    <s v="Secondary Package: Carrier Registration - Monthly ($10.00)"/>
    <s v="eLead - CW Starter - 3500 mins v2 ($254.15)"/>
    <s v=""/>
  </r>
  <r>
    <s v="Montgomeryville Acura"/>
    <n v="134212"/>
    <n v="21055"/>
    <n v="1510.68"/>
    <n v="0"/>
    <n v="264.14999999999998"/>
    <n v="264.14999999999998"/>
    <s v="08300016"/>
    <s v="MONTGOMERYVILLE ACURA"/>
    <m/>
    <m/>
    <m/>
    <s v="4570009"/>
    <s v="CARWARS STARTER 3500"/>
    <n v="299"/>
    <n v="0"/>
    <n v="299"/>
    <n v="34.850000000000023"/>
    <n v="0.11655518394648837"/>
    <x v="17"/>
    <s v="CARWARS STARTER 3500 ($299.00)"/>
    <s v=""/>
    <s v=""/>
    <s v="Secondary Package: Carrier Registration - Monthly ($10.00)"/>
    <s v="eLead - CW Starter - 3500 mins v2 ($254.15)"/>
    <s v=""/>
  </r>
  <r>
    <s v="Montgomeryville Nissan"/>
    <n v="134214"/>
    <n v="20587"/>
    <n v="4459.16"/>
    <n v="66.180000000000007"/>
    <n v="330.33"/>
    <n v="264.14999999999998"/>
    <s v="71063149"/>
    <s v="MONTGOMERYVILLE NISSAN"/>
    <m/>
    <m/>
    <m/>
    <s v="4570009"/>
    <s v="CARWARS STARTER 3500"/>
    <n v="299"/>
    <n v="133.88999999999999"/>
    <n v="432.89"/>
    <n v="34.850000000000023"/>
    <n v="0.11655518394648837"/>
    <x v="17"/>
    <s v="CARWARS STARTER 3500 ($299.00)"/>
    <s v=""/>
    <s v=""/>
    <s v="Secondary Package: Carrier Registration - Monthly ($10.00)"/>
    <s v="eLead - CW Starter - 3500 mins v2 ($254.15)"/>
    <s v=""/>
  </r>
  <r>
    <s v="Terry Lambert Hyundai"/>
    <n v="153501"/>
    <n v="27305"/>
    <n v="10651.94"/>
    <n v="493.48"/>
    <n v="757.63"/>
    <n v="264.14999999999998"/>
    <s v="76230963"/>
    <s v="TERRY LAMBERT HYUNDAI"/>
    <m/>
    <m/>
    <m/>
    <s v="4570009"/>
    <s v="CARWARS STARTER 3500"/>
    <n v="299"/>
    <n v="0"/>
    <n v="299"/>
    <n v="34.850000000000023"/>
    <n v="0.11655518394648837"/>
    <x v="17"/>
    <s v="CARWARS STARTER 3500 ($299.00)"/>
    <s v=""/>
    <s v=""/>
    <s v="Secondary Package: Carrier Registration - Monthly ($10.00)"/>
    <s v="eLead - CW Starter - 3500 mins v2 ($254.15)"/>
    <s v=""/>
  </r>
  <r>
    <s v="Pine Belt Cadillac"/>
    <n v="140775"/>
    <s v="(blank)"/>
    <n v="2877.99"/>
    <n v="0"/>
    <n v="859.15"/>
    <n v="859.15"/>
    <s v="41002552"/>
    <s v="PINE BELT CADILLAC OF TOMS RIVER"/>
    <m/>
    <m/>
    <m/>
    <s v="4570383"/>
    <s v="EL1OUTCALLTRACK (GM IMR)"/>
    <n v="979.02"/>
    <n v="0"/>
    <n v="979.02"/>
    <n v="119.87"/>
    <n v="0.12243876529590816"/>
    <x v="17"/>
    <s v="EL1OUTCALLTRACK (GM IMR) ($979.02)"/>
    <s v=""/>
    <s v=""/>
    <s v="eLead - CW Starter - 3500 mins v2 ($254.15)"/>
    <s v="eLead - CW Advanced - Sales - 7500 mins v2 ($849.15)"/>
    <s v=""/>
  </r>
  <r>
    <s v="Commonwealth Chevrolet"/>
    <n v="84459"/>
    <n v="18079"/>
    <n v="2455.5300000000002"/>
    <n v="0"/>
    <n v="1581.65"/>
    <n v="1581.65"/>
    <s v="76155736"/>
    <s v="COMMONWEALTH CHEVROLET"/>
    <m/>
    <m/>
    <m/>
    <s v="4570358"/>
    <s v="OUTBOUND CALL TRACKING PKGS (GM IMR CONVERSION)"/>
    <n v="1812.02"/>
    <n v="0"/>
    <n v="1812.02"/>
    <n v="230.36999999999989"/>
    <n v="0.12713435834041562"/>
    <x v="17"/>
    <s v="OUTBOUND CALL TRACKING PKGS (GM IMR CONVERSION) ($1,812.02)"/>
    <s v=""/>
    <s v=""/>
    <s v="Secondary Package: Carrier Registration - Monthly ($10.00)"/>
    <s v="Elead CW Unlimited  v2 ($1,571.65)"/>
    <s v=""/>
  </r>
  <r>
    <s v="Bob Brown Chevrolet"/>
    <n v="138653"/>
    <n v="22237"/>
    <n v="4.32"/>
    <n v="0"/>
    <n v="2543.85"/>
    <n v="2543.85"/>
    <s v="76067624"/>
    <s v="BOB BROWN CHEVROLET"/>
    <m/>
    <m/>
    <m/>
    <s v="4570358"/>
    <s v="OUTBOUND CALL TRACKING PKGS (GM IMR CONVERSION)"/>
    <n v="2921.38"/>
    <n v="0"/>
    <n v="2921.38"/>
    <n v="377.5300000000002"/>
    <n v="0.12923002142822917"/>
    <x v="17"/>
    <s v="OUTBOUND CALL TRACKING PKGS (GM IMR CONVERSION) ($2,921.38)"/>
    <s v=""/>
    <s v=""/>
    <s v="eLead - CW Starter - 5000 mins v2 ($509.15)"/>
    <s v="eLead CW Elite (Sales Service AI) v2 ($2,533.85)"/>
    <s v=""/>
  </r>
  <r>
    <s v="Chi Town Harley-Davidson"/>
    <n v="149326"/>
    <n v="26939"/>
    <n v="460.01"/>
    <n v="0"/>
    <n v="434.15"/>
    <n v="434.15"/>
    <s v="76015613"/>
    <s v="CHI-TOWN HARLEY-DAVIDSON"/>
    <m/>
    <m/>
    <m/>
    <s v="4570058"/>
    <s v="CARWARS STARTER 7500"/>
    <n v="499"/>
    <n v="0"/>
    <n v="499"/>
    <n v="64.850000000000023"/>
    <n v="0.12995991983967942"/>
    <x v="17"/>
    <s v="CARWARS STARTER 7500 ($499.00)"/>
    <s v=""/>
    <s v=""/>
    <s v="Secondary Package: Carrier Registration - Monthly ($10.00)"/>
    <s v="eLead - CW Starter - 7500 mins v2 ($424.15)"/>
    <s v=""/>
  </r>
  <r>
    <s v="Deacon Jones Chevrolet Buick GMC of Clinton "/>
    <n v="149420"/>
    <n v="26923"/>
    <n v="2832.14"/>
    <n v="0"/>
    <n v="434.15"/>
    <n v="434.15"/>
    <s v="76228640"/>
    <s v="DEACON JONES CHEVROLET BUICK GMC OF CLINTON"/>
    <m/>
    <m/>
    <m/>
    <s v="4570058"/>
    <s v="CARWARS STARTER 7500"/>
    <n v="499"/>
    <n v="0"/>
    <n v="499"/>
    <n v="64.850000000000023"/>
    <n v="0.12995991983967942"/>
    <x v="17"/>
    <s v="CARWARS STARTER 7500 ($499.00)"/>
    <s v=""/>
    <s v=""/>
    <s v="Secondary Package: Carrier Registration - Monthly ($10.00)"/>
    <s v="eLead - CW Starter - 7500 mins v2 ($424.15)"/>
    <s v=""/>
  </r>
  <r>
    <s v="Deacon Jones Ford"/>
    <n v="149425"/>
    <n v="26926"/>
    <n v="3513.73"/>
    <n v="0"/>
    <n v="434.15"/>
    <n v="434.15"/>
    <s v="71063011"/>
    <s v="DEACON JONES FORD LINCOLN-MERCURY INC"/>
    <m/>
    <m/>
    <m/>
    <s v="4570058"/>
    <s v="CARWARS STARTER 7500"/>
    <n v="499"/>
    <n v="0"/>
    <n v="499"/>
    <n v="64.850000000000023"/>
    <n v="0.12995991983967942"/>
    <x v="17"/>
    <s v="CARWARS STARTER 7500 ($499.00)"/>
    <s v=""/>
    <s v=""/>
    <s v="Secondary Package: Carrier Registration - Monthly ($10.00)"/>
    <s v="eLead - CW Starter - 7500 mins v2 ($424.15)"/>
    <s v=""/>
  </r>
  <r>
    <s v="Deacon Jones Honda"/>
    <n v="149419"/>
    <n v="26930"/>
    <n v="4070.25"/>
    <n v="0"/>
    <n v="434.15"/>
    <n v="434.15"/>
    <s v="76228618"/>
    <s v="DEACON JONES HONDA"/>
    <m/>
    <m/>
    <m/>
    <s v="4570058"/>
    <s v="CARWARS STARTER 7500"/>
    <n v="499"/>
    <n v="0"/>
    <n v="499"/>
    <n v="64.850000000000023"/>
    <n v="0.12995991983967942"/>
    <x v="17"/>
    <s v="CARWARS STARTER 7500 ($499.00)"/>
    <s v=""/>
    <s v=""/>
    <s v="Secondary Package: Carrier Registration - Monthly ($10.00)"/>
    <s v="eLead - CW Starter - 7500 mins v2 ($424.15)"/>
    <s v=""/>
  </r>
  <r>
    <s v="Deacon Jones Hyundai "/>
    <n v="149421"/>
    <n v="24151"/>
    <n v="5053.22"/>
    <n v="0"/>
    <n v="434.15"/>
    <n v="434.15"/>
    <s v="76209885"/>
    <s v="DEACON JONES HYUNDAI"/>
    <m/>
    <m/>
    <m/>
    <s v="4570058"/>
    <s v="CARWARS STARTER 7500"/>
    <n v="499"/>
    <n v="0"/>
    <n v="499"/>
    <n v="64.850000000000023"/>
    <n v="0.12995991983967942"/>
    <x v="17"/>
    <s v="CARWARS STARTER 7500 ($499.00)"/>
    <s v=""/>
    <s v=""/>
    <s v="Secondary Package: Carrier Registration - Monthly ($10.00)"/>
    <s v="eLead - CW Starter - 7500 mins v2 ($424.15)"/>
    <s v=""/>
  </r>
  <r>
    <s v="Deacon Jones Kia"/>
    <n v="149423"/>
    <n v="26927"/>
    <n v="4153.3"/>
    <n v="0"/>
    <n v="434.15"/>
    <n v="434.15"/>
    <s v="76228628"/>
    <s v="DEACON JONES KIA"/>
    <m/>
    <m/>
    <m/>
    <s v="4570058"/>
    <s v="CARWARS STARTER 7500"/>
    <n v="499"/>
    <n v="0"/>
    <n v="499"/>
    <n v="64.850000000000023"/>
    <n v="0.12995991983967942"/>
    <x v="17"/>
    <s v="CARWARS STARTER 7500 ($499.00)"/>
    <s v=""/>
    <s v=""/>
    <s v="Secondary Package: Carrier Registration - Monthly ($10.00)"/>
    <s v="eLead - CW Starter - 7500 mins v2 ($424.15)"/>
    <s v=""/>
  </r>
  <r>
    <s v="Deacon Jones Nissan"/>
    <n v="149424"/>
    <n v="26925"/>
    <n v="1013"/>
    <n v="0"/>
    <n v="434.15"/>
    <n v="434.15"/>
    <s v="76228625"/>
    <s v="DEACON JONES NISSAN"/>
    <m/>
    <m/>
    <m/>
    <s v="4570058"/>
    <s v="CARWARS STARTER 7500"/>
    <n v="499"/>
    <n v="0"/>
    <n v="499"/>
    <n v="64.850000000000023"/>
    <n v="0.12995991983967942"/>
    <x v="17"/>
    <s v="CARWARS STARTER 7500 ($499.00)"/>
    <s v=""/>
    <s v=""/>
    <s v="Secondary Package: Carrier Registration - Monthly ($10.00)"/>
    <s v="eLead - CW Starter - 7500 mins v2 ($424.15)"/>
    <s v=""/>
  </r>
  <r>
    <s v="Deacon Jones Toyota"/>
    <n v="149422"/>
    <n v="26922"/>
    <n v="3562.32"/>
    <n v="0"/>
    <n v="434.15"/>
    <n v="434.15"/>
    <s v="76228624"/>
    <s v="DEACON JONES TOYOTA"/>
    <m/>
    <m/>
    <m/>
    <s v="4570058"/>
    <s v="CARWARS STARTER 7500"/>
    <n v="499"/>
    <n v="0"/>
    <n v="499"/>
    <n v="64.850000000000023"/>
    <n v="0.12995991983967942"/>
    <x v="17"/>
    <s v="CARWARS STARTER 7500 ($499.00)"/>
    <s v=""/>
    <s v=""/>
    <s v="Secondary Package: Carrier Registration - Monthly ($10.00)"/>
    <s v="eLead - CW Starter - 7500 mins v2 ($424.15)"/>
    <s v=""/>
  </r>
  <r>
    <s v="Greenway - Greenway Kia of Franklin"/>
    <n v="117573"/>
    <n v="17302"/>
    <n v="2554.66"/>
    <n v="0"/>
    <n v="434.15"/>
    <n v="434.15"/>
    <s v="76211746"/>
    <s v="GREENWAY KIA FRANKLIN"/>
    <m/>
    <m/>
    <m/>
    <s v="4570060"/>
    <s v="CRM OUTBOUND TELEPHONY TRACKING (NEW AND CONVERSION)"/>
    <n v="499"/>
    <n v="0"/>
    <n v="499"/>
    <n v="64.850000000000023"/>
    <n v="0.12995991983967942"/>
    <x v="17"/>
    <s v="CRM OUTBOUND TELEPHONY TRACKING (NEW AND CONVERSION) ($499.00)"/>
    <s v=""/>
    <s v=""/>
    <s v="Secondary Package: Carrier Registration - Monthly ($10.00)"/>
    <s v="eLead - CW Starter - 7500 mins v2 ($424.15)"/>
    <s v=""/>
  </r>
  <r>
    <s v="Greenway - Laredo DCJR"/>
    <n v="118900"/>
    <n v="19824"/>
    <n v="3104.9"/>
    <n v="0"/>
    <n v="434.15"/>
    <n v="434.15"/>
    <s v="76209452"/>
    <s v="LAREDO DODGE CHRYSLER JEEP"/>
    <m/>
    <m/>
    <m/>
    <s v="4570060"/>
    <s v="CRM OUTBOUND TELEPHONY TRACKING (NEW AND CONVERSION)"/>
    <n v="499"/>
    <n v="0"/>
    <n v="499"/>
    <n v="64.850000000000023"/>
    <n v="0.12995991983967942"/>
    <x v="17"/>
    <s v="CRM OUTBOUND TELEPHONY TRACKING (NEW AND CONVERSION) ($499.00)"/>
    <s v=""/>
    <s v=""/>
    <s v="Secondary Package: Carrier Registration - Monthly ($10.00)"/>
    <s v="eLead - CW Starter - 7500 mins v2 ($424.15)"/>
    <s v=""/>
  </r>
  <r>
    <s v="Greenway - Team1One CDJR of Gadsen"/>
    <n v="118917"/>
    <n v="19804"/>
    <n v="3775.14"/>
    <n v="0"/>
    <n v="434.15"/>
    <n v="434.15"/>
    <s v="76203780"/>
    <s v="TEAM ONE CHRYSLER DODGE JEEP RAM OF GADSDEN"/>
    <m/>
    <m/>
    <m/>
    <s v="4570060"/>
    <s v="CRM OUTBOUND TELEPHONY TRACKING (NEW AND CONVERSION)"/>
    <n v="499"/>
    <n v="0.67"/>
    <n v="499.67"/>
    <n v="64.850000000000023"/>
    <n v="0.12995991983967942"/>
    <x v="17"/>
    <s v="CRM OUTBOUND TELEPHONY TRACKING (NEW AND CONVERSION) ($499.00)"/>
    <s v=""/>
    <s v=""/>
    <s v="Secondary Package: Carrier Registration - Monthly ($10.00)"/>
    <s v="eLead - CW Starter - 7500 mins v2 ($424.15)"/>
    <s v=""/>
  </r>
  <r>
    <s v="Greenway - Team1One Chevrolet of Gadsden"/>
    <n v="118916"/>
    <n v="19806"/>
    <n v="5573.17"/>
    <n v="0"/>
    <n v="434.15"/>
    <n v="434.15"/>
    <s v="76209494"/>
    <s v="TEAM ONE CHEVROLET"/>
    <m/>
    <m/>
    <m/>
    <s v="4570060"/>
    <s v="CRM OUTBOUND TELEPHONY TRACKING (NEW AND CONVERSION)"/>
    <n v="499"/>
    <n v="0"/>
    <n v="499"/>
    <n v="64.850000000000023"/>
    <n v="0.12995991983967942"/>
    <x v="17"/>
    <s v="CRM OUTBOUND TELEPHONY TRACKING (NEW AND CONVERSION) ($499.00)"/>
    <s v=""/>
    <s v=""/>
    <s v="Secondary Package: Carrier Registration - Monthly ($10.00)"/>
    <s v="eLead - CW Starter - 7500 mins v2 ($424.15)"/>
    <s v=""/>
  </r>
  <r>
    <s v="Greenway - Team1One Hyundai of Gadsden"/>
    <n v="118914"/>
    <n v="19808"/>
    <n v="2103.7600000000002"/>
    <n v="0"/>
    <n v="434.15"/>
    <n v="434.15"/>
    <s v="76209493"/>
    <s v="TEAM ONE HYUNDAI OF GADSDEN"/>
    <m/>
    <m/>
    <m/>
    <s v="4570060"/>
    <s v="CRM OUTBOUND TELEPHONY TRACKING (NEW AND CONVERSION)"/>
    <n v="499"/>
    <n v="0"/>
    <n v="499"/>
    <n v="64.850000000000023"/>
    <n v="0.12995991983967942"/>
    <x v="17"/>
    <s v="CRM OUTBOUND TELEPHONY TRACKING (NEW AND CONVERSION) ($499.00)"/>
    <s v=""/>
    <s v=""/>
    <s v="Secondary Package: Carrier Registration - Monthly ($10.00)"/>
    <s v="eLead - CW Starter - 7500 mins v2 ($424.15)"/>
    <s v=""/>
  </r>
  <r>
    <s v="Greenway - Team1One Nissan of Albertville"/>
    <n v="118918"/>
    <n v="19803"/>
    <n v="2105.1999999999998"/>
    <n v="0"/>
    <n v="434.15"/>
    <n v="434.15"/>
    <s v="76209498"/>
    <s v="TEAM ONE NISSAN OF ALBERTVILLE"/>
    <m/>
    <m/>
    <m/>
    <s v="4570060"/>
    <s v="CRM OUTBOUND TELEPHONY TRACKING (NEW AND CONVERSION)"/>
    <n v="499"/>
    <n v="0"/>
    <n v="499"/>
    <n v="64.850000000000023"/>
    <n v="0.12995991983967942"/>
    <x v="17"/>
    <s v="CRM OUTBOUND TELEPHONY TRACKING (NEW AND CONVERSION) ($499.00)"/>
    <s v=""/>
    <s v=""/>
    <s v="Secondary Package: Carrier Registration - Monthly ($10.00)"/>
    <s v="eLead - CW Starter - 7500 mins v2 ($424.15)"/>
    <s v=""/>
  </r>
  <r>
    <s v="Greenway - Team1One Toyota of Gadsden"/>
    <n v="118915"/>
    <n v="19807"/>
    <n v="7289.06"/>
    <n v="0"/>
    <n v="434.15"/>
    <n v="434.15"/>
    <s v="76209492"/>
    <s v="TEAM ONE TOYOTA OF GADSDEN"/>
    <m/>
    <m/>
    <m/>
    <s v="4570060"/>
    <s v="CRM OUTBOUND TELEPHONY TRACKING (NEW AND CONVERSION)"/>
    <n v="499"/>
    <n v="0"/>
    <n v="499"/>
    <n v="64.850000000000023"/>
    <n v="0.12995991983967942"/>
    <x v="17"/>
    <s v="CRM OUTBOUND TELEPHONY TRACKING (NEW AND CONVERSION) ($499.00)"/>
    <s v=""/>
    <s v=""/>
    <s v="Secondary Package: Carrier Registration - Monthly ($10.00)"/>
    <s v="eLead - CW Starter - 7500 mins v2 ($424.15)"/>
    <s v=""/>
  </r>
  <r>
    <s v="Greenway - University CDJR of Anniston"/>
    <n v="118909"/>
    <n v="19811"/>
    <n v="4593.3900000000003"/>
    <n v="0"/>
    <n v="434.15"/>
    <n v="434.15"/>
    <s v="76213002"/>
    <s v="GREENWAY CDJR ANNISTON"/>
    <m/>
    <m/>
    <m/>
    <s v="4570060"/>
    <s v="CRM OUTBOUND TELEPHONY TRACKING (NEW AND CONVERSION)"/>
    <n v="499"/>
    <n v="0"/>
    <n v="499"/>
    <n v="64.850000000000023"/>
    <n v="0.12995991983967942"/>
    <x v="17"/>
    <s v="CRM OUTBOUND TELEPHONY TRACKING (NEW AND CONVERSION) ($499.00)"/>
    <s v=""/>
    <s v=""/>
    <s v="Secondary Package: Carrier Registration - Monthly ($10.00)"/>
    <s v="eLead - CW Starter - 7500 mins v2 ($424.15)"/>
    <s v=""/>
  </r>
  <r>
    <s v="Greenway - University CDJR of Rome"/>
    <n v="118923"/>
    <n v="19749"/>
    <n v="4349.97"/>
    <n v="0"/>
    <n v="434.15"/>
    <n v="434.15"/>
    <s v="76212721"/>
    <s v="GREENWAY CDJR OF ROME"/>
    <m/>
    <m/>
    <m/>
    <s v="4570060"/>
    <s v="CRM OUTBOUND TELEPHONY TRACKING (NEW AND CONVERSION)"/>
    <n v="499"/>
    <n v="0"/>
    <n v="499"/>
    <n v="64.850000000000023"/>
    <n v="0.12995991983967942"/>
    <x v="17"/>
    <s v="CRM OUTBOUND TELEPHONY TRACKING (NEW AND CONVERSION) ($499.00)"/>
    <s v=""/>
    <s v=""/>
    <s v="Secondary Package: Carrier Registration - Monthly ($10.00)"/>
    <s v="eLead - CW Starter - 7500 mins v2 ($424.15)"/>
    <s v=""/>
  </r>
  <r>
    <s v="Greenway - Winter Haven Honda"/>
    <n v="118921"/>
    <n v="19748"/>
    <n v="8995.0499999999993"/>
    <n v="103.16"/>
    <n v="537.30999999999995"/>
    <n v="434.15"/>
    <s v="76212720"/>
    <s v="WINTER HAVEN HONDA"/>
    <m/>
    <m/>
    <m/>
    <s v="4570060"/>
    <s v="CRM OUTBOUND TELEPHONY TRACKING (NEW AND CONVERSION)"/>
    <n v="499"/>
    <n v="244.46"/>
    <n v="743.46"/>
    <n v="64.850000000000023"/>
    <n v="0.12995991983967942"/>
    <x v="17"/>
    <s v="CRM OUTBOUND TELEPHONY TRACKING (NEW AND CONVERSION) ($499.00)"/>
    <s v=""/>
    <s v=""/>
    <s v="Secondary Package: Carrier Registration - Monthly ($10.00)"/>
    <s v="eLead - CW Starter - 7500 mins v2 ($424.15)"/>
    <s v=""/>
  </r>
  <r>
    <s v="Hyman Bros Land Rover Richmond"/>
    <n v="142809"/>
    <n v="23503"/>
    <n v="4395.91"/>
    <n v="0"/>
    <n v="434.15"/>
    <n v="434.15"/>
    <s v="76051369"/>
    <s v="LAND ROVER JAGUAR RICHMOND"/>
    <m/>
    <m/>
    <m/>
    <s v="4570058"/>
    <s v="CARWARS STARTER 7500"/>
    <n v="499"/>
    <n v="0"/>
    <n v="499"/>
    <n v="64.850000000000023"/>
    <n v="0.12995991983967942"/>
    <x v="17"/>
    <s v="CARWARS STARTER 7500 ($499.00)"/>
    <s v=""/>
    <s v=""/>
    <s v="eLead - CW Starter - 7500 mins v2 ($424.15)"/>
    <s v="eLead - CW Starter - 7500 mins v2 ($424.15)"/>
    <s v=""/>
  </r>
  <r>
    <s v="Hyman Bros Subaru"/>
    <n v="142811"/>
    <n v="23500"/>
    <n v="505.37"/>
    <n v="0"/>
    <n v="434.15"/>
    <n v="434.15"/>
    <s v="76184866"/>
    <s v="HYMAN BROS SUBARU"/>
    <m/>
    <m/>
    <m/>
    <s v="4570058"/>
    <s v="CARWARS STARTER 7500"/>
    <n v="499"/>
    <n v="0"/>
    <n v="499"/>
    <n v="64.850000000000023"/>
    <n v="0.12995991983967942"/>
    <x v="17"/>
    <s v="CARWARS STARTER 7500 ($499.00)"/>
    <s v=""/>
    <s v=""/>
    <s v="Secondary Package: Carrier Registration - Monthly ($10.00)"/>
    <s v="eLead - CW Starter - 7500 mins v2 ($424.15)"/>
    <s v=""/>
  </r>
  <r>
    <s v="Mount Holly Nissan"/>
    <n v="159022"/>
    <n v="29348"/>
    <n v="442.87"/>
    <n v="0"/>
    <n v="434.15"/>
    <n v="434.15"/>
    <s v="76192363"/>
    <s v="MOUNT HOLLY NISSAN"/>
    <m/>
    <m/>
    <m/>
    <s v="4570058"/>
    <s v="CARWARS STARTER 7500"/>
    <n v="499"/>
    <n v="0"/>
    <n v="499"/>
    <n v="64.850000000000023"/>
    <n v="0.12995991983967942"/>
    <x v="17"/>
    <s v="CARWARS STARTER 7500 ($499.00)"/>
    <s v=""/>
    <s v=""/>
    <s v="Secondary Package: Carrier Registration - Monthly ($10.00)"/>
    <s v="eLead - CW Starter - 7500 mins v2 ($424.15)"/>
    <s v=""/>
  </r>
  <r>
    <s v="Randy Marion Ford of West Jefferson"/>
    <n v="159260"/>
    <n v="13684"/>
    <n v="3905.62"/>
    <n v="0"/>
    <n v="434.15"/>
    <n v="434.15"/>
    <s v="76234357"/>
    <s v="RANDY MARION FORD OF WEST JEFFERSON"/>
    <m/>
    <m/>
    <m/>
    <s v="4570058"/>
    <s v="CARWARS STARTER 7500"/>
    <n v="499"/>
    <n v="0"/>
    <n v="499"/>
    <n v="64.850000000000023"/>
    <n v="0.12995991983967942"/>
    <x v="17"/>
    <s v="CARWARS STARTER 7500 ($499.00)"/>
    <s v=""/>
    <s v=""/>
    <s v="Secondary Package: Carrier Registration - Monthly ($10.00)"/>
    <s v="eLead - CW Starter - 7500 mins v2 ($424.15)"/>
    <s v=""/>
  </r>
  <r>
    <s v="Woodbury Nissan"/>
    <n v="159261"/>
    <n v="29484"/>
    <n v="29.37"/>
    <n v="0"/>
    <n v="434.15"/>
    <n v="434.15"/>
    <s v="25070101"/>
    <s v="WOODBURY NISSAN, INC."/>
    <m/>
    <m/>
    <m/>
    <s v="4570058"/>
    <s v="CARWARS STARTER 7500"/>
    <n v="499"/>
    <n v="0"/>
    <n v="499"/>
    <n v="64.850000000000023"/>
    <n v="0.12995991983967942"/>
    <x v="17"/>
    <s v="CARWARS STARTER 7500 ($499.00)"/>
    <s v=""/>
    <s v=""/>
    <s v="Secondary Package: Carrier Registration - Monthly ($10.00)"/>
    <s v="eLead - CW Starter - 7500 mins v2 ($424.15)"/>
    <s v=""/>
  </r>
  <r>
    <s v="Greenway - Kia at the Avenues "/>
    <n v="156783"/>
    <n v="28998"/>
    <n v="8005.94"/>
    <n v="0"/>
    <n v="1304.1500000000001"/>
    <n v="1304.1500000000001"/>
    <s v="76238599"/>
    <s v="GREENWAY KIA AT THE AVENUES"/>
    <m/>
    <m/>
    <m/>
    <s v="4570289"/>
    <s v="CARWARS ELITE 12,500 PACKAGE"/>
    <n v="1499"/>
    <n v="0"/>
    <n v="1499"/>
    <n v="194.84999999999991"/>
    <n v="0.12998665777184784"/>
    <x v="17"/>
    <s v="CARWARS ELITE 12,500 PACKAGE ($1,499.00)"/>
    <s v=""/>
    <s v=""/>
    <s v="Secondary Package: Carrier Registration - Monthly ($10.00)"/>
    <s v="eLead - Elite Small v2 ($1,274.15)"/>
    <s v="Secondary Package: Long Term Audio Storage ($20.00)"/>
  </r>
  <r>
    <s v="Matt LaFontaine Automotive"/>
    <n v="99512"/>
    <s v="(blank)"/>
    <n v="47.66"/>
    <n v="0"/>
    <n v="254.15"/>
    <n v="254.15"/>
    <s v="76073734"/>
    <s v="MATT LAFONTAINE AUTOMOTIVE"/>
    <m/>
    <m/>
    <m/>
    <s v="4570383"/>
    <s v="EL1OUTCALLTRACK (GM IMR)"/>
    <n v="293.02"/>
    <n v="0"/>
    <n v="293.02"/>
    <n v="38.869999999999976"/>
    <n v="0.13265306122448972"/>
    <x v="17"/>
    <s v="EL1OUTCALLTRACK (GM IMR) ($293.02)"/>
    <s v=""/>
    <s v=""/>
    <s v="eLead - CW Starter - 3500 mins v2 ($254.15)"/>
    <s v=""/>
    <s v=""/>
  </r>
  <r>
    <s v="Deacon Jones CDJR of Clinton"/>
    <n v="185318"/>
    <n v="11341"/>
    <n v="2149.7800000000002"/>
    <n v="0"/>
    <n v="519.15"/>
    <n v="519.15"/>
    <s v="76246706"/>
    <s v="CLINTON AUTO, LLC DBA DEACON JONES CHRYSLER DODGE"/>
    <m/>
    <m/>
    <m/>
    <s v="4571030"/>
    <s v="CARWARS STARTER 5000"/>
    <n v="599"/>
    <n v="0"/>
    <n v="599"/>
    <n v="79.850000000000023"/>
    <n v="0.13330550918196998"/>
    <x v="17"/>
    <s v="CARWARS STARTER 5000 ($599.00)"/>
    <s v=""/>
    <s v=""/>
    <s v="Secondary Package: Carrier Registration - Monthly ($10.00)"/>
    <s v="eLead - CW Starter - 5000 mins v2 ($509.15)"/>
    <s v=""/>
  </r>
  <r>
    <s v="Deacon Jones Chevrolet GMC of Kinston"/>
    <n v="177335"/>
    <n v="29559"/>
    <n v="1685.36"/>
    <n v="0"/>
    <n v="519.15"/>
    <n v="519.15"/>
    <s v="76243351"/>
    <s v="DEACON JONES CHEVROLET GMC OF KINSTON"/>
    <m/>
    <m/>
    <m/>
    <s v="4571030"/>
    <s v="CARWARS STARTER 5000"/>
    <n v="599"/>
    <n v="0"/>
    <n v="599"/>
    <n v="79.850000000000023"/>
    <n v="0.13330550918196998"/>
    <x v="17"/>
    <s v="CARWARS STARTER 5000 ($599.00)"/>
    <s v=""/>
    <s v=""/>
    <s v="Secondary Package: Carrier Registration - Monthly ($10.00)"/>
    <s v="eLead - CW Starter - 5000 mins v2 ($509.15)"/>
    <s v=""/>
  </r>
  <r>
    <s v="Deacon Jones Ford of Clinton"/>
    <n v="185319"/>
    <n v="15443"/>
    <n v="777.31"/>
    <n v="0"/>
    <n v="519.15"/>
    <n v="519.15"/>
    <s v="76246708"/>
    <s v="CLINTON AUTOMOTIVE, LLC DBA DEACON JONES FORD OF"/>
    <m/>
    <m/>
    <m/>
    <s v="4571030"/>
    <s v="CARWARS STARTER 5000"/>
    <n v="599"/>
    <n v="0"/>
    <n v="599"/>
    <n v="79.850000000000023"/>
    <n v="0.13330550918196998"/>
    <x v="17"/>
    <s v="CARWARS STARTER 5000 ($599.00)"/>
    <s v=""/>
    <s v=""/>
    <s v="Secondary Package: Carrier Registration - Monthly ($10.00)"/>
    <s v="eLead - CW Starter - 5000 mins v2 ($509.15)"/>
    <s v=""/>
  </r>
  <r>
    <s v="Deacon Jones Ford of Kinston"/>
    <n v="177338"/>
    <n v="29561"/>
    <n v="4878.8500000000004"/>
    <n v="0"/>
    <n v="519.15"/>
    <n v="519.15"/>
    <s v="76243357"/>
    <s v="DEACON JONES FORD OF KINSTON"/>
    <m/>
    <m/>
    <m/>
    <s v="4571030"/>
    <s v="CARWARS STARTER 5000"/>
    <n v="599"/>
    <n v="110.28"/>
    <n v="709.28"/>
    <n v="79.850000000000023"/>
    <n v="0.13330550918196998"/>
    <x v="17"/>
    <s v="CARWARS STARTER 5000 ($599.00)"/>
    <s v=""/>
    <s v=""/>
    <s v="Secondary Package: Carrier Registration - Monthly ($10.00)"/>
    <s v="eLead - CW Starter - 5000 mins v2 ($509.15)"/>
    <s v=""/>
  </r>
  <r>
    <s v="HAN - Hanania CDJR of St. Augustine"/>
    <n v="186120"/>
    <n v="30092"/>
    <n v="7791.46"/>
    <n v="251.23"/>
    <n v="770.38"/>
    <n v="519.15"/>
    <s v="76250477"/>
    <s v="HANANIA CDJR OF ST. AUGUSTINE"/>
    <m/>
    <m/>
    <m/>
    <s v="4571030"/>
    <s v="CARWARS STARTER 5000"/>
    <n v="599"/>
    <n v="156.94999999999999"/>
    <n v="755.95"/>
    <n v="79.850000000000023"/>
    <n v="0.13330550918196998"/>
    <x v="17"/>
    <s v="CARWARS STARTER 5000 ($599.00)"/>
    <s v=""/>
    <s v=""/>
    <s v="Secondary Package: Carrier Registration - Monthly ($10.00)"/>
    <s v="eLead - CW Starter - 5000 mins v2 ($509.15)"/>
    <s v=""/>
  </r>
  <r>
    <s v="Randy Marion Chevrolet Buick GMC of West Jefferson"/>
    <n v="177300"/>
    <n v="18362"/>
    <n v="2789.79"/>
    <n v="0"/>
    <n v="519.15"/>
    <n v="519.15"/>
    <s v="76236892"/>
    <s v="RANDY MARION CHEVROLET BUICK GMC OF WEST JEFFERSON"/>
    <m/>
    <m/>
    <m/>
    <s v="4571030"/>
    <s v="CARWARS STARTER 5000"/>
    <n v="599"/>
    <n v="0"/>
    <n v="599"/>
    <n v="79.850000000000023"/>
    <n v="0.13330550918196998"/>
    <x v="17"/>
    <s v="CARWARS STARTER 5000 ($599.00)"/>
    <s v=""/>
    <s v=""/>
    <s v="eLead - Elite Small v2 ($1,274.15)"/>
    <s v="eLead - CW Starter - 5000 mins v2 ($509.15)"/>
    <s v=""/>
  </r>
  <r>
    <s v="Kia of San Angelo"/>
    <n v="149893"/>
    <n v="24705"/>
    <n v="8455.44"/>
    <n v="65.930000000000007"/>
    <n v="711.73"/>
    <n v="645.79999999999995"/>
    <s v="76219965"/>
    <s v="KIA OF SAN ANGELO"/>
    <m/>
    <m/>
    <m/>
    <s v="4570058"/>
    <s v="CARWARS STARTER 7500"/>
    <n v="748"/>
    <n v="73.17"/>
    <n v="821.17"/>
    <n v="102.20000000000005"/>
    <n v="0.1366310160427808"/>
    <x v="17"/>
    <s v="CARWARS STARTER 7500 ($499.00)"/>
    <s v="CARWARS TEXTING (STARTER/ADVANCED) ($249.00)"/>
    <s v=""/>
    <s v="Secondary Package: Carrier Registration - Monthly ($10.00)"/>
    <s v="eLead - CW Starter - 7500 mins v2 ($424.15)"/>
    <s v="Secondary Package: eLead - Car Wars Texting v2 ($211.65)"/>
  </r>
  <r>
    <s v="Rusty Wallace Honda"/>
    <n v="96887"/>
    <n v="5906"/>
    <n v="3078.02"/>
    <n v="0"/>
    <n v="645.79999999999995"/>
    <n v="645.79999999999995"/>
    <s v="76211997"/>
    <s v="RUSTY WALLACE HONDA"/>
    <m/>
    <m/>
    <m/>
    <s v="4570058"/>
    <s v="CARWARS STARTER 7500"/>
    <n v="748"/>
    <n v="0"/>
    <n v="748"/>
    <n v="102.20000000000005"/>
    <n v="0.1366310160427808"/>
    <x v="17"/>
    <s v="CARWARS STARTER 7500 ($499.00)"/>
    <s v="CARWARS TEXTING (STARTER/ADVANCED) ($249.00)"/>
    <s v=""/>
    <s v="Elead CW Starter 4000 v2 ($254.15)"/>
    <s v="eLead - CW Starter - 7500 mins v2 ($424.15)"/>
    <s v="Secondary Package: Exception: ELEAD Texting v2 ($211.65)"/>
  </r>
  <r>
    <s v="Holman NC - Leith Acura of Cary"/>
    <n v="61229"/>
    <n v="16394"/>
    <n v="2095.71"/>
    <n v="0"/>
    <n v="869.15"/>
    <n v="869.15"/>
    <s v="01021822"/>
    <s v="LEITH ACURA-CARY"/>
    <m/>
    <m/>
    <m/>
    <s v="4570122"/>
    <s v="CARWARS ADVANCED SALES"/>
    <n v="1009"/>
    <n v="0"/>
    <n v="1009"/>
    <n v="139.85000000000002"/>
    <n v="0.13860257680872154"/>
    <x v="17"/>
    <s v="CARWARS ADVANCED SALES ($999.00)"/>
    <s v="CARWARS INDEFINITE CALL RECORDINGS ($10.00)"/>
    <s v=""/>
    <s v="Elead CW Starter 4000 v2 ($254.15)"/>
    <s v="eLead - CW Advanced - Sales - 7500 mins v2 ($849.15)"/>
    <s v="Secondary Package: Long Term Audio Storage - $10 ($10.00)"/>
  </r>
  <r>
    <s v="Greenway - Ford KC"/>
    <n v="118906"/>
    <n v="19773"/>
    <n v="3818.54"/>
    <n v="0"/>
    <n v="859.15"/>
    <n v="859.15"/>
    <s v="76213067"/>
    <s v="GREENWAY FORD OF KANSAS CITY"/>
    <m/>
    <m/>
    <m/>
    <s v="4570122"/>
    <s v="CARWARS ADVANCED SALES"/>
    <n v="999"/>
    <n v="0"/>
    <n v="999"/>
    <n v="139.85000000000002"/>
    <n v="0.13998998998999002"/>
    <x v="17"/>
    <s v="CARWARS ADVANCED SALES ($999.00)"/>
    <s v=""/>
    <s v=""/>
    <s v="Secondary Package: Carrier Registration - Monthly ($10.00)"/>
    <s v="eLead - CW Advanced - Sales - 7500 mins v2 ($849.15)"/>
    <s v=""/>
  </r>
  <r>
    <s v="JT's AUTOLAND II"/>
    <n v="159190"/>
    <n v="28942"/>
    <n v="633.74"/>
    <n v="0"/>
    <n v="859.15"/>
    <n v="859.15"/>
    <s v="76237872"/>
    <s v="JT'S AUTOMOTIVE OF LEXINGTON LP DBA JTS AUTOLAND I"/>
    <m/>
    <m/>
    <m/>
    <s v="4570122"/>
    <s v="CARWARS ADVANCED SALES"/>
    <n v="999"/>
    <n v="0"/>
    <n v="999"/>
    <n v="139.85000000000002"/>
    <n v="0.13998998998999002"/>
    <x v="17"/>
    <s v="CARWARS ADVANCED SALES ($999.00)"/>
    <s v=""/>
    <s v=""/>
    <s v="Secondary Package: Carrier Registration - Monthly ($10.00)"/>
    <s v="eLead - CW Advanced - Sales - 7500 mins v2 ($849.15)"/>
    <s v=""/>
  </r>
  <r>
    <s v="Crescent Ford"/>
    <n v="146876"/>
    <n v="8209"/>
    <n v="7719.1"/>
    <n v="0"/>
    <n v="1029"/>
    <n v="1029"/>
    <s v="76238033"/>
    <s v="CRESCENT FORD"/>
    <m/>
    <m/>
    <m/>
    <s v="4570779"/>
    <s v="CARWARS ELITE SMALL"/>
    <n v="1199"/>
    <n v="0"/>
    <n v="1199"/>
    <n v="170"/>
    <n v="0.14178482068390325"/>
    <x v="17"/>
    <s v="CARWARS ELITE SMALL ($1,199.00)"/>
    <s v=""/>
    <s v=""/>
    <s v="Secondary Package: Carrier Registration - Monthly ($10.00)"/>
    <s v="eLead - Elite Small ($1,019.00)"/>
    <s v=""/>
  </r>
  <r>
    <s v="Haldeman Ford"/>
    <n v="90416"/>
    <n v="9103"/>
    <n v="9614.06"/>
    <n v="0"/>
    <n v="1029"/>
    <n v="1029"/>
    <s v="71061706"/>
    <s v="HALDEMAN FORD HAMILTON"/>
    <m/>
    <m/>
    <m/>
    <s v="4570779"/>
    <s v="CARWARS ELITE SMALL"/>
    <n v="1199"/>
    <n v="0"/>
    <n v="1199"/>
    <n v="170"/>
    <n v="0.14178482068390325"/>
    <x v="17"/>
    <s v="CARWARS ELITE SMALL ($1,199.00)"/>
    <s v=""/>
    <s v=""/>
    <s v="Secondary Package: Carrier Registration - Monthly ($10.00)"/>
    <s v="eLead - Elite Small ($1,019.00)"/>
    <s v=""/>
  </r>
  <r>
    <s v="Greenway - Greenway Mazda"/>
    <n v="118922"/>
    <n v="19750"/>
    <n v="11938.02"/>
    <n v="0"/>
    <n v="1284.1500000000001"/>
    <n v="1284.1500000000001"/>
    <s v="76213066"/>
    <s v="GREENWAY MAZDA"/>
    <m/>
    <m/>
    <m/>
    <s v="4570289"/>
    <s v="CARWARS ELITE 12,500 PACKAGE"/>
    <n v="1499"/>
    <n v="88.61"/>
    <n v="1587.61"/>
    <n v="214.84999999999991"/>
    <n v="0.14332888592394924"/>
    <x v="17"/>
    <s v="CARWARS ELITE 12,500 PACKAGE ($1,499.00)"/>
    <s v=""/>
    <s v=""/>
    <s v="Secondary Package: Carrier Registration - Monthly ($10.00)"/>
    <s v="eLead - Elite Small v2 ($1,274.15)"/>
    <s v=""/>
  </r>
  <r>
    <s v="Headquarter Mazda"/>
    <n v="108923"/>
    <n v="16341"/>
    <n v="7512.82"/>
    <n v="0"/>
    <n v="1284.1500000000001"/>
    <n v="1284.1500000000001"/>
    <s v="76212103"/>
    <s v="HEADQUARTER MAZDA"/>
    <m/>
    <m/>
    <m/>
    <s v="4570289"/>
    <s v="CARWARS ELITE 12,500 PACKAGE"/>
    <n v="1499"/>
    <n v="0"/>
    <n v="1499"/>
    <n v="214.84999999999991"/>
    <n v="0.14332888592394924"/>
    <x v="17"/>
    <s v="CARWARS ELITE 12,500 PACKAGE ($1,499.00)"/>
    <s v=""/>
    <s v=""/>
    <s v="Secondary Package: Carrier Registration - Monthly ($10.00)"/>
    <s v="eLead - Elite Small v2 ($1,274.15)"/>
    <s v=""/>
  </r>
  <r>
    <s v="Hertrich Nissan of Dover"/>
    <n v="59090"/>
    <n v="16303"/>
    <n v="3597.68"/>
    <n v="0"/>
    <n v="1284.1500000000001"/>
    <n v="1284.1500000000001"/>
    <s v="76212370"/>
    <s v="HERTRICH NISSAN"/>
    <m/>
    <m/>
    <m/>
    <s v="4570289"/>
    <s v="CARWARS ELITE 12,500 PACKAGE"/>
    <n v="1499"/>
    <n v="0"/>
    <n v="1499"/>
    <n v="214.84999999999991"/>
    <n v="0.14332888592394924"/>
    <x v="17"/>
    <s v="CARWARS ELITE 12,500 PACKAGE ($1,499.00)"/>
    <s v=""/>
    <s v=""/>
    <s v="Secondary Package: Carrier Registration - Monthly ($10.00)"/>
    <s v="eLead - Elite Small v2 ($1,274.15)"/>
    <s v=""/>
  </r>
  <r>
    <s v="Hertrich Nissan of Newark"/>
    <n v="154900"/>
    <n v="28187"/>
    <n v="7062.71"/>
    <n v="0"/>
    <n v="1284.1500000000001"/>
    <n v="1284.1500000000001"/>
    <s v="76234209"/>
    <s v="HERTRICH NISSAN OF NEWARK"/>
    <m/>
    <m/>
    <m/>
    <s v="4570289"/>
    <s v="CARWARS ELITE 12,500 PACKAGE"/>
    <n v="1499"/>
    <n v="0"/>
    <n v="1499"/>
    <n v="214.84999999999991"/>
    <n v="0.14332888592394924"/>
    <x v="17"/>
    <s v="CARWARS ELITE 12,500 PACKAGE ($1,499.00)"/>
    <s v=""/>
    <s v=""/>
    <s v="Secondary Package: Carrier Registration - Monthly ($10.00)"/>
    <s v="eLead - Elite Small v2 ($1,274.15)"/>
    <s v=""/>
  </r>
  <r>
    <s v="Jack Daniels Audi"/>
    <n v="122660"/>
    <s v="(blank)"/>
    <n v="5925.73"/>
    <n v="0"/>
    <n v="1284.1500000000001"/>
    <n v="1284.1500000000001"/>
    <s v="76024834"/>
    <s v="JACK DANIELS AUDI OF UPPER SADDLE RIVER"/>
    <m/>
    <m/>
    <m/>
    <s v="4570289"/>
    <s v="CARWARS ELITE 12,500 PACKAGE"/>
    <n v="1499"/>
    <n v="0"/>
    <n v="1499"/>
    <n v="214.84999999999991"/>
    <n v="0.14332888592394924"/>
    <x v="17"/>
    <s v="CARWARS ELITE 12,500 PACKAGE ($1,499.00)"/>
    <s v=""/>
    <s v=""/>
    <s v="Secondary Package: Carrier Registration - Monthly ($10.00)"/>
    <s v="eLead - Elite Small v2 ($1,274.15)"/>
    <s v=""/>
  </r>
  <r>
    <s v="Jack Daniels Audi of Paramus"/>
    <n v="122661"/>
    <s v="(blank)"/>
    <n v="5176.63"/>
    <n v="0"/>
    <n v="1284.1500000000001"/>
    <n v="1284.1500000000001"/>
    <s v="76158989"/>
    <s v="JACK DANIELS AUDI OF PARAMUS"/>
    <m/>
    <m/>
    <m/>
    <s v="4570289"/>
    <s v="CARWARS ELITE 12,500 PACKAGE"/>
    <n v="1499"/>
    <n v="0"/>
    <n v="1499"/>
    <n v="214.84999999999991"/>
    <n v="0.14332888592394924"/>
    <x v="17"/>
    <s v="CARWARS ELITE 12,500 PACKAGE ($1,499.00)"/>
    <s v=""/>
    <s v=""/>
    <s v="Secondary Package: Carrier Registration - Monthly ($10.00)"/>
    <s v="eLead - Elite Small v2 ($1,274.15)"/>
    <s v=""/>
  </r>
  <r>
    <s v="Jack Daniels KIA"/>
    <n v="122662"/>
    <s v="(blank)"/>
    <n v="7620.45"/>
    <n v="0"/>
    <n v="1284.1500000000001"/>
    <n v="1284.1500000000001"/>
    <s v="76058883"/>
    <s v="JACK DANIELS KIA"/>
    <m/>
    <m/>
    <m/>
    <s v="4570289"/>
    <s v="CARWARS ELITE 12,500 PACKAGE"/>
    <n v="1499"/>
    <n v="0"/>
    <n v="1499"/>
    <n v="214.84999999999991"/>
    <n v="0.14332888592394924"/>
    <x v="17"/>
    <s v="CARWARS ELITE 12,500 PACKAGE ($1,499.00)"/>
    <s v=""/>
    <s v=""/>
    <s v="Secondary Package: Carrier Registration - Monthly ($10.00)"/>
    <s v="eLead - Elite Small v2 ($1,274.15)"/>
    <s v=""/>
  </r>
  <r>
    <s v="Jack Daniels Porsche"/>
    <n v="122663"/>
    <s v="(blank)"/>
    <n v="1168.94"/>
    <n v="0"/>
    <n v="1284.1500000000001"/>
    <n v="1284.1500000000001"/>
    <s v="76003331"/>
    <s v="JACK DANIELS PORSCHE"/>
    <m/>
    <m/>
    <m/>
    <s v="4570289"/>
    <s v="CARWARS ELITE 12,500 PACKAGE"/>
    <n v="1499"/>
    <n v="0"/>
    <n v="1499"/>
    <n v="214.84999999999991"/>
    <n v="0.14332888592394924"/>
    <x v="17"/>
    <s v="CARWARS ELITE 12,500 PACKAGE ($1,499.00)"/>
    <s v=""/>
    <s v=""/>
    <s v="Secondary Package: Carrier Registration - Monthly ($10.00)"/>
    <s v="eLead - Elite Small v2 ($1,274.15)"/>
    <s v=""/>
  </r>
  <r>
    <s v="Jack Daniels Volkswagen"/>
    <n v="122664"/>
    <s v="(blank)"/>
    <n v="6533.87"/>
    <n v="0"/>
    <n v="1284.1500000000001"/>
    <n v="1284.1500000000001"/>
    <s v="76003345"/>
    <s v="JACK DANIELS VOLKSWAGEN"/>
    <m/>
    <m/>
    <m/>
    <s v="4570289"/>
    <s v="CARWARS ELITE 12,500 PACKAGE"/>
    <n v="1499"/>
    <n v="0"/>
    <n v="1499"/>
    <n v="214.84999999999991"/>
    <n v="0.14332888592394924"/>
    <x v="17"/>
    <s v="CARWARS ELITE 12,500 PACKAGE ($1,499.00)"/>
    <s v=""/>
    <s v=""/>
    <s v="Secondary Package: Carrier Registration - Monthly ($10.00)"/>
    <s v="eLead - Elite Small v2 ($1,274.15)"/>
    <s v=""/>
  </r>
  <r>
    <s v="Lou Sobh Volkswagen of Athens"/>
    <n v="177879"/>
    <s v="(blank)"/>
    <n v="4088.49"/>
    <n v="0"/>
    <n v="1284.1500000000001"/>
    <n v="1284.1500000000001"/>
    <s v="76243828"/>
    <s v="LOU SOBH VOLKSWAGEN OF ATHENS"/>
    <m/>
    <m/>
    <m/>
    <s v="4570289"/>
    <s v="CARWARS ELITE 12,500 PACKAGE"/>
    <n v="1499"/>
    <n v="0"/>
    <n v="1499"/>
    <n v="214.84999999999991"/>
    <n v="0.14332888592394924"/>
    <x v="17"/>
    <s v="CARWARS ELITE 12,500 PACKAGE ($1,499.00)"/>
    <s v=""/>
    <s v=""/>
    <s v="eLead - CW Starter - 7500 mins v2 ($424.15)"/>
    <s v="eLead - Elite Small v2 ($1,274.15)"/>
    <s v=""/>
  </r>
  <r>
    <s v="Malcolm Cunningham Northpoint Chevrolet"/>
    <n v="186481"/>
    <n v="76213688"/>
    <n v="8993.15"/>
    <n v="0"/>
    <n v="1284.1500000000001"/>
    <n v="1284.1500000000001"/>
    <s v="76213688"/>
    <s v="MALCOLM CUNNINGHAM CHEVROLET NORTHPOINT"/>
    <m/>
    <m/>
    <m/>
    <s v="4570289"/>
    <s v="CARWARS ELITE 12,500 PACKAGE"/>
    <n v="1499"/>
    <n v="0"/>
    <n v="1499"/>
    <n v="214.84999999999991"/>
    <n v="0.14332888592394924"/>
    <x v="17"/>
    <s v="CARWARS ELITE 12,500 PACKAGE ($1,499.00)"/>
    <s v=""/>
    <s v=""/>
    <s v="Elead Launch Phase-0 ($0.00)"/>
    <s v="eLead - Elite Small v2 ($1,274.15)"/>
    <s v=""/>
  </r>
  <r>
    <s v="Monumental Ford"/>
    <n v="159517"/>
    <n v="29204"/>
    <n v="577.61"/>
    <n v="0"/>
    <n v="1284.1500000000001"/>
    <n v="1284.1500000000001"/>
    <s v="76241289"/>
    <s v="MONUMENTAL FORD"/>
    <m/>
    <m/>
    <m/>
    <s v="4570289"/>
    <s v="CARWARS ELITE 12,500 PACKAGE"/>
    <n v="1499"/>
    <n v="0"/>
    <n v="1499"/>
    <n v="214.84999999999991"/>
    <n v="0.14332888592394924"/>
    <x v="17"/>
    <s v="CARWARS ELITE 12,500 PACKAGE ($1,499.00)"/>
    <s v=""/>
    <s v=""/>
    <s v="Secondary Package: Carrier Registration - Monthly ($10.00)"/>
    <s v="eLead - Elite Small v2 ($1,274.15)"/>
    <s v=""/>
  </r>
  <r>
    <s v="Summit Toyota of Akron"/>
    <n v="117481"/>
    <n v="19614"/>
    <n v="9646.32"/>
    <n v="0"/>
    <n v="1284.1500000000001"/>
    <n v="1284.1500000000001"/>
    <s v="76145456"/>
    <s v="SUMMIT TOYOTA OF AKRON"/>
    <m/>
    <m/>
    <m/>
    <s v="4570289"/>
    <s v="CARWARS ELITE 12,500 PACKAGE"/>
    <n v="1499"/>
    <n v="0"/>
    <n v="1499"/>
    <n v="214.84999999999991"/>
    <n v="0.14332888592394924"/>
    <x v="17"/>
    <s v="CARWARS ELITE 12,500 PACKAGE ($1,499.00)"/>
    <s v=""/>
    <s v=""/>
    <s v="Elead Launch Phase-0 ($0.00)"/>
    <s v="eLead - Elite Small v2 ($1,274.15)"/>
    <s v=""/>
  </r>
  <r>
    <s v="Tommie Vaughn Motors"/>
    <n v="135209"/>
    <n v="16847"/>
    <n v="13678.95"/>
    <n v="92.08"/>
    <n v="1376.23"/>
    <n v="1284.1500000000001"/>
    <s v="52079901"/>
    <s v="TOMMIE VAUGHN FORD"/>
    <m/>
    <m/>
    <m/>
    <s v="4570289"/>
    <s v="CARWARS ELITE 12,500 PACKAGE"/>
    <n v="1499"/>
    <n v="27.93"/>
    <n v="1526.93"/>
    <n v="214.84999999999991"/>
    <n v="0.14332888592394924"/>
    <x v="17"/>
    <s v="CARWARS ELITE 12,500 PACKAGE ($1,499.00)"/>
    <s v=""/>
    <s v=""/>
    <s v="Secondary Package: Carrier Registration - Monthly ($10.00)"/>
    <s v="eLead - Elite Small v2 ($1,274.15)"/>
    <s v=""/>
  </r>
  <r>
    <s v="Greenway - Opelika CDJR Ford"/>
    <n v="118913"/>
    <n v="19809"/>
    <n v="15565.79"/>
    <n v="239.44"/>
    <n v="1523.59"/>
    <n v="1284.1499999999999"/>
    <s v="76158992"/>
    <s v="OPELIKA FORD"/>
    <m/>
    <m/>
    <m/>
    <s v="4570289"/>
    <s v="CARWARS ELITE 12,500 PACKAGE"/>
    <n v="1499"/>
    <n v="0"/>
    <n v="1499"/>
    <n v="214.85000000000014"/>
    <n v="0.14332888592394938"/>
    <x v="17"/>
    <s v="CARWARS ELITE 12,500 PACKAGE ($1,499.00)"/>
    <s v=""/>
    <s v=""/>
    <s v="Secondary Package: Carrier Registration - Monthly ($10.00)"/>
    <s v="eLead - Elite Small v2 ($1,274.15)"/>
    <s v=""/>
  </r>
  <r>
    <s v="JT's Kia of Columbia II "/>
    <n v="159263"/>
    <n v="437779"/>
    <n v="18877.78"/>
    <n v="0"/>
    <n v="1581.65"/>
    <n v="1581.65"/>
    <s v="76242141"/>
    <s v="J.T.'S KIA OF COLUMBIA II"/>
    <m/>
    <m/>
    <m/>
    <s v="4570062"/>
    <s v="CARWARS PREMIUM SALES"/>
    <n v="1849"/>
    <n v="0"/>
    <n v="1849"/>
    <n v="267.34999999999991"/>
    <n v="0.1445916711736073"/>
    <x v="17"/>
    <s v="CARWARS PREMIUM SALES ($1,849.00)"/>
    <s v=""/>
    <s v=""/>
    <s v="Secondary Package: Carrier Registration - Monthly ($10.00)"/>
    <s v="eLead - CW Premium - Sales 50k v2 ($1,571.65)"/>
    <s v=""/>
  </r>
  <r>
    <s v="Lee Ford of Wilson"/>
    <n v="143996"/>
    <n v="19613"/>
    <n v="13428.5"/>
    <n v="0"/>
    <n v="2563.85"/>
    <n v="2563.85"/>
    <s v="76144665"/>
    <s v="LEE MOTOR COMPANY"/>
    <m/>
    <m/>
    <m/>
    <s v="4570064"/>
    <s v="CARWARS ELITE LARGE"/>
    <n v="3001"/>
    <n v="0"/>
    <n v="3001"/>
    <n v="437.15000000000009"/>
    <n v="0.1456681106297901"/>
    <x v="17"/>
    <s v="CARWARS ELITE LARGE ($2,981.00)"/>
    <s v="CARWARS INDEFINITE CALL RECORDINGS ($20.00)"/>
    <s v=""/>
    <s v="Elead CW Starter 4000 v2 ($254.15)"/>
    <s v="eLead CW Elite (Sales Service AI) v2 ($2,533.85)"/>
    <s v="Secondary Package: Long Term Audio Storage ($20.00)"/>
  </r>
  <r>
    <s v="Allan Vigil Ford Lincoln "/>
    <n v="154247"/>
    <n v="468"/>
    <n v="18325.189999999999"/>
    <n v="0"/>
    <n v="2543.85"/>
    <n v="2543.85"/>
    <s v="76025044"/>
    <s v="ALLAN VIGIL FORD"/>
    <m/>
    <m/>
    <m/>
    <s v="4570064"/>
    <s v="CARWARS ELITE LARGE"/>
    <n v="2981"/>
    <n v="0"/>
    <n v="2981"/>
    <n v="437.15000000000009"/>
    <n v="0.14664542099966457"/>
    <x v="17"/>
    <s v="CARWARS ELITE LARGE ($2,981.00)"/>
    <s v=""/>
    <s v=""/>
    <s v="Secondary Package: Carrier Registration - Monthly ($10.00)"/>
    <s v="eLead CW Elite (Sales Service AI) v2 ($2,533.85)"/>
    <s v=""/>
  </r>
  <r>
    <s v="Cloninger Ford of Hickory"/>
    <n v="108920"/>
    <n v="19322"/>
    <n v="8650.1299999999992"/>
    <n v="0"/>
    <n v="2543.85"/>
    <n v="2543.85"/>
    <s v="41741101"/>
    <s v="CLONINGER FORD OF HICKORY"/>
    <m/>
    <m/>
    <m/>
    <s v="4570064"/>
    <s v="CARWARS ELITE LARGE"/>
    <n v="2981"/>
    <n v="0"/>
    <n v="2981"/>
    <n v="437.15000000000009"/>
    <n v="0.14664542099966457"/>
    <x v="17"/>
    <s v="CARWARS ELITE LARGE ($2,981.00)"/>
    <s v=""/>
    <s v=""/>
    <s v="Secondary Package: Carrier Registration - Monthly ($10.00)"/>
    <s v="eLead CW Elite (Sales Service AI) v2 ($2,533.85)"/>
    <s v=""/>
  </r>
  <r>
    <s v="Greenway - Greenway Hyundai Orlando"/>
    <n v="84240"/>
    <s v="(blank)"/>
    <n v="21950.17"/>
    <n v="0"/>
    <n v="2543.85"/>
    <n v="2543.85"/>
    <s v="76211659"/>
    <s v="GREENWAY HYUNDAI OF ORLANDO"/>
    <m/>
    <m/>
    <m/>
    <s v="4570064"/>
    <s v="CARWARS ELITE LARGE"/>
    <n v="2981"/>
    <n v="0"/>
    <n v="2981"/>
    <n v="437.15000000000009"/>
    <n v="0.14664542099966457"/>
    <x v="17"/>
    <s v="CARWARS ELITE LARGE ($2,981.00)"/>
    <s v=""/>
    <s v=""/>
    <s v="Secondary Package: Carrier Registration - Monthly ($10.00)"/>
    <s v="eLead CW Elite (Sales Service AI) v2 ($2,533.85)"/>
    <s v=""/>
  </r>
  <r>
    <s v="Jaguar Land Rover Coral Gables "/>
    <n v="153404"/>
    <n v="27739"/>
    <n v="2190.42"/>
    <n v="0"/>
    <n v="2543.85"/>
    <n v="2543.85"/>
    <s v="76232569"/>
    <s v="JAGUAR LAND ROVER CORAL GABLES"/>
    <m/>
    <m/>
    <m/>
    <s v="4570064"/>
    <s v="CARWARS ELITE LARGE"/>
    <n v="2981"/>
    <n v="0"/>
    <n v="2981"/>
    <n v="437.15000000000009"/>
    <n v="0.14664542099966457"/>
    <x v="17"/>
    <s v="CARWARS ELITE LARGE ($2,981.00)"/>
    <s v=""/>
    <s v=""/>
    <s v="Elead CW Starter 4000 v2 ($254.15)"/>
    <s v="eLead CW Elite (Sales Service AI) v2 ($2,533.85)"/>
    <s v=""/>
  </r>
  <r>
    <s v="Zimbrick Hyundai West"/>
    <n v="56404"/>
    <n v="15949"/>
    <n v="1336.39"/>
    <n v="0"/>
    <n v="1029"/>
    <n v="1029"/>
    <s v="76066626"/>
    <s v="ZIMBRICK HYUNDAI WEST"/>
    <m/>
    <m/>
    <m/>
    <s v="4570779"/>
    <s v="CARWARS ELITE SMALL"/>
    <n v="1209"/>
    <n v="0"/>
    <n v="1209"/>
    <n v="180"/>
    <n v="0.14888337468982629"/>
    <x v="17"/>
    <s v="CARWARS ELITE SMALL ($1,199.00)"/>
    <s v="CARWARS CARRIER REGISTRATION ($10.00)"/>
    <s v=""/>
    <s v="Elead CW Starter 4000 v2 ($254.15)"/>
    <s v="eLead - Elite Small ($1,019.00)"/>
    <s v=""/>
  </r>
  <r>
    <s v="Bob Bell Nissan"/>
    <n v="90311"/>
    <n v="18246"/>
    <n v="5375.75"/>
    <n v="33.82"/>
    <n v="542.97"/>
    <n v="509.15000000000003"/>
    <s v="91080015"/>
    <s v="BOB BELL NISSAN"/>
    <m/>
    <m/>
    <m/>
    <s v="4571030"/>
    <s v="CARWARS STARTER 5000"/>
    <n v="599"/>
    <n v="75.02"/>
    <n v="674.02"/>
    <n v="89.849999999999966"/>
    <n v="0.14999999999999994"/>
    <x v="17"/>
    <s v="CARWARS STARTER 5000 ($599.00)"/>
    <s v=""/>
    <s v=""/>
    <s v="Secondary Package: Carrier Registration - Monthly ($10.00)"/>
    <s v=""/>
    <s v=""/>
  </r>
  <r>
    <s v="Lodi Toyota"/>
    <n v="154308"/>
    <n v="10632"/>
    <n v="8722.3799999999992"/>
    <n v="0"/>
    <n v="1274.1500000000001"/>
    <n v="1274.1500000000001"/>
    <s v="76233858"/>
    <s v="LODI TOYOTA"/>
    <m/>
    <m/>
    <m/>
    <s v="4570289"/>
    <s v="CARWARS ELITE 12,500 PACKAGE"/>
    <n v="1499"/>
    <n v="0"/>
    <n v="1499"/>
    <n v="224.84999999999991"/>
    <n v="0.14999999999999994"/>
    <x v="17"/>
    <s v="CARWARS ELITE 12,500 PACKAGE ($1,499.00)"/>
    <s v=""/>
    <s v=""/>
    <s v="Secondary Package: Carrier Registration - Monthly ($10.00)"/>
    <s v=""/>
    <s v=""/>
  </r>
  <r>
    <s v="Rafferty Subaru"/>
    <n v="135471"/>
    <n v="20693"/>
    <n v="7757.61"/>
    <n v="0"/>
    <n v="1274.1500000000001"/>
    <n v="1274.1500000000001"/>
    <s v="76037927"/>
    <s v="RAFFERTY SUBARU"/>
    <m/>
    <m/>
    <m/>
    <s v="4570289"/>
    <s v="CARWARS ELITE 12,500 PACKAGE"/>
    <n v="1499"/>
    <n v="0"/>
    <n v="1499"/>
    <n v="224.84999999999991"/>
    <n v="0.14999999999999994"/>
    <x v="17"/>
    <s v="CARWARS ELITE 12,500 PACKAGE ($1,499.00)"/>
    <s v=""/>
    <s v=""/>
    <s v="Secondary Package: Carrier Registration - Monthly ($10.00)"/>
    <s v=""/>
    <s v=""/>
  </r>
  <r>
    <s v="Berglund Toyota"/>
    <n v="96547"/>
    <n v="7862"/>
    <n v="2965.1"/>
    <n v="0"/>
    <n v="1571.65"/>
    <n v="1571.65"/>
    <s v="76030502"/>
    <s v="BERGLUND TOYOTA"/>
    <m/>
    <m/>
    <m/>
    <s v="4570062"/>
    <s v="CARWARS PREMIUM SALES"/>
    <n v="1849"/>
    <n v="0"/>
    <n v="1849"/>
    <n v="277.34999999999991"/>
    <n v="0.14999999999999994"/>
    <x v="17"/>
    <s v="CARWARS PREMIUM SALES ($1,849.00)"/>
    <s v=""/>
    <s v=""/>
    <s v="Elead CW Unlimited  v2 ($1,571.65)"/>
    <s v=""/>
    <s v=""/>
  </r>
  <r>
    <s v="ALBRECHT - INFINITI OF NORWOOD "/>
    <n v="62658"/>
    <n v="16613"/>
    <n v="1890.85"/>
    <n v="0"/>
    <n v="254.15"/>
    <n v="254.15"/>
    <s v="76029030"/>
    <s v="INFINITI OF NORWOOD"/>
    <m/>
    <m/>
    <m/>
    <s v="4570009"/>
    <s v="CARWARS STARTER 3500"/>
    <n v="299"/>
    <n v="0"/>
    <n v="299"/>
    <n v="44.849999999999994"/>
    <n v="0.15"/>
    <x v="17"/>
    <s v="CARWARS STARTER 3500 ($299.00)"/>
    <s v=""/>
    <s v=""/>
    <s v="Elead Launch Phase-0 ($0.00)"/>
    <s v=""/>
    <s v=""/>
  </r>
  <r>
    <s v="Trotter Ford Lincoln"/>
    <n v="142302"/>
    <n v="11013"/>
    <n v="8.99"/>
    <n v="0"/>
    <n v="254.15"/>
    <n v="254.15"/>
    <s v="76210975"/>
    <s v="TROTTER FORD LINCOLN"/>
    <m/>
    <m/>
    <m/>
    <s v="4570009"/>
    <s v="CARWARS STARTER 3500"/>
    <n v="299"/>
    <n v="0"/>
    <n v="299"/>
    <n v="44.849999999999994"/>
    <n v="0.15"/>
    <x v="17"/>
    <s v="CARWARS STARTER 3500 ($299.00)"/>
    <s v=""/>
    <s v=""/>
    <s v="Secondary Package: Carrier Registration - Monthly ($10.00)"/>
    <s v=""/>
    <s v=""/>
  </r>
  <r>
    <s v="Keffer - Elevation Chevrolet Buick GMC"/>
    <n v="159539"/>
    <n v="29582"/>
    <n v="3026.4"/>
    <n v="0"/>
    <n v="424.15"/>
    <n v="424.15"/>
    <s v="76243652"/>
    <s v="ELEVATION CHEVROLET BUICK GMC"/>
    <m/>
    <m/>
    <m/>
    <s v="4570058"/>
    <s v="CARWARS STARTER 7500"/>
    <n v="499"/>
    <n v="0"/>
    <n v="499"/>
    <n v="74.850000000000023"/>
    <n v="0.15000000000000005"/>
    <x v="17"/>
    <s v="CARWARS STARTER 7500 ($499.00)"/>
    <s v=""/>
    <s v=""/>
    <s v="Secondary Package: Carrier Registration - Monthly ($10.00)"/>
    <s v=""/>
    <s v=""/>
  </r>
  <r>
    <s v="Wilkie Lexus"/>
    <n v="61931"/>
    <n v="16192"/>
    <n v="2437.1999999999998"/>
    <n v="0"/>
    <n v="424.15"/>
    <n v="424.15"/>
    <s v="71046613"/>
    <s v="WILKIE LEXUS"/>
    <m/>
    <m/>
    <m/>
    <s v="4570058"/>
    <s v="CARWARS STARTER 7500"/>
    <n v="499"/>
    <n v="0"/>
    <n v="499"/>
    <n v="74.850000000000023"/>
    <n v="0.15000000000000005"/>
    <x v="17"/>
    <s v="CARWARS STARTER 7500 ($499.00)"/>
    <s v=""/>
    <s v=""/>
    <s v="Secondary Package: Carrier Registration - Monthly ($10.00)"/>
    <s v=""/>
    <s v=""/>
  </r>
  <r>
    <s v="Car Town Hyundai"/>
    <n v="144287"/>
    <n v="24709"/>
    <n v="746.64"/>
    <n v="0"/>
    <n v="509.15"/>
    <n v="509.15"/>
    <s v="76179715"/>
    <s v="CAR TOWN HYUNDAI"/>
    <m/>
    <m/>
    <m/>
    <s v="4571030"/>
    <s v="CARWARS STARTER 5000"/>
    <n v="599"/>
    <n v="0"/>
    <n v="599"/>
    <n v="89.850000000000023"/>
    <n v="0.15000000000000005"/>
    <x v="17"/>
    <s v="CARWARS STARTER 5000 ($599.00)"/>
    <s v=""/>
    <s v=""/>
    <s v="Elead CW 8000 ($710.00)"/>
    <s v=""/>
    <s v=""/>
  </r>
  <r>
    <s v="Harold Ford"/>
    <n v="139216"/>
    <n v="5118"/>
    <n v="491.1"/>
    <n v="0"/>
    <n v="509.15"/>
    <n v="509.15"/>
    <s v="76236371"/>
    <s v="HAROLD FORD"/>
    <m/>
    <m/>
    <m/>
    <s v="4571030"/>
    <s v="CARWARS STARTER 5000"/>
    <n v="599"/>
    <n v="0"/>
    <n v="599"/>
    <n v="89.850000000000023"/>
    <n v="0.15000000000000005"/>
    <x v="17"/>
    <s v="CARWARS STARTER 5000 ($599.00)"/>
    <s v=""/>
    <s v=""/>
    <s v="Secondary Package: Long Term Audio Storage ($20.00)"/>
    <s v=""/>
    <s v=""/>
  </r>
  <r>
    <s v="Holman NC - Leith Autopark Honda"/>
    <n v="58252"/>
    <n v="16165"/>
    <n v="14578.12"/>
    <n v="0"/>
    <n v="1581.65"/>
    <n v="1581.65"/>
    <s v="01021835"/>
    <s v="AUTOPARK HONDA"/>
    <m/>
    <m/>
    <m/>
    <s v="4570062"/>
    <s v="CARWARS PREMIUM SALES"/>
    <n v="1869"/>
    <n v="0"/>
    <n v="1869"/>
    <n v="287.34999999999991"/>
    <n v="0.15374531835205987"/>
    <x v="17"/>
    <s v="CARWARS PREMIUM SALES ($1,849.00)"/>
    <s v="CARWARS INDEFINITE CALL RECORDINGS ($20.00)"/>
    <s v=""/>
    <s v="Secondary Package: Carrier Registration - Monthly ($10.00)"/>
    <s v="eLead - CW Premium - Sales 50k v2 ($1,571.65)"/>
    <s v=""/>
  </r>
  <r>
    <s v="Holman NC - Leith Toyota"/>
    <n v="58248"/>
    <n v="16163"/>
    <n v="30481.3"/>
    <n v="0"/>
    <n v="1581.65"/>
    <n v="1581.65"/>
    <s v="71063916"/>
    <s v="LEITH TOYOTA"/>
    <m/>
    <m/>
    <m/>
    <s v="4570062"/>
    <s v="CARWARS PREMIUM SALES"/>
    <n v="1869"/>
    <n v="0"/>
    <n v="1869"/>
    <n v="287.34999999999991"/>
    <n v="0.15374531835205987"/>
    <x v="17"/>
    <s v="CARWARS PREMIUM SALES ($1,849.00)"/>
    <s v="CARWARS INDEFINITE CALL RECORDINGS ($20.00)"/>
    <s v=""/>
    <s v="Secondary Package: Carrier Registration - Monthly ($10.00)"/>
    <s v="eLead - CW Premium - Sales 50k v2 ($1,571.65)"/>
    <s v=""/>
  </r>
  <r>
    <s v="Zimbrick Acura"/>
    <n v="56401"/>
    <n v="15949"/>
    <n v="223.34"/>
    <n v="0"/>
    <n v="1019"/>
    <n v="1019"/>
    <s v="76066633"/>
    <s v="ZIMBRICK MIDDLETON ACURA"/>
    <m/>
    <m/>
    <m/>
    <s v="4570779"/>
    <s v="CARWARS ELITE SMALL"/>
    <n v="1209"/>
    <n v="0"/>
    <n v="1209"/>
    <n v="190"/>
    <n v="0.15715467328370555"/>
    <x v="17"/>
    <s v="CARWARS ELITE SMALL ($1,199.00)"/>
    <s v="CARWARS CARRIER REGISTRATION ($10.00)"/>
    <s v=""/>
    <s v="Elead CW Starter 4000 v2 ($254.15)"/>
    <s v=""/>
    <s v=""/>
  </r>
  <r>
    <s v="Zimbrick Honda"/>
    <n v="57772"/>
    <n v="15949"/>
    <n v="2029.32"/>
    <n v="0"/>
    <n v="1019"/>
    <n v="1019"/>
    <s v="76066622"/>
    <s v="ZIMBRICK HONDA"/>
    <m/>
    <m/>
    <m/>
    <s v="4570779"/>
    <s v="CARWARS ELITE SMALL"/>
    <n v="1209"/>
    <n v="0"/>
    <n v="1209"/>
    <n v="190"/>
    <n v="0.15715467328370555"/>
    <x v="17"/>
    <s v="CARWARS ELITE SMALL ($1,199.00)"/>
    <s v="CARWARS CARRIER REGISTRATION ($10.00)"/>
    <s v=""/>
    <s v="Elead CW Starter 4000 v2 ($254.15)"/>
    <s v=""/>
    <s v=""/>
  </r>
  <r>
    <s v="Zimbrick Infiniti"/>
    <n v="57771"/>
    <n v="15949"/>
    <n v="158.02000000000001"/>
    <n v="0"/>
    <n v="1019"/>
    <n v="1019"/>
    <s v="76066638"/>
    <s v="ZIMBRICK INFINITI"/>
    <m/>
    <m/>
    <m/>
    <s v="4570779"/>
    <s v="CARWARS ELITE SMALL"/>
    <n v="1209"/>
    <n v="0"/>
    <n v="1209"/>
    <n v="190"/>
    <n v="0.15715467328370555"/>
    <x v="17"/>
    <s v="CARWARS ELITE SMALL ($1,199.00)"/>
    <s v="CARWARS CARRIER REGISTRATION ($10.00)"/>
    <s v=""/>
    <s v="Secondary Package: Carrier Registration - Monthly ($10.00)"/>
    <s v=""/>
    <s v=""/>
  </r>
  <r>
    <s v="Elder Jaguar Land Rover Lakeside"/>
    <n v="135211"/>
    <n v="15308"/>
    <n v="9606.64"/>
    <n v="414.6"/>
    <n v="933.75"/>
    <n v="519.15"/>
    <s v="76031247"/>
    <s v="JAGUAR LAND ROVER LAKESIDE"/>
    <m/>
    <m/>
    <m/>
    <s v="4570129"/>
    <s v="CARWARS INDEFINITE CALL RECORDINGS"/>
    <n v="619"/>
    <n v="642.6"/>
    <n v="1261.5999999999999"/>
    <n v="99.850000000000023"/>
    <n v="0.16130856219709211"/>
    <x v="17"/>
    <s v="CARWARS INDEFINITE CALL RECORDINGS ($20.00)"/>
    <s v="CARWARS STARTER 5000 ($599.00)"/>
    <s v=""/>
    <s v="Secondary Package: Carrier Registration - Monthly ($10.00)"/>
    <s v="eLead - CW Starter - 5000 mins v2 ($509.15)"/>
    <s v=""/>
  </r>
  <r>
    <s v="Arrive n Drive"/>
    <n v="187858"/>
    <n v="30006"/>
    <n v="3126.83"/>
    <n v="0"/>
    <n v="509.15"/>
    <n v="509.15"/>
    <s v="76246712"/>
    <s v="ARRIVE N DRIVE"/>
    <m/>
    <m/>
    <m/>
    <s v="4570783"/>
    <s v="CARWARS CARRIER REGISTRATION"/>
    <n v="609"/>
    <n v="0"/>
    <n v="609"/>
    <n v="99.850000000000023"/>
    <n v="0.16395730706075537"/>
    <x v="17"/>
    <s v="CARWARS CARRIER REGISTRATION ($10.00)"/>
    <s v="CARWARS STARTER 5000 ($599.00)"/>
    <s v=""/>
    <s v="Secondary Package: Carrier Registration - Monthly ($10.00)"/>
    <s v=""/>
    <s v=""/>
  </r>
  <r>
    <s v="Elder Hyundai"/>
    <n v="132558"/>
    <n v="16879"/>
    <n v="8645.8700000000008"/>
    <n v="328.13"/>
    <n v="1058.93"/>
    <n v="730.80000000000007"/>
    <s v="76193819"/>
    <s v="ELDER AUTOMOTIVE GROUP LLC"/>
    <m/>
    <m/>
    <m/>
    <s v="4570060"/>
    <s v="CRM OUTBOUND TELEPHONY TRACKING (NEW AND CONVERSION)"/>
    <n v="880.45"/>
    <n v="386.49"/>
    <n v="1266.94"/>
    <n v="149.64999999999998"/>
    <n v="0.16996990175478446"/>
    <x v="17"/>
    <s v="CRM OUTBOUND TELEPHONY TRACKING (NEW AND CONVERSION) ($261.45)"/>
    <s v="CARWARS INDEFINITE CALL RECORDINGS ($20.00)"/>
    <s v="CARWARS STARTER 5000 ($599.00)"/>
    <s v="Secondary Package: Carrier Registration - Monthly ($10.00)"/>
    <s v="eLead - CW Starter - 5000 mins v2 ($509.15)"/>
    <s v="Secondary Package: eLead - Car Wars Texting v2 ($211.65)"/>
  </r>
  <r>
    <s v="CarHeroes USA Tampa"/>
    <n v="156703"/>
    <n v="29023"/>
    <n v="4685.8599999999997"/>
    <n v="81.819999999999993"/>
    <n v="345.97"/>
    <n v="264.15000000000003"/>
    <s v="76240063"/>
    <s v="CARHEROES USA, LLC"/>
    <m/>
    <m/>
    <m/>
    <s v="4570009"/>
    <s v="CARWARS STARTER 3500"/>
    <n v="319"/>
    <n v="55.34"/>
    <n v="374.34000000000003"/>
    <n v="54.849999999999966"/>
    <n v="0.17194357366771149"/>
    <x v="17"/>
    <s v="CARWARS STARTER 3500 ($319.00)"/>
    <s v=""/>
    <s v=""/>
    <s v="Secondary Package: Carrier Registration - Monthly ($10.00)"/>
    <s v="eLead - CW Starter - 3500 mins v2 ($254.15)"/>
    <s v=""/>
  </r>
  <r>
    <s v="Peachtree Mitsubishi "/>
    <n v="158051"/>
    <n v="29006"/>
    <n v="5113.42"/>
    <n v="111.33"/>
    <n v="375.48"/>
    <n v="264.15000000000003"/>
    <s v="76238610"/>
    <s v="PEACHTREE MITSUBISHI"/>
    <m/>
    <m/>
    <m/>
    <s v="4570009"/>
    <s v="CARWARS STARTER 3500"/>
    <n v="319"/>
    <n v="0"/>
    <n v="319"/>
    <n v="54.849999999999966"/>
    <n v="0.17194357366771149"/>
    <x v="17"/>
    <s v="CARWARS STARTER 3500 ($319.00)"/>
    <s v=""/>
    <s v=""/>
    <s v="Elead Launch Phase-0 ($0.00)"/>
    <s v="eLead - CW Starter - 3500 mins v2 ($254.15)"/>
    <s v=""/>
  </r>
  <r>
    <s v="CarHeroes USA"/>
    <n v="141461"/>
    <n v="22159"/>
    <n v="6171.14"/>
    <n v="184.31"/>
    <n v="448.46"/>
    <n v="264.14999999999998"/>
    <s v="76213700"/>
    <s v="CARHEROES"/>
    <m/>
    <m/>
    <m/>
    <s v="4570009"/>
    <s v="CARWARS STARTER 3500"/>
    <n v="319"/>
    <n v="253.59"/>
    <n v="572.59"/>
    <n v="54.850000000000023"/>
    <n v="0.17194357366771168"/>
    <x v="17"/>
    <s v="CARWARS STARTER 3500 ($319.00)"/>
    <s v=""/>
    <s v=""/>
    <s v="eLead - CW Starter - 5000 mins v2 ($509.15)"/>
    <s v="eLead - CW Starter - 3500 mins v2 ($254.15)"/>
    <s v=""/>
  </r>
  <r>
    <s v="Cavalier Ford at Chesapeake Square"/>
    <n v="74078"/>
    <n v="5068"/>
    <n v="4458.1899999999996"/>
    <n v="31.62"/>
    <n v="295.77"/>
    <n v="264.14999999999998"/>
    <s v="76020588"/>
    <s v="CAVALIER FORD AT CHESAPEAKE SQUARE"/>
    <m/>
    <m/>
    <m/>
    <s v="4570009"/>
    <s v="CARWARS STARTER 3500"/>
    <n v="319"/>
    <n v="65.88"/>
    <n v="384.88"/>
    <n v="54.850000000000023"/>
    <n v="0.17194357366771168"/>
    <x v="17"/>
    <s v="CARWARS STARTER 3500 ($319.00)"/>
    <s v=""/>
    <s v=""/>
    <s v="Secondary Package: Carrier Registration - Monthly ($10.00)"/>
    <s v="Elead CW Starter 4000 v2 ($254.15)"/>
    <s v=""/>
  </r>
  <r>
    <s v="Hertrich Infiniti of Newark"/>
    <n v="154901"/>
    <n v="28188"/>
    <n v="1211"/>
    <n v="0"/>
    <n v="264.14999999999998"/>
    <n v="264.14999999999998"/>
    <s v="76234211"/>
    <s v="HERTRICH INFINITI OF NEWARK"/>
    <m/>
    <m/>
    <m/>
    <s v="4570009"/>
    <s v="CARWARS STARTER 3500"/>
    <n v="319"/>
    <n v="0"/>
    <n v="319"/>
    <n v="54.850000000000023"/>
    <n v="0.17194357366771168"/>
    <x v="17"/>
    <s v="CARWARS STARTER 3500 ($319.00)"/>
    <s v=""/>
    <s v=""/>
    <s v="Void / $0 ($0.00)"/>
    <s v="eLead - CW Starter - 3500 mins v2 ($254.15)"/>
    <s v=""/>
  </r>
  <r>
    <s v="Med Center Mazda"/>
    <n v="154791"/>
    <n v="28325"/>
    <n v="119.95"/>
    <n v="0"/>
    <n v="264.14999999999998"/>
    <n v="264.14999999999998"/>
    <s v="76235054"/>
    <s v="MED CENTER MAZDA"/>
    <m/>
    <m/>
    <m/>
    <s v="4570009"/>
    <s v="CARWARS STARTER 3500"/>
    <n v="319"/>
    <n v="0"/>
    <n v="319"/>
    <n v="54.850000000000023"/>
    <n v="0.17194357366771168"/>
    <x v="17"/>
    <s v="CARWARS STARTER 3500 ($319.00)"/>
    <s v=""/>
    <s v=""/>
    <s v="Secondary Package: Carrier Registration - Monthly ($10.00)"/>
    <s v="eLead - CW Starter - 3500 mins v2 ($254.15)"/>
    <s v=""/>
  </r>
  <r>
    <s v="Montgomeryville Mitsubishi"/>
    <n v="158059"/>
    <n v="29095"/>
    <n v="326.5"/>
    <n v="0"/>
    <n v="264.14999999999998"/>
    <n v="264.14999999999998"/>
    <s v="76240124"/>
    <s v="MONTGOMERYVILLE MITSUBISHI"/>
    <m/>
    <m/>
    <m/>
    <s v="4570009"/>
    <s v="CARWARS STARTER 3500"/>
    <n v="319"/>
    <n v="0"/>
    <n v="319"/>
    <n v="54.850000000000023"/>
    <n v="0.17194357366771168"/>
    <x v="17"/>
    <s v="CARWARS STARTER 3500 ($319.00)"/>
    <s v=""/>
    <s v=""/>
    <s v="Secondary Package: Carrier Registration - Monthly ($10.00)"/>
    <s v="eLead - CW Starter - 3500 mins v2 ($254.15)"/>
    <s v=""/>
  </r>
  <r>
    <s v="T C Powersports"/>
    <n v="160092"/>
    <n v="29628"/>
    <n v="97.64"/>
    <n v="0"/>
    <n v="264.14999999999998"/>
    <n v="264.14999999999998"/>
    <s v="76241993"/>
    <s v="TC POWERSPORTS"/>
    <m/>
    <m/>
    <m/>
    <s v="4570009"/>
    <s v="CARWARS STARTER 3500"/>
    <n v="319"/>
    <n v="0"/>
    <n v="319"/>
    <n v="54.850000000000023"/>
    <n v="0.17194357366771168"/>
    <x v="17"/>
    <s v="CARWARS STARTER 3500 ($319.00)"/>
    <s v=""/>
    <s v=""/>
    <s v="eLead - CW Starter - 7500 mins v2 ($424.15)"/>
    <s v="eLead - CW Starter - 3500 mins v2 ($254.15)"/>
    <s v=""/>
  </r>
  <r>
    <s v="Tecumseh Harley-Davidson"/>
    <n v="160095"/>
    <n v="29629"/>
    <n v="25.31"/>
    <n v="0"/>
    <n v="264.14999999999998"/>
    <n v="264.14999999999998"/>
    <s v="76241994"/>
    <s v="TECUMSEH HARLEY-DAVIDSON"/>
    <m/>
    <m/>
    <m/>
    <s v="4570009"/>
    <s v="CARWARS STARTER 3500"/>
    <n v="319"/>
    <n v="0"/>
    <n v="319"/>
    <n v="54.850000000000023"/>
    <n v="0.17194357366771168"/>
    <x v="17"/>
    <s v="CARWARS STARTER 3500 ($319.00)"/>
    <s v=""/>
    <s v=""/>
    <s v="Secondary Package: Carrier Registration - Monthly ($10.00)"/>
    <s v="eLead - CW Starter - 3500 mins v2 ($254.15)"/>
    <s v=""/>
  </r>
  <r>
    <s v="Town and Country Sports Center"/>
    <n v="160126"/>
    <n v="29626"/>
    <n v="435.58"/>
    <n v="0"/>
    <n v="264.14999999999998"/>
    <n v="264.14999999999998"/>
    <s v="76241995"/>
    <s v="TOWN AND COUNTRY SPORTS CENTER"/>
    <m/>
    <m/>
    <m/>
    <s v="4570009"/>
    <s v="CARWARS STARTER 3500"/>
    <n v="319"/>
    <n v="0"/>
    <n v="319"/>
    <n v="54.850000000000023"/>
    <n v="0.17194357366771168"/>
    <x v="17"/>
    <s v="CARWARS STARTER 3500 ($319.00)"/>
    <s v=""/>
    <s v=""/>
    <s v="Secondary Package: Carrier Registration - Monthly ($10.00)"/>
    <s v="eLead - CW Starter - 3500 mins v2 ($254.15)"/>
    <s v=""/>
  </r>
  <r>
    <s v="Gunter CDJR of Martinsville"/>
    <n v="119596"/>
    <n v="19976"/>
    <n v="507.2"/>
    <n v="0"/>
    <n v="849.15"/>
    <n v="849.15"/>
    <s v="76210932"/>
    <s v="GUNTER CDJR OF MARTINSVILLE"/>
    <m/>
    <m/>
    <m/>
    <s v="4570060"/>
    <s v="CRM OUTBOUND TELEPHONY TRACKING (NEW AND CONVERSION)"/>
    <n v="1028.97"/>
    <n v="0"/>
    <n v="1028.97"/>
    <n v="179.82000000000005"/>
    <n v="0.17475728155339809"/>
    <x v="17"/>
    <s v="CRM OUTBOUND TELEPHONY TRACKING (NEW AND CONVERSION) ($1,028.97)"/>
    <s v=""/>
    <s v=""/>
    <s v="Secondary Package: Carrier Registration - Monthly ($10.00)"/>
    <s v=""/>
    <s v=""/>
  </r>
  <r>
    <s v="Gunter Nissan of Martinsville"/>
    <n v="119126"/>
    <n v="19975"/>
    <n v="751.96"/>
    <n v="0"/>
    <n v="849.15"/>
    <n v="849.15"/>
    <s v="76214865"/>
    <s v="GUNTER NISSAN OF MARTINSVILLE"/>
    <m/>
    <m/>
    <m/>
    <s v="4570060"/>
    <s v="CRM OUTBOUND TELEPHONY TRACKING (NEW AND CONVERSION)"/>
    <n v="1028.97"/>
    <n v="0"/>
    <n v="1028.97"/>
    <n v="179.82000000000005"/>
    <n v="0.17475728155339809"/>
    <x v="17"/>
    <s v="CRM OUTBOUND TELEPHONY TRACKING (NEW AND CONVERSION) ($1,028.97)"/>
    <s v=""/>
    <s v=""/>
    <s v="eLead - CW Advanced - Sales - 7500 mins v2 ($849.15)"/>
    <s v=""/>
    <s v=""/>
  </r>
  <r>
    <s v="Coconut Point Ford"/>
    <n v="156745"/>
    <n v="3869"/>
    <n v="3911.88"/>
    <n v="0"/>
    <n v="434.15"/>
    <n v="434.15"/>
    <s v="76212374"/>
    <s v="COCONUT POINT FORD"/>
    <m/>
    <m/>
    <m/>
    <s v="4570058"/>
    <s v="CARWARS STARTER 7500"/>
    <n v="528.64"/>
    <n v="0"/>
    <n v="528.64"/>
    <n v="94.490000000000009"/>
    <n v="0.17874167675544797"/>
    <x v="17"/>
    <s v="CARWARS STARTER 7500 ($528.64)"/>
    <s v=""/>
    <s v=""/>
    <s v="Secondary Package: Carrier Registration - Monthly ($10.00)"/>
    <s v="eLead - CW Starter - 7500 mins v2 ($424.15)"/>
    <s v=""/>
  </r>
  <r>
    <s v="Deacon Jones Chevrolet of La Grange"/>
    <n v="149415"/>
    <n v="26928"/>
    <n v="875.39"/>
    <n v="0"/>
    <n v="434.15"/>
    <n v="434.15"/>
    <s v="76228615"/>
    <s v="DEACON JONES CHEVROLET OF LA GRANGE"/>
    <m/>
    <m/>
    <m/>
    <s v="4570058"/>
    <s v="CARWARS STARTER 7500"/>
    <n v="528.64"/>
    <n v="0"/>
    <n v="528.64"/>
    <n v="94.490000000000009"/>
    <n v="0.17874167675544797"/>
    <x v="17"/>
    <s v="CARWARS STARTER 7500 ($528.64)"/>
    <s v=""/>
    <s v=""/>
    <s v="Secondary Package: Carrier Registration - Monthly ($10.00)"/>
    <s v="eLead - CW Starter - 7500 mins v2 ($424.15)"/>
    <s v=""/>
  </r>
  <r>
    <s v="Deacon Jones Chrysler Jeep Dodge Ram"/>
    <n v="149418"/>
    <n v="26929"/>
    <n v="3174.74"/>
    <n v="0"/>
    <n v="434.15"/>
    <n v="434.15"/>
    <s v="76228616"/>
    <s v="DEACON JONES CHRYSLER DODGE JEEP RAM"/>
    <m/>
    <m/>
    <m/>
    <s v="4570058"/>
    <s v="CARWARS STARTER 7500"/>
    <n v="528.64"/>
    <n v="0"/>
    <n v="528.64"/>
    <n v="94.490000000000009"/>
    <n v="0.17874167675544797"/>
    <x v="17"/>
    <s v="CARWARS STARTER 7500 ($528.64)"/>
    <s v=""/>
    <s v=""/>
    <s v="Secondary Package: Carrier Registration - Monthly ($10.00)"/>
    <s v="eLead - CW Starter - 7500 mins v2 ($424.15)"/>
    <s v=""/>
  </r>
  <r>
    <s v="Phantom Harley-Davidson"/>
    <n v="149327"/>
    <n v="26937"/>
    <n v="627.71"/>
    <n v="0"/>
    <n v="434.15"/>
    <n v="434.15"/>
    <s v="76229519"/>
    <s v="PHANTOM HARLEY-DAVIDSON"/>
    <m/>
    <m/>
    <m/>
    <s v="4570058"/>
    <s v="CARWARS STARTER 7500"/>
    <n v="528.64"/>
    <n v="0"/>
    <n v="528.64"/>
    <n v="94.490000000000009"/>
    <n v="0.17874167675544797"/>
    <x v="17"/>
    <s v="CARWARS STARTER 7500 ($528.64)"/>
    <s v=""/>
    <s v=""/>
    <s v="Secondary Package: Carrier Registration - Monthly ($10.00)"/>
    <s v="eLead - CW Starter - 7500 mins v2 ($424.15)"/>
    <s v=""/>
  </r>
  <r>
    <s v="Plaza Cadillac"/>
    <n v="153596"/>
    <n v="18928"/>
    <n v="383.62"/>
    <n v="0"/>
    <n v="434.15"/>
    <n v="434.15"/>
    <s v="76211838"/>
    <s v="PLAZA CADILLAC"/>
    <m/>
    <m/>
    <m/>
    <s v="4570058"/>
    <s v="CARWARS STARTER 7500"/>
    <n v="528.64"/>
    <n v="0"/>
    <n v="528.64"/>
    <n v="94.490000000000009"/>
    <n v="0.17874167675544797"/>
    <x v="17"/>
    <s v="CARWARS STARTER 7500 ($528.64)"/>
    <s v=""/>
    <s v=""/>
    <s v="Secondary Package: Carrier Registration - Monthly ($10.00)"/>
    <s v="eLead - CW Starter - 7500 mins v2 ($424.15)"/>
    <s v=""/>
  </r>
  <r>
    <s v="Plaza Lincoln"/>
    <n v="153597"/>
    <n v="19555"/>
    <n v="380.05"/>
    <n v="0"/>
    <n v="434.15"/>
    <n v="434.15"/>
    <s v="76168517"/>
    <s v="PLAZA LINCOLN"/>
    <m/>
    <m/>
    <m/>
    <s v="4570058"/>
    <s v="CARWARS STARTER 7500"/>
    <n v="528.64"/>
    <n v="0"/>
    <n v="528.64"/>
    <n v="94.490000000000009"/>
    <n v="0.17874167675544797"/>
    <x v="17"/>
    <s v="CARWARS STARTER 7500 ($528.64)"/>
    <s v=""/>
    <s v=""/>
    <s v="Secondary Package: Carrier Registration - Monthly ($10.00)"/>
    <s v="eLead - CW Starter - 7500 mins v2 ($424.15)"/>
    <s v=""/>
  </r>
  <r>
    <s v="Volvo Cars Tampa"/>
    <n v="144079"/>
    <n v="2006"/>
    <n v="2710.31"/>
    <n v="0"/>
    <n v="264.14999999999998"/>
    <n v="264.14999999999998"/>
    <s v="76067136"/>
    <s v="VOLVO OF TAMPA"/>
    <m/>
    <m/>
    <m/>
    <s v="4570009"/>
    <s v="CARWARS STARTER 3500"/>
    <n v="322.92"/>
    <n v="6.84"/>
    <n v="329.76"/>
    <n v="58.770000000000039"/>
    <n v="0.18199554069119298"/>
    <x v="17"/>
    <s v="CARWARS STARTER 3500 ($322.92)"/>
    <s v=""/>
    <s v=""/>
    <s v="Secondary Package: Carrier Registration - Monthly ($10.00)"/>
    <s v="eLead - CW Starter - 3500 mins v2 ($254.15)"/>
    <s v=""/>
  </r>
  <r>
    <s v="Mike Castrucci Ford Lincoln of Alexandria"/>
    <n v="142723"/>
    <n v="23288"/>
    <n v="8178.1"/>
    <n v="0"/>
    <n v="1581.65"/>
    <n v="1581.65"/>
    <s v="76090518"/>
    <s v="MIKE CASTRUCCI FORD LINCOLN OF ALEXANDRIA"/>
    <m/>
    <m/>
    <m/>
    <s v="4570062"/>
    <s v="CARWARS PREMIUM SALES"/>
    <n v="1941.45"/>
    <n v="0"/>
    <n v="1941.45"/>
    <n v="359.79999999999995"/>
    <n v="0.18532540111772125"/>
    <x v="17"/>
    <s v="CARWARS PREMIUM SALES ($1,941.45)"/>
    <s v=""/>
    <s v=""/>
    <s v="Elead Launch Phase-0 ($0.00)"/>
    <s v="eLead - CW Premium - Sales 50k v2 ($1,571.65)"/>
    <s v=""/>
  </r>
  <r>
    <s v="Mike Castrucci Ford Sales"/>
    <n v="142727"/>
    <n v="23289"/>
    <n v="5652.07"/>
    <n v="0"/>
    <n v="1581.65"/>
    <n v="1581.65"/>
    <s v="76036962"/>
    <s v="MIKE CASTRUCCI FORD SALES"/>
    <m/>
    <m/>
    <m/>
    <s v="4570062"/>
    <s v="CARWARS PREMIUM SALES"/>
    <n v="1941.45"/>
    <n v="0"/>
    <n v="1941.45"/>
    <n v="359.79999999999995"/>
    <n v="0.18532540111772125"/>
    <x v="17"/>
    <s v="CARWARS PREMIUM SALES ($1,941.45)"/>
    <s v=""/>
    <s v=""/>
    <s v="Secondary Package: Carrier Registration - Monthly ($10.00)"/>
    <s v="eLead - CW Premium - Sales 50k v2 ($1,571.65)"/>
    <s v=""/>
  </r>
  <r>
    <s v="Headquarter Toyota"/>
    <n v="96592"/>
    <n v="16781"/>
    <n v="14547.04"/>
    <n v="0"/>
    <n v="2543.85"/>
    <n v="2543.85"/>
    <s v="01262401"/>
    <s v="HEADQUARTER TOYOTA"/>
    <m/>
    <m/>
    <m/>
    <s v="4570064"/>
    <s v="CARWARS ELITE LARGE"/>
    <n v="3130.05"/>
    <n v="0"/>
    <n v="3130.05"/>
    <n v="586.20000000000027"/>
    <n v="0.18728135333301393"/>
    <x v="17"/>
    <s v="CARWARS ELITE LARGE ($3,130.05)"/>
    <s v=""/>
    <s v=""/>
    <s v="Secondary Package: Carrier Registration - Monthly ($10.00)"/>
    <s v="eLead CW Elite (Sales Service AI) v2 ($2,533.85)"/>
    <s v="Secondary Package: Carrier Registration - Monthly ($10.00)"/>
  </r>
  <r>
    <s v="Northway Toyota"/>
    <n v="116981"/>
    <n v="18705"/>
    <n v="0"/>
    <n v="0"/>
    <n v="254.15"/>
    <n v="254.15"/>
    <s v="76180714"/>
    <s v="NORTHWAY TOYOTA"/>
    <m/>
    <m/>
    <m/>
    <s v="4570060"/>
    <s v="CRM OUTBOUND TELEPHONY TRACKING (NEW AND CONVERSION)"/>
    <n v="313.95"/>
    <n v="0"/>
    <n v="313.95"/>
    <n v="59.799999999999983"/>
    <n v="0.19047619047619044"/>
    <x v="17"/>
    <s v="CRM OUTBOUND TELEPHONY TRACKING (NEW AND CONVERSION) ($313.95)"/>
    <s v=""/>
    <s v=""/>
    <s v="Secondary Package: Carrier Registration - Monthly ($10.00)"/>
    <s v=""/>
    <s v=""/>
  </r>
  <r>
    <s v="Central Ford"/>
    <n v="79776"/>
    <n v="17654"/>
    <n v="18972.27"/>
    <n v="0"/>
    <n v="2533.85"/>
    <n v="2533.85"/>
    <s v="76211920"/>
    <s v="CENTRAL FORD"/>
    <m/>
    <m/>
    <m/>
    <s v="4570064"/>
    <s v="CARWARS ELITE LARGE"/>
    <n v="3158.07"/>
    <n v="0"/>
    <n v="3158.07"/>
    <n v="624.22000000000025"/>
    <n v="0.19765869660900492"/>
    <x v="17"/>
    <s v="CARWARS ELITE LARGE ($3,158.07)"/>
    <s v=""/>
    <s v=""/>
    <s v="Secondary Package: Carrier Registration - Monthly ($10.00)"/>
    <s v=""/>
    <s v=""/>
  </r>
  <r>
    <s v="Michael Jordan Nissan"/>
    <n v="145649"/>
    <n v="25474"/>
    <n v="4253.05"/>
    <n v="0"/>
    <n v="434.15"/>
    <n v="434.15"/>
    <s v="01273001"/>
    <s v="MICHAEL JORDAN NISSAN"/>
    <m/>
    <m/>
    <m/>
    <s v="4570058"/>
    <s v="CARWARS STARTER 7500"/>
    <n v="541.41999999999996"/>
    <n v="0"/>
    <n v="541.41999999999996"/>
    <n v="107.26999999999998"/>
    <n v="0.19812714713161683"/>
    <x v="17"/>
    <s v="CARWARS STARTER 7500 ($541.42)"/>
    <s v=""/>
    <s v=""/>
    <s v="eLead - CW Starter - 3500 mins v2 ($254.15)"/>
    <s v="eLead - CW Starter - 7500 mins v2 ($424.15)"/>
    <s v=""/>
  </r>
  <r>
    <s v="Keffer - Hyundai of Anderson"/>
    <n v="147873"/>
    <n v="26623"/>
    <n v="12309.71"/>
    <n v="345.34"/>
    <n v="1204.49"/>
    <n v="859.15000000000009"/>
    <s v="76187302"/>
    <s v="HYUNDAI OF ANDERSON"/>
    <m/>
    <m/>
    <m/>
    <s v="4570122"/>
    <s v="CARWARS ADVANCED SALES"/>
    <n v="1078.92"/>
    <n v="512.48"/>
    <n v="1591.4"/>
    <n v="219.76999999999998"/>
    <n v="0.20369443517591662"/>
    <x v="17"/>
    <s v="CARWARS ADVANCED SALES ($1,078.92)"/>
    <s v=""/>
    <s v=""/>
    <s v="eLead - CW Starter - 7500 mins v2 ($424.15)"/>
    <s v="eLead - CW Advanced - Sales - 7500 mins v2 ($849.15)"/>
    <s v=""/>
  </r>
  <r>
    <s v="Holman NC - Leith Honda"/>
    <n v="58247"/>
    <n v="16164"/>
    <n v="9868.43"/>
    <n v="0"/>
    <n v="1700.65"/>
    <n v="1700.65"/>
    <s v="01021802"/>
    <s v="LEITH HONDA"/>
    <m/>
    <m/>
    <m/>
    <s v="4570060"/>
    <s v="CRM OUTBOUND TELEPHONY TRACKING (NEW AND CONVERSION)"/>
    <n v="2138"/>
    <n v="0"/>
    <n v="2138"/>
    <n v="437.34999999999991"/>
    <n v="0.20456033676333019"/>
    <x v="17"/>
    <s v="CRM OUTBOUND TELEPHONY TRACKING (NEW AND CONVERSION) ($279.00)"/>
    <s v="CARWARS PREMIUM SALES ($1,849.00)"/>
    <s v="CARWARS INDEFINITE CALL RECORDINGS ($10.00)"/>
    <s v="Secondary Package: Carrier Registration - Monthly ($10.00)"/>
    <s v="eLead - CW Premium - Sales 50k v2 ($1,571.65)"/>
    <s v="Secondary Package: eLead - Leith EHOB ($109.00)"/>
  </r>
  <r>
    <s v="Vista Ford Lincoln"/>
    <n v="91135"/>
    <n v="17928"/>
    <n v="10599.24"/>
    <n v="0"/>
    <n v="1581.65"/>
    <n v="1581.65"/>
    <s v="76029454"/>
    <s v="VISTA FORD"/>
    <m/>
    <m/>
    <m/>
    <s v="4570062"/>
    <s v="CARWARS PREMIUM SALES"/>
    <n v="1994"/>
    <n v="0"/>
    <n v="1994"/>
    <n v="412.34999999999991"/>
    <n v="0.20679538615847537"/>
    <x v="17"/>
    <s v="CARWARS PREMIUM SALES ($995.00)"/>
    <s v="CARWARS ADVANCED SALES ($999.00)"/>
    <s v=""/>
    <s v="Elead CW Starter 4000 v2 ($254.15)"/>
    <s v="eLead - CW Premium - Sales 50k v2 ($1,571.65)"/>
    <s v=""/>
  </r>
  <r>
    <s v="Spartanburg Chrysler Dodge Ram Jeep"/>
    <n v="147445"/>
    <n v="10429"/>
    <n v="6183.13"/>
    <n v="0"/>
    <n v="2543.85"/>
    <n v="2543.85"/>
    <s v="76022930"/>
    <s v="SPARTANBURG DODGE"/>
    <m/>
    <m/>
    <m/>
    <s v="4570064"/>
    <s v="CARWARS ELITE LARGE"/>
    <n v="3219.48"/>
    <n v="0"/>
    <n v="3219.48"/>
    <n v="675.63000000000011"/>
    <n v="0.20985687129598571"/>
    <x v="17"/>
    <s v="CARWARS ELITE LARGE ($3,219.48)"/>
    <s v=""/>
    <s v=""/>
    <s v="Elead CW Starter 4000 v2 ($254.15)"/>
    <s v="eLead CW Elite (Sales Service AI) v2 ($2,533.85)"/>
    <s v=""/>
  </r>
  <r>
    <s v="Lakeland Volkswagen"/>
    <n v="144080"/>
    <n v="6706"/>
    <n v="10107.959999999999"/>
    <n v="455.95"/>
    <n v="710.1"/>
    <n v="254.15000000000003"/>
    <s v="76145408"/>
    <s v="LAKELAND VW"/>
    <m/>
    <m/>
    <m/>
    <s v="4570009"/>
    <s v="CARWARS STARTER 3500"/>
    <n v="322.92"/>
    <n v="549.67999999999995"/>
    <n v="872.59999999999991"/>
    <n v="68.769999999999982"/>
    <n v="0.21296296296296291"/>
    <x v="17"/>
    <s v="CARWARS STARTER 3500 ($322.92)"/>
    <s v=""/>
    <s v=""/>
    <s v="eLead - Elite Small v2 ($1,274.15)"/>
    <s v=""/>
    <s v=""/>
  </r>
  <r>
    <s v="Deel Volkswagen"/>
    <n v="145760"/>
    <n v="4698"/>
    <n v="1923.63"/>
    <n v="0"/>
    <n v="254.15"/>
    <n v="254.15"/>
    <s v="01014818"/>
    <s v="DEEL VW FIXED OPS"/>
    <m/>
    <m/>
    <m/>
    <s v="4570009"/>
    <s v="CARWARS STARTER 3500"/>
    <n v="322.92"/>
    <n v="0"/>
    <n v="322.92"/>
    <n v="68.77000000000001"/>
    <n v="0.21296296296296299"/>
    <x v="17"/>
    <s v="CARWARS STARTER 3500 ($322.92)"/>
    <s v=""/>
    <s v=""/>
    <s v="Secondary Package: Carrier Registration - Monthly ($10.00)"/>
    <s v=""/>
    <s v=""/>
  </r>
  <r>
    <s v="Matt Bowers Chevrolet of Metarie"/>
    <n v="139339"/>
    <n v="6972"/>
    <n v="6288.09"/>
    <n v="192.38"/>
    <n v="446.53"/>
    <n v="254.14999999999998"/>
    <s v="76219520"/>
    <s v="MATT BOWERS CHEVROLET METAIRIE"/>
    <m/>
    <m/>
    <m/>
    <s v="4570009"/>
    <s v="CARWARS STARTER 3500"/>
    <n v="322.92"/>
    <n v="243.99"/>
    <n v="566.91000000000008"/>
    <n v="68.770000000000039"/>
    <n v="0.21296296296296308"/>
    <x v="17"/>
    <s v="CARWARS STARTER 3500 ($322.92)"/>
    <s v=""/>
    <s v=""/>
    <s v="eLead - CW Starter - 3500 mins v2 ($254.15)"/>
    <s v=""/>
    <s v=""/>
  </r>
  <r>
    <s v="Knight Sunrise Ford Fontana"/>
    <n v="76551"/>
    <n v="9737"/>
    <n v="66464.31"/>
    <n v="1182.1400000000001"/>
    <n v="3725.99"/>
    <n v="2543.8499999999995"/>
    <s v="76229614"/>
    <s v="SUNRISE FORD"/>
    <m/>
    <m/>
    <m/>
    <s v="4570064"/>
    <s v="CARWARS ELITE LARGE"/>
    <n v="3250.78"/>
    <n v="955.96"/>
    <n v="4206.74"/>
    <n v="706.93000000000075"/>
    <n v="0.21746473154135337"/>
    <x v="17"/>
    <s v="CARWARS ELITE LARGE ($3,250.78)"/>
    <s v=""/>
    <s v=""/>
    <s v="Secondary Package: Carrier Registration - Monthly ($10.00)"/>
    <s v="eLead CW Elite (Sales Service AI) v2 ($2,533.85)"/>
    <s v=""/>
  </r>
  <r>
    <s v="Drivers Way"/>
    <n v="154845"/>
    <n v="28328"/>
    <n v="8426.2000000000007"/>
    <n v="339.91"/>
    <n v="604.05999999999995"/>
    <n v="264.14999999999992"/>
    <s v="76235053"/>
    <s v="DRIVERS WAY"/>
    <m/>
    <m/>
    <m/>
    <s v="4570009"/>
    <s v="CARWARS STARTER 3500"/>
    <n v="337.95"/>
    <n v="451.37"/>
    <n v="789.31999999999994"/>
    <n v="73.800000000000068"/>
    <n v="0.21837549933422123"/>
    <x v="17"/>
    <s v="CARWARS STARTER 3500 ($337.95)"/>
    <s v=""/>
    <s v=""/>
    <s v="Elead Launch Phase-0 ($0.00)"/>
    <s v="eLead - CW Starter - 3500 mins v2 ($254.15)"/>
    <s v=""/>
  </r>
  <r>
    <s v="Harley-Davidson of Greenville"/>
    <n v="93881"/>
    <n v="18655"/>
    <n v="691.39"/>
    <n v="0"/>
    <n v="264.14999999999998"/>
    <n v="264.14999999999998"/>
    <s v="76191233"/>
    <s v="HARLEY DAVIDSON OF GREENVILLE"/>
    <m/>
    <m/>
    <m/>
    <s v="4570060"/>
    <s v="CRM OUTBOUND TELEPHONY TRACKING (NEW AND CONVERSION)"/>
    <n v="339.09"/>
    <n v="0"/>
    <n v="339.09"/>
    <n v="74.94"/>
    <n v="0.2210032734672211"/>
    <x v="17"/>
    <s v="CRM OUTBOUND TELEPHONY TRACKING (NEW AND CONVERSION) ($339.09)"/>
    <s v=""/>
    <s v=""/>
    <s v="Elead Outbound 4000 v2 ($129.00)"/>
    <s v="Elead CW Starter 4000 v2 ($254.15)"/>
    <s v=""/>
  </r>
  <r>
    <s v="BMW/MINI of the Main Line"/>
    <n v="74464"/>
    <n v="16765"/>
    <n v="24179.119999999999"/>
    <n v="0"/>
    <n v="1581.65"/>
    <n v="1581.65"/>
    <s v="76183681"/>
    <s v="MINI OF THE MAIN LINE"/>
    <m/>
    <m/>
    <m/>
    <s v="4570060"/>
    <s v="CRM OUTBOUND TELEPHONY TRACKING (NEW AND CONVERSION)"/>
    <n v="2048"/>
    <n v="0"/>
    <n v="2048"/>
    <n v="466.34999999999991"/>
    <n v="0.22770996093749996"/>
    <x v="17"/>
    <s v="CRM OUTBOUND TELEPHONY TRACKING (NEW AND CONVERSION) ($199.00)"/>
    <s v="CARWARS PREMIUM SALES ($1,849.00)"/>
    <s v=""/>
    <s v="Secondary Package: Carrier Registration - Monthly ($10.00)"/>
    <s v="eLead - CW Premium - Sales 50k v2 ($1,571.65)"/>
    <s v=""/>
  </r>
  <r>
    <s v="Stearns Ford"/>
    <n v="85476"/>
    <n v="18017"/>
    <n v="14934.04"/>
    <n v="478.45"/>
    <n v="912.6"/>
    <n v="434.15000000000003"/>
    <s v="76174589"/>
    <s v="STEARNS FORD"/>
    <m/>
    <m/>
    <m/>
    <s v="4570060"/>
    <s v="CRM OUTBOUND TELEPHONY TRACKING (NEW AND CONVERSION)"/>
    <n v="572.05999999999995"/>
    <n v="616.41999999999996"/>
    <n v="1188.48"/>
    <n v="137.90999999999991"/>
    <n v="0.24107611089745817"/>
    <x v="17"/>
    <s v="CRM OUTBOUND TELEPHONY TRACKING (NEW AND CONVERSION) ($572.06)"/>
    <s v=""/>
    <s v=""/>
    <s v="Elead CW Starter 4000 v2 ($254.15)"/>
    <s v="Elead CW Starter 8000 v2 ($424.15)"/>
    <s v=""/>
  </r>
  <r>
    <s v="Commonwealth Honda"/>
    <n v="84504"/>
    <n v="18080"/>
    <n v="1571.65"/>
    <n v="0"/>
    <n v="264.14999999999998"/>
    <n v="264.14999999999998"/>
    <s v="76212373"/>
    <s v="COMMONWEALTH HONDA"/>
    <m/>
    <m/>
    <m/>
    <s v="4570009"/>
    <s v="CARWARS STARTER 3500"/>
    <n v="350.37"/>
    <n v="0"/>
    <n v="350.37"/>
    <n v="86.220000000000027"/>
    <n v="0.246082712561007"/>
    <x v="17"/>
    <s v="CARWARS STARTER 3500 ($350.37)"/>
    <s v=""/>
    <s v=""/>
    <s v="Secondary Package: Carrier Registration - Monthly ($10.00)"/>
    <s v="eLead - CW Starter - 3500 mins v2 ($254.15)"/>
    <s v=""/>
  </r>
  <r>
    <s v="Commonwealth Kia"/>
    <n v="84503"/>
    <n v="18081"/>
    <n v="1525.89"/>
    <n v="0"/>
    <n v="264.14999999999998"/>
    <n v="264.14999999999998"/>
    <s v="76213850"/>
    <s v="COMMONWEALTH KIA"/>
    <m/>
    <m/>
    <m/>
    <s v="4570009"/>
    <s v="CARWARS STARTER 3500"/>
    <n v="350.37"/>
    <n v="0"/>
    <n v="350.37"/>
    <n v="86.220000000000027"/>
    <n v="0.246082712561007"/>
    <x v="17"/>
    <s v="CARWARS STARTER 3500 ($350.37)"/>
    <s v="CRM OUTBOUND TELEPHONY TRACKING (NEW AND CONVERSION) ($0.00)"/>
    <s v=""/>
    <s v="Secondary Package: Carrier Registration - Monthly ($10.00)"/>
    <s v="eLead - CW Starter - 3500 mins v2 ($254.15)"/>
    <s v=""/>
  </r>
  <r>
    <s v="Commonwealth Volkswagen"/>
    <n v="84506"/>
    <n v="18083"/>
    <n v="2205.35"/>
    <n v="0"/>
    <n v="264.14999999999998"/>
    <n v="264.14999999999998"/>
    <s v="76213848"/>
    <s v="COMMONWEALTH VOLKSWAGEN"/>
    <m/>
    <m/>
    <m/>
    <s v="4570009"/>
    <s v="CARWARS STARTER 3500"/>
    <n v="350.37"/>
    <n v="0"/>
    <n v="350.37"/>
    <n v="86.220000000000027"/>
    <n v="0.246082712561007"/>
    <x v="17"/>
    <s v="CARWARS STARTER 3500 ($350.37)"/>
    <s v="CRM OUTBOUND TELEPHONY TRACKING (NEW AND CONVERSION) ($0.00)"/>
    <s v=""/>
    <s v="Secondary Package: Carrier Registration - Monthly ($10.00)"/>
    <s v="eLead - CW Starter - 3500 mins v2 ($254.15)"/>
    <s v=""/>
  </r>
  <r>
    <s v="Price Chevrolet"/>
    <n v="139747"/>
    <n v="5616"/>
    <n v="15.32"/>
    <n v="0"/>
    <n v="264.14999999999998"/>
    <n v="264.14999999999998"/>
    <s v="76212077"/>
    <s v="PRICE CHEVROLET"/>
    <m/>
    <m/>
    <m/>
    <s v="4570009"/>
    <s v="CARWARS STARTER 3500"/>
    <n v="350.37"/>
    <n v="0"/>
    <n v="350.37"/>
    <n v="86.220000000000027"/>
    <n v="0.246082712561007"/>
    <x v="17"/>
    <s v="CARWARS STARTER 3500 ($350.37)"/>
    <s v=""/>
    <s v=""/>
    <s v="Secondary Package: Carrier Registration - Monthly ($10.00)"/>
    <s v="eLead - CW Starter - 3500 mins v2 ($254.15)"/>
    <s v=""/>
  </r>
  <r>
    <s v="Worth Harley Davidson"/>
    <n v="76538"/>
    <n v="10382"/>
    <n v="371.97"/>
    <n v="0"/>
    <n v="254.15"/>
    <n v="254.15"/>
    <s v="76014409"/>
    <s v="WORTH HARLEY-DAVIDSON NORTH"/>
    <m/>
    <m/>
    <m/>
    <s v="4570060"/>
    <s v="CRM OUTBOUND TELEPHONY TRACKING (NEW AND CONVERSION)"/>
    <n v="338.2"/>
    <n v="0"/>
    <n v="338.2"/>
    <n v="84.049999999999983"/>
    <n v="0.24852158486102893"/>
    <x v="17"/>
    <s v="CRM OUTBOUND TELEPHONY TRACKING (NEW AND CONVERSION) ($338.20)"/>
    <s v=""/>
    <s v=""/>
    <s v="Secondary Package: Carrier Registration - Monthly ($10.00)"/>
    <s v=""/>
    <s v=""/>
  </r>
  <r>
    <s v="Matt Bowers Chevrolet"/>
    <n v="134332"/>
    <n v="16067"/>
    <n v="0.66"/>
    <n v="0"/>
    <n v="254.15"/>
    <n v="254.15"/>
    <s v="76073874"/>
    <s v="MATT BOWERS CHEVROLET CADILLAC"/>
    <m/>
    <m/>
    <m/>
    <s v="4570009"/>
    <s v="CARWARS STARTER 3500"/>
    <n v="342.1"/>
    <n v="0"/>
    <n v="342.1"/>
    <n v="87.950000000000017"/>
    <n v="0.25708857059339379"/>
    <x v="17"/>
    <s v="CARWARS STARTER 3500 ($342.10)"/>
    <s v=""/>
    <s v=""/>
    <s v="Elead CW Starter 4000 v2 ($254.15)"/>
    <s v=""/>
    <s v=""/>
  </r>
  <r>
    <s v="Bill Black Chevrolet Cadillac"/>
    <n v="142323"/>
    <n v="22425"/>
    <n v="679.89"/>
    <n v="0"/>
    <n v="434.15"/>
    <n v="434.15"/>
    <s v="76025950"/>
    <s v="BILL BLACK CHEVROLET CADILLAC"/>
    <m/>
    <m/>
    <m/>
    <s v="4570058"/>
    <s v="CARWARS STARTER 7500"/>
    <n v="584.73"/>
    <n v="0"/>
    <n v="584.73"/>
    <n v="150.58000000000004"/>
    <n v="0.25752056504711585"/>
    <x v="17"/>
    <s v="CARWARS STARTER 7500 ($584.73)"/>
    <s v=""/>
    <s v=""/>
    <s v="Elead CW Unlimited  v2 ($1,571.65)"/>
    <s v="eLead - CW Starter - 7500 mins v2 ($424.15)"/>
    <s v=""/>
  </r>
  <r>
    <s v="Maxie Price Chevrolet"/>
    <n v="77683"/>
    <n v="11003"/>
    <n v="6935.99"/>
    <n v="0"/>
    <n v="434.15"/>
    <n v="434.15"/>
    <s v="01325978"/>
    <s v="MAXIE PRICE CHEVROLET"/>
    <m/>
    <m/>
    <m/>
    <s v="4570060"/>
    <s v="CRM OUTBOUND TELEPHONY TRACKING (NEW AND CONVERSION)"/>
    <n v="584.73"/>
    <n v="0"/>
    <n v="584.73"/>
    <n v="150.58000000000004"/>
    <n v="0.25752056504711585"/>
    <x v="17"/>
    <s v="CRM OUTBOUND TELEPHONY TRACKING (NEW AND CONVERSION) ($584.73)"/>
    <s v=""/>
    <s v=""/>
    <s v="Elead CW Starter 4000 v2 ($254.15)"/>
    <s v="Elead CW Starter 8000 v2 ($424.15)"/>
    <s v=""/>
  </r>
  <r>
    <s v="Greenway - Greenway Kia of Hickory Hollow"/>
    <n v="79117"/>
    <n v="17537"/>
    <n v="12216.95"/>
    <n v="329.34"/>
    <n v="1069.3399999999999"/>
    <n v="740"/>
    <s v="76213059"/>
    <s v="GREENWAY KIA HICKORY HOLLOW"/>
    <m/>
    <m/>
    <m/>
    <s v="4570060"/>
    <s v="CRM OUTBOUND TELEPHONY TRACKING (NEW AND CONVERSION)"/>
    <n v="1015"/>
    <n v="293.7"/>
    <n v="1308.7"/>
    <n v="275"/>
    <n v="0.27093596059113301"/>
    <x v="17"/>
    <s v="CRM OUTBOUND TELEPHONY TRACKING (NEW AND CONVERSION) ($995.00)"/>
    <s v="CARWARS INDEFINITE CALL RECORDINGS ($20.00)"/>
    <s v=""/>
    <s v="Secondary Package: Carrier Registration - Monthly ($10.00)"/>
    <s v="Elead CW 8000 ($710.00)"/>
    <s v="Secondary Package: Long Term Audio Storage ($20.00)"/>
  </r>
  <r>
    <s v="Lake Keowee Ford"/>
    <n v="146974"/>
    <n v="8323"/>
    <n v="135.66999999999999"/>
    <n v="0"/>
    <n v="1274.1500000000001"/>
    <n v="1274.1500000000001"/>
    <s v="76212200"/>
    <s v="LAKE KEOWEE FORD"/>
    <m/>
    <m/>
    <m/>
    <s v="4570289"/>
    <s v="CARWARS ELITE 12,500 PACKAGE"/>
    <n v="1756.53"/>
    <n v="0"/>
    <n v="1756.53"/>
    <n v="482.37999999999988"/>
    <n v="0.27462098569338406"/>
    <x v="17"/>
    <s v="CARWARS ELITE 12,500 PACKAGE ($1,756.53)"/>
    <s v=""/>
    <s v=""/>
    <s v="Secondary Package: Carrier Registration - Monthly ($10.00)"/>
    <s v=""/>
    <s v=""/>
  </r>
  <r>
    <s v="Rusty Wallace Toyota"/>
    <n v="91496"/>
    <n v="17409"/>
    <n v="2822.58"/>
    <n v="0"/>
    <n v="424.15"/>
    <n v="424.15"/>
    <s v="01179304"/>
    <s v="RUSTY WALLACE TOYOTA"/>
    <m/>
    <m/>
    <m/>
    <s v="4570060"/>
    <s v="CRM OUTBOUND TELEPHONY TRACKING (NEW AND CONVERSION)"/>
    <n v="584.73"/>
    <n v="0"/>
    <n v="584.73"/>
    <n v="160.58000000000004"/>
    <n v="0.2746224753304945"/>
    <x v="17"/>
    <s v="CRM OUTBOUND TELEPHONY TRACKING (NEW AND CONVERSION) ($584.73)"/>
    <s v=""/>
    <s v=""/>
    <s v="Elead CW Starter 4000 v2 ($254.15)"/>
    <s v=""/>
    <s v=""/>
  </r>
  <r>
    <s v="Maxie Price RV of Loganville"/>
    <n v="144127"/>
    <n v="24727"/>
    <n v="189.32"/>
    <n v="0"/>
    <n v="254.15"/>
    <n v="254.15"/>
    <s v="76220881"/>
    <s v="MAXIE PRICE RV OF LOGANVILLE"/>
    <m/>
    <m/>
    <m/>
    <s v="4570009"/>
    <s v="CARWARS STARTER 3500"/>
    <n v="350.37"/>
    <n v="0"/>
    <n v="350.37"/>
    <n v="96.22"/>
    <n v="0.27462396894711305"/>
    <x v="17"/>
    <s v="CARWARS STARTER 3500 ($350.37)"/>
    <s v=""/>
    <s v=""/>
    <s v="Secondary Package: Carrier Registration - Monthly ($10.00)"/>
    <s v=""/>
    <s v=""/>
  </r>
  <r>
    <s v="Buchanan Auto Park"/>
    <n v="61123"/>
    <n v="7279"/>
    <n v="5108.68"/>
    <n v="76.5"/>
    <n v="340.65"/>
    <n v="264.14999999999998"/>
    <s v="76065772"/>
    <s v="BUCHANAN AUTO PARK"/>
    <m/>
    <m/>
    <m/>
    <s v="4570060"/>
    <s v="CRM OUTBOUND TELEPHONY TRACKING (NEW AND CONVERSION)"/>
    <n v="370.2"/>
    <n v="310.77999999999997"/>
    <n v="680.98"/>
    <n v="106.05000000000001"/>
    <n v="0.28646677471636955"/>
    <x v="17"/>
    <s v="CRM OUTBOUND TELEPHONY TRACKING (NEW AND CONVERSION) ($370.20)"/>
    <s v=""/>
    <s v=""/>
    <s v="Secondary Package: Carrier Registration - Monthly ($10.00)"/>
    <s v="Elead CW Starter 4000 v2 ($254.15)"/>
    <s v=""/>
  </r>
  <r>
    <s v="Stanley CDJR Gilmer"/>
    <n v="117610"/>
    <n v="19948"/>
    <n v="3759.46"/>
    <n v="17.899999999999999"/>
    <n v="282.05"/>
    <n v="264.15000000000003"/>
    <s v="76215893"/>
    <s v="STANLEY CDJR - GILMER"/>
    <m/>
    <m/>
    <m/>
    <s v="4570060"/>
    <s v="CRM OUTBOUND TELEPHONY TRACKING (NEW AND CONVERSION)"/>
    <n v="371.18"/>
    <n v="0.81"/>
    <n v="371.99"/>
    <n v="107.02999999999997"/>
    <n v="0.28835066544533644"/>
    <x v="17"/>
    <s v="CRM OUTBOUND TELEPHONY TRACKING (NEW AND CONVERSION) ($371.18)"/>
    <s v=""/>
    <s v=""/>
    <s v="Secondary Package: Carrier Registration - Monthly ($10.00)"/>
    <s v="eLead - CW Starter - 3500 mins v2 ($254.15)"/>
    <s v=""/>
  </r>
  <r>
    <s v="Stanley Ford Eastland"/>
    <n v="97583"/>
    <n v="18845"/>
    <n v="5953.88"/>
    <n v="134.82"/>
    <n v="398.97"/>
    <n v="264.15000000000003"/>
    <s v="76166940"/>
    <s v="STANLEY FORD EASTLAND"/>
    <m/>
    <m/>
    <m/>
    <s v="4570060"/>
    <s v="CRM OUTBOUND TELEPHONY TRACKING (NEW AND CONVERSION)"/>
    <n v="371.18"/>
    <n v="177.13"/>
    <n v="548.30999999999995"/>
    <n v="107.02999999999997"/>
    <n v="0.28835066544533644"/>
    <x v="17"/>
    <s v="CRM OUTBOUND TELEPHONY TRACKING (NEW AND CONVERSION) ($371.18)"/>
    <s v=""/>
    <s v=""/>
    <s v="Secondary Package: Carrier Registration - Monthly ($10.00)"/>
    <s v="Elead CW Starter 4000 v2 ($254.15)"/>
    <s v=""/>
  </r>
  <r>
    <s v="Stanley Ford McGregor"/>
    <n v="97582"/>
    <n v="18860"/>
    <n v="4674.26"/>
    <n v="46.52"/>
    <n v="310.67"/>
    <n v="264.15000000000003"/>
    <s v="76166930"/>
    <s v="STANLEY FORD MCGREGOR"/>
    <m/>
    <m/>
    <m/>
    <s v="4570060"/>
    <s v="CRM OUTBOUND TELEPHONY TRACKING (NEW AND CONVERSION)"/>
    <n v="371.18"/>
    <n v="0"/>
    <n v="371.18"/>
    <n v="107.02999999999997"/>
    <n v="0.28835066544533644"/>
    <x v="17"/>
    <s v="CRM OUTBOUND TELEPHONY TRACKING (NEW AND CONVERSION) ($371.18)"/>
    <s v=""/>
    <s v=""/>
    <s v="Secondary Package: Carrier Registration - Monthly ($10.00)"/>
    <s v="Elead CW Starter 4000 v2 ($254.15)"/>
    <s v=""/>
  </r>
  <r>
    <s v="Buchanan Chevrolet Buick GMC Cadillac of Waynesboro"/>
    <n v="61125"/>
    <n v="16270"/>
    <n v="2834.74"/>
    <n v="0"/>
    <n v="264.14999999999998"/>
    <n v="264.14999999999998"/>
    <s v="76065770"/>
    <s v="BUCHANAN AUTOMOTIVE"/>
    <m/>
    <m/>
    <m/>
    <s v="4570060"/>
    <s v="CRM OUTBOUND TELEPHONY TRACKING (NEW AND CONVERSION)"/>
    <n v="371.18"/>
    <n v="6.07"/>
    <n v="377.25"/>
    <n v="107.03000000000003"/>
    <n v="0.28835066544533655"/>
    <x v="17"/>
    <s v="CRM OUTBOUND TELEPHONY TRACKING (NEW AND CONVERSION) ($371.18)"/>
    <s v=""/>
    <s v=""/>
    <s v="Secondary Package: Carrier Registration - Monthly ($10.00)"/>
    <s v="Elead CW Starter 4000 v2 ($254.15)"/>
    <s v=""/>
  </r>
  <r>
    <s v="Lee Nissan"/>
    <n v="144423"/>
    <n v="19607"/>
    <n v="1104.6099999999999"/>
    <n v="0"/>
    <n v="264.14999999999998"/>
    <n v="264.14999999999998"/>
    <s v="76214615"/>
    <s v="LEE NISSAN"/>
    <m/>
    <m/>
    <m/>
    <s v="4570009"/>
    <s v="CARWARS STARTER 3500"/>
    <n v="371.18"/>
    <n v="0"/>
    <n v="371.18"/>
    <n v="107.03000000000003"/>
    <n v="0.28835066544533655"/>
    <x v="17"/>
    <s v="CARWARS STARTER 3500 ($371.18)"/>
    <s v=""/>
    <s v=""/>
    <s v="Secondary Package: Carrier Registration - Monthly ($10.00)"/>
    <s v="eLead - CW Starter - 3500 mins v2 ($254.15)"/>
    <s v=""/>
  </r>
  <r>
    <s v="Stanley CDJ Brownwood"/>
    <n v="97592"/>
    <n v="18847"/>
    <n v="3453.03"/>
    <n v="0"/>
    <n v="264.14999999999998"/>
    <n v="264.14999999999998"/>
    <s v="76170037"/>
    <s v="STANLEY DODGE"/>
    <m/>
    <m/>
    <m/>
    <s v="4570060"/>
    <s v="CRM OUTBOUND TELEPHONY TRACKING (NEW AND CONVERSION)"/>
    <n v="371.18"/>
    <n v="0"/>
    <n v="371.18"/>
    <n v="107.03000000000003"/>
    <n v="0.28835066544533655"/>
    <x v="17"/>
    <s v="CRM OUTBOUND TELEPHONY TRACKING (NEW AND CONVERSION) ($371.18)"/>
    <s v=""/>
    <s v=""/>
    <s v="Secondary Package: Carrier Registration - Monthly ($10.00)"/>
    <s v="Elead CW Starter 4000 v2 ($254.15)"/>
    <s v=""/>
  </r>
  <r>
    <s v="Stanley Ford Gilmer"/>
    <n v="97580"/>
    <n v="18855"/>
    <n v="3100.06"/>
    <n v="0"/>
    <n v="264.14999999999998"/>
    <n v="264.14999999999998"/>
    <s v="76166889"/>
    <s v="STANLEY FORD"/>
    <m/>
    <m/>
    <m/>
    <s v="4570060"/>
    <s v="CRM OUTBOUND TELEPHONY TRACKING (NEW AND CONVERSION)"/>
    <n v="371.18"/>
    <n v="0"/>
    <n v="371.18"/>
    <n v="107.03000000000003"/>
    <n v="0.28835066544533655"/>
    <x v="17"/>
    <s v="CRM OUTBOUND TELEPHONY TRACKING (NEW AND CONVERSION) ($371.18)"/>
    <s v=""/>
    <s v=""/>
    <s v="Secondary Package: Carrier Registration - Monthly ($10.00)"/>
    <s v="Elead CW Starter 4000 v2 ($254.15)"/>
    <s v=""/>
  </r>
  <r>
    <s v="Cloninger Ford of Salisbury"/>
    <n v="108921"/>
    <n v="19319"/>
    <n v="0"/>
    <n v="0"/>
    <n v="264.14999999999998"/>
    <n v="264.14999999999998"/>
    <s v="76205667"/>
    <s v="CLONINGER FORD TOYOTA SCION"/>
    <m/>
    <m/>
    <m/>
    <s v="4570060"/>
    <s v="CRM OUTBOUND TELEPHONY TRACKING (NEW AND CONVERSION)"/>
    <n v="371.36"/>
    <n v="498.77"/>
    <n v="870.13"/>
    <n v="107.21000000000004"/>
    <n v="0.28869560534252486"/>
    <x v="17"/>
    <s v="CRM OUTBOUND TELEPHONY TRACKING (NEW AND CONVERSION) ($371.36)"/>
    <s v=""/>
    <s v=""/>
    <s v="Secondary Package: Carrier Registration - Monthly ($10.00)"/>
    <s v="Elead CW Starter 4000 v2 ($254.15)"/>
    <s v=""/>
  </r>
  <r>
    <s v="Cloninger Toyota"/>
    <n v="108918"/>
    <n v="19295"/>
    <n v="0"/>
    <n v="0"/>
    <n v="264.14999999999998"/>
    <n v="264.14999999999998"/>
    <s v="76212679"/>
    <s v="CLONINGER FORD TOYOTA SCION BRANCH"/>
    <m/>
    <m/>
    <m/>
    <s v="4570060"/>
    <s v="CRM OUTBOUND TELEPHONY TRACKING (NEW AND CONVERSION)"/>
    <n v="371.36"/>
    <n v="867.04"/>
    <n v="1238.4000000000001"/>
    <n v="107.21000000000004"/>
    <n v="0.28869560534252486"/>
    <x v="17"/>
    <s v="CRM OUTBOUND TELEPHONY TRACKING (NEW AND CONVERSION) ($371.36)"/>
    <s v=""/>
    <s v=""/>
    <s v="Secondary Package: Carrier Registration - Monthly ($10.00)"/>
    <s v="Elead CW Starter 4000 v2 ($254.15)"/>
    <s v=""/>
  </r>
  <r>
    <s v="Parks Lincoln of Tampa"/>
    <n v="78776"/>
    <n v="17383"/>
    <n v="1838.2"/>
    <n v="0"/>
    <n v="264.14999999999998"/>
    <n v="264.14999999999998"/>
    <s v="76048070"/>
    <s v="PARKS LINCOLN OF TAMPA"/>
    <m/>
    <m/>
    <m/>
    <s v="4570060"/>
    <s v="CRM OUTBOUND TELEPHONY TRACKING (NEW AND CONVERSION)"/>
    <n v="371.36"/>
    <n v="0"/>
    <n v="371.36"/>
    <n v="107.21000000000004"/>
    <n v="0.28869560534252486"/>
    <x v="17"/>
    <s v="CRM OUTBOUND TELEPHONY TRACKING (NEW AND CONVERSION) ($371.36)"/>
    <s v=""/>
    <s v=""/>
    <s v="Secondary Package: Carrier Registration - Monthly ($10.00)"/>
    <s v="Elead CW Starter 4000 v2 ($254.15)"/>
    <s v=""/>
  </r>
  <r>
    <s v="Rocky Mount Chrysler Dodge Jeep Ram"/>
    <n v="90204"/>
    <n v="11174"/>
    <n v="4150.71"/>
    <n v="0"/>
    <n v="434.15"/>
    <n v="434.15"/>
    <s v="76214654"/>
    <s v="ROCKY MOUNT CHRYSLER DODGE JEEP RAM"/>
    <m/>
    <m/>
    <m/>
    <s v="4570060"/>
    <s v="CRM OUTBOUND TELEPHONY TRACKING (NEW AND CONVERSION)"/>
    <n v="617.83000000000004"/>
    <n v="0"/>
    <n v="617.83000000000004"/>
    <n v="183.68000000000006"/>
    <n v="0.29729860964990379"/>
    <x v="17"/>
    <s v="CRM OUTBOUND TELEPHONY TRACKING (NEW AND CONVERSION) ($617.83)"/>
    <s v=""/>
    <s v=""/>
    <s v="Secondary Package: Carrier Registration - Monthly ($10.00)"/>
    <s v="Elead CW Starter 8000 v2 ($424.15)"/>
    <s v=""/>
  </r>
  <r>
    <s v="Wilson CDJR"/>
    <n v="187881"/>
    <n v="71043923"/>
    <n v="8826.08"/>
    <n v="157.80000000000001"/>
    <n v="1285.8"/>
    <n v="1128"/>
    <s v="71043923"/>
    <s v="WILSON CHRYSLER DODGE JEEP RAM"/>
    <m/>
    <m/>
    <m/>
    <s v="4570779"/>
    <s v="CARWARS ELITE SMALL"/>
    <n v="1608"/>
    <n v="0"/>
    <n v="1608"/>
    <n v="480"/>
    <n v="0.29850746268656714"/>
    <x v="17"/>
    <s v="CARWARS ELITE SMALL ($1,199.00)"/>
    <s v="CARWARS ELITE SMALL SERVICE ($399.00)"/>
    <s v="CARWARS CARRIER REGISTRATION ($10.00)"/>
    <s v="Secondary Package: Carrier Registration - Monthly ($10.00)"/>
    <s v="eLead - CW Elite Small + Service Small ($1,118.00)"/>
    <s v=""/>
  </r>
  <r>
    <s v="Wilson Chevrolet"/>
    <n v="187880"/>
    <n v="71043924"/>
    <n v="5332.44"/>
    <n v="0"/>
    <n v="1128"/>
    <n v="1128"/>
    <s v="71043924"/>
    <s v="WILSON CHEVROLET"/>
    <m/>
    <m/>
    <m/>
    <s v="4570779"/>
    <s v="CARWARS ELITE SMALL"/>
    <n v="1608"/>
    <n v="0"/>
    <n v="1608"/>
    <n v="480"/>
    <n v="0.29850746268656714"/>
    <x v="17"/>
    <s v="CARWARS ELITE SMALL ($1,199.00)"/>
    <s v="CARWARS ELITE SMALL SERVICE ($399.00)"/>
    <s v="CARWARS CARRIER REGISTRATION ($10.00)"/>
    <s v="Secondary Package: Carrier Registration - Monthly ($10.00)"/>
    <s v="eLead - CW Elite Small + Service Small ($1,118.00)"/>
    <s v=""/>
  </r>
  <r>
    <s v="Parks Ford of Wesley Chapel"/>
    <n v="78775"/>
    <n v="17380"/>
    <n v="7220.55"/>
    <n v="0"/>
    <n v="434.15"/>
    <n v="434.15"/>
    <s v="76048072"/>
    <s v="PARKS FORD OF WESLEY CHAPEL"/>
    <m/>
    <m/>
    <m/>
    <s v="4570060"/>
    <s v="CRM OUTBOUND TELEPHONY TRACKING (NEW AND CONVERSION)"/>
    <n v="619.46"/>
    <n v="0"/>
    <n v="619.46"/>
    <n v="185.31000000000006"/>
    <n v="0.29914764472282318"/>
    <x v="17"/>
    <s v="CRM OUTBOUND TELEPHONY TRACKING (NEW AND CONVERSION) ($619.46)"/>
    <s v=""/>
    <s v=""/>
    <s v="Elead CW Starter 4000 v2 ($254.15)"/>
    <s v="Elead CW Starter 8000 v2 ($424.15)"/>
    <s v=""/>
  </r>
  <r>
    <s v="Thomasville Toyota"/>
    <n v="91436"/>
    <n v="18454"/>
    <n v="8641.2199999999993"/>
    <n v="44.24"/>
    <n v="478.39"/>
    <n v="434.15"/>
    <s v="76181075"/>
    <s v="THOMASVILLE TOYOTA"/>
    <m/>
    <m/>
    <m/>
    <s v="4570060"/>
    <s v="CRM OUTBOUND TELEPHONY TRACKING (NEW AND CONVERSION)"/>
    <n v="619.46"/>
    <n v="0"/>
    <n v="619.46"/>
    <n v="185.31000000000006"/>
    <n v="0.29914764472282318"/>
    <x v="17"/>
    <s v="CRM OUTBOUND TELEPHONY TRACKING (NEW AND CONVERSION) ($619.46)"/>
    <s v=""/>
    <s v=""/>
    <s v="Secondary Package: Carrier Registration - Monthly ($10.00)"/>
    <s v="Elead CW Starter 8000 v2 ($424.15)"/>
    <s v=""/>
  </r>
  <r>
    <s v="Deacon Jones BMW of Kinston "/>
    <n v="177336"/>
    <n v="29810"/>
    <n v="1878.39"/>
    <n v="0"/>
    <n v="264.14999999999998"/>
    <n v="264.14999999999998"/>
    <s v="76245201"/>
    <s v="BMW OF KINSTON"/>
    <m/>
    <m/>
    <m/>
    <s v="4571030"/>
    <s v="CARWARS STARTER 5000"/>
    <n v="599"/>
    <n v="0"/>
    <n v="599"/>
    <n v="334.85"/>
    <n v="0.55901502504173628"/>
    <x v="18"/>
    <e v="#N/A"/>
    <e v="#N/A"/>
    <e v="#N/A"/>
    <s v="eLead - Elite Small ($1,019.00)"/>
    <s v="eLead - CW Starter - 3500 mins v2 ($254.15)"/>
    <s v=""/>
  </r>
  <r>
    <s v="Deacon Jones Kia of Kinston"/>
    <n v="177337"/>
    <n v="29809"/>
    <n v="268.94"/>
    <n v="0"/>
    <n v="264.14999999999998"/>
    <n v="264.14999999999998"/>
    <s v="76245198"/>
    <s v="KIA OF KINSTON"/>
    <m/>
    <m/>
    <m/>
    <s v="4571030"/>
    <s v="CARWARS STARTER 5000"/>
    <n v="599"/>
    <n v="0"/>
    <n v="599"/>
    <n v="334.85"/>
    <n v="0.55901502504173628"/>
    <x v="18"/>
    <e v="#N/A"/>
    <e v="#N/A"/>
    <e v="#N/A"/>
    <s v="Secondary Package: Carrier Registration - Monthly ($10.00)"/>
    <s v="eLead - CW Starter - 3500 mins v2 ($254.15)"/>
    <s v=""/>
  </r>
  <r>
    <s v="Peterson BMW"/>
    <n v="156684"/>
    <s v="(blank)"/>
    <n v="3899.66"/>
    <n v="0"/>
    <n v="1653"/>
    <n v="1653"/>
    <s v="76071533"/>
    <s v="PETERSON AUTOPLEX"/>
    <m/>
    <m/>
    <m/>
    <s v="4570064"/>
    <s v="CARWARS ELITE LARGE"/>
    <n v="2981"/>
    <n v="0"/>
    <n v="2981"/>
    <n v="1328"/>
    <n v="0.4454880912445488"/>
    <x v="18"/>
    <e v="#N/A"/>
    <e v="#N/A"/>
    <e v="#N/A"/>
    <s v="Secondary Package: Carrier Registration - Monthly ($10.00)"/>
    <s v="Elead - 24' CW Elite Medium ($1,294.00)"/>
    <s v="Secondary Package: Elead - 24' CW Elite Medium Service ($349.00)"/>
  </r>
  <r>
    <s v="Timbrook - Brookville Chevrolet"/>
    <n v="188774"/>
    <n v="32051"/>
    <n v="493.73"/>
    <n v="0"/>
    <n v="1029"/>
    <n v="1029"/>
    <s v="76256842"/>
    <s v="BROOKVILLE CHEVROLET"/>
    <m/>
    <m/>
    <m/>
    <s v="4570129"/>
    <s v="CARWARS INDEFINITE CALL RECORDINGS"/>
    <n v="1519"/>
    <n v="0"/>
    <n v="1519"/>
    <n v="490"/>
    <n v="0.32258064516129031"/>
    <x v="18"/>
    <e v="#N/A"/>
    <e v="#N/A"/>
    <e v="#N/A"/>
    <s v="Secondary Package: Carrier Registration - Monthly ($10.00)"/>
    <s v="eLead - Elite Small ($1,019.00)"/>
    <s v=""/>
  </r>
  <r>
    <s v="Timbrook - Waynesboro Hyundai "/>
    <n v="188726"/>
    <n v="32050"/>
    <n v="2635.59"/>
    <n v="0"/>
    <n v="1029"/>
    <n v="1029"/>
    <s v="76256834"/>
    <s v="WAYNESBORO HYUNDAI"/>
    <m/>
    <m/>
    <m/>
    <s v="4570129"/>
    <s v="CARWARS INDEFINITE CALL RECORDINGS"/>
    <n v="1519"/>
    <n v="0"/>
    <n v="1519"/>
    <n v="490"/>
    <n v="0.32258064516129031"/>
    <x v="18"/>
    <e v="#N/A"/>
    <e v="#N/A"/>
    <e v="#N/A"/>
    <s v="Secondary Package: Carrier Registration - Monthly ($10.00)"/>
    <s v="eLead - Elite Small ($1,019.00)"/>
    <s v=""/>
  </r>
  <r>
    <s v="Trent Cadillac Buick GMC"/>
    <n v="141208"/>
    <n v="23551"/>
    <n v="3181.17"/>
    <n v="0"/>
    <n v="434.15"/>
    <n v="434.15"/>
    <s v="76229657"/>
    <s v="TALL OAKS AUTOMOTIVE LLC"/>
    <m/>
    <d v="2020-05-04T00:00:00"/>
    <d v="2022-06-12T00:00:00"/>
    <s v="4570058"/>
    <s v="CARWARS STARTER 7500"/>
    <n v="699"/>
    <n v="0"/>
    <n v="699"/>
    <n v="264.85000000000002"/>
    <n v="0.37889842632331905"/>
    <x v="18"/>
    <e v="#N/A"/>
    <e v="#N/A"/>
    <e v="#N/A"/>
    <s v="Secondary Package: Carrier Registration - Monthly ($10.00)"/>
    <s v="eLead - CW Starter - 7500 mins v2 ($424.15)"/>
    <s v=""/>
  </r>
  <r>
    <s v="Phillips Chrysler Dodge Jeep Ram"/>
    <n v="62672"/>
    <n v="9944"/>
    <n v="8582.85"/>
    <n v="0"/>
    <n v="1039"/>
    <n v="1039"/>
    <s v="71058098"/>
    <s v="PHILLIPS CHRYSLER JEEP, INC."/>
    <m/>
    <m/>
    <m/>
    <s v="4570289"/>
    <s v="CARWARS ELITE 12,500 PACKAGE"/>
    <n v="1499"/>
    <n v="0"/>
    <n v="1499"/>
    <n v="460"/>
    <n v="0.30687124749833222"/>
    <x v="18"/>
    <s v="CARWARS ELITE 12,500 PACKAGE ($1,499.00)"/>
    <s v=""/>
    <s v=""/>
    <s v="Secondary Package: Carrier Registration - Monthly ($10.00)"/>
    <s v="eLead - Elite Small ($1,019.00)"/>
    <s v="Secondary Package: Long Term Audio Storage - $10 ($10.00)"/>
  </r>
  <r>
    <s v="Willis Automotive"/>
    <n v="56252"/>
    <n v="15775"/>
    <n v="67953.679999999993"/>
    <n v="0"/>
    <n v="3437"/>
    <n v="3437"/>
    <s v="76076583"/>
    <s v="WILLIS AUTO CAMPUS"/>
    <m/>
    <m/>
    <m/>
    <s v="4570064"/>
    <s v="CARWARS ELITE LARGE"/>
    <n v="4979"/>
    <n v="0"/>
    <n v="4979"/>
    <n v="1542"/>
    <n v="0.30970074312110868"/>
    <x v="18"/>
    <s v="CARWARS ELITE LARGE ($2,981.00)"/>
    <s v="CARWARS CRM MAINTENANCE ($1,998.00)"/>
    <s v=""/>
    <s v="Secondary Package: Carrier Registration - Monthly ($10.00)"/>
    <s v="eLead - CW Elite ($3,427.00)"/>
    <s v=""/>
  </r>
  <r>
    <s v="Headquarter Hyundai"/>
    <n v="73576"/>
    <n v="16761"/>
    <n v="3208.86"/>
    <n v="0"/>
    <n v="720"/>
    <n v="720"/>
    <s v="76156785"/>
    <s v="HEADQUARTER HYUNDAI"/>
    <m/>
    <m/>
    <m/>
    <s v="4570060"/>
    <s v="CRM OUTBOUND TELEPHONY TRACKING (NEW AND CONVERSION)"/>
    <n v="1044.75"/>
    <n v="0"/>
    <n v="1044.75"/>
    <n v="324.75"/>
    <n v="0.31083991385498921"/>
    <x v="18"/>
    <s v="CRM OUTBOUND TELEPHONY TRACKING (NEW AND CONVERSION) ($1,044.75)"/>
    <s v=""/>
    <s v=""/>
    <s v="eLead - CW Starter - 5000 mins v2 ($509.15)"/>
    <s v="Elead CW 8000 ($710.00)"/>
    <s v=""/>
  </r>
  <r>
    <s v="Coastal Kia"/>
    <n v="36440"/>
    <s v="10557A "/>
    <n v="16135.7"/>
    <n v="0"/>
    <n v="1581.65"/>
    <n v="1581.65"/>
    <s v="71058869"/>
    <s v="COASTAL KIA"/>
    <m/>
    <m/>
    <m/>
    <s v="4570062"/>
    <s v="CARWARS PREMIUM SALES"/>
    <n v="2295.36"/>
    <n v="0"/>
    <n v="2295.36"/>
    <n v="713.71"/>
    <n v="0.31093597518472049"/>
    <x v="18"/>
    <s v="CARWARS PREMIUM SALES ($2,295.36)"/>
    <s v=""/>
    <s v=""/>
    <s v="Secondary Package: Carrier Registration - Monthly ($10.00)"/>
    <s v="eLead - CW Premium - Sales 50k v2 ($1,571.65)"/>
    <s v=""/>
  </r>
  <r>
    <s v="Lipton Toyota"/>
    <n v="83171"/>
    <n v="8604"/>
    <n v="31481.439999999999"/>
    <n v="0"/>
    <n v="2005.8000000000002"/>
    <n v="2005.8000000000002"/>
    <s v="76067575"/>
    <s v="LIPTON TOYOTA"/>
    <m/>
    <m/>
    <m/>
    <s v="4570060"/>
    <s v="CRM OUTBOUND TELEPHONY TRACKING (NEW AND CONVERSION)"/>
    <n v="2911.24"/>
    <n v="0"/>
    <n v="2911.24"/>
    <n v="905.4399999999996"/>
    <n v="0.31101523749330173"/>
    <x v="18"/>
    <s v="CRM OUTBOUND TELEPHONY TRACKING (NEW AND CONVERSION) ($2,911.24)"/>
    <s v=""/>
    <s v=""/>
    <s v="Elead CW Starter 4000 v2 ($254.15)"/>
    <s v="Elead CW Unlimited  v2 ($1,571.65)"/>
    <s v="Secondary Package: Elead CW Turbo v2 ($424.15)"/>
  </r>
  <r>
    <s v="Star Ford Lincoln"/>
    <n v="78445"/>
    <n v="10064"/>
    <n v="8485.2900000000009"/>
    <n v="0"/>
    <n v="2005.8000000000002"/>
    <n v="2005.8000000000002"/>
    <s v="76212246"/>
    <s v="STAR FORD LINCOLN"/>
    <m/>
    <m/>
    <m/>
    <s v="4570060"/>
    <s v="CRM OUTBOUND TELEPHONY TRACKING (NEW AND CONVERSION)"/>
    <n v="2914.82"/>
    <n v="0"/>
    <n v="2914.82"/>
    <n v="909.02"/>
    <n v="0.31186145285129097"/>
    <x v="18"/>
    <s v="CRM OUTBOUND TELEPHONY TRACKING (NEW AND CONVERSION) ($2,914.82)"/>
    <s v=""/>
    <s v=""/>
    <s v="Secondary Package: Carrier Registration - Monthly ($10.00)"/>
    <s v="Elead CW Unlimited  v2 ($1,571.65)"/>
    <s v="Secondary Package: eLead - Call Recaps Unlimited v2 ($424.15)"/>
  </r>
  <r>
    <s v="Hacienda Ford"/>
    <n v="138536"/>
    <n v="16121"/>
    <n v="32703.23"/>
    <n v="0"/>
    <n v="2543.85"/>
    <n v="2543.85"/>
    <s v="76210024"/>
    <s v="HACIENDA FORD"/>
    <m/>
    <m/>
    <m/>
    <s v="4570064"/>
    <s v="CARWARS ELITE LARGE"/>
    <n v="3700.63"/>
    <n v="0"/>
    <n v="3700.63"/>
    <n v="1156.7800000000002"/>
    <n v="0.31259001845631695"/>
    <x v="18"/>
    <s v="CARWARS ELITE LARGE ($3,700.63)"/>
    <s v=""/>
    <s v=""/>
    <s v="eLead - CW Advanced - Sales - 7500 mins v2 ($849.15)"/>
    <s v="eLead CW Elite (Sales Service AI) v2 ($2,533.85)"/>
    <s v=""/>
  </r>
  <r>
    <s v="Cloninger Ford of Morganton"/>
    <n v="108919"/>
    <n v="19326"/>
    <n v="1352.5"/>
    <n v="0"/>
    <n v="1284.1500000000001"/>
    <n v="1284.1500000000001"/>
    <s v="76214799"/>
    <s v="CLONINGER FORD OF MORGANTON"/>
    <m/>
    <m/>
    <m/>
    <s v="4570060"/>
    <s v="CRM OUTBOUND TELEPHONY TRACKING (NEW AND CONVERSION)"/>
    <n v="1870.3600000000001"/>
    <n v="0"/>
    <n v="1870.3600000000001"/>
    <n v="586.21"/>
    <n v="0.313420945700293"/>
    <x v="18"/>
    <s v="CRM OUTBOUND TELEPHONY TRACKING (NEW AND CONVERSION) ($371.36)"/>
    <s v="CARWARS ELITE 12,500 PACKAGE ($1,499.00)"/>
    <s v=""/>
    <s v="Secondary Package: Carrier Registration - Monthly ($10.00)"/>
    <s v="eLead - Elite Small v2 ($1,274.15)"/>
    <s v=""/>
  </r>
  <r>
    <s v="Victory Layne Chevrolet"/>
    <n v="76664"/>
    <n v="17313"/>
    <n v="10.98"/>
    <n v="0"/>
    <n v="254.15"/>
    <n v="254.15"/>
    <s v="76065926"/>
    <s v="VICTORY LAYNE CHEVROLET"/>
    <m/>
    <m/>
    <m/>
    <s v="4570060"/>
    <s v="CRM OUTBOUND TELEPHONY TRACKING (NEW AND CONVERSION)"/>
    <n v="370.2"/>
    <n v="0"/>
    <n v="370.2"/>
    <n v="116.04999999999998"/>
    <n v="0.31347920043219879"/>
    <x v="18"/>
    <s v="CRM OUTBOUND TELEPHONY TRACKING (NEW AND CONVERSION) ($370.20)"/>
    <s v=""/>
    <s v=""/>
    <s v="Elead Launch Phase-0 ($0.00)"/>
    <s v=""/>
    <s v=""/>
  </r>
  <r>
    <s v="Rusty Wallace KIA - Alcoa Highway"/>
    <n v="96884"/>
    <n v="17138"/>
    <n v="5959.22"/>
    <n v="135.19"/>
    <n v="389.34"/>
    <n v="254.14999999999998"/>
    <s v="76211637"/>
    <s v="RUSTY WALLACE KIA"/>
    <m/>
    <m/>
    <m/>
    <s v="4570060"/>
    <s v="CRM OUTBOUND TELEPHONY TRACKING (NEW AND CONVERSION)"/>
    <n v="370.2"/>
    <n v="3.1"/>
    <n v="373.3"/>
    <n v="116.05000000000001"/>
    <n v="0.31347920043219885"/>
    <x v="18"/>
    <s v="CRM OUTBOUND TELEPHONY TRACKING (NEW AND CONVERSION) ($370.20)"/>
    <s v=""/>
    <s v=""/>
    <s v="Secondary Package: Carrier Registration - Monthly ($10.00)"/>
    <s v=""/>
    <s v=""/>
  </r>
  <r>
    <s v="Laria Chevrolet Buick"/>
    <n v="92437"/>
    <n v="18665"/>
    <n v="4167.6400000000003"/>
    <n v="11.57"/>
    <n v="265.72000000000003"/>
    <n v="254.15000000000003"/>
    <s v="76211528"/>
    <s v="LARIA CHEVROLET BUICK, INC."/>
    <m/>
    <m/>
    <m/>
    <s v="4570060"/>
    <s v="CRM OUTBOUND TELEPHONY TRACKING (NEW AND CONVERSION)"/>
    <n v="371.18"/>
    <n v="50.17"/>
    <n v="421.35"/>
    <n v="117.02999999999997"/>
    <n v="0.3152917721860013"/>
    <x v="18"/>
    <s v="CRM OUTBOUND TELEPHONY TRACKING (NEW AND CONVERSION) ($371.18)"/>
    <s v=""/>
    <s v=""/>
    <s v="eLead - CW Starter - 3500 mins v2 ($254.15)"/>
    <s v=""/>
    <s v=""/>
  </r>
  <r>
    <s v="Buchanan KIA"/>
    <n v="61126"/>
    <n v="16271"/>
    <n v="266.63"/>
    <n v="0"/>
    <n v="254.15"/>
    <n v="254.15"/>
    <s v="76211762"/>
    <s v="BUCHANAN KIA"/>
    <m/>
    <m/>
    <m/>
    <s v="4570060"/>
    <s v="CRM OUTBOUND TELEPHONY TRACKING (NEW AND CONVERSION)"/>
    <n v="371.18"/>
    <n v="0"/>
    <n v="371.18"/>
    <n v="117.03"/>
    <n v="0.31529177218600141"/>
    <x v="18"/>
    <s v="CRM OUTBOUND TELEPHONY TRACKING (NEW AND CONVERSION) ($371.18)"/>
    <s v=""/>
    <s v=""/>
    <s v="Secondary Package: Carrier Registration - Monthly ($10.00)"/>
    <s v=""/>
    <s v=""/>
  </r>
  <r>
    <s v="Metter Ford"/>
    <n v="121695"/>
    <n v="21212"/>
    <n v="71.98"/>
    <n v="0"/>
    <n v="254.15"/>
    <n v="254.15"/>
    <s v="76208343"/>
    <s v="METTER FORD"/>
    <m/>
    <m/>
    <m/>
    <s v="4570060"/>
    <s v="CRM OUTBOUND TELEPHONY TRACKING (NEW AND CONVERSION)"/>
    <n v="371.18"/>
    <n v="0"/>
    <n v="371.18"/>
    <n v="117.03"/>
    <n v="0.31529177218600141"/>
    <x v="18"/>
    <s v="CRM OUTBOUND TELEPHONY TRACKING (NEW AND CONVERSION) ($371.18)"/>
    <s v=""/>
    <s v=""/>
    <s v="eLead - CW Premium - Sales 50k v2 ($1,571.65)"/>
    <s v=""/>
    <s v=""/>
  </r>
  <r>
    <s v="Audi Miami South"/>
    <n v="185463"/>
    <n v="29715"/>
    <n v="3608.44"/>
    <n v="0"/>
    <n v="1698"/>
    <n v="1698"/>
    <s v="76244702"/>
    <s v="AUDI MIAMI SOUTH"/>
    <m/>
    <m/>
    <m/>
    <s v="4570123"/>
    <s v="CARWARS ADVANCED SERVICE"/>
    <n v="2498"/>
    <n v="0"/>
    <n v="2498"/>
    <n v="800"/>
    <n v="0.32025620496397117"/>
    <x v="18"/>
    <s v="CARWARS ADVANCED SERVICE ($999.00)"/>
    <s v="CARWARS ELITE 12,500 PACKAGE ($1,499.00)"/>
    <s v=""/>
    <s v="Secondary Package: Carrier Registration - Monthly ($10.00)"/>
    <s v="Elead - CW Elite Small + Advanced Service ($1,688.00)"/>
    <s v=""/>
  </r>
  <r>
    <s v="Prestige Ford Inc."/>
    <n v="159077"/>
    <n v="19633"/>
    <n v="10768.08"/>
    <n v="0"/>
    <n v="1698"/>
    <n v="1698"/>
    <s v="76186951"/>
    <s v="PRESTIGE FORD, INC."/>
    <m/>
    <m/>
    <m/>
    <s v="4570123"/>
    <s v="CARWARS ADVANCED SERVICE"/>
    <n v="2498"/>
    <n v="0"/>
    <n v="2498"/>
    <n v="800"/>
    <n v="0.32025620496397117"/>
    <x v="18"/>
    <s v="CARWARS ADVANCED SERVICE ($999.00)"/>
    <s v="CARWARS ELITE 12,500 PACKAGE ($1,499.00)"/>
    <s v=""/>
    <s v="Secondary Package: Carrier Registration - Monthly ($10.00)"/>
    <s v="Elead - CW Elite Small + Advanced Service ($1,688.00)"/>
    <s v=""/>
  </r>
  <r>
    <s v="House Ford CDJR"/>
    <n v="119044"/>
    <n v="21218"/>
    <n v="10318.92"/>
    <n v="0"/>
    <n v="1284.1500000000001"/>
    <n v="1284.1500000000001"/>
    <s v="76210608"/>
    <s v="HOUSE FORD CHRYSLER JEEP DODGE RAM"/>
    <m/>
    <m/>
    <m/>
    <s v="4570289"/>
    <s v="CARWARS ELITE 12,500 PACKAGE"/>
    <n v="1915.5"/>
    <n v="0"/>
    <n v="1915.5"/>
    <n v="631.34999999999991"/>
    <n v="0.32960062646828497"/>
    <x v="18"/>
    <s v="CARWARS ELITE 12,500 PACKAGE ($1,915.50)"/>
    <s v=""/>
    <s v=""/>
    <s v="Secondary Package: Carrier Registration - Monthly ($10.00)"/>
    <s v="eLead - Elite Small v2 ($1,274.15)"/>
    <s v=""/>
  </r>
  <r>
    <s v="Ford of Upland"/>
    <n v="81817"/>
    <n v="17668"/>
    <n v="3608.17"/>
    <n v="0"/>
    <n v="1284.1500000000001"/>
    <n v="1284.1500000000001"/>
    <s v="76153470"/>
    <s v="PARK PLACE FORD, LLC DBA FORD OF UPLAND"/>
    <m/>
    <m/>
    <m/>
    <s v="4570060"/>
    <s v="CRM OUTBOUND TELEPHONY TRACKING (NEW AND CONVERSION)"/>
    <n v="1921.9"/>
    <n v="0"/>
    <n v="1921.9"/>
    <n v="637.75"/>
    <n v="0.33183308184608978"/>
    <x v="18"/>
    <s v="CRM OUTBOUND TELEPHONY TRACKING (NEW AND CONVERSION) ($422.90)"/>
    <s v="CARWARS ELITE 12,500 PACKAGE ($1,499.00)"/>
    <s v=""/>
    <s v="Secondary Package: Carrier Registration - Monthly ($10.00)"/>
    <s v="eLead - Elite Small v2 ($1,274.15)"/>
    <s v=""/>
  </r>
  <r>
    <s v="Holman NC - Leith Lincoln"/>
    <n v="61219"/>
    <n v="16369"/>
    <n v="6213.33"/>
    <n v="0"/>
    <n v="839"/>
    <n v="839"/>
    <s v="01021829"/>
    <s v="LEITH LINCOLN"/>
    <m/>
    <m/>
    <m/>
    <s v="4570060"/>
    <s v="CRM OUTBOUND TELEPHONY TRACKING (NEW AND CONVERSION)"/>
    <n v="1284"/>
    <n v="0"/>
    <n v="1284"/>
    <n v="445"/>
    <n v="0.34657320872274144"/>
    <x v="18"/>
    <s v="CRM OUTBOUND TELEPHONY TRACKING (NEW AND CONVERSION) ($1,274.00)"/>
    <s v="CARWARS INDEFINITE CALL RECORDINGS ($10.00)"/>
    <s v=""/>
    <s v="Secondary Package: Carrier Registration - Monthly ($10.00)"/>
    <s v="Elead CW 8000 ($710.00)"/>
    <s v="Secondary Package: eLead - Leith EHOB ($109.00)"/>
  </r>
  <r>
    <s v="Holman NC - Leith Nissan"/>
    <n v="58251"/>
    <n v="16171"/>
    <n v="7494.86"/>
    <n v="0"/>
    <n v="839"/>
    <n v="839"/>
    <s v="76150081"/>
    <s v="LEITH NISSAN"/>
    <m/>
    <m/>
    <m/>
    <s v="4570060"/>
    <s v="CRM OUTBOUND TELEPHONY TRACKING (NEW AND CONVERSION)"/>
    <n v="1284"/>
    <n v="0"/>
    <n v="1284"/>
    <n v="445"/>
    <n v="0.34657320872274144"/>
    <x v="18"/>
    <s v="CRM OUTBOUND TELEPHONY TRACKING (NEW AND CONVERSION) ($1,274.00)"/>
    <s v="CARWARS INDEFINITE CALL RECORDINGS ($10.00)"/>
    <s v=""/>
    <s v="Secondary Package: Carrier Registration - Monthly ($10.00)"/>
    <s v="Elead CW 8000 ($710.00)"/>
    <s v="Secondary Package: eLead - Leith EHOB ($109.00)"/>
  </r>
  <r>
    <s v="Greenway - Norristown Chrysler Dodge Jeep Ram"/>
    <n v="141757"/>
    <n v="17782"/>
    <n v="3171.09"/>
    <n v="0"/>
    <n v="848"/>
    <n v="848"/>
    <s v="76213065"/>
    <s v="NORRISTOWN CHRYSLER JEEP DODGE RAM"/>
    <m/>
    <m/>
    <m/>
    <s v="4570120"/>
    <s v="CRM TELEPHONY TRACKING"/>
    <n v="1298"/>
    <n v="0"/>
    <n v="1298"/>
    <n v="450"/>
    <n v="0.34668721109399075"/>
    <x v="18"/>
    <s v="CRM TELEPHONY TRACKING ($100.00)"/>
    <s v="CARWARS STARTER 5000 ($1,198.00)"/>
    <s v=""/>
    <s v="Secondary Package: Carrier Registration - Monthly ($10.00)"/>
    <s v="eLead - CW Starter 5000 *2 ($838.00)"/>
    <s v=""/>
  </r>
  <r>
    <s v="Holman NC - Leith Audi Cary"/>
    <n v="61224"/>
    <n v="16381"/>
    <n v="4345.6099999999997"/>
    <n v="26.99"/>
    <n v="675.99"/>
    <n v="649"/>
    <s v="71057013"/>
    <s v="LEITH AUDI OF CARY"/>
    <m/>
    <m/>
    <m/>
    <s v="4570122"/>
    <s v="CARWARS ADVANCED SALES"/>
    <n v="1004"/>
    <n v="208.4"/>
    <n v="1212.4000000000001"/>
    <n v="355"/>
    <n v="0.35358565737051795"/>
    <x v="18"/>
    <s v="CARWARS ADVANCED SALES ($745.00)"/>
    <s v="CARWARS TEXTING (STARTER/ADVANCED) ($249.00)"/>
    <s v="CARWARS INDEFINITE CALL RECORDINGS ($10.00)"/>
    <s v="Secondary Package: Carrier Registration - Monthly ($10.00)"/>
    <s v="Custom Starter 4k and Enhanced Outbound ($629.00)"/>
    <s v="Secondary Package: Long Term Audio Storage - $10 ($10.00)"/>
  </r>
  <r>
    <s v="Nissan of Hendersonville"/>
    <n v="145131"/>
    <n v="25216"/>
    <n v="10421.280000000001"/>
    <n v="0"/>
    <n v="1647"/>
    <n v="1647"/>
    <s v="76251019"/>
    <s v="NISSAN OF HENDERSONVILLE"/>
    <m/>
    <m/>
    <m/>
    <s v="4570122"/>
    <s v="CARWARS ADVANCED SALES"/>
    <n v="2590.2600000000002"/>
    <n v="0"/>
    <n v="2590.2600000000002"/>
    <n v="943.26000000000022"/>
    <n v="0.36415649394269306"/>
    <x v="18"/>
    <s v="CARWARS ADVANCED SALES ($1,170.63)"/>
    <s v="CARWARS ADVANCED SERVICE ($1,170.63)"/>
    <s v="CARWARS VOICE RECOGNITION (STARTER/ADV) ($249.00)"/>
    <s v="Secondary Package: Carrier Registration - Monthly ($10.00)"/>
    <s v="eLead - CW Advanced - Sales &amp; Service - 15000 mins ($1,338.00)"/>
    <s v="Secondary Package: Reseller - Voice Recongnition ($299.00)"/>
  </r>
  <r>
    <s v="Holman NC - Leith Chrysler Jeep"/>
    <n v="61221"/>
    <n v="3934"/>
    <n v="2102.37"/>
    <n v="0"/>
    <n v="649"/>
    <n v="649"/>
    <s v="76061826"/>
    <s v="LEITH CHRYSLER JEEP"/>
    <m/>
    <m/>
    <m/>
    <s v="4570060"/>
    <s v="CRM OUTBOUND TELEPHONY TRACKING (NEW AND CONVERSION)"/>
    <n v="1034"/>
    <n v="0"/>
    <n v="1034"/>
    <n v="385"/>
    <n v="0.37234042553191488"/>
    <x v="18"/>
    <s v="CRM OUTBOUND TELEPHONY TRACKING (NEW AND CONVERSION) ($1,024.00)"/>
    <s v="CARWARS INDEFINITE CALL RECORDINGS ($10.00)"/>
    <s v=""/>
    <s v="Secondary Package: Carrier Registration - Monthly ($10.00)"/>
    <s v="Elead - CW 4000 ($520.00)"/>
    <s v="Secondary Package: eLead - Leith EHOB ($109.00)"/>
  </r>
  <r>
    <s v="Holman NC - Leith Volkswagen Cary"/>
    <n v="61228"/>
    <n v="16388"/>
    <n v="4422.4399999999996"/>
    <n v="32.99"/>
    <n v="681.99"/>
    <n v="649"/>
    <s v="71060891"/>
    <s v="LEITH VOLKSWAGEN"/>
    <m/>
    <m/>
    <m/>
    <s v="4570060"/>
    <s v="CRM OUTBOUND TELEPHONY TRACKING (NEW AND CONVERSION)"/>
    <n v="1034"/>
    <n v="42.96"/>
    <n v="1076.96"/>
    <n v="385"/>
    <n v="0.37234042553191488"/>
    <x v="18"/>
    <s v="CRM OUTBOUND TELEPHONY TRACKING (NEW AND CONVERSION) ($1,024.00)"/>
    <s v="CARWARS INDEFINITE CALL RECORDINGS ($10.00)"/>
    <s v=""/>
    <s v="Secondary Package: Carrier Registration - Monthly ($10.00)"/>
    <s v="Elead - CW 4000 ($520.00)"/>
    <s v="Secondary Package: eLead - Leith EHOB ($109.00)"/>
  </r>
  <r>
    <s v="Myrtle Beach Chrysler Jeep"/>
    <n v="43384"/>
    <n v="7409"/>
    <n v="23726.95"/>
    <n v="0"/>
    <n v="481"/>
    <n v="481"/>
    <s v="76212418"/>
    <s v="BOBBY GALE'S MYRTLE BEACH CHRYSLER JEEP"/>
    <m/>
    <m/>
    <m/>
    <s v="4570585"/>
    <s v="CARWARS STARTER UNLIMITED (FOR PHONE SYSTEMS)"/>
    <n v="799"/>
    <n v="0"/>
    <n v="799"/>
    <n v="318"/>
    <n v="0.39799749687108887"/>
    <x v="18"/>
    <s v="CARWARS STARTER UNLIMITED (FOR PHONE SYSTEMS) ($799.00)"/>
    <s v=""/>
    <s v=""/>
    <s v="Elead CW Starter 8000 v2 ($424.15)"/>
    <s v="eLead - Car Wars - Phone System Integration - No Reviews POR ($471.00)"/>
    <s v=""/>
  </r>
  <r>
    <s v="Hyman Bros Nissan Kia"/>
    <n v="143527"/>
    <n v="23501"/>
    <n v="14842.95"/>
    <n v="0"/>
    <n v="598"/>
    <n v="598"/>
    <s v="76171120"/>
    <s v="HYMAN BROS NISSAN"/>
    <m/>
    <m/>
    <m/>
    <s v="4570058"/>
    <s v="CARWARS STARTER 7500"/>
    <n v="998"/>
    <n v="181.28"/>
    <n v="1179.28"/>
    <n v="400"/>
    <n v="0.40080160320641284"/>
    <x v="18"/>
    <s v="CARWARS STARTER 7500 ($998.00)"/>
    <s v=""/>
    <s v=""/>
    <s v="Secondary Package: Carrier Registration - Monthly ($10.00)"/>
    <s v="eLead - Starter 7500 + Starter 7500 ($588.00)"/>
    <s v=""/>
  </r>
  <r>
    <s v="Zimbrick GMC Buick East"/>
    <n v="87081"/>
    <n v="15964"/>
    <n v="363.02"/>
    <n v="0"/>
    <n v="254.15"/>
    <n v="254.15"/>
    <s v="76066619"/>
    <s v="ZIMBRICK EASTSIDE BUICK"/>
    <m/>
    <m/>
    <m/>
    <s v="4570060"/>
    <s v="CRM OUTBOUND TELEPHONY TRACKING (NEW AND CONVERSION)"/>
    <n v="435.98"/>
    <n v="0"/>
    <n v="435.98"/>
    <n v="181.83"/>
    <n v="0.4170604156153952"/>
    <x v="18"/>
    <s v="CRM OUTBOUND TELEPHONY TRACKING (NEW AND CONVERSION) ($435.98)"/>
    <s v=""/>
    <s v=""/>
    <s v="Secondary Package: Carrier Registration - Monthly ($10.00)"/>
    <s v=""/>
    <s v=""/>
  </r>
  <r>
    <s v="New Country EuroMotorcars Germantown"/>
    <n v="42452"/>
    <n v="11238"/>
    <n v="1564.71"/>
    <n v="0"/>
    <n v="129"/>
    <n v="129"/>
    <s v="76176067"/>
    <s v="EURO MOTOR CARS GERMANTOWN INC"/>
    <m/>
    <m/>
    <m/>
    <s v="4570060"/>
    <s v="CRM OUTBOUND TELEPHONY TRACKING (NEW AND CONVERSION)"/>
    <n v="221.32"/>
    <n v="0"/>
    <n v="221.32"/>
    <n v="92.32"/>
    <n v="0.41713356226278692"/>
    <x v="18"/>
    <s v="CRM OUTBOUND TELEPHONY TRACKING (NEW AND CONVERSION) ($221.32)"/>
    <s v=""/>
    <s v=""/>
    <s v="Secondary Package: Carrier Registration - Monthly ($10.00)"/>
    <s v=""/>
    <s v=""/>
  </r>
  <r>
    <s v="Deacon Jones Buick GMC"/>
    <n v="149427"/>
    <n v="26921"/>
    <n v="9286.66"/>
    <n v="0"/>
    <n v="598"/>
    <n v="598"/>
    <s v="76223210"/>
    <s v="DEACON JONES BUICK GMC"/>
    <m/>
    <m/>
    <m/>
    <s v="4570058"/>
    <s v="CARWARS STARTER 7500"/>
    <n v="1057.28"/>
    <n v="0"/>
    <n v="1057.28"/>
    <n v="459.28"/>
    <n v="0.43439769975786924"/>
    <x v="18"/>
    <s v="CARWARS STARTER 7500 ($1,057.28)"/>
    <s v=""/>
    <s v=""/>
    <s v="Secondary Package: Carrier Registration - Monthly ($10.00)"/>
    <s v="eLead - Starter 7500 + Starter 7500 ($588.00)"/>
    <s v=""/>
  </r>
  <r>
    <s v="Apple Tree Superstore"/>
    <n v="99534"/>
    <n v="19240"/>
    <n v="6415.46"/>
    <n v="48.31"/>
    <n v="187.31"/>
    <n v="139"/>
    <s v="76214539"/>
    <s v="APPLE TREE SUPERSTORE"/>
    <m/>
    <m/>
    <m/>
    <s v="4570060"/>
    <s v="CRM OUTBOUND TELEPHONY TRACKING (NEW AND CONVERSION)"/>
    <n v="247.16"/>
    <n v="68.349999999999994"/>
    <n v="315.51"/>
    <n v="108.16"/>
    <n v="0.43761126395856936"/>
    <x v="18"/>
    <s v="CRM OUTBOUND TELEPHONY TRACKING (NEW AND CONVERSION) ($247.16)"/>
    <s v=""/>
    <s v=""/>
    <s v="Secondary Package: Carrier Registration - Monthly ($10.00)"/>
    <s v="Elead Outbound 4000 v2 ($129.00)"/>
    <s v=""/>
  </r>
  <r>
    <s v="Koeppel Nissan"/>
    <n v="145666"/>
    <n v="25376"/>
    <n v="10397.799999999999"/>
    <n v="0"/>
    <n v="1284.1500000000001"/>
    <n v="1284.1500000000001"/>
    <s v="76001666"/>
    <s v="KOEPPEL NISSAN INC"/>
    <m/>
    <m/>
    <m/>
    <s v="4570123"/>
    <s v="CARWARS ADVANCED SERVICE"/>
    <n v="2498"/>
    <n v="0"/>
    <n v="2498"/>
    <n v="1213.8499999999999"/>
    <n v="0.48592874299439548"/>
    <x v="18"/>
    <s v="CARWARS ADVANCED SERVICE ($999.00)"/>
    <s v="CARWARS ELITE 12,500 PACKAGE ($1,499.00)"/>
    <s v=""/>
    <s v="Secondary Package: Carrier Registration - Monthly ($10.00)"/>
    <s v="eLead - Elite Small v2 ($1,274.15)"/>
    <s v=""/>
  </r>
  <r>
    <s v="Dayton Andrews St Petersburg"/>
    <n v="99695"/>
    <n v="17450"/>
    <n v="3170.77"/>
    <n v="0"/>
    <n v="1019"/>
    <n v="1019"/>
    <s v="52198501"/>
    <s v="DAYTON ANDREWS DODGE CITY"/>
    <m/>
    <m/>
    <m/>
    <s v="4570060"/>
    <s v="CRM OUTBOUND TELEPHONY TRACKING (NEW AND CONVERSION)"/>
    <n v="2306.33"/>
    <n v="0"/>
    <n v="2306.33"/>
    <n v="1287.33"/>
    <n v="0.55817250783712646"/>
    <x v="18"/>
    <s v="CRM OUTBOUND TELEPHONY TRACKING (NEW AND CONVERSION) ($1,107.33)"/>
    <s v="CARWARS ELITE SMALL ($1,199.00)"/>
    <s v=""/>
    <s v="eLead - CW Starter - 3500 mins v2 ($254.15)"/>
    <s v=""/>
    <s v=""/>
  </r>
  <r>
    <s v="Cavalier Mazda"/>
    <n v="50391"/>
    <n v="15178"/>
    <n v="4384.01"/>
    <n v="7.68"/>
    <n v="146.68"/>
    <n v="139"/>
    <s v="76045170"/>
    <s v="CAVALIER MAZDA"/>
    <m/>
    <m/>
    <m/>
    <s v="4570009"/>
    <s v="CARWARS STARTER 3500"/>
    <n v="319"/>
    <n v="14.33"/>
    <n v="333.33"/>
    <n v="180"/>
    <n v="0.56426332288401249"/>
    <x v="18"/>
    <s v="CARWARS STARTER 3500 ($319.00)"/>
    <s v=""/>
    <s v=""/>
    <s v="Secondary Package: Carrier Registration - Monthly ($10.00)"/>
    <s v="Elead Outbound 4000 v2 ($129.00)"/>
    <s v=""/>
  </r>
  <r>
    <s v="Greenway - Awesome Nissan of Brunswick"/>
    <n v="118920"/>
    <n v="19770"/>
    <n v="3843.79"/>
    <n v="0"/>
    <n v="434.15"/>
    <n v="434.15"/>
    <s v="76209484"/>
    <s v="GREENWAY NISSAN OF BRUNSWICK"/>
    <m/>
    <m/>
    <m/>
    <s v="4570060"/>
    <s v="CRM OUTBOUND TELEPHONY TRACKING (NEW AND CONVERSION)"/>
    <n v="998"/>
    <n v="0"/>
    <n v="998"/>
    <n v="563.85"/>
    <n v="0.56497995991983974"/>
    <x v="18"/>
    <s v="CRM OUTBOUND TELEPHONY TRACKING (NEW AND CONVERSION) ($998.00)"/>
    <s v=""/>
    <s v=""/>
    <s v="Sub $0 ($0.00)"/>
    <s v="eLead - CW Starter - 7500 mins v2 ($424.15)"/>
    <s v=""/>
  </r>
  <r>
    <s v="Frankies Auto Sales"/>
    <n v="143374"/>
    <n v="24083"/>
    <n v="1227.92"/>
    <n v="0"/>
    <n v="254.15"/>
    <n v="254.15"/>
    <s v="76016573"/>
    <s v="FRANKIE'S AUTO SALES"/>
    <m/>
    <m/>
    <m/>
    <s v="4571030"/>
    <s v="CARWARS STARTER 5000"/>
    <n v="599"/>
    <n v="0"/>
    <n v="599"/>
    <n v="344.85"/>
    <n v="0.57570951585976626"/>
    <x v="18"/>
    <s v="CARWARS STARTER 5000 ($599.00)"/>
    <s v=""/>
    <s v=""/>
    <s v="Secondary Package: Carrier Registration - Monthly ($10.00)"/>
    <s v=""/>
    <s v=""/>
  </r>
  <r>
    <s v="Zimbrick European"/>
    <n v="87076"/>
    <n v="15958"/>
    <n v="924.87"/>
    <n v="0"/>
    <n v="499"/>
    <n v="499"/>
    <s v="76066623"/>
    <s v="ZIMBRICK EUROPEAN"/>
    <m/>
    <m/>
    <m/>
    <s v="4570779"/>
    <s v="CARWARS ELITE SMALL"/>
    <n v="1209"/>
    <n v="0"/>
    <n v="1209"/>
    <n v="710"/>
    <n v="0.58726220016542596"/>
    <x v="18"/>
    <s v="CARWARS ELITE SMALL ($1,199.00)"/>
    <s v="CARWARS CARRIER REGISTRATION ($10.00)"/>
    <s v=""/>
    <s v="Secondary Package: Carrier Registration - Monthly ($10.00)"/>
    <s v="eLead - CW Leisure Small (Sales Only)  ($489.00)"/>
    <s v=""/>
  </r>
  <r>
    <s v="Jackson Acura of Roswell"/>
    <n v="77807"/>
    <n v="7742"/>
    <n v="21.22"/>
    <n v="0"/>
    <n v="254.15"/>
    <n v="254.15"/>
    <s v="76212236"/>
    <s v="JACKSON ACURA OF ROSWELL"/>
    <m/>
    <m/>
    <m/>
    <s v="4570060"/>
    <s v="CRM OUTBOUND TELEPHONY TRACKING (NEW AND CONVERSION)"/>
    <n v="619.46"/>
    <n v="0"/>
    <n v="619.46"/>
    <n v="365.31000000000006"/>
    <n v="0.58972330739676504"/>
    <x v="18"/>
    <s v="CRM OUTBOUND TELEPHONY TRACKING (NEW AND CONVERSION) ($619.46)"/>
    <s v=""/>
    <s v=""/>
    <s v="Elead CW Starter 4000 v2 ($254.15)"/>
    <s v=""/>
    <s v=""/>
  </r>
  <r>
    <s v="Rusty Wallace Chevrolet"/>
    <n v="96883"/>
    <n v="17114"/>
    <n v="917.21"/>
    <n v="0"/>
    <n v="254.15"/>
    <n v="254.15"/>
    <s v="76211875"/>
    <s v="RUSTY WALLACE CHEVROLET"/>
    <m/>
    <m/>
    <m/>
    <s v="4570358"/>
    <s v="OUTBOUND CALL TRACKING PKGS (GM IMR CONVERSION)"/>
    <n v="979.02"/>
    <n v="0"/>
    <n v="979.02"/>
    <n v="724.87"/>
    <n v="0.74040366897509757"/>
    <x v="18"/>
    <s v="OUTBOUND CALL TRACKING PKGS (GM IMR CONVERSION) ($979.02)"/>
    <s v=""/>
    <s v=""/>
    <s v="Secondary Package: Carrier Registration - Monthly ($10.00)"/>
    <s v=""/>
    <s v=""/>
  </r>
  <r>
    <s v="Grainger Nissan of Savannah"/>
    <n v="116893"/>
    <n v="11012"/>
    <n v="464.45"/>
    <n v="0"/>
    <n v="10"/>
    <n v="10"/>
    <s v="76145782"/>
    <s v="GRAINGER NISSAN"/>
    <m/>
    <m/>
    <m/>
    <s v="4570120"/>
    <s v="CRM TELEPHONY TRACKING"/>
    <n v="84.35"/>
    <n v="0"/>
    <n v="84.35"/>
    <n v="74.349999999999994"/>
    <n v="0.8814463544754001"/>
    <x v="18"/>
    <s v="CRM TELEPHONY TRACKING ($70.35)"/>
    <s v="CARWARS INDEFINITE CALL RECORDINGS ($14.00)"/>
    <s v=""/>
    <s v="Sub $0 ($0.00)"/>
    <s v="Secondary Package: Carrier Registration - Monthly ($10.00)"/>
    <s v=""/>
  </r>
  <r>
    <m/>
    <m/>
    <m/>
    <m/>
    <m/>
    <m/>
    <m/>
    <m/>
    <m/>
    <m/>
    <m/>
    <m/>
    <m/>
    <m/>
    <m/>
    <m/>
    <m/>
    <m/>
    <m/>
    <x v="19"/>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1">
  <r>
    <s v="0914"/>
    <s v="ELEAD"/>
    <s v="ELEAD OTHER"/>
    <s v="CALL TRACKING COUNT AS ONE"/>
    <s v="21112"/>
    <s v="4111001"/>
    <s v="N"/>
    <s v="MI"/>
    <n v="0"/>
    <n v="1053.45"/>
    <n v="1"/>
    <x v="0"/>
    <x v="0"/>
    <s v="76125298"/>
    <x v="0"/>
    <s v="US INVOICE"/>
    <x v="0"/>
    <s v="64222204SW03"/>
    <x v="0"/>
    <x v="0"/>
    <s v="SWW"/>
    <s v="SW ACCESS VIA WEB"/>
    <n v="2025"/>
    <n v="11"/>
    <s v="FIN5030"/>
    <n v="2025"/>
    <s v="November  "/>
    <x v="0"/>
  </r>
  <r>
    <s v="0914"/>
    <s v="ELEAD"/>
    <s v="ELEAD OTHER"/>
    <s v="CALL TRACKING COUNT AS ONE"/>
    <s v="21112"/>
    <s v="4111001"/>
    <s v="N"/>
    <s v="DE"/>
    <n v="0"/>
    <n v="445.73"/>
    <n v="1"/>
    <x v="1"/>
    <x v="1"/>
    <s v="76149019"/>
    <x v="1"/>
    <s v="US INVOICE"/>
    <x v="1"/>
    <s v="68164310SW01"/>
    <x v="1"/>
    <x v="1"/>
    <s v="SWW"/>
    <s v="SW ACCESS VIA WEB"/>
    <n v="2025"/>
    <n v="11"/>
    <s v="FIN5030"/>
    <n v="2025"/>
    <s v="November  "/>
    <x v="0"/>
  </r>
  <r>
    <s v="0914"/>
    <s v="ELEAD"/>
    <s v="ELEAD OTHER"/>
    <s v="CALL TRACKING COUNT AS ONE"/>
    <s v="21112"/>
    <s v="4111001"/>
    <s v="N"/>
    <s v="CA"/>
    <n v="0"/>
    <n v="1053.45"/>
    <n v="1"/>
    <x v="2"/>
    <x v="2"/>
    <s v="76164812"/>
    <x v="2"/>
    <s v="US INVOICE"/>
    <x v="2"/>
    <s v="62179736SW02"/>
    <x v="0"/>
    <x v="0"/>
    <s v="SWW"/>
    <s v="SW ACCESS VIA WEB"/>
    <n v="2025"/>
    <n v="11"/>
    <s v="FIN5030"/>
    <n v="2025"/>
    <s v="November  "/>
    <x v="0"/>
  </r>
  <r>
    <s v="0914"/>
    <s v="ELEAD"/>
    <s v="ELEAD OTHER"/>
    <s v="CALL TRACKING COUNT AS ONE"/>
    <s v="21112"/>
    <s v="4111001"/>
    <s v="N"/>
    <s v="CA"/>
    <n v="0"/>
    <n v="1053.45"/>
    <n v="1"/>
    <x v="3"/>
    <x v="3"/>
    <s v="76169916"/>
    <x v="3"/>
    <s v="US INVOICE"/>
    <x v="3"/>
    <s v="62179736SW03"/>
    <x v="0"/>
    <x v="0"/>
    <s v="SWW"/>
    <s v="SW ACCESS VIA WEB"/>
    <n v="2025"/>
    <n v="11"/>
    <s v="FIN5030"/>
    <n v="2025"/>
    <s v="November  "/>
    <x v="0"/>
  </r>
  <r>
    <s v="0914"/>
    <s v="ELEAD"/>
    <s v="ELEAD OTHER"/>
    <s v="CALL TRACKING COUNT AS ONE"/>
    <s v="21112"/>
    <s v="4111001"/>
    <s v="N"/>
    <s v="CA"/>
    <n v="0"/>
    <n v="1053.45"/>
    <n v="1"/>
    <x v="4"/>
    <x v="4"/>
    <s v="76179964"/>
    <x v="4"/>
    <s v="US INVOICE"/>
    <x v="4"/>
    <s v="58040491SW13"/>
    <x v="0"/>
    <x v="0"/>
    <s v="SWW"/>
    <s v="SW ACCESS VIA WEB"/>
    <n v="2025"/>
    <n v="11"/>
    <s v="FIN5030"/>
    <n v="2025"/>
    <s v="November  "/>
    <x v="0"/>
  </r>
  <r>
    <s v="0914"/>
    <s v="ELEAD"/>
    <s v="ELEAD OTHER"/>
    <s v="CALL TRACKING COUNT AS ONE"/>
    <s v="21112"/>
    <s v="4111001"/>
    <s v="N"/>
    <s v="DE"/>
    <n v="0"/>
    <n v="445.73"/>
    <n v="1"/>
    <x v="5"/>
    <x v="5"/>
    <s v="76195594"/>
    <x v="5"/>
    <s v="US INVOICE"/>
    <x v="5"/>
    <s v="68175358SW02"/>
    <x v="1"/>
    <x v="1"/>
    <s v="SWW"/>
    <s v="SW ACCESS VIA WEB"/>
    <n v="2025"/>
    <n v="11"/>
    <s v="FIN5030"/>
    <n v="2025"/>
    <s v="November  "/>
    <x v="0"/>
  </r>
  <r>
    <s v="0914"/>
    <s v="ELEAD"/>
    <s v="ELEAD OTHER"/>
    <s v="CALL TRACKING COUNT AS ONE"/>
    <s v="21112"/>
    <s v="4111001"/>
    <s v="N"/>
    <s v="TN"/>
    <n v="0"/>
    <n v="1053.45"/>
    <n v="1"/>
    <x v="6"/>
    <x v="6"/>
    <s v="76202353"/>
    <x v="6"/>
    <s v="US INVOICE"/>
    <x v="6"/>
    <s v="64222204SW04"/>
    <x v="0"/>
    <x v="0"/>
    <s v="SWW"/>
    <s v="SW ACCESS VIA WEB"/>
    <n v="2025"/>
    <n v="11"/>
    <s v="FIN5030"/>
    <n v="2025"/>
    <s v="November  "/>
    <x v="0"/>
  </r>
  <r>
    <s v="0914"/>
    <s v="ELEAD"/>
    <s v="ELEAD OTHER"/>
    <s v="CALL TRACKING COUNT AS ONE"/>
    <s v="21112"/>
    <s v="4111001"/>
    <s v="N"/>
    <s v="IN"/>
    <n v="0"/>
    <n v="1053.45"/>
    <n v="1"/>
    <x v="7"/>
    <x v="7"/>
    <s v="76202355"/>
    <x v="7"/>
    <s v="US INVOICE"/>
    <x v="7"/>
    <s v="64222204SW05"/>
    <x v="0"/>
    <x v="0"/>
    <s v="SWW"/>
    <s v="SW ACCESS VIA WEB"/>
    <n v="2025"/>
    <n v="11"/>
    <s v="FIN5030"/>
    <n v="2025"/>
    <s v="November  "/>
    <x v="0"/>
  </r>
  <r>
    <s v="0914"/>
    <s v="ELEAD"/>
    <s v="ELEAD OTHER"/>
    <s v="CALL TRACKING COUNT AS ONE"/>
    <s v="21112"/>
    <s v="4111001"/>
    <s v="N"/>
    <s v="CA"/>
    <n v="0"/>
    <n v="1053.45"/>
    <n v="1"/>
    <x v="8"/>
    <x v="8"/>
    <s v="76202358"/>
    <x v="8"/>
    <s v="US INVOICE"/>
    <x v="8"/>
    <s v="62179736SW05"/>
    <x v="0"/>
    <x v="0"/>
    <s v="SWW"/>
    <s v="SW ACCESS VIA WEB"/>
    <n v="2025"/>
    <n v="11"/>
    <s v="FIN5030"/>
    <n v="2025"/>
    <s v="November  "/>
    <x v="0"/>
  </r>
  <r>
    <s v="0914"/>
    <s v="ELEAD"/>
    <s v="ELEAD OTHER"/>
    <s v="CALL TRACKING COUNT AS ONE"/>
    <s v="21112"/>
    <s v="4111001"/>
    <s v="N"/>
    <s v="MI"/>
    <n v="0"/>
    <n v="1053.45"/>
    <n v="1"/>
    <x v="9"/>
    <x v="9"/>
    <s v="76202360"/>
    <x v="9"/>
    <s v="US INVOICE"/>
    <x v="9"/>
    <s v="64222204SW06"/>
    <x v="0"/>
    <x v="0"/>
    <s v="SWW"/>
    <s v="SW ACCESS VIA WEB"/>
    <n v="2025"/>
    <n v="11"/>
    <s v="FIN5030"/>
    <n v="2025"/>
    <s v="November  "/>
    <x v="0"/>
  </r>
  <r>
    <s v="0914"/>
    <s v="ELEAD"/>
    <s v="ELEAD OTHER"/>
    <s v="CALL TRACKING COUNT AS ONE"/>
    <s v="21112"/>
    <s v="4111001"/>
    <s v="N"/>
    <s v="MI"/>
    <n v="0"/>
    <n v="1053.45"/>
    <n v="1"/>
    <x v="10"/>
    <x v="10"/>
    <s v="76202491"/>
    <x v="10"/>
    <s v="US INVOICE"/>
    <x v="10"/>
    <s v="64222204SW07"/>
    <x v="0"/>
    <x v="0"/>
    <s v="SWW"/>
    <s v="SW ACCESS VIA WEB"/>
    <n v="2025"/>
    <n v="11"/>
    <s v="FIN5030"/>
    <n v="2025"/>
    <s v="November  "/>
    <x v="0"/>
  </r>
  <r>
    <s v="0914"/>
    <s v="ELEAD"/>
    <s v="ELEAD OTHER"/>
    <s v="CALL TRACKING COUNT AS ONE"/>
    <s v="21112"/>
    <s v="4111001"/>
    <s v="N"/>
    <s v="TN"/>
    <n v="0"/>
    <n v="1053.45"/>
    <n v="1"/>
    <x v="11"/>
    <x v="11"/>
    <s v="76202492"/>
    <x v="11"/>
    <s v="US INVOICE"/>
    <x v="11"/>
    <s v="64222204SW08"/>
    <x v="0"/>
    <x v="0"/>
    <s v="SWW"/>
    <s v="SW ACCESS VIA WEB"/>
    <n v="2025"/>
    <n v="11"/>
    <s v="FIN5030"/>
    <n v="2025"/>
    <s v="November  "/>
    <x v="0"/>
  </r>
  <r>
    <s v="0914"/>
    <s v="ELEAD"/>
    <s v="ELEAD OTHER"/>
    <s v="CALL TRACKING COUNT AS ONE"/>
    <s v="21112"/>
    <s v="4111001"/>
    <s v="N"/>
    <s v="TN"/>
    <n v="0"/>
    <n v="1053.45"/>
    <n v="1"/>
    <x v="12"/>
    <x v="12"/>
    <s v="76202493"/>
    <x v="12"/>
    <s v="US INVOICE"/>
    <x v="12"/>
    <s v="64222204SW09"/>
    <x v="0"/>
    <x v="0"/>
    <s v="SWW"/>
    <s v="SW ACCESS VIA WEB"/>
    <n v="2025"/>
    <n v="11"/>
    <s v="FIN5030"/>
    <n v="2025"/>
    <s v="November  "/>
    <x v="0"/>
  </r>
  <r>
    <s v="0914"/>
    <s v="ELEAD"/>
    <s v="ELEAD OTHER"/>
    <s v="CALL TRACKING COUNT AS ONE"/>
    <s v="21112"/>
    <s v="4111001"/>
    <s v="N"/>
    <s v="TN"/>
    <n v="0"/>
    <n v="1053.45"/>
    <n v="1"/>
    <x v="13"/>
    <x v="13"/>
    <s v="76202498"/>
    <x v="13"/>
    <s v="US INVOICE"/>
    <x v="13"/>
    <s v="64222204SW10"/>
    <x v="0"/>
    <x v="0"/>
    <s v="SWW"/>
    <s v="SW ACCESS VIA WEB"/>
    <n v="2025"/>
    <n v="11"/>
    <s v="FIN5030"/>
    <n v="2025"/>
    <s v="November  "/>
    <x v="0"/>
  </r>
  <r>
    <s v="0914"/>
    <s v="ELEAD"/>
    <s v="ELEAD OTHER"/>
    <s v="CALL TRACKING COUNT AS ONE"/>
    <s v="21112"/>
    <s v="4111001"/>
    <s v="N"/>
    <s v="TN"/>
    <n v="0"/>
    <n v="1053.45"/>
    <n v="1"/>
    <x v="14"/>
    <x v="14"/>
    <s v="76202499"/>
    <x v="14"/>
    <s v="US INVOICE"/>
    <x v="14"/>
    <s v="64222204SW11"/>
    <x v="0"/>
    <x v="0"/>
    <s v="SWW"/>
    <s v="SW ACCESS VIA WEB"/>
    <n v="2025"/>
    <n v="11"/>
    <s v="FIN5030"/>
    <n v="2025"/>
    <s v="November  "/>
    <x v="0"/>
  </r>
  <r>
    <s v="0914"/>
    <s v="ELEAD"/>
    <s v="ELEAD OTHER"/>
    <s v="CALL TRACKING COUNT AS ONE"/>
    <s v="21112"/>
    <s v="4111001"/>
    <s v="N"/>
    <s v="MI"/>
    <n v="0"/>
    <n v="1053.45"/>
    <n v="1"/>
    <x v="15"/>
    <x v="15"/>
    <s v="76202505"/>
    <x v="15"/>
    <s v="US INVOICE"/>
    <x v="15"/>
    <s v="64222204SW12"/>
    <x v="0"/>
    <x v="0"/>
    <s v="SWW"/>
    <s v="SW ACCESS VIA WEB"/>
    <n v="2025"/>
    <n v="11"/>
    <s v="FIN5030"/>
    <n v="2025"/>
    <s v="November  "/>
    <x v="0"/>
  </r>
  <r>
    <s v="0914"/>
    <s v="ELEAD"/>
    <s v="ELEAD OTHER"/>
    <s v="CALL TRACKING COUNT AS ONE"/>
    <s v="21112"/>
    <s v="4111001"/>
    <s v="N"/>
    <s v="CA"/>
    <n v="0"/>
    <n v="1053.45"/>
    <n v="1"/>
    <x v="16"/>
    <x v="16"/>
    <s v="76202508"/>
    <x v="16"/>
    <s v="US INVOICE"/>
    <x v="16"/>
    <s v="62179736SW07"/>
    <x v="0"/>
    <x v="0"/>
    <s v="SWW"/>
    <s v="SW ACCESS VIA WEB"/>
    <n v="2025"/>
    <n v="11"/>
    <s v="FIN5030"/>
    <n v="2025"/>
    <s v="November  "/>
    <x v="0"/>
  </r>
  <r>
    <s v="0914"/>
    <s v="ELEAD"/>
    <s v="ELEAD OTHER"/>
    <s v="CALL TRACKING COUNT AS ONE"/>
    <s v="21112"/>
    <s v="4111001"/>
    <s v="N"/>
    <s v="CA"/>
    <n v="0"/>
    <n v="1053.45"/>
    <n v="1"/>
    <x v="17"/>
    <x v="17"/>
    <s v="76202509"/>
    <x v="17"/>
    <s v="US INVOICE"/>
    <x v="17"/>
    <s v="62179736SW08"/>
    <x v="0"/>
    <x v="0"/>
    <s v="SWW"/>
    <s v="SW ACCESS VIA WEB"/>
    <n v="2025"/>
    <n v="11"/>
    <s v="FIN5030"/>
    <n v="2025"/>
    <s v="November  "/>
    <x v="0"/>
  </r>
  <r>
    <s v="0914"/>
    <s v="ELEAD"/>
    <s v="ELEAD OTHER"/>
    <s v="CALL TRACKING COUNT AS ONE"/>
    <s v="21112"/>
    <s v="4111001"/>
    <s v="N"/>
    <s v="CA"/>
    <n v="0"/>
    <n v="1053.45"/>
    <n v="1"/>
    <x v="18"/>
    <x v="18"/>
    <s v="76202512"/>
    <x v="18"/>
    <s v="US INVOICE"/>
    <x v="18"/>
    <s v="62179736SW09"/>
    <x v="0"/>
    <x v="0"/>
    <s v="SWW"/>
    <s v="SW ACCESS VIA WEB"/>
    <n v="2025"/>
    <n v="11"/>
    <s v="FIN5030"/>
    <n v="2025"/>
    <s v="November  "/>
    <x v="0"/>
  </r>
  <r>
    <s v="0914"/>
    <s v="ELEAD"/>
    <s v="ELEAD OTHER"/>
    <s v="CALL TRACKING COUNT AS ONE"/>
    <s v="21112"/>
    <s v="4111001"/>
    <s v="N"/>
    <s v="TN"/>
    <n v="0"/>
    <n v="1053.45"/>
    <n v="1"/>
    <x v="19"/>
    <x v="19"/>
    <s v="76202568"/>
    <x v="19"/>
    <s v="US INVOICE"/>
    <x v="19"/>
    <s v="64222204SW14"/>
    <x v="0"/>
    <x v="0"/>
    <s v="SWW"/>
    <s v="SW ACCESS VIA WEB"/>
    <n v="2025"/>
    <n v="11"/>
    <s v="FIN5030"/>
    <n v="2025"/>
    <s v="November  "/>
    <x v="0"/>
  </r>
  <r>
    <s v="0914"/>
    <s v="ELEAD"/>
    <s v="ELEAD OTHER"/>
    <s v="CALL TRACKING COUNT AS ONE"/>
    <s v="21112"/>
    <s v="4111001"/>
    <s v="N"/>
    <s v="TX"/>
    <n v="0"/>
    <n v="1053.45"/>
    <n v="1"/>
    <x v="20"/>
    <x v="20"/>
    <s v="76202671"/>
    <x v="20"/>
    <s v="US INVOICE"/>
    <x v="20"/>
    <s v="64222204SW13"/>
    <x v="0"/>
    <x v="0"/>
    <s v="SWW"/>
    <s v="SW ACCESS VIA WEB"/>
    <n v="2025"/>
    <n v="11"/>
    <s v="FIN5030"/>
    <n v="2025"/>
    <s v="November  "/>
    <x v="0"/>
  </r>
  <r>
    <s v="0914"/>
    <s v="ELEAD"/>
    <s v="ELEAD OTHER"/>
    <s v="CALL TRACKING COUNT AS ONE"/>
    <s v="21112"/>
    <s v="4111001"/>
    <s v="N"/>
    <s v="CA"/>
    <n v="0"/>
    <n v="1053.45"/>
    <n v="1"/>
    <x v="21"/>
    <x v="21"/>
    <s v="76202911"/>
    <x v="21"/>
    <s v="US INVOICE"/>
    <x v="21"/>
    <s v="62179736SW11"/>
    <x v="0"/>
    <x v="0"/>
    <s v="SWW"/>
    <s v="SW ACCESS VIA WEB"/>
    <n v="2025"/>
    <n v="11"/>
    <s v="FIN5030"/>
    <n v="2025"/>
    <s v="November  "/>
    <x v="0"/>
  </r>
  <r>
    <s v="0914"/>
    <s v="ELEAD"/>
    <s v="ELEAD OTHER"/>
    <s v="CALL TRACKING COUNT AS ONE"/>
    <s v="21112"/>
    <s v="4111001"/>
    <s v="N"/>
    <s v="CA"/>
    <n v="0"/>
    <n v="1053.45"/>
    <n v="1"/>
    <x v="22"/>
    <x v="22"/>
    <s v="76204566"/>
    <x v="22"/>
    <s v="US INVOICE"/>
    <x v="22"/>
    <s v="62179736SW12"/>
    <x v="0"/>
    <x v="0"/>
    <s v="SWW"/>
    <s v="SW ACCESS VIA WEB"/>
    <n v="2025"/>
    <n v="11"/>
    <s v="FIN5030"/>
    <n v="2025"/>
    <s v="November  "/>
    <x v="0"/>
  </r>
  <r>
    <s v="0914"/>
    <s v="ELEAD"/>
    <s v="ELEAD OTHER"/>
    <s v="CALL TRACKING COUNT AS ONE"/>
    <s v="21112"/>
    <s v="4111001"/>
    <s v="N"/>
    <s v="MD"/>
    <n v="0"/>
    <n v="445.73"/>
    <n v="1"/>
    <x v="23"/>
    <x v="23"/>
    <s v="76211510"/>
    <x v="23"/>
    <s v="US INVOICE"/>
    <x v="23"/>
    <s v="68162672SW01"/>
    <x v="1"/>
    <x v="1"/>
    <s v="SWW"/>
    <s v="SW ACCESS VIA WEB"/>
    <n v="2025"/>
    <n v="11"/>
    <s v="FIN5030"/>
    <n v="2025"/>
    <s v="November  "/>
    <x v="0"/>
  </r>
  <r>
    <s v="0914"/>
    <s v="ELEAD"/>
    <s v="ELEAD OTHER"/>
    <s v="CALL TRACKING COUNT AS ONE"/>
    <s v="21112"/>
    <s v="4111001"/>
    <s v="N"/>
    <s v="MA"/>
    <n v="0"/>
    <n v="1053.45"/>
    <n v="1"/>
    <x v="24"/>
    <x v="24"/>
    <s v="76211538"/>
    <x v="24"/>
    <s v="US INVOICE"/>
    <x v="24"/>
    <s v="68219362SW03"/>
    <x v="0"/>
    <x v="0"/>
    <s v="SWW"/>
    <s v="SW ACCESS VIA WEB"/>
    <n v="2025"/>
    <n v="11"/>
    <s v="FIN5030"/>
    <n v="2025"/>
    <s v="November  "/>
    <x v="0"/>
  </r>
  <r>
    <s v="0914"/>
    <s v="ELEAD"/>
    <s v="ELEAD OTHER"/>
    <s v="CALL TRACKING COUNT AS ONE"/>
    <s v="21112"/>
    <s v="4111001"/>
    <s v="N"/>
    <s v="MD"/>
    <n v="0"/>
    <n v="445.73"/>
    <n v="1"/>
    <x v="25"/>
    <x v="25"/>
    <s v="76211548"/>
    <x v="25"/>
    <s v="US INVOICE"/>
    <x v="25"/>
    <s v="68164308SW01"/>
    <x v="1"/>
    <x v="1"/>
    <s v="SWW"/>
    <s v="SW ACCESS VIA WEB"/>
    <n v="2025"/>
    <n v="11"/>
    <s v="FIN5030"/>
    <n v="2025"/>
    <s v="November  "/>
    <x v="0"/>
  </r>
  <r>
    <s v="0914"/>
    <s v="ELEAD"/>
    <s v="ELEAD OTHER"/>
    <s v="CALL TRACKING COUNT AS ONE"/>
    <s v="21112"/>
    <s v="4111001"/>
    <s v="N"/>
    <s v="DE"/>
    <n v="0"/>
    <n v="445.73"/>
    <n v="1"/>
    <x v="26"/>
    <x v="26"/>
    <s v="76211580"/>
    <x v="26"/>
    <s v="US INVOICE"/>
    <x v="26"/>
    <s v="68163330SW01"/>
    <x v="1"/>
    <x v="1"/>
    <s v="SWW"/>
    <s v="SW ACCESS VIA WEB"/>
    <n v="2025"/>
    <n v="11"/>
    <s v="FIN5030"/>
    <n v="2025"/>
    <s v="November  "/>
    <x v="0"/>
  </r>
  <r>
    <s v="0914"/>
    <s v="ELEAD"/>
    <s v="ELEAD OTHER"/>
    <s v="CALL TRACKING COUNT AS ONE"/>
    <s v="21112"/>
    <s v="4111001"/>
    <s v="N"/>
    <s v="DE"/>
    <n v="0"/>
    <n v="445.73"/>
    <n v="1"/>
    <x v="27"/>
    <x v="27"/>
    <s v="76211581"/>
    <x v="27"/>
    <s v="US INVOICE"/>
    <x v="27"/>
    <s v="68162673SW01"/>
    <x v="1"/>
    <x v="1"/>
    <s v="SWW"/>
    <s v="SW ACCESS VIA WEB"/>
    <n v="2025"/>
    <n v="11"/>
    <s v="FIN5030"/>
    <n v="2025"/>
    <s v="November  "/>
    <x v="0"/>
  </r>
  <r>
    <s v="0914"/>
    <s v="ELEAD"/>
    <s v="ELEAD OTHER"/>
    <s v="CALL TRACKING COUNT AS ONE"/>
    <s v="21112"/>
    <s v="4111001"/>
    <s v="N"/>
    <s v="CA"/>
    <n v="0"/>
    <n v="1053.45"/>
    <n v="1"/>
    <x v="28"/>
    <x v="28"/>
    <s v="76211755"/>
    <x v="28"/>
    <s v="US INVOICE"/>
    <x v="28"/>
    <s v="62179736SW13"/>
    <x v="0"/>
    <x v="0"/>
    <s v="SWW"/>
    <s v="SW ACCESS VIA WEB"/>
    <n v="2025"/>
    <n v="11"/>
    <s v="FIN5030"/>
    <n v="2025"/>
    <s v="November  "/>
    <x v="0"/>
  </r>
  <r>
    <s v="0914"/>
    <s v="ELEAD"/>
    <s v="ELEAD OTHER"/>
    <s v="CALL TRACKING COUNT AS ONE"/>
    <s v="21112"/>
    <s v="4111001"/>
    <s v="N"/>
    <s v="DE"/>
    <n v="0"/>
    <n v="445.73"/>
    <n v="1"/>
    <x v="29"/>
    <x v="29"/>
    <s v="76211981"/>
    <x v="29"/>
    <s v="US INVOICE"/>
    <x v="29"/>
    <s v="68163572SW01"/>
    <x v="1"/>
    <x v="1"/>
    <s v="SWW"/>
    <s v="SW ACCESS VIA WEB"/>
    <n v="2025"/>
    <n v="11"/>
    <s v="FIN5030"/>
    <n v="2025"/>
    <s v="November  "/>
    <x v="0"/>
  </r>
  <r>
    <s v="0914"/>
    <s v="ELEAD"/>
    <s v="ELEAD OTHER"/>
    <s v="CALL TRACKING COUNT AS ONE"/>
    <s v="21112"/>
    <s v="4111001"/>
    <s v="N"/>
    <s v="DE"/>
    <n v="0"/>
    <n v="445.73"/>
    <n v="1"/>
    <x v="30"/>
    <x v="30"/>
    <s v="76211989"/>
    <x v="30"/>
    <s v="US INVOICE"/>
    <x v="30"/>
    <s v="68163331SW01"/>
    <x v="1"/>
    <x v="1"/>
    <s v="SWW"/>
    <s v="SW ACCESS VIA WEB"/>
    <n v="2025"/>
    <n v="11"/>
    <s v="FIN5030"/>
    <n v="2025"/>
    <s v="November  "/>
    <x v="0"/>
  </r>
  <r>
    <s v="0914"/>
    <s v="ELEAD"/>
    <s v="ELEAD OTHER"/>
    <s v="CALL TRACKING COUNT AS ONE"/>
    <s v="21112"/>
    <s v="4111001"/>
    <s v="N"/>
    <s v="MD"/>
    <n v="0"/>
    <n v="445.73"/>
    <n v="1"/>
    <x v="31"/>
    <x v="31"/>
    <s v="76212075"/>
    <x v="31"/>
    <s v="US INVOICE"/>
    <x v="31"/>
    <s v="68163827SW01"/>
    <x v="1"/>
    <x v="1"/>
    <s v="SWW"/>
    <s v="SW ACCESS VIA WEB"/>
    <n v="2025"/>
    <n v="11"/>
    <s v="FIN5030"/>
    <n v="2025"/>
    <s v="November  "/>
    <x v="0"/>
  </r>
  <r>
    <s v="0914"/>
    <s v="ELEAD"/>
    <s v="ELEAD OTHER"/>
    <s v="CALL TRACKING COUNT AS ONE"/>
    <s v="21112"/>
    <s v="4111001"/>
    <s v="N"/>
    <s v="MD"/>
    <n v="0"/>
    <n v="445.73"/>
    <n v="1"/>
    <x v="32"/>
    <x v="32"/>
    <s v="76212090"/>
    <x v="32"/>
    <s v="US INVOICE"/>
    <x v="32"/>
    <s v="68163574SW01"/>
    <x v="1"/>
    <x v="1"/>
    <s v="SWW"/>
    <s v="SW ACCESS VIA WEB"/>
    <n v="2025"/>
    <n v="11"/>
    <s v="FIN5030"/>
    <n v="2025"/>
    <s v="November  "/>
    <x v="0"/>
  </r>
  <r>
    <s v="0914"/>
    <s v="ELEAD"/>
    <s v="ELEAD OTHER"/>
    <s v="CALL TRACKING COUNT AS ONE"/>
    <s v="21112"/>
    <s v="4111001"/>
    <s v="N"/>
    <s v="DE"/>
    <n v="0"/>
    <n v="445.73"/>
    <n v="1"/>
    <x v="33"/>
    <x v="33"/>
    <s v="76212307"/>
    <x v="33"/>
    <s v="US INVOICE"/>
    <x v="33"/>
    <s v="68175356SW02"/>
    <x v="1"/>
    <x v="1"/>
    <s v="SWW"/>
    <s v="SW ACCESS VIA WEB"/>
    <n v="2025"/>
    <n v="11"/>
    <s v="FIN5030"/>
    <n v="2025"/>
    <s v="November  "/>
    <x v="0"/>
  </r>
  <r>
    <s v="0914"/>
    <s v="ELEAD"/>
    <s v="ELEAD OTHER"/>
    <s v="CALL TRACKING COUNT AS ONE"/>
    <s v="21112"/>
    <s v="4111001"/>
    <s v="N"/>
    <s v="DE"/>
    <n v="0"/>
    <n v="445.73"/>
    <n v="1"/>
    <x v="34"/>
    <x v="34"/>
    <s v="76212369"/>
    <x v="34"/>
    <s v="US INVOICE"/>
    <x v="34"/>
    <s v="68164311SW01"/>
    <x v="1"/>
    <x v="1"/>
    <s v="SWW"/>
    <s v="SW ACCESS VIA WEB"/>
    <n v="2025"/>
    <n v="11"/>
    <s v="FIN5030"/>
    <n v="2025"/>
    <s v="November  "/>
    <x v="0"/>
  </r>
  <r>
    <s v="0914"/>
    <s v="ELEAD"/>
    <s v="ELEAD OTHER"/>
    <s v="CALL TRACKING COUNT AS ONE"/>
    <s v="21112"/>
    <s v="4111001"/>
    <s v="N"/>
    <s v="CA"/>
    <n v="0"/>
    <n v="1053.45"/>
    <n v="1"/>
    <x v="35"/>
    <x v="35"/>
    <s v="76212419"/>
    <x v="35"/>
    <s v="US INVOICE"/>
    <x v="35"/>
    <s v="62179736SW14"/>
    <x v="0"/>
    <x v="0"/>
    <s v="SWW"/>
    <s v="SW ACCESS VIA WEB"/>
    <n v="2025"/>
    <n v="11"/>
    <s v="FIN5030"/>
    <n v="2025"/>
    <s v="November  "/>
    <x v="0"/>
  </r>
  <r>
    <s v="0914"/>
    <s v="ELEAD"/>
    <s v="ELEAD OTHER"/>
    <s v="CALL TRACKING COUNT AS ONE"/>
    <s v="21112"/>
    <s v="4111001"/>
    <s v="N"/>
    <s v="CA"/>
    <n v="0"/>
    <n v="1053.45"/>
    <n v="1"/>
    <x v="36"/>
    <x v="36"/>
    <s v="76214531"/>
    <x v="36"/>
    <s v="US INVOICE"/>
    <x v="36"/>
    <s v="62179736SW15"/>
    <x v="0"/>
    <x v="0"/>
    <s v="SWW"/>
    <s v="SW ACCESS VIA WEB"/>
    <n v="2025"/>
    <n v="11"/>
    <s v="FIN5030"/>
    <n v="2025"/>
    <s v="November  "/>
    <x v="0"/>
  </r>
  <r>
    <s v="0914"/>
    <s v="ELEAD"/>
    <s v="ELEAD OTHER"/>
    <s v="CALL TRACKING COUNT AS ONE"/>
    <s v="21112"/>
    <s v="4111001"/>
    <s v="N"/>
    <s v="MD"/>
    <n v="0"/>
    <n v="445.73"/>
    <n v="1"/>
    <x v="37"/>
    <x v="37"/>
    <s v="76214817"/>
    <x v="37"/>
    <s v="US INVOICE"/>
    <x v="37"/>
    <s v="68163329SW01"/>
    <x v="1"/>
    <x v="1"/>
    <s v="SWW"/>
    <s v="SW ACCESS VIA WEB"/>
    <n v="2025"/>
    <n v="11"/>
    <s v="FIN5030"/>
    <n v="2025"/>
    <s v="November  "/>
    <x v="0"/>
  </r>
  <r>
    <s v="0914"/>
    <s v="ELEAD"/>
    <s v="ELEAD OTHER"/>
    <s v="CALL TRACKING COUNT AS ONE"/>
    <s v="21112"/>
    <s v="4111001"/>
    <s v="N"/>
    <s v="MD"/>
    <n v="0"/>
    <n v="445.73"/>
    <n v="1"/>
    <x v="38"/>
    <x v="38"/>
    <s v="76215188"/>
    <x v="38"/>
    <s v="US INVOICE"/>
    <x v="38"/>
    <s v="68172657SW01"/>
    <x v="1"/>
    <x v="1"/>
    <s v="SWW"/>
    <s v="SW ACCESS VIA WEB"/>
    <n v="2025"/>
    <n v="11"/>
    <s v="FIN5030"/>
    <n v="2025"/>
    <s v="November  "/>
    <x v="0"/>
  </r>
  <r>
    <s v="0914"/>
    <s v="ELEAD"/>
    <s v="ELEAD OTHER"/>
    <s v="CALL TRACKING COUNT AS ONE"/>
    <s v="21112"/>
    <s v="4111001"/>
    <s v="N"/>
    <s v="MA"/>
    <n v="0"/>
    <n v="1053.45"/>
    <n v="1"/>
    <x v="39"/>
    <x v="39"/>
    <s v="76216792"/>
    <x v="39"/>
    <s v="US INVOICE"/>
    <x v="39"/>
    <s v="68219362SW04"/>
    <x v="0"/>
    <x v="0"/>
    <s v="SWW"/>
    <s v="SW ACCESS VIA WEB"/>
    <n v="2025"/>
    <n v="11"/>
    <s v="FIN5030"/>
    <n v="2025"/>
    <s v="November  "/>
    <x v="0"/>
  </r>
  <r>
    <s v="0914"/>
    <s v="ELEAD"/>
    <s v="ELEAD OTHER"/>
    <s v="CALL TRACKING COUNT AS ONE"/>
    <s v="21112"/>
    <s v="4111001"/>
    <s v="N"/>
    <s v="CA"/>
    <n v="0"/>
    <n v="1053.45"/>
    <n v="1"/>
    <x v="40"/>
    <x v="40"/>
    <s v="76217403"/>
    <x v="40"/>
    <s v="US INVOICE"/>
    <x v="40"/>
    <s v="62179736SW17"/>
    <x v="0"/>
    <x v="0"/>
    <s v="SWW"/>
    <s v="SW ACCESS VIA WEB"/>
    <n v="2025"/>
    <n v="11"/>
    <s v="FIN5030"/>
    <n v="2025"/>
    <s v="November  "/>
    <x v="0"/>
  </r>
  <r>
    <s v="0914"/>
    <s v="ELEAD"/>
    <s v="ELEAD OTHER"/>
    <s v="CALL TRACKING COUNT AS ONE"/>
    <s v="21112"/>
    <s v="4111001"/>
    <s v="N"/>
    <s v="MD"/>
    <n v="0"/>
    <n v="445.73"/>
    <n v="1"/>
    <x v="41"/>
    <x v="41"/>
    <s v="76217603"/>
    <x v="41"/>
    <s v="US INVOICE"/>
    <x v="41"/>
    <s v="68168607SW01"/>
    <x v="1"/>
    <x v="1"/>
    <s v="SWW"/>
    <s v="SW ACCESS VIA WEB"/>
    <n v="2025"/>
    <n v="11"/>
    <s v="FIN5030"/>
    <n v="2025"/>
    <s v="November  "/>
    <x v="0"/>
  </r>
  <r>
    <s v="0914"/>
    <s v="ELEAD"/>
    <s v="ELEAD OTHER"/>
    <s v="CALL TRACKING COUNT AS ONE"/>
    <s v="21112"/>
    <s v="4111001"/>
    <s v="N"/>
    <s v="MD"/>
    <n v="0"/>
    <n v="445.73"/>
    <n v="1"/>
    <x v="42"/>
    <x v="42"/>
    <s v="76217649"/>
    <x v="42"/>
    <s v="US INVOICE"/>
    <x v="42"/>
    <s v="68175354SW02"/>
    <x v="1"/>
    <x v="1"/>
    <s v="SWW"/>
    <s v="SW ACCESS VIA WEB"/>
    <n v="2025"/>
    <n v="11"/>
    <s v="FIN5030"/>
    <n v="2025"/>
    <s v="November  "/>
    <x v="0"/>
  </r>
  <r>
    <s v="0914"/>
    <s v="ELEAD"/>
    <s v="ELEAD OTHER"/>
    <s v="CALL TRACKING COUNT AS ONE"/>
    <s v="21112"/>
    <s v="4111001"/>
    <s v="N"/>
    <s v="MD"/>
    <n v="0"/>
    <n v="445.73"/>
    <n v="1"/>
    <x v="43"/>
    <x v="43"/>
    <s v="76218332"/>
    <x v="43"/>
    <s v="US INVOICE"/>
    <x v="43"/>
    <s v="68175357SW02"/>
    <x v="1"/>
    <x v="1"/>
    <s v="SWW"/>
    <s v="SW ACCESS VIA WEB"/>
    <n v="2025"/>
    <n v="11"/>
    <s v="FIN5030"/>
    <n v="2025"/>
    <s v="November  "/>
    <x v="0"/>
  </r>
  <r>
    <s v="0914"/>
    <s v="ELEAD"/>
    <s v="ELEAD OTHER"/>
    <s v="CALL TRACKING COUNT AS ONE"/>
    <s v="21112"/>
    <s v="4111001"/>
    <s v="N"/>
    <s v="MD"/>
    <n v="0"/>
    <n v="445.73"/>
    <n v="1"/>
    <x v="44"/>
    <x v="44"/>
    <s v="76219122"/>
    <x v="44"/>
    <s v="US INVOICE"/>
    <x v="44"/>
    <s v="68173249SW09"/>
    <x v="1"/>
    <x v="1"/>
    <s v="SWW"/>
    <s v="SW ACCESS VIA WEB"/>
    <n v="2025"/>
    <n v="11"/>
    <s v="FIN5030"/>
    <n v="2025"/>
    <s v="November  "/>
    <x v="0"/>
  </r>
  <r>
    <s v="0914"/>
    <s v="ELEAD"/>
    <s v="ELEAD OTHER"/>
    <s v="CALL TRACKING COUNT AS ONE"/>
    <s v="21112"/>
    <s v="4111001"/>
    <s v="N"/>
    <s v="IL"/>
    <n v="0"/>
    <n v="1053.45"/>
    <n v="1"/>
    <x v="45"/>
    <x v="45"/>
    <s v="76221153"/>
    <x v="45"/>
    <s v="US INVOICE"/>
    <x v="45"/>
    <s v="64222204SW16"/>
    <x v="0"/>
    <x v="0"/>
    <s v="SWW"/>
    <s v="SW ACCESS VIA WEB"/>
    <n v="2025"/>
    <n v="11"/>
    <s v="FIN5030"/>
    <n v="2025"/>
    <s v="November  "/>
    <x v="0"/>
  </r>
  <r>
    <s v="0914"/>
    <s v="ELEAD"/>
    <s v="ELEAD OTHER"/>
    <s v="CALL TRACKING COUNT AS ONE"/>
    <s v="21112"/>
    <s v="4111001"/>
    <s v="N"/>
    <s v="CA"/>
    <n v="0"/>
    <n v="1053.45"/>
    <n v="1"/>
    <x v="46"/>
    <x v="46"/>
    <s v="76228429"/>
    <x v="46"/>
    <s v="US INVOICE"/>
    <x v="46"/>
    <s v="62179736SW01"/>
    <x v="0"/>
    <x v="0"/>
    <s v="SWW"/>
    <s v="SW ACCESS VIA WEB"/>
    <n v="2025"/>
    <n v="11"/>
    <s v="FIN5030"/>
    <n v="2025"/>
    <s v="November  "/>
    <x v="0"/>
  </r>
  <r>
    <s v="0914"/>
    <s v="ELEAD"/>
    <s v="ELEAD OTHER"/>
    <s v="CALL TRACKING COUNT AS ONE"/>
    <s v="21112"/>
    <s v="4111001"/>
    <s v="N"/>
    <s v="CA"/>
    <n v="0"/>
    <n v="1053.45"/>
    <n v="1"/>
    <x v="47"/>
    <x v="47"/>
    <s v="76228607"/>
    <x v="47"/>
    <s v="US INVOICE"/>
    <x v="47"/>
    <s v="62179736SW18"/>
    <x v="0"/>
    <x v="0"/>
    <s v="SWW"/>
    <s v="SW ACCESS VIA WEB"/>
    <n v="2025"/>
    <n v="11"/>
    <s v="FIN5030"/>
    <n v="2025"/>
    <s v="November  "/>
    <x v="0"/>
  </r>
  <r>
    <s v="0914"/>
    <s v="ELEAD"/>
    <s v="ELEAD OTHER"/>
    <s v="CALL TRACKING COUNT AS ONE"/>
    <s v="21112"/>
    <s v="4111001"/>
    <s v="N"/>
    <s v="OH"/>
    <n v="0"/>
    <n v="1053.45"/>
    <n v="1"/>
    <x v="48"/>
    <x v="48"/>
    <s v="76232503"/>
    <x v="48"/>
    <s v="US INVOICE"/>
    <x v="48"/>
    <s v="68219362SW05"/>
    <x v="0"/>
    <x v="0"/>
    <s v="SWW"/>
    <s v="SW ACCESS VIA WEB"/>
    <n v="2025"/>
    <n v="11"/>
    <s v="FIN5030"/>
    <n v="2025"/>
    <s v="November  "/>
    <x v="0"/>
  </r>
  <r>
    <s v="0914"/>
    <s v="ELEAD"/>
    <s v="ELEAD OTHER"/>
    <s v="CALL TRACKING COUNT AS ONE"/>
    <s v="21112"/>
    <s v="4111001"/>
    <s v="N"/>
    <s v="OH"/>
    <n v="0"/>
    <n v="1053.45"/>
    <n v="1"/>
    <x v="49"/>
    <x v="49"/>
    <s v="76232504"/>
    <x v="49"/>
    <s v="US INVOICE"/>
    <x v="49"/>
    <s v="68219362SW06"/>
    <x v="0"/>
    <x v="0"/>
    <s v="SWW"/>
    <s v="SW ACCESS VIA WEB"/>
    <n v="2025"/>
    <n v="11"/>
    <s v="FIN5030"/>
    <n v="2025"/>
    <s v="November  "/>
    <x v="0"/>
  </r>
  <r>
    <s v="0914"/>
    <s v="ELEAD"/>
    <s v="ELEAD OTHER"/>
    <s v="CALL TRACKING COUNT AS ONE"/>
    <s v="21112"/>
    <s v="4111001"/>
    <s v="N"/>
    <s v="CA"/>
    <n v="0"/>
    <n v="1053.45"/>
    <n v="1"/>
    <x v="50"/>
    <x v="50"/>
    <s v="76232648"/>
    <x v="50"/>
    <s v="US INVOICE"/>
    <x v="50"/>
    <s v="62179736SW19"/>
    <x v="0"/>
    <x v="0"/>
    <s v="SWW"/>
    <s v="SW ACCESS VIA WEB"/>
    <n v="2025"/>
    <n v="11"/>
    <s v="FIN5030"/>
    <n v="2025"/>
    <s v="November  "/>
    <x v="0"/>
  </r>
  <r>
    <s v="0914"/>
    <s v="ELEAD"/>
    <s v="ELEAD OTHER"/>
    <s v="CALL TRACKING COUNT AS ONE"/>
    <s v="21112"/>
    <s v="4111001"/>
    <s v="N"/>
    <s v="TN"/>
    <n v="0"/>
    <n v="1053.45"/>
    <n v="1"/>
    <x v="51"/>
    <x v="51"/>
    <s v="76235670"/>
    <x v="51"/>
    <s v="US INVOICE"/>
    <x v="51"/>
    <s v="64222204SW01"/>
    <x v="0"/>
    <x v="0"/>
    <s v="SWW"/>
    <s v="SW ACCESS VIA WEB"/>
    <n v="2025"/>
    <n v="11"/>
    <s v="FIN5030"/>
    <n v="2025"/>
    <s v="November  "/>
    <x v="0"/>
  </r>
  <r>
    <s v="0914"/>
    <s v="ELEAD"/>
    <s v="ELEAD OTHER"/>
    <s v="CALL TRACKING COUNT AS ONE"/>
    <s v="21112"/>
    <s v="4111001"/>
    <s v="N"/>
    <s v="TN"/>
    <n v="0"/>
    <n v="1053.45"/>
    <n v="1"/>
    <x v="52"/>
    <x v="52"/>
    <s v="76236637"/>
    <x v="52"/>
    <s v="US INVOICE"/>
    <x v="52"/>
    <s v="64222204SW02"/>
    <x v="0"/>
    <x v="0"/>
    <s v="SWW"/>
    <s v="SW ACCESS VIA WEB"/>
    <n v="2025"/>
    <n v="11"/>
    <s v="FIN5030"/>
    <n v="2025"/>
    <s v="November  "/>
    <x v="0"/>
  </r>
  <r>
    <s v="0914"/>
    <s v="ELEAD"/>
    <s v="ELEAD OTHER"/>
    <s v="CALL TRACKING COUNT AS ONE"/>
    <s v="21112"/>
    <s v="4111001"/>
    <s v="N"/>
    <s v="TN"/>
    <n v="0"/>
    <n v="249"/>
    <n v="1"/>
    <x v="52"/>
    <x v="52"/>
    <s v="76236637"/>
    <x v="52"/>
    <s v="US INVOICE"/>
    <x v="53"/>
    <s v="58036657SW01"/>
    <x v="2"/>
    <x v="2"/>
    <s v="SWW"/>
    <s v="SW ACCESS VIA WEB"/>
    <n v="2025"/>
    <n v="11"/>
    <s v="FIN5030"/>
    <n v="2025"/>
    <s v="November  "/>
    <x v="1"/>
  </r>
  <r>
    <s v="0914"/>
    <s v="ELEAD"/>
    <s v="ELEAD OTHER"/>
    <s v="CALL TRACKING COUNT AS ONE"/>
    <s v="21112"/>
    <s v="4111001"/>
    <s v="N"/>
    <s v="TN"/>
    <n v="0"/>
    <n v="249"/>
    <n v="1"/>
    <x v="52"/>
    <x v="52"/>
    <s v="76236637"/>
    <x v="52"/>
    <s v="US INVOICE"/>
    <x v="54"/>
    <s v="58036656SW01"/>
    <x v="2"/>
    <x v="2"/>
    <s v="SWW"/>
    <s v="SW ACCESS VIA WEB"/>
    <n v="2025"/>
    <n v="11"/>
    <s v="FIN5030"/>
    <n v="2025"/>
    <s v="November  "/>
    <x v="1"/>
  </r>
  <r>
    <s v="0914"/>
    <s v="ELEAD"/>
    <s v="ELEAD OTHER"/>
    <s v="CALL TRACKING COUNT AS ONE"/>
    <s v="21112"/>
    <s v="4111001"/>
    <s v="N"/>
    <s v="OH"/>
    <n v="0"/>
    <n v="1053.45"/>
    <n v="1"/>
    <x v="53"/>
    <x v="53"/>
    <s v="76238017"/>
    <x v="53"/>
    <s v="US INVOICE"/>
    <x v="55"/>
    <s v="68219362SW01"/>
    <x v="0"/>
    <x v="0"/>
    <s v="SWW"/>
    <s v="SW ACCESS VIA WEB"/>
    <n v="2025"/>
    <n v="11"/>
    <s v="FIN5030"/>
    <n v="2025"/>
    <s v="November  "/>
    <x v="0"/>
  </r>
  <r>
    <s v="0914"/>
    <s v="ELEAD"/>
    <s v="ELEAD OTHER"/>
    <s v="CALL TRACKING COUNT AS ONE"/>
    <s v="21112"/>
    <s v="4111001"/>
    <s v="N"/>
    <s v="WV"/>
    <n v="0"/>
    <n v="1053.45"/>
    <n v="1"/>
    <x v="54"/>
    <x v="54"/>
    <s v="76242001"/>
    <x v="54"/>
    <s v="US INVOICE"/>
    <x v="56"/>
    <s v="68215407SW17"/>
    <x v="0"/>
    <x v="0"/>
    <s v="SWW"/>
    <s v="SW ACCESS VIA WEB"/>
    <n v="2025"/>
    <n v="11"/>
    <s v="FIN5030"/>
    <n v="2025"/>
    <s v="November  "/>
    <x v="0"/>
  </r>
  <r>
    <s v="0914"/>
    <s v="ELEAD"/>
    <s v="ELEAD OTHER"/>
    <s v="CALL TRACKING COUNT AS ONE"/>
    <s v="21112"/>
    <s v="4111001"/>
    <s v="N"/>
    <s v="WV"/>
    <n v="0"/>
    <n v="1053.45"/>
    <n v="1"/>
    <x v="55"/>
    <x v="55"/>
    <s v="76242002"/>
    <x v="55"/>
    <s v="US INVOICE"/>
    <x v="57"/>
    <s v="68219362SW02"/>
    <x v="0"/>
    <x v="0"/>
    <s v="SWW"/>
    <s v="SW ACCESS VIA WEB"/>
    <n v="2025"/>
    <n v="11"/>
    <s v="FIN5030"/>
    <n v="2025"/>
    <s v="November  "/>
    <x v="0"/>
  </r>
  <r>
    <s v="0914"/>
    <s v="ELEAD"/>
    <s v="ELEAD OTHER"/>
    <s v="CALL TRACKING COUNT AS ONE"/>
    <s v="21112"/>
    <s v="4111001"/>
    <s v="N"/>
    <s v="OH"/>
    <n v="0"/>
    <n v="1053.45"/>
    <n v="1"/>
    <x v="56"/>
    <x v="56"/>
    <s v="76244926"/>
    <x v="56"/>
    <s v="US INVOICE"/>
    <x v="58"/>
    <s v="58036073SW01"/>
    <x v="0"/>
    <x v="0"/>
    <s v="SWW"/>
    <s v="SW ACCESS VIA WEB"/>
    <n v="2025"/>
    <n v="11"/>
    <s v="FIN5030"/>
    <n v="2025"/>
    <s v="November  "/>
    <x v="0"/>
  </r>
  <r>
    <s v="0914"/>
    <s v="ELEAD"/>
    <s v="ELEAD OTHER"/>
    <s v="CALL TRACKING COUNT AS ONE"/>
    <s v="21112"/>
    <s v="4111001"/>
    <s v="N"/>
    <s v="OH"/>
    <n v="0"/>
    <n v="1053.45"/>
    <n v="1"/>
    <x v="57"/>
    <x v="57"/>
    <s v="76245508"/>
    <x v="57"/>
    <s v="US INVOICE"/>
    <x v="59"/>
    <s v="58036392SW01"/>
    <x v="0"/>
    <x v="0"/>
    <s v="SWW"/>
    <s v="SW ACCESS VIA WEB"/>
    <n v="2025"/>
    <n v="11"/>
    <s v="FIN5030"/>
    <n v="2025"/>
    <s v="November  "/>
    <x v="0"/>
  </r>
  <r>
    <s v="0914"/>
    <s v="ELEAD"/>
    <s v="ELEAD OTHER"/>
    <s v="CALL TRACKING COUNT AS ONE"/>
    <s v="21112"/>
    <s v="4111001"/>
    <s v="N"/>
    <s v="VA"/>
    <n v="0"/>
    <n v="1053.45"/>
    <n v="1"/>
    <x v="58"/>
    <x v="58"/>
    <s v="76245758"/>
    <x v="58"/>
    <s v="US INVOICE"/>
    <x v="60"/>
    <s v="58036474SW17"/>
    <x v="0"/>
    <x v="0"/>
    <s v="SWW"/>
    <s v="SW ACCESS VIA WEB"/>
    <n v="2025"/>
    <n v="11"/>
    <s v="FIN5030"/>
    <n v="2025"/>
    <s v="November  "/>
    <x v="0"/>
  </r>
  <r>
    <s v="0914"/>
    <s v="ELEAD"/>
    <s v="ELEAD OTHER"/>
    <s v="CALL TRACKING COUNT AS ONE"/>
    <s v="21112"/>
    <s v="4111001"/>
    <s v="N"/>
    <s v="TN"/>
    <n v="0"/>
    <n v="1053.45"/>
    <n v="1"/>
    <x v="59"/>
    <x v="59"/>
    <s v="76245787"/>
    <x v="59"/>
    <s v="US INVOICE"/>
    <x v="61"/>
    <s v="58036524SW17"/>
    <x v="0"/>
    <x v="0"/>
    <s v="SWW"/>
    <s v="SW ACCESS VIA WEB"/>
    <n v="2025"/>
    <n v="11"/>
    <s v="FIN5030"/>
    <n v="2025"/>
    <s v="November  "/>
    <x v="0"/>
  </r>
  <r>
    <s v="0914"/>
    <s v="ELEAD"/>
    <s v="ELEAD OTHER"/>
    <s v="CALL TRACKING COUNT AS ONE"/>
    <s v="21112"/>
    <s v="4111001"/>
    <s v="N"/>
    <s v="CA"/>
    <n v="0"/>
    <n v="1053.45"/>
    <n v="1"/>
    <x v="60"/>
    <x v="60"/>
    <s v="76245927"/>
    <x v="60"/>
    <s v="US INVOICE"/>
    <x v="62"/>
    <s v="58036634SW15"/>
    <x v="0"/>
    <x v="0"/>
    <s v="SWW"/>
    <s v="SW ACCESS VIA WEB"/>
    <n v="2025"/>
    <n v="11"/>
    <s v="FIN5030"/>
    <n v="2025"/>
    <s v="November  "/>
    <x v="0"/>
  </r>
  <r>
    <s v="0914"/>
    <s v="ELEAD"/>
    <s v="ELEAD OTHER"/>
    <s v="CALL TRACKING COUNT AS ONE"/>
    <s v="21112"/>
    <s v="4111001"/>
    <s v="N"/>
    <s v="MO"/>
    <n v="0"/>
    <n v="1053.45"/>
    <n v="1"/>
    <x v="61"/>
    <x v="61"/>
    <s v="76250786"/>
    <x v="61"/>
    <s v="US INVOICE"/>
    <x v="63"/>
    <s v="58037575SW06"/>
    <x v="0"/>
    <x v="0"/>
    <s v="SWW"/>
    <s v="SW ACCESS VIA WEB"/>
    <n v="2025"/>
    <n v="11"/>
    <s v="FIN5030"/>
    <n v="2025"/>
    <s v="November  "/>
    <x v="0"/>
  </r>
  <r>
    <s v="0914"/>
    <s v="ELEAD"/>
    <s v="ELEAD OTHER"/>
    <s v="CALL TRACKING COUNT AS ONE"/>
    <s v="21112"/>
    <s v="4111001"/>
    <s v="N"/>
    <s v="CA"/>
    <n v="0"/>
    <n v="1053.45"/>
    <n v="1"/>
    <x v="62"/>
    <x v="62"/>
    <s v="76251847"/>
    <x v="62"/>
    <s v="US INVOICE"/>
    <x v="64"/>
    <s v="58038034SW14"/>
    <x v="0"/>
    <x v="0"/>
    <s v="SWW"/>
    <s v="SW ACCESS VIA WEB"/>
    <n v="2025"/>
    <n v="11"/>
    <s v="FIN5030"/>
    <n v="2025"/>
    <s v="November  "/>
    <x v="0"/>
  </r>
  <r>
    <s v="0914"/>
    <s v="ELEAD"/>
    <s v="ELEAD OTHER"/>
    <s v="CALL TRACKING COUNT AS ONE"/>
    <s v="21112"/>
    <s v="4111001"/>
    <s v="N"/>
    <s v="WV"/>
    <n v="0"/>
    <n v="1053.45"/>
    <n v="1"/>
    <x v="63"/>
    <x v="63"/>
    <s v="76252209"/>
    <x v="63"/>
    <s v="US INVOICE"/>
    <x v="65"/>
    <s v="64234009SW01"/>
    <x v="0"/>
    <x v="0"/>
    <s v="SWW"/>
    <s v="SW ACCESS VIA WEB"/>
    <n v="2025"/>
    <n v="11"/>
    <s v="FIN5030"/>
    <n v="2025"/>
    <s v="November  "/>
    <x v="0"/>
  </r>
  <r>
    <s v="0914"/>
    <s v="ELEAD"/>
    <s v="ELEAD OTHER"/>
    <s v="CALL TRACKING COUNT AS ONE"/>
    <s v="21112"/>
    <s v="4111001"/>
    <s v="N"/>
    <s v="WV"/>
    <n v="0"/>
    <n v="1053.45"/>
    <n v="1"/>
    <x v="64"/>
    <x v="64"/>
    <s v="76252216"/>
    <x v="64"/>
    <s v="US INVOICE"/>
    <x v="66"/>
    <s v="58038262SW01"/>
    <x v="0"/>
    <x v="0"/>
    <s v="SWW"/>
    <s v="SW ACCESS VIA WEB"/>
    <n v="2025"/>
    <n v="11"/>
    <s v="FIN5030"/>
    <n v="2025"/>
    <s v="November  "/>
    <x v="0"/>
  </r>
  <r>
    <s v="0914"/>
    <s v="ELEAD"/>
    <s v="ELEAD OTHER"/>
    <s v="CALL TRACKING COUNT AS ONE"/>
    <s v="21112"/>
    <s v="4111001"/>
    <s v="N"/>
    <s v="IL"/>
    <n v="0"/>
    <n v="370.2"/>
    <n v="1"/>
    <x v="65"/>
    <x v="65"/>
    <e v="#N/A"/>
    <x v="65"/>
    <s v="US INVOICE"/>
    <x v="67"/>
    <s v="67035276SW02"/>
    <x v="3"/>
    <x v="3"/>
    <s v="SWW"/>
    <s v="SW ACCESS VIA WEB"/>
    <n v="2025"/>
    <n v="11"/>
    <s v="FIN5030"/>
    <n v="2025"/>
    <s v="November  "/>
    <x v="0"/>
  </r>
  <r>
    <s v="0914"/>
    <s v="ELEAD"/>
    <s v="ELEAD OTHER"/>
    <s v="CALL TRACKING COUNT AS ONE"/>
    <s v="21112"/>
    <s v="4111001"/>
    <s v="N"/>
    <s v="FL"/>
    <n v="0"/>
    <n v="77.959999999999994"/>
    <n v="1"/>
    <x v="66"/>
    <x v="65"/>
    <e v="#N/A"/>
    <x v="66"/>
    <s v="US INVOICE"/>
    <x v="68"/>
    <s v="64229211SW40"/>
    <x v="4"/>
    <x v="4"/>
    <s v="SWW"/>
    <s v="SW ACCESS VIA WEB"/>
    <n v="2025"/>
    <n v="11"/>
    <s v="FIN5030"/>
    <n v="2025"/>
    <s v="November  "/>
    <x v="0"/>
  </r>
  <r>
    <s v="0914"/>
    <s v="ELEAD"/>
    <s v="ELEAD OTHER"/>
    <s v="CALL TRACKING COUNT AS ONE"/>
    <s v="21112"/>
    <s v="4111001"/>
    <s v="N"/>
    <s v="FL"/>
    <n v="0"/>
    <n v="87.59"/>
    <n v="1"/>
    <x v="67"/>
    <x v="65"/>
    <e v="#N/A"/>
    <x v="67"/>
    <s v="US INVOICE"/>
    <x v="69"/>
    <s v="64229211SW42"/>
    <x v="4"/>
    <x v="4"/>
    <s v="SWW"/>
    <s v="SW ACCESS VIA WEB"/>
    <n v="2025"/>
    <n v="11"/>
    <s v="FIN5030"/>
    <n v="2025"/>
    <s v="November  "/>
    <x v="0"/>
  </r>
  <r>
    <s v="0914"/>
    <s v="ELEAD"/>
    <s v="ELEAD OTHER"/>
    <s v="CALL TRACKING COUNT AS ONE"/>
    <s v="21112"/>
    <s v="4111001"/>
    <s v="N"/>
    <s v="FL"/>
    <n v="0"/>
    <n v="87.59"/>
    <n v="1"/>
    <x v="68"/>
    <x v="65"/>
    <e v="#N/A"/>
    <x v="68"/>
    <s v="US INVOICE"/>
    <x v="70"/>
    <s v="64229211SW43"/>
    <x v="4"/>
    <x v="4"/>
    <s v="SWW"/>
    <s v="SW ACCESS VIA WEB"/>
    <n v="2025"/>
    <n v="11"/>
    <s v="FIN5030"/>
    <n v="2025"/>
    <s v="November  "/>
    <x v="0"/>
  </r>
  <r>
    <s v="0914"/>
    <s v="ELEAD"/>
    <s v="ELEAD OTHER"/>
    <s v="CALL TRACKING COUNT AS ONE"/>
    <s v="21112"/>
    <s v="4111001"/>
    <s v="N"/>
    <s v="FL"/>
    <n v="0"/>
    <n v="78.489999999999995"/>
    <n v="1"/>
    <x v="69"/>
    <x v="65"/>
    <e v="#N/A"/>
    <x v="69"/>
    <s v="US INVOICE"/>
    <x v="71"/>
    <s v="64229211SW37"/>
    <x v="4"/>
    <x v="4"/>
    <s v="SWW"/>
    <s v="SW ACCESS VIA WEB"/>
    <n v="2025"/>
    <n v="11"/>
    <s v="FIN5030"/>
    <n v="2025"/>
    <s v="November  "/>
    <x v="0"/>
  </r>
  <r>
    <s v="0914"/>
    <s v="ELEAD"/>
    <s v="ELEAD OTHER"/>
    <s v="CALL TRACKING COUNT AS ONE"/>
    <s v="21112"/>
    <s v="4111001"/>
    <s v="N"/>
    <s v="CA"/>
    <n v="0"/>
    <n v="1053.45"/>
    <n v="1"/>
    <x v="70"/>
    <x v="65"/>
    <e v="#N/A"/>
    <x v="70"/>
    <s v="US INVOICE"/>
    <x v="72"/>
    <s v="58039593SW05"/>
    <x v="0"/>
    <x v="0"/>
    <s v="SWW"/>
    <s v="SW ACCESS VIA WEB"/>
    <n v="2025"/>
    <n v="11"/>
    <s v="FIN5030"/>
    <n v="2025"/>
    <s v="November  "/>
    <x v="0"/>
  </r>
  <r>
    <s v="0914"/>
    <s v="ELEAD"/>
    <s v="ELEAD OTHER"/>
    <s v="CALL TRACKING COUNT AS ONE"/>
    <s v="21112"/>
    <s v="4111001"/>
    <s v="N"/>
    <s v="IN"/>
    <n v="0"/>
    <n v="1053.45"/>
    <n v="1"/>
    <x v="71"/>
    <x v="66"/>
    <s v="76254199"/>
    <x v="71"/>
    <s v="US INVOICE"/>
    <x v="73"/>
    <s v="58039177SW10"/>
    <x v="0"/>
    <x v="0"/>
    <s v="SWW"/>
    <s v="SW ACCESS VIA WEB"/>
    <n v="2025"/>
    <n v="11"/>
    <s v="FIN5030"/>
    <n v="2025"/>
    <s v="November  "/>
    <x v="0"/>
  </r>
  <r>
    <s v="0914"/>
    <s v="ELEAD"/>
    <s v="ELEAD OTHER"/>
    <s v="CALL TRACKING COUNT AS ONE"/>
    <s v="21112"/>
    <s v="4111001"/>
    <s v="N"/>
    <s v="IN"/>
    <n v="0"/>
    <n v="1053.45"/>
    <n v="1"/>
    <x v="72"/>
    <x v="67"/>
    <e v="#N/A"/>
    <x v="72"/>
    <s v="US INVOICE"/>
    <x v="74"/>
    <s v="58039172SW03"/>
    <x v="0"/>
    <x v="0"/>
    <s v="SWW"/>
    <s v="SW ACCESS VIA WEB"/>
    <n v="2025"/>
    <n v="11"/>
    <s v="FIN5030"/>
    <n v="2025"/>
    <s v="November  "/>
    <x v="0"/>
  </r>
  <r>
    <s v="0914"/>
    <s v="ELEAD"/>
    <s v="ELEAD OTHER"/>
    <s v="CALL TRACKING COUNT AS ONE"/>
    <s v="21112"/>
    <s v="4111001"/>
    <s v="N"/>
    <s v="IN"/>
    <n v="0"/>
    <n v="1053.45"/>
    <n v="1"/>
    <x v="73"/>
    <x v="68"/>
    <s v="76254200"/>
    <x v="73"/>
    <s v="US INVOICE"/>
    <x v="75"/>
    <s v="58039178SW08"/>
    <x v="0"/>
    <x v="0"/>
    <s v="SWW"/>
    <s v="SW ACCESS VIA WEB"/>
    <n v="2025"/>
    <n v="11"/>
    <s v="FIN5030"/>
    <n v="2025"/>
    <s v="November  "/>
    <x v="0"/>
  </r>
  <r>
    <s v="0914"/>
    <s v="ELEAD"/>
    <s v="ELEAD OTHER"/>
    <s v="CALL TRACKING COUNT AS ONE"/>
    <s v="21112"/>
    <s v="4111001"/>
    <s v="N"/>
    <s v="IN"/>
    <n v="0"/>
    <n v="1053.45"/>
    <n v="1"/>
    <x v="74"/>
    <x v="69"/>
    <s v="76254201"/>
    <x v="74"/>
    <s v="US INVOICE"/>
    <x v="76"/>
    <s v="58039173SW06"/>
    <x v="0"/>
    <x v="0"/>
    <s v="SWW"/>
    <s v="SW ACCESS VIA WEB"/>
    <n v="2025"/>
    <n v="11"/>
    <s v="FIN5030"/>
    <n v="2025"/>
    <s v="November  "/>
    <x v="0"/>
  </r>
  <r>
    <s v="0914"/>
    <s v="ELEAD"/>
    <s v="ELEAD OTHER"/>
    <s v="CALL TRACKING COUNT AS ONE"/>
    <s v="21112"/>
    <s v="4111001"/>
    <s v="N"/>
    <s v="CT"/>
    <n v="0"/>
    <n v="1053.45"/>
    <n v="1"/>
    <x v="75"/>
    <x v="70"/>
    <s v="76255144"/>
    <x v="75"/>
    <s v="US INVOICE"/>
    <x v="77"/>
    <s v="58039501SW11"/>
    <x v="0"/>
    <x v="0"/>
    <s v="SWW"/>
    <s v="SW ACCESS VIA WEB"/>
    <n v="2025"/>
    <n v="11"/>
    <s v="FIN5030"/>
    <n v="2025"/>
    <s v="November  "/>
    <x v="0"/>
  </r>
  <r>
    <s v="0914"/>
    <s v="ELEAD"/>
    <s v="ELEAD OTHER"/>
    <s v="CALL TRACKING COUNT AS ONE"/>
    <s v="21112"/>
    <s v="4111001"/>
    <s v="N"/>
    <s v="IL"/>
    <n v="0"/>
    <n v="1053.45"/>
    <n v="1"/>
    <x v="76"/>
    <x v="71"/>
    <s v="76256438"/>
    <x v="76"/>
    <s v="US INVOICE"/>
    <x v="78"/>
    <s v="64241512SW01"/>
    <x v="0"/>
    <x v="0"/>
    <s v="SWW"/>
    <s v="SW ACCESS VIA WEB"/>
    <n v="2025"/>
    <n v="11"/>
    <s v="FIN5030"/>
    <n v="2025"/>
    <s v="November  "/>
    <x v="0"/>
  </r>
  <r>
    <s v="0918"/>
    <s v="ELEAD"/>
    <s v="ELEAD OTHER"/>
    <s v="CALL TRACKING COUNT AS ONE"/>
    <s v="21114"/>
    <s v="4111001"/>
    <s v="N"/>
    <s v="FL"/>
    <n v="0"/>
    <n v="999"/>
    <n v="1"/>
    <x v="77"/>
    <x v="72"/>
    <e v="#N/A"/>
    <x v="77"/>
    <s v="US INVOICE"/>
    <x v="79"/>
    <s v="64243030SW21"/>
    <x v="5"/>
    <x v="5"/>
    <s v="SWW"/>
    <s v="SW ACCESS VIA WEB"/>
    <n v="2025"/>
    <n v="11"/>
    <s v="FIN5030"/>
    <n v="2025"/>
    <s v="November  "/>
    <x v="1"/>
  </r>
  <r>
    <s v="0918"/>
    <s v="ELEAD"/>
    <s v="ELEAD OTHER"/>
    <s v="CALL TRACKING COUNT AS ONE"/>
    <s v="21114"/>
    <s v="4111001"/>
    <s v="N"/>
    <s v="FL"/>
    <n v="0"/>
    <n v="999"/>
    <n v="1"/>
    <x v="78"/>
    <x v="73"/>
    <e v="#N/A"/>
    <x v="78"/>
    <s v="US INVOICE"/>
    <x v="80"/>
    <s v="64243030SW25"/>
    <x v="5"/>
    <x v="5"/>
    <s v="SWW"/>
    <s v="SW ACCESS VIA WEB"/>
    <n v="2025"/>
    <n v="11"/>
    <s v="FIN5030"/>
    <n v="2025"/>
    <s v="November  "/>
    <x v="1"/>
  </r>
  <r>
    <s v="0918"/>
    <s v="ELEAD"/>
    <s v="ELEAD OTHER"/>
    <s v="CALL TRACKING COUNT AS ONE"/>
    <s v="21114"/>
    <s v="4111001"/>
    <s v="N"/>
    <s v="FL"/>
    <n v="0"/>
    <n v="999"/>
    <n v="1"/>
    <x v="79"/>
    <x v="65"/>
    <e v="#N/A"/>
    <x v="77"/>
    <s v="US INVOICE"/>
    <x v="81"/>
    <s v="64243069SW23"/>
    <x v="5"/>
    <x v="5"/>
    <s v="SWW"/>
    <s v="SW ACCESS VIA WEB"/>
    <n v="2025"/>
    <n v="11"/>
    <s v="FIN5030"/>
    <n v="2025"/>
    <s v="November  "/>
    <x v="1"/>
  </r>
  <r>
    <s v="0918"/>
    <s v="ELEAD"/>
    <s v="ELEAD OTHER"/>
    <s v="CALL TRACKING COUNT AS ONE"/>
    <s v="21114"/>
    <s v="4111001"/>
    <s v="N"/>
    <s v="FL"/>
    <n v="0"/>
    <n v="999"/>
    <n v="1"/>
    <x v="80"/>
    <x v="65"/>
    <e v="#N/A"/>
    <x v="78"/>
    <s v="US INVOICE"/>
    <x v="82"/>
    <s v="64243069SW22"/>
    <x v="5"/>
    <x v="5"/>
    <s v="SWW"/>
    <s v="SW ACCESS VIA WEB"/>
    <n v="2025"/>
    <n v="11"/>
    <s v="FIN5030"/>
    <n v="2025"/>
    <s v="November  "/>
    <x v="1"/>
  </r>
  <r>
    <s v="0918"/>
    <s v="ELEAD"/>
    <s v="ELEAD OTHER"/>
    <s v="CALL TRACKING COUNT AS ONE"/>
    <s v="21114"/>
    <s v="4199002"/>
    <s v="N"/>
    <s v="MO"/>
    <n v="0"/>
    <n v="999"/>
    <n v="1"/>
    <x v="81"/>
    <x v="74"/>
    <e v="#N/A"/>
    <x v="79"/>
    <s v="US INVOICE"/>
    <x v="83"/>
    <s v="64194606SW01"/>
    <x v="6"/>
    <x v="6"/>
    <s v="SWW"/>
    <s v="SW ACCESS VIA WEB"/>
    <n v="2025"/>
    <n v="11"/>
    <s v="FIN5030"/>
    <n v="2025"/>
    <s v="November  "/>
    <x v="0"/>
  </r>
  <r>
    <s v="0918"/>
    <s v="ELEAD"/>
    <s v="ELEAD OTHER"/>
    <s v="CALL TRACKING COUNT AS ONE"/>
    <s v="21114"/>
    <s v="4199002"/>
    <s v="N"/>
    <s v="SC"/>
    <n v="0"/>
    <n v="999"/>
    <n v="1"/>
    <x v="82"/>
    <x v="75"/>
    <e v="#N/A"/>
    <x v="80"/>
    <s v="US INVOICE"/>
    <x v="84"/>
    <s v="68216113SW01"/>
    <x v="6"/>
    <x v="6"/>
    <s v="SWW"/>
    <s v="SW ACCESS VIA WEB"/>
    <n v="2025"/>
    <n v="11"/>
    <s v="FIN5030"/>
    <n v="2025"/>
    <s v="November  "/>
    <x v="0"/>
  </r>
  <r>
    <s v="0918"/>
    <s v="ELEAD"/>
    <s v="ELEAD OTHER"/>
    <s v="CALL TRACKING COUNT AS ONE"/>
    <s v="21114"/>
    <s v="4199002"/>
    <s v="N"/>
    <s v="NC"/>
    <n v="0"/>
    <n v="745"/>
    <n v="1"/>
    <x v="83"/>
    <x v="76"/>
    <e v="#N/A"/>
    <x v="81"/>
    <s v="US INVOICE"/>
    <x v="85"/>
    <s v="58038391SW35"/>
    <x v="6"/>
    <x v="6"/>
    <s v="SWW"/>
    <s v="SW ACCESS VIA WEB"/>
    <n v="2025"/>
    <n v="11"/>
    <s v="FIN5030"/>
    <n v="2025"/>
    <s v="November  "/>
    <x v="0"/>
  </r>
  <r>
    <s v="0918"/>
    <s v="ELEAD"/>
    <s v="ELEAD OTHER"/>
    <s v="CALL TRACKING COUNT AS ONE"/>
    <s v="21114"/>
    <s v="4199002"/>
    <s v="N"/>
    <s v="NC"/>
    <n v="0"/>
    <n v="999"/>
    <n v="1"/>
    <x v="84"/>
    <x v="77"/>
    <e v="#N/A"/>
    <x v="82"/>
    <s v="US INVOICE"/>
    <x v="86"/>
    <s v="58038028SW60"/>
    <x v="6"/>
    <x v="6"/>
    <s v="SWW"/>
    <s v="SW ACCESS VIA WEB"/>
    <n v="2025"/>
    <n v="11"/>
    <s v="FIN5030"/>
    <n v="2025"/>
    <s v="November  "/>
    <x v="0"/>
  </r>
  <r>
    <s v="0918"/>
    <s v="ELEAD"/>
    <s v="ELEAD OTHER"/>
    <s v="CALL TRACKING COUNT AS ONE"/>
    <s v="21114"/>
    <s v="4199002"/>
    <s v="N"/>
    <s v="NC"/>
    <n v="0"/>
    <n v="999"/>
    <n v="1"/>
    <x v="85"/>
    <x v="78"/>
    <e v="#N/A"/>
    <x v="83"/>
    <s v="US INVOICE"/>
    <x v="87"/>
    <s v="58038309SW39"/>
    <x v="6"/>
    <x v="6"/>
    <s v="SWW"/>
    <s v="SW ACCESS VIA WEB"/>
    <n v="2025"/>
    <n v="11"/>
    <s v="FIN5030"/>
    <n v="2025"/>
    <s v="November  "/>
    <x v="0"/>
  </r>
  <r>
    <s v="0918"/>
    <s v="ELEAD"/>
    <s v="ELEAD OTHER"/>
    <s v="CALL TRACKING COUNT AS ONE"/>
    <s v="21114"/>
    <s v="4199002"/>
    <s v="N"/>
    <s v="NC"/>
    <n v="0"/>
    <n v="999"/>
    <n v="1"/>
    <x v="86"/>
    <x v="79"/>
    <e v="#N/A"/>
    <x v="84"/>
    <s v="US INVOICE"/>
    <x v="88"/>
    <s v="58038029SW29"/>
    <x v="6"/>
    <x v="6"/>
    <s v="SWW"/>
    <s v="SW ACCESS VIA WEB"/>
    <n v="2025"/>
    <n v="11"/>
    <s v="FIN5030"/>
    <n v="2025"/>
    <s v="November  "/>
    <x v="0"/>
  </r>
  <r>
    <s v="0918"/>
    <s v="ELEAD"/>
    <s v="ELEAD OTHER"/>
    <s v="CALL TRACKING COUNT AS ONE"/>
    <s v="21114"/>
    <s v="4199002"/>
    <s v="N"/>
    <s v="SC"/>
    <n v="0"/>
    <n v="1078.92"/>
    <n v="1"/>
    <x v="87"/>
    <x v="80"/>
    <e v="#N/A"/>
    <x v="85"/>
    <s v="US INVOICE"/>
    <x v="89"/>
    <s v="68186813SW04"/>
    <x v="6"/>
    <x v="6"/>
    <s v="SWW"/>
    <s v="SW ACCESS VIA WEB"/>
    <n v="2025"/>
    <n v="11"/>
    <s v="FIN5030"/>
    <n v="2025"/>
    <s v="November  "/>
    <x v="0"/>
  </r>
  <r>
    <s v="0918"/>
    <s v="ELEAD"/>
    <s v="ELEAD OTHER"/>
    <s v="CALL TRACKING COUNT AS ONE"/>
    <s v="21114"/>
    <s v="4199002"/>
    <s v="N"/>
    <s v="NC"/>
    <n v="0"/>
    <n v="1170.6300000000001"/>
    <n v="1"/>
    <x v="88"/>
    <x v="81"/>
    <e v="#N/A"/>
    <x v="86"/>
    <s v="US INVOICE"/>
    <x v="90"/>
    <s v="68228462SW17"/>
    <x v="6"/>
    <x v="6"/>
    <s v="SWW"/>
    <s v="SW ACCESS VIA WEB"/>
    <n v="2025"/>
    <n v="11"/>
    <s v="FIN5030"/>
    <n v="2025"/>
    <s v="November  "/>
    <x v="0"/>
  </r>
  <r>
    <s v="0918"/>
    <s v="ELEAD"/>
    <s v="ELEAD OTHER"/>
    <s v="CALL TRACKING COUNT AS ONE"/>
    <s v="21114"/>
    <s v="4199002"/>
    <s v="N"/>
    <s v="CA"/>
    <n v="0"/>
    <n v="999"/>
    <n v="1"/>
    <x v="89"/>
    <x v="82"/>
    <e v="#N/A"/>
    <x v="87"/>
    <s v="US INVOICE"/>
    <x v="91"/>
    <s v="62164402SW02"/>
    <x v="6"/>
    <x v="6"/>
    <s v="SWW"/>
    <s v="SW ACCESS VIA WEB"/>
    <n v="2025"/>
    <n v="11"/>
    <s v="FIN5030"/>
    <n v="2025"/>
    <s v="November  "/>
    <x v="0"/>
  </r>
  <r>
    <s v="0918"/>
    <s v="ELEAD"/>
    <s v="ELEAD OTHER"/>
    <s v="CALL TRACKING COUNT AS ONE"/>
    <s v="21114"/>
    <s v="4199002"/>
    <s v="N"/>
    <s v="NC"/>
    <n v="0"/>
    <n v="999"/>
    <n v="1"/>
    <x v="90"/>
    <x v="83"/>
    <e v="#N/A"/>
    <x v="88"/>
    <s v="US INVOICE"/>
    <x v="92"/>
    <s v="58038028SW21"/>
    <x v="6"/>
    <x v="6"/>
    <s v="SWW"/>
    <s v="SW ACCESS VIA WEB"/>
    <n v="2025"/>
    <n v="11"/>
    <s v="FIN5030"/>
    <n v="2025"/>
    <s v="November  "/>
    <x v="0"/>
  </r>
  <r>
    <s v="0918"/>
    <s v="ELEAD"/>
    <s v="ELEAD OTHER"/>
    <s v="CALL TRACKING COUNT AS ONE"/>
    <s v="21114"/>
    <s v="4199002"/>
    <s v="N"/>
    <s v="IN"/>
    <n v="0"/>
    <n v="999"/>
    <n v="1"/>
    <x v="91"/>
    <x v="84"/>
    <e v="#N/A"/>
    <x v="89"/>
    <s v="US INVOICE"/>
    <x v="93"/>
    <s v="64233160SW01"/>
    <x v="6"/>
    <x v="6"/>
    <s v="SWW"/>
    <s v="SW ACCESS VIA WEB"/>
    <n v="2025"/>
    <n v="11"/>
    <s v="FIN5030"/>
    <n v="2025"/>
    <s v="November  "/>
    <x v="0"/>
  </r>
  <r>
    <s v="0918"/>
    <s v="ELEAD"/>
    <s v="ELEAD OTHER"/>
    <s v="CALL TRACKING COUNT AS ONE"/>
    <s v="21114"/>
    <s v="4199002"/>
    <s v="N"/>
    <s v="NC"/>
    <n v="0"/>
    <n v="999"/>
    <n v="1"/>
    <x v="92"/>
    <x v="85"/>
    <e v="#N/A"/>
    <x v="90"/>
    <s v="US INVOICE"/>
    <x v="94"/>
    <s v="58038309SW49"/>
    <x v="6"/>
    <x v="6"/>
    <s v="SWW"/>
    <s v="SW ACCESS VIA WEB"/>
    <n v="2025"/>
    <n v="11"/>
    <s v="FIN5030"/>
    <n v="2025"/>
    <s v="November  "/>
    <x v="0"/>
  </r>
  <r>
    <s v="0918"/>
    <s v="ELEAD"/>
    <s v="ELEAD OTHER"/>
    <s v="CALL TRACKING COUNT AS ONE"/>
    <s v="21114"/>
    <s v="4199002"/>
    <s v="N"/>
    <s v="NC"/>
    <n v="0"/>
    <n v="999"/>
    <n v="1"/>
    <x v="93"/>
    <x v="86"/>
    <e v="#N/A"/>
    <x v="91"/>
    <s v="US INVOICE"/>
    <x v="95"/>
    <s v="58038309SW31"/>
    <x v="6"/>
    <x v="6"/>
    <s v="SWW"/>
    <s v="SW ACCESS VIA WEB"/>
    <n v="2025"/>
    <n v="11"/>
    <s v="FIN5030"/>
    <n v="2025"/>
    <s v="November  "/>
    <x v="0"/>
  </r>
  <r>
    <s v="0914"/>
    <s v="ELEAD"/>
    <s v="ELEAD OTHER"/>
    <s v="CALL TRACKING COUNT AS ONE"/>
    <s v="21112"/>
    <s v="4111001"/>
    <s v="N"/>
    <s v="NC"/>
    <n v="0"/>
    <n v="1170.6300000000001"/>
    <n v="1"/>
    <x v="88"/>
    <x v="81"/>
    <e v="#N/A"/>
    <x v="86"/>
    <s v="US INVOICE"/>
    <x v="96"/>
    <s v="68228462SW16"/>
    <x v="7"/>
    <x v="7"/>
    <s v="SWW"/>
    <s v="SW ACCESS VIA WEB"/>
    <n v="2025"/>
    <n v="11"/>
    <s v="FIN5030"/>
    <n v="2025"/>
    <s v="November  "/>
    <x v="1"/>
  </r>
  <r>
    <s v="0914"/>
    <s v="ELEAD"/>
    <s v="ELEAD OTHER"/>
    <s v="CALL TRACKING COUNT AS ONE"/>
    <s v="21112"/>
    <s v="4111001"/>
    <s v="N"/>
    <s v="FL"/>
    <n v="0"/>
    <n v="999"/>
    <n v="1"/>
    <x v="94"/>
    <x v="87"/>
    <e v="#N/A"/>
    <x v="92"/>
    <s v="US INVOICE"/>
    <x v="97"/>
    <s v="64230019SW02"/>
    <x v="7"/>
    <x v="7"/>
    <s v="SWW"/>
    <s v="SW ACCESS VIA WEB"/>
    <n v="2025"/>
    <n v="11"/>
    <s v="FIN5030"/>
    <n v="2025"/>
    <s v="November  "/>
    <x v="1"/>
  </r>
  <r>
    <s v="0914"/>
    <s v="ELEAD"/>
    <s v="ELEAD OTHER"/>
    <s v="CALL TRACKING COUNT AS ONE"/>
    <s v="21112"/>
    <s v="4111001"/>
    <s v="N"/>
    <s v="FL"/>
    <n v="0"/>
    <n v="999"/>
    <n v="1"/>
    <x v="95"/>
    <x v="88"/>
    <e v="#N/A"/>
    <x v="93"/>
    <s v="US INVOICE"/>
    <x v="98"/>
    <s v="64218586SW02"/>
    <x v="7"/>
    <x v="7"/>
    <s v="SWW"/>
    <s v="SW ACCESS VIA WEB"/>
    <n v="2025"/>
    <n v="11"/>
    <s v="FIN5030"/>
    <n v="2025"/>
    <s v="November  "/>
    <x v="1"/>
  </r>
  <r>
    <s v="0914"/>
    <s v="ELEAD"/>
    <s v="ELEAD OTHER"/>
    <s v="CALL TRACKING COUNT AS ONE"/>
    <s v="21112"/>
    <s v="4111001"/>
    <s v="N"/>
    <s v="NY"/>
    <n v="0"/>
    <n v="999"/>
    <n v="1"/>
    <x v="96"/>
    <x v="89"/>
    <e v="#N/A"/>
    <x v="94"/>
    <s v="US INVOICE"/>
    <x v="99"/>
    <s v="68224082SW02"/>
    <x v="7"/>
    <x v="7"/>
    <s v="SWW"/>
    <s v="SW ACCESS VIA WEB"/>
    <n v="2025"/>
    <n v="11"/>
    <s v="FIN5030"/>
    <n v="2025"/>
    <s v="November  "/>
    <x v="1"/>
  </r>
  <r>
    <s v="0914"/>
    <s v="ELEAD"/>
    <s v="ELEAD OTHER"/>
    <s v="CALL TRACKING COUNT AS ONE"/>
    <s v="21112"/>
    <s v="4111001"/>
    <s v="N"/>
    <s v="SC"/>
    <n v="0"/>
    <n v="995"/>
    <n v="1"/>
    <x v="97"/>
    <x v="65"/>
    <e v="#N/A"/>
    <x v="95"/>
    <s v="US INVOICE"/>
    <x v="100"/>
    <s v="68211044SW42"/>
    <x v="8"/>
    <x v="8"/>
    <s v="SWW"/>
    <s v="SW ACCESS VIA WEB"/>
    <n v="2025"/>
    <n v="11"/>
    <s v="FIN5030"/>
    <n v="2025"/>
    <s v="November  "/>
    <x v="0"/>
  </r>
  <r>
    <s v="0914"/>
    <s v="ELEAD"/>
    <s v="ELEAD OTHER"/>
    <s v="CALL TRACKING COUNT AS ONE"/>
    <s v="21112"/>
    <s v="4111001"/>
    <s v="N"/>
    <s v="WI"/>
    <n v="0"/>
    <n v="10"/>
    <n v="1"/>
    <x v="98"/>
    <x v="90"/>
    <e v="#N/A"/>
    <x v="96"/>
    <s v="US INVOICE"/>
    <x v="101"/>
    <s v="64241433SW02"/>
    <x v="9"/>
    <x v="9"/>
    <s v="SWW"/>
    <s v="SW ACCESS VIA WEB"/>
    <n v="2025"/>
    <n v="11"/>
    <s v="FIN5030"/>
    <n v="2025"/>
    <s v="November  "/>
    <x v="1"/>
  </r>
  <r>
    <s v="0914"/>
    <s v="ELEAD"/>
    <s v="ELEAD OTHER"/>
    <s v="CALL TRACKING COUNT AS ONE"/>
    <s v="21112"/>
    <s v="4111001"/>
    <s v="N"/>
    <s v="VA"/>
    <n v="0"/>
    <n v="0"/>
    <n v="2"/>
    <x v="99"/>
    <x v="91"/>
    <e v="#N/A"/>
    <x v="97"/>
    <s v="US INVOICE"/>
    <x v="102"/>
    <s v="68244443SW02"/>
    <x v="9"/>
    <x v="9"/>
    <s v="SWW"/>
    <s v="SW ACCESS VIA WEB"/>
    <n v="2025"/>
    <n v="11"/>
    <s v="FIN5030"/>
    <n v="2025"/>
    <s v="November  "/>
    <x v="1"/>
  </r>
  <r>
    <s v="0914"/>
    <s v="ELEAD"/>
    <s v="ELEAD OTHER"/>
    <s v="CALL TRACKING COUNT AS ONE"/>
    <s v="21112"/>
    <s v="4111001"/>
    <s v="N"/>
    <s v="SC"/>
    <n v="0"/>
    <n v="10"/>
    <n v="1"/>
    <x v="100"/>
    <x v="92"/>
    <e v="#N/A"/>
    <x v="98"/>
    <s v="US INVOICE"/>
    <x v="103"/>
    <s v="68237629SW04"/>
    <x v="9"/>
    <x v="9"/>
    <s v="SWW"/>
    <s v="SW ACCESS VIA WEB"/>
    <n v="2025"/>
    <n v="11"/>
    <s v="FIN5030"/>
    <n v="2025"/>
    <s v="November  "/>
    <x v="1"/>
  </r>
  <r>
    <s v="0914"/>
    <s v="ELEAD"/>
    <s v="ELEAD OTHER"/>
    <s v="CALL TRACKING COUNT AS ONE"/>
    <s v="21112"/>
    <s v="4111001"/>
    <s v="N"/>
    <s v="SC"/>
    <n v="0"/>
    <n v="10"/>
    <n v="1"/>
    <x v="101"/>
    <x v="93"/>
    <e v="#N/A"/>
    <x v="99"/>
    <s v="US INVOICE"/>
    <x v="104"/>
    <s v="68237629SW02"/>
    <x v="9"/>
    <x v="9"/>
    <s v="SWW"/>
    <s v="SW ACCESS VIA WEB"/>
    <n v="2025"/>
    <n v="11"/>
    <s v="FIN5030"/>
    <n v="2025"/>
    <s v="November  "/>
    <x v="1"/>
  </r>
  <r>
    <s v="0914"/>
    <s v="ELEAD"/>
    <s v="ELEAD OTHER"/>
    <s v="CALL TRACKING COUNT AS ONE"/>
    <s v="21112"/>
    <s v="4111001"/>
    <s v="N"/>
    <s v="FL"/>
    <n v="0"/>
    <n v="10"/>
    <n v="1"/>
    <x v="102"/>
    <x v="94"/>
    <e v="#N/A"/>
    <x v="100"/>
    <s v="US INVOICE"/>
    <x v="105"/>
    <s v="64238240SW01"/>
    <x v="9"/>
    <x v="9"/>
    <s v="SWW"/>
    <s v="SW ACCESS VIA WEB"/>
    <n v="2025"/>
    <n v="11"/>
    <s v="FIN5030"/>
    <n v="2025"/>
    <s v="November  "/>
    <x v="1"/>
  </r>
  <r>
    <s v="0914"/>
    <s v="ELEAD"/>
    <s v="ELEAD OTHER"/>
    <s v="CALL TRACKING COUNT AS ONE"/>
    <s v="21112"/>
    <s v="4111001"/>
    <s v="N"/>
    <s v="WI"/>
    <n v="0"/>
    <n v="10"/>
    <n v="1"/>
    <x v="103"/>
    <x v="95"/>
    <e v="#N/A"/>
    <x v="101"/>
    <s v="US INVOICE"/>
    <x v="106"/>
    <s v="64242723SW08"/>
    <x v="9"/>
    <x v="9"/>
    <s v="SWW"/>
    <s v="SW ACCESS VIA WEB"/>
    <n v="2025"/>
    <n v="11"/>
    <s v="FIN5030"/>
    <n v="2025"/>
    <s v="November  "/>
    <x v="1"/>
  </r>
  <r>
    <s v="0914"/>
    <s v="ELEAD"/>
    <s v="ELEAD OTHER"/>
    <s v="CALL TRACKING COUNT AS ONE"/>
    <s v="21112"/>
    <s v="4111001"/>
    <s v="N"/>
    <s v="WI"/>
    <n v="0"/>
    <n v="10"/>
    <n v="1"/>
    <x v="104"/>
    <x v="96"/>
    <e v="#N/A"/>
    <x v="102"/>
    <s v="US INVOICE"/>
    <x v="107"/>
    <s v="64242723SW04"/>
    <x v="9"/>
    <x v="9"/>
    <s v="SWW"/>
    <s v="SW ACCESS VIA WEB"/>
    <n v="2025"/>
    <n v="11"/>
    <s v="FIN5030"/>
    <n v="2025"/>
    <s v="November  "/>
    <x v="1"/>
  </r>
  <r>
    <s v="0914"/>
    <s v="ELEAD"/>
    <s v="ELEAD OTHER"/>
    <s v="CALL TRACKING COUNT AS ONE"/>
    <s v="21112"/>
    <s v="4111001"/>
    <s v="N"/>
    <s v="TN"/>
    <n v="0"/>
    <n v="10"/>
    <n v="1"/>
    <x v="105"/>
    <x v="97"/>
    <e v="#N/A"/>
    <x v="103"/>
    <s v="US INVOICE"/>
    <x v="108"/>
    <s v="64238641SW03"/>
    <x v="9"/>
    <x v="9"/>
    <s v="SWW"/>
    <s v="SW ACCESS VIA WEB"/>
    <n v="2025"/>
    <n v="11"/>
    <s v="FIN5030"/>
    <n v="2025"/>
    <s v="November  "/>
    <x v="1"/>
  </r>
  <r>
    <s v="0914"/>
    <s v="ELEAD"/>
    <s v="ELEAD OTHER"/>
    <s v="CALL TRACKING COUNT AS ONE"/>
    <s v="21112"/>
    <s v="4111001"/>
    <s v="N"/>
    <s v="VA"/>
    <n v="0"/>
    <n v="0.65"/>
    <n v="2"/>
    <x v="99"/>
    <x v="91"/>
    <e v="#N/A"/>
    <x v="97"/>
    <s v="US INVOICE"/>
    <x v="109"/>
    <s v="68244443SW02"/>
    <x v="9"/>
    <x v="9"/>
    <s v="SWW"/>
    <s v="SW ACCESS VIA WEB"/>
    <n v="2025"/>
    <n v="11"/>
    <s v="FIN5030"/>
    <n v="2025"/>
    <s v="November  "/>
    <x v="1"/>
  </r>
  <r>
    <s v="0914"/>
    <s v="ELEAD"/>
    <s v="ELEAD OTHER"/>
    <s v="CALL TRACKING COUNT AS ONE"/>
    <s v="21112"/>
    <s v="4111001"/>
    <s v="N"/>
    <s v="WI"/>
    <n v="0"/>
    <n v="10"/>
    <n v="1"/>
    <x v="106"/>
    <x v="98"/>
    <e v="#N/A"/>
    <x v="104"/>
    <s v="US INVOICE"/>
    <x v="110"/>
    <s v="64241044SW04"/>
    <x v="9"/>
    <x v="9"/>
    <s v="SWW"/>
    <s v="SW ACCESS VIA WEB"/>
    <n v="2025"/>
    <n v="11"/>
    <s v="FIN5030"/>
    <n v="2025"/>
    <s v="November  "/>
    <x v="1"/>
  </r>
  <r>
    <s v="0914"/>
    <s v="ELEAD"/>
    <s v="ELEAD OTHER"/>
    <s v="CALL TRACKING COUNT AS ONE"/>
    <s v="21112"/>
    <s v="4111001"/>
    <s v="N"/>
    <s v="WI"/>
    <n v="0"/>
    <n v="10"/>
    <n v="1"/>
    <x v="107"/>
    <x v="99"/>
    <e v="#N/A"/>
    <x v="105"/>
    <s v="US INVOICE"/>
    <x v="111"/>
    <s v="64242723SW06"/>
    <x v="9"/>
    <x v="9"/>
    <s v="SWW"/>
    <s v="SW ACCESS VIA WEB"/>
    <n v="2025"/>
    <n v="11"/>
    <s v="FIN5030"/>
    <n v="2025"/>
    <s v="November  "/>
    <x v="1"/>
  </r>
  <r>
    <s v="0914"/>
    <s v="ELEAD"/>
    <s v="ELEAD OTHER"/>
    <s v="CALL TRACKING COUNT AS ONE"/>
    <s v="21112"/>
    <s v="4111001"/>
    <s v="N"/>
    <s v="WI"/>
    <n v="0"/>
    <n v="10"/>
    <n v="1"/>
    <x v="108"/>
    <x v="100"/>
    <e v="#N/A"/>
    <x v="106"/>
    <s v="US INVOICE"/>
    <x v="112"/>
    <s v="64242723SW02"/>
    <x v="9"/>
    <x v="9"/>
    <s v="SWW"/>
    <s v="SW ACCESS VIA WEB"/>
    <n v="2025"/>
    <n v="11"/>
    <s v="FIN5030"/>
    <n v="2025"/>
    <s v="November  "/>
    <x v="1"/>
  </r>
  <r>
    <s v="0914"/>
    <s v="ELEAD"/>
    <s v="ELEAD OTHER"/>
    <s v="CALL TRACKING COUNT AS ONE"/>
    <s v="21112"/>
    <s v="4111001"/>
    <s v="N"/>
    <s v="WI"/>
    <n v="0"/>
    <n v="10"/>
    <n v="1"/>
    <x v="109"/>
    <x v="101"/>
    <e v="#N/A"/>
    <x v="107"/>
    <s v="US INVOICE"/>
    <x v="113"/>
    <s v="64241044SW02"/>
    <x v="9"/>
    <x v="9"/>
    <s v="SWW"/>
    <s v="SW ACCESS VIA WEB"/>
    <n v="2025"/>
    <n v="11"/>
    <s v="FIN5030"/>
    <n v="2025"/>
    <s v="November  "/>
    <x v="1"/>
  </r>
  <r>
    <s v="0914"/>
    <s v="ELEAD"/>
    <s v="ELEAD OTHER"/>
    <s v="CALL TRACKING COUNT AS ONE"/>
    <s v="21112"/>
    <s v="4111001"/>
    <s v="N"/>
    <s v="ID"/>
    <n v="0"/>
    <n v="10"/>
    <n v="1"/>
    <x v="110"/>
    <x v="65"/>
    <e v="#N/A"/>
    <x v="108"/>
    <s v="US INVOICE"/>
    <x v="114"/>
    <s v="62192235SW01"/>
    <x v="9"/>
    <x v="9"/>
    <s v="SWW"/>
    <s v="SW ACCESS VIA WEB"/>
    <n v="2025"/>
    <n v="11"/>
    <s v="FIN5030"/>
    <n v="2025"/>
    <s v="November  "/>
    <x v="1"/>
  </r>
  <r>
    <s v="0914"/>
    <s v="ELEAD"/>
    <s v="ELEAD OTHER"/>
    <s v="CALL TRACKING COUNT AS ONE"/>
    <s v="21112"/>
    <s v="4111001"/>
    <s v="N"/>
    <s v="IA"/>
    <n v="0"/>
    <n v="1998"/>
    <n v="1"/>
    <x v="111"/>
    <x v="102"/>
    <e v="#N/A"/>
    <x v="109"/>
    <s v="US INVOICE"/>
    <x v="115"/>
    <s v="67052158SW01"/>
    <x v="10"/>
    <x v="10"/>
    <s v="SWW"/>
    <s v="SW ACCESS VIA WEB"/>
    <n v="2025"/>
    <n v="11"/>
    <s v="FIN5030"/>
    <n v="2025"/>
    <s v="November  "/>
    <x v="1"/>
  </r>
  <r>
    <s v="0914"/>
    <s v="ELEAD"/>
    <s v="ELEAD OTHER"/>
    <s v="CALL TRACKING COUNT AS ONE"/>
    <s v="21112"/>
    <s v="4111001"/>
    <s v="N"/>
    <s v="TX"/>
    <n v="0"/>
    <n v="1499"/>
    <n v="1"/>
    <x v="112"/>
    <x v="103"/>
    <e v="#N/A"/>
    <x v="110"/>
    <s v="US INVOICE"/>
    <x v="116"/>
    <s v="62189504SW01"/>
    <x v="11"/>
    <x v="11"/>
    <s v="SWW"/>
    <s v="SW ACCESS VIA WEB"/>
    <n v="2025"/>
    <n v="11"/>
    <s v="FIN5030"/>
    <n v="2025"/>
    <s v="November  "/>
    <x v="0"/>
  </r>
  <r>
    <s v="0914"/>
    <s v="ELEAD"/>
    <s v="ELEAD OTHER"/>
    <s v="CALL TRACKING COUNT AS ONE"/>
    <s v="21112"/>
    <s v="4111001"/>
    <s v="N"/>
    <s v="NJ"/>
    <n v="0"/>
    <n v="1499"/>
    <n v="1"/>
    <x v="113"/>
    <x v="104"/>
    <e v="#N/A"/>
    <x v="111"/>
    <s v="US INVOICE"/>
    <x v="117"/>
    <s v="68231661SW68"/>
    <x v="11"/>
    <x v="11"/>
    <s v="SWW"/>
    <s v="SW ACCESS VIA WEB"/>
    <n v="2025"/>
    <n v="11"/>
    <s v="FIN5030"/>
    <n v="2025"/>
    <s v="November  "/>
    <x v="0"/>
  </r>
  <r>
    <s v="0914"/>
    <s v="ELEAD"/>
    <s v="ELEAD OTHER"/>
    <s v="CALL TRACKING COUNT AS ONE"/>
    <s v="21112"/>
    <s v="4111001"/>
    <s v="N"/>
    <s v="GA"/>
    <n v="0"/>
    <n v="1499"/>
    <n v="1"/>
    <x v="114"/>
    <x v="105"/>
    <e v="#N/A"/>
    <x v="112"/>
    <s v="US INVOICE"/>
    <x v="118"/>
    <s v="68217569SW01"/>
    <x v="11"/>
    <x v="11"/>
    <s v="SWW"/>
    <s v="SW ACCESS VIA WEB"/>
    <n v="2025"/>
    <n v="11"/>
    <s v="FIN5030"/>
    <n v="2025"/>
    <s v="November  "/>
    <x v="0"/>
  </r>
  <r>
    <s v="0914"/>
    <s v="ELEAD"/>
    <s v="ELEAD OTHER"/>
    <s v="CALL TRACKING COUNT AS ONE"/>
    <s v="21112"/>
    <s v="4111001"/>
    <s v="N"/>
    <s v="GA"/>
    <n v="0"/>
    <n v="1499"/>
    <n v="1"/>
    <x v="115"/>
    <x v="106"/>
    <e v="#N/A"/>
    <x v="113"/>
    <s v="US INVOICE"/>
    <x v="119"/>
    <s v="68226286SW01"/>
    <x v="11"/>
    <x v="11"/>
    <s v="SWW"/>
    <s v="SW ACCESS VIA WEB"/>
    <n v="2025"/>
    <n v="11"/>
    <s v="FIN5030"/>
    <n v="2025"/>
    <s v="November  "/>
    <x v="0"/>
  </r>
  <r>
    <s v="0914"/>
    <s v="ELEAD"/>
    <s v="ELEAD OTHER"/>
    <s v="CALL TRACKING COUNT AS ONE"/>
    <s v="21112"/>
    <s v="4111001"/>
    <s v="N"/>
    <s v="TX"/>
    <n v="0"/>
    <n v="1499"/>
    <n v="1"/>
    <x v="116"/>
    <x v="107"/>
    <e v="#N/A"/>
    <x v="114"/>
    <s v="US INVOICE"/>
    <x v="120"/>
    <s v="64222579SW10"/>
    <x v="11"/>
    <x v="11"/>
    <s v="SWW"/>
    <s v="SW ACCESS VIA WEB"/>
    <n v="2025"/>
    <n v="11"/>
    <s v="FIN5030"/>
    <n v="2025"/>
    <s v="November  "/>
    <x v="0"/>
  </r>
  <r>
    <s v="0914"/>
    <s v="ELEAD"/>
    <s v="ELEAD OTHER"/>
    <s v="CALL TRACKING COUNT AS ONE"/>
    <s v="21112"/>
    <s v="4111001"/>
    <s v="N"/>
    <s v="NJ"/>
    <n v="0"/>
    <n v="1499"/>
    <n v="1"/>
    <x v="117"/>
    <x v="108"/>
    <e v="#N/A"/>
    <x v="115"/>
    <s v="US INVOICE"/>
    <x v="121"/>
    <s v="68231661SW64"/>
    <x v="11"/>
    <x v="11"/>
    <s v="SWW"/>
    <s v="SW ACCESS VIA WEB"/>
    <n v="2025"/>
    <n v="11"/>
    <s v="FIN5030"/>
    <n v="2025"/>
    <s v="November  "/>
    <x v="0"/>
  </r>
  <r>
    <s v="0914"/>
    <s v="ELEAD"/>
    <s v="ELEAD OTHER"/>
    <s v="CALL TRACKING COUNT AS ONE"/>
    <s v="21112"/>
    <s v="4111001"/>
    <s v="N"/>
    <s v="NJ"/>
    <n v="0"/>
    <n v="1499"/>
    <n v="1"/>
    <x v="118"/>
    <x v="109"/>
    <e v="#N/A"/>
    <x v="116"/>
    <s v="US INVOICE"/>
    <x v="122"/>
    <s v="68231661SW60"/>
    <x v="11"/>
    <x v="11"/>
    <s v="SWW"/>
    <s v="SW ACCESS VIA WEB"/>
    <n v="2025"/>
    <n v="11"/>
    <s v="FIN5030"/>
    <n v="2025"/>
    <s v="November  "/>
    <x v="0"/>
  </r>
  <r>
    <s v="0914"/>
    <s v="ELEAD"/>
    <s v="ELEAD OTHER"/>
    <s v="CALL TRACKING COUNT AS ONE"/>
    <s v="21112"/>
    <s v="4111001"/>
    <s v="N"/>
    <s v="FL"/>
    <n v="0"/>
    <n v="1499"/>
    <n v="1"/>
    <x v="80"/>
    <x v="65"/>
    <e v="#N/A"/>
    <x v="78"/>
    <s v="US INVOICE"/>
    <x v="123"/>
    <s v="64243069SW20"/>
    <x v="11"/>
    <x v="11"/>
    <s v="SWW"/>
    <s v="SW ACCESS VIA WEB"/>
    <n v="2025"/>
    <n v="11"/>
    <s v="FIN5030"/>
    <n v="2025"/>
    <s v="November  "/>
    <x v="0"/>
  </r>
  <r>
    <s v="0914"/>
    <s v="ELEAD"/>
    <s v="ELEAD OTHER"/>
    <s v="CALL TRACKING COUNT AS ONE"/>
    <s v="21112"/>
    <s v="4111001"/>
    <s v="N"/>
    <s v="VA"/>
    <n v="0"/>
    <n v="1499"/>
    <n v="1"/>
    <x v="119"/>
    <x v="110"/>
    <e v="#N/A"/>
    <x v="117"/>
    <s v="US INVOICE"/>
    <x v="124"/>
    <s v="68242546SW11"/>
    <x v="11"/>
    <x v="11"/>
    <s v="SWW"/>
    <s v="SW ACCESS VIA WEB"/>
    <n v="2025"/>
    <n v="11"/>
    <s v="FIN5030"/>
    <n v="2025"/>
    <s v="November  "/>
    <x v="0"/>
  </r>
  <r>
    <s v="0914"/>
    <s v="ELEAD"/>
    <s v="ELEAD OTHER"/>
    <s v="CALL TRACKING COUNT AS ONE"/>
    <s v="21112"/>
    <s v="4111001"/>
    <s v="N"/>
    <s v="FL"/>
    <n v="0"/>
    <n v="1499"/>
    <n v="1"/>
    <x v="94"/>
    <x v="87"/>
    <e v="#N/A"/>
    <x v="92"/>
    <s v="US INVOICE"/>
    <x v="125"/>
    <s v="64230019SW01"/>
    <x v="11"/>
    <x v="11"/>
    <s v="SWW"/>
    <s v="SW ACCESS VIA WEB"/>
    <n v="2025"/>
    <n v="11"/>
    <s v="FIN5030"/>
    <n v="2025"/>
    <s v="November  "/>
    <x v="0"/>
  </r>
  <r>
    <s v="0914"/>
    <s v="ELEAD"/>
    <s v="ELEAD OTHER"/>
    <s v="CALL TRACKING COUNT AS ONE"/>
    <s v="21112"/>
    <s v="4111001"/>
    <s v="N"/>
    <s v="NJ"/>
    <n v="0"/>
    <n v="1499"/>
    <n v="1"/>
    <x v="120"/>
    <x v="111"/>
    <e v="#N/A"/>
    <x v="118"/>
    <s v="US INVOICE"/>
    <x v="126"/>
    <s v="68231661SW66"/>
    <x v="11"/>
    <x v="11"/>
    <s v="SWW"/>
    <s v="SW ACCESS VIA WEB"/>
    <n v="2025"/>
    <n v="11"/>
    <s v="FIN5030"/>
    <n v="2025"/>
    <s v="November  "/>
    <x v="0"/>
  </r>
  <r>
    <s v="0914"/>
    <s v="ELEAD"/>
    <s v="ELEAD OTHER"/>
    <s v="CALL TRACKING COUNT AS ONE"/>
    <s v="21112"/>
    <s v="4111001"/>
    <s v="N"/>
    <s v="PA"/>
    <n v="0"/>
    <n v="1499"/>
    <n v="1"/>
    <x v="121"/>
    <x v="112"/>
    <e v="#N/A"/>
    <x v="119"/>
    <s v="US INVOICE"/>
    <x v="127"/>
    <s v="68229856SW04"/>
    <x v="11"/>
    <x v="11"/>
    <s v="SWW"/>
    <s v="SW ACCESS VIA WEB"/>
    <n v="2025"/>
    <n v="11"/>
    <s v="FIN5030"/>
    <n v="2025"/>
    <s v="November  "/>
    <x v="0"/>
  </r>
  <r>
    <s v="0914"/>
    <s v="ELEAD"/>
    <s v="ELEAD OTHER"/>
    <s v="CALL TRACKING COUNT AS ONE"/>
    <s v="21112"/>
    <s v="4111001"/>
    <s v="N"/>
    <s v="FL"/>
    <n v="0"/>
    <n v="1499"/>
    <n v="1"/>
    <x v="122"/>
    <x v="113"/>
    <e v="#N/A"/>
    <x v="120"/>
    <s v="US INVOICE"/>
    <x v="128"/>
    <s v="64205187SW01"/>
    <x v="11"/>
    <x v="11"/>
    <s v="SWW"/>
    <s v="SW ACCESS VIA WEB"/>
    <n v="2025"/>
    <n v="11"/>
    <s v="FIN5030"/>
    <n v="2025"/>
    <s v="November  "/>
    <x v="0"/>
  </r>
  <r>
    <s v="0914"/>
    <s v="ELEAD"/>
    <s v="ELEAD OTHER"/>
    <s v="CALL TRACKING COUNT AS ONE"/>
    <s v="21112"/>
    <s v="4111001"/>
    <s v="N"/>
    <s v="NJ"/>
    <n v="0"/>
    <n v="1499"/>
    <n v="1"/>
    <x v="123"/>
    <x v="114"/>
    <e v="#N/A"/>
    <x v="121"/>
    <s v="US INVOICE"/>
    <x v="129"/>
    <s v="68231661SW62"/>
    <x v="11"/>
    <x v="11"/>
    <s v="SWW"/>
    <s v="SW ACCESS VIA WEB"/>
    <n v="2025"/>
    <n v="11"/>
    <s v="FIN5030"/>
    <n v="2025"/>
    <s v="November  "/>
    <x v="0"/>
  </r>
  <r>
    <s v="0914"/>
    <s v="ELEAD"/>
    <s v="ELEAD OTHER"/>
    <s v="CALL TRACKING COUNT AS ONE"/>
    <s v="21112"/>
    <s v="4111001"/>
    <s v="N"/>
    <s v="FL"/>
    <n v="0"/>
    <n v="1499"/>
    <n v="1"/>
    <x v="77"/>
    <x v="72"/>
    <e v="#N/A"/>
    <x v="77"/>
    <s v="US INVOICE"/>
    <x v="130"/>
    <s v="64243030SW20"/>
    <x v="11"/>
    <x v="11"/>
    <s v="SWW"/>
    <s v="SW ACCESS VIA WEB"/>
    <n v="2025"/>
    <n v="11"/>
    <s v="FIN5030"/>
    <n v="2025"/>
    <s v="November  "/>
    <x v="0"/>
  </r>
  <r>
    <s v="0914"/>
    <s v="ELEAD"/>
    <s v="ELEAD OTHER"/>
    <s v="CALL TRACKING COUNT AS ONE"/>
    <s v="21112"/>
    <s v="4111001"/>
    <s v="N"/>
    <s v="FL"/>
    <n v="0"/>
    <n v="1499"/>
    <n v="1"/>
    <x v="124"/>
    <x v="115"/>
    <e v="#N/A"/>
    <x v="122"/>
    <s v="US INVOICE"/>
    <x v="131"/>
    <s v="64222629SW01"/>
    <x v="11"/>
    <x v="11"/>
    <s v="SWW"/>
    <s v="SW ACCESS VIA WEB"/>
    <n v="2025"/>
    <n v="11"/>
    <s v="FIN5030"/>
    <n v="2025"/>
    <s v="November  "/>
    <x v="0"/>
  </r>
  <r>
    <s v="0914"/>
    <s v="ELEAD"/>
    <s v="ELEAD OTHER"/>
    <s v="CALL TRACKING COUNT AS ONE"/>
    <s v="21112"/>
    <s v="4111001"/>
    <s v="N"/>
    <s v="NC"/>
    <n v="0"/>
    <n v="1499"/>
    <n v="1"/>
    <x v="125"/>
    <x v="116"/>
    <e v="#N/A"/>
    <x v="123"/>
    <s v="US INVOICE"/>
    <x v="132"/>
    <s v="68232710SW01"/>
    <x v="11"/>
    <x v="11"/>
    <s v="SWW"/>
    <s v="SW ACCESS VIA WEB"/>
    <n v="2025"/>
    <n v="11"/>
    <s v="FIN5030"/>
    <n v="2025"/>
    <s v="November  "/>
    <x v="0"/>
  </r>
  <r>
    <s v="0914"/>
    <s v="ELEAD"/>
    <s v="ELEAD OTHER"/>
    <s v="CALL TRACKING COUNT AS ONE"/>
    <s v="21112"/>
    <s v="4111001"/>
    <s v="N"/>
    <s v="MN"/>
    <n v="0"/>
    <n v="1915.5"/>
    <n v="1"/>
    <x v="126"/>
    <x v="117"/>
    <e v="#N/A"/>
    <x v="124"/>
    <s v="US INVOICE"/>
    <x v="133"/>
    <s v="67049562SW05"/>
    <x v="11"/>
    <x v="11"/>
    <s v="SWW"/>
    <s v="SW ACCESS VIA WEB"/>
    <n v="2025"/>
    <n v="11"/>
    <s v="FIN5030"/>
    <n v="2025"/>
    <s v="November  "/>
    <x v="0"/>
  </r>
  <r>
    <s v="0914"/>
    <s v="ELEAD"/>
    <s v="ELEAD OTHER"/>
    <s v="CALL TRACKING COUNT AS ONE"/>
    <s v="21112"/>
    <s v="4111001"/>
    <s v="N"/>
    <s v="PA"/>
    <n v="0"/>
    <n v="1499"/>
    <n v="1"/>
    <x v="127"/>
    <x v="118"/>
    <e v="#N/A"/>
    <x v="125"/>
    <s v="US INVOICE"/>
    <x v="134"/>
    <s v="68210338SW01"/>
    <x v="11"/>
    <x v="11"/>
    <s v="SWW"/>
    <s v="SW ACCESS VIA WEB"/>
    <n v="2025"/>
    <n v="11"/>
    <s v="FIN5030"/>
    <n v="2025"/>
    <s v="November  "/>
    <x v="0"/>
  </r>
  <r>
    <s v="0914"/>
    <s v="ELEAD"/>
    <s v="ELEAD OTHER"/>
    <s v="CALL TRACKING COUNT AS ONE"/>
    <s v="21112"/>
    <s v="4111001"/>
    <s v="N"/>
    <s v="FL"/>
    <n v="0"/>
    <n v="1499"/>
    <n v="1"/>
    <x v="128"/>
    <x v="119"/>
    <e v="#N/A"/>
    <x v="126"/>
    <s v="US INVOICE"/>
    <x v="135"/>
    <s v="64228106SW01"/>
    <x v="11"/>
    <x v="11"/>
    <s v="SWW"/>
    <s v="SW ACCESS VIA WEB"/>
    <n v="2025"/>
    <n v="11"/>
    <s v="FIN5030"/>
    <n v="2025"/>
    <s v="November  "/>
    <x v="0"/>
  </r>
  <r>
    <s v="0914"/>
    <s v="ELEAD"/>
    <s v="ELEAD OTHER"/>
    <s v="CALL TRACKING COUNT AS ONE"/>
    <s v="21112"/>
    <s v="4111001"/>
    <s v="N"/>
    <s v="FL"/>
    <n v="0"/>
    <n v="1499"/>
    <n v="1"/>
    <x v="79"/>
    <x v="65"/>
    <e v="#N/A"/>
    <x v="77"/>
    <s v="US INVOICE"/>
    <x v="136"/>
    <s v="64243069SW24"/>
    <x v="11"/>
    <x v="11"/>
    <s v="SWW"/>
    <s v="SW ACCESS VIA WEB"/>
    <n v="2025"/>
    <n v="11"/>
    <s v="FIN5030"/>
    <n v="2025"/>
    <s v="November  "/>
    <x v="0"/>
  </r>
  <r>
    <s v="0914"/>
    <s v="ELEAD"/>
    <s v="ELEAD OTHER"/>
    <s v="CALL TRACKING COUNT AS ONE"/>
    <s v="21112"/>
    <s v="4111001"/>
    <s v="N"/>
    <s v="CA"/>
    <n v="0"/>
    <n v="1499"/>
    <n v="1"/>
    <x v="129"/>
    <x v="120"/>
    <e v="#N/A"/>
    <x v="127"/>
    <s v="US INVOICE"/>
    <x v="137"/>
    <s v="62174765SW02"/>
    <x v="11"/>
    <x v="11"/>
    <s v="SWW"/>
    <s v="SW ACCESS VIA WEB"/>
    <n v="2025"/>
    <n v="11"/>
    <s v="FIN5030"/>
    <n v="2025"/>
    <s v="November  "/>
    <x v="0"/>
  </r>
  <r>
    <s v="0914"/>
    <s v="ELEAD"/>
    <s v="ELEAD OTHER"/>
    <s v="CALL TRACKING COUNT AS ONE"/>
    <s v="21112"/>
    <s v="4111001"/>
    <s v="N"/>
    <s v="CA"/>
    <n v="0"/>
    <n v="1499"/>
    <n v="1"/>
    <x v="130"/>
    <x v="121"/>
    <e v="#N/A"/>
    <x v="128"/>
    <s v="US INVOICE"/>
    <x v="138"/>
    <s v="62186811SW34"/>
    <x v="11"/>
    <x v="11"/>
    <s v="SWW"/>
    <s v="SW ACCESS VIA WEB"/>
    <n v="2025"/>
    <n v="11"/>
    <s v="FIN5030"/>
    <n v="2025"/>
    <s v="November  "/>
    <x v="0"/>
  </r>
  <r>
    <s v="0914"/>
    <s v="ELEAD"/>
    <s v="ELEAD OTHER"/>
    <s v="CALL TRACKING COUNT AS ONE"/>
    <s v="21112"/>
    <s v="4111001"/>
    <s v="N"/>
    <s v="NY"/>
    <n v="0"/>
    <n v="1618.92"/>
    <n v="1"/>
    <x v="131"/>
    <x v="122"/>
    <e v="#N/A"/>
    <x v="129"/>
    <s v="US INVOICE"/>
    <x v="139"/>
    <s v="68188348SW37"/>
    <x v="11"/>
    <x v="11"/>
    <s v="SWW"/>
    <s v="SW ACCESS VIA WEB"/>
    <n v="2025"/>
    <n v="11"/>
    <s v="FIN5030"/>
    <n v="2025"/>
    <s v="November  "/>
    <x v="0"/>
  </r>
  <r>
    <s v="0914"/>
    <s v="ELEAD"/>
    <s v="ELEAD OTHER"/>
    <s v="CALL TRACKING COUNT AS ONE"/>
    <s v="21112"/>
    <s v="4111001"/>
    <s v="N"/>
    <s v="SC"/>
    <n v="0"/>
    <n v="1756.53"/>
    <n v="1"/>
    <x v="132"/>
    <x v="123"/>
    <e v="#N/A"/>
    <x v="130"/>
    <s v="US INVOICE"/>
    <x v="140"/>
    <s v="64189756SW03"/>
    <x v="11"/>
    <x v="11"/>
    <s v="SWW"/>
    <s v="SW ACCESS VIA WEB"/>
    <n v="2025"/>
    <n v="11"/>
    <s v="FIN5030"/>
    <n v="2025"/>
    <s v="November  "/>
    <x v="0"/>
  </r>
  <r>
    <s v="0914"/>
    <s v="ELEAD"/>
    <s v="ELEAD OTHER"/>
    <s v="CALL TRACKING COUNT AS ONE"/>
    <s v="21112"/>
    <s v="4111001"/>
    <s v="N"/>
    <s v="FL"/>
    <n v="0"/>
    <n v="1499"/>
    <n v="1"/>
    <x v="95"/>
    <x v="88"/>
    <e v="#N/A"/>
    <x v="93"/>
    <s v="US INVOICE"/>
    <x v="141"/>
    <s v="64218586SW01"/>
    <x v="11"/>
    <x v="11"/>
    <s v="SWW"/>
    <s v="SW ACCESS VIA WEB"/>
    <n v="2025"/>
    <n v="11"/>
    <s v="FIN5030"/>
    <n v="2025"/>
    <s v="November  "/>
    <x v="0"/>
  </r>
  <r>
    <s v="0914"/>
    <s v="ELEAD"/>
    <s v="ELEAD OTHER"/>
    <s v="CALL TRACKING COUNT AS ONE"/>
    <s v="21112"/>
    <s v="4111001"/>
    <s v="N"/>
    <s v="FL"/>
    <n v="0"/>
    <n v="1499"/>
    <n v="1"/>
    <x v="78"/>
    <x v="73"/>
    <e v="#N/A"/>
    <x v="78"/>
    <s v="US INVOICE"/>
    <x v="142"/>
    <s v="64243030SW24"/>
    <x v="11"/>
    <x v="11"/>
    <s v="SWW"/>
    <s v="SW ACCESS VIA WEB"/>
    <n v="2025"/>
    <n v="11"/>
    <s v="FIN5030"/>
    <n v="2025"/>
    <s v="November  "/>
    <x v="0"/>
  </r>
  <r>
    <s v="0914"/>
    <s v="ELEAD"/>
    <s v="ELEAD OTHER"/>
    <s v="CALL TRACKING COUNT AS ONE"/>
    <s v="21112"/>
    <s v="4111001"/>
    <s v="N"/>
    <s v="NY"/>
    <n v="0"/>
    <n v="1618.92"/>
    <n v="1"/>
    <x v="133"/>
    <x v="124"/>
    <e v="#N/A"/>
    <x v="131"/>
    <s v="US INVOICE"/>
    <x v="143"/>
    <s v="68188348SW33"/>
    <x v="11"/>
    <x v="11"/>
    <s v="SWW"/>
    <s v="SW ACCESS VIA WEB"/>
    <n v="2025"/>
    <n v="11"/>
    <s v="FIN5030"/>
    <n v="2025"/>
    <s v="November  "/>
    <x v="0"/>
  </r>
  <r>
    <s v="0914"/>
    <s v="ELEAD"/>
    <s v="ELEAD OTHER"/>
    <s v="CALL TRACKING COUNT AS ONE"/>
    <s v="21112"/>
    <s v="4111001"/>
    <s v="N"/>
    <s v="PA"/>
    <n v="0"/>
    <n v="1499"/>
    <n v="1"/>
    <x v="134"/>
    <x v="125"/>
    <e v="#N/A"/>
    <x v="132"/>
    <s v="US INVOICE"/>
    <x v="144"/>
    <s v="68229856SW08"/>
    <x v="11"/>
    <x v="11"/>
    <s v="SWW"/>
    <s v="SW ACCESS VIA WEB"/>
    <n v="2025"/>
    <n v="11"/>
    <s v="FIN5030"/>
    <n v="2025"/>
    <s v="November  "/>
    <x v="0"/>
  </r>
  <r>
    <s v="0914"/>
    <s v="ELEAD"/>
    <s v="ELEAD OTHER"/>
    <s v="CALL TRACKING COUNT AS ONE"/>
    <s v="21112"/>
    <s v="4111001"/>
    <s v="N"/>
    <s v="PA"/>
    <n v="0"/>
    <n v="1499"/>
    <n v="1"/>
    <x v="135"/>
    <x v="126"/>
    <e v="#N/A"/>
    <x v="133"/>
    <s v="US INVOICE"/>
    <x v="145"/>
    <s v="68229856SW01"/>
    <x v="11"/>
    <x v="11"/>
    <s v="SWW"/>
    <s v="SW ACCESS VIA WEB"/>
    <n v="2025"/>
    <n v="11"/>
    <s v="FIN5030"/>
    <n v="2025"/>
    <s v="November  "/>
    <x v="0"/>
  </r>
  <r>
    <s v="0914"/>
    <s v="ELEAD"/>
    <s v="ELEAD OTHER"/>
    <s v="CALL TRACKING COUNT AS ONE"/>
    <s v="21112"/>
    <s v="4111001"/>
    <s v="N"/>
    <s v="PA"/>
    <n v="531.9"/>
    <n v="0"/>
    <n v="11"/>
    <x v="136"/>
    <x v="127"/>
    <e v="#N/A"/>
    <x v="134"/>
    <s v="US INVOICE"/>
    <x v="146"/>
    <s v="68242478SW11"/>
    <x v="11"/>
    <x v="11"/>
    <s v="SWW"/>
    <s v="SW ACCESS VIA WEB"/>
    <n v="2025"/>
    <n v="11"/>
    <s v="FIN5030"/>
    <n v="2025"/>
    <s v="November  "/>
    <x v="0"/>
  </r>
  <r>
    <s v="0914"/>
    <s v="ELEAD"/>
    <s v="ELEAD OTHER"/>
    <s v="CALL TRACKING COUNT AS ONE"/>
    <s v="21112"/>
    <s v="4111001"/>
    <s v="N"/>
    <s v="NY"/>
    <n v="0"/>
    <n v="1499"/>
    <n v="1"/>
    <x v="96"/>
    <x v="89"/>
    <e v="#N/A"/>
    <x v="94"/>
    <s v="US INVOICE"/>
    <x v="147"/>
    <s v="68224082SW01"/>
    <x v="11"/>
    <x v="11"/>
    <s v="SWW"/>
    <s v="SW ACCESS VIA WEB"/>
    <n v="2025"/>
    <n v="11"/>
    <s v="FIN5030"/>
    <n v="2025"/>
    <s v="November  "/>
    <x v="0"/>
  </r>
  <r>
    <s v="0914"/>
    <s v="ELEAD"/>
    <s v="ELEAD OTHER"/>
    <s v="CALL TRACKING COUNT AS ONE"/>
    <s v="21112"/>
    <s v="4111001"/>
    <s v="N"/>
    <s v="OH"/>
    <n v="0"/>
    <n v="1499"/>
    <n v="1"/>
    <x v="137"/>
    <x v="128"/>
    <e v="#N/A"/>
    <x v="135"/>
    <s v="US INVOICE"/>
    <x v="148"/>
    <s v="68228500SW01"/>
    <x v="11"/>
    <x v="11"/>
    <s v="SWW"/>
    <s v="SW ACCESS VIA WEB"/>
    <n v="2025"/>
    <n v="11"/>
    <s v="FIN5030"/>
    <n v="2025"/>
    <s v="November  "/>
    <x v="0"/>
  </r>
  <r>
    <s v="0914"/>
    <s v="ELEAD"/>
    <s v="ELEAD OTHER"/>
    <s v="CALL TRACKING COUNT AS ONE"/>
    <s v="21112"/>
    <s v="4111001"/>
    <s v="N"/>
    <s v="PA"/>
    <n v="0"/>
    <n v="1499"/>
    <n v="1"/>
    <x v="138"/>
    <x v="129"/>
    <e v="#N/A"/>
    <x v="136"/>
    <s v="US INVOICE"/>
    <x v="149"/>
    <s v="68229856SW05"/>
    <x v="11"/>
    <x v="11"/>
    <s v="SWW"/>
    <s v="SW ACCESS VIA WEB"/>
    <n v="2025"/>
    <n v="11"/>
    <s v="FIN5030"/>
    <n v="2025"/>
    <s v="November  "/>
    <x v="0"/>
  </r>
  <r>
    <s v="0914"/>
    <s v="ELEAD"/>
    <s v="ELEAD OTHER"/>
    <s v="CALL TRACKING COUNT AS ONE"/>
    <s v="21112"/>
    <s v="4111001"/>
    <s v="N"/>
    <s v="PA"/>
    <n v="0"/>
    <n v="1499"/>
    <n v="1"/>
    <x v="136"/>
    <x v="127"/>
    <e v="#N/A"/>
    <x v="134"/>
    <s v="US INVOICE"/>
    <x v="150"/>
    <s v="68242478SW11"/>
    <x v="11"/>
    <x v="11"/>
    <s v="SWW"/>
    <s v="SW ACCESS VIA WEB"/>
    <n v="2025"/>
    <n v="11"/>
    <s v="FIN5030"/>
    <n v="2025"/>
    <s v="November  "/>
    <x v="0"/>
  </r>
  <r>
    <s v="0914"/>
    <s v="ELEAD"/>
    <s v="ELEAD OTHER"/>
    <s v="CALL TRACKING COUNT AS ONE"/>
    <s v="21112"/>
    <s v="4111001"/>
    <s v="N"/>
    <s v="DE"/>
    <n v="0"/>
    <n v="1499"/>
    <n v="1"/>
    <x v="139"/>
    <x v="130"/>
    <e v="#N/A"/>
    <x v="137"/>
    <s v="US INVOICE"/>
    <x v="151"/>
    <s v="68206625SW02"/>
    <x v="11"/>
    <x v="11"/>
    <s v="SWW"/>
    <s v="SW ACCESS VIA WEB"/>
    <n v="2025"/>
    <n v="11"/>
    <s v="FIN5030"/>
    <n v="2025"/>
    <s v="November  "/>
    <x v="0"/>
  </r>
  <r>
    <s v="0914"/>
    <s v="ELEAD"/>
    <s v="ELEAD OTHER"/>
    <s v="CALL TRACKING COUNT AS ONE"/>
    <s v="21112"/>
    <s v="4111001"/>
    <s v="N"/>
    <s v="NY"/>
    <n v="0"/>
    <n v="1499"/>
    <n v="1"/>
    <x v="140"/>
    <x v="131"/>
    <e v="#N/A"/>
    <x v="138"/>
    <s v="US INVOICE"/>
    <x v="152"/>
    <s v="68191822SW06"/>
    <x v="11"/>
    <x v="11"/>
    <s v="SWW"/>
    <s v="SW ACCESS VIA WEB"/>
    <n v="2025"/>
    <n v="11"/>
    <s v="FIN5030"/>
    <n v="2025"/>
    <s v="November  "/>
    <x v="0"/>
  </r>
  <r>
    <s v="0914"/>
    <s v="ELEAD"/>
    <s v="ELEAD OTHER"/>
    <s v="CALL TRACKING COUNT AS ONE"/>
    <s v="21112"/>
    <s v="4111001"/>
    <s v="N"/>
    <s v="DE"/>
    <n v="0"/>
    <n v="1499"/>
    <n v="1"/>
    <x v="141"/>
    <x v="132"/>
    <e v="#N/A"/>
    <x v="139"/>
    <s v="US INVOICE"/>
    <x v="153"/>
    <s v="68206625SW01"/>
    <x v="11"/>
    <x v="11"/>
    <s v="SWW"/>
    <s v="SW ACCESS VIA WEB"/>
    <n v="2025"/>
    <n v="11"/>
    <s v="FIN5030"/>
    <n v="2025"/>
    <s v="November  "/>
    <x v="0"/>
  </r>
  <r>
    <s v="0914"/>
    <s v="ELEAD"/>
    <s v="ELEAD OTHER"/>
    <s v="CALL TRACKING COUNT AS ONE"/>
    <s v="21112"/>
    <s v="4111001"/>
    <s v="N"/>
    <s v="AL"/>
    <n v="0"/>
    <n v="1499"/>
    <n v="1"/>
    <x v="142"/>
    <x v="133"/>
    <e v="#N/A"/>
    <x v="140"/>
    <s v="US INVOICE"/>
    <x v="154"/>
    <s v="64222579SW14"/>
    <x v="11"/>
    <x v="11"/>
    <s v="SWW"/>
    <s v="SW ACCESS VIA WEB"/>
    <n v="2025"/>
    <n v="11"/>
    <s v="FIN5030"/>
    <n v="2025"/>
    <s v="November  "/>
    <x v="0"/>
  </r>
  <r>
    <s v="0914"/>
    <s v="ELEAD"/>
    <s v="ELEAD OTHER"/>
    <s v="CALL TRACKING COUNT AS ONE"/>
    <s v="21112"/>
    <s v="4111001"/>
    <s v="N"/>
    <s v="GA"/>
    <n v="0"/>
    <n v="1499"/>
    <n v="1"/>
    <x v="143"/>
    <x v="134"/>
    <e v="#N/A"/>
    <x v="141"/>
    <s v="US INVOICE"/>
    <x v="155"/>
    <s v="68242698SW10"/>
    <x v="11"/>
    <x v="11"/>
    <s v="SWW"/>
    <s v="SW ACCESS VIA WEB"/>
    <n v="2025"/>
    <n v="11"/>
    <s v="FIN5030"/>
    <n v="2025"/>
    <s v="November  "/>
    <x v="0"/>
  </r>
  <r>
    <s v="0914"/>
    <s v="ELEAD"/>
    <s v="ELEAD OTHER"/>
    <s v="CALL TRACKING COUNT AS ONE"/>
    <s v="21112"/>
    <s v="4111001"/>
    <s v="N"/>
    <s v="CA"/>
    <n v="0"/>
    <n v="3250.78"/>
    <n v="1"/>
    <x v="144"/>
    <x v="135"/>
    <e v="#N/A"/>
    <x v="142"/>
    <s v="US INVOICE"/>
    <x v="156"/>
    <s v="62176126SW01"/>
    <x v="12"/>
    <x v="12"/>
    <s v="SWW"/>
    <s v="SW ACCESS VIA WEB"/>
    <n v="2025"/>
    <n v="11"/>
    <s v="FIN5030"/>
    <n v="2025"/>
    <s v="November  "/>
    <x v="0"/>
  </r>
  <r>
    <s v="0914"/>
    <s v="ELEAD"/>
    <s v="ELEAD OTHER"/>
    <s v="CALL TRACKING COUNT AS ONE"/>
    <s v="21112"/>
    <s v="4111001"/>
    <s v="N"/>
    <s v="FL"/>
    <n v="0"/>
    <n v="2981"/>
    <n v="1"/>
    <x v="145"/>
    <x v="136"/>
    <e v="#N/A"/>
    <x v="143"/>
    <s v="US INVOICE"/>
    <x v="157"/>
    <s v="64222579SW05"/>
    <x v="12"/>
    <x v="12"/>
    <s v="SWW"/>
    <s v="SW ACCESS VIA WEB"/>
    <n v="2025"/>
    <n v="11"/>
    <s v="FIN5030"/>
    <n v="2025"/>
    <s v="November  "/>
    <x v="0"/>
  </r>
  <r>
    <s v="0914"/>
    <s v="ELEAD"/>
    <s v="ELEAD OTHER"/>
    <s v="CALL TRACKING COUNT AS ONE"/>
    <s v="21112"/>
    <s v="4111001"/>
    <s v="N"/>
    <s v="FL"/>
    <n v="0"/>
    <n v="3130.05"/>
    <n v="1"/>
    <x v="146"/>
    <x v="137"/>
    <e v="#N/A"/>
    <x v="144"/>
    <s v="US INVOICE"/>
    <x v="158"/>
    <s v="64167985SW01"/>
    <x v="12"/>
    <x v="12"/>
    <s v="SWW"/>
    <s v="SW ACCESS VIA WEB"/>
    <n v="2025"/>
    <n v="11"/>
    <s v="FIN5030"/>
    <n v="2025"/>
    <s v="November  "/>
    <x v="0"/>
  </r>
  <r>
    <s v="0914"/>
    <s v="ELEAD"/>
    <s v="ELEAD OTHER"/>
    <s v="CALL TRACKING COUNT AS ONE"/>
    <s v="21112"/>
    <s v="4111001"/>
    <s v="N"/>
    <s v="NC"/>
    <n v="0"/>
    <n v="2981"/>
    <n v="1"/>
    <x v="147"/>
    <x v="138"/>
    <e v="#N/A"/>
    <x v="145"/>
    <s v="US INVOICE"/>
    <x v="159"/>
    <s v="K10691820001"/>
    <x v="12"/>
    <x v="12"/>
    <s v="SWW"/>
    <s v="SW ACCESS VIA WEB"/>
    <n v="2025"/>
    <n v="11"/>
    <s v="FIN5030"/>
    <n v="2025"/>
    <s v="November  "/>
    <x v="0"/>
  </r>
  <r>
    <s v="0914"/>
    <s v="ELEAD"/>
    <s v="ELEAD OTHER"/>
    <s v="CALL TRACKING COUNT AS ONE"/>
    <s v="21112"/>
    <s v="4111001"/>
    <s v="N"/>
    <s v="SC"/>
    <n v="0"/>
    <n v="3219.48"/>
    <n v="1"/>
    <x v="148"/>
    <x v="139"/>
    <e v="#N/A"/>
    <x v="146"/>
    <s v="US INVOICE"/>
    <x v="160"/>
    <s v="68186358SW01"/>
    <x v="12"/>
    <x v="12"/>
    <s v="SWW"/>
    <s v="SW ACCESS VIA WEB"/>
    <n v="2025"/>
    <n v="11"/>
    <s v="FIN5030"/>
    <n v="2025"/>
    <s v="November  "/>
    <x v="0"/>
  </r>
  <r>
    <s v="0914"/>
    <s v="ELEAD"/>
    <s v="ELEAD OTHER"/>
    <s v="CALL TRACKING COUNT AS ONE"/>
    <s v="21112"/>
    <s v="4111001"/>
    <s v="N"/>
    <s v="FL"/>
    <n v="0"/>
    <n v="2981"/>
    <n v="1"/>
    <x v="149"/>
    <x v="140"/>
    <e v="#N/A"/>
    <x v="147"/>
    <s v="US INVOICE"/>
    <x v="161"/>
    <s v="64200101SW01"/>
    <x v="12"/>
    <x v="12"/>
    <s v="SWW"/>
    <s v="SW ACCESS VIA WEB"/>
    <n v="2025"/>
    <n v="11"/>
    <s v="FIN5030"/>
    <n v="2025"/>
    <s v="November  "/>
    <x v="0"/>
  </r>
  <r>
    <s v="0914"/>
    <s v="ELEAD"/>
    <s v="ELEAD OTHER"/>
    <s v="CALL TRACKING COUNT AS ONE"/>
    <s v="21112"/>
    <s v="4111001"/>
    <s v="N"/>
    <s v="ID"/>
    <n v="0"/>
    <n v="2981"/>
    <n v="1"/>
    <x v="150"/>
    <x v="141"/>
    <e v="#N/A"/>
    <x v="148"/>
    <s v="US INVOICE"/>
    <x v="162"/>
    <s v="62191000SW01"/>
    <x v="12"/>
    <x v="12"/>
    <s v="SWW"/>
    <s v="SW ACCESS VIA WEB"/>
    <n v="2025"/>
    <n v="11"/>
    <s v="FIN5030"/>
    <n v="2025"/>
    <s v="November  "/>
    <x v="0"/>
  </r>
  <r>
    <s v="0914"/>
    <s v="ELEAD"/>
    <s v="ELEAD OTHER"/>
    <s v="CALL TRACKING COUNT AS ONE"/>
    <s v="21112"/>
    <s v="4111001"/>
    <s v="N"/>
    <s v="GA"/>
    <n v="0"/>
    <n v="2981"/>
    <n v="1"/>
    <x v="151"/>
    <x v="142"/>
    <e v="#N/A"/>
    <x v="149"/>
    <s v="US INVOICE"/>
    <x v="163"/>
    <s v="68198677SW01"/>
    <x v="12"/>
    <x v="12"/>
    <s v="SWW"/>
    <s v="SW ACCESS VIA WEB"/>
    <n v="2025"/>
    <n v="11"/>
    <s v="FIN5030"/>
    <n v="2025"/>
    <s v="November  "/>
    <x v="0"/>
  </r>
  <r>
    <s v="0914"/>
    <s v="ELEAD"/>
    <s v="ELEAD OTHER"/>
    <s v="CALL TRACKING COUNT AS ONE"/>
    <s v="21112"/>
    <s v="4111001"/>
    <s v="N"/>
    <s v="IA"/>
    <n v="0"/>
    <n v="2981"/>
    <n v="1"/>
    <x v="111"/>
    <x v="102"/>
    <e v="#N/A"/>
    <x v="109"/>
    <s v="US INVOICE"/>
    <x v="164"/>
    <s v="67049032SW12"/>
    <x v="12"/>
    <x v="12"/>
    <s v="SWW"/>
    <s v="SW ACCESS VIA WEB"/>
    <n v="2025"/>
    <n v="11"/>
    <s v="FIN5030"/>
    <n v="2025"/>
    <s v="November  "/>
    <x v="0"/>
  </r>
  <r>
    <s v="0914"/>
    <s v="ELEAD"/>
    <s v="ELEAD OTHER"/>
    <s v="CALL TRACKING COUNT AS ONE"/>
    <s v="21112"/>
    <s v="4111001"/>
    <s v="N"/>
    <s v="CA"/>
    <n v="0"/>
    <n v="3158.07"/>
    <n v="1"/>
    <x v="152"/>
    <x v="143"/>
    <e v="#N/A"/>
    <x v="150"/>
    <s v="US INVOICE"/>
    <x v="165"/>
    <s v="62186821SW01"/>
    <x v="12"/>
    <x v="12"/>
    <s v="SWW"/>
    <s v="SW ACCESS VIA WEB"/>
    <n v="2025"/>
    <n v="11"/>
    <s v="FIN5030"/>
    <n v="2025"/>
    <s v="November  "/>
    <x v="0"/>
  </r>
  <r>
    <s v="0914"/>
    <s v="ELEAD"/>
    <s v="ELEAD OTHER"/>
    <s v="CALL TRACKING COUNT AS ONE"/>
    <s v="21112"/>
    <s v="4111001"/>
    <s v="N"/>
    <s v="NC"/>
    <n v="0"/>
    <n v="2981"/>
    <n v="1"/>
    <x v="153"/>
    <x v="144"/>
    <e v="#N/A"/>
    <x v="151"/>
    <s v="US INVOICE"/>
    <x v="166"/>
    <s v="68194237SW01"/>
    <x v="12"/>
    <x v="12"/>
    <s v="SWW"/>
    <s v="SW ACCESS VIA WEB"/>
    <n v="2025"/>
    <n v="11"/>
    <s v="FIN5030"/>
    <n v="2025"/>
    <s v="November  "/>
    <x v="0"/>
  </r>
  <r>
    <s v="0914"/>
    <s v="ELEAD"/>
    <s v="ELEAD OTHER"/>
    <s v="CALL TRACKING COUNT AS ONE"/>
    <s v="21112"/>
    <s v="4111001"/>
    <s v="N"/>
    <s v="TX"/>
    <n v="0"/>
    <n v="3700.63"/>
    <n v="1"/>
    <x v="154"/>
    <x v="145"/>
    <e v="#N/A"/>
    <x v="152"/>
    <s v="US INVOICE"/>
    <x v="167"/>
    <s v="64166976SW01"/>
    <x v="12"/>
    <x v="12"/>
    <s v="SWW"/>
    <s v="SW ACCESS VIA WEB"/>
    <n v="2025"/>
    <n v="11"/>
    <s v="FIN5030"/>
    <n v="2025"/>
    <s v="November  "/>
    <x v="0"/>
  </r>
  <r>
    <s v="0914"/>
    <s v="ELEAD"/>
    <s v="ELEAD OTHER"/>
    <s v="CALL TRACKING COUNT AS ONE"/>
    <s v="21112"/>
    <s v="4111001"/>
    <s v="N"/>
    <s v="NC"/>
    <n v="0"/>
    <n v="1199"/>
    <n v="1"/>
    <x v="155"/>
    <x v="146"/>
    <e v="#N/A"/>
    <x v="153"/>
    <s v="US INVOICE"/>
    <x v="168"/>
    <s v="68243172SW01"/>
    <x v="13"/>
    <x v="13"/>
    <s v="SWW"/>
    <s v="SW ACCESS VIA WEB"/>
    <n v="2025"/>
    <n v="11"/>
    <s v="FIN5030"/>
    <n v="2025"/>
    <s v="November  "/>
    <x v="0"/>
  </r>
  <r>
    <s v="0914"/>
    <s v="ELEAD"/>
    <s v="ELEAD OTHER"/>
    <s v="CALL TRACKING COUNT AS ONE"/>
    <s v="21112"/>
    <s v="4111001"/>
    <s v="N"/>
    <s v="WI"/>
    <n v="0"/>
    <n v="1199"/>
    <n v="1"/>
    <x v="104"/>
    <x v="96"/>
    <e v="#N/A"/>
    <x v="102"/>
    <s v="US INVOICE"/>
    <x v="169"/>
    <s v="64242723SW03"/>
    <x v="13"/>
    <x v="13"/>
    <s v="SWW"/>
    <s v="SW ACCESS VIA WEB"/>
    <n v="2025"/>
    <n v="11"/>
    <s v="FIN5030"/>
    <n v="2025"/>
    <s v="November  "/>
    <x v="0"/>
  </r>
  <r>
    <s v="0914"/>
    <s v="ELEAD"/>
    <s v="ELEAD OTHER"/>
    <s v="CALL TRACKING COUNT AS ONE"/>
    <s v="21112"/>
    <s v="4111001"/>
    <s v="N"/>
    <s v="WI"/>
    <n v="0"/>
    <n v="1199"/>
    <n v="1"/>
    <x v="106"/>
    <x v="98"/>
    <e v="#N/A"/>
    <x v="104"/>
    <s v="US INVOICE"/>
    <x v="170"/>
    <s v="64241044SW03"/>
    <x v="13"/>
    <x v="13"/>
    <s v="SWW"/>
    <s v="SW ACCESS VIA WEB"/>
    <n v="2025"/>
    <n v="11"/>
    <s v="FIN5030"/>
    <n v="2025"/>
    <s v="November  "/>
    <x v="0"/>
  </r>
  <r>
    <s v="0914"/>
    <s v="ELEAD"/>
    <s v="ELEAD OTHER"/>
    <s v="CALL TRACKING COUNT AS ONE"/>
    <s v="21112"/>
    <s v="4111001"/>
    <s v="N"/>
    <s v="NJ"/>
    <n v="0"/>
    <n v="1199"/>
    <n v="1"/>
    <x v="156"/>
    <x v="147"/>
    <e v="#N/A"/>
    <x v="154"/>
    <s v="US INVOICE"/>
    <x v="171"/>
    <s v="68239224SW04"/>
    <x v="13"/>
    <x v="13"/>
    <s v="SWW"/>
    <s v="SW ACCESS VIA WEB"/>
    <n v="2025"/>
    <n v="11"/>
    <s v="FIN5030"/>
    <n v="2025"/>
    <s v="November  "/>
    <x v="0"/>
  </r>
  <r>
    <s v="0914"/>
    <s v="ELEAD"/>
    <s v="ELEAD OTHER"/>
    <s v="CALL TRACKING COUNT AS ONE"/>
    <s v="21112"/>
    <s v="4111001"/>
    <s v="N"/>
    <s v="WI"/>
    <n v="0"/>
    <n v="1199"/>
    <n v="1"/>
    <x v="107"/>
    <x v="99"/>
    <e v="#N/A"/>
    <x v="105"/>
    <s v="US INVOICE"/>
    <x v="172"/>
    <s v="64242723SW05"/>
    <x v="13"/>
    <x v="13"/>
    <s v="SWW"/>
    <s v="SW ACCESS VIA WEB"/>
    <n v="2025"/>
    <n v="11"/>
    <s v="FIN5030"/>
    <n v="2025"/>
    <s v="November  "/>
    <x v="0"/>
  </r>
  <r>
    <s v="0914"/>
    <s v="ELEAD"/>
    <s v="ELEAD OTHER"/>
    <s v="CALL TRACKING COUNT AS ONE"/>
    <s v="21112"/>
    <s v="4111001"/>
    <s v="N"/>
    <s v="NJ"/>
    <n v="0"/>
    <n v="1199"/>
    <n v="1"/>
    <x v="157"/>
    <x v="148"/>
    <e v="#N/A"/>
    <x v="155"/>
    <s v="US INVOICE"/>
    <x v="173"/>
    <s v="68239224SW03"/>
    <x v="13"/>
    <x v="13"/>
    <s v="SWW"/>
    <s v="SW ACCESS VIA WEB"/>
    <n v="2025"/>
    <n v="11"/>
    <s v="FIN5030"/>
    <n v="2025"/>
    <s v="November  "/>
    <x v="0"/>
  </r>
  <r>
    <s v="0914"/>
    <s v="ELEAD"/>
    <s v="ELEAD OTHER"/>
    <s v="CALL TRACKING COUNT AS ONE"/>
    <s v="21112"/>
    <s v="4111001"/>
    <s v="N"/>
    <s v="SC"/>
    <n v="0"/>
    <n v="1199"/>
    <n v="1"/>
    <x v="100"/>
    <x v="92"/>
    <e v="#N/A"/>
    <x v="98"/>
    <s v="US INVOICE"/>
    <x v="174"/>
    <s v="68237629SW05"/>
    <x v="13"/>
    <x v="13"/>
    <s v="SWW"/>
    <s v="SW ACCESS VIA WEB"/>
    <n v="2025"/>
    <n v="11"/>
    <s v="FIN5030"/>
    <n v="2025"/>
    <s v="November  "/>
    <x v="0"/>
  </r>
  <r>
    <s v="0914"/>
    <s v="ELEAD"/>
    <s v="ELEAD OTHER"/>
    <s v="CALL TRACKING COUNT AS ONE"/>
    <s v="21112"/>
    <s v="4111001"/>
    <s v="N"/>
    <s v="SC"/>
    <n v="0"/>
    <n v="1199"/>
    <n v="1"/>
    <x v="101"/>
    <x v="93"/>
    <e v="#N/A"/>
    <x v="99"/>
    <s v="US INVOICE"/>
    <x v="175"/>
    <s v="68237629SW03"/>
    <x v="13"/>
    <x v="13"/>
    <s v="SWW"/>
    <s v="SW ACCESS VIA WEB"/>
    <n v="2025"/>
    <n v="11"/>
    <s v="FIN5030"/>
    <n v="2025"/>
    <s v="November  "/>
    <x v="0"/>
  </r>
  <r>
    <s v="0914"/>
    <s v="ELEAD"/>
    <s v="ELEAD OTHER"/>
    <s v="CALL TRACKING COUNT AS ONE"/>
    <s v="21112"/>
    <s v="4111001"/>
    <s v="N"/>
    <s v="FL"/>
    <n v="309.42"/>
    <n v="0"/>
    <n v="8"/>
    <x v="158"/>
    <x v="149"/>
    <e v="#N/A"/>
    <x v="156"/>
    <s v="US INVOICE"/>
    <x v="176"/>
    <s v="64243989SW01"/>
    <x v="13"/>
    <x v="13"/>
    <s v="SWW"/>
    <s v="SW ACCESS VIA WEB"/>
    <n v="2025"/>
    <n v="11"/>
    <s v="FIN5030"/>
    <n v="2025"/>
    <s v="November  "/>
    <x v="0"/>
  </r>
  <r>
    <s v="0914"/>
    <s v="ELEAD"/>
    <s v="ELEAD OTHER"/>
    <s v="CALL TRACKING COUNT AS ONE"/>
    <s v="21112"/>
    <s v="4111001"/>
    <s v="N"/>
    <s v="WI"/>
    <n v="0"/>
    <n v="1199"/>
    <n v="1"/>
    <x v="108"/>
    <x v="100"/>
    <e v="#N/A"/>
    <x v="106"/>
    <s v="US INVOICE"/>
    <x v="177"/>
    <s v="64242723SW01"/>
    <x v="13"/>
    <x v="13"/>
    <s v="SWW"/>
    <s v="SW ACCESS VIA WEB"/>
    <n v="2025"/>
    <n v="11"/>
    <s v="FIN5030"/>
    <n v="2025"/>
    <s v="November  "/>
    <x v="0"/>
  </r>
  <r>
    <s v="0914"/>
    <s v="ELEAD"/>
    <s v="ELEAD OTHER"/>
    <s v="CALL TRACKING COUNT AS ONE"/>
    <s v="21112"/>
    <s v="4111001"/>
    <s v="N"/>
    <s v="WI"/>
    <n v="0"/>
    <n v="1199"/>
    <n v="1"/>
    <x v="109"/>
    <x v="101"/>
    <e v="#N/A"/>
    <x v="107"/>
    <s v="US INVOICE"/>
    <x v="178"/>
    <s v="64241044SW01"/>
    <x v="13"/>
    <x v="13"/>
    <s v="SWW"/>
    <s v="SW ACCESS VIA WEB"/>
    <n v="2025"/>
    <n v="11"/>
    <s v="FIN5030"/>
    <n v="2025"/>
    <s v="November  "/>
    <x v="0"/>
  </r>
  <r>
    <s v="0914"/>
    <s v="ELEAD"/>
    <s v="ELEAD OTHER"/>
    <s v="CALL TRACKING COUNT AS ONE"/>
    <s v="21112"/>
    <s v="4111001"/>
    <s v="N"/>
    <s v="WI"/>
    <n v="0"/>
    <n v="1199"/>
    <n v="1"/>
    <x v="103"/>
    <x v="95"/>
    <e v="#N/A"/>
    <x v="101"/>
    <s v="US INVOICE"/>
    <x v="179"/>
    <s v="64242723SW07"/>
    <x v="13"/>
    <x v="13"/>
    <s v="SWW"/>
    <s v="SW ACCESS VIA WEB"/>
    <n v="2025"/>
    <n v="11"/>
    <s v="FIN5030"/>
    <n v="2025"/>
    <s v="November  "/>
    <x v="0"/>
  </r>
  <r>
    <s v="0914"/>
    <s v="ELEAD"/>
    <s v="ELEAD OTHER"/>
    <s v="CALL TRACKING COUNT AS ONE"/>
    <s v="21112"/>
    <s v="4111001"/>
    <s v="N"/>
    <s v="NJ"/>
    <n v="0"/>
    <n v="1199"/>
    <n v="1"/>
    <x v="159"/>
    <x v="150"/>
    <e v="#N/A"/>
    <x v="157"/>
    <s v="US INVOICE"/>
    <x v="180"/>
    <s v="68239224SW01"/>
    <x v="13"/>
    <x v="13"/>
    <s v="SWW"/>
    <s v="SW ACCESS VIA WEB"/>
    <n v="2025"/>
    <n v="11"/>
    <s v="FIN5030"/>
    <n v="2025"/>
    <s v="November  "/>
    <x v="0"/>
  </r>
  <r>
    <s v="0914"/>
    <s v="ELEAD"/>
    <s v="ELEAD OTHER"/>
    <s v="CALL TRACKING COUNT AS ONE"/>
    <s v="21112"/>
    <s v="4111001"/>
    <s v="N"/>
    <s v="WI"/>
    <n v="0"/>
    <n v="1199"/>
    <n v="1"/>
    <x v="98"/>
    <x v="90"/>
    <e v="#N/A"/>
    <x v="96"/>
    <s v="US INVOICE"/>
    <x v="181"/>
    <s v="64241433SW01"/>
    <x v="13"/>
    <x v="13"/>
    <s v="SWW"/>
    <s v="SW ACCESS VIA WEB"/>
    <n v="2025"/>
    <n v="11"/>
    <s v="FIN5030"/>
    <n v="2025"/>
    <s v="November  "/>
    <x v="0"/>
  </r>
  <r>
    <s v="0914"/>
    <s v="ELEAD"/>
    <s v="ELEAD OTHER"/>
    <s v="CALL TRACKING COUNT AS ONE"/>
    <s v="21112"/>
    <s v="4111001"/>
    <s v="N"/>
    <s v="FL"/>
    <n v="0"/>
    <n v="1199"/>
    <n v="1"/>
    <x v="158"/>
    <x v="149"/>
    <e v="#N/A"/>
    <x v="156"/>
    <s v="US INVOICE"/>
    <x v="182"/>
    <s v="64243989SW01"/>
    <x v="13"/>
    <x v="13"/>
    <s v="SWW"/>
    <s v="SW ACCESS VIA WEB"/>
    <n v="2025"/>
    <n v="11"/>
    <s v="FIN5030"/>
    <n v="2025"/>
    <s v="November  "/>
    <x v="0"/>
  </r>
  <r>
    <s v="0914"/>
    <s v="ELEAD"/>
    <s v="ELEAD OTHER"/>
    <s v="CALL TRACKING COUNT AS ONE"/>
    <s v="21112"/>
    <s v="4111001"/>
    <s v="N"/>
    <s v="NJ"/>
    <n v="0"/>
    <n v="1199"/>
    <n v="1"/>
    <x v="160"/>
    <x v="151"/>
    <e v="#N/A"/>
    <x v="158"/>
    <s v="US INVOICE"/>
    <x v="183"/>
    <s v="68239224SW02"/>
    <x v="13"/>
    <x v="13"/>
    <s v="SWW"/>
    <s v="SW ACCESS VIA WEB"/>
    <n v="2025"/>
    <n v="11"/>
    <s v="FIN5030"/>
    <n v="2025"/>
    <s v="November  "/>
    <x v="0"/>
  </r>
  <r>
    <s v="0914"/>
    <s v="ELEAD"/>
    <s v="ELEAD OTHER"/>
    <s v="CALL TRACKING COUNT AS ONE"/>
    <s v="21112"/>
    <s v="4111001"/>
    <s v="N"/>
    <s v="SC"/>
    <n v="0"/>
    <n v="399"/>
    <n v="1"/>
    <x v="100"/>
    <x v="92"/>
    <e v="#N/A"/>
    <x v="98"/>
    <s v="US INVOICE"/>
    <x v="184"/>
    <s v="68237629SW06"/>
    <x v="14"/>
    <x v="14"/>
    <s v="SWW"/>
    <s v="SW ACCESS VIA WEB"/>
    <n v="2025"/>
    <n v="11"/>
    <s v="FIN5030"/>
    <n v="2025"/>
    <s v="November  "/>
    <x v="0"/>
  </r>
  <r>
    <s v="0914"/>
    <s v="ELEAD"/>
    <s v="ELEAD OTHER"/>
    <s v="CALL TRACKING COUNT AS ONE"/>
    <s v="21112"/>
    <s v="4111001"/>
    <s v="N"/>
    <s v="SC"/>
    <n v="0"/>
    <n v="399"/>
    <n v="1"/>
    <x v="101"/>
    <x v="93"/>
    <e v="#N/A"/>
    <x v="99"/>
    <s v="US INVOICE"/>
    <x v="185"/>
    <s v="68237629SW01"/>
    <x v="14"/>
    <x v="14"/>
    <s v="SWW"/>
    <s v="SW ACCESS VIA WEB"/>
    <n v="2025"/>
    <n v="11"/>
    <s v="FIN5030"/>
    <n v="2025"/>
    <s v="November  "/>
    <x v="0"/>
  </r>
  <r>
    <s v="0914"/>
    <s v="ELEAD"/>
    <s v="ELEAD OTHER"/>
    <s v="CALL TRACKING COUNT AS ONE"/>
    <s v="21112"/>
    <s v="4111001"/>
    <s v="N"/>
    <s v="MI"/>
    <n v="0"/>
    <n v="20"/>
    <n v="1"/>
    <x v="161"/>
    <x v="152"/>
    <e v="#N/A"/>
    <x v="159"/>
    <s v="US INVOICE"/>
    <x v="186"/>
    <s v="68227988SW27"/>
    <x v="15"/>
    <x v="15"/>
    <s v="SWW"/>
    <s v="SW ACCESS VIA WEB"/>
    <n v="2025"/>
    <n v="11"/>
    <s v="FIN5030"/>
    <n v="2025"/>
    <s v="November  "/>
    <x v="1"/>
  </r>
  <r>
    <s v="0914"/>
    <s v="ELEAD"/>
    <s v="ELEAD OTHER"/>
    <s v="CALL TRACKING COUNT AS ONE"/>
    <s v="21112"/>
    <s v="4111001"/>
    <s v="N"/>
    <s v="PA"/>
    <n v="0"/>
    <n v="20"/>
    <n v="1"/>
    <x v="121"/>
    <x v="112"/>
    <e v="#N/A"/>
    <x v="119"/>
    <s v="US INVOICE"/>
    <x v="187"/>
    <s v="68229856SW03"/>
    <x v="15"/>
    <x v="15"/>
    <s v="SWW"/>
    <s v="SW ACCESS VIA WEB"/>
    <n v="2025"/>
    <n v="11"/>
    <s v="FIN5030"/>
    <n v="2025"/>
    <s v="November  "/>
    <x v="1"/>
  </r>
  <r>
    <s v="0914"/>
    <s v="ELEAD"/>
    <s v="ELEAD OTHER"/>
    <s v="CALL TRACKING COUNT AS ONE"/>
    <s v="21112"/>
    <s v="4111001"/>
    <s v="N"/>
    <s v="NC"/>
    <n v="0"/>
    <n v="10"/>
    <n v="1"/>
    <x v="162"/>
    <x v="153"/>
    <e v="#N/A"/>
    <x v="160"/>
    <s v="US INVOICE"/>
    <x v="188"/>
    <s v="58038454SW26"/>
    <x v="15"/>
    <x v="15"/>
    <s v="SWW"/>
    <s v="SW ACCESS VIA WEB"/>
    <n v="2025"/>
    <n v="11"/>
    <s v="FIN5030"/>
    <n v="2025"/>
    <s v="November  "/>
    <x v="1"/>
  </r>
  <r>
    <s v="0914"/>
    <s v="ELEAD"/>
    <s v="ELEAD OTHER"/>
    <s v="CALL TRACKING COUNT AS ONE"/>
    <s v="21112"/>
    <s v="4111001"/>
    <s v="N"/>
    <s v="GA"/>
    <n v="0"/>
    <n v="14.04"/>
    <n v="1"/>
    <x v="163"/>
    <x v="154"/>
    <e v="#N/A"/>
    <x v="161"/>
    <s v="US INVOICE"/>
    <x v="189"/>
    <s v="68178106SW01"/>
    <x v="15"/>
    <x v="15"/>
    <s v="SWW"/>
    <s v="SW ACCESS VIA WEB"/>
    <n v="2025"/>
    <n v="11"/>
    <s v="FIN5030"/>
    <n v="2025"/>
    <s v="November  "/>
    <x v="1"/>
  </r>
  <r>
    <s v="0914"/>
    <s v="ELEAD"/>
    <s v="ELEAD OTHER"/>
    <s v="CALL TRACKING COUNT AS ONE"/>
    <s v="21112"/>
    <s v="4111001"/>
    <s v="N"/>
    <s v="AL"/>
    <n v="0"/>
    <n v="20"/>
    <n v="1"/>
    <x v="164"/>
    <x v="65"/>
    <e v="#N/A"/>
    <x v="162"/>
    <s v="US INVOICE"/>
    <x v="190"/>
    <s v="64237542SW15"/>
    <x v="15"/>
    <x v="15"/>
    <s v="SWW"/>
    <s v="SW ACCESS VIA WEB"/>
    <n v="2025"/>
    <n v="11"/>
    <s v="FIN5030"/>
    <n v="2025"/>
    <s v="November  "/>
    <x v="1"/>
  </r>
  <r>
    <s v="0914"/>
    <s v="ELEAD"/>
    <s v="ELEAD OTHER"/>
    <s v="CALL TRACKING COUNT AS ONE"/>
    <s v="21112"/>
    <s v="4111001"/>
    <s v="N"/>
    <s v="NC"/>
    <n v="0"/>
    <n v="20"/>
    <n v="1"/>
    <x v="92"/>
    <x v="85"/>
    <e v="#N/A"/>
    <x v="90"/>
    <s v="US INVOICE"/>
    <x v="191"/>
    <s v="58038309SW46"/>
    <x v="15"/>
    <x v="15"/>
    <s v="SWW"/>
    <s v="SW ACCESS VIA WEB"/>
    <n v="2025"/>
    <n v="11"/>
    <s v="FIN5030"/>
    <n v="2025"/>
    <s v="November  "/>
    <x v="1"/>
  </r>
  <r>
    <s v="0914"/>
    <s v="ELEAD"/>
    <s v="ELEAD OTHER"/>
    <s v="CALL TRACKING COUNT AS ONE"/>
    <s v="21112"/>
    <s v="4111001"/>
    <s v="N"/>
    <s v="NC"/>
    <n v="0"/>
    <n v="20"/>
    <n v="1"/>
    <x v="165"/>
    <x v="155"/>
    <e v="#N/A"/>
    <x v="163"/>
    <s v="US INVOICE"/>
    <x v="192"/>
    <s v="58038309SW43"/>
    <x v="15"/>
    <x v="15"/>
    <s v="SWW"/>
    <s v="SW ACCESS VIA WEB"/>
    <n v="2025"/>
    <n v="11"/>
    <s v="FIN5030"/>
    <n v="2025"/>
    <s v="November  "/>
    <x v="1"/>
  </r>
  <r>
    <s v="0914"/>
    <s v="ELEAD"/>
    <s v="ELEAD OTHER"/>
    <s v="CALL TRACKING COUNT AS ONE"/>
    <s v="21112"/>
    <s v="4111001"/>
    <s v="N"/>
    <s v="NC"/>
    <n v="0"/>
    <n v="20"/>
    <n v="1"/>
    <x v="166"/>
    <x v="156"/>
    <e v="#N/A"/>
    <x v="164"/>
    <s v="US INVOICE"/>
    <x v="193"/>
    <s v="58038463SW26"/>
    <x v="15"/>
    <x v="15"/>
    <s v="SWW"/>
    <s v="SW ACCESS VIA WEB"/>
    <n v="2025"/>
    <n v="11"/>
    <s v="FIN5030"/>
    <n v="2025"/>
    <s v="November  "/>
    <x v="1"/>
  </r>
  <r>
    <s v="0914"/>
    <s v="ELEAD"/>
    <s v="ELEAD OTHER"/>
    <s v="CALL TRACKING COUNT AS ONE"/>
    <s v="21112"/>
    <s v="4111001"/>
    <s v="N"/>
    <s v="NC"/>
    <n v="0"/>
    <n v="10"/>
    <n v="1"/>
    <x v="167"/>
    <x v="157"/>
    <e v="#N/A"/>
    <x v="165"/>
    <s v="US INVOICE"/>
    <x v="194"/>
    <s v="58038408SW23"/>
    <x v="15"/>
    <x v="15"/>
    <s v="SWW"/>
    <s v="SW ACCESS VIA WEB"/>
    <n v="2025"/>
    <n v="11"/>
    <s v="FIN5030"/>
    <n v="2025"/>
    <s v="November  "/>
    <x v="1"/>
  </r>
  <r>
    <s v="0914"/>
    <s v="ELEAD"/>
    <s v="ELEAD OTHER"/>
    <s v="CALL TRACKING COUNT AS ONE"/>
    <s v="21112"/>
    <s v="4111001"/>
    <s v="N"/>
    <s v="NC"/>
    <n v="0"/>
    <n v="20"/>
    <n v="1"/>
    <x v="168"/>
    <x v="158"/>
    <e v="#N/A"/>
    <x v="166"/>
    <s v="US INVOICE"/>
    <x v="195"/>
    <s v="58038028SW96"/>
    <x v="15"/>
    <x v="15"/>
    <s v="SWW"/>
    <s v="SW ACCESS VIA WEB"/>
    <n v="2025"/>
    <n v="11"/>
    <s v="FIN5030"/>
    <n v="2025"/>
    <s v="November  "/>
    <x v="1"/>
  </r>
  <r>
    <s v="0914"/>
    <s v="ELEAD"/>
    <s v="ELEAD OTHER"/>
    <s v="CALL TRACKING COUNT AS ONE"/>
    <s v="21112"/>
    <s v="4111001"/>
    <s v="N"/>
    <s v="NC"/>
    <n v="0"/>
    <n v="20"/>
    <n v="1"/>
    <x v="169"/>
    <x v="159"/>
    <e v="#N/A"/>
    <x v="167"/>
    <s v="US INVOICE"/>
    <x v="196"/>
    <s v="58038029SW11"/>
    <x v="15"/>
    <x v="15"/>
    <s v="SWW"/>
    <s v="SW ACCESS VIA WEB"/>
    <n v="2025"/>
    <n v="11"/>
    <s v="FIN5030"/>
    <n v="2025"/>
    <s v="November  "/>
    <x v="1"/>
  </r>
  <r>
    <s v="0914"/>
    <s v="ELEAD"/>
    <s v="ELEAD OTHER"/>
    <s v="CALL TRACKING COUNT AS ONE"/>
    <s v="21112"/>
    <s v="4111001"/>
    <s v="N"/>
    <s v="NC"/>
    <n v="0"/>
    <n v="10"/>
    <n v="1"/>
    <x v="83"/>
    <x v="76"/>
    <e v="#N/A"/>
    <x v="81"/>
    <s v="US INVOICE"/>
    <x v="197"/>
    <s v="58038391SW41"/>
    <x v="15"/>
    <x v="15"/>
    <s v="SWW"/>
    <s v="SW ACCESS VIA WEB"/>
    <n v="2025"/>
    <n v="11"/>
    <s v="FIN5030"/>
    <n v="2025"/>
    <s v="November  "/>
    <x v="1"/>
  </r>
  <r>
    <s v="0914"/>
    <s v="ELEAD"/>
    <s v="ELEAD OTHER"/>
    <s v="CALL TRACKING COUNT AS ONE"/>
    <s v="21112"/>
    <s v="4111001"/>
    <s v="N"/>
    <s v="NC"/>
    <n v="0"/>
    <n v="20"/>
    <n v="1"/>
    <x v="170"/>
    <x v="160"/>
    <e v="#N/A"/>
    <x v="168"/>
    <s v="US INVOICE"/>
    <x v="198"/>
    <s v="58038235SW09"/>
    <x v="15"/>
    <x v="15"/>
    <s v="SWW"/>
    <s v="SW ACCESS VIA WEB"/>
    <n v="2025"/>
    <n v="11"/>
    <s v="FIN5030"/>
    <n v="2025"/>
    <s v="November  "/>
    <x v="1"/>
  </r>
  <r>
    <s v="0914"/>
    <s v="ELEAD"/>
    <s v="ELEAD OTHER"/>
    <s v="CALL TRACKING COUNT AS ONE"/>
    <s v="21112"/>
    <s v="4111001"/>
    <s v="N"/>
    <s v="NC"/>
    <n v="0"/>
    <n v="10"/>
    <n v="1"/>
    <x v="171"/>
    <x v="161"/>
    <e v="#N/A"/>
    <x v="169"/>
    <s v="US INVOICE"/>
    <x v="199"/>
    <s v="58038326SW17"/>
    <x v="15"/>
    <x v="15"/>
    <s v="SWW"/>
    <s v="SW ACCESS VIA WEB"/>
    <n v="2025"/>
    <n v="11"/>
    <s v="FIN5030"/>
    <n v="2025"/>
    <s v="November  "/>
    <x v="1"/>
  </r>
  <r>
    <s v="0914"/>
    <s v="ELEAD"/>
    <s v="ELEAD OTHER"/>
    <s v="CALL TRACKING COUNT AS ONE"/>
    <s v="21112"/>
    <s v="4111001"/>
    <s v="N"/>
    <s v="NC"/>
    <n v="0"/>
    <n v="20"/>
    <n v="1"/>
    <x v="84"/>
    <x v="77"/>
    <e v="#N/A"/>
    <x v="82"/>
    <s v="US INVOICE"/>
    <x v="200"/>
    <s v="58038028SW55"/>
    <x v="15"/>
    <x v="15"/>
    <s v="SWW"/>
    <s v="SW ACCESS VIA WEB"/>
    <n v="2025"/>
    <n v="11"/>
    <s v="FIN5030"/>
    <n v="2025"/>
    <s v="November  "/>
    <x v="1"/>
  </r>
  <r>
    <s v="0914"/>
    <s v="ELEAD"/>
    <s v="ELEAD OTHER"/>
    <s v="CALL TRACKING COUNT AS ONE"/>
    <s v="21112"/>
    <s v="4111001"/>
    <s v="N"/>
    <s v="NC"/>
    <n v="0"/>
    <n v="10"/>
    <n v="1"/>
    <x v="172"/>
    <x v="162"/>
    <e v="#N/A"/>
    <x v="170"/>
    <s v="US INVOICE"/>
    <x v="201"/>
    <s v="58038408SW13"/>
    <x v="15"/>
    <x v="15"/>
    <s v="SWW"/>
    <s v="SW ACCESS VIA WEB"/>
    <n v="2025"/>
    <n v="11"/>
    <s v="FIN5030"/>
    <n v="2025"/>
    <s v="November  "/>
    <x v="1"/>
  </r>
  <r>
    <s v="0914"/>
    <s v="ELEAD"/>
    <s v="ELEAD OTHER"/>
    <s v="CALL TRACKING COUNT AS ONE"/>
    <s v="21112"/>
    <s v="4111001"/>
    <s v="N"/>
    <s v="VA"/>
    <n v="0"/>
    <n v="20"/>
    <n v="1"/>
    <x v="119"/>
    <x v="110"/>
    <e v="#N/A"/>
    <x v="117"/>
    <s v="US INVOICE"/>
    <x v="202"/>
    <s v="68242546SW10"/>
    <x v="15"/>
    <x v="15"/>
    <s v="SWW"/>
    <s v="SW ACCESS VIA WEB"/>
    <n v="2025"/>
    <n v="11"/>
    <s v="FIN5030"/>
    <n v="2025"/>
    <s v="November  "/>
    <x v="1"/>
  </r>
  <r>
    <s v="0914"/>
    <s v="ELEAD"/>
    <s v="ELEAD OTHER"/>
    <s v="CALL TRACKING COUNT AS ONE"/>
    <s v="21112"/>
    <s v="4111001"/>
    <s v="N"/>
    <s v="PA"/>
    <n v="0"/>
    <n v="20"/>
    <n v="1"/>
    <x v="135"/>
    <x v="126"/>
    <e v="#N/A"/>
    <x v="133"/>
    <s v="US INVOICE"/>
    <x v="203"/>
    <s v="68229856SW02"/>
    <x v="15"/>
    <x v="15"/>
    <s v="SWW"/>
    <s v="SW ACCESS VIA WEB"/>
    <n v="2025"/>
    <n v="11"/>
    <s v="FIN5030"/>
    <n v="2025"/>
    <s v="November  "/>
    <x v="1"/>
  </r>
  <r>
    <s v="0914"/>
    <s v="ELEAD"/>
    <s v="ELEAD OTHER"/>
    <s v="CALL TRACKING COUNT AS ONE"/>
    <s v="21112"/>
    <s v="4111001"/>
    <s v="N"/>
    <s v="PA"/>
    <n v="7.1"/>
    <n v="0"/>
    <n v="11"/>
    <x v="136"/>
    <x v="127"/>
    <e v="#N/A"/>
    <x v="134"/>
    <s v="US INVOICE"/>
    <x v="146"/>
    <s v="68242478SW10"/>
    <x v="15"/>
    <x v="15"/>
    <s v="SWW"/>
    <s v="SW ACCESS VIA WEB"/>
    <n v="2025"/>
    <n v="11"/>
    <s v="FIN5030"/>
    <n v="2025"/>
    <s v="November  "/>
    <x v="1"/>
  </r>
  <r>
    <s v="0914"/>
    <s v="ELEAD"/>
    <s v="ELEAD OTHER"/>
    <s v="CALL TRACKING COUNT AS ONE"/>
    <s v="21112"/>
    <s v="4111001"/>
    <s v="N"/>
    <s v="NC"/>
    <n v="0"/>
    <n v="10"/>
    <n v="1"/>
    <x v="93"/>
    <x v="86"/>
    <e v="#N/A"/>
    <x v="91"/>
    <s v="US INVOICE"/>
    <x v="204"/>
    <s v="58038309SW35"/>
    <x v="15"/>
    <x v="15"/>
    <s v="SWW"/>
    <s v="SW ACCESS VIA WEB"/>
    <n v="2025"/>
    <n v="11"/>
    <s v="FIN5030"/>
    <n v="2025"/>
    <s v="November  "/>
    <x v="1"/>
  </r>
  <r>
    <s v="0914"/>
    <s v="ELEAD"/>
    <s v="ELEAD OTHER"/>
    <s v="CALL TRACKING COUNT AS ONE"/>
    <s v="21112"/>
    <s v="4111001"/>
    <s v="N"/>
    <s v="NC"/>
    <n v="0"/>
    <n v="20"/>
    <n v="1"/>
    <x v="173"/>
    <x v="163"/>
    <e v="#N/A"/>
    <x v="171"/>
    <s v="US INVOICE"/>
    <x v="205"/>
    <s v="58038454SW21"/>
    <x v="15"/>
    <x v="15"/>
    <s v="SWW"/>
    <s v="SW ACCESS VIA WEB"/>
    <n v="2025"/>
    <n v="11"/>
    <s v="FIN5030"/>
    <n v="2025"/>
    <s v="November  "/>
    <x v="1"/>
  </r>
  <r>
    <s v="0914"/>
    <s v="ELEAD"/>
    <s v="ELEAD OTHER"/>
    <s v="CALL TRACKING COUNT AS ONE"/>
    <s v="21112"/>
    <s v="4111001"/>
    <s v="N"/>
    <s v="PA"/>
    <n v="0"/>
    <n v="20"/>
    <n v="1"/>
    <x v="138"/>
    <x v="129"/>
    <e v="#N/A"/>
    <x v="136"/>
    <s v="US INVOICE"/>
    <x v="206"/>
    <s v="68229856SW06"/>
    <x v="15"/>
    <x v="15"/>
    <s v="SWW"/>
    <s v="SW ACCESS VIA WEB"/>
    <n v="2025"/>
    <n v="11"/>
    <s v="FIN5030"/>
    <n v="2025"/>
    <s v="November  "/>
    <x v="1"/>
  </r>
  <r>
    <s v="0914"/>
    <s v="ELEAD"/>
    <s v="ELEAD OTHER"/>
    <s v="CALL TRACKING COUNT AS ONE"/>
    <s v="21112"/>
    <s v="4111001"/>
    <s v="N"/>
    <s v="IN"/>
    <n v="0"/>
    <n v="20"/>
    <n v="1"/>
    <x v="91"/>
    <x v="84"/>
    <e v="#N/A"/>
    <x v="89"/>
    <s v="US INVOICE"/>
    <x v="207"/>
    <s v="64233160SW02"/>
    <x v="15"/>
    <x v="15"/>
    <s v="SWW"/>
    <s v="SW ACCESS VIA WEB"/>
    <n v="2025"/>
    <n v="11"/>
    <s v="FIN5030"/>
    <n v="2025"/>
    <s v="November  "/>
    <x v="1"/>
  </r>
  <r>
    <s v="0914"/>
    <s v="ELEAD"/>
    <s v="ELEAD OTHER"/>
    <s v="CALL TRACKING COUNT AS ONE"/>
    <s v="21112"/>
    <s v="4111001"/>
    <s v="N"/>
    <s v="GA"/>
    <n v="0"/>
    <n v="14"/>
    <n v="1"/>
    <x v="174"/>
    <x v="164"/>
    <e v="#N/A"/>
    <x v="172"/>
    <s v="US INVOICE"/>
    <x v="208"/>
    <s v="68242040SW38"/>
    <x v="15"/>
    <x v="15"/>
    <s v="SWW"/>
    <s v="SW ACCESS VIA WEB"/>
    <n v="2025"/>
    <n v="11"/>
    <s v="FIN5030"/>
    <n v="2025"/>
    <s v="November  "/>
    <x v="1"/>
  </r>
  <r>
    <s v="0914"/>
    <s v="ELEAD"/>
    <s v="ELEAD OTHER"/>
    <s v="CALL TRACKING COUNT AS ONE"/>
    <s v="21112"/>
    <s v="4111001"/>
    <s v="N"/>
    <s v="TN"/>
    <n v="0"/>
    <n v="20"/>
    <n v="1"/>
    <x v="175"/>
    <x v="165"/>
    <e v="#N/A"/>
    <x v="173"/>
    <s v="US INVOICE"/>
    <x v="209"/>
    <s v="64229517SW01"/>
    <x v="15"/>
    <x v="15"/>
    <s v="SWW"/>
    <s v="SW ACCESS VIA WEB"/>
    <n v="2025"/>
    <n v="11"/>
    <s v="FIN5030"/>
    <n v="2025"/>
    <s v="November  "/>
    <x v="1"/>
  </r>
  <r>
    <s v="0914"/>
    <s v="ELEAD"/>
    <s v="ELEAD OTHER"/>
    <s v="CALL TRACKING COUNT AS ONE"/>
    <s v="21112"/>
    <s v="4111001"/>
    <s v="N"/>
    <s v="MI"/>
    <n v="0"/>
    <n v="20"/>
    <n v="1"/>
    <x v="176"/>
    <x v="166"/>
    <e v="#N/A"/>
    <x v="174"/>
    <s v="US INVOICE"/>
    <x v="210"/>
    <s v="68227988SW23"/>
    <x v="15"/>
    <x v="15"/>
    <s v="SWW"/>
    <s v="SW ACCESS VIA WEB"/>
    <n v="2025"/>
    <n v="11"/>
    <s v="FIN5030"/>
    <n v="2025"/>
    <s v="November  "/>
    <x v="1"/>
  </r>
  <r>
    <s v="0914"/>
    <s v="ELEAD"/>
    <s v="ELEAD OTHER"/>
    <s v="CALL TRACKING COUNT AS ONE"/>
    <s v="21112"/>
    <s v="4111001"/>
    <s v="N"/>
    <s v="NC"/>
    <n v="0"/>
    <n v="20"/>
    <n v="1"/>
    <x v="153"/>
    <x v="144"/>
    <e v="#N/A"/>
    <x v="151"/>
    <s v="US INVOICE"/>
    <x v="211"/>
    <s v="K10741740001"/>
    <x v="15"/>
    <x v="15"/>
    <s v="SWW"/>
    <s v="SW ACCESS VIA WEB"/>
    <n v="2025"/>
    <n v="11"/>
    <s v="FIN5030"/>
    <n v="2025"/>
    <s v="November  "/>
    <x v="1"/>
  </r>
  <r>
    <s v="0914"/>
    <s v="ELEAD"/>
    <s v="ELEAD OTHER"/>
    <s v="CALL TRACKING COUNT AS ONE"/>
    <s v="21112"/>
    <s v="4111001"/>
    <s v="N"/>
    <s v="PA"/>
    <n v="0"/>
    <n v="20"/>
    <n v="1"/>
    <x v="136"/>
    <x v="127"/>
    <e v="#N/A"/>
    <x v="134"/>
    <s v="US INVOICE"/>
    <x v="212"/>
    <s v="68242478SW10"/>
    <x v="15"/>
    <x v="15"/>
    <s v="SWW"/>
    <s v="SW ACCESS VIA WEB"/>
    <n v="2025"/>
    <n v="11"/>
    <s v="FIN5030"/>
    <n v="2025"/>
    <s v="November  "/>
    <x v="1"/>
  </r>
  <r>
    <s v="0914"/>
    <s v="ELEAD"/>
    <s v="ELEAD OTHER"/>
    <s v="CALL TRACKING COUNT AS ONE"/>
    <s v="21112"/>
    <s v="4111001"/>
    <s v="N"/>
    <s v="NC"/>
    <n v="0"/>
    <n v="10"/>
    <n v="1"/>
    <x v="177"/>
    <x v="167"/>
    <e v="#N/A"/>
    <x v="175"/>
    <s v="US INVOICE"/>
    <x v="213"/>
    <s v="58038391SW21"/>
    <x v="15"/>
    <x v="15"/>
    <s v="SWW"/>
    <s v="SW ACCESS VIA WEB"/>
    <n v="2025"/>
    <n v="11"/>
    <s v="FIN5030"/>
    <n v="2025"/>
    <s v="November  "/>
    <x v="1"/>
  </r>
  <r>
    <s v="0914"/>
    <s v="ELEAD"/>
    <s v="ELEAD OTHER"/>
    <s v="CALL TRACKING COUNT AS ONE"/>
    <s v="21112"/>
    <s v="4111001"/>
    <s v="N"/>
    <s v="NC"/>
    <n v="0"/>
    <n v="20"/>
    <n v="1"/>
    <x v="178"/>
    <x v="168"/>
    <e v="#N/A"/>
    <x v="176"/>
    <s v="US INVOICE"/>
    <x v="214"/>
    <s v="58038454SW24"/>
    <x v="15"/>
    <x v="15"/>
    <s v="SWW"/>
    <s v="SW ACCESS VIA WEB"/>
    <n v="2025"/>
    <n v="11"/>
    <s v="FIN5030"/>
    <n v="2025"/>
    <s v="November  "/>
    <x v="1"/>
  </r>
  <r>
    <s v="0914"/>
    <s v="ELEAD"/>
    <s v="ELEAD OTHER"/>
    <s v="CALL TRACKING COUNT AS ONE"/>
    <s v="21112"/>
    <s v="4111001"/>
    <s v="N"/>
    <s v="NC"/>
    <n v="0"/>
    <n v="20"/>
    <n v="1"/>
    <x v="90"/>
    <x v="83"/>
    <e v="#N/A"/>
    <x v="88"/>
    <s v="US INVOICE"/>
    <x v="215"/>
    <s v="58038028SW20"/>
    <x v="15"/>
    <x v="15"/>
    <s v="SWW"/>
    <s v="SW ACCESS VIA WEB"/>
    <n v="2025"/>
    <n v="11"/>
    <s v="FIN5030"/>
    <n v="2025"/>
    <s v="November  "/>
    <x v="1"/>
  </r>
  <r>
    <s v="0914"/>
    <s v="ELEAD"/>
    <s v="ELEAD OTHER"/>
    <s v="CALL TRACKING COUNT AS ONE"/>
    <s v="21112"/>
    <s v="4111001"/>
    <s v="N"/>
    <s v="PA"/>
    <n v="0"/>
    <n v="20"/>
    <n v="1"/>
    <x v="134"/>
    <x v="125"/>
    <e v="#N/A"/>
    <x v="132"/>
    <s v="US INVOICE"/>
    <x v="216"/>
    <s v="68229856SW07"/>
    <x v="15"/>
    <x v="15"/>
    <s v="SWW"/>
    <s v="SW ACCESS VIA WEB"/>
    <n v="2025"/>
    <n v="11"/>
    <s v="FIN5030"/>
    <n v="2025"/>
    <s v="November  "/>
    <x v="1"/>
  </r>
  <r>
    <s v="0914"/>
    <s v="ELEAD"/>
    <s v="ELEAD OTHER"/>
    <s v="CALL TRACKING COUNT AS ONE"/>
    <s v="21112"/>
    <s v="4111001"/>
    <s v="N"/>
    <s v="NC"/>
    <n v="0"/>
    <n v="20"/>
    <n v="1"/>
    <x v="85"/>
    <x v="78"/>
    <e v="#N/A"/>
    <x v="83"/>
    <s v="US INVOICE"/>
    <x v="217"/>
    <s v="58038309SW38"/>
    <x v="15"/>
    <x v="15"/>
    <s v="SWW"/>
    <s v="SW ACCESS VIA WEB"/>
    <n v="2025"/>
    <n v="11"/>
    <s v="FIN5030"/>
    <n v="2025"/>
    <s v="November  "/>
    <x v="1"/>
  </r>
  <r>
    <s v="0914"/>
    <s v="ELEAD"/>
    <s v="ELEAD OTHER"/>
    <s v="CALL TRACKING COUNT AS ONE"/>
    <s v="21112"/>
    <s v="4111001"/>
    <s v="N"/>
    <s v="NC"/>
    <n v="0"/>
    <n v="10"/>
    <n v="1"/>
    <x v="179"/>
    <x v="169"/>
    <e v="#N/A"/>
    <x v="177"/>
    <s v="US INVOICE"/>
    <x v="218"/>
    <s v="58038463SW20"/>
    <x v="15"/>
    <x v="15"/>
    <s v="SWW"/>
    <s v="SW ACCESS VIA WEB"/>
    <n v="2025"/>
    <n v="11"/>
    <s v="FIN5030"/>
    <n v="2025"/>
    <s v="November  "/>
    <x v="1"/>
  </r>
  <r>
    <s v="0918"/>
    <s v="ELEAD"/>
    <s v="ELEAD OTHER"/>
    <s v="CALL TRACKING COUNT AS ONE"/>
    <s v="21114"/>
    <s v="4111001"/>
    <s v="N"/>
    <s v="NC"/>
    <n v="0"/>
    <n v="699"/>
    <n v="1"/>
    <x v="180"/>
    <x v="170"/>
    <e v="#N/A"/>
    <x v="178"/>
    <s v="US INVOICE"/>
    <x v="219"/>
    <s v="68243076SW11"/>
    <x v="16"/>
    <x v="16"/>
    <s v="SWW"/>
    <s v="SW ACCESS VIA WEB"/>
    <n v="2025"/>
    <n v="11"/>
    <s v="FIN5030"/>
    <n v="2025"/>
    <s v="November  "/>
    <x v="0"/>
  </r>
  <r>
    <s v="0918"/>
    <s v="ELEAD"/>
    <s v="ELEAD OTHER"/>
    <s v="CALL TRACKING COUNT AS ONE"/>
    <s v="21114"/>
    <s v="4111001"/>
    <s v="N"/>
    <s v="TN"/>
    <n v="0"/>
    <n v="699"/>
    <n v="1"/>
    <x v="105"/>
    <x v="97"/>
    <e v="#N/A"/>
    <x v="103"/>
    <s v="US INVOICE"/>
    <x v="220"/>
    <s v="64238641SW02"/>
    <x v="16"/>
    <x v="16"/>
    <s v="SWW"/>
    <s v="SW ACCESS VIA WEB"/>
    <n v="2025"/>
    <n v="11"/>
    <s v="FIN5030"/>
    <n v="2025"/>
    <s v="November  "/>
    <x v="0"/>
  </r>
  <r>
    <s v="0914"/>
    <s v="ELEAD"/>
    <s v="ELEAD OTHER"/>
    <s v="CALL TRACKING COUNT AS ONE"/>
    <s v="21112"/>
    <s v="4111001"/>
    <s v="N"/>
    <s v="TX"/>
    <n v="0"/>
    <n v="1904.47"/>
    <n v="1"/>
    <x v="181"/>
    <x v="65"/>
    <e v="#N/A"/>
    <x v="179"/>
    <s v="US INVOICE"/>
    <x v="221"/>
    <s v="58026117SW38"/>
    <x v="17"/>
    <x v="17"/>
    <s v="SWW"/>
    <s v="SW ACCESS VIA WEB"/>
    <n v="2025"/>
    <n v="11"/>
    <s v="FIN5030"/>
    <n v="2025"/>
    <s v="November  "/>
    <x v="0"/>
  </r>
  <r>
    <s v="0914"/>
    <s v="ELEAD"/>
    <s v="ELEAD OTHER"/>
    <s v="CALL TRACKING COUNT AS ONE"/>
    <s v="21112"/>
    <s v="4111001"/>
    <s v="N"/>
    <s v="NC"/>
    <n v="0"/>
    <n v="2295.36"/>
    <n v="1"/>
    <x v="182"/>
    <x v="171"/>
    <e v="#N/A"/>
    <x v="180"/>
    <s v="US INVOICE"/>
    <x v="222"/>
    <s v="68184711SW02"/>
    <x v="17"/>
    <x v="17"/>
    <s v="SWW"/>
    <s v="SW ACCESS VIA WEB"/>
    <n v="2025"/>
    <n v="11"/>
    <s v="FIN5030"/>
    <n v="2025"/>
    <s v="November  "/>
    <x v="0"/>
  </r>
  <r>
    <s v="0914"/>
    <s v="ELEAD"/>
    <s v="ELEAD OTHER"/>
    <s v="CALL TRACKING COUNT AS ONE"/>
    <s v="21112"/>
    <s v="4111001"/>
    <s v="N"/>
    <s v="GA"/>
    <n v="0"/>
    <n v="1386.75"/>
    <n v="1"/>
    <x v="183"/>
    <x v="172"/>
    <e v="#N/A"/>
    <x v="181"/>
    <s v="US INVOICE"/>
    <x v="223"/>
    <s v="68228234SW06"/>
    <x v="17"/>
    <x v="17"/>
    <s v="SWW"/>
    <s v="SW ACCESS VIA WEB"/>
    <n v="2025"/>
    <n v="11"/>
    <s v="FIN5030"/>
    <n v="2025"/>
    <s v="November  "/>
    <x v="0"/>
  </r>
  <r>
    <s v="0914"/>
    <s v="ELEAD"/>
    <s v="ELEAD OTHER"/>
    <s v="CALL TRACKING COUNT AS ONE"/>
    <s v="21112"/>
    <s v="4111001"/>
    <s v="N"/>
    <s v="NC"/>
    <n v="0"/>
    <n v="1849"/>
    <n v="1"/>
    <x v="165"/>
    <x v="155"/>
    <e v="#N/A"/>
    <x v="163"/>
    <s v="US INVOICE"/>
    <x v="224"/>
    <s v="58038309SW41"/>
    <x v="17"/>
    <x v="17"/>
    <s v="SWW"/>
    <s v="SW ACCESS VIA WEB"/>
    <n v="2025"/>
    <n v="11"/>
    <s v="FIN5030"/>
    <n v="2025"/>
    <s v="November  "/>
    <x v="0"/>
  </r>
  <r>
    <s v="0914"/>
    <s v="ELEAD"/>
    <s v="ELEAD OTHER"/>
    <s v="CALL TRACKING COUNT AS ONE"/>
    <s v="21112"/>
    <s v="4111001"/>
    <s v="N"/>
    <s v="KS"/>
    <n v="0"/>
    <n v="1386.75"/>
    <n v="1"/>
    <x v="184"/>
    <x v="173"/>
    <e v="#N/A"/>
    <x v="182"/>
    <s v="US INVOICE"/>
    <x v="225"/>
    <s v="64230854SW06"/>
    <x v="17"/>
    <x v="17"/>
    <s v="SWW"/>
    <s v="SW ACCESS VIA WEB"/>
    <n v="2025"/>
    <n v="11"/>
    <s v="FIN5030"/>
    <n v="2025"/>
    <s v="November  "/>
    <x v="0"/>
  </r>
  <r>
    <s v="0914"/>
    <s v="ELEAD"/>
    <s v="ELEAD OTHER"/>
    <s v="CALL TRACKING COUNT AS ONE"/>
    <s v="21112"/>
    <s v="4111001"/>
    <s v="N"/>
    <s v="FL"/>
    <n v="0"/>
    <n v="1386.75"/>
    <n v="1"/>
    <x v="185"/>
    <x v="174"/>
    <e v="#N/A"/>
    <x v="183"/>
    <s v="US INVOICE"/>
    <x v="226"/>
    <s v="64230855SW32"/>
    <x v="17"/>
    <x v="17"/>
    <s v="SWW"/>
    <s v="SW ACCESS VIA WEB"/>
    <n v="2025"/>
    <n v="11"/>
    <s v="FIN5030"/>
    <n v="2025"/>
    <s v="November  "/>
    <x v="0"/>
  </r>
  <r>
    <s v="0914"/>
    <s v="ELEAD"/>
    <s v="ELEAD OTHER"/>
    <s v="CALL TRACKING COUNT AS ONE"/>
    <s v="21112"/>
    <s v="4111001"/>
    <s v="N"/>
    <s v="CA"/>
    <n v="0"/>
    <n v="995"/>
    <n v="1"/>
    <x v="89"/>
    <x v="82"/>
    <e v="#N/A"/>
    <x v="87"/>
    <s v="US INVOICE"/>
    <x v="227"/>
    <s v="62164402SW01"/>
    <x v="17"/>
    <x v="17"/>
    <s v="SWW"/>
    <s v="SW ACCESS VIA WEB"/>
    <n v="2025"/>
    <n v="11"/>
    <s v="FIN5030"/>
    <n v="2025"/>
    <s v="November  "/>
    <x v="0"/>
  </r>
  <r>
    <s v="0914"/>
    <s v="ELEAD"/>
    <s v="ELEAD OTHER"/>
    <s v="CALL TRACKING COUNT AS ONE"/>
    <s v="21112"/>
    <s v="4111001"/>
    <s v="N"/>
    <s v="CA"/>
    <n v="0"/>
    <n v="1386.75"/>
    <n v="1"/>
    <x v="186"/>
    <x v="175"/>
    <e v="#N/A"/>
    <x v="184"/>
    <s v="US INVOICE"/>
    <x v="228"/>
    <s v="62185264SW27"/>
    <x v="17"/>
    <x v="17"/>
    <s v="SWW"/>
    <s v="SW ACCESS VIA WEB"/>
    <n v="2025"/>
    <n v="11"/>
    <s v="FIN5030"/>
    <n v="2025"/>
    <s v="November  "/>
    <x v="0"/>
  </r>
  <r>
    <s v="0914"/>
    <s v="ELEAD"/>
    <s v="ELEAD OTHER"/>
    <s v="CALL TRACKING COUNT AS ONE"/>
    <s v="21112"/>
    <s v="4111001"/>
    <s v="N"/>
    <s v="FL"/>
    <n v="0"/>
    <n v="1386.75"/>
    <n v="1"/>
    <x v="187"/>
    <x v="176"/>
    <e v="#N/A"/>
    <x v="185"/>
    <s v="US INVOICE"/>
    <x v="229"/>
    <s v="64230855SW34"/>
    <x v="17"/>
    <x v="17"/>
    <s v="SWW"/>
    <s v="SW ACCESS VIA WEB"/>
    <n v="2025"/>
    <n v="11"/>
    <s v="FIN5030"/>
    <n v="2025"/>
    <s v="November  "/>
    <x v="0"/>
  </r>
  <r>
    <s v="0914"/>
    <s v="ELEAD"/>
    <s v="ELEAD OTHER"/>
    <s v="CALL TRACKING COUNT AS ONE"/>
    <s v="21112"/>
    <s v="4111001"/>
    <s v="N"/>
    <s v="CO"/>
    <n v="0"/>
    <n v="1386.75"/>
    <n v="1"/>
    <x v="188"/>
    <x v="177"/>
    <e v="#N/A"/>
    <x v="186"/>
    <s v="US INVOICE"/>
    <x v="230"/>
    <s v="62185265SW10"/>
    <x v="17"/>
    <x v="17"/>
    <s v="SWW"/>
    <s v="SW ACCESS VIA WEB"/>
    <n v="2025"/>
    <n v="11"/>
    <s v="FIN5030"/>
    <n v="2025"/>
    <s v="November  "/>
    <x v="0"/>
  </r>
  <r>
    <s v="0914"/>
    <s v="ELEAD"/>
    <s v="ELEAD OTHER"/>
    <s v="CALL TRACKING COUNT AS ONE"/>
    <s v="21112"/>
    <s v="4111001"/>
    <s v="N"/>
    <s v="WA"/>
    <n v="0"/>
    <n v="1386.75"/>
    <n v="1"/>
    <x v="189"/>
    <x v="178"/>
    <e v="#N/A"/>
    <x v="187"/>
    <s v="US INVOICE"/>
    <x v="231"/>
    <s v="62185264SW28"/>
    <x v="17"/>
    <x v="17"/>
    <s v="SWW"/>
    <s v="SW ACCESS VIA WEB"/>
    <n v="2025"/>
    <n v="11"/>
    <s v="FIN5030"/>
    <n v="2025"/>
    <s v="November  "/>
    <x v="0"/>
  </r>
  <r>
    <s v="0914"/>
    <s v="ELEAD"/>
    <s v="ELEAD OTHER"/>
    <s v="CALL TRACKING COUNT AS ONE"/>
    <s v="21112"/>
    <s v="4111001"/>
    <s v="N"/>
    <s v="NJ"/>
    <n v="0"/>
    <n v="1408.33"/>
    <n v="1"/>
    <x v="190"/>
    <x v="179"/>
    <e v="#N/A"/>
    <x v="188"/>
    <s v="US INVOICE"/>
    <x v="232"/>
    <s v="68240452SW33"/>
    <x v="17"/>
    <x v="17"/>
    <s v="SWW"/>
    <s v="SW ACCESS VIA WEB"/>
    <n v="2025"/>
    <n v="11"/>
    <s v="FIN5030"/>
    <n v="2025"/>
    <s v="November  "/>
    <x v="0"/>
  </r>
  <r>
    <s v="0914"/>
    <s v="ELEAD"/>
    <s v="ELEAD OTHER"/>
    <s v="CALL TRACKING COUNT AS ONE"/>
    <s v="21112"/>
    <s v="4111001"/>
    <s v="N"/>
    <s v="FL"/>
    <n v="0"/>
    <n v="1386.75"/>
    <n v="1"/>
    <x v="191"/>
    <x v="180"/>
    <e v="#N/A"/>
    <x v="189"/>
    <s v="US INVOICE"/>
    <x v="233"/>
    <s v="64230855SW25"/>
    <x v="17"/>
    <x v="17"/>
    <s v="SWW"/>
    <s v="SW ACCESS VIA WEB"/>
    <n v="2025"/>
    <n v="11"/>
    <s v="FIN5030"/>
    <n v="2025"/>
    <s v="November  "/>
    <x v="0"/>
  </r>
  <r>
    <s v="0914"/>
    <s v="ELEAD"/>
    <s v="ELEAD OTHER"/>
    <s v="CALL TRACKING COUNT AS ONE"/>
    <s v="21112"/>
    <s v="4111001"/>
    <s v="N"/>
    <s v="TX"/>
    <n v="0"/>
    <n v="1386.75"/>
    <n v="1"/>
    <x v="192"/>
    <x v="181"/>
    <e v="#N/A"/>
    <x v="190"/>
    <s v="US INVOICE"/>
    <x v="234"/>
    <s v="62185266SW05"/>
    <x v="17"/>
    <x v="17"/>
    <s v="SWW"/>
    <s v="SW ACCESS VIA WEB"/>
    <n v="2025"/>
    <n v="11"/>
    <s v="FIN5030"/>
    <n v="2025"/>
    <s v="November  "/>
    <x v="0"/>
  </r>
  <r>
    <s v="0914"/>
    <s v="ELEAD"/>
    <s v="ELEAD OTHER"/>
    <s v="CALL TRACKING COUNT AS ONE"/>
    <s v="21112"/>
    <s v="4111001"/>
    <s v="N"/>
    <s v="MA"/>
    <n v="0"/>
    <n v="1386.75"/>
    <n v="1"/>
    <x v="193"/>
    <x v="182"/>
    <e v="#N/A"/>
    <x v="191"/>
    <s v="US INVOICE"/>
    <x v="235"/>
    <s v="68228231SW12"/>
    <x v="17"/>
    <x v="17"/>
    <s v="SWW"/>
    <s v="SW ACCESS VIA WEB"/>
    <n v="2025"/>
    <n v="11"/>
    <s v="FIN5030"/>
    <n v="2025"/>
    <s v="November  "/>
    <x v="0"/>
  </r>
  <r>
    <s v="0914"/>
    <s v="ELEAD"/>
    <s v="ELEAD OTHER"/>
    <s v="CALL TRACKING COUNT AS ONE"/>
    <s v="21112"/>
    <s v="4111001"/>
    <s v="N"/>
    <s v="SC"/>
    <n v="0"/>
    <n v="1849"/>
    <n v="1"/>
    <x v="194"/>
    <x v="183"/>
    <e v="#N/A"/>
    <x v="192"/>
    <s v="US INVOICE"/>
    <x v="236"/>
    <s v="68215919SW01"/>
    <x v="17"/>
    <x v="17"/>
    <s v="SWW"/>
    <s v="SW ACCESS VIA WEB"/>
    <n v="2025"/>
    <n v="11"/>
    <s v="FIN5030"/>
    <n v="2025"/>
    <s v="November  "/>
    <x v="0"/>
  </r>
  <r>
    <s v="0914"/>
    <s v="ELEAD"/>
    <s v="ELEAD OTHER"/>
    <s v="CALL TRACKING COUNT AS ONE"/>
    <s v="21112"/>
    <s v="4111001"/>
    <s v="N"/>
    <s v="VA"/>
    <n v="0"/>
    <n v="1386.75"/>
    <n v="1"/>
    <x v="195"/>
    <x v="184"/>
    <e v="#N/A"/>
    <x v="193"/>
    <s v="US INVOICE"/>
    <x v="237"/>
    <s v="68228232SW12"/>
    <x v="17"/>
    <x v="17"/>
    <s v="SWW"/>
    <s v="SW ACCESS VIA WEB"/>
    <n v="2025"/>
    <n v="11"/>
    <s v="FIN5030"/>
    <n v="2025"/>
    <s v="November  "/>
    <x v="0"/>
  </r>
  <r>
    <s v="0914"/>
    <s v="ELEAD"/>
    <s v="ELEAD OTHER"/>
    <s v="CALL TRACKING COUNT AS ONE"/>
    <s v="21112"/>
    <s v="4111001"/>
    <s v="N"/>
    <s v="NC"/>
    <n v="0"/>
    <n v="1242.53"/>
    <n v="1"/>
    <x v="196"/>
    <x v="185"/>
    <e v="#N/A"/>
    <x v="194"/>
    <s v="US INVOICE"/>
    <x v="238"/>
    <s v="68217852SW16"/>
    <x v="17"/>
    <x v="17"/>
    <s v="SWW"/>
    <s v="SW ACCESS VIA WEB"/>
    <n v="2025"/>
    <n v="11"/>
    <s v="FIN5030"/>
    <n v="2025"/>
    <s v="November  "/>
    <x v="0"/>
  </r>
  <r>
    <s v="0914"/>
    <s v="ELEAD"/>
    <s v="ELEAD OTHER"/>
    <s v="CALL TRACKING COUNT AS ONE"/>
    <s v="21112"/>
    <s v="4111001"/>
    <s v="N"/>
    <s v="UT"/>
    <n v="0"/>
    <n v="1386.75"/>
    <n v="1"/>
    <x v="197"/>
    <x v="186"/>
    <e v="#N/A"/>
    <x v="195"/>
    <s v="US INVOICE"/>
    <x v="239"/>
    <s v="62185265SW11"/>
    <x v="17"/>
    <x v="17"/>
    <s v="SWW"/>
    <s v="SW ACCESS VIA WEB"/>
    <n v="2025"/>
    <n v="11"/>
    <s v="FIN5030"/>
    <n v="2025"/>
    <s v="November  "/>
    <x v="0"/>
  </r>
  <r>
    <s v="0914"/>
    <s v="ELEAD"/>
    <s v="ELEAD OTHER"/>
    <s v="CALL TRACKING COUNT AS ONE"/>
    <s v="21112"/>
    <s v="4111001"/>
    <s v="N"/>
    <s v="CA"/>
    <n v="0"/>
    <n v="1386.75"/>
    <n v="1"/>
    <x v="198"/>
    <x v="187"/>
    <e v="#N/A"/>
    <x v="196"/>
    <s v="US INVOICE"/>
    <x v="240"/>
    <s v="62185264SW23"/>
    <x v="17"/>
    <x v="17"/>
    <s v="SWW"/>
    <s v="SW ACCESS VIA WEB"/>
    <n v="2025"/>
    <n v="11"/>
    <s v="FIN5030"/>
    <n v="2025"/>
    <s v="November  "/>
    <x v="0"/>
  </r>
  <r>
    <s v="0914"/>
    <s v="ELEAD"/>
    <s v="ELEAD OTHER"/>
    <s v="CALL TRACKING COUNT AS ONE"/>
    <s v="21112"/>
    <s v="4111001"/>
    <s v="N"/>
    <s v="VA"/>
    <n v="0"/>
    <n v="1849"/>
    <n v="1"/>
    <x v="199"/>
    <x v="188"/>
    <e v="#N/A"/>
    <x v="197"/>
    <s v="US INVOICE"/>
    <x v="241"/>
    <s v="68193843SW43"/>
    <x v="17"/>
    <x v="17"/>
    <s v="SWW"/>
    <s v="SW ACCESS VIA WEB"/>
    <n v="2025"/>
    <n v="11"/>
    <s v="FIN5030"/>
    <n v="2025"/>
    <s v="November  "/>
    <x v="0"/>
  </r>
  <r>
    <s v="0914"/>
    <s v="ELEAD"/>
    <s v="ELEAD OTHER"/>
    <s v="CALL TRACKING COUNT AS ONE"/>
    <s v="21112"/>
    <s v="4111001"/>
    <s v="N"/>
    <s v="NC"/>
    <n v="0"/>
    <n v="1849"/>
    <n v="1"/>
    <x v="166"/>
    <x v="156"/>
    <e v="#N/A"/>
    <x v="164"/>
    <s v="US INVOICE"/>
    <x v="242"/>
    <s v="58038463SW28"/>
    <x v="17"/>
    <x v="17"/>
    <s v="SWW"/>
    <s v="SW ACCESS VIA WEB"/>
    <n v="2025"/>
    <n v="11"/>
    <s v="FIN5030"/>
    <n v="2025"/>
    <s v="November  "/>
    <x v="0"/>
  </r>
  <r>
    <s v="0914"/>
    <s v="ELEAD"/>
    <s v="ELEAD OTHER"/>
    <s v="CALL TRACKING COUNT AS ONE"/>
    <s v="21112"/>
    <s v="4111001"/>
    <s v="N"/>
    <s v="NJ"/>
    <n v="0"/>
    <n v="1408.33"/>
    <n v="1"/>
    <x v="200"/>
    <x v="189"/>
    <e v="#N/A"/>
    <x v="198"/>
    <s v="US INVOICE"/>
    <x v="243"/>
    <s v="68240452SW30"/>
    <x v="17"/>
    <x v="17"/>
    <s v="SWW"/>
    <s v="SW ACCESS VIA WEB"/>
    <n v="2025"/>
    <n v="11"/>
    <s v="FIN5030"/>
    <n v="2025"/>
    <s v="November  "/>
    <x v="0"/>
  </r>
  <r>
    <s v="0914"/>
    <s v="ELEAD"/>
    <s v="ELEAD OTHER"/>
    <s v="CALL TRACKING COUNT AS ONE"/>
    <s v="21112"/>
    <s v="4111001"/>
    <s v="N"/>
    <s v="TX"/>
    <n v="0"/>
    <n v="1090.9100000000001"/>
    <n v="1"/>
    <x v="201"/>
    <x v="190"/>
    <e v="#N/A"/>
    <x v="199"/>
    <s v="US INVOICE"/>
    <x v="244"/>
    <s v="64188817SW01"/>
    <x v="17"/>
    <x v="17"/>
    <s v="SWW"/>
    <s v="SW ACCESS VIA WEB"/>
    <n v="2025"/>
    <n v="11"/>
    <s v="FIN5030"/>
    <n v="2025"/>
    <s v="November  "/>
    <x v="0"/>
  </r>
  <r>
    <s v="0914"/>
    <s v="ELEAD"/>
    <s v="ELEAD OTHER"/>
    <s v="CALL TRACKING COUNT AS ONE"/>
    <s v="21112"/>
    <s v="4111001"/>
    <s v="N"/>
    <s v="OH"/>
    <n v="0"/>
    <n v="1941.45"/>
    <n v="1"/>
    <x v="202"/>
    <x v="191"/>
    <e v="#N/A"/>
    <x v="200"/>
    <s v="US INVOICE"/>
    <x v="245"/>
    <s v="64238300SW01"/>
    <x v="17"/>
    <x v="17"/>
    <s v="SWW"/>
    <s v="SW ACCESS VIA WEB"/>
    <n v="2025"/>
    <n v="11"/>
    <s v="FIN5030"/>
    <n v="2025"/>
    <s v="November  "/>
    <x v="0"/>
  </r>
  <r>
    <s v="0914"/>
    <s v="ELEAD"/>
    <s v="ELEAD OTHER"/>
    <s v="CALL TRACKING COUNT AS ONE"/>
    <s v="21112"/>
    <s v="4111001"/>
    <s v="N"/>
    <s v="SC"/>
    <n v="0"/>
    <n v="1849"/>
    <n v="1"/>
    <x v="97"/>
    <x v="65"/>
    <e v="#N/A"/>
    <x v="95"/>
    <s v="US INVOICE"/>
    <x v="246"/>
    <s v="68211044SW41"/>
    <x v="17"/>
    <x v="17"/>
    <s v="SWW"/>
    <s v="SW ACCESS VIA WEB"/>
    <n v="2025"/>
    <n v="11"/>
    <s v="FIN5030"/>
    <n v="2025"/>
    <s v="November  "/>
    <x v="0"/>
  </r>
  <r>
    <s v="0914"/>
    <s v="ELEAD"/>
    <s v="ELEAD OTHER"/>
    <s v="CALL TRACKING COUNT AS ONE"/>
    <s v="21112"/>
    <s v="4111001"/>
    <s v="N"/>
    <s v="NC"/>
    <n v="0"/>
    <n v="1849"/>
    <n v="1"/>
    <x v="172"/>
    <x v="162"/>
    <e v="#N/A"/>
    <x v="170"/>
    <s v="US INVOICE"/>
    <x v="247"/>
    <s v="58038408SW15"/>
    <x v="17"/>
    <x v="17"/>
    <s v="SWW"/>
    <s v="SW ACCESS VIA WEB"/>
    <n v="2025"/>
    <n v="11"/>
    <s v="FIN5030"/>
    <n v="2025"/>
    <s v="November  "/>
    <x v="0"/>
  </r>
  <r>
    <s v="0914"/>
    <s v="ELEAD"/>
    <s v="ELEAD OTHER"/>
    <s v="CALL TRACKING COUNT AS ONE"/>
    <s v="21112"/>
    <s v="4111001"/>
    <s v="N"/>
    <s v="MD"/>
    <n v="0"/>
    <n v="1469.12"/>
    <n v="1"/>
    <x v="203"/>
    <x v="192"/>
    <e v="#N/A"/>
    <x v="201"/>
    <s v="US INVOICE"/>
    <x v="248"/>
    <s v="68228232SW11"/>
    <x v="17"/>
    <x v="17"/>
    <s v="SWW"/>
    <s v="SW ACCESS VIA WEB"/>
    <n v="2025"/>
    <n v="11"/>
    <s v="FIN5030"/>
    <n v="2025"/>
    <s v="November  "/>
    <x v="0"/>
  </r>
  <r>
    <s v="0914"/>
    <s v="ELEAD"/>
    <s v="ELEAD OTHER"/>
    <s v="CALL TRACKING COUNT AS ONE"/>
    <s v="21112"/>
    <s v="4111001"/>
    <s v="N"/>
    <s v="PA"/>
    <n v="0"/>
    <n v="1849"/>
    <n v="1"/>
    <x v="204"/>
    <x v="193"/>
    <e v="#N/A"/>
    <x v="202"/>
    <s v="US INVOICE"/>
    <x v="249"/>
    <s v="68189797SW51"/>
    <x v="17"/>
    <x v="17"/>
    <s v="SWW"/>
    <s v="SW ACCESS VIA WEB"/>
    <n v="2025"/>
    <n v="11"/>
    <s v="FIN5030"/>
    <n v="2025"/>
    <s v="November  "/>
    <x v="0"/>
  </r>
  <r>
    <s v="0914"/>
    <s v="ELEAD"/>
    <s v="ELEAD OTHER"/>
    <s v="CALL TRACKING COUNT AS ONE"/>
    <s v="21112"/>
    <s v="4111001"/>
    <s v="N"/>
    <s v="GA"/>
    <n v="0"/>
    <n v="1294.3"/>
    <n v="1"/>
    <x v="205"/>
    <x v="194"/>
    <e v="#N/A"/>
    <x v="203"/>
    <s v="US INVOICE"/>
    <x v="250"/>
    <s v="68242040SW34"/>
    <x v="17"/>
    <x v="17"/>
    <s v="SWW"/>
    <s v="SW ACCESS VIA WEB"/>
    <n v="2025"/>
    <n v="11"/>
    <s v="FIN5030"/>
    <n v="2025"/>
    <s v="November  "/>
    <x v="0"/>
  </r>
  <r>
    <s v="0914"/>
    <s v="ELEAD"/>
    <s v="ELEAD OTHER"/>
    <s v="CALL TRACKING COUNT AS ONE"/>
    <s v="21112"/>
    <s v="4111001"/>
    <s v="N"/>
    <s v="AZ"/>
    <n v="0"/>
    <n v="1386.75"/>
    <n v="1"/>
    <x v="206"/>
    <x v="195"/>
    <e v="#N/A"/>
    <x v="204"/>
    <s v="US INVOICE"/>
    <x v="251"/>
    <s v="62185264SW25"/>
    <x v="17"/>
    <x v="17"/>
    <s v="SWW"/>
    <s v="SW ACCESS VIA WEB"/>
    <n v="2025"/>
    <n v="11"/>
    <s v="FIN5030"/>
    <n v="2025"/>
    <s v="November  "/>
    <x v="0"/>
  </r>
  <r>
    <s v="0914"/>
    <s v="ELEAD"/>
    <s v="ELEAD OTHER"/>
    <s v="CALL TRACKING COUNT AS ONE"/>
    <s v="21112"/>
    <s v="4111001"/>
    <s v="N"/>
    <s v="NH"/>
    <n v="0"/>
    <n v="1386.75"/>
    <n v="1"/>
    <x v="207"/>
    <x v="196"/>
    <e v="#N/A"/>
    <x v="205"/>
    <s v="US INVOICE"/>
    <x v="252"/>
    <s v="68228231SW09"/>
    <x v="17"/>
    <x v="17"/>
    <s v="SWW"/>
    <s v="SW ACCESS VIA WEB"/>
    <n v="2025"/>
    <n v="11"/>
    <s v="FIN5030"/>
    <n v="2025"/>
    <s v="November  "/>
    <x v="0"/>
  </r>
  <r>
    <s v="0914"/>
    <s v="ELEAD"/>
    <s v="ELEAD OTHER"/>
    <s v="CALL TRACKING COUNT AS ONE"/>
    <s v="21112"/>
    <s v="4111001"/>
    <s v="N"/>
    <s v="KY"/>
    <n v="0"/>
    <n v="1941.45"/>
    <n v="1"/>
    <x v="208"/>
    <x v="197"/>
    <e v="#N/A"/>
    <x v="206"/>
    <s v="US INVOICE"/>
    <x v="253"/>
    <s v="64238300SW02"/>
    <x v="17"/>
    <x v="17"/>
    <s v="SWW"/>
    <s v="SW ACCESS VIA WEB"/>
    <n v="2025"/>
    <n v="11"/>
    <s v="FIN5030"/>
    <n v="2025"/>
    <s v="November  "/>
    <x v="0"/>
  </r>
  <r>
    <s v="0914"/>
    <s v="ELEAD"/>
    <s v="ELEAD OTHER"/>
    <s v="CALL TRACKING COUNT AS ONE"/>
    <s v="21112"/>
    <s v="4111001"/>
    <s v="N"/>
    <s v="PA"/>
    <n v="0"/>
    <n v="1386.75"/>
    <n v="1"/>
    <x v="209"/>
    <x v="198"/>
    <e v="#N/A"/>
    <x v="207"/>
    <s v="US INVOICE"/>
    <x v="254"/>
    <s v="68228233SW05"/>
    <x v="17"/>
    <x v="17"/>
    <s v="SWW"/>
    <s v="SW ACCESS VIA WEB"/>
    <n v="2025"/>
    <n v="11"/>
    <s v="FIN5030"/>
    <n v="2025"/>
    <s v="November  "/>
    <x v="0"/>
  </r>
  <r>
    <s v="0914"/>
    <s v="ELEAD"/>
    <s v="ELEAD OTHER"/>
    <s v="CALL TRACKING COUNT AS ONE"/>
    <s v="21112"/>
    <s v="4111001"/>
    <s v="N"/>
    <s v="FL"/>
    <n v="0"/>
    <n v="1386.75"/>
    <n v="1"/>
    <x v="210"/>
    <x v="199"/>
    <e v="#N/A"/>
    <x v="208"/>
    <s v="US INVOICE"/>
    <x v="255"/>
    <s v="64230855SW29"/>
    <x v="17"/>
    <x v="17"/>
    <s v="SWW"/>
    <s v="SW ACCESS VIA WEB"/>
    <n v="2025"/>
    <n v="11"/>
    <s v="FIN5030"/>
    <n v="2025"/>
    <s v="November  "/>
    <x v="0"/>
  </r>
  <r>
    <s v="0914"/>
    <s v="ELEAD"/>
    <s v="ELEAD OTHER"/>
    <s v="CALL TRACKING COUNT AS ONE"/>
    <s v="21112"/>
    <s v="4111001"/>
    <s v="N"/>
    <s v="NC"/>
    <n v="0"/>
    <n v="1242.53"/>
    <n v="1"/>
    <x v="211"/>
    <x v="200"/>
    <e v="#N/A"/>
    <x v="209"/>
    <s v="US INVOICE"/>
    <x v="256"/>
    <s v="68217915SW44"/>
    <x v="17"/>
    <x v="17"/>
    <s v="SWW"/>
    <s v="SW ACCESS VIA WEB"/>
    <n v="2025"/>
    <n v="11"/>
    <s v="FIN5030"/>
    <n v="2025"/>
    <s v="November  "/>
    <x v="0"/>
  </r>
  <r>
    <s v="0914"/>
    <s v="ELEAD"/>
    <s v="ELEAD OTHER"/>
    <s v="CALL TRACKING COUNT AS ONE"/>
    <s v="21112"/>
    <s v="4111001"/>
    <s v="N"/>
    <s v="MI"/>
    <n v="0"/>
    <n v="1386.75"/>
    <n v="1"/>
    <x v="212"/>
    <x v="201"/>
    <e v="#N/A"/>
    <x v="210"/>
    <s v="US INVOICE"/>
    <x v="257"/>
    <s v="64230856SW09"/>
    <x v="17"/>
    <x v="17"/>
    <s v="SWW"/>
    <s v="SW ACCESS VIA WEB"/>
    <n v="2025"/>
    <n v="11"/>
    <s v="FIN5030"/>
    <n v="2025"/>
    <s v="November  "/>
    <x v="0"/>
  </r>
  <r>
    <s v="0914"/>
    <s v="ELEAD"/>
    <s v="ELEAD OTHER"/>
    <s v="CALL TRACKING COUNT AS ONE"/>
    <s v="21112"/>
    <s v="4111001"/>
    <s v="N"/>
    <s v="FL"/>
    <n v="0"/>
    <n v="1386.75"/>
    <n v="1"/>
    <x v="213"/>
    <x v="202"/>
    <e v="#N/A"/>
    <x v="211"/>
    <s v="US INVOICE"/>
    <x v="258"/>
    <s v="64230855SW37"/>
    <x v="17"/>
    <x v="17"/>
    <s v="SWW"/>
    <s v="SW ACCESS VIA WEB"/>
    <n v="2025"/>
    <n v="11"/>
    <s v="FIN5030"/>
    <n v="2025"/>
    <s v="November  "/>
    <x v="0"/>
  </r>
  <r>
    <s v="0914"/>
    <s v="ELEAD"/>
    <s v="ELEAD OTHER"/>
    <s v="CALL TRACKING COUNT AS ONE"/>
    <s v="21112"/>
    <s v="4111001"/>
    <s v="N"/>
    <s v="OR"/>
    <n v="0"/>
    <n v="1386.75"/>
    <n v="1"/>
    <x v="214"/>
    <x v="203"/>
    <e v="#N/A"/>
    <x v="212"/>
    <s v="US INVOICE"/>
    <x v="259"/>
    <s v="62185264SW32"/>
    <x v="17"/>
    <x v="17"/>
    <s v="SWW"/>
    <s v="SW ACCESS VIA WEB"/>
    <n v="2025"/>
    <n v="11"/>
    <s v="FIN5030"/>
    <n v="2025"/>
    <s v="November  "/>
    <x v="0"/>
  </r>
  <r>
    <s v="0914"/>
    <s v="ELEAD"/>
    <s v="ELEAD OTHER"/>
    <s v="CALL TRACKING COUNT AS ONE"/>
    <s v="21112"/>
    <s v="4111001"/>
    <s v="N"/>
    <s v="MI"/>
    <n v="0"/>
    <n v="1386.75"/>
    <n v="1"/>
    <x v="215"/>
    <x v="204"/>
    <e v="#N/A"/>
    <x v="213"/>
    <s v="US INVOICE"/>
    <x v="260"/>
    <s v="64230856SW12"/>
    <x v="17"/>
    <x v="17"/>
    <s v="SWW"/>
    <s v="SW ACCESS VIA WEB"/>
    <n v="2025"/>
    <n v="11"/>
    <s v="FIN5030"/>
    <n v="2025"/>
    <s v="November  "/>
    <x v="0"/>
  </r>
  <r>
    <s v="0914"/>
    <s v="ELEAD"/>
    <s v="ELEAD OTHER"/>
    <s v="CALL TRACKING COUNT AS ONE"/>
    <s v="21112"/>
    <s v="4111001"/>
    <s v="N"/>
    <s v="FL"/>
    <n v="0"/>
    <n v="1386.75"/>
    <n v="1"/>
    <x v="216"/>
    <x v="205"/>
    <e v="#N/A"/>
    <x v="214"/>
    <s v="US INVOICE"/>
    <x v="261"/>
    <s v="64230855SW28"/>
    <x v="17"/>
    <x v="17"/>
    <s v="SWW"/>
    <s v="SW ACCESS VIA WEB"/>
    <n v="2025"/>
    <n v="11"/>
    <s v="FIN5030"/>
    <n v="2025"/>
    <s v="November  "/>
    <x v="0"/>
  </r>
  <r>
    <s v="0914"/>
    <s v="ELEAD"/>
    <s v="ELEAD OTHER"/>
    <s v="CALL TRACKING COUNT AS ONE"/>
    <s v="21112"/>
    <s v="4111001"/>
    <s v="N"/>
    <s v="SC"/>
    <n v="0"/>
    <n v="1386.75"/>
    <n v="1"/>
    <x v="217"/>
    <x v="206"/>
    <e v="#N/A"/>
    <x v="215"/>
    <s v="US INVOICE"/>
    <x v="262"/>
    <s v="68189671SW41"/>
    <x v="17"/>
    <x v="17"/>
    <s v="SWW"/>
    <s v="SW ACCESS VIA WEB"/>
    <n v="2025"/>
    <n v="11"/>
    <s v="FIN5030"/>
    <n v="2025"/>
    <s v="November  "/>
    <x v="0"/>
  </r>
  <r>
    <s v="0914"/>
    <s v="ELEAD"/>
    <s v="ELEAD OTHER"/>
    <s v="CALL TRACKING COUNT AS ONE"/>
    <s v="21112"/>
    <s v="4111001"/>
    <s v="N"/>
    <s v="TX"/>
    <n v="27.93"/>
    <n v="0"/>
    <n v="1"/>
    <x v="112"/>
    <x v="103"/>
    <e v="#N/A"/>
    <x v="110"/>
    <s v="US INVOICE"/>
    <x v="263"/>
    <m/>
    <x v="18"/>
    <x v="18"/>
    <s v="SWW"/>
    <s v="SW ACCESS VIA WEB"/>
    <n v="2025"/>
    <n v="11"/>
    <s v="FIN5030"/>
    <n v="2025"/>
    <s v="November  "/>
    <x v="0"/>
  </r>
  <r>
    <s v="0914"/>
    <s v="ELEAD"/>
    <s v="ELEAD OTHER"/>
    <s v="CALL TRACKING COUNT AS ONE"/>
    <s v="21112"/>
    <s v="4111001"/>
    <s v="N"/>
    <s v="TX"/>
    <n v="73.17"/>
    <n v="0"/>
    <n v="1"/>
    <x v="218"/>
    <x v="207"/>
    <e v="#N/A"/>
    <x v="216"/>
    <s v="US INVOICE"/>
    <x v="263"/>
    <m/>
    <x v="18"/>
    <x v="18"/>
    <s v="SWW"/>
    <s v="SW ACCESS VIA WEB"/>
    <n v="2025"/>
    <n v="11"/>
    <s v="FIN5030"/>
    <n v="2025"/>
    <s v="November  "/>
    <x v="0"/>
  </r>
  <r>
    <s v="0914"/>
    <s v="ELEAD"/>
    <s v="ELEAD OTHER"/>
    <s v="CALL TRACKING COUNT AS ONE"/>
    <s v="21112"/>
    <s v="4111001"/>
    <s v="N"/>
    <s v="MN"/>
    <n v="71.650000000000006"/>
    <n v="0"/>
    <n v="1"/>
    <x v="219"/>
    <x v="208"/>
    <e v="#N/A"/>
    <x v="217"/>
    <s v="US INVOICE"/>
    <x v="263"/>
    <m/>
    <x v="18"/>
    <x v="18"/>
    <s v="SWW"/>
    <s v="SW ACCESS VIA WEB"/>
    <n v="2025"/>
    <n v="11"/>
    <s v="FIN5030"/>
    <n v="2025"/>
    <s v="November  "/>
    <x v="0"/>
  </r>
  <r>
    <s v="0914"/>
    <s v="ELEAD"/>
    <s v="ELEAD OTHER"/>
    <s v="CALL TRACKING COUNT AS ONE"/>
    <s v="21112"/>
    <s v="4111001"/>
    <s v="N"/>
    <s v="NH"/>
    <n v="0"/>
    <n v="299"/>
    <n v="1"/>
    <x v="220"/>
    <x v="209"/>
    <e v="#N/A"/>
    <x v="218"/>
    <s v="US INVOICE"/>
    <x v="264"/>
    <s v="68188312SW33"/>
    <x v="18"/>
    <x v="18"/>
    <s v="SWW"/>
    <s v="SW ACCESS VIA WEB"/>
    <n v="2025"/>
    <n v="11"/>
    <s v="FIN5030"/>
    <n v="2025"/>
    <s v="November  "/>
    <x v="0"/>
  </r>
  <r>
    <s v="0914"/>
    <s v="ELEAD"/>
    <s v="ELEAD OTHER"/>
    <s v="CALL TRACKING COUNT AS ONE"/>
    <s v="21112"/>
    <s v="4111001"/>
    <s v="N"/>
    <s v="FL"/>
    <n v="156.94999999999999"/>
    <n v="0"/>
    <n v="1"/>
    <x v="221"/>
    <x v="210"/>
    <e v="#N/A"/>
    <x v="219"/>
    <s v="US INVOICE"/>
    <x v="263"/>
    <m/>
    <x v="18"/>
    <x v="18"/>
    <s v="SWW"/>
    <s v="SW ACCESS VIA WEB"/>
    <n v="2025"/>
    <n v="11"/>
    <s v="FIN5030"/>
    <n v="2025"/>
    <s v="November  "/>
    <x v="0"/>
  </r>
  <r>
    <s v="0914"/>
    <s v="ELEAD"/>
    <s v="ELEAD OTHER"/>
    <s v="CALL TRACKING COUNT AS ONE"/>
    <s v="21112"/>
    <s v="4111001"/>
    <s v="N"/>
    <s v="FL"/>
    <n v="55.34"/>
    <n v="0"/>
    <n v="1"/>
    <x v="222"/>
    <x v="211"/>
    <e v="#N/A"/>
    <x v="220"/>
    <s v="US INVOICE"/>
    <x v="263"/>
    <m/>
    <x v="18"/>
    <x v="18"/>
    <s v="SWW"/>
    <s v="SW ACCESS VIA WEB"/>
    <n v="2025"/>
    <n v="11"/>
    <s v="FIN5030"/>
    <n v="2025"/>
    <s v="November  "/>
    <x v="0"/>
  </r>
  <r>
    <s v="0914"/>
    <s v="ELEAD"/>
    <s v="ELEAD OTHER"/>
    <s v="CALL TRACKING COUNT AS ONE"/>
    <s v="21112"/>
    <s v="4111001"/>
    <s v="N"/>
    <s v="NC"/>
    <n v="110.28"/>
    <n v="0"/>
    <n v="1"/>
    <x v="223"/>
    <x v="212"/>
    <e v="#N/A"/>
    <x v="221"/>
    <s v="US INVOICE"/>
    <x v="263"/>
    <m/>
    <x v="18"/>
    <x v="18"/>
    <s v="SWW"/>
    <s v="SW ACCESS VIA WEB"/>
    <n v="2025"/>
    <n v="11"/>
    <s v="FIN5030"/>
    <n v="2025"/>
    <s v="November  "/>
    <x v="0"/>
  </r>
  <r>
    <s v="0914"/>
    <s v="ELEAD"/>
    <s v="ELEAD OTHER"/>
    <s v="CALL TRACKING COUNT AS ONE"/>
    <s v="21112"/>
    <s v="4111001"/>
    <s v="N"/>
    <s v="AL"/>
    <n v="0"/>
    <n v="337.95"/>
    <n v="1"/>
    <x v="224"/>
    <x v="213"/>
    <e v="#N/A"/>
    <x v="222"/>
    <s v="US INVOICE"/>
    <x v="265"/>
    <s v="64202345SW13"/>
    <x v="18"/>
    <x v="18"/>
    <s v="SWW"/>
    <s v="SW ACCESS VIA WEB"/>
    <n v="2025"/>
    <n v="11"/>
    <s v="FIN5030"/>
    <n v="2025"/>
    <s v="November  "/>
    <x v="0"/>
  </r>
  <r>
    <s v="0914"/>
    <s v="ELEAD"/>
    <s v="ELEAD OTHER"/>
    <s v="CALL TRACKING COUNT AS ONE"/>
    <s v="21112"/>
    <s v="4111001"/>
    <s v="N"/>
    <s v="NC"/>
    <n v="429.88"/>
    <n v="0"/>
    <n v="1"/>
    <x v="225"/>
    <x v="214"/>
    <e v="#N/A"/>
    <x v="223"/>
    <s v="US INVOICE"/>
    <x v="263"/>
    <m/>
    <x v="18"/>
    <x v="18"/>
    <s v="SWW"/>
    <s v="SW ACCESS VIA WEB"/>
    <n v="2025"/>
    <n v="11"/>
    <s v="FIN5030"/>
    <n v="2025"/>
    <s v="November  "/>
    <x v="0"/>
  </r>
  <r>
    <s v="0914"/>
    <s v="ELEAD"/>
    <s v="ELEAD OTHER"/>
    <s v="CALL TRACKING COUNT AS ONE"/>
    <s v="21112"/>
    <s v="4111001"/>
    <s v="N"/>
    <s v="NC"/>
    <n v="50.68"/>
    <n v="0"/>
    <n v="1"/>
    <x v="226"/>
    <x v="215"/>
    <e v="#N/A"/>
    <x v="224"/>
    <s v="US INVOICE"/>
    <x v="263"/>
    <m/>
    <x v="18"/>
    <x v="18"/>
    <s v="SWW"/>
    <s v="SW ACCESS VIA WEB"/>
    <n v="2025"/>
    <n v="11"/>
    <s v="FIN5030"/>
    <n v="2025"/>
    <s v="November  "/>
    <x v="0"/>
  </r>
  <r>
    <s v="0914"/>
    <s v="ELEAD"/>
    <s v="ELEAD OTHER"/>
    <s v="CALL TRACKING COUNT AS ONE"/>
    <s v="21112"/>
    <s v="4111001"/>
    <s v="N"/>
    <s v="LA"/>
    <n v="0"/>
    <n v="322.92"/>
    <n v="1"/>
    <x v="227"/>
    <x v="216"/>
    <e v="#N/A"/>
    <x v="225"/>
    <s v="US INVOICE"/>
    <x v="266"/>
    <s v="64191811SW09"/>
    <x v="18"/>
    <x v="18"/>
    <s v="SWW"/>
    <s v="SW ACCESS VIA WEB"/>
    <n v="2025"/>
    <n v="11"/>
    <s v="FIN5030"/>
    <n v="2025"/>
    <s v="November  "/>
    <x v="0"/>
  </r>
  <r>
    <s v="0914"/>
    <s v="ELEAD"/>
    <s v="ELEAD OTHER"/>
    <s v="CALL TRACKING COUNT AS ONE"/>
    <s v="21112"/>
    <s v="4111001"/>
    <s v="N"/>
    <s v="TX"/>
    <n v="0"/>
    <n v="299"/>
    <n v="1"/>
    <x v="228"/>
    <x v="217"/>
    <e v="#N/A"/>
    <x v="226"/>
    <s v="US INVOICE"/>
    <x v="267"/>
    <s v="64194633SW05"/>
    <x v="18"/>
    <x v="18"/>
    <s v="SWW"/>
    <s v="SW ACCESS VIA WEB"/>
    <n v="2025"/>
    <n v="11"/>
    <s v="FIN5030"/>
    <n v="2025"/>
    <s v="November  "/>
    <x v="0"/>
  </r>
  <r>
    <s v="0914"/>
    <s v="ELEAD"/>
    <s v="ELEAD OTHER"/>
    <s v="CALL TRACKING COUNT AS ONE"/>
    <s v="21112"/>
    <s v="4111001"/>
    <s v="N"/>
    <s v="TN"/>
    <n v="293.7"/>
    <n v="0"/>
    <n v="1"/>
    <x v="175"/>
    <x v="165"/>
    <e v="#N/A"/>
    <x v="173"/>
    <s v="US INVOICE"/>
    <x v="263"/>
    <m/>
    <x v="18"/>
    <x v="18"/>
    <s v="SWW"/>
    <s v="SW ACCESS VIA WEB"/>
    <n v="2025"/>
    <n v="11"/>
    <s v="FIN5030"/>
    <n v="2025"/>
    <s v="November  "/>
    <x v="0"/>
  </r>
  <r>
    <s v="0914"/>
    <s v="ELEAD"/>
    <s v="ELEAD OTHER"/>
    <s v="CALL TRACKING COUNT AS ONE"/>
    <s v="21112"/>
    <s v="4111001"/>
    <s v="N"/>
    <s v="AR"/>
    <n v="0"/>
    <n v="299"/>
    <n v="1"/>
    <x v="229"/>
    <x v="218"/>
    <e v="#N/A"/>
    <x v="227"/>
    <s v="US INVOICE"/>
    <x v="268"/>
    <s v="64196381SW01"/>
    <x v="18"/>
    <x v="18"/>
    <s v="SWW"/>
    <s v="SW ACCESS VIA WEB"/>
    <n v="2025"/>
    <n v="11"/>
    <s v="FIN5030"/>
    <n v="2025"/>
    <s v="November  "/>
    <x v="0"/>
  </r>
  <r>
    <s v="0914"/>
    <s v="ELEAD"/>
    <s v="ELEAD OTHER"/>
    <s v="CALL TRACKING COUNT AS ONE"/>
    <s v="21112"/>
    <s v="4111001"/>
    <s v="N"/>
    <s v="NC"/>
    <n v="0"/>
    <n v="371.18"/>
    <n v="1"/>
    <x v="230"/>
    <x v="219"/>
    <e v="#N/A"/>
    <x v="228"/>
    <s v="US INVOICE"/>
    <x v="269"/>
    <s v="64184249SW02"/>
    <x v="18"/>
    <x v="18"/>
    <s v="SWW"/>
    <s v="SW ACCESS VIA WEB"/>
    <n v="2025"/>
    <n v="11"/>
    <s v="FIN5030"/>
    <n v="2025"/>
    <s v="November  "/>
    <x v="0"/>
  </r>
  <r>
    <s v="0914"/>
    <s v="ELEAD"/>
    <s v="ELEAD OTHER"/>
    <s v="CALL TRACKING COUNT AS ONE"/>
    <s v="21112"/>
    <s v="4111001"/>
    <s v="N"/>
    <s v="NJ"/>
    <n v="0"/>
    <n v="299"/>
    <n v="1"/>
    <x v="231"/>
    <x v="220"/>
    <e v="#N/A"/>
    <x v="229"/>
    <s v="US INVOICE"/>
    <x v="270"/>
    <s v="68192959SW24"/>
    <x v="18"/>
    <x v="18"/>
    <s v="SWW"/>
    <s v="SW ACCESS VIA WEB"/>
    <n v="2025"/>
    <n v="11"/>
    <s v="FIN5030"/>
    <n v="2025"/>
    <s v="November  "/>
    <x v="0"/>
  </r>
  <r>
    <s v="0914"/>
    <s v="ELEAD"/>
    <s v="ELEAD OTHER"/>
    <s v="CALL TRACKING COUNT AS ONE"/>
    <s v="21112"/>
    <s v="4111001"/>
    <s v="N"/>
    <s v="VA"/>
    <n v="14.33"/>
    <n v="0"/>
    <n v="1"/>
    <x v="232"/>
    <x v="221"/>
    <e v="#N/A"/>
    <x v="230"/>
    <s v="US INVOICE"/>
    <x v="263"/>
    <m/>
    <x v="18"/>
    <x v="18"/>
    <s v="SWW"/>
    <s v="SW ACCESS VIA WEB"/>
    <n v="2025"/>
    <n v="11"/>
    <s v="FIN5030"/>
    <n v="2025"/>
    <s v="November  "/>
    <x v="0"/>
  </r>
  <r>
    <s v="0914"/>
    <s v="ELEAD"/>
    <s v="ELEAD OTHER"/>
    <s v="CALL TRACKING COUNT AS ONE"/>
    <s v="21112"/>
    <s v="4111001"/>
    <s v="N"/>
    <s v="AL"/>
    <n v="403.97"/>
    <n v="0"/>
    <n v="1"/>
    <x v="233"/>
    <x v="65"/>
    <e v="#N/A"/>
    <x v="231"/>
    <s v="US INVOICE"/>
    <x v="263"/>
    <m/>
    <x v="18"/>
    <x v="18"/>
    <s v="SWW"/>
    <s v="SW ACCESS VIA WEB"/>
    <n v="2025"/>
    <n v="11"/>
    <s v="FIN5030"/>
    <n v="2025"/>
    <s v="November  "/>
    <x v="0"/>
  </r>
  <r>
    <s v="0914"/>
    <s v="ELEAD"/>
    <s v="ELEAD OTHER"/>
    <s v="CALL TRACKING COUNT AS ONE"/>
    <s v="21112"/>
    <s v="4111001"/>
    <s v="N"/>
    <s v="MA"/>
    <n v="0"/>
    <n v="299"/>
    <n v="1"/>
    <x v="234"/>
    <x v="222"/>
    <e v="#N/A"/>
    <x v="232"/>
    <s v="US INVOICE"/>
    <x v="271"/>
    <s v="68188312SW25"/>
    <x v="18"/>
    <x v="18"/>
    <s v="SWW"/>
    <s v="SW ACCESS VIA WEB"/>
    <n v="2025"/>
    <n v="11"/>
    <s v="FIN5030"/>
    <n v="2025"/>
    <s v="November  "/>
    <x v="0"/>
  </r>
  <r>
    <s v="0914"/>
    <s v="ELEAD"/>
    <s v="ELEAD OTHER"/>
    <s v="CALL TRACKING COUNT AS ONE"/>
    <s v="21112"/>
    <s v="4111001"/>
    <s v="N"/>
    <s v="IL"/>
    <n v="0"/>
    <n v="319"/>
    <n v="1"/>
    <x v="235"/>
    <x v="223"/>
    <e v="#N/A"/>
    <x v="233"/>
    <s v="US INVOICE"/>
    <x v="272"/>
    <s v="64208630SW12"/>
    <x v="18"/>
    <x v="18"/>
    <s v="SWW"/>
    <s v="SW ACCESS VIA WEB"/>
    <n v="2025"/>
    <n v="11"/>
    <s v="FIN5030"/>
    <n v="2025"/>
    <s v="November  "/>
    <x v="0"/>
  </r>
  <r>
    <s v="0914"/>
    <s v="ELEAD"/>
    <s v="ELEAD OTHER"/>
    <s v="CALL TRACKING COUNT AS ONE"/>
    <s v="21112"/>
    <s v="4111001"/>
    <s v="N"/>
    <s v="VA"/>
    <n v="181.28"/>
    <n v="0"/>
    <n v="1"/>
    <x v="236"/>
    <x v="224"/>
    <e v="#N/A"/>
    <x v="234"/>
    <s v="US INVOICE"/>
    <x v="263"/>
    <m/>
    <x v="18"/>
    <x v="18"/>
    <s v="SWW"/>
    <s v="SW ACCESS VIA WEB"/>
    <n v="2025"/>
    <n v="11"/>
    <s v="FIN5030"/>
    <n v="2025"/>
    <s v="November  "/>
    <x v="0"/>
  </r>
  <r>
    <s v="0914"/>
    <s v="ELEAD"/>
    <s v="ELEAD OTHER"/>
    <s v="CALL TRACKING COUNT AS ONE"/>
    <s v="21112"/>
    <s v="4111001"/>
    <s v="N"/>
    <s v="TX"/>
    <n v="177.13"/>
    <n v="0"/>
    <n v="1"/>
    <x v="237"/>
    <x v="225"/>
    <e v="#N/A"/>
    <x v="235"/>
    <s v="US INVOICE"/>
    <x v="263"/>
    <m/>
    <x v="18"/>
    <x v="18"/>
    <s v="SWW"/>
    <s v="SW ACCESS VIA WEB"/>
    <n v="2025"/>
    <n v="11"/>
    <s v="FIN5030"/>
    <n v="2025"/>
    <s v="November  "/>
    <x v="0"/>
  </r>
  <r>
    <s v="0914"/>
    <s v="ELEAD"/>
    <s v="ELEAD OTHER"/>
    <s v="CALL TRACKING COUNT AS ONE"/>
    <s v="21112"/>
    <s v="4111001"/>
    <s v="N"/>
    <s v="LA"/>
    <n v="243.99"/>
    <n v="0"/>
    <n v="1"/>
    <x v="227"/>
    <x v="216"/>
    <e v="#N/A"/>
    <x v="225"/>
    <s v="US INVOICE"/>
    <x v="263"/>
    <m/>
    <x v="18"/>
    <x v="18"/>
    <s v="SWW"/>
    <s v="SW ACCESS VIA WEB"/>
    <n v="2025"/>
    <n v="11"/>
    <s v="FIN5030"/>
    <n v="2025"/>
    <s v="November  "/>
    <x v="0"/>
  </r>
  <r>
    <s v="0914"/>
    <s v="ELEAD"/>
    <s v="ELEAD OTHER"/>
    <s v="CALL TRACKING COUNT AS ONE"/>
    <s v="21112"/>
    <s v="4111001"/>
    <s v="N"/>
    <s v="GA"/>
    <n v="0"/>
    <n v="350.37"/>
    <n v="1"/>
    <x v="238"/>
    <x v="226"/>
    <e v="#N/A"/>
    <x v="236"/>
    <s v="US INVOICE"/>
    <x v="273"/>
    <s v="68178562SW02"/>
    <x v="18"/>
    <x v="18"/>
    <s v="SWW"/>
    <s v="SW ACCESS VIA WEB"/>
    <n v="2025"/>
    <n v="11"/>
    <s v="FIN5030"/>
    <n v="2025"/>
    <s v="November  "/>
    <x v="0"/>
  </r>
  <r>
    <s v="0914"/>
    <s v="ELEAD"/>
    <s v="ELEAD OTHER"/>
    <s v="CALL TRACKING COUNT AS ONE"/>
    <s v="21112"/>
    <s v="4111001"/>
    <s v="N"/>
    <s v="FL"/>
    <n v="0"/>
    <n v="319"/>
    <n v="1"/>
    <x v="239"/>
    <x v="227"/>
    <e v="#N/A"/>
    <x v="237"/>
    <s v="US INVOICE"/>
    <x v="274"/>
    <s v="64205613SW06"/>
    <x v="18"/>
    <x v="18"/>
    <s v="SWW"/>
    <s v="SW ACCESS VIA WEB"/>
    <n v="2025"/>
    <n v="11"/>
    <s v="FIN5030"/>
    <n v="2025"/>
    <s v="November  "/>
    <x v="0"/>
  </r>
  <r>
    <s v="0914"/>
    <s v="ELEAD"/>
    <s v="ELEAD OTHER"/>
    <s v="CALL TRACKING COUNT AS ONE"/>
    <s v="21112"/>
    <s v="4111001"/>
    <s v="N"/>
    <s v="FL"/>
    <n v="0"/>
    <n v="322.92"/>
    <n v="1"/>
    <x v="240"/>
    <x v="228"/>
    <e v="#N/A"/>
    <x v="238"/>
    <s v="US INVOICE"/>
    <x v="275"/>
    <s v="64192062SW37"/>
    <x v="18"/>
    <x v="18"/>
    <s v="SWW"/>
    <s v="SW ACCESS VIA WEB"/>
    <n v="2025"/>
    <n v="11"/>
    <s v="FIN5030"/>
    <n v="2025"/>
    <s v="November  "/>
    <x v="0"/>
  </r>
  <r>
    <s v="0914"/>
    <s v="ELEAD"/>
    <s v="ELEAD OTHER"/>
    <s v="CALL TRACKING COUNT AS ONE"/>
    <s v="21112"/>
    <s v="4111001"/>
    <s v="N"/>
    <s v="PA"/>
    <n v="310.77999999999997"/>
    <n v="0"/>
    <n v="1"/>
    <x v="241"/>
    <x v="229"/>
    <e v="#N/A"/>
    <x v="239"/>
    <s v="US INVOICE"/>
    <x v="263"/>
    <m/>
    <x v="18"/>
    <x v="18"/>
    <s v="SWW"/>
    <s v="SW ACCESS VIA WEB"/>
    <n v="2025"/>
    <n v="11"/>
    <s v="FIN5030"/>
    <n v="2025"/>
    <s v="November  "/>
    <x v="0"/>
  </r>
  <r>
    <s v="0914"/>
    <s v="ELEAD"/>
    <s v="ELEAD OTHER"/>
    <s v="CALL TRACKING COUNT AS ONE"/>
    <s v="21112"/>
    <s v="4111001"/>
    <s v="N"/>
    <s v="FL"/>
    <n v="6.84"/>
    <n v="0"/>
    <n v="1"/>
    <x v="240"/>
    <x v="228"/>
    <e v="#N/A"/>
    <x v="238"/>
    <s v="US INVOICE"/>
    <x v="263"/>
    <m/>
    <x v="18"/>
    <x v="18"/>
    <s v="SWW"/>
    <s v="SW ACCESS VIA WEB"/>
    <n v="2025"/>
    <n v="11"/>
    <s v="FIN5030"/>
    <n v="2025"/>
    <s v="November  "/>
    <x v="0"/>
  </r>
  <r>
    <s v="0914"/>
    <s v="ELEAD"/>
    <s v="ELEAD OTHER"/>
    <s v="CALL TRACKING COUNT AS ONE"/>
    <s v="21112"/>
    <s v="4111001"/>
    <s v="N"/>
    <s v="MS"/>
    <n v="0"/>
    <n v="350.38"/>
    <n v="1"/>
    <x v="242"/>
    <x v="230"/>
    <e v="#N/A"/>
    <x v="240"/>
    <s v="US INVOICE"/>
    <x v="276"/>
    <s v="64184342SW10"/>
    <x v="18"/>
    <x v="18"/>
    <s v="SWW"/>
    <s v="SW ACCESS VIA WEB"/>
    <n v="2025"/>
    <n v="11"/>
    <s v="FIN5030"/>
    <n v="2025"/>
    <s v="November  "/>
    <x v="0"/>
  </r>
  <r>
    <s v="0914"/>
    <s v="ELEAD"/>
    <s v="ELEAD OTHER"/>
    <s v="CALL TRACKING COUNT AS ONE"/>
    <s v="21112"/>
    <s v="4111001"/>
    <s v="N"/>
    <s v="FL"/>
    <n v="20.66"/>
    <n v="0"/>
    <n v="1"/>
    <x v="243"/>
    <x v="65"/>
    <e v="#N/A"/>
    <x v="241"/>
    <s v="US INVOICE"/>
    <x v="263"/>
    <m/>
    <x v="18"/>
    <x v="18"/>
    <s v="SWW"/>
    <s v="SW ACCESS VIA WEB"/>
    <n v="2025"/>
    <n v="11"/>
    <s v="FIN5030"/>
    <n v="2025"/>
    <s v="November  "/>
    <x v="0"/>
  </r>
  <r>
    <s v="0914"/>
    <s v="ELEAD"/>
    <s v="ELEAD OTHER"/>
    <s v="CALL TRACKING COUNT AS ONE"/>
    <s v="21112"/>
    <s v="4111001"/>
    <s v="N"/>
    <s v="NY"/>
    <n v="37.68"/>
    <n v="0"/>
    <n v="1"/>
    <x v="244"/>
    <x v="65"/>
    <e v="#N/A"/>
    <x v="242"/>
    <s v="US INVOICE"/>
    <x v="263"/>
    <m/>
    <x v="18"/>
    <x v="18"/>
    <s v="SWW"/>
    <s v="SW ACCESS VIA WEB"/>
    <n v="2025"/>
    <n v="11"/>
    <s v="FIN5030"/>
    <n v="2025"/>
    <s v="November  "/>
    <x v="0"/>
  </r>
  <r>
    <s v="0914"/>
    <s v="ELEAD"/>
    <s v="ELEAD OTHER"/>
    <s v="CALL TRACKING COUNT AS ONE"/>
    <s v="21112"/>
    <s v="4111001"/>
    <s v="N"/>
    <s v="FL"/>
    <n v="0"/>
    <n v="299"/>
    <n v="1"/>
    <x v="245"/>
    <x v="231"/>
    <e v="#N/A"/>
    <x v="243"/>
    <s v="US INVOICE"/>
    <x v="277"/>
    <s v="64238640SW16"/>
    <x v="18"/>
    <x v="18"/>
    <s v="SWW"/>
    <s v="SW ACCESS VIA WEB"/>
    <n v="2025"/>
    <n v="11"/>
    <s v="FIN5030"/>
    <n v="2025"/>
    <s v="November  "/>
    <x v="0"/>
  </r>
  <r>
    <s v="0914"/>
    <s v="ELEAD"/>
    <s v="ELEAD OTHER"/>
    <s v="CALL TRACKING COUNT AS ONE"/>
    <s v="21112"/>
    <s v="4111001"/>
    <s v="N"/>
    <s v="VA"/>
    <n v="0"/>
    <n v="319"/>
    <n v="1"/>
    <x v="246"/>
    <x v="232"/>
    <e v="#N/A"/>
    <x v="244"/>
    <s v="US INVOICE"/>
    <x v="278"/>
    <s v="68197027SW11"/>
    <x v="18"/>
    <x v="18"/>
    <s v="SWW"/>
    <s v="SW ACCESS VIA WEB"/>
    <n v="2025"/>
    <n v="11"/>
    <s v="FIN5030"/>
    <n v="2025"/>
    <s v="November  "/>
    <x v="0"/>
  </r>
  <r>
    <s v="0914"/>
    <s v="ELEAD"/>
    <s v="ELEAD OTHER"/>
    <s v="CALL TRACKING COUNT AS ONE"/>
    <s v="21112"/>
    <s v="4111001"/>
    <s v="N"/>
    <s v="SC"/>
    <n v="0"/>
    <n v="319"/>
    <n v="1"/>
    <x v="247"/>
    <x v="65"/>
    <e v="#N/A"/>
    <x v="245"/>
    <s v="US INVOICE"/>
    <x v="279"/>
    <s v="68211044SW19"/>
    <x v="18"/>
    <x v="18"/>
    <s v="SWW"/>
    <s v="SW ACCESS VIA WEB"/>
    <n v="2025"/>
    <n v="11"/>
    <s v="FIN5030"/>
    <n v="2025"/>
    <s v="November  "/>
    <x v="0"/>
  </r>
  <r>
    <s v="0914"/>
    <s v="ELEAD"/>
    <s v="ELEAD OTHER"/>
    <s v="CALL TRACKING COUNT AS ONE"/>
    <s v="21112"/>
    <s v="4111001"/>
    <s v="N"/>
    <s v="CO"/>
    <n v="0"/>
    <n v="337.95"/>
    <n v="1"/>
    <x v="248"/>
    <x v="233"/>
    <e v="#N/A"/>
    <x v="246"/>
    <s v="US INVOICE"/>
    <x v="280"/>
    <s v="38124089SW06"/>
    <x v="18"/>
    <x v="18"/>
    <s v="SWW"/>
    <s v="SW ACCESS VIA WEB"/>
    <n v="2025"/>
    <n v="11"/>
    <s v="FIN5030"/>
    <n v="2025"/>
    <s v="November  "/>
    <x v="0"/>
  </r>
  <r>
    <s v="0914"/>
    <s v="ELEAD"/>
    <s v="ELEAD OTHER"/>
    <s v="CALL TRACKING COUNT AS ONE"/>
    <s v="21112"/>
    <s v="4111001"/>
    <s v="N"/>
    <s v="MI"/>
    <n v="0"/>
    <n v="319"/>
    <n v="1"/>
    <x v="249"/>
    <x v="234"/>
    <e v="#N/A"/>
    <x v="247"/>
    <s v="US INVOICE"/>
    <x v="281"/>
    <s v="68217777SW21"/>
    <x v="18"/>
    <x v="18"/>
    <s v="SWW"/>
    <s v="SW ACCESS VIA WEB"/>
    <n v="2025"/>
    <n v="11"/>
    <s v="FIN5030"/>
    <n v="2025"/>
    <s v="November  "/>
    <x v="0"/>
  </r>
  <r>
    <s v="0914"/>
    <s v="ELEAD"/>
    <s v="ELEAD OTHER"/>
    <s v="CALL TRACKING COUNT AS ONE"/>
    <s v="21112"/>
    <s v="4111001"/>
    <s v="N"/>
    <s v="FL"/>
    <n v="0"/>
    <n v="322.92"/>
    <n v="1"/>
    <x v="250"/>
    <x v="235"/>
    <e v="#N/A"/>
    <x v="248"/>
    <s v="US INVOICE"/>
    <x v="282"/>
    <s v="64192062SW40"/>
    <x v="18"/>
    <x v="18"/>
    <s v="SWW"/>
    <s v="SW ACCESS VIA WEB"/>
    <n v="2025"/>
    <n v="11"/>
    <s v="FIN5030"/>
    <n v="2025"/>
    <s v="November  "/>
    <x v="0"/>
  </r>
  <r>
    <s v="0914"/>
    <s v="ELEAD"/>
    <s v="ELEAD OTHER"/>
    <s v="CALL TRACKING COUNT AS ONE"/>
    <s v="21112"/>
    <s v="4111001"/>
    <s v="N"/>
    <s v="MS"/>
    <n v="0"/>
    <n v="322.92"/>
    <n v="1"/>
    <x v="251"/>
    <x v="65"/>
    <e v="#N/A"/>
    <x v="249"/>
    <s v="US INVOICE"/>
    <x v="283"/>
    <s v="64190442SW14"/>
    <x v="18"/>
    <x v="18"/>
    <s v="SWW"/>
    <s v="SW ACCESS VIA WEB"/>
    <n v="2025"/>
    <n v="11"/>
    <s v="FIN5030"/>
    <n v="2025"/>
    <s v="November  "/>
    <x v="0"/>
  </r>
  <r>
    <s v="0914"/>
    <s v="ELEAD"/>
    <s v="ELEAD OTHER"/>
    <s v="CALL TRACKING COUNT AS ONE"/>
    <s v="21112"/>
    <s v="4111001"/>
    <s v="N"/>
    <s v="NC"/>
    <n v="0"/>
    <n v="200.93"/>
    <n v="1"/>
    <x v="252"/>
    <x v="236"/>
    <e v="#N/A"/>
    <x v="250"/>
    <s v="US INVOICE"/>
    <x v="284"/>
    <s v="68217940SW61"/>
    <x v="18"/>
    <x v="18"/>
    <s v="SWW"/>
    <s v="SW ACCESS VIA WEB"/>
    <n v="2025"/>
    <n v="11"/>
    <s v="FIN5030"/>
    <n v="2025"/>
    <s v="November  "/>
    <x v="0"/>
  </r>
  <r>
    <s v="0914"/>
    <s v="ELEAD"/>
    <s v="ELEAD OTHER"/>
    <s v="CALL TRACKING COUNT AS ONE"/>
    <s v="21112"/>
    <s v="4111001"/>
    <s v="N"/>
    <s v="NC"/>
    <n v="0"/>
    <n v="200.93"/>
    <n v="1"/>
    <x v="253"/>
    <x v="237"/>
    <e v="#N/A"/>
    <x v="251"/>
    <s v="US INVOICE"/>
    <x v="285"/>
    <s v="68217974SW57"/>
    <x v="18"/>
    <x v="18"/>
    <s v="SWW"/>
    <s v="SW ACCESS VIA WEB"/>
    <n v="2025"/>
    <n v="11"/>
    <s v="FIN5030"/>
    <n v="2025"/>
    <s v="November  "/>
    <x v="0"/>
  </r>
  <r>
    <s v="0914"/>
    <s v="ELEAD"/>
    <s v="ELEAD OTHER"/>
    <s v="CALL TRACKING COUNT AS ONE"/>
    <s v="21112"/>
    <s v="4111001"/>
    <s v="N"/>
    <s v="NC"/>
    <n v="0"/>
    <n v="200.93"/>
    <n v="1"/>
    <x v="254"/>
    <x v="238"/>
    <e v="#N/A"/>
    <x v="252"/>
    <s v="US INVOICE"/>
    <x v="286"/>
    <s v="68217974SW60"/>
    <x v="18"/>
    <x v="18"/>
    <s v="SWW"/>
    <s v="SW ACCESS VIA WEB"/>
    <n v="2025"/>
    <n v="11"/>
    <s v="FIN5030"/>
    <n v="2025"/>
    <s v="November  "/>
    <x v="0"/>
  </r>
  <r>
    <s v="0914"/>
    <s v="ELEAD"/>
    <s v="ELEAD OTHER"/>
    <s v="CALL TRACKING COUNT AS ONE"/>
    <s v="21112"/>
    <s v="4111001"/>
    <s v="N"/>
    <s v="NC"/>
    <n v="174.63"/>
    <n v="0"/>
    <n v="1"/>
    <x v="177"/>
    <x v="167"/>
    <e v="#N/A"/>
    <x v="175"/>
    <s v="US INVOICE"/>
    <x v="263"/>
    <m/>
    <x v="18"/>
    <x v="18"/>
    <s v="SWW"/>
    <s v="SW ACCESS VIA WEB"/>
    <n v="2025"/>
    <n v="11"/>
    <s v="FIN5030"/>
    <n v="2025"/>
    <s v="November  "/>
    <x v="0"/>
  </r>
  <r>
    <s v="0914"/>
    <s v="ELEAD"/>
    <s v="ELEAD OTHER"/>
    <s v="CALL TRACKING COUNT AS ONE"/>
    <s v="21112"/>
    <s v="4111001"/>
    <s v="N"/>
    <s v="MD"/>
    <n v="1.27"/>
    <n v="0"/>
    <n v="1"/>
    <x v="255"/>
    <x v="65"/>
    <e v="#N/A"/>
    <x v="253"/>
    <s v="US INVOICE"/>
    <x v="263"/>
    <m/>
    <x v="18"/>
    <x v="18"/>
    <s v="SWW"/>
    <s v="SW ACCESS VIA WEB"/>
    <n v="2025"/>
    <n v="11"/>
    <s v="FIN5030"/>
    <n v="2025"/>
    <s v="November  "/>
    <x v="0"/>
  </r>
  <r>
    <s v="0914"/>
    <s v="ELEAD"/>
    <s v="ELEAD OTHER"/>
    <s v="CALL TRACKING COUNT AS ONE"/>
    <s v="21112"/>
    <s v="4111001"/>
    <s v="N"/>
    <s v="NC"/>
    <n v="16.73"/>
    <n v="0"/>
    <n v="1"/>
    <x v="256"/>
    <x v="65"/>
    <e v="#N/A"/>
    <x v="254"/>
    <s v="US INVOICE"/>
    <x v="263"/>
    <m/>
    <x v="18"/>
    <x v="18"/>
    <s v="SWW"/>
    <s v="SW ACCESS VIA WEB"/>
    <n v="2025"/>
    <n v="11"/>
    <s v="FIN5030"/>
    <n v="2025"/>
    <s v="November  "/>
    <x v="0"/>
  </r>
  <r>
    <s v="0914"/>
    <s v="ELEAD"/>
    <s v="ELEAD OTHER"/>
    <s v="CALL TRACKING COUNT AS ONE"/>
    <s v="21112"/>
    <s v="4111001"/>
    <s v="N"/>
    <s v="FL"/>
    <n v="393.17"/>
    <n v="0"/>
    <n v="1"/>
    <x v="257"/>
    <x v="65"/>
    <e v="#N/A"/>
    <x v="243"/>
    <s v="US INVOICE"/>
    <x v="263"/>
    <m/>
    <x v="18"/>
    <x v="18"/>
    <s v="SWW"/>
    <s v="SW ACCESS VIA WEB"/>
    <n v="2025"/>
    <n v="11"/>
    <s v="FIN5030"/>
    <n v="2025"/>
    <s v="November  "/>
    <x v="0"/>
  </r>
  <r>
    <s v="0914"/>
    <s v="ELEAD"/>
    <s v="ELEAD OTHER"/>
    <s v="CALL TRACKING COUNT AS ONE"/>
    <s v="21112"/>
    <s v="4111001"/>
    <s v="N"/>
    <s v="NC"/>
    <n v="498.77"/>
    <n v="0"/>
    <n v="1"/>
    <x v="258"/>
    <x v="239"/>
    <e v="#N/A"/>
    <x v="255"/>
    <s v="US INVOICE"/>
    <x v="263"/>
    <m/>
    <x v="18"/>
    <x v="18"/>
    <s v="SWW"/>
    <s v="SW ACCESS VIA WEB"/>
    <n v="2025"/>
    <n v="11"/>
    <s v="FIN5030"/>
    <n v="2025"/>
    <s v="November  "/>
    <x v="0"/>
  </r>
  <r>
    <s v="0914"/>
    <s v="ELEAD"/>
    <s v="ELEAD OTHER"/>
    <s v="CALL TRACKING COUNT AS ONE"/>
    <s v="21112"/>
    <s v="4111001"/>
    <s v="N"/>
    <s v="VA"/>
    <n v="65.88"/>
    <n v="0"/>
    <n v="1"/>
    <x v="246"/>
    <x v="232"/>
    <e v="#N/A"/>
    <x v="244"/>
    <s v="US INVOICE"/>
    <x v="263"/>
    <m/>
    <x v="18"/>
    <x v="18"/>
    <s v="SWW"/>
    <s v="SW ACCESS VIA WEB"/>
    <n v="2025"/>
    <n v="11"/>
    <s v="FIN5030"/>
    <n v="2025"/>
    <s v="November  "/>
    <x v="0"/>
  </r>
  <r>
    <s v="0914"/>
    <s v="ELEAD"/>
    <s v="ELEAD OTHER"/>
    <s v="CALL TRACKING COUNT AS ONE"/>
    <s v="21112"/>
    <s v="4111001"/>
    <s v="N"/>
    <s v="NC"/>
    <n v="616.41999999999996"/>
    <n v="0"/>
    <n v="1"/>
    <x v="259"/>
    <x v="240"/>
    <e v="#N/A"/>
    <x v="256"/>
    <s v="US INVOICE"/>
    <x v="263"/>
    <m/>
    <x v="18"/>
    <x v="18"/>
    <s v="SWW"/>
    <s v="SW ACCESS VIA WEB"/>
    <n v="2025"/>
    <n v="11"/>
    <s v="FIN5030"/>
    <n v="2025"/>
    <s v="November  "/>
    <x v="0"/>
  </r>
  <r>
    <s v="0914"/>
    <s v="ELEAD"/>
    <s v="ELEAD OTHER"/>
    <s v="CALL TRACKING COUNT AS ONE"/>
    <s v="21112"/>
    <s v="4111001"/>
    <s v="N"/>
    <s v="WY"/>
    <n v="0"/>
    <n v="319"/>
    <n v="1"/>
    <x v="260"/>
    <x v="241"/>
    <e v="#N/A"/>
    <x v="257"/>
    <s v="US INVOICE"/>
    <x v="287"/>
    <s v="38124089SW11"/>
    <x v="18"/>
    <x v="18"/>
    <s v="SWW"/>
    <s v="SW ACCESS VIA WEB"/>
    <n v="2025"/>
    <n v="11"/>
    <s v="FIN5030"/>
    <n v="2025"/>
    <s v="November  "/>
    <x v="0"/>
  </r>
  <r>
    <s v="0914"/>
    <s v="ELEAD"/>
    <s v="ELEAD OTHER"/>
    <s v="CALL TRACKING COUNT AS ONE"/>
    <s v="21112"/>
    <s v="4111001"/>
    <s v="N"/>
    <s v="SC"/>
    <n v="0"/>
    <n v="299"/>
    <n v="1"/>
    <x v="261"/>
    <x v="242"/>
    <e v="#N/A"/>
    <x v="258"/>
    <s v="US INVOICE"/>
    <x v="288"/>
    <s v="68212725SW01"/>
    <x v="18"/>
    <x v="18"/>
    <s v="SWW"/>
    <s v="SW ACCESS VIA WEB"/>
    <n v="2025"/>
    <n v="11"/>
    <s v="FIN5030"/>
    <n v="2025"/>
    <s v="November  "/>
    <x v="0"/>
  </r>
  <r>
    <s v="0914"/>
    <s v="ELEAD"/>
    <s v="ELEAD OTHER"/>
    <s v="CALL TRACKING COUNT AS ONE"/>
    <s v="21112"/>
    <s v="4111001"/>
    <s v="N"/>
    <s v="CA"/>
    <n v="9.8699999999999992"/>
    <n v="0"/>
    <n v="1"/>
    <x v="262"/>
    <x v="243"/>
    <e v="#N/A"/>
    <x v="259"/>
    <s v="US INVOICE"/>
    <x v="263"/>
    <m/>
    <x v="18"/>
    <x v="18"/>
    <s v="SWW"/>
    <s v="SW ACCESS VIA WEB"/>
    <n v="2025"/>
    <n v="11"/>
    <s v="FIN5030"/>
    <n v="2025"/>
    <s v="November  "/>
    <x v="0"/>
  </r>
  <r>
    <s v="0914"/>
    <s v="ELEAD"/>
    <s v="ELEAD OTHER"/>
    <s v="CALL TRACKING COUNT AS ONE"/>
    <s v="21112"/>
    <s v="4111001"/>
    <s v="N"/>
    <s v="AL"/>
    <n v="451.37"/>
    <n v="0"/>
    <n v="1"/>
    <x v="224"/>
    <x v="213"/>
    <e v="#N/A"/>
    <x v="222"/>
    <s v="US INVOICE"/>
    <x v="263"/>
    <m/>
    <x v="18"/>
    <x v="18"/>
    <s v="SWW"/>
    <s v="SW ACCESS VIA WEB"/>
    <n v="2025"/>
    <n v="11"/>
    <s v="FIN5030"/>
    <n v="2025"/>
    <s v="November  "/>
    <x v="0"/>
  </r>
  <r>
    <s v="0914"/>
    <s v="ELEAD"/>
    <s v="ELEAD OTHER"/>
    <s v="CALL TRACKING COUNT AS ONE"/>
    <s v="21112"/>
    <s v="4111001"/>
    <s v="N"/>
    <s v="CA"/>
    <n v="955.96"/>
    <n v="0"/>
    <n v="1"/>
    <x v="144"/>
    <x v="135"/>
    <e v="#N/A"/>
    <x v="142"/>
    <s v="US INVOICE"/>
    <x v="263"/>
    <m/>
    <x v="18"/>
    <x v="18"/>
    <s v="SWW"/>
    <s v="SW ACCESS VIA WEB"/>
    <n v="2025"/>
    <n v="11"/>
    <s v="FIN5030"/>
    <n v="2025"/>
    <s v="November  "/>
    <x v="0"/>
  </r>
  <r>
    <s v="0914"/>
    <s v="ELEAD"/>
    <s v="ELEAD OTHER"/>
    <s v="CALL TRACKING COUNT AS ONE"/>
    <s v="21112"/>
    <s v="4111001"/>
    <s v="N"/>
    <s v="NC"/>
    <n v="0"/>
    <n v="200.93"/>
    <n v="1"/>
    <x v="263"/>
    <x v="244"/>
    <e v="#N/A"/>
    <x v="260"/>
    <s v="US INVOICE"/>
    <x v="289"/>
    <s v="68217940SW64"/>
    <x v="18"/>
    <x v="18"/>
    <s v="SWW"/>
    <s v="SW ACCESS VIA WEB"/>
    <n v="2025"/>
    <n v="11"/>
    <s v="FIN5030"/>
    <n v="2025"/>
    <s v="November  "/>
    <x v="0"/>
  </r>
  <r>
    <s v="0914"/>
    <s v="ELEAD"/>
    <s v="ELEAD OTHER"/>
    <s v="CALL TRACKING COUNT AS ONE"/>
    <s v="21112"/>
    <s v="4111001"/>
    <s v="N"/>
    <s v="FL"/>
    <n v="0"/>
    <n v="322.92"/>
    <n v="1"/>
    <x v="264"/>
    <x v="245"/>
    <e v="#N/A"/>
    <x v="261"/>
    <s v="US INVOICE"/>
    <x v="290"/>
    <s v="64192183SW12"/>
    <x v="18"/>
    <x v="18"/>
    <s v="SWW"/>
    <s v="SW ACCESS VIA WEB"/>
    <n v="2025"/>
    <n v="11"/>
    <s v="FIN5030"/>
    <n v="2025"/>
    <s v="November  "/>
    <x v="0"/>
  </r>
  <r>
    <s v="0914"/>
    <s v="ELEAD"/>
    <s v="ELEAD OTHER"/>
    <s v="CALL TRACKING COUNT AS ONE"/>
    <s v="21112"/>
    <s v="4111001"/>
    <s v="N"/>
    <s v="NC"/>
    <n v="0"/>
    <n v="200.93"/>
    <n v="1"/>
    <x v="226"/>
    <x v="215"/>
    <e v="#N/A"/>
    <x v="224"/>
    <s v="US INVOICE"/>
    <x v="291"/>
    <s v="68217951SW29"/>
    <x v="18"/>
    <x v="18"/>
    <s v="SWW"/>
    <s v="SW ACCESS VIA WEB"/>
    <n v="2025"/>
    <n v="11"/>
    <s v="FIN5030"/>
    <n v="2025"/>
    <s v="November  "/>
    <x v="0"/>
  </r>
  <r>
    <s v="0914"/>
    <s v="ELEAD"/>
    <s v="ELEAD OTHER"/>
    <s v="CALL TRACKING COUNT AS ONE"/>
    <s v="21112"/>
    <s v="4111001"/>
    <s v="N"/>
    <s v="LA"/>
    <n v="0"/>
    <n v="342.1"/>
    <n v="1"/>
    <x v="265"/>
    <x v="246"/>
    <e v="#N/A"/>
    <x v="262"/>
    <s v="US INVOICE"/>
    <x v="292"/>
    <s v="64192126SW08"/>
    <x v="18"/>
    <x v="18"/>
    <s v="SWW"/>
    <s v="SW ACCESS VIA WEB"/>
    <n v="2025"/>
    <n v="11"/>
    <s v="FIN5030"/>
    <n v="2025"/>
    <s v="November  "/>
    <x v="0"/>
  </r>
  <r>
    <s v="0914"/>
    <s v="ELEAD"/>
    <s v="ELEAD OTHER"/>
    <s v="CALL TRACKING COUNT AS ONE"/>
    <s v="21112"/>
    <s v="4111001"/>
    <s v="N"/>
    <s v="OH"/>
    <n v="50.17"/>
    <n v="0"/>
    <n v="1"/>
    <x v="266"/>
    <x v="247"/>
    <e v="#N/A"/>
    <x v="263"/>
    <s v="US INVOICE"/>
    <x v="263"/>
    <m/>
    <x v="18"/>
    <x v="18"/>
    <s v="SWW"/>
    <s v="SW ACCESS VIA WEB"/>
    <n v="2025"/>
    <n v="11"/>
    <s v="FIN5030"/>
    <n v="2025"/>
    <s v="November  "/>
    <x v="0"/>
  </r>
  <r>
    <s v="0914"/>
    <s v="ELEAD"/>
    <s v="ELEAD OTHER"/>
    <s v="CALL TRACKING COUNT AS ONE"/>
    <s v="21112"/>
    <s v="4111001"/>
    <s v="N"/>
    <s v="FL"/>
    <n v="253.59"/>
    <n v="0"/>
    <n v="1"/>
    <x v="239"/>
    <x v="227"/>
    <e v="#N/A"/>
    <x v="237"/>
    <s v="US INVOICE"/>
    <x v="263"/>
    <m/>
    <x v="18"/>
    <x v="18"/>
    <s v="SWW"/>
    <s v="SW ACCESS VIA WEB"/>
    <n v="2025"/>
    <n v="11"/>
    <s v="FIN5030"/>
    <n v="2025"/>
    <s v="November  "/>
    <x v="0"/>
  </r>
  <r>
    <s v="0914"/>
    <s v="ELEAD"/>
    <s v="ELEAD OTHER"/>
    <s v="CALL TRACKING COUNT AS ONE"/>
    <s v="21112"/>
    <s v="4111001"/>
    <s v="N"/>
    <s v="TN"/>
    <n v="103.26"/>
    <n v="0"/>
    <n v="1"/>
    <x v="267"/>
    <x v="65"/>
    <e v="#N/A"/>
    <x v="264"/>
    <s v="US INVOICE"/>
    <x v="263"/>
    <m/>
    <x v="18"/>
    <x v="18"/>
    <s v="SWW"/>
    <s v="SW ACCESS VIA WEB"/>
    <n v="2025"/>
    <n v="11"/>
    <s v="FIN5030"/>
    <n v="2025"/>
    <s v="November  "/>
    <x v="0"/>
  </r>
  <r>
    <s v="0914"/>
    <s v="ELEAD"/>
    <s v="ELEAD OTHER"/>
    <s v="CALL TRACKING COUNT AS ONE"/>
    <s v="21112"/>
    <s v="4111001"/>
    <s v="N"/>
    <s v="MD"/>
    <n v="75.02"/>
    <n v="0"/>
    <n v="1"/>
    <x v="268"/>
    <x v="248"/>
    <e v="#N/A"/>
    <x v="265"/>
    <s v="US INVOICE"/>
    <x v="263"/>
    <m/>
    <x v="18"/>
    <x v="18"/>
    <s v="SWW"/>
    <s v="SW ACCESS VIA WEB"/>
    <n v="2025"/>
    <n v="11"/>
    <s v="FIN5030"/>
    <n v="2025"/>
    <s v="November  "/>
    <x v="0"/>
  </r>
  <r>
    <s v="0914"/>
    <s v="ELEAD"/>
    <s v="ELEAD OTHER"/>
    <s v="CALL TRACKING COUNT AS ONE"/>
    <s v="21112"/>
    <s v="4111001"/>
    <s v="N"/>
    <s v="MD"/>
    <n v="141"/>
    <n v="0"/>
    <n v="1"/>
    <x v="269"/>
    <x v="249"/>
    <e v="#N/A"/>
    <x v="266"/>
    <s v="US INVOICE"/>
    <x v="263"/>
    <m/>
    <x v="18"/>
    <x v="18"/>
    <s v="SWW"/>
    <s v="SW ACCESS VIA WEB"/>
    <n v="2025"/>
    <n v="11"/>
    <s v="FIN5030"/>
    <n v="2025"/>
    <s v="November  "/>
    <x v="0"/>
  </r>
  <r>
    <s v="0914"/>
    <s v="ELEAD"/>
    <s v="ELEAD OTHER"/>
    <s v="CALL TRACKING COUNT AS ONE"/>
    <s v="21112"/>
    <s v="4111001"/>
    <s v="N"/>
    <s v="SC"/>
    <n v="549.52"/>
    <n v="0"/>
    <n v="1"/>
    <x v="270"/>
    <x v="65"/>
    <e v="#N/A"/>
    <x v="258"/>
    <s v="US INVOICE"/>
    <x v="263"/>
    <m/>
    <x v="18"/>
    <x v="18"/>
    <s v="SWW"/>
    <s v="SW ACCESS VIA WEB"/>
    <n v="2025"/>
    <n v="11"/>
    <s v="FIN5030"/>
    <n v="2025"/>
    <s v="November  "/>
    <x v="0"/>
  </r>
  <r>
    <s v="0914"/>
    <s v="ELEAD"/>
    <s v="ELEAD OTHER"/>
    <s v="CALL TRACKING COUNT AS ONE"/>
    <s v="21112"/>
    <s v="4111001"/>
    <s v="N"/>
    <s v="MI"/>
    <n v="0"/>
    <n v="319"/>
    <n v="1"/>
    <x v="271"/>
    <x v="250"/>
    <e v="#N/A"/>
    <x v="267"/>
    <s v="US INVOICE"/>
    <x v="293"/>
    <s v="68217777SW15"/>
    <x v="18"/>
    <x v="18"/>
    <s v="SWW"/>
    <s v="SW ACCESS VIA WEB"/>
    <n v="2025"/>
    <n v="11"/>
    <s v="FIN5030"/>
    <n v="2025"/>
    <s v="November  "/>
    <x v="0"/>
  </r>
  <r>
    <s v="0914"/>
    <s v="ELEAD"/>
    <s v="ELEAD OTHER"/>
    <s v="CALL TRACKING COUNT AS ONE"/>
    <s v="21112"/>
    <s v="4111001"/>
    <s v="N"/>
    <s v="DE"/>
    <n v="0"/>
    <n v="319"/>
    <n v="1"/>
    <x v="272"/>
    <x v="251"/>
    <e v="#N/A"/>
    <x v="268"/>
    <s v="US INVOICE"/>
    <x v="294"/>
    <s v="K10701600002"/>
    <x v="18"/>
    <x v="18"/>
    <s v="SWW"/>
    <s v="SW ACCESS VIA WEB"/>
    <n v="2025"/>
    <n v="11"/>
    <s v="FIN5030"/>
    <n v="2025"/>
    <s v="November  "/>
    <x v="0"/>
  </r>
  <r>
    <s v="0914"/>
    <s v="ELEAD"/>
    <s v="ELEAD OTHER"/>
    <s v="CALL TRACKING COUNT AS ONE"/>
    <s v="21112"/>
    <s v="4111001"/>
    <s v="N"/>
    <s v="NC"/>
    <n v="0"/>
    <n v="200.93"/>
    <n v="1"/>
    <x v="273"/>
    <x v="252"/>
    <e v="#N/A"/>
    <x v="269"/>
    <s v="US INVOICE"/>
    <x v="295"/>
    <s v="68217963SW15"/>
    <x v="18"/>
    <x v="18"/>
    <s v="SWW"/>
    <s v="SW ACCESS VIA WEB"/>
    <n v="2025"/>
    <n v="11"/>
    <s v="FIN5030"/>
    <n v="2025"/>
    <s v="November  "/>
    <x v="0"/>
  </r>
  <r>
    <s v="0914"/>
    <s v="ELEAD"/>
    <s v="ELEAD OTHER"/>
    <s v="CALL TRACKING COUNT AS ONE"/>
    <s v="21112"/>
    <s v="4111001"/>
    <s v="N"/>
    <s v="NC"/>
    <n v="674.18"/>
    <n v="0"/>
    <n v="1"/>
    <x v="252"/>
    <x v="236"/>
    <e v="#N/A"/>
    <x v="250"/>
    <s v="US INVOICE"/>
    <x v="263"/>
    <m/>
    <x v="18"/>
    <x v="18"/>
    <s v="SWW"/>
    <s v="SW ACCESS VIA WEB"/>
    <n v="2025"/>
    <n v="11"/>
    <s v="FIN5030"/>
    <n v="2025"/>
    <s v="November  "/>
    <x v="0"/>
  </r>
  <r>
    <s v="0914"/>
    <s v="ELEAD"/>
    <s v="ELEAD OTHER"/>
    <s v="CALL TRACKING COUNT AS ONE"/>
    <s v="21112"/>
    <s v="4111001"/>
    <s v="N"/>
    <s v="NC"/>
    <n v="171.28"/>
    <n v="0"/>
    <n v="1"/>
    <x v="263"/>
    <x v="244"/>
    <e v="#N/A"/>
    <x v="260"/>
    <s v="US INVOICE"/>
    <x v="263"/>
    <m/>
    <x v="18"/>
    <x v="18"/>
    <s v="SWW"/>
    <s v="SW ACCESS VIA WEB"/>
    <n v="2025"/>
    <n v="11"/>
    <s v="FIN5030"/>
    <n v="2025"/>
    <s v="November  "/>
    <x v="0"/>
  </r>
  <r>
    <s v="0914"/>
    <s v="ELEAD"/>
    <s v="ELEAD OTHER"/>
    <s v="CALL TRACKING COUNT AS ONE"/>
    <s v="21112"/>
    <s v="4111001"/>
    <s v="N"/>
    <s v="NC"/>
    <n v="0"/>
    <n v="213.49"/>
    <n v="1"/>
    <x v="274"/>
    <x v="253"/>
    <e v="#N/A"/>
    <x v="270"/>
    <s v="US INVOICE"/>
    <x v="296"/>
    <s v="68217951SW32"/>
    <x v="18"/>
    <x v="18"/>
    <s v="SWW"/>
    <s v="SW ACCESS VIA WEB"/>
    <n v="2025"/>
    <n v="11"/>
    <s v="FIN5030"/>
    <n v="2025"/>
    <s v="November  "/>
    <x v="0"/>
  </r>
  <r>
    <s v="0914"/>
    <s v="ELEAD"/>
    <s v="ELEAD OTHER"/>
    <s v="CALL TRACKING COUNT AS ONE"/>
    <s v="21112"/>
    <s v="4111001"/>
    <s v="N"/>
    <s v="PA"/>
    <n v="0"/>
    <n v="299"/>
    <n v="1"/>
    <x v="275"/>
    <x v="254"/>
    <e v="#N/A"/>
    <x v="271"/>
    <s v="US INVOICE"/>
    <x v="297"/>
    <s v="68192959SW17"/>
    <x v="18"/>
    <x v="18"/>
    <s v="SWW"/>
    <s v="SW ACCESS VIA WEB"/>
    <n v="2025"/>
    <n v="11"/>
    <s v="FIN5030"/>
    <n v="2025"/>
    <s v="November  "/>
    <x v="0"/>
  </r>
  <r>
    <s v="0914"/>
    <s v="ELEAD"/>
    <s v="ELEAD OTHER"/>
    <s v="CALL TRACKING COUNT AS ONE"/>
    <s v="21112"/>
    <s v="4111001"/>
    <s v="N"/>
    <s v="NC"/>
    <n v="208.4"/>
    <n v="0"/>
    <n v="1"/>
    <x v="83"/>
    <x v="76"/>
    <e v="#N/A"/>
    <x v="81"/>
    <s v="US INVOICE"/>
    <x v="263"/>
    <m/>
    <x v="18"/>
    <x v="18"/>
    <s v="SWW"/>
    <s v="SW ACCESS VIA WEB"/>
    <n v="2025"/>
    <n v="11"/>
    <s v="FIN5030"/>
    <n v="2025"/>
    <s v="November  "/>
    <x v="0"/>
  </r>
  <r>
    <s v="0914"/>
    <s v="ELEAD"/>
    <s v="ELEAD OTHER"/>
    <s v="CALL TRACKING COUNT AS ONE"/>
    <s v="21112"/>
    <s v="4111001"/>
    <s v="N"/>
    <s v="TX"/>
    <n v="0.81"/>
    <n v="0"/>
    <n v="1"/>
    <x v="276"/>
    <x v="255"/>
    <e v="#N/A"/>
    <x v="272"/>
    <s v="US INVOICE"/>
    <x v="263"/>
    <m/>
    <x v="18"/>
    <x v="18"/>
    <s v="SWW"/>
    <s v="SW ACCESS VIA WEB"/>
    <n v="2025"/>
    <n v="11"/>
    <s v="FIN5030"/>
    <n v="2025"/>
    <s v="November  "/>
    <x v="0"/>
  </r>
  <r>
    <s v="0914"/>
    <s v="ELEAD"/>
    <s v="ELEAD OTHER"/>
    <s v="CALL TRACKING COUNT AS ONE"/>
    <s v="21112"/>
    <s v="4111001"/>
    <s v="N"/>
    <s v="PA"/>
    <n v="133.88999999999999"/>
    <n v="0"/>
    <n v="1"/>
    <x v="277"/>
    <x v="256"/>
    <e v="#N/A"/>
    <x v="273"/>
    <s v="US INVOICE"/>
    <x v="263"/>
    <m/>
    <x v="18"/>
    <x v="18"/>
    <s v="SWW"/>
    <s v="SW ACCESS VIA WEB"/>
    <n v="2025"/>
    <n v="11"/>
    <s v="FIN5030"/>
    <n v="2025"/>
    <s v="November  "/>
    <x v="0"/>
  </r>
  <r>
    <s v="0914"/>
    <s v="ELEAD"/>
    <s v="ELEAD OTHER"/>
    <s v="CALL TRACKING COUNT AS ONE"/>
    <s v="21112"/>
    <s v="4111001"/>
    <s v="N"/>
    <s v="PA"/>
    <n v="0"/>
    <n v="319"/>
    <n v="1"/>
    <x v="278"/>
    <x v="257"/>
    <e v="#N/A"/>
    <x v="274"/>
    <s v="US INVOICE"/>
    <x v="298"/>
    <s v="68210512SW11"/>
    <x v="18"/>
    <x v="18"/>
    <s v="SWW"/>
    <s v="SW ACCESS VIA WEB"/>
    <n v="2025"/>
    <n v="11"/>
    <s v="FIN5030"/>
    <n v="2025"/>
    <s v="November  "/>
    <x v="0"/>
  </r>
  <r>
    <s v="0914"/>
    <s v="ELEAD"/>
    <s v="ELEAD OTHER"/>
    <s v="CALL TRACKING COUNT AS ONE"/>
    <s v="21112"/>
    <s v="4111001"/>
    <s v="N"/>
    <s v="MA"/>
    <n v="0"/>
    <n v="350.37"/>
    <n v="1"/>
    <x v="279"/>
    <x v="258"/>
    <e v="#N/A"/>
    <x v="275"/>
    <s v="US INVOICE"/>
    <x v="299"/>
    <s v="68157703SW02"/>
    <x v="18"/>
    <x v="18"/>
    <s v="SWW"/>
    <s v="SW ACCESS VIA WEB"/>
    <n v="2025"/>
    <n v="11"/>
    <s v="FIN5030"/>
    <n v="2025"/>
    <s v="November  "/>
    <x v="0"/>
  </r>
  <r>
    <s v="0914"/>
    <s v="ELEAD"/>
    <s v="ELEAD OTHER"/>
    <s v="CALL TRACKING COUNT AS ONE"/>
    <s v="21112"/>
    <s v="4111001"/>
    <s v="N"/>
    <s v="FL"/>
    <n v="244.46"/>
    <n v="0"/>
    <n v="1"/>
    <x v="280"/>
    <x v="259"/>
    <e v="#N/A"/>
    <x v="276"/>
    <s v="US INVOICE"/>
    <x v="263"/>
    <m/>
    <x v="18"/>
    <x v="18"/>
    <s v="SWW"/>
    <s v="SW ACCESS VIA WEB"/>
    <n v="2025"/>
    <n v="11"/>
    <s v="FIN5030"/>
    <n v="2025"/>
    <s v="November  "/>
    <x v="0"/>
  </r>
  <r>
    <s v="0914"/>
    <s v="ELEAD"/>
    <s v="ELEAD OTHER"/>
    <s v="CALL TRACKING COUNT AS ONE"/>
    <s v="21112"/>
    <s v="4111001"/>
    <s v="N"/>
    <s v="SC"/>
    <n v="0"/>
    <n v="319"/>
    <n v="1"/>
    <x v="281"/>
    <x v="65"/>
    <e v="#N/A"/>
    <x v="277"/>
    <s v="US INVOICE"/>
    <x v="300"/>
    <s v="68211053SW53"/>
    <x v="18"/>
    <x v="18"/>
    <s v="SWW"/>
    <s v="SW ACCESS VIA WEB"/>
    <n v="2025"/>
    <n v="11"/>
    <s v="FIN5030"/>
    <n v="2025"/>
    <s v="November  "/>
    <x v="0"/>
  </r>
  <r>
    <s v="0914"/>
    <s v="ELEAD"/>
    <s v="ELEAD OTHER"/>
    <s v="CALL TRACKING COUNT AS ONE"/>
    <s v="21112"/>
    <s v="4111001"/>
    <s v="N"/>
    <s v="GA"/>
    <n v="0"/>
    <n v="319"/>
    <n v="1"/>
    <x v="282"/>
    <x v="260"/>
    <e v="#N/A"/>
    <x v="278"/>
    <s v="US INVOICE"/>
    <x v="301"/>
    <s v="68207051SW02"/>
    <x v="18"/>
    <x v="18"/>
    <s v="SWW"/>
    <s v="SW ACCESS VIA WEB"/>
    <n v="2025"/>
    <n v="11"/>
    <s v="FIN5030"/>
    <n v="2025"/>
    <s v="November  "/>
    <x v="0"/>
  </r>
  <r>
    <s v="0914"/>
    <s v="ELEAD"/>
    <s v="ELEAD OTHER"/>
    <s v="CALL TRACKING COUNT AS ONE"/>
    <s v="21112"/>
    <s v="4111001"/>
    <s v="N"/>
    <s v="TX"/>
    <n v="0"/>
    <n v="319.95"/>
    <n v="1"/>
    <x v="283"/>
    <x v="65"/>
    <e v="#N/A"/>
    <x v="279"/>
    <s v="US INVOICE"/>
    <x v="302"/>
    <s v="62178484SW07"/>
    <x v="18"/>
    <x v="18"/>
    <s v="SWW"/>
    <s v="SW ACCESS VIA WEB"/>
    <n v="2025"/>
    <n v="11"/>
    <s v="FIN5030"/>
    <n v="2025"/>
    <s v="November  "/>
    <x v="0"/>
  </r>
  <r>
    <s v="0914"/>
    <s v="ELEAD"/>
    <s v="ELEAD OTHER"/>
    <s v="CALL TRACKING COUNT AS ONE"/>
    <s v="21112"/>
    <s v="4111001"/>
    <s v="N"/>
    <s v="AL"/>
    <n v="0"/>
    <n v="319"/>
    <n v="1"/>
    <x v="284"/>
    <x v="261"/>
    <e v="#N/A"/>
    <x v="280"/>
    <s v="US INVOICE"/>
    <x v="303"/>
    <s v="64202342SW14"/>
    <x v="18"/>
    <x v="18"/>
    <s v="SWW"/>
    <s v="SW ACCESS VIA WEB"/>
    <n v="2025"/>
    <n v="11"/>
    <s v="FIN5030"/>
    <n v="2025"/>
    <s v="November  "/>
    <x v="0"/>
  </r>
  <r>
    <s v="0914"/>
    <s v="ELEAD"/>
    <s v="ELEAD OTHER"/>
    <s v="CALL TRACKING COUNT AS ONE"/>
    <s v="21112"/>
    <s v="4111001"/>
    <s v="N"/>
    <s v="CA"/>
    <n v="0"/>
    <n v="299"/>
    <n v="1"/>
    <x v="262"/>
    <x v="243"/>
    <e v="#N/A"/>
    <x v="259"/>
    <s v="US INVOICE"/>
    <x v="304"/>
    <s v="38118245SW08"/>
    <x v="18"/>
    <x v="18"/>
    <s v="SWW"/>
    <s v="SW ACCESS VIA WEB"/>
    <n v="2025"/>
    <n v="11"/>
    <s v="FIN5030"/>
    <n v="2025"/>
    <s v="November  "/>
    <x v="0"/>
  </r>
  <r>
    <s v="0914"/>
    <s v="ELEAD"/>
    <s v="ELEAD OTHER"/>
    <s v="CALL TRACKING COUNT AS ONE"/>
    <s v="21112"/>
    <s v="4111001"/>
    <s v="N"/>
    <s v="NC"/>
    <n v="186.02"/>
    <n v="0"/>
    <n v="1"/>
    <x v="254"/>
    <x v="238"/>
    <e v="#N/A"/>
    <x v="252"/>
    <s v="US INVOICE"/>
    <x v="263"/>
    <m/>
    <x v="18"/>
    <x v="18"/>
    <s v="SWW"/>
    <s v="SW ACCESS VIA WEB"/>
    <n v="2025"/>
    <n v="11"/>
    <s v="FIN5030"/>
    <n v="2025"/>
    <s v="November  "/>
    <x v="0"/>
  </r>
  <r>
    <s v="0914"/>
    <s v="ELEAD"/>
    <s v="ELEAD OTHER"/>
    <s v="CALL TRACKING COUNT AS ONE"/>
    <s v="21112"/>
    <s v="4111001"/>
    <s v="N"/>
    <s v="NC"/>
    <n v="54.58"/>
    <n v="0"/>
    <n v="1"/>
    <x v="285"/>
    <x v="262"/>
    <e v="#N/A"/>
    <x v="281"/>
    <s v="US INVOICE"/>
    <x v="263"/>
    <m/>
    <x v="18"/>
    <x v="18"/>
    <s v="SWW"/>
    <s v="SW ACCESS VIA WEB"/>
    <n v="2025"/>
    <n v="11"/>
    <s v="FIN5030"/>
    <n v="2025"/>
    <s v="November  "/>
    <x v="0"/>
  </r>
  <r>
    <s v="0914"/>
    <s v="ELEAD"/>
    <s v="ELEAD OTHER"/>
    <s v="CALL TRACKING COUNT AS ONE"/>
    <s v="21112"/>
    <s v="4111001"/>
    <s v="N"/>
    <s v="NC"/>
    <n v="0"/>
    <n v="200.93"/>
    <n v="1"/>
    <x v="286"/>
    <x v="263"/>
    <e v="#N/A"/>
    <x v="282"/>
    <s v="US INVOICE"/>
    <x v="305"/>
    <s v="68217974SW65"/>
    <x v="18"/>
    <x v="18"/>
    <s v="SWW"/>
    <s v="SW ACCESS VIA WEB"/>
    <n v="2025"/>
    <n v="11"/>
    <s v="FIN5030"/>
    <n v="2025"/>
    <s v="November  "/>
    <x v="0"/>
  </r>
  <r>
    <s v="0914"/>
    <s v="ELEAD"/>
    <s v="ELEAD OTHER"/>
    <s v="CALL TRACKING COUNT AS ONE"/>
    <s v="21112"/>
    <s v="4111001"/>
    <s v="N"/>
    <s v="NC"/>
    <n v="42.96"/>
    <n v="0"/>
    <n v="1"/>
    <x v="179"/>
    <x v="169"/>
    <e v="#N/A"/>
    <x v="177"/>
    <s v="US INVOICE"/>
    <x v="263"/>
    <m/>
    <x v="18"/>
    <x v="18"/>
    <s v="SWW"/>
    <s v="SW ACCESS VIA WEB"/>
    <n v="2025"/>
    <n v="11"/>
    <s v="FIN5030"/>
    <n v="2025"/>
    <s v="November  "/>
    <x v="0"/>
  </r>
  <r>
    <s v="0914"/>
    <s v="ELEAD"/>
    <s v="ELEAD OTHER"/>
    <s v="CALL TRACKING COUNT AS ONE"/>
    <s v="21112"/>
    <s v="4111001"/>
    <s v="N"/>
    <s v="FL"/>
    <n v="0"/>
    <n v="299"/>
    <n v="1"/>
    <x v="287"/>
    <x v="264"/>
    <e v="#N/A"/>
    <x v="283"/>
    <s v="US INVOICE"/>
    <x v="306"/>
    <s v="64195085SW08"/>
    <x v="18"/>
    <x v="18"/>
    <s v="SWW"/>
    <s v="SW ACCESS VIA WEB"/>
    <n v="2025"/>
    <n v="11"/>
    <s v="FIN5030"/>
    <n v="2025"/>
    <s v="November  "/>
    <x v="0"/>
  </r>
  <r>
    <s v="0914"/>
    <s v="ELEAD"/>
    <s v="ELEAD OTHER"/>
    <s v="CALL TRACKING COUNT AS ONE"/>
    <s v="21112"/>
    <s v="4111001"/>
    <s v="N"/>
    <s v="AL"/>
    <n v="0.67"/>
    <n v="0"/>
    <n v="1"/>
    <x v="288"/>
    <x v="265"/>
    <e v="#N/A"/>
    <x v="284"/>
    <s v="US INVOICE"/>
    <x v="263"/>
    <m/>
    <x v="18"/>
    <x v="18"/>
    <s v="SWW"/>
    <s v="SW ACCESS VIA WEB"/>
    <n v="2025"/>
    <n v="11"/>
    <s v="FIN5030"/>
    <n v="2025"/>
    <s v="November  "/>
    <x v="0"/>
  </r>
  <r>
    <s v="0914"/>
    <s v="ELEAD"/>
    <s v="ELEAD OTHER"/>
    <s v="CALL TRACKING COUNT AS ONE"/>
    <s v="21112"/>
    <s v="4111001"/>
    <s v="N"/>
    <s v="SC"/>
    <n v="512.48"/>
    <n v="0"/>
    <n v="1"/>
    <x v="87"/>
    <x v="80"/>
    <e v="#N/A"/>
    <x v="85"/>
    <s v="US INVOICE"/>
    <x v="263"/>
    <m/>
    <x v="18"/>
    <x v="18"/>
    <s v="SWW"/>
    <s v="SW ACCESS VIA WEB"/>
    <n v="2025"/>
    <n v="11"/>
    <s v="FIN5030"/>
    <n v="2025"/>
    <s v="November  "/>
    <x v="0"/>
  </r>
  <r>
    <s v="0914"/>
    <s v="ELEAD"/>
    <s v="ELEAD OTHER"/>
    <s v="CALL TRACKING COUNT AS ONE"/>
    <s v="21112"/>
    <s v="4111001"/>
    <s v="N"/>
    <s v="FL"/>
    <n v="0"/>
    <n v="319"/>
    <n v="1"/>
    <x v="222"/>
    <x v="211"/>
    <e v="#N/A"/>
    <x v="220"/>
    <s v="US INVOICE"/>
    <x v="307"/>
    <s v="64213138SW07"/>
    <x v="18"/>
    <x v="18"/>
    <s v="SWW"/>
    <s v="SW ACCESS VIA WEB"/>
    <n v="2025"/>
    <n v="11"/>
    <s v="FIN5030"/>
    <n v="2025"/>
    <s v="November  "/>
    <x v="0"/>
  </r>
  <r>
    <s v="0914"/>
    <s v="ELEAD"/>
    <s v="ELEAD OTHER"/>
    <s v="CALL TRACKING COUNT AS ONE"/>
    <s v="21112"/>
    <s v="4111001"/>
    <s v="N"/>
    <s v="NC"/>
    <n v="0"/>
    <n v="200.93"/>
    <n v="1"/>
    <x v="289"/>
    <x v="266"/>
    <e v="#N/A"/>
    <x v="285"/>
    <s v="US INVOICE"/>
    <x v="308"/>
    <s v="68217963SW16"/>
    <x v="18"/>
    <x v="18"/>
    <s v="SWW"/>
    <s v="SW ACCESS VIA WEB"/>
    <n v="2025"/>
    <n v="11"/>
    <s v="FIN5030"/>
    <n v="2025"/>
    <s v="November  "/>
    <x v="0"/>
  </r>
  <r>
    <s v="0914"/>
    <s v="ELEAD"/>
    <s v="ELEAD OTHER"/>
    <s v="CALL TRACKING COUNT AS ONE"/>
    <s v="21112"/>
    <s v="4111001"/>
    <s v="N"/>
    <s v="NC"/>
    <n v="0"/>
    <n v="200.93"/>
    <n v="1"/>
    <x v="290"/>
    <x v="267"/>
    <e v="#N/A"/>
    <x v="286"/>
    <s v="US INVOICE"/>
    <x v="309"/>
    <s v="68217915SW46"/>
    <x v="18"/>
    <x v="18"/>
    <s v="SWW"/>
    <s v="SW ACCESS VIA WEB"/>
    <n v="2025"/>
    <n v="11"/>
    <s v="FIN5030"/>
    <n v="2025"/>
    <s v="November  "/>
    <x v="0"/>
  </r>
  <r>
    <s v="0914"/>
    <s v="ELEAD"/>
    <s v="ELEAD OTHER"/>
    <s v="CALL TRACKING COUNT AS ONE"/>
    <s v="21112"/>
    <s v="4111001"/>
    <s v="N"/>
    <s v="MA"/>
    <n v="0"/>
    <n v="350.37"/>
    <n v="1"/>
    <x v="291"/>
    <x v="268"/>
    <e v="#N/A"/>
    <x v="287"/>
    <s v="US INVOICE"/>
    <x v="310"/>
    <s v="68157621SW02"/>
    <x v="18"/>
    <x v="18"/>
    <s v="SWW"/>
    <s v="SW ACCESS VIA WEB"/>
    <n v="2025"/>
    <n v="11"/>
    <s v="FIN5030"/>
    <n v="2025"/>
    <s v="November  "/>
    <x v="0"/>
  </r>
  <r>
    <s v="0914"/>
    <s v="ELEAD"/>
    <s v="ELEAD OTHER"/>
    <s v="CALL TRACKING COUNT AS ONE"/>
    <s v="21112"/>
    <s v="4111001"/>
    <s v="N"/>
    <s v="NC"/>
    <n v="68.349999999999994"/>
    <n v="0"/>
    <n v="1"/>
    <x v="292"/>
    <x v="269"/>
    <e v="#N/A"/>
    <x v="288"/>
    <s v="US INVOICE"/>
    <x v="263"/>
    <m/>
    <x v="18"/>
    <x v="18"/>
    <s v="SWW"/>
    <s v="SW ACCESS VIA WEB"/>
    <n v="2025"/>
    <n v="11"/>
    <s v="FIN5030"/>
    <n v="2025"/>
    <s v="November  "/>
    <x v="0"/>
  </r>
  <r>
    <s v="0914"/>
    <s v="ELEAD"/>
    <s v="ELEAD OTHER"/>
    <s v="CALL TRACKING COUNT AS ONE"/>
    <s v="21112"/>
    <s v="4111001"/>
    <s v="N"/>
    <s v="TX"/>
    <n v="88.61"/>
    <n v="0"/>
    <n v="1"/>
    <x v="116"/>
    <x v="107"/>
    <e v="#N/A"/>
    <x v="114"/>
    <s v="US INVOICE"/>
    <x v="263"/>
    <m/>
    <x v="18"/>
    <x v="18"/>
    <s v="SWW"/>
    <s v="SW ACCESS VIA WEB"/>
    <n v="2025"/>
    <n v="11"/>
    <s v="FIN5030"/>
    <n v="2025"/>
    <s v="November  "/>
    <x v="0"/>
  </r>
  <r>
    <s v="0914"/>
    <s v="ELEAD"/>
    <s v="ELEAD OTHER"/>
    <s v="CALL TRACKING COUNT AS ONE"/>
    <s v="21112"/>
    <s v="4111001"/>
    <s v="N"/>
    <s v="NC"/>
    <n v="867.04"/>
    <n v="0"/>
    <n v="1"/>
    <x v="293"/>
    <x v="270"/>
    <e v="#N/A"/>
    <x v="289"/>
    <s v="US INVOICE"/>
    <x v="263"/>
    <m/>
    <x v="18"/>
    <x v="18"/>
    <s v="SWW"/>
    <s v="SW ACCESS VIA WEB"/>
    <n v="2025"/>
    <n v="11"/>
    <s v="FIN5030"/>
    <n v="2025"/>
    <s v="November  "/>
    <x v="0"/>
  </r>
  <r>
    <s v="0914"/>
    <s v="ELEAD"/>
    <s v="ELEAD OTHER"/>
    <s v="CALL TRACKING COUNT AS ONE"/>
    <s v="21112"/>
    <s v="4111001"/>
    <s v="N"/>
    <s v="VA"/>
    <n v="0"/>
    <n v="319"/>
    <n v="1"/>
    <x v="232"/>
    <x v="221"/>
    <e v="#N/A"/>
    <x v="230"/>
    <s v="US INVOICE"/>
    <x v="311"/>
    <s v="68197027SW10"/>
    <x v="18"/>
    <x v="18"/>
    <s v="SWW"/>
    <s v="SW ACCESS VIA WEB"/>
    <n v="2025"/>
    <n v="11"/>
    <s v="FIN5030"/>
    <n v="2025"/>
    <s v="November  "/>
    <x v="0"/>
  </r>
  <r>
    <s v="0914"/>
    <s v="ELEAD"/>
    <s v="ELEAD OTHER"/>
    <s v="CALL TRACKING COUNT AS ONE"/>
    <s v="21112"/>
    <s v="4111001"/>
    <s v="N"/>
    <s v="NJ"/>
    <n v="187.04"/>
    <n v="0"/>
    <n v="1"/>
    <x v="231"/>
    <x v="220"/>
    <e v="#N/A"/>
    <x v="229"/>
    <s v="US INVOICE"/>
    <x v="263"/>
    <m/>
    <x v="18"/>
    <x v="18"/>
    <s v="SWW"/>
    <s v="SW ACCESS VIA WEB"/>
    <n v="2025"/>
    <n v="11"/>
    <s v="FIN5030"/>
    <n v="2025"/>
    <s v="November  "/>
    <x v="0"/>
  </r>
  <r>
    <s v="0914"/>
    <s v="ELEAD"/>
    <s v="ELEAD OTHER"/>
    <s v="CALL TRACKING COUNT AS ONE"/>
    <s v="21112"/>
    <s v="4111001"/>
    <s v="N"/>
    <s v="PA"/>
    <n v="6.07"/>
    <n v="0"/>
    <n v="1"/>
    <x v="294"/>
    <x v="271"/>
    <e v="#N/A"/>
    <x v="290"/>
    <s v="US INVOICE"/>
    <x v="263"/>
    <m/>
    <x v="18"/>
    <x v="18"/>
    <s v="SWW"/>
    <s v="SW ACCESS VIA WEB"/>
    <n v="2025"/>
    <n v="11"/>
    <s v="FIN5030"/>
    <n v="2025"/>
    <s v="November  "/>
    <x v="0"/>
  </r>
  <r>
    <s v="0914"/>
    <s v="ELEAD"/>
    <s v="ELEAD OTHER"/>
    <s v="CALL TRACKING COUNT AS ONE"/>
    <s v="21112"/>
    <s v="4111001"/>
    <s v="N"/>
    <s v="MN"/>
    <n v="0"/>
    <n v="299"/>
    <n v="1"/>
    <x v="219"/>
    <x v="208"/>
    <e v="#N/A"/>
    <x v="217"/>
    <s v="US INVOICE"/>
    <x v="312"/>
    <s v="64226714SW01"/>
    <x v="18"/>
    <x v="18"/>
    <s v="SWW"/>
    <s v="SW ACCESS VIA WEB"/>
    <n v="2025"/>
    <n v="11"/>
    <s v="FIN5030"/>
    <n v="2025"/>
    <s v="November  "/>
    <x v="0"/>
  </r>
  <r>
    <s v="0914"/>
    <s v="ELEAD"/>
    <s v="ELEAD OTHER"/>
    <s v="CALL TRACKING COUNT AS ONE"/>
    <s v="21112"/>
    <s v="4111001"/>
    <s v="N"/>
    <s v="CA"/>
    <n v="0"/>
    <n v="217.23"/>
    <n v="1"/>
    <x v="295"/>
    <x v="272"/>
    <e v="#N/A"/>
    <x v="291"/>
    <s v="US INVOICE"/>
    <x v="313"/>
    <s v="62180420SW27"/>
    <x v="18"/>
    <x v="18"/>
    <s v="SWW"/>
    <s v="SW ACCESS VIA WEB"/>
    <n v="2025"/>
    <n v="11"/>
    <s v="FIN5030"/>
    <n v="2025"/>
    <s v="November  "/>
    <x v="0"/>
  </r>
  <r>
    <s v="0914"/>
    <s v="ELEAD"/>
    <s v="ELEAD OTHER"/>
    <s v="CALL TRACKING COUNT AS ONE"/>
    <s v="21112"/>
    <s v="4111001"/>
    <s v="N"/>
    <s v="MI"/>
    <n v="642.6"/>
    <n v="0"/>
    <n v="1"/>
    <x v="176"/>
    <x v="166"/>
    <e v="#N/A"/>
    <x v="174"/>
    <s v="US INVOICE"/>
    <x v="263"/>
    <m/>
    <x v="18"/>
    <x v="18"/>
    <s v="SWW"/>
    <s v="SW ACCESS VIA WEB"/>
    <n v="2025"/>
    <n v="11"/>
    <s v="FIN5030"/>
    <n v="2025"/>
    <s v="November  "/>
    <x v="0"/>
  </r>
  <r>
    <s v="0914"/>
    <s v="ELEAD"/>
    <s v="ELEAD OTHER"/>
    <s v="CALL TRACKING COUNT AS ONE"/>
    <s v="21112"/>
    <s v="4111001"/>
    <s v="N"/>
    <s v="GA"/>
    <n v="407.64"/>
    <n v="0"/>
    <n v="1"/>
    <x v="163"/>
    <x v="154"/>
    <e v="#N/A"/>
    <x v="161"/>
    <s v="US INVOICE"/>
    <x v="263"/>
    <m/>
    <x v="18"/>
    <x v="18"/>
    <s v="SWW"/>
    <s v="SW ACCESS VIA WEB"/>
    <n v="2025"/>
    <n v="11"/>
    <s v="FIN5030"/>
    <n v="2025"/>
    <s v="November  "/>
    <x v="0"/>
  </r>
  <r>
    <s v="0914"/>
    <s v="ELEAD"/>
    <s v="ELEAD OTHER"/>
    <s v="CALL TRACKING COUNT AS ONE"/>
    <s v="21112"/>
    <s v="4111001"/>
    <s v="N"/>
    <s v="CO"/>
    <n v="130.65"/>
    <n v="0"/>
    <n v="1"/>
    <x v="248"/>
    <x v="233"/>
    <e v="#N/A"/>
    <x v="246"/>
    <s v="US INVOICE"/>
    <x v="263"/>
    <m/>
    <x v="18"/>
    <x v="18"/>
    <s v="SWW"/>
    <s v="SW ACCESS VIA WEB"/>
    <n v="2025"/>
    <n v="11"/>
    <s v="FIN5030"/>
    <n v="2025"/>
    <s v="November  "/>
    <x v="0"/>
  </r>
  <r>
    <s v="0914"/>
    <s v="ELEAD"/>
    <s v="ELEAD OTHER"/>
    <s v="CALL TRACKING COUNT AS ONE"/>
    <s v="21112"/>
    <s v="4111001"/>
    <s v="N"/>
    <s v="MI"/>
    <n v="0"/>
    <n v="319"/>
    <n v="1"/>
    <x v="296"/>
    <x v="273"/>
    <e v="#N/A"/>
    <x v="292"/>
    <s v="US INVOICE"/>
    <x v="314"/>
    <s v="68217777SW18"/>
    <x v="18"/>
    <x v="18"/>
    <s v="SWW"/>
    <s v="SW ACCESS VIA WEB"/>
    <n v="2025"/>
    <n v="11"/>
    <s v="FIN5030"/>
    <n v="2025"/>
    <s v="November  "/>
    <x v="0"/>
  </r>
  <r>
    <s v="0914"/>
    <s v="ELEAD"/>
    <s v="ELEAD OTHER"/>
    <s v="CALL TRACKING COUNT AS ONE"/>
    <s v="21112"/>
    <s v="4111001"/>
    <s v="N"/>
    <s v="GA"/>
    <n v="17.72"/>
    <n v="0"/>
    <n v="1"/>
    <x v="297"/>
    <x v="65"/>
    <e v="#N/A"/>
    <x v="293"/>
    <s v="US INVOICE"/>
    <x v="315"/>
    <m/>
    <x v="18"/>
    <x v="18"/>
    <s v="SWW"/>
    <s v="SW ACCESS VIA WEB"/>
    <n v="2025"/>
    <n v="11"/>
    <s v="FIN5030"/>
    <n v="2025"/>
    <s v="November  "/>
    <x v="0"/>
  </r>
  <r>
    <s v="0914"/>
    <s v="ELEAD"/>
    <s v="ELEAD OTHER"/>
    <s v="CALL TRACKING COUNT AS ONE"/>
    <s v="21112"/>
    <s v="4111001"/>
    <s v="N"/>
    <s v="FL"/>
    <n v="549.67999999999995"/>
    <n v="0"/>
    <n v="1"/>
    <x v="250"/>
    <x v="235"/>
    <e v="#N/A"/>
    <x v="248"/>
    <s v="US INVOICE"/>
    <x v="263"/>
    <m/>
    <x v="18"/>
    <x v="18"/>
    <s v="SWW"/>
    <s v="SW ACCESS VIA WEB"/>
    <n v="2025"/>
    <n v="11"/>
    <s v="FIN5030"/>
    <n v="2025"/>
    <s v="November  "/>
    <x v="0"/>
  </r>
  <r>
    <s v="0914"/>
    <s v="ELEAD"/>
    <s v="ELEAD OTHER"/>
    <s v="CALL TRACKING COUNT AS ONE"/>
    <s v="21112"/>
    <s v="4111001"/>
    <s v="N"/>
    <s v="MD"/>
    <n v="586.51"/>
    <n v="0"/>
    <n v="1"/>
    <x v="298"/>
    <x v="274"/>
    <e v="#N/A"/>
    <x v="294"/>
    <s v="US INVOICE"/>
    <x v="263"/>
    <m/>
    <x v="18"/>
    <x v="18"/>
    <s v="SWW"/>
    <s v="SW ACCESS VIA WEB"/>
    <n v="2025"/>
    <n v="11"/>
    <s v="FIN5030"/>
    <n v="2025"/>
    <s v="November  "/>
    <x v="0"/>
  </r>
  <r>
    <s v="0914"/>
    <s v="ELEAD"/>
    <s v="ELEAD OTHER"/>
    <s v="CALL TRACKING COUNT AS ONE"/>
    <s v="21112"/>
    <s v="4111001"/>
    <s v="N"/>
    <s v="NC"/>
    <n v="0"/>
    <n v="200.93"/>
    <n v="1"/>
    <x v="299"/>
    <x v="275"/>
    <e v="#N/A"/>
    <x v="295"/>
    <s v="US INVOICE"/>
    <x v="316"/>
    <s v="68217974SW61"/>
    <x v="18"/>
    <x v="18"/>
    <s v="SWW"/>
    <s v="SW ACCESS VIA WEB"/>
    <n v="2025"/>
    <n v="11"/>
    <s v="FIN5030"/>
    <n v="2025"/>
    <s v="November  "/>
    <x v="0"/>
  </r>
  <r>
    <s v="0914"/>
    <s v="ELEAD"/>
    <s v="ELEAD OTHER"/>
    <s v="CALL TRACKING COUNT AS ONE"/>
    <s v="21112"/>
    <s v="4111001"/>
    <s v="N"/>
    <s v="MA"/>
    <n v="0"/>
    <n v="299"/>
    <n v="1"/>
    <x v="300"/>
    <x v="276"/>
    <e v="#N/A"/>
    <x v="296"/>
    <s v="US INVOICE"/>
    <x v="317"/>
    <s v="68157703SW04"/>
    <x v="18"/>
    <x v="18"/>
    <s v="SWW"/>
    <s v="SW ACCESS VIA WEB"/>
    <n v="2025"/>
    <n v="11"/>
    <s v="FIN5030"/>
    <n v="2025"/>
    <s v="November  "/>
    <x v="0"/>
  </r>
  <r>
    <s v="0914"/>
    <s v="ELEAD"/>
    <s v="ELEAD OTHER"/>
    <s v="CALL TRACKING COUNT AS ONE"/>
    <s v="21112"/>
    <s v="4111001"/>
    <s v="N"/>
    <s v="PA"/>
    <n v="0"/>
    <n v="299"/>
    <n v="1"/>
    <x v="277"/>
    <x v="256"/>
    <e v="#N/A"/>
    <x v="273"/>
    <s v="US INVOICE"/>
    <x v="318"/>
    <s v="68192959SW27"/>
    <x v="18"/>
    <x v="18"/>
    <s v="SWW"/>
    <s v="SW ACCESS VIA WEB"/>
    <n v="2025"/>
    <n v="11"/>
    <s v="FIN5030"/>
    <n v="2025"/>
    <s v="November  "/>
    <x v="0"/>
  </r>
  <r>
    <s v="0914"/>
    <s v="ELEAD"/>
    <s v="ELEAD OTHER"/>
    <s v="CALL TRACKING COUNT AS ONE"/>
    <s v="21112"/>
    <s v="4111001"/>
    <s v="N"/>
    <s v="MA"/>
    <n v="0"/>
    <n v="350.37"/>
    <n v="1"/>
    <x v="301"/>
    <x v="277"/>
    <e v="#N/A"/>
    <x v="297"/>
    <s v="US INVOICE"/>
    <x v="319"/>
    <s v="68160127SW02"/>
    <x v="18"/>
    <x v="18"/>
    <s v="SWW"/>
    <s v="SW ACCESS VIA WEB"/>
    <n v="2025"/>
    <n v="11"/>
    <s v="FIN5030"/>
    <n v="2025"/>
    <s v="November  "/>
    <x v="0"/>
  </r>
  <r>
    <s v="0914"/>
    <s v="ELEAD"/>
    <s v="ELEAD OTHER"/>
    <s v="CALL TRACKING COUNT AS ONE"/>
    <s v="21112"/>
    <s v="4111001"/>
    <s v="N"/>
    <s v="TN"/>
    <n v="3.1"/>
    <n v="0"/>
    <n v="1"/>
    <x v="302"/>
    <x v="278"/>
    <e v="#N/A"/>
    <x v="298"/>
    <s v="US INVOICE"/>
    <x v="263"/>
    <m/>
    <x v="18"/>
    <x v="18"/>
    <s v="SWW"/>
    <s v="SW ACCESS VIA WEB"/>
    <n v="2025"/>
    <n v="11"/>
    <s v="FIN5030"/>
    <n v="2025"/>
    <s v="November  "/>
    <x v="0"/>
  </r>
  <r>
    <s v="0914"/>
    <s v="ELEAD"/>
    <s v="ELEAD OTHER"/>
    <s v="CALL TRACKING COUNT AS ONE"/>
    <s v="21112"/>
    <s v="4111001"/>
    <s v="N"/>
    <s v="TX"/>
    <n v="0"/>
    <n v="350.37"/>
    <n v="1"/>
    <x v="303"/>
    <x v="279"/>
    <e v="#N/A"/>
    <x v="299"/>
    <s v="US INVOICE"/>
    <x v="320"/>
    <s v="64170801SW01"/>
    <x v="18"/>
    <x v="18"/>
    <s v="SWW"/>
    <s v="SW ACCESS VIA WEB"/>
    <n v="2025"/>
    <n v="11"/>
    <s v="FIN5030"/>
    <n v="2025"/>
    <s v="November  "/>
    <x v="0"/>
  </r>
  <r>
    <s v="0914"/>
    <s v="ELEAD"/>
    <s v="ELEAD OTHER"/>
    <s v="CALL TRACKING COUNT AS ONE"/>
    <s v="21112"/>
    <s v="4111001"/>
    <s v="N"/>
    <s v="NC"/>
    <n v="0"/>
    <n v="599"/>
    <n v="1"/>
    <x v="223"/>
    <x v="212"/>
    <e v="#N/A"/>
    <x v="221"/>
    <s v="US INVOICE"/>
    <x v="321"/>
    <s v="68223304SW02"/>
    <x v="19"/>
    <x v="19"/>
    <s v="SWW"/>
    <s v="SW ACCESS VIA WEB"/>
    <n v="2025"/>
    <n v="11"/>
    <s v="FIN5030"/>
    <n v="2025"/>
    <s v="November  "/>
    <x v="0"/>
  </r>
  <r>
    <s v="0914"/>
    <s v="ELEAD"/>
    <s v="ELEAD OTHER"/>
    <s v="CALL TRACKING COUNT AS ONE"/>
    <s v="21112"/>
    <s v="4111001"/>
    <s v="N"/>
    <s v="NC"/>
    <n v="0"/>
    <n v="599"/>
    <n v="1"/>
    <x v="304"/>
    <x v="280"/>
    <e v="#N/A"/>
    <x v="300"/>
    <s v="US INVOICE"/>
    <x v="322"/>
    <s v="68227237SW02"/>
    <x v="19"/>
    <x v="19"/>
    <s v="SWW"/>
    <s v="SW ACCESS VIA WEB"/>
    <n v="2025"/>
    <n v="11"/>
    <s v="FIN5030"/>
    <n v="2025"/>
    <s v="November  "/>
    <x v="0"/>
  </r>
  <r>
    <s v="0914"/>
    <s v="ELEAD"/>
    <s v="ELEAD OTHER"/>
    <s v="CALL TRACKING COUNT AS ONE"/>
    <s v="21112"/>
    <s v="4111001"/>
    <s v="N"/>
    <s v="PA"/>
    <n v="0"/>
    <n v="599"/>
    <n v="1"/>
    <x v="305"/>
    <x v="281"/>
    <e v="#N/A"/>
    <x v="301"/>
    <s v="US INVOICE"/>
    <x v="323"/>
    <s v="68233442SW01"/>
    <x v="19"/>
    <x v="19"/>
    <s v="SWW"/>
    <s v="SW ACCESS VIA WEB"/>
    <n v="2025"/>
    <n v="11"/>
    <s v="FIN5030"/>
    <n v="2025"/>
    <s v="November  "/>
    <x v="0"/>
  </r>
  <r>
    <s v="0914"/>
    <s v="ELEAD"/>
    <s v="ELEAD OTHER"/>
    <s v="CALL TRACKING COUNT AS ONE"/>
    <s v="21112"/>
    <s v="4111001"/>
    <s v="N"/>
    <s v="MI"/>
    <n v="0"/>
    <n v="599"/>
    <n v="1"/>
    <x v="161"/>
    <x v="152"/>
    <e v="#N/A"/>
    <x v="159"/>
    <s v="US INVOICE"/>
    <x v="324"/>
    <s v="68227988SW28"/>
    <x v="19"/>
    <x v="19"/>
    <s v="SWW"/>
    <s v="SW ACCESS VIA WEB"/>
    <n v="2025"/>
    <n v="11"/>
    <s v="FIN5030"/>
    <n v="2025"/>
    <s v="November  "/>
    <x v="0"/>
  </r>
  <r>
    <s v="0914"/>
    <s v="ELEAD"/>
    <s v="ELEAD OTHER"/>
    <s v="CALL TRACKING COUNT AS ONE"/>
    <s v="21112"/>
    <s v="4111001"/>
    <s v="N"/>
    <s v="NC"/>
    <n v="0"/>
    <n v="599"/>
    <n v="1"/>
    <x v="306"/>
    <x v="282"/>
    <e v="#N/A"/>
    <x v="302"/>
    <s v="US INVOICE"/>
    <x v="325"/>
    <s v="68223304SW01"/>
    <x v="19"/>
    <x v="19"/>
    <s v="SWW"/>
    <s v="SW ACCESS VIA WEB"/>
    <n v="2025"/>
    <n v="11"/>
    <s v="FIN5030"/>
    <n v="2025"/>
    <s v="November  "/>
    <x v="0"/>
  </r>
  <r>
    <s v="0914"/>
    <s v="ELEAD"/>
    <s v="ELEAD OTHER"/>
    <s v="CALL TRACKING COUNT AS ONE"/>
    <s v="21112"/>
    <s v="4111001"/>
    <s v="N"/>
    <s v="FL"/>
    <n v="0"/>
    <n v="599"/>
    <n v="1"/>
    <x v="307"/>
    <x v="283"/>
    <e v="#N/A"/>
    <x v="303"/>
    <s v="US INVOICE"/>
    <x v="326"/>
    <s v="68227988SW34"/>
    <x v="19"/>
    <x v="19"/>
    <s v="SWW"/>
    <s v="SW ACCESS VIA WEB"/>
    <n v="2025"/>
    <n v="11"/>
    <s v="FIN5030"/>
    <n v="2025"/>
    <s v="November  "/>
    <x v="0"/>
  </r>
  <r>
    <s v="0914"/>
    <s v="ELEAD"/>
    <s v="ELEAD OTHER"/>
    <s v="CALL TRACKING COUNT AS ONE"/>
    <s v="21112"/>
    <s v="4111001"/>
    <s v="N"/>
    <s v="MD"/>
    <n v="0"/>
    <n v="599"/>
    <n v="1"/>
    <x v="268"/>
    <x v="248"/>
    <e v="#N/A"/>
    <x v="265"/>
    <s v="US INVOICE"/>
    <x v="327"/>
    <s v="68228477SW30"/>
    <x v="19"/>
    <x v="19"/>
    <s v="SWW"/>
    <s v="SW ACCESS VIA WEB"/>
    <n v="2025"/>
    <n v="11"/>
    <s v="FIN5030"/>
    <n v="2025"/>
    <s v="November  "/>
    <x v="0"/>
  </r>
  <r>
    <s v="0914"/>
    <s v="ELEAD"/>
    <s v="ELEAD OTHER"/>
    <s v="CALL TRACKING COUNT AS ONE"/>
    <s v="21112"/>
    <s v="4111001"/>
    <s v="N"/>
    <s v="NC"/>
    <n v="0"/>
    <n v="599"/>
    <n v="1"/>
    <x v="308"/>
    <x v="284"/>
    <e v="#N/A"/>
    <x v="304"/>
    <s v="US INVOICE"/>
    <x v="328"/>
    <s v="58038028SW32"/>
    <x v="19"/>
    <x v="19"/>
    <s v="SWW"/>
    <s v="SW ACCESS VIA WEB"/>
    <n v="2025"/>
    <n v="11"/>
    <s v="FIN5030"/>
    <n v="2025"/>
    <s v="November  "/>
    <x v="0"/>
  </r>
  <r>
    <s v="0914"/>
    <s v="ELEAD"/>
    <s v="ELEAD OTHER"/>
    <s v="CALL TRACKING COUNT AS ONE"/>
    <s v="21112"/>
    <s v="4111001"/>
    <s v="N"/>
    <s v="SC"/>
    <n v="0"/>
    <n v="599"/>
    <n v="1"/>
    <x v="309"/>
    <x v="65"/>
    <e v="#N/A"/>
    <x v="305"/>
    <s v="US INVOICE"/>
    <x v="329"/>
    <s v="68227664SW23"/>
    <x v="19"/>
    <x v="19"/>
    <s v="SWW"/>
    <s v="SW ACCESS VIA WEB"/>
    <n v="2025"/>
    <n v="11"/>
    <s v="FIN5030"/>
    <n v="2025"/>
    <s v="November  "/>
    <x v="0"/>
  </r>
  <r>
    <s v="0914"/>
    <s v="ELEAD"/>
    <s v="ELEAD OTHER"/>
    <s v="CALL TRACKING COUNT AS ONE"/>
    <s v="21112"/>
    <s v="4111001"/>
    <s v="N"/>
    <s v="FL"/>
    <n v="0"/>
    <n v="599"/>
    <n v="1"/>
    <x v="221"/>
    <x v="210"/>
    <e v="#N/A"/>
    <x v="219"/>
    <s v="US INVOICE"/>
    <x v="330"/>
    <s v="64232304SW01"/>
    <x v="19"/>
    <x v="19"/>
    <s v="SWW"/>
    <s v="SW ACCESS VIA WEB"/>
    <n v="2025"/>
    <n v="11"/>
    <s v="FIN5030"/>
    <n v="2025"/>
    <s v="November  "/>
    <x v="0"/>
  </r>
  <r>
    <s v="0914"/>
    <s v="ELEAD"/>
    <s v="ELEAD OTHER"/>
    <s v="CALL TRACKING COUNT AS ONE"/>
    <s v="21112"/>
    <s v="4111001"/>
    <s v="N"/>
    <s v="FL"/>
    <n v="0"/>
    <n v="599"/>
    <n v="1"/>
    <x v="102"/>
    <x v="94"/>
    <e v="#N/A"/>
    <x v="100"/>
    <s v="US INVOICE"/>
    <x v="331"/>
    <s v="64237900SW01"/>
    <x v="19"/>
    <x v="19"/>
    <s v="SWW"/>
    <s v="SW ACCESS VIA WEB"/>
    <n v="2025"/>
    <n v="11"/>
    <s v="FIN5030"/>
    <n v="2025"/>
    <s v="November  "/>
    <x v="0"/>
  </r>
  <r>
    <s v="0914"/>
    <s v="ELEAD"/>
    <s v="ELEAD OTHER"/>
    <s v="CALL TRACKING COUNT AS ONE"/>
    <s v="21112"/>
    <s v="4111001"/>
    <s v="N"/>
    <s v="NC"/>
    <n v="0"/>
    <n v="599"/>
    <n v="1"/>
    <x v="310"/>
    <x v="285"/>
    <e v="#N/A"/>
    <x v="306"/>
    <s v="US INVOICE"/>
    <x v="332"/>
    <s v="68227237SW01"/>
    <x v="19"/>
    <x v="19"/>
    <s v="SWW"/>
    <s v="SW ACCESS VIA WEB"/>
    <n v="2025"/>
    <n v="11"/>
    <s v="FIN5030"/>
    <n v="2025"/>
    <s v="November  "/>
    <x v="0"/>
  </r>
  <r>
    <s v="0914"/>
    <s v="ELEAD"/>
    <s v="ELEAD OTHER"/>
    <s v="CALL TRACKING COUNT AS ONE"/>
    <s v="21112"/>
    <s v="4111001"/>
    <s v="N"/>
    <s v="NC"/>
    <n v="0"/>
    <n v="599"/>
    <n v="1"/>
    <x v="311"/>
    <x v="286"/>
    <e v="#N/A"/>
    <x v="307"/>
    <s v="US INVOICE"/>
    <x v="333"/>
    <s v="68238929SW01"/>
    <x v="19"/>
    <x v="19"/>
    <s v="SWW"/>
    <s v="SW ACCESS VIA WEB"/>
    <n v="2025"/>
    <n v="11"/>
    <s v="FIN5030"/>
    <n v="2025"/>
    <s v="November  "/>
    <x v="0"/>
  </r>
  <r>
    <s v="0914"/>
    <s v="ELEAD"/>
    <s v="ELEAD OTHER"/>
    <s v="CALL TRACKING COUNT AS ONE"/>
    <s v="21112"/>
    <s v="4111001"/>
    <s v="N"/>
    <s v="TX"/>
    <n v="0"/>
    <n v="599"/>
    <n v="1"/>
    <x v="312"/>
    <x v="287"/>
    <e v="#N/A"/>
    <x v="308"/>
    <s v="US INVOICE"/>
    <x v="334"/>
    <s v="62192211SW01"/>
    <x v="19"/>
    <x v="19"/>
    <s v="SWW"/>
    <s v="SW ACCESS VIA WEB"/>
    <n v="2025"/>
    <n v="11"/>
    <s v="FIN5030"/>
    <n v="2025"/>
    <s v="November  "/>
    <x v="0"/>
  </r>
  <r>
    <s v="0914"/>
    <s v="ELEAD"/>
    <s v="ELEAD OTHER"/>
    <s v="CALL TRACKING COUNT AS ONE"/>
    <s v="21112"/>
    <s v="4111001"/>
    <s v="N"/>
    <s v="IN"/>
    <n v="0"/>
    <n v="599"/>
    <n v="1"/>
    <x v="313"/>
    <x v="288"/>
    <e v="#N/A"/>
    <x v="309"/>
    <s v="US INVOICE"/>
    <x v="335"/>
    <s v="64235251SW06"/>
    <x v="19"/>
    <x v="19"/>
    <s v="SWW"/>
    <s v="SW ACCESS VIA WEB"/>
    <n v="2025"/>
    <n v="11"/>
    <s v="FIN5030"/>
    <n v="2025"/>
    <s v="November  "/>
    <x v="0"/>
  </r>
  <r>
    <s v="0914"/>
    <s v="ELEAD"/>
    <s v="ELEAD OTHER"/>
    <s v="CALL TRACKING COUNT AS ONE"/>
    <s v="21112"/>
    <s v="4111001"/>
    <s v="N"/>
    <s v="IN"/>
    <n v="0"/>
    <n v="599"/>
    <n v="1"/>
    <x v="314"/>
    <x v="289"/>
    <e v="#N/A"/>
    <x v="310"/>
    <s v="US INVOICE"/>
    <x v="336"/>
    <s v="64233160SW03"/>
    <x v="19"/>
    <x v="19"/>
    <s v="SWW"/>
    <s v="SW ACCESS VIA WEB"/>
    <n v="2025"/>
    <n v="11"/>
    <s v="FIN5030"/>
    <n v="2025"/>
    <s v="November  "/>
    <x v="0"/>
  </r>
  <r>
    <s v="0914"/>
    <s v="ELEAD"/>
    <s v="ELEAD OTHER"/>
    <s v="CALL TRACKING COUNT AS ONE"/>
    <s v="21112"/>
    <s v="4111001"/>
    <s v="N"/>
    <s v="NC"/>
    <n v="0"/>
    <n v="599"/>
    <n v="1"/>
    <x v="315"/>
    <x v="290"/>
    <e v="#N/A"/>
    <x v="311"/>
    <s v="US INVOICE"/>
    <x v="337"/>
    <s v="68223304SW04"/>
    <x v="19"/>
    <x v="19"/>
    <s v="SWW"/>
    <s v="SW ACCESS VIA WEB"/>
    <n v="2025"/>
    <n v="11"/>
    <s v="FIN5030"/>
    <n v="2025"/>
    <s v="November  "/>
    <x v="0"/>
  </r>
  <r>
    <s v="0914"/>
    <s v="ELEAD"/>
    <s v="ELEAD OTHER"/>
    <s v="CALL TRACKING COUNT AS ONE"/>
    <s v="21112"/>
    <s v="4111001"/>
    <s v="N"/>
    <s v="MI"/>
    <n v="0"/>
    <n v="599"/>
    <n v="1"/>
    <x v="176"/>
    <x v="166"/>
    <e v="#N/A"/>
    <x v="174"/>
    <s v="US INVOICE"/>
    <x v="338"/>
    <s v="68227988SW24"/>
    <x v="19"/>
    <x v="19"/>
    <s v="SWW"/>
    <s v="SW ACCESS VIA WEB"/>
    <n v="2025"/>
    <n v="11"/>
    <s v="FIN5030"/>
    <n v="2025"/>
    <s v="November  "/>
    <x v="0"/>
  </r>
  <r>
    <s v="0914"/>
    <s v="ELEAD"/>
    <s v="ELEAD OTHER"/>
    <s v="CALL TRACKING COUNT AS ONE"/>
    <s v="21112"/>
    <s v="4111001"/>
    <s v="N"/>
    <s v="NC"/>
    <n v="0"/>
    <n v="599"/>
    <n v="1"/>
    <x v="316"/>
    <x v="291"/>
    <e v="#N/A"/>
    <x v="312"/>
    <s v="US INVOICE"/>
    <x v="339"/>
    <s v="68223304SW03"/>
    <x v="19"/>
    <x v="19"/>
    <s v="SWW"/>
    <s v="SW ACCESS VIA WEB"/>
    <n v="2025"/>
    <n v="11"/>
    <s v="FIN5030"/>
    <n v="2025"/>
    <s v="November  "/>
    <x v="0"/>
  </r>
  <r>
    <s v="0914"/>
    <s v="ELEAD"/>
    <s v="ELEAD OTHER"/>
    <s v="CALL TRACKING COUNT AS ONE"/>
    <s v="21112"/>
    <s v="4111001"/>
    <s v="N"/>
    <s v="VA"/>
    <n v="0"/>
    <n v="38.65"/>
    <n v="2"/>
    <x v="99"/>
    <x v="91"/>
    <e v="#N/A"/>
    <x v="97"/>
    <s v="US INVOICE"/>
    <x v="340"/>
    <s v="68244443SW01"/>
    <x v="19"/>
    <x v="19"/>
    <s v="SWW"/>
    <s v="SW ACCESS VIA WEB"/>
    <n v="2025"/>
    <n v="11"/>
    <s v="FIN5030"/>
    <n v="2025"/>
    <s v="November  "/>
    <x v="0"/>
  </r>
  <r>
    <s v="0914"/>
    <s v="ELEAD"/>
    <s v="ELEAD OTHER"/>
    <s v="CALL TRACKING COUNT AS ONE"/>
    <s v="21112"/>
    <s v="4111001"/>
    <s v="N"/>
    <s v="CA"/>
    <n v="0"/>
    <n v="599"/>
    <n v="1"/>
    <x v="317"/>
    <x v="292"/>
    <e v="#N/A"/>
    <x v="313"/>
    <s v="US INVOICE"/>
    <x v="341"/>
    <s v="62192038SW01"/>
    <x v="19"/>
    <x v="19"/>
    <s v="SWW"/>
    <s v="SW ACCESS VIA WEB"/>
    <n v="2025"/>
    <n v="11"/>
    <s v="FIN5030"/>
    <n v="2025"/>
    <s v="November  "/>
    <x v="0"/>
  </r>
  <r>
    <s v="0914"/>
    <s v="ELEAD"/>
    <s v="ELEAD OTHER"/>
    <s v="CALL TRACKING COUNT AS ONE"/>
    <s v="21112"/>
    <s v="4111001"/>
    <s v="N"/>
    <s v="NC"/>
    <n v="0"/>
    <n v="599"/>
    <n v="1"/>
    <x v="318"/>
    <x v="293"/>
    <e v="#N/A"/>
    <x v="314"/>
    <s v="US INVOICE"/>
    <x v="342"/>
    <s v="68223382SW01"/>
    <x v="19"/>
    <x v="19"/>
    <s v="SWW"/>
    <s v="SW ACCESS VIA WEB"/>
    <n v="2025"/>
    <n v="11"/>
    <s v="FIN5030"/>
    <n v="2025"/>
    <s v="November  "/>
    <x v="0"/>
  </r>
  <r>
    <s v="0914"/>
    <s v="ELEAD"/>
    <s v="ELEAD OTHER"/>
    <s v="CALL TRACKING COUNT AS ONE"/>
    <s v="21112"/>
    <s v="4111001"/>
    <s v="N"/>
    <s v="NC"/>
    <n v="0"/>
    <n v="599"/>
    <n v="1"/>
    <x v="173"/>
    <x v="163"/>
    <e v="#N/A"/>
    <x v="171"/>
    <s v="US INVOICE"/>
    <x v="343"/>
    <s v="58038454SW22"/>
    <x v="19"/>
    <x v="19"/>
    <s v="SWW"/>
    <s v="SW ACCESS VIA WEB"/>
    <n v="2025"/>
    <n v="11"/>
    <s v="FIN5030"/>
    <n v="2025"/>
    <s v="November  "/>
    <x v="0"/>
  </r>
  <r>
    <s v="0914"/>
    <s v="ELEAD"/>
    <s v="ELEAD OTHER"/>
    <s v="CALL TRACKING COUNT AS ONE"/>
    <s v="21112"/>
    <s v="4111001"/>
    <s v="N"/>
    <s v="NC"/>
    <n v="0"/>
    <n v="599"/>
    <n v="1"/>
    <x v="319"/>
    <x v="294"/>
    <e v="#N/A"/>
    <x v="315"/>
    <s v="US INVOICE"/>
    <x v="344"/>
    <s v="58039547SW05"/>
    <x v="19"/>
    <x v="19"/>
    <s v="SWW"/>
    <s v="SW ACCESS VIA WEB"/>
    <n v="2025"/>
    <n v="11"/>
    <s v="FIN5030"/>
    <n v="2025"/>
    <s v="November  "/>
    <x v="0"/>
  </r>
  <r>
    <s v="0914"/>
    <s v="ELEAD"/>
    <s v="ELEAD OTHER"/>
    <s v="CALL TRACKING COUNT AS ONE"/>
    <s v="21112"/>
    <s v="4111001"/>
    <s v="N"/>
    <s v="TX"/>
    <n v="0"/>
    <n v="599"/>
    <n v="1"/>
    <x v="320"/>
    <x v="295"/>
    <e v="#N/A"/>
    <x v="316"/>
    <s v="US INVOICE"/>
    <x v="345"/>
    <s v="62189519SW01"/>
    <x v="19"/>
    <x v="19"/>
    <s v="SWW"/>
    <s v="SW ACCESS VIA WEB"/>
    <n v="2025"/>
    <n v="11"/>
    <s v="FIN5030"/>
    <n v="2025"/>
    <s v="November  "/>
    <x v="0"/>
  </r>
  <r>
    <s v="0914"/>
    <s v="ELEAD"/>
    <s v="ELEAD OTHER"/>
    <s v="CALL TRACKING COUNT AS ONE"/>
    <s v="21112"/>
    <s v="4111001"/>
    <s v="N"/>
    <s v="PA"/>
    <n v="0"/>
    <n v="599"/>
    <n v="1"/>
    <x v="305"/>
    <x v="281"/>
    <e v="#N/A"/>
    <x v="301"/>
    <s v="US INVOICE"/>
    <x v="346"/>
    <s v="68233442SW02"/>
    <x v="19"/>
    <x v="19"/>
    <s v="SWW"/>
    <s v="SW ACCESS VIA WEB"/>
    <n v="2025"/>
    <n v="11"/>
    <s v="FIN5030"/>
    <n v="2025"/>
    <s v="November  "/>
    <x v="0"/>
  </r>
  <r>
    <s v="0914"/>
    <s v="ELEAD"/>
    <s v="ELEAD OTHER"/>
    <s v="CALL TRACKING COUNT AS ONE"/>
    <s v="21112"/>
    <s v="4111001"/>
    <s v="N"/>
    <s v="OH"/>
    <n v="0"/>
    <n v="599"/>
    <n v="1"/>
    <x v="321"/>
    <x v="296"/>
    <e v="#N/A"/>
    <x v="317"/>
    <s v="US INVOICE"/>
    <x v="347"/>
    <s v="68234112SW16"/>
    <x v="19"/>
    <x v="19"/>
    <s v="SWW"/>
    <s v="SW ACCESS VIA WEB"/>
    <n v="2025"/>
    <n v="11"/>
    <s v="FIN5030"/>
    <n v="2025"/>
    <s v="November  "/>
    <x v="0"/>
  </r>
  <r>
    <s v="0914"/>
    <s v="ELEAD"/>
    <s v="ELEAD OTHER"/>
    <s v="CALL TRACKING COUNT AS ONE"/>
    <s v="21112"/>
    <s v="4111001"/>
    <s v="N"/>
    <s v="TX"/>
    <n v="0"/>
    <n v="599"/>
    <n v="1"/>
    <x v="322"/>
    <x v="65"/>
    <e v="#N/A"/>
    <x v="318"/>
    <s v="US INVOICE"/>
    <x v="348"/>
    <s v="62183766SW11"/>
    <x v="19"/>
    <x v="19"/>
    <s v="SWW"/>
    <s v="SW ACCESS VIA WEB"/>
    <n v="2025"/>
    <n v="11"/>
    <s v="FIN5030"/>
    <n v="2025"/>
    <s v="November  "/>
    <x v="0"/>
  </r>
  <r>
    <s v="0914"/>
    <s v="ELEAD"/>
    <s v="ELEAD OTHER"/>
    <s v="CALL TRACKING COUNT AS ONE"/>
    <s v="21112"/>
    <s v="4111001"/>
    <s v="N"/>
    <s v="VA"/>
    <n v="0"/>
    <n v="0"/>
    <n v="2"/>
    <x v="99"/>
    <x v="91"/>
    <e v="#N/A"/>
    <x v="97"/>
    <s v="US INVOICE"/>
    <x v="102"/>
    <s v="68244443SW01"/>
    <x v="19"/>
    <x v="19"/>
    <s v="SWW"/>
    <s v="SW ACCESS VIA WEB"/>
    <n v="2025"/>
    <n v="11"/>
    <s v="FIN5030"/>
    <n v="2025"/>
    <s v="November  "/>
    <x v="0"/>
  </r>
  <r>
    <s v="0914"/>
    <s v="ELEAD"/>
    <s v="ELEAD OTHER"/>
    <s v="CALL TRACKING COUNT AS ONE"/>
    <s v="21112"/>
    <s v="4111001"/>
    <s v="N"/>
    <s v="MI"/>
    <n v="386.49"/>
    <n v="0"/>
    <n v="1"/>
    <x v="161"/>
    <x v="152"/>
    <e v="#N/A"/>
    <x v="159"/>
    <s v="US INVOICE"/>
    <x v="263"/>
    <m/>
    <x v="20"/>
    <x v="20"/>
    <s v="SWW"/>
    <s v="SW ACCESS VIA WEB"/>
    <n v="2025"/>
    <n v="11"/>
    <s v="FIN5030"/>
    <n v="2025"/>
    <s v="November  "/>
    <x v="0"/>
  </r>
  <r>
    <s v="0914"/>
    <s v="ELEAD"/>
    <s v="ELEAD OTHER"/>
    <s v="CALL TRACKING COUNT AS ONE"/>
    <s v="21112"/>
    <s v="4111001"/>
    <s v="N"/>
    <s v="FL"/>
    <n v="0"/>
    <n v="528.64"/>
    <n v="1"/>
    <x v="323"/>
    <x v="297"/>
    <e v="#N/A"/>
    <x v="319"/>
    <s v="US INVOICE"/>
    <x v="349"/>
    <s v="64200760SW01"/>
    <x v="20"/>
    <x v="20"/>
    <s v="SWW"/>
    <s v="SW ACCESS VIA WEB"/>
    <n v="2025"/>
    <n v="11"/>
    <s v="FIN5030"/>
    <n v="2025"/>
    <s v="November  "/>
    <x v="0"/>
  </r>
  <r>
    <s v="0914"/>
    <s v="ELEAD"/>
    <s v="ELEAD OTHER"/>
    <s v="CALL TRACKING COUNT AS ONE"/>
    <s v="21112"/>
    <s v="4111001"/>
    <s v="N"/>
    <s v="GA"/>
    <n v="0"/>
    <n v="350.3"/>
    <n v="1"/>
    <x v="324"/>
    <x v="298"/>
    <e v="#N/A"/>
    <x v="320"/>
    <s v="US INVOICE"/>
    <x v="350"/>
    <s v="68178106SW04"/>
    <x v="20"/>
    <x v="20"/>
    <s v="SWW"/>
    <s v="SW ACCESS VIA WEB"/>
    <n v="2025"/>
    <n v="11"/>
    <s v="FIN5030"/>
    <n v="2025"/>
    <s v="November  "/>
    <x v="0"/>
  </r>
  <r>
    <s v="0914"/>
    <s v="ELEAD"/>
    <s v="ELEAD OTHER"/>
    <s v="CALL TRACKING COUNT AS ONE"/>
    <s v="21112"/>
    <s v="4111001"/>
    <s v="N"/>
    <s v="TX"/>
    <n v="0"/>
    <n v="499"/>
    <n v="1"/>
    <x v="218"/>
    <x v="207"/>
    <e v="#N/A"/>
    <x v="216"/>
    <s v="US INVOICE"/>
    <x v="351"/>
    <s v="64194973SW02"/>
    <x v="20"/>
    <x v="20"/>
    <s v="SWW"/>
    <s v="SW ACCESS VIA WEB"/>
    <n v="2025"/>
    <n v="11"/>
    <s v="FIN5030"/>
    <n v="2025"/>
    <s v="November  "/>
    <x v="0"/>
  </r>
  <r>
    <s v="0914"/>
    <s v="ELEAD"/>
    <s v="ELEAD OTHER"/>
    <s v="CALL TRACKING COUNT AS ONE"/>
    <s v="21112"/>
    <s v="4111001"/>
    <s v="N"/>
    <s v="IL"/>
    <n v="0"/>
    <n v="499"/>
    <n v="1"/>
    <x v="325"/>
    <x v="299"/>
    <e v="#N/A"/>
    <x v="321"/>
    <s v="US INVOICE"/>
    <x v="352"/>
    <s v="38115113SW01"/>
    <x v="20"/>
    <x v="20"/>
    <s v="SWW"/>
    <s v="SW ACCESS VIA WEB"/>
    <n v="2025"/>
    <n v="11"/>
    <s v="FIN5030"/>
    <n v="2025"/>
    <s v="November  "/>
    <x v="0"/>
  </r>
  <r>
    <s v="0914"/>
    <s v="ELEAD"/>
    <s v="ELEAD OTHER"/>
    <s v="CALL TRACKING COUNT AS ONE"/>
    <s v="21112"/>
    <s v="4111001"/>
    <s v="N"/>
    <s v="NC"/>
    <n v="0"/>
    <n v="499"/>
    <n v="1"/>
    <x v="326"/>
    <x v="300"/>
    <e v="#N/A"/>
    <x v="322"/>
    <s v="US INVOICE"/>
    <x v="353"/>
    <s v="68217307SW01"/>
    <x v="20"/>
    <x v="20"/>
    <s v="SWW"/>
    <s v="SW ACCESS VIA WEB"/>
    <n v="2025"/>
    <n v="11"/>
    <s v="FIN5030"/>
    <n v="2025"/>
    <s v="November  "/>
    <x v="0"/>
  </r>
  <r>
    <s v="0914"/>
    <s v="ELEAD"/>
    <s v="ELEAD OTHER"/>
    <s v="CALL TRACKING COUNT AS ONE"/>
    <s v="21112"/>
    <s v="4111001"/>
    <s v="N"/>
    <s v="NC"/>
    <n v="0"/>
    <n v="528.64"/>
    <n v="1"/>
    <x v="327"/>
    <x v="301"/>
    <e v="#N/A"/>
    <x v="323"/>
    <s v="US INVOICE"/>
    <x v="354"/>
    <s v="68217307SW04"/>
    <x v="20"/>
    <x v="20"/>
    <s v="SWW"/>
    <s v="SW ACCESS VIA WEB"/>
    <n v="2025"/>
    <n v="11"/>
    <s v="FIN5030"/>
    <n v="2025"/>
    <s v="November  "/>
    <x v="0"/>
  </r>
  <r>
    <s v="0914"/>
    <s v="ELEAD"/>
    <s v="ELEAD OTHER"/>
    <s v="CALL TRACKING COUNT AS ONE"/>
    <s v="21112"/>
    <s v="4111001"/>
    <s v="N"/>
    <s v="NC"/>
    <n v="0"/>
    <n v="499"/>
    <n v="1"/>
    <x v="328"/>
    <x v="302"/>
    <e v="#N/A"/>
    <x v="324"/>
    <s v="US INVOICE"/>
    <x v="355"/>
    <s v="68217307SW09"/>
    <x v="20"/>
    <x v="20"/>
    <s v="SWW"/>
    <s v="SW ACCESS VIA WEB"/>
    <n v="2025"/>
    <n v="11"/>
    <s v="FIN5030"/>
    <n v="2025"/>
    <s v="November  "/>
    <x v="0"/>
  </r>
  <r>
    <s v="0914"/>
    <s v="ELEAD"/>
    <s v="ELEAD OTHER"/>
    <s v="CALL TRACKING COUNT AS ONE"/>
    <s v="21112"/>
    <s v="4111001"/>
    <s v="N"/>
    <s v="NC"/>
    <n v="0"/>
    <n v="499"/>
    <n v="1"/>
    <x v="329"/>
    <x v="303"/>
    <e v="#N/A"/>
    <x v="325"/>
    <s v="US INVOICE"/>
    <x v="356"/>
    <s v="68216194SW01"/>
    <x v="20"/>
    <x v="20"/>
    <s v="SWW"/>
    <s v="SW ACCESS VIA WEB"/>
    <n v="2025"/>
    <n v="11"/>
    <s v="FIN5030"/>
    <n v="2025"/>
    <s v="November  "/>
    <x v="0"/>
  </r>
  <r>
    <s v="0914"/>
    <s v="ELEAD"/>
    <s v="ELEAD OTHER"/>
    <s v="CALL TRACKING COUNT AS ONE"/>
    <s v="21112"/>
    <s v="4111001"/>
    <s v="N"/>
    <s v="NC"/>
    <n v="0"/>
    <n v="499"/>
    <n v="1"/>
    <x v="330"/>
    <x v="304"/>
    <e v="#N/A"/>
    <x v="326"/>
    <s v="US INVOICE"/>
    <x v="357"/>
    <s v="68217522SW12"/>
    <x v="20"/>
    <x v="20"/>
    <s v="SWW"/>
    <s v="SW ACCESS VIA WEB"/>
    <n v="2025"/>
    <n v="11"/>
    <s v="FIN5030"/>
    <n v="2025"/>
    <s v="November  "/>
    <x v="0"/>
  </r>
  <r>
    <s v="0914"/>
    <s v="ELEAD"/>
    <s v="ELEAD OTHER"/>
    <s v="CALL TRACKING COUNT AS ONE"/>
    <s v="21112"/>
    <s v="4111001"/>
    <s v="N"/>
    <s v="IL"/>
    <n v="0"/>
    <n v="528.64"/>
    <n v="1"/>
    <x v="331"/>
    <x v="305"/>
    <e v="#N/A"/>
    <x v="327"/>
    <s v="US INVOICE"/>
    <x v="358"/>
    <s v="38115113SW03"/>
    <x v="20"/>
    <x v="20"/>
    <s v="SWW"/>
    <s v="SW ACCESS VIA WEB"/>
    <n v="2025"/>
    <n v="11"/>
    <s v="FIN5030"/>
    <n v="2025"/>
    <s v="November  "/>
    <x v="0"/>
  </r>
  <r>
    <s v="0914"/>
    <s v="ELEAD"/>
    <s v="ELEAD OTHER"/>
    <s v="CALL TRACKING COUNT AS ONE"/>
    <s v="21112"/>
    <s v="4111001"/>
    <s v="N"/>
    <s v="NC"/>
    <n v="0"/>
    <n v="528.64"/>
    <n v="1"/>
    <x v="332"/>
    <x v="306"/>
    <e v="#N/A"/>
    <x v="328"/>
    <s v="US INVOICE"/>
    <x v="359"/>
    <s v="68217307SW03"/>
    <x v="20"/>
    <x v="20"/>
    <s v="SWW"/>
    <s v="SW ACCESS VIA WEB"/>
    <n v="2025"/>
    <n v="11"/>
    <s v="FIN5030"/>
    <n v="2025"/>
    <s v="November  "/>
    <x v="0"/>
  </r>
  <r>
    <s v="0914"/>
    <s v="ELEAD"/>
    <s v="ELEAD OTHER"/>
    <s v="CALL TRACKING COUNT AS ONE"/>
    <s v="21112"/>
    <s v="4111001"/>
    <s v="N"/>
    <s v="CT"/>
    <n v="0"/>
    <n v="499"/>
    <n v="1"/>
    <x v="333"/>
    <x v="307"/>
    <e v="#N/A"/>
    <x v="329"/>
    <s v="US INVOICE"/>
    <x v="360"/>
    <s v="68200338SW01"/>
    <x v="20"/>
    <x v="20"/>
    <s v="SWW"/>
    <s v="SW ACCESS VIA WEB"/>
    <n v="2025"/>
    <n v="11"/>
    <s v="FIN5030"/>
    <n v="2025"/>
    <s v="November  "/>
    <x v="0"/>
  </r>
  <r>
    <s v="0914"/>
    <s v="ELEAD"/>
    <s v="ELEAD OTHER"/>
    <s v="CALL TRACKING COUNT AS ONE"/>
    <s v="21112"/>
    <s v="4111001"/>
    <s v="N"/>
    <s v="FL"/>
    <n v="0"/>
    <n v="528.64"/>
    <n v="1"/>
    <x v="334"/>
    <x v="308"/>
    <e v="#N/A"/>
    <x v="330"/>
    <s v="US INVOICE"/>
    <x v="361"/>
    <s v="64200760SW02"/>
    <x v="20"/>
    <x v="20"/>
    <s v="SWW"/>
    <s v="SW ACCESS VIA WEB"/>
    <n v="2025"/>
    <n v="11"/>
    <s v="FIN5030"/>
    <n v="2025"/>
    <s v="November  "/>
    <x v="0"/>
  </r>
  <r>
    <s v="0914"/>
    <s v="ELEAD"/>
    <s v="ELEAD OTHER"/>
    <s v="CALL TRACKING COUNT AS ONE"/>
    <s v="21112"/>
    <s v="4111001"/>
    <s v="N"/>
    <s v="NJ"/>
    <n v="0"/>
    <n v="499"/>
    <n v="1"/>
    <x v="335"/>
    <x v="309"/>
    <e v="#N/A"/>
    <x v="331"/>
    <s v="US INVOICE"/>
    <x v="362"/>
    <s v="68216120SW01"/>
    <x v="20"/>
    <x v="20"/>
    <s v="SWW"/>
    <s v="SW ACCESS VIA WEB"/>
    <n v="2025"/>
    <n v="11"/>
    <s v="FIN5030"/>
    <n v="2025"/>
    <s v="November  "/>
    <x v="0"/>
  </r>
  <r>
    <s v="0914"/>
    <s v="ELEAD"/>
    <s v="ELEAD OTHER"/>
    <s v="CALL TRACKING COUNT AS ONE"/>
    <s v="21112"/>
    <s v="4111001"/>
    <s v="N"/>
    <s v="NC"/>
    <n v="0"/>
    <n v="499"/>
    <n v="1"/>
    <x v="336"/>
    <x v="310"/>
    <e v="#N/A"/>
    <x v="332"/>
    <s v="US INVOICE"/>
    <x v="363"/>
    <s v="68217307SW02"/>
    <x v="20"/>
    <x v="20"/>
    <s v="SWW"/>
    <s v="SW ACCESS VIA WEB"/>
    <n v="2025"/>
    <n v="11"/>
    <s v="FIN5030"/>
    <n v="2025"/>
    <s v="November  "/>
    <x v="0"/>
  </r>
  <r>
    <s v="0914"/>
    <s v="ELEAD"/>
    <s v="ELEAD OTHER"/>
    <s v="CALL TRACKING COUNT AS ONE"/>
    <s v="21112"/>
    <s v="4111001"/>
    <s v="N"/>
    <s v="NC"/>
    <n v="0"/>
    <n v="528.64"/>
    <n v="1"/>
    <x v="337"/>
    <x v="311"/>
    <e v="#N/A"/>
    <x v="333"/>
    <s v="US INVOICE"/>
    <x v="364"/>
    <s v="68217307SW05"/>
    <x v="20"/>
    <x v="20"/>
    <s v="SWW"/>
    <s v="SW ACCESS VIA WEB"/>
    <n v="2025"/>
    <n v="11"/>
    <s v="FIN5030"/>
    <n v="2025"/>
    <s v="November  "/>
    <x v="0"/>
  </r>
  <r>
    <s v="0914"/>
    <s v="ELEAD"/>
    <s v="ELEAD OTHER"/>
    <s v="CALL TRACKING COUNT AS ONE"/>
    <s v="21112"/>
    <s v="4111001"/>
    <s v="N"/>
    <s v="NC"/>
    <n v="0"/>
    <n v="499"/>
    <n v="1"/>
    <x v="338"/>
    <x v="312"/>
    <e v="#N/A"/>
    <x v="334"/>
    <s v="US INVOICE"/>
    <x v="365"/>
    <s v="68217307SW07"/>
    <x v="20"/>
    <x v="20"/>
    <s v="SWW"/>
    <s v="SW ACCESS VIA WEB"/>
    <n v="2025"/>
    <n v="11"/>
    <s v="FIN5030"/>
    <n v="2025"/>
    <s v="November  "/>
    <x v="0"/>
  </r>
  <r>
    <s v="0914"/>
    <s v="ELEAD"/>
    <s v="ELEAD OTHER"/>
    <s v="CALL TRACKING COUNT AS ONE"/>
    <s v="21112"/>
    <s v="4111001"/>
    <s v="N"/>
    <s v="NC"/>
    <n v="0"/>
    <n v="499"/>
    <n v="1"/>
    <x v="339"/>
    <x v="313"/>
    <e v="#N/A"/>
    <x v="335"/>
    <s v="US INVOICE"/>
    <x v="366"/>
    <s v="68217307SW10"/>
    <x v="20"/>
    <x v="20"/>
    <s v="SWW"/>
    <s v="SW ACCESS VIA WEB"/>
    <n v="2025"/>
    <n v="11"/>
    <s v="FIN5030"/>
    <n v="2025"/>
    <s v="November  "/>
    <x v="0"/>
  </r>
  <r>
    <s v="0914"/>
    <s v="ELEAD"/>
    <s v="ELEAD OTHER"/>
    <s v="CALL TRACKING COUNT AS ONE"/>
    <s v="21112"/>
    <s v="4111001"/>
    <s v="N"/>
    <s v="NC"/>
    <n v="0"/>
    <n v="541.41999999999996"/>
    <n v="1"/>
    <x v="340"/>
    <x v="314"/>
    <e v="#N/A"/>
    <x v="336"/>
    <s v="US INVOICE"/>
    <x v="367"/>
    <s v="68213851SW15"/>
    <x v="20"/>
    <x v="20"/>
    <s v="SWW"/>
    <s v="SW ACCESS VIA WEB"/>
    <n v="2025"/>
    <n v="11"/>
    <s v="FIN5030"/>
    <n v="2025"/>
    <s v="November  "/>
    <x v="0"/>
  </r>
  <r>
    <s v="0914"/>
    <s v="ELEAD"/>
    <s v="ELEAD OTHER"/>
    <s v="CALL TRACKING COUNT AS ONE"/>
    <s v="21112"/>
    <s v="4111001"/>
    <s v="N"/>
    <s v="CA"/>
    <n v="0"/>
    <n v="499"/>
    <n v="1"/>
    <x v="341"/>
    <x v="65"/>
    <e v="#N/A"/>
    <x v="337"/>
    <s v="US INVOICE"/>
    <x v="368"/>
    <s v="62158161SW11"/>
    <x v="20"/>
    <x v="20"/>
    <s v="SWW"/>
    <s v="SW ACCESS VIA WEB"/>
    <n v="2025"/>
    <n v="11"/>
    <s v="FIN5030"/>
    <n v="2025"/>
    <s v="November  "/>
    <x v="0"/>
  </r>
  <r>
    <s v="0914"/>
    <s v="ELEAD"/>
    <s v="ELEAD OTHER"/>
    <s v="CALL TRACKING COUNT AS ONE"/>
    <s v="21112"/>
    <s v="4111001"/>
    <s v="N"/>
    <s v="NC"/>
    <n v="0"/>
    <n v="499"/>
    <n v="1"/>
    <x v="342"/>
    <x v="315"/>
    <e v="#N/A"/>
    <x v="338"/>
    <s v="US INVOICE"/>
    <x v="369"/>
    <s v="68217307SW08"/>
    <x v="20"/>
    <x v="20"/>
    <s v="SWW"/>
    <s v="SW ACCESS VIA WEB"/>
    <n v="2025"/>
    <n v="11"/>
    <s v="FIN5030"/>
    <n v="2025"/>
    <s v="November  "/>
    <x v="0"/>
  </r>
  <r>
    <s v="0914"/>
    <s v="ELEAD"/>
    <s v="ELEAD OTHER"/>
    <s v="CALL TRACKING COUNT AS ONE"/>
    <s v="21112"/>
    <s v="4111001"/>
    <s v="N"/>
    <s v="TX"/>
    <n v="0"/>
    <n v="294.41000000000003"/>
    <n v="1"/>
    <x v="343"/>
    <x v="316"/>
    <e v="#N/A"/>
    <x v="339"/>
    <s v="US INVOICE"/>
    <x v="370"/>
    <s v="64185774SW01"/>
    <x v="20"/>
    <x v="20"/>
    <s v="SWW"/>
    <s v="SW ACCESS VIA WEB"/>
    <n v="2025"/>
    <n v="11"/>
    <s v="FIN5030"/>
    <n v="2025"/>
    <s v="November  "/>
    <x v="0"/>
  </r>
  <r>
    <s v="0914"/>
    <s v="ELEAD"/>
    <s v="ELEAD OTHER"/>
    <s v="CALL TRACKING COUNT AS ONE"/>
    <s v="21112"/>
    <s v="4111001"/>
    <s v="N"/>
    <s v="NJ"/>
    <n v="0"/>
    <n v="499"/>
    <n v="1"/>
    <x v="344"/>
    <x v="317"/>
    <e v="#N/A"/>
    <x v="340"/>
    <s v="US INVOICE"/>
    <x v="371"/>
    <s v="68214515SW04"/>
    <x v="20"/>
    <x v="20"/>
    <s v="SWW"/>
    <s v="SW ACCESS VIA WEB"/>
    <n v="2025"/>
    <n v="11"/>
    <s v="FIN5030"/>
    <n v="2025"/>
    <s v="November  "/>
    <x v="0"/>
  </r>
  <r>
    <s v="0914"/>
    <s v="ELEAD"/>
    <s v="ELEAD OTHER"/>
    <s v="CALL TRACKING COUNT AS ONE"/>
    <s v="21112"/>
    <s v="4111001"/>
    <s v="N"/>
    <s v="NC"/>
    <n v="0"/>
    <n v="584.73"/>
    <n v="1"/>
    <x v="345"/>
    <x v="318"/>
    <e v="#N/A"/>
    <x v="341"/>
    <s v="US INVOICE"/>
    <x v="372"/>
    <s v="68171923SW01"/>
    <x v="20"/>
    <x v="20"/>
    <s v="SWW"/>
    <s v="SW ACCESS VIA WEB"/>
    <n v="2025"/>
    <n v="11"/>
    <s v="FIN5030"/>
    <n v="2025"/>
    <s v="November  "/>
    <x v="0"/>
  </r>
  <r>
    <s v="0914"/>
    <s v="ELEAD"/>
    <s v="ELEAD OTHER"/>
    <s v="CALL TRACKING COUNT AS ONE"/>
    <s v="21112"/>
    <s v="4111001"/>
    <s v="N"/>
    <s v="VA"/>
    <n v="0"/>
    <n v="499"/>
    <n v="1"/>
    <x v="236"/>
    <x v="224"/>
    <e v="#N/A"/>
    <x v="234"/>
    <s v="US INVOICE"/>
    <x v="373"/>
    <s v="68192220SW51"/>
    <x v="20"/>
    <x v="20"/>
    <s v="SWW"/>
    <s v="SW ACCESS VIA WEB"/>
    <n v="2025"/>
    <n v="11"/>
    <s v="FIN5030"/>
    <n v="2025"/>
    <s v="November  "/>
    <x v="0"/>
  </r>
  <r>
    <s v="0914"/>
    <s v="ELEAD"/>
    <s v="ELEAD OTHER"/>
    <s v="CALL TRACKING COUNT AS ONE"/>
    <s v="21112"/>
    <s v="4111001"/>
    <s v="N"/>
    <s v="VA"/>
    <n v="0"/>
    <n v="499"/>
    <n v="1"/>
    <x v="236"/>
    <x v="224"/>
    <e v="#N/A"/>
    <x v="234"/>
    <s v="US INVOICE"/>
    <x v="374"/>
    <s v="68206186SW01"/>
    <x v="20"/>
    <x v="20"/>
    <s v="SWW"/>
    <s v="SW ACCESS VIA WEB"/>
    <n v="2025"/>
    <n v="11"/>
    <s v="FIN5030"/>
    <n v="2025"/>
    <s v="November  "/>
    <x v="0"/>
  </r>
  <r>
    <s v="0914"/>
    <s v="ELEAD"/>
    <s v="ELEAD OTHER"/>
    <s v="CALL TRACKING COUNT AS ONE"/>
    <s v="21112"/>
    <s v="4111001"/>
    <s v="N"/>
    <s v="NC"/>
    <n v="0"/>
    <n v="499"/>
    <n v="1"/>
    <x v="346"/>
    <x v="319"/>
    <e v="#N/A"/>
    <x v="342"/>
    <s v="US INVOICE"/>
    <x v="375"/>
    <s v="68217307SW06"/>
    <x v="20"/>
    <x v="20"/>
    <s v="SWW"/>
    <s v="SW ACCESS VIA WEB"/>
    <n v="2025"/>
    <n v="11"/>
    <s v="FIN5030"/>
    <n v="2025"/>
    <s v="November  "/>
    <x v="0"/>
  </r>
  <r>
    <s v="0914"/>
    <s v="ELEAD"/>
    <s v="ELEAD OTHER"/>
    <s v="CALL TRACKING COUNT AS ONE"/>
    <s v="21112"/>
    <s v="4111001"/>
    <s v="N"/>
    <s v="PA"/>
    <n v="0"/>
    <n v="499"/>
    <n v="1"/>
    <x v="347"/>
    <x v="320"/>
    <e v="#N/A"/>
    <x v="343"/>
    <s v="US INVOICE"/>
    <x v="376"/>
    <s v="68185848SW01"/>
    <x v="20"/>
    <x v="20"/>
    <s v="SWW"/>
    <s v="SW ACCESS VIA WEB"/>
    <n v="2025"/>
    <n v="11"/>
    <s v="FIN5030"/>
    <n v="2025"/>
    <s v="November  "/>
    <x v="0"/>
  </r>
  <r>
    <s v="0914"/>
    <s v="ELEAD"/>
    <s v="ELEAD OTHER"/>
    <s v="CALL TRACKING COUNT AS ONE"/>
    <s v="21112"/>
    <s v="4111001"/>
    <s v="N"/>
    <s v="VA"/>
    <n v="0"/>
    <n v="499"/>
    <n v="1"/>
    <x v="348"/>
    <x v="321"/>
    <e v="#N/A"/>
    <x v="344"/>
    <s v="US INVOICE"/>
    <x v="377"/>
    <s v="68192220SW30"/>
    <x v="20"/>
    <x v="20"/>
    <s v="SWW"/>
    <s v="SW ACCESS VIA WEB"/>
    <n v="2025"/>
    <n v="11"/>
    <s v="FIN5030"/>
    <n v="2025"/>
    <s v="November  "/>
    <x v="0"/>
  </r>
  <r>
    <s v="0914"/>
    <s v="ELEAD"/>
    <s v="ELEAD OTHER"/>
    <s v="CALL TRACKING COUNT AS ONE"/>
    <s v="21112"/>
    <s v="4111001"/>
    <s v="N"/>
    <s v="VA"/>
    <n v="0"/>
    <n v="499"/>
    <n v="1"/>
    <x v="349"/>
    <x v="322"/>
    <e v="#N/A"/>
    <x v="345"/>
    <s v="US INVOICE"/>
    <x v="378"/>
    <s v="68192235SW07"/>
    <x v="20"/>
    <x v="20"/>
    <s v="SWW"/>
    <s v="SW ACCESS VIA WEB"/>
    <n v="2025"/>
    <n v="11"/>
    <s v="FIN5030"/>
    <n v="2025"/>
    <s v="November  "/>
    <x v="0"/>
  </r>
  <r>
    <s v="0914"/>
    <s v="ELEAD"/>
    <s v="ELEAD OTHER"/>
    <s v="CALL TRACKING COUNT AS ONE"/>
    <s v="21112"/>
    <s v="4111001"/>
    <s v="N"/>
    <s v="SC"/>
    <n v="0"/>
    <n v="526.45000000000005"/>
    <n v="1"/>
    <x v="350"/>
    <x v="65"/>
    <e v="#N/A"/>
    <x v="346"/>
    <s v="US INVOICE"/>
    <x v="379"/>
    <s v="68211053SW35"/>
    <x v="20"/>
    <x v="20"/>
    <s v="SWW"/>
    <s v="SW ACCESS VIA WEB"/>
    <n v="2025"/>
    <n v="11"/>
    <s v="FIN5030"/>
    <n v="2025"/>
    <s v="November  "/>
    <x v="0"/>
  </r>
  <r>
    <s v="0914"/>
    <s v="ELEAD"/>
    <s v="ELEAD OTHER"/>
    <s v="CALL TRACKING COUNT AS ONE"/>
    <s v="21112"/>
    <s v="4111001"/>
    <s v="N"/>
    <s v="GA"/>
    <n v="0"/>
    <n v="350.3"/>
    <n v="1"/>
    <x v="351"/>
    <x v="323"/>
    <e v="#N/A"/>
    <x v="347"/>
    <s v="US INVOICE"/>
    <x v="380"/>
    <s v="68178106SW03"/>
    <x v="20"/>
    <x v="20"/>
    <s v="SWW"/>
    <s v="SW ACCESS VIA WEB"/>
    <n v="2025"/>
    <n v="11"/>
    <s v="FIN5030"/>
    <n v="2025"/>
    <s v="November  "/>
    <x v="0"/>
  </r>
  <r>
    <s v="0914"/>
    <s v="ELEAD"/>
    <s v="ELEAD OTHER"/>
    <s v="CALL TRACKING COUNT AS ONE"/>
    <s v="21112"/>
    <s v="4111001"/>
    <s v="N"/>
    <s v="NC"/>
    <n v="0"/>
    <n v="528.64"/>
    <n v="1"/>
    <x v="332"/>
    <x v="306"/>
    <e v="#N/A"/>
    <x v="328"/>
    <s v="US INVOICE"/>
    <x v="381"/>
    <s v="68189742SW06"/>
    <x v="20"/>
    <x v="20"/>
    <s v="SWW"/>
    <s v="SW ACCESS VIA WEB"/>
    <n v="2025"/>
    <n v="11"/>
    <s v="FIN5030"/>
    <n v="2025"/>
    <s v="November  "/>
    <x v="0"/>
  </r>
  <r>
    <s v="0914"/>
    <s v="ELEAD"/>
    <s v="ELEAD OTHER"/>
    <s v="CALL TRACKING COUNT AS ONE"/>
    <s v="21112"/>
    <s v="4111001"/>
    <s v="N"/>
    <s v="NC"/>
    <n v="0"/>
    <n v="335.33"/>
    <n v="1"/>
    <x v="225"/>
    <x v="214"/>
    <e v="#N/A"/>
    <x v="223"/>
    <s v="US INVOICE"/>
    <x v="382"/>
    <s v="68217940SW57"/>
    <x v="20"/>
    <x v="20"/>
    <s v="SWW"/>
    <s v="SW ACCESS VIA WEB"/>
    <n v="2025"/>
    <n v="11"/>
    <s v="FIN5030"/>
    <n v="2025"/>
    <s v="November  "/>
    <x v="0"/>
  </r>
  <r>
    <s v="0914"/>
    <s v="ELEAD"/>
    <s v="ELEAD OTHER"/>
    <s v="CALL TRACKING COUNT AS ONE"/>
    <s v="21112"/>
    <s v="4111001"/>
    <s v="N"/>
    <s v="TN"/>
    <n v="0"/>
    <n v="499"/>
    <n v="1"/>
    <x v="352"/>
    <x v="324"/>
    <e v="#N/A"/>
    <x v="348"/>
    <s v="US INVOICE"/>
    <x v="383"/>
    <s v="64202282SW02"/>
    <x v="20"/>
    <x v="20"/>
    <s v="SWW"/>
    <s v="SW ACCESS VIA WEB"/>
    <n v="2025"/>
    <n v="11"/>
    <s v="FIN5030"/>
    <n v="2025"/>
    <s v="November  "/>
    <x v="0"/>
  </r>
  <r>
    <s v="0914"/>
    <s v="ELEAD"/>
    <s v="ELEAD OTHER"/>
    <s v="CALL TRACKING COUNT AS ONE"/>
    <s v="21112"/>
    <s v="4111001"/>
    <s v="N"/>
    <s v="GA"/>
    <n v="0"/>
    <n v="350.3"/>
    <n v="1"/>
    <x v="163"/>
    <x v="154"/>
    <e v="#N/A"/>
    <x v="161"/>
    <s v="US INVOICE"/>
    <x v="384"/>
    <s v="68178106SW02"/>
    <x v="20"/>
    <x v="20"/>
    <s v="SWW"/>
    <s v="SW ACCESS VIA WEB"/>
    <n v="2025"/>
    <n v="11"/>
    <s v="FIN5030"/>
    <n v="2025"/>
    <s v="November  "/>
    <x v="0"/>
  </r>
  <r>
    <s v="0914"/>
    <s v="ELEAD"/>
    <s v="ELEAD OTHER"/>
    <s v="CALL TRACKING COUNT AS ONE"/>
    <s v="21112"/>
    <s v="4111001"/>
    <s v="N"/>
    <s v="FL"/>
    <n v="0"/>
    <n v="528.64"/>
    <n v="1"/>
    <x v="353"/>
    <x v="325"/>
    <e v="#N/A"/>
    <x v="349"/>
    <s v="US INVOICE"/>
    <x v="385"/>
    <s v="64209915SW01"/>
    <x v="20"/>
    <x v="20"/>
    <s v="SWW"/>
    <s v="SW ACCESS VIA WEB"/>
    <n v="2025"/>
    <n v="11"/>
    <s v="FIN5030"/>
    <n v="2025"/>
    <s v="November  "/>
    <x v="0"/>
  </r>
  <r>
    <s v="0914"/>
    <s v="ELEAD"/>
    <s v="ELEAD OTHER"/>
    <s v="CALL TRACKING COUNT AS ONE"/>
    <s v="21112"/>
    <s v="4111001"/>
    <s v="N"/>
    <s v="SC"/>
    <n v="0"/>
    <n v="799"/>
    <n v="1"/>
    <x v="354"/>
    <x v="326"/>
    <e v="#N/A"/>
    <x v="350"/>
    <s v="US INVOICE"/>
    <x v="386"/>
    <s v="64207269SW01"/>
    <x v="21"/>
    <x v="21"/>
    <s v="SWW"/>
    <s v="SW ACCESS VIA WEB"/>
    <n v="2025"/>
    <n v="11"/>
    <s v="FIN5030"/>
    <n v="2025"/>
    <s v="November  "/>
    <x v="0"/>
  </r>
  <r>
    <s v="0914"/>
    <s v="ELEAD"/>
    <s v="ELEAD OTHER"/>
    <s v="CALL TRACKING COUNT AS ONE"/>
    <s v="21112"/>
    <s v="4111001"/>
    <s v="N"/>
    <s v="NC"/>
    <n v="0"/>
    <n v="799"/>
    <n v="1"/>
    <x v="168"/>
    <x v="158"/>
    <e v="#N/A"/>
    <x v="166"/>
    <s v="US INVOICE"/>
    <x v="387"/>
    <s v="58038028SW90"/>
    <x v="21"/>
    <x v="21"/>
    <s v="SWW"/>
    <s v="SW ACCESS VIA WEB"/>
    <n v="2025"/>
    <n v="11"/>
    <s v="FIN5030"/>
    <n v="2025"/>
    <s v="November  "/>
    <x v="0"/>
  </r>
  <r>
    <s v="0914"/>
    <s v="ELEAD"/>
    <s v="ELEAD OTHER"/>
    <s v="CALL TRACKING COUNT AS ONE"/>
    <s v="21112"/>
    <s v="4111001"/>
    <s v="N"/>
    <s v="TN"/>
    <n v="0"/>
    <n v="249"/>
    <n v="1"/>
    <x v="352"/>
    <x v="324"/>
    <e v="#N/A"/>
    <x v="348"/>
    <s v="US INVOICE"/>
    <x v="388"/>
    <s v="64202282SW03"/>
    <x v="2"/>
    <x v="2"/>
    <s v="SWW"/>
    <s v="SW ACCESS VIA WEB"/>
    <n v="2025"/>
    <n v="11"/>
    <s v="FIN5030"/>
    <n v="2025"/>
    <s v="November  "/>
    <x v="1"/>
  </r>
  <r>
    <s v="0914"/>
    <s v="ELEAD"/>
    <s v="ELEAD OTHER"/>
    <s v="CALL TRACKING COUNT AS ONE"/>
    <s v="21112"/>
    <s v="4111001"/>
    <s v="N"/>
    <s v="NC"/>
    <n v="0"/>
    <n v="249"/>
    <n v="1"/>
    <x v="83"/>
    <x v="76"/>
    <e v="#N/A"/>
    <x v="81"/>
    <s v="US INVOICE"/>
    <x v="389"/>
    <s v="58038391SW39"/>
    <x v="2"/>
    <x v="2"/>
    <s v="SWW"/>
    <s v="SW ACCESS VIA WEB"/>
    <n v="2025"/>
    <n v="11"/>
    <s v="FIN5030"/>
    <n v="2025"/>
    <s v="November  "/>
    <x v="1"/>
  </r>
  <r>
    <s v="0914"/>
    <s v="ELEAD"/>
    <s v="ELEAD OTHER"/>
    <s v="CALL TRACKING COUNT AS ONE"/>
    <s v="21112"/>
    <s v="4111001"/>
    <s v="N"/>
    <s v="TX"/>
    <n v="0"/>
    <n v="249"/>
    <n v="1"/>
    <x v="218"/>
    <x v="207"/>
    <e v="#N/A"/>
    <x v="216"/>
    <s v="US INVOICE"/>
    <x v="390"/>
    <s v="64229510SW01"/>
    <x v="2"/>
    <x v="2"/>
    <s v="SWW"/>
    <s v="SW ACCESS VIA WEB"/>
    <n v="2025"/>
    <n v="11"/>
    <s v="FIN5030"/>
    <n v="2025"/>
    <s v="November  "/>
    <x v="1"/>
  </r>
  <r>
    <s v="0914"/>
    <s v="ELEAD"/>
    <s v="ELEAD OTHER"/>
    <s v="CALL TRACKING COUNT AS ONE"/>
    <s v="21112"/>
    <s v="4111001"/>
    <s v="N"/>
    <s v="GA"/>
    <n v="0"/>
    <n v="268.92"/>
    <n v="1"/>
    <x v="163"/>
    <x v="154"/>
    <e v="#N/A"/>
    <x v="161"/>
    <s v="US INVOICE"/>
    <x v="391"/>
    <s v="68180070SW01"/>
    <x v="22"/>
    <x v="22"/>
    <s v="SWW"/>
    <s v="SW ACCESS VIA WEB"/>
    <n v="2025"/>
    <n v="11"/>
    <s v="FIN5030"/>
    <n v="2025"/>
    <s v="November  "/>
    <x v="1"/>
  </r>
  <r>
    <s v="0914"/>
    <s v="ELEAD"/>
    <s v="ELEAD OTHER"/>
    <s v="CALL TRACKING COUNT AS ONE"/>
    <s v="21112"/>
    <s v="4111001"/>
    <s v="N"/>
    <s v="NC"/>
    <n v="0"/>
    <n v="249"/>
    <n v="1"/>
    <x v="88"/>
    <x v="81"/>
    <e v="#N/A"/>
    <x v="86"/>
    <s v="US INVOICE"/>
    <x v="392"/>
    <s v="68228462SW22"/>
    <x v="22"/>
    <x v="22"/>
    <s v="SWW"/>
    <s v="SW ACCESS VIA WEB"/>
    <n v="2025"/>
    <n v="11"/>
    <s v="FIN5030"/>
    <n v="2025"/>
    <s v="November  "/>
    <x v="1"/>
  </r>
  <r>
    <s v="0914"/>
    <s v="ELEAD"/>
    <s v="ELEAD OTHER"/>
    <s v="CALL TRACKING COUNT AS ONE"/>
    <s v="21112"/>
    <s v="4111001"/>
    <s v="N"/>
    <s v="WI"/>
    <n v="0"/>
    <n v="142.16999999999999"/>
    <n v="1"/>
    <x v="355"/>
    <x v="327"/>
    <e v="#N/A"/>
    <x v="351"/>
    <s v="US INVOICE"/>
    <x v="393"/>
    <s v="64228395SW15"/>
    <x v="1"/>
    <x v="1"/>
    <s v="SWW"/>
    <s v="SW ACCESS VIA WEB"/>
    <n v="2025"/>
    <n v="11"/>
    <s v="FIN5030"/>
    <n v="2025"/>
    <s v="November  "/>
    <x v="0"/>
  </r>
  <r>
    <s v="0914"/>
    <s v="ELEAD"/>
    <s v="ELEAD OTHER"/>
    <s v="CALL TRACKING COUNT AS ONE"/>
    <s v="21112"/>
    <s v="4111001"/>
    <s v="N"/>
    <s v="WI"/>
    <n v="0"/>
    <n v="217.99"/>
    <n v="1"/>
    <x v="356"/>
    <x v="328"/>
    <e v="#N/A"/>
    <x v="352"/>
    <s v="US INVOICE"/>
    <x v="394"/>
    <s v="64226832SW03"/>
    <x v="1"/>
    <x v="1"/>
    <s v="SWW"/>
    <s v="SW ACCESS VIA WEB"/>
    <n v="2025"/>
    <n v="11"/>
    <s v="FIN5030"/>
    <n v="2025"/>
    <s v="November  "/>
    <x v="0"/>
  </r>
  <r>
    <s v="0914"/>
    <s v="ELEAD"/>
    <s v="ELEAD OTHER"/>
    <s v="CALL TRACKING COUNT AS ONE"/>
    <s v="21112"/>
    <s v="4111001"/>
    <s v="N"/>
    <s v="FL"/>
    <n v="0"/>
    <n v="370.2"/>
    <n v="1"/>
    <x v="357"/>
    <x v="329"/>
    <e v="#N/A"/>
    <x v="353"/>
    <s v="US INVOICE"/>
    <x v="395"/>
    <s v="64169883SW06"/>
    <x v="1"/>
    <x v="1"/>
    <s v="SWW"/>
    <s v="SW ACCESS VIA WEB"/>
    <n v="2025"/>
    <n v="11"/>
    <s v="FIN5030"/>
    <n v="2025"/>
    <s v="November  "/>
    <x v="0"/>
  </r>
  <r>
    <s v="0914"/>
    <s v="ELEAD"/>
    <s v="ELEAD OTHER"/>
    <s v="CALL TRACKING COUNT AS ONE"/>
    <s v="21112"/>
    <s v="4111001"/>
    <s v="N"/>
    <s v="SC"/>
    <n v="0"/>
    <n v="339.09"/>
    <n v="1"/>
    <x v="358"/>
    <x v="330"/>
    <e v="#N/A"/>
    <x v="354"/>
    <s v="US INVOICE"/>
    <x v="396"/>
    <s v="38095589SW04"/>
    <x v="1"/>
    <x v="1"/>
    <s v="SWW"/>
    <s v="SW ACCESS VIA WEB"/>
    <n v="2025"/>
    <n v="11"/>
    <s v="FIN5030"/>
    <n v="2025"/>
    <s v="November  "/>
    <x v="0"/>
  </r>
  <r>
    <s v="0914"/>
    <s v="ELEAD"/>
    <s v="ELEAD OTHER"/>
    <s v="CALL TRACKING COUNT AS ONE"/>
    <s v="21112"/>
    <s v="4111001"/>
    <s v="N"/>
    <s v="MI"/>
    <n v="0"/>
    <n v="261.45"/>
    <n v="1"/>
    <x v="161"/>
    <x v="152"/>
    <e v="#N/A"/>
    <x v="159"/>
    <s v="US INVOICE"/>
    <x v="397"/>
    <s v="68227988SW26"/>
    <x v="1"/>
    <x v="1"/>
    <s v="SWW"/>
    <s v="SW ACCESS VIA WEB"/>
    <n v="2025"/>
    <n v="11"/>
    <s v="FIN5030"/>
    <n v="2025"/>
    <s v="November  "/>
    <x v="0"/>
  </r>
  <r>
    <s v="0914"/>
    <s v="ELEAD"/>
    <s v="ELEAD OTHER"/>
    <s v="CALL TRACKING COUNT AS ONE"/>
    <s v="21112"/>
    <s v="4111001"/>
    <s v="N"/>
    <s v="AL"/>
    <n v="0"/>
    <n v="320.08"/>
    <n v="1"/>
    <x v="359"/>
    <x v="65"/>
    <e v="#N/A"/>
    <x v="355"/>
    <s v="US INVOICE"/>
    <x v="398"/>
    <s v="64238640SW05"/>
    <x v="1"/>
    <x v="1"/>
    <s v="SWW"/>
    <s v="SW ACCESS VIA WEB"/>
    <n v="2025"/>
    <n v="11"/>
    <s v="FIN5030"/>
    <n v="2025"/>
    <s v="November  "/>
    <x v="0"/>
  </r>
  <r>
    <s v="0914"/>
    <s v="ELEAD"/>
    <s v="ELEAD OTHER"/>
    <s v="CALL TRACKING COUNT AS ONE"/>
    <s v="21112"/>
    <s v="4111001"/>
    <s v="N"/>
    <s v="FL"/>
    <n v="0"/>
    <n v="299"/>
    <n v="1"/>
    <x v="360"/>
    <x v="65"/>
    <e v="#N/A"/>
    <x v="356"/>
    <s v="US INVOICE"/>
    <x v="399"/>
    <s v="64179631SW21"/>
    <x v="1"/>
    <x v="1"/>
    <s v="SWW"/>
    <s v="SW ACCESS VIA WEB"/>
    <n v="2025"/>
    <n v="11"/>
    <s v="FIN5030"/>
    <n v="2025"/>
    <s v="November  "/>
    <x v="0"/>
  </r>
  <r>
    <s v="0914"/>
    <s v="ELEAD"/>
    <s v="ELEAD OTHER"/>
    <s v="CALL TRACKING COUNT AS ONE"/>
    <s v="21112"/>
    <s v="4111001"/>
    <s v="N"/>
    <s v="NC"/>
    <n v="0"/>
    <n v="279"/>
    <n v="1"/>
    <x v="162"/>
    <x v="153"/>
    <e v="#N/A"/>
    <x v="160"/>
    <s v="US INVOICE"/>
    <x v="400"/>
    <s v="58038454SW27"/>
    <x v="1"/>
    <x v="1"/>
    <s v="SWW"/>
    <s v="SW ACCESS VIA WEB"/>
    <n v="2025"/>
    <n v="11"/>
    <s v="FIN5030"/>
    <n v="2025"/>
    <s v="November  "/>
    <x v="0"/>
  </r>
  <r>
    <s v="0914"/>
    <s v="ELEAD"/>
    <s v="ELEAD OTHER"/>
    <s v="CALL TRACKING COUNT AS ONE"/>
    <s v="21112"/>
    <s v="4111001"/>
    <s v="N"/>
    <s v="NC"/>
    <n v="0"/>
    <n v="745"/>
    <n v="1"/>
    <x v="179"/>
    <x v="169"/>
    <e v="#N/A"/>
    <x v="177"/>
    <s v="US INVOICE"/>
    <x v="401"/>
    <s v="58038463SW19"/>
    <x v="1"/>
    <x v="1"/>
    <s v="SWW"/>
    <s v="SW ACCESS VIA WEB"/>
    <n v="2025"/>
    <n v="11"/>
    <s v="FIN5030"/>
    <n v="2025"/>
    <s v="November  "/>
    <x v="0"/>
  </r>
  <r>
    <s v="0914"/>
    <s v="ELEAD"/>
    <s v="ELEAD OTHER"/>
    <s v="CALL TRACKING COUNT AS ONE"/>
    <s v="21112"/>
    <s v="4111001"/>
    <s v="N"/>
    <s v="AL"/>
    <n v="0"/>
    <n v="499"/>
    <n v="1"/>
    <x v="361"/>
    <x v="331"/>
    <e v="#N/A"/>
    <x v="357"/>
    <s v="US INVOICE"/>
    <x v="402"/>
    <s v="64222579SW23"/>
    <x v="1"/>
    <x v="1"/>
    <s v="SWW"/>
    <s v="SW ACCESS VIA WEB"/>
    <n v="2025"/>
    <n v="11"/>
    <s v="FIN5030"/>
    <n v="2025"/>
    <s v="November  "/>
    <x v="0"/>
  </r>
  <r>
    <s v="0914"/>
    <s v="ELEAD"/>
    <s v="ELEAD OTHER"/>
    <s v="CALL TRACKING COUNT AS ONE"/>
    <s v="21112"/>
    <s v="4111001"/>
    <s v="N"/>
    <s v="IL"/>
    <n v="0"/>
    <n v="0"/>
    <n v="1"/>
    <x v="362"/>
    <x v="332"/>
    <e v="#N/A"/>
    <x v="358"/>
    <s v="US INVOICE"/>
    <x v="403"/>
    <s v="67035312SW04"/>
    <x v="1"/>
    <x v="1"/>
    <s v="SWW"/>
    <s v="SW ACCESS VIA WEB"/>
    <n v="2025"/>
    <n v="11"/>
    <s v="FIN5030"/>
    <n v="2025"/>
    <s v="November  "/>
    <x v="0"/>
  </r>
  <r>
    <s v="0914"/>
    <s v="ELEAD"/>
    <s v="ELEAD OTHER"/>
    <s v="CALL TRACKING COUNT AS ONE"/>
    <s v="21112"/>
    <s v="4111001"/>
    <s v="N"/>
    <s v="IL"/>
    <n v="0"/>
    <n v="310.95999999999998"/>
    <n v="1"/>
    <x v="363"/>
    <x v="333"/>
    <e v="#N/A"/>
    <x v="359"/>
    <s v="US INVOICE"/>
    <x v="404"/>
    <s v="67034958SW03"/>
    <x v="1"/>
    <x v="1"/>
    <s v="SWW"/>
    <s v="SW ACCESS VIA WEB"/>
    <n v="2025"/>
    <n v="11"/>
    <s v="FIN5030"/>
    <n v="2025"/>
    <s v="November  "/>
    <x v="0"/>
  </r>
  <r>
    <s v="0914"/>
    <s v="ELEAD"/>
    <s v="ELEAD OTHER"/>
    <s v="CALL TRACKING COUNT AS ONE"/>
    <s v="21112"/>
    <s v="4111001"/>
    <s v="N"/>
    <s v="GA"/>
    <n v="0"/>
    <n v="499"/>
    <n v="1"/>
    <x v="364"/>
    <x v="334"/>
    <e v="#N/A"/>
    <x v="360"/>
    <s v="US INVOICE"/>
    <x v="405"/>
    <s v="68219881SW01"/>
    <x v="1"/>
    <x v="1"/>
    <s v="SWW"/>
    <s v="SW ACCESS VIA WEB"/>
    <n v="2025"/>
    <n v="11"/>
    <s v="FIN5030"/>
    <n v="2025"/>
    <s v="November  "/>
    <x v="0"/>
  </r>
  <r>
    <s v="0914"/>
    <s v="ELEAD"/>
    <s v="ELEAD OTHER"/>
    <s v="CALL TRACKING COUNT AS ONE"/>
    <s v="21112"/>
    <s v="4111001"/>
    <s v="N"/>
    <s v="NC"/>
    <n v="0"/>
    <n v="371.36"/>
    <n v="1"/>
    <x v="125"/>
    <x v="116"/>
    <e v="#N/A"/>
    <x v="123"/>
    <s v="US INVOICE"/>
    <x v="406"/>
    <s v="68163560SW01"/>
    <x v="1"/>
    <x v="1"/>
    <s v="SWW"/>
    <s v="SW ACCESS VIA WEB"/>
    <n v="2025"/>
    <n v="11"/>
    <s v="FIN5030"/>
    <n v="2025"/>
    <s v="November  "/>
    <x v="0"/>
  </r>
  <r>
    <s v="0914"/>
    <s v="ELEAD"/>
    <s v="ELEAD OTHER"/>
    <s v="CALL TRACKING COUNT AS ONE"/>
    <s v="21112"/>
    <s v="4111001"/>
    <s v="N"/>
    <s v="CT"/>
    <n v="0"/>
    <n v="476.05"/>
    <n v="1"/>
    <x v="365"/>
    <x v="65"/>
    <e v="#N/A"/>
    <x v="361"/>
    <s v="US INVOICE"/>
    <x v="407"/>
    <s v="68235305SW36"/>
    <x v="1"/>
    <x v="1"/>
    <s v="SWW"/>
    <s v="SW ACCESS VIA WEB"/>
    <n v="2025"/>
    <n v="11"/>
    <s v="FIN5030"/>
    <n v="2025"/>
    <s v="November  "/>
    <x v="0"/>
  </r>
  <r>
    <s v="0914"/>
    <s v="ELEAD"/>
    <s v="ELEAD OTHER"/>
    <s v="CALL TRACKING COUNT AS ONE"/>
    <s v="21112"/>
    <s v="4111001"/>
    <s v="N"/>
    <s v="NC"/>
    <n v="0"/>
    <n v="199"/>
    <n v="1"/>
    <x v="177"/>
    <x v="167"/>
    <e v="#N/A"/>
    <x v="175"/>
    <s v="US INVOICE"/>
    <x v="408"/>
    <s v="58038391SW27"/>
    <x v="1"/>
    <x v="1"/>
    <s v="SWW"/>
    <s v="SW ACCESS VIA WEB"/>
    <n v="2025"/>
    <n v="11"/>
    <s v="FIN5030"/>
    <n v="2025"/>
    <s v="November  "/>
    <x v="0"/>
  </r>
  <r>
    <s v="0914"/>
    <s v="ELEAD"/>
    <s v="ELEAD OTHER"/>
    <s v="CALL TRACKING COUNT AS ONE"/>
    <s v="21112"/>
    <s v="4111001"/>
    <s v="N"/>
    <s v="TX"/>
    <n v="0"/>
    <n v="371.18"/>
    <n v="1"/>
    <x v="276"/>
    <x v="255"/>
    <e v="#N/A"/>
    <x v="272"/>
    <s v="US INVOICE"/>
    <x v="409"/>
    <s v="64169188SW01"/>
    <x v="1"/>
    <x v="1"/>
    <s v="SWW"/>
    <s v="SW ACCESS VIA WEB"/>
    <n v="2025"/>
    <n v="11"/>
    <s v="FIN5030"/>
    <n v="2025"/>
    <s v="November  "/>
    <x v="0"/>
  </r>
  <r>
    <s v="0914"/>
    <s v="ELEAD"/>
    <s v="ELEAD OTHER"/>
    <s v="CALL TRACKING COUNT AS ONE"/>
    <s v="21112"/>
    <s v="4111001"/>
    <s v="N"/>
    <s v="MD"/>
    <n v="0"/>
    <n v="199"/>
    <n v="1"/>
    <x v="366"/>
    <x v="335"/>
    <e v="#N/A"/>
    <x v="362"/>
    <s v="US INVOICE"/>
    <x v="410"/>
    <s v="68239649SW02"/>
    <x v="1"/>
    <x v="1"/>
    <s v="SWW"/>
    <s v="SW ACCESS VIA WEB"/>
    <n v="2025"/>
    <n v="11"/>
    <s v="FIN5030"/>
    <n v="2025"/>
    <s v="November  "/>
    <x v="0"/>
  </r>
  <r>
    <s v="0914"/>
    <s v="ELEAD"/>
    <s v="ELEAD OTHER"/>
    <s v="CALL TRACKING COUNT AS ONE"/>
    <s v="21112"/>
    <s v="4111001"/>
    <s v="N"/>
    <s v="TN"/>
    <n v="0"/>
    <n v="499"/>
    <n v="1"/>
    <x v="367"/>
    <x v="336"/>
    <e v="#N/A"/>
    <x v="363"/>
    <s v="US INVOICE"/>
    <x v="411"/>
    <s v="64222579SW06"/>
    <x v="1"/>
    <x v="1"/>
    <s v="SWW"/>
    <s v="SW ACCESS VIA WEB"/>
    <n v="2025"/>
    <n v="11"/>
    <s v="FIN5030"/>
    <n v="2025"/>
    <s v="November  "/>
    <x v="0"/>
  </r>
  <r>
    <s v="0914"/>
    <s v="ELEAD"/>
    <s v="ELEAD OTHER"/>
    <s v="CALL TRACKING COUNT AS ONE"/>
    <s v="21112"/>
    <s v="4111001"/>
    <s v="N"/>
    <s v="GA"/>
    <n v="0"/>
    <n v="499"/>
    <n v="1"/>
    <x v="364"/>
    <x v="334"/>
    <e v="#N/A"/>
    <x v="360"/>
    <s v="US INVOICE"/>
    <x v="412"/>
    <s v="64222579SW27"/>
    <x v="1"/>
    <x v="1"/>
    <s v="SWW"/>
    <s v="SW ACCESS VIA WEB"/>
    <n v="2025"/>
    <n v="11"/>
    <s v="FIN5030"/>
    <n v="2025"/>
    <s v="November  "/>
    <x v="0"/>
  </r>
  <r>
    <s v="0914"/>
    <s v="ELEAD"/>
    <s v="ELEAD OTHER"/>
    <s v="CALL TRACKING COUNT AS ONE"/>
    <s v="21112"/>
    <s v="4111001"/>
    <s v="N"/>
    <s v="GA"/>
    <n v="0"/>
    <n v="619.46"/>
    <n v="1"/>
    <x v="368"/>
    <x v="337"/>
    <e v="#N/A"/>
    <x v="364"/>
    <s v="US INVOICE"/>
    <x v="413"/>
    <s v="64169910SW03"/>
    <x v="1"/>
    <x v="1"/>
    <s v="SWW"/>
    <s v="SW ACCESS VIA WEB"/>
    <n v="2025"/>
    <n v="11"/>
    <s v="FIN5030"/>
    <n v="2025"/>
    <s v="November  "/>
    <x v="0"/>
  </r>
  <r>
    <s v="0914"/>
    <s v="ELEAD"/>
    <s v="ELEAD OTHER"/>
    <s v="CALL TRACKING COUNT AS ONE"/>
    <s v="21112"/>
    <s v="4111001"/>
    <s v="N"/>
    <s v="AL"/>
    <n v="0"/>
    <n v="499"/>
    <n v="1"/>
    <x v="288"/>
    <x v="265"/>
    <e v="#N/A"/>
    <x v="284"/>
    <s v="US INVOICE"/>
    <x v="414"/>
    <s v="64222579SW17"/>
    <x v="1"/>
    <x v="1"/>
    <s v="SWW"/>
    <s v="SW ACCESS VIA WEB"/>
    <n v="2025"/>
    <n v="11"/>
    <s v="FIN5030"/>
    <n v="2025"/>
    <s v="November  "/>
    <x v="0"/>
  </r>
  <r>
    <s v="0914"/>
    <s v="ELEAD"/>
    <s v="ELEAD OTHER"/>
    <s v="CALL TRACKING COUNT AS ONE"/>
    <s v="21112"/>
    <s v="4111001"/>
    <s v="N"/>
    <s v="MD"/>
    <n v="0"/>
    <n v="22.32"/>
    <n v="1"/>
    <x v="369"/>
    <x v="65"/>
    <e v="#N/A"/>
    <x v="365"/>
    <s v="US INVOICE"/>
    <x v="415"/>
    <s v="68189788SW29"/>
    <x v="1"/>
    <x v="1"/>
    <s v="SWW"/>
    <s v="SW ACCESS VIA WEB"/>
    <n v="2025"/>
    <n v="11"/>
    <s v="FIN5030"/>
    <n v="2025"/>
    <s v="November  "/>
    <x v="0"/>
  </r>
  <r>
    <s v="0914"/>
    <s v="ELEAD"/>
    <s v="ELEAD OTHER"/>
    <s v="CALL TRACKING COUNT AS ONE"/>
    <s v="21112"/>
    <s v="4111001"/>
    <s v="N"/>
    <s v="PA"/>
    <n v="0"/>
    <n v="371.18"/>
    <n v="1"/>
    <x v="294"/>
    <x v="271"/>
    <e v="#N/A"/>
    <x v="290"/>
    <s v="US INVOICE"/>
    <x v="416"/>
    <s v="68162671SW02"/>
    <x v="1"/>
    <x v="1"/>
    <s v="SWW"/>
    <s v="SW ACCESS VIA WEB"/>
    <n v="2025"/>
    <n v="11"/>
    <s v="FIN5030"/>
    <n v="2025"/>
    <s v="November  "/>
    <x v="0"/>
  </r>
  <r>
    <s v="0914"/>
    <s v="ELEAD"/>
    <s v="ELEAD OTHER"/>
    <s v="CALL TRACKING COUNT AS ONE"/>
    <s v="21112"/>
    <s v="4111001"/>
    <s v="N"/>
    <s v="WI"/>
    <n v="0"/>
    <n v="145.08000000000001"/>
    <n v="1"/>
    <x v="370"/>
    <x v="338"/>
    <e v="#N/A"/>
    <x v="366"/>
    <s v="US INVOICE"/>
    <x v="417"/>
    <s v="64227692SW34"/>
    <x v="1"/>
    <x v="1"/>
    <s v="SWW"/>
    <s v="SW ACCESS VIA WEB"/>
    <n v="2025"/>
    <n v="11"/>
    <s v="FIN5030"/>
    <n v="2025"/>
    <s v="November  "/>
    <x v="0"/>
  </r>
  <r>
    <s v="0914"/>
    <s v="ELEAD"/>
    <s v="ELEAD OTHER"/>
    <s v="CALL TRACKING COUNT AS ONE"/>
    <s v="21112"/>
    <s v="4111001"/>
    <s v="N"/>
    <s v="WI"/>
    <n v="0"/>
    <n v="217.99"/>
    <n v="1"/>
    <x v="371"/>
    <x v="339"/>
    <e v="#N/A"/>
    <x v="367"/>
    <s v="US INVOICE"/>
    <x v="418"/>
    <s v="64227720SW69"/>
    <x v="1"/>
    <x v="1"/>
    <s v="SWW"/>
    <s v="SW ACCESS VIA WEB"/>
    <n v="2025"/>
    <n v="11"/>
    <s v="FIN5030"/>
    <n v="2025"/>
    <s v="November  "/>
    <x v="0"/>
  </r>
  <r>
    <s v="0914"/>
    <s v="ELEAD"/>
    <s v="ELEAD OTHER"/>
    <s v="CALL TRACKING COUNT AS ONE"/>
    <s v="21112"/>
    <s v="4111001"/>
    <s v="N"/>
    <s v="WI"/>
    <n v="0"/>
    <n v="217.99"/>
    <n v="1"/>
    <x v="372"/>
    <x v="340"/>
    <e v="#N/A"/>
    <x v="368"/>
    <s v="US INVOICE"/>
    <x v="419"/>
    <s v="64227720SW63"/>
    <x v="1"/>
    <x v="1"/>
    <s v="SWW"/>
    <s v="SW ACCESS VIA WEB"/>
    <n v="2025"/>
    <n v="11"/>
    <s v="FIN5030"/>
    <n v="2025"/>
    <s v="November  "/>
    <x v="0"/>
  </r>
  <r>
    <s v="0914"/>
    <s v="ELEAD"/>
    <s v="ELEAD OTHER"/>
    <s v="CALL TRACKING COUNT AS ONE"/>
    <s v="21112"/>
    <s v="4111001"/>
    <s v="N"/>
    <s v="NC"/>
    <n v="0"/>
    <n v="371.36"/>
    <n v="1"/>
    <x v="258"/>
    <x v="239"/>
    <e v="#N/A"/>
    <x v="255"/>
    <s v="US INVOICE"/>
    <x v="420"/>
    <s v="68164285SW01"/>
    <x v="1"/>
    <x v="1"/>
    <s v="SWW"/>
    <s v="SW ACCESS VIA WEB"/>
    <n v="2025"/>
    <n v="11"/>
    <s v="FIN5030"/>
    <n v="2025"/>
    <s v="November  "/>
    <x v="0"/>
  </r>
  <r>
    <s v="0914"/>
    <s v="ELEAD"/>
    <s v="ELEAD OTHER"/>
    <s v="CALL TRACKING COUNT AS ONE"/>
    <s v="21112"/>
    <s v="4111001"/>
    <s v="N"/>
    <s v="FL"/>
    <n v="0"/>
    <n v="619.46"/>
    <n v="1"/>
    <x v="373"/>
    <x v="341"/>
    <e v="#N/A"/>
    <x v="369"/>
    <s v="US INVOICE"/>
    <x v="421"/>
    <s v="64170124SW01"/>
    <x v="1"/>
    <x v="1"/>
    <s v="SWW"/>
    <s v="SW ACCESS VIA WEB"/>
    <n v="2025"/>
    <n v="11"/>
    <s v="FIN5030"/>
    <n v="2025"/>
    <s v="November  "/>
    <x v="0"/>
  </r>
  <r>
    <s v="0914"/>
    <s v="ELEAD"/>
    <s v="ELEAD OTHER"/>
    <s v="CALL TRACKING COUNT AS ONE"/>
    <s v="21112"/>
    <s v="4111001"/>
    <s v="N"/>
    <s v="TX"/>
    <n v="0"/>
    <n v="371.18"/>
    <n v="1"/>
    <x v="374"/>
    <x v="342"/>
    <e v="#N/A"/>
    <x v="370"/>
    <s v="US INVOICE"/>
    <x v="422"/>
    <s v="64170203SW01"/>
    <x v="1"/>
    <x v="1"/>
    <s v="SWW"/>
    <s v="SW ACCESS VIA WEB"/>
    <n v="2025"/>
    <n v="11"/>
    <s v="FIN5030"/>
    <n v="2025"/>
    <s v="November  "/>
    <x v="0"/>
  </r>
  <r>
    <s v="0914"/>
    <s v="ELEAD"/>
    <s v="ELEAD OTHER"/>
    <s v="CALL TRACKING COUNT AS ONE"/>
    <s v="21112"/>
    <s v="4111001"/>
    <s v="N"/>
    <s v="TX"/>
    <n v="0"/>
    <n v="371.18"/>
    <n v="1"/>
    <x v="237"/>
    <x v="225"/>
    <e v="#N/A"/>
    <x v="235"/>
    <s v="US INVOICE"/>
    <x v="423"/>
    <s v="64169518SW01"/>
    <x v="1"/>
    <x v="1"/>
    <s v="SWW"/>
    <s v="SW ACCESS VIA WEB"/>
    <n v="2025"/>
    <n v="11"/>
    <s v="FIN5030"/>
    <n v="2025"/>
    <s v="November  "/>
    <x v="0"/>
  </r>
  <r>
    <s v="0914"/>
    <s v="ELEAD"/>
    <s v="ELEAD OTHER"/>
    <s v="CALL TRACKING COUNT AS ONE"/>
    <s v="21112"/>
    <s v="4111001"/>
    <s v="N"/>
    <s v="NC"/>
    <n v="0"/>
    <n v="279"/>
    <n v="1"/>
    <x v="172"/>
    <x v="162"/>
    <e v="#N/A"/>
    <x v="170"/>
    <s v="US INVOICE"/>
    <x v="424"/>
    <s v="58038408SW17"/>
    <x v="1"/>
    <x v="1"/>
    <s v="SWW"/>
    <s v="SW ACCESS VIA WEB"/>
    <n v="2025"/>
    <n v="11"/>
    <s v="FIN5030"/>
    <n v="2025"/>
    <s v="November  "/>
    <x v="0"/>
  </r>
  <r>
    <s v="0914"/>
    <s v="ELEAD"/>
    <s v="ELEAD OTHER"/>
    <s v="CALL TRACKING COUNT AS ONE"/>
    <s v="21112"/>
    <s v="4111001"/>
    <s v="N"/>
    <s v="FL"/>
    <n v="0"/>
    <n v="499"/>
    <n v="1"/>
    <x v="280"/>
    <x v="259"/>
    <e v="#N/A"/>
    <x v="276"/>
    <s v="US INVOICE"/>
    <x v="425"/>
    <s v="64222579SW26"/>
    <x v="1"/>
    <x v="1"/>
    <s v="SWW"/>
    <s v="SW ACCESS VIA WEB"/>
    <n v="2025"/>
    <n v="11"/>
    <s v="FIN5030"/>
    <n v="2025"/>
    <s v="November  "/>
    <x v="0"/>
  </r>
  <r>
    <s v="0914"/>
    <s v="ELEAD"/>
    <s v="ELEAD OTHER"/>
    <s v="CALL TRACKING COUNT AS ONE"/>
    <s v="21112"/>
    <s v="4111001"/>
    <s v="N"/>
    <s v="CA"/>
    <n v="0"/>
    <n v="619.46"/>
    <n v="1"/>
    <x v="375"/>
    <x v="343"/>
    <e v="#N/A"/>
    <x v="371"/>
    <s v="US INVOICE"/>
    <x v="426"/>
    <s v="62142533SW01"/>
    <x v="1"/>
    <x v="1"/>
    <s v="SWW"/>
    <s v="SW ACCESS VIA WEB"/>
    <n v="2025"/>
    <n v="11"/>
    <s v="FIN5030"/>
    <n v="2025"/>
    <s v="November  "/>
    <x v="0"/>
  </r>
  <r>
    <s v="0914"/>
    <s v="ELEAD"/>
    <s v="ELEAD OTHER"/>
    <s v="CALL TRACKING COUNT AS ONE"/>
    <s v="21112"/>
    <s v="4111001"/>
    <s v="N"/>
    <s v="TX"/>
    <n v="0"/>
    <n v="2800"/>
    <n v="1"/>
    <x v="376"/>
    <x v="344"/>
    <e v="#N/A"/>
    <x v="372"/>
    <s v="US INVOICE"/>
    <x v="427"/>
    <s v="64222579SW16"/>
    <x v="1"/>
    <x v="1"/>
    <s v="SWW"/>
    <s v="SW ACCESS VIA WEB"/>
    <n v="2025"/>
    <n v="11"/>
    <s v="FIN5030"/>
    <n v="2025"/>
    <s v="November  "/>
    <x v="0"/>
  </r>
  <r>
    <s v="0914"/>
    <s v="ELEAD"/>
    <s v="ELEAD OTHER"/>
    <s v="CALL TRACKING COUNT AS ONE"/>
    <s v="21112"/>
    <s v="4111001"/>
    <s v="N"/>
    <s v="FL"/>
    <n v="0"/>
    <n v="241.25"/>
    <n v="1"/>
    <x v="377"/>
    <x v="65"/>
    <e v="#N/A"/>
    <x v="373"/>
    <s v="US INVOICE"/>
    <x v="428"/>
    <s v="58039655SW67"/>
    <x v="1"/>
    <x v="1"/>
    <s v="SWW"/>
    <s v="SW ACCESS VIA WEB"/>
    <n v="2025"/>
    <n v="11"/>
    <s v="FIN5030"/>
    <n v="2025"/>
    <s v="November  "/>
    <x v="0"/>
  </r>
  <r>
    <s v="0914"/>
    <s v="ELEAD"/>
    <s v="ELEAD OTHER"/>
    <s v="CALL TRACKING COUNT AS ONE"/>
    <s v="21112"/>
    <s v="4111001"/>
    <s v="N"/>
    <s v="AL"/>
    <n v="0"/>
    <n v="499"/>
    <n v="1"/>
    <x v="378"/>
    <x v="345"/>
    <e v="#N/A"/>
    <x v="374"/>
    <s v="US INVOICE"/>
    <x v="429"/>
    <s v="64222579SW19"/>
    <x v="1"/>
    <x v="1"/>
    <s v="SWW"/>
    <s v="SW ACCESS VIA WEB"/>
    <n v="2025"/>
    <n v="11"/>
    <s v="FIN5030"/>
    <n v="2025"/>
    <s v="November  "/>
    <x v="0"/>
  </r>
  <r>
    <s v="0914"/>
    <s v="ELEAD"/>
    <s v="ELEAD OTHER"/>
    <s v="CALL TRACKING COUNT AS ONE"/>
    <s v="21112"/>
    <s v="4111001"/>
    <s v="N"/>
    <s v="MA"/>
    <n v="0"/>
    <n v="0"/>
    <n v="1"/>
    <x v="279"/>
    <x v="258"/>
    <e v="#N/A"/>
    <x v="275"/>
    <s v="US INVOICE"/>
    <x v="430"/>
    <s v="68162952SW01"/>
    <x v="1"/>
    <x v="1"/>
    <s v="SWW"/>
    <s v="SW ACCESS VIA WEB"/>
    <n v="2025"/>
    <n v="11"/>
    <s v="FIN5030"/>
    <n v="2025"/>
    <s v="November  "/>
    <x v="0"/>
  </r>
  <r>
    <s v="0914"/>
    <s v="ELEAD"/>
    <s v="ELEAD OTHER"/>
    <s v="CALL TRACKING COUNT AS ONE"/>
    <s v="21112"/>
    <s v="4111001"/>
    <s v="N"/>
    <s v="AL"/>
    <n v="0"/>
    <n v="499"/>
    <n v="1"/>
    <x v="379"/>
    <x v="346"/>
    <e v="#N/A"/>
    <x v="375"/>
    <s v="US INVOICE"/>
    <x v="431"/>
    <s v="64222579SW25"/>
    <x v="1"/>
    <x v="1"/>
    <s v="SWW"/>
    <s v="SW ACCESS VIA WEB"/>
    <n v="2025"/>
    <n v="11"/>
    <s v="FIN5030"/>
    <n v="2025"/>
    <s v="November  "/>
    <x v="0"/>
  </r>
  <r>
    <s v="0914"/>
    <s v="ELEAD"/>
    <s v="ELEAD OTHER"/>
    <s v="CALL TRACKING COUNT AS ONE"/>
    <s v="21112"/>
    <s v="4111001"/>
    <s v="N"/>
    <s v="TN"/>
    <n v="0"/>
    <n v="995"/>
    <n v="1"/>
    <x v="175"/>
    <x v="165"/>
    <e v="#N/A"/>
    <x v="173"/>
    <s v="US INVOICE"/>
    <x v="432"/>
    <s v="64222579SW07"/>
    <x v="1"/>
    <x v="1"/>
    <s v="SWW"/>
    <s v="SW ACCESS VIA WEB"/>
    <n v="2025"/>
    <n v="11"/>
    <s v="FIN5030"/>
    <n v="2025"/>
    <s v="November  "/>
    <x v="0"/>
  </r>
  <r>
    <s v="0914"/>
    <s v="ELEAD"/>
    <s v="ELEAD OTHER"/>
    <s v="CALL TRACKING COUNT AS ONE"/>
    <s v="21112"/>
    <s v="4111001"/>
    <s v="N"/>
    <s v="CT"/>
    <n v="0"/>
    <n v="476.05"/>
    <n v="1"/>
    <x v="380"/>
    <x v="65"/>
    <e v="#N/A"/>
    <x v="376"/>
    <s v="US INVOICE"/>
    <x v="433"/>
    <s v="68235305SW44"/>
    <x v="1"/>
    <x v="1"/>
    <s v="SWW"/>
    <s v="SW ACCESS VIA WEB"/>
    <n v="2025"/>
    <n v="11"/>
    <s v="FIN5030"/>
    <n v="2025"/>
    <s v="November  "/>
    <x v="0"/>
  </r>
  <r>
    <s v="0914"/>
    <s v="ELEAD"/>
    <s v="ELEAD OTHER"/>
    <s v="CALL TRACKING COUNT AS ONE"/>
    <s v="21112"/>
    <s v="4111001"/>
    <s v="N"/>
    <s v="TX"/>
    <n v="0"/>
    <n v="0"/>
    <n v="1"/>
    <x v="381"/>
    <x v="65"/>
    <e v="#N/A"/>
    <x v="377"/>
    <s v="US INVOICE"/>
    <x v="434"/>
    <s v="64186378SW19"/>
    <x v="1"/>
    <x v="1"/>
    <s v="SWW"/>
    <s v="SW ACCESS VIA WEB"/>
    <n v="2025"/>
    <n v="11"/>
    <s v="FIN5030"/>
    <n v="2025"/>
    <s v="November  "/>
    <x v="0"/>
  </r>
  <r>
    <s v="0914"/>
    <s v="ELEAD"/>
    <s v="ELEAD OTHER"/>
    <s v="CALL TRACKING COUNT AS ONE"/>
    <s v="21112"/>
    <s v="4111001"/>
    <s v="N"/>
    <s v="CT"/>
    <n v="0"/>
    <n v="476.05"/>
    <n v="1"/>
    <x v="382"/>
    <x v="65"/>
    <e v="#N/A"/>
    <x v="378"/>
    <s v="US INVOICE"/>
    <x v="435"/>
    <s v="68235305SW26"/>
    <x v="1"/>
    <x v="1"/>
    <s v="SWW"/>
    <s v="SW ACCESS VIA WEB"/>
    <n v="2025"/>
    <n v="11"/>
    <s v="FIN5030"/>
    <n v="2025"/>
    <s v="November  "/>
    <x v="0"/>
  </r>
  <r>
    <s v="0914"/>
    <s v="ELEAD"/>
    <s v="ELEAD OTHER"/>
    <s v="CALL TRACKING COUNT AS ONE"/>
    <s v="21112"/>
    <s v="4111001"/>
    <s v="N"/>
    <s v="FL"/>
    <n v="0"/>
    <n v="2296.44"/>
    <n v="1"/>
    <x v="383"/>
    <x v="347"/>
    <e v="#N/A"/>
    <x v="379"/>
    <s v="US INVOICE"/>
    <x v="436"/>
    <s v="64169434SW07"/>
    <x v="1"/>
    <x v="1"/>
    <s v="SWW"/>
    <s v="SW ACCESS VIA WEB"/>
    <n v="2025"/>
    <n v="11"/>
    <s v="FIN5030"/>
    <n v="2025"/>
    <s v="November  "/>
    <x v="0"/>
  </r>
  <r>
    <s v="0914"/>
    <s v="ELEAD"/>
    <s v="ELEAD OTHER"/>
    <s v="CALL TRACKING COUNT AS ONE"/>
    <s v="21112"/>
    <s v="4111001"/>
    <s v="N"/>
    <s v="OH"/>
    <n v="0"/>
    <n v="371.18"/>
    <n v="1"/>
    <x v="266"/>
    <x v="247"/>
    <e v="#N/A"/>
    <x v="263"/>
    <s v="US INVOICE"/>
    <x v="437"/>
    <s v="67035328SW03"/>
    <x v="1"/>
    <x v="1"/>
    <s v="SWW"/>
    <s v="SW ACCESS VIA WEB"/>
    <n v="2025"/>
    <n v="11"/>
    <s v="FIN5030"/>
    <n v="2025"/>
    <s v="November  "/>
    <x v="0"/>
  </r>
  <r>
    <s v="0914"/>
    <s v="ELEAD"/>
    <s v="ELEAD OTHER"/>
    <s v="CALL TRACKING COUNT AS ONE"/>
    <s v="21112"/>
    <s v="4111001"/>
    <s v="N"/>
    <s v="NC"/>
    <n v="0"/>
    <n v="279"/>
    <n v="1"/>
    <x v="167"/>
    <x v="157"/>
    <e v="#N/A"/>
    <x v="165"/>
    <s v="US INVOICE"/>
    <x v="438"/>
    <s v="58038408SW25"/>
    <x v="1"/>
    <x v="1"/>
    <s v="SWW"/>
    <s v="SW ACCESS VIA WEB"/>
    <n v="2025"/>
    <n v="11"/>
    <s v="FIN5030"/>
    <n v="2025"/>
    <s v="November  "/>
    <x v="0"/>
  </r>
  <r>
    <s v="0914"/>
    <s v="ELEAD"/>
    <s v="ELEAD OTHER"/>
    <s v="CALL TRACKING COUNT AS ONE"/>
    <s v="21112"/>
    <s v="4111001"/>
    <s v="N"/>
    <s v="MA"/>
    <n v="0"/>
    <n v="0"/>
    <n v="1"/>
    <x v="291"/>
    <x v="268"/>
    <e v="#N/A"/>
    <x v="287"/>
    <s v="US INVOICE"/>
    <x v="439"/>
    <s v="68175284SW01"/>
    <x v="1"/>
    <x v="1"/>
    <s v="SWW"/>
    <s v="SW ACCESS VIA WEB"/>
    <n v="2025"/>
    <n v="11"/>
    <s v="FIN5030"/>
    <n v="2025"/>
    <s v="November  "/>
    <x v="0"/>
  </r>
  <r>
    <s v="0914"/>
    <s v="ELEAD"/>
    <s v="ELEAD OTHER"/>
    <s v="CALL TRACKING COUNT AS ONE"/>
    <s v="21112"/>
    <s v="4111001"/>
    <s v="N"/>
    <s v="MD"/>
    <n v="0"/>
    <n v="22.32"/>
    <n v="1"/>
    <x v="366"/>
    <x v="335"/>
    <e v="#N/A"/>
    <x v="362"/>
    <s v="US INVOICE"/>
    <x v="440"/>
    <s v="68189788SW31"/>
    <x v="1"/>
    <x v="1"/>
    <s v="SWW"/>
    <s v="SW ACCESS VIA WEB"/>
    <n v="2025"/>
    <n v="11"/>
    <s v="FIN5030"/>
    <n v="2025"/>
    <s v="November  "/>
    <x v="0"/>
  </r>
  <r>
    <s v="0914"/>
    <s v="ELEAD"/>
    <s v="ELEAD OTHER"/>
    <s v="CALL TRACKING COUNT AS ONE"/>
    <s v="21112"/>
    <s v="4111001"/>
    <s v="N"/>
    <s v="TX"/>
    <n v="0"/>
    <n v="499"/>
    <n v="1"/>
    <x v="384"/>
    <x v="348"/>
    <e v="#N/A"/>
    <x v="380"/>
    <s v="US INVOICE"/>
    <x v="441"/>
    <s v="64222579SW13"/>
    <x v="1"/>
    <x v="1"/>
    <s v="SWW"/>
    <s v="SW ACCESS VIA WEB"/>
    <n v="2025"/>
    <n v="11"/>
    <s v="FIN5030"/>
    <n v="2025"/>
    <s v="November  "/>
    <x v="0"/>
  </r>
  <r>
    <s v="0914"/>
    <s v="ELEAD"/>
    <s v="ELEAD OTHER"/>
    <s v="CALL TRACKING COUNT AS ONE"/>
    <s v="21112"/>
    <s v="4111001"/>
    <s v="N"/>
    <s v="AL"/>
    <n v="0"/>
    <n v="499"/>
    <n v="1"/>
    <x v="385"/>
    <x v="349"/>
    <e v="#N/A"/>
    <x v="381"/>
    <s v="US INVOICE"/>
    <x v="442"/>
    <s v="64222579SW21"/>
    <x v="1"/>
    <x v="1"/>
    <s v="SWW"/>
    <s v="SW ACCESS VIA WEB"/>
    <n v="2025"/>
    <n v="11"/>
    <s v="FIN5030"/>
    <n v="2025"/>
    <s v="November  "/>
    <x v="0"/>
  </r>
  <r>
    <s v="0914"/>
    <s v="ELEAD"/>
    <s v="ELEAD OTHER"/>
    <s v="CALL TRACKING COUNT AS ONE"/>
    <s v="21112"/>
    <s v="4111001"/>
    <s v="N"/>
    <s v="FL"/>
    <n v="0"/>
    <n v="241.25"/>
    <n v="1"/>
    <x v="386"/>
    <x v="65"/>
    <e v="#N/A"/>
    <x v="382"/>
    <s v="US INVOICE"/>
    <x v="443"/>
    <s v="58039655SW36"/>
    <x v="1"/>
    <x v="1"/>
    <s v="SWW"/>
    <s v="SW ACCESS VIA WEB"/>
    <n v="2025"/>
    <n v="11"/>
    <s v="FIN5030"/>
    <n v="2025"/>
    <s v="November  "/>
    <x v="0"/>
  </r>
  <r>
    <s v="0914"/>
    <s v="ELEAD"/>
    <s v="ELEAD OTHER"/>
    <s v="CALL TRACKING COUNT AS ONE"/>
    <s v="21112"/>
    <s v="4111001"/>
    <s v="N"/>
    <s v="AL"/>
    <n v="0"/>
    <n v="499"/>
    <n v="1"/>
    <x v="387"/>
    <x v="350"/>
    <e v="#N/A"/>
    <x v="383"/>
    <s v="US INVOICE"/>
    <x v="444"/>
    <s v="64222579SW18"/>
    <x v="1"/>
    <x v="1"/>
    <s v="SWW"/>
    <s v="SW ACCESS VIA WEB"/>
    <n v="2025"/>
    <n v="11"/>
    <s v="FIN5030"/>
    <n v="2025"/>
    <s v="November  "/>
    <x v="0"/>
  </r>
  <r>
    <s v="0914"/>
    <s v="ELEAD"/>
    <s v="ELEAD OTHER"/>
    <s v="CALL TRACKING COUNT AS ONE"/>
    <s v="21112"/>
    <s v="4111001"/>
    <s v="N"/>
    <s v="WI"/>
    <n v="0"/>
    <n v="142.16999999999999"/>
    <n v="1"/>
    <x v="388"/>
    <x v="351"/>
    <e v="#N/A"/>
    <x v="384"/>
    <s v="US INVOICE"/>
    <x v="445"/>
    <s v="64227692SW38"/>
    <x v="1"/>
    <x v="1"/>
    <s v="SWW"/>
    <s v="SW ACCESS VIA WEB"/>
    <n v="2025"/>
    <n v="11"/>
    <s v="FIN5030"/>
    <n v="2025"/>
    <s v="November  "/>
    <x v="0"/>
  </r>
  <r>
    <s v="0914"/>
    <s v="ELEAD"/>
    <s v="ELEAD OTHER"/>
    <s v="CALL TRACKING COUNT AS ONE"/>
    <s v="21112"/>
    <s v="4111001"/>
    <s v="N"/>
    <s v="WI"/>
    <n v="0"/>
    <n v="142.16999999999999"/>
    <n v="1"/>
    <x v="389"/>
    <x v="352"/>
    <e v="#N/A"/>
    <x v="385"/>
    <s v="US INVOICE"/>
    <x v="446"/>
    <s v="64227692SW35"/>
    <x v="1"/>
    <x v="1"/>
    <s v="SWW"/>
    <s v="SW ACCESS VIA WEB"/>
    <n v="2025"/>
    <n v="11"/>
    <s v="FIN5030"/>
    <n v="2025"/>
    <s v="November  "/>
    <x v="0"/>
  </r>
  <r>
    <s v="0914"/>
    <s v="ELEAD"/>
    <s v="ELEAD OTHER"/>
    <s v="CALL TRACKING COUNT AS ONE"/>
    <s v="21112"/>
    <s v="4111001"/>
    <s v="N"/>
    <s v="FL"/>
    <n v="0"/>
    <n v="614.79999999999995"/>
    <n v="1"/>
    <x v="383"/>
    <x v="347"/>
    <e v="#N/A"/>
    <x v="379"/>
    <s v="US INVOICE"/>
    <x v="447"/>
    <s v="64169434SW06"/>
    <x v="1"/>
    <x v="1"/>
    <s v="SWW"/>
    <s v="SW ACCESS VIA WEB"/>
    <n v="2025"/>
    <n v="11"/>
    <s v="FIN5030"/>
    <n v="2025"/>
    <s v="November  "/>
    <x v="0"/>
  </r>
  <r>
    <s v="0914"/>
    <s v="ELEAD"/>
    <s v="ELEAD OTHER"/>
    <s v="CALL TRACKING COUNT AS ONE"/>
    <s v="21112"/>
    <s v="4111001"/>
    <s v="N"/>
    <s v="FL"/>
    <n v="0"/>
    <n v="371.36"/>
    <n v="1"/>
    <x v="390"/>
    <x v="353"/>
    <e v="#N/A"/>
    <x v="386"/>
    <s v="US INVOICE"/>
    <x v="448"/>
    <s v="64169441SW01"/>
    <x v="1"/>
    <x v="1"/>
    <s v="SWW"/>
    <s v="SW ACCESS VIA WEB"/>
    <n v="2025"/>
    <n v="11"/>
    <s v="FIN5030"/>
    <n v="2025"/>
    <s v="November  "/>
    <x v="0"/>
  </r>
  <r>
    <s v="0914"/>
    <s v="ELEAD"/>
    <s v="ELEAD OTHER"/>
    <s v="CALL TRACKING COUNT AS ONE"/>
    <s v="21112"/>
    <s v="4111001"/>
    <s v="N"/>
    <s v="NY"/>
    <n v="0"/>
    <n v="313.95"/>
    <n v="1"/>
    <x v="391"/>
    <x v="354"/>
    <e v="#N/A"/>
    <x v="387"/>
    <s v="US INVOICE"/>
    <x v="449"/>
    <s v="68239818SW54"/>
    <x v="1"/>
    <x v="1"/>
    <s v="SWW"/>
    <s v="SW ACCESS VIA WEB"/>
    <n v="2025"/>
    <n v="11"/>
    <s v="FIN5030"/>
    <n v="2025"/>
    <s v="November  "/>
    <x v="0"/>
  </r>
  <r>
    <s v="0914"/>
    <s v="ELEAD"/>
    <s v="ELEAD OTHER"/>
    <s v="CALL TRACKING COUNT AS ONE"/>
    <s v="21112"/>
    <s v="4111001"/>
    <s v="N"/>
    <s v="LA"/>
    <n v="0"/>
    <n v="213.03"/>
    <n v="1"/>
    <x v="392"/>
    <x v="65"/>
    <e v="#N/A"/>
    <x v="388"/>
    <s v="US INVOICE"/>
    <x v="450"/>
    <s v="64238640SW03"/>
    <x v="1"/>
    <x v="1"/>
    <s v="SWW"/>
    <s v="SW ACCESS VIA WEB"/>
    <n v="2025"/>
    <n v="11"/>
    <s v="FIN5030"/>
    <n v="2025"/>
    <s v="November  "/>
    <x v="0"/>
  </r>
  <r>
    <s v="0914"/>
    <s v="ELEAD"/>
    <s v="ELEAD OTHER"/>
    <s v="CALL TRACKING COUNT AS ONE"/>
    <s v="21112"/>
    <s v="4111001"/>
    <s v="N"/>
    <s v="MO"/>
    <n v="0"/>
    <n v="338.2"/>
    <n v="1"/>
    <x v="393"/>
    <x v="355"/>
    <e v="#N/A"/>
    <x v="389"/>
    <s v="US INVOICE"/>
    <x v="451"/>
    <s v="38095635SW04"/>
    <x v="1"/>
    <x v="1"/>
    <s v="SWW"/>
    <s v="SW ACCESS VIA WEB"/>
    <n v="2025"/>
    <n v="11"/>
    <s v="FIN5030"/>
    <n v="2025"/>
    <s v="November  "/>
    <x v="0"/>
  </r>
  <r>
    <s v="0914"/>
    <s v="ELEAD"/>
    <s v="ELEAD OTHER"/>
    <s v="CALL TRACKING COUNT AS ONE"/>
    <s v="21112"/>
    <s v="4111001"/>
    <s v="N"/>
    <s v="CA"/>
    <n v="0"/>
    <n v="422.9"/>
    <n v="1"/>
    <x v="129"/>
    <x v="120"/>
    <e v="#N/A"/>
    <x v="127"/>
    <s v="US INVOICE"/>
    <x v="452"/>
    <s v="62163740SW01"/>
    <x v="1"/>
    <x v="1"/>
    <s v="SWW"/>
    <s v="SW ACCESS VIA WEB"/>
    <n v="2025"/>
    <n v="11"/>
    <s v="FIN5030"/>
    <n v="2025"/>
    <s v="November  "/>
    <x v="0"/>
  </r>
  <r>
    <s v="0914"/>
    <s v="ELEAD"/>
    <s v="ELEAD OTHER"/>
    <s v="CALL TRACKING COUNT AS ONE"/>
    <s v="21112"/>
    <s v="4111001"/>
    <s v="N"/>
    <s v="NC"/>
    <n v="0"/>
    <n v="745"/>
    <n v="1"/>
    <x v="171"/>
    <x v="161"/>
    <e v="#N/A"/>
    <x v="169"/>
    <s v="US INVOICE"/>
    <x v="453"/>
    <s v="58038326SW13"/>
    <x v="1"/>
    <x v="1"/>
    <s v="SWW"/>
    <s v="SW ACCESS VIA WEB"/>
    <n v="2025"/>
    <n v="11"/>
    <s v="FIN5030"/>
    <n v="2025"/>
    <s v="November  "/>
    <x v="0"/>
  </r>
  <r>
    <s v="0914"/>
    <s v="ELEAD"/>
    <s v="ELEAD OTHER"/>
    <s v="CALL TRACKING COUNT AS ONE"/>
    <s v="21112"/>
    <s v="4111001"/>
    <s v="N"/>
    <s v="NC"/>
    <n v="0"/>
    <n v="279"/>
    <n v="1"/>
    <x v="179"/>
    <x v="169"/>
    <e v="#N/A"/>
    <x v="177"/>
    <s v="US INVOICE"/>
    <x v="454"/>
    <s v="58038463SW21"/>
    <x v="1"/>
    <x v="1"/>
    <s v="SWW"/>
    <s v="SW ACCESS VIA WEB"/>
    <n v="2025"/>
    <n v="11"/>
    <s v="FIN5030"/>
    <n v="2025"/>
    <s v="November  "/>
    <x v="0"/>
  </r>
  <r>
    <s v="0914"/>
    <s v="ELEAD"/>
    <s v="ELEAD OTHER"/>
    <s v="CALL TRACKING COUNT AS ONE"/>
    <s v="21112"/>
    <s v="4111001"/>
    <s v="N"/>
    <s v="NC"/>
    <n v="0"/>
    <n v="279"/>
    <n v="1"/>
    <x v="171"/>
    <x v="161"/>
    <e v="#N/A"/>
    <x v="169"/>
    <s v="US INVOICE"/>
    <x v="455"/>
    <s v="58038326SW11"/>
    <x v="1"/>
    <x v="1"/>
    <s v="SWW"/>
    <s v="SW ACCESS VIA WEB"/>
    <n v="2025"/>
    <n v="11"/>
    <s v="FIN5030"/>
    <n v="2025"/>
    <s v="November  "/>
    <x v="0"/>
  </r>
  <r>
    <s v="0914"/>
    <s v="ELEAD"/>
    <s v="ELEAD OTHER"/>
    <s v="CALL TRACKING COUNT AS ONE"/>
    <s v="21112"/>
    <s v="4111001"/>
    <s v="N"/>
    <s v="CA"/>
    <n v="0"/>
    <n v="2295.36"/>
    <n v="1"/>
    <x v="375"/>
    <x v="343"/>
    <e v="#N/A"/>
    <x v="371"/>
    <s v="US INVOICE"/>
    <x v="456"/>
    <s v="62142533SW02"/>
    <x v="1"/>
    <x v="1"/>
    <s v="SWW"/>
    <s v="SW ACCESS VIA WEB"/>
    <n v="2025"/>
    <n v="11"/>
    <s v="FIN5030"/>
    <n v="2025"/>
    <s v="November  "/>
    <x v="0"/>
  </r>
  <r>
    <s v="0914"/>
    <s v="ELEAD"/>
    <s v="ELEAD OTHER"/>
    <s v="CALL TRACKING COUNT AS ONE"/>
    <s v="21112"/>
    <s v="4111001"/>
    <s v="N"/>
    <s v="VA"/>
    <n v="0"/>
    <n v="1028.97"/>
    <n v="1"/>
    <x v="394"/>
    <x v="356"/>
    <e v="#N/A"/>
    <x v="390"/>
    <s v="US INVOICE"/>
    <x v="457"/>
    <s v="64169830SW04"/>
    <x v="1"/>
    <x v="1"/>
    <s v="SWW"/>
    <s v="SW ACCESS VIA WEB"/>
    <n v="2025"/>
    <n v="11"/>
    <s v="FIN5030"/>
    <n v="2025"/>
    <s v="November  "/>
    <x v="0"/>
  </r>
  <r>
    <s v="0914"/>
    <s v="ELEAD"/>
    <s v="ELEAD OTHER"/>
    <s v="CALL TRACKING COUNT AS ONE"/>
    <s v="21112"/>
    <s v="4111001"/>
    <s v="N"/>
    <s v="NC"/>
    <n v="0"/>
    <n v="371.36"/>
    <n v="1"/>
    <x v="293"/>
    <x v="270"/>
    <e v="#N/A"/>
    <x v="289"/>
    <s v="US INVOICE"/>
    <x v="458"/>
    <s v="68163551SW02"/>
    <x v="1"/>
    <x v="1"/>
    <s v="SWW"/>
    <s v="SW ACCESS VIA WEB"/>
    <n v="2025"/>
    <n v="11"/>
    <s v="FIN5030"/>
    <n v="2025"/>
    <s v="November  "/>
    <x v="0"/>
  </r>
  <r>
    <s v="0914"/>
    <s v="ELEAD"/>
    <s v="ELEAD OTHER"/>
    <s v="CALL TRACKING COUNT AS ONE"/>
    <s v="21112"/>
    <s v="4111001"/>
    <s v="N"/>
    <s v="NC"/>
    <n v="0"/>
    <n v="247.16"/>
    <n v="1"/>
    <x v="292"/>
    <x v="269"/>
    <e v="#N/A"/>
    <x v="288"/>
    <s v="US INVOICE"/>
    <x v="459"/>
    <s v="68164269SW04"/>
    <x v="1"/>
    <x v="1"/>
    <s v="SWW"/>
    <s v="SW ACCESS VIA WEB"/>
    <n v="2025"/>
    <n v="11"/>
    <s v="FIN5030"/>
    <n v="2025"/>
    <s v="November  "/>
    <x v="0"/>
  </r>
  <r>
    <s v="0914"/>
    <s v="ELEAD"/>
    <s v="ELEAD OTHER"/>
    <s v="CALL TRACKING COUNT AS ONE"/>
    <s v="21112"/>
    <s v="4111001"/>
    <s v="N"/>
    <s v="IN"/>
    <n v="0"/>
    <n v="1177.28"/>
    <n v="1"/>
    <x v="395"/>
    <x v="65"/>
    <e v="#N/A"/>
    <x v="391"/>
    <s v="US INVOICE"/>
    <x v="460"/>
    <s v="67035004SW05"/>
    <x v="1"/>
    <x v="1"/>
    <s v="SWW"/>
    <s v="SW ACCESS VIA WEB"/>
    <n v="2025"/>
    <n v="11"/>
    <s v="FIN5030"/>
    <n v="2025"/>
    <s v="November  "/>
    <x v="0"/>
  </r>
  <r>
    <s v="0914"/>
    <s v="ELEAD"/>
    <s v="ELEAD OTHER"/>
    <s v="CALL TRACKING COUNT AS ONE"/>
    <s v="21112"/>
    <s v="4111001"/>
    <s v="N"/>
    <s v="TN"/>
    <n v="0"/>
    <n v="371.36"/>
    <n v="1"/>
    <x v="396"/>
    <x v="65"/>
    <e v="#N/A"/>
    <x v="392"/>
    <s v="US INVOICE"/>
    <x v="461"/>
    <s v="68237938SW01"/>
    <x v="1"/>
    <x v="1"/>
    <s v="SWW"/>
    <s v="SW ACCESS VIA WEB"/>
    <n v="2025"/>
    <n v="11"/>
    <s v="FIN5030"/>
    <n v="2025"/>
    <s v="November  "/>
    <x v="0"/>
  </r>
  <r>
    <s v="0914"/>
    <s v="ELEAD"/>
    <s v="ELEAD OTHER"/>
    <s v="CALL TRACKING COUNT AS ONE"/>
    <s v="21112"/>
    <s v="4111001"/>
    <s v="N"/>
    <s v="PA"/>
    <n v="0"/>
    <n v="370.2"/>
    <n v="1"/>
    <x v="241"/>
    <x v="229"/>
    <e v="#N/A"/>
    <x v="239"/>
    <s v="US INVOICE"/>
    <x v="462"/>
    <s v="68163825SW03"/>
    <x v="1"/>
    <x v="1"/>
    <s v="SWW"/>
    <s v="SW ACCESS VIA WEB"/>
    <n v="2025"/>
    <n v="11"/>
    <s v="FIN5030"/>
    <n v="2025"/>
    <s v="November  "/>
    <x v="0"/>
  </r>
  <r>
    <s v="0914"/>
    <s v="ELEAD"/>
    <s v="ELEAD OTHER"/>
    <s v="CALL TRACKING COUNT AS ONE"/>
    <s v="21112"/>
    <s v="4111001"/>
    <s v="N"/>
    <s v="GA"/>
    <n v="0"/>
    <n v="619.46"/>
    <n v="1"/>
    <x v="397"/>
    <x v="357"/>
    <e v="#N/A"/>
    <x v="393"/>
    <s v="US INVOICE"/>
    <x v="463"/>
    <s v="68163484SW04"/>
    <x v="1"/>
    <x v="1"/>
    <s v="SWW"/>
    <s v="SW ACCESS VIA WEB"/>
    <n v="2025"/>
    <n v="11"/>
    <s v="FIN5030"/>
    <n v="2025"/>
    <s v="November  "/>
    <x v="0"/>
  </r>
  <r>
    <s v="0914"/>
    <s v="ELEAD"/>
    <s v="ELEAD OTHER"/>
    <s v="CALL TRACKING COUNT AS ONE"/>
    <s v="21112"/>
    <s v="4111001"/>
    <s v="N"/>
    <s v="NC"/>
    <n v="0"/>
    <n v="572.05999999999995"/>
    <n v="1"/>
    <x v="259"/>
    <x v="240"/>
    <e v="#N/A"/>
    <x v="256"/>
    <s v="US INVOICE"/>
    <x v="464"/>
    <s v="68211655SW01"/>
    <x v="1"/>
    <x v="1"/>
    <s v="SWW"/>
    <s v="SW ACCESS VIA WEB"/>
    <n v="2025"/>
    <n v="11"/>
    <s v="FIN5030"/>
    <n v="2025"/>
    <s v="November  "/>
    <x v="0"/>
  </r>
  <r>
    <s v="0914"/>
    <s v="ELEAD"/>
    <s v="ELEAD OTHER"/>
    <s v="CALL TRACKING COUNT AS ONE"/>
    <s v="21112"/>
    <s v="4111001"/>
    <s v="N"/>
    <s v="NC"/>
    <n v="0"/>
    <n v="995"/>
    <n v="1"/>
    <x v="167"/>
    <x v="157"/>
    <e v="#N/A"/>
    <x v="165"/>
    <s v="US INVOICE"/>
    <x v="465"/>
    <s v="58038408SW26"/>
    <x v="1"/>
    <x v="1"/>
    <s v="SWW"/>
    <s v="SW ACCESS VIA WEB"/>
    <n v="2025"/>
    <n v="11"/>
    <s v="FIN5030"/>
    <n v="2025"/>
    <s v="November  "/>
    <x v="0"/>
  </r>
  <r>
    <s v="0914"/>
    <s v="ELEAD"/>
    <s v="ELEAD OTHER"/>
    <s v="CALL TRACKING COUNT AS ONE"/>
    <s v="21112"/>
    <s v="4111001"/>
    <s v="N"/>
    <s v="GA"/>
    <n v="0"/>
    <n v="584.73"/>
    <n v="1"/>
    <x v="398"/>
    <x v="358"/>
    <e v="#N/A"/>
    <x v="394"/>
    <s v="US INVOICE"/>
    <x v="466"/>
    <s v="68163056SW04"/>
    <x v="1"/>
    <x v="1"/>
    <s v="SWW"/>
    <s v="SW ACCESS VIA WEB"/>
    <n v="2025"/>
    <n v="11"/>
    <s v="FIN5030"/>
    <n v="2025"/>
    <s v="November  "/>
    <x v="0"/>
  </r>
  <r>
    <s v="0914"/>
    <s v="ELEAD"/>
    <s v="ELEAD OTHER"/>
    <s v="CALL TRACKING COUNT AS ONE"/>
    <s v="21112"/>
    <s v="4111001"/>
    <s v="N"/>
    <s v="PA"/>
    <n v="0"/>
    <n v="199"/>
    <n v="1"/>
    <x v="204"/>
    <x v="193"/>
    <e v="#N/A"/>
    <x v="202"/>
    <s v="US INVOICE"/>
    <x v="467"/>
    <s v="68189797SW50"/>
    <x v="1"/>
    <x v="1"/>
    <s v="SWW"/>
    <s v="SW ACCESS VIA WEB"/>
    <n v="2025"/>
    <n v="11"/>
    <s v="FIN5030"/>
    <n v="2025"/>
    <s v="November  "/>
    <x v="0"/>
  </r>
  <r>
    <s v="0914"/>
    <s v="ELEAD"/>
    <s v="ELEAD OTHER"/>
    <s v="CALL TRACKING COUNT AS ONE"/>
    <s v="21112"/>
    <s v="4111001"/>
    <s v="N"/>
    <s v="NC"/>
    <n v="0"/>
    <n v="338.2"/>
    <n v="1"/>
    <x v="399"/>
    <x v="359"/>
    <e v="#N/A"/>
    <x v="395"/>
    <s v="US INVOICE"/>
    <x v="468"/>
    <s v="38095578SW04"/>
    <x v="1"/>
    <x v="1"/>
    <s v="SWW"/>
    <s v="SW ACCESS VIA WEB"/>
    <n v="2025"/>
    <n v="11"/>
    <s v="FIN5030"/>
    <n v="2025"/>
    <s v="November  "/>
    <x v="0"/>
  </r>
  <r>
    <s v="0914"/>
    <s v="ELEAD"/>
    <s v="ELEAD OTHER"/>
    <s v="CALL TRACKING COUNT AS ONE"/>
    <s v="21112"/>
    <s v="4111001"/>
    <s v="N"/>
    <s v="NJ"/>
    <n v="0"/>
    <n v="445.73"/>
    <n v="1"/>
    <x v="400"/>
    <x v="65"/>
    <e v="#N/A"/>
    <x v="396"/>
    <s v="US INVOICE"/>
    <x v="469"/>
    <s v="68163823SW01"/>
    <x v="1"/>
    <x v="1"/>
    <s v="SWW"/>
    <s v="SW ACCESS VIA WEB"/>
    <n v="2025"/>
    <n v="11"/>
    <s v="FIN5030"/>
    <n v="2025"/>
    <s v="November  "/>
    <x v="0"/>
  </r>
  <r>
    <s v="0914"/>
    <s v="ELEAD"/>
    <s v="ELEAD OTHER"/>
    <s v="CALL TRACKING COUNT AS ONE"/>
    <s v="21112"/>
    <s v="4111001"/>
    <s v="N"/>
    <s v="AL"/>
    <n v="0"/>
    <n v="499"/>
    <n v="1"/>
    <x v="401"/>
    <x v="360"/>
    <e v="#N/A"/>
    <x v="397"/>
    <s v="US INVOICE"/>
    <x v="470"/>
    <s v="64222579SW15"/>
    <x v="1"/>
    <x v="1"/>
    <s v="SWW"/>
    <s v="SW ACCESS VIA WEB"/>
    <n v="2025"/>
    <n v="11"/>
    <s v="FIN5030"/>
    <n v="2025"/>
    <s v="November  "/>
    <x v="0"/>
  </r>
  <r>
    <s v="0914"/>
    <s v="ELEAD"/>
    <s v="ELEAD OTHER"/>
    <s v="CALL TRACKING COUNT AS ONE"/>
    <s v="21112"/>
    <s v="4111001"/>
    <s v="N"/>
    <s v="GA"/>
    <n v="0"/>
    <n v="371.18"/>
    <n v="1"/>
    <x v="402"/>
    <x v="361"/>
    <e v="#N/A"/>
    <x v="398"/>
    <s v="US INVOICE"/>
    <x v="471"/>
    <s v="68163344SW01"/>
    <x v="1"/>
    <x v="1"/>
    <s v="SWW"/>
    <s v="SW ACCESS VIA WEB"/>
    <n v="2025"/>
    <n v="11"/>
    <s v="FIN5030"/>
    <n v="2025"/>
    <s v="November  "/>
    <x v="0"/>
  </r>
  <r>
    <s v="0914"/>
    <s v="ELEAD"/>
    <s v="ELEAD OTHER"/>
    <s v="CALL TRACKING COUNT AS ONE"/>
    <s v="21112"/>
    <s v="4111001"/>
    <s v="N"/>
    <s v="FL"/>
    <n v="0"/>
    <n v="1107.33"/>
    <n v="1"/>
    <x v="158"/>
    <x v="149"/>
    <e v="#N/A"/>
    <x v="156"/>
    <s v="US INVOICE"/>
    <x v="472"/>
    <s v="64209710SW24"/>
    <x v="1"/>
    <x v="1"/>
    <s v="SWW"/>
    <s v="SW ACCESS VIA WEB"/>
    <n v="2025"/>
    <n v="11"/>
    <s v="FIN5030"/>
    <n v="2025"/>
    <s v="November  "/>
    <x v="0"/>
  </r>
  <r>
    <s v="0914"/>
    <s v="ELEAD"/>
    <s v="ELEAD OTHER"/>
    <s v="CALL TRACKING COUNT AS ONE"/>
    <s v="21112"/>
    <s v="4111001"/>
    <s v="N"/>
    <s v="CT"/>
    <n v="0"/>
    <n v="476.05"/>
    <n v="1"/>
    <x v="403"/>
    <x v="65"/>
    <e v="#N/A"/>
    <x v="399"/>
    <s v="US INVOICE"/>
    <x v="473"/>
    <s v="68235305SW48"/>
    <x v="1"/>
    <x v="1"/>
    <s v="SWW"/>
    <s v="SW ACCESS VIA WEB"/>
    <n v="2025"/>
    <n v="11"/>
    <s v="FIN5030"/>
    <n v="2025"/>
    <s v="November  "/>
    <x v="0"/>
  </r>
  <r>
    <s v="0914"/>
    <s v="ELEAD"/>
    <s v="ELEAD OTHER"/>
    <s v="CALL TRACKING COUNT AS ONE"/>
    <s v="21112"/>
    <s v="4111001"/>
    <s v="N"/>
    <s v="CT"/>
    <n v="0"/>
    <n v="476.05"/>
    <n v="1"/>
    <x v="404"/>
    <x v="65"/>
    <e v="#N/A"/>
    <x v="400"/>
    <s v="US INVOICE"/>
    <x v="474"/>
    <s v="68235305SW32"/>
    <x v="1"/>
    <x v="1"/>
    <s v="SWW"/>
    <s v="SW ACCESS VIA WEB"/>
    <n v="2025"/>
    <n v="11"/>
    <s v="FIN5030"/>
    <n v="2025"/>
    <s v="November  "/>
    <x v="0"/>
  </r>
  <r>
    <s v="0914"/>
    <s v="ELEAD"/>
    <s v="ELEAD OTHER"/>
    <s v="CALL TRACKING COUNT AS ONE"/>
    <s v="21112"/>
    <s v="4111001"/>
    <s v="N"/>
    <s v="WI"/>
    <n v="0"/>
    <n v="134.55000000000001"/>
    <n v="1"/>
    <x v="405"/>
    <x v="65"/>
    <e v="#N/A"/>
    <x v="401"/>
    <s v="US INVOICE"/>
    <x v="475"/>
    <s v="64227711SW41"/>
    <x v="1"/>
    <x v="1"/>
    <s v="SWW"/>
    <s v="SW ACCESS VIA WEB"/>
    <n v="2025"/>
    <n v="11"/>
    <s v="FIN5030"/>
    <n v="2025"/>
    <s v="November  "/>
    <x v="0"/>
  </r>
  <r>
    <s v="0914"/>
    <s v="ELEAD"/>
    <s v="ELEAD OTHER"/>
    <s v="CALL TRACKING COUNT AS ONE"/>
    <s v="21112"/>
    <s v="4111001"/>
    <s v="N"/>
    <s v="WI"/>
    <n v="0"/>
    <n v="217.99"/>
    <n v="1"/>
    <x v="356"/>
    <x v="328"/>
    <e v="#N/A"/>
    <x v="352"/>
    <s v="US INVOICE"/>
    <x v="476"/>
    <s v="64227720SW61"/>
    <x v="1"/>
    <x v="1"/>
    <s v="SWW"/>
    <s v="SW ACCESS VIA WEB"/>
    <n v="2025"/>
    <n v="11"/>
    <s v="FIN5030"/>
    <n v="2025"/>
    <s v="November  "/>
    <x v="0"/>
  </r>
  <r>
    <s v="0914"/>
    <s v="ELEAD"/>
    <s v="ELEAD OTHER"/>
    <s v="CALL TRACKING COUNT AS ONE"/>
    <s v="21112"/>
    <s v="4111001"/>
    <s v="N"/>
    <s v="TN"/>
    <n v="0"/>
    <n v="584.73"/>
    <n v="1"/>
    <x v="406"/>
    <x v="362"/>
    <e v="#N/A"/>
    <x v="402"/>
    <s v="US INVOICE"/>
    <x v="477"/>
    <s v="68163145SW02"/>
    <x v="1"/>
    <x v="1"/>
    <s v="SWW"/>
    <s v="SW ACCESS VIA WEB"/>
    <n v="2025"/>
    <n v="11"/>
    <s v="FIN5030"/>
    <n v="2025"/>
    <s v="November  "/>
    <x v="0"/>
  </r>
  <r>
    <s v="0914"/>
    <s v="ELEAD"/>
    <s v="ELEAD OTHER"/>
    <s v="CALL TRACKING COUNT AS ONE"/>
    <s v="21112"/>
    <s v="4111001"/>
    <s v="N"/>
    <s v="TX"/>
    <n v="0"/>
    <n v="342.3"/>
    <n v="1"/>
    <x v="407"/>
    <x v="363"/>
    <e v="#N/A"/>
    <x v="403"/>
    <s v="US INVOICE"/>
    <x v="478"/>
    <s v="64180854SW03"/>
    <x v="1"/>
    <x v="1"/>
    <s v="SWW"/>
    <s v="SW ACCESS VIA WEB"/>
    <n v="2025"/>
    <n v="11"/>
    <s v="FIN5030"/>
    <n v="2025"/>
    <s v="November  "/>
    <x v="0"/>
  </r>
  <r>
    <s v="0914"/>
    <s v="ELEAD"/>
    <s v="ELEAD OTHER"/>
    <s v="CALL TRACKING COUNT AS ONE"/>
    <s v="21112"/>
    <s v="4111001"/>
    <s v="N"/>
    <s v="TX"/>
    <n v="0"/>
    <n v="371.18"/>
    <n v="1"/>
    <x v="408"/>
    <x v="364"/>
    <e v="#N/A"/>
    <x v="404"/>
    <s v="US INVOICE"/>
    <x v="479"/>
    <s v="64169966SW01"/>
    <x v="1"/>
    <x v="1"/>
    <s v="SWW"/>
    <s v="SW ACCESS VIA WEB"/>
    <n v="2025"/>
    <n v="11"/>
    <s v="FIN5030"/>
    <n v="2025"/>
    <s v="November  "/>
    <x v="0"/>
  </r>
  <r>
    <s v="0914"/>
    <s v="ELEAD"/>
    <s v="ELEAD OTHER"/>
    <s v="CALL TRACKING COUNT AS ONE"/>
    <s v="21112"/>
    <s v="4111001"/>
    <s v="N"/>
    <s v="MA"/>
    <n v="0"/>
    <n v="0"/>
    <n v="1"/>
    <x v="300"/>
    <x v="276"/>
    <e v="#N/A"/>
    <x v="296"/>
    <s v="US INVOICE"/>
    <x v="480"/>
    <s v="68163935SW01"/>
    <x v="1"/>
    <x v="1"/>
    <s v="SWW"/>
    <s v="SW ACCESS VIA WEB"/>
    <n v="2025"/>
    <n v="11"/>
    <s v="FIN5030"/>
    <n v="2025"/>
    <s v="November  "/>
    <x v="0"/>
  </r>
  <r>
    <s v="0914"/>
    <s v="ELEAD"/>
    <s v="ELEAD OTHER"/>
    <s v="CALL TRACKING COUNT AS ONE"/>
    <s v="21112"/>
    <s v="4111001"/>
    <s v="N"/>
    <s v="TN"/>
    <n v="0"/>
    <n v="995"/>
    <n v="1"/>
    <x v="409"/>
    <x v="365"/>
    <e v="#N/A"/>
    <x v="405"/>
    <s v="US INVOICE"/>
    <x v="481"/>
    <s v="64222579SW08"/>
    <x v="1"/>
    <x v="1"/>
    <s v="SWW"/>
    <s v="SW ACCESS VIA WEB"/>
    <n v="2025"/>
    <n v="11"/>
    <s v="FIN5030"/>
    <n v="2025"/>
    <s v="November  "/>
    <x v="0"/>
  </r>
  <r>
    <s v="0914"/>
    <s v="ELEAD"/>
    <s v="ELEAD OTHER"/>
    <s v="CALL TRACKING COUNT AS ONE"/>
    <s v="21112"/>
    <s v="4111001"/>
    <s v="N"/>
    <s v="NC"/>
    <n v="0"/>
    <n v="617.83000000000004"/>
    <n v="1"/>
    <x v="410"/>
    <x v="366"/>
    <e v="#N/A"/>
    <x v="406"/>
    <s v="US INVOICE"/>
    <x v="482"/>
    <s v="64169961SW01"/>
    <x v="1"/>
    <x v="1"/>
    <s v="SWW"/>
    <s v="SW ACCESS VIA WEB"/>
    <n v="2025"/>
    <n v="11"/>
    <s v="FIN5030"/>
    <n v="2025"/>
    <s v="November  "/>
    <x v="0"/>
  </r>
  <r>
    <s v="0914"/>
    <s v="ELEAD"/>
    <s v="ELEAD OTHER"/>
    <s v="CALL TRACKING COUNT AS ONE"/>
    <s v="21112"/>
    <s v="4111001"/>
    <s v="N"/>
    <s v="MD"/>
    <n v="0"/>
    <n v="371.18"/>
    <n v="1"/>
    <x v="411"/>
    <x v="367"/>
    <e v="#N/A"/>
    <x v="407"/>
    <s v="US INVOICE"/>
    <x v="483"/>
    <s v="68164058SW03"/>
    <x v="1"/>
    <x v="1"/>
    <s v="SWW"/>
    <s v="SW ACCESS VIA WEB"/>
    <n v="2025"/>
    <n v="11"/>
    <s v="FIN5030"/>
    <n v="2025"/>
    <s v="November  "/>
    <x v="0"/>
  </r>
  <r>
    <s v="0914"/>
    <s v="ELEAD"/>
    <s v="ELEAD OTHER"/>
    <s v="CALL TRACKING COUNT AS ONE"/>
    <s v="21112"/>
    <s v="4111001"/>
    <s v="N"/>
    <s v="VA"/>
    <n v="0"/>
    <n v="1028.97"/>
    <n v="1"/>
    <x v="412"/>
    <x v="368"/>
    <e v="#N/A"/>
    <x v="408"/>
    <s v="US INVOICE"/>
    <x v="484"/>
    <s v="64170539SW01"/>
    <x v="1"/>
    <x v="1"/>
    <s v="SWW"/>
    <s v="SW ACCESS VIA WEB"/>
    <n v="2025"/>
    <n v="11"/>
    <s v="FIN5030"/>
    <n v="2025"/>
    <s v="November  "/>
    <x v="0"/>
  </r>
  <r>
    <s v="0914"/>
    <s v="ELEAD"/>
    <s v="ELEAD OTHER"/>
    <s v="CALL TRACKING COUNT AS ONE"/>
    <s v="21112"/>
    <s v="4111001"/>
    <s v="N"/>
    <s v="TN"/>
    <n v="0"/>
    <n v="370.2"/>
    <n v="1"/>
    <x v="302"/>
    <x v="278"/>
    <e v="#N/A"/>
    <x v="298"/>
    <s v="US INVOICE"/>
    <x v="485"/>
    <s v="64169455SW04"/>
    <x v="1"/>
    <x v="1"/>
    <s v="SWW"/>
    <s v="SW ACCESS VIA WEB"/>
    <n v="2025"/>
    <n v="11"/>
    <s v="FIN5030"/>
    <n v="2025"/>
    <s v="November  "/>
    <x v="0"/>
  </r>
  <r>
    <s v="0914"/>
    <s v="ELEAD"/>
    <s v="ELEAD OTHER"/>
    <s v="CALL TRACKING COUNT AS ONE"/>
    <s v="21112"/>
    <s v="4111001"/>
    <s v="N"/>
    <s v="TX"/>
    <n v="0"/>
    <n v="0"/>
    <n v="1"/>
    <x v="413"/>
    <x v="65"/>
    <e v="#N/A"/>
    <x v="409"/>
    <s v="US INVOICE"/>
    <x v="486"/>
    <s v="62184080SW34"/>
    <x v="1"/>
    <x v="1"/>
    <s v="SWW"/>
    <s v="SW ACCESS VIA WEB"/>
    <n v="2025"/>
    <n v="11"/>
    <s v="FIN5030"/>
    <n v="2025"/>
    <s v="November  "/>
    <x v="0"/>
  </r>
  <r>
    <s v="0914"/>
    <s v="ELEAD"/>
    <s v="ELEAD OTHER"/>
    <s v="CALL TRACKING COUNT AS ONE"/>
    <s v="21112"/>
    <s v="4111001"/>
    <s v="N"/>
    <s v="SC"/>
    <n v="0"/>
    <n v="199"/>
    <n v="1"/>
    <x v="414"/>
    <x v="65"/>
    <e v="#N/A"/>
    <x v="410"/>
    <s v="US INVOICE"/>
    <x v="487"/>
    <s v="68203324SW11"/>
    <x v="1"/>
    <x v="1"/>
    <s v="SWW"/>
    <s v="SW ACCESS VIA WEB"/>
    <n v="2025"/>
    <n v="11"/>
    <s v="FIN5030"/>
    <n v="2025"/>
    <s v="November  "/>
    <x v="0"/>
  </r>
  <r>
    <s v="0914"/>
    <s v="ELEAD"/>
    <s v="ELEAD OTHER"/>
    <s v="CALL TRACKING COUNT AS ONE"/>
    <s v="21112"/>
    <s v="4111001"/>
    <s v="N"/>
    <s v="MS"/>
    <n v="0"/>
    <n v="246.39"/>
    <n v="1"/>
    <x v="415"/>
    <x v="369"/>
    <e v="#N/A"/>
    <x v="411"/>
    <s v="US INVOICE"/>
    <x v="488"/>
    <s v="64169487SW07"/>
    <x v="1"/>
    <x v="1"/>
    <s v="SWW"/>
    <s v="SW ACCESS VIA WEB"/>
    <n v="2025"/>
    <n v="11"/>
    <s v="FIN5030"/>
    <n v="2025"/>
    <s v="November  "/>
    <x v="0"/>
  </r>
  <r>
    <s v="0914"/>
    <s v="ELEAD"/>
    <s v="ELEAD OTHER"/>
    <s v="CALL TRACKING COUNT AS ONE"/>
    <s v="21112"/>
    <s v="4111001"/>
    <s v="N"/>
    <s v="TX"/>
    <n v="0"/>
    <n v="371.18"/>
    <n v="1"/>
    <x v="416"/>
    <x v="370"/>
    <e v="#N/A"/>
    <x v="412"/>
    <s v="US INVOICE"/>
    <x v="489"/>
    <s v="64169965SW01"/>
    <x v="1"/>
    <x v="1"/>
    <s v="SWW"/>
    <s v="SW ACCESS VIA WEB"/>
    <n v="2025"/>
    <n v="11"/>
    <s v="FIN5030"/>
    <n v="2025"/>
    <s v="November  "/>
    <x v="0"/>
  </r>
  <r>
    <s v="0914"/>
    <s v="ELEAD"/>
    <s v="ELEAD OTHER"/>
    <s v="CALL TRACKING COUNT AS ONE"/>
    <s v="21112"/>
    <s v="4111001"/>
    <s v="N"/>
    <s v="SC"/>
    <n v="0"/>
    <n v="211.04"/>
    <n v="1"/>
    <x v="417"/>
    <x v="65"/>
    <e v="#N/A"/>
    <x v="413"/>
    <s v="US INVOICE"/>
    <x v="490"/>
    <s v="68162917SW06"/>
    <x v="1"/>
    <x v="1"/>
    <s v="SWW"/>
    <s v="SW ACCESS VIA WEB"/>
    <n v="2025"/>
    <n v="11"/>
    <s v="FIN5030"/>
    <n v="2025"/>
    <s v="November  "/>
    <x v="0"/>
  </r>
  <r>
    <s v="0914"/>
    <s v="ELEAD"/>
    <s v="ELEAD OTHER"/>
    <s v="CALL TRACKING COUNT AS ONE"/>
    <s v="21112"/>
    <s v="4111001"/>
    <s v="N"/>
    <s v="NC"/>
    <n v="0"/>
    <n v="995"/>
    <n v="1"/>
    <x v="162"/>
    <x v="153"/>
    <e v="#N/A"/>
    <x v="160"/>
    <s v="US INVOICE"/>
    <x v="491"/>
    <s v="58038454SW28"/>
    <x v="1"/>
    <x v="1"/>
    <s v="SWW"/>
    <s v="SW ACCESS VIA WEB"/>
    <n v="2025"/>
    <n v="11"/>
    <s v="FIN5030"/>
    <n v="2025"/>
    <s v="November  "/>
    <x v="0"/>
  </r>
  <r>
    <s v="0914"/>
    <s v="ELEAD"/>
    <s v="ELEAD OTHER"/>
    <s v="CALL TRACKING COUNT AS ONE"/>
    <s v="21112"/>
    <s v="4111001"/>
    <s v="N"/>
    <s v="MI"/>
    <n v="0"/>
    <n v="299"/>
    <n v="1"/>
    <x v="212"/>
    <x v="201"/>
    <e v="#N/A"/>
    <x v="210"/>
    <s v="US INVOICE"/>
    <x v="492"/>
    <s v="38106699SW05"/>
    <x v="1"/>
    <x v="1"/>
    <s v="SWW"/>
    <s v="SW ACCESS VIA WEB"/>
    <n v="2025"/>
    <n v="11"/>
    <s v="FIN5030"/>
    <n v="2025"/>
    <s v="November  "/>
    <x v="0"/>
  </r>
  <r>
    <s v="0914"/>
    <s v="ELEAD"/>
    <s v="ELEAD OTHER"/>
    <s v="CALL TRACKING COUNT AS ONE"/>
    <s v="21112"/>
    <s v="4111001"/>
    <s v="N"/>
    <s v="NC"/>
    <n v="0"/>
    <n v="131.04"/>
    <n v="1"/>
    <x v="418"/>
    <x v="371"/>
    <e v="#N/A"/>
    <x v="414"/>
    <s v="US INVOICE"/>
    <x v="493"/>
    <s v="68230019SW14"/>
    <x v="1"/>
    <x v="1"/>
    <s v="SWW"/>
    <s v="SW ACCESS VIA WEB"/>
    <n v="2025"/>
    <n v="11"/>
    <s v="FIN5030"/>
    <n v="2025"/>
    <s v="November  "/>
    <x v="0"/>
  </r>
  <r>
    <s v="0914"/>
    <s v="ELEAD"/>
    <s v="ELEAD OTHER"/>
    <s v="CALL TRACKING COUNT AS ONE"/>
    <s v="21112"/>
    <s v="4111001"/>
    <s v="N"/>
    <s v="MD"/>
    <n v="0"/>
    <n v="199"/>
    <n v="1"/>
    <x v="369"/>
    <x v="65"/>
    <e v="#N/A"/>
    <x v="365"/>
    <s v="US INVOICE"/>
    <x v="494"/>
    <s v="68239649SW01"/>
    <x v="1"/>
    <x v="1"/>
    <s v="SWW"/>
    <s v="SW ACCESS VIA WEB"/>
    <n v="2025"/>
    <n v="11"/>
    <s v="FIN5030"/>
    <n v="2025"/>
    <s v="November  "/>
    <x v="0"/>
  </r>
  <r>
    <s v="0914"/>
    <s v="ELEAD"/>
    <s v="ELEAD OTHER"/>
    <s v="CALL TRACKING COUNT AS ONE"/>
    <s v="21112"/>
    <s v="4111001"/>
    <s v="N"/>
    <s v="AL"/>
    <n v="0"/>
    <n v="499"/>
    <n v="1"/>
    <x v="419"/>
    <x v="372"/>
    <e v="#N/A"/>
    <x v="415"/>
    <s v="US INVOICE"/>
    <x v="495"/>
    <s v="64222579SW20"/>
    <x v="1"/>
    <x v="1"/>
    <s v="SWW"/>
    <s v="SW ACCESS VIA WEB"/>
    <n v="2025"/>
    <n v="11"/>
    <s v="FIN5030"/>
    <n v="2025"/>
    <s v="November  "/>
    <x v="0"/>
  </r>
  <r>
    <s v="0914"/>
    <s v="ELEAD"/>
    <s v="ELEAD OTHER"/>
    <s v="CALL TRACKING COUNT AS ONE"/>
    <s v="21112"/>
    <s v="4111001"/>
    <s v="N"/>
    <s v="GA"/>
    <n v="0"/>
    <n v="499"/>
    <n v="1"/>
    <x v="420"/>
    <x v="373"/>
    <e v="#N/A"/>
    <x v="416"/>
    <s v="US INVOICE"/>
    <x v="496"/>
    <s v="64222579SW24"/>
    <x v="1"/>
    <x v="1"/>
    <s v="SWW"/>
    <s v="SW ACCESS VIA WEB"/>
    <n v="2025"/>
    <n v="11"/>
    <s v="FIN5030"/>
    <n v="2025"/>
    <s v="November  "/>
    <x v="0"/>
  </r>
  <r>
    <s v="0914"/>
    <s v="ELEAD"/>
    <s v="ELEAD OTHER"/>
    <s v="CALL TRACKING COUNT AS ONE"/>
    <s v="21112"/>
    <s v="4111001"/>
    <s v="N"/>
    <s v="FL"/>
    <n v="0"/>
    <n v="299"/>
    <n v="1"/>
    <x v="421"/>
    <x v="374"/>
    <e v="#N/A"/>
    <x v="417"/>
    <s v="US INVOICE"/>
    <x v="497"/>
    <s v="64222579SW02"/>
    <x v="1"/>
    <x v="1"/>
    <s v="SWW"/>
    <s v="SW ACCESS VIA WEB"/>
    <n v="2025"/>
    <n v="11"/>
    <s v="FIN5030"/>
    <n v="2025"/>
    <s v="November  "/>
    <x v="0"/>
  </r>
  <r>
    <s v="0914"/>
    <s v="ELEAD"/>
    <s v="ELEAD OTHER"/>
    <s v="CALL TRACKING COUNT AS ONE"/>
    <s v="21112"/>
    <s v="4111001"/>
    <s v="N"/>
    <s v="FL"/>
    <n v="0"/>
    <n v="1044.75"/>
    <n v="1"/>
    <x v="422"/>
    <x v="375"/>
    <e v="#N/A"/>
    <x v="418"/>
    <s v="US INVOICE"/>
    <x v="498"/>
    <s v="64238570SW02"/>
    <x v="1"/>
    <x v="1"/>
    <s v="SWW"/>
    <s v="SW ACCESS VIA WEB"/>
    <n v="2025"/>
    <n v="11"/>
    <s v="FIN5030"/>
    <n v="2025"/>
    <s v="November  "/>
    <x v="0"/>
  </r>
  <r>
    <s v="0914"/>
    <s v="ELEAD"/>
    <s v="ELEAD OTHER"/>
    <s v="CALL TRACKING COUNT AS ONE"/>
    <s v="21112"/>
    <s v="4111001"/>
    <s v="N"/>
    <s v="OR"/>
    <n v="0"/>
    <n v="103"/>
    <n v="1"/>
    <x v="423"/>
    <x v="65"/>
    <e v="#N/A"/>
    <x v="419"/>
    <s v="US INVOICE"/>
    <x v="499"/>
    <s v="58026309SW22"/>
    <x v="23"/>
    <x v="23"/>
    <s v="SWW"/>
    <s v="SW ACCESS VIA WEB"/>
    <n v="2025"/>
    <n v="11"/>
    <s v="FIN5030"/>
    <n v="2025"/>
    <s v="November  "/>
    <x v="0"/>
  </r>
  <r>
    <s v="0914"/>
    <s v="ELEAD"/>
    <s v="ELEAD OTHER"/>
    <s v="CALL TRACKING COUNT AS ONE"/>
    <s v="21112"/>
    <s v="4111001"/>
    <s v="N"/>
    <s v="TN"/>
    <n v="0"/>
    <n v="74.94"/>
    <n v="1"/>
    <x v="105"/>
    <x v="97"/>
    <e v="#N/A"/>
    <x v="103"/>
    <s v="US INVOICE"/>
    <x v="500"/>
    <s v="64238640SW12"/>
    <x v="23"/>
    <x v="23"/>
    <s v="SWW"/>
    <s v="SW ACCESS VIA WEB"/>
    <n v="2025"/>
    <n v="11"/>
    <s v="FIN5030"/>
    <n v="2025"/>
    <s v="November  "/>
    <x v="0"/>
  </r>
  <r>
    <s v="0914"/>
    <s v="ELEAD"/>
    <s v="ELEAD OTHER"/>
    <s v="CALL TRACKING COUNT AS ONE"/>
    <s v="21112"/>
    <s v="4111001"/>
    <s v="N"/>
    <s v="MA"/>
    <n v="0"/>
    <n v="113.4"/>
    <n v="1"/>
    <x v="424"/>
    <x v="65"/>
    <e v="#N/A"/>
    <x v="420"/>
    <s v="US INVOICE"/>
    <x v="501"/>
    <s v="68163757SW02"/>
    <x v="23"/>
    <x v="23"/>
    <s v="SWW"/>
    <s v="SW ACCESS VIA WEB"/>
    <n v="2025"/>
    <n v="11"/>
    <s v="FIN5030"/>
    <n v="2025"/>
    <s v="November  "/>
    <x v="0"/>
  </r>
  <r>
    <s v="0914"/>
    <s v="ELEAD"/>
    <s v="ELEAD OTHER"/>
    <s v="CALL TRACKING COUNT AS ONE"/>
    <s v="21112"/>
    <s v="4111001"/>
    <s v="N"/>
    <s v="NY"/>
    <n v="0"/>
    <n v="111.29"/>
    <n v="1"/>
    <x v="425"/>
    <x v="65"/>
    <e v="#N/A"/>
    <x v="421"/>
    <s v="US INVOICE"/>
    <x v="502"/>
    <s v="68237105SW20"/>
    <x v="23"/>
    <x v="23"/>
    <s v="SWW"/>
    <s v="SW ACCESS VIA WEB"/>
    <n v="2025"/>
    <n v="11"/>
    <s v="FIN5030"/>
    <n v="2025"/>
    <s v="November  "/>
    <x v="0"/>
  </r>
  <r>
    <s v="0914"/>
    <s v="ELEAD"/>
    <s v="ELEAD OTHER"/>
    <s v="CALL TRACKING COUNT AS ONE"/>
    <s v="21112"/>
    <s v="4111001"/>
    <s v="N"/>
    <s v="VA"/>
    <n v="0"/>
    <n v="65.459999999999994"/>
    <n v="1"/>
    <x v="426"/>
    <x v="65"/>
    <e v="#N/A"/>
    <x v="422"/>
    <s v="US INVOICE"/>
    <x v="503"/>
    <s v="68203870SW47"/>
    <x v="23"/>
    <x v="23"/>
    <s v="SWW"/>
    <s v="SW ACCESS VIA WEB"/>
    <n v="2025"/>
    <n v="11"/>
    <s v="FIN5030"/>
    <n v="2025"/>
    <s v="November  "/>
    <x v="0"/>
  </r>
  <r>
    <s v="0914"/>
    <s v="ELEAD"/>
    <s v="ELEAD OTHER"/>
    <s v="CALL TRACKING COUNT AS ONE"/>
    <s v="21112"/>
    <s v="4111001"/>
    <s v="N"/>
    <s v="MD"/>
    <n v="0"/>
    <n v="65.459999999999994"/>
    <n v="1"/>
    <x v="427"/>
    <x v="65"/>
    <e v="#N/A"/>
    <x v="423"/>
    <s v="US INVOICE"/>
    <x v="504"/>
    <s v="68203854SW23"/>
    <x v="23"/>
    <x v="23"/>
    <s v="SWW"/>
    <s v="SW ACCESS VIA WEB"/>
    <n v="2025"/>
    <n v="11"/>
    <s v="FIN5030"/>
    <n v="2025"/>
    <s v="November  "/>
    <x v="0"/>
  </r>
  <r>
    <s v="0914"/>
    <s v="ELEAD"/>
    <s v="ELEAD OTHER"/>
    <s v="CALL TRACKING COUNT AS ONE"/>
    <s v="21112"/>
    <s v="4111001"/>
    <s v="N"/>
    <s v="KY"/>
    <n v="0"/>
    <n v="105.66"/>
    <n v="1"/>
    <x v="428"/>
    <x v="65"/>
    <e v="#N/A"/>
    <x v="424"/>
    <s v="US INVOICE"/>
    <x v="505"/>
    <s v="67060780SW01"/>
    <x v="23"/>
    <x v="23"/>
    <s v="SWW"/>
    <s v="SW ACCESS VIA WEB"/>
    <n v="2025"/>
    <n v="11"/>
    <s v="FIN5030"/>
    <n v="2025"/>
    <s v="November  "/>
    <x v="0"/>
  </r>
  <r>
    <s v="0914"/>
    <s v="ELEAD"/>
    <s v="ELEAD OTHER"/>
    <s v="CALL TRACKING COUNT AS ONE"/>
    <s v="21112"/>
    <s v="4111001"/>
    <s v="N"/>
    <s v="VA"/>
    <n v="0"/>
    <n v="122.13"/>
    <n v="1"/>
    <x v="429"/>
    <x v="65"/>
    <e v="#N/A"/>
    <x v="425"/>
    <s v="US INVOICE"/>
    <x v="506"/>
    <s v="68220419SW16"/>
    <x v="23"/>
    <x v="23"/>
    <s v="SWW"/>
    <s v="SW ACCESS VIA WEB"/>
    <n v="2025"/>
    <n v="11"/>
    <s v="FIN5030"/>
    <n v="2025"/>
    <s v="November  "/>
    <x v="0"/>
  </r>
  <r>
    <s v="0914"/>
    <s v="ELEAD"/>
    <s v="ELEAD OTHER"/>
    <s v="CALL TRACKING COUNT AS ONE"/>
    <s v="21112"/>
    <s v="4111001"/>
    <s v="N"/>
    <s v="TN"/>
    <n v="0"/>
    <n v="0"/>
    <n v="1"/>
    <x v="430"/>
    <x v="65"/>
    <e v="#N/A"/>
    <x v="426"/>
    <s v="US INVOICE"/>
    <x v="507"/>
    <s v="68183029SW09"/>
    <x v="23"/>
    <x v="23"/>
    <s v="SWW"/>
    <s v="SW ACCESS VIA WEB"/>
    <n v="2025"/>
    <n v="11"/>
    <s v="FIN5030"/>
    <n v="2025"/>
    <s v="November  "/>
    <x v="0"/>
  </r>
  <r>
    <s v="0914"/>
    <s v="ELEAD"/>
    <s v="ELEAD OTHER"/>
    <s v="CALL TRACKING COUNT AS ONE"/>
    <s v="21112"/>
    <s v="4111001"/>
    <s v="N"/>
    <s v="TN"/>
    <n v="0"/>
    <n v="124.14"/>
    <n v="1"/>
    <x v="431"/>
    <x v="65"/>
    <e v="#N/A"/>
    <x v="427"/>
    <s v="US INVOICE"/>
    <x v="508"/>
    <s v="64185475SW32"/>
    <x v="23"/>
    <x v="23"/>
    <s v="SWW"/>
    <s v="SW ACCESS VIA WEB"/>
    <n v="2025"/>
    <n v="11"/>
    <s v="FIN5030"/>
    <n v="2025"/>
    <s v="November  "/>
    <x v="0"/>
  </r>
  <r>
    <s v="0914"/>
    <s v="ELEAD"/>
    <s v="ELEAD OTHER"/>
    <s v="CALL TRACKING COUNT AS ONE"/>
    <s v="21112"/>
    <s v="4111001"/>
    <s v="N"/>
    <s v="AL"/>
    <n v="0"/>
    <n v="123.81"/>
    <n v="1"/>
    <x v="432"/>
    <x v="65"/>
    <e v="#N/A"/>
    <x v="428"/>
    <s v="US INVOICE"/>
    <x v="509"/>
    <s v="64185476SW09"/>
    <x v="23"/>
    <x v="23"/>
    <s v="SWW"/>
    <s v="SW ACCESS VIA WEB"/>
    <n v="2025"/>
    <n v="11"/>
    <s v="FIN5030"/>
    <n v="2025"/>
    <s v="November  "/>
    <x v="0"/>
  </r>
  <r>
    <s v="0914"/>
    <s v="ELEAD"/>
    <s v="ELEAD OTHER"/>
    <s v="CALL TRACKING COUNT AS ONE"/>
    <s v="21112"/>
    <s v="4111001"/>
    <s v="N"/>
    <s v="TX"/>
    <n v="0"/>
    <n v="0"/>
    <n v="2"/>
    <x v="433"/>
    <x v="65"/>
    <e v="#N/A"/>
    <x v="429"/>
    <s v="US INVOICE"/>
    <x v="510"/>
    <s v="64169978SW03"/>
    <x v="23"/>
    <x v="23"/>
    <s v="SWW"/>
    <s v="SW ACCESS VIA WEB"/>
    <n v="2025"/>
    <n v="11"/>
    <s v="FIN5030"/>
    <n v="2025"/>
    <s v="November  "/>
    <x v="0"/>
  </r>
  <r>
    <s v="0914"/>
    <s v="ELEAD"/>
    <s v="ELEAD OTHER"/>
    <s v="CALL TRACKING COUNT AS ONE"/>
    <s v="21112"/>
    <s v="4111001"/>
    <s v="N"/>
    <s v="GA"/>
    <n v="0"/>
    <n v="70.349999999999994"/>
    <n v="1"/>
    <x v="174"/>
    <x v="164"/>
    <e v="#N/A"/>
    <x v="172"/>
    <s v="US INVOICE"/>
    <x v="511"/>
    <s v="68242040SW36"/>
    <x v="23"/>
    <x v="23"/>
    <s v="SWW"/>
    <s v="SW ACCESS VIA WEB"/>
    <n v="2025"/>
    <n v="11"/>
    <s v="FIN5030"/>
    <n v="2025"/>
    <s v="November  "/>
    <x v="0"/>
  </r>
  <r>
    <s v="0914"/>
    <s v="ELEAD"/>
    <s v="ELEAD OTHER"/>
    <s v="CALL TRACKING COUNT AS ONE"/>
    <s v="21112"/>
    <s v="4111001"/>
    <s v="N"/>
    <s v="PA"/>
    <n v="0"/>
    <n v="124.2"/>
    <n v="1"/>
    <x v="434"/>
    <x v="65"/>
    <e v="#N/A"/>
    <x v="430"/>
    <s v="US INVOICE"/>
    <x v="512"/>
    <s v="68164274SW01"/>
    <x v="23"/>
    <x v="23"/>
    <s v="SWW"/>
    <s v="SW ACCESS VIA WEB"/>
    <n v="2025"/>
    <n v="11"/>
    <s v="FIN5030"/>
    <n v="2025"/>
    <s v="November  "/>
    <x v="0"/>
  </r>
  <r>
    <s v="0914"/>
    <s v="ELEAD"/>
    <s v="ELEAD OTHER"/>
    <s v="CALL TRACKING COUNT AS ONE"/>
    <s v="21112"/>
    <s v="4111001"/>
    <s v="N"/>
    <s v="CA"/>
    <n v="0"/>
    <n v="0"/>
    <n v="1"/>
    <x v="435"/>
    <x v="65"/>
    <e v="#N/A"/>
    <x v="431"/>
    <s v="US INVOICE"/>
    <x v="513"/>
    <s v="62193800SW42"/>
    <x v="23"/>
    <x v="23"/>
    <s v="SWW"/>
    <s v="SW ACCESS VIA WEB"/>
    <n v="2025"/>
    <n v="11"/>
    <s v="FIN5030"/>
    <n v="2025"/>
    <s v="November  "/>
    <x v="0"/>
  </r>
  <r>
    <s v="0914"/>
    <s v="ELEAD"/>
    <s v="ELEAD OTHER"/>
    <s v="CALL TRACKING COUNT AS ONE"/>
    <s v="21112"/>
    <s v="4111001"/>
    <s v="N"/>
    <s v="MD"/>
    <n v="0"/>
    <n v="65.459999999999994"/>
    <n v="1"/>
    <x v="436"/>
    <x v="65"/>
    <e v="#N/A"/>
    <x v="432"/>
    <s v="US INVOICE"/>
    <x v="514"/>
    <s v="68203900SW38"/>
    <x v="23"/>
    <x v="23"/>
    <s v="SWW"/>
    <s v="SW ACCESS VIA WEB"/>
    <n v="2025"/>
    <n v="11"/>
    <s v="FIN5030"/>
    <n v="2025"/>
    <s v="November  "/>
    <x v="0"/>
  </r>
  <r>
    <s v="0914"/>
    <s v="ELEAD"/>
    <s v="ELEAD OTHER"/>
    <s v="CALL TRACKING COUNT AS ONE"/>
    <s v="21112"/>
    <s v="4111001"/>
    <s v="N"/>
    <s v="CA"/>
    <n v="0"/>
    <n v="100"/>
    <n v="1"/>
    <x v="198"/>
    <x v="187"/>
    <e v="#N/A"/>
    <x v="196"/>
    <s v="US INVOICE"/>
    <x v="515"/>
    <s v="38095648SW03"/>
    <x v="23"/>
    <x v="23"/>
    <s v="SWW"/>
    <s v="SW ACCESS VIA WEB"/>
    <n v="2025"/>
    <n v="11"/>
    <s v="FIN5030"/>
    <n v="2025"/>
    <s v="November  "/>
    <x v="0"/>
  </r>
  <r>
    <s v="0914"/>
    <s v="ELEAD"/>
    <s v="ELEAD OTHER"/>
    <s v="CALL TRACKING COUNT AS ONE"/>
    <s v="21112"/>
    <s v="4111001"/>
    <s v="N"/>
    <s v="CA"/>
    <n v="0"/>
    <n v="0"/>
    <n v="1"/>
    <x v="437"/>
    <x v="65"/>
    <e v="#N/A"/>
    <x v="433"/>
    <s v="US INVOICE"/>
    <x v="516"/>
    <s v="62193792SW13"/>
    <x v="23"/>
    <x v="23"/>
    <s v="SWW"/>
    <s v="SW ACCESS VIA WEB"/>
    <n v="2025"/>
    <n v="11"/>
    <s v="FIN5030"/>
    <n v="2025"/>
    <s v="November  "/>
    <x v="0"/>
  </r>
  <r>
    <s v="0914"/>
    <s v="ELEAD"/>
    <s v="ELEAD OTHER"/>
    <s v="CALL TRACKING COUNT AS ONE"/>
    <s v="21112"/>
    <s v="4111001"/>
    <s v="N"/>
    <s v="FL"/>
    <n v="0"/>
    <n v="0"/>
    <n v="1"/>
    <x v="438"/>
    <x v="65"/>
    <e v="#N/A"/>
    <x v="434"/>
    <s v="US INVOICE"/>
    <x v="517"/>
    <s v="58037686SW33"/>
    <x v="23"/>
    <x v="23"/>
    <s v="SWW"/>
    <s v="SW ACCESS VIA WEB"/>
    <n v="2025"/>
    <n v="11"/>
    <s v="FIN5030"/>
    <n v="2025"/>
    <s v="November  "/>
    <x v="0"/>
  </r>
  <r>
    <s v="0914"/>
    <s v="ELEAD"/>
    <s v="ELEAD OTHER"/>
    <s v="CALL TRACKING COUNT AS ONE"/>
    <s v="21112"/>
    <s v="4111001"/>
    <s v="N"/>
    <s v="CA"/>
    <n v="0"/>
    <n v="104"/>
    <n v="1"/>
    <x v="439"/>
    <x v="65"/>
    <e v="#N/A"/>
    <x v="435"/>
    <s v="US INVOICE"/>
    <x v="518"/>
    <s v="58034345SW02"/>
    <x v="23"/>
    <x v="23"/>
    <s v="SWW"/>
    <s v="SW ACCESS VIA WEB"/>
    <n v="2025"/>
    <n v="11"/>
    <s v="FIN5030"/>
    <n v="2025"/>
    <s v="November  "/>
    <x v="0"/>
  </r>
  <r>
    <s v="0914"/>
    <s v="ELEAD"/>
    <s v="ELEAD OTHER"/>
    <s v="CALL TRACKING COUNT AS ONE"/>
    <s v="21112"/>
    <s v="4111001"/>
    <s v="N"/>
    <s v="SC"/>
    <n v="0"/>
    <n v="70.349999999999994"/>
    <n v="1"/>
    <x v="440"/>
    <x v="65"/>
    <e v="#N/A"/>
    <x v="436"/>
    <s v="US INVOICE"/>
    <x v="519"/>
    <s v="68242040SW41"/>
    <x v="23"/>
    <x v="23"/>
    <s v="SWW"/>
    <s v="SW ACCESS VIA WEB"/>
    <n v="2025"/>
    <n v="11"/>
    <s v="FIN5030"/>
    <n v="2025"/>
    <s v="November  "/>
    <x v="0"/>
  </r>
  <r>
    <s v="0914"/>
    <s v="ELEAD"/>
    <s v="ELEAD OTHER"/>
    <s v="CALL TRACKING COUNT AS ONE"/>
    <s v="21112"/>
    <s v="4111001"/>
    <s v="N"/>
    <s v="CA"/>
    <n v="0"/>
    <n v="104"/>
    <n v="1"/>
    <x v="441"/>
    <x v="65"/>
    <e v="#N/A"/>
    <x v="437"/>
    <s v="US INVOICE"/>
    <x v="520"/>
    <s v="58034345SW14"/>
    <x v="23"/>
    <x v="23"/>
    <s v="SWW"/>
    <s v="SW ACCESS VIA WEB"/>
    <n v="2025"/>
    <n v="11"/>
    <s v="FIN5030"/>
    <n v="2025"/>
    <s v="November  "/>
    <x v="0"/>
  </r>
  <r>
    <s v="0914"/>
    <s v="ELEAD"/>
    <s v="ELEAD OTHER"/>
    <s v="CALL TRACKING COUNT AS ONE"/>
    <s v="21112"/>
    <s v="4111001"/>
    <s v="N"/>
    <s v="TN"/>
    <n v="0"/>
    <n v="124.2"/>
    <n v="1"/>
    <x v="442"/>
    <x v="65"/>
    <e v="#N/A"/>
    <x v="438"/>
    <s v="US INVOICE"/>
    <x v="521"/>
    <s v="64185475SW26"/>
    <x v="23"/>
    <x v="23"/>
    <s v="SWW"/>
    <s v="SW ACCESS VIA WEB"/>
    <n v="2025"/>
    <n v="11"/>
    <s v="FIN5030"/>
    <n v="2025"/>
    <s v="November  "/>
    <x v="0"/>
  </r>
  <r>
    <s v="0914"/>
    <s v="ELEAD"/>
    <s v="ELEAD OTHER"/>
    <s v="CALL TRACKING COUNT AS ONE"/>
    <s v="21112"/>
    <s v="4111001"/>
    <s v="N"/>
    <s v="FL"/>
    <n v="0"/>
    <n v="74.94"/>
    <n v="1"/>
    <x v="443"/>
    <x v="65"/>
    <e v="#N/A"/>
    <x v="439"/>
    <s v="US INVOICE"/>
    <x v="522"/>
    <s v="64238640SW15"/>
    <x v="23"/>
    <x v="23"/>
    <s v="SWW"/>
    <s v="SW ACCESS VIA WEB"/>
    <n v="2025"/>
    <n v="11"/>
    <s v="FIN5030"/>
    <n v="2025"/>
    <s v="November  "/>
    <x v="0"/>
  </r>
  <r>
    <s v="0914"/>
    <s v="ELEAD"/>
    <s v="ELEAD OTHER"/>
    <s v="CALL TRACKING COUNT AS ONE"/>
    <s v="21112"/>
    <s v="4111001"/>
    <s v="N"/>
    <s v="VA"/>
    <n v="0"/>
    <n v="65.459999999999994"/>
    <n v="1"/>
    <x v="444"/>
    <x v="65"/>
    <e v="#N/A"/>
    <x v="440"/>
    <s v="US INVOICE"/>
    <x v="523"/>
    <s v="68203919SW45"/>
    <x v="23"/>
    <x v="23"/>
    <s v="SWW"/>
    <s v="SW ACCESS VIA WEB"/>
    <n v="2025"/>
    <n v="11"/>
    <s v="FIN5030"/>
    <n v="2025"/>
    <s v="November  "/>
    <x v="0"/>
  </r>
  <r>
    <s v="0914"/>
    <s v="ELEAD"/>
    <s v="ELEAD OTHER"/>
    <s v="CALL TRACKING COUNT AS ONE"/>
    <s v="21112"/>
    <s v="4111001"/>
    <s v="N"/>
    <s v="VA"/>
    <n v="0"/>
    <n v="65.459999999999994"/>
    <n v="1"/>
    <x v="445"/>
    <x v="65"/>
    <e v="#N/A"/>
    <x v="441"/>
    <s v="US INVOICE"/>
    <x v="524"/>
    <s v="68203870SW49"/>
    <x v="23"/>
    <x v="23"/>
    <s v="SWW"/>
    <s v="SW ACCESS VIA WEB"/>
    <n v="2025"/>
    <n v="11"/>
    <s v="FIN5030"/>
    <n v="2025"/>
    <s v="November  "/>
    <x v="0"/>
  </r>
  <r>
    <s v="0914"/>
    <s v="ELEAD"/>
    <s v="ELEAD OTHER"/>
    <s v="CALL TRACKING COUNT AS ONE"/>
    <s v="21112"/>
    <s v="4111001"/>
    <s v="N"/>
    <s v="CA"/>
    <n v="0"/>
    <n v="0"/>
    <n v="1"/>
    <x v="446"/>
    <x v="65"/>
    <e v="#N/A"/>
    <x v="442"/>
    <s v="US INVOICE"/>
    <x v="525"/>
    <s v="62193800SW35"/>
    <x v="23"/>
    <x v="23"/>
    <s v="SWW"/>
    <s v="SW ACCESS VIA WEB"/>
    <n v="2025"/>
    <n v="11"/>
    <s v="FIN5030"/>
    <n v="2025"/>
    <s v="November  "/>
    <x v="0"/>
  </r>
  <r>
    <s v="0914"/>
    <s v="ELEAD"/>
    <s v="ELEAD OTHER"/>
    <s v="CALL TRACKING COUNT AS ONE"/>
    <s v="21112"/>
    <s v="4111001"/>
    <s v="N"/>
    <s v="CA"/>
    <n v="0"/>
    <n v="0"/>
    <n v="1"/>
    <x v="447"/>
    <x v="65"/>
    <e v="#N/A"/>
    <x v="443"/>
    <s v="US INVOICE"/>
    <x v="526"/>
    <s v="62193792SW04"/>
    <x v="23"/>
    <x v="23"/>
    <s v="SWW"/>
    <s v="SW ACCESS VIA WEB"/>
    <n v="2025"/>
    <n v="11"/>
    <s v="FIN5030"/>
    <n v="2025"/>
    <s v="November  "/>
    <x v="0"/>
  </r>
  <r>
    <s v="0914"/>
    <s v="ELEAD"/>
    <s v="ELEAD OTHER"/>
    <s v="CALL TRACKING COUNT AS ONE"/>
    <s v="21112"/>
    <s v="4111001"/>
    <s v="N"/>
    <s v="MD"/>
    <n v="0"/>
    <n v="65.459999999999994"/>
    <n v="1"/>
    <x v="448"/>
    <x v="65"/>
    <e v="#N/A"/>
    <x v="444"/>
    <s v="US INVOICE"/>
    <x v="527"/>
    <s v="68203870SW46"/>
    <x v="23"/>
    <x v="23"/>
    <s v="SWW"/>
    <s v="SW ACCESS VIA WEB"/>
    <n v="2025"/>
    <n v="11"/>
    <s v="FIN5030"/>
    <n v="2025"/>
    <s v="November  "/>
    <x v="0"/>
  </r>
  <r>
    <s v="0914"/>
    <s v="ELEAD"/>
    <s v="ELEAD OTHER"/>
    <s v="CALL TRACKING COUNT AS ONE"/>
    <s v="21112"/>
    <s v="4111001"/>
    <s v="N"/>
    <s v="CA"/>
    <n v="0"/>
    <n v="104"/>
    <n v="1"/>
    <x v="449"/>
    <x v="65"/>
    <e v="#N/A"/>
    <x v="445"/>
    <s v="US INVOICE"/>
    <x v="528"/>
    <s v="58034345SW11"/>
    <x v="23"/>
    <x v="23"/>
    <s v="SWW"/>
    <s v="SW ACCESS VIA WEB"/>
    <n v="2025"/>
    <n v="11"/>
    <s v="FIN5030"/>
    <n v="2025"/>
    <s v="November  "/>
    <x v="0"/>
  </r>
  <r>
    <s v="0914"/>
    <s v="ELEAD"/>
    <s v="ELEAD OTHER"/>
    <s v="CALL TRACKING COUNT AS ONE"/>
    <s v="21112"/>
    <s v="4111001"/>
    <s v="N"/>
    <s v="VA"/>
    <n v="0"/>
    <n v="65.459999999999994"/>
    <n v="1"/>
    <x v="450"/>
    <x v="65"/>
    <e v="#N/A"/>
    <x v="446"/>
    <s v="US INVOICE"/>
    <x v="529"/>
    <s v="68203927SW45"/>
    <x v="23"/>
    <x v="23"/>
    <s v="SWW"/>
    <s v="SW ACCESS VIA WEB"/>
    <n v="2025"/>
    <n v="11"/>
    <s v="FIN5030"/>
    <n v="2025"/>
    <s v="November  "/>
    <x v="0"/>
  </r>
  <r>
    <s v="0914"/>
    <s v="ELEAD"/>
    <s v="ELEAD OTHER"/>
    <s v="CALL TRACKING COUNT AS ONE"/>
    <s v="21112"/>
    <s v="4111001"/>
    <s v="N"/>
    <s v="CA"/>
    <n v="0"/>
    <n v="104"/>
    <n v="1"/>
    <x v="451"/>
    <x v="65"/>
    <e v="#N/A"/>
    <x v="447"/>
    <s v="US INVOICE"/>
    <x v="530"/>
    <s v="58034345SW05"/>
    <x v="23"/>
    <x v="23"/>
    <s v="SWW"/>
    <s v="SW ACCESS VIA WEB"/>
    <n v="2025"/>
    <n v="11"/>
    <s v="FIN5030"/>
    <n v="2025"/>
    <s v="November  "/>
    <x v="0"/>
  </r>
  <r>
    <s v="0914"/>
    <s v="ELEAD"/>
    <s v="ELEAD OTHER"/>
    <s v="CALL TRACKING COUNT AS ONE"/>
    <s v="21112"/>
    <s v="4111001"/>
    <s v="N"/>
    <s v="CA"/>
    <n v="0"/>
    <n v="112"/>
    <n v="1"/>
    <x v="452"/>
    <x v="65"/>
    <e v="#N/A"/>
    <x v="448"/>
    <s v="US INVOICE"/>
    <x v="531"/>
    <s v="62184178SW14"/>
    <x v="23"/>
    <x v="23"/>
    <s v="SWW"/>
    <s v="SW ACCESS VIA WEB"/>
    <n v="2025"/>
    <n v="11"/>
    <s v="FIN5030"/>
    <n v="2025"/>
    <s v="November  "/>
    <x v="0"/>
  </r>
  <r>
    <s v="0914"/>
    <s v="ELEAD"/>
    <s v="ELEAD OTHER"/>
    <s v="CALL TRACKING COUNT AS ONE"/>
    <s v="21112"/>
    <s v="4111001"/>
    <s v="N"/>
    <s v="TN"/>
    <n v="0"/>
    <n v="124.14"/>
    <n v="1"/>
    <x v="453"/>
    <x v="65"/>
    <e v="#N/A"/>
    <x v="449"/>
    <s v="US INVOICE"/>
    <x v="532"/>
    <s v="64185475SW29"/>
    <x v="23"/>
    <x v="23"/>
    <s v="SWW"/>
    <s v="SW ACCESS VIA WEB"/>
    <n v="2025"/>
    <n v="11"/>
    <s v="FIN5030"/>
    <n v="2025"/>
    <s v="November  "/>
    <x v="0"/>
  </r>
  <r>
    <s v="0914"/>
    <s v="ELEAD"/>
    <s v="ELEAD OTHER"/>
    <s v="CALL TRACKING COUNT AS ONE"/>
    <s v="21112"/>
    <s v="4111001"/>
    <s v="N"/>
    <s v="CA"/>
    <n v="0"/>
    <n v="0"/>
    <n v="1"/>
    <x v="454"/>
    <x v="65"/>
    <e v="#N/A"/>
    <x v="450"/>
    <s v="US INVOICE"/>
    <x v="533"/>
    <s v="62193790SW93"/>
    <x v="23"/>
    <x v="23"/>
    <s v="SWW"/>
    <s v="SW ACCESS VIA WEB"/>
    <n v="2025"/>
    <n v="11"/>
    <s v="FIN5030"/>
    <n v="2025"/>
    <s v="November  "/>
    <x v="0"/>
  </r>
  <r>
    <s v="0914"/>
    <s v="ELEAD"/>
    <s v="ELEAD OTHER"/>
    <s v="CALL TRACKING COUNT AS ONE"/>
    <s v="21112"/>
    <s v="4111001"/>
    <s v="N"/>
    <s v="KS"/>
    <n v="0"/>
    <n v="100"/>
    <n v="1"/>
    <x v="184"/>
    <x v="173"/>
    <e v="#N/A"/>
    <x v="182"/>
    <s v="US INVOICE"/>
    <x v="534"/>
    <s v="38119956SW11"/>
    <x v="23"/>
    <x v="23"/>
    <s v="SWW"/>
    <s v="SW ACCESS VIA WEB"/>
    <n v="2025"/>
    <n v="11"/>
    <s v="FIN5030"/>
    <n v="2025"/>
    <s v="November  "/>
    <x v="0"/>
  </r>
  <r>
    <s v="0914"/>
    <s v="ELEAD"/>
    <s v="ELEAD OTHER"/>
    <s v="CALL TRACKING COUNT AS ONE"/>
    <s v="21112"/>
    <s v="4111001"/>
    <s v="N"/>
    <s v="CA"/>
    <n v="0"/>
    <n v="100"/>
    <n v="1"/>
    <x v="186"/>
    <x v="175"/>
    <e v="#N/A"/>
    <x v="184"/>
    <s v="US INVOICE"/>
    <x v="535"/>
    <s v="62142722SW03"/>
    <x v="23"/>
    <x v="23"/>
    <s v="SWW"/>
    <s v="SW ACCESS VIA WEB"/>
    <n v="2025"/>
    <n v="11"/>
    <s v="FIN5030"/>
    <n v="2025"/>
    <s v="November  "/>
    <x v="0"/>
  </r>
  <r>
    <s v="0914"/>
    <s v="ELEAD"/>
    <s v="ELEAD OTHER"/>
    <s v="CALL TRACKING COUNT AS ONE"/>
    <s v="21112"/>
    <s v="4111001"/>
    <s v="N"/>
    <s v="CT"/>
    <n v="0"/>
    <n v="105"/>
    <n v="1"/>
    <x v="455"/>
    <x v="65"/>
    <e v="#N/A"/>
    <x v="451"/>
    <s v="US INVOICE"/>
    <x v="536"/>
    <s v="68181366SW09"/>
    <x v="23"/>
    <x v="23"/>
    <s v="SWW"/>
    <s v="SW ACCESS VIA WEB"/>
    <n v="2025"/>
    <n v="11"/>
    <s v="FIN5030"/>
    <n v="2025"/>
    <s v="November  "/>
    <x v="0"/>
  </r>
  <r>
    <s v="0914"/>
    <s v="ELEAD"/>
    <s v="ELEAD OTHER"/>
    <s v="CALL TRACKING COUNT AS ONE"/>
    <s v="21112"/>
    <s v="4111001"/>
    <s v="N"/>
    <s v="MA"/>
    <n v="0"/>
    <n v="0"/>
    <n v="1"/>
    <x v="456"/>
    <x v="65"/>
    <e v="#N/A"/>
    <x v="452"/>
    <s v="US INVOICE"/>
    <x v="537"/>
    <s v="68237734SW22"/>
    <x v="23"/>
    <x v="23"/>
    <s v="SWW"/>
    <s v="SW ACCESS VIA WEB"/>
    <n v="2025"/>
    <n v="11"/>
    <s v="FIN5030"/>
    <n v="2025"/>
    <s v="November  "/>
    <x v="0"/>
  </r>
  <r>
    <s v="0914"/>
    <s v="ELEAD"/>
    <s v="ELEAD OTHER"/>
    <s v="CALL TRACKING COUNT AS ONE"/>
    <s v="21112"/>
    <s v="4111001"/>
    <s v="N"/>
    <s v="CA"/>
    <n v="0"/>
    <n v="0"/>
    <n v="1"/>
    <x v="457"/>
    <x v="65"/>
    <e v="#N/A"/>
    <x v="453"/>
    <s v="US INVOICE"/>
    <x v="538"/>
    <s v="62193792SW07"/>
    <x v="23"/>
    <x v="23"/>
    <s v="SWW"/>
    <s v="SW ACCESS VIA WEB"/>
    <n v="2025"/>
    <n v="11"/>
    <s v="FIN5030"/>
    <n v="2025"/>
    <s v="November  "/>
    <x v="0"/>
  </r>
  <r>
    <s v="0914"/>
    <s v="ELEAD"/>
    <s v="ELEAD OTHER"/>
    <s v="CALL TRACKING COUNT AS ONE"/>
    <s v="21112"/>
    <s v="4111001"/>
    <s v="N"/>
    <s v="CA"/>
    <n v="0"/>
    <n v="0"/>
    <n v="1"/>
    <x v="458"/>
    <x v="65"/>
    <e v="#N/A"/>
    <x v="454"/>
    <s v="US INVOICE"/>
    <x v="539"/>
    <s v="62193792SW12"/>
    <x v="23"/>
    <x v="23"/>
    <s v="SWW"/>
    <s v="SW ACCESS VIA WEB"/>
    <n v="2025"/>
    <n v="11"/>
    <s v="FIN5030"/>
    <n v="2025"/>
    <s v="November  "/>
    <x v="0"/>
  </r>
  <r>
    <s v="0914"/>
    <s v="ELEAD"/>
    <s v="ELEAD OTHER"/>
    <s v="CALL TRACKING COUNT AS ONE"/>
    <s v="21112"/>
    <s v="4111001"/>
    <s v="N"/>
    <s v="CT"/>
    <n v="0"/>
    <n v="68.25"/>
    <n v="1"/>
    <x v="459"/>
    <x v="65"/>
    <e v="#N/A"/>
    <x v="455"/>
    <s v="US INVOICE"/>
    <x v="540"/>
    <s v="68181366SW18"/>
    <x v="23"/>
    <x v="23"/>
    <s v="SWW"/>
    <s v="SW ACCESS VIA WEB"/>
    <n v="2025"/>
    <n v="11"/>
    <s v="FIN5030"/>
    <n v="2025"/>
    <s v="November  "/>
    <x v="0"/>
  </r>
  <r>
    <s v="0914"/>
    <s v="ELEAD"/>
    <s v="ELEAD OTHER"/>
    <s v="CALL TRACKING COUNT AS ONE"/>
    <s v="21112"/>
    <s v="4111001"/>
    <s v="N"/>
    <s v="TN"/>
    <n v="0"/>
    <n v="105.94"/>
    <n v="1"/>
    <x v="460"/>
    <x v="65"/>
    <e v="#N/A"/>
    <x v="456"/>
    <s v="US INVOICE"/>
    <x v="541"/>
    <s v="64199490SW02"/>
    <x v="23"/>
    <x v="23"/>
    <s v="SWW"/>
    <s v="SW ACCESS VIA WEB"/>
    <n v="2025"/>
    <n v="11"/>
    <s v="FIN5030"/>
    <n v="2025"/>
    <s v="November  "/>
    <x v="0"/>
  </r>
  <r>
    <s v="0914"/>
    <s v="ELEAD"/>
    <s v="ELEAD OTHER"/>
    <s v="CALL TRACKING COUNT AS ONE"/>
    <s v="21112"/>
    <s v="4111001"/>
    <s v="N"/>
    <s v="TN"/>
    <n v="0"/>
    <n v="0"/>
    <n v="1"/>
    <x v="461"/>
    <x v="65"/>
    <e v="#N/A"/>
    <x v="457"/>
    <s v="US INVOICE"/>
    <x v="542"/>
    <s v="64208124SW01"/>
    <x v="23"/>
    <x v="23"/>
    <s v="SWW"/>
    <s v="SW ACCESS VIA WEB"/>
    <n v="2025"/>
    <n v="11"/>
    <s v="FIN5030"/>
    <n v="2025"/>
    <s v="November  "/>
    <x v="0"/>
  </r>
  <r>
    <s v="0914"/>
    <s v="ELEAD"/>
    <s v="ELEAD OTHER"/>
    <s v="CALL TRACKING COUNT AS ONE"/>
    <s v="21112"/>
    <s v="4111001"/>
    <s v="N"/>
    <s v="CA"/>
    <n v="0"/>
    <n v="104"/>
    <n v="1"/>
    <x v="462"/>
    <x v="65"/>
    <e v="#N/A"/>
    <x v="458"/>
    <s v="US INVOICE"/>
    <x v="543"/>
    <s v="58034345SW17"/>
    <x v="23"/>
    <x v="23"/>
    <s v="SWW"/>
    <s v="SW ACCESS VIA WEB"/>
    <n v="2025"/>
    <n v="11"/>
    <s v="FIN5030"/>
    <n v="2025"/>
    <s v="November  "/>
    <x v="0"/>
  </r>
  <r>
    <s v="0914"/>
    <s v="ELEAD"/>
    <s v="ELEAD OTHER"/>
    <s v="CALL TRACKING COUNT AS ONE"/>
    <s v="21112"/>
    <s v="4111001"/>
    <s v="N"/>
    <s v="FL"/>
    <n v="0"/>
    <n v="0"/>
    <n v="1"/>
    <x v="463"/>
    <x v="65"/>
    <e v="#N/A"/>
    <x v="459"/>
    <s v="US INVOICE"/>
    <x v="544"/>
    <s v="58037686SW26"/>
    <x v="23"/>
    <x v="23"/>
    <s v="SWW"/>
    <s v="SW ACCESS VIA WEB"/>
    <n v="2025"/>
    <n v="11"/>
    <s v="FIN5030"/>
    <n v="2025"/>
    <s v="November  "/>
    <x v="0"/>
  </r>
  <r>
    <s v="0914"/>
    <s v="ELEAD"/>
    <s v="ELEAD OTHER"/>
    <s v="CALL TRACKING COUNT AS ONE"/>
    <s v="21112"/>
    <s v="4111001"/>
    <s v="N"/>
    <s v="CA"/>
    <n v="0"/>
    <n v="0"/>
    <n v="1"/>
    <x v="464"/>
    <x v="65"/>
    <e v="#N/A"/>
    <x v="460"/>
    <s v="US INVOICE"/>
    <x v="545"/>
    <s v="62193800SW32"/>
    <x v="23"/>
    <x v="23"/>
    <s v="SWW"/>
    <s v="SW ACCESS VIA WEB"/>
    <n v="2025"/>
    <n v="11"/>
    <s v="FIN5030"/>
    <n v="2025"/>
    <s v="November  "/>
    <x v="0"/>
  </r>
  <r>
    <s v="0914"/>
    <s v="ELEAD"/>
    <s v="ELEAD OTHER"/>
    <s v="CALL TRACKING COUNT AS ONE"/>
    <s v="21112"/>
    <s v="4111001"/>
    <s v="N"/>
    <s v="JM"/>
    <n v="0"/>
    <n v="147.46"/>
    <n v="1"/>
    <x v="465"/>
    <x v="65"/>
    <e v="#N/A"/>
    <x v="461"/>
    <s v="US INVOICE"/>
    <x v="546"/>
    <s v="64226223SW58"/>
    <x v="23"/>
    <x v="23"/>
    <s v="SWW"/>
    <s v="SW ACCESS VIA WEB"/>
    <n v="2025"/>
    <n v="11"/>
    <s v="FIN5030"/>
    <n v="2025"/>
    <s v="November  "/>
    <x v="0"/>
  </r>
  <r>
    <s v="0914"/>
    <s v="ELEAD"/>
    <s v="ELEAD OTHER"/>
    <s v="CALL TRACKING COUNT AS ONE"/>
    <s v="21112"/>
    <s v="4111001"/>
    <s v="N"/>
    <s v="NC"/>
    <n v="0"/>
    <n v="74.94"/>
    <n v="1"/>
    <x v="466"/>
    <x v="65"/>
    <e v="#N/A"/>
    <x v="462"/>
    <s v="US INVOICE"/>
    <x v="547"/>
    <s v="68238027SW03"/>
    <x v="23"/>
    <x v="23"/>
    <s v="SWW"/>
    <s v="SW ACCESS VIA WEB"/>
    <n v="2025"/>
    <n v="11"/>
    <s v="FIN5030"/>
    <n v="2025"/>
    <s v="November  "/>
    <x v="0"/>
  </r>
  <r>
    <s v="0914"/>
    <s v="ELEAD"/>
    <s v="ELEAD OTHER"/>
    <s v="CALL TRACKING COUNT AS ONE"/>
    <s v="21112"/>
    <s v="4111001"/>
    <s v="N"/>
    <s v="CA"/>
    <n v="0"/>
    <n v="104"/>
    <n v="1"/>
    <x v="467"/>
    <x v="65"/>
    <e v="#N/A"/>
    <x v="463"/>
    <s v="US INVOICE"/>
    <x v="548"/>
    <s v="58033653SW04"/>
    <x v="23"/>
    <x v="23"/>
    <s v="SWW"/>
    <s v="SW ACCESS VIA WEB"/>
    <n v="2025"/>
    <n v="11"/>
    <s v="FIN5030"/>
    <n v="2025"/>
    <s v="November  "/>
    <x v="0"/>
  </r>
  <r>
    <s v="0914"/>
    <s v="ELEAD"/>
    <s v="ELEAD OTHER"/>
    <s v="CALL TRACKING COUNT AS ONE"/>
    <s v="21112"/>
    <s v="4111001"/>
    <s v="N"/>
    <s v="VA"/>
    <n v="0"/>
    <n v="65.459999999999994"/>
    <n v="1"/>
    <x v="468"/>
    <x v="65"/>
    <e v="#N/A"/>
    <x v="464"/>
    <s v="US INVOICE"/>
    <x v="549"/>
    <s v="68203927SW49"/>
    <x v="23"/>
    <x v="23"/>
    <s v="SWW"/>
    <s v="SW ACCESS VIA WEB"/>
    <n v="2025"/>
    <n v="11"/>
    <s v="FIN5030"/>
    <n v="2025"/>
    <s v="November  "/>
    <x v="0"/>
  </r>
  <r>
    <s v="0914"/>
    <s v="ELEAD"/>
    <s v="ELEAD OTHER"/>
    <s v="CALL TRACKING COUNT AS ONE"/>
    <s v="21112"/>
    <s v="4111001"/>
    <s v="N"/>
    <s v="MD"/>
    <n v="0"/>
    <n v="111.29"/>
    <n v="1"/>
    <x v="469"/>
    <x v="65"/>
    <e v="#N/A"/>
    <x v="465"/>
    <s v="US INVOICE"/>
    <x v="550"/>
    <s v="68211112SW24"/>
    <x v="23"/>
    <x v="23"/>
    <s v="SWW"/>
    <s v="SW ACCESS VIA WEB"/>
    <n v="2025"/>
    <n v="11"/>
    <s v="FIN5030"/>
    <n v="2025"/>
    <s v="November  "/>
    <x v="0"/>
  </r>
  <r>
    <s v="0914"/>
    <s v="ELEAD"/>
    <s v="ELEAD OTHER"/>
    <s v="CALL TRACKING COUNT AS ONE"/>
    <s v="21112"/>
    <s v="4111001"/>
    <s v="N"/>
    <s v="NY"/>
    <n v="0"/>
    <n v="0"/>
    <n v="1"/>
    <x v="470"/>
    <x v="65"/>
    <e v="#N/A"/>
    <x v="466"/>
    <s v="US INVOICE"/>
    <x v="551"/>
    <s v="68225289SW26"/>
    <x v="23"/>
    <x v="23"/>
    <s v="SWW"/>
    <s v="SW ACCESS VIA WEB"/>
    <n v="2025"/>
    <n v="11"/>
    <s v="FIN5030"/>
    <n v="2025"/>
    <s v="November  "/>
    <x v="0"/>
  </r>
  <r>
    <s v="0914"/>
    <s v="ELEAD"/>
    <s v="ELEAD OTHER"/>
    <s v="CALL TRACKING COUNT AS ONE"/>
    <s v="21112"/>
    <s v="4111001"/>
    <s v="N"/>
    <s v="CA"/>
    <n v="0"/>
    <n v="104"/>
    <n v="1"/>
    <x v="471"/>
    <x v="65"/>
    <e v="#N/A"/>
    <x v="467"/>
    <s v="US INVOICE"/>
    <x v="552"/>
    <s v="58034345SW08"/>
    <x v="23"/>
    <x v="23"/>
    <s v="SWW"/>
    <s v="SW ACCESS VIA WEB"/>
    <n v="2025"/>
    <n v="11"/>
    <s v="FIN5030"/>
    <n v="2025"/>
    <s v="November  "/>
    <x v="0"/>
  </r>
  <r>
    <s v="0914"/>
    <s v="ELEAD"/>
    <s v="ELEAD OTHER"/>
    <s v="CALL TRACKING COUNT AS ONE"/>
    <s v="21112"/>
    <s v="4111001"/>
    <s v="N"/>
    <s v="JM"/>
    <n v="0"/>
    <n v="147.46"/>
    <n v="1"/>
    <x v="472"/>
    <x v="65"/>
    <e v="#N/A"/>
    <x v="468"/>
    <s v="US INVOICE"/>
    <x v="553"/>
    <s v="64226223SW66"/>
    <x v="23"/>
    <x v="23"/>
    <s v="SWW"/>
    <s v="SW ACCESS VIA WEB"/>
    <n v="2025"/>
    <n v="11"/>
    <s v="FIN5030"/>
    <n v="2025"/>
    <s v="November  "/>
    <x v="0"/>
  </r>
  <r>
    <s v="0914"/>
    <s v="ELEAD"/>
    <s v="ELEAD OTHER"/>
    <s v="CALL TRACKING COUNT AS ONE"/>
    <s v="21112"/>
    <s v="4111001"/>
    <s v="N"/>
    <s v="NV"/>
    <n v="0"/>
    <n v="82.95"/>
    <n v="1"/>
    <x v="473"/>
    <x v="65"/>
    <e v="#N/A"/>
    <x v="469"/>
    <s v="US INVOICE"/>
    <x v="554"/>
    <s v="62167401SW32"/>
    <x v="23"/>
    <x v="23"/>
    <s v="SWW"/>
    <s v="SW ACCESS VIA WEB"/>
    <n v="2025"/>
    <n v="11"/>
    <s v="FIN5030"/>
    <n v="2025"/>
    <s v="November  "/>
    <x v="0"/>
  </r>
  <r>
    <s v="0914"/>
    <s v="ELEAD"/>
    <s v="ELEAD OTHER"/>
    <s v="CALL TRACKING COUNT AS ONE"/>
    <s v="21112"/>
    <s v="4111001"/>
    <s v="N"/>
    <s v="PA"/>
    <n v="0"/>
    <n v="100"/>
    <n v="1"/>
    <x v="305"/>
    <x v="281"/>
    <e v="#N/A"/>
    <x v="301"/>
    <s v="US INVOICE"/>
    <x v="555"/>
    <s v="64182692SW07"/>
    <x v="23"/>
    <x v="23"/>
    <s v="SWW"/>
    <s v="SW ACCESS VIA WEB"/>
    <n v="2025"/>
    <n v="11"/>
    <s v="FIN5030"/>
    <n v="2025"/>
    <s v="November  "/>
    <x v="0"/>
  </r>
  <r>
    <s v="0914"/>
    <s v="ELEAD"/>
    <s v="ELEAD OTHER"/>
    <s v="CALL TRACKING COUNT AS ONE"/>
    <s v="21112"/>
    <s v="4111001"/>
    <s v="N"/>
    <s v="AL"/>
    <n v="0"/>
    <n v="1066.24"/>
    <n v="1"/>
    <x v="474"/>
    <x v="65"/>
    <e v="#N/A"/>
    <x v="470"/>
    <s v="US INVOICE"/>
    <x v="556"/>
    <s v="64217992SW01"/>
    <x v="24"/>
    <x v="24"/>
    <s v="SWW"/>
    <s v="SW ACCESS VIA WEB"/>
    <n v="2025"/>
    <n v="11"/>
    <s v="FIN5030"/>
    <n v="2025"/>
    <s v="November  "/>
    <x v="0"/>
  </r>
  <r>
    <s v="0914"/>
    <s v="ELEAD"/>
    <s v="ELEAD OTHER"/>
    <s v="CALL TRACKING COUNT AS ONE"/>
    <s v="21112"/>
    <s v="4111001"/>
    <s v="N"/>
    <s v="NC"/>
    <n v="0"/>
    <n v="195.02"/>
    <n v="1"/>
    <x v="475"/>
    <x v="65"/>
    <e v="#N/A"/>
    <x v="471"/>
    <s v="US INVOICE"/>
    <x v="557"/>
    <s v="68236803SW16"/>
    <x v="24"/>
    <x v="24"/>
    <s v="SWW"/>
    <s v="SW ACCESS VIA WEB"/>
    <n v="2025"/>
    <n v="11"/>
    <s v="FIN5030"/>
    <n v="2025"/>
    <s v="November  "/>
    <x v="0"/>
  </r>
  <r>
    <s v="0914"/>
    <s v="ELEAD"/>
    <s v="ELEAD OTHER"/>
    <s v="CALL TRACKING COUNT AS ONE"/>
    <s v="21112"/>
    <s v="4111001"/>
    <s v="N"/>
    <s v="MI"/>
    <n v="0"/>
    <n v="293.02"/>
    <n v="1"/>
    <x v="476"/>
    <x v="376"/>
    <e v="#N/A"/>
    <x v="472"/>
    <s v="US INVOICE"/>
    <x v="558"/>
    <s v="64217695SW15"/>
    <x v="24"/>
    <x v="24"/>
    <s v="SWW"/>
    <s v="SW ACCESS VIA WEB"/>
    <n v="2025"/>
    <n v="11"/>
    <s v="FIN5030"/>
    <n v="2025"/>
    <s v="November  "/>
    <x v="0"/>
  </r>
  <r>
    <s v="0914"/>
    <s v="ELEAD"/>
    <s v="ELEAD OTHER"/>
    <s v="CALL TRACKING COUNT AS ONE"/>
    <s v="21112"/>
    <s v="4111001"/>
    <s v="N"/>
    <s v="NJ"/>
    <n v="0"/>
    <n v="979.02"/>
    <n v="1"/>
    <x v="477"/>
    <x v="377"/>
    <e v="#N/A"/>
    <x v="473"/>
    <s v="US INVOICE"/>
    <x v="559"/>
    <s v="68240452SW36"/>
    <x v="24"/>
    <x v="24"/>
    <s v="SWW"/>
    <s v="SW ACCESS VIA WEB"/>
    <n v="2025"/>
    <n v="11"/>
    <s v="FIN5030"/>
    <n v="2025"/>
    <s v="November  "/>
    <x v="0"/>
  </r>
  <r>
    <s v="0914"/>
    <s v="ELEAD"/>
    <s v="ELEAD OTHER"/>
    <s v="CALL TRACKING COUNT AS ONE"/>
    <s v="21112"/>
    <s v="4111001"/>
    <s v="N"/>
    <s v="FL"/>
    <n v="0"/>
    <n v="489.02"/>
    <n v="1"/>
    <x v="478"/>
    <x v="378"/>
    <e v="#N/A"/>
    <x v="474"/>
    <s v="US INVOICE"/>
    <x v="560"/>
    <s v="64199598SW11"/>
    <x v="24"/>
    <x v="24"/>
    <s v="SWW"/>
    <s v="SW ACCESS VIA WEB"/>
    <n v="2025"/>
    <n v="11"/>
    <s v="FIN5030"/>
    <n v="2025"/>
    <s v="November  "/>
    <x v="0"/>
  </r>
  <r>
    <s v="0914"/>
    <s v="ELEAD"/>
    <s v="ELEAD OTHER"/>
    <s v="CALL TRACKING COUNT AS ONE"/>
    <s v="21112"/>
    <s v="4111001"/>
    <s v="N"/>
    <s v="MN"/>
    <n v="0"/>
    <n v="1469.02"/>
    <n v="1"/>
    <x v="479"/>
    <x v="379"/>
    <e v="#N/A"/>
    <x v="475"/>
    <s v="US INVOICE"/>
    <x v="561"/>
    <s v="67041379SW03"/>
    <x v="24"/>
    <x v="24"/>
    <s v="SWW"/>
    <s v="SW ACCESS VIA WEB"/>
    <n v="2025"/>
    <n v="11"/>
    <s v="FIN5030"/>
    <n v="2025"/>
    <s v="November  "/>
    <x v="0"/>
  </r>
  <r>
    <s v="0914"/>
    <s v="ELEAD"/>
    <s v="ELEAD OTHER"/>
    <s v="CALL TRACKING COUNT AS ONE"/>
    <s v="21112"/>
    <s v="4111001"/>
    <s v="N"/>
    <s v="NJ"/>
    <n v="0"/>
    <n v="1420.02"/>
    <n v="1"/>
    <x v="480"/>
    <x v="65"/>
    <e v="#N/A"/>
    <x v="476"/>
    <s v="US INVOICE"/>
    <x v="562"/>
    <s v="68180035SW01"/>
    <x v="24"/>
    <x v="24"/>
    <s v="SWW"/>
    <s v="SW ACCESS VIA WEB"/>
    <n v="2025"/>
    <n v="11"/>
    <s v="FIN5030"/>
    <n v="2025"/>
    <s v="November  "/>
    <x v="0"/>
  </r>
  <r>
    <s v="0914"/>
    <s v="ELEAD"/>
    <s v="ELEAD OTHER"/>
    <s v="CALL TRACKING COUNT AS ONE"/>
    <s v="21112"/>
    <s v="4111001"/>
    <s v="N"/>
    <s v="PA"/>
    <n v="0"/>
    <n v="1469.02"/>
    <n v="1"/>
    <x v="481"/>
    <x v="65"/>
    <e v="#N/A"/>
    <x v="477"/>
    <s v="US INVOICE"/>
    <x v="563"/>
    <s v="68185719SW03"/>
    <x v="24"/>
    <x v="24"/>
    <s v="SWW"/>
    <s v="SW ACCESS VIA WEB"/>
    <n v="2025"/>
    <n v="11"/>
    <s v="FIN5030"/>
    <n v="2025"/>
    <s v="November  "/>
    <x v="0"/>
  </r>
  <r>
    <s v="0914"/>
    <s v="ELEAD"/>
    <s v="ELEAD OTHER"/>
    <s v="CALL TRACKING COUNT AS ONE"/>
    <s v="21112"/>
    <s v="4111001"/>
    <s v="N"/>
    <s v="MD"/>
    <n v="0"/>
    <n v="783.02"/>
    <n v="1"/>
    <x v="482"/>
    <x v="65"/>
    <e v="#N/A"/>
    <x v="478"/>
    <s v="US INVOICE"/>
    <x v="564"/>
    <s v="68235472SW01"/>
    <x v="24"/>
    <x v="24"/>
    <s v="SWW"/>
    <s v="SW ACCESS VIA WEB"/>
    <n v="2025"/>
    <n v="11"/>
    <s v="FIN5030"/>
    <n v="2025"/>
    <s v="November  "/>
    <x v="0"/>
  </r>
  <r>
    <s v="0914"/>
    <s v="ELEAD"/>
    <s v="ELEAD OTHER"/>
    <s v="CALL TRACKING COUNT AS ONE"/>
    <s v="21112"/>
    <s v="4111001"/>
    <s v="N"/>
    <s v="IA"/>
    <n v="0"/>
    <n v="2921.38"/>
    <n v="1"/>
    <x v="483"/>
    <x v="380"/>
    <e v="#N/A"/>
    <x v="479"/>
    <s v="US INVOICE"/>
    <x v="565"/>
    <s v="64235014SW38"/>
    <x v="25"/>
    <x v="25"/>
    <s v="SWW"/>
    <s v="SW ACCESS VIA WEB"/>
    <n v="2025"/>
    <n v="11"/>
    <s v="FIN5030"/>
    <n v="2025"/>
    <s v="November  "/>
    <x v="0"/>
  </r>
  <r>
    <s v="0914"/>
    <s v="ELEAD"/>
    <s v="ELEAD OTHER"/>
    <s v="CALL TRACKING COUNT AS ONE"/>
    <s v="21112"/>
    <s v="4111001"/>
    <s v="N"/>
    <s v="MA"/>
    <n v="0"/>
    <n v="1812.02"/>
    <n v="1"/>
    <x v="484"/>
    <x v="381"/>
    <e v="#N/A"/>
    <x v="480"/>
    <s v="US INVOICE"/>
    <x v="566"/>
    <s v="00200565SW02"/>
    <x v="25"/>
    <x v="25"/>
    <s v="SWW"/>
    <s v="SW ACCESS VIA WEB"/>
    <n v="2025"/>
    <n v="11"/>
    <s v="FIN5030"/>
    <n v="2025"/>
    <s v="November  "/>
    <x v="0"/>
  </r>
  <r>
    <s v="0914"/>
    <s v="ELEAD"/>
    <s v="ELEAD OTHER"/>
    <s v="CALL TRACKING COUNT AS ONE"/>
    <s v="21112"/>
    <s v="4111001"/>
    <s v="N"/>
    <s v="TN"/>
    <n v="0"/>
    <n v="979.02"/>
    <n v="1"/>
    <x v="485"/>
    <x v="382"/>
    <e v="#N/A"/>
    <x v="481"/>
    <s v="US INVOICE"/>
    <x v="567"/>
    <s v="00201724SW01"/>
    <x v="25"/>
    <x v="25"/>
    <s v="SWW"/>
    <s v="SW ACCESS VIA WEB"/>
    <n v="2025"/>
    <n v="11"/>
    <s v="FIN5030"/>
    <n v="2025"/>
    <s v="November  "/>
    <x v="0"/>
  </r>
  <r>
    <s v="0914"/>
    <s v="ELEAD"/>
    <s v="ELEAD OTHER"/>
    <s v="CALL TRACKING COUNT AS ONE"/>
    <s v="21112"/>
    <s v="4111001"/>
    <s v="N"/>
    <s v="FL"/>
    <n v="0"/>
    <n v="293.02"/>
    <n v="1"/>
    <x v="486"/>
    <x v="65"/>
    <e v="#N/A"/>
    <x v="482"/>
    <s v="US INVOICE"/>
    <x v="568"/>
    <s v="00200283SW05"/>
    <x v="25"/>
    <x v="25"/>
    <s v="SWW"/>
    <s v="SW ACCESS VIA WEB"/>
    <n v="2025"/>
    <n v="11"/>
    <s v="FIN5030"/>
    <n v="2025"/>
    <s v="November  "/>
    <x v="0"/>
  </r>
  <r>
    <s v="0914"/>
    <s v="ELEAD"/>
    <s v="ELEAD OTHER"/>
    <s v="CALL TRACKING COUNT AS ONE"/>
    <s v="21112"/>
    <s v="4111001"/>
    <s v="N"/>
    <s v="AL"/>
    <n v="0"/>
    <n v="366.45"/>
    <n v="1"/>
    <x v="474"/>
    <x v="65"/>
    <e v="#N/A"/>
    <x v="470"/>
    <s v="US INVOICE"/>
    <x v="569"/>
    <s v="64216695SW02"/>
    <x v="26"/>
    <x v="26"/>
    <s v="SWW"/>
    <s v="SW ACCESS VIA WEB"/>
    <n v="2025"/>
    <n v="11"/>
    <s v="FIN5030"/>
    <n v="2025"/>
    <s v="November  "/>
    <x v="0"/>
  </r>
  <r>
    <s v="0914"/>
    <s v="ELEAD"/>
    <s v="ELEAD OTHER"/>
    <s v="CALL TRACKING COUNT AS ONE"/>
    <s v="21112"/>
    <s v="4111001"/>
    <s v="N"/>
    <s v="TX"/>
    <n v="0"/>
    <n v="366.45"/>
    <n v="1"/>
    <x v="487"/>
    <x v="65"/>
    <e v="#N/A"/>
    <x v="483"/>
    <s v="US INVOICE"/>
    <x v="570"/>
    <s v="62175746SW02"/>
    <x v="26"/>
    <x v="26"/>
    <s v="SWW"/>
    <s v="SW ACCESS VIA WEB"/>
    <n v="2025"/>
    <n v="11"/>
    <s v="FIN5030"/>
    <n v="2025"/>
    <s v="November  "/>
    <x v="0"/>
  </r>
  <r>
    <s v="0914"/>
    <s v="ELEAD"/>
    <s v="ELEAD OTHER"/>
    <s v="CALL TRACKING COUNT AS ONE"/>
    <s v="21112"/>
    <s v="4111001"/>
    <s v="N"/>
    <s v="PA"/>
    <n v="0"/>
    <n v="734.49"/>
    <n v="1"/>
    <x v="481"/>
    <x v="65"/>
    <e v="#N/A"/>
    <x v="477"/>
    <s v="US INVOICE"/>
    <x v="571"/>
    <s v="68187586SW02"/>
    <x v="27"/>
    <x v="27"/>
    <s v="SWW"/>
    <s v="SW ACCESS VIA WEB"/>
    <n v="2025"/>
    <n v="11"/>
    <s v="FIN5030"/>
    <n v="2025"/>
    <s v="November  "/>
    <x v="0"/>
  </r>
  <r>
    <m/>
    <m/>
    <m/>
    <m/>
    <m/>
    <m/>
    <m/>
    <m/>
    <m/>
    <m/>
    <m/>
    <x v="488"/>
    <x v="383"/>
    <m/>
    <x v="484"/>
    <m/>
    <x v="572"/>
    <m/>
    <x v="28"/>
    <x v="28"/>
    <m/>
    <m/>
    <m/>
    <m/>
    <m/>
    <m/>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C8E91F-32DD-4ADF-AB71-F3B996F45ABB}"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4" firstHeaderRow="0" firstDataRow="1" firstDataCol="1"/>
  <pivotFields count="26">
    <pivotField dataField="1"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2">
        <item x="0"/>
        <item x="1"/>
        <item x="2"/>
        <item x="3"/>
        <item x="4"/>
        <item x="5"/>
        <item x="7"/>
        <item x="8"/>
        <item x="9"/>
        <item x="11"/>
        <item x="12"/>
        <item x="13"/>
        <item x="14"/>
        <item x="15"/>
        <item m="1" x="20"/>
        <item x="16"/>
        <item x="17"/>
        <item x="18"/>
        <item x="6"/>
        <item x="19"/>
        <item x="10"/>
        <item t="default"/>
      </items>
    </pivotField>
    <pivotField showAll="0"/>
    <pivotField showAll="0"/>
    <pivotField showAll="0"/>
    <pivotField showAll="0"/>
    <pivotField showAll="0"/>
    <pivotField showAll="0"/>
  </pivotFields>
  <rowFields count="1">
    <field x="19"/>
  </rowFields>
  <rowItems count="21">
    <i>
      <x/>
    </i>
    <i>
      <x v="1"/>
    </i>
    <i>
      <x v="2"/>
    </i>
    <i>
      <x v="3"/>
    </i>
    <i>
      <x v="4"/>
    </i>
    <i>
      <x v="5"/>
    </i>
    <i>
      <x v="6"/>
    </i>
    <i>
      <x v="7"/>
    </i>
    <i>
      <x v="8"/>
    </i>
    <i>
      <x v="9"/>
    </i>
    <i>
      <x v="10"/>
    </i>
    <i>
      <x v="11"/>
    </i>
    <i>
      <x v="12"/>
    </i>
    <i>
      <x v="13"/>
    </i>
    <i>
      <x v="15"/>
    </i>
    <i>
      <x v="16"/>
    </i>
    <i>
      <x v="17"/>
    </i>
    <i>
      <x v="18"/>
    </i>
    <i>
      <x v="19"/>
    </i>
    <i>
      <x v="20"/>
    </i>
    <i t="grand">
      <x/>
    </i>
  </rowItems>
  <colFields count="1">
    <field x="-2"/>
  </colFields>
  <colItems count="2">
    <i>
      <x/>
    </i>
    <i i="1">
      <x v="1"/>
    </i>
  </colItems>
  <dataFields count="2">
    <dataField name="Count of Account" fld="0" subtotal="count" baseField="0" baseItem="0"/>
    <dataField name="Sum of Billing_amount" fld="5" baseField="0" baseItem="0"/>
  </dataFields>
  <formats count="4">
    <format dxfId="12386">
      <pivotArea collapsedLevelsAreSubtotals="1" fieldPosition="0">
        <references count="1">
          <reference field="19" count="0"/>
        </references>
      </pivotArea>
    </format>
    <format dxfId="12385">
      <pivotArea dataOnly="0" labelOnly="1" fieldPosition="0">
        <references count="1">
          <reference field="19" count="0"/>
        </references>
      </pivotArea>
    </format>
    <format dxfId="12384">
      <pivotArea collapsedLevelsAreSubtotals="1" fieldPosition="0">
        <references count="1">
          <reference field="19" count="0"/>
        </references>
      </pivotArea>
    </format>
    <format dxfId="12383">
      <pivotArea dataOnly="0" labelOnly="1" fieldPosition="0">
        <references count="1">
          <reference field="1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EDF30A-92D5-4BD9-9C7D-1E51C61E9032}" name="PivotTable1"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F388" firstHeaderRow="0" firstDataRow="1" firstDataCol="3"/>
  <pivotFields count="12">
    <pivotField axis="axisRow" compact="0" outline="0" showAll="0" defaultSubtotal="0">
      <items count="383">
        <item x="1"/>
        <item x="0"/>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s>
    </pivotField>
    <pivotField axis="axisRow" compact="0" outline="0" showAll="0" defaultSubtotal="0">
      <items count="384">
        <item x="0"/>
        <item x="133"/>
        <item x="46"/>
        <item x="27"/>
        <item x="260"/>
        <item x="258"/>
        <item x="218"/>
        <item x="35"/>
        <item x="36"/>
        <item x="231"/>
        <item x="32"/>
        <item x="360"/>
        <item x="369"/>
        <item x="367"/>
        <item x="378"/>
        <item x="365"/>
        <item x="376"/>
        <item x="374"/>
        <item x="375"/>
        <item x="372"/>
        <item x="368"/>
        <item x="153"/>
        <item x="161"/>
        <item x="155"/>
        <item x="165"/>
        <item x="163"/>
        <item x="151"/>
        <item x="150"/>
        <item x="56"/>
        <item x="57"/>
        <item x="141"/>
        <item x="17"/>
        <item x="293"/>
        <item x="55"/>
        <item x="23"/>
        <item x="24"/>
        <item x="25"/>
        <item x="159"/>
        <item x="154"/>
        <item x="160"/>
        <item x="158"/>
        <item x="148"/>
        <item x="164"/>
        <item x="152"/>
        <item x="167"/>
        <item x="146"/>
        <item x="149"/>
        <item x="168"/>
        <item x="156"/>
        <item x="358"/>
        <item x="1"/>
        <item x="3"/>
        <item x="2"/>
        <item x="275"/>
        <item x="220"/>
        <item x="193"/>
        <item x="329"/>
        <item x="336"/>
        <item x="135"/>
        <item x="31"/>
        <item x="82"/>
        <item x="16"/>
        <item x="126"/>
        <item x="326"/>
        <item x="13"/>
        <item x="364"/>
        <item x="199"/>
        <item x="354"/>
        <item x="139"/>
        <item x="269"/>
        <item x="169"/>
        <item x="145"/>
        <item x="266"/>
        <item x="224"/>
        <item x="186"/>
        <item x="307"/>
        <item x="381"/>
        <item x="382"/>
        <item x="380"/>
        <item x="267"/>
        <item x="268"/>
        <item x="95"/>
        <item x="103"/>
        <item x="104"/>
        <item x="96"/>
        <item x="308"/>
        <item x="34"/>
        <item x="264"/>
        <item x="87"/>
        <item x="100"/>
        <item x="185"/>
        <item x="210"/>
        <item x="259"/>
        <item x="339"/>
        <item x="101"/>
        <item x="48"/>
        <item x="51"/>
        <item x="379"/>
        <item x="50"/>
        <item x="49"/>
        <item x="52"/>
        <item x="37"/>
        <item x="6"/>
        <item x="294"/>
        <item x="11"/>
        <item x="309"/>
        <item x="93"/>
        <item x="198"/>
        <item x="196"/>
        <item x="370"/>
        <item x="377"/>
        <item x="373"/>
        <item x="371"/>
        <item x="291"/>
        <item x="172"/>
        <item x="19"/>
        <item x="33"/>
        <item x="124"/>
        <item x="257"/>
        <item x="125"/>
        <item x="355"/>
        <item x="279"/>
        <item x="334"/>
        <item x="299"/>
        <item x="317"/>
        <item x="298"/>
        <item x="312"/>
        <item x="313"/>
        <item x="18"/>
        <item x="274"/>
        <item x="340"/>
        <item x="206"/>
        <item x="85"/>
        <item x="132"/>
        <item x="330"/>
        <item x="292"/>
        <item x="128"/>
        <item x="170"/>
        <item x="14"/>
        <item x="137"/>
        <item x="295"/>
        <item x="297"/>
        <item x="296"/>
        <item x="304"/>
        <item x="305"/>
        <item x="303"/>
        <item x="306"/>
        <item x="301"/>
        <item x="8"/>
        <item x="338"/>
        <item x="223"/>
        <item x="331"/>
        <item x="9"/>
        <item x="261"/>
        <item x="234"/>
        <item x="83"/>
        <item x="59"/>
        <item x="131"/>
        <item x="209"/>
        <item x="45"/>
        <item x="43"/>
        <item x="42"/>
        <item x="44"/>
        <item x="136"/>
        <item x="178"/>
        <item x="157"/>
        <item x="228"/>
        <item x="89"/>
        <item x="97"/>
        <item x="265"/>
        <item x="356"/>
        <item x="311"/>
        <item x="192"/>
        <item x="102"/>
        <item x="302"/>
        <item x="327"/>
        <item x="107"/>
        <item x="99"/>
        <item x="119"/>
        <item x="117"/>
        <item x="110"/>
        <item x="109"/>
        <item x="114"/>
        <item x="116"/>
        <item x="113"/>
        <item x="112"/>
        <item x="115"/>
        <item x="98"/>
        <item x="120"/>
        <item x="105"/>
        <item x="118"/>
        <item x="111"/>
        <item x="171"/>
        <item x="122"/>
        <item x="255"/>
        <item x="121"/>
        <item x="177"/>
        <item x="58"/>
        <item x="229"/>
        <item x="180"/>
        <item x="181"/>
        <item x="182"/>
        <item x="183"/>
        <item x="184"/>
        <item x="173"/>
        <item x="240"/>
        <item x="241"/>
        <item x="245"/>
        <item x="247"/>
        <item x="249"/>
        <item x="79"/>
        <item x="251"/>
        <item x="253"/>
        <item x="221"/>
        <item x="347"/>
        <item x="81"/>
        <item x="287"/>
        <item x="235"/>
        <item x="243"/>
        <item x="324"/>
        <item x="123"/>
        <item x="239"/>
        <item x="332"/>
        <item x="20"/>
        <item x="147"/>
        <item x="134"/>
        <item x="250"/>
        <item x="222"/>
        <item x="286"/>
        <item x="236"/>
        <item x="246"/>
        <item x="244"/>
        <item x="277"/>
        <item x="281"/>
        <item x="280"/>
        <item x="366"/>
        <item x="350"/>
        <item x="29"/>
        <item x="108"/>
        <item x="278"/>
        <item x="351"/>
        <item x="15"/>
        <item x="232"/>
        <item x="233"/>
        <item x="174"/>
        <item x="176"/>
        <item x="276"/>
        <item x="335"/>
        <item x="26"/>
        <item x="88"/>
        <item x="175"/>
        <item x="41"/>
        <item x="242"/>
        <item x="207"/>
        <item x="344"/>
        <item x="357"/>
        <item x="205"/>
        <item x="237"/>
        <item x="225"/>
        <item x="194"/>
        <item x="28"/>
        <item x="208"/>
        <item x="262"/>
        <item x="349"/>
        <item x="230"/>
        <item x="201"/>
        <item x="202"/>
        <item x="203"/>
        <item x="352"/>
        <item x="76"/>
        <item x="213"/>
        <item x="91"/>
        <item x="92"/>
        <item x="80"/>
        <item x="129"/>
        <item x="54"/>
        <item x="333"/>
        <item x="346"/>
        <item x="204"/>
        <item x="248"/>
        <item x="300"/>
        <item x="38"/>
        <item x="191"/>
        <item x="212"/>
        <item x="39"/>
        <item x="273"/>
        <item x="65"/>
        <item x="66"/>
        <item x="70"/>
        <item x="63"/>
        <item x="71"/>
        <item x="75"/>
        <item x="72"/>
        <item x="74"/>
        <item x="67"/>
        <item x="61"/>
        <item x="5"/>
        <item x="195"/>
        <item x="90"/>
        <item x="53"/>
        <item x="200"/>
        <item x="197"/>
        <item x="162"/>
        <item x="179"/>
        <item x="94"/>
        <item x="187"/>
        <item x="316"/>
        <item x="282"/>
        <item x="283"/>
        <item x="325"/>
        <item x="4"/>
        <item x="211"/>
        <item x="290"/>
        <item x="22"/>
        <item x="144"/>
        <item x="143"/>
        <item x="227"/>
        <item x="78"/>
        <item x="142"/>
        <item x="140"/>
        <item x="345"/>
        <item x="337"/>
        <item x="342"/>
        <item x="343"/>
        <item x="341"/>
        <item x="272"/>
        <item x="328"/>
        <item x="30"/>
        <item x="284"/>
        <item x="47"/>
        <item x="106"/>
        <item x="84"/>
        <item x="271"/>
        <item x="252"/>
        <item x="256"/>
        <item x="285"/>
        <item x="188"/>
        <item x="289"/>
        <item x="363"/>
        <item x="189"/>
        <item x="254"/>
        <item x="190"/>
        <item x="21"/>
        <item x="314"/>
        <item x="315"/>
        <item x="348"/>
        <item x="288"/>
        <item x="64"/>
        <item x="60"/>
        <item x="73"/>
        <item x="69"/>
        <item x="214"/>
        <item x="62"/>
        <item x="68"/>
        <item x="12"/>
        <item x="130"/>
        <item x="323"/>
        <item x="319"/>
        <item x="320"/>
        <item x="321"/>
        <item x="127"/>
        <item x="219"/>
        <item x="310"/>
        <item x="216"/>
        <item x="40"/>
        <item x="226"/>
        <item x="10"/>
        <item x="362"/>
        <item x="361"/>
        <item x="238"/>
        <item x="86"/>
        <item x="166"/>
        <item x="263"/>
        <item x="77"/>
        <item x="322"/>
        <item x="318"/>
        <item x="359"/>
        <item x="353"/>
        <item x="215"/>
        <item x="217"/>
        <item x="7"/>
        <item x="138"/>
        <item x="270"/>
        <item x="383"/>
      </items>
    </pivotField>
    <pivotField axis="axisRow" compact="0" outline="0" showAll="0" defaultSubtotal="0">
      <items count="356">
        <item x="4"/>
        <item x="338"/>
        <item x="56"/>
        <item x="46"/>
        <item x="150"/>
        <item x="39"/>
        <item x="129"/>
        <item x="245"/>
        <item x="75"/>
        <item x="30"/>
        <item x="132"/>
        <item x="54"/>
        <item x="291"/>
        <item x="268"/>
        <item x="319"/>
        <item x="277"/>
        <item x="88"/>
        <item x="310"/>
        <item x="307"/>
        <item x="194"/>
        <item x="208"/>
        <item x="22"/>
        <item x="242"/>
        <item x="176"/>
        <item x="76"/>
        <item x="13"/>
        <item x="280"/>
        <item x="53"/>
        <item x="32"/>
        <item x="193"/>
        <item x="340"/>
        <item x="199"/>
        <item x="216"/>
        <item x="123"/>
        <item x="122"/>
        <item x="124"/>
        <item x="320"/>
        <item x="221"/>
        <item x="55"/>
        <item x="233"/>
        <item x="272"/>
        <item x="321"/>
        <item x="189"/>
        <item x="258"/>
        <item x="82"/>
        <item x="288"/>
        <item x="345"/>
        <item x="281"/>
        <item x="84"/>
        <item x="337"/>
        <item x="26"/>
        <item x="200"/>
        <item x="201"/>
        <item x="209"/>
        <item x="96"/>
        <item x="332"/>
        <item x="273"/>
        <item x="243"/>
        <item x="244"/>
        <item x="61"/>
        <item x="34"/>
        <item x="275"/>
        <item x="311"/>
        <item x="85"/>
        <item x="271"/>
        <item x="35"/>
        <item x="31"/>
        <item x="127"/>
        <item x="80"/>
        <item x="353"/>
        <item x="355"/>
        <item x="354"/>
        <item x="67"/>
        <item x="94"/>
        <item x="89"/>
        <item x="341"/>
        <item x="346"/>
        <item x="347"/>
        <item x="348"/>
        <item x="352"/>
        <item x="351"/>
        <item x="350"/>
        <item x="349"/>
        <item x="207"/>
        <item x="121"/>
        <item x="161"/>
        <item x="151"/>
        <item x="147"/>
        <item x="146"/>
        <item x="149"/>
        <item x="157"/>
        <item x="158"/>
        <item x="159"/>
        <item x="339"/>
        <item x="317"/>
        <item x="23"/>
        <item x="24"/>
        <item x="138"/>
        <item x="134"/>
        <item x="155"/>
        <item x="156"/>
        <item x="154"/>
        <item x="160"/>
        <item x="144"/>
        <item x="148"/>
        <item x="163"/>
        <item x="143"/>
        <item x="152"/>
        <item x="164"/>
        <item x="145"/>
        <item x="1"/>
        <item x="183"/>
        <item x="206"/>
        <item x="2"/>
        <item x="3"/>
        <item x="142"/>
        <item x="133"/>
        <item x="15"/>
        <item x="135"/>
        <item x="328"/>
        <item x="78"/>
        <item x="36"/>
        <item x="276"/>
        <item x="278"/>
        <item x="219"/>
        <item x="12"/>
        <item x="165"/>
        <item x="100"/>
        <item x="335"/>
        <item x="316"/>
        <item x="251"/>
        <item x="252"/>
        <item x="253"/>
        <item x="250"/>
        <item x="279"/>
        <item x="58"/>
        <item x="318"/>
        <item x="102"/>
        <item x="101"/>
        <item x="95"/>
        <item x="33"/>
        <item x="289"/>
        <item x="86"/>
        <item x="99"/>
        <item x="248"/>
        <item x="106"/>
        <item x="175"/>
        <item x="92"/>
        <item x="336"/>
        <item x="314"/>
        <item x="126"/>
        <item x="52"/>
        <item x="290"/>
        <item x="168"/>
        <item x="10"/>
        <item x="188"/>
        <item x="186"/>
        <item x="47"/>
        <item x="48"/>
        <item x="49"/>
        <item x="50"/>
        <item x="51"/>
        <item x="261"/>
        <item x="241"/>
        <item x="18"/>
        <item x="270"/>
        <item x="260"/>
        <item x="298"/>
        <item x="293"/>
        <item x="294"/>
        <item x="313"/>
        <item x="257"/>
        <item x="16"/>
        <item x="17"/>
        <item x="130"/>
        <item x="195"/>
        <item x="249"/>
        <item x="274"/>
        <item x="284"/>
        <item x="282"/>
        <item x="287"/>
        <item x="285"/>
        <item x="286"/>
        <item x="166"/>
        <item x="264"/>
        <item x="222"/>
        <item x="198"/>
        <item x="8"/>
        <item x="312"/>
        <item x="44"/>
        <item x="43"/>
        <item x="41"/>
        <item x="42"/>
        <item x="173"/>
        <item x="153"/>
        <item x="265"/>
        <item x="197"/>
        <item x="196"/>
        <item x="292"/>
        <item x="267"/>
        <item x="213"/>
        <item x="308"/>
        <item x="109"/>
        <item x="118"/>
        <item x="116"/>
        <item x="103"/>
        <item x="97"/>
        <item x="98"/>
        <item x="113"/>
        <item x="110"/>
        <item x="111"/>
        <item x="114"/>
        <item x="112"/>
        <item x="107"/>
        <item x="108"/>
        <item x="115"/>
        <item x="117"/>
        <item x="105"/>
        <item x="182"/>
        <item x="283"/>
        <item x="120"/>
        <item x="119"/>
        <item x="238"/>
        <item x="269"/>
        <item x="40"/>
        <item x="236"/>
        <item x="214"/>
        <item x="167"/>
        <item x="57"/>
        <item x="172"/>
        <item x="227"/>
        <item x="225"/>
        <item x="226"/>
        <item x="230"/>
        <item x="234"/>
        <item x="232"/>
        <item x="220"/>
        <item x="28"/>
        <item x="228"/>
        <item x="224"/>
        <item x="19"/>
        <item x="235"/>
        <item x="14"/>
        <item x="305"/>
        <item x="231"/>
        <item x="229"/>
        <item x="217"/>
        <item x="218"/>
        <item x="259"/>
        <item x="263"/>
        <item x="262"/>
        <item x="171"/>
        <item x="170"/>
        <item x="169"/>
        <item x="331"/>
        <item x="87"/>
        <item x="70"/>
        <item x="90"/>
        <item x="91"/>
        <item x="325"/>
        <item x="247"/>
        <item x="330"/>
        <item x="185"/>
        <item x="184"/>
        <item x="27"/>
        <item x="210"/>
        <item x="79"/>
        <item x="246"/>
        <item x="191"/>
        <item x="136"/>
        <item x="192"/>
        <item x="333"/>
        <item x="215"/>
        <item x="202"/>
        <item x="327"/>
        <item x="190"/>
        <item x="37"/>
        <item x="181"/>
        <item x="60"/>
        <item x="74"/>
        <item x="62"/>
        <item x="73"/>
        <item x="66"/>
        <item x="71"/>
        <item x="64"/>
        <item x="65"/>
        <item x="69"/>
        <item x="256"/>
        <item x="38"/>
        <item x="21"/>
        <item x="187"/>
        <item x="5"/>
        <item x="297"/>
        <item x="174"/>
        <item x="177"/>
        <item x="306"/>
        <item x="323"/>
        <item x="324"/>
        <item x="322"/>
        <item x="93"/>
        <item x="139"/>
        <item x="137"/>
        <item x="326"/>
        <item x="140"/>
        <item x="141"/>
        <item x="212"/>
        <item x="77"/>
        <item x="309"/>
        <item x="178"/>
        <item x="83"/>
        <item x="104"/>
        <item x="266"/>
        <item x="255"/>
        <item x="29"/>
        <item x="237"/>
        <item x="125"/>
        <item x="239"/>
        <item x="240"/>
        <item x="20"/>
        <item x="344"/>
        <item x="63"/>
        <item x="68"/>
        <item x="180"/>
        <item x="329"/>
        <item x="295"/>
        <item x="296"/>
        <item x="11"/>
        <item x="72"/>
        <item x="59"/>
        <item x="9"/>
        <item x="128"/>
        <item x="223"/>
        <item x="162"/>
        <item x="254"/>
        <item x="303"/>
        <item x="299"/>
        <item x="334"/>
        <item x="204"/>
        <item x="203"/>
        <item x="7"/>
        <item x="25"/>
        <item x="131"/>
        <item x="179"/>
        <item x="81"/>
        <item x="342"/>
        <item x="343"/>
        <item x="211"/>
        <item x="205"/>
        <item x="302"/>
        <item x="304"/>
        <item x="300"/>
        <item x="301"/>
        <item x="45"/>
        <item x="315"/>
        <item x="6"/>
        <item x="0"/>
      </items>
    </pivotField>
    <pivotField compact="0" outline="0" showAll="0"/>
    <pivotField compact="0" outline="0" showAll="0"/>
    <pivotField dataField="1" compact="0" outline="0" showAll="0">
      <items count="359">
        <item x="8"/>
        <item x="51"/>
        <item x="202"/>
        <item x="120"/>
        <item x="122"/>
        <item x="256"/>
        <item x="21"/>
        <item x="0"/>
        <item x="193"/>
        <item x="132"/>
        <item x="86"/>
        <item x="326"/>
        <item x="328"/>
        <item x="327"/>
        <item x="354"/>
        <item x="288"/>
        <item x="6"/>
        <item x="275"/>
        <item x="263"/>
        <item x="92"/>
        <item x="52"/>
        <item x="171"/>
        <item x="36"/>
        <item x="290"/>
        <item x="355"/>
        <item x="337"/>
        <item x="212"/>
        <item x="3"/>
        <item x="26"/>
        <item x="241"/>
        <item x="209"/>
        <item x="245"/>
        <item x="201"/>
        <item x="204"/>
        <item x="81"/>
        <item x="210"/>
        <item x="248"/>
        <item x="9"/>
        <item x="352"/>
        <item x="1"/>
        <item x="356"/>
        <item x="289"/>
        <item x="287"/>
        <item x="208"/>
        <item x="188"/>
        <item x="49"/>
        <item x="349"/>
        <item x="196"/>
        <item x="206"/>
        <item x="339"/>
        <item x="268"/>
        <item x="164"/>
        <item x="347"/>
        <item x="85"/>
        <item x="88"/>
        <item x="25"/>
        <item x="67"/>
        <item x="233"/>
        <item x="351"/>
        <item x="249"/>
        <item x="345"/>
        <item x="338"/>
        <item x="260"/>
        <item x="259"/>
        <item x="323"/>
        <item x="237"/>
        <item x="38"/>
        <item x="89"/>
        <item x="243"/>
        <item x="125"/>
        <item x="293"/>
        <item x="296"/>
        <item x="162"/>
        <item x="113"/>
        <item x="353"/>
        <item x="133"/>
        <item x="330"/>
        <item x="235"/>
        <item x="342"/>
        <item x="324"/>
        <item x="252"/>
        <item x="173"/>
        <item x="16"/>
        <item x="123"/>
        <item x="218"/>
        <item x="27"/>
        <item x="114"/>
        <item x="62"/>
        <item x="270"/>
        <item x="59"/>
        <item x="223"/>
        <item x="271"/>
        <item x="344"/>
        <item x="68"/>
        <item x="343"/>
        <item x="192"/>
        <item x="298"/>
        <item x="7"/>
        <item x="169"/>
        <item x="129"/>
        <item x="80"/>
        <item x="215"/>
        <item x="12"/>
        <item x="348"/>
        <item x="163"/>
        <item x="41"/>
        <item x="228"/>
        <item x="333"/>
        <item x="47"/>
        <item x="135"/>
        <item x="232"/>
        <item x="46"/>
        <item x="240"/>
        <item x="45"/>
        <item x="340"/>
        <item x="198"/>
        <item x="58"/>
        <item x="222"/>
        <item x="350"/>
        <item x="247"/>
        <item x="54"/>
        <item x="294"/>
        <item x="2"/>
        <item x="77"/>
        <item x="70"/>
        <item x="78"/>
        <item x="219"/>
        <item x="346"/>
        <item x="217"/>
        <item x="134"/>
        <item x="142"/>
        <item x="106"/>
        <item x="107"/>
        <item x="56"/>
        <item x="39"/>
        <item x="177"/>
        <item x="172"/>
        <item x="48"/>
        <item x="229"/>
        <item x="137"/>
        <item x="332"/>
        <item x="44"/>
        <item x="32"/>
        <item x="111"/>
        <item x="221"/>
        <item x="94"/>
        <item x="297"/>
        <item x="165"/>
        <item x="331"/>
        <item x="265"/>
        <item x="274"/>
        <item x="57"/>
        <item x="24"/>
        <item x="284"/>
        <item x="255"/>
        <item x="199"/>
        <item x="15"/>
        <item x="148"/>
        <item x="175"/>
        <item x="272"/>
        <item x="280"/>
        <item x="99"/>
        <item x="34"/>
        <item x="11"/>
        <item x="53"/>
        <item x="100"/>
        <item x="60"/>
        <item x="226"/>
        <item x="325"/>
        <item x="126"/>
        <item x="73"/>
        <item x="154"/>
        <item x="277"/>
        <item x="61"/>
        <item x="69"/>
        <item x="130"/>
        <item x="79"/>
        <item x="13"/>
        <item x="82"/>
        <item x="239"/>
        <item x="278"/>
        <item x="104"/>
        <item x="144"/>
        <item x="159"/>
        <item x="91"/>
        <item x="90"/>
        <item x="251"/>
        <item x="266"/>
        <item x="43"/>
        <item x="230"/>
        <item x="35"/>
        <item x="64"/>
        <item x="197"/>
        <item x="267"/>
        <item x="66"/>
        <item x="190"/>
        <item x="211"/>
        <item x="261"/>
        <item x="124"/>
        <item x="136"/>
        <item x="110"/>
        <item x="31"/>
        <item x="160"/>
        <item x="207"/>
        <item x="155"/>
        <item x="180"/>
        <item x="182"/>
        <item x="30"/>
        <item x="234"/>
        <item x="102"/>
        <item x="138"/>
        <item x="109"/>
        <item x="281"/>
        <item x="29"/>
        <item x="117"/>
        <item x="184"/>
        <item x="63"/>
        <item x="65"/>
        <item x="23"/>
        <item x="250"/>
        <item x="119"/>
        <item x="167"/>
        <item x="225"/>
        <item x="336"/>
        <item x="20"/>
        <item x="105"/>
        <item x="37"/>
        <item x="214"/>
        <item x="258"/>
        <item x="166"/>
        <item x="220"/>
        <item x="279"/>
        <item x="273"/>
        <item x="28"/>
        <item x="276"/>
        <item x="147"/>
        <item x="203"/>
        <item x="295"/>
        <item x="145"/>
        <item x="10"/>
        <item x="75"/>
        <item x="170"/>
        <item x="156"/>
        <item x="118"/>
        <item x="187"/>
        <item x="76"/>
        <item x="205"/>
        <item x="236"/>
        <item x="131"/>
        <item x="149"/>
        <item x="246"/>
        <item x="108"/>
        <item x="151"/>
        <item x="127"/>
        <item x="168"/>
        <item x="50"/>
        <item x="264"/>
        <item x="121"/>
        <item x="98"/>
        <item x="320"/>
        <item x="213"/>
        <item x="87"/>
        <item x="14"/>
        <item x="282"/>
        <item x="71"/>
        <item x="179"/>
        <item x="283"/>
        <item x="306"/>
        <item x="254"/>
        <item x="318"/>
        <item x="292"/>
        <item x="72"/>
        <item x="40"/>
        <item x="195"/>
        <item x="152"/>
        <item x="335"/>
        <item x="257"/>
        <item x="200"/>
        <item x="112"/>
        <item x="146"/>
        <item x="341"/>
        <item x="55"/>
        <item x="157"/>
        <item x="74"/>
        <item x="116"/>
        <item x="286"/>
        <item x="317"/>
        <item x="19"/>
        <item x="321"/>
        <item x="96"/>
        <item x="143"/>
        <item x="181"/>
        <item x="189"/>
        <item x="158"/>
        <item x="312"/>
        <item x="316"/>
        <item x="186"/>
        <item x="242"/>
        <item x="329"/>
        <item x="291"/>
        <item x="262"/>
        <item x="304"/>
        <item x="311"/>
        <item x="178"/>
        <item x="269"/>
        <item x="253"/>
        <item x="97"/>
        <item x="227"/>
        <item x="95"/>
        <item x="224"/>
        <item x="185"/>
        <item x="176"/>
        <item x="307"/>
        <item x="18"/>
        <item x="191"/>
        <item x="140"/>
        <item x="322"/>
        <item x="216"/>
        <item x="22"/>
        <item x="128"/>
        <item x="139"/>
        <item x="301"/>
        <item x="315"/>
        <item x="161"/>
        <item x="285"/>
        <item x="150"/>
        <item x="309"/>
        <item x="101"/>
        <item x="319"/>
        <item x="244"/>
        <item x="84"/>
        <item x="141"/>
        <item x="42"/>
        <item x="300"/>
        <item x="308"/>
        <item x="310"/>
        <item x="299"/>
        <item x="5"/>
        <item x="313"/>
        <item x="174"/>
        <item x="33"/>
        <item x="83"/>
        <item x="302"/>
        <item x="93"/>
        <item x="238"/>
        <item x="17"/>
        <item x="231"/>
        <item x="314"/>
        <item x="305"/>
        <item x="303"/>
        <item x="153"/>
        <item x="194"/>
        <item x="115"/>
        <item x="103"/>
        <item x="183"/>
        <item x="334"/>
        <item x="4"/>
        <item x="357"/>
        <item t="default"/>
      </items>
    </pivotField>
    <pivotField dataField="1" compact="0" outline="0" showAll="0"/>
    <pivotField compact="0" outline="0" showAll="0"/>
    <pivotField compact="0" outline="0" showAll="0"/>
    <pivotField compact="0" outline="0" showAll="0"/>
    <pivotField compact="0" outline="0" showAll="0"/>
    <pivotField dataField="1" compact="0" outline="0" showAll="0"/>
  </pivotFields>
  <rowFields count="3">
    <field x="0"/>
    <field x="1"/>
    <field x="2"/>
  </rowFields>
  <rowItems count="385">
    <i>
      <x/>
      <x v="50"/>
      <x v="110"/>
    </i>
    <i>
      <x v="1"/>
      <x/>
      <x v="355"/>
    </i>
    <i>
      <x v="2"/>
      <x v="52"/>
      <x v="113"/>
    </i>
    <i>
      <x v="3"/>
      <x v="51"/>
      <x v="114"/>
    </i>
    <i>
      <x v="4"/>
      <x v="310"/>
      <x/>
    </i>
    <i>
      <x v="5"/>
      <x v="296"/>
      <x v="291"/>
    </i>
    <i>
      <x v="6"/>
      <x v="102"/>
      <x v="354"/>
    </i>
    <i>
      <x v="7"/>
      <x v="380"/>
      <x v="339"/>
    </i>
    <i>
      <x v="8"/>
      <x v="148"/>
      <x v="355"/>
    </i>
    <i>
      <x v="9"/>
      <x v="152"/>
      <x v="187"/>
    </i>
    <i>
      <x v="10"/>
      <x v="366"/>
      <x v="329"/>
    </i>
    <i>
      <x v="11"/>
      <x v="104"/>
      <x v="154"/>
    </i>
    <i>
      <x v="12"/>
      <x v="354"/>
      <x v="326"/>
    </i>
    <i>
      <x v="13"/>
      <x v="64"/>
      <x v="125"/>
    </i>
    <i>
      <x v="14"/>
      <x v="138"/>
      <x v="25"/>
    </i>
    <i>
      <x v="15"/>
      <x v="241"/>
      <x v="242"/>
    </i>
    <i>
      <x v="16"/>
      <x v="61"/>
      <x v="117"/>
    </i>
    <i>
      <x v="17"/>
      <x v="31"/>
      <x v="172"/>
    </i>
    <i>
      <x v="18"/>
      <x v="128"/>
      <x v="173"/>
    </i>
    <i>
      <x v="19"/>
      <x v="115"/>
      <x v="164"/>
    </i>
    <i>
      <x v="20"/>
      <x v="223"/>
      <x v="240"/>
    </i>
    <i>
      <x v="21"/>
      <x v="342"/>
      <x v="318"/>
    </i>
    <i>
      <x v="22"/>
      <x v="313"/>
      <x v="289"/>
    </i>
    <i>
      <x v="23"/>
      <x v="34"/>
      <x v="21"/>
    </i>
    <i>
      <x v="24"/>
      <x v="35"/>
      <x v="95"/>
    </i>
    <i>
      <x v="25"/>
      <x v="36"/>
      <x v="96"/>
    </i>
    <i>
      <x v="26"/>
      <x v="248"/>
      <x v="340"/>
    </i>
    <i>
      <x v="27"/>
      <x v="3"/>
      <x v="50"/>
    </i>
    <i>
      <x v="28"/>
      <x v="260"/>
      <x v="264"/>
    </i>
    <i>
      <x v="29"/>
      <x v="237"/>
      <x v="237"/>
    </i>
    <i>
      <x v="30"/>
      <x v="327"/>
      <x v="313"/>
    </i>
    <i>
      <x v="31"/>
      <x v="59"/>
      <x v="9"/>
    </i>
    <i>
      <x v="32"/>
      <x v="10"/>
      <x v="66"/>
    </i>
    <i>
      <x v="33"/>
      <x v="116"/>
      <x v="28"/>
    </i>
    <i>
      <x v="34"/>
      <x v="86"/>
      <x v="140"/>
    </i>
    <i>
      <x v="35"/>
      <x v="7"/>
      <x v="60"/>
    </i>
    <i>
      <x v="36"/>
      <x v="8"/>
      <x v="65"/>
    </i>
    <i>
      <x v="37"/>
      <x v="101"/>
      <x v="121"/>
    </i>
    <i>
      <x v="38"/>
      <x v="281"/>
      <x v="276"/>
    </i>
    <i>
      <x v="39"/>
      <x v="284"/>
      <x v="288"/>
    </i>
    <i>
      <x v="40"/>
      <x v="364"/>
      <x v="5"/>
    </i>
    <i>
      <x v="41"/>
      <x v="251"/>
      <x v="224"/>
    </i>
    <i>
      <x v="42"/>
      <x v="161"/>
      <x v="191"/>
    </i>
    <i>
      <x v="43"/>
      <x v="160"/>
      <x v="192"/>
    </i>
    <i>
      <x v="44"/>
      <x v="162"/>
      <x v="190"/>
    </i>
    <i>
      <x v="45"/>
      <x v="159"/>
      <x v="189"/>
    </i>
    <i>
      <x v="46"/>
      <x v="2"/>
      <x v="352"/>
    </i>
    <i>
      <x v="47"/>
      <x v="329"/>
      <x v="3"/>
    </i>
    <i>
      <x v="48"/>
      <x v="95"/>
      <x v="157"/>
    </i>
    <i>
      <x v="49"/>
      <x v="99"/>
      <x v="158"/>
    </i>
    <i>
      <x v="50"/>
      <x v="98"/>
      <x v="159"/>
    </i>
    <i>
      <x v="51"/>
      <x v="96"/>
      <x v="160"/>
    </i>
    <i>
      <x v="52"/>
      <x v="100"/>
      <x v="161"/>
    </i>
    <i>
      <x v="53"/>
      <x v="299"/>
      <x v="151"/>
    </i>
    <i>
      <x v="54"/>
      <x v="275"/>
      <x v="27"/>
    </i>
    <i>
      <x v="55"/>
      <x v="33"/>
      <x v="11"/>
    </i>
    <i>
      <x v="56"/>
      <x v="28"/>
      <x v="38"/>
    </i>
    <i>
      <x v="57"/>
      <x v="29"/>
      <x v="2"/>
    </i>
    <i>
      <x v="58"/>
      <x v="197"/>
      <x v="228"/>
    </i>
    <i>
      <x v="59"/>
      <x v="156"/>
      <x v="135"/>
    </i>
    <i>
      <x v="60"/>
      <x v="348"/>
      <x v="328"/>
    </i>
    <i>
      <x v="61"/>
      <x v="295"/>
      <x v="278"/>
    </i>
    <i>
      <x v="62"/>
      <x v="352"/>
      <x v="59"/>
    </i>
    <i>
      <x v="63"/>
      <x v="289"/>
      <x v="280"/>
    </i>
    <i>
      <x v="64"/>
      <x v="347"/>
      <x v="320"/>
    </i>
    <i>
      <x v="65"/>
      <x v="286"/>
      <x v="284"/>
    </i>
    <i>
      <x v="66"/>
      <x v="287"/>
      <x v="285"/>
    </i>
    <i>
      <x v="67"/>
      <x v="294"/>
      <x v="282"/>
    </i>
    <i>
      <x v="68"/>
      <x v="353"/>
      <x v="72"/>
    </i>
    <i>
      <x v="69"/>
      <x v="350"/>
      <x v="321"/>
    </i>
    <i>
      <x v="70"/>
      <x v="288"/>
      <x v="286"/>
    </i>
    <i>
      <x v="71"/>
      <x v="290"/>
      <x v="256"/>
    </i>
    <i>
      <x v="72"/>
      <x v="292"/>
      <x v="283"/>
    </i>
    <i>
      <x v="73"/>
      <x v="349"/>
      <x v="327"/>
    </i>
    <i>
      <x v="74"/>
      <x v="293"/>
      <x v="281"/>
    </i>
    <i>
      <x v="75"/>
      <x v="291"/>
      <x v="279"/>
    </i>
    <i>
      <x v="76"/>
      <x v="269"/>
      <x v="8"/>
    </i>
    <i>
      <x v="77"/>
      <x v="373"/>
      <x v="24"/>
    </i>
    <i>
      <x v="78"/>
      <x v="317"/>
      <x v="306"/>
    </i>
    <i>
      <x v="79"/>
      <x v="210"/>
      <x v="120"/>
    </i>
    <i>
      <x v="80"/>
      <x v="273"/>
      <x v="266"/>
    </i>
    <i>
      <x v="81"/>
      <x v="215"/>
      <x v="68"/>
    </i>
    <i>
      <x v="82"/>
      <x v="60"/>
      <x v="343"/>
    </i>
    <i>
      <x v="83"/>
      <x v="155"/>
      <x v="44"/>
    </i>
    <i>
      <x v="84"/>
      <x v="331"/>
      <x v="309"/>
    </i>
    <i>
      <x v="85"/>
      <x v="132"/>
      <x v="48"/>
    </i>
    <i>
      <x v="86"/>
      <x v="370"/>
      <x v="63"/>
    </i>
    <i>
      <x v="87"/>
      <x v="88"/>
      <x v="142"/>
    </i>
    <i>
      <x v="88"/>
      <x v="249"/>
      <x v="255"/>
    </i>
    <i>
      <x v="89"/>
      <x v="167"/>
      <x v="16"/>
    </i>
    <i>
      <x v="90"/>
      <x v="298"/>
      <x v="74"/>
    </i>
    <i>
      <x v="91"/>
      <x v="271"/>
      <x v="257"/>
    </i>
    <i>
      <x v="92"/>
      <x v="272"/>
      <x v="258"/>
    </i>
    <i>
      <x v="93"/>
      <x v="106"/>
      <x v="147"/>
    </i>
    <i>
      <x v="94"/>
      <x v="304"/>
      <x v="299"/>
    </i>
    <i>
      <x v="95"/>
      <x v="81"/>
      <x v="73"/>
    </i>
    <i>
      <x v="96"/>
      <x v="84"/>
      <x v="139"/>
    </i>
    <i>
      <x v="97"/>
      <x v="168"/>
      <x v="54"/>
    </i>
    <i>
      <x v="98"/>
      <x v="187"/>
      <x v="206"/>
    </i>
    <i>
      <x v="99"/>
      <x v="177"/>
      <x v="207"/>
    </i>
    <i>
      <x v="100"/>
      <x v="89"/>
      <x v="143"/>
    </i>
    <i>
      <x v="101"/>
      <x v="94"/>
      <x v="355"/>
    </i>
    <i>
      <x v="102"/>
      <x v="173"/>
      <x v="127"/>
    </i>
    <i>
      <x v="103"/>
      <x v="82"/>
      <x v="138"/>
    </i>
    <i>
      <x v="104"/>
      <x v="83"/>
      <x v="137"/>
    </i>
    <i>
      <x v="105"/>
      <x v="189"/>
      <x v="205"/>
    </i>
    <i>
      <x v="106"/>
      <x v="330"/>
      <x v="310"/>
    </i>
    <i>
      <x v="107"/>
      <x v="176"/>
      <x v="217"/>
    </i>
    <i>
      <x v="108"/>
      <x v="238"/>
      <x v="145"/>
    </i>
    <i>
      <x v="109"/>
      <x v="181"/>
      <x v="213"/>
    </i>
    <i>
      <x v="110"/>
      <x v="180"/>
      <x v="214"/>
    </i>
    <i>
      <x v="111"/>
      <x v="191"/>
      <x v="202"/>
    </i>
    <i>
      <x v="112"/>
      <x v="185"/>
      <x v="209"/>
    </i>
    <i>
      <x v="113"/>
      <x v="184"/>
      <x v="210"/>
    </i>
    <i>
      <x v="114"/>
      <x v="182"/>
      <x v="212"/>
    </i>
    <i>
      <x v="115"/>
      <x v="186"/>
      <x v="208"/>
    </i>
    <i>
      <x v="116"/>
      <x v="183"/>
      <x v="211"/>
    </i>
    <i>
      <x v="117"/>
      <x v="179"/>
      <x v="215"/>
    </i>
    <i>
      <x v="118"/>
      <x v="190"/>
      <x v="204"/>
    </i>
    <i>
      <x v="119"/>
      <x v="178"/>
      <x v="216"/>
    </i>
    <i>
      <x v="120"/>
      <x v="188"/>
      <x v="203"/>
    </i>
    <i>
      <x v="121"/>
      <x v="195"/>
      <x v="221"/>
    </i>
    <i>
      <x v="122"/>
      <x v="193"/>
      <x v="220"/>
    </i>
    <i>
      <x v="123"/>
      <x v="220"/>
      <x v="84"/>
    </i>
    <i>
      <x v="124"/>
      <x v="117"/>
      <x v="34"/>
    </i>
    <i>
      <x v="125"/>
      <x v="119"/>
      <x v="33"/>
    </i>
    <i>
      <x v="126"/>
      <x v="62"/>
      <x v="35"/>
    </i>
    <i>
      <x v="127"/>
      <x v="360"/>
      <x v="315"/>
    </i>
    <i>
      <x v="128"/>
      <x v="136"/>
      <x v="150"/>
    </i>
    <i>
      <x v="129"/>
      <x v="274"/>
      <x v="67"/>
    </i>
    <i>
      <x v="130"/>
      <x v="355"/>
      <x v="330"/>
    </i>
    <i>
      <x v="131"/>
      <x v="157"/>
      <x v="6"/>
    </i>
    <i>
      <x v="132"/>
      <x v="133"/>
      <x v="174"/>
    </i>
    <i>
      <x v="133"/>
      <x v="1"/>
      <x v="341"/>
    </i>
    <i>
      <x v="134"/>
      <x v="225"/>
      <x v="10"/>
    </i>
    <i>
      <x v="135"/>
      <x v="58"/>
      <x v="116"/>
    </i>
    <i>
      <x v="136"/>
      <x v="163"/>
      <x v="98"/>
    </i>
    <i>
      <x v="137"/>
      <x v="139"/>
      <x v="118"/>
    </i>
    <i>
      <x v="138"/>
      <x v="381"/>
      <x v="269"/>
    </i>
    <i>
      <x v="139"/>
      <x v="68"/>
      <x v="355"/>
    </i>
    <i>
      <x v="140"/>
      <x v="319"/>
      <x v="301"/>
    </i>
    <i>
      <x v="141"/>
      <x v="30"/>
      <x v="97"/>
    </i>
    <i>
      <x v="142"/>
      <x v="318"/>
      <x v="300"/>
    </i>
    <i>
      <x v="143"/>
      <x v="315"/>
      <x v="303"/>
    </i>
    <i>
      <x v="144"/>
      <x v="314"/>
      <x v="304"/>
    </i>
    <i>
      <x v="145"/>
      <x v="71"/>
      <x v="115"/>
    </i>
    <i>
      <x v="146"/>
      <x v="45"/>
      <x v="106"/>
    </i>
    <i>
      <x v="147"/>
      <x v="224"/>
      <x v="355"/>
    </i>
    <i>
      <x v="148"/>
      <x v="41"/>
      <x v="103"/>
    </i>
    <i>
      <x v="149"/>
      <x v="46"/>
      <x v="109"/>
    </i>
    <i>
      <x v="150"/>
      <x v="27"/>
      <x v="88"/>
    </i>
    <i>
      <x v="151"/>
      <x v="26"/>
      <x v="87"/>
    </i>
    <i>
      <x v="152"/>
      <x v="43"/>
      <x v="104"/>
    </i>
    <i>
      <x v="153"/>
      <x v="21"/>
      <x v="89"/>
    </i>
    <i>
      <x v="154"/>
      <x v="38"/>
      <x v="4"/>
    </i>
    <i>
      <x v="155"/>
      <x v="23"/>
      <x v="86"/>
    </i>
    <i>
      <x v="156"/>
      <x v="48"/>
      <x v="107"/>
    </i>
    <i>
      <x v="157"/>
      <x v="165"/>
      <x v="194"/>
    </i>
    <i>
      <x v="158"/>
      <x v="40"/>
      <x v="101"/>
    </i>
    <i>
      <x v="159"/>
      <x v="37"/>
      <x v="99"/>
    </i>
    <i>
      <x v="160"/>
      <x v="39"/>
      <x v="100"/>
    </i>
    <i>
      <x v="161"/>
      <x v="22"/>
      <x v="90"/>
    </i>
    <i>
      <x v="162"/>
      <x v="302"/>
      <x v="91"/>
    </i>
    <i>
      <x v="163"/>
      <x v="25"/>
      <x v="92"/>
    </i>
    <i>
      <x v="164"/>
      <x v="42"/>
      <x v="102"/>
    </i>
    <i>
      <x v="165"/>
      <x v="24"/>
      <x v="85"/>
    </i>
    <i>
      <x v="166"/>
      <x v="371"/>
      <x v="332"/>
    </i>
    <i>
      <x v="167"/>
      <x v="44"/>
      <x v="105"/>
    </i>
    <i>
      <x v="168"/>
      <x v="47"/>
      <x v="108"/>
    </i>
    <i>
      <x v="169"/>
      <x v="70"/>
      <x v="126"/>
    </i>
    <i>
      <x v="170"/>
      <x v="137"/>
      <x v="183"/>
    </i>
    <i>
      <x v="171"/>
      <x v="192"/>
      <x v="227"/>
    </i>
    <i>
      <x v="172"/>
      <x v="114"/>
      <x v="355"/>
    </i>
    <i>
      <x v="173"/>
      <x v="204"/>
      <x v="153"/>
    </i>
    <i>
      <x v="174"/>
      <x v="244"/>
      <x v="253"/>
    </i>
    <i>
      <x v="175"/>
      <x v="250"/>
      <x v="252"/>
    </i>
    <i>
      <x v="176"/>
      <x v="245"/>
      <x v="251"/>
    </i>
    <i>
      <x v="177"/>
      <x v="196"/>
      <x v="229"/>
    </i>
    <i>
      <x v="178"/>
      <x v="164"/>
      <x v="193"/>
    </i>
    <i>
      <x v="179"/>
      <x v="303"/>
      <x v="293"/>
    </i>
    <i>
      <x v="180"/>
      <x v="199"/>
      <x v="355"/>
    </i>
    <i>
      <x v="181"/>
      <x v="200"/>
      <x v="355"/>
    </i>
    <i>
      <x v="182"/>
      <x v="201"/>
      <x v="355"/>
    </i>
    <i>
      <x v="183"/>
      <x v="202"/>
      <x v="355"/>
    </i>
    <i>
      <x v="184"/>
      <x v="203"/>
      <x v="355"/>
    </i>
    <i>
      <x v="185"/>
      <x v="90"/>
      <x v="146"/>
    </i>
    <i>
      <x v="186"/>
      <x v="74"/>
      <x v="23"/>
    </i>
    <i>
      <x v="187"/>
      <x v="305"/>
      <x v="294"/>
    </i>
    <i>
      <x v="188"/>
      <x v="336"/>
      <x v="308"/>
    </i>
    <i>
      <x v="189"/>
      <x v="339"/>
      <x v="342"/>
    </i>
    <i>
      <x v="190"/>
      <x v="341"/>
      <x v="322"/>
    </i>
    <i>
      <x v="191"/>
      <x v="282"/>
      <x v="277"/>
    </i>
    <i>
      <x v="192"/>
      <x v="172"/>
      <x v="218"/>
    </i>
    <i>
      <x v="193"/>
      <x v="55"/>
      <x v="111"/>
    </i>
    <i>
      <x v="194"/>
      <x v="259"/>
      <x v="263"/>
    </i>
    <i>
      <x v="195"/>
      <x v="297"/>
      <x v="262"/>
    </i>
    <i>
      <x v="196"/>
      <x v="108"/>
      <x v="156"/>
    </i>
    <i>
      <x v="197"/>
      <x v="301"/>
      <x v="290"/>
    </i>
    <i>
      <x v="198"/>
      <x v="107"/>
      <x v="155"/>
    </i>
    <i>
      <x v="199"/>
      <x v="66"/>
      <x v="42"/>
    </i>
    <i>
      <x v="200"/>
      <x v="300"/>
      <x v="275"/>
    </i>
    <i>
      <x v="201"/>
      <x v="265"/>
      <x v="268"/>
    </i>
    <i>
      <x v="202"/>
      <x v="266"/>
      <x v="269"/>
    </i>
    <i>
      <x v="203"/>
      <x v="267"/>
      <x v="270"/>
    </i>
    <i>
      <x v="204"/>
      <x v="278"/>
      <x v="29"/>
    </i>
    <i>
      <x v="205"/>
      <x v="256"/>
      <x v="19"/>
    </i>
    <i>
      <x v="206"/>
      <x v="131"/>
      <x v="175"/>
    </i>
    <i>
      <x v="207"/>
      <x v="253"/>
      <x v="197"/>
    </i>
    <i>
      <x v="208"/>
      <x v="261"/>
      <x v="196"/>
    </i>
    <i>
      <x v="209"/>
      <x v="158"/>
      <x v="186"/>
    </i>
    <i>
      <x v="210"/>
      <x v="91"/>
      <x v="31"/>
    </i>
    <i>
      <x v="211"/>
      <x v="311"/>
      <x v="51"/>
    </i>
    <i>
      <x v="212"/>
      <x v="283"/>
      <x v="52"/>
    </i>
    <i>
      <x v="213"/>
      <x v="270"/>
      <x v="273"/>
    </i>
    <i>
      <x v="214"/>
      <x v="351"/>
      <x v="355"/>
    </i>
    <i>
      <x v="215"/>
      <x v="378"/>
      <x v="338"/>
    </i>
    <i>
      <x v="216"/>
      <x v="363"/>
      <x v="355"/>
    </i>
    <i r="1">
      <x v="379"/>
      <x v="337"/>
    </i>
    <i>
      <x v="217"/>
      <x v="6"/>
      <x v="355"/>
    </i>
    <i>
      <x v="218"/>
      <x v="361"/>
      <x v="347"/>
    </i>
    <i>
      <x v="219"/>
      <x v="54"/>
      <x v="112"/>
    </i>
    <i>
      <x v="220"/>
      <x v="213"/>
      <x v="83"/>
    </i>
    <i>
      <x v="221"/>
      <x v="227"/>
      <x v="20"/>
    </i>
    <i>
      <x v="222"/>
      <x v="150"/>
      <x v="355"/>
    </i>
    <i>
      <x v="223"/>
      <x v="73"/>
      <x v="53"/>
    </i>
    <i>
      <x v="224"/>
      <x v="258"/>
      <x v="265"/>
    </i>
    <i>
      <x v="225"/>
      <x v="365"/>
      <x v="346"/>
    </i>
    <i>
      <x v="226"/>
      <x v="316"/>
      <x v="305"/>
    </i>
    <i>
      <x v="227"/>
      <x v="166"/>
      <x v="200"/>
    </i>
    <i>
      <x v="228"/>
      <x v="198"/>
      <x v="226"/>
    </i>
    <i>
      <x v="229"/>
      <x v="264"/>
      <x v="272"/>
    </i>
    <i>
      <x v="230"/>
      <x v="9"/>
      <x v="32"/>
    </i>
    <i>
      <x v="231"/>
      <x v="242"/>
      <x v="246"/>
    </i>
    <i>
      <x v="232"/>
      <x v="243"/>
      <x v="247"/>
    </i>
    <i>
      <x v="233"/>
      <x v="154"/>
      <x v="124"/>
    </i>
    <i>
      <x v="234"/>
      <x v="217"/>
      <x v="236"/>
    </i>
    <i>
      <x v="235"/>
      <x v="229"/>
      <x v="37"/>
    </i>
    <i>
      <x v="236"/>
      <x v="257"/>
      <x v="185"/>
    </i>
    <i>
      <x v="237"/>
      <x v="369"/>
      <x v="331"/>
    </i>
    <i>
      <x v="238"/>
      <x v="221"/>
      <x v="239"/>
    </i>
    <i>
      <x v="239"/>
      <x v="205"/>
      <x v="231"/>
    </i>
    <i>
      <x v="240"/>
      <x v="206"/>
      <x v="232"/>
    </i>
    <i>
      <x v="241"/>
      <x v="252"/>
      <x v="230"/>
    </i>
    <i>
      <x v="242"/>
      <x v="218"/>
      <x v="238"/>
    </i>
    <i>
      <x v="243"/>
      <x v="231"/>
      <x v="245"/>
    </i>
    <i>
      <x v="244"/>
      <x v="207"/>
      <x v="233"/>
    </i>
    <i>
      <x v="245"/>
      <x v="230"/>
      <x v="244"/>
    </i>
    <i>
      <x v="246"/>
      <x v="208"/>
      <x v="235"/>
    </i>
    <i>
      <x v="247"/>
      <x v="279"/>
      <x v="39"/>
    </i>
    <i>
      <x v="248"/>
      <x v="209"/>
      <x v="234"/>
    </i>
    <i>
      <x v="249"/>
      <x v="226"/>
      <x v="241"/>
    </i>
    <i>
      <x v="250"/>
      <x v="211"/>
      <x v="225"/>
    </i>
    <i>
      <x v="251"/>
      <x v="333"/>
      <x v="314"/>
    </i>
    <i>
      <x v="252"/>
      <x v="212"/>
      <x v="222"/>
    </i>
    <i>
      <x v="253"/>
      <x v="340"/>
      <x v="316"/>
    </i>
    <i>
      <x v="254"/>
      <x v="194"/>
      <x v="6"/>
    </i>
    <i>
      <x v="255"/>
      <x v="334"/>
      <x v="317"/>
    </i>
    <i>
      <x v="256"/>
      <x v="118"/>
      <x v="163"/>
    </i>
    <i>
      <x v="257"/>
      <x v="5"/>
      <x v="22"/>
    </i>
    <i>
      <x v="258"/>
      <x v="92"/>
      <x v="57"/>
    </i>
    <i>
      <x v="259"/>
      <x v="4"/>
      <x v="58"/>
    </i>
    <i>
      <x v="260"/>
      <x v="153"/>
      <x v="7"/>
    </i>
    <i>
      <x v="261"/>
      <x v="262"/>
      <x v="267"/>
    </i>
    <i>
      <x v="262"/>
      <x v="372"/>
      <x v="260"/>
    </i>
    <i>
      <x v="263"/>
      <x v="87"/>
      <x v="144"/>
    </i>
    <i>
      <x v="264"/>
      <x v="169"/>
      <x v="176"/>
    </i>
    <i>
      <x v="265"/>
      <x v="72"/>
      <x v="133"/>
    </i>
    <i>
      <x v="266"/>
      <x v="79"/>
      <x v="130"/>
    </i>
    <i>
      <x v="267"/>
      <x v="80"/>
      <x v="131"/>
    </i>
    <i>
      <x v="268"/>
      <x v="69"/>
      <x v="132"/>
    </i>
    <i>
      <x v="269"/>
      <x v="382"/>
      <x v="333"/>
    </i>
    <i>
      <x v="270"/>
      <x v="332"/>
      <x v="312"/>
    </i>
    <i>
      <x v="271"/>
      <x v="325"/>
      <x v="355"/>
    </i>
    <i>
      <x v="272"/>
      <x v="285"/>
      <x v="287"/>
    </i>
    <i>
      <x v="273"/>
      <x v="129"/>
      <x v="171"/>
    </i>
    <i>
      <x v="274"/>
      <x v="53"/>
      <x v="43"/>
    </i>
    <i>
      <x v="275"/>
      <x v="246"/>
      <x v="248"/>
    </i>
    <i>
      <x v="276"/>
      <x v="232"/>
      <x v="355"/>
    </i>
    <i>
      <x v="277"/>
      <x v="239"/>
      <x v="166"/>
    </i>
    <i>
      <x v="278"/>
      <x v="121"/>
      <x v="162"/>
    </i>
    <i>
      <x v="279"/>
      <x v="234"/>
      <x v="250"/>
    </i>
    <i>
      <x v="280"/>
      <x v="233"/>
      <x v="249"/>
    </i>
    <i>
      <x v="281"/>
      <x v="307"/>
      <x v="184"/>
    </i>
    <i>
      <x v="282"/>
      <x v="308"/>
      <x v="195"/>
    </i>
    <i>
      <x v="283"/>
      <x v="328"/>
      <x v="311"/>
    </i>
    <i>
      <x v="284"/>
      <x v="335"/>
      <x v="199"/>
    </i>
    <i>
      <x v="285"/>
      <x v="228"/>
      <x v="13"/>
    </i>
    <i>
      <x v="286"/>
      <x v="216"/>
      <x v="223"/>
    </i>
    <i>
      <x v="287"/>
      <x v="346"/>
      <x v="165"/>
    </i>
    <i>
      <x v="288"/>
      <x v="337"/>
      <x v="64"/>
    </i>
    <i>
      <x v="289"/>
      <x v="312"/>
      <x v="40"/>
    </i>
    <i>
      <x v="290"/>
      <x v="113"/>
      <x v="56"/>
    </i>
    <i>
      <x v="291"/>
      <x v="135"/>
      <x v="177"/>
    </i>
    <i>
      <x v="292"/>
      <x v="32"/>
      <x v="61"/>
    </i>
    <i>
      <x v="293"/>
      <x v="103"/>
      <x v="355"/>
    </i>
    <i>
      <x v="294"/>
      <x v="140"/>
      <x v="122"/>
    </i>
    <i>
      <x v="295"/>
      <x v="142"/>
      <x v="15"/>
    </i>
    <i>
      <x v="296"/>
      <x v="141"/>
      <x v="123"/>
    </i>
    <i>
      <x v="297"/>
      <x v="125"/>
      <x v="134"/>
    </i>
    <i>
      <x v="298"/>
      <x v="123"/>
      <x v="26"/>
    </i>
    <i>
      <x v="299"/>
      <x v="280"/>
      <x v="47"/>
    </i>
    <i>
      <x v="300"/>
      <x v="147"/>
      <x v="179"/>
    </i>
    <i>
      <x v="301"/>
      <x v="174"/>
      <x v="219"/>
    </i>
    <i>
      <x v="302"/>
      <x v="145"/>
      <x v="178"/>
    </i>
    <i>
      <x v="303"/>
      <x v="143"/>
      <x v="181"/>
    </i>
    <i>
      <x v="304"/>
      <x v="144"/>
      <x v="182"/>
    </i>
    <i>
      <x v="305"/>
      <x v="146"/>
      <x v="180"/>
    </i>
    <i>
      <x v="306"/>
      <x v="75"/>
      <x v="45"/>
    </i>
    <i>
      <x v="307"/>
      <x v="85"/>
      <x v="141"/>
    </i>
    <i>
      <x v="308"/>
      <x v="105"/>
      <x v="152"/>
    </i>
    <i>
      <x v="309"/>
      <x v="362"/>
      <x v="12"/>
    </i>
    <i>
      <x v="310"/>
      <x v="171"/>
      <x v="198"/>
    </i>
    <i>
      <x v="311"/>
      <x v="126"/>
      <x v="168"/>
    </i>
    <i>
      <x v="312"/>
      <x v="127"/>
      <x v="169"/>
    </i>
    <i>
      <x v="313"/>
      <x v="343"/>
      <x v="324"/>
    </i>
    <i>
      <x v="314"/>
      <x v="344"/>
      <x v="325"/>
    </i>
    <i>
      <x v="315"/>
      <x v="306"/>
      <x v="292"/>
    </i>
    <i>
      <x v="316"/>
      <x v="124"/>
      <x v="167"/>
    </i>
    <i>
      <x v="317"/>
      <x v="375"/>
      <x v="335"/>
    </i>
    <i>
      <x v="318"/>
      <x v="357"/>
      <x v="350"/>
    </i>
    <i>
      <x v="319"/>
      <x v="358"/>
      <x v="351"/>
    </i>
    <i>
      <x v="320"/>
      <x v="359"/>
      <x v="348"/>
    </i>
    <i>
      <x v="321"/>
      <x v="374"/>
      <x v="334"/>
    </i>
    <i>
      <x v="322"/>
      <x v="356"/>
      <x v="349"/>
    </i>
    <i>
      <x v="323"/>
      <x v="219"/>
      <x v="243"/>
    </i>
    <i>
      <x v="324"/>
      <x v="309"/>
      <x v="295"/>
    </i>
    <i>
      <x v="325"/>
      <x v="63"/>
      <x v="18"/>
    </i>
    <i>
      <x v="326"/>
      <x v="175"/>
      <x v="201"/>
    </i>
    <i>
      <x v="327"/>
      <x v="326"/>
      <x v="307"/>
    </i>
    <i>
      <x v="328"/>
      <x v="56"/>
      <x v="17"/>
    </i>
    <i>
      <x v="329"/>
      <x v="134"/>
      <x v="62"/>
    </i>
    <i>
      <x v="330"/>
      <x v="151"/>
      <x v="188"/>
    </i>
    <i>
      <x v="331"/>
      <x v="222"/>
      <x v="170"/>
    </i>
    <i>
      <x v="332"/>
      <x v="276"/>
      <x v="149"/>
    </i>
    <i>
      <x v="333"/>
      <x v="122"/>
      <x v="353"/>
    </i>
    <i>
      <x v="334"/>
      <x v="247"/>
      <x v="129"/>
    </i>
    <i>
      <x v="335"/>
      <x v="57"/>
      <x v="94"/>
    </i>
    <i>
      <x v="336"/>
      <x v="321"/>
      <x v="136"/>
    </i>
    <i>
      <x v="337"/>
      <x v="149"/>
      <x v="14"/>
    </i>
    <i>
      <x v="338"/>
      <x v="93"/>
      <x v="36"/>
    </i>
    <i>
      <x v="339"/>
      <x v="130"/>
      <x v="41"/>
    </i>
    <i>
      <x v="340"/>
      <x v="324"/>
      <x v="298"/>
    </i>
    <i>
      <x v="341"/>
      <x v="322"/>
      <x v="296"/>
    </i>
    <i>
      <x v="342"/>
      <x v="323"/>
      <x v="297"/>
    </i>
    <i>
      <x v="343"/>
      <x v="254"/>
      <x v="259"/>
    </i>
    <i>
      <x v="344"/>
      <x v="320"/>
      <x v="302"/>
    </i>
    <i>
      <x v="345"/>
      <x v="277"/>
      <x v="274"/>
    </i>
    <i>
      <x v="346"/>
      <x v="214"/>
      <x v="119"/>
    </i>
    <i>
      <x v="347"/>
      <x v="345"/>
      <x v="323"/>
    </i>
    <i>
      <x v="348"/>
      <x v="263"/>
      <x v="261"/>
    </i>
    <i>
      <x v="349"/>
      <x v="236"/>
      <x v="254"/>
    </i>
    <i>
      <x v="350"/>
      <x v="240"/>
      <x v="55"/>
    </i>
    <i>
      <x v="351"/>
      <x v="268"/>
      <x v="271"/>
    </i>
    <i>
      <x v="352"/>
      <x v="377"/>
      <x v="336"/>
    </i>
    <i>
      <x v="353"/>
      <x v="67"/>
      <x v="128"/>
    </i>
    <i>
      <x v="354"/>
      <x v="120"/>
      <x v="148"/>
    </i>
    <i>
      <x v="355"/>
      <x v="170"/>
      <x v="49"/>
    </i>
    <i>
      <x v="356"/>
      <x v="255"/>
      <x v="1"/>
    </i>
    <i>
      <x v="357"/>
      <x v="49"/>
      <x v="93"/>
    </i>
    <i>
      <x v="358"/>
      <x v="376"/>
      <x v="30"/>
    </i>
    <i>
      <x v="359"/>
      <x v="11"/>
      <x v="75"/>
    </i>
    <i>
      <x v="360"/>
      <x v="368"/>
      <x v="344"/>
    </i>
    <i>
      <x v="361"/>
      <x v="367"/>
      <x v="345"/>
    </i>
    <i>
      <x v="362"/>
      <x v="338"/>
      <x v="319"/>
    </i>
    <i>
      <x v="363"/>
      <x v="65"/>
      <x v="46"/>
    </i>
    <i>
      <x v="364"/>
      <x v="15"/>
      <x v="76"/>
    </i>
    <i>
      <x v="365"/>
      <x v="235"/>
      <x v="77"/>
    </i>
    <i>
      <x v="366"/>
      <x v="13"/>
      <x v="76"/>
    </i>
    <i>
      <x v="367"/>
      <x v="20"/>
      <x v="76"/>
    </i>
    <i>
      <x v="368"/>
      <x v="12"/>
      <x v="76"/>
    </i>
    <i>
      <x v="369"/>
      <x v="109"/>
      <x v="78"/>
    </i>
    <i>
      <x v="370"/>
      <x v="112"/>
      <x v="82"/>
    </i>
    <i>
      <x v="371"/>
      <x v="19"/>
      <x v="76"/>
    </i>
    <i>
      <x v="372"/>
      <x v="111"/>
      <x v="81"/>
    </i>
    <i>
      <x v="373"/>
      <x v="17"/>
      <x v="76"/>
    </i>
    <i>
      <x v="374"/>
      <x v="18"/>
      <x v="76"/>
    </i>
    <i>
      <x v="375"/>
      <x v="16"/>
      <x v="76"/>
    </i>
    <i>
      <x v="376"/>
      <x v="110"/>
      <x v="80"/>
    </i>
    <i>
      <x v="377"/>
      <x v="14"/>
      <x v="76"/>
    </i>
    <i>
      <x v="378"/>
      <x v="97"/>
      <x v="79"/>
    </i>
    <i>
      <x v="379"/>
      <x v="78"/>
      <x v="69"/>
    </i>
    <i>
      <x v="380"/>
      <x v="76"/>
      <x v="71"/>
    </i>
    <i>
      <x v="381"/>
      <x v="77"/>
      <x v="70"/>
    </i>
    <i>
      <x v="382"/>
      <x v="383"/>
      <x v="355"/>
    </i>
    <i t="grand">
      <x/>
    </i>
  </rowItems>
  <colFields count="1">
    <field x="-2"/>
  </colFields>
  <colItems count="3">
    <i>
      <x/>
    </i>
    <i i="1">
      <x v="1"/>
    </i>
    <i i="2">
      <x v="2"/>
    </i>
  </colItems>
  <dataFields count="3">
    <dataField name="Sum of Total Minutes" fld="5" baseField="0" baseItem="0"/>
    <dataField name="Sum of Overages" fld="6" baseField="5" baseItem="7"/>
    <dataField name="Sum of Billing_amount" fld="11" baseField="0" baseItem="0"/>
  </dataFields>
  <formats count="1551">
    <format dxfId="12382">
      <pivotArea type="all" dataOnly="0" outline="0" fieldPosition="0"/>
    </format>
    <format dxfId="12381">
      <pivotArea type="all" dataOnly="0" outline="0" fieldPosition="0"/>
    </format>
    <format dxfId="12380">
      <pivotArea outline="0" collapsedLevelsAreSubtotals="1" fieldPosition="0"/>
    </format>
    <format dxfId="12379">
      <pivotArea field="0" type="button" dataOnly="0" labelOnly="1" outline="0" axis="axisRow" fieldPosition="0"/>
    </format>
    <format dxfId="12378">
      <pivotArea field="1" type="button" dataOnly="0" labelOnly="1" outline="0" axis="axisRow" fieldPosition="1"/>
    </format>
    <format dxfId="12377">
      <pivotArea field="2" type="button" dataOnly="0" labelOnly="1" outline="0" axis="axisRow" fieldPosition="2"/>
    </format>
    <format dxfId="12376">
      <pivotArea field="5" type="button" dataOnly="0" labelOnly="1" outline="0"/>
    </format>
    <format dxfId="12375">
      <pivotArea dataOnly="0" labelOnly="1" outline="0"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2374">
      <pivotArea dataOnly="0" labelOnly="1" outline="0"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2373">
      <pivotArea dataOnly="0" labelOnly="1" outline="0"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2372">
      <pivotArea dataOnly="0" labelOnly="1" outline="0"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2371">
      <pivotArea dataOnly="0" labelOnly="1" outline="0"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12370">
      <pivotArea dataOnly="0" labelOnly="1" outline="0"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12369">
      <pivotArea dataOnly="0" labelOnly="1" outline="0"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12368">
      <pivotArea dataOnly="0" labelOnly="1" outline="0" fieldPosition="0">
        <references count="1">
          <reference field="0" count="33">
            <x v="350"/>
            <x v="351"/>
            <x v="352"/>
            <x v="353"/>
            <x v="354"/>
            <x v="355"/>
            <x v="356"/>
            <x v="357"/>
            <x v="358"/>
            <x v="359"/>
            <x v="360"/>
            <x v="361"/>
            <x v="362"/>
            <x v="363"/>
            <x v="364"/>
            <x v="365"/>
            <x v="366"/>
            <x v="367"/>
            <x v="368"/>
            <x v="369"/>
            <x v="370"/>
            <x v="371"/>
            <x v="372"/>
            <x v="373"/>
            <x v="374"/>
            <x v="375"/>
            <x v="376"/>
            <x v="377"/>
            <x v="378"/>
            <x v="379"/>
            <x v="380"/>
            <x v="381"/>
            <x v="382"/>
          </reference>
        </references>
      </pivotArea>
    </format>
    <format dxfId="12367">
      <pivotArea dataOnly="0" labelOnly="1" grandRow="1" outline="0" fieldPosition="0"/>
    </format>
    <format dxfId="12366">
      <pivotArea dataOnly="0" labelOnly="1" outline="0" fieldPosition="0">
        <references count="2">
          <reference field="0" count="1" selected="0">
            <x v="0"/>
          </reference>
          <reference field="1" count="1">
            <x v="50"/>
          </reference>
        </references>
      </pivotArea>
    </format>
    <format dxfId="12365">
      <pivotArea dataOnly="0" labelOnly="1" outline="0" fieldPosition="0">
        <references count="2">
          <reference field="0" count="1" selected="0">
            <x v="1"/>
          </reference>
          <reference field="1" count="1">
            <x v="0"/>
          </reference>
        </references>
      </pivotArea>
    </format>
    <format dxfId="12364">
      <pivotArea dataOnly="0" labelOnly="1" outline="0" fieldPosition="0">
        <references count="2">
          <reference field="0" count="1" selected="0">
            <x v="2"/>
          </reference>
          <reference field="1" count="1">
            <x v="52"/>
          </reference>
        </references>
      </pivotArea>
    </format>
    <format dxfId="12363">
      <pivotArea dataOnly="0" labelOnly="1" outline="0" fieldPosition="0">
        <references count="2">
          <reference field="0" count="1" selected="0">
            <x v="3"/>
          </reference>
          <reference field="1" count="1">
            <x v="51"/>
          </reference>
        </references>
      </pivotArea>
    </format>
    <format dxfId="12362">
      <pivotArea dataOnly="0" labelOnly="1" outline="0" fieldPosition="0">
        <references count="2">
          <reference field="0" count="1" selected="0">
            <x v="4"/>
          </reference>
          <reference field="1" count="1">
            <x v="310"/>
          </reference>
        </references>
      </pivotArea>
    </format>
    <format dxfId="12361">
      <pivotArea dataOnly="0" labelOnly="1" outline="0" fieldPosition="0">
        <references count="2">
          <reference field="0" count="1" selected="0">
            <x v="5"/>
          </reference>
          <reference field="1" count="1">
            <x v="296"/>
          </reference>
        </references>
      </pivotArea>
    </format>
    <format dxfId="12360">
      <pivotArea dataOnly="0" labelOnly="1" outline="0" fieldPosition="0">
        <references count="2">
          <reference field="0" count="1" selected="0">
            <x v="6"/>
          </reference>
          <reference field="1" count="1">
            <x v="102"/>
          </reference>
        </references>
      </pivotArea>
    </format>
    <format dxfId="12359">
      <pivotArea dataOnly="0" labelOnly="1" outline="0" fieldPosition="0">
        <references count="2">
          <reference field="0" count="1" selected="0">
            <x v="7"/>
          </reference>
          <reference field="1" count="1">
            <x v="380"/>
          </reference>
        </references>
      </pivotArea>
    </format>
    <format dxfId="12358">
      <pivotArea dataOnly="0" labelOnly="1" outline="0" fieldPosition="0">
        <references count="2">
          <reference field="0" count="1" selected="0">
            <x v="8"/>
          </reference>
          <reference field="1" count="1">
            <x v="148"/>
          </reference>
        </references>
      </pivotArea>
    </format>
    <format dxfId="12357">
      <pivotArea dataOnly="0" labelOnly="1" outline="0" fieldPosition="0">
        <references count="2">
          <reference field="0" count="1" selected="0">
            <x v="9"/>
          </reference>
          <reference field="1" count="1">
            <x v="152"/>
          </reference>
        </references>
      </pivotArea>
    </format>
    <format dxfId="12356">
      <pivotArea dataOnly="0" labelOnly="1" outline="0" fieldPosition="0">
        <references count="2">
          <reference field="0" count="1" selected="0">
            <x v="10"/>
          </reference>
          <reference field="1" count="1">
            <x v="366"/>
          </reference>
        </references>
      </pivotArea>
    </format>
    <format dxfId="12355">
      <pivotArea dataOnly="0" labelOnly="1" outline="0" fieldPosition="0">
        <references count="2">
          <reference field="0" count="1" selected="0">
            <x v="11"/>
          </reference>
          <reference field="1" count="1">
            <x v="104"/>
          </reference>
        </references>
      </pivotArea>
    </format>
    <format dxfId="12354">
      <pivotArea dataOnly="0" labelOnly="1" outline="0" fieldPosition="0">
        <references count="2">
          <reference field="0" count="1" selected="0">
            <x v="12"/>
          </reference>
          <reference field="1" count="1">
            <x v="354"/>
          </reference>
        </references>
      </pivotArea>
    </format>
    <format dxfId="12353">
      <pivotArea dataOnly="0" labelOnly="1" outline="0" fieldPosition="0">
        <references count="2">
          <reference field="0" count="1" selected="0">
            <x v="13"/>
          </reference>
          <reference field="1" count="1">
            <x v="64"/>
          </reference>
        </references>
      </pivotArea>
    </format>
    <format dxfId="12352">
      <pivotArea dataOnly="0" labelOnly="1" outline="0" fieldPosition="0">
        <references count="2">
          <reference field="0" count="1" selected="0">
            <x v="14"/>
          </reference>
          <reference field="1" count="1">
            <x v="138"/>
          </reference>
        </references>
      </pivotArea>
    </format>
    <format dxfId="12351">
      <pivotArea dataOnly="0" labelOnly="1" outline="0" fieldPosition="0">
        <references count="2">
          <reference field="0" count="1" selected="0">
            <x v="15"/>
          </reference>
          <reference field="1" count="1">
            <x v="241"/>
          </reference>
        </references>
      </pivotArea>
    </format>
    <format dxfId="12350">
      <pivotArea dataOnly="0" labelOnly="1" outline="0" fieldPosition="0">
        <references count="2">
          <reference field="0" count="1" selected="0">
            <x v="16"/>
          </reference>
          <reference field="1" count="1">
            <x v="61"/>
          </reference>
        </references>
      </pivotArea>
    </format>
    <format dxfId="12349">
      <pivotArea dataOnly="0" labelOnly="1" outline="0" fieldPosition="0">
        <references count="2">
          <reference field="0" count="1" selected="0">
            <x v="17"/>
          </reference>
          <reference field="1" count="1">
            <x v="31"/>
          </reference>
        </references>
      </pivotArea>
    </format>
    <format dxfId="12348">
      <pivotArea dataOnly="0" labelOnly="1" outline="0" fieldPosition="0">
        <references count="2">
          <reference field="0" count="1" selected="0">
            <x v="18"/>
          </reference>
          <reference field="1" count="1">
            <x v="128"/>
          </reference>
        </references>
      </pivotArea>
    </format>
    <format dxfId="12347">
      <pivotArea dataOnly="0" labelOnly="1" outline="0" fieldPosition="0">
        <references count="2">
          <reference field="0" count="1" selected="0">
            <x v="19"/>
          </reference>
          <reference field="1" count="1">
            <x v="115"/>
          </reference>
        </references>
      </pivotArea>
    </format>
    <format dxfId="12346">
      <pivotArea dataOnly="0" labelOnly="1" outline="0" fieldPosition="0">
        <references count="2">
          <reference field="0" count="1" selected="0">
            <x v="20"/>
          </reference>
          <reference field="1" count="1">
            <x v="223"/>
          </reference>
        </references>
      </pivotArea>
    </format>
    <format dxfId="12345">
      <pivotArea dataOnly="0" labelOnly="1" outline="0" fieldPosition="0">
        <references count="2">
          <reference field="0" count="1" selected="0">
            <x v="21"/>
          </reference>
          <reference field="1" count="1">
            <x v="342"/>
          </reference>
        </references>
      </pivotArea>
    </format>
    <format dxfId="12344">
      <pivotArea dataOnly="0" labelOnly="1" outline="0" fieldPosition="0">
        <references count="2">
          <reference field="0" count="1" selected="0">
            <x v="22"/>
          </reference>
          <reference field="1" count="1">
            <x v="313"/>
          </reference>
        </references>
      </pivotArea>
    </format>
    <format dxfId="12343">
      <pivotArea dataOnly="0" labelOnly="1" outline="0" fieldPosition="0">
        <references count="2">
          <reference field="0" count="1" selected="0">
            <x v="23"/>
          </reference>
          <reference field="1" count="1">
            <x v="34"/>
          </reference>
        </references>
      </pivotArea>
    </format>
    <format dxfId="12342">
      <pivotArea dataOnly="0" labelOnly="1" outline="0" fieldPosition="0">
        <references count="2">
          <reference field="0" count="1" selected="0">
            <x v="24"/>
          </reference>
          <reference field="1" count="1">
            <x v="35"/>
          </reference>
        </references>
      </pivotArea>
    </format>
    <format dxfId="12341">
      <pivotArea dataOnly="0" labelOnly="1" outline="0" fieldPosition="0">
        <references count="2">
          <reference field="0" count="1" selected="0">
            <x v="25"/>
          </reference>
          <reference field="1" count="1">
            <x v="36"/>
          </reference>
        </references>
      </pivotArea>
    </format>
    <format dxfId="12340">
      <pivotArea dataOnly="0" labelOnly="1" outline="0" fieldPosition="0">
        <references count="2">
          <reference field="0" count="1" selected="0">
            <x v="26"/>
          </reference>
          <reference field="1" count="1">
            <x v="248"/>
          </reference>
        </references>
      </pivotArea>
    </format>
    <format dxfId="12339">
      <pivotArea dataOnly="0" labelOnly="1" outline="0" fieldPosition="0">
        <references count="2">
          <reference field="0" count="1" selected="0">
            <x v="27"/>
          </reference>
          <reference field="1" count="1">
            <x v="3"/>
          </reference>
        </references>
      </pivotArea>
    </format>
    <format dxfId="12338">
      <pivotArea dataOnly="0" labelOnly="1" outline="0" fieldPosition="0">
        <references count="2">
          <reference field="0" count="1" selected="0">
            <x v="28"/>
          </reference>
          <reference field="1" count="1">
            <x v="260"/>
          </reference>
        </references>
      </pivotArea>
    </format>
    <format dxfId="12337">
      <pivotArea dataOnly="0" labelOnly="1" outline="0" fieldPosition="0">
        <references count="2">
          <reference field="0" count="1" selected="0">
            <x v="29"/>
          </reference>
          <reference field="1" count="1">
            <x v="237"/>
          </reference>
        </references>
      </pivotArea>
    </format>
    <format dxfId="12336">
      <pivotArea dataOnly="0" labelOnly="1" outline="0" fieldPosition="0">
        <references count="2">
          <reference field="0" count="1" selected="0">
            <x v="30"/>
          </reference>
          <reference field="1" count="1">
            <x v="327"/>
          </reference>
        </references>
      </pivotArea>
    </format>
    <format dxfId="12335">
      <pivotArea dataOnly="0" labelOnly="1" outline="0" fieldPosition="0">
        <references count="2">
          <reference field="0" count="1" selected="0">
            <x v="31"/>
          </reference>
          <reference field="1" count="1">
            <x v="59"/>
          </reference>
        </references>
      </pivotArea>
    </format>
    <format dxfId="12334">
      <pivotArea dataOnly="0" labelOnly="1" outline="0" fieldPosition="0">
        <references count="2">
          <reference field="0" count="1" selected="0">
            <x v="32"/>
          </reference>
          <reference field="1" count="1">
            <x v="10"/>
          </reference>
        </references>
      </pivotArea>
    </format>
    <format dxfId="12333">
      <pivotArea dataOnly="0" labelOnly="1" outline="0" fieldPosition="0">
        <references count="2">
          <reference field="0" count="1" selected="0">
            <x v="33"/>
          </reference>
          <reference field="1" count="1">
            <x v="116"/>
          </reference>
        </references>
      </pivotArea>
    </format>
    <format dxfId="12332">
      <pivotArea dataOnly="0" labelOnly="1" outline="0" fieldPosition="0">
        <references count="2">
          <reference field="0" count="1" selected="0">
            <x v="34"/>
          </reference>
          <reference field="1" count="1">
            <x v="86"/>
          </reference>
        </references>
      </pivotArea>
    </format>
    <format dxfId="12331">
      <pivotArea dataOnly="0" labelOnly="1" outline="0" fieldPosition="0">
        <references count="2">
          <reference field="0" count="1" selected="0">
            <x v="35"/>
          </reference>
          <reference field="1" count="1">
            <x v="7"/>
          </reference>
        </references>
      </pivotArea>
    </format>
    <format dxfId="12330">
      <pivotArea dataOnly="0" labelOnly="1" outline="0" fieldPosition="0">
        <references count="2">
          <reference field="0" count="1" selected="0">
            <x v="36"/>
          </reference>
          <reference field="1" count="1">
            <x v="8"/>
          </reference>
        </references>
      </pivotArea>
    </format>
    <format dxfId="12329">
      <pivotArea dataOnly="0" labelOnly="1" outline="0" fieldPosition="0">
        <references count="2">
          <reference field="0" count="1" selected="0">
            <x v="37"/>
          </reference>
          <reference field="1" count="1">
            <x v="101"/>
          </reference>
        </references>
      </pivotArea>
    </format>
    <format dxfId="12328">
      <pivotArea dataOnly="0" labelOnly="1" outline="0" fieldPosition="0">
        <references count="2">
          <reference field="0" count="1" selected="0">
            <x v="38"/>
          </reference>
          <reference field="1" count="1">
            <x v="281"/>
          </reference>
        </references>
      </pivotArea>
    </format>
    <format dxfId="12327">
      <pivotArea dataOnly="0" labelOnly="1" outline="0" fieldPosition="0">
        <references count="2">
          <reference field="0" count="1" selected="0">
            <x v="39"/>
          </reference>
          <reference field="1" count="1">
            <x v="284"/>
          </reference>
        </references>
      </pivotArea>
    </format>
    <format dxfId="12326">
      <pivotArea dataOnly="0" labelOnly="1" outline="0" fieldPosition="0">
        <references count="2">
          <reference field="0" count="1" selected="0">
            <x v="40"/>
          </reference>
          <reference field="1" count="1">
            <x v="364"/>
          </reference>
        </references>
      </pivotArea>
    </format>
    <format dxfId="12325">
      <pivotArea dataOnly="0" labelOnly="1" outline="0" fieldPosition="0">
        <references count="2">
          <reference field="0" count="1" selected="0">
            <x v="41"/>
          </reference>
          <reference field="1" count="1">
            <x v="251"/>
          </reference>
        </references>
      </pivotArea>
    </format>
    <format dxfId="12324">
      <pivotArea dataOnly="0" labelOnly="1" outline="0" fieldPosition="0">
        <references count="2">
          <reference field="0" count="1" selected="0">
            <x v="42"/>
          </reference>
          <reference field="1" count="1">
            <x v="161"/>
          </reference>
        </references>
      </pivotArea>
    </format>
    <format dxfId="12323">
      <pivotArea dataOnly="0" labelOnly="1" outline="0" fieldPosition="0">
        <references count="2">
          <reference field="0" count="1" selected="0">
            <x v="43"/>
          </reference>
          <reference field="1" count="1">
            <x v="160"/>
          </reference>
        </references>
      </pivotArea>
    </format>
    <format dxfId="12322">
      <pivotArea dataOnly="0" labelOnly="1" outline="0" fieldPosition="0">
        <references count="2">
          <reference field="0" count="1" selected="0">
            <x v="44"/>
          </reference>
          <reference field="1" count="1">
            <x v="162"/>
          </reference>
        </references>
      </pivotArea>
    </format>
    <format dxfId="12321">
      <pivotArea dataOnly="0" labelOnly="1" outline="0" fieldPosition="0">
        <references count="2">
          <reference field="0" count="1" selected="0">
            <x v="45"/>
          </reference>
          <reference field="1" count="1">
            <x v="159"/>
          </reference>
        </references>
      </pivotArea>
    </format>
    <format dxfId="12320">
      <pivotArea dataOnly="0" labelOnly="1" outline="0" fieldPosition="0">
        <references count="2">
          <reference field="0" count="1" selected="0">
            <x v="46"/>
          </reference>
          <reference field="1" count="1">
            <x v="2"/>
          </reference>
        </references>
      </pivotArea>
    </format>
    <format dxfId="12319">
      <pivotArea dataOnly="0" labelOnly="1" outline="0" fieldPosition="0">
        <references count="2">
          <reference field="0" count="1" selected="0">
            <x v="47"/>
          </reference>
          <reference field="1" count="1">
            <x v="329"/>
          </reference>
        </references>
      </pivotArea>
    </format>
    <format dxfId="12318">
      <pivotArea dataOnly="0" labelOnly="1" outline="0" fieldPosition="0">
        <references count="2">
          <reference field="0" count="1" selected="0">
            <x v="48"/>
          </reference>
          <reference field="1" count="1">
            <x v="95"/>
          </reference>
        </references>
      </pivotArea>
    </format>
    <format dxfId="12317">
      <pivotArea dataOnly="0" labelOnly="1" outline="0" fieldPosition="0">
        <references count="2">
          <reference field="0" count="1" selected="0">
            <x v="49"/>
          </reference>
          <reference field="1" count="1">
            <x v="99"/>
          </reference>
        </references>
      </pivotArea>
    </format>
    <format dxfId="12316">
      <pivotArea dataOnly="0" labelOnly="1" outline="0" fieldPosition="0">
        <references count="2">
          <reference field="0" count="1" selected="0">
            <x v="50"/>
          </reference>
          <reference field="1" count="1">
            <x v="98"/>
          </reference>
        </references>
      </pivotArea>
    </format>
    <format dxfId="12315">
      <pivotArea dataOnly="0" labelOnly="1" outline="0" fieldPosition="0">
        <references count="2">
          <reference field="0" count="1" selected="0">
            <x v="51"/>
          </reference>
          <reference field="1" count="1">
            <x v="96"/>
          </reference>
        </references>
      </pivotArea>
    </format>
    <format dxfId="12314">
      <pivotArea dataOnly="0" labelOnly="1" outline="0" fieldPosition="0">
        <references count="2">
          <reference field="0" count="1" selected="0">
            <x v="52"/>
          </reference>
          <reference field="1" count="1">
            <x v="100"/>
          </reference>
        </references>
      </pivotArea>
    </format>
    <format dxfId="12313">
      <pivotArea dataOnly="0" labelOnly="1" outline="0" fieldPosition="0">
        <references count="2">
          <reference field="0" count="1" selected="0">
            <x v="53"/>
          </reference>
          <reference field="1" count="1">
            <x v="299"/>
          </reference>
        </references>
      </pivotArea>
    </format>
    <format dxfId="12312">
      <pivotArea dataOnly="0" labelOnly="1" outline="0" fieldPosition="0">
        <references count="2">
          <reference field="0" count="1" selected="0">
            <x v="54"/>
          </reference>
          <reference field="1" count="1">
            <x v="275"/>
          </reference>
        </references>
      </pivotArea>
    </format>
    <format dxfId="12311">
      <pivotArea dataOnly="0" labelOnly="1" outline="0" fieldPosition="0">
        <references count="2">
          <reference field="0" count="1" selected="0">
            <x v="55"/>
          </reference>
          <reference field="1" count="1">
            <x v="33"/>
          </reference>
        </references>
      </pivotArea>
    </format>
    <format dxfId="12310">
      <pivotArea dataOnly="0" labelOnly="1" outline="0" fieldPosition="0">
        <references count="2">
          <reference field="0" count="1" selected="0">
            <x v="56"/>
          </reference>
          <reference field="1" count="1">
            <x v="28"/>
          </reference>
        </references>
      </pivotArea>
    </format>
    <format dxfId="12309">
      <pivotArea dataOnly="0" labelOnly="1" outline="0" fieldPosition="0">
        <references count="2">
          <reference field="0" count="1" selected="0">
            <x v="57"/>
          </reference>
          <reference field="1" count="1">
            <x v="29"/>
          </reference>
        </references>
      </pivotArea>
    </format>
    <format dxfId="12308">
      <pivotArea dataOnly="0" labelOnly="1" outline="0" fieldPosition="0">
        <references count="2">
          <reference field="0" count="1" selected="0">
            <x v="58"/>
          </reference>
          <reference field="1" count="1">
            <x v="197"/>
          </reference>
        </references>
      </pivotArea>
    </format>
    <format dxfId="12307">
      <pivotArea dataOnly="0" labelOnly="1" outline="0" fieldPosition="0">
        <references count="2">
          <reference field="0" count="1" selected="0">
            <x v="59"/>
          </reference>
          <reference field="1" count="1">
            <x v="156"/>
          </reference>
        </references>
      </pivotArea>
    </format>
    <format dxfId="12306">
      <pivotArea dataOnly="0" labelOnly="1" outline="0" fieldPosition="0">
        <references count="2">
          <reference field="0" count="1" selected="0">
            <x v="60"/>
          </reference>
          <reference field="1" count="1">
            <x v="348"/>
          </reference>
        </references>
      </pivotArea>
    </format>
    <format dxfId="12305">
      <pivotArea dataOnly="0" labelOnly="1" outline="0" fieldPosition="0">
        <references count="2">
          <reference field="0" count="1" selected="0">
            <x v="61"/>
          </reference>
          <reference field="1" count="1">
            <x v="295"/>
          </reference>
        </references>
      </pivotArea>
    </format>
    <format dxfId="12304">
      <pivotArea dataOnly="0" labelOnly="1" outline="0" fieldPosition="0">
        <references count="2">
          <reference field="0" count="1" selected="0">
            <x v="62"/>
          </reference>
          <reference field="1" count="1">
            <x v="352"/>
          </reference>
        </references>
      </pivotArea>
    </format>
    <format dxfId="12303">
      <pivotArea dataOnly="0" labelOnly="1" outline="0" fieldPosition="0">
        <references count="2">
          <reference field="0" count="1" selected="0">
            <x v="63"/>
          </reference>
          <reference field="1" count="1">
            <x v="289"/>
          </reference>
        </references>
      </pivotArea>
    </format>
    <format dxfId="12302">
      <pivotArea dataOnly="0" labelOnly="1" outline="0" fieldPosition="0">
        <references count="2">
          <reference field="0" count="1" selected="0">
            <x v="64"/>
          </reference>
          <reference field="1" count="1">
            <x v="347"/>
          </reference>
        </references>
      </pivotArea>
    </format>
    <format dxfId="12301">
      <pivotArea dataOnly="0" labelOnly="1" outline="0" fieldPosition="0">
        <references count="2">
          <reference field="0" count="1" selected="0">
            <x v="65"/>
          </reference>
          <reference field="1" count="1">
            <x v="286"/>
          </reference>
        </references>
      </pivotArea>
    </format>
    <format dxfId="12300">
      <pivotArea dataOnly="0" labelOnly="1" outline="0" fieldPosition="0">
        <references count="2">
          <reference field="0" count="1" selected="0">
            <x v="66"/>
          </reference>
          <reference field="1" count="1">
            <x v="287"/>
          </reference>
        </references>
      </pivotArea>
    </format>
    <format dxfId="12299">
      <pivotArea dataOnly="0" labelOnly="1" outline="0" fieldPosition="0">
        <references count="2">
          <reference field="0" count="1" selected="0">
            <x v="67"/>
          </reference>
          <reference field="1" count="1">
            <x v="294"/>
          </reference>
        </references>
      </pivotArea>
    </format>
    <format dxfId="12298">
      <pivotArea dataOnly="0" labelOnly="1" outline="0" fieldPosition="0">
        <references count="2">
          <reference field="0" count="1" selected="0">
            <x v="68"/>
          </reference>
          <reference field="1" count="1">
            <x v="353"/>
          </reference>
        </references>
      </pivotArea>
    </format>
    <format dxfId="12297">
      <pivotArea dataOnly="0" labelOnly="1" outline="0" fieldPosition="0">
        <references count="2">
          <reference field="0" count="1" selected="0">
            <x v="69"/>
          </reference>
          <reference field="1" count="1">
            <x v="350"/>
          </reference>
        </references>
      </pivotArea>
    </format>
    <format dxfId="12296">
      <pivotArea dataOnly="0" labelOnly="1" outline="0" fieldPosition="0">
        <references count="2">
          <reference field="0" count="1" selected="0">
            <x v="70"/>
          </reference>
          <reference field="1" count="1">
            <x v="288"/>
          </reference>
        </references>
      </pivotArea>
    </format>
    <format dxfId="12295">
      <pivotArea dataOnly="0" labelOnly="1" outline="0" fieldPosition="0">
        <references count="2">
          <reference field="0" count="1" selected="0">
            <x v="71"/>
          </reference>
          <reference field="1" count="1">
            <x v="290"/>
          </reference>
        </references>
      </pivotArea>
    </format>
    <format dxfId="12294">
      <pivotArea dataOnly="0" labelOnly="1" outline="0" fieldPosition="0">
        <references count="2">
          <reference field="0" count="1" selected="0">
            <x v="72"/>
          </reference>
          <reference field="1" count="1">
            <x v="292"/>
          </reference>
        </references>
      </pivotArea>
    </format>
    <format dxfId="12293">
      <pivotArea dataOnly="0" labelOnly="1" outline="0" fieldPosition="0">
        <references count="2">
          <reference field="0" count="1" selected="0">
            <x v="73"/>
          </reference>
          <reference field="1" count="1">
            <x v="349"/>
          </reference>
        </references>
      </pivotArea>
    </format>
    <format dxfId="12292">
      <pivotArea dataOnly="0" labelOnly="1" outline="0" fieldPosition="0">
        <references count="2">
          <reference field="0" count="1" selected="0">
            <x v="74"/>
          </reference>
          <reference field="1" count="1">
            <x v="293"/>
          </reference>
        </references>
      </pivotArea>
    </format>
    <format dxfId="12291">
      <pivotArea dataOnly="0" labelOnly="1" outline="0" fieldPosition="0">
        <references count="2">
          <reference field="0" count="1" selected="0">
            <x v="75"/>
          </reference>
          <reference field="1" count="1">
            <x v="291"/>
          </reference>
        </references>
      </pivotArea>
    </format>
    <format dxfId="12290">
      <pivotArea dataOnly="0" labelOnly="1" outline="0" fieldPosition="0">
        <references count="2">
          <reference field="0" count="1" selected="0">
            <x v="76"/>
          </reference>
          <reference field="1" count="1">
            <x v="269"/>
          </reference>
        </references>
      </pivotArea>
    </format>
    <format dxfId="12289">
      <pivotArea dataOnly="0" labelOnly="1" outline="0" fieldPosition="0">
        <references count="2">
          <reference field="0" count="1" selected="0">
            <x v="77"/>
          </reference>
          <reference field="1" count="1">
            <x v="373"/>
          </reference>
        </references>
      </pivotArea>
    </format>
    <format dxfId="12288">
      <pivotArea dataOnly="0" labelOnly="1" outline="0" fieldPosition="0">
        <references count="2">
          <reference field="0" count="1" selected="0">
            <x v="78"/>
          </reference>
          <reference field="1" count="1">
            <x v="317"/>
          </reference>
        </references>
      </pivotArea>
    </format>
    <format dxfId="12287">
      <pivotArea dataOnly="0" labelOnly="1" outline="0" fieldPosition="0">
        <references count="2">
          <reference field="0" count="1" selected="0">
            <x v="79"/>
          </reference>
          <reference field="1" count="1">
            <x v="210"/>
          </reference>
        </references>
      </pivotArea>
    </format>
    <format dxfId="12286">
      <pivotArea dataOnly="0" labelOnly="1" outline="0" fieldPosition="0">
        <references count="2">
          <reference field="0" count="1" selected="0">
            <x v="80"/>
          </reference>
          <reference field="1" count="1">
            <x v="273"/>
          </reference>
        </references>
      </pivotArea>
    </format>
    <format dxfId="12285">
      <pivotArea dataOnly="0" labelOnly="1" outline="0" fieldPosition="0">
        <references count="2">
          <reference field="0" count="1" selected="0">
            <x v="81"/>
          </reference>
          <reference field="1" count="1">
            <x v="215"/>
          </reference>
        </references>
      </pivotArea>
    </format>
    <format dxfId="12284">
      <pivotArea dataOnly="0" labelOnly="1" outline="0" fieldPosition="0">
        <references count="2">
          <reference field="0" count="1" selected="0">
            <x v="82"/>
          </reference>
          <reference field="1" count="1">
            <x v="60"/>
          </reference>
        </references>
      </pivotArea>
    </format>
    <format dxfId="12283">
      <pivotArea dataOnly="0" labelOnly="1" outline="0" fieldPosition="0">
        <references count="2">
          <reference field="0" count="1" selected="0">
            <x v="83"/>
          </reference>
          <reference field="1" count="1">
            <x v="155"/>
          </reference>
        </references>
      </pivotArea>
    </format>
    <format dxfId="12282">
      <pivotArea dataOnly="0" labelOnly="1" outline="0" fieldPosition="0">
        <references count="2">
          <reference field="0" count="1" selected="0">
            <x v="84"/>
          </reference>
          <reference field="1" count="1">
            <x v="331"/>
          </reference>
        </references>
      </pivotArea>
    </format>
    <format dxfId="12281">
      <pivotArea dataOnly="0" labelOnly="1" outline="0" fieldPosition="0">
        <references count="2">
          <reference field="0" count="1" selected="0">
            <x v="85"/>
          </reference>
          <reference field="1" count="1">
            <x v="132"/>
          </reference>
        </references>
      </pivotArea>
    </format>
    <format dxfId="12280">
      <pivotArea dataOnly="0" labelOnly="1" outline="0" fieldPosition="0">
        <references count="2">
          <reference field="0" count="1" selected="0">
            <x v="86"/>
          </reference>
          <reference field="1" count="1">
            <x v="370"/>
          </reference>
        </references>
      </pivotArea>
    </format>
    <format dxfId="12279">
      <pivotArea dataOnly="0" labelOnly="1" outline="0" fieldPosition="0">
        <references count="2">
          <reference field="0" count="1" selected="0">
            <x v="87"/>
          </reference>
          <reference field="1" count="1">
            <x v="88"/>
          </reference>
        </references>
      </pivotArea>
    </format>
    <format dxfId="12278">
      <pivotArea dataOnly="0" labelOnly="1" outline="0" fieldPosition="0">
        <references count="2">
          <reference field="0" count="1" selected="0">
            <x v="88"/>
          </reference>
          <reference field="1" count="1">
            <x v="249"/>
          </reference>
        </references>
      </pivotArea>
    </format>
    <format dxfId="12277">
      <pivotArea dataOnly="0" labelOnly="1" outline="0" fieldPosition="0">
        <references count="2">
          <reference field="0" count="1" selected="0">
            <x v="89"/>
          </reference>
          <reference field="1" count="1">
            <x v="167"/>
          </reference>
        </references>
      </pivotArea>
    </format>
    <format dxfId="12276">
      <pivotArea dataOnly="0" labelOnly="1" outline="0" fieldPosition="0">
        <references count="2">
          <reference field="0" count="1" selected="0">
            <x v="90"/>
          </reference>
          <reference field="1" count="1">
            <x v="298"/>
          </reference>
        </references>
      </pivotArea>
    </format>
    <format dxfId="12275">
      <pivotArea dataOnly="0" labelOnly="1" outline="0" fieldPosition="0">
        <references count="2">
          <reference field="0" count="1" selected="0">
            <x v="91"/>
          </reference>
          <reference field="1" count="1">
            <x v="271"/>
          </reference>
        </references>
      </pivotArea>
    </format>
    <format dxfId="12274">
      <pivotArea dataOnly="0" labelOnly="1" outline="0" fieldPosition="0">
        <references count="2">
          <reference field="0" count="1" selected="0">
            <x v="92"/>
          </reference>
          <reference field="1" count="1">
            <x v="272"/>
          </reference>
        </references>
      </pivotArea>
    </format>
    <format dxfId="12273">
      <pivotArea dataOnly="0" labelOnly="1" outline="0" fieldPosition="0">
        <references count="2">
          <reference field="0" count="1" selected="0">
            <x v="93"/>
          </reference>
          <reference field="1" count="1">
            <x v="106"/>
          </reference>
        </references>
      </pivotArea>
    </format>
    <format dxfId="12272">
      <pivotArea dataOnly="0" labelOnly="1" outline="0" fieldPosition="0">
        <references count="2">
          <reference field="0" count="1" selected="0">
            <x v="94"/>
          </reference>
          <reference field="1" count="1">
            <x v="304"/>
          </reference>
        </references>
      </pivotArea>
    </format>
    <format dxfId="12271">
      <pivotArea dataOnly="0" labelOnly="1" outline="0" fieldPosition="0">
        <references count="2">
          <reference field="0" count="1" selected="0">
            <x v="95"/>
          </reference>
          <reference field="1" count="1">
            <x v="81"/>
          </reference>
        </references>
      </pivotArea>
    </format>
    <format dxfId="12270">
      <pivotArea dataOnly="0" labelOnly="1" outline="0" fieldPosition="0">
        <references count="2">
          <reference field="0" count="1" selected="0">
            <x v="96"/>
          </reference>
          <reference field="1" count="1">
            <x v="84"/>
          </reference>
        </references>
      </pivotArea>
    </format>
    <format dxfId="12269">
      <pivotArea dataOnly="0" labelOnly="1" outline="0" fieldPosition="0">
        <references count="2">
          <reference field="0" count="1" selected="0">
            <x v="97"/>
          </reference>
          <reference field="1" count="1">
            <x v="168"/>
          </reference>
        </references>
      </pivotArea>
    </format>
    <format dxfId="12268">
      <pivotArea dataOnly="0" labelOnly="1" outline="0" fieldPosition="0">
        <references count="2">
          <reference field="0" count="1" selected="0">
            <x v="98"/>
          </reference>
          <reference field="1" count="1">
            <x v="187"/>
          </reference>
        </references>
      </pivotArea>
    </format>
    <format dxfId="12267">
      <pivotArea dataOnly="0" labelOnly="1" outline="0" fieldPosition="0">
        <references count="2">
          <reference field="0" count="1" selected="0">
            <x v="99"/>
          </reference>
          <reference field="1" count="1">
            <x v="177"/>
          </reference>
        </references>
      </pivotArea>
    </format>
    <format dxfId="12266">
      <pivotArea dataOnly="0" labelOnly="1" outline="0" fieldPosition="0">
        <references count="2">
          <reference field="0" count="1" selected="0">
            <x v="100"/>
          </reference>
          <reference field="1" count="1">
            <x v="89"/>
          </reference>
        </references>
      </pivotArea>
    </format>
    <format dxfId="12265">
      <pivotArea dataOnly="0" labelOnly="1" outline="0" fieldPosition="0">
        <references count="2">
          <reference field="0" count="1" selected="0">
            <x v="101"/>
          </reference>
          <reference field="1" count="1">
            <x v="94"/>
          </reference>
        </references>
      </pivotArea>
    </format>
    <format dxfId="12264">
      <pivotArea dataOnly="0" labelOnly="1" outline="0" fieldPosition="0">
        <references count="2">
          <reference field="0" count="1" selected="0">
            <x v="102"/>
          </reference>
          <reference field="1" count="1">
            <x v="173"/>
          </reference>
        </references>
      </pivotArea>
    </format>
    <format dxfId="12263">
      <pivotArea dataOnly="0" labelOnly="1" outline="0" fieldPosition="0">
        <references count="2">
          <reference field="0" count="1" selected="0">
            <x v="103"/>
          </reference>
          <reference field="1" count="1">
            <x v="82"/>
          </reference>
        </references>
      </pivotArea>
    </format>
    <format dxfId="12262">
      <pivotArea dataOnly="0" labelOnly="1" outline="0" fieldPosition="0">
        <references count="2">
          <reference field="0" count="1" selected="0">
            <x v="104"/>
          </reference>
          <reference field="1" count="1">
            <x v="83"/>
          </reference>
        </references>
      </pivotArea>
    </format>
    <format dxfId="12261">
      <pivotArea dataOnly="0" labelOnly="1" outline="0" fieldPosition="0">
        <references count="2">
          <reference field="0" count="1" selected="0">
            <x v="105"/>
          </reference>
          <reference field="1" count="1">
            <x v="189"/>
          </reference>
        </references>
      </pivotArea>
    </format>
    <format dxfId="12260">
      <pivotArea dataOnly="0" labelOnly="1" outline="0" fieldPosition="0">
        <references count="2">
          <reference field="0" count="1" selected="0">
            <x v="106"/>
          </reference>
          <reference field="1" count="1">
            <x v="330"/>
          </reference>
        </references>
      </pivotArea>
    </format>
    <format dxfId="12259">
      <pivotArea dataOnly="0" labelOnly="1" outline="0" fieldPosition="0">
        <references count="2">
          <reference field="0" count="1" selected="0">
            <x v="107"/>
          </reference>
          <reference field="1" count="1">
            <x v="176"/>
          </reference>
        </references>
      </pivotArea>
    </format>
    <format dxfId="12258">
      <pivotArea dataOnly="0" labelOnly="1" outline="0" fieldPosition="0">
        <references count="2">
          <reference field="0" count="1" selected="0">
            <x v="108"/>
          </reference>
          <reference field="1" count="1">
            <x v="238"/>
          </reference>
        </references>
      </pivotArea>
    </format>
    <format dxfId="12257">
      <pivotArea dataOnly="0" labelOnly="1" outline="0" fieldPosition="0">
        <references count="2">
          <reference field="0" count="1" selected="0">
            <x v="109"/>
          </reference>
          <reference field="1" count="1">
            <x v="181"/>
          </reference>
        </references>
      </pivotArea>
    </format>
    <format dxfId="12256">
      <pivotArea dataOnly="0" labelOnly="1" outline="0" fieldPosition="0">
        <references count="2">
          <reference field="0" count="1" selected="0">
            <x v="110"/>
          </reference>
          <reference field="1" count="1">
            <x v="180"/>
          </reference>
        </references>
      </pivotArea>
    </format>
    <format dxfId="12255">
      <pivotArea dataOnly="0" labelOnly="1" outline="0" fieldPosition="0">
        <references count="2">
          <reference field="0" count="1" selected="0">
            <x v="111"/>
          </reference>
          <reference field="1" count="1">
            <x v="191"/>
          </reference>
        </references>
      </pivotArea>
    </format>
    <format dxfId="12254">
      <pivotArea dataOnly="0" labelOnly="1" outline="0" fieldPosition="0">
        <references count="2">
          <reference field="0" count="1" selected="0">
            <x v="112"/>
          </reference>
          <reference field="1" count="1">
            <x v="185"/>
          </reference>
        </references>
      </pivotArea>
    </format>
    <format dxfId="12253">
      <pivotArea dataOnly="0" labelOnly="1" outline="0" fieldPosition="0">
        <references count="2">
          <reference field="0" count="1" selected="0">
            <x v="113"/>
          </reference>
          <reference field="1" count="1">
            <x v="184"/>
          </reference>
        </references>
      </pivotArea>
    </format>
    <format dxfId="12252">
      <pivotArea dataOnly="0" labelOnly="1" outline="0" fieldPosition="0">
        <references count="2">
          <reference field="0" count="1" selected="0">
            <x v="114"/>
          </reference>
          <reference field="1" count="1">
            <x v="182"/>
          </reference>
        </references>
      </pivotArea>
    </format>
    <format dxfId="12251">
      <pivotArea dataOnly="0" labelOnly="1" outline="0" fieldPosition="0">
        <references count="2">
          <reference field="0" count="1" selected="0">
            <x v="115"/>
          </reference>
          <reference field="1" count="1">
            <x v="186"/>
          </reference>
        </references>
      </pivotArea>
    </format>
    <format dxfId="12250">
      <pivotArea dataOnly="0" labelOnly="1" outline="0" fieldPosition="0">
        <references count="2">
          <reference field="0" count="1" selected="0">
            <x v="116"/>
          </reference>
          <reference field="1" count="1">
            <x v="183"/>
          </reference>
        </references>
      </pivotArea>
    </format>
    <format dxfId="12249">
      <pivotArea dataOnly="0" labelOnly="1" outline="0" fieldPosition="0">
        <references count="2">
          <reference field="0" count="1" selected="0">
            <x v="117"/>
          </reference>
          <reference field="1" count="1">
            <x v="179"/>
          </reference>
        </references>
      </pivotArea>
    </format>
    <format dxfId="12248">
      <pivotArea dataOnly="0" labelOnly="1" outline="0" fieldPosition="0">
        <references count="2">
          <reference field="0" count="1" selected="0">
            <x v="118"/>
          </reference>
          <reference field="1" count="1">
            <x v="190"/>
          </reference>
        </references>
      </pivotArea>
    </format>
    <format dxfId="12247">
      <pivotArea dataOnly="0" labelOnly="1" outline="0" fieldPosition="0">
        <references count="2">
          <reference field="0" count="1" selected="0">
            <x v="119"/>
          </reference>
          <reference field="1" count="1">
            <x v="178"/>
          </reference>
        </references>
      </pivotArea>
    </format>
    <format dxfId="12246">
      <pivotArea dataOnly="0" labelOnly="1" outline="0" fieldPosition="0">
        <references count="2">
          <reference field="0" count="1" selected="0">
            <x v="120"/>
          </reference>
          <reference field="1" count="1">
            <x v="188"/>
          </reference>
        </references>
      </pivotArea>
    </format>
    <format dxfId="12245">
      <pivotArea dataOnly="0" labelOnly="1" outline="0" fieldPosition="0">
        <references count="2">
          <reference field="0" count="1" selected="0">
            <x v="121"/>
          </reference>
          <reference field="1" count="1">
            <x v="195"/>
          </reference>
        </references>
      </pivotArea>
    </format>
    <format dxfId="12244">
      <pivotArea dataOnly="0" labelOnly="1" outline="0" fieldPosition="0">
        <references count="2">
          <reference field="0" count="1" selected="0">
            <x v="122"/>
          </reference>
          <reference field="1" count="1">
            <x v="193"/>
          </reference>
        </references>
      </pivotArea>
    </format>
    <format dxfId="12243">
      <pivotArea dataOnly="0" labelOnly="1" outline="0" fieldPosition="0">
        <references count="2">
          <reference field="0" count="1" selected="0">
            <x v="123"/>
          </reference>
          <reference field="1" count="1">
            <x v="220"/>
          </reference>
        </references>
      </pivotArea>
    </format>
    <format dxfId="12242">
      <pivotArea dataOnly="0" labelOnly="1" outline="0" fieldPosition="0">
        <references count="2">
          <reference field="0" count="1" selected="0">
            <x v="124"/>
          </reference>
          <reference field="1" count="1">
            <x v="117"/>
          </reference>
        </references>
      </pivotArea>
    </format>
    <format dxfId="12241">
      <pivotArea dataOnly="0" labelOnly="1" outline="0" fieldPosition="0">
        <references count="2">
          <reference field="0" count="1" selected="0">
            <x v="125"/>
          </reference>
          <reference field="1" count="1">
            <x v="119"/>
          </reference>
        </references>
      </pivotArea>
    </format>
    <format dxfId="12240">
      <pivotArea dataOnly="0" labelOnly="1" outline="0" fieldPosition="0">
        <references count="2">
          <reference field="0" count="1" selected="0">
            <x v="126"/>
          </reference>
          <reference field="1" count="1">
            <x v="62"/>
          </reference>
        </references>
      </pivotArea>
    </format>
    <format dxfId="12239">
      <pivotArea dataOnly="0" labelOnly="1" outline="0" fieldPosition="0">
        <references count="2">
          <reference field="0" count="1" selected="0">
            <x v="127"/>
          </reference>
          <reference field="1" count="1">
            <x v="360"/>
          </reference>
        </references>
      </pivotArea>
    </format>
    <format dxfId="12238">
      <pivotArea dataOnly="0" labelOnly="1" outline="0" fieldPosition="0">
        <references count="2">
          <reference field="0" count="1" selected="0">
            <x v="128"/>
          </reference>
          <reference field="1" count="1">
            <x v="136"/>
          </reference>
        </references>
      </pivotArea>
    </format>
    <format dxfId="12237">
      <pivotArea dataOnly="0" labelOnly="1" outline="0" fieldPosition="0">
        <references count="2">
          <reference field="0" count="1" selected="0">
            <x v="129"/>
          </reference>
          <reference field="1" count="1">
            <x v="274"/>
          </reference>
        </references>
      </pivotArea>
    </format>
    <format dxfId="12236">
      <pivotArea dataOnly="0" labelOnly="1" outline="0" fieldPosition="0">
        <references count="2">
          <reference field="0" count="1" selected="0">
            <x v="130"/>
          </reference>
          <reference field="1" count="1">
            <x v="355"/>
          </reference>
        </references>
      </pivotArea>
    </format>
    <format dxfId="12235">
      <pivotArea dataOnly="0" labelOnly="1" outline="0" fieldPosition="0">
        <references count="2">
          <reference field="0" count="1" selected="0">
            <x v="131"/>
          </reference>
          <reference field="1" count="1">
            <x v="157"/>
          </reference>
        </references>
      </pivotArea>
    </format>
    <format dxfId="12234">
      <pivotArea dataOnly="0" labelOnly="1" outline="0" fieldPosition="0">
        <references count="2">
          <reference field="0" count="1" selected="0">
            <x v="132"/>
          </reference>
          <reference field="1" count="1">
            <x v="133"/>
          </reference>
        </references>
      </pivotArea>
    </format>
    <format dxfId="12233">
      <pivotArea dataOnly="0" labelOnly="1" outline="0" fieldPosition="0">
        <references count="2">
          <reference field="0" count="1" selected="0">
            <x v="133"/>
          </reference>
          <reference field="1" count="1">
            <x v="1"/>
          </reference>
        </references>
      </pivotArea>
    </format>
    <format dxfId="12232">
      <pivotArea dataOnly="0" labelOnly="1" outline="0" fieldPosition="0">
        <references count="2">
          <reference field="0" count="1" selected="0">
            <x v="134"/>
          </reference>
          <reference field="1" count="1">
            <x v="225"/>
          </reference>
        </references>
      </pivotArea>
    </format>
    <format dxfId="12231">
      <pivotArea dataOnly="0" labelOnly="1" outline="0" fieldPosition="0">
        <references count="2">
          <reference field="0" count="1" selected="0">
            <x v="135"/>
          </reference>
          <reference field="1" count="1">
            <x v="58"/>
          </reference>
        </references>
      </pivotArea>
    </format>
    <format dxfId="12230">
      <pivotArea dataOnly="0" labelOnly="1" outline="0" fieldPosition="0">
        <references count="2">
          <reference field="0" count="1" selected="0">
            <x v="136"/>
          </reference>
          <reference field="1" count="1">
            <x v="163"/>
          </reference>
        </references>
      </pivotArea>
    </format>
    <format dxfId="12229">
      <pivotArea dataOnly="0" labelOnly="1" outline="0" fieldPosition="0">
        <references count="2">
          <reference field="0" count="1" selected="0">
            <x v="137"/>
          </reference>
          <reference field="1" count="1">
            <x v="139"/>
          </reference>
        </references>
      </pivotArea>
    </format>
    <format dxfId="12228">
      <pivotArea dataOnly="0" labelOnly="1" outline="0" fieldPosition="0">
        <references count="2">
          <reference field="0" count="1" selected="0">
            <x v="138"/>
          </reference>
          <reference field="1" count="1">
            <x v="381"/>
          </reference>
        </references>
      </pivotArea>
    </format>
    <format dxfId="12227">
      <pivotArea dataOnly="0" labelOnly="1" outline="0" fieldPosition="0">
        <references count="2">
          <reference field="0" count="1" selected="0">
            <x v="139"/>
          </reference>
          <reference field="1" count="1">
            <x v="68"/>
          </reference>
        </references>
      </pivotArea>
    </format>
    <format dxfId="12226">
      <pivotArea dataOnly="0" labelOnly="1" outline="0" fieldPosition="0">
        <references count="2">
          <reference field="0" count="1" selected="0">
            <x v="140"/>
          </reference>
          <reference field="1" count="1">
            <x v="319"/>
          </reference>
        </references>
      </pivotArea>
    </format>
    <format dxfId="12225">
      <pivotArea dataOnly="0" labelOnly="1" outline="0" fieldPosition="0">
        <references count="2">
          <reference field="0" count="1" selected="0">
            <x v="141"/>
          </reference>
          <reference field="1" count="1">
            <x v="30"/>
          </reference>
        </references>
      </pivotArea>
    </format>
    <format dxfId="12224">
      <pivotArea dataOnly="0" labelOnly="1" outline="0" fieldPosition="0">
        <references count="2">
          <reference field="0" count="1" selected="0">
            <x v="142"/>
          </reference>
          <reference field="1" count="1">
            <x v="318"/>
          </reference>
        </references>
      </pivotArea>
    </format>
    <format dxfId="12223">
      <pivotArea dataOnly="0" labelOnly="1" outline="0" fieldPosition="0">
        <references count="2">
          <reference field="0" count="1" selected="0">
            <x v="143"/>
          </reference>
          <reference field="1" count="1">
            <x v="315"/>
          </reference>
        </references>
      </pivotArea>
    </format>
    <format dxfId="12222">
      <pivotArea dataOnly="0" labelOnly="1" outline="0" fieldPosition="0">
        <references count="2">
          <reference field="0" count="1" selected="0">
            <x v="144"/>
          </reference>
          <reference field="1" count="1">
            <x v="314"/>
          </reference>
        </references>
      </pivotArea>
    </format>
    <format dxfId="12221">
      <pivotArea dataOnly="0" labelOnly="1" outline="0" fieldPosition="0">
        <references count="2">
          <reference field="0" count="1" selected="0">
            <x v="145"/>
          </reference>
          <reference field="1" count="1">
            <x v="71"/>
          </reference>
        </references>
      </pivotArea>
    </format>
    <format dxfId="12220">
      <pivotArea dataOnly="0" labelOnly="1" outline="0" fieldPosition="0">
        <references count="2">
          <reference field="0" count="1" selected="0">
            <x v="146"/>
          </reference>
          <reference field="1" count="1">
            <x v="45"/>
          </reference>
        </references>
      </pivotArea>
    </format>
    <format dxfId="12219">
      <pivotArea dataOnly="0" labelOnly="1" outline="0" fieldPosition="0">
        <references count="2">
          <reference field="0" count="1" selected="0">
            <x v="147"/>
          </reference>
          <reference field="1" count="1">
            <x v="224"/>
          </reference>
        </references>
      </pivotArea>
    </format>
    <format dxfId="12218">
      <pivotArea dataOnly="0" labelOnly="1" outline="0" fieldPosition="0">
        <references count="2">
          <reference field="0" count="1" selected="0">
            <x v="148"/>
          </reference>
          <reference field="1" count="1">
            <x v="41"/>
          </reference>
        </references>
      </pivotArea>
    </format>
    <format dxfId="12217">
      <pivotArea dataOnly="0" labelOnly="1" outline="0" fieldPosition="0">
        <references count="2">
          <reference field="0" count="1" selected="0">
            <x v="149"/>
          </reference>
          <reference field="1" count="1">
            <x v="46"/>
          </reference>
        </references>
      </pivotArea>
    </format>
    <format dxfId="12216">
      <pivotArea dataOnly="0" labelOnly="1" outline="0" fieldPosition="0">
        <references count="2">
          <reference field="0" count="1" selected="0">
            <x v="150"/>
          </reference>
          <reference field="1" count="1">
            <x v="27"/>
          </reference>
        </references>
      </pivotArea>
    </format>
    <format dxfId="12215">
      <pivotArea dataOnly="0" labelOnly="1" outline="0" fieldPosition="0">
        <references count="2">
          <reference field="0" count="1" selected="0">
            <x v="151"/>
          </reference>
          <reference field="1" count="1">
            <x v="26"/>
          </reference>
        </references>
      </pivotArea>
    </format>
    <format dxfId="12214">
      <pivotArea dataOnly="0" labelOnly="1" outline="0" fieldPosition="0">
        <references count="2">
          <reference field="0" count="1" selected="0">
            <x v="152"/>
          </reference>
          <reference field="1" count="1">
            <x v="43"/>
          </reference>
        </references>
      </pivotArea>
    </format>
    <format dxfId="12213">
      <pivotArea dataOnly="0" labelOnly="1" outline="0" fieldPosition="0">
        <references count="2">
          <reference field="0" count="1" selected="0">
            <x v="153"/>
          </reference>
          <reference field="1" count="1">
            <x v="21"/>
          </reference>
        </references>
      </pivotArea>
    </format>
    <format dxfId="12212">
      <pivotArea dataOnly="0" labelOnly="1" outline="0" fieldPosition="0">
        <references count="2">
          <reference field="0" count="1" selected="0">
            <x v="154"/>
          </reference>
          <reference field="1" count="1">
            <x v="38"/>
          </reference>
        </references>
      </pivotArea>
    </format>
    <format dxfId="12211">
      <pivotArea dataOnly="0" labelOnly="1" outline="0" fieldPosition="0">
        <references count="2">
          <reference field="0" count="1" selected="0">
            <x v="155"/>
          </reference>
          <reference field="1" count="1">
            <x v="23"/>
          </reference>
        </references>
      </pivotArea>
    </format>
    <format dxfId="12210">
      <pivotArea dataOnly="0" labelOnly="1" outline="0" fieldPosition="0">
        <references count="2">
          <reference field="0" count="1" selected="0">
            <x v="156"/>
          </reference>
          <reference field="1" count="1">
            <x v="48"/>
          </reference>
        </references>
      </pivotArea>
    </format>
    <format dxfId="12209">
      <pivotArea dataOnly="0" labelOnly="1" outline="0" fieldPosition="0">
        <references count="2">
          <reference field="0" count="1" selected="0">
            <x v="157"/>
          </reference>
          <reference field="1" count="1">
            <x v="165"/>
          </reference>
        </references>
      </pivotArea>
    </format>
    <format dxfId="12208">
      <pivotArea dataOnly="0" labelOnly="1" outline="0" fieldPosition="0">
        <references count="2">
          <reference field="0" count="1" selected="0">
            <x v="158"/>
          </reference>
          <reference field="1" count="1">
            <x v="40"/>
          </reference>
        </references>
      </pivotArea>
    </format>
    <format dxfId="12207">
      <pivotArea dataOnly="0" labelOnly="1" outline="0" fieldPosition="0">
        <references count="2">
          <reference field="0" count="1" selected="0">
            <x v="159"/>
          </reference>
          <reference field="1" count="1">
            <x v="37"/>
          </reference>
        </references>
      </pivotArea>
    </format>
    <format dxfId="12206">
      <pivotArea dataOnly="0" labelOnly="1" outline="0" fieldPosition="0">
        <references count="2">
          <reference field="0" count="1" selected="0">
            <x v="160"/>
          </reference>
          <reference field="1" count="1">
            <x v="39"/>
          </reference>
        </references>
      </pivotArea>
    </format>
    <format dxfId="12205">
      <pivotArea dataOnly="0" labelOnly="1" outline="0" fieldPosition="0">
        <references count="2">
          <reference field="0" count="1" selected="0">
            <x v="161"/>
          </reference>
          <reference field="1" count="1">
            <x v="22"/>
          </reference>
        </references>
      </pivotArea>
    </format>
    <format dxfId="12204">
      <pivotArea dataOnly="0" labelOnly="1" outline="0" fieldPosition="0">
        <references count="2">
          <reference field="0" count="1" selected="0">
            <x v="162"/>
          </reference>
          <reference field="1" count="1">
            <x v="302"/>
          </reference>
        </references>
      </pivotArea>
    </format>
    <format dxfId="12203">
      <pivotArea dataOnly="0" labelOnly="1" outline="0" fieldPosition="0">
        <references count="2">
          <reference field="0" count="1" selected="0">
            <x v="163"/>
          </reference>
          <reference field="1" count="1">
            <x v="25"/>
          </reference>
        </references>
      </pivotArea>
    </format>
    <format dxfId="12202">
      <pivotArea dataOnly="0" labelOnly="1" outline="0" fieldPosition="0">
        <references count="2">
          <reference field="0" count="1" selected="0">
            <x v="164"/>
          </reference>
          <reference field="1" count="1">
            <x v="42"/>
          </reference>
        </references>
      </pivotArea>
    </format>
    <format dxfId="12201">
      <pivotArea dataOnly="0" labelOnly="1" outline="0" fieldPosition="0">
        <references count="2">
          <reference field="0" count="1" selected="0">
            <x v="165"/>
          </reference>
          <reference field="1" count="1">
            <x v="24"/>
          </reference>
        </references>
      </pivotArea>
    </format>
    <format dxfId="12200">
      <pivotArea dataOnly="0" labelOnly="1" outline="0" fieldPosition="0">
        <references count="2">
          <reference field="0" count="1" selected="0">
            <x v="166"/>
          </reference>
          <reference field="1" count="1">
            <x v="371"/>
          </reference>
        </references>
      </pivotArea>
    </format>
    <format dxfId="12199">
      <pivotArea dataOnly="0" labelOnly="1" outline="0" fieldPosition="0">
        <references count="2">
          <reference field="0" count="1" selected="0">
            <x v="167"/>
          </reference>
          <reference field="1" count="1">
            <x v="44"/>
          </reference>
        </references>
      </pivotArea>
    </format>
    <format dxfId="12198">
      <pivotArea dataOnly="0" labelOnly="1" outline="0" fieldPosition="0">
        <references count="2">
          <reference field="0" count="1" selected="0">
            <x v="168"/>
          </reference>
          <reference field="1" count="1">
            <x v="47"/>
          </reference>
        </references>
      </pivotArea>
    </format>
    <format dxfId="12197">
      <pivotArea dataOnly="0" labelOnly="1" outline="0" fieldPosition="0">
        <references count="2">
          <reference field="0" count="1" selected="0">
            <x v="169"/>
          </reference>
          <reference field="1" count="1">
            <x v="70"/>
          </reference>
        </references>
      </pivotArea>
    </format>
    <format dxfId="12196">
      <pivotArea dataOnly="0" labelOnly="1" outline="0" fieldPosition="0">
        <references count="2">
          <reference field="0" count="1" selected="0">
            <x v="170"/>
          </reference>
          <reference field="1" count="1">
            <x v="137"/>
          </reference>
        </references>
      </pivotArea>
    </format>
    <format dxfId="12195">
      <pivotArea dataOnly="0" labelOnly="1" outline="0" fieldPosition="0">
        <references count="2">
          <reference field="0" count="1" selected="0">
            <x v="171"/>
          </reference>
          <reference field="1" count="1">
            <x v="192"/>
          </reference>
        </references>
      </pivotArea>
    </format>
    <format dxfId="12194">
      <pivotArea dataOnly="0" labelOnly="1" outline="0" fieldPosition="0">
        <references count="2">
          <reference field="0" count="1" selected="0">
            <x v="172"/>
          </reference>
          <reference field="1" count="1">
            <x v="114"/>
          </reference>
        </references>
      </pivotArea>
    </format>
    <format dxfId="12193">
      <pivotArea dataOnly="0" labelOnly="1" outline="0" fieldPosition="0">
        <references count="2">
          <reference field="0" count="1" selected="0">
            <x v="173"/>
          </reference>
          <reference field="1" count="1">
            <x v="204"/>
          </reference>
        </references>
      </pivotArea>
    </format>
    <format dxfId="12192">
      <pivotArea dataOnly="0" labelOnly="1" outline="0" fieldPosition="0">
        <references count="2">
          <reference field="0" count="1" selected="0">
            <x v="174"/>
          </reference>
          <reference field="1" count="1">
            <x v="244"/>
          </reference>
        </references>
      </pivotArea>
    </format>
    <format dxfId="12191">
      <pivotArea dataOnly="0" labelOnly="1" outline="0" fieldPosition="0">
        <references count="2">
          <reference field="0" count="1" selected="0">
            <x v="175"/>
          </reference>
          <reference field="1" count="1">
            <x v="250"/>
          </reference>
        </references>
      </pivotArea>
    </format>
    <format dxfId="12190">
      <pivotArea dataOnly="0" labelOnly="1" outline="0" fieldPosition="0">
        <references count="2">
          <reference field="0" count="1" selected="0">
            <x v="176"/>
          </reference>
          <reference field="1" count="1">
            <x v="245"/>
          </reference>
        </references>
      </pivotArea>
    </format>
    <format dxfId="12189">
      <pivotArea dataOnly="0" labelOnly="1" outline="0" fieldPosition="0">
        <references count="2">
          <reference field="0" count="1" selected="0">
            <x v="177"/>
          </reference>
          <reference field="1" count="1">
            <x v="196"/>
          </reference>
        </references>
      </pivotArea>
    </format>
    <format dxfId="12188">
      <pivotArea dataOnly="0" labelOnly="1" outline="0" fieldPosition="0">
        <references count="2">
          <reference field="0" count="1" selected="0">
            <x v="178"/>
          </reference>
          <reference field="1" count="1">
            <x v="164"/>
          </reference>
        </references>
      </pivotArea>
    </format>
    <format dxfId="12187">
      <pivotArea dataOnly="0" labelOnly="1" outline="0" fieldPosition="0">
        <references count="2">
          <reference field="0" count="1" selected="0">
            <x v="179"/>
          </reference>
          <reference field="1" count="1">
            <x v="303"/>
          </reference>
        </references>
      </pivotArea>
    </format>
    <format dxfId="12186">
      <pivotArea dataOnly="0" labelOnly="1" outline="0" fieldPosition="0">
        <references count="2">
          <reference field="0" count="1" selected="0">
            <x v="180"/>
          </reference>
          <reference field="1" count="1">
            <x v="199"/>
          </reference>
        </references>
      </pivotArea>
    </format>
    <format dxfId="12185">
      <pivotArea dataOnly="0" labelOnly="1" outline="0" fieldPosition="0">
        <references count="2">
          <reference field="0" count="1" selected="0">
            <x v="181"/>
          </reference>
          <reference field="1" count="1">
            <x v="200"/>
          </reference>
        </references>
      </pivotArea>
    </format>
    <format dxfId="12184">
      <pivotArea dataOnly="0" labelOnly="1" outline="0" fieldPosition="0">
        <references count="2">
          <reference field="0" count="1" selected="0">
            <x v="182"/>
          </reference>
          <reference field="1" count="1">
            <x v="201"/>
          </reference>
        </references>
      </pivotArea>
    </format>
    <format dxfId="12183">
      <pivotArea dataOnly="0" labelOnly="1" outline="0" fieldPosition="0">
        <references count="2">
          <reference field="0" count="1" selected="0">
            <x v="183"/>
          </reference>
          <reference field="1" count="1">
            <x v="202"/>
          </reference>
        </references>
      </pivotArea>
    </format>
    <format dxfId="12182">
      <pivotArea dataOnly="0" labelOnly="1" outline="0" fieldPosition="0">
        <references count="2">
          <reference field="0" count="1" selected="0">
            <x v="184"/>
          </reference>
          <reference field="1" count="1">
            <x v="203"/>
          </reference>
        </references>
      </pivotArea>
    </format>
    <format dxfId="12181">
      <pivotArea dataOnly="0" labelOnly="1" outline="0" fieldPosition="0">
        <references count="2">
          <reference field="0" count="1" selected="0">
            <x v="185"/>
          </reference>
          <reference field="1" count="1">
            <x v="90"/>
          </reference>
        </references>
      </pivotArea>
    </format>
    <format dxfId="12180">
      <pivotArea dataOnly="0" labelOnly="1" outline="0" fieldPosition="0">
        <references count="2">
          <reference field="0" count="1" selected="0">
            <x v="186"/>
          </reference>
          <reference field="1" count="1">
            <x v="74"/>
          </reference>
        </references>
      </pivotArea>
    </format>
    <format dxfId="12179">
      <pivotArea dataOnly="0" labelOnly="1" outline="0" fieldPosition="0">
        <references count="2">
          <reference field="0" count="1" selected="0">
            <x v="187"/>
          </reference>
          <reference field="1" count="1">
            <x v="305"/>
          </reference>
        </references>
      </pivotArea>
    </format>
    <format dxfId="12178">
      <pivotArea dataOnly="0" labelOnly="1" outline="0" fieldPosition="0">
        <references count="2">
          <reference field="0" count="1" selected="0">
            <x v="188"/>
          </reference>
          <reference field="1" count="1">
            <x v="336"/>
          </reference>
        </references>
      </pivotArea>
    </format>
    <format dxfId="12177">
      <pivotArea dataOnly="0" labelOnly="1" outline="0" fieldPosition="0">
        <references count="2">
          <reference field="0" count="1" selected="0">
            <x v="189"/>
          </reference>
          <reference field="1" count="1">
            <x v="339"/>
          </reference>
        </references>
      </pivotArea>
    </format>
    <format dxfId="12176">
      <pivotArea dataOnly="0" labelOnly="1" outline="0" fieldPosition="0">
        <references count="2">
          <reference field="0" count="1" selected="0">
            <x v="190"/>
          </reference>
          <reference field="1" count="1">
            <x v="341"/>
          </reference>
        </references>
      </pivotArea>
    </format>
    <format dxfId="12175">
      <pivotArea dataOnly="0" labelOnly="1" outline="0" fieldPosition="0">
        <references count="2">
          <reference field="0" count="1" selected="0">
            <x v="191"/>
          </reference>
          <reference field="1" count="1">
            <x v="282"/>
          </reference>
        </references>
      </pivotArea>
    </format>
    <format dxfId="12174">
      <pivotArea dataOnly="0" labelOnly="1" outline="0" fieldPosition="0">
        <references count="2">
          <reference field="0" count="1" selected="0">
            <x v="192"/>
          </reference>
          <reference field="1" count="1">
            <x v="172"/>
          </reference>
        </references>
      </pivotArea>
    </format>
    <format dxfId="12173">
      <pivotArea dataOnly="0" labelOnly="1" outline="0" fieldPosition="0">
        <references count="2">
          <reference field="0" count="1" selected="0">
            <x v="193"/>
          </reference>
          <reference field="1" count="1">
            <x v="55"/>
          </reference>
        </references>
      </pivotArea>
    </format>
    <format dxfId="12172">
      <pivotArea dataOnly="0" labelOnly="1" outline="0" fieldPosition="0">
        <references count="2">
          <reference field="0" count="1" selected="0">
            <x v="194"/>
          </reference>
          <reference field="1" count="1">
            <x v="259"/>
          </reference>
        </references>
      </pivotArea>
    </format>
    <format dxfId="12171">
      <pivotArea dataOnly="0" labelOnly="1" outline="0" fieldPosition="0">
        <references count="2">
          <reference field="0" count="1" selected="0">
            <x v="195"/>
          </reference>
          <reference field="1" count="1">
            <x v="297"/>
          </reference>
        </references>
      </pivotArea>
    </format>
    <format dxfId="12170">
      <pivotArea dataOnly="0" labelOnly="1" outline="0" fieldPosition="0">
        <references count="2">
          <reference field="0" count="1" selected="0">
            <x v="196"/>
          </reference>
          <reference field="1" count="1">
            <x v="108"/>
          </reference>
        </references>
      </pivotArea>
    </format>
    <format dxfId="12169">
      <pivotArea dataOnly="0" labelOnly="1" outline="0" fieldPosition="0">
        <references count="2">
          <reference field="0" count="1" selected="0">
            <x v="197"/>
          </reference>
          <reference field="1" count="1">
            <x v="301"/>
          </reference>
        </references>
      </pivotArea>
    </format>
    <format dxfId="12168">
      <pivotArea dataOnly="0" labelOnly="1" outline="0" fieldPosition="0">
        <references count="2">
          <reference field="0" count="1" selected="0">
            <x v="198"/>
          </reference>
          <reference field="1" count="1">
            <x v="107"/>
          </reference>
        </references>
      </pivotArea>
    </format>
    <format dxfId="12167">
      <pivotArea dataOnly="0" labelOnly="1" outline="0" fieldPosition="0">
        <references count="2">
          <reference field="0" count="1" selected="0">
            <x v="199"/>
          </reference>
          <reference field="1" count="1">
            <x v="66"/>
          </reference>
        </references>
      </pivotArea>
    </format>
    <format dxfId="12166">
      <pivotArea dataOnly="0" labelOnly="1" outline="0" fieldPosition="0">
        <references count="2">
          <reference field="0" count="1" selected="0">
            <x v="200"/>
          </reference>
          <reference field="1" count="1">
            <x v="300"/>
          </reference>
        </references>
      </pivotArea>
    </format>
    <format dxfId="12165">
      <pivotArea dataOnly="0" labelOnly="1" outline="0" fieldPosition="0">
        <references count="2">
          <reference field="0" count="1" selected="0">
            <x v="201"/>
          </reference>
          <reference field="1" count="1">
            <x v="265"/>
          </reference>
        </references>
      </pivotArea>
    </format>
    <format dxfId="12164">
      <pivotArea dataOnly="0" labelOnly="1" outline="0" fieldPosition="0">
        <references count="2">
          <reference field="0" count="1" selected="0">
            <x v="202"/>
          </reference>
          <reference field="1" count="1">
            <x v="266"/>
          </reference>
        </references>
      </pivotArea>
    </format>
    <format dxfId="12163">
      <pivotArea dataOnly="0" labelOnly="1" outline="0" fieldPosition="0">
        <references count="2">
          <reference field="0" count="1" selected="0">
            <x v="203"/>
          </reference>
          <reference field="1" count="1">
            <x v="267"/>
          </reference>
        </references>
      </pivotArea>
    </format>
    <format dxfId="12162">
      <pivotArea dataOnly="0" labelOnly="1" outline="0" fieldPosition="0">
        <references count="2">
          <reference field="0" count="1" selected="0">
            <x v="204"/>
          </reference>
          <reference field="1" count="1">
            <x v="278"/>
          </reference>
        </references>
      </pivotArea>
    </format>
    <format dxfId="12161">
      <pivotArea dataOnly="0" labelOnly="1" outline="0" fieldPosition="0">
        <references count="2">
          <reference field="0" count="1" selected="0">
            <x v="205"/>
          </reference>
          <reference field="1" count="1">
            <x v="256"/>
          </reference>
        </references>
      </pivotArea>
    </format>
    <format dxfId="12160">
      <pivotArea dataOnly="0" labelOnly="1" outline="0" fieldPosition="0">
        <references count="2">
          <reference field="0" count="1" selected="0">
            <x v="206"/>
          </reference>
          <reference field="1" count="1">
            <x v="131"/>
          </reference>
        </references>
      </pivotArea>
    </format>
    <format dxfId="12159">
      <pivotArea dataOnly="0" labelOnly="1" outline="0" fieldPosition="0">
        <references count="2">
          <reference field="0" count="1" selected="0">
            <x v="207"/>
          </reference>
          <reference field="1" count="1">
            <x v="253"/>
          </reference>
        </references>
      </pivotArea>
    </format>
    <format dxfId="12158">
      <pivotArea dataOnly="0" labelOnly="1" outline="0" fieldPosition="0">
        <references count="2">
          <reference field="0" count="1" selected="0">
            <x v="208"/>
          </reference>
          <reference field="1" count="1">
            <x v="261"/>
          </reference>
        </references>
      </pivotArea>
    </format>
    <format dxfId="12157">
      <pivotArea dataOnly="0" labelOnly="1" outline="0" fieldPosition="0">
        <references count="2">
          <reference field="0" count="1" selected="0">
            <x v="209"/>
          </reference>
          <reference field="1" count="1">
            <x v="158"/>
          </reference>
        </references>
      </pivotArea>
    </format>
    <format dxfId="12156">
      <pivotArea dataOnly="0" labelOnly="1" outline="0" fieldPosition="0">
        <references count="2">
          <reference field="0" count="1" selected="0">
            <x v="210"/>
          </reference>
          <reference field="1" count="1">
            <x v="91"/>
          </reference>
        </references>
      </pivotArea>
    </format>
    <format dxfId="12155">
      <pivotArea dataOnly="0" labelOnly="1" outline="0" fieldPosition="0">
        <references count="2">
          <reference field="0" count="1" selected="0">
            <x v="211"/>
          </reference>
          <reference field="1" count="1">
            <x v="311"/>
          </reference>
        </references>
      </pivotArea>
    </format>
    <format dxfId="12154">
      <pivotArea dataOnly="0" labelOnly="1" outline="0" fieldPosition="0">
        <references count="2">
          <reference field="0" count="1" selected="0">
            <x v="212"/>
          </reference>
          <reference field="1" count="1">
            <x v="283"/>
          </reference>
        </references>
      </pivotArea>
    </format>
    <format dxfId="12153">
      <pivotArea dataOnly="0" labelOnly="1" outline="0" fieldPosition="0">
        <references count="2">
          <reference field="0" count="1" selected="0">
            <x v="213"/>
          </reference>
          <reference field="1" count="1">
            <x v="270"/>
          </reference>
        </references>
      </pivotArea>
    </format>
    <format dxfId="12152">
      <pivotArea dataOnly="0" labelOnly="1" outline="0" fieldPosition="0">
        <references count="2">
          <reference field="0" count="1" selected="0">
            <x v="214"/>
          </reference>
          <reference field="1" count="1">
            <x v="351"/>
          </reference>
        </references>
      </pivotArea>
    </format>
    <format dxfId="12151">
      <pivotArea dataOnly="0" labelOnly="1" outline="0" fieldPosition="0">
        <references count="2">
          <reference field="0" count="1" selected="0">
            <x v="215"/>
          </reference>
          <reference field="1" count="1">
            <x v="378"/>
          </reference>
        </references>
      </pivotArea>
    </format>
    <format dxfId="12150">
      <pivotArea dataOnly="0" labelOnly="1" outline="0" fieldPosition="0">
        <references count="2">
          <reference field="0" count="1" selected="0">
            <x v="216"/>
          </reference>
          <reference field="1" count="2">
            <x v="363"/>
            <x v="379"/>
          </reference>
        </references>
      </pivotArea>
    </format>
    <format dxfId="12149">
      <pivotArea dataOnly="0" labelOnly="1" outline="0" fieldPosition="0">
        <references count="2">
          <reference field="0" count="1" selected="0">
            <x v="217"/>
          </reference>
          <reference field="1" count="1">
            <x v="6"/>
          </reference>
        </references>
      </pivotArea>
    </format>
    <format dxfId="12148">
      <pivotArea dataOnly="0" labelOnly="1" outline="0" fieldPosition="0">
        <references count="2">
          <reference field="0" count="1" selected="0">
            <x v="218"/>
          </reference>
          <reference field="1" count="1">
            <x v="361"/>
          </reference>
        </references>
      </pivotArea>
    </format>
    <format dxfId="12147">
      <pivotArea dataOnly="0" labelOnly="1" outline="0" fieldPosition="0">
        <references count="2">
          <reference field="0" count="1" selected="0">
            <x v="219"/>
          </reference>
          <reference field="1" count="1">
            <x v="54"/>
          </reference>
        </references>
      </pivotArea>
    </format>
    <format dxfId="12146">
      <pivotArea dataOnly="0" labelOnly="1" outline="0" fieldPosition="0">
        <references count="2">
          <reference field="0" count="1" selected="0">
            <x v="220"/>
          </reference>
          <reference field="1" count="1">
            <x v="213"/>
          </reference>
        </references>
      </pivotArea>
    </format>
    <format dxfId="12145">
      <pivotArea dataOnly="0" labelOnly="1" outline="0" fieldPosition="0">
        <references count="2">
          <reference field="0" count="1" selected="0">
            <x v="221"/>
          </reference>
          <reference field="1" count="1">
            <x v="227"/>
          </reference>
        </references>
      </pivotArea>
    </format>
    <format dxfId="12144">
      <pivotArea dataOnly="0" labelOnly="1" outline="0" fieldPosition="0">
        <references count="2">
          <reference field="0" count="1" selected="0">
            <x v="222"/>
          </reference>
          <reference field="1" count="1">
            <x v="150"/>
          </reference>
        </references>
      </pivotArea>
    </format>
    <format dxfId="12143">
      <pivotArea dataOnly="0" labelOnly="1" outline="0" fieldPosition="0">
        <references count="2">
          <reference field="0" count="1" selected="0">
            <x v="223"/>
          </reference>
          <reference field="1" count="1">
            <x v="73"/>
          </reference>
        </references>
      </pivotArea>
    </format>
    <format dxfId="12142">
      <pivotArea dataOnly="0" labelOnly="1" outline="0" fieldPosition="0">
        <references count="2">
          <reference field="0" count="1" selected="0">
            <x v="224"/>
          </reference>
          <reference field="1" count="1">
            <x v="258"/>
          </reference>
        </references>
      </pivotArea>
    </format>
    <format dxfId="12141">
      <pivotArea dataOnly="0" labelOnly="1" outline="0" fieldPosition="0">
        <references count="2">
          <reference field="0" count="1" selected="0">
            <x v="225"/>
          </reference>
          <reference field="1" count="1">
            <x v="365"/>
          </reference>
        </references>
      </pivotArea>
    </format>
    <format dxfId="12140">
      <pivotArea dataOnly="0" labelOnly="1" outline="0" fieldPosition="0">
        <references count="2">
          <reference field="0" count="1" selected="0">
            <x v="226"/>
          </reference>
          <reference field="1" count="1">
            <x v="316"/>
          </reference>
        </references>
      </pivotArea>
    </format>
    <format dxfId="12139">
      <pivotArea dataOnly="0" labelOnly="1" outline="0" fieldPosition="0">
        <references count="2">
          <reference field="0" count="1" selected="0">
            <x v="227"/>
          </reference>
          <reference field="1" count="1">
            <x v="166"/>
          </reference>
        </references>
      </pivotArea>
    </format>
    <format dxfId="12138">
      <pivotArea dataOnly="0" labelOnly="1" outline="0" fieldPosition="0">
        <references count="2">
          <reference field="0" count="1" selected="0">
            <x v="228"/>
          </reference>
          <reference field="1" count="1">
            <x v="198"/>
          </reference>
        </references>
      </pivotArea>
    </format>
    <format dxfId="12137">
      <pivotArea dataOnly="0" labelOnly="1" outline="0" fieldPosition="0">
        <references count="2">
          <reference field="0" count="1" selected="0">
            <x v="229"/>
          </reference>
          <reference field="1" count="1">
            <x v="264"/>
          </reference>
        </references>
      </pivotArea>
    </format>
    <format dxfId="12136">
      <pivotArea dataOnly="0" labelOnly="1" outline="0" fieldPosition="0">
        <references count="2">
          <reference field="0" count="1" selected="0">
            <x v="230"/>
          </reference>
          <reference field="1" count="1">
            <x v="9"/>
          </reference>
        </references>
      </pivotArea>
    </format>
    <format dxfId="12135">
      <pivotArea dataOnly="0" labelOnly="1" outline="0" fieldPosition="0">
        <references count="2">
          <reference field="0" count="1" selected="0">
            <x v="231"/>
          </reference>
          <reference field="1" count="1">
            <x v="242"/>
          </reference>
        </references>
      </pivotArea>
    </format>
    <format dxfId="12134">
      <pivotArea dataOnly="0" labelOnly="1" outline="0" fieldPosition="0">
        <references count="2">
          <reference field="0" count="1" selected="0">
            <x v="232"/>
          </reference>
          <reference field="1" count="1">
            <x v="243"/>
          </reference>
        </references>
      </pivotArea>
    </format>
    <format dxfId="12133">
      <pivotArea dataOnly="0" labelOnly="1" outline="0" fieldPosition="0">
        <references count="2">
          <reference field="0" count="1" selected="0">
            <x v="233"/>
          </reference>
          <reference field="1" count="1">
            <x v="154"/>
          </reference>
        </references>
      </pivotArea>
    </format>
    <format dxfId="12132">
      <pivotArea dataOnly="0" labelOnly="1" outline="0" fieldPosition="0">
        <references count="2">
          <reference field="0" count="1" selected="0">
            <x v="234"/>
          </reference>
          <reference field="1" count="1">
            <x v="217"/>
          </reference>
        </references>
      </pivotArea>
    </format>
    <format dxfId="12131">
      <pivotArea dataOnly="0" labelOnly="1" outline="0" fieldPosition="0">
        <references count="2">
          <reference field="0" count="1" selected="0">
            <x v="235"/>
          </reference>
          <reference field="1" count="1">
            <x v="229"/>
          </reference>
        </references>
      </pivotArea>
    </format>
    <format dxfId="12130">
      <pivotArea dataOnly="0" labelOnly="1" outline="0" fieldPosition="0">
        <references count="2">
          <reference field="0" count="1" selected="0">
            <x v="236"/>
          </reference>
          <reference field="1" count="1">
            <x v="257"/>
          </reference>
        </references>
      </pivotArea>
    </format>
    <format dxfId="12129">
      <pivotArea dataOnly="0" labelOnly="1" outline="0" fieldPosition="0">
        <references count="2">
          <reference field="0" count="1" selected="0">
            <x v="237"/>
          </reference>
          <reference field="1" count="1">
            <x v="369"/>
          </reference>
        </references>
      </pivotArea>
    </format>
    <format dxfId="12128">
      <pivotArea dataOnly="0" labelOnly="1" outline="0" fieldPosition="0">
        <references count="2">
          <reference field="0" count="1" selected="0">
            <x v="238"/>
          </reference>
          <reference field="1" count="1">
            <x v="221"/>
          </reference>
        </references>
      </pivotArea>
    </format>
    <format dxfId="12127">
      <pivotArea dataOnly="0" labelOnly="1" outline="0" fieldPosition="0">
        <references count="2">
          <reference field="0" count="1" selected="0">
            <x v="239"/>
          </reference>
          <reference field="1" count="1">
            <x v="205"/>
          </reference>
        </references>
      </pivotArea>
    </format>
    <format dxfId="12126">
      <pivotArea dataOnly="0" labelOnly="1" outline="0" fieldPosition="0">
        <references count="2">
          <reference field="0" count="1" selected="0">
            <x v="240"/>
          </reference>
          <reference field="1" count="1">
            <x v="206"/>
          </reference>
        </references>
      </pivotArea>
    </format>
    <format dxfId="12125">
      <pivotArea dataOnly="0" labelOnly="1" outline="0" fieldPosition="0">
        <references count="2">
          <reference field="0" count="1" selected="0">
            <x v="241"/>
          </reference>
          <reference field="1" count="1">
            <x v="252"/>
          </reference>
        </references>
      </pivotArea>
    </format>
    <format dxfId="12124">
      <pivotArea dataOnly="0" labelOnly="1" outline="0" fieldPosition="0">
        <references count="2">
          <reference field="0" count="1" selected="0">
            <x v="242"/>
          </reference>
          <reference field="1" count="1">
            <x v="218"/>
          </reference>
        </references>
      </pivotArea>
    </format>
    <format dxfId="12123">
      <pivotArea dataOnly="0" labelOnly="1" outline="0" fieldPosition="0">
        <references count="2">
          <reference field="0" count="1" selected="0">
            <x v="243"/>
          </reference>
          <reference field="1" count="1">
            <x v="231"/>
          </reference>
        </references>
      </pivotArea>
    </format>
    <format dxfId="12122">
      <pivotArea dataOnly="0" labelOnly="1" outline="0" fieldPosition="0">
        <references count="2">
          <reference field="0" count="1" selected="0">
            <x v="244"/>
          </reference>
          <reference field="1" count="1">
            <x v="207"/>
          </reference>
        </references>
      </pivotArea>
    </format>
    <format dxfId="12121">
      <pivotArea dataOnly="0" labelOnly="1" outline="0" fieldPosition="0">
        <references count="2">
          <reference field="0" count="1" selected="0">
            <x v="245"/>
          </reference>
          <reference field="1" count="1">
            <x v="230"/>
          </reference>
        </references>
      </pivotArea>
    </format>
    <format dxfId="12120">
      <pivotArea dataOnly="0" labelOnly="1" outline="0" fieldPosition="0">
        <references count="2">
          <reference field="0" count="1" selected="0">
            <x v="246"/>
          </reference>
          <reference field="1" count="1">
            <x v="208"/>
          </reference>
        </references>
      </pivotArea>
    </format>
    <format dxfId="12119">
      <pivotArea dataOnly="0" labelOnly="1" outline="0" fieldPosition="0">
        <references count="2">
          <reference field="0" count="1" selected="0">
            <x v="247"/>
          </reference>
          <reference field="1" count="1">
            <x v="279"/>
          </reference>
        </references>
      </pivotArea>
    </format>
    <format dxfId="12118">
      <pivotArea dataOnly="0" labelOnly="1" outline="0" fieldPosition="0">
        <references count="2">
          <reference field="0" count="1" selected="0">
            <x v="248"/>
          </reference>
          <reference field="1" count="1">
            <x v="209"/>
          </reference>
        </references>
      </pivotArea>
    </format>
    <format dxfId="12117">
      <pivotArea dataOnly="0" labelOnly="1" outline="0" fieldPosition="0">
        <references count="2">
          <reference field="0" count="1" selected="0">
            <x v="249"/>
          </reference>
          <reference field="1" count="1">
            <x v="226"/>
          </reference>
        </references>
      </pivotArea>
    </format>
    <format dxfId="12116">
      <pivotArea dataOnly="0" labelOnly="1" outline="0" fieldPosition="0">
        <references count="2">
          <reference field="0" count="1" selected="0">
            <x v="250"/>
          </reference>
          <reference field="1" count="1">
            <x v="211"/>
          </reference>
        </references>
      </pivotArea>
    </format>
    <format dxfId="12115">
      <pivotArea dataOnly="0" labelOnly="1" outline="0" fieldPosition="0">
        <references count="2">
          <reference field="0" count="1" selected="0">
            <x v="251"/>
          </reference>
          <reference field="1" count="1">
            <x v="333"/>
          </reference>
        </references>
      </pivotArea>
    </format>
    <format dxfId="12114">
      <pivotArea dataOnly="0" labelOnly="1" outline="0" fieldPosition="0">
        <references count="2">
          <reference field="0" count="1" selected="0">
            <x v="252"/>
          </reference>
          <reference field="1" count="1">
            <x v="212"/>
          </reference>
        </references>
      </pivotArea>
    </format>
    <format dxfId="12113">
      <pivotArea dataOnly="0" labelOnly="1" outline="0" fieldPosition="0">
        <references count="2">
          <reference field="0" count="1" selected="0">
            <x v="253"/>
          </reference>
          <reference field="1" count="1">
            <x v="340"/>
          </reference>
        </references>
      </pivotArea>
    </format>
    <format dxfId="12112">
      <pivotArea dataOnly="0" labelOnly="1" outline="0" fieldPosition="0">
        <references count="2">
          <reference field="0" count="1" selected="0">
            <x v="254"/>
          </reference>
          <reference field="1" count="1">
            <x v="194"/>
          </reference>
        </references>
      </pivotArea>
    </format>
    <format dxfId="12111">
      <pivotArea dataOnly="0" labelOnly="1" outline="0" fieldPosition="0">
        <references count="2">
          <reference field="0" count="1" selected="0">
            <x v="255"/>
          </reference>
          <reference field="1" count="1">
            <x v="334"/>
          </reference>
        </references>
      </pivotArea>
    </format>
    <format dxfId="12110">
      <pivotArea dataOnly="0" labelOnly="1" outline="0" fieldPosition="0">
        <references count="2">
          <reference field="0" count="1" selected="0">
            <x v="256"/>
          </reference>
          <reference field="1" count="1">
            <x v="118"/>
          </reference>
        </references>
      </pivotArea>
    </format>
    <format dxfId="12109">
      <pivotArea dataOnly="0" labelOnly="1" outline="0" fieldPosition="0">
        <references count="2">
          <reference field="0" count="1" selected="0">
            <x v="257"/>
          </reference>
          <reference field="1" count="1">
            <x v="5"/>
          </reference>
        </references>
      </pivotArea>
    </format>
    <format dxfId="12108">
      <pivotArea dataOnly="0" labelOnly="1" outline="0" fieldPosition="0">
        <references count="2">
          <reference field="0" count="1" selected="0">
            <x v="258"/>
          </reference>
          <reference field="1" count="1">
            <x v="92"/>
          </reference>
        </references>
      </pivotArea>
    </format>
    <format dxfId="12107">
      <pivotArea dataOnly="0" labelOnly="1" outline="0" fieldPosition="0">
        <references count="2">
          <reference field="0" count="1" selected="0">
            <x v="259"/>
          </reference>
          <reference field="1" count="1">
            <x v="4"/>
          </reference>
        </references>
      </pivotArea>
    </format>
    <format dxfId="12106">
      <pivotArea dataOnly="0" labelOnly="1" outline="0" fieldPosition="0">
        <references count="2">
          <reference field="0" count="1" selected="0">
            <x v="260"/>
          </reference>
          <reference field="1" count="1">
            <x v="153"/>
          </reference>
        </references>
      </pivotArea>
    </format>
    <format dxfId="12105">
      <pivotArea dataOnly="0" labelOnly="1" outline="0" fieldPosition="0">
        <references count="2">
          <reference field="0" count="1" selected="0">
            <x v="261"/>
          </reference>
          <reference field="1" count="1">
            <x v="262"/>
          </reference>
        </references>
      </pivotArea>
    </format>
    <format dxfId="12104">
      <pivotArea dataOnly="0" labelOnly="1" outline="0" fieldPosition="0">
        <references count="2">
          <reference field="0" count="1" selected="0">
            <x v="262"/>
          </reference>
          <reference field="1" count="1">
            <x v="372"/>
          </reference>
        </references>
      </pivotArea>
    </format>
    <format dxfId="12103">
      <pivotArea dataOnly="0" labelOnly="1" outline="0" fieldPosition="0">
        <references count="2">
          <reference field="0" count="1" selected="0">
            <x v="263"/>
          </reference>
          <reference field="1" count="1">
            <x v="87"/>
          </reference>
        </references>
      </pivotArea>
    </format>
    <format dxfId="12102">
      <pivotArea dataOnly="0" labelOnly="1" outline="0" fieldPosition="0">
        <references count="2">
          <reference field="0" count="1" selected="0">
            <x v="264"/>
          </reference>
          <reference field="1" count="1">
            <x v="169"/>
          </reference>
        </references>
      </pivotArea>
    </format>
    <format dxfId="12101">
      <pivotArea dataOnly="0" labelOnly="1" outline="0" fieldPosition="0">
        <references count="2">
          <reference field="0" count="1" selected="0">
            <x v="265"/>
          </reference>
          <reference field="1" count="1">
            <x v="72"/>
          </reference>
        </references>
      </pivotArea>
    </format>
    <format dxfId="12100">
      <pivotArea dataOnly="0" labelOnly="1" outline="0" fieldPosition="0">
        <references count="2">
          <reference field="0" count="1" selected="0">
            <x v="266"/>
          </reference>
          <reference field="1" count="1">
            <x v="79"/>
          </reference>
        </references>
      </pivotArea>
    </format>
    <format dxfId="12099">
      <pivotArea dataOnly="0" labelOnly="1" outline="0" fieldPosition="0">
        <references count="2">
          <reference field="0" count="1" selected="0">
            <x v="267"/>
          </reference>
          <reference field="1" count="1">
            <x v="80"/>
          </reference>
        </references>
      </pivotArea>
    </format>
    <format dxfId="12098">
      <pivotArea dataOnly="0" labelOnly="1" outline="0" fieldPosition="0">
        <references count="2">
          <reference field="0" count="1" selected="0">
            <x v="268"/>
          </reference>
          <reference field="1" count="1">
            <x v="69"/>
          </reference>
        </references>
      </pivotArea>
    </format>
    <format dxfId="12097">
      <pivotArea dataOnly="0" labelOnly="1" outline="0" fieldPosition="0">
        <references count="2">
          <reference field="0" count="1" selected="0">
            <x v="269"/>
          </reference>
          <reference field="1" count="1">
            <x v="382"/>
          </reference>
        </references>
      </pivotArea>
    </format>
    <format dxfId="12096">
      <pivotArea dataOnly="0" labelOnly="1" outline="0" fieldPosition="0">
        <references count="2">
          <reference field="0" count="1" selected="0">
            <x v="270"/>
          </reference>
          <reference field="1" count="1">
            <x v="332"/>
          </reference>
        </references>
      </pivotArea>
    </format>
    <format dxfId="12095">
      <pivotArea dataOnly="0" labelOnly="1" outline="0" fieldPosition="0">
        <references count="2">
          <reference field="0" count="1" selected="0">
            <x v="271"/>
          </reference>
          <reference field="1" count="1">
            <x v="325"/>
          </reference>
        </references>
      </pivotArea>
    </format>
    <format dxfId="12094">
      <pivotArea dataOnly="0" labelOnly="1" outline="0" fieldPosition="0">
        <references count="2">
          <reference field="0" count="1" selected="0">
            <x v="272"/>
          </reference>
          <reference field="1" count="1">
            <x v="285"/>
          </reference>
        </references>
      </pivotArea>
    </format>
    <format dxfId="12093">
      <pivotArea dataOnly="0" labelOnly="1" outline="0" fieldPosition="0">
        <references count="2">
          <reference field="0" count="1" selected="0">
            <x v="273"/>
          </reference>
          <reference field="1" count="1">
            <x v="129"/>
          </reference>
        </references>
      </pivotArea>
    </format>
    <format dxfId="12092">
      <pivotArea dataOnly="0" labelOnly="1" outline="0" fieldPosition="0">
        <references count="2">
          <reference field="0" count="1" selected="0">
            <x v="274"/>
          </reference>
          <reference field="1" count="1">
            <x v="53"/>
          </reference>
        </references>
      </pivotArea>
    </format>
    <format dxfId="12091">
      <pivotArea dataOnly="0" labelOnly="1" outline="0" fieldPosition="0">
        <references count="2">
          <reference field="0" count="1" selected="0">
            <x v="275"/>
          </reference>
          <reference field="1" count="1">
            <x v="246"/>
          </reference>
        </references>
      </pivotArea>
    </format>
    <format dxfId="12090">
      <pivotArea dataOnly="0" labelOnly="1" outline="0" fieldPosition="0">
        <references count="2">
          <reference field="0" count="1" selected="0">
            <x v="276"/>
          </reference>
          <reference field="1" count="1">
            <x v="232"/>
          </reference>
        </references>
      </pivotArea>
    </format>
    <format dxfId="12089">
      <pivotArea dataOnly="0" labelOnly="1" outline="0" fieldPosition="0">
        <references count="2">
          <reference field="0" count="1" selected="0">
            <x v="277"/>
          </reference>
          <reference field="1" count="1">
            <x v="239"/>
          </reference>
        </references>
      </pivotArea>
    </format>
    <format dxfId="12088">
      <pivotArea dataOnly="0" labelOnly="1" outline="0" fieldPosition="0">
        <references count="2">
          <reference field="0" count="1" selected="0">
            <x v="278"/>
          </reference>
          <reference field="1" count="1">
            <x v="121"/>
          </reference>
        </references>
      </pivotArea>
    </format>
    <format dxfId="12087">
      <pivotArea dataOnly="0" labelOnly="1" outline="0" fieldPosition="0">
        <references count="2">
          <reference field="0" count="1" selected="0">
            <x v="279"/>
          </reference>
          <reference field="1" count="1">
            <x v="234"/>
          </reference>
        </references>
      </pivotArea>
    </format>
    <format dxfId="12086">
      <pivotArea dataOnly="0" labelOnly="1" outline="0" fieldPosition="0">
        <references count="2">
          <reference field="0" count="1" selected="0">
            <x v="280"/>
          </reference>
          <reference field="1" count="1">
            <x v="233"/>
          </reference>
        </references>
      </pivotArea>
    </format>
    <format dxfId="12085">
      <pivotArea dataOnly="0" labelOnly="1" outline="0" fieldPosition="0">
        <references count="2">
          <reference field="0" count="1" selected="0">
            <x v="281"/>
          </reference>
          <reference field="1" count="1">
            <x v="307"/>
          </reference>
        </references>
      </pivotArea>
    </format>
    <format dxfId="12084">
      <pivotArea dataOnly="0" labelOnly="1" outline="0" fieldPosition="0">
        <references count="2">
          <reference field="0" count="1" selected="0">
            <x v="282"/>
          </reference>
          <reference field="1" count="1">
            <x v="308"/>
          </reference>
        </references>
      </pivotArea>
    </format>
    <format dxfId="12083">
      <pivotArea dataOnly="0" labelOnly="1" outline="0" fieldPosition="0">
        <references count="2">
          <reference field="0" count="1" selected="0">
            <x v="283"/>
          </reference>
          <reference field="1" count="1">
            <x v="328"/>
          </reference>
        </references>
      </pivotArea>
    </format>
    <format dxfId="12082">
      <pivotArea dataOnly="0" labelOnly="1" outline="0" fieldPosition="0">
        <references count="2">
          <reference field="0" count="1" selected="0">
            <x v="284"/>
          </reference>
          <reference field="1" count="1">
            <x v="335"/>
          </reference>
        </references>
      </pivotArea>
    </format>
    <format dxfId="12081">
      <pivotArea dataOnly="0" labelOnly="1" outline="0" fieldPosition="0">
        <references count="2">
          <reference field="0" count="1" selected="0">
            <x v="285"/>
          </reference>
          <reference field="1" count="1">
            <x v="228"/>
          </reference>
        </references>
      </pivotArea>
    </format>
    <format dxfId="12080">
      <pivotArea dataOnly="0" labelOnly="1" outline="0" fieldPosition="0">
        <references count="2">
          <reference field="0" count="1" selected="0">
            <x v="286"/>
          </reference>
          <reference field="1" count="1">
            <x v="216"/>
          </reference>
        </references>
      </pivotArea>
    </format>
    <format dxfId="12079">
      <pivotArea dataOnly="0" labelOnly="1" outline="0" fieldPosition="0">
        <references count="2">
          <reference field="0" count="1" selected="0">
            <x v="287"/>
          </reference>
          <reference field="1" count="1">
            <x v="346"/>
          </reference>
        </references>
      </pivotArea>
    </format>
    <format dxfId="12078">
      <pivotArea dataOnly="0" labelOnly="1" outline="0" fieldPosition="0">
        <references count="2">
          <reference field="0" count="1" selected="0">
            <x v="288"/>
          </reference>
          <reference field="1" count="1">
            <x v="337"/>
          </reference>
        </references>
      </pivotArea>
    </format>
    <format dxfId="12077">
      <pivotArea dataOnly="0" labelOnly="1" outline="0" fieldPosition="0">
        <references count="2">
          <reference field="0" count="1" selected="0">
            <x v="289"/>
          </reference>
          <reference field="1" count="1">
            <x v="312"/>
          </reference>
        </references>
      </pivotArea>
    </format>
    <format dxfId="12076">
      <pivotArea dataOnly="0" labelOnly="1" outline="0" fieldPosition="0">
        <references count="2">
          <reference field="0" count="1" selected="0">
            <x v="290"/>
          </reference>
          <reference field="1" count="1">
            <x v="113"/>
          </reference>
        </references>
      </pivotArea>
    </format>
    <format dxfId="12075">
      <pivotArea dataOnly="0" labelOnly="1" outline="0" fieldPosition="0">
        <references count="2">
          <reference field="0" count="1" selected="0">
            <x v="291"/>
          </reference>
          <reference field="1" count="1">
            <x v="135"/>
          </reference>
        </references>
      </pivotArea>
    </format>
    <format dxfId="12074">
      <pivotArea dataOnly="0" labelOnly="1" outline="0" fieldPosition="0">
        <references count="2">
          <reference field="0" count="1" selected="0">
            <x v="292"/>
          </reference>
          <reference field="1" count="1">
            <x v="32"/>
          </reference>
        </references>
      </pivotArea>
    </format>
    <format dxfId="12073">
      <pivotArea dataOnly="0" labelOnly="1" outline="0" fieldPosition="0">
        <references count="2">
          <reference field="0" count="1" selected="0">
            <x v="293"/>
          </reference>
          <reference field="1" count="1">
            <x v="103"/>
          </reference>
        </references>
      </pivotArea>
    </format>
    <format dxfId="12072">
      <pivotArea dataOnly="0" labelOnly="1" outline="0" fieldPosition="0">
        <references count="2">
          <reference field="0" count="1" selected="0">
            <x v="294"/>
          </reference>
          <reference field="1" count="1">
            <x v="140"/>
          </reference>
        </references>
      </pivotArea>
    </format>
    <format dxfId="12071">
      <pivotArea dataOnly="0" labelOnly="1" outline="0" fieldPosition="0">
        <references count="2">
          <reference field="0" count="1" selected="0">
            <x v="295"/>
          </reference>
          <reference field="1" count="1">
            <x v="142"/>
          </reference>
        </references>
      </pivotArea>
    </format>
    <format dxfId="12070">
      <pivotArea dataOnly="0" labelOnly="1" outline="0" fieldPosition="0">
        <references count="2">
          <reference field="0" count="1" selected="0">
            <x v="296"/>
          </reference>
          <reference field="1" count="1">
            <x v="141"/>
          </reference>
        </references>
      </pivotArea>
    </format>
    <format dxfId="12069">
      <pivotArea dataOnly="0" labelOnly="1" outline="0" fieldPosition="0">
        <references count="2">
          <reference field="0" count="1" selected="0">
            <x v="297"/>
          </reference>
          <reference field="1" count="1">
            <x v="125"/>
          </reference>
        </references>
      </pivotArea>
    </format>
    <format dxfId="12068">
      <pivotArea dataOnly="0" labelOnly="1" outline="0" fieldPosition="0">
        <references count="2">
          <reference field="0" count="1" selected="0">
            <x v="298"/>
          </reference>
          <reference field="1" count="1">
            <x v="123"/>
          </reference>
        </references>
      </pivotArea>
    </format>
    <format dxfId="12067">
      <pivotArea dataOnly="0" labelOnly="1" outline="0" fieldPosition="0">
        <references count="2">
          <reference field="0" count="1" selected="0">
            <x v="299"/>
          </reference>
          <reference field="1" count="1">
            <x v="280"/>
          </reference>
        </references>
      </pivotArea>
    </format>
    <format dxfId="12066">
      <pivotArea dataOnly="0" labelOnly="1" outline="0" fieldPosition="0">
        <references count="2">
          <reference field="0" count="1" selected="0">
            <x v="300"/>
          </reference>
          <reference field="1" count="1">
            <x v="147"/>
          </reference>
        </references>
      </pivotArea>
    </format>
    <format dxfId="12065">
      <pivotArea dataOnly="0" labelOnly="1" outline="0" fieldPosition="0">
        <references count="2">
          <reference field="0" count="1" selected="0">
            <x v="301"/>
          </reference>
          <reference field="1" count="1">
            <x v="174"/>
          </reference>
        </references>
      </pivotArea>
    </format>
    <format dxfId="12064">
      <pivotArea dataOnly="0" labelOnly="1" outline="0" fieldPosition="0">
        <references count="2">
          <reference field="0" count="1" selected="0">
            <x v="302"/>
          </reference>
          <reference field="1" count="1">
            <x v="145"/>
          </reference>
        </references>
      </pivotArea>
    </format>
    <format dxfId="12063">
      <pivotArea dataOnly="0" labelOnly="1" outline="0" fieldPosition="0">
        <references count="2">
          <reference field="0" count="1" selected="0">
            <x v="303"/>
          </reference>
          <reference field="1" count="1">
            <x v="143"/>
          </reference>
        </references>
      </pivotArea>
    </format>
    <format dxfId="12062">
      <pivotArea dataOnly="0" labelOnly="1" outline="0" fieldPosition="0">
        <references count="2">
          <reference field="0" count="1" selected="0">
            <x v="304"/>
          </reference>
          <reference field="1" count="1">
            <x v="144"/>
          </reference>
        </references>
      </pivotArea>
    </format>
    <format dxfId="12061">
      <pivotArea dataOnly="0" labelOnly="1" outline="0" fieldPosition="0">
        <references count="2">
          <reference field="0" count="1" selected="0">
            <x v="305"/>
          </reference>
          <reference field="1" count="1">
            <x v="146"/>
          </reference>
        </references>
      </pivotArea>
    </format>
    <format dxfId="12060">
      <pivotArea dataOnly="0" labelOnly="1" outline="0" fieldPosition="0">
        <references count="2">
          <reference field="0" count="1" selected="0">
            <x v="306"/>
          </reference>
          <reference field="1" count="1">
            <x v="75"/>
          </reference>
        </references>
      </pivotArea>
    </format>
    <format dxfId="12059">
      <pivotArea dataOnly="0" labelOnly="1" outline="0" fieldPosition="0">
        <references count="2">
          <reference field="0" count="1" selected="0">
            <x v="307"/>
          </reference>
          <reference field="1" count="1">
            <x v="85"/>
          </reference>
        </references>
      </pivotArea>
    </format>
    <format dxfId="12058">
      <pivotArea dataOnly="0" labelOnly="1" outline="0" fieldPosition="0">
        <references count="2">
          <reference field="0" count="1" selected="0">
            <x v="308"/>
          </reference>
          <reference field="1" count="1">
            <x v="105"/>
          </reference>
        </references>
      </pivotArea>
    </format>
    <format dxfId="12057">
      <pivotArea dataOnly="0" labelOnly="1" outline="0" fieldPosition="0">
        <references count="2">
          <reference field="0" count="1" selected="0">
            <x v="309"/>
          </reference>
          <reference field="1" count="1">
            <x v="362"/>
          </reference>
        </references>
      </pivotArea>
    </format>
    <format dxfId="12056">
      <pivotArea dataOnly="0" labelOnly="1" outline="0" fieldPosition="0">
        <references count="2">
          <reference field="0" count="1" selected="0">
            <x v="310"/>
          </reference>
          <reference field="1" count="1">
            <x v="171"/>
          </reference>
        </references>
      </pivotArea>
    </format>
    <format dxfId="12055">
      <pivotArea dataOnly="0" labelOnly="1" outline="0" fieldPosition="0">
        <references count="2">
          <reference field="0" count="1" selected="0">
            <x v="311"/>
          </reference>
          <reference field="1" count="1">
            <x v="126"/>
          </reference>
        </references>
      </pivotArea>
    </format>
    <format dxfId="12054">
      <pivotArea dataOnly="0" labelOnly="1" outline="0" fieldPosition="0">
        <references count="2">
          <reference field="0" count="1" selected="0">
            <x v="312"/>
          </reference>
          <reference field="1" count="1">
            <x v="127"/>
          </reference>
        </references>
      </pivotArea>
    </format>
    <format dxfId="12053">
      <pivotArea dataOnly="0" labelOnly="1" outline="0" fieldPosition="0">
        <references count="2">
          <reference field="0" count="1" selected="0">
            <x v="313"/>
          </reference>
          <reference field="1" count="1">
            <x v="343"/>
          </reference>
        </references>
      </pivotArea>
    </format>
    <format dxfId="12052">
      <pivotArea dataOnly="0" labelOnly="1" outline="0" fieldPosition="0">
        <references count="2">
          <reference field="0" count="1" selected="0">
            <x v="314"/>
          </reference>
          <reference field="1" count="1">
            <x v="344"/>
          </reference>
        </references>
      </pivotArea>
    </format>
    <format dxfId="12051">
      <pivotArea dataOnly="0" labelOnly="1" outline="0" fieldPosition="0">
        <references count="2">
          <reference field="0" count="1" selected="0">
            <x v="315"/>
          </reference>
          <reference field="1" count="1">
            <x v="306"/>
          </reference>
        </references>
      </pivotArea>
    </format>
    <format dxfId="12050">
      <pivotArea dataOnly="0" labelOnly="1" outline="0" fieldPosition="0">
        <references count="2">
          <reference field="0" count="1" selected="0">
            <x v="316"/>
          </reference>
          <reference field="1" count="1">
            <x v="124"/>
          </reference>
        </references>
      </pivotArea>
    </format>
    <format dxfId="12049">
      <pivotArea dataOnly="0" labelOnly="1" outline="0" fieldPosition="0">
        <references count="2">
          <reference field="0" count="1" selected="0">
            <x v="317"/>
          </reference>
          <reference field="1" count="1">
            <x v="375"/>
          </reference>
        </references>
      </pivotArea>
    </format>
    <format dxfId="12048">
      <pivotArea dataOnly="0" labelOnly="1" outline="0" fieldPosition="0">
        <references count="2">
          <reference field="0" count="1" selected="0">
            <x v="318"/>
          </reference>
          <reference field="1" count="1">
            <x v="357"/>
          </reference>
        </references>
      </pivotArea>
    </format>
    <format dxfId="12047">
      <pivotArea dataOnly="0" labelOnly="1" outline="0" fieldPosition="0">
        <references count="2">
          <reference field="0" count="1" selected="0">
            <x v="319"/>
          </reference>
          <reference field="1" count="1">
            <x v="358"/>
          </reference>
        </references>
      </pivotArea>
    </format>
    <format dxfId="12046">
      <pivotArea dataOnly="0" labelOnly="1" outline="0" fieldPosition="0">
        <references count="2">
          <reference field="0" count="1" selected="0">
            <x v="320"/>
          </reference>
          <reference field="1" count="1">
            <x v="359"/>
          </reference>
        </references>
      </pivotArea>
    </format>
    <format dxfId="12045">
      <pivotArea dataOnly="0" labelOnly="1" outline="0" fieldPosition="0">
        <references count="2">
          <reference field="0" count="1" selected="0">
            <x v="321"/>
          </reference>
          <reference field="1" count="1">
            <x v="374"/>
          </reference>
        </references>
      </pivotArea>
    </format>
    <format dxfId="12044">
      <pivotArea dataOnly="0" labelOnly="1" outline="0" fieldPosition="0">
        <references count="2">
          <reference field="0" count="1" selected="0">
            <x v="322"/>
          </reference>
          <reference field="1" count="1">
            <x v="356"/>
          </reference>
        </references>
      </pivotArea>
    </format>
    <format dxfId="12043">
      <pivotArea dataOnly="0" labelOnly="1" outline="0" fieldPosition="0">
        <references count="2">
          <reference field="0" count="1" selected="0">
            <x v="323"/>
          </reference>
          <reference field="1" count="1">
            <x v="219"/>
          </reference>
        </references>
      </pivotArea>
    </format>
    <format dxfId="12042">
      <pivotArea dataOnly="0" labelOnly="1" outline="0" fieldPosition="0">
        <references count="2">
          <reference field="0" count="1" selected="0">
            <x v="324"/>
          </reference>
          <reference field="1" count="1">
            <x v="309"/>
          </reference>
        </references>
      </pivotArea>
    </format>
    <format dxfId="12041">
      <pivotArea dataOnly="0" labelOnly="1" outline="0" fieldPosition="0">
        <references count="2">
          <reference field="0" count="1" selected="0">
            <x v="325"/>
          </reference>
          <reference field="1" count="1">
            <x v="63"/>
          </reference>
        </references>
      </pivotArea>
    </format>
    <format dxfId="12040">
      <pivotArea dataOnly="0" labelOnly="1" outline="0" fieldPosition="0">
        <references count="2">
          <reference field="0" count="1" selected="0">
            <x v="326"/>
          </reference>
          <reference field="1" count="1">
            <x v="175"/>
          </reference>
        </references>
      </pivotArea>
    </format>
    <format dxfId="12039">
      <pivotArea dataOnly="0" labelOnly="1" outline="0" fieldPosition="0">
        <references count="2">
          <reference field="0" count="1" selected="0">
            <x v="327"/>
          </reference>
          <reference field="1" count="1">
            <x v="326"/>
          </reference>
        </references>
      </pivotArea>
    </format>
    <format dxfId="12038">
      <pivotArea dataOnly="0" labelOnly="1" outline="0" fieldPosition="0">
        <references count="2">
          <reference field="0" count="1" selected="0">
            <x v="328"/>
          </reference>
          <reference field="1" count="1">
            <x v="56"/>
          </reference>
        </references>
      </pivotArea>
    </format>
    <format dxfId="12037">
      <pivotArea dataOnly="0" labelOnly="1" outline="0" fieldPosition="0">
        <references count="2">
          <reference field="0" count="1" selected="0">
            <x v="329"/>
          </reference>
          <reference field="1" count="1">
            <x v="134"/>
          </reference>
        </references>
      </pivotArea>
    </format>
    <format dxfId="12036">
      <pivotArea dataOnly="0" labelOnly="1" outline="0" fieldPosition="0">
        <references count="2">
          <reference field="0" count="1" selected="0">
            <x v="330"/>
          </reference>
          <reference field="1" count="1">
            <x v="151"/>
          </reference>
        </references>
      </pivotArea>
    </format>
    <format dxfId="12035">
      <pivotArea dataOnly="0" labelOnly="1" outline="0" fieldPosition="0">
        <references count="2">
          <reference field="0" count="1" selected="0">
            <x v="331"/>
          </reference>
          <reference field="1" count="1">
            <x v="222"/>
          </reference>
        </references>
      </pivotArea>
    </format>
    <format dxfId="12034">
      <pivotArea dataOnly="0" labelOnly="1" outline="0" fieldPosition="0">
        <references count="2">
          <reference field="0" count="1" selected="0">
            <x v="332"/>
          </reference>
          <reference field="1" count="1">
            <x v="276"/>
          </reference>
        </references>
      </pivotArea>
    </format>
    <format dxfId="12033">
      <pivotArea dataOnly="0" labelOnly="1" outline="0" fieldPosition="0">
        <references count="2">
          <reference field="0" count="1" selected="0">
            <x v="333"/>
          </reference>
          <reference field="1" count="1">
            <x v="122"/>
          </reference>
        </references>
      </pivotArea>
    </format>
    <format dxfId="12032">
      <pivotArea dataOnly="0" labelOnly="1" outline="0" fieldPosition="0">
        <references count="2">
          <reference field="0" count="1" selected="0">
            <x v="334"/>
          </reference>
          <reference field="1" count="1">
            <x v="247"/>
          </reference>
        </references>
      </pivotArea>
    </format>
    <format dxfId="12031">
      <pivotArea dataOnly="0" labelOnly="1" outline="0" fieldPosition="0">
        <references count="2">
          <reference field="0" count="1" selected="0">
            <x v="335"/>
          </reference>
          <reference field="1" count="1">
            <x v="57"/>
          </reference>
        </references>
      </pivotArea>
    </format>
    <format dxfId="12030">
      <pivotArea dataOnly="0" labelOnly="1" outline="0" fieldPosition="0">
        <references count="2">
          <reference field="0" count="1" selected="0">
            <x v="336"/>
          </reference>
          <reference field="1" count="1">
            <x v="321"/>
          </reference>
        </references>
      </pivotArea>
    </format>
    <format dxfId="12029">
      <pivotArea dataOnly="0" labelOnly="1" outline="0" fieldPosition="0">
        <references count="2">
          <reference field="0" count="1" selected="0">
            <x v="337"/>
          </reference>
          <reference field="1" count="1">
            <x v="149"/>
          </reference>
        </references>
      </pivotArea>
    </format>
    <format dxfId="12028">
      <pivotArea dataOnly="0" labelOnly="1" outline="0" fieldPosition="0">
        <references count="2">
          <reference field="0" count="1" selected="0">
            <x v="338"/>
          </reference>
          <reference field="1" count="1">
            <x v="93"/>
          </reference>
        </references>
      </pivotArea>
    </format>
    <format dxfId="12027">
      <pivotArea dataOnly="0" labelOnly="1" outline="0" fieldPosition="0">
        <references count="2">
          <reference field="0" count="1" selected="0">
            <x v="339"/>
          </reference>
          <reference field="1" count="1">
            <x v="130"/>
          </reference>
        </references>
      </pivotArea>
    </format>
    <format dxfId="12026">
      <pivotArea dataOnly="0" labelOnly="1" outline="0" fieldPosition="0">
        <references count="2">
          <reference field="0" count="1" selected="0">
            <x v="340"/>
          </reference>
          <reference field="1" count="1">
            <x v="324"/>
          </reference>
        </references>
      </pivotArea>
    </format>
    <format dxfId="12025">
      <pivotArea dataOnly="0" labelOnly="1" outline="0" fieldPosition="0">
        <references count="2">
          <reference field="0" count="1" selected="0">
            <x v="341"/>
          </reference>
          <reference field="1" count="1">
            <x v="322"/>
          </reference>
        </references>
      </pivotArea>
    </format>
    <format dxfId="12024">
      <pivotArea dataOnly="0" labelOnly="1" outline="0" fieldPosition="0">
        <references count="2">
          <reference field="0" count="1" selected="0">
            <x v="342"/>
          </reference>
          <reference field="1" count="1">
            <x v="323"/>
          </reference>
        </references>
      </pivotArea>
    </format>
    <format dxfId="12023">
      <pivotArea dataOnly="0" labelOnly="1" outline="0" fieldPosition="0">
        <references count="2">
          <reference field="0" count="1" selected="0">
            <x v="343"/>
          </reference>
          <reference field="1" count="1">
            <x v="254"/>
          </reference>
        </references>
      </pivotArea>
    </format>
    <format dxfId="12022">
      <pivotArea dataOnly="0" labelOnly="1" outline="0" fieldPosition="0">
        <references count="2">
          <reference field="0" count="1" selected="0">
            <x v="344"/>
          </reference>
          <reference field="1" count="1">
            <x v="320"/>
          </reference>
        </references>
      </pivotArea>
    </format>
    <format dxfId="12021">
      <pivotArea dataOnly="0" labelOnly="1" outline="0" fieldPosition="0">
        <references count="2">
          <reference field="0" count="1" selected="0">
            <x v="345"/>
          </reference>
          <reference field="1" count="1">
            <x v="277"/>
          </reference>
        </references>
      </pivotArea>
    </format>
    <format dxfId="12020">
      <pivotArea dataOnly="0" labelOnly="1" outline="0" fieldPosition="0">
        <references count="2">
          <reference field="0" count="1" selected="0">
            <x v="346"/>
          </reference>
          <reference field="1" count="1">
            <x v="214"/>
          </reference>
        </references>
      </pivotArea>
    </format>
    <format dxfId="12019">
      <pivotArea dataOnly="0" labelOnly="1" outline="0" fieldPosition="0">
        <references count="2">
          <reference field="0" count="1" selected="0">
            <x v="347"/>
          </reference>
          <reference field="1" count="1">
            <x v="345"/>
          </reference>
        </references>
      </pivotArea>
    </format>
    <format dxfId="12018">
      <pivotArea dataOnly="0" labelOnly="1" outline="0" fieldPosition="0">
        <references count="2">
          <reference field="0" count="1" selected="0">
            <x v="348"/>
          </reference>
          <reference field="1" count="1">
            <x v="263"/>
          </reference>
        </references>
      </pivotArea>
    </format>
    <format dxfId="12017">
      <pivotArea dataOnly="0" labelOnly="1" outline="0" fieldPosition="0">
        <references count="2">
          <reference field="0" count="1" selected="0">
            <x v="349"/>
          </reference>
          <reference field="1" count="1">
            <x v="236"/>
          </reference>
        </references>
      </pivotArea>
    </format>
    <format dxfId="12016">
      <pivotArea dataOnly="0" labelOnly="1" outline="0" fieldPosition="0">
        <references count="2">
          <reference field="0" count="1" selected="0">
            <x v="350"/>
          </reference>
          <reference field="1" count="1">
            <x v="240"/>
          </reference>
        </references>
      </pivotArea>
    </format>
    <format dxfId="12015">
      <pivotArea dataOnly="0" labelOnly="1" outline="0" fieldPosition="0">
        <references count="2">
          <reference field="0" count="1" selected="0">
            <x v="351"/>
          </reference>
          <reference field="1" count="1">
            <x v="268"/>
          </reference>
        </references>
      </pivotArea>
    </format>
    <format dxfId="12014">
      <pivotArea dataOnly="0" labelOnly="1" outline="0" fieldPosition="0">
        <references count="2">
          <reference field="0" count="1" selected="0">
            <x v="352"/>
          </reference>
          <reference field="1" count="1">
            <x v="377"/>
          </reference>
        </references>
      </pivotArea>
    </format>
    <format dxfId="12013">
      <pivotArea dataOnly="0" labelOnly="1" outline="0" fieldPosition="0">
        <references count="2">
          <reference field="0" count="1" selected="0">
            <x v="353"/>
          </reference>
          <reference field="1" count="1">
            <x v="67"/>
          </reference>
        </references>
      </pivotArea>
    </format>
    <format dxfId="12012">
      <pivotArea dataOnly="0" labelOnly="1" outline="0" fieldPosition="0">
        <references count="2">
          <reference field="0" count="1" selected="0">
            <x v="354"/>
          </reference>
          <reference field="1" count="1">
            <x v="120"/>
          </reference>
        </references>
      </pivotArea>
    </format>
    <format dxfId="12011">
      <pivotArea dataOnly="0" labelOnly="1" outline="0" fieldPosition="0">
        <references count="2">
          <reference field="0" count="1" selected="0">
            <x v="355"/>
          </reference>
          <reference field="1" count="1">
            <x v="170"/>
          </reference>
        </references>
      </pivotArea>
    </format>
    <format dxfId="12010">
      <pivotArea dataOnly="0" labelOnly="1" outline="0" fieldPosition="0">
        <references count="2">
          <reference field="0" count="1" selected="0">
            <x v="356"/>
          </reference>
          <reference field="1" count="1">
            <x v="255"/>
          </reference>
        </references>
      </pivotArea>
    </format>
    <format dxfId="12009">
      <pivotArea dataOnly="0" labelOnly="1" outline="0" fieldPosition="0">
        <references count="2">
          <reference field="0" count="1" selected="0">
            <x v="357"/>
          </reference>
          <reference field="1" count="1">
            <x v="49"/>
          </reference>
        </references>
      </pivotArea>
    </format>
    <format dxfId="12008">
      <pivotArea dataOnly="0" labelOnly="1" outline="0" fieldPosition="0">
        <references count="2">
          <reference field="0" count="1" selected="0">
            <x v="358"/>
          </reference>
          <reference field="1" count="1">
            <x v="376"/>
          </reference>
        </references>
      </pivotArea>
    </format>
    <format dxfId="12007">
      <pivotArea dataOnly="0" labelOnly="1" outline="0" fieldPosition="0">
        <references count="2">
          <reference field="0" count="1" selected="0">
            <x v="359"/>
          </reference>
          <reference field="1" count="1">
            <x v="11"/>
          </reference>
        </references>
      </pivotArea>
    </format>
    <format dxfId="12006">
      <pivotArea dataOnly="0" labelOnly="1" outline="0" fieldPosition="0">
        <references count="2">
          <reference field="0" count="1" selected="0">
            <x v="360"/>
          </reference>
          <reference field="1" count="1">
            <x v="368"/>
          </reference>
        </references>
      </pivotArea>
    </format>
    <format dxfId="12005">
      <pivotArea dataOnly="0" labelOnly="1" outline="0" fieldPosition="0">
        <references count="2">
          <reference field="0" count="1" selected="0">
            <x v="361"/>
          </reference>
          <reference field="1" count="1">
            <x v="367"/>
          </reference>
        </references>
      </pivotArea>
    </format>
    <format dxfId="12004">
      <pivotArea dataOnly="0" labelOnly="1" outline="0" fieldPosition="0">
        <references count="2">
          <reference field="0" count="1" selected="0">
            <x v="362"/>
          </reference>
          <reference field="1" count="1">
            <x v="338"/>
          </reference>
        </references>
      </pivotArea>
    </format>
    <format dxfId="12003">
      <pivotArea dataOnly="0" labelOnly="1" outline="0" fieldPosition="0">
        <references count="2">
          <reference field="0" count="1" selected="0">
            <x v="363"/>
          </reference>
          <reference field="1" count="1">
            <x v="65"/>
          </reference>
        </references>
      </pivotArea>
    </format>
    <format dxfId="12002">
      <pivotArea dataOnly="0" labelOnly="1" outline="0" fieldPosition="0">
        <references count="2">
          <reference field="0" count="1" selected="0">
            <x v="364"/>
          </reference>
          <reference field="1" count="1">
            <x v="15"/>
          </reference>
        </references>
      </pivotArea>
    </format>
    <format dxfId="12001">
      <pivotArea dataOnly="0" labelOnly="1" outline="0" fieldPosition="0">
        <references count="2">
          <reference field="0" count="1" selected="0">
            <x v="365"/>
          </reference>
          <reference field="1" count="1">
            <x v="235"/>
          </reference>
        </references>
      </pivotArea>
    </format>
    <format dxfId="12000">
      <pivotArea dataOnly="0" labelOnly="1" outline="0" fieldPosition="0">
        <references count="2">
          <reference field="0" count="1" selected="0">
            <x v="366"/>
          </reference>
          <reference field="1" count="1">
            <x v="13"/>
          </reference>
        </references>
      </pivotArea>
    </format>
    <format dxfId="11999">
      <pivotArea dataOnly="0" labelOnly="1" outline="0" fieldPosition="0">
        <references count="2">
          <reference field="0" count="1" selected="0">
            <x v="367"/>
          </reference>
          <reference field="1" count="1">
            <x v="20"/>
          </reference>
        </references>
      </pivotArea>
    </format>
    <format dxfId="11998">
      <pivotArea dataOnly="0" labelOnly="1" outline="0" fieldPosition="0">
        <references count="2">
          <reference field="0" count="1" selected="0">
            <x v="368"/>
          </reference>
          <reference field="1" count="1">
            <x v="12"/>
          </reference>
        </references>
      </pivotArea>
    </format>
    <format dxfId="11997">
      <pivotArea dataOnly="0" labelOnly="1" outline="0" fieldPosition="0">
        <references count="2">
          <reference field="0" count="1" selected="0">
            <x v="369"/>
          </reference>
          <reference field="1" count="1">
            <x v="109"/>
          </reference>
        </references>
      </pivotArea>
    </format>
    <format dxfId="11996">
      <pivotArea dataOnly="0" labelOnly="1" outline="0" fieldPosition="0">
        <references count="2">
          <reference field="0" count="1" selected="0">
            <x v="370"/>
          </reference>
          <reference field="1" count="1">
            <x v="112"/>
          </reference>
        </references>
      </pivotArea>
    </format>
    <format dxfId="11995">
      <pivotArea dataOnly="0" labelOnly="1" outline="0" fieldPosition="0">
        <references count="2">
          <reference field="0" count="1" selected="0">
            <x v="371"/>
          </reference>
          <reference field="1" count="1">
            <x v="19"/>
          </reference>
        </references>
      </pivotArea>
    </format>
    <format dxfId="11994">
      <pivotArea dataOnly="0" labelOnly="1" outline="0" fieldPosition="0">
        <references count="2">
          <reference field="0" count="1" selected="0">
            <x v="372"/>
          </reference>
          <reference field="1" count="1">
            <x v="111"/>
          </reference>
        </references>
      </pivotArea>
    </format>
    <format dxfId="11993">
      <pivotArea dataOnly="0" labelOnly="1" outline="0" fieldPosition="0">
        <references count="2">
          <reference field="0" count="1" selected="0">
            <x v="373"/>
          </reference>
          <reference field="1" count="1">
            <x v="17"/>
          </reference>
        </references>
      </pivotArea>
    </format>
    <format dxfId="11992">
      <pivotArea dataOnly="0" labelOnly="1" outline="0" fieldPosition="0">
        <references count="2">
          <reference field="0" count="1" selected="0">
            <x v="374"/>
          </reference>
          <reference field="1" count="1">
            <x v="18"/>
          </reference>
        </references>
      </pivotArea>
    </format>
    <format dxfId="11991">
      <pivotArea dataOnly="0" labelOnly="1" outline="0" fieldPosition="0">
        <references count="2">
          <reference field="0" count="1" selected="0">
            <x v="375"/>
          </reference>
          <reference field="1" count="1">
            <x v="16"/>
          </reference>
        </references>
      </pivotArea>
    </format>
    <format dxfId="11990">
      <pivotArea dataOnly="0" labelOnly="1" outline="0" fieldPosition="0">
        <references count="2">
          <reference field="0" count="1" selected="0">
            <x v="376"/>
          </reference>
          <reference field="1" count="1">
            <x v="110"/>
          </reference>
        </references>
      </pivotArea>
    </format>
    <format dxfId="11989">
      <pivotArea dataOnly="0" labelOnly="1" outline="0" fieldPosition="0">
        <references count="2">
          <reference field="0" count="1" selected="0">
            <x v="377"/>
          </reference>
          <reference field="1" count="1">
            <x v="14"/>
          </reference>
        </references>
      </pivotArea>
    </format>
    <format dxfId="11988">
      <pivotArea dataOnly="0" labelOnly="1" outline="0" fieldPosition="0">
        <references count="2">
          <reference field="0" count="1" selected="0">
            <x v="378"/>
          </reference>
          <reference field="1" count="1">
            <x v="97"/>
          </reference>
        </references>
      </pivotArea>
    </format>
    <format dxfId="11987">
      <pivotArea dataOnly="0" labelOnly="1" outline="0" fieldPosition="0">
        <references count="2">
          <reference field="0" count="1" selected="0">
            <x v="379"/>
          </reference>
          <reference field="1" count="1">
            <x v="78"/>
          </reference>
        </references>
      </pivotArea>
    </format>
    <format dxfId="11986">
      <pivotArea dataOnly="0" labelOnly="1" outline="0" fieldPosition="0">
        <references count="2">
          <reference field="0" count="1" selected="0">
            <x v="380"/>
          </reference>
          <reference field="1" count="1">
            <x v="76"/>
          </reference>
        </references>
      </pivotArea>
    </format>
    <format dxfId="11985">
      <pivotArea dataOnly="0" labelOnly="1" outline="0" fieldPosition="0">
        <references count="2">
          <reference field="0" count="1" selected="0">
            <x v="381"/>
          </reference>
          <reference field="1" count="1">
            <x v="77"/>
          </reference>
        </references>
      </pivotArea>
    </format>
    <format dxfId="11984">
      <pivotArea dataOnly="0" labelOnly="1" outline="0" fieldPosition="0">
        <references count="2">
          <reference field="0" count="1" selected="0">
            <x v="382"/>
          </reference>
          <reference field="1" count="1">
            <x v="383"/>
          </reference>
        </references>
      </pivotArea>
    </format>
    <format dxfId="11983">
      <pivotArea dataOnly="0" labelOnly="1" outline="0" fieldPosition="0">
        <references count="3">
          <reference field="0" count="1" selected="0">
            <x v="0"/>
          </reference>
          <reference field="1" count="1" selected="0">
            <x v="50"/>
          </reference>
          <reference field="2" count="1">
            <x v="110"/>
          </reference>
        </references>
      </pivotArea>
    </format>
    <format dxfId="11982">
      <pivotArea dataOnly="0" labelOnly="1" outline="0" fieldPosition="0">
        <references count="3">
          <reference field="0" count="1" selected="0">
            <x v="1"/>
          </reference>
          <reference field="1" count="1" selected="0">
            <x v="0"/>
          </reference>
          <reference field="2" count="1">
            <x v="355"/>
          </reference>
        </references>
      </pivotArea>
    </format>
    <format dxfId="11981">
      <pivotArea dataOnly="0" labelOnly="1" outline="0" fieldPosition="0">
        <references count="3">
          <reference field="0" count="1" selected="0">
            <x v="2"/>
          </reference>
          <reference field="1" count="1" selected="0">
            <x v="52"/>
          </reference>
          <reference field="2" count="1">
            <x v="113"/>
          </reference>
        </references>
      </pivotArea>
    </format>
    <format dxfId="11980">
      <pivotArea dataOnly="0" labelOnly="1" outline="0" fieldPosition="0">
        <references count="3">
          <reference field="0" count="1" selected="0">
            <x v="3"/>
          </reference>
          <reference field="1" count="1" selected="0">
            <x v="51"/>
          </reference>
          <reference field="2" count="1">
            <x v="114"/>
          </reference>
        </references>
      </pivotArea>
    </format>
    <format dxfId="11979">
      <pivotArea dataOnly="0" labelOnly="1" outline="0" fieldPosition="0">
        <references count="3">
          <reference field="0" count="1" selected="0">
            <x v="4"/>
          </reference>
          <reference field="1" count="1" selected="0">
            <x v="310"/>
          </reference>
          <reference field="2" count="1">
            <x v="0"/>
          </reference>
        </references>
      </pivotArea>
    </format>
    <format dxfId="11978">
      <pivotArea dataOnly="0" labelOnly="1" outline="0" fieldPosition="0">
        <references count="3">
          <reference field="0" count="1" selected="0">
            <x v="5"/>
          </reference>
          <reference field="1" count="1" selected="0">
            <x v="296"/>
          </reference>
          <reference field="2" count="1">
            <x v="291"/>
          </reference>
        </references>
      </pivotArea>
    </format>
    <format dxfId="11977">
      <pivotArea dataOnly="0" labelOnly="1" outline="0" fieldPosition="0">
        <references count="3">
          <reference field="0" count="1" selected="0">
            <x v="6"/>
          </reference>
          <reference field="1" count="1" selected="0">
            <x v="102"/>
          </reference>
          <reference field="2" count="1">
            <x v="354"/>
          </reference>
        </references>
      </pivotArea>
    </format>
    <format dxfId="11976">
      <pivotArea dataOnly="0" labelOnly="1" outline="0" fieldPosition="0">
        <references count="3">
          <reference field="0" count="1" selected="0">
            <x v="7"/>
          </reference>
          <reference field="1" count="1" selected="0">
            <x v="380"/>
          </reference>
          <reference field="2" count="1">
            <x v="339"/>
          </reference>
        </references>
      </pivotArea>
    </format>
    <format dxfId="11975">
      <pivotArea dataOnly="0" labelOnly="1" outline="0" fieldPosition="0">
        <references count="3">
          <reference field="0" count="1" selected="0">
            <x v="8"/>
          </reference>
          <reference field="1" count="1" selected="0">
            <x v="148"/>
          </reference>
          <reference field="2" count="1">
            <x v="355"/>
          </reference>
        </references>
      </pivotArea>
    </format>
    <format dxfId="11974">
      <pivotArea dataOnly="0" labelOnly="1" outline="0" fieldPosition="0">
        <references count="3">
          <reference field="0" count="1" selected="0">
            <x v="9"/>
          </reference>
          <reference field="1" count="1" selected="0">
            <x v="152"/>
          </reference>
          <reference field="2" count="1">
            <x v="187"/>
          </reference>
        </references>
      </pivotArea>
    </format>
    <format dxfId="11973">
      <pivotArea dataOnly="0" labelOnly="1" outline="0" fieldPosition="0">
        <references count="3">
          <reference field="0" count="1" selected="0">
            <x v="10"/>
          </reference>
          <reference field="1" count="1" selected="0">
            <x v="366"/>
          </reference>
          <reference field="2" count="1">
            <x v="329"/>
          </reference>
        </references>
      </pivotArea>
    </format>
    <format dxfId="11972">
      <pivotArea dataOnly="0" labelOnly="1" outline="0" fieldPosition="0">
        <references count="3">
          <reference field="0" count="1" selected="0">
            <x v="11"/>
          </reference>
          <reference field="1" count="1" selected="0">
            <x v="104"/>
          </reference>
          <reference field="2" count="1">
            <x v="154"/>
          </reference>
        </references>
      </pivotArea>
    </format>
    <format dxfId="11971">
      <pivotArea dataOnly="0" labelOnly="1" outline="0" fieldPosition="0">
        <references count="3">
          <reference field="0" count="1" selected="0">
            <x v="12"/>
          </reference>
          <reference field="1" count="1" selected="0">
            <x v="354"/>
          </reference>
          <reference field="2" count="1">
            <x v="326"/>
          </reference>
        </references>
      </pivotArea>
    </format>
    <format dxfId="11970">
      <pivotArea dataOnly="0" labelOnly="1" outline="0" fieldPosition="0">
        <references count="3">
          <reference field="0" count="1" selected="0">
            <x v="13"/>
          </reference>
          <reference field="1" count="1" selected="0">
            <x v="64"/>
          </reference>
          <reference field="2" count="1">
            <x v="125"/>
          </reference>
        </references>
      </pivotArea>
    </format>
    <format dxfId="11969">
      <pivotArea dataOnly="0" labelOnly="1" outline="0" fieldPosition="0">
        <references count="3">
          <reference field="0" count="1" selected="0">
            <x v="14"/>
          </reference>
          <reference field="1" count="1" selected="0">
            <x v="138"/>
          </reference>
          <reference field="2" count="1">
            <x v="25"/>
          </reference>
        </references>
      </pivotArea>
    </format>
    <format dxfId="11968">
      <pivotArea dataOnly="0" labelOnly="1" outline="0" fieldPosition="0">
        <references count="3">
          <reference field="0" count="1" selected="0">
            <x v="15"/>
          </reference>
          <reference field="1" count="1" selected="0">
            <x v="241"/>
          </reference>
          <reference field="2" count="1">
            <x v="242"/>
          </reference>
        </references>
      </pivotArea>
    </format>
    <format dxfId="11967">
      <pivotArea dataOnly="0" labelOnly="1" outline="0" fieldPosition="0">
        <references count="3">
          <reference field="0" count="1" selected="0">
            <x v="16"/>
          </reference>
          <reference field="1" count="1" selected="0">
            <x v="61"/>
          </reference>
          <reference field="2" count="1">
            <x v="117"/>
          </reference>
        </references>
      </pivotArea>
    </format>
    <format dxfId="11966">
      <pivotArea dataOnly="0" labelOnly="1" outline="0" fieldPosition="0">
        <references count="3">
          <reference field="0" count="1" selected="0">
            <x v="17"/>
          </reference>
          <reference field="1" count="1" selected="0">
            <x v="31"/>
          </reference>
          <reference field="2" count="1">
            <x v="172"/>
          </reference>
        </references>
      </pivotArea>
    </format>
    <format dxfId="11965">
      <pivotArea dataOnly="0" labelOnly="1" outline="0" fieldPosition="0">
        <references count="3">
          <reference field="0" count="1" selected="0">
            <x v="18"/>
          </reference>
          <reference field="1" count="1" selected="0">
            <x v="128"/>
          </reference>
          <reference field="2" count="1">
            <x v="173"/>
          </reference>
        </references>
      </pivotArea>
    </format>
    <format dxfId="11964">
      <pivotArea dataOnly="0" labelOnly="1" outline="0" fieldPosition="0">
        <references count="3">
          <reference field="0" count="1" selected="0">
            <x v="19"/>
          </reference>
          <reference field="1" count="1" selected="0">
            <x v="115"/>
          </reference>
          <reference field="2" count="1">
            <x v="164"/>
          </reference>
        </references>
      </pivotArea>
    </format>
    <format dxfId="11963">
      <pivotArea dataOnly="0" labelOnly="1" outline="0" fieldPosition="0">
        <references count="3">
          <reference field="0" count="1" selected="0">
            <x v="20"/>
          </reference>
          <reference field="1" count="1" selected="0">
            <x v="223"/>
          </reference>
          <reference field="2" count="1">
            <x v="240"/>
          </reference>
        </references>
      </pivotArea>
    </format>
    <format dxfId="11962">
      <pivotArea dataOnly="0" labelOnly="1" outline="0" fieldPosition="0">
        <references count="3">
          <reference field="0" count="1" selected="0">
            <x v="21"/>
          </reference>
          <reference field="1" count="1" selected="0">
            <x v="342"/>
          </reference>
          <reference field="2" count="1">
            <x v="318"/>
          </reference>
        </references>
      </pivotArea>
    </format>
    <format dxfId="11961">
      <pivotArea dataOnly="0" labelOnly="1" outline="0" fieldPosition="0">
        <references count="3">
          <reference field="0" count="1" selected="0">
            <x v="22"/>
          </reference>
          <reference field="1" count="1" selected="0">
            <x v="313"/>
          </reference>
          <reference field="2" count="1">
            <x v="289"/>
          </reference>
        </references>
      </pivotArea>
    </format>
    <format dxfId="11960">
      <pivotArea dataOnly="0" labelOnly="1" outline="0" fieldPosition="0">
        <references count="3">
          <reference field="0" count="1" selected="0">
            <x v="23"/>
          </reference>
          <reference field="1" count="1" selected="0">
            <x v="34"/>
          </reference>
          <reference field="2" count="1">
            <x v="21"/>
          </reference>
        </references>
      </pivotArea>
    </format>
    <format dxfId="11959">
      <pivotArea dataOnly="0" labelOnly="1" outline="0" fieldPosition="0">
        <references count="3">
          <reference field="0" count="1" selected="0">
            <x v="24"/>
          </reference>
          <reference field="1" count="1" selected="0">
            <x v="35"/>
          </reference>
          <reference field="2" count="1">
            <x v="95"/>
          </reference>
        </references>
      </pivotArea>
    </format>
    <format dxfId="11958">
      <pivotArea dataOnly="0" labelOnly="1" outline="0" fieldPosition="0">
        <references count="3">
          <reference field="0" count="1" selected="0">
            <x v="25"/>
          </reference>
          <reference field="1" count="1" selected="0">
            <x v="36"/>
          </reference>
          <reference field="2" count="1">
            <x v="96"/>
          </reference>
        </references>
      </pivotArea>
    </format>
    <format dxfId="11957">
      <pivotArea dataOnly="0" labelOnly="1" outline="0" fieldPosition="0">
        <references count="3">
          <reference field="0" count="1" selected="0">
            <x v="26"/>
          </reference>
          <reference field="1" count="1" selected="0">
            <x v="248"/>
          </reference>
          <reference field="2" count="1">
            <x v="340"/>
          </reference>
        </references>
      </pivotArea>
    </format>
    <format dxfId="11956">
      <pivotArea dataOnly="0" labelOnly="1" outline="0" fieldPosition="0">
        <references count="3">
          <reference field="0" count="1" selected="0">
            <x v="27"/>
          </reference>
          <reference field="1" count="1" selected="0">
            <x v="3"/>
          </reference>
          <reference field="2" count="1">
            <x v="50"/>
          </reference>
        </references>
      </pivotArea>
    </format>
    <format dxfId="11955">
      <pivotArea dataOnly="0" labelOnly="1" outline="0" fieldPosition="0">
        <references count="3">
          <reference field="0" count="1" selected="0">
            <x v="28"/>
          </reference>
          <reference field="1" count="1" selected="0">
            <x v="260"/>
          </reference>
          <reference field="2" count="1">
            <x v="264"/>
          </reference>
        </references>
      </pivotArea>
    </format>
    <format dxfId="11954">
      <pivotArea dataOnly="0" labelOnly="1" outline="0" fieldPosition="0">
        <references count="3">
          <reference field="0" count="1" selected="0">
            <x v="29"/>
          </reference>
          <reference field="1" count="1" selected="0">
            <x v="237"/>
          </reference>
          <reference field="2" count="1">
            <x v="237"/>
          </reference>
        </references>
      </pivotArea>
    </format>
    <format dxfId="11953">
      <pivotArea dataOnly="0" labelOnly="1" outline="0" fieldPosition="0">
        <references count="3">
          <reference field="0" count="1" selected="0">
            <x v="30"/>
          </reference>
          <reference field="1" count="1" selected="0">
            <x v="327"/>
          </reference>
          <reference field="2" count="1">
            <x v="313"/>
          </reference>
        </references>
      </pivotArea>
    </format>
    <format dxfId="11952">
      <pivotArea dataOnly="0" labelOnly="1" outline="0" fieldPosition="0">
        <references count="3">
          <reference field="0" count="1" selected="0">
            <x v="31"/>
          </reference>
          <reference field="1" count="1" selected="0">
            <x v="59"/>
          </reference>
          <reference field="2" count="1">
            <x v="9"/>
          </reference>
        </references>
      </pivotArea>
    </format>
    <format dxfId="11951">
      <pivotArea dataOnly="0" labelOnly="1" outline="0" fieldPosition="0">
        <references count="3">
          <reference field="0" count="1" selected="0">
            <x v="32"/>
          </reference>
          <reference field="1" count="1" selected="0">
            <x v="10"/>
          </reference>
          <reference field="2" count="1">
            <x v="66"/>
          </reference>
        </references>
      </pivotArea>
    </format>
    <format dxfId="11950">
      <pivotArea dataOnly="0" labelOnly="1" outline="0" fieldPosition="0">
        <references count="3">
          <reference field="0" count="1" selected="0">
            <x v="33"/>
          </reference>
          <reference field="1" count="1" selected="0">
            <x v="116"/>
          </reference>
          <reference field="2" count="1">
            <x v="28"/>
          </reference>
        </references>
      </pivotArea>
    </format>
    <format dxfId="11949">
      <pivotArea dataOnly="0" labelOnly="1" outline="0" fieldPosition="0">
        <references count="3">
          <reference field="0" count="1" selected="0">
            <x v="34"/>
          </reference>
          <reference field="1" count="1" selected="0">
            <x v="86"/>
          </reference>
          <reference field="2" count="1">
            <x v="140"/>
          </reference>
        </references>
      </pivotArea>
    </format>
    <format dxfId="11948">
      <pivotArea dataOnly="0" labelOnly="1" outline="0" fieldPosition="0">
        <references count="3">
          <reference field="0" count="1" selected="0">
            <x v="35"/>
          </reference>
          <reference field="1" count="1" selected="0">
            <x v="7"/>
          </reference>
          <reference field="2" count="1">
            <x v="60"/>
          </reference>
        </references>
      </pivotArea>
    </format>
    <format dxfId="11947">
      <pivotArea dataOnly="0" labelOnly="1" outline="0" fieldPosition="0">
        <references count="3">
          <reference field="0" count="1" selected="0">
            <x v="36"/>
          </reference>
          <reference field="1" count="1" selected="0">
            <x v="8"/>
          </reference>
          <reference field="2" count="1">
            <x v="65"/>
          </reference>
        </references>
      </pivotArea>
    </format>
    <format dxfId="11946">
      <pivotArea dataOnly="0" labelOnly="1" outline="0" fieldPosition="0">
        <references count="3">
          <reference field="0" count="1" selected="0">
            <x v="37"/>
          </reference>
          <reference field="1" count="1" selected="0">
            <x v="101"/>
          </reference>
          <reference field="2" count="1">
            <x v="121"/>
          </reference>
        </references>
      </pivotArea>
    </format>
    <format dxfId="11945">
      <pivotArea dataOnly="0" labelOnly="1" outline="0" fieldPosition="0">
        <references count="3">
          <reference field="0" count="1" selected="0">
            <x v="38"/>
          </reference>
          <reference field="1" count="1" selected="0">
            <x v="281"/>
          </reference>
          <reference field="2" count="1">
            <x v="276"/>
          </reference>
        </references>
      </pivotArea>
    </format>
    <format dxfId="11944">
      <pivotArea dataOnly="0" labelOnly="1" outline="0" fieldPosition="0">
        <references count="3">
          <reference field="0" count="1" selected="0">
            <x v="39"/>
          </reference>
          <reference field="1" count="1" selected="0">
            <x v="284"/>
          </reference>
          <reference field="2" count="1">
            <x v="288"/>
          </reference>
        </references>
      </pivotArea>
    </format>
    <format dxfId="11943">
      <pivotArea dataOnly="0" labelOnly="1" outline="0" fieldPosition="0">
        <references count="3">
          <reference field="0" count="1" selected="0">
            <x v="40"/>
          </reference>
          <reference field="1" count="1" selected="0">
            <x v="364"/>
          </reference>
          <reference field="2" count="1">
            <x v="5"/>
          </reference>
        </references>
      </pivotArea>
    </format>
    <format dxfId="11942">
      <pivotArea dataOnly="0" labelOnly="1" outline="0" fieldPosition="0">
        <references count="3">
          <reference field="0" count="1" selected="0">
            <x v="41"/>
          </reference>
          <reference field="1" count="1" selected="0">
            <x v="251"/>
          </reference>
          <reference field="2" count="1">
            <x v="224"/>
          </reference>
        </references>
      </pivotArea>
    </format>
    <format dxfId="11941">
      <pivotArea dataOnly="0" labelOnly="1" outline="0" fieldPosition="0">
        <references count="3">
          <reference field="0" count="1" selected="0">
            <x v="42"/>
          </reference>
          <reference field="1" count="1" selected="0">
            <x v="161"/>
          </reference>
          <reference field="2" count="1">
            <x v="191"/>
          </reference>
        </references>
      </pivotArea>
    </format>
    <format dxfId="11940">
      <pivotArea dataOnly="0" labelOnly="1" outline="0" fieldPosition="0">
        <references count="3">
          <reference field="0" count="1" selected="0">
            <x v="43"/>
          </reference>
          <reference field="1" count="1" selected="0">
            <x v="160"/>
          </reference>
          <reference field="2" count="1">
            <x v="192"/>
          </reference>
        </references>
      </pivotArea>
    </format>
    <format dxfId="11939">
      <pivotArea dataOnly="0" labelOnly="1" outline="0" fieldPosition="0">
        <references count="3">
          <reference field="0" count="1" selected="0">
            <x v="44"/>
          </reference>
          <reference field="1" count="1" selected="0">
            <x v="162"/>
          </reference>
          <reference field="2" count="1">
            <x v="190"/>
          </reference>
        </references>
      </pivotArea>
    </format>
    <format dxfId="11938">
      <pivotArea dataOnly="0" labelOnly="1" outline="0" fieldPosition="0">
        <references count="3">
          <reference field="0" count="1" selected="0">
            <x v="45"/>
          </reference>
          <reference field="1" count="1" selected="0">
            <x v="159"/>
          </reference>
          <reference field="2" count="1">
            <x v="189"/>
          </reference>
        </references>
      </pivotArea>
    </format>
    <format dxfId="11937">
      <pivotArea dataOnly="0" labelOnly="1" outline="0" fieldPosition="0">
        <references count="3">
          <reference field="0" count="1" selected="0">
            <x v="46"/>
          </reference>
          <reference field="1" count="1" selected="0">
            <x v="2"/>
          </reference>
          <reference field="2" count="1">
            <x v="352"/>
          </reference>
        </references>
      </pivotArea>
    </format>
    <format dxfId="11936">
      <pivotArea dataOnly="0" labelOnly="1" outline="0" fieldPosition="0">
        <references count="3">
          <reference field="0" count="1" selected="0">
            <x v="47"/>
          </reference>
          <reference field="1" count="1" selected="0">
            <x v="329"/>
          </reference>
          <reference field="2" count="1">
            <x v="3"/>
          </reference>
        </references>
      </pivotArea>
    </format>
    <format dxfId="11935">
      <pivotArea dataOnly="0" labelOnly="1" outline="0" fieldPosition="0">
        <references count="3">
          <reference field="0" count="1" selected="0">
            <x v="48"/>
          </reference>
          <reference field="1" count="1" selected="0">
            <x v="95"/>
          </reference>
          <reference field="2" count="1">
            <x v="157"/>
          </reference>
        </references>
      </pivotArea>
    </format>
    <format dxfId="11934">
      <pivotArea dataOnly="0" labelOnly="1" outline="0" fieldPosition="0">
        <references count="3">
          <reference field="0" count="1" selected="0">
            <x v="49"/>
          </reference>
          <reference field="1" count="1" selected="0">
            <x v="99"/>
          </reference>
          <reference field="2" count="1">
            <x v="158"/>
          </reference>
        </references>
      </pivotArea>
    </format>
    <format dxfId="11933">
      <pivotArea dataOnly="0" labelOnly="1" outline="0" fieldPosition="0">
        <references count="3">
          <reference field="0" count="1" selected="0">
            <x v="50"/>
          </reference>
          <reference field="1" count="1" selected="0">
            <x v="98"/>
          </reference>
          <reference field="2" count="1">
            <x v="159"/>
          </reference>
        </references>
      </pivotArea>
    </format>
    <format dxfId="11932">
      <pivotArea dataOnly="0" labelOnly="1" outline="0" fieldPosition="0">
        <references count="3">
          <reference field="0" count="1" selected="0">
            <x v="51"/>
          </reference>
          <reference field="1" count="1" selected="0">
            <x v="96"/>
          </reference>
          <reference field="2" count="1">
            <x v="160"/>
          </reference>
        </references>
      </pivotArea>
    </format>
    <format dxfId="11931">
      <pivotArea dataOnly="0" labelOnly="1" outline="0" fieldPosition="0">
        <references count="3">
          <reference field="0" count="1" selected="0">
            <x v="52"/>
          </reference>
          <reference field="1" count="1" selected="0">
            <x v="100"/>
          </reference>
          <reference field="2" count="1">
            <x v="161"/>
          </reference>
        </references>
      </pivotArea>
    </format>
    <format dxfId="11930">
      <pivotArea dataOnly="0" labelOnly="1" outline="0" fieldPosition="0">
        <references count="3">
          <reference field="0" count="1" selected="0">
            <x v="53"/>
          </reference>
          <reference field="1" count="1" selected="0">
            <x v="299"/>
          </reference>
          <reference field="2" count="1">
            <x v="151"/>
          </reference>
        </references>
      </pivotArea>
    </format>
    <format dxfId="11929">
      <pivotArea dataOnly="0" labelOnly="1" outline="0" fieldPosition="0">
        <references count="3">
          <reference field="0" count="1" selected="0">
            <x v="54"/>
          </reference>
          <reference field="1" count="1" selected="0">
            <x v="275"/>
          </reference>
          <reference field="2" count="1">
            <x v="27"/>
          </reference>
        </references>
      </pivotArea>
    </format>
    <format dxfId="11928">
      <pivotArea dataOnly="0" labelOnly="1" outline="0" fieldPosition="0">
        <references count="3">
          <reference field="0" count="1" selected="0">
            <x v="55"/>
          </reference>
          <reference field="1" count="1" selected="0">
            <x v="33"/>
          </reference>
          <reference field="2" count="1">
            <x v="11"/>
          </reference>
        </references>
      </pivotArea>
    </format>
    <format dxfId="11927">
      <pivotArea dataOnly="0" labelOnly="1" outline="0" fieldPosition="0">
        <references count="3">
          <reference field="0" count="1" selected="0">
            <x v="56"/>
          </reference>
          <reference field="1" count="1" selected="0">
            <x v="28"/>
          </reference>
          <reference field="2" count="1">
            <x v="38"/>
          </reference>
        </references>
      </pivotArea>
    </format>
    <format dxfId="11926">
      <pivotArea dataOnly="0" labelOnly="1" outline="0" fieldPosition="0">
        <references count="3">
          <reference field="0" count="1" selected="0">
            <x v="57"/>
          </reference>
          <reference field="1" count="1" selected="0">
            <x v="29"/>
          </reference>
          <reference field="2" count="1">
            <x v="2"/>
          </reference>
        </references>
      </pivotArea>
    </format>
    <format dxfId="11925">
      <pivotArea dataOnly="0" labelOnly="1" outline="0" fieldPosition="0">
        <references count="3">
          <reference field="0" count="1" selected="0">
            <x v="58"/>
          </reference>
          <reference field="1" count="1" selected="0">
            <x v="197"/>
          </reference>
          <reference field="2" count="1">
            <x v="228"/>
          </reference>
        </references>
      </pivotArea>
    </format>
    <format dxfId="11924">
      <pivotArea dataOnly="0" labelOnly="1" outline="0" fieldPosition="0">
        <references count="3">
          <reference field="0" count="1" selected="0">
            <x v="59"/>
          </reference>
          <reference field="1" count="1" selected="0">
            <x v="156"/>
          </reference>
          <reference field="2" count="1">
            <x v="135"/>
          </reference>
        </references>
      </pivotArea>
    </format>
    <format dxfId="11923">
      <pivotArea dataOnly="0" labelOnly="1" outline="0" fieldPosition="0">
        <references count="3">
          <reference field="0" count="1" selected="0">
            <x v="60"/>
          </reference>
          <reference field="1" count="1" selected="0">
            <x v="348"/>
          </reference>
          <reference field="2" count="1">
            <x v="328"/>
          </reference>
        </references>
      </pivotArea>
    </format>
    <format dxfId="11922">
      <pivotArea dataOnly="0" labelOnly="1" outline="0" fieldPosition="0">
        <references count="3">
          <reference field="0" count="1" selected="0">
            <x v="61"/>
          </reference>
          <reference field="1" count="1" selected="0">
            <x v="295"/>
          </reference>
          <reference field="2" count="1">
            <x v="278"/>
          </reference>
        </references>
      </pivotArea>
    </format>
    <format dxfId="11921">
      <pivotArea dataOnly="0" labelOnly="1" outline="0" fieldPosition="0">
        <references count="3">
          <reference field="0" count="1" selected="0">
            <x v="62"/>
          </reference>
          <reference field="1" count="1" selected="0">
            <x v="352"/>
          </reference>
          <reference field="2" count="1">
            <x v="59"/>
          </reference>
        </references>
      </pivotArea>
    </format>
    <format dxfId="11920">
      <pivotArea dataOnly="0" labelOnly="1" outline="0" fieldPosition="0">
        <references count="3">
          <reference field="0" count="1" selected="0">
            <x v="63"/>
          </reference>
          <reference field="1" count="1" selected="0">
            <x v="289"/>
          </reference>
          <reference field="2" count="1">
            <x v="280"/>
          </reference>
        </references>
      </pivotArea>
    </format>
    <format dxfId="11919">
      <pivotArea dataOnly="0" labelOnly="1" outline="0" fieldPosition="0">
        <references count="3">
          <reference field="0" count="1" selected="0">
            <x v="64"/>
          </reference>
          <reference field="1" count="1" selected="0">
            <x v="347"/>
          </reference>
          <reference field="2" count="1">
            <x v="320"/>
          </reference>
        </references>
      </pivotArea>
    </format>
    <format dxfId="11918">
      <pivotArea dataOnly="0" labelOnly="1" outline="0" fieldPosition="0">
        <references count="3">
          <reference field="0" count="1" selected="0">
            <x v="65"/>
          </reference>
          <reference field="1" count="1" selected="0">
            <x v="286"/>
          </reference>
          <reference field="2" count="1">
            <x v="284"/>
          </reference>
        </references>
      </pivotArea>
    </format>
    <format dxfId="11917">
      <pivotArea dataOnly="0" labelOnly="1" outline="0" fieldPosition="0">
        <references count="3">
          <reference field="0" count="1" selected="0">
            <x v="66"/>
          </reference>
          <reference field="1" count="1" selected="0">
            <x v="287"/>
          </reference>
          <reference field="2" count="1">
            <x v="285"/>
          </reference>
        </references>
      </pivotArea>
    </format>
    <format dxfId="11916">
      <pivotArea dataOnly="0" labelOnly="1" outline="0" fieldPosition="0">
        <references count="3">
          <reference field="0" count="1" selected="0">
            <x v="67"/>
          </reference>
          <reference field="1" count="1" selected="0">
            <x v="294"/>
          </reference>
          <reference field="2" count="1">
            <x v="282"/>
          </reference>
        </references>
      </pivotArea>
    </format>
    <format dxfId="11915">
      <pivotArea dataOnly="0" labelOnly="1" outline="0" fieldPosition="0">
        <references count="3">
          <reference field="0" count="1" selected="0">
            <x v="68"/>
          </reference>
          <reference field="1" count="1" selected="0">
            <x v="353"/>
          </reference>
          <reference field="2" count="1">
            <x v="72"/>
          </reference>
        </references>
      </pivotArea>
    </format>
    <format dxfId="11914">
      <pivotArea dataOnly="0" labelOnly="1" outline="0" fieldPosition="0">
        <references count="3">
          <reference field="0" count="1" selected="0">
            <x v="69"/>
          </reference>
          <reference field="1" count="1" selected="0">
            <x v="350"/>
          </reference>
          <reference field="2" count="1">
            <x v="321"/>
          </reference>
        </references>
      </pivotArea>
    </format>
    <format dxfId="11913">
      <pivotArea dataOnly="0" labelOnly="1" outline="0" fieldPosition="0">
        <references count="3">
          <reference field="0" count="1" selected="0">
            <x v="70"/>
          </reference>
          <reference field="1" count="1" selected="0">
            <x v="288"/>
          </reference>
          <reference field="2" count="1">
            <x v="286"/>
          </reference>
        </references>
      </pivotArea>
    </format>
    <format dxfId="11912">
      <pivotArea dataOnly="0" labelOnly="1" outline="0" fieldPosition="0">
        <references count="3">
          <reference field="0" count="1" selected="0">
            <x v="71"/>
          </reference>
          <reference field="1" count="1" selected="0">
            <x v="290"/>
          </reference>
          <reference field="2" count="1">
            <x v="256"/>
          </reference>
        </references>
      </pivotArea>
    </format>
    <format dxfId="11911">
      <pivotArea dataOnly="0" labelOnly="1" outline="0" fieldPosition="0">
        <references count="3">
          <reference field="0" count="1" selected="0">
            <x v="72"/>
          </reference>
          <reference field="1" count="1" selected="0">
            <x v="292"/>
          </reference>
          <reference field="2" count="1">
            <x v="283"/>
          </reference>
        </references>
      </pivotArea>
    </format>
    <format dxfId="11910">
      <pivotArea dataOnly="0" labelOnly="1" outline="0" fieldPosition="0">
        <references count="3">
          <reference field="0" count="1" selected="0">
            <x v="73"/>
          </reference>
          <reference field="1" count="1" selected="0">
            <x v="349"/>
          </reference>
          <reference field="2" count="1">
            <x v="327"/>
          </reference>
        </references>
      </pivotArea>
    </format>
    <format dxfId="11909">
      <pivotArea dataOnly="0" labelOnly="1" outline="0" fieldPosition="0">
        <references count="3">
          <reference field="0" count="1" selected="0">
            <x v="74"/>
          </reference>
          <reference field="1" count="1" selected="0">
            <x v="293"/>
          </reference>
          <reference field="2" count="1">
            <x v="281"/>
          </reference>
        </references>
      </pivotArea>
    </format>
    <format dxfId="11908">
      <pivotArea dataOnly="0" labelOnly="1" outline="0" fieldPosition="0">
        <references count="3">
          <reference field="0" count="1" selected="0">
            <x v="75"/>
          </reference>
          <reference field="1" count="1" selected="0">
            <x v="291"/>
          </reference>
          <reference field="2" count="1">
            <x v="279"/>
          </reference>
        </references>
      </pivotArea>
    </format>
    <format dxfId="11907">
      <pivotArea dataOnly="0" labelOnly="1" outline="0" fieldPosition="0">
        <references count="3">
          <reference field="0" count="1" selected="0">
            <x v="76"/>
          </reference>
          <reference field="1" count="1" selected="0">
            <x v="269"/>
          </reference>
          <reference field="2" count="1">
            <x v="8"/>
          </reference>
        </references>
      </pivotArea>
    </format>
    <format dxfId="11906">
      <pivotArea dataOnly="0" labelOnly="1" outline="0" fieldPosition="0">
        <references count="3">
          <reference field="0" count="1" selected="0">
            <x v="77"/>
          </reference>
          <reference field="1" count="1" selected="0">
            <x v="373"/>
          </reference>
          <reference field="2" count="1">
            <x v="24"/>
          </reference>
        </references>
      </pivotArea>
    </format>
    <format dxfId="11905">
      <pivotArea dataOnly="0" labelOnly="1" outline="0" fieldPosition="0">
        <references count="3">
          <reference field="0" count="1" selected="0">
            <x v="78"/>
          </reference>
          <reference field="1" count="1" selected="0">
            <x v="317"/>
          </reference>
          <reference field="2" count="1">
            <x v="306"/>
          </reference>
        </references>
      </pivotArea>
    </format>
    <format dxfId="11904">
      <pivotArea dataOnly="0" labelOnly="1" outline="0" fieldPosition="0">
        <references count="3">
          <reference field="0" count="1" selected="0">
            <x v="79"/>
          </reference>
          <reference field="1" count="1" selected="0">
            <x v="210"/>
          </reference>
          <reference field="2" count="1">
            <x v="120"/>
          </reference>
        </references>
      </pivotArea>
    </format>
    <format dxfId="11903">
      <pivotArea dataOnly="0" labelOnly="1" outline="0" fieldPosition="0">
        <references count="3">
          <reference field="0" count="1" selected="0">
            <x v="80"/>
          </reference>
          <reference field="1" count="1" selected="0">
            <x v="273"/>
          </reference>
          <reference field="2" count="1">
            <x v="266"/>
          </reference>
        </references>
      </pivotArea>
    </format>
    <format dxfId="11902">
      <pivotArea dataOnly="0" labelOnly="1" outline="0" fieldPosition="0">
        <references count="3">
          <reference field="0" count="1" selected="0">
            <x v="81"/>
          </reference>
          <reference field="1" count="1" selected="0">
            <x v="215"/>
          </reference>
          <reference field="2" count="1">
            <x v="68"/>
          </reference>
        </references>
      </pivotArea>
    </format>
    <format dxfId="11901">
      <pivotArea dataOnly="0" labelOnly="1" outline="0" fieldPosition="0">
        <references count="3">
          <reference field="0" count="1" selected="0">
            <x v="82"/>
          </reference>
          <reference field="1" count="1" selected="0">
            <x v="60"/>
          </reference>
          <reference field="2" count="1">
            <x v="343"/>
          </reference>
        </references>
      </pivotArea>
    </format>
    <format dxfId="11900">
      <pivotArea dataOnly="0" labelOnly="1" outline="0" fieldPosition="0">
        <references count="3">
          <reference field="0" count="1" selected="0">
            <x v="83"/>
          </reference>
          <reference field="1" count="1" selected="0">
            <x v="155"/>
          </reference>
          <reference field="2" count="1">
            <x v="44"/>
          </reference>
        </references>
      </pivotArea>
    </format>
    <format dxfId="11899">
      <pivotArea dataOnly="0" labelOnly="1" outline="0" fieldPosition="0">
        <references count="3">
          <reference field="0" count="1" selected="0">
            <x v="84"/>
          </reference>
          <reference field="1" count="1" selected="0">
            <x v="331"/>
          </reference>
          <reference field="2" count="1">
            <x v="309"/>
          </reference>
        </references>
      </pivotArea>
    </format>
    <format dxfId="11898">
      <pivotArea dataOnly="0" labelOnly="1" outline="0" fieldPosition="0">
        <references count="3">
          <reference field="0" count="1" selected="0">
            <x v="85"/>
          </reference>
          <reference field="1" count="1" selected="0">
            <x v="132"/>
          </reference>
          <reference field="2" count="1">
            <x v="48"/>
          </reference>
        </references>
      </pivotArea>
    </format>
    <format dxfId="11897">
      <pivotArea dataOnly="0" labelOnly="1" outline="0" fieldPosition="0">
        <references count="3">
          <reference field="0" count="1" selected="0">
            <x v="86"/>
          </reference>
          <reference field="1" count="1" selected="0">
            <x v="370"/>
          </reference>
          <reference field="2" count="1">
            <x v="63"/>
          </reference>
        </references>
      </pivotArea>
    </format>
    <format dxfId="11896">
      <pivotArea dataOnly="0" labelOnly="1" outline="0" fieldPosition="0">
        <references count="3">
          <reference field="0" count="1" selected="0">
            <x v="87"/>
          </reference>
          <reference field="1" count="1" selected="0">
            <x v="88"/>
          </reference>
          <reference field="2" count="1">
            <x v="142"/>
          </reference>
        </references>
      </pivotArea>
    </format>
    <format dxfId="11895">
      <pivotArea dataOnly="0" labelOnly="1" outline="0" fieldPosition="0">
        <references count="3">
          <reference field="0" count="1" selected="0">
            <x v="88"/>
          </reference>
          <reference field="1" count="1" selected="0">
            <x v="249"/>
          </reference>
          <reference field="2" count="1">
            <x v="255"/>
          </reference>
        </references>
      </pivotArea>
    </format>
    <format dxfId="11894">
      <pivotArea dataOnly="0" labelOnly="1" outline="0" fieldPosition="0">
        <references count="3">
          <reference field="0" count="1" selected="0">
            <x v="89"/>
          </reference>
          <reference field="1" count="1" selected="0">
            <x v="167"/>
          </reference>
          <reference field="2" count="1">
            <x v="16"/>
          </reference>
        </references>
      </pivotArea>
    </format>
    <format dxfId="11893">
      <pivotArea dataOnly="0" labelOnly="1" outline="0" fieldPosition="0">
        <references count="3">
          <reference field="0" count="1" selected="0">
            <x v="90"/>
          </reference>
          <reference field="1" count="1" selected="0">
            <x v="298"/>
          </reference>
          <reference field="2" count="1">
            <x v="74"/>
          </reference>
        </references>
      </pivotArea>
    </format>
    <format dxfId="11892">
      <pivotArea dataOnly="0" labelOnly="1" outline="0" fieldPosition="0">
        <references count="3">
          <reference field="0" count="1" selected="0">
            <x v="91"/>
          </reference>
          <reference field="1" count="1" selected="0">
            <x v="271"/>
          </reference>
          <reference field="2" count="1">
            <x v="257"/>
          </reference>
        </references>
      </pivotArea>
    </format>
    <format dxfId="11891">
      <pivotArea dataOnly="0" labelOnly="1" outline="0" fieldPosition="0">
        <references count="3">
          <reference field="0" count="1" selected="0">
            <x v="92"/>
          </reference>
          <reference field="1" count="1" selected="0">
            <x v="272"/>
          </reference>
          <reference field="2" count="1">
            <x v="258"/>
          </reference>
        </references>
      </pivotArea>
    </format>
    <format dxfId="11890">
      <pivotArea dataOnly="0" labelOnly="1" outline="0" fieldPosition="0">
        <references count="3">
          <reference field="0" count="1" selected="0">
            <x v="93"/>
          </reference>
          <reference field="1" count="1" selected="0">
            <x v="106"/>
          </reference>
          <reference field="2" count="1">
            <x v="147"/>
          </reference>
        </references>
      </pivotArea>
    </format>
    <format dxfId="11889">
      <pivotArea dataOnly="0" labelOnly="1" outline="0" fieldPosition="0">
        <references count="3">
          <reference field="0" count="1" selected="0">
            <x v="94"/>
          </reference>
          <reference field="1" count="1" selected="0">
            <x v="304"/>
          </reference>
          <reference field="2" count="1">
            <x v="299"/>
          </reference>
        </references>
      </pivotArea>
    </format>
    <format dxfId="11888">
      <pivotArea dataOnly="0" labelOnly="1" outline="0" fieldPosition="0">
        <references count="3">
          <reference field="0" count="1" selected="0">
            <x v="95"/>
          </reference>
          <reference field="1" count="1" selected="0">
            <x v="81"/>
          </reference>
          <reference field="2" count="1">
            <x v="73"/>
          </reference>
        </references>
      </pivotArea>
    </format>
    <format dxfId="11887">
      <pivotArea dataOnly="0" labelOnly="1" outline="0" fieldPosition="0">
        <references count="3">
          <reference field="0" count="1" selected="0">
            <x v="96"/>
          </reference>
          <reference field="1" count="1" selected="0">
            <x v="84"/>
          </reference>
          <reference field="2" count="1">
            <x v="139"/>
          </reference>
        </references>
      </pivotArea>
    </format>
    <format dxfId="11886">
      <pivotArea dataOnly="0" labelOnly="1" outline="0" fieldPosition="0">
        <references count="3">
          <reference field="0" count="1" selected="0">
            <x v="97"/>
          </reference>
          <reference field="1" count="1" selected="0">
            <x v="168"/>
          </reference>
          <reference field="2" count="1">
            <x v="54"/>
          </reference>
        </references>
      </pivotArea>
    </format>
    <format dxfId="11885">
      <pivotArea dataOnly="0" labelOnly="1" outline="0" fieldPosition="0">
        <references count="3">
          <reference field="0" count="1" selected="0">
            <x v="98"/>
          </reference>
          <reference field="1" count="1" selected="0">
            <x v="187"/>
          </reference>
          <reference field="2" count="1">
            <x v="206"/>
          </reference>
        </references>
      </pivotArea>
    </format>
    <format dxfId="11884">
      <pivotArea dataOnly="0" labelOnly="1" outline="0" fieldPosition="0">
        <references count="3">
          <reference field="0" count="1" selected="0">
            <x v="99"/>
          </reference>
          <reference field="1" count="1" selected="0">
            <x v="177"/>
          </reference>
          <reference field="2" count="1">
            <x v="207"/>
          </reference>
        </references>
      </pivotArea>
    </format>
    <format dxfId="11883">
      <pivotArea dataOnly="0" labelOnly="1" outline="0" fieldPosition="0">
        <references count="3">
          <reference field="0" count="1" selected="0">
            <x v="100"/>
          </reference>
          <reference field="1" count="1" selected="0">
            <x v="89"/>
          </reference>
          <reference field="2" count="1">
            <x v="143"/>
          </reference>
        </references>
      </pivotArea>
    </format>
    <format dxfId="11882">
      <pivotArea dataOnly="0" labelOnly="1" outline="0" fieldPosition="0">
        <references count="3">
          <reference field="0" count="1" selected="0">
            <x v="101"/>
          </reference>
          <reference field="1" count="1" selected="0">
            <x v="94"/>
          </reference>
          <reference field="2" count="1">
            <x v="355"/>
          </reference>
        </references>
      </pivotArea>
    </format>
    <format dxfId="11881">
      <pivotArea dataOnly="0" labelOnly="1" outline="0" fieldPosition="0">
        <references count="3">
          <reference field="0" count="1" selected="0">
            <x v="102"/>
          </reference>
          <reference field="1" count="1" selected="0">
            <x v="173"/>
          </reference>
          <reference field="2" count="1">
            <x v="127"/>
          </reference>
        </references>
      </pivotArea>
    </format>
    <format dxfId="11880">
      <pivotArea dataOnly="0" labelOnly="1" outline="0" fieldPosition="0">
        <references count="3">
          <reference field="0" count="1" selected="0">
            <x v="103"/>
          </reference>
          <reference field="1" count="1" selected="0">
            <x v="82"/>
          </reference>
          <reference field="2" count="1">
            <x v="138"/>
          </reference>
        </references>
      </pivotArea>
    </format>
    <format dxfId="11879">
      <pivotArea dataOnly="0" labelOnly="1" outline="0" fieldPosition="0">
        <references count="3">
          <reference field="0" count="1" selected="0">
            <x v="104"/>
          </reference>
          <reference field="1" count="1" selected="0">
            <x v="83"/>
          </reference>
          <reference field="2" count="1">
            <x v="137"/>
          </reference>
        </references>
      </pivotArea>
    </format>
    <format dxfId="11878">
      <pivotArea dataOnly="0" labelOnly="1" outline="0" fieldPosition="0">
        <references count="3">
          <reference field="0" count="1" selected="0">
            <x v="105"/>
          </reference>
          <reference field="1" count="1" selected="0">
            <x v="189"/>
          </reference>
          <reference field="2" count="1">
            <x v="205"/>
          </reference>
        </references>
      </pivotArea>
    </format>
    <format dxfId="11877">
      <pivotArea dataOnly="0" labelOnly="1" outline="0" fieldPosition="0">
        <references count="3">
          <reference field="0" count="1" selected="0">
            <x v="106"/>
          </reference>
          <reference field="1" count="1" selected="0">
            <x v="330"/>
          </reference>
          <reference field="2" count="1">
            <x v="310"/>
          </reference>
        </references>
      </pivotArea>
    </format>
    <format dxfId="11876">
      <pivotArea dataOnly="0" labelOnly="1" outline="0" fieldPosition="0">
        <references count="3">
          <reference field="0" count="1" selected="0">
            <x v="107"/>
          </reference>
          <reference field="1" count="1" selected="0">
            <x v="176"/>
          </reference>
          <reference field="2" count="1">
            <x v="217"/>
          </reference>
        </references>
      </pivotArea>
    </format>
    <format dxfId="11875">
      <pivotArea dataOnly="0" labelOnly="1" outline="0" fieldPosition="0">
        <references count="3">
          <reference field="0" count="1" selected="0">
            <x v="108"/>
          </reference>
          <reference field="1" count="1" selected="0">
            <x v="238"/>
          </reference>
          <reference field="2" count="1">
            <x v="145"/>
          </reference>
        </references>
      </pivotArea>
    </format>
    <format dxfId="11874">
      <pivotArea dataOnly="0" labelOnly="1" outline="0" fieldPosition="0">
        <references count="3">
          <reference field="0" count="1" selected="0">
            <x v="109"/>
          </reference>
          <reference field="1" count="1" selected="0">
            <x v="181"/>
          </reference>
          <reference field="2" count="1">
            <x v="213"/>
          </reference>
        </references>
      </pivotArea>
    </format>
    <format dxfId="11873">
      <pivotArea dataOnly="0" labelOnly="1" outline="0" fieldPosition="0">
        <references count="3">
          <reference field="0" count="1" selected="0">
            <x v="110"/>
          </reference>
          <reference field="1" count="1" selected="0">
            <x v="180"/>
          </reference>
          <reference field="2" count="1">
            <x v="214"/>
          </reference>
        </references>
      </pivotArea>
    </format>
    <format dxfId="11872">
      <pivotArea dataOnly="0" labelOnly="1" outline="0" fieldPosition="0">
        <references count="3">
          <reference field="0" count="1" selected="0">
            <x v="111"/>
          </reference>
          <reference field="1" count="1" selected="0">
            <x v="191"/>
          </reference>
          <reference field="2" count="1">
            <x v="202"/>
          </reference>
        </references>
      </pivotArea>
    </format>
    <format dxfId="11871">
      <pivotArea dataOnly="0" labelOnly="1" outline="0" fieldPosition="0">
        <references count="3">
          <reference field="0" count="1" selected="0">
            <x v="112"/>
          </reference>
          <reference field="1" count="1" selected="0">
            <x v="185"/>
          </reference>
          <reference field="2" count="1">
            <x v="209"/>
          </reference>
        </references>
      </pivotArea>
    </format>
    <format dxfId="11870">
      <pivotArea dataOnly="0" labelOnly="1" outline="0" fieldPosition="0">
        <references count="3">
          <reference field="0" count="1" selected="0">
            <x v="113"/>
          </reference>
          <reference field="1" count="1" selected="0">
            <x v="184"/>
          </reference>
          <reference field="2" count="1">
            <x v="210"/>
          </reference>
        </references>
      </pivotArea>
    </format>
    <format dxfId="11869">
      <pivotArea dataOnly="0" labelOnly="1" outline="0" fieldPosition="0">
        <references count="3">
          <reference field="0" count="1" selected="0">
            <x v="114"/>
          </reference>
          <reference field="1" count="1" selected="0">
            <x v="182"/>
          </reference>
          <reference field="2" count="1">
            <x v="212"/>
          </reference>
        </references>
      </pivotArea>
    </format>
    <format dxfId="11868">
      <pivotArea dataOnly="0" labelOnly="1" outline="0" fieldPosition="0">
        <references count="3">
          <reference field="0" count="1" selected="0">
            <x v="115"/>
          </reference>
          <reference field="1" count="1" selected="0">
            <x v="186"/>
          </reference>
          <reference field="2" count="1">
            <x v="208"/>
          </reference>
        </references>
      </pivotArea>
    </format>
    <format dxfId="11867">
      <pivotArea dataOnly="0" labelOnly="1" outline="0" fieldPosition="0">
        <references count="3">
          <reference field="0" count="1" selected="0">
            <x v="116"/>
          </reference>
          <reference field="1" count="1" selected="0">
            <x v="183"/>
          </reference>
          <reference field="2" count="1">
            <x v="211"/>
          </reference>
        </references>
      </pivotArea>
    </format>
    <format dxfId="11866">
      <pivotArea dataOnly="0" labelOnly="1" outline="0" fieldPosition="0">
        <references count="3">
          <reference field="0" count="1" selected="0">
            <x v="117"/>
          </reference>
          <reference field="1" count="1" selected="0">
            <x v="179"/>
          </reference>
          <reference field="2" count="1">
            <x v="215"/>
          </reference>
        </references>
      </pivotArea>
    </format>
    <format dxfId="11865">
      <pivotArea dataOnly="0" labelOnly="1" outline="0" fieldPosition="0">
        <references count="3">
          <reference field="0" count="1" selected="0">
            <x v="118"/>
          </reference>
          <reference field="1" count="1" selected="0">
            <x v="190"/>
          </reference>
          <reference field="2" count="1">
            <x v="204"/>
          </reference>
        </references>
      </pivotArea>
    </format>
    <format dxfId="11864">
      <pivotArea dataOnly="0" labelOnly="1" outline="0" fieldPosition="0">
        <references count="3">
          <reference field="0" count="1" selected="0">
            <x v="119"/>
          </reference>
          <reference field="1" count="1" selected="0">
            <x v="178"/>
          </reference>
          <reference field="2" count="1">
            <x v="216"/>
          </reference>
        </references>
      </pivotArea>
    </format>
    <format dxfId="11863">
      <pivotArea dataOnly="0" labelOnly="1" outline="0" fieldPosition="0">
        <references count="3">
          <reference field="0" count="1" selected="0">
            <x v="120"/>
          </reference>
          <reference field="1" count="1" selected="0">
            <x v="188"/>
          </reference>
          <reference field="2" count="1">
            <x v="203"/>
          </reference>
        </references>
      </pivotArea>
    </format>
    <format dxfId="11862">
      <pivotArea dataOnly="0" labelOnly="1" outline="0" fieldPosition="0">
        <references count="3">
          <reference field="0" count="1" selected="0">
            <x v="121"/>
          </reference>
          <reference field="1" count="1" selected="0">
            <x v="195"/>
          </reference>
          <reference field="2" count="1">
            <x v="221"/>
          </reference>
        </references>
      </pivotArea>
    </format>
    <format dxfId="11861">
      <pivotArea dataOnly="0" labelOnly="1" outline="0" fieldPosition="0">
        <references count="3">
          <reference field="0" count="1" selected="0">
            <x v="122"/>
          </reference>
          <reference field="1" count="1" selected="0">
            <x v="193"/>
          </reference>
          <reference field="2" count="1">
            <x v="220"/>
          </reference>
        </references>
      </pivotArea>
    </format>
    <format dxfId="11860">
      <pivotArea dataOnly="0" labelOnly="1" outline="0" fieldPosition="0">
        <references count="3">
          <reference field="0" count="1" selected="0">
            <x v="123"/>
          </reference>
          <reference field="1" count="1" selected="0">
            <x v="220"/>
          </reference>
          <reference field="2" count="1">
            <x v="84"/>
          </reference>
        </references>
      </pivotArea>
    </format>
    <format dxfId="11859">
      <pivotArea dataOnly="0" labelOnly="1" outline="0" fieldPosition="0">
        <references count="3">
          <reference field="0" count="1" selected="0">
            <x v="124"/>
          </reference>
          <reference field="1" count="1" selected="0">
            <x v="117"/>
          </reference>
          <reference field="2" count="1">
            <x v="34"/>
          </reference>
        </references>
      </pivotArea>
    </format>
    <format dxfId="11858">
      <pivotArea dataOnly="0" labelOnly="1" outline="0" fieldPosition="0">
        <references count="3">
          <reference field="0" count="1" selected="0">
            <x v="125"/>
          </reference>
          <reference field="1" count="1" selected="0">
            <x v="119"/>
          </reference>
          <reference field="2" count="1">
            <x v="33"/>
          </reference>
        </references>
      </pivotArea>
    </format>
    <format dxfId="11857">
      <pivotArea dataOnly="0" labelOnly="1" outline="0" fieldPosition="0">
        <references count="3">
          <reference field="0" count="1" selected="0">
            <x v="126"/>
          </reference>
          <reference field="1" count="1" selected="0">
            <x v="62"/>
          </reference>
          <reference field="2" count="1">
            <x v="35"/>
          </reference>
        </references>
      </pivotArea>
    </format>
    <format dxfId="11856">
      <pivotArea dataOnly="0" labelOnly="1" outline="0" fieldPosition="0">
        <references count="3">
          <reference field="0" count="1" selected="0">
            <x v="127"/>
          </reference>
          <reference field="1" count="1" selected="0">
            <x v="360"/>
          </reference>
          <reference field="2" count="1">
            <x v="315"/>
          </reference>
        </references>
      </pivotArea>
    </format>
    <format dxfId="11855">
      <pivotArea dataOnly="0" labelOnly="1" outline="0" fieldPosition="0">
        <references count="3">
          <reference field="0" count="1" selected="0">
            <x v="128"/>
          </reference>
          <reference field="1" count="1" selected="0">
            <x v="136"/>
          </reference>
          <reference field="2" count="1">
            <x v="150"/>
          </reference>
        </references>
      </pivotArea>
    </format>
    <format dxfId="11854">
      <pivotArea dataOnly="0" labelOnly="1" outline="0" fieldPosition="0">
        <references count="3">
          <reference field="0" count="1" selected="0">
            <x v="129"/>
          </reference>
          <reference field="1" count="1" selected="0">
            <x v="274"/>
          </reference>
          <reference field="2" count="1">
            <x v="67"/>
          </reference>
        </references>
      </pivotArea>
    </format>
    <format dxfId="11853">
      <pivotArea dataOnly="0" labelOnly="1" outline="0" fieldPosition="0">
        <references count="3">
          <reference field="0" count="1" selected="0">
            <x v="130"/>
          </reference>
          <reference field="1" count="1" selected="0">
            <x v="355"/>
          </reference>
          <reference field="2" count="1">
            <x v="330"/>
          </reference>
        </references>
      </pivotArea>
    </format>
    <format dxfId="11852">
      <pivotArea dataOnly="0" labelOnly="1" outline="0" fieldPosition="0">
        <references count="3">
          <reference field="0" count="1" selected="0">
            <x v="131"/>
          </reference>
          <reference field="1" count="1" selected="0">
            <x v="157"/>
          </reference>
          <reference field="2" count="1">
            <x v="6"/>
          </reference>
        </references>
      </pivotArea>
    </format>
    <format dxfId="11851">
      <pivotArea dataOnly="0" labelOnly="1" outline="0" fieldPosition="0">
        <references count="3">
          <reference field="0" count="1" selected="0">
            <x v="132"/>
          </reference>
          <reference field="1" count="1" selected="0">
            <x v="133"/>
          </reference>
          <reference field="2" count="1">
            <x v="174"/>
          </reference>
        </references>
      </pivotArea>
    </format>
    <format dxfId="11850">
      <pivotArea dataOnly="0" labelOnly="1" outline="0" fieldPosition="0">
        <references count="3">
          <reference field="0" count="1" selected="0">
            <x v="133"/>
          </reference>
          <reference field="1" count="1" selected="0">
            <x v="1"/>
          </reference>
          <reference field="2" count="1">
            <x v="341"/>
          </reference>
        </references>
      </pivotArea>
    </format>
    <format dxfId="11849">
      <pivotArea dataOnly="0" labelOnly="1" outline="0" fieldPosition="0">
        <references count="3">
          <reference field="0" count="1" selected="0">
            <x v="134"/>
          </reference>
          <reference field="1" count="1" selected="0">
            <x v="225"/>
          </reference>
          <reference field="2" count="1">
            <x v="10"/>
          </reference>
        </references>
      </pivotArea>
    </format>
    <format dxfId="11848">
      <pivotArea dataOnly="0" labelOnly="1" outline="0" fieldPosition="0">
        <references count="3">
          <reference field="0" count="1" selected="0">
            <x v="135"/>
          </reference>
          <reference field="1" count="1" selected="0">
            <x v="58"/>
          </reference>
          <reference field="2" count="1">
            <x v="116"/>
          </reference>
        </references>
      </pivotArea>
    </format>
    <format dxfId="11847">
      <pivotArea dataOnly="0" labelOnly="1" outline="0" fieldPosition="0">
        <references count="3">
          <reference field="0" count="1" selected="0">
            <x v="136"/>
          </reference>
          <reference field="1" count="1" selected="0">
            <x v="163"/>
          </reference>
          <reference field="2" count="1">
            <x v="98"/>
          </reference>
        </references>
      </pivotArea>
    </format>
    <format dxfId="11846">
      <pivotArea dataOnly="0" labelOnly="1" outline="0" fieldPosition="0">
        <references count="3">
          <reference field="0" count="1" selected="0">
            <x v="137"/>
          </reference>
          <reference field="1" count="1" selected="0">
            <x v="139"/>
          </reference>
          <reference field="2" count="1">
            <x v="118"/>
          </reference>
        </references>
      </pivotArea>
    </format>
    <format dxfId="11845">
      <pivotArea dataOnly="0" labelOnly="1" outline="0" fieldPosition="0">
        <references count="3">
          <reference field="0" count="1" selected="0">
            <x v="138"/>
          </reference>
          <reference field="1" count="1" selected="0">
            <x v="381"/>
          </reference>
          <reference field="2" count="1">
            <x v="269"/>
          </reference>
        </references>
      </pivotArea>
    </format>
    <format dxfId="11844">
      <pivotArea dataOnly="0" labelOnly="1" outline="0" fieldPosition="0">
        <references count="3">
          <reference field="0" count="1" selected="0">
            <x v="139"/>
          </reference>
          <reference field="1" count="1" selected="0">
            <x v="68"/>
          </reference>
          <reference field="2" count="1">
            <x v="355"/>
          </reference>
        </references>
      </pivotArea>
    </format>
    <format dxfId="11843">
      <pivotArea dataOnly="0" labelOnly="1" outline="0" fieldPosition="0">
        <references count="3">
          <reference field="0" count="1" selected="0">
            <x v="140"/>
          </reference>
          <reference field="1" count="1" selected="0">
            <x v="319"/>
          </reference>
          <reference field="2" count="1">
            <x v="301"/>
          </reference>
        </references>
      </pivotArea>
    </format>
    <format dxfId="11842">
      <pivotArea dataOnly="0" labelOnly="1" outline="0" fieldPosition="0">
        <references count="3">
          <reference field="0" count="1" selected="0">
            <x v="141"/>
          </reference>
          <reference field="1" count="1" selected="0">
            <x v="30"/>
          </reference>
          <reference field="2" count="1">
            <x v="97"/>
          </reference>
        </references>
      </pivotArea>
    </format>
    <format dxfId="11841">
      <pivotArea dataOnly="0" labelOnly="1" outline="0" fieldPosition="0">
        <references count="3">
          <reference field="0" count="1" selected="0">
            <x v="142"/>
          </reference>
          <reference field="1" count="1" selected="0">
            <x v="318"/>
          </reference>
          <reference field="2" count="1">
            <x v="300"/>
          </reference>
        </references>
      </pivotArea>
    </format>
    <format dxfId="11840">
      <pivotArea dataOnly="0" labelOnly="1" outline="0" fieldPosition="0">
        <references count="3">
          <reference field="0" count="1" selected="0">
            <x v="143"/>
          </reference>
          <reference field="1" count="1" selected="0">
            <x v="315"/>
          </reference>
          <reference field="2" count="1">
            <x v="303"/>
          </reference>
        </references>
      </pivotArea>
    </format>
    <format dxfId="11839">
      <pivotArea dataOnly="0" labelOnly="1" outline="0" fieldPosition="0">
        <references count="3">
          <reference field="0" count="1" selected="0">
            <x v="144"/>
          </reference>
          <reference field="1" count="1" selected="0">
            <x v="314"/>
          </reference>
          <reference field="2" count="1">
            <x v="304"/>
          </reference>
        </references>
      </pivotArea>
    </format>
    <format dxfId="11838">
      <pivotArea dataOnly="0" labelOnly="1" outline="0" fieldPosition="0">
        <references count="3">
          <reference field="0" count="1" selected="0">
            <x v="145"/>
          </reference>
          <reference field="1" count="1" selected="0">
            <x v="71"/>
          </reference>
          <reference field="2" count="1">
            <x v="115"/>
          </reference>
        </references>
      </pivotArea>
    </format>
    <format dxfId="11837">
      <pivotArea dataOnly="0" labelOnly="1" outline="0" fieldPosition="0">
        <references count="3">
          <reference field="0" count="1" selected="0">
            <x v="146"/>
          </reference>
          <reference field="1" count="1" selected="0">
            <x v="45"/>
          </reference>
          <reference field="2" count="1">
            <x v="106"/>
          </reference>
        </references>
      </pivotArea>
    </format>
    <format dxfId="11836">
      <pivotArea dataOnly="0" labelOnly="1" outline="0" fieldPosition="0">
        <references count="3">
          <reference field="0" count="1" selected="0">
            <x v="147"/>
          </reference>
          <reference field="1" count="1" selected="0">
            <x v="224"/>
          </reference>
          <reference field="2" count="1">
            <x v="355"/>
          </reference>
        </references>
      </pivotArea>
    </format>
    <format dxfId="11835">
      <pivotArea dataOnly="0" labelOnly="1" outline="0" fieldPosition="0">
        <references count="3">
          <reference field="0" count="1" selected="0">
            <x v="148"/>
          </reference>
          <reference field="1" count="1" selected="0">
            <x v="41"/>
          </reference>
          <reference field="2" count="1">
            <x v="103"/>
          </reference>
        </references>
      </pivotArea>
    </format>
    <format dxfId="11834">
      <pivotArea dataOnly="0" labelOnly="1" outline="0" fieldPosition="0">
        <references count="3">
          <reference field="0" count="1" selected="0">
            <x v="149"/>
          </reference>
          <reference field="1" count="1" selected="0">
            <x v="46"/>
          </reference>
          <reference field="2" count="1">
            <x v="109"/>
          </reference>
        </references>
      </pivotArea>
    </format>
    <format dxfId="11833">
      <pivotArea dataOnly="0" labelOnly="1" outline="0" fieldPosition="0">
        <references count="3">
          <reference field="0" count="1" selected="0">
            <x v="150"/>
          </reference>
          <reference field="1" count="1" selected="0">
            <x v="27"/>
          </reference>
          <reference field="2" count="1">
            <x v="88"/>
          </reference>
        </references>
      </pivotArea>
    </format>
    <format dxfId="11832">
      <pivotArea dataOnly="0" labelOnly="1" outline="0" fieldPosition="0">
        <references count="3">
          <reference field="0" count="1" selected="0">
            <x v="151"/>
          </reference>
          <reference field="1" count="1" selected="0">
            <x v="26"/>
          </reference>
          <reference field="2" count="1">
            <x v="87"/>
          </reference>
        </references>
      </pivotArea>
    </format>
    <format dxfId="11831">
      <pivotArea dataOnly="0" labelOnly="1" outline="0" fieldPosition="0">
        <references count="3">
          <reference field="0" count="1" selected="0">
            <x v="152"/>
          </reference>
          <reference field="1" count="1" selected="0">
            <x v="43"/>
          </reference>
          <reference field="2" count="1">
            <x v="104"/>
          </reference>
        </references>
      </pivotArea>
    </format>
    <format dxfId="11830">
      <pivotArea dataOnly="0" labelOnly="1" outline="0" fieldPosition="0">
        <references count="3">
          <reference field="0" count="1" selected="0">
            <x v="153"/>
          </reference>
          <reference field="1" count="1" selected="0">
            <x v="21"/>
          </reference>
          <reference field="2" count="1">
            <x v="89"/>
          </reference>
        </references>
      </pivotArea>
    </format>
    <format dxfId="11829">
      <pivotArea dataOnly="0" labelOnly="1" outline="0" fieldPosition="0">
        <references count="3">
          <reference field="0" count="1" selected="0">
            <x v="154"/>
          </reference>
          <reference field="1" count="1" selected="0">
            <x v="38"/>
          </reference>
          <reference field="2" count="1">
            <x v="4"/>
          </reference>
        </references>
      </pivotArea>
    </format>
    <format dxfId="11828">
      <pivotArea dataOnly="0" labelOnly="1" outline="0" fieldPosition="0">
        <references count="3">
          <reference field="0" count="1" selected="0">
            <x v="155"/>
          </reference>
          <reference field="1" count="1" selected="0">
            <x v="23"/>
          </reference>
          <reference field="2" count="1">
            <x v="86"/>
          </reference>
        </references>
      </pivotArea>
    </format>
    <format dxfId="11827">
      <pivotArea dataOnly="0" labelOnly="1" outline="0" fieldPosition="0">
        <references count="3">
          <reference field="0" count="1" selected="0">
            <x v="156"/>
          </reference>
          <reference field="1" count="1" selected="0">
            <x v="48"/>
          </reference>
          <reference field="2" count="1">
            <x v="107"/>
          </reference>
        </references>
      </pivotArea>
    </format>
    <format dxfId="11826">
      <pivotArea dataOnly="0" labelOnly="1" outline="0" fieldPosition="0">
        <references count="3">
          <reference field="0" count="1" selected="0">
            <x v="157"/>
          </reference>
          <reference field="1" count="1" selected="0">
            <x v="165"/>
          </reference>
          <reference field="2" count="1">
            <x v="194"/>
          </reference>
        </references>
      </pivotArea>
    </format>
    <format dxfId="11825">
      <pivotArea dataOnly="0" labelOnly="1" outline="0" fieldPosition="0">
        <references count="3">
          <reference field="0" count="1" selected="0">
            <x v="158"/>
          </reference>
          <reference field="1" count="1" selected="0">
            <x v="40"/>
          </reference>
          <reference field="2" count="1">
            <x v="101"/>
          </reference>
        </references>
      </pivotArea>
    </format>
    <format dxfId="11824">
      <pivotArea dataOnly="0" labelOnly="1" outline="0" fieldPosition="0">
        <references count="3">
          <reference field="0" count="1" selected="0">
            <x v="159"/>
          </reference>
          <reference field="1" count="1" selected="0">
            <x v="37"/>
          </reference>
          <reference field="2" count="1">
            <x v="99"/>
          </reference>
        </references>
      </pivotArea>
    </format>
    <format dxfId="11823">
      <pivotArea dataOnly="0" labelOnly="1" outline="0" fieldPosition="0">
        <references count="3">
          <reference field="0" count="1" selected="0">
            <x v="160"/>
          </reference>
          <reference field="1" count="1" selected="0">
            <x v="39"/>
          </reference>
          <reference field="2" count="1">
            <x v="100"/>
          </reference>
        </references>
      </pivotArea>
    </format>
    <format dxfId="11822">
      <pivotArea dataOnly="0" labelOnly="1" outline="0" fieldPosition="0">
        <references count="3">
          <reference field="0" count="1" selected="0">
            <x v="161"/>
          </reference>
          <reference field="1" count="1" selected="0">
            <x v="22"/>
          </reference>
          <reference field="2" count="1">
            <x v="90"/>
          </reference>
        </references>
      </pivotArea>
    </format>
    <format dxfId="11821">
      <pivotArea dataOnly="0" labelOnly="1" outline="0" fieldPosition="0">
        <references count="3">
          <reference field="0" count="1" selected="0">
            <x v="162"/>
          </reference>
          <reference field="1" count="1" selected="0">
            <x v="302"/>
          </reference>
          <reference field="2" count="1">
            <x v="91"/>
          </reference>
        </references>
      </pivotArea>
    </format>
    <format dxfId="11820">
      <pivotArea dataOnly="0" labelOnly="1" outline="0" fieldPosition="0">
        <references count="3">
          <reference field="0" count="1" selected="0">
            <x v="163"/>
          </reference>
          <reference field="1" count="1" selected="0">
            <x v="25"/>
          </reference>
          <reference field="2" count="1">
            <x v="92"/>
          </reference>
        </references>
      </pivotArea>
    </format>
    <format dxfId="11819">
      <pivotArea dataOnly="0" labelOnly="1" outline="0" fieldPosition="0">
        <references count="3">
          <reference field="0" count="1" selected="0">
            <x v="164"/>
          </reference>
          <reference field="1" count="1" selected="0">
            <x v="42"/>
          </reference>
          <reference field="2" count="1">
            <x v="102"/>
          </reference>
        </references>
      </pivotArea>
    </format>
    <format dxfId="11818">
      <pivotArea dataOnly="0" labelOnly="1" outline="0" fieldPosition="0">
        <references count="3">
          <reference field="0" count="1" selected="0">
            <x v="165"/>
          </reference>
          <reference field="1" count="1" selected="0">
            <x v="24"/>
          </reference>
          <reference field="2" count="1">
            <x v="85"/>
          </reference>
        </references>
      </pivotArea>
    </format>
    <format dxfId="11817">
      <pivotArea dataOnly="0" labelOnly="1" outline="0" fieldPosition="0">
        <references count="3">
          <reference field="0" count="1" selected="0">
            <x v="166"/>
          </reference>
          <reference field="1" count="1" selected="0">
            <x v="371"/>
          </reference>
          <reference field="2" count="1">
            <x v="332"/>
          </reference>
        </references>
      </pivotArea>
    </format>
    <format dxfId="11816">
      <pivotArea dataOnly="0" labelOnly="1" outline="0" fieldPosition="0">
        <references count="3">
          <reference field="0" count="1" selected="0">
            <x v="167"/>
          </reference>
          <reference field="1" count="1" selected="0">
            <x v="44"/>
          </reference>
          <reference field="2" count="1">
            <x v="105"/>
          </reference>
        </references>
      </pivotArea>
    </format>
    <format dxfId="11815">
      <pivotArea dataOnly="0" labelOnly="1" outline="0" fieldPosition="0">
        <references count="3">
          <reference field="0" count="1" selected="0">
            <x v="168"/>
          </reference>
          <reference field="1" count="1" selected="0">
            <x v="47"/>
          </reference>
          <reference field="2" count="1">
            <x v="108"/>
          </reference>
        </references>
      </pivotArea>
    </format>
    <format dxfId="11814">
      <pivotArea dataOnly="0" labelOnly="1" outline="0" fieldPosition="0">
        <references count="3">
          <reference field="0" count="1" selected="0">
            <x v="169"/>
          </reference>
          <reference field="1" count="1" selected="0">
            <x v="70"/>
          </reference>
          <reference field="2" count="1">
            <x v="126"/>
          </reference>
        </references>
      </pivotArea>
    </format>
    <format dxfId="11813">
      <pivotArea dataOnly="0" labelOnly="1" outline="0" fieldPosition="0">
        <references count="3">
          <reference field="0" count="1" selected="0">
            <x v="170"/>
          </reference>
          <reference field="1" count="1" selected="0">
            <x v="137"/>
          </reference>
          <reference field="2" count="1">
            <x v="183"/>
          </reference>
        </references>
      </pivotArea>
    </format>
    <format dxfId="11812">
      <pivotArea dataOnly="0" labelOnly="1" outline="0" fieldPosition="0">
        <references count="3">
          <reference field="0" count="1" selected="0">
            <x v="171"/>
          </reference>
          <reference field="1" count="1" selected="0">
            <x v="192"/>
          </reference>
          <reference field="2" count="1">
            <x v="227"/>
          </reference>
        </references>
      </pivotArea>
    </format>
    <format dxfId="11811">
      <pivotArea dataOnly="0" labelOnly="1" outline="0" fieldPosition="0">
        <references count="3">
          <reference field="0" count="1" selected="0">
            <x v="172"/>
          </reference>
          <reference field="1" count="1" selected="0">
            <x v="114"/>
          </reference>
          <reference field="2" count="1">
            <x v="355"/>
          </reference>
        </references>
      </pivotArea>
    </format>
    <format dxfId="11810">
      <pivotArea dataOnly="0" labelOnly="1" outline="0" fieldPosition="0">
        <references count="3">
          <reference field="0" count="1" selected="0">
            <x v="173"/>
          </reference>
          <reference field="1" count="1" selected="0">
            <x v="204"/>
          </reference>
          <reference field="2" count="1">
            <x v="153"/>
          </reference>
        </references>
      </pivotArea>
    </format>
    <format dxfId="11809">
      <pivotArea dataOnly="0" labelOnly="1" outline="0" fieldPosition="0">
        <references count="3">
          <reference field="0" count="1" selected="0">
            <x v="174"/>
          </reference>
          <reference field="1" count="1" selected="0">
            <x v="244"/>
          </reference>
          <reference field="2" count="1">
            <x v="253"/>
          </reference>
        </references>
      </pivotArea>
    </format>
    <format dxfId="11808">
      <pivotArea dataOnly="0" labelOnly="1" outline="0" fieldPosition="0">
        <references count="3">
          <reference field="0" count="1" selected="0">
            <x v="175"/>
          </reference>
          <reference field="1" count="1" selected="0">
            <x v="250"/>
          </reference>
          <reference field="2" count="1">
            <x v="252"/>
          </reference>
        </references>
      </pivotArea>
    </format>
    <format dxfId="11807">
      <pivotArea dataOnly="0" labelOnly="1" outline="0" fieldPosition="0">
        <references count="3">
          <reference field="0" count="1" selected="0">
            <x v="176"/>
          </reference>
          <reference field="1" count="1" selected="0">
            <x v="245"/>
          </reference>
          <reference field="2" count="1">
            <x v="251"/>
          </reference>
        </references>
      </pivotArea>
    </format>
    <format dxfId="11806">
      <pivotArea dataOnly="0" labelOnly="1" outline="0" fieldPosition="0">
        <references count="3">
          <reference field="0" count="1" selected="0">
            <x v="177"/>
          </reference>
          <reference field="1" count="1" selected="0">
            <x v="196"/>
          </reference>
          <reference field="2" count="1">
            <x v="229"/>
          </reference>
        </references>
      </pivotArea>
    </format>
    <format dxfId="11805">
      <pivotArea dataOnly="0" labelOnly="1" outline="0" fieldPosition="0">
        <references count="3">
          <reference field="0" count="1" selected="0">
            <x v="178"/>
          </reference>
          <reference field="1" count="1" selected="0">
            <x v="164"/>
          </reference>
          <reference field="2" count="1">
            <x v="193"/>
          </reference>
        </references>
      </pivotArea>
    </format>
    <format dxfId="11804">
      <pivotArea dataOnly="0" labelOnly="1" outline="0" fieldPosition="0">
        <references count="3">
          <reference field="0" count="1" selected="0">
            <x v="179"/>
          </reference>
          <reference field="1" count="1" selected="0">
            <x v="303"/>
          </reference>
          <reference field="2" count="1">
            <x v="293"/>
          </reference>
        </references>
      </pivotArea>
    </format>
    <format dxfId="11803">
      <pivotArea dataOnly="0" labelOnly="1" outline="0" fieldPosition="0">
        <references count="3">
          <reference field="0" count="1" selected="0">
            <x v="180"/>
          </reference>
          <reference field="1" count="1" selected="0">
            <x v="199"/>
          </reference>
          <reference field="2" count="1">
            <x v="355"/>
          </reference>
        </references>
      </pivotArea>
    </format>
    <format dxfId="11802">
      <pivotArea dataOnly="0" labelOnly="1" outline="0" fieldPosition="0">
        <references count="3">
          <reference field="0" count="1" selected="0">
            <x v="185"/>
          </reference>
          <reference field="1" count="1" selected="0">
            <x v="90"/>
          </reference>
          <reference field="2" count="1">
            <x v="146"/>
          </reference>
        </references>
      </pivotArea>
    </format>
    <format dxfId="11801">
      <pivotArea dataOnly="0" labelOnly="1" outline="0" fieldPosition="0">
        <references count="3">
          <reference field="0" count="1" selected="0">
            <x v="186"/>
          </reference>
          <reference field="1" count="1" selected="0">
            <x v="74"/>
          </reference>
          <reference field="2" count="1">
            <x v="23"/>
          </reference>
        </references>
      </pivotArea>
    </format>
    <format dxfId="11800">
      <pivotArea dataOnly="0" labelOnly="1" outline="0" fieldPosition="0">
        <references count="3">
          <reference field="0" count="1" selected="0">
            <x v="187"/>
          </reference>
          <reference field="1" count="1" selected="0">
            <x v="305"/>
          </reference>
          <reference field="2" count="1">
            <x v="294"/>
          </reference>
        </references>
      </pivotArea>
    </format>
    <format dxfId="11799">
      <pivotArea dataOnly="0" labelOnly="1" outline="0" fieldPosition="0">
        <references count="3">
          <reference field="0" count="1" selected="0">
            <x v="188"/>
          </reference>
          <reference field="1" count="1" selected="0">
            <x v="336"/>
          </reference>
          <reference field="2" count="1">
            <x v="308"/>
          </reference>
        </references>
      </pivotArea>
    </format>
    <format dxfId="11798">
      <pivotArea dataOnly="0" labelOnly="1" outline="0" fieldPosition="0">
        <references count="3">
          <reference field="0" count="1" selected="0">
            <x v="189"/>
          </reference>
          <reference field="1" count="1" selected="0">
            <x v="339"/>
          </reference>
          <reference field="2" count="1">
            <x v="342"/>
          </reference>
        </references>
      </pivotArea>
    </format>
    <format dxfId="11797">
      <pivotArea dataOnly="0" labelOnly="1" outline="0" fieldPosition="0">
        <references count="3">
          <reference field="0" count="1" selected="0">
            <x v="190"/>
          </reference>
          <reference field="1" count="1" selected="0">
            <x v="341"/>
          </reference>
          <reference field="2" count="1">
            <x v="322"/>
          </reference>
        </references>
      </pivotArea>
    </format>
    <format dxfId="11796">
      <pivotArea dataOnly="0" labelOnly="1" outline="0" fieldPosition="0">
        <references count="3">
          <reference field="0" count="1" selected="0">
            <x v="191"/>
          </reference>
          <reference field="1" count="1" selected="0">
            <x v="282"/>
          </reference>
          <reference field="2" count="1">
            <x v="277"/>
          </reference>
        </references>
      </pivotArea>
    </format>
    <format dxfId="11795">
      <pivotArea dataOnly="0" labelOnly="1" outline="0" fieldPosition="0">
        <references count="3">
          <reference field="0" count="1" selected="0">
            <x v="192"/>
          </reference>
          <reference field="1" count="1" selected="0">
            <x v="172"/>
          </reference>
          <reference field="2" count="1">
            <x v="218"/>
          </reference>
        </references>
      </pivotArea>
    </format>
    <format dxfId="11794">
      <pivotArea dataOnly="0" labelOnly="1" outline="0" fieldPosition="0">
        <references count="3">
          <reference field="0" count="1" selected="0">
            <x v="193"/>
          </reference>
          <reference field="1" count="1" selected="0">
            <x v="55"/>
          </reference>
          <reference field="2" count="1">
            <x v="111"/>
          </reference>
        </references>
      </pivotArea>
    </format>
    <format dxfId="11793">
      <pivotArea dataOnly="0" labelOnly="1" outline="0" fieldPosition="0">
        <references count="3">
          <reference field="0" count="1" selected="0">
            <x v="194"/>
          </reference>
          <reference field="1" count="1" selected="0">
            <x v="259"/>
          </reference>
          <reference field="2" count="1">
            <x v="263"/>
          </reference>
        </references>
      </pivotArea>
    </format>
    <format dxfId="11792">
      <pivotArea dataOnly="0" labelOnly="1" outline="0" fieldPosition="0">
        <references count="3">
          <reference field="0" count="1" selected="0">
            <x v="195"/>
          </reference>
          <reference field="1" count="1" selected="0">
            <x v="297"/>
          </reference>
          <reference field="2" count="1">
            <x v="262"/>
          </reference>
        </references>
      </pivotArea>
    </format>
    <format dxfId="11791">
      <pivotArea dataOnly="0" labelOnly="1" outline="0" fieldPosition="0">
        <references count="3">
          <reference field="0" count="1" selected="0">
            <x v="196"/>
          </reference>
          <reference field="1" count="1" selected="0">
            <x v="108"/>
          </reference>
          <reference field="2" count="1">
            <x v="156"/>
          </reference>
        </references>
      </pivotArea>
    </format>
    <format dxfId="11790">
      <pivotArea dataOnly="0" labelOnly="1" outline="0" fieldPosition="0">
        <references count="3">
          <reference field="0" count="1" selected="0">
            <x v="197"/>
          </reference>
          <reference field="1" count="1" selected="0">
            <x v="301"/>
          </reference>
          <reference field="2" count="1">
            <x v="290"/>
          </reference>
        </references>
      </pivotArea>
    </format>
    <format dxfId="11789">
      <pivotArea dataOnly="0" labelOnly="1" outline="0" fieldPosition="0">
        <references count="3">
          <reference field="0" count="1" selected="0">
            <x v="198"/>
          </reference>
          <reference field="1" count="1" selected="0">
            <x v="107"/>
          </reference>
          <reference field="2" count="1">
            <x v="155"/>
          </reference>
        </references>
      </pivotArea>
    </format>
    <format dxfId="11788">
      <pivotArea dataOnly="0" labelOnly="1" outline="0" fieldPosition="0">
        <references count="3">
          <reference field="0" count="1" selected="0">
            <x v="199"/>
          </reference>
          <reference field="1" count="1" selected="0">
            <x v="66"/>
          </reference>
          <reference field="2" count="1">
            <x v="42"/>
          </reference>
        </references>
      </pivotArea>
    </format>
    <format dxfId="11787">
      <pivotArea dataOnly="0" labelOnly="1" outline="0" fieldPosition="0">
        <references count="3">
          <reference field="0" count="1" selected="0">
            <x v="200"/>
          </reference>
          <reference field="1" count="1" selected="0">
            <x v="300"/>
          </reference>
          <reference field="2" count="1">
            <x v="275"/>
          </reference>
        </references>
      </pivotArea>
    </format>
    <format dxfId="11786">
      <pivotArea dataOnly="0" labelOnly="1" outline="0" fieldPosition="0">
        <references count="3">
          <reference field="0" count="1" selected="0">
            <x v="201"/>
          </reference>
          <reference field="1" count="1" selected="0">
            <x v="265"/>
          </reference>
          <reference field="2" count="1">
            <x v="268"/>
          </reference>
        </references>
      </pivotArea>
    </format>
    <format dxfId="11785">
      <pivotArea dataOnly="0" labelOnly="1" outline="0" fieldPosition="0">
        <references count="3">
          <reference field="0" count="1" selected="0">
            <x v="202"/>
          </reference>
          <reference field="1" count="1" selected="0">
            <x v="266"/>
          </reference>
          <reference field="2" count="1">
            <x v="269"/>
          </reference>
        </references>
      </pivotArea>
    </format>
    <format dxfId="11784">
      <pivotArea dataOnly="0" labelOnly="1" outline="0" fieldPosition="0">
        <references count="3">
          <reference field="0" count="1" selected="0">
            <x v="203"/>
          </reference>
          <reference field="1" count="1" selected="0">
            <x v="267"/>
          </reference>
          <reference field="2" count="1">
            <x v="270"/>
          </reference>
        </references>
      </pivotArea>
    </format>
    <format dxfId="11783">
      <pivotArea dataOnly="0" labelOnly="1" outline="0" fieldPosition="0">
        <references count="3">
          <reference field="0" count="1" selected="0">
            <x v="204"/>
          </reference>
          <reference field="1" count="1" selected="0">
            <x v="278"/>
          </reference>
          <reference field="2" count="1">
            <x v="29"/>
          </reference>
        </references>
      </pivotArea>
    </format>
    <format dxfId="11782">
      <pivotArea dataOnly="0" labelOnly="1" outline="0" fieldPosition="0">
        <references count="3">
          <reference field="0" count="1" selected="0">
            <x v="205"/>
          </reference>
          <reference field="1" count="1" selected="0">
            <x v="256"/>
          </reference>
          <reference field="2" count="1">
            <x v="19"/>
          </reference>
        </references>
      </pivotArea>
    </format>
    <format dxfId="11781">
      <pivotArea dataOnly="0" labelOnly="1" outline="0" fieldPosition="0">
        <references count="3">
          <reference field="0" count="1" selected="0">
            <x v="206"/>
          </reference>
          <reference field="1" count="1" selected="0">
            <x v="131"/>
          </reference>
          <reference field="2" count="1">
            <x v="175"/>
          </reference>
        </references>
      </pivotArea>
    </format>
    <format dxfId="11780">
      <pivotArea dataOnly="0" labelOnly="1" outline="0" fieldPosition="0">
        <references count="3">
          <reference field="0" count="1" selected="0">
            <x v="207"/>
          </reference>
          <reference field="1" count="1" selected="0">
            <x v="253"/>
          </reference>
          <reference field="2" count="1">
            <x v="197"/>
          </reference>
        </references>
      </pivotArea>
    </format>
    <format dxfId="11779">
      <pivotArea dataOnly="0" labelOnly="1" outline="0" fieldPosition="0">
        <references count="3">
          <reference field="0" count="1" selected="0">
            <x v="208"/>
          </reference>
          <reference field="1" count="1" selected="0">
            <x v="261"/>
          </reference>
          <reference field="2" count="1">
            <x v="196"/>
          </reference>
        </references>
      </pivotArea>
    </format>
    <format dxfId="11778">
      <pivotArea dataOnly="0" labelOnly="1" outline="0" fieldPosition="0">
        <references count="3">
          <reference field="0" count="1" selected="0">
            <x v="209"/>
          </reference>
          <reference field="1" count="1" selected="0">
            <x v="158"/>
          </reference>
          <reference field="2" count="1">
            <x v="186"/>
          </reference>
        </references>
      </pivotArea>
    </format>
    <format dxfId="11777">
      <pivotArea dataOnly="0" labelOnly="1" outline="0" fieldPosition="0">
        <references count="3">
          <reference field="0" count="1" selected="0">
            <x v="210"/>
          </reference>
          <reference field="1" count="1" selected="0">
            <x v="91"/>
          </reference>
          <reference field="2" count="1">
            <x v="31"/>
          </reference>
        </references>
      </pivotArea>
    </format>
    <format dxfId="11776">
      <pivotArea dataOnly="0" labelOnly="1" outline="0" fieldPosition="0">
        <references count="3">
          <reference field="0" count="1" selected="0">
            <x v="211"/>
          </reference>
          <reference field="1" count="1" selected="0">
            <x v="311"/>
          </reference>
          <reference field="2" count="1">
            <x v="51"/>
          </reference>
        </references>
      </pivotArea>
    </format>
    <format dxfId="11775">
      <pivotArea dataOnly="0" labelOnly="1" outline="0" fieldPosition="0">
        <references count="3">
          <reference field="0" count="1" selected="0">
            <x v="212"/>
          </reference>
          <reference field="1" count="1" selected="0">
            <x v="283"/>
          </reference>
          <reference field="2" count="1">
            <x v="52"/>
          </reference>
        </references>
      </pivotArea>
    </format>
    <format dxfId="11774">
      <pivotArea dataOnly="0" labelOnly="1" outline="0" fieldPosition="0">
        <references count="3">
          <reference field="0" count="1" selected="0">
            <x v="213"/>
          </reference>
          <reference field="1" count="1" selected="0">
            <x v="270"/>
          </reference>
          <reference field="2" count="1">
            <x v="273"/>
          </reference>
        </references>
      </pivotArea>
    </format>
    <format dxfId="11773">
      <pivotArea dataOnly="0" labelOnly="1" outline="0" fieldPosition="0">
        <references count="3">
          <reference field="0" count="1" selected="0">
            <x v="214"/>
          </reference>
          <reference field="1" count="1" selected="0">
            <x v="351"/>
          </reference>
          <reference field="2" count="1">
            <x v="355"/>
          </reference>
        </references>
      </pivotArea>
    </format>
    <format dxfId="11772">
      <pivotArea dataOnly="0" labelOnly="1" outline="0" fieldPosition="0">
        <references count="3">
          <reference field="0" count="1" selected="0">
            <x v="215"/>
          </reference>
          <reference field="1" count="1" selected="0">
            <x v="378"/>
          </reference>
          <reference field="2" count="1">
            <x v="338"/>
          </reference>
        </references>
      </pivotArea>
    </format>
    <format dxfId="11771">
      <pivotArea dataOnly="0" labelOnly="1" outline="0" fieldPosition="0">
        <references count="3">
          <reference field="0" count="1" selected="0">
            <x v="216"/>
          </reference>
          <reference field="1" count="1" selected="0">
            <x v="363"/>
          </reference>
          <reference field="2" count="1">
            <x v="355"/>
          </reference>
        </references>
      </pivotArea>
    </format>
    <format dxfId="11770">
      <pivotArea dataOnly="0" labelOnly="1" outline="0" fieldPosition="0">
        <references count="3">
          <reference field="0" count="1" selected="0">
            <x v="216"/>
          </reference>
          <reference field="1" count="1" selected="0">
            <x v="379"/>
          </reference>
          <reference field="2" count="1">
            <x v="337"/>
          </reference>
        </references>
      </pivotArea>
    </format>
    <format dxfId="11769">
      <pivotArea dataOnly="0" labelOnly="1" outline="0" fieldPosition="0">
        <references count="3">
          <reference field="0" count="1" selected="0">
            <x v="217"/>
          </reference>
          <reference field="1" count="1" selected="0">
            <x v="6"/>
          </reference>
          <reference field="2" count="1">
            <x v="355"/>
          </reference>
        </references>
      </pivotArea>
    </format>
    <format dxfId="11768">
      <pivotArea dataOnly="0" labelOnly="1" outline="0" fieldPosition="0">
        <references count="3">
          <reference field="0" count="1" selected="0">
            <x v="218"/>
          </reference>
          <reference field="1" count="1" selected="0">
            <x v="361"/>
          </reference>
          <reference field="2" count="1">
            <x v="347"/>
          </reference>
        </references>
      </pivotArea>
    </format>
    <format dxfId="11767">
      <pivotArea dataOnly="0" labelOnly="1" outline="0" fieldPosition="0">
        <references count="3">
          <reference field="0" count="1" selected="0">
            <x v="219"/>
          </reference>
          <reference field="1" count="1" selected="0">
            <x v="54"/>
          </reference>
          <reference field="2" count="1">
            <x v="112"/>
          </reference>
        </references>
      </pivotArea>
    </format>
    <format dxfId="11766">
      <pivotArea dataOnly="0" labelOnly="1" outline="0" fieldPosition="0">
        <references count="3">
          <reference field="0" count="1" selected="0">
            <x v="220"/>
          </reference>
          <reference field="1" count="1" selected="0">
            <x v="213"/>
          </reference>
          <reference field="2" count="1">
            <x v="83"/>
          </reference>
        </references>
      </pivotArea>
    </format>
    <format dxfId="11765">
      <pivotArea dataOnly="0" labelOnly="1" outline="0" fieldPosition="0">
        <references count="3">
          <reference field="0" count="1" selected="0">
            <x v="221"/>
          </reference>
          <reference field="1" count="1" selected="0">
            <x v="227"/>
          </reference>
          <reference field="2" count="1">
            <x v="20"/>
          </reference>
        </references>
      </pivotArea>
    </format>
    <format dxfId="11764">
      <pivotArea dataOnly="0" labelOnly="1" outline="0" fieldPosition="0">
        <references count="3">
          <reference field="0" count="1" selected="0">
            <x v="222"/>
          </reference>
          <reference field="1" count="1" selected="0">
            <x v="150"/>
          </reference>
          <reference field="2" count="1">
            <x v="355"/>
          </reference>
        </references>
      </pivotArea>
    </format>
    <format dxfId="11763">
      <pivotArea dataOnly="0" labelOnly="1" outline="0" fieldPosition="0">
        <references count="3">
          <reference field="0" count="1" selected="0">
            <x v="223"/>
          </reference>
          <reference field="1" count="1" selected="0">
            <x v="73"/>
          </reference>
          <reference field="2" count="1">
            <x v="53"/>
          </reference>
        </references>
      </pivotArea>
    </format>
    <format dxfId="11762">
      <pivotArea dataOnly="0" labelOnly="1" outline="0" fieldPosition="0">
        <references count="3">
          <reference field="0" count="1" selected="0">
            <x v="224"/>
          </reference>
          <reference field="1" count="1" selected="0">
            <x v="258"/>
          </reference>
          <reference field="2" count="1">
            <x v="265"/>
          </reference>
        </references>
      </pivotArea>
    </format>
    <format dxfId="11761">
      <pivotArea dataOnly="0" labelOnly="1" outline="0" fieldPosition="0">
        <references count="3">
          <reference field="0" count="1" selected="0">
            <x v="225"/>
          </reference>
          <reference field="1" count="1" selected="0">
            <x v="365"/>
          </reference>
          <reference field="2" count="1">
            <x v="346"/>
          </reference>
        </references>
      </pivotArea>
    </format>
    <format dxfId="11760">
      <pivotArea dataOnly="0" labelOnly="1" outline="0" fieldPosition="0">
        <references count="3">
          <reference field="0" count="1" selected="0">
            <x v="226"/>
          </reference>
          <reference field="1" count="1" selected="0">
            <x v="316"/>
          </reference>
          <reference field="2" count="1">
            <x v="305"/>
          </reference>
        </references>
      </pivotArea>
    </format>
    <format dxfId="11759">
      <pivotArea dataOnly="0" labelOnly="1" outline="0" fieldPosition="0">
        <references count="3">
          <reference field="0" count="1" selected="0">
            <x v="227"/>
          </reference>
          <reference field="1" count="1" selected="0">
            <x v="166"/>
          </reference>
          <reference field="2" count="1">
            <x v="200"/>
          </reference>
        </references>
      </pivotArea>
    </format>
    <format dxfId="11758">
      <pivotArea dataOnly="0" labelOnly="1" outline="0" fieldPosition="0">
        <references count="3">
          <reference field="0" count="1" selected="0">
            <x v="228"/>
          </reference>
          <reference field="1" count="1" selected="0">
            <x v="198"/>
          </reference>
          <reference field="2" count="1">
            <x v="226"/>
          </reference>
        </references>
      </pivotArea>
    </format>
    <format dxfId="11757">
      <pivotArea dataOnly="0" labelOnly="1" outline="0" fieldPosition="0">
        <references count="3">
          <reference field="0" count="1" selected="0">
            <x v="229"/>
          </reference>
          <reference field="1" count="1" selected="0">
            <x v="264"/>
          </reference>
          <reference field="2" count="1">
            <x v="272"/>
          </reference>
        </references>
      </pivotArea>
    </format>
    <format dxfId="11756">
      <pivotArea dataOnly="0" labelOnly="1" outline="0" fieldPosition="0">
        <references count="3">
          <reference field="0" count="1" selected="0">
            <x v="230"/>
          </reference>
          <reference field="1" count="1" selected="0">
            <x v="9"/>
          </reference>
          <reference field="2" count="1">
            <x v="32"/>
          </reference>
        </references>
      </pivotArea>
    </format>
    <format dxfId="11755">
      <pivotArea dataOnly="0" labelOnly="1" outline="0" fieldPosition="0">
        <references count="3">
          <reference field="0" count="1" selected="0">
            <x v="231"/>
          </reference>
          <reference field="1" count="1" selected="0">
            <x v="242"/>
          </reference>
          <reference field="2" count="1">
            <x v="246"/>
          </reference>
        </references>
      </pivotArea>
    </format>
    <format dxfId="11754">
      <pivotArea dataOnly="0" labelOnly="1" outline="0" fieldPosition="0">
        <references count="3">
          <reference field="0" count="1" selected="0">
            <x v="232"/>
          </reference>
          <reference field="1" count="1" selected="0">
            <x v="243"/>
          </reference>
          <reference field="2" count="1">
            <x v="247"/>
          </reference>
        </references>
      </pivotArea>
    </format>
    <format dxfId="11753">
      <pivotArea dataOnly="0" labelOnly="1" outline="0" fieldPosition="0">
        <references count="3">
          <reference field="0" count="1" selected="0">
            <x v="233"/>
          </reference>
          <reference field="1" count="1" selected="0">
            <x v="154"/>
          </reference>
          <reference field="2" count="1">
            <x v="124"/>
          </reference>
        </references>
      </pivotArea>
    </format>
    <format dxfId="11752">
      <pivotArea dataOnly="0" labelOnly="1" outline="0" fieldPosition="0">
        <references count="3">
          <reference field="0" count="1" selected="0">
            <x v="234"/>
          </reference>
          <reference field="1" count="1" selected="0">
            <x v="217"/>
          </reference>
          <reference field="2" count="1">
            <x v="236"/>
          </reference>
        </references>
      </pivotArea>
    </format>
    <format dxfId="11751">
      <pivotArea dataOnly="0" labelOnly="1" outline="0" fieldPosition="0">
        <references count="3">
          <reference field="0" count="1" selected="0">
            <x v="235"/>
          </reference>
          <reference field="1" count="1" selected="0">
            <x v="229"/>
          </reference>
          <reference field="2" count="1">
            <x v="37"/>
          </reference>
        </references>
      </pivotArea>
    </format>
    <format dxfId="11750">
      <pivotArea dataOnly="0" labelOnly="1" outline="0" fieldPosition="0">
        <references count="3">
          <reference field="0" count="1" selected="0">
            <x v="236"/>
          </reference>
          <reference field="1" count="1" selected="0">
            <x v="257"/>
          </reference>
          <reference field="2" count="1">
            <x v="185"/>
          </reference>
        </references>
      </pivotArea>
    </format>
    <format dxfId="11749">
      <pivotArea dataOnly="0" labelOnly="1" outline="0" fieldPosition="0">
        <references count="3">
          <reference field="0" count="1" selected="0">
            <x v="237"/>
          </reference>
          <reference field="1" count="1" selected="0">
            <x v="369"/>
          </reference>
          <reference field="2" count="1">
            <x v="331"/>
          </reference>
        </references>
      </pivotArea>
    </format>
    <format dxfId="11748">
      <pivotArea dataOnly="0" labelOnly="1" outline="0" fieldPosition="0">
        <references count="3">
          <reference field="0" count="1" selected="0">
            <x v="238"/>
          </reference>
          <reference field="1" count="1" selected="0">
            <x v="221"/>
          </reference>
          <reference field="2" count="1">
            <x v="239"/>
          </reference>
        </references>
      </pivotArea>
    </format>
    <format dxfId="11747">
      <pivotArea dataOnly="0" labelOnly="1" outline="0" fieldPosition="0">
        <references count="3">
          <reference field="0" count="1" selected="0">
            <x v="239"/>
          </reference>
          <reference field="1" count="1" selected="0">
            <x v="205"/>
          </reference>
          <reference field="2" count="1">
            <x v="231"/>
          </reference>
        </references>
      </pivotArea>
    </format>
    <format dxfId="11746">
      <pivotArea dataOnly="0" labelOnly="1" outline="0" fieldPosition="0">
        <references count="3">
          <reference field="0" count="1" selected="0">
            <x v="240"/>
          </reference>
          <reference field="1" count="1" selected="0">
            <x v="206"/>
          </reference>
          <reference field="2" count="1">
            <x v="232"/>
          </reference>
        </references>
      </pivotArea>
    </format>
    <format dxfId="11745">
      <pivotArea dataOnly="0" labelOnly="1" outline="0" fieldPosition="0">
        <references count="3">
          <reference field="0" count="1" selected="0">
            <x v="241"/>
          </reference>
          <reference field="1" count="1" selected="0">
            <x v="252"/>
          </reference>
          <reference field="2" count="1">
            <x v="230"/>
          </reference>
        </references>
      </pivotArea>
    </format>
    <format dxfId="11744">
      <pivotArea dataOnly="0" labelOnly="1" outline="0" fieldPosition="0">
        <references count="3">
          <reference field="0" count="1" selected="0">
            <x v="242"/>
          </reference>
          <reference field="1" count="1" selected="0">
            <x v="218"/>
          </reference>
          <reference field="2" count="1">
            <x v="238"/>
          </reference>
        </references>
      </pivotArea>
    </format>
    <format dxfId="11743">
      <pivotArea dataOnly="0" labelOnly="1" outline="0" fieldPosition="0">
        <references count="3">
          <reference field="0" count="1" selected="0">
            <x v="243"/>
          </reference>
          <reference field="1" count="1" selected="0">
            <x v="231"/>
          </reference>
          <reference field="2" count="1">
            <x v="245"/>
          </reference>
        </references>
      </pivotArea>
    </format>
    <format dxfId="11742">
      <pivotArea dataOnly="0" labelOnly="1" outline="0" fieldPosition="0">
        <references count="3">
          <reference field="0" count="1" selected="0">
            <x v="244"/>
          </reference>
          <reference field="1" count="1" selected="0">
            <x v="207"/>
          </reference>
          <reference field="2" count="1">
            <x v="233"/>
          </reference>
        </references>
      </pivotArea>
    </format>
    <format dxfId="11741">
      <pivotArea dataOnly="0" labelOnly="1" outline="0" fieldPosition="0">
        <references count="3">
          <reference field="0" count="1" selected="0">
            <x v="245"/>
          </reference>
          <reference field="1" count="1" selected="0">
            <x v="230"/>
          </reference>
          <reference field="2" count="1">
            <x v="244"/>
          </reference>
        </references>
      </pivotArea>
    </format>
    <format dxfId="11740">
      <pivotArea dataOnly="0" labelOnly="1" outline="0" fieldPosition="0">
        <references count="3">
          <reference field="0" count="1" selected="0">
            <x v="246"/>
          </reference>
          <reference field="1" count="1" selected="0">
            <x v="208"/>
          </reference>
          <reference field="2" count="1">
            <x v="235"/>
          </reference>
        </references>
      </pivotArea>
    </format>
    <format dxfId="11739">
      <pivotArea dataOnly="0" labelOnly="1" outline="0" fieldPosition="0">
        <references count="3">
          <reference field="0" count="1" selected="0">
            <x v="247"/>
          </reference>
          <reference field="1" count="1" selected="0">
            <x v="279"/>
          </reference>
          <reference field="2" count="1">
            <x v="39"/>
          </reference>
        </references>
      </pivotArea>
    </format>
    <format dxfId="11738">
      <pivotArea dataOnly="0" labelOnly="1" outline="0" fieldPosition="0">
        <references count="3">
          <reference field="0" count="1" selected="0">
            <x v="248"/>
          </reference>
          <reference field="1" count="1" selected="0">
            <x v="209"/>
          </reference>
          <reference field="2" count="1">
            <x v="234"/>
          </reference>
        </references>
      </pivotArea>
    </format>
    <format dxfId="11737">
      <pivotArea dataOnly="0" labelOnly="1" outline="0" fieldPosition="0">
        <references count="3">
          <reference field="0" count="1" selected="0">
            <x v="249"/>
          </reference>
          <reference field="1" count="1" selected="0">
            <x v="226"/>
          </reference>
          <reference field="2" count="1">
            <x v="241"/>
          </reference>
        </references>
      </pivotArea>
    </format>
    <format dxfId="11736">
      <pivotArea dataOnly="0" labelOnly="1" outline="0" fieldPosition="0">
        <references count="3">
          <reference field="0" count="1" selected="0">
            <x v="250"/>
          </reference>
          <reference field="1" count="1" selected="0">
            <x v="211"/>
          </reference>
          <reference field="2" count="1">
            <x v="225"/>
          </reference>
        </references>
      </pivotArea>
    </format>
    <format dxfId="11735">
      <pivotArea dataOnly="0" labelOnly="1" outline="0" fieldPosition="0">
        <references count="3">
          <reference field="0" count="1" selected="0">
            <x v="251"/>
          </reference>
          <reference field="1" count="1" selected="0">
            <x v="333"/>
          </reference>
          <reference field="2" count="1">
            <x v="314"/>
          </reference>
        </references>
      </pivotArea>
    </format>
    <format dxfId="11734">
      <pivotArea dataOnly="0" labelOnly="1" outline="0" fieldPosition="0">
        <references count="3">
          <reference field="0" count="1" selected="0">
            <x v="252"/>
          </reference>
          <reference field="1" count="1" selected="0">
            <x v="212"/>
          </reference>
          <reference field="2" count="1">
            <x v="222"/>
          </reference>
        </references>
      </pivotArea>
    </format>
    <format dxfId="11733">
      <pivotArea dataOnly="0" labelOnly="1" outline="0" fieldPosition="0">
        <references count="3">
          <reference field="0" count="1" selected="0">
            <x v="253"/>
          </reference>
          <reference field="1" count="1" selected="0">
            <x v="340"/>
          </reference>
          <reference field="2" count="1">
            <x v="316"/>
          </reference>
        </references>
      </pivotArea>
    </format>
    <format dxfId="11732">
      <pivotArea dataOnly="0" labelOnly="1" outline="0" fieldPosition="0">
        <references count="3">
          <reference field="0" count="1" selected="0">
            <x v="254"/>
          </reference>
          <reference field="1" count="1" selected="0">
            <x v="194"/>
          </reference>
          <reference field="2" count="1">
            <x v="6"/>
          </reference>
        </references>
      </pivotArea>
    </format>
    <format dxfId="11731">
      <pivotArea dataOnly="0" labelOnly="1" outline="0" fieldPosition="0">
        <references count="3">
          <reference field="0" count="1" selected="0">
            <x v="255"/>
          </reference>
          <reference field="1" count="1" selected="0">
            <x v="334"/>
          </reference>
          <reference field="2" count="1">
            <x v="317"/>
          </reference>
        </references>
      </pivotArea>
    </format>
    <format dxfId="11730">
      <pivotArea dataOnly="0" labelOnly="1" outline="0" fieldPosition="0">
        <references count="3">
          <reference field="0" count="1" selected="0">
            <x v="256"/>
          </reference>
          <reference field="1" count="1" selected="0">
            <x v="118"/>
          </reference>
          <reference field="2" count="1">
            <x v="163"/>
          </reference>
        </references>
      </pivotArea>
    </format>
    <format dxfId="11729">
      <pivotArea dataOnly="0" labelOnly="1" outline="0" fieldPosition="0">
        <references count="3">
          <reference field="0" count="1" selected="0">
            <x v="257"/>
          </reference>
          <reference field="1" count="1" selected="0">
            <x v="5"/>
          </reference>
          <reference field="2" count="1">
            <x v="22"/>
          </reference>
        </references>
      </pivotArea>
    </format>
    <format dxfId="11728">
      <pivotArea dataOnly="0" labelOnly="1" outline="0" fieldPosition="0">
        <references count="3">
          <reference field="0" count="1" selected="0">
            <x v="258"/>
          </reference>
          <reference field="1" count="1" selected="0">
            <x v="92"/>
          </reference>
          <reference field="2" count="1">
            <x v="57"/>
          </reference>
        </references>
      </pivotArea>
    </format>
    <format dxfId="11727">
      <pivotArea dataOnly="0" labelOnly="1" outline="0" fieldPosition="0">
        <references count="3">
          <reference field="0" count="1" selected="0">
            <x v="259"/>
          </reference>
          <reference field="1" count="1" selected="0">
            <x v="4"/>
          </reference>
          <reference field="2" count="1">
            <x v="58"/>
          </reference>
        </references>
      </pivotArea>
    </format>
    <format dxfId="11726">
      <pivotArea dataOnly="0" labelOnly="1" outline="0" fieldPosition="0">
        <references count="3">
          <reference field="0" count="1" selected="0">
            <x v="260"/>
          </reference>
          <reference field="1" count="1" selected="0">
            <x v="153"/>
          </reference>
          <reference field="2" count="1">
            <x v="7"/>
          </reference>
        </references>
      </pivotArea>
    </format>
    <format dxfId="11725">
      <pivotArea dataOnly="0" labelOnly="1" outline="0" fieldPosition="0">
        <references count="3">
          <reference field="0" count="1" selected="0">
            <x v="261"/>
          </reference>
          <reference field="1" count="1" selected="0">
            <x v="262"/>
          </reference>
          <reference field="2" count="1">
            <x v="267"/>
          </reference>
        </references>
      </pivotArea>
    </format>
    <format dxfId="11724">
      <pivotArea dataOnly="0" labelOnly="1" outline="0" fieldPosition="0">
        <references count="3">
          <reference field="0" count="1" selected="0">
            <x v="262"/>
          </reference>
          <reference field="1" count="1" selected="0">
            <x v="372"/>
          </reference>
          <reference field="2" count="1">
            <x v="260"/>
          </reference>
        </references>
      </pivotArea>
    </format>
    <format dxfId="11723">
      <pivotArea dataOnly="0" labelOnly="1" outline="0" fieldPosition="0">
        <references count="3">
          <reference field="0" count="1" selected="0">
            <x v="263"/>
          </reference>
          <reference field="1" count="1" selected="0">
            <x v="87"/>
          </reference>
          <reference field="2" count="1">
            <x v="144"/>
          </reference>
        </references>
      </pivotArea>
    </format>
    <format dxfId="11722">
      <pivotArea dataOnly="0" labelOnly="1" outline="0" fieldPosition="0">
        <references count="3">
          <reference field="0" count="1" selected="0">
            <x v="264"/>
          </reference>
          <reference field="1" count="1" selected="0">
            <x v="169"/>
          </reference>
          <reference field="2" count="1">
            <x v="176"/>
          </reference>
        </references>
      </pivotArea>
    </format>
    <format dxfId="11721">
      <pivotArea dataOnly="0" labelOnly="1" outline="0" fieldPosition="0">
        <references count="3">
          <reference field="0" count="1" selected="0">
            <x v="265"/>
          </reference>
          <reference field="1" count="1" selected="0">
            <x v="72"/>
          </reference>
          <reference field="2" count="1">
            <x v="133"/>
          </reference>
        </references>
      </pivotArea>
    </format>
    <format dxfId="11720">
      <pivotArea dataOnly="0" labelOnly="1" outline="0" fieldPosition="0">
        <references count="3">
          <reference field="0" count="1" selected="0">
            <x v="266"/>
          </reference>
          <reference field="1" count="1" selected="0">
            <x v="79"/>
          </reference>
          <reference field="2" count="1">
            <x v="130"/>
          </reference>
        </references>
      </pivotArea>
    </format>
    <format dxfId="11719">
      <pivotArea dataOnly="0" labelOnly="1" outline="0" fieldPosition="0">
        <references count="3">
          <reference field="0" count="1" selected="0">
            <x v="267"/>
          </reference>
          <reference field="1" count="1" selected="0">
            <x v="80"/>
          </reference>
          <reference field="2" count="1">
            <x v="131"/>
          </reference>
        </references>
      </pivotArea>
    </format>
    <format dxfId="11718">
      <pivotArea dataOnly="0" labelOnly="1" outline="0" fieldPosition="0">
        <references count="3">
          <reference field="0" count="1" selected="0">
            <x v="268"/>
          </reference>
          <reference field="1" count="1" selected="0">
            <x v="69"/>
          </reference>
          <reference field="2" count="1">
            <x v="132"/>
          </reference>
        </references>
      </pivotArea>
    </format>
    <format dxfId="11717">
      <pivotArea dataOnly="0" labelOnly="1" outline="0" fieldPosition="0">
        <references count="3">
          <reference field="0" count="1" selected="0">
            <x v="269"/>
          </reference>
          <reference field="1" count="1" selected="0">
            <x v="382"/>
          </reference>
          <reference field="2" count="1">
            <x v="333"/>
          </reference>
        </references>
      </pivotArea>
    </format>
    <format dxfId="11716">
      <pivotArea dataOnly="0" labelOnly="1" outline="0" fieldPosition="0">
        <references count="3">
          <reference field="0" count="1" selected="0">
            <x v="270"/>
          </reference>
          <reference field="1" count="1" selected="0">
            <x v="332"/>
          </reference>
          <reference field="2" count="1">
            <x v="312"/>
          </reference>
        </references>
      </pivotArea>
    </format>
    <format dxfId="11715">
      <pivotArea dataOnly="0" labelOnly="1" outline="0" fieldPosition="0">
        <references count="3">
          <reference field="0" count="1" selected="0">
            <x v="271"/>
          </reference>
          <reference field="1" count="1" selected="0">
            <x v="325"/>
          </reference>
          <reference field="2" count="1">
            <x v="355"/>
          </reference>
        </references>
      </pivotArea>
    </format>
    <format dxfId="11714">
      <pivotArea dataOnly="0" labelOnly="1" outline="0" fieldPosition="0">
        <references count="3">
          <reference field="0" count="1" selected="0">
            <x v="272"/>
          </reference>
          <reference field="1" count="1" selected="0">
            <x v="285"/>
          </reference>
          <reference field="2" count="1">
            <x v="287"/>
          </reference>
        </references>
      </pivotArea>
    </format>
    <format dxfId="11713">
      <pivotArea dataOnly="0" labelOnly="1" outline="0" fieldPosition="0">
        <references count="3">
          <reference field="0" count="1" selected="0">
            <x v="273"/>
          </reference>
          <reference field="1" count="1" selected="0">
            <x v="129"/>
          </reference>
          <reference field="2" count="1">
            <x v="171"/>
          </reference>
        </references>
      </pivotArea>
    </format>
    <format dxfId="11712">
      <pivotArea dataOnly="0" labelOnly="1" outline="0" fieldPosition="0">
        <references count="3">
          <reference field="0" count="1" selected="0">
            <x v="274"/>
          </reference>
          <reference field="1" count="1" selected="0">
            <x v="53"/>
          </reference>
          <reference field="2" count="1">
            <x v="43"/>
          </reference>
        </references>
      </pivotArea>
    </format>
    <format dxfId="11711">
      <pivotArea dataOnly="0" labelOnly="1" outline="0" fieldPosition="0">
        <references count="3">
          <reference field="0" count="1" selected="0">
            <x v="275"/>
          </reference>
          <reference field="1" count="1" selected="0">
            <x v="246"/>
          </reference>
          <reference field="2" count="1">
            <x v="248"/>
          </reference>
        </references>
      </pivotArea>
    </format>
    <format dxfId="11710">
      <pivotArea dataOnly="0" labelOnly="1" outline="0" fieldPosition="0">
        <references count="3">
          <reference field="0" count="1" selected="0">
            <x v="276"/>
          </reference>
          <reference field="1" count="1" selected="0">
            <x v="232"/>
          </reference>
          <reference field="2" count="1">
            <x v="355"/>
          </reference>
        </references>
      </pivotArea>
    </format>
    <format dxfId="11709">
      <pivotArea dataOnly="0" labelOnly="1" outline="0" fieldPosition="0">
        <references count="3">
          <reference field="0" count="1" selected="0">
            <x v="277"/>
          </reference>
          <reference field="1" count="1" selected="0">
            <x v="239"/>
          </reference>
          <reference field="2" count="1">
            <x v="166"/>
          </reference>
        </references>
      </pivotArea>
    </format>
    <format dxfId="11708">
      <pivotArea dataOnly="0" labelOnly="1" outline="0" fieldPosition="0">
        <references count="3">
          <reference field="0" count="1" selected="0">
            <x v="278"/>
          </reference>
          <reference field="1" count="1" selected="0">
            <x v="121"/>
          </reference>
          <reference field="2" count="1">
            <x v="162"/>
          </reference>
        </references>
      </pivotArea>
    </format>
    <format dxfId="11707">
      <pivotArea dataOnly="0" labelOnly="1" outline="0" fieldPosition="0">
        <references count="3">
          <reference field="0" count="1" selected="0">
            <x v="279"/>
          </reference>
          <reference field="1" count="1" selected="0">
            <x v="234"/>
          </reference>
          <reference field="2" count="1">
            <x v="250"/>
          </reference>
        </references>
      </pivotArea>
    </format>
    <format dxfId="11706">
      <pivotArea dataOnly="0" labelOnly="1" outline="0" fieldPosition="0">
        <references count="3">
          <reference field="0" count="1" selected="0">
            <x v="280"/>
          </reference>
          <reference field="1" count="1" selected="0">
            <x v="233"/>
          </reference>
          <reference field="2" count="1">
            <x v="249"/>
          </reference>
        </references>
      </pivotArea>
    </format>
    <format dxfId="11705">
      <pivotArea dataOnly="0" labelOnly="1" outline="0" fieldPosition="0">
        <references count="3">
          <reference field="0" count="1" selected="0">
            <x v="281"/>
          </reference>
          <reference field="1" count="1" selected="0">
            <x v="307"/>
          </reference>
          <reference field="2" count="1">
            <x v="184"/>
          </reference>
        </references>
      </pivotArea>
    </format>
    <format dxfId="11704">
      <pivotArea dataOnly="0" labelOnly="1" outline="0" fieldPosition="0">
        <references count="3">
          <reference field="0" count="1" selected="0">
            <x v="282"/>
          </reference>
          <reference field="1" count="1" selected="0">
            <x v="308"/>
          </reference>
          <reference field="2" count="1">
            <x v="195"/>
          </reference>
        </references>
      </pivotArea>
    </format>
    <format dxfId="11703">
      <pivotArea dataOnly="0" labelOnly="1" outline="0" fieldPosition="0">
        <references count="3">
          <reference field="0" count="1" selected="0">
            <x v="283"/>
          </reference>
          <reference field="1" count="1" selected="0">
            <x v="328"/>
          </reference>
          <reference field="2" count="1">
            <x v="311"/>
          </reference>
        </references>
      </pivotArea>
    </format>
    <format dxfId="11702">
      <pivotArea dataOnly="0" labelOnly="1" outline="0" fieldPosition="0">
        <references count="3">
          <reference field="0" count="1" selected="0">
            <x v="284"/>
          </reference>
          <reference field="1" count="1" selected="0">
            <x v="335"/>
          </reference>
          <reference field="2" count="1">
            <x v="199"/>
          </reference>
        </references>
      </pivotArea>
    </format>
    <format dxfId="11701">
      <pivotArea dataOnly="0" labelOnly="1" outline="0" fieldPosition="0">
        <references count="3">
          <reference field="0" count="1" selected="0">
            <x v="285"/>
          </reference>
          <reference field="1" count="1" selected="0">
            <x v="228"/>
          </reference>
          <reference field="2" count="1">
            <x v="13"/>
          </reference>
        </references>
      </pivotArea>
    </format>
    <format dxfId="11700">
      <pivotArea dataOnly="0" labelOnly="1" outline="0" fieldPosition="0">
        <references count="3">
          <reference field="0" count="1" selected="0">
            <x v="286"/>
          </reference>
          <reference field="1" count="1" selected="0">
            <x v="216"/>
          </reference>
          <reference field="2" count="1">
            <x v="223"/>
          </reference>
        </references>
      </pivotArea>
    </format>
    <format dxfId="11699">
      <pivotArea dataOnly="0" labelOnly="1" outline="0" fieldPosition="0">
        <references count="3">
          <reference field="0" count="1" selected="0">
            <x v="287"/>
          </reference>
          <reference field="1" count="1" selected="0">
            <x v="346"/>
          </reference>
          <reference field="2" count="1">
            <x v="165"/>
          </reference>
        </references>
      </pivotArea>
    </format>
    <format dxfId="11698">
      <pivotArea dataOnly="0" labelOnly="1" outline="0" fieldPosition="0">
        <references count="3">
          <reference field="0" count="1" selected="0">
            <x v="288"/>
          </reference>
          <reference field="1" count="1" selected="0">
            <x v="337"/>
          </reference>
          <reference field="2" count="1">
            <x v="64"/>
          </reference>
        </references>
      </pivotArea>
    </format>
    <format dxfId="11697">
      <pivotArea dataOnly="0" labelOnly="1" outline="0" fieldPosition="0">
        <references count="3">
          <reference field="0" count="1" selected="0">
            <x v="289"/>
          </reference>
          <reference field="1" count="1" selected="0">
            <x v="312"/>
          </reference>
          <reference field="2" count="1">
            <x v="40"/>
          </reference>
        </references>
      </pivotArea>
    </format>
    <format dxfId="11696">
      <pivotArea dataOnly="0" labelOnly="1" outline="0" fieldPosition="0">
        <references count="3">
          <reference field="0" count="1" selected="0">
            <x v="290"/>
          </reference>
          <reference field="1" count="1" selected="0">
            <x v="113"/>
          </reference>
          <reference field="2" count="1">
            <x v="56"/>
          </reference>
        </references>
      </pivotArea>
    </format>
    <format dxfId="11695">
      <pivotArea dataOnly="0" labelOnly="1" outline="0" fieldPosition="0">
        <references count="3">
          <reference field="0" count="1" selected="0">
            <x v="291"/>
          </reference>
          <reference field="1" count="1" selected="0">
            <x v="135"/>
          </reference>
          <reference field="2" count="1">
            <x v="177"/>
          </reference>
        </references>
      </pivotArea>
    </format>
    <format dxfId="11694">
      <pivotArea dataOnly="0" labelOnly="1" outline="0" fieldPosition="0">
        <references count="3">
          <reference field="0" count="1" selected="0">
            <x v="292"/>
          </reference>
          <reference field="1" count="1" selected="0">
            <x v="32"/>
          </reference>
          <reference field="2" count="1">
            <x v="61"/>
          </reference>
        </references>
      </pivotArea>
    </format>
    <format dxfId="11693">
      <pivotArea dataOnly="0" labelOnly="1" outline="0" fieldPosition="0">
        <references count="3">
          <reference field="0" count="1" selected="0">
            <x v="293"/>
          </reference>
          <reference field="1" count="1" selected="0">
            <x v="103"/>
          </reference>
          <reference field="2" count="1">
            <x v="355"/>
          </reference>
        </references>
      </pivotArea>
    </format>
    <format dxfId="11692">
      <pivotArea dataOnly="0" labelOnly="1" outline="0" fieldPosition="0">
        <references count="3">
          <reference field="0" count="1" selected="0">
            <x v="294"/>
          </reference>
          <reference field="1" count="1" selected="0">
            <x v="140"/>
          </reference>
          <reference field="2" count="1">
            <x v="122"/>
          </reference>
        </references>
      </pivotArea>
    </format>
    <format dxfId="11691">
      <pivotArea dataOnly="0" labelOnly="1" outline="0" fieldPosition="0">
        <references count="3">
          <reference field="0" count="1" selected="0">
            <x v="295"/>
          </reference>
          <reference field="1" count="1" selected="0">
            <x v="142"/>
          </reference>
          <reference field="2" count="1">
            <x v="15"/>
          </reference>
        </references>
      </pivotArea>
    </format>
    <format dxfId="11690">
      <pivotArea dataOnly="0" labelOnly="1" outline="0" fieldPosition="0">
        <references count="3">
          <reference field="0" count="1" selected="0">
            <x v="296"/>
          </reference>
          <reference field="1" count="1" selected="0">
            <x v="141"/>
          </reference>
          <reference field="2" count="1">
            <x v="123"/>
          </reference>
        </references>
      </pivotArea>
    </format>
    <format dxfId="11689">
      <pivotArea dataOnly="0" labelOnly="1" outline="0" fieldPosition="0">
        <references count="3">
          <reference field="0" count="1" selected="0">
            <x v="297"/>
          </reference>
          <reference field="1" count="1" selected="0">
            <x v="125"/>
          </reference>
          <reference field="2" count="1">
            <x v="134"/>
          </reference>
        </references>
      </pivotArea>
    </format>
    <format dxfId="11688">
      <pivotArea dataOnly="0" labelOnly="1" outline="0" fieldPosition="0">
        <references count="3">
          <reference field="0" count="1" selected="0">
            <x v="298"/>
          </reference>
          <reference field="1" count="1" selected="0">
            <x v="123"/>
          </reference>
          <reference field="2" count="1">
            <x v="26"/>
          </reference>
        </references>
      </pivotArea>
    </format>
    <format dxfId="11687">
      <pivotArea dataOnly="0" labelOnly="1" outline="0" fieldPosition="0">
        <references count="3">
          <reference field="0" count="1" selected="0">
            <x v="299"/>
          </reference>
          <reference field="1" count="1" selected="0">
            <x v="280"/>
          </reference>
          <reference field="2" count="1">
            <x v="47"/>
          </reference>
        </references>
      </pivotArea>
    </format>
    <format dxfId="11686">
      <pivotArea dataOnly="0" labelOnly="1" outline="0" fieldPosition="0">
        <references count="3">
          <reference field="0" count="1" selected="0">
            <x v="300"/>
          </reference>
          <reference field="1" count="1" selected="0">
            <x v="147"/>
          </reference>
          <reference field="2" count="1">
            <x v="179"/>
          </reference>
        </references>
      </pivotArea>
    </format>
    <format dxfId="11685">
      <pivotArea dataOnly="0" labelOnly="1" outline="0" fieldPosition="0">
        <references count="3">
          <reference field="0" count="1" selected="0">
            <x v="301"/>
          </reference>
          <reference field="1" count="1" selected="0">
            <x v="174"/>
          </reference>
          <reference field="2" count="1">
            <x v="219"/>
          </reference>
        </references>
      </pivotArea>
    </format>
    <format dxfId="11684">
      <pivotArea dataOnly="0" labelOnly="1" outline="0" fieldPosition="0">
        <references count="3">
          <reference field="0" count="1" selected="0">
            <x v="302"/>
          </reference>
          <reference field="1" count="1" selected="0">
            <x v="145"/>
          </reference>
          <reference field="2" count="1">
            <x v="178"/>
          </reference>
        </references>
      </pivotArea>
    </format>
    <format dxfId="11683">
      <pivotArea dataOnly="0" labelOnly="1" outline="0" fieldPosition="0">
        <references count="3">
          <reference field="0" count="1" selected="0">
            <x v="303"/>
          </reference>
          <reference field="1" count="1" selected="0">
            <x v="143"/>
          </reference>
          <reference field="2" count="1">
            <x v="181"/>
          </reference>
        </references>
      </pivotArea>
    </format>
    <format dxfId="11682">
      <pivotArea dataOnly="0" labelOnly="1" outline="0" fieldPosition="0">
        <references count="3">
          <reference field="0" count="1" selected="0">
            <x v="304"/>
          </reference>
          <reference field="1" count="1" selected="0">
            <x v="144"/>
          </reference>
          <reference field="2" count="1">
            <x v="182"/>
          </reference>
        </references>
      </pivotArea>
    </format>
    <format dxfId="11681">
      <pivotArea dataOnly="0" labelOnly="1" outline="0" fieldPosition="0">
        <references count="3">
          <reference field="0" count="1" selected="0">
            <x v="305"/>
          </reference>
          <reference field="1" count="1" selected="0">
            <x v="146"/>
          </reference>
          <reference field="2" count="1">
            <x v="180"/>
          </reference>
        </references>
      </pivotArea>
    </format>
    <format dxfId="11680">
      <pivotArea dataOnly="0" labelOnly="1" outline="0" fieldPosition="0">
        <references count="3">
          <reference field="0" count="1" selected="0">
            <x v="306"/>
          </reference>
          <reference field="1" count="1" selected="0">
            <x v="75"/>
          </reference>
          <reference field="2" count="1">
            <x v="45"/>
          </reference>
        </references>
      </pivotArea>
    </format>
    <format dxfId="11679">
      <pivotArea dataOnly="0" labelOnly="1" outline="0" fieldPosition="0">
        <references count="3">
          <reference field="0" count="1" selected="0">
            <x v="307"/>
          </reference>
          <reference field="1" count="1" selected="0">
            <x v="85"/>
          </reference>
          <reference field="2" count="1">
            <x v="141"/>
          </reference>
        </references>
      </pivotArea>
    </format>
    <format dxfId="11678">
      <pivotArea dataOnly="0" labelOnly="1" outline="0" fieldPosition="0">
        <references count="3">
          <reference field="0" count="1" selected="0">
            <x v="308"/>
          </reference>
          <reference field="1" count="1" selected="0">
            <x v="105"/>
          </reference>
          <reference field="2" count="1">
            <x v="152"/>
          </reference>
        </references>
      </pivotArea>
    </format>
    <format dxfId="11677">
      <pivotArea dataOnly="0" labelOnly="1" outline="0" fieldPosition="0">
        <references count="3">
          <reference field="0" count="1" selected="0">
            <x v="309"/>
          </reference>
          <reference field="1" count="1" selected="0">
            <x v="362"/>
          </reference>
          <reference field="2" count="1">
            <x v="12"/>
          </reference>
        </references>
      </pivotArea>
    </format>
    <format dxfId="11676">
      <pivotArea dataOnly="0" labelOnly="1" outline="0" fieldPosition="0">
        <references count="3">
          <reference field="0" count="1" selected="0">
            <x v="310"/>
          </reference>
          <reference field="1" count="1" selected="0">
            <x v="171"/>
          </reference>
          <reference field="2" count="1">
            <x v="198"/>
          </reference>
        </references>
      </pivotArea>
    </format>
    <format dxfId="11675">
      <pivotArea dataOnly="0" labelOnly="1" outline="0" fieldPosition="0">
        <references count="3">
          <reference field="0" count="1" selected="0">
            <x v="311"/>
          </reference>
          <reference field="1" count="1" selected="0">
            <x v="126"/>
          </reference>
          <reference field="2" count="1">
            <x v="168"/>
          </reference>
        </references>
      </pivotArea>
    </format>
    <format dxfId="11674">
      <pivotArea dataOnly="0" labelOnly="1" outline="0" fieldPosition="0">
        <references count="3">
          <reference field="0" count="1" selected="0">
            <x v="312"/>
          </reference>
          <reference field="1" count="1" selected="0">
            <x v="127"/>
          </reference>
          <reference field="2" count="1">
            <x v="169"/>
          </reference>
        </references>
      </pivotArea>
    </format>
    <format dxfId="11673">
      <pivotArea dataOnly="0" labelOnly="1" outline="0" fieldPosition="0">
        <references count="3">
          <reference field="0" count="1" selected="0">
            <x v="313"/>
          </reference>
          <reference field="1" count="1" selected="0">
            <x v="343"/>
          </reference>
          <reference field="2" count="1">
            <x v="324"/>
          </reference>
        </references>
      </pivotArea>
    </format>
    <format dxfId="11672">
      <pivotArea dataOnly="0" labelOnly="1" outline="0" fieldPosition="0">
        <references count="3">
          <reference field="0" count="1" selected="0">
            <x v="314"/>
          </reference>
          <reference field="1" count="1" selected="0">
            <x v="344"/>
          </reference>
          <reference field="2" count="1">
            <x v="325"/>
          </reference>
        </references>
      </pivotArea>
    </format>
    <format dxfId="11671">
      <pivotArea dataOnly="0" labelOnly="1" outline="0" fieldPosition="0">
        <references count="3">
          <reference field="0" count="1" selected="0">
            <x v="315"/>
          </reference>
          <reference field="1" count="1" selected="0">
            <x v="306"/>
          </reference>
          <reference field="2" count="1">
            <x v="292"/>
          </reference>
        </references>
      </pivotArea>
    </format>
    <format dxfId="11670">
      <pivotArea dataOnly="0" labelOnly="1" outline="0" fieldPosition="0">
        <references count="3">
          <reference field="0" count="1" selected="0">
            <x v="316"/>
          </reference>
          <reference field="1" count="1" selected="0">
            <x v="124"/>
          </reference>
          <reference field="2" count="1">
            <x v="167"/>
          </reference>
        </references>
      </pivotArea>
    </format>
    <format dxfId="11669">
      <pivotArea dataOnly="0" labelOnly="1" outline="0" fieldPosition="0">
        <references count="3">
          <reference field="0" count="1" selected="0">
            <x v="317"/>
          </reference>
          <reference field="1" count="1" selected="0">
            <x v="375"/>
          </reference>
          <reference field="2" count="1">
            <x v="335"/>
          </reference>
        </references>
      </pivotArea>
    </format>
    <format dxfId="11668">
      <pivotArea dataOnly="0" labelOnly="1" outline="0" fieldPosition="0">
        <references count="3">
          <reference field="0" count="1" selected="0">
            <x v="318"/>
          </reference>
          <reference field="1" count="1" selected="0">
            <x v="357"/>
          </reference>
          <reference field="2" count="1">
            <x v="350"/>
          </reference>
        </references>
      </pivotArea>
    </format>
    <format dxfId="11667">
      <pivotArea dataOnly="0" labelOnly="1" outline="0" fieldPosition="0">
        <references count="3">
          <reference field="0" count="1" selected="0">
            <x v="319"/>
          </reference>
          <reference field="1" count="1" selected="0">
            <x v="358"/>
          </reference>
          <reference field="2" count="1">
            <x v="351"/>
          </reference>
        </references>
      </pivotArea>
    </format>
    <format dxfId="11666">
      <pivotArea dataOnly="0" labelOnly="1" outline="0" fieldPosition="0">
        <references count="3">
          <reference field="0" count="1" selected="0">
            <x v="320"/>
          </reference>
          <reference field="1" count="1" selected="0">
            <x v="359"/>
          </reference>
          <reference field="2" count="1">
            <x v="348"/>
          </reference>
        </references>
      </pivotArea>
    </format>
    <format dxfId="11665">
      <pivotArea dataOnly="0" labelOnly="1" outline="0" fieldPosition="0">
        <references count="3">
          <reference field="0" count="1" selected="0">
            <x v="321"/>
          </reference>
          <reference field="1" count="1" selected="0">
            <x v="374"/>
          </reference>
          <reference field="2" count="1">
            <x v="334"/>
          </reference>
        </references>
      </pivotArea>
    </format>
    <format dxfId="11664">
      <pivotArea dataOnly="0" labelOnly="1" outline="0" fieldPosition="0">
        <references count="3">
          <reference field="0" count="1" selected="0">
            <x v="322"/>
          </reference>
          <reference field="1" count="1" selected="0">
            <x v="356"/>
          </reference>
          <reference field="2" count="1">
            <x v="349"/>
          </reference>
        </references>
      </pivotArea>
    </format>
    <format dxfId="11663">
      <pivotArea dataOnly="0" labelOnly="1" outline="0" fieldPosition="0">
        <references count="3">
          <reference field="0" count="1" selected="0">
            <x v="323"/>
          </reference>
          <reference field="1" count="1" selected="0">
            <x v="219"/>
          </reference>
          <reference field="2" count="1">
            <x v="243"/>
          </reference>
        </references>
      </pivotArea>
    </format>
    <format dxfId="11662">
      <pivotArea dataOnly="0" labelOnly="1" outline="0" fieldPosition="0">
        <references count="3">
          <reference field="0" count="1" selected="0">
            <x v="324"/>
          </reference>
          <reference field="1" count="1" selected="0">
            <x v="309"/>
          </reference>
          <reference field="2" count="1">
            <x v="295"/>
          </reference>
        </references>
      </pivotArea>
    </format>
    <format dxfId="11661">
      <pivotArea dataOnly="0" labelOnly="1" outline="0" fieldPosition="0">
        <references count="3">
          <reference field="0" count="1" selected="0">
            <x v="325"/>
          </reference>
          <reference field="1" count="1" selected="0">
            <x v="63"/>
          </reference>
          <reference field="2" count="1">
            <x v="18"/>
          </reference>
        </references>
      </pivotArea>
    </format>
    <format dxfId="11660">
      <pivotArea dataOnly="0" labelOnly="1" outline="0" fieldPosition="0">
        <references count="3">
          <reference field="0" count="1" selected="0">
            <x v="326"/>
          </reference>
          <reference field="1" count="1" selected="0">
            <x v="175"/>
          </reference>
          <reference field="2" count="1">
            <x v="201"/>
          </reference>
        </references>
      </pivotArea>
    </format>
    <format dxfId="11659">
      <pivotArea dataOnly="0" labelOnly="1" outline="0" fieldPosition="0">
        <references count="3">
          <reference field="0" count="1" selected="0">
            <x v="327"/>
          </reference>
          <reference field="1" count="1" selected="0">
            <x v="326"/>
          </reference>
          <reference field="2" count="1">
            <x v="307"/>
          </reference>
        </references>
      </pivotArea>
    </format>
    <format dxfId="11658">
      <pivotArea dataOnly="0" labelOnly="1" outline="0" fieldPosition="0">
        <references count="3">
          <reference field="0" count="1" selected="0">
            <x v="328"/>
          </reference>
          <reference field="1" count="1" selected="0">
            <x v="56"/>
          </reference>
          <reference field="2" count="1">
            <x v="17"/>
          </reference>
        </references>
      </pivotArea>
    </format>
    <format dxfId="11657">
      <pivotArea dataOnly="0" labelOnly="1" outline="0" fieldPosition="0">
        <references count="3">
          <reference field="0" count="1" selected="0">
            <x v="329"/>
          </reference>
          <reference field="1" count="1" selected="0">
            <x v="134"/>
          </reference>
          <reference field="2" count="1">
            <x v="62"/>
          </reference>
        </references>
      </pivotArea>
    </format>
    <format dxfId="11656">
      <pivotArea dataOnly="0" labelOnly="1" outline="0" fieldPosition="0">
        <references count="3">
          <reference field="0" count="1" selected="0">
            <x v="330"/>
          </reference>
          <reference field="1" count="1" selected="0">
            <x v="151"/>
          </reference>
          <reference field="2" count="1">
            <x v="188"/>
          </reference>
        </references>
      </pivotArea>
    </format>
    <format dxfId="11655">
      <pivotArea dataOnly="0" labelOnly="1" outline="0" fieldPosition="0">
        <references count="3">
          <reference field="0" count="1" selected="0">
            <x v="331"/>
          </reference>
          <reference field="1" count="1" selected="0">
            <x v="222"/>
          </reference>
          <reference field="2" count="1">
            <x v="170"/>
          </reference>
        </references>
      </pivotArea>
    </format>
    <format dxfId="11654">
      <pivotArea dataOnly="0" labelOnly="1" outline="0" fieldPosition="0">
        <references count="3">
          <reference field="0" count="1" selected="0">
            <x v="332"/>
          </reference>
          <reference field="1" count="1" selected="0">
            <x v="276"/>
          </reference>
          <reference field="2" count="1">
            <x v="149"/>
          </reference>
        </references>
      </pivotArea>
    </format>
    <format dxfId="11653">
      <pivotArea dataOnly="0" labelOnly="1" outline="0" fieldPosition="0">
        <references count="3">
          <reference field="0" count="1" selected="0">
            <x v="333"/>
          </reference>
          <reference field="1" count="1" selected="0">
            <x v="122"/>
          </reference>
          <reference field="2" count="1">
            <x v="353"/>
          </reference>
        </references>
      </pivotArea>
    </format>
    <format dxfId="11652">
      <pivotArea dataOnly="0" labelOnly="1" outline="0" fieldPosition="0">
        <references count="3">
          <reference field="0" count="1" selected="0">
            <x v="334"/>
          </reference>
          <reference field="1" count="1" selected="0">
            <x v="247"/>
          </reference>
          <reference field="2" count="1">
            <x v="129"/>
          </reference>
        </references>
      </pivotArea>
    </format>
    <format dxfId="11651">
      <pivotArea dataOnly="0" labelOnly="1" outline="0" fieldPosition="0">
        <references count="3">
          <reference field="0" count="1" selected="0">
            <x v="335"/>
          </reference>
          <reference field="1" count="1" selected="0">
            <x v="57"/>
          </reference>
          <reference field="2" count="1">
            <x v="94"/>
          </reference>
        </references>
      </pivotArea>
    </format>
    <format dxfId="11650">
      <pivotArea dataOnly="0" labelOnly="1" outline="0" fieldPosition="0">
        <references count="3">
          <reference field="0" count="1" selected="0">
            <x v="336"/>
          </reference>
          <reference field="1" count="1" selected="0">
            <x v="321"/>
          </reference>
          <reference field="2" count="1">
            <x v="136"/>
          </reference>
        </references>
      </pivotArea>
    </format>
    <format dxfId="11649">
      <pivotArea dataOnly="0" labelOnly="1" outline="0" fieldPosition="0">
        <references count="3">
          <reference field="0" count="1" selected="0">
            <x v="337"/>
          </reference>
          <reference field="1" count="1" selected="0">
            <x v="149"/>
          </reference>
          <reference field="2" count="1">
            <x v="14"/>
          </reference>
        </references>
      </pivotArea>
    </format>
    <format dxfId="11648">
      <pivotArea dataOnly="0" labelOnly="1" outline="0" fieldPosition="0">
        <references count="3">
          <reference field="0" count="1" selected="0">
            <x v="338"/>
          </reference>
          <reference field="1" count="1" selected="0">
            <x v="93"/>
          </reference>
          <reference field="2" count="1">
            <x v="36"/>
          </reference>
        </references>
      </pivotArea>
    </format>
    <format dxfId="11647">
      <pivotArea dataOnly="0" labelOnly="1" outline="0" fieldPosition="0">
        <references count="3">
          <reference field="0" count="1" selected="0">
            <x v="339"/>
          </reference>
          <reference field="1" count="1" selected="0">
            <x v="130"/>
          </reference>
          <reference field="2" count="1">
            <x v="41"/>
          </reference>
        </references>
      </pivotArea>
    </format>
    <format dxfId="11646">
      <pivotArea dataOnly="0" labelOnly="1" outline="0" fieldPosition="0">
        <references count="3">
          <reference field="0" count="1" selected="0">
            <x v="340"/>
          </reference>
          <reference field="1" count="1" selected="0">
            <x v="324"/>
          </reference>
          <reference field="2" count="1">
            <x v="298"/>
          </reference>
        </references>
      </pivotArea>
    </format>
    <format dxfId="11645">
      <pivotArea dataOnly="0" labelOnly="1" outline="0" fieldPosition="0">
        <references count="3">
          <reference field="0" count="1" selected="0">
            <x v="341"/>
          </reference>
          <reference field="1" count="1" selected="0">
            <x v="322"/>
          </reference>
          <reference field="2" count="1">
            <x v="296"/>
          </reference>
        </references>
      </pivotArea>
    </format>
    <format dxfId="11644">
      <pivotArea dataOnly="0" labelOnly="1" outline="0" fieldPosition="0">
        <references count="3">
          <reference field="0" count="1" selected="0">
            <x v="342"/>
          </reference>
          <reference field="1" count="1" selected="0">
            <x v="323"/>
          </reference>
          <reference field="2" count="1">
            <x v="297"/>
          </reference>
        </references>
      </pivotArea>
    </format>
    <format dxfId="11643">
      <pivotArea dataOnly="0" labelOnly="1" outline="0" fieldPosition="0">
        <references count="3">
          <reference field="0" count="1" selected="0">
            <x v="343"/>
          </reference>
          <reference field="1" count="1" selected="0">
            <x v="254"/>
          </reference>
          <reference field="2" count="1">
            <x v="259"/>
          </reference>
        </references>
      </pivotArea>
    </format>
    <format dxfId="11642">
      <pivotArea dataOnly="0" labelOnly="1" outline="0" fieldPosition="0">
        <references count="3">
          <reference field="0" count="1" selected="0">
            <x v="344"/>
          </reference>
          <reference field="1" count="1" selected="0">
            <x v="320"/>
          </reference>
          <reference field="2" count="1">
            <x v="302"/>
          </reference>
        </references>
      </pivotArea>
    </format>
    <format dxfId="11641">
      <pivotArea dataOnly="0" labelOnly="1" outline="0" fieldPosition="0">
        <references count="3">
          <reference field="0" count="1" selected="0">
            <x v="345"/>
          </reference>
          <reference field="1" count="1" selected="0">
            <x v="277"/>
          </reference>
          <reference field="2" count="1">
            <x v="274"/>
          </reference>
        </references>
      </pivotArea>
    </format>
    <format dxfId="11640">
      <pivotArea dataOnly="0" labelOnly="1" outline="0" fieldPosition="0">
        <references count="3">
          <reference field="0" count="1" selected="0">
            <x v="346"/>
          </reference>
          <reference field="1" count="1" selected="0">
            <x v="214"/>
          </reference>
          <reference field="2" count="1">
            <x v="119"/>
          </reference>
        </references>
      </pivotArea>
    </format>
    <format dxfId="11639">
      <pivotArea dataOnly="0" labelOnly="1" outline="0" fieldPosition="0">
        <references count="3">
          <reference field="0" count="1" selected="0">
            <x v="347"/>
          </reference>
          <reference field="1" count="1" selected="0">
            <x v="345"/>
          </reference>
          <reference field="2" count="1">
            <x v="323"/>
          </reference>
        </references>
      </pivotArea>
    </format>
    <format dxfId="11638">
      <pivotArea dataOnly="0" labelOnly="1" outline="0" fieldPosition="0">
        <references count="3">
          <reference field="0" count="1" selected="0">
            <x v="348"/>
          </reference>
          <reference field="1" count="1" selected="0">
            <x v="263"/>
          </reference>
          <reference field="2" count="1">
            <x v="261"/>
          </reference>
        </references>
      </pivotArea>
    </format>
    <format dxfId="11637">
      <pivotArea dataOnly="0" labelOnly="1" outline="0" fieldPosition="0">
        <references count="3">
          <reference field="0" count="1" selected="0">
            <x v="349"/>
          </reference>
          <reference field="1" count="1" selected="0">
            <x v="236"/>
          </reference>
          <reference field="2" count="1">
            <x v="254"/>
          </reference>
        </references>
      </pivotArea>
    </format>
    <format dxfId="11636">
      <pivotArea dataOnly="0" labelOnly="1" outline="0" fieldPosition="0">
        <references count="3">
          <reference field="0" count="1" selected="0">
            <x v="350"/>
          </reference>
          <reference field="1" count="1" selected="0">
            <x v="240"/>
          </reference>
          <reference field="2" count="1">
            <x v="55"/>
          </reference>
        </references>
      </pivotArea>
    </format>
    <format dxfId="11635">
      <pivotArea dataOnly="0" labelOnly="1" outline="0" fieldPosition="0">
        <references count="3">
          <reference field="0" count="1" selected="0">
            <x v="351"/>
          </reference>
          <reference field="1" count="1" selected="0">
            <x v="268"/>
          </reference>
          <reference field="2" count="1">
            <x v="271"/>
          </reference>
        </references>
      </pivotArea>
    </format>
    <format dxfId="11634">
      <pivotArea dataOnly="0" labelOnly="1" outline="0" fieldPosition="0">
        <references count="3">
          <reference field="0" count="1" selected="0">
            <x v="352"/>
          </reference>
          <reference field="1" count="1" selected="0">
            <x v="377"/>
          </reference>
          <reference field="2" count="1">
            <x v="336"/>
          </reference>
        </references>
      </pivotArea>
    </format>
    <format dxfId="11633">
      <pivotArea dataOnly="0" labelOnly="1" outline="0" fieldPosition="0">
        <references count="3">
          <reference field="0" count="1" selected="0">
            <x v="353"/>
          </reference>
          <reference field="1" count="1" selected="0">
            <x v="67"/>
          </reference>
          <reference field="2" count="1">
            <x v="128"/>
          </reference>
        </references>
      </pivotArea>
    </format>
    <format dxfId="11632">
      <pivotArea dataOnly="0" labelOnly="1" outline="0" fieldPosition="0">
        <references count="3">
          <reference field="0" count="1" selected="0">
            <x v="354"/>
          </reference>
          <reference field="1" count="1" selected="0">
            <x v="120"/>
          </reference>
          <reference field="2" count="1">
            <x v="148"/>
          </reference>
        </references>
      </pivotArea>
    </format>
    <format dxfId="11631">
      <pivotArea dataOnly="0" labelOnly="1" outline="0" fieldPosition="0">
        <references count="3">
          <reference field="0" count="1" selected="0">
            <x v="355"/>
          </reference>
          <reference field="1" count="1" selected="0">
            <x v="170"/>
          </reference>
          <reference field="2" count="1">
            <x v="49"/>
          </reference>
        </references>
      </pivotArea>
    </format>
    <format dxfId="11630">
      <pivotArea dataOnly="0" labelOnly="1" outline="0" fieldPosition="0">
        <references count="3">
          <reference field="0" count="1" selected="0">
            <x v="356"/>
          </reference>
          <reference field="1" count="1" selected="0">
            <x v="255"/>
          </reference>
          <reference field="2" count="1">
            <x v="1"/>
          </reference>
        </references>
      </pivotArea>
    </format>
    <format dxfId="11629">
      <pivotArea dataOnly="0" labelOnly="1" outline="0" fieldPosition="0">
        <references count="3">
          <reference field="0" count="1" selected="0">
            <x v="357"/>
          </reference>
          <reference field="1" count="1" selected="0">
            <x v="49"/>
          </reference>
          <reference field="2" count="1">
            <x v="93"/>
          </reference>
        </references>
      </pivotArea>
    </format>
    <format dxfId="11628">
      <pivotArea dataOnly="0" labelOnly="1" outline="0" fieldPosition="0">
        <references count="3">
          <reference field="0" count="1" selected="0">
            <x v="358"/>
          </reference>
          <reference field="1" count="1" selected="0">
            <x v="376"/>
          </reference>
          <reference field="2" count="1">
            <x v="30"/>
          </reference>
        </references>
      </pivotArea>
    </format>
    <format dxfId="11627">
      <pivotArea dataOnly="0" labelOnly="1" outline="0" fieldPosition="0">
        <references count="3">
          <reference field="0" count="1" selected="0">
            <x v="359"/>
          </reference>
          <reference field="1" count="1" selected="0">
            <x v="11"/>
          </reference>
          <reference field="2" count="1">
            <x v="75"/>
          </reference>
        </references>
      </pivotArea>
    </format>
    <format dxfId="11626">
      <pivotArea dataOnly="0" labelOnly="1" outline="0" fieldPosition="0">
        <references count="3">
          <reference field="0" count="1" selected="0">
            <x v="360"/>
          </reference>
          <reference field="1" count="1" selected="0">
            <x v="368"/>
          </reference>
          <reference field="2" count="1">
            <x v="344"/>
          </reference>
        </references>
      </pivotArea>
    </format>
    <format dxfId="11625">
      <pivotArea dataOnly="0" labelOnly="1" outline="0" fieldPosition="0">
        <references count="3">
          <reference field="0" count="1" selected="0">
            <x v="361"/>
          </reference>
          <reference field="1" count="1" selected="0">
            <x v="367"/>
          </reference>
          <reference field="2" count="1">
            <x v="345"/>
          </reference>
        </references>
      </pivotArea>
    </format>
    <format dxfId="11624">
      <pivotArea dataOnly="0" labelOnly="1" outline="0" fieldPosition="0">
        <references count="3">
          <reference field="0" count="1" selected="0">
            <x v="362"/>
          </reference>
          <reference field="1" count="1" selected="0">
            <x v="338"/>
          </reference>
          <reference field="2" count="1">
            <x v="319"/>
          </reference>
        </references>
      </pivotArea>
    </format>
    <format dxfId="11623">
      <pivotArea dataOnly="0" labelOnly="1" outline="0" fieldPosition="0">
        <references count="3">
          <reference field="0" count="1" selected="0">
            <x v="363"/>
          </reference>
          <reference field="1" count="1" selected="0">
            <x v="65"/>
          </reference>
          <reference field="2" count="1">
            <x v="46"/>
          </reference>
        </references>
      </pivotArea>
    </format>
    <format dxfId="11622">
      <pivotArea dataOnly="0" labelOnly="1" outline="0" fieldPosition="0">
        <references count="3">
          <reference field="0" count="1" selected="0">
            <x v="364"/>
          </reference>
          <reference field="1" count="1" selected="0">
            <x v="15"/>
          </reference>
          <reference field="2" count="1">
            <x v="76"/>
          </reference>
        </references>
      </pivotArea>
    </format>
    <format dxfId="11621">
      <pivotArea dataOnly="0" labelOnly="1" outline="0" fieldPosition="0">
        <references count="3">
          <reference field="0" count="1" selected="0">
            <x v="365"/>
          </reference>
          <reference field="1" count="1" selected="0">
            <x v="235"/>
          </reference>
          <reference field="2" count="1">
            <x v="77"/>
          </reference>
        </references>
      </pivotArea>
    </format>
    <format dxfId="11620">
      <pivotArea dataOnly="0" labelOnly="1" outline="0" fieldPosition="0">
        <references count="3">
          <reference field="0" count="1" selected="0">
            <x v="366"/>
          </reference>
          <reference field="1" count="1" selected="0">
            <x v="13"/>
          </reference>
          <reference field="2" count="1">
            <x v="76"/>
          </reference>
        </references>
      </pivotArea>
    </format>
    <format dxfId="11619">
      <pivotArea dataOnly="0" labelOnly="1" outline="0" fieldPosition="0">
        <references count="3">
          <reference field="0" count="1" selected="0">
            <x v="369"/>
          </reference>
          <reference field="1" count="1" selected="0">
            <x v="109"/>
          </reference>
          <reference field="2" count="1">
            <x v="78"/>
          </reference>
        </references>
      </pivotArea>
    </format>
    <format dxfId="11618">
      <pivotArea dataOnly="0" labelOnly="1" outline="0" fieldPosition="0">
        <references count="3">
          <reference field="0" count="1" selected="0">
            <x v="370"/>
          </reference>
          <reference field="1" count="1" selected="0">
            <x v="112"/>
          </reference>
          <reference field="2" count="1">
            <x v="82"/>
          </reference>
        </references>
      </pivotArea>
    </format>
    <format dxfId="11617">
      <pivotArea dataOnly="0" labelOnly="1" outline="0" fieldPosition="0">
        <references count="3">
          <reference field="0" count="1" selected="0">
            <x v="371"/>
          </reference>
          <reference field="1" count="1" selected="0">
            <x v="19"/>
          </reference>
          <reference field="2" count="1">
            <x v="76"/>
          </reference>
        </references>
      </pivotArea>
    </format>
    <format dxfId="11616">
      <pivotArea dataOnly="0" labelOnly="1" outline="0" fieldPosition="0">
        <references count="3">
          <reference field="0" count="1" selected="0">
            <x v="372"/>
          </reference>
          <reference field="1" count="1" selected="0">
            <x v="111"/>
          </reference>
          <reference field="2" count="1">
            <x v="81"/>
          </reference>
        </references>
      </pivotArea>
    </format>
    <format dxfId="11615">
      <pivotArea dataOnly="0" labelOnly="1" outline="0" fieldPosition="0">
        <references count="3">
          <reference field="0" count="1" selected="0">
            <x v="373"/>
          </reference>
          <reference field="1" count="1" selected="0">
            <x v="17"/>
          </reference>
          <reference field="2" count="1">
            <x v="76"/>
          </reference>
        </references>
      </pivotArea>
    </format>
    <format dxfId="11614">
      <pivotArea dataOnly="0" labelOnly="1" outline="0" fieldPosition="0">
        <references count="3">
          <reference field="0" count="1" selected="0">
            <x v="376"/>
          </reference>
          <reference field="1" count="1" selected="0">
            <x v="110"/>
          </reference>
          <reference field="2" count="1">
            <x v="80"/>
          </reference>
        </references>
      </pivotArea>
    </format>
    <format dxfId="11613">
      <pivotArea dataOnly="0" labelOnly="1" outline="0" fieldPosition="0">
        <references count="3">
          <reference field="0" count="1" selected="0">
            <x v="377"/>
          </reference>
          <reference field="1" count="1" selected="0">
            <x v="14"/>
          </reference>
          <reference field="2" count="1">
            <x v="76"/>
          </reference>
        </references>
      </pivotArea>
    </format>
    <format dxfId="11612">
      <pivotArea dataOnly="0" labelOnly="1" outline="0" fieldPosition="0">
        <references count="3">
          <reference field="0" count="1" selected="0">
            <x v="378"/>
          </reference>
          <reference field="1" count="1" selected="0">
            <x v="97"/>
          </reference>
          <reference field="2" count="1">
            <x v="79"/>
          </reference>
        </references>
      </pivotArea>
    </format>
    <format dxfId="11611">
      <pivotArea dataOnly="0" labelOnly="1" outline="0" fieldPosition="0">
        <references count="3">
          <reference field="0" count="1" selected="0">
            <x v="379"/>
          </reference>
          <reference field="1" count="1" selected="0">
            <x v="78"/>
          </reference>
          <reference field="2" count="1">
            <x v="69"/>
          </reference>
        </references>
      </pivotArea>
    </format>
    <format dxfId="11610">
      <pivotArea dataOnly="0" labelOnly="1" outline="0" fieldPosition="0">
        <references count="3">
          <reference field="0" count="1" selected="0">
            <x v="380"/>
          </reference>
          <reference field="1" count="1" selected="0">
            <x v="76"/>
          </reference>
          <reference field="2" count="1">
            <x v="71"/>
          </reference>
        </references>
      </pivotArea>
    </format>
    <format dxfId="11609">
      <pivotArea dataOnly="0" labelOnly="1" outline="0" fieldPosition="0">
        <references count="3">
          <reference field="0" count="1" selected="0">
            <x v="381"/>
          </reference>
          <reference field="1" count="1" selected="0">
            <x v="77"/>
          </reference>
          <reference field="2" count="1">
            <x v="70"/>
          </reference>
        </references>
      </pivotArea>
    </format>
    <format dxfId="11608">
      <pivotArea dataOnly="0" labelOnly="1" outline="0" fieldPosition="0">
        <references count="3">
          <reference field="0" count="1" selected="0">
            <x v="382"/>
          </reference>
          <reference field="1" count="1" selected="0">
            <x v="383"/>
          </reference>
          <reference field="2" count="1">
            <x v="355"/>
          </reference>
        </references>
      </pivotArea>
    </format>
    <format dxfId="11607">
      <pivotArea dataOnly="0" labelOnly="1" outline="0" fieldPosition="0">
        <references count="1">
          <reference field="4294967294" count="2">
            <x v="1"/>
            <x v="2"/>
          </reference>
        </references>
      </pivotArea>
    </format>
    <format dxfId="11606">
      <pivotArea type="all" dataOnly="0" outline="0" fieldPosition="0"/>
    </format>
    <format dxfId="11605">
      <pivotArea outline="0" collapsedLevelsAreSubtotals="1" fieldPosition="0"/>
    </format>
    <format dxfId="11604">
      <pivotArea field="0" type="button" dataOnly="0" labelOnly="1" outline="0" axis="axisRow" fieldPosition="0"/>
    </format>
    <format dxfId="11603">
      <pivotArea field="1" type="button" dataOnly="0" labelOnly="1" outline="0" axis="axisRow" fieldPosition="1"/>
    </format>
    <format dxfId="11602">
      <pivotArea field="2" type="button" dataOnly="0" labelOnly="1" outline="0" axis="axisRow" fieldPosition="2"/>
    </format>
    <format dxfId="11601">
      <pivotArea field="5" type="button" dataOnly="0" labelOnly="1" outline="0"/>
    </format>
    <format dxfId="11600">
      <pivotArea dataOnly="0" labelOnly="1" outline="0"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1599">
      <pivotArea dataOnly="0" labelOnly="1" outline="0"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1598">
      <pivotArea dataOnly="0" labelOnly="1" outline="0"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1597">
      <pivotArea dataOnly="0" labelOnly="1" outline="0"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1596">
      <pivotArea dataOnly="0" labelOnly="1" outline="0"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11595">
      <pivotArea dataOnly="0" labelOnly="1" outline="0"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11594">
      <pivotArea dataOnly="0" labelOnly="1" outline="0"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11593">
      <pivotArea dataOnly="0" labelOnly="1" outline="0" fieldPosition="0">
        <references count="1">
          <reference field="0" count="33">
            <x v="350"/>
            <x v="351"/>
            <x v="352"/>
            <x v="353"/>
            <x v="354"/>
            <x v="355"/>
            <x v="356"/>
            <x v="357"/>
            <x v="358"/>
            <x v="359"/>
            <x v="360"/>
            <x v="361"/>
            <x v="362"/>
            <x v="363"/>
            <x v="364"/>
            <x v="365"/>
            <x v="366"/>
            <x v="367"/>
            <x v="368"/>
            <x v="369"/>
            <x v="370"/>
            <x v="371"/>
            <x v="372"/>
            <x v="373"/>
            <x v="374"/>
            <x v="375"/>
            <x v="376"/>
            <x v="377"/>
            <x v="378"/>
            <x v="379"/>
            <x v="380"/>
            <x v="381"/>
            <x v="382"/>
          </reference>
        </references>
      </pivotArea>
    </format>
    <format dxfId="11592">
      <pivotArea dataOnly="0" labelOnly="1" grandRow="1" outline="0" fieldPosition="0"/>
    </format>
    <format dxfId="11591">
      <pivotArea dataOnly="0" labelOnly="1" outline="0" fieldPosition="0">
        <references count="2">
          <reference field="0" count="1" selected="0">
            <x v="0"/>
          </reference>
          <reference field="1" count="1">
            <x v="50"/>
          </reference>
        </references>
      </pivotArea>
    </format>
    <format dxfId="11590">
      <pivotArea dataOnly="0" labelOnly="1" outline="0" fieldPosition="0">
        <references count="2">
          <reference field="0" count="1" selected="0">
            <x v="1"/>
          </reference>
          <reference field="1" count="1">
            <x v="0"/>
          </reference>
        </references>
      </pivotArea>
    </format>
    <format dxfId="11589">
      <pivotArea dataOnly="0" labelOnly="1" outline="0" fieldPosition="0">
        <references count="2">
          <reference field="0" count="1" selected="0">
            <x v="2"/>
          </reference>
          <reference field="1" count="1">
            <x v="52"/>
          </reference>
        </references>
      </pivotArea>
    </format>
    <format dxfId="11588">
      <pivotArea dataOnly="0" labelOnly="1" outline="0" fieldPosition="0">
        <references count="2">
          <reference field="0" count="1" selected="0">
            <x v="3"/>
          </reference>
          <reference field="1" count="1">
            <x v="51"/>
          </reference>
        </references>
      </pivotArea>
    </format>
    <format dxfId="11587">
      <pivotArea dataOnly="0" labelOnly="1" outline="0" fieldPosition="0">
        <references count="2">
          <reference field="0" count="1" selected="0">
            <x v="4"/>
          </reference>
          <reference field="1" count="1">
            <x v="310"/>
          </reference>
        </references>
      </pivotArea>
    </format>
    <format dxfId="11586">
      <pivotArea dataOnly="0" labelOnly="1" outline="0" fieldPosition="0">
        <references count="2">
          <reference field="0" count="1" selected="0">
            <x v="5"/>
          </reference>
          <reference field="1" count="1">
            <x v="296"/>
          </reference>
        </references>
      </pivotArea>
    </format>
    <format dxfId="11585">
      <pivotArea dataOnly="0" labelOnly="1" outline="0" fieldPosition="0">
        <references count="2">
          <reference field="0" count="1" selected="0">
            <x v="6"/>
          </reference>
          <reference field="1" count="1">
            <x v="102"/>
          </reference>
        </references>
      </pivotArea>
    </format>
    <format dxfId="11584">
      <pivotArea dataOnly="0" labelOnly="1" outline="0" fieldPosition="0">
        <references count="2">
          <reference field="0" count="1" selected="0">
            <x v="7"/>
          </reference>
          <reference field="1" count="1">
            <x v="380"/>
          </reference>
        </references>
      </pivotArea>
    </format>
    <format dxfId="11583">
      <pivotArea dataOnly="0" labelOnly="1" outline="0" fieldPosition="0">
        <references count="2">
          <reference field="0" count="1" selected="0">
            <x v="8"/>
          </reference>
          <reference field="1" count="1">
            <x v="148"/>
          </reference>
        </references>
      </pivotArea>
    </format>
    <format dxfId="11582">
      <pivotArea dataOnly="0" labelOnly="1" outline="0" fieldPosition="0">
        <references count="2">
          <reference field="0" count="1" selected="0">
            <x v="9"/>
          </reference>
          <reference field="1" count="1">
            <x v="152"/>
          </reference>
        </references>
      </pivotArea>
    </format>
    <format dxfId="11581">
      <pivotArea dataOnly="0" labelOnly="1" outline="0" fieldPosition="0">
        <references count="2">
          <reference field="0" count="1" selected="0">
            <x v="10"/>
          </reference>
          <reference field="1" count="1">
            <x v="366"/>
          </reference>
        </references>
      </pivotArea>
    </format>
    <format dxfId="11580">
      <pivotArea dataOnly="0" labelOnly="1" outline="0" fieldPosition="0">
        <references count="2">
          <reference field="0" count="1" selected="0">
            <x v="11"/>
          </reference>
          <reference field="1" count="1">
            <x v="104"/>
          </reference>
        </references>
      </pivotArea>
    </format>
    <format dxfId="11579">
      <pivotArea dataOnly="0" labelOnly="1" outline="0" fieldPosition="0">
        <references count="2">
          <reference field="0" count="1" selected="0">
            <x v="12"/>
          </reference>
          <reference field="1" count="1">
            <x v="354"/>
          </reference>
        </references>
      </pivotArea>
    </format>
    <format dxfId="11578">
      <pivotArea dataOnly="0" labelOnly="1" outline="0" fieldPosition="0">
        <references count="2">
          <reference field="0" count="1" selected="0">
            <x v="13"/>
          </reference>
          <reference field="1" count="1">
            <x v="64"/>
          </reference>
        </references>
      </pivotArea>
    </format>
    <format dxfId="11577">
      <pivotArea dataOnly="0" labelOnly="1" outline="0" fieldPosition="0">
        <references count="2">
          <reference field="0" count="1" selected="0">
            <x v="14"/>
          </reference>
          <reference field="1" count="1">
            <x v="138"/>
          </reference>
        </references>
      </pivotArea>
    </format>
    <format dxfId="11576">
      <pivotArea dataOnly="0" labelOnly="1" outline="0" fieldPosition="0">
        <references count="2">
          <reference field="0" count="1" selected="0">
            <x v="15"/>
          </reference>
          <reference field="1" count="1">
            <x v="241"/>
          </reference>
        </references>
      </pivotArea>
    </format>
    <format dxfId="11575">
      <pivotArea dataOnly="0" labelOnly="1" outline="0" fieldPosition="0">
        <references count="2">
          <reference field="0" count="1" selected="0">
            <x v="16"/>
          </reference>
          <reference field="1" count="1">
            <x v="61"/>
          </reference>
        </references>
      </pivotArea>
    </format>
    <format dxfId="11574">
      <pivotArea dataOnly="0" labelOnly="1" outline="0" fieldPosition="0">
        <references count="2">
          <reference field="0" count="1" selected="0">
            <x v="17"/>
          </reference>
          <reference field="1" count="1">
            <x v="31"/>
          </reference>
        </references>
      </pivotArea>
    </format>
    <format dxfId="11573">
      <pivotArea dataOnly="0" labelOnly="1" outline="0" fieldPosition="0">
        <references count="2">
          <reference field="0" count="1" selected="0">
            <x v="18"/>
          </reference>
          <reference field="1" count="1">
            <x v="128"/>
          </reference>
        </references>
      </pivotArea>
    </format>
    <format dxfId="11572">
      <pivotArea dataOnly="0" labelOnly="1" outline="0" fieldPosition="0">
        <references count="2">
          <reference field="0" count="1" selected="0">
            <x v="19"/>
          </reference>
          <reference field="1" count="1">
            <x v="115"/>
          </reference>
        </references>
      </pivotArea>
    </format>
    <format dxfId="11571">
      <pivotArea dataOnly="0" labelOnly="1" outline="0" fieldPosition="0">
        <references count="2">
          <reference field="0" count="1" selected="0">
            <x v="20"/>
          </reference>
          <reference field="1" count="1">
            <x v="223"/>
          </reference>
        </references>
      </pivotArea>
    </format>
    <format dxfId="11570">
      <pivotArea dataOnly="0" labelOnly="1" outline="0" fieldPosition="0">
        <references count="2">
          <reference field="0" count="1" selected="0">
            <x v="21"/>
          </reference>
          <reference field="1" count="1">
            <x v="342"/>
          </reference>
        </references>
      </pivotArea>
    </format>
    <format dxfId="11569">
      <pivotArea dataOnly="0" labelOnly="1" outline="0" fieldPosition="0">
        <references count="2">
          <reference field="0" count="1" selected="0">
            <x v="22"/>
          </reference>
          <reference field="1" count="1">
            <x v="313"/>
          </reference>
        </references>
      </pivotArea>
    </format>
    <format dxfId="11568">
      <pivotArea dataOnly="0" labelOnly="1" outline="0" fieldPosition="0">
        <references count="2">
          <reference field="0" count="1" selected="0">
            <x v="23"/>
          </reference>
          <reference field="1" count="1">
            <x v="34"/>
          </reference>
        </references>
      </pivotArea>
    </format>
    <format dxfId="11567">
      <pivotArea dataOnly="0" labelOnly="1" outline="0" fieldPosition="0">
        <references count="2">
          <reference field="0" count="1" selected="0">
            <x v="24"/>
          </reference>
          <reference field="1" count="1">
            <x v="35"/>
          </reference>
        </references>
      </pivotArea>
    </format>
    <format dxfId="11566">
      <pivotArea dataOnly="0" labelOnly="1" outline="0" fieldPosition="0">
        <references count="2">
          <reference field="0" count="1" selected="0">
            <x v="25"/>
          </reference>
          <reference field="1" count="1">
            <x v="36"/>
          </reference>
        </references>
      </pivotArea>
    </format>
    <format dxfId="11565">
      <pivotArea dataOnly="0" labelOnly="1" outline="0" fieldPosition="0">
        <references count="2">
          <reference field="0" count="1" selected="0">
            <x v="26"/>
          </reference>
          <reference field="1" count="1">
            <x v="248"/>
          </reference>
        </references>
      </pivotArea>
    </format>
    <format dxfId="11564">
      <pivotArea dataOnly="0" labelOnly="1" outline="0" fieldPosition="0">
        <references count="2">
          <reference field="0" count="1" selected="0">
            <x v="27"/>
          </reference>
          <reference field="1" count="1">
            <x v="3"/>
          </reference>
        </references>
      </pivotArea>
    </format>
    <format dxfId="11563">
      <pivotArea dataOnly="0" labelOnly="1" outline="0" fieldPosition="0">
        <references count="2">
          <reference field="0" count="1" selected="0">
            <x v="28"/>
          </reference>
          <reference field="1" count="1">
            <x v="260"/>
          </reference>
        </references>
      </pivotArea>
    </format>
    <format dxfId="11562">
      <pivotArea dataOnly="0" labelOnly="1" outline="0" fieldPosition="0">
        <references count="2">
          <reference field="0" count="1" selected="0">
            <x v="29"/>
          </reference>
          <reference field="1" count="1">
            <x v="237"/>
          </reference>
        </references>
      </pivotArea>
    </format>
    <format dxfId="11561">
      <pivotArea dataOnly="0" labelOnly="1" outline="0" fieldPosition="0">
        <references count="2">
          <reference field="0" count="1" selected="0">
            <x v="30"/>
          </reference>
          <reference field="1" count="1">
            <x v="327"/>
          </reference>
        </references>
      </pivotArea>
    </format>
    <format dxfId="11560">
      <pivotArea dataOnly="0" labelOnly="1" outline="0" fieldPosition="0">
        <references count="2">
          <reference field="0" count="1" selected="0">
            <x v="31"/>
          </reference>
          <reference field="1" count="1">
            <x v="59"/>
          </reference>
        </references>
      </pivotArea>
    </format>
    <format dxfId="11559">
      <pivotArea dataOnly="0" labelOnly="1" outline="0" fieldPosition="0">
        <references count="2">
          <reference field="0" count="1" selected="0">
            <x v="32"/>
          </reference>
          <reference field="1" count="1">
            <x v="10"/>
          </reference>
        </references>
      </pivotArea>
    </format>
    <format dxfId="11558">
      <pivotArea dataOnly="0" labelOnly="1" outline="0" fieldPosition="0">
        <references count="2">
          <reference field="0" count="1" selected="0">
            <x v="33"/>
          </reference>
          <reference field="1" count="1">
            <x v="116"/>
          </reference>
        </references>
      </pivotArea>
    </format>
    <format dxfId="11557">
      <pivotArea dataOnly="0" labelOnly="1" outline="0" fieldPosition="0">
        <references count="2">
          <reference field="0" count="1" selected="0">
            <x v="34"/>
          </reference>
          <reference field="1" count="1">
            <x v="86"/>
          </reference>
        </references>
      </pivotArea>
    </format>
    <format dxfId="11556">
      <pivotArea dataOnly="0" labelOnly="1" outline="0" fieldPosition="0">
        <references count="2">
          <reference field="0" count="1" selected="0">
            <x v="35"/>
          </reference>
          <reference field="1" count="1">
            <x v="7"/>
          </reference>
        </references>
      </pivotArea>
    </format>
    <format dxfId="11555">
      <pivotArea dataOnly="0" labelOnly="1" outline="0" fieldPosition="0">
        <references count="2">
          <reference field="0" count="1" selected="0">
            <x v="36"/>
          </reference>
          <reference field="1" count="1">
            <x v="8"/>
          </reference>
        </references>
      </pivotArea>
    </format>
    <format dxfId="11554">
      <pivotArea dataOnly="0" labelOnly="1" outline="0" fieldPosition="0">
        <references count="2">
          <reference field="0" count="1" selected="0">
            <x v="37"/>
          </reference>
          <reference field="1" count="1">
            <x v="101"/>
          </reference>
        </references>
      </pivotArea>
    </format>
    <format dxfId="11553">
      <pivotArea dataOnly="0" labelOnly="1" outline="0" fieldPosition="0">
        <references count="2">
          <reference field="0" count="1" selected="0">
            <x v="38"/>
          </reference>
          <reference field="1" count="1">
            <x v="281"/>
          </reference>
        </references>
      </pivotArea>
    </format>
    <format dxfId="11552">
      <pivotArea dataOnly="0" labelOnly="1" outline="0" fieldPosition="0">
        <references count="2">
          <reference field="0" count="1" selected="0">
            <x v="39"/>
          </reference>
          <reference field="1" count="1">
            <x v="284"/>
          </reference>
        </references>
      </pivotArea>
    </format>
    <format dxfId="11551">
      <pivotArea dataOnly="0" labelOnly="1" outline="0" fieldPosition="0">
        <references count="2">
          <reference field="0" count="1" selected="0">
            <x v="40"/>
          </reference>
          <reference field="1" count="1">
            <x v="364"/>
          </reference>
        </references>
      </pivotArea>
    </format>
    <format dxfId="11550">
      <pivotArea dataOnly="0" labelOnly="1" outline="0" fieldPosition="0">
        <references count="2">
          <reference field="0" count="1" selected="0">
            <x v="41"/>
          </reference>
          <reference field="1" count="1">
            <x v="251"/>
          </reference>
        </references>
      </pivotArea>
    </format>
    <format dxfId="11549">
      <pivotArea dataOnly="0" labelOnly="1" outline="0" fieldPosition="0">
        <references count="2">
          <reference field="0" count="1" selected="0">
            <x v="42"/>
          </reference>
          <reference field="1" count="1">
            <x v="161"/>
          </reference>
        </references>
      </pivotArea>
    </format>
    <format dxfId="11548">
      <pivotArea dataOnly="0" labelOnly="1" outline="0" fieldPosition="0">
        <references count="2">
          <reference field="0" count="1" selected="0">
            <x v="43"/>
          </reference>
          <reference field="1" count="1">
            <x v="160"/>
          </reference>
        </references>
      </pivotArea>
    </format>
    <format dxfId="11547">
      <pivotArea dataOnly="0" labelOnly="1" outline="0" fieldPosition="0">
        <references count="2">
          <reference field="0" count="1" selected="0">
            <x v="44"/>
          </reference>
          <reference field="1" count="1">
            <x v="162"/>
          </reference>
        </references>
      </pivotArea>
    </format>
    <format dxfId="11546">
      <pivotArea dataOnly="0" labelOnly="1" outline="0" fieldPosition="0">
        <references count="2">
          <reference field="0" count="1" selected="0">
            <x v="45"/>
          </reference>
          <reference field="1" count="1">
            <x v="159"/>
          </reference>
        </references>
      </pivotArea>
    </format>
    <format dxfId="11545">
      <pivotArea dataOnly="0" labelOnly="1" outline="0" fieldPosition="0">
        <references count="2">
          <reference field="0" count="1" selected="0">
            <x v="46"/>
          </reference>
          <reference field="1" count="1">
            <x v="2"/>
          </reference>
        </references>
      </pivotArea>
    </format>
    <format dxfId="11544">
      <pivotArea dataOnly="0" labelOnly="1" outline="0" fieldPosition="0">
        <references count="2">
          <reference field="0" count="1" selected="0">
            <x v="47"/>
          </reference>
          <reference field="1" count="1">
            <x v="329"/>
          </reference>
        </references>
      </pivotArea>
    </format>
    <format dxfId="11543">
      <pivotArea dataOnly="0" labelOnly="1" outline="0" fieldPosition="0">
        <references count="2">
          <reference field="0" count="1" selected="0">
            <x v="48"/>
          </reference>
          <reference field="1" count="1">
            <x v="95"/>
          </reference>
        </references>
      </pivotArea>
    </format>
    <format dxfId="11542">
      <pivotArea dataOnly="0" labelOnly="1" outline="0" fieldPosition="0">
        <references count="2">
          <reference field="0" count="1" selected="0">
            <x v="49"/>
          </reference>
          <reference field="1" count="1">
            <x v="99"/>
          </reference>
        </references>
      </pivotArea>
    </format>
    <format dxfId="11541">
      <pivotArea dataOnly="0" labelOnly="1" outline="0" fieldPosition="0">
        <references count="2">
          <reference field="0" count="1" selected="0">
            <x v="50"/>
          </reference>
          <reference field="1" count="1">
            <x v="98"/>
          </reference>
        </references>
      </pivotArea>
    </format>
    <format dxfId="11540">
      <pivotArea dataOnly="0" labelOnly="1" outline="0" fieldPosition="0">
        <references count="2">
          <reference field="0" count="1" selected="0">
            <x v="51"/>
          </reference>
          <reference field="1" count="1">
            <x v="96"/>
          </reference>
        </references>
      </pivotArea>
    </format>
    <format dxfId="11539">
      <pivotArea dataOnly="0" labelOnly="1" outline="0" fieldPosition="0">
        <references count="2">
          <reference field="0" count="1" selected="0">
            <x v="52"/>
          </reference>
          <reference field="1" count="1">
            <x v="100"/>
          </reference>
        </references>
      </pivotArea>
    </format>
    <format dxfId="11538">
      <pivotArea dataOnly="0" labelOnly="1" outline="0" fieldPosition="0">
        <references count="2">
          <reference field="0" count="1" selected="0">
            <x v="53"/>
          </reference>
          <reference field="1" count="1">
            <x v="299"/>
          </reference>
        </references>
      </pivotArea>
    </format>
    <format dxfId="11537">
      <pivotArea dataOnly="0" labelOnly="1" outline="0" fieldPosition="0">
        <references count="2">
          <reference field="0" count="1" selected="0">
            <x v="54"/>
          </reference>
          <reference field="1" count="1">
            <x v="275"/>
          </reference>
        </references>
      </pivotArea>
    </format>
    <format dxfId="11536">
      <pivotArea dataOnly="0" labelOnly="1" outline="0" fieldPosition="0">
        <references count="2">
          <reference field="0" count="1" selected="0">
            <x v="55"/>
          </reference>
          <reference field="1" count="1">
            <x v="33"/>
          </reference>
        </references>
      </pivotArea>
    </format>
    <format dxfId="11535">
      <pivotArea dataOnly="0" labelOnly="1" outline="0" fieldPosition="0">
        <references count="2">
          <reference field="0" count="1" selected="0">
            <x v="56"/>
          </reference>
          <reference field="1" count="1">
            <x v="28"/>
          </reference>
        </references>
      </pivotArea>
    </format>
    <format dxfId="11534">
      <pivotArea dataOnly="0" labelOnly="1" outline="0" fieldPosition="0">
        <references count="2">
          <reference field="0" count="1" selected="0">
            <x v="57"/>
          </reference>
          <reference field="1" count="1">
            <x v="29"/>
          </reference>
        </references>
      </pivotArea>
    </format>
    <format dxfId="11533">
      <pivotArea dataOnly="0" labelOnly="1" outline="0" fieldPosition="0">
        <references count="2">
          <reference field="0" count="1" selected="0">
            <x v="58"/>
          </reference>
          <reference field="1" count="1">
            <x v="197"/>
          </reference>
        </references>
      </pivotArea>
    </format>
    <format dxfId="11532">
      <pivotArea dataOnly="0" labelOnly="1" outline="0" fieldPosition="0">
        <references count="2">
          <reference field="0" count="1" selected="0">
            <x v="59"/>
          </reference>
          <reference field="1" count="1">
            <x v="156"/>
          </reference>
        </references>
      </pivotArea>
    </format>
    <format dxfId="11531">
      <pivotArea dataOnly="0" labelOnly="1" outline="0" fieldPosition="0">
        <references count="2">
          <reference field="0" count="1" selected="0">
            <x v="60"/>
          </reference>
          <reference field="1" count="1">
            <x v="348"/>
          </reference>
        </references>
      </pivotArea>
    </format>
    <format dxfId="11530">
      <pivotArea dataOnly="0" labelOnly="1" outline="0" fieldPosition="0">
        <references count="2">
          <reference field="0" count="1" selected="0">
            <x v="61"/>
          </reference>
          <reference field="1" count="1">
            <x v="295"/>
          </reference>
        </references>
      </pivotArea>
    </format>
    <format dxfId="11529">
      <pivotArea dataOnly="0" labelOnly="1" outline="0" fieldPosition="0">
        <references count="2">
          <reference field="0" count="1" selected="0">
            <x v="62"/>
          </reference>
          <reference field="1" count="1">
            <x v="352"/>
          </reference>
        </references>
      </pivotArea>
    </format>
    <format dxfId="11528">
      <pivotArea dataOnly="0" labelOnly="1" outline="0" fieldPosition="0">
        <references count="2">
          <reference field="0" count="1" selected="0">
            <x v="63"/>
          </reference>
          <reference field="1" count="1">
            <x v="289"/>
          </reference>
        </references>
      </pivotArea>
    </format>
    <format dxfId="11527">
      <pivotArea dataOnly="0" labelOnly="1" outline="0" fieldPosition="0">
        <references count="2">
          <reference field="0" count="1" selected="0">
            <x v="64"/>
          </reference>
          <reference field="1" count="1">
            <x v="347"/>
          </reference>
        </references>
      </pivotArea>
    </format>
    <format dxfId="11526">
      <pivotArea dataOnly="0" labelOnly="1" outline="0" fieldPosition="0">
        <references count="2">
          <reference field="0" count="1" selected="0">
            <x v="65"/>
          </reference>
          <reference field="1" count="1">
            <x v="286"/>
          </reference>
        </references>
      </pivotArea>
    </format>
    <format dxfId="11525">
      <pivotArea dataOnly="0" labelOnly="1" outline="0" fieldPosition="0">
        <references count="2">
          <reference field="0" count="1" selected="0">
            <x v="66"/>
          </reference>
          <reference field="1" count="1">
            <x v="287"/>
          </reference>
        </references>
      </pivotArea>
    </format>
    <format dxfId="11524">
      <pivotArea dataOnly="0" labelOnly="1" outline="0" fieldPosition="0">
        <references count="2">
          <reference field="0" count="1" selected="0">
            <x v="67"/>
          </reference>
          <reference field="1" count="1">
            <x v="294"/>
          </reference>
        </references>
      </pivotArea>
    </format>
    <format dxfId="11523">
      <pivotArea dataOnly="0" labelOnly="1" outline="0" fieldPosition="0">
        <references count="2">
          <reference field="0" count="1" selected="0">
            <x v="68"/>
          </reference>
          <reference field="1" count="1">
            <x v="353"/>
          </reference>
        </references>
      </pivotArea>
    </format>
    <format dxfId="11522">
      <pivotArea dataOnly="0" labelOnly="1" outline="0" fieldPosition="0">
        <references count="2">
          <reference field="0" count="1" selected="0">
            <x v="69"/>
          </reference>
          <reference field="1" count="1">
            <x v="350"/>
          </reference>
        </references>
      </pivotArea>
    </format>
    <format dxfId="11521">
      <pivotArea dataOnly="0" labelOnly="1" outline="0" fieldPosition="0">
        <references count="2">
          <reference field="0" count="1" selected="0">
            <x v="70"/>
          </reference>
          <reference field="1" count="1">
            <x v="288"/>
          </reference>
        </references>
      </pivotArea>
    </format>
    <format dxfId="11520">
      <pivotArea dataOnly="0" labelOnly="1" outline="0" fieldPosition="0">
        <references count="2">
          <reference field="0" count="1" selected="0">
            <x v="71"/>
          </reference>
          <reference field="1" count="1">
            <x v="290"/>
          </reference>
        </references>
      </pivotArea>
    </format>
    <format dxfId="11519">
      <pivotArea dataOnly="0" labelOnly="1" outline="0" fieldPosition="0">
        <references count="2">
          <reference field="0" count="1" selected="0">
            <x v="72"/>
          </reference>
          <reference field="1" count="1">
            <x v="292"/>
          </reference>
        </references>
      </pivotArea>
    </format>
    <format dxfId="11518">
      <pivotArea dataOnly="0" labelOnly="1" outline="0" fieldPosition="0">
        <references count="2">
          <reference field="0" count="1" selected="0">
            <x v="73"/>
          </reference>
          <reference field="1" count="1">
            <x v="349"/>
          </reference>
        </references>
      </pivotArea>
    </format>
    <format dxfId="11517">
      <pivotArea dataOnly="0" labelOnly="1" outline="0" fieldPosition="0">
        <references count="2">
          <reference field="0" count="1" selected="0">
            <x v="74"/>
          </reference>
          <reference field="1" count="1">
            <x v="293"/>
          </reference>
        </references>
      </pivotArea>
    </format>
    <format dxfId="11516">
      <pivotArea dataOnly="0" labelOnly="1" outline="0" fieldPosition="0">
        <references count="2">
          <reference field="0" count="1" selected="0">
            <x v="75"/>
          </reference>
          <reference field="1" count="1">
            <x v="291"/>
          </reference>
        </references>
      </pivotArea>
    </format>
    <format dxfId="11515">
      <pivotArea dataOnly="0" labelOnly="1" outline="0" fieldPosition="0">
        <references count="2">
          <reference field="0" count="1" selected="0">
            <x v="76"/>
          </reference>
          <reference field="1" count="1">
            <x v="269"/>
          </reference>
        </references>
      </pivotArea>
    </format>
    <format dxfId="11514">
      <pivotArea dataOnly="0" labelOnly="1" outline="0" fieldPosition="0">
        <references count="2">
          <reference field="0" count="1" selected="0">
            <x v="77"/>
          </reference>
          <reference field="1" count="1">
            <x v="373"/>
          </reference>
        </references>
      </pivotArea>
    </format>
    <format dxfId="11513">
      <pivotArea dataOnly="0" labelOnly="1" outline="0" fieldPosition="0">
        <references count="2">
          <reference field="0" count="1" selected="0">
            <x v="78"/>
          </reference>
          <reference field="1" count="1">
            <x v="317"/>
          </reference>
        </references>
      </pivotArea>
    </format>
    <format dxfId="11512">
      <pivotArea dataOnly="0" labelOnly="1" outline="0" fieldPosition="0">
        <references count="2">
          <reference field="0" count="1" selected="0">
            <x v="79"/>
          </reference>
          <reference field="1" count="1">
            <x v="210"/>
          </reference>
        </references>
      </pivotArea>
    </format>
    <format dxfId="11511">
      <pivotArea dataOnly="0" labelOnly="1" outline="0" fieldPosition="0">
        <references count="2">
          <reference field="0" count="1" selected="0">
            <x v="80"/>
          </reference>
          <reference field="1" count="1">
            <x v="273"/>
          </reference>
        </references>
      </pivotArea>
    </format>
    <format dxfId="11510">
      <pivotArea dataOnly="0" labelOnly="1" outline="0" fieldPosition="0">
        <references count="2">
          <reference field="0" count="1" selected="0">
            <x v="81"/>
          </reference>
          <reference field="1" count="1">
            <x v="215"/>
          </reference>
        </references>
      </pivotArea>
    </format>
    <format dxfId="11509">
      <pivotArea dataOnly="0" labelOnly="1" outline="0" fieldPosition="0">
        <references count="2">
          <reference field="0" count="1" selected="0">
            <x v="82"/>
          </reference>
          <reference field="1" count="1">
            <x v="60"/>
          </reference>
        </references>
      </pivotArea>
    </format>
    <format dxfId="11508">
      <pivotArea dataOnly="0" labelOnly="1" outline="0" fieldPosition="0">
        <references count="2">
          <reference field="0" count="1" selected="0">
            <x v="83"/>
          </reference>
          <reference field="1" count="1">
            <x v="155"/>
          </reference>
        </references>
      </pivotArea>
    </format>
    <format dxfId="11507">
      <pivotArea dataOnly="0" labelOnly="1" outline="0" fieldPosition="0">
        <references count="2">
          <reference field="0" count="1" selected="0">
            <x v="84"/>
          </reference>
          <reference field="1" count="1">
            <x v="331"/>
          </reference>
        </references>
      </pivotArea>
    </format>
    <format dxfId="11506">
      <pivotArea dataOnly="0" labelOnly="1" outline="0" fieldPosition="0">
        <references count="2">
          <reference field="0" count="1" selected="0">
            <x v="85"/>
          </reference>
          <reference field="1" count="1">
            <x v="132"/>
          </reference>
        </references>
      </pivotArea>
    </format>
    <format dxfId="11505">
      <pivotArea dataOnly="0" labelOnly="1" outline="0" fieldPosition="0">
        <references count="2">
          <reference field="0" count="1" selected="0">
            <x v="86"/>
          </reference>
          <reference field="1" count="1">
            <x v="370"/>
          </reference>
        </references>
      </pivotArea>
    </format>
    <format dxfId="11504">
      <pivotArea dataOnly="0" labelOnly="1" outline="0" fieldPosition="0">
        <references count="2">
          <reference field="0" count="1" selected="0">
            <x v="87"/>
          </reference>
          <reference field="1" count="1">
            <x v="88"/>
          </reference>
        </references>
      </pivotArea>
    </format>
    <format dxfId="11503">
      <pivotArea dataOnly="0" labelOnly="1" outline="0" fieldPosition="0">
        <references count="2">
          <reference field="0" count="1" selected="0">
            <x v="88"/>
          </reference>
          <reference field="1" count="1">
            <x v="249"/>
          </reference>
        </references>
      </pivotArea>
    </format>
    <format dxfId="11502">
      <pivotArea dataOnly="0" labelOnly="1" outline="0" fieldPosition="0">
        <references count="2">
          <reference field="0" count="1" selected="0">
            <x v="89"/>
          </reference>
          <reference field="1" count="1">
            <x v="167"/>
          </reference>
        </references>
      </pivotArea>
    </format>
    <format dxfId="11501">
      <pivotArea dataOnly="0" labelOnly="1" outline="0" fieldPosition="0">
        <references count="2">
          <reference field="0" count="1" selected="0">
            <x v="90"/>
          </reference>
          <reference field="1" count="1">
            <x v="298"/>
          </reference>
        </references>
      </pivotArea>
    </format>
    <format dxfId="11500">
      <pivotArea dataOnly="0" labelOnly="1" outline="0" fieldPosition="0">
        <references count="2">
          <reference field="0" count="1" selected="0">
            <x v="91"/>
          </reference>
          <reference field="1" count="1">
            <x v="271"/>
          </reference>
        </references>
      </pivotArea>
    </format>
    <format dxfId="11499">
      <pivotArea dataOnly="0" labelOnly="1" outline="0" fieldPosition="0">
        <references count="2">
          <reference field="0" count="1" selected="0">
            <x v="92"/>
          </reference>
          <reference field="1" count="1">
            <x v="272"/>
          </reference>
        </references>
      </pivotArea>
    </format>
    <format dxfId="11498">
      <pivotArea dataOnly="0" labelOnly="1" outline="0" fieldPosition="0">
        <references count="2">
          <reference field="0" count="1" selected="0">
            <x v="93"/>
          </reference>
          <reference field="1" count="1">
            <x v="106"/>
          </reference>
        </references>
      </pivotArea>
    </format>
    <format dxfId="11497">
      <pivotArea dataOnly="0" labelOnly="1" outline="0" fieldPosition="0">
        <references count="2">
          <reference field="0" count="1" selected="0">
            <x v="94"/>
          </reference>
          <reference field="1" count="1">
            <x v="304"/>
          </reference>
        </references>
      </pivotArea>
    </format>
    <format dxfId="11496">
      <pivotArea dataOnly="0" labelOnly="1" outline="0" fieldPosition="0">
        <references count="2">
          <reference field="0" count="1" selected="0">
            <x v="95"/>
          </reference>
          <reference field="1" count="1">
            <x v="81"/>
          </reference>
        </references>
      </pivotArea>
    </format>
    <format dxfId="11495">
      <pivotArea dataOnly="0" labelOnly="1" outline="0" fieldPosition="0">
        <references count="2">
          <reference field="0" count="1" selected="0">
            <x v="96"/>
          </reference>
          <reference field="1" count="1">
            <x v="84"/>
          </reference>
        </references>
      </pivotArea>
    </format>
    <format dxfId="11494">
      <pivotArea dataOnly="0" labelOnly="1" outline="0" fieldPosition="0">
        <references count="2">
          <reference field="0" count="1" selected="0">
            <x v="97"/>
          </reference>
          <reference field="1" count="1">
            <x v="168"/>
          </reference>
        </references>
      </pivotArea>
    </format>
    <format dxfId="11493">
      <pivotArea dataOnly="0" labelOnly="1" outline="0" fieldPosition="0">
        <references count="2">
          <reference field="0" count="1" selected="0">
            <x v="98"/>
          </reference>
          <reference field="1" count="1">
            <x v="187"/>
          </reference>
        </references>
      </pivotArea>
    </format>
    <format dxfId="11492">
      <pivotArea dataOnly="0" labelOnly="1" outline="0" fieldPosition="0">
        <references count="2">
          <reference field="0" count="1" selected="0">
            <x v="99"/>
          </reference>
          <reference field="1" count="1">
            <x v="177"/>
          </reference>
        </references>
      </pivotArea>
    </format>
    <format dxfId="11491">
      <pivotArea dataOnly="0" labelOnly="1" outline="0" fieldPosition="0">
        <references count="2">
          <reference field="0" count="1" selected="0">
            <x v="100"/>
          </reference>
          <reference field="1" count="1">
            <x v="89"/>
          </reference>
        </references>
      </pivotArea>
    </format>
    <format dxfId="11490">
      <pivotArea dataOnly="0" labelOnly="1" outline="0" fieldPosition="0">
        <references count="2">
          <reference field="0" count="1" selected="0">
            <x v="101"/>
          </reference>
          <reference field="1" count="1">
            <x v="94"/>
          </reference>
        </references>
      </pivotArea>
    </format>
    <format dxfId="11489">
      <pivotArea dataOnly="0" labelOnly="1" outline="0" fieldPosition="0">
        <references count="2">
          <reference field="0" count="1" selected="0">
            <x v="102"/>
          </reference>
          <reference field="1" count="1">
            <x v="173"/>
          </reference>
        </references>
      </pivotArea>
    </format>
    <format dxfId="11488">
      <pivotArea dataOnly="0" labelOnly="1" outline="0" fieldPosition="0">
        <references count="2">
          <reference field="0" count="1" selected="0">
            <x v="103"/>
          </reference>
          <reference field="1" count="1">
            <x v="82"/>
          </reference>
        </references>
      </pivotArea>
    </format>
    <format dxfId="11487">
      <pivotArea dataOnly="0" labelOnly="1" outline="0" fieldPosition="0">
        <references count="2">
          <reference field="0" count="1" selected="0">
            <x v="104"/>
          </reference>
          <reference field="1" count="1">
            <x v="83"/>
          </reference>
        </references>
      </pivotArea>
    </format>
    <format dxfId="11486">
      <pivotArea dataOnly="0" labelOnly="1" outline="0" fieldPosition="0">
        <references count="2">
          <reference field="0" count="1" selected="0">
            <x v="105"/>
          </reference>
          <reference field="1" count="1">
            <x v="189"/>
          </reference>
        </references>
      </pivotArea>
    </format>
    <format dxfId="11485">
      <pivotArea dataOnly="0" labelOnly="1" outline="0" fieldPosition="0">
        <references count="2">
          <reference field="0" count="1" selected="0">
            <x v="106"/>
          </reference>
          <reference field="1" count="1">
            <x v="330"/>
          </reference>
        </references>
      </pivotArea>
    </format>
    <format dxfId="11484">
      <pivotArea dataOnly="0" labelOnly="1" outline="0" fieldPosition="0">
        <references count="2">
          <reference field="0" count="1" selected="0">
            <x v="107"/>
          </reference>
          <reference field="1" count="1">
            <x v="176"/>
          </reference>
        </references>
      </pivotArea>
    </format>
    <format dxfId="11483">
      <pivotArea dataOnly="0" labelOnly="1" outline="0" fieldPosition="0">
        <references count="2">
          <reference field="0" count="1" selected="0">
            <x v="108"/>
          </reference>
          <reference field="1" count="1">
            <x v="238"/>
          </reference>
        </references>
      </pivotArea>
    </format>
    <format dxfId="11482">
      <pivotArea dataOnly="0" labelOnly="1" outline="0" fieldPosition="0">
        <references count="2">
          <reference field="0" count="1" selected="0">
            <x v="109"/>
          </reference>
          <reference field="1" count="1">
            <x v="181"/>
          </reference>
        </references>
      </pivotArea>
    </format>
    <format dxfId="11481">
      <pivotArea dataOnly="0" labelOnly="1" outline="0" fieldPosition="0">
        <references count="2">
          <reference field="0" count="1" selected="0">
            <x v="110"/>
          </reference>
          <reference field="1" count="1">
            <x v="180"/>
          </reference>
        </references>
      </pivotArea>
    </format>
    <format dxfId="11480">
      <pivotArea dataOnly="0" labelOnly="1" outline="0" fieldPosition="0">
        <references count="2">
          <reference field="0" count="1" selected="0">
            <x v="111"/>
          </reference>
          <reference field="1" count="1">
            <x v="191"/>
          </reference>
        </references>
      </pivotArea>
    </format>
    <format dxfId="11479">
      <pivotArea dataOnly="0" labelOnly="1" outline="0" fieldPosition="0">
        <references count="2">
          <reference field="0" count="1" selected="0">
            <x v="112"/>
          </reference>
          <reference field="1" count="1">
            <x v="185"/>
          </reference>
        </references>
      </pivotArea>
    </format>
    <format dxfId="11478">
      <pivotArea dataOnly="0" labelOnly="1" outline="0" fieldPosition="0">
        <references count="2">
          <reference field="0" count="1" selected="0">
            <x v="113"/>
          </reference>
          <reference field="1" count="1">
            <x v="184"/>
          </reference>
        </references>
      </pivotArea>
    </format>
    <format dxfId="11477">
      <pivotArea dataOnly="0" labelOnly="1" outline="0" fieldPosition="0">
        <references count="2">
          <reference field="0" count="1" selected="0">
            <x v="114"/>
          </reference>
          <reference field="1" count="1">
            <x v="182"/>
          </reference>
        </references>
      </pivotArea>
    </format>
    <format dxfId="11476">
      <pivotArea dataOnly="0" labelOnly="1" outline="0" fieldPosition="0">
        <references count="2">
          <reference field="0" count="1" selected="0">
            <x v="115"/>
          </reference>
          <reference field="1" count="1">
            <x v="186"/>
          </reference>
        </references>
      </pivotArea>
    </format>
    <format dxfId="11475">
      <pivotArea dataOnly="0" labelOnly="1" outline="0" fieldPosition="0">
        <references count="2">
          <reference field="0" count="1" selected="0">
            <x v="116"/>
          </reference>
          <reference field="1" count="1">
            <x v="183"/>
          </reference>
        </references>
      </pivotArea>
    </format>
    <format dxfId="11474">
      <pivotArea dataOnly="0" labelOnly="1" outline="0" fieldPosition="0">
        <references count="2">
          <reference field="0" count="1" selected="0">
            <x v="117"/>
          </reference>
          <reference field="1" count="1">
            <x v="179"/>
          </reference>
        </references>
      </pivotArea>
    </format>
    <format dxfId="11473">
      <pivotArea dataOnly="0" labelOnly="1" outline="0" fieldPosition="0">
        <references count="2">
          <reference field="0" count="1" selected="0">
            <x v="118"/>
          </reference>
          <reference field="1" count="1">
            <x v="190"/>
          </reference>
        </references>
      </pivotArea>
    </format>
    <format dxfId="11472">
      <pivotArea dataOnly="0" labelOnly="1" outline="0" fieldPosition="0">
        <references count="2">
          <reference field="0" count="1" selected="0">
            <x v="119"/>
          </reference>
          <reference field="1" count="1">
            <x v="178"/>
          </reference>
        </references>
      </pivotArea>
    </format>
    <format dxfId="11471">
      <pivotArea dataOnly="0" labelOnly="1" outline="0" fieldPosition="0">
        <references count="2">
          <reference field="0" count="1" selected="0">
            <x v="120"/>
          </reference>
          <reference field="1" count="1">
            <x v="188"/>
          </reference>
        </references>
      </pivotArea>
    </format>
    <format dxfId="11470">
      <pivotArea dataOnly="0" labelOnly="1" outline="0" fieldPosition="0">
        <references count="2">
          <reference field="0" count="1" selected="0">
            <x v="121"/>
          </reference>
          <reference field="1" count="1">
            <x v="195"/>
          </reference>
        </references>
      </pivotArea>
    </format>
    <format dxfId="11469">
      <pivotArea dataOnly="0" labelOnly="1" outline="0" fieldPosition="0">
        <references count="2">
          <reference field="0" count="1" selected="0">
            <x v="122"/>
          </reference>
          <reference field="1" count="1">
            <x v="193"/>
          </reference>
        </references>
      </pivotArea>
    </format>
    <format dxfId="11468">
      <pivotArea dataOnly="0" labelOnly="1" outline="0" fieldPosition="0">
        <references count="2">
          <reference field="0" count="1" selected="0">
            <x v="123"/>
          </reference>
          <reference field="1" count="1">
            <x v="220"/>
          </reference>
        </references>
      </pivotArea>
    </format>
    <format dxfId="11467">
      <pivotArea dataOnly="0" labelOnly="1" outline="0" fieldPosition="0">
        <references count="2">
          <reference field="0" count="1" selected="0">
            <x v="124"/>
          </reference>
          <reference field="1" count="1">
            <x v="117"/>
          </reference>
        </references>
      </pivotArea>
    </format>
    <format dxfId="11466">
      <pivotArea dataOnly="0" labelOnly="1" outline="0" fieldPosition="0">
        <references count="2">
          <reference field="0" count="1" selected="0">
            <x v="125"/>
          </reference>
          <reference field="1" count="1">
            <x v="119"/>
          </reference>
        </references>
      </pivotArea>
    </format>
    <format dxfId="11465">
      <pivotArea dataOnly="0" labelOnly="1" outline="0" fieldPosition="0">
        <references count="2">
          <reference field="0" count="1" selected="0">
            <x v="126"/>
          </reference>
          <reference field="1" count="1">
            <x v="62"/>
          </reference>
        </references>
      </pivotArea>
    </format>
    <format dxfId="11464">
      <pivotArea dataOnly="0" labelOnly="1" outline="0" fieldPosition="0">
        <references count="2">
          <reference field="0" count="1" selected="0">
            <x v="127"/>
          </reference>
          <reference field="1" count="1">
            <x v="360"/>
          </reference>
        </references>
      </pivotArea>
    </format>
    <format dxfId="11463">
      <pivotArea dataOnly="0" labelOnly="1" outline="0" fieldPosition="0">
        <references count="2">
          <reference field="0" count="1" selected="0">
            <x v="128"/>
          </reference>
          <reference field="1" count="1">
            <x v="136"/>
          </reference>
        </references>
      </pivotArea>
    </format>
    <format dxfId="11462">
      <pivotArea dataOnly="0" labelOnly="1" outline="0" fieldPosition="0">
        <references count="2">
          <reference field="0" count="1" selected="0">
            <x v="129"/>
          </reference>
          <reference field="1" count="1">
            <x v="274"/>
          </reference>
        </references>
      </pivotArea>
    </format>
    <format dxfId="11461">
      <pivotArea dataOnly="0" labelOnly="1" outline="0" fieldPosition="0">
        <references count="2">
          <reference field="0" count="1" selected="0">
            <x v="130"/>
          </reference>
          <reference field="1" count="1">
            <x v="355"/>
          </reference>
        </references>
      </pivotArea>
    </format>
    <format dxfId="11460">
      <pivotArea dataOnly="0" labelOnly="1" outline="0" fieldPosition="0">
        <references count="2">
          <reference field="0" count="1" selected="0">
            <x v="131"/>
          </reference>
          <reference field="1" count="1">
            <x v="157"/>
          </reference>
        </references>
      </pivotArea>
    </format>
    <format dxfId="11459">
      <pivotArea dataOnly="0" labelOnly="1" outline="0" fieldPosition="0">
        <references count="2">
          <reference field="0" count="1" selected="0">
            <x v="132"/>
          </reference>
          <reference field="1" count="1">
            <x v="133"/>
          </reference>
        </references>
      </pivotArea>
    </format>
    <format dxfId="11458">
      <pivotArea dataOnly="0" labelOnly="1" outline="0" fieldPosition="0">
        <references count="2">
          <reference field="0" count="1" selected="0">
            <x v="133"/>
          </reference>
          <reference field="1" count="1">
            <x v="1"/>
          </reference>
        </references>
      </pivotArea>
    </format>
    <format dxfId="11457">
      <pivotArea dataOnly="0" labelOnly="1" outline="0" fieldPosition="0">
        <references count="2">
          <reference field="0" count="1" selected="0">
            <x v="134"/>
          </reference>
          <reference field="1" count="1">
            <x v="225"/>
          </reference>
        </references>
      </pivotArea>
    </format>
    <format dxfId="11456">
      <pivotArea dataOnly="0" labelOnly="1" outline="0" fieldPosition="0">
        <references count="2">
          <reference field="0" count="1" selected="0">
            <x v="135"/>
          </reference>
          <reference field="1" count="1">
            <x v="58"/>
          </reference>
        </references>
      </pivotArea>
    </format>
    <format dxfId="11455">
      <pivotArea dataOnly="0" labelOnly="1" outline="0" fieldPosition="0">
        <references count="2">
          <reference field="0" count="1" selected="0">
            <x v="136"/>
          </reference>
          <reference field="1" count="1">
            <x v="163"/>
          </reference>
        </references>
      </pivotArea>
    </format>
    <format dxfId="11454">
      <pivotArea dataOnly="0" labelOnly="1" outline="0" fieldPosition="0">
        <references count="2">
          <reference field="0" count="1" selected="0">
            <x v="137"/>
          </reference>
          <reference field="1" count="1">
            <x v="139"/>
          </reference>
        </references>
      </pivotArea>
    </format>
    <format dxfId="11453">
      <pivotArea dataOnly="0" labelOnly="1" outline="0" fieldPosition="0">
        <references count="2">
          <reference field="0" count="1" selected="0">
            <x v="138"/>
          </reference>
          <reference field="1" count="1">
            <x v="381"/>
          </reference>
        </references>
      </pivotArea>
    </format>
    <format dxfId="11452">
      <pivotArea dataOnly="0" labelOnly="1" outline="0" fieldPosition="0">
        <references count="2">
          <reference field="0" count="1" selected="0">
            <x v="139"/>
          </reference>
          <reference field="1" count="1">
            <x v="68"/>
          </reference>
        </references>
      </pivotArea>
    </format>
    <format dxfId="11451">
      <pivotArea dataOnly="0" labelOnly="1" outline="0" fieldPosition="0">
        <references count="2">
          <reference field="0" count="1" selected="0">
            <x v="140"/>
          </reference>
          <reference field="1" count="1">
            <x v="319"/>
          </reference>
        </references>
      </pivotArea>
    </format>
    <format dxfId="11450">
      <pivotArea dataOnly="0" labelOnly="1" outline="0" fieldPosition="0">
        <references count="2">
          <reference field="0" count="1" selected="0">
            <x v="141"/>
          </reference>
          <reference field="1" count="1">
            <x v="30"/>
          </reference>
        </references>
      </pivotArea>
    </format>
    <format dxfId="11449">
      <pivotArea dataOnly="0" labelOnly="1" outline="0" fieldPosition="0">
        <references count="2">
          <reference field="0" count="1" selected="0">
            <x v="142"/>
          </reference>
          <reference field="1" count="1">
            <x v="318"/>
          </reference>
        </references>
      </pivotArea>
    </format>
    <format dxfId="11448">
      <pivotArea dataOnly="0" labelOnly="1" outline="0" fieldPosition="0">
        <references count="2">
          <reference field="0" count="1" selected="0">
            <x v="143"/>
          </reference>
          <reference field="1" count="1">
            <x v="315"/>
          </reference>
        </references>
      </pivotArea>
    </format>
    <format dxfId="11447">
      <pivotArea dataOnly="0" labelOnly="1" outline="0" fieldPosition="0">
        <references count="2">
          <reference field="0" count="1" selected="0">
            <x v="144"/>
          </reference>
          <reference field="1" count="1">
            <x v="314"/>
          </reference>
        </references>
      </pivotArea>
    </format>
    <format dxfId="11446">
      <pivotArea dataOnly="0" labelOnly="1" outline="0" fieldPosition="0">
        <references count="2">
          <reference field="0" count="1" selected="0">
            <x v="145"/>
          </reference>
          <reference field="1" count="1">
            <x v="71"/>
          </reference>
        </references>
      </pivotArea>
    </format>
    <format dxfId="11445">
      <pivotArea dataOnly="0" labelOnly="1" outline="0" fieldPosition="0">
        <references count="2">
          <reference field="0" count="1" selected="0">
            <x v="146"/>
          </reference>
          <reference field="1" count="1">
            <x v="45"/>
          </reference>
        </references>
      </pivotArea>
    </format>
    <format dxfId="11444">
      <pivotArea dataOnly="0" labelOnly="1" outline="0" fieldPosition="0">
        <references count="2">
          <reference field="0" count="1" selected="0">
            <x v="147"/>
          </reference>
          <reference field="1" count="1">
            <x v="224"/>
          </reference>
        </references>
      </pivotArea>
    </format>
    <format dxfId="11443">
      <pivotArea dataOnly="0" labelOnly="1" outline="0" fieldPosition="0">
        <references count="2">
          <reference field="0" count="1" selected="0">
            <x v="148"/>
          </reference>
          <reference field="1" count="1">
            <x v="41"/>
          </reference>
        </references>
      </pivotArea>
    </format>
    <format dxfId="11442">
      <pivotArea dataOnly="0" labelOnly="1" outline="0" fieldPosition="0">
        <references count="2">
          <reference field="0" count="1" selected="0">
            <x v="149"/>
          </reference>
          <reference field="1" count="1">
            <x v="46"/>
          </reference>
        </references>
      </pivotArea>
    </format>
    <format dxfId="11441">
      <pivotArea dataOnly="0" labelOnly="1" outline="0" fieldPosition="0">
        <references count="2">
          <reference field="0" count="1" selected="0">
            <x v="150"/>
          </reference>
          <reference field="1" count="1">
            <x v="27"/>
          </reference>
        </references>
      </pivotArea>
    </format>
    <format dxfId="11440">
      <pivotArea dataOnly="0" labelOnly="1" outline="0" fieldPosition="0">
        <references count="2">
          <reference field="0" count="1" selected="0">
            <x v="151"/>
          </reference>
          <reference field="1" count="1">
            <x v="26"/>
          </reference>
        </references>
      </pivotArea>
    </format>
    <format dxfId="11439">
      <pivotArea dataOnly="0" labelOnly="1" outline="0" fieldPosition="0">
        <references count="2">
          <reference field="0" count="1" selected="0">
            <x v="152"/>
          </reference>
          <reference field="1" count="1">
            <x v="43"/>
          </reference>
        </references>
      </pivotArea>
    </format>
    <format dxfId="11438">
      <pivotArea dataOnly="0" labelOnly="1" outline="0" fieldPosition="0">
        <references count="2">
          <reference field="0" count="1" selected="0">
            <x v="153"/>
          </reference>
          <reference field="1" count="1">
            <x v="21"/>
          </reference>
        </references>
      </pivotArea>
    </format>
    <format dxfId="11437">
      <pivotArea dataOnly="0" labelOnly="1" outline="0" fieldPosition="0">
        <references count="2">
          <reference field="0" count="1" selected="0">
            <x v="154"/>
          </reference>
          <reference field="1" count="1">
            <x v="38"/>
          </reference>
        </references>
      </pivotArea>
    </format>
    <format dxfId="11436">
      <pivotArea dataOnly="0" labelOnly="1" outline="0" fieldPosition="0">
        <references count="2">
          <reference field="0" count="1" selected="0">
            <x v="155"/>
          </reference>
          <reference field="1" count="1">
            <x v="23"/>
          </reference>
        </references>
      </pivotArea>
    </format>
    <format dxfId="11435">
      <pivotArea dataOnly="0" labelOnly="1" outline="0" fieldPosition="0">
        <references count="2">
          <reference field="0" count="1" selected="0">
            <x v="156"/>
          </reference>
          <reference field="1" count="1">
            <x v="48"/>
          </reference>
        </references>
      </pivotArea>
    </format>
    <format dxfId="11434">
      <pivotArea dataOnly="0" labelOnly="1" outline="0" fieldPosition="0">
        <references count="2">
          <reference field="0" count="1" selected="0">
            <x v="157"/>
          </reference>
          <reference field="1" count="1">
            <x v="165"/>
          </reference>
        </references>
      </pivotArea>
    </format>
    <format dxfId="11433">
      <pivotArea dataOnly="0" labelOnly="1" outline="0" fieldPosition="0">
        <references count="2">
          <reference field="0" count="1" selected="0">
            <x v="158"/>
          </reference>
          <reference field="1" count="1">
            <x v="40"/>
          </reference>
        </references>
      </pivotArea>
    </format>
    <format dxfId="11432">
      <pivotArea dataOnly="0" labelOnly="1" outline="0" fieldPosition="0">
        <references count="2">
          <reference field="0" count="1" selected="0">
            <x v="159"/>
          </reference>
          <reference field="1" count="1">
            <x v="37"/>
          </reference>
        </references>
      </pivotArea>
    </format>
    <format dxfId="11431">
      <pivotArea dataOnly="0" labelOnly="1" outline="0" fieldPosition="0">
        <references count="2">
          <reference field="0" count="1" selected="0">
            <x v="160"/>
          </reference>
          <reference field="1" count="1">
            <x v="39"/>
          </reference>
        </references>
      </pivotArea>
    </format>
    <format dxfId="11430">
      <pivotArea dataOnly="0" labelOnly="1" outline="0" fieldPosition="0">
        <references count="2">
          <reference field="0" count="1" selected="0">
            <x v="161"/>
          </reference>
          <reference field="1" count="1">
            <x v="22"/>
          </reference>
        </references>
      </pivotArea>
    </format>
    <format dxfId="11429">
      <pivotArea dataOnly="0" labelOnly="1" outline="0" fieldPosition="0">
        <references count="2">
          <reference field="0" count="1" selected="0">
            <x v="162"/>
          </reference>
          <reference field="1" count="1">
            <x v="302"/>
          </reference>
        </references>
      </pivotArea>
    </format>
    <format dxfId="11428">
      <pivotArea dataOnly="0" labelOnly="1" outline="0" fieldPosition="0">
        <references count="2">
          <reference field="0" count="1" selected="0">
            <x v="163"/>
          </reference>
          <reference field="1" count="1">
            <x v="25"/>
          </reference>
        </references>
      </pivotArea>
    </format>
    <format dxfId="11427">
      <pivotArea dataOnly="0" labelOnly="1" outline="0" fieldPosition="0">
        <references count="2">
          <reference field="0" count="1" selected="0">
            <x v="164"/>
          </reference>
          <reference field="1" count="1">
            <x v="42"/>
          </reference>
        </references>
      </pivotArea>
    </format>
    <format dxfId="11426">
      <pivotArea dataOnly="0" labelOnly="1" outline="0" fieldPosition="0">
        <references count="2">
          <reference field="0" count="1" selected="0">
            <x v="165"/>
          </reference>
          <reference field="1" count="1">
            <x v="24"/>
          </reference>
        </references>
      </pivotArea>
    </format>
    <format dxfId="11425">
      <pivotArea dataOnly="0" labelOnly="1" outline="0" fieldPosition="0">
        <references count="2">
          <reference field="0" count="1" selected="0">
            <x v="166"/>
          </reference>
          <reference field="1" count="1">
            <x v="371"/>
          </reference>
        </references>
      </pivotArea>
    </format>
    <format dxfId="11424">
      <pivotArea dataOnly="0" labelOnly="1" outline="0" fieldPosition="0">
        <references count="2">
          <reference field="0" count="1" selected="0">
            <x v="167"/>
          </reference>
          <reference field="1" count="1">
            <x v="44"/>
          </reference>
        </references>
      </pivotArea>
    </format>
    <format dxfId="11423">
      <pivotArea dataOnly="0" labelOnly="1" outline="0" fieldPosition="0">
        <references count="2">
          <reference field="0" count="1" selected="0">
            <x v="168"/>
          </reference>
          <reference field="1" count="1">
            <x v="47"/>
          </reference>
        </references>
      </pivotArea>
    </format>
    <format dxfId="11422">
      <pivotArea dataOnly="0" labelOnly="1" outline="0" fieldPosition="0">
        <references count="2">
          <reference field="0" count="1" selected="0">
            <x v="169"/>
          </reference>
          <reference field="1" count="1">
            <x v="70"/>
          </reference>
        </references>
      </pivotArea>
    </format>
    <format dxfId="11421">
      <pivotArea dataOnly="0" labelOnly="1" outline="0" fieldPosition="0">
        <references count="2">
          <reference field="0" count="1" selected="0">
            <x v="170"/>
          </reference>
          <reference field="1" count="1">
            <x v="137"/>
          </reference>
        </references>
      </pivotArea>
    </format>
    <format dxfId="11420">
      <pivotArea dataOnly="0" labelOnly="1" outline="0" fieldPosition="0">
        <references count="2">
          <reference field="0" count="1" selected="0">
            <x v="171"/>
          </reference>
          <reference field="1" count="1">
            <x v="192"/>
          </reference>
        </references>
      </pivotArea>
    </format>
    <format dxfId="11419">
      <pivotArea dataOnly="0" labelOnly="1" outline="0" fieldPosition="0">
        <references count="2">
          <reference field="0" count="1" selected="0">
            <x v="172"/>
          </reference>
          <reference field="1" count="1">
            <x v="114"/>
          </reference>
        </references>
      </pivotArea>
    </format>
    <format dxfId="11418">
      <pivotArea dataOnly="0" labelOnly="1" outline="0" fieldPosition="0">
        <references count="2">
          <reference field="0" count="1" selected="0">
            <x v="173"/>
          </reference>
          <reference field="1" count="1">
            <x v="204"/>
          </reference>
        </references>
      </pivotArea>
    </format>
    <format dxfId="11417">
      <pivotArea dataOnly="0" labelOnly="1" outline="0" fieldPosition="0">
        <references count="2">
          <reference field="0" count="1" selected="0">
            <x v="174"/>
          </reference>
          <reference field="1" count="1">
            <x v="244"/>
          </reference>
        </references>
      </pivotArea>
    </format>
    <format dxfId="11416">
      <pivotArea dataOnly="0" labelOnly="1" outline="0" fieldPosition="0">
        <references count="2">
          <reference field="0" count="1" selected="0">
            <x v="175"/>
          </reference>
          <reference field="1" count="1">
            <x v="250"/>
          </reference>
        </references>
      </pivotArea>
    </format>
    <format dxfId="11415">
      <pivotArea dataOnly="0" labelOnly="1" outline="0" fieldPosition="0">
        <references count="2">
          <reference field="0" count="1" selected="0">
            <x v="176"/>
          </reference>
          <reference field="1" count="1">
            <x v="245"/>
          </reference>
        </references>
      </pivotArea>
    </format>
    <format dxfId="11414">
      <pivotArea dataOnly="0" labelOnly="1" outline="0" fieldPosition="0">
        <references count="2">
          <reference field="0" count="1" selected="0">
            <x v="177"/>
          </reference>
          <reference field="1" count="1">
            <x v="196"/>
          </reference>
        </references>
      </pivotArea>
    </format>
    <format dxfId="11413">
      <pivotArea dataOnly="0" labelOnly="1" outline="0" fieldPosition="0">
        <references count="2">
          <reference field="0" count="1" selected="0">
            <x v="178"/>
          </reference>
          <reference field="1" count="1">
            <x v="164"/>
          </reference>
        </references>
      </pivotArea>
    </format>
    <format dxfId="11412">
      <pivotArea dataOnly="0" labelOnly="1" outline="0" fieldPosition="0">
        <references count="2">
          <reference field="0" count="1" selected="0">
            <x v="179"/>
          </reference>
          <reference field="1" count="1">
            <x v="303"/>
          </reference>
        </references>
      </pivotArea>
    </format>
    <format dxfId="11411">
      <pivotArea dataOnly="0" labelOnly="1" outline="0" fieldPosition="0">
        <references count="2">
          <reference field="0" count="1" selected="0">
            <x v="180"/>
          </reference>
          <reference field="1" count="1">
            <x v="199"/>
          </reference>
        </references>
      </pivotArea>
    </format>
    <format dxfId="11410">
      <pivotArea dataOnly="0" labelOnly="1" outline="0" fieldPosition="0">
        <references count="2">
          <reference field="0" count="1" selected="0">
            <x v="181"/>
          </reference>
          <reference field="1" count="1">
            <x v="200"/>
          </reference>
        </references>
      </pivotArea>
    </format>
    <format dxfId="11409">
      <pivotArea dataOnly="0" labelOnly="1" outline="0" fieldPosition="0">
        <references count="2">
          <reference field="0" count="1" selected="0">
            <x v="182"/>
          </reference>
          <reference field="1" count="1">
            <x v="201"/>
          </reference>
        </references>
      </pivotArea>
    </format>
    <format dxfId="11408">
      <pivotArea dataOnly="0" labelOnly="1" outline="0" fieldPosition="0">
        <references count="2">
          <reference field="0" count="1" selected="0">
            <x v="183"/>
          </reference>
          <reference field="1" count="1">
            <x v="202"/>
          </reference>
        </references>
      </pivotArea>
    </format>
    <format dxfId="11407">
      <pivotArea dataOnly="0" labelOnly="1" outline="0" fieldPosition="0">
        <references count="2">
          <reference field="0" count="1" selected="0">
            <x v="184"/>
          </reference>
          <reference field="1" count="1">
            <x v="203"/>
          </reference>
        </references>
      </pivotArea>
    </format>
    <format dxfId="11406">
      <pivotArea dataOnly="0" labelOnly="1" outline="0" fieldPosition="0">
        <references count="2">
          <reference field="0" count="1" selected="0">
            <x v="185"/>
          </reference>
          <reference field="1" count="1">
            <x v="90"/>
          </reference>
        </references>
      </pivotArea>
    </format>
    <format dxfId="11405">
      <pivotArea dataOnly="0" labelOnly="1" outline="0" fieldPosition="0">
        <references count="2">
          <reference field="0" count="1" selected="0">
            <x v="186"/>
          </reference>
          <reference field="1" count="1">
            <x v="74"/>
          </reference>
        </references>
      </pivotArea>
    </format>
    <format dxfId="11404">
      <pivotArea dataOnly="0" labelOnly="1" outline="0" fieldPosition="0">
        <references count="2">
          <reference field="0" count="1" selected="0">
            <x v="187"/>
          </reference>
          <reference field="1" count="1">
            <x v="305"/>
          </reference>
        </references>
      </pivotArea>
    </format>
    <format dxfId="11403">
      <pivotArea dataOnly="0" labelOnly="1" outline="0" fieldPosition="0">
        <references count="2">
          <reference field="0" count="1" selected="0">
            <x v="188"/>
          </reference>
          <reference field="1" count="1">
            <x v="336"/>
          </reference>
        </references>
      </pivotArea>
    </format>
    <format dxfId="11402">
      <pivotArea dataOnly="0" labelOnly="1" outline="0" fieldPosition="0">
        <references count="2">
          <reference field="0" count="1" selected="0">
            <x v="189"/>
          </reference>
          <reference field="1" count="1">
            <x v="339"/>
          </reference>
        </references>
      </pivotArea>
    </format>
    <format dxfId="11401">
      <pivotArea dataOnly="0" labelOnly="1" outline="0" fieldPosition="0">
        <references count="2">
          <reference field="0" count="1" selected="0">
            <x v="190"/>
          </reference>
          <reference field="1" count="1">
            <x v="341"/>
          </reference>
        </references>
      </pivotArea>
    </format>
    <format dxfId="11400">
      <pivotArea dataOnly="0" labelOnly="1" outline="0" fieldPosition="0">
        <references count="2">
          <reference field="0" count="1" selected="0">
            <x v="191"/>
          </reference>
          <reference field="1" count="1">
            <x v="282"/>
          </reference>
        </references>
      </pivotArea>
    </format>
    <format dxfId="11399">
      <pivotArea dataOnly="0" labelOnly="1" outline="0" fieldPosition="0">
        <references count="2">
          <reference field="0" count="1" selected="0">
            <x v="192"/>
          </reference>
          <reference field="1" count="1">
            <x v="172"/>
          </reference>
        </references>
      </pivotArea>
    </format>
    <format dxfId="11398">
      <pivotArea dataOnly="0" labelOnly="1" outline="0" fieldPosition="0">
        <references count="2">
          <reference field="0" count="1" selected="0">
            <x v="193"/>
          </reference>
          <reference field="1" count="1">
            <x v="55"/>
          </reference>
        </references>
      </pivotArea>
    </format>
    <format dxfId="11397">
      <pivotArea dataOnly="0" labelOnly="1" outline="0" fieldPosition="0">
        <references count="2">
          <reference field="0" count="1" selected="0">
            <x v="194"/>
          </reference>
          <reference field="1" count="1">
            <x v="259"/>
          </reference>
        </references>
      </pivotArea>
    </format>
    <format dxfId="11396">
      <pivotArea dataOnly="0" labelOnly="1" outline="0" fieldPosition="0">
        <references count="2">
          <reference field="0" count="1" selected="0">
            <x v="195"/>
          </reference>
          <reference field="1" count="1">
            <x v="297"/>
          </reference>
        </references>
      </pivotArea>
    </format>
    <format dxfId="11395">
      <pivotArea dataOnly="0" labelOnly="1" outline="0" fieldPosition="0">
        <references count="2">
          <reference field="0" count="1" selected="0">
            <x v="196"/>
          </reference>
          <reference field="1" count="1">
            <x v="108"/>
          </reference>
        </references>
      </pivotArea>
    </format>
    <format dxfId="11394">
      <pivotArea dataOnly="0" labelOnly="1" outline="0" fieldPosition="0">
        <references count="2">
          <reference field="0" count="1" selected="0">
            <x v="197"/>
          </reference>
          <reference field="1" count="1">
            <x v="301"/>
          </reference>
        </references>
      </pivotArea>
    </format>
    <format dxfId="11393">
      <pivotArea dataOnly="0" labelOnly="1" outline="0" fieldPosition="0">
        <references count="2">
          <reference field="0" count="1" selected="0">
            <x v="198"/>
          </reference>
          <reference field="1" count="1">
            <x v="107"/>
          </reference>
        </references>
      </pivotArea>
    </format>
    <format dxfId="11392">
      <pivotArea dataOnly="0" labelOnly="1" outline="0" fieldPosition="0">
        <references count="2">
          <reference field="0" count="1" selected="0">
            <x v="199"/>
          </reference>
          <reference field="1" count="1">
            <x v="66"/>
          </reference>
        </references>
      </pivotArea>
    </format>
    <format dxfId="11391">
      <pivotArea dataOnly="0" labelOnly="1" outline="0" fieldPosition="0">
        <references count="2">
          <reference field="0" count="1" selected="0">
            <x v="200"/>
          </reference>
          <reference field="1" count="1">
            <x v="300"/>
          </reference>
        </references>
      </pivotArea>
    </format>
    <format dxfId="11390">
      <pivotArea dataOnly="0" labelOnly="1" outline="0" fieldPosition="0">
        <references count="2">
          <reference field="0" count="1" selected="0">
            <x v="201"/>
          </reference>
          <reference field="1" count="1">
            <x v="265"/>
          </reference>
        </references>
      </pivotArea>
    </format>
    <format dxfId="11389">
      <pivotArea dataOnly="0" labelOnly="1" outline="0" fieldPosition="0">
        <references count="2">
          <reference field="0" count="1" selected="0">
            <x v="202"/>
          </reference>
          <reference field="1" count="1">
            <x v="266"/>
          </reference>
        </references>
      </pivotArea>
    </format>
    <format dxfId="11388">
      <pivotArea dataOnly="0" labelOnly="1" outline="0" fieldPosition="0">
        <references count="2">
          <reference field="0" count="1" selected="0">
            <x v="203"/>
          </reference>
          <reference field="1" count="1">
            <x v="267"/>
          </reference>
        </references>
      </pivotArea>
    </format>
    <format dxfId="11387">
      <pivotArea dataOnly="0" labelOnly="1" outline="0" fieldPosition="0">
        <references count="2">
          <reference field="0" count="1" selected="0">
            <x v="204"/>
          </reference>
          <reference field="1" count="1">
            <x v="278"/>
          </reference>
        </references>
      </pivotArea>
    </format>
    <format dxfId="11386">
      <pivotArea dataOnly="0" labelOnly="1" outline="0" fieldPosition="0">
        <references count="2">
          <reference field="0" count="1" selected="0">
            <x v="205"/>
          </reference>
          <reference field="1" count="1">
            <x v="256"/>
          </reference>
        </references>
      </pivotArea>
    </format>
    <format dxfId="11385">
      <pivotArea dataOnly="0" labelOnly="1" outline="0" fieldPosition="0">
        <references count="2">
          <reference field="0" count="1" selected="0">
            <x v="206"/>
          </reference>
          <reference field="1" count="1">
            <x v="131"/>
          </reference>
        </references>
      </pivotArea>
    </format>
    <format dxfId="11384">
      <pivotArea dataOnly="0" labelOnly="1" outline="0" fieldPosition="0">
        <references count="2">
          <reference field="0" count="1" selected="0">
            <x v="207"/>
          </reference>
          <reference field="1" count="1">
            <x v="253"/>
          </reference>
        </references>
      </pivotArea>
    </format>
    <format dxfId="11383">
      <pivotArea dataOnly="0" labelOnly="1" outline="0" fieldPosition="0">
        <references count="2">
          <reference field="0" count="1" selected="0">
            <x v="208"/>
          </reference>
          <reference field="1" count="1">
            <x v="261"/>
          </reference>
        </references>
      </pivotArea>
    </format>
    <format dxfId="11382">
      <pivotArea dataOnly="0" labelOnly="1" outline="0" fieldPosition="0">
        <references count="2">
          <reference field="0" count="1" selected="0">
            <x v="209"/>
          </reference>
          <reference field="1" count="1">
            <x v="158"/>
          </reference>
        </references>
      </pivotArea>
    </format>
    <format dxfId="11381">
      <pivotArea dataOnly="0" labelOnly="1" outline="0" fieldPosition="0">
        <references count="2">
          <reference field="0" count="1" selected="0">
            <x v="210"/>
          </reference>
          <reference field="1" count="1">
            <x v="91"/>
          </reference>
        </references>
      </pivotArea>
    </format>
    <format dxfId="11380">
      <pivotArea dataOnly="0" labelOnly="1" outline="0" fieldPosition="0">
        <references count="2">
          <reference field="0" count="1" selected="0">
            <x v="211"/>
          </reference>
          <reference field="1" count="1">
            <x v="311"/>
          </reference>
        </references>
      </pivotArea>
    </format>
    <format dxfId="11379">
      <pivotArea dataOnly="0" labelOnly="1" outline="0" fieldPosition="0">
        <references count="2">
          <reference field="0" count="1" selected="0">
            <x v="212"/>
          </reference>
          <reference field="1" count="1">
            <x v="283"/>
          </reference>
        </references>
      </pivotArea>
    </format>
    <format dxfId="11378">
      <pivotArea dataOnly="0" labelOnly="1" outline="0" fieldPosition="0">
        <references count="2">
          <reference field="0" count="1" selected="0">
            <x v="213"/>
          </reference>
          <reference field="1" count="1">
            <x v="270"/>
          </reference>
        </references>
      </pivotArea>
    </format>
    <format dxfId="11377">
      <pivotArea dataOnly="0" labelOnly="1" outline="0" fieldPosition="0">
        <references count="2">
          <reference field="0" count="1" selected="0">
            <x v="214"/>
          </reference>
          <reference field="1" count="1">
            <x v="351"/>
          </reference>
        </references>
      </pivotArea>
    </format>
    <format dxfId="11376">
      <pivotArea dataOnly="0" labelOnly="1" outline="0" fieldPosition="0">
        <references count="2">
          <reference field="0" count="1" selected="0">
            <x v="215"/>
          </reference>
          <reference field="1" count="1">
            <x v="378"/>
          </reference>
        </references>
      </pivotArea>
    </format>
    <format dxfId="11375">
      <pivotArea dataOnly="0" labelOnly="1" outline="0" fieldPosition="0">
        <references count="2">
          <reference field="0" count="1" selected="0">
            <x v="216"/>
          </reference>
          <reference field="1" count="2">
            <x v="363"/>
            <x v="379"/>
          </reference>
        </references>
      </pivotArea>
    </format>
    <format dxfId="11374">
      <pivotArea dataOnly="0" labelOnly="1" outline="0" fieldPosition="0">
        <references count="2">
          <reference field="0" count="1" selected="0">
            <x v="217"/>
          </reference>
          <reference field="1" count="1">
            <x v="6"/>
          </reference>
        </references>
      </pivotArea>
    </format>
    <format dxfId="11373">
      <pivotArea dataOnly="0" labelOnly="1" outline="0" fieldPosition="0">
        <references count="2">
          <reference field="0" count="1" selected="0">
            <x v="218"/>
          </reference>
          <reference field="1" count="1">
            <x v="361"/>
          </reference>
        </references>
      </pivotArea>
    </format>
    <format dxfId="11372">
      <pivotArea dataOnly="0" labelOnly="1" outline="0" fieldPosition="0">
        <references count="2">
          <reference field="0" count="1" selected="0">
            <x v="219"/>
          </reference>
          <reference field="1" count="1">
            <x v="54"/>
          </reference>
        </references>
      </pivotArea>
    </format>
    <format dxfId="11371">
      <pivotArea dataOnly="0" labelOnly="1" outline="0" fieldPosition="0">
        <references count="2">
          <reference field="0" count="1" selected="0">
            <x v="220"/>
          </reference>
          <reference field="1" count="1">
            <x v="213"/>
          </reference>
        </references>
      </pivotArea>
    </format>
    <format dxfId="11370">
      <pivotArea dataOnly="0" labelOnly="1" outline="0" fieldPosition="0">
        <references count="2">
          <reference field="0" count="1" selected="0">
            <x v="221"/>
          </reference>
          <reference field="1" count="1">
            <x v="227"/>
          </reference>
        </references>
      </pivotArea>
    </format>
    <format dxfId="11369">
      <pivotArea dataOnly="0" labelOnly="1" outline="0" fieldPosition="0">
        <references count="2">
          <reference field="0" count="1" selected="0">
            <x v="222"/>
          </reference>
          <reference field="1" count="1">
            <x v="150"/>
          </reference>
        </references>
      </pivotArea>
    </format>
    <format dxfId="11368">
      <pivotArea dataOnly="0" labelOnly="1" outline="0" fieldPosition="0">
        <references count="2">
          <reference field="0" count="1" selected="0">
            <x v="223"/>
          </reference>
          <reference field="1" count="1">
            <x v="73"/>
          </reference>
        </references>
      </pivotArea>
    </format>
    <format dxfId="11367">
      <pivotArea dataOnly="0" labelOnly="1" outline="0" fieldPosition="0">
        <references count="2">
          <reference field="0" count="1" selected="0">
            <x v="224"/>
          </reference>
          <reference field="1" count="1">
            <x v="258"/>
          </reference>
        </references>
      </pivotArea>
    </format>
    <format dxfId="11366">
      <pivotArea dataOnly="0" labelOnly="1" outline="0" fieldPosition="0">
        <references count="2">
          <reference field="0" count="1" selected="0">
            <x v="225"/>
          </reference>
          <reference field="1" count="1">
            <x v="365"/>
          </reference>
        </references>
      </pivotArea>
    </format>
    <format dxfId="11365">
      <pivotArea dataOnly="0" labelOnly="1" outline="0" fieldPosition="0">
        <references count="2">
          <reference field="0" count="1" selected="0">
            <x v="226"/>
          </reference>
          <reference field="1" count="1">
            <x v="316"/>
          </reference>
        </references>
      </pivotArea>
    </format>
    <format dxfId="11364">
      <pivotArea dataOnly="0" labelOnly="1" outline="0" fieldPosition="0">
        <references count="2">
          <reference field="0" count="1" selected="0">
            <x v="227"/>
          </reference>
          <reference field="1" count="1">
            <x v="166"/>
          </reference>
        </references>
      </pivotArea>
    </format>
    <format dxfId="11363">
      <pivotArea dataOnly="0" labelOnly="1" outline="0" fieldPosition="0">
        <references count="2">
          <reference field="0" count="1" selected="0">
            <x v="228"/>
          </reference>
          <reference field="1" count="1">
            <x v="198"/>
          </reference>
        </references>
      </pivotArea>
    </format>
    <format dxfId="11362">
      <pivotArea dataOnly="0" labelOnly="1" outline="0" fieldPosition="0">
        <references count="2">
          <reference field="0" count="1" selected="0">
            <x v="229"/>
          </reference>
          <reference field="1" count="1">
            <x v="264"/>
          </reference>
        </references>
      </pivotArea>
    </format>
    <format dxfId="11361">
      <pivotArea dataOnly="0" labelOnly="1" outline="0" fieldPosition="0">
        <references count="2">
          <reference field="0" count="1" selected="0">
            <x v="230"/>
          </reference>
          <reference field="1" count="1">
            <x v="9"/>
          </reference>
        </references>
      </pivotArea>
    </format>
    <format dxfId="11360">
      <pivotArea dataOnly="0" labelOnly="1" outline="0" fieldPosition="0">
        <references count="2">
          <reference field="0" count="1" selected="0">
            <x v="231"/>
          </reference>
          <reference field="1" count="1">
            <x v="242"/>
          </reference>
        </references>
      </pivotArea>
    </format>
    <format dxfId="11359">
      <pivotArea dataOnly="0" labelOnly="1" outline="0" fieldPosition="0">
        <references count="2">
          <reference field="0" count="1" selected="0">
            <x v="232"/>
          </reference>
          <reference field="1" count="1">
            <x v="243"/>
          </reference>
        </references>
      </pivotArea>
    </format>
    <format dxfId="11358">
      <pivotArea dataOnly="0" labelOnly="1" outline="0" fieldPosition="0">
        <references count="2">
          <reference field="0" count="1" selected="0">
            <x v="233"/>
          </reference>
          <reference field="1" count="1">
            <x v="154"/>
          </reference>
        </references>
      </pivotArea>
    </format>
    <format dxfId="11357">
      <pivotArea dataOnly="0" labelOnly="1" outline="0" fieldPosition="0">
        <references count="2">
          <reference field="0" count="1" selected="0">
            <x v="234"/>
          </reference>
          <reference field="1" count="1">
            <x v="217"/>
          </reference>
        </references>
      </pivotArea>
    </format>
    <format dxfId="11356">
      <pivotArea dataOnly="0" labelOnly="1" outline="0" fieldPosition="0">
        <references count="2">
          <reference field="0" count="1" selected="0">
            <x v="235"/>
          </reference>
          <reference field="1" count="1">
            <x v="229"/>
          </reference>
        </references>
      </pivotArea>
    </format>
    <format dxfId="11355">
      <pivotArea dataOnly="0" labelOnly="1" outline="0" fieldPosition="0">
        <references count="2">
          <reference field="0" count="1" selected="0">
            <x v="236"/>
          </reference>
          <reference field="1" count="1">
            <x v="257"/>
          </reference>
        </references>
      </pivotArea>
    </format>
    <format dxfId="11354">
      <pivotArea dataOnly="0" labelOnly="1" outline="0" fieldPosition="0">
        <references count="2">
          <reference field="0" count="1" selected="0">
            <x v="237"/>
          </reference>
          <reference field="1" count="1">
            <x v="369"/>
          </reference>
        </references>
      </pivotArea>
    </format>
    <format dxfId="11353">
      <pivotArea dataOnly="0" labelOnly="1" outline="0" fieldPosition="0">
        <references count="2">
          <reference field="0" count="1" selected="0">
            <x v="238"/>
          </reference>
          <reference field="1" count="1">
            <x v="221"/>
          </reference>
        </references>
      </pivotArea>
    </format>
    <format dxfId="11352">
      <pivotArea dataOnly="0" labelOnly="1" outline="0" fieldPosition="0">
        <references count="2">
          <reference field="0" count="1" selected="0">
            <x v="239"/>
          </reference>
          <reference field="1" count="1">
            <x v="205"/>
          </reference>
        </references>
      </pivotArea>
    </format>
    <format dxfId="11351">
      <pivotArea dataOnly="0" labelOnly="1" outline="0" fieldPosition="0">
        <references count="2">
          <reference field="0" count="1" selected="0">
            <x v="240"/>
          </reference>
          <reference field="1" count="1">
            <x v="206"/>
          </reference>
        </references>
      </pivotArea>
    </format>
    <format dxfId="11350">
      <pivotArea dataOnly="0" labelOnly="1" outline="0" fieldPosition="0">
        <references count="2">
          <reference field="0" count="1" selected="0">
            <x v="241"/>
          </reference>
          <reference field="1" count="1">
            <x v="252"/>
          </reference>
        </references>
      </pivotArea>
    </format>
    <format dxfId="11349">
      <pivotArea dataOnly="0" labelOnly="1" outline="0" fieldPosition="0">
        <references count="2">
          <reference field="0" count="1" selected="0">
            <x v="242"/>
          </reference>
          <reference field="1" count="1">
            <x v="218"/>
          </reference>
        </references>
      </pivotArea>
    </format>
    <format dxfId="11348">
      <pivotArea dataOnly="0" labelOnly="1" outline="0" fieldPosition="0">
        <references count="2">
          <reference field="0" count="1" selected="0">
            <x v="243"/>
          </reference>
          <reference field="1" count="1">
            <x v="231"/>
          </reference>
        </references>
      </pivotArea>
    </format>
    <format dxfId="11347">
      <pivotArea dataOnly="0" labelOnly="1" outline="0" fieldPosition="0">
        <references count="2">
          <reference field="0" count="1" selected="0">
            <x v="244"/>
          </reference>
          <reference field="1" count="1">
            <x v="207"/>
          </reference>
        </references>
      </pivotArea>
    </format>
    <format dxfId="11346">
      <pivotArea dataOnly="0" labelOnly="1" outline="0" fieldPosition="0">
        <references count="2">
          <reference field="0" count="1" selected="0">
            <x v="245"/>
          </reference>
          <reference field="1" count="1">
            <x v="230"/>
          </reference>
        </references>
      </pivotArea>
    </format>
    <format dxfId="11345">
      <pivotArea dataOnly="0" labelOnly="1" outline="0" fieldPosition="0">
        <references count="2">
          <reference field="0" count="1" selected="0">
            <x v="246"/>
          </reference>
          <reference field="1" count="1">
            <x v="208"/>
          </reference>
        </references>
      </pivotArea>
    </format>
    <format dxfId="11344">
      <pivotArea dataOnly="0" labelOnly="1" outline="0" fieldPosition="0">
        <references count="2">
          <reference field="0" count="1" selected="0">
            <x v="247"/>
          </reference>
          <reference field="1" count="1">
            <x v="279"/>
          </reference>
        </references>
      </pivotArea>
    </format>
    <format dxfId="11343">
      <pivotArea dataOnly="0" labelOnly="1" outline="0" fieldPosition="0">
        <references count="2">
          <reference field="0" count="1" selected="0">
            <x v="248"/>
          </reference>
          <reference field="1" count="1">
            <x v="209"/>
          </reference>
        </references>
      </pivotArea>
    </format>
    <format dxfId="11342">
      <pivotArea dataOnly="0" labelOnly="1" outline="0" fieldPosition="0">
        <references count="2">
          <reference field="0" count="1" selected="0">
            <x v="249"/>
          </reference>
          <reference field="1" count="1">
            <x v="226"/>
          </reference>
        </references>
      </pivotArea>
    </format>
    <format dxfId="11341">
      <pivotArea dataOnly="0" labelOnly="1" outline="0" fieldPosition="0">
        <references count="2">
          <reference field="0" count="1" selected="0">
            <x v="250"/>
          </reference>
          <reference field="1" count="1">
            <x v="211"/>
          </reference>
        </references>
      </pivotArea>
    </format>
    <format dxfId="11340">
      <pivotArea dataOnly="0" labelOnly="1" outline="0" fieldPosition="0">
        <references count="2">
          <reference field="0" count="1" selected="0">
            <x v="251"/>
          </reference>
          <reference field="1" count="1">
            <x v="333"/>
          </reference>
        </references>
      </pivotArea>
    </format>
    <format dxfId="11339">
      <pivotArea dataOnly="0" labelOnly="1" outline="0" fieldPosition="0">
        <references count="2">
          <reference field="0" count="1" selected="0">
            <x v="252"/>
          </reference>
          <reference field="1" count="1">
            <x v="212"/>
          </reference>
        </references>
      </pivotArea>
    </format>
    <format dxfId="11338">
      <pivotArea dataOnly="0" labelOnly="1" outline="0" fieldPosition="0">
        <references count="2">
          <reference field="0" count="1" selected="0">
            <x v="253"/>
          </reference>
          <reference field="1" count="1">
            <x v="340"/>
          </reference>
        </references>
      </pivotArea>
    </format>
    <format dxfId="11337">
      <pivotArea dataOnly="0" labelOnly="1" outline="0" fieldPosition="0">
        <references count="2">
          <reference field="0" count="1" selected="0">
            <x v="254"/>
          </reference>
          <reference field="1" count="1">
            <x v="194"/>
          </reference>
        </references>
      </pivotArea>
    </format>
    <format dxfId="11336">
      <pivotArea dataOnly="0" labelOnly="1" outline="0" fieldPosition="0">
        <references count="2">
          <reference field="0" count="1" selected="0">
            <x v="255"/>
          </reference>
          <reference field="1" count="1">
            <x v="334"/>
          </reference>
        </references>
      </pivotArea>
    </format>
    <format dxfId="11335">
      <pivotArea dataOnly="0" labelOnly="1" outline="0" fieldPosition="0">
        <references count="2">
          <reference field="0" count="1" selected="0">
            <x v="256"/>
          </reference>
          <reference field="1" count="1">
            <x v="118"/>
          </reference>
        </references>
      </pivotArea>
    </format>
    <format dxfId="11334">
      <pivotArea dataOnly="0" labelOnly="1" outline="0" fieldPosition="0">
        <references count="2">
          <reference field="0" count="1" selected="0">
            <x v="257"/>
          </reference>
          <reference field="1" count="1">
            <x v="5"/>
          </reference>
        </references>
      </pivotArea>
    </format>
    <format dxfId="11333">
      <pivotArea dataOnly="0" labelOnly="1" outline="0" fieldPosition="0">
        <references count="2">
          <reference field="0" count="1" selected="0">
            <x v="258"/>
          </reference>
          <reference field="1" count="1">
            <x v="92"/>
          </reference>
        </references>
      </pivotArea>
    </format>
    <format dxfId="11332">
      <pivotArea dataOnly="0" labelOnly="1" outline="0" fieldPosition="0">
        <references count="2">
          <reference field="0" count="1" selected="0">
            <x v="259"/>
          </reference>
          <reference field="1" count="1">
            <x v="4"/>
          </reference>
        </references>
      </pivotArea>
    </format>
    <format dxfId="11331">
      <pivotArea dataOnly="0" labelOnly="1" outline="0" fieldPosition="0">
        <references count="2">
          <reference field="0" count="1" selected="0">
            <x v="260"/>
          </reference>
          <reference field="1" count="1">
            <x v="153"/>
          </reference>
        </references>
      </pivotArea>
    </format>
    <format dxfId="11330">
      <pivotArea dataOnly="0" labelOnly="1" outline="0" fieldPosition="0">
        <references count="2">
          <reference field="0" count="1" selected="0">
            <x v="261"/>
          </reference>
          <reference field="1" count="1">
            <x v="262"/>
          </reference>
        </references>
      </pivotArea>
    </format>
    <format dxfId="11329">
      <pivotArea dataOnly="0" labelOnly="1" outline="0" fieldPosition="0">
        <references count="2">
          <reference field="0" count="1" selected="0">
            <x v="262"/>
          </reference>
          <reference field="1" count="1">
            <x v="372"/>
          </reference>
        </references>
      </pivotArea>
    </format>
    <format dxfId="11328">
      <pivotArea dataOnly="0" labelOnly="1" outline="0" fieldPosition="0">
        <references count="2">
          <reference field="0" count="1" selected="0">
            <x v="263"/>
          </reference>
          <reference field="1" count="1">
            <x v="87"/>
          </reference>
        </references>
      </pivotArea>
    </format>
    <format dxfId="11327">
      <pivotArea dataOnly="0" labelOnly="1" outline="0" fieldPosition="0">
        <references count="2">
          <reference field="0" count="1" selected="0">
            <x v="264"/>
          </reference>
          <reference field="1" count="1">
            <x v="169"/>
          </reference>
        </references>
      </pivotArea>
    </format>
    <format dxfId="11326">
      <pivotArea dataOnly="0" labelOnly="1" outline="0" fieldPosition="0">
        <references count="2">
          <reference field="0" count="1" selected="0">
            <x v="265"/>
          </reference>
          <reference field="1" count="1">
            <x v="72"/>
          </reference>
        </references>
      </pivotArea>
    </format>
    <format dxfId="11325">
      <pivotArea dataOnly="0" labelOnly="1" outline="0" fieldPosition="0">
        <references count="2">
          <reference field="0" count="1" selected="0">
            <x v="266"/>
          </reference>
          <reference field="1" count="1">
            <x v="79"/>
          </reference>
        </references>
      </pivotArea>
    </format>
    <format dxfId="11324">
      <pivotArea dataOnly="0" labelOnly="1" outline="0" fieldPosition="0">
        <references count="2">
          <reference field="0" count="1" selected="0">
            <x v="267"/>
          </reference>
          <reference field="1" count="1">
            <x v="80"/>
          </reference>
        </references>
      </pivotArea>
    </format>
    <format dxfId="11323">
      <pivotArea dataOnly="0" labelOnly="1" outline="0" fieldPosition="0">
        <references count="2">
          <reference field="0" count="1" selected="0">
            <x v="268"/>
          </reference>
          <reference field="1" count="1">
            <x v="69"/>
          </reference>
        </references>
      </pivotArea>
    </format>
    <format dxfId="11322">
      <pivotArea dataOnly="0" labelOnly="1" outline="0" fieldPosition="0">
        <references count="2">
          <reference field="0" count="1" selected="0">
            <x v="269"/>
          </reference>
          <reference field="1" count="1">
            <x v="382"/>
          </reference>
        </references>
      </pivotArea>
    </format>
    <format dxfId="11321">
      <pivotArea dataOnly="0" labelOnly="1" outline="0" fieldPosition="0">
        <references count="2">
          <reference field="0" count="1" selected="0">
            <x v="270"/>
          </reference>
          <reference field="1" count="1">
            <x v="332"/>
          </reference>
        </references>
      </pivotArea>
    </format>
    <format dxfId="11320">
      <pivotArea dataOnly="0" labelOnly="1" outline="0" fieldPosition="0">
        <references count="2">
          <reference field="0" count="1" selected="0">
            <x v="271"/>
          </reference>
          <reference field="1" count="1">
            <x v="325"/>
          </reference>
        </references>
      </pivotArea>
    </format>
    <format dxfId="11319">
      <pivotArea dataOnly="0" labelOnly="1" outline="0" fieldPosition="0">
        <references count="2">
          <reference field="0" count="1" selected="0">
            <x v="272"/>
          </reference>
          <reference field="1" count="1">
            <x v="285"/>
          </reference>
        </references>
      </pivotArea>
    </format>
    <format dxfId="11318">
      <pivotArea dataOnly="0" labelOnly="1" outline="0" fieldPosition="0">
        <references count="2">
          <reference field="0" count="1" selected="0">
            <x v="273"/>
          </reference>
          <reference field="1" count="1">
            <x v="129"/>
          </reference>
        </references>
      </pivotArea>
    </format>
    <format dxfId="11317">
      <pivotArea dataOnly="0" labelOnly="1" outline="0" fieldPosition="0">
        <references count="2">
          <reference field="0" count="1" selected="0">
            <x v="274"/>
          </reference>
          <reference field="1" count="1">
            <x v="53"/>
          </reference>
        </references>
      </pivotArea>
    </format>
    <format dxfId="11316">
      <pivotArea dataOnly="0" labelOnly="1" outline="0" fieldPosition="0">
        <references count="2">
          <reference field="0" count="1" selected="0">
            <x v="275"/>
          </reference>
          <reference field="1" count="1">
            <x v="246"/>
          </reference>
        </references>
      </pivotArea>
    </format>
    <format dxfId="11315">
      <pivotArea dataOnly="0" labelOnly="1" outline="0" fieldPosition="0">
        <references count="2">
          <reference field="0" count="1" selected="0">
            <x v="276"/>
          </reference>
          <reference field="1" count="1">
            <x v="232"/>
          </reference>
        </references>
      </pivotArea>
    </format>
    <format dxfId="11314">
      <pivotArea dataOnly="0" labelOnly="1" outline="0" fieldPosition="0">
        <references count="2">
          <reference field="0" count="1" selected="0">
            <x v="277"/>
          </reference>
          <reference field="1" count="1">
            <x v="239"/>
          </reference>
        </references>
      </pivotArea>
    </format>
    <format dxfId="11313">
      <pivotArea dataOnly="0" labelOnly="1" outline="0" fieldPosition="0">
        <references count="2">
          <reference field="0" count="1" selected="0">
            <x v="278"/>
          </reference>
          <reference field="1" count="1">
            <x v="121"/>
          </reference>
        </references>
      </pivotArea>
    </format>
    <format dxfId="11312">
      <pivotArea dataOnly="0" labelOnly="1" outline="0" fieldPosition="0">
        <references count="2">
          <reference field="0" count="1" selected="0">
            <x v="279"/>
          </reference>
          <reference field="1" count="1">
            <x v="234"/>
          </reference>
        </references>
      </pivotArea>
    </format>
    <format dxfId="11311">
      <pivotArea dataOnly="0" labelOnly="1" outline="0" fieldPosition="0">
        <references count="2">
          <reference field="0" count="1" selected="0">
            <x v="280"/>
          </reference>
          <reference field="1" count="1">
            <x v="233"/>
          </reference>
        </references>
      </pivotArea>
    </format>
    <format dxfId="11310">
      <pivotArea dataOnly="0" labelOnly="1" outline="0" fieldPosition="0">
        <references count="2">
          <reference field="0" count="1" selected="0">
            <x v="281"/>
          </reference>
          <reference field="1" count="1">
            <x v="307"/>
          </reference>
        </references>
      </pivotArea>
    </format>
    <format dxfId="11309">
      <pivotArea dataOnly="0" labelOnly="1" outline="0" fieldPosition="0">
        <references count="2">
          <reference field="0" count="1" selected="0">
            <x v="282"/>
          </reference>
          <reference field="1" count="1">
            <x v="308"/>
          </reference>
        </references>
      </pivotArea>
    </format>
    <format dxfId="11308">
      <pivotArea dataOnly="0" labelOnly="1" outline="0" fieldPosition="0">
        <references count="2">
          <reference field="0" count="1" selected="0">
            <x v="283"/>
          </reference>
          <reference field="1" count="1">
            <x v="328"/>
          </reference>
        </references>
      </pivotArea>
    </format>
    <format dxfId="11307">
      <pivotArea dataOnly="0" labelOnly="1" outline="0" fieldPosition="0">
        <references count="2">
          <reference field="0" count="1" selected="0">
            <x v="284"/>
          </reference>
          <reference field="1" count="1">
            <x v="335"/>
          </reference>
        </references>
      </pivotArea>
    </format>
    <format dxfId="11306">
      <pivotArea dataOnly="0" labelOnly="1" outline="0" fieldPosition="0">
        <references count="2">
          <reference field="0" count="1" selected="0">
            <x v="285"/>
          </reference>
          <reference field="1" count="1">
            <x v="228"/>
          </reference>
        </references>
      </pivotArea>
    </format>
    <format dxfId="11305">
      <pivotArea dataOnly="0" labelOnly="1" outline="0" fieldPosition="0">
        <references count="2">
          <reference field="0" count="1" selected="0">
            <x v="286"/>
          </reference>
          <reference field="1" count="1">
            <x v="216"/>
          </reference>
        </references>
      </pivotArea>
    </format>
    <format dxfId="11304">
      <pivotArea dataOnly="0" labelOnly="1" outline="0" fieldPosition="0">
        <references count="2">
          <reference field="0" count="1" selected="0">
            <x v="287"/>
          </reference>
          <reference field="1" count="1">
            <x v="346"/>
          </reference>
        </references>
      </pivotArea>
    </format>
    <format dxfId="11303">
      <pivotArea dataOnly="0" labelOnly="1" outline="0" fieldPosition="0">
        <references count="2">
          <reference field="0" count="1" selected="0">
            <x v="288"/>
          </reference>
          <reference field="1" count="1">
            <x v="337"/>
          </reference>
        </references>
      </pivotArea>
    </format>
    <format dxfId="11302">
      <pivotArea dataOnly="0" labelOnly="1" outline="0" fieldPosition="0">
        <references count="2">
          <reference field="0" count="1" selected="0">
            <x v="289"/>
          </reference>
          <reference field="1" count="1">
            <x v="312"/>
          </reference>
        </references>
      </pivotArea>
    </format>
    <format dxfId="11301">
      <pivotArea dataOnly="0" labelOnly="1" outline="0" fieldPosition="0">
        <references count="2">
          <reference field="0" count="1" selected="0">
            <x v="290"/>
          </reference>
          <reference field="1" count="1">
            <x v="113"/>
          </reference>
        </references>
      </pivotArea>
    </format>
    <format dxfId="11300">
      <pivotArea dataOnly="0" labelOnly="1" outline="0" fieldPosition="0">
        <references count="2">
          <reference field="0" count="1" selected="0">
            <x v="291"/>
          </reference>
          <reference field="1" count="1">
            <x v="135"/>
          </reference>
        </references>
      </pivotArea>
    </format>
    <format dxfId="11299">
      <pivotArea dataOnly="0" labelOnly="1" outline="0" fieldPosition="0">
        <references count="2">
          <reference field="0" count="1" selected="0">
            <x v="292"/>
          </reference>
          <reference field="1" count="1">
            <x v="32"/>
          </reference>
        </references>
      </pivotArea>
    </format>
    <format dxfId="11298">
      <pivotArea dataOnly="0" labelOnly="1" outline="0" fieldPosition="0">
        <references count="2">
          <reference field="0" count="1" selected="0">
            <x v="293"/>
          </reference>
          <reference field="1" count="1">
            <x v="103"/>
          </reference>
        </references>
      </pivotArea>
    </format>
    <format dxfId="11297">
      <pivotArea dataOnly="0" labelOnly="1" outline="0" fieldPosition="0">
        <references count="2">
          <reference field="0" count="1" selected="0">
            <x v="294"/>
          </reference>
          <reference field="1" count="1">
            <x v="140"/>
          </reference>
        </references>
      </pivotArea>
    </format>
    <format dxfId="11296">
      <pivotArea dataOnly="0" labelOnly="1" outline="0" fieldPosition="0">
        <references count="2">
          <reference field="0" count="1" selected="0">
            <x v="295"/>
          </reference>
          <reference field="1" count="1">
            <x v="142"/>
          </reference>
        </references>
      </pivotArea>
    </format>
    <format dxfId="11295">
      <pivotArea dataOnly="0" labelOnly="1" outline="0" fieldPosition="0">
        <references count="2">
          <reference field="0" count="1" selected="0">
            <x v="296"/>
          </reference>
          <reference field="1" count="1">
            <x v="141"/>
          </reference>
        </references>
      </pivotArea>
    </format>
    <format dxfId="11294">
      <pivotArea dataOnly="0" labelOnly="1" outline="0" fieldPosition="0">
        <references count="2">
          <reference field="0" count="1" selected="0">
            <x v="297"/>
          </reference>
          <reference field="1" count="1">
            <x v="125"/>
          </reference>
        </references>
      </pivotArea>
    </format>
    <format dxfId="11293">
      <pivotArea dataOnly="0" labelOnly="1" outline="0" fieldPosition="0">
        <references count="2">
          <reference field="0" count="1" selected="0">
            <x v="298"/>
          </reference>
          <reference field="1" count="1">
            <x v="123"/>
          </reference>
        </references>
      </pivotArea>
    </format>
    <format dxfId="11292">
      <pivotArea dataOnly="0" labelOnly="1" outline="0" fieldPosition="0">
        <references count="2">
          <reference field="0" count="1" selected="0">
            <x v="299"/>
          </reference>
          <reference field="1" count="1">
            <x v="280"/>
          </reference>
        </references>
      </pivotArea>
    </format>
    <format dxfId="11291">
      <pivotArea dataOnly="0" labelOnly="1" outline="0" fieldPosition="0">
        <references count="2">
          <reference field="0" count="1" selected="0">
            <x v="300"/>
          </reference>
          <reference field="1" count="1">
            <x v="147"/>
          </reference>
        </references>
      </pivotArea>
    </format>
    <format dxfId="11290">
      <pivotArea dataOnly="0" labelOnly="1" outline="0" fieldPosition="0">
        <references count="2">
          <reference field="0" count="1" selected="0">
            <x v="301"/>
          </reference>
          <reference field="1" count="1">
            <x v="174"/>
          </reference>
        </references>
      </pivotArea>
    </format>
    <format dxfId="11289">
      <pivotArea dataOnly="0" labelOnly="1" outline="0" fieldPosition="0">
        <references count="2">
          <reference field="0" count="1" selected="0">
            <x v="302"/>
          </reference>
          <reference field="1" count="1">
            <x v="145"/>
          </reference>
        </references>
      </pivotArea>
    </format>
    <format dxfId="11288">
      <pivotArea dataOnly="0" labelOnly="1" outline="0" fieldPosition="0">
        <references count="2">
          <reference field="0" count="1" selected="0">
            <x v="303"/>
          </reference>
          <reference field="1" count="1">
            <x v="143"/>
          </reference>
        </references>
      </pivotArea>
    </format>
    <format dxfId="11287">
      <pivotArea dataOnly="0" labelOnly="1" outline="0" fieldPosition="0">
        <references count="2">
          <reference field="0" count="1" selected="0">
            <x v="304"/>
          </reference>
          <reference field="1" count="1">
            <x v="144"/>
          </reference>
        </references>
      </pivotArea>
    </format>
    <format dxfId="11286">
      <pivotArea dataOnly="0" labelOnly="1" outline="0" fieldPosition="0">
        <references count="2">
          <reference field="0" count="1" selected="0">
            <x v="305"/>
          </reference>
          <reference field="1" count="1">
            <x v="146"/>
          </reference>
        </references>
      </pivotArea>
    </format>
    <format dxfId="11285">
      <pivotArea dataOnly="0" labelOnly="1" outline="0" fieldPosition="0">
        <references count="2">
          <reference field="0" count="1" selected="0">
            <x v="306"/>
          </reference>
          <reference field="1" count="1">
            <x v="75"/>
          </reference>
        </references>
      </pivotArea>
    </format>
    <format dxfId="11284">
      <pivotArea dataOnly="0" labelOnly="1" outline="0" fieldPosition="0">
        <references count="2">
          <reference field="0" count="1" selected="0">
            <x v="307"/>
          </reference>
          <reference field="1" count="1">
            <x v="85"/>
          </reference>
        </references>
      </pivotArea>
    </format>
    <format dxfId="11283">
      <pivotArea dataOnly="0" labelOnly="1" outline="0" fieldPosition="0">
        <references count="2">
          <reference field="0" count="1" selected="0">
            <x v="308"/>
          </reference>
          <reference field="1" count="1">
            <x v="105"/>
          </reference>
        </references>
      </pivotArea>
    </format>
    <format dxfId="11282">
      <pivotArea dataOnly="0" labelOnly="1" outline="0" fieldPosition="0">
        <references count="2">
          <reference field="0" count="1" selected="0">
            <x v="309"/>
          </reference>
          <reference field="1" count="1">
            <x v="362"/>
          </reference>
        </references>
      </pivotArea>
    </format>
    <format dxfId="11281">
      <pivotArea dataOnly="0" labelOnly="1" outline="0" fieldPosition="0">
        <references count="2">
          <reference field="0" count="1" selected="0">
            <x v="310"/>
          </reference>
          <reference field="1" count="1">
            <x v="171"/>
          </reference>
        </references>
      </pivotArea>
    </format>
    <format dxfId="11280">
      <pivotArea dataOnly="0" labelOnly="1" outline="0" fieldPosition="0">
        <references count="2">
          <reference field="0" count="1" selected="0">
            <x v="311"/>
          </reference>
          <reference field="1" count="1">
            <x v="126"/>
          </reference>
        </references>
      </pivotArea>
    </format>
    <format dxfId="11279">
      <pivotArea dataOnly="0" labelOnly="1" outline="0" fieldPosition="0">
        <references count="2">
          <reference field="0" count="1" selected="0">
            <x v="312"/>
          </reference>
          <reference field="1" count="1">
            <x v="127"/>
          </reference>
        </references>
      </pivotArea>
    </format>
    <format dxfId="11278">
      <pivotArea dataOnly="0" labelOnly="1" outline="0" fieldPosition="0">
        <references count="2">
          <reference field="0" count="1" selected="0">
            <x v="313"/>
          </reference>
          <reference field="1" count="1">
            <x v="343"/>
          </reference>
        </references>
      </pivotArea>
    </format>
    <format dxfId="11277">
      <pivotArea dataOnly="0" labelOnly="1" outline="0" fieldPosition="0">
        <references count="2">
          <reference field="0" count="1" selected="0">
            <x v="314"/>
          </reference>
          <reference field="1" count="1">
            <x v="344"/>
          </reference>
        </references>
      </pivotArea>
    </format>
    <format dxfId="11276">
      <pivotArea dataOnly="0" labelOnly="1" outline="0" fieldPosition="0">
        <references count="2">
          <reference field="0" count="1" selected="0">
            <x v="315"/>
          </reference>
          <reference field="1" count="1">
            <x v="306"/>
          </reference>
        </references>
      </pivotArea>
    </format>
    <format dxfId="11275">
      <pivotArea dataOnly="0" labelOnly="1" outline="0" fieldPosition="0">
        <references count="2">
          <reference field="0" count="1" selected="0">
            <x v="316"/>
          </reference>
          <reference field="1" count="1">
            <x v="124"/>
          </reference>
        </references>
      </pivotArea>
    </format>
    <format dxfId="11274">
      <pivotArea dataOnly="0" labelOnly="1" outline="0" fieldPosition="0">
        <references count="2">
          <reference field="0" count="1" selected="0">
            <x v="317"/>
          </reference>
          <reference field="1" count="1">
            <x v="375"/>
          </reference>
        </references>
      </pivotArea>
    </format>
    <format dxfId="11273">
      <pivotArea dataOnly="0" labelOnly="1" outline="0" fieldPosition="0">
        <references count="2">
          <reference field="0" count="1" selected="0">
            <x v="318"/>
          </reference>
          <reference field="1" count="1">
            <x v="357"/>
          </reference>
        </references>
      </pivotArea>
    </format>
    <format dxfId="11272">
      <pivotArea dataOnly="0" labelOnly="1" outline="0" fieldPosition="0">
        <references count="2">
          <reference field="0" count="1" selected="0">
            <x v="319"/>
          </reference>
          <reference field="1" count="1">
            <x v="358"/>
          </reference>
        </references>
      </pivotArea>
    </format>
    <format dxfId="11271">
      <pivotArea dataOnly="0" labelOnly="1" outline="0" fieldPosition="0">
        <references count="2">
          <reference field="0" count="1" selected="0">
            <x v="320"/>
          </reference>
          <reference field="1" count="1">
            <x v="359"/>
          </reference>
        </references>
      </pivotArea>
    </format>
    <format dxfId="11270">
      <pivotArea dataOnly="0" labelOnly="1" outline="0" fieldPosition="0">
        <references count="2">
          <reference field="0" count="1" selected="0">
            <x v="321"/>
          </reference>
          <reference field="1" count="1">
            <x v="374"/>
          </reference>
        </references>
      </pivotArea>
    </format>
    <format dxfId="11269">
      <pivotArea dataOnly="0" labelOnly="1" outline="0" fieldPosition="0">
        <references count="2">
          <reference field="0" count="1" selected="0">
            <x v="322"/>
          </reference>
          <reference field="1" count="1">
            <x v="356"/>
          </reference>
        </references>
      </pivotArea>
    </format>
    <format dxfId="11268">
      <pivotArea dataOnly="0" labelOnly="1" outline="0" fieldPosition="0">
        <references count="2">
          <reference field="0" count="1" selected="0">
            <x v="323"/>
          </reference>
          <reference field="1" count="1">
            <x v="219"/>
          </reference>
        </references>
      </pivotArea>
    </format>
    <format dxfId="11267">
      <pivotArea dataOnly="0" labelOnly="1" outline="0" fieldPosition="0">
        <references count="2">
          <reference field="0" count="1" selected="0">
            <x v="324"/>
          </reference>
          <reference field="1" count="1">
            <x v="309"/>
          </reference>
        </references>
      </pivotArea>
    </format>
    <format dxfId="11266">
      <pivotArea dataOnly="0" labelOnly="1" outline="0" fieldPosition="0">
        <references count="2">
          <reference field="0" count="1" selected="0">
            <x v="325"/>
          </reference>
          <reference field="1" count="1">
            <x v="63"/>
          </reference>
        </references>
      </pivotArea>
    </format>
    <format dxfId="11265">
      <pivotArea dataOnly="0" labelOnly="1" outline="0" fieldPosition="0">
        <references count="2">
          <reference field="0" count="1" selected="0">
            <x v="326"/>
          </reference>
          <reference field="1" count="1">
            <x v="175"/>
          </reference>
        </references>
      </pivotArea>
    </format>
    <format dxfId="11264">
      <pivotArea dataOnly="0" labelOnly="1" outline="0" fieldPosition="0">
        <references count="2">
          <reference field="0" count="1" selected="0">
            <x v="327"/>
          </reference>
          <reference field="1" count="1">
            <x v="326"/>
          </reference>
        </references>
      </pivotArea>
    </format>
    <format dxfId="11263">
      <pivotArea dataOnly="0" labelOnly="1" outline="0" fieldPosition="0">
        <references count="2">
          <reference field="0" count="1" selected="0">
            <x v="328"/>
          </reference>
          <reference field="1" count="1">
            <x v="56"/>
          </reference>
        </references>
      </pivotArea>
    </format>
    <format dxfId="11262">
      <pivotArea dataOnly="0" labelOnly="1" outline="0" fieldPosition="0">
        <references count="2">
          <reference field="0" count="1" selected="0">
            <x v="329"/>
          </reference>
          <reference field="1" count="1">
            <x v="134"/>
          </reference>
        </references>
      </pivotArea>
    </format>
    <format dxfId="11261">
      <pivotArea dataOnly="0" labelOnly="1" outline="0" fieldPosition="0">
        <references count="2">
          <reference field="0" count="1" selected="0">
            <x v="330"/>
          </reference>
          <reference field="1" count="1">
            <x v="151"/>
          </reference>
        </references>
      </pivotArea>
    </format>
    <format dxfId="11260">
      <pivotArea dataOnly="0" labelOnly="1" outline="0" fieldPosition="0">
        <references count="2">
          <reference field="0" count="1" selected="0">
            <x v="331"/>
          </reference>
          <reference field="1" count="1">
            <x v="222"/>
          </reference>
        </references>
      </pivotArea>
    </format>
    <format dxfId="11259">
      <pivotArea dataOnly="0" labelOnly="1" outline="0" fieldPosition="0">
        <references count="2">
          <reference field="0" count="1" selected="0">
            <x v="332"/>
          </reference>
          <reference field="1" count="1">
            <x v="276"/>
          </reference>
        </references>
      </pivotArea>
    </format>
    <format dxfId="11258">
      <pivotArea dataOnly="0" labelOnly="1" outline="0" fieldPosition="0">
        <references count="2">
          <reference field="0" count="1" selected="0">
            <x v="333"/>
          </reference>
          <reference field="1" count="1">
            <x v="122"/>
          </reference>
        </references>
      </pivotArea>
    </format>
    <format dxfId="11257">
      <pivotArea dataOnly="0" labelOnly="1" outline="0" fieldPosition="0">
        <references count="2">
          <reference field="0" count="1" selected="0">
            <x v="334"/>
          </reference>
          <reference field="1" count="1">
            <x v="247"/>
          </reference>
        </references>
      </pivotArea>
    </format>
    <format dxfId="11256">
      <pivotArea dataOnly="0" labelOnly="1" outline="0" fieldPosition="0">
        <references count="2">
          <reference field="0" count="1" selected="0">
            <x v="335"/>
          </reference>
          <reference field="1" count="1">
            <x v="57"/>
          </reference>
        </references>
      </pivotArea>
    </format>
    <format dxfId="11255">
      <pivotArea dataOnly="0" labelOnly="1" outline="0" fieldPosition="0">
        <references count="2">
          <reference field="0" count="1" selected="0">
            <x v="336"/>
          </reference>
          <reference field="1" count="1">
            <x v="321"/>
          </reference>
        </references>
      </pivotArea>
    </format>
    <format dxfId="11254">
      <pivotArea dataOnly="0" labelOnly="1" outline="0" fieldPosition="0">
        <references count="2">
          <reference field="0" count="1" selected="0">
            <x v="337"/>
          </reference>
          <reference field="1" count="1">
            <x v="149"/>
          </reference>
        </references>
      </pivotArea>
    </format>
    <format dxfId="11253">
      <pivotArea dataOnly="0" labelOnly="1" outline="0" fieldPosition="0">
        <references count="2">
          <reference field="0" count="1" selected="0">
            <x v="338"/>
          </reference>
          <reference field="1" count="1">
            <x v="93"/>
          </reference>
        </references>
      </pivotArea>
    </format>
    <format dxfId="11252">
      <pivotArea dataOnly="0" labelOnly="1" outline="0" fieldPosition="0">
        <references count="2">
          <reference field="0" count="1" selected="0">
            <x v="339"/>
          </reference>
          <reference field="1" count="1">
            <x v="130"/>
          </reference>
        </references>
      </pivotArea>
    </format>
    <format dxfId="11251">
      <pivotArea dataOnly="0" labelOnly="1" outline="0" fieldPosition="0">
        <references count="2">
          <reference field="0" count="1" selected="0">
            <x v="340"/>
          </reference>
          <reference field="1" count="1">
            <x v="324"/>
          </reference>
        </references>
      </pivotArea>
    </format>
    <format dxfId="11250">
      <pivotArea dataOnly="0" labelOnly="1" outline="0" fieldPosition="0">
        <references count="2">
          <reference field="0" count="1" selected="0">
            <x v="341"/>
          </reference>
          <reference field="1" count="1">
            <x v="322"/>
          </reference>
        </references>
      </pivotArea>
    </format>
    <format dxfId="11249">
      <pivotArea dataOnly="0" labelOnly="1" outline="0" fieldPosition="0">
        <references count="2">
          <reference field="0" count="1" selected="0">
            <x v="342"/>
          </reference>
          <reference field="1" count="1">
            <x v="323"/>
          </reference>
        </references>
      </pivotArea>
    </format>
    <format dxfId="11248">
      <pivotArea dataOnly="0" labelOnly="1" outline="0" fieldPosition="0">
        <references count="2">
          <reference field="0" count="1" selected="0">
            <x v="343"/>
          </reference>
          <reference field="1" count="1">
            <x v="254"/>
          </reference>
        </references>
      </pivotArea>
    </format>
    <format dxfId="11247">
      <pivotArea dataOnly="0" labelOnly="1" outline="0" fieldPosition="0">
        <references count="2">
          <reference field="0" count="1" selected="0">
            <x v="344"/>
          </reference>
          <reference field="1" count="1">
            <x v="320"/>
          </reference>
        </references>
      </pivotArea>
    </format>
    <format dxfId="11246">
      <pivotArea dataOnly="0" labelOnly="1" outline="0" fieldPosition="0">
        <references count="2">
          <reference field="0" count="1" selected="0">
            <x v="345"/>
          </reference>
          <reference field="1" count="1">
            <x v="277"/>
          </reference>
        </references>
      </pivotArea>
    </format>
    <format dxfId="11245">
      <pivotArea dataOnly="0" labelOnly="1" outline="0" fieldPosition="0">
        <references count="2">
          <reference field="0" count="1" selected="0">
            <x v="346"/>
          </reference>
          <reference field="1" count="1">
            <x v="214"/>
          </reference>
        </references>
      </pivotArea>
    </format>
    <format dxfId="11244">
      <pivotArea dataOnly="0" labelOnly="1" outline="0" fieldPosition="0">
        <references count="2">
          <reference field="0" count="1" selected="0">
            <x v="347"/>
          </reference>
          <reference field="1" count="1">
            <x v="345"/>
          </reference>
        </references>
      </pivotArea>
    </format>
    <format dxfId="11243">
      <pivotArea dataOnly="0" labelOnly="1" outline="0" fieldPosition="0">
        <references count="2">
          <reference field="0" count="1" selected="0">
            <x v="348"/>
          </reference>
          <reference field="1" count="1">
            <x v="263"/>
          </reference>
        </references>
      </pivotArea>
    </format>
    <format dxfId="11242">
      <pivotArea dataOnly="0" labelOnly="1" outline="0" fieldPosition="0">
        <references count="2">
          <reference field="0" count="1" selected="0">
            <x v="349"/>
          </reference>
          <reference field="1" count="1">
            <x v="236"/>
          </reference>
        </references>
      </pivotArea>
    </format>
    <format dxfId="11241">
      <pivotArea dataOnly="0" labelOnly="1" outline="0" fieldPosition="0">
        <references count="2">
          <reference field="0" count="1" selected="0">
            <x v="350"/>
          </reference>
          <reference field="1" count="1">
            <x v="240"/>
          </reference>
        </references>
      </pivotArea>
    </format>
    <format dxfId="11240">
      <pivotArea dataOnly="0" labelOnly="1" outline="0" fieldPosition="0">
        <references count="2">
          <reference field="0" count="1" selected="0">
            <x v="351"/>
          </reference>
          <reference field="1" count="1">
            <x v="268"/>
          </reference>
        </references>
      </pivotArea>
    </format>
    <format dxfId="11239">
      <pivotArea dataOnly="0" labelOnly="1" outline="0" fieldPosition="0">
        <references count="2">
          <reference field="0" count="1" selected="0">
            <x v="352"/>
          </reference>
          <reference field="1" count="1">
            <x v="377"/>
          </reference>
        </references>
      </pivotArea>
    </format>
    <format dxfId="11238">
      <pivotArea dataOnly="0" labelOnly="1" outline="0" fieldPosition="0">
        <references count="2">
          <reference field="0" count="1" selected="0">
            <x v="353"/>
          </reference>
          <reference field="1" count="1">
            <x v="67"/>
          </reference>
        </references>
      </pivotArea>
    </format>
    <format dxfId="11237">
      <pivotArea dataOnly="0" labelOnly="1" outline="0" fieldPosition="0">
        <references count="2">
          <reference field="0" count="1" selected="0">
            <x v="354"/>
          </reference>
          <reference field="1" count="1">
            <x v="120"/>
          </reference>
        </references>
      </pivotArea>
    </format>
    <format dxfId="11236">
      <pivotArea dataOnly="0" labelOnly="1" outline="0" fieldPosition="0">
        <references count="2">
          <reference field="0" count="1" selected="0">
            <x v="355"/>
          </reference>
          <reference field="1" count="1">
            <x v="170"/>
          </reference>
        </references>
      </pivotArea>
    </format>
    <format dxfId="11235">
      <pivotArea dataOnly="0" labelOnly="1" outline="0" fieldPosition="0">
        <references count="2">
          <reference field="0" count="1" selected="0">
            <x v="356"/>
          </reference>
          <reference field="1" count="1">
            <x v="255"/>
          </reference>
        </references>
      </pivotArea>
    </format>
    <format dxfId="11234">
      <pivotArea dataOnly="0" labelOnly="1" outline="0" fieldPosition="0">
        <references count="2">
          <reference field="0" count="1" selected="0">
            <x v="357"/>
          </reference>
          <reference field="1" count="1">
            <x v="49"/>
          </reference>
        </references>
      </pivotArea>
    </format>
    <format dxfId="11233">
      <pivotArea dataOnly="0" labelOnly="1" outline="0" fieldPosition="0">
        <references count="2">
          <reference field="0" count="1" selected="0">
            <x v="358"/>
          </reference>
          <reference field="1" count="1">
            <x v="376"/>
          </reference>
        </references>
      </pivotArea>
    </format>
    <format dxfId="11232">
      <pivotArea dataOnly="0" labelOnly="1" outline="0" fieldPosition="0">
        <references count="2">
          <reference field="0" count="1" selected="0">
            <x v="359"/>
          </reference>
          <reference field="1" count="1">
            <x v="11"/>
          </reference>
        </references>
      </pivotArea>
    </format>
    <format dxfId="11231">
      <pivotArea dataOnly="0" labelOnly="1" outline="0" fieldPosition="0">
        <references count="2">
          <reference field="0" count="1" selected="0">
            <x v="360"/>
          </reference>
          <reference field="1" count="1">
            <x v="368"/>
          </reference>
        </references>
      </pivotArea>
    </format>
    <format dxfId="11230">
      <pivotArea dataOnly="0" labelOnly="1" outline="0" fieldPosition="0">
        <references count="2">
          <reference field="0" count="1" selected="0">
            <x v="361"/>
          </reference>
          <reference field="1" count="1">
            <x v="367"/>
          </reference>
        </references>
      </pivotArea>
    </format>
    <format dxfId="11229">
      <pivotArea dataOnly="0" labelOnly="1" outline="0" fieldPosition="0">
        <references count="2">
          <reference field="0" count="1" selected="0">
            <x v="362"/>
          </reference>
          <reference field="1" count="1">
            <x v="338"/>
          </reference>
        </references>
      </pivotArea>
    </format>
    <format dxfId="11228">
      <pivotArea dataOnly="0" labelOnly="1" outline="0" fieldPosition="0">
        <references count="2">
          <reference field="0" count="1" selected="0">
            <x v="363"/>
          </reference>
          <reference field="1" count="1">
            <x v="65"/>
          </reference>
        </references>
      </pivotArea>
    </format>
    <format dxfId="11227">
      <pivotArea dataOnly="0" labelOnly="1" outline="0" fieldPosition="0">
        <references count="2">
          <reference field="0" count="1" selected="0">
            <x v="364"/>
          </reference>
          <reference field="1" count="1">
            <x v="15"/>
          </reference>
        </references>
      </pivotArea>
    </format>
    <format dxfId="11226">
      <pivotArea dataOnly="0" labelOnly="1" outline="0" fieldPosition="0">
        <references count="2">
          <reference field="0" count="1" selected="0">
            <x v="365"/>
          </reference>
          <reference field="1" count="1">
            <x v="235"/>
          </reference>
        </references>
      </pivotArea>
    </format>
    <format dxfId="11225">
      <pivotArea dataOnly="0" labelOnly="1" outline="0" fieldPosition="0">
        <references count="2">
          <reference field="0" count="1" selected="0">
            <x v="366"/>
          </reference>
          <reference field="1" count="1">
            <x v="13"/>
          </reference>
        </references>
      </pivotArea>
    </format>
    <format dxfId="11224">
      <pivotArea dataOnly="0" labelOnly="1" outline="0" fieldPosition="0">
        <references count="2">
          <reference field="0" count="1" selected="0">
            <x v="367"/>
          </reference>
          <reference field="1" count="1">
            <x v="20"/>
          </reference>
        </references>
      </pivotArea>
    </format>
    <format dxfId="11223">
      <pivotArea dataOnly="0" labelOnly="1" outline="0" fieldPosition="0">
        <references count="2">
          <reference field="0" count="1" selected="0">
            <x v="368"/>
          </reference>
          <reference field="1" count="1">
            <x v="12"/>
          </reference>
        </references>
      </pivotArea>
    </format>
    <format dxfId="11222">
      <pivotArea dataOnly="0" labelOnly="1" outline="0" fieldPosition="0">
        <references count="2">
          <reference field="0" count="1" selected="0">
            <x v="369"/>
          </reference>
          <reference field="1" count="1">
            <x v="109"/>
          </reference>
        </references>
      </pivotArea>
    </format>
    <format dxfId="11221">
      <pivotArea dataOnly="0" labelOnly="1" outline="0" fieldPosition="0">
        <references count="2">
          <reference field="0" count="1" selected="0">
            <x v="370"/>
          </reference>
          <reference field="1" count="1">
            <x v="112"/>
          </reference>
        </references>
      </pivotArea>
    </format>
    <format dxfId="11220">
      <pivotArea dataOnly="0" labelOnly="1" outline="0" fieldPosition="0">
        <references count="2">
          <reference field="0" count="1" selected="0">
            <x v="371"/>
          </reference>
          <reference field="1" count="1">
            <x v="19"/>
          </reference>
        </references>
      </pivotArea>
    </format>
    <format dxfId="11219">
      <pivotArea dataOnly="0" labelOnly="1" outline="0" fieldPosition="0">
        <references count="2">
          <reference field="0" count="1" selected="0">
            <x v="372"/>
          </reference>
          <reference field="1" count="1">
            <x v="111"/>
          </reference>
        </references>
      </pivotArea>
    </format>
    <format dxfId="11218">
      <pivotArea dataOnly="0" labelOnly="1" outline="0" fieldPosition="0">
        <references count="2">
          <reference field="0" count="1" selected="0">
            <x v="373"/>
          </reference>
          <reference field="1" count="1">
            <x v="17"/>
          </reference>
        </references>
      </pivotArea>
    </format>
    <format dxfId="11217">
      <pivotArea dataOnly="0" labelOnly="1" outline="0" fieldPosition="0">
        <references count="2">
          <reference field="0" count="1" selected="0">
            <x v="374"/>
          </reference>
          <reference field="1" count="1">
            <x v="18"/>
          </reference>
        </references>
      </pivotArea>
    </format>
    <format dxfId="11216">
      <pivotArea dataOnly="0" labelOnly="1" outline="0" fieldPosition="0">
        <references count="2">
          <reference field="0" count="1" selected="0">
            <x v="375"/>
          </reference>
          <reference field="1" count="1">
            <x v="16"/>
          </reference>
        </references>
      </pivotArea>
    </format>
    <format dxfId="11215">
      <pivotArea dataOnly="0" labelOnly="1" outline="0" fieldPosition="0">
        <references count="2">
          <reference field="0" count="1" selected="0">
            <x v="376"/>
          </reference>
          <reference field="1" count="1">
            <x v="110"/>
          </reference>
        </references>
      </pivotArea>
    </format>
    <format dxfId="11214">
      <pivotArea dataOnly="0" labelOnly="1" outline="0" fieldPosition="0">
        <references count="2">
          <reference field="0" count="1" selected="0">
            <x v="377"/>
          </reference>
          <reference field="1" count="1">
            <x v="14"/>
          </reference>
        </references>
      </pivotArea>
    </format>
    <format dxfId="11213">
      <pivotArea dataOnly="0" labelOnly="1" outline="0" fieldPosition="0">
        <references count="2">
          <reference field="0" count="1" selected="0">
            <x v="378"/>
          </reference>
          <reference field="1" count="1">
            <x v="97"/>
          </reference>
        </references>
      </pivotArea>
    </format>
    <format dxfId="11212">
      <pivotArea dataOnly="0" labelOnly="1" outline="0" fieldPosition="0">
        <references count="2">
          <reference field="0" count="1" selected="0">
            <x v="379"/>
          </reference>
          <reference field="1" count="1">
            <x v="78"/>
          </reference>
        </references>
      </pivotArea>
    </format>
    <format dxfId="11211">
      <pivotArea dataOnly="0" labelOnly="1" outline="0" fieldPosition="0">
        <references count="2">
          <reference field="0" count="1" selected="0">
            <x v="380"/>
          </reference>
          <reference field="1" count="1">
            <x v="76"/>
          </reference>
        </references>
      </pivotArea>
    </format>
    <format dxfId="11210">
      <pivotArea dataOnly="0" labelOnly="1" outline="0" fieldPosition="0">
        <references count="2">
          <reference field="0" count="1" selected="0">
            <x v="381"/>
          </reference>
          <reference field="1" count="1">
            <x v="77"/>
          </reference>
        </references>
      </pivotArea>
    </format>
    <format dxfId="11209">
      <pivotArea dataOnly="0" labelOnly="1" outline="0" fieldPosition="0">
        <references count="2">
          <reference field="0" count="1" selected="0">
            <x v="382"/>
          </reference>
          <reference field="1" count="1">
            <x v="383"/>
          </reference>
        </references>
      </pivotArea>
    </format>
    <format dxfId="11208">
      <pivotArea dataOnly="0" labelOnly="1" outline="0" fieldPosition="0">
        <references count="3">
          <reference field="0" count="1" selected="0">
            <x v="0"/>
          </reference>
          <reference field="1" count="1" selected="0">
            <x v="50"/>
          </reference>
          <reference field="2" count="1">
            <x v="110"/>
          </reference>
        </references>
      </pivotArea>
    </format>
    <format dxfId="11207">
      <pivotArea dataOnly="0" labelOnly="1" outline="0" fieldPosition="0">
        <references count="3">
          <reference field="0" count="1" selected="0">
            <x v="1"/>
          </reference>
          <reference field="1" count="1" selected="0">
            <x v="0"/>
          </reference>
          <reference field="2" count="1">
            <x v="355"/>
          </reference>
        </references>
      </pivotArea>
    </format>
    <format dxfId="11206">
      <pivotArea dataOnly="0" labelOnly="1" outline="0" fieldPosition="0">
        <references count="3">
          <reference field="0" count="1" selected="0">
            <x v="2"/>
          </reference>
          <reference field="1" count="1" selected="0">
            <x v="52"/>
          </reference>
          <reference field="2" count="1">
            <x v="113"/>
          </reference>
        </references>
      </pivotArea>
    </format>
    <format dxfId="11205">
      <pivotArea dataOnly="0" labelOnly="1" outline="0" fieldPosition="0">
        <references count="3">
          <reference field="0" count="1" selected="0">
            <x v="3"/>
          </reference>
          <reference field="1" count="1" selected="0">
            <x v="51"/>
          </reference>
          <reference field="2" count="1">
            <x v="114"/>
          </reference>
        </references>
      </pivotArea>
    </format>
    <format dxfId="11204">
      <pivotArea dataOnly="0" labelOnly="1" outline="0" fieldPosition="0">
        <references count="3">
          <reference field="0" count="1" selected="0">
            <x v="4"/>
          </reference>
          <reference field="1" count="1" selected="0">
            <x v="310"/>
          </reference>
          <reference field="2" count="1">
            <x v="0"/>
          </reference>
        </references>
      </pivotArea>
    </format>
    <format dxfId="11203">
      <pivotArea dataOnly="0" labelOnly="1" outline="0" fieldPosition="0">
        <references count="3">
          <reference field="0" count="1" selected="0">
            <x v="5"/>
          </reference>
          <reference field="1" count="1" selected="0">
            <x v="296"/>
          </reference>
          <reference field="2" count="1">
            <x v="291"/>
          </reference>
        </references>
      </pivotArea>
    </format>
    <format dxfId="11202">
      <pivotArea dataOnly="0" labelOnly="1" outline="0" fieldPosition="0">
        <references count="3">
          <reference field="0" count="1" selected="0">
            <x v="6"/>
          </reference>
          <reference field="1" count="1" selected="0">
            <x v="102"/>
          </reference>
          <reference field="2" count="1">
            <x v="354"/>
          </reference>
        </references>
      </pivotArea>
    </format>
    <format dxfId="11201">
      <pivotArea dataOnly="0" labelOnly="1" outline="0" fieldPosition="0">
        <references count="3">
          <reference field="0" count="1" selected="0">
            <x v="7"/>
          </reference>
          <reference field="1" count="1" selected="0">
            <x v="380"/>
          </reference>
          <reference field="2" count="1">
            <x v="339"/>
          </reference>
        </references>
      </pivotArea>
    </format>
    <format dxfId="11200">
      <pivotArea dataOnly="0" labelOnly="1" outline="0" fieldPosition="0">
        <references count="3">
          <reference field="0" count="1" selected="0">
            <x v="8"/>
          </reference>
          <reference field="1" count="1" selected="0">
            <x v="148"/>
          </reference>
          <reference field="2" count="1">
            <x v="355"/>
          </reference>
        </references>
      </pivotArea>
    </format>
    <format dxfId="11199">
      <pivotArea dataOnly="0" labelOnly="1" outline="0" fieldPosition="0">
        <references count="3">
          <reference field="0" count="1" selected="0">
            <x v="9"/>
          </reference>
          <reference field="1" count="1" selected="0">
            <x v="152"/>
          </reference>
          <reference field="2" count="1">
            <x v="187"/>
          </reference>
        </references>
      </pivotArea>
    </format>
    <format dxfId="11198">
      <pivotArea dataOnly="0" labelOnly="1" outline="0" fieldPosition="0">
        <references count="3">
          <reference field="0" count="1" selected="0">
            <x v="10"/>
          </reference>
          <reference field="1" count="1" selected="0">
            <x v="366"/>
          </reference>
          <reference field="2" count="1">
            <x v="329"/>
          </reference>
        </references>
      </pivotArea>
    </format>
    <format dxfId="11197">
      <pivotArea dataOnly="0" labelOnly="1" outline="0" fieldPosition="0">
        <references count="3">
          <reference field="0" count="1" selected="0">
            <x v="11"/>
          </reference>
          <reference field="1" count="1" selected="0">
            <x v="104"/>
          </reference>
          <reference field="2" count="1">
            <x v="154"/>
          </reference>
        </references>
      </pivotArea>
    </format>
    <format dxfId="11196">
      <pivotArea dataOnly="0" labelOnly="1" outline="0" fieldPosition="0">
        <references count="3">
          <reference field="0" count="1" selected="0">
            <x v="12"/>
          </reference>
          <reference field="1" count="1" selected="0">
            <x v="354"/>
          </reference>
          <reference field="2" count="1">
            <x v="326"/>
          </reference>
        </references>
      </pivotArea>
    </format>
    <format dxfId="11195">
      <pivotArea dataOnly="0" labelOnly="1" outline="0" fieldPosition="0">
        <references count="3">
          <reference field="0" count="1" selected="0">
            <x v="13"/>
          </reference>
          <reference field="1" count="1" selected="0">
            <x v="64"/>
          </reference>
          <reference field="2" count="1">
            <x v="125"/>
          </reference>
        </references>
      </pivotArea>
    </format>
    <format dxfId="11194">
      <pivotArea dataOnly="0" labelOnly="1" outline="0" fieldPosition="0">
        <references count="3">
          <reference field="0" count="1" selected="0">
            <x v="14"/>
          </reference>
          <reference field="1" count="1" selected="0">
            <x v="138"/>
          </reference>
          <reference field="2" count="1">
            <x v="25"/>
          </reference>
        </references>
      </pivotArea>
    </format>
    <format dxfId="11193">
      <pivotArea dataOnly="0" labelOnly="1" outline="0" fieldPosition="0">
        <references count="3">
          <reference field="0" count="1" selected="0">
            <x v="15"/>
          </reference>
          <reference field="1" count="1" selected="0">
            <x v="241"/>
          </reference>
          <reference field="2" count="1">
            <x v="242"/>
          </reference>
        </references>
      </pivotArea>
    </format>
    <format dxfId="11192">
      <pivotArea dataOnly="0" labelOnly="1" outline="0" fieldPosition="0">
        <references count="3">
          <reference field="0" count="1" selected="0">
            <x v="16"/>
          </reference>
          <reference field="1" count="1" selected="0">
            <x v="61"/>
          </reference>
          <reference field="2" count="1">
            <x v="117"/>
          </reference>
        </references>
      </pivotArea>
    </format>
    <format dxfId="11191">
      <pivotArea dataOnly="0" labelOnly="1" outline="0" fieldPosition="0">
        <references count="3">
          <reference field="0" count="1" selected="0">
            <x v="17"/>
          </reference>
          <reference field="1" count="1" selected="0">
            <x v="31"/>
          </reference>
          <reference field="2" count="1">
            <x v="172"/>
          </reference>
        </references>
      </pivotArea>
    </format>
    <format dxfId="11190">
      <pivotArea dataOnly="0" labelOnly="1" outline="0" fieldPosition="0">
        <references count="3">
          <reference field="0" count="1" selected="0">
            <x v="18"/>
          </reference>
          <reference field="1" count="1" selected="0">
            <x v="128"/>
          </reference>
          <reference field="2" count="1">
            <x v="173"/>
          </reference>
        </references>
      </pivotArea>
    </format>
    <format dxfId="11189">
      <pivotArea dataOnly="0" labelOnly="1" outline="0" fieldPosition="0">
        <references count="3">
          <reference field="0" count="1" selected="0">
            <x v="19"/>
          </reference>
          <reference field="1" count="1" selected="0">
            <x v="115"/>
          </reference>
          <reference field="2" count="1">
            <x v="164"/>
          </reference>
        </references>
      </pivotArea>
    </format>
    <format dxfId="11188">
      <pivotArea dataOnly="0" labelOnly="1" outline="0" fieldPosition="0">
        <references count="3">
          <reference field="0" count="1" selected="0">
            <x v="20"/>
          </reference>
          <reference field="1" count="1" selected="0">
            <x v="223"/>
          </reference>
          <reference field="2" count="1">
            <x v="240"/>
          </reference>
        </references>
      </pivotArea>
    </format>
    <format dxfId="11187">
      <pivotArea dataOnly="0" labelOnly="1" outline="0" fieldPosition="0">
        <references count="3">
          <reference field="0" count="1" selected="0">
            <x v="21"/>
          </reference>
          <reference field="1" count="1" selected="0">
            <x v="342"/>
          </reference>
          <reference field="2" count="1">
            <x v="318"/>
          </reference>
        </references>
      </pivotArea>
    </format>
    <format dxfId="11186">
      <pivotArea dataOnly="0" labelOnly="1" outline="0" fieldPosition="0">
        <references count="3">
          <reference field="0" count="1" selected="0">
            <x v="22"/>
          </reference>
          <reference field="1" count="1" selected="0">
            <x v="313"/>
          </reference>
          <reference field="2" count="1">
            <x v="289"/>
          </reference>
        </references>
      </pivotArea>
    </format>
    <format dxfId="11185">
      <pivotArea dataOnly="0" labelOnly="1" outline="0" fieldPosition="0">
        <references count="3">
          <reference field="0" count="1" selected="0">
            <x v="23"/>
          </reference>
          <reference field="1" count="1" selected="0">
            <x v="34"/>
          </reference>
          <reference field="2" count="1">
            <x v="21"/>
          </reference>
        </references>
      </pivotArea>
    </format>
    <format dxfId="11184">
      <pivotArea dataOnly="0" labelOnly="1" outline="0" fieldPosition="0">
        <references count="3">
          <reference field="0" count="1" selected="0">
            <x v="24"/>
          </reference>
          <reference field="1" count="1" selected="0">
            <x v="35"/>
          </reference>
          <reference field="2" count="1">
            <x v="95"/>
          </reference>
        </references>
      </pivotArea>
    </format>
    <format dxfId="11183">
      <pivotArea dataOnly="0" labelOnly="1" outline="0" fieldPosition="0">
        <references count="3">
          <reference field="0" count="1" selected="0">
            <x v="25"/>
          </reference>
          <reference field="1" count="1" selected="0">
            <x v="36"/>
          </reference>
          <reference field="2" count="1">
            <x v="96"/>
          </reference>
        </references>
      </pivotArea>
    </format>
    <format dxfId="11182">
      <pivotArea dataOnly="0" labelOnly="1" outline="0" fieldPosition="0">
        <references count="3">
          <reference field="0" count="1" selected="0">
            <x v="26"/>
          </reference>
          <reference field="1" count="1" selected="0">
            <x v="248"/>
          </reference>
          <reference field="2" count="1">
            <x v="340"/>
          </reference>
        </references>
      </pivotArea>
    </format>
    <format dxfId="11181">
      <pivotArea dataOnly="0" labelOnly="1" outline="0" fieldPosition="0">
        <references count="3">
          <reference field="0" count="1" selected="0">
            <x v="27"/>
          </reference>
          <reference field="1" count="1" selected="0">
            <x v="3"/>
          </reference>
          <reference field="2" count="1">
            <x v="50"/>
          </reference>
        </references>
      </pivotArea>
    </format>
    <format dxfId="11180">
      <pivotArea dataOnly="0" labelOnly="1" outline="0" fieldPosition="0">
        <references count="3">
          <reference field="0" count="1" selected="0">
            <x v="28"/>
          </reference>
          <reference field="1" count="1" selected="0">
            <x v="260"/>
          </reference>
          <reference field="2" count="1">
            <x v="264"/>
          </reference>
        </references>
      </pivotArea>
    </format>
    <format dxfId="11179">
      <pivotArea dataOnly="0" labelOnly="1" outline="0" fieldPosition="0">
        <references count="3">
          <reference field="0" count="1" selected="0">
            <x v="29"/>
          </reference>
          <reference field="1" count="1" selected="0">
            <x v="237"/>
          </reference>
          <reference field="2" count="1">
            <x v="237"/>
          </reference>
        </references>
      </pivotArea>
    </format>
    <format dxfId="11178">
      <pivotArea dataOnly="0" labelOnly="1" outline="0" fieldPosition="0">
        <references count="3">
          <reference field="0" count="1" selected="0">
            <x v="30"/>
          </reference>
          <reference field="1" count="1" selected="0">
            <x v="327"/>
          </reference>
          <reference field="2" count="1">
            <x v="313"/>
          </reference>
        </references>
      </pivotArea>
    </format>
    <format dxfId="11177">
      <pivotArea dataOnly="0" labelOnly="1" outline="0" fieldPosition="0">
        <references count="3">
          <reference field="0" count="1" selected="0">
            <x v="31"/>
          </reference>
          <reference field="1" count="1" selected="0">
            <x v="59"/>
          </reference>
          <reference field="2" count="1">
            <x v="9"/>
          </reference>
        </references>
      </pivotArea>
    </format>
    <format dxfId="11176">
      <pivotArea dataOnly="0" labelOnly="1" outline="0" fieldPosition="0">
        <references count="3">
          <reference field="0" count="1" selected="0">
            <x v="32"/>
          </reference>
          <reference field="1" count="1" selected="0">
            <x v="10"/>
          </reference>
          <reference field="2" count="1">
            <x v="66"/>
          </reference>
        </references>
      </pivotArea>
    </format>
    <format dxfId="11175">
      <pivotArea dataOnly="0" labelOnly="1" outline="0" fieldPosition="0">
        <references count="3">
          <reference field="0" count="1" selected="0">
            <x v="33"/>
          </reference>
          <reference field="1" count="1" selected="0">
            <x v="116"/>
          </reference>
          <reference field="2" count="1">
            <x v="28"/>
          </reference>
        </references>
      </pivotArea>
    </format>
    <format dxfId="11174">
      <pivotArea dataOnly="0" labelOnly="1" outline="0" fieldPosition="0">
        <references count="3">
          <reference field="0" count="1" selected="0">
            <x v="34"/>
          </reference>
          <reference field="1" count="1" selected="0">
            <x v="86"/>
          </reference>
          <reference field="2" count="1">
            <x v="140"/>
          </reference>
        </references>
      </pivotArea>
    </format>
    <format dxfId="11173">
      <pivotArea dataOnly="0" labelOnly="1" outline="0" fieldPosition="0">
        <references count="3">
          <reference field="0" count="1" selected="0">
            <x v="35"/>
          </reference>
          <reference field="1" count="1" selected="0">
            <x v="7"/>
          </reference>
          <reference field="2" count="1">
            <x v="60"/>
          </reference>
        </references>
      </pivotArea>
    </format>
    <format dxfId="11172">
      <pivotArea dataOnly="0" labelOnly="1" outline="0" fieldPosition="0">
        <references count="3">
          <reference field="0" count="1" selected="0">
            <x v="36"/>
          </reference>
          <reference field="1" count="1" selected="0">
            <x v="8"/>
          </reference>
          <reference field="2" count="1">
            <x v="65"/>
          </reference>
        </references>
      </pivotArea>
    </format>
    <format dxfId="11171">
      <pivotArea dataOnly="0" labelOnly="1" outline="0" fieldPosition="0">
        <references count="3">
          <reference field="0" count="1" selected="0">
            <x v="37"/>
          </reference>
          <reference field="1" count="1" selected="0">
            <x v="101"/>
          </reference>
          <reference field="2" count="1">
            <x v="121"/>
          </reference>
        </references>
      </pivotArea>
    </format>
    <format dxfId="11170">
      <pivotArea dataOnly="0" labelOnly="1" outline="0" fieldPosition="0">
        <references count="3">
          <reference field="0" count="1" selected="0">
            <x v="38"/>
          </reference>
          <reference field="1" count="1" selected="0">
            <x v="281"/>
          </reference>
          <reference field="2" count="1">
            <x v="276"/>
          </reference>
        </references>
      </pivotArea>
    </format>
    <format dxfId="11169">
      <pivotArea dataOnly="0" labelOnly="1" outline="0" fieldPosition="0">
        <references count="3">
          <reference field="0" count="1" selected="0">
            <x v="39"/>
          </reference>
          <reference field="1" count="1" selected="0">
            <x v="284"/>
          </reference>
          <reference field="2" count="1">
            <x v="288"/>
          </reference>
        </references>
      </pivotArea>
    </format>
    <format dxfId="11168">
      <pivotArea dataOnly="0" labelOnly="1" outline="0" fieldPosition="0">
        <references count="3">
          <reference field="0" count="1" selected="0">
            <x v="40"/>
          </reference>
          <reference field="1" count="1" selected="0">
            <x v="364"/>
          </reference>
          <reference field="2" count="1">
            <x v="5"/>
          </reference>
        </references>
      </pivotArea>
    </format>
    <format dxfId="11167">
      <pivotArea dataOnly="0" labelOnly="1" outline="0" fieldPosition="0">
        <references count="3">
          <reference field="0" count="1" selected="0">
            <x v="41"/>
          </reference>
          <reference field="1" count="1" selected="0">
            <x v="251"/>
          </reference>
          <reference field="2" count="1">
            <x v="224"/>
          </reference>
        </references>
      </pivotArea>
    </format>
    <format dxfId="11166">
      <pivotArea dataOnly="0" labelOnly="1" outline="0" fieldPosition="0">
        <references count="3">
          <reference field="0" count="1" selected="0">
            <x v="42"/>
          </reference>
          <reference field="1" count="1" selected="0">
            <x v="161"/>
          </reference>
          <reference field="2" count="1">
            <x v="191"/>
          </reference>
        </references>
      </pivotArea>
    </format>
    <format dxfId="11165">
      <pivotArea dataOnly="0" labelOnly="1" outline="0" fieldPosition="0">
        <references count="3">
          <reference field="0" count="1" selected="0">
            <x v="43"/>
          </reference>
          <reference field="1" count="1" selected="0">
            <x v="160"/>
          </reference>
          <reference field="2" count="1">
            <x v="192"/>
          </reference>
        </references>
      </pivotArea>
    </format>
    <format dxfId="11164">
      <pivotArea dataOnly="0" labelOnly="1" outline="0" fieldPosition="0">
        <references count="3">
          <reference field="0" count="1" selected="0">
            <x v="44"/>
          </reference>
          <reference field="1" count="1" selected="0">
            <x v="162"/>
          </reference>
          <reference field="2" count="1">
            <x v="190"/>
          </reference>
        </references>
      </pivotArea>
    </format>
    <format dxfId="11163">
      <pivotArea dataOnly="0" labelOnly="1" outline="0" fieldPosition="0">
        <references count="3">
          <reference field="0" count="1" selected="0">
            <x v="45"/>
          </reference>
          <reference field="1" count="1" selected="0">
            <x v="159"/>
          </reference>
          <reference field="2" count="1">
            <x v="189"/>
          </reference>
        </references>
      </pivotArea>
    </format>
    <format dxfId="11162">
      <pivotArea dataOnly="0" labelOnly="1" outline="0" fieldPosition="0">
        <references count="3">
          <reference field="0" count="1" selected="0">
            <x v="46"/>
          </reference>
          <reference field="1" count="1" selected="0">
            <x v="2"/>
          </reference>
          <reference field="2" count="1">
            <x v="352"/>
          </reference>
        </references>
      </pivotArea>
    </format>
    <format dxfId="11161">
      <pivotArea dataOnly="0" labelOnly="1" outline="0" fieldPosition="0">
        <references count="3">
          <reference field="0" count="1" selected="0">
            <x v="47"/>
          </reference>
          <reference field="1" count="1" selected="0">
            <x v="329"/>
          </reference>
          <reference field="2" count="1">
            <x v="3"/>
          </reference>
        </references>
      </pivotArea>
    </format>
    <format dxfId="11160">
      <pivotArea dataOnly="0" labelOnly="1" outline="0" fieldPosition="0">
        <references count="3">
          <reference field="0" count="1" selected="0">
            <x v="48"/>
          </reference>
          <reference field="1" count="1" selected="0">
            <x v="95"/>
          </reference>
          <reference field="2" count="1">
            <x v="157"/>
          </reference>
        </references>
      </pivotArea>
    </format>
    <format dxfId="11159">
      <pivotArea dataOnly="0" labelOnly="1" outline="0" fieldPosition="0">
        <references count="3">
          <reference field="0" count="1" selected="0">
            <x v="49"/>
          </reference>
          <reference field="1" count="1" selected="0">
            <x v="99"/>
          </reference>
          <reference field="2" count="1">
            <x v="158"/>
          </reference>
        </references>
      </pivotArea>
    </format>
    <format dxfId="11158">
      <pivotArea dataOnly="0" labelOnly="1" outline="0" fieldPosition="0">
        <references count="3">
          <reference field="0" count="1" selected="0">
            <x v="50"/>
          </reference>
          <reference field="1" count="1" selected="0">
            <x v="98"/>
          </reference>
          <reference field="2" count="1">
            <x v="159"/>
          </reference>
        </references>
      </pivotArea>
    </format>
    <format dxfId="11157">
      <pivotArea dataOnly="0" labelOnly="1" outline="0" fieldPosition="0">
        <references count="3">
          <reference field="0" count="1" selected="0">
            <x v="51"/>
          </reference>
          <reference field="1" count="1" selected="0">
            <x v="96"/>
          </reference>
          <reference field="2" count="1">
            <x v="160"/>
          </reference>
        </references>
      </pivotArea>
    </format>
    <format dxfId="11156">
      <pivotArea dataOnly="0" labelOnly="1" outline="0" fieldPosition="0">
        <references count="3">
          <reference field="0" count="1" selected="0">
            <x v="52"/>
          </reference>
          <reference field="1" count="1" selected="0">
            <x v="100"/>
          </reference>
          <reference field="2" count="1">
            <x v="161"/>
          </reference>
        </references>
      </pivotArea>
    </format>
    <format dxfId="11155">
      <pivotArea dataOnly="0" labelOnly="1" outline="0" fieldPosition="0">
        <references count="3">
          <reference field="0" count="1" selected="0">
            <x v="53"/>
          </reference>
          <reference field="1" count="1" selected="0">
            <x v="299"/>
          </reference>
          <reference field="2" count="1">
            <x v="151"/>
          </reference>
        </references>
      </pivotArea>
    </format>
    <format dxfId="11154">
      <pivotArea dataOnly="0" labelOnly="1" outline="0" fieldPosition="0">
        <references count="3">
          <reference field="0" count="1" selected="0">
            <x v="54"/>
          </reference>
          <reference field="1" count="1" selected="0">
            <x v="275"/>
          </reference>
          <reference field="2" count="1">
            <x v="27"/>
          </reference>
        </references>
      </pivotArea>
    </format>
    <format dxfId="11153">
      <pivotArea dataOnly="0" labelOnly="1" outline="0" fieldPosition="0">
        <references count="3">
          <reference field="0" count="1" selected="0">
            <x v="55"/>
          </reference>
          <reference field="1" count="1" selected="0">
            <x v="33"/>
          </reference>
          <reference field="2" count="1">
            <x v="11"/>
          </reference>
        </references>
      </pivotArea>
    </format>
    <format dxfId="11152">
      <pivotArea dataOnly="0" labelOnly="1" outline="0" fieldPosition="0">
        <references count="3">
          <reference field="0" count="1" selected="0">
            <x v="56"/>
          </reference>
          <reference field="1" count="1" selected="0">
            <x v="28"/>
          </reference>
          <reference field="2" count="1">
            <x v="38"/>
          </reference>
        </references>
      </pivotArea>
    </format>
    <format dxfId="11151">
      <pivotArea dataOnly="0" labelOnly="1" outline="0" fieldPosition="0">
        <references count="3">
          <reference field="0" count="1" selected="0">
            <x v="57"/>
          </reference>
          <reference field="1" count="1" selected="0">
            <x v="29"/>
          </reference>
          <reference field="2" count="1">
            <x v="2"/>
          </reference>
        </references>
      </pivotArea>
    </format>
    <format dxfId="11150">
      <pivotArea dataOnly="0" labelOnly="1" outline="0" fieldPosition="0">
        <references count="3">
          <reference field="0" count="1" selected="0">
            <x v="58"/>
          </reference>
          <reference field="1" count="1" selected="0">
            <x v="197"/>
          </reference>
          <reference field="2" count="1">
            <x v="228"/>
          </reference>
        </references>
      </pivotArea>
    </format>
    <format dxfId="11149">
      <pivotArea dataOnly="0" labelOnly="1" outline="0" fieldPosition="0">
        <references count="3">
          <reference field="0" count="1" selected="0">
            <x v="59"/>
          </reference>
          <reference field="1" count="1" selected="0">
            <x v="156"/>
          </reference>
          <reference field="2" count="1">
            <x v="135"/>
          </reference>
        </references>
      </pivotArea>
    </format>
    <format dxfId="11148">
      <pivotArea dataOnly="0" labelOnly="1" outline="0" fieldPosition="0">
        <references count="3">
          <reference field="0" count="1" selected="0">
            <x v="60"/>
          </reference>
          <reference field="1" count="1" selected="0">
            <x v="348"/>
          </reference>
          <reference field="2" count="1">
            <x v="328"/>
          </reference>
        </references>
      </pivotArea>
    </format>
    <format dxfId="11147">
      <pivotArea dataOnly="0" labelOnly="1" outline="0" fieldPosition="0">
        <references count="3">
          <reference field="0" count="1" selected="0">
            <x v="61"/>
          </reference>
          <reference field="1" count="1" selected="0">
            <x v="295"/>
          </reference>
          <reference field="2" count="1">
            <x v="278"/>
          </reference>
        </references>
      </pivotArea>
    </format>
    <format dxfId="11146">
      <pivotArea dataOnly="0" labelOnly="1" outline="0" fieldPosition="0">
        <references count="3">
          <reference field="0" count="1" selected="0">
            <x v="62"/>
          </reference>
          <reference field="1" count="1" selected="0">
            <x v="352"/>
          </reference>
          <reference field="2" count="1">
            <x v="59"/>
          </reference>
        </references>
      </pivotArea>
    </format>
    <format dxfId="11145">
      <pivotArea dataOnly="0" labelOnly="1" outline="0" fieldPosition="0">
        <references count="3">
          <reference field="0" count="1" selected="0">
            <x v="63"/>
          </reference>
          <reference field="1" count="1" selected="0">
            <x v="289"/>
          </reference>
          <reference field="2" count="1">
            <x v="280"/>
          </reference>
        </references>
      </pivotArea>
    </format>
    <format dxfId="11144">
      <pivotArea dataOnly="0" labelOnly="1" outline="0" fieldPosition="0">
        <references count="3">
          <reference field="0" count="1" selected="0">
            <x v="64"/>
          </reference>
          <reference field="1" count="1" selected="0">
            <x v="347"/>
          </reference>
          <reference field="2" count="1">
            <x v="320"/>
          </reference>
        </references>
      </pivotArea>
    </format>
    <format dxfId="11143">
      <pivotArea dataOnly="0" labelOnly="1" outline="0" fieldPosition="0">
        <references count="3">
          <reference field="0" count="1" selected="0">
            <x v="65"/>
          </reference>
          <reference field="1" count="1" selected="0">
            <x v="286"/>
          </reference>
          <reference field="2" count="1">
            <x v="284"/>
          </reference>
        </references>
      </pivotArea>
    </format>
    <format dxfId="11142">
      <pivotArea dataOnly="0" labelOnly="1" outline="0" fieldPosition="0">
        <references count="3">
          <reference field="0" count="1" selected="0">
            <x v="66"/>
          </reference>
          <reference field="1" count="1" selected="0">
            <x v="287"/>
          </reference>
          <reference field="2" count="1">
            <x v="285"/>
          </reference>
        </references>
      </pivotArea>
    </format>
    <format dxfId="11141">
      <pivotArea dataOnly="0" labelOnly="1" outline="0" fieldPosition="0">
        <references count="3">
          <reference field="0" count="1" selected="0">
            <x v="67"/>
          </reference>
          <reference field="1" count="1" selected="0">
            <x v="294"/>
          </reference>
          <reference field="2" count="1">
            <x v="282"/>
          </reference>
        </references>
      </pivotArea>
    </format>
    <format dxfId="11140">
      <pivotArea dataOnly="0" labelOnly="1" outline="0" fieldPosition="0">
        <references count="3">
          <reference field="0" count="1" selected="0">
            <x v="68"/>
          </reference>
          <reference field="1" count="1" selected="0">
            <x v="353"/>
          </reference>
          <reference field="2" count="1">
            <x v="72"/>
          </reference>
        </references>
      </pivotArea>
    </format>
    <format dxfId="11139">
      <pivotArea dataOnly="0" labelOnly="1" outline="0" fieldPosition="0">
        <references count="3">
          <reference field="0" count="1" selected="0">
            <x v="69"/>
          </reference>
          <reference field="1" count="1" selected="0">
            <x v="350"/>
          </reference>
          <reference field="2" count="1">
            <x v="321"/>
          </reference>
        </references>
      </pivotArea>
    </format>
    <format dxfId="11138">
      <pivotArea dataOnly="0" labelOnly="1" outline="0" fieldPosition="0">
        <references count="3">
          <reference field="0" count="1" selected="0">
            <x v="70"/>
          </reference>
          <reference field="1" count="1" selected="0">
            <x v="288"/>
          </reference>
          <reference field="2" count="1">
            <x v="286"/>
          </reference>
        </references>
      </pivotArea>
    </format>
    <format dxfId="11137">
      <pivotArea dataOnly="0" labelOnly="1" outline="0" fieldPosition="0">
        <references count="3">
          <reference field="0" count="1" selected="0">
            <x v="71"/>
          </reference>
          <reference field="1" count="1" selected="0">
            <x v="290"/>
          </reference>
          <reference field="2" count="1">
            <x v="256"/>
          </reference>
        </references>
      </pivotArea>
    </format>
    <format dxfId="11136">
      <pivotArea dataOnly="0" labelOnly="1" outline="0" fieldPosition="0">
        <references count="3">
          <reference field="0" count="1" selected="0">
            <x v="72"/>
          </reference>
          <reference field="1" count="1" selected="0">
            <x v="292"/>
          </reference>
          <reference field="2" count="1">
            <x v="283"/>
          </reference>
        </references>
      </pivotArea>
    </format>
    <format dxfId="11135">
      <pivotArea dataOnly="0" labelOnly="1" outline="0" fieldPosition="0">
        <references count="3">
          <reference field="0" count="1" selected="0">
            <x v="73"/>
          </reference>
          <reference field="1" count="1" selected="0">
            <x v="349"/>
          </reference>
          <reference field="2" count="1">
            <x v="327"/>
          </reference>
        </references>
      </pivotArea>
    </format>
    <format dxfId="11134">
      <pivotArea dataOnly="0" labelOnly="1" outline="0" fieldPosition="0">
        <references count="3">
          <reference field="0" count="1" selected="0">
            <x v="74"/>
          </reference>
          <reference field="1" count="1" selected="0">
            <x v="293"/>
          </reference>
          <reference field="2" count="1">
            <x v="281"/>
          </reference>
        </references>
      </pivotArea>
    </format>
    <format dxfId="11133">
      <pivotArea dataOnly="0" labelOnly="1" outline="0" fieldPosition="0">
        <references count="3">
          <reference field="0" count="1" selected="0">
            <x v="75"/>
          </reference>
          <reference field="1" count="1" selected="0">
            <x v="291"/>
          </reference>
          <reference field="2" count="1">
            <x v="279"/>
          </reference>
        </references>
      </pivotArea>
    </format>
    <format dxfId="11132">
      <pivotArea dataOnly="0" labelOnly="1" outline="0" fieldPosition="0">
        <references count="3">
          <reference field="0" count="1" selected="0">
            <x v="76"/>
          </reference>
          <reference field="1" count="1" selected="0">
            <x v="269"/>
          </reference>
          <reference field="2" count="1">
            <x v="8"/>
          </reference>
        </references>
      </pivotArea>
    </format>
    <format dxfId="11131">
      <pivotArea dataOnly="0" labelOnly="1" outline="0" fieldPosition="0">
        <references count="3">
          <reference field="0" count="1" selected="0">
            <x v="77"/>
          </reference>
          <reference field="1" count="1" selected="0">
            <x v="373"/>
          </reference>
          <reference field="2" count="1">
            <x v="24"/>
          </reference>
        </references>
      </pivotArea>
    </format>
    <format dxfId="11130">
      <pivotArea dataOnly="0" labelOnly="1" outline="0" fieldPosition="0">
        <references count="3">
          <reference field="0" count="1" selected="0">
            <x v="78"/>
          </reference>
          <reference field="1" count="1" selected="0">
            <x v="317"/>
          </reference>
          <reference field="2" count="1">
            <x v="306"/>
          </reference>
        </references>
      </pivotArea>
    </format>
    <format dxfId="11129">
      <pivotArea dataOnly="0" labelOnly="1" outline="0" fieldPosition="0">
        <references count="3">
          <reference field="0" count="1" selected="0">
            <x v="79"/>
          </reference>
          <reference field="1" count="1" selected="0">
            <x v="210"/>
          </reference>
          <reference field="2" count="1">
            <x v="120"/>
          </reference>
        </references>
      </pivotArea>
    </format>
    <format dxfId="11128">
      <pivotArea dataOnly="0" labelOnly="1" outline="0" fieldPosition="0">
        <references count="3">
          <reference field="0" count="1" selected="0">
            <x v="80"/>
          </reference>
          <reference field="1" count="1" selected="0">
            <x v="273"/>
          </reference>
          <reference field="2" count="1">
            <x v="266"/>
          </reference>
        </references>
      </pivotArea>
    </format>
    <format dxfId="11127">
      <pivotArea dataOnly="0" labelOnly="1" outline="0" fieldPosition="0">
        <references count="3">
          <reference field="0" count="1" selected="0">
            <x v="81"/>
          </reference>
          <reference field="1" count="1" selected="0">
            <x v="215"/>
          </reference>
          <reference field="2" count="1">
            <x v="68"/>
          </reference>
        </references>
      </pivotArea>
    </format>
    <format dxfId="11126">
      <pivotArea dataOnly="0" labelOnly="1" outline="0" fieldPosition="0">
        <references count="3">
          <reference field="0" count="1" selected="0">
            <x v="82"/>
          </reference>
          <reference field="1" count="1" selected="0">
            <x v="60"/>
          </reference>
          <reference field="2" count="1">
            <x v="343"/>
          </reference>
        </references>
      </pivotArea>
    </format>
    <format dxfId="11125">
      <pivotArea dataOnly="0" labelOnly="1" outline="0" fieldPosition="0">
        <references count="3">
          <reference field="0" count="1" selected="0">
            <x v="83"/>
          </reference>
          <reference field="1" count="1" selected="0">
            <x v="155"/>
          </reference>
          <reference field="2" count="1">
            <x v="44"/>
          </reference>
        </references>
      </pivotArea>
    </format>
    <format dxfId="11124">
      <pivotArea dataOnly="0" labelOnly="1" outline="0" fieldPosition="0">
        <references count="3">
          <reference field="0" count="1" selected="0">
            <x v="84"/>
          </reference>
          <reference field="1" count="1" selected="0">
            <x v="331"/>
          </reference>
          <reference field="2" count="1">
            <x v="309"/>
          </reference>
        </references>
      </pivotArea>
    </format>
    <format dxfId="11123">
      <pivotArea dataOnly="0" labelOnly="1" outline="0" fieldPosition="0">
        <references count="3">
          <reference field="0" count="1" selected="0">
            <x v="85"/>
          </reference>
          <reference field="1" count="1" selected="0">
            <x v="132"/>
          </reference>
          <reference field="2" count="1">
            <x v="48"/>
          </reference>
        </references>
      </pivotArea>
    </format>
    <format dxfId="11122">
      <pivotArea dataOnly="0" labelOnly="1" outline="0" fieldPosition="0">
        <references count="3">
          <reference field="0" count="1" selected="0">
            <x v="86"/>
          </reference>
          <reference field="1" count="1" selected="0">
            <x v="370"/>
          </reference>
          <reference field="2" count="1">
            <x v="63"/>
          </reference>
        </references>
      </pivotArea>
    </format>
    <format dxfId="11121">
      <pivotArea dataOnly="0" labelOnly="1" outline="0" fieldPosition="0">
        <references count="3">
          <reference field="0" count="1" selected="0">
            <x v="87"/>
          </reference>
          <reference field="1" count="1" selected="0">
            <x v="88"/>
          </reference>
          <reference field="2" count="1">
            <x v="142"/>
          </reference>
        </references>
      </pivotArea>
    </format>
    <format dxfId="11120">
      <pivotArea dataOnly="0" labelOnly="1" outline="0" fieldPosition="0">
        <references count="3">
          <reference field="0" count="1" selected="0">
            <x v="88"/>
          </reference>
          <reference field="1" count="1" selected="0">
            <x v="249"/>
          </reference>
          <reference field="2" count="1">
            <x v="255"/>
          </reference>
        </references>
      </pivotArea>
    </format>
    <format dxfId="11119">
      <pivotArea dataOnly="0" labelOnly="1" outline="0" fieldPosition="0">
        <references count="3">
          <reference field="0" count="1" selected="0">
            <x v="89"/>
          </reference>
          <reference field="1" count="1" selected="0">
            <x v="167"/>
          </reference>
          <reference field="2" count="1">
            <x v="16"/>
          </reference>
        </references>
      </pivotArea>
    </format>
    <format dxfId="11118">
      <pivotArea dataOnly="0" labelOnly="1" outline="0" fieldPosition="0">
        <references count="3">
          <reference field="0" count="1" selected="0">
            <x v="90"/>
          </reference>
          <reference field="1" count="1" selected="0">
            <x v="298"/>
          </reference>
          <reference field="2" count="1">
            <x v="74"/>
          </reference>
        </references>
      </pivotArea>
    </format>
    <format dxfId="11117">
      <pivotArea dataOnly="0" labelOnly="1" outline="0" fieldPosition="0">
        <references count="3">
          <reference field="0" count="1" selected="0">
            <x v="91"/>
          </reference>
          <reference field="1" count="1" selected="0">
            <x v="271"/>
          </reference>
          <reference field="2" count="1">
            <x v="257"/>
          </reference>
        </references>
      </pivotArea>
    </format>
    <format dxfId="11116">
      <pivotArea dataOnly="0" labelOnly="1" outline="0" fieldPosition="0">
        <references count="3">
          <reference field="0" count="1" selected="0">
            <x v="92"/>
          </reference>
          <reference field="1" count="1" selected="0">
            <x v="272"/>
          </reference>
          <reference field="2" count="1">
            <x v="258"/>
          </reference>
        </references>
      </pivotArea>
    </format>
    <format dxfId="11115">
      <pivotArea dataOnly="0" labelOnly="1" outline="0" fieldPosition="0">
        <references count="3">
          <reference field="0" count="1" selected="0">
            <x v="93"/>
          </reference>
          <reference field="1" count="1" selected="0">
            <x v="106"/>
          </reference>
          <reference field="2" count="1">
            <x v="147"/>
          </reference>
        </references>
      </pivotArea>
    </format>
    <format dxfId="11114">
      <pivotArea dataOnly="0" labelOnly="1" outline="0" fieldPosition="0">
        <references count="3">
          <reference field="0" count="1" selected="0">
            <x v="94"/>
          </reference>
          <reference field="1" count="1" selected="0">
            <x v="304"/>
          </reference>
          <reference field="2" count="1">
            <x v="299"/>
          </reference>
        </references>
      </pivotArea>
    </format>
    <format dxfId="11113">
      <pivotArea dataOnly="0" labelOnly="1" outline="0" fieldPosition="0">
        <references count="3">
          <reference field="0" count="1" selected="0">
            <x v="95"/>
          </reference>
          <reference field="1" count="1" selected="0">
            <x v="81"/>
          </reference>
          <reference field="2" count="1">
            <x v="73"/>
          </reference>
        </references>
      </pivotArea>
    </format>
    <format dxfId="11112">
      <pivotArea dataOnly="0" labelOnly="1" outline="0" fieldPosition="0">
        <references count="3">
          <reference field="0" count="1" selected="0">
            <x v="96"/>
          </reference>
          <reference field="1" count="1" selected="0">
            <x v="84"/>
          </reference>
          <reference field="2" count="1">
            <x v="139"/>
          </reference>
        </references>
      </pivotArea>
    </format>
    <format dxfId="11111">
      <pivotArea dataOnly="0" labelOnly="1" outline="0" fieldPosition="0">
        <references count="3">
          <reference field="0" count="1" selected="0">
            <x v="97"/>
          </reference>
          <reference field="1" count="1" selected="0">
            <x v="168"/>
          </reference>
          <reference field="2" count="1">
            <x v="54"/>
          </reference>
        </references>
      </pivotArea>
    </format>
    <format dxfId="11110">
      <pivotArea dataOnly="0" labelOnly="1" outline="0" fieldPosition="0">
        <references count="3">
          <reference field="0" count="1" selected="0">
            <x v="98"/>
          </reference>
          <reference field="1" count="1" selected="0">
            <x v="187"/>
          </reference>
          <reference field="2" count="1">
            <x v="206"/>
          </reference>
        </references>
      </pivotArea>
    </format>
    <format dxfId="11109">
      <pivotArea dataOnly="0" labelOnly="1" outline="0" fieldPosition="0">
        <references count="3">
          <reference field="0" count="1" selected="0">
            <x v="99"/>
          </reference>
          <reference field="1" count="1" selected="0">
            <x v="177"/>
          </reference>
          <reference field="2" count="1">
            <x v="207"/>
          </reference>
        </references>
      </pivotArea>
    </format>
    <format dxfId="11108">
      <pivotArea dataOnly="0" labelOnly="1" outline="0" fieldPosition="0">
        <references count="3">
          <reference field="0" count="1" selected="0">
            <x v="100"/>
          </reference>
          <reference field="1" count="1" selected="0">
            <x v="89"/>
          </reference>
          <reference field="2" count="1">
            <x v="143"/>
          </reference>
        </references>
      </pivotArea>
    </format>
    <format dxfId="11107">
      <pivotArea dataOnly="0" labelOnly="1" outline="0" fieldPosition="0">
        <references count="3">
          <reference field="0" count="1" selected="0">
            <x v="101"/>
          </reference>
          <reference field="1" count="1" selected="0">
            <x v="94"/>
          </reference>
          <reference field="2" count="1">
            <x v="355"/>
          </reference>
        </references>
      </pivotArea>
    </format>
    <format dxfId="11106">
      <pivotArea dataOnly="0" labelOnly="1" outline="0" fieldPosition="0">
        <references count="3">
          <reference field="0" count="1" selected="0">
            <x v="102"/>
          </reference>
          <reference field="1" count="1" selected="0">
            <x v="173"/>
          </reference>
          <reference field="2" count="1">
            <x v="127"/>
          </reference>
        </references>
      </pivotArea>
    </format>
    <format dxfId="11105">
      <pivotArea dataOnly="0" labelOnly="1" outline="0" fieldPosition="0">
        <references count="3">
          <reference field="0" count="1" selected="0">
            <x v="103"/>
          </reference>
          <reference field="1" count="1" selected="0">
            <x v="82"/>
          </reference>
          <reference field="2" count="1">
            <x v="138"/>
          </reference>
        </references>
      </pivotArea>
    </format>
    <format dxfId="11104">
      <pivotArea dataOnly="0" labelOnly="1" outline="0" fieldPosition="0">
        <references count="3">
          <reference field="0" count="1" selected="0">
            <x v="104"/>
          </reference>
          <reference field="1" count="1" selected="0">
            <x v="83"/>
          </reference>
          <reference field="2" count="1">
            <x v="137"/>
          </reference>
        </references>
      </pivotArea>
    </format>
    <format dxfId="11103">
      <pivotArea dataOnly="0" labelOnly="1" outline="0" fieldPosition="0">
        <references count="3">
          <reference field="0" count="1" selected="0">
            <x v="105"/>
          </reference>
          <reference field="1" count="1" selected="0">
            <x v="189"/>
          </reference>
          <reference field="2" count="1">
            <x v="205"/>
          </reference>
        </references>
      </pivotArea>
    </format>
    <format dxfId="11102">
      <pivotArea dataOnly="0" labelOnly="1" outline="0" fieldPosition="0">
        <references count="3">
          <reference field="0" count="1" selected="0">
            <x v="106"/>
          </reference>
          <reference field="1" count="1" selected="0">
            <x v="330"/>
          </reference>
          <reference field="2" count="1">
            <x v="310"/>
          </reference>
        </references>
      </pivotArea>
    </format>
    <format dxfId="11101">
      <pivotArea dataOnly="0" labelOnly="1" outline="0" fieldPosition="0">
        <references count="3">
          <reference field="0" count="1" selected="0">
            <x v="107"/>
          </reference>
          <reference field="1" count="1" selected="0">
            <x v="176"/>
          </reference>
          <reference field="2" count="1">
            <x v="217"/>
          </reference>
        </references>
      </pivotArea>
    </format>
    <format dxfId="11100">
      <pivotArea dataOnly="0" labelOnly="1" outline="0" fieldPosition="0">
        <references count="3">
          <reference field="0" count="1" selected="0">
            <x v="108"/>
          </reference>
          <reference field="1" count="1" selected="0">
            <x v="238"/>
          </reference>
          <reference field="2" count="1">
            <x v="145"/>
          </reference>
        </references>
      </pivotArea>
    </format>
    <format dxfId="11099">
      <pivotArea dataOnly="0" labelOnly="1" outline="0" fieldPosition="0">
        <references count="3">
          <reference field="0" count="1" selected="0">
            <x v="109"/>
          </reference>
          <reference field="1" count="1" selected="0">
            <x v="181"/>
          </reference>
          <reference field="2" count="1">
            <x v="213"/>
          </reference>
        </references>
      </pivotArea>
    </format>
    <format dxfId="11098">
      <pivotArea dataOnly="0" labelOnly="1" outline="0" fieldPosition="0">
        <references count="3">
          <reference field="0" count="1" selected="0">
            <x v="110"/>
          </reference>
          <reference field="1" count="1" selected="0">
            <x v="180"/>
          </reference>
          <reference field="2" count="1">
            <x v="214"/>
          </reference>
        </references>
      </pivotArea>
    </format>
    <format dxfId="11097">
      <pivotArea dataOnly="0" labelOnly="1" outline="0" fieldPosition="0">
        <references count="3">
          <reference field="0" count="1" selected="0">
            <x v="111"/>
          </reference>
          <reference field="1" count="1" selected="0">
            <x v="191"/>
          </reference>
          <reference field="2" count="1">
            <x v="202"/>
          </reference>
        </references>
      </pivotArea>
    </format>
    <format dxfId="11096">
      <pivotArea dataOnly="0" labelOnly="1" outline="0" fieldPosition="0">
        <references count="3">
          <reference field="0" count="1" selected="0">
            <x v="112"/>
          </reference>
          <reference field="1" count="1" selected="0">
            <x v="185"/>
          </reference>
          <reference field="2" count="1">
            <x v="209"/>
          </reference>
        </references>
      </pivotArea>
    </format>
    <format dxfId="11095">
      <pivotArea dataOnly="0" labelOnly="1" outline="0" fieldPosition="0">
        <references count="3">
          <reference field="0" count="1" selected="0">
            <x v="113"/>
          </reference>
          <reference field="1" count="1" selected="0">
            <x v="184"/>
          </reference>
          <reference field="2" count="1">
            <x v="210"/>
          </reference>
        </references>
      </pivotArea>
    </format>
    <format dxfId="11094">
      <pivotArea dataOnly="0" labelOnly="1" outline="0" fieldPosition="0">
        <references count="3">
          <reference field="0" count="1" selected="0">
            <x v="114"/>
          </reference>
          <reference field="1" count="1" selected="0">
            <x v="182"/>
          </reference>
          <reference field="2" count="1">
            <x v="212"/>
          </reference>
        </references>
      </pivotArea>
    </format>
    <format dxfId="11093">
      <pivotArea dataOnly="0" labelOnly="1" outline="0" fieldPosition="0">
        <references count="3">
          <reference field="0" count="1" selected="0">
            <x v="115"/>
          </reference>
          <reference field="1" count="1" selected="0">
            <x v="186"/>
          </reference>
          <reference field="2" count="1">
            <x v="208"/>
          </reference>
        </references>
      </pivotArea>
    </format>
    <format dxfId="11092">
      <pivotArea dataOnly="0" labelOnly="1" outline="0" fieldPosition="0">
        <references count="3">
          <reference field="0" count="1" selected="0">
            <x v="116"/>
          </reference>
          <reference field="1" count="1" selected="0">
            <x v="183"/>
          </reference>
          <reference field="2" count="1">
            <x v="211"/>
          </reference>
        </references>
      </pivotArea>
    </format>
    <format dxfId="11091">
      <pivotArea dataOnly="0" labelOnly="1" outline="0" fieldPosition="0">
        <references count="3">
          <reference field="0" count="1" selected="0">
            <x v="117"/>
          </reference>
          <reference field="1" count="1" selected="0">
            <x v="179"/>
          </reference>
          <reference field="2" count="1">
            <x v="215"/>
          </reference>
        </references>
      </pivotArea>
    </format>
    <format dxfId="11090">
      <pivotArea dataOnly="0" labelOnly="1" outline="0" fieldPosition="0">
        <references count="3">
          <reference field="0" count="1" selected="0">
            <x v="118"/>
          </reference>
          <reference field="1" count="1" selected="0">
            <x v="190"/>
          </reference>
          <reference field="2" count="1">
            <x v="204"/>
          </reference>
        </references>
      </pivotArea>
    </format>
    <format dxfId="11089">
      <pivotArea dataOnly="0" labelOnly="1" outline="0" fieldPosition="0">
        <references count="3">
          <reference field="0" count="1" selected="0">
            <x v="119"/>
          </reference>
          <reference field="1" count="1" selected="0">
            <x v="178"/>
          </reference>
          <reference field="2" count="1">
            <x v="216"/>
          </reference>
        </references>
      </pivotArea>
    </format>
    <format dxfId="11088">
      <pivotArea dataOnly="0" labelOnly="1" outline="0" fieldPosition="0">
        <references count="3">
          <reference field="0" count="1" selected="0">
            <x v="120"/>
          </reference>
          <reference field="1" count="1" selected="0">
            <x v="188"/>
          </reference>
          <reference field="2" count="1">
            <x v="203"/>
          </reference>
        </references>
      </pivotArea>
    </format>
    <format dxfId="11087">
      <pivotArea dataOnly="0" labelOnly="1" outline="0" fieldPosition="0">
        <references count="3">
          <reference field="0" count="1" selected="0">
            <x v="121"/>
          </reference>
          <reference field="1" count="1" selected="0">
            <x v="195"/>
          </reference>
          <reference field="2" count="1">
            <x v="221"/>
          </reference>
        </references>
      </pivotArea>
    </format>
    <format dxfId="11086">
      <pivotArea dataOnly="0" labelOnly="1" outline="0" fieldPosition="0">
        <references count="3">
          <reference field="0" count="1" selected="0">
            <x v="122"/>
          </reference>
          <reference field="1" count="1" selected="0">
            <x v="193"/>
          </reference>
          <reference field="2" count="1">
            <x v="220"/>
          </reference>
        </references>
      </pivotArea>
    </format>
    <format dxfId="11085">
      <pivotArea dataOnly="0" labelOnly="1" outline="0" fieldPosition="0">
        <references count="3">
          <reference field="0" count="1" selected="0">
            <x v="123"/>
          </reference>
          <reference field="1" count="1" selected="0">
            <x v="220"/>
          </reference>
          <reference field="2" count="1">
            <x v="84"/>
          </reference>
        </references>
      </pivotArea>
    </format>
    <format dxfId="11084">
      <pivotArea dataOnly="0" labelOnly="1" outline="0" fieldPosition="0">
        <references count="3">
          <reference field="0" count="1" selected="0">
            <x v="124"/>
          </reference>
          <reference field="1" count="1" selected="0">
            <x v="117"/>
          </reference>
          <reference field="2" count="1">
            <x v="34"/>
          </reference>
        </references>
      </pivotArea>
    </format>
    <format dxfId="11083">
      <pivotArea dataOnly="0" labelOnly="1" outline="0" fieldPosition="0">
        <references count="3">
          <reference field="0" count="1" selected="0">
            <x v="125"/>
          </reference>
          <reference field="1" count="1" selected="0">
            <x v="119"/>
          </reference>
          <reference field="2" count="1">
            <x v="33"/>
          </reference>
        </references>
      </pivotArea>
    </format>
    <format dxfId="11082">
      <pivotArea dataOnly="0" labelOnly="1" outline="0" fieldPosition="0">
        <references count="3">
          <reference field="0" count="1" selected="0">
            <x v="126"/>
          </reference>
          <reference field="1" count="1" selected="0">
            <x v="62"/>
          </reference>
          <reference field="2" count="1">
            <x v="35"/>
          </reference>
        </references>
      </pivotArea>
    </format>
    <format dxfId="11081">
      <pivotArea dataOnly="0" labelOnly="1" outline="0" fieldPosition="0">
        <references count="3">
          <reference field="0" count="1" selected="0">
            <x v="127"/>
          </reference>
          <reference field="1" count="1" selected="0">
            <x v="360"/>
          </reference>
          <reference field="2" count="1">
            <x v="315"/>
          </reference>
        </references>
      </pivotArea>
    </format>
    <format dxfId="11080">
      <pivotArea dataOnly="0" labelOnly="1" outline="0" fieldPosition="0">
        <references count="3">
          <reference field="0" count="1" selected="0">
            <x v="128"/>
          </reference>
          <reference field="1" count="1" selected="0">
            <x v="136"/>
          </reference>
          <reference field="2" count="1">
            <x v="150"/>
          </reference>
        </references>
      </pivotArea>
    </format>
    <format dxfId="11079">
      <pivotArea dataOnly="0" labelOnly="1" outline="0" fieldPosition="0">
        <references count="3">
          <reference field="0" count="1" selected="0">
            <x v="129"/>
          </reference>
          <reference field="1" count="1" selected="0">
            <x v="274"/>
          </reference>
          <reference field="2" count="1">
            <x v="67"/>
          </reference>
        </references>
      </pivotArea>
    </format>
    <format dxfId="11078">
      <pivotArea dataOnly="0" labelOnly="1" outline="0" fieldPosition="0">
        <references count="3">
          <reference field="0" count="1" selected="0">
            <x v="130"/>
          </reference>
          <reference field="1" count="1" selected="0">
            <x v="355"/>
          </reference>
          <reference field="2" count="1">
            <x v="330"/>
          </reference>
        </references>
      </pivotArea>
    </format>
    <format dxfId="11077">
      <pivotArea dataOnly="0" labelOnly="1" outline="0" fieldPosition="0">
        <references count="3">
          <reference field="0" count="1" selected="0">
            <x v="131"/>
          </reference>
          <reference field="1" count="1" selected="0">
            <x v="157"/>
          </reference>
          <reference field="2" count="1">
            <x v="6"/>
          </reference>
        </references>
      </pivotArea>
    </format>
    <format dxfId="11076">
      <pivotArea dataOnly="0" labelOnly="1" outline="0" fieldPosition="0">
        <references count="3">
          <reference field="0" count="1" selected="0">
            <x v="132"/>
          </reference>
          <reference field="1" count="1" selected="0">
            <x v="133"/>
          </reference>
          <reference field="2" count="1">
            <x v="174"/>
          </reference>
        </references>
      </pivotArea>
    </format>
    <format dxfId="11075">
      <pivotArea dataOnly="0" labelOnly="1" outline="0" fieldPosition="0">
        <references count="3">
          <reference field="0" count="1" selected="0">
            <x v="133"/>
          </reference>
          <reference field="1" count="1" selected="0">
            <x v="1"/>
          </reference>
          <reference field="2" count="1">
            <x v="341"/>
          </reference>
        </references>
      </pivotArea>
    </format>
    <format dxfId="11074">
      <pivotArea dataOnly="0" labelOnly="1" outline="0" fieldPosition="0">
        <references count="3">
          <reference field="0" count="1" selected="0">
            <x v="134"/>
          </reference>
          <reference field="1" count="1" selected="0">
            <x v="225"/>
          </reference>
          <reference field="2" count="1">
            <x v="10"/>
          </reference>
        </references>
      </pivotArea>
    </format>
    <format dxfId="11073">
      <pivotArea dataOnly="0" labelOnly="1" outline="0" fieldPosition="0">
        <references count="3">
          <reference field="0" count="1" selected="0">
            <x v="135"/>
          </reference>
          <reference field="1" count="1" selected="0">
            <x v="58"/>
          </reference>
          <reference field="2" count="1">
            <x v="116"/>
          </reference>
        </references>
      </pivotArea>
    </format>
    <format dxfId="11072">
      <pivotArea dataOnly="0" labelOnly="1" outline="0" fieldPosition="0">
        <references count="3">
          <reference field="0" count="1" selected="0">
            <x v="136"/>
          </reference>
          <reference field="1" count="1" selected="0">
            <x v="163"/>
          </reference>
          <reference field="2" count="1">
            <x v="98"/>
          </reference>
        </references>
      </pivotArea>
    </format>
    <format dxfId="11071">
      <pivotArea dataOnly="0" labelOnly="1" outline="0" fieldPosition="0">
        <references count="3">
          <reference field="0" count="1" selected="0">
            <x v="137"/>
          </reference>
          <reference field="1" count="1" selected="0">
            <x v="139"/>
          </reference>
          <reference field="2" count="1">
            <x v="118"/>
          </reference>
        </references>
      </pivotArea>
    </format>
    <format dxfId="11070">
      <pivotArea dataOnly="0" labelOnly="1" outline="0" fieldPosition="0">
        <references count="3">
          <reference field="0" count="1" selected="0">
            <x v="138"/>
          </reference>
          <reference field="1" count="1" selected="0">
            <x v="381"/>
          </reference>
          <reference field="2" count="1">
            <x v="269"/>
          </reference>
        </references>
      </pivotArea>
    </format>
    <format dxfId="11069">
      <pivotArea dataOnly="0" labelOnly="1" outline="0" fieldPosition="0">
        <references count="3">
          <reference field="0" count="1" selected="0">
            <x v="139"/>
          </reference>
          <reference field="1" count="1" selected="0">
            <x v="68"/>
          </reference>
          <reference field="2" count="1">
            <x v="355"/>
          </reference>
        </references>
      </pivotArea>
    </format>
    <format dxfId="11068">
      <pivotArea dataOnly="0" labelOnly="1" outline="0" fieldPosition="0">
        <references count="3">
          <reference field="0" count="1" selected="0">
            <x v="140"/>
          </reference>
          <reference field="1" count="1" selected="0">
            <x v="319"/>
          </reference>
          <reference field="2" count="1">
            <x v="301"/>
          </reference>
        </references>
      </pivotArea>
    </format>
    <format dxfId="11067">
      <pivotArea dataOnly="0" labelOnly="1" outline="0" fieldPosition="0">
        <references count="3">
          <reference field="0" count="1" selected="0">
            <x v="141"/>
          </reference>
          <reference field="1" count="1" selected="0">
            <x v="30"/>
          </reference>
          <reference field="2" count="1">
            <x v="97"/>
          </reference>
        </references>
      </pivotArea>
    </format>
    <format dxfId="11066">
      <pivotArea dataOnly="0" labelOnly="1" outline="0" fieldPosition="0">
        <references count="3">
          <reference field="0" count="1" selected="0">
            <x v="142"/>
          </reference>
          <reference field="1" count="1" selected="0">
            <x v="318"/>
          </reference>
          <reference field="2" count="1">
            <x v="300"/>
          </reference>
        </references>
      </pivotArea>
    </format>
    <format dxfId="11065">
      <pivotArea dataOnly="0" labelOnly="1" outline="0" fieldPosition="0">
        <references count="3">
          <reference field="0" count="1" selected="0">
            <x v="143"/>
          </reference>
          <reference field="1" count="1" selected="0">
            <x v="315"/>
          </reference>
          <reference field="2" count="1">
            <x v="303"/>
          </reference>
        </references>
      </pivotArea>
    </format>
    <format dxfId="11064">
      <pivotArea dataOnly="0" labelOnly="1" outline="0" fieldPosition="0">
        <references count="3">
          <reference field="0" count="1" selected="0">
            <x v="144"/>
          </reference>
          <reference field="1" count="1" selected="0">
            <x v="314"/>
          </reference>
          <reference field="2" count="1">
            <x v="304"/>
          </reference>
        </references>
      </pivotArea>
    </format>
    <format dxfId="11063">
      <pivotArea dataOnly="0" labelOnly="1" outline="0" fieldPosition="0">
        <references count="3">
          <reference field="0" count="1" selected="0">
            <x v="145"/>
          </reference>
          <reference field="1" count="1" selected="0">
            <x v="71"/>
          </reference>
          <reference field="2" count="1">
            <x v="115"/>
          </reference>
        </references>
      </pivotArea>
    </format>
    <format dxfId="11062">
      <pivotArea dataOnly="0" labelOnly="1" outline="0" fieldPosition="0">
        <references count="3">
          <reference field="0" count="1" selected="0">
            <x v="146"/>
          </reference>
          <reference field="1" count="1" selected="0">
            <x v="45"/>
          </reference>
          <reference field="2" count="1">
            <x v="106"/>
          </reference>
        </references>
      </pivotArea>
    </format>
    <format dxfId="11061">
      <pivotArea dataOnly="0" labelOnly="1" outline="0" fieldPosition="0">
        <references count="3">
          <reference field="0" count="1" selected="0">
            <x v="147"/>
          </reference>
          <reference field="1" count="1" selected="0">
            <x v="224"/>
          </reference>
          <reference field="2" count="1">
            <x v="355"/>
          </reference>
        </references>
      </pivotArea>
    </format>
    <format dxfId="11060">
      <pivotArea dataOnly="0" labelOnly="1" outline="0" fieldPosition="0">
        <references count="3">
          <reference field="0" count="1" selected="0">
            <x v="148"/>
          </reference>
          <reference field="1" count="1" selected="0">
            <x v="41"/>
          </reference>
          <reference field="2" count="1">
            <x v="103"/>
          </reference>
        </references>
      </pivotArea>
    </format>
    <format dxfId="11059">
      <pivotArea dataOnly="0" labelOnly="1" outline="0" fieldPosition="0">
        <references count="3">
          <reference field="0" count="1" selected="0">
            <x v="149"/>
          </reference>
          <reference field="1" count="1" selected="0">
            <x v="46"/>
          </reference>
          <reference field="2" count="1">
            <x v="109"/>
          </reference>
        </references>
      </pivotArea>
    </format>
    <format dxfId="11058">
      <pivotArea dataOnly="0" labelOnly="1" outline="0" fieldPosition="0">
        <references count="3">
          <reference field="0" count="1" selected="0">
            <x v="150"/>
          </reference>
          <reference field="1" count="1" selected="0">
            <x v="27"/>
          </reference>
          <reference field="2" count="1">
            <x v="88"/>
          </reference>
        </references>
      </pivotArea>
    </format>
    <format dxfId="11057">
      <pivotArea dataOnly="0" labelOnly="1" outline="0" fieldPosition="0">
        <references count="3">
          <reference field="0" count="1" selected="0">
            <x v="151"/>
          </reference>
          <reference field="1" count="1" selected="0">
            <x v="26"/>
          </reference>
          <reference field="2" count="1">
            <x v="87"/>
          </reference>
        </references>
      </pivotArea>
    </format>
    <format dxfId="11056">
      <pivotArea dataOnly="0" labelOnly="1" outline="0" fieldPosition="0">
        <references count="3">
          <reference field="0" count="1" selected="0">
            <x v="152"/>
          </reference>
          <reference field="1" count="1" selected="0">
            <x v="43"/>
          </reference>
          <reference field="2" count="1">
            <x v="104"/>
          </reference>
        </references>
      </pivotArea>
    </format>
    <format dxfId="11055">
      <pivotArea dataOnly="0" labelOnly="1" outline="0" fieldPosition="0">
        <references count="3">
          <reference field="0" count="1" selected="0">
            <x v="153"/>
          </reference>
          <reference field="1" count="1" selected="0">
            <x v="21"/>
          </reference>
          <reference field="2" count="1">
            <x v="89"/>
          </reference>
        </references>
      </pivotArea>
    </format>
    <format dxfId="11054">
      <pivotArea dataOnly="0" labelOnly="1" outline="0" fieldPosition="0">
        <references count="3">
          <reference field="0" count="1" selected="0">
            <x v="154"/>
          </reference>
          <reference field="1" count="1" selected="0">
            <x v="38"/>
          </reference>
          <reference field="2" count="1">
            <x v="4"/>
          </reference>
        </references>
      </pivotArea>
    </format>
    <format dxfId="11053">
      <pivotArea dataOnly="0" labelOnly="1" outline="0" fieldPosition="0">
        <references count="3">
          <reference field="0" count="1" selected="0">
            <x v="155"/>
          </reference>
          <reference field="1" count="1" selected="0">
            <x v="23"/>
          </reference>
          <reference field="2" count="1">
            <x v="86"/>
          </reference>
        </references>
      </pivotArea>
    </format>
    <format dxfId="11052">
      <pivotArea dataOnly="0" labelOnly="1" outline="0" fieldPosition="0">
        <references count="3">
          <reference field="0" count="1" selected="0">
            <x v="156"/>
          </reference>
          <reference field="1" count="1" selected="0">
            <x v="48"/>
          </reference>
          <reference field="2" count="1">
            <x v="107"/>
          </reference>
        </references>
      </pivotArea>
    </format>
    <format dxfId="11051">
      <pivotArea dataOnly="0" labelOnly="1" outline="0" fieldPosition="0">
        <references count="3">
          <reference field="0" count="1" selected="0">
            <x v="157"/>
          </reference>
          <reference field="1" count="1" selected="0">
            <x v="165"/>
          </reference>
          <reference field="2" count="1">
            <x v="194"/>
          </reference>
        </references>
      </pivotArea>
    </format>
    <format dxfId="11050">
      <pivotArea dataOnly="0" labelOnly="1" outline="0" fieldPosition="0">
        <references count="3">
          <reference field="0" count="1" selected="0">
            <x v="158"/>
          </reference>
          <reference field="1" count="1" selected="0">
            <x v="40"/>
          </reference>
          <reference field="2" count="1">
            <x v="101"/>
          </reference>
        </references>
      </pivotArea>
    </format>
    <format dxfId="11049">
      <pivotArea dataOnly="0" labelOnly="1" outline="0" fieldPosition="0">
        <references count="3">
          <reference field="0" count="1" selected="0">
            <x v="159"/>
          </reference>
          <reference field="1" count="1" selected="0">
            <x v="37"/>
          </reference>
          <reference field="2" count="1">
            <x v="99"/>
          </reference>
        </references>
      </pivotArea>
    </format>
    <format dxfId="11048">
      <pivotArea dataOnly="0" labelOnly="1" outline="0" fieldPosition="0">
        <references count="3">
          <reference field="0" count="1" selected="0">
            <x v="160"/>
          </reference>
          <reference field="1" count="1" selected="0">
            <x v="39"/>
          </reference>
          <reference field="2" count="1">
            <x v="100"/>
          </reference>
        </references>
      </pivotArea>
    </format>
    <format dxfId="11047">
      <pivotArea dataOnly="0" labelOnly="1" outline="0" fieldPosition="0">
        <references count="3">
          <reference field="0" count="1" selected="0">
            <x v="161"/>
          </reference>
          <reference field="1" count="1" selected="0">
            <x v="22"/>
          </reference>
          <reference field="2" count="1">
            <x v="90"/>
          </reference>
        </references>
      </pivotArea>
    </format>
    <format dxfId="11046">
      <pivotArea dataOnly="0" labelOnly="1" outline="0" fieldPosition="0">
        <references count="3">
          <reference field="0" count="1" selected="0">
            <x v="162"/>
          </reference>
          <reference field="1" count="1" selected="0">
            <x v="302"/>
          </reference>
          <reference field="2" count="1">
            <x v="91"/>
          </reference>
        </references>
      </pivotArea>
    </format>
    <format dxfId="11045">
      <pivotArea dataOnly="0" labelOnly="1" outline="0" fieldPosition="0">
        <references count="3">
          <reference field="0" count="1" selected="0">
            <x v="163"/>
          </reference>
          <reference field="1" count="1" selected="0">
            <x v="25"/>
          </reference>
          <reference field="2" count="1">
            <x v="92"/>
          </reference>
        </references>
      </pivotArea>
    </format>
    <format dxfId="11044">
      <pivotArea dataOnly="0" labelOnly="1" outline="0" fieldPosition="0">
        <references count="3">
          <reference field="0" count="1" selected="0">
            <x v="164"/>
          </reference>
          <reference field="1" count="1" selected="0">
            <x v="42"/>
          </reference>
          <reference field="2" count="1">
            <x v="102"/>
          </reference>
        </references>
      </pivotArea>
    </format>
    <format dxfId="11043">
      <pivotArea dataOnly="0" labelOnly="1" outline="0" fieldPosition="0">
        <references count="3">
          <reference field="0" count="1" selected="0">
            <x v="165"/>
          </reference>
          <reference field="1" count="1" selected="0">
            <x v="24"/>
          </reference>
          <reference field="2" count="1">
            <x v="85"/>
          </reference>
        </references>
      </pivotArea>
    </format>
    <format dxfId="11042">
      <pivotArea dataOnly="0" labelOnly="1" outline="0" fieldPosition="0">
        <references count="3">
          <reference field="0" count="1" selected="0">
            <x v="166"/>
          </reference>
          <reference field="1" count="1" selected="0">
            <x v="371"/>
          </reference>
          <reference field="2" count="1">
            <x v="332"/>
          </reference>
        </references>
      </pivotArea>
    </format>
    <format dxfId="11041">
      <pivotArea dataOnly="0" labelOnly="1" outline="0" fieldPosition="0">
        <references count="3">
          <reference field="0" count="1" selected="0">
            <x v="167"/>
          </reference>
          <reference field="1" count="1" selected="0">
            <x v="44"/>
          </reference>
          <reference field="2" count="1">
            <x v="105"/>
          </reference>
        </references>
      </pivotArea>
    </format>
    <format dxfId="11040">
      <pivotArea dataOnly="0" labelOnly="1" outline="0" fieldPosition="0">
        <references count="3">
          <reference field="0" count="1" selected="0">
            <x v="168"/>
          </reference>
          <reference field="1" count="1" selected="0">
            <x v="47"/>
          </reference>
          <reference field="2" count="1">
            <x v="108"/>
          </reference>
        </references>
      </pivotArea>
    </format>
    <format dxfId="11039">
      <pivotArea dataOnly="0" labelOnly="1" outline="0" fieldPosition="0">
        <references count="3">
          <reference field="0" count="1" selected="0">
            <x v="169"/>
          </reference>
          <reference field="1" count="1" selected="0">
            <x v="70"/>
          </reference>
          <reference field="2" count="1">
            <x v="126"/>
          </reference>
        </references>
      </pivotArea>
    </format>
    <format dxfId="11038">
      <pivotArea dataOnly="0" labelOnly="1" outline="0" fieldPosition="0">
        <references count="3">
          <reference field="0" count="1" selected="0">
            <x v="170"/>
          </reference>
          <reference field="1" count="1" selected="0">
            <x v="137"/>
          </reference>
          <reference field="2" count="1">
            <x v="183"/>
          </reference>
        </references>
      </pivotArea>
    </format>
    <format dxfId="11037">
      <pivotArea dataOnly="0" labelOnly="1" outline="0" fieldPosition="0">
        <references count="3">
          <reference field="0" count="1" selected="0">
            <x v="171"/>
          </reference>
          <reference field="1" count="1" selected="0">
            <x v="192"/>
          </reference>
          <reference field="2" count="1">
            <x v="227"/>
          </reference>
        </references>
      </pivotArea>
    </format>
    <format dxfId="11036">
      <pivotArea dataOnly="0" labelOnly="1" outline="0" fieldPosition="0">
        <references count="3">
          <reference field="0" count="1" selected="0">
            <x v="172"/>
          </reference>
          <reference field="1" count="1" selected="0">
            <x v="114"/>
          </reference>
          <reference field="2" count="1">
            <x v="355"/>
          </reference>
        </references>
      </pivotArea>
    </format>
    <format dxfId="11035">
      <pivotArea dataOnly="0" labelOnly="1" outline="0" fieldPosition="0">
        <references count="3">
          <reference field="0" count="1" selected="0">
            <x v="173"/>
          </reference>
          <reference field="1" count="1" selected="0">
            <x v="204"/>
          </reference>
          <reference field="2" count="1">
            <x v="153"/>
          </reference>
        </references>
      </pivotArea>
    </format>
    <format dxfId="11034">
      <pivotArea dataOnly="0" labelOnly="1" outline="0" fieldPosition="0">
        <references count="3">
          <reference field="0" count="1" selected="0">
            <x v="174"/>
          </reference>
          <reference field="1" count="1" selected="0">
            <x v="244"/>
          </reference>
          <reference field="2" count="1">
            <x v="253"/>
          </reference>
        </references>
      </pivotArea>
    </format>
    <format dxfId="11033">
      <pivotArea dataOnly="0" labelOnly="1" outline="0" fieldPosition="0">
        <references count="3">
          <reference field="0" count="1" selected="0">
            <x v="175"/>
          </reference>
          <reference field="1" count="1" selected="0">
            <x v="250"/>
          </reference>
          <reference field="2" count="1">
            <x v="252"/>
          </reference>
        </references>
      </pivotArea>
    </format>
    <format dxfId="11032">
      <pivotArea dataOnly="0" labelOnly="1" outline="0" fieldPosition="0">
        <references count="3">
          <reference field="0" count="1" selected="0">
            <x v="176"/>
          </reference>
          <reference field="1" count="1" selected="0">
            <x v="245"/>
          </reference>
          <reference field="2" count="1">
            <x v="251"/>
          </reference>
        </references>
      </pivotArea>
    </format>
    <format dxfId="11031">
      <pivotArea dataOnly="0" labelOnly="1" outline="0" fieldPosition="0">
        <references count="3">
          <reference field="0" count="1" selected="0">
            <x v="177"/>
          </reference>
          <reference field="1" count="1" selected="0">
            <x v="196"/>
          </reference>
          <reference field="2" count="1">
            <x v="229"/>
          </reference>
        </references>
      </pivotArea>
    </format>
    <format dxfId="11030">
      <pivotArea dataOnly="0" labelOnly="1" outline="0" fieldPosition="0">
        <references count="3">
          <reference field="0" count="1" selected="0">
            <x v="178"/>
          </reference>
          <reference field="1" count="1" selected="0">
            <x v="164"/>
          </reference>
          <reference field="2" count="1">
            <x v="193"/>
          </reference>
        </references>
      </pivotArea>
    </format>
    <format dxfId="11029">
      <pivotArea dataOnly="0" labelOnly="1" outline="0" fieldPosition="0">
        <references count="3">
          <reference field="0" count="1" selected="0">
            <x v="179"/>
          </reference>
          <reference field="1" count="1" selected="0">
            <x v="303"/>
          </reference>
          <reference field="2" count="1">
            <x v="293"/>
          </reference>
        </references>
      </pivotArea>
    </format>
    <format dxfId="11028">
      <pivotArea dataOnly="0" labelOnly="1" outline="0" fieldPosition="0">
        <references count="3">
          <reference field="0" count="1" selected="0">
            <x v="180"/>
          </reference>
          <reference field="1" count="1" selected="0">
            <x v="199"/>
          </reference>
          <reference field="2" count="1">
            <x v="355"/>
          </reference>
        </references>
      </pivotArea>
    </format>
    <format dxfId="11027">
      <pivotArea dataOnly="0" labelOnly="1" outline="0" fieldPosition="0">
        <references count="3">
          <reference field="0" count="1" selected="0">
            <x v="185"/>
          </reference>
          <reference field="1" count="1" selected="0">
            <x v="90"/>
          </reference>
          <reference field="2" count="1">
            <x v="146"/>
          </reference>
        </references>
      </pivotArea>
    </format>
    <format dxfId="11026">
      <pivotArea dataOnly="0" labelOnly="1" outline="0" fieldPosition="0">
        <references count="3">
          <reference field="0" count="1" selected="0">
            <x v="186"/>
          </reference>
          <reference field="1" count="1" selected="0">
            <x v="74"/>
          </reference>
          <reference field="2" count="1">
            <x v="23"/>
          </reference>
        </references>
      </pivotArea>
    </format>
    <format dxfId="11025">
      <pivotArea dataOnly="0" labelOnly="1" outline="0" fieldPosition="0">
        <references count="3">
          <reference field="0" count="1" selected="0">
            <x v="187"/>
          </reference>
          <reference field="1" count="1" selected="0">
            <x v="305"/>
          </reference>
          <reference field="2" count="1">
            <x v="294"/>
          </reference>
        </references>
      </pivotArea>
    </format>
    <format dxfId="11024">
      <pivotArea dataOnly="0" labelOnly="1" outline="0" fieldPosition="0">
        <references count="3">
          <reference field="0" count="1" selected="0">
            <x v="188"/>
          </reference>
          <reference field="1" count="1" selected="0">
            <x v="336"/>
          </reference>
          <reference field="2" count="1">
            <x v="308"/>
          </reference>
        </references>
      </pivotArea>
    </format>
    <format dxfId="11023">
      <pivotArea dataOnly="0" labelOnly="1" outline="0" fieldPosition="0">
        <references count="3">
          <reference field="0" count="1" selected="0">
            <x v="189"/>
          </reference>
          <reference field="1" count="1" selected="0">
            <x v="339"/>
          </reference>
          <reference field="2" count="1">
            <x v="342"/>
          </reference>
        </references>
      </pivotArea>
    </format>
    <format dxfId="11022">
      <pivotArea dataOnly="0" labelOnly="1" outline="0" fieldPosition="0">
        <references count="3">
          <reference field="0" count="1" selected="0">
            <x v="190"/>
          </reference>
          <reference field="1" count="1" selected="0">
            <x v="341"/>
          </reference>
          <reference field="2" count="1">
            <x v="322"/>
          </reference>
        </references>
      </pivotArea>
    </format>
    <format dxfId="11021">
      <pivotArea dataOnly="0" labelOnly="1" outline="0" fieldPosition="0">
        <references count="3">
          <reference field="0" count="1" selected="0">
            <x v="191"/>
          </reference>
          <reference field="1" count="1" selected="0">
            <x v="282"/>
          </reference>
          <reference field="2" count="1">
            <x v="277"/>
          </reference>
        </references>
      </pivotArea>
    </format>
    <format dxfId="11020">
      <pivotArea dataOnly="0" labelOnly="1" outline="0" fieldPosition="0">
        <references count="3">
          <reference field="0" count="1" selected="0">
            <x v="192"/>
          </reference>
          <reference field="1" count="1" selected="0">
            <x v="172"/>
          </reference>
          <reference field="2" count="1">
            <x v="218"/>
          </reference>
        </references>
      </pivotArea>
    </format>
    <format dxfId="11019">
      <pivotArea dataOnly="0" labelOnly="1" outline="0" fieldPosition="0">
        <references count="3">
          <reference field="0" count="1" selected="0">
            <x v="193"/>
          </reference>
          <reference field="1" count="1" selected="0">
            <x v="55"/>
          </reference>
          <reference field="2" count="1">
            <x v="111"/>
          </reference>
        </references>
      </pivotArea>
    </format>
    <format dxfId="11018">
      <pivotArea dataOnly="0" labelOnly="1" outline="0" fieldPosition="0">
        <references count="3">
          <reference field="0" count="1" selected="0">
            <x v="194"/>
          </reference>
          <reference field="1" count="1" selected="0">
            <x v="259"/>
          </reference>
          <reference field="2" count="1">
            <x v="263"/>
          </reference>
        </references>
      </pivotArea>
    </format>
    <format dxfId="11017">
      <pivotArea dataOnly="0" labelOnly="1" outline="0" fieldPosition="0">
        <references count="3">
          <reference field="0" count="1" selected="0">
            <x v="195"/>
          </reference>
          <reference field="1" count="1" selected="0">
            <x v="297"/>
          </reference>
          <reference field="2" count="1">
            <x v="262"/>
          </reference>
        </references>
      </pivotArea>
    </format>
    <format dxfId="11016">
      <pivotArea dataOnly="0" labelOnly="1" outline="0" fieldPosition="0">
        <references count="3">
          <reference field="0" count="1" selected="0">
            <x v="196"/>
          </reference>
          <reference field="1" count="1" selected="0">
            <x v="108"/>
          </reference>
          <reference field="2" count="1">
            <x v="156"/>
          </reference>
        </references>
      </pivotArea>
    </format>
    <format dxfId="11015">
      <pivotArea dataOnly="0" labelOnly="1" outline="0" fieldPosition="0">
        <references count="3">
          <reference field="0" count="1" selected="0">
            <x v="197"/>
          </reference>
          <reference field="1" count="1" selected="0">
            <x v="301"/>
          </reference>
          <reference field="2" count="1">
            <x v="290"/>
          </reference>
        </references>
      </pivotArea>
    </format>
    <format dxfId="11014">
      <pivotArea dataOnly="0" labelOnly="1" outline="0" fieldPosition="0">
        <references count="3">
          <reference field="0" count="1" selected="0">
            <x v="198"/>
          </reference>
          <reference field="1" count="1" selected="0">
            <x v="107"/>
          </reference>
          <reference field="2" count="1">
            <x v="155"/>
          </reference>
        </references>
      </pivotArea>
    </format>
    <format dxfId="11013">
      <pivotArea dataOnly="0" labelOnly="1" outline="0" fieldPosition="0">
        <references count="3">
          <reference field="0" count="1" selected="0">
            <x v="199"/>
          </reference>
          <reference field="1" count="1" selected="0">
            <x v="66"/>
          </reference>
          <reference field="2" count="1">
            <x v="42"/>
          </reference>
        </references>
      </pivotArea>
    </format>
    <format dxfId="11012">
      <pivotArea dataOnly="0" labelOnly="1" outline="0" fieldPosition="0">
        <references count="3">
          <reference field="0" count="1" selected="0">
            <x v="200"/>
          </reference>
          <reference field="1" count="1" selected="0">
            <x v="300"/>
          </reference>
          <reference field="2" count="1">
            <x v="275"/>
          </reference>
        </references>
      </pivotArea>
    </format>
    <format dxfId="11011">
      <pivotArea dataOnly="0" labelOnly="1" outline="0" fieldPosition="0">
        <references count="3">
          <reference field="0" count="1" selected="0">
            <x v="201"/>
          </reference>
          <reference field="1" count="1" selected="0">
            <x v="265"/>
          </reference>
          <reference field="2" count="1">
            <x v="268"/>
          </reference>
        </references>
      </pivotArea>
    </format>
    <format dxfId="11010">
      <pivotArea dataOnly="0" labelOnly="1" outline="0" fieldPosition="0">
        <references count="3">
          <reference field="0" count="1" selected="0">
            <x v="202"/>
          </reference>
          <reference field="1" count="1" selected="0">
            <x v="266"/>
          </reference>
          <reference field="2" count="1">
            <x v="269"/>
          </reference>
        </references>
      </pivotArea>
    </format>
    <format dxfId="11009">
      <pivotArea dataOnly="0" labelOnly="1" outline="0" fieldPosition="0">
        <references count="3">
          <reference field="0" count="1" selected="0">
            <x v="203"/>
          </reference>
          <reference field="1" count="1" selected="0">
            <x v="267"/>
          </reference>
          <reference field="2" count="1">
            <x v="270"/>
          </reference>
        </references>
      </pivotArea>
    </format>
    <format dxfId="11008">
      <pivotArea dataOnly="0" labelOnly="1" outline="0" fieldPosition="0">
        <references count="3">
          <reference field="0" count="1" selected="0">
            <x v="204"/>
          </reference>
          <reference field="1" count="1" selected="0">
            <x v="278"/>
          </reference>
          <reference field="2" count="1">
            <x v="29"/>
          </reference>
        </references>
      </pivotArea>
    </format>
    <format dxfId="11007">
      <pivotArea dataOnly="0" labelOnly="1" outline="0" fieldPosition="0">
        <references count="3">
          <reference field="0" count="1" selected="0">
            <x v="205"/>
          </reference>
          <reference field="1" count="1" selected="0">
            <x v="256"/>
          </reference>
          <reference field="2" count="1">
            <x v="19"/>
          </reference>
        </references>
      </pivotArea>
    </format>
    <format dxfId="11006">
      <pivotArea dataOnly="0" labelOnly="1" outline="0" fieldPosition="0">
        <references count="3">
          <reference field="0" count="1" selected="0">
            <x v="206"/>
          </reference>
          <reference field="1" count="1" selected="0">
            <x v="131"/>
          </reference>
          <reference field="2" count="1">
            <x v="175"/>
          </reference>
        </references>
      </pivotArea>
    </format>
    <format dxfId="11005">
      <pivotArea dataOnly="0" labelOnly="1" outline="0" fieldPosition="0">
        <references count="3">
          <reference field="0" count="1" selected="0">
            <x v="207"/>
          </reference>
          <reference field="1" count="1" selected="0">
            <x v="253"/>
          </reference>
          <reference field="2" count="1">
            <x v="197"/>
          </reference>
        </references>
      </pivotArea>
    </format>
    <format dxfId="11004">
      <pivotArea dataOnly="0" labelOnly="1" outline="0" fieldPosition="0">
        <references count="3">
          <reference field="0" count="1" selected="0">
            <x v="208"/>
          </reference>
          <reference field="1" count="1" selected="0">
            <x v="261"/>
          </reference>
          <reference field="2" count="1">
            <x v="196"/>
          </reference>
        </references>
      </pivotArea>
    </format>
    <format dxfId="11003">
      <pivotArea dataOnly="0" labelOnly="1" outline="0" fieldPosition="0">
        <references count="3">
          <reference field="0" count="1" selected="0">
            <x v="209"/>
          </reference>
          <reference field="1" count="1" selected="0">
            <x v="158"/>
          </reference>
          <reference field="2" count="1">
            <x v="186"/>
          </reference>
        </references>
      </pivotArea>
    </format>
    <format dxfId="11002">
      <pivotArea dataOnly="0" labelOnly="1" outline="0" fieldPosition="0">
        <references count="3">
          <reference field="0" count="1" selected="0">
            <x v="210"/>
          </reference>
          <reference field="1" count="1" selected="0">
            <x v="91"/>
          </reference>
          <reference field="2" count="1">
            <x v="31"/>
          </reference>
        </references>
      </pivotArea>
    </format>
    <format dxfId="11001">
      <pivotArea dataOnly="0" labelOnly="1" outline="0" fieldPosition="0">
        <references count="3">
          <reference field="0" count="1" selected="0">
            <x v="211"/>
          </reference>
          <reference field="1" count="1" selected="0">
            <x v="311"/>
          </reference>
          <reference field="2" count="1">
            <x v="51"/>
          </reference>
        </references>
      </pivotArea>
    </format>
    <format dxfId="11000">
      <pivotArea dataOnly="0" labelOnly="1" outline="0" fieldPosition="0">
        <references count="3">
          <reference field="0" count="1" selected="0">
            <x v="212"/>
          </reference>
          <reference field="1" count="1" selected="0">
            <x v="283"/>
          </reference>
          <reference field="2" count="1">
            <x v="52"/>
          </reference>
        </references>
      </pivotArea>
    </format>
    <format dxfId="10999">
      <pivotArea dataOnly="0" labelOnly="1" outline="0" fieldPosition="0">
        <references count="3">
          <reference field="0" count="1" selected="0">
            <x v="213"/>
          </reference>
          <reference field="1" count="1" selected="0">
            <x v="270"/>
          </reference>
          <reference field="2" count="1">
            <x v="273"/>
          </reference>
        </references>
      </pivotArea>
    </format>
    <format dxfId="10998">
      <pivotArea dataOnly="0" labelOnly="1" outline="0" fieldPosition="0">
        <references count="3">
          <reference field="0" count="1" selected="0">
            <x v="214"/>
          </reference>
          <reference field="1" count="1" selected="0">
            <x v="351"/>
          </reference>
          <reference field="2" count="1">
            <x v="355"/>
          </reference>
        </references>
      </pivotArea>
    </format>
    <format dxfId="10997">
      <pivotArea dataOnly="0" labelOnly="1" outline="0" fieldPosition="0">
        <references count="3">
          <reference field="0" count="1" selected="0">
            <x v="215"/>
          </reference>
          <reference field="1" count="1" selected="0">
            <x v="378"/>
          </reference>
          <reference field="2" count="1">
            <x v="338"/>
          </reference>
        </references>
      </pivotArea>
    </format>
    <format dxfId="10996">
      <pivotArea dataOnly="0" labelOnly="1" outline="0" fieldPosition="0">
        <references count="3">
          <reference field="0" count="1" selected="0">
            <x v="216"/>
          </reference>
          <reference field="1" count="1" selected="0">
            <x v="363"/>
          </reference>
          <reference field="2" count="1">
            <x v="355"/>
          </reference>
        </references>
      </pivotArea>
    </format>
    <format dxfId="10995">
      <pivotArea dataOnly="0" labelOnly="1" outline="0" fieldPosition="0">
        <references count="3">
          <reference field="0" count="1" selected="0">
            <x v="216"/>
          </reference>
          <reference field="1" count="1" selected="0">
            <x v="379"/>
          </reference>
          <reference field="2" count="1">
            <x v="337"/>
          </reference>
        </references>
      </pivotArea>
    </format>
    <format dxfId="10994">
      <pivotArea dataOnly="0" labelOnly="1" outline="0" fieldPosition="0">
        <references count="3">
          <reference field="0" count="1" selected="0">
            <x v="217"/>
          </reference>
          <reference field="1" count="1" selected="0">
            <x v="6"/>
          </reference>
          <reference field="2" count="1">
            <x v="355"/>
          </reference>
        </references>
      </pivotArea>
    </format>
    <format dxfId="10993">
      <pivotArea dataOnly="0" labelOnly="1" outline="0" fieldPosition="0">
        <references count="3">
          <reference field="0" count="1" selected="0">
            <x v="218"/>
          </reference>
          <reference field="1" count="1" selected="0">
            <x v="361"/>
          </reference>
          <reference field="2" count="1">
            <x v="347"/>
          </reference>
        </references>
      </pivotArea>
    </format>
    <format dxfId="10992">
      <pivotArea dataOnly="0" labelOnly="1" outline="0" fieldPosition="0">
        <references count="3">
          <reference field="0" count="1" selected="0">
            <x v="219"/>
          </reference>
          <reference field="1" count="1" selected="0">
            <x v="54"/>
          </reference>
          <reference field="2" count="1">
            <x v="112"/>
          </reference>
        </references>
      </pivotArea>
    </format>
    <format dxfId="10991">
      <pivotArea dataOnly="0" labelOnly="1" outline="0" fieldPosition="0">
        <references count="3">
          <reference field="0" count="1" selected="0">
            <x v="220"/>
          </reference>
          <reference field="1" count="1" selected="0">
            <x v="213"/>
          </reference>
          <reference field="2" count="1">
            <x v="83"/>
          </reference>
        </references>
      </pivotArea>
    </format>
    <format dxfId="10990">
      <pivotArea dataOnly="0" labelOnly="1" outline="0" fieldPosition="0">
        <references count="3">
          <reference field="0" count="1" selected="0">
            <x v="221"/>
          </reference>
          <reference field="1" count="1" selected="0">
            <x v="227"/>
          </reference>
          <reference field="2" count="1">
            <x v="20"/>
          </reference>
        </references>
      </pivotArea>
    </format>
    <format dxfId="10989">
      <pivotArea dataOnly="0" labelOnly="1" outline="0" fieldPosition="0">
        <references count="3">
          <reference field="0" count="1" selected="0">
            <x v="222"/>
          </reference>
          <reference field="1" count="1" selected="0">
            <x v="150"/>
          </reference>
          <reference field="2" count="1">
            <x v="355"/>
          </reference>
        </references>
      </pivotArea>
    </format>
    <format dxfId="10988">
      <pivotArea dataOnly="0" labelOnly="1" outline="0" fieldPosition="0">
        <references count="3">
          <reference field="0" count="1" selected="0">
            <x v="223"/>
          </reference>
          <reference field="1" count="1" selected="0">
            <x v="73"/>
          </reference>
          <reference field="2" count="1">
            <x v="53"/>
          </reference>
        </references>
      </pivotArea>
    </format>
    <format dxfId="10987">
      <pivotArea dataOnly="0" labelOnly="1" outline="0" fieldPosition="0">
        <references count="3">
          <reference field="0" count="1" selected="0">
            <x v="224"/>
          </reference>
          <reference field="1" count="1" selected="0">
            <x v="258"/>
          </reference>
          <reference field="2" count="1">
            <x v="265"/>
          </reference>
        </references>
      </pivotArea>
    </format>
    <format dxfId="10986">
      <pivotArea dataOnly="0" labelOnly="1" outline="0" fieldPosition="0">
        <references count="3">
          <reference field="0" count="1" selected="0">
            <x v="225"/>
          </reference>
          <reference field="1" count="1" selected="0">
            <x v="365"/>
          </reference>
          <reference field="2" count="1">
            <x v="346"/>
          </reference>
        </references>
      </pivotArea>
    </format>
    <format dxfId="10985">
      <pivotArea dataOnly="0" labelOnly="1" outline="0" fieldPosition="0">
        <references count="3">
          <reference field="0" count="1" selected="0">
            <x v="226"/>
          </reference>
          <reference field="1" count="1" selected="0">
            <x v="316"/>
          </reference>
          <reference field="2" count="1">
            <x v="305"/>
          </reference>
        </references>
      </pivotArea>
    </format>
    <format dxfId="10984">
      <pivotArea dataOnly="0" labelOnly="1" outline="0" fieldPosition="0">
        <references count="3">
          <reference field="0" count="1" selected="0">
            <x v="227"/>
          </reference>
          <reference field="1" count="1" selected="0">
            <x v="166"/>
          </reference>
          <reference field="2" count="1">
            <x v="200"/>
          </reference>
        </references>
      </pivotArea>
    </format>
    <format dxfId="10983">
      <pivotArea dataOnly="0" labelOnly="1" outline="0" fieldPosition="0">
        <references count="3">
          <reference field="0" count="1" selected="0">
            <x v="228"/>
          </reference>
          <reference field="1" count="1" selected="0">
            <x v="198"/>
          </reference>
          <reference field="2" count="1">
            <x v="226"/>
          </reference>
        </references>
      </pivotArea>
    </format>
    <format dxfId="10982">
      <pivotArea dataOnly="0" labelOnly="1" outline="0" fieldPosition="0">
        <references count="3">
          <reference field="0" count="1" selected="0">
            <x v="229"/>
          </reference>
          <reference field="1" count="1" selected="0">
            <x v="264"/>
          </reference>
          <reference field="2" count="1">
            <x v="272"/>
          </reference>
        </references>
      </pivotArea>
    </format>
    <format dxfId="10981">
      <pivotArea dataOnly="0" labelOnly="1" outline="0" fieldPosition="0">
        <references count="3">
          <reference field="0" count="1" selected="0">
            <x v="230"/>
          </reference>
          <reference field="1" count="1" selected="0">
            <x v="9"/>
          </reference>
          <reference field="2" count="1">
            <x v="32"/>
          </reference>
        </references>
      </pivotArea>
    </format>
    <format dxfId="10980">
      <pivotArea dataOnly="0" labelOnly="1" outline="0" fieldPosition="0">
        <references count="3">
          <reference field="0" count="1" selected="0">
            <x v="231"/>
          </reference>
          <reference field="1" count="1" selected="0">
            <x v="242"/>
          </reference>
          <reference field="2" count="1">
            <x v="246"/>
          </reference>
        </references>
      </pivotArea>
    </format>
    <format dxfId="10979">
      <pivotArea dataOnly="0" labelOnly="1" outline="0" fieldPosition="0">
        <references count="3">
          <reference field="0" count="1" selected="0">
            <x v="232"/>
          </reference>
          <reference field="1" count="1" selected="0">
            <x v="243"/>
          </reference>
          <reference field="2" count="1">
            <x v="247"/>
          </reference>
        </references>
      </pivotArea>
    </format>
    <format dxfId="10978">
      <pivotArea dataOnly="0" labelOnly="1" outline="0" fieldPosition="0">
        <references count="3">
          <reference field="0" count="1" selected="0">
            <x v="233"/>
          </reference>
          <reference field="1" count="1" selected="0">
            <x v="154"/>
          </reference>
          <reference field="2" count="1">
            <x v="124"/>
          </reference>
        </references>
      </pivotArea>
    </format>
    <format dxfId="10977">
      <pivotArea dataOnly="0" labelOnly="1" outline="0" fieldPosition="0">
        <references count="3">
          <reference field="0" count="1" selected="0">
            <x v="234"/>
          </reference>
          <reference field="1" count="1" selected="0">
            <x v="217"/>
          </reference>
          <reference field="2" count="1">
            <x v="236"/>
          </reference>
        </references>
      </pivotArea>
    </format>
    <format dxfId="10976">
      <pivotArea dataOnly="0" labelOnly="1" outline="0" fieldPosition="0">
        <references count="3">
          <reference field="0" count="1" selected="0">
            <x v="235"/>
          </reference>
          <reference field="1" count="1" selected="0">
            <x v="229"/>
          </reference>
          <reference field="2" count="1">
            <x v="37"/>
          </reference>
        </references>
      </pivotArea>
    </format>
    <format dxfId="10975">
      <pivotArea dataOnly="0" labelOnly="1" outline="0" fieldPosition="0">
        <references count="3">
          <reference field="0" count="1" selected="0">
            <x v="236"/>
          </reference>
          <reference field="1" count="1" selected="0">
            <x v="257"/>
          </reference>
          <reference field="2" count="1">
            <x v="185"/>
          </reference>
        </references>
      </pivotArea>
    </format>
    <format dxfId="10974">
      <pivotArea dataOnly="0" labelOnly="1" outline="0" fieldPosition="0">
        <references count="3">
          <reference field="0" count="1" selected="0">
            <x v="237"/>
          </reference>
          <reference field="1" count="1" selected="0">
            <x v="369"/>
          </reference>
          <reference field="2" count="1">
            <x v="331"/>
          </reference>
        </references>
      </pivotArea>
    </format>
    <format dxfId="10973">
      <pivotArea dataOnly="0" labelOnly="1" outline="0" fieldPosition="0">
        <references count="3">
          <reference field="0" count="1" selected="0">
            <x v="238"/>
          </reference>
          <reference field="1" count="1" selected="0">
            <x v="221"/>
          </reference>
          <reference field="2" count="1">
            <x v="239"/>
          </reference>
        </references>
      </pivotArea>
    </format>
    <format dxfId="10972">
      <pivotArea dataOnly="0" labelOnly="1" outline="0" fieldPosition="0">
        <references count="3">
          <reference field="0" count="1" selected="0">
            <x v="239"/>
          </reference>
          <reference field="1" count="1" selected="0">
            <x v="205"/>
          </reference>
          <reference field="2" count="1">
            <x v="231"/>
          </reference>
        </references>
      </pivotArea>
    </format>
    <format dxfId="10971">
      <pivotArea dataOnly="0" labelOnly="1" outline="0" fieldPosition="0">
        <references count="3">
          <reference field="0" count="1" selected="0">
            <x v="240"/>
          </reference>
          <reference field="1" count="1" selected="0">
            <x v="206"/>
          </reference>
          <reference field="2" count="1">
            <x v="232"/>
          </reference>
        </references>
      </pivotArea>
    </format>
    <format dxfId="10970">
      <pivotArea dataOnly="0" labelOnly="1" outline="0" fieldPosition="0">
        <references count="3">
          <reference field="0" count="1" selected="0">
            <x v="241"/>
          </reference>
          <reference field="1" count="1" selected="0">
            <x v="252"/>
          </reference>
          <reference field="2" count="1">
            <x v="230"/>
          </reference>
        </references>
      </pivotArea>
    </format>
    <format dxfId="10969">
      <pivotArea dataOnly="0" labelOnly="1" outline="0" fieldPosition="0">
        <references count="3">
          <reference field="0" count="1" selected="0">
            <x v="242"/>
          </reference>
          <reference field="1" count="1" selected="0">
            <x v="218"/>
          </reference>
          <reference field="2" count="1">
            <x v="238"/>
          </reference>
        </references>
      </pivotArea>
    </format>
    <format dxfId="10968">
      <pivotArea dataOnly="0" labelOnly="1" outline="0" fieldPosition="0">
        <references count="3">
          <reference field="0" count="1" selected="0">
            <x v="243"/>
          </reference>
          <reference field="1" count="1" selected="0">
            <x v="231"/>
          </reference>
          <reference field="2" count="1">
            <x v="245"/>
          </reference>
        </references>
      </pivotArea>
    </format>
    <format dxfId="10967">
      <pivotArea dataOnly="0" labelOnly="1" outline="0" fieldPosition="0">
        <references count="3">
          <reference field="0" count="1" selected="0">
            <x v="244"/>
          </reference>
          <reference field="1" count="1" selected="0">
            <x v="207"/>
          </reference>
          <reference field="2" count="1">
            <x v="233"/>
          </reference>
        </references>
      </pivotArea>
    </format>
    <format dxfId="10966">
      <pivotArea dataOnly="0" labelOnly="1" outline="0" fieldPosition="0">
        <references count="3">
          <reference field="0" count="1" selected="0">
            <x v="245"/>
          </reference>
          <reference field="1" count="1" selected="0">
            <x v="230"/>
          </reference>
          <reference field="2" count="1">
            <x v="244"/>
          </reference>
        </references>
      </pivotArea>
    </format>
    <format dxfId="10965">
      <pivotArea dataOnly="0" labelOnly="1" outline="0" fieldPosition="0">
        <references count="3">
          <reference field="0" count="1" selected="0">
            <x v="246"/>
          </reference>
          <reference field="1" count="1" selected="0">
            <x v="208"/>
          </reference>
          <reference field="2" count="1">
            <x v="235"/>
          </reference>
        </references>
      </pivotArea>
    </format>
    <format dxfId="10964">
      <pivotArea dataOnly="0" labelOnly="1" outline="0" fieldPosition="0">
        <references count="3">
          <reference field="0" count="1" selected="0">
            <x v="247"/>
          </reference>
          <reference field="1" count="1" selected="0">
            <x v="279"/>
          </reference>
          <reference field="2" count="1">
            <x v="39"/>
          </reference>
        </references>
      </pivotArea>
    </format>
    <format dxfId="10963">
      <pivotArea dataOnly="0" labelOnly="1" outline="0" fieldPosition="0">
        <references count="3">
          <reference field="0" count="1" selected="0">
            <x v="248"/>
          </reference>
          <reference field="1" count="1" selected="0">
            <x v="209"/>
          </reference>
          <reference field="2" count="1">
            <x v="234"/>
          </reference>
        </references>
      </pivotArea>
    </format>
    <format dxfId="10962">
      <pivotArea dataOnly="0" labelOnly="1" outline="0" fieldPosition="0">
        <references count="3">
          <reference field="0" count="1" selected="0">
            <x v="249"/>
          </reference>
          <reference field="1" count="1" selected="0">
            <x v="226"/>
          </reference>
          <reference field="2" count="1">
            <x v="241"/>
          </reference>
        </references>
      </pivotArea>
    </format>
    <format dxfId="10961">
      <pivotArea dataOnly="0" labelOnly="1" outline="0" fieldPosition="0">
        <references count="3">
          <reference field="0" count="1" selected="0">
            <x v="250"/>
          </reference>
          <reference field="1" count="1" selected="0">
            <x v="211"/>
          </reference>
          <reference field="2" count="1">
            <x v="225"/>
          </reference>
        </references>
      </pivotArea>
    </format>
    <format dxfId="10960">
      <pivotArea dataOnly="0" labelOnly="1" outline="0" fieldPosition="0">
        <references count="3">
          <reference field="0" count="1" selected="0">
            <x v="251"/>
          </reference>
          <reference field="1" count="1" selected="0">
            <x v="333"/>
          </reference>
          <reference field="2" count="1">
            <x v="314"/>
          </reference>
        </references>
      </pivotArea>
    </format>
    <format dxfId="10959">
      <pivotArea dataOnly="0" labelOnly="1" outline="0" fieldPosition="0">
        <references count="3">
          <reference field="0" count="1" selected="0">
            <x v="252"/>
          </reference>
          <reference field="1" count="1" selected="0">
            <x v="212"/>
          </reference>
          <reference field="2" count="1">
            <x v="222"/>
          </reference>
        </references>
      </pivotArea>
    </format>
    <format dxfId="10958">
      <pivotArea dataOnly="0" labelOnly="1" outline="0" fieldPosition="0">
        <references count="3">
          <reference field="0" count="1" selected="0">
            <x v="253"/>
          </reference>
          <reference field="1" count="1" selected="0">
            <x v="340"/>
          </reference>
          <reference field="2" count="1">
            <x v="316"/>
          </reference>
        </references>
      </pivotArea>
    </format>
    <format dxfId="10957">
      <pivotArea dataOnly="0" labelOnly="1" outline="0" fieldPosition="0">
        <references count="3">
          <reference field="0" count="1" selected="0">
            <x v="254"/>
          </reference>
          <reference field="1" count="1" selected="0">
            <x v="194"/>
          </reference>
          <reference field="2" count="1">
            <x v="6"/>
          </reference>
        </references>
      </pivotArea>
    </format>
    <format dxfId="10956">
      <pivotArea dataOnly="0" labelOnly="1" outline="0" fieldPosition="0">
        <references count="3">
          <reference field="0" count="1" selected="0">
            <x v="255"/>
          </reference>
          <reference field="1" count="1" selected="0">
            <x v="334"/>
          </reference>
          <reference field="2" count="1">
            <x v="317"/>
          </reference>
        </references>
      </pivotArea>
    </format>
    <format dxfId="10955">
      <pivotArea dataOnly="0" labelOnly="1" outline="0" fieldPosition="0">
        <references count="3">
          <reference field="0" count="1" selected="0">
            <x v="256"/>
          </reference>
          <reference field="1" count="1" selected="0">
            <x v="118"/>
          </reference>
          <reference field="2" count="1">
            <x v="163"/>
          </reference>
        </references>
      </pivotArea>
    </format>
    <format dxfId="10954">
      <pivotArea dataOnly="0" labelOnly="1" outline="0" fieldPosition="0">
        <references count="3">
          <reference field="0" count="1" selected="0">
            <x v="257"/>
          </reference>
          <reference field="1" count="1" selected="0">
            <x v="5"/>
          </reference>
          <reference field="2" count="1">
            <x v="22"/>
          </reference>
        </references>
      </pivotArea>
    </format>
    <format dxfId="10953">
      <pivotArea dataOnly="0" labelOnly="1" outline="0" fieldPosition="0">
        <references count="3">
          <reference field="0" count="1" selected="0">
            <x v="258"/>
          </reference>
          <reference field="1" count="1" selected="0">
            <x v="92"/>
          </reference>
          <reference field="2" count="1">
            <x v="57"/>
          </reference>
        </references>
      </pivotArea>
    </format>
    <format dxfId="10952">
      <pivotArea dataOnly="0" labelOnly="1" outline="0" fieldPosition="0">
        <references count="3">
          <reference field="0" count="1" selected="0">
            <x v="259"/>
          </reference>
          <reference field="1" count="1" selected="0">
            <x v="4"/>
          </reference>
          <reference field="2" count="1">
            <x v="58"/>
          </reference>
        </references>
      </pivotArea>
    </format>
    <format dxfId="10951">
      <pivotArea dataOnly="0" labelOnly="1" outline="0" fieldPosition="0">
        <references count="3">
          <reference field="0" count="1" selected="0">
            <x v="260"/>
          </reference>
          <reference field="1" count="1" selected="0">
            <x v="153"/>
          </reference>
          <reference field="2" count="1">
            <x v="7"/>
          </reference>
        </references>
      </pivotArea>
    </format>
    <format dxfId="10950">
      <pivotArea dataOnly="0" labelOnly="1" outline="0" fieldPosition="0">
        <references count="3">
          <reference field="0" count="1" selected="0">
            <x v="261"/>
          </reference>
          <reference field="1" count="1" selected="0">
            <x v="262"/>
          </reference>
          <reference field="2" count="1">
            <x v="267"/>
          </reference>
        </references>
      </pivotArea>
    </format>
    <format dxfId="10949">
      <pivotArea dataOnly="0" labelOnly="1" outline="0" fieldPosition="0">
        <references count="3">
          <reference field="0" count="1" selected="0">
            <x v="262"/>
          </reference>
          <reference field="1" count="1" selected="0">
            <x v="372"/>
          </reference>
          <reference field="2" count="1">
            <x v="260"/>
          </reference>
        </references>
      </pivotArea>
    </format>
    <format dxfId="10948">
      <pivotArea dataOnly="0" labelOnly="1" outline="0" fieldPosition="0">
        <references count="3">
          <reference field="0" count="1" selected="0">
            <x v="263"/>
          </reference>
          <reference field="1" count="1" selected="0">
            <x v="87"/>
          </reference>
          <reference field="2" count="1">
            <x v="144"/>
          </reference>
        </references>
      </pivotArea>
    </format>
    <format dxfId="10947">
      <pivotArea dataOnly="0" labelOnly="1" outline="0" fieldPosition="0">
        <references count="3">
          <reference field="0" count="1" selected="0">
            <x v="264"/>
          </reference>
          <reference field="1" count="1" selected="0">
            <x v="169"/>
          </reference>
          <reference field="2" count="1">
            <x v="176"/>
          </reference>
        </references>
      </pivotArea>
    </format>
    <format dxfId="10946">
      <pivotArea dataOnly="0" labelOnly="1" outline="0" fieldPosition="0">
        <references count="3">
          <reference field="0" count="1" selected="0">
            <x v="265"/>
          </reference>
          <reference field="1" count="1" selected="0">
            <x v="72"/>
          </reference>
          <reference field="2" count="1">
            <x v="133"/>
          </reference>
        </references>
      </pivotArea>
    </format>
    <format dxfId="10945">
      <pivotArea dataOnly="0" labelOnly="1" outline="0" fieldPosition="0">
        <references count="3">
          <reference field="0" count="1" selected="0">
            <x v="266"/>
          </reference>
          <reference field="1" count="1" selected="0">
            <x v="79"/>
          </reference>
          <reference field="2" count="1">
            <x v="130"/>
          </reference>
        </references>
      </pivotArea>
    </format>
    <format dxfId="10944">
      <pivotArea dataOnly="0" labelOnly="1" outline="0" fieldPosition="0">
        <references count="3">
          <reference field="0" count="1" selected="0">
            <x v="267"/>
          </reference>
          <reference field="1" count="1" selected="0">
            <x v="80"/>
          </reference>
          <reference field="2" count="1">
            <x v="131"/>
          </reference>
        </references>
      </pivotArea>
    </format>
    <format dxfId="10943">
      <pivotArea dataOnly="0" labelOnly="1" outline="0" fieldPosition="0">
        <references count="3">
          <reference field="0" count="1" selected="0">
            <x v="268"/>
          </reference>
          <reference field="1" count="1" selected="0">
            <x v="69"/>
          </reference>
          <reference field="2" count="1">
            <x v="132"/>
          </reference>
        </references>
      </pivotArea>
    </format>
    <format dxfId="10942">
      <pivotArea dataOnly="0" labelOnly="1" outline="0" fieldPosition="0">
        <references count="3">
          <reference field="0" count="1" selected="0">
            <x v="269"/>
          </reference>
          <reference field="1" count="1" selected="0">
            <x v="382"/>
          </reference>
          <reference field="2" count="1">
            <x v="333"/>
          </reference>
        </references>
      </pivotArea>
    </format>
    <format dxfId="10941">
      <pivotArea dataOnly="0" labelOnly="1" outline="0" fieldPosition="0">
        <references count="3">
          <reference field="0" count="1" selected="0">
            <x v="270"/>
          </reference>
          <reference field="1" count="1" selected="0">
            <x v="332"/>
          </reference>
          <reference field="2" count="1">
            <x v="312"/>
          </reference>
        </references>
      </pivotArea>
    </format>
    <format dxfId="10940">
      <pivotArea dataOnly="0" labelOnly="1" outline="0" fieldPosition="0">
        <references count="3">
          <reference field="0" count="1" selected="0">
            <x v="271"/>
          </reference>
          <reference field="1" count="1" selected="0">
            <x v="325"/>
          </reference>
          <reference field="2" count="1">
            <x v="355"/>
          </reference>
        </references>
      </pivotArea>
    </format>
    <format dxfId="10939">
      <pivotArea dataOnly="0" labelOnly="1" outline="0" fieldPosition="0">
        <references count="3">
          <reference field="0" count="1" selected="0">
            <x v="272"/>
          </reference>
          <reference field="1" count="1" selected="0">
            <x v="285"/>
          </reference>
          <reference field="2" count="1">
            <x v="287"/>
          </reference>
        </references>
      </pivotArea>
    </format>
    <format dxfId="10938">
      <pivotArea dataOnly="0" labelOnly="1" outline="0" fieldPosition="0">
        <references count="3">
          <reference field="0" count="1" selected="0">
            <x v="273"/>
          </reference>
          <reference field="1" count="1" selected="0">
            <x v="129"/>
          </reference>
          <reference field="2" count="1">
            <x v="171"/>
          </reference>
        </references>
      </pivotArea>
    </format>
    <format dxfId="10937">
      <pivotArea dataOnly="0" labelOnly="1" outline="0" fieldPosition="0">
        <references count="3">
          <reference field="0" count="1" selected="0">
            <x v="274"/>
          </reference>
          <reference field="1" count="1" selected="0">
            <x v="53"/>
          </reference>
          <reference field="2" count="1">
            <x v="43"/>
          </reference>
        </references>
      </pivotArea>
    </format>
    <format dxfId="10936">
      <pivotArea dataOnly="0" labelOnly="1" outline="0" fieldPosition="0">
        <references count="3">
          <reference field="0" count="1" selected="0">
            <x v="275"/>
          </reference>
          <reference field="1" count="1" selected="0">
            <x v="246"/>
          </reference>
          <reference field="2" count="1">
            <x v="248"/>
          </reference>
        </references>
      </pivotArea>
    </format>
    <format dxfId="10935">
      <pivotArea dataOnly="0" labelOnly="1" outline="0" fieldPosition="0">
        <references count="3">
          <reference field="0" count="1" selected="0">
            <x v="276"/>
          </reference>
          <reference field="1" count="1" selected="0">
            <x v="232"/>
          </reference>
          <reference field="2" count="1">
            <x v="355"/>
          </reference>
        </references>
      </pivotArea>
    </format>
    <format dxfId="10934">
      <pivotArea dataOnly="0" labelOnly="1" outline="0" fieldPosition="0">
        <references count="3">
          <reference field="0" count="1" selected="0">
            <x v="277"/>
          </reference>
          <reference field="1" count="1" selected="0">
            <x v="239"/>
          </reference>
          <reference field="2" count="1">
            <x v="166"/>
          </reference>
        </references>
      </pivotArea>
    </format>
    <format dxfId="10933">
      <pivotArea dataOnly="0" labelOnly="1" outline="0" fieldPosition="0">
        <references count="3">
          <reference field="0" count="1" selected="0">
            <x v="278"/>
          </reference>
          <reference field="1" count="1" selected="0">
            <x v="121"/>
          </reference>
          <reference field="2" count="1">
            <x v="162"/>
          </reference>
        </references>
      </pivotArea>
    </format>
    <format dxfId="10932">
      <pivotArea dataOnly="0" labelOnly="1" outline="0" fieldPosition="0">
        <references count="3">
          <reference field="0" count="1" selected="0">
            <x v="279"/>
          </reference>
          <reference field="1" count="1" selected="0">
            <x v="234"/>
          </reference>
          <reference field="2" count="1">
            <x v="250"/>
          </reference>
        </references>
      </pivotArea>
    </format>
    <format dxfId="10931">
      <pivotArea dataOnly="0" labelOnly="1" outline="0" fieldPosition="0">
        <references count="3">
          <reference field="0" count="1" selected="0">
            <x v="280"/>
          </reference>
          <reference field="1" count="1" selected="0">
            <x v="233"/>
          </reference>
          <reference field="2" count="1">
            <x v="249"/>
          </reference>
        </references>
      </pivotArea>
    </format>
    <format dxfId="10930">
      <pivotArea dataOnly="0" labelOnly="1" outline="0" fieldPosition="0">
        <references count="3">
          <reference field="0" count="1" selected="0">
            <x v="281"/>
          </reference>
          <reference field="1" count="1" selected="0">
            <x v="307"/>
          </reference>
          <reference field="2" count="1">
            <x v="184"/>
          </reference>
        </references>
      </pivotArea>
    </format>
    <format dxfId="10929">
      <pivotArea dataOnly="0" labelOnly="1" outline="0" fieldPosition="0">
        <references count="3">
          <reference field="0" count="1" selected="0">
            <x v="282"/>
          </reference>
          <reference field="1" count="1" selected="0">
            <x v="308"/>
          </reference>
          <reference field="2" count="1">
            <x v="195"/>
          </reference>
        </references>
      </pivotArea>
    </format>
    <format dxfId="10928">
      <pivotArea dataOnly="0" labelOnly="1" outline="0" fieldPosition="0">
        <references count="3">
          <reference field="0" count="1" selected="0">
            <x v="283"/>
          </reference>
          <reference field="1" count="1" selected="0">
            <x v="328"/>
          </reference>
          <reference field="2" count="1">
            <x v="311"/>
          </reference>
        </references>
      </pivotArea>
    </format>
    <format dxfId="10927">
      <pivotArea dataOnly="0" labelOnly="1" outline="0" fieldPosition="0">
        <references count="3">
          <reference field="0" count="1" selected="0">
            <x v="284"/>
          </reference>
          <reference field="1" count="1" selected="0">
            <x v="335"/>
          </reference>
          <reference field="2" count="1">
            <x v="199"/>
          </reference>
        </references>
      </pivotArea>
    </format>
    <format dxfId="10926">
      <pivotArea dataOnly="0" labelOnly="1" outline="0" fieldPosition="0">
        <references count="3">
          <reference field="0" count="1" selected="0">
            <x v="285"/>
          </reference>
          <reference field="1" count="1" selected="0">
            <x v="228"/>
          </reference>
          <reference field="2" count="1">
            <x v="13"/>
          </reference>
        </references>
      </pivotArea>
    </format>
    <format dxfId="10925">
      <pivotArea dataOnly="0" labelOnly="1" outline="0" fieldPosition="0">
        <references count="3">
          <reference field="0" count="1" selected="0">
            <x v="286"/>
          </reference>
          <reference field="1" count="1" selected="0">
            <x v="216"/>
          </reference>
          <reference field="2" count="1">
            <x v="223"/>
          </reference>
        </references>
      </pivotArea>
    </format>
    <format dxfId="10924">
      <pivotArea dataOnly="0" labelOnly="1" outline="0" fieldPosition="0">
        <references count="3">
          <reference field="0" count="1" selected="0">
            <x v="287"/>
          </reference>
          <reference field="1" count="1" selected="0">
            <x v="346"/>
          </reference>
          <reference field="2" count="1">
            <x v="165"/>
          </reference>
        </references>
      </pivotArea>
    </format>
    <format dxfId="10923">
      <pivotArea dataOnly="0" labelOnly="1" outline="0" fieldPosition="0">
        <references count="3">
          <reference field="0" count="1" selected="0">
            <x v="288"/>
          </reference>
          <reference field="1" count="1" selected="0">
            <x v="337"/>
          </reference>
          <reference field="2" count="1">
            <x v="64"/>
          </reference>
        </references>
      </pivotArea>
    </format>
    <format dxfId="10922">
      <pivotArea dataOnly="0" labelOnly="1" outline="0" fieldPosition="0">
        <references count="3">
          <reference field="0" count="1" selected="0">
            <x v="289"/>
          </reference>
          <reference field="1" count="1" selected="0">
            <x v="312"/>
          </reference>
          <reference field="2" count="1">
            <x v="40"/>
          </reference>
        </references>
      </pivotArea>
    </format>
    <format dxfId="10921">
      <pivotArea dataOnly="0" labelOnly="1" outline="0" fieldPosition="0">
        <references count="3">
          <reference field="0" count="1" selected="0">
            <x v="290"/>
          </reference>
          <reference field="1" count="1" selected="0">
            <x v="113"/>
          </reference>
          <reference field="2" count="1">
            <x v="56"/>
          </reference>
        </references>
      </pivotArea>
    </format>
    <format dxfId="10920">
      <pivotArea dataOnly="0" labelOnly="1" outline="0" fieldPosition="0">
        <references count="3">
          <reference field="0" count="1" selected="0">
            <x v="291"/>
          </reference>
          <reference field="1" count="1" selected="0">
            <x v="135"/>
          </reference>
          <reference field="2" count="1">
            <x v="177"/>
          </reference>
        </references>
      </pivotArea>
    </format>
    <format dxfId="10919">
      <pivotArea dataOnly="0" labelOnly="1" outline="0" fieldPosition="0">
        <references count="3">
          <reference field="0" count="1" selected="0">
            <x v="292"/>
          </reference>
          <reference field="1" count="1" selected="0">
            <x v="32"/>
          </reference>
          <reference field="2" count="1">
            <x v="61"/>
          </reference>
        </references>
      </pivotArea>
    </format>
    <format dxfId="10918">
      <pivotArea dataOnly="0" labelOnly="1" outline="0" fieldPosition="0">
        <references count="3">
          <reference field="0" count="1" selected="0">
            <x v="293"/>
          </reference>
          <reference field="1" count="1" selected="0">
            <x v="103"/>
          </reference>
          <reference field="2" count="1">
            <x v="355"/>
          </reference>
        </references>
      </pivotArea>
    </format>
    <format dxfId="10917">
      <pivotArea dataOnly="0" labelOnly="1" outline="0" fieldPosition="0">
        <references count="3">
          <reference field="0" count="1" selected="0">
            <x v="294"/>
          </reference>
          <reference field="1" count="1" selected="0">
            <x v="140"/>
          </reference>
          <reference field="2" count="1">
            <x v="122"/>
          </reference>
        </references>
      </pivotArea>
    </format>
    <format dxfId="10916">
      <pivotArea dataOnly="0" labelOnly="1" outline="0" fieldPosition="0">
        <references count="3">
          <reference field="0" count="1" selected="0">
            <x v="295"/>
          </reference>
          <reference field="1" count="1" selected="0">
            <x v="142"/>
          </reference>
          <reference field="2" count="1">
            <x v="15"/>
          </reference>
        </references>
      </pivotArea>
    </format>
    <format dxfId="10915">
      <pivotArea dataOnly="0" labelOnly="1" outline="0" fieldPosition="0">
        <references count="3">
          <reference field="0" count="1" selected="0">
            <x v="296"/>
          </reference>
          <reference field="1" count="1" selected="0">
            <x v="141"/>
          </reference>
          <reference field="2" count="1">
            <x v="123"/>
          </reference>
        </references>
      </pivotArea>
    </format>
    <format dxfId="10914">
      <pivotArea dataOnly="0" labelOnly="1" outline="0" fieldPosition="0">
        <references count="3">
          <reference field="0" count="1" selected="0">
            <x v="297"/>
          </reference>
          <reference field="1" count="1" selected="0">
            <x v="125"/>
          </reference>
          <reference field="2" count="1">
            <x v="134"/>
          </reference>
        </references>
      </pivotArea>
    </format>
    <format dxfId="10913">
      <pivotArea dataOnly="0" labelOnly="1" outline="0" fieldPosition="0">
        <references count="3">
          <reference field="0" count="1" selected="0">
            <x v="298"/>
          </reference>
          <reference field="1" count="1" selected="0">
            <x v="123"/>
          </reference>
          <reference field="2" count="1">
            <x v="26"/>
          </reference>
        </references>
      </pivotArea>
    </format>
    <format dxfId="10912">
      <pivotArea dataOnly="0" labelOnly="1" outline="0" fieldPosition="0">
        <references count="3">
          <reference field="0" count="1" selected="0">
            <x v="299"/>
          </reference>
          <reference field="1" count="1" selected="0">
            <x v="280"/>
          </reference>
          <reference field="2" count="1">
            <x v="47"/>
          </reference>
        </references>
      </pivotArea>
    </format>
    <format dxfId="10911">
      <pivotArea dataOnly="0" labelOnly="1" outline="0" fieldPosition="0">
        <references count="3">
          <reference field="0" count="1" selected="0">
            <x v="300"/>
          </reference>
          <reference field="1" count="1" selected="0">
            <x v="147"/>
          </reference>
          <reference field="2" count="1">
            <x v="179"/>
          </reference>
        </references>
      </pivotArea>
    </format>
    <format dxfId="10910">
      <pivotArea dataOnly="0" labelOnly="1" outline="0" fieldPosition="0">
        <references count="3">
          <reference field="0" count="1" selected="0">
            <x v="301"/>
          </reference>
          <reference field="1" count="1" selected="0">
            <x v="174"/>
          </reference>
          <reference field="2" count="1">
            <x v="219"/>
          </reference>
        </references>
      </pivotArea>
    </format>
    <format dxfId="10909">
      <pivotArea dataOnly="0" labelOnly="1" outline="0" fieldPosition="0">
        <references count="3">
          <reference field="0" count="1" selected="0">
            <x v="302"/>
          </reference>
          <reference field="1" count="1" selected="0">
            <x v="145"/>
          </reference>
          <reference field="2" count="1">
            <x v="178"/>
          </reference>
        </references>
      </pivotArea>
    </format>
    <format dxfId="10908">
      <pivotArea dataOnly="0" labelOnly="1" outline="0" fieldPosition="0">
        <references count="3">
          <reference field="0" count="1" selected="0">
            <x v="303"/>
          </reference>
          <reference field="1" count="1" selected="0">
            <x v="143"/>
          </reference>
          <reference field="2" count="1">
            <x v="181"/>
          </reference>
        </references>
      </pivotArea>
    </format>
    <format dxfId="10907">
      <pivotArea dataOnly="0" labelOnly="1" outline="0" fieldPosition="0">
        <references count="3">
          <reference field="0" count="1" selected="0">
            <x v="304"/>
          </reference>
          <reference field="1" count="1" selected="0">
            <x v="144"/>
          </reference>
          <reference field="2" count="1">
            <x v="182"/>
          </reference>
        </references>
      </pivotArea>
    </format>
    <format dxfId="10906">
      <pivotArea dataOnly="0" labelOnly="1" outline="0" fieldPosition="0">
        <references count="3">
          <reference field="0" count="1" selected="0">
            <x v="305"/>
          </reference>
          <reference field="1" count="1" selected="0">
            <x v="146"/>
          </reference>
          <reference field="2" count="1">
            <x v="180"/>
          </reference>
        </references>
      </pivotArea>
    </format>
    <format dxfId="10905">
      <pivotArea dataOnly="0" labelOnly="1" outline="0" fieldPosition="0">
        <references count="3">
          <reference field="0" count="1" selected="0">
            <x v="306"/>
          </reference>
          <reference field="1" count="1" selected="0">
            <x v="75"/>
          </reference>
          <reference field="2" count="1">
            <x v="45"/>
          </reference>
        </references>
      </pivotArea>
    </format>
    <format dxfId="10904">
      <pivotArea dataOnly="0" labelOnly="1" outline="0" fieldPosition="0">
        <references count="3">
          <reference field="0" count="1" selected="0">
            <x v="307"/>
          </reference>
          <reference field="1" count="1" selected="0">
            <x v="85"/>
          </reference>
          <reference field="2" count="1">
            <x v="141"/>
          </reference>
        </references>
      </pivotArea>
    </format>
    <format dxfId="10903">
      <pivotArea dataOnly="0" labelOnly="1" outline="0" fieldPosition="0">
        <references count="3">
          <reference field="0" count="1" selected="0">
            <x v="308"/>
          </reference>
          <reference field="1" count="1" selected="0">
            <x v="105"/>
          </reference>
          <reference field="2" count="1">
            <x v="152"/>
          </reference>
        </references>
      </pivotArea>
    </format>
    <format dxfId="10902">
      <pivotArea dataOnly="0" labelOnly="1" outline="0" fieldPosition="0">
        <references count="3">
          <reference field="0" count="1" selected="0">
            <x v="309"/>
          </reference>
          <reference field="1" count="1" selected="0">
            <x v="362"/>
          </reference>
          <reference field="2" count="1">
            <x v="12"/>
          </reference>
        </references>
      </pivotArea>
    </format>
    <format dxfId="10901">
      <pivotArea dataOnly="0" labelOnly="1" outline="0" fieldPosition="0">
        <references count="3">
          <reference field="0" count="1" selected="0">
            <x v="310"/>
          </reference>
          <reference field="1" count="1" selected="0">
            <x v="171"/>
          </reference>
          <reference field="2" count="1">
            <x v="198"/>
          </reference>
        </references>
      </pivotArea>
    </format>
    <format dxfId="10900">
      <pivotArea dataOnly="0" labelOnly="1" outline="0" fieldPosition="0">
        <references count="3">
          <reference field="0" count="1" selected="0">
            <x v="311"/>
          </reference>
          <reference field="1" count="1" selected="0">
            <x v="126"/>
          </reference>
          <reference field="2" count="1">
            <x v="168"/>
          </reference>
        </references>
      </pivotArea>
    </format>
    <format dxfId="10899">
      <pivotArea dataOnly="0" labelOnly="1" outline="0" fieldPosition="0">
        <references count="3">
          <reference field="0" count="1" selected="0">
            <x v="312"/>
          </reference>
          <reference field="1" count="1" selected="0">
            <x v="127"/>
          </reference>
          <reference field="2" count="1">
            <x v="169"/>
          </reference>
        </references>
      </pivotArea>
    </format>
    <format dxfId="10898">
      <pivotArea dataOnly="0" labelOnly="1" outline="0" fieldPosition="0">
        <references count="3">
          <reference field="0" count="1" selected="0">
            <x v="313"/>
          </reference>
          <reference field="1" count="1" selected="0">
            <x v="343"/>
          </reference>
          <reference field="2" count="1">
            <x v="324"/>
          </reference>
        </references>
      </pivotArea>
    </format>
    <format dxfId="10897">
      <pivotArea dataOnly="0" labelOnly="1" outline="0" fieldPosition="0">
        <references count="3">
          <reference field="0" count="1" selected="0">
            <x v="314"/>
          </reference>
          <reference field="1" count="1" selected="0">
            <x v="344"/>
          </reference>
          <reference field="2" count="1">
            <x v="325"/>
          </reference>
        </references>
      </pivotArea>
    </format>
    <format dxfId="10896">
      <pivotArea dataOnly="0" labelOnly="1" outline="0" fieldPosition="0">
        <references count="3">
          <reference field="0" count="1" selected="0">
            <x v="315"/>
          </reference>
          <reference field="1" count="1" selected="0">
            <x v="306"/>
          </reference>
          <reference field="2" count="1">
            <x v="292"/>
          </reference>
        </references>
      </pivotArea>
    </format>
    <format dxfId="10895">
      <pivotArea dataOnly="0" labelOnly="1" outline="0" fieldPosition="0">
        <references count="3">
          <reference field="0" count="1" selected="0">
            <x v="316"/>
          </reference>
          <reference field="1" count="1" selected="0">
            <x v="124"/>
          </reference>
          <reference field="2" count="1">
            <x v="167"/>
          </reference>
        </references>
      </pivotArea>
    </format>
    <format dxfId="10894">
      <pivotArea dataOnly="0" labelOnly="1" outline="0" fieldPosition="0">
        <references count="3">
          <reference field="0" count="1" selected="0">
            <x v="317"/>
          </reference>
          <reference field="1" count="1" selected="0">
            <x v="375"/>
          </reference>
          <reference field="2" count="1">
            <x v="335"/>
          </reference>
        </references>
      </pivotArea>
    </format>
    <format dxfId="10893">
      <pivotArea dataOnly="0" labelOnly="1" outline="0" fieldPosition="0">
        <references count="3">
          <reference field="0" count="1" selected="0">
            <x v="318"/>
          </reference>
          <reference field="1" count="1" selected="0">
            <x v="357"/>
          </reference>
          <reference field="2" count="1">
            <x v="350"/>
          </reference>
        </references>
      </pivotArea>
    </format>
    <format dxfId="10892">
      <pivotArea dataOnly="0" labelOnly="1" outline="0" fieldPosition="0">
        <references count="3">
          <reference field="0" count="1" selected="0">
            <x v="319"/>
          </reference>
          <reference field="1" count="1" selected="0">
            <x v="358"/>
          </reference>
          <reference field="2" count="1">
            <x v="351"/>
          </reference>
        </references>
      </pivotArea>
    </format>
    <format dxfId="10891">
      <pivotArea dataOnly="0" labelOnly="1" outline="0" fieldPosition="0">
        <references count="3">
          <reference field="0" count="1" selected="0">
            <x v="320"/>
          </reference>
          <reference field="1" count="1" selected="0">
            <x v="359"/>
          </reference>
          <reference field="2" count="1">
            <x v="348"/>
          </reference>
        </references>
      </pivotArea>
    </format>
    <format dxfId="10890">
      <pivotArea dataOnly="0" labelOnly="1" outline="0" fieldPosition="0">
        <references count="3">
          <reference field="0" count="1" selected="0">
            <x v="321"/>
          </reference>
          <reference field="1" count="1" selected="0">
            <x v="374"/>
          </reference>
          <reference field="2" count="1">
            <x v="334"/>
          </reference>
        </references>
      </pivotArea>
    </format>
    <format dxfId="10889">
      <pivotArea dataOnly="0" labelOnly="1" outline="0" fieldPosition="0">
        <references count="3">
          <reference field="0" count="1" selected="0">
            <x v="322"/>
          </reference>
          <reference field="1" count="1" selected="0">
            <x v="356"/>
          </reference>
          <reference field="2" count="1">
            <x v="349"/>
          </reference>
        </references>
      </pivotArea>
    </format>
    <format dxfId="10888">
      <pivotArea dataOnly="0" labelOnly="1" outline="0" fieldPosition="0">
        <references count="3">
          <reference field="0" count="1" selected="0">
            <x v="323"/>
          </reference>
          <reference field="1" count="1" selected="0">
            <x v="219"/>
          </reference>
          <reference field="2" count="1">
            <x v="243"/>
          </reference>
        </references>
      </pivotArea>
    </format>
    <format dxfId="10887">
      <pivotArea dataOnly="0" labelOnly="1" outline="0" fieldPosition="0">
        <references count="3">
          <reference field="0" count="1" selected="0">
            <x v="324"/>
          </reference>
          <reference field="1" count="1" selected="0">
            <x v="309"/>
          </reference>
          <reference field="2" count="1">
            <x v="295"/>
          </reference>
        </references>
      </pivotArea>
    </format>
    <format dxfId="10886">
      <pivotArea dataOnly="0" labelOnly="1" outline="0" fieldPosition="0">
        <references count="3">
          <reference field="0" count="1" selected="0">
            <x v="325"/>
          </reference>
          <reference field="1" count="1" selected="0">
            <x v="63"/>
          </reference>
          <reference field="2" count="1">
            <x v="18"/>
          </reference>
        </references>
      </pivotArea>
    </format>
    <format dxfId="10885">
      <pivotArea dataOnly="0" labelOnly="1" outline="0" fieldPosition="0">
        <references count="3">
          <reference field="0" count="1" selected="0">
            <x v="326"/>
          </reference>
          <reference field="1" count="1" selected="0">
            <x v="175"/>
          </reference>
          <reference field="2" count="1">
            <x v="201"/>
          </reference>
        </references>
      </pivotArea>
    </format>
    <format dxfId="10884">
      <pivotArea dataOnly="0" labelOnly="1" outline="0" fieldPosition="0">
        <references count="3">
          <reference field="0" count="1" selected="0">
            <x v="327"/>
          </reference>
          <reference field="1" count="1" selected="0">
            <x v="326"/>
          </reference>
          <reference field="2" count="1">
            <x v="307"/>
          </reference>
        </references>
      </pivotArea>
    </format>
    <format dxfId="10883">
      <pivotArea dataOnly="0" labelOnly="1" outline="0" fieldPosition="0">
        <references count="3">
          <reference field="0" count="1" selected="0">
            <x v="328"/>
          </reference>
          <reference field="1" count="1" selected="0">
            <x v="56"/>
          </reference>
          <reference field="2" count="1">
            <x v="17"/>
          </reference>
        </references>
      </pivotArea>
    </format>
    <format dxfId="10882">
      <pivotArea dataOnly="0" labelOnly="1" outline="0" fieldPosition="0">
        <references count="3">
          <reference field="0" count="1" selected="0">
            <x v="329"/>
          </reference>
          <reference field="1" count="1" selected="0">
            <x v="134"/>
          </reference>
          <reference field="2" count="1">
            <x v="62"/>
          </reference>
        </references>
      </pivotArea>
    </format>
    <format dxfId="10881">
      <pivotArea dataOnly="0" labelOnly="1" outline="0" fieldPosition="0">
        <references count="3">
          <reference field="0" count="1" selected="0">
            <x v="330"/>
          </reference>
          <reference field="1" count="1" selected="0">
            <x v="151"/>
          </reference>
          <reference field="2" count="1">
            <x v="188"/>
          </reference>
        </references>
      </pivotArea>
    </format>
    <format dxfId="10880">
      <pivotArea dataOnly="0" labelOnly="1" outline="0" fieldPosition="0">
        <references count="3">
          <reference field="0" count="1" selected="0">
            <x v="331"/>
          </reference>
          <reference field="1" count="1" selected="0">
            <x v="222"/>
          </reference>
          <reference field="2" count="1">
            <x v="170"/>
          </reference>
        </references>
      </pivotArea>
    </format>
    <format dxfId="10879">
      <pivotArea dataOnly="0" labelOnly="1" outline="0" fieldPosition="0">
        <references count="3">
          <reference field="0" count="1" selected="0">
            <x v="332"/>
          </reference>
          <reference field="1" count="1" selected="0">
            <x v="276"/>
          </reference>
          <reference field="2" count="1">
            <x v="149"/>
          </reference>
        </references>
      </pivotArea>
    </format>
    <format dxfId="10878">
      <pivotArea dataOnly="0" labelOnly="1" outline="0" fieldPosition="0">
        <references count="3">
          <reference field="0" count="1" selected="0">
            <x v="333"/>
          </reference>
          <reference field="1" count="1" selected="0">
            <x v="122"/>
          </reference>
          <reference field="2" count="1">
            <x v="353"/>
          </reference>
        </references>
      </pivotArea>
    </format>
    <format dxfId="10877">
      <pivotArea dataOnly="0" labelOnly="1" outline="0" fieldPosition="0">
        <references count="3">
          <reference field="0" count="1" selected="0">
            <x v="334"/>
          </reference>
          <reference field="1" count="1" selected="0">
            <x v="247"/>
          </reference>
          <reference field="2" count="1">
            <x v="129"/>
          </reference>
        </references>
      </pivotArea>
    </format>
    <format dxfId="10876">
      <pivotArea dataOnly="0" labelOnly="1" outline="0" fieldPosition="0">
        <references count="3">
          <reference field="0" count="1" selected="0">
            <x v="335"/>
          </reference>
          <reference field="1" count="1" selected="0">
            <x v="57"/>
          </reference>
          <reference field="2" count="1">
            <x v="94"/>
          </reference>
        </references>
      </pivotArea>
    </format>
    <format dxfId="10875">
      <pivotArea dataOnly="0" labelOnly="1" outline="0" fieldPosition="0">
        <references count="3">
          <reference field="0" count="1" selected="0">
            <x v="336"/>
          </reference>
          <reference field="1" count="1" selected="0">
            <x v="321"/>
          </reference>
          <reference field="2" count="1">
            <x v="136"/>
          </reference>
        </references>
      </pivotArea>
    </format>
    <format dxfId="10874">
      <pivotArea dataOnly="0" labelOnly="1" outline="0" fieldPosition="0">
        <references count="3">
          <reference field="0" count="1" selected="0">
            <x v="337"/>
          </reference>
          <reference field="1" count="1" selected="0">
            <x v="149"/>
          </reference>
          <reference field="2" count="1">
            <x v="14"/>
          </reference>
        </references>
      </pivotArea>
    </format>
    <format dxfId="10873">
      <pivotArea dataOnly="0" labelOnly="1" outline="0" fieldPosition="0">
        <references count="3">
          <reference field="0" count="1" selected="0">
            <x v="338"/>
          </reference>
          <reference field="1" count="1" selected="0">
            <x v="93"/>
          </reference>
          <reference field="2" count="1">
            <x v="36"/>
          </reference>
        </references>
      </pivotArea>
    </format>
    <format dxfId="10872">
      <pivotArea dataOnly="0" labelOnly="1" outline="0" fieldPosition="0">
        <references count="3">
          <reference field="0" count="1" selected="0">
            <x v="339"/>
          </reference>
          <reference field="1" count="1" selected="0">
            <x v="130"/>
          </reference>
          <reference field="2" count="1">
            <x v="41"/>
          </reference>
        </references>
      </pivotArea>
    </format>
    <format dxfId="10871">
      <pivotArea dataOnly="0" labelOnly="1" outline="0" fieldPosition="0">
        <references count="3">
          <reference field="0" count="1" selected="0">
            <x v="340"/>
          </reference>
          <reference field="1" count="1" selected="0">
            <x v="324"/>
          </reference>
          <reference field="2" count="1">
            <x v="298"/>
          </reference>
        </references>
      </pivotArea>
    </format>
    <format dxfId="10870">
      <pivotArea dataOnly="0" labelOnly="1" outline="0" fieldPosition="0">
        <references count="3">
          <reference field="0" count="1" selected="0">
            <x v="341"/>
          </reference>
          <reference field="1" count="1" selected="0">
            <x v="322"/>
          </reference>
          <reference field="2" count="1">
            <x v="296"/>
          </reference>
        </references>
      </pivotArea>
    </format>
    <format dxfId="10869">
      <pivotArea dataOnly="0" labelOnly="1" outline="0" fieldPosition="0">
        <references count="3">
          <reference field="0" count="1" selected="0">
            <x v="342"/>
          </reference>
          <reference field="1" count="1" selected="0">
            <x v="323"/>
          </reference>
          <reference field="2" count="1">
            <x v="297"/>
          </reference>
        </references>
      </pivotArea>
    </format>
    <format dxfId="10868">
      <pivotArea dataOnly="0" labelOnly="1" outline="0" fieldPosition="0">
        <references count="3">
          <reference field="0" count="1" selected="0">
            <x v="343"/>
          </reference>
          <reference field="1" count="1" selected="0">
            <x v="254"/>
          </reference>
          <reference field="2" count="1">
            <x v="259"/>
          </reference>
        </references>
      </pivotArea>
    </format>
    <format dxfId="10867">
      <pivotArea dataOnly="0" labelOnly="1" outline="0" fieldPosition="0">
        <references count="3">
          <reference field="0" count="1" selected="0">
            <x v="344"/>
          </reference>
          <reference field="1" count="1" selected="0">
            <x v="320"/>
          </reference>
          <reference field="2" count="1">
            <x v="302"/>
          </reference>
        </references>
      </pivotArea>
    </format>
    <format dxfId="10866">
      <pivotArea dataOnly="0" labelOnly="1" outline="0" fieldPosition="0">
        <references count="3">
          <reference field="0" count="1" selected="0">
            <x v="345"/>
          </reference>
          <reference field="1" count="1" selected="0">
            <x v="277"/>
          </reference>
          <reference field="2" count="1">
            <x v="274"/>
          </reference>
        </references>
      </pivotArea>
    </format>
    <format dxfId="10865">
      <pivotArea dataOnly="0" labelOnly="1" outline="0" fieldPosition="0">
        <references count="3">
          <reference field="0" count="1" selected="0">
            <x v="346"/>
          </reference>
          <reference field="1" count="1" selected="0">
            <x v="214"/>
          </reference>
          <reference field="2" count="1">
            <x v="119"/>
          </reference>
        </references>
      </pivotArea>
    </format>
    <format dxfId="10864">
      <pivotArea dataOnly="0" labelOnly="1" outline="0" fieldPosition="0">
        <references count="3">
          <reference field="0" count="1" selected="0">
            <x v="347"/>
          </reference>
          <reference field="1" count="1" selected="0">
            <x v="345"/>
          </reference>
          <reference field="2" count="1">
            <x v="323"/>
          </reference>
        </references>
      </pivotArea>
    </format>
    <format dxfId="10863">
      <pivotArea dataOnly="0" labelOnly="1" outline="0" fieldPosition="0">
        <references count="3">
          <reference field="0" count="1" selected="0">
            <x v="348"/>
          </reference>
          <reference field="1" count="1" selected="0">
            <x v="263"/>
          </reference>
          <reference field="2" count="1">
            <x v="261"/>
          </reference>
        </references>
      </pivotArea>
    </format>
    <format dxfId="10862">
      <pivotArea dataOnly="0" labelOnly="1" outline="0" fieldPosition="0">
        <references count="3">
          <reference field="0" count="1" selected="0">
            <x v="349"/>
          </reference>
          <reference field="1" count="1" selected="0">
            <x v="236"/>
          </reference>
          <reference field="2" count="1">
            <x v="254"/>
          </reference>
        </references>
      </pivotArea>
    </format>
    <format dxfId="10861">
      <pivotArea dataOnly="0" labelOnly="1" outline="0" fieldPosition="0">
        <references count="3">
          <reference field="0" count="1" selected="0">
            <x v="350"/>
          </reference>
          <reference field="1" count="1" selected="0">
            <x v="240"/>
          </reference>
          <reference field="2" count="1">
            <x v="55"/>
          </reference>
        </references>
      </pivotArea>
    </format>
    <format dxfId="10860">
      <pivotArea dataOnly="0" labelOnly="1" outline="0" fieldPosition="0">
        <references count="3">
          <reference field="0" count="1" selected="0">
            <x v="351"/>
          </reference>
          <reference field="1" count="1" selected="0">
            <x v="268"/>
          </reference>
          <reference field="2" count="1">
            <x v="271"/>
          </reference>
        </references>
      </pivotArea>
    </format>
    <format dxfId="10859">
      <pivotArea dataOnly="0" labelOnly="1" outline="0" fieldPosition="0">
        <references count="3">
          <reference field="0" count="1" selected="0">
            <x v="352"/>
          </reference>
          <reference field="1" count="1" selected="0">
            <x v="377"/>
          </reference>
          <reference field="2" count="1">
            <x v="336"/>
          </reference>
        </references>
      </pivotArea>
    </format>
    <format dxfId="10858">
      <pivotArea dataOnly="0" labelOnly="1" outline="0" fieldPosition="0">
        <references count="3">
          <reference field="0" count="1" selected="0">
            <x v="353"/>
          </reference>
          <reference field="1" count="1" selected="0">
            <x v="67"/>
          </reference>
          <reference field="2" count="1">
            <x v="128"/>
          </reference>
        </references>
      </pivotArea>
    </format>
    <format dxfId="10857">
      <pivotArea dataOnly="0" labelOnly="1" outline="0" fieldPosition="0">
        <references count="3">
          <reference field="0" count="1" selected="0">
            <x v="354"/>
          </reference>
          <reference field="1" count="1" selected="0">
            <x v="120"/>
          </reference>
          <reference field="2" count="1">
            <x v="148"/>
          </reference>
        </references>
      </pivotArea>
    </format>
    <format dxfId="10856">
      <pivotArea dataOnly="0" labelOnly="1" outline="0" fieldPosition="0">
        <references count="3">
          <reference field="0" count="1" selected="0">
            <x v="355"/>
          </reference>
          <reference field="1" count="1" selected="0">
            <x v="170"/>
          </reference>
          <reference field="2" count="1">
            <x v="49"/>
          </reference>
        </references>
      </pivotArea>
    </format>
    <format dxfId="10855">
      <pivotArea dataOnly="0" labelOnly="1" outline="0" fieldPosition="0">
        <references count="3">
          <reference field="0" count="1" selected="0">
            <x v="356"/>
          </reference>
          <reference field="1" count="1" selected="0">
            <x v="255"/>
          </reference>
          <reference field="2" count="1">
            <x v="1"/>
          </reference>
        </references>
      </pivotArea>
    </format>
    <format dxfId="10854">
      <pivotArea dataOnly="0" labelOnly="1" outline="0" fieldPosition="0">
        <references count="3">
          <reference field="0" count="1" selected="0">
            <x v="357"/>
          </reference>
          <reference field="1" count="1" selected="0">
            <x v="49"/>
          </reference>
          <reference field="2" count="1">
            <x v="93"/>
          </reference>
        </references>
      </pivotArea>
    </format>
    <format dxfId="10853">
      <pivotArea dataOnly="0" labelOnly="1" outline="0" fieldPosition="0">
        <references count="3">
          <reference field="0" count="1" selected="0">
            <x v="358"/>
          </reference>
          <reference field="1" count="1" selected="0">
            <x v="376"/>
          </reference>
          <reference field="2" count="1">
            <x v="30"/>
          </reference>
        </references>
      </pivotArea>
    </format>
    <format dxfId="10852">
      <pivotArea dataOnly="0" labelOnly="1" outline="0" fieldPosition="0">
        <references count="3">
          <reference field="0" count="1" selected="0">
            <x v="359"/>
          </reference>
          <reference field="1" count="1" selected="0">
            <x v="11"/>
          </reference>
          <reference field="2" count="1">
            <x v="75"/>
          </reference>
        </references>
      </pivotArea>
    </format>
    <format dxfId="10851">
      <pivotArea dataOnly="0" labelOnly="1" outline="0" fieldPosition="0">
        <references count="3">
          <reference field="0" count="1" selected="0">
            <x v="360"/>
          </reference>
          <reference field="1" count="1" selected="0">
            <x v="368"/>
          </reference>
          <reference field="2" count="1">
            <x v="344"/>
          </reference>
        </references>
      </pivotArea>
    </format>
    <format dxfId="10850">
      <pivotArea dataOnly="0" labelOnly="1" outline="0" fieldPosition="0">
        <references count="3">
          <reference field="0" count="1" selected="0">
            <x v="361"/>
          </reference>
          <reference field="1" count="1" selected="0">
            <x v="367"/>
          </reference>
          <reference field="2" count="1">
            <x v="345"/>
          </reference>
        </references>
      </pivotArea>
    </format>
    <format dxfId="10849">
      <pivotArea dataOnly="0" labelOnly="1" outline="0" fieldPosition="0">
        <references count="3">
          <reference field="0" count="1" selected="0">
            <x v="362"/>
          </reference>
          <reference field="1" count="1" selected="0">
            <x v="338"/>
          </reference>
          <reference field="2" count="1">
            <x v="319"/>
          </reference>
        </references>
      </pivotArea>
    </format>
    <format dxfId="10848">
      <pivotArea dataOnly="0" labelOnly="1" outline="0" fieldPosition="0">
        <references count="3">
          <reference field="0" count="1" selected="0">
            <x v="363"/>
          </reference>
          <reference field="1" count="1" selected="0">
            <x v="65"/>
          </reference>
          <reference field="2" count="1">
            <x v="46"/>
          </reference>
        </references>
      </pivotArea>
    </format>
    <format dxfId="10847">
      <pivotArea dataOnly="0" labelOnly="1" outline="0" fieldPosition="0">
        <references count="3">
          <reference field="0" count="1" selected="0">
            <x v="364"/>
          </reference>
          <reference field="1" count="1" selected="0">
            <x v="15"/>
          </reference>
          <reference field="2" count="1">
            <x v="76"/>
          </reference>
        </references>
      </pivotArea>
    </format>
    <format dxfId="10846">
      <pivotArea dataOnly="0" labelOnly="1" outline="0" fieldPosition="0">
        <references count="3">
          <reference field="0" count="1" selected="0">
            <x v="365"/>
          </reference>
          <reference field="1" count="1" selected="0">
            <x v="235"/>
          </reference>
          <reference field="2" count="1">
            <x v="77"/>
          </reference>
        </references>
      </pivotArea>
    </format>
    <format dxfId="10845">
      <pivotArea dataOnly="0" labelOnly="1" outline="0" fieldPosition="0">
        <references count="3">
          <reference field="0" count="1" selected="0">
            <x v="366"/>
          </reference>
          <reference field="1" count="1" selected="0">
            <x v="13"/>
          </reference>
          <reference field="2" count="1">
            <x v="76"/>
          </reference>
        </references>
      </pivotArea>
    </format>
    <format dxfId="10844">
      <pivotArea dataOnly="0" labelOnly="1" outline="0" fieldPosition="0">
        <references count="3">
          <reference field="0" count="1" selected="0">
            <x v="369"/>
          </reference>
          <reference field="1" count="1" selected="0">
            <x v="109"/>
          </reference>
          <reference field="2" count="1">
            <x v="78"/>
          </reference>
        </references>
      </pivotArea>
    </format>
    <format dxfId="10843">
      <pivotArea dataOnly="0" labelOnly="1" outline="0" fieldPosition="0">
        <references count="3">
          <reference field="0" count="1" selected="0">
            <x v="370"/>
          </reference>
          <reference field="1" count="1" selected="0">
            <x v="112"/>
          </reference>
          <reference field="2" count="1">
            <x v="82"/>
          </reference>
        </references>
      </pivotArea>
    </format>
    <format dxfId="10842">
      <pivotArea dataOnly="0" labelOnly="1" outline="0" fieldPosition="0">
        <references count="3">
          <reference field="0" count="1" selected="0">
            <x v="371"/>
          </reference>
          <reference field="1" count="1" selected="0">
            <x v="19"/>
          </reference>
          <reference field="2" count="1">
            <x v="76"/>
          </reference>
        </references>
      </pivotArea>
    </format>
    <format dxfId="10841">
      <pivotArea dataOnly="0" labelOnly="1" outline="0" fieldPosition="0">
        <references count="3">
          <reference field="0" count="1" selected="0">
            <x v="372"/>
          </reference>
          <reference field="1" count="1" selected="0">
            <x v="111"/>
          </reference>
          <reference field="2" count="1">
            <x v="81"/>
          </reference>
        </references>
      </pivotArea>
    </format>
    <format dxfId="10840">
      <pivotArea dataOnly="0" labelOnly="1" outline="0" fieldPosition="0">
        <references count="3">
          <reference field="0" count="1" selected="0">
            <x v="373"/>
          </reference>
          <reference field="1" count="1" selected="0">
            <x v="17"/>
          </reference>
          <reference field="2" count="1">
            <x v="76"/>
          </reference>
        </references>
      </pivotArea>
    </format>
    <format dxfId="10839">
      <pivotArea dataOnly="0" labelOnly="1" outline="0" fieldPosition="0">
        <references count="3">
          <reference field="0" count="1" selected="0">
            <x v="376"/>
          </reference>
          <reference field="1" count="1" selected="0">
            <x v="110"/>
          </reference>
          <reference field="2" count="1">
            <x v="80"/>
          </reference>
        </references>
      </pivotArea>
    </format>
    <format dxfId="10838">
      <pivotArea dataOnly="0" labelOnly="1" outline="0" fieldPosition="0">
        <references count="3">
          <reference field="0" count="1" selected="0">
            <x v="377"/>
          </reference>
          <reference field="1" count="1" selected="0">
            <x v="14"/>
          </reference>
          <reference field="2" count="1">
            <x v="76"/>
          </reference>
        </references>
      </pivotArea>
    </format>
    <format dxfId="10837">
      <pivotArea dataOnly="0" labelOnly="1" outline="0" fieldPosition="0">
        <references count="3">
          <reference field="0" count="1" selected="0">
            <x v="378"/>
          </reference>
          <reference field="1" count="1" selected="0">
            <x v="97"/>
          </reference>
          <reference field="2" count="1">
            <x v="79"/>
          </reference>
        </references>
      </pivotArea>
    </format>
    <format dxfId="10836">
      <pivotArea dataOnly="0" labelOnly="1" outline="0" fieldPosition="0">
        <references count="3">
          <reference field="0" count="1" selected="0">
            <x v="379"/>
          </reference>
          <reference field="1" count="1" selected="0">
            <x v="78"/>
          </reference>
          <reference field="2" count="1">
            <x v="69"/>
          </reference>
        </references>
      </pivotArea>
    </format>
    <format dxfId="10835">
      <pivotArea dataOnly="0" labelOnly="1" outline="0" fieldPosition="0">
        <references count="3">
          <reference field="0" count="1" selected="0">
            <x v="380"/>
          </reference>
          <reference field="1" count="1" selected="0">
            <x v="76"/>
          </reference>
          <reference field="2" count="1">
            <x v="71"/>
          </reference>
        </references>
      </pivotArea>
    </format>
    <format dxfId="10834">
      <pivotArea dataOnly="0" labelOnly="1" outline="0" fieldPosition="0">
        <references count="3">
          <reference field="0" count="1" selected="0">
            <x v="381"/>
          </reference>
          <reference field="1" count="1" selected="0">
            <x v="77"/>
          </reference>
          <reference field="2" count="1">
            <x v="70"/>
          </reference>
        </references>
      </pivotArea>
    </format>
    <format dxfId="10833">
      <pivotArea dataOnly="0" labelOnly="1" outline="0" fieldPosition="0">
        <references count="3">
          <reference field="0" count="1" selected="0">
            <x v="382"/>
          </reference>
          <reference field="1" count="1" selected="0">
            <x v="383"/>
          </reference>
          <reference field="2" count="1">
            <x v="355"/>
          </reference>
        </references>
      </pivotArea>
    </format>
    <format dxfId="10832">
      <pivotArea dataOnly="0" labelOnly="1" outline="0" fieldPosition="0">
        <references count="1">
          <reference field="4294967294" count="2">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BE4B18-E02F-4BC3-90CC-36B77497D9F2}" name="PivotTable2" cacheId="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5:C7" firstHeaderRow="1" firstDataRow="1" firstDataCol="2" rowPageCount="3" colPageCount="1"/>
  <pivotFields count="28">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axis="axisRow" compact="0" outline="0" showAll="0" defaultSubtotal="0">
      <items count="489">
        <item h="1" x="264"/>
        <item h="1" x="172"/>
        <item h="1" x="93"/>
        <item h="1" x="85"/>
        <item h="1" x="90"/>
        <item h="1" x="167"/>
        <item h="1" x="165"/>
        <item h="1" x="308"/>
        <item h="1" x="406"/>
        <item h="1" x="486"/>
        <item h="1" x="146"/>
        <item h="1" x="340"/>
        <item h="1" x="398"/>
        <item h="1" x="418"/>
        <item h="1" x="92"/>
        <item h="1" x="452"/>
        <item h="1" x="275"/>
        <item h="1" x="205"/>
        <item h="1" x="472"/>
        <item h="1" x="99"/>
        <item h="1" x="256"/>
        <item h="1" x="450"/>
        <item h="1" x="84"/>
        <item h="1" x="413"/>
        <item h="1" x="381"/>
        <item h="1" x="335"/>
        <item h="1" x="231"/>
        <item h="1" x="382"/>
        <item h="1" x="404"/>
        <item h="1" x="365"/>
        <item h="1" x="380"/>
        <item h="1" x="403"/>
        <item h="1" x="455"/>
        <item h="1" x="200"/>
        <item h="1" x="190"/>
        <item h="1" x="456"/>
        <item h="1" x="444"/>
        <item h="1" x="427"/>
        <item h="1" x="448"/>
        <item h="1" x="426"/>
        <item h="1" x="445"/>
        <item h="1" x="477"/>
        <item h="1" x="147"/>
        <item h="1" x="112"/>
        <item h="1" x="158"/>
        <item h="1" x="429"/>
        <item h="1" x="396"/>
        <item h="1" x="65"/>
        <item h="1" x="423"/>
        <item h="1" x="177"/>
        <item h="1" x="464"/>
        <item h="1" x="446"/>
        <item h="1" x="454"/>
        <item h="1" x="211"/>
        <item h="1" x="225"/>
        <item h="1" x="253"/>
        <item h="1" x="101"/>
        <item h="1" x="100"/>
        <item h="1" x="347"/>
        <item h="1" x="196"/>
        <item h="1" x="480"/>
        <item h="1" x="447"/>
        <item h="1" x="457"/>
        <item h="1" x="83"/>
        <item h="1" x="170"/>
        <item h="1" x="128"/>
        <item h="1" x="182"/>
        <item h="1" x="179"/>
        <item h="1" x="159"/>
        <item h="1" x="160"/>
        <item h="1" x="157"/>
        <item h="1" x="469"/>
        <item h="1" x="326"/>
        <item h="1" x="277"/>
        <item h="1" x="166"/>
        <item h="1" x="226"/>
        <item h="1" x="96"/>
        <item h="1" x="235"/>
        <item h="1" x="118"/>
        <item h="1" x="123"/>
        <item h="1" x="393"/>
        <item h="1" x="325"/>
        <item h="1" x="313"/>
        <item h="1" x="360"/>
        <item h="1" x="246"/>
        <item h="1" x="482"/>
        <item h="1" x="148"/>
        <item h="1" x="117"/>
        <item h="1" x="151"/>
        <item h="1" x="173"/>
        <item h="1" x="163"/>
        <item h="1" x="345"/>
        <item h="1" x="234"/>
        <item h="1" x="89"/>
        <item h="1" x="199"/>
        <item h="1" x="176"/>
        <item h="1" x="424"/>
        <item h="1" x="202"/>
        <item h="1" x="127"/>
        <item h="1" x="295"/>
        <item h="1" x="254"/>
        <item h="1" x="425"/>
        <item h="1" x="207"/>
        <item h="1" x="232"/>
        <item h="1" x="390"/>
        <item h="1" x="373"/>
        <item h="1" x="269"/>
        <item h="1" x="348"/>
        <item h="1" x="219"/>
        <item h="1" x="120"/>
        <item h="1" x="243"/>
        <item h="1" x="171"/>
        <item h="1" x="294"/>
        <item h="1" x="241"/>
        <item h="1" x="357"/>
        <item h="1" x="108"/>
        <item h="1" x="355"/>
        <item h="1" x="356"/>
        <item h="1" x="372"/>
        <item h="1" x="104"/>
        <item h="1" x="98"/>
        <item h="1" x="371"/>
        <item h="1" x="405"/>
        <item h="1" x="107"/>
        <item h="1" x="109"/>
        <item h="1" x="103"/>
        <item h="1" x="106"/>
        <item h="1" x="370"/>
        <item h="1" x="240"/>
        <item h="1" x="414"/>
        <item h="1" x="383"/>
        <item h="1" x="483"/>
        <item h="1" x="389"/>
        <item h="1" x="312"/>
        <item h="1" x="475"/>
        <item h="1" x="150"/>
        <item h="1" x="110"/>
        <item h="1" x="351"/>
        <item h="1" x="168"/>
        <item h="1" x="184"/>
        <item h="1" x="476"/>
        <item h="1" x="265"/>
        <item h="1" x="133"/>
        <item h="1" x="439"/>
        <item h="1" x="467"/>
        <item h="1" x="451"/>
        <item h="1" x="471"/>
        <item h="1" x="449"/>
        <item h="1" x="131"/>
        <item h="1" x="111"/>
        <item h="1" x="208"/>
        <item h="1" x="417"/>
        <item h="1" x="0"/>
        <item h="1" x="468"/>
        <item h="1" x="324"/>
        <item h="1" x="317"/>
        <item h="1" x="178"/>
        <item h="1" x="458"/>
        <item h="1" x="153"/>
        <item h="1" x="250"/>
        <item h="1" x="137"/>
        <item h="1" x="174"/>
        <item h="1" x="1"/>
        <item h="1" x="162"/>
        <item h="1" x="470"/>
        <item h="1" x="201"/>
        <item h="1" x="129"/>
        <item h="1" x="484"/>
        <item h="1" x="422"/>
        <item h="1" x="113"/>
        <item h="1" x="142"/>
        <item h="1" x="436"/>
        <item h="1" x="169"/>
        <item h="1" x="248"/>
        <item h="1" x="260"/>
        <item h="1" x="388"/>
        <item h="1" x="198"/>
        <item h="1" x="252"/>
        <item h="1" x="290"/>
        <item h="1" x="299"/>
        <item h="1" x="2"/>
        <item h="1" x="285"/>
        <item h="1" x="440"/>
        <item h="1" x="416"/>
        <item h="1" x="408"/>
        <item h="1" x="237"/>
        <item h="1" x="323"/>
        <item h="1" x="3"/>
        <item h="1" x="374"/>
        <item h="1" x="236"/>
        <item h="1" x="259"/>
        <item h="1" x="369"/>
        <item h="1" x="366"/>
        <item h="1" x="255"/>
        <item h="1" x="220"/>
        <item h="1" x="437"/>
        <item h="1" x="69"/>
        <item h="1" x="66"/>
        <item h="1" x="320"/>
        <item h="1" x="4"/>
        <item h="1" x="263"/>
        <item h="1" x="391"/>
        <item h="1" x="397"/>
        <item h="1" x="465"/>
        <item h="1" x="204"/>
        <item h="1" x="349"/>
        <item h="1" x="407"/>
        <item h="1" x="95"/>
        <item h="1" x="87"/>
        <item h="1" x="459"/>
        <item h="1" x="273"/>
        <item h="1" x="358"/>
        <item h="1" x="344"/>
        <item h="1" x="191"/>
        <item h="1" x="161"/>
        <item h="1" x="5"/>
        <item h="1" x="415"/>
        <item h="1" x="6"/>
        <item h="1" x="7"/>
        <item h="1" x="8"/>
        <item h="1" x="9"/>
        <item h="1" x="10"/>
        <item h="1" x="11"/>
        <item h="1" x="12"/>
        <item h="1" x="442"/>
        <item h="1" x="13"/>
        <item h="1" x="14"/>
        <item h="1" x="15"/>
        <item h="1" x="16"/>
        <item h="1" x="17"/>
        <item h="1" x="18"/>
        <item h="1" x="19"/>
        <item h="1" x="20"/>
        <item h="1" x="21"/>
        <item h="1" x="286"/>
        <item h="1" x="289"/>
        <item h="1" x="288"/>
        <item h="1" x="22"/>
        <item h="1" x="242"/>
        <item h="1" x="258"/>
        <item h="1" x="86"/>
        <item h="1" x="395"/>
        <item h="1" x="206"/>
        <item h="1" x="402"/>
        <item h="1" x="384"/>
        <item h="1" x="364"/>
        <item h="1" x="379"/>
        <item h="1" x="385"/>
        <item h="1" x="378"/>
        <item h="1" x="387"/>
        <item h="1" x="401"/>
        <item h="1" x="419"/>
        <item h="1" x="336"/>
        <item h="1" x="154"/>
        <item h="1" x="126"/>
        <item h="1" x="386"/>
        <item h="1" x="412"/>
        <item h="1" x="399"/>
        <item h="1" x="229"/>
        <item h="1" x="478"/>
        <item h="1" x="23"/>
        <item h="1" x="266"/>
        <item h="1" x="24"/>
        <item h="1" x="434"/>
        <item h="1" x="25"/>
        <item h="1" x="26"/>
        <item h="1" x="27"/>
        <item h="1" x="302"/>
        <item h="1" x="377"/>
        <item h="1" x="145"/>
        <item h="1" x="367"/>
        <item h="1" x="28"/>
        <item h="1" x="411"/>
        <item h="1" x="334"/>
        <item h="1" x="485"/>
        <item h="1" x="152"/>
        <item h="1" x="267"/>
        <item h="1" x="479"/>
        <item h="1" x="29"/>
        <item h="1" x="30"/>
        <item h="1" x="352"/>
        <item h="1" x="31"/>
        <item h="1" x="303"/>
        <item h="1" x="32"/>
        <item h="1" x="122"/>
        <item h="1" x="217"/>
        <item h="1" x="132"/>
        <item h="1" x="368"/>
        <item h="1" x="375"/>
        <item h="1" x="33"/>
        <item h="1" x="186"/>
        <item h="1" x="400"/>
        <item h="1" x="34"/>
        <item h="1" x="141"/>
        <item h="1" x="301"/>
        <item h="1" x="353"/>
        <item h="1" x="216"/>
        <item h="1" x="354"/>
        <item h="1" x="35"/>
        <item h="1" x="409"/>
        <item x="362"/>
        <item h="1" x="257"/>
        <item h="1" x="293"/>
        <item h="1" x="421"/>
        <item h="1" x="280"/>
        <item h="1" x="420"/>
        <item h="1" x="435"/>
        <item h="1" x="361"/>
        <item h="1" x="175"/>
        <item h="1" x="233"/>
        <item h="1" x="376"/>
        <item h="1" x="305"/>
        <item h="1" x="116"/>
        <item h="1" x="81"/>
        <item h="1" x="363"/>
        <item h="1" x="143"/>
        <item h="1" x="239"/>
        <item h="1" x="279"/>
        <item h="1" x="291"/>
        <item h="1" x="300"/>
        <item h="1" x="343"/>
        <item h="1" x="463"/>
        <item h="1" x="438"/>
        <item h="1" x="36"/>
        <item h="1" x="292"/>
        <item h="1" x="230"/>
        <item h="1" x="410"/>
        <item h="1" x="125"/>
        <item h="1" x="37"/>
        <item h="1" x="394"/>
        <item h="1" x="38"/>
        <item h="1" x="433"/>
        <item h="1" x="481"/>
        <item h="1" x="189"/>
        <item h="1" x="276"/>
        <item h="1" x="39"/>
        <item h="1" x="181"/>
        <item h="1" x="287"/>
        <item h="1" x="40"/>
        <item h="1" x="41"/>
        <item h="1" x="42"/>
        <item h="1" x="43"/>
        <item h="1" x="44"/>
        <item h="1" x="212"/>
        <item h="1" x="227"/>
        <item h="1" x="218"/>
        <item h="1" x="203"/>
        <item h="1" x="238"/>
        <item h="1" x="45"/>
        <item h="1" x="441"/>
        <item h="1" x="462"/>
        <item h="1" x="307"/>
        <item h="1" x="332"/>
        <item h="1" x="473"/>
        <item h="1" x="432"/>
        <item h="1" x="453"/>
        <item h="1" x="431"/>
        <item h="1" x="460"/>
        <item h="1" x="215"/>
        <item h="1" x="333"/>
        <item h="1" x="67"/>
        <item h="1" x="68"/>
        <item h="1" x="430"/>
        <item h="1" x="228"/>
        <item h="1" x="140"/>
        <item h="1" x="274"/>
        <item h="1" x="251"/>
        <item h="1" x="283"/>
        <item h="1" x="46"/>
        <item h="1" x="135"/>
        <item h="1" x="47"/>
        <item h="1" x="327"/>
        <item h="1" x="337"/>
        <item h="1" x="346"/>
        <item h="1" x="338"/>
        <item h="1" x="342"/>
        <item h="1" x="328"/>
        <item h="1" x="339"/>
        <item h="1" x="341"/>
        <item h="1" x="91"/>
        <item h="1" x="331"/>
        <item h="1" x="144"/>
        <item h="1" x="180"/>
        <item h="1" x="487"/>
        <item h="1" x="298"/>
        <item h="1" x="121"/>
        <item h="1" x="428"/>
        <item h="1" x="261"/>
        <item h="1" x="262"/>
        <item h="1" x="156"/>
        <item h="1" x="48"/>
        <item h="1" x="49"/>
        <item h="1" x="149"/>
        <item h="1" x="50"/>
        <item h="1" x="138"/>
        <item h="1" x="130"/>
        <item h="1" x="139"/>
        <item h="1" x="272"/>
        <item h="1" x="329"/>
        <item h="1" x="224"/>
        <item h="1" x="284"/>
        <item h="1" x="51"/>
        <item h="1" x="195"/>
        <item h="1" x="314"/>
        <item h="1" x="52"/>
        <item h="1" x="318"/>
        <item h="1" x="297"/>
        <item h="1" x="461"/>
        <item h="1" x="188"/>
        <item h="1" x="193"/>
        <item h="1" x="210"/>
        <item h="1" x="82"/>
        <item h="1" x="53"/>
        <item h="1" x="155"/>
        <item h="1" x="124"/>
        <item h="1" x="282"/>
        <item h="1" x="247"/>
        <item h="1" x="350"/>
        <item h="1" x="97"/>
        <item h="1" x="281"/>
        <item h="1" x="222"/>
        <item h="1" x="278"/>
        <item h="1" x="474"/>
        <item h="1" x="164"/>
        <item h="1" x="270"/>
        <item h="1" x="114"/>
        <item h="1" x="271"/>
        <item h="1" x="296"/>
        <item h="1" x="249"/>
        <item h="1" x="54"/>
        <item h="1" x="55"/>
        <item h="1" x="194"/>
        <item h="1" x="134"/>
        <item h="1" x="306"/>
        <item h="1" x="223"/>
        <item h="1" x="319"/>
        <item h="1" x="330"/>
        <item h="1" x="115"/>
        <item h="1" x="94"/>
        <item h="1" x="56"/>
        <item h="1" x="316"/>
        <item h="1" x="315"/>
        <item h="1" x="322"/>
        <item h="1" x="57"/>
        <item h="1" x="58"/>
        <item h="1" x="59"/>
        <item h="1" x="60"/>
        <item h="1" x="310"/>
        <item h="1" x="304"/>
        <item h="1" x="102"/>
        <item h="1" x="221"/>
        <item h="1" x="309"/>
        <item h="1" x="61"/>
        <item h="1" x="192"/>
        <item h="1" x="197"/>
        <item h="1" x="209"/>
        <item h="1" x="214"/>
        <item h="1" x="183"/>
        <item h="1" x="185"/>
        <item h="1" x="187"/>
        <item h="1" x="213"/>
        <item h="1" x="88"/>
        <item h="1" x="62"/>
        <item h="1" x="63"/>
        <item h="1" x="64"/>
        <item h="1" x="321"/>
        <item h="1" x="311"/>
        <item h="1" x="359"/>
        <item h="1" x="466"/>
        <item h="1" x="105"/>
        <item h="1" x="245"/>
        <item h="1" x="392"/>
        <item h="1" x="443"/>
        <item h="1" x="71"/>
        <item h="1" x="73"/>
        <item h="1" x="74"/>
        <item h="1" x="244"/>
        <item h="1" x="72"/>
        <item h="1" x="75"/>
        <item h="1" x="70"/>
        <item h="1" x="76"/>
        <item h="1" x="119"/>
        <item h="1" x="136"/>
        <item h="1" x="77"/>
        <item h="1" x="78"/>
        <item h="1" x="80"/>
        <item h="1" x="79"/>
        <item h="1" x="268"/>
        <item h="1" x="488"/>
      </items>
    </pivotField>
    <pivotField compact="0" outline="0" showAll="0"/>
    <pivotField compact="0" outline="0" showAll="0"/>
    <pivotField axis="axisRow" compact="0" outline="0" showAll="0" defaultSubtotal="0">
      <items count="485">
        <item x="361"/>
        <item x="376"/>
        <item x="46"/>
        <item x="396"/>
        <item x="149"/>
        <item x="189"/>
        <item x="226"/>
        <item x="119"/>
        <item x="359"/>
        <item x="288"/>
        <item x="100"/>
        <item x="347"/>
        <item x="181"/>
        <item x="18"/>
        <item x="253"/>
        <item x="92"/>
        <item x="166"/>
        <item x="90"/>
        <item x="469"/>
        <item x="163"/>
        <item x="186"/>
        <item x="426"/>
        <item x="476"/>
        <item x="197"/>
        <item x="67"/>
        <item x="69"/>
        <item x="66"/>
        <item x="341"/>
        <item x="461"/>
        <item x="60"/>
        <item x="311"/>
        <item x="83"/>
        <item x="265"/>
        <item x="479"/>
        <item x="350"/>
        <item x="339"/>
        <item x="451"/>
        <item x="455"/>
        <item x="134"/>
        <item x="329"/>
        <item x="239"/>
        <item x="290"/>
        <item x="407"/>
        <item x="316"/>
        <item x="237"/>
        <item x="220"/>
        <item x="254"/>
        <item x="244"/>
        <item x="230"/>
        <item x="78"/>
        <item x="482"/>
        <item x="150"/>
        <item x="241"/>
        <item x="136"/>
        <item x="403"/>
        <item x="229"/>
        <item x="321"/>
        <item x="306"/>
        <item x="300"/>
        <item x="145"/>
        <item x="123"/>
        <item x="255"/>
        <item x="289"/>
        <item x="180"/>
        <item x="349"/>
        <item x="457"/>
        <item x="480"/>
        <item x="297"/>
        <item x="287"/>
        <item x="296"/>
        <item x="275"/>
        <item x="283"/>
        <item x="14"/>
        <item x="153"/>
        <item x="477"/>
        <item x="51"/>
        <item x="471"/>
        <item x="156"/>
        <item x="328"/>
        <item x="335"/>
        <item x="302"/>
        <item x="323"/>
        <item x="333"/>
        <item x="322"/>
        <item x="221"/>
        <item x="342"/>
        <item x="332"/>
        <item x="324"/>
        <item x="338"/>
        <item x="334"/>
        <item x="261"/>
        <item x="204"/>
        <item x="337"/>
        <item x="377"/>
        <item x="409"/>
        <item x="222"/>
        <item x="19"/>
        <item x="13"/>
        <item x="159"/>
        <item x="326"/>
        <item x="243"/>
        <item x="305"/>
        <item x="362"/>
        <item x="365"/>
        <item x="233"/>
        <item x="313"/>
        <item x="309"/>
        <item x="277"/>
        <item x="245"/>
        <item x="346"/>
        <item x="95"/>
        <item x="217"/>
        <item x="47"/>
        <item x="4"/>
        <item x="430"/>
        <item x="307"/>
        <item x="203"/>
        <item x="172"/>
        <item x="436"/>
        <item x="132"/>
        <item x="357"/>
        <item x="416"/>
        <item x="417"/>
        <item x="79"/>
        <item x="143"/>
        <item x="122"/>
        <item x="363"/>
        <item x="173"/>
        <item x="397"/>
        <item x="405"/>
        <item x="114"/>
        <item x="360"/>
        <item x="429"/>
        <item x="408"/>
        <item x="390"/>
        <item x="428"/>
        <item x="152"/>
        <item x="155"/>
        <item x="157"/>
        <item x="158"/>
        <item x="154"/>
        <item x="219"/>
        <item x="354"/>
        <item x="214"/>
        <item x="190"/>
        <item x="89"/>
        <item x="310"/>
        <item x="133"/>
        <item x="418"/>
        <item x="120"/>
        <item x="144"/>
        <item x="242"/>
        <item x="27"/>
        <item x="30"/>
        <item x="25"/>
        <item x="42"/>
        <item x="44"/>
        <item x="23"/>
        <item x="5"/>
        <item x="37"/>
        <item x="41"/>
        <item x="1"/>
        <item x="32"/>
        <item x="43"/>
        <item x="29"/>
        <item x="31"/>
        <item x="26"/>
        <item x="268"/>
        <item x="139"/>
        <item x="137"/>
        <item x="38"/>
        <item x="33"/>
        <item x="34"/>
        <item x="257"/>
        <item x="246"/>
        <item x="191"/>
        <item x="468"/>
        <item x="464"/>
        <item x="431"/>
        <item x="400"/>
        <item x="475"/>
        <item x="124"/>
        <item x="320"/>
        <item x="184"/>
        <item x="234"/>
        <item x="345"/>
        <item x="85"/>
        <item x="395"/>
        <item x="218"/>
        <item x="232"/>
        <item x="259"/>
        <item x="192"/>
        <item x="111"/>
        <item x="115"/>
        <item x="118"/>
        <item x="116"/>
        <item x="121"/>
        <item x="364"/>
        <item x="147"/>
        <item x="303"/>
        <item x="174"/>
        <item x="84"/>
        <item x="187"/>
        <item x="478"/>
        <item x="80"/>
        <item x="50"/>
        <item x="199"/>
        <item x="77"/>
        <item x="312"/>
        <item x="216"/>
        <item x="266"/>
        <item x="294"/>
        <item x="138"/>
        <item x="131"/>
        <item x="94"/>
        <item x="129"/>
        <item x="356"/>
        <item x="130"/>
        <item x="248"/>
        <item x="82"/>
        <item x="344"/>
        <item x="458"/>
        <item x="380"/>
        <item x="263"/>
        <item x="151"/>
        <item x="228"/>
        <item x="91"/>
        <item x="81"/>
        <item x="175"/>
        <item x="169"/>
        <item x="170"/>
        <item x="167"/>
        <item x="165"/>
        <item x="88"/>
        <item x="160"/>
        <item x="164"/>
        <item x="315"/>
        <item x="177"/>
        <item x="176"/>
        <item x="28"/>
        <item x="420"/>
        <item x="442"/>
        <item x="379"/>
        <item x="434"/>
        <item x="419"/>
        <item x="128"/>
        <item x="113"/>
        <item x="141"/>
        <item x="205"/>
        <item x="3"/>
        <item x="392"/>
        <item x="171"/>
        <item x="262"/>
        <item x="225"/>
        <item x="249"/>
        <item x="472"/>
        <item x="394"/>
        <item x="236"/>
        <item x="466"/>
        <item x="162"/>
        <item x="280"/>
        <item x="168"/>
        <item x="391"/>
        <item x="382"/>
        <item x="398"/>
        <item x="336"/>
        <item x="308"/>
        <item x="206"/>
        <item x="200"/>
        <item x="202"/>
        <item x="355"/>
        <item x="194"/>
        <item x="285"/>
        <item x="269"/>
        <item x="252"/>
        <item x="251"/>
        <item x="295"/>
        <item x="282"/>
        <item x="223"/>
        <item x="250"/>
        <item x="260"/>
        <item x="281"/>
        <item x="286"/>
        <item x="209"/>
        <item x="270"/>
        <item x="224"/>
        <item x="271"/>
        <item x="274"/>
        <item x="273"/>
        <item x="112"/>
        <item x="264"/>
        <item x="103"/>
        <item x="213"/>
        <item x="210"/>
        <item x="340"/>
        <item x="388"/>
        <item x="449"/>
        <item x="424"/>
        <item x="456"/>
        <item x="427"/>
        <item x="438"/>
        <item x="86"/>
        <item x="301"/>
        <item x="421"/>
        <item x="414"/>
        <item x="387"/>
        <item x="318"/>
        <item x="17"/>
        <item x="75"/>
        <item x="39"/>
        <item x="35"/>
        <item x="24"/>
        <item x="70"/>
        <item x="16"/>
        <item x="40"/>
        <item x="201"/>
        <item x="231"/>
        <item x="140"/>
        <item x="460"/>
        <item x="127"/>
        <item x="369"/>
        <item x="386"/>
        <item x="193"/>
        <item x="65"/>
        <item x="278"/>
        <item x="439"/>
        <item x="435"/>
        <item x="463"/>
        <item x="445"/>
        <item x="447"/>
        <item x="467"/>
        <item x="437"/>
        <item x="148"/>
        <item x="108"/>
        <item x="327"/>
        <item x="161"/>
        <item x="126"/>
        <item x="473"/>
        <item x="411"/>
        <item x="240"/>
        <item x="188"/>
        <item x="198"/>
        <item x="330"/>
        <item x="319"/>
        <item x="422"/>
        <item x="441"/>
        <item x="444"/>
        <item x="446"/>
        <item x="423"/>
        <item x="440"/>
        <item x="432"/>
        <item x="304"/>
        <item x="68"/>
        <item x="373"/>
        <item x="443"/>
        <item x="317"/>
        <item x="93"/>
        <item x="299"/>
        <item x="125"/>
        <item x="314"/>
        <item x="325"/>
        <item x="182"/>
        <item x="196"/>
        <item x="470"/>
        <item x="483"/>
        <item x="215"/>
        <item x="208"/>
        <item x="183"/>
        <item x="185"/>
        <item x="211"/>
        <item x="406"/>
        <item x="474"/>
        <item x="481"/>
        <item x="348"/>
        <item x="298"/>
        <item x="402"/>
        <item x="372"/>
        <item x="22"/>
        <item x="448"/>
        <item x="452"/>
        <item x="462"/>
        <item x="293"/>
        <item x="179"/>
        <item x="146"/>
        <item x="272"/>
        <item x="370"/>
        <item x="412"/>
        <item x="235"/>
        <item x="404"/>
        <item x="371"/>
        <item x="207"/>
        <item x="410"/>
        <item x="413"/>
        <item x="358"/>
        <item x="256"/>
        <item x="454"/>
        <item x="433"/>
        <item x="195"/>
        <item x="135"/>
        <item x="142"/>
        <item x="178"/>
        <item x="267"/>
        <item x="383"/>
        <item x="284"/>
        <item x="374"/>
        <item x="415"/>
        <item x="381"/>
        <item x="292"/>
        <item x="258"/>
        <item x="393"/>
        <item x="110"/>
        <item x="20"/>
        <item x="247"/>
        <item x="450"/>
        <item x="399"/>
        <item x="453"/>
        <item x="12"/>
        <item x="227"/>
        <item x="375"/>
        <item x="72"/>
        <item x="15"/>
        <item x="54"/>
        <item x="49"/>
        <item x="76"/>
        <item x="73"/>
        <item x="71"/>
        <item x="11"/>
        <item x="10"/>
        <item x="36"/>
        <item x="7"/>
        <item x="9"/>
        <item x="8"/>
        <item x="57"/>
        <item x="353"/>
        <item x="62"/>
        <item x="74"/>
        <item x="58"/>
        <item x="59"/>
        <item x="6"/>
        <item x="2"/>
        <item x="63"/>
        <item x="53"/>
        <item x="64"/>
        <item x="52"/>
        <item x="55"/>
        <item x="48"/>
        <item x="56"/>
        <item x="0"/>
        <item x="45"/>
        <item x="21"/>
        <item x="61"/>
        <item x="87"/>
        <item x="212"/>
        <item x="238"/>
        <item x="291"/>
        <item x="117"/>
        <item x="459"/>
        <item x="279"/>
        <item x="378"/>
        <item x="343"/>
        <item x="97"/>
        <item x="109"/>
        <item x="98"/>
        <item x="99"/>
        <item x="276"/>
        <item x="425"/>
        <item x="331"/>
        <item x="389"/>
        <item x="465"/>
        <item x="351"/>
        <item x="106"/>
        <item x="384"/>
        <item x="352"/>
        <item x="368"/>
        <item x="96"/>
        <item x="102"/>
        <item x="401"/>
        <item x="367"/>
        <item x="105"/>
        <item x="101"/>
        <item x="107"/>
        <item x="104"/>
        <item x="385"/>
        <item x="366"/>
        <item x="484"/>
      </items>
    </pivotField>
    <pivotField compact="0" outline="0" showAll="0"/>
    <pivotField axis="axisPage" compact="0" outline="0" multipleItemSelectionAllowed="1" showAll="0">
      <items count="574">
        <item x="568"/>
        <item x="566"/>
        <item x="567"/>
        <item x="146"/>
        <item x="176"/>
        <item x="102"/>
        <item x="468"/>
        <item x="396"/>
        <item x="451"/>
        <item x="515"/>
        <item x="492"/>
        <item x="352"/>
        <item x="358"/>
        <item x="304"/>
        <item x="534"/>
        <item x="280"/>
        <item x="287"/>
        <item x="221"/>
        <item x="499"/>
        <item x="548"/>
        <item x="518"/>
        <item x="530"/>
        <item x="552"/>
        <item x="528"/>
        <item x="520"/>
        <item x="543"/>
        <item x="58"/>
        <item x="59"/>
        <item x="60"/>
        <item x="61"/>
        <item x="62"/>
        <item x="54"/>
        <item x="53"/>
        <item x="63"/>
        <item x="544"/>
        <item x="517"/>
        <item x="215"/>
        <item x="92"/>
        <item x="328"/>
        <item x="200"/>
        <item x="86"/>
        <item x="387"/>
        <item x="195"/>
        <item x="196"/>
        <item x="88"/>
        <item x="64"/>
        <item x="198"/>
        <item x="66"/>
        <item x="95"/>
        <item x="204"/>
        <item x="217"/>
        <item x="87"/>
        <item x="224"/>
        <item x="192"/>
        <item x="191"/>
        <item x="94"/>
        <item x="455"/>
        <item x="453"/>
        <item x="199"/>
        <item x="213"/>
        <item x="408"/>
        <item x="85"/>
        <item x="389"/>
        <item x="197"/>
        <item x="201"/>
        <item x="247"/>
        <item x="424"/>
        <item x="194"/>
        <item x="438"/>
        <item x="465"/>
        <item x="205"/>
        <item x="343"/>
        <item x="214"/>
        <item x="188"/>
        <item x="400"/>
        <item x="491"/>
        <item x="401"/>
        <item x="218"/>
        <item x="454"/>
        <item x="193"/>
        <item x="242"/>
        <item x="74"/>
        <item x="76"/>
        <item x="73"/>
        <item x="75"/>
        <item x="77"/>
        <item x="344"/>
        <item x="72"/>
        <item x="443"/>
        <item x="428"/>
        <item x="4"/>
        <item x="426"/>
        <item x="456"/>
        <item x="535"/>
        <item x="368"/>
        <item x="452"/>
        <item x="227"/>
        <item x="91"/>
        <item x="554"/>
        <item x="137"/>
        <item x="570"/>
        <item x="156"/>
        <item x="302"/>
        <item x="46"/>
        <item x="2"/>
        <item x="3"/>
        <item x="8"/>
        <item x="16"/>
        <item x="17"/>
        <item x="18"/>
        <item x="21"/>
        <item x="22"/>
        <item x="28"/>
        <item x="35"/>
        <item x="36"/>
        <item x="40"/>
        <item x="47"/>
        <item x="50"/>
        <item x="313"/>
        <item x="348"/>
        <item x="486"/>
        <item x="531"/>
        <item x="240"/>
        <item x="251"/>
        <item x="228"/>
        <item x="231"/>
        <item x="259"/>
        <item x="230"/>
        <item x="239"/>
        <item x="234"/>
        <item x="138"/>
        <item x="165"/>
        <item x="116"/>
        <item x="345"/>
        <item x="162"/>
        <item x="341"/>
        <item x="334"/>
        <item x="114"/>
        <item x="533"/>
        <item x="526"/>
        <item x="538"/>
        <item x="539"/>
        <item x="516"/>
        <item x="545"/>
        <item x="525"/>
        <item x="513"/>
        <item x="167"/>
        <item x="158"/>
        <item x="409"/>
        <item x="447"/>
        <item x="436"/>
        <item x="448"/>
        <item x="485"/>
        <item x="488"/>
        <item x="423"/>
        <item x="457"/>
        <item x="395"/>
        <item x="413"/>
        <item x="482"/>
        <item x="489"/>
        <item x="479"/>
        <item x="510"/>
        <item x="421"/>
        <item x="422"/>
        <item x="484"/>
        <item x="320"/>
        <item x="399"/>
        <item x="478"/>
        <item x="555"/>
        <item x="269"/>
        <item x="276"/>
        <item x="521"/>
        <item x="532"/>
        <item x="508"/>
        <item x="509"/>
        <item x="370"/>
        <item x="434"/>
        <item x="244"/>
        <item x="140"/>
        <item x="283"/>
        <item x="266"/>
        <item x="275"/>
        <item x="282"/>
        <item x="292"/>
        <item x="290"/>
        <item x="83"/>
        <item x="267"/>
        <item x="351"/>
        <item x="306"/>
        <item x="268"/>
        <item x="541"/>
        <item x="560"/>
        <item x="161"/>
        <item x="349"/>
        <item x="361"/>
        <item x="383"/>
        <item x="388"/>
        <item x="303"/>
        <item x="265"/>
        <item x="128"/>
        <item x="274"/>
        <item x="386"/>
        <item x="542"/>
        <item x="272"/>
        <item x="472"/>
        <item x="385"/>
        <item x="307"/>
        <item x="569"/>
        <item x="558"/>
        <item x="556"/>
        <item x="141"/>
        <item x="98"/>
        <item x="51"/>
        <item x="52"/>
        <item x="0"/>
        <item x="6"/>
        <item x="7"/>
        <item x="9"/>
        <item x="10"/>
        <item x="11"/>
        <item x="12"/>
        <item x="13"/>
        <item x="14"/>
        <item x="15"/>
        <item x="20"/>
        <item x="19"/>
        <item x="45"/>
        <item x="497"/>
        <item x="157"/>
        <item x="411"/>
        <item x="432"/>
        <item x="481"/>
        <item x="120"/>
        <item x="441"/>
        <item x="154"/>
        <item x="470"/>
        <item x="427"/>
        <item x="414"/>
        <item x="444"/>
        <item x="429"/>
        <item x="495"/>
        <item x="442"/>
        <item x="402"/>
        <item x="496"/>
        <item x="431"/>
        <item x="425"/>
        <item x="412"/>
        <item x="131"/>
        <item x="546"/>
        <item x="553"/>
        <item x="312"/>
        <item x="394"/>
        <item x="417"/>
        <item x="446"/>
        <item x="445"/>
        <item x="475"/>
        <item x="476"/>
        <item x="419"/>
        <item x="418"/>
        <item x="135"/>
        <item x="393"/>
        <item x="71"/>
        <item x="68"/>
        <item x="69"/>
        <item x="70"/>
        <item x="390"/>
        <item x="209"/>
        <item x="125"/>
        <item x="97"/>
        <item x="225"/>
        <item x="233"/>
        <item x="261"/>
        <item x="255"/>
        <item x="226"/>
        <item x="229"/>
        <item x="258"/>
        <item x="257"/>
        <item x="260"/>
        <item x="330"/>
        <item x="93"/>
        <item x="207"/>
        <item x="336"/>
        <item x="65"/>
        <item x="565"/>
        <item x="335"/>
        <item x="190"/>
        <item x="331"/>
        <item x="105"/>
        <item x="245"/>
        <item x="253"/>
        <item x="498"/>
        <item x="450"/>
        <item x="398"/>
        <item x="500"/>
        <item x="522"/>
        <item x="277"/>
        <item x="220"/>
        <item x="108"/>
        <item x="178"/>
        <item x="113"/>
        <item x="170"/>
        <item x="110"/>
        <item x="181"/>
        <item x="101"/>
        <item x="78"/>
        <item x="177"/>
        <item x="112"/>
        <item x="169"/>
        <item x="107"/>
        <item x="172"/>
        <item x="111"/>
        <item x="179"/>
        <item x="106"/>
        <item x="130"/>
        <item x="79"/>
        <item x="142"/>
        <item x="80"/>
        <item x="123"/>
        <item x="82"/>
        <item x="81"/>
        <item x="136"/>
        <item x="182"/>
        <item x="404"/>
        <item x="460"/>
        <item x="67"/>
        <item x="403"/>
        <item x="437"/>
        <item x="561"/>
        <item x="164"/>
        <item x="133"/>
        <item x="115"/>
        <item x="505"/>
        <item x="310"/>
        <item x="299"/>
        <item x="317"/>
        <item x="319"/>
        <item x="416"/>
        <item x="23"/>
        <item x="27"/>
        <item x="490"/>
        <item x="430"/>
        <item x="466"/>
        <item x="477"/>
        <item x="37"/>
        <item x="26"/>
        <item x="30"/>
        <item x="471"/>
        <item x="463"/>
        <item x="458"/>
        <item x="406"/>
        <item x="29"/>
        <item x="32"/>
        <item x="501"/>
        <item x="469"/>
        <item x="462"/>
        <item x="31"/>
        <item x="480"/>
        <item x="483"/>
        <item x="459"/>
        <item x="512"/>
        <item x="420"/>
        <item x="25"/>
        <item x="1"/>
        <item x="34"/>
        <item x="41"/>
        <item x="372"/>
        <item x="38"/>
        <item x="44"/>
        <item x="439"/>
        <item x="42"/>
        <item x="33"/>
        <item x="43"/>
        <item x="5"/>
        <item x="189"/>
        <item x="384"/>
        <item x="380"/>
        <item x="350"/>
        <item x="273"/>
        <item x="562"/>
        <item x="391"/>
        <item x="536"/>
        <item x="540"/>
        <item x="507"/>
        <item x="222"/>
        <item x="563"/>
        <item x="376"/>
        <item x="160"/>
        <item x="89"/>
        <item x="571"/>
        <item x="271"/>
        <item x="264"/>
        <item x="143"/>
        <item x="139"/>
        <item x="262"/>
        <item x="381"/>
        <item x="415"/>
        <item x="440"/>
        <item x="467"/>
        <item x="249"/>
        <item x="152"/>
        <item x="377"/>
        <item x="373"/>
        <item x="378"/>
        <item x="297"/>
        <item x="270"/>
        <item x="318"/>
        <item x="241"/>
        <item x="166"/>
        <item x="311"/>
        <item x="278"/>
        <item x="163"/>
        <item x="360"/>
        <item x="487"/>
        <item x="504"/>
        <item x="527"/>
        <item x="503"/>
        <item x="524"/>
        <item x="514"/>
        <item x="523"/>
        <item x="529"/>
        <item x="549"/>
        <item x="374"/>
        <item x="153"/>
        <item x="151"/>
        <item x="301"/>
        <item x="134"/>
        <item x="298"/>
        <item x="279"/>
        <item x="246"/>
        <item x="100"/>
        <item x="379"/>
        <item x="300"/>
        <item x="550"/>
        <item x="464"/>
        <item x="288"/>
        <item x="367"/>
        <item x="371"/>
        <item x="56"/>
        <item x="236"/>
        <item x="84"/>
        <item x="362"/>
        <item x="356"/>
        <item x="353"/>
        <item x="363"/>
        <item x="359"/>
        <item x="354"/>
        <item x="364"/>
        <item x="375"/>
        <item x="365"/>
        <item x="369"/>
        <item x="355"/>
        <item x="366"/>
        <item x="357"/>
        <item x="118"/>
        <item x="293"/>
        <item x="314"/>
        <item x="281"/>
        <item x="238"/>
        <item x="256"/>
        <item x="309"/>
        <item x="382"/>
        <item x="284"/>
        <item x="289"/>
        <item x="291"/>
        <item x="296"/>
        <item x="295"/>
        <item x="308"/>
        <item x="285"/>
        <item x="286"/>
        <item x="316"/>
        <item x="305"/>
        <item x="55"/>
        <item x="57"/>
        <item x="24"/>
        <item x="39"/>
        <item x="48"/>
        <item x="49"/>
        <item x="405"/>
        <item x="506"/>
        <item x="325"/>
        <item x="321"/>
        <item x="339"/>
        <item x="337"/>
        <item x="342"/>
        <item x="147"/>
        <item x="99"/>
        <item x="551"/>
        <item x="119"/>
        <item x="332"/>
        <item x="322"/>
        <item x="329"/>
        <item x="210"/>
        <item x="338"/>
        <item x="397"/>
        <item x="186"/>
        <item x="324"/>
        <item x="326"/>
        <item x="252"/>
        <item x="235"/>
        <item x="248"/>
        <item x="237"/>
        <item x="254"/>
        <item x="223"/>
        <item x="96"/>
        <item x="90"/>
        <item x="392"/>
        <item x="327"/>
        <item x="148"/>
        <item x="145"/>
        <item x="203"/>
        <item x="187"/>
        <item x="127"/>
        <item x="149"/>
        <item x="206"/>
        <item x="216"/>
        <item x="144"/>
        <item x="493"/>
        <item x="122"/>
        <item x="129"/>
        <item x="121"/>
        <item x="126"/>
        <item x="117"/>
        <item x="132"/>
        <item x="323"/>
        <item x="346"/>
        <item x="347"/>
        <item x="435"/>
        <item x="474"/>
        <item x="407"/>
        <item x="433"/>
        <item x="473"/>
        <item x="564"/>
        <item x="557"/>
        <item x="502"/>
        <item x="185"/>
        <item x="104"/>
        <item x="175"/>
        <item x="103"/>
        <item x="174"/>
        <item x="184"/>
        <item x="537"/>
        <item x="461"/>
        <item x="547"/>
        <item x="333"/>
        <item x="180"/>
        <item x="183"/>
        <item x="173"/>
        <item x="171"/>
        <item x="494"/>
        <item x="410"/>
        <item x="449"/>
        <item x="243"/>
        <item x="232"/>
        <item x="559"/>
        <item x="250"/>
        <item x="511"/>
        <item x="208"/>
        <item x="519"/>
        <item x="212"/>
        <item x="150"/>
        <item x="202"/>
        <item x="124"/>
        <item x="155"/>
        <item x="219"/>
        <item x="168"/>
        <item x="340"/>
        <item x="109"/>
        <item h="1" x="315"/>
        <item x="159"/>
        <item x="294"/>
        <item x="211"/>
        <item h="1" x="263"/>
        <item x="572"/>
        <item t="default"/>
      </items>
    </pivotField>
    <pivotField compact="0" outline="0" showAll="0"/>
    <pivotField axis="axisPage" compact="0" outline="0" showAll="0" defaultSubtotal="0">
      <items count="29">
        <item x="18"/>
        <item x="20"/>
        <item x="1"/>
        <item x="17"/>
        <item x="12"/>
        <item x="4"/>
        <item x="23"/>
        <item x="6"/>
        <item x="7"/>
        <item x="8"/>
        <item x="10"/>
        <item x="2"/>
        <item x="15"/>
        <item x="22"/>
        <item x="11"/>
        <item x="25"/>
        <item x="24"/>
        <item x="3"/>
        <item x="26"/>
        <item x="0"/>
        <item x="21"/>
        <item x="27"/>
        <item x="13"/>
        <item x="14"/>
        <item x="9"/>
        <item x="16"/>
        <item x="5"/>
        <item x="19"/>
        <item x="28"/>
      </items>
    </pivotField>
    <pivotField axis="axisPage" compact="0" outline="0" showAll="0" sortType="descending">
      <items count="30">
        <item x="3"/>
        <item x="4"/>
        <item x="0"/>
        <item x="5"/>
        <item x="6"/>
        <item x="7"/>
        <item x="8"/>
        <item x="9"/>
        <item x="10"/>
        <item x="11"/>
        <item x="12"/>
        <item x="13"/>
        <item x="14"/>
        <item x="15"/>
        <item x="16"/>
        <item x="17"/>
        <item x="18"/>
        <item x="19"/>
        <item x="20"/>
        <item x="21"/>
        <item x="2"/>
        <item x="22"/>
        <item x="1"/>
        <item x="23"/>
        <item x="24"/>
        <item x="25"/>
        <item x="26"/>
        <item x="27"/>
        <item x="28"/>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11"/>
    <field x="14"/>
  </rowFields>
  <rowItems count="2">
    <i>
      <x v="300"/>
      <x v="393"/>
    </i>
    <i t="grand">
      <x/>
    </i>
  </rowItems>
  <colItems count="1">
    <i/>
  </colItems>
  <pageFields count="3">
    <pageField fld="16" hier="-1"/>
    <pageField fld="18" hier="-1"/>
    <pageField fld="19" hier="-1"/>
  </pageFields>
  <dataFields count="1">
    <dataField name="Sum of Recurring Amount (U.S.)" fld="9" baseField="12" baseItem="84" numFmtId="165"/>
  </dataFields>
  <formats count="2617">
    <format dxfId="10799">
      <pivotArea dataOnly="0" labelOnly="1" outline="0" fieldPosition="0">
        <references count="1">
          <reference field="4294967294" count="1">
            <x v="0"/>
          </reference>
        </references>
      </pivotArea>
    </format>
    <format dxfId="10798">
      <pivotArea type="all" dataOnly="0" outline="0" fieldPosition="0"/>
    </format>
    <format dxfId="10797">
      <pivotArea outline="0" collapsedLevelsAreSubtotals="1" fieldPosition="0"/>
    </format>
    <format dxfId="10796">
      <pivotArea field="11" type="button" dataOnly="0" labelOnly="1" outline="0" axis="axisRow" fieldPosition="0"/>
    </format>
    <format dxfId="10795">
      <pivotArea field="14" type="button" dataOnly="0" labelOnly="1" outline="0" axis="axisRow" fieldPosition="1"/>
    </format>
    <format dxfId="10794">
      <pivotArea field="18" type="button" dataOnly="0" labelOnly="1" outline="0" axis="axisPage" fieldPosition="1"/>
    </format>
    <format dxfId="10793">
      <pivotArea field="19" type="button" dataOnly="0" labelOnly="1" outline="0" axis="axisPage" fieldPosition="2"/>
    </format>
    <format dxfId="10792">
      <pivotArea dataOnly="0" labelOnly="1" outline="0" fieldPosition="0">
        <references count="1">
          <reference field="11" count="22">
            <x v="0"/>
            <x v="1"/>
            <x v="2"/>
            <x v="3"/>
            <x v="4"/>
            <x v="5"/>
            <x v="6"/>
            <x v="7"/>
            <x v="8"/>
            <x v="9"/>
            <x v="10"/>
            <x v="11"/>
            <x v="12"/>
            <x v="13"/>
            <x v="14"/>
            <x v="15"/>
            <x v="16"/>
            <x v="17"/>
            <x v="18"/>
            <x v="19"/>
            <x v="20"/>
            <x v="21"/>
          </reference>
        </references>
      </pivotArea>
    </format>
    <format dxfId="10791">
      <pivotArea dataOnly="0" labelOnly="1" outline="0" fieldPosition="0">
        <references count="1">
          <reference field="11" count="22" defaultSubtotal="1">
            <x v="0"/>
            <x v="1"/>
            <x v="2"/>
            <x v="3"/>
            <x v="4"/>
            <x v="5"/>
            <x v="6"/>
            <x v="7"/>
            <x v="8"/>
            <x v="9"/>
            <x v="10"/>
            <x v="11"/>
            <x v="12"/>
            <x v="13"/>
            <x v="14"/>
            <x v="15"/>
            <x v="16"/>
            <x v="17"/>
            <x v="18"/>
            <x v="19"/>
            <x v="20"/>
            <x v="21"/>
          </reference>
        </references>
      </pivotArea>
    </format>
    <format dxfId="10790">
      <pivotArea dataOnly="0" labelOnly="1" outline="0" fieldPosition="0">
        <references count="1">
          <reference field="11" count="18">
            <x v="22"/>
            <x v="23"/>
            <x v="24"/>
            <x v="25"/>
            <x v="26"/>
            <x v="27"/>
            <x v="28"/>
            <x v="29"/>
            <x v="30"/>
            <x v="31"/>
            <x v="32"/>
            <x v="33"/>
            <x v="34"/>
            <x v="35"/>
            <x v="36"/>
            <x v="37"/>
            <x v="38"/>
            <x v="39"/>
          </reference>
        </references>
      </pivotArea>
    </format>
    <format dxfId="10789">
      <pivotArea dataOnly="0" labelOnly="1" outline="0" fieldPosition="0">
        <references count="1">
          <reference field="11" count="18" defaultSubtotal="1">
            <x v="22"/>
            <x v="23"/>
            <x v="24"/>
            <x v="25"/>
            <x v="26"/>
            <x v="27"/>
            <x v="28"/>
            <x v="29"/>
            <x v="30"/>
            <x v="31"/>
            <x v="32"/>
            <x v="33"/>
            <x v="34"/>
            <x v="35"/>
            <x v="36"/>
            <x v="37"/>
            <x v="38"/>
            <x v="39"/>
          </reference>
        </references>
      </pivotArea>
    </format>
    <format dxfId="10788">
      <pivotArea dataOnly="0" labelOnly="1" outline="0" fieldPosition="0">
        <references count="1">
          <reference field="11" count="20">
            <x v="40"/>
            <x v="41"/>
            <x v="42"/>
            <x v="43"/>
            <x v="44"/>
            <x v="45"/>
            <x v="46"/>
            <x v="47"/>
            <x v="48"/>
            <x v="49"/>
            <x v="50"/>
            <x v="51"/>
            <x v="52"/>
            <x v="53"/>
            <x v="54"/>
            <x v="55"/>
            <x v="56"/>
            <x v="57"/>
            <x v="58"/>
            <x v="59"/>
          </reference>
        </references>
      </pivotArea>
    </format>
    <format dxfId="10787">
      <pivotArea dataOnly="0" labelOnly="1" outline="0" fieldPosition="0">
        <references count="1">
          <reference field="11" count="20" defaultSubtotal="1">
            <x v="40"/>
            <x v="41"/>
            <x v="42"/>
            <x v="43"/>
            <x v="44"/>
            <x v="45"/>
            <x v="46"/>
            <x v="47"/>
            <x v="48"/>
            <x v="49"/>
            <x v="50"/>
            <x v="51"/>
            <x v="52"/>
            <x v="53"/>
            <x v="54"/>
            <x v="55"/>
            <x v="56"/>
            <x v="57"/>
            <x v="58"/>
            <x v="59"/>
          </reference>
        </references>
      </pivotArea>
    </format>
    <format dxfId="10786">
      <pivotArea dataOnly="0" labelOnly="1" outline="0" fieldPosition="0">
        <references count="1">
          <reference field="11" count="15">
            <x v="60"/>
            <x v="61"/>
            <x v="62"/>
            <x v="63"/>
            <x v="64"/>
            <x v="65"/>
            <x v="66"/>
            <x v="67"/>
            <x v="68"/>
            <x v="69"/>
            <x v="70"/>
            <x v="71"/>
            <x v="72"/>
            <x v="73"/>
            <x v="74"/>
          </reference>
        </references>
      </pivotArea>
    </format>
    <format dxfId="10785">
      <pivotArea dataOnly="0" labelOnly="1" outline="0" fieldPosition="0">
        <references count="1">
          <reference field="11" count="15" defaultSubtotal="1">
            <x v="60"/>
            <x v="61"/>
            <x v="62"/>
            <x v="63"/>
            <x v="64"/>
            <x v="65"/>
            <x v="66"/>
            <x v="67"/>
            <x v="68"/>
            <x v="69"/>
            <x v="70"/>
            <x v="71"/>
            <x v="72"/>
            <x v="73"/>
            <x v="74"/>
          </reference>
        </references>
      </pivotArea>
    </format>
    <format dxfId="10784">
      <pivotArea dataOnly="0" labelOnly="1" outline="0" fieldPosition="0">
        <references count="1">
          <reference field="11" count="18">
            <x v="75"/>
            <x v="76"/>
            <x v="77"/>
            <x v="78"/>
            <x v="79"/>
            <x v="80"/>
            <x v="81"/>
            <x v="82"/>
            <x v="83"/>
            <x v="84"/>
            <x v="85"/>
            <x v="86"/>
            <x v="87"/>
            <x v="88"/>
            <x v="89"/>
            <x v="90"/>
            <x v="91"/>
            <x v="92"/>
          </reference>
        </references>
      </pivotArea>
    </format>
    <format dxfId="10783">
      <pivotArea dataOnly="0" labelOnly="1" outline="0" fieldPosition="0">
        <references count="1">
          <reference field="11" count="18" defaultSubtotal="1">
            <x v="75"/>
            <x v="76"/>
            <x v="77"/>
            <x v="78"/>
            <x v="79"/>
            <x v="80"/>
            <x v="81"/>
            <x v="82"/>
            <x v="83"/>
            <x v="84"/>
            <x v="85"/>
            <x v="86"/>
            <x v="87"/>
            <x v="88"/>
            <x v="89"/>
            <x v="90"/>
            <x v="91"/>
            <x v="92"/>
          </reference>
        </references>
      </pivotArea>
    </format>
    <format dxfId="10782">
      <pivotArea dataOnly="0" labelOnly="1" outline="0" fieldPosition="0">
        <references count="1">
          <reference field="11" count="16">
            <x v="93"/>
            <x v="94"/>
            <x v="95"/>
            <x v="96"/>
            <x v="97"/>
            <x v="98"/>
            <x v="99"/>
            <x v="100"/>
            <x v="101"/>
            <x v="102"/>
            <x v="103"/>
            <x v="104"/>
            <x v="105"/>
            <x v="106"/>
            <x v="107"/>
            <x v="108"/>
          </reference>
        </references>
      </pivotArea>
    </format>
    <format dxfId="10781">
      <pivotArea dataOnly="0" labelOnly="1" outline="0" fieldPosition="0">
        <references count="1">
          <reference field="11" count="16" defaultSubtotal="1">
            <x v="93"/>
            <x v="94"/>
            <x v="95"/>
            <x v="96"/>
            <x v="97"/>
            <x v="98"/>
            <x v="99"/>
            <x v="100"/>
            <x v="101"/>
            <x v="102"/>
            <x v="103"/>
            <x v="104"/>
            <x v="105"/>
            <x v="106"/>
            <x v="107"/>
            <x v="108"/>
          </reference>
        </references>
      </pivotArea>
    </format>
    <format dxfId="10780">
      <pivotArea dataOnly="0" labelOnly="1" outline="0" fieldPosition="0">
        <references count="1">
          <reference field="11" count="23">
            <x v="109"/>
            <x v="110"/>
            <x v="111"/>
            <x v="112"/>
            <x v="113"/>
            <x v="114"/>
            <x v="115"/>
            <x v="116"/>
            <x v="117"/>
            <x v="118"/>
            <x v="119"/>
            <x v="120"/>
            <x v="121"/>
            <x v="122"/>
            <x v="123"/>
            <x v="124"/>
            <x v="125"/>
            <x v="126"/>
            <x v="127"/>
            <x v="128"/>
            <x v="129"/>
            <x v="130"/>
            <x v="131"/>
          </reference>
        </references>
      </pivotArea>
    </format>
    <format dxfId="10779">
      <pivotArea dataOnly="0" labelOnly="1" outline="0" fieldPosition="0">
        <references count="1">
          <reference field="11" count="23" defaultSubtotal="1">
            <x v="109"/>
            <x v="110"/>
            <x v="111"/>
            <x v="112"/>
            <x v="113"/>
            <x v="114"/>
            <x v="115"/>
            <x v="116"/>
            <x v="117"/>
            <x v="118"/>
            <x v="119"/>
            <x v="120"/>
            <x v="121"/>
            <x v="122"/>
            <x v="123"/>
            <x v="124"/>
            <x v="125"/>
            <x v="126"/>
            <x v="127"/>
            <x v="128"/>
            <x v="129"/>
            <x v="130"/>
            <x v="131"/>
          </reference>
        </references>
      </pivotArea>
    </format>
    <format dxfId="10778">
      <pivotArea dataOnly="0" labelOnly="1" outline="0" fieldPosition="0">
        <references count="1">
          <reference field="11" count="19">
            <x v="132"/>
            <x v="133"/>
            <x v="134"/>
            <x v="135"/>
            <x v="136"/>
            <x v="137"/>
            <x v="138"/>
            <x v="139"/>
            <x v="140"/>
            <x v="141"/>
            <x v="142"/>
            <x v="143"/>
            <x v="144"/>
            <x v="145"/>
            <x v="146"/>
            <x v="147"/>
            <x v="148"/>
            <x v="149"/>
            <x v="150"/>
          </reference>
        </references>
      </pivotArea>
    </format>
    <format dxfId="10777">
      <pivotArea dataOnly="0" labelOnly="1" outline="0" fieldPosition="0">
        <references count="1">
          <reference field="11" count="19" defaultSubtotal="1">
            <x v="132"/>
            <x v="133"/>
            <x v="134"/>
            <x v="135"/>
            <x v="136"/>
            <x v="137"/>
            <x v="138"/>
            <x v="139"/>
            <x v="140"/>
            <x v="141"/>
            <x v="142"/>
            <x v="143"/>
            <x v="144"/>
            <x v="145"/>
            <x v="146"/>
            <x v="147"/>
            <x v="148"/>
            <x v="149"/>
            <x v="150"/>
          </reference>
        </references>
      </pivotArea>
    </format>
    <format dxfId="10776">
      <pivotArea dataOnly="0" labelOnly="1" outline="0" fieldPosition="0">
        <references count="1">
          <reference field="11" count="14">
            <x v="151"/>
            <x v="152"/>
            <x v="153"/>
            <x v="154"/>
            <x v="155"/>
            <x v="156"/>
            <x v="157"/>
            <x v="158"/>
            <x v="159"/>
            <x v="160"/>
            <x v="161"/>
            <x v="162"/>
            <x v="163"/>
            <x v="164"/>
          </reference>
        </references>
      </pivotArea>
    </format>
    <format dxfId="10775">
      <pivotArea dataOnly="0" labelOnly="1" outline="0" fieldPosition="0">
        <references count="1">
          <reference field="11" count="14" defaultSubtotal="1">
            <x v="151"/>
            <x v="152"/>
            <x v="153"/>
            <x v="154"/>
            <x v="155"/>
            <x v="156"/>
            <x v="157"/>
            <x v="158"/>
            <x v="159"/>
            <x v="160"/>
            <x v="161"/>
            <x v="162"/>
            <x v="163"/>
            <x v="164"/>
          </reference>
        </references>
      </pivotArea>
    </format>
    <format dxfId="10774">
      <pivotArea dataOnly="0" labelOnly="1" outline="0" fieldPosition="0">
        <references count="1">
          <reference field="11" count="16">
            <x v="165"/>
            <x v="166"/>
            <x v="167"/>
            <x v="168"/>
            <x v="169"/>
            <x v="170"/>
            <x v="171"/>
            <x v="172"/>
            <x v="173"/>
            <x v="174"/>
            <x v="175"/>
            <x v="176"/>
            <x v="177"/>
            <x v="178"/>
            <x v="179"/>
            <x v="180"/>
          </reference>
        </references>
      </pivotArea>
    </format>
    <format dxfId="10773">
      <pivotArea dataOnly="0" labelOnly="1" outline="0" fieldPosition="0">
        <references count="1">
          <reference field="11" count="16" defaultSubtotal="1">
            <x v="165"/>
            <x v="166"/>
            <x v="167"/>
            <x v="168"/>
            <x v="169"/>
            <x v="170"/>
            <x v="171"/>
            <x v="172"/>
            <x v="173"/>
            <x v="174"/>
            <x v="175"/>
            <x v="176"/>
            <x v="177"/>
            <x v="178"/>
            <x v="179"/>
            <x v="180"/>
          </reference>
        </references>
      </pivotArea>
    </format>
    <format dxfId="10772">
      <pivotArea dataOnly="0" labelOnly="1" outline="0" fieldPosition="0">
        <references count="1">
          <reference field="11" count="20">
            <x v="181"/>
            <x v="182"/>
            <x v="183"/>
            <x v="184"/>
            <x v="185"/>
            <x v="186"/>
            <x v="187"/>
            <x v="188"/>
            <x v="189"/>
            <x v="190"/>
            <x v="191"/>
            <x v="192"/>
            <x v="193"/>
            <x v="194"/>
            <x v="195"/>
            <x v="196"/>
            <x v="197"/>
            <x v="198"/>
            <x v="199"/>
            <x v="200"/>
          </reference>
        </references>
      </pivotArea>
    </format>
    <format dxfId="10771">
      <pivotArea dataOnly="0" labelOnly="1" outline="0" fieldPosition="0">
        <references count="1">
          <reference field="11" count="20" defaultSubtotal="1">
            <x v="181"/>
            <x v="182"/>
            <x v="183"/>
            <x v="184"/>
            <x v="185"/>
            <x v="186"/>
            <x v="187"/>
            <x v="188"/>
            <x v="189"/>
            <x v="190"/>
            <x v="191"/>
            <x v="192"/>
            <x v="193"/>
            <x v="194"/>
            <x v="195"/>
            <x v="196"/>
            <x v="197"/>
            <x v="198"/>
            <x v="199"/>
            <x v="200"/>
          </reference>
        </references>
      </pivotArea>
    </format>
    <format dxfId="10770">
      <pivotArea dataOnly="0" labelOnly="1" outline="0" fieldPosition="0">
        <references count="1">
          <reference field="11" count="15">
            <x v="201"/>
            <x v="202"/>
            <x v="203"/>
            <x v="204"/>
            <x v="205"/>
            <x v="206"/>
            <x v="207"/>
            <x v="208"/>
            <x v="209"/>
            <x v="210"/>
            <x v="211"/>
            <x v="212"/>
            <x v="213"/>
            <x v="214"/>
            <x v="215"/>
          </reference>
        </references>
      </pivotArea>
    </format>
    <format dxfId="10769">
      <pivotArea dataOnly="0" labelOnly="1" outline="0" fieldPosition="0">
        <references count="1">
          <reference field="11" count="15" defaultSubtotal="1">
            <x v="201"/>
            <x v="202"/>
            <x v="203"/>
            <x v="204"/>
            <x v="205"/>
            <x v="206"/>
            <x v="207"/>
            <x v="208"/>
            <x v="209"/>
            <x v="210"/>
            <x v="211"/>
            <x v="212"/>
            <x v="213"/>
            <x v="214"/>
            <x v="215"/>
          </reference>
        </references>
      </pivotArea>
    </format>
    <format dxfId="10768">
      <pivotArea dataOnly="0" labelOnly="1" outline="0" fieldPosition="0">
        <references count="1">
          <reference field="11" count="18">
            <x v="216"/>
            <x v="217"/>
            <x v="218"/>
            <x v="219"/>
            <x v="220"/>
            <x v="221"/>
            <x v="222"/>
            <x v="223"/>
            <x v="224"/>
            <x v="225"/>
            <x v="226"/>
            <x v="227"/>
            <x v="228"/>
            <x v="229"/>
            <x v="230"/>
            <x v="231"/>
            <x v="232"/>
            <x v="233"/>
          </reference>
        </references>
      </pivotArea>
    </format>
    <format dxfId="10767">
      <pivotArea dataOnly="0" labelOnly="1" outline="0" fieldPosition="0">
        <references count="1">
          <reference field="11" count="18" defaultSubtotal="1">
            <x v="216"/>
            <x v="217"/>
            <x v="218"/>
            <x v="219"/>
            <x v="220"/>
            <x v="221"/>
            <x v="222"/>
            <x v="223"/>
            <x v="224"/>
            <x v="225"/>
            <x v="226"/>
            <x v="227"/>
            <x v="228"/>
            <x v="229"/>
            <x v="230"/>
            <x v="231"/>
            <x v="232"/>
            <x v="233"/>
          </reference>
        </references>
      </pivotArea>
    </format>
    <format dxfId="10766">
      <pivotArea dataOnly="0" labelOnly="1" outline="0" fieldPosition="0">
        <references count="1">
          <reference field="11" count="19">
            <x v="234"/>
            <x v="235"/>
            <x v="236"/>
            <x v="237"/>
            <x v="238"/>
            <x v="239"/>
            <x v="240"/>
            <x v="241"/>
            <x v="242"/>
            <x v="243"/>
            <x v="244"/>
            <x v="245"/>
            <x v="246"/>
            <x v="247"/>
            <x v="248"/>
            <x v="249"/>
            <x v="250"/>
            <x v="251"/>
            <x v="252"/>
          </reference>
        </references>
      </pivotArea>
    </format>
    <format dxfId="10765">
      <pivotArea dataOnly="0" labelOnly="1" outline="0" fieldPosition="0">
        <references count="1">
          <reference field="11" count="19" defaultSubtotal="1">
            <x v="234"/>
            <x v="235"/>
            <x v="236"/>
            <x v="237"/>
            <x v="238"/>
            <x v="239"/>
            <x v="240"/>
            <x v="241"/>
            <x v="242"/>
            <x v="243"/>
            <x v="244"/>
            <x v="245"/>
            <x v="246"/>
            <x v="247"/>
            <x v="248"/>
            <x v="249"/>
            <x v="250"/>
            <x v="251"/>
            <x v="252"/>
          </reference>
        </references>
      </pivotArea>
    </format>
    <format dxfId="10764">
      <pivotArea dataOnly="0" labelOnly="1" outline="0" fieldPosition="0">
        <references count="1">
          <reference field="11" count="9">
            <x v="253"/>
            <x v="254"/>
            <x v="255"/>
            <x v="256"/>
            <x v="257"/>
            <x v="258"/>
            <x v="259"/>
            <x v="260"/>
            <x v="261"/>
          </reference>
        </references>
      </pivotArea>
    </format>
    <format dxfId="10763">
      <pivotArea dataOnly="0" labelOnly="1" outline="0" fieldPosition="0">
        <references count="1">
          <reference field="11" count="9" defaultSubtotal="1">
            <x v="253"/>
            <x v="254"/>
            <x v="255"/>
            <x v="256"/>
            <x v="257"/>
            <x v="258"/>
            <x v="259"/>
            <x v="260"/>
            <x v="261"/>
          </reference>
        </references>
      </pivotArea>
    </format>
    <format dxfId="10762">
      <pivotArea dataOnly="0" labelOnly="1" outline="0" fieldPosition="0">
        <references count="1">
          <reference field="11" count="23">
            <x v="262"/>
            <x v="263"/>
            <x v="264"/>
            <x v="265"/>
            <x v="266"/>
            <x v="267"/>
            <x v="268"/>
            <x v="269"/>
            <x v="270"/>
            <x v="271"/>
            <x v="272"/>
            <x v="273"/>
            <x v="274"/>
            <x v="275"/>
            <x v="276"/>
            <x v="277"/>
            <x v="278"/>
            <x v="279"/>
            <x v="280"/>
            <x v="281"/>
            <x v="282"/>
            <x v="283"/>
            <x v="284"/>
          </reference>
        </references>
      </pivotArea>
    </format>
    <format dxfId="10761">
      <pivotArea dataOnly="0" labelOnly="1" outline="0" fieldPosition="0">
        <references count="1">
          <reference field="11" count="23" defaultSubtotal="1">
            <x v="262"/>
            <x v="263"/>
            <x v="264"/>
            <x v="265"/>
            <x v="266"/>
            <x v="267"/>
            <x v="268"/>
            <x v="269"/>
            <x v="270"/>
            <x v="271"/>
            <x v="272"/>
            <x v="273"/>
            <x v="274"/>
            <x v="275"/>
            <x v="276"/>
            <x v="277"/>
            <x v="278"/>
            <x v="279"/>
            <x v="280"/>
            <x v="281"/>
            <x v="282"/>
            <x v="283"/>
            <x v="284"/>
          </reference>
        </references>
      </pivotArea>
    </format>
    <format dxfId="10760">
      <pivotArea dataOnly="0" labelOnly="1" outline="0" fieldPosition="0">
        <references count="1">
          <reference field="11" count="24">
            <x v="285"/>
            <x v="286"/>
            <x v="287"/>
            <x v="288"/>
            <x v="289"/>
            <x v="290"/>
            <x v="291"/>
            <x v="292"/>
            <x v="293"/>
            <x v="294"/>
            <x v="295"/>
            <x v="296"/>
            <x v="297"/>
            <x v="298"/>
            <x v="299"/>
            <x v="300"/>
            <x v="301"/>
            <x v="302"/>
            <x v="303"/>
            <x v="304"/>
            <x v="305"/>
            <x v="306"/>
            <x v="307"/>
            <x v="308"/>
          </reference>
        </references>
      </pivotArea>
    </format>
    <format dxfId="10759">
      <pivotArea dataOnly="0" labelOnly="1" outline="0" fieldPosition="0">
        <references count="1">
          <reference field="11" count="24" defaultSubtotal="1">
            <x v="285"/>
            <x v="286"/>
            <x v="287"/>
            <x v="288"/>
            <x v="289"/>
            <x v="290"/>
            <x v="291"/>
            <x v="292"/>
            <x v="293"/>
            <x v="294"/>
            <x v="295"/>
            <x v="296"/>
            <x v="297"/>
            <x v="298"/>
            <x v="299"/>
            <x v="300"/>
            <x v="301"/>
            <x v="302"/>
            <x v="303"/>
            <x v="304"/>
            <x v="305"/>
            <x v="306"/>
            <x v="307"/>
            <x v="308"/>
          </reference>
        </references>
      </pivotArea>
    </format>
    <format dxfId="10758">
      <pivotArea dataOnly="0" labelOnly="1" outline="0" fieldPosition="0">
        <references count="1">
          <reference field="11" count="22">
            <x v="309"/>
            <x v="310"/>
            <x v="311"/>
            <x v="312"/>
            <x v="313"/>
            <x v="314"/>
            <x v="315"/>
            <x v="316"/>
            <x v="317"/>
            <x v="318"/>
            <x v="319"/>
            <x v="320"/>
            <x v="321"/>
            <x v="322"/>
            <x v="323"/>
            <x v="324"/>
            <x v="325"/>
            <x v="326"/>
            <x v="327"/>
            <x v="328"/>
            <x v="329"/>
            <x v="330"/>
          </reference>
        </references>
      </pivotArea>
    </format>
    <format dxfId="10757">
      <pivotArea dataOnly="0" labelOnly="1" outline="0" fieldPosition="0">
        <references count="1">
          <reference field="11" count="22" defaultSubtotal="1">
            <x v="309"/>
            <x v="310"/>
            <x v="311"/>
            <x v="312"/>
            <x v="313"/>
            <x v="314"/>
            <x v="315"/>
            <x v="316"/>
            <x v="317"/>
            <x v="318"/>
            <x v="319"/>
            <x v="320"/>
            <x v="321"/>
            <x v="322"/>
            <x v="323"/>
            <x v="324"/>
            <x v="325"/>
            <x v="326"/>
            <x v="327"/>
            <x v="328"/>
            <x v="329"/>
            <x v="330"/>
          </reference>
        </references>
      </pivotArea>
    </format>
    <format dxfId="10756">
      <pivotArea dataOnly="0" labelOnly="1" outline="0" fieldPosition="0">
        <references count="1">
          <reference field="11" count="15">
            <x v="331"/>
            <x v="332"/>
            <x v="333"/>
            <x v="334"/>
            <x v="335"/>
            <x v="336"/>
            <x v="337"/>
            <x v="338"/>
            <x v="339"/>
            <x v="340"/>
            <x v="341"/>
            <x v="342"/>
            <x v="343"/>
            <x v="344"/>
            <x v="345"/>
          </reference>
        </references>
      </pivotArea>
    </format>
    <format dxfId="10755">
      <pivotArea dataOnly="0" labelOnly="1" outline="0" fieldPosition="0">
        <references count="1">
          <reference field="11" count="15" defaultSubtotal="1">
            <x v="331"/>
            <x v="332"/>
            <x v="333"/>
            <x v="334"/>
            <x v="335"/>
            <x v="336"/>
            <x v="337"/>
            <x v="338"/>
            <x v="339"/>
            <x v="340"/>
            <x v="341"/>
            <x v="342"/>
            <x v="343"/>
            <x v="344"/>
            <x v="345"/>
          </reference>
        </references>
      </pivotArea>
    </format>
    <format dxfId="10754">
      <pivotArea dataOnly="0" labelOnly="1" outline="0" fieldPosition="0">
        <references count="1">
          <reference field="11" count="12">
            <x v="346"/>
            <x v="347"/>
            <x v="348"/>
            <x v="349"/>
            <x v="350"/>
            <x v="351"/>
            <x v="352"/>
            <x v="353"/>
            <x v="354"/>
            <x v="355"/>
            <x v="356"/>
            <x v="357"/>
          </reference>
        </references>
      </pivotArea>
    </format>
    <format dxfId="10753">
      <pivotArea dataOnly="0" labelOnly="1" outline="0" fieldPosition="0">
        <references count="1">
          <reference field="11" count="12" defaultSubtotal="1">
            <x v="346"/>
            <x v="347"/>
            <x v="348"/>
            <x v="349"/>
            <x v="350"/>
            <x v="351"/>
            <x v="352"/>
            <x v="353"/>
            <x v="354"/>
            <x v="355"/>
            <x v="356"/>
            <x v="357"/>
          </reference>
        </references>
      </pivotArea>
    </format>
    <format dxfId="10752">
      <pivotArea dataOnly="0" labelOnly="1" outline="0" fieldPosition="0">
        <references count="1">
          <reference field="11" count="17">
            <x v="358"/>
            <x v="359"/>
            <x v="360"/>
            <x v="361"/>
            <x v="362"/>
            <x v="363"/>
            <x v="364"/>
            <x v="365"/>
            <x v="366"/>
            <x v="367"/>
            <x v="368"/>
            <x v="369"/>
            <x v="370"/>
            <x v="371"/>
            <x v="372"/>
            <x v="373"/>
            <x v="374"/>
          </reference>
        </references>
      </pivotArea>
    </format>
    <format dxfId="10751">
      <pivotArea dataOnly="0" labelOnly="1" outline="0" fieldPosition="0">
        <references count="1">
          <reference field="11" count="17" defaultSubtotal="1">
            <x v="358"/>
            <x v="359"/>
            <x v="360"/>
            <x v="361"/>
            <x v="362"/>
            <x v="363"/>
            <x v="364"/>
            <x v="365"/>
            <x v="366"/>
            <x v="367"/>
            <x v="368"/>
            <x v="369"/>
            <x v="370"/>
            <x v="371"/>
            <x v="372"/>
            <x v="373"/>
            <x v="374"/>
          </reference>
        </references>
      </pivotArea>
    </format>
    <format dxfId="10750">
      <pivotArea dataOnly="0" labelOnly="1" outline="0" fieldPosition="0">
        <references count="1">
          <reference field="11" count="20">
            <x v="375"/>
            <x v="376"/>
            <x v="377"/>
            <x v="378"/>
            <x v="379"/>
            <x v="380"/>
            <x v="381"/>
            <x v="382"/>
            <x v="383"/>
            <x v="384"/>
            <x v="385"/>
            <x v="386"/>
            <x v="387"/>
            <x v="388"/>
            <x v="389"/>
            <x v="390"/>
            <x v="391"/>
            <x v="392"/>
            <x v="393"/>
            <x v="394"/>
          </reference>
        </references>
      </pivotArea>
    </format>
    <format dxfId="10749">
      <pivotArea dataOnly="0" labelOnly="1" outline="0" fieldPosition="0">
        <references count="1">
          <reference field="11" count="20" defaultSubtotal="1">
            <x v="375"/>
            <x v="376"/>
            <x v="377"/>
            <x v="378"/>
            <x v="379"/>
            <x v="380"/>
            <x v="381"/>
            <x v="382"/>
            <x v="383"/>
            <x v="384"/>
            <x v="385"/>
            <x v="386"/>
            <x v="387"/>
            <x v="388"/>
            <x v="389"/>
            <x v="390"/>
            <x v="391"/>
            <x v="392"/>
            <x v="393"/>
            <x v="394"/>
          </reference>
        </references>
      </pivotArea>
    </format>
    <format dxfId="10748">
      <pivotArea dataOnly="0" labelOnly="1" outline="0" fieldPosition="0">
        <references count="1">
          <reference field="11" count="12">
            <x v="395"/>
            <x v="396"/>
            <x v="397"/>
            <x v="398"/>
            <x v="399"/>
            <x v="400"/>
            <x v="401"/>
            <x v="402"/>
            <x v="403"/>
            <x v="404"/>
            <x v="405"/>
            <x v="406"/>
          </reference>
        </references>
      </pivotArea>
    </format>
    <format dxfId="10747">
      <pivotArea dataOnly="0" labelOnly="1" outline="0" fieldPosition="0">
        <references count="1">
          <reference field="11" count="12" defaultSubtotal="1">
            <x v="395"/>
            <x v="396"/>
            <x v="397"/>
            <x v="398"/>
            <x v="399"/>
            <x v="400"/>
            <x v="401"/>
            <x v="402"/>
            <x v="403"/>
            <x v="404"/>
            <x v="405"/>
            <x v="406"/>
          </reference>
        </references>
      </pivotArea>
    </format>
    <format dxfId="10746">
      <pivotArea dataOnly="0" labelOnly="1" outline="0" fieldPosition="0">
        <references count="1">
          <reference field="11" count="19">
            <x v="407"/>
            <x v="408"/>
            <x v="409"/>
            <x v="410"/>
            <x v="411"/>
            <x v="412"/>
            <x v="413"/>
            <x v="414"/>
            <x v="415"/>
            <x v="416"/>
            <x v="417"/>
            <x v="418"/>
            <x v="419"/>
            <x v="420"/>
            <x v="421"/>
            <x v="422"/>
            <x v="423"/>
            <x v="424"/>
            <x v="425"/>
          </reference>
        </references>
      </pivotArea>
    </format>
    <format dxfId="10745">
      <pivotArea dataOnly="0" labelOnly="1" outline="0" fieldPosition="0">
        <references count="1">
          <reference field="11" count="19" defaultSubtotal="1">
            <x v="407"/>
            <x v="408"/>
            <x v="409"/>
            <x v="410"/>
            <x v="411"/>
            <x v="412"/>
            <x v="413"/>
            <x v="414"/>
            <x v="415"/>
            <x v="416"/>
            <x v="417"/>
            <x v="418"/>
            <x v="419"/>
            <x v="420"/>
            <x v="421"/>
            <x v="422"/>
            <x v="423"/>
            <x v="424"/>
            <x v="425"/>
          </reference>
        </references>
      </pivotArea>
    </format>
    <format dxfId="10744">
      <pivotArea dataOnly="0" labelOnly="1" outline="0" fieldPosition="0">
        <references count="1">
          <reference field="11" count="16">
            <x v="426"/>
            <x v="427"/>
            <x v="428"/>
            <x v="429"/>
            <x v="430"/>
            <x v="431"/>
            <x v="432"/>
            <x v="433"/>
            <x v="434"/>
            <x v="435"/>
            <x v="436"/>
            <x v="437"/>
            <x v="438"/>
            <x v="439"/>
            <x v="440"/>
            <x v="441"/>
          </reference>
        </references>
      </pivotArea>
    </format>
    <format dxfId="10743">
      <pivotArea dataOnly="0" labelOnly="1" outline="0" fieldPosition="0">
        <references count="1">
          <reference field="11" count="16" defaultSubtotal="1">
            <x v="426"/>
            <x v="427"/>
            <x v="428"/>
            <x v="429"/>
            <x v="430"/>
            <x v="431"/>
            <x v="432"/>
            <x v="433"/>
            <x v="434"/>
            <x v="435"/>
            <x v="436"/>
            <x v="437"/>
            <x v="438"/>
            <x v="439"/>
            <x v="440"/>
            <x v="441"/>
          </reference>
        </references>
      </pivotArea>
    </format>
    <format dxfId="10742">
      <pivotArea dataOnly="0" labelOnly="1" outline="0" fieldPosition="0">
        <references count="1">
          <reference field="11" count="19">
            <x v="442"/>
            <x v="443"/>
            <x v="444"/>
            <x v="445"/>
            <x v="446"/>
            <x v="447"/>
            <x v="448"/>
            <x v="449"/>
            <x v="450"/>
            <x v="451"/>
            <x v="452"/>
            <x v="453"/>
            <x v="454"/>
            <x v="455"/>
            <x v="456"/>
            <x v="457"/>
            <x v="458"/>
            <x v="459"/>
            <x v="460"/>
          </reference>
        </references>
      </pivotArea>
    </format>
    <format dxfId="10741">
      <pivotArea dataOnly="0" labelOnly="1" outline="0" fieldPosition="0">
        <references count="1">
          <reference field="11" count="19" defaultSubtotal="1">
            <x v="442"/>
            <x v="443"/>
            <x v="444"/>
            <x v="445"/>
            <x v="446"/>
            <x v="447"/>
            <x v="448"/>
            <x v="449"/>
            <x v="450"/>
            <x v="451"/>
            <x v="452"/>
            <x v="453"/>
            <x v="454"/>
            <x v="455"/>
            <x v="456"/>
            <x v="457"/>
            <x v="458"/>
            <x v="459"/>
            <x v="460"/>
          </reference>
        </references>
      </pivotArea>
    </format>
    <format dxfId="10740">
      <pivotArea dataOnly="0" labelOnly="1" outline="0" fieldPosition="0">
        <references count="1">
          <reference field="11" count="21">
            <x v="461"/>
            <x v="462"/>
            <x v="463"/>
            <x v="464"/>
            <x v="465"/>
            <x v="466"/>
            <x v="467"/>
            <x v="468"/>
            <x v="469"/>
            <x v="470"/>
            <x v="471"/>
            <x v="472"/>
            <x v="473"/>
            <x v="474"/>
            <x v="475"/>
            <x v="476"/>
            <x v="477"/>
            <x v="478"/>
            <x v="479"/>
            <x v="480"/>
            <x v="481"/>
          </reference>
        </references>
      </pivotArea>
    </format>
    <format dxfId="10739">
      <pivotArea dataOnly="0" labelOnly="1" outline="0" fieldPosition="0">
        <references count="1">
          <reference field="11" count="21" defaultSubtotal="1">
            <x v="461"/>
            <x v="462"/>
            <x v="463"/>
            <x v="464"/>
            <x v="465"/>
            <x v="466"/>
            <x v="467"/>
            <x v="468"/>
            <x v="469"/>
            <x v="470"/>
            <x v="471"/>
            <x v="472"/>
            <x v="473"/>
            <x v="474"/>
            <x v="475"/>
            <x v="476"/>
            <x v="477"/>
            <x v="478"/>
            <x v="479"/>
            <x v="480"/>
            <x v="481"/>
          </reference>
        </references>
      </pivotArea>
    </format>
    <format dxfId="10738">
      <pivotArea dataOnly="0" labelOnly="1" outline="0" fieldPosition="0">
        <references count="1">
          <reference field="11" count="7">
            <x v="482"/>
            <x v="483"/>
            <x v="484"/>
            <x v="485"/>
            <x v="486"/>
            <x v="487"/>
            <x v="488"/>
          </reference>
        </references>
      </pivotArea>
    </format>
    <format dxfId="10737">
      <pivotArea dataOnly="0" labelOnly="1" outline="0" fieldPosition="0">
        <references count="1">
          <reference field="11" count="7" defaultSubtotal="1">
            <x v="482"/>
            <x v="483"/>
            <x v="484"/>
            <x v="485"/>
            <x v="486"/>
            <x v="487"/>
            <x v="488"/>
          </reference>
        </references>
      </pivotArea>
    </format>
    <format dxfId="10736">
      <pivotArea dataOnly="0" labelOnly="1" grandRow="1" outline="0" fieldPosition="0"/>
    </format>
    <format dxfId="10735">
      <pivotArea dataOnly="0" labelOnly="1" outline="0" fieldPosition="0">
        <references count="2">
          <reference field="11" count="1" selected="0">
            <x v="0"/>
          </reference>
          <reference field="14" count="1">
            <x v="90"/>
          </reference>
        </references>
      </pivotArea>
    </format>
    <format dxfId="10734">
      <pivotArea dataOnly="0" labelOnly="1" outline="0" fieldPosition="0">
        <references count="2">
          <reference field="11" count="1" selected="0">
            <x v="0"/>
          </reference>
          <reference field="14" count="1" defaultSubtotal="1">
            <x v="90"/>
          </reference>
        </references>
      </pivotArea>
    </format>
    <format dxfId="10733">
      <pivotArea dataOnly="0" labelOnly="1" outline="0" fieldPosition="0">
        <references count="2">
          <reference field="11" count="1" selected="0">
            <x v="1"/>
          </reference>
          <reference field="14" count="1">
            <x v="230"/>
          </reference>
        </references>
      </pivotArea>
    </format>
    <format dxfId="10732">
      <pivotArea dataOnly="0" labelOnly="1" outline="0" fieldPosition="0">
        <references count="2">
          <reference field="11" count="1" selected="0">
            <x v="1"/>
          </reference>
          <reference field="14" count="1" defaultSubtotal="1">
            <x v="230"/>
          </reference>
        </references>
      </pivotArea>
    </format>
    <format dxfId="10731">
      <pivotArea dataOnly="0" labelOnly="1" outline="0" fieldPosition="0">
        <references count="2">
          <reference field="11" count="1" selected="0">
            <x v="2"/>
          </reference>
          <reference field="14" count="1">
            <x v="226"/>
          </reference>
        </references>
      </pivotArea>
    </format>
    <format dxfId="10730">
      <pivotArea dataOnly="0" labelOnly="1" outline="0" fieldPosition="0">
        <references count="2">
          <reference field="11" count="1" selected="0">
            <x v="2"/>
          </reference>
          <reference field="14" count="1" defaultSubtotal="1">
            <x v="226"/>
          </reference>
        </references>
      </pivotArea>
    </format>
    <format dxfId="10729">
      <pivotArea dataOnly="0" labelOnly="1" outline="0" fieldPosition="0">
        <references count="2">
          <reference field="11" count="1" selected="0">
            <x v="3"/>
          </reference>
          <reference field="14" count="1">
            <x v="31"/>
          </reference>
        </references>
      </pivotArea>
    </format>
    <format dxfId="10728">
      <pivotArea dataOnly="0" labelOnly="1" outline="0" fieldPosition="0">
        <references count="2">
          <reference field="11" count="1" selected="0">
            <x v="3"/>
          </reference>
          <reference field="14" count="1" defaultSubtotal="1">
            <x v="31"/>
          </reference>
        </references>
      </pivotArea>
    </format>
    <format dxfId="10727">
      <pivotArea dataOnly="0" labelOnly="1" outline="0" fieldPosition="0">
        <references count="2">
          <reference field="11" count="1" selected="0">
            <x v="4"/>
          </reference>
          <reference field="14" count="1">
            <x v="233"/>
          </reference>
        </references>
      </pivotArea>
    </format>
    <format dxfId="10726">
      <pivotArea dataOnly="0" labelOnly="1" outline="0" fieldPosition="0">
        <references count="2">
          <reference field="11" count="1" selected="0">
            <x v="4"/>
          </reference>
          <reference field="14" count="1" defaultSubtotal="1">
            <x v="233"/>
          </reference>
        </references>
      </pivotArea>
    </format>
    <format dxfId="10725">
      <pivotArea dataOnly="0" labelOnly="1" outline="0" fieldPosition="0">
        <references count="2">
          <reference field="11" count="1" selected="0">
            <x v="5"/>
          </reference>
          <reference field="14" count="1">
            <x v="232"/>
          </reference>
        </references>
      </pivotArea>
    </format>
    <format dxfId="10724">
      <pivotArea dataOnly="0" labelOnly="1" outline="0" fieldPosition="0">
        <references count="2">
          <reference field="11" count="1" selected="0">
            <x v="5"/>
          </reference>
          <reference field="14" count="1" defaultSubtotal="1">
            <x v="232"/>
          </reference>
        </references>
      </pivotArea>
    </format>
    <format dxfId="10723">
      <pivotArea dataOnly="0" labelOnly="1" outline="0" fieldPosition="0">
        <references count="2">
          <reference field="11" count="1" selected="0">
            <x v="6"/>
          </reference>
          <reference field="14" count="1">
            <x v="19"/>
          </reference>
        </references>
      </pivotArea>
    </format>
    <format dxfId="10722">
      <pivotArea dataOnly="0" labelOnly="1" outline="0" fieldPosition="0">
        <references count="2">
          <reference field="11" count="1" selected="0">
            <x v="6"/>
          </reference>
          <reference field="14" count="1" defaultSubtotal="1">
            <x v="19"/>
          </reference>
        </references>
      </pivotArea>
    </format>
    <format dxfId="10721">
      <pivotArea dataOnly="0" labelOnly="1" outline="0" fieldPosition="0">
        <references count="2">
          <reference field="11" count="1" selected="0">
            <x v="7"/>
          </reference>
          <reference field="14" count="1">
            <x v="351"/>
          </reference>
        </references>
      </pivotArea>
    </format>
    <format dxfId="10720">
      <pivotArea dataOnly="0" labelOnly="1" outline="0" fieldPosition="0">
        <references count="2">
          <reference field="11" count="1" selected="0">
            <x v="7"/>
          </reference>
          <reference field="14" count="1" defaultSubtotal="1">
            <x v="351"/>
          </reference>
        </references>
      </pivotArea>
    </format>
    <format dxfId="10719">
      <pivotArea dataOnly="0" labelOnly="1" outline="0" fieldPosition="0">
        <references count="2">
          <reference field="11" count="1" selected="0">
            <x v="8"/>
          </reference>
          <reference field="14" count="1">
            <x v="375"/>
          </reference>
        </references>
      </pivotArea>
    </format>
    <format dxfId="10718">
      <pivotArea dataOnly="0" labelOnly="1" outline="0" fieldPosition="0">
        <references count="2">
          <reference field="11" count="1" selected="0">
            <x v="8"/>
          </reference>
          <reference field="14" count="1" defaultSubtotal="1">
            <x v="375"/>
          </reference>
        </references>
      </pivotArea>
    </format>
    <format dxfId="10717">
      <pivotArea dataOnly="0" labelOnly="1" outline="0" fieldPosition="0">
        <references count="2">
          <reference field="11" count="1" selected="0">
            <x v="9"/>
          </reference>
          <reference field="14" count="1">
            <x v="50"/>
          </reference>
        </references>
      </pivotArea>
    </format>
    <format dxfId="10716">
      <pivotArea dataOnly="0" labelOnly="1" outline="0" fieldPosition="0">
        <references count="2">
          <reference field="11" count="1" selected="0">
            <x v="9"/>
          </reference>
          <reference field="14" count="1" defaultSubtotal="1">
            <x v="50"/>
          </reference>
        </references>
      </pivotArea>
    </format>
    <format dxfId="10715">
      <pivotArea dataOnly="0" labelOnly="1" outline="0" fieldPosition="0">
        <references count="2">
          <reference field="11" count="1" selected="0">
            <x v="10"/>
          </reference>
          <reference field="14" count="1">
            <x v="150"/>
          </reference>
        </references>
      </pivotArea>
    </format>
    <format dxfId="10714">
      <pivotArea dataOnly="0" labelOnly="1" outline="0" fieldPosition="0">
        <references count="2">
          <reference field="11" count="1" selected="0">
            <x v="10"/>
          </reference>
          <reference field="14" count="1" defaultSubtotal="1">
            <x v="150"/>
          </reference>
        </references>
      </pivotArea>
    </format>
    <format dxfId="10713">
      <pivotArea dataOnly="0" labelOnly="1" outline="0" fieldPosition="0">
        <references count="2">
          <reference field="11" count="1" selected="0">
            <x v="11"/>
          </reference>
          <reference field="14" count="1">
            <x v="265"/>
          </reference>
        </references>
      </pivotArea>
    </format>
    <format dxfId="10712">
      <pivotArea dataOnly="0" labelOnly="1" outline="0" fieldPosition="0">
        <references count="2">
          <reference field="11" count="1" selected="0">
            <x v="11"/>
          </reference>
          <reference field="14" count="1" defaultSubtotal="1">
            <x v="265"/>
          </reference>
        </references>
      </pivotArea>
    </format>
    <format dxfId="10711">
      <pivotArea dataOnly="0" labelOnly="1" outline="0" fieldPosition="0">
        <references count="2">
          <reference field="11" count="1" selected="0">
            <x v="12"/>
          </reference>
          <reference field="14" count="1">
            <x v="256"/>
          </reference>
        </references>
      </pivotArea>
    </format>
    <format dxfId="10710">
      <pivotArea dataOnly="0" labelOnly="1" outline="0" fieldPosition="0">
        <references count="2">
          <reference field="11" count="1" selected="0">
            <x v="12"/>
          </reference>
          <reference field="14" count="1" defaultSubtotal="1">
            <x v="256"/>
          </reference>
        </references>
      </pivotArea>
    </format>
    <format dxfId="10709">
      <pivotArea dataOnly="0" labelOnly="1" outline="0" fieldPosition="0">
        <references count="2">
          <reference field="11" count="1" selected="0">
            <x v="13"/>
          </reference>
          <reference field="14" count="1">
            <x v="304"/>
          </reference>
        </references>
      </pivotArea>
    </format>
    <format dxfId="10708">
      <pivotArea dataOnly="0" labelOnly="1" outline="0" fieldPosition="0">
        <references count="2">
          <reference field="11" count="1" selected="0">
            <x v="13"/>
          </reference>
          <reference field="14" count="1" defaultSubtotal="1">
            <x v="304"/>
          </reference>
        </references>
      </pivotArea>
    </format>
    <format dxfId="10707">
      <pivotArea dataOnly="0" labelOnly="1" outline="0" fieldPosition="0">
        <references count="2">
          <reference field="11" count="1" selected="0">
            <x v="14"/>
          </reference>
          <reference field="14" count="1">
            <x v="17"/>
          </reference>
        </references>
      </pivotArea>
    </format>
    <format dxfId="10706">
      <pivotArea dataOnly="0" labelOnly="1" outline="0" fieldPosition="0">
        <references count="2">
          <reference field="11" count="1" selected="0">
            <x v="14"/>
          </reference>
          <reference field="14" count="1" defaultSubtotal="1">
            <x v="17"/>
          </reference>
        </references>
      </pivotArea>
    </format>
    <format dxfId="10705">
      <pivotArea dataOnly="0" labelOnly="1" outline="0" fieldPosition="0">
        <references count="2">
          <reference field="11" count="1" selected="0">
            <x v="15"/>
          </reference>
          <reference field="14" count="1">
            <x v="378"/>
          </reference>
        </references>
      </pivotArea>
    </format>
    <format dxfId="10704">
      <pivotArea dataOnly="0" labelOnly="1" outline="0" fieldPosition="0">
        <references count="2">
          <reference field="11" count="1" selected="0">
            <x v="15"/>
          </reference>
          <reference field="14" count="1" defaultSubtotal="1">
            <x v="378"/>
          </reference>
        </references>
      </pivotArea>
    </format>
    <format dxfId="10703">
      <pivotArea dataOnly="0" labelOnly="1" outline="0" fieldPosition="0">
        <references count="2">
          <reference field="11" count="1" selected="0">
            <x v="16"/>
          </reference>
          <reference field="14" count="1">
            <x v="286"/>
          </reference>
        </references>
      </pivotArea>
    </format>
    <format dxfId="10702">
      <pivotArea dataOnly="0" labelOnly="1" outline="0" fieldPosition="0">
        <references count="2">
          <reference field="11" count="1" selected="0">
            <x v="16"/>
          </reference>
          <reference field="14" count="1" defaultSubtotal="1">
            <x v="286"/>
          </reference>
        </references>
      </pivotArea>
    </format>
    <format dxfId="10701">
      <pivotArea dataOnly="0" labelOnly="1" outline="0" fieldPosition="0">
        <references count="2">
          <reference field="11" count="1" selected="0">
            <x v="17"/>
          </reference>
          <reference field="14" count="1">
            <x v="116"/>
          </reference>
        </references>
      </pivotArea>
    </format>
    <format dxfId="10700">
      <pivotArea dataOnly="0" labelOnly="1" outline="0" fieldPosition="0">
        <references count="2">
          <reference field="11" count="1" selected="0">
            <x v="17"/>
          </reference>
          <reference field="14" count="1" defaultSubtotal="1">
            <x v="116"/>
          </reference>
        </references>
      </pivotArea>
    </format>
    <format dxfId="10699">
      <pivotArea dataOnly="0" labelOnly="1" outline="0" fieldPosition="0">
        <references count="2">
          <reference field="11" count="1" selected="0">
            <x v="18"/>
          </reference>
          <reference field="14" count="1">
            <x v="176"/>
          </reference>
        </references>
      </pivotArea>
    </format>
    <format dxfId="10698">
      <pivotArea dataOnly="0" labelOnly="1" outline="0" fieldPosition="0">
        <references count="2">
          <reference field="11" count="1" selected="0">
            <x v="18"/>
          </reference>
          <reference field="14" count="1" defaultSubtotal="1">
            <x v="176"/>
          </reference>
        </references>
      </pivotArea>
    </format>
    <format dxfId="10697">
      <pivotArea dataOnly="0" labelOnly="1" outline="0" fieldPosition="0">
        <references count="2">
          <reference field="11" count="1" selected="0">
            <x v="19"/>
          </reference>
          <reference field="14" count="1">
            <x v="460"/>
          </reference>
        </references>
      </pivotArea>
    </format>
    <format dxfId="10696">
      <pivotArea dataOnly="0" labelOnly="1" outline="0" fieldPosition="0">
        <references count="2">
          <reference field="11" count="1" selected="0">
            <x v="19"/>
          </reference>
          <reference field="14" count="1" defaultSubtotal="1">
            <x v="460"/>
          </reference>
        </references>
      </pivotArea>
    </format>
    <format dxfId="10695">
      <pivotArea dataOnly="0" labelOnly="1" outline="0" fieldPosition="0">
        <references count="2">
          <reference field="11" count="1" selected="0">
            <x v="20"/>
          </reference>
          <reference field="14" count="1">
            <x v="46"/>
          </reference>
        </references>
      </pivotArea>
    </format>
    <format dxfId="10694">
      <pivotArea dataOnly="0" labelOnly="1" outline="0" fieldPosition="0">
        <references count="2">
          <reference field="11" count="1" selected="0">
            <x v="20"/>
          </reference>
          <reference field="14" count="1" defaultSubtotal="1">
            <x v="46"/>
          </reference>
        </references>
      </pivotArea>
    </format>
    <format dxfId="10693">
      <pivotArea dataOnly="0" labelOnly="1" outline="0" fieldPosition="0">
        <references count="2">
          <reference field="11" count="1" selected="0">
            <x v="21"/>
          </reference>
          <reference field="14" count="1">
            <x v="347"/>
          </reference>
        </references>
      </pivotArea>
    </format>
    <format dxfId="10692">
      <pivotArea dataOnly="0" labelOnly="1" outline="0" fieldPosition="0">
        <references count="2">
          <reference field="11" count="1" selected="0">
            <x v="21"/>
          </reference>
          <reference field="14" count="1" defaultSubtotal="1">
            <x v="347"/>
          </reference>
        </references>
      </pivotArea>
    </format>
    <format dxfId="10691">
      <pivotArea dataOnly="0" labelOnly="1" outline="0" fieldPosition="0">
        <references count="2">
          <reference field="11" count="1" selected="0">
            <x v="22"/>
          </reference>
          <reference field="14" count="1">
            <x v="219"/>
          </reference>
        </references>
      </pivotArea>
    </format>
    <format dxfId="10690">
      <pivotArea dataOnly="0" labelOnly="1" outline="0" fieldPosition="0">
        <references count="2">
          <reference field="11" count="1" selected="0">
            <x v="22"/>
          </reference>
          <reference field="14" count="1" defaultSubtotal="1">
            <x v="219"/>
          </reference>
        </references>
      </pivotArea>
    </format>
    <format dxfId="10689">
      <pivotArea dataOnly="0" labelOnly="1" outline="0" fieldPosition="0">
        <references count="2">
          <reference field="11" count="1" selected="0">
            <x v="23"/>
          </reference>
          <reference field="14" count="1">
            <x v="94"/>
          </reference>
        </references>
      </pivotArea>
    </format>
    <format dxfId="10688">
      <pivotArea dataOnly="0" labelOnly="1" outline="0" fieldPosition="0">
        <references count="2">
          <reference field="11" count="1" selected="0">
            <x v="23"/>
          </reference>
          <reference field="14" count="1" defaultSubtotal="1">
            <x v="94"/>
          </reference>
        </references>
      </pivotArea>
    </format>
    <format dxfId="10687">
      <pivotArea dataOnly="0" labelOnly="1" outline="0" fieldPosition="0">
        <references count="2">
          <reference field="11" count="1" selected="0">
            <x v="24"/>
          </reference>
          <reference field="14" count="1">
            <x v="93"/>
          </reference>
        </references>
      </pivotArea>
    </format>
    <format dxfId="10686">
      <pivotArea dataOnly="0" labelOnly="1" outline="0" fieldPosition="0">
        <references count="2">
          <reference field="11" count="1" selected="0">
            <x v="24"/>
          </reference>
          <reference field="14" count="1" defaultSubtotal="1">
            <x v="93"/>
          </reference>
        </references>
      </pivotArea>
    </format>
    <format dxfId="10685">
      <pivotArea dataOnly="0" labelOnly="1" outline="0" fieldPosition="0">
        <references count="2">
          <reference field="11" count="1" selected="0">
            <x v="25"/>
          </reference>
          <reference field="14" count="1">
            <x v="466"/>
          </reference>
        </references>
      </pivotArea>
    </format>
    <format dxfId="10684">
      <pivotArea dataOnly="0" labelOnly="1" outline="0" fieldPosition="0">
        <references count="2">
          <reference field="11" count="1" selected="0">
            <x v="25"/>
          </reference>
          <reference field="14" count="1" defaultSubtotal="1">
            <x v="466"/>
          </reference>
        </references>
      </pivotArea>
    </format>
    <format dxfId="10683">
      <pivotArea dataOnly="0" labelOnly="1" outline="0" fieldPosition="0">
        <references count="2">
          <reference field="11" count="1" selected="0">
            <x v="26"/>
          </reference>
          <reference field="14" count="1">
            <x v="55"/>
          </reference>
        </references>
      </pivotArea>
    </format>
    <format dxfId="10682">
      <pivotArea dataOnly="0" labelOnly="1" outline="0" fieldPosition="0">
        <references count="2">
          <reference field="11" count="1" selected="0">
            <x v="26"/>
          </reference>
          <reference field="14" count="1" defaultSubtotal="1">
            <x v="55"/>
          </reference>
        </references>
      </pivotArea>
    </format>
    <format dxfId="10681">
      <pivotArea dataOnly="0" labelOnly="1" outline="0" fieldPosition="0">
        <references count="2">
          <reference field="11" count="1" selected="0">
            <x v="27"/>
          </reference>
          <reference field="14" count="1">
            <x v="458"/>
          </reference>
        </references>
      </pivotArea>
    </format>
    <format dxfId="10680">
      <pivotArea dataOnly="0" labelOnly="1" outline="0" fieldPosition="0">
        <references count="2">
          <reference field="11" count="1" selected="0">
            <x v="27"/>
          </reference>
          <reference field="14" count="1" defaultSubtotal="1">
            <x v="458"/>
          </reference>
        </references>
      </pivotArea>
    </format>
    <format dxfId="10679">
      <pivotArea dataOnly="0" labelOnly="1" outline="0" fieldPosition="0">
        <references count="2">
          <reference field="11" count="1" selected="0">
            <x v="28"/>
          </reference>
          <reference field="14" count="1">
            <x v="179"/>
          </reference>
        </references>
      </pivotArea>
    </format>
    <format dxfId="10678">
      <pivotArea dataOnly="0" labelOnly="1" outline="0" fieldPosition="0">
        <references count="2">
          <reference field="11" count="1" selected="0">
            <x v="28"/>
          </reference>
          <reference field="14" count="1" defaultSubtotal="1">
            <x v="179"/>
          </reference>
        </references>
      </pivotArea>
    </format>
    <format dxfId="10677">
      <pivotArea dataOnly="0" labelOnly="1" outline="0" fieldPosition="0">
        <references count="2">
          <reference field="11" count="1" selected="0">
            <x v="29"/>
          </reference>
          <reference field="14" count="1">
            <x v="0"/>
          </reference>
        </references>
      </pivotArea>
    </format>
    <format dxfId="10676">
      <pivotArea dataOnly="0" labelOnly="1" outline="0" fieldPosition="0">
        <references count="2">
          <reference field="11" count="1" selected="0">
            <x v="29"/>
          </reference>
          <reference field="14" count="1" defaultSubtotal="1">
            <x v="0"/>
          </reference>
        </references>
      </pivotArea>
    </format>
    <format dxfId="10675">
      <pivotArea dataOnly="0" labelOnly="1" outline="0" fieldPosition="0">
        <references count="2">
          <reference field="11" count="1" selected="0">
            <x v="30"/>
          </reference>
          <reference field="14" count="1">
            <x v="1"/>
          </reference>
        </references>
      </pivotArea>
    </format>
    <format dxfId="10674">
      <pivotArea dataOnly="0" labelOnly="1" outline="0" fieldPosition="0">
        <references count="2">
          <reference field="11" count="1" selected="0">
            <x v="30"/>
          </reference>
          <reference field="14" count="1" defaultSubtotal="1">
            <x v="1"/>
          </reference>
        </references>
      </pivotArea>
    </format>
    <format dxfId="10673">
      <pivotArea dataOnly="0" labelOnly="1" outline="0" fieldPosition="0">
        <references count="2">
          <reference field="11" count="1" selected="0">
            <x v="31"/>
          </reference>
          <reference field="14" count="1">
            <x v="414"/>
          </reference>
        </references>
      </pivotArea>
    </format>
    <format dxfId="10672">
      <pivotArea dataOnly="0" labelOnly="1" outline="0" fieldPosition="0">
        <references count="2">
          <reference field="11" count="1" selected="0">
            <x v="31"/>
          </reference>
          <reference field="14" count="1" defaultSubtotal="1">
            <x v="414"/>
          </reference>
        </references>
      </pivotArea>
    </format>
    <format dxfId="10671">
      <pivotArea dataOnly="0" labelOnly="1" outline="0" fieldPosition="0">
        <references count="2">
          <reference field="11" count="1" selected="0">
            <x v="32"/>
          </reference>
          <reference field="14" count="1">
            <x v="36"/>
          </reference>
        </references>
      </pivotArea>
    </format>
    <format dxfId="10670">
      <pivotArea dataOnly="0" labelOnly="1" outline="0" fieldPosition="0">
        <references count="2">
          <reference field="11" count="1" selected="0">
            <x v="32"/>
          </reference>
          <reference field="14" count="1" defaultSubtotal="1">
            <x v="36"/>
          </reference>
        </references>
      </pivotArea>
    </format>
    <format dxfId="10669">
      <pivotArea dataOnly="0" labelOnly="1" outline="0" fieldPosition="0">
        <references count="2">
          <reference field="11" count="1" selected="0">
            <x v="33"/>
          </reference>
          <reference field="14" count="1">
            <x v="341"/>
          </reference>
        </references>
      </pivotArea>
    </format>
    <format dxfId="10668">
      <pivotArea dataOnly="0" labelOnly="1" outline="0" fieldPosition="0">
        <references count="2">
          <reference field="11" count="1" selected="0">
            <x v="33"/>
          </reference>
          <reference field="14" count="1" defaultSubtotal="1">
            <x v="341"/>
          </reference>
        </references>
      </pivotArea>
    </format>
    <format dxfId="10667">
      <pivotArea dataOnly="0" labelOnly="1" outline="0" fieldPosition="0">
        <references count="2">
          <reference field="11" count="1" selected="0">
            <x v="34"/>
          </reference>
          <reference field="14" count="1">
            <x v="340"/>
          </reference>
        </references>
      </pivotArea>
    </format>
    <format dxfId="10666">
      <pivotArea dataOnly="0" labelOnly="1" outline="0" fieldPosition="0">
        <references count="2">
          <reference field="11" count="1" selected="0">
            <x v="34"/>
          </reference>
          <reference field="14" count="1" defaultSubtotal="1">
            <x v="340"/>
          </reference>
        </references>
      </pivotArea>
    </format>
    <format dxfId="10665">
      <pivotArea dataOnly="0" labelOnly="1" outline="0" fieldPosition="0">
        <references count="2">
          <reference field="11" count="1" selected="0">
            <x v="35"/>
          </reference>
          <reference field="14" count="1">
            <x v="379"/>
          </reference>
        </references>
      </pivotArea>
    </format>
    <format dxfId="10664">
      <pivotArea dataOnly="0" labelOnly="1" outline="0" fieldPosition="0">
        <references count="2">
          <reference field="11" count="1" selected="0">
            <x v="35"/>
          </reference>
          <reference field="14" count="1" defaultSubtotal="1">
            <x v="379"/>
          </reference>
        </references>
      </pivotArea>
    </format>
    <format dxfId="10663">
      <pivotArea dataOnly="0" labelOnly="1" outline="0" fieldPosition="0">
        <references count="2">
          <reference field="11" count="1" selected="0">
            <x v="36"/>
          </reference>
          <reference field="14" count="1">
            <x v="349"/>
          </reference>
        </references>
      </pivotArea>
    </format>
    <format dxfId="10662">
      <pivotArea dataOnly="0" labelOnly="1" outline="0" fieldPosition="0">
        <references count="2">
          <reference field="11" count="1" selected="0">
            <x v="36"/>
          </reference>
          <reference field="14" count="1" defaultSubtotal="1">
            <x v="349"/>
          </reference>
        </references>
      </pivotArea>
    </format>
    <format dxfId="10661">
      <pivotArea dataOnly="0" labelOnly="1" outline="0" fieldPosition="0">
        <references count="2">
          <reference field="11" count="1" selected="0">
            <x v="37"/>
          </reference>
          <reference field="14" count="1">
            <x v="348"/>
          </reference>
        </references>
      </pivotArea>
    </format>
    <format dxfId="10660">
      <pivotArea dataOnly="0" labelOnly="1" outline="0" fieldPosition="0">
        <references count="2">
          <reference field="11" count="1" selected="0">
            <x v="37"/>
          </reference>
          <reference field="14" count="1" defaultSubtotal="1">
            <x v="348"/>
          </reference>
        </references>
      </pivotArea>
    </format>
    <format dxfId="10659">
      <pivotArea dataOnly="0" labelOnly="1" outline="0" fieldPosition="0">
        <references count="2">
          <reference field="11" count="1" selected="0">
            <x v="38"/>
          </reference>
          <reference field="14" count="1">
            <x v="346"/>
          </reference>
        </references>
      </pivotArea>
    </format>
    <format dxfId="10658">
      <pivotArea dataOnly="0" labelOnly="1" outline="0" fieldPosition="0">
        <references count="2">
          <reference field="11" count="1" selected="0">
            <x v="38"/>
          </reference>
          <reference field="14" count="1" defaultSubtotal="1">
            <x v="346"/>
          </reference>
        </references>
      </pivotArea>
    </format>
    <format dxfId="10657">
      <pivotArea dataOnly="0" labelOnly="1" outline="0" fieldPosition="0">
        <references count="2">
          <reference field="11" count="1" selected="0">
            <x v="39"/>
          </reference>
          <reference field="14" count="1">
            <x v="344"/>
          </reference>
        </references>
      </pivotArea>
    </format>
    <format dxfId="10656">
      <pivotArea dataOnly="0" labelOnly="1" outline="0" fieldPosition="0">
        <references count="2">
          <reference field="11" count="1" selected="0">
            <x v="39"/>
          </reference>
          <reference field="14" count="1" defaultSubtotal="1">
            <x v="344"/>
          </reference>
        </references>
      </pivotArea>
    </format>
    <format dxfId="10655">
      <pivotArea dataOnly="0" labelOnly="1" outline="0" fieldPosition="0">
        <references count="2">
          <reference field="11" count="1" selected="0">
            <x v="40"/>
          </reference>
          <reference field="14" count="1">
            <x v="345"/>
          </reference>
        </references>
      </pivotArea>
    </format>
    <format dxfId="10654">
      <pivotArea dataOnly="0" labelOnly="1" outline="0" fieldPosition="0">
        <references count="2">
          <reference field="11" count="1" selected="0">
            <x v="40"/>
          </reference>
          <reference field="14" count="1" defaultSubtotal="1">
            <x v="345"/>
          </reference>
        </references>
      </pivotArea>
    </format>
    <format dxfId="10653">
      <pivotArea dataOnly="0" labelOnly="1" outline="0" fieldPosition="0">
        <references count="2">
          <reference field="11" count="1" selected="0">
            <x v="41"/>
          </reference>
          <reference field="14" count="1">
            <x v="337"/>
          </reference>
        </references>
      </pivotArea>
    </format>
    <format dxfId="10652">
      <pivotArea dataOnly="0" labelOnly="1" outline="0" fieldPosition="0">
        <references count="2">
          <reference field="11" count="1" selected="0">
            <x v="41"/>
          </reference>
          <reference field="14" count="1" defaultSubtotal="1">
            <x v="337"/>
          </reference>
        </references>
      </pivotArea>
    </format>
    <format dxfId="10651">
      <pivotArea dataOnly="0" labelOnly="1" outline="0" fieldPosition="0">
        <references count="2">
          <reference field="11" count="1" selected="0">
            <x v="42"/>
          </reference>
          <reference field="14" count="1">
            <x v="59"/>
          </reference>
        </references>
      </pivotArea>
    </format>
    <format dxfId="10650">
      <pivotArea dataOnly="0" labelOnly="1" outline="0" fieldPosition="0">
        <references count="2">
          <reference field="11" count="1" selected="0">
            <x v="42"/>
          </reference>
          <reference field="14" count="1" defaultSubtotal="1">
            <x v="59"/>
          </reference>
        </references>
      </pivotArea>
    </format>
    <format dxfId="10649">
      <pivotArea dataOnly="0" labelOnly="1" outline="0" fieldPosition="0">
        <references count="2">
          <reference field="11" count="1" selected="0">
            <x v="43"/>
          </reference>
          <reference field="14" count="1">
            <x v="410"/>
          </reference>
        </references>
      </pivotArea>
    </format>
    <format dxfId="10648">
      <pivotArea dataOnly="0" labelOnly="1" outline="0" fieldPosition="0">
        <references count="2">
          <reference field="11" count="1" selected="0">
            <x v="43"/>
          </reference>
          <reference field="14" count="1" defaultSubtotal="1">
            <x v="410"/>
          </reference>
        </references>
      </pivotArea>
    </format>
    <format dxfId="10647">
      <pivotArea dataOnly="0" labelOnly="1" outline="0" fieldPosition="0">
        <references count="2">
          <reference field="11" count="1" selected="0">
            <x v="44"/>
          </reference>
          <reference field="14" count="1">
            <x v="77"/>
          </reference>
        </references>
      </pivotArea>
    </format>
    <format dxfId="10646">
      <pivotArea dataOnly="0" labelOnly="1" outline="0" fieldPosition="0">
        <references count="2">
          <reference field="11" count="1" selected="0">
            <x v="44"/>
          </reference>
          <reference field="14" count="1" defaultSubtotal="1">
            <x v="77"/>
          </reference>
        </references>
      </pivotArea>
    </format>
    <format dxfId="10645">
      <pivotArea dataOnly="0" labelOnly="1" outline="0" fieldPosition="0">
        <references count="2">
          <reference field="11" count="1" selected="0">
            <x v="45"/>
          </reference>
          <reference field="14" count="1">
            <x v="465"/>
          </reference>
        </references>
      </pivotArea>
    </format>
    <format dxfId="10644">
      <pivotArea dataOnly="0" labelOnly="1" outline="0" fieldPosition="0">
        <references count="2">
          <reference field="11" count="1" selected="0">
            <x v="45"/>
          </reference>
          <reference field="14" count="1" defaultSubtotal="1">
            <x v="465"/>
          </reference>
        </references>
      </pivotArea>
    </format>
    <format dxfId="10643">
      <pivotArea dataOnly="0" labelOnly="1" outline="0" fieldPosition="0">
        <references count="2">
          <reference field="11" count="1" selected="0">
            <x v="46"/>
          </reference>
          <reference field="14" count="1">
            <x v="250"/>
          </reference>
        </references>
      </pivotArea>
    </format>
    <format dxfId="10642">
      <pivotArea dataOnly="0" labelOnly="1" outline="0" fieldPosition="0">
        <references count="2">
          <reference field="11" count="1" selected="0">
            <x v="46"/>
          </reference>
          <reference field="14" count="1" defaultSubtotal="1">
            <x v="250"/>
          </reference>
        </references>
      </pivotArea>
    </format>
    <format dxfId="10641">
      <pivotArea dataOnly="0" labelOnly="1" outline="0" fieldPosition="0">
        <references count="2">
          <reference field="11" count="1" selected="0">
            <x v="47"/>
          </reference>
          <reference field="14" count="1">
            <x v="323"/>
          </reference>
        </references>
      </pivotArea>
    </format>
    <format dxfId="10640">
      <pivotArea dataOnly="0" labelOnly="1" outline="0" fieldPosition="0">
        <references count="2">
          <reference field="11" count="1" selected="0">
            <x v="47"/>
          </reference>
          <reference field="14" count="1" defaultSubtotal="1">
            <x v="323"/>
          </reference>
        </references>
      </pivotArea>
    </format>
    <format dxfId="10639">
      <pivotArea dataOnly="0" labelOnly="1" outline="0" fieldPosition="0">
        <references count="2">
          <reference field="11" count="1" selected="0">
            <x v="48"/>
          </reference>
          <reference field="14" count="1">
            <x v="244"/>
          </reference>
        </references>
      </pivotArea>
    </format>
    <format dxfId="10638">
      <pivotArea dataOnly="0" labelOnly="1" outline="0" fieldPosition="0">
        <references count="2">
          <reference field="11" count="1" selected="0">
            <x v="48"/>
          </reference>
          <reference field="14" count="1" defaultSubtotal="1">
            <x v="244"/>
          </reference>
        </references>
      </pivotArea>
    </format>
    <format dxfId="10637">
      <pivotArea dataOnly="0" labelOnly="1" outline="0" fieldPosition="0">
        <references count="2">
          <reference field="11" count="1" selected="0">
            <x v="49"/>
          </reference>
          <reference field="14" count="1">
            <x v="228"/>
          </reference>
        </references>
      </pivotArea>
    </format>
    <format dxfId="10636">
      <pivotArea dataOnly="0" labelOnly="1" outline="0" fieldPosition="0">
        <references count="2">
          <reference field="11" count="1" selected="0">
            <x v="49"/>
          </reference>
          <reference field="14" count="1" defaultSubtotal="1">
            <x v="228"/>
          </reference>
        </references>
      </pivotArea>
    </format>
    <format dxfId="10635">
      <pivotArea dataOnly="0" labelOnly="1" outline="0" fieldPosition="0">
        <references count="2">
          <reference field="11" count="1" selected="0">
            <x v="50"/>
          </reference>
          <reference field="14" count="1">
            <x v="318"/>
          </reference>
        </references>
      </pivotArea>
    </format>
    <format dxfId="10634">
      <pivotArea dataOnly="0" labelOnly="1" outline="0" fieldPosition="0">
        <references count="2">
          <reference field="11" count="1" selected="0">
            <x v="50"/>
          </reference>
          <reference field="14" count="1" defaultSubtotal="1">
            <x v="318"/>
          </reference>
        </references>
      </pivotArea>
    </format>
    <format dxfId="10633">
      <pivotArea dataOnly="0" labelOnly="1" outline="0" fieldPosition="0">
        <references count="2">
          <reference field="11" count="1" selected="0">
            <x v="51"/>
          </reference>
          <reference field="14" count="1">
            <x v="241"/>
          </reference>
        </references>
      </pivotArea>
    </format>
    <format dxfId="10632">
      <pivotArea dataOnly="0" labelOnly="1" outline="0" fieldPosition="0">
        <references count="2">
          <reference field="11" count="1" selected="0">
            <x v="51"/>
          </reference>
          <reference field="14" count="1" defaultSubtotal="1">
            <x v="241"/>
          </reference>
        </references>
      </pivotArea>
    </format>
    <format dxfId="10631">
      <pivotArea dataOnly="0" labelOnly="1" outline="0" fieldPosition="0">
        <references count="2">
          <reference field="11" count="1" selected="0">
            <x v="52"/>
          </reference>
          <reference field="14" count="1">
            <x v="413"/>
          </reference>
        </references>
      </pivotArea>
    </format>
    <format dxfId="10630">
      <pivotArea dataOnly="0" labelOnly="1" outline="0" fieldPosition="0">
        <references count="2">
          <reference field="11" count="1" selected="0">
            <x v="52"/>
          </reference>
          <reference field="14" count="1" defaultSubtotal="1">
            <x v="413"/>
          </reference>
        </references>
      </pivotArea>
    </format>
    <format dxfId="10629">
      <pivotArea dataOnly="0" labelOnly="1" outline="0" fieldPosition="0">
        <references count="2">
          <reference field="11" count="1" selected="0">
            <x v="53"/>
          </reference>
          <reference field="14" count="1">
            <x v="283"/>
          </reference>
        </references>
      </pivotArea>
    </format>
    <format dxfId="10628">
      <pivotArea dataOnly="0" labelOnly="1" outline="0" fieldPosition="0">
        <references count="2">
          <reference field="11" count="1" selected="0">
            <x v="53"/>
          </reference>
          <reference field="14" count="1" defaultSubtotal="1">
            <x v="283"/>
          </reference>
        </references>
      </pivotArea>
    </format>
    <format dxfId="10627">
      <pivotArea dataOnly="0" labelOnly="1" outline="0" fieldPosition="0">
        <references count="2">
          <reference field="11" count="1" selected="0">
            <x v="54"/>
          </reference>
          <reference field="14" count="1">
            <x v="278"/>
          </reference>
        </references>
      </pivotArea>
    </format>
    <format dxfId="10626">
      <pivotArea dataOnly="0" labelOnly="1" outline="0" fieldPosition="0">
        <references count="2">
          <reference field="11" count="1" selected="0">
            <x v="54"/>
          </reference>
          <reference field="14" count="1" defaultSubtotal="1">
            <x v="278"/>
          </reference>
        </references>
      </pivotArea>
    </format>
    <format dxfId="10625">
      <pivotArea dataOnly="0" labelOnly="1" outline="0" fieldPosition="0">
        <references count="2">
          <reference field="11" count="1" selected="0">
            <x v="55"/>
          </reference>
          <reference field="14" count="1">
            <x v="275"/>
          </reference>
        </references>
      </pivotArea>
    </format>
    <format dxfId="10624">
      <pivotArea dataOnly="0" labelOnly="1" outline="0" fieldPosition="0">
        <references count="2">
          <reference field="11" count="1" selected="0">
            <x v="55"/>
          </reference>
          <reference field="14" count="1" defaultSubtotal="1">
            <x v="275"/>
          </reference>
        </references>
      </pivotArea>
    </format>
    <format dxfId="10623">
      <pivotArea dataOnly="0" labelOnly="1" outline="0" fieldPosition="0">
        <references count="2">
          <reference field="11" count="1" selected="0">
            <x v="56"/>
          </reference>
          <reference field="14" count="1">
            <x v="463"/>
          </reference>
        </references>
      </pivotArea>
    </format>
    <format dxfId="10622">
      <pivotArea dataOnly="0" labelOnly="1" outline="0" fieldPosition="0">
        <references count="2">
          <reference field="11" count="1" selected="0">
            <x v="56"/>
          </reference>
          <reference field="14" count="1" defaultSubtotal="1">
            <x v="463"/>
          </reference>
        </references>
      </pivotArea>
    </format>
    <format dxfId="10621">
      <pivotArea dataOnly="0" labelOnly="1" outline="0" fieldPosition="0">
        <references count="2">
          <reference field="11" count="1" selected="0">
            <x v="57"/>
          </reference>
          <reference field="14" count="1">
            <x v="462"/>
          </reference>
        </references>
      </pivotArea>
    </format>
    <format dxfId="10620">
      <pivotArea dataOnly="0" labelOnly="1" outline="0" fieldPosition="0">
        <references count="2">
          <reference field="11" count="1" selected="0">
            <x v="57"/>
          </reference>
          <reference field="14" count="1" defaultSubtotal="1">
            <x v="462"/>
          </reference>
        </references>
      </pivotArea>
    </format>
    <format dxfId="10619">
      <pivotArea dataOnly="0" labelOnly="1" outline="0" fieldPosition="0">
        <references count="2">
          <reference field="11" count="1" selected="0">
            <x v="58"/>
          </reference>
          <reference field="14" count="1">
            <x v="459"/>
          </reference>
        </references>
      </pivotArea>
    </format>
    <format dxfId="10618">
      <pivotArea dataOnly="0" labelOnly="1" outline="0" fieldPosition="0">
        <references count="2">
          <reference field="11" count="1" selected="0">
            <x v="58"/>
          </reference>
          <reference field="14" count="1" defaultSubtotal="1">
            <x v="459"/>
          </reference>
        </references>
      </pivotArea>
    </format>
    <format dxfId="10617">
      <pivotArea dataOnly="0" labelOnly="1" outline="0" fieldPosition="0">
        <references count="2">
          <reference field="11" count="1" selected="0">
            <x v="59"/>
          </reference>
          <reference field="14" count="1">
            <x v="271"/>
          </reference>
        </references>
      </pivotArea>
    </format>
    <format dxfId="10616">
      <pivotArea dataOnly="0" labelOnly="1" outline="0" fieldPosition="0">
        <references count="2">
          <reference field="11" count="1" selected="0">
            <x v="59"/>
          </reference>
          <reference field="14" count="1" defaultSubtotal="1">
            <x v="271"/>
          </reference>
        </references>
      </pivotArea>
    </format>
    <format dxfId="10615">
      <pivotArea dataOnly="0" labelOnly="1" outline="0" fieldPosition="0">
        <references count="2">
          <reference field="11" count="1" selected="0">
            <x v="60"/>
          </reference>
          <reference field="14" count="1">
            <x v="22"/>
          </reference>
        </references>
      </pivotArea>
    </format>
    <format dxfId="10614">
      <pivotArea dataOnly="0" labelOnly="1" outline="0" fieldPosition="0">
        <references count="2">
          <reference field="11" count="1" selected="0">
            <x v="60"/>
          </reference>
          <reference field="14" count="1" defaultSubtotal="1">
            <x v="22"/>
          </reference>
        </references>
      </pivotArea>
    </format>
    <format dxfId="10613">
      <pivotArea dataOnly="0" labelOnly="1" outline="0" fieldPosition="0">
        <references count="2">
          <reference field="11" count="1" selected="0">
            <x v="61"/>
          </reference>
          <reference field="14" count="1">
            <x v="354"/>
          </reference>
        </references>
      </pivotArea>
    </format>
    <format dxfId="10612">
      <pivotArea dataOnly="0" labelOnly="1" outline="0" fieldPosition="0">
        <references count="2">
          <reference field="11" count="1" selected="0">
            <x v="61"/>
          </reference>
          <reference field="14" count="1" defaultSubtotal="1">
            <x v="354"/>
          </reference>
        </references>
      </pivotArea>
    </format>
    <format dxfId="10611">
      <pivotArea dataOnly="0" labelOnly="1" outline="0" fieldPosition="0">
        <references count="2">
          <reference field="11" count="1" selected="0">
            <x v="62"/>
          </reference>
          <reference field="14" count="1">
            <x v="415"/>
          </reference>
        </references>
      </pivotArea>
    </format>
    <format dxfId="10610">
      <pivotArea dataOnly="0" labelOnly="1" outline="0" fieldPosition="0">
        <references count="2">
          <reference field="11" count="1" selected="0">
            <x v="62"/>
          </reference>
          <reference field="14" count="1" defaultSubtotal="1">
            <x v="415"/>
          </reference>
        </references>
      </pivotArea>
    </format>
    <format dxfId="10609">
      <pivotArea dataOnly="0" labelOnly="1" outline="0" fieldPosition="0">
        <references count="2">
          <reference field="11" count="1" selected="0">
            <x v="63"/>
          </reference>
          <reference field="14" count="1">
            <x v="227"/>
          </reference>
        </references>
      </pivotArea>
    </format>
    <format dxfId="10608">
      <pivotArea dataOnly="0" labelOnly="1" outline="0" fieldPosition="0">
        <references count="2">
          <reference field="11" count="1" selected="0">
            <x v="63"/>
          </reference>
          <reference field="14" count="1" defaultSubtotal="1">
            <x v="227"/>
          </reference>
        </references>
      </pivotArea>
    </format>
    <format dxfId="10607">
      <pivotArea dataOnly="0" labelOnly="1" outline="0" fieldPosition="0">
        <references count="2">
          <reference field="11" count="1" selected="0">
            <x v="64"/>
          </reference>
          <reference field="14" count="1">
            <x v="261"/>
          </reference>
        </references>
      </pivotArea>
    </format>
    <format dxfId="10606">
      <pivotArea dataOnly="0" labelOnly="1" outline="0" fieldPosition="0">
        <references count="2">
          <reference field="11" count="1" selected="0">
            <x v="64"/>
          </reference>
          <reference field="14" count="1" defaultSubtotal="1">
            <x v="261"/>
          </reference>
        </references>
      </pivotArea>
    </format>
    <format dxfId="10605">
      <pivotArea dataOnly="0" labelOnly="1" outline="0" fieldPosition="0">
        <references count="2">
          <reference field="11" count="1" selected="0">
            <x v="65"/>
          </reference>
          <reference field="14" count="1">
            <x v="336"/>
          </reference>
        </references>
      </pivotArea>
    </format>
    <format dxfId="10604">
      <pivotArea dataOnly="0" labelOnly="1" outline="0" fieldPosition="0">
        <references count="2">
          <reference field="11" count="1" selected="0">
            <x v="65"/>
          </reference>
          <reference field="14" count="1" defaultSubtotal="1">
            <x v="336"/>
          </reference>
        </references>
      </pivotArea>
    </format>
    <format dxfId="10603">
      <pivotArea dataOnly="0" labelOnly="1" outline="0" fieldPosition="0">
        <references count="2">
          <reference field="11" count="1" selected="0">
            <x v="66"/>
          </reference>
          <reference field="14" count="1">
            <x v="63"/>
          </reference>
        </references>
      </pivotArea>
    </format>
    <format dxfId="10602">
      <pivotArea dataOnly="0" labelOnly="1" outline="0" fieldPosition="0">
        <references count="2">
          <reference field="11" count="1" selected="0">
            <x v="66"/>
          </reference>
          <reference field="14" count="1" defaultSubtotal="1">
            <x v="63"/>
          </reference>
        </references>
      </pivotArea>
    </format>
    <format dxfId="10601">
      <pivotArea dataOnly="0" labelOnly="1" outline="0" fieldPosition="0">
        <references count="2">
          <reference field="11" count="1" selected="0">
            <x v="67"/>
          </reference>
          <reference field="14" count="1">
            <x v="237"/>
          </reference>
        </references>
      </pivotArea>
    </format>
    <format dxfId="10600">
      <pivotArea dataOnly="0" labelOnly="1" outline="0" fieldPosition="0">
        <references count="2">
          <reference field="11" count="1" selected="0">
            <x v="67"/>
          </reference>
          <reference field="14" count="1" defaultSubtotal="1">
            <x v="237"/>
          </reference>
        </references>
      </pivotArea>
    </format>
    <format dxfId="10599">
      <pivotArea dataOnly="0" labelOnly="1" outline="0" fieldPosition="0">
        <references count="2">
          <reference field="11" count="1" selected="0">
            <x v="68"/>
          </reference>
          <reference field="14" count="1">
            <x v="138"/>
          </reference>
        </references>
      </pivotArea>
    </format>
    <format dxfId="10598">
      <pivotArea dataOnly="0" labelOnly="1" outline="0" fieldPosition="0">
        <references count="2">
          <reference field="11" count="1" selected="0">
            <x v="68"/>
          </reference>
          <reference field="14" count="1" defaultSubtotal="1">
            <x v="138"/>
          </reference>
        </references>
      </pivotArea>
    </format>
    <format dxfId="10597">
      <pivotArea dataOnly="0" labelOnly="1" outline="0" fieldPosition="0">
        <references count="2">
          <reference field="11" count="1" selected="0">
            <x v="69"/>
          </reference>
          <reference field="14" count="1">
            <x v="139"/>
          </reference>
        </references>
      </pivotArea>
    </format>
    <format dxfId="10596">
      <pivotArea dataOnly="0" labelOnly="1" outline="0" fieldPosition="0">
        <references count="2">
          <reference field="11" count="1" selected="0">
            <x v="69"/>
          </reference>
          <reference field="14" count="1" defaultSubtotal="1">
            <x v="139"/>
          </reference>
        </references>
      </pivotArea>
    </format>
    <format dxfId="10595">
      <pivotArea dataOnly="0" labelOnly="1" outline="0" fieldPosition="0">
        <references count="2">
          <reference field="11" count="1" selected="0">
            <x v="70"/>
          </reference>
          <reference field="14" count="1">
            <x v="137"/>
          </reference>
        </references>
      </pivotArea>
    </format>
    <format dxfId="10594">
      <pivotArea dataOnly="0" labelOnly="1" outline="0" fieldPosition="0">
        <references count="2">
          <reference field="11" count="1" selected="0">
            <x v="70"/>
          </reference>
          <reference field="14" count="1" defaultSubtotal="1">
            <x v="137"/>
          </reference>
        </references>
      </pivotArea>
    </format>
    <format dxfId="10593">
      <pivotArea dataOnly="0" labelOnly="1" outline="0" fieldPosition="0">
        <references count="2">
          <reference field="11" count="1" selected="0">
            <x v="71"/>
          </reference>
          <reference field="14" count="1">
            <x v="468"/>
          </reference>
        </references>
      </pivotArea>
    </format>
    <format dxfId="10592">
      <pivotArea dataOnly="0" labelOnly="1" outline="0" fieldPosition="0">
        <references count="2">
          <reference field="11" count="1" selected="0">
            <x v="71"/>
          </reference>
          <reference field="14" count="1" defaultSubtotal="1">
            <x v="468"/>
          </reference>
        </references>
      </pivotArea>
    </format>
    <format dxfId="10591">
      <pivotArea dataOnly="0" labelOnly="1" outline="0" fieldPosition="0">
        <references count="2">
          <reference field="11" count="1" selected="0">
            <x v="72"/>
          </reference>
          <reference field="14" count="1">
            <x v="83"/>
          </reference>
        </references>
      </pivotArea>
    </format>
    <format dxfId="10590">
      <pivotArea dataOnly="0" labelOnly="1" outline="0" fieldPosition="0">
        <references count="2">
          <reference field="11" count="1" selected="0">
            <x v="72"/>
          </reference>
          <reference field="14" count="1" defaultSubtotal="1">
            <x v="83"/>
          </reference>
        </references>
      </pivotArea>
    </format>
    <format dxfId="10589">
      <pivotArea dataOnly="0" labelOnly="1" outline="0" fieldPosition="0">
        <references count="2">
          <reference field="11" count="1" selected="0">
            <x v="73"/>
          </reference>
          <reference field="14" count="1">
            <x v="288"/>
          </reference>
        </references>
      </pivotArea>
    </format>
    <format dxfId="10588">
      <pivotArea dataOnly="0" labelOnly="1" outline="0" fieldPosition="0">
        <references count="2">
          <reference field="11" count="1" selected="0">
            <x v="73"/>
          </reference>
          <reference field="14" count="1" defaultSubtotal="1">
            <x v="288"/>
          </reference>
        </references>
      </pivotArea>
    </format>
    <format dxfId="10587">
      <pivotArea dataOnly="0" labelOnly="1" outline="0" fieldPosition="0">
        <references count="2">
          <reference field="11" count="1" selected="0">
            <x v="74"/>
          </reference>
          <reference field="14" count="1">
            <x v="235"/>
          </reference>
        </references>
      </pivotArea>
    </format>
    <format dxfId="10586">
      <pivotArea dataOnly="0" labelOnly="1" outline="0" fieldPosition="0">
        <references count="2">
          <reference field="11" count="1" selected="0">
            <x v="74"/>
          </reference>
          <reference field="14" count="1" defaultSubtotal="1">
            <x v="235"/>
          </reference>
        </references>
      </pivotArea>
    </format>
    <format dxfId="10585">
      <pivotArea dataOnly="0" labelOnly="1" outline="0" fieldPosition="0">
        <references count="2">
          <reference field="11" count="1" selected="0">
            <x v="75"/>
          </reference>
          <reference field="14" count="1">
            <x v="285"/>
          </reference>
        </references>
      </pivotArea>
    </format>
    <format dxfId="10584">
      <pivotArea dataOnly="0" labelOnly="1" outline="0" fieldPosition="0">
        <references count="2">
          <reference field="11" count="1" selected="0">
            <x v="75"/>
          </reference>
          <reference field="14" count="1" defaultSubtotal="1">
            <x v="285"/>
          </reference>
        </references>
      </pivotArea>
    </format>
    <format dxfId="10583">
      <pivotArea dataOnly="0" labelOnly="1" outline="0" fieldPosition="0">
        <references count="2">
          <reference field="11" count="1" selected="0">
            <x v="76"/>
          </reference>
          <reference field="14" count="1">
            <x v="214"/>
          </reference>
        </references>
      </pivotArea>
    </format>
    <format dxfId="10582">
      <pivotArea dataOnly="0" labelOnly="1" outline="0" fieldPosition="0">
        <references count="2">
          <reference field="11" count="1" selected="0">
            <x v="76"/>
          </reference>
          <reference field="14" count="1" defaultSubtotal="1">
            <x v="214"/>
          </reference>
        </references>
      </pivotArea>
    </format>
    <format dxfId="10581">
      <pivotArea dataOnly="0" labelOnly="1" outline="0" fieldPosition="0">
        <references count="2">
          <reference field="11" count="1" selected="0">
            <x v="77"/>
          </reference>
          <reference field="14" count="1">
            <x v="104"/>
          </reference>
        </references>
      </pivotArea>
    </format>
    <format dxfId="10580">
      <pivotArea dataOnly="0" labelOnly="1" outline="0" fieldPosition="0">
        <references count="2">
          <reference field="11" count="1" selected="0">
            <x v="77"/>
          </reference>
          <reference field="14" count="1" defaultSubtotal="1">
            <x v="104"/>
          </reference>
        </references>
      </pivotArea>
    </format>
    <format dxfId="10579">
      <pivotArea dataOnly="0" labelOnly="1" outline="0" fieldPosition="0">
        <references count="2">
          <reference field="11" count="1" selected="0">
            <x v="78"/>
          </reference>
          <reference field="14" count="1">
            <x v="195"/>
          </reference>
        </references>
      </pivotArea>
    </format>
    <format dxfId="10578">
      <pivotArea dataOnly="0" labelOnly="1" outline="0" fieldPosition="0">
        <references count="2">
          <reference field="11" count="1" selected="0">
            <x v="78"/>
          </reference>
          <reference field="14" count="1" defaultSubtotal="1">
            <x v="195"/>
          </reference>
        </references>
      </pivotArea>
    </format>
    <format dxfId="10577">
      <pivotArea dataOnly="0" labelOnly="1" outline="0" fieldPosition="0">
        <references count="2">
          <reference field="11" count="1" selected="0">
            <x v="79"/>
          </reference>
          <reference field="14" count="1">
            <x v="196"/>
          </reference>
        </references>
      </pivotArea>
    </format>
    <format dxfId="10576">
      <pivotArea dataOnly="0" labelOnly="1" outline="0" fieldPosition="0">
        <references count="2">
          <reference field="11" count="1" selected="0">
            <x v="79"/>
          </reference>
          <reference field="14" count="1" defaultSubtotal="1">
            <x v="196"/>
          </reference>
        </references>
      </pivotArea>
    </format>
    <format dxfId="10575">
      <pivotArea dataOnly="0" labelOnly="1" outline="0" fieldPosition="0">
        <references count="2">
          <reference field="11" count="1" selected="0">
            <x v="80"/>
          </reference>
          <reference field="14" count="1">
            <x v="467"/>
          </reference>
        </references>
      </pivotArea>
    </format>
    <format dxfId="10574">
      <pivotArea dataOnly="0" labelOnly="1" outline="0" fieldPosition="0">
        <references count="2">
          <reference field="11" count="1" selected="0">
            <x v="80"/>
          </reference>
          <reference field="14" count="1" defaultSubtotal="1">
            <x v="467"/>
          </reference>
        </references>
      </pivotArea>
    </format>
    <format dxfId="10573">
      <pivotArea dataOnly="0" labelOnly="1" outline="0" fieldPosition="0">
        <references count="2">
          <reference field="11" count="1" selected="0">
            <x v="81"/>
          </reference>
          <reference field="14" count="1">
            <x v="56"/>
          </reference>
        </references>
      </pivotArea>
    </format>
    <format dxfId="10572">
      <pivotArea dataOnly="0" labelOnly="1" outline="0" fieldPosition="0">
        <references count="2">
          <reference field="11" count="1" selected="0">
            <x v="81"/>
          </reference>
          <reference field="14" count="1" defaultSubtotal="1">
            <x v="56"/>
          </reference>
        </references>
      </pivotArea>
    </format>
    <format dxfId="10571">
      <pivotArea dataOnly="0" labelOnly="1" outline="0" fieldPosition="0">
        <references count="2">
          <reference field="11" count="1" selected="0">
            <x v="82"/>
          </reference>
          <reference field="14" count="1">
            <x v="106"/>
          </reference>
        </references>
      </pivotArea>
    </format>
    <format dxfId="10570">
      <pivotArea dataOnly="0" labelOnly="1" outline="0" fieldPosition="0">
        <references count="2">
          <reference field="11" count="1" selected="0">
            <x v="82"/>
          </reference>
          <reference field="14" count="1" defaultSubtotal="1">
            <x v="106"/>
          </reference>
        </references>
      </pivotArea>
    </format>
    <format dxfId="10569">
      <pivotArea dataOnly="0" labelOnly="1" outline="0" fieldPosition="0">
        <references count="2">
          <reference field="11" count="1" selected="0">
            <x v="83"/>
          </reference>
          <reference field="14" count="1">
            <x v="216"/>
          </reference>
        </references>
      </pivotArea>
    </format>
    <format dxfId="10568">
      <pivotArea dataOnly="0" labelOnly="1" outline="0" fieldPosition="0">
        <references count="2">
          <reference field="11" count="1" selected="0">
            <x v="83"/>
          </reference>
          <reference field="14" count="1" defaultSubtotal="1">
            <x v="216"/>
          </reference>
        </references>
      </pivotArea>
    </format>
    <format dxfId="10567">
      <pivotArea dataOnly="0" labelOnly="1" outline="0" fieldPosition="0">
        <references count="2">
          <reference field="11" count="1" selected="0">
            <x v="84"/>
          </reference>
          <reference field="14" count="1">
            <x v="47"/>
          </reference>
        </references>
      </pivotArea>
    </format>
    <format dxfId="10566">
      <pivotArea dataOnly="0" labelOnly="1" outline="0" fieldPosition="0">
        <references count="2">
          <reference field="11" count="1" selected="0">
            <x v="84"/>
          </reference>
          <reference field="14" count="1" defaultSubtotal="1">
            <x v="47"/>
          </reference>
        </references>
      </pivotArea>
    </format>
    <format dxfId="10565">
      <pivotArea dataOnly="0" labelOnly="1" outline="0" fieldPosition="0">
        <references count="2">
          <reference field="11" count="1" selected="0">
            <x v="85"/>
          </reference>
          <reference field="14" count="1">
            <x v="203"/>
          </reference>
        </references>
      </pivotArea>
    </format>
    <format dxfId="10564">
      <pivotArea dataOnly="0" labelOnly="1" outline="0" fieldPosition="0">
        <references count="2">
          <reference field="11" count="1" selected="0">
            <x v="85"/>
          </reference>
          <reference field="14" count="1" defaultSubtotal="1">
            <x v="203"/>
          </reference>
        </references>
      </pivotArea>
    </format>
    <format dxfId="10563">
      <pivotArea dataOnly="0" labelOnly="1" outline="0" fieldPosition="0">
        <references count="2">
          <reference field="11" count="1" selected="0">
            <x v="86"/>
          </reference>
          <reference field="14" count="1">
            <x v="383"/>
          </reference>
        </references>
      </pivotArea>
    </format>
    <format dxfId="10562">
      <pivotArea dataOnly="0" labelOnly="1" outline="0" fieldPosition="0">
        <references count="2">
          <reference field="11" count="1" selected="0">
            <x v="86"/>
          </reference>
          <reference field="14" count="1" defaultSubtotal="1">
            <x v="383"/>
          </reference>
        </references>
      </pivotArea>
    </format>
    <format dxfId="10561">
      <pivotArea dataOnly="0" labelOnly="1" outline="0" fieldPosition="0">
        <references count="2">
          <reference field="11" count="1" selected="0">
            <x v="87"/>
          </reference>
          <reference field="14" count="1">
            <x v="193"/>
          </reference>
        </references>
      </pivotArea>
    </format>
    <format dxfId="10560">
      <pivotArea dataOnly="0" labelOnly="1" outline="0" fieldPosition="0">
        <references count="2">
          <reference field="11" count="1" selected="0">
            <x v="87"/>
          </reference>
          <reference field="14" count="1" defaultSubtotal="1">
            <x v="193"/>
          </reference>
        </references>
      </pivotArea>
    </format>
    <format dxfId="10559">
      <pivotArea dataOnly="0" labelOnly="1" outline="0" fieldPosition="0">
        <references count="2">
          <reference field="11" count="1" selected="0">
            <x v="88"/>
          </reference>
          <reference field="14" count="1">
            <x v="4"/>
          </reference>
        </references>
      </pivotArea>
    </format>
    <format dxfId="10558">
      <pivotArea dataOnly="0" labelOnly="1" outline="0" fieldPosition="0">
        <references count="2">
          <reference field="11" count="1" selected="0">
            <x v="88"/>
          </reference>
          <reference field="14" count="1" defaultSubtotal="1">
            <x v="4"/>
          </reference>
        </references>
      </pivotArea>
    </format>
    <format dxfId="10557">
      <pivotArea dataOnly="0" labelOnly="1" outline="0" fieldPosition="0">
        <references count="2">
          <reference field="11" count="1" selected="0">
            <x v="89"/>
          </reference>
          <reference field="14" count="1">
            <x v="251"/>
          </reference>
        </references>
      </pivotArea>
    </format>
    <format dxfId="10556">
      <pivotArea dataOnly="0" labelOnly="1" outline="0" fieldPosition="0">
        <references count="2">
          <reference field="11" count="1" selected="0">
            <x v="89"/>
          </reference>
          <reference field="14" count="1" defaultSubtotal="1">
            <x v="251"/>
          </reference>
        </references>
      </pivotArea>
    </format>
    <format dxfId="10555">
      <pivotArea dataOnly="0" labelOnly="1" outline="0" fieldPosition="0">
        <references count="2">
          <reference field="11" count="1" selected="0">
            <x v="90"/>
          </reference>
          <reference field="14" count="1">
            <x v="335"/>
          </reference>
        </references>
      </pivotArea>
    </format>
    <format dxfId="10554">
      <pivotArea dataOnly="0" labelOnly="1" outline="0" fieldPosition="0">
        <references count="2">
          <reference field="11" count="1" selected="0">
            <x v="90"/>
          </reference>
          <reference field="14" count="1" defaultSubtotal="1">
            <x v="335"/>
          </reference>
        </references>
      </pivotArea>
    </format>
    <format dxfId="10553">
      <pivotArea dataOnly="0" labelOnly="1" outline="0" fieldPosition="0">
        <references count="2">
          <reference field="11" count="1" selected="0">
            <x v="91"/>
          </reference>
          <reference field="14" count="1">
            <x v="27"/>
          </reference>
        </references>
      </pivotArea>
    </format>
    <format dxfId="10552">
      <pivotArea dataOnly="0" labelOnly="1" outline="0" fieldPosition="0">
        <references count="2">
          <reference field="11" count="1" selected="0">
            <x v="91"/>
          </reference>
          <reference field="14" count="1" defaultSubtotal="1">
            <x v="27"/>
          </reference>
        </references>
      </pivotArea>
    </format>
    <format dxfId="10551">
      <pivotArea dataOnly="0" labelOnly="1" outline="0" fieldPosition="0">
        <references count="2">
          <reference field="11" count="1" selected="0">
            <x v="92"/>
          </reference>
          <reference field="14" count="1">
            <x v="189"/>
          </reference>
        </references>
      </pivotArea>
    </format>
    <format dxfId="10550">
      <pivotArea dataOnly="0" labelOnly="1" outline="0" fieldPosition="0">
        <references count="2">
          <reference field="11" count="1" selected="0">
            <x v="92"/>
          </reference>
          <reference field="14" count="1" defaultSubtotal="1">
            <x v="189"/>
          </reference>
        </references>
      </pivotArea>
    </format>
    <format dxfId="10549">
      <pivotArea dataOnly="0" labelOnly="1" outline="0" fieldPosition="0">
        <references count="2">
          <reference field="11" count="1" selected="0">
            <x v="93"/>
          </reference>
          <reference field="14" count="1">
            <x v="451"/>
          </reference>
        </references>
      </pivotArea>
    </format>
    <format dxfId="10548">
      <pivotArea dataOnly="0" labelOnly="1" outline="0" fieldPosition="0">
        <references count="2">
          <reference field="11" count="1" selected="0">
            <x v="93"/>
          </reference>
          <reference field="14" count="1" defaultSubtotal="1">
            <x v="451"/>
          </reference>
        </references>
      </pivotArea>
    </format>
    <format dxfId="10547">
      <pivotArea dataOnly="0" labelOnly="1" outline="0" fieldPosition="0">
        <references count="2">
          <reference field="11" count="1" selected="0">
            <x v="94"/>
          </reference>
          <reference field="14" count="1">
            <x v="23"/>
          </reference>
        </references>
      </pivotArea>
    </format>
    <format dxfId="10546">
      <pivotArea dataOnly="0" labelOnly="1" outline="0" fieldPosition="0">
        <references count="2">
          <reference field="11" count="1" selected="0">
            <x v="94"/>
          </reference>
          <reference field="14" count="1" defaultSubtotal="1">
            <x v="23"/>
          </reference>
        </references>
      </pivotArea>
    </format>
    <format dxfId="10545">
      <pivotArea dataOnly="0" labelOnly="1" outline="0" fieldPosition="0">
        <references count="2">
          <reference field="11" count="1" selected="0">
            <x v="95"/>
          </reference>
          <reference field="14" count="1">
            <x v="200"/>
          </reference>
        </references>
      </pivotArea>
    </format>
    <format dxfId="10544">
      <pivotArea dataOnly="0" labelOnly="1" outline="0" fieldPosition="0">
        <references count="2">
          <reference field="11" count="1" selected="0">
            <x v="95"/>
          </reference>
          <reference field="14" count="1" defaultSubtotal="1">
            <x v="200"/>
          </reference>
        </references>
      </pivotArea>
    </format>
    <format dxfId="10543">
      <pivotArea dataOnly="0" labelOnly="1" outline="0" fieldPosition="0">
        <references count="2">
          <reference field="11" count="1" selected="0">
            <x v="96"/>
          </reference>
          <reference field="14" count="1">
            <x v="240"/>
          </reference>
        </references>
      </pivotArea>
    </format>
    <format dxfId="10542">
      <pivotArea dataOnly="0" labelOnly="1" outline="0" fieldPosition="0">
        <references count="2">
          <reference field="11" count="1" selected="0">
            <x v="96"/>
          </reference>
          <reference field="14" count="1" defaultSubtotal="1">
            <x v="240"/>
          </reference>
        </references>
      </pivotArea>
    </format>
    <format dxfId="10541">
      <pivotArea dataOnly="0" labelOnly="1" outline="0" fieldPosition="0">
        <references count="2">
          <reference field="11" count="1" selected="0">
            <x v="97"/>
          </reference>
          <reference field="14" count="1">
            <x v="268"/>
          </reference>
        </references>
      </pivotArea>
    </format>
    <format dxfId="10540">
      <pivotArea dataOnly="0" labelOnly="1" outline="0" fieldPosition="0">
        <references count="2">
          <reference field="11" count="1" selected="0">
            <x v="97"/>
          </reference>
          <reference field="14" count="1" defaultSubtotal="1">
            <x v="268"/>
          </reference>
        </references>
      </pivotArea>
    </format>
    <format dxfId="10539">
      <pivotArea dataOnly="0" labelOnly="1" outline="0" fieldPosition="0">
        <references count="2">
          <reference field="11" count="1" selected="0">
            <x v="98"/>
          </reference>
          <reference field="14" count="1">
            <x v="358"/>
          </reference>
        </references>
      </pivotArea>
    </format>
    <format dxfId="10538">
      <pivotArea dataOnly="0" labelOnly="1" outline="0" fieldPosition="0">
        <references count="2">
          <reference field="11" count="1" selected="0">
            <x v="98"/>
          </reference>
          <reference field="14" count="1" defaultSubtotal="1">
            <x v="358"/>
          </reference>
        </references>
      </pivotArea>
    </format>
    <format dxfId="10537">
      <pivotArea dataOnly="0" labelOnly="1" outline="0" fieldPosition="0">
        <references count="2">
          <reference field="11" count="1" selected="0">
            <x v="99"/>
          </reference>
          <reference field="14" count="1">
            <x v="454"/>
          </reference>
        </references>
      </pivotArea>
    </format>
    <format dxfId="10536">
      <pivotArea dataOnly="0" labelOnly="1" outline="0" fieldPosition="0">
        <references count="2">
          <reference field="11" count="1" selected="0">
            <x v="99"/>
          </reference>
          <reference field="14" count="1" defaultSubtotal="1">
            <x v="454"/>
          </reference>
        </references>
      </pivotArea>
    </format>
    <format dxfId="10535">
      <pivotArea dataOnly="0" labelOnly="1" outline="0" fieldPosition="0">
        <references count="2">
          <reference field="11" count="1" selected="0">
            <x v="100"/>
          </reference>
          <reference field="14" count="1">
            <x v="274"/>
          </reference>
        </references>
      </pivotArea>
    </format>
    <format dxfId="10534">
      <pivotArea dataOnly="0" labelOnly="1" outline="0" fieldPosition="0">
        <references count="2">
          <reference field="11" count="1" selected="0">
            <x v="100"/>
          </reference>
          <reference field="14" count="1" defaultSubtotal="1">
            <x v="274"/>
          </reference>
        </references>
      </pivotArea>
    </format>
    <format dxfId="10533">
      <pivotArea dataOnly="0" labelOnly="1" outline="0" fieldPosition="0">
        <references count="2">
          <reference field="11" count="1" selected="0">
            <x v="101"/>
          </reference>
          <reference field="14" count="1">
            <x v="303"/>
          </reference>
        </references>
      </pivotArea>
    </format>
    <format dxfId="10532">
      <pivotArea dataOnly="0" labelOnly="1" outline="0" fieldPosition="0">
        <references count="2">
          <reference field="11" count="1" selected="0">
            <x v="101"/>
          </reference>
          <reference field="14" count="1" defaultSubtotal="1">
            <x v="303"/>
          </reference>
        </references>
      </pivotArea>
    </format>
    <format dxfId="10531">
      <pivotArea dataOnly="0" labelOnly="1" outline="0" fieldPosition="0">
        <references count="2">
          <reference field="11" count="1" selected="0">
            <x v="102"/>
          </reference>
          <reference field="14" count="1">
            <x v="248"/>
          </reference>
        </references>
      </pivotArea>
    </format>
    <format dxfId="10530">
      <pivotArea dataOnly="0" labelOnly="1" outline="0" fieldPosition="0">
        <references count="2">
          <reference field="11" count="1" selected="0">
            <x v="102"/>
          </reference>
          <reference field="14" count="1" defaultSubtotal="1">
            <x v="248"/>
          </reference>
        </references>
      </pivotArea>
    </format>
    <format dxfId="10529">
      <pivotArea dataOnly="0" labelOnly="1" outline="0" fieldPosition="0">
        <references count="2">
          <reference field="11" count="1" selected="0">
            <x v="103"/>
          </reference>
          <reference field="14" count="1">
            <x v="48"/>
          </reference>
        </references>
      </pivotArea>
    </format>
    <format dxfId="10528">
      <pivotArea dataOnly="0" labelOnly="1" outline="0" fieldPosition="0">
        <references count="2">
          <reference field="11" count="1" selected="0">
            <x v="103"/>
          </reference>
          <reference field="14" count="1" defaultSubtotal="1">
            <x v="48"/>
          </reference>
        </references>
      </pivotArea>
    </format>
    <format dxfId="10527">
      <pivotArea dataOnly="0" labelOnly="1" outline="0" fieldPosition="0">
        <references count="2">
          <reference field="11" count="1" selected="0">
            <x v="104"/>
          </reference>
          <reference field="14" count="1">
            <x v="321"/>
          </reference>
        </references>
      </pivotArea>
    </format>
    <format dxfId="10526">
      <pivotArea dataOnly="0" labelOnly="1" outline="0" fieldPosition="0">
        <references count="2">
          <reference field="11" count="1" selected="0">
            <x v="104"/>
          </reference>
          <reference field="14" count="1" defaultSubtotal="1">
            <x v="321"/>
          </reference>
        </references>
      </pivotArea>
    </format>
    <format dxfId="10525">
      <pivotArea dataOnly="0" labelOnly="1" outline="0" fieldPosition="0">
        <references count="2">
          <reference field="11" count="1" selected="0">
            <x v="105"/>
          </reference>
          <reference field="14" count="1">
            <x v="320"/>
          </reference>
        </references>
      </pivotArea>
    </format>
    <format dxfId="10524">
      <pivotArea dataOnly="0" labelOnly="1" outline="0" fieldPosition="0">
        <references count="2">
          <reference field="11" count="1" selected="0">
            <x v="105"/>
          </reference>
          <reference field="14" count="1" defaultSubtotal="1">
            <x v="320"/>
          </reference>
        </references>
      </pivotArea>
    </format>
    <format dxfId="10523">
      <pivotArea dataOnly="0" labelOnly="1" outline="0" fieldPosition="0">
        <references count="2">
          <reference field="11" count="1" selected="0">
            <x v="106"/>
          </reference>
          <reference field="14" count="1">
            <x v="210"/>
          </reference>
        </references>
      </pivotArea>
    </format>
    <format dxfId="10522">
      <pivotArea dataOnly="0" labelOnly="1" outline="0" fieldPosition="0">
        <references count="2">
          <reference field="11" count="1" selected="0">
            <x v="106"/>
          </reference>
          <reference field="14" count="1" defaultSubtotal="1">
            <x v="210"/>
          </reference>
        </references>
      </pivotArea>
    </format>
    <format dxfId="10521">
      <pivotArea dataOnly="0" labelOnly="1" outline="0" fieldPosition="0">
        <references count="2">
          <reference field="11" count="1" selected="0">
            <x v="107"/>
          </reference>
          <reference field="14" count="1">
            <x v="220"/>
          </reference>
        </references>
      </pivotArea>
    </format>
    <format dxfId="10520">
      <pivotArea dataOnly="0" labelOnly="1" outline="0" fieldPosition="0">
        <references count="2">
          <reference field="11" count="1" selected="0">
            <x v="107"/>
          </reference>
          <reference field="14" count="1" defaultSubtotal="1">
            <x v="220"/>
          </reference>
        </references>
      </pivotArea>
    </format>
    <format dxfId="10519">
      <pivotArea dataOnly="0" labelOnly="1" outline="0" fieldPosition="0">
        <references count="2">
          <reference field="11" count="1" selected="0">
            <x v="108"/>
          </reference>
          <reference field="14" count="1">
            <x v="111"/>
          </reference>
        </references>
      </pivotArea>
    </format>
    <format dxfId="10518">
      <pivotArea dataOnly="0" labelOnly="1" outline="0" fieldPosition="0">
        <references count="2">
          <reference field="11" count="1" selected="0">
            <x v="108"/>
          </reference>
          <reference field="14" count="1" defaultSubtotal="1">
            <x v="111"/>
          </reference>
        </references>
      </pivotArea>
    </format>
    <format dxfId="10517">
      <pivotArea dataOnly="0" labelOnly="1" outline="0" fieldPosition="0">
        <references count="2">
          <reference field="11" count="1" selected="0">
            <x v="109"/>
          </reference>
          <reference field="14" count="1">
            <x v="194"/>
          </reference>
        </references>
      </pivotArea>
    </format>
    <format dxfId="10516">
      <pivotArea dataOnly="0" labelOnly="1" outline="0" fieldPosition="0">
        <references count="2">
          <reference field="11" count="1" selected="0">
            <x v="109"/>
          </reference>
          <reference field="14" count="1" defaultSubtotal="1">
            <x v="194"/>
          </reference>
        </references>
      </pivotArea>
    </format>
    <format dxfId="10515">
      <pivotArea dataOnly="0" labelOnly="1" outline="0" fieldPosition="0">
        <references count="2">
          <reference field="11" count="1" selected="0">
            <x v="110"/>
          </reference>
          <reference field="14" count="1">
            <x v="52"/>
          </reference>
        </references>
      </pivotArea>
    </format>
    <format dxfId="10514">
      <pivotArea dataOnly="0" labelOnly="1" outline="0" fieldPosition="0">
        <references count="2">
          <reference field="11" count="1" selected="0">
            <x v="110"/>
          </reference>
          <reference field="14" count="1" defaultSubtotal="1">
            <x v="52"/>
          </reference>
        </references>
      </pivotArea>
    </format>
    <format dxfId="10513">
      <pivotArea dataOnly="0" labelOnly="1" outline="0" fieldPosition="0">
        <references count="2">
          <reference field="11" count="1" selected="0">
            <x v="111"/>
          </reference>
          <reference field="14" count="1">
            <x v="229"/>
          </reference>
        </references>
      </pivotArea>
    </format>
    <format dxfId="10512">
      <pivotArea dataOnly="0" labelOnly="1" outline="0" fieldPosition="0">
        <references count="2">
          <reference field="11" count="1" selected="0">
            <x v="111"/>
          </reference>
          <reference field="14" count="1" defaultSubtotal="1">
            <x v="229"/>
          </reference>
        </references>
      </pivotArea>
    </format>
    <format dxfId="10511">
      <pivotArea dataOnly="0" labelOnly="1" outline="0" fieldPosition="0">
        <references count="2">
          <reference field="11" count="1" selected="0">
            <x v="112"/>
          </reference>
          <reference field="14" count="1">
            <x v="41"/>
          </reference>
        </references>
      </pivotArea>
    </format>
    <format dxfId="10510">
      <pivotArea dataOnly="0" labelOnly="1" outline="0" fieldPosition="0">
        <references count="2">
          <reference field="11" count="1" selected="0">
            <x v="112"/>
          </reference>
          <reference field="14" count="1" defaultSubtotal="1">
            <x v="41"/>
          </reference>
        </references>
      </pivotArea>
    </format>
    <format dxfId="10509">
      <pivotArea dataOnly="0" labelOnly="1" outline="0" fieldPosition="0">
        <references count="2">
          <reference field="11" count="1" selected="0">
            <x v="113"/>
          </reference>
          <reference field="14" count="1">
            <x v="40"/>
          </reference>
        </references>
      </pivotArea>
    </format>
    <format dxfId="10508">
      <pivotArea dataOnly="0" labelOnly="1" outline="0" fieldPosition="0">
        <references count="2">
          <reference field="11" count="1" selected="0">
            <x v="113"/>
          </reference>
          <reference field="14" count="1" defaultSubtotal="1">
            <x v="40"/>
          </reference>
        </references>
      </pivotArea>
    </format>
    <format dxfId="10507">
      <pivotArea dataOnly="0" labelOnly="1" outline="0" fieldPosition="0">
        <references count="2">
          <reference field="11" count="1" selected="0">
            <x v="114"/>
          </reference>
          <reference field="14" count="1">
            <x v="433"/>
          </reference>
        </references>
      </pivotArea>
    </format>
    <format dxfId="10506">
      <pivotArea dataOnly="0" labelOnly="1" outline="0" fieldPosition="0">
        <references count="2">
          <reference field="11" count="1" selected="0">
            <x v="114"/>
          </reference>
          <reference field="14" count="1" defaultSubtotal="1">
            <x v="433"/>
          </reference>
        </references>
      </pivotArea>
    </format>
    <format dxfId="10505">
      <pivotArea dataOnly="0" labelOnly="1" outline="0" fieldPosition="0">
        <references count="2">
          <reference field="11" count="1" selected="0">
            <x v="115"/>
          </reference>
          <reference field="14" count="1">
            <x v="470"/>
          </reference>
        </references>
      </pivotArea>
    </format>
    <format dxfId="10504">
      <pivotArea dataOnly="0" labelOnly="1" outline="0" fieldPosition="0">
        <references count="2">
          <reference field="11" count="1" selected="0">
            <x v="115"/>
          </reference>
          <reference field="14" count="1" defaultSubtotal="1">
            <x v="470"/>
          </reference>
        </references>
      </pivotArea>
    </format>
    <format dxfId="10503">
      <pivotArea dataOnly="0" labelOnly="1" outline="0" fieldPosition="0">
        <references count="2">
          <reference field="11" count="1" selected="0">
            <x v="116"/>
          </reference>
          <reference field="14" count="1">
            <x v="469"/>
          </reference>
        </references>
      </pivotArea>
    </format>
    <format dxfId="10502">
      <pivotArea dataOnly="0" labelOnly="1" outline="0" fieldPosition="0">
        <references count="2">
          <reference field="11" count="1" selected="0">
            <x v="116"/>
          </reference>
          <reference field="14" count="1" defaultSubtotal="1">
            <x v="469"/>
          </reference>
        </references>
      </pivotArea>
    </format>
    <format dxfId="10501">
      <pivotArea dataOnly="0" labelOnly="1" outline="0" fieldPosition="0">
        <references count="2">
          <reference field="11" count="1" selected="0">
            <x v="117"/>
          </reference>
          <reference field="14" count="1">
            <x v="472"/>
          </reference>
        </references>
      </pivotArea>
    </format>
    <format dxfId="10500">
      <pivotArea dataOnly="0" labelOnly="1" outline="0" fieldPosition="0">
        <references count="2">
          <reference field="11" count="1" selected="0">
            <x v="117"/>
          </reference>
          <reference field="14" count="1" defaultSubtotal="1">
            <x v="472"/>
          </reference>
        </references>
      </pivotArea>
    </format>
    <format dxfId="10499">
      <pivotArea dataOnly="0" labelOnly="1" outline="0" fieldPosition="0">
        <references count="2">
          <reference field="11" count="1" selected="0">
            <x v="118"/>
          </reference>
          <reference field="14" count="1">
            <x v="473"/>
          </reference>
        </references>
      </pivotArea>
    </format>
    <format dxfId="10498">
      <pivotArea dataOnly="0" labelOnly="1" outline="0" fieldPosition="0">
        <references count="2">
          <reference field="11" count="1" selected="0">
            <x v="118"/>
          </reference>
          <reference field="14" count="1" defaultSubtotal="1">
            <x v="473"/>
          </reference>
        </references>
      </pivotArea>
    </format>
    <format dxfId="10497">
      <pivotArea dataOnly="0" labelOnly="1" outline="0" fieldPosition="0">
        <references count="2">
          <reference field="11" count="1" selected="0">
            <x v="119"/>
          </reference>
          <reference field="14" count="1">
            <x v="475"/>
          </reference>
        </references>
      </pivotArea>
    </format>
    <format dxfId="10496">
      <pivotArea dataOnly="0" labelOnly="1" outline="0" fieldPosition="0">
        <references count="2">
          <reference field="11" count="1" selected="0">
            <x v="119"/>
          </reference>
          <reference field="14" count="1" defaultSubtotal="1">
            <x v="475"/>
          </reference>
        </references>
      </pivotArea>
    </format>
    <format dxfId="10495">
      <pivotArea dataOnly="0" labelOnly="1" outline="0" fieldPosition="0">
        <references count="2">
          <reference field="11" count="1" selected="0">
            <x v="120"/>
          </reference>
          <reference field="14" count="1">
            <x v="474"/>
          </reference>
        </references>
      </pivotArea>
    </format>
    <format dxfId="10494">
      <pivotArea dataOnly="0" labelOnly="1" outline="0" fieldPosition="0">
        <references count="2">
          <reference field="11" count="1" selected="0">
            <x v="120"/>
          </reference>
          <reference field="14" count="1" defaultSubtotal="1">
            <x v="474"/>
          </reference>
        </references>
      </pivotArea>
    </format>
    <format dxfId="10493">
      <pivotArea dataOnly="0" labelOnly="1" outline="0" fieldPosition="0">
        <references count="2">
          <reference field="11" count="1" selected="0">
            <x v="121"/>
          </reference>
          <reference field="14" count="1">
            <x v="477"/>
          </reference>
        </references>
      </pivotArea>
    </format>
    <format dxfId="10492">
      <pivotArea dataOnly="0" labelOnly="1" outline="0" fieldPosition="0">
        <references count="2">
          <reference field="11" count="1" selected="0">
            <x v="121"/>
          </reference>
          <reference field="14" count="1" defaultSubtotal="1">
            <x v="477"/>
          </reference>
        </references>
      </pivotArea>
    </format>
    <format dxfId="10491">
      <pivotArea dataOnly="0" labelOnly="1" outline="0" fieldPosition="0">
        <references count="2">
          <reference field="11" count="1" selected="0">
            <x v="122"/>
          </reference>
          <reference field="14" count="1">
            <x v="476"/>
          </reference>
        </references>
      </pivotArea>
    </format>
    <format dxfId="10490">
      <pivotArea dataOnly="0" labelOnly="1" outline="0" fieldPosition="0">
        <references count="2">
          <reference field="11" count="1" selected="0">
            <x v="122"/>
          </reference>
          <reference field="14" count="1" defaultSubtotal="1">
            <x v="476"/>
          </reference>
        </references>
      </pivotArea>
    </format>
    <format dxfId="10489">
      <pivotArea dataOnly="0" labelOnly="1" outline="0" fieldPosition="0">
        <references count="2">
          <reference field="11" count="1" selected="0">
            <x v="123"/>
          </reference>
          <reference field="14" count="1">
            <x v="478"/>
          </reference>
        </references>
      </pivotArea>
    </format>
    <format dxfId="10488">
      <pivotArea dataOnly="0" labelOnly="1" outline="0" fieldPosition="0">
        <references count="2">
          <reference field="11" count="1" selected="0">
            <x v="123"/>
          </reference>
          <reference field="14" count="1" defaultSubtotal="1">
            <x v="478"/>
          </reference>
        </references>
      </pivotArea>
    </format>
    <format dxfId="10487">
      <pivotArea dataOnly="0" labelOnly="1" outline="0" fieldPosition="0">
        <references count="2">
          <reference field="11" count="1" selected="0">
            <x v="124"/>
          </reference>
          <reference field="14" count="1">
            <x v="480"/>
          </reference>
        </references>
      </pivotArea>
    </format>
    <format dxfId="10486">
      <pivotArea dataOnly="0" labelOnly="1" outline="0" fieldPosition="0">
        <references count="2">
          <reference field="11" count="1" selected="0">
            <x v="124"/>
          </reference>
          <reference field="14" count="1" defaultSubtotal="1">
            <x v="480"/>
          </reference>
        </references>
      </pivotArea>
    </format>
    <format dxfId="10485">
      <pivotArea dataOnly="0" labelOnly="1" outline="0" fieldPosition="0">
        <references count="2">
          <reference field="11" count="1" selected="0">
            <x v="125"/>
          </reference>
          <reference field="14" count="1">
            <x v="479"/>
          </reference>
        </references>
      </pivotArea>
    </format>
    <format dxfId="10484">
      <pivotArea dataOnly="0" labelOnly="1" outline="0" fieldPosition="0">
        <references count="2">
          <reference field="11" count="1" selected="0">
            <x v="125"/>
          </reference>
          <reference field="14" count="1" defaultSubtotal="1">
            <x v="479"/>
          </reference>
        </references>
      </pivotArea>
    </format>
    <format dxfId="10483">
      <pivotArea dataOnly="0" labelOnly="1" outline="0" fieldPosition="0">
        <references count="2">
          <reference field="11" count="1" selected="0">
            <x v="126"/>
          </reference>
          <reference field="14" count="1">
            <x v="481"/>
          </reference>
        </references>
      </pivotArea>
    </format>
    <format dxfId="10482">
      <pivotArea dataOnly="0" labelOnly="1" outline="0" fieldPosition="0">
        <references count="2">
          <reference field="11" count="1" selected="0">
            <x v="126"/>
          </reference>
          <reference field="14" count="1" defaultSubtotal="1">
            <x v="481"/>
          </reference>
        </references>
      </pivotArea>
    </format>
    <format dxfId="10481">
      <pivotArea dataOnly="0" labelOnly="1" outline="0" fieldPosition="0">
        <references count="2">
          <reference field="11" count="1" selected="0">
            <x v="127"/>
          </reference>
          <reference field="14" count="1">
            <x v="483"/>
          </reference>
        </references>
      </pivotArea>
    </format>
    <format dxfId="10480">
      <pivotArea dataOnly="0" labelOnly="1" outline="0" fieldPosition="0">
        <references count="2">
          <reference field="11" count="1" selected="0">
            <x v="127"/>
          </reference>
          <reference field="14" count="1" defaultSubtotal="1">
            <x v="483"/>
          </reference>
        </references>
      </pivotArea>
    </format>
    <format dxfId="10479">
      <pivotArea dataOnly="0" labelOnly="1" outline="0" fieldPosition="0">
        <references count="2">
          <reference field="11" count="1" selected="0">
            <x v="128"/>
          </reference>
          <reference field="14" count="1">
            <x v="453"/>
          </reference>
        </references>
      </pivotArea>
    </format>
    <format dxfId="10478">
      <pivotArea dataOnly="0" labelOnly="1" outline="0" fieldPosition="0">
        <references count="2">
          <reference field="11" count="1" selected="0">
            <x v="128"/>
          </reference>
          <reference field="14" count="1" defaultSubtotal="1">
            <x v="453"/>
          </reference>
        </references>
      </pivotArea>
    </format>
    <format dxfId="10477">
      <pivotArea dataOnly="0" labelOnly="1" outline="0" fieldPosition="0">
        <references count="2">
          <reference field="11" count="1" selected="0">
            <x v="129"/>
          </reference>
          <reference field="14" count="1">
            <x v="391"/>
          </reference>
        </references>
      </pivotArea>
    </format>
    <format dxfId="10476">
      <pivotArea dataOnly="0" labelOnly="1" outline="0" fieldPosition="0">
        <references count="2">
          <reference field="11" count="1" selected="0">
            <x v="129"/>
          </reference>
          <reference field="14" count="1" defaultSubtotal="1">
            <x v="391"/>
          </reference>
        </references>
      </pivotArea>
    </format>
    <format dxfId="10475">
      <pivotArea dataOnly="0" labelOnly="1" outline="0" fieldPosition="0">
        <references count="2">
          <reference field="11" count="1" selected="0">
            <x v="130"/>
          </reference>
          <reference field="14" count="1">
            <x v="242"/>
          </reference>
        </references>
      </pivotArea>
    </format>
    <format dxfId="10474">
      <pivotArea dataOnly="0" labelOnly="1" outline="0" fieldPosition="0">
        <references count="2">
          <reference field="11" count="1" selected="0">
            <x v="130"/>
          </reference>
          <reference field="14" count="1" defaultSubtotal="1">
            <x v="242"/>
          </reference>
        </references>
      </pivotArea>
    </format>
    <format dxfId="10473">
      <pivotArea dataOnly="0" labelOnly="1" outline="0" fieldPosition="0">
        <references count="2">
          <reference field="11" count="1" selected="0">
            <x v="131"/>
          </reference>
          <reference field="14" count="1">
            <x v="33"/>
          </reference>
        </references>
      </pivotArea>
    </format>
    <format dxfId="10472">
      <pivotArea dataOnly="0" labelOnly="1" outline="0" fieldPosition="0">
        <references count="2">
          <reference field="11" count="1" selected="0">
            <x v="131"/>
          </reference>
          <reference field="14" count="1" defaultSubtotal="1">
            <x v="33"/>
          </reference>
        </references>
      </pivotArea>
    </format>
    <format dxfId="10471">
      <pivotArea dataOnly="0" labelOnly="1" outline="0" fieldPosition="0">
        <references count="2">
          <reference field="11" count="1" selected="0">
            <x v="132"/>
          </reference>
          <reference field="14" count="1">
            <x v="482"/>
          </reference>
        </references>
      </pivotArea>
    </format>
    <format dxfId="10470">
      <pivotArea dataOnly="0" labelOnly="1" outline="0" fieldPosition="0">
        <references count="2">
          <reference field="11" count="1" selected="0">
            <x v="132"/>
          </reference>
          <reference field="14" count="1" defaultSubtotal="1">
            <x v="482"/>
          </reference>
        </references>
      </pivotArea>
    </format>
    <format dxfId="10469">
      <pivotArea dataOnly="0" labelOnly="1" outline="0" fieldPosition="0">
        <references count="2">
          <reference field="11" count="1" selected="0">
            <x v="133"/>
          </reference>
          <reference field="14" count="1">
            <x v="266"/>
          </reference>
        </references>
      </pivotArea>
    </format>
    <format dxfId="10468">
      <pivotArea dataOnly="0" labelOnly="1" outline="0" fieldPosition="0">
        <references count="2">
          <reference field="11" count="1" selected="0">
            <x v="133"/>
          </reference>
          <reference field="14" count="1" defaultSubtotal="1">
            <x v="266"/>
          </reference>
        </references>
      </pivotArea>
    </format>
    <format dxfId="10467">
      <pivotArea dataOnly="0" labelOnly="1" outline="0" fieldPosition="0">
        <references count="2">
          <reference field="11" count="1" selected="0">
            <x v="134"/>
          </reference>
          <reference field="14" count="1">
            <x v="76"/>
          </reference>
        </references>
      </pivotArea>
    </format>
    <format dxfId="10466">
      <pivotArea dataOnly="0" labelOnly="1" outline="0" fieldPosition="0">
        <references count="2">
          <reference field="11" count="1" selected="0">
            <x v="134"/>
          </reference>
          <reference field="14" count="1" defaultSubtotal="1">
            <x v="76"/>
          </reference>
        </references>
      </pivotArea>
    </format>
    <format dxfId="10465">
      <pivotArea dataOnly="0" labelOnly="1" outline="0" fieldPosition="0">
        <references count="2">
          <reference field="11" count="1" selected="0">
            <x v="135"/>
          </reference>
          <reference field="14" count="1">
            <x v="332"/>
          </reference>
        </references>
      </pivotArea>
    </format>
    <format dxfId="10464">
      <pivotArea dataOnly="0" labelOnly="1" outline="0" fieldPosition="0">
        <references count="2">
          <reference field="11" count="1" selected="0">
            <x v="135"/>
          </reference>
          <reference field="14" count="1" defaultSubtotal="1">
            <x v="332"/>
          </reference>
        </references>
      </pivotArea>
    </format>
    <format dxfId="10463">
      <pivotArea dataOnly="0" labelOnly="1" outline="0" fieldPosition="0">
        <references count="2">
          <reference field="11" count="1" selected="0">
            <x v="136"/>
          </reference>
          <reference field="14" count="1">
            <x v="333"/>
          </reference>
        </references>
      </pivotArea>
    </format>
    <format dxfId="10462">
      <pivotArea dataOnly="0" labelOnly="1" outline="0" fieldPosition="0">
        <references count="2">
          <reference field="11" count="1" selected="0">
            <x v="136"/>
          </reference>
          <reference field="14" count="1" defaultSubtotal="1">
            <x v="333"/>
          </reference>
        </references>
      </pivotArea>
    </format>
    <format dxfId="10461">
      <pivotArea dataOnly="0" labelOnly="1" outline="0" fieldPosition="0">
        <references count="2">
          <reference field="11" count="1" selected="0">
            <x v="137"/>
          </reference>
          <reference field="14" count="1">
            <x v="11"/>
          </reference>
        </references>
      </pivotArea>
    </format>
    <format dxfId="10460">
      <pivotArea dataOnly="0" labelOnly="1" outline="0" fieldPosition="0">
        <references count="2">
          <reference field="11" count="1" selected="0">
            <x v="137"/>
          </reference>
          <reference field="14" count="1" defaultSubtotal="1">
            <x v="11"/>
          </reference>
        </references>
      </pivotArea>
    </format>
    <format dxfId="10459">
      <pivotArea dataOnly="0" labelOnly="1" outline="0" fieldPosition="0">
        <references count="2">
          <reference field="11" count="1" selected="0">
            <x v="138"/>
          </reference>
          <reference field="14" count="1">
            <x v="16"/>
          </reference>
        </references>
      </pivotArea>
    </format>
    <format dxfId="10458">
      <pivotArea dataOnly="0" labelOnly="1" outline="0" fieldPosition="0">
        <references count="2">
          <reference field="11" count="1" selected="0">
            <x v="138"/>
          </reference>
          <reference field="14" count="1" defaultSubtotal="1">
            <x v="16"/>
          </reference>
        </references>
      </pivotArea>
    </format>
    <format dxfId="10457">
      <pivotArea dataOnly="0" labelOnly="1" outline="0" fieldPosition="0">
        <references count="2">
          <reference field="11" count="1" selected="0">
            <x v="139"/>
          </reference>
          <reference field="14" count="1">
            <x v="361"/>
          </reference>
        </references>
      </pivotArea>
    </format>
    <format dxfId="10456">
      <pivotArea dataOnly="0" labelOnly="1" outline="0" fieldPosition="0">
        <references count="2">
          <reference field="11" count="1" selected="0">
            <x v="139"/>
          </reference>
          <reference field="14" count="1" defaultSubtotal="1">
            <x v="361"/>
          </reference>
        </references>
      </pivotArea>
    </format>
    <format dxfId="10455">
      <pivotArea dataOnly="0" labelOnly="1" outline="0" fieldPosition="0">
        <references count="2">
          <reference field="11" count="1" selected="0">
            <x v="140"/>
          </reference>
          <reference field="14" count="1">
            <x v="255"/>
          </reference>
        </references>
      </pivotArea>
    </format>
    <format dxfId="10454">
      <pivotArea dataOnly="0" labelOnly="1" outline="0" fieldPosition="0">
        <references count="2">
          <reference field="11" count="1" selected="0">
            <x v="140"/>
          </reference>
          <reference field="14" count="1" defaultSubtotal="1">
            <x v="255"/>
          </reference>
        </references>
      </pivotArea>
    </format>
    <format dxfId="10453">
      <pivotArea dataOnly="0" labelOnly="1" outline="0" fieldPosition="0">
        <references count="2">
          <reference field="11" count="1" selected="0">
            <x v="141"/>
          </reference>
          <reference field="14" count="1">
            <x v="252"/>
          </reference>
        </references>
      </pivotArea>
    </format>
    <format dxfId="10452">
      <pivotArea dataOnly="0" labelOnly="1" outline="0" fieldPosition="0">
        <references count="2">
          <reference field="11" count="1" selected="0">
            <x v="141"/>
          </reference>
          <reference field="14" count="1" defaultSubtotal="1">
            <x v="252"/>
          </reference>
        </references>
      </pivotArea>
    </format>
    <format dxfId="10451">
      <pivotArea dataOnly="0" labelOnly="1" outline="0" fieldPosition="0">
        <references count="2">
          <reference field="11" count="1" selected="0">
            <x v="142"/>
          </reference>
          <reference field="14" count="1">
            <x v="213"/>
          </reference>
        </references>
      </pivotArea>
    </format>
    <format dxfId="10450">
      <pivotArea dataOnly="0" labelOnly="1" outline="0" fieldPosition="0">
        <references count="2">
          <reference field="11" count="1" selected="0">
            <x v="142"/>
          </reference>
          <reference field="14" count="1" defaultSubtotal="1">
            <x v="213"/>
          </reference>
        </references>
      </pivotArea>
    </format>
    <format dxfId="10449">
      <pivotArea dataOnly="0" labelOnly="1" outline="0" fieldPosition="0">
        <references count="2">
          <reference field="11" count="1" selected="0">
            <x v="143"/>
          </reference>
          <reference field="14" count="1">
            <x v="326"/>
          </reference>
        </references>
      </pivotArea>
    </format>
    <format dxfId="10448">
      <pivotArea dataOnly="0" labelOnly="1" outline="0" fieldPosition="0">
        <references count="2">
          <reference field="11" count="1" selected="0">
            <x v="143"/>
          </reference>
          <reference field="14" count="1" defaultSubtotal="1">
            <x v="326"/>
          </reference>
        </references>
      </pivotArea>
    </format>
    <format dxfId="10447">
      <pivotArea dataOnly="0" labelOnly="1" outline="0" fieldPosition="0">
        <references count="2">
          <reference field="11" count="1" selected="0">
            <x v="144"/>
          </reference>
          <reference field="14" count="1">
            <x v="327"/>
          </reference>
        </references>
      </pivotArea>
    </format>
    <format dxfId="10446">
      <pivotArea dataOnly="0" labelOnly="1" outline="0" fieldPosition="0">
        <references count="2">
          <reference field="11" count="1" selected="0">
            <x v="144"/>
          </reference>
          <reference field="14" count="1" defaultSubtotal="1">
            <x v="327"/>
          </reference>
        </references>
      </pivotArea>
    </format>
    <format dxfId="10445">
      <pivotArea dataOnly="0" labelOnly="1" outline="0" fieldPosition="0">
        <references count="2">
          <reference field="11" count="1" selected="0">
            <x v="145"/>
          </reference>
          <reference field="14" count="1">
            <x v="329"/>
          </reference>
        </references>
      </pivotArea>
    </format>
    <format dxfId="10444">
      <pivotArea dataOnly="0" labelOnly="1" outline="0" fieldPosition="0">
        <references count="2">
          <reference field="11" count="1" selected="0">
            <x v="145"/>
          </reference>
          <reference field="14" count="1" defaultSubtotal="1">
            <x v="329"/>
          </reference>
        </references>
      </pivotArea>
    </format>
    <format dxfId="10443">
      <pivotArea dataOnly="0" labelOnly="1" outline="0" fieldPosition="0">
        <references count="2">
          <reference field="11" count="1" selected="0">
            <x v="146"/>
          </reference>
          <reference field="14" count="1">
            <x v="330"/>
          </reference>
        </references>
      </pivotArea>
    </format>
    <format dxfId="10442">
      <pivotArea dataOnly="0" labelOnly="1" outline="0" fieldPosition="0">
        <references count="2">
          <reference field="11" count="1" selected="0">
            <x v="146"/>
          </reference>
          <reference field="14" count="1" defaultSubtotal="1">
            <x v="330"/>
          </reference>
        </references>
      </pivotArea>
    </format>
    <format dxfId="10441">
      <pivotArea dataOnly="0" labelOnly="1" outline="0" fieldPosition="0">
        <references count="2">
          <reference field="11" count="1" selected="0">
            <x v="147"/>
          </reference>
          <reference field="14" count="1">
            <x v="328"/>
          </reference>
        </references>
      </pivotArea>
    </format>
    <format dxfId="10440">
      <pivotArea dataOnly="0" labelOnly="1" outline="0" fieldPosition="0">
        <references count="2">
          <reference field="11" count="1" selected="0">
            <x v="147"/>
          </reference>
          <reference field="14" count="1" defaultSubtotal="1">
            <x v="328"/>
          </reference>
        </references>
      </pivotArea>
    </format>
    <format dxfId="10439">
      <pivotArea dataOnly="0" labelOnly="1" outline="0" fieldPosition="0">
        <references count="2">
          <reference field="11" count="1" selected="0">
            <x v="148"/>
          </reference>
          <reference field="14" count="1">
            <x v="215"/>
          </reference>
        </references>
      </pivotArea>
    </format>
    <format dxfId="10438">
      <pivotArea dataOnly="0" labelOnly="1" outline="0" fieldPosition="0">
        <references count="2">
          <reference field="11" count="1" selected="0">
            <x v="148"/>
          </reference>
          <reference field="14" count="1" defaultSubtotal="1">
            <x v="215"/>
          </reference>
        </references>
      </pivotArea>
    </format>
    <format dxfId="10437">
      <pivotArea dataOnly="0" labelOnly="1" outline="0" fieldPosition="0">
        <references count="2">
          <reference field="11" count="1" selected="0">
            <x v="149"/>
          </reference>
          <reference field="14" count="1">
            <x v="461"/>
          </reference>
        </references>
      </pivotArea>
    </format>
    <format dxfId="10436">
      <pivotArea dataOnly="0" labelOnly="1" outline="0" fieldPosition="0">
        <references count="2">
          <reference field="11" count="1" selected="0">
            <x v="149"/>
          </reference>
          <reference field="14" count="1" defaultSubtotal="1">
            <x v="461"/>
          </reference>
        </references>
      </pivotArea>
    </format>
    <format dxfId="10435">
      <pivotArea dataOnly="0" labelOnly="1" outline="0" fieldPosition="0">
        <references count="2">
          <reference field="11" count="1" selected="0">
            <x v="150"/>
          </reference>
          <reference field="14" count="1">
            <x v="267"/>
          </reference>
        </references>
      </pivotArea>
    </format>
    <format dxfId="10434">
      <pivotArea dataOnly="0" labelOnly="1" outline="0" fieldPosition="0">
        <references count="2">
          <reference field="11" count="1" selected="0">
            <x v="150"/>
          </reference>
          <reference field="14" count="1" defaultSubtotal="1">
            <x v="267"/>
          </reference>
        </references>
      </pivotArea>
    </format>
    <format dxfId="10433">
      <pivotArea dataOnly="0" labelOnly="1" outline="0" fieldPosition="0">
        <references count="2">
          <reference field="11" count="1" selected="0">
            <x v="151"/>
          </reference>
          <reference field="14" count="1">
            <x v="392"/>
          </reference>
        </references>
      </pivotArea>
    </format>
    <format dxfId="10432">
      <pivotArea dataOnly="0" labelOnly="1" outline="0" fieldPosition="0">
        <references count="2">
          <reference field="11" count="1" selected="0">
            <x v="151"/>
          </reference>
          <reference field="14" count="1" defaultSubtotal="1">
            <x v="392"/>
          </reference>
        </references>
      </pivotArea>
    </format>
    <format dxfId="10431">
      <pivotArea dataOnly="0" labelOnly="1" outline="0" fieldPosition="0">
        <references count="2">
          <reference field="11" count="1" selected="0">
            <x v="152"/>
          </reference>
          <reference field="14" count="1">
            <x v="447"/>
          </reference>
        </references>
      </pivotArea>
    </format>
    <format dxfId="10430">
      <pivotArea dataOnly="0" labelOnly="1" outline="0" fieldPosition="0">
        <references count="2">
          <reference field="11" count="1" selected="0">
            <x v="152"/>
          </reference>
          <reference field="14" count="1" defaultSubtotal="1">
            <x v="447"/>
          </reference>
        </references>
      </pivotArea>
    </format>
    <format dxfId="10429">
      <pivotArea dataOnly="0" labelOnly="1" outline="0" fieldPosition="0">
        <references count="2">
          <reference field="11" count="1" selected="0">
            <x v="153"/>
          </reference>
          <reference field="14" count="1">
            <x v="177"/>
          </reference>
        </references>
      </pivotArea>
    </format>
    <format dxfId="10428">
      <pivotArea dataOnly="0" labelOnly="1" outline="0" fieldPosition="0">
        <references count="2">
          <reference field="11" count="1" selected="0">
            <x v="153"/>
          </reference>
          <reference field="14" count="1" defaultSubtotal="1">
            <x v="177"/>
          </reference>
        </references>
      </pivotArea>
    </format>
    <format dxfId="10427">
      <pivotArea dataOnly="0" labelOnly="1" outline="0" fieldPosition="0">
        <references count="2">
          <reference field="11" count="1" selected="0">
            <x v="154"/>
          </reference>
          <reference field="14" count="1">
            <x v="182"/>
          </reference>
        </references>
      </pivotArea>
    </format>
    <format dxfId="10426">
      <pivotArea dataOnly="0" labelOnly="1" outline="0" fieldPosition="0">
        <references count="2">
          <reference field="11" count="1" selected="0">
            <x v="154"/>
          </reference>
          <reference field="14" count="1" defaultSubtotal="1">
            <x v="182"/>
          </reference>
        </references>
      </pivotArea>
    </format>
    <format dxfId="10425">
      <pivotArea dataOnly="0" labelOnly="1" outline="0" fieldPosition="0">
        <references count="2">
          <reference field="11" count="1" selected="0">
            <x v="155"/>
          </reference>
          <reference field="14" count="1">
            <x v="105"/>
          </reference>
        </references>
      </pivotArea>
    </format>
    <format dxfId="10424">
      <pivotArea dataOnly="0" labelOnly="1" outline="0" fieldPosition="0">
        <references count="2">
          <reference field="11" count="1" selected="0">
            <x v="155"/>
          </reference>
          <reference field="14" count="1" defaultSubtotal="1">
            <x v="105"/>
          </reference>
        </references>
      </pivotArea>
    </format>
    <format dxfId="10423">
      <pivotArea dataOnly="0" labelOnly="1" outline="0" fieldPosition="0">
        <references count="2">
          <reference field="11" count="1" selected="0">
            <x v="156"/>
          </reference>
          <reference field="14" count="1">
            <x v="238"/>
          </reference>
        </references>
      </pivotArea>
    </format>
    <format dxfId="10422">
      <pivotArea dataOnly="0" labelOnly="1" outline="0" fieldPosition="0">
        <references count="2">
          <reference field="11" count="1" selected="0">
            <x v="156"/>
          </reference>
          <reference field="14" count="1" defaultSubtotal="1">
            <x v="238"/>
          </reference>
        </references>
      </pivotArea>
    </format>
    <format dxfId="10421">
      <pivotArea dataOnly="0" labelOnly="1" outline="0" fieldPosition="0">
        <references count="2">
          <reference field="11" count="1" selected="0">
            <x v="157"/>
          </reference>
          <reference field="14" count="1">
            <x v="395"/>
          </reference>
        </references>
      </pivotArea>
    </format>
    <format dxfId="10420">
      <pivotArea dataOnly="0" labelOnly="1" outline="0" fieldPosition="0">
        <references count="2">
          <reference field="11" count="1" selected="0">
            <x v="157"/>
          </reference>
          <reference field="14" count="1" defaultSubtotal="1">
            <x v="395"/>
          </reference>
        </references>
      </pivotArea>
    </format>
    <format dxfId="10419">
      <pivotArea dataOnly="0" labelOnly="1" outline="0" fieldPosition="0">
        <references count="2">
          <reference field="11" count="1" selected="0">
            <x v="158"/>
          </reference>
          <reference field="14" count="1">
            <x v="224"/>
          </reference>
        </references>
      </pivotArea>
    </format>
    <format dxfId="10418">
      <pivotArea dataOnly="0" labelOnly="1" outline="0" fieldPosition="0">
        <references count="2">
          <reference field="11" count="1" selected="0">
            <x v="158"/>
          </reference>
          <reference field="14" count="1" defaultSubtotal="1">
            <x v="224"/>
          </reference>
        </references>
      </pivotArea>
    </format>
    <format dxfId="10417">
      <pivotArea dataOnly="0" labelOnly="1" outline="0" fieldPosition="0">
        <references count="2">
          <reference field="11" count="1" selected="0">
            <x v="159"/>
          </reference>
          <reference field="14" count="1">
            <x v="218"/>
          </reference>
        </references>
      </pivotArea>
    </format>
    <format dxfId="10416">
      <pivotArea dataOnly="0" labelOnly="1" outline="0" fieldPosition="0">
        <references count="2">
          <reference field="11" count="1" selected="0">
            <x v="159"/>
          </reference>
          <reference field="14" count="1" defaultSubtotal="1">
            <x v="218"/>
          </reference>
        </references>
      </pivotArea>
    </format>
    <format dxfId="10415">
      <pivotArea dataOnly="0" labelOnly="1" outline="0" fieldPosition="0">
        <references count="2">
          <reference field="11" count="1" selected="0">
            <x v="160"/>
          </reference>
          <reference field="14" count="1">
            <x v="398"/>
          </reference>
        </references>
      </pivotArea>
    </format>
    <format dxfId="10414">
      <pivotArea dataOnly="0" labelOnly="1" outline="0" fieldPosition="0">
        <references count="2">
          <reference field="11" count="1" selected="0">
            <x v="160"/>
          </reference>
          <reference field="14" count="1" defaultSubtotal="1">
            <x v="398"/>
          </reference>
        </references>
      </pivotArea>
    </format>
    <format dxfId="10413">
      <pivotArea dataOnly="0" labelOnly="1" outline="0" fieldPosition="0">
        <references count="2">
          <reference field="11" count="1" selected="0">
            <x v="161"/>
          </reference>
          <reference field="14" count="1">
            <x v="117"/>
          </reference>
        </references>
      </pivotArea>
    </format>
    <format dxfId="10412">
      <pivotArea dataOnly="0" labelOnly="1" outline="0" fieldPosition="0">
        <references count="2">
          <reference field="11" count="1" selected="0">
            <x v="161"/>
          </reference>
          <reference field="14" count="1" defaultSubtotal="1">
            <x v="117"/>
          </reference>
        </references>
      </pivotArea>
    </format>
    <format dxfId="10411">
      <pivotArea dataOnly="0" labelOnly="1" outline="0" fieldPosition="0">
        <references count="2">
          <reference field="11" count="1" selected="0">
            <x v="162"/>
          </reference>
          <reference field="14" count="1">
            <x v="161"/>
          </reference>
        </references>
      </pivotArea>
    </format>
    <format dxfId="10410">
      <pivotArea dataOnly="0" labelOnly="1" outline="0" fieldPosition="0">
        <references count="2">
          <reference field="11" count="1" selected="0">
            <x v="162"/>
          </reference>
          <reference field="14" count="1" defaultSubtotal="1">
            <x v="161"/>
          </reference>
        </references>
      </pivotArea>
    </format>
    <format dxfId="10409">
      <pivotArea dataOnly="0" labelOnly="1" outline="0" fieldPosition="0">
        <references count="2">
          <reference field="11" count="1" selected="0">
            <x v="163"/>
          </reference>
          <reference field="14" count="1">
            <x v="234"/>
          </reference>
        </references>
      </pivotArea>
    </format>
    <format dxfId="10408">
      <pivotArea dataOnly="0" labelOnly="1" outline="0" fieldPosition="0">
        <references count="2">
          <reference field="11" count="1" selected="0">
            <x v="163"/>
          </reference>
          <reference field="14" count="1" defaultSubtotal="1">
            <x v="234"/>
          </reference>
        </references>
      </pivotArea>
    </format>
    <format dxfId="10407">
      <pivotArea dataOnly="0" labelOnly="1" outline="0" fieldPosition="0">
        <references count="2">
          <reference field="11" count="1" selected="0">
            <x v="164"/>
          </reference>
          <reference field="14" count="1">
            <x v="258"/>
          </reference>
        </references>
      </pivotArea>
    </format>
    <format dxfId="10406">
      <pivotArea dataOnly="0" labelOnly="1" outline="0" fieldPosition="0">
        <references count="2">
          <reference field="11" count="1" selected="0">
            <x v="164"/>
          </reference>
          <reference field="14" count="1" defaultSubtotal="1">
            <x v="258"/>
          </reference>
        </references>
      </pivotArea>
    </format>
    <format dxfId="10405">
      <pivotArea dataOnly="0" labelOnly="1" outline="0" fieldPosition="0">
        <references count="2">
          <reference field="11" count="1" selected="0">
            <x v="165"/>
          </reference>
          <reference field="14" count="1">
            <x v="206"/>
          </reference>
        </references>
      </pivotArea>
    </format>
    <format dxfId="10404">
      <pivotArea dataOnly="0" labelOnly="1" outline="0" fieldPosition="0">
        <references count="2">
          <reference field="11" count="1" selected="0">
            <x v="165"/>
          </reference>
          <reference field="14" count="1" defaultSubtotal="1">
            <x v="206"/>
          </reference>
        </references>
      </pivotArea>
    </format>
    <format dxfId="10403">
      <pivotArea dataOnly="0" labelOnly="1" outline="0" fieldPosition="0">
        <references count="2">
          <reference field="11" count="1" selected="0">
            <x v="166"/>
          </reference>
          <reference field="14" count="1">
            <x v="319"/>
          </reference>
        </references>
      </pivotArea>
    </format>
    <format dxfId="10402">
      <pivotArea dataOnly="0" labelOnly="1" outline="0" fieldPosition="0">
        <references count="2">
          <reference field="11" count="1" selected="0">
            <x v="166"/>
          </reference>
          <reference field="14" count="1" defaultSubtotal="1">
            <x v="319"/>
          </reference>
        </references>
      </pivotArea>
    </format>
    <format dxfId="10401">
      <pivotArea dataOnly="0" labelOnly="1" outline="0" fieldPosition="0">
        <references count="2">
          <reference field="11" count="1" selected="0">
            <x v="167"/>
          </reference>
          <reference field="14" count="1">
            <x v="66"/>
          </reference>
        </references>
      </pivotArea>
    </format>
    <format dxfId="10400">
      <pivotArea dataOnly="0" labelOnly="1" outline="0" fieldPosition="0">
        <references count="2">
          <reference field="11" count="1" selected="0">
            <x v="167"/>
          </reference>
          <reference field="14" count="1" defaultSubtotal="1">
            <x v="66"/>
          </reference>
        </references>
      </pivotArea>
    </format>
    <format dxfId="10399">
      <pivotArea dataOnly="0" labelOnly="1" outline="0" fieldPosition="0">
        <references count="2">
          <reference field="11" count="1" selected="0">
            <x v="168"/>
          </reference>
          <reference field="14" count="1">
            <x v="148"/>
          </reference>
        </references>
      </pivotArea>
    </format>
    <format dxfId="10398">
      <pivotArea dataOnly="0" labelOnly="1" outline="0" fieldPosition="0">
        <references count="2">
          <reference field="11" count="1" selected="0">
            <x v="168"/>
          </reference>
          <reference field="14" count="1" defaultSubtotal="1">
            <x v="148"/>
          </reference>
        </references>
      </pivotArea>
    </format>
    <format dxfId="10397">
      <pivotArea dataOnly="0" labelOnly="1" outline="0" fieldPosition="0">
        <references count="2">
          <reference field="11" count="1" selected="0">
            <x v="169"/>
          </reference>
          <reference field="14" count="1">
            <x v="192"/>
          </reference>
        </references>
      </pivotArea>
    </format>
    <format dxfId="10396">
      <pivotArea dataOnly="0" labelOnly="1" outline="0" fieldPosition="0">
        <references count="2">
          <reference field="11" count="1" selected="0">
            <x v="169"/>
          </reference>
          <reference field="14" count="1" defaultSubtotal="1">
            <x v="192"/>
          </reference>
        </references>
      </pivotArea>
    </format>
    <format dxfId="10395">
      <pivotArea dataOnly="0" labelOnly="1" outline="0" fieldPosition="0">
        <references count="2">
          <reference field="11" count="1" selected="0">
            <x v="170"/>
          </reference>
          <reference field="14" count="1">
            <x v="317"/>
          </reference>
        </references>
      </pivotArea>
    </format>
    <format dxfId="10394">
      <pivotArea dataOnly="0" labelOnly="1" outline="0" fieldPosition="0">
        <references count="2">
          <reference field="11" count="1" selected="0">
            <x v="170"/>
          </reference>
          <reference field="14" count="1" defaultSubtotal="1">
            <x v="317"/>
          </reference>
        </references>
      </pivotArea>
    </format>
    <format dxfId="10393">
      <pivotArea dataOnly="0" labelOnly="1" outline="0" fieldPosition="0">
        <references count="2">
          <reference field="11" count="1" selected="0">
            <x v="171"/>
          </reference>
          <reference field="14" count="1">
            <x v="350"/>
          </reference>
        </references>
      </pivotArea>
    </format>
    <format dxfId="10392">
      <pivotArea dataOnly="0" labelOnly="1" outline="0" fieldPosition="0">
        <references count="2">
          <reference field="11" count="1" selected="0">
            <x v="171"/>
          </reference>
          <reference field="14" count="1" defaultSubtotal="1">
            <x v="350"/>
          </reference>
        </references>
      </pivotArea>
    </format>
    <format dxfId="10391">
      <pivotArea dataOnly="0" labelOnly="1" outline="0" fieldPosition="0">
        <references count="2">
          <reference field="11" count="1" selected="0">
            <x v="172"/>
          </reference>
          <reference field="14" count="1">
            <x v="231"/>
          </reference>
        </references>
      </pivotArea>
    </format>
    <format dxfId="10390">
      <pivotArea dataOnly="0" labelOnly="1" outline="0" fieldPosition="0">
        <references count="2">
          <reference field="11" count="1" selected="0">
            <x v="172"/>
          </reference>
          <reference field="14" count="1" defaultSubtotal="1">
            <x v="231"/>
          </reference>
        </references>
      </pivotArea>
    </format>
    <format dxfId="10389">
      <pivotArea dataOnly="0" labelOnly="1" outline="0" fieldPosition="0">
        <references count="2">
          <reference field="11" count="1" selected="0">
            <x v="173"/>
          </reference>
          <reference field="14" count="1">
            <x v="174"/>
          </reference>
        </references>
      </pivotArea>
    </format>
    <format dxfId="10388">
      <pivotArea dataOnly="0" labelOnly="1" outline="0" fieldPosition="0">
        <references count="2">
          <reference field="11" count="1" selected="0">
            <x v="173"/>
          </reference>
          <reference field="14" count="1" defaultSubtotal="1">
            <x v="174"/>
          </reference>
        </references>
      </pivotArea>
    </format>
    <format dxfId="10387">
      <pivotArea dataOnly="0" labelOnly="1" outline="0" fieldPosition="0">
        <references count="2">
          <reference field="11" count="1" selected="0">
            <x v="174"/>
          </reference>
          <reference field="14" count="1">
            <x v="173"/>
          </reference>
        </references>
      </pivotArea>
    </format>
    <format dxfId="10386">
      <pivotArea dataOnly="0" labelOnly="1" outline="0" fieldPosition="0">
        <references count="2">
          <reference field="11" count="1" selected="0">
            <x v="174"/>
          </reference>
          <reference field="14" count="1" defaultSubtotal="1">
            <x v="173"/>
          </reference>
        </references>
      </pivotArea>
    </format>
    <format dxfId="10385">
      <pivotArea dataOnly="0" labelOnly="1" outline="0" fieldPosition="0">
        <references count="2">
          <reference field="11" count="1" selected="0">
            <x v="175"/>
          </reference>
          <reference field="14" count="1">
            <x v="471"/>
          </reference>
        </references>
      </pivotArea>
    </format>
    <format dxfId="10384">
      <pivotArea dataOnly="0" labelOnly="1" outline="0" fieldPosition="0">
        <references count="2">
          <reference field="11" count="1" selected="0">
            <x v="175"/>
          </reference>
          <reference field="14" count="1" defaultSubtotal="1">
            <x v="471"/>
          </reference>
        </references>
      </pivotArea>
    </format>
    <format dxfId="10383">
      <pivotArea dataOnly="0" labelOnly="1" outline="0" fieldPosition="0">
        <references count="2">
          <reference field="11" count="1" selected="0">
            <x v="176"/>
          </reference>
          <reference field="14" count="1">
            <x v="362"/>
          </reference>
        </references>
      </pivotArea>
    </format>
    <format dxfId="10382">
      <pivotArea dataOnly="0" labelOnly="1" outline="0" fieldPosition="0">
        <references count="2">
          <reference field="11" count="1" selected="0">
            <x v="176"/>
          </reference>
          <reference field="14" count="1" defaultSubtotal="1">
            <x v="362"/>
          </reference>
        </references>
      </pivotArea>
    </format>
    <format dxfId="10381">
      <pivotArea dataOnly="0" labelOnly="1" outline="0" fieldPosition="0">
        <references count="2">
          <reference field="11" count="1" selected="0">
            <x v="177"/>
          </reference>
          <reference field="14" count="1">
            <x v="279"/>
          </reference>
        </references>
      </pivotArea>
    </format>
    <format dxfId="10380">
      <pivotArea dataOnly="0" labelOnly="1" outline="0" fieldPosition="0">
        <references count="2">
          <reference field="11" count="1" selected="0">
            <x v="177"/>
          </reference>
          <reference field="14" count="1" defaultSubtotal="1">
            <x v="279"/>
          </reference>
        </references>
      </pivotArea>
    </format>
    <format dxfId="10379">
      <pivotArea dataOnly="0" labelOnly="1" outline="0" fieldPosition="0">
        <references count="2">
          <reference field="11" count="1" selected="0">
            <x v="178"/>
          </reference>
          <reference field="14" count="1">
            <x v="282"/>
          </reference>
        </references>
      </pivotArea>
    </format>
    <format dxfId="10378">
      <pivotArea dataOnly="0" labelOnly="1" outline="0" fieldPosition="0">
        <references count="2">
          <reference field="11" count="1" selected="0">
            <x v="178"/>
          </reference>
          <reference field="14" count="1" defaultSubtotal="1">
            <x v="282"/>
          </reference>
        </references>
      </pivotArea>
    </format>
    <format dxfId="10377">
      <pivotArea dataOnly="0" labelOnly="1" outline="0" fieldPosition="0">
        <references count="2">
          <reference field="11" count="1" selected="0">
            <x v="179"/>
          </reference>
          <reference field="14" count="1">
            <x v="276"/>
          </reference>
        </references>
      </pivotArea>
    </format>
    <format dxfId="10376">
      <pivotArea dataOnly="0" labelOnly="1" outline="0" fieldPosition="0">
        <references count="2">
          <reference field="11" count="1" selected="0">
            <x v="179"/>
          </reference>
          <reference field="14" count="1" defaultSubtotal="1">
            <x v="276"/>
          </reference>
        </references>
      </pivotArea>
    </format>
    <format dxfId="10375">
      <pivotArea dataOnly="0" labelOnly="1" outline="0" fieldPosition="0">
        <references count="2">
          <reference field="11" count="1" selected="0">
            <x v="180"/>
          </reference>
          <reference field="14" count="1">
            <x v="439"/>
          </reference>
        </references>
      </pivotArea>
    </format>
    <format dxfId="10374">
      <pivotArea dataOnly="0" labelOnly="1" outline="0" fieldPosition="0">
        <references count="2">
          <reference field="11" count="1" selected="0">
            <x v="180"/>
          </reference>
          <reference field="14" count="1" defaultSubtotal="1">
            <x v="439"/>
          </reference>
        </references>
      </pivotArea>
    </format>
    <format dxfId="10373">
      <pivotArea dataOnly="0" labelOnly="1" outline="0" fieldPosition="0">
        <references count="2">
          <reference field="11" count="1" selected="0">
            <x v="181"/>
          </reference>
          <reference field="14" count="1">
            <x v="281"/>
          </reference>
        </references>
      </pivotArea>
    </format>
    <format dxfId="10372">
      <pivotArea dataOnly="0" labelOnly="1" outline="0" fieldPosition="0">
        <references count="2">
          <reference field="11" count="1" selected="0">
            <x v="181"/>
          </reference>
          <reference field="14" count="1" defaultSubtotal="1">
            <x v="281"/>
          </reference>
        </references>
      </pivotArea>
    </format>
    <format dxfId="10371">
      <pivotArea dataOnly="0" labelOnly="1" outline="0" fieldPosition="0">
        <references count="2">
          <reference field="11" count="1" selected="0">
            <x v="182"/>
          </reference>
          <reference field="14" count="1">
            <x v="118"/>
          </reference>
        </references>
      </pivotArea>
    </format>
    <format dxfId="10370">
      <pivotArea dataOnly="0" labelOnly="1" outline="0" fieldPosition="0">
        <references count="2">
          <reference field="11" count="1" selected="0">
            <x v="182"/>
          </reference>
          <reference field="14" count="1" defaultSubtotal="1">
            <x v="118"/>
          </reference>
        </references>
      </pivotArea>
    </format>
    <format dxfId="10369">
      <pivotArea dataOnly="0" labelOnly="1" outline="0" fieldPosition="0">
        <references count="2">
          <reference field="11" count="1" selected="0">
            <x v="183"/>
          </reference>
          <reference field="14" count="1">
            <x v="386"/>
          </reference>
        </references>
      </pivotArea>
    </format>
    <format dxfId="10368">
      <pivotArea dataOnly="0" labelOnly="1" outline="0" fieldPosition="0">
        <references count="2">
          <reference field="11" count="1" selected="0">
            <x v="183"/>
          </reference>
          <reference field="14" count="1" defaultSubtotal="1">
            <x v="386"/>
          </reference>
        </references>
      </pivotArea>
    </format>
    <format dxfId="10367">
      <pivotArea dataOnly="0" labelOnly="1" outline="0" fieldPosition="0">
        <references count="2">
          <reference field="11" count="1" selected="0">
            <x v="184"/>
          </reference>
          <reference field="14" count="1">
            <x v="388"/>
          </reference>
        </references>
      </pivotArea>
    </format>
    <format dxfId="10366">
      <pivotArea dataOnly="0" labelOnly="1" outline="0" fieldPosition="0">
        <references count="2">
          <reference field="11" count="1" selected="0">
            <x v="184"/>
          </reference>
          <reference field="14" count="1" defaultSubtotal="1">
            <x v="388"/>
          </reference>
        </references>
      </pivotArea>
    </format>
    <format dxfId="10365">
      <pivotArea dataOnly="0" labelOnly="1" outline="0" fieldPosition="0">
        <references count="2">
          <reference field="11" count="1" selected="0">
            <x v="185"/>
          </reference>
          <reference field="14" count="1">
            <x v="387"/>
          </reference>
        </references>
      </pivotArea>
    </format>
    <format dxfId="10364">
      <pivotArea dataOnly="0" labelOnly="1" outline="0" fieldPosition="0">
        <references count="2">
          <reference field="11" count="1" selected="0">
            <x v="185"/>
          </reference>
          <reference field="14" count="1" defaultSubtotal="1">
            <x v="387"/>
          </reference>
        </references>
      </pivotArea>
    </format>
    <format dxfId="10363">
      <pivotArea dataOnly="0" labelOnly="1" outline="0" fieldPosition="0">
        <references count="2">
          <reference field="11" count="1" selected="0">
            <x v="186"/>
          </reference>
          <reference field="14" count="1">
            <x v="343"/>
          </reference>
        </references>
      </pivotArea>
    </format>
    <format dxfId="10362">
      <pivotArea dataOnly="0" labelOnly="1" outline="0" fieldPosition="0">
        <references count="2">
          <reference field="11" count="1" selected="0">
            <x v="186"/>
          </reference>
          <reference field="14" count="1" defaultSubtotal="1">
            <x v="343"/>
          </reference>
        </references>
      </pivotArea>
    </format>
    <format dxfId="10361">
      <pivotArea dataOnly="0" labelOnly="1" outline="0" fieldPosition="0">
        <references count="2">
          <reference field="11" count="1" selected="0">
            <x v="187"/>
          </reference>
          <reference field="14" count="1">
            <x v="249"/>
          </reference>
        </references>
      </pivotArea>
    </format>
    <format dxfId="10360">
      <pivotArea dataOnly="0" labelOnly="1" outline="0" fieldPosition="0">
        <references count="2">
          <reference field="11" count="1" selected="0">
            <x v="187"/>
          </reference>
          <reference field="14" count="1" defaultSubtotal="1">
            <x v="249"/>
          </reference>
        </references>
      </pivotArea>
    </format>
    <format dxfId="10359">
      <pivotArea dataOnly="0" labelOnly="1" outline="0" fieldPosition="0">
        <references count="2">
          <reference field="11" count="1" selected="0">
            <x v="188"/>
          </reference>
          <reference field="14" count="1">
            <x v="385"/>
          </reference>
        </references>
      </pivotArea>
    </format>
    <format dxfId="10358">
      <pivotArea dataOnly="0" labelOnly="1" outline="0" fieldPosition="0">
        <references count="2">
          <reference field="11" count="1" selected="0">
            <x v="188"/>
          </reference>
          <reference field="14" count="1" defaultSubtotal="1">
            <x v="385"/>
          </reference>
        </references>
      </pivotArea>
    </format>
    <format dxfId="10357">
      <pivotArea dataOnly="0" labelOnly="1" outline="0" fieldPosition="0">
        <references count="2">
          <reference field="11" count="1" selected="0">
            <x v="189"/>
          </reference>
          <reference field="14" count="1">
            <x v="184"/>
          </reference>
        </references>
      </pivotArea>
    </format>
    <format dxfId="10356">
      <pivotArea dataOnly="0" labelOnly="1" outline="0" fieldPosition="0">
        <references count="2">
          <reference field="11" count="1" selected="0">
            <x v="189"/>
          </reference>
          <reference field="14" count="1" defaultSubtotal="1">
            <x v="184"/>
          </reference>
        </references>
      </pivotArea>
    </format>
    <format dxfId="10355">
      <pivotArea dataOnly="0" labelOnly="1" outline="0" fieldPosition="0">
        <references count="2">
          <reference field="11" count="1" selected="0">
            <x v="190"/>
          </reference>
          <reference field="14" count="1">
            <x v="394"/>
          </reference>
        </references>
      </pivotArea>
    </format>
    <format dxfId="10354">
      <pivotArea dataOnly="0" labelOnly="1" outline="0" fieldPosition="0">
        <references count="2">
          <reference field="11" count="1" selected="0">
            <x v="190"/>
          </reference>
          <reference field="14" count="1" defaultSubtotal="1">
            <x v="394"/>
          </reference>
        </references>
      </pivotArea>
    </format>
    <format dxfId="10353">
      <pivotArea dataOnly="0" labelOnly="1" outline="0" fieldPosition="0">
        <references count="2">
          <reference field="11" count="1" selected="0">
            <x v="191"/>
          </reference>
          <reference field="14" count="1">
            <x v="103"/>
          </reference>
        </references>
      </pivotArea>
    </format>
    <format dxfId="10352">
      <pivotArea dataOnly="0" labelOnly="1" outline="0" fieldPosition="0">
        <references count="2">
          <reference field="11" count="1" selected="0">
            <x v="191"/>
          </reference>
          <reference field="14" count="1" defaultSubtotal="1">
            <x v="103"/>
          </reference>
        </references>
      </pivotArea>
    </format>
    <format dxfId="10351">
      <pivotArea dataOnly="0" labelOnly="1" outline="0" fieldPosition="0">
        <references count="2">
          <reference field="11" count="1" selected="0">
            <x v="192"/>
          </reference>
          <reference field="14" count="1">
            <x v="102"/>
          </reference>
        </references>
      </pivotArea>
    </format>
    <format dxfId="10350">
      <pivotArea dataOnly="0" labelOnly="1" outline="0" fieldPosition="0">
        <references count="2">
          <reference field="11" count="1" selected="0">
            <x v="192"/>
          </reference>
          <reference field="14" count="1" defaultSubtotal="1">
            <x v="102"/>
          </reference>
        </references>
      </pivotArea>
    </format>
    <format dxfId="10349">
      <pivotArea dataOnly="0" labelOnly="1" outline="0" fieldPosition="0">
        <references count="2">
          <reference field="11" count="1" selected="0">
            <x v="193"/>
          </reference>
          <reference field="14" count="1">
            <x v="14"/>
          </reference>
        </references>
      </pivotArea>
    </format>
    <format dxfId="10348">
      <pivotArea dataOnly="0" labelOnly="1" outline="0" fieldPosition="0">
        <references count="2">
          <reference field="11" count="1" selected="0">
            <x v="193"/>
          </reference>
          <reference field="14" count="1" defaultSubtotal="1">
            <x v="14"/>
          </reference>
        </references>
      </pivotArea>
    </format>
    <format dxfId="10347">
      <pivotArea dataOnly="0" labelOnly="1" outline="0" fieldPosition="0">
        <references count="2">
          <reference field="11" count="1" selected="0">
            <x v="194"/>
          </reference>
          <reference field="14" count="1">
            <x v="188"/>
          </reference>
        </references>
      </pivotArea>
    </format>
    <format dxfId="10346">
      <pivotArea dataOnly="0" labelOnly="1" outline="0" fieldPosition="0">
        <references count="2">
          <reference field="11" count="1" selected="0">
            <x v="194"/>
          </reference>
          <reference field="14" count="1" defaultSubtotal="1">
            <x v="188"/>
          </reference>
        </references>
      </pivotArea>
    </format>
    <format dxfId="10345">
      <pivotArea dataOnly="0" labelOnly="1" outline="0" fieldPosition="0">
        <references count="2">
          <reference field="11" count="1" selected="0">
            <x v="195"/>
          </reference>
          <reference field="14" count="1">
            <x v="396"/>
          </reference>
        </references>
      </pivotArea>
    </format>
    <format dxfId="10344">
      <pivotArea dataOnly="0" labelOnly="1" outline="0" fieldPosition="0">
        <references count="2">
          <reference field="11" count="1" selected="0">
            <x v="195"/>
          </reference>
          <reference field="14" count="1" defaultSubtotal="1">
            <x v="396"/>
          </reference>
        </references>
      </pivotArea>
    </format>
    <format dxfId="10343">
      <pivotArea dataOnly="0" labelOnly="1" outline="0" fieldPosition="0">
        <references count="2">
          <reference field="11" count="1" selected="0">
            <x v="196"/>
          </reference>
          <reference field="14" count="1">
            <x v="25"/>
          </reference>
        </references>
      </pivotArea>
    </format>
    <format dxfId="10342">
      <pivotArea dataOnly="0" labelOnly="1" outline="0" fieldPosition="0">
        <references count="2">
          <reference field="11" count="1" selected="0">
            <x v="196"/>
          </reference>
          <reference field="14" count="1" defaultSubtotal="1">
            <x v="25"/>
          </reference>
        </references>
      </pivotArea>
    </format>
    <format dxfId="10341">
      <pivotArea dataOnly="0" labelOnly="1" outline="0" fieldPosition="0">
        <references count="2">
          <reference field="11" count="1" selected="0">
            <x v="197"/>
          </reference>
          <reference field="14" count="1">
            <x v="26"/>
          </reference>
        </references>
      </pivotArea>
    </format>
    <format dxfId="10340">
      <pivotArea dataOnly="0" labelOnly="1" outline="0" fieldPosition="0">
        <references count="2">
          <reference field="11" count="1" selected="0">
            <x v="197"/>
          </reference>
          <reference field="14" count="1" defaultSubtotal="1">
            <x v="26"/>
          </reference>
        </references>
      </pivotArea>
    </format>
    <format dxfId="10339">
      <pivotArea dataOnly="0" labelOnly="1" outline="0" fieldPosition="0">
        <references count="2">
          <reference field="11" count="1" selected="0">
            <x v="198"/>
          </reference>
          <reference field="14" count="1">
            <x v="43"/>
          </reference>
        </references>
      </pivotArea>
    </format>
    <format dxfId="10338">
      <pivotArea dataOnly="0" labelOnly="1" outline="0" fieldPosition="0">
        <references count="2">
          <reference field="11" count="1" selected="0">
            <x v="198"/>
          </reference>
          <reference field="14" count="1" defaultSubtotal="1">
            <x v="43"/>
          </reference>
        </references>
      </pivotArea>
    </format>
    <format dxfId="10337">
      <pivotArea dataOnly="0" labelOnly="1" outline="0" fieldPosition="0">
        <references count="2">
          <reference field="11" count="1" selected="0">
            <x v="199"/>
          </reference>
          <reference field="14" count="1">
            <x v="113"/>
          </reference>
        </references>
      </pivotArea>
    </format>
    <format dxfId="10336">
      <pivotArea dataOnly="0" labelOnly="1" outline="0" fieldPosition="0">
        <references count="2">
          <reference field="11" count="1" selected="0">
            <x v="199"/>
          </reference>
          <reference field="14" count="1" defaultSubtotal="1">
            <x v="113"/>
          </reference>
        </references>
      </pivotArea>
    </format>
    <format dxfId="10335">
      <pivotArea dataOnly="0" labelOnly="1" outline="0" fieldPosition="0">
        <references count="2">
          <reference field="11" count="1" selected="0">
            <x v="200"/>
          </reference>
          <reference field="14" count="1">
            <x v="280"/>
          </reference>
        </references>
      </pivotArea>
    </format>
    <format dxfId="10334">
      <pivotArea dataOnly="0" labelOnly="1" outline="0" fieldPosition="0">
        <references count="2">
          <reference field="11" count="1" selected="0">
            <x v="200"/>
          </reference>
          <reference field="14" count="1" defaultSubtotal="1">
            <x v="280"/>
          </reference>
        </references>
      </pivotArea>
    </format>
    <format dxfId="10333">
      <pivotArea dataOnly="0" labelOnly="1" outline="0" fieldPosition="0">
        <references count="2">
          <reference field="11" count="1" selected="0">
            <x v="201"/>
          </reference>
          <reference field="14" count="1">
            <x v="305"/>
          </reference>
        </references>
      </pivotArea>
    </format>
    <format dxfId="10332">
      <pivotArea dataOnly="0" labelOnly="1" outline="0" fieldPosition="0">
        <references count="2">
          <reference field="11" count="1" selected="0">
            <x v="201"/>
          </reference>
          <reference field="14" count="1" defaultSubtotal="1">
            <x v="305"/>
          </reference>
        </references>
      </pivotArea>
    </format>
    <format dxfId="10331">
      <pivotArea dataOnly="0" labelOnly="1" outline="0" fieldPosition="0">
        <references count="2">
          <reference field="11" count="1" selected="0">
            <x v="202"/>
          </reference>
          <reference field="14" count="1">
            <x v="409"/>
          </reference>
        </references>
      </pivotArea>
    </format>
    <format dxfId="10330">
      <pivotArea dataOnly="0" labelOnly="1" outline="0" fieldPosition="0">
        <references count="2">
          <reference field="11" count="1" selected="0">
            <x v="202"/>
          </reference>
          <reference field="14" count="1" defaultSubtotal="1">
            <x v="409"/>
          </reference>
        </references>
      </pivotArea>
    </format>
    <format dxfId="10329">
      <pivotArea dataOnly="0" labelOnly="1" outline="0" fieldPosition="0">
        <references count="2">
          <reference field="11" count="1" selected="0">
            <x v="203"/>
          </reference>
          <reference field="14" count="1">
            <x v="28"/>
          </reference>
        </references>
      </pivotArea>
    </format>
    <format dxfId="10328">
      <pivotArea dataOnly="0" labelOnly="1" outline="0" fieldPosition="0">
        <references count="2">
          <reference field="11" count="1" selected="0">
            <x v="203"/>
          </reference>
          <reference field="14" count="1" defaultSubtotal="1">
            <x v="28"/>
          </reference>
        </references>
      </pivotArea>
    </format>
    <format dxfId="10327">
      <pivotArea dataOnly="0" labelOnly="1" outline="0" fieldPosition="0">
        <references count="2">
          <reference field="11" count="1" selected="0">
            <x v="204"/>
          </reference>
          <reference field="14" count="1">
            <x v="269"/>
          </reference>
        </references>
      </pivotArea>
    </format>
    <format dxfId="10326">
      <pivotArea dataOnly="0" labelOnly="1" outline="0" fieldPosition="0">
        <references count="2">
          <reference field="11" count="1" selected="0">
            <x v="204"/>
          </reference>
          <reference field="14" count="1" defaultSubtotal="1">
            <x v="269"/>
          </reference>
        </references>
      </pivotArea>
    </format>
    <format dxfId="10325">
      <pivotArea dataOnly="0" labelOnly="1" outline="0" fieldPosition="0">
        <references count="2">
          <reference field="11" count="1" selected="0">
            <x v="205"/>
          </reference>
          <reference field="14" count="1">
            <x v="185"/>
          </reference>
        </references>
      </pivotArea>
    </format>
    <format dxfId="10324">
      <pivotArea dataOnly="0" labelOnly="1" outline="0" fieldPosition="0">
        <references count="2">
          <reference field="11" count="1" selected="0">
            <x v="205"/>
          </reference>
          <reference field="14" count="1" defaultSubtotal="1">
            <x v="185"/>
          </reference>
        </references>
      </pivotArea>
    </format>
    <format dxfId="10323">
      <pivotArea dataOnly="0" labelOnly="1" outline="0" fieldPosition="0">
        <references count="2">
          <reference field="11" count="1" selected="0">
            <x v="206"/>
          </reference>
          <reference field="14" count="1">
            <x v="54"/>
          </reference>
        </references>
      </pivotArea>
    </format>
    <format dxfId="10322">
      <pivotArea dataOnly="0" labelOnly="1" outline="0" fieldPosition="0">
        <references count="2">
          <reference field="11" count="1" selected="0">
            <x v="206"/>
          </reference>
          <reference field="14" count="1" defaultSubtotal="1">
            <x v="54"/>
          </reference>
        </references>
      </pivotArea>
    </format>
    <format dxfId="10321">
      <pivotArea dataOnly="0" labelOnly="1" outline="0" fieldPosition="0">
        <references count="2">
          <reference field="11" count="1" selected="0">
            <x v="207"/>
          </reference>
          <reference field="14" count="1">
            <x v="356"/>
          </reference>
        </references>
      </pivotArea>
    </format>
    <format dxfId="10320">
      <pivotArea dataOnly="0" labelOnly="1" outline="0" fieldPosition="0">
        <references count="2">
          <reference field="11" count="1" selected="0">
            <x v="207"/>
          </reference>
          <reference field="14" count="1" defaultSubtotal="1">
            <x v="356"/>
          </reference>
        </references>
      </pivotArea>
    </format>
    <format dxfId="10319">
      <pivotArea dataOnly="0" labelOnly="1" outline="0" fieldPosition="0">
        <references count="2">
          <reference field="11" count="1" selected="0">
            <x v="208"/>
          </reference>
          <reference field="14" count="1">
            <x v="186"/>
          </reference>
        </references>
      </pivotArea>
    </format>
    <format dxfId="10318">
      <pivotArea dataOnly="0" labelOnly="1" outline="0" fieldPosition="0">
        <references count="2">
          <reference field="11" count="1" selected="0">
            <x v="208"/>
          </reference>
          <reference field="14" count="1" defaultSubtotal="1">
            <x v="186"/>
          </reference>
        </references>
      </pivotArea>
    </format>
    <format dxfId="10317">
      <pivotArea dataOnly="0" labelOnly="1" outline="0" fieldPosition="0">
        <references count="2">
          <reference field="11" count="1" selected="0">
            <x v="209"/>
          </reference>
          <reference field="14" count="1">
            <x v="37"/>
          </reference>
        </references>
      </pivotArea>
    </format>
    <format dxfId="10316">
      <pivotArea dataOnly="0" labelOnly="1" outline="0" fieldPosition="0">
        <references count="2">
          <reference field="11" count="1" selected="0">
            <x v="209"/>
          </reference>
          <reference field="14" count="1" defaultSubtotal="1">
            <x v="37"/>
          </reference>
        </references>
      </pivotArea>
    </format>
    <format dxfId="10315">
      <pivotArea dataOnly="0" labelOnly="1" outline="0" fieldPosition="0">
        <references count="2">
          <reference field="11" count="1" selected="0">
            <x v="210"/>
          </reference>
          <reference field="14" count="1">
            <x v="273"/>
          </reference>
        </references>
      </pivotArea>
    </format>
    <format dxfId="10314">
      <pivotArea dataOnly="0" labelOnly="1" outline="0" fieldPosition="0">
        <references count="2">
          <reference field="11" count="1" selected="0">
            <x v="210"/>
          </reference>
          <reference field="14" count="1" defaultSubtotal="1">
            <x v="273"/>
          </reference>
        </references>
      </pivotArea>
    </format>
    <format dxfId="10313">
      <pivotArea dataOnly="0" labelOnly="1" outline="0" fieldPosition="0">
        <references count="2">
          <reference field="11" count="1" selected="0">
            <x v="211"/>
          </reference>
          <reference field="14" count="1">
            <x v="142"/>
          </reference>
        </references>
      </pivotArea>
    </format>
    <format dxfId="10312">
      <pivotArea dataOnly="0" labelOnly="1" outline="0" fieldPosition="0">
        <references count="2">
          <reference field="11" count="1" selected="0">
            <x v="211"/>
          </reference>
          <reference field="14" count="1" defaultSubtotal="1">
            <x v="142"/>
          </reference>
        </references>
      </pivotArea>
    </format>
    <format dxfId="10311">
      <pivotArea dataOnly="0" labelOnly="1" outline="0" fieldPosition="0">
        <references count="2">
          <reference field="11" count="1" selected="0">
            <x v="212"/>
          </reference>
          <reference field="14" count="1">
            <x v="294"/>
          </reference>
        </references>
      </pivotArea>
    </format>
    <format dxfId="10310">
      <pivotArea dataOnly="0" labelOnly="1" outline="0" fieldPosition="0">
        <references count="2">
          <reference field="11" count="1" selected="0">
            <x v="212"/>
          </reference>
          <reference field="14" count="1" defaultSubtotal="1">
            <x v="294"/>
          </reference>
        </references>
      </pivotArea>
    </format>
    <format dxfId="10309">
      <pivotArea dataOnly="0" labelOnly="1" outline="0" fieldPosition="0">
        <references count="2">
          <reference field="11" count="1" selected="0">
            <x v="213"/>
          </reference>
          <reference field="14" count="1">
            <x v="5"/>
          </reference>
        </references>
      </pivotArea>
    </format>
    <format dxfId="10308">
      <pivotArea dataOnly="0" labelOnly="1" outline="0" fieldPosition="0">
        <references count="2">
          <reference field="11" count="1" selected="0">
            <x v="213"/>
          </reference>
          <reference field="14" count="1" defaultSubtotal="1">
            <x v="5"/>
          </reference>
        </references>
      </pivotArea>
    </format>
    <format dxfId="10307">
      <pivotArea dataOnly="0" labelOnly="1" outline="0" fieldPosition="0">
        <references count="2">
          <reference field="11" count="1" selected="0">
            <x v="214"/>
          </reference>
          <reference field="14" count="1">
            <x v="98"/>
          </reference>
        </references>
      </pivotArea>
    </format>
    <format dxfId="10306">
      <pivotArea dataOnly="0" labelOnly="1" outline="0" fieldPosition="0">
        <references count="2">
          <reference field="11" count="1" selected="0">
            <x v="214"/>
          </reference>
          <reference field="14" count="1" defaultSubtotal="1">
            <x v="98"/>
          </reference>
        </references>
      </pivotArea>
    </format>
    <format dxfId="10305">
      <pivotArea dataOnly="0" labelOnly="1" outline="0" fieldPosition="0">
        <references count="2">
          <reference field="11" count="1" selected="0">
            <x v="215"/>
          </reference>
          <reference field="14" count="1">
            <x v="158"/>
          </reference>
        </references>
      </pivotArea>
    </format>
    <format dxfId="10304">
      <pivotArea dataOnly="0" labelOnly="1" outline="0" fieldPosition="0">
        <references count="2">
          <reference field="11" count="1" selected="0">
            <x v="215"/>
          </reference>
          <reference field="14" count="1" defaultSubtotal="1">
            <x v="158"/>
          </reference>
        </references>
      </pivotArea>
    </format>
    <format dxfId="10303">
      <pivotArea dataOnly="0" labelOnly="1" outline="0" fieldPosition="0">
        <references count="2">
          <reference field="11" count="1" selected="0">
            <x v="216"/>
          </reference>
          <reference field="14" count="1">
            <x v="338"/>
          </reference>
        </references>
      </pivotArea>
    </format>
    <format dxfId="10302">
      <pivotArea dataOnly="0" labelOnly="1" outline="0" fieldPosition="0">
        <references count="2">
          <reference field="11" count="1" selected="0">
            <x v="216"/>
          </reference>
          <reference field="14" count="1" defaultSubtotal="1">
            <x v="338"/>
          </reference>
        </references>
      </pivotArea>
    </format>
    <format dxfId="10301">
      <pivotArea dataOnly="0" labelOnly="1" outline="0" fieldPosition="0">
        <references count="2">
          <reference field="11" count="1" selected="0">
            <x v="217"/>
          </reference>
          <reference field="14" count="1">
            <x v="438"/>
          </reference>
        </references>
      </pivotArea>
    </format>
    <format dxfId="10300">
      <pivotArea dataOnly="0" labelOnly="1" outline="0" fieldPosition="0">
        <references count="2">
          <reference field="11" count="1" selected="0">
            <x v="217"/>
          </reference>
          <reference field="14" count="1" defaultSubtotal="1">
            <x v="438"/>
          </reference>
        </references>
      </pivotArea>
    </format>
    <format dxfId="10299">
      <pivotArea dataOnly="0" labelOnly="1" outline="0" fieldPosition="0">
        <references count="2">
          <reference field="11" count="1" selected="0">
            <x v="218"/>
          </reference>
          <reference field="14" count="1">
            <x v="429"/>
          </reference>
        </references>
      </pivotArea>
    </format>
    <format dxfId="10298">
      <pivotArea dataOnly="0" labelOnly="1" outline="0" fieldPosition="0">
        <references count="2">
          <reference field="11" count="1" selected="0">
            <x v="218"/>
          </reference>
          <reference field="14" count="1" defaultSubtotal="1">
            <x v="429"/>
          </reference>
        </references>
      </pivotArea>
    </format>
    <format dxfId="10297">
      <pivotArea dataOnly="0" labelOnly="1" outline="0" fieldPosition="0">
        <references count="2">
          <reference field="11" count="1" selected="0">
            <x v="219"/>
          </reference>
          <reference field="14" count="1">
            <x v="431"/>
          </reference>
        </references>
      </pivotArea>
    </format>
    <format dxfId="10296">
      <pivotArea dataOnly="0" labelOnly="1" outline="0" fieldPosition="0">
        <references count="2">
          <reference field="11" count="1" selected="0">
            <x v="219"/>
          </reference>
          <reference field="14" count="1" defaultSubtotal="1">
            <x v="431"/>
          </reference>
        </references>
      </pivotArea>
    </format>
    <format dxfId="10295">
      <pivotArea dataOnly="0" labelOnly="1" outline="0" fieldPosition="0">
        <references count="2">
          <reference field="11" count="1" selected="0">
            <x v="220"/>
          </reference>
          <reference field="14" count="1">
            <x v="430"/>
          </reference>
        </references>
      </pivotArea>
    </format>
    <format dxfId="10294">
      <pivotArea dataOnly="0" labelOnly="1" outline="0" fieldPosition="0">
        <references count="2">
          <reference field="11" count="1" selected="0">
            <x v="220"/>
          </reference>
          <reference field="14" count="1" defaultSubtotal="1">
            <x v="430"/>
          </reference>
        </references>
      </pivotArea>
    </format>
    <format dxfId="10293">
      <pivotArea dataOnly="0" labelOnly="1" outline="0" fieldPosition="0">
        <references count="2">
          <reference field="11" count="1" selected="0">
            <x v="221"/>
          </reference>
          <reference field="14" count="1">
            <x v="427"/>
          </reference>
        </references>
      </pivotArea>
    </format>
    <format dxfId="10292">
      <pivotArea dataOnly="0" labelOnly="1" outline="0" fieldPosition="0">
        <references count="2">
          <reference field="11" count="1" selected="0">
            <x v="221"/>
          </reference>
          <reference field="14" count="1" defaultSubtotal="1">
            <x v="427"/>
          </reference>
        </references>
      </pivotArea>
    </format>
    <format dxfId="10291">
      <pivotArea dataOnly="0" labelOnly="1" outline="0" fieldPosition="0">
        <references count="2">
          <reference field="11" count="1" selected="0">
            <x v="222"/>
          </reference>
          <reference field="14" count="1">
            <x v="426"/>
          </reference>
        </references>
      </pivotArea>
    </format>
    <format dxfId="10290">
      <pivotArea dataOnly="0" labelOnly="1" outline="0" fieldPosition="0">
        <references count="2">
          <reference field="11" count="1" selected="0">
            <x v="222"/>
          </reference>
          <reference field="14" count="1" defaultSubtotal="1">
            <x v="426"/>
          </reference>
        </references>
      </pivotArea>
    </format>
    <format dxfId="10289">
      <pivotArea dataOnly="0" labelOnly="1" outline="0" fieldPosition="0">
        <references count="2">
          <reference field="11" count="1" selected="0">
            <x v="223"/>
          </reference>
          <reference field="14" count="1">
            <x v="416"/>
          </reference>
        </references>
      </pivotArea>
    </format>
    <format dxfId="10288">
      <pivotArea dataOnly="0" labelOnly="1" outline="0" fieldPosition="0">
        <references count="2">
          <reference field="11" count="1" selected="0">
            <x v="223"/>
          </reference>
          <reference field="14" count="1" defaultSubtotal="1">
            <x v="416"/>
          </reference>
        </references>
      </pivotArea>
    </format>
    <format dxfId="10287">
      <pivotArea dataOnly="0" labelOnly="1" outline="0" fieldPosition="0">
        <references count="2">
          <reference field="11" count="1" selected="0">
            <x v="224"/>
          </reference>
          <reference field="14" count="1">
            <x v="300"/>
          </reference>
        </references>
      </pivotArea>
    </format>
    <format dxfId="10286">
      <pivotArea dataOnly="0" labelOnly="1" outline="0" fieldPosition="0">
        <references count="2">
          <reference field="11" count="1" selected="0">
            <x v="224"/>
          </reference>
          <reference field="14" count="1" defaultSubtotal="1">
            <x v="300"/>
          </reference>
        </references>
      </pivotArea>
    </format>
    <format dxfId="10285">
      <pivotArea dataOnly="0" labelOnly="1" outline="0" fieldPosition="0">
        <references count="2">
          <reference field="11" count="1" selected="0">
            <x v="225"/>
          </reference>
          <reference field="14" count="1">
            <x v="97"/>
          </reference>
        </references>
      </pivotArea>
    </format>
    <format dxfId="10284">
      <pivotArea dataOnly="0" labelOnly="1" outline="0" fieldPosition="0">
        <references count="2">
          <reference field="11" count="1" selected="0">
            <x v="225"/>
          </reference>
          <reference field="14" count="1" defaultSubtotal="1">
            <x v="97"/>
          </reference>
        </references>
      </pivotArea>
    </format>
    <format dxfId="10283">
      <pivotArea dataOnly="0" labelOnly="1" outline="0" fieldPosition="0">
        <references count="2">
          <reference field="11" count="1" selected="0">
            <x v="226"/>
          </reference>
          <reference field="14" count="1">
            <x v="72"/>
          </reference>
        </references>
      </pivotArea>
    </format>
    <format dxfId="10282">
      <pivotArea dataOnly="0" labelOnly="1" outline="0" fieldPosition="0">
        <references count="2">
          <reference field="11" count="1" selected="0">
            <x v="226"/>
          </reference>
          <reference field="14" count="1" defaultSubtotal="1">
            <x v="72"/>
          </reference>
        </references>
      </pivotArea>
    </format>
    <format dxfId="10281">
      <pivotArea dataOnly="0" labelOnly="1" outline="0" fieldPosition="0">
        <references count="2">
          <reference field="11" count="1" selected="0">
            <x v="227"/>
          </reference>
          <reference field="14" count="1">
            <x v="420"/>
          </reference>
        </references>
      </pivotArea>
    </format>
    <format dxfId="10280">
      <pivotArea dataOnly="0" labelOnly="1" outline="0" fieldPosition="0">
        <references count="2">
          <reference field="11" count="1" selected="0">
            <x v="227"/>
          </reference>
          <reference field="14" count="1" defaultSubtotal="1">
            <x v="420"/>
          </reference>
        </references>
      </pivotArea>
    </format>
    <format dxfId="10279">
      <pivotArea dataOnly="0" labelOnly="1" outline="0" fieldPosition="0">
        <references count="2">
          <reference field="11" count="1" selected="0">
            <x v="228"/>
          </reference>
          <reference field="14" count="1">
            <x v="313"/>
          </reference>
        </references>
      </pivotArea>
    </format>
    <format dxfId="10278">
      <pivotArea dataOnly="0" labelOnly="1" outline="0" fieldPosition="0">
        <references count="2">
          <reference field="11" count="1" selected="0">
            <x v="228"/>
          </reference>
          <reference field="14" count="1" defaultSubtotal="1">
            <x v="313"/>
          </reference>
        </references>
      </pivotArea>
    </format>
    <format dxfId="10277">
      <pivotArea dataOnly="0" labelOnly="1" outline="0" fieldPosition="0">
        <references count="2">
          <reference field="11" count="1" selected="0">
            <x v="229"/>
          </reference>
          <reference field="14" count="1">
            <x v="307"/>
          </reference>
        </references>
      </pivotArea>
    </format>
    <format dxfId="10276">
      <pivotArea dataOnly="0" labelOnly="1" outline="0" fieldPosition="0">
        <references count="2">
          <reference field="11" count="1" selected="0">
            <x v="229"/>
          </reference>
          <reference field="14" count="1" defaultSubtotal="1">
            <x v="307"/>
          </reference>
        </references>
      </pivotArea>
    </format>
    <format dxfId="10275">
      <pivotArea dataOnly="0" labelOnly="1" outline="0" fieldPosition="0">
        <references count="2">
          <reference field="11" count="1" selected="0">
            <x v="230"/>
          </reference>
          <reference field="14" count="1">
            <x v="13"/>
          </reference>
        </references>
      </pivotArea>
    </format>
    <format dxfId="10274">
      <pivotArea dataOnly="0" labelOnly="1" outline="0" fieldPosition="0">
        <references count="2">
          <reference field="11" count="1" selected="0">
            <x v="230"/>
          </reference>
          <reference field="14" count="1" defaultSubtotal="1">
            <x v="13"/>
          </reference>
        </references>
      </pivotArea>
    </format>
    <format dxfId="10273">
      <pivotArea dataOnly="0" labelOnly="1" outline="0" fieldPosition="0">
        <references count="2">
          <reference field="11" count="1" selected="0">
            <x v="231"/>
          </reference>
          <reference field="14" count="1">
            <x v="96"/>
          </reference>
        </references>
      </pivotArea>
    </format>
    <format dxfId="10272">
      <pivotArea dataOnly="0" labelOnly="1" outline="0" fieldPosition="0">
        <references count="2">
          <reference field="11" count="1" selected="0">
            <x v="231"/>
          </reference>
          <reference field="14" count="1" defaultSubtotal="1">
            <x v="96"/>
          </reference>
        </references>
      </pivotArea>
    </format>
    <format dxfId="10271">
      <pivotArea dataOnly="0" labelOnly="1" outline="0" fieldPosition="0">
        <references count="2">
          <reference field="11" count="1" selected="0">
            <x v="232"/>
          </reference>
          <reference field="14" count="1">
            <x v="411"/>
          </reference>
        </references>
      </pivotArea>
    </format>
    <format dxfId="10270">
      <pivotArea dataOnly="0" labelOnly="1" outline="0" fieldPosition="0">
        <references count="2">
          <reference field="11" count="1" selected="0">
            <x v="232"/>
          </reference>
          <reference field="14" count="1" defaultSubtotal="1">
            <x v="411"/>
          </reference>
        </references>
      </pivotArea>
    </format>
    <format dxfId="10269">
      <pivotArea dataOnly="0" labelOnly="1" outline="0" fieldPosition="0">
        <references count="2">
          <reference field="11" count="1" selected="0">
            <x v="233"/>
          </reference>
          <reference field="14" count="1">
            <x v="449"/>
          </reference>
        </references>
      </pivotArea>
    </format>
    <format dxfId="10268">
      <pivotArea dataOnly="0" labelOnly="1" outline="0" fieldPosition="0">
        <references count="2">
          <reference field="11" count="1" selected="0">
            <x v="233"/>
          </reference>
          <reference field="14" count="1" defaultSubtotal="1">
            <x v="449"/>
          </reference>
        </references>
      </pivotArea>
    </format>
    <format dxfId="10267">
      <pivotArea dataOnly="0" labelOnly="1" outline="0" fieldPosition="0">
        <references count="2">
          <reference field="11" count="1" selected="0">
            <x v="234"/>
          </reference>
          <reference field="14" count="1">
            <x v="277"/>
          </reference>
        </references>
      </pivotArea>
    </format>
    <format dxfId="10266">
      <pivotArea dataOnly="0" labelOnly="1" outline="0" fieldPosition="0">
        <references count="2">
          <reference field="11" count="1" selected="0">
            <x v="234"/>
          </reference>
          <reference field="14" count="1" defaultSubtotal="1">
            <x v="277"/>
          </reference>
        </references>
      </pivotArea>
    </format>
    <format dxfId="10265">
      <pivotArea dataOnly="0" labelOnly="1" outline="0" fieldPosition="0">
        <references count="2">
          <reference field="11" count="1" selected="0">
            <x v="235"/>
          </reference>
          <reference field="14" count="1">
            <x v="272"/>
          </reference>
        </references>
      </pivotArea>
    </format>
    <format dxfId="10264">
      <pivotArea dataOnly="0" labelOnly="1" outline="0" fieldPosition="0">
        <references count="2">
          <reference field="11" count="1" selected="0">
            <x v="235"/>
          </reference>
          <reference field="14" count="1" defaultSubtotal="1">
            <x v="272"/>
          </reference>
        </references>
      </pivotArea>
    </format>
    <format dxfId="10263">
      <pivotArea dataOnly="0" labelOnly="1" outline="0" fieldPosition="0">
        <references count="2">
          <reference field="11" count="1" selected="0">
            <x v="236"/>
          </reference>
          <reference field="14" count="1">
            <x v="403"/>
          </reference>
        </references>
      </pivotArea>
    </format>
    <format dxfId="10262">
      <pivotArea dataOnly="0" labelOnly="1" outline="0" fieldPosition="0">
        <references count="2">
          <reference field="11" count="1" selected="0">
            <x v="236"/>
          </reference>
          <reference field="14" count="1" defaultSubtotal="1">
            <x v="403"/>
          </reference>
        </references>
      </pivotArea>
    </format>
    <format dxfId="10261">
      <pivotArea dataOnly="0" labelOnly="1" outline="0" fieldPosition="0">
        <references count="2">
          <reference field="11" count="1" selected="0">
            <x v="237"/>
          </reference>
          <reference field="14" count="1">
            <x v="377"/>
          </reference>
        </references>
      </pivotArea>
    </format>
    <format dxfId="10260">
      <pivotArea dataOnly="0" labelOnly="1" outline="0" fieldPosition="0">
        <references count="2">
          <reference field="11" count="1" selected="0">
            <x v="237"/>
          </reference>
          <reference field="14" count="1" defaultSubtotal="1">
            <x v="377"/>
          </reference>
        </references>
      </pivotArea>
    </format>
    <format dxfId="10259">
      <pivotArea dataOnly="0" labelOnly="1" outline="0" fieldPosition="0">
        <references count="2">
          <reference field="11" count="1" selected="0">
            <x v="238"/>
          </reference>
          <reference field="14" count="1">
            <x v="339"/>
          </reference>
        </references>
      </pivotArea>
    </format>
    <format dxfId="10258">
      <pivotArea dataOnly="0" labelOnly="1" outline="0" fieldPosition="0">
        <references count="2">
          <reference field="11" count="1" selected="0">
            <x v="238"/>
          </reference>
          <reference field="14" count="1" defaultSubtotal="1">
            <x v="339"/>
          </reference>
        </references>
      </pivotArea>
    </format>
    <format dxfId="10257">
      <pivotArea dataOnly="0" labelOnly="1" outline="0" fieldPosition="0">
        <references count="2">
          <reference field="11" count="1" selected="0">
            <x v="239"/>
          </reference>
          <reference field="14" count="1">
            <x v="61"/>
          </reference>
        </references>
      </pivotArea>
    </format>
    <format dxfId="10256">
      <pivotArea dataOnly="0" labelOnly="1" outline="0" fieldPosition="0">
        <references count="2">
          <reference field="11" count="1" selected="0">
            <x v="239"/>
          </reference>
          <reference field="14" count="1" defaultSubtotal="1">
            <x v="61"/>
          </reference>
        </references>
      </pivotArea>
    </format>
    <format dxfId="10255">
      <pivotArea dataOnly="0" labelOnly="1" outline="0" fieldPosition="0">
        <references count="2">
          <reference field="11" count="1" selected="0">
            <x v="240"/>
          </reference>
          <reference field="14" count="1">
            <x v="201"/>
          </reference>
        </references>
      </pivotArea>
    </format>
    <format dxfId="10254">
      <pivotArea dataOnly="0" labelOnly="1" outline="0" fieldPosition="0">
        <references count="2">
          <reference field="11" count="1" selected="0">
            <x v="240"/>
          </reference>
          <reference field="14" count="1" defaultSubtotal="1">
            <x v="201"/>
          </reference>
        </references>
      </pivotArea>
    </format>
    <format dxfId="10253">
      <pivotArea dataOnly="0" labelOnly="1" outline="0" fieldPosition="0">
        <references count="2">
          <reference field="11" count="1" selected="0">
            <x v="241"/>
          </reference>
          <reference field="14" count="1">
            <x v="262"/>
          </reference>
        </references>
      </pivotArea>
    </format>
    <format dxfId="10252">
      <pivotArea dataOnly="0" labelOnly="1" outline="0" fieldPosition="0">
        <references count="2">
          <reference field="11" count="1" selected="0">
            <x v="241"/>
          </reference>
          <reference field="14" count="1" defaultSubtotal="1">
            <x v="262"/>
          </reference>
        </references>
      </pivotArea>
    </format>
    <format dxfId="10251">
      <pivotArea dataOnly="0" labelOnly="1" outline="0" fieldPosition="0">
        <references count="2">
          <reference field="11" count="1" selected="0">
            <x v="242"/>
          </reference>
          <reference field="14" count="1">
            <x v="91"/>
          </reference>
        </references>
      </pivotArea>
    </format>
    <format dxfId="10250">
      <pivotArea dataOnly="0" labelOnly="1" outline="0" fieldPosition="0">
        <references count="2">
          <reference field="11" count="1" selected="0">
            <x v="242"/>
          </reference>
          <reference field="14" count="1" defaultSubtotal="1">
            <x v="91"/>
          </reference>
        </references>
      </pivotArea>
    </format>
    <format dxfId="10249">
      <pivotArea dataOnly="0" labelOnly="1" outline="0" fieldPosition="0">
        <references count="2">
          <reference field="11" count="1" selected="0">
            <x v="243"/>
          </reference>
          <reference field="14" count="1">
            <x v="264"/>
          </reference>
        </references>
      </pivotArea>
    </format>
    <format dxfId="10248">
      <pivotArea dataOnly="0" labelOnly="1" outline="0" fieldPosition="0">
        <references count="2">
          <reference field="11" count="1" selected="0">
            <x v="243"/>
          </reference>
          <reference field="14" count="1" defaultSubtotal="1">
            <x v="264"/>
          </reference>
        </references>
      </pivotArea>
    </format>
    <format dxfId="10247">
      <pivotArea dataOnly="0" labelOnly="1" outline="0" fieldPosition="0">
        <references count="2">
          <reference field="11" count="1" selected="0">
            <x v="244"/>
          </reference>
          <reference field="14" count="1">
            <x v="222"/>
          </reference>
        </references>
      </pivotArea>
    </format>
    <format dxfId="10246">
      <pivotArea dataOnly="0" labelOnly="1" outline="0" fieldPosition="0">
        <references count="2">
          <reference field="11" count="1" selected="0">
            <x v="244"/>
          </reference>
          <reference field="14" count="1" defaultSubtotal="1">
            <x v="222"/>
          </reference>
        </references>
      </pivotArea>
    </format>
    <format dxfId="10245">
      <pivotArea dataOnly="0" labelOnly="1" outline="0" fieldPosition="0">
        <references count="2">
          <reference field="11" count="1" selected="0">
            <x v="245"/>
          </reference>
          <reference field="14" count="1">
            <x v="131"/>
          </reference>
        </references>
      </pivotArea>
    </format>
    <format dxfId="10244">
      <pivotArea dataOnly="0" labelOnly="1" outline="0" fieldPosition="0">
        <references count="2">
          <reference field="11" count="1" selected="0">
            <x v="245"/>
          </reference>
          <reference field="14" count="1" defaultSubtotal="1">
            <x v="131"/>
          </reference>
        </references>
      </pivotArea>
    </format>
    <format dxfId="10243">
      <pivotArea dataOnly="0" labelOnly="1" outline="0" fieldPosition="0">
        <references count="2">
          <reference field="11" count="1" selected="0">
            <x v="246"/>
          </reference>
          <reference field="14" count="1">
            <x v="418"/>
          </reference>
        </references>
      </pivotArea>
    </format>
    <format dxfId="10242">
      <pivotArea dataOnly="0" labelOnly="1" outline="0" fieldPosition="0">
        <references count="2">
          <reference field="11" count="1" selected="0">
            <x v="246"/>
          </reference>
          <reference field="14" count="1" defaultSubtotal="1">
            <x v="418"/>
          </reference>
        </references>
      </pivotArea>
    </format>
    <format dxfId="10241">
      <pivotArea dataOnly="0" labelOnly="1" outline="0" fieldPosition="0">
        <references count="2">
          <reference field="11" count="1" selected="0">
            <x v="247"/>
          </reference>
          <reference field="14" count="1">
            <x v="406"/>
          </reference>
        </references>
      </pivotArea>
    </format>
    <format dxfId="10240">
      <pivotArea dataOnly="0" labelOnly="1" outline="0" fieldPosition="0">
        <references count="2">
          <reference field="11" count="1" selected="0">
            <x v="247"/>
          </reference>
          <reference field="14" count="1" defaultSubtotal="1">
            <x v="406"/>
          </reference>
        </references>
      </pivotArea>
    </format>
    <format dxfId="10239">
      <pivotArea dataOnly="0" labelOnly="1" outline="0" fieldPosition="0">
        <references count="2">
          <reference field="11" count="1" selected="0">
            <x v="248"/>
          </reference>
          <reference field="14" count="1">
            <x v="404"/>
          </reference>
        </references>
      </pivotArea>
    </format>
    <format dxfId="10238">
      <pivotArea dataOnly="0" labelOnly="1" outline="0" fieldPosition="0">
        <references count="2">
          <reference field="11" count="1" selected="0">
            <x v="248"/>
          </reference>
          <reference field="14" count="1" defaultSubtotal="1">
            <x v="404"/>
          </reference>
        </references>
      </pivotArea>
    </format>
    <format dxfId="10237">
      <pivotArea dataOnly="0" labelOnly="1" outline="0" fieldPosition="0">
        <references count="2">
          <reference field="11" count="1" selected="0">
            <x v="249"/>
          </reference>
          <reference field="14" count="1">
            <x v="402"/>
          </reference>
        </references>
      </pivotArea>
    </format>
    <format dxfId="10236">
      <pivotArea dataOnly="0" labelOnly="1" outline="0" fieldPosition="0">
        <references count="2">
          <reference field="11" count="1" selected="0">
            <x v="249"/>
          </reference>
          <reference field="14" count="1" defaultSubtotal="1">
            <x v="402"/>
          </reference>
        </references>
      </pivotArea>
    </format>
    <format dxfId="10235">
      <pivotArea dataOnly="0" labelOnly="1" outline="0" fieldPosition="0">
        <references count="2">
          <reference field="11" count="1" selected="0">
            <x v="250"/>
          </reference>
          <reference field="14" count="1">
            <x v="128"/>
          </reference>
        </references>
      </pivotArea>
    </format>
    <format dxfId="10234">
      <pivotArea dataOnly="0" labelOnly="1" outline="0" fieldPosition="0">
        <references count="2">
          <reference field="11" count="1" selected="0">
            <x v="250"/>
          </reference>
          <reference field="14" count="1" defaultSubtotal="1">
            <x v="128"/>
          </reference>
        </references>
      </pivotArea>
    </format>
    <format dxfId="10233">
      <pivotArea dataOnly="0" labelOnly="1" outline="0" fieldPosition="0">
        <references count="2">
          <reference field="11" count="1" selected="0">
            <x v="251"/>
          </reference>
          <reference field="14" count="1">
            <x v="405"/>
          </reference>
        </references>
      </pivotArea>
    </format>
    <format dxfId="10232">
      <pivotArea dataOnly="0" labelOnly="1" outline="0" fieldPosition="0">
        <references count="2">
          <reference field="11" count="1" selected="0">
            <x v="251"/>
          </reference>
          <reference field="14" count="1" defaultSubtotal="1">
            <x v="405"/>
          </reference>
        </references>
      </pivotArea>
    </format>
    <format dxfId="10231">
      <pivotArea dataOnly="0" labelOnly="1" outline="0" fieldPosition="0">
        <references count="2">
          <reference field="11" count="1" selected="0">
            <x v="252"/>
          </reference>
          <reference field="14" count="1">
            <x v="86"/>
          </reference>
        </references>
      </pivotArea>
    </format>
    <format dxfId="10230">
      <pivotArea dataOnly="0" labelOnly="1" outline="0" fieldPosition="0">
        <references count="2">
          <reference field="11" count="1" selected="0">
            <x v="252"/>
          </reference>
          <reference field="14" count="1" defaultSubtotal="1">
            <x v="86"/>
          </reference>
        </references>
      </pivotArea>
    </format>
    <format dxfId="10229">
      <pivotArea dataOnly="0" labelOnly="1" outline="0" fieldPosition="0">
        <references count="2">
          <reference field="11" count="1" selected="0">
            <x v="253"/>
          </reference>
          <reference field="14" count="1">
            <x v="136"/>
          </reference>
        </references>
      </pivotArea>
    </format>
    <format dxfId="10228">
      <pivotArea dataOnly="0" labelOnly="1" outline="0" fieldPosition="0">
        <references count="2">
          <reference field="11" count="1" selected="0">
            <x v="253"/>
          </reference>
          <reference field="14" count="1" defaultSubtotal="1">
            <x v="136"/>
          </reference>
        </references>
      </pivotArea>
    </format>
    <format dxfId="10227">
      <pivotArea dataOnly="0" labelOnly="1" outline="0" fieldPosition="0">
        <references count="2">
          <reference field="11" count="1" selected="0">
            <x v="254"/>
          </reference>
          <reference field="14" count="1">
            <x v="181"/>
          </reference>
        </references>
      </pivotArea>
    </format>
    <format dxfId="10226">
      <pivotArea dataOnly="0" labelOnly="1" outline="0" fieldPosition="0">
        <references count="2">
          <reference field="11" count="1" selected="0">
            <x v="254"/>
          </reference>
          <reference field="14" count="1" defaultSubtotal="1">
            <x v="181"/>
          </reference>
        </references>
      </pivotArea>
    </format>
    <format dxfId="10225">
      <pivotArea dataOnly="0" labelOnly="1" outline="0" fieldPosition="0">
        <references count="2">
          <reference field="11" count="1" selected="0">
            <x v="255"/>
          </reference>
          <reference field="14" count="1">
            <x v="263"/>
          </reference>
        </references>
      </pivotArea>
    </format>
    <format dxfId="10224">
      <pivotArea dataOnly="0" labelOnly="1" outline="0" fieldPosition="0">
        <references count="2">
          <reference field="11" count="1" selected="0">
            <x v="255"/>
          </reference>
          <reference field="14" count="1" defaultSubtotal="1">
            <x v="263"/>
          </reference>
        </references>
      </pivotArea>
    </format>
    <format dxfId="10223">
      <pivotArea dataOnly="0" labelOnly="1" outline="0" fieldPosition="0">
        <references count="2">
          <reference field="11" count="1" selected="0">
            <x v="256"/>
          </reference>
          <reference field="14" count="1">
            <x v="133"/>
          </reference>
        </references>
      </pivotArea>
    </format>
    <format dxfId="10222">
      <pivotArea dataOnly="0" labelOnly="1" outline="0" fieldPosition="0">
        <references count="2">
          <reference field="11" count="1" selected="0">
            <x v="256"/>
          </reference>
          <reference field="14" count="1" defaultSubtotal="1">
            <x v="133"/>
          </reference>
        </references>
      </pivotArea>
    </format>
    <format dxfId="10221">
      <pivotArea dataOnly="0" labelOnly="1" outline="0" fieldPosition="0">
        <references count="2">
          <reference field="11" count="1" selected="0">
            <x v="257"/>
          </reference>
          <reference field="14" count="1">
            <x v="187"/>
          </reference>
        </references>
      </pivotArea>
    </format>
    <format dxfId="10220">
      <pivotArea dataOnly="0" labelOnly="1" outline="0" fieldPosition="0">
        <references count="2">
          <reference field="11" count="1" selected="0">
            <x v="257"/>
          </reference>
          <reference field="14" count="1" defaultSubtotal="1">
            <x v="187"/>
          </reference>
        </references>
      </pivotArea>
    </format>
    <format dxfId="10219">
      <pivotArea dataOnly="0" labelOnly="1" outline="0" fieldPosition="0">
        <references count="2">
          <reference field="11" count="1" selected="0">
            <x v="258"/>
          </reference>
          <reference field="14" count="1">
            <x v="417"/>
          </reference>
        </references>
      </pivotArea>
    </format>
    <format dxfId="10218">
      <pivotArea dataOnly="0" labelOnly="1" outline="0" fieldPosition="0">
        <references count="2">
          <reference field="11" count="1" selected="0">
            <x v="258"/>
          </reference>
          <reference field="14" count="1" defaultSubtotal="1">
            <x v="417"/>
          </reference>
        </references>
      </pivotArea>
    </format>
    <format dxfId="10217">
      <pivotArea dataOnly="0" labelOnly="1" outline="0" fieldPosition="0">
        <references count="2">
          <reference field="11" count="1" selected="0">
            <x v="259"/>
          </reference>
          <reference field="14" count="1">
            <x v="371"/>
          </reference>
        </references>
      </pivotArea>
    </format>
    <format dxfId="10216">
      <pivotArea dataOnly="0" labelOnly="1" outline="0" fieldPosition="0">
        <references count="2">
          <reference field="11" count="1" selected="0">
            <x v="259"/>
          </reference>
          <reference field="14" count="1" defaultSubtotal="1">
            <x v="371"/>
          </reference>
        </references>
      </pivotArea>
    </format>
    <format dxfId="10215">
      <pivotArea dataOnly="0" labelOnly="1" outline="0" fieldPosition="0">
        <references count="2">
          <reference field="11" count="1" selected="0">
            <x v="260"/>
          </reference>
          <reference field="14" count="1">
            <x v="157"/>
          </reference>
        </references>
      </pivotArea>
    </format>
    <format dxfId="10214">
      <pivotArea dataOnly="0" labelOnly="1" outline="0" fieldPosition="0">
        <references count="2">
          <reference field="11" count="1" selected="0">
            <x v="260"/>
          </reference>
          <reference field="14" count="1" defaultSubtotal="1">
            <x v="157"/>
          </reference>
        </references>
      </pivotArea>
    </format>
    <format dxfId="10213">
      <pivotArea dataOnly="0" labelOnly="1" outline="0" fieldPosition="0">
        <references count="2">
          <reference field="11" count="1" selected="0">
            <x v="261"/>
          </reference>
          <reference field="14" count="1">
            <x v="223"/>
          </reference>
        </references>
      </pivotArea>
    </format>
    <format dxfId="10212">
      <pivotArea dataOnly="0" labelOnly="1" outline="0" fieldPosition="0">
        <references count="2">
          <reference field="11" count="1" selected="0">
            <x v="261"/>
          </reference>
          <reference field="14" count="1" defaultSubtotal="1">
            <x v="223"/>
          </reference>
        </references>
      </pivotArea>
    </format>
    <format dxfId="10211">
      <pivotArea dataOnly="0" labelOnly="1" outline="0" fieldPosition="0">
        <references count="2">
          <reference field="11" count="1" selected="0">
            <x v="262"/>
          </reference>
          <reference field="14" count="1">
            <x v="311"/>
          </reference>
        </references>
      </pivotArea>
    </format>
    <format dxfId="10210">
      <pivotArea dataOnly="0" labelOnly="1" outline="0" fieldPosition="0">
        <references count="2">
          <reference field="11" count="1" selected="0">
            <x v="262"/>
          </reference>
          <reference field="14" count="1" defaultSubtotal="1">
            <x v="311"/>
          </reference>
        </references>
      </pivotArea>
    </format>
    <format dxfId="10209">
      <pivotArea dataOnly="0" labelOnly="1" outline="0" fieldPosition="0">
        <references count="2">
          <reference field="11" count="1" selected="0">
            <x v="263"/>
          </reference>
          <reference field="14" count="1">
            <x v="114"/>
          </reference>
        </references>
      </pivotArea>
    </format>
    <format dxfId="10208">
      <pivotArea dataOnly="0" labelOnly="1" outline="0" fieldPosition="0">
        <references count="2">
          <reference field="11" count="1" selected="0">
            <x v="263"/>
          </reference>
          <reference field="14" count="1" defaultSubtotal="1">
            <x v="114"/>
          </reference>
        </references>
      </pivotArea>
    </format>
    <format dxfId="10207">
      <pivotArea dataOnly="0" labelOnly="1" outline="0" fieldPosition="0">
        <references count="2">
          <reference field="11" count="1" selected="0">
            <x v="264"/>
          </reference>
          <reference field="14" count="1">
            <x v="154"/>
          </reference>
        </references>
      </pivotArea>
    </format>
    <format dxfId="10206">
      <pivotArea dataOnly="0" labelOnly="1" outline="0" fieldPosition="0">
        <references count="2">
          <reference field="11" count="1" selected="0">
            <x v="264"/>
          </reference>
          <reference field="14" count="1" defaultSubtotal="1">
            <x v="154"/>
          </reference>
        </references>
      </pivotArea>
    </format>
    <format dxfId="10205">
      <pivotArea dataOnly="0" labelOnly="1" outline="0" fieldPosition="0">
        <references count="2">
          <reference field="11" count="1" selected="0">
            <x v="265"/>
          </reference>
          <reference field="14" count="1">
            <x v="166"/>
          </reference>
        </references>
      </pivotArea>
    </format>
    <format dxfId="10204">
      <pivotArea dataOnly="0" labelOnly="1" outline="0" fieldPosition="0">
        <references count="2">
          <reference field="11" count="1" selected="0">
            <x v="265"/>
          </reference>
          <reference field="14" count="1" defaultSubtotal="1">
            <x v="166"/>
          </reference>
        </references>
      </pivotArea>
    </format>
    <format dxfId="10203">
      <pivotArea dataOnly="0" labelOnly="1" outline="0" fieldPosition="0">
        <references count="2">
          <reference field="11" count="1" selected="0">
            <x v="266"/>
          </reference>
          <reference field="14" count="1">
            <x v="152"/>
          </reference>
        </references>
      </pivotArea>
    </format>
    <format dxfId="10202">
      <pivotArea dataOnly="0" labelOnly="1" outline="0" fieldPosition="0">
        <references count="2">
          <reference field="11" count="1" selected="0">
            <x v="266"/>
          </reference>
          <reference field="14" count="1" defaultSubtotal="1">
            <x v="152"/>
          </reference>
        </references>
      </pivotArea>
    </format>
    <format dxfId="10201">
      <pivotArea dataOnly="0" labelOnly="1" outline="0" fieldPosition="0">
        <references count="2">
          <reference field="11" count="1" selected="0">
            <x v="267"/>
          </reference>
          <reference field="14" count="1">
            <x v="374"/>
          </reference>
        </references>
      </pivotArea>
    </format>
    <format dxfId="10200">
      <pivotArea dataOnly="0" labelOnly="1" outline="0" fieldPosition="0">
        <references count="2">
          <reference field="11" count="1" selected="0">
            <x v="267"/>
          </reference>
          <reference field="14" count="1" defaultSubtotal="1">
            <x v="374"/>
          </reference>
        </references>
      </pivotArea>
    </format>
    <format dxfId="10199">
      <pivotArea dataOnly="0" labelOnly="1" outline="0" fieldPosition="0">
        <references count="2">
          <reference field="11" count="1" selected="0">
            <x v="268"/>
          </reference>
          <reference field="14" count="1">
            <x v="353"/>
          </reference>
        </references>
      </pivotArea>
    </format>
    <format dxfId="10198">
      <pivotArea dataOnly="0" labelOnly="1" outline="0" fieldPosition="0">
        <references count="2">
          <reference field="11" count="1" selected="0">
            <x v="268"/>
          </reference>
          <reference field="14" count="1" defaultSubtotal="1">
            <x v="353"/>
          </reference>
        </references>
      </pivotArea>
    </format>
    <format dxfId="10197">
      <pivotArea dataOnly="0" labelOnly="1" outline="0" fieldPosition="0">
        <references count="2">
          <reference field="11" count="1" selected="0">
            <x v="269"/>
          </reference>
          <reference field="14" count="1">
            <x v="124"/>
          </reference>
        </references>
      </pivotArea>
    </format>
    <format dxfId="10196">
      <pivotArea dataOnly="0" labelOnly="1" outline="0" fieldPosition="0">
        <references count="2">
          <reference field="11" count="1" selected="0">
            <x v="269"/>
          </reference>
          <reference field="14" count="1" defaultSubtotal="1">
            <x v="124"/>
          </reference>
        </references>
      </pivotArea>
    </format>
    <format dxfId="10195">
      <pivotArea dataOnly="0" labelOnly="1" outline="0" fieldPosition="0">
        <references count="2">
          <reference field="11" count="1" selected="0">
            <x v="270"/>
          </reference>
          <reference field="14" count="1">
            <x v="126"/>
          </reference>
        </references>
      </pivotArea>
    </format>
    <format dxfId="10194">
      <pivotArea dataOnly="0" labelOnly="1" outline="0" fieldPosition="0">
        <references count="2">
          <reference field="11" count="1" selected="0">
            <x v="270"/>
          </reference>
          <reference field="14" count="1" defaultSubtotal="1">
            <x v="126"/>
          </reference>
        </references>
      </pivotArea>
    </format>
    <format dxfId="10193">
      <pivotArea dataOnly="0" labelOnly="1" outline="0" fieldPosition="0">
        <references count="2">
          <reference field="11" count="1" selected="0">
            <x v="271"/>
          </reference>
          <reference field="14" count="1">
            <x v="239"/>
          </reference>
        </references>
      </pivotArea>
    </format>
    <format dxfId="10192">
      <pivotArea dataOnly="0" labelOnly="1" outline="0" fieldPosition="0">
        <references count="2">
          <reference field="11" count="1" selected="0">
            <x v="271"/>
          </reference>
          <reference field="14" count="1" defaultSubtotal="1">
            <x v="239"/>
          </reference>
        </references>
      </pivotArea>
    </format>
    <format dxfId="10191">
      <pivotArea dataOnly="0" labelOnly="1" outline="0" fieldPosition="0">
        <references count="2">
          <reference field="11" count="1" selected="0">
            <x v="272"/>
          </reference>
          <reference field="14" count="1">
            <x v="42"/>
          </reference>
        </references>
      </pivotArea>
    </format>
    <format dxfId="10190">
      <pivotArea dataOnly="0" labelOnly="1" outline="0" fieldPosition="0">
        <references count="2">
          <reference field="11" count="1" selected="0">
            <x v="272"/>
          </reference>
          <reference field="14" count="1" defaultSubtotal="1">
            <x v="42"/>
          </reference>
        </references>
      </pivotArea>
    </format>
    <format dxfId="10189">
      <pivotArea dataOnly="0" labelOnly="1" outline="0" fieldPosition="0">
        <references count="2">
          <reference field="11" count="1" selected="0">
            <x v="273"/>
          </reference>
          <reference field="14" count="1">
            <x v="342"/>
          </reference>
        </references>
      </pivotArea>
    </format>
    <format dxfId="10188">
      <pivotArea dataOnly="0" labelOnly="1" outline="0" fieldPosition="0">
        <references count="2">
          <reference field="11" count="1" selected="0">
            <x v="273"/>
          </reference>
          <reference field="14" count="1" defaultSubtotal="1">
            <x v="342"/>
          </reference>
        </references>
      </pivotArea>
    </format>
    <format dxfId="10187">
      <pivotArea dataOnly="0" labelOnly="1" outline="0" fieldPosition="0">
        <references count="2">
          <reference field="11" count="1" selected="0">
            <x v="274"/>
          </reference>
          <reference field="14" count="1">
            <x v="372"/>
          </reference>
        </references>
      </pivotArea>
    </format>
    <format dxfId="10186">
      <pivotArea dataOnly="0" labelOnly="1" outline="0" fieldPosition="0">
        <references count="2">
          <reference field="11" count="1" selected="0">
            <x v="274"/>
          </reference>
          <reference field="14" count="1" defaultSubtotal="1">
            <x v="372"/>
          </reference>
        </references>
      </pivotArea>
    </format>
    <format dxfId="10185">
      <pivotArea dataOnly="0" labelOnly="1" outline="0" fieldPosition="0">
        <references count="2">
          <reference field="11" count="1" selected="0">
            <x v="275"/>
          </reference>
          <reference field="14" count="1">
            <x v="51"/>
          </reference>
        </references>
      </pivotArea>
    </format>
    <format dxfId="10184">
      <pivotArea dataOnly="0" labelOnly="1" outline="0" fieldPosition="0">
        <references count="2">
          <reference field="11" count="1" selected="0">
            <x v="275"/>
          </reference>
          <reference field="14" count="1" defaultSubtotal="1">
            <x v="51"/>
          </reference>
        </references>
      </pivotArea>
    </format>
    <format dxfId="10183">
      <pivotArea dataOnly="0" labelOnly="1" outline="0" fieldPosition="0">
        <references count="2">
          <reference field="11" count="1" selected="0">
            <x v="276"/>
          </reference>
          <reference field="14" count="1">
            <x v="290"/>
          </reference>
        </references>
      </pivotArea>
    </format>
    <format dxfId="10182">
      <pivotArea dataOnly="0" labelOnly="1" outline="0" fieldPosition="0">
        <references count="2">
          <reference field="11" count="1" selected="0">
            <x v="276"/>
          </reference>
          <reference field="14" count="1" defaultSubtotal="1">
            <x v="290"/>
          </reference>
        </references>
      </pivotArea>
    </format>
    <format dxfId="10181">
      <pivotArea dataOnly="0" labelOnly="1" outline="0" fieldPosition="0">
        <references count="2">
          <reference field="11" count="1" selected="0">
            <x v="277"/>
          </reference>
          <reference field="14" count="1">
            <x v="180"/>
          </reference>
        </references>
      </pivotArea>
    </format>
    <format dxfId="10180">
      <pivotArea dataOnly="0" labelOnly="1" outline="0" fieldPosition="0">
        <references count="2">
          <reference field="11" count="1" selected="0">
            <x v="277"/>
          </reference>
          <reference field="14" count="1" defaultSubtotal="1">
            <x v="180"/>
          </reference>
        </references>
      </pivotArea>
    </format>
    <format dxfId="10179">
      <pivotArea dataOnly="0" labelOnly="1" outline="0" fieldPosition="0">
        <references count="2">
          <reference field="11" count="1" selected="0">
            <x v="278"/>
          </reference>
          <reference field="14" count="1">
            <x v="164"/>
          </reference>
        </references>
      </pivotArea>
    </format>
    <format dxfId="10178">
      <pivotArea dataOnly="0" labelOnly="1" outline="0" fieldPosition="0">
        <references count="2">
          <reference field="11" count="1" selected="0">
            <x v="278"/>
          </reference>
          <reference field="14" count="1" defaultSubtotal="1">
            <x v="164"/>
          </reference>
        </references>
      </pivotArea>
    </format>
    <format dxfId="10177">
      <pivotArea dataOnly="0" labelOnly="1" outline="0" fieldPosition="0">
        <references count="2">
          <reference field="11" count="1" selected="0">
            <x v="279"/>
          </reference>
          <reference field="14" count="1">
            <x v="153"/>
          </reference>
        </references>
      </pivotArea>
    </format>
    <format dxfId="10176">
      <pivotArea dataOnly="0" labelOnly="1" outline="0" fieldPosition="0">
        <references count="2">
          <reference field="11" count="1" selected="0">
            <x v="279"/>
          </reference>
          <reference field="14" count="1" defaultSubtotal="1">
            <x v="153"/>
          </reference>
        </references>
      </pivotArea>
    </format>
    <format dxfId="10175">
      <pivotArea dataOnly="0" labelOnly="1" outline="0" fieldPosition="0">
        <references count="2">
          <reference field="11" count="1" selected="0">
            <x v="280"/>
          </reference>
          <reference field="14" count="1">
            <x v="373"/>
          </reference>
        </references>
      </pivotArea>
    </format>
    <format dxfId="10174">
      <pivotArea dataOnly="0" labelOnly="1" outline="0" fieldPosition="0">
        <references count="2">
          <reference field="11" count="1" selected="0">
            <x v="280"/>
          </reference>
          <reference field="14" count="1" defaultSubtotal="1">
            <x v="373"/>
          </reference>
        </references>
      </pivotArea>
    </format>
    <format dxfId="10173">
      <pivotArea dataOnly="0" labelOnly="1" outline="0" fieldPosition="0">
        <references count="2">
          <reference field="11" count="1" selected="0">
            <x v="281"/>
          </reference>
          <reference field="14" count="1">
            <x v="165"/>
          </reference>
        </references>
      </pivotArea>
    </format>
    <format dxfId="10172">
      <pivotArea dataOnly="0" labelOnly="1" outline="0" fieldPosition="0">
        <references count="2">
          <reference field="11" count="1" selected="0">
            <x v="281"/>
          </reference>
          <reference field="14" count="1" defaultSubtotal="1">
            <x v="165"/>
          </reference>
        </references>
      </pivotArea>
    </format>
    <format dxfId="10171">
      <pivotArea dataOnly="0" labelOnly="1" outline="0" fieldPosition="0">
        <references count="2">
          <reference field="11" count="1" selected="0">
            <x v="282"/>
          </reference>
          <reference field="14" count="1">
            <x v="357"/>
          </reference>
        </references>
      </pivotArea>
    </format>
    <format dxfId="10170">
      <pivotArea dataOnly="0" labelOnly="1" outline="0" fieldPosition="0">
        <references count="2">
          <reference field="11" count="1" selected="0">
            <x v="282"/>
          </reference>
          <reference field="14" count="1" defaultSubtotal="1">
            <x v="357"/>
          </reference>
        </references>
      </pivotArea>
    </format>
    <format dxfId="10169">
      <pivotArea dataOnly="0" labelOnly="1" outline="0" fieldPosition="0">
        <references count="2">
          <reference field="11" count="1" selected="0">
            <x v="283"/>
          </reference>
          <reference field="14" count="1">
            <x v="162"/>
          </reference>
        </references>
      </pivotArea>
    </format>
    <format dxfId="10168">
      <pivotArea dataOnly="0" labelOnly="1" outline="0" fieldPosition="0">
        <references count="2">
          <reference field="11" count="1" selected="0">
            <x v="283"/>
          </reference>
          <reference field="14" count="1" defaultSubtotal="1">
            <x v="162"/>
          </reference>
        </references>
      </pivotArea>
    </format>
    <format dxfId="10167">
      <pivotArea dataOnly="0" labelOnly="1" outline="0" fieldPosition="0">
        <references count="2">
          <reference field="11" count="1" selected="0">
            <x v="284"/>
          </reference>
          <reference field="14" count="1">
            <x v="149"/>
          </reference>
        </references>
      </pivotArea>
    </format>
    <format dxfId="10166">
      <pivotArea dataOnly="0" labelOnly="1" outline="0" fieldPosition="0">
        <references count="2">
          <reference field="11" count="1" selected="0">
            <x v="284"/>
          </reference>
          <reference field="14" count="1" defaultSubtotal="1">
            <x v="149"/>
          </reference>
        </references>
      </pivotArea>
    </format>
    <format dxfId="10165">
      <pivotArea dataOnly="0" labelOnly="1" outline="0" fieldPosition="0">
        <references count="2">
          <reference field="11" count="1" selected="0">
            <x v="285"/>
          </reference>
          <reference field="14" count="1">
            <x v="365"/>
          </reference>
        </references>
      </pivotArea>
    </format>
    <format dxfId="10164">
      <pivotArea dataOnly="0" labelOnly="1" outline="0" fieldPosition="0">
        <references count="2">
          <reference field="11" count="1" selected="0">
            <x v="285"/>
          </reference>
          <reference field="14" count="1" defaultSubtotal="1">
            <x v="365"/>
          </reference>
        </references>
      </pivotArea>
    </format>
    <format dxfId="10163">
      <pivotArea dataOnly="0" labelOnly="1" outline="0" fieldPosition="0">
        <references count="2">
          <reference field="11" count="1" selected="0">
            <x v="286"/>
          </reference>
          <reference field="14" count="1">
            <x v="217"/>
          </reference>
        </references>
      </pivotArea>
    </format>
    <format dxfId="10162">
      <pivotArea dataOnly="0" labelOnly="1" outline="0" fieldPosition="0">
        <references count="2">
          <reference field="11" count="1" selected="0">
            <x v="286"/>
          </reference>
          <reference field="14" count="1" defaultSubtotal="1">
            <x v="217"/>
          </reference>
        </references>
      </pivotArea>
    </format>
    <format dxfId="10161">
      <pivotArea dataOnly="0" labelOnly="1" outline="0" fieldPosition="0">
        <references count="2">
          <reference field="11" count="1" selected="0">
            <x v="287"/>
          </reference>
          <reference field="14" count="1">
            <x v="197"/>
          </reference>
        </references>
      </pivotArea>
    </format>
    <format dxfId="10160">
      <pivotArea dataOnly="0" labelOnly="1" outline="0" fieldPosition="0">
        <references count="2">
          <reference field="11" count="1" selected="0">
            <x v="287"/>
          </reference>
          <reference field="14" count="1" defaultSubtotal="1">
            <x v="197"/>
          </reference>
        </references>
      </pivotArea>
    </format>
    <format dxfId="10159">
      <pivotArea dataOnly="0" labelOnly="1" outline="0" fieldPosition="0">
        <references count="2">
          <reference field="11" count="1" selected="0">
            <x v="288"/>
          </reference>
          <reference field="14" count="1">
            <x v="389"/>
          </reference>
        </references>
      </pivotArea>
    </format>
    <format dxfId="10158">
      <pivotArea dataOnly="0" labelOnly="1" outline="0" fieldPosition="0">
        <references count="2">
          <reference field="11" count="1" selected="0">
            <x v="288"/>
          </reference>
          <reference field="14" count="1" defaultSubtotal="1">
            <x v="389"/>
          </reference>
        </references>
      </pivotArea>
    </format>
    <format dxfId="10157">
      <pivotArea dataOnly="0" labelOnly="1" outline="0" fieldPosition="0">
        <references count="2">
          <reference field="11" count="1" selected="0">
            <x v="289"/>
          </reference>
          <reference field="14" count="1">
            <x v="171"/>
          </reference>
        </references>
      </pivotArea>
    </format>
    <format dxfId="10156">
      <pivotArea dataOnly="0" labelOnly="1" outline="0" fieldPosition="0">
        <references count="2">
          <reference field="11" count="1" selected="0">
            <x v="289"/>
          </reference>
          <reference field="14" count="1" defaultSubtotal="1">
            <x v="171"/>
          </reference>
        </references>
      </pivotArea>
    </format>
    <format dxfId="10155">
      <pivotArea dataOnly="0" labelOnly="1" outline="0" fieldPosition="0">
        <references count="2">
          <reference field="11" count="1" selected="0">
            <x v="290"/>
          </reference>
          <reference field="14" count="1">
            <x v="183"/>
          </reference>
        </references>
      </pivotArea>
    </format>
    <format dxfId="10154">
      <pivotArea dataOnly="0" labelOnly="1" outline="0" fieldPosition="0">
        <references count="2">
          <reference field="11" count="1" selected="0">
            <x v="290"/>
          </reference>
          <reference field="14" count="1" defaultSubtotal="1">
            <x v="183"/>
          </reference>
        </references>
      </pivotArea>
    </format>
    <format dxfId="10153">
      <pivotArea dataOnly="0" labelOnly="1" outline="0" fieldPosition="0">
        <references count="2">
          <reference field="11" count="1" selected="0">
            <x v="291"/>
          </reference>
          <reference field="14" count="1">
            <x v="3"/>
          </reference>
        </references>
      </pivotArea>
    </format>
    <format dxfId="10152">
      <pivotArea dataOnly="0" labelOnly="1" outline="0" fieldPosition="0">
        <references count="2">
          <reference field="11" count="1" selected="0">
            <x v="291"/>
          </reference>
          <reference field="14" count="1" defaultSubtotal="1">
            <x v="3"/>
          </reference>
        </references>
      </pivotArea>
    </format>
    <format dxfId="10151">
      <pivotArea dataOnly="0" labelOnly="1" outline="0" fieldPosition="0">
        <references count="2">
          <reference field="11" count="1" selected="0">
            <x v="292"/>
          </reference>
          <reference field="14" count="1">
            <x v="172"/>
          </reference>
        </references>
      </pivotArea>
    </format>
    <format dxfId="10150">
      <pivotArea dataOnly="0" labelOnly="1" outline="0" fieldPosition="0">
        <references count="2">
          <reference field="11" count="1" selected="0">
            <x v="292"/>
          </reference>
          <reference field="14" count="1" defaultSubtotal="1">
            <x v="172"/>
          </reference>
        </references>
      </pivotArea>
    </format>
    <format dxfId="10149">
      <pivotArea dataOnly="0" labelOnly="1" outline="0" fieldPosition="0">
        <references count="2">
          <reference field="11" count="1" selected="0">
            <x v="293"/>
          </reference>
          <reference field="14" count="1">
            <x v="168"/>
          </reference>
        </references>
      </pivotArea>
    </format>
    <format dxfId="10148">
      <pivotArea dataOnly="0" labelOnly="1" outline="0" fieldPosition="0">
        <references count="2">
          <reference field="11" count="1" selected="0">
            <x v="293"/>
          </reference>
          <reference field="14" count="1" defaultSubtotal="1">
            <x v="168"/>
          </reference>
        </references>
      </pivotArea>
    </format>
    <format dxfId="10147">
      <pivotArea dataOnly="0" labelOnly="1" outline="0" fieldPosition="0">
        <references count="2">
          <reference field="11" count="1" selected="0">
            <x v="294"/>
          </reference>
          <reference field="14" count="1">
            <x v="67"/>
          </reference>
        </references>
      </pivotArea>
    </format>
    <format dxfId="10146">
      <pivotArea dataOnly="0" labelOnly="1" outline="0" fieldPosition="0">
        <references count="2">
          <reference field="11" count="1" selected="0">
            <x v="294"/>
          </reference>
          <reference field="14" count="1" defaultSubtotal="1">
            <x v="67"/>
          </reference>
        </references>
      </pivotArea>
    </format>
    <format dxfId="10145">
      <pivotArea dataOnly="0" labelOnly="1" outline="0" fieldPosition="0">
        <references count="2">
          <reference field="11" count="1" selected="0">
            <x v="295"/>
          </reference>
          <reference field="14" count="1">
            <x v="64"/>
          </reference>
        </references>
      </pivotArea>
    </format>
    <format dxfId="10144">
      <pivotArea dataOnly="0" labelOnly="1" outline="0" fieldPosition="0">
        <references count="2">
          <reference field="11" count="1" selected="0">
            <x v="295"/>
          </reference>
          <reference field="14" count="1" defaultSubtotal="1">
            <x v="64"/>
          </reference>
        </references>
      </pivotArea>
    </format>
    <format dxfId="10143">
      <pivotArea dataOnly="0" labelOnly="1" outline="0" fieldPosition="0">
        <references count="2">
          <reference field="11" count="1" selected="0">
            <x v="296"/>
          </reference>
          <reference field="14" count="1">
            <x v="143"/>
          </reference>
        </references>
      </pivotArea>
    </format>
    <format dxfId="10142">
      <pivotArea dataOnly="0" labelOnly="1" outline="0" fieldPosition="0">
        <references count="2">
          <reference field="11" count="1" selected="0">
            <x v="296"/>
          </reference>
          <reference field="14" count="1" defaultSubtotal="1">
            <x v="143"/>
          </reference>
        </references>
      </pivotArea>
    </format>
    <format dxfId="10141">
      <pivotArea dataOnly="0" labelOnly="1" outline="0" fieldPosition="0">
        <references count="2">
          <reference field="11" count="1" selected="0">
            <x v="297"/>
          </reference>
          <reference field="14" count="1">
            <x v="34"/>
          </reference>
        </references>
      </pivotArea>
    </format>
    <format dxfId="10140">
      <pivotArea dataOnly="0" labelOnly="1" outline="0" fieldPosition="0">
        <references count="2">
          <reference field="11" count="1" selected="0">
            <x v="297"/>
          </reference>
          <reference field="14" count="1" defaultSubtotal="1">
            <x v="34"/>
          </reference>
        </references>
      </pivotArea>
    </format>
    <format dxfId="10139">
      <pivotArea dataOnly="0" labelOnly="1" outline="0" fieldPosition="0">
        <references count="2">
          <reference field="11" count="1" selected="0">
            <x v="298"/>
          </reference>
          <reference field="14" count="1">
            <x v="310"/>
          </reference>
        </references>
      </pivotArea>
    </format>
    <format dxfId="10138">
      <pivotArea dataOnly="0" labelOnly="1" outline="0" fieldPosition="0">
        <references count="2">
          <reference field="11" count="1" selected="0">
            <x v="298"/>
          </reference>
          <reference field="14" count="1" defaultSubtotal="1">
            <x v="310"/>
          </reference>
        </references>
      </pivotArea>
    </format>
    <format dxfId="10137">
      <pivotArea dataOnly="0" labelOnly="1" outline="0" fieldPosition="0">
        <references count="2">
          <reference field="11" count="1" selected="0">
            <x v="299"/>
          </reference>
          <reference field="14" count="1">
            <x v="129"/>
          </reference>
        </references>
      </pivotArea>
    </format>
    <format dxfId="10136">
      <pivotArea dataOnly="0" labelOnly="1" outline="0" fieldPosition="0">
        <references count="2">
          <reference field="11" count="1" selected="0">
            <x v="299"/>
          </reference>
          <reference field="14" count="1" defaultSubtotal="1">
            <x v="129"/>
          </reference>
        </references>
      </pivotArea>
    </format>
    <format dxfId="10135">
      <pivotArea dataOnly="0" labelOnly="1" outline="0" fieldPosition="0">
        <references count="2">
          <reference field="11" count="1" selected="0">
            <x v="300"/>
          </reference>
          <reference field="14" count="1">
            <x v="393"/>
          </reference>
        </references>
      </pivotArea>
    </format>
    <format dxfId="10134">
      <pivotArea dataOnly="0" labelOnly="1" outline="0" fieldPosition="0">
        <references count="2">
          <reference field="11" count="1" selected="0">
            <x v="300"/>
          </reference>
          <reference field="14" count="1" defaultSubtotal="1">
            <x v="393"/>
          </reference>
        </references>
      </pivotArea>
    </format>
    <format dxfId="10133">
      <pivotArea dataOnly="0" labelOnly="1" outline="0" fieldPosition="0">
        <references count="2">
          <reference field="11" count="1" selected="0">
            <x v="301"/>
          </reference>
          <reference field="14" count="1">
            <x v="100"/>
          </reference>
        </references>
      </pivotArea>
    </format>
    <format dxfId="10132">
      <pivotArea dataOnly="0" labelOnly="1" outline="0" fieldPosition="0">
        <references count="2">
          <reference field="11" count="1" selected="0">
            <x v="301"/>
          </reference>
          <reference field="14" count="1" defaultSubtotal="1">
            <x v="100"/>
          </reference>
        </references>
      </pivotArea>
    </format>
    <format dxfId="10131">
      <pivotArea dataOnly="0" labelOnly="1" outline="0" fieldPosition="0">
        <references count="2">
          <reference field="11" count="1" selected="0">
            <x v="302"/>
          </reference>
          <reference field="14" count="1">
            <x v="62"/>
          </reference>
        </references>
      </pivotArea>
    </format>
    <format dxfId="10130">
      <pivotArea dataOnly="0" labelOnly="1" outline="0" fieldPosition="0">
        <references count="2">
          <reference field="11" count="1" selected="0">
            <x v="302"/>
          </reference>
          <reference field="14" count="1" defaultSubtotal="1">
            <x v="62"/>
          </reference>
        </references>
      </pivotArea>
    </format>
    <format dxfId="10129">
      <pivotArea dataOnly="0" labelOnly="1" outline="0" fieldPosition="0">
        <references count="2">
          <reference field="11" count="1" selected="0">
            <x v="303"/>
          </reference>
          <reference field="14" count="1">
            <x v="122"/>
          </reference>
        </references>
      </pivotArea>
    </format>
    <format dxfId="10128">
      <pivotArea dataOnly="0" labelOnly="1" outline="0" fieldPosition="0">
        <references count="2">
          <reference field="11" count="1" selected="0">
            <x v="303"/>
          </reference>
          <reference field="14" count="1" defaultSubtotal="1">
            <x v="122"/>
          </reference>
        </references>
      </pivotArea>
    </format>
    <format dxfId="10127">
      <pivotArea dataOnly="0" labelOnly="1" outline="0" fieldPosition="0">
        <references count="2">
          <reference field="11" count="1" selected="0">
            <x v="304"/>
          </reference>
          <reference field="14" count="1">
            <x v="464"/>
          </reference>
        </references>
      </pivotArea>
    </format>
    <format dxfId="10126">
      <pivotArea dataOnly="0" labelOnly="1" outline="0" fieldPosition="0">
        <references count="2">
          <reference field="11" count="1" selected="0">
            <x v="304"/>
          </reference>
          <reference field="14" count="1" defaultSubtotal="1">
            <x v="464"/>
          </reference>
        </references>
      </pivotArea>
    </format>
    <format dxfId="10125">
      <pivotArea dataOnly="0" labelOnly="1" outline="0" fieldPosition="0">
        <references count="2">
          <reference field="11" count="1" selected="0">
            <x v="305"/>
          </reference>
          <reference field="14" count="1">
            <x v="121"/>
          </reference>
        </references>
      </pivotArea>
    </format>
    <format dxfId="10124">
      <pivotArea dataOnly="0" labelOnly="1" outline="0" fieldPosition="0">
        <references count="2">
          <reference field="11" count="1" selected="0">
            <x v="305"/>
          </reference>
          <reference field="14" count="1" defaultSubtotal="1">
            <x v="121"/>
          </reference>
        </references>
      </pivotArea>
    </format>
    <format dxfId="10123">
      <pivotArea dataOnly="0" labelOnly="1" outline="0" fieldPosition="0">
        <references count="2">
          <reference field="11" count="1" selected="0">
            <x v="306"/>
          </reference>
          <reference field="14" count="1">
            <x v="178"/>
          </reference>
        </references>
      </pivotArea>
    </format>
    <format dxfId="10122">
      <pivotArea dataOnly="0" labelOnly="1" outline="0" fieldPosition="0">
        <references count="2">
          <reference field="11" count="1" selected="0">
            <x v="306"/>
          </reference>
          <reference field="14" count="1" defaultSubtotal="1">
            <x v="178"/>
          </reference>
        </references>
      </pivotArea>
    </format>
    <format dxfId="10121">
      <pivotArea dataOnly="0" labelOnly="1" outline="0" fieldPosition="0">
        <references count="2">
          <reference field="11" count="1" selected="0">
            <x v="307"/>
          </reference>
          <reference field="14" count="1">
            <x v="120"/>
          </reference>
        </references>
      </pivotArea>
    </format>
    <format dxfId="10120">
      <pivotArea dataOnly="0" labelOnly="1" outline="0" fieldPosition="0">
        <references count="2">
          <reference field="11" count="1" selected="0">
            <x v="307"/>
          </reference>
          <reference field="14" count="1" defaultSubtotal="1">
            <x v="120"/>
          </reference>
        </references>
      </pivotArea>
    </format>
    <format dxfId="10119">
      <pivotArea dataOnly="0" labelOnly="1" outline="0" fieldPosition="0">
        <references count="2">
          <reference field="11" count="1" selected="0">
            <x v="308"/>
          </reference>
          <reference field="14" count="1">
            <x v="127"/>
          </reference>
        </references>
      </pivotArea>
    </format>
    <format dxfId="10118">
      <pivotArea dataOnly="0" labelOnly="1" outline="0" fieldPosition="0">
        <references count="2">
          <reference field="11" count="1" selected="0">
            <x v="308"/>
          </reference>
          <reference field="14" count="1" defaultSubtotal="1">
            <x v="127"/>
          </reference>
        </references>
      </pivotArea>
    </format>
    <format dxfId="10117">
      <pivotArea dataOnly="0" labelOnly="1" outline="0" fieldPosition="0">
        <references count="2">
          <reference field="11" count="1" selected="0">
            <x v="309"/>
          </reference>
          <reference field="14" count="1">
            <x v="316"/>
          </reference>
        </references>
      </pivotArea>
    </format>
    <format dxfId="10116">
      <pivotArea dataOnly="0" labelOnly="1" outline="0" fieldPosition="0">
        <references count="2">
          <reference field="11" count="1" selected="0">
            <x v="309"/>
          </reference>
          <reference field="14" count="1" defaultSubtotal="1">
            <x v="316"/>
          </reference>
        </references>
      </pivotArea>
    </format>
    <format dxfId="10115">
      <pivotArea dataOnly="0" labelOnly="1" outline="0" fieldPosition="0">
        <references count="2">
          <reference field="11" count="1" selected="0">
            <x v="310"/>
          </reference>
          <reference field="14" count="1">
            <x v="376"/>
          </reference>
        </references>
      </pivotArea>
    </format>
    <format dxfId="10114">
      <pivotArea dataOnly="0" labelOnly="1" outline="0" fieldPosition="0">
        <references count="2">
          <reference field="11" count="1" selected="0">
            <x v="310"/>
          </reference>
          <reference field="14" count="1" defaultSubtotal="1">
            <x v="376"/>
          </reference>
        </references>
      </pivotArea>
    </format>
    <format dxfId="10113">
      <pivotArea dataOnly="0" labelOnly="1" outline="0" fieldPosition="0">
        <references count="2">
          <reference field="11" count="1" selected="0">
            <x v="311"/>
          </reference>
          <reference field="14" count="1">
            <x v="302"/>
          </reference>
        </references>
      </pivotArea>
    </format>
    <format dxfId="10112">
      <pivotArea dataOnly="0" labelOnly="1" outline="0" fieldPosition="0">
        <references count="2">
          <reference field="11" count="1" selected="0">
            <x v="311"/>
          </reference>
          <reference field="14" count="1" defaultSubtotal="1">
            <x v="302"/>
          </reference>
        </references>
      </pivotArea>
    </format>
    <format dxfId="10111">
      <pivotArea dataOnly="0" labelOnly="1" outline="0" fieldPosition="0">
        <references count="2">
          <reference field="11" count="1" selected="0">
            <x v="312"/>
          </reference>
          <reference field="14" count="1">
            <x v="130"/>
          </reference>
        </references>
      </pivotArea>
    </format>
    <format dxfId="10110">
      <pivotArea dataOnly="0" labelOnly="1" outline="0" fieldPosition="0">
        <references count="2">
          <reference field="11" count="1" selected="0">
            <x v="312"/>
          </reference>
          <reference field="14" count="1" defaultSubtotal="1">
            <x v="130"/>
          </reference>
        </references>
      </pivotArea>
    </format>
    <format dxfId="10109">
      <pivotArea dataOnly="0" labelOnly="1" outline="0" fieldPosition="0">
        <references count="2">
          <reference field="11" count="1" selected="0">
            <x v="313"/>
          </reference>
          <reference field="14" count="1">
            <x v="123"/>
          </reference>
        </references>
      </pivotArea>
    </format>
    <format dxfId="10108">
      <pivotArea dataOnly="0" labelOnly="1" outline="0" fieldPosition="0">
        <references count="2">
          <reference field="11" count="1" selected="0">
            <x v="313"/>
          </reference>
          <reference field="14" count="1" defaultSubtotal="1">
            <x v="123"/>
          </reference>
        </references>
      </pivotArea>
    </format>
    <format dxfId="10107">
      <pivotArea dataOnly="0" labelOnly="1" outline="0" fieldPosition="0">
        <references count="2">
          <reference field="11" count="1" selected="0">
            <x v="314"/>
          </reference>
          <reference field="14" count="1">
            <x v="8"/>
          </reference>
        </references>
      </pivotArea>
    </format>
    <format dxfId="10106">
      <pivotArea dataOnly="0" labelOnly="1" outline="0" fieldPosition="0">
        <references count="2">
          <reference field="11" count="1" selected="0">
            <x v="314"/>
          </reference>
          <reference field="14" count="1" defaultSubtotal="1">
            <x v="8"/>
          </reference>
        </references>
      </pivotArea>
    </format>
    <format dxfId="10105">
      <pivotArea dataOnly="0" labelOnly="1" outline="0" fieldPosition="0">
        <references count="2">
          <reference field="11" count="1" selected="0">
            <x v="315"/>
          </reference>
          <reference field="14" count="1">
            <x v="247"/>
          </reference>
        </references>
      </pivotArea>
    </format>
    <format dxfId="10104">
      <pivotArea dataOnly="0" labelOnly="1" outline="0" fieldPosition="0">
        <references count="2">
          <reference field="11" count="1" selected="0">
            <x v="315"/>
          </reference>
          <reference field="14" count="1" defaultSubtotal="1">
            <x v="247"/>
          </reference>
        </references>
      </pivotArea>
    </format>
    <format dxfId="10103">
      <pivotArea dataOnly="0" labelOnly="1" outline="0" fieldPosition="0">
        <references count="2">
          <reference field="11" count="1" selected="0">
            <x v="316"/>
          </reference>
          <reference field="14" count="1">
            <x v="44"/>
          </reference>
        </references>
      </pivotArea>
    </format>
    <format dxfId="10102">
      <pivotArea dataOnly="0" labelOnly="1" outline="0" fieldPosition="0">
        <references count="2">
          <reference field="11" count="1" selected="0">
            <x v="316"/>
          </reference>
          <reference field="14" count="1" defaultSubtotal="1">
            <x v="44"/>
          </reference>
        </references>
      </pivotArea>
    </format>
    <format dxfId="10101">
      <pivotArea dataOnly="0" labelOnly="1" outline="0" fieldPosition="0">
        <references count="2">
          <reference field="11" count="1" selected="0">
            <x v="317"/>
          </reference>
          <reference field="14" count="1">
            <x v="70"/>
          </reference>
        </references>
      </pivotArea>
    </format>
    <format dxfId="10100">
      <pivotArea dataOnly="0" labelOnly="1" outline="0" fieldPosition="0">
        <references count="2">
          <reference field="11" count="1" selected="0">
            <x v="317"/>
          </reference>
          <reference field="14" count="1" defaultSubtotal="1">
            <x v="70"/>
          </reference>
        </references>
      </pivotArea>
    </format>
    <format dxfId="10099">
      <pivotArea dataOnly="0" labelOnly="1" outline="0" fieldPosition="0">
        <references count="2">
          <reference field="11" count="1" selected="0">
            <x v="318"/>
          </reference>
          <reference field="14" count="1">
            <x v="68"/>
          </reference>
        </references>
      </pivotArea>
    </format>
    <format dxfId="10098">
      <pivotArea dataOnly="0" labelOnly="1" outline="0" fieldPosition="0">
        <references count="2">
          <reference field="11" count="1" selected="0">
            <x v="318"/>
          </reference>
          <reference field="14" count="1" defaultSubtotal="1">
            <x v="68"/>
          </reference>
        </references>
      </pivotArea>
    </format>
    <format dxfId="10097">
      <pivotArea dataOnly="0" labelOnly="1" outline="0" fieldPosition="0">
        <references count="2">
          <reference field="11" count="1" selected="0">
            <x v="319"/>
          </reference>
          <reference field="14" count="1">
            <x v="69"/>
          </reference>
        </references>
      </pivotArea>
    </format>
    <format dxfId="10096">
      <pivotArea dataOnly="0" labelOnly="1" outline="0" fieldPosition="0">
        <references count="2">
          <reference field="11" count="1" selected="0">
            <x v="319"/>
          </reference>
          <reference field="14" count="1" defaultSubtotal="1">
            <x v="69"/>
          </reference>
        </references>
      </pivotArea>
    </format>
    <format dxfId="10095">
      <pivotArea dataOnly="0" labelOnly="1" outline="0" fieldPosition="0">
        <references count="2">
          <reference field="11" count="1" selected="0">
            <x v="320"/>
          </reference>
          <reference field="14" count="1">
            <x v="35"/>
          </reference>
        </references>
      </pivotArea>
    </format>
    <format dxfId="10094">
      <pivotArea dataOnly="0" labelOnly="1" outline="0" fieldPosition="0">
        <references count="2">
          <reference field="11" count="1" selected="0">
            <x v="320"/>
          </reference>
          <reference field="14" count="1" defaultSubtotal="1">
            <x v="35"/>
          </reference>
        </references>
      </pivotArea>
    </format>
    <format dxfId="10093">
      <pivotArea dataOnly="0" labelOnly="1" outline="0" fieldPosition="0">
        <references count="2">
          <reference field="11" count="1" selected="0">
            <x v="321"/>
          </reference>
          <reference field="14" count="1">
            <x v="456"/>
          </reference>
        </references>
      </pivotArea>
    </format>
    <format dxfId="10092">
      <pivotArea dataOnly="0" labelOnly="1" outline="0" fieldPosition="0">
        <references count="2">
          <reference field="11" count="1" selected="0">
            <x v="321"/>
          </reference>
          <reference field="14" count="1" defaultSubtotal="1">
            <x v="456"/>
          </reference>
        </references>
      </pivotArea>
    </format>
    <format dxfId="10091">
      <pivotArea dataOnly="0" labelOnly="1" outline="0" fieldPosition="0">
        <references count="2">
          <reference field="11" count="1" selected="0">
            <x v="322"/>
          </reference>
          <reference field="14" count="1">
            <x v="243"/>
          </reference>
        </references>
      </pivotArea>
    </format>
    <format dxfId="10090">
      <pivotArea dataOnly="0" labelOnly="1" outline="0" fieldPosition="0">
        <references count="2">
          <reference field="11" count="1" selected="0">
            <x v="322"/>
          </reference>
          <reference field="14" count="1" defaultSubtotal="1">
            <x v="243"/>
          </reference>
        </references>
      </pivotArea>
    </format>
    <format dxfId="10089">
      <pivotArea dataOnly="0" labelOnly="1" outline="0" fieldPosition="0">
        <references count="2">
          <reference field="11" count="1" selected="0">
            <x v="323"/>
          </reference>
          <reference field="14" count="1">
            <x v="428"/>
          </reference>
        </references>
      </pivotArea>
    </format>
    <format dxfId="10088">
      <pivotArea dataOnly="0" labelOnly="1" outline="0" fieldPosition="0">
        <references count="2">
          <reference field="11" count="1" selected="0">
            <x v="323"/>
          </reference>
          <reference field="14" count="1" defaultSubtotal="1">
            <x v="428"/>
          </reference>
        </references>
      </pivotArea>
    </format>
    <format dxfId="10087">
      <pivotArea dataOnly="0" labelOnly="1" outline="0" fieldPosition="0">
        <references count="2">
          <reference field="11" count="1" selected="0">
            <x v="324"/>
          </reference>
          <reference field="14" count="1">
            <x v="9"/>
          </reference>
        </references>
      </pivotArea>
    </format>
    <format dxfId="10086">
      <pivotArea dataOnly="0" labelOnly="1" outline="0" fieldPosition="0">
        <references count="2">
          <reference field="11" count="1" selected="0">
            <x v="324"/>
          </reference>
          <reference field="14" count="1" defaultSubtotal="1">
            <x v="9"/>
          </reference>
        </references>
      </pivotArea>
    </format>
    <format dxfId="10085">
      <pivotArea dataOnly="0" labelOnly="1" outline="0" fieldPosition="0">
        <references count="2">
          <reference field="11" count="1" selected="0">
            <x v="325"/>
          </reference>
          <reference field="14" count="1">
            <x v="225"/>
          </reference>
        </references>
      </pivotArea>
    </format>
    <format dxfId="10084">
      <pivotArea dataOnly="0" labelOnly="1" outline="0" fieldPosition="0">
        <references count="2">
          <reference field="11" count="1" selected="0">
            <x v="325"/>
          </reference>
          <reference field="14" count="1" defaultSubtotal="1">
            <x v="225"/>
          </reference>
        </references>
      </pivotArea>
    </format>
    <format dxfId="10083">
      <pivotArea dataOnly="0" labelOnly="1" outline="0" fieldPosition="0">
        <references count="2">
          <reference field="11" count="1" selected="0">
            <x v="326"/>
          </reference>
          <reference field="14" count="1">
            <x v="370"/>
          </reference>
        </references>
      </pivotArea>
    </format>
    <format dxfId="10082">
      <pivotArea dataOnly="0" labelOnly="1" outline="0" fieldPosition="0">
        <references count="2">
          <reference field="11" count="1" selected="0">
            <x v="326"/>
          </reference>
          <reference field="14" count="1" defaultSubtotal="1">
            <x v="370"/>
          </reference>
        </references>
      </pivotArea>
    </format>
    <format dxfId="10081">
      <pivotArea dataOnly="0" labelOnly="1" outline="0" fieldPosition="0">
        <references count="2">
          <reference field="11" count="1" selected="0">
            <x v="327"/>
          </reference>
          <reference field="14" count="1">
            <x v="60"/>
          </reference>
        </references>
      </pivotArea>
    </format>
    <format dxfId="10080">
      <pivotArea dataOnly="0" labelOnly="1" outline="0" fieldPosition="0">
        <references count="2">
          <reference field="11" count="1" selected="0">
            <x v="327"/>
          </reference>
          <reference field="14" count="1" defaultSubtotal="1">
            <x v="60"/>
          </reference>
        </references>
      </pivotArea>
    </format>
    <format dxfId="10079">
      <pivotArea dataOnly="0" labelOnly="1" outline="0" fieldPosition="0">
        <references count="2">
          <reference field="11" count="1" selected="0">
            <x v="328"/>
          </reference>
          <reference field="14" count="1">
            <x v="159"/>
          </reference>
        </references>
      </pivotArea>
    </format>
    <format dxfId="10078">
      <pivotArea dataOnly="0" labelOnly="1" outline="0" fieldPosition="0">
        <references count="2">
          <reference field="11" count="1" selected="0">
            <x v="328"/>
          </reference>
          <reference field="14" count="1" defaultSubtotal="1">
            <x v="159"/>
          </reference>
        </references>
      </pivotArea>
    </format>
    <format dxfId="10077">
      <pivotArea dataOnly="0" labelOnly="1" outline="0" fieldPosition="0">
        <references count="2">
          <reference field="11" count="1" selected="0">
            <x v="329"/>
          </reference>
          <reference field="14" count="1">
            <x v="134"/>
          </reference>
        </references>
      </pivotArea>
    </format>
    <format dxfId="10076">
      <pivotArea dataOnly="0" labelOnly="1" outline="0" fieldPosition="0">
        <references count="2">
          <reference field="11" count="1" selected="0">
            <x v="329"/>
          </reference>
          <reference field="14" count="1" defaultSubtotal="1">
            <x v="134"/>
          </reference>
        </references>
      </pivotArea>
    </format>
    <format dxfId="10075">
      <pivotArea dataOnly="0" labelOnly="1" outline="0" fieldPosition="0">
        <references count="2">
          <reference field="11" count="1" selected="0">
            <x v="330"/>
          </reference>
          <reference field="14" count="1">
            <x v="170"/>
          </reference>
        </references>
      </pivotArea>
    </format>
    <format dxfId="10074">
      <pivotArea dataOnly="0" labelOnly="1" outline="0" fieldPosition="0">
        <references count="2">
          <reference field="11" count="1" selected="0">
            <x v="330"/>
          </reference>
          <reference field="14" count="1" defaultSubtotal="1">
            <x v="170"/>
          </reference>
        </references>
      </pivotArea>
    </format>
    <format dxfId="10073">
      <pivotArea dataOnly="0" labelOnly="1" outline="0" fieldPosition="0">
        <references count="2">
          <reference field="11" count="1" selected="0">
            <x v="331"/>
          </reference>
          <reference field="14" count="1">
            <x v="132"/>
          </reference>
        </references>
      </pivotArea>
    </format>
    <format dxfId="10072">
      <pivotArea dataOnly="0" labelOnly="1" outline="0" fieldPosition="0">
        <references count="2">
          <reference field="11" count="1" selected="0">
            <x v="331"/>
          </reference>
          <reference field="14" count="1" defaultSubtotal="1">
            <x v="132"/>
          </reference>
        </references>
      </pivotArea>
    </format>
    <format dxfId="10071">
      <pivotArea dataOnly="0" labelOnly="1" outline="0" fieldPosition="0">
        <references count="2">
          <reference field="11" count="1" selected="0">
            <x v="332"/>
          </reference>
          <reference field="14" count="1">
            <x v="74"/>
          </reference>
        </references>
      </pivotArea>
    </format>
    <format dxfId="10070">
      <pivotArea dataOnly="0" labelOnly="1" outline="0" fieldPosition="0">
        <references count="2">
          <reference field="11" count="1" selected="0">
            <x v="332"/>
          </reference>
          <reference field="14" count="1" defaultSubtotal="1">
            <x v="74"/>
          </reference>
        </references>
      </pivotArea>
    </format>
    <format dxfId="10069">
      <pivotArea dataOnly="0" labelOnly="1" outline="0" fieldPosition="0">
        <references count="2">
          <reference field="11" count="1" selected="0">
            <x v="333"/>
          </reference>
          <reference field="14" count="1">
            <x v="202"/>
          </reference>
        </references>
      </pivotArea>
    </format>
    <format dxfId="10068">
      <pivotArea dataOnly="0" labelOnly="1" outline="0" fieldPosition="0">
        <references count="2">
          <reference field="11" count="1" selected="0">
            <x v="333"/>
          </reference>
          <reference field="14" count="1" defaultSubtotal="1">
            <x v="202"/>
          </reference>
        </references>
      </pivotArea>
    </format>
    <format dxfId="10067">
      <pivotArea dataOnly="0" labelOnly="1" outline="0" fieldPosition="0">
        <references count="2">
          <reference field="11" count="1" selected="0">
            <x v="334"/>
          </reference>
          <reference field="14" count="1">
            <x v="384"/>
          </reference>
        </references>
      </pivotArea>
    </format>
    <format dxfId="10066">
      <pivotArea dataOnly="0" labelOnly="1" outline="0" fieldPosition="0">
        <references count="2">
          <reference field="11" count="1" selected="0">
            <x v="334"/>
          </reference>
          <reference field="14" count="1" defaultSubtotal="1">
            <x v="384"/>
          </reference>
        </references>
      </pivotArea>
    </format>
    <format dxfId="10065">
      <pivotArea dataOnly="0" labelOnly="1" outline="0" fieldPosition="0">
        <references count="2">
          <reference field="11" count="1" selected="0">
            <x v="335"/>
          </reference>
          <reference field="14" count="1">
            <x v="309"/>
          </reference>
        </references>
      </pivotArea>
    </format>
    <format dxfId="10064">
      <pivotArea dataOnly="0" labelOnly="1" outline="0" fieldPosition="0">
        <references count="2">
          <reference field="11" count="1" selected="0">
            <x v="335"/>
          </reference>
          <reference field="14" count="1" defaultSubtotal="1">
            <x v="309"/>
          </reference>
        </references>
      </pivotArea>
    </format>
    <format dxfId="10063">
      <pivotArea dataOnly="0" labelOnly="1" outline="0" fieldPosition="0">
        <references count="2">
          <reference field="11" count="1" selected="0">
            <x v="336"/>
          </reference>
          <reference field="14" count="1">
            <x v="382"/>
          </reference>
        </references>
      </pivotArea>
    </format>
    <format dxfId="10062">
      <pivotArea dataOnly="0" labelOnly="1" outline="0" fieldPosition="0">
        <references count="2">
          <reference field="11" count="1" selected="0">
            <x v="336"/>
          </reference>
          <reference field="14" count="1" defaultSubtotal="1">
            <x v="382"/>
          </reference>
        </references>
      </pivotArea>
    </format>
    <format dxfId="10061">
      <pivotArea dataOnly="0" labelOnly="1" outline="0" fieldPosition="0">
        <references count="2">
          <reference field="11" count="1" selected="0">
            <x v="337"/>
          </reference>
          <reference field="14" count="1">
            <x v="71"/>
          </reference>
        </references>
      </pivotArea>
    </format>
    <format dxfId="10060">
      <pivotArea dataOnly="0" labelOnly="1" outline="0" fieldPosition="0">
        <references count="2">
          <reference field="11" count="1" selected="0">
            <x v="337"/>
          </reference>
          <reference field="14" count="1" defaultSubtotal="1">
            <x v="71"/>
          </reference>
        </references>
      </pivotArea>
    </format>
    <format dxfId="10059">
      <pivotArea dataOnly="0" labelOnly="1" outline="0" fieldPosition="0">
        <references count="2">
          <reference field="11" count="1" selected="0">
            <x v="338"/>
          </reference>
          <reference field="14" count="1">
            <x v="314"/>
          </reference>
        </references>
      </pivotArea>
    </format>
    <format dxfId="10058">
      <pivotArea dataOnly="0" labelOnly="1" outline="0" fieldPosition="0">
        <references count="2">
          <reference field="11" count="1" selected="0">
            <x v="338"/>
          </reference>
          <reference field="14" count="1" defaultSubtotal="1">
            <x v="314"/>
          </reference>
        </references>
      </pivotArea>
    </format>
    <format dxfId="10057">
      <pivotArea dataOnly="0" labelOnly="1" outline="0" fieldPosition="0">
        <references count="2">
          <reference field="11" count="1" selected="0">
            <x v="339"/>
          </reference>
          <reference field="14" count="1">
            <x v="160"/>
          </reference>
        </references>
      </pivotArea>
    </format>
    <format dxfId="10056">
      <pivotArea dataOnly="0" labelOnly="1" outline="0" fieldPosition="0">
        <references count="2">
          <reference field="11" count="1" selected="0">
            <x v="339"/>
          </reference>
          <reference field="14" count="1" defaultSubtotal="1">
            <x v="160"/>
          </reference>
        </references>
      </pivotArea>
    </format>
    <format dxfId="10055">
      <pivotArea dataOnly="0" labelOnly="1" outline="0" fieldPosition="0">
        <references count="2">
          <reference field="11" count="1" selected="0">
            <x v="340"/>
          </reference>
          <reference field="14" count="1">
            <x v="155"/>
          </reference>
        </references>
      </pivotArea>
    </format>
    <format dxfId="10054">
      <pivotArea dataOnly="0" labelOnly="1" outline="0" fieldPosition="0">
        <references count="2">
          <reference field="11" count="1" selected="0">
            <x v="340"/>
          </reference>
          <reference field="14" count="1" defaultSubtotal="1">
            <x v="155"/>
          </reference>
        </references>
      </pivotArea>
    </format>
    <format dxfId="10053">
      <pivotArea dataOnly="0" labelOnly="1" outline="0" fieldPosition="0">
        <references count="2">
          <reference field="11" count="1" selected="0">
            <x v="341"/>
          </reference>
          <reference field="14" count="1">
            <x v="163"/>
          </reference>
        </references>
      </pivotArea>
    </format>
    <format dxfId="10052">
      <pivotArea dataOnly="0" labelOnly="1" outline="0" fieldPosition="0">
        <references count="2">
          <reference field="11" count="1" selected="0">
            <x v="341"/>
          </reference>
          <reference field="14" count="1" defaultSubtotal="1">
            <x v="163"/>
          </reference>
        </references>
      </pivotArea>
    </format>
    <format dxfId="10051">
      <pivotArea dataOnly="0" labelOnly="1" outline="0" fieldPosition="0">
        <references count="2">
          <reference field="11" count="1" selected="0">
            <x v="342"/>
          </reference>
          <reference field="14" count="1">
            <x v="156"/>
          </reference>
        </references>
      </pivotArea>
    </format>
    <format dxfId="10050">
      <pivotArea dataOnly="0" labelOnly="1" outline="0" fieldPosition="0">
        <references count="2">
          <reference field="11" count="1" selected="0">
            <x v="342"/>
          </reference>
          <reference field="14" count="1" defaultSubtotal="1">
            <x v="156"/>
          </reference>
        </references>
      </pivotArea>
    </format>
    <format dxfId="10049">
      <pivotArea dataOnly="0" labelOnly="1" outline="0" fieldPosition="0">
        <references count="2">
          <reference field="11" count="1" selected="0">
            <x v="343"/>
          </reference>
          <reference field="14" count="1">
            <x v="293"/>
          </reference>
        </references>
      </pivotArea>
    </format>
    <format dxfId="10048">
      <pivotArea dataOnly="0" labelOnly="1" outline="0" fieldPosition="0">
        <references count="2">
          <reference field="11" count="1" selected="0">
            <x v="343"/>
          </reference>
          <reference field="14" count="1" defaultSubtotal="1">
            <x v="293"/>
          </reference>
        </references>
      </pivotArea>
    </format>
    <format dxfId="10047">
      <pivotArea dataOnly="0" labelOnly="1" outline="0" fieldPosition="0">
        <references count="2">
          <reference field="11" count="1" selected="0">
            <x v="344"/>
          </reference>
          <reference field="14" count="1">
            <x v="253"/>
          </reference>
        </references>
      </pivotArea>
    </format>
    <format dxfId="10046">
      <pivotArea dataOnly="0" labelOnly="1" outline="0" fieldPosition="0">
        <references count="2">
          <reference field="11" count="1" selected="0">
            <x v="344"/>
          </reference>
          <reference field="14" count="1" defaultSubtotal="1">
            <x v="253"/>
          </reference>
        </references>
      </pivotArea>
    </format>
    <format dxfId="10045">
      <pivotArea dataOnly="0" labelOnly="1" outline="0" fieldPosition="0">
        <references count="2">
          <reference field="11" count="1" selected="0">
            <x v="345"/>
          </reference>
          <reference field="14" count="1">
            <x v="209"/>
          </reference>
        </references>
      </pivotArea>
    </format>
    <format dxfId="10044">
      <pivotArea dataOnly="0" labelOnly="1" outline="0" fieldPosition="0">
        <references count="2">
          <reference field="11" count="1" selected="0">
            <x v="345"/>
          </reference>
          <reference field="14" count="1" defaultSubtotal="1">
            <x v="209"/>
          </reference>
        </references>
      </pivotArea>
    </format>
    <format dxfId="10043">
      <pivotArea dataOnly="0" labelOnly="1" outline="0" fieldPosition="0">
        <references count="2">
          <reference field="11" count="1" selected="0">
            <x v="346"/>
          </reference>
          <reference field="14" count="1">
            <x v="315"/>
          </reference>
        </references>
      </pivotArea>
    </format>
    <format dxfId="10042">
      <pivotArea dataOnly="0" labelOnly="1" outline="0" fieldPosition="0">
        <references count="2">
          <reference field="11" count="1" selected="0">
            <x v="346"/>
          </reference>
          <reference field="14" count="1" defaultSubtotal="1">
            <x v="315"/>
          </reference>
        </references>
      </pivotArea>
    </format>
    <format dxfId="10041">
      <pivotArea dataOnly="0" labelOnly="1" outline="0" fieldPosition="0">
        <references count="2">
          <reference field="11" count="1" selected="0">
            <x v="347"/>
          </reference>
          <reference field="14" count="1">
            <x v="257"/>
          </reference>
        </references>
      </pivotArea>
    </format>
    <format dxfId="10040">
      <pivotArea dataOnly="0" labelOnly="1" outline="0" fieldPosition="0">
        <references count="2">
          <reference field="11" count="1" selected="0">
            <x v="347"/>
          </reference>
          <reference field="14" count="1" defaultSubtotal="1">
            <x v="257"/>
          </reference>
        </references>
      </pivotArea>
    </format>
    <format dxfId="10039">
      <pivotArea dataOnly="0" labelOnly="1" outline="0" fieldPosition="0">
        <references count="2">
          <reference field="11" count="1" selected="0">
            <x v="348"/>
          </reference>
          <reference field="14" count="1">
            <x v="448"/>
          </reference>
        </references>
      </pivotArea>
    </format>
    <format dxfId="10038">
      <pivotArea dataOnly="0" labelOnly="1" outline="0" fieldPosition="0">
        <references count="2">
          <reference field="11" count="1" selected="0">
            <x v="348"/>
          </reference>
          <reference field="14" count="1" defaultSubtotal="1">
            <x v="448"/>
          </reference>
        </references>
      </pivotArea>
    </format>
    <format dxfId="10037">
      <pivotArea dataOnly="0" labelOnly="1" outline="0" fieldPosition="0">
        <references count="2">
          <reference field="11" count="1" selected="0">
            <x v="349"/>
          </reference>
          <reference field="14" count="1">
            <x v="331"/>
          </reference>
        </references>
      </pivotArea>
    </format>
    <format dxfId="10036">
      <pivotArea dataOnly="0" labelOnly="1" outline="0" fieldPosition="0">
        <references count="2">
          <reference field="11" count="1" selected="0">
            <x v="349"/>
          </reference>
          <reference field="14" count="1" defaultSubtotal="1">
            <x v="331"/>
          </reference>
        </references>
      </pivotArea>
    </format>
    <format dxfId="10035">
      <pivotArea dataOnly="0" labelOnly="1" outline="0" fieldPosition="0">
        <references count="2">
          <reference field="11" count="1" selected="0">
            <x v="350"/>
          </reference>
          <reference field="14" count="1">
            <x v="221"/>
          </reference>
        </references>
      </pivotArea>
    </format>
    <format dxfId="10034">
      <pivotArea dataOnly="0" labelOnly="1" outline="0" fieldPosition="0">
        <references count="2">
          <reference field="11" count="1" selected="0">
            <x v="350"/>
          </reference>
          <reference field="14" count="1" defaultSubtotal="1">
            <x v="221"/>
          </reference>
        </references>
      </pivotArea>
    </format>
    <format dxfId="10033">
      <pivotArea dataOnly="0" labelOnly="1" outline="0" fieldPosition="0">
        <references count="2">
          <reference field="11" count="1" selected="0">
            <x v="351"/>
          </reference>
          <reference field="14" count="1">
            <x v="199"/>
          </reference>
        </references>
      </pivotArea>
    </format>
    <format dxfId="10032">
      <pivotArea dataOnly="0" labelOnly="1" outline="0" fieldPosition="0">
        <references count="2">
          <reference field="11" count="1" selected="0">
            <x v="351"/>
          </reference>
          <reference field="14" count="1" defaultSubtotal="1">
            <x v="199"/>
          </reference>
        </references>
      </pivotArea>
    </format>
    <format dxfId="10031">
      <pivotArea dataOnly="0" labelOnly="1" outline="0" fieldPosition="0">
        <references count="2">
          <reference field="11" count="1" selected="0">
            <x v="352"/>
          </reference>
          <reference field="14" count="1">
            <x v="78"/>
          </reference>
        </references>
      </pivotArea>
    </format>
    <format dxfId="10030">
      <pivotArea dataOnly="0" labelOnly="1" outline="0" fieldPosition="0">
        <references count="2">
          <reference field="11" count="1" selected="0">
            <x v="352"/>
          </reference>
          <reference field="14" count="1" defaultSubtotal="1">
            <x v="78"/>
          </reference>
        </references>
      </pivotArea>
    </format>
    <format dxfId="10029">
      <pivotArea dataOnly="0" labelOnly="1" outline="0" fieldPosition="0">
        <references count="2">
          <reference field="11" count="1" selected="0">
            <x v="353"/>
          </reference>
          <reference field="14" count="1">
            <x v="18"/>
          </reference>
        </references>
      </pivotArea>
    </format>
    <format dxfId="10028">
      <pivotArea dataOnly="0" labelOnly="1" outline="0" fieldPosition="0">
        <references count="2">
          <reference field="11" count="1" selected="0">
            <x v="353"/>
          </reference>
          <reference field="14" count="1" defaultSubtotal="1">
            <x v="18"/>
          </reference>
        </references>
      </pivotArea>
    </format>
    <format dxfId="10027">
      <pivotArea dataOnly="0" labelOnly="1" outline="0" fieldPosition="0">
        <references count="2">
          <reference field="11" count="1" selected="0">
            <x v="354"/>
          </reference>
          <reference field="14" count="1">
            <x v="135"/>
          </reference>
        </references>
      </pivotArea>
    </format>
    <format dxfId="10026">
      <pivotArea dataOnly="0" labelOnly="1" outline="0" fieldPosition="0">
        <references count="2">
          <reference field="11" count="1" selected="0">
            <x v="354"/>
          </reference>
          <reference field="14" count="1" defaultSubtotal="1">
            <x v="135"/>
          </reference>
        </references>
      </pivotArea>
    </format>
    <format dxfId="10025">
      <pivotArea dataOnly="0" labelOnly="1" outline="0" fieldPosition="0">
        <references count="2">
          <reference field="11" count="1" selected="0">
            <x v="355"/>
          </reference>
          <reference field="14" count="1">
            <x v="296"/>
          </reference>
        </references>
      </pivotArea>
    </format>
    <format dxfId="10024">
      <pivotArea dataOnly="0" labelOnly="1" outline="0" fieldPosition="0">
        <references count="2">
          <reference field="11" count="1" selected="0">
            <x v="355"/>
          </reference>
          <reference field="14" count="1" defaultSubtotal="1">
            <x v="296"/>
          </reference>
        </references>
      </pivotArea>
    </format>
    <format dxfId="10023">
      <pivotArea dataOnly="0" labelOnly="1" outline="0" fieldPosition="0">
        <references count="2">
          <reference field="11" count="1" selected="0">
            <x v="356"/>
          </reference>
          <reference field="14" count="1">
            <x v="299"/>
          </reference>
        </references>
      </pivotArea>
    </format>
    <format dxfId="10022">
      <pivotArea dataOnly="0" labelOnly="1" outline="0" fieldPosition="0">
        <references count="2">
          <reference field="11" count="1" selected="0">
            <x v="356"/>
          </reference>
          <reference field="14" count="1" defaultSubtotal="1">
            <x v="299"/>
          </reference>
        </references>
      </pivotArea>
    </format>
    <format dxfId="10021">
      <pivotArea dataOnly="0" labelOnly="1" outline="0" fieldPosition="0">
        <references count="2">
          <reference field="11" count="1" selected="0">
            <x v="357"/>
          </reference>
          <reference field="14" count="1">
            <x v="298"/>
          </reference>
        </references>
      </pivotArea>
    </format>
    <format dxfId="10020">
      <pivotArea dataOnly="0" labelOnly="1" outline="0" fieldPosition="0">
        <references count="2">
          <reference field="11" count="1" selected="0">
            <x v="357"/>
          </reference>
          <reference field="14" count="1" defaultSubtotal="1">
            <x v="298"/>
          </reference>
        </references>
      </pivotArea>
    </format>
    <format dxfId="10019">
      <pivotArea dataOnly="0" labelOnly="1" outline="0" fieldPosition="0">
        <references count="2">
          <reference field="11" count="1" selected="0">
            <x v="358"/>
          </reference>
          <reference field="14" count="1">
            <x v="292"/>
          </reference>
        </references>
      </pivotArea>
    </format>
    <format dxfId="10018">
      <pivotArea dataOnly="0" labelOnly="1" outline="0" fieldPosition="0">
        <references count="2">
          <reference field="11" count="1" selected="0">
            <x v="358"/>
          </reference>
          <reference field="14" count="1" defaultSubtotal="1">
            <x v="292"/>
          </reference>
        </references>
      </pivotArea>
    </format>
    <format dxfId="10017">
      <pivotArea dataOnly="0" labelOnly="1" outline="0" fieldPosition="0">
        <references count="2">
          <reference field="11" count="1" selected="0">
            <x v="359"/>
          </reference>
          <reference field="14" count="1">
            <x v="39"/>
          </reference>
        </references>
      </pivotArea>
    </format>
    <format dxfId="10016">
      <pivotArea dataOnly="0" labelOnly="1" outline="0" fieldPosition="0">
        <references count="2">
          <reference field="11" count="1" selected="0">
            <x v="359"/>
          </reference>
          <reference field="14" count="1" defaultSubtotal="1">
            <x v="39"/>
          </reference>
        </references>
      </pivotArea>
    </format>
    <format dxfId="10015">
      <pivotArea dataOnly="0" labelOnly="1" outline="0" fieldPosition="0">
        <references count="2">
          <reference field="11" count="1" selected="0">
            <x v="360"/>
          </reference>
          <reference field="14" count="1">
            <x v="24"/>
          </reference>
        </references>
      </pivotArea>
    </format>
    <format dxfId="10014">
      <pivotArea dataOnly="0" labelOnly="1" outline="0" fieldPosition="0">
        <references count="2">
          <reference field="11" count="1" selected="0">
            <x v="360"/>
          </reference>
          <reference field="14" count="1" defaultSubtotal="1">
            <x v="24"/>
          </reference>
        </references>
      </pivotArea>
    </format>
    <format dxfId="10013">
      <pivotArea dataOnly="0" labelOnly="1" outline="0" fieldPosition="0">
        <references count="2">
          <reference field="11" count="1" selected="0">
            <x v="361"/>
          </reference>
          <reference field="14" count="1">
            <x v="352"/>
          </reference>
        </references>
      </pivotArea>
    </format>
    <format dxfId="10012">
      <pivotArea dataOnly="0" labelOnly="1" outline="0" fieldPosition="0">
        <references count="2">
          <reference field="11" count="1" selected="0">
            <x v="361"/>
          </reference>
          <reference field="14" count="1" defaultSubtotal="1">
            <x v="352"/>
          </reference>
        </references>
      </pivotArea>
    </format>
    <format dxfId="10011">
      <pivotArea dataOnly="0" labelOnly="1" outline="0" fieldPosition="0">
        <references count="2">
          <reference field="11" count="1" selected="0">
            <x v="362"/>
          </reference>
          <reference field="14" count="1">
            <x v="21"/>
          </reference>
        </references>
      </pivotArea>
    </format>
    <format dxfId="10010">
      <pivotArea dataOnly="0" labelOnly="1" outline="0" fieldPosition="0">
        <references count="2">
          <reference field="11" count="1" selected="0">
            <x v="362"/>
          </reference>
          <reference field="14" count="1" defaultSubtotal="1">
            <x v="21"/>
          </reference>
        </references>
      </pivotArea>
    </format>
    <format dxfId="10009">
      <pivotArea dataOnly="0" labelOnly="1" outline="0" fieldPosition="0">
        <references count="2">
          <reference field="11" count="1" selected="0">
            <x v="363"/>
          </reference>
          <reference field="14" count="1">
            <x v="6"/>
          </reference>
        </references>
      </pivotArea>
    </format>
    <format dxfId="10008">
      <pivotArea dataOnly="0" labelOnly="1" outline="0" fieldPosition="0">
        <references count="2">
          <reference field="11" count="1" selected="0">
            <x v="363"/>
          </reference>
          <reference field="14" count="1" defaultSubtotal="1">
            <x v="6"/>
          </reference>
        </references>
      </pivotArea>
    </format>
    <format dxfId="10007">
      <pivotArea dataOnly="0" labelOnly="1" outline="0" fieldPosition="0">
        <references count="2">
          <reference field="11" count="1" selected="0">
            <x v="364"/>
          </reference>
          <reference field="14" count="1">
            <x v="212"/>
          </reference>
        </references>
      </pivotArea>
    </format>
    <format dxfId="10006">
      <pivotArea dataOnly="0" labelOnly="1" outline="0" fieldPosition="0">
        <references count="2">
          <reference field="11" count="1" selected="0">
            <x v="364"/>
          </reference>
          <reference field="14" count="1" defaultSubtotal="1">
            <x v="212"/>
          </reference>
        </references>
      </pivotArea>
    </format>
    <format dxfId="10005">
      <pivotArea dataOnly="0" labelOnly="1" outline="0" fieldPosition="0">
        <references count="2">
          <reference field="11" count="1" selected="0">
            <x v="365"/>
          </reference>
          <reference field="14" count="1">
            <x v="284"/>
          </reference>
        </references>
      </pivotArea>
    </format>
    <format dxfId="10004">
      <pivotArea dataOnly="0" labelOnly="1" outline="0" fieldPosition="0">
        <references count="2">
          <reference field="11" count="1" selected="0">
            <x v="365"/>
          </reference>
          <reference field="14" count="1" defaultSubtotal="1">
            <x v="284"/>
          </reference>
        </references>
      </pivotArea>
    </format>
    <format dxfId="10003">
      <pivotArea dataOnly="0" labelOnly="1" outline="0" fieldPosition="0">
        <references count="2">
          <reference field="11" count="1" selected="0">
            <x v="366"/>
          </reference>
          <reference field="14" count="1">
            <x v="254"/>
          </reference>
        </references>
      </pivotArea>
    </format>
    <format dxfId="10002">
      <pivotArea dataOnly="0" labelOnly="1" outline="0" fieldPosition="0">
        <references count="2">
          <reference field="11" count="1" selected="0">
            <x v="366"/>
          </reference>
          <reference field="14" count="1" defaultSubtotal="1">
            <x v="254"/>
          </reference>
        </references>
      </pivotArea>
    </format>
    <format dxfId="10001">
      <pivotArea dataOnly="0" labelOnly="1" outline="0" fieldPosition="0">
        <references count="2">
          <reference field="11" count="1" selected="0">
            <x v="367"/>
          </reference>
          <reference field="14" count="1">
            <x v="457"/>
          </reference>
        </references>
      </pivotArea>
    </format>
    <format dxfId="10000">
      <pivotArea dataOnly="0" labelOnly="1" outline="0" fieldPosition="0">
        <references count="2">
          <reference field="11" count="1" selected="0">
            <x v="367"/>
          </reference>
          <reference field="14" count="1" defaultSubtotal="1">
            <x v="457"/>
          </reference>
        </references>
      </pivotArea>
    </format>
    <format dxfId="9999">
      <pivotArea dataOnly="0" labelOnly="1" outline="0" fieldPosition="0">
        <references count="2">
          <reference field="11" count="1" selected="0">
            <x v="368"/>
          </reference>
          <reference field="14" count="1">
            <x v="2"/>
          </reference>
        </references>
      </pivotArea>
    </format>
    <format dxfId="9998">
      <pivotArea dataOnly="0" labelOnly="1" outline="0" fieldPosition="0">
        <references count="2">
          <reference field="11" count="1" selected="0">
            <x v="368"/>
          </reference>
          <reference field="14" count="1" defaultSubtotal="1">
            <x v="2"/>
          </reference>
        </references>
      </pivotArea>
    </format>
    <format dxfId="9997">
      <pivotArea dataOnly="0" labelOnly="1" outline="0" fieldPosition="0">
        <references count="2">
          <reference field="11" count="1" selected="0">
            <x v="369"/>
          </reference>
          <reference field="14" count="1">
            <x v="147"/>
          </reference>
        </references>
      </pivotArea>
    </format>
    <format dxfId="9996">
      <pivotArea dataOnly="0" labelOnly="1" outline="0" fieldPosition="0">
        <references count="2">
          <reference field="11" count="1" selected="0">
            <x v="369"/>
          </reference>
          <reference field="14" count="1" defaultSubtotal="1">
            <x v="147"/>
          </reference>
        </references>
      </pivotArea>
    </format>
    <format dxfId="9995">
      <pivotArea dataOnly="0" labelOnly="1" outline="0" fieldPosition="0">
        <references count="2">
          <reference field="11" count="1" selected="0">
            <x v="370"/>
          </reference>
          <reference field="14" count="1">
            <x v="112"/>
          </reference>
        </references>
      </pivotArea>
    </format>
    <format dxfId="9994">
      <pivotArea dataOnly="0" labelOnly="1" outline="0" fieldPosition="0">
        <references count="2">
          <reference field="11" count="1" selected="0">
            <x v="370"/>
          </reference>
          <reference field="14" count="1" defaultSubtotal="1">
            <x v="112"/>
          </reference>
        </references>
      </pivotArea>
    </format>
    <format dxfId="9993">
      <pivotArea dataOnly="0" labelOnly="1" outline="0" fieldPosition="0">
        <references count="2">
          <reference field="11" count="1" selected="0">
            <x v="371"/>
          </reference>
          <reference field="14" count="1">
            <x v="81"/>
          </reference>
        </references>
      </pivotArea>
    </format>
    <format dxfId="9992">
      <pivotArea dataOnly="0" labelOnly="1" outline="0" fieldPosition="0">
        <references count="2">
          <reference field="11" count="1" selected="0">
            <x v="371"/>
          </reference>
          <reference field="14" count="1" defaultSubtotal="1">
            <x v="81"/>
          </reference>
        </references>
      </pivotArea>
    </format>
    <format dxfId="9991">
      <pivotArea dataOnly="0" labelOnly="1" outline="0" fieldPosition="0">
        <references count="2">
          <reference field="11" count="1" selected="0">
            <x v="372"/>
          </reference>
          <reference field="14" count="1">
            <x v="82"/>
          </reference>
        </references>
      </pivotArea>
    </format>
    <format dxfId="9990">
      <pivotArea dataOnly="0" labelOnly="1" outline="0" fieldPosition="0">
        <references count="2">
          <reference field="11" count="1" selected="0">
            <x v="372"/>
          </reference>
          <reference field="14" count="1" defaultSubtotal="1">
            <x v="82"/>
          </reference>
        </references>
      </pivotArea>
    </format>
    <format dxfId="9989">
      <pivotArea dataOnly="0" labelOnly="1" outline="0" fieldPosition="0">
        <references count="2">
          <reference field="11" count="1" selected="0">
            <x v="373"/>
          </reference>
          <reference field="14" count="1">
            <x v="85"/>
          </reference>
        </references>
      </pivotArea>
    </format>
    <format dxfId="9988">
      <pivotArea dataOnly="0" labelOnly="1" outline="0" fieldPosition="0">
        <references count="2">
          <reference field="11" count="1" selected="0">
            <x v="373"/>
          </reference>
          <reference field="14" count="1" defaultSubtotal="1">
            <x v="85"/>
          </reference>
        </references>
      </pivotArea>
    </format>
    <format dxfId="9987">
      <pivotArea dataOnly="0" labelOnly="1" outline="0" fieldPosition="0">
        <references count="2">
          <reference field="11" count="1" selected="0">
            <x v="374"/>
          </reference>
          <reference field="14" count="1">
            <x v="89"/>
          </reference>
        </references>
      </pivotArea>
    </format>
    <format dxfId="9986">
      <pivotArea dataOnly="0" labelOnly="1" outline="0" fieldPosition="0">
        <references count="2">
          <reference field="11" count="1" selected="0">
            <x v="374"/>
          </reference>
          <reference field="14" count="1" defaultSubtotal="1">
            <x v="89"/>
          </reference>
        </references>
      </pivotArea>
    </format>
    <format dxfId="9985">
      <pivotArea dataOnly="0" labelOnly="1" outline="0" fieldPosition="0">
        <references count="2">
          <reference field="11" count="1" selected="0">
            <x v="375"/>
          </reference>
          <reference field="14" count="1">
            <x v="88"/>
          </reference>
        </references>
      </pivotArea>
    </format>
    <format dxfId="9984">
      <pivotArea dataOnly="0" labelOnly="1" outline="0" fieldPosition="0">
        <references count="2">
          <reference field="11" count="1" selected="0">
            <x v="375"/>
          </reference>
          <reference field="14" count="1" defaultSubtotal="1">
            <x v="88"/>
          </reference>
        </references>
      </pivotArea>
    </format>
    <format dxfId="9983">
      <pivotArea dataOnly="0" labelOnly="1" outline="0" fieldPosition="0">
        <references count="2">
          <reference field="11" count="1" selected="0">
            <x v="376"/>
          </reference>
          <reference field="14" count="1">
            <x v="87"/>
          </reference>
        </references>
      </pivotArea>
    </format>
    <format dxfId="9982">
      <pivotArea dataOnly="0" labelOnly="1" outline="0" fieldPosition="0">
        <references count="2">
          <reference field="11" count="1" selected="0">
            <x v="376"/>
          </reference>
          <reference field="14" count="1" defaultSubtotal="1">
            <x v="87"/>
          </reference>
        </references>
      </pivotArea>
    </format>
    <format dxfId="9981">
      <pivotArea dataOnly="0" labelOnly="1" outline="0" fieldPosition="0">
        <references count="2">
          <reference field="11" count="1" selected="0">
            <x v="377"/>
          </reference>
          <reference field="14" count="1">
            <x v="79"/>
          </reference>
        </references>
      </pivotArea>
    </format>
    <format dxfId="9980">
      <pivotArea dataOnly="0" labelOnly="1" outline="0" fieldPosition="0">
        <references count="2">
          <reference field="11" count="1" selected="0">
            <x v="377"/>
          </reference>
          <reference field="14" count="1" defaultSubtotal="1">
            <x v="79"/>
          </reference>
        </references>
      </pivotArea>
    </format>
    <format dxfId="9979">
      <pivotArea dataOnly="0" labelOnly="1" outline="0" fieldPosition="0">
        <references count="2">
          <reference field="11" count="1" selected="0">
            <x v="378"/>
          </reference>
          <reference field="14" count="1">
            <x v="92"/>
          </reference>
        </references>
      </pivotArea>
    </format>
    <format dxfId="9978">
      <pivotArea dataOnly="0" labelOnly="1" outline="0" fieldPosition="0">
        <references count="2">
          <reference field="11" count="1" selected="0">
            <x v="378"/>
          </reference>
          <reference field="14" count="1" defaultSubtotal="1">
            <x v="92"/>
          </reference>
        </references>
      </pivotArea>
    </format>
    <format dxfId="9977">
      <pivotArea dataOnly="0" labelOnly="1" outline="0" fieldPosition="0">
        <references count="2">
          <reference field="11" count="1" selected="0">
            <x v="379"/>
          </reference>
          <reference field="14" count="1">
            <x v="145"/>
          </reference>
        </references>
      </pivotArea>
    </format>
    <format dxfId="9976">
      <pivotArea dataOnly="0" labelOnly="1" outline="0" fieldPosition="0">
        <references count="2">
          <reference field="11" count="1" selected="0">
            <x v="379"/>
          </reference>
          <reference field="14" count="1" defaultSubtotal="1">
            <x v="145"/>
          </reference>
        </references>
      </pivotArea>
    </format>
    <format dxfId="9975">
      <pivotArea dataOnly="0" labelOnly="1" outline="0" fieldPosition="0">
        <references count="2">
          <reference field="11" count="1" selected="0">
            <x v="380"/>
          </reference>
          <reference field="14" count="1">
            <x v="334"/>
          </reference>
        </references>
      </pivotArea>
    </format>
    <format dxfId="9974">
      <pivotArea dataOnly="0" labelOnly="1" outline="0" fieldPosition="0">
        <references count="2">
          <reference field="11" count="1" selected="0">
            <x v="380"/>
          </reference>
          <reference field="14" count="1" defaultSubtotal="1">
            <x v="334"/>
          </reference>
        </references>
      </pivotArea>
    </format>
    <format dxfId="9973">
      <pivotArea dataOnly="0" labelOnly="1" outline="0" fieldPosition="0">
        <references count="2">
          <reference field="11" count="1" selected="0">
            <x v="381"/>
          </reference>
          <reference field="14" count="1">
            <x v="399"/>
          </reference>
        </references>
      </pivotArea>
    </format>
    <format dxfId="9972">
      <pivotArea dataOnly="0" labelOnly="1" outline="0" fieldPosition="0">
        <references count="2">
          <reference field="11" count="1" selected="0">
            <x v="381"/>
          </reference>
          <reference field="14" count="1" defaultSubtotal="1">
            <x v="399"/>
          </reference>
        </references>
      </pivotArea>
    </format>
    <format dxfId="9971">
      <pivotArea dataOnly="0" labelOnly="1" outline="0" fieldPosition="0">
        <references count="2">
          <reference field="11" count="1" selected="0">
            <x v="382"/>
          </reference>
          <reference field="14" count="1">
            <x v="400"/>
          </reference>
        </references>
      </pivotArea>
    </format>
    <format dxfId="9970">
      <pivotArea dataOnly="0" labelOnly="1" outline="0" fieldPosition="0">
        <references count="2">
          <reference field="11" count="1" selected="0">
            <x v="382"/>
          </reference>
          <reference field="14" count="1" defaultSubtotal="1">
            <x v="400"/>
          </reference>
        </references>
      </pivotArea>
    </format>
    <format dxfId="9969">
      <pivotArea dataOnly="0" labelOnly="1" outline="0" fieldPosition="0">
        <references count="2">
          <reference field="11" count="1" selected="0">
            <x v="383"/>
          </reference>
          <reference field="14" count="1">
            <x v="364"/>
          </reference>
        </references>
      </pivotArea>
    </format>
    <format dxfId="9968">
      <pivotArea dataOnly="0" labelOnly="1" outline="0" fieldPosition="0">
        <references count="2">
          <reference field="11" count="1" selected="0">
            <x v="383"/>
          </reference>
          <reference field="14" count="1" defaultSubtotal="1">
            <x v="364"/>
          </reference>
        </references>
      </pivotArea>
    </format>
    <format dxfId="9967">
      <pivotArea dataOnly="0" labelOnly="1" outline="0" fieldPosition="0">
        <references count="2">
          <reference field="11" count="1" selected="0">
            <x v="384"/>
          </reference>
          <reference field="14" count="1">
            <x v="211"/>
          </reference>
        </references>
      </pivotArea>
    </format>
    <format dxfId="9966">
      <pivotArea dataOnly="0" labelOnly="1" outline="0" fieldPosition="0">
        <references count="2">
          <reference field="11" count="1" selected="0">
            <x v="384"/>
          </reference>
          <reference field="14" count="1" defaultSubtotal="1">
            <x v="211"/>
          </reference>
        </references>
      </pivotArea>
    </format>
    <format dxfId="9965">
      <pivotArea dataOnly="0" labelOnly="1" outline="0" fieldPosition="0">
        <references count="2">
          <reference field="11" count="1" selected="0">
            <x v="385"/>
          </reference>
          <reference field="14" count="1">
            <x v="7"/>
          </reference>
        </references>
      </pivotArea>
    </format>
    <format dxfId="9964">
      <pivotArea dataOnly="0" labelOnly="1" outline="0" fieldPosition="0">
        <references count="2">
          <reference field="11" count="1" selected="0">
            <x v="385"/>
          </reference>
          <reference field="14" count="1" defaultSubtotal="1">
            <x v="7"/>
          </reference>
        </references>
      </pivotArea>
    </format>
    <format dxfId="9963">
      <pivotArea dataOnly="0" labelOnly="1" outline="0" fieldPosition="0">
        <references count="2">
          <reference field="11" count="1" selected="0">
            <x v="386"/>
          </reference>
          <reference field="14" count="1">
            <x v="297"/>
          </reference>
        </references>
      </pivotArea>
    </format>
    <format dxfId="9962">
      <pivotArea dataOnly="0" labelOnly="1" outline="0" fieldPosition="0">
        <references count="2">
          <reference field="11" count="1" selected="0">
            <x v="386"/>
          </reference>
          <reference field="14" count="1" defaultSubtotal="1">
            <x v="297"/>
          </reference>
        </references>
      </pivotArea>
    </format>
    <format dxfId="9961">
      <pivotArea dataOnly="0" labelOnly="1" outline="0" fieldPosition="0">
        <references count="2">
          <reference field="11" count="1" selected="0">
            <x v="387"/>
          </reference>
          <reference field="14" count="1">
            <x v="408"/>
          </reference>
        </references>
      </pivotArea>
    </format>
    <format dxfId="9960">
      <pivotArea dataOnly="0" labelOnly="1" outline="0" fieldPosition="0">
        <references count="2">
          <reference field="11" count="1" selected="0">
            <x v="387"/>
          </reference>
          <reference field="14" count="1" defaultSubtotal="1">
            <x v="408"/>
          </reference>
        </references>
      </pivotArea>
    </format>
    <format dxfId="9959">
      <pivotArea dataOnly="0" labelOnly="1" outline="0" fieldPosition="0">
        <references count="2">
          <reference field="11" count="1" selected="0">
            <x v="388"/>
          </reference>
          <reference field="14" count="1">
            <x v="190"/>
          </reference>
        </references>
      </pivotArea>
    </format>
    <format dxfId="9958">
      <pivotArea dataOnly="0" labelOnly="1" outline="0" fieldPosition="0">
        <references count="2">
          <reference field="11" count="1" selected="0">
            <x v="388"/>
          </reference>
          <reference field="14" count="1" defaultSubtotal="1">
            <x v="190"/>
          </reference>
        </references>
      </pivotArea>
    </format>
    <format dxfId="9957">
      <pivotArea dataOnly="0" labelOnly="1" outline="0" fieldPosition="0">
        <references count="2">
          <reference field="11" count="1" selected="0">
            <x v="389"/>
          </reference>
          <reference field="14" count="1">
            <x v="140"/>
          </reference>
        </references>
      </pivotArea>
    </format>
    <format dxfId="9956">
      <pivotArea dataOnly="0" labelOnly="1" outline="0" fieldPosition="0">
        <references count="2">
          <reference field="11" count="1" selected="0">
            <x v="389"/>
          </reference>
          <reference field="14" count="1" defaultSubtotal="1">
            <x v="140"/>
          </reference>
        </references>
      </pivotArea>
    </format>
    <format dxfId="9955">
      <pivotArea dataOnly="0" labelOnly="1" outline="0" fieldPosition="0">
        <references count="2">
          <reference field="11" count="1" selected="0">
            <x v="390"/>
          </reference>
          <reference field="14" count="1">
            <x v="445"/>
          </reference>
        </references>
      </pivotArea>
    </format>
    <format dxfId="9954">
      <pivotArea dataOnly="0" labelOnly="1" outline="0" fieldPosition="0">
        <references count="2">
          <reference field="11" count="1" selected="0">
            <x v="390"/>
          </reference>
          <reference field="14" count="1" defaultSubtotal="1">
            <x v="445"/>
          </reference>
        </references>
      </pivotArea>
    </format>
    <format dxfId="9953">
      <pivotArea dataOnly="0" labelOnly="1" outline="0" fieldPosition="0">
        <references count="2">
          <reference field="11" count="1" selected="0">
            <x v="391"/>
          </reference>
          <reference field="14" count="1">
            <x v="422"/>
          </reference>
        </references>
      </pivotArea>
    </format>
    <format dxfId="9952">
      <pivotArea dataOnly="0" labelOnly="1" outline="0" fieldPosition="0">
        <references count="2">
          <reference field="11" count="1" selected="0">
            <x v="391"/>
          </reference>
          <reference field="14" count="1" defaultSubtotal="1">
            <x v="422"/>
          </reference>
        </references>
      </pivotArea>
    </format>
    <format dxfId="9951">
      <pivotArea dataOnly="0" labelOnly="1" outline="0" fieldPosition="0">
        <references count="2">
          <reference field="11" count="1" selected="0">
            <x v="392"/>
          </reference>
          <reference field="14" count="1">
            <x v="198"/>
          </reference>
        </references>
      </pivotArea>
    </format>
    <format dxfId="9950">
      <pivotArea dataOnly="0" labelOnly="1" outline="0" fieldPosition="0">
        <references count="2">
          <reference field="11" count="1" selected="0">
            <x v="392"/>
          </reference>
          <reference field="14" count="1" defaultSubtotal="1">
            <x v="198"/>
          </reference>
        </references>
      </pivotArea>
    </format>
    <format dxfId="9949">
      <pivotArea dataOnly="0" labelOnly="1" outline="0" fieldPosition="0">
        <references count="2">
          <reference field="11" count="1" selected="0">
            <x v="393"/>
          </reference>
          <reference field="14" count="1">
            <x v="205"/>
          </reference>
        </references>
      </pivotArea>
    </format>
    <format dxfId="9948">
      <pivotArea dataOnly="0" labelOnly="1" outline="0" fieldPosition="0">
        <references count="2">
          <reference field="11" count="1" selected="0">
            <x v="393"/>
          </reference>
          <reference field="14" count="1" defaultSubtotal="1">
            <x v="205"/>
          </reference>
        </references>
      </pivotArea>
    </format>
    <format dxfId="9947">
      <pivotArea dataOnly="0" labelOnly="1" outline="0" fieldPosition="0">
        <references count="2">
          <reference field="11" count="1" selected="0">
            <x v="394"/>
          </reference>
          <reference field="14" count="1">
            <x v="53"/>
          </reference>
        </references>
      </pivotArea>
    </format>
    <format dxfId="9946">
      <pivotArea dataOnly="0" labelOnly="1" outline="0" fieldPosition="0">
        <references count="2">
          <reference field="11" count="1" selected="0">
            <x v="394"/>
          </reference>
          <reference field="14" count="1" defaultSubtotal="1">
            <x v="53"/>
          </reference>
        </references>
      </pivotArea>
    </format>
    <format dxfId="9945">
      <pivotArea dataOnly="0" labelOnly="1" outline="0" fieldPosition="0">
        <references count="2">
          <reference field="11" count="1" selected="0">
            <x v="395"/>
          </reference>
          <reference field="14" count="1">
            <x v="245"/>
          </reference>
        </references>
      </pivotArea>
    </format>
    <format dxfId="9944">
      <pivotArea dataOnly="0" labelOnly="1" outline="0" fieldPosition="0">
        <references count="2">
          <reference field="11" count="1" selected="0">
            <x v="395"/>
          </reference>
          <reference field="14" count="1" defaultSubtotal="1">
            <x v="245"/>
          </reference>
        </references>
      </pivotArea>
    </format>
    <format dxfId="9943">
      <pivotArea dataOnly="0" labelOnly="1" outline="0" fieldPosition="0">
        <references count="2">
          <reference field="11" count="1" selected="0">
            <x v="396"/>
          </reference>
          <reference field="14" count="1">
            <x v="169"/>
          </reference>
        </references>
      </pivotArea>
    </format>
    <format dxfId="9942">
      <pivotArea dataOnly="0" labelOnly="1" outline="0" fieldPosition="0">
        <references count="2">
          <reference field="11" count="1" selected="0">
            <x v="396"/>
          </reference>
          <reference field="14" count="1" defaultSubtotal="1">
            <x v="169"/>
          </reference>
        </references>
      </pivotArea>
    </format>
    <format dxfId="9941">
      <pivotArea dataOnly="0" labelOnly="1" outline="0" fieldPosition="0">
        <references count="2">
          <reference field="11" count="1" selected="0">
            <x v="397"/>
          </reference>
          <reference field="14" count="1">
            <x v="167"/>
          </reference>
        </references>
      </pivotArea>
    </format>
    <format dxfId="9940">
      <pivotArea dataOnly="0" labelOnly="1" outline="0" fieldPosition="0">
        <references count="2">
          <reference field="11" count="1" selected="0">
            <x v="397"/>
          </reference>
          <reference field="14" count="1" defaultSubtotal="1">
            <x v="167"/>
          </reference>
        </references>
      </pivotArea>
    </format>
    <format dxfId="9939">
      <pivotArea dataOnly="0" labelOnly="1" outline="0" fieldPosition="0">
        <references count="2">
          <reference field="11" count="1" selected="0">
            <x v="398"/>
          </reference>
          <reference field="14" count="1">
            <x v="360"/>
          </reference>
        </references>
      </pivotArea>
    </format>
    <format dxfId="9938">
      <pivotArea dataOnly="0" labelOnly="1" outline="0" fieldPosition="0">
        <references count="2">
          <reference field="11" count="1" selected="0">
            <x v="398"/>
          </reference>
          <reference field="14" count="1" defaultSubtotal="1">
            <x v="360"/>
          </reference>
        </references>
      </pivotArea>
    </format>
    <format dxfId="9937">
      <pivotArea dataOnly="0" labelOnly="1" outline="0" fieldPosition="0">
        <references count="2">
          <reference field="11" count="1" selected="0">
            <x v="399"/>
          </reference>
          <reference field="14" count="1">
            <x v="95"/>
          </reference>
        </references>
      </pivotArea>
    </format>
    <format dxfId="9936">
      <pivotArea dataOnly="0" labelOnly="1" outline="0" fieldPosition="0">
        <references count="2">
          <reference field="11" count="1" selected="0">
            <x v="399"/>
          </reference>
          <reference field="14" count="1" defaultSubtotal="1">
            <x v="95"/>
          </reference>
        </references>
      </pivotArea>
    </format>
    <format dxfId="9935">
      <pivotArea dataOnly="0" labelOnly="1" outline="0" fieldPosition="0">
        <references count="2">
          <reference field="11" count="1" selected="0">
            <x v="400"/>
          </reference>
          <reference field="14" count="1">
            <x v="260"/>
          </reference>
        </references>
      </pivotArea>
    </format>
    <format dxfId="9934">
      <pivotArea dataOnly="0" labelOnly="1" outline="0" fieldPosition="0">
        <references count="2">
          <reference field="11" count="1" selected="0">
            <x v="400"/>
          </reference>
          <reference field="14" count="1" defaultSubtotal="1">
            <x v="260"/>
          </reference>
        </references>
      </pivotArea>
    </format>
    <format dxfId="9933">
      <pivotArea dataOnly="0" labelOnly="1" outline="0" fieldPosition="0">
        <references count="2">
          <reference field="11" count="1" selected="0">
            <x v="401"/>
          </reference>
          <reference field="14" count="1">
            <x v="75"/>
          </reference>
        </references>
      </pivotArea>
    </format>
    <format dxfId="9932">
      <pivotArea dataOnly="0" labelOnly="1" outline="0" fieldPosition="0">
        <references count="2">
          <reference field="11" count="1" selected="0">
            <x v="401"/>
          </reference>
          <reference field="14" count="1" defaultSubtotal="1">
            <x v="75"/>
          </reference>
        </references>
      </pivotArea>
    </format>
    <format dxfId="9931">
      <pivotArea dataOnly="0" labelOnly="1" outline="0" fieldPosition="0">
        <references count="2">
          <reference field="11" count="1" selected="0">
            <x v="402"/>
          </reference>
          <reference field="14" count="1">
            <x v="322"/>
          </reference>
        </references>
      </pivotArea>
    </format>
    <format dxfId="9930">
      <pivotArea dataOnly="0" labelOnly="1" outline="0" fieldPosition="0">
        <references count="2">
          <reference field="11" count="1" selected="0">
            <x v="402"/>
          </reference>
          <reference field="14" count="1" defaultSubtotal="1">
            <x v="322"/>
          </reference>
        </references>
      </pivotArea>
    </format>
    <format dxfId="9929">
      <pivotArea dataOnly="0" labelOnly="1" outline="0" fieldPosition="0">
        <references count="2">
          <reference field="11" count="1" selected="0">
            <x v="403"/>
          </reference>
          <reference field="14" count="1">
            <x v="146"/>
          </reference>
        </references>
      </pivotArea>
    </format>
    <format dxfId="9928">
      <pivotArea dataOnly="0" labelOnly="1" outline="0" fieldPosition="0">
        <references count="2">
          <reference field="11" count="1" selected="0">
            <x v="403"/>
          </reference>
          <reference field="14" count="1" defaultSubtotal="1">
            <x v="146"/>
          </reference>
        </references>
      </pivotArea>
    </format>
    <format dxfId="9927">
      <pivotArea dataOnly="0" labelOnly="1" outline="0" fieldPosition="0">
        <references count="2">
          <reference field="11" count="1" selected="0">
            <x v="404"/>
          </reference>
          <reference field="14" count="1">
            <x v="443"/>
          </reference>
        </references>
      </pivotArea>
    </format>
    <format dxfId="9926">
      <pivotArea dataOnly="0" labelOnly="1" outline="0" fieldPosition="0">
        <references count="2">
          <reference field="11" count="1" selected="0">
            <x v="404"/>
          </reference>
          <reference field="14" count="1" defaultSubtotal="1">
            <x v="443"/>
          </reference>
        </references>
      </pivotArea>
    </format>
    <format dxfId="9925">
      <pivotArea dataOnly="0" labelOnly="1" outline="0" fieldPosition="0">
        <references count="2">
          <reference field="11" count="1" selected="0">
            <x v="405"/>
          </reference>
          <reference field="14" count="1">
            <x v="359"/>
          </reference>
        </references>
      </pivotArea>
    </format>
    <format dxfId="9924">
      <pivotArea dataOnly="0" labelOnly="1" outline="0" fieldPosition="0">
        <references count="2">
          <reference field="11" count="1" selected="0">
            <x v="405"/>
          </reference>
          <reference field="14" count="1" defaultSubtotal="1">
            <x v="359"/>
          </reference>
        </references>
      </pivotArea>
    </format>
    <format dxfId="9923">
      <pivotArea dataOnly="0" labelOnly="1" outline="0" fieldPosition="0">
        <references count="2">
          <reference field="11" count="1" selected="0">
            <x v="406"/>
          </reference>
          <reference field="14" count="1">
            <x v="381"/>
          </reference>
        </references>
      </pivotArea>
    </format>
    <format dxfId="9922">
      <pivotArea dataOnly="0" labelOnly="1" outline="0" fieldPosition="0">
        <references count="2">
          <reference field="11" count="1" selected="0">
            <x v="406"/>
          </reference>
          <reference field="14" count="1" defaultSubtotal="1">
            <x v="381"/>
          </reference>
        </references>
      </pivotArea>
    </format>
    <format dxfId="9921">
      <pivotArea dataOnly="0" labelOnly="1" outline="0" fieldPosition="0">
        <references count="2">
          <reference field="11" count="1" selected="0">
            <x v="407"/>
          </reference>
          <reference field="14" count="1">
            <x v="65"/>
          </reference>
        </references>
      </pivotArea>
    </format>
    <format dxfId="9920">
      <pivotArea dataOnly="0" labelOnly="1" outline="0" fieldPosition="0">
        <references count="2">
          <reference field="11" count="1" selected="0">
            <x v="407"/>
          </reference>
          <reference field="14" count="1" defaultSubtotal="1">
            <x v="65"/>
          </reference>
        </references>
      </pivotArea>
    </format>
    <format dxfId="9919">
      <pivotArea dataOnly="0" labelOnly="1" outline="0" fieldPosition="0">
        <references count="2">
          <reference field="11" count="1" selected="0">
            <x v="408"/>
          </reference>
          <reference field="14" count="1">
            <x v="20"/>
          </reference>
        </references>
      </pivotArea>
    </format>
    <format dxfId="9918">
      <pivotArea dataOnly="0" labelOnly="1" outline="0" fieldPosition="0">
        <references count="2">
          <reference field="11" count="1" selected="0">
            <x v="408"/>
          </reference>
          <reference field="14" count="1" defaultSubtotal="1">
            <x v="20"/>
          </reference>
        </references>
      </pivotArea>
    </format>
    <format dxfId="9917">
      <pivotArea dataOnly="0" labelOnly="1" outline="0" fieldPosition="0">
        <references count="2">
          <reference field="11" count="1" selected="0">
            <x v="409"/>
          </reference>
          <reference field="14" count="1">
            <x v="175"/>
          </reference>
        </references>
      </pivotArea>
    </format>
    <format dxfId="9916">
      <pivotArea dataOnly="0" labelOnly="1" outline="0" fieldPosition="0">
        <references count="2">
          <reference field="11" count="1" selected="0">
            <x v="409"/>
          </reference>
          <reference field="14" count="1" defaultSubtotal="1">
            <x v="175"/>
          </reference>
        </references>
      </pivotArea>
    </format>
    <format dxfId="9915">
      <pivotArea dataOnly="0" labelOnly="1" outline="0" fieldPosition="0">
        <references count="2">
          <reference field="11" count="1" selected="0">
            <x v="410"/>
          </reference>
          <reference field="14" count="1">
            <x v="366"/>
          </reference>
        </references>
      </pivotArea>
    </format>
    <format dxfId="9914">
      <pivotArea dataOnly="0" labelOnly="1" outline="0" fieldPosition="0">
        <references count="2">
          <reference field="11" count="1" selected="0">
            <x v="410"/>
          </reference>
          <reference field="14" count="1" defaultSubtotal="1">
            <x v="366"/>
          </reference>
        </references>
      </pivotArea>
    </format>
    <format dxfId="9913">
      <pivotArea dataOnly="0" labelOnly="1" outline="0" fieldPosition="0">
        <references count="2">
          <reference field="11" count="1" selected="0">
            <x v="411"/>
          </reference>
          <reference field="14" count="1">
            <x v="204"/>
          </reference>
        </references>
      </pivotArea>
    </format>
    <format dxfId="9912">
      <pivotArea dataOnly="0" labelOnly="1" outline="0" fieldPosition="0">
        <references count="2">
          <reference field="11" count="1" selected="0">
            <x v="411"/>
          </reference>
          <reference field="14" count="1" defaultSubtotal="1">
            <x v="204"/>
          </reference>
        </references>
      </pivotArea>
    </format>
    <format dxfId="9911">
      <pivotArea dataOnly="0" labelOnly="1" outline="0" fieldPosition="0">
        <references count="2">
          <reference field="11" count="1" selected="0">
            <x v="412"/>
          </reference>
          <reference field="14" count="1">
            <x v="441"/>
          </reference>
        </references>
      </pivotArea>
    </format>
    <format dxfId="9910">
      <pivotArea dataOnly="0" labelOnly="1" outline="0" fieldPosition="0">
        <references count="2">
          <reference field="11" count="1" selected="0">
            <x v="412"/>
          </reference>
          <reference field="14" count="1" defaultSubtotal="1">
            <x v="441"/>
          </reference>
        </references>
      </pivotArea>
    </format>
    <format dxfId="9909">
      <pivotArea dataOnly="0" labelOnly="1" outline="0" fieldPosition="0">
        <references count="2">
          <reference field="11" count="1" selected="0">
            <x v="413"/>
          </reference>
          <reference field="14" count="1">
            <x v="73"/>
          </reference>
        </references>
      </pivotArea>
    </format>
    <format dxfId="9908">
      <pivotArea dataOnly="0" labelOnly="1" outline="0" fieldPosition="0">
        <references count="2">
          <reference field="11" count="1" selected="0">
            <x v="413"/>
          </reference>
          <reference field="14" count="1" defaultSubtotal="1">
            <x v="73"/>
          </reference>
        </references>
      </pivotArea>
    </format>
    <format dxfId="9907">
      <pivotArea dataOnly="0" labelOnly="1" outline="0" fieldPosition="0">
        <references count="2">
          <reference field="11" count="1" selected="0">
            <x v="414"/>
          </reference>
          <reference field="14" count="1">
            <x v="125"/>
          </reference>
        </references>
      </pivotArea>
    </format>
    <format dxfId="9906">
      <pivotArea dataOnly="0" labelOnly="1" outline="0" fieldPosition="0">
        <references count="2">
          <reference field="11" count="1" selected="0">
            <x v="414"/>
          </reference>
          <reference field="14" count="1" defaultSubtotal="1">
            <x v="125"/>
          </reference>
        </references>
      </pivotArea>
    </format>
    <format dxfId="9905">
      <pivotArea dataOnly="0" labelOnly="1" outline="0" fieldPosition="0">
        <references count="2">
          <reference field="11" count="1" selected="0">
            <x v="415"/>
          </reference>
          <reference field="14" count="1">
            <x v="324"/>
          </reference>
        </references>
      </pivotArea>
    </format>
    <format dxfId="9904">
      <pivotArea dataOnly="0" labelOnly="1" outline="0" fieldPosition="0">
        <references count="2">
          <reference field="11" count="1" selected="0">
            <x v="415"/>
          </reference>
          <reference field="14" count="1" defaultSubtotal="1">
            <x v="324"/>
          </reference>
        </references>
      </pivotArea>
    </format>
    <format dxfId="9903">
      <pivotArea dataOnly="0" labelOnly="1" outline="0" fieldPosition="0">
        <references count="2">
          <reference field="11" count="1" selected="0">
            <x v="416"/>
          </reference>
          <reference field="14" count="1">
            <x v="108"/>
          </reference>
        </references>
      </pivotArea>
    </format>
    <format dxfId="9902">
      <pivotArea dataOnly="0" labelOnly="1" outline="0" fieldPosition="0">
        <references count="2">
          <reference field="11" count="1" selected="0">
            <x v="416"/>
          </reference>
          <reference field="14" count="1" defaultSubtotal="1">
            <x v="108"/>
          </reference>
        </references>
      </pivotArea>
    </format>
    <format dxfId="9901">
      <pivotArea dataOnly="0" labelOnly="1" outline="0" fieldPosition="0">
        <references count="2">
          <reference field="11" count="1" selected="0">
            <x v="417"/>
          </reference>
          <reference field="14" count="1">
            <x v="109"/>
          </reference>
        </references>
      </pivotArea>
    </format>
    <format dxfId="9900">
      <pivotArea dataOnly="0" labelOnly="1" outline="0" fieldPosition="0">
        <references count="2">
          <reference field="11" count="1" selected="0">
            <x v="417"/>
          </reference>
          <reference field="14" count="1" defaultSubtotal="1">
            <x v="109"/>
          </reference>
        </references>
      </pivotArea>
    </format>
    <format dxfId="9899">
      <pivotArea dataOnly="0" labelOnly="1" outline="0" fieldPosition="0">
        <references count="2">
          <reference field="11" count="1" selected="0">
            <x v="418"/>
          </reference>
          <reference field="14" count="1">
            <x v="110"/>
          </reference>
        </references>
      </pivotArea>
    </format>
    <format dxfId="9898">
      <pivotArea dataOnly="0" labelOnly="1" outline="0" fieldPosition="0">
        <references count="2">
          <reference field="11" count="1" selected="0">
            <x v="418"/>
          </reference>
          <reference field="14" count="1" defaultSubtotal="1">
            <x v="110"/>
          </reference>
        </references>
      </pivotArea>
    </format>
    <format dxfId="9897">
      <pivotArea dataOnly="0" labelOnly="1" outline="0" fieldPosition="0">
        <references count="2">
          <reference field="11" count="1" selected="0">
            <x v="419"/>
          </reference>
          <reference field="14" count="1">
            <x v="107"/>
          </reference>
        </references>
      </pivotArea>
    </format>
    <format dxfId="9896">
      <pivotArea dataOnly="0" labelOnly="1" outline="0" fieldPosition="0">
        <references count="2">
          <reference field="11" count="1" selected="0">
            <x v="419"/>
          </reference>
          <reference field="14" count="1" defaultSubtotal="1">
            <x v="107"/>
          </reference>
        </references>
      </pivotArea>
    </format>
    <format dxfId="9895">
      <pivotArea dataOnly="0" labelOnly="1" outline="0" fieldPosition="0">
        <references count="2">
          <reference field="11" count="1" selected="0">
            <x v="420"/>
          </reference>
          <reference field="14" count="1">
            <x v="45"/>
          </reference>
        </references>
      </pivotArea>
    </format>
    <format dxfId="9894">
      <pivotArea dataOnly="0" labelOnly="1" outline="0" fieldPosition="0">
        <references count="2">
          <reference field="11" count="1" selected="0">
            <x v="420"/>
          </reference>
          <reference field="14" count="1" defaultSubtotal="1">
            <x v="45"/>
          </reference>
        </references>
      </pivotArea>
    </format>
    <format dxfId="9893">
      <pivotArea dataOnly="0" labelOnly="1" outline="0" fieldPosition="0">
        <references count="2">
          <reference field="11" count="1" selected="0">
            <x v="421"/>
          </reference>
          <reference field="14" count="1">
            <x v="287"/>
          </reference>
        </references>
      </pivotArea>
    </format>
    <format dxfId="9892">
      <pivotArea dataOnly="0" labelOnly="1" outline="0" fieldPosition="0">
        <references count="2">
          <reference field="11" count="1" selected="0">
            <x v="421"/>
          </reference>
          <reference field="14" count="1" defaultSubtotal="1">
            <x v="287"/>
          </reference>
        </references>
      </pivotArea>
    </format>
    <format dxfId="9891">
      <pivotArea dataOnly="0" labelOnly="1" outline="0" fieldPosition="0">
        <references count="2">
          <reference field="11" count="1" selected="0">
            <x v="422"/>
          </reference>
          <reference field="14" count="1">
            <x v="363"/>
          </reference>
        </references>
      </pivotArea>
    </format>
    <format dxfId="9890">
      <pivotArea dataOnly="0" labelOnly="1" outline="0" fieldPosition="0">
        <references count="2">
          <reference field="11" count="1" selected="0">
            <x v="422"/>
          </reference>
          <reference field="14" count="1" defaultSubtotal="1">
            <x v="363"/>
          </reference>
        </references>
      </pivotArea>
    </format>
    <format dxfId="9889">
      <pivotArea dataOnly="0" labelOnly="1" outline="0" fieldPosition="0">
        <references count="2">
          <reference field="11" count="1" selected="0">
            <x v="423"/>
          </reference>
          <reference field="14" count="1">
            <x v="259"/>
          </reference>
        </references>
      </pivotArea>
    </format>
    <format dxfId="9888">
      <pivotArea dataOnly="0" labelOnly="1" outline="0" fieldPosition="0">
        <references count="2">
          <reference field="11" count="1" selected="0">
            <x v="423"/>
          </reference>
          <reference field="14" count="1" defaultSubtotal="1">
            <x v="259"/>
          </reference>
        </references>
      </pivotArea>
    </format>
    <format dxfId="9887">
      <pivotArea dataOnly="0" labelOnly="1" outline="0" fieldPosition="0">
        <references count="2">
          <reference field="11" count="1" selected="0">
            <x v="424"/>
          </reference>
          <reference field="14" count="1">
            <x v="408"/>
          </reference>
        </references>
      </pivotArea>
    </format>
    <format dxfId="9886">
      <pivotArea dataOnly="0" labelOnly="1" outline="0" fieldPosition="0">
        <references count="2">
          <reference field="11" count="1" selected="0">
            <x v="424"/>
          </reference>
          <reference field="14" count="1" defaultSubtotal="1">
            <x v="408"/>
          </reference>
        </references>
      </pivotArea>
    </format>
    <format dxfId="9885">
      <pivotArea dataOnly="0" labelOnly="1" outline="0" fieldPosition="0">
        <references count="2">
          <reference field="11" count="1" selected="0">
            <x v="425"/>
          </reference>
          <reference field="14" count="1">
            <x v="289"/>
          </reference>
        </references>
      </pivotArea>
    </format>
    <format dxfId="9884">
      <pivotArea dataOnly="0" labelOnly="1" outline="0" fieldPosition="0">
        <references count="2">
          <reference field="11" count="1" selected="0">
            <x v="425"/>
          </reference>
          <reference field="14" count="1" defaultSubtotal="1">
            <x v="289"/>
          </reference>
        </references>
      </pivotArea>
    </format>
    <format dxfId="9883">
      <pivotArea dataOnly="0" labelOnly="1" outline="0" fieldPosition="0">
        <references count="2">
          <reference field="11" count="1" selected="0">
            <x v="426"/>
          </reference>
          <reference field="14" count="1">
            <x v="401"/>
          </reference>
        </references>
      </pivotArea>
    </format>
    <format dxfId="9882">
      <pivotArea dataOnly="0" labelOnly="1" outline="0" fieldPosition="0">
        <references count="2">
          <reference field="11" count="1" selected="0">
            <x v="426"/>
          </reference>
          <reference field="14" count="1" defaultSubtotal="1">
            <x v="401"/>
          </reference>
        </references>
      </pivotArea>
    </format>
    <format dxfId="9881">
      <pivotArea dataOnly="0" labelOnly="1" outline="0" fieldPosition="0">
        <references count="2">
          <reference field="11" count="1" selected="0">
            <x v="427"/>
          </reference>
          <reference field="14" count="1">
            <x v="407"/>
          </reference>
        </references>
      </pivotArea>
    </format>
    <format dxfId="9880">
      <pivotArea dataOnly="0" labelOnly="1" outline="0" fieldPosition="0">
        <references count="2">
          <reference field="11" count="1" selected="0">
            <x v="427"/>
          </reference>
          <reference field="14" count="1" defaultSubtotal="1">
            <x v="407"/>
          </reference>
        </references>
      </pivotArea>
    </format>
    <format dxfId="9879">
      <pivotArea dataOnly="0" labelOnly="1" outline="0" fieldPosition="0">
        <references count="2">
          <reference field="11" count="1" selected="0">
            <x v="428"/>
          </reference>
          <reference field="14" count="1">
            <x v="412"/>
          </reference>
        </references>
      </pivotArea>
    </format>
    <format dxfId="9878">
      <pivotArea dataOnly="0" labelOnly="1" outline="0" fieldPosition="0">
        <references count="2">
          <reference field="11" count="1" selected="0">
            <x v="428"/>
          </reference>
          <reference field="14" count="1" defaultSubtotal="1">
            <x v="412"/>
          </reference>
        </references>
      </pivotArea>
    </format>
    <format dxfId="9877">
      <pivotArea dataOnly="0" labelOnly="1" outline="0" fieldPosition="0">
        <references count="2">
          <reference field="11" count="1" selected="0">
            <x v="429"/>
          </reference>
          <reference field="14" count="1">
            <x v="421"/>
          </reference>
        </references>
      </pivotArea>
    </format>
    <format dxfId="9876">
      <pivotArea dataOnly="0" labelOnly="1" outline="0" fieldPosition="0">
        <references count="2">
          <reference field="11" count="1" selected="0">
            <x v="429"/>
          </reference>
          <reference field="14" count="1" defaultSubtotal="1">
            <x v="421"/>
          </reference>
        </references>
      </pivotArea>
    </format>
    <format dxfId="9875">
      <pivotArea dataOnly="0" labelOnly="1" outline="0" fieldPosition="0">
        <references count="2">
          <reference field="11" count="1" selected="0">
            <x v="430"/>
          </reference>
          <reference field="14" count="1">
            <x v="444"/>
          </reference>
        </references>
      </pivotArea>
    </format>
    <format dxfId="9874">
      <pivotArea dataOnly="0" labelOnly="1" outline="0" fieldPosition="0">
        <references count="2">
          <reference field="11" count="1" selected="0">
            <x v="430"/>
          </reference>
          <reference field="14" count="1" defaultSubtotal="1">
            <x v="444"/>
          </reference>
        </references>
      </pivotArea>
    </format>
    <format dxfId="9873">
      <pivotArea dataOnly="0" labelOnly="1" outline="0" fieldPosition="0">
        <references count="2">
          <reference field="11" count="1" selected="0">
            <x v="431"/>
          </reference>
          <reference field="14" count="1">
            <x v="191"/>
          </reference>
        </references>
      </pivotArea>
    </format>
    <format dxfId="9872">
      <pivotArea dataOnly="0" labelOnly="1" outline="0" fieldPosition="0">
        <references count="2">
          <reference field="11" count="1" selected="0">
            <x v="431"/>
          </reference>
          <reference field="14" count="1" defaultSubtotal="1">
            <x v="191"/>
          </reference>
        </references>
      </pivotArea>
    </format>
    <format dxfId="9871">
      <pivotArea dataOnly="0" labelOnly="1" outline="0" fieldPosition="0">
        <references count="2">
          <reference field="11" count="1" selected="0">
            <x v="432"/>
          </reference>
          <reference field="14" count="1">
            <x v="119"/>
          </reference>
        </references>
      </pivotArea>
    </format>
    <format dxfId="9870">
      <pivotArea dataOnly="0" labelOnly="1" outline="0" fieldPosition="0">
        <references count="2">
          <reference field="11" count="1" selected="0">
            <x v="432"/>
          </reference>
          <reference field="14" count="1" defaultSubtotal="1">
            <x v="119"/>
          </reference>
        </references>
      </pivotArea>
    </format>
    <format dxfId="9869">
      <pivotArea dataOnly="0" labelOnly="1" outline="0" fieldPosition="0">
        <references count="2">
          <reference field="11" count="1" selected="0">
            <x v="433"/>
          </reference>
          <reference field="14" count="1">
            <x v="80"/>
          </reference>
        </references>
      </pivotArea>
    </format>
    <format dxfId="9868">
      <pivotArea dataOnly="0" labelOnly="1" outline="0" fieldPosition="0">
        <references count="2">
          <reference field="11" count="1" selected="0">
            <x v="433"/>
          </reference>
          <reference field="14" count="1" defaultSubtotal="1">
            <x v="80"/>
          </reference>
        </references>
      </pivotArea>
    </format>
    <format dxfId="9867">
      <pivotArea dataOnly="0" labelOnly="1" outline="0" fieldPosition="0">
        <references count="2">
          <reference field="11" count="1" selected="0">
            <x v="434"/>
          </reference>
          <reference field="14" count="1">
            <x v="84"/>
          </reference>
        </references>
      </pivotArea>
    </format>
    <format dxfId="9866">
      <pivotArea dataOnly="0" labelOnly="1" outline="0" fieldPosition="0">
        <references count="2">
          <reference field="11" count="1" selected="0">
            <x v="434"/>
          </reference>
          <reference field="14" count="1" defaultSubtotal="1">
            <x v="84"/>
          </reference>
        </references>
      </pivotArea>
    </format>
    <format dxfId="9865">
      <pivotArea dataOnly="0" labelOnly="1" outline="0" fieldPosition="0">
        <references count="2">
          <reference field="11" count="1" selected="0">
            <x v="435"/>
          </reference>
          <reference field="14" count="1">
            <x v="236"/>
          </reference>
        </references>
      </pivotArea>
    </format>
    <format dxfId="9864">
      <pivotArea dataOnly="0" labelOnly="1" outline="0" fieldPosition="0">
        <references count="2">
          <reference field="11" count="1" selected="0">
            <x v="435"/>
          </reference>
          <reference field="14" count="1" defaultSubtotal="1">
            <x v="236"/>
          </reference>
        </references>
      </pivotArea>
    </format>
    <format dxfId="9863">
      <pivotArea dataOnly="0" labelOnly="1" outline="0" fieldPosition="0">
        <references count="2">
          <reference field="11" count="1" selected="0">
            <x v="436"/>
          </reference>
          <reference field="14" count="1">
            <x v="99"/>
          </reference>
        </references>
      </pivotArea>
    </format>
    <format dxfId="9862">
      <pivotArea dataOnly="0" labelOnly="1" outline="0" fieldPosition="0">
        <references count="2">
          <reference field="11" count="1" selected="0">
            <x v="436"/>
          </reference>
          <reference field="14" count="1" defaultSubtotal="1">
            <x v="99"/>
          </reference>
        </references>
      </pivotArea>
    </format>
    <format dxfId="9861">
      <pivotArea dataOnly="0" labelOnly="1" outline="0" fieldPosition="0">
        <references count="2">
          <reference field="11" count="1" selected="0">
            <x v="437"/>
          </reference>
          <reference field="14" count="1">
            <x v="246"/>
          </reference>
        </references>
      </pivotArea>
    </format>
    <format dxfId="9860">
      <pivotArea dataOnly="0" labelOnly="1" outline="0" fieldPosition="0">
        <references count="2">
          <reference field="11" count="1" selected="0">
            <x v="437"/>
          </reference>
          <reference field="14" count="1" defaultSubtotal="1">
            <x v="246"/>
          </reference>
        </references>
      </pivotArea>
    </format>
    <format dxfId="9859">
      <pivotArea dataOnly="0" labelOnly="1" outline="0" fieldPosition="0">
        <references count="2">
          <reference field="11" count="1" selected="0">
            <x v="438"/>
          </reference>
          <reference field="14" count="1">
            <x v="15"/>
          </reference>
        </references>
      </pivotArea>
    </format>
    <format dxfId="9858">
      <pivotArea dataOnly="0" labelOnly="1" outline="0" fieldPosition="0">
        <references count="2">
          <reference field="11" count="1" selected="0">
            <x v="438"/>
          </reference>
          <reference field="14" count="1" defaultSubtotal="1">
            <x v="15"/>
          </reference>
        </references>
      </pivotArea>
    </format>
    <format dxfId="9857">
      <pivotArea dataOnly="0" labelOnly="1" outline="0" fieldPosition="0">
        <references count="2">
          <reference field="11" count="1" selected="0">
            <x v="439"/>
          </reference>
          <reference field="14" count="1">
            <x v="446"/>
          </reference>
        </references>
      </pivotArea>
    </format>
    <format dxfId="9856">
      <pivotArea dataOnly="0" labelOnly="1" outline="0" fieldPosition="0">
        <references count="2">
          <reference field="11" count="1" selected="0">
            <x v="439"/>
          </reference>
          <reference field="14" count="1" defaultSubtotal="1">
            <x v="446"/>
          </reference>
        </references>
      </pivotArea>
    </format>
    <format dxfId="9855">
      <pivotArea dataOnly="0" labelOnly="1" outline="0" fieldPosition="0">
        <references count="2">
          <reference field="11" count="1" selected="0">
            <x v="440"/>
          </reference>
          <reference field="14" count="1">
            <x v="208"/>
          </reference>
        </references>
      </pivotArea>
    </format>
    <format dxfId="9854">
      <pivotArea dataOnly="0" labelOnly="1" outline="0" fieldPosition="0">
        <references count="2">
          <reference field="11" count="1" selected="0">
            <x v="440"/>
          </reference>
          <reference field="14" count="1" defaultSubtotal="1">
            <x v="208"/>
          </reference>
        </references>
      </pivotArea>
    </format>
    <format dxfId="9853">
      <pivotArea dataOnly="0" labelOnly="1" outline="0" fieldPosition="0">
        <references count="2">
          <reference field="11" count="1" selected="0">
            <x v="441"/>
          </reference>
          <reference field="14" count="1">
            <x v="30"/>
          </reference>
        </references>
      </pivotArea>
    </format>
    <format dxfId="9852">
      <pivotArea dataOnly="0" labelOnly="1" outline="0" fieldPosition="0">
        <references count="2">
          <reference field="11" count="1" selected="0">
            <x v="441"/>
          </reference>
          <reference field="14" count="1" defaultSubtotal="1">
            <x v="30"/>
          </reference>
        </references>
      </pivotArea>
    </format>
    <format dxfId="9851">
      <pivotArea dataOnly="0" labelOnly="1" outline="0" fieldPosition="0">
        <references count="2">
          <reference field="11" count="1" selected="0">
            <x v="442"/>
          </reference>
          <reference field="14" count="1">
            <x v="306"/>
          </reference>
        </references>
      </pivotArea>
    </format>
    <format dxfId="9850">
      <pivotArea dataOnly="0" labelOnly="1" outline="0" fieldPosition="0">
        <references count="2">
          <reference field="11" count="1" selected="0">
            <x v="442"/>
          </reference>
          <reference field="14" count="1" defaultSubtotal="1">
            <x v="306"/>
          </reference>
        </references>
      </pivotArea>
    </format>
    <format dxfId="9849">
      <pivotArea dataOnly="0" labelOnly="1" outline="0" fieldPosition="0">
        <references count="2">
          <reference field="11" count="1" selected="0">
            <x v="443"/>
          </reference>
          <reference field="14" count="1">
            <x v="432"/>
          </reference>
        </references>
      </pivotArea>
    </format>
    <format dxfId="9848">
      <pivotArea dataOnly="0" labelOnly="1" outline="0" fieldPosition="0">
        <references count="2">
          <reference field="11" count="1" selected="0">
            <x v="443"/>
          </reference>
          <reference field="14" count="1" defaultSubtotal="1">
            <x v="432"/>
          </reference>
        </references>
      </pivotArea>
    </format>
    <format dxfId="9847">
      <pivotArea dataOnly="0" labelOnly="1" outline="0" fieldPosition="0">
        <references count="2">
          <reference field="11" count="1" selected="0">
            <x v="444"/>
          </reference>
          <reference field="14" count="1">
            <x v="436"/>
          </reference>
        </references>
      </pivotArea>
    </format>
    <format dxfId="9846">
      <pivotArea dataOnly="0" labelOnly="1" outline="0" fieldPosition="0">
        <references count="2">
          <reference field="11" count="1" selected="0">
            <x v="444"/>
          </reference>
          <reference field="14" count="1" defaultSubtotal="1">
            <x v="436"/>
          </reference>
        </references>
      </pivotArea>
    </format>
    <format dxfId="9845">
      <pivotArea dataOnly="0" labelOnly="1" outline="0" fieldPosition="0">
        <references count="2">
          <reference field="11" count="1" selected="0">
            <x v="445"/>
          </reference>
          <reference field="14" count="1">
            <x v="437"/>
          </reference>
        </references>
      </pivotArea>
    </format>
    <format dxfId="9844">
      <pivotArea dataOnly="0" labelOnly="1" outline="0" fieldPosition="0">
        <references count="2">
          <reference field="11" count="1" selected="0">
            <x v="445"/>
          </reference>
          <reference field="14" count="1" defaultSubtotal="1">
            <x v="437"/>
          </reference>
        </references>
      </pivotArea>
    </format>
    <format dxfId="9843">
      <pivotArea dataOnly="0" labelOnly="1" outline="0" fieldPosition="0">
        <references count="2">
          <reference field="11" count="1" selected="0">
            <x v="446"/>
          </reference>
          <reference field="14" count="1">
            <x v="29"/>
          </reference>
        </references>
      </pivotArea>
    </format>
    <format dxfId="9842">
      <pivotArea dataOnly="0" labelOnly="1" outline="0" fieldPosition="0">
        <references count="2">
          <reference field="11" count="1" selected="0">
            <x v="446"/>
          </reference>
          <reference field="14" count="1" defaultSubtotal="1">
            <x v="29"/>
          </reference>
        </references>
      </pivotArea>
    </format>
    <format dxfId="9841">
      <pivotArea dataOnly="0" labelOnly="1" outline="0" fieldPosition="0">
        <references count="2">
          <reference field="11" count="1" selected="0">
            <x v="447"/>
          </reference>
          <reference field="14" count="1">
            <x v="57"/>
          </reference>
        </references>
      </pivotArea>
    </format>
    <format dxfId="9840">
      <pivotArea dataOnly="0" labelOnly="1" outline="0" fieldPosition="0">
        <references count="2">
          <reference field="11" count="1" selected="0">
            <x v="447"/>
          </reference>
          <reference field="14" count="1" defaultSubtotal="1">
            <x v="57"/>
          </reference>
        </references>
      </pivotArea>
    </format>
    <format dxfId="9839">
      <pivotArea dataOnly="0" labelOnly="1" outline="0" fieldPosition="0">
        <references count="2">
          <reference field="11" count="1" selected="0">
            <x v="448"/>
          </reference>
          <reference field="14" count="1">
            <x v="58"/>
          </reference>
        </references>
      </pivotArea>
    </format>
    <format dxfId="9838">
      <pivotArea dataOnly="0" labelOnly="1" outline="0" fieldPosition="0">
        <references count="2">
          <reference field="11" count="1" selected="0">
            <x v="448"/>
          </reference>
          <reference field="14" count="1" defaultSubtotal="1">
            <x v="58"/>
          </reference>
        </references>
      </pivotArea>
    </format>
    <format dxfId="9837">
      <pivotArea dataOnly="0" labelOnly="1" outline="0" fieldPosition="0">
        <references count="2">
          <reference field="11" count="1" selected="0">
            <x v="449"/>
          </reference>
          <reference field="14" count="1">
            <x v="10"/>
          </reference>
        </references>
      </pivotArea>
    </format>
    <format dxfId="9836">
      <pivotArea dataOnly="0" labelOnly="1" outline="0" fieldPosition="0">
        <references count="2">
          <reference field="11" count="1" selected="0">
            <x v="449"/>
          </reference>
          <reference field="14" count="1" defaultSubtotal="1">
            <x v="10"/>
          </reference>
        </references>
      </pivotArea>
    </format>
    <format dxfId="9835">
      <pivotArea dataOnly="0" labelOnly="1" outline="0" fieldPosition="0">
        <references count="2">
          <reference field="11" count="1" selected="0">
            <x v="450"/>
          </reference>
          <reference field="14" count="1">
            <x v="141"/>
          </reference>
        </references>
      </pivotArea>
    </format>
    <format dxfId="9834">
      <pivotArea dataOnly="0" labelOnly="1" outline="0" fieldPosition="0">
        <references count="2">
          <reference field="11" count="1" selected="0">
            <x v="450"/>
          </reference>
          <reference field="14" count="1" defaultSubtotal="1">
            <x v="141"/>
          </reference>
        </references>
      </pivotArea>
    </format>
    <format dxfId="9833">
      <pivotArea dataOnly="0" labelOnly="1" outline="0" fieldPosition="0">
        <references count="2">
          <reference field="11" count="1" selected="0">
            <x v="451"/>
          </reference>
          <reference field="14" count="1">
            <x v="101"/>
          </reference>
        </references>
      </pivotArea>
    </format>
    <format dxfId="9832">
      <pivotArea dataOnly="0" labelOnly="1" outline="0" fieldPosition="0">
        <references count="2">
          <reference field="11" count="1" selected="0">
            <x v="451"/>
          </reference>
          <reference field="14" count="1" defaultSubtotal="1">
            <x v="101"/>
          </reference>
        </references>
      </pivotArea>
    </format>
    <format dxfId="9831">
      <pivotArea dataOnly="0" labelOnly="1" outline="0" fieldPosition="0">
        <references count="2">
          <reference field="11" count="1" selected="0">
            <x v="452"/>
          </reference>
          <reference field="14" count="1">
            <x v="450"/>
          </reference>
        </references>
      </pivotArea>
    </format>
    <format dxfId="9830">
      <pivotArea dataOnly="0" labelOnly="1" outline="0" fieldPosition="0">
        <references count="2">
          <reference field="11" count="1" selected="0">
            <x v="452"/>
          </reference>
          <reference field="14" count="1" defaultSubtotal="1">
            <x v="450"/>
          </reference>
        </references>
      </pivotArea>
    </format>
    <format dxfId="9829">
      <pivotArea dataOnly="0" labelOnly="1" outline="0" fieldPosition="0">
        <references count="2">
          <reference field="11" count="1" selected="0">
            <x v="453"/>
          </reference>
          <reference field="14" count="1">
            <x v="144"/>
          </reference>
        </references>
      </pivotArea>
    </format>
    <format dxfId="9828">
      <pivotArea dataOnly="0" labelOnly="1" outline="0" fieldPosition="0">
        <references count="2">
          <reference field="11" count="1" selected="0">
            <x v="453"/>
          </reference>
          <reference field="14" count="1" defaultSubtotal="1">
            <x v="144"/>
          </reference>
        </references>
      </pivotArea>
    </format>
    <format dxfId="9827">
      <pivotArea dataOnly="0" labelOnly="1" outline="0" fieldPosition="0">
        <references count="2">
          <reference field="11" count="1" selected="0">
            <x v="454"/>
          </reference>
          <reference field="14" count="1">
            <x v="397"/>
          </reference>
        </references>
      </pivotArea>
    </format>
    <format dxfId="9826">
      <pivotArea dataOnly="0" labelOnly="1" outline="0" fieldPosition="0">
        <references count="2">
          <reference field="11" count="1" selected="0">
            <x v="454"/>
          </reference>
          <reference field="14" count="1" defaultSubtotal="1">
            <x v="397"/>
          </reference>
        </references>
      </pivotArea>
    </format>
    <format dxfId="9825">
      <pivotArea dataOnly="0" labelOnly="1" outline="0" fieldPosition="0">
        <references count="2">
          <reference field="11" count="1" selected="0">
            <x v="455"/>
          </reference>
          <reference field="14" count="1">
            <x v="390"/>
          </reference>
        </references>
      </pivotArea>
    </format>
    <format dxfId="9824">
      <pivotArea dataOnly="0" labelOnly="1" outline="0" fieldPosition="0">
        <references count="2">
          <reference field="11" count="1" selected="0">
            <x v="455"/>
          </reference>
          <reference field="14" count="1" defaultSubtotal="1">
            <x v="390"/>
          </reference>
        </references>
      </pivotArea>
    </format>
    <format dxfId="9823">
      <pivotArea dataOnly="0" labelOnly="1" outline="0" fieldPosition="0">
        <references count="2">
          <reference field="11" count="1" selected="0">
            <x v="456"/>
          </reference>
          <reference field="14" count="1">
            <x v="452"/>
          </reference>
        </references>
      </pivotArea>
    </format>
    <format dxfId="9822">
      <pivotArea dataOnly="0" labelOnly="1" outline="0" fieldPosition="0">
        <references count="2">
          <reference field="11" count="1" selected="0">
            <x v="456"/>
          </reference>
          <reference field="14" count="1" defaultSubtotal="1">
            <x v="452"/>
          </reference>
        </references>
      </pivotArea>
    </format>
    <format dxfId="9821">
      <pivotArea dataOnly="0" labelOnly="1" outline="0" fieldPosition="0">
        <references count="2">
          <reference field="11" count="1" selected="0">
            <x v="457"/>
          </reference>
          <reference field="14" count="1">
            <x v="12"/>
          </reference>
        </references>
      </pivotArea>
    </format>
    <format dxfId="9820">
      <pivotArea dataOnly="0" labelOnly="1" outline="0" fieldPosition="0">
        <references count="2">
          <reference field="11" count="1" selected="0">
            <x v="457"/>
          </reference>
          <reference field="14" count="1" defaultSubtotal="1">
            <x v="12"/>
          </reference>
        </references>
      </pivotArea>
    </format>
    <format dxfId="9819">
      <pivotArea dataOnly="0" labelOnly="1" outline="0" fieldPosition="0">
        <references count="2">
          <reference field="11" count="1" selected="0">
            <x v="458"/>
          </reference>
          <reference field="14" count="1">
            <x v="367"/>
          </reference>
        </references>
      </pivotArea>
    </format>
    <format dxfId="9818">
      <pivotArea dataOnly="0" labelOnly="1" outline="0" fieldPosition="0">
        <references count="2">
          <reference field="11" count="1" selected="0">
            <x v="458"/>
          </reference>
          <reference field="14" count="1" defaultSubtotal="1">
            <x v="367"/>
          </reference>
        </references>
      </pivotArea>
    </format>
    <format dxfId="9817">
      <pivotArea dataOnly="0" labelOnly="1" outline="0" fieldPosition="0">
        <references count="2">
          <reference field="11" count="1" selected="0">
            <x v="459"/>
          </reference>
          <reference field="14" count="1">
            <x v="368"/>
          </reference>
        </references>
      </pivotArea>
    </format>
    <format dxfId="9816">
      <pivotArea dataOnly="0" labelOnly="1" outline="0" fieldPosition="0">
        <references count="2">
          <reference field="11" count="1" selected="0">
            <x v="459"/>
          </reference>
          <reference field="14" count="1" defaultSubtotal="1">
            <x v="368"/>
          </reference>
        </references>
      </pivotArea>
    </format>
    <format dxfId="9815">
      <pivotArea dataOnly="0" labelOnly="1" outline="0" fieldPosition="0">
        <references count="2">
          <reference field="11" count="1" selected="0">
            <x v="460"/>
          </reference>
          <reference field="14" count="1">
            <x v="369"/>
          </reference>
        </references>
      </pivotArea>
    </format>
    <format dxfId="9814">
      <pivotArea dataOnly="0" labelOnly="1" outline="0" fieldPosition="0">
        <references count="2">
          <reference field="11" count="1" selected="0">
            <x v="460"/>
          </reference>
          <reference field="14" count="1" defaultSubtotal="1">
            <x v="369"/>
          </reference>
        </references>
      </pivotArea>
    </format>
    <format dxfId="9813">
      <pivotArea dataOnly="0" labelOnly="1" outline="0" fieldPosition="0">
        <references count="2">
          <reference field="11" count="1" selected="0">
            <x v="461"/>
          </reference>
          <reference field="14" count="1">
            <x v="301"/>
          </reference>
        </references>
      </pivotArea>
    </format>
    <format dxfId="9812">
      <pivotArea dataOnly="0" labelOnly="1" outline="0" fieldPosition="0">
        <references count="2">
          <reference field="11" count="1" selected="0">
            <x v="461"/>
          </reference>
          <reference field="14" count="1" defaultSubtotal="1">
            <x v="301"/>
          </reference>
        </references>
      </pivotArea>
    </format>
    <format dxfId="9811">
      <pivotArea dataOnly="0" labelOnly="1" outline="0" fieldPosition="0">
        <references count="2">
          <reference field="11" count="1" selected="0">
            <x v="462"/>
          </reference>
          <reference field="14" count="1">
            <x v="434"/>
          </reference>
        </references>
      </pivotArea>
    </format>
    <format dxfId="9810">
      <pivotArea dataOnly="0" labelOnly="1" outline="0" fieldPosition="0">
        <references count="2">
          <reference field="11" count="1" selected="0">
            <x v="462"/>
          </reference>
          <reference field="14" count="1" defaultSubtotal="1">
            <x v="434"/>
          </reference>
        </references>
      </pivotArea>
    </format>
    <format dxfId="9809">
      <pivotArea dataOnly="0" labelOnly="1" outline="0" fieldPosition="0">
        <references count="2">
          <reference field="11" count="1" selected="0">
            <x v="463"/>
          </reference>
          <reference field="14" count="1">
            <x v="440"/>
          </reference>
        </references>
      </pivotArea>
    </format>
    <format dxfId="9808">
      <pivotArea dataOnly="0" labelOnly="1" outline="0" fieldPosition="0">
        <references count="2">
          <reference field="11" count="1" selected="0">
            <x v="463"/>
          </reference>
          <reference field="14" count="1" defaultSubtotal="1">
            <x v="440"/>
          </reference>
        </references>
      </pivotArea>
    </format>
    <format dxfId="9807">
      <pivotArea dataOnly="0" labelOnly="1" outline="0" fieldPosition="0">
        <references count="2">
          <reference field="11" count="1" selected="0">
            <x v="464"/>
          </reference>
          <reference field="14" count="1">
            <x v="442"/>
          </reference>
        </references>
      </pivotArea>
    </format>
    <format dxfId="9806">
      <pivotArea dataOnly="0" labelOnly="1" outline="0" fieldPosition="0">
        <references count="2">
          <reference field="11" count="1" selected="0">
            <x v="464"/>
          </reference>
          <reference field="14" count="1" defaultSubtotal="1">
            <x v="442"/>
          </reference>
        </references>
      </pivotArea>
    </format>
    <format dxfId="9805">
      <pivotArea dataOnly="0" labelOnly="1" outline="0" fieldPosition="0">
        <references count="2">
          <reference field="11" count="1" selected="0">
            <x v="465"/>
          </reference>
          <reference field="14" count="1">
            <x v="355"/>
          </reference>
        </references>
      </pivotArea>
    </format>
    <format dxfId="9804">
      <pivotArea dataOnly="0" labelOnly="1" outline="0" fieldPosition="0">
        <references count="2">
          <reference field="11" count="1" selected="0">
            <x v="465"/>
          </reference>
          <reference field="14" count="1" defaultSubtotal="1">
            <x v="355"/>
          </reference>
        </references>
      </pivotArea>
    </format>
    <format dxfId="9803">
      <pivotArea dataOnly="0" labelOnly="1" outline="0" fieldPosition="0">
        <references count="2">
          <reference field="11" count="1" selected="0">
            <x v="466"/>
          </reference>
          <reference field="14" count="1">
            <x v="115"/>
          </reference>
        </references>
      </pivotArea>
    </format>
    <format dxfId="9802">
      <pivotArea dataOnly="0" labelOnly="1" outline="0" fieldPosition="0">
        <references count="2">
          <reference field="11" count="1" selected="0">
            <x v="466"/>
          </reference>
          <reference field="14" count="1" defaultSubtotal="1">
            <x v="115"/>
          </reference>
        </references>
      </pivotArea>
    </format>
    <format dxfId="9801">
      <pivotArea dataOnly="0" labelOnly="1" outline="0" fieldPosition="0">
        <references count="2">
          <reference field="11" count="1" selected="0">
            <x v="467"/>
          </reference>
          <reference field="14" count="1">
            <x v="270"/>
          </reference>
        </references>
      </pivotArea>
    </format>
    <format dxfId="9800">
      <pivotArea dataOnly="0" labelOnly="1" outline="0" fieldPosition="0">
        <references count="2">
          <reference field="11" count="1" selected="0">
            <x v="467"/>
          </reference>
          <reference field="14" count="1" defaultSubtotal="1">
            <x v="270"/>
          </reference>
        </references>
      </pivotArea>
    </format>
    <format dxfId="9799">
      <pivotArea dataOnly="0" labelOnly="1" outline="0" fieldPosition="0">
        <references count="2">
          <reference field="11" count="1" selected="0">
            <x v="468"/>
          </reference>
          <reference field="14" count="1">
            <x v="380"/>
          </reference>
        </references>
      </pivotArea>
    </format>
    <format dxfId="9798">
      <pivotArea dataOnly="0" labelOnly="1" outline="0" fieldPosition="0">
        <references count="2">
          <reference field="11" count="1" selected="0">
            <x v="468"/>
          </reference>
          <reference field="14" count="1" defaultSubtotal="1">
            <x v="380"/>
          </reference>
        </references>
      </pivotArea>
    </format>
    <format dxfId="9797">
      <pivotArea dataOnly="0" labelOnly="1" outline="0" fieldPosition="0">
        <references count="2">
          <reference field="11" count="1" selected="0">
            <x v="469"/>
          </reference>
          <reference field="14" count="1">
            <x v="291"/>
          </reference>
        </references>
      </pivotArea>
    </format>
    <format dxfId="9796">
      <pivotArea dataOnly="0" labelOnly="1" outline="0" fieldPosition="0">
        <references count="2">
          <reference field="11" count="1" selected="0">
            <x v="469"/>
          </reference>
          <reference field="14" count="1" defaultSubtotal="1">
            <x v="291"/>
          </reference>
        </references>
      </pivotArea>
    </format>
    <format dxfId="9795">
      <pivotArea dataOnly="0" labelOnly="1" outline="0" fieldPosition="0">
        <references count="2">
          <reference field="11" count="1" selected="0">
            <x v="470"/>
          </reference>
          <reference field="14" count="1">
            <x v="100"/>
          </reference>
        </references>
      </pivotArea>
    </format>
    <format dxfId="9794">
      <pivotArea dataOnly="0" labelOnly="1" outline="0" fieldPosition="0">
        <references count="2">
          <reference field="11" count="1" selected="0">
            <x v="470"/>
          </reference>
          <reference field="14" count="1" defaultSubtotal="1">
            <x v="100"/>
          </reference>
        </references>
      </pivotArea>
    </format>
    <format dxfId="9793">
      <pivotArea dataOnly="0" labelOnly="1" outline="0" fieldPosition="0">
        <references count="2">
          <reference field="11" count="1" selected="0">
            <x v="471"/>
          </reference>
          <reference field="14" count="1">
            <x v="295"/>
          </reference>
        </references>
      </pivotArea>
    </format>
    <format dxfId="9792">
      <pivotArea dataOnly="0" labelOnly="1" outline="0" fieldPosition="0">
        <references count="2">
          <reference field="11" count="1" selected="0">
            <x v="471"/>
          </reference>
          <reference field="14" count="1" defaultSubtotal="1">
            <x v="295"/>
          </reference>
        </references>
      </pivotArea>
    </format>
    <format dxfId="9791">
      <pivotArea dataOnly="0" labelOnly="1" outline="0" fieldPosition="0">
        <references count="2">
          <reference field="11" count="1" selected="0">
            <x v="472"/>
          </reference>
          <reference field="14" count="1">
            <x v="325"/>
          </reference>
        </references>
      </pivotArea>
    </format>
    <format dxfId="9790">
      <pivotArea dataOnly="0" labelOnly="1" outline="0" fieldPosition="0">
        <references count="2">
          <reference field="11" count="1" selected="0">
            <x v="472"/>
          </reference>
          <reference field="14" count="1" defaultSubtotal="1">
            <x v="325"/>
          </reference>
        </references>
      </pivotArea>
    </format>
    <format dxfId="9789">
      <pivotArea dataOnly="0" labelOnly="1" outline="0" fieldPosition="0">
        <references count="2">
          <reference field="11" count="1" selected="0">
            <x v="473"/>
          </reference>
          <reference field="14" count="1">
            <x v="425"/>
          </reference>
        </references>
      </pivotArea>
    </format>
    <format dxfId="9788">
      <pivotArea dataOnly="0" labelOnly="1" outline="0" fieldPosition="0">
        <references count="2">
          <reference field="11" count="1" selected="0">
            <x v="473"/>
          </reference>
          <reference field="14" count="1" defaultSubtotal="1">
            <x v="425"/>
          </reference>
        </references>
      </pivotArea>
    </format>
    <format dxfId="9787">
      <pivotArea dataOnly="0" labelOnly="1" outline="0" fieldPosition="0">
        <references count="2">
          <reference field="11" count="1" selected="0">
            <x v="474"/>
          </reference>
          <reference field="14" count="1">
            <x v="424"/>
          </reference>
        </references>
      </pivotArea>
    </format>
    <format dxfId="9786">
      <pivotArea dataOnly="0" labelOnly="1" outline="0" fieldPosition="0">
        <references count="2">
          <reference field="11" count="1" selected="0">
            <x v="474"/>
          </reference>
          <reference field="14" count="1" defaultSubtotal="1">
            <x v="424"/>
          </reference>
        </references>
      </pivotArea>
    </format>
    <format dxfId="9785">
      <pivotArea dataOnly="0" labelOnly="1" outline="0" fieldPosition="0">
        <references count="2">
          <reference field="11" count="1" selected="0">
            <x v="475"/>
          </reference>
          <reference field="14" count="1">
            <x v="435"/>
          </reference>
        </references>
      </pivotArea>
    </format>
    <format dxfId="9784">
      <pivotArea dataOnly="0" labelOnly="1" outline="0" fieldPosition="0">
        <references count="2">
          <reference field="11" count="1" selected="0">
            <x v="475"/>
          </reference>
          <reference field="14" count="1" defaultSubtotal="1">
            <x v="435"/>
          </reference>
        </references>
      </pivotArea>
    </format>
    <format dxfId="9783">
      <pivotArea dataOnly="0" labelOnly="1" outline="0" fieldPosition="0">
        <references count="2">
          <reference field="11" count="1" selected="0">
            <x v="476"/>
          </reference>
          <reference field="14" count="1">
            <x v="151"/>
          </reference>
        </references>
      </pivotArea>
    </format>
    <format dxfId="9782">
      <pivotArea dataOnly="0" labelOnly="1" outline="0" fieldPosition="0">
        <references count="2">
          <reference field="11" count="1" selected="0">
            <x v="476"/>
          </reference>
          <reference field="14" count="1" defaultSubtotal="1">
            <x v="151"/>
          </reference>
        </references>
      </pivotArea>
    </format>
    <format dxfId="9781">
      <pivotArea dataOnly="0" labelOnly="1" outline="0" fieldPosition="0">
        <references count="2">
          <reference field="11" count="1" selected="0">
            <x v="477"/>
          </reference>
          <reference field="14" count="1">
            <x v="419"/>
          </reference>
        </references>
      </pivotArea>
    </format>
    <format dxfId="9780">
      <pivotArea dataOnly="0" labelOnly="1" outline="0" fieldPosition="0">
        <references count="2">
          <reference field="11" count="1" selected="0">
            <x v="477"/>
          </reference>
          <reference field="14" count="1" defaultSubtotal="1">
            <x v="419"/>
          </reference>
        </references>
      </pivotArea>
    </format>
    <format dxfId="9779">
      <pivotArea dataOnly="0" labelOnly="1" outline="0" fieldPosition="0">
        <references count="2">
          <reference field="11" count="1" selected="0">
            <x v="478"/>
          </reference>
          <reference field="14" count="1">
            <x v="308"/>
          </reference>
        </references>
      </pivotArea>
    </format>
    <format dxfId="9778">
      <pivotArea dataOnly="0" labelOnly="1" outline="0" fieldPosition="0">
        <references count="2">
          <reference field="11" count="1" selected="0">
            <x v="478"/>
          </reference>
          <reference field="14" count="1" defaultSubtotal="1">
            <x v="308"/>
          </reference>
        </references>
      </pivotArea>
    </format>
    <format dxfId="9777">
      <pivotArea dataOnly="0" labelOnly="1" outline="0" fieldPosition="0">
        <references count="2">
          <reference field="11" count="1" selected="0">
            <x v="479"/>
          </reference>
          <reference field="14" count="1">
            <x v="312"/>
          </reference>
        </references>
      </pivotArea>
    </format>
    <format dxfId="9776">
      <pivotArea dataOnly="0" labelOnly="1" outline="0" fieldPosition="0">
        <references count="2">
          <reference field="11" count="1" selected="0">
            <x v="479"/>
          </reference>
          <reference field="14" count="1" defaultSubtotal="1">
            <x v="312"/>
          </reference>
        </references>
      </pivotArea>
    </format>
    <format dxfId="9775">
      <pivotArea dataOnly="0" labelOnly="1" outline="0" fieldPosition="0">
        <references count="2">
          <reference field="11" count="1" selected="0">
            <x v="480"/>
          </reference>
          <reference field="14" count="1">
            <x v="423"/>
          </reference>
        </references>
      </pivotArea>
    </format>
    <format dxfId="9774">
      <pivotArea dataOnly="0" labelOnly="1" outline="0" fieldPosition="0">
        <references count="2">
          <reference field="11" count="1" selected="0">
            <x v="480"/>
          </reference>
          <reference field="14" count="1" defaultSubtotal="1">
            <x v="423"/>
          </reference>
        </references>
      </pivotArea>
    </format>
    <format dxfId="9773">
      <pivotArea dataOnly="0" labelOnly="1" outline="0" fieldPosition="0">
        <references count="2">
          <reference field="11" count="1" selected="0">
            <x v="481"/>
          </reference>
          <reference field="14" count="1">
            <x v="455"/>
          </reference>
        </references>
      </pivotArea>
    </format>
    <format dxfId="9772">
      <pivotArea dataOnly="0" labelOnly="1" outline="0" fieldPosition="0">
        <references count="2">
          <reference field="11" count="1" selected="0">
            <x v="481"/>
          </reference>
          <reference field="14" count="1" defaultSubtotal="1">
            <x v="455"/>
          </reference>
        </references>
      </pivotArea>
    </format>
    <format dxfId="9771">
      <pivotArea dataOnly="0" labelOnly="1" outline="0" fieldPosition="0">
        <references count="2">
          <reference field="11" count="1" selected="0">
            <x v="482"/>
          </reference>
          <reference field="14" count="1">
            <x v="38"/>
          </reference>
        </references>
      </pivotArea>
    </format>
    <format dxfId="9770">
      <pivotArea dataOnly="0" labelOnly="1" outline="0" fieldPosition="0">
        <references count="2">
          <reference field="11" count="1" selected="0">
            <x v="482"/>
          </reference>
          <reference field="14" count="1" defaultSubtotal="1">
            <x v="38"/>
          </reference>
        </references>
      </pivotArea>
    </format>
    <format dxfId="9769">
      <pivotArea dataOnly="0" labelOnly="1" outline="0" fieldPosition="0">
        <references count="2">
          <reference field="11" count="1" selected="0">
            <x v="483"/>
          </reference>
          <reference field="14" count="1">
            <x v="207"/>
          </reference>
        </references>
      </pivotArea>
    </format>
    <format dxfId="9768">
      <pivotArea dataOnly="0" labelOnly="1" outline="0" fieldPosition="0">
        <references count="2">
          <reference field="11" count="1" selected="0">
            <x v="483"/>
          </reference>
          <reference field="14" count="1" defaultSubtotal="1">
            <x v="207"/>
          </reference>
        </references>
      </pivotArea>
    </format>
    <format dxfId="9767">
      <pivotArea dataOnly="0" labelOnly="1" outline="0" fieldPosition="0">
        <references count="2">
          <reference field="11" count="1" selected="0">
            <x v="484"/>
          </reference>
          <reference field="14" count="1">
            <x v="49"/>
          </reference>
        </references>
      </pivotArea>
    </format>
    <format dxfId="9766">
      <pivotArea dataOnly="0" labelOnly="1" outline="0" fieldPosition="0">
        <references count="2">
          <reference field="11" count="1" selected="0">
            <x v="484"/>
          </reference>
          <reference field="14" count="1" defaultSubtotal="1">
            <x v="49"/>
          </reference>
        </references>
      </pivotArea>
    </format>
    <format dxfId="9765">
      <pivotArea dataOnly="0" labelOnly="1" outline="0" fieldPosition="0">
        <references count="2">
          <reference field="11" count="1" selected="0">
            <x v="485"/>
          </reference>
          <reference field="14" count="1">
            <x v="49"/>
          </reference>
        </references>
      </pivotArea>
    </format>
    <format dxfId="9764">
      <pivotArea dataOnly="0" labelOnly="1" outline="0" fieldPosition="0">
        <references count="2">
          <reference field="11" count="1" selected="0">
            <x v="485"/>
          </reference>
          <reference field="14" count="1" defaultSubtotal="1">
            <x v="49"/>
          </reference>
        </references>
      </pivotArea>
    </format>
    <format dxfId="9763">
      <pivotArea dataOnly="0" labelOnly="1" outline="0" fieldPosition="0">
        <references count="2">
          <reference field="11" count="1" selected="0">
            <x v="486"/>
          </reference>
          <reference field="14" count="1">
            <x v="207"/>
          </reference>
        </references>
      </pivotArea>
    </format>
    <format dxfId="9762">
      <pivotArea dataOnly="0" labelOnly="1" outline="0" fieldPosition="0">
        <references count="2">
          <reference field="11" count="1" selected="0">
            <x v="486"/>
          </reference>
          <reference field="14" count="1" defaultSubtotal="1">
            <x v="207"/>
          </reference>
        </references>
      </pivotArea>
    </format>
    <format dxfId="9761">
      <pivotArea dataOnly="0" labelOnly="1" outline="0" fieldPosition="0">
        <references count="2">
          <reference field="11" count="1" selected="0">
            <x v="487"/>
          </reference>
          <reference field="14" count="1">
            <x v="32"/>
          </reference>
        </references>
      </pivotArea>
    </format>
    <format dxfId="9760">
      <pivotArea dataOnly="0" labelOnly="1" outline="0" fieldPosition="0">
        <references count="2">
          <reference field="11" count="1" selected="0">
            <x v="487"/>
          </reference>
          <reference field="14" count="1" defaultSubtotal="1">
            <x v="32"/>
          </reference>
        </references>
      </pivotArea>
    </format>
    <format dxfId="9759">
      <pivotArea dataOnly="0" labelOnly="1" outline="0" fieldPosition="0">
        <references count="2">
          <reference field="11" count="1" selected="0">
            <x v="488"/>
          </reference>
          <reference field="14" count="1">
            <x v="484"/>
          </reference>
        </references>
      </pivotArea>
    </format>
    <format dxfId="9758">
      <pivotArea dataOnly="0" labelOnly="1" outline="0" fieldPosition="0">
        <references count="2">
          <reference field="11" count="1" selected="0">
            <x v="488"/>
          </reference>
          <reference field="14" count="1" defaultSubtotal="1">
            <x v="484"/>
          </reference>
        </references>
      </pivotArea>
    </format>
    <format dxfId="9757">
      <pivotArea dataOnly="0" labelOnly="1" outline="0" fieldPosition="0">
        <references count="3">
          <reference field="11" count="1" selected="0">
            <x v="0"/>
          </reference>
          <reference field="14" count="1" selected="0">
            <x v="90"/>
          </reference>
          <reference field="18" count="1">
            <x v="0"/>
          </reference>
        </references>
      </pivotArea>
    </format>
    <format dxfId="9756">
      <pivotArea dataOnly="0" labelOnly="1" outline="0" fieldPosition="0">
        <references count="3">
          <reference field="11" count="1" selected="0">
            <x v="0"/>
          </reference>
          <reference field="14" count="1" selected="0">
            <x v="90"/>
          </reference>
          <reference field="18" count="1" defaultSubtotal="1">
            <x v="0"/>
          </reference>
        </references>
      </pivotArea>
    </format>
    <format dxfId="9755">
      <pivotArea dataOnly="0" labelOnly="1" outline="0" fieldPosition="0">
        <references count="3">
          <reference field="11" count="1" selected="0">
            <x v="1"/>
          </reference>
          <reference field="14" count="1" selected="0">
            <x v="230"/>
          </reference>
          <reference field="18" count="3">
            <x v="2"/>
            <x v="3"/>
            <x v="12"/>
          </reference>
        </references>
      </pivotArea>
    </format>
    <format dxfId="9754">
      <pivotArea dataOnly="0" labelOnly="1" outline="0" fieldPosition="0">
        <references count="3">
          <reference field="11" count="1" selected="0">
            <x v="1"/>
          </reference>
          <reference field="14" count="1" selected="0">
            <x v="230"/>
          </reference>
          <reference field="18" count="3" defaultSubtotal="1">
            <x v="2"/>
            <x v="3"/>
            <x v="12"/>
          </reference>
        </references>
      </pivotArea>
    </format>
    <format dxfId="9753">
      <pivotArea dataOnly="0" labelOnly="1" outline="0" fieldPosition="0">
        <references count="3">
          <reference field="11" count="1" selected="0">
            <x v="2"/>
          </reference>
          <reference field="14" count="1" selected="0">
            <x v="226"/>
          </reference>
          <reference field="18" count="2">
            <x v="7"/>
            <x v="12"/>
          </reference>
        </references>
      </pivotArea>
    </format>
    <format dxfId="9752">
      <pivotArea dataOnly="0" labelOnly="1" outline="0" fieldPosition="0">
        <references count="3">
          <reference field="11" count="1" selected="0">
            <x v="2"/>
          </reference>
          <reference field="14" count="1" selected="0">
            <x v="226"/>
          </reference>
          <reference field="18" count="2" defaultSubtotal="1">
            <x v="7"/>
            <x v="12"/>
          </reference>
        </references>
      </pivotArea>
    </format>
    <format dxfId="9751">
      <pivotArea dataOnly="0" labelOnly="1" outline="0" fieldPosition="0">
        <references count="3">
          <reference field="11" count="1" selected="0">
            <x v="3"/>
          </reference>
          <reference field="14" count="1" selected="0">
            <x v="31"/>
          </reference>
          <reference field="18" count="2">
            <x v="7"/>
            <x v="12"/>
          </reference>
        </references>
      </pivotArea>
    </format>
    <format dxfId="9750">
      <pivotArea dataOnly="0" labelOnly="1" outline="0" fieldPosition="0">
        <references count="3">
          <reference field="11" count="1" selected="0">
            <x v="3"/>
          </reference>
          <reference field="14" count="1" selected="0">
            <x v="31"/>
          </reference>
          <reference field="18" count="2" defaultSubtotal="1">
            <x v="7"/>
            <x v="12"/>
          </reference>
        </references>
      </pivotArea>
    </format>
    <format dxfId="9749">
      <pivotArea dataOnly="0" labelOnly="1" outline="0" fieldPosition="0">
        <references count="3">
          <reference field="11" count="1" selected="0">
            <x v="4"/>
          </reference>
          <reference field="14" count="1" selected="0">
            <x v="233"/>
          </reference>
          <reference field="18" count="2">
            <x v="7"/>
            <x v="12"/>
          </reference>
        </references>
      </pivotArea>
    </format>
    <format dxfId="9748">
      <pivotArea dataOnly="0" labelOnly="1" outline="0" fieldPosition="0">
        <references count="3">
          <reference field="11" count="1" selected="0">
            <x v="4"/>
          </reference>
          <reference field="14" count="1" selected="0">
            <x v="233"/>
          </reference>
          <reference field="18" count="2" defaultSubtotal="1">
            <x v="7"/>
            <x v="12"/>
          </reference>
        </references>
      </pivotArea>
    </format>
    <format dxfId="9747">
      <pivotArea dataOnly="0" labelOnly="1" outline="0" fieldPosition="0">
        <references count="3">
          <reference field="11" count="1" selected="0">
            <x v="5"/>
          </reference>
          <reference field="14" count="1" selected="0">
            <x v="232"/>
          </reference>
          <reference field="18" count="2">
            <x v="2"/>
            <x v="12"/>
          </reference>
        </references>
      </pivotArea>
    </format>
    <format dxfId="9746">
      <pivotArea dataOnly="0" labelOnly="1" outline="0" fieldPosition="0">
        <references count="3">
          <reference field="11" count="1" selected="0">
            <x v="5"/>
          </reference>
          <reference field="14" count="1" selected="0">
            <x v="232"/>
          </reference>
          <reference field="18" count="2" defaultSubtotal="1">
            <x v="2"/>
            <x v="12"/>
          </reference>
        </references>
      </pivotArea>
    </format>
    <format dxfId="9745">
      <pivotArea dataOnly="0" labelOnly="1" outline="0" fieldPosition="0">
        <references count="3">
          <reference field="11" count="1" selected="0">
            <x v="6"/>
          </reference>
          <reference field="14" count="1" selected="0">
            <x v="19"/>
          </reference>
          <reference field="18" count="2">
            <x v="3"/>
            <x v="12"/>
          </reference>
        </references>
      </pivotArea>
    </format>
    <format dxfId="9744">
      <pivotArea dataOnly="0" labelOnly="1" outline="0" fieldPosition="0">
        <references count="3">
          <reference field="11" count="1" selected="0">
            <x v="6"/>
          </reference>
          <reference field="14" count="1" selected="0">
            <x v="19"/>
          </reference>
          <reference field="18" count="2" defaultSubtotal="1">
            <x v="3"/>
            <x v="12"/>
          </reference>
        </references>
      </pivotArea>
    </format>
    <format dxfId="9743">
      <pivotArea dataOnly="0" labelOnly="1" outline="0" fieldPosition="0">
        <references count="3">
          <reference field="11" count="1" selected="0">
            <x v="7"/>
          </reference>
          <reference field="14" count="1" selected="0">
            <x v="351"/>
          </reference>
          <reference field="18" count="1">
            <x v="27"/>
          </reference>
        </references>
      </pivotArea>
    </format>
    <format dxfId="9742">
      <pivotArea dataOnly="0" labelOnly="1" outline="0" fieldPosition="0">
        <references count="3">
          <reference field="11" count="1" selected="0">
            <x v="7"/>
          </reference>
          <reference field="14" count="1" selected="0">
            <x v="351"/>
          </reference>
          <reference field="18" count="1" defaultSubtotal="1">
            <x v="27"/>
          </reference>
        </references>
      </pivotArea>
    </format>
    <format dxfId="9741">
      <pivotArea dataOnly="0" labelOnly="1" outline="0" fieldPosition="0">
        <references count="3">
          <reference field="11" count="1" selected="0">
            <x v="8"/>
          </reference>
          <reference field="14" count="1" selected="0">
            <x v="375"/>
          </reference>
          <reference field="18" count="1">
            <x v="2"/>
          </reference>
        </references>
      </pivotArea>
    </format>
    <format dxfId="9740">
      <pivotArea dataOnly="0" labelOnly="1" outline="0" fieldPosition="0">
        <references count="3">
          <reference field="11" count="1" selected="0">
            <x v="8"/>
          </reference>
          <reference field="14" count="1" selected="0">
            <x v="375"/>
          </reference>
          <reference field="18" count="1" defaultSubtotal="1">
            <x v="2"/>
          </reference>
        </references>
      </pivotArea>
    </format>
    <format dxfId="9739">
      <pivotArea dataOnly="0" labelOnly="1" outline="0" fieldPosition="0">
        <references count="3">
          <reference field="11" count="1" selected="0">
            <x v="9"/>
          </reference>
          <reference field="14" count="1" selected="0">
            <x v="50"/>
          </reference>
          <reference field="18" count="1">
            <x v="15"/>
          </reference>
        </references>
      </pivotArea>
    </format>
    <format dxfId="9738">
      <pivotArea dataOnly="0" labelOnly="1" outline="0" fieldPosition="0">
        <references count="3">
          <reference field="11" count="1" selected="0">
            <x v="9"/>
          </reference>
          <reference field="14" count="1" selected="0">
            <x v="50"/>
          </reference>
          <reference field="18" count="1" defaultSubtotal="1">
            <x v="15"/>
          </reference>
        </references>
      </pivotArea>
    </format>
    <format dxfId="9737">
      <pivotArea dataOnly="0" labelOnly="1" outline="0" fieldPosition="0">
        <references count="3">
          <reference field="11" count="1" selected="0">
            <x v="10"/>
          </reference>
          <reference field="14" count="1" selected="0">
            <x v="150"/>
          </reference>
          <reference field="18" count="1">
            <x v="4"/>
          </reference>
        </references>
      </pivotArea>
    </format>
    <format dxfId="9736">
      <pivotArea dataOnly="0" labelOnly="1" outline="0" fieldPosition="0">
        <references count="3">
          <reference field="11" count="1" selected="0">
            <x v="10"/>
          </reference>
          <reference field="14" count="1" selected="0">
            <x v="150"/>
          </reference>
          <reference field="18" count="1" defaultSubtotal="1">
            <x v="4"/>
          </reference>
        </references>
      </pivotArea>
    </format>
    <format dxfId="9735">
      <pivotArea dataOnly="0" labelOnly="1" outline="0" fieldPosition="0">
        <references count="3">
          <reference field="11" count="1" selected="0">
            <x v="11"/>
          </reference>
          <reference field="14" count="1" selected="0">
            <x v="265"/>
          </reference>
          <reference field="18" count="1">
            <x v="1"/>
          </reference>
        </references>
      </pivotArea>
    </format>
    <format dxfId="9734">
      <pivotArea dataOnly="0" labelOnly="1" outline="0" fieldPosition="0">
        <references count="3">
          <reference field="11" count="1" selected="0">
            <x v="11"/>
          </reference>
          <reference field="14" count="1" selected="0">
            <x v="265"/>
          </reference>
          <reference field="18" count="1" defaultSubtotal="1">
            <x v="1"/>
          </reference>
        </references>
      </pivotArea>
    </format>
    <format dxfId="9733">
      <pivotArea dataOnly="0" labelOnly="1" outline="0" fieldPosition="0">
        <references count="3">
          <reference field="11" count="1" selected="0">
            <x v="12"/>
          </reference>
          <reference field="14" count="1" selected="0">
            <x v="256"/>
          </reference>
          <reference field="18" count="1">
            <x v="2"/>
          </reference>
        </references>
      </pivotArea>
    </format>
    <format dxfId="9732">
      <pivotArea dataOnly="0" labelOnly="1" outline="0" fieldPosition="0">
        <references count="3">
          <reference field="11" count="1" selected="0">
            <x v="12"/>
          </reference>
          <reference field="14" count="1" selected="0">
            <x v="256"/>
          </reference>
          <reference field="18" count="1" defaultSubtotal="1">
            <x v="2"/>
          </reference>
        </references>
      </pivotArea>
    </format>
    <format dxfId="9731">
      <pivotArea dataOnly="0" labelOnly="1" outline="0" fieldPosition="0">
        <references count="3">
          <reference field="11" count="1" selected="0">
            <x v="13"/>
          </reference>
          <reference field="14" count="1" selected="0">
            <x v="304"/>
          </reference>
          <reference field="18" count="1">
            <x v="2"/>
          </reference>
        </references>
      </pivotArea>
    </format>
    <format dxfId="9730">
      <pivotArea dataOnly="0" labelOnly="1" outline="0" fieldPosition="0">
        <references count="3">
          <reference field="11" count="1" selected="0">
            <x v="13"/>
          </reference>
          <reference field="14" count="1" selected="0">
            <x v="304"/>
          </reference>
          <reference field="18" count="1" defaultSubtotal="1">
            <x v="2"/>
          </reference>
        </references>
      </pivotArea>
    </format>
    <format dxfId="9729">
      <pivotArea dataOnly="0" labelOnly="1" outline="0" fieldPosition="0">
        <references count="3">
          <reference field="11" count="1" selected="0">
            <x v="14"/>
          </reference>
          <reference field="14" count="1" selected="0">
            <x v="17"/>
          </reference>
          <reference field="18" count="2">
            <x v="7"/>
            <x v="12"/>
          </reference>
        </references>
      </pivotArea>
    </format>
    <format dxfId="9728">
      <pivotArea dataOnly="0" labelOnly="1" outline="0" fieldPosition="0">
        <references count="3">
          <reference field="11" count="1" selected="0">
            <x v="14"/>
          </reference>
          <reference field="14" count="1" selected="0">
            <x v="17"/>
          </reference>
          <reference field="18" count="2" defaultSubtotal="1">
            <x v="7"/>
            <x v="12"/>
          </reference>
        </references>
      </pivotArea>
    </format>
    <format dxfId="9727">
      <pivotArea dataOnly="0" labelOnly="1" outline="0" fieldPosition="0">
        <references count="3">
          <reference field="11" count="1" selected="0">
            <x v="15"/>
          </reference>
          <reference field="14" count="1" selected="0">
            <x v="378"/>
          </reference>
          <reference field="18" count="1">
            <x v="6"/>
          </reference>
        </references>
      </pivotArea>
    </format>
    <format dxfId="9726">
      <pivotArea dataOnly="0" labelOnly="1" outline="0" fieldPosition="0">
        <references count="3">
          <reference field="11" count="1" selected="0">
            <x v="15"/>
          </reference>
          <reference field="14" count="1" selected="0">
            <x v="378"/>
          </reference>
          <reference field="18" count="1" defaultSubtotal="1">
            <x v="6"/>
          </reference>
        </references>
      </pivotArea>
    </format>
    <format dxfId="9725">
      <pivotArea dataOnly="0" labelOnly="1" outline="0" fieldPosition="0">
        <references count="3">
          <reference field="11" count="1" selected="0">
            <x v="16"/>
          </reference>
          <reference field="14" count="1" selected="0">
            <x v="286"/>
          </reference>
          <reference field="18" count="1">
            <x v="0"/>
          </reference>
        </references>
      </pivotArea>
    </format>
    <format dxfId="9724">
      <pivotArea dataOnly="0" labelOnly="1" outline="0" fieldPosition="0">
        <references count="3">
          <reference field="11" count="1" selected="0">
            <x v="16"/>
          </reference>
          <reference field="14" count="1" selected="0">
            <x v="286"/>
          </reference>
          <reference field="18" count="1" defaultSubtotal="1">
            <x v="0"/>
          </reference>
        </references>
      </pivotArea>
    </format>
    <format dxfId="9723">
      <pivotArea dataOnly="0" labelOnly="1" outline="0" fieldPosition="0">
        <references count="3">
          <reference field="11" count="1" selected="0">
            <x v="17"/>
          </reference>
          <reference field="14" count="1" selected="0">
            <x v="116"/>
          </reference>
          <reference field="18" count="1">
            <x v="3"/>
          </reference>
        </references>
      </pivotArea>
    </format>
    <format dxfId="9722">
      <pivotArea dataOnly="0" labelOnly="1" outline="0" fieldPosition="0">
        <references count="3">
          <reference field="11" count="1" selected="0">
            <x v="17"/>
          </reference>
          <reference field="14" count="1" selected="0">
            <x v="116"/>
          </reference>
          <reference field="18" count="1" defaultSubtotal="1">
            <x v="3"/>
          </reference>
        </references>
      </pivotArea>
    </format>
    <format dxfId="9721">
      <pivotArea dataOnly="0" labelOnly="1" outline="0" fieldPosition="0">
        <references count="3">
          <reference field="11" count="1" selected="0">
            <x v="18"/>
          </reference>
          <reference field="14" count="1" selected="0">
            <x v="176"/>
          </reference>
          <reference field="18" count="1">
            <x v="6"/>
          </reference>
        </references>
      </pivotArea>
    </format>
    <format dxfId="9720">
      <pivotArea dataOnly="0" labelOnly="1" outline="0" fieldPosition="0">
        <references count="3">
          <reference field="11" count="1" selected="0">
            <x v="18"/>
          </reference>
          <reference field="14" count="1" selected="0">
            <x v="176"/>
          </reference>
          <reference field="18" count="1" defaultSubtotal="1">
            <x v="6"/>
          </reference>
        </references>
      </pivotArea>
    </format>
    <format dxfId="9719">
      <pivotArea dataOnly="0" labelOnly="1" outline="0" fieldPosition="0">
        <references count="3">
          <reference field="11" count="1" selected="0">
            <x v="19"/>
          </reference>
          <reference field="14" count="1" selected="0">
            <x v="460"/>
          </reference>
          <reference field="18" count="2">
            <x v="24"/>
            <x v="27"/>
          </reference>
        </references>
      </pivotArea>
    </format>
    <format dxfId="9718">
      <pivotArea dataOnly="0" labelOnly="1" outline="0" fieldPosition="0">
        <references count="3">
          <reference field="11" count="1" selected="0">
            <x v="19"/>
          </reference>
          <reference field="14" count="1" selected="0">
            <x v="460"/>
          </reference>
          <reference field="18" count="2" defaultSubtotal="1">
            <x v="24"/>
            <x v="27"/>
          </reference>
        </references>
      </pivotArea>
    </format>
    <format dxfId="9717">
      <pivotArea dataOnly="0" labelOnly="1" outline="0" fieldPosition="0">
        <references count="3">
          <reference field="11" count="1" selected="0">
            <x v="20"/>
          </reference>
          <reference field="14" count="1" selected="0">
            <x v="46"/>
          </reference>
          <reference field="18" count="1">
            <x v="0"/>
          </reference>
        </references>
      </pivotArea>
    </format>
    <format dxfId="9716">
      <pivotArea dataOnly="0" labelOnly="1" outline="0" fieldPosition="0">
        <references count="3">
          <reference field="11" count="1" selected="0">
            <x v="20"/>
          </reference>
          <reference field="14" count="1" selected="0">
            <x v="46"/>
          </reference>
          <reference field="18" count="1" defaultSubtotal="1">
            <x v="0"/>
          </reference>
        </references>
      </pivotArea>
    </format>
    <format dxfId="9715">
      <pivotArea dataOnly="0" labelOnly="1" outline="0" fieldPosition="0">
        <references count="3">
          <reference field="11" count="1" selected="0">
            <x v="21"/>
          </reference>
          <reference field="14" count="1" selected="0">
            <x v="347"/>
          </reference>
          <reference field="18" count="1">
            <x v="6"/>
          </reference>
        </references>
      </pivotArea>
    </format>
    <format dxfId="9714">
      <pivotArea dataOnly="0" labelOnly="1" outline="0" fieldPosition="0">
        <references count="3">
          <reference field="11" count="1" selected="0">
            <x v="21"/>
          </reference>
          <reference field="14" count="1" selected="0">
            <x v="347"/>
          </reference>
          <reference field="18" count="1" defaultSubtotal="1">
            <x v="6"/>
          </reference>
        </references>
      </pivotArea>
    </format>
    <format dxfId="9713">
      <pivotArea dataOnly="0" labelOnly="1" outline="0" fieldPosition="0">
        <references count="3">
          <reference field="11" count="1" selected="0">
            <x v="22"/>
          </reference>
          <reference field="14" count="1" selected="0">
            <x v="219"/>
          </reference>
          <reference field="18" count="2">
            <x v="7"/>
            <x v="12"/>
          </reference>
        </references>
      </pivotArea>
    </format>
    <format dxfId="9712">
      <pivotArea dataOnly="0" labelOnly="1" outline="0" fieldPosition="0">
        <references count="3">
          <reference field="11" count="1" selected="0">
            <x v="22"/>
          </reference>
          <reference field="14" count="1" selected="0">
            <x v="219"/>
          </reference>
          <reference field="18" count="2" defaultSubtotal="1">
            <x v="7"/>
            <x v="12"/>
          </reference>
        </references>
      </pivotArea>
    </format>
    <format dxfId="9711">
      <pivotArea dataOnly="0" labelOnly="1" outline="0" fieldPosition="0">
        <references count="3">
          <reference field="11" count="1" selected="0">
            <x v="23"/>
          </reference>
          <reference field="14" count="1" selected="0">
            <x v="94"/>
          </reference>
          <reference field="18" count="1">
            <x v="2"/>
          </reference>
        </references>
      </pivotArea>
    </format>
    <format dxfId="9710">
      <pivotArea dataOnly="0" labelOnly="1" outline="0" fieldPosition="0">
        <references count="3">
          <reference field="11" count="1" selected="0">
            <x v="23"/>
          </reference>
          <reference field="14" count="1" selected="0">
            <x v="94"/>
          </reference>
          <reference field="18" count="1" defaultSubtotal="1">
            <x v="2"/>
          </reference>
        </references>
      </pivotArea>
    </format>
    <format dxfId="9709">
      <pivotArea dataOnly="0" labelOnly="1" outline="0" fieldPosition="0">
        <references count="3">
          <reference field="11" count="1" selected="0">
            <x v="24"/>
          </reference>
          <reference field="14" count="1" selected="0">
            <x v="93"/>
          </reference>
          <reference field="18" count="1">
            <x v="2"/>
          </reference>
        </references>
      </pivotArea>
    </format>
    <format dxfId="9708">
      <pivotArea dataOnly="0" labelOnly="1" outline="0" fieldPosition="0">
        <references count="3">
          <reference field="11" count="1" selected="0">
            <x v="24"/>
          </reference>
          <reference field="14" count="1" selected="0">
            <x v="93"/>
          </reference>
          <reference field="18" count="1" defaultSubtotal="1">
            <x v="2"/>
          </reference>
        </references>
      </pivotArea>
    </format>
    <format dxfId="9707">
      <pivotArea dataOnly="0" labelOnly="1" outline="0" fieldPosition="0">
        <references count="3">
          <reference field="11" count="1" selected="0">
            <x v="25"/>
          </reference>
          <reference field="14" count="1" selected="0">
            <x v="466"/>
          </reference>
          <reference field="18" count="1">
            <x v="1"/>
          </reference>
        </references>
      </pivotArea>
    </format>
    <format dxfId="9706">
      <pivotArea dataOnly="0" labelOnly="1" outline="0" fieldPosition="0">
        <references count="3">
          <reference field="11" count="1" selected="0">
            <x v="25"/>
          </reference>
          <reference field="14" count="1" selected="0">
            <x v="466"/>
          </reference>
          <reference field="18" count="1" defaultSubtotal="1">
            <x v="1"/>
          </reference>
        </references>
      </pivotArea>
    </format>
    <format dxfId="9705">
      <pivotArea dataOnly="0" labelOnly="1" outline="0" fieldPosition="0">
        <references count="3">
          <reference field="11" count="1" selected="0">
            <x v="26"/>
          </reference>
          <reference field="14" count="1" selected="0">
            <x v="55"/>
          </reference>
          <reference field="18" count="1">
            <x v="0"/>
          </reference>
        </references>
      </pivotArea>
    </format>
    <format dxfId="9704">
      <pivotArea dataOnly="0" labelOnly="1" outline="0" fieldPosition="0">
        <references count="3">
          <reference field="11" count="1" selected="0">
            <x v="26"/>
          </reference>
          <reference field="14" count="1" selected="0">
            <x v="55"/>
          </reference>
          <reference field="18" count="1" defaultSubtotal="1">
            <x v="0"/>
          </reference>
        </references>
      </pivotArea>
    </format>
    <format dxfId="9703">
      <pivotArea dataOnly="0" labelOnly="1" outline="0" fieldPosition="0">
        <references count="3">
          <reference field="11" count="1" selected="0">
            <x v="27"/>
          </reference>
          <reference field="14" count="1" selected="0">
            <x v="458"/>
          </reference>
          <reference field="18" count="1">
            <x v="2"/>
          </reference>
        </references>
      </pivotArea>
    </format>
    <format dxfId="9702">
      <pivotArea dataOnly="0" labelOnly="1" outline="0" fieldPosition="0">
        <references count="3">
          <reference field="11" count="1" selected="0">
            <x v="27"/>
          </reference>
          <reference field="14" count="1" selected="0">
            <x v="458"/>
          </reference>
          <reference field="18" count="1" defaultSubtotal="1">
            <x v="2"/>
          </reference>
        </references>
      </pivotArea>
    </format>
    <format dxfId="9701">
      <pivotArea dataOnly="0" labelOnly="1" outline="0" fieldPosition="0">
        <references count="3">
          <reference field="11" count="1" selected="0">
            <x v="28"/>
          </reference>
          <reference field="14" count="1" selected="0">
            <x v="179"/>
          </reference>
          <reference field="18" count="1">
            <x v="2"/>
          </reference>
        </references>
      </pivotArea>
    </format>
    <format dxfId="9700">
      <pivotArea dataOnly="0" labelOnly="1" outline="0" fieldPosition="0">
        <references count="3">
          <reference field="11" count="1" selected="0">
            <x v="28"/>
          </reference>
          <reference field="14" count="1" selected="0">
            <x v="179"/>
          </reference>
          <reference field="18" count="1" defaultSubtotal="1">
            <x v="2"/>
          </reference>
        </references>
      </pivotArea>
    </format>
    <format dxfId="9699">
      <pivotArea dataOnly="0" labelOnly="1" outline="0" fieldPosition="0">
        <references count="3">
          <reference field="11" count="1" selected="0">
            <x v="29"/>
          </reference>
          <reference field="14" count="1" selected="0">
            <x v="0"/>
          </reference>
          <reference field="18" count="1">
            <x v="2"/>
          </reference>
        </references>
      </pivotArea>
    </format>
    <format dxfId="9698">
      <pivotArea dataOnly="0" labelOnly="1" outline="0" fieldPosition="0">
        <references count="3">
          <reference field="11" count="1" selected="0">
            <x v="29"/>
          </reference>
          <reference field="14" count="1" selected="0">
            <x v="0"/>
          </reference>
          <reference field="18" count="1" defaultSubtotal="1">
            <x v="2"/>
          </reference>
        </references>
      </pivotArea>
    </format>
    <format dxfId="9697">
      <pivotArea dataOnly="0" labelOnly="1" outline="0" fieldPosition="0">
        <references count="3">
          <reference field="11" count="1" selected="0">
            <x v="30"/>
          </reference>
          <reference field="14" count="1" selected="0">
            <x v="1"/>
          </reference>
          <reference field="18" count="1">
            <x v="2"/>
          </reference>
        </references>
      </pivotArea>
    </format>
    <format dxfId="9696">
      <pivotArea dataOnly="0" labelOnly="1" outline="0" fieldPosition="0">
        <references count="3">
          <reference field="11" count="1" selected="0">
            <x v="30"/>
          </reference>
          <reference field="14" count="1" selected="0">
            <x v="1"/>
          </reference>
          <reference field="18" count="1" defaultSubtotal="1">
            <x v="2"/>
          </reference>
        </references>
      </pivotArea>
    </format>
    <format dxfId="9695">
      <pivotArea dataOnly="0" labelOnly="1" outline="0" fieldPosition="0">
        <references count="3">
          <reference field="11" count="1" selected="0">
            <x v="31"/>
          </reference>
          <reference field="14" count="1" selected="0">
            <x v="414"/>
          </reference>
          <reference field="18" count="1">
            <x v="2"/>
          </reference>
        </references>
      </pivotArea>
    </format>
    <format dxfId="9694">
      <pivotArea dataOnly="0" labelOnly="1" outline="0" fieldPosition="0">
        <references count="3">
          <reference field="11" count="1" selected="0">
            <x v="31"/>
          </reference>
          <reference field="14" count="1" selected="0">
            <x v="414"/>
          </reference>
          <reference field="18" count="1" defaultSubtotal="1">
            <x v="2"/>
          </reference>
        </references>
      </pivotArea>
    </format>
    <format dxfId="9693">
      <pivotArea dataOnly="0" labelOnly="1" outline="0" fieldPosition="0">
        <references count="3">
          <reference field="11" count="1" selected="0">
            <x v="32"/>
          </reference>
          <reference field="14" count="1" selected="0">
            <x v="36"/>
          </reference>
          <reference field="18" count="1">
            <x v="6"/>
          </reference>
        </references>
      </pivotArea>
    </format>
    <format dxfId="9692">
      <pivotArea dataOnly="0" labelOnly="1" outline="0" fieldPosition="0">
        <references count="3">
          <reference field="11" count="1" selected="0">
            <x v="32"/>
          </reference>
          <reference field="14" count="1" selected="0">
            <x v="36"/>
          </reference>
          <reference field="18" count="1" defaultSubtotal="1">
            <x v="6"/>
          </reference>
        </references>
      </pivotArea>
    </format>
    <format dxfId="9691">
      <pivotArea dataOnly="0" labelOnly="1" outline="0" fieldPosition="0">
        <references count="3">
          <reference field="11" count="1" selected="0">
            <x v="33"/>
          </reference>
          <reference field="14" count="1" selected="0">
            <x v="341"/>
          </reference>
          <reference field="18" count="1">
            <x v="3"/>
          </reference>
        </references>
      </pivotArea>
    </format>
    <format dxfId="9690">
      <pivotArea dataOnly="0" labelOnly="1" outline="0" fieldPosition="0">
        <references count="3">
          <reference field="11" count="1" selected="0">
            <x v="33"/>
          </reference>
          <reference field="14" count="1" selected="0">
            <x v="341"/>
          </reference>
          <reference field="18" count="1" defaultSubtotal="1">
            <x v="3"/>
          </reference>
        </references>
      </pivotArea>
    </format>
    <format dxfId="9689">
      <pivotArea dataOnly="0" labelOnly="1" outline="0" fieldPosition="0">
        <references count="3">
          <reference field="11" count="1" selected="0">
            <x v="34"/>
          </reference>
          <reference field="14" count="1" selected="0">
            <x v="340"/>
          </reference>
          <reference field="18" count="1">
            <x v="3"/>
          </reference>
        </references>
      </pivotArea>
    </format>
    <format dxfId="9688">
      <pivotArea dataOnly="0" labelOnly="1" outline="0" fieldPosition="0">
        <references count="3">
          <reference field="11" count="1" selected="0">
            <x v="34"/>
          </reference>
          <reference field="14" count="1" selected="0">
            <x v="340"/>
          </reference>
          <reference field="18" count="1" defaultSubtotal="1">
            <x v="3"/>
          </reference>
        </references>
      </pivotArea>
    </format>
    <format dxfId="9687">
      <pivotArea dataOnly="0" labelOnly="1" outline="0" fieldPosition="0">
        <references count="3">
          <reference field="11" count="1" selected="0">
            <x v="35"/>
          </reference>
          <reference field="14" count="1" selected="0">
            <x v="379"/>
          </reference>
          <reference field="18" count="1">
            <x v="6"/>
          </reference>
        </references>
      </pivotArea>
    </format>
    <format dxfId="9686">
      <pivotArea dataOnly="0" labelOnly="1" outline="0" fieldPosition="0">
        <references count="3">
          <reference field="11" count="1" selected="0">
            <x v="35"/>
          </reference>
          <reference field="14" count="1" selected="0">
            <x v="379"/>
          </reference>
          <reference field="18" count="1" defaultSubtotal="1">
            <x v="6"/>
          </reference>
        </references>
      </pivotArea>
    </format>
    <format dxfId="9685">
      <pivotArea dataOnly="0" labelOnly="1" outline="0" fieldPosition="0">
        <references count="3">
          <reference field="11" count="1" selected="0">
            <x v="36"/>
          </reference>
          <reference field="14" count="1" selected="0">
            <x v="349"/>
          </reference>
          <reference field="18" count="1">
            <x v="6"/>
          </reference>
        </references>
      </pivotArea>
    </format>
    <format dxfId="9684">
      <pivotArea dataOnly="0" labelOnly="1" outline="0" fieldPosition="0">
        <references count="3">
          <reference field="11" count="1" selected="0">
            <x v="36"/>
          </reference>
          <reference field="14" count="1" selected="0">
            <x v="349"/>
          </reference>
          <reference field="18" count="1" defaultSubtotal="1">
            <x v="6"/>
          </reference>
        </references>
      </pivotArea>
    </format>
    <format dxfId="9683">
      <pivotArea dataOnly="0" labelOnly="1" outline="0" fieldPosition="0">
        <references count="3">
          <reference field="11" count="1" selected="0">
            <x v="37"/>
          </reference>
          <reference field="14" count="1" selected="0">
            <x v="348"/>
          </reference>
          <reference field="18" count="1">
            <x v="6"/>
          </reference>
        </references>
      </pivotArea>
    </format>
    <format dxfId="9682">
      <pivotArea dataOnly="0" labelOnly="1" outline="0" fieldPosition="0">
        <references count="3">
          <reference field="11" count="1" selected="0">
            <x v="37"/>
          </reference>
          <reference field="14" count="1" selected="0">
            <x v="348"/>
          </reference>
          <reference field="18" count="1" defaultSubtotal="1">
            <x v="6"/>
          </reference>
        </references>
      </pivotArea>
    </format>
    <format dxfId="9681">
      <pivotArea dataOnly="0" labelOnly="1" outline="0" fieldPosition="0">
        <references count="3">
          <reference field="11" count="1" selected="0">
            <x v="38"/>
          </reference>
          <reference field="14" count="1" selected="0">
            <x v="346"/>
          </reference>
          <reference field="18" count="1">
            <x v="6"/>
          </reference>
        </references>
      </pivotArea>
    </format>
    <format dxfId="9680">
      <pivotArea dataOnly="0" labelOnly="1" outline="0" fieldPosition="0">
        <references count="3">
          <reference field="11" count="1" selected="0">
            <x v="38"/>
          </reference>
          <reference field="14" count="1" selected="0">
            <x v="346"/>
          </reference>
          <reference field="18" count="1" defaultSubtotal="1">
            <x v="6"/>
          </reference>
        </references>
      </pivotArea>
    </format>
    <format dxfId="9679">
      <pivotArea dataOnly="0" labelOnly="1" outline="0" fieldPosition="0">
        <references count="3">
          <reference field="11" count="1" selected="0">
            <x v="39"/>
          </reference>
          <reference field="14" count="1" selected="0">
            <x v="344"/>
          </reference>
          <reference field="18" count="1">
            <x v="6"/>
          </reference>
        </references>
      </pivotArea>
    </format>
    <format dxfId="9678">
      <pivotArea dataOnly="0" labelOnly="1" outline="0" fieldPosition="0">
        <references count="3">
          <reference field="11" count="1" selected="0">
            <x v="39"/>
          </reference>
          <reference field="14" count="1" selected="0">
            <x v="344"/>
          </reference>
          <reference field="18" count="1" defaultSubtotal="1">
            <x v="6"/>
          </reference>
        </references>
      </pivotArea>
    </format>
    <format dxfId="9677">
      <pivotArea dataOnly="0" labelOnly="1" outline="0" fieldPosition="0">
        <references count="3">
          <reference field="11" count="1" selected="0">
            <x v="40"/>
          </reference>
          <reference field="14" count="1" selected="0">
            <x v="345"/>
          </reference>
          <reference field="18" count="1">
            <x v="6"/>
          </reference>
        </references>
      </pivotArea>
    </format>
    <format dxfId="9676">
      <pivotArea dataOnly="0" labelOnly="1" outline="0" fieldPosition="0">
        <references count="3">
          <reference field="11" count="1" selected="0">
            <x v="40"/>
          </reference>
          <reference field="14" count="1" selected="0">
            <x v="345"/>
          </reference>
          <reference field="18" count="1" defaultSubtotal="1">
            <x v="6"/>
          </reference>
        </references>
      </pivotArea>
    </format>
    <format dxfId="9675">
      <pivotArea dataOnly="0" labelOnly="1" outline="0" fieldPosition="0">
        <references count="3">
          <reference field="11" count="1" selected="0">
            <x v="41"/>
          </reference>
          <reference field="14" count="1" selected="0">
            <x v="337"/>
          </reference>
          <reference field="18" count="1">
            <x v="16"/>
          </reference>
        </references>
      </pivotArea>
    </format>
    <format dxfId="9674">
      <pivotArea dataOnly="0" labelOnly="1" outline="0" fieldPosition="0">
        <references count="3">
          <reference field="11" count="1" selected="0">
            <x v="41"/>
          </reference>
          <reference field="14" count="1" selected="0">
            <x v="337"/>
          </reference>
          <reference field="18" count="1" defaultSubtotal="1">
            <x v="16"/>
          </reference>
        </references>
      </pivotArea>
    </format>
    <format dxfId="9673">
      <pivotArea dataOnly="0" labelOnly="1" outline="0" fieldPosition="0">
        <references count="3">
          <reference field="11" count="1" selected="0">
            <x v="42"/>
          </reference>
          <reference field="14" count="1" selected="0">
            <x v="59"/>
          </reference>
          <reference field="18" count="1">
            <x v="4"/>
          </reference>
        </references>
      </pivotArea>
    </format>
    <format dxfId="9672">
      <pivotArea dataOnly="0" labelOnly="1" outline="0" fieldPosition="0">
        <references count="3">
          <reference field="11" count="1" selected="0">
            <x v="42"/>
          </reference>
          <reference field="14" count="1" selected="0">
            <x v="59"/>
          </reference>
          <reference field="18" count="1" defaultSubtotal="1">
            <x v="4"/>
          </reference>
        </references>
      </pivotArea>
    </format>
    <format dxfId="9671">
      <pivotArea dataOnly="0" labelOnly="1" outline="0" fieldPosition="0">
        <references count="3">
          <reference field="11" count="1" selected="0">
            <x v="43"/>
          </reference>
          <reference field="14" count="1" selected="0">
            <x v="410"/>
          </reference>
          <reference field="18" count="2">
            <x v="0"/>
            <x v="14"/>
          </reference>
        </references>
      </pivotArea>
    </format>
    <format dxfId="9670">
      <pivotArea dataOnly="0" labelOnly="1" outline="0" fieldPosition="0">
        <references count="3">
          <reference field="11" count="1" selected="0">
            <x v="43"/>
          </reference>
          <reference field="14" count="1" selected="0">
            <x v="410"/>
          </reference>
          <reference field="18" count="2" defaultSubtotal="1">
            <x v="0"/>
            <x v="14"/>
          </reference>
        </references>
      </pivotArea>
    </format>
    <format dxfId="9669">
      <pivotArea dataOnly="0" labelOnly="1" outline="0" fieldPosition="0">
        <references count="3">
          <reference field="11" count="1" selected="0">
            <x v="44"/>
          </reference>
          <reference field="14" count="1" selected="0">
            <x v="77"/>
          </reference>
          <reference field="18" count="2">
            <x v="2"/>
            <x v="22"/>
          </reference>
        </references>
      </pivotArea>
    </format>
    <format dxfId="9668">
      <pivotArea dataOnly="0" labelOnly="1" outline="0" fieldPosition="0">
        <references count="3">
          <reference field="11" count="1" selected="0">
            <x v="44"/>
          </reference>
          <reference field="14" count="1" selected="0">
            <x v="77"/>
          </reference>
          <reference field="18" count="2" defaultSubtotal="1">
            <x v="2"/>
            <x v="22"/>
          </reference>
        </references>
      </pivotArea>
    </format>
    <format dxfId="9667">
      <pivotArea dataOnly="0" labelOnly="1" outline="0" fieldPosition="0">
        <references count="3">
          <reference field="11" count="1" selected="0">
            <x v="45"/>
          </reference>
          <reference field="14" count="1" selected="0">
            <x v="465"/>
          </reference>
          <reference field="18" count="1">
            <x v="6"/>
          </reference>
        </references>
      </pivotArea>
    </format>
    <format dxfId="9666">
      <pivotArea dataOnly="0" labelOnly="1" outline="0" fieldPosition="0">
        <references count="3">
          <reference field="11" count="1" selected="0">
            <x v="45"/>
          </reference>
          <reference field="14" count="1" selected="0">
            <x v="465"/>
          </reference>
          <reference field="18" count="1" defaultSubtotal="1">
            <x v="6"/>
          </reference>
        </references>
      </pivotArea>
    </format>
    <format dxfId="9665">
      <pivotArea dataOnly="0" labelOnly="1" outline="0" fieldPosition="0">
        <references count="3">
          <reference field="11" count="1" selected="0">
            <x v="46"/>
          </reference>
          <reference field="14" count="1" selected="0">
            <x v="250"/>
          </reference>
          <reference field="18" count="1">
            <x v="2"/>
          </reference>
        </references>
      </pivotArea>
    </format>
    <format dxfId="9664">
      <pivotArea dataOnly="0" labelOnly="1" outline="0" fieldPosition="0">
        <references count="3">
          <reference field="11" count="1" selected="0">
            <x v="46"/>
          </reference>
          <reference field="14" count="1" selected="0">
            <x v="250"/>
          </reference>
          <reference field="18" count="1" defaultSubtotal="1">
            <x v="2"/>
          </reference>
        </references>
      </pivotArea>
    </format>
    <format dxfId="9663">
      <pivotArea dataOnly="0" labelOnly="1" outline="0" fieldPosition="0">
        <references count="3">
          <reference field="11" count="1" selected="0">
            <x v="47"/>
          </reference>
          <reference field="14" count="1" selected="0">
            <x v="323"/>
          </reference>
          <reference field="18" count="1">
            <x v="17"/>
          </reference>
        </references>
      </pivotArea>
    </format>
    <format dxfId="9662">
      <pivotArea dataOnly="0" labelOnly="1" outline="0" fieldPosition="0">
        <references count="3">
          <reference field="11" count="1" selected="0">
            <x v="47"/>
          </reference>
          <reference field="14" count="1" selected="0">
            <x v="323"/>
          </reference>
          <reference field="18" count="1" defaultSubtotal="1">
            <x v="17"/>
          </reference>
        </references>
      </pivotArea>
    </format>
    <format dxfId="9661">
      <pivotArea dataOnly="0" labelOnly="1" outline="0" fieldPosition="0">
        <references count="3">
          <reference field="11" count="1" selected="0">
            <x v="48"/>
          </reference>
          <reference field="14" count="1" selected="0">
            <x v="244"/>
          </reference>
          <reference field="18" count="1">
            <x v="6"/>
          </reference>
        </references>
      </pivotArea>
    </format>
    <format dxfId="9660">
      <pivotArea dataOnly="0" labelOnly="1" outline="0" fieldPosition="0">
        <references count="3">
          <reference field="11" count="1" selected="0">
            <x v="48"/>
          </reference>
          <reference field="14" count="1" selected="0">
            <x v="244"/>
          </reference>
          <reference field="18" count="1" defaultSubtotal="1">
            <x v="6"/>
          </reference>
        </references>
      </pivotArea>
    </format>
    <format dxfId="9659">
      <pivotArea dataOnly="0" labelOnly="1" outline="0" fieldPosition="0">
        <references count="3">
          <reference field="11" count="1" selected="0">
            <x v="49"/>
          </reference>
          <reference field="14" count="1" selected="0">
            <x v="228"/>
          </reference>
          <reference field="18" count="3">
            <x v="0"/>
            <x v="2"/>
            <x v="12"/>
          </reference>
        </references>
      </pivotArea>
    </format>
    <format dxfId="9658">
      <pivotArea dataOnly="0" labelOnly="1" outline="0" fieldPosition="0">
        <references count="3">
          <reference field="11" count="1" selected="0">
            <x v="49"/>
          </reference>
          <reference field="14" count="1" selected="0">
            <x v="228"/>
          </reference>
          <reference field="18" count="3" defaultSubtotal="1">
            <x v="0"/>
            <x v="2"/>
            <x v="12"/>
          </reference>
        </references>
      </pivotArea>
    </format>
    <format dxfId="9657">
      <pivotArea dataOnly="0" labelOnly="1" outline="0" fieldPosition="0">
        <references count="3">
          <reference field="11" count="1" selected="0">
            <x v="50"/>
          </reference>
          <reference field="14" count="1" selected="0">
            <x v="318"/>
          </reference>
          <reference field="18" count="1">
            <x v="6"/>
          </reference>
        </references>
      </pivotArea>
    </format>
    <format dxfId="9656">
      <pivotArea dataOnly="0" labelOnly="1" outline="0" fieldPosition="0">
        <references count="3">
          <reference field="11" count="1" selected="0">
            <x v="50"/>
          </reference>
          <reference field="14" count="1" selected="0">
            <x v="318"/>
          </reference>
          <reference field="18" count="1" defaultSubtotal="1">
            <x v="6"/>
          </reference>
        </references>
      </pivotArea>
    </format>
    <format dxfId="9655">
      <pivotArea dataOnly="0" labelOnly="1" outline="0" fieldPosition="0">
        <references count="3">
          <reference field="11" count="1" selected="0">
            <x v="51"/>
          </reference>
          <reference field="14" count="1" selected="0">
            <x v="241"/>
          </reference>
          <reference field="18" count="1">
            <x v="6"/>
          </reference>
        </references>
      </pivotArea>
    </format>
    <format dxfId="9654">
      <pivotArea dataOnly="0" labelOnly="1" outline="0" fieldPosition="0">
        <references count="3">
          <reference field="11" count="1" selected="0">
            <x v="51"/>
          </reference>
          <reference field="14" count="1" selected="0">
            <x v="241"/>
          </reference>
          <reference field="18" count="1" defaultSubtotal="1">
            <x v="6"/>
          </reference>
        </references>
      </pivotArea>
    </format>
    <format dxfId="9653">
      <pivotArea dataOnly="0" labelOnly="1" outline="0" fieldPosition="0">
        <references count="3">
          <reference field="11" count="1" selected="0">
            <x v="52"/>
          </reference>
          <reference field="14" count="1" selected="0">
            <x v="413"/>
          </reference>
          <reference field="18" count="1">
            <x v="6"/>
          </reference>
        </references>
      </pivotArea>
    </format>
    <format dxfId="9652">
      <pivotArea dataOnly="0" labelOnly="1" outline="0" fieldPosition="0">
        <references count="3">
          <reference field="11" count="1" selected="0">
            <x v="52"/>
          </reference>
          <reference field="14" count="1" selected="0">
            <x v="413"/>
          </reference>
          <reference field="18" count="1" defaultSubtotal="1">
            <x v="6"/>
          </reference>
        </references>
      </pivotArea>
    </format>
    <format dxfId="9651">
      <pivotArea dataOnly="0" labelOnly="1" outline="0" fieldPosition="0">
        <references count="3">
          <reference field="11" count="1" selected="0">
            <x v="53"/>
          </reference>
          <reference field="14" count="1" selected="0">
            <x v="283"/>
          </reference>
          <reference field="18" count="1">
            <x v="3"/>
          </reference>
        </references>
      </pivotArea>
    </format>
    <format dxfId="9650">
      <pivotArea dataOnly="0" labelOnly="1" outline="0" fieldPosition="0">
        <references count="3">
          <reference field="11" count="1" selected="0">
            <x v="53"/>
          </reference>
          <reference field="14" count="1" selected="0">
            <x v="283"/>
          </reference>
          <reference field="18" count="1" defaultSubtotal="1">
            <x v="3"/>
          </reference>
        </references>
      </pivotArea>
    </format>
    <format dxfId="9649">
      <pivotArea dataOnly="0" labelOnly="1" outline="0" fieldPosition="0">
        <references count="3">
          <reference field="11" count="1" selected="0">
            <x v="54"/>
          </reference>
          <reference field="14" count="1" selected="0">
            <x v="278"/>
          </reference>
          <reference field="18" count="2">
            <x v="0"/>
            <x v="1"/>
          </reference>
        </references>
      </pivotArea>
    </format>
    <format dxfId="9648">
      <pivotArea dataOnly="0" labelOnly="1" outline="0" fieldPosition="0">
        <references count="3">
          <reference field="11" count="1" selected="0">
            <x v="54"/>
          </reference>
          <reference field="14" count="1" selected="0">
            <x v="278"/>
          </reference>
          <reference field="18" count="2" defaultSubtotal="1">
            <x v="0"/>
            <x v="1"/>
          </reference>
        </references>
      </pivotArea>
    </format>
    <format dxfId="9647">
      <pivotArea dataOnly="0" labelOnly="1" outline="0" fieldPosition="0">
        <references count="3">
          <reference field="11" count="1" selected="0">
            <x v="55"/>
          </reference>
          <reference field="14" count="1" selected="0">
            <x v="275"/>
          </reference>
          <reference field="18" count="1">
            <x v="0"/>
          </reference>
        </references>
      </pivotArea>
    </format>
    <format dxfId="9646">
      <pivotArea dataOnly="0" labelOnly="1" outline="0" fieldPosition="0">
        <references count="3">
          <reference field="11" count="1" selected="0">
            <x v="55"/>
          </reference>
          <reference field="14" count="1" selected="0">
            <x v="275"/>
          </reference>
          <reference field="18" count="1" defaultSubtotal="1">
            <x v="0"/>
          </reference>
        </references>
      </pivotArea>
    </format>
    <format dxfId="9645">
      <pivotArea dataOnly="0" labelOnly="1" outline="0" fieldPosition="0">
        <references count="3">
          <reference field="11" count="1" selected="0">
            <x v="56"/>
          </reference>
          <reference field="14" count="1" selected="0">
            <x v="463"/>
          </reference>
          <reference field="18" count="3">
            <x v="22"/>
            <x v="23"/>
            <x v="24"/>
          </reference>
        </references>
      </pivotArea>
    </format>
    <format dxfId="9644">
      <pivotArea dataOnly="0" labelOnly="1" outline="0" fieldPosition="0">
        <references count="3">
          <reference field="11" count="1" selected="0">
            <x v="56"/>
          </reference>
          <reference field="14" count="1" selected="0">
            <x v="463"/>
          </reference>
          <reference field="18" count="3" defaultSubtotal="1">
            <x v="22"/>
            <x v="23"/>
            <x v="24"/>
          </reference>
        </references>
      </pivotArea>
    </format>
    <format dxfId="9643">
      <pivotArea dataOnly="0" labelOnly="1" outline="0" fieldPosition="0">
        <references count="3">
          <reference field="11" count="1" selected="0">
            <x v="57"/>
          </reference>
          <reference field="14" count="1" selected="0">
            <x v="462"/>
          </reference>
          <reference field="18" count="3">
            <x v="22"/>
            <x v="23"/>
            <x v="24"/>
          </reference>
        </references>
      </pivotArea>
    </format>
    <format dxfId="9642">
      <pivotArea dataOnly="0" labelOnly="1" outline="0" fieldPosition="0">
        <references count="3">
          <reference field="11" count="1" selected="0">
            <x v="57"/>
          </reference>
          <reference field="14" count="1" selected="0">
            <x v="462"/>
          </reference>
          <reference field="18" count="3" defaultSubtotal="1">
            <x v="22"/>
            <x v="23"/>
            <x v="24"/>
          </reference>
        </references>
      </pivotArea>
    </format>
    <format dxfId="9641">
      <pivotArea dataOnly="0" labelOnly="1" outline="0" fieldPosition="0">
        <references count="3">
          <reference field="11" count="1" selected="0">
            <x v="58"/>
          </reference>
          <reference field="14" count="1" selected="0">
            <x v="459"/>
          </reference>
          <reference field="18" count="1">
            <x v="1"/>
          </reference>
        </references>
      </pivotArea>
    </format>
    <format dxfId="9640">
      <pivotArea dataOnly="0" labelOnly="1" outline="0" fieldPosition="0">
        <references count="3">
          <reference field="11" count="1" selected="0">
            <x v="58"/>
          </reference>
          <reference field="14" count="1" selected="0">
            <x v="459"/>
          </reference>
          <reference field="18" count="1" defaultSubtotal="1">
            <x v="1"/>
          </reference>
        </references>
      </pivotArea>
    </format>
    <format dxfId="9639">
      <pivotArea dataOnly="0" labelOnly="1" outline="0" fieldPosition="0">
        <references count="3">
          <reference field="11" count="1" selected="0">
            <x v="59"/>
          </reference>
          <reference field="14" count="1" selected="0">
            <x v="271"/>
          </reference>
          <reference field="18" count="1">
            <x v="3"/>
          </reference>
        </references>
      </pivotArea>
    </format>
    <format dxfId="9638">
      <pivotArea dataOnly="0" labelOnly="1" outline="0" fieldPosition="0">
        <references count="3">
          <reference field="11" count="1" selected="0">
            <x v="59"/>
          </reference>
          <reference field="14" count="1" selected="0">
            <x v="271"/>
          </reference>
          <reference field="18" count="1" defaultSubtotal="1">
            <x v="3"/>
          </reference>
        </references>
      </pivotArea>
    </format>
    <format dxfId="9637">
      <pivotArea dataOnly="0" labelOnly="1" outline="0" fieldPosition="0">
        <references count="3">
          <reference field="11" count="1" selected="0">
            <x v="60"/>
          </reference>
          <reference field="14" count="1" selected="0">
            <x v="22"/>
          </reference>
          <reference field="18" count="1">
            <x v="16"/>
          </reference>
        </references>
      </pivotArea>
    </format>
    <format dxfId="9636">
      <pivotArea dataOnly="0" labelOnly="1" outline="0" fieldPosition="0">
        <references count="3">
          <reference field="11" count="1" selected="0">
            <x v="60"/>
          </reference>
          <reference field="14" count="1" selected="0">
            <x v="22"/>
          </reference>
          <reference field="18" count="1" defaultSubtotal="1">
            <x v="16"/>
          </reference>
        </references>
      </pivotArea>
    </format>
    <format dxfId="9635">
      <pivotArea dataOnly="0" labelOnly="1" outline="0" fieldPosition="0">
        <references count="3">
          <reference field="11" count="1" selected="0">
            <x v="61"/>
          </reference>
          <reference field="14" count="1" selected="0">
            <x v="354"/>
          </reference>
          <reference field="18" count="1">
            <x v="6"/>
          </reference>
        </references>
      </pivotArea>
    </format>
    <format dxfId="9634">
      <pivotArea dataOnly="0" labelOnly="1" outline="0" fieldPosition="0">
        <references count="3">
          <reference field="11" count="1" selected="0">
            <x v="61"/>
          </reference>
          <reference field="14" count="1" selected="0">
            <x v="354"/>
          </reference>
          <reference field="18" count="1" defaultSubtotal="1">
            <x v="6"/>
          </reference>
        </references>
      </pivotArea>
    </format>
    <format dxfId="9633">
      <pivotArea dataOnly="0" labelOnly="1" outline="0" fieldPosition="0">
        <references count="3">
          <reference field="11" count="1" selected="0">
            <x v="62"/>
          </reference>
          <reference field="14" count="1" selected="0">
            <x v="415"/>
          </reference>
          <reference field="18" count="1">
            <x v="6"/>
          </reference>
        </references>
      </pivotArea>
    </format>
    <format dxfId="9632">
      <pivotArea dataOnly="0" labelOnly="1" outline="0" fieldPosition="0">
        <references count="3">
          <reference field="11" count="1" selected="0">
            <x v="62"/>
          </reference>
          <reference field="14" count="1" selected="0">
            <x v="415"/>
          </reference>
          <reference field="18" count="1" defaultSubtotal="1">
            <x v="6"/>
          </reference>
        </references>
      </pivotArea>
    </format>
    <format dxfId="9631">
      <pivotArea dataOnly="0" labelOnly="1" outline="0" fieldPosition="0">
        <references count="3">
          <reference field="11" count="1" selected="0">
            <x v="63"/>
          </reference>
          <reference field="14" count="1" selected="0">
            <x v="227"/>
          </reference>
          <reference field="18" count="4">
            <x v="0"/>
            <x v="7"/>
            <x v="11"/>
            <x v="12"/>
          </reference>
        </references>
      </pivotArea>
    </format>
    <format dxfId="9630">
      <pivotArea dataOnly="0" labelOnly="1" outline="0" fieldPosition="0">
        <references count="3">
          <reference field="11" count="1" selected="0">
            <x v="63"/>
          </reference>
          <reference field="14" count="1" selected="0">
            <x v="227"/>
          </reference>
          <reference field="18" count="4" defaultSubtotal="1">
            <x v="0"/>
            <x v="7"/>
            <x v="11"/>
            <x v="12"/>
          </reference>
        </references>
      </pivotArea>
    </format>
    <format dxfId="9629">
      <pivotArea dataOnly="0" labelOnly="1" outline="0" fieldPosition="0">
        <references count="3">
          <reference field="11" count="1" selected="0">
            <x v="64"/>
          </reference>
          <reference field="14" count="1" selected="0">
            <x v="261"/>
          </reference>
          <reference field="18" count="1">
            <x v="12"/>
          </reference>
        </references>
      </pivotArea>
    </format>
    <format dxfId="9628">
      <pivotArea dataOnly="0" labelOnly="1" outline="0" fieldPosition="0">
        <references count="3">
          <reference field="11" count="1" selected="0">
            <x v="64"/>
          </reference>
          <reference field="14" count="1" selected="0">
            <x v="261"/>
          </reference>
          <reference field="18" count="1" defaultSubtotal="1">
            <x v="12"/>
          </reference>
        </references>
      </pivotArea>
    </format>
    <format dxfId="9627">
      <pivotArea dataOnly="0" labelOnly="1" outline="0" fieldPosition="0">
        <references count="3">
          <reference field="11" count="1" selected="0">
            <x v="65"/>
          </reference>
          <reference field="14" count="1" selected="0">
            <x v="336"/>
          </reference>
          <reference field="18" count="1">
            <x v="14"/>
          </reference>
        </references>
      </pivotArea>
    </format>
    <format dxfId="9626">
      <pivotArea dataOnly="0" labelOnly="1" outline="0" fieldPosition="0">
        <references count="3">
          <reference field="11" count="1" selected="0">
            <x v="65"/>
          </reference>
          <reference field="14" count="1" selected="0">
            <x v="336"/>
          </reference>
          <reference field="18" count="1" defaultSubtotal="1">
            <x v="14"/>
          </reference>
        </references>
      </pivotArea>
    </format>
    <format dxfId="9625">
      <pivotArea dataOnly="0" labelOnly="1" outline="0" fieldPosition="0">
        <references count="3">
          <reference field="11" count="1" selected="0">
            <x v="66"/>
          </reference>
          <reference field="14" count="1" selected="0">
            <x v="63"/>
          </reference>
          <reference field="18" count="1">
            <x v="3"/>
          </reference>
        </references>
      </pivotArea>
    </format>
    <format dxfId="9624">
      <pivotArea dataOnly="0" labelOnly="1" outline="0" fieldPosition="0">
        <references count="3">
          <reference field="11" count="1" selected="0">
            <x v="66"/>
          </reference>
          <reference field="14" count="1" selected="0">
            <x v="63"/>
          </reference>
          <reference field="18" count="1" defaultSubtotal="1">
            <x v="3"/>
          </reference>
        </references>
      </pivotArea>
    </format>
    <format dxfId="9623">
      <pivotArea dataOnly="0" labelOnly="1" outline="0" fieldPosition="0">
        <references count="3">
          <reference field="11" count="1" selected="0">
            <x v="67"/>
          </reference>
          <reference field="14" count="1" selected="0">
            <x v="237"/>
          </reference>
          <reference field="18" count="3">
            <x v="0"/>
            <x v="2"/>
            <x v="12"/>
          </reference>
        </references>
      </pivotArea>
    </format>
    <format dxfId="9622">
      <pivotArea dataOnly="0" labelOnly="1" outline="0" fieldPosition="0">
        <references count="3">
          <reference field="11" count="1" selected="0">
            <x v="67"/>
          </reference>
          <reference field="14" count="1" selected="0">
            <x v="237"/>
          </reference>
          <reference field="18" count="3" defaultSubtotal="1">
            <x v="0"/>
            <x v="2"/>
            <x v="12"/>
          </reference>
        </references>
      </pivotArea>
    </format>
    <format dxfId="9621">
      <pivotArea dataOnly="0" labelOnly="1" outline="0" fieldPosition="0">
        <references count="3">
          <reference field="11" count="1" selected="0">
            <x v="68"/>
          </reference>
          <reference field="14" count="1" selected="0">
            <x v="138"/>
          </reference>
          <reference field="18" count="1">
            <x v="22"/>
          </reference>
        </references>
      </pivotArea>
    </format>
    <format dxfId="9620">
      <pivotArea dataOnly="0" labelOnly="1" outline="0" fieldPosition="0">
        <references count="3">
          <reference field="11" count="1" selected="0">
            <x v="68"/>
          </reference>
          <reference field="14" count="1" selected="0">
            <x v="138"/>
          </reference>
          <reference field="18" count="1" defaultSubtotal="1">
            <x v="22"/>
          </reference>
        </references>
      </pivotArea>
    </format>
    <format dxfId="9619">
      <pivotArea dataOnly="0" labelOnly="1" outline="0" fieldPosition="0">
        <references count="3">
          <reference field="11" count="1" selected="0">
            <x v="69"/>
          </reference>
          <reference field="14" count="1" selected="0">
            <x v="139"/>
          </reference>
          <reference field="18" count="1">
            <x v="22"/>
          </reference>
        </references>
      </pivotArea>
    </format>
    <format dxfId="9618">
      <pivotArea dataOnly="0" labelOnly="1" outline="0" fieldPosition="0">
        <references count="3">
          <reference field="11" count="1" selected="0">
            <x v="69"/>
          </reference>
          <reference field="14" count="1" selected="0">
            <x v="139"/>
          </reference>
          <reference field="18" count="1" defaultSubtotal="1">
            <x v="22"/>
          </reference>
        </references>
      </pivotArea>
    </format>
    <format dxfId="9617">
      <pivotArea dataOnly="0" labelOnly="1" outline="0" fieldPosition="0">
        <references count="3">
          <reference field="11" count="1" selected="0">
            <x v="70"/>
          </reference>
          <reference field="14" count="1" selected="0">
            <x v="137"/>
          </reference>
          <reference field="18" count="1">
            <x v="22"/>
          </reference>
        </references>
      </pivotArea>
    </format>
    <format dxfId="9616">
      <pivotArea dataOnly="0" labelOnly="1" outline="0" fieldPosition="0">
        <references count="3">
          <reference field="11" count="1" selected="0">
            <x v="70"/>
          </reference>
          <reference field="14" count="1" selected="0">
            <x v="137"/>
          </reference>
          <reference field="18" count="1" defaultSubtotal="1">
            <x v="22"/>
          </reference>
        </references>
      </pivotArea>
    </format>
    <format dxfId="9615">
      <pivotArea dataOnly="0" labelOnly="1" outline="0" fieldPosition="0">
        <references count="3">
          <reference field="11" count="1" selected="0">
            <x v="71"/>
          </reference>
          <reference field="14" count="1" selected="0">
            <x v="468"/>
          </reference>
          <reference field="18" count="1">
            <x v="6"/>
          </reference>
        </references>
      </pivotArea>
    </format>
    <format dxfId="9614">
      <pivotArea dataOnly="0" labelOnly="1" outline="0" fieldPosition="0">
        <references count="3">
          <reference field="11" count="1" selected="0">
            <x v="71"/>
          </reference>
          <reference field="14" count="1" selected="0">
            <x v="468"/>
          </reference>
          <reference field="18" count="1" defaultSubtotal="1">
            <x v="6"/>
          </reference>
        </references>
      </pivotArea>
    </format>
    <format dxfId="9613">
      <pivotArea dataOnly="0" labelOnly="1" outline="0" fieldPosition="0">
        <references count="3">
          <reference field="11" count="1" selected="0">
            <x v="72"/>
          </reference>
          <reference field="14" count="1" selected="0">
            <x v="83"/>
          </reference>
          <reference field="18" count="1">
            <x v="1"/>
          </reference>
        </references>
      </pivotArea>
    </format>
    <format dxfId="9612">
      <pivotArea dataOnly="0" labelOnly="1" outline="0" fieldPosition="0">
        <references count="3">
          <reference field="11" count="1" selected="0">
            <x v="72"/>
          </reference>
          <reference field="14" count="1" selected="0">
            <x v="83"/>
          </reference>
          <reference field="18" count="1" defaultSubtotal="1">
            <x v="1"/>
          </reference>
        </references>
      </pivotArea>
    </format>
    <format dxfId="9611">
      <pivotArea dataOnly="0" labelOnly="1" outline="0" fieldPosition="0">
        <references count="3">
          <reference field="11" count="1" selected="0">
            <x v="73"/>
          </reference>
          <reference field="14" count="1" selected="0">
            <x v="288"/>
          </reference>
          <reference field="18" count="1">
            <x v="0"/>
          </reference>
        </references>
      </pivotArea>
    </format>
    <format dxfId="9610">
      <pivotArea dataOnly="0" labelOnly="1" outline="0" fieldPosition="0">
        <references count="3">
          <reference field="11" count="1" selected="0">
            <x v="73"/>
          </reference>
          <reference field="14" count="1" selected="0">
            <x v="288"/>
          </reference>
          <reference field="18" count="1" defaultSubtotal="1">
            <x v="0"/>
          </reference>
        </references>
      </pivotArea>
    </format>
    <format dxfId="9609">
      <pivotArea dataOnly="0" labelOnly="1" outline="0" fieldPosition="0">
        <references count="3">
          <reference field="11" count="1" selected="0">
            <x v="74"/>
          </reference>
          <reference field="14" count="1" selected="0">
            <x v="235"/>
          </reference>
          <reference field="18" count="2">
            <x v="3"/>
            <x v="12"/>
          </reference>
        </references>
      </pivotArea>
    </format>
    <format dxfId="9608">
      <pivotArea dataOnly="0" labelOnly="1" outline="0" fieldPosition="0">
        <references count="3">
          <reference field="11" count="1" selected="0">
            <x v="74"/>
          </reference>
          <reference field="14" count="1" selected="0">
            <x v="235"/>
          </reference>
          <reference field="18" count="2" defaultSubtotal="1">
            <x v="3"/>
            <x v="12"/>
          </reference>
        </references>
      </pivotArea>
    </format>
    <format dxfId="9607">
      <pivotArea dataOnly="0" labelOnly="1" outline="0" fieldPosition="0">
        <references count="3">
          <reference field="11" count="1" selected="0">
            <x v="75"/>
          </reference>
          <reference field="14" count="1" selected="0">
            <x v="285"/>
          </reference>
          <reference field="18" count="1">
            <x v="0"/>
          </reference>
        </references>
      </pivotArea>
    </format>
    <format dxfId="9606">
      <pivotArea dataOnly="0" labelOnly="1" outline="0" fieldPosition="0">
        <references count="3">
          <reference field="11" count="1" selected="0">
            <x v="75"/>
          </reference>
          <reference field="14" count="1" selected="0">
            <x v="285"/>
          </reference>
          <reference field="18" count="1" defaultSubtotal="1">
            <x v="0"/>
          </reference>
        </references>
      </pivotArea>
    </format>
    <format dxfId="9605">
      <pivotArea dataOnly="0" labelOnly="1" outline="0" fieldPosition="0">
        <references count="3">
          <reference field="11" count="1" selected="0">
            <x v="76"/>
          </reference>
          <reference field="14" count="1" selected="0">
            <x v="214"/>
          </reference>
          <reference field="18" count="2">
            <x v="8"/>
            <x v="14"/>
          </reference>
        </references>
      </pivotArea>
    </format>
    <format dxfId="9604">
      <pivotArea dataOnly="0" labelOnly="1" outline="0" fieldPosition="0">
        <references count="3">
          <reference field="11" count="1" selected="0">
            <x v="76"/>
          </reference>
          <reference field="14" count="1" selected="0">
            <x v="214"/>
          </reference>
          <reference field="18" count="2" defaultSubtotal="1">
            <x v="8"/>
            <x v="14"/>
          </reference>
        </references>
      </pivotArea>
    </format>
    <format dxfId="9603">
      <pivotArea dataOnly="0" labelOnly="1" outline="0" fieldPosition="0">
        <references count="3">
          <reference field="11" count="1" selected="0">
            <x v="77"/>
          </reference>
          <reference field="14" count="1" selected="0">
            <x v="104"/>
          </reference>
          <reference field="18" count="1">
            <x v="0"/>
          </reference>
        </references>
      </pivotArea>
    </format>
    <format dxfId="9602">
      <pivotArea dataOnly="0" labelOnly="1" outline="0" fieldPosition="0">
        <references count="3">
          <reference field="11" count="1" selected="0">
            <x v="77"/>
          </reference>
          <reference field="14" count="1" selected="0">
            <x v="104"/>
          </reference>
          <reference field="18" count="1" defaultSubtotal="1">
            <x v="0"/>
          </reference>
        </references>
      </pivotArea>
    </format>
    <format dxfId="9601">
      <pivotArea dataOnly="0" labelOnly="1" outline="0" fieldPosition="0">
        <references count="3">
          <reference field="11" count="1" selected="0">
            <x v="78"/>
          </reference>
          <reference field="14" count="1" selected="0">
            <x v="195"/>
          </reference>
          <reference field="18" count="1">
            <x v="14"/>
          </reference>
        </references>
      </pivotArea>
    </format>
    <format dxfId="9600">
      <pivotArea dataOnly="0" labelOnly="1" outline="0" fieldPosition="0">
        <references count="3">
          <reference field="11" count="1" selected="0">
            <x v="78"/>
          </reference>
          <reference field="14" count="1" selected="0">
            <x v="195"/>
          </reference>
          <reference field="18" count="1" defaultSubtotal="1">
            <x v="14"/>
          </reference>
        </references>
      </pivotArea>
    </format>
    <format dxfId="9599">
      <pivotArea dataOnly="0" labelOnly="1" outline="0" fieldPosition="0">
        <references count="3">
          <reference field="11" count="1" selected="0">
            <x v="79"/>
          </reference>
          <reference field="14" count="1" selected="0">
            <x v="196"/>
          </reference>
          <reference field="18" count="1">
            <x v="14"/>
          </reference>
        </references>
      </pivotArea>
    </format>
    <format dxfId="9598">
      <pivotArea dataOnly="0" labelOnly="1" outline="0" fieldPosition="0">
        <references count="3">
          <reference field="11" count="1" selected="0">
            <x v="79"/>
          </reference>
          <reference field="14" count="1" selected="0">
            <x v="196"/>
          </reference>
          <reference field="18" count="1" defaultSubtotal="1">
            <x v="14"/>
          </reference>
        </references>
      </pivotArea>
    </format>
    <format dxfId="9597">
      <pivotArea dataOnly="0" labelOnly="1" outline="0" fieldPosition="0">
        <references count="3">
          <reference field="11" count="1" selected="0">
            <x v="80"/>
          </reference>
          <reference field="14" count="1" selected="0">
            <x v="467"/>
          </reference>
          <reference field="18" count="1">
            <x v="2"/>
          </reference>
        </references>
      </pivotArea>
    </format>
    <format dxfId="9596">
      <pivotArea dataOnly="0" labelOnly="1" outline="0" fieldPosition="0">
        <references count="3">
          <reference field="11" count="1" selected="0">
            <x v="80"/>
          </reference>
          <reference field="14" count="1" selected="0">
            <x v="467"/>
          </reference>
          <reference field="18" count="1" defaultSubtotal="1">
            <x v="2"/>
          </reference>
        </references>
      </pivotArea>
    </format>
    <format dxfId="9595">
      <pivotArea dataOnly="0" labelOnly="1" outline="0" fieldPosition="0">
        <references count="3">
          <reference field="11" count="1" selected="0">
            <x v="81"/>
          </reference>
          <reference field="14" count="1" selected="0">
            <x v="56"/>
          </reference>
          <reference field="18" count="1">
            <x v="1"/>
          </reference>
        </references>
      </pivotArea>
    </format>
    <format dxfId="9594">
      <pivotArea dataOnly="0" labelOnly="1" outline="0" fieldPosition="0">
        <references count="3">
          <reference field="11" count="1" selected="0">
            <x v="81"/>
          </reference>
          <reference field="14" count="1" selected="0">
            <x v="56"/>
          </reference>
          <reference field="18" count="1" defaultSubtotal="1">
            <x v="1"/>
          </reference>
        </references>
      </pivotArea>
    </format>
    <format dxfId="9593">
      <pivotArea dataOnly="0" labelOnly="1" outline="0" fieldPosition="0">
        <references count="3">
          <reference field="11" count="1" selected="0">
            <x v="82"/>
          </reference>
          <reference field="14" count="1" selected="0">
            <x v="106"/>
          </reference>
          <reference field="18" count="1">
            <x v="27"/>
          </reference>
        </references>
      </pivotArea>
    </format>
    <format dxfId="9592">
      <pivotArea dataOnly="0" labelOnly="1" outline="0" fieldPosition="0">
        <references count="3">
          <reference field="11" count="1" selected="0">
            <x v="82"/>
          </reference>
          <reference field="14" count="1" selected="0">
            <x v="106"/>
          </reference>
          <reference field="18" count="1" defaultSubtotal="1">
            <x v="27"/>
          </reference>
        </references>
      </pivotArea>
    </format>
    <format dxfId="9591">
      <pivotArea dataOnly="0" labelOnly="1" outline="0" fieldPosition="0">
        <references count="3">
          <reference field="11" count="1" selected="0">
            <x v="83"/>
          </reference>
          <reference field="14" count="1" selected="0">
            <x v="216"/>
          </reference>
          <reference field="18" count="1">
            <x v="2"/>
          </reference>
        </references>
      </pivotArea>
    </format>
    <format dxfId="9590">
      <pivotArea dataOnly="0" labelOnly="1" outline="0" fieldPosition="0">
        <references count="3">
          <reference field="11" count="1" selected="0">
            <x v="83"/>
          </reference>
          <reference field="14" count="1" selected="0">
            <x v="216"/>
          </reference>
          <reference field="18" count="1" defaultSubtotal="1">
            <x v="2"/>
          </reference>
        </references>
      </pivotArea>
    </format>
    <format dxfId="9589">
      <pivotArea dataOnly="0" labelOnly="1" outline="0" fieldPosition="0">
        <references count="3">
          <reference field="11" count="1" selected="0">
            <x v="84"/>
          </reference>
          <reference field="14" count="1" selected="0">
            <x v="47"/>
          </reference>
          <reference field="18" count="1">
            <x v="0"/>
          </reference>
        </references>
      </pivotArea>
    </format>
    <format dxfId="9588">
      <pivotArea dataOnly="0" labelOnly="1" outline="0" fieldPosition="0">
        <references count="3">
          <reference field="11" count="1" selected="0">
            <x v="84"/>
          </reference>
          <reference field="14" count="1" selected="0">
            <x v="47"/>
          </reference>
          <reference field="18" count="1" defaultSubtotal="1">
            <x v="0"/>
          </reference>
        </references>
      </pivotArea>
    </format>
    <format dxfId="9587">
      <pivotArea dataOnly="0" labelOnly="1" outline="0" fieldPosition="0">
        <references count="3">
          <reference field="11" count="1" selected="0">
            <x v="85"/>
          </reference>
          <reference field="14" count="1" selected="0">
            <x v="203"/>
          </reference>
          <reference field="18" count="1">
            <x v="16"/>
          </reference>
        </references>
      </pivotArea>
    </format>
    <format dxfId="9586">
      <pivotArea dataOnly="0" labelOnly="1" outline="0" fieldPosition="0">
        <references count="3">
          <reference field="11" count="1" selected="0">
            <x v="85"/>
          </reference>
          <reference field="14" count="1" selected="0">
            <x v="203"/>
          </reference>
          <reference field="18" count="1" defaultSubtotal="1">
            <x v="16"/>
          </reference>
        </references>
      </pivotArea>
    </format>
    <format dxfId="9585">
      <pivotArea dataOnly="0" labelOnly="1" outline="0" fieldPosition="0">
        <references count="3">
          <reference field="11" count="1" selected="0">
            <x v="86"/>
          </reference>
          <reference field="14" count="1" selected="0">
            <x v="383"/>
          </reference>
          <reference field="18" count="1">
            <x v="4"/>
          </reference>
        </references>
      </pivotArea>
    </format>
    <format dxfId="9584">
      <pivotArea dataOnly="0" labelOnly="1" outline="0" fieldPosition="0">
        <references count="3">
          <reference field="11" count="1" selected="0">
            <x v="86"/>
          </reference>
          <reference field="14" count="1" selected="0">
            <x v="383"/>
          </reference>
          <reference field="18" count="1" defaultSubtotal="1">
            <x v="4"/>
          </reference>
        </references>
      </pivotArea>
    </format>
    <format dxfId="9583">
      <pivotArea dataOnly="0" labelOnly="1" outline="0" fieldPosition="0">
        <references count="3">
          <reference field="11" count="1" selected="0">
            <x v="87"/>
          </reference>
          <reference field="14" count="1" selected="0">
            <x v="193"/>
          </reference>
          <reference field="18" count="1">
            <x v="14"/>
          </reference>
        </references>
      </pivotArea>
    </format>
    <format dxfId="9582">
      <pivotArea dataOnly="0" labelOnly="1" outline="0" fieldPosition="0">
        <references count="3">
          <reference field="11" count="1" selected="0">
            <x v="87"/>
          </reference>
          <reference field="14" count="1" selected="0">
            <x v="193"/>
          </reference>
          <reference field="18" count="1" defaultSubtotal="1">
            <x v="14"/>
          </reference>
        </references>
      </pivotArea>
    </format>
    <format dxfId="9581">
      <pivotArea dataOnly="0" labelOnly="1" outline="0" fieldPosition="0">
        <references count="3">
          <reference field="11" count="1" selected="0">
            <x v="88"/>
          </reference>
          <reference field="14" count="1" selected="0">
            <x v="4"/>
          </reference>
          <reference field="18" count="1">
            <x v="4"/>
          </reference>
        </references>
      </pivotArea>
    </format>
    <format dxfId="9580">
      <pivotArea dataOnly="0" labelOnly="1" outline="0" fieldPosition="0">
        <references count="3">
          <reference field="11" count="1" selected="0">
            <x v="88"/>
          </reference>
          <reference field="14" count="1" selected="0">
            <x v="4"/>
          </reference>
          <reference field="18" count="1" defaultSubtotal="1">
            <x v="4"/>
          </reference>
        </references>
      </pivotArea>
    </format>
    <format dxfId="9579">
      <pivotArea dataOnly="0" labelOnly="1" outline="0" fieldPosition="0">
        <references count="3">
          <reference field="11" count="1" selected="0">
            <x v="89"/>
          </reference>
          <reference field="14" count="1" selected="0">
            <x v="251"/>
          </reference>
          <reference field="18" count="2">
            <x v="12"/>
            <x v="27"/>
          </reference>
        </references>
      </pivotArea>
    </format>
    <format dxfId="9578">
      <pivotArea dataOnly="0" labelOnly="1" outline="0" fieldPosition="0">
        <references count="3">
          <reference field="11" count="1" selected="0">
            <x v="89"/>
          </reference>
          <reference field="14" count="1" selected="0">
            <x v="251"/>
          </reference>
          <reference field="18" count="2" defaultSubtotal="1">
            <x v="12"/>
            <x v="27"/>
          </reference>
        </references>
      </pivotArea>
    </format>
    <format dxfId="9577">
      <pivotArea dataOnly="0" labelOnly="1" outline="0" fieldPosition="0">
        <references count="3">
          <reference field="11" count="1" selected="0">
            <x v="90"/>
          </reference>
          <reference field="14" count="1" selected="0">
            <x v="335"/>
          </reference>
          <reference field="18" count="4">
            <x v="0"/>
            <x v="1"/>
            <x v="12"/>
            <x v="13"/>
          </reference>
        </references>
      </pivotArea>
    </format>
    <format dxfId="9576">
      <pivotArea dataOnly="0" labelOnly="1" outline="0" fieldPosition="0">
        <references count="3">
          <reference field="11" count="1" selected="0">
            <x v="90"/>
          </reference>
          <reference field="14" count="1" selected="0">
            <x v="335"/>
          </reference>
          <reference field="18" count="4" defaultSubtotal="1">
            <x v="0"/>
            <x v="1"/>
            <x v="12"/>
            <x v="13"/>
          </reference>
        </references>
      </pivotArea>
    </format>
    <format dxfId="9575">
      <pivotArea dataOnly="0" labelOnly="1" outline="0" fieldPosition="0">
        <references count="3">
          <reference field="11" count="1" selected="0">
            <x v="91"/>
          </reference>
          <reference field="14" count="1" selected="0">
            <x v="27"/>
          </reference>
          <reference field="18" count="1">
            <x v="1"/>
          </reference>
        </references>
      </pivotArea>
    </format>
    <format dxfId="9574">
      <pivotArea dataOnly="0" labelOnly="1" outline="0" fieldPosition="0">
        <references count="3">
          <reference field="11" count="1" selected="0">
            <x v="91"/>
          </reference>
          <reference field="14" count="1" selected="0">
            <x v="27"/>
          </reference>
          <reference field="18" count="1" defaultSubtotal="1">
            <x v="1"/>
          </reference>
        </references>
      </pivotArea>
    </format>
    <format dxfId="9573">
      <pivotArea dataOnly="0" labelOnly="1" outline="0" fieldPosition="0">
        <references count="3">
          <reference field="11" count="1" selected="0">
            <x v="92"/>
          </reference>
          <reference field="14" count="1" selected="0">
            <x v="189"/>
          </reference>
          <reference field="18" count="1">
            <x v="0"/>
          </reference>
        </references>
      </pivotArea>
    </format>
    <format dxfId="9572">
      <pivotArea dataOnly="0" labelOnly="1" outline="0" fieldPosition="0">
        <references count="3">
          <reference field="11" count="1" selected="0">
            <x v="92"/>
          </reference>
          <reference field="14" count="1" selected="0">
            <x v="189"/>
          </reference>
          <reference field="18" count="1" defaultSubtotal="1">
            <x v="0"/>
          </reference>
        </references>
      </pivotArea>
    </format>
    <format dxfId="9571">
      <pivotArea dataOnly="0" labelOnly="1" outline="0" fieldPosition="0">
        <references count="3">
          <reference field="11" count="1" selected="0">
            <x v="93"/>
          </reference>
          <reference field="14" count="1" selected="0">
            <x v="451"/>
          </reference>
          <reference field="18" count="2">
            <x v="3"/>
            <x v="7"/>
          </reference>
        </references>
      </pivotArea>
    </format>
    <format dxfId="9570">
      <pivotArea dataOnly="0" labelOnly="1" outline="0" fieldPosition="0">
        <references count="3">
          <reference field="11" count="1" selected="0">
            <x v="93"/>
          </reference>
          <reference field="14" count="1" selected="0">
            <x v="451"/>
          </reference>
          <reference field="18" count="2" defaultSubtotal="1">
            <x v="3"/>
            <x v="7"/>
          </reference>
        </references>
      </pivotArea>
    </format>
    <format dxfId="9569">
      <pivotArea dataOnly="0" labelOnly="1" outline="0" fieldPosition="0">
        <references count="3">
          <reference field="11" count="1" selected="0">
            <x v="94"/>
          </reference>
          <reference field="14" count="1" selected="0">
            <x v="23"/>
          </reference>
          <reference field="18" count="1">
            <x v="3"/>
          </reference>
        </references>
      </pivotArea>
    </format>
    <format dxfId="9568">
      <pivotArea dataOnly="0" labelOnly="1" outline="0" fieldPosition="0">
        <references count="3">
          <reference field="11" count="1" selected="0">
            <x v="94"/>
          </reference>
          <reference field="14" count="1" selected="0">
            <x v="23"/>
          </reference>
          <reference field="18" count="1" defaultSubtotal="1">
            <x v="3"/>
          </reference>
        </references>
      </pivotArea>
    </format>
    <format dxfId="9567">
      <pivotArea dataOnly="0" labelOnly="1" outline="0" fieldPosition="0">
        <references count="3">
          <reference field="11" count="1" selected="0">
            <x v="95"/>
          </reference>
          <reference field="14" count="1" selected="0">
            <x v="200"/>
          </reference>
          <reference field="18" count="3">
            <x v="0"/>
            <x v="12"/>
            <x v="27"/>
          </reference>
        </references>
      </pivotArea>
    </format>
    <format dxfId="9566">
      <pivotArea dataOnly="0" labelOnly="1" outline="0" fieldPosition="0">
        <references count="3">
          <reference field="11" count="1" selected="0">
            <x v="95"/>
          </reference>
          <reference field="14" count="1" selected="0">
            <x v="200"/>
          </reference>
          <reference field="18" count="3" defaultSubtotal="1">
            <x v="0"/>
            <x v="12"/>
            <x v="27"/>
          </reference>
        </references>
      </pivotArea>
    </format>
    <format dxfId="9565">
      <pivotArea dataOnly="0" labelOnly="1" outline="0" fieldPosition="0">
        <references count="3">
          <reference field="11" count="1" selected="0">
            <x v="96"/>
          </reference>
          <reference field="14" count="1" selected="0">
            <x v="240"/>
          </reference>
          <reference field="18" count="1">
            <x v="6"/>
          </reference>
        </references>
      </pivotArea>
    </format>
    <format dxfId="9564">
      <pivotArea dataOnly="0" labelOnly="1" outline="0" fieldPosition="0">
        <references count="3">
          <reference field="11" count="1" selected="0">
            <x v="96"/>
          </reference>
          <reference field="14" count="1" selected="0">
            <x v="240"/>
          </reference>
          <reference field="18" count="1" defaultSubtotal="1">
            <x v="6"/>
          </reference>
        </references>
      </pivotArea>
    </format>
    <format dxfId="9563">
      <pivotArea dataOnly="0" labelOnly="1" outline="0" fieldPosition="0">
        <references count="3">
          <reference field="11" count="1" selected="0">
            <x v="97"/>
          </reference>
          <reference field="14" count="1" selected="0">
            <x v="268"/>
          </reference>
          <reference field="18" count="1">
            <x v="3"/>
          </reference>
        </references>
      </pivotArea>
    </format>
    <format dxfId="9562">
      <pivotArea dataOnly="0" labelOnly="1" outline="0" fieldPosition="0">
        <references count="3">
          <reference field="11" count="1" selected="0">
            <x v="97"/>
          </reference>
          <reference field="14" count="1" selected="0">
            <x v="268"/>
          </reference>
          <reference field="18" count="1" defaultSubtotal="1">
            <x v="3"/>
          </reference>
        </references>
      </pivotArea>
    </format>
    <format dxfId="9561">
      <pivotArea dataOnly="0" labelOnly="1" outline="0" fieldPosition="0">
        <references count="3">
          <reference field="11" count="1" selected="0">
            <x v="98"/>
          </reference>
          <reference field="14" count="1" selected="0">
            <x v="358"/>
          </reference>
          <reference field="18" count="1">
            <x v="14"/>
          </reference>
        </references>
      </pivotArea>
    </format>
    <format dxfId="9560">
      <pivotArea dataOnly="0" labelOnly="1" outline="0" fieldPosition="0">
        <references count="3">
          <reference field="11" count="1" selected="0">
            <x v="98"/>
          </reference>
          <reference field="14" count="1" selected="0">
            <x v="358"/>
          </reference>
          <reference field="18" count="1" defaultSubtotal="1">
            <x v="14"/>
          </reference>
        </references>
      </pivotArea>
    </format>
    <format dxfId="9559">
      <pivotArea dataOnly="0" labelOnly="1" outline="0" fieldPosition="0">
        <references count="3">
          <reference field="11" count="1" selected="0">
            <x v="99"/>
          </reference>
          <reference field="14" count="1" selected="0">
            <x v="454"/>
          </reference>
          <reference field="18" count="1">
            <x v="0"/>
          </reference>
        </references>
      </pivotArea>
    </format>
    <format dxfId="9558">
      <pivotArea dataOnly="0" labelOnly="1" outline="0" fieldPosition="0">
        <references count="3">
          <reference field="11" count="1" selected="0">
            <x v="99"/>
          </reference>
          <reference field="14" count="1" selected="0">
            <x v="454"/>
          </reference>
          <reference field="18" count="1" defaultSubtotal="1">
            <x v="0"/>
          </reference>
        </references>
      </pivotArea>
    </format>
    <format dxfId="9557">
      <pivotArea dataOnly="0" labelOnly="1" outline="0" fieldPosition="0">
        <references count="3">
          <reference field="11" count="1" selected="0">
            <x v="100"/>
          </reference>
          <reference field="14" count="1" selected="0">
            <x v="274"/>
          </reference>
          <reference field="18" count="1">
            <x v="0"/>
          </reference>
        </references>
      </pivotArea>
    </format>
    <format dxfId="9556">
      <pivotArea dataOnly="0" labelOnly="1" outline="0" fieldPosition="0">
        <references count="3">
          <reference field="11" count="1" selected="0">
            <x v="100"/>
          </reference>
          <reference field="14" count="1" selected="0">
            <x v="274"/>
          </reference>
          <reference field="18" count="1" defaultSubtotal="1">
            <x v="0"/>
          </reference>
        </references>
      </pivotArea>
    </format>
    <format dxfId="9555">
      <pivotArea dataOnly="0" labelOnly="1" outline="0" fieldPosition="0">
        <references count="3">
          <reference field="11" count="1" selected="0">
            <x v="101"/>
          </reference>
          <reference field="14" count="1" selected="0">
            <x v="303"/>
          </reference>
          <reference field="18" count="1">
            <x v="6"/>
          </reference>
        </references>
      </pivotArea>
    </format>
    <format dxfId="9554">
      <pivotArea dataOnly="0" labelOnly="1" outline="0" fieldPosition="0">
        <references count="3">
          <reference field="11" count="1" selected="0">
            <x v="101"/>
          </reference>
          <reference field="14" count="1" selected="0">
            <x v="303"/>
          </reference>
          <reference field="18" count="1" defaultSubtotal="1">
            <x v="6"/>
          </reference>
        </references>
      </pivotArea>
    </format>
    <format dxfId="9553">
      <pivotArea dataOnly="0" labelOnly="1" outline="0" fieldPosition="0">
        <references count="3">
          <reference field="11" count="1" selected="0">
            <x v="102"/>
          </reference>
          <reference field="14" count="1" selected="0">
            <x v="248"/>
          </reference>
          <reference field="18" count="1">
            <x v="3"/>
          </reference>
        </references>
      </pivotArea>
    </format>
    <format dxfId="9552">
      <pivotArea dataOnly="0" labelOnly="1" outline="0" fieldPosition="0">
        <references count="3">
          <reference field="11" count="1" selected="0">
            <x v="102"/>
          </reference>
          <reference field="14" count="1" selected="0">
            <x v="248"/>
          </reference>
          <reference field="18" count="1" defaultSubtotal="1">
            <x v="3"/>
          </reference>
        </references>
      </pivotArea>
    </format>
    <format dxfId="9551">
      <pivotArea dataOnly="0" labelOnly="1" outline="0" fieldPosition="0">
        <references count="3">
          <reference field="11" count="1" selected="0">
            <x v="103"/>
          </reference>
          <reference field="14" count="1" selected="0">
            <x v="48"/>
          </reference>
          <reference field="18" count="1">
            <x v="0"/>
          </reference>
        </references>
      </pivotArea>
    </format>
    <format dxfId="9550">
      <pivotArea dataOnly="0" labelOnly="1" outline="0" fieldPosition="0">
        <references count="3">
          <reference field="11" count="1" selected="0">
            <x v="103"/>
          </reference>
          <reference field="14" count="1" selected="0">
            <x v="48"/>
          </reference>
          <reference field="18" count="1" defaultSubtotal="1">
            <x v="0"/>
          </reference>
        </references>
      </pivotArea>
    </format>
    <format dxfId="9549">
      <pivotArea dataOnly="0" labelOnly="1" outline="0" fieldPosition="0">
        <references count="3">
          <reference field="11" count="1" selected="0">
            <x v="104"/>
          </reference>
          <reference field="14" count="1" selected="0">
            <x v="321"/>
          </reference>
          <reference field="18" count="1">
            <x v="2"/>
          </reference>
        </references>
      </pivotArea>
    </format>
    <format dxfId="9548">
      <pivotArea dataOnly="0" labelOnly="1" outline="0" fieldPosition="0">
        <references count="3">
          <reference field="11" count="1" selected="0">
            <x v="104"/>
          </reference>
          <reference field="14" count="1" selected="0">
            <x v="321"/>
          </reference>
          <reference field="18" count="1" defaultSubtotal="1">
            <x v="2"/>
          </reference>
        </references>
      </pivotArea>
    </format>
    <format dxfId="9547">
      <pivotArea dataOnly="0" labelOnly="1" outline="0" fieldPosition="0">
        <references count="3">
          <reference field="11" count="1" selected="0">
            <x v="105"/>
          </reference>
          <reference field="14" count="1" selected="0">
            <x v="320"/>
          </reference>
          <reference field="18" count="1">
            <x v="2"/>
          </reference>
        </references>
      </pivotArea>
    </format>
    <format dxfId="9546">
      <pivotArea dataOnly="0" labelOnly="1" outline="0" fieldPosition="0">
        <references count="3">
          <reference field="11" count="1" selected="0">
            <x v="105"/>
          </reference>
          <reference field="14" count="1" selected="0">
            <x v="320"/>
          </reference>
          <reference field="18" count="1" defaultSubtotal="1">
            <x v="2"/>
          </reference>
        </references>
      </pivotArea>
    </format>
    <format dxfId="9545">
      <pivotArea dataOnly="0" labelOnly="1" outline="0" fieldPosition="0">
        <references count="3">
          <reference field="11" count="1" selected="0">
            <x v="106"/>
          </reference>
          <reference field="14" count="1" selected="0">
            <x v="210"/>
          </reference>
          <reference field="18" count="1">
            <x v="0"/>
          </reference>
        </references>
      </pivotArea>
    </format>
    <format dxfId="9544">
      <pivotArea dataOnly="0" labelOnly="1" outline="0" fieldPosition="0">
        <references count="3">
          <reference field="11" count="1" selected="0">
            <x v="106"/>
          </reference>
          <reference field="14" count="1" selected="0">
            <x v="210"/>
          </reference>
          <reference field="18" count="1" defaultSubtotal="1">
            <x v="0"/>
          </reference>
        </references>
      </pivotArea>
    </format>
    <format dxfId="9543">
      <pivotArea dataOnly="0" labelOnly="1" outline="0" fieldPosition="0">
        <references count="3">
          <reference field="11" count="1" selected="0">
            <x v="107"/>
          </reference>
          <reference field="14" count="1" selected="0">
            <x v="220"/>
          </reference>
          <reference field="18" count="1">
            <x v="1"/>
          </reference>
        </references>
      </pivotArea>
    </format>
    <format dxfId="9542">
      <pivotArea dataOnly="0" labelOnly="1" outline="0" fieldPosition="0">
        <references count="3">
          <reference field="11" count="1" selected="0">
            <x v="107"/>
          </reference>
          <reference field="14" count="1" selected="0">
            <x v="220"/>
          </reference>
          <reference field="18" count="1" defaultSubtotal="1">
            <x v="1"/>
          </reference>
        </references>
      </pivotArea>
    </format>
    <format dxfId="9541">
      <pivotArea dataOnly="0" labelOnly="1" outline="0" fieldPosition="0">
        <references count="3">
          <reference field="11" count="1" selected="0">
            <x v="108"/>
          </reference>
          <reference field="14" count="1" selected="0">
            <x v="111"/>
          </reference>
          <reference field="18" count="1">
            <x v="0"/>
          </reference>
        </references>
      </pivotArea>
    </format>
    <format dxfId="9540">
      <pivotArea dataOnly="0" labelOnly="1" outline="0" fieldPosition="0">
        <references count="3">
          <reference field="11" count="1" selected="0">
            <x v="108"/>
          </reference>
          <reference field="14" count="1" selected="0">
            <x v="111"/>
          </reference>
          <reference field="18" count="1" defaultSubtotal="1">
            <x v="0"/>
          </reference>
        </references>
      </pivotArea>
    </format>
    <format dxfId="9539">
      <pivotArea dataOnly="0" labelOnly="1" outline="0" fieldPosition="0">
        <references count="3">
          <reference field="11" count="1" selected="0">
            <x v="109"/>
          </reference>
          <reference field="14" count="1" selected="0">
            <x v="194"/>
          </reference>
          <reference field="18" count="1">
            <x v="14"/>
          </reference>
        </references>
      </pivotArea>
    </format>
    <format dxfId="9538">
      <pivotArea dataOnly="0" labelOnly="1" outline="0" fieldPosition="0">
        <references count="3">
          <reference field="11" count="1" selected="0">
            <x v="109"/>
          </reference>
          <reference field="14" count="1" selected="0">
            <x v="194"/>
          </reference>
          <reference field="18" count="1" defaultSubtotal="1">
            <x v="14"/>
          </reference>
        </references>
      </pivotArea>
    </format>
    <format dxfId="9537">
      <pivotArea dataOnly="0" labelOnly="1" outline="0" fieldPosition="0">
        <references count="3">
          <reference field="11" count="1" selected="0">
            <x v="110"/>
          </reference>
          <reference field="14" count="1" selected="0">
            <x v="52"/>
          </reference>
          <reference field="18" count="1">
            <x v="0"/>
          </reference>
        </references>
      </pivotArea>
    </format>
    <format dxfId="9536">
      <pivotArea dataOnly="0" labelOnly="1" outline="0" fieldPosition="0">
        <references count="3">
          <reference field="11" count="1" selected="0">
            <x v="110"/>
          </reference>
          <reference field="14" count="1" selected="0">
            <x v="52"/>
          </reference>
          <reference field="18" count="1" defaultSubtotal="1">
            <x v="0"/>
          </reference>
        </references>
      </pivotArea>
    </format>
    <format dxfId="9535">
      <pivotArea dataOnly="0" labelOnly="1" outline="0" fieldPosition="0">
        <references count="3">
          <reference field="11" count="1" selected="0">
            <x v="111"/>
          </reference>
          <reference field="14" count="1" selected="0">
            <x v="229"/>
          </reference>
          <reference field="18" count="2">
            <x v="2"/>
            <x v="12"/>
          </reference>
        </references>
      </pivotArea>
    </format>
    <format dxfId="9534">
      <pivotArea dataOnly="0" labelOnly="1" outline="0" fieldPosition="0">
        <references count="3">
          <reference field="11" count="1" selected="0">
            <x v="111"/>
          </reference>
          <reference field="14" count="1" selected="0">
            <x v="229"/>
          </reference>
          <reference field="18" count="2" defaultSubtotal="1">
            <x v="2"/>
            <x v="12"/>
          </reference>
        </references>
      </pivotArea>
    </format>
    <format dxfId="9533">
      <pivotArea dataOnly="0" labelOnly="1" outline="0" fieldPosition="0">
        <references count="3">
          <reference field="11" count="1" selected="0">
            <x v="112"/>
          </reference>
          <reference field="14" count="1" selected="0">
            <x v="41"/>
          </reference>
          <reference field="18" count="2">
            <x v="0"/>
            <x v="2"/>
          </reference>
        </references>
      </pivotArea>
    </format>
    <format dxfId="9532">
      <pivotArea dataOnly="0" labelOnly="1" outline="0" fieldPosition="0">
        <references count="3">
          <reference field="11" count="1" selected="0">
            <x v="112"/>
          </reference>
          <reference field="14" count="1" selected="0">
            <x v="41"/>
          </reference>
          <reference field="18" count="2" defaultSubtotal="1">
            <x v="0"/>
            <x v="2"/>
          </reference>
        </references>
      </pivotArea>
    </format>
    <format dxfId="9531">
      <pivotArea dataOnly="0" labelOnly="1" outline="0" fieldPosition="0">
        <references count="3">
          <reference field="11" count="1" selected="0">
            <x v="113"/>
          </reference>
          <reference field="14" count="1" selected="0">
            <x v="40"/>
          </reference>
          <reference field="18" count="2">
            <x v="0"/>
            <x v="2"/>
          </reference>
        </references>
      </pivotArea>
    </format>
    <format dxfId="9530">
      <pivotArea dataOnly="0" labelOnly="1" outline="0" fieldPosition="0">
        <references count="3">
          <reference field="11" count="1" selected="0">
            <x v="113"/>
          </reference>
          <reference field="14" count="1" selected="0">
            <x v="40"/>
          </reference>
          <reference field="18" count="2" defaultSubtotal="1">
            <x v="0"/>
            <x v="2"/>
          </reference>
        </references>
      </pivotArea>
    </format>
    <format dxfId="9529">
      <pivotArea dataOnly="0" labelOnly="1" outline="0" fieldPosition="0">
        <references count="3">
          <reference field="11" count="1" selected="0">
            <x v="114"/>
          </reference>
          <reference field="14" count="1" selected="0">
            <x v="433"/>
          </reference>
          <reference field="18" count="1">
            <x v="2"/>
          </reference>
        </references>
      </pivotArea>
    </format>
    <format dxfId="9528">
      <pivotArea dataOnly="0" labelOnly="1" outline="0" fieldPosition="0">
        <references count="3">
          <reference field="11" count="1" selected="0">
            <x v="114"/>
          </reference>
          <reference field="14" count="1" selected="0">
            <x v="433"/>
          </reference>
          <reference field="18" count="1" defaultSubtotal="1">
            <x v="2"/>
          </reference>
        </references>
      </pivotArea>
    </format>
    <format dxfId="9527">
      <pivotArea dataOnly="0" labelOnly="1" outline="0" fieldPosition="0">
        <references count="3">
          <reference field="11" count="1" selected="0">
            <x v="115"/>
          </reference>
          <reference field="14" count="1" selected="0">
            <x v="470"/>
          </reference>
          <reference field="18" count="2">
            <x v="22"/>
            <x v="24"/>
          </reference>
        </references>
      </pivotArea>
    </format>
    <format dxfId="9526">
      <pivotArea dataOnly="0" labelOnly="1" outline="0" fieldPosition="0">
        <references count="3">
          <reference field="11" count="1" selected="0">
            <x v="115"/>
          </reference>
          <reference field="14" count="1" selected="0">
            <x v="470"/>
          </reference>
          <reference field="18" count="2" defaultSubtotal="1">
            <x v="22"/>
            <x v="24"/>
          </reference>
        </references>
      </pivotArea>
    </format>
    <format dxfId="9525">
      <pivotArea dataOnly="0" labelOnly="1" outline="0" fieldPosition="0">
        <references count="3">
          <reference field="11" count="1" selected="0">
            <x v="116"/>
          </reference>
          <reference field="14" count="1" selected="0">
            <x v="469"/>
          </reference>
          <reference field="18" count="1">
            <x v="2"/>
          </reference>
        </references>
      </pivotArea>
    </format>
    <format dxfId="9524">
      <pivotArea dataOnly="0" labelOnly="1" outline="0" fieldPosition="0">
        <references count="3">
          <reference field="11" count="1" selected="0">
            <x v="116"/>
          </reference>
          <reference field="14" count="1" selected="0">
            <x v="469"/>
          </reference>
          <reference field="18" count="1" defaultSubtotal="1">
            <x v="2"/>
          </reference>
        </references>
      </pivotArea>
    </format>
    <format dxfId="9523">
      <pivotArea dataOnly="0" labelOnly="1" outline="0" fieldPosition="0">
        <references count="3">
          <reference field="11" count="1" selected="0">
            <x v="117"/>
          </reference>
          <reference field="14" count="1" selected="0">
            <x v="472"/>
          </reference>
          <reference field="18" count="1">
            <x v="2"/>
          </reference>
        </references>
      </pivotArea>
    </format>
    <format dxfId="9522">
      <pivotArea dataOnly="0" labelOnly="1" outline="0" fieldPosition="0">
        <references count="3">
          <reference field="11" count="1" selected="0">
            <x v="117"/>
          </reference>
          <reference field="14" count="1" selected="0">
            <x v="472"/>
          </reference>
          <reference field="18" count="1" defaultSubtotal="1">
            <x v="2"/>
          </reference>
        </references>
      </pivotArea>
    </format>
    <format dxfId="9521">
      <pivotArea dataOnly="0" labelOnly="1" outline="0" fieldPosition="0">
        <references count="3">
          <reference field="11" count="1" selected="0">
            <x v="118"/>
          </reference>
          <reference field="14" count="1" selected="0">
            <x v="473"/>
          </reference>
          <reference field="18" count="1">
            <x v="2"/>
          </reference>
        </references>
      </pivotArea>
    </format>
    <format dxfId="9520">
      <pivotArea dataOnly="0" labelOnly="1" outline="0" fieldPosition="0">
        <references count="3">
          <reference field="11" count="1" selected="0">
            <x v="118"/>
          </reference>
          <reference field="14" count="1" selected="0">
            <x v="473"/>
          </reference>
          <reference field="18" count="1" defaultSubtotal="1">
            <x v="2"/>
          </reference>
        </references>
      </pivotArea>
    </format>
    <format dxfId="9519">
      <pivotArea dataOnly="0" labelOnly="1" outline="0" fieldPosition="0">
        <references count="3">
          <reference field="11" count="1" selected="0">
            <x v="119"/>
          </reference>
          <reference field="14" count="1" selected="0">
            <x v="475"/>
          </reference>
          <reference field="18" count="2">
            <x v="22"/>
            <x v="24"/>
          </reference>
        </references>
      </pivotArea>
    </format>
    <format dxfId="9518">
      <pivotArea dataOnly="0" labelOnly="1" outline="0" fieldPosition="0">
        <references count="3">
          <reference field="11" count="1" selected="0">
            <x v="119"/>
          </reference>
          <reference field="14" count="1" selected="0">
            <x v="475"/>
          </reference>
          <reference field="18" count="2" defaultSubtotal="1">
            <x v="22"/>
            <x v="24"/>
          </reference>
        </references>
      </pivotArea>
    </format>
    <format dxfId="9517">
      <pivotArea dataOnly="0" labelOnly="1" outline="0" fieldPosition="0">
        <references count="3">
          <reference field="11" count="1" selected="0">
            <x v="120"/>
          </reference>
          <reference field="14" count="1" selected="0">
            <x v="474"/>
          </reference>
          <reference field="18" count="2">
            <x v="22"/>
            <x v="24"/>
          </reference>
        </references>
      </pivotArea>
    </format>
    <format dxfId="9516">
      <pivotArea dataOnly="0" labelOnly="1" outline="0" fieldPosition="0">
        <references count="3">
          <reference field="11" count="1" selected="0">
            <x v="120"/>
          </reference>
          <reference field="14" count="1" selected="0">
            <x v="474"/>
          </reference>
          <reference field="18" count="2" defaultSubtotal="1">
            <x v="22"/>
            <x v="24"/>
          </reference>
        </references>
      </pivotArea>
    </format>
    <format dxfId="9515">
      <pivotArea dataOnly="0" labelOnly="1" outline="0" fieldPosition="0">
        <references count="3">
          <reference field="11" count="1" selected="0">
            <x v="121"/>
          </reference>
          <reference field="14" count="1" selected="0">
            <x v="477"/>
          </reference>
          <reference field="18" count="1">
            <x v="2"/>
          </reference>
        </references>
      </pivotArea>
    </format>
    <format dxfId="9514">
      <pivotArea dataOnly="0" labelOnly="1" outline="0" fieldPosition="0">
        <references count="3">
          <reference field="11" count="1" selected="0">
            <x v="121"/>
          </reference>
          <reference field="14" count="1" selected="0">
            <x v="477"/>
          </reference>
          <reference field="18" count="1" defaultSubtotal="1">
            <x v="2"/>
          </reference>
        </references>
      </pivotArea>
    </format>
    <format dxfId="9513">
      <pivotArea dataOnly="0" labelOnly="1" outline="0" fieldPosition="0">
        <references count="3">
          <reference field="11" count="1" selected="0">
            <x v="122"/>
          </reference>
          <reference field="14" count="1" selected="0">
            <x v="476"/>
          </reference>
          <reference field="18" count="1">
            <x v="2"/>
          </reference>
        </references>
      </pivotArea>
    </format>
    <format dxfId="9512">
      <pivotArea dataOnly="0" labelOnly="1" outline="0" fieldPosition="0">
        <references count="3">
          <reference field="11" count="1" selected="0">
            <x v="122"/>
          </reference>
          <reference field="14" count="1" selected="0">
            <x v="476"/>
          </reference>
          <reference field="18" count="1" defaultSubtotal="1">
            <x v="2"/>
          </reference>
        </references>
      </pivotArea>
    </format>
    <format dxfId="9511">
      <pivotArea dataOnly="0" labelOnly="1" outline="0" fieldPosition="0">
        <references count="3">
          <reference field="11" count="1" selected="0">
            <x v="123"/>
          </reference>
          <reference field="14" count="1" selected="0">
            <x v="478"/>
          </reference>
          <reference field="18" count="2">
            <x v="22"/>
            <x v="24"/>
          </reference>
        </references>
      </pivotArea>
    </format>
    <format dxfId="9510">
      <pivotArea dataOnly="0" labelOnly="1" outline="0" fieldPosition="0">
        <references count="3">
          <reference field="11" count="1" selected="0">
            <x v="123"/>
          </reference>
          <reference field="14" count="1" selected="0">
            <x v="478"/>
          </reference>
          <reference field="18" count="2" defaultSubtotal="1">
            <x v="22"/>
            <x v="24"/>
          </reference>
        </references>
      </pivotArea>
    </format>
    <format dxfId="9509">
      <pivotArea dataOnly="0" labelOnly="1" outline="0" fieldPosition="0">
        <references count="3">
          <reference field="11" count="1" selected="0">
            <x v="124"/>
          </reference>
          <reference field="14" count="1" selected="0">
            <x v="480"/>
          </reference>
          <reference field="18" count="2">
            <x v="22"/>
            <x v="24"/>
          </reference>
        </references>
      </pivotArea>
    </format>
    <format dxfId="9508">
      <pivotArea dataOnly="0" labelOnly="1" outline="0" fieldPosition="0">
        <references count="3">
          <reference field="11" count="1" selected="0">
            <x v="124"/>
          </reference>
          <reference field="14" count="1" selected="0">
            <x v="480"/>
          </reference>
          <reference field="18" count="2" defaultSubtotal="1">
            <x v="22"/>
            <x v="24"/>
          </reference>
        </references>
      </pivotArea>
    </format>
    <format dxfId="9507">
      <pivotArea dataOnly="0" labelOnly="1" outline="0" fieldPosition="0">
        <references count="3">
          <reference field="11" count="1" selected="0">
            <x v="125"/>
          </reference>
          <reference field="14" count="1" selected="0">
            <x v="479"/>
          </reference>
          <reference field="18" count="2">
            <x v="22"/>
            <x v="24"/>
          </reference>
        </references>
      </pivotArea>
    </format>
    <format dxfId="9506">
      <pivotArea dataOnly="0" labelOnly="1" outline="0" fieldPosition="0">
        <references count="3">
          <reference field="11" count="1" selected="0">
            <x v="125"/>
          </reference>
          <reference field="14" count="1" selected="0">
            <x v="479"/>
          </reference>
          <reference field="18" count="2" defaultSubtotal="1">
            <x v="22"/>
            <x v="24"/>
          </reference>
        </references>
      </pivotArea>
    </format>
    <format dxfId="9505">
      <pivotArea dataOnly="0" labelOnly="1" outline="0" fieldPosition="0">
        <references count="3">
          <reference field="11" count="1" selected="0">
            <x v="126"/>
          </reference>
          <reference field="14" count="1" selected="0">
            <x v="481"/>
          </reference>
          <reference field="18" count="2">
            <x v="22"/>
            <x v="24"/>
          </reference>
        </references>
      </pivotArea>
    </format>
    <format dxfId="9504">
      <pivotArea dataOnly="0" labelOnly="1" outline="0" fieldPosition="0">
        <references count="3">
          <reference field="11" count="1" selected="0">
            <x v="126"/>
          </reference>
          <reference field="14" count="1" selected="0">
            <x v="481"/>
          </reference>
          <reference field="18" count="2" defaultSubtotal="1">
            <x v="22"/>
            <x v="24"/>
          </reference>
        </references>
      </pivotArea>
    </format>
    <format dxfId="9503">
      <pivotArea dataOnly="0" labelOnly="1" outline="0" fieldPosition="0">
        <references count="3">
          <reference field="11" count="1" selected="0">
            <x v="127"/>
          </reference>
          <reference field="14" count="1" selected="0">
            <x v="483"/>
          </reference>
          <reference field="18" count="1">
            <x v="2"/>
          </reference>
        </references>
      </pivotArea>
    </format>
    <format dxfId="9502">
      <pivotArea dataOnly="0" labelOnly="1" outline="0" fieldPosition="0">
        <references count="3">
          <reference field="11" count="1" selected="0">
            <x v="127"/>
          </reference>
          <reference field="14" count="1" selected="0">
            <x v="483"/>
          </reference>
          <reference field="18" count="1" defaultSubtotal="1">
            <x v="2"/>
          </reference>
        </references>
      </pivotArea>
    </format>
    <format dxfId="9501">
      <pivotArea dataOnly="0" labelOnly="1" outline="0" fieldPosition="0">
        <references count="3">
          <reference field="11" count="1" selected="0">
            <x v="128"/>
          </reference>
          <reference field="14" count="1" selected="0">
            <x v="453"/>
          </reference>
          <reference field="18" count="1">
            <x v="0"/>
          </reference>
        </references>
      </pivotArea>
    </format>
    <format dxfId="9500">
      <pivotArea dataOnly="0" labelOnly="1" outline="0" fieldPosition="0">
        <references count="3">
          <reference field="11" count="1" selected="0">
            <x v="128"/>
          </reference>
          <reference field="14" count="1" selected="0">
            <x v="453"/>
          </reference>
          <reference field="18" count="1" defaultSubtotal="1">
            <x v="0"/>
          </reference>
        </references>
      </pivotArea>
    </format>
    <format dxfId="9499">
      <pivotArea dataOnly="0" labelOnly="1" outline="0" fieldPosition="0">
        <references count="3">
          <reference field="11" count="1" selected="0">
            <x v="129"/>
          </reference>
          <reference field="14" count="1" selected="0">
            <x v="391"/>
          </reference>
          <reference field="18" count="1">
            <x v="2"/>
          </reference>
        </references>
      </pivotArea>
    </format>
    <format dxfId="9498">
      <pivotArea dataOnly="0" labelOnly="1" outline="0" fieldPosition="0">
        <references count="3">
          <reference field="11" count="1" selected="0">
            <x v="129"/>
          </reference>
          <reference field="14" count="1" selected="0">
            <x v="391"/>
          </reference>
          <reference field="18" count="1" defaultSubtotal="1">
            <x v="2"/>
          </reference>
        </references>
      </pivotArea>
    </format>
    <format dxfId="9497">
      <pivotArea dataOnly="0" labelOnly="1" outline="0" fieldPosition="0">
        <references count="3">
          <reference field="11" count="1" selected="0">
            <x v="130"/>
          </reference>
          <reference field="14" count="1" selected="0">
            <x v="242"/>
          </reference>
          <reference field="18" count="1">
            <x v="2"/>
          </reference>
        </references>
      </pivotArea>
    </format>
    <format dxfId="9496">
      <pivotArea dataOnly="0" labelOnly="1" outline="0" fieldPosition="0">
        <references count="3">
          <reference field="11" count="1" selected="0">
            <x v="130"/>
          </reference>
          <reference field="14" count="1" selected="0">
            <x v="242"/>
          </reference>
          <reference field="18" count="1" defaultSubtotal="1">
            <x v="2"/>
          </reference>
        </references>
      </pivotArea>
    </format>
    <format dxfId="9495">
      <pivotArea dataOnly="0" labelOnly="1" outline="0" fieldPosition="0">
        <references count="3">
          <reference field="11" count="1" selected="0">
            <x v="131"/>
          </reference>
          <reference field="14" count="1" selected="0">
            <x v="33"/>
          </reference>
          <reference field="18" count="1">
            <x v="15"/>
          </reference>
        </references>
      </pivotArea>
    </format>
    <format dxfId="9494">
      <pivotArea dataOnly="0" labelOnly="1" outline="0" fieldPosition="0">
        <references count="3">
          <reference field="11" count="1" selected="0">
            <x v="131"/>
          </reference>
          <reference field="14" count="1" selected="0">
            <x v="33"/>
          </reference>
          <reference field="18" count="1" defaultSubtotal="1">
            <x v="15"/>
          </reference>
        </references>
      </pivotArea>
    </format>
    <format dxfId="9493">
      <pivotArea dataOnly="0" labelOnly="1" outline="0" fieldPosition="0">
        <references count="3">
          <reference field="11" count="1" selected="0">
            <x v="132"/>
          </reference>
          <reference field="14" count="1" selected="0">
            <x v="482"/>
          </reference>
          <reference field="18" count="1">
            <x v="2"/>
          </reference>
        </references>
      </pivotArea>
    </format>
    <format dxfId="9492">
      <pivotArea dataOnly="0" labelOnly="1" outline="0" fieldPosition="0">
        <references count="3">
          <reference field="11" count="1" selected="0">
            <x v="132"/>
          </reference>
          <reference field="14" count="1" selected="0">
            <x v="482"/>
          </reference>
          <reference field="18" count="1" defaultSubtotal="1">
            <x v="2"/>
          </reference>
        </references>
      </pivotArea>
    </format>
    <format dxfId="9491">
      <pivotArea dataOnly="0" labelOnly="1" outline="0" fieldPosition="0">
        <references count="3">
          <reference field="11" count="1" selected="0">
            <x v="133"/>
          </reference>
          <reference field="14" count="1" selected="0">
            <x v="266"/>
          </reference>
          <reference field="18" count="1">
            <x v="27"/>
          </reference>
        </references>
      </pivotArea>
    </format>
    <format dxfId="9490">
      <pivotArea dataOnly="0" labelOnly="1" outline="0" fieldPosition="0">
        <references count="3">
          <reference field="11" count="1" selected="0">
            <x v="133"/>
          </reference>
          <reference field="14" count="1" selected="0">
            <x v="266"/>
          </reference>
          <reference field="18" count="1" defaultSubtotal="1">
            <x v="27"/>
          </reference>
        </references>
      </pivotArea>
    </format>
    <format dxfId="9489">
      <pivotArea dataOnly="0" labelOnly="1" outline="0" fieldPosition="0">
        <references count="3">
          <reference field="11" count="1" selected="0">
            <x v="134"/>
          </reference>
          <reference field="14" count="1" selected="0">
            <x v="76"/>
          </reference>
          <reference field="18" count="1">
            <x v="16"/>
          </reference>
        </references>
      </pivotArea>
    </format>
    <format dxfId="9488">
      <pivotArea dataOnly="0" labelOnly="1" outline="0" fieldPosition="0">
        <references count="3">
          <reference field="11" count="1" selected="0">
            <x v="134"/>
          </reference>
          <reference field="14" count="1" selected="0">
            <x v="76"/>
          </reference>
          <reference field="18" count="1" defaultSubtotal="1">
            <x v="16"/>
          </reference>
        </references>
      </pivotArea>
    </format>
    <format dxfId="9487">
      <pivotArea dataOnly="0" labelOnly="1" outline="0" fieldPosition="0">
        <references count="3">
          <reference field="11" count="1" selected="0">
            <x v="135"/>
          </reference>
          <reference field="14" count="1" selected="0">
            <x v="332"/>
          </reference>
          <reference field="18" count="1">
            <x v="4"/>
          </reference>
        </references>
      </pivotArea>
    </format>
    <format dxfId="9486">
      <pivotArea dataOnly="0" labelOnly="1" outline="0" fieldPosition="0">
        <references count="3">
          <reference field="11" count="1" selected="0">
            <x v="135"/>
          </reference>
          <reference field="14" count="1" selected="0">
            <x v="332"/>
          </reference>
          <reference field="18" count="1" defaultSubtotal="1">
            <x v="4"/>
          </reference>
        </references>
      </pivotArea>
    </format>
    <format dxfId="9485">
      <pivotArea dataOnly="0" labelOnly="1" outline="0" fieldPosition="0">
        <references count="3">
          <reference field="11" count="1" selected="0">
            <x v="136"/>
          </reference>
          <reference field="14" count="1" selected="0">
            <x v="333"/>
          </reference>
          <reference field="18" count="1">
            <x v="24"/>
          </reference>
        </references>
      </pivotArea>
    </format>
    <format dxfId="9484">
      <pivotArea dataOnly="0" labelOnly="1" outline="0" fieldPosition="0">
        <references count="3">
          <reference field="11" count="1" selected="0">
            <x v="136"/>
          </reference>
          <reference field="14" count="1" selected="0">
            <x v="333"/>
          </reference>
          <reference field="18" count="1" defaultSubtotal="1">
            <x v="24"/>
          </reference>
        </references>
      </pivotArea>
    </format>
    <format dxfId="9483">
      <pivotArea dataOnly="0" labelOnly="1" outline="0" fieldPosition="0">
        <references count="3">
          <reference field="11" count="1" selected="0">
            <x v="137"/>
          </reference>
          <reference field="14" count="1" selected="0">
            <x v="11"/>
          </reference>
          <reference field="18" count="1">
            <x v="1"/>
          </reference>
        </references>
      </pivotArea>
    </format>
    <format dxfId="9482">
      <pivotArea dataOnly="0" labelOnly="1" outline="0" fieldPosition="0">
        <references count="3">
          <reference field="11" count="1" selected="0">
            <x v="137"/>
          </reference>
          <reference field="14" count="1" selected="0">
            <x v="11"/>
          </reference>
          <reference field="18" count="1" defaultSubtotal="1">
            <x v="1"/>
          </reference>
        </references>
      </pivotArea>
    </format>
    <format dxfId="9481">
      <pivotArea dataOnly="0" labelOnly="1" outline="0" fieldPosition="0">
        <references count="3">
          <reference field="11" count="1" selected="0">
            <x v="138"/>
          </reference>
          <reference field="14" count="1" selected="0">
            <x v="16"/>
          </reference>
          <reference field="18" count="2">
            <x v="12"/>
            <x v="20"/>
          </reference>
        </references>
      </pivotArea>
    </format>
    <format dxfId="9480">
      <pivotArea dataOnly="0" labelOnly="1" outline="0" fieldPosition="0">
        <references count="3">
          <reference field="11" count="1" selected="0">
            <x v="138"/>
          </reference>
          <reference field="14" count="1" selected="0">
            <x v="16"/>
          </reference>
          <reference field="18" count="2" defaultSubtotal="1">
            <x v="12"/>
            <x v="20"/>
          </reference>
        </references>
      </pivotArea>
    </format>
    <format dxfId="9479">
      <pivotArea dataOnly="0" labelOnly="1" outline="0" fieldPosition="0">
        <references count="3">
          <reference field="11" count="1" selected="0">
            <x v="139"/>
          </reference>
          <reference field="14" count="1" selected="0">
            <x v="361"/>
          </reference>
          <reference field="18" count="2">
            <x v="3"/>
            <x v="6"/>
          </reference>
        </references>
      </pivotArea>
    </format>
    <format dxfId="9478">
      <pivotArea dataOnly="0" labelOnly="1" outline="0" fieldPosition="0">
        <references count="3">
          <reference field="11" count="1" selected="0">
            <x v="139"/>
          </reference>
          <reference field="14" count="1" selected="0">
            <x v="361"/>
          </reference>
          <reference field="18" count="2" defaultSubtotal="1">
            <x v="3"/>
            <x v="6"/>
          </reference>
        </references>
      </pivotArea>
    </format>
    <format dxfId="9477">
      <pivotArea dataOnly="0" labelOnly="1" outline="0" fieldPosition="0">
        <references count="3">
          <reference field="11" count="1" selected="0">
            <x v="140"/>
          </reference>
          <reference field="14" count="1" selected="0">
            <x v="255"/>
          </reference>
          <reference field="18" count="1">
            <x v="16"/>
          </reference>
        </references>
      </pivotArea>
    </format>
    <format dxfId="9476">
      <pivotArea dataOnly="0" labelOnly="1" outline="0" fieldPosition="0">
        <references count="3">
          <reference field="11" count="1" selected="0">
            <x v="140"/>
          </reference>
          <reference field="14" count="1" selected="0">
            <x v="255"/>
          </reference>
          <reference field="18" count="1" defaultSubtotal="1">
            <x v="16"/>
          </reference>
        </references>
      </pivotArea>
    </format>
    <format dxfId="9475">
      <pivotArea dataOnly="0" labelOnly="1" outline="0" fieldPosition="0">
        <references count="3">
          <reference field="11" count="1" selected="0">
            <x v="141"/>
          </reference>
          <reference field="14" count="1" selected="0">
            <x v="252"/>
          </reference>
          <reference field="18" count="1">
            <x v="0"/>
          </reference>
        </references>
      </pivotArea>
    </format>
    <format dxfId="9474">
      <pivotArea dataOnly="0" labelOnly="1" outline="0" fieldPosition="0">
        <references count="3">
          <reference field="11" count="1" selected="0">
            <x v="141"/>
          </reference>
          <reference field="14" count="1" selected="0">
            <x v="252"/>
          </reference>
          <reference field="18" count="1" defaultSubtotal="1">
            <x v="0"/>
          </reference>
        </references>
      </pivotArea>
    </format>
    <format dxfId="9473">
      <pivotArea dataOnly="0" labelOnly="1" outline="0" fieldPosition="0">
        <references count="3">
          <reference field="11" count="1" selected="0">
            <x v="142"/>
          </reference>
          <reference field="14" count="1" selected="0">
            <x v="213"/>
          </reference>
          <reference field="18" count="1">
            <x v="14"/>
          </reference>
        </references>
      </pivotArea>
    </format>
    <format dxfId="9472">
      <pivotArea dataOnly="0" labelOnly="1" outline="0" fieldPosition="0">
        <references count="3">
          <reference field="11" count="1" selected="0">
            <x v="142"/>
          </reference>
          <reference field="14" count="1" selected="0">
            <x v="213"/>
          </reference>
          <reference field="18" count="1" defaultSubtotal="1">
            <x v="14"/>
          </reference>
        </references>
      </pivotArea>
    </format>
    <format dxfId="9471">
      <pivotArea dataOnly="0" labelOnly="1" outline="0" fieldPosition="0">
        <references count="3">
          <reference field="11" count="1" selected="0">
            <x v="143"/>
          </reference>
          <reference field="14" count="1" selected="0">
            <x v="326"/>
          </reference>
          <reference field="18" count="1">
            <x v="6"/>
          </reference>
        </references>
      </pivotArea>
    </format>
    <format dxfId="9470">
      <pivotArea dataOnly="0" labelOnly="1" outline="0" fieldPosition="0">
        <references count="3">
          <reference field="11" count="1" selected="0">
            <x v="143"/>
          </reference>
          <reference field="14" count="1" selected="0">
            <x v="326"/>
          </reference>
          <reference field="18" count="1" defaultSubtotal="1">
            <x v="6"/>
          </reference>
        </references>
      </pivotArea>
    </format>
    <format dxfId="9469">
      <pivotArea dataOnly="0" labelOnly="1" outline="0" fieldPosition="0">
        <references count="3">
          <reference field="11" count="1" selected="0">
            <x v="144"/>
          </reference>
          <reference field="14" count="1" selected="0">
            <x v="327"/>
          </reference>
          <reference field="18" count="1">
            <x v="6"/>
          </reference>
        </references>
      </pivotArea>
    </format>
    <format dxfId="9468">
      <pivotArea dataOnly="0" labelOnly="1" outline="0" fieldPosition="0">
        <references count="3">
          <reference field="11" count="1" selected="0">
            <x v="144"/>
          </reference>
          <reference field="14" count="1" selected="0">
            <x v="327"/>
          </reference>
          <reference field="18" count="1" defaultSubtotal="1">
            <x v="6"/>
          </reference>
        </references>
      </pivotArea>
    </format>
    <format dxfId="9467">
      <pivotArea dataOnly="0" labelOnly="1" outline="0" fieldPosition="0">
        <references count="3">
          <reference field="11" count="1" selected="0">
            <x v="145"/>
          </reference>
          <reference field="14" count="1" selected="0">
            <x v="329"/>
          </reference>
          <reference field="18" count="1">
            <x v="6"/>
          </reference>
        </references>
      </pivotArea>
    </format>
    <format dxfId="9466">
      <pivotArea dataOnly="0" labelOnly="1" outline="0" fieldPosition="0">
        <references count="3">
          <reference field="11" count="1" selected="0">
            <x v="145"/>
          </reference>
          <reference field="14" count="1" selected="0">
            <x v="329"/>
          </reference>
          <reference field="18" count="1" defaultSubtotal="1">
            <x v="6"/>
          </reference>
        </references>
      </pivotArea>
    </format>
    <format dxfId="9465">
      <pivotArea dataOnly="0" labelOnly="1" outline="0" fieldPosition="0">
        <references count="3">
          <reference field="11" count="1" selected="0">
            <x v="146"/>
          </reference>
          <reference field="14" count="1" selected="0">
            <x v="330"/>
          </reference>
          <reference field="18" count="1">
            <x v="6"/>
          </reference>
        </references>
      </pivotArea>
    </format>
    <format dxfId="9464">
      <pivotArea dataOnly="0" labelOnly="1" outline="0" fieldPosition="0">
        <references count="3">
          <reference field="11" count="1" selected="0">
            <x v="146"/>
          </reference>
          <reference field="14" count="1" selected="0">
            <x v="330"/>
          </reference>
          <reference field="18" count="1" defaultSubtotal="1">
            <x v="6"/>
          </reference>
        </references>
      </pivotArea>
    </format>
    <format dxfId="9463">
      <pivotArea dataOnly="0" labelOnly="1" outline="0" fieldPosition="0">
        <references count="3">
          <reference field="11" count="1" selected="0">
            <x v="147"/>
          </reference>
          <reference field="14" count="1" selected="0">
            <x v="328"/>
          </reference>
          <reference field="18" count="1">
            <x v="6"/>
          </reference>
        </references>
      </pivotArea>
    </format>
    <format dxfId="9462">
      <pivotArea dataOnly="0" labelOnly="1" outline="0" fieldPosition="0">
        <references count="3">
          <reference field="11" count="1" selected="0">
            <x v="147"/>
          </reference>
          <reference field="14" count="1" selected="0">
            <x v="328"/>
          </reference>
          <reference field="18" count="1" defaultSubtotal="1">
            <x v="6"/>
          </reference>
        </references>
      </pivotArea>
    </format>
    <format dxfId="9461">
      <pivotArea dataOnly="0" labelOnly="1" outline="0" fieldPosition="0">
        <references count="3">
          <reference field="11" count="1" selected="0">
            <x v="148"/>
          </reference>
          <reference field="14" count="1" selected="0">
            <x v="215"/>
          </reference>
          <reference field="18" count="1">
            <x v="14"/>
          </reference>
        </references>
      </pivotArea>
    </format>
    <format dxfId="9460">
      <pivotArea dataOnly="0" labelOnly="1" outline="0" fieldPosition="0">
        <references count="3">
          <reference field="11" count="1" selected="0">
            <x v="148"/>
          </reference>
          <reference field="14" count="1" selected="0">
            <x v="215"/>
          </reference>
          <reference field="18" count="1" defaultSubtotal="1">
            <x v="14"/>
          </reference>
        </references>
      </pivotArea>
    </format>
    <format dxfId="9459">
      <pivotArea dataOnly="0" labelOnly="1" outline="0" fieldPosition="0">
        <references count="3">
          <reference field="11" count="1" selected="0">
            <x v="149"/>
          </reference>
          <reference field="14" count="1" selected="0">
            <x v="461"/>
          </reference>
          <reference field="18" count="2">
            <x v="4"/>
            <x v="10"/>
          </reference>
        </references>
      </pivotArea>
    </format>
    <format dxfId="9458">
      <pivotArea dataOnly="0" labelOnly="1" outline="0" fieldPosition="0">
        <references count="3">
          <reference field="11" count="1" selected="0">
            <x v="149"/>
          </reference>
          <reference field="14" count="1" selected="0">
            <x v="461"/>
          </reference>
          <reference field="18" count="2" defaultSubtotal="1">
            <x v="4"/>
            <x v="10"/>
          </reference>
        </references>
      </pivotArea>
    </format>
    <format dxfId="9457">
      <pivotArea dataOnly="0" labelOnly="1" outline="0" fieldPosition="0">
        <references count="3">
          <reference field="11" count="1" selected="0">
            <x v="150"/>
          </reference>
          <reference field="14" count="1" selected="0">
            <x v="267"/>
          </reference>
          <reference field="18" count="1">
            <x v="3"/>
          </reference>
        </references>
      </pivotArea>
    </format>
    <format dxfId="9456">
      <pivotArea dataOnly="0" labelOnly="1" outline="0" fieldPosition="0">
        <references count="3">
          <reference field="11" count="1" selected="0">
            <x v="150"/>
          </reference>
          <reference field="14" count="1" selected="0">
            <x v="267"/>
          </reference>
          <reference field="18" count="1" defaultSubtotal="1">
            <x v="3"/>
          </reference>
        </references>
      </pivotArea>
    </format>
    <format dxfId="9455">
      <pivotArea dataOnly="0" labelOnly="1" outline="0" fieldPosition="0">
        <references count="3">
          <reference field="11" count="1" selected="0">
            <x v="151"/>
          </reference>
          <reference field="14" count="1" selected="0">
            <x v="392"/>
          </reference>
          <reference field="18" count="1">
            <x v="2"/>
          </reference>
        </references>
      </pivotArea>
    </format>
    <format dxfId="9454">
      <pivotArea dataOnly="0" labelOnly="1" outline="0" fieldPosition="0">
        <references count="3">
          <reference field="11" count="1" selected="0">
            <x v="151"/>
          </reference>
          <reference field="14" count="1" selected="0">
            <x v="392"/>
          </reference>
          <reference field="18" count="1" defaultSubtotal="1">
            <x v="2"/>
          </reference>
        </references>
      </pivotArea>
    </format>
    <format dxfId="9453">
      <pivotArea dataOnly="0" labelOnly="1" outline="0" fieldPosition="0">
        <references count="3">
          <reference field="11" count="1" selected="0">
            <x v="152"/>
          </reference>
          <reference field="14" count="1" selected="0">
            <x v="447"/>
          </reference>
          <reference field="18" count="1">
            <x v="19"/>
          </reference>
        </references>
      </pivotArea>
    </format>
    <format dxfId="9452">
      <pivotArea dataOnly="0" labelOnly="1" outline="0" fieldPosition="0">
        <references count="3">
          <reference field="11" count="1" selected="0">
            <x v="152"/>
          </reference>
          <reference field="14" count="1" selected="0">
            <x v="447"/>
          </reference>
          <reference field="18" count="1" defaultSubtotal="1">
            <x v="19"/>
          </reference>
        </references>
      </pivotArea>
    </format>
    <format dxfId="9451">
      <pivotArea dataOnly="0" labelOnly="1" outline="0" fieldPosition="0">
        <references count="3">
          <reference field="11" count="1" selected="0">
            <x v="153"/>
          </reference>
          <reference field="14" count="1" selected="0">
            <x v="177"/>
          </reference>
          <reference field="18" count="1">
            <x v="6"/>
          </reference>
        </references>
      </pivotArea>
    </format>
    <format dxfId="9450">
      <pivotArea dataOnly="0" labelOnly="1" outline="0" fieldPosition="0">
        <references count="3">
          <reference field="11" count="1" selected="0">
            <x v="153"/>
          </reference>
          <reference field="14" count="1" selected="0">
            <x v="177"/>
          </reference>
          <reference field="18" count="1" defaultSubtotal="1">
            <x v="6"/>
          </reference>
        </references>
      </pivotArea>
    </format>
    <format dxfId="9449">
      <pivotArea dataOnly="0" labelOnly="1" outline="0" fieldPosition="0">
        <references count="3">
          <reference field="11" count="1" selected="0">
            <x v="154"/>
          </reference>
          <reference field="14" count="1" selected="0">
            <x v="182"/>
          </reference>
          <reference field="18" count="1">
            <x v="1"/>
          </reference>
        </references>
      </pivotArea>
    </format>
    <format dxfId="9448">
      <pivotArea dataOnly="0" labelOnly="1" outline="0" fieldPosition="0">
        <references count="3">
          <reference field="11" count="1" selected="0">
            <x v="154"/>
          </reference>
          <reference field="14" count="1" selected="0">
            <x v="182"/>
          </reference>
          <reference field="18" count="1" defaultSubtotal="1">
            <x v="1"/>
          </reference>
        </references>
      </pivotArea>
    </format>
    <format dxfId="9447">
      <pivotArea dataOnly="0" labelOnly="1" outline="0" fieldPosition="0">
        <references count="3">
          <reference field="11" count="1" selected="0">
            <x v="155"/>
          </reference>
          <reference field="14" count="1" selected="0">
            <x v="105"/>
          </reference>
          <reference field="18" count="1">
            <x v="27"/>
          </reference>
        </references>
      </pivotArea>
    </format>
    <format dxfId="9446">
      <pivotArea dataOnly="0" labelOnly="1" outline="0" fieldPosition="0">
        <references count="3">
          <reference field="11" count="1" selected="0">
            <x v="155"/>
          </reference>
          <reference field="14" count="1" selected="0">
            <x v="105"/>
          </reference>
          <reference field="18" count="1" defaultSubtotal="1">
            <x v="27"/>
          </reference>
        </references>
      </pivotArea>
    </format>
    <format dxfId="9445">
      <pivotArea dataOnly="0" labelOnly="1" outline="0" fieldPosition="0">
        <references count="3">
          <reference field="11" count="1" selected="0">
            <x v="156"/>
          </reference>
          <reference field="14" count="1" selected="0">
            <x v="238"/>
          </reference>
          <reference field="18" count="1">
            <x v="12"/>
          </reference>
        </references>
      </pivotArea>
    </format>
    <format dxfId="9444">
      <pivotArea dataOnly="0" labelOnly="1" outline="0" fieldPosition="0">
        <references count="3">
          <reference field="11" count="1" selected="0">
            <x v="156"/>
          </reference>
          <reference field="14" count="1" selected="0">
            <x v="238"/>
          </reference>
          <reference field="18" count="1" defaultSubtotal="1">
            <x v="12"/>
          </reference>
        </references>
      </pivotArea>
    </format>
    <format dxfId="9443">
      <pivotArea dataOnly="0" labelOnly="1" outline="0" fieldPosition="0">
        <references count="3">
          <reference field="11" count="1" selected="0">
            <x v="157"/>
          </reference>
          <reference field="14" count="1" selected="0">
            <x v="395"/>
          </reference>
          <reference field="18" count="1">
            <x v="6"/>
          </reference>
        </references>
      </pivotArea>
    </format>
    <format dxfId="9442">
      <pivotArea dataOnly="0" labelOnly="1" outline="0" fieldPosition="0">
        <references count="3">
          <reference field="11" count="1" selected="0">
            <x v="157"/>
          </reference>
          <reference field="14" count="1" selected="0">
            <x v="395"/>
          </reference>
          <reference field="18" count="1" defaultSubtotal="1">
            <x v="6"/>
          </reference>
        </references>
      </pivotArea>
    </format>
    <format dxfId="9441">
      <pivotArea dataOnly="0" labelOnly="1" outline="0" fieldPosition="0">
        <references count="3">
          <reference field="11" count="1" selected="0">
            <x v="158"/>
          </reference>
          <reference field="14" count="1" selected="0">
            <x v="224"/>
          </reference>
          <reference field="18" count="2">
            <x v="4"/>
            <x v="12"/>
          </reference>
        </references>
      </pivotArea>
    </format>
    <format dxfId="9440">
      <pivotArea dataOnly="0" labelOnly="1" outline="0" fieldPosition="0">
        <references count="3">
          <reference field="11" count="1" selected="0">
            <x v="158"/>
          </reference>
          <reference field="14" count="1" selected="0">
            <x v="224"/>
          </reference>
          <reference field="18" count="2" defaultSubtotal="1">
            <x v="4"/>
            <x v="12"/>
          </reference>
        </references>
      </pivotArea>
    </format>
    <format dxfId="9439">
      <pivotArea dataOnly="0" labelOnly="1" outline="0" fieldPosition="0">
        <references count="3">
          <reference field="11" count="1" selected="0">
            <x v="159"/>
          </reference>
          <reference field="14" count="1" selected="0">
            <x v="218"/>
          </reference>
          <reference field="18" count="1">
            <x v="0"/>
          </reference>
        </references>
      </pivotArea>
    </format>
    <format dxfId="9438">
      <pivotArea dataOnly="0" labelOnly="1" outline="0" fieldPosition="0">
        <references count="3">
          <reference field="11" count="1" selected="0">
            <x v="159"/>
          </reference>
          <reference field="14" count="1" selected="0">
            <x v="218"/>
          </reference>
          <reference field="18" count="1" defaultSubtotal="1">
            <x v="0"/>
          </reference>
        </references>
      </pivotArea>
    </format>
    <format dxfId="9437">
      <pivotArea dataOnly="0" labelOnly="1" outline="0" fieldPosition="0">
        <references count="3">
          <reference field="11" count="1" selected="0">
            <x v="160"/>
          </reference>
          <reference field="14" count="1" selected="0">
            <x v="398"/>
          </reference>
          <reference field="18" count="1">
            <x v="14"/>
          </reference>
        </references>
      </pivotArea>
    </format>
    <format dxfId="9436">
      <pivotArea dataOnly="0" labelOnly="1" outline="0" fieldPosition="0">
        <references count="3">
          <reference field="11" count="1" selected="0">
            <x v="160"/>
          </reference>
          <reference field="14" count="1" selected="0">
            <x v="398"/>
          </reference>
          <reference field="18" count="1" defaultSubtotal="1">
            <x v="14"/>
          </reference>
        </references>
      </pivotArea>
    </format>
    <format dxfId="9435">
      <pivotArea dataOnly="0" labelOnly="1" outline="0" fieldPosition="0">
        <references count="3">
          <reference field="11" count="1" selected="0">
            <x v="161"/>
          </reference>
          <reference field="14" count="1" selected="0">
            <x v="117"/>
          </reference>
          <reference field="18" count="2">
            <x v="6"/>
            <x v="12"/>
          </reference>
        </references>
      </pivotArea>
    </format>
    <format dxfId="9434">
      <pivotArea dataOnly="0" labelOnly="1" outline="0" fieldPosition="0">
        <references count="3">
          <reference field="11" count="1" selected="0">
            <x v="161"/>
          </reference>
          <reference field="14" count="1" selected="0">
            <x v="117"/>
          </reference>
          <reference field="18" count="2" defaultSubtotal="1">
            <x v="6"/>
            <x v="12"/>
          </reference>
        </references>
      </pivotArea>
    </format>
    <format dxfId="9433">
      <pivotArea dataOnly="0" labelOnly="1" outline="0" fieldPosition="0">
        <references count="3">
          <reference field="11" count="1" selected="0">
            <x v="162"/>
          </reference>
          <reference field="14" count="1" selected="0">
            <x v="161"/>
          </reference>
          <reference field="18" count="1">
            <x v="2"/>
          </reference>
        </references>
      </pivotArea>
    </format>
    <format dxfId="9432">
      <pivotArea dataOnly="0" labelOnly="1" outline="0" fieldPosition="0">
        <references count="3">
          <reference field="11" count="1" selected="0">
            <x v="162"/>
          </reference>
          <reference field="14" count="1" selected="0">
            <x v="161"/>
          </reference>
          <reference field="18" count="1" defaultSubtotal="1">
            <x v="2"/>
          </reference>
        </references>
      </pivotArea>
    </format>
    <format dxfId="9431">
      <pivotArea dataOnly="0" labelOnly="1" outline="0" fieldPosition="0">
        <references count="3">
          <reference field="11" count="1" selected="0">
            <x v="163"/>
          </reference>
          <reference field="14" count="1" selected="0">
            <x v="234"/>
          </reference>
          <reference field="18" count="2">
            <x v="2"/>
            <x v="12"/>
          </reference>
        </references>
      </pivotArea>
    </format>
    <format dxfId="9430">
      <pivotArea dataOnly="0" labelOnly="1" outline="0" fieldPosition="0">
        <references count="3">
          <reference field="11" count="1" selected="0">
            <x v="163"/>
          </reference>
          <reference field="14" count="1" selected="0">
            <x v="234"/>
          </reference>
          <reference field="18" count="2" defaultSubtotal="1">
            <x v="2"/>
            <x v="12"/>
          </reference>
        </references>
      </pivotArea>
    </format>
    <format dxfId="9429">
      <pivotArea dataOnly="0" labelOnly="1" outline="0" fieldPosition="0">
        <references count="3">
          <reference field="11" count="1" selected="0">
            <x v="164"/>
          </reference>
          <reference field="14" count="1" selected="0">
            <x v="258"/>
          </reference>
          <reference field="18" count="1">
            <x v="6"/>
          </reference>
        </references>
      </pivotArea>
    </format>
    <format dxfId="9428">
      <pivotArea dataOnly="0" labelOnly="1" outline="0" fieldPosition="0">
        <references count="3">
          <reference field="11" count="1" selected="0">
            <x v="164"/>
          </reference>
          <reference field="14" count="1" selected="0">
            <x v="258"/>
          </reference>
          <reference field="18" count="1" defaultSubtotal="1">
            <x v="6"/>
          </reference>
        </references>
      </pivotArea>
    </format>
    <format dxfId="9427">
      <pivotArea dataOnly="0" labelOnly="1" outline="0" fieldPosition="0">
        <references count="3">
          <reference field="11" count="1" selected="0">
            <x v="165"/>
          </reference>
          <reference field="14" count="1" selected="0">
            <x v="206"/>
          </reference>
          <reference field="18" count="1">
            <x v="3"/>
          </reference>
        </references>
      </pivotArea>
    </format>
    <format dxfId="9426">
      <pivotArea dataOnly="0" labelOnly="1" outline="0" fieldPosition="0">
        <references count="3">
          <reference field="11" count="1" selected="0">
            <x v="165"/>
          </reference>
          <reference field="14" count="1" selected="0">
            <x v="206"/>
          </reference>
          <reference field="18" count="1" defaultSubtotal="1">
            <x v="3"/>
          </reference>
        </references>
      </pivotArea>
    </format>
    <format dxfId="9425">
      <pivotArea dataOnly="0" labelOnly="1" outline="0" fieldPosition="0">
        <references count="3">
          <reference field="11" count="1" selected="0">
            <x v="166"/>
          </reference>
          <reference field="14" count="1" selected="0">
            <x v="319"/>
          </reference>
          <reference field="18" count="2">
            <x v="2"/>
            <x v="14"/>
          </reference>
        </references>
      </pivotArea>
    </format>
    <format dxfId="9424">
      <pivotArea dataOnly="0" labelOnly="1" outline="0" fieldPosition="0">
        <references count="3">
          <reference field="11" count="1" selected="0">
            <x v="166"/>
          </reference>
          <reference field="14" count="1" selected="0">
            <x v="319"/>
          </reference>
          <reference field="18" count="2" defaultSubtotal="1">
            <x v="2"/>
            <x v="14"/>
          </reference>
        </references>
      </pivotArea>
    </format>
    <format dxfId="9423">
      <pivotArea dataOnly="0" labelOnly="1" outline="0" fieldPosition="0">
        <references count="3">
          <reference field="11" count="1" selected="0">
            <x v="167"/>
          </reference>
          <reference field="14" count="1" selected="0">
            <x v="66"/>
          </reference>
          <reference field="18" count="1">
            <x v="15"/>
          </reference>
        </references>
      </pivotArea>
    </format>
    <format dxfId="9422">
      <pivotArea dataOnly="0" labelOnly="1" outline="0" fieldPosition="0">
        <references count="3">
          <reference field="11" count="1" selected="0">
            <x v="167"/>
          </reference>
          <reference field="14" count="1" selected="0">
            <x v="66"/>
          </reference>
          <reference field="18" count="1" defaultSubtotal="1">
            <x v="15"/>
          </reference>
        </references>
      </pivotArea>
    </format>
    <format dxfId="9421">
      <pivotArea dataOnly="0" labelOnly="1" outline="0" fieldPosition="0">
        <references count="3">
          <reference field="11" count="1" selected="0">
            <x v="168"/>
          </reference>
          <reference field="14" count="1" selected="0">
            <x v="148"/>
          </reference>
          <reference field="18" count="1">
            <x v="2"/>
          </reference>
        </references>
      </pivotArea>
    </format>
    <format dxfId="9420">
      <pivotArea dataOnly="0" labelOnly="1" outline="0" fieldPosition="0">
        <references count="3">
          <reference field="11" count="1" selected="0">
            <x v="168"/>
          </reference>
          <reference field="14" count="1" selected="0">
            <x v="148"/>
          </reference>
          <reference field="18" count="1" defaultSubtotal="1">
            <x v="2"/>
          </reference>
        </references>
      </pivotArea>
    </format>
    <format dxfId="9419">
      <pivotArea dataOnly="0" labelOnly="1" outline="0" fieldPosition="0">
        <references count="3">
          <reference field="11" count="1" selected="0">
            <x v="169"/>
          </reference>
          <reference field="14" count="1" selected="0">
            <x v="192"/>
          </reference>
          <reference field="18" count="1">
            <x v="14"/>
          </reference>
        </references>
      </pivotArea>
    </format>
    <format dxfId="9418">
      <pivotArea dataOnly="0" labelOnly="1" outline="0" fieldPosition="0">
        <references count="3">
          <reference field="11" count="1" selected="0">
            <x v="169"/>
          </reference>
          <reference field="14" count="1" selected="0">
            <x v="192"/>
          </reference>
          <reference field="18" count="1" defaultSubtotal="1">
            <x v="14"/>
          </reference>
        </references>
      </pivotArea>
    </format>
    <format dxfId="9417">
      <pivotArea dataOnly="0" labelOnly="1" outline="0" fieldPosition="0">
        <references count="3">
          <reference field="11" count="1" selected="0">
            <x v="170"/>
          </reference>
          <reference field="14" count="1" selected="0">
            <x v="317"/>
          </reference>
          <reference field="18" count="1">
            <x v="14"/>
          </reference>
        </references>
      </pivotArea>
    </format>
    <format dxfId="9416">
      <pivotArea dataOnly="0" labelOnly="1" outline="0" fieldPosition="0">
        <references count="3">
          <reference field="11" count="1" selected="0">
            <x v="170"/>
          </reference>
          <reference field="14" count="1" selected="0">
            <x v="317"/>
          </reference>
          <reference field="18" count="1" defaultSubtotal="1">
            <x v="14"/>
          </reference>
        </references>
      </pivotArea>
    </format>
    <format dxfId="9415">
      <pivotArea dataOnly="0" labelOnly="1" outline="0" fieldPosition="0">
        <references count="3">
          <reference field="11" count="1" selected="0">
            <x v="171"/>
          </reference>
          <reference field="14" count="1" selected="0">
            <x v="350"/>
          </reference>
          <reference field="18" count="1">
            <x v="6"/>
          </reference>
        </references>
      </pivotArea>
    </format>
    <format dxfId="9414">
      <pivotArea dataOnly="0" labelOnly="1" outline="0" fieldPosition="0">
        <references count="3">
          <reference field="11" count="1" selected="0">
            <x v="171"/>
          </reference>
          <reference field="14" count="1" selected="0">
            <x v="350"/>
          </reference>
          <reference field="18" count="1" defaultSubtotal="1">
            <x v="6"/>
          </reference>
        </references>
      </pivotArea>
    </format>
    <format dxfId="9413">
      <pivotArea dataOnly="0" labelOnly="1" outline="0" fieldPosition="0">
        <references count="3">
          <reference field="11" count="1" selected="0">
            <x v="172"/>
          </reference>
          <reference field="14" count="1" selected="0">
            <x v="231"/>
          </reference>
          <reference field="18" count="1">
            <x v="12"/>
          </reference>
        </references>
      </pivotArea>
    </format>
    <format dxfId="9412">
      <pivotArea dataOnly="0" labelOnly="1" outline="0" fieldPosition="0">
        <references count="3">
          <reference field="11" count="1" selected="0">
            <x v="172"/>
          </reference>
          <reference field="14" count="1" selected="0">
            <x v="231"/>
          </reference>
          <reference field="18" count="1" defaultSubtotal="1">
            <x v="12"/>
          </reference>
        </references>
      </pivotArea>
    </format>
    <format dxfId="9411">
      <pivotArea dataOnly="0" labelOnly="1" outline="0" fieldPosition="0">
        <references count="3">
          <reference field="11" count="1" selected="0">
            <x v="173"/>
          </reference>
          <reference field="14" count="1" selected="0">
            <x v="174"/>
          </reference>
          <reference field="18" count="1">
            <x v="0"/>
          </reference>
        </references>
      </pivotArea>
    </format>
    <format dxfId="9410">
      <pivotArea dataOnly="0" labelOnly="1" outline="0" fieldPosition="0">
        <references count="3">
          <reference field="11" count="1" selected="0">
            <x v="173"/>
          </reference>
          <reference field="14" count="1" selected="0">
            <x v="174"/>
          </reference>
          <reference field="18" count="1" defaultSubtotal="1">
            <x v="0"/>
          </reference>
        </references>
      </pivotArea>
    </format>
    <format dxfId="9409">
      <pivotArea dataOnly="0" labelOnly="1" outline="0" fieldPosition="0">
        <references count="3">
          <reference field="11" count="1" selected="0">
            <x v="174"/>
          </reference>
          <reference field="14" count="1" selected="0">
            <x v="173"/>
          </reference>
          <reference field="18" count="1">
            <x v="0"/>
          </reference>
        </references>
      </pivotArea>
    </format>
    <format dxfId="9408">
      <pivotArea dataOnly="0" labelOnly="1" outline="0" fieldPosition="0">
        <references count="3">
          <reference field="11" count="1" selected="0">
            <x v="174"/>
          </reference>
          <reference field="14" count="1" selected="0">
            <x v="173"/>
          </reference>
          <reference field="18" count="1" defaultSubtotal="1">
            <x v="0"/>
          </reference>
        </references>
      </pivotArea>
    </format>
    <format dxfId="9407">
      <pivotArea dataOnly="0" labelOnly="1" outline="0" fieldPosition="0">
        <references count="3">
          <reference field="11" count="1" selected="0">
            <x v="175"/>
          </reference>
          <reference field="14" count="1" selected="0">
            <x v="471"/>
          </reference>
          <reference field="18" count="1">
            <x v="2"/>
          </reference>
        </references>
      </pivotArea>
    </format>
    <format dxfId="9406">
      <pivotArea dataOnly="0" labelOnly="1" outline="0" fieldPosition="0">
        <references count="3">
          <reference field="11" count="1" selected="0">
            <x v="175"/>
          </reference>
          <reference field="14" count="1" selected="0">
            <x v="471"/>
          </reference>
          <reference field="18" count="1" defaultSubtotal="1">
            <x v="2"/>
          </reference>
        </references>
      </pivotArea>
    </format>
    <format dxfId="9405">
      <pivotArea dataOnly="0" labelOnly="1" outline="0" fieldPosition="0">
        <references count="3">
          <reference field="11" count="1" selected="0">
            <x v="176"/>
          </reference>
          <reference field="14" count="1" selected="0">
            <x v="362"/>
          </reference>
          <reference field="18" count="2">
            <x v="3"/>
            <x v="6"/>
          </reference>
        </references>
      </pivotArea>
    </format>
    <format dxfId="9404">
      <pivotArea dataOnly="0" labelOnly="1" outline="0" fieldPosition="0">
        <references count="3">
          <reference field="11" count="1" selected="0">
            <x v="176"/>
          </reference>
          <reference field="14" count="1" selected="0">
            <x v="362"/>
          </reference>
          <reference field="18" count="2" defaultSubtotal="1">
            <x v="3"/>
            <x v="6"/>
          </reference>
        </references>
      </pivotArea>
    </format>
    <format dxfId="9403">
      <pivotArea dataOnly="0" labelOnly="1" outline="0" fieldPosition="0">
        <references count="3">
          <reference field="11" count="1" selected="0">
            <x v="177"/>
          </reference>
          <reference field="14" count="1" selected="0">
            <x v="279"/>
          </reference>
          <reference field="18" count="1">
            <x v="0"/>
          </reference>
        </references>
      </pivotArea>
    </format>
    <format dxfId="9402">
      <pivotArea dataOnly="0" labelOnly="1" outline="0" fieldPosition="0">
        <references count="3">
          <reference field="11" count="1" selected="0">
            <x v="177"/>
          </reference>
          <reference field="14" count="1" selected="0">
            <x v="279"/>
          </reference>
          <reference field="18" count="1" defaultSubtotal="1">
            <x v="0"/>
          </reference>
        </references>
      </pivotArea>
    </format>
    <format dxfId="9401">
      <pivotArea dataOnly="0" labelOnly="1" outline="0" fieldPosition="0">
        <references count="3">
          <reference field="11" count="1" selected="0">
            <x v="178"/>
          </reference>
          <reference field="14" count="1" selected="0">
            <x v="282"/>
          </reference>
          <reference field="18" count="1">
            <x v="0"/>
          </reference>
        </references>
      </pivotArea>
    </format>
    <format dxfId="9400">
      <pivotArea dataOnly="0" labelOnly="1" outline="0" fieldPosition="0">
        <references count="3">
          <reference field="11" count="1" selected="0">
            <x v="178"/>
          </reference>
          <reference field="14" count="1" selected="0">
            <x v="282"/>
          </reference>
          <reference field="18" count="1" defaultSubtotal="1">
            <x v="0"/>
          </reference>
        </references>
      </pivotArea>
    </format>
    <format dxfId="9399">
      <pivotArea dataOnly="0" labelOnly="1" outline="0" fieldPosition="0">
        <references count="3">
          <reference field="11" count="1" selected="0">
            <x v="179"/>
          </reference>
          <reference field="14" count="1" selected="0">
            <x v="276"/>
          </reference>
          <reference field="18" count="1">
            <x v="0"/>
          </reference>
        </references>
      </pivotArea>
    </format>
    <format dxfId="9398">
      <pivotArea dataOnly="0" labelOnly="1" outline="0" fieldPosition="0">
        <references count="3">
          <reference field="11" count="1" selected="0">
            <x v="179"/>
          </reference>
          <reference field="14" count="1" selected="0">
            <x v="276"/>
          </reference>
          <reference field="18" count="1" defaultSubtotal="1">
            <x v="0"/>
          </reference>
        </references>
      </pivotArea>
    </format>
    <format dxfId="9397">
      <pivotArea dataOnly="0" labelOnly="1" outline="0" fieldPosition="0">
        <references count="3">
          <reference field="11" count="1" selected="0">
            <x v="180"/>
          </reference>
          <reference field="14" count="1" selected="0">
            <x v="439"/>
          </reference>
          <reference field="18" count="1">
            <x v="19"/>
          </reference>
        </references>
      </pivotArea>
    </format>
    <format dxfId="9396">
      <pivotArea dataOnly="0" labelOnly="1" outline="0" fieldPosition="0">
        <references count="3">
          <reference field="11" count="1" selected="0">
            <x v="180"/>
          </reference>
          <reference field="14" count="1" selected="0">
            <x v="439"/>
          </reference>
          <reference field="18" count="1" defaultSubtotal="1">
            <x v="19"/>
          </reference>
        </references>
      </pivotArea>
    </format>
    <format dxfId="9395">
      <pivotArea dataOnly="0" labelOnly="1" outline="0" fieldPosition="0">
        <references count="3">
          <reference field="11" count="1" selected="0">
            <x v="181"/>
          </reference>
          <reference field="14" count="1" selected="0">
            <x v="281"/>
          </reference>
          <reference field="18" count="1">
            <x v="0"/>
          </reference>
        </references>
      </pivotArea>
    </format>
    <format dxfId="9394">
      <pivotArea dataOnly="0" labelOnly="1" outline="0" fieldPosition="0">
        <references count="3">
          <reference field="11" count="1" selected="0">
            <x v="181"/>
          </reference>
          <reference field="14" count="1" selected="0">
            <x v="281"/>
          </reference>
          <reference field="18" count="1" defaultSubtotal="1">
            <x v="0"/>
          </reference>
        </references>
      </pivotArea>
    </format>
    <format dxfId="9393">
      <pivotArea dataOnly="0" labelOnly="1" outline="0" fieldPosition="0">
        <references count="3">
          <reference field="11" count="1" selected="0">
            <x v="182"/>
          </reference>
          <reference field="14" count="1" selected="0">
            <x v="118"/>
          </reference>
          <reference field="18" count="1">
            <x v="6"/>
          </reference>
        </references>
      </pivotArea>
    </format>
    <format dxfId="9392">
      <pivotArea dataOnly="0" labelOnly="1" outline="0" fieldPosition="0">
        <references count="3">
          <reference field="11" count="1" selected="0">
            <x v="182"/>
          </reference>
          <reference field="14" count="1" selected="0">
            <x v="118"/>
          </reference>
          <reference field="18" count="1" defaultSubtotal="1">
            <x v="6"/>
          </reference>
        </references>
      </pivotArea>
    </format>
    <format dxfId="9391">
      <pivotArea dataOnly="0" labelOnly="1" outline="0" fieldPosition="0">
        <references count="3">
          <reference field="11" count="1" selected="0">
            <x v="183"/>
          </reference>
          <reference field="14" count="1" selected="0">
            <x v="386"/>
          </reference>
          <reference field="18" count="1">
            <x v="2"/>
          </reference>
        </references>
      </pivotArea>
    </format>
    <format dxfId="9390">
      <pivotArea dataOnly="0" labelOnly="1" outline="0" fieldPosition="0">
        <references count="3">
          <reference field="11" count="1" selected="0">
            <x v="183"/>
          </reference>
          <reference field="14" count="1" selected="0">
            <x v="386"/>
          </reference>
          <reference field="18" count="1" defaultSubtotal="1">
            <x v="2"/>
          </reference>
        </references>
      </pivotArea>
    </format>
    <format dxfId="9389">
      <pivotArea dataOnly="0" labelOnly="1" outline="0" fieldPosition="0">
        <references count="3">
          <reference field="11" count="1" selected="0">
            <x v="184"/>
          </reference>
          <reference field="14" count="1" selected="0">
            <x v="388"/>
          </reference>
          <reference field="18" count="1">
            <x v="2"/>
          </reference>
        </references>
      </pivotArea>
    </format>
    <format dxfId="9388">
      <pivotArea dataOnly="0" labelOnly="1" outline="0" fieldPosition="0">
        <references count="3">
          <reference field="11" count="1" selected="0">
            <x v="184"/>
          </reference>
          <reference field="14" count="1" selected="0">
            <x v="388"/>
          </reference>
          <reference field="18" count="1" defaultSubtotal="1">
            <x v="2"/>
          </reference>
        </references>
      </pivotArea>
    </format>
    <format dxfId="9387">
      <pivotArea dataOnly="0" labelOnly="1" outline="0" fieldPosition="0">
        <references count="3">
          <reference field="11" count="1" selected="0">
            <x v="185"/>
          </reference>
          <reference field="14" count="1" selected="0">
            <x v="387"/>
          </reference>
          <reference field="18" count="2">
            <x v="0"/>
            <x v="2"/>
          </reference>
        </references>
      </pivotArea>
    </format>
    <format dxfId="9386">
      <pivotArea dataOnly="0" labelOnly="1" outline="0" fieldPosition="0">
        <references count="3">
          <reference field="11" count="1" selected="0">
            <x v="185"/>
          </reference>
          <reference field="14" count="1" selected="0">
            <x v="387"/>
          </reference>
          <reference field="18" count="2" defaultSubtotal="1">
            <x v="0"/>
            <x v="2"/>
          </reference>
        </references>
      </pivotArea>
    </format>
    <format dxfId="9385">
      <pivotArea dataOnly="0" labelOnly="1" outline="0" fieldPosition="0">
        <references count="3">
          <reference field="11" count="1" selected="0">
            <x v="186"/>
          </reference>
          <reference field="14" count="1" selected="0">
            <x v="343"/>
          </reference>
          <reference field="18" count="1">
            <x v="1"/>
          </reference>
        </references>
      </pivotArea>
    </format>
    <format dxfId="9384">
      <pivotArea dataOnly="0" labelOnly="1" outline="0" fieldPosition="0">
        <references count="3">
          <reference field="11" count="1" selected="0">
            <x v="186"/>
          </reference>
          <reference field="14" count="1" selected="0">
            <x v="343"/>
          </reference>
          <reference field="18" count="1" defaultSubtotal="1">
            <x v="1"/>
          </reference>
        </references>
      </pivotArea>
    </format>
    <format dxfId="9383">
      <pivotArea dataOnly="0" labelOnly="1" outline="0" fieldPosition="0">
        <references count="3">
          <reference field="11" count="1" selected="0">
            <x v="187"/>
          </reference>
          <reference field="14" count="1" selected="0">
            <x v="249"/>
          </reference>
          <reference field="18" count="1">
            <x v="19"/>
          </reference>
        </references>
      </pivotArea>
    </format>
    <format dxfId="9382">
      <pivotArea dataOnly="0" labelOnly="1" outline="0" fieldPosition="0">
        <references count="3">
          <reference field="11" count="1" selected="0">
            <x v="187"/>
          </reference>
          <reference field="14" count="1" selected="0">
            <x v="249"/>
          </reference>
          <reference field="18" count="1" defaultSubtotal="1">
            <x v="19"/>
          </reference>
        </references>
      </pivotArea>
    </format>
    <format dxfId="9381">
      <pivotArea dataOnly="0" labelOnly="1" outline="0" fieldPosition="0">
        <references count="3">
          <reference field="11" count="1" selected="0">
            <x v="188"/>
          </reference>
          <reference field="14" count="1" selected="0">
            <x v="385"/>
          </reference>
          <reference field="18" count="1">
            <x v="2"/>
          </reference>
        </references>
      </pivotArea>
    </format>
    <format dxfId="9380">
      <pivotArea dataOnly="0" labelOnly="1" outline="0" fieldPosition="0">
        <references count="3">
          <reference field="11" count="1" selected="0">
            <x v="188"/>
          </reference>
          <reference field="14" count="1" selected="0">
            <x v="385"/>
          </reference>
          <reference field="18" count="1" defaultSubtotal="1">
            <x v="2"/>
          </reference>
        </references>
      </pivotArea>
    </format>
    <format dxfId="9379">
      <pivotArea dataOnly="0" labelOnly="1" outline="0" fieldPosition="0">
        <references count="3">
          <reference field="11" count="1" selected="0">
            <x v="189"/>
          </reference>
          <reference field="14" count="1" selected="0">
            <x v="184"/>
          </reference>
          <reference field="18" count="2">
            <x v="0"/>
            <x v="1"/>
          </reference>
        </references>
      </pivotArea>
    </format>
    <format dxfId="9378">
      <pivotArea dataOnly="0" labelOnly="1" outline="0" fieldPosition="0">
        <references count="3">
          <reference field="11" count="1" selected="0">
            <x v="189"/>
          </reference>
          <reference field="14" count="1" selected="0">
            <x v="184"/>
          </reference>
          <reference field="18" count="2" defaultSubtotal="1">
            <x v="0"/>
            <x v="1"/>
          </reference>
        </references>
      </pivotArea>
    </format>
    <format dxfId="9377">
      <pivotArea dataOnly="0" labelOnly="1" outline="0" fieldPosition="0">
        <references count="3">
          <reference field="11" count="1" selected="0">
            <x v="190"/>
          </reference>
          <reference field="14" count="1" selected="0">
            <x v="394"/>
          </reference>
          <reference field="18" count="2">
            <x v="0"/>
            <x v="2"/>
          </reference>
        </references>
      </pivotArea>
    </format>
    <format dxfId="9376">
      <pivotArea dataOnly="0" labelOnly="1" outline="0" fieldPosition="0">
        <references count="3">
          <reference field="11" count="1" selected="0">
            <x v="190"/>
          </reference>
          <reference field="14" count="1" selected="0">
            <x v="394"/>
          </reference>
          <reference field="18" count="2" defaultSubtotal="1">
            <x v="0"/>
            <x v="2"/>
          </reference>
        </references>
      </pivotArea>
    </format>
    <format dxfId="9375">
      <pivotArea dataOnly="0" labelOnly="1" outline="0" fieldPosition="0">
        <references count="3">
          <reference field="11" count="1" selected="0">
            <x v="191"/>
          </reference>
          <reference field="14" count="1" selected="0">
            <x v="103"/>
          </reference>
          <reference field="18" count="1">
            <x v="2"/>
          </reference>
        </references>
      </pivotArea>
    </format>
    <format dxfId="9374">
      <pivotArea dataOnly="0" labelOnly="1" outline="0" fieldPosition="0">
        <references count="3">
          <reference field="11" count="1" selected="0">
            <x v="191"/>
          </reference>
          <reference field="14" count="1" selected="0">
            <x v="103"/>
          </reference>
          <reference field="18" count="1" defaultSubtotal="1">
            <x v="2"/>
          </reference>
        </references>
      </pivotArea>
    </format>
    <format dxfId="9373">
      <pivotArea dataOnly="0" labelOnly="1" outline="0" fieldPosition="0">
        <references count="3">
          <reference field="11" count="1" selected="0">
            <x v="192"/>
          </reference>
          <reference field="14" count="1" selected="0">
            <x v="102"/>
          </reference>
          <reference field="18" count="1">
            <x v="2"/>
          </reference>
        </references>
      </pivotArea>
    </format>
    <format dxfId="9372">
      <pivotArea dataOnly="0" labelOnly="1" outline="0" fieldPosition="0">
        <references count="3">
          <reference field="11" count="1" selected="0">
            <x v="192"/>
          </reference>
          <reference field="14" count="1" selected="0">
            <x v="102"/>
          </reference>
          <reference field="18" count="1" defaultSubtotal="1">
            <x v="2"/>
          </reference>
        </references>
      </pivotArea>
    </format>
    <format dxfId="9371">
      <pivotArea dataOnly="0" labelOnly="1" outline="0" fieldPosition="0">
        <references count="3">
          <reference field="11" count="1" selected="0">
            <x v="193"/>
          </reference>
          <reference field="14" count="1" selected="0">
            <x v="14"/>
          </reference>
          <reference field="18" count="1">
            <x v="0"/>
          </reference>
        </references>
      </pivotArea>
    </format>
    <format dxfId="9370">
      <pivotArea dataOnly="0" labelOnly="1" outline="0" fieldPosition="0">
        <references count="3">
          <reference field="11" count="1" selected="0">
            <x v="193"/>
          </reference>
          <reference field="14" count="1" selected="0">
            <x v="14"/>
          </reference>
          <reference field="18" count="1" defaultSubtotal="1">
            <x v="0"/>
          </reference>
        </references>
      </pivotArea>
    </format>
    <format dxfId="9369">
      <pivotArea dataOnly="0" labelOnly="1" outline="0" fieldPosition="0">
        <references count="3">
          <reference field="11" count="1" selected="0">
            <x v="194"/>
          </reference>
          <reference field="14" count="1" selected="0">
            <x v="188"/>
          </reference>
          <reference field="18" count="1">
            <x v="0"/>
          </reference>
        </references>
      </pivotArea>
    </format>
    <format dxfId="9368">
      <pivotArea dataOnly="0" labelOnly="1" outline="0" fieldPosition="0">
        <references count="3">
          <reference field="11" count="1" selected="0">
            <x v="194"/>
          </reference>
          <reference field="14" count="1" selected="0">
            <x v="188"/>
          </reference>
          <reference field="18" count="1" defaultSubtotal="1">
            <x v="0"/>
          </reference>
        </references>
      </pivotArea>
    </format>
    <format dxfId="9367">
      <pivotArea dataOnly="0" labelOnly="1" outline="0" fieldPosition="0">
        <references count="3">
          <reference field="11" count="1" selected="0">
            <x v="195"/>
          </reference>
          <reference field="14" count="1" selected="0">
            <x v="396"/>
          </reference>
          <reference field="18" count="1">
            <x v="6"/>
          </reference>
        </references>
      </pivotArea>
    </format>
    <format dxfId="9366">
      <pivotArea dataOnly="0" labelOnly="1" outline="0" fieldPosition="0">
        <references count="3">
          <reference field="11" count="1" selected="0">
            <x v="195"/>
          </reference>
          <reference field="14" count="1" selected="0">
            <x v="396"/>
          </reference>
          <reference field="18" count="1" defaultSubtotal="1">
            <x v="6"/>
          </reference>
        </references>
      </pivotArea>
    </format>
    <format dxfId="9365">
      <pivotArea dataOnly="0" labelOnly="1" outline="0" fieldPosition="0">
        <references count="3">
          <reference field="11" count="1" selected="0">
            <x v="196"/>
          </reference>
          <reference field="14" count="1" selected="0">
            <x v="25"/>
          </reference>
          <reference field="18" count="1">
            <x v="5"/>
          </reference>
        </references>
      </pivotArea>
    </format>
    <format dxfId="9364">
      <pivotArea dataOnly="0" labelOnly="1" outline="0" fieldPosition="0">
        <references count="3">
          <reference field="11" count="1" selected="0">
            <x v="196"/>
          </reference>
          <reference field="14" count="1" selected="0">
            <x v="25"/>
          </reference>
          <reference field="18" count="1" defaultSubtotal="1">
            <x v="5"/>
          </reference>
        </references>
      </pivotArea>
    </format>
    <format dxfId="9363">
      <pivotArea dataOnly="0" labelOnly="1" outline="0" fieldPosition="0">
        <references count="3">
          <reference field="11" count="1" selected="0">
            <x v="197"/>
          </reference>
          <reference field="14" count="1" selected="0">
            <x v="26"/>
          </reference>
          <reference field="18" count="1">
            <x v="5"/>
          </reference>
        </references>
      </pivotArea>
    </format>
    <format dxfId="9362">
      <pivotArea dataOnly="0" labelOnly="1" outline="0" fieldPosition="0">
        <references count="3">
          <reference field="11" count="1" selected="0">
            <x v="197"/>
          </reference>
          <reference field="14" count="1" selected="0">
            <x v="26"/>
          </reference>
          <reference field="18" count="1" defaultSubtotal="1">
            <x v="5"/>
          </reference>
        </references>
      </pivotArea>
    </format>
    <format dxfId="9361">
      <pivotArea dataOnly="0" labelOnly="1" outline="0" fieldPosition="0">
        <references count="3">
          <reference field="11" count="1" selected="0">
            <x v="198"/>
          </reference>
          <reference field="14" count="1" selected="0">
            <x v="43"/>
          </reference>
          <reference field="18" count="1">
            <x v="27"/>
          </reference>
        </references>
      </pivotArea>
    </format>
    <format dxfId="9360">
      <pivotArea dataOnly="0" labelOnly="1" outline="0" fieldPosition="0">
        <references count="3">
          <reference field="11" count="1" selected="0">
            <x v="198"/>
          </reference>
          <reference field="14" count="1" selected="0">
            <x v="43"/>
          </reference>
          <reference field="18" count="1" defaultSubtotal="1">
            <x v="27"/>
          </reference>
        </references>
      </pivotArea>
    </format>
    <format dxfId="9359">
      <pivotArea dataOnly="0" labelOnly="1" outline="0" fieldPosition="0">
        <references count="3">
          <reference field="11" count="1" selected="0">
            <x v="199"/>
          </reference>
          <reference field="14" count="1" selected="0">
            <x v="113"/>
          </reference>
          <reference field="18" count="1">
            <x v="19"/>
          </reference>
        </references>
      </pivotArea>
    </format>
    <format dxfId="9358">
      <pivotArea dataOnly="0" labelOnly="1" outline="0" fieldPosition="0">
        <references count="3">
          <reference field="11" count="1" selected="0">
            <x v="199"/>
          </reference>
          <reference field="14" count="1" selected="0">
            <x v="113"/>
          </reference>
          <reference field="18" count="1" defaultSubtotal="1">
            <x v="19"/>
          </reference>
        </references>
      </pivotArea>
    </format>
    <format dxfId="9357">
      <pivotArea dataOnly="0" labelOnly="1" outline="0" fieldPosition="0">
        <references count="3">
          <reference field="11" count="1" selected="0">
            <x v="200"/>
          </reference>
          <reference field="14" count="1" selected="0">
            <x v="280"/>
          </reference>
          <reference field="18" count="1">
            <x v="0"/>
          </reference>
        </references>
      </pivotArea>
    </format>
    <format dxfId="9356">
      <pivotArea dataOnly="0" labelOnly="1" outline="0" fieldPosition="0">
        <references count="3">
          <reference field="11" count="1" selected="0">
            <x v="200"/>
          </reference>
          <reference field="14" count="1" selected="0">
            <x v="280"/>
          </reference>
          <reference field="18" count="1" defaultSubtotal="1">
            <x v="0"/>
          </reference>
        </references>
      </pivotArea>
    </format>
    <format dxfId="9355">
      <pivotArea dataOnly="0" labelOnly="1" outline="0" fieldPosition="0">
        <references count="3">
          <reference field="11" count="1" selected="0">
            <x v="201"/>
          </reference>
          <reference field="14" count="1" selected="0">
            <x v="305"/>
          </reference>
          <reference field="18" count="1">
            <x v="2"/>
          </reference>
        </references>
      </pivotArea>
    </format>
    <format dxfId="9354">
      <pivotArea dataOnly="0" labelOnly="1" outline="0" fieldPosition="0">
        <references count="3">
          <reference field="11" count="1" selected="0">
            <x v="201"/>
          </reference>
          <reference field="14" count="1" selected="0">
            <x v="305"/>
          </reference>
          <reference field="18" count="1" defaultSubtotal="1">
            <x v="2"/>
          </reference>
        </references>
      </pivotArea>
    </format>
    <format dxfId="9353">
      <pivotArea dataOnly="0" labelOnly="1" outline="0" fieldPosition="0">
        <references count="3">
          <reference field="11" count="1" selected="0">
            <x v="202"/>
          </reference>
          <reference field="14" count="1" selected="0">
            <x v="409"/>
          </reference>
          <reference field="18" count="1">
            <x v="2"/>
          </reference>
        </references>
      </pivotArea>
    </format>
    <format dxfId="9352">
      <pivotArea dataOnly="0" labelOnly="1" outline="0" fieldPosition="0">
        <references count="3">
          <reference field="11" count="1" selected="0">
            <x v="202"/>
          </reference>
          <reference field="14" count="1" selected="0">
            <x v="409"/>
          </reference>
          <reference field="18" count="1" defaultSubtotal="1">
            <x v="2"/>
          </reference>
        </references>
      </pivotArea>
    </format>
    <format dxfId="9351">
      <pivotArea dataOnly="0" labelOnly="1" outline="0" fieldPosition="0">
        <references count="3">
          <reference field="11" count="1" selected="0">
            <x v="203"/>
          </reference>
          <reference field="14" count="1" selected="0">
            <x v="28"/>
          </reference>
          <reference field="18" count="1">
            <x v="6"/>
          </reference>
        </references>
      </pivotArea>
    </format>
    <format dxfId="9350">
      <pivotArea dataOnly="0" labelOnly="1" outline="0" fieldPosition="0">
        <references count="3">
          <reference field="11" count="1" selected="0">
            <x v="203"/>
          </reference>
          <reference field="14" count="1" selected="0">
            <x v="28"/>
          </reference>
          <reference field="18" count="1" defaultSubtotal="1">
            <x v="6"/>
          </reference>
        </references>
      </pivotArea>
    </format>
    <format dxfId="9349">
      <pivotArea dataOnly="0" labelOnly="1" outline="0" fieldPosition="0">
        <references count="3">
          <reference field="11" count="1" selected="0">
            <x v="204"/>
          </reference>
          <reference field="14" count="1" selected="0">
            <x v="269"/>
          </reference>
          <reference field="18" count="2">
            <x v="2"/>
            <x v="3"/>
          </reference>
        </references>
      </pivotArea>
    </format>
    <format dxfId="9348">
      <pivotArea dataOnly="0" labelOnly="1" outline="0" fieldPosition="0">
        <references count="3">
          <reference field="11" count="1" selected="0">
            <x v="204"/>
          </reference>
          <reference field="14" count="1" selected="0">
            <x v="269"/>
          </reference>
          <reference field="18" count="2" defaultSubtotal="1">
            <x v="2"/>
            <x v="3"/>
          </reference>
        </references>
      </pivotArea>
    </format>
    <format dxfId="9347">
      <pivotArea dataOnly="0" labelOnly="1" outline="0" fieldPosition="0">
        <references count="3">
          <reference field="11" count="1" selected="0">
            <x v="205"/>
          </reference>
          <reference field="14" count="1" selected="0">
            <x v="185"/>
          </reference>
          <reference field="18" count="1">
            <x v="1"/>
          </reference>
        </references>
      </pivotArea>
    </format>
    <format dxfId="9346">
      <pivotArea dataOnly="0" labelOnly="1" outline="0" fieldPosition="0">
        <references count="3">
          <reference field="11" count="1" selected="0">
            <x v="205"/>
          </reference>
          <reference field="14" count="1" selected="0">
            <x v="185"/>
          </reference>
          <reference field="18" count="1" defaultSubtotal="1">
            <x v="1"/>
          </reference>
        </references>
      </pivotArea>
    </format>
    <format dxfId="9345">
      <pivotArea dataOnly="0" labelOnly="1" outline="0" fieldPosition="0">
        <references count="3">
          <reference field="11" count="1" selected="0">
            <x v="206"/>
          </reference>
          <reference field="14" count="1" selected="0">
            <x v="54"/>
          </reference>
          <reference field="18" count="1">
            <x v="2"/>
          </reference>
        </references>
      </pivotArea>
    </format>
    <format dxfId="9344">
      <pivotArea dataOnly="0" labelOnly="1" outline="0" fieldPosition="0">
        <references count="3">
          <reference field="11" count="1" selected="0">
            <x v="206"/>
          </reference>
          <reference field="14" count="1" selected="0">
            <x v="54"/>
          </reference>
          <reference field="18" count="1" defaultSubtotal="1">
            <x v="2"/>
          </reference>
        </references>
      </pivotArea>
    </format>
    <format dxfId="9343">
      <pivotArea dataOnly="0" labelOnly="1" outline="0" fieldPosition="0">
        <references count="3">
          <reference field="11" count="1" selected="0">
            <x v="207"/>
          </reference>
          <reference field="14" count="1" selected="0">
            <x v="356"/>
          </reference>
          <reference field="18" count="2">
            <x v="8"/>
            <x v="14"/>
          </reference>
        </references>
      </pivotArea>
    </format>
    <format dxfId="9342">
      <pivotArea dataOnly="0" labelOnly="1" outline="0" fieldPosition="0">
        <references count="3">
          <reference field="11" count="1" selected="0">
            <x v="207"/>
          </reference>
          <reference field="14" count="1" selected="0">
            <x v="356"/>
          </reference>
          <reference field="18" count="2" defaultSubtotal="1">
            <x v="8"/>
            <x v="14"/>
          </reference>
        </references>
      </pivotArea>
    </format>
    <format dxfId="9341">
      <pivotArea dataOnly="0" labelOnly="1" outline="0" fieldPosition="0">
        <references count="3">
          <reference field="11" count="1" selected="0">
            <x v="208"/>
          </reference>
          <reference field="14" count="1" selected="0">
            <x v="186"/>
          </reference>
          <reference field="18" count="2">
            <x v="0"/>
            <x v="7"/>
          </reference>
        </references>
      </pivotArea>
    </format>
    <format dxfId="9340">
      <pivotArea dataOnly="0" labelOnly="1" outline="0" fieldPosition="0">
        <references count="3">
          <reference field="11" count="1" selected="0">
            <x v="208"/>
          </reference>
          <reference field="14" count="1" selected="0">
            <x v="186"/>
          </reference>
          <reference field="18" count="2" defaultSubtotal="1">
            <x v="0"/>
            <x v="7"/>
          </reference>
        </references>
      </pivotArea>
    </format>
    <format dxfId="9339">
      <pivotArea dataOnly="0" labelOnly="1" outline="0" fieldPosition="0">
        <references count="3">
          <reference field="11" count="1" selected="0">
            <x v="209"/>
          </reference>
          <reference field="14" count="1" selected="0">
            <x v="37"/>
          </reference>
          <reference field="18" count="1">
            <x v="6"/>
          </reference>
        </references>
      </pivotArea>
    </format>
    <format dxfId="9338">
      <pivotArea dataOnly="0" labelOnly="1" outline="0" fieldPosition="0">
        <references count="3">
          <reference field="11" count="1" selected="0">
            <x v="209"/>
          </reference>
          <reference field="14" count="1" selected="0">
            <x v="37"/>
          </reference>
          <reference field="18" count="1" defaultSubtotal="1">
            <x v="6"/>
          </reference>
        </references>
      </pivotArea>
    </format>
    <format dxfId="9337">
      <pivotArea dataOnly="0" labelOnly="1" outline="0" fieldPosition="0">
        <references count="3">
          <reference field="11" count="1" selected="0">
            <x v="210"/>
          </reference>
          <reference field="14" count="1" selected="0">
            <x v="273"/>
          </reference>
          <reference field="18" count="1">
            <x v="0"/>
          </reference>
        </references>
      </pivotArea>
    </format>
    <format dxfId="9336">
      <pivotArea dataOnly="0" labelOnly="1" outline="0" fieldPosition="0">
        <references count="3">
          <reference field="11" count="1" selected="0">
            <x v="210"/>
          </reference>
          <reference field="14" count="1" selected="0">
            <x v="273"/>
          </reference>
          <reference field="18" count="1" defaultSubtotal="1">
            <x v="0"/>
          </reference>
        </references>
      </pivotArea>
    </format>
    <format dxfId="9335">
      <pivotArea dataOnly="0" labelOnly="1" outline="0" fieldPosition="0">
        <references count="3">
          <reference field="11" count="1" selected="0">
            <x v="211"/>
          </reference>
          <reference field="14" count="1" selected="0">
            <x v="142"/>
          </reference>
          <reference field="18" count="1">
            <x v="2"/>
          </reference>
        </references>
      </pivotArea>
    </format>
    <format dxfId="9334">
      <pivotArea dataOnly="0" labelOnly="1" outline="0" fieldPosition="0">
        <references count="3">
          <reference field="11" count="1" selected="0">
            <x v="211"/>
          </reference>
          <reference field="14" count="1" selected="0">
            <x v="142"/>
          </reference>
          <reference field="18" count="1" defaultSubtotal="1">
            <x v="2"/>
          </reference>
        </references>
      </pivotArea>
    </format>
    <format dxfId="9333">
      <pivotArea dataOnly="0" labelOnly="1" outline="0" fieldPosition="0">
        <references count="3">
          <reference field="11" count="1" selected="0">
            <x v="212"/>
          </reference>
          <reference field="14" count="1" selected="0">
            <x v="294"/>
          </reference>
          <reference field="18" count="1">
            <x v="1"/>
          </reference>
        </references>
      </pivotArea>
    </format>
    <format dxfId="9332">
      <pivotArea dataOnly="0" labelOnly="1" outline="0" fieldPosition="0">
        <references count="3">
          <reference field="11" count="1" selected="0">
            <x v="212"/>
          </reference>
          <reference field="14" count="1" selected="0">
            <x v="294"/>
          </reference>
          <reference field="18" count="1" defaultSubtotal="1">
            <x v="1"/>
          </reference>
        </references>
      </pivotArea>
    </format>
    <format dxfId="9331">
      <pivotArea dataOnly="0" labelOnly="1" outline="0" fieldPosition="0">
        <references count="3">
          <reference field="11" count="1" selected="0">
            <x v="213"/>
          </reference>
          <reference field="14" count="1" selected="0">
            <x v="5"/>
          </reference>
          <reference field="18" count="1">
            <x v="3"/>
          </reference>
        </references>
      </pivotArea>
    </format>
    <format dxfId="9330">
      <pivotArea dataOnly="0" labelOnly="1" outline="0" fieldPosition="0">
        <references count="3">
          <reference field="11" count="1" selected="0">
            <x v="213"/>
          </reference>
          <reference field="14" count="1" selected="0">
            <x v="5"/>
          </reference>
          <reference field="18" count="1" defaultSubtotal="1">
            <x v="3"/>
          </reference>
        </references>
      </pivotArea>
    </format>
    <format dxfId="9329">
      <pivotArea dataOnly="0" labelOnly="1" outline="0" fieldPosition="0">
        <references count="3">
          <reference field="11" count="1" selected="0">
            <x v="214"/>
          </reference>
          <reference field="14" count="1" selected="0">
            <x v="98"/>
          </reference>
          <reference field="18" count="4">
            <x v="1"/>
            <x v="2"/>
            <x v="12"/>
            <x v="27"/>
          </reference>
        </references>
      </pivotArea>
    </format>
    <format dxfId="9328">
      <pivotArea dataOnly="0" labelOnly="1" outline="0" fieldPosition="0">
        <references count="3">
          <reference field="11" count="1" selected="0">
            <x v="214"/>
          </reference>
          <reference field="14" count="1" selected="0">
            <x v="98"/>
          </reference>
          <reference field="18" count="4" defaultSubtotal="1">
            <x v="1"/>
            <x v="2"/>
            <x v="12"/>
            <x v="27"/>
          </reference>
        </references>
      </pivotArea>
    </format>
    <format dxfId="9327">
      <pivotArea dataOnly="0" labelOnly="1" outline="0" fieldPosition="0">
        <references count="3">
          <reference field="11" count="1" selected="0">
            <x v="215"/>
          </reference>
          <reference field="14" count="1" selected="0">
            <x v="158"/>
          </reference>
          <reference field="18" count="1">
            <x v="2"/>
          </reference>
        </references>
      </pivotArea>
    </format>
    <format dxfId="9326">
      <pivotArea dataOnly="0" labelOnly="1" outline="0" fieldPosition="0">
        <references count="3">
          <reference field="11" count="1" selected="0">
            <x v="215"/>
          </reference>
          <reference field="14" count="1" selected="0">
            <x v="158"/>
          </reference>
          <reference field="18" count="1" defaultSubtotal="1">
            <x v="2"/>
          </reference>
        </references>
      </pivotArea>
    </format>
    <format dxfId="9325">
      <pivotArea dataOnly="0" labelOnly="1" outline="0" fieldPosition="0">
        <references count="3">
          <reference field="11" count="1" selected="0">
            <x v="216"/>
          </reference>
          <reference field="14" count="1" selected="0">
            <x v="338"/>
          </reference>
          <reference field="18" count="1">
            <x v="2"/>
          </reference>
        </references>
      </pivotArea>
    </format>
    <format dxfId="9324">
      <pivotArea dataOnly="0" labelOnly="1" outline="0" fieldPosition="0">
        <references count="3">
          <reference field="11" count="1" selected="0">
            <x v="216"/>
          </reference>
          <reference field="14" count="1" selected="0">
            <x v="338"/>
          </reference>
          <reference field="18" count="1" defaultSubtotal="1">
            <x v="2"/>
          </reference>
        </references>
      </pivotArea>
    </format>
    <format dxfId="9323">
      <pivotArea dataOnly="0" labelOnly="1" outline="0" fieldPosition="0">
        <references count="3">
          <reference field="11" count="1" selected="0">
            <x v="217"/>
          </reference>
          <reference field="14" count="1" selected="0">
            <x v="438"/>
          </reference>
          <reference field="18" count="1">
            <x v="19"/>
          </reference>
        </references>
      </pivotArea>
    </format>
    <format dxfId="9322">
      <pivotArea dataOnly="0" labelOnly="1" outline="0" fieldPosition="0">
        <references count="3">
          <reference field="11" count="1" selected="0">
            <x v="217"/>
          </reference>
          <reference field="14" count="1" selected="0">
            <x v="438"/>
          </reference>
          <reference field="18" count="1" defaultSubtotal="1">
            <x v="19"/>
          </reference>
        </references>
      </pivotArea>
    </format>
    <format dxfId="9321">
      <pivotArea dataOnly="0" labelOnly="1" outline="0" fieldPosition="0">
        <references count="3">
          <reference field="11" count="1" selected="0">
            <x v="218"/>
          </reference>
          <reference field="14" count="1" selected="0">
            <x v="429"/>
          </reference>
          <reference field="18" count="1">
            <x v="19"/>
          </reference>
        </references>
      </pivotArea>
    </format>
    <format dxfId="9320">
      <pivotArea dataOnly="0" labelOnly="1" outline="0" fieldPosition="0">
        <references count="3">
          <reference field="11" count="1" selected="0">
            <x v="218"/>
          </reference>
          <reference field="14" count="1" selected="0">
            <x v="429"/>
          </reference>
          <reference field="18" count="1" defaultSubtotal="1">
            <x v="19"/>
          </reference>
        </references>
      </pivotArea>
    </format>
    <format dxfId="9319">
      <pivotArea dataOnly="0" labelOnly="1" outline="0" fieldPosition="0">
        <references count="3">
          <reference field="11" count="1" selected="0">
            <x v="219"/>
          </reference>
          <reference field="14" count="1" selected="0">
            <x v="431"/>
          </reference>
          <reference field="18" count="1">
            <x v="19"/>
          </reference>
        </references>
      </pivotArea>
    </format>
    <format dxfId="9318">
      <pivotArea dataOnly="0" labelOnly="1" outline="0" fieldPosition="0">
        <references count="3">
          <reference field="11" count="1" selected="0">
            <x v="219"/>
          </reference>
          <reference field="14" count="1" selected="0">
            <x v="431"/>
          </reference>
          <reference field="18" count="1" defaultSubtotal="1">
            <x v="19"/>
          </reference>
        </references>
      </pivotArea>
    </format>
    <format dxfId="9317">
      <pivotArea dataOnly="0" labelOnly="1" outline="0" fieldPosition="0">
        <references count="3">
          <reference field="11" count="1" selected="0">
            <x v="220"/>
          </reference>
          <reference field="14" count="1" selected="0">
            <x v="430"/>
          </reference>
          <reference field="18" count="1">
            <x v="19"/>
          </reference>
        </references>
      </pivotArea>
    </format>
    <format dxfId="9316">
      <pivotArea dataOnly="0" labelOnly="1" outline="0" fieldPosition="0">
        <references count="3">
          <reference field="11" count="1" selected="0">
            <x v="220"/>
          </reference>
          <reference field="14" count="1" selected="0">
            <x v="430"/>
          </reference>
          <reference field="18" count="1" defaultSubtotal="1">
            <x v="19"/>
          </reference>
        </references>
      </pivotArea>
    </format>
    <format dxfId="9315">
      <pivotArea dataOnly="0" labelOnly="1" outline="0" fieldPosition="0">
        <references count="3">
          <reference field="11" count="1" selected="0">
            <x v="221"/>
          </reference>
          <reference field="14" count="1" selected="0">
            <x v="427"/>
          </reference>
          <reference field="18" count="1">
            <x v="19"/>
          </reference>
        </references>
      </pivotArea>
    </format>
    <format dxfId="9314">
      <pivotArea dataOnly="0" labelOnly="1" outline="0" fieldPosition="0">
        <references count="3">
          <reference field="11" count="1" selected="0">
            <x v="221"/>
          </reference>
          <reference field="14" count="1" selected="0">
            <x v="427"/>
          </reference>
          <reference field="18" count="1" defaultSubtotal="1">
            <x v="19"/>
          </reference>
        </references>
      </pivotArea>
    </format>
    <format dxfId="9313">
      <pivotArea dataOnly="0" labelOnly="1" outline="0" fieldPosition="0">
        <references count="3">
          <reference field="11" count="1" selected="0">
            <x v="222"/>
          </reference>
          <reference field="14" count="1" selected="0">
            <x v="426"/>
          </reference>
          <reference field="18" count="1">
            <x v="19"/>
          </reference>
        </references>
      </pivotArea>
    </format>
    <format dxfId="9312">
      <pivotArea dataOnly="0" labelOnly="1" outline="0" fieldPosition="0">
        <references count="3">
          <reference field="11" count="1" selected="0">
            <x v="222"/>
          </reference>
          <reference field="14" count="1" selected="0">
            <x v="426"/>
          </reference>
          <reference field="18" count="1" defaultSubtotal="1">
            <x v="19"/>
          </reference>
        </references>
      </pivotArea>
    </format>
    <format dxfId="9311">
      <pivotArea dataOnly="0" labelOnly="1" outline="0" fieldPosition="0">
        <references count="3">
          <reference field="11" count="1" selected="0">
            <x v="223"/>
          </reference>
          <reference field="14" count="1" selected="0">
            <x v="416"/>
          </reference>
          <reference field="18" count="1">
            <x v="19"/>
          </reference>
        </references>
      </pivotArea>
    </format>
    <format dxfId="9310">
      <pivotArea dataOnly="0" labelOnly="1" outline="0" fieldPosition="0">
        <references count="3">
          <reference field="11" count="1" selected="0">
            <x v="223"/>
          </reference>
          <reference field="14" count="1" selected="0">
            <x v="416"/>
          </reference>
          <reference field="18" count="1" defaultSubtotal="1">
            <x v="19"/>
          </reference>
        </references>
      </pivotArea>
    </format>
    <format dxfId="9309">
      <pivotArea dataOnly="0" labelOnly="1" outline="0" fieldPosition="0">
        <references count="3">
          <reference field="11" count="1" selected="0">
            <x v="224"/>
          </reference>
          <reference field="14" count="1" selected="0">
            <x v="300"/>
          </reference>
          <reference field="18" count="1">
            <x v="6"/>
          </reference>
        </references>
      </pivotArea>
    </format>
    <format dxfId="9308">
      <pivotArea dataOnly="0" labelOnly="1" outline="0" fieldPosition="0">
        <references count="3">
          <reference field="11" count="1" selected="0">
            <x v="224"/>
          </reference>
          <reference field="14" count="1" selected="0">
            <x v="300"/>
          </reference>
          <reference field="18" count="1" defaultSubtotal="1">
            <x v="6"/>
          </reference>
        </references>
      </pivotArea>
    </format>
    <format dxfId="9307">
      <pivotArea dataOnly="0" labelOnly="1" outline="0" fieldPosition="0">
        <references count="3">
          <reference field="11" count="1" selected="0">
            <x v="225"/>
          </reference>
          <reference field="14" count="1" selected="0">
            <x v="97"/>
          </reference>
          <reference field="18" count="1">
            <x v="19"/>
          </reference>
        </references>
      </pivotArea>
    </format>
    <format dxfId="9306">
      <pivotArea dataOnly="0" labelOnly="1" outline="0" fieldPosition="0">
        <references count="3">
          <reference field="11" count="1" selected="0">
            <x v="225"/>
          </reference>
          <reference field="14" count="1" selected="0">
            <x v="97"/>
          </reference>
          <reference field="18" count="1" defaultSubtotal="1">
            <x v="19"/>
          </reference>
        </references>
      </pivotArea>
    </format>
    <format dxfId="9305">
      <pivotArea dataOnly="0" labelOnly="1" outline="0" fieldPosition="0">
        <references count="3">
          <reference field="11" count="1" selected="0">
            <x v="226"/>
          </reference>
          <reference field="14" count="1" selected="0">
            <x v="72"/>
          </reference>
          <reference field="18" count="1">
            <x v="19"/>
          </reference>
        </references>
      </pivotArea>
    </format>
    <format dxfId="9304">
      <pivotArea dataOnly="0" labelOnly="1" outline="0" fieldPosition="0">
        <references count="3">
          <reference field="11" count="1" selected="0">
            <x v="226"/>
          </reference>
          <reference field="14" count="1" selected="0">
            <x v="72"/>
          </reference>
          <reference field="18" count="1" defaultSubtotal="1">
            <x v="19"/>
          </reference>
        </references>
      </pivotArea>
    </format>
    <format dxfId="9303">
      <pivotArea dataOnly="0" labelOnly="1" outline="0" fieldPosition="0">
        <references count="3">
          <reference field="11" count="1" selected="0">
            <x v="227"/>
          </reference>
          <reference field="14" count="1" selected="0">
            <x v="420"/>
          </reference>
          <reference field="18" count="1">
            <x v="19"/>
          </reference>
        </references>
      </pivotArea>
    </format>
    <format dxfId="9302">
      <pivotArea dataOnly="0" labelOnly="1" outline="0" fieldPosition="0">
        <references count="3">
          <reference field="11" count="1" selected="0">
            <x v="227"/>
          </reference>
          <reference field="14" count="1" selected="0">
            <x v="420"/>
          </reference>
          <reference field="18" count="1" defaultSubtotal="1">
            <x v="19"/>
          </reference>
        </references>
      </pivotArea>
    </format>
    <format dxfId="9301">
      <pivotArea dataOnly="0" labelOnly="1" outline="0" fieldPosition="0">
        <references count="3">
          <reference field="11" count="1" selected="0">
            <x v="228"/>
          </reference>
          <reference field="14" count="1" selected="0">
            <x v="313"/>
          </reference>
          <reference field="18" count="1">
            <x v="19"/>
          </reference>
        </references>
      </pivotArea>
    </format>
    <format dxfId="9300">
      <pivotArea dataOnly="0" labelOnly="1" outline="0" fieldPosition="0">
        <references count="3">
          <reference field="11" count="1" selected="0">
            <x v="228"/>
          </reference>
          <reference field="14" count="1" selected="0">
            <x v="313"/>
          </reference>
          <reference field="18" count="1" defaultSubtotal="1">
            <x v="19"/>
          </reference>
        </references>
      </pivotArea>
    </format>
    <format dxfId="9299">
      <pivotArea dataOnly="0" labelOnly="1" outline="0" fieldPosition="0">
        <references count="3">
          <reference field="11" count="1" selected="0">
            <x v="229"/>
          </reference>
          <reference field="14" count="1" selected="0">
            <x v="307"/>
          </reference>
          <reference field="18" count="1">
            <x v="19"/>
          </reference>
        </references>
      </pivotArea>
    </format>
    <format dxfId="9298">
      <pivotArea dataOnly="0" labelOnly="1" outline="0" fieldPosition="0">
        <references count="3">
          <reference field="11" count="1" selected="0">
            <x v="229"/>
          </reference>
          <reference field="14" count="1" selected="0">
            <x v="307"/>
          </reference>
          <reference field="18" count="1" defaultSubtotal="1">
            <x v="19"/>
          </reference>
        </references>
      </pivotArea>
    </format>
    <format dxfId="9297">
      <pivotArea dataOnly="0" labelOnly="1" outline="0" fieldPosition="0">
        <references count="3">
          <reference field="11" count="1" selected="0">
            <x v="230"/>
          </reference>
          <reference field="14" count="1" selected="0">
            <x v="13"/>
          </reference>
          <reference field="18" count="1">
            <x v="19"/>
          </reference>
        </references>
      </pivotArea>
    </format>
    <format dxfId="9296">
      <pivotArea dataOnly="0" labelOnly="1" outline="0" fieldPosition="0">
        <references count="3">
          <reference field="11" count="1" selected="0">
            <x v="230"/>
          </reference>
          <reference field="14" count="1" selected="0">
            <x v="13"/>
          </reference>
          <reference field="18" count="1" defaultSubtotal="1">
            <x v="19"/>
          </reference>
        </references>
      </pivotArea>
    </format>
    <format dxfId="9295">
      <pivotArea dataOnly="0" labelOnly="1" outline="0" fieldPosition="0">
        <references count="3">
          <reference field="11" count="1" selected="0">
            <x v="231"/>
          </reference>
          <reference field="14" count="1" selected="0">
            <x v="96"/>
          </reference>
          <reference field="18" count="1">
            <x v="19"/>
          </reference>
        </references>
      </pivotArea>
    </format>
    <format dxfId="9294">
      <pivotArea dataOnly="0" labelOnly="1" outline="0" fieldPosition="0">
        <references count="3">
          <reference field="11" count="1" selected="0">
            <x v="231"/>
          </reference>
          <reference field="14" count="1" selected="0">
            <x v="96"/>
          </reference>
          <reference field="18" count="1" defaultSubtotal="1">
            <x v="19"/>
          </reference>
        </references>
      </pivotArea>
    </format>
    <format dxfId="9293">
      <pivotArea dataOnly="0" labelOnly="1" outline="0" fieldPosition="0">
        <references count="3">
          <reference field="11" count="1" selected="0">
            <x v="232"/>
          </reference>
          <reference field="14" count="1" selected="0">
            <x v="411"/>
          </reference>
          <reference field="18" count="1">
            <x v="19"/>
          </reference>
        </references>
      </pivotArea>
    </format>
    <format dxfId="9292">
      <pivotArea dataOnly="0" labelOnly="1" outline="0" fieldPosition="0">
        <references count="3">
          <reference field="11" count="1" selected="0">
            <x v="232"/>
          </reference>
          <reference field="14" count="1" selected="0">
            <x v="411"/>
          </reference>
          <reference field="18" count="1" defaultSubtotal="1">
            <x v="19"/>
          </reference>
        </references>
      </pivotArea>
    </format>
    <format dxfId="9291">
      <pivotArea dataOnly="0" labelOnly="1" outline="0" fieldPosition="0">
        <references count="3">
          <reference field="11" count="1" selected="0">
            <x v="233"/>
          </reference>
          <reference field="14" count="1" selected="0">
            <x v="449"/>
          </reference>
          <reference field="18" count="1">
            <x v="19"/>
          </reference>
        </references>
      </pivotArea>
    </format>
    <format dxfId="9290">
      <pivotArea dataOnly="0" labelOnly="1" outline="0" fieldPosition="0">
        <references count="3">
          <reference field="11" count="1" selected="0">
            <x v="233"/>
          </reference>
          <reference field="14" count="1" selected="0">
            <x v="449"/>
          </reference>
          <reference field="18" count="1" defaultSubtotal="1">
            <x v="19"/>
          </reference>
        </references>
      </pivotArea>
    </format>
    <format dxfId="9289">
      <pivotArea dataOnly="0" labelOnly="1" outline="0" fieldPosition="0">
        <references count="3">
          <reference field="11" count="1" selected="0">
            <x v="234"/>
          </reference>
          <reference field="14" count="1" selected="0">
            <x v="277"/>
          </reference>
          <reference field="18" count="1">
            <x v="0"/>
          </reference>
        </references>
      </pivotArea>
    </format>
    <format dxfId="9288">
      <pivotArea dataOnly="0" labelOnly="1" outline="0" fieldPosition="0">
        <references count="3">
          <reference field="11" count="1" selected="0">
            <x v="234"/>
          </reference>
          <reference field="14" count="1" selected="0">
            <x v="277"/>
          </reference>
          <reference field="18" count="1" defaultSubtotal="1">
            <x v="0"/>
          </reference>
        </references>
      </pivotArea>
    </format>
    <format dxfId="9287">
      <pivotArea dataOnly="0" labelOnly="1" outline="0" fieldPosition="0">
        <references count="3">
          <reference field="11" count="1" selected="0">
            <x v="235"/>
          </reference>
          <reference field="14" count="1" selected="0">
            <x v="272"/>
          </reference>
          <reference field="18" count="1">
            <x v="0"/>
          </reference>
        </references>
      </pivotArea>
    </format>
    <format dxfId="9286">
      <pivotArea dataOnly="0" labelOnly="1" outline="0" fieldPosition="0">
        <references count="3">
          <reference field="11" count="1" selected="0">
            <x v="235"/>
          </reference>
          <reference field="14" count="1" selected="0">
            <x v="272"/>
          </reference>
          <reference field="18" count="1" defaultSubtotal="1">
            <x v="0"/>
          </reference>
        </references>
      </pivotArea>
    </format>
    <format dxfId="9285">
      <pivotArea dataOnly="0" labelOnly="1" outline="0" fieldPosition="0">
        <references count="3">
          <reference field="11" count="1" selected="0">
            <x v="236"/>
          </reference>
          <reference field="14" count="1" selected="0">
            <x v="403"/>
          </reference>
          <reference field="18" count="2">
            <x v="0"/>
            <x v="2"/>
          </reference>
        </references>
      </pivotArea>
    </format>
    <format dxfId="9284">
      <pivotArea dataOnly="0" labelOnly="1" outline="0" fieldPosition="0">
        <references count="3">
          <reference field="11" count="1" selected="0">
            <x v="236"/>
          </reference>
          <reference field="14" count="1" selected="0">
            <x v="403"/>
          </reference>
          <reference field="18" count="2" defaultSubtotal="1">
            <x v="0"/>
            <x v="2"/>
          </reference>
        </references>
      </pivotArea>
    </format>
    <format dxfId="9283">
      <pivotArea dataOnly="0" labelOnly="1" outline="0" fieldPosition="0">
        <references count="3">
          <reference field="11" count="1" selected="0">
            <x v="237"/>
          </reference>
          <reference field="14" count="1" selected="0">
            <x v="377"/>
          </reference>
          <reference field="18" count="1">
            <x v="19"/>
          </reference>
        </references>
      </pivotArea>
    </format>
    <format dxfId="9282">
      <pivotArea dataOnly="0" labelOnly="1" outline="0" fieldPosition="0">
        <references count="3">
          <reference field="11" count="1" selected="0">
            <x v="237"/>
          </reference>
          <reference field="14" count="1" selected="0">
            <x v="377"/>
          </reference>
          <reference field="18" count="1" defaultSubtotal="1">
            <x v="19"/>
          </reference>
        </references>
      </pivotArea>
    </format>
    <format dxfId="9281">
      <pivotArea dataOnly="0" labelOnly="1" outline="0" fieldPosition="0">
        <references count="3">
          <reference field="11" count="1" selected="0">
            <x v="238"/>
          </reference>
          <reference field="14" count="1" selected="0">
            <x v="339"/>
          </reference>
          <reference field="18" count="1">
            <x v="0"/>
          </reference>
        </references>
      </pivotArea>
    </format>
    <format dxfId="9280">
      <pivotArea dataOnly="0" labelOnly="1" outline="0" fieldPosition="0">
        <references count="3">
          <reference field="11" count="1" selected="0">
            <x v="238"/>
          </reference>
          <reference field="14" count="1" selected="0">
            <x v="339"/>
          </reference>
          <reference field="18" count="1" defaultSubtotal="1">
            <x v="0"/>
          </reference>
        </references>
      </pivotArea>
    </format>
    <format dxfId="9279">
      <pivotArea dataOnly="0" labelOnly="1" outline="0" fieldPosition="0">
        <references count="3">
          <reference field="11" count="1" selected="0">
            <x v="239"/>
          </reference>
          <reference field="14" count="1" selected="0">
            <x v="61"/>
          </reference>
          <reference field="18" count="2">
            <x v="0"/>
            <x v="2"/>
          </reference>
        </references>
      </pivotArea>
    </format>
    <format dxfId="9278">
      <pivotArea dataOnly="0" labelOnly="1" outline="0" fieldPosition="0">
        <references count="3">
          <reference field="11" count="1" selected="0">
            <x v="239"/>
          </reference>
          <reference field="14" count="1" selected="0">
            <x v="61"/>
          </reference>
          <reference field="18" count="2" defaultSubtotal="1">
            <x v="0"/>
            <x v="2"/>
          </reference>
        </references>
      </pivotArea>
    </format>
    <format dxfId="9277">
      <pivotArea dataOnly="0" labelOnly="1" outline="0" fieldPosition="0">
        <references count="3">
          <reference field="11" count="1" selected="0">
            <x v="240"/>
          </reference>
          <reference field="14" count="1" selected="0">
            <x v="201"/>
          </reference>
          <reference field="18" count="1">
            <x v="7"/>
          </reference>
        </references>
      </pivotArea>
    </format>
    <format dxfId="9276">
      <pivotArea dataOnly="0" labelOnly="1" outline="0" fieldPosition="0">
        <references count="3">
          <reference field="11" count="1" selected="0">
            <x v="240"/>
          </reference>
          <reference field="14" count="1" selected="0">
            <x v="201"/>
          </reference>
          <reference field="18" count="1" defaultSubtotal="1">
            <x v="7"/>
          </reference>
        </references>
      </pivotArea>
    </format>
    <format dxfId="9275">
      <pivotArea dataOnly="0" labelOnly="1" outline="0" fieldPosition="0">
        <references count="3">
          <reference field="11" count="1" selected="0">
            <x v="241"/>
          </reference>
          <reference field="14" count="1" selected="0">
            <x v="262"/>
          </reference>
          <reference field="18" count="1">
            <x v="2"/>
          </reference>
        </references>
      </pivotArea>
    </format>
    <format dxfId="9274">
      <pivotArea dataOnly="0" labelOnly="1" outline="0" fieldPosition="0">
        <references count="3">
          <reference field="11" count="1" selected="0">
            <x v="241"/>
          </reference>
          <reference field="14" count="1" selected="0">
            <x v="262"/>
          </reference>
          <reference field="18" count="1" defaultSubtotal="1">
            <x v="2"/>
          </reference>
        </references>
      </pivotArea>
    </format>
    <format dxfId="9273">
      <pivotArea dataOnly="0" labelOnly="1" outline="0" fieldPosition="0">
        <references count="3">
          <reference field="11" count="1" selected="0">
            <x v="242"/>
          </reference>
          <reference field="14" count="1" selected="0">
            <x v="91"/>
          </reference>
          <reference field="18" count="1">
            <x v="3"/>
          </reference>
        </references>
      </pivotArea>
    </format>
    <format dxfId="9272">
      <pivotArea dataOnly="0" labelOnly="1" outline="0" fieldPosition="0">
        <references count="3">
          <reference field="11" count="1" selected="0">
            <x v="242"/>
          </reference>
          <reference field="14" count="1" selected="0">
            <x v="91"/>
          </reference>
          <reference field="18" count="1" defaultSubtotal="1">
            <x v="3"/>
          </reference>
        </references>
      </pivotArea>
    </format>
    <format dxfId="9271">
      <pivotArea dataOnly="0" labelOnly="1" outline="0" fieldPosition="0">
        <references count="3">
          <reference field="11" count="1" selected="0">
            <x v="243"/>
          </reference>
          <reference field="14" count="1" selected="0">
            <x v="264"/>
          </reference>
          <reference field="18" count="1">
            <x v="2"/>
          </reference>
        </references>
      </pivotArea>
    </format>
    <format dxfId="9270">
      <pivotArea dataOnly="0" labelOnly="1" outline="0" fieldPosition="0">
        <references count="3">
          <reference field="11" count="1" selected="0">
            <x v="243"/>
          </reference>
          <reference field="14" count="1" selected="0">
            <x v="264"/>
          </reference>
          <reference field="18" count="1" defaultSubtotal="1">
            <x v="2"/>
          </reference>
        </references>
      </pivotArea>
    </format>
    <format dxfId="9269">
      <pivotArea dataOnly="0" labelOnly="1" outline="0" fieldPosition="0">
        <references count="3">
          <reference field="11" count="1" selected="0">
            <x v="244"/>
          </reference>
          <reference field="14" count="1" selected="0">
            <x v="222"/>
          </reference>
          <reference field="18" count="1">
            <x v="2"/>
          </reference>
        </references>
      </pivotArea>
    </format>
    <format dxfId="9268">
      <pivotArea dataOnly="0" labelOnly="1" outline="0" fieldPosition="0">
        <references count="3">
          <reference field="11" count="1" selected="0">
            <x v="244"/>
          </reference>
          <reference field="14" count="1" selected="0">
            <x v="222"/>
          </reference>
          <reference field="18" count="1" defaultSubtotal="1">
            <x v="2"/>
          </reference>
        </references>
      </pivotArea>
    </format>
    <format dxfId="9267">
      <pivotArea dataOnly="0" labelOnly="1" outline="0" fieldPosition="0">
        <references count="3">
          <reference field="11" count="1" selected="0">
            <x v="245"/>
          </reference>
          <reference field="14" count="1" selected="0">
            <x v="131"/>
          </reference>
          <reference field="18" count="1">
            <x v="2"/>
          </reference>
        </references>
      </pivotArea>
    </format>
    <format dxfId="9266">
      <pivotArea dataOnly="0" labelOnly="1" outline="0" fieldPosition="0">
        <references count="3">
          <reference field="11" count="1" selected="0">
            <x v="245"/>
          </reference>
          <reference field="14" count="1" selected="0">
            <x v="131"/>
          </reference>
          <reference field="18" count="1" defaultSubtotal="1">
            <x v="2"/>
          </reference>
        </references>
      </pivotArea>
    </format>
    <format dxfId="9265">
      <pivotArea dataOnly="0" labelOnly="1" outline="0" fieldPosition="0">
        <references count="3">
          <reference field="11" count="1" selected="0">
            <x v="246"/>
          </reference>
          <reference field="14" count="1" selected="0">
            <x v="418"/>
          </reference>
          <reference field="18" count="1">
            <x v="2"/>
          </reference>
        </references>
      </pivotArea>
    </format>
    <format dxfId="9264">
      <pivotArea dataOnly="0" labelOnly="1" outline="0" fieldPosition="0">
        <references count="3">
          <reference field="11" count="1" selected="0">
            <x v="246"/>
          </reference>
          <reference field="14" count="1" selected="0">
            <x v="418"/>
          </reference>
          <reference field="18" count="1" defaultSubtotal="1">
            <x v="2"/>
          </reference>
        </references>
      </pivotArea>
    </format>
    <format dxfId="9263">
      <pivotArea dataOnly="0" labelOnly="1" outline="0" fieldPosition="0">
        <references count="3">
          <reference field="11" count="1" selected="0">
            <x v="247"/>
          </reference>
          <reference field="14" count="1" selected="0">
            <x v="406"/>
          </reference>
          <reference field="18" count="1">
            <x v="2"/>
          </reference>
        </references>
      </pivotArea>
    </format>
    <format dxfId="9262">
      <pivotArea dataOnly="0" labelOnly="1" outline="0" fieldPosition="0">
        <references count="3">
          <reference field="11" count="1" selected="0">
            <x v="247"/>
          </reference>
          <reference field="14" count="1" selected="0">
            <x v="406"/>
          </reference>
          <reference field="18" count="1" defaultSubtotal="1">
            <x v="2"/>
          </reference>
        </references>
      </pivotArea>
    </format>
    <format dxfId="9261">
      <pivotArea dataOnly="0" labelOnly="1" outline="0" fieldPosition="0">
        <references count="3">
          <reference field="11" count="1" selected="0">
            <x v="248"/>
          </reference>
          <reference field="14" count="1" selected="0">
            <x v="404"/>
          </reference>
          <reference field="18" count="1">
            <x v="2"/>
          </reference>
        </references>
      </pivotArea>
    </format>
    <format dxfId="9260">
      <pivotArea dataOnly="0" labelOnly="1" outline="0" fieldPosition="0">
        <references count="3">
          <reference field="11" count="1" selected="0">
            <x v="248"/>
          </reference>
          <reference field="14" count="1" selected="0">
            <x v="404"/>
          </reference>
          <reference field="18" count="1" defaultSubtotal="1">
            <x v="2"/>
          </reference>
        </references>
      </pivotArea>
    </format>
    <format dxfId="9259">
      <pivotArea dataOnly="0" labelOnly="1" outline="0" fieldPosition="0">
        <references count="3">
          <reference field="11" count="1" selected="0">
            <x v="249"/>
          </reference>
          <reference field="14" count="1" selected="0">
            <x v="402"/>
          </reference>
          <reference field="18" count="1">
            <x v="2"/>
          </reference>
        </references>
      </pivotArea>
    </format>
    <format dxfId="9258">
      <pivotArea dataOnly="0" labelOnly="1" outline="0" fieldPosition="0">
        <references count="3">
          <reference field="11" count="1" selected="0">
            <x v="249"/>
          </reference>
          <reference field="14" count="1" selected="0">
            <x v="402"/>
          </reference>
          <reference field="18" count="1" defaultSubtotal="1">
            <x v="2"/>
          </reference>
        </references>
      </pivotArea>
    </format>
    <format dxfId="9257">
      <pivotArea dataOnly="0" labelOnly="1" outline="0" fieldPosition="0">
        <references count="3">
          <reference field="11" count="1" selected="0">
            <x v="250"/>
          </reference>
          <reference field="14" count="1" selected="0">
            <x v="128"/>
          </reference>
          <reference field="18" count="1">
            <x v="2"/>
          </reference>
        </references>
      </pivotArea>
    </format>
    <format dxfId="9256">
      <pivotArea dataOnly="0" labelOnly="1" outline="0" fieldPosition="0">
        <references count="3">
          <reference field="11" count="1" selected="0">
            <x v="250"/>
          </reference>
          <reference field="14" count="1" selected="0">
            <x v="128"/>
          </reference>
          <reference field="18" count="1" defaultSubtotal="1">
            <x v="2"/>
          </reference>
        </references>
      </pivotArea>
    </format>
    <format dxfId="9255">
      <pivotArea dataOnly="0" labelOnly="1" outline="0" fieldPosition="0">
        <references count="3">
          <reference field="11" count="1" selected="0">
            <x v="251"/>
          </reference>
          <reference field="14" count="1" selected="0">
            <x v="405"/>
          </reference>
          <reference field="18" count="1">
            <x v="2"/>
          </reference>
        </references>
      </pivotArea>
    </format>
    <format dxfId="9254">
      <pivotArea dataOnly="0" labelOnly="1" outline="0" fieldPosition="0">
        <references count="3">
          <reference field="11" count="1" selected="0">
            <x v="251"/>
          </reference>
          <reference field="14" count="1" selected="0">
            <x v="405"/>
          </reference>
          <reference field="18" count="1" defaultSubtotal="1">
            <x v="2"/>
          </reference>
        </references>
      </pivotArea>
    </format>
    <format dxfId="9253">
      <pivotArea dataOnly="0" labelOnly="1" outline="0" fieldPosition="0">
        <references count="3">
          <reference field="11" count="1" selected="0">
            <x v="252"/>
          </reference>
          <reference field="14" count="1" selected="0">
            <x v="86"/>
          </reference>
          <reference field="18" count="1">
            <x v="1"/>
          </reference>
        </references>
      </pivotArea>
    </format>
    <format dxfId="9252">
      <pivotArea dataOnly="0" labelOnly="1" outline="0" fieldPosition="0">
        <references count="3">
          <reference field="11" count="1" selected="0">
            <x v="252"/>
          </reference>
          <reference field="14" count="1" selected="0">
            <x v="86"/>
          </reference>
          <reference field="18" count="1" defaultSubtotal="1">
            <x v="1"/>
          </reference>
        </references>
      </pivotArea>
    </format>
    <format dxfId="9251">
      <pivotArea dataOnly="0" labelOnly="1" outline="0" fieldPosition="0">
        <references count="3">
          <reference field="11" count="1" selected="0">
            <x v="253"/>
          </reference>
          <reference field="14" count="1" selected="0">
            <x v="136"/>
          </reference>
          <reference field="18" count="1">
            <x v="4"/>
          </reference>
        </references>
      </pivotArea>
    </format>
    <format dxfId="9250">
      <pivotArea dataOnly="0" labelOnly="1" outline="0" fieldPosition="0">
        <references count="3">
          <reference field="11" count="1" selected="0">
            <x v="253"/>
          </reference>
          <reference field="14" count="1" selected="0">
            <x v="136"/>
          </reference>
          <reference field="18" count="1" defaultSubtotal="1">
            <x v="4"/>
          </reference>
        </references>
      </pivotArea>
    </format>
    <format dxfId="9249">
      <pivotArea dataOnly="0" labelOnly="1" outline="0" fieldPosition="0">
        <references count="3">
          <reference field="11" count="1" selected="0">
            <x v="254"/>
          </reference>
          <reference field="14" count="1" selected="0">
            <x v="181"/>
          </reference>
          <reference field="18" count="1">
            <x v="14"/>
          </reference>
        </references>
      </pivotArea>
    </format>
    <format dxfId="9248">
      <pivotArea dataOnly="0" labelOnly="1" outline="0" fieldPosition="0">
        <references count="3">
          <reference field="11" count="1" selected="0">
            <x v="254"/>
          </reference>
          <reference field="14" count="1" selected="0">
            <x v="181"/>
          </reference>
          <reference field="18" count="1" defaultSubtotal="1">
            <x v="14"/>
          </reference>
        </references>
      </pivotArea>
    </format>
    <format dxfId="9247">
      <pivotArea dataOnly="0" labelOnly="1" outline="0" fieldPosition="0">
        <references count="3">
          <reference field="11" count="1" selected="0">
            <x v="255"/>
          </reference>
          <reference field="14" count="1" selected="0">
            <x v="263"/>
          </reference>
          <reference field="18" count="1">
            <x v="2"/>
          </reference>
        </references>
      </pivotArea>
    </format>
    <format dxfId="9246">
      <pivotArea dataOnly="0" labelOnly="1" outline="0" fieldPosition="0">
        <references count="3">
          <reference field="11" count="1" selected="0">
            <x v="255"/>
          </reference>
          <reference field="14" count="1" selected="0">
            <x v="263"/>
          </reference>
          <reference field="18" count="1" defaultSubtotal="1">
            <x v="2"/>
          </reference>
        </references>
      </pivotArea>
    </format>
    <format dxfId="9245">
      <pivotArea dataOnly="0" labelOnly="1" outline="0" fieldPosition="0">
        <references count="3">
          <reference field="11" count="1" selected="0">
            <x v="256"/>
          </reference>
          <reference field="14" count="1" selected="0">
            <x v="133"/>
          </reference>
          <reference field="18" count="1">
            <x v="2"/>
          </reference>
        </references>
      </pivotArea>
    </format>
    <format dxfId="9244">
      <pivotArea dataOnly="0" labelOnly="1" outline="0" fieldPosition="0">
        <references count="3">
          <reference field="11" count="1" selected="0">
            <x v="256"/>
          </reference>
          <reference field="14" count="1" selected="0">
            <x v="133"/>
          </reference>
          <reference field="18" count="1" defaultSubtotal="1">
            <x v="2"/>
          </reference>
        </references>
      </pivotArea>
    </format>
    <format dxfId="9243">
      <pivotArea dataOnly="0" labelOnly="1" outline="0" fieldPosition="0">
        <references count="3">
          <reference field="11" count="1" selected="0">
            <x v="257"/>
          </reference>
          <reference field="14" count="1" selected="0">
            <x v="187"/>
          </reference>
          <reference field="18" count="1">
            <x v="2"/>
          </reference>
        </references>
      </pivotArea>
    </format>
    <format dxfId="9242">
      <pivotArea dataOnly="0" labelOnly="1" outline="0" fieldPosition="0">
        <references count="3">
          <reference field="11" count="1" selected="0">
            <x v="257"/>
          </reference>
          <reference field="14" count="1" selected="0">
            <x v="187"/>
          </reference>
          <reference field="18" count="1" defaultSubtotal="1">
            <x v="2"/>
          </reference>
        </references>
      </pivotArea>
    </format>
    <format dxfId="9241">
      <pivotArea dataOnly="0" labelOnly="1" outline="0" fieldPosition="0">
        <references count="3">
          <reference field="11" count="1" selected="0">
            <x v="258"/>
          </reference>
          <reference field="14" count="1" selected="0">
            <x v="417"/>
          </reference>
          <reference field="18" count="1">
            <x v="0"/>
          </reference>
        </references>
      </pivotArea>
    </format>
    <format dxfId="9240">
      <pivotArea dataOnly="0" labelOnly="1" outline="0" fieldPosition="0">
        <references count="3">
          <reference field="11" count="1" selected="0">
            <x v="258"/>
          </reference>
          <reference field="14" count="1" selected="0">
            <x v="417"/>
          </reference>
          <reference field="18" count="1" defaultSubtotal="1">
            <x v="0"/>
          </reference>
        </references>
      </pivotArea>
    </format>
    <format dxfId="9239">
      <pivotArea dataOnly="0" labelOnly="1" outline="0" fieldPosition="0">
        <references count="3">
          <reference field="11" count="1" selected="0">
            <x v="259"/>
          </reference>
          <reference field="14" count="1" selected="0">
            <x v="371"/>
          </reference>
          <reference field="18" count="1">
            <x v="16"/>
          </reference>
        </references>
      </pivotArea>
    </format>
    <format dxfId="9238">
      <pivotArea dataOnly="0" labelOnly="1" outline="0" fieldPosition="0">
        <references count="3">
          <reference field="11" count="1" selected="0">
            <x v="259"/>
          </reference>
          <reference field="14" count="1" selected="0">
            <x v="371"/>
          </reference>
          <reference field="18" count="1" defaultSubtotal="1">
            <x v="16"/>
          </reference>
        </references>
      </pivotArea>
    </format>
    <format dxfId="9237">
      <pivotArea dataOnly="0" labelOnly="1" outline="0" fieldPosition="0">
        <references count="3">
          <reference field="11" count="1" selected="0">
            <x v="260"/>
          </reference>
          <reference field="14" count="1" selected="0">
            <x v="157"/>
          </reference>
          <reference field="18" count="1">
            <x v="2"/>
          </reference>
        </references>
      </pivotArea>
    </format>
    <format dxfId="9236">
      <pivotArea dataOnly="0" labelOnly="1" outline="0" fieldPosition="0">
        <references count="3">
          <reference field="11" count="1" selected="0">
            <x v="260"/>
          </reference>
          <reference field="14" count="1" selected="0">
            <x v="157"/>
          </reference>
          <reference field="18" count="1" defaultSubtotal="1">
            <x v="2"/>
          </reference>
        </references>
      </pivotArea>
    </format>
    <format dxfId="9235">
      <pivotArea dataOnly="0" labelOnly="1" outline="0" fieldPosition="0">
        <references count="3">
          <reference field="11" count="1" selected="0">
            <x v="261"/>
          </reference>
          <reference field="14" count="1" selected="0">
            <x v="223"/>
          </reference>
          <reference field="18" count="2">
            <x v="0"/>
            <x v="2"/>
          </reference>
        </references>
      </pivotArea>
    </format>
    <format dxfId="9234">
      <pivotArea dataOnly="0" labelOnly="1" outline="0" fieldPosition="0">
        <references count="3">
          <reference field="11" count="1" selected="0">
            <x v="261"/>
          </reference>
          <reference field="14" count="1" selected="0">
            <x v="223"/>
          </reference>
          <reference field="18" count="2" defaultSubtotal="1">
            <x v="0"/>
            <x v="2"/>
          </reference>
        </references>
      </pivotArea>
    </format>
    <format dxfId="9233">
      <pivotArea dataOnly="0" labelOnly="1" outline="0" fieldPosition="0">
        <references count="3">
          <reference field="11" count="1" selected="0">
            <x v="262"/>
          </reference>
          <reference field="14" count="1" selected="0">
            <x v="311"/>
          </reference>
          <reference field="18" count="1">
            <x v="19"/>
          </reference>
        </references>
      </pivotArea>
    </format>
    <format dxfId="9232">
      <pivotArea dataOnly="0" labelOnly="1" outline="0" fieldPosition="0">
        <references count="3">
          <reference field="11" count="1" selected="0">
            <x v="262"/>
          </reference>
          <reference field="14" count="1" selected="0">
            <x v="311"/>
          </reference>
          <reference field="18" count="1" defaultSubtotal="1">
            <x v="19"/>
          </reference>
        </references>
      </pivotArea>
    </format>
    <format dxfId="9231">
      <pivotArea dataOnly="0" labelOnly="1" outline="0" fieldPosition="0">
        <references count="3">
          <reference field="11" count="1" selected="0">
            <x v="263"/>
          </reference>
          <reference field="14" count="1" selected="0">
            <x v="114"/>
          </reference>
          <reference field="18" count="1">
            <x v="6"/>
          </reference>
        </references>
      </pivotArea>
    </format>
    <format dxfId="9230">
      <pivotArea dataOnly="0" labelOnly="1" outline="0" fieldPosition="0">
        <references count="3">
          <reference field="11" count="1" selected="0">
            <x v="263"/>
          </reference>
          <reference field="14" count="1" selected="0">
            <x v="114"/>
          </reference>
          <reference field="18" count="1" defaultSubtotal="1">
            <x v="6"/>
          </reference>
        </references>
      </pivotArea>
    </format>
    <format dxfId="9229">
      <pivotArea dataOnly="0" labelOnly="1" outline="0" fieldPosition="0">
        <references count="3">
          <reference field="11" count="1" selected="0">
            <x v="264"/>
          </reference>
          <reference field="14" count="1" selected="0">
            <x v="154"/>
          </reference>
          <reference field="18" count="1">
            <x v="2"/>
          </reference>
        </references>
      </pivotArea>
    </format>
    <format dxfId="9228">
      <pivotArea dataOnly="0" labelOnly="1" outline="0" fieldPosition="0">
        <references count="3">
          <reference field="11" count="1" selected="0">
            <x v="264"/>
          </reference>
          <reference field="14" count="1" selected="0">
            <x v="154"/>
          </reference>
          <reference field="18" count="1" defaultSubtotal="1">
            <x v="2"/>
          </reference>
        </references>
      </pivotArea>
    </format>
    <format dxfId="9227">
      <pivotArea dataOnly="0" labelOnly="1" outline="0" fieldPosition="0">
        <references count="3">
          <reference field="11" count="1" selected="0">
            <x v="265"/>
          </reference>
          <reference field="14" count="1" selected="0">
            <x v="166"/>
          </reference>
          <reference field="18" count="1">
            <x v="2"/>
          </reference>
        </references>
      </pivotArea>
    </format>
    <format dxfId="9226">
      <pivotArea dataOnly="0" labelOnly="1" outline="0" fieldPosition="0">
        <references count="3">
          <reference field="11" count="1" selected="0">
            <x v="265"/>
          </reference>
          <reference field="14" count="1" selected="0">
            <x v="166"/>
          </reference>
          <reference field="18" count="1" defaultSubtotal="1">
            <x v="2"/>
          </reference>
        </references>
      </pivotArea>
    </format>
    <format dxfId="9225">
      <pivotArea dataOnly="0" labelOnly="1" outline="0" fieldPosition="0">
        <references count="3">
          <reference field="11" count="1" selected="0">
            <x v="266"/>
          </reference>
          <reference field="14" count="1" selected="0">
            <x v="152"/>
          </reference>
          <reference field="18" count="1">
            <x v="2"/>
          </reference>
        </references>
      </pivotArea>
    </format>
    <format dxfId="9224">
      <pivotArea dataOnly="0" labelOnly="1" outline="0" fieldPosition="0">
        <references count="3">
          <reference field="11" count="1" selected="0">
            <x v="266"/>
          </reference>
          <reference field="14" count="1" selected="0">
            <x v="152"/>
          </reference>
          <reference field="18" count="1" defaultSubtotal="1">
            <x v="2"/>
          </reference>
        </references>
      </pivotArea>
    </format>
    <format dxfId="9223">
      <pivotArea dataOnly="0" labelOnly="1" outline="0" fieldPosition="0">
        <references count="3">
          <reference field="11" count="1" selected="0">
            <x v="267"/>
          </reference>
          <reference field="14" count="1" selected="0">
            <x v="374"/>
          </reference>
          <reference field="18" count="2">
            <x v="0"/>
            <x v="2"/>
          </reference>
        </references>
      </pivotArea>
    </format>
    <format dxfId="9222">
      <pivotArea dataOnly="0" labelOnly="1" outline="0" fieldPosition="0">
        <references count="3">
          <reference field="11" count="1" selected="0">
            <x v="267"/>
          </reference>
          <reference field="14" count="1" selected="0">
            <x v="374"/>
          </reference>
          <reference field="18" count="2" defaultSubtotal="1">
            <x v="0"/>
            <x v="2"/>
          </reference>
        </references>
      </pivotArea>
    </format>
    <format dxfId="9221">
      <pivotArea dataOnly="0" labelOnly="1" outline="0" fieldPosition="0">
        <references count="3">
          <reference field="11" count="1" selected="0">
            <x v="268"/>
          </reference>
          <reference field="14" count="1" selected="0">
            <x v="353"/>
          </reference>
          <reference field="18" count="1">
            <x v="2"/>
          </reference>
        </references>
      </pivotArea>
    </format>
    <format dxfId="9220">
      <pivotArea dataOnly="0" labelOnly="1" outline="0" fieldPosition="0">
        <references count="3">
          <reference field="11" count="1" selected="0">
            <x v="268"/>
          </reference>
          <reference field="14" count="1" selected="0">
            <x v="353"/>
          </reference>
          <reference field="18" count="1" defaultSubtotal="1">
            <x v="2"/>
          </reference>
        </references>
      </pivotArea>
    </format>
    <format dxfId="9219">
      <pivotArea dataOnly="0" labelOnly="1" outline="0" fieldPosition="0">
        <references count="3">
          <reference field="11" count="1" selected="0">
            <x v="269"/>
          </reference>
          <reference field="14" count="1" selected="0">
            <x v="124"/>
          </reference>
          <reference field="18" count="1">
            <x v="4"/>
          </reference>
        </references>
      </pivotArea>
    </format>
    <format dxfId="9218">
      <pivotArea dataOnly="0" labelOnly="1" outline="0" fieldPosition="0">
        <references count="3">
          <reference field="11" count="1" selected="0">
            <x v="269"/>
          </reference>
          <reference field="14" count="1" selected="0">
            <x v="124"/>
          </reference>
          <reference field="18" count="1" defaultSubtotal="1">
            <x v="4"/>
          </reference>
        </references>
      </pivotArea>
    </format>
    <format dxfId="9217">
      <pivotArea dataOnly="0" labelOnly="1" outline="0" fieldPosition="0">
        <references count="3">
          <reference field="11" count="1" selected="0">
            <x v="270"/>
          </reference>
          <reference field="14" count="1" selected="0">
            <x v="126"/>
          </reference>
          <reference field="18" count="1">
            <x v="2"/>
          </reference>
        </references>
      </pivotArea>
    </format>
    <format dxfId="9216">
      <pivotArea dataOnly="0" labelOnly="1" outline="0" fieldPosition="0">
        <references count="3">
          <reference field="11" count="1" selected="0">
            <x v="270"/>
          </reference>
          <reference field="14" count="1" selected="0">
            <x v="126"/>
          </reference>
          <reference field="18" count="1" defaultSubtotal="1">
            <x v="2"/>
          </reference>
        </references>
      </pivotArea>
    </format>
    <format dxfId="9215">
      <pivotArea dataOnly="0" labelOnly="1" outline="0" fieldPosition="0">
        <references count="3">
          <reference field="11" count="1" selected="0">
            <x v="271"/>
          </reference>
          <reference field="14" count="1" selected="0">
            <x v="239"/>
          </reference>
          <reference field="18" count="1">
            <x v="19"/>
          </reference>
        </references>
      </pivotArea>
    </format>
    <format dxfId="9214">
      <pivotArea dataOnly="0" labelOnly="1" outline="0" fieldPosition="0">
        <references count="3">
          <reference field="11" count="1" selected="0">
            <x v="271"/>
          </reference>
          <reference field="14" count="1" selected="0">
            <x v="239"/>
          </reference>
          <reference field="18" count="1" defaultSubtotal="1">
            <x v="19"/>
          </reference>
        </references>
      </pivotArea>
    </format>
    <format dxfId="9213">
      <pivotArea dataOnly="0" labelOnly="1" outline="0" fieldPosition="0">
        <references count="3">
          <reference field="11" count="1" selected="0">
            <x v="272"/>
          </reference>
          <reference field="14" count="1" selected="0">
            <x v="42"/>
          </reference>
          <reference field="18" count="1">
            <x v="2"/>
          </reference>
        </references>
      </pivotArea>
    </format>
    <format dxfId="9212">
      <pivotArea dataOnly="0" labelOnly="1" outline="0" fieldPosition="0">
        <references count="3">
          <reference field="11" count="1" selected="0">
            <x v="272"/>
          </reference>
          <reference field="14" count="1" selected="0">
            <x v="42"/>
          </reference>
          <reference field="18" count="1" defaultSubtotal="1">
            <x v="2"/>
          </reference>
        </references>
      </pivotArea>
    </format>
    <format dxfId="9211">
      <pivotArea dataOnly="0" labelOnly="1" outline="0" fieldPosition="0">
        <references count="3">
          <reference field="11" count="1" selected="0">
            <x v="273"/>
          </reference>
          <reference field="14" count="1" selected="0">
            <x v="342"/>
          </reference>
          <reference field="18" count="1">
            <x v="1"/>
          </reference>
        </references>
      </pivotArea>
    </format>
    <format dxfId="9210">
      <pivotArea dataOnly="0" labelOnly="1" outline="0" fieldPosition="0">
        <references count="3">
          <reference field="11" count="1" selected="0">
            <x v="273"/>
          </reference>
          <reference field="14" count="1" selected="0">
            <x v="342"/>
          </reference>
          <reference field="18" count="1" defaultSubtotal="1">
            <x v="1"/>
          </reference>
        </references>
      </pivotArea>
    </format>
    <format dxfId="9209">
      <pivotArea dataOnly="0" labelOnly="1" outline="0" fieldPosition="0">
        <references count="3">
          <reference field="11" count="1" selected="0">
            <x v="274"/>
          </reference>
          <reference field="14" count="1" selected="0">
            <x v="372"/>
          </reference>
          <reference field="18" count="1">
            <x v="15"/>
          </reference>
        </references>
      </pivotArea>
    </format>
    <format dxfId="9208">
      <pivotArea dataOnly="0" labelOnly="1" outline="0" fieldPosition="0">
        <references count="3">
          <reference field="11" count="1" selected="0">
            <x v="274"/>
          </reference>
          <reference field="14" count="1" selected="0">
            <x v="372"/>
          </reference>
          <reference field="18" count="1" defaultSubtotal="1">
            <x v="15"/>
          </reference>
        </references>
      </pivotArea>
    </format>
    <format dxfId="9207">
      <pivotArea dataOnly="0" labelOnly="1" outline="0" fieldPosition="0">
        <references count="3">
          <reference field="11" count="1" selected="0">
            <x v="275"/>
          </reference>
          <reference field="14" count="1" selected="0">
            <x v="51"/>
          </reference>
          <reference field="18" count="1">
            <x v="4"/>
          </reference>
        </references>
      </pivotArea>
    </format>
    <format dxfId="9206">
      <pivotArea dataOnly="0" labelOnly="1" outline="0" fieldPosition="0">
        <references count="3">
          <reference field="11" count="1" selected="0">
            <x v="275"/>
          </reference>
          <reference field="14" count="1" selected="0">
            <x v="51"/>
          </reference>
          <reference field="18" count="1" defaultSubtotal="1">
            <x v="4"/>
          </reference>
        </references>
      </pivotArea>
    </format>
    <format dxfId="9205">
      <pivotArea dataOnly="0" labelOnly="1" outline="0" fieldPosition="0">
        <references count="3">
          <reference field="11" count="1" selected="0">
            <x v="276"/>
          </reference>
          <reference field="14" count="1" selected="0">
            <x v="290"/>
          </reference>
          <reference field="18" count="1">
            <x v="0"/>
          </reference>
        </references>
      </pivotArea>
    </format>
    <format dxfId="9204">
      <pivotArea dataOnly="0" labelOnly="1" outline="0" fieldPosition="0">
        <references count="3">
          <reference field="11" count="1" selected="0">
            <x v="276"/>
          </reference>
          <reference field="14" count="1" selected="0">
            <x v="290"/>
          </reference>
          <reference field="18" count="1" defaultSubtotal="1">
            <x v="0"/>
          </reference>
        </references>
      </pivotArea>
    </format>
    <format dxfId="9203">
      <pivotArea dataOnly="0" labelOnly="1" outline="0" fieldPosition="0">
        <references count="3">
          <reference field="11" count="1" selected="0">
            <x v="277"/>
          </reference>
          <reference field="14" count="1" selected="0">
            <x v="180"/>
          </reference>
          <reference field="18" count="1">
            <x v="16"/>
          </reference>
        </references>
      </pivotArea>
    </format>
    <format dxfId="9202">
      <pivotArea dataOnly="0" labelOnly="1" outline="0" fieldPosition="0">
        <references count="3">
          <reference field="11" count="1" selected="0">
            <x v="277"/>
          </reference>
          <reference field="14" count="1" selected="0">
            <x v="180"/>
          </reference>
          <reference field="18" count="1" defaultSubtotal="1">
            <x v="16"/>
          </reference>
        </references>
      </pivotArea>
    </format>
    <format dxfId="9201">
      <pivotArea dataOnly="0" labelOnly="1" outline="0" fieldPosition="0">
        <references count="3">
          <reference field="11" count="1" selected="0">
            <x v="278"/>
          </reference>
          <reference field="14" count="1" selected="0">
            <x v="164"/>
          </reference>
          <reference field="18" count="1">
            <x v="2"/>
          </reference>
        </references>
      </pivotArea>
    </format>
    <format dxfId="9200">
      <pivotArea dataOnly="0" labelOnly="1" outline="0" fieldPosition="0">
        <references count="3">
          <reference field="11" count="1" selected="0">
            <x v="278"/>
          </reference>
          <reference field="14" count="1" selected="0">
            <x v="164"/>
          </reference>
          <reference field="18" count="1" defaultSubtotal="1">
            <x v="2"/>
          </reference>
        </references>
      </pivotArea>
    </format>
    <format dxfId="9199">
      <pivotArea dataOnly="0" labelOnly="1" outline="0" fieldPosition="0">
        <references count="3">
          <reference field="11" count="1" selected="0">
            <x v="279"/>
          </reference>
          <reference field="14" count="1" selected="0">
            <x v="153"/>
          </reference>
          <reference field="18" count="1">
            <x v="2"/>
          </reference>
        </references>
      </pivotArea>
    </format>
    <format dxfId="9198">
      <pivotArea dataOnly="0" labelOnly="1" outline="0" fieldPosition="0">
        <references count="3">
          <reference field="11" count="1" selected="0">
            <x v="279"/>
          </reference>
          <reference field="14" count="1" selected="0">
            <x v="153"/>
          </reference>
          <reference field="18" count="1" defaultSubtotal="1">
            <x v="2"/>
          </reference>
        </references>
      </pivotArea>
    </format>
    <format dxfId="9197">
      <pivotArea dataOnly="0" labelOnly="1" outline="0" fieldPosition="0">
        <references count="3">
          <reference field="11" count="1" selected="0">
            <x v="280"/>
          </reference>
          <reference field="14" count="1" selected="0">
            <x v="373"/>
          </reference>
          <reference field="18" count="2">
            <x v="1"/>
            <x v="11"/>
          </reference>
        </references>
      </pivotArea>
    </format>
    <format dxfId="9196">
      <pivotArea dataOnly="0" labelOnly="1" outline="0" fieldPosition="0">
        <references count="3">
          <reference field="11" count="1" selected="0">
            <x v="280"/>
          </reference>
          <reference field="14" count="1" selected="0">
            <x v="373"/>
          </reference>
          <reference field="18" count="2" defaultSubtotal="1">
            <x v="1"/>
            <x v="11"/>
          </reference>
        </references>
      </pivotArea>
    </format>
    <format dxfId="9195">
      <pivotArea dataOnly="0" labelOnly="1" outline="0" fieldPosition="0">
        <references count="3">
          <reference field="11" count="1" selected="0">
            <x v="281"/>
          </reference>
          <reference field="14" count="1" selected="0">
            <x v="165"/>
          </reference>
          <reference field="18" count="1">
            <x v="2"/>
          </reference>
        </references>
      </pivotArea>
    </format>
    <format dxfId="9194">
      <pivotArea dataOnly="0" labelOnly="1" outline="0" fieldPosition="0">
        <references count="3">
          <reference field="11" count="1" selected="0">
            <x v="281"/>
          </reference>
          <reference field="14" count="1" selected="0">
            <x v="165"/>
          </reference>
          <reference field="18" count="1" defaultSubtotal="1">
            <x v="2"/>
          </reference>
        </references>
      </pivotArea>
    </format>
    <format dxfId="9193">
      <pivotArea dataOnly="0" labelOnly="1" outline="0" fieldPosition="0">
        <references count="3">
          <reference field="11" count="1" selected="0">
            <x v="282"/>
          </reference>
          <reference field="14" count="1" selected="0">
            <x v="357"/>
          </reference>
          <reference field="18" count="1">
            <x v="0"/>
          </reference>
        </references>
      </pivotArea>
    </format>
    <format dxfId="9192">
      <pivotArea dataOnly="0" labelOnly="1" outline="0" fieldPosition="0">
        <references count="3">
          <reference field="11" count="1" selected="0">
            <x v="282"/>
          </reference>
          <reference field="14" count="1" selected="0">
            <x v="357"/>
          </reference>
          <reference field="18" count="1" defaultSubtotal="1">
            <x v="0"/>
          </reference>
        </references>
      </pivotArea>
    </format>
    <format dxfId="9191">
      <pivotArea dataOnly="0" labelOnly="1" outline="0" fieldPosition="0">
        <references count="3">
          <reference field="11" count="1" selected="0">
            <x v="283"/>
          </reference>
          <reference field="14" count="1" selected="0">
            <x v="162"/>
          </reference>
          <reference field="18" count="1">
            <x v="2"/>
          </reference>
        </references>
      </pivotArea>
    </format>
    <format dxfId="9190">
      <pivotArea dataOnly="0" labelOnly="1" outline="0" fieldPosition="0">
        <references count="3">
          <reference field="11" count="1" selected="0">
            <x v="283"/>
          </reference>
          <reference field="14" count="1" selected="0">
            <x v="162"/>
          </reference>
          <reference field="18" count="1" defaultSubtotal="1">
            <x v="2"/>
          </reference>
        </references>
      </pivotArea>
    </format>
    <format dxfId="9189">
      <pivotArea dataOnly="0" labelOnly="1" outline="0" fieldPosition="0">
        <references count="3">
          <reference field="11" count="1" selected="0">
            <x v="284"/>
          </reference>
          <reference field="14" count="1" selected="0">
            <x v="149"/>
          </reference>
          <reference field="18" count="1">
            <x v="14"/>
          </reference>
        </references>
      </pivotArea>
    </format>
    <format dxfId="9188">
      <pivotArea dataOnly="0" labelOnly="1" outline="0" fieldPosition="0">
        <references count="3">
          <reference field="11" count="1" selected="0">
            <x v="284"/>
          </reference>
          <reference field="14" count="1" selected="0">
            <x v="149"/>
          </reference>
          <reference field="18" count="1" defaultSubtotal="1">
            <x v="14"/>
          </reference>
        </references>
      </pivotArea>
    </format>
    <format dxfId="9187">
      <pivotArea dataOnly="0" labelOnly="1" outline="0" fieldPosition="0">
        <references count="3">
          <reference field="11" count="1" selected="0">
            <x v="285"/>
          </reference>
          <reference field="14" count="1" selected="0">
            <x v="365"/>
          </reference>
          <reference field="18" count="1">
            <x v="3"/>
          </reference>
        </references>
      </pivotArea>
    </format>
    <format dxfId="9186">
      <pivotArea dataOnly="0" labelOnly="1" outline="0" fieldPosition="0">
        <references count="3">
          <reference field="11" count="1" selected="0">
            <x v="285"/>
          </reference>
          <reference field="14" count="1" selected="0">
            <x v="365"/>
          </reference>
          <reference field="18" count="1" defaultSubtotal="1">
            <x v="3"/>
          </reference>
        </references>
      </pivotArea>
    </format>
    <format dxfId="9185">
      <pivotArea dataOnly="0" labelOnly="1" outline="0" fieldPosition="0">
        <references count="3">
          <reference field="11" count="1" selected="0">
            <x v="286"/>
          </reference>
          <reference field="14" count="1" selected="0">
            <x v="217"/>
          </reference>
          <reference field="18" count="1">
            <x v="14"/>
          </reference>
        </references>
      </pivotArea>
    </format>
    <format dxfId="9184">
      <pivotArea dataOnly="0" labelOnly="1" outline="0" fieldPosition="0">
        <references count="3">
          <reference field="11" count="1" selected="0">
            <x v="286"/>
          </reference>
          <reference field="14" count="1" selected="0">
            <x v="217"/>
          </reference>
          <reference field="18" count="1" defaultSubtotal="1">
            <x v="14"/>
          </reference>
        </references>
      </pivotArea>
    </format>
    <format dxfId="9183">
      <pivotArea dataOnly="0" labelOnly="1" outline="0" fieldPosition="0">
        <references count="3">
          <reference field="11" count="1" selected="0">
            <x v="287"/>
          </reference>
          <reference field="14" count="1" selected="0">
            <x v="197"/>
          </reference>
          <reference field="18" count="1">
            <x v="2"/>
          </reference>
        </references>
      </pivotArea>
    </format>
    <format dxfId="9182">
      <pivotArea dataOnly="0" labelOnly="1" outline="0" fieldPosition="0">
        <references count="3">
          <reference field="11" count="1" selected="0">
            <x v="287"/>
          </reference>
          <reference field="14" count="1" selected="0">
            <x v="197"/>
          </reference>
          <reference field="18" count="1" defaultSubtotal="1">
            <x v="2"/>
          </reference>
        </references>
      </pivotArea>
    </format>
    <format dxfId="9181">
      <pivotArea dataOnly="0" labelOnly="1" outline="0" fieldPosition="0">
        <references count="3">
          <reference field="11" count="1" selected="0">
            <x v="288"/>
          </reference>
          <reference field="14" count="1" selected="0">
            <x v="389"/>
          </reference>
          <reference field="18" count="1">
            <x v="2"/>
          </reference>
        </references>
      </pivotArea>
    </format>
    <format dxfId="9180">
      <pivotArea dataOnly="0" labelOnly="1" outline="0" fieldPosition="0">
        <references count="3">
          <reference field="11" count="1" selected="0">
            <x v="288"/>
          </reference>
          <reference field="14" count="1" selected="0">
            <x v="389"/>
          </reference>
          <reference field="18" count="1" defaultSubtotal="1">
            <x v="2"/>
          </reference>
        </references>
      </pivotArea>
    </format>
    <format dxfId="9179">
      <pivotArea dataOnly="0" labelOnly="1" outline="0" fieldPosition="0">
        <references count="3">
          <reference field="11" count="1" selected="0">
            <x v="289"/>
          </reference>
          <reference field="14" count="1" selected="0">
            <x v="171"/>
          </reference>
          <reference field="18" count="1">
            <x v="2"/>
          </reference>
        </references>
      </pivotArea>
    </format>
    <format dxfId="9178">
      <pivotArea dataOnly="0" labelOnly="1" outline="0" fieldPosition="0">
        <references count="3">
          <reference field="11" count="1" selected="0">
            <x v="289"/>
          </reference>
          <reference field="14" count="1" selected="0">
            <x v="171"/>
          </reference>
          <reference field="18" count="1" defaultSubtotal="1">
            <x v="2"/>
          </reference>
        </references>
      </pivotArea>
    </format>
    <format dxfId="9177">
      <pivotArea dataOnly="0" labelOnly="1" outline="0" fieldPosition="0">
        <references count="3">
          <reference field="11" count="1" selected="0">
            <x v="290"/>
          </reference>
          <reference field="14" count="1" selected="0">
            <x v="183"/>
          </reference>
          <reference field="18" count="2">
            <x v="3"/>
            <x v="6"/>
          </reference>
        </references>
      </pivotArea>
    </format>
    <format dxfId="9176">
      <pivotArea dataOnly="0" labelOnly="1" outline="0" fieldPosition="0">
        <references count="3">
          <reference field="11" count="1" selected="0">
            <x v="290"/>
          </reference>
          <reference field="14" count="1" selected="0">
            <x v="183"/>
          </reference>
          <reference field="18" count="2" defaultSubtotal="1">
            <x v="3"/>
            <x v="6"/>
          </reference>
        </references>
      </pivotArea>
    </format>
    <format dxfId="9175">
      <pivotArea dataOnly="0" labelOnly="1" outline="0" fieldPosition="0">
        <references count="3">
          <reference field="11" count="1" selected="0">
            <x v="291"/>
          </reference>
          <reference field="14" count="1" selected="0">
            <x v="3"/>
          </reference>
          <reference field="18" count="1">
            <x v="2"/>
          </reference>
        </references>
      </pivotArea>
    </format>
    <format dxfId="9174">
      <pivotArea dataOnly="0" labelOnly="1" outline="0" fieldPosition="0">
        <references count="3">
          <reference field="11" count="1" selected="0">
            <x v="291"/>
          </reference>
          <reference field="14" count="1" selected="0">
            <x v="3"/>
          </reference>
          <reference field="18" count="1" defaultSubtotal="1">
            <x v="2"/>
          </reference>
        </references>
      </pivotArea>
    </format>
    <format dxfId="9173">
      <pivotArea dataOnly="0" labelOnly="1" outline="0" fieldPosition="0">
        <references count="3">
          <reference field="11" count="1" selected="0">
            <x v="292"/>
          </reference>
          <reference field="14" count="1" selected="0">
            <x v="172"/>
          </reference>
          <reference field="18" count="1">
            <x v="2"/>
          </reference>
        </references>
      </pivotArea>
    </format>
    <format dxfId="9172">
      <pivotArea dataOnly="0" labelOnly="1" outline="0" fieldPosition="0">
        <references count="3">
          <reference field="11" count="1" selected="0">
            <x v="292"/>
          </reference>
          <reference field="14" count="1" selected="0">
            <x v="172"/>
          </reference>
          <reference field="18" count="1" defaultSubtotal="1">
            <x v="2"/>
          </reference>
        </references>
      </pivotArea>
    </format>
    <format dxfId="9171">
      <pivotArea dataOnly="0" labelOnly="1" outline="0" fieldPosition="0">
        <references count="3">
          <reference field="11" count="1" selected="0">
            <x v="293"/>
          </reference>
          <reference field="14" count="1" selected="0">
            <x v="168"/>
          </reference>
          <reference field="18" count="1">
            <x v="14"/>
          </reference>
        </references>
      </pivotArea>
    </format>
    <format dxfId="9170">
      <pivotArea dataOnly="0" labelOnly="1" outline="0" fieldPosition="0">
        <references count="3">
          <reference field="11" count="1" selected="0">
            <x v="293"/>
          </reference>
          <reference field="14" count="1" selected="0">
            <x v="168"/>
          </reference>
          <reference field="18" count="1" defaultSubtotal="1">
            <x v="14"/>
          </reference>
        </references>
      </pivotArea>
    </format>
    <format dxfId="9169">
      <pivotArea dataOnly="0" labelOnly="1" outline="0" fieldPosition="0">
        <references count="3">
          <reference field="11" count="1" selected="0">
            <x v="294"/>
          </reference>
          <reference field="14" count="1" selected="0">
            <x v="67"/>
          </reference>
          <reference field="18" count="1">
            <x v="0"/>
          </reference>
        </references>
      </pivotArea>
    </format>
    <format dxfId="9168">
      <pivotArea dataOnly="0" labelOnly="1" outline="0" fieldPosition="0">
        <references count="3">
          <reference field="11" count="1" selected="0">
            <x v="294"/>
          </reference>
          <reference field="14" count="1" selected="0">
            <x v="67"/>
          </reference>
          <reference field="18" count="1" defaultSubtotal="1">
            <x v="0"/>
          </reference>
        </references>
      </pivotArea>
    </format>
    <format dxfId="9167">
      <pivotArea dataOnly="0" labelOnly="1" outline="0" fieldPosition="0">
        <references count="3">
          <reference field="11" count="1" selected="0">
            <x v="295"/>
          </reference>
          <reference field="14" count="1" selected="0">
            <x v="64"/>
          </reference>
          <reference field="18" count="1">
            <x v="1"/>
          </reference>
        </references>
      </pivotArea>
    </format>
    <format dxfId="9166">
      <pivotArea dataOnly="0" labelOnly="1" outline="0" fieldPosition="0">
        <references count="3">
          <reference field="11" count="1" selected="0">
            <x v="295"/>
          </reference>
          <reference field="14" count="1" selected="0">
            <x v="64"/>
          </reference>
          <reference field="18" count="1" defaultSubtotal="1">
            <x v="1"/>
          </reference>
        </references>
      </pivotArea>
    </format>
    <format dxfId="9165">
      <pivotArea dataOnly="0" labelOnly="1" outline="0" fieldPosition="0">
        <references count="3">
          <reference field="11" count="1" selected="0">
            <x v="296"/>
          </reference>
          <reference field="14" count="1" selected="0">
            <x v="143"/>
          </reference>
          <reference field="18" count="1">
            <x v="3"/>
          </reference>
        </references>
      </pivotArea>
    </format>
    <format dxfId="9164">
      <pivotArea dataOnly="0" labelOnly="1" outline="0" fieldPosition="0">
        <references count="3">
          <reference field="11" count="1" selected="0">
            <x v="296"/>
          </reference>
          <reference field="14" count="1" selected="0">
            <x v="143"/>
          </reference>
          <reference field="18" count="1" defaultSubtotal="1">
            <x v="3"/>
          </reference>
        </references>
      </pivotArea>
    </format>
    <format dxfId="9163">
      <pivotArea dataOnly="0" labelOnly="1" outline="0" fieldPosition="0">
        <references count="3">
          <reference field="11" count="1" selected="0">
            <x v="297"/>
          </reference>
          <reference field="14" count="1" selected="0">
            <x v="34"/>
          </reference>
          <reference field="18" count="1">
            <x v="20"/>
          </reference>
        </references>
      </pivotArea>
    </format>
    <format dxfId="9162">
      <pivotArea dataOnly="0" labelOnly="1" outline="0" fieldPosition="0">
        <references count="3">
          <reference field="11" count="1" selected="0">
            <x v="297"/>
          </reference>
          <reference field="14" count="1" selected="0">
            <x v="34"/>
          </reference>
          <reference field="18" count="1" defaultSubtotal="1">
            <x v="20"/>
          </reference>
        </references>
      </pivotArea>
    </format>
    <format dxfId="9161">
      <pivotArea dataOnly="0" labelOnly="1" outline="0" fieldPosition="0">
        <references count="3">
          <reference field="11" count="1" selected="0">
            <x v="298"/>
          </reference>
          <reference field="14" count="1" selected="0">
            <x v="310"/>
          </reference>
          <reference field="18" count="1">
            <x v="19"/>
          </reference>
        </references>
      </pivotArea>
    </format>
    <format dxfId="9160">
      <pivotArea dataOnly="0" labelOnly="1" outline="0" fieldPosition="0">
        <references count="3">
          <reference field="11" count="1" selected="0">
            <x v="298"/>
          </reference>
          <reference field="14" count="1" selected="0">
            <x v="310"/>
          </reference>
          <reference field="18" count="1" defaultSubtotal="1">
            <x v="19"/>
          </reference>
        </references>
      </pivotArea>
    </format>
    <format dxfId="9159">
      <pivotArea dataOnly="0" labelOnly="1" outline="0" fieldPosition="0">
        <references count="3">
          <reference field="11" count="1" selected="0">
            <x v="299"/>
          </reference>
          <reference field="14" count="1" selected="0">
            <x v="129"/>
          </reference>
          <reference field="18" count="1">
            <x v="2"/>
          </reference>
        </references>
      </pivotArea>
    </format>
    <format dxfId="9158">
      <pivotArea dataOnly="0" labelOnly="1" outline="0" fieldPosition="0">
        <references count="3">
          <reference field="11" count="1" selected="0">
            <x v="299"/>
          </reference>
          <reference field="14" count="1" selected="0">
            <x v="129"/>
          </reference>
          <reference field="18" count="1" defaultSubtotal="1">
            <x v="2"/>
          </reference>
        </references>
      </pivotArea>
    </format>
    <format dxfId="9157">
      <pivotArea dataOnly="0" labelOnly="1" outline="0" fieldPosition="0">
        <references count="3">
          <reference field="11" count="1" selected="0">
            <x v="300"/>
          </reference>
          <reference field="14" count="1" selected="0">
            <x v="393"/>
          </reference>
          <reference field="18" count="1">
            <x v="2"/>
          </reference>
        </references>
      </pivotArea>
    </format>
    <format dxfId="9156">
      <pivotArea dataOnly="0" labelOnly="1" outline="0" fieldPosition="0">
        <references count="3">
          <reference field="11" count="1" selected="0">
            <x v="300"/>
          </reference>
          <reference field="14" count="1" selected="0">
            <x v="393"/>
          </reference>
          <reference field="18" count="1" defaultSubtotal="1">
            <x v="2"/>
          </reference>
        </references>
      </pivotArea>
    </format>
    <format dxfId="9155">
      <pivotArea dataOnly="0" labelOnly="1" outline="0" fieldPosition="0">
        <references count="3">
          <reference field="11" count="1" selected="0">
            <x v="301"/>
          </reference>
          <reference field="14" count="1" selected="0">
            <x v="100"/>
          </reference>
          <reference field="18" count="1">
            <x v="0"/>
          </reference>
        </references>
      </pivotArea>
    </format>
    <format dxfId="9154">
      <pivotArea dataOnly="0" labelOnly="1" outline="0" fieldPosition="0">
        <references count="3">
          <reference field="11" count="1" selected="0">
            <x v="301"/>
          </reference>
          <reference field="14" count="1" selected="0">
            <x v="100"/>
          </reference>
          <reference field="18" count="1" defaultSubtotal="1">
            <x v="0"/>
          </reference>
        </references>
      </pivotArea>
    </format>
    <format dxfId="9153">
      <pivotArea dataOnly="0" labelOnly="1" outline="0" fieldPosition="0">
        <references count="3">
          <reference field="11" count="1" selected="0">
            <x v="302"/>
          </reference>
          <reference field="14" count="1" selected="0">
            <x v="62"/>
          </reference>
          <reference field="18" count="2">
            <x v="0"/>
            <x v="2"/>
          </reference>
        </references>
      </pivotArea>
    </format>
    <format dxfId="9152">
      <pivotArea dataOnly="0" labelOnly="1" outline="0" fieldPosition="0">
        <references count="3">
          <reference field="11" count="1" selected="0">
            <x v="302"/>
          </reference>
          <reference field="14" count="1" selected="0">
            <x v="62"/>
          </reference>
          <reference field="18" count="2" defaultSubtotal="1">
            <x v="0"/>
            <x v="2"/>
          </reference>
        </references>
      </pivotArea>
    </format>
    <format dxfId="9151">
      <pivotArea dataOnly="0" labelOnly="1" outline="0" fieldPosition="0">
        <references count="3">
          <reference field="11" count="1" selected="0">
            <x v="303"/>
          </reference>
          <reference field="14" count="1" selected="0">
            <x v="122"/>
          </reference>
          <reference field="18" count="1">
            <x v="2"/>
          </reference>
        </references>
      </pivotArea>
    </format>
    <format dxfId="9150">
      <pivotArea dataOnly="0" labelOnly="1" outline="0" fieldPosition="0">
        <references count="3">
          <reference field="11" count="1" selected="0">
            <x v="303"/>
          </reference>
          <reference field="14" count="1" selected="0">
            <x v="122"/>
          </reference>
          <reference field="18" count="1" defaultSubtotal="1">
            <x v="2"/>
          </reference>
        </references>
      </pivotArea>
    </format>
    <format dxfId="9149">
      <pivotArea dataOnly="0" labelOnly="1" outline="0" fieldPosition="0">
        <references count="3">
          <reference field="11" count="1" selected="0">
            <x v="304"/>
          </reference>
          <reference field="14" count="1" selected="0">
            <x v="464"/>
          </reference>
          <reference field="18" count="2">
            <x v="0"/>
            <x v="2"/>
          </reference>
        </references>
      </pivotArea>
    </format>
    <format dxfId="9148">
      <pivotArea dataOnly="0" labelOnly="1" outline="0" fieldPosition="0">
        <references count="3">
          <reference field="11" count="1" selected="0">
            <x v="304"/>
          </reference>
          <reference field="14" count="1" selected="0">
            <x v="464"/>
          </reference>
          <reference field="18" count="2" defaultSubtotal="1">
            <x v="0"/>
            <x v="2"/>
          </reference>
        </references>
      </pivotArea>
    </format>
    <format dxfId="9147">
      <pivotArea dataOnly="0" labelOnly="1" outline="0" fieldPosition="0">
        <references count="3">
          <reference field="11" count="1" selected="0">
            <x v="305"/>
          </reference>
          <reference field="14" count="1" selected="0">
            <x v="121"/>
          </reference>
          <reference field="18" count="1">
            <x v="2"/>
          </reference>
        </references>
      </pivotArea>
    </format>
    <format dxfId="9146">
      <pivotArea dataOnly="0" labelOnly="1" outline="0" fieldPosition="0">
        <references count="3">
          <reference field="11" count="1" selected="0">
            <x v="305"/>
          </reference>
          <reference field="14" count="1" selected="0">
            <x v="121"/>
          </reference>
          <reference field="18" count="1" defaultSubtotal="1">
            <x v="2"/>
          </reference>
        </references>
      </pivotArea>
    </format>
    <format dxfId="9145">
      <pivotArea dataOnly="0" labelOnly="1" outline="0" fieldPosition="0">
        <references count="3">
          <reference field="11" count="1" selected="0">
            <x v="306"/>
          </reference>
          <reference field="14" count="1" selected="0">
            <x v="178"/>
          </reference>
          <reference field="18" count="1">
            <x v="6"/>
          </reference>
        </references>
      </pivotArea>
    </format>
    <format dxfId="9144">
      <pivotArea dataOnly="0" labelOnly="1" outline="0" fieldPosition="0">
        <references count="3">
          <reference field="11" count="1" selected="0">
            <x v="306"/>
          </reference>
          <reference field="14" count="1" selected="0">
            <x v="178"/>
          </reference>
          <reference field="18" count="1" defaultSubtotal="1">
            <x v="6"/>
          </reference>
        </references>
      </pivotArea>
    </format>
    <format dxfId="9143">
      <pivotArea dataOnly="0" labelOnly="1" outline="0" fieldPosition="0">
        <references count="3">
          <reference field="11" count="1" selected="0">
            <x v="307"/>
          </reference>
          <reference field="14" count="1" selected="0">
            <x v="120"/>
          </reference>
          <reference field="18" count="1">
            <x v="2"/>
          </reference>
        </references>
      </pivotArea>
    </format>
    <format dxfId="9142">
      <pivotArea dataOnly="0" labelOnly="1" outline="0" fieldPosition="0">
        <references count="3">
          <reference field="11" count="1" selected="0">
            <x v="307"/>
          </reference>
          <reference field="14" count="1" selected="0">
            <x v="120"/>
          </reference>
          <reference field="18" count="1" defaultSubtotal="1">
            <x v="2"/>
          </reference>
        </references>
      </pivotArea>
    </format>
    <format dxfId="9141">
      <pivotArea dataOnly="0" labelOnly="1" outline="0" fieldPosition="0">
        <references count="3">
          <reference field="11" count="1" selected="0">
            <x v="308"/>
          </reference>
          <reference field="14" count="1" selected="0">
            <x v="127"/>
          </reference>
          <reference field="18" count="3">
            <x v="0"/>
            <x v="2"/>
            <x v="12"/>
          </reference>
        </references>
      </pivotArea>
    </format>
    <format dxfId="9140">
      <pivotArea dataOnly="0" labelOnly="1" outline="0" fieldPosition="0">
        <references count="3">
          <reference field="11" count="1" selected="0">
            <x v="308"/>
          </reference>
          <reference field="14" count="1" selected="0">
            <x v="127"/>
          </reference>
          <reference field="18" count="3" defaultSubtotal="1">
            <x v="0"/>
            <x v="2"/>
            <x v="12"/>
          </reference>
        </references>
      </pivotArea>
    </format>
    <format dxfId="9139">
      <pivotArea dataOnly="0" labelOnly="1" outline="0" fieldPosition="0">
        <references count="3">
          <reference field="11" count="1" selected="0">
            <x v="309"/>
          </reference>
          <reference field="14" count="1" selected="0">
            <x v="316"/>
          </reference>
          <reference field="18" count="1">
            <x v="0"/>
          </reference>
        </references>
      </pivotArea>
    </format>
    <format dxfId="9138">
      <pivotArea dataOnly="0" labelOnly="1" outline="0" fieldPosition="0">
        <references count="3">
          <reference field="11" count="1" selected="0">
            <x v="309"/>
          </reference>
          <reference field="14" count="1" selected="0">
            <x v="316"/>
          </reference>
          <reference field="18" count="1" defaultSubtotal="1">
            <x v="0"/>
          </reference>
        </references>
      </pivotArea>
    </format>
    <format dxfId="9137">
      <pivotArea dataOnly="0" labelOnly="1" outline="0" fieldPosition="0">
        <references count="3">
          <reference field="11" count="1" selected="0">
            <x v="310"/>
          </reference>
          <reference field="14" count="1" selected="0">
            <x v="376"/>
          </reference>
          <reference field="18" count="1">
            <x v="2"/>
          </reference>
        </references>
      </pivotArea>
    </format>
    <format dxfId="9136">
      <pivotArea dataOnly="0" labelOnly="1" outline="0" fieldPosition="0">
        <references count="3">
          <reference field="11" count="1" selected="0">
            <x v="310"/>
          </reference>
          <reference field="14" count="1" selected="0">
            <x v="376"/>
          </reference>
          <reference field="18" count="1" defaultSubtotal="1">
            <x v="2"/>
          </reference>
        </references>
      </pivotArea>
    </format>
    <format dxfId="9135">
      <pivotArea dataOnly="0" labelOnly="1" outline="0" fieldPosition="0">
        <references count="3">
          <reference field="11" count="1" selected="0">
            <x v="311"/>
          </reference>
          <reference field="14" count="1" selected="0">
            <x v="302"/>
          </reference>
          <reference field="18" count="2">
            <x v="6"/>
            <x v="27"/>
          </reference>
        </references>
      </pivotArea>
    </format>
    <format dxfId="9134">
      <pivotArea dataOnly="0" labelOnly="1" outline="0" fieldPosition="0">
        <references count="3">
          <reference field="11" count="1" selected="0">
            <x v="311"/>
          </reference>
          <reference field="14" count="1" selected="0">
            <x v="302"/>
          </reference>
          <reference field="18" count="2" defaultSubtotal="1">
            <x v="6"/>
            <x v="27"/>
          </reference>
        </references>
      </pivotArea>
    </format>
    <format dxfId="9133">
      <pivotArea dataOnly="0" labelOnly="1" outline="0" fieldPosition="0">
        <references count="3">
          <reference field="11" count="1" selected="0">
            <x v="312"/>
          </reference>
          <reference field="14" count="1" selected="0">
            <x v="130"/>
          </reference>
          <reference field="18" count="2">
            <x v="0"/>
            <x v="14"/>
          </reference>
        </references>
      </pivotArea>
    </format>
    <format dxfId="9132">
      <pivotArea dataOnly="0" labelOnly="1" outline="0" fieldPosition="0">
        <references count="3">
          <reference field="11" count="1" selected="0">
            <x v="312"/>
          </reference>
          <reference field="14" count="1" selected="0">
            <x v="130"/>
          </reference>
          <reference field="18" count="2" defaultSubtotal="1">
            <x v="0"/>
            <x v="14"/>
          </reference>
        </references>
      </pivotArea>
    </format>
    <format dxfId="9131">
      <pivotArea dataOnly="0" labelOnly="1" outline="0" fieldPosition="0">
        <references count="3">
          <reference field="11" count="1" selected="0">
            <x v="313"/>
          </reference>
          <reference field="14" count="1" selected="0">
            <x v="123"/>
          </reference>
          <reference field="18" count="1">
            <x v="7"/>
          </reference>
        </references>
      </pivotArea>
    </format>
    <format dxfId="9130">
      <pivotArea dataOnly="0" labelOnly="1" outline="0" fieldPosition="0">
        <references count="3">
          <reference field="11" count="1" selected="0">
            <x v="313"/>
          </reference>
          <reference field="14" count="1" selected="0">
            <x v="123"/>
          </reference>
          <reference field="18" count="1" defaultSubtotal="1">
            <x v="7"/>
          </reference>
        </references>
      </pivotArea>
    </format>
    <format dxfId="9129">
      <pivotArea dataOnly="0" labelOnly="1" outline="0" fieldPosition="0">
        <references count="3">
          <reference field="11" count="1" selected="0">
            <x v="314"/>
          </reference>
          <reference field="14" count="1" selected="0">
            <x v="8"/>
          </reference>
          <reference field="18" count="1">
            <x v="2"/>
          </reference>
        </references>
      </pivotArea>
    </format>
    <format dxfId="9128">
      <pivotArea dataOnly="0" labelOnly="1" outline="0" fieldPosition="0">
        <references count="3">
          <reference field="11" count="1" selected="0">
            <x v="314"/>
          </reference>
          <reference field="14" count="1" selected="0">
            <x v="8"/>
          </reference>
          <reference field="18" count="1" defaultSubtotal="1">
            <x v="2"/>
          </reference>
        </references>
      </pivotArea>
    </format>
    <format dxfId="9127">
      <pivotArea dataOnly="0" labelOnly="1" outline="0" fieldPosition="0">
        <references count="3">
          <reference field="11" count="1" selected="0">
            <x v="315"/>
          </reference>
          <reference field="14" count="1" selected="0">
            <x v="247"/>
          </reference>
          <reference field="18" count="1">
            <x v="14"/>
          </reference>
        </references>
      </pivotArea>
    </format>
    <format dxfId="9126">
      <pivotArea dataOnly="0" labelOnly="1" outline="0" fieldPosition="0">
        <references count="3">
          <reference field="11" count="1" selected="0">
            <x v="315"/>
          </reference>
          <reference field="14" count="1" selected="0">
            <x v="247"/>
          </reference>
          <reference field="18" count="1" defaultSubtotal="1">
            <x v="14"/>
          </reference>
        </references>
      </pivotArea>
    </format>
    <format dxfId="9125">
      <pivotArea dataOnly="0" labelOnly="1" outline="0" fieldPosition="0">
        <references count="3">
          <reference field="11" count="1" selected="0">
            <x v="316"/>
          </reference>
          <reference field="14" count="1" selected="0">
            <x v="44"/>
          </reference>
          <reference field="18" count="1">
            <x v="0"/>
          </reference>
        </references>
      </pivotArea>
    </format>
    <format dxfId="9124">
      <pivotArea dataOnly="0" labelOnly="1" outline="0" fieldPosition="0">
        <references count="3">
          <reference field="11" count="1" selected="0">
            <x v="316"/>
          </reference>
          <reference field="14" count="1" selected="0">
            <x v="44"/>
          </reference>
          <reference field="18" count="1" defaultSubtotal="1">
            <x v="0"/>
          </reference>
        </references>
      </pivotArea>
    </format>
    <format dxfId="9123">
      <pivotArea dataOnly="0" labelOnly="1" outline="0" fieldPosition="0">
        <references count="3">
          <reference field="11" count="1" selected="0">
            <x v="317"/>
          </reference>
          <reference field="14" count="1" selected="0">
            <x v="70"/>
          </reference>
          <reference field="18" count="2">
            <x v="0"/>
            <x v="2"/>
          </reference>
        </references>
      </pivotArea>
    </format>
    <format dxfId="9122">
      <pivotArea dataOnly="0" labelOnly="1" outline="0" fieldPosition="0">
        <references count="3">
          <reference field="11" count="1" selected="0">
            <x v="317"/>
          </reference>
          <reference field="14" count="1" selected="0">
            <x v="70"/>
          </reference>
          <reference field="18" count="2" defaultSubtotal="1">
            <x v="0"/>
            <x v="2"/>
          </reference>
        </references>
      </pivotArea>
    </format>
    <format dxfId="9121">
      <pivotArea dataOnly="0" labelOnly="1" outline="0" fieldPosition="0">
        <references count="3">
          <reference field="11" count="1" selected="0">
            <x v="318"/>
          </reference>
          <reference field="14" count="1" selected="0">
            <x v="68"/>
          </reference>
          <reference field="18" count="2">
            <x v="0"/>
            <x v="2"/>
          </reference>
        </references>
      </pivotArea>
    </format>
    <format dxfId="9120">
      <pivotArea dataOnly="0" labelOnly="1" outline="0" fieldPosition="0">
        <references count="3">
          <reference field="11" count="1" selected="0">
            <x v="318"/>
          </reference>
          <reference field="14" count="1" selected="0">
            <x v="68"/>
          </reference>
          <reference field="18" count="2" defaultSubtotal="1">
            <x v="0"/>
            <x v="2"/>
          </reference>
        </references>
      </pivotArea>
    </format>
    <format dxfId="9119">
      <pivotArea dataOnly="0" labelOnly="1" outline="0" fieldPosition="0">
        <references count="3">
          <reference field="11" count="1" selected="0">
            <x v="319"/>
          </reference>
          <reference field="14" count="1" selected="0">
            <x v="69"/>
          </reference>
          <reference field="18" count="2">
            <x v="0"/>
            <x v="2"/>
          </reference>
        </references>
      </pivotArea>
    </format>
    <format dxfId="9118">
      <pivotArea dataOnly="0" labelOnly="1" outline="0" fieldPosition="0">
        <references count="3">
          <reference field="11" count="1" selected="0">
            <x v="319"/>
          </reference>
          <reference field="14" count="1" selected="0">
            <x v="69"/>
          </reference>
          <reference field="18" count="2" defaultSubtotal="1">
            <x v="0"/>
            <x v="2"/>
          </reference>
        </references>
      </pivotArea>
    </format>
    <format dxfId="9117">
      <pivotArea dataOnly="0" labelOnly="1" outline="0" fieldPosition="0">
        <references count="3">
          <reference field="11" count="1" selected="0">
            <x v="320"/>
          </reference>
          <reference field="14" count="1" selected="0">
            <x v="35"/>
          </reference>
          <reference field="18" count="1">
            <x v="1"/>
          </reference>
        </references>
      </pivotArea>
    </format>
    <format dxfId="9116">
      <pivotArea dataOnly="0" labelOnly="1" outline="0" fieldPosition="0">
        <references count="3">
          <reference field="11" count="1" selected="0">
            <x v="320"/>
          </reference>
          <reference field="14" count="1" selected="0">
            <x v="35"/>
          </reference>
          <reference field="18" count="1" defaultSubtotal="1">
            <x v="1"/>
          </reference>
        </references>
      </pivotArea>
    </format>
    <format dxfId="9115">
      <pivotArea dataOnly="0" labelOnly="1" outline="0" fieldPosition="0">
        <references count="3">
          <reference field="11" count="1" selected="0">
            <x v="321"/>
          </reference>
          <reference field="14" count="1" selected="0">
            <x v="456"/>
          </reference>
          <reference field="18" count="1">
            <x v="6"/>
          </reference>
        </references>
      </pivotArea>
    </format>
    <format dxfId="9114">
      <pivotArea dataOnly="0" labelOnly="1" outline="0" fieldPosition="0">
        <references count="3">
          <reference field="11" count="1" selected="0">
            <x v="321"/>
          </reference>
          <reference field="14" count="1" selected="0">
            <x v="456"/>
          </reference>
          <reference field="18" count="1" defaultSubtotal="1">
            <x v="6"/>
          </reference>
        </references>
      </pivotArea>
    </format>
    <format dxfId="9113">
      <pivotArea dataOnly="0" labelOnly="1" outline="0" fieldPosition="0">
        <references count="3">
          <reference field="11" count="1" selected="0">
            <x v="322"/>
          </reference>
          <reference field="14" count="1" selected="0">
            <x v="243"/>
          </reference>
          <reference field="18" count="1">
            <x v="6"/>
          </reference>
        </references>
      </pivotArea>
    </format>
    <format dxfId="9112">
      <pivotArea dataOnly="0" labelOnly="1" outline="0" fieldPosition="0">
        <references count="3">
          <reference field="11" count="1" selected="0">
            <x v="322"/>
          </reference>
          <reference field="14" count="1" selected="0">
            <x v="243"/>
          </reference>
          <reference field="18" count="1" defaultSubtotal="1">
            <x v="6"/>
          </reference>
        </references>
      </pivotArea>
    </format>
    <format dxfId="9111">
      <pivotArea dataOnly="0" labelOnly="1" outline="0" fieldPosition="0">
        <references count="3">
          <reference field="11" count="1" selected="0">
            <x v="323"/>
          </reference>
          <reference field="14" count="1" selected="0">
            <x v="428"/>
          </reference>
          <reference field="18" count="1">
            <x v="19"/>
          </reference>
        </references>
      </pivotArea>
    </format>
    <format dxfId="9110">
      <pivotArea dataOnly="0" labelOnly="1" outline="0" fieldPosition="0">
        <references count="3">
          <reference field="11" count="1" selected="0">
            <x v="323"/>
          </reference>
          <reference field="14" count="1" selected="0">
            <x v="428"/>
          </reference>
          <reference field="18" count="1" defaultSubtotal="1">
            <x v="19"/>
          </reference>
        </references>
      </pivotArea>
    </format>
    <format dxfId="9109">
      <pivotArea dataOnly="0" labelOnly="1" outline="0" fieldPosition="0">
        <references count="3">
          <reference field="11" count="1" selected="0">
            <x v="324"/>
          </reference>
          <reference field="14" count="1" selected="0">
            <x v="9"/>
          </reference>
          <reference field="18" count="2">
            <x v="0"/>
            <x v="2"/>
          </reference>
        </references>
      </pivotArea>
    </format>
    <format dxfId="9108">
      <pivotArea dataOnly="0" labelOnly="1" outline="0" fieldPosition="0">
        <references count="3">
          <reference field="11" count="1" selected="0">
            <x v="324"/>
          </reference>
          <reference field="14" count="1" selected="0">
            <x v="9"/>
          </reference>
          <reference field="18" count="2" defaultSubtotal="1">
            <x v="0"/>
            <x v="2"/>
          </reference>
        </references>
      </pivotArea>
    </format>
    <format dxfId="9107">
      <pivotArea dataOnly="0" labelOnly="1" outline="0" fieldPosition="0">
        <references count="3">
          <reference field="11" count="1" selected="0">
            <x v="325"/>
          </reference>
          <reference field="14" count="1" selected="0">
            <x v="225"/>
          </reference>
          <reference field="18" count="1">
            <x v="0"/>
          </reference>
        </references>
      </pivotArea>
    </format>
    <format dxfId="9106">
      <pivotArea dataOnly="0" labelOnly="1" outline="0" fieldPosition="0">
        <references count="3">
          <reference field="11" count="1" selected="0">
            <x v="325"/>
          </reference>
          <reference field="14" count="1" selected="0">
            <x v="225"/>
          </reference>
          <reference field="18" count="1" defaultSubtotal="1">
            <x v="0"/>
          </reference>
        </references>
      </pivotArea>
    </format>
    <format dxfId="9105">
      <pivotArea dataOnly="0" labelOnly="1" outline="0" fieldPosition="0">
        <references count="3">
          <reference field="11" count="1" selected="0">
            <x v="326"/>
          </reference>
          <reference field="14" count="1" selected="0">
            <x v="370"/>
          </reference>
          <reference field="18" count="1">
            <x v="2"/>
          </reference>
        </references>
      </pivotArea>
    </format>
    <format dxfId="9104">
      <pivotArea dataOnly="0" labelOnly="1" outline="0" fieldPosition="0">
        <references count="3">
          <reference field="11" count="1" selected="0">
            <x v="326"/>
          </reference>
          <reference field="14" count="1" selected="0">
            <x v="370"/>
          </reference>
          <reference field="18" count="1" defaultSubtotal="1">
            <x v="2"/>
          </reference>
        </references>
      </pivotArea>
    </format>
    <format dxfId="9103">
      <pivotArea dataOnly="0" labelOnly="1" outline="0" fieldPosition="0">
        <references count="3">
          <reference field="11" count="1" selected="0">
            <x v="327"/>
          </reference>
          <reference field="14" count="1" selected="0">
            <x v="60"/>
          </reference>
          <reference field="18" count="2">
            <x v="2"/>
            <x v="14"/>
          </reference>
        </references>
      </pivotArea>
    </format>
    <format dxfId="9102">
      <pivotArea dataOnly="0" labelOnly="1" outline="0" fieldPosition="0">
        <references count="3">
          <reference field="11" count="1" selected="0">
            <x v="327"/>
          </reference>
          <reference field="14" count="1" selected="0">
            <x v="60"/>
          </reference>
          <reference field="18" count="2" defaultSubtotal="1">
            <x v="2"/>
            <x v="14"/>
          </reference>
        </references>
      </pivotArea>
    </format>
    <format dxfId="9101">
      <pivotArea dataOnly="0" labelOnly="1" outline="0" fieldPosition="0">
        <references count="3">
          <reference field="11" count="1" selected="0">
            <x v="328"/>
          </reference>
          <reference field="14" count="1" selected="0">
            <x v="159"/>
          </reference>
          <reference field="18" count="1">
            <x v="2"/>
          </reference>
        </references>
      </pivotArea>
    </format>
    <format dxfId="9100">
      <pivotArea dataOnly="0" labelOnly="1" outline="0" fieldPosition="0">
        <references count="3">
          <reference field="11" count="1" selected="0">
            <x v="328"/>
          </reference>
          <reference field="14" count="1" selected="0">
            <x v="159"/>
          </reference>
          <reference field="18" count="1" defaultSubtotal="1">
            <x v="2"/>
          </reference>
        </references>
      </pivotArea>
    </format>
    <format dxfId="9099">
      <pivotArea dataOnly="0" labelOnly="1" outline="0" fieldPosition="0">
        <references count="3">
          <reference field="11" count="1" selected="0">
            <x v="329"/>
          </reference>
          <reference field="14" count="1" selected="0">
            <x v="134"/>
          </reference>
          <reference field="18" count="1">
            <x v="2"/>
          </reference>
        </references>
      </pivotArea>
    </format>
    <format dxfId="9098">
      <pivotArea dataOnly="0" labelOnly="1" outline="0" fieldPosition="0">
        <references count="3">
          <reference field="11" count="1" selected="0">
            <x v="329"/>
          </reference>
          <reference field="14" count="1" selected="0">
            <x v="134"/>
          </reference>
          <reference field="18" count="1" defaultSubtotal="1">
            <x v="2"/>
          </reference>
        </references>
      </pivotArea>
    </format>
    <format dxfId="9097">
      <pivotArea dataOnly="0" labelOnly="1" outline="0" fieldPosition="0">
        <references count="3">
          <reference field="11" count="1" selected="0">
            <x v="330"/>
          </reference>
          <reference field="14" count="1" selected="0">
            <x v="170"/>
          </reference>
          <reference field="18" count="1">
            <x v="2"/>
          </reference>
        </references>
      </pivotArea>
    </format>
    <format dxfId="9096">
      <pivotArea dataOnly="0" labelOnly="1" outline="0" fieldPosition="0">
        <references count="3">
          <reference field="11" count="1" selected="0">
            <x v="330"/>
          </reference>
          <reference field="14" count="1" selected="0">
            <x v="170"/>
          </reference>
          <reference field="18" count="1" defaultSubtotal="1">
            <x v="2"/>
          </reference>
        </references>
      </pivotArea>
    </format>
    <format dxfId="9095">
      <pivotArea dataOnly="0" labelOnly="1" outline="0" fieldPosition="0">
        <references count="3">
          <reference field="11" count="1" selected="0">
            <x v="331"/>
          </reference>
          <reference field="14" count="1" selected="0">
            <x v="132"/>
          </reference>
          <reference field="18" count="1">
            <x v="6"/>
          </reference>
        </references>
      </pivotArea>
    </format>
    <format dxfId="9094">
      <pivotArea dataOnly="0" labelOnly="1" outline="0" fieldPosition="0">
        <references count="3">
          <reference field="11" count="1" selected="0">
            <x v="331"/>
          </reference>
          <reference field="14" count="1" selected="0">
            <x v="132"/>
          </reference>
          <reference field="18" count="1" defaultSubtotal="1">
            <x v="6"/>
          </reference>
        </references>
      </pivotArea>
    </format>
    <format dxfId="9093">
      <pivotArea dataOnly="0" labelOnly="1" outline="0" fieldPosition="0">
        <references count="3">
          <reference field="11" count="1" selected="0">
            <x v="332"/>
          </reference>
          <reference field="14" count="1" selected="0">
            <x v="74"/>
          </reference>
          <reference field="18" count="2">
            <x v="16"/>
            <x v="21"/>
          </reference>
        </references>
      </pivotArea>
    </format>
    <format dxfId="9092">
      <pivotArea dataOnly="0" labelOnly="1" outline="0" fieldPosition="0">
        <references count="3">
          <reference field="11" count="1" selected="0">
            <x v="332"/>
          </reference>
          <reference field="14" count="1" selected="0">
            <x v="74"/>
          </reference>
          <reference field="18" count="2" defaultSubtotal="1">
            <x v="16"/>
            <x v="21"/>
          </reference>
        </references>
      </pivotArea>
    </format>
    <format dxfId="9091">
      <pivotArea dataOnly="0" labelOnly="1" outline="0" fieldPosition="0">
        <references count="3">
          <reference field="11" count="1" selected="0">
            <x v="333"/>
          </reference>
          <reference field="14" count="1" selected="0">
            <x v="202"/>
          </reference>
          <reference field="18" count="1">
            <x v="3"/>
          </reference>
        </references>
      </pivotArea>
    </format>
    <format dxfId="9090">
      <pivotArea dataOnly="0" labelOnly="1" outline="0" fieldPosition="0">
        <references count="3">
          <reference field="11" count="1" selected="0">
            <x v="333"/>
          </reference>
          <reference field="14" count="1" selected="0">
            <x v="202"/>
          </reference>
          <reference field="18" count="1" defaultSubtotal="1">
            <x v="3"/>
          </reference>
        </references>
      </pivotArea>
    </format>
    <format dxfId="9089">
      <pivotArea dataOnly="0" labelOnly="1" outline="0" fieldPosition="0">
        <references count="3">
          <reference field="11" count="1" selected="0">
            <x v="334"/>
          </reference>
          <reference field="14" count="1" selected="0">
            <x v="384"/>
          </reference>
          <reference field="18" count="2">
            <x v="0"/>
            <x v="2"/>
          </reference>
        </references>
      </pivotArea>
    </format>
    <format dxfId="9088">
      <pivotArea dataOnly="0" labelOnly="1" outline="0" fieldPosition="0">
        <references count="3">
          <reference field="11" count="1" selected="0">
            <x v="334"/>
          </reference>
          <reference field="14" count="1" selected="0">
            <x v="384"/>
          </reference>
          <reference field="18" count="2" defaultSubtotal="1">
            <x v="0"/>
            <x v="2"/>
          </reference>
        </references>
      </pivotArea>
    </format>
    <format dxfId="9087">
      <pivotArea dataOnly="0" labelOnly="1" outline="0" fieldPosition="0">
        <references count="3">
          <reference field="11" count="1" selected="0">
            <x v="335"/>
          </reference>
          <reference field="14" count="1" selected="0">
            <x v="309"/>
          </reference>
          <reference field="18" count="1">
            <x v="19"/>
          </reference>
        </references>
      </pivotArea>
    </format>
    <format dxfId="9086">
      <pivotArea dataOnly="0" labelOnly="1" outline="0" fieldPosition="0">
        <references count="3">
          <reference field="11" count="1" selected="0">
            <x v="335"/>
          </reference>
          <reference field="14" count="1" selected="0">
            <x v="309"/>
          </reference>
          <reference field="18" count="1" defaultSubtotal="1">
            <x v="19"/>
          </reference>
        </references>
      </pivotArea>
    </format>
    <format dxfId="9085">
      <pivotArea dataOnly="0" labelOnly="1" outline="0" fieldPosition="0">
        <references count="3">
          <reference field="11" count="1" selected="0">
            <x v="336"/>
          </reference>
          <reference field="14" count="1" selected="0">
            <x v="382"/>
          </reference>
          <reference field="18" count="1">
            <x v="3"/>
          </reference>
        </references>
      </pivotArea>
    </format>
    <format dxfId="9084">
      <pivotArea dataOnly="0" labelOnly="1" outline="0" fieldPosition="0">
        <references count="3">
          <reference field="11" count="1" selected="0">
            <x v="336"/>
          </reference>
          <reference field="14" count="1" selected="0">
            <x v="382"/>
          </reference>
          <reference field="18" count="1" defaultSubtotal="1">
            <x v="3"/>
          </reference>
        </references>
      </pivotArea>
    </format>
    <format dxfId="9083">
      <pivotArea dataOnly="0" labelOnly="1" outline="0" fieldPosition="0">
        <references count="3">
          <reference field="11" count="1" selected="0">
            <x v="337"/>
          </reference>
          <reference field="14" count="1" selected="0">
            <x v="71"/>
          </reference>
          <reference field="18" count="1">
            <x v="0"/>
          </reference>
        </references>
      </pivotArea>
    </format>
    <format dxfId="9082">
      <pivotArea dataOnly="0" labelOnly="1" outline="0" fieldPosition="0">
        <references count="3">
          <reference field="11" count="1" selected="0">
            <x v="337"/>
          </reference>
          <reference field="14" count="1" selected="0">
            <x v="71"/>
          </reference>
          <reference field="18" count="1" defaultSubtotal="1">
            <x v="0"/>
          </reference>
        </references>
      </pivotArea>
    </format>
    <format dxfId="9081">
      <pivotArea dataOnly="0" labelOnly="1" outline="0" fieldPosition="0">
        <references count="3">
          <reference field="11" count="1" selected="0">
            <x v="338"/>
          </reference>
          <reference field="14" count="1" selected="0">
            <x v="314"/>
          </reference>
          <reference field="18" count="1">
            <x v="19"/>
          </reference>
        </references>
      </pivotArea>
    </format>
    <format dxfId="9080">
      <pivotArea dataOnly="0" labelOnly="1" outline="0" fieldPosition="0">
        <references count="3">
          <reference field="11" count="1" selected="0">
            <x v="338"/>
          </reference>
          <reference field="14" count="1" selected="0">
            <x v="314"/>
          </reference>
          <reference field="18" count="1" defaultSubtotal="1">
            <x v="19"/>
          </reference>
        </references>
      </pivotArea>
    </format>
    <format dxfId="9079">
      <pivotArea dataOnly="0" labelOnly="1" outline="0" fieldPosition="0">
        <references count="3">
          <reference field="11" count="1" selected="0">
            <x v="339"/>
          </reference>
          <reference field="14" count="1" selected="0">
            <x v="160"/>
          </reference>
          <reference field="18" count="1">
            <x v="2"/>
          </reference>
        </references>
      </pivotArea>
    </format>
    <format dxfId="9078">
      <pivotArea dataOnly="0" labelOnly="1" outline="0" fieldPosition="0">
        <references count="3">
          <reference field="11" count="1" selected="0">
            <x v="339"/>
          </reference>
          <reference field="14" count="1" selected="0">
            <x v="160"/>
          </reference>
          <reference field="18" count="1" defaultSubtotal="1">
            <x v="2"/>
          </reference>
        </references>
      </pivotArea>
    </format>
    <format dxfId="9077">
      <pivotArea dataOnly="0" labelOnly="1" outline="0" fieldPosition="0">
        <references count="3">
          <reference field="11" count="1" selected="0">
            <x v="340"/>
          </reference>
          <reference field="14" count="1" selected="0">
            <x v="155"/>
          </reference>
          <reference field="18" count="1">
            <x v="2"/>
          </reference>
        </references>
      </pivotArea>
    </format>
    <format dxfId="9076">
      <pivotArea dataOnly="0" labelOnly="1" outline="0" fieldPosition="0">
        <references count="3">
          <reference field="11" count="1" selected="0">
            <x v="340"/>
          </reference>
          <reference field="14" count="1" selected="0">
            <x v="155"/>
          </reference>
          <reference field="18" count="1" defaultSubtotal="1">
            <x v="2"/>
          </reference>
        </references>
      </pivotArea>
    </format>
    <format dxfId="9075">
      <pivotArea dataOnly="0" labelOnly="1" outline="0" fieldPosition="0">
        <references count="3">
          <reference field="11" count="1" selected="0">
            <x v="341"/>
          </reference>
          <reference field="14" count="1" selected="0">
            <x v="163"/>
          </reference>
          <reference field="18" count="1">
            <x v="2"/>
          </reference>
        </references>
      </pivotArea>
    </format>
    <format dxfId="9074">
      <pivotArea dataOnly="0" labelOnly="1" outline="0" fieldPosition="0">
        <references count="3">
          <reference field="11" count="1" selected="0">
            <x v="341"/>
          </reference>
          <reference field="14" count="1" selected="0">
            <x v="163"/>
          </reference>
          <reference field="18" count="1" defaultSubtotal="1">
            <x v="2"/>
          </reference>
        </references>
      </pivotArea>
    </format>
    <format dxfId="9073">
      <pivotArea dataOnly="0" labelOnly="1" outline="0" fieldPosition="0">
        <references count="3">
          <reference field="11" count="1" selected="0">
            <x v="342"/>
          </reference>
          <reference field="14" count="1" selected="0">
            <x v="156"/>
          </reference>
          <reference field="18" count="1">
            <x v="2"/>
          </reference>
        </references>
      </pivotArea>
    </format>
    <format dxfId="9072">
      <pivotArea dataOnly="0" labelOnly="1" outline="0" fieldPosition="0">
        <references count="3">
          <reference field="11" count="1" selected="0">
            <x v="342"/>
          </reference>
          <reference field="14" count="1" selected="0">
            <x v="156"/>
          </reference>
          <reference field="18" count="1" defaultSubtotal="1">
            <x v="2"/>
          </reference>
        </references>
      </pivotArea>
    </format>
    <format dxfId="9071">
      <pivotArea dataOnly="0" labelOnly="1" outline="0" fieldPosition="0">
        <references count="3">
          <reference field="11" count="1" selected="0">
            <x v="343"/>
          </reference>
          <reference field="14" count="1" selected="0">
            <x v="293"/>
          </reference>
          <reference field="18" count="2">
            <x v="2"/>
            <x v="3"/>
          </reference>
        </references>
      </pivotArea>
    </format>
    <format dxfId="9070">
      <pivotArea dataOnly="0" labelOnly="1" outline="0" fieldPosition="0">
        <references count="3">
          <reference field="11" count="1" selected="0">
            <x v="343"/>
          </reference>
          <reference field="14" count="1" selected="0">
            <x v="293"/>
          </reference>
          <reference field="18" count="2" defaultSubtotal="1">
            <x v="2"/>
            <x v="3"/>
          </reference>
        </references>
      </pivotArea>
    </format>
    <format dxfId="9069">
      <pivotArea dataOnly="0" labelOnly="1" outline="0" fieldPosition="0">
        <references count="3">
          <reference field="11" count="1" selected="0">
            <x v="344"/>
          </reference>
          <reference field="14" count="1" selected="0">
            <x v="253"/>
          </reference>
          <reference field="18" count="1">
            <x v="0"/>
          </reference>
        </references>
      </pivotArea>
    </format>
    <format dxfId="9068">
      <pivotArea dataOnly="0" labelOnly="1" outline="0" fieldPosition="0">
        <references count="3">
          <reference field="11" count="1" selected="0">
            <x v="344"/>
          </reference>
          <reference field="14" count="1" selected="0">
            <x v="253"/>
          </reference>
          <reference field="18" count="1" defaultSubtotal="1">
            <x v="0"/>
          </reference>
        </references>
      </pivotArea>
    </format>
    <format dxfId="9067">
      <pivotArea dataOnly="0" labelOnly="1" outline="0" fieldPosition="0">
        <references count="3">
          <reference field="11" count="1" selected="0">
            <x v="345"/>
          </reference>
          <reference field="14" count="1" selected="0">
            <x v="209"/>
          </reference>
          <reference field="18" count="3">
            <x v="0"/>
            <x v="1"/>
            <x v="11"/>
          </reference>
        </references>
      </pivotArea>
    </format>
    <format dxfId="9066">
      <pivotArea dataOnly="0" labelOnly="1" outline="0" fieldPosition="0">
        <references count="3">
          <reference field="11" count="1" selected="0">
            <x v="345"/>
          </reference>
          <reference field="14" count="1" selected="0">
            <x v="209"/>
          </reference>
          <reference field="18" count="3" defaultSubtotal="1">
            <x v="0"/>
            <x v="1"/>
            <x v="11"/>
          </reference>
        </references>
      </pivotArea>
    </format>
    <format dxfId="9065">
      <pivotArea dataOnly="0" labelOnly="1" outline="0" fieldPosition="0">
        <references count="3">
          <reference field="11" count="1" selected="0">
            <x v="346"/>
          </reference>
          <reference field="14" count="1" selected="0">
            <x v="315"/>
          </reference>
          <reference field="18" count="1">
            <x v="3"/>
          </reference>
        </references>
      </pivotArea>
    </format>
    <format dxfId="9064">
      <pivotArea dataOnly="0" labelOnly="1" outline="0" fieldPosition="0">
        <references count="3">
          <reference field="11" count="1" selected="0">
            <x v="346"/>
          </reference>
          <reference field="14" count="1" selected="0">
            <x v="315"/>
          </reference>
          <reference field="18" count="1" defaultSubtotal="1">
            <x v="3"/>
          </reference>
        </references>
      </pivotArea>
    </format>
    <format dxfId="9063">
      <pivotArea dataOnly="0" labelOnly="1" outline="0" fieldPosition="0">
        <references count="3">
          <reference field="11" count="1" selected="0">
            <x v="347"/>
          </reference>
          <reference field="14" count="1" selected="0">
            <x v="257"/>
          </reference>
          <reference field="18" count="1">
            <x v="0"/>
          </reference>
        </references>
      </pivotArea>
    </format>
    <format dxfId="9062">
      <pivotArea dataOnly="0" labelOnly="1" outline="0" fieldPosition="0">
        <references count="3">
          <reference field="11" count="1" selected="0">
            <x v="347"/>
          </reference>
          <reference field="14" count="1" selected="0">
            <x v="257"/>
          </reference>
          <reference field="18" count="1" defaultSubtotal="1">
            <x v="0"/>
          </reference>
        </references>
      </pivotArea>
    </format>
    <format dxfId="9061">
      <pivotArea dataOnly="0" labelOnly="1" outline="0" fieldPosition="0">
        <references count="3">
          <reference field="11" count="1" selected="0">
            <x v="348"/>
          </reference>
          <reference field="14" count="1" selected="0">
            <x v="448"/>
          </reference>
          <reference field="18" count="1">
            <x v="19"/>
          </reference>
        </references>
      </pivotArea>
    </format>
    <format dxfId="9060">
      <pivotArea dataOnly="0" labelOnly="1" outline="0" fieldPosition="0">
        <references count="3">
          <reference field="11" count="1" selected="0">
            <x v="348"/>
          </reference>
          <reference field="14" count="1" selected="0">
            <x v="448"/>
          </reference>
          <reference field="18" count="1" defaultSubtotal="1">
            <x v="19"/>
          </reference>
        </references>
      </pivotArea>
    </format>
    <format dxfId="9059">
      <pivotArea dataOnly="0" labelOnly="1" outline="0" fieldPosition="0">
        <references count="3">
          <reference field="11" count="1" selected="0">
            <x v="349"/>
          </reference>
          <reference field="14" count="1" selected="0">
            <x v="331"/>
          </reference>
          <reference field="18" count="1">
            <x v="6"/>
          </reference>
        </references>
      </pivotArea>
    </format>
    <format dxfId="9058">
      <pivotArea dataOnly="0" labelOnly="1" outline="0" fieldPosition="0">
        <references count="3">
          <reference field="11" count="1" selected="0">
            <x v="349"/>
          </reference>
          <reference field="14" count="1" selected="0">
            <x v="331"/>
          </reference>
          <reference field="18" count="1" defaultSubtotal="1">
            <x v="6"/>
          </reference>
        </references>
      </pivotArea>
    </format>
    <format dxfId="9057">
      <pivotArea dataOnly="0" labelOnly="1" outline="0" fieldPosition="0">
        <references count="3">
          <reference field="11" count="1" selected="0">
            <x v="350"/>
          </reference>
          <reference field="14" count="1" selected="0">
            <x v="221"/>
          </reference>
          <reference field="18" count="1">
            <x v="6"/>
          </reference>
        </references>
      </pivotArea>
    </format>
    <format dxfId="9056">
      <pivotArea dataOnly="0" labelOnly="1" outline="0" fieldPosition="0">
        <references count="3">
          <reference field="11" count="1" selected="0">
            <x v="350"/>
          </reference>
          <reference field="14" count="1" selected="0">
            <x v="221"/>
          </reference>
          <reference field="18" count="1" defaultSubtotal="1">
            <x v="6"/>
          </reference>
        </references>
      </pivotArea>
    </format>
    <format dxfId="9055">
      <pivotArea dataOnly="0" labelOnly="1" outline="0" fieldPosition="0">
        <references count="3">
          <reference field="11" count="1" selected="0">
            <x v="351"/>
          </reference>
          <reference field="14" count="1" selected="0">
            <x v="199"/>
          </reference>
          <reference field="18" count="1">
            <x v="27"/>
          </reference>
        </references>
      </pivotArea>
    </format>
    <format dxfId="9054">
      <pivotArea dataOnly="0" labelOnly="1" outline="0" fieldPosition="0">
        <references count="3">
          <reference field="11" count="1" selected="0">
            <x v="351"/>
          </reference>
          <reference field="14" count="1" selected="0">
            <x v="199"/>
          </reference>
          <reference field="18" count="1" defaultSubtotal="1">
            <x v="27"/>
          </reference>
        </references>
      </pivotArea>
    </format>
    <format dxfId="9053">
      <pivotArea dataOnly="0" labelOnly="1" outline="0" fieldPosition="0">
        <references count="3">
          <reference field="11" count="1" selected="0">
            <x v="352"/>
          </reference>
          <reference field="14" count="1" selected="0">
            <x v="78"/>
          </reference>
          <reference field="18" count="1">
            <x v="1"/>
          </reference>
        </references>
      </pivotArea>
    </format>
    <format dxfId="9052">
      <pivotArea dataOnly="0" labelOnly="1" outline="0" fieldPosition="0">
        <references count="3">
          <reference field="11" count="1" selected="0">
            <x v="352"/>
          </reference>
          <reference field="14" count="1" selected="0">
            <x v="78"/>
          </reference>
          <reference field="18" count="1" defaultSubtotal="1">
            <x v="1"/>
          </reference>
        </references>
      </pivotArea>
    </format>
    <format dxfId="9051">
      <pivotArea dataOnly="0" labelOnly="1" outline="0" fieldPosition="0">
        <references count="3">
          <reference field="11" count="1" selected="0">
            <x v="353"/>
          </reference>
          <reference field="14" count="1" selected="0">
            <x v="18"/>
          </reference>
          <reference field="18" count="1">
            <x v="6"/>
          </reference>
        </references>
      </pivotArea>
    </format>
    <format dxfId="9050">
      <pivotArea dataOnly="0" labelOnly="1" outline="0" fieldPosition="0">
        <references count="3">
          <reference field="11" count="1" selected="0">
            <x v="353"/>
          </reference>
          <reference field="14" count="1" selected="0">
            <x v="18"/>
          </reference>
          <reference field="18" count="1" defaultSubtotal="1">
            <x v="6"/>
          </reference>
        </references>
      </pivotArea>
    </format>
    <format dxfId="9049">
      <pivotArea dataOnly="0" labelOnly="1" outline="0" fieldPosition="0">
        <references count="3">
          <reference field="11" count="1" selected="0">
            <x v="354"/>
          </reference>
          <reference field="14" count="1" selected="0">
            <x v="135"/>
          </reference>
          <reference field="18" count="1">
            <x v="6"/>
          </reference>
        </references>
      </pivotArea>
    </format>
    <format dxfId="9048">
      <pivotArea dataOnly="0" labelOnly="1" outline="0" fieldPosition="0">
        <references count="3">
          <reference field="11" count="1" selected="0">
            <x v="354"/>
          </reference>
          <reference field="14" count="1" selected="0">
            <x v="135"/>
          </reference>
          <reference field="18" count="1" defaultSubtotal="1">
            <x v="6"/>
          </reference>
        </references>
      </pivotArea>
    </format>
    <format dxfId="9047">
      <pivotArea dataOnly="0" labelOnly="1" outline="0" fieldPosition="0">
        <references count="3">
          <reference field="11" count="1" selected="0">
            <x v="355"/>
          </reference>
          <reference field="14" count="1" selected="0">
            <x v="296"/>
          </reference>
          <reference field="18" count="1">
            <x v="6"/>
          </reference>
        </references>
      </pivotArea>
    </format>
    <format dxfId="9046">
      <pivotArea dataOnly="0" labelOnly="1" outline="0" fieldPosition="0">
        <references count="3">
          <reference field="11" count="1" selected="0">
            <x v="355"/>
          </reference>
          <reference field="14" count="1" selected="0">
            <x v="296"/>
          </reference>
          <reference field="18" count="1" defaultSubtotal="1">
            <x v="6"/>
          </reference>
        </references>
      </pivotArea>
    </format>
    <format dxfId="9045">
      <pivotArea dataOnly="0" labelOnly="1" outline="0" fieldPosition="0">
        <references count="3">
          <reference field="11" count="1" selected="0">
            <x v="356"/>
          </reference>
          <reference field="14" count="1" selected="0">
            <x v="299"/>
          </reference>
          <reference field="18" count="1">
            <x v="6"/>
          </reference>
        </references>
      </pivotArea>
    </format>
    <format dxfId="9044">
      <pivotArea dataOnly="0" labelOnly="1" outline="0" fieldPosition="0">
        <references count="3">
          <reference field="11" count="1" selected="0">
            <x v="356"/>
          </reference>
          <reference field="14" count="1" selected="0">
            <x v="299"/>
          </reference>
          <reference field="18" count="1" defaultSubtotal="1">
            <x v="6"/>
          </reference>
        </references>
      </pivotArea>
    </format>
    <format dxfId="9043">
      <pivotArea dataOnly="0" labelOnly="1" outline="0" fieldPosition="0">
        <references count="3">
          <reference field="11" count="1" selected="0">
            <x v="357"/>
          </reference>
          <reference field="14" count="1" selected="0">
            <x v="298"/>
          </reference>
          <reference field="18" count="1">
            <x v="6"/>
          </reference>
        </references>
      </pivotArea>
    </format>
    <format dxfId="9042">
      <pivotArea dataOnly="0" labelOnly="1" outline="0" fieldPosition="0">
        <references count="3">
          <reference field="11" count="1" selected="0">
            <x v="357"/>
          </reference>
          <reference field="14" count="1" selected="0">
            <x v="298"/>
          </reference>
          <reference field="18" count="1" defaultSubtotal="1">
            <x v="6"/>
          </reference>
        </references>
      </pivotArea>
    </format>
    <format dxfId="9041">
      <pivotArea dataOnly="0" labelOnly="1" outline="0" fieldPosition="0">
        <references count="3">
          <reference field="11" count="1" selected="0">
            <x v="358"/>
          </reference>
          <reference field="14" count="1" selected="0">
            <x v="292"/>
          </reference>
          <reference field="18" count="1">
            <x v="3"/>
          </reference>
        </references>
      </pivotArea>
    </format>
    <format dxfId="9040">
      <pivotArea dataOnly="0" labelOnly="1" outline="0" fieldPosition="0">
        <references count="3">
          <reference field="11" count="1" selected="0">
            <x v="358"/>
          </reference>
          <reference field="14" count="1" selected="0">
            <x v="292"/>
          </reference>
          <reference field="18" count="1" defaultSubtotal="1">
            <x v="3"/>
          </reference>
        </references>
      </pivotArea>
    </format>
    <format dxfId="9039">
      <pivotArea dataOnly="0" labelOnly="1" outline="0" fieldPosition="0">
        <references count="3">
          <reference field="11" count="1" selected="0">
            <x v="359"/>
          </reference>
          <reference field="14" count="1" selected="0">
            <x v="39"/>
          </reference>
          <reference field="18" count="1">
            <x v="1"/>
          </reference>
        </references>
      </pivotArea>
    </format>
    <format dxfId="9038">
      <pivotArea dataOnly="0" labelOnly="1" outline="0" fieldPosition="0">
        <references count="3">
          <reference field="11" count="1" selected="0">
            <x v="359"/>
          </reference>
          <reference field="14" count="1" selected="0">
            <x v="39"/>
          </reference>
          <reference field="18" count="1" defaultSubtotal="1">
            <x v="1"/>
          </reference>
        </references>
      </pivotArea>
    </format>
    <format dxfId="9037">
      <pivotArea dataOnly="0" labelOnly="1" outline="0" fieldPosition="0">
        <references count="3">
          <reference field="11" count="1" selected="0">
            <x v="360"/>
          </reference>
          <reference field="14" count="1" selected="0">
            <x v="24"/>
          </reference>
          <reference field="18" count="1">
            <x v="5"/>
          </reference>
        </references>
      </pivotArea>
    </format>
    <format dxfId="9036">
      <pivotArea dataOnly="0" labelOnly="1" outline="0" fieldPosition="0">
        <references count="3">
          <reference field="11" count="1" selected="0">
            <x v="360"/>
          </reference>
          <reference field="14" count="1" selected="0">
            <x v="24"/>
          </reference>
          <reference field="18" count="1" defaultSubtotal="1">
            <x v="5"/>
          </reference>
        </references>
      </pivotArea>
    </format>
    <format dxfId="9035">
      <pivotArea dataOnly="0" labelOnly="1" outline="0" fieldPosition="0">
        <references count="3">
          <reference field="11" count="1" selected="0">
            <x v="361"/>
          </reference>
          <reference field="14" count="1" selected="0">
            <x v="352"/>
          </reference>
          <reference field="18" count="1">
            <x v="5"/>
          </reference>
        </references>
      </pivotArea>
    </format>
    <format dxfId="9034">
      <pivotArea dataOnly="0" labelOnly="1" outline="0" fieldPosition="0">
        <references count="3">
          <reference field="11" count="1" selected="0">
            <x v="361"/>
          </reference>
          <reference field="14" count="1" selected="0">
            <x v="352"/>
          </reference>
          <reference field="18" count="1" defaultSubtotal="1">
            <x v="5"/>
          </reference>
        </references>
      </pivotArea>
    </format>
    <format dxfId="9033">
      <pivotArea dataOnly="0" labelOnly="1" outline="0" fieldPosition="0">
        <references count="3">
          <reference field="11" count="1" selected="0">
            <x v="362"/>
          </reference>
          <reference field="14" count="1" selected="0">
            <x v="21"/>
          </reference>
          <reference field="18" count="1">
            <x v="6"/>
          </reference>
        </references>
      </pivotArea>
    </format>
    <format dxfId="9032">
      <pivotArea dataOnly="0" labelOnly="1" outline="0" fieldPosition="0">
        <references count="3">
          <reference field="11" count="1" selected="0">
            <x v="362"/>
          </reference>
          <reference field="14" count="1" selected="0">
            <x v="21"/>
          </reference>
          <reference field="18" count="1" defaultSubtotal="1">
            <x v="6"/>
          </reference>
        </references>
      </pivotArea>
    </format>
    <format dxfId="9031">
      <pivotArea dataOnly="0" labelOnly="1" outline="0" fieldPosition="0">
        <references count="3">
          <reference field="11" count="1" selected="0">
            <x v="363"/>
          </reference>
          <reference field="14" count="1" selected="0">
            <x v="6"/>
          </reference>
          <reference field="18" count="1">
            <x v="0"/>
          </reference>
        </references>
      </pivotArea>
    </format>
    <format dxfId="9030">
      <pivotArea dataOnly="0" labelOnly="1" outline="0" fieldPosition="0">
        <references count="3">
          <reference field="11" count="1" selected="0">
            <x v="363"/>
          </reference>
          <reference field="14" count="1" selected="0">
            <x v="6"/>
          </reference>
          <reference field="18" count="1" defaultSubtotal="1">
            <x v="0"/>
          </reference>
        </references>
      </pivotArea>
    </format>
    <format dxfId="9029">
      <pivotArea dataOnly="0" labelOnly="1" outline="0" fieldPosition="0">
        <references count="3">
          <reference field="11" count="1" selected="0">
            <x v="364"/>
          </reference>
          <reference field="14" count="1" selected="0">
            <x v="212"/>
          </reference>
          <reference field="18" count="1">
            <x v="14"/>
          </reference>
        </references>
      </pivotArea>
    </format>
    <format dxfId="9028">
      <pivotArea dataOnly="0" labelOnly="1" outline="0" fieldPosition="0">
        <references count="3">
          <reference field="11" count="1" selected="0">
            <x v="364"/>
          </reference>
          <reference field="14" count="1" selected="0">
            <x v="212"/>
          </reference>
          <reference field="18" count="1" defaultSubtotal="1">
            <x v="14"/>
          </reference>
        </references>
      </pivotArea>
    </format>
    <format dxfId="9027">
      <pivotArea dataOnly="0" labelOnly="1" outline="0" fieldPosition="0">
        <references count="3">
          <reference field="11" count="1" selected="0">
            <x v="365"/>
          </reference>
          <reference field="14" count="1" selected="0">
            <x v="284"/>
          </reference>
          <reference field="18" count="1">
            <x v="0"/>
          </reference>
        </references>
      </pivotArea>
    </format>
    <format dxfId="9026">
      <pivotArea dataOnly="0" labelOnly="1" outline="0" fieldPosition="0">
        <references count="3">
          <reference field="11" count="1" selected="0">
            <x v="365"/>
          </reference>
          <reference field="14" count="1" selected="0">
            <x v="284"/>
          </reference>
          <reference field="18" count="1" defaultSubtotal="1">
            <x v="0"/>
          </reference>
        </references>
      </pivotArea>
    </format>
    <format dxfId="9025">
      <pivotArea dataOnly="0" labelOnly="1" outline="0" fieldPosition="0">
        <references count="3">
          <reference field="11" count="1" selected="0">
            <x v="366"/>
          </reference>
          <reference field="14" count="1" selected="0">
            <x v="254"/>
          </reference>
          <reference field="18" count="1">
            <x v="0"/>
          </reference>
        </references>
      </pivotArea>
    </format>
    <format dxfId="9024">
      <pivotArea dataOnly="0" labelOnly="1" outline="0" fieldPosition="0">
        <references count="3">
          <reference field="11" count="1" selected="0">
            <x v="366"/>
          </reference>
          <reference field="14" count="1" selected="0">
            <x v="254"/>
          </reference>
          <reference field="18" count="1" defaultSubtotal="1">
            <x v="0"/>
          </reference>
        </references>
      </pivotArea>
    </format>
    <format dxfId="9023">
      <pivotArea dataOnly="0" labelOnly="1" outline="0" fieldPosition="0">
        <references count="3">
          <reference field="11" count="1" selected="0">
            <x v="367"/>
          </reference>
          <reference field="14" count="1" selected="0">
            <x v="457"/>
          </reference>
          <reference field="18" count="1">
            <x v="0"/>
          </reference>
        </references>
      </pivotArea>
    </format>
    <format dxfId="9022">
      <pivotArea dataOnly="0" labelOnly="1" outline="0" fieldPosition="0">
        <references count="3">
          <reference field="11" count="1" selected="0">
            <x v="367"/>
          </reference>
          <reference field="14" count="1" selected="0">
            <x v="457"/>
          </reference>
          <reference field="18" count="1" defaultSubtotal="1">
            <x v="0"/>
          </reference>
        </references>
      </pivotArea>
    </format>
    <format dxfId="9021">
      <pivotArea dataOnly="0" labelOnly="1" outline="0" fieldPosition="0">
        <references count="3">
          <reference field="11" count="1" selected="0">
            <x v="368"/>
          </reference>
          <reference field="14" count="1" selected="0">
            <x v="2"/>
          </reference>
          <reference field="18" count="1">
            <x v="19"/>
          </reference>
        </references>
      </pivotArea>
    </format>
    <format dxfId="9020">
      <pivotArea dataOnly="0" labelOnly="1" outline="0" fieldPosition="0">
        <references count="3">
          <reference field="11" count="1" selected="0">
            <x v="368"/>
          </reference>
          <reference field="14" count="1" selected="0">
            <x v="2"/>
          </reference>
          <reference field="18" count="1" defaultSubtotal="1">
            <x v="19"/>
          </reference>
        </references>
      </pivotArea>
    </format>
    <format dxfId="9019">
      <pivotArea dataOnly="0" labelOnly="1" outline="0" fieldPosition="0">
        <references count="3">
          <reference field="11" count="1" selected="0">
            <x v="369"/>
          </reference>
          <reference field="14" count="1" selected="0">
            <x v="147"/>
          </reference>
          <reference field="18" count="2">
            <x v="12"/>
            <x v="14"/>
          </reference>
        </references>
      </pivotArea>
    </format>
    <format dxfId="9018">
      <pivotArea dataOnly="0" labelOnly="1" outline="0" fieldPosition="0">
        <references count="3">
          <reference field="11" count="1" selected="0">
            <x v="369"/>
          </reference>
          <reference field="14" count="1" selected="0">
            <x v="147"/>
          </reference>
          <reference field="18" count="2" defaultSubtotal="1">
            <x v="12"/>
            <x v="14"/>
          </reference>
        </references>
      </pivotArea>
    </format>
    <format dxfId="9017">
      <pivotArea dataOnly="0" labelOnly="1" outline="0" fieldPosition="0">
        <references count="3">
          <reference field="11" count="1" selected="0">
            <x v="370"/>
          </reference>
          <reference field="14" count="1" selected="0">
            <x v="112"/>
          </reference>
          <reference field="18" count="1">
            <x v="19"/>
          </reference>
        </references>
      </pivotArea>
    </format>
    <format dxfId="9016">
      <pivotArea dataOnly="0" labelOnly="1" outline="0" fieldPosition="0">
        <references count="3">
          <reference field="11" count="1" selected="0">
            <x v="370"/>
          </reference>
          <reference field="14" count="1" selected="0">
            <x v="112"/>
          </reference>
          <reference field="18" count="1" defaultSubtotal="1">
            <x v="19"/>
          </reference>
        </references>
      </pivotArea>
    </format>
    <format dxfId="9015">
      <pivotArea dataOnly="0" labelOnly="1" outline="0" fieldPosition="0">
        <references count="3">
          <reference field="11" count="1" selected="0">
            <x v="371"/>
          </reference>
          <reference field="14" count="1" selected="0">
            <x v="81"/>
          </reference>
          <reference field="18" count="1">
            <x v="1"/>
          </reference>
        </references>
      </pivotArea>
    </format>
    <format dxfId="9014">
      <pivotArea dataOnly="0" labelOnly="1" outline="0" fieldPosition="0">
        <references count="3">
          <reference field="11" count="1" selected="0">
            <x v="371"/>
          </reference>
          <reference field="14" count="1" selected="0">
            <x v="81"/>
          </reference>
          <reference field="18" count="1" defaultSubtotal="1">
            <x v="1"/>
          </reference>
        </references>
      </pivotArea>
    </format>
    <format dxfId="9013">
      <pivotArea dataOnly="0" labelOnly="1" outline="0" fieldPosition="0">
        <references count="3">
          <reference field="11" count="1" selected="0">
            <x v="372"/>
          </reference>
          <reference field="14" count="1" selected="0">
            <x v="82"/>
          </reference>
          <reference field="18" count="1">
            <x v="1"/>
          </reference>
        </references>
      </pivotArea>
    </format>
    <format dxfId="9012">
      <pivotArea dataOnly="0" labelOnly="1" outline="0" fieldPosition="0">
        <references count="3">
          <reference field="11" count="1" selected="0">
            <x v="372"/>
          </reference>
          <reference field="14" count="1" selected="0">
            <x v="82"/>
          </reference>
          <reference field="18" count="1" defaultSubtotal="1">
            <x v="1"/>
          </reference>
        </references>
      </pivotArea>
    </format>
    <format dxfId="9011">
      <pivotArea dataOnly="0" labelOnly="1" outline="0" fieldPosition="0">
        <references count="3">
          <reference field="11" count="1" selected="0">
            <x v="373"/>
          </reference>
          <reference field="14" count="1" selected="0">
            <x v="85"/>
          </reference>
          <reference field="18" count="1">
            <x v="1"/>
          </reference>
        </references>
      </pivotArea>
    </format>
    <format dxfId="9010">
      <pivotArea dataOnly="0" labelOnly="1" outline="0" fieldPosition="0">
        <references count="3">
          <reference field="11" count="1" selected="0">
            <x v="373"/>
          </reference>
          <reference field="14" count="1" selected="0">
            <x v="85"/>
          </reference>
          <reference field="18" count="1" defaultSubtotal="1">
            <x v="1"/>
          </reference>
        </references>
      </pivotArea>
    </format>
    <format dxfId="9009">
      <pivotArea dataOnly="0" labelOnly="1" outline="0" fieldPosition="0">
        <references count="3">
          <reference field="11" count="1" selected="0">
            <x v="374"/>
          </reference>
          <reference field="14" count="1" selected="0">
            <x v="89"/>
          </reference>
          <reference field="18" count="1">
            <x v="1"/>
          </reference>
        </references>
      </pivotArea>
    </format>
    <format dxfId="9008">
      <pivotArea dataOnly="0" labelOnly="1" outline="0" fieldPosition="0">
        <references count="3">
          <reference field="11" count="1" selected="0">
            <x v="374"/>
          </reference>
          <reference field="14" count="1" selected="0">
            <x v="89"/>
          </reference>
          <reference field="18" count="1" defaultSubtotal="1">
            <x v="1"/>
          </reference>
        </references>
      </pivotArea>
    </format>
    <format dxfId="9007">
      <pivotArea dataOnly="0" labelOnly="1" outline="0" fieldPosition="0">
        <references count="3">
          <reference field="11" count="1" selected="0">
            <x v="375"/>
          </reference>
          <reference field="14" count="1" selected="0">
            <x v="88"/>
          </reference>
          <reference field="18" count="1">
            <x v="1"/>
          </reference>
        </references>
      </pivotArea>
    </format>
    <format dxfId="9006">
      <pivotArea dataOnly="0" labelOnly="1" outline="0" fieldPosition="0">
        <references count="3">
          <reference field="11" count="1" selected="0">
            <x v="375"/>
          </reference>
          <reference field="14" count="1" selected="0">
            <x v="88"/>
          </reference>
          <reference field="18" count="1" defaultSubtotal="1">
            <x v="1"/>
          </reference>
        </references>
      </pivotArea>
    </format>
    <format dxfId="9005">
      <pivotArea dataOnly="0" labelOnly="1" outline="0" fieldPosition="0">
        <references count="3">
          <reference field="11" count="1" selected="0">
            <x v="376"/>
          </reference>
          <reference field="14" count="1" selected="0">
            <x v="87"/>
          </reference>
          <reference field="18" count="1">
            <x v="1"/>
          </reference>
        </references>
      </pivotArea>
    </format>
    <format dxfId="9004">
      <pivotArea dataOnly="0" labelOnly="1" outline="0" fieldPosition="0">
        <references count="3">
          <reference field="11" count="1" selected="0">
            <x v="376"/>
          </reference>
          <reference field="14" count="1" selected="0">
            <x v="87"/>
          </reference>
          <reference field="18" count="1" defaultSubtotal="1">
            <x v="1"/>
          </reference>
        </references>
      </pivotArea>
    </format>
    <format dxfId="9003">
      <pivotArea dataOnly="0" labelOnly="1" outline="0" fieldPosition="0">
        <references count="3">
          <reference field="11" count="1" selected="0">
            <x v="377"/>
          </reference>
          <reference field="14" count="1" selected="0">
            <x v="79"/>
          </reference>
          <reference field="18" count="1">
            <x v="1"/>
          </reference>
        </references>
      </pivotArea>
    </format>
    <format dxfId="9002">
      <pivotArea dataOnly="0" labelOnly="1" outline="0" fieldPosition="0">
        <references count="3">
          <reference field="11" count="1" selected="0">
            <x v="377"/>
          </reference>
          <reference field="14" count="1" selected="0">
            <x v="79"/>
          </reference>
          <reference field="18" count="1" defaultSubtotal="1">
            <x v="1"/>
          </reference>
        </references>
      </pivotArea>
    </format>
    <format dxfId="9001">
      <pivotArea dataOnly="0" labelOnly="1" outline="0" fieldPosition="0">
        <references count="3">
          <reference field="11" count="1" selected="0">
            <x v="378"/>
          </reference>
          <reference field="14" count="1" selected="0">
            <x v="92"/>
          </reference>
          <reference field="18" count="1">
            <x v="1"/>
          </reference>
        </references>
      </pivotArea>
    </format>
    <format dxfId="9000">
      <pivotArea dataOnly="0" labelOnly="1" outline="0" fieldPosition="0">
        <references count="3">
          <reference field="11" count="1" selected="0">
            <x v="378"/>
          </reference>
          <reference field="14" count="1" selected="0">
            <x v="92"/>
          </reference>
          <reference field="18" count="1" defaultSubtotal="1">
            <x v="1"/>
          </reference>
        </references>
      </pivotArea>
    </format>
    <format dxfId="8999">
      <pivotArea dataOnly="0" labelOnly="1" outline="0" fieldPosition="0">
        <references count="3">
          <reference field="11" count="1" selected="0">
            <x v="379"/>
          </reference>
          <reference field="14" count="1" selected="0">
            <x v="145"/>
          </reference>
          <reference field="18" count="2">
            <x v="7"/>
            <x v="12"/>
          </reference>
        </references>
      </pivotArea>
    </format>
    <format dxfId="8998">
      <pivotArea dataOnly="0" labelOnly="1" outline="0" fieldPosition="0">
        <references count="3">
          <reference field="11" count="1" selected="0">
            <x v="379"/>
          </reference>
          <reference field="14" count="1" selected="0">
            <x v="145"/>
          </reference>
          <reference field="18" count="2" defaultSubtotal="1">
            <x v="7"/>
            <x v="12"/>
          </reference>
        </references>
      </pivotArea>
    </format>
    <format dxfId="8997">
      <pivotArea dataOnly="0" labelOnly="1" outline="0" fieldPosition="0">
        <references count="3">
          <reference field="11" count="1" selected="0">
            <x v="380"/>
          </reference>
          <reference field="14" count="1" selected="0">
            <x v="334"/>
          </reference>
          <reference field="18" count="1">
            <x v="1"/>
          </reference>
        </references>
      </pivotArea>
    </format>
    <format dxfId="8996">
      <pivotArea dataOnly="0" labelOnly="1" outline="0" fieldPosition="0">
        <references count="3">
          <reference field="11" count="1" selected="0">
            <x v="380"/>
          </reference>
          <reference field="14" count="1" selected="0">
            <x v="334"/>
          </reference>
          <reference field="18" count="1" defaultSubtotal="1">
            <x v="1"/>
          </reference>
        </references>
      </pivotArea>
    </format>
    <format dxfId="8995">
      <pivotArea dataOnly="0" labelOnly="1" outline="0" fieldPosition="0">
        <references count="3">
          <reference field="11" count="1" selected="0">
            <x v="381"/>
          </reference>
          <reference field="14" count="1" selected="0">
            <x v="399"/>
          </reference>
          <reference field="18" count="2">
            <x v="0"/>
            <x v="4"/>
          </reference>
        </references>
      </pivotArea>
    </format>
    <format dxfId="8994">
      <pivotArea dataOnly="0" labelOnly="1" outline="0" fieldPosition="0">
        <references count="3">
          <reference field="11" count="1" selected="0">
            <x v="381"/>
          </reference>
          <reference field="14" count="1" selected="0">
            <x v="399"/>
          </reference>
          <reference field="18" count="2" defaultSubtotal="1">
            <x v="0"/>
            <x v="4"/>
          </reference>
        </references>
      </pivotArea>
    </format>
    <format dxfId="8993">
      <pivotArea dataOnly="0" labelOnly="1" outline="0" fieldPosition="0">
        <references count="3">
          <reference field="11" count="1" selected="0">
            <x v="382"/>
          </reference>
          <reference field="14" count="1" selected="0">
            <x v="400"/>
          </reference>
          <reference field="18" count="1">
            <x v="25"/>
          </reference>
        </references>
      </pivotArea>
    </format>
    <format dxfId="8992">
      <pivotArea dataOnly="0" labelOnly="1" outline="0" fieldPosition="0">
        <references count="3">
          <reference field="11" count="1" selected="0">
            <x v="382"/>
          </reference>
          <reference field="14" count="1" selected="0">
            <x v="400"/>
          </reference>
          <reference field="18" count="1" defaultSubtotal="1">
            <x v="25"/>
          </reference>
        </references>
      </pivotArea>
    </format>
    <format dxfId="8991">
      <pivotArea dataOnly="0" labelOnly="1" outline="0" fieldPosition="0">
        <references count="3">
          <reference field="11" count="1" selected="0">
            <x v="383"/>
          </reference>
          <reference field="14" count="1" selected="0">
            <x v="364"/>
          </reference>
          <reference field="18" count="1">
            <x v="18"/>
          </reference>
        </references>
      </pivotArea>
    </format>
    <format dxfId="8990">
      <pivotArea dataOnly="0" labelOnly="1" outline="0" fieldPosition="0">
        <references count="3">
          <reference field="11" count="1" selected="0">
            <x v="383"/>
          </reference>
          <reference field="14" count="1" selected="0">
            <x v="364"/>
          </reference>
          <reference field="18" count="1" defaultSubtotal="1">
            <x v="18"/>
          </reference>
        </references>
      </pivotArea>
    </format>
    <format dxfId="8989">
      <pivotArea dataOnly="0" labelOnly="1" outline="0" fieldPosition="0">
        <references count="3">
          <reference field="11" count="1" selected="0">
            <x v="384"/>
          </reference>
          <reference field="14" count="1" selected="0">
            <x v="211"/>
          </reference>
          <reference field="18" count="1">
            <x v="0"/>
          </reference>
        </references>
      </pivotArea>
    </format>
    <format dxfId="8988">
      <pivotArea dataOnly="0" labelOnly="1" outline="0" fieldPosition="0">
        <references count="3">
          <reference field="11" count="1" selected="0">
            <x v="384"/>
          </reference>
          <reference field="14" count="1" selected="0">
            <x v="211"/>
          </reference>
          <reference field="18" count="1" defaultSubtotal="1">
            <x v="0"/>
          </reference>
        </references>
      </pivotArea>
    </format>
    <format dxfId="8987">
      <pivotArea dataOnly="0" labelOnly="1" outline="0" fieldPosition="0">
        <references count="3">
          <reference field="11" count="1" selected="0">
            <x v="385"/>
          </reference>
          <reference field="14" count="1" selected="0">
            <x v="7"/>
          </reference>
          <reference field="18" count="2">
            <x v="12"/>
            <x v="14"/>
          </reference>
        </references>
      </pivotArea>
    </format>
    <format dxfId="8986">
      <pivotArea dataOnly="0" labelOnly="1" outline="0" fieldPosition="0">
        <references count="3">
          <reference field="11" count="1" selected="0">
            <x v="385"/>
          </reference>
          <reference field="14" count="1" selected="0">
            <x v="7"/>
          </reference>
          <reference field="18" count="2" defaultSubtotal="1">
            <x v="12"/>
            <x v="14"/>
          </reference>
        </references>
      </pivotArea>
    </format>
    <format dxfId="8985">
      <pivotArea dataOnly="0" labelOnly="1" outline="0" fieldPosition="0">
        <references count="3">
          <reference field="11" count="1" selected="0">
            <x v="386"/>
          </reference>
          <reference field="14" count="1" selected="0">
            <x v="297"/>
          </reference>
          <reference field="18" count="1">
            <x v="6"/>
          </reference>
        </references>
      </pivotArea>
    </format>
    <format dxfId="8984">
      <pivotArea dataOnly="0" labelOnly="1" outline="0" fieldPosition="0">
        <references count="3">
          <reference field="11" count="1" selected="0">
            <x v="386"/>
          </reference>
          <reference field="14" count="1" selected="0">
            <x v="297"/>
          </reference>
          <reference field="18" count="1" defaultSubtotal="1">
            <x v="6"/>
          </reference>
        </references>
      </pivotArea>
    </format>
    <format dxfId="8983">
      <pivotArea dataOnly="0" labelOnly="1" outline="0" fieldPosition="0">
        <references count="3">
          <reference field="11" count="1" selected="0">
            <x v="387"/>
          </reference>
          <reference field="14" count="1" selected="0">
            <x v="408"/>
          </reference>
          <reference field="18" count="1">
            <x v="0"/>
          </reference>
        </references>
      </pivotArea>
    </format>
    <format dxfId="8982">
      <pivotArea dataOnly="0" labelOnly="1" outline="0" fieldPosition="0">
        <references count="3">
          <reference field="11" count="1" selected="0">
            <x v="387"/>
          </reference>
          <reference field="14" count="1" selected="0">
            <x v="408"/>
          </reference>
          <reference field="18" count="1" defaultSubtotal="1">
            <x v="0"/>
          </reference>
        </references>
      </pivotArea>
    </format>
    <format dxfId="8981">
      <pivotArea dataOnly="0" labelOnly="1" outline="0" fieldPosition="0">
        <references count="3">
          <reference field="11" count="1" selected="0">
            <x v="388"/>
          </reference>
          <reference field="14" count="1" selected="0">
            <x v="190"/>
          </reference>
          <reference field="18" count="1">
            <x v="0"/>
          </reference>
        </references>
      </pivotArea>
    </format>
    <format dxfId="8980">
      <pivotArea dataOnly="0" labelOnly="1" outline="0" fieldPosition="0">
        <references count="3">
          <reference field="11" count="1" selected="0">
            <x v="388"/>
          </reference>
          <reference field="14" count="1" selected="0">
            <x v="190"/>
          </reference>
          <reference field="18" count="1" defaultSubtotal="1">
            <x v="0"/>
          </reference>
        </references>
      </pivotArea>
    </format>
    <format dxfId="8979">
      <pivotArea dataOnly="0" labelOnly="1" outline="0" fieldPosition="0">
        <references count="3">
          <reference field="11" count="1" selected="0">
            <x v="389"/>
          </reference>
          <reference field="14" count="1" selected="0">
            <x v="140"/>
          </reference>
          <reference field="18" count="1">
            <x v="22"/>
          </reference>
        </references>
      </pivotArea>
    </format>
    <format dxfId="8978">
      <pivotArea dataOnly="0" labelOnly="1" outline="0" fieldPosition="0">
        <references count="3">
          <reference field="11" count="1" selected="0">
            <x v="389"/>
          </reference>
          <reference field="14" count="1" selected="0">
            <x v="140"/>
          </reference>
          <reference field="18" count="1" defaultSubtotal="1">
            <x v="22"/>
          </reference>
        </references>
      </pivotArea>
    </format>
    <format dxfId="8977">
      <pivotArea dataOnly="0" labelOnly="1" outline="0" fieldPosition="0">
        <references count="3">
          <reference field="11" count="1" selected="0">
            <x v="390"/>
          </reference>
          <reference field="14" count="1" selected="0">
            <x v="445"/>
          </reference>
          <reference field="18" count="1">
            <x v="19"/>
          </reference>
        </references>
      </pivotArea>
    </format>
    <format dxfId="8976">
      <pivotArea dataOnly="0" labelOnly="1" outline="0" fieldPosition="0">
        <references count="3">
          <reference field="11" count="1" selected="0">
            <x v="390"/>
          </reference>
          <reference field="14" count="1" selected="0">
            <x v="445"/>
          </reference>
          <reference field="18" count="1" defaultSubtotal="1">
            <x v="19"/>
          </reference>
        </references>
      </pivotArea>
    </format>
    <format dxfId="8975">
      <pivotArea dataOnly="0" labelOnly="1" outline="0" fieldPosition="0">
        <references count="3">
          <reference field="11" count="1" selected="0">
            <x v="391"/>
          </reference>
          <reference field="14" count="1" selected="0">
            <x v="422"/>
          </reference>
          <reference field="18" count="1">
            <x v="19"/>
          </reference>
        </references>
      </pivotArea>
    </format>
    <format dxfId="8974">
      <pivotArea dataOnly="0" labelOnly="1" outline="0" fieldPosition="0">
        <references count="3">
          <reference field="11" count="1" selected="0">
            <x v="391"/>
          </reference>
          <reference field="14" count="1" selected="0">
            <x v="422"/>
          </reference>
          <reference field="18" count="1" defaultSubtotal="1">
            <x v="19"/>
          </reference>
        </references>
      </pivotArea>
    </format>
    <format dxfId="8973">
      <pivotArea dataOnly="0" labelOnly="1" outline="0" fieldPosition="0">
        <references count="3">
          <reference field="11" count="1" selected="0">
            <x v="392"/>
          </reference>
          <reference field="14" count="1" selected="0">
            <x v="198"/>
          </reference>
          <reference field="18" count="1">
            <x v="4"/>
          </reference>
        </references>
      </pivotArea>
    </format>
    <format dxfId="8972">
      <pivotArea dataOnly="0" labelOnly="1" outline="0" fieldPosition="0">
        <references count="3">
          <reference field="11" count="1" selected="0">
            <x v="392"/>
          </reference>
          <reference field="14" count="1" selected="0">
            <x v="198"/>
          </reference>
          <reference field="18" count="1" defaultSubtotal="1">
            <x v="4"/>
          </reference>
        </references>
      </pivotArea>
    </format>
    <format dxfId="8971">
      <pivotArea dataOnly="0" labelOnly="1" outline="0" fieldPosition="0">
        <references count="3">
          <reference field="11" count="1" selected="0">
            <x v="393"/>
          </reference>
          <reference field="14" count="1" selected="0">
            <x v="205"/>
          </reference>
          <reference field="18" count="1">
            <x v="19"/>
          </reference>
        </references>
      </pivotArea>
    </format>
    <format dxfId="8970">
      <pivotArea dataOnly="0" labelOnly="1" outline="0" fieldPosition="0">
        <references count="3">
          <reference field="11" count="1" selected="0">
            <x v="393"/>
          </reference>
          <reference field="14" count="1" selected="0">
            <x v="205"/>
          </reference>
          <reference field="18" count="1" defaultSubtotal="1">
            <x v="19"/>
          </reference>
        </references>
      </pivotArea>
    </format>
    <format dxfId="8969">
      <pivotArea dataOnly="0" labelOnly="1" outline="0" fieldPosition="0">
        <references count="3">
          <reference field="11" count="1" selected="0">
            <x v="394"/>
          </reference>
          <reference field="14" count="1" selected="0">
            <x v="53"/>
          </reference>
          <reference field="18" count="2">
            <x v="12"/>
            <x v="14"/>
          </reference>
        </references>
      </pivotArea>
    </format>
    <format dxfId="8968">
      <pivotArea dataOnly="0" labelOnly="1" outline="0" fieldPosition="0">
        <references count="3">
          <reference field="11" count="1" selected="0">
            <x v="394"/>
          </reference>
          <reference field="14" count="1" selected="0">
            <x v="53"/>
          </reference>
          <reference field="18" count="2" defaultSubtotal="1">
            <x v="12"/>
            <x v="14"/>
          </reference>
        </references>
      </pivotArea>
    </format>
    <format dxfId="8967">
      <pivotArea dataOnly="0" labelOnly="1" outline="0" fieldPosition="0">
        <references count="3">
          <reference field="11" count="1" selected="0">
            <x v="395"/>
          </reference>
          <reference field="14" count="1" selected="0">
            <x v="245"/>
          </reference>
          <reference field="18" count="1">
            <x v="14"/>
          </reference>
        </references>
      </pivotArea>
    </format>
    <format dxfId="8966">
      <pivotArea dataOnly="0" labelOnly="1" outline="0" fieldPosition="0">
        <references count="3">
          <reference field="11" count="1" selected="0">
            <x v="395"/>
          </reference>
          <reference field="14" count="1" selected="0">
            <x v="245"/>
          </reference>
          <reference field="18" count="1" defaultSubtotal="1">
            <x v="14"/>
          </reference>
        </references>
      </pivotArea>
    </format>
    <format dxfId="8965">
      <pivotArea dataOnly="0" labelOnly="1" outline="0" fieldPosition="0">
        <references count="3">
          <reference field="11" count="1" selected="0">
            <x v="396"/>
          </reference>
          <reference field="14" count="1" selected="0">
            <x v="169"/>
          </reference>
          <reference field="18" count="1">
            <x v="14"/>
          </reference>
        </references>
      </pivotArea>
    </format>
    <format dxfId="8964">
      <pivotArea dataOnly="0" labelOnly="1" outline="0" fieldPosition="0">
        <references count="3">
          <reference field="11" count="1" selected="0">
            <x v="396"/>
          </reference>
          <reference field="14" count="1" selected="0">
            <x v="169"/>
          </reference>
          <reference field="18" count="1" defaultSubtotal="1">
            <x v="14"/>
          </reference>
        </references>
      </pivotArea>
    </format>
    <format dxfId="8963">
      <pivotArea dataOnly="0" labelOnly="1" outline="0" fieldPosition="0">
        <references count="3">
          <reference field="11" count="1" selected="0">
            <x v="397"/>
          </reference>
          <reference field="14" count="1" selected="0">
            <x v="167"/>
          </reference>
          <reference field="18" count="1">
            <x v="0"/>
          </reference>
        </references>
      </pivotArea>
    </format>
    <format dxfId="8962">
      <pivotArea dataOnly="0" labelOnly="1" outline="0" fieldPosition="0">
        <references count="3">
          <reference field="11" count="1" selected="0">
            <x v="397"/>
          </reference>
          <reference field="14" count="1" selected="0">
            <x v="167"/>
          </reference>
          <reference field="18" count="1" defaultSubtotal="1">
            <x v="0"/>
          </reference>
        </references>
      </pivotArea>
    </format>
    <format dxfId="8961">
      <pivotArea dataOnly="0" labelOnly="1" outline="0" fieldPosition="0">
        <references count="3">
          <reference field="11" count="1" selected="0">
            <x v="398"/>
          </reference>
          <reference field="14" count="1" selected="0">
            <x v="360"/>
          </reference>
          <reference field="18" count="1">
            <x v="1"/>
          </reference>
        </references>
      </pivotArea>
    </format>
    <format dxfId="8960">
      <pivotArea dataOnly="0" labelOnly="1" outline="0" fieldPosition="0">
        <references count="3">
          <reference field="11" count="1" selected="0">
            <x v="398"/>
          </reference>
          <reference field="14" count="1" selected="0">
            <x v="360"/>
          </reference>
          <reference field="18" count="1" defaultSubtotal="1">
            <x v="1"/>
          </reference>
        </references>
      </pivotArea>
    </format>
    <format dxfId="8959">
      <pivotArea dataOnly="0" labelOnly="1" outline="0" fieldPosition="0">
        <references count="3">
          <reference field="11" count="1" selected="0">
            <x v="399"/>
          </reference>
          <reference field="14" count="1" selected="0">
            <x v="95"/>
          </reference>
          <reference field="18" count="1">
            <x v="0"/>
          </reference>
        </references>
      </pivotArea>
    </format>
    <format dxfId="8958">
      <pivotArea dataOnly="0" labelOnly="1" outline="0" fieldPosition="0">
        <references count="3">
          <reference field="11" count="1" selected="0">
            <x v="399"/>
          </reference>
          <reference field="14" count="1" selected="0">
            <x v="95"/>
          </reference>
          <reference field="18" count="1" defaultSubtotal="1">
            <x v="0"/>
          </reference>
        </references>
      </pivotArea>
    </format>
    <format dxfId="8957">
      <pivotArea dataOnly="0" labelOnly="1" outline="0" fieldPosition="0">
        <references count="3">
          <reference field="11" count="1" selected="0">
            <x v="400"/>
          </reference>
          <reference field="14" count="1" selected="0">
            <x v="260"/>
          </reference>
          <reference field="18" count="1">
            <x v="0"/>
          </reference>
        </references>
      </pivotArea>
    </format>
    <format dxfId="8956">
      <pivotArea dataOnly="0" labelOnly="1" outline="0" fieldPosition="0">
        <references count="3">
          <reference field="11" count="1" selected="0">
            <x v="400"/>
          </reference>
          <reference field="14" count="1" selected="0">
            <x v="260"/>
          </reference>
          <reference field="18" count="1" defaultSubtotal="1">
            <x v="0"/>
          </reference>
        </references>
      </pivotArea>
    </format>
    <format dxfId="8955">
      <pivotArea dataOnly="0" labelOnly="1" outline="0" fieldPosition="0">
        <references count="3">
          <reference field="11" count="1" selected="0">
            <x v="401"/>
          </reference>
          <reference field="14" count="1" selected="0">
            <x v="75"/>
          </reference>
          <reference field="18" count="1">
            <x v="19"/>
          </reference>
        </references>
      </pivotArea>
    </format>
    <format dxfId="8954">
      <pivotArea dataOnly="0" labelOnly="1" outline="0" fieldPosition="0">
        <references count="3">
          <reference field="11" count="1" selected="0">
            <x v="401"/>
          </reference>
          <reference field="14" count="1" selected="0">
            <x v="75"/>
          </reference>
          <reference field="18" count="1" defaultSubtotal="1">
            <x v="19"/>
          </reference>
        </references>
      </pivotArea>
    </format>
    <format dxfId="8953">
      <pivotArea dataOnly="0" labelOnly="1" outline="0" fieldPosition="0">
        <references count="3">
          <reference field="11" count="1" selected="0">
            <x v="402"/>
          </reference>
          <reference field="14" count="1" selected="0">
            <x v="322"/>
          </reference>
          <reference field="18" count="1">
            <x v="3"/>
          </reference>
        </references>
      </pivotArea>
    </format>
    <format dxfId="8952">
      <pivotArea dataOnly="0" labelOnly="1" outline="0" fieldPosition="0">
        <references count="3">
          <reference field="11" count="1" selected="0">
            <x v="402"/>
          </reference>
          <reference field="14" count="1" selected="0">
            <x v="322"/>
          </reference>
          <reference field="18" count="1" defaultSubtotal="1">
            <x v="3"/>
          </reference>
        </references>
      </pivotArea>
    </format>
    <format dxfId="8951">
      <pivotArea dataOnly="0" labelOnly="1" outline="0" fieldPosition="0">
        <references count="3">
          <reference field="11" count="1" selected="0">
            <x v="403"/>
          </reference>
          <reference field="14" count="1" selected="0">
            <x v="146"/>
          </reference>
          <reference field="18" count="1">
            <x v="27"/>
          </reference>
        </references>
      </pivotArea>
    </format>
    <format dxfId="8950">
      <pivotArea dataOnly="0" labelOnly="1" outline="0" fieldPosition="0">
        <references count="3">
          <reference field="11" count="1" selected="0">
            <x v="403"/>
          </reference>
          <reference field="14" count="1" selected="0">
            <x v="146"/>
          </reference>
          <reference field="18" count="1" defaultSubtotal="1">
            <x v="27"/>
          </reference>
        </references>
      </pivotArea>
    </format>
    <format dxfId="8949">
      <pivotArea dataOnly="0" labelOnly="1" outline="0" fieldPosition="0">
        <references count="3">
          <reference field="11" count="1" selected="0">
            <x v="404"/>
          </reference>
          <reference field="14" count="1" selected="0">
            <x v="443"/>
          </reference>
          <reference field="18" count="2">
            <x v="11"/>
            <x v="19"/>
          </reference>
        </references>
      </pivotArea>
    </format>
    <format dxfId="8948">
      <pivotArea dataOnly="0" labelOnly="1" outline="0" fieldPosition="0">
        <references count="3">
          <reference field="11" count="1" selected="0">
            <x v="404"/>
          </reference>
          <reference field="14" count="1" selected="0">
            <x v="443"/>
          </reference>
          <reference field="18" count="2" defaultSubtotal="1">
            <x v="11"/>
            <x v="19"/>
          </reference>
        </references>
      </pivotArea>
    </format>
    <format dxfId="8947">
      <pivotArea dataOnly="0" labelOnly="1" outline="0" fieldPosition="0">
        <references count="3">
          <reference field="11" count="1" selected="0">
            <x v="405"/>
          </reference>
          <reference field="14" count="1" selected="0">
            <x v="359"/>
          </reference>
          <reference field="18" count="1">
            <x v="27"/>
          </reference>
        </references>
      </pivotArea>
    </format>
    <format dxfId="8946">
      <pivotArea dataOnly="0" labelOnly="1" outline="0" fieldPosition="0">
        <references count="3">
          <reference field="11" count="1" selected="0">
            <x v="405"/>
          </reference>
          <reference field="14" count="1" selected="0">
            <x v="359"/>
          </reference>
          <reference field="18" count="1" defaultSubtotal="1">
            <x v="27"/>
          </reference>
        </references>
      </pivotArea>
    </format>
    <format dxfId="8945">
      <pivotArea dataOnly="0" labelOnly="1" outline="0" fieldPosition="0">
        <references count="3">
          <reference field="11" count="1" selected="0">
            <x v="406"/>
          </reference>
          <reference field="14" count="1" selected="0">
            <x v="381"/>
          </reference>
          <reference field="18" count="1">
            <x v="0"/>
          </reference>
        </references>
      </pivotArea>
    </format>
    <format dxfId="8944">
      <pivotArea dataOnly="0" labelOnly="1" outline="0" fieldPosition="0">
        <references count="3">
          <reference field="11" count="1" selected="0">
            <x v="406"/>
          </reference>
          <reference field="14" count="1" selected="0">
            <x v="381"/>
          </reference>
          <reference field="18" count="1" defaultSubtotal="1">
            <x v="0"/>
          </reference>
        </references>
      </pivotArea>
    </format>
    <format dxfId="8943">
      <pivotArea dataOnly="0" labelOnly="1" outline="0" fieldPosition="0">
        <references count="3">
          <reference field="11" count="1" selected="0">
            <x v="407"/>
          </reference>
          <reference field="14" count="1" selected="0">
            <x v="65"/>
          </reference>
          <reference field="18" count="1">
            <x v="6"/>
          </reference>
        </references>
      </pivotArea>
    </format>
    <format dxfId="8942">
      <pivotArea dataOnly="0" labelOnly="1" outline="0" fieldPosition="0">
        <references count="3">
          <reference field="11" count="1" selected="0">
            <x v="407"/>
          </reference>
          <reference field="14" count="1" selected="0">
            <x v="65"/>
          </reference>
          <reference field="18" count="1" defaultSubtotal="1">
            <x v="6"/>
          </reference>
        </references>
      </pivotArea>
    </format>
    <format dxfId="8941">
      <pivotArea dataOnly="0" labelOnly="1" outline="0" fieldPosition="0">
        <references count="3">
          <reference field="11" count="1" selected="0">
            <x v="408"/>
          </reference>
          <reference field="14" count="1" selected="0">
            <x v="20"/>
          </reference>
          <reference field="18" count="1">
            <x v="3"/>
          </reference>
        </references>
      </pivotArea>
    </format>
    <format dxfId="8940">
      <pivotArea dataOnly="0" labelOnly="1" outline="0" fieldPosition="0">
        <references count="3">
          <reference field="11" count="1" selected="0">
            <x v="408"/>
          </reference>
          <reference field="14" count="1" selected="0">
            <x v="20"/>
          </reference>
          <reference field="18" count="1" defaultSubtotal="1">
            <x v="3"/>
          </reference>
        </references>
      </pivotArea>
    </format>
    <format dxfId="8939">
      <pivotArea dataOnly="0" labelOnly="1" outline="0" fieldPosition="0">
        <references count="3">
          <reference field="11" count="1" selected="0">
            <x v="409"/>
          </reference>
          <reference field="14" count="1" selected="0">
            <x v="175"/>
          </reference>
          <reference field="18" count="1">
            <x v="3"/>
          </reference>
        </references>
      </pivotArea>
    </format>
    <format dxfId="8938">
      <pivotArea dataOnly="0" labelOnly="1" outline="0" fieldPosition="0">
        <references count="3">
          <reference field="11" count="1" selected="0">
            <x v="409"/>
          </reference>
          <reference field="14" count="1" selected="0">
            <x v="175"/>
          </reference>
          <reference field="18" count="1" defaultSubtotal="1">
            <x v="3"/>
          </reference>
        </references>
      </pivotArea>
    </format>
    <format dxfId="8937">
      <pivotArea dataOnly="0" labelOnly="1" outline="0" fieldPosition="0">
        <references count="3">
          <reference field="11" count="1" selected="0">
            <x v="410"/>
          </reference>
          <reference field="14" count="1" selected="0">
            <x v="366"/>
          </reference>
          <reference field="18" count="1">
            <x v="3"/>
          </reference>
        </references>
      </pivotArea>
    </format>
    <format dxfId="8936">
      <pivotArea dataOnly="0" labelOnly="1" outline="0" fieldPosition="0">
        <references count="3">
          <reference field="11" count="1" selected="0">
            <x v="410"/>
          </reference>
          <reference field="14" count="1" selected="0">
            <x v="366"/>
          </reference>
          <reference field="18" count="1" defaultSubtotal="1">
            <x v="3"/>
          </reference>
        </references>
      </pivotArea>
    </format>
    <format dxfId="8935">
      <pivotArea dataOnly="0" labelOnly="1" outline="0" fieldPosition="0">
        <references count="3">
          <reference field="11" count="1" selected="0">
            <x v="411"/>
          </reference>
          <reference field="14" count="1" selected="0">
            <x v="204"/>
          </reference>
          <reference field="18" count="1">
            <x v="7"/>
          </reference>
        </references>
      </pivotArea>
    </format>
    <format dxfId="8934">
      <pivotArea dataOnly="0" labelOnly="1" outline="0" fieldPosition="0">
        <references count="3">
          <reference field="11" count="1" selected="0">
            <x v="411"/>
          </reference>
          <reference field="14" count="1" selected="0">
            <x v="204"/>
          </reference>
          <reference field="18" count="1" defaultSubtotal="1">
            <x v="7"/>
          </reference>
        </references>
      </pivotArea>
    </format>
    <format dxfId="8933">
      <pivotArea dataOnly="0" labelOnly="1" outline="0" fieldPosition="0">
        <references count="3">
          <reference field="11" count="1" selected="0">
            <x v="412"/>
          </reference>
          <reference field="14" count="1" selected="0">
            <x v="441"/>
          </reference>
          <reference field="18" count="1">
            <x v="19"/>
          </reference>
        </references>
      </pivotArea>
    </format>
    <format dxfId="8932">
      <pivotArea dataOnly="0" labelOnly="1" outline="0" fieldPosition="0">
        <references count="3">
          <reference field="11" count="1" selected="0">
            <x v="412"/>
          </reference>
          <reference field="14" count="1" selected="0">
            <x v="441"/>
          </reference>
          <reference field="18" count="1" defaultSubtotal="1">
            <x v="19"/>
          </reference>
        </references>
      </pivotArea>
    </format>
    <format dxfId="8931">
      <pivotArea dataOnly="0" labelOnly="1" outline="0" fieldPosition="0">
        <references count="3">
          <reference field="11" count="1" selected="0">
            <x v="413"/>
          </reference>
          <reference field="14" count="1" selected="0">
            <x v="73"/>
          </reference>
          <reference field="18" count="1">
            <x v="22"/>
          </reference>
        </references>
      </pivotArea>
    </format>
    <format dxfId="8930">
      <pivotArea dataOnly="0" labelOnly="1" outline="0" fieldPosition="0">
        <references count="3">
          <reference field="11" count="1" selected="0">
            <x v="413"/>
          </reference>
          <reference field="14" count="1" selected="0">
            <x v="73"/>
          </reference>
          <reference field="18" count="1" defaultSubtotal="1">
            <x v="22"/>
          </reference>
        </references>
      </pivotArea>
    </format>
    <format dxfId="8929">
      <pivotArea dataOnly="0" labelOnly="1" outline="0" fieldPosition="0">
        <references count="3">
          <reference field="11" count="1" selected="0">
            <x v="414"/>
          </reference>
          <reference field="14" count="1" selected="0">
            <x v="125"/>
          </reference>
          <reference field="18" count="1">
            <x v="14"/>
          </reference>
        </references>
      </pivotArea>
    </format>
    <format dxfId="8928">
      <pivotArea dataOnly="0" labelOnly="1" outline="0" fieldPosition="0">
        <references count="3">
          <reference field="11" count="1" selected="0">
            <x v="414"/>
          </reference>
          <reference field="14" count="1" selected="0">
            <x v="125"/>
          </reference>
          <reference field="18" count="1" defaultSubtotal="1">
            <x v="14"/>
          </reference>
        </references>
      </pivotArea>
    </format>
    <format dxfId="8927">
      <pivotArea dataOnly="0" labelOnly="1" outline="0" fieldPosition="0">
        <references count="3">
          <reference field="11" count="1" selected="0">
            <x v="415"/>
          </reference>
          <reference field="14" count="1" selected="0">
            <x v="324"/>
          </reference>
          <reference field="18" count="1">
            <x v="0"/>
          </reference>
        </references>
      </pivotArea>
    </format>
    <format dxfId="8926">
      <pivotArea dataOnly="0" labelOnly="1" outline="0" fieldPosition="0">
        <references count="3">
          <reference field="11" count="1" selected="0">
            <x v="415"/>
          </reference>
          <reference field="14" count="1" selected="0">
            <x v="324"/>
          </reference>
          <reference field="18" count="1" defaultSubtotal="1">
            <x v="0"/>
          </reference>
        </references>
      </pivotArea>
    </format>
    <format dxfId="8925">
      <pivotArea dataOnly="0" labelOnly="1" outline="0" fieldPosition="0">
        <references count="3">
          <reference field="11" count="1" selected="0">
            <x v="416"/>
          </reference>
          <reference field="14" count="1" selected="0">
            <x v="108"/>
          </reference>
          <reference field="18" count="1">
            <x v="0"/>
          </reference>
        </references>
      </pivotArea>
    </format>
    <format dxfId="8924">
      <pivotArea dataOnly="0" labelOnly="1" outline="0" fieldPosition="0">
        <references count="3">
          <reference field="11" count="1" selected="0">
            <x v="416"/>
          </reference>
          <reference field="14" count="1" selected="0">
            <x v="108"/>
          </reference>
          <reference field="18" count="1" defaultSubtotal="1">
            <x v="0"/>
          </reference>
        </references>
      </pivotArea>
    </format>
    <format dxfId="8923">
      <pivotArea dataOnly="0" labelOnly="1" outline="0" fieldPosition="0">
        <references count="3">
          <reference field="11" count="1" selected="0">
            <x v="417"/>
          </reference>
          <reference field="14" count="1" selected="0">
            <x v="109"/>
          </reference>
          <reference field="18" count="1">
            <x v="1"/>
          </reference>
        </references>
      </pivotArea>
    </format>
    <format dxfId="8922">
      <pivotArea dataOnly="0" labelOnly="1" outline="0" fieldPosition="0">
        <references count="3">
          <reference field="11" count="1" selected="0">
            <x v="417"/>
          </reference>
          <reference field="14" count="1" selected="0">
            <x v="109"/>
          </reference>
          <reference field="18" count="1" defaultSubtotal="1">
            <x v="1"/>
          </reference>
        </references>
      </pivotArea>
    </format>
    <format dxfId="8921">
      <pivotArea dataOnly="0" labelOnly="1" outline="0" fieldPosition="0">
        <references count="3">
          <reference field="11" count="1" selected="0">
            <x v="418"/>
          </reference>
          <reference field="14" count="1" selected="0">
            <x v="110"/>
          </reference>
          <reference field="18" count="2">
            <x v="3"/>
            <x v="9"/>
          </reference>
        </references>
      </pivotArea>
    </format>
    <format dxfId="8920">
      <pivotArea dataOnly="0" labelOnly="1" outline="0" fieldPosition="0">
        <references count="3">
          <reference field="11" count="1" selected="0">
            <x v="418"/>
          </reference>
          <reference field="14" count="1" selected="0">
            <x v="110"/>
          </reference>
          <reference field="18" count="2" defaultSubtotal="1">
            <x v="3"/>
            <x v="9"/>
          </reference>
        </references>
      </pivotArea>
    </format>
    <format dxfId="8919">
      <pivotArea dataOnly="0" labelOnly="1" outline="0" fieldPosition="0">
        <references count="3">
          <reference field="11" count="1" selected="0">
            <x v="419"/>
          </reference>
          <reference field="14" count="1" selected="0">
            <x v="107"/>
          </reference>
          <reference field="18" count="1">
            <x v="0"/>
          </reference>
        </references>
      </pivotArea>
    </format>
    <format dxfId="8918">
      <pivotArea dataOnly="0" labelOnly="1" outline="0" fieldPosition="0">
        <references count="3">
          <reference field="11" count="1" selected="0">
            <x v="419"/>
          </reference>
          <reference field="14" count="1" selected="0">
            <x v="107"/>
          </reference>
          <reference field="18" count="1" defaultSubtotal="1">
            <x v="0"/>
          </reference>
        </references>
      </pivotArea>
    </format>
    <format dxfId="8917">
      <pivotArea dataOnly="0" labelOnly="1" outline="0" fieldPosition="0">
        <references count="3">
          <reference field="11" count="1" selected="0">
            <x v="420"/>
          </reference>
          <reference field="14" count="1" selected="0">
            <x v="45"/>
          </reference>
          <reference field="18" count="1">
            <x v="0"/>
          </reference>
        </references>
      </pivotArea>
    </format>
    <format dxfId="8916">
      <pivotArea dataOnly="0" labelOnly="1" outline="0" fieldPosition="0">
        <references count="3">
          <reference field="11" count="1" selected="0">
            <x v="420"/>
          </reference>
          <reference field="14" count="1" selected="0">
            <x v="45"/>
          </reference>
          <reference field="18" count="1" defaultSubtotal="1">
            <x v="0"/>
          </reference>
        </references>
      </pivotArea>
    </format>
    <format dxfId="8915">
      <pivotArea dataOnly="0" labelOnly="1" outline="0" fieldPosition="0">
        <references count="3">
          <reference field="11" count="1" selected="0">
            <x v="421"/>
          </reference>
          <reference field="14" count="1" selected="0">
            <x v="287"/>
          </reference>
          <reference field="18" count="1">
            <x v="0"/>
          </reference>
        </references>
      </pivotArea>
    </format>
    <format dxfId="8914">
      <pivotArea dataOnly="0" labelOnly="1" outline="0" fieldPosition="0">
        <references count="3">
          <reference field="11" count="1" selected="0">
            <x v="421"/>
          </reference>
          <reference field="14" count="1" selected="0">
            <x v="287"/>
          </reference>
          <reference field="18" count="1" defaultSubtotal="1">
            <x v="0"/>
          </reference>
        </references>
      </pivotArea>
    </format>
    <format dxfId="8913">
      <pivotArea dataOnly="0" labelOnly="1" outline="0" fieldPosition="0">
        <references count="3">
          <reference field="11" count="1" selected="0">
            <x v="422"/>
          </reference>
          <reference field="14" count="1" selected="0">
            <x v="363"/>
          </reference>
          <reference field="18" count="2">
            <x v="16"/>
            <x v="18"/>
          </reference>
        </references>
      </pivotArea>
    </format>
    <format dxfId="8912">
      <pivotArea dataOnly="0" labelOnly="1" outline="0" fieldPosition="0">
        <references count="3">
          <reference field="11" count="1" selected="0">
            <x v="422"/>
          </reference>
          <reference field="14" count="1" selected="0">
            <x v="363"/>
          </reference>
          <reference field="18" count="2" defaultSubtotal="1">
            <x v="16"/>
            <x v="18"/>
          </reference>
        </references>
      </pivotArea>
    </format>
    <format dxfId="8911">
      <pivotArea dataOnly="0" labelOnly="1" outline="0" fieldPosition="0">
        <references count="3">
          <reference field="11" count="1" selected="0">
            <x v="423"/>
          </reference>
          <reference field="14" count="1" selected="0">
            <x v="259"/>
          </reference>
          <reference field="18" count="1">
            <x v="12"/>
          </reference>
        </references>
      </pivotArea>
    </format>
    <format dxfId="8910">
      <pivotArea dataOnly="0" labelOnly="1" outline="0" fieldPosition="0">
        <references count="3">
          <reference field="11" count="1" selected="0">
            <x v="423"/>
          </reference>
          <reference field="14" count="1" selected="0">
            <x v="259"/>
          </reference>
          <reference field="18" count="1" defaultSubtotal="1">
            <x v="12"/>
          </reference>
        </references>
      </pivotArea>
    </format>
    <format dxfId="8909">
      <pivotArea dataOnly="0" labelOnly="1" outline="0" fieldPosition="0">
        <references count="3">
          <reference field="11" count="1" selected="0">
            <x v="424"/>
          </reference>
          <reference field="14" count="1" selected="0">
            <x v="408"/>
          </reference>
          <reference field="18" count="1">
            <x v="0"/>
          </reference>
        </references>
      </pivotArea>
    </format>
    <format dxfId="8908">
      <pivotArea dataOnly="0" labelOnly="1" outline="0" fieldPosition="0">
        <references count="3">
          <reference field="11" count="1" selected="0">
            <x v="424"/>
          </reference>
          <reference field="14" count="1" selected="0">
            <x v="408"/>
          </reference>
          <reference field="18" count="1" defaultSubtotal="1">
            <x v="0"/>
          </reference>
        </references>
      </pivotArea>
    </format>
    <format dxfId="8907">
      <pivotArea dataOnly="0" labelOnly="1" outline="0" fieldPosition="0">
        <references count="3">
          <reference field="11" count="1" selected="0">
            <x v="425"/>
          </reference>
          <reference field="14" count="1" selected="0">
            <x v="289"/>
          </reference>
          <reference field="18" count="1">
            <x v="14"/>
          </reference>
        </references>
      </pivotArea>
    </format>
    <format dxfId="8906">
      <pivotArea dataOnly="0" labelOnly="1" outline="0" fieldPosition="0">
        <references count="3">
          <reference field="11" count="1" selected="0">
            <x v="425"/>
          </reference>
          <reference field="14" count="1" selected="0">
            <x v="289"/>
          </reference>
          <reference field="18" count="1" defaultSubtotal="1">
            <x v="14"/>
          </reference>
        </references>
      </pivotArea>
    </format>
    <format dxfId="8905">
      <pivotArea dataOnly="0" labelOnly="1" outline="0" fieldPosition="0">
        <references count="3">
          <reference field="11" count="1" selected="0">
            <x v="426"/>
          </reference>
          <reference field="14" count="1" selected="0">
            <x v="401"/>
          </reference>
          <reference field="18" count="1">
            <x v="0"/>
          </reference>
        </references>
      </pivotArea>
    </format>
    <format dxfId="8904">
      <pivotArea dataOnly="0" labelOnly="1" outline="0" fieldPosition="0">
        <references count="3">
          <reference field="11" count="1" selected="0">
            <x v="426"/>
          </reference>
          <reference field="14" count="1" selected="0">
            <x v="401"/>
          </reference>
          <reference field="18" count="1" defaultSubtotal="1">
            <x v="0"/>
          </reference>
        </references>
      </pivotArea>
    </format>
    <format dxfId="8903">
      <pivotArea dataOnly="0" labelOnly="1" outline="0" fieldPosition="0">
        <references count="3">
          <reference field="11" count="1" selected="0">
            <x v="427"/>
          </reference>
          <reference field="14" count="1" selected="0">
            <x v="407"/>
          </reference>
          <reference field="18" count="1">
            <x v="0"/>
          </reference>
        </references>
      </pivotArea>
    </format>
    <format dxfId="8902">
      <pivotArea dataOnly="0" labelOnly="1" outline="0" fieldPosition="0">
        <references count="3">
          <reference field="11" count="1" selected="0">
            <x v="427"/>
          </reference>
          <reference field="14" count="1" selected="0">
            <x v="407"/>
          </reference>
          <reference field="18" count="1" defaultSubtotal="1">
            <x v="0"/>
          </reference>
        </references>
      </pivotArea>
    </format>
    <format dxfId="8901">
      <pivotArea dataOnly="0" labelOnly="1" outline="0" fieldPosition="0">
        <references count="3">
          <reference field="11" count="1" selected="0">
            <x v="428"/>
          </reference>
          <reference field="14" count="1" selected="0">
            <x v="412"/>
          </reference>
          <reference field="18" count="1">
            <x v="0"/>
          </reference>
        </references>
      </pivotArea>
    </format>
    <format dxfId="8900">
      <pivotArea dataOnly="0" labelOnly="1" outline="0" fieldPosition="0">
        <references count="3">
          <reference field="11" count="1" selected="0">
            <x v="428"/>
          </reference>
          <reference field="14" count="1" selected="0">
            <x v="412"/>
          </reference>
          <reference field="18" count="1" defaultSubtotal="1">
            <x v="0"/>
          </reference>
        </references>
      </pivotArea>
    </format>
    <format dxfId="8899">
      <pivotArea dataOnly="0" labelOnly="1" outline="0" fieldPosition="0">
        <references count="3">
          <reference field="11" count="1" selected="0">
            <x v="429"/>
          </reference>
          <reference field="14" count="1" selected="0">
            <x v="421"/>
          </reference>
          <reference field="18" count="1">
            <x v="19"/>
          </reference>
        </references>
      </pivotArea>
    </format>
    <format dxfId="8898">
      <pivotArea dataOnly="0" labelOnly="1" outline="0" fieldPosition="0">
        <references count="3">
          <reference field="11" count="1" selected="0">
            <x v="429"/>
          </reference>
          <reference field="14" count="1" selected="0">
            <x v="421"/>
          </reference>
          <reference field="18" count="1" defaultSubtotal="1">
            <x v="19"/>
          </reference>
        </references>
      </pivotArea>
    </format>
    <format dxfId="8897">
      <pivotArea dataOnly="0" labelOnly="1" outline="0" fieldPosition="0">
        <references count="3">
          <reference field="11" count="1" selected="0">
            <x v="430"/>
          </reference>
          <reference field="14" count="1" selected="0">
            <x v="444"/>
          </reference>
          <reference field="18" count="1">
            <x v="19"/>
          </reference>
        </references>
      </pivotArea>
    </format>
    <format dxfId="8896">
      <pivotArea dataOnly="0" labelOnly="1" outline="0" fieldPosition="0">
        <references count="3">
          <reference field="11" count="1" selected="0">
            <x v="430"/>
          </reference>
          <reference field="14" count="1" selected="0">
            <x v="444"/>
          </reference>
          <reference field="18" count="1" defaultSubtotal="1">
            <x v="19"/>
          </reference>
        </references>
      </pivotArea>
    </format>
    <format dxfId="8895">
      <pivotArea dataOnly="0" labelOnly="1" outline="0" fieldPosition="0">
        <references count="3">
          <reference field="11" count="1" selected="0">
            <x v="431"/>
          </reference>
          <reference field="14" count="1" selected="0">
            <x v="191"/>
          </reference>
          <reference field="18" count="1">
            <x v="3"/>
          </reference>
        </references>
      </pivotArea>
    </format>
    <format dxfId="8894">
      <pivotArea dataOnly="0" labelOnly="1" outline="0" fieldPosition="0">
        <references count="3">
          <reference field="11" count="1" selected="0">
            <x v="431"/>
          </reference>
          <reference field="14" count="1" selected="0">
            <x v="191"/>
          </reference>
          <reference field="18" count="1" defaultSubtotal="1">
            <x v="3"/>
          </reference>
        </references>
      </pivotArea>
    </format>
    <format dxfId="8893">
      <pivotArea dataOnly="0" labelOnly="1" outline="0" fieldPosition="0">
        <references count="3">
          <reference field="11" count="1" selected="0">
            <x v="432"/>
          </reference>
          <reference field="14" count="1" selected="0">
            <x v="119"/>
          </reference>
          <reference field="18" count="2">
            <x v="12"/>
            <x v="14"/>
          </reference>
        </references>
      </pivotArea>
    </format>
    <format dxfId="8892">
      <pivotArea dataOnly="0" labelOnly="1" outline="0" fieldPosition="0">
        <references count="3">
          <reference field="11" count="1" selected="0">
            <x v="432"/>
          </reference>
          <reference field="14" count="1" selected="0">
            <x v="119"/>
          </reference>
          <reference field="18" count="2" defaultSubtotal="1">
            <x v="12"/>
            <x v="14"/>
          </reference>
        </references>
      </pivotArea>
    </format>
    <format dxfId="8891">
      <pivotArea dataOnly="0" labelOnly="1" outline="0" fieldPosition="0">
        <references count="3">
          <reference field="11" count="1" selected="0">
            <x v="433"/>
          </reference>
          <reference field="14" count="1" selected="0">
            <x v="80"/>
          </reference>
          <reference field="18" count="1">
            <x v="27"/>
          </reference>
        </references>
      </pivotArea>
    </format>
    <format dxfId="8890">
      <pivotArea dataOnly="0" labelOnly="1" outline="0" fieldPosition="0">
        <references count="3">
          <reference field="11" count="1" selected="0">
            <x v="433"/>
          </reference>
          <reference field="14" count="1" selected="0">
            <x v="80"/>
          </reference>
          <reference field="18" count="1" defaultSubtotal="1">
            <x v="27"/>
          </reference>
        </references>
      </pivotArea>
    </format>
    <format dxfId="8889">
      <pivotArea dataOnly="0" labelOnly="1" outline="0" fieldPosition="0">
        <references count="3">
          <reference field="11" count="1" selected="0">
            <x v="434"/>
          </reference>
          <reference field="14" count="1" selected="0">
            <x v="84"/>
          </reference>
          <reference field="18" count="2">
            <x v="0"/>
            <x v="27"/>
          </reference>
        </references>
      </pivotArea>
    </format>
    <format dxfId="8888">
      <pivotArea dataOnly="0" labelOnly="1" outline="0" fieldPosition="0">
        <references count="3">
          <reference field="11" count="1" selected="0">
            <x v="434"/>
          </reference>
          <reference field="14" count="1" selected="0">
            <x v="84"/>
          </reference>
          <reference field="18" count="2" defaultSubtotal="1">
            <x v="0"/>
            <x v="27"/>
          </reference>
        </references>
      </pivotArea>
    </format>
    <format dxfId="8887">
      <pivotArea dataOnly="0" labelOnly="1" outline="0" fieldPosition="0">
        <references count="3">
          <reference field="11" count="1" selected="0">
            <x v="435"/>
          </reference>
          <reference field="14" count="1" selected="0">
            <x v="236"/>
          </reference>
          <reference field="18" count="1">
            <x v="27"/>
          </reference>
        </references>
      </pivotArea>
    </format>
    <format dxfId="8886">
      <pivotArea dataOnly="0" labelOnly="1" outline="0" fieldPosition="0">
        <references count="3">
          <reference field="11" count="1" selected="0">
            <x v="435"/>
          </reference>
          <reference field="14" count="1" selected="0">
            <x v="236"/>
          </reference>
          <reference field="18" count="1" defaultSubtotal="1">
            <x v="27"/>
          </reference>
        </references>
      </pivotArea>
    </format>
    <format dxfId="8885">
      <pivotArea dataOnly="0" labelOnly="1" outline="0" fieldPosition="0">
        <references count="3">
          <reference field="11" count="1" selected="0">
            <x v="436"/>
          </reference>
          <reference field="14" count="1" selected="0">
            <x v="99"/>
          </reference>
          <reference field="18" count="1">
            <x v="1"/>
          </reference>
        </references>
      </pivotArea>
    </format>
    <format dxfId="8884">
      <pivotArea dataOnly="0" labelOnly="1" outline="0" fieldPosition="0">
        <references count="3">
          <reference field="11" count="1" selected="0">
            <x v="436"/>
          </reference>
          <reference field="14" count="1" selected="0">
            <x v="99"/>
          </reference>
          <reference field="18" count="1" defaultSubtotal="1">
            <x v="1"/>
          </reference>
        </references>
      </pivotArea>
    </format>
    <format dxfId="8883">
      <pivotArea dataOnly="0" labelOnly="1" outline="0" fieldPosition="0">
        <references count="3">
          <reference field="11" count="1" selected="0">
            <x v="437"/>
          </reference>
          <reference field="14" count="1" selected="0">
            <x v="246"/>
          </reference>
          <reference field="18" count="1">
            <x v="14"/>
          </reference>
        </references>
      </pivotArea>
    </format>
    <format dxfId="8882">
      <pivotArea dataOnly="0" labelOnly="1" outline="0" fieldPosition="0">
        <references count="3">
          <reference field="11" count="1" selected="0">
            <x v="437"/>
          </reference>
          <reference field="14" count="1" selected="0">
            <x v="246"/>
          </reference>
          <reference field="18" count="1" defaultSubtotal="1">
            <x v="14"/>
          </reference>
        </references>
      </pivotArea>
    </format>
    <format dxfId="8881">
      <pivotArea dataOnly="0" labelOnly="1" outline="0" fieldPosition="0">
        <references count="3">
          <reference field="11" count="1" selected="0">
            <x v="438"/>
          </reference>
          <reference field="14" count="1" selected="0">
            <x v="15"/>
          </reference>
          <reference field="18" count="2">
            <x v="8"/>
            <x v="14"/>
          </reference>
        </references>
      </pivotArea>
    </format>
    <format dxfId="8880">
      <pivotArea dataOnly="0" labelOnly="1" outline="0" fieldPosition="0">
        <references count="3">
          <reference field="11" count="1" selected="0">
            <x v="438"/>
          </reference>
          <reference field="14" count="1" selected="0">
            <x v="15"/>
          </reference>
          <reference field="18" count="2" defaultSubtotal="1">
            <x v="8"/>
            <x v="14"/>
          </reference>
        </references>
      </pivotArea>
    </format>
    <format dxfId="8879">
      <pivotArea dataOnly="0" labelOnly="1" outline="0" fieldPosition="0">
        <references count="3">
          <reference field="11" count="1" selected="0">
            <x v="439"/>
          </reference>
          <reference field="14" count="1" selected="0">
            <x v="446"/>
          </reference>
          <reference field="18" count="1">
            <x v="19"/>
          </reference>
        </references>
      </pivotArea>
    </format>
    <format dxfId="8878">
      <pivotArea dataOnly="0" labelOnly="1" outline="0" fieldPosition="0">
        <references count="3">
          <reference field="11" count="1" selected="0">
            <x v="439"/>
          </reference>
          <reference field="14" count="1" selected="0">
            <x v="446"/>
          </reference>
          <reference field="18" count="1" defaultSubtotal="1">
            <x v="19"/>
          </reference>
        </references>
      </pivotArea>
    </format>
    <format dxfId="8877">
      <pivotArea dataOnly="0" labelOnly="1" outline="0" fieldPosition="0">
        <references count="3">
          <reference field="11" count="1" selected="0">
            <x v="440"/>
          </reference>
          <reference field="14" count="1" selected="0">
            <x v="208"/>
          </reference>
          <reference field="18" count="1">
            <x v="27"/>
          </reference>
        </references>
      </pivotArea>
    </format>
    <format dxfId="8876">
      <pivotArea dataOnly="0" labelOnly="1" outline="0" fieldPosition="0">
        <references count="3">
          <reference field="11" count="1" selected="0">
            <x v="440"/>
          </reference>
          <reference field="14" count="1" selected="0">
            <x v="208"/>
          </reference>
          <reference field="18" count="1" defaultSubtotal="1">
            <x v="27"/>
          </reference>
        </references>
      </pivotArea>
    </format>
    <format dxfId="8875">
      <pivotArea dataOnly="0" labelOnly="1" outline="0" fieldPosition="0">
        <references count="3">
          <reference field="11" count="1" selected="0">
            <x v="441"/>
          </reference>
          <reference field="14" count="1" selected="0">
            <x v="30"/>
          </reference>
          <reference field="18" count="1">
            <x v="27"/>
          </reference>
        </references>
      </pivotArea>
    </format>
    <format dxfId="8874">
      <pivotArea dataOnly="0" labelOnly="1" outline="0" fieldPosition="0">
        <references count="3">
          <reference field="11" count="1" selected="0">
            <x v="441"/>
          </reference>
          <reference field="14" count="1" selected="0">
            <x v="30"/>
          </reference>
          <reference field="18" count="1" defaultSubtotal="1">
            <x v="27"/>
          </reference>
        </references>
      </pivotArea>
    </format>
    <format dxfId="8873">
      <pivotArea dataOnly="0" labelOnly="1" outline="0" fieldPosition="0">
        <references count="3">
          <reference field="11" count="1" selected="0">
            <x v="442"/>
          </reference>
          <reference field="14" count="1" selected="0">
            <x v="306"/>
          </reference>
          <reference field="18" count="1">
            <x v="27"/>
          </reference>
        </references>
      </pivotArea>
    </format>
    <format dxfId="8872">
      <pivotArea dataOnly="0" labelOnly="1" outline="0" fieldPosition="0">
        <references count="3">
          <reference field="11" count="1" selected="0">
            <x v="442"/>
          </reference>
          <reference field="14" count="1" selected="0">
            <x v="306"/>
          </reference>
          <reference field="18" count="1" defaultSubtotal="1">
            <x v="27"/>
          </reference>
        </references>
      </pivotArea>
    </format>
    <format dxfId="8871">
      <pivotArea dataOnly="0" labelOnly="1" outline="0" fieldPosition="0">
        <references count="3">
          <reference field="11" count="1" selected="0">
            <x v="443"/>
          </reference>
          <reference field="14" count="1" selected="0">
            <x v="432"/>
          </reference>
          <reference field="18" count="1">
            <x v="19"/>
          </reference>
        </references>
      </pivotArea>
    </format>
    <format dxfId="8870">
      <pivotArea dataOnly="0" labelOnly="1" outline="0" fieldPosition="0">
        <references count="3">
          <reference field="11" count="1" selected="0">
            <x v="443"/>
          </reference>
          <reference field="14" count="1" selected="0">
            <x v="432"/>
          </reference>
          <reference field="18" count="1" defaultSubtotal="1">
            <x v="19"/>
          </reference>
        </references>
      </pivotArea>
    </format>
    <format dxfId="8869">
      <pivotArea dataOnly="0" labelOnly="1" outline="0" fieldPosition="0">
        <references count="3">
          <reference field="11" count="1" selected="0">
            <x v="444"/>
          </reference>
          <reference field="14" count="1" selected="0">
            <x v="436"/>
          </reference>
          <reference field="18" count="1">
            <x v="19"/>
          </reference>
        </references>
      </pivotArea>
    </format>
    <format dxfId="8868">
      <pivotArea dataOnly="0" labelOnly="1" outline="0" fieldPosition="0">
        <references count="3">
          <reference field="11" count="1" selected="0">
            <x v="444"/>
          </reference>
          <reference field="14" count="1" selected="0">
            <x v="436"/>
          </reference>
          <reference field="18" count="1" defaultSubtotal="1">
            <x v="19"/>
          </reference>
        </references>
      </pivotArea>
    </format>
    <format dxfId="8867">
      <pivotArea dataOnly="0" labelOnly="1" outline="0" fieldPosition="0">
        <references count="3">
          <reference field="11" count="1" selected="0">
            <x v="445"/>
          </reference>
          <reference field="14" count="1" selected="0">
            <x v="437"/>
          </reference>
          <reference field="18" count="1">
            <x v="19"/>
          </reference>
        </references>
      </pivotArea>
    </format>
    <format dxfId="8866">
      <pivotArea dataOnly="0" labelOnly="1" outline="0" fieldPosition="0">
        <references count="3">
          <reference field="11" count="1" selected="0">
            <x v="445"/>
          </reference>
          <reference field="14" count="1" selected="0">
            <x v="437"/>
          </reference>
          <reference field="18" count="1" defaultSubtotal="1">
            <x v="19"/>
          </reference>
        </references>
      </pivotArea>
    </format>
    <format dxfId="8865">
      <pivotArea dataOnly="0" labelOnly="1" outline="0" fieldPosition="0">
        <references count="3">
          <reference field="11" count="1" selected="0">
            <x v="446"/>
          </reference>
          <reference field="14" count="1" selected="0">
            <x v="29"/>
          </reference>
          <reference field="18" count="1">
            <x v="19"/>
          </reference>
        </references>
      </pivotArea>
    </format>
    <format dxfId="8864">
      <pivotArea dataOnly="0" labelOnly="1" outline="0" fieldPosition="0">
        <references count="3">
          <reference field="11" count="1" selected="0">
            <x v="446"/>
          </reference>
          <reference field="14" count="1" selected="0">
            <x v="29"/>
          </reference>
          <reference field="18" count="1" defaultSubtotal="1">
            <x v="19"/>
          </reference>
        </references>
      </pivotArea>
    </format>
    <format dxfId="8863">
      <pivotArea dataOnly="0" labelOnly="1" outline="0" fieldPosition="0">
        <references count="3">
          <reference field="11" count="1" selected="0">
            <x v="447"/>
          </reference>
          <reference field="14" count="1" selected="0">
            <x v="57"/>
          </reference>
          <reference field="18" count="1">
            <x v="27"/>
          </reference>
        </references>
      </pivotArea>
    </format>
    <format dxfId="8862">
      <pivotArea dataOnly="0" labelOnly="1" outline="0" fieldPosition="0">
        <references count="3">
          <reference field="11" count="1" selected="0">
            <x v="447"/>
          </reference>
          <reference field="14" count="1" selected="0">
            <x v="57"/>
          </reference>
          <reference field="18" count="1" defaultSubtotal="1">
            <x v="27"/>
          </reference>
        </references>
      </pivotArea>
    </format>
    <format dxfId="8861">
      <pivotArea dataOnly="0" labelOnly="1" outline="0" fieldPosition="0">
        <references count="3">
          <reference field="11" count="1" selected="0">
            <x v="448"/>
          </reference>
          <reference field="14" count="1" selected="0">
            <x v="58"/>
          </reference>
          <reference field="18" count="1">
            <x v="27"/>
          </reference>
        </references>
      </pivotArea>
    </format>
    <format dxfId="8860">
      <pivotArea dataOnly="0" labelOnly="1" outline="0" fieldPosition="0">
        <references count="3">
          <reference field="11" count="1" selected="0">
            <x v="448"/>
          </reference>
          <reference field="14" count="1" selected="0">
            <x v="58"/>
          </reference>
          <reference field="18" count="1" defaultSubtotal="1">
            <x v="27"/>
          </reference>
        </references>
      </pivotArea>
    </format>
    <format dxfId="8859">
      <pivotArea dataOnly="0" labelOnly="1" outline="0" fieldPosition="0">
        <references count="3">
          <reference field="11" count="1" selected="0">
            <x v="449"/>
          </reference>
          <reference field="14" count="1" selected="0">
            <x v="10"/>
          </reference>
          <reference field="18" count="2">
            <x v="24"/>
            <x v="27"/>
          </reference>
        </references>
      </pivotArea>
    </format>
    <format dxfId="8858">
      <pivotArea dataOnly="0" labelOnly="1" outline="0" fieldPosition="0">
        <references count="3">
          <reference field="11" count="1" selected="0">
            <x v="449"/>
          </reference>
          <reference field="14" count="1" selected="0">
            <x v="10"/>
          </reference>
          <reference field="18" count="2" defaultSubtotal="1">
            <x v="24"/>
            <x v="27"/>
          </reference>
        </references>
      </pivotArea>
    </format>
    <format dxfId="8857">
      <pivotArea dataOnly="0" labelOnly="1" outline="0" fieldPosition="0">
        <references count="3">
          <reference field="11" count="1" selected="0">
            <x v="450"/>
          </reference>
          <reference field="14" count="1" selected="0">
            <x v="141"/>
          </reference>
          <reference field="18" count="2">
            <x v="0"/>
            <x v="27"/>
          </reference>
        </references>
      </pivotArea>
    </format>
    <format dxfId="8856">
      <pivotArea dataOnly="0" labelOnly="1" outline="0" fieldPosition="0">
        <references count="3">
          <reference field="11" count="1" selected="0">
            <x v="450"/>
          </reference>
          <reference field="14" count="1" selected="0">
            <x v="141"/>
          </reference>
          <reference field="18" count="2" defaultSubtotal="1">
            <x v="0"/>
            <x v="27"/>
          </reference>
        </references>
      </pivotArea>
    </format>
    <format dxfId="8855">
      <pivotArea dataOnly="0" labelOnly="1" outline="0" fieldPosition="0">
        <references count="3">
          <reference field="11" count="1" selected="0">
            <x v="451"/>
          </reference>
          <reference field="14" count="1" selected="0">
            <x v="101"/>
          </reference>
          <reference field="18" count="1">
            <x v="27"/>
          </reference>
        </references>
      </pivotArea>
    </format>
    <format dxfId="8854">
      <pivotArea dataOnly="0" labelOnly="1" outline="0" fieldPosition="0">
        <references count="3">
          <reference field="11" count="1" selected="0">
            <x v="451"/>
          </reference>
          <reference field="14" count="1" selected="0">
            <x v="101"/>
          </reference>
          <reference field="18" count="1" defaultSubtotal="1">
            <x v="27"/>
          </reference>
        </references>
      </pivotArea>
    </format>
    <format dxfId="8853">
      <pivotArea dataOnly="0" labelOnly="1" outline="0" fieldPosition="0">
        <references count="3">
          <reference field="11" count="1" selected="0">
            <x v="452"/>
          </reference>
          <reference field="14" count="1" selected="0">
            <x v="450"/>
          </reference>
          <reference field="18" count="1">
            <x v="19"/>
          </reference>
        </references>
      </pivotArea>
    </format>
    <format dxfId="8852">
      <pivotArea dataOnly="0" labelOnly="1" outline="0" fieldPosition="0">
        <references count="3">
          <reference field="11" count="1" selected="0">
            <x v="452"/>
          </reference>
          <reference field="14" count="1" selected="0">
            <x v="450"/>
          </reference>
          <reference field="18" count="1" defaultSubtotal="1">
            <x v="19"/>
          </reference>
        </references>
      </pivotArea>
    </format>
    <format dxfId="8851">
      <pivotArea dataOnly="0" labelOnly="1" outline="0" fieldPosition="0">
        <references count="3">
          <reference field="11" count="1" selected="0">
            <x v="453"/>
          </reference>
          <reference field="14" count="1" selected="0">
            <x v="144"/>
          </reference>
          <reference field="18" count="1">
            <x v="3"/>
          </reference>
        </references>
      </pivotArea>
    </format>
    <format dxfId="8850">
      <pivotArea dataOnly="0" labelOnly="1" outline="0" fieldPosition="0">
        <references count="3">
          <reference field="11" count="1" selected="0">
            <x v="453"/>
          </reference>
          <reference field="14" count="1" selected="0">
            <x v="144"/>
          </reference>
          <reference field="18" count="1" defaultSubtotal="1">
            <x v="3"/>
          </reference>
        </references>
      </pivotArea>
    </format>
    <format dxfId="8849">
      <pivotArea dataOnly="0" labelOnly="1" outline="0" fieldPosition="0">
        <references count="3">
          <reference field="11" count="1" selected="0">
            <x v="454"/>
          </reference>
          <reference field="14" count="1" selected="0">
            <x v="397"/>
          </reference>
          <reference field="18" count="1">
            <x v="3"/>
          </reference>
        </references>
      </pivotArea>
    </format>
    <format dxfId="8848">
      <pivotArea dataOnly="0" labelOnly="1" outline="0" fieldPosition="0">
        <references count="3">
          <reference field="11" count="1" selected="0">
            <x v="454"/>
          </reference>
          <reference field="14" count="1" selected="0">
            <x v="397"/>
          </reference>
          <reference field="18" count="1" defaultSubtotal="1">
            <x v="3"/>
          </reference>
        </references>
      </pivotArea>
    </format>
    <format dxfId="8847">
      <pivotArea dataOnly="0" labelOnly="1" outline="0" fieldPosition="0">
        <references count="3">
          <reference field="11" count="1" selected="0">
            <x v="455"/>
          </reference>
          <reference field="14" count="1" selected="0">
            <x v="390"/>
          </reference>
          <reference field="18" count="1">
            <x v="3"/>
          </reference>
        </references>
      </pivotArea>
    </format>
    <format dxfId="8846">
      <pivotArea dataOnly="0" labelOnly="1" outline="0" fieldPosition="0">
        <references count="3">
          <reference field="11" count="1" selected="0">
            <x v="455"/>
          </reference>
          <reference field="14" count="1" selected="0">
            <x v="390"/>
          </reference>
          <reference field="18" count="1" defaultSubtotal="1">
            <x v="3"/>
          </reference>
        </references>
      </pivotArea>
    </format>
    <format dxfId="8845">
      <pivotArea dataOnly="0" labelOnly="1" outline="0" fieldPosition="0">
        <references count="3">
          <reference field="11" count="1" selected="0">
            <x v="456"/>
          </reference>
          <reference field="14" count="1" selected="0">
            <x v="452"/>
          </reference>
          <reference field="18" count="1">
            <x v="3"/>
          </reference>
        </references>
      </pivotArea>
    </format>
    <format dxfId="8844">
      <pivotArea dataOnly="0" labelOnly="1" outline="0" fieldPosition="0">
        <references count="3">
          <reference field="11" count="1" selected="0">
            <x v="456"/>
          </reference>
          <reference field="14" count="1" selected="0">
            <x v="452"/>
          </reference>
          <reference field="18" count="1" defaultSubtotal="1">
            <x v="3"/>
          </reference>
        </references>
      </pivotArea>
    </format>
    <format dxfId="8843">
      <pivotArea dataOnly="0" labelOnly="1" outline="0" fieldPosition="0">
        <references count="3">
          <reference field="11" count="1" selected="0">
            <x v="457"/>
          </reference>
          <reference field="14" count="1" selected="0">
            <x v="12"/>
          </reference>
          <reference field="18" count="1">
            <x v="3"/>
          </reference>
        </references>
      </pivotArea>
    </format>
    <format dxfId="8842">
      <pivotArea dataOnly="0" labelOnly="1" outline="0" fieldPosition="0">
        <references count="3">
          <reference field="11" count="1" selected="0">
            <x v="457"/>
          </reference>
          <reference field="14" count="1" selected="0">
            <x v="12"/>
          </reference>
          <reference field="18" count="1" defaultSubtotal="1">
            <x v="3"/>
          </reference>
        </references>
      </pivotArea>
    </format>
    <format dxfId="8841">
      <pivotArea dataOnly="0" labelOnly="1" outline="0" fieldPosition="0">
        <references count="3">
          <reference field="11" count="1" selected="0">
            <x v="458"/>
          </reference>
          <reference field="14" count="1" selected="0">
            <x v="367"/>
          </reference>
          <reference field="18" count="1">
            <x v="3"/>
          </reference>
        </references>
      </pivotArea>
    </format>
    <format dxfId="8840">
      <pivotArea dataOnly="0" labelOnly="1" outline="0" fieldPosition="0">
        <references count="3">
          <reference field="11" count="1" selected="0">
            <x v="458"/>
          </reference>
          <reference field="14" count="1" selected="0">
            <x v="367"/>
          </reference>
          <reference field="18" count="1" defaultSubtotal="1">
            <x v="3"/>
          </reference>
        </references>
      </pivotArea>
    </format>
    <format dxfId="8839">
      <pivotArea dataOnly="0" labelOnly="1" outline="0" fieldPosition="0">
        <references count="3">
          <reference field="11" count="1" selected="0">
            <x v="459"/>
          </reference>
          <reference field="14" count="1" selected="0">
            <x v="368"/>
          </reference>
          <reference field="18" count="1">
            <x v="3"/>
          </reference>
        </references>
      </pivotArea>
    </format>
    <format dxfId="8838">
      <pivotArea dataOnly="0" labelOnly="1" outline="0" fieldPosition="0">
        <references count="3">
          <reference field="11" count="1" selected="0">
            <x v="459"/>
          </reference>
          <reference field="14" count="1" selected="0">
            <x v="368"/>
          </reference>
          <reference field="18" count="1" defaultSubtotal="1">
            <x v="3"/>
          </reference>
        </references>
      </pivotArea>
    </format>
    <format dxfId="8837">
      <pivotArea dataOnly="0" labelOnly="1" outline="0" fieldPosition="0">
        <references count="3">
          <reference field="11" count="1" selected="0">
            <x v="460"/>
          </reference>
          <reference field="14" count="1" selected="0">
            <x v="369"/>
          </reference>
          <reference field="18" count="1">
            <x v="3"/>
          </reference>
        </references>
      </pivotArea>
    </format>
    <format dxfId="8836">
      <pivotArea dataOnly="0" labelOnly="1" outline="0" fieldPosition="0">
        <references count="3">
          <reference field="11" count="1" selected="0">
            <x v="460"/>
          </reference>
          <reference field="14" count="1" selected="0">
            <x v="369"/>
          </reference>
          <reference field="18" count="1" defaultSubtotal="1">
            <x v="3"/>
          </reference>
        </references>
      </pivotArea>
    </format>
    <format dxfId="8835">
      <pivotArea dataOnly="0" labelOnly="1" outline="0" fieldPosition="0">
        <references count="3">
          <reference field="11" count="1" selected="0">
            <x v="461"/>
          </reference>
          <reference field="14" count="1" selected="0">
            <x v="301"/>
          </reference>
          <reference field="18" count="3">
            <x v="7"/>
            <x v="8"/>
            <x v="13"/>
          </reference>
        </references>
      </pivotArea>
    </format>
    <format dxfId="8834">
      <pivotArea dataOnly="0" labelOnly="1" outline="0" fieldPosition="0">
        <references count="3">
          <reference field="11" count="1" selected="0">
            <x v="461"/>
          </reference>
          <reference field="14" count="1" selected="0">
            <x v="301"/>
          </reference>
          <reference field="18" count="3" defaultSubtotal="1">
            <x v="7"/>
            <x v="8"/>
            <x v="13"/>
          </reference>
        </references>
      </pivotArea>
    </format>
    <format dxfId="8833">
      <pivotArea dataOnly="0" labelOnly="1" outline="0" fieldPosition="0">
        <references count="3">
          <reference field="11" count="1" selected="0">
            <x v="462"/>
          </reference>
          <reference field="14" count="1" selected="0">
            <x v="434"/>
          </reference>
          <reference field="18" count="1">
            <x v="19"/>
          </reference>
        </references>
      </pivotArea>
    </format>
    <format dxfId="8832">
      <pivotArea dataOnly="0" labelOnly="1" outline="0" fieldPosition="0">
        <references count="3">
          <reference field="11" count="1" selected="0">
            <x v="462"/>
          </reference>
          <reference field="14" count="1" selected="0">
            <x v="434"/>
          </reference>
          <reference field="18" count="1" defaultSubtotal="1">
            <x v="19"/>
          </reference>
        </references>
      </pivotArea>
    </format>
    <format dxfId="8831">
      <pivotArea dataOnly="0" labelOnly="1" outline="0" fieldPosition="0">
        <references count="3">
          <reference field="11" count="1" selected="0">
            <x v="463"/>
          </reference>
          <reference field="14" count="1" selected="0">
            <x v="440"/>
          </reference>
          <reference field="18" count="1">
            <x v="19"/>
          </reference>
        </references>
      </pivotArea>
    </format>
    <format dxfId="8830">
      <pivotArea dataOnly="0" labelOnly="1" outline="0" fieldPosition="0">
        <references count="3">
          <reference field="11" count="1" selected="0">
            <x v="463"/>
          </reference>
          <reference field="14" count="1" selected="0">
            <x v="440"/>
          </reference>
          <reference field="18" count="1" defaultSubtotal="1">
            <x v="19"/>
          </reference>
        </references>
      </pivotArea>
    </format>
    <format dxfId="8829">
      <pivotArea dataOnly="0" labelOnly="1" outline="0" fieldPosition="0">
        <references count="3">
          <reference field="11" count="1" selected="0">
            <x v="464"/>
          </reference>
          <reference field="14" count="1" selected="0">
            <x v="442"/>
          </reference>
          <reference field="18" count="1">
            <x v="19"/>
          </reference>
        </references>
      </pivotArea>
    </format>
    <format dxfId="8828">
      <pivotArea dataOnly="0" labelOnly="1" outline="0" fieldPosition="0">
        <references count="3">
          <reference field="11" count="1" selected="0">
            <x v="464"/>
          </reference>
          <reference field="14" count="1" selected="0">
            <x v="442"/>
          </reference>
          <reference field="18" count="1" defaultSubtotal="1">
            <x v="19"/>
          </reference>
        </references>
      </pivotArea>
    </format>
    <format dxfId="8827">
      <pivotArea dataOnly="0" labelOnly="1" outline="0" fieldPosition="0">
        <references count="3">
          <reference field="11" count="1" selected="0">
            <x v="465"/>
          </reference>
          <reference field="14" count="1" selected="0">
            <x v="355"/>
          </reference>
          <reference field="18" count="1">
            <x v="27"/>
          </reference>
        </references>
      </pivotArea>
    </format>
    <format dxfId="8826">
      <pivotArea dataOnly="0" labelOnly="1" outline="0" fieldPosition="0">
        <references count="3">
          <reference field="11" count="1" selected="0">
            <x v="465"/>
          </reference>
          <reference field="14" count="1" selected="0">
            <x v="355"/>
          </reference>
          <reference field="18" count="1" defaultSubtotal="1">
            <x v="27"/>
          </reference>
        </references>
      </pivotArea>
    </format>
    <format dxfId="8825">
      <pivotArea dataOnly="0" labelOnly="1" outline="0" fieldPosition="0">
        <references count="3">
          <reference field="11" count="1" selected="0">
            <x v="466"/>
          </reference>
          <reference field="14" count="1" selected="0">
            <x v="115"/>
          </reference>
          <reference field="18" count="1">
            <x v="27"/>
          </reference>
        </references>
      </pivotArea>
    </format>
    <format dxfId="8824">
      <pivotArea dataOnly="0" labelOnly="1" outline="0" fieldPosition="0">
        <references count="3">
          <reference field="11" count="1" selected="0">
            <x v="466"/>
          </reference>
          <reference field="14" count="1" selected="0">
            <x v="115"/>
          </reference>
          <reference field="18" count="1" defaultSubtotal="1">
            <x v="27"/>
          </reference>
        </references>
      </pivotArea>
    </format>
    <format dxfId="8823">
      <pivotArea dataOnly="0" labelOnly="1" outline="0" fieldPosition="0">
        <references count="3">
          <reference field="11" count="1" selected="0">
            <x v="467"/>
          </reference>
          <reference field="14" count="1" selected="0">
            <x v="270"/>
          </reference>
          <reference field="18" count="1">
            <x v="2"/>
          </reference>
        </references>
      </pivotArea>
    </format>
    <format dxfId="8822">
      <pivotArea dataOnly="0" labelOnly="1" outline="0" fieldPosition="0">
        <references count="3">
          <reference field="11" count="1" selected="0">
            <x v="467"/>
          </reference>
          <reference field="14" count="1" selected="0">
            <x v="270"/>
          </reference>
          <reference field="18" count="1" defaultSubtotal="1">
            <x v="2"/>
          </reference>
        </references>
      </pivotArea>
    </format>
    <format dxfId="8821">
      <pivotArea dataOnly="0" labelOnly="1" outline="0" fieldPosition="0">
        <references count="3">
          <reference field="11" count="1" selected="0">
            <x v="468"/>
          </reference>
          <reference field="14" count="1" selected="0">
            <x v="380"/>
          </reference>
          <reference field="18" count="1">
            <x v="6"/>
          </reference>
        </references>
      </pivotArea>
    </format>
    <format dxfId="8820">
      <pivotArea dataOnly="0" labelOnly="1" outline="0" fieldPosition="0">
        <references count="3">
          <reference field="11" count="1" selected="0">
            <x v="468"/>
          </reference>
          <reference field="14" count="1" selected="0">
            <x v="380"/>
          </reference>
          <reference field="18" count="1" defaultSubtotal="1">
            <x v="6"/>
          </reference>
        </references>
      </pivotArea>
    </format>
    <format dxfId="8819">
      <pivotArea dataOnly="0" labelOnly="1" outline="0" fieldPosition="0">
        <references count="3">
          <reference field="11" count="1" selected="0">
            <x v="469"/>
          </reference>
          <reference field="14" count="1" selected="0">
            <x v="291"/>
          </reference>
          <reference field="18" count="3">
            <x v="6"/>
            <x v="24"/>
            <x v="25"/>
          </reference>
        </references>
      </pivotArea>
    </format>
    <format dxfId="8818">
      <pivotArea dataOnly="0" labelOnly="1" outline="0" fieldPosition="0">
        <references count="3">
          <reference field="11" count="1" selected="0">
            <x v="469"/>
          </reference>
          <reference field="14" count="1" selected="0">
            <x v="291"/>
          </reference>
          <reference field="18" count="3" defaultSubtotal="1">
            <x v="6"/>
            <x v="24"/>
            <x v="25"/>
          </reference>
        </references>
      </pivotArea>
    </format>
    <format dxfId="8817">
      <pivotArea dataOnly="0" labelOnly="1" outline="0" fieldPosition="0">
        <references count="3">
          <reference field="11" count="1" selected="0">
            <x v="470"/>
          </reference>
          <reference field="14" count="1" selected="0">
            <x v="100"/>
          </reference>
          <reference field="18" count="1">
            <x v="0"/>
          </reference>
        </references>
      </pivotArea>
    </format>
    <format dxfId="8816">
      <pivotArea dataOnly="0" labelOnly="1" outline="0" fieldPosition="0">
        <references count="3">
          <reference field="11" count="1" selected="0">
            <x v="470"/>
          </reference>
          <reference field="14" count="1" selected="0">
            <x v="100"/>
          </reference>
          <reference field="18" count="1" defaultSubtotal="1">
            <x v="0"/>
          </reference>
        </references>
      </pivotArea>
    </format>
    <format dxfId="8815">
      <pivotArea dataOnly="0" labelOnly="1" outline="0" fieldPosition="0">
        <references count="3">
          <reference field="11" count="1" selected="0">
            <x v="471"/>
          </reference>
          <reference field="14" count="1" selected="0">
            <x v="295"/>
          </reference>
          <reference field="18" count="1">
            <x v="2"/>
          </reference>
        </references>
      </pivotArea>
    </format>
    <format dxfId="8814">
      <pivotArea dataOnly="0" labelOnly="1" outline="0" fieldPosition="0">
        <references count="3">
          <reference field="11" count="1" selected="0">
            <x v="471"/>
          </reference>
          <reference field="14" count="1" selected="0">
            <x v="295"/>
          </reference>
          <reference field="18" count="1" defaultSubtotal="1">
            <x v="2"/>
          </reference>
        </references>
      </pivotArea>
    </format>
    <format dxfId="8813">
      <pivotArea dataOnly="0" labelOnly="1" outline="0" fieldPosition="0">
        <references count="3">
          <reference field="11" count="1" selected="0">
            <x v="472"/>
          </reference>
          <reference field="14" count="1" selected="0">
            <x v="325"/>
          </reference>
          <reference field="18" count="1">
            <x v="6"/>
          </reference>
        </references>
      </pivotArea>
    </format>
    <format dxfId="8812">
      <pivotArea dataOnly="0" labelOnly="1" outline="0" fieldPosition="0">
        <references count="3">
          <reference field="11" count="1" selected="0">
            <x v="472"/>
          </reference>
          <reference field="14" count="1" selected="0">
            <x v="325"/>
          </reference>
          <reference field="18" count="1" defaultSubtotal="1">
            <x v="6"/>
          </reference>
        </references>
      </pivotArea>
    </format>
    <format dxfId="8811">
      <pivotArea dataOnly="0" labelOnly="1" outline="0" fieldPosition="0">
        <references count="3">
          <reference field="11" count="1" selected="0">
            <x v="473"/>
          </reference>
          <reference field="14" count="1" selected="0">
            <x v="425"/>
          </reference>
          <reference field="18" count="1">
            <x v="19"/>
          </reference>
        </references>
      </pivotArea>
    </format>
    <format dxfId="8810">
      <pivotArea dataOnly="0" labelOnly="1" outline="0" fieldPosition="0">
        <references count="3">
          <reference field="11" count="1" selected="0">
            <x v="473"/>
          </reference>
          <reference field="14" count="1" selected="0">
            <x v="425"/>
          </reference>
          <reference field="18" count="1" defaultSubtotal="1">
            <x v="19"/>
          </reference>
        </references>
      </pivotArea>
    </format>
    <format dxfId="8809">
      <pivotArea dataOnly="0" labelOnly="1" outline="0" fieldPosition="0">
        <references count="3">
          <reference field="11" count="1" selected="0">
            <x v="474"/>
          </reference>
          <reference field="14" count="1" selected="0">
            <x v="424"/>
          </reference>
          <reference field="18" count="1">
            <x v="19"/>
          </reference>
        </references>
      </pivotArea>
    </format>
    <format dxfId="8808">
      <pivotArea dataOnly="0" labelOnly="1" outline="0" fieldPosition="0">
        <references count="3">
          <reference field="11" count="1" selected="0">
            <x v="474"/>
          </reference>
          <reference field="14" count="1" selected="0">
            <x v="424"/>
          </reference>
          <reference field="18" count="1" defaultSubtotal="1">
            <x v="19"/>
          </reference>
        </references>
      </pivotArea>
    </format>
    <format dxfId="8807">
      <pivotArea dataOnly="0" labelOnly="1" outline="0" fieldPosition="0">
        <references count="3">
          <reference field="11" count="1" selected="0">
            <x v="475"/>
          </reference>
          <reference field="14" count="1" selected="0">
            <x v="435"/>
          </reference>
          <reference field="18" count="1">
            <x v="19"/>
          </reference>
        </references>
      </pivotArea>
    </format>
    <format dxfId="8806">
      <pivotArea dataOnly="0" labelOnly="1" outline="0" fieldPosition="0">
        <references count="3">
          <reference field="11" count="1" selected="0">
            <x v="475"/>
          </reference>
          <reference field="14" count="1" selected="0">
            <x v="435"/>
          </reference>
          <reference field="18" count="1" defaultSubtotal="1">
            <x v="19"/>
          </reference>
        </references>
      </pivotArea>
    </format>
    <format dxfId="8805">
      <pivotArea dataOnly="0" labelOnly="1" outline="0" fieldPosition="0">
        <references count="3">
          <reference field="11" count="1" selected="0">
            <x v="476"/>
          </reference>
          <reference field="14" count="1" selected="0">
            <x v="151"/>
          </reference>
          <reference field="18" count="1">
            <x v="0"/>
          </reference>
        </references>
      </pivotArea>
    </format>
    <format dxfId="8804">
      <pivotArea dataOnly="0" labelOnly="1" outline="0" fieldPosition="0">
        <references count="3">
          <reference field="11" count="1" selected="0">
            <x v="476"/>
          </reference>
          <reference field="14" count="1" selected="0">
            <x v="151"/>
          </reference>
          <reference field="18" count="1" defaultSubtotal="1">
            <x v="0"/>
          </reference>
        </references>
      </pivotArea>
    </format>
    <format dxfId="8803">
      <pivotArea dataOnly="0" labelOnly="1" outline="0" fieldPosition="0">
        <references count="3">
          <reference field="11" count="1" selected="0">
            <x v="477"/>
          </reference>
          <reference field="14" count="1" selected="0">
            <x v="419"/>
          </reference>
          <reference field="18" count="1">
            <x v="19"/>
          </reference>
        </references>
      </pivotArea>
    </format>
    <format dxfId="8802">
      <pivotArea dataOnly="0" labelOnly="1" outline="0" fieldPosition="0">
        <references count="3">
          <reference field="11" count="1" selected="0">
            <x v="477"/>
          </reference>
          <reference field="14" count="1" selected="0">
            <x v="419"/>
          </reference>
          <reference field="18" count="1" defaultSubtotal="1">
            <x v="19"/>
          </reference>
        </references>
      </pivotArea>
    </format>
    <format dxfId="8801">
      <pivotArea dataOnly="0" labelOnly="1" outline="0" fieldPosition="0">
        <references count="3">
          <reference field="11" count="1" selected="0">
            <x v="478"/>
          </reference>
          <reference field="14" count="1" selected="0">
            <x v="308"/>
          </reference>
          <reference field="18" count="1">
            <x v="19"/>
          </reference>
        </references>
      </pivotArea>
    </format>
    <format dxfId="8800">
      <pivotArea dataOnly="0" labelOnly="1" outline="0" fieldPosition="0">
        <references count="3">
          <reference field="11" count="1" selected="0">
            <x v="478"/>
          </reference>
          <reference field="14" count="1" selected="0">
            <x v="308"/>
          </reference>
          <reference field="18" count="1" defaultSubtotal="1">
            <x v="19"/>
          </reference>
        </references>
      </pivotArea>
    </format>
    <format dxfId="8799">
      <pivotArea dataOnly="0" labelOnly="1" outline="0" fieldPosition="0">
        <references count="3">
          <reference field="11" count="1" selected="0">
            <x v="479"/>
          </reference>
          <reference field="14" count="1" selected="0">
            <x v="312"/>
          </reference>
          <reference field="18" count="1">
            <x v="19"/>
          </reference>
        </references>
      </pivotArea>
    </format>
    <format dxfId="8798">
      <pivotArea dataOnly="0" labelOnly="1" outline="0" fieldPosition="0">
        <references count="3">
          <reference field="11" count="1" selected="0">
            <x v="479"/>
          </reference>
          <reference field="14" count="1" selected="0">
            <x v="312"/>
          </reference>
          <reference field="18" count="1" defaultSubtotal="1">
            <x v="19"/>
          </reference>
        </references>
      </pivotArea>
    </format>
    <format dxfId="8797">
      <pivotArea dataOnly="0" labelOnly="1" outline="0" fieldPosition="0">
        <references count="3">
          <reference field="11" count="1" selected="0">
            <x v="480"/>
          </reference>
          <reference field="14" count="1" selected="0">
            <x v="423"/>
          </reference>
          <reference field="18" count="1">
            <x v="19"/>
          </reference>
        </references>
      </pivotArea>
    </format>
    <format dxfId="8796">
      <pivotArea dataOnly="0" labelOnly="1" outline="0" fieldPosition="0">
        <references count="3">
          <reference field="11" count="1" selected="0">
            <x v="480"/>
          </reference>
          <reference field="14" count="1" selected="0">
            <x v="423"/>
          </reference>
          <reference field="18" count="1" defaultSubtotal="1">
            <x v="19"/>
          </reference>
        </references>
      </pivotArea>
    </format>
    <format dxfId="8795">
      <pivotArea dataOnly="0" labelOnly="1" outline="0" fieldPosition="0">
        <references count="3">
          <reference field="11" count="1" selected="0">
            <x v="481"/>
          </reference>
          <reference field="14" count="1" selected="0">
            <x v="455"/>
          </reference>
          <reference field="18" count="2">
            <x v="12"/>
            <x v="14"/>
          </reference>
        </references>
      </pivotArea>
    </format>
    <format dxfId="8794">
      <pivotArea dataOnly="0" labelOnly="1" outline="0" fieldPosition="0">
        <references count="3">
          <reference field="11" count="1" selected="0">
            <x v="481"/>
          </reference>
          <reference field="14" count="1" selected="0">
            <x v="455"/>
          </reference>
          <reference field="18" count="2" defaultSubtotal="1">
            <x v="12"/>
            <x v="14"/>
          </reference>
        </references>
      </pivotArea>
    </format>
    <format dxfId="8793">
      <pivotArea dataOnly="0" labelOnly="1" outline="0" fieldPosition="0">
        <references count="3">
          <reference field="11" count="1" selected="0">
            <x v="482"/>
          </reference>
          <reference field="14" count="1" selected="0">
            <x v="38"/>
          </reference>
          <reference field="18" count="2">
            <x v="12"/>
            <x v="14"/>
          </reference>
        </references>
      </pivotArea>
    </format>
    <format dxfId="8792">
      <pivotArea dataOnly="0" labelOnly="1" outline="0" fieldPosition="0">
        <references count="3">
          <reference field="11" count="1" selected="0">
            <x v="482"/>
          </reference>
          <reference field="14" count="1" selected="0">
            <x v="38"/>
          </reference>
          <reference field="18" count="2" defaultSubtotal="1">
            <x v="12"/>
            <x v="14"/>
          </reference>
        </references>
      </pivotArea>
    </format>
    <format dxfId="8791">
      <pivotArea dataOnly="0" labelOnly="1" outline="0" fieldPosition="0">
        <references count="3">
          <reference field="11" count="1" selected="0">
            <x v="483"/>
          </reference>
          <reference field="14" count="1" selected="0">
            <x v="207"/>
          </reference>
          <reference field="18" count="2">
            <x v="14"/>
            <x v="26"/>
          </reference>
        </references>
      </pivotArea>
    </format>
    <format dxfId="8790">
      <pivotArea dataOnly="0" labelOnly="1" outline="0" fieldPosition="0">
        <references count="3">
          <reference field="11" count="1" selected="0">
            <x v="483"/>
          </reference>
          <reference field="14" count="1" selected="0">
            <x v="207"/>
          </reference>
          <reference field="18" count="2" defaultSubtotal="1">
            <x v="14"/>
            <x v="26"/>
          </reference>
        </references>
      </pivotArea>
    </format>
    <format dxfId="8789">
      <pivotArea dataOnly="0" labelOnly="1" outline="0" fieldPosition="0">
        <references count="3">
          <reference field="11" count="1" selected="0">
            <x v="484"/>
          </reference>
          <reference field="14" count="1" selected="0">
            <x v="49"/>
          </reference>
          <reference field="18" count="2">
            <x v="14"/>
            <x v="26"/>
          </reference>
        </references>
      </pivotArea>
    </format>
    <format dxfId="8788">
      <pivotArea dataOnly="0" labelOnly="1" outline="0" fieldPosition="0">
        <references count="3">
          <reference field="11" count="1" selected="0">
            <x v="484"/>
          </reference>
          <reference field="14" count="1" selected="0">
            <x v="49"/>
          </reference>
          <reference field="18" count="2" defaultSubtotal="1">
            <x v="14"/>
            <x v="26"/>
          </reference>
        </references>
      </pivotArea>
    </format>
    <format dxfId="8787">
      <pivotArea dataOnly="0" labelOnly="1" outline="0" fieldPosition="0">
        <references count="3">
          <reference field="11" count="1" selected="0">
            <x v="485"/>
          </reference>
          <reference field="14" count="1" selected="0">
            <x v="49"/>
          </reference>
          <reference field="18" count="2">
            <x v="14"/>
            <x v="26"/>
          </reference>
        </references>
      </pivotArea>
    </format>
    <format dxfId="8786">
      <pivotArea dataOnly="0" labelOnly="1" outline="0" fieldPosition="0">
        <references count="3">
          <reference field="11" count="1" selected="0">
            <x v="485"/>
          </reference>
          <reference field="14" count="1" selected="0">
            <x v="49"/>
          </reference>
          <reference field="18" count="2" defaultSubtotal="1">
            <x v="14"/>
            <x v="26"/>
          </reference>
        </references>
      </pivotArea>
    </format>
    <format dxfId="8785">
      <pivotArea dataOnly="0" labelOnly="1" outline="0" fieldPosition="0">
        <references count="3">
          <reference field="11" count="1" selected="0">
            <x v="486"/>
          </reference>
          <reference field="14" count="1" selected="0">
            <x v="207"/>
          </reference>
          <reference field="18" count="2">
            <x v="14"/>
            <x v="26"/>
          </reference>
        </references>
      </pivotArea>
    </format>
    <format dxfId="8784">
      <pivotArea dataOnly="0" labelOnly="1" outline="0" fieldPosition="0">
        <references count="3">
          <reference field="11" count="1" selected="0">
            <x v="486"/>
          </reference>
          <reference field="14" count="1" selected="0">
            <x v="207"/>
          </reference>
          <reference field="18" count="2" defaultSubtotal="1">
            <x v="14"/>
            <x v="26"/>
          </reference>
        </references>
      </pivotArea>
    </format>
    <format dxfId="8783">
      <pivotArea dataOnly="0" labelOnly="1" outline="0" fieldPosition="0">
        <references count="3">
          <reference field="11" count="1" selected="0">
            <x v="487"/>
          </reference>
          <reference field="14" count="1" selected="0">
            <x v="32"/>
          </reference>
          <reference field="18" count="2">
            <x v="0"/>
            <x v="27"/>
          </reference>
        </references>
      </pivotArea>
    </format>
    <format dxfId="8782">
      <pivotArea dataOnly="0" labelOnly="1" outline="0" fieldPosition="0">
        <references count="3">
          <reference field="11" count="1" selected="0">
            <x v="487"/>
          </reference>
          <reference field="14" count="1" selected="0">
            <x v="32"/>
          </reference>
          <reference field="18" count="2" defaultSubtotal="1">
            <x v="0"/>
            <x v="27"/>
          </reference>
        </references>
      </pivotArea>
    </format>
    <format dxfId="8781">
      <pivotArea dataOnly="0" labelOnly="1" outline="0" fieldPosition="0">
        <references count="3">
          <reference field="11" count="1" selected="0">
            <x v="488"/>
          </reference>
          <reference field="14" count="1" selected="0">
            <x v="484"/>
          </reference>
          <reference field="18" count="1">
            <x v="28"/>
          </reference>
        </references>
      </pivotArea>
    </format>
    <format dxfId="8780">
      <pivotArea dataOnly="0" labelOnly="1" outline="0" fieldPosition="0">
        <references count="3">
          <reference field="11" count="1" selected="0">
            <x v="488"/>
          </reference>
          <reference field="14" count="1" selected="0">
            <x v="484"/>
          </reference>
          <reference field="18" count="1" defaultSubtotal="1">
            <x v="28"/>
          </reference>
        </references>
      </pivotArea>
    </format>
    <format dxfId="8779">
      <pivotArea dataOnly="0" labelOnly="1" outline="0" fieldPosition="0">
        <references count="4">
          <reference field="11" count="1" selected="0">
            <x v="0"/>
          </reference>
          <reference field="14" count="1" selected="0">
            <x v="90"/>
          </reference>
          <reference field="18" count="1" selected="0">
            <x v="0"/>
          </reference>
          <reference field="19" count="1">
            <x v="16"/>
          </reference>
        </references>
      </pivotArea>
    </format>
    <format dxfId="8778">
      <pivotArea dataOnly="0" labelOnly="1" outline="0" fieldPosition="0">
        <references count="4">
          <reference field="11" count="1" selected="0">
            <x v="1"/>
          </reference>
          <reference field="14" count="1" selected="0">
            <x v="230"/>
          </reference>
          <reference field="18" count="1" selected="0">
            <x v="2"/>
          </reference>
          <reference field="19" count="1">
            <x v="22"/>
          </reference>
        </references>
      </pivotArea>
    </format>
    <format dxfId="8777">
      <pivotArea dataOnly="0" labelOnly="1" outline="0" fieldPosition="0">
        <references count="4">
          <reference field="11" count="1" selected="0">
            <x v="1"/>
          </reference>
          <reference field="14" count="1" selected="0">
            <x v="230"/>
          </reference>
          <reference field="18" count="1" selected="0">
            <x v="3"/>
          </reference>
          <reference field="19" count="1">
            <x v="15"/>
          </reference>
        </references>
      </pivotArea>
    </format>
    <format dxfId="8776">
      <pivotArea dataOnly="0" labelOnly="1" outline="0" fieldPosition="0">
        <references count="4">
          <reference field="11" count="1" selected="0">
            <x v="1"/>
          </reference>
          <reference field="14" count="1" selected="0">
            <x v="230"/>
          </reference>
          <reference field="18" count="1" selected="0">
            <x v="12"/>
          </reference>
          <reference field="19" count="1">
            <x v="13"/>
          </reference>
        </references>
      </pivotArea>
    </format>
    <format dxfId="8775">
      <pivotArea dataOnly="0" labelOnly="1" outline="0" fieldPosition="0">
        <references count="4">
          <reference field="11" count="1" selected="0">
            <x v="2"/>
          </reference>
          <reference field="14" count="1" selected="0">
            <x v="226"/>
          </reference>
          <reference field="18" count="1" selected="0">
            <x v="7"/>
          </reference>
          <reference field="19" count="1">
            <x v="4"/>
          </reference>
        </references>
      </pivotArea>
    </format>
    <format dxfId="8774">
      <pivotArea dataOnly="0" labelOnly="1" outline="0" fieldPosition="0">
        <references count="4">
          <reference field="11" count="1" selected="0">
            <x v="2"/>
          </reference>
          <reference field="14" count="1" selected="0">
            <x v="226"/>
          </reference>
          <reference field="18" count="1" selected="0">
            <x v="12"/>
          </reference>
          <reference field="19" count="1">
            <x v="13"/>
          </reference>
        </references>
      </pivotArea>
    </format>
    <format dxfId="8773">
      <pivotArea dataOnly="0" labelOnly="1" outline="0" fieldPosition="0">
        <references count="4">
          <reference field="11" count="1" selected="0">
            <x v="3"/>
          </reference>
          <reference field="14" count="1" selected="0">
            <x v="31"/>
          </reference>
          <reference field="18" count="1" selected="0">
            <x v="7"/>
          </reference>
          <reference field="19" count="1">
            <x v="4"/>
          </reference>
        </references>
      </pivotArea>
    </format>
    <format dxfId="8772">
      <pivotArea dataOnly="0" labelOnly="1" outline="0" fieldPosition="0">
        <references count="4">
          <reference field="11" count="1" selected="0">
            <x v="3"/>
          </reference>
          <reference field="14" count="1" selected="0">
            <x v="31"/>
          </reference>
          <reference field="18" count="1" selected="0">
            <x v="12"/>
          </reference>
          <reference field="19" count="1">
            <x v="13"/>
          </reference>
        </references>
      </pivotArea>
    </format>
    <format dxfId="8771">
      <pivotArea dataOnly="0" labelOnly="1" outline="0" fieldPosition="0">
        <references count="4">
          <reference field="11" count="1" selected="0">
            <x v="4"/>
          </reference>
          <reference field="14" count="1" selected="0">
            <x v="233"/>
          </reference>
          <reference field="18" count="1" selected="0">
            <x v="7"/>
          </reference>
          <reference field="19" count="1">
            <x v="4"/>
          </reference>
        </references>
      </pivotArea>
    </format>
    <format dxfId="8770">
      <pivotArea dataOnly="0" labelOnly="1" outline="0" fieldPosition="0">
        <references count="4">
          <reference field="11" count="1" selected="0">
            <x v="4"/>
          </reference>
          <reference field="14" count="1" selected="0">
            <x v="233"/>
          </reference>
          <reference field="18" count="1" selected="0">
            <x v="12"/>
          </reference>
          <reference field="19" count="1">
            <x v="13"/>
          </reference>
        </references>
      </pivotArea>
    </format>
    <format dxfId="8769">
      <pivotArea dataOnly="0" labelOnly="1" outline="0" fieldPosition="0">
        <references count="4">
          <reference field="11" count="1" selected="0">
            <x v="5"/>
          </reference>
          <reference field="14" count="1" selected="0">
            <x v="232"/>
          </reference>
          <reference field="18" count="1" selected="0">
            <x v="2"/>
          </reference>
          <reference field="19" count="1">
            <x v="22"/>
          </reference>
        </references>
      </pivotArea>
    </format>
    <format dxfId="8768">
      <pivotArea dataOnly="0" labelOnly="1" outline="0" fieldPosition="0">
        <references count="4">
          <reference field="11" count="1" selected="0">
            <x v="5"/>
          </reference>
          <reference field="14" count="1" selected="0">
            <x v="232"/>
          </reference>
          <reference field="18" count="1" selected="0">
            <x v="12"/>
          </reference>
          <reference field="19" count="1">
            <x v="13"/>
          </reference>
        </references>
      </pivotArea>
    </format>
    <format dxfId="8767">
      <pivotArea dataOnly="0" labelOnly="1" outline="0" fieldPosition="0">
        <references count="4">
          <reference field="11" count="1" selected="0">
            <x v="6"/>
          </reference>
          <reference field="14" count="1" selected="0">
            <x v="19"/>
          </reference>
          <reference field="18" count="1" selected="0">
            <x v="3"/>
          </reference>
          <reference field="19" count="1">
            <x v="15"/>
          </reference>
        </references>
      </pivotArea>
    </format>
    <format dxfId="8766">
      <pivotArea dataOnly="0" labelOnly="1" outline="0" fieldPosition="0">
        <references count="4">
          <reference field="11" count="1" selected="0">
            <x v="6"/>
          </reference>
          <reference field="14" count="1" selected="0">
            <x v="19"/>
          </reference>
          <reference field="18" count="1" selected="0">
            <x v="12"/>
          </reference>
          <reference field="19" count="1">
            <x v="13"/>
          </reference>
        </references>
      </pivotArea>
    </format>
    <format dxfId="8765">
      <pivotArea dataOnly="0" labelOnly="1" outline="0" fieldPosition="0">
        <references count="4">
          <reference field="11" count="1" selected="0">
            <x v="7"/>
          </reference>
          <reference field="14" count="1" selected="0">
            <x v="351"/>
          </reference>
          <reference field="18" count="1" selected="0">
            <x v="27"/>
          </reference>
          <reference field="19" count="1">
            <x v="17"/>
          </reference>
        </references>
      </pivotArea>
    </format>
    <format dxfId="8764">
      <pivotArea dataOnly="0" labelOnly="1" outline="0" fieldPosition="0">
        <references count="4">
          <reference field="11" count="1" selected="0">
            <x v="8"/>
          </reference>
          <reference field="14" count="1" selected="0">
            <x v="375"/>
          </reference>
          <reference field="18" count="1" selected="0">
            <x v="2"/>
          </reference>
          <reference field="19" count="1">
            <x v="22"/>
          </reference>
        </references>
      </pivotArea>
    </format>
    <format dxfId="8763">
      <pivotArea dataOnly="0" labelOnly="1" outline="0" fieldPosition="0">
        <references count="4">
          <reference field="11" count="1" selected="0">
            <x v="9"/>
          </reference>
          <reference field="14" count="1" selected="0">
            <x v="50"/>
          </reference>
          <reference field="18" count="1" selected="0">
            <x v="15"/>
          </reference>
          <reference field="19" count="1">
            <x v="25"/>
          </reference>
        </references>
      </pivotArea>
    </format>
    <format dxfId="8762">
      <pivotArea dataOnly="0" labelOnly="1" outline="0" fieldPosition="0">
        <references count="4">
          <reference field="11" count="1" selected="0">
            <x v="10"/>
          </reference>
          <reference field="14" count="1" selected="0">
            <x v="150"/>
          </reference>
          <reference field="18" count="1" selected="0">
            <x v="4"/>
          </reference>
          <reference field="19" count="1">
            <x v="10"/>
          </reference>
        </references>
      </pivotArea>
    </format>
    <format dxfId="8761">
      <pivotArea dataOnly="0" labelOnly="1" outline="0" fieldPosition="0">
        <references count="4">
          <reference field="11" count="1" selected="0">
            <x v="11"/>
          </reference>
          <reference field="14" count="1" selected="0">
            <x v="265"/>
          </reference>
          <reference field="18" count="1" selected="0">
            <x v="1"/>
          </reference>
          <reference field="19" count="1">
            <x v="18"/>
          </reference>
        </references>
      </pivotArea>
    </format>
    <format dxfId="8760">
      <pivotArea dataOnly="0" labelOnly="1" outline="0" fieldPosition="0">
        <references count="4">
          <reference field="11" count="1" selected="0">
            <x v="12"/>
          </reference>
          <reference field="14" count="1" selected="0">
            <x v="256"/>
          </reference>
          <reference field="18" count="1" selected="0">
            <x v="2"/>
          </reference>
          <reference field="19" count="1">
            <x v="22"/>
          </reference>
        </references>
      </pivotArea>
    </format>
    <format dxfId="8759">
      <pivotArea dataOnly="0" labelOnly="1" outline="0" fieldPosition="0">
        <references count="4">
          <reference field="11" count="1" selected="0">
            <x v="13"/>
          </reference>
          <reference field="14" count="1" selected="0">
            <x v="304"/>
          </reference>
          <reference field="18" count="1" selected="0">
            <x v="2"/>
          </reference>
          <reference field="19" count="1">
            <x v="22"/>
          </reference>
        </references>
      </pivotArea>
    </format>
    <format dxfId="8758">
      <pivotArea dataOnly="0" labelOnly="1" outline="0" fieldPosition="0">
        <references count="4">
          <reference field="11" count="1" selected="0">
            <x v="14"/>
          </reference>
          <reference field="14" count="1" selected="0">
            <x v="17"/>
          </reference>
          <reference field="18" count="1" selected="0">
            <x v="7"/>
          </reference>
          <reference field="19" count="1">
            <x v="4"/>
          </reference>
        </references>
      </pivotArea>
    </format>
    <format dxfId="8757">
      <pivotArea dataOnly="0" labelOnly="1" outline="0" fieldPosition="0">
        <references count="4">
          <reference field="11" count="1" selected="0">
            <x v="14"/>
          </reference>
          <reference field="14" count="1" selected="0">
            <x v="17"/>
          </reference>
          <reference field="18" count="1" selected="0">
            <x v="12"/>
          </reference>
          <reference field="19" count="1">
            <x v="13"/>
          </reference>
        </references>
      </pivotArea>
    </format>
    <format dxfId="8756">
      <pivotArea dataOnly="0" labelOnly="1" outline="0" fieldPosition="0">
        <references count="4">
          <reference field="11" count="1" selected="0">
            <x v="15"/>
          </reference>
          <reference field="14" count="1" selected="0">
            <x v="378"/>
          </reference>
          <reference field="18" count="1" selected="0">
            <x v="6"/>
          </reference>
          <reference field="19" count="1">
            <x v="23"/>
          </reference>
        </references>
      </pivotArea>
    </format>
    <format dxfId="8755">
      <pivotArea dataOnly="0" labelOnly="1" outline="0" fieldPosition="0">
        <references count="4">
          <reference field="11" count="1" selected="0">
            <x v="16"/>
          </reference>
          <reference field="14" count="1" selected="0">
            <x v="286"/>
          </reference>
          <reference field="18" count="1" selected="0">
            <x v="0"/>
          </reference>
          <reference field="19" count="1">
            <x v="16"/>
          </reference>
        </references>
      </pivotArea>
    </format>
    <format dxfId="8754">
      <pivotArea dataOnly="0" labelOnly="1" outline="0" fieldPosition="0">
        <references count="4">
          <reference field="11" count="1" selected="0">
            <x v="17"/>
          </reference>
          <reference field="14" count="1" selected="0">
            <x v="116"/>
          </reference>
          <reference field="18" count="1" selected="0">
            <x v="3"/>
          </reference>
          <reference field="19" count="1">
            <x v="15"/>
          </reference>
        </references>
      </pivotArea>
    </format>
    <format dxfId="8753">
      <pivotArea dataOnly="0" labelOnly="1" outline="0" fieldPosition="0">
        <references count="4">
          <reference field="11" count="1" selected="0">
            <x v="18"/>
          </reference>
          <reference field="14" count="1" selected="0">
            <x v="176"/>
          </reference>
          <reference field="18" count="1" selected="0">
            <x v="6"/>
          </reference>
          <reference field="19" count="1">
            <x v="23"/>
          </reference>
        </references>
      </pivotArea>
    </format>
    <format dxfId="8752">
      <pivotArea dataOnly="0" labelOnly="1" outline="0" fieldPosition="0">
        <references count="4">
          <reference field="11" count="1" selected="0">
            <x v="19"/>
          </reference>
          <reference field="14" count="1" selected="0">
            <x v="460"/>
          </reference>
          <reference field="18" count="1" selected="0">
            <x v="24"/>
          </reference>
          <reference field="19" count="1">
            <x v="7"/>
          </reference>
        </references>
      </pivotArea>
    </format>
    <format dxfId="8751">
      <pivotArea dataOnly="0" labelOnly="1" outline="0" fieldPosition="0">
        <references count="4">
          <reference field="11" count="1" selected="0">
            <x v="19"/>
          </reference>
          <reference field="14" count="1" selected="0">
            <x v="460"/>
          </reference>
          <reference field="18" count="1" selected="0">
            <x v="27"/>
          </reference>
          <reference field="19" count="1">
            <x v="17"/>
          </reference>
        </references>
      </pivotArea>
    </format>
    <format dxfId="8750">
      <pivotArea dataOnly="0" labelOnly="1" outline="0" fieldPosition="0">
        <references count="4">
          <reference field="11" count="1" selected="0">
            <x v="20"/>
          </reference>
          <reference field="14" count="1" selected="0">
            <x v="46"/>
          </reference>
          <reference field="18" count="1" selected="0">
            <x v="0"/>
          </reference>
          <reference field="19" count="1">
            <x v="16"/>
          </reference>
        </references>
      </pivotArea>
    </format>
    <format dxfId="8749">
      <pivotArea dataOnly="0" labelOnly="1" outline="0" fieldPosition="0">
        <references count="4">
          <reference field="11" count="1" selected="0">
            <x v="21"/>
          </reference>
          <reference field="14" count="1" selected="0">
            <x v="347"/>
          </reference>
          <reference field="18" count="1" selected="0">
            <x v="6"/>
          </reference>
          <reference field="19" count="1">
            <x v="23"/>
          </reference>
        </references>
      </pivotArea>
    </format>
    <format dxfId="8748">
      <pivotArea dataOnly="0" labelOnly="1" outline="0" fieldPosition="0">
        <references count="4">
          <reference field="11" count="1" selected="0">
            <x v="22"/>
          </reference>
          <reference field="14" count="1" selected="0">
            <x v="219"/>
          </reference>
          <reference field="18" count="1" selected="0">
            <x v="7"/>
          </reference>
          <reference field="19" count="1">
            <x v="4"/>
          </reference>
        </references>
      </pivotArea>
    </format>
    <format dxfId="8747">
      <pivotArea dataOnly="0" labelOnly="1" outline="0" fieldPosition="0">
        <references count="4">
          <reference field="11" count="1" selected="0">
            <x v="22"/>
          </reference>
          <reference field="14" count="1" selected="0">
            <x v="219"/>
          </reference>
          <reference field="18" count="1" selected="0">
            <x v="12"/>
          </reference>
          <reference field="19" count="1">
            <x v="13"/>
          </reference>
        </references>
      </pivotArea>
    </format>
    <format dxfId="8746">
      <pivotArea dataOnly="0" labelOnly="1" outline="0" fieldPosition="0">
        <references count="4">
          <reference field="11" count="1" selected="0">
            <x v="23"/>
          </reference>
          <reference field="14" count="1" selected="0">
            <x v="94"/>
          </reference>
          <reference field="18" count="1" selected="0">
            <x v="2"/>
          </reference>
          <reference field="19" count="1">
            <x v="22"/>
          </reference>
        </references>
      </pivotArea>
    </format>
    <format dxfId="8745">
      <pivotArea dataOnly="0" labelOnly="1" outline="0" fieldPosition="0">
        <references count="4">
          <reference field="11" count="1" selected="0">
            <x v="24"/>
          </reference>
          <reference field="14" count="1" selected="0">
            <x v="93"/>
          </reference>
          <reference field="18" count="1" selected="0">
            <x v="2"/>
          </reference>
          <reference field="19" count="1">
            <x v="22"/>
          </reference>
        </references>
      </pivotArea>
    </format>
    <format dxfId="8744">
      <pivotArea dataOnly="0" labelOnly="1" outline="0" fieldPosition="0">
        <references count="4">
          <reference field="11" count="1" selected="0">
            <x v="25"/>
          </reference>
          <reference field="14" count="1" selected="0">
            <x v="466"/>
          </reference>
          <reference field="18" count="1" selected="0">
            <x v="1"/>
          </reference>
          <reference field="19" count="1">
            <x v="18"/>
          </reference>
        </references>
      </pivotArea>
    </format>
    <format dxfId="8743">
      <pivotArea dataOnly="0" labelOnly="1" outline="0" fieldPosition="0">
        <references count="4">
          <reference field="11" count="1" selected="0">
            <x v="26"/>
          </reference>
          <reference field="14" count="1" selected="0">
            <x v="55"/>
          </reference>
          <reference field="18" count="1" selected="0">
            <x v="0"/>
          </reference>
          <reference field="19" count="1">
            <x v="16"/>
          </reference>
        </references>
      </pivotArea>
    </format>
    <format dxfId="8742">
      <pivotArea dataOnly="0" labelOnly="1" outline="0" fieldPosition="0">
        <references count="4">
          <reference field="11" count="1" selected="0">
            <x v="27"/>
          </reference>
          <reference field="14" count="1" selected="0">
            <x v="458"/>
          </reference>
          <reference field="18" count="1" selected="0">
            <x v="2"/>
          </reference>
          <reference field="19" count="1">
            <x v="22"/>
          </reference>
        </references>
      </pivotArea>
    </format>
    <format dxfId="8741">
      <pivotArea dataOnly="0" labelOnly="1" outline="0" fieldPosition="0">
        <references count="4">
          <reference field="11" count="1" selected="0">
            <x v="28"/>
          </reference>
          <reference field="14" count="1" selected="0">
            <x v="179"/>
          </reference>
          <reference field="18" count="1" selected="0">
            <x v="2"/>
          </reference>
          <reference field="19" count="1">
            <x v="22"/>
          </reference>
        </references>
      </pivotArea>
    </format>
    <format dxfId="8740">
      <pivotArea dataOnly="0" labelOnly="1" outline="0" fieldPosition="0">
        <references count="4">
          <reference field="11" count="1" selected="0">
            <x v="29"/>
          </reference>
          <reference field="14" count="1" selected="0">
            <x v="0"/>
          </reference>
          <reference field="18" count="1" selected="0">
            <x v="2"/>
          </reference>
          <reference field="19" count="1">
            <x v="22"/>
          </reference>
        </references>
      </pivotArea>
    </format>
    <format dxfId="8739">
      <pivotArea dataOnly="0" labelOnly="1" outline="0" fieldPosition="0">
        <references count="4">
          <reference field="11" count="1" selected="0">
            <x v="30"/>
          </reference>
          <reference field="14" count="1" selected="0">
            <x v="1"/>
          </reference>
          <reference field="18" count="1" selected="0">
            <x v="2"/>
          </reference>
          <reference field="19" count="1">
            <x v="22"/>
          </reference>
        </references>
      </pivotArea>
    </format>
    <format dxfId="8738">
      <pivotArea dataOnly="0" labelOnly="1" outline="0" fieldPosition="0">
        <references count="4">
          <reference field="11" count="1" selected="0">
            <x v="31"/>
          </reference>
          <reference field="14" count="1" selected="0">
            <x v="414"/>
          </reference>
          <reference field="18" count="1" selected="0">
            <x v="2"/>
          </reference>
          <reference field="19" count="1">
            <x v="22"/>
          </reference>
        </references>
      </pivotArea>
    </format>
    <format dxfId="8737">
      <pivotArea dataOnly="0" labelOnly="1" outline="0" fieldPosition="0">
        <references count="4">
          <reference field="11" count="1" selected="0">
            <x v="32"/>
          </reference>
          <reference field="14" count="1" selected="0">
            <x v="36"/>
          </reference>
          <reference field="18" count="1" selected="0">
            <x v="6"/>
          </reference>
          <reference field="19" count="1">
            <x v="23"/>
          </reference>
        </references>
      </pivotArea>
    </format>
    <format dxfId="8736">
      <pivotArea dataOnly="0" labelOnly="1" outline="0" fieldPosition="0">
        <references count="4">
          <reference field="11" count="1" selected="0">
            <x v="33"/>
          </reference>
          <reference field="14" count="1" selected="0">
            <x v="341"/>
          </reference>
          <reference field="18" count="1" selected="0">
            <x v="3"/>
          </reference>
          <reference field="19" count="1">
            <x v="15"/>
          </reference>
        </references>
      </pivotArea>
    </format>
    <format dxfId="8735">
      <pivotArea dataOnly="0" labelOnly="1" outline="0" fieldPosition="0">
        <references count="4">
          <reference field="11" count="1" selected="0">
            <x v="34"/>
          </reference>
          <reference field="14" count="1" selected="0">
            <x v="340"/>
          </reference>
          <reference field="18" count="1" selected="0">
            <x v="3"/>
          </reference>
          <reference field="19" count="1">
            <x v="15"/>
          </reference>
        </references>
      </pivotArea>
    </format>
    <format dxfId="8734">
      <pivotArea dataOnly="0" labelOnly="1" outline="0" fieldPosition="0">
        <references count="4">
          <reference field="11" count="1" selected="0">
            <x v="35"/>
          </reference>
          <reference field="14" count="1" selected="0">
            <x v="379"/>
          </reference>
          <reference field="18" count="1" selected="0">
            <x v="6"/>
          </reference>
          <reference field="19" count="1">
            <x v="23"/>
          </reference>
        </references>
      </pivotArea>
    </format>
    <format dxfId="8733">
      <pivotArea dataOnly="0" labelOnly="1" outline="0" fieldPosition="0">
        <references count="4">
          <reference field="11" count="1" selected="0">
            <x v="36"/>
          </reference>
          <reference field="14" count="1" selected="0">
            <x v="349"/>
          </reference>
          <reference field="18" count="1" selected="0">
            <x v="6"/>
          </reference>
          <reference field="19" count="1">
            <x v="23"/>
          </reference>
        </references>
      </pivotArea>
    </format>
    <format dxfId="8732">
      <pivotArea dataOnly="0" labelOnly="1" outline="0" fieldPosition="0">
        <references count="4">
          <reference field="11" count="1" selected="0">
            <x v="37"/>
          </reference>
          <reference field="14" count="1" selected="0">
            <x v="348"/>
          </reference>
          <reference field="18" count="1" selected="0">
            <x v="6"/>
          </reference>
          <reference field="19" count="1">
            <x v="23"/>
          </reference>
        </references>
      </pivotArea>
    </format>
    <format dxfId="8731">
      <pivotArea dataOnly="0" labelOnly="1" outline="0" fieldPosition="0">
        <references count="4">
          <reference field="11" count="1" selected="0">
            <x v="38"/>
          </reference>
          <reference field="14" count="1" selected="0">
            <x v="346"/>
          </reference>
          <reference field="18" count="1" selected="0">
            <x v="6"/>
          </reference>
          <reference field="19" count="1">
            <x v="23"/>
          </reference>
        </references>
      </pivotArea>
    </format>
    <format dxfId="8730">
      <pivotArea dataOnly="0" labelOnly="1" outline="0" fieldPosition="0">
        <references count="4">
          <reference field="11" count="1" selected="0">
            <x v="39"/>
          </reference>
          <reference field="14" count="1" selected="0">
            <x v="344"/>
          </reference>
          <reference field="18" count="1" selected="0">
            <x v="6"/>
          </reference>
          <reference field="19" count="1">
            <x v="23"/>
          </reference>
        </references>
      </pivotArea>
    </format>
    <format dxfId="8729">
      <pivotArea dataOnly="0" labelOnly="1" outline="0" fieldPosition="0">
        <references count="4">
          <reference field="11" count="1" selected="0">
            <x v="40"/>
          </reference>
          <reference field="14" count="1" selected="0">
            <x v="345"/>
          </reference>
          <reference field="18" count="1" selected="0">
            <x v="6"/>
          </reference>
          <reference field="19" count="1">
            <x v="23"/>
          </reference>
        </references>
      </pivotArea>
    </format>
    <format dxfId="8728">
      <pivotArea dataOnly="0" labelOnly="1" outline="0" fieldPosition="0">
        <references count="4">
          <reference field="11" count="1" selected="0">
            <x v="41"/>
          </reference>
          <reference field="14" count="1" selected="0">
            <x v="337"/>
          </reference>
          <reference field="18" count="1" selected="0">
            <x v="16"/>
          </reference>
          <reference field="19" count="1">
            <x v="24"/>
          </reference>
        </references>
      </pivotArea>
    </format>
    <format dxfId="8727">
      <pivotArea dataOnly="0" labelOnly="1" outline="0" fieldPosition="0">
        <references count="4">
          <reference field="11" count="1" selected="0">
            <x v="42"/>
          </reference>
          <reference field="14" count="1" selected="0">
            <x v="59"/>
          </reference>
          <reference field="18" count="1" selected="0">
            <x v="4"/>
          </reference>
          <reference field="19" count="1">
            <x v="10"/>
          </reference>
        </references>
      </pivotArea>
    </format>
    <format dxfId="8726">
      <pivotArea dataOnly="0" labelOnly="1" outline="0" fieldPosition="0">
        <references count="4">
          <reference field="11" count="1" selected="0">
            <x v="43"/>
          </reference>
          <reference field="14" count="1" selected="0">
            <x v="410"/>
          </reference>
          <reference field="18" count="1" selected="0">
            <x v="0"/>
          </reference>
          <reference field="19" count="1">
            <x v="16"/>
          </reference>
        </references>
      </pivotArea>
    </format>
    <format dxfId="8725">
      <pivotArea dataOnly="0" labelOnly="1" outline="0" fieldPosition="0">
        <references count="4">
          <reference field="11" count="1" selected="0">
            <x v="43"/>
          </reference>
          <reference field="14" count="1" selected="0">
            <x v="410"/>
          </reference>
          <reference field="18" count="1" selected="0">
            <x v="14"/>
          </reference>
          <reference field="19" count="1">
            <x v="9"/>
          </reference>
        </references>
      </pivotArea>
    </format>
    <format dxfId="8724">
      <pivotArea dataOnly="0" labelOnly="1" outline="0" fieldPosition="0">
        <references count="4">
          <reference field="11" count="1" selected="0">
            <x v="44"/>
          </reference>
          <reference field="14" count="1" selected="0">
            <x v="77"/>
          </reference>
          <reference field="18" count="1" selected="0">
            <x v="2"/>
          </reference>
          <reference field="19" count="1">
            <x v="22"/>
          </reference>
        </references>
      </pivotArea>
    </format>
    <format dxfId="8723">
      <pivotArea dataOnly="0" labelOnly="1" outline="0" fieldPosition="0">
        <references count="4">
          <reference field="11" count="1" selected="0">
            <x v="44"/>
          </reference>
          <reference field="14" count="1" selected="0">
            <x v="77"/>
          </reference>
          <reference field="18" count="1" selected="0">
            <x v="22"/>
          </reference>
          <reference field="19" count="1">
            <x v="11"/>
          </reference>
        </references>
      </pivotArea>
    </format>
    <format dxfId="8722">
      <pivotArea dataOnly="0" labelOnly="1" outline="0" fieldPosition="0">
        <references count="4">
          <reference field="11" count="1" selected="0">
            <x v="45"/>
          </reference>
          <reference field="14" count="1" selected="0">
            <x v="465"/>
          </reference>
          <reference field="18" count="1" selected="0">
            <x v="6"/>
          </reference>
          <reference field="19" count="1">
            <x v="23"/>
          </reference>
        </references>
      </pivotArea>
    </format>
    <format dxfId="8721">
      <pivotArea dataOnly="0" labelOnly="1" outline="0" fieldPosition="0">
        <references count="4">
          <reference field="11" count="1" selected="0">
            <x v="46"/>
          </reference>
          <reference field="14" count="1" selected="0">
            <x v="250"/>
          </reference>
          <reference field="18" count="1" selected="0">
            <x v="2"/>
          </reference>
          <reference field="19" count="1">
            <x v="22"/>
          </reference>
        </references>
      </pivotArea>
    </format>
    <format dxfId="8720">
      <pivotArea dataOnly="0" labelOnly="1" outline="0" fieldPosition="0">
        <references count="4">
          <reference field="11" count="1" selected="0">
            <x v="47"/>
          </reference>
          <reference field="14" count="1" selected="0">
            <x v="323"/>
          </reference>
          <reference field="18" count="1" selected="0">
            <x v="17"/>
          </reference>
          <reference field="19" count="1">
            <x v="0"/>
          </reference>
        </references>
      </pivotArea>
    </format>
    <format dxfId="8719">
      <pivotArea dataOnly="0" labelOnly="1" outline="0" fieldPosition="0">
        <references count="4">
          <reference field="11" count="1" selected="0">
            <x v="48"/>
          </reference>
          <reference field="14" count="1" selected="0">
            <x v="244"/>
          </reference>
          <reference field="18" count="1" selected="0">
            <x v="6"/>
          </reference>
          <reference field="19" count="1">
            <x v="23"/>
          </reference>
        </references>
      </pivotArea>
    </format>
    <format dxfId="8718">
      <pivotArea dataOnly="0" labelOnly="1" outline="0" fieldPosition="0">
        <references count="4">
          <reference field="11" count="1" selected="0">
            <x v="49"/>
          </reference>
          <reference field="14" count="1" selected="0">
            <x v="228"/>
          </reference>
          <reference field="18" count="1" selected="0">
            <x v="0"/>
          </reference>
          <reference field="19" count="1">
            <x v="16"/>
          </reference>
        </references>
      </pivotArea>
    </format>
    <format dxfId="8717">
      <pivotArea dataOnly="0" labelOnly="1" outline="0" fieldPosition="0">
        <references count="4">
          <reference field="11" count="1" selected="0">
            <x v="49"/>
          </reference>
          <reference field="14" count="1" selected="0">
            <x v="228"/>
          </reference>
          <reference field="18" count="1" selected="0">
            <x v="2"/>
          </reference>
          <reference field="19" count="1">
            <x v="22"/>
          </reference>
        </references>
      </pivotArea>
    </format>
    <format dxfId="8716">
      <pivotArea dataOnly="0" labelOnly="1" outline="0" fieldPosition="0">
        <references count="4">
          <reference field="11" count="1" selected="0">
            <x v="49"/>
          </reference>
          <reference field="14" count="1" selected="0">
            <x v="228"/>
          </reference>
          <reference field="18" count="1" selected="0">
            <x v="12"/>
          </reference>
          <reference field="19" count="1">
            <x v="13"/>
          </reference>
        </references>
      </pivotArea>
    </format>
    <format dxfId="8715">
      <pivotArea dataOnly="0" labelOnly="1" outline="0" fieldPosition="0">
        <references count="4">
          <reference field="11" count="1" selected="0">
            <x v="50"/>
          </reference>
          <reference field="14" count="1" selected="0">
            <x v="318"/>
          </reference>
          <reference field="18" count="1" selected="0">
            <x v="6"/>
          </reference>
          <reference field="19" count="1">
            <x v="23"/>
          </reference>
        </references>
      </pivotArea>
    </format>
    <format dxfId="8714">
      <pivotArea dataOnly="0" labelOnly="1" outline="0" fieldPosition="0">
        <references count="4">
          <reference field="11" count="1" selected="0">
            <x v="51"/>
          </reference>
          <reference field="14" count="1" selected="0">
            <x v="241"/>
          </reference>
          <reference field="18" count="1" selected="0">
            <x v="6"/>
          </reference>
          <reference field="19" count="1">
            <x v="23"/>
          </reference>
        </references>
      </pivotArea>
    </format>
    <format dxfId="8713">
      <pivotArea dataOnly="0" labelOnly="1" outline="0" fieldPosition="0">
        <references count="4">
          <reference field="11" count="1" selected="0">
            <x v="52"/>
          </reference>
          <reference field="14" count="1" selected="0">
            <x v="413"/>
          </reference>
          <reference field="18" count="1" selected="0">
            <x v="6"/>
          </reference>
          <reference field="19" count="1">
            <x v="23"/>
          </reference>
        </references>
      </pivotArea>
    </format>
    <format dxfId="8712">
      <pivotArea dataOnly="0" labelOnly="1" outline="0" fieldPosition="0">
        <references count="4">
          <reference field="11" count="1" selected="0">
            <x v="53"/>
          </reference>
          <reference field="14" count="1" selected="0">
            <x v="283"/>
          </reference>
          <reference field="18" count="1" selected="0">
            <x v="3"/>
          </reference>
          <reference field="19" count="1">
            <x v="15"/>
          </reference>
        </references>
      </pivotArea>
    </format>
    <format dxfId="8711">
      <pivotArea dataOnly="0" labelOnly="1" outline="0" fieldPosition="0">
        <references count="4">
          <reference field="11" count="1" selected="0">
            <x v="54"/>
          </reference>
          <reference field="14" count="1" selected="0">
            <x v="278"/>
          </reference>
          <reference field="18" count="1" selected="0">
            <x v="0"/>
          </reference>
          <reference field="19" count="1">
            <x v="16"/>
          </reference>
        </references>
      </pivotArea>
    </format>
    <format dxfId="8710">
      <pivotArea dataOnly="0" labelOnly="1" outline="0" fieldPosition="0">
        <references count="4">
          <reference field="11" count="1" selected="0">
            <x v="54"/>
          </reference>
          <reference field="14" count="1" selected="0">
            <x v="278"/>
          </reference>
          <reference field="18" count="1" selected="0">
            <x v="1"/>
          </reference>
          <reference field="19" count="1">
            <x v="18"/>
          </reference>
        </references>
      </pivotArea>
    </format>
    <format dxfId="8709">
      <pivotArea dataOnly="0" labelOnly="1" outline="0" fieldPosition="0">
        <references count="4">
          <reference field="11" count="1" selected="0">
            <x v="55"/>
          </reference>
          <reference field="14" count="1" selected="0">
            <x v="275"/>
          </reference>
          <reference field="18" count="1" selected="0">
            <x v="0"/>
          </reference>
          <reference field="19" count="1">
            <x v="16"/>
          </reference>
        </references>
      </pivotArea>
    </format>
    <format dxfId="8708">
      <pivotArea dataOnly="0" labelOnly="1" outline="0" fieldPosition="0">
        <references count="4">
          <reference field="11" count="1" selected="0">
            <x v="56"/>
          </reference>
          <reference field="14" count="1" selected="0">
            <x v="463"/>
          </reference>
          <reference field="18" count="1" selected="0">
            <x v="22"/>
          </reference>
          <reference field="19" count="1">
            <x v="11"/>
          </reference>
        </references>
      </pivotArea>
    </format>
    <format dxfId="8707">
      <pivotArea dataOnly="0" labelOnly="1" outline="0" fieldPosition="0">
        <references count="4">
          <reference field="11" count="1" selected="0">
            <x v="56"/>
          </reference>
          <reference field="14" count="1" selected="0">
            <x v="463"/>
          </reference>
          <reference field="18" count="1" selected="0">
            <x v="23"/>
          </reference>
          <reference field="19" count="1">
            <x v="12"/>
          </reference>
        </references>
      </pivotArea>
    </format>
    <format dxfId="8706">
      <pivotArea dataOnly="0" labelOnly="1" outline="0" fieldPosition="0">
        <references count="4">
          <reference field="11" count="1" selected="0">
            <x v="56"/>
          </reference>
          <reference field="14" count="1" selected="0">
            <x v="463"/>
          </reference>
          <reference field="18" count="1" selected="0">
            <x v="24"/>
          </reference>
          <reference field="19" count="1">
            <x v="7"/>
          </reference>
        </references>
      </pivotArea>
    </format>
    <format dxfId="8705">
      <pivotArea dataOnly="0" labelOnly="1" outline="0" fieldPosition="0">
        <references count="4">
          <reference field="11" count="1" selected="0">
            <x v="57"/>
          </reference>
          <reference field="14" count="1" selected="0">
            <x v="462"/>
          </reference>
          <reference field="18" count="1" selected="0">
            <x v="22"/>
          </reference>
          <reference field="19" count="1">
            <x v="11"/>
          </reference>
        </references>
      </pivotArea>
    </format>
    <format dxfId="8704">
      <pivotArea dataOnly="0" labelOnly="1" outline="0" fieldPosition="0">
        <references count="4">
          <reference field="11" count="1" selected="0">
            <x v="57"/>
          </reference>
          <reference field="14" count="1" selected="0">
            <x v="462"/>
          </reference>
          <reference field="18" count="1" selected="0">
            <x v="23"/>
          </reference>
          <reference field="19" count="1">
            <x v="12"/>
          </reference>
        </references>
      </pivotArea>
    </format>
    <format dxfId="8703">
      <pivotArea dataOnly="0" labelOnly="1" outline="0" fieldPosition="0">
        <references count="4">
          <reference field="11" count="1" selected="0">
            <x v="57"/>
          </reference>
          <reference field="14" count="1" selected="0">
            <x v="462"/>
          </reference>
          <reference field="18" count="1" selected="0">
            <x v="24"/>
          </reference>
          <reference field="19" count="1">
            <x v="7"/>
          </reference>
        </references>
      </pivotArea>
    </format>
    <format dxfId="8702">
      <pivotArea dataOnly="0" labelOnly="1" outline="0" fieldPosition="0">
        <references count="4">
          <reference field="11" count="1" selected="0">
            <x v="58"/>
          </reference>
          <reference field="14" count="1" selected="0">
            <x v="459"/>
          </reference>
          <reference field="18" count="1" selected="0">
            <x v="1"/>
          </reference>
          <reference field="19" count="1">
            <x v="18"/>
          </reference>
        </references>
      </pivotArea>
    </format>
    <format dxfId="8701">
      <pivotArea dataOnly="0" labelOnly="1" outline="0" fieldPosition="0">
        <references count="4">
          <reference field="11" count="1" selected="0">
            <x v="59"/>
          </reference>
          <reference field="14" count="1" selected="0">
            <x v="271"/>
          </reference>
          <reference field="18" count="1" selected="0">
            <x v="3"/>
          </reference>
          <reference field="19" count="1">
            <x v="15"/>
          </reference>
        </references>
      </pivotArea>
    </format>
    <format dxfId="8700">
      <pivotArea dataOnly="0" labelOnly="1" outline="0" fieldPosition="0">
        <references count="4">
          <reference field="11" count="1" selected="0">
            <x v="60"/>
          </reference>
          <reference field="14" count="1" selected="0">
            <x v="22"/>
          </reference>
          <reference field="18" count="1" selected="0">
            <x v="16"/>
          </reference>
          <reference field="19" count="1">
            <x v="24"/>
          </reference>
        </references>
      </pivotArea>
    </format>
    <format dxfId="8699">
      <pivotArea dataOnly="0" labelOnly="1" outline="0" fieldPosition="0">
        <references count="4">
          <reference field="11" count="1" selected="0">
            <x v="61"/>
          </reference>
          <reference field="14" count="1" selected="0">
            <x v="354"/>
          </reference>
          <reference field="18" count="1" selected="0">
            <x v="6"/>
          </reference>
          <reference field="19" count="1">
            <x v="23"/>
          </reference>
        </references>
      </pivotArea>
    </format>
    <format dxfId="8698">
      <pivotArea dataOnly="0" labelOnly="1" outline="0" fieldPosition="0">
        <references count="4">
          <reference field="11" count="1" selected="0">
            <x v="62"/>
          </reference>
          <reference field="14" count="1" selected="0">
            <x v="415"/>
          </reference>
          <reference field="18" count="1" selected="0">
            <x v="6"/>
          </reference>
          <reference field="19" count="1">
            <x v="23"/>
          </reference>
        </references>
      </pivotArea>
    </format>
    <format dxfId="8697">
      <pivotArea dataOnly="0" labelOnly="1" outline="0" fieldPosition="0">
        <references count="4">
          <reference field="11" count="1" selected="0">
            <x v="63"/>
          </reference>
          <reference field="14" count="1" selected="0">
            <x v="227"/>
          </reference>
          <reference field="18" count="1" selected="0">
            <x v="0"/>
          </reference>
          <reference field="19" count="1">
            <x v="16"/>
          </reference>
        </references>
      </pivotArea>
    </format>
    <format dxfId="8696">
      <pivotArea dataOnly="0" labelOnly="1" outline="0" fieldPosition="0">
        <references count="4">
          <reference field="11" count="1" selected="0">
            <x v="63"/>
          </reference>
          <reference field="14" count="1" selected="0">
            <x v="227"/>
          </reference>
          <reference field="18" count="1" selected="0">
            <x v="7"/>
          </reference>
          <reference field="19" count="1">
            <x v="4"/>
          </reference>
        </references>
      </pivotArea>
    </format>
    <format dxfId="8695">
      <pivotArea dataOnly="0" labelOnly="1" outline="0" fieldPosition="0">
        <references count="4">
          <reference field="11" count="1" selected="0">
            <x v="63"/>
          </reference>
          <reference field="14" count="1" selected="0">
            <x v="227"/>
          </reference>
          <reference field="18" count="1" selected="0">
            <x v="11"/>
          </reference>
          <reference field="19" count="1">
            <x v="20"/>
          </reference>
        </references>
      </pivotArea>
    </format>
    <format dxfId="8694">
      <pivotArea dataOnly="0" labelOnly="1" outline="0" fieldPosition="0">
        <references count="4">
          <reference field="11" count="1" selected="0">
            <x v="63"/>
          </reference>
          <reference field="14" count="1" selected="0">
            <x v="227"/>
          </reference>
          <reference field="18" count="1" selected="0">
            <x v="12"/>
          </reference>
          <reference field="19" count="1">
            <x v="13"/>
          </reference>
        </references>
      </pivotArea>
    </format>
    <format dxfId="8693">
      <pivotArea dataOnly="0" labelOnly="1" outline="0" fieldPosition="0">
        <references count="4">
          <reference field="11" count="1" selected="0">
            <x v="64"/>
          </reference>
          <reference field="14" count="1" selected="0">
            <x v="261"/>
          </reference>
          <reference field="18" count="1" selected="0">
            <x v="12"/>
          </reference>
          <reference field="19" count="1">
            <x v="13"/>
          </reference>
        </references>
      </pivotArea>
    </format>
    <format dxfId="8692">
      <pivotArea dataOnly="0" labelOnly="1" outline="0" fieldPosition="0">
        <references count="4">
          <reference field="11" count="1" selected="0">
            <x v="65"/>
          </reference>
          <reference field="14" count="1" selected="0">
            <x v="336"/>
          </reference>
          <reference field="18" count="1" selected="0">
            <x v="14"/>
          </reference>
          <reference field="19" count="1">
            <x v="9"/>
          </reference>
        </references>
      </pivotArea>
    </format>
    <format dxfId="8691">
      <pivotArea dataOnly="0" labelOnly="1" outline="0" fieldPosition="0">
        <references count="4">
          <reference field="11" count="1" selected="0">
            <x v="66"/>
          </reference>
          <reference field="14" count="1" selected="0">
            <x v="63"/>
          </reference>
          <reference field="18" count="1" selected="0">
            <x v="3"/>
          </reference>
          <reference field="19" count="1">
            <x v="15"/>
          </reference>
        </references>
      </pivotArea>
    </format>
    <format dxfId="8690">
      <pivotArea dataOnly="0" labelOnly="1" outline="0" fieldPosition="0">
        <references count="4">
          <reference field="11" count="1" selected="0">
            <x v="67"/>
          </reference>
          <reference field="14" count="1" selected="0">
            <x v="237"/>
          </reference>
          <reference field="18" count="1" selected="0">
            <x v="0"/>
          </reference>
          <reference field="19" count="1">
            <x v="16"/>
          </reference>
        </references>
      </pivotArea>
    </format>
    <format dxfId="8689">
      <pivotArea dataOnly="0" labelOnly="1" outline="0" fieldPosition="0">
        <references count="4">
          <reference field="11" count="1" selected="0">
            <x v="67"/>
          </reference>
          <reference field="14" count="1" selected="0">
            <x v="237"/>
          </reference>
          <reference field="18" count="1" selected="0">
            <x v="2"/>
          </reference>
          <reference field="19" count="1">
            <x v="22"/>
          </reference>
        </references>
      </pivotArea>
    </format>
    <format dxfId="8688">
      <pivotArea dataOnly="0" labelOnly="1" outline="0" fieldPosition="0">
        <references count="4">
          <reference field="11" count="1" selected="0">
            <x v="67"/>
          </reference>
          <reference field="14" count="1" selected="0">
            <x v="237"/>
          </reference>
          <reference field="18" count="1" selected="0">
            <x v="12"/>
          </reference>
          <reference field="19" count="1">
            <x v="13"/>
          </reference>
        </references>
      </pivotArea>
    </format>
    <format dxfId="8687">
      <pivotArea dataOnly="0" labelOnly="1" outline="0" fieldPosition="0">
        <references count="4">
          <reference field="11" count="1" selected="0">
            <x v="68"/>
          </reference>
          <reference field="14" count="1" selected="0">
            <x v="138"/>
          </reference>
          <reference field="18" count="1" selected="0">
            <x v="22"/>
          </reference>
          <reference field="19" count="1">
            <x v="11"/>
          </reference>
        </references>
      </pivotArea>
    </format>
    <format dxfId="8686">
      <pivotArea dataOnly="0" labelOnly="1" outline="0" fieldPosition="0">
        <references count="4">
          <reference field="11" count="1" selected="0">
            <x v="69"/>
          </reference>
          <reference field="14" count="1" selected="0">
            <x v="139"/>
          </reference>
          <reference field="18" count="1" selected="0">
            <x v="22"/>
          </reference>
          <reference field="19" count="1">
            <x v="11"/>
          </reference>
        </references>
      </pivotArea>
    </format>
    <format dxfId="8685">
      <pivotArea dataOnly="0" labelOnly="1" outline="0" fieldPosition="0">
        <references count="4">
          <reference field="11" count="1" selected="0">
            <x v="70"/>
          </reference>
          <reference field="14" count="1" selected="0">
            <x v="137"/>
          </reference>
          <reference field="18" count="1" selected="0">
            <x v="22"/>
          </reference>
          <reference field="19" count="1">
            <x v="11"/>
          </reference>
        </references>
      </pivotArea>
    </format>
    <format dxfId="8684">
      <pivotArea dataOnly="0" labelOnly="1" outline="0" fieldPosition="0">
        <references count="4">
          <reference field="11" count="1" selected="0">
            <x v="71"/>
          </reference>
          <reference field="14" count="1" selected="0">
            <x v="468"/>
          </reference>
          <reference field="18" count="1" selected="0">
            <x v="6"/>
          </reference>
          <reference field="19" count="1">
            <x v="23"/>
          </reference>
        </references>
      </pivotArea>
    </format>
    <format dxfId="8683">
      <pivotArea dataOnly="0" labelOnly="1" outline="0" fieldPosition="0">
        <references count="4">
          <reference field="11" count="1" selected="0">
            <x v="72"/>
          </reference>
          <reference field="14" count="1" selected="0">
            <x v="83"/>
          </reference>
          <reference field="18" count="1" selected="0">
            <x v="1"/>
          </reference>
          <reference field="19" count="1">
            <x v="18"/>
          </reference>
        </references>
      </pivotArea>
    </format>
    <format dxfId="8682">
      <pivotArea dataOnly="0" labelOnly="1" outline="0" fieldPosition="0">
        <references count="4">
          <reference field="11" count="1" selected="0">
            <x v="73"/>
          </reference>
          <reference field="14" count="1" selected="0">
            <x v="288"/>
          </reference>
          <reference field="18" count="1" selected="0">
            <x v="0"/>
          </reference>
          <reference field="19" count="1">
            <x v="16"/>
          </reference>
        </references>
      </pivotArea>
    </format>
    <format dxfId="8681">
      <pivotArea dataOnly="0" labelOnly="1" outline="0" fieldPosition="0">
        <references count="4">
          <reference field="11" count="1" selected="0">
            <x v="74"/>
          </reference>
          <reference field="14" count="1" selected="0">
            <x v="235"/>
          </reference>
          <reference field="18" count="1" selected="0">
            <x v="3"/>
          </reference>
          <reference field="19" count="1">
            <x v="15"/>
          </reference>
        </references>
      </pivotArea>
    </format>
    <format dxfId="8680">
      <pivotArea dataOnly="0" labelOnly="1" outline="0" fieldPosition="0">
        <references count="4">
          <reference field="11" count="1" selected="0">
            <x v="74"/>
          </reference>
          <reference field="14" count="1" selected="0">
            <x v="235"/>
          </reference>
          <reference field="18" count="1" selected="0">
            <x v="12"/>
          </reference>
          <reference field="19" count="1">
            <x v="13"/>
          </reference>
        </references>
      </pivotArea>
    </format>
    <format dxfId="8679">
      <pivotArea dataOnly="0" labelOnly="1" outline="0" fieldPosition="0">
        <references count="4">
          <reference field="11" count="1" selected="0">
            <x v="75"/>
          </reference>
          <reference field="14" count="1" selected="0">
            <x v="285"/>
          </reference>
          <reference field="18" count="1" selected="0">
            <x v="0"/>
          </reference>
          <reference field="19" count="1">
            <x v="16"/>
          </reference>
        </references>
      </pivotArea>
    </format>
    <format dxfId="8678">
      <pivotArea dataOnly="0" labelOnly="1" outline="0" fieldPosition="0">
        <references count="4">
          <reference field="11" count="1" selected="0">
            <x v="76"/>
          </reference>
          <reference field="14" count="1" selected="0">
            <x v="214"/>
          </reference>
          <reference field="18" count="1" selected="0">
            <x v="8"/>
          </reference>
          <reference field="19" count="1">
            <x v="5"/>
          </reference>
        </references>
      </pivotArea>
    </format>
    <format dxfId="8677">
      <pivotArea dataOnly="0" labelOnly="1" outline="0" fieldPosition="0">
        <references count="4">
          <reference field="11" count="1" selected="0">
            <x v="76"/>
          </reference>
          <reference field="14" count="1" selected="0">
            <x v="214"/>
          </reference>
          <reference field="18" count="1" selected="0">
            <x v="14"/>
          </reference>
          <reference field="19" count="1">
            <x v="9"/>
          </reference>
        </references>
      </pivotArea>
    </format>
    <format dxfId="8676">
      <pivotArea dataOnly="0" labelOnly="1" outline="0" fieldPosition="0">
        <references count="4">
          <reference field="11" count="1" selected="0">
            <x v="77"/>
          </reference>
          <reference field="14" count="1" selected="0">
            <x v="104"/>
          </reference>
          <reference field="18" count="1" selected="0">
            <x v="0"/>
          </reference>
          <reference field="19" count="1">
            <x v="16"/>
          </reference>
        </references>
      </pivotArea>
    </format>
    <format dxfId="8675">
      <pivotArea dataOnly="0" labelOnly="1" outline="0" fieldPosition="0">
        <references count="4">
          <reference field="11" count="1" selected="0">
            <x v="78"/>
          </reference>
          <reference field="14" count="1" selected="0">
            <x v="195"/>
          </reference>
          <reference field="18" count="1" selected="0">
            <x v="14"/>
          </reference>
          <reference field="19" count="1">
            <x v="9"/>
          </reference>
        </references>
      </pivotArea>
    </format>
    <format dxfId="8674">
      <pivotArea dataOnly="0" labelOnly="1" outline="0" fieldPosition="0">
        <references count="4">
          <reference field="11" count="1" selected="0">
            <x v="79"/>
          </reference>
          <reference field="14" count="1" selected="0">
            <x v="196"/>
          </reference>
          <reference field="18" count="1" selected="0">
            <x v="14"/>
          </reference>
          <reference field="19" count="1">
            <x v="9"/>
          </reference>
        </references>
      </pivotArea>
    </format>
    <format dxfId="8673">
      <pivotArea dataOnly="0" labelOnly="1" outline="0" fieldPosition="0">
        <references count="4">
          <reference field="11" count="1" selected="0">
            <x v="80"/>
          </reference>
          <reference field="14" count="1" selected="0">
            <x v="467"/>
          </reference>
          <reference field="18" count="1" selected="0">
            <x v="2"/>
          </reference>
          <reference field="19" count="1">
            <x v="22"/>
          </reference>
        </references>
      </pivotArea>
    </format>
    <format dxfId="8672">
      <pivotArea dataOnly="0" labelOnly="1" outline="0" fieldPosition="0">
        <references count="4">
          <reference field="11" count="1" selected="0">
            <x v="81"/>
          </reference>
          <reference field="14" count="1" selected="0">
            <x v="56"/>
          </reference>
          <reference field="18" count="1" selected="0">
            <x v="1"/>
          </reference>
          <reference field="19" count="1">
            <x v="18"/>
          </reference>
        </references>
      </pivotArea>
    </format>
    <format dxfId="8671">
      <pivotArea dataOnly="0" labelOnly="1" outline="0" fieldPosition="0">
        <references count="4">
          <reference field="11" count="1" selected="0">
            <x v="82"/>
          </reference>
          <reference field="14" count="1" selected="0">
            <x v="106"/>
          </reference>
          <reference field="18" count="1" selected="0">
            <x v="27"/>
          </reference>
          <reference field="19" count="1">
            <x v="17"/>
          </reference>
        </references>
      </pivotArea>
    </format>
    <format dxfId="8670">
      <pivotArea dataOnly="0" labelOnly="1" outline="0" fieldPosition="0">
        <references count="4">
          <reference field="11" count="1" selected="0">
            <x v="83"/>
          </reference>
          <reference field="14" count="1" selected="0">
            <x v="216"/>
          </reference>
          <reference field="18" count="1" selected="0">
            <x v="2"/>
          </reference>
          <reference field="19" count="1">
            <x v="22"/>
          </reference>
        </references>
      </pivotArea>
    </format>
    <format dxfId="8669">
      <pivotArea dataOnly="0" labelOnly="1" outline="0" fieldPosition="0">
        <references count="4">
          <reference field="11" count="1" selected="0">
            <x v="84"/>
          </reference>
          <reference field="14" count="1" selected="0">
            <x v="47"/>
          </reference>
          <reference field="18" count="1" selected="0">
            <x v="0"/>
          </reference>
          <reference field="19" count="1">
            <x v="16"/>
          </reference>
        </references>
      </pivotArea>
    </format>
    <format dxfId="8668">
      <pivotArea dataOnly="0" labelOnly="1" outline="0" fieldPosition="0">
        <references count="4">
          <reference field="11" count="1" selected="0">
            <x v="85"/>
          </reference>
          <reference field="14" count="1" selected="0">
            <x v="203"/>
          </reference>
          <reference field="18" count="1" selected="0">
            <x v="16"/>
          </reference>
          <reference field="19" count="1">
            <x v="24"/>
          </reference>
        </references>
      </pivotArea>
    </format>
    <format dxfId="8667">
      <pivotArea dataOnly="0" labelOnly="1" outline="0" fieldPosition="0">
        <references count="4">
          <reference field="11" count="1" selected="0">
            <x v="86"/>
          </reference>
          <reference field="14" count="1" selected="0">
            <x v="383"/>
          </reference>
          <reference field="18" count="1" selected="0">
            <x v="4"/>
          </reference>
          <reference field="19" count="1">
            <x v="10"/>
          </reference>
        </references>
      </pivotArea>
    </format>
    <format dxfId="8666">
      <pivotArea dataOnly="0" labelOnly="1" outline="0" fieldPosition="0">
        <references count="4">
          <reference field="11" count="1" selected="0">
            <x v="87"/>
          </reference>
          <reference field="14" count="1" selected="0">
            <x v="193"/>
          </reference>
          <reference field="18" count="1" selected="0">
            <x v="14"/>
          </reference>
          <reference field="19" count="1">
            <x v="9"/>
          </reference>
        </references>
      </pivotArea>
    </format>
    <format dxfId="8665">
      <pivotArea dataOnly="0" labelOnly="1" outline="0" fieldPosition="0">
        <references count="4">
          <reference field="11" count="1" selected="0">
            <x v="88"/>
          </reference>
          <reference field="14" count="1" selected="0">
            <x v="4"/>
          </reference>
          <reference field="18" count="1" selected="0">
            <x v="4"/>
          </reference>
          <reference field="19" count="1">
            <x v="10"/>
          </reference>
        </references>
      </pivotArea>
    </format>
    <format dxfId="8664">
      <pivotArea dataOnly="0" labelOnly="1" outline="0" fieldPosition="0">
        <references count="4">
          <reference field="11" count="1" selected="0">
            <x v="89"/>
          </reference>
          <reference field="14" count="1" selected="0">
            <x v="251"/>
          </reference>
          <reference field="18" count="1" selected="0">
            <x v="12"/>
          </reference>
          <reference field="19" count="1">
            <x v="13"/>
          </reference>
        </references>
      </pivotArea>
    </format>
    <format dxfId="8663">
      <pivotArea dataOnly="0" labelOnly="1" outline="0" fieldPosition="0">
        <references count="4">
          <reference field="11" count="1" selected="0">
            <x v="89"/>
          </reference>
          <reference field="14" count="1" selected="0">
            <x v="251"/>
          </reference>
          <reference field="18" count="1" selected="0">
            <x v="27"/>
          </reference>
          <reference field="19" count="1">
            <x v="17"/>
          </reference>
        </references>
      </pivotArea>
    </format>
    <format dxfId="8662">
      <pivotArea dataOnly="0" labelOnly="1" outline="0" fieldPosition="0">
        <references count="4">
          <reference field="11" count="1" selected="0">
            <x v="90"/>
          </reference>
          <reference field="14" count="1" selected="0">
            <x v="335"/>
          </reference>
          <reference field="18" count="1" selected="0">
            <x v="0"/>
          </reference>
          <reference field="19" count="1">
            <x v="16"/>
          </reference>
        </references>
      </pivotArea>
    </format>
    <format dxfId="8661">
      <pivotArea dataOnly="0" labelOnly="1" outline="0" fieldPosition="0">
        <references count="4">
          <reference field="11" count="1" selected="0">
            <x v="90"/>
          </reference>
          <reference field="14" count="1" selected="0">
            <x v="335"/>
          </reference>
          <reference field="18" count="1" selected="0">
            <x v="1"/>
          </reference>
          <reference field="19" count="1">
            <x v="18"/>
          </reference>
        </references>
      </pivotArea>
    </format>
    <format dxfId="8660">
      <pivotArea dataOnly="0" labelOnly="1" outline="0" fieldPosition="0">
        <references count="4">
          <reference field="11" count="1" selected="0">
            <x v="90"/>
          </reference>
          <reference field="14" count="1" selected="0">
            <x v="335"/>
          </reference>
          <reference field="18" count="1" selected="0">
            <x v="12"/>
          </reference>
          <reference field="19" count="1">
            <x v="13"/>
          </reference>
        </references>
      </pivotArea>
    </format>
    <format dxfId="8659">
      <pivotArea dataOnly="0" labelOnly="1" outline="0" fieldPosition="0">
        <references count="4">
          <reference field="11" count="1" selected="0">
            <x v="90"/>
          </reference>
          <reference field="14" count="1" selected="0">
            <x v="335"/>
          </reference>
          <reference field="18" count="1" selected="0">
            <x v="13"/>
          </reference>
          <reference field="19" count="1">
            <x v="21"/>
          </reference>
        </references>
      </pivotArea>
    </format>
    <format dxfId="8658">
      <pivotArea dataOnly="0" labelOnly="1" outline="0" fieldPosition="0">
        <references count="4">
          <reference field="11" count="1" selected="0">
            <x v="91"/>
          </reference>
          <reference field="14" count="1" selected="0">
            <x v="27"/>
          </reference>
          <reference field="18" count="1" selected="0">
            <x v="1"/>
          </reference>
          <reference field="19" count="1">
            <x v="18"/>
          </reference>
        </references>
      </pivotArea>
    </format>
    <format dxfId="8657">
      <pivotArea dataOnly="0" labelOnly="1" outline="0" fieldPosition="0">
        <references count="4">
          <reference field="11" count="1" selected="0">
            <x v="92"/>
          </reference>
          <reference field="14" count="1" selected="0">
            <x v="189"/>
          </reference>
          <reference field="18" count="1" selected="0">
            <x v="0"/>
          </reference>
          <reference field="19" count="1">
            <x v="16"/>
          </reference>
        </references>
      </pivotArea>
    </format>
    <format dxfId="8656">
      <pivotArea dataOnly="0" labelOnly="1" outline="0" fieldPosition="0">
        <references count="4">
          <reference field="11" count="1" selected="0">
            <x v="93"/>
          </reference>
          <reference field="14" count="1" selected="0">
            <x v="451"/>
          </reference>
          <reference field="18" count="1" selected="0">
            <x v="3"/>
          </reference>
          <reference field="19" count="1">
            <x v="15"/>
          </reference>
        </references>
      </pivotArea>
    </format>
    <format dxfId="8655">
      <pivotArea dataOnly="0" labelOnly="1" outline="0" fieldPosition="0">
        <references count="4">
          <reference field="11" count="1" selected="0">
            <x v="93"/>
          </reference>
          <reference field="14" count="1" selected="0">
            <x v="451"/>
          </reference>
          <reference field="18" count="1" selected="0">
            <x v="7"/>
          </reference>
          <reference field="19" count="1">
            <x v="4"/>
          </reference>
        </references>
      </pivotArea>
    </format>
    <format dxfId="8654">
      <pivotArea dataOnly="0" labelOnly="1" outline="0" fieldPosition="0">
        <references count="4">
          <reference field="11" count="1" selected="0">
            <x v="94"/>
          </reference>
          <reference field="14" count="1" selected="0">
            <x v="23"/>
          </reference>
          <reference field="18" count="1" selected="0">
            <x v="3"/>
          </reference>
          <reference field="19" count="1">
            <x v="15"/>
          </reference>
        </references>
      </pivotArea>
    </format>
    <format dxfId="8653">
      <pivotArea dataOnly="0" labelOnly="1" outline="0" fieldPosition="0">
        <references count="4">
          <reference field="11" count="1" selected="0">
            <x v="95"/>
          </reference>
          <reference field="14" count="1" selected="0">
            <x v="200"/>
          </reference>
          <reference field="18" count="1" selected="0">
            <x v="0"/>
          </reference>
          <reference field="19" count="1">
            <x v="16"/>
          </reference>
        </references>
      </pivotArea>
    </format>
    <format dxfId="8652">
      <pivotArea dataOnly="0" labelOnly="1" outline="0" fieldPosition="0">
        <references count="4">
          <reference field="11" count="1" selected="0">
            <x v="95"/>
          </reference>
          <reference field="14" count="1" selected="0">
            <x v="200"/>
          </reference>
          <reference field="18" count="1" selected="0">
            <x v="12"/>
          </reference>
          <reference field="19" count="1">
            <x v="13"/>
          </reference>
        </references>
      </pivotArea>
    </format>
    <format dxfId="8651">
      <pivotArea dataOnly="0" labelOnly="1" outline="0" fieldPosition="0">
        <references count="4">
          <reference field="11" count="1" selected="0">
            <x v="95"/>
          </reference>
          <reference field="14" count="1" selected="0">
            <x v="200"/>
          </reference>
          <reference field="18" count="1" selected="0">
            <x v="27"/>
          </reference>
          <reference field="19" count="1">
            <x v="17"/>
          </reference>
        </references>
      </pivotArea>
    </format>
    <format dxfId="8650">
      <pivotArea dataOnly="0" labelOnly="1" outline="0" fieldPosition="0">
        <references count="4">
          <reference field="11" count="1" selected="0">
            <x v="96"/>
          </reference>
          <reference field="14" count="1" selected="0">
            <x v="240"/>
          </reference>
          <reference field="18" count="1" selected="0">
            <x v="6"/>
          </reference>
          <reference field="19" count="1">
            <x v="23"/>
          </reference>
        </references>
      </pivotArea>
    </format>
    <format dxfId="8649">
      <pivotArea dataOnly="0" labelOnly="1" outline="0" fieldPosition="0">
        <references count="4">
          <reference field="11" count="1" selected="0">
            <x v="97"/>
          </reference>
          <reference field="14" count="1" selected="0">
            <x v="268"/>
          </reference>
          <reference field="18" count="1" selected="0">
            <x v="3"/>
          </reference>
          <reference field="19" count="1">
            <x v="15"/>
          </reference>
        </references>
      </pivotArea>
    </format>
    <format dxfId="8648">
      <pivotArea dataOnly="0" labelOnly="1" outline="0" fieldPosition="0">
        <references count="4">
          <reference field="11" count="1" selected="0">
            <x v="98"/>
          </reference>
          <reference field="14" count="1" selected="0">
            <x v="358"/>
          </reference>
          <reference field="18" count="1" selected="0">
            <x v="14"/>
          </reference>
          <reference field="19" count="1">
            <x v="9"/>
          </reference>
        </references>
      </pivotArea>
    </format>
    <format dxfId="8647">
      <pivotArea dataOnly="0" labelOnly="1" outline="0" fieldPosition="0">
        <references count="4">
          <reference field="11" count="1" selected="0">
            <x v="99"/>
          </reference>
          <reference field="14" count="1" selected="0">
            <x v="454"/>
          </reference>
          <reference field="18" count="1" selected="0">
            <x v="0"/>
          </reference>
          <reference field="19" count="1">
            <x v="16"/>
          </reference>
        </references>
      </pivotArea>
    </format>
    <format dxfId="8646">
      <pivotArea dataOnly="0" labelOnly="1" outline="0" fieldPosition="0">
        <references count="4">
          <reference field="11" count="1" selected="0">
            <x v="100"/>
          </reference>
          <reference field="14" count="1" selected="0">
            <x v="274"/>
          </reference>
          <reference field="18" count="1" selected="0">
            <x v="0"/>
          </reference>
          <reference field="19" count="1">
            <x v="16"/>
          </reference>
        </references>
      </pivotArea>
    </format>
    <format dxfId="8645">
      <pivotArea dataOnly="0" labelOnly="1" outline="0" fieldPosition="0">
        <references count="4">
          <reference field="11" count="1" selected="0">
            <x v="101"/>
          </reference>
          <reference field="14" count="1" selected="0">
            <x v="303"/>
          </reference>
          <reference field="18" count="1" selected="0">
            <x v="6"/>
          </reference>
          <reference field="19" count="1">
            <x v="23"/>
          </reference>
        </references>
      </pivotArea>
    </format>
    <format dxfId="8644">
      <pivotArea dataOnly="0" labelOnly="1" outline="0" fieldPosition="0">
        <references count="4">
          <reference field="11" count="1" selected="0">
            <x v="102"/>
          </reference>
          <reference field="14" count="1" selected="0">
            <x v="248"/>
          </reference>
          <reference field="18" count="1" selected="0">
            <x v="3"/>
          </reference>
          <reference field="19" count="1">
            <x v="15"/>
          </reference>
        </references>
      </pivotArea>
    </format>
    <format dxfId="8643">
      <pivotArea dataOnly="0" labelOnly="1" outline="0" fieldPosition="0">
        <references count="4">
          <reference field="11" count="1" selected="0">
            <x v="103"/>
          </reference>
          <reference field="14" count="1" selected="0">
            <x v="48"/>
          </reference>
          <reference field="18" count="1" selected="0">
            <x v="0"/>
          </reference>
          <reference field="19" count="1">
            <x v="16"/>
          </reference>
        </references>
      </pivotArea>
    </format>
    <format dxfId="8642">
      <pivotArea dataOnly="0" labelOnly="1" outline="0" fieldPosition="0">
        <references count="4">
          <reference field="11" count="1" selected="0">
            <x v="104"/>
          </reference>
          <reference field="14" count="1" selected="0">
            <x v="321"/>
          </reference>
          <reference field="18" count="1" selected="0">
            <x v="2"/>
          </reference>
          <reference field="19" count="1">
            <x v="22"/>
          </reference>
        </references>
      </pivotArea>
    </format>
    <format dxfId="8641">
      <pivotArea dataOnly="0" labelOnly="1" outline="0" fieldPosition="0">
        <references count="4">
          <reference field="11" count="1" selected="0">
            <x v="105"/>
          </reference>
          <reference field="14" count="1" selected="0">
            <x v="320"/>
          </reference>
          <reference field="18" count="1" selected="0">
            <x v="2"/>
          </reference>
          <reference field="19" count="1">
            <x v="22"/>
          </reference>
        </references>
      </pivotArea>
    </format>
    <format dxfId="8640">
      <pivotArea dataOnly="0" labelOnly="1" outline="0" fieldPosition="0">
        <references count="4">
          <reference field="11" count="1" selected="0">
            <x v="106"/>
          </reference>
          <reference field="14" count="1" selected="0">
            <x v="210"/>
          </reference>
          <reference field="18" count="1" selected="0">
            <x v="0"/>
          </reference>
          <reference field="19" count="1">
            <x v="16"/>
          </reference>
        </references>
      </pivotArea>
    </format>
    <format dxfId="8639">
      <pivotArea dataOnly="0" labelOnly="1" outline="0" fieldPosition="0">
        <references count="4">
          <reference field="11" count="1" selected="0">
            <x v="107"/>
          </reference>
          <reference field="14" count="1" selected="0">
            <x v="220"/>
          </reference>
          <reference field="18" count="1" selected="0">
            <x v="1"/>
          </reference>
          <reference field="19" count="1">
            <x v="18"/>
          </reference>
        </references>
      </pivotArea>
    </format>
    <format dxfId="8638">
      <pivotArea dataOnly="0" labelOnly="1" outline="0" fieldPosition="0">
        <references count="4">
          <reference field="11" count="1" selected="0">
            <x v="108"/>
          </reference>
          <reference field="14" count="1" selected="0">
            <x v="111"/>
          </reference>
          <reference field="18" count="1" selected="0">
            <x v="0"/>
          </reference>
          <reference field="19" count="1">
            <x v="16"/>
          </reference>
        </references>
      </pivotArea>
    </format>
    <format dxfId="8637">
      <pivotArea dataOnly="0" labelOnly="1" outline="0" fieldPosition="0">
        <references count="4">
          <reference field="11" count="1" selected="0">
            <x v="109"/>
          </reference>
          <reference field="14" count="1" selected="0">
            <x v="194"/>
          </reference>
          <reference field="18" count="1" selected="0">
            <x v="14"/>
          </reference>
          <reference field="19" count="1">
            <x v="9"/>
          </reference>
        </references>
      </pivotArea>
    </format>
    <format dxfId="8636">
      <pivotArea dataOnly="0" labelOnly="1" outline="0" fieldPosition="0">
        <references count="4">
          <reference field="11" count="1" selected="0">
            <x v="110"/>
          </reference>
          <reference field="14" count="1" selected="0">
            <x v="52"/>
          </reference>
          <reference field="18" count="1" selected="0">
            <x v="0"/>
          </reference>
          <reference field="19" count="1">
            <x v="16"/>
          </reference>
        </references>
      </pivotArea>
    </format>
    <format dxfId="8635">
      <pivotArea dataOnly="0" labelOnly="1" outline="0" fieldPosition="0">
        <references count="4">
          <reference field="11" count="1" selected="0">
            <x v="111"/>
          </reference>
          <reference field="14" count="1" selected="0">
            <x v="229"/>
          </reference>
          <reference field="18" count="1" selected="0">
            <x v="2"/>
          </reference>
          <reference field="19" count="1">
            <x v="22"/>
          </reference>
        </references>
      </pivotArea>
    </format>
    <format dxfId="8634">
      <pivotArea dataOnly="0" labelOnly="1" outline="0" fieldPosition="0">
        <references count="4">
          <reference field="11" count="1" selected="0">
            <x v="111"/>
          </reference>
          <reference field="14" count="1" selected="0">
            <x v="229"/>
          </reference>
          <reference field="18" count="1" selected="0">
            <x v="12"/>
          </reference>
          <reference field="19" count="1">
            <x v="13"/>
          </reference>
        </references>
      </pivotArea>
    </format>
    <format dxfId="8633">
      <pivotArea dataOnly="0" labelOnly="1" outline="0" fieldPosition="0">
        <references count="4">
          <reference field="11" count="1" selected="0">
            <x v="112"/>
          </reference>
          <reference field="14" count="1" selected="0">
            <x v="41"/>
          </reference>
          <reference field="18" count="1" selected="0">
            <x v="0"/>
          </reference>
          <reference field="19" count="1">
            <x v="16"/>
          </reference>
        </references>
      </pivotArea>
    </format>
    <format dxfId="8632">
      <pivotArea dataOnly="0" labelOnly="1" outline="0" fieldPosition="0">
        <references count="4">
          <reference field="11" count="1" selected="0">
            <x v="112"/>
          </reference>
          <reference field="14" count="1" selected="0">
            <x v="41"/>
          </reference>
          <reference field="18" count="1" selected="0">
            <x v="2"/>
          </reference>
          <reference field="19" count="1">
            <x v="22"/>
          </reference>
        </references>
      </pivotArea>
    </format>
    <format dxfId="8631">
      <pivotArea dataOnly="0" labelOnly="1" outline="0" fieldPosition="0">
        <references count="4">
          <reference field="11" count="1" selected="0">
            <x v="113"/>
          </reference>
          <reference field="14" count="1" selected="0">
            <x v="40"/>
          </reference>
          <reference field="18" count="1" selected="0">
            <x v="0"/>
          </reference>
          <reference field="19" count="1">
            <x v="16"/>
          </reference>
        </references>
      </pivotArea>
    </format>
    <format dxfId="8630">
      <pivotArea dataOnly="0" labelOnly="1" outline="0" fieldPosition="0">
        <references count="4">
          <reference field="11" count="1" selected="0">
            <x v="113"/>
          </reference>
          <reference field="14" count="1" selected="0">
            <x v="40"/>
          </reference>
          <reference field="18" count="1" selected="0">
            <x v="2"/>
          </reference>
          <reference field="19" count="1">
            <x v="22"/>
          </reference>
        </references>
      </pivotArea>
    </format>
    <format dxfId="8629">
      <pivotArea dataOnly="0" labelOnly="1" outline="0" fieldPosition="0">
        <references count="4">
          <reference field="11" count="1" selected="0">
            <x v="114"/>
          </reference>
          <reference field="14" count="1" selected="0">
            <x v="433"/>
          </reference>
          <reference field="18" count="1" selected="0">
            <x v="2"/>
          </reference>
          <reference field="19" count="1">
            <x v="22"/>
          </reference>
        </references>
      </pivotArea>
    </format>
    <format dxfId="8628">
      <pivotArea dataOnly="0" labelOnly="1" outline="0" fieldPosition="0">
        <references count="4">
          <reference field="11" count="1" selected="0">
            <x v="115"/>
          </reference>
          <reference field="14" count="1" selected="0">
            <x v="470"/>
          </reference>
          <reference field="18" count="1" selected="0">
            <x v="22"/>
          </reference>
          <reference field="19" count="1">
            <x v="11"/>
          </reference>
        </references>
      </pivotArea>
    </format>
    <format dxfId="8627">
      <pivotArea dataOnly="0" labelOnly="1" outline="0" fieldPosition="0">
        <references count="4">
          <reference field="11" count="1" selected="0">
            <x v="115"/>
          </reference>
          <reference field="14" count="1" selected="0">
            <x v="470"/>
          </reference>
          <reference field="18" count="1" selected="0">
            <x v="24"/>
          </reference>
          <reference field="19" count="1">
            <x v="7"/>
          </reference>
        </references>
      </pivotArea>
    </format>
    <format dxfId="8626">
      <pivotArea dataOnly="0" labelOnly="1" outline="0" fieldPosition="0">
        <references count="4">
          <reference field="11" count="1" selected="0">
            <x v="116"/>
          </reference>
          <reference field="14" count="1" selected="0">
            <x v="469"/>
          </reference>
          <reference field="18" count="1" selected="0">
            <x v="2"/>
          </reference>
          <reference field="19" count="1">
            <x v="22"/>
          </reference>
        </references>
      </pivotArea>
    </format>
    <format dxfId="8625">
      <pivotArea dataOnly="0" labelOnly="1" outline="0" fieldPosition="0">
        <references count="4">
          <reference field="11" count="1" selected="0">
            <x v="117"/>
          </reference>
          <reference field="14" count="1" selected="0">
            <x v="472"/>
          </reference>
          <reference field="18" count="1" selected="0">
            <x v="2"/>
          </reference>
          <reference field="19" count="1">
            <x v="22"/>
          </reference>
        </references>
      </pivotArea>
    </format>
    <format dxfId="8624">
      <pivotArea dataOnly="0" labelOnly="1" outline="0" fieldPosition="0">
        <references count="4">
          <reference field="11" count="1" selected="0">
            <x v="118"/>
          </reference>
          <reference field="14" count="1" selected="0">
            <x v="473"/>
          </reference>
          <reference field="18" count="1" selected="0">
            <x v="2"/>
          </reference>
          <reference field="19" count="1">
            <x v="22"/>
          </reference>
        </references>
      </pivotArea>
    </format>
    <format dxfId="8623">
      <pivotArea dataOnly="0" labelOnly="1" outline="0" fieldPosition="0">
        <references count="4">
          <reference field="11" count="1" selected="0">
            <x v="119"/>
          </reference>
          <reference field="14" count="1" selected="0">
            <x v="475"/>
          </reference>
          <reference field="18" count="1" selected="0">
            <x v="22"/>
          </reference>
          <reference field="19" count="1">
            <x v="11"/>
          </reference>
        </references>
      </pivotArea>
    </format>
    <format dxfId="8622">
      <pivotArea dataOnly="0" labelOnly="1" outline="0" fieldPosition="0">
        <references count="4">
          <reference field="11" count="1" selected="0">
            <x v="119"/>
          </reference>
          <reference field="14" count="1" selected="0">
            <x v="475"/>
          </reference>
          <reference field="18" count="1" selected="0">
            <x v="24"/>
          </reference>
          <reference field="19" count="1">
            <x v="7"/>
          </reference>
        </references>
      </pivotArea>
    </format>
    <format dxfId="8621">
      <pivotArea dataOnly="0" labelOnly="1" outline="0" fieldPosition="0">
        <references count="4">
          <reference field="11" count="1" selected="0">
            <x v="120"/>
          </reference>
          <reference field="14" count="1" selected="0">
            <x v="474"/>
          </reference>
          <reference field="18" count="1" selected="0">
            <x v="22"/>
          </reference>
          <reference field="19" count="1">
            <x v="11"/>
          </reference>
        </references>
      </pivotArea>
    </format>
    <format dxfId="8620">
      <pivotArea dataOnly="0" labelOnly="1" outline="0" fieldPosition="0">
        <references count="4">
          <reference field="11" count="1" selected="0">
            <x v="120"/>
          </reference>
          <reference field="14" count="1" selected="0">
            <x v="474"/>
          </reference>
          <reference field="18" count="1" selected="0">
            <x v="24"/>
          </reference>
          <reference field="19" count="1">
            <x v="7"/>
          </reference>
        </references>
      </pivotArea>
    </format>
    <format dxfId="8619">
      <pivotArea dataOnly="0" labelOnly="1" outline="0" fieldPosition="0">
        <references count="4">
          <reference field="11" count="1" selected="0">
            <x v="121"/>
          </reference>
          <reference field="14" count="1" selected="0">
            <x v="477"/>
          </reference>
          <reference field="18" count="1" selected="0">
            <x v="2"/>
          </reference>
          <reference field="19" count="1">
            <x v="22"/>
          </reference>
        </references>
      </pivotArea>
    </format>
    <format dxfId="8618">
      <pivotArea dataOnly="0" labelOnly="1" outline="0" fieldPosition="0">
        <references count="4">
          <reference field="11" count="1" selected="0">
            <x v="122"/>
          </reference>
          <reference field="14" count="1" selected="0">
            <x v="476"/>
          </reference>
          <reference field="18" count="1" selected="0">
            <x v="2"/>
          </reference>
          <reference field="19" count="1">
            <x v="22"/>
          </reference>
        </references>
      </pivotArea>
    </format>
    <format dxfId="8617">
      <pivotArea dataOnly="0" labelOnly="1" outline="0" fieldPosition="0">
        <references count="4">
          <reference field="11" count="1" selected="0">
            <x v="123"/>
          </reference>
          <reference field="14" count="1" selected="0">
            <x v="478"/>
          </reference>
          <reference field="18" count="1" selected="0">
            <x v="22"/>
          </reference>
          <reference field="19" count="1">
            <x v="11"/>
          </reference>
        </references>
      </pivotArea>
    </format>
    <format dxfId="8616">
      <pivotArea dataOnly="0" labelOnly="1" outline="0" fieldPosition="0">
        <references count="4">
          <reference field="11" count="1" selected="0">
            <x v="123"/>
          </reference>
          <reference field="14" count="1" selected="0">
            <x v="478"/>
          </reference>
          <reference field="18" count="1" selected="0">
            <x v="24"/>
          </reference>
          <reference field="19" count="1">
            <x v="7"/>
          </reference>
        </references>
      </pivotArea>
    </format>
    <format dxfId="8615">
      <pivotArea dataOnly="0" labelOnly="1" outline="0" fieldPosition="0">
        <references count="4">
          <reference field="11" count="1" selected="0">
            <x v="124"/>
          </reference>
          <reference field="14" count="1" selected="0">
            <x v="480"/>
          </reference>
          <reference field="18" count="1" selected="0">
            <x v="22"/>
          </reference>
          <reference field="19" count="1">
            <x v="11"/>
          </reference>
        </references>
      </pivotArea>
    </format>
    <format dxfId="8614">
      <pivotArea dataOnly="0" labelOnly="1" outline="0" fieldPosition="0">
        <references count="4">
          <reference field="11" count="1" selected="0">
            <x v="124"/>
          </reference>
          <reference field="14" count="1" selected="0">
            <x v="480"/>
          </reference>
          <reference field="18" count="1" selected="0">
            <x v="24"/>
          </reference>
          <reference field="19" count="1">
            <x v="7"/>
          </reference>
        </references>
      </pivotArea>
    </format>
    <format dxfId="8613">
      <pivotArea dataOnly="0" labelOnly="1" outline="0" fieldPosition="0">
        <references count="4">
          <reference field="11" count="1" selected="0">
            <x v="125"/>
          </reference>
          <reference field="14" count="1" selected="0">
            <x v="479"/>
          </reference>
          <reference field="18" count="1" selected="0">
            <x v="22"/>
          </reference>
          <reference field="19" count="1">
            <x v="11"/>
          </reference>
        </references>
      </pivotArea>
    </format>
    <format dxfId="8612">
      <pivotArea dataOnly="0" labelOnly="1" outline="0" fieldPosition="0">
        <references count="4">
          <reference field="11" count="1" selected="0">
            <x v="125"/>
          </reference>
          <reference field="14" count="1" selected="0">
            <x v="479"/>
          </reference>
          <reference field="18" count="1" selected="0">
            <x v="24"/>
          </reference>
          <reference field="19" count="1">
            <x v="7"/>
          </reference>
        </references>
      </pivotArea>
    </format>
    <format dxfId="8611">
      <pivotArea dataOnly="0" labelOnly="1" outline="0" fieldPosition="0">
        <references count="4">
          <reference field="11" count="1" selected="0">
            <x v="126"/>
          </reference>
          <reference field="14" count="1" selected="0">
            <x v="481"/>
          </reference>
          <reference field="18" count="1" selected="0">
            <x v="22"/>
          </reference>
          <reference field="19" count="1">
            <x v="11"/>
          </reference>
        </references>
      </pivotArea>
    </format>
    <format dxfId="8610">
      <pivotArea dataOnly="0" labelOnly="1" outline="0" fieldPosition="0">
        <references count="4">
          <reference field="11" count="1" selected="0">
            <x v="126"/>
          </reference>
          <reference field="14" count="1" selected="0">
            <x v="481"/>
          </reference>
          <reference field="18" count="1" selected="0">
            <x v="24"/>
          </reference>
          <reference field="19" count="1">
            <x v="7"/>
          </reference>
        </references>
      </pivotArea>
    </format>
    <format dxfId="8609">
      <pivotArea dataOnly="0" labelOnly="1" outline="0" fieldPosition="0">
        <references count="4">
          <reference field="11" count="1" selected="0">
            <x v="127"/>
          </reference>
          <reference field="14" count="1" selected="0">
            <x v="483"/>
          </reference>
          <reference field="18" count="1" selected="0">
            <x v="2"/>
          </reference>
          <reference field="19" count="1">
            <x v="22"/>
          </reference>
        </references>
      </pivotArea>
    </format>
    <format dxfId="8608">
      <pivotArea dataOnly="0" labelOnly="1" outline="0" fieldPosition="0">
        <references count="4">
          <reference field="11" count="1" selected="0">
            <x v="128"/>
          </reference>
          <reference field="14" count="1" selected="0">
            <x v="453"/>
          </reference>
          <reference field="18" count="1" selected="0">
            <x v="0"/>
          </reference>
          <reference field="19" count="1">
            <x v="16"/>
          </reference>
        </references>
      </pivotArea>
    </format>
    <format dxfId="8607">
      <pivotArea dataOnly="0" labelOnly="1" outline="0" fieldPosition="0">
        <references count="4">
          <reference field="11" count="1" selected="0">
            <x v="129"/>
          </reference>
          <reference field="14" count="1" selected="0">
            <x v="391"/>
          </reference>
          <reference field="18" count="1" selected="0">
            <x v="2"/>
          </reference>
          <reference field="19" count="1">
            <x v="22"/>
          </reference>
        </references>
      </pivotArea>
    </format>
    <format dxfId="8606">
      <pivotArea dataOnly="0" labelOnly="1" outline="0" fieldPosition="0">
        <references count="4">
          <reference field="11" count="1" selected="0">
            <x v="130"/>
          </reference>
          <reference field="14" count="1" selected="0">
            <x v="242"/>
          </reference>
          <reference field="18" count="1" selected="0">
            <x v="2"/>
          </reference>
          <reference field="19" count="1">
            <x v="22"/>
          </reference>
        </references>
      </pivotArea>
    </format>
    <format dxfId="8605">
      <pivotArea dataOnly="0" labelOnly="1" outline="0" fieldPosition="0">
        <references count="4">
          <reference field="11" count="1" selected="0">
            <x v="131"/>
          </reference>
          <reference field="14" count="1" selected="0">
            <x v="33"/>
          </reference>
          <reference field="18" count="1" selected="0">
            <x v="15"/>
          </reference>
          <reference field="19" count="1">
            <x v="25"/>
          </reference>
        </references>
      </pivotArea>
    </format>
    <format dxfId="8604">
      <pivotArea dataOnly="0" labelOnly="1" outline="0" fieldPosition="0">
        <references count="4">
          <reference field="11" count="1" selected="0">
            <x v="132"/>
          </reference>
          <reference field="14" count="1" selected="0">
            <x v="482"/>
          </reference>
          <reference field="18" count="1" selected="0">
            <x v="2"/>
          </reference>
          <reference field="19" count="1">
            <x v="22"/>
          </reference>
        </references>
      </pivotArea>
    </format>
    <format dxfId="8603">
      <pivotArea dataOnly="0" labelOnly="1" outline="0" fieldPosition="0">
        <references count="4">
          <reference field="11" count="1" selected="0">
            <x v="133"/>
          </reference>
          <reference field="14" count="1" selected="0">
            <x v="266"/>
          </reference>
          <reference field="18" count="1" selected="0">
            <x v="27"/>
          </reference>
          <reference field="19" count="1">
            <x v="17"/>
          </reference>
        </references>
      </pivotArea>
    </format>
    <format dxfId="8602">
      <pivotArea dataOnly="0" labelOnly="1" outline="0" fieldPosition="0">
        <references count="4">
          <reference field="11" count="1" selected="0">
            <x v="134"/>
          </reference>
          <reference field="14" count="1" selected="0">
            <x v="76"/>
          </reference>
          <reference field="18" count="1" selected="0">
            <x v="16"/>
          </reference>
          <reference field="19" count="1">
            <x v="24"/>
          </reference>
        </references>
      </pivotArea>
    </format>
    <format dxfId="8601">
      <pivotArea dataOnly="0" labelOnly="1" outline="0" fieldPosition="0">
        <references count="4">
          <reference field="11" count="1" selected="0">
            <x v="135"/>
          </reference>
          <reference field="14" count="1" selected="0">
            <x v="332"/>
          </reference>
          <reference field="18" count="1" selected="0">
            <x v="4"/>
          </reference>
          <reference field="19" count="1">
            <x v="10"/>
          </reference>
        </references>
      </pivotArea>
    </format>
    <format dxfId="8600">
      <pivotArea dataOnly="0" labelOnly="1" outline="0" fieldPosition="0">
        <references count="4">
          <reference field="11" count="1" selected="0">
            <x v="136"/>
          </reference>
          <reference field="14" count="1" selected="0">
            <x v="333"/>
          </reference>
          <reference field="18" count="1" selected="0">
            <x v="24"/>
          </reference>
          <reference field="19" count="1">
            <x v="7"/>
          </reference>
        </references>
      </pivotArea>
    </format>
    <format dxfId="8599">
      <pivotArea dataOnly="0" labelOnly="1" outline="0" fieldPosition="0">
        <references count="4">
          <reference field="11" count="1" selected="0">
            <x v="137"/>
          </reference>
          <reference field="14" count="1" selected="0">
            <x v="11"/>
          </reference>
          <reference field="18" count="1" selected="0">
            <x v="1"/>
          </reference>
          <reference field="19" count="1">
            <x v="18"/>
          </reference>
        </references>
      </pivotArea>
    </format>
    <format dxfId="8598">
      <pivotArea dataOnly="0" labelOnly="1" outline="0" fieldPosition="0">
        <references count="4">
          <reference field="11" count="1" selected="0">
            <x v="138"/>
          </reference>
          <reference field="14" count="1" selected="0">
            <x v="16"/>
          </reference>
          <reference field="18" count="1" selected="0">
            <x v="12"/>
          </reference>
          <reference field="19" count="1">
            <x v="13"/>
          </reference>
        </references>
      </pivotArea>
    </format>
    <format dxfId="8597">
      <pivotArea dataOnly="0" labelOnly="1" outline="0" fieldPosition="0">
        <references count="4">
          <reference field="11" count="1" selected="0">
            <x v="138"/>
          </reference>
          <reference field="14" count="1" selected="0">
            <x v="16"/>
          </reference>
          <reference field="18" count="1" selected="0">
            <x v="20"/>
          </reference>
          <reference field="19" count="1">
            <x v="19"/>
          </reference>
        </references>
      </pivotArea>
    </format>
    <format dxfId="8596">
      <pivotArea dataOnly="0" labelOnly="1" outline="0" fieldPosition="0">
        <references count="4">
          <reference field="11" count="1" selected="0">
            <x v="139"/>
          </reference>
          <reference field="14" count="1" selected="0">
            <x v="361"/>
          </reference>
          <reference field="18" count="1" selected="0">
            <x v="3"/>
          </reference>
          <reference field="19" count="1">
            <x v="15"/>
          </reference>
        </references>
      </pivotArea>
    </format>
    <format dxfId="8595">
      <pivotArea dataOnly="0" labelOnly="1" outline="0" fieldPosition="0">
        <references count="4">
          <reference field="11" count="1" selected="0">
            <x v="139"/>
          </reference>
          <reference field="14" count="1" selected="0">
            <x v="361"/>
          </reference>
          <reference field="18" count="1" selected="0">
            <x v="6"/>
          </reference>
          <reference field="19" count="1">
            <x v="23"/>
          </reference>
        </references>
      </pivotArea>
    </format>
    <format dxfId="8594">
      <pivotArea dataOnly="0" labelOnly="1" outline="0" fieldPosition="0">
        <references count="4">
          <reference field="11" count="1" selected="0">
            <x v="140"/>
          </reference>
          <reference field="14" count="1" selected="0">
            <x v="255"/>
          </reference>
          <reference field="18" count="1" selected="0">
            <x v="16"/>
          </reference>
          <reference field="19" count="1">
            <x v="24"/>
          </reference>
        </references>
      </pivotArea>
    </format>
    <format dxfId="8593">
      <pivotArea dataOnly="0" labelOnly="1" outline="0" fieldPosition="0">
        <references count="4">
          <reference field="11" count="1" selected="0">
            <x v="141"/>
          </reference>
          <reference field="14" count="1" selected="0">
            <x v="252"/>
          </reference>
          <reference field="18" count="1" selected="0">
            <x v="0"/>
          </reference>
          <reference field="19" count="1">
            <x v="16"/>
          </reference>
        </references>
      </pivotArea>
    </format>
    <format dxfId="8592">
      <pivotArea dataOnly="0" labelOnly="1" outline="0" fieldPosition="0">
        <references count="4">
          <reference field="11" count="1" selected="0">
            <x v="142"/>
          </reference>
          <reference field="14" count="1" selected="0">
            <x v="213"/>
          </reference>
          <reference field="18" count="1" selected="0">
            <x v="14"/>
          </reference>
          <reference field="19" count="1">
            <x v="9"/>
          </reference>
        </references>
      </pivotArea>
    </format>
    <format dxfId="8591">
      <pivotArea dataOnly="0" labelOnly="1" outline="0" fieldPosition="0">
        <references count="4">
          <reference field="11" count="1" selected="0">
            <x v="143"/>
          </reference>
          <reference field="14" count="1" selected="0">
            <x v="326"/>
          </reference>
          <reference field="18" count="1" selected="0">
            <x v="6"/>
          </reference>
          <reference field="19" count="1">
            <x v="23"/>
          </reference>
        </references>
      </pivotArea>
    </format>
    <format dxfId="8590">
      <pivotArea dataOnly="0" labelOnly="1" outline="0" fieldPosition="0">
        <references count="4">
          <reference field="11" count="1" selected="0">
            <x v="144"/>
          </reference>
          <reference field="14" count="1" selected="0">
            <x v="327"/>
          </reference>
          <reference field="18" count="1" selected="0">
            <x v="6"/>
          </reference>
          <reference field="19" count="1">
            <x v="23"/>
          </reference>
        </references>
      </pivotArea>
    </format>
    <format dxfId="8589">
      <pivotArea dataOnly="0" labelOnly="1" outline="0" fieldPosition="0">
        <references count="4">
          <reference field="11" count="1" selected="0">
            <x v="145"/>
          </reference>
          <reference field="14" count="1" selected="0">
            <x v="329"/>
          </reference>
          <reference field="18" count="1" selected="0">
            <x v="6"/>
          </reference>
          <reference field="19" count="1">
            <x v="23"/>
          </reference>
        </references>
      </pivotArea>
    </format>
    <format dxfId="8588">
      <pivotArea dataOnly="0" labelOnly="1" outline="0" fieldPosition="0">
        <references count="4">
          <reference field="11" count="1" selected="0">
            <x v="146"/>
          </reference>
          <reference field="14" count="1" selected="0">
            <x v="330"/>
          </reference>
          <reference field="18" count="1" selected="0">
            <x v="6"/>
          </reference>
          <reference field="19" count="1">
            <x v="23"/>
          </reference>
        </references>
      </pivotArea>
    </format>
    <format dxfId="8587">
      <pivotArea dataOnly="0" labelOnly="1" outline="0" fieldPosition="0">
        <references count="4">
          <reference field="11" count="1" selected="0">
            <x v="147"/>
          </reference>
          <reference field="14" count="1" selected="0">
            <x v="328"/>
          </reference>
          <reference field="18" count="1" selected="0">
            <x v="6"/>
          </reference>
          <reference field="19" count="1">
            <x v="23"/>
          </reference>
        </references>
      </pivotArea>
    </format>
    <format dxfId="8586">
      <pivotArea dataOnly="0" labelOnly="1" outline="0" fieldPosition="0">
        <references count="4">
          <reference field="11" count="1" selected="0">
            <x v="148"/>
          </reference>
          <reference field="14" count="1" selected="0">
            <x v="215"/>
          </reference>
          <reference field="18" count="1" selected="0">
            <x v="14"/>
          </reference>
          <reference field="19" count="1">
            <x v="9"/>
          </reference>
        </references>
      </pivotArea>
    </format>
    <format dxfId="8585">
      <pivotArea dataOnly="0" labelOnly="1" outline="0" fieldPosition="0">
        <references count="4">
          <reference field="11" count="1" selected="0">
            <x v="149"/>
          </reference>
          <reference field="14" count="1" selected="0">
            <x v="461"/>
          </reference>
          <reference field="18" count="1" selected="0">
            <x v="4"/>
          </reference>
          <reference field="19" count="1">
            <x v="10"/>
          </reference>
        </references>
      </pivotArea>
    </format>
    <format dxfId="8584">
      <pivotArea dataOnly="0" labelOnly="1" outline="0" fieldPosition="0">
        <references count="4">
          <reference field="11" count="1" selected="0">
            <x v="149"/>
          </reference>
          <reference field="14" count="1" selected="0">
            <x v="461"/>
          </reference>
          <reference field="18" count="1" selected="0">
            <x v="10"/>
          </reference>
          <reference field="19" count="1">
            <x v="8"/>
          </reference>
        </references>
      </pivotArea>
    </format>
    <format dxfId="8583">
      <pivotArea dataOnly="0" labelOnly="1" outline="0" fieldPosition="0">
        <references count="4">
          <reference field="11" count="1" selected="0">
            <x v="150"/>
          </reference>
          <reference field="14" count="1" selected="0">
            <x v="267"/>
          </reference>
          <reference field="18" count="1" selected="0">
            <x v="3"/>
          </reference>
          <reference field="19" count="1">
            <x v="15"/>
          </reference>
        </references>
      </pivotArea>
    </format>
    <format dxfId="8582">
      <pivotArea dataOnly="0" labelOnly="1" outline="0" fieldPosition="0">
        <references count="4">
          <reference field="11" count="1" selected="0">
            <x v="151"/>
          </reference>
          <reference field="14" count="1" selected="0">
            <x v="392"/>
          </reference>
          <reference field="18" count="1" selected="0">
            <x v="2"/>
          </reference>
          <reference field="19" count="1">
            <x v="22"/>
          </reference>
        </references>
      </pivotArea>
    </format>
    <format dxfId="8581">
      <pivotArea dataOnly="0" labelOnly="1" outline="0" fieldPosition="0">
        <references count="4">
          <reference field="11" count="1" selected="0">
            <x v="152"/>
          </reference>
          <reference field="14" count="1" selected="0">
            <x v="447"/>
          </reference>
          <reference field="18" count="1" selected="0">
            <x v="19"/>
          </reference>
          <reference field="19" count="1">
            <x v="2"/>
          </reference>
        </references>
      </pivotArea>
    </format>
    <format dxfId="8580">
      <pivotArea dataOnly="0" labelOnly="1" outline="0" fieldPosition="0">
        <references count="4">
          <reference field="11" count="1" selected="0">
            <x v="153"/>
          </reference>
          <reference field="14" count="1" selected="0">
            <x v="177"/>
          </reference>
          <reference field="18" count="1" selected="0">
            <x v="6"/>
          </reference>
          <reference field="19" count="1">
            <x v="23"/>
          </reference>
        </references>
      </pivotArea>
    </format>
    <format dxfId="8579">
      <pivotArea dataOnly="0" labelOnly="1" outline="0" fieldPosition="0">
        <references count="4">
          <reference field="11" count="1" selected="0">
            <x v="154"/>
          </reference>
          <reference field="14" count="1" selected="0">
            <x v="182"/>
          </reference>
          <reference field="18" count="1" selected="0">
            <x v="1"/>
          </reference>
          <reference field="19" count="1">
            <x v="18"/>
          </reference>
        </references>
      </pivotArea>
    </format>
    <format dxfId="8578">
      <pivotArea dataOnly="0" labelOnly="1" outline="0" fieldPosition="0">
        <references count="4">
          <reference field="11" count="1" selected="0">
            <x v="155"/>
          </reference>
          <reference field="14" count="1" selected="0">
            <x v="105"/>
          </reference>
          <reference field="18" count="1" selected="0">
            <x v="27"/>
          </reference>
          <reference field="19" count="1">
            <x v="17"/>
          </reference>
        </references>
      </pivotArea>
    </format>
    <format dxfId="8577">
      <pivotArea dataOnly="0" labelOnly="1" outline="0" fieldPosition="0">
        <references count="4">
          <reference field="11" count="1" selected="0">
            <x v="156"/>
          </reference>
          <reference field="14" count="1" selected="0">
            <x v="238"/>
          </reference>
          <reference field="18" count="1" selected="0">
            <x v="12"/>
          </reference>
          <reference field="19" count="1">
            <x v="13"/>
          </reference>
        </references>
      </pivotArea>
    </format>
    <format dxfId="8576">
      <pivotArea dataOnly="0" labelOnly="1" outline="0" fieldPosition="0">
        <references count="4">
          <reference field="11" count="1" selected="0">
            <x v="157"/>
          </reference>
          <reference field="14" count="1" selected="0">
            <x v="395"/>
          </reference>
          <reference field="18" count="1" selected="0">
            <x v="6"/>
          </reference>
          <reference field="19" count="1">
            <x v="23"/>
          </reference>
        </references>
      </pivotArea>
    </format>
    <format dxfId="8575">
      <pivotArea dataOnly="0" labelOnly="1" outline="0" fieldPosition="0">
        <references count="4">
          <reference field="11" count="1" selected="0">
            <x v="158"/>
          </reference>
          <reference field="14" count="1" selected="0">
            <x v="224"/>
          </reference>
          <reference field="18" count="1" selected="0">
            <x v="4"/>
          </reference>
          <reference field="19" count="1">
            <x v="10"/>
          </reference>
        </references>
      </pivotArea>
    </format>
    <format dxfId="8574">
      <pivotArea dataOnly="0" labelOnly="1" outline="0" fieldPosition="0">
        <references count="4">
          <reference field="11" count="1" selected="0">
            <x v="158"/>
          </reference>
          <reference field="14" count="1" selected="0">
            <x v="224"/>
          </reference>
          <reference field="18" count="1" selected="0">
            <x v="12"/>
          </reference>
          <reference field="19" count="1">
            <x v="13"/>
          </reference>
        </references>
      </pivotArea>
    </format>
    <format dxfId="8573">
      <pivotArea dataOnly="0" labelOnly="1" outline="0" fieldPosition="0">
        <references count="4">
          <reference field="11" count="1" selected="0">
            <x v="159"/>
          </reference>
          <reference field="14" count="1" selected="0">
            <x v="218"/>
          </reference>
          <reference field="18" count="1" selected="0">
            <x v="0"/>
          </reference>
          <reference field="19" count="1">
            <x v="16"/>
          </reference>
        </references>
      </pivotArea>
    </format>
    <format dxfId="8572">
      <pivotArea dataOnly="0" labelOnly="1" outline="0" fieldPosition="0">
        <references count="4">
          <reference field="11" count="1" selected="0">
            <x v="160"/>
          </reference>
          <reference field="14" count="1" selected="0">
            <x v="398"/>
          </reference>
          <reference field="18" count="1" selected="0">
            <x v="14"/>
          </reference>
          <reference field="19" count="1">
            <x v="9"/>
          </reference>
        </references>
      </pivotArea>
    </format>
    <format dxfId="8571">
      <pivotArea dataOnly="0" labelOnly="1" outline="0" fieldPosition="0">
        <references count="4">
          <reference field="11" count="1" selected="0">
            <x v="161"/>
          </reference>
          <reference field="14" count="1" selected="0">
            <x v="117"/>
          </reference>
          <reference field="18" count="1" selected="0">
            <x v="6"/>
          </reference>
          <reference field="19" count="1">
            <x v="23"/>
          </reference>
        </references>
      </pivotArea>
    </format>
    <format dxfId="8570">
      <pivotArea dataOnly="0" labelOnly="1" outline="0" fieldPosition="0">
        <references count="4">
          <reference field="11" count="1" selected="0">
            <x v="161"/>
          </reference>
          <reference field="14" count="1" selected="0">
            <x v="117"/>
          </reference>
          <reference field="18" count="1" selected="0">
            <x v="12"/>
          </reference>
          <reference field="19" count="1">
            <x v="13"/>
          </reference>
        </references>
      </pivotArea>
    </format>
    <format dxfId="8569">
      <pivotArea dataOnly="0" labelOnly="1" outline="0" fieldPosition="0">
        <references count="4">
          <reference field="11" count="1" selected="0">
            <x v="162"/>
          </reference>
          <reference field="14" count="1" selected="0">
            <x v="161"/>
          </reference>
          <reference field="18" count="1" selected="0">
            <x v="2"/>
          </reference>
          <reference field="19" count="1">
            <x v="22"/>
          </reference>
        </references>
      </pivotArea>
    </format>
    <format dxfId="8568">
      <pivotArea dataOnly="0" labelOnly="1" outline="0" fieldPosition="0">
        <references count="4">
          <reference field="11" count="1" selected="0">
            <x v="163"/>
          </reference>
          <reference field="14" count="1" selected="0">
            <x v="234"/>
          </reference>
          <reference field="18" count="1" selected="0">
            <x v="2"/>
          </reference>
          <reference field="19" count="1">
            <x v="22"/>
          </reference>
        </references>
      </pivotArea>
    </format>
    <format dxfId="8567">
      <pivotArea dataOnly="0" labelOnly="1" outline="0" fieldPosition="0">
        <references count="4">
          <reference field="11" count="1" selected="0">
            <x v="163"/>
          </reference>
          <reference field="14" count="1" selected="0">
            <x v="234"/>
          </reference>
          <reference field="18" count="1" selected="0">
            <x v="12"/>
          </reference>
          <reference field="19" count="1">
            <x v="13"/>
          </reference>
        </references>
      </pivotArea>
    </format>
    <format dxfId="8566">
      <pivotArea dataOnly="0" labelOnly="1" outline="0" fieldPosition="0">
        <references count="4">
          <reference field="11" count="1" selected="0">
            <x v="164"/>
          </reference>
          <reference field="14" count="1" selected="0">
            <x v="258"/>
          </reference>
          <reference field="18" count="1" selected="0">
            <x v="6"/>
          </reference>
          <reference field="19" count="1">
            <x v="23"/>
          </reference>
        </references>
      </pivotArea>
    </format>
    <format dxfId="8565">
      <pivotArea dataOnly="0" labelOnly="1" outline="0" fieldPosition="0">
        <references count="4">
          <reference field="11" count="1" selected="0">
            <x v="165"/>
          </reference>
          <reference field="14" count="1" selected="0">
            <x v="206"/>
          </reference>
          <reference field="18" count="1" selected="0">
            <x v="3"/>
          </reference>
          <reference field="19" count="1">
            <x v="15"/>
          </reference>
        </references>
      </pivotArea>
    </format>
    <format dxfId="8564">
      <pivotArea dataOnly="0" labelOnly="1" outline="0" fieldPosition="0">
        <references count="4">
          <reference field="11" count="1" selected="0">
            <x v="166"/>
          </reference>
          <reference field="14" count="1" selected="0">
            <x v="319"/>
          </reference>
          <reference field="18" count="1" selected="0">
            <x v="2"/>
          </reference>
          <reference field="19" count="1">
            <x v="22"/>
          </reference>
        </references>
      </pivotArea>
    </format>
    <format dxfId="8563">
      <pivotArea dataOnly="0" labelOnly="1" outline="0" fieldPosition="0">
        <references count="4">
          <reference field="11" count="1" selected="0">
            <x v="166"/>
          </reference>
          <reference field="14" count="1" selected="0">
            <x v="319"/>
          </reference>
          <reference field="18" count="1" selected="0">
            <x v="14"/>
          </reference>
          <reference field="19" count="1">
            <x v="9"/>
          </reference>
        </references>
      </pivotArea>
    </format>
    <format dxfId="8562">
      <pivotArea dataOnly="0" labelOnly="1" outline="0" fieldPosition="0">
        <references count="4">
          <reference field="11" count="1" selected="0">
            <x v="167"/>
          </reference>
          <reference field="14" count="1" selected="0">
            <x v="66"/>
          </reference>
          <reference field="18" count="1" selected="0">
            <x v="15"/>
          </reference>
          <reference field="19" count="1">
            <x v="25"/>
          </reference>
        </references>
      </pivotArea>
    </format>
    <format dxfId="8561">
      <pivotArea dataOnly="0" labelOnly="1" outline="0" fieldPosition="0">
        <references count="4">
          <reference field="11" count="1" selected="0">
            <x v="168"/>
          </reference>
          <reference field="14" count="1" selected="0">
            <x v="148"/>
          </reference>
          <reference field="18" count="1" selected="0">
            <x v="2"/>
          </reference>
          <reference field="19" count="1">
            <x v="22"/>
          </reference>
        </references>
      </pivotArea>
    </format>
    <format dxfId="8560">
      <pivotArea dataOnly="0" labelOnly="1" outline="0" fieldPosition="0">
        <references count="4">
          <reference field="11" count="1" selected="0">
            <x v="169"/>
          </reference>
          <reference field="14" count="1" selected="0">
            <x v="192"/>
          </reference>
          <reference field="18" count="1" selected="0">
            <x v="14"/>
          </reference>
          <reference field="19" count="1">
            <x v="9"/>
          </reference>
        </references>
      </pivotArea>
    </format>
    <format dxfId="8559">
      <pivotArea dataOnly="0" labelOnly="1" outline="0" fieldPosition="0">
        <references count="4">
          <reference field="11" count="1" selected="0">
            <x v="170"/>
          </reference>
          <reference field="14" count="1" selected="0">
            <x v="317"/>
          </reference>
          <reference field="18" count="1" selected="0">
            <x v="14"/>
          </reference>
          <reference field="19" count="1">
            <x v="9"/>
          </reference>
        </references>
      </pivotArea>
    </format>
    <format dxfId="8558">
      <pivotArea dataOnly="0" labelOnly="1" outline="0" fieldPosition="0">
        <references count="4">
          <reference field="11" count="1" selected="0">
            <x v="171"/>
          </reference>
          <reference field="14" count="1" selected="0">
            <x v="350"/>
          </reference>
          <reference field="18" count="1" selected="0">
            <x v="6"/>
          </reference>
          <reference field="19" count="1">
            <x v="23"/>
          </reference>
        </references>
      </pivotArea>
    </format>
    <format dxfId="8557">
      <pivotArea dataOnly="0" labelOnly="1" outline="0" fieldPosition="0">
        <references count="4">
          <reference field="11" count="1" selected="0">
            <x v="172"/>
          </reference>
          <reference field="14" count="1" selected="0">
            <x v="231"/>
          </reference>
          <reference field="18" count="1" selected="0">
            <x v="12"/>
          </reference>
          <reference field="19" count="1">
            <x v="13"/>
          </reference>
        </references>
      </pivotArea>
    </format>
    <format dxfId="8556">
      <pivotArea dataOnly="0" labelOnly="1" outline="0" fieldPosition="0">
        <references count="4">
          <reference field="11" count="1" selected="0">
            <x v="173"/>
          </reference>
          <reference field="14" count="1" selected="0">
            <x v="174"/>
          </reference>
          <reference field="18" count="1" selected="0">
            <x v="0"/>
          </reference>
          <reference field="19" count="1">
            <x v="16"/>
          </reference>
        </references>
      </pivotArea>
    </format>
    <format dxfId="8555">
      <pivotArea dataOnly="0" labelOnly="1" outline="0" fieldPosition="0">
        <references count="4">
          <reference field="11" count="1" selected="0">
            <x v="174"/>
          </reference>
          <reference field="14" count="1" selected="0">
            <x v="173"/>
          </reference>
          <reference field="18" count="1" selected="0">
            <x v="0"/>
          </reference>
          <reference field="19" count="1">
            <x v="16"/>
          </reference>
        </references>
      </pivotArea>
    </format>
    <format dxfId="8554">
      <pivotArea dataOnly="0" labelOnly="1" outline="0" fieldPosition="0">
        <references count="4">
          <reference field="11" count="1" selected="0">
            <x v="175"/>
          </reference>
          <reference field="14" count="1" selected="0">
            <x v="471"/>
          </reference>
          <reference field="18" count="1" selected="0">
            <x v="2"/>
          </reference>
          <reference field="19" count="1">
            <x v="22"/>
          </reference>
        </references>
      </pivotArea>
    </format>
    <format dxfId="8553">
      <pivotArea dataOnly="0" labelOnly="1" outline="0" fieldPosition="0">
        <references count="4">
          <reference field="11" count="1" selected="0">
            <x v="176"/>
          </reference>
          <reference field="14" count="1" selected="0">
            <x v="362"/>
          </reference>
          <reference field="18" count="1" selected="0">
            <x v="3"/>
          </reference>
          <reference field="19" count="1">
            <x v="15"/>
          </reference>
        </references>
      </pivotArea>
    </format>
    <format dxfId="8552">
      <pivotArea dataOnly="0" labelOnly="1" outline="0" fieldPosition="0">
        <references count="4">
          <reference field="11" count="1" selected="0">
            <x v="176"/>
          </reference>
          <reference field="14" count="1" selected="0">
            <x v="362"/>
          </reference>
          <reference field="18" count="1" selected="0">
            <x v="6"/>
          </reference>
          <reference field="19" count="1">
            <x v="23"/>
          </reference>
        </references>
      </pivotArea>
    </format>
    <format dxfId="8551">
      <pivotArea dataOnly="0" labelOnly="1" outline="0" fieldPosition="0">
        <references count="4">
          <reference field="11" count="1" selected="0">
            <x v="177"/>
          </reference>
          <reference field="14" count="1" selected="0">
            <x v="279"/>
          </reference>
          <reference field="18" count="1" selected="0">
            <x v="0"/>
          </reference>
          <reference field="19" count="1">
            <x v="16"/>
          </reference>
        </references>
      </pivotArea>
    </format>
    <format dxfId="8550">
      <pivotArea dataOnly="0" labelOnly="1" outline="0" fieldPosition="0">
        <references count="4">
          <reference field="11" count="1" selected="0">
            <x v="178"/>
          </reference>
          <reference field="14" count="1" selected="0">
            <x v="282"/>
          </reference>
          <reference field="18" count="1" selected="0">
            <x v="0"/>
          </reference>
          <reference field="19" count="1">
            <x v="16"/>
          </reference>
        </references>
      </pivotArea>
    </format>
    <format dxfId="8549">
      <pivotArea dataOnly="0" labelOnly="1" outline="0" fieldPosition="0">
        <references count="4">
          <reference field="11" count="1" selected="0">
            <x v="179"/>
          </reference>
          <reference field="14" count="1" selected="0">
            <x v="276"/>
          </reference>
          <reference field="18" count="1" selected="0">
            <x v="0"/>
          </reference>
          <reference field="19" count="1">
            <x v="16"/>
          </reference>
        </references>
      </pivotArea>
    </format>
    <format dxfId="8548">
      <pivotArea dataOnly="0" labelOnly="1" outline="0" fieldPosition="0">
        <references count="4">
          <reference field="11" count="1" selected="0">
            <x v="180"/>
          </reference>
          <reference field="14" count="1" selected="0">
            <x v="439"/>
          </reference>
          <reference field="18" count="1" selected="0">
            <x v="19"/>
          </reference>
          <reference field="19" count="1">
            <x v="2"/>
          </reference>
        </references>
      </pivotArea>
    </format>
    <format dxfId="8547">
      <pivotArea dataOnly="0" labelOnly="1" outline="0" fieldPosition="0">
        <references count="4">
          <reference field="11" count="1" selected="0">
            <x v="181"/>
          </reference>
          <reference field="14" count="1" selected="0">
            <x v="281"/>
          </reference>
          <reference field="18" count="1" selected="0">
            <x v="0"/>
          </reference>
          <reference field="19" count="1">
            <x v="16"/>
          </reference>
        </references>
      </pivotArea>
    </format>
    <format dxfId="8546">
      <pivotArea dataOnly="0" labelOnly="1" outline="0" fieldPosition="0">
        <references count="4">
          <reference field="11" count="1" selected="0">
            <x v="182"/>
          </reference>
          <reference field="14" count="1" selected="0">
            <x v="118"/>
          </reference>
          <reference field="18" count="1" selected="0">
            <x v="6"/>
          </reference>
          <reference field="19" count="1">
            <x v="23"/>
          </reference>
        </references>
      </pivotArea>
    </format>
    <format dxfId="8545">
      <pivotArea dataOnly="0" labelOnly="1" outline="0" fieldPosition="0">
        <references count="4">
          <reference field="11" count="1" selected="0">
            <x v="183"/>
          </reference>
          <reference field="14" count="1" selected="0">
            <x v="386"/>
          </reference>
          <reference field="18" count="1" selected="0">
            <x v="2"/>
          </reference>
          <reference field="19" count="1">
            <x v="22"/>
          </reference>
        </references>
      </pivotArea>
    </format>
    <format dxfId="8544">
      <pivotArea dataOnly="0" labelOnly="1" outline="0" fieldPosition="0">
        <references count="4">
          <reference field="11" count="1" selected="0">
            <x v="184"/>
          </reference>
          <reference field="14" count="1" selected="0">
            <x v="388"/>
          </reference>
          <reference field="18" count="1" selected="0">
            <x v="2"/>
          </reference>
          <reference field="19" count="1">
            <x v="22"/>
          </reference>
        </references>
      </pivotArea>
    </format>
    <format dxfId="8543">
      <pivotArea dataOnly="0" labelOnly="1" outline="0" fieldPosition="0">
        <references count="4">
          <reference field="11" count="1" selected="0">
            <x v="185"/>
          </reference>
          <reference field="14" count="1" selected="0">
            <x v="387"/>
          </reference>
          <reference field="18" count="1" selected="0">
            <x v="0"/>
          </reference>
          <reference field="19" count="1">
            <x v="16"/>
          </reference>
        </references>
      </pivotArea>
    </format>
    <format dxfId="8542">
      <pivotArea dataOnly="0" labelOnly="1" outline="0" fieldPosition="0">
        <references count="4">
          <reference field="11" count="1" selected="0">
            <x v="185"/>
          </reference>
          <reference field="14" count="1" selected="0">
            <x v="387"/>
          </reference>
          <reference field="18" count="1" selected="0">
            <x v="2"/>
          </reference>
          <reference field="19" count="1">
            <x v="22"/>
          </reference>
        </references>
      </pivotArea>
    </format>
    <format dxfId="8541">
      <pivotArea dataOnly="0" labelOnly="1" outline="0" fieldPosition="0">
        <references count="4">
          <reference field="11" count="1" selected="0">
            <x v="186"/>
          </reference>
          <reference field="14" count="1" selected="0">
            <x v="343"/>
          </reference>
          <reference field="18" count="1" selected="0">
            <x v="1"/>
          </reference>
          <reference field="19" count="1">
            <x v="18"/>
          </reference>
        </references>
      </pivotArea>
    </format>
    <format dxfId="8540">
      <pivotArea dataOnly="0" labelOnly="1" outline="0" fieldPosition="0">
        <references count="4">
          <reference field="11" count="1" selected="0">
            <x v="187"/>
          </reference>
          <reference field="14" count="1" selected="0">
            <x v="249"/>
          </reference>
          <reference field="18" count="1" selected="0">
            <x v="19"/>
          </reference>
          <reference field="19" count="1">
            <x v="2"/>
          </reference>
        </references>
      </pivotArea>
    </format>
    <format dxfId="8539">
      <pivotArea dataOnly="0" labelOnly="1" outline="0" fieldPosition="0">
        <references count="4">
          <reference field="11" count="1" selected="0">
            <x v="188"/>
          </reference>
          <reference field="14" count="1" selected="0">
            <x v="385"/>
          </reference>
          <reference field="18" count="1" selected="0">
            <x v="2"/>
          </reference>
          <reference field="19" count="1">
            <x v="22"/>
          </reference>
        </references>
      </pivotArea>
    </format>
    <format dxfId="8538">
      <pivotArea dataOnly="0" labelOnly="1" outline="0" fieldPosition="0">
        <references count="4">
          <reference field="11" count="1" selected="0">
            <x v="189"/>
          </reference>
          <reference field="14" count="1" selected="0">
            <x v="184"/>
          </reference>
          <reference field="18" count="1" selected="0">
            <x v="0"/>
          </reference>
          <reference field="19" count="1">
            <x v="16"/>
          </reference>
        </references>
      </pivotArea>
    </format>
    <format dxfId="8537">
      <pivotArea dataOnly="0" labelOnly="1" outline="0" fieldPosition="0">
        <references count="4">
          <reference field="11" count="1" selected="0">
            <x v="189"/>
          </reference>
          <reference field="14" count="1" selected="0">
            <x v="184"/>
          </reference>
          <reference field="18" count="1" selected="0">
            <x v="1"/>
          </reference>
          <reference field="19" count="1">
            <x v="18"/>
          </reference>
        </references>
      </pivotArea>
    </format>
    <format dxfId="8536">
      <pivotArea dataOnly="0" labelOnly="1" outline="0" fieldPosition="0">
        <references count="4">
          <reference field="11" count="1" selected="0">
            <x v="190"/>
          </reference>
          <reference field="14" count="1" selected="0">
            <x v="394"/>
          </reference>
          <reference field="18" count="1" selected="0">
            <x v="0"/>
          </reference>
          <reference field="19" count="1">
            <x v="16"/>
          </reference>
        </references>
      </pivotArea>
    </format>
    <format dxfId="8535">
      <pivotArea dataOnly="0" labelOnly="1" outline="0" fieldPosition="0">
        <references count="4">
          <reference field="11" count="1" selected="0">
            <x v="190"/>
          </reference>
          <reference field="14" count="1" selected="0">
            <x v="394"/>
          </reference>
          <reference field="18" count="1" selected="0">
            <x v="2"/>
          </reference>
          <reference field="19" count="1">
            <x v="22"/>
          </reference>
        </references>
      </pivotArea>
    </format>
    <format dxfId="8534">
      <pivotArea dataOnly="0" labelOnly="1" outline="0" fieldPosition="0">
        <references count="4">
          <reference field="11" count="1" selected="0">
            <x v="191"/>
          </reference>
          <reference field="14" count="1" selected="0">
            <x v="103"/>
          </reference>
          <reference field="18" count="1" selected="0">
            <x v="2"/>
          </reference>
          <reference field="19" count="1">
            <x v="22"/>
          </reference>
        </references>
      </pivotArea>
    </format>
    <format dxfId="8533">
      <pivotArea dataOnly="0" labelOnly="1" outline="0" fieldPosition="0">
        <references count="4">
          <reference field="11" count="1" selected="0">
            <x v="192"/>
          </reference>
          <reference field="14" count="1" selected="0">
            <x v="102"/>
          </reference>
          <reference field="18" count="1" selected="0">
            <x v="2"/>
          </reference>
          <reference field="19" count="1">
            <x v="22"/>
          </reference>
        </references>
      </pivotArea>
    </format>
    <format dxfId="8532">
      <pivotArea dataOnly="0" labelOnly="1" outline="0" fieldPosition="0">
        <references count="4">
          <reference field="11" count="1" selected="0">
            <x v="193"/>
          </reference>
          <reference field="14" count="1" selected="0">
            <x v="14"/>
          </reference>
          <reference field="18" count="1" selected="0">
            <x v="0"/>
          </reference>
          <reference field="19" count="1">
            <x v="16"/>
          </reference>
        </references>
      </pivotArea>
    </format>
    <format dxfId="8531">
      <pivotArea dataOnly="0" labelOnly="1" outline="0" fieldPosition="0">
        <references count="4">
          <reference field="11" count="1" selected="0">
            <x v="194"/>
          </reference>
          <reference field="14" count="1" selected="0">
            <x v="188"/>
          </reference>
          <reference field="18" count="1" selected="0">
            <x v="0"/>
          </reference>
          <reference field="19" count="1">
            <x v="16"/>
          </reference>
        </references>
      </pivotArea>
    </format>
    <format dxfId="8530">
      <pivotArea dataOnly="0" labelOnly="1" outline="0" fieldPosition="0">
        <references count="4">
          <reference field="11" count="1" selected="0">
            <x v="195"/>
          </reference>
          <reference field="14" count="1" selected="0">
            <x v="396"/>
          </reference>
          <reference field="18" count="1" selected="0">
            <x v="6"/>
          </reference>
          <reference field="19" count="1">
            <x v="23"/>
          </reference>
        </references>
      </pivotArea>
    </format>
    <format dxfId="8529">
      <pivotArea dataOnly="0" labelOnly="1" outline="0" fieldPosition="0">
        <references count="4">
          <reference field="11" count="1" selected="0">
            <x v="196"/>
          </reference>
          <reference field="14" count="1" selected="0">
            <x v="25"/>
          </reference>
          <reference field="18" count="1" selected="0">
            <x v="5"/>
          </reference>
          <reference field="19" count="1">
            <x v="1"/>
          </reference>
        </references>
      </pivotArea>
    </format>
    <format dxfId="8528">
      <pivotArea dataOnly="0" labelOnly="1" outline="0" fieldPosition="0">
        <references count="4">
          <reference field="11" count="1" selected="0">
            <x v="197"/>
          </reference>
          <reference field="14" count="1" selected="0">
            <x v="26"/>
          </reference>
          <reference field="18" count="1" selected="0">
            <x v="5"/>
          </reference>
          <reference field="19" count="1">
            <x v="1"/>
          </reference>
        </references>
      </pivotArea>
    </format>
    <format dxfId="8527">
      <pivotArea dataOnly="0" labelOnly="1" outline="0" fieldPosition="0">
        <references count="4">
          <reference field="11" count="1" selected="0">
            <x v="198"/>
          </reference>
          <reference field="14" count="1" selected="0">
            <x v="43"/>
          </reference>
          <reference field="18" count="1" selected="0">
            <x v="27"/>
          </reference>
          <reference field="19" count="1">
            <x v="17"/>
          </reference>
        </references>
      </pivotArea>
    </format>
    <format dxfId="8526">
      <pivotArea dataOnly="0" labelOnly="1" outline="0" fieldPosition="0">
        <references count="4">
          <reference field="11" count="1" selected="0">
            <x v="199"/>
          </reference>
          <reference field="14" count="1" selected="0">
            <x v="113"/>
          </reference>
          <reference field="18" count="1" selected="0">
            <x v="19"/>
          </reference>
          <reference field="19" count="1">
            <x v="2"/>
          </reference>
        </references>
      </pivotArea>
    </format>
    <format dxfId="8525">
      <pivotArea dataOnly="0" labelOnly="1" outline="0" fieldPosition="0">
        <references count="4">
          <reference field="11" count="1" selected="0">
            <x v="200"/>
          </reference>
          <reference field="14" count="1" selected="0">
            <x v="280"/>
          </reference>
          <reference field="18" count="1" selected="0">
            <x v="0"/>
          </reference>
          <reference field="19" count="1">
            <x v="16"/>
          </reference>
        </references>
      </pivotArea>
    </format>
    <format dxfId="8524">
      <pivotArea dataOnly="0" labelOnly="1" outline="0" fieldPosition="0">
        <references count="4">
          <reference field="11" count="1" selected="0">
            <x v="201"/>
          </reference>
          <reference field="14" count="1" selected="0">
            <x v="305"/>
          </reference>
          <reference field="18" count="1" selected="0">
            <x v="2"/>
          </reference>
          <reference field="19" count="1">
            <x v="22"/>
          </reference>
        </references>
      </pivotArea>
    </format>
    <format dxfId="8523">
      <pivotArea dataOnly="0" labelOnly="1" outline="0" fieldPosition="0">
        <references count="4">
          <reference field="11" count="1" selected="0">
            <x v="202"/>
          </reference>
          <reference field="14" count="1" selected="0">
            <x v="409"/>
          </reference>
          <reference field="18" count="1" selected="0">
            <x v="2"/>
          </reference>
          <reference field="19" count="1">
            <x v="22"/>
          </reference>
        </references>
      </pivotArea>
    </format>
    <format dxfId="8522">
      <pivotArea dataOnly="0" labelOnly="1" outline="0" fieldPosition="0">
        <references count="4">
          <reference field="11" count="1" selected="0">
            <x v="203"/>
          </reference>
          <reference field="14" count="1" selected="0">
            <x v="28"/>
          </reference>
          <reference field="18" count="1" selected="0">
            <x v="6"/>
          </reference>
          <reference field="19" count="1">
            <x v="23"/>
          </reference>
        </references>
      </pivotArea>
    </format>
    <format dxfId="8521">
      <pivotArea dataOnly="0" labelOnly="1" outline="0" fieldPosition="0">
        <references count="4">
          <reference field="11" count="1" selected="0">
            <x v="204"/>
          </reference>
          <reference field="14" count="1" selected="0">
            <x v="269"/>
          </reference>
          <reference field="18" count="1" selected="0">
            <x v="2"/>
          </reference>
          <reference field="19" count="1">
            <x v="22"/>
          </reference>
        </references>
      </pivotArea>
    </format>
    <format dxfId="8520">
      <pivotArea dataOnly="0" labelOnly="1" outline="0" fieldPosition="0">
        <references count="4">
          <reference field="11" count="1" selected="0">
            <x v="204"/>
          </reference>
          <reference field="14" count="1" selected="0">
            <x v="269"/>
          </reference>
          <reference field="18" count="1" selected="0">
            <x v="3"/>
          </reference>
          <reference field="19" count="1">
            <x v="15"/>
          </reference>
        </references>
      </pivotArea>
    </format>
    <format dxfId="8519">
      <pivotArea dataOnly="0" labelOnly="1" outline="0" fieldPosition="0">
        <references count="4">
          <reference field="11" count="1" selected="0">
            <x v="205"/>
          </reference>
          <reference field="14" count="1" selected="0">
            <x v="185"/>
          </reference>
          <reference field="18" count="1" selected="0">
            <x v="1"/>
          </reference>
          <reference field="19" count="1">
            <x v="18"/>
          </reference>
        </references>
      </pivotArea>
    </format>
    <format dxfId="8518">
      <pivotArea dataOnly="0" labelOnly="1" outline="0" fieldPosition="0">
        <references count="4">
          <reference field="11" count="1" selected="0">
            <x v="206"/>
          </reference>
          <reference field="14" count="1" selected="0">
            <x v="54"/>
          </reference>
          <reference field="18" count="1" selected="0">
            <x v="2"/>
          </reference>
          <reference field="19" count="1">
            <x v="22"/>
          </reference>
        </references>
      </pivotArea>
    </format>
    <format dxfId="8517">
      <pivotArea dataOnly="0" labelOnly="1" outline="0" fieldPosition="0">
        <references count="4">
          <reference field="11" count="1" selected="0">
            <x v="207"/>
          </reference>
          <reference field="14" count="1" selected="0">
            <x v="356"/>
          </reference>
          <reference field="18" count="1" selected="0">
            <x v="8"/>
          </reference>
          <reference field="19" count="1">
            <x v="5"/>
          </reference>
        </references>
      </pivotArea>
    </format>
    <format dxfId="8516">
      <pivotArea dataOnly="0" labelOnly="1" outline="0" fieldPosition="0">
        <references count="4">
          <reference field="11" count="1" selected="0">
            <x v="207"/>
          </reference>
          <reference field="14" count="1" selected="0">
            <x v="356"/>
          </reference>
          <reference field="18" count="1" selected="0">
            <x v="14"/>
          </reference>
          <reference field="19" count="1">
            <x v="9"/>
          </reference>
        </references>
      </pivotArea>
    </format>
    <format dxfId="8515">
      <pivotArea dataOnly="0" labelOnly="1" outline="0" fieldPosition="0">
        <references count="4">
          <reference field="11" count="1" selected="0">
            <x v="208"/>
          </reference>
          <reference field="14" count="1" selected="0">
            <x v="186"/>
          </reference>
          <reference field="18" count="1" selected="0">
            <x v="0"/>
          </reference>
          <reference field="19" count="1">
            <x v="16"/>
          </reference>
        </references>
      </pivotArea>
    </format>
    <format dxfId="8514">
      <pivotArea dataOnly="0" labelOnly="1" outline="0" fieldPosition="0">
        <references count="4">
          <reference field="11" count="1" selected="0">
            <x v="208"/>
          </reference>
          <reference field="14" count="1" selected="0">
            <x v="186"/>
          </reference>
          <reference field="18" count="1" selected="0">
            <x v="7"/>
          </reference>
          <reference field="19" count="1">
            <x v="4"/>
          </reference>
        </references>
      </pivotArea>
    </format>
    <format dxfId="8513">
      <pivotArea dataOnly="0" labelOnly="1" outline="0" fieldPosition="0">
        <references count="4">
          <reference field="11" count="1" selected="0">
            <x v="209"/>
          </reference>
          <reference field="14" count="1" selected="0">
            <x v="37"/>
          </reference>
          <reference field="18" count="1" selected="0">
            <x v="6"/>
          </reference>
          <reference field="19" count="1">
            <x v="23"/>
          </reference>
        </references>
      </pivotArea>
    </format>
    <format dxfId="8512">
      <pivotArea dataOnly="0" labelOnly="1" outline="0" fieldPosition="0">
        <references count="4">
          <reference field="11" count="1" selected="0">
            <x v="210"/>
          </reference>
          <reference field="14" count="1" selected="0">
            <x v="273"/>
          </reference>
          <reference field="18" count="1" selected="0">
            <x v="0"/>
          </reference>
          <reference field="19" count="1">
            <x v="16"/>
          </reference>
        </references>
      </pivotArea>
    </format>
    <format dxfId="8511">
      <pivotArea dataOnly="0" labelOnly="1" outline="0" fieldPosition="0">
        <references count="4">
          <reference field="11" count="1" selected="0">
            <x v="211"/>
          </reference>
          <reference field="14" count="1" selected="0">
            <x v="142"/>
          </reference>
          <reference field="18" count="1" selected="0">
            <x v="2"/>
          </reference>
          <reference field="19" count="1">
            <x v="22"/>
          </reference>
        </references>
      </pivotArea>
    </format>
    <format dxfId="8510">
      <pivotArea dataOnly="0" labelOnly="1" outline="0" fieldPosition="0">
        <references count="4">
          <reference field="11" count="1" selected="0">
            <x v="212"/>
          </reference>
          <reference field="14" count="1" selected="0">
            <x v="294"/>
          </reference>
          <reference field="18" count="1" selected="0">
            <x v="1"/>
          </reference>
          <reference field="19" count="1">
            <x v="18"/>
          </reference>
        </references>
      </pivotArea>
    </format>
    <format dxfId="8509">
      <pivotArea dataOnly="0" labelOnly="1" outline="0" fieldPosition="0">
        <references count="4">
          <reference field="11" count="1" selected="0">
            <x v="213"/>
          </reference>
          <reference field="14" count="1" selected="0">
            <x v="5"/>
          </reference>
          <reference field="18" count="1" selected="0">
            <x v="3"/>
          </reference>
          <reference field="19" count="1">
            <x v="15"/>
          </reference>
        </references>
      </pivotArea>
    </format>
    <format dxfId="8508">
      <pivotArea dataOnly="0" labelOnly="1" outline="0" fieldPosition="0">
        <references count="4">
          <reference field="11" count="1" selected="0">
            <x v="214"/>
          </reference>
          <reference field="14" count="1" selected="0">
            <x v="98"/>
          </reference>
          <reference field="18" count="1" selected="0">
            <x v="1"/>
          </reference>
          <reference field="19" count="1">
            <x v="18"/>
          </reference>
        </references>
      </pivotArea>
    </format>
    <format dxfId="8507">
      <pivotArea dataOnly="0" labelOnly="1" outline="0" fieldPosition="0">
        <references count="4">
          <reference field="11" count="1" selected="0">
            <x v="214"/>
          </reference>
          <reference field="14" count="1" selected="0">
            <x v="98"/>
          </reference>
          <reference field="18" count="1" selected="0">
            <x v="2"/>
          </reference>
          <reference field="19" count="1">
            <x v="22"/>
          </reference>
        </references>
      </pivotArea>
    </format>
    <format dxfId="8506">
      <pivotArea dataOnly="0" labelOnly="1" outline="0" fieldPosition="0">
        <references count="4">
          <reference field="11" count="1" selected="0">
            <x v="214"/>
          </reference>
          <reference field="14" count="1" selected="0">
            <x v="98"/>
          </reference>
          <reference field="18" count="1" selected="0">
            <x v="12"/>
          </reference>
          <reference field="19" count="1">
            <x v="13"/>
          </reference>
        </references>
      </pivotArea>
    </format>
    <format dxfId="8505">
      <pivotArea dataOnly="0" labelOnly="1" outline="0" fieldPosition="0">
        <references count="4">
          <reference field="11" count="1" selected="0">
            <x v="214"/>
          </reference>
          <reference field="14" count="1" selected="0">
            <x v="98"/>
          </reference>
          <reference field="18" count="1" selected="0">
            <x v="27"/>
          </reference>
          <reference field="19" count="1">
            <x v="17"/>
          </reference>
        </references>
      </pivotArea>
    </format>
    <format dxfId="8504">
      <pivotArea dataOnly="0" labelOnly="1" outline="0" fieldPosition="0">
        <references count="4">
          <reference field="11" count="1" selected="0">
            <x v="215"/>
          </reference>
          <reference field="14" count="1" selected="0">
            <x v="158"/>
          </reference>
          <reference field="18" count="1" selected="0">
            <x v="2"/>
          </reference>
          <reference field="19" count="1">
            <x v="22"/>
          </reference>
        </references>
      </pivotArea>
    </format>
    <format dxfId="8503">
      <pivotArea dataOnly="0" labelOnly="1" outline="0" fieldPosition="0">
        <references count="4">
          <reference field="11" count="1" selected="0">
            <x v="216"/>
          </reference>
          <reference field="14" count="1" selected="0">
            <x v="338"/>
          </reference>
          <reference field="18" count="1" selected="0">
            <x v="2"/>
          </reference>
          <reference field="19" count="1">
            <x v="22"/>
          </reference>
        </references>
      </pivotArea>
    </format>
    <format dxfId="8502">
      <pivotArea dataOnly="0" labelOnly="1" outline="0" fieldPosition="0">
        <references count="4">
          <reference field="11" count="1" selected="0">
            <x v="217"/>
          </reference>
          <reference field="14" count="1" selected="0">
            <x v="438"/>
          </reference>
          <reference field="18" count="1" selected="0">
            <x v="19"/>
          </reference>
          <reference field="19" count="1">
            <x v="2"/>
          </reference>
        </references>
      </pivotArea>
    </format>
    <format dxfId="8501">
      <pivotArea dataOnly="0" labelOnly="1" outline="0" fieldPosition="0">
        <references count="4">
          <reference field="11" count="1" selected="0">
            <x v="218"/>
          </reference>
          <reference field="14" count="1" selected="0">
            <x v="429"/>
          </reference>
          <reference field="18" count="1" selected="0">
            <x v="19"/>
          </reference>
          <reference field="19" count="1">
            <x v="2"/>
          </reference>
        </references>
      </pivotArea>
    </format>
    <format dxfId="8500">
      <pivotArea dataOnly="0" labelOnly="1" outline="0" fieldPosition="0">
        <references count="4">
          <reference field="11" count="1" selected="0">
            <x v="219"/>
          </reference>
          <reference field="14" count="1" selected="0">
            <x v="431"/>
          </reference>
          <reference field="18" count="1" selected="0">
            <x v="19"/>
          </reference>
          <reference field="19" count="1">
            <x v="2"/>
          </reference>
        </references>
      </pivotArea>
    </format>
    <format dxfId="8499">
      <pivotArea dataOnly="0" labelOnly="1" outline="0" fieldPosition="0">
        <references count="4">
          <reference field="11" count="1" selected="0">
            <x v="220"/>
          </reference>
          <reference field="14" count="1" selected="0">
            <x v="430"/>
          </reference>
          <reference field="18" count="1" selected="0">
            <x v="19"/>
          </reference>
          <reference field="19" count="1">
            <x v="2"/>
          </reference>
        </references>
      </pivotArea>
    </format>
    <format dxfId="8498">
      <pivotArea dataOnly="0" labelOnly="1" outline="0" fieldPosition="0">
        <references count="4">
          <reference field="11" count="1" selected="0">
            <x v="221"/>
          </reference>
          <reference field="14" count="1" selected="0">
            <x v="427"/>
          </reference>
          <reference field="18" count="1" selected="0">
            <x v="19"/>
          </reference>
          <reference field="19" count="1">
            <x v="2"/>
          </reference>
        </references>
      </pivotArea>
    </format>
    <format dxfId="8497">
      <pivotArea dataOnly="0" labelOnly="1" outline="0" fieldPosition="0">
        <references count="4">
          <reference field="11" count="1" selected="0">
            <x v="222"/>
          </reference>
          <reference field="14" count="1" selected="0">
            <x v="426"/>
          </reference>
          <reference field="18" count="1" selected="0">
            <x v="19"/>
          </reference>
          <reference field="19" count="1">
            <x v="2"/>
          </reference>
        </references>
      </pivotArea>
    </format>
    <format dxfId="8496">
      <pivotArea dataOnly="0" labelOnly="1" outline="0" fieldPosition="0">
        <references count="4">
          <reference field="11" count="1" selected="0">
            <x v="223"/>
          </reference>
          <reference field="14" count="1" selected="0">
            <x v="416"/>
          </reference>
          <reference field="18" count="1" selected="0">
            <x v="19"/>
          </reference>
          <reference field="19" count="1">
            <x v="2"/>
          </reference>
        </references>
      </pivotArea>
    </format>
    <format dxfId="8495">
      <pivotArea dataOnly="0" labelOnly="1" outline="0" fieldPosition="0">
        <references count="4">
          <reference field="11" count="1" selected="0">
            <x v="224"/>
          </reference>
          <reference field="14" count="1" selected="0">
            <x v="300"/>
          </reference>
          <reference field="18" count="1" selected="0">
            <x v="6"/>
          </reference>
          <reference field="19" count="1">
            <x v="23"/>
          </reference>
        </references>
      </pivotArea>
    </format>
    <format dxfId="8494">
      <pivotArea dataOnly="0" labelOnly="1" outline="0" fieldPosition="0">
        <references count="4">
          <reference field="11" count="1" selected="0">
            <x v="225"/>
          </reference>
          <reference field="14" count="1" selected="0">
            <x v="97"/>
          </reference>
          <reference field="18" count="1" selected="0">
            <x v="19"/>
          </reference>
          <reference field="19" count="1">
            <x v="2"/>
          </reference>
        </references>
      </pivotArea>
    </format>
    <format dxfId="8493">
      <pivotArea dataOnly="0" labelOnly="1" outline="0" fieldPosition="0">
        <references count="4">
          <reference field="11" count="1" selected="0">
            <x v="226"/>
          </reference>
          <reference field="14" count="1" selected="0">
            <x v="72"/>
          </reference>
          <reference field="18" count="1" selected="0">
            <x v="19"/>
          </reference>
          <reference field="19" count="1">
            <x v="2"/>
          </reference>
        </references>
      </pivotArea>
    </format>
    <format dxfId="8492">
      <pivotArea dataOnly="0" labelOnly="1" outline="0" fieldPosition="0">
        <references count="4">
          <reference field="11" count="1" selected="0">
            <x v="227"/>
          </reference>
          <reference field="14" count="1" selected="0">
            <x v="420"/>
          </reference>
          <reference field="18" count="1" selected="0">
            <x v="19"/>
          </reference>
          <reference field="19" count="1">
            <x v="2"/>
          </reference>
        </references>
      </pivotArea>
    </format>
    <format dxfId="8491">
      <pivotArea dataOnly="0" labelOnly="1" outline="0" fieldPosition="0">
        <references count="4">
          <reference field="11" count="1" selected="0">
            <x v="228"/>
          </reference>
          <reference field="14" count="1" selected="0">
            <x v="313"/>
          </reference>
          <reference field="18" count="1" selected="0">
            <x v="19"/>
          </reference>
          <reference field="19" count="1">
            <x v="2"/>
          </reference>
        </references>
      </pivotArea>
    </format>
    <format dxfId="8490">
      <pivotArea dataOnly="0" labelOnly="1" outline="0" fieldPosition="0">
        <references count="4">
          <reference field="11" count="1" selected="0">
            <x v="229"/>
          </reference>
          <reference field="14" count="1" selected="0">
            <x v="307"/>
          </reference>
          <reference field="18" count="1" selected="0">
            <x v="19"/>
          </reference>
          <reference field="19" count="1">
            <x v="2"/>
          </reference>
        </references>
      </pivotArea>
    </format>
    <format dxfId="8489">
      <pivotArea dataOnly="0" labelOnly="1" outline="0" fieldPosition="0">
        <references count="4">
          <reference field="11" count="1" selected="0">
            <x v="230"/>
          </reference>
          <reference field="14" count="1" selected="0">
            <x v="13"/>
          </reference>
          <reference field="18" count="1" selected="0">
            <x v="19"/>
          </reference>
          <reference field="19" count="1">
            <x v="2"/>
          </reference>
        </references>
      </pivotArea>
    </format>
    <format dxfId="8488">
      <pivotArea dataOnly="0" labelOnly="1" outline="0" fieldPosition="0">
        <references count="4">
          <reference field="11" count="1" selected="0">
            <x v="231"/>
          </reference>
          <reference field="14" count="1" selected="0">
            <x v="96"/>
          </reference>
          <reference field="18" count="1" selected="0">
            <x v="19"/>
          </reference>
          <reference field="19" count="1">
            <x v="2"/>
          </reference>
        </references>
      </pivotArea>
    </format>
    <format dxfId="8487">
      <pivotArea dataOnly="0" labelOnly="1" outline="0" fieldPosition="0">
        <references count="4">
          <reference field="11" count="1" selected="0">
            <x v="232"/>
          </reference>
          <reference field="14" count="1" selected="0">
            <x v="411"/>
          </reference>
          <reference field="18" count="1" selected="0">
            <x v="19"/>
          </reference>
          <reference field="19" count="1">
            <x v="2"/>
          </reference>
        </references>
      </pivotArea>
    </format>
    <format dxfId="8486">
      <pivotArea dataOnly="0" labelOnly="1" outline="0" fieldPosition="0">
        <references count="4">
          <reference field="11" count="1" selected="0">
            <x v="233"/>
          </reference>
          <reference field="14" count="1" selected="0">
            <x v="449"/>
          </reference>
          <reference field="18" count="1" selected="0">
            <x v="19"/>
          </reference>
          <reference field="19" count="1">
            <x v="2"/>
          </reference>
        </references>
      </pivotArea>
    </format>
    <format dxfId="8485">
      <pivotArea dataOnly="0" labelOnly="1" outline="0" fieldPosition="0">
        <references count="4">
          <reference field="11" count="1" selected="0">
            <x v="234"/>
          </reference>
          <reference field="14" count="1" selected="0">
            <x v="277"/>
          </reference>
          <reference field="18" count="1" selected="0">
            <x v="0"/>
          </reference>
          <reference field="19" count="1">
            <x v="16"/>
          </reference>
        </references>
      </pivotArea>
    </format>
    <format dxfId="8484">
      <pivotArea dataOnly="0" labelOnly="1" outline="0" fieldPosition="0">
        <references count="4">
          <reference field="11" count="1" selected="0">
            <x v="235"/>
          </reference>
          <reference field="14" count="1" selected="0">
            <x v="272"/>
          </reference>
          <reference field="18" count="1" selected="0">
            <x v="0"/>
          </reference>
          <reference field="19" count="1">
            <x v="16"/>
          </reference>
        </references>
      </pivotArea>
    </format>
    <format dxfId="8483">
      <pivotArea dataOnly="0" labelOnly="1" outline="0" fieldPosition="0">
        <references count="4">
          <reference field="11" count="1" selected="0">
            <x v="236"/>
          </reference>
          <reference field="14" count="1" selected="0">
            <x v="403"/>
          </reference>
          <reference field="18" count="1" selected="0">
            <x v="0"/>
          </reference>
          <reference field="19" count="1">
            <x v="16"/>
          </reference>
        </references>
      </pivotArea>
    </format>
    <format dxfId="8482">
      <pivotArea dataOnly="0" labelOnly="1" outline="0" fieldPosition="0">
        <references count="4">
          <reference field="11" count="1" selected="0">
            <x v="236"/>
          </reference>
          <reference field="14" count="1" selected="0">
            <x v="403"/>
          </reference>
          <reference field="18" count="1" selected="0">
            <x v="2"/>
          </reference>
          <reference field="19" count="1">
            <x v="22"/>
          </reference>
        </references>
      </pivotArea>
    </format>
    <format dxfId="8481">
      <pivotArea dataOnly="0" labelOnly="1" outline="0" fieldPosition="0">
        <references count="4">
          <reference field="11" count="1" selected="0">
            <x v="237"/>
          </reference>
          <reference field="14" count="1" selected="0">
            <x v="377"/>
          </reference>
          <reference field="18" count="1" selected="0">
            <x v="19"/>
          </reference>
          <reference field="19" count="1">
            <x v="2"/>
          </reference>
        </references>
      </pivotArea>
    </format>
    <format dxfId="8480">
      <pivotArea dataOnly="0" labelOnly="1" outline="0" fieldPosition="0">
        <references count="4">
          <reference field="11" count="1" selected="0">
            <x v="238"/>
          </reference>
          <reference field="14" count="1" selected="0">
            <x v="339"/>
          </reference>
          <reference field="18" count="1" selected="0">
            <x v="0"/>
          </reference>
          <reference field="19" count="1">
            <x v="16"/>
          </reference>
        </references>
      </pivotArea>
    </format>
    <format dxfId="8479">
      <pivotArea dataOnly="0" labelOnly="1" outline="0" fieldPosition="0">
        <references count="4">
          <reference field="11" count="1" selected="0">
            <x v="239"/>
          </reference>
          <reference field="14" count="1" selected="0">
            <x v="61"/>
          </reference>
          <reference field="18" count="1" selected="0">
            <x v="0"/>
          </reference>
          <reference field="19" count="1">
            <x v="16"/>
          </reference>
        </references>
      </pivotArea>
    </format>
    <format dxfId="8478">
      <pivotArea dataOnly="0" labelOnly="1" outline="0" fieldPosition="0">
        <references count="4">
          <reference field="11" count="1" selected="0">
            <x v="239"/>
          </reference>
          <reference field="14" count="1" selected="0">
            <x v="61"/>
          </reference>
          <reference field="18" count="1" selected="0">
            <x v="2"/>
          </reference>
          <reference field="19" count="1">
            <x v="22"/>
          </reference>
        </references>
      </pivotArea>
    </format>
    <format dxfId="8477">
      <pivotArea dataOnly="0" labelOnly="1" outline="0" fieldPosition="0">
        <references count="4">
          <reference field="11" count="1" selected="0">
            <x v="240"/>
          </reference>
          <reference field="14" count="1" selected="0">
            <x v="201"/>
          </reference>
          <reference field="18" count="1" selected="0">
            <x v="7"/>
          </reference>
          <reference field="19" count="1">
            <x v="4"/>
          </reference>
        </references>
      </pivotArea>
    </format>
    <format dxfId="8476">
      <pivotArea dataOnly="0" labelOnly="1" outline="0" fieldPosition="0">
        <references count="4">
          <reference field="11" count="1" selected="0">
            <x v="241"/>
          </reference>
          <reference field="14" count="1" selected="0">
            <x v="262"/>
          </reference>
          <reference field="18" count="1" selected="0">
            <x v="2"/>
          </reference>
          <reference field="19" count="1">
            <x v="22"/>
          </reference>
        </references>
      </pivotArea>
    </format>
    <format dxfId="8475">
      <pivotArea dataOnly="0" labelOnly="1" outline="0" fieldPosition="0">
        <references count="4">
          <reference field="11" count="1" selected="0">
            <x v="242"/>
          </reference>
          <reference field="14" count="1" selected="0">
            <x v="91"/>
          </reference>
          <reference field="18" count="1" selected="0">
            <x v="3"/>
          </reference>
          <reference field="19" count="1">
            <x v="15"/>
          </reference>
        </references>
      </pivotArea>
    </format>
    <format dxfId="8474">
      <pivotArea dataOnly="0" labelOnly="1" outline="0" fieldPosition="0">
        <references count="4">
          <reference field="11" count="1" selected="0">
            <x v="243"/>
          </reference>
          <reference field="14" count="1" selected="0">
            <x v="264"/>
          </reference>
          <reference field="18" count="1" selected="0">
            <x v="2"/>
          </reference>
          <reference field="19" count="1">
            <x v="22"/>
          </reference>
        </references>
      </pivotArea>
    </format>
    <format dxfId="8473">
      <pivotArea dataOnly="0" labelOnly="1" outline="0" fieldPosition="0">
        <references count="4">
          <reference field="11" count="1" selected="0">
            <x v="244"/>
          </reference>
          <reference field="14" count="1" selected="0">
            <x v="222"/>
          </reference>
          <reference field="18" count="1" selected="0">
            <x v="2"/>
          </reference>
          <reference field="19" count="1">
            <x v="22"/>
          </reference>
        </references>
      </pivotArea>
    </format>
    <format dxfId="8472">
      <pivotArea dataOnly="0" labelOnly="1" outline="0" fieldPosition="0">
        <references count="4">
          <reference field="11" count="1" selected="0">
            <x v="245"/>
          </reference>
          <reference field="14" count="1" selected="0">
            <x v="131"/>
          </reference>
          <reference field="18" count="1" selected="0">
            <x v="2"/>
          </reference>
          <reference field="19" count="1">
            <x v="22"/>
          </reference>
        </references>
      </pivotArea>
    </format>
    <format dxfId="8471">
      <pivotArea dataOnly="0" labelOnly="1" outline="0" fieldPosition="0">
        <references count="4">
          <reference field="11" count="1" selected="0">
            <x v="246"/>
          </reference>
          <reference field="14" count="1" selected="0">
            <x v="418"/>
          </reference>
          <reference field="18" count="1" selected="0">
            <x v="2"/>
          </reference>
          <reference field="19" count="1">
            <x v="22"/>
          </reference>
        </references>
      </pivotArea>
    </format>
    <format dxfId="8470">
      <pivotArea dataOnly="0" labelOnly="1" outline="0" fieldPosition="0">
        <references count="4">
          <reference field="11" count="1" selected="0">
            <x v="247"/>
          </reference>
          <reference field="14" count="1" selected="0">
            <x v="406"/>
          </reference>
          <reference field="18" count="1" selected="0">
            <x v="2"/>
          </reference>
          <reference field="19" count="1">
            <x v="22"/>
          </reference>
        </references>
      </pivotArea>
    </format>
    <format dxfId="8469">
      <pivotArea dataOnly="0" labelOnly="1" outline="0" fieldPosition="0">
        <references count="4">
          <reference field="11" count="1" selected="0">
            <x v="248"/>
          </reference>
          <reference field="14" count="1" selected="0">
            <x v="404"/>
          </reference>
          <reference field="18" count="1" selected="0">
            <x v="2"/>
          </reference>
          <reference field="19" count="1">
            <x v="22"/>
          </reference>
        </references>
      </pivotArea>
    </format>
    <format dxfId="8468">
      <pivotArea dataOnly="0" labelOnly="1" outline="0" fieldPosition="0">
        <references count="4">
          <reference field="11" count="1" selected="0">
            <x v="249"/>
          </reference>
          <reference field="14" count="1" selected="0">
            <x v="402"/>
          </reference>
          <reference field="18" count="1" selected="0">
            <x v="2"/>
          </reference>
          <reference field="19" count="1">
            <x v="22"/>
          </reference>
        </references>
      </pivotArea>
    </format>
    <format dxfId="8467">
      <pivotArea dataOnly="0" labelOnly="1" outline="0" fieldPosition="0">
        <references count="4">
          <reference field="11" count="1" selected="0">
            <x v="250"/>
          </reference>
          <reference field="14" count="1" selected="0">
            <x v="128"/>
          </reference>
          <reference field="18" count="1" selected="0">
            <x v="2"/>
          </reference>
          <reference field="19" count="1">
            <x v="22"/>
          </reference>
        </references>
      </pivotArea>
    </format>
    <format dxfId="8466">
      <pivotArea dataOnly="0" labelOnly="1" outline="0" fieldPosition="0">
        <references count="4">
          <reference field="11" count="1" selected="0">
            <x v="251"/>
          </reference>
          <reference field="14" count="1" selected="0">
            <x v="405"/>
          </reference>
          <reference field="18" count="1" selected="0">
            <x v="2"/>
          </reference>
          <reference field="19" count="1">
            <x v="22"/>
          </reference>
        </references>
      </pivotArea>
    </format>
    <format dxfId="8465">
      <pivotArea dataOnly="0" labelOnly="1" outline="0" fieldPosition="0">
        <references count="4">
          <reference field="11" count="1" selected="0">
            <x v="252"/>
          </reference>
          <reference field="14" count="1" selected="0">
            <x v="86"/>
          </reference>
          <reference field="18" count="1" selected="0">
            <x v="1"/>
          </reference>
          <reference field="19" count="1">
            <x v="18"/>
          </reference>
        </references>
      </pivotArea>
    </format>
    <format dxfId="8464">
      <pivotArea dataOnly="0" labelOnly="1" outline="0" fieldPosition="0">
        <references count="4">
          <reference field="11" count="1" selected="0">
            <x v="253"/>
          </reference>
          <reference field="14" count="1" selected="0">
            <x v="136"/>
          </reference>
          <reference field="18" count="1" selected="0">
            <x v="4"/>
          </reference>
          <reference field="19" count="1">
            <x v="10"/>
          </reference>
        </references>
      </pivotArea>
    </format>
    <format dxfId="8463">
      <pivotArea dataOnly="0" labelOnly="1" outline="0" fieldPosition="0">
        <references count="4">
          <reference field="11" count="1" selected="0">
            <x v="254"/>
          </reference>
          <reference field="14" count="1" selected="0">
            <x v="181"/>
          </reference>
          <reference field="18" count="1" selected="0">
            <x v="14"/>
          </reference>
          <reference field="19" count="1">
            <x v="9"/>
          </reference>
        </references>
      </pivotArea>
    </format>
    <format dxfId="8462">
      <pivotArea dataOnly="0" labelOnly="1" outline="0" fieldPosition="0">
        <references count="4">
          <reference field="11" count="1" selected="0">
            <x v="255"/>
          </reference>
          <reference field="14" count="1" selected="0">
            <x v="263"/>
          </reference>
          <reference field="18" count="1" selected="0">
            <x v="2"/>
          </reference>
          <reference field="19" count="1">
            <x v="22"/>
          </reference>
        </references>
      </pivotArea>
    </format>
    <format dxfId="8461">
      <pivotArea dataOnly="0" labelOnly="1" outline="0" fieldPosition="0">
        <references count="4">
          <reference field="11" count="1" selected="0">
            <x v="256"/>
          </reference>
          <reference field="14" count="1" selected="0">
            <x v="133"/>
          </reference>
          <reference field="18" count="1" selected="0">
            <x v="2"/>
          </reference>
          <reference field="19" count="1">
            <x v="22"/>
          </reference>
        </references>
      </pivotArea>
    </format>
    <format dxfId="8460">
      <pivotArea dataOnly="0" labelOnly="1" outline="0" fieldPosition="0">
        <references count="4">
          <reference field="11" count="1" selected="0">
            <x v="257"/>
          </reference>
          <reference field="14" count="1" selected="0">
            <x v="187"/>
          </reference>
          <reference field="18" count="1" selected="0">
            <x v="2"/>
          </reference>
          <reference field="19" count="1">
            <x v="22"/>
          </reference>
        </references>
      </pivotArea>
    </format>
    <format dxfId="8459">
      <pivotArea dataOnly="0" labelOnly="1" outline="0" fieldPosition="0">
        <references count="4">
          <reference field="11" count="1" selected="0">
            <x v="258"/>
          </reference>
          <reference field="14" count="1" selected="0">
            <x v="417"/>
          </reference>
          <reference field="18" count="1" selected="0">
            <x v="0"/>
          </reference>
          <reference field="19" count="1">
            <x v="16"/>
          </reference>
        </references>
      </pivotArea>
    </format>
    <format dxfId="8458">
      <pivotArea dataOnly="0" labelOnly="1" outline="0" fieldPosition="0">
        <references count="4">
          <reference field="11" count="1" selected="0">
            <x v="259"/>
          </reference>
          <reference field="14" count="1" selected="0">
            <x v="371"/>
          </reference>
          <reference field="18" count="1" selected="0">
            <x v="16"/>
          </reference>
          <reference field="19" count="1">
            <x v="24"/>
          </reference>
        </references>
      </pivotArea>
    </format>
    <format dxfId="8457">
      <pivotArea dataOnly="0" labelOnly="1" outline="0" fieldPosition="0">
        <references count="4">
          <reference field="11" count="1" selected="0">
            <x v="260"/>
          </reference>
          <reference field="14" count="1" selected="0">
            <x v="157"/>
          </reference>
          <reference field="18" count="1" selected="0">
            <x v="2"/>
          </reference>
          <reference field="19" count="1">
            <x v="22"/>
          </reference>
        </references>
      </pivotArea>
    </format>
    <format dxfId="8456">
      <pivotArea dataOnly="0" labelOnly="1" outline="0" fieldPosition="0">
        <references count="4">
          <reference field="11" count="1" selected="0">
            <x v="261"/>
          </reference>
          <reference field="14" count="1" selected="0">
            <x v="223"/>
          </reference>
          <reference field="18" count="1" selected="0">
            <x v="0"/>
          </reference>
          <reference field="19" count="1">
            <x v="16"/>
          </reference>
        </references>
      </pivotArea>
    </format>
    <format dxfId="8455">
      <pivotArea dataOnly="0" labelOnly="1" outline="0" fieldPosition="0">
        <references count="4">
          <reference field="11" count="1" selected="0">
            <x v="261"/>
          </reference>
          <reference field="14" count="1" selected="0">
            <x v="223"/>
          </reference>
          <reference field="18" count="1" selected="0">
            <x v="2"/>
          </reference>
          <reference field="19" count="1">
            <x v="22"/>
          </reference>
        </references>
      </pivotArea>
    </format>
    <format dxfId="8454">
      <pivotArea dataOnly="0" labelOnly="1" outline="0" fieldPosition="0">
        <references count="4">
          <reference field="11" count="1" selected="0">
            <x v="262"/>
          </reference>
          <reference field="14" count="1" selected="0">
            <x v="311"/>
          </reference>
          <reference field="18" count="1" selected="0">
            <x v="19"/>
          </reference>
          <reference field="19" count="1">
            <x v="2"/>
          </reference>
        </references>
      </pivotArea>
    </format>
    <format dxfId="8453">
      <pivotArea dataOnly="0" labelOnly="1" outline="0" fieldPosition="0">
        <references count="4">
          <reference field="11" count="1" selected="0">
            <x v="263"/>
          </reference>
          <reference field="14" count="1" selected="0">
            <x v="114"/>
          </reference>
          <reference field="18" count="1" selected="0">
            <x v="6"/>
          </reference>
          <reference field="19" count="1">
            <x v="23"/>
          </reference>
        </references>
      </pivotArea>
    </format>
    <format dxfId="8452">
      <pivotArea dataOnly="0" labelOnly="1" outline="0" fieldPosition="0">
        <references count="4">
          <reference field="11" count="1" selected="0">
            <x v="264"/>
          </reference>
          <reference field="14" count="1" selected="0">
            <x v="154"/>
          </reference>
          <reference field="18" count="1" selected="0">
            <x v="2"/>
          </reference>
          <reference field="19" count="1">
            <x v="22"/>
          </reference>
        </references>
      </pivotArea>
    </format>
    <format dxfId="8451">
      <pivotArea dataOnly="0" labelOnly="1" outline="0" fieldPosition="0">
        <references count="4">
          <reference field="11" count="1" selected="0">
            <x v="265"/>
          </reference>
          <reference field="14" count="1" selected="0">
            <x v="166"/>
          </reference>
          <reference field="18" count="1" selected="0">
            <x v="2"/>
          </reference>
          <reference field="19" count="1">
            <x v="22"/>
          </reference>
        </references>
      </pivotArea>
    </format>
    <format dxfId="8450">
      <pivotArea dataOnly="0" labelOnly="1" outline="0" fieldPosition="0">
        <references count="4">
          <reference field="11" count="1" selected="0">
            <x v="266"/>
          </reference>
          <reference field="14" count="1" selected="0">
            <x v="152"/>
          </reference>
          <reference field="18" count="1" selected="0">
            <x v="2"/>
          </reference>
          <reference field="19" count="1">
            <x v="22"/>
          </reference>
        </references>
      </pivotArea>
    </format>
    <format dxfId="8449">
      <pivotArea dataOnly="0" labelOnly="1" outline="0" fieldPosition="0">
        <references count="4">
          <reference field="11" count="1" selected="0">
            <x v="267"/>
          </reference>
          <reference field="14" count="1" selected="0">
            <x v="374"/>
          </reference>
          <reference field="18" count="1" selected="0">
            <x v="0"/>
          </reference>
          <reference field="19" count="1">
            <x v="16"/>
          </reference>
        </references>
      </pivotArea>
    </format>
    <format dxfId="8448">
      <pivotArea dataOnly="0" labelOnly="1" outline="0" fieldPosition="0">
        <references count="4">
          <reference field="11" count="1" selected="0">
            <x v="267"/>
          </reference>
          <reference field="14" count="1" selected="0">
            <x v="374"/>
          </reference>
          <reference field="18" count="1" selected="0">
            <x v="2"/>
          </reference>
          <reference field="19" count="1">
            <x v="22"/>
          </reference>
        </references>
      </pivotArea>
    </format>
    <format dxfId="8447">
      <pivotArea dataOnly="0" labelOnly="1" outline="0" fieldPosition="0">
        <references count="4">
          <reference field="11" count="1" selected="0">
            <x v="268"/>
          </reference>
          <reference field="14" count="1" selected="0">
            <x v="353"/>
          </reference>
          <reference field="18" count="1" selected="0">
            <x v="2"/>
          </reference>
          <reference field="19" count="1">
            <x v="22"/>
          </reference>
        </references>
      </pivotArea>
    </format>
    <format dxfId="8446">
      <pivotArea dataOnly="0" labelOnly="1" outline="0" fieldPosition="0">
        <references count="4">
          <reference field="11" count="1" selected="0">
            <x v="269"/>
          </reference>
          <reference field="14" count="1" selected="0">
            <x v="124"/>
          </reference>
          <reference field="18" count="1" selected="0">
            <x v="4"/>
          </reference>
          <reference field="19" count="1">
            <x v="10"/>
          </reference>
        </references>
      </pivotArea>
    </format>
    <format dxfId="8445">
      <pivotArea dataOnly="0" labelOnly="1" outline="0" fieldPosition="0">
        <references count="4">
          <reference field="11" count="1" selected="0">
            <x v="270"/>
          </reference>
          <reference field="14" count="1" selected="0">
            <x v="126"/>
          </reference>
          <reference field="18" count="1" selected="0">
            <x v="2"/>
          </reference>
          <reference field="19" count="1">
            <x v="22"/>
          </reference>
        </references>
      </pivotArea>
    </format>
    <format dxfId="8444">
      <pivotArea dataOnly="0" labelOnly="1" outline="0" fieldPosition="0">
        <references count="4">
          <reference field="11" count="1" selected="0">
            <x v="271"/>
          </reference>
          <reference field="14" count="1" selected="0">
            <x v="239"/>
          </reference>
          <reference field="18" count="1" selected="0">
            <x v="19"/>
          </reference>
          <reference field="19" count="1">
            <x v="2"/>
          </reference>
        </references>
      </pivotArea>
    </format>
    <format dxfId="8443">
      <pivotArea dataOnly="0" labelOnly="1" outline="0" fieldPosition="0">
        <references count="4">
          <reference field="11" count="1" selected="0">
            <x v="272"/>
          </reference>
          <reference field="14" count="1" selected="0">
            <x v="42"/>
          </reference>
          <reference field="18" count="1" selected="0">
            <x v="2"/>
          </reference>
          <reference field="19" count="1">
            <x v="22"/>
          </reference>
        </references>
      </pivotArea>
    </format>
    <format dxfId="8442">
      <pivotArea dataOnly="0" labelOnly="1" outline="0" fieldPosition="0">
        <references count="4">
          <reference field="11" count="1" selected="0">
            <x v="273"/>
          </reference>
          <reference field="14" count="1" selected="0">
            <x v="342"/>
          </reference>
          <reference field="18" count="1" selected="0">
            <x v="1"/>
          </reference>
          <reference field="19" count="1">
            <x v="18"/>
          </reference>
        </references>
      </pivotArea>
    </format>
    <format dxfId="8441">
      <pivotArea dataOnly="0" labelOnly="1" outline="0" fieldPosition="0">
        <references count="4">
          <reference field="11" count="1" selected="0">
            <x v="274"/>
          </reference>
          <reference field="14" count="1" selected="0">
            <x v="372"/>
          </reference>
          <reference field="18" count="1" selected="0">
            <x v="15"/>
          </reference>
          <reference field="19" count="1">
            <x v="25"/>
          </reference>
        </references>
      </pivotArea>
    </format>
    <format dxfId="8440">
      <pivotArea dataOnly="0" labelOnly="1" outline="0" fieldPosition="0">
        <references count="4">
          <reference field="11" count="1" selected="0">
            <x v="275"/>
          </reference>
          <reference field="14" count="1" selected="0">
            <x v="51"/>
          </reference>
          <reference field="18" count="1" selected="0">
            <x v="4"/>
          </reference>
          <reference field="19" count="1">
            <x v="10"/>
          </reference>
        </references>
      </pivotArea>
    </format>
    <format dxfId="8439">
      <pivotArea dataOnly="0" labelOnly="1" outline="0" fieldPosition="0">
        <references count="4">
          <reference field="11" count="1" selected="0">
            <x v="276"/>
          </reference>
          <reference field="14" count="1" selected="0">
            <x v="290"/>
          </reference>
          <reference field="18" count="1" selected="0">
            <x v="0"/>
          </reference>
          <reference field="19" count="1">
            <x v="16"/>
          </reference>
        </references>
      </pivotArea>
    </format>
    <format dxfId="8438">
      <pivotArea dataOnly="0" labelOnly="1" outline="0" fieldPosition="0">
        <references count="4">
          <reference field="11" count="1" selected="0">
            <x v="277"/>
          </reference>
          <reference field="14" count="1" selected="0">
            <x v="180"/>
          </reference>
          <reference field="18" count="1" selected="0">
            <x v="16"/>
          </reference>
          <reference field="19" count="1">
            <x v="24"/>
          </reference>
        </references>
      </pivotArea>
    </format>
    <format dxfId="8437">
      <pivotArea dataOnly="0" labelOnly="1" outline="0" fieldPosition="0">
        <references count="4">
          <reference field="11" count="1" selected="0">
            <x v="278"/>
          </reference>
          <reference field="14" count="1" selected="0">
            <x v="164"/>
          </reference>
          <reference field="18" count="1" selected="0">
            <x v="2"/>
          </reference>
          <reference field="19" count="1">
            <x v="22"/>
          </reference>
        </references>
      </pivotArea>
    </format>
    <format dxfId="8436">
      <pivotArea dataOnly="0" labelOnly="1" outline="0" fieldPosition="0">
        <references count="4">
          <reference field="11" count="1" selected="0">
            <x v="279"/>
          </reference>
          <reference field="14" count="1" selected="0">
            <x v="153"/>
          </reference>
          <reference field="18" count="1" selected="0">
            <x v="2"/>
          </reference>
          <reference field="19" count="1">
            <x v="22"/>
          </reference>
        </references>
      </pivotArea>
    </format>
    <format dxfId="8435">
      <pivotArea dataOnly="0" labelOnly="1" outline="0" fieldPosition="0">
        <references count="4">
          <reference field="11" count="1" selected="0">
            <x v="280"/>
          </reference>
          <reference field="14" count="1" selected="0">
            <x v="373"/>
          </reference>
          <reference field="18" count="1" selected="0">
            <x v="1"/>
          </reference>
          <reference field="19" count="1">
            <x v="18"/>
          </reference>
        </references>
      </pivotArea>
    </format>
    <format dxfId="8434">
      <pivotArea dataOnly="0" labelOnly="1" outline="0" fieldPosition="0">
        <references count="4">
          <reference field="11" count="1" selected="0">
            <x v="280"/>
          </reference>
          <reference field="14" count="1" selected="0">
            <x v="373"/>
          </reference>
          <reference field="18" count="1" selected="0">
            <x v="11"/>
          </reference>
          <reference field="19" count="1">
            <x v="20"/>
          </reference>
        </references>
      </pivotArea>
    </format>
    <format dxfId="8433">
      <pivotArea dataOnly="0" labelOnly="1" outline="0" fieldPosition="0">
        <references count="4">
          <reference field="11" count="1" selected="0">
            <x v="281"/>
          </reference>
          <reference field="14" count="1" selected="0">
            <x v="165"/>
          </reference>
          <reference field="18" count="1" selected="0">
            <x v="2"/>
          </reference>
          <reference field="19" count="1">
            <x v="22"/>
          </reference>
        </references>
      </pivotArea>
    </format>
    <format dxfId="8432">
      <pivotArea dataOnly="0" labelOnly="1" outline="0" fieldPosition="0">
        <references count="4">
          <reference field="11" count="1" selected="0">
            <x v="282"/>
          </reference>
          <reference field="14" count="1" selected="0">
            <x v="357"/>
          </reference>
          <reference field="18" count="1" selected="0">
            <x v="0"/>
          </reference>
          <reference field="19" count="1">
            <x v="16"/>
          </reference>
        </references>
      </pivotArea>
    </format>
    <format dxfId="8431">
      <pivotArea dataOnly="0" labelOnly="1" outline="0" fieldPosition="0">
        <references count="4">
          <reference field="11" count="1" selected="0">
            <x v="283"/>
          </reference>
          <reference field="14" count="1" selected="0">
            <x v="162"/>
          </reference>
          <reference field="18" count="1" selected="0">
            <x v="2"/>
          </reference>
          <reference field="19" count="1">
            <x v="22"/>
          </reference>
        </references>
      </pivotArea>
    </format>
    <format dxfId="8430">
      <pivotArea dataOnly="0" labelOnly="1" outline="0" fieldPosition="0">
        <references count="4">
          <reference field="11" count="1" selected="0">
            <x v="284"/>
          </reference>
          <reference field="14" count="1" selected="0">
            <x v="149"/>
          </reference>
          <reference field="18" count="1" selected="0">
            <x v="14"/>
          </reference>
          <reference field="19" count="1">
            <x v="9"/>
          </reference>
        </references>
      </pivotArea>
    </format>
    <format dxfId="8429">
      <pivotArea dataOnly="0" labelOnly="1" outline="0" fieldPosition="0">
        <references count="4">
          <reference field="11" count="1" selected="0">
            <x v="285"/>
          </reference>
          <reference field="14" count="1" selected="0">
            <x v="365"/>
          </reference>
          <reference field="18" count="1" selected="0">
            <x v="3"/>
          </reference>
          <reference field="19" count="1">
            <x v="15"/>
          </reference>
        </references>
      </pivotArea>
    </format>
    <format dxfId="8428">
      <pivotArea dataOnly="0" labelOnly="1" outline="0" fieldPosition="0">
        <references count="4">
          <reference field="11" count="1" selected="0">
            <x v="286"/>
          </reference>
          <reference field="14" count="1" selected="0">
            <x v="217"/>
          </reference>
          <reference field="18" count="1" selected="0">
            <x v="14"/>
          </reference>
          <reference field="19" count="1">
            <x v="9"/>
          </reference>
        </references>
      </pivotArea>
    </format>
    <format dxfId="8427">
      <pivotArea dataOnly="0" labelOnly="1" outline="0" fieldPosition="0">
        <references count="4">
          <reference field="11" count="1" selected="0">
            <x v="287"/>
          </reference>
          <reference field="14" count="1" selected="0">
            <x v="197"/>
          </reference>
          <reference field="18" count="1" selected="0">
            <x v="2"/>
          </reference>
          <reference field="19" count="1">
            <x v="22"/>
          </reference>
        </references>
      </pivotArea>
    </format>
    <format dxfId="8426">
      <pivotArea dataOnly="0" labelOnly="1" outline="0" fieldPosition="0">
        <references count="4">
          <reference field="11" count="1" selected="0">
            <x v="288"/>
          </reference>
          <reference field="14" count="1" selected="0">
            <x v="389"/>
          </reference>
          <reference field="18" count="1" selected="0">
            <x v="2"/>
          </reference>
          <reference field="19" count="1">
            <x v="22"/>
          </reference>
        </references>
      </pivotArea>
    </format>
    <format dxfId="8425">
      <pivotArea dataOnly="0" labelOnly="1" outline="0" fieldPosition="0">
        <references count="4">
          <reference field="11" count="1" selected="0">
            <x v="289"/>
          </reference>
          <reference field="14" count="1" selected="0">
            <x v="171"/>
          </reference>
          <reference field="18" count="1" selected="0">
            <x v="2"/>
          </reference>
          <reference field="19" count="1">
            <x v="22"/>
          </reference>
        </references>
      </pivotArea>
    </format>
    <format dxfId="8424">
      <pivotArea dataOnly="0" labelOnly="1" outline="0" fieldPosition="0">
        <references count="4">
          <reference field="11" count="1" selected="0">
            <x v="290"/>
          </reference>
          <reference field="14" count="1" selected="0">
            <x v="183"/>
          </reference>
          <reference field="18" count="1" selected="0">
            <x v="3"/>
          </reference>
          <reference field="19" count="1">
            <x v="15"/>
          </reference>
        </references>
      </pivotArea>
    </format>
    <format dxfId="8423">
      <pivotArea dataOnly="0" labelOnly="1" outline="0" fieldPosition="0">
        <references count="4">
          <reference field="11" count="1" selected="0">
            <x v="290"/>
          </reference>
          <reference field="14" count="1" selected="0">
            <x v="183"/>
          </reference>
          <reference field="18" count="1" selected="0">
            <x v="6"/>
          </reference>
          <reference field="19" count="1">
            <x v="23"/>
          </reference>
        </references>
      </pivotArea>
    </format>
    <format dxfId="8422">
      <pivotArea dataOnly="0" labelOnly="1" outline="0" fieldPosition="0">
        <references count="4">
          <reference field="11" count="1" selected="0">
            <x v="291"/>
          </reference>
          <reference field="14" count="1" selected="0">
            <x v="3"/>
          </reference>
          <reference field="18" count="1" selected="0">
            <x v="2"/>
          </reference>
          <reference field="19" count="1">
            <x v="22"/>
          </reference>
        </references>
      </pivotArea>
    </format>
    <format dxfId="8421">
      <pivotArea dataOnly="0" labelOnly="1" outline="0" fieldPosition="0">
        <references count="4">
          <reference field="11" count="1" selected="0">
            <x v="292"/>
          </reference>
          <reference field="14" count="1" selected="0">
            <x v="172"/>
          </reference>
          <reference field="18" count="1" selected="0">
            <x v="2"/>
          </reference>
          <reference field="19" count="1">
            <x v="22"/>
          </reference>
        </references>
      </pivotArea>
    </format>
    <format dxfId="8420">
      <pivotArea dataOnly="0" labelOnly="1" outline="0" fieldPosition="0">
        <references count="4">
          <reference field="11" count="1" selected="0">
            <x v="293"/>
          </reference>
          <reference field="14" count="1" selected="0">
            <x v="168"/>
          </reference>
          <reference field="18" count="1" selected="0">
            <x v="14"/>
          </reference>
          <reference field="19" count="1">
            <x v="9"/>
          </reference>
        </references>
      </pivotArea>
    </format>
    <format dxfId="8419">
      <pivotArea dataOnly="0" labelOnly="1" outline="0" fieldPosition="0">
        <references count="4">
          <reference field="11" count="1" selected="0">
            <x v="294"/>
          </reference>
          <reference field="14" count="1" selected="0">
            <x v="67"/>
          </reference>
          <reference field="18" count="1" selected="0">
            <x v="0"/>
          </reference>
          <reference field="19" count="1">
            <x v="16"/>
          </reference>
        </references>
      </pivotArea>
    </format>
    <format dxfId="8418">
      <pivotArea dataOnly="0" labelOnly="1" outline="0" fieldPosition="0">
        <references count="4">
          <reference field="11" count="1" selected="0">
            <x v="295"/>
          </reference>
          <reference field="14" count="1" selected="0">
            <x v="64"/>
          </reference>
          <reference field="18" count="1" selected="0">
            <x v="1"/>
          </reference>
          <reference field="19" count="1">
            <x v="18"/>
          </reference>
        </references>
      </pivotArea>
    </format>
    <format dxfId="8417">
      <pivotArea dataOnly="0" labelOnly="1" outline="0" fieldPosition="0">
        <references count="4">
          <reference field="11" count="1" selected="0">
            <x v="296"/>
          </reference>
          <reference field="14" count="1" selected="0">
            <x v="143"/>
          </reference>
          <reference field="18" count="1" selected="0">
            <x v="3"/>
          </reference>
          <reference field="19" count="1">
            <x v="15"/>
          </reference>
        </references>
      </pivotArea>
    </format>
    <format dxfId="8416">
      <pivotArea dataOnly="0" labelOnly="1" outline="0" fieldPosition="0">
        <references count="4">
          <reference field="11" count="1" selected="0">
            <x v="297"/>
          </reference>
          <reference field="14" count="1" selected="0">
            <x v="34"/>
          </reference>
          <reference field="18" count="1" selected="0">
            <x v="20"/>
          </reference>
          <reference field="19" count="1">
            <x v="19"/>
          </reference>
        </references>
      </pivotArea>
    </format>
    <format dxfId="8415">
      <pivotArea dataOnly="0" labelOnly="1" outline="0" fieldPosition="0">
        <references count="4">
          <reference field="11" count="1" selected="0">
            <x v="298"/>
          </reference>
          <reference field="14" count="1" selected="0">
            <x v="310"/>
          </reference>
          <reference field="18" count="1" selected="0">
            <x v="19"/>
          </reference>
          <reference field="19" count="1">
            <x v="2"/>
          </reference>
        </references>
      </pivotArea>
    </format>
    <format dxfId="8414">
      <pivotArea dataOnly="0" labelOnly="1" outline="0" fieldPosition="0">
        <references count="4">
          <reference field="11" count="1" selected="0">
            <x v="299"/>
          </reference>
          <reference field="14" count="1" selected="0">
            <x v="129"/>
          </reference>
          <reference field="18" count="1" selected="0">
            <x v="2"/>
          </reference>
          <reference field="19" count="1">
            <x v="22"/>
          </reference>
        </references>
      </pivotArea>
    </format>
    <format dxfId="8413">
      <pivotArea dataOnly="0" labelOnly="1" outline="0" fieldPosition="0">
        <references count="4">
          <reference field="11" count="1" selected="0">
            <x v="300"/>
          </reference>
          <reference field="14" count="1" selected="0">
            <x v="393"/>
          </reference>
          <reference field="18" count="1" selected="0">
            <x v="2"/>
          </reference>
          <reference field="19" count="1">
            <x v="22"/>
          </reference>
        </references>
      </pivotArea>
    </format>
    <format dxfId="8412">
      <pivotArea dataOnly="0" labelOnly="1" outline="0" fieldPosition="0">
        <references count="4">
          <reference field="11" count="1" selected="0">
            <x v="301"/>
          </reference>
          <reference field="14" count="1" selected="0">
            <x v="100"/>
          </reference>
          <reference field="18" count="1" selected="0">
            <x v="0"/>
          </reference>
          <reference field="19" count="1">
            <x v="16"/>
          </reference>
        </references>
      </pivotArea>
    </format>
    <format dxfId="8411">
      <pivotArea dataOnly="0" labelOnly="1" outline="0" fieldPosition="0">
        <references count="4">
          <reference field="11" count="1" selected="0">
            <x v="302"/>
          </reference>
          <reference field="14" count="1" selected="0">
            <x v="62"/>
          </reference>
          <reference field="18" count="1" selected="0">
            <x v="0"/>
          </reference>
          <reference field="19" count="1">
            <x v="16"/>
          </reference>
        </references>
      </pivotArea>
    </format>
    <format dxfId="8410">
      <pivotArea dataOnly="0" labelOnly="1" outline="0" fieldPosition="0">
        <references count="4">
          <reference field="11" count="1" selected="0">
            <x v="302"/>
          </reference>
          <reference field="14" count="1" selected="0">
            <x v="62"/>
          </reference>
          <reference field="18" count="1" selected="0">
            <x v="2"/>
          </reference>
          <reference field="19" count="1">
            <x v="22"/>
          </reference>
        </references>
      </pivotArea>
    </format>
    <format dxfId="8409">
      <pivotArea dataOnly="0" labelOnly="1" outline="0" fieldPosition="0">
        <references count="4">
          <reference field="11" count="1" selected="0">
            <x v="303"/>
          </reference>
          <reference field="14" count="1" selected="0">
            <x v="122"/>
          </reference>
          <reference field="18" count="1" selected="0">
            <x v="2"/>
          </reference>
          <reference field="19" count="1">
            <x v="22"/>
          </reference>
        </references>
      </pivotArea>
    </format>
    <format dxfId="8408">
      <pivotArea dataOnly="0" labelOnly="1" outline="0" fieldPosition="0">
        <references count="4">
          <reference field="11" count="1" selected="0">
            <x v="304"/>
          </reference>
          <reference field="14" count="1" selected="0">
            <x v="464"/>
          </reference>
          <reference field="18" count="1" selected="0">
            <x v="0"/>
          </reference>
          <reference field="19" count="1">
            <x v="16"/>
          </reference>
        </references>
      </pivotArea>
    </format>
    <format dxfId="8407">
      <pivotArea dataOnly="0" labelOnly="1" outline="0" fieldPosition="0">
        <references count="4">
          <reference field="11" count="1" selected="0">
            <x v="304"/>
          </reference>
          <reference field="14" count="1" selected="0">
            <x v="464"/>
          </reference>
          <reference field="18" count="1" selected="0">
            <x v="2"/>
          </reference>
          <reference field="19" count="1">
            <x v="22"/>
          </reference>
        </references>
      </pivotArea>
    </format>
    <format dxfId="8406">
      <pivotArea dataOnly="0" labelOnly="1" outline="0" fieldPosition="0">
        <references count="4">
          <reference field="11" count="1" selected="0">
            <x v="305"/>
          </reference>
          <reference field="14" count="1" selected="0">
            <x v="121"/>
          </reference>
          <reference field="18" count="1" selected="0">
            <x v="2"/>
          </reference>
          <reference field="19" count="1">
            <x v="22"/>
          </reference>
        </references>
      </pivotArea>
    </format>
    <format dxfId="8405">
      <pivotArea dataOnly="0" labelOnly="1" outline="0" fieldPosition="0">
        <references count="4">
          <reference field="11" count="1" selected="0">
            <x v="306"/>
          </reference>
          <reference field="14" count="1" selected="0">
            <x v="178"/>
          </reference>
          <reference field="18" count="1" selected="0">
            <x v="6"/>
          </reference>
          <reference field="19" count="1">
            <x v="23"/>
          </reference>
        </references>
      </pivotArea>
    </format>
    <format dxfId="8404">
      <pivotArea dataOnly="0" labelOnly="1" outline="0" fieldPosition="0">
        <references count="4">
          <reference field="11" count="1" selected="0">
            <x v="307"/>
          </reference>
          <reference field="14" count="1" selected="0">
            <x v="120"/>
          </reference>
          <reference field="18" count="1" selected="0">
            <x v="2"/>
          </reference>
          <reference field="19" count="1">
            <x v="22"/>
          </reference>
        </references>
      </pivotArea>
    </format>
    <format dxfId="8403">
      <pivotArea dataOnly="0" labelOnly="1" outline="0" fieldPosition="0">
        <references count="4">
          <reference field="11" count="1" selected="0">
            <x v="308"/>
          </reference>
          <reference field="14" count="1" selected="0">
            <x v="127"/>
          </reference>
          <reference field="18" count="1" selected="0">
            <x v="0"/>
          </reference>
          <reference field="19" count="1">
            <x v="16"/>
          </reference>
        </references>
      </pivotArea>
    </format>
    <format dxfId="8402">
      <pivotArea dataOnly="0" labelOnly="1" outline="0" fieldPosition="0">
        <references count="4">
          <reference field="11" count="1" selected="0">
            <x v="308"/>
          </reference>
          <reference field="14" count="1" selected="0">
            <x v="127"/>
          </reference>
          <reference field="18" count="1" selected="0">
            <x v="2"/>
          </reference>
          <reference field="19" count="1">
            <x v="22"/>
          </reference>
        </references>
      </pivotArea>
    </format>
    <format dxfId="8401">
      <pivotArea dataOnly="0" labelOnly="1" outline="0" fieldPosition="0">
        <references count="4">
          <reference field="11" count="1" selected="0">
            <x v="308"/>
          </reference>
          <reference field="14" count="1" selected="0">
            <x v="127"/>
          </reference>
          <reference field="18" count="1" selected="0">
            <x v="12"/>
          </reference>
          <reference field="19" count="1">
            <x v="13"/>
          </reference>
        </references>
      </pivotArea>
    </format>
    <format dxfId="8400">
      <pivotArea dataOnly="0" labelOnly="1" outline="0" fieldPosition="0">
        <references count="4">
          <reference field="11" count="1" selected="0">
            <x v="309"/>
          </reference>
          <reference field="14" count="1" selected="0">
            <x v="316"/>
          </reference>
          <reference field="18" count="1" selected="0">
            <x v="0"/>
          </reference>
          <reference field="19" count="1">
            <x v="16"/>
          </reference>
        </references>
      </pivotArea>
    </format>
    <format dxfId="8399">
      <pivotArea dataOnly="0" labelOnly="1" outline="0" fieldPosition="0">
        <references count="4">
          <reference field="11" count="1" selected="0">
            <x v="310"/>
          </reference>
          <reference field="14" count="1" selected="0">
            <x v="376"/>
          </reference>
          <reference field="18" count="1" selected="0">
            <x v="2"/>
          </reference>
          <reference field="19" count="1">
            <x v="22"/>
          </reference>
        </references>
      </pivotArea>
    </format>
    <format dxfId="8398">
      <pivotArea dataOnly="0" labelOnly="1" outline="0" fieldPosition="0">
        <references count="4">
          <reference field="11" count="1" selected="0">
            <x v="311"/>
          </reference>
          <reference field="14" count="1" selected="0">
            <x v="302"/>
          </reference>
          <reference field="18" count="1" selected="0">
            <x v="6"/>
          </reference>
          <reference field="19" count="1">
            <x v="23"/>
          </reference>
        </references>
      </pivotArea>
    </format>
    <format dxfId="8397">
      <pivotArea dataOnly="0" labelOnly="1" outline="0" fieldPosition="0">
        <references count="4">
          <reference field="11" count="1" selected="0">
            <x v="311"/>
          </reference>
          <reference field="14" count="1" selected="0">
            <x v="302"/>
          </reference>
          <reference field="18" count="1" selected="0">
            <x v="27"/>
          </reference>
          <reference field="19" count="1">
            <x v="17"/>
          </reference>
        </references>
      </pivotArea>
    </format>
    <format dxfId="8396">
      <pivotArea dataOnly="0" labelOnly="1" outline="0" fieldPosition="0">
        <references count="4">
          <reference field="11" count="1" selected="0">
            <x v="312"/>
          </reference>
          <reference field="14" count="1" selected="0">
            <x v="130"/>
          </reference>
          <reference field="18" count="1" selected="0">
            <x v="0"/>
          </reference>
          <reference field="19" count="1">
            <x v="16"/>
          </reference>
        </references>
      </pivotArea>
    </format>
    <format dxfId="8395">
      <pivotArea dataOnly="0" labelOnly="1" outline="0" fieldPosition="0">
        <references count="4">
          <reference field="11" count="1" selected="0">
            <x v="312"/>
          </reference>
          <reference field="14" count="1" selected="0">
            <x v="130"/>
          </reference>
          <reference field="18" count="1" selected="0">
            <x v="14"/>
          </reference>
          <reference field="19" count="1">
            <x v="9"/>
          </reference>
        </references>
      </pivotArea>
    </format>
    <format dxfId="8394">
      <pivotArea dataOnly="0" labelOnly="1" outline="0" fieldPosition="0">
        <references count="4">
          <reference field="11" count="1" selected="0">
            <x v="313"/>
          </reference>
          <reference field="14" count="1" selected="0">
            <x v="123"/>
          </reference>
          <reference field="18" count="1" selected="0">
            <x v="7"/>
          </reference>
          <reference field="19" count="1">
            <x v="4"/>
          </reference>
        </references>
      </pivotArea>
    </format>
    <format dxfId="8393">
      <pivotArea dataOnly="0" labelOnly="1" outline="0" fieldPosition="0">
        <references count="4">
          <reference field="11" count="1" selected="0">
            <x v="314"/>
          </reference>
          <reference field="14" count="1" selected="0">
            <x v="8"/>
          </reference>
          <reference field="18" count="1" selected="0">
            <x v="2"/>
          </reference>
          <reference field="19" count="1">
            <x v="22"/>
          </reference>
        </references>
      </pivotArea>
    </format>
    <format dxfId="8392">
      <pivotArea dataOnly="0" labelOnly="1" outline="0" fieldPosition="0">
        <references count="4">
          <reference field="11" count="1" selected="0">
            <x v="315"/>
          </reference>
          <reference field="14" count="1" selected="0">
            <x v="247"/>
          </reference>
          <reference field="18" count="1" selected="0">
            <x v="14"/>
          </reference>
          <reference field="19" count="1">
            <x v="9"/>
          </reference>
        </references>
      </pivotArea>
    </format>
    <format dxfId="8391">
      <pivotArea dataOnly="0" labelOnly="1" outline="0" fieldPosition="0">
        <references count="4">
          <reference field="11" count="1" selected="0">
            <x v="316"/>
          </reference>
          <reference field="14" count="1" selected="0">
            <x v="44"/>
          </reference>
          <reference field="18" count="1" selected="0">
            <x v="0"/>
          </reference>
          <reference field="19" count="1">
            <x v="16"/>
          </reference>
        </references>
      </pivotArea>
    </format>
    <format dxfId="8390">
      <pivotArea dataOnly="0" labelOnly="1" outline="0" fieldPosition="0">
        <references count="4">
          <reference field="11" count="1" selected="0">
            <x v="317"/>
          </reference>
          <reference field="14" count="1" selected="0">
            <x v="70"/>
          </reference>
          <reference field="18" count="1" selected="0">
            <x v="0"/>
          </reference>
          <reference field="19" count="1">
            <x v="16"/>
          </reference>
        </references>
      </pivotArea>
    </format>
    <format dxfId="8389">
      <pivotArea dataOnly="0" labelOnly="1" outline="0" fieldPosition="0">
        <references count="4">
          <reference field="11" count="1" selected="0">
            <x v="317"/>
          </reference>
          <reference field="14" count="1" selected="0">
            <x v="70"/>
          </reference>
          <reference field="18" count="1" selected="0">
            <x v="2"/>
          </reference>
          <reference field="19" count="1">
            <x v="22"/>
          </reference>
        </references>
      </pivotArea>
    </format>
    <format dxfId="8388">
      <pivotArea dataOnly="0" labelOnly="1" outline="0" fieldPosition="0">
        <references count="4">
          <reference field="11" count="1" selected="0">
            <x v="318"/>
          </reference>
          <reference field="14" count="1" selected="0">
            <x v="68"/>
          </reference>
          <reference field="18" count="1" selected="0">
            <x v="0"/>
          </reference>
          <reference field="19" count="1">
            <x v="16"/>
          </reference>
        </references>
      </pivotArea>
    </format>
    <format dxfId="8387">
      <pivotArea dataOnly="0" labelOnly="1" outline="0" fieldPosition="0">
        <references count="4">
          <reference field="11" count="1" selected="0">
            <x v="318"/>
          </reference>
          <reference field="14" count="1" selected="0">
            <x v="68"/>
          </reference>
          <reference field="18" count="1" selected="0">
            <x v="2"/>
          </reference>
          <reference field="19" count="1">
            <x v="22"/>
          </reference>
        </references>
      </pivotArea>
    </format>
    <format dxfId="8386">
      <pivotArea dataOnly="0" labelOnly="1" outline="0" fieldPosition="0">
        <references count="4">
          <reference field="11" count="1" selected="0">
            <x v="319"/>
          </reference>
          <reference field="14" count="1" selected="0">
            <x v="69"/>
          </reference>
          <reference field="18" count="1" selected="0">
            <x v="0"/>
          </reference>
          <reference field="19" count="1">
            <x v="16"/>
          </reference>
        </references>
      </pivotArea>
    </format>
    <format dxfId="8385">
      <pivotArea dataOnly="0" labelOnly="1" outline="0" fieldPosition="0">
        <references count="4">
          <reference field="11" count="1" selected="0">
            <x v="319"/>
          </reference>
          <reference field="14" count="1" selected="0">
            <x v="69"/>
          </reference>
          <reference field="18" count="1" selected="0">
            <x v="2"/>
          </reference>
          <reference field="19" count="1">
            <x v="22"/>
          </reference>
        </references>
      </pivotArea>
    </format>
    <format dxfId="8384">
      <pivotArea dataOnly="0" labelOnly="1" outline="0" fieldPosition="0">
        <references count="4">
          <reference field="11" count="1" selected="0">
            <x v="320"/>
          </reference>
          <reference field="14" count="1" selected="0">
            <x v="35"/>
          </reference>
          <reference field="18" count="1" selected="0">
            <x v="1"/>
          </reference>
          <reference field="19" count="1">
            <x v="18"/>
          </reference>
        </references>
      </pivotArea>
    </format>
    <format dxfId="8383">
      <pivotArea dataOnly="0" labelOnly="1" outline="0" fieldPosition="0">
        <references count="4">
          <reference field="11" count="1" selected="0">
            <x v="321"/>
          </reference>
          <reference field="14" count="1" selected="0">
            <x v="456"/>
          </reference>
          <reference field="18" count="1" selected="0">
            <x v="6"/>
          </reference>
          <reference field="19" count="1">
            <x v="23"/>
          </reference>
        </references>
      </pivotArea>
    </format>
    <format dxfId="8382">
      <pivotArea dataOnly="0" labelOnly="1" outline="0" fieldPosition="0">
        <references count="4">
          <reference field="11" count="1" selected="0">
            <x v="322"/>
          </reference>
          <reference field="14" count="1" selected="0">
            <x v="243"/>
          </reference>
          <reference field="18" count="1" selected="0">
            <x v="6"/>
          </reference>
          <reference field="19" count="1">
            <x v="23"/>
          </reference>
        </references>
      </pivotArea>
    </format>
    <format dxfId="8381">
      <pivotArea dataOnly="0" labelOnly="1" outline="0" fieldPosition="0">
        <references count="4">
          <reference field="11" count="1" selected="0">
            <x v="323"/>
          </reference>
          <reference field="14" count="1" selected="0">
            <x v="428"/>
          </reference>
          <reference field="18" count="1" selected="0">
            <x v="19"/>
          </reference>
          <reference field="19" count="1">
            <x v="2"/>
          </reference>
        </references>
      </pivotArea>
    </format>
    <format dxfId="8380">
      <pivotArea dataOnly="0" labelOnly="1" outline="0" fieldPosition="0">
        <references count="4">
          <reference field="11" count="1" selected="0">
            <x v="324"/>
          </reference>
          <reference field="14" count="1" selected="0">
            <x v="9"/>
          </reference>
          <reference field="18" count="1" selected="0">
            <x v="0"/>
          </reference>
          <reference field="19" count="1">
            <x v="16"/>
          </reference>
        </references>
      </pivotArea>
    </format>
    <format dxfId="8379">
      <pivotArea dataOnly="0" labelOnly="1" outline="0" fieldPosition="0">
        <references count="4">
          <reference field="11" count="1" selected="0">
            <x v="324"/>
          </reference>
          <reference field="14" count="1" selected="0">
            <x v="9"/>
          </reference>
          <reference field="18" count="1" selected="0">
            <x v="2"/>
          </reference>
          <reference field="19" count="1">
            <x v="22"/>
          </reference>
        </references>
      </pivotArea>
    </format>
    <format dxfId="8378">
      <pivotArea dataOnly="0" labelOnly="1" outline="0" fieldPosition="0">
        <references count="4">
          <reference field="11" count="1" selected="0">
            <x v="325"/>
          </reference>
          <reference field="14" count="1" selected="0">
            <x v="225"/>
          </reference>
          <reference field="18" count="1" selected="0">
            <x v="0"/>
          </reference>
          <reference field="19" count="1">
            <x v="16"/>
          </reference>
        </references>
      </pivotArea>
    </format>
    <format dxfId="8377">
      <pivotArea dataOnly="0" labelOnly="1" outline="0" fieldPosition="0">
        <references count="4">
          <reference field="11" count="1" selected="0">
            <x v="326"/>
          </reference>
          <reference field="14" count="1" selected="0">
            <x v="370"/>
          </reference>
          <reference field="18" count="1" selected="0">
            <x v="2"/>
          </reference>
          <reference field="19" count="1">
            <x v="22"/>
          </reference>
        </references>
      </pivotArea>
    </format>
    <format dxfId="8376">
      <pivotArea dataOnly="0" labelOnly="1" outline="0" fieldPosition="0">
        <references count="4">
          <reference field="11" count="1" selected="0">
            <x v="327"/>
          </reference>
          <reference field="14" count="1" selected="0">
            <x v="60"/>
          </reference>
          <reference field="18" count="1" selected="0">
            <x v="2"/>
          </reference>
          <reference field="19" count="1">
            <x v="22"/>
          </reference>
        </references>
      </pivotArea>
    </format>
    <format dxfId="8375">
      <pivotArea dataOnly="0" labelOnly="1" outline="0" fieldPosition="0">
        <references count="4">
          <reference field="11" count="1" selected="0">
            <x v="327"/>
          </reference>
          <reference field="14" count="1" selected="0">
            <x v="60"/>
          </reference>
          <reference field="18" count="1" selected="0">
            <x v="14"/>
          </reference>
          <reference field="19" count="1">
            <x v="9"/>
          </reference>
        </references>
      </pivotArea>
    </format>
    <format dxfId="8374">
      <pivotArea dataOnly="0" labelOnly="1" outline="0" fieldPosition="0">
        <references count="4">
          <reference field="11" count="1" selected="0">
            <x v="328"/>
          </reference>
          <reference field="14" count="1" selected="0">
            <x v="159"/>
          </reference>
          <reference field="18" count="1" selected="0">
            <x v="2"/>
          </reference>
          <reference field="19" count="1">
            <x v="22"/>
          </reference>
        </references>
      </pivotArea>
    </format>
    <format dxfId="8373">
      <pivotArea dataOnly="0" labelOnly="1" outline="0" fieldPosition="0">
        <references count="4">
          <reference field="11" count="1" selected="0">
            <x v="329"/>
          </reference>
          <reference field="14" count="1" selected="0">
            <x v="134"/>
          </reference>
          <reference field="18" count="1" selected="0">
            <x v="2"/>
          </reference>
          <reference field="19" count="1">
            <x v="22"/>
          </reference>
        </references>
      </pivotArea>
    </format>
    <format dxfId="8372">
      <pivotArea dataOnly="0" labelOnly="1" outline="0" fieldPosition="0">
        <references count="4">
          <reference field="11" count="1" selected="0">
            <x v="330"/>
          </reference>
          <reference field="14" count="1" selected="0">
            <x v="170"/>
          </reference>
          <reference field="18" count="1" selected="0">
            <x v="2"/>
          </reference>
          <reference field="19" count="1">
            <x v="22"/>
          </reference>
        </references>
      </pivotArea>
    </format>
    <format dxfId="8371">
      <pivotArea dataOnly="0" labelOnly="1" outline="0" fieldPosition="0">
        <references count="4">
          <reference field="11" count="1" selected="0">
            <x v="331"/>
          </reference>
          <reference field="14" count="1" selected="0">
            <x v="132"/>
          </reference>
          <reference field="18" count="1" selected="0">
            <x v="6"/>
          </reference>
          <reference field="19" count="1">
            <x v="23"/>
          </reference>
        </references>
      </pivotArea>
    </format>
    <format dxfId="8370">
      <pivotArea dataOnly="0" labelOnly="1" outline="0" fieldPosition="0">
        <references count="4">
          <reference field="11" count="1" selected="0">
            <x v="332"/>
          </reference>
          <reference field="14" count="1" selected="0">
            <x v="74"/>
          </reference>
          <reference field="18" count="1" selected="0">
            <x v="16"/>
          </reference>
          <reference field="19" count="1">
            <x v="24"/>
          </reference>
        </references>
      </pivotArea>
    </format>
    <format dxfId="8369">
      <pivotArea dataOnly="0" labelOnly="1" outline="0" fieldPosition="0">
        <references count="4">
          <reference field="11" count="1" selected="0">
            <x v="332"/>
          </reference>
          <reference field="14" count="1" selected="0">
            <x v="74"/>
          </reference>
          <reference field="18" count="1" selected="0">
            <x v="21"/>
          </reference>
          <reference field="19" count="1">
            <x v="27"/>
          </reference>
        </references>
      </pivotArea>
    </format>
    <format dxfId="8368">
      <pivotArea dataOnly="0" labelOnly="1" outline="0" fieldPosition="0">
        <references count="4">
          <reference field="11" count="1" selected="0">
            <x v="333"/>
          </reference>
          <reference field="14" count="1" selected="0">
            <x v="202"/>
          </reference>
          <reference field="18" count="1" selected="0">
            <x v="3"/>
          </reference>
          <reference field="19" count="1">
            <x v="15"/>
          </reference>
        </references>
      </pivotArea>
    </format>
    <format dxfId="8367">
      <pivotArea dataOnly="0" labelOnly="1" outline="0" fieldPosition="0">
        <references count="4">
          <reference field="11" count="1" selected="0">
            <x v="334"/>
          </reference>
          <reference field="14" count="1" selected="0">
            <x v="384"/>
          </reference>
          <reference field="18" count="1" selected="0">
            <x v="0"/>
          </reference>
          <reference field="19" count="1">
            <x v="16"/>
          </reference>
        </references>
      </pivotArea>
    </format>
    <format dxfId="8366">
      <pivotArea dataOnly="0" labelOnly="1" outline="0" fieldPosition="0">
        <references count="4">
          <reference field="11" count="1" selected="0">
            <x v="334"/>
          </reference>
          <reference field="14" count="1" selected="0">
            <x v="384"/>
          </reference>
          <reference field="18" count="1" selected="0">
            <x v="2"/>
          </reference>
          <reference field="19" count="1">
            <x v="22"/>
          </reference>
        </references>
      </pivotArea>
    </format>
    <format dxfId="8365">
      <pivotArea dataOnly="0" labelOnly="1" outline="0" fieldPosition="0">
        <references count="4">
          <reference field="11" count="1" selected="0">
            <x v="335"/>
          </reference>
          <reference field="14" count="1" selected="0">
            <x v="309"/>
          </reference>
          <reference field="18" count="1" selected="0">
            <x v="19"/>
          </reference>
          <reference field="19" count="1">
            <x v="2"/>
          </reference>
        </references>
      </pivotArea>
    </format>
    <format dxfId="8364">
      <pivotArea dataOnly="0" labelOnly="1" outline="0" fieldPosition="0">
        <references count="4">
          <reference field="11" count="1" selected="0">
            <x v="336"/>
          </reference>
          <reference field="14" count="1" selected="0">
            <x v="382"/>
          </reference>
          <reference field="18" count="1" selected="0">
            <x v="3"/>
          </reference>
          <reference field="19" count="1">
            <x v="15"/>
          </reference>
        </references>
      </pivotArea>
    </format>
    <format dxfId="8363">
      <pivotArea dataOnly="0" labelOnly="1" outline="0" fieldPosition="0">
        <references count="4">
          <reference field="11" count="1" selected="0">
            <x v="337"/>
          </reference>
          <reference field="14" count="1" selected="0">
            <x v="71"/>
          </reference>
          <reference field="18" count="1" selected="0">
            <x v="0"/>
          </reference>
          <reference field="19" count="1">
            <x v="16"/>
          </reference>
        </references>
      </pivotArea>
    </format>
    <format dxfId="8362">
      <pivotArea dataOnly="0" labelOnly="1" outline="0" fieldPosition="0">
        <references count="4">
          <reference field="11" count="1" selected="0">
            <x v="338"/>
          </reference>
          <reference field="14" count="1" selected="0">
            <x v="314"/>
          </reference>
          <reference field="18" count="1" selected="0">
            <x v="19"/>
          </reference>
          <reference field="19" count="1">
            <x v="2"/>
          </reference>
        </references>
      </pivotArea>
    </format>
    <format dxfId="8361">
      <pivotArea dataOnly="0" labelOnly="1" outline="0" fieldPosition="0">
        <references count="4">
          <reference field="11" count="1" selected="0">
            <x v="339"/>
          </reference>
          <reference field="14" count="1" selected="0">
            <x v="160"/>
          </reference>
          <reference field="18" count="1" selected="0">
            <x v="2"/>
          </reference>
          <reference field="19" count="1">
            <x v="22"/>
          </reference>
        </references>
      </pivotArea>
    </format>
    <format dxfId="8360">
      <pivotArea dataOnly="0" labelOnly="1" outline="0" fieldPosition="0">
        <references count="4">
          <reference field="11" count="1" selected="0">
            <x v="340"/>
          </reference>
          <reference field="14" count="1" selected="0">
            <x v="155"/>
          </reference>
          <reference field="18" count="1" selected="0">
            <x v="2"/>
          </reference>
          <reference field="19" count="1">
            <x v="22"/>
          </reference>
        </references>
      </pivotArea>
    </format>
    <format dxfId="8359">
      <pivotArea dataOnly="0" labelOnly="1" outline="0" fieldPosition="0">
        <references count="4">
          <reference field="11" count="1" selected="0">
            <x v="341"/>
          </reference>
          <reference field="14" count="1" selected="0">
            <x v="163"/>
          </reference>
          <reference field="18" count="1" selected="0">
            <x v="2"/>
          </reference>
          <reference field="19" count="1">
            <x v="22"/>
          </reference>
        </references>
      </pivotArea>
    </format>
    <format dxfId="8358">
      <pivotArea dataOnly="0" labelOnly="1" outline="0" fieldPosition="0">
        <references count="4">
          <reference field="11" count="1" selected="0">
            <x v="342"/>
          </reference>
          <reference field="14" count="1" selected="0">
            <x v="156"/>
          </reference>
          <reference field="18" count="1" selected="0">
            <x v="2"/>
          </reference>
          <reference field="19" count="1">
            <x v="22"/>
          </reference>
        </references>
      </pivotArea>
    </format>
    <format dxfId="8357">
      <pivotArea dataOnly="0" labelOnly="1" outline="0" fieldPosition="0">
        <references count="4">
          <reference field="11" count="1" selected="0">
            <x v="343"/>
          </reference>
          <reference field="14" count="1" selected="0">
            <x v="293"/>
          </reference>
          <reference field="18" count="1" selected="0">
            <x v="2"/>
          </reference>
          <reference field="19" count="1">
            <x v="22"/>
          </reference>
        </references>
      </pivotArea>
    </format>
    <format dxfId="8356">
      <pivotArea dataOnly="0" labelOnly="1" outline="0" fieldPosition="0">
        <references count="4">
          <reference field="11" count="1" selected="0">
            <x v="343"/>
          </reference>
          <reference field="14" count="1" selected="0">
            <x v="293"/>
          </reference>
          <reference field="18" count="1" selected="0">
            <x v="3"/>
          </reference>
          <reference field="19" count="1">
            <x v="15"/>
          </reference>
        </references>
      </pivotArea>
    </format>
    <format dxfId="8355">
      <pivotArea dataOnly="0" labelOnly="1" outline="0" fieldPosition="0">
        <references count="4">
          <reference field="11" count="1" selected="0">
            <x v="344"/>
          </reference>
          <reference field="14" count="1" selected="0">
            <x v="253"/>
          </reference>
          <reference field="18" count="1" selected="0">
            <x v="0"/>
          </reference>
          <reference field="19" count="1">
            <x v="16"/>
          </reference>
        </references>
      </pivotArea>
    </format>
    <format dxfId="8354">
      <pivotArea dataOnly="0" labelOnly="1" outline="0" fieldPosition="0">
        <references count="4">
          <reference field="11" count="1" selected="0">
            <x v="345"/>
          </reference>
          <reference field="14" count="1" selected="0">
            <x v="209"/>
          </reference>
          <reference field="18" count="1" selected="0">
            <x v="0"/>
          </reference>
          <reference field="19" count="1">
            <x v="16"/>
          </reference>
        </references>
      </pivotArea>
    </format>
    <format dxfId="8353">
      <pivotArea dataOnly="0" labelOnly="1" outline="0" fieldPosition="0">
        <references count="4">
          <reference field="11" count="1" selected="0">
            <x v="345"/>
          </reference>
          <reference field="14" count="1" selected="0">
            <x v="209"/>
          </reference>
          <reference field="18" count="1" selected="0">
            <x v="1"/>
          </reference>
          <reference field="19" count="1">
            <x v="18"/>
          </reference>
        </references>
      </pivotArea>
    </format>
    <format dxfId="8352">
      <pivotArea dataOnly="0" labelOnly="1" outline="0" fieldPosition="0">
        <references count="4">
          <reference field="11" count="1" selected="0">
            <x v="345"/>
          </reference>
          <reference field="14" count="1" selected="0">
            <x v="209"/>
          </reference>
          <reference field="18" count="1" selected="0">
            <x v="11"/>
          </reference>
          <reference field="19" count="1">
            <x v="20"/>
          </reference>
        </references>
      </pivotArea>
    </format>
    <format dxfId="8351">
      <pivotArea dataOnly="0" labelOnly="1" outline="0" fieldPosition="0">
        <references count="4">
          <reference field="11" count="1" selected="0">
            <x v="346"/>
          </reference>
          <reference field="14" count="1" selected="0">
            <x v="315"/>
          </reference>
          <reference field="18" count="1" selected="0">
            <x v="3"/>
          </reference>
          <reference field="19" count="1">
            <x v="15"/>
          </reference>
        </references>
      </pivotArea>
    </format>
    <format dxfId="8350">
      <pivotArea dataOnly="0" labelOnly="1" outline="0" fieldPosition="0">
        <references count="4">
          <reference field="11" count="1" selected="0">
            <x v="347"/>
          </reference>
          <reference field="14" count="1" selected="0">
            <x v="257"/>
          </reference>
          <reference field="18" count="1" selected="0">
            <x v="0"/>
          </reference>
          <reference field="19" count="1">
            <x v="16"/>
          </reference>
        </references>
      </pivotArea>
    </format>
    <format dxfId="8349">
      <pivotArea dataOnly="0" labelOnly="1" outline="0" fieldPosition="0">
        <references count="4">
          <reference field="11" count="1" selected="0">
            <x v="348"/>
          </reference>
          <reference field="14" count="1" selected="0">
            <x v="448"/>
          </reference>
          <reference field="18" count="1" selected="0">
            <x v="19"/>
          </reference>
          <reference field="19" count="1">
            <x v="2"/>
          </reference>
        </references>
      </pivotArea>
    </format>
    <format dxfId="8348">
      <pivotArea dataOnly="0" labelOnly="1" outline="0" fieldPosition="0">
        <references count="4">
          <reference field="11" count="1" selected="0">
            <x v="349"/>
          </reference>
          <reference field="14" count="1" selected="0">
            <x v="331"/>
          </reference>
          <reference field="18" count="1" selected="0">
            <x v="6"/>
          </reference>
          <reference field="19" count="1">
            <x v="23"/>
          </reference>
        </references>
      </pivotArea>
    </format>
    <format dxfId="8347">
      <pivotArea dataOnly="0" labelOnly="1" outline="0" fieldPosition="0">
        <references count="4">
          <reference field="11" count="1" selected="0">
            <x v="350"/>
          </reference>
          <reference field="14" count="1" selected="0">
            <x v="221"/>
          </reference>
          <reference field="18" count="1" selected="0">
            <x v="6"/>
          </reference>
          <reference field="19" count="1">
            <x v="23"/>
          </reference>
        </references>
      </pivotArea>
    </format>
    <format dxfId="8346">
      <pivotArea dataOnly="0" labelOnly="1" outline="0" fieldPosition="0">
        <references count="4">
          <reference field="11" count="1" selected="0">
            <x v="351"/>
          </reference>
          <reference field="14" count="1" selected="0">
            <x v="199"/>
          </reference>
          <reference field="18" count="1" selected="0">
            <x v="27"/>
          </reference>
          <reference field="19" count="1">
            <x v="17"/>
          </reference>
        </references>
      </pivotArea>
    </format>
    <format dxfId="8345">
      <pivotArea dataOnly="0" labelOnly="1" outline="0" fieldPosition="0">
        <references count="4">
          <reference field="11" count="1" selected="0">
            <x v="352"/>
          </reference>
          <reference field="14" count="1" selected="0">
            <x v="78"/>
          </reference>
          <reference field="18" count="1" selected="0">
            <x v="1"/>
          </reference>
          <reference field="19" count="1">
            <x v="18"/>
          </reference>
        </references>
      </pivotArea>
    </format>
    <format dxfId="8344">
      <pivotArea dataOnly="0" labelOnly="1" outline="0" fieldPosition="0">
        <references count="4">
          <reference field="11" count="1" selected="0">
            <x v="353"/>
          </reference>
          <reference field="14" count="1" selected="0">
            <x v="18"/>
          </reference>
          <reference field="18" count="1" selected="0">
            <x v="6"/>
          </reference>
          <reference field="19" count="1">
            <x v="23"/>
          </reference>
        </references>
      </pivotArea>
    </format>
    <format dxfId="8343">
      <pivotArea dataOnly="0" labelOnly="1" outline="0" fieldPosition="0">
        <references count="4">
          <reference field="11" count="1" selected="0">
            <x v="354"/>
          </reference>
          <reference field="14" count="1" selected="0">
            <x v="135"/>
          </reference>
          <reference field="18" count="1" selected="0">
            <x v="6"/>
          </reference>
          <reference field="19" count="1">
            <x v="23"/>
          </reference>
        </references>
      </pivotArea>
    </format>
    <format dxfId="8342">
      <pivotArea dataOnly="0" labelOnly="1" outline="0" fieldPosition="0">
        <references count="4">
          <reference field="11" count="1" selected="0">
            <x v="355"/>
          </reference>
          <reference field="14" count="1" selected="0">
            <x v="296"/>
          </reference>
          <reference field="18" count="1" selected="0">
            <x v="6"/>
          </reference>
          <reference field="19" count="1">
            <x v="23"/>
          </reference>
        </references>
      </pivotArea>
    </format>
    <format dxfId="8341">
      <pivotArea dataOnly="0" labelOnly="1" outline="0" fieldPosition="0">
        <references count="4">
          <reference field="11" count="1" selected="0">
            <x v="356"/>
          </reference>
          <reference field="14" count="1" selected="0">
            <x v="299"/>
          </reference>
          <reference field="18" count="1" selected="0">
            <x v="6"/>
          </reference>
          <reference field="19" count="1">
            <x v="23"/>
          </reference>
        </references>
      </pivotArea>
    </format>
    <format dxfId="8340">
      <pivotArea dataOnly="0" labelOnly="1" outline="0" fieldPosition="0">
        <references count="4">
          <reference field="11" count="1" selected="0">
            <x v="357"/>
          </reference>
          <reference field="14" count="1" selected="0">
            <x v="298"/>
          </reference>
          <reference field="18" count="1" selected="0">
            <x v="6"/>
          </reference>
          <reference field="19" count="1">
            <x v="23"/>
          </reference>
        </references>
      </pivotArea>
    </format>
    <format dxfId="8339">
      <pivotArea dataOnly="0" labelOnly="1" outline="0" fieldPosition="0">
        <references count="4">
          <reference field="11" count="1" selected="0">
            <x v="358"/>
          </reference>
          <reference field="14" count="1" selected="0">
            <x v="292"/>
          </reference>
          <reference field="18" count="1" selected="0">
            <x v="3"/>
          </reference>
          <reference field="19" count="1">
            <x v="15"/>
          </reference>
        </references>
      </pivotArea>
    </format>
    <format dxfId="8338">
      <pivotArea dataOnly="0" labelOnly="1" outline="0" fieldPosition="0">
        <references count="4">
          <reference field="11" count="1" selected="0">
            <x v="359"/>
          </reference>
          <reference field="14" count="1" selected="0">
            <x v="39"/>
          </reference>
          <reference field="18" count="1" selected="0">
            <x v="1"/>
          </reference>
          <reference field="19" count="1">
            <x v="18"/>
          </reference>
        </references>
      </pivotArea>
    </format>
    <format dxfId="8337">
      <pivotArea dataOnly="0" labelOnly="1" outline="0" fieldPosition="0">
        <references count="4">
          <reference field="11" count="1" selected="0">
            <x v="360"/>
          </reference>
          <reference field="14" count="1" selected="0">
            <x v="24"/>
          </reference>
          <reference field="18" count="1" selected="0">
            <x v="5"/>
          </reference>
          <reference field="19" count="1">
            <x v="1"/>
          </reference>
        </references>
      </pivotArea>
    </format>
    <format dxfId="8336">
      <pivotArea dataOnly="0" labelOnly="1" outline="0" fieldPosition="0">
        <references count="4">
          <reference field="11" count="1" selected="0">
            <x v="361"/>
          </reference>
          <reference field="14" count="1" selected="0">
            <x v="352"/>
          </reference>
          <reference field="18" count="1" selected="0">
            <x v="5"/>
          </reference>
          <reference field="19" count="1">
            <x v="1"/>
          </reference>
        </references>
      </pivotArea>
    </format>
    <format dxfId="8335">
      <pivotArea dataOnly="0" labelOnly="1" outline="0" fieldPosition="0">
        <references count="4">
          <reference field="11" count="1" selected="0">
            <x v="362"/>
          </reference>
          <reference field="14" count="1" selected="0">
            <x v="21"/>
          </reference>
          <reference field="18" count="1" selected="0">
            <x v="6"/>
          </reference>
          <reference field="19" count="1">
            <x v="23"/>
          </reference>
        </references>
      </pivotArea>
    </format>
    <format dxfId="8334">
      <pivotArea dataOnly="0" labelOnly="1" outline="0" fieldPosition="0">
        <references count="4">
          <reference field="11" count="1" selected="0">
            <x v="363"/>
          </reference>
          <reference field="14" count="1" selected="0">
            <x v="6"/>
          </reference>
          <reference field="18" count="1" selected="0">
            <x v="0"/>
          </reference>
          <reference field="19" count="1">
            <x v="16"/>
          </reference>
        </references>
      </pivotArea>
    </format>
    <format dxfId="8333">
      <pivotArea dataOnly="0" labelOnly="1" outline="0" fieldPosition="0">
        <references count="4">
          <reference field="11" count="1" selected="0">
            <x v="364"/>
          </reference>
          <reference field="14" count="1" selected="0">
            <x v="212"/>
          </reference>
          <reference field="18" count="1" selected="0">
            <x v="14"/>
          </reference>
          <reference field="19" count="1">
            <x v="9"/>
          </reference>
        </references>
      </pivotArea>
    </format>
    <format dxfId="8332">
      <pivotArea dataOnly="0" labelOnly="1" outline="0" fieldPosition="0">
        <references count="4">
          <reference field="11" count="1" selected="0">
            <x v="365"/>
          </reference>
          <reference field="14" count="1" selected="0">
            <x v="284"/>
          </reference>
          <reference field="18" count="1" selected="0">
            <x v="0"/>
          </reference>
          <reference field="19" count="1">
            <x v="16"/>
          </reference>
        </references>
      </pivotArea>
    </format>
    <format dxfId="8331">
      <pivotArea dataOnly="0" labelOnly="1" outline="0" fieldPosition="0">
        <references count="4">
          <reference field="11" count="1" selected="0">
            <x v="366"/>
          </reference>
          <reference field="14" count="1" selected="0">
            <x v="254"/>
          </reference>
          <reference field="18" count="1" selected="0">
            <x v="0"/>
          </reference>
          <reference field="19" count="1">
            <x v="16"/>
          </reference>
        </references>
      </pivotArea>
    </format>
    <format dxfId="8330">
      <pivotArea dataOnly="0" labelOnly="1" outline="0" fieldPosition="0">
        <references count="4">
          <reference field="11" count="1" selected="0">
            <x v="367"/>
          </reference>
          <reference field="14" count="1" selected="0">
            <x v="457"/>
          </reference>
          <reference field="18" count="1" selected="0">
            <x v="0"/>
          </reference>
          <reference field="19" count="1">
            <x v="16"/>
          </reference>
        </references>
      </pivotArea>
    </format>
    <format dxfId="8329">
      <pivotArea dataOnly="0" labelOnly="1" outline="0" fieldPosition="0">
        <references count="4">
          <reference field="11" count="1" selected="0">
            <x v="368"/>
          </reference>
          <reference field="14" count="1" selected="0">
            <x v="2"/>
          </reference>
          <reference field="18" count="1" selected="0">
            <x v="19"/>
          </reference>
          <reference field="19" count="1">
            <x v="2"/>
          </reference>
        </references>
      </pivotArea>
    </format>
    <format dxfId="8328">
      <pivotArea dataOnly="0" labelOnly="1" outline="0" fieldPosition="0">
        <references count="4">
          <reference field="11" count="1" selected="0">
            <x v="369"/>
          </reference>
          <reference field="14" count="1" selected="0">
            <x v="147"/>
          </reference>
          <reference field="18" count="1" selected="0">
            <x v="12"/>
          </reference>
          <reference field="19" count="1">
            <x v="13"/>
          </reference>
        </references>
      </pivotArea>
    </format>
    <format dxfId="8327">
      <pivotArea dataOnly="0" labelOnly="1" outline="0" fieldPosition="0">
        <references count="4">
          <reference field="11" count="1" selected="0">
            <x v="369"/>
          </reference>
          <reference field="14" count="1" selected="0">
            <x v="147"/>
          </reference>
          <reference field="18" count="1" selected="0">
            <x v="14"/>
          </reference>
          <reference field="19" count="1">
            <x v="9"/>
          </reference>
        </references>
      </pivotArea>
    </format>
    <format dxfId="8326">
      <pivotArea dataOnly="0" labelOnly="1" outline="0" fieldPosition="0">
        <references count="4">
          <reference field="11" count="1" selected="0">
            <x v="370"/>
          </reference>
          <reference field="14" count="1" selected="0">
            <x v="112"/>
          </reference>
          <reference field="18" count="1" selected="0">
            <x v="19"/>
          </reference>
          <reference field="19" count="1">
            <x v="2"/>
          </reference>
        </references>
      </pivotArea>
    </format>
    <format dxfId="8325">
      <pivotArea dataOnly="0" labelOnly="1" outline="0" fieldPosition="0">
        <references count="4">
          <reference field="11" count="1" selected="0">
            <x v="371"/>
          </reference>
          <reference field="14" count="1" selected="0">
            <x v="81"/>
          </reference>
          <reference field="18" count="1" selected="0">
            <x v="1"/>
          </reference>
          <reference field="19" count="1">
            <x v="18"/>
          </reference>
        </references>
      </pivotArea>
    </format>
    <format dxfId="8324">
      <pivotArea dataOnly="0" labelOnly="1" outline="0" fieldPosition="0">
        <references count="4">
          <reference field="11" count="1" selected="0">
            <x v="372"/>
          </reference>
          <reference field="14" count="1" selected="0">
            <x v="82"/>
          </reference>
          <reference field="18" count="1" selected="0">
            <x v="1"/>
          </reference>
          <reference field="19" count="1">
            <x v="18"/>
          </reference>
        </references>
      </pivotArea>
    </format>
    <format dxfId="8323">
      <pivotArea dataOnly="0" labelOnly="1" outline="0" fieldPosition="0">
        <references count="4">
          <reference field="11" count="1" selected="0">
            <x v="373"/>
          </reference>
          <reference field="14" count="1" selected="0">
            <x v="85"/>
          </reference>
          <reference field="18" count="1" selected="0">
            <x v="1"/>
          </reference>
          <reference field="19" count="1">
            <x v="18"/>
          </reference>
        </references>
      </pivotArea>
    </format>
    <format dxfId="8322">
      <pivotArea dataOnly="0" labelOnly="1" outline="0" fieldPosition="0">
        <references count="4">
          <reference field="11" count="1" selected="0">
            <x v="374"/>
          </reference>
          <reference field="14" count="1" selected="0">
            <x v="89"/>
          </reference>
          <reference field="18" count="1" selected="0">
            <x v="1"/>
          </reference>
          <reference field="19" count="1">
            <x v="18"/>
          </reference>
        </references>
      </pivotArea>
    </format>
    <format dxfId="8321">
      <pivotArea dataOnly="0" labelOnly="1" outline="0" fieldPosition="0">
        <references count="4">
          <reference field="11" count="1" selected="0">
            <x v="375"/>
          </reference>
          <reference field="14" count="1" selected="0">
            <x v="88"/>
          </reference>
          <reference field="18" count="1" selected="0">
            <x v="1"/>
          </reference>
          <reference field="19" count="1">
            <x v="18"/>
          </reference>
        </references>
      </pivotArea>
    </format>
    <format dxfId="8320">
      <pivotArea dataOnly="0" labelOnly="1" outline="0" fieldPosition="0">
        <references count="4">
          <reference field="11" count="1" selected="0">
            <x v="376"/>
          </reference>
          <reference field="14" count="1" selected="0">
            <x v="87"/>
          </reference>
          <reference field="18" count="1" selected="0">
            <x v="1"/>
          </reference>
          <reference field="19" count="1">
            <x v="18"/>
          </reference>
        </references>
      </pivotArea>
    </format>
    <format dxfId="8319">
      <pivotArea dataOnly="0" labelOnly="1" outline="0" fieldPosition="0">
        <references count="4">
          <reference field="11" count="1" selected="0">
            <x v="377"/>
          </reference>
          <reference field="14" count="1" selected="0">
            <x v="79"/>
          </reference>
          <reference field="18" count="1" selected="0">
            <x v="1"/>
          </reference>
          <reference field="19" count="1">
            <x v="18"/>
          </reference>
        </references>
      </pivotArea>
    </format>
    <format dxfId="8318">
      <pivotArea dataOnly="0" labelOnly="1" outline="0" fieldPosition="0">
        <references count="4">
          <reference field="11" count="1" selected="0">
            <x v="378"/>
          </reference>
          <reference field="14" count="1" selected="0">
            <x v="92"/>
          </reference>
          <reference field="18" count="1" selected="0">
            <x v="1"/>
          </reference>
          <reference field="19" count="1">
            <x v="18"/>
          </reference>
        </references>
      </pivotArea>
    </format>
    <format dxfId="8317">
      <pivotArea dataOnly="0" labelOnly="1" outline="0" fieldPosition="0">
        <references count="4">
          <reference field="11" count="1" selected="0">
            <x v="379"/>
          </reference>
          <reference field="14" count="1" selected="0">
            <x v="145"/>
          </reference>
          <reference field="18" count="1" selected="0">
            <x v="7"/>
          </reference>
          <reference field="19" count="1">
            <x v="4"/>
          </reference>
        </references>
      </pivotArea>
    </format>
    <format dxfId="8316">
      <pivotArea dataOnly="0" labelOnly="1" outline="0" fieldPosition="0">
        <references count="4">
          <reference field="11" count="1" selected="0">
            <x v="379"/>
          </reference>
          <reference field="14" count="1" selected="0">
            <x v="145"/>
          </reference>
          <reference field="18" count="1" selected="0">
            <x v="12"/>
          </reference>
          <reference field="19" count="1">
            <x v="13"/>
          </reference>
        </references>
      </pivotArea>
    </format>
    <format dxfId="8315">
      <pivotArea dataOnly="0" labelOnly="1" outline="0" fieldPosition="0">
        <references count="4">
          <reference field="11" count="1" selected="0">
            <x v="380"/>
          </reference>
          <reference field="14" count="1" selected="0">
            <x v="334"/>
          </reference>
          <reference field="18" count="1" selected="0">
            <x v="1"/>
          </reference>
          <reference field="19" count="1">
            <x v="18"/>
          </reference>
        </references>
      </pivotArea>
    </format>
    <format dxfId="8314">
      <pivotArea dataOnly="0" labelOnly="1" outline="0" fieldPosition="0">
        <references count="4">
          <reference field="11" count="1" selected="0">
            <x v="381"/>
          </reference>
          <reference field="14" count="1" selected="0">
            <x v="399"/>
          </reference>
          <reference field="18" count="1" selected="0">
            <x v="0"/>
          </reference>
          <reference field="19" count="1">
            <x v="16"/>
          </reference>
        </references>
      </pivotArea>
    </format>
    <format dxfId="8313">
      <pivotArea dataOnly="0" labelOnly="1" outline="0" fieldPosition="0">
        <references count="4">
          <reference field="11" count="1" selected="0">
            <x v="381"/>
          </reference>
          <reference field="14" count="1" selected="0">
            <x v="399"/>
          </reference>
          <reference field="18" count="1" selected="0">
            <x v="4"/>
          </reference>
          <reference field="19" count="1">
            <x v="10"/>
          </reference>
        </references>
      </pivotArea>
    </format>
    <format dxfId="8312">
      <pivotArea dataOnly="0" labelOnly="1" outline="0" fieldPosition="0">
        <references count="4">
          <reference field="11" count="1" selected="0">
            <x v="382"/>
          </reference>
          <reference field="14" count="1" selected="0">
            <x v="400"/>
          </reference>
          <reference field="18" count="1" selected="0">
            <x v="25"/>
          </reference>
          <reference field="19" count="1">
            <x v="14"/>
          </reference>
        </references>
      </pivotArea>
    </format>
    <format dxfId="8311">
      <pivotArea dataOnly="0" labelOnly="1" outline="0" fieldPosition="0">
        <references count="4">
          <reference field="11" count="1" selected="0">
            <x v="383"/>
          </reference>
          <reference field="14" count="1" selected="0">
            <x v="364"/>
          </reference>
          <reference field="18" count="1" selected="0">
            <x v="18"/>
          </reference>
          <reference field="19" count="1">
            <x v="26"/>
          </reference>
        </references>
      </pivotArea>
    </format>
    <format dxfId="8310">
      <pivotArea dataOnly="0" labelOnly="1" outline="0" fieldPosition="0">
        <references count="4">
          <reference field="11" count="1" selected="0">
            <x v="384"/>
          </reference>
          <reference field="14" count="1" selected="0">
            <x v="211"/>
          </reference>
          <reference field="18" count="1" selected="0">
            <x v="0"/>
          </reference>
          <reference field="19" count="1">
            <x v="16"/>
          </reference>
        </references>
      </pivotArea>
    </format>
    <format dxfId="8309">
      <pivotArea dataOnly="0" labelOnly="1" outline="0" fieldPosition="0">
        <references count="4">
          <reference field="11" count="1" selected="0">
            <x v="385"/>
          </reference>
          <reference field="14" count="1" selected="0">
            <x v="7"/>
          </reference>
          <reference field="18" count="1" selected="0">
            <x v="12"/>
          </reference>
          <reference field="19" count="1">
            <x v="13"/>
          </reference>
        </references>
      </pivotArea>
    </format>
    <format dxfId="8308">
      <pivotArea dataOnly="0" labelOnly="1" outline="0" fieldPosition="0">
        <references count="4">
          <reference field="11" count="1" selected="0">
            <x v="385"/>
          </reference>
          <reference field="14" count="1" selected="0">
            <x v="7"/>
          </reference>
          <reference field="18" count="1" selected="0">
            <x v="14"/>
          </reference>
          <reference field="19" count="1">
            <x v="9"/>
          </reference>
        </references>
      </pivotArea>
    </format>
    <format dxfId="8307">
      <pivotArea dataOnly="0" labelOnly="1" outline="0" fieldPosition="0">
        <references count="4">
          <reference field="11" count="1" selected="0">
            <x v="386"/>
          </reference>
          <reference field="14" count="1" selected="0">
            <x v="297"/>
          </reference>
          <reference field="18" count="1" selected="0">
            <x v="6"/>
          </reference>
          <reference field="19" count="1">
            <x v="23"/>
          </reference>
        </references>
      </pivotArea>
    </format>
    <format dxfId="8306">
      <pivotArea dataOnly="0" labelOnly="1" outline="0" fieldPosition="0">
        <references count="4">
          <reference field="11" count="1" selected="0">
            <x v="387"/>
          </reference>
          <reference field="14" count="1" selected="0">
            <x v="408"/>
          </reference>
          <reference field="18" count="1" selected="0">
            <x v="0"/>
          </reference>
          <reference field="19" count="1">
            <x v="16"/>
          </reference>
        </references>
      </pivotArea>
    </format>
    <format dxfId="8305">
      <pivotArea dataOnly="0" labelOnly="1" outline="0" fieldPosition="0">
        <references count="4">
          <reference field="11" count="1" selected="0">
            <x v="388"/>
          </reference>
          <reference field="14" count="1" selected="0">
            <x v="190"/>
          </reference>
          <reference field="18" count="1" selected="0">
            <x v="0"/>
          </reference>
          <reference field="19" count="1">
            <x v="16"/>
          </reference>
        </references>
      </pivotArea>
    </format>
    <format dxfId="8304">
      <pivotArea dataOnly="0" labelOnly="1" outline="0" fieldPosition="0">
        <references count="4">
          <reference field="11" count="1" selected="0">
            <x v="389"/>
          </reference>
          <reference field="14" count="1" selected="0">
            <x v="140"/>
          </reference>
          <reference field="18" count="1" selected="0">
            <x v="22"/>
          </reference>
          <reference field="19" count="1">
            <x v="11"/>
          </reference>
        </references>
      </pivotArea>
    </format>
    <format dxfId="8303">
      <pivotArea dataOnly="0" labelOnly="1" outline="0" fieldPosition="0">
        <references count="4">
          <reference field="11" count="1" selected="0">
            <x v="390"/>
          </reference>
          <reference field="14" count="1" selected="0">
            <x v="445"/>
          </reference>
          <reference field="18" count="1" selected="0">
            <x v="19"/>
          </reference>
          <reference field="19" count="1">
            <x v="2"/>
          </reference>
        </references>
      </pivotArea>
    </format>
    <format dxfId="8302">
      <pivotArea dataOnly="0" labelOnly="1" outline="0" fieldPosition="0">
        <references count="4">
          <reference field="11" count="1" selected="0">
            <x v="391"/>
          </reference>
          <reference field="14" count="1" selected="0">
            <x v="422"/>
          </reference>
          <reference field="18" count="1" selected="0">
            <x v="19"/>
          </reference>
          <reference field="19" count="1">
            <x v="2"/>
          </reference>
        </references>
      </pivotArea>
    </format>
    <format dxfId="8301">
      <pivotArea dataOnly="0" labelOnly="1" outline="0" fieldPosition="0">
        <references count="4">
          <reference field="11" count="1" selected="0">
            <x v="392"/>
          </reference>
          <reference field="14" count="1" selected="0">
            <x v="198"/>
          </reference>
          <reference field="18" count="1" selected="0">
            <x v="4"/>
          </reference>
          <reference field="19" count="1">
            <x v="10"/>
          </reference>
        </references>
      </pivotArea>
    </format>
    <format dxfId="8300">
      <pivotArea dataOnly="0" labelOnly="1" outline="0" fieldPosition="0">
        <references count="4">
          <reference field="11" count="1" selected="0">
            <x v="393"/>
          </reference>
          <reference field="14" count="1" selected="0">
            <x v="205"/>
          </reference>
          <reference field="18" count="1" selected="0">
            <x v="19"/>
          </reference>
          <reference field="19" count="1">
            <x v="2"/>
          </reference>
        </references>
      </pivotArea>
    </format>
    <format dxfId="8299">
      <pivotArea dataOnly="0" labelOnly="1" outline="0" fieldPosition="0">
        <references count="4">
          <reference field="11" count="1" selected="0">
            <x v="394"/>
          </reference>
          <reference field="14" count="1" selected="0">
            <x v="53"/>
          </reference>
          <reference field="18" count="1" selected="0">
            <x v="12"/>
          </reference>
          <reference field="19" count="1">
            <x v="13"/>
          </reference>
        </references>
      </pivotArea>
    </format>
    <format dxfId="8298">
      <pivotArea dataOnly="0" labelOnly="1" outline="0" fieldPosition="0">
        <references count="4">
          <reference field="11" count="1" selected="0">
            <x v="394"/>
          </reference>
          <reference field="14" count="1" selected="0">
            <x v="53"/>
          </reference>
          <reference field="18" count="1" selected="0">
            <x v="14"/>
          </reference>
          <reference field="19" count="1">
            <x v="9"/>
          </reference>
        </references>
      </pivotArea>
    </format>
    <format dxfId="8297">
      <pivotArea dataOnly="0" labelOnly="1" outline="0" fieldPosition="0">
        <references count="4">
          <reference field="11" count="1" selected="0">
            <x v="395"/>
          </reference>
          <reference field="14" count="1" selected="0">
            <x v="245"/>
          </reference>
          <reference field="18" count="1" selected="0">
            <x v="14"/>
          </reference>
          <reference field="19" count="1">
            <x v="9"/>
          </reference>
        </references>
      </pivotArea>
    </format>
    <format dxfId="8296">
      <pivotArea dataOnly="0" labelOnly="1" outline="0" fieldPosition="0">
        <references count="4">
          <reference field="11" count="1" selected="0">
            <x v="396"/>
          </reference>
          <reference field="14" count="1" selected="0">
            <x v="169"/>
          </reference>
          <reference field="18" count="1" selected="0">
            <x v="14"/>
          </reference>
          <reference field="19" count="1">
            <x v="9"/>
          </reference>
        </references>
      </pivotArea>
    </format>
    <format dxfId="8295">
      <pivotArea dataOnly="0" labelOnly="1" outline="0" fieldPosition="0">
        <references count="4">
          <reference field="11" count="1" selected="0">
            <x v="397"/>
          </reference>
          <reference field="14" count="1" selected="0">
            <x v="167"/>
          </reference>
          <reference field="18" count="1" selected="0">
            <x v="0"/>
          </reference>
          <reference field="19" count="1">
            <x v="16"/>
          </reference>
        </references>
      </pivotArea>
    </format>
    <format dxfId="8294">
      <pivotArea dataOnly="0" labelOnly="1" outline="0" fieldPosition="0">
        <references count="4">
          <reference field="11" count="1" selected="0">
            <x v="398"/>
          </reference>
          <reference field="14" count="1" selected="0">
            <x v="360"/>
          </reference>
          <reference field="18" count="1" selected="0">
            <x v="1"/>
          </reference>
          <reference field="19" count="1">
            <x v="18"/>
          </reference>
        </references>
      </pivotArea>
    </format>
    <format dxfId="8293">
      <pivotArea dataOnly="0" labelOnly="1" outline="0" fieldPosition="0">
        <references count="4">
          <reference field="11" count="1" selected="0">
            <x v="399"/>
          </reference>
          <reference field="14" count="1" selected="0">
            <x v="95"/>
          </reference>
          <reference field="18" count="1" selected="0">
            <x v="0"/>
          </reference>
          <reference field="19" count="1">
            <x v="16"/>
          </reference>
        </references>
      </pivotArea>
    </format>
    <format dxfId="8292">
      <pivotArea dataOnly="0" labelOnly="1" outline="0" fieldPosition="0">
        <references count="4">
          <reference field="11" count="1" selected="0">
            <x v="400"/>
          </reference>
          <reference field="14" count="1" selected="0">
            <x v="260"/>
          </reference>
          <reference field="18" count="1" selected="0">
            <x v="0"/>
          </reference>
          <reference field="19" count="1">
            <x v="16"/>
          </reference>
        </references>
      </pivotArea>
    </format>
    <format dxfId="8291">
      <pivotArea dataOnly="0" labelOnly="1" outline="0" fieldPosition="0">
        <references count="4">
          <reference field="11" count="1" selected="0">
            <x v="401"/>
          </reference>
          <reference field="14" count="1" selected="0">
            <x v="75"/>
          </reference>
          <reference field="18" count="1" selected="0">
            <x v="19"/>
          </reference>
          <reference field="19" count="1">
            <x v="2"/>
          </reference>
        </references>
      </pivotArea>
    </format>
    <format dxfId="8290">
      <pivotArea dataOnly="0" labelOnly="1" outline="0" fieldPosition="0">
        <references count="4">
          <reference field="11" count="1" selected="0">
            <x v="402"/>
          </reference>
          <reference field="14" count="1" selected="0">
            <x v="322"/>
          </reference>
          <reference field="18" count="1" selected="0">
            <x v="3"/>
          </reference>
          <reference field="19" count="1">
            <x v="15"/>
          </reference>
        </references>
      </pivotArea>
    </format>
    <format dxfId="8289">
      <pivotArea dataOnly="0" labelOnly="1" outline="0" fieldPosition="0">
        <references count="4">
          <reference field="11" count="1" selected="0">
            <x v="403"/>
          </reference>
          <reference field="14" count="1" selected="0">
            <x v="146"/>
          </reference>
          <reference field="18" count="1" selected="0">
            <x v="27"/>
          </reference>
          <reference field="19" count="1">
            <x v="17"/>
          </reference>
        </references>
      </pivotArea>
    </format>
    <format dxfId="8288">
      <pivotArea dataOnly="0" labelOnly="1" outline="0" fieldPosition="0">
        <references count="4">
          <reference field="11" count="1" selected="0">
            <x v="404"/>
          </reference>
          <reference field="14" count="1" selected="0">
            <x v="443"/>
          </reference>
          <reference field="18" count="1" selected="0">
            <x v="11"/>
          </reference>
          <reference field="19" count="1">
            <x v="20"/>
          </reference>
        </references>
      </pivotArea>
    </format>
    <format dxfId="8287">
      <pivotArea dataOnly="0" labelOnly="1" outline="0" fieldPosition="0">
        <references count="4">
          <reference field="11" count="1" selected="0">
            <x v="404"/>
          </reference>
          <reference field="14" count="1" selected="0">
            <x v="443"/>
          </reference>
          <reference field="18" count="1" selected="0">
            <x v="19"/>
          </reference>
          <reference field="19" count="1">
            <x v="2"/>
          </reference>
        </references>
      </pivotArea>
    </format>
    <format dxfId="8286">
      <pivotArea dataOnly="0" labelOnly="1" outline="0" fieldPosition="0">
        <references count="4">
          <reference field="11" count="1" selected="0">
            <x v="405"/>
          </reference>
          <reference field="14" count="1" selected="0">
            <x v="359"/>
          </reference>
          <reference field="18" count="1" selected="0">
            <x v="27"/>
          </reference>
          <reference field="19" count="1">
            <x v="17"/>
          </reference>
        </references>
      </pivotArea>
    </format>
    <format dxfId="8285">
      <pivotArea dataOnly="0" labelOnly="1" outline="0" fieldPosition="0">
        <references count="4">
          <reference field="11" count="1" selected="0">
            <x v="406"/>
          </reference>
          <reference field="14" count="1" selected="0">
            <x v="381"/>
          </reference>
          <reference field="18" count="1" selected="0">
            <x v="0"/>
          </reference>
          <reference field="19" count="1">
            <x v="16"/>
          </reference>
        </references>
      </pivotArea>
    </format>
    <format dxfId="8284">
      <pivotArea dataOnly="0" labelOnly="1" outline="0" fieldPosition="0">
        <references count="4">
          <reference field="11" count="1" selected="0">
            <x v="407"/>
          </reference>
          <reference field="14" count="1" selected="0">
            <x v="65"/>
          </reference>
          <reference field="18" count="1" selected="0">
            <x v="6"/>
          </reference>
          <reference field="19" count="1">
            <x v="23"/>
          </reference>
        </references>
      </pivotArea>
    </format>
    <format dxfId="8283">
      <pivotArea dataOnly="0" labelOnly="1" outline="0" fieldPosition="0">
        <references count="4">
          <reference field="11" count="1" selected="0">
            <x v="408"/>
          </reference>
          <reference field="14" count="1" selected="0">
            <x v="20"/>
          </reference>
          <reference field="18" count="1" selected="0">
            <x v="3"/>
          </reference>
          <reference field="19" count="1">
            <x v="15"/>
          </reference>
        </references>
      </pivotArea>
    </format>
    <format dxfId="8282">
      <pivotArea dataOnly="0" labelOnly="1" outline="0" fieldPosition="0">
        <references count="4">
          <reference field="11" count="1" selected="0">
            <x v="409"/>
          </reference>
          <reference field="14" count="1" selected="0">
            <x v="175"/>
          </reference>
          <reference field="18" count="1" selected="0">
            <x v="3"/>
          </reference>
          <reference field="19" count="1">
            <x v="15"/>
          </reference>
        </references>
      </pivotArea>
    </format>
    <format dxfId="8281">
      <pivotArea dataOnly="0" labelOnly="1" outline="0" fieldPosition="0">
        <references count="4">
          <reference field="11" count="1" selected="0">
            <x v="410"/>
          </reference>
          <reference field="14" count="1" selected="0">
            <x v="366"/>
          </reference>
          <reference field="18" count="1" selected="0">
            <x v="3"/>
          </reference>
          <reference field="19" count="1">
            <x v="15"/>
          </reference>
        </references>
      </pivotArea>
    </format>
    <format dxfId="8280">
      <pivotArea dataOnly="0" labelOnly="1" outline="0" fieldPosition="0">
        <references count="4">
          <reference field="11" count="1" selected="0">
            <x v="411"/>
          </reference>
          <reference field="14" count="1" selected="0">
            <x v="204"/>
          </reference>
          <reference field="18" count="1" selected="0">
            <x v="7"/>
          </reference>
          <reference field="19" count="1">
            <x v="4"/>
          </reference>
        </references>
      </pivotArea>
    </format>
    <format dxfId="8279">
      <pivotArea dataOnly="0" labelOnly="1" outline="0" fieldPosition="0">
        <references count="4">
          <reference field="11" count="1" selected="0">
            <x v="412"/>
          </reference>
          <reference field="14" count="1" selected="0">
            <x v="441"/>
          </reference>
          <reference field="18" count="1" selected="0">
            <x v="19"/>
          </reference>
          <reference field="19" count="1">
            <x v="2"/>
          </reference>
        </references>
      </pivotArea>
    </format>
    <format dxfId="8278">
      <pivotArea dataOnly="0" labelOnly="1" outline="0" fieldPosition="0">
        <references count="4">
          <reference field="11" count="1" selected="0">
            <x v="413"/>
          </reference>
          <reference field="14" count="1" selected="0">
            <x v="73"/>
          </reference>
          <reference field="18" count="1" selected="0">
            <x v="22"/>
          </reference>
          <reference field="19" count="1">
            <x v="11"/>
          </reference>
        </references>
      </pivotArea>
    </format>
    <format dxfId="8277">
      <pivotArea dataOnly="0" labelOnly="1" outline="0" fieldPosition="0">
        <references count="4">
          <reference field="11" count="1" selected="0">
            <x v="414"/>
          </reference>
          <reference field="14" count="1" selected="0">
            <x v="125"/>
          </reference>
          <reference field="18" count="1" selected="0">
            <x v="14"/>
          </reference>
          <reference field="19" count="1">
            <x v="9"/>
          </reference>
        </references>
      </pivotArea>
    </format>
    <format dxfId="8276">
      <pivotArea dataOnly="0" labelOnly="1" outline="0" fieldPosition="0">
        <references count="4">
          <reference field="11" count="1" selected="0">
            <x v="415"/>
          </reference>
          <reference field="14" count="1" selected="0">
            <x v="324"/>
          </reference>
          <reference field="18" count="1" selected="0">
            <x v="0"/>
          </reference>
          <reference field="19" count="1">
            <x v="16"/>
          </reference>
        </references>
      </pivotArea>
    </format>
    <format dxfId="8275">
      <pivotArea dataOnly="0" labelOnly="1" outline="0" fieldPosition="0">
        <references count="4">
          <reference field="11" count="1" selected="0">
            <x v="416"/>
          </reference>
          <reference field="14" count="1" selected="0">
            <x v="108"/>
          </reference>
          <reference field="18" count="1" selected="0">
            <x v="0"/>
          </reference>
          <reference field="19" count="1">
            <x v="16"/>
          </reference>
        </references>
      </pivotArea>
    </format>
    <format dxfId="8274">
      <pivotArea dataOnly="0" labelOnly="1" outline="0" fieldPosition="0">
        <references count="4">
          <reference field="11" count="1" selected="0">
            <x v="417"/>
          </reference>
          <reference field="14" count="1" selected="0">
            <x v="109"/>
          </reference>
          <reference field="18" count="1" selected="0">
            <x v="1"/>
          </reference>
          <reference field="19" count="1">
            <x v="18"/>
          </reference>
        </references>
      </pivotArea>
    </format>
    <format dxfId="8273">
      <pivotArea dataOnly="0" labelOnly="1" outline="0" fieldPosition="0">
        <references count="4">
          <reference field="11" count="1" selected="0">
            <x v="418"/>
          </reference>
          <reference field="14" count="1" selected="0">
            <x v="110"/>
          </reference>
          <reference field="18" count="1" selected="0">
            <x v="3"/>
          </reference>
          <reference field="19" count="1">
            <x v="15"/>
          </reference>
        </references>
      </pivotArea>
    </format>
    <format dxfId="8272">
      <pivotArea dataOnly="0" labelOnly="1" outline="0" fieldPosition="0">
        <references count="4">
          <reference field="11" count="1" selected="0">
            <x v="418"/>
          </reference>
          <reference field="14" count="1" selected="0">
            <x v="110"/>
          </reference>
          <reference field="18" count="1" selected="0">
            <x v="9"/>
          </reference>
          <reference field="19" count="1">
            <x v="6"/>
          </reference>
        </references>
      </pivotArea>
    </format>
    <format dxfId="8271">
      <pivotArea dataOnly="0" labelOnly="1" outline="0" fieldPosition="0">
        <references count="4">
          <reference field="11" count="1" selected="0">
            <x v="419"/>
          </reference>
          <reference field="14" count="1" selected="0">
            <x v="107"/>
          </reference>
          <reference field="18" count="1" selected="0">
            <x v="0"/>
          </reference>
          <reference field="19" count="1">
            <x v="16"/>
          </reference>
        </references>
      </pivotArea>
    </format>
    <format dxfId="8270">
      <pivotArea dataOnly="0" labelOnly="1" outline="0" fieldPosition="0">
        <references count="4">
          <reference field="11" count="1" selected="0">
            <x v="420"/>
          </reference>
          <reference field="14" count="1" selected="0">
            <x v="45"/>
          </reference>
          <reference field="18" count="1" selected="0">
            <x v="0"/>
          </reference>
          <reference field="19" count="1">
            <x v="16"/>
          </reference>
        </references>
      </pivotArea>
    </format>
    <format dxfId="8269">
      <pivotArea dataOnly="0" labelOnly="1" outline="0" fieldPosition="0">
        <references count="4">
          <reference field="11" count="1" selected="0">
            <x v="421"/>
          </reference>
          <reference field="14" count="1" selected="0">
            <x v="287"/>
          </reference>
          <reference field="18" count="1" selected="0">
            <x v="0"/>
          </reference>
          <reference field="19" count="1">
            <x v="16"/>
          </reference>
        </references>
      </pivotArea>
    </format>
    <format dxfId="8268">
      <pivotArea dataOnly="0" labelOnly="1" outline="0" fieldPosition="0">
        <references count="4">
          <reference field="11" count="1" selected="0">
            <x v="422"/>
          </reference>
          <reference field="14" count="1" selected="0">
            <x v="363"/>
          </reference>
          <reference field="18" count="1" selected="0">
            <x v="16"/>
          </reference>
          <reference field="19" count="1">
            <x v="24"/>
          </reference>
        </references>
      </pivotArea>
    </format>
    <format dxfId="8267">
      <pivotArea dataOnly="0" labelOnly="1" outline="0" fieldPosition="0">
        <references count="4">
          <reference field="11" count="1" selected="0">
            <x v="422"/>
          </reference>
          <reference field="14" count="1" selected="0">
            <x v="363"/>
          </reference>
          <reference field="18" count="1" selected="0">
            <x v="18"/>
          </reference>
          <reference field="19" count="1">
            <x v="26"/>
          </reference>
        </references>
      </pivotArea>
    </format>
    <format dxfId="8266">
      <pivotArea dataOnly="0" labelOnly="1" outline="0" fieldPosition="0">
        <references count="4">
          <reference field="11" count="1" selected="0">
            <x v="423"/>
          </reference>
          <reference field="14" count="1" selected="0">
            <x v="259"/>
          </reference>
          <reference field="18" count="1" selected="0">
            <x v="12"/>
          </reference>
          <reference field="19" count="1">
            <x v="13"/>
          </reference>
        </references>
      </pivotArea>
    </format>
    <format dxfId="8265">
      <pivotArea dataOnly="0" labelOnly="1" outline="0" fieldPosition="0">
        <references count="4">
          <reference field="11" count="1" selected="0">
            <x v="424"/>
          </reference>
          <reference field="14" count="1" selected="0">
            <x v="408"/>
          </reference>
          <reference field="18" count="1" selected="0">
            <x v="0"/>
          </reference>
          <reference field="19" count="1">
            <x v="16"/>
          </reference>
        </references>
      </pivotArea>
    </format>
    <format dxfId="8264">
      <pivotArea dataOnly="0" labelOnly="1" outline="0" fieldPosition="0">
        <references count="4">
          <reference field="11" count="1" selected="0">
            <x v="425"/>
          </reference>
          <reference field="14" count="1" selected="0">
            <x v="289"/>
          </reference>
          <reference field="18" count="1" selected="0">
            <x v="14"/>
          </reference>
          <reference field="19" count="1">
            <x v="9"/>
          </reference>
        </references>
      </pivotArea>
    </format>
    <format dxfId="8263">
      <pivotArea dataOnly="0" labelOnly="1" outline="0" fieldPosition="0">
        <references count="4">
          <reference field="11" count="1" selected="0">
            <x v="426"/>
          </reference>
          <reference field="14" count="1" selected="0">
            <x v="401"/>
          </reference>
          <reference field="18" count="1" selected="0">
            <x v="0"/>
          </reference>
          <reference field="19" count="1">
            <x v="16"/>
          </reference>
        </references>
      </pivotArea>
    </format>
    <format dxfId="8262">
      <pivotArea dataOnly="0" labelOnly="1" outline="0" fieldPosition="0">
        <references count="4">
          <reference field="11" count="1" selected="0">
            <x v="427"/>
          </reference>
          <reference field="14" count="1" selected="0">
            <x v="407"/>
          </reference>
          <reference field="18" count="1" selected="0">
            <x v="0"/>
          </reference>
          <reference field="19" count="1">
            <x v="16"/>
          </reference>
        </references>
      </pivotArea>
    </format>
    <format dxfId="8261">
      <pivotArea dataOnly="0" labelOnly="1" outline="0" fieldPosition="0">
        <references count="4">
          <reference field="11" count="1" selected="0">
            <x v="428"/>
          </reference>
          <reference field="14" count="1" selected="0">
            <x v="412"/>
          </reference>
          <reference field="18" count="1" selected="0">
            <x v="0"/>
          </reference>
          <reference field="19" count="1">
            <x v="16"/>
          </reference>
        </references>
      </pivotArea>
    </format>
    <format dxfId="8260">
      <pivotArea dataOnly="0" labelOnly="1" outline="0" fieldPosition="0">
        <references count="4">
          <reference field="11" count="1" selected="0">
            <x v="429"/>
          </reference>
          <reference field="14" count="1" selected="0">
            <x v="421"/>
          </reference>
          <reference field="18" count="1" selected="0">
            <x v="19"/>
          </reference>
          <reference field="19" count="1">
            <x v="2"/>
          </reference>
        </references>
      </pivotArea>
    </format>
    <format dxfId="8259">
      <pivotArea dataOnly="0" labelOnly="1" outline="0" fieldPosition="0">
        <references count="4">
          <reference field="11" count="1" selected="0">
            <x v="430"/>
          </reference>
          <reference field="14" count="1" selected="0">
            <x v="444"/>
          </reference>
          <reference field="18" count="1" selected="0">
            <x v="19"/>
          </reference>
          <reference field="19" count="1">
            <x v="2"/>
          </reference>
        </references>
      </pivotArea>
    </format>
    <format dxfId="8258">
      <pivotArea dataOnly="0" labelOnly="1" outline="0" fieldPosition="0">
        <references count="4">
          <reference field="11" count="1" selected="0">
            <x v="431"/>
          </reference>
          <reference field="14" count="1" selected="0">
            <x v="191"/>
          </reference>
          <reference field="18" count="1" selected="0">
            <x v="3"/>
          </reference>
          <reference field="19" count="1">
            <x v="15"/>
          </reference>
        </references>
      </pivotArea>
    </format>
    <format dxfId="8257">
      <pivotArea dataOnly="0" labelOnly="1" outline="0" fieldPosition="0">
        <references count="4">
          <reference field="11" count="1" selected="0">
            <x v="432"/>
          </reference>
          <reference field="14" count="1" selected="0">
            <x v="119"/>
          </reference>
          <reference field="18" count="1" selected="0">
            <x v="12"/>
          </reference>
          <reference field="19" count="1">
            <x v="13"/>
          </reference>
        </references>
      </pivotArea>
    </format>
    <format dxfId="8256">
      <pivotArea dataOnly="0" labelOnly="1" outline="0" fieldPosition="0">
        <references count="4">
          <reference field="11" count="1" selected="0">
            <x v="432"/>
          </reference>
          <reference field="14" count="1" selected="0">
            <x v="119"/>
          </reference>
          <reference field="18" count="1" selected="0">
            <x v="14"/>
          </reference>
          <reference field="19" count="1">
            <x v="9"/>
          </reference>
        </references>
      </pivotArea>
    </format>
    <format dxfId="8255">
      <pivotArea dataOnly="0" labelOnly="1" outline="0" fieldPosition="0">
        <references count="4">
          <reference field="11" count="1" selected="0">
            <x v="433"/>
          </reference>
          <reference field="14" count="1" selected="0">
            <x v="80"/>
          </reference>
          <reference field="18" count="1" selected="0">
            <x v="27"/>
          </reference>
          <reference field="19" count="1">
            <x v="17"/>
          </reference>
        </references>
      </pivotArea>
    </format>
    <format dxfId="8254">
      <pivotArea dataOnly="0" labelOnly="1" outline="0" fieldPosition="0">
        <references count="4">
          <reference field="11" count="1" selected="0">
            <x v="434"/>
          </reference>
          <reference field="14" count="1" selected="0">
            <x v="84"/>
          </reference>
          <reference field="18" count="1" selected="0">
            <x v="0"/>
          </reference>
          <reference field="19" count="1">
            <x v="16"/>
          </reference>
        </references>
      </pivotArea>
    </format>
    <format dxfId="8253">
      <pivotArea dataOnly="0" labelOnly="1" outline="0" fieldPosition="0">
        <references count="4">
          <reference field="11" count="1" selected="0">
            <x v="434"/>
          </reference>
          <reference field="14" count="1" selected="0">
            <x v="84"/>
          </reference>
          <reference field="18" count="1" selected="0">
            <x v="27"/>
          </reference>
          <reference field="19" count="1">
            <x v="17"/>
          </reference>
        </references>
      </pivotArea>
    </format>
    <format dxfId="8252">
      <pivotArea dataOnly="0" labelOnly="1" outline="0" fieldPosition="0">
        <references count="4">
          <reference field="11" count="1" selected="0">
            <x v="435"/>
          </reference>
          <reference field="14" count="1" selected="0">
            <x v="236"/>
          </reference>
          <reference field="18" count="1" selected="0">
            <x v="27"/>
          </reference>
          <reference field="19" count="1">
            <x v="17"/>
          </reference>
        </references>
      </pivotArea>
    </format>
    <format dxfId="8251">
      <pivotArea dataOnly="0" labelOnly="1" outline="0" fieldPosition="0">
        <references count="4">
          <reference field="11" count="1" selected="0">
            <x v="436"/>
          </reference>
          <reference field="14" count="1" selected="0">
            <x v="99"/>
          </reference>
          <reference field="18" count="1" selected="0">
            <x v="1"/>
          </reference>
          <reference field="19" count="1">
            <x v="18"/>
          </reference>
        </references>
      </pivotArea>
    </format>
    <format dxfId="8250">
      <pivotArea dataOnly="0" labelOnly="1" outline="0" fieldPosition="0">
        <references count="4">
          <reference field="11" count="1" selected="0">
            <x v="437"/>
          </reference>
          <reference field="14" count="1" selected="0">
            <x v="246"/>
          </reference>
          <reference field="18" count="1" selected="0">
            <x v="14"/>
          </reference>
          <reference field="19" count="1">
            <x v="9"/>
          </reference>
        </references>
      </pivotArea>
    </format>
    <format dxfId="8249">
      <pivotArea dataOnly="0" labelOnly="1" outline="0" fieldPosition="0">
        <references count="4">
          <reference field="11" count="1" selected="0">
            <x v="438"/>
          </reference>
          <reference field="14" count="1" selected="0">
            <x v="15"/>
          </reference>
          <reference field="18" count="1" selected="0">
            <x v="8"/>
          </reference>
          <reference field="19" count="1">
            <x v="5"/>
          </reference>
        </references>
      </pivotArea>
    </format>
    <format dxfId="8248">
      <pivotArea dataOnly="0" labelOnly="1" outline="0" fieldPosition="0">
        <references count="4">
          <reference field="11" count="1" selected="0">
            <x v="438"/>
          </reference>
          <reference field="14" count="1" selected="0">
            <x v="15"/>
          </reference>
          <reference field="18" count="1" selected="0">
            <x v="14"/>
          </reference>
          <reference field="19" count="1">
            <x v="9"/>
          </reference>
        </references>
      </pivotArea>
    </format>
    <format dxfId="8247">
      <pivotArea dataOnly="0" labelOnly="1" outline="0" fieldPosition="0">
        <references count="4">
          <reference field="11" count="1" selected="0">
            <x v="439"/>
          </reference>
          <reference field="14" count="1" selected="0">
            <x v="446"/>
          </reference>
          <reference field="18" count="1" selected="0">
            <x v="19"/>
          </reference>
          <reference field="19" count="1">
            <x v="2"/>
          </reference>
        </references>
      </pivotArea>
    </format>
    <format dxfId="8246">
      <pivotArea dataOnly="0" labelOnly="1" outline="0" fieldPosition="0">
        <references count="4">
          <reference field="11" count="1" selected="0">
            <x v="440"/>
          </reference>
          <reference field="14" count="1" selected="0">
            <x v="208"/>
          </reference>
          <reference field="18" count="1" selected="0">
            <x v="27"/>
          </reference>
          <reference field="19" count="1">
            <x v="17"/>
          </reference>
        </references>
      </pivotArea>
    </format>
    <format dxfId="8245">
      <pivotArea dataOnly="0" labelOnly="1" outline="0" fieldPosition="0">
        <references count="4">
          <reference field="11" count="1" selected="0">
            <x v="441"/>
          </reference>
          <reference field="14" count="1" selected="0">
            <x v="30"/>
          </reference>
          <reference field="18" count="1" selected="0">
            <x v="27"/>
          </reference>
          <reference field="19" count="1">
            <x v="17"/>
          </reference>
        </references>
      </pivotArea>
    </format>
    <format dxfId="8244">
      <pivotArea dataOnly="0" labelOnly="1" outline="0" fieldPosition="0">
        <references count="4">
          <reference field="11" count="1" selected="0">
            <x v="442"/>
          </reference>
          <reference field="14" count="1" selected="0">
            <x v="306"/>
          </reference>
          <reference field="18" count="1" selected="0">
            <x v="27"/>
          </reference>
          <reference field="19" count="1">
            <x v="17"/>
          </reference>
        </references>
      </pivotArea>
    </format>
    <format dxfId="8243">
      <pivotArea dataOnly="0" labelOnly="1" outline="0" fieldPosition="0">
        <references count="4">
          <reference field="11" count="1" selected="0">
            <x v="443"/>
          </reference>
          <reference field="14" count="1" selected="0">
            <x v="432"/>
          </reference>
          <reference field="18" count="1" selected="0">
            <x v="19"/>
          </reference>
          <reference field="19" count="1">
            <x v="2"/>
          </reference>
        </references>
      </pivotArea>
    </format>
    <format dxfId="8242">
      <pivotArea dataOnly="0" labelOnly="1" outline="0" fieldPosition="0">
        <references count="4">
          <reference field="11" count="1" selected="0">
            <x v="444"/>
          </reference>
          <reference field="14" count="1" selected="0">
            <x v="436"/>
          </reference>
          <reference field="18" count="1" selected="0">
            <x v="19"/>
          </reference>
          <reference field="19" count="1">
            <x v="2"/>
          </reference>
        </references>
      </pivotArea>
    </format>
    <format dxfId="8241">
      <pivotArea dataOnly="0" labelOnly="1" outline="0" fieldPosition="0">
        <references count="4">
          <reference field="11" count="1" selected="0">
            <x v="445"/>
          </reference>
          <reference field="14" count="1" selected="0">
            <x v="437"/>
          </reference>
          <reference field="18" count="1" selected="0">
            <x v="19"/>
          </reference>
          <reference field="19" count="1">
            <x v="2"/>
          </reference>
        </references>
      </pivotArea>
    </format>
    <format dxfId="8240">
      <pivotArea dataOnly="0" labelOnly="1" outline="0" fieldPosition="0">
        <references count="4">
          <reference field="11" count="1" selected="0">
            <x v="446"/>
          </reference>
          <reference field="14" count="1" selected="0">
            <x v="29"/>
          </reference>
          <reference field="18" count="1" selected="0">
            <x v="19"/>
          </reference>
          <reference field="19" count="1">
            <x v="2"/>
          </reference>
        </references>
      </pivotArea>
    </format>
    <format dxfId="8239">
      <pivotArea dataOnly="0" labelOnly="1" outline="0" fieldPosition="0">
        <references count="4">
          <reference field="11" count="1" selected="0">
            <x v="447"/>
          </reference>
          <reference field="14" count="1" selected="0">
            <x v="57"/>
          </reference>
          <reference field="18" count="1" selected="0">
            <x v="27"/>
          </reference>
          <reference field="19" count="1">
            <x v="17"/>
          </reference>
        </references>
      </pivotArea>
    </format>
    <format dxfId="8238">
      <pivotArea dataOnly="0" labelOnly="1" outline="0" fieldPosition="0">
        <references count="4">
          <reference field="11" count="1" selected="0">
            <x v="448"/>
          </reference>
          <reference field="14" count="1" selected="0">
            <x v="58"/>
          </reference>
          <reference field="18" count="1" selected="0">
            <x v="27"/>
          </reference>
          <reference field="19" count="1">
            <x v="17"/>
          </reference>
        </references>
      </pivotArea>
    </format>
    <format dxfId="8237">
      <pivotArea dataOnly="0" labelOnly="1" outline="0" fieldPosition="0">
        <references count="4">
          <reference field="11" count="1" selected="0">
            <x v="449"/>
          </reference>
          <reference field="14" count="1" selected="0">
            <x v="10"/>
          </reference>
          <reference field="18" count="1" selected="0">
            <x v="24"/>
          </reference>
          <reference field="19" count="1">
            <x v="7"/>
          </reference>
        </references>
      </pivotArea>
    </format>
    <format dxfId="8236">
      <pivotArea dataOnly="0" labelOnly="1" outline="0" fieldPosition="0">
        <references count="4">
          <reference field="11" count="1" selected="0">
            <x v="449"/>
          </reference>
          <reference field="14" count="1" selected="0">
            <x v="10"/>
          </reference>
          <reference field="18" count="1" selected="0">
            <x v="27"/>
          </reference>
          <reference field="19" count="1">
            <x v="17"/>
          </reference>
        </references>
      </pivotArea>
    </format>
    <format dxfId="8235">
      <pivotArea dataOnly="0" labelOnly="1" outline="0" fieldPosition="0">
        <references count="4">
          <reference field="11" count="1" selected="0">
            <x v="450"/>
          </reference>
          <reference field="14" count="1" selected="0">
            <x v="141"/>
          </reference>
          <reference field="18" count="1" selected="0">
            <x v="0"/>
          </reference>
          <reference field="19" count="1">
            <x v="16"/>
          </reference>
        </references>
      </pivotArea>
    </format>
    <format dxfId="8234">
      <pivotArea dataOnly="0" labelOnly="1" outline="0" fieldPosition="0">
        <references count="4">
          <reference field="11" count="1" selected="0">
            <x v="450"/>
          </reference>
          <reference field="14" count="1" selected="0">
            <x v="141"/>
          </reference>
          <reference field="18" count="1" selected="0">
            <x v="27"/>
          </reference>
          <reference field="19" count="1">
            <x v="17"/>
          </reference>
        </references>
      </pivotArea>
    </format>
    <format dxfId="8233">
      <pivotArea dataOnly="0" labelOnly="1" outline="0" fieldPosition="0">
        <references count="4">
          <reference field="11" count="1" selected="0">
            <x v="451"/>
          </reference>
          <reference field="14" count="1" selected="0">
            <x v="101"/>
          </reference>
          <reference field="18" count="1" selected="0">
            <x v="27"/>
          </reference>
          <reference field="19" count="1">
            <x v="17"/>
          </reference>
        </references>
      </pivotArea>
    </format>
    <format dxfId="8232">
      <pivotArea dataOnly="0" labelOnly="1" outline="0" fieldPosition="0">
        <references count="4">
          <reference field="11" count="1" selected="0">
            <x v="452"/>
          </reference>
          <reference field="14" count="1" selected="0">
            <x v="450"/>
          </reference>
          <reference field="18" count="1" selected="0">
            <x v="19"/>
          </reference>
          <reference field="19" count="1">
            <x v="2"/>
          </reference>
        </references>
      </pivotArea>
    </format>
    <format dxfId="8231">
      <pivotArea dataOnly="0" labelOnly="1" outline="0" fieldPosition="0">
        <references count="4">
          <reference field="11" count="1" selected="0">
            <x v="453"/>
          </reference>
          <reference field="14" count="1" selected="0">
            <x v="144"/>
          </reference>
          <reference field="18" count="1" selected="0">
            <x v="3"/>
          </reference>
          <reference field="19" count="1">
            <x v="15"/>
          </reference>
        </references>
      </pivotArea>
    </format>
    <format dxfId="8230">
      <pivotArea dataOnly="0" labelOnly="1" outline="0" fieldPosition="0">
        <references count="4">
          <reference field="11" count="1" selected="0">
            <x v="454"/>
          </reference>
          <reference field="14" count="1" selected="0">
            <x v="397"/>
          </reference>
          <reference field="18" count="1" selected="0">
            <x v="3"/>
          </reference>
          <reference field="19" count="1">
            <x v="15"/>
          </reference>
        </references>
      </pivotArea>
    </format>
    <format dxfId="8229">
      <pivotArea dataOnly="0" labelOnly="1" outline="0" fieldPosition="0">
        <references count="4">
          <reference field="11" count="1" selected="0">
            <x v="455"/>
          </reference>
          <reference field="14" count="1" selected="0">
            <x v="390"/>
          </reference>
          <reference field="18" count="1" selected="0">
            <x v="3"/>
          </reference>
          <reference field="19" count="1">
            <x v="15"/>
          </reference>
        </references>
      </pivotArea>
    </format>
    <format dxfId="8228">
      <pivotArea dataOnly="0" labelOnly="1" outline="0" fieldPosition="0">
        <references count="4">
          <reference field="11" count="1" selected="0">
            <x v="456"/>
          </reference>
          <reference field="14" count="1" selected="0">
            <x v="452"/>
          </reference>
          <reference field="18" count="1" selected="0">
            <x v="3"/>
          </reference>
          <reference field="19" count="1">
            <x v="15"/>
          </reference>
        </references>
      </pivotArea>
    </format>
    <format dxfId="8227">
      <pivotArea dataOnly="0" labelOnly="1" outline="0" fieldPosition="0">
        <references count="4">
          <reference field="11" count="1" selected="0">
            <x v="457"/>
          </reference>
          <reference field="14" count="1" selected="0">
            <x v="12"/>
          </reference>
          <reference field="18" count="1" selected="0">
            <x v="3"/>
          </reference>
          <reference field="19" count="1">
            <x v="15"/>
          </reference>
        </references>
      </pivotArea>
    </format>
    <format dxfId="8226">
      <pivotArea dataOnly="0" labelOnly="1" outline="0" fieldPosition="0">
        <references count="4">
          <reference field="11" count="1" selected="0">
            <x v="458"/>
          </reference>
          <reference field="14" count="1" selected="0">
            <x v="367"/>
          </reference>
          <reference field="18" count="1" selected="0">
            <x v="3"/>
          </reference>
          <reference field="19" count="1">
            <x v="15"/>
          </reference>
        </references>
      </pivotArea>
    </format>
    <format dxfId="8225">
      <pivotArea dataOnly="0" labelOnly="1" outline="0" fieldPosition="0">
        <references count="4">
          <reference field="11" count="1" selected="0">
            <x v="459"/>
          </reference>
          <reference field="14" count="1" selected="0">
            <x v="368"/>
          </reference>
          <reference field="18" count="1" selected="0">
            <x v="3"/>
          </reference>
          <reference field="19" count="1">
            <x v="15"/>
          </reference>
        </references>
      </pivotArea>
    </format>
    <format dxfId="8224">
      <pivotArea dataOnly="0" labelOnly="1" outline="0" fieldPosition="0">
        <references count="4">
          <reference field="11" count="1" selected="0">
            <x v="460"/>
          </reference>
          <reference field="14" count="1" selected="0">
            <x v="369"/>
          </reference>
          <reference field="18" count="1" selected="0">
            <x v="3"/>
          </reference>
          <reference field="19" count="1">
            <x v="15"/>
          </reference>
        </references>
      </pivotArea>
    </format>
    <format dxfId="8223">
      <pivotArea dataOnly="0" labelOnly="1" outline="0" fieldPosition="0">
        <references count="4">
          <reference field="11" count="1" selected="0">
            <x v="461"/>
          </reference>
          <reference field="14" count="1" selected="0">
            <x v="301"/>
          </reference>
          <reference field="18" count="1" selected="0">
            <x v="7"/>
          </reference>
          <reference field="19" count="1">
            <x v="4"/>
          </reference>
        </references>
      </pivotArea>
    </format>
    <format dxfId="8222">
      <pivotArea dataOnly="0" labelOnly="1" outline="0" fieldPosition="0">
        <references count="4">
          <reference field="11" count="1" selected="0">
            <x v="461"/>
          </reference>
          <reference field="14" count="1" selected="0">
            <x v="301"/>
          </reference>
          <reference field="18" count="1" selected="0">
            <x v="8"/>
          </reference>
          <reference field="19" count="1">
            <x v="5"/>
          </reference>
        </references>
      </pivotArea>
    </format>
    <format dxfId="8221">
      <pivotArea dataOnly="0" labelOnly="1" outline="0" fieldPosition="0">
        <references count="4">
          <reference field="11" count="1" selected="0">
            <x v="461"/>
          </reference>
          <reference field="14" count="1" selected="0">
            <x v="301"/>
          </reference>
          <reference field="18" count="1" selected="0">
            <x v="13"/>
          </reference>
          <reference field="19" count="1">
            <x v="21"/>
          </reference>
        </references>
      </pivotArea>
    </format>
    <format dxfId="8220">
      <pivotArea dataOnly="0" labelOnly="1" outline="0" fieldPosition="0">
        <references count="4">
          <reference field="11" count="1" selected="0">
            <x v="462"/>
          </reference>
          <reference field="14" count="1" selected="0">
            <x v="434"/>
          </reference>
          <reference field="18" count="1" selected="0">
            <x v="19"/>
          </reference>
          <reference field="19" count="1">
            <x v="2"/>
          </reference>
        </references>
      </pivotArea>
    </format>
    <format dxfId="8219">
      <pivotArea dataOnly="0" labelOnly="1" outline="0" fieldPosition="0">
        <references count="4">
          <reference field="11" count="1" selected="0">
            <x v="463"/>
          </reference>
          <reference field="14" count="1" selected="0">
            <x v="440"/>
          </reference>
          <reference field="18" count="1" selected="0">
            <x v="19"/>
          </reference>
          <reference field="19" count="1">
            <x v="2"/>
          </reference>
        </references>
      </pivotArea>
    </format>
    <format dxfId="8218">
      <pivotArea dataOnly="0" labelOnly="1" outline="0" fieldPosition="0">
        <references count="4">
          <reference field="11" count="1" selected="0">
            <x v="464"/>
          </reference>
          <reference field="14" count="1" selected="0">
            <x v="442"/>
          </reference>
          <reference field="18" count="1" selected="0">
            <x v="19"/>
          </reference>
          <reference field="19" count="1">
            <x v="2"/>
          </reference>
        </references>
      </pivotArea>
    </format>
    <format dxfId="8217">
      <pivotArea dataOnly="0" labelOnly="1" outline="0" fieldPosition="0">
        <references count="4">
          <reference field="11" count="1" selected="0">
            <x v="465"/>
          </reference>
          <reference field="14" count="1" selected="0">
            <x v="355"/>
          </reference>
          <reference field="18" count="1" selected="0">
            <x v="27"/>
          </reference>
          <reference field="19" count="1">
            <x v="17"/>
          </reference>
        </references>
      </pivotArea>
    </format>
    <format dxfId="8216">
      <pivotArea dataOnly="0" labelOnly="1" outline="0" fieldPosition="0">
        <references count="4">
          <reference field="11" count="1" selected="0">
            <x v="466"/>
          </reference>
          <reference field="14" count="1" selected="0">
            <x v="115"/>
          </reference>
          <reference field="18" count="1" selected="0">
            <x v="27"/>
          </reference>
          <reference field="19" count="1">
            <x v="17"/>
          </reference>
        </references>
      </pivotArea>
    </format>
    <format dxfId="8215">
      <pivotArea dataOnly="0" labelOnly="1" outline="0" fieldPosition="0">
        <references count="4">
          <reference field="11" count="1" selected="0">
            <x v="467"/>
          </reference>
          <reference field="14" count="1" selected="0">
            <x v="270"/>
          </reference>
          <reference field="18" count="1" selected="0">
            <x v="2"/>
          </reference>
          <reference field="19" count="1">
            <x v="22"/>
          </reference>
        </references>
      </pivotArea>
    </format>
    <format dxfId="8214">
      <pivotArea dataOnly="0" labelOnly="1" outline="0" fieldPosition="0">
        <references count="4">
          <reference field="11" count="1" selected="0">
            <x v="468"/>
          </reference>
          <reference field="14" count="1" selected="0">
            <x v="380"/>
          </reference>
          <reference field="18" count="1" selected="0">
            <x v="6"/>
          </reference>
          <reference field="19" count="1">
            <x v="23"/>
          </reference>
        </references>
      </pivotArea>
    </format>
    <format dxfId="8213">
      <pivotArea dataOnly="0" labelOnly="1" outline="0" fieldPosition="0">
        <references count="4">
          <reference field="11" count="1" selected="0">
            <x v="469"/>
          </reference>
          <reference field="14" count="1" selected="0">
            <x v="291"/>
          </reference>
          <reference field="18" count="1" selected="0">
            <x v="6"/>
          </reference>
          <reference field="19" count="1">
            <x v="23"/>
          </reference>
        </references>
      </pivotArea>
    </format>
    <format dxfId="8212">
      <pivotArea dataOnly="0" labelOnly="1" outline="0" fieldPosition="0">
        <references count="4">
          <reference field="11" count="1" selected="0">
            <x v="469"/>
          </reference>
          <reference field="14" count="1" selected="0">
            <x v="291"/>
          </reference>
          <reference field="18" count="1" selected="0">
            <x v="24"/>
          </reference>
          <reference field="19" count="1">
            <x v="7"/>
          </reference>
        </references>
      </pivotArea>
    </format>
    <format dxfId="8211">
      <pivotArea dataOnly="0" labelOnly="1" outline="0" fieldPosition="0">
        <references count="4">
          <reference field="11" count="1" selected="0">
            <x v="469"/>
          </reference>
          <reference field="14" count="1" selected="0">
            <x v="291"/>
          </reference>
          <reference field="18" count="1" selected="0">
            <x v="25"/>
          </reference>
          <reference field="19" count="1">
            <x v="14"/>
          </reference>
        </references>
      </pivotArea>
    </format>
    <format dxfId="8210">
      <pivotArea dataOnly="0" labelOnly="1" outline="0" fieldPosition="0">
        <references count="4">
          <reference field="11" count="1" selected="0">
            <x v="470"/>
          </reference>
          <reference field="14" count="1" selected="0">
            <x v="100"/>
          </reference>
          <reference field="18" count="1" selected="0">
            <x v="0"/>
          </reference>
          <reference field="19" count="1">
            <x v="16"/>
          </reference>
        </references>
      </pivotArea>
    </format>
    <format dxfId="8209">
      <pivotArea dataOnly="0" labelOnly="1" outline="0" fieldPosition="0">
        <references count="4">
          <reference field="11" count="1" selected="0">
            <x v="471"/>
          </reference>
          <reference field="14" count="1" selected="0">
            <x v="295"/>
          </reference>
          <reference field="18" count="1" selected="0">
            <x v="2"/>
          </reference>
          <reference field="19" count="1">
            <x v="22"/>
          </reference>
        </references>
      </pivotArea>
    </format>
    <format dxfId="8208">
      <pivotArea dataOnly="0" labelOnly="1" outline="0" fieldPosition="0">
        <references count="4">
          <reference field="11" count="1" selected="0">
            <x v="472"/>
          </reference>
          <reference field="14" count="1" selected="0">
            <x v="325"/>
          </reference>
          <reference field="18" count="1" selected="0">
            <x v="6"/>
          </reference>
          <reference field="19" count="1">
            <x v="23"/>
          </reference>
        </references>
      </pivotArea>
    </format>
    <format dxfId="8207">
      <pivotArea dataOnly="0" labelOnly="1" outline="0" fieldPosition="0">
        <references count="4">
          <reference field="11" count="1" selected="0">
            <x v="473"/>
          </reference>
          <reference field="14" count="1" selected="0">
            <x v="425"/>
          </reference>
          <reference field="18" count="1" selected="0">
            <x v="19"/>
          </reference>
          <reference field="19" count="1">
            <x v="2"/>
          </reference>
        </references>
      </pivotArea>
    </format>
    <format dxfId="8206">
      <pivotArea dataOnly="0" labelOnly="1" outline="0" fieldPosition="0">
        <references count="4">
          <reference field="11" count="1" selected="0">
            <x v="474"/>
          </reference>
          <reference field="14" count="1" selected="0">
            <x v="424"/>
          </reference>
          <reference field="18" count="1" selected="0">
            <x v="19"/>
          </reference>
          <reference field="19" count="1">
            <x v="2"/>
          </reference>
        </references>
      </pivotArea>
    </format>
    <format dxfId="8205">
      <pivotArea dataOnly="0" labelOnly="1" outline="0" fieldPosition="0">
        <references count="4">
          <reference field="11" count="1" selected="0">
            <x v="475"/>
          </reference>
          <reference field="14" count="1" selected="0">
            <x v="435"/>
          </reference>
          <reference field="18" count="1" selected="0">
            <x v="19"/>
          </reference>
          <reference field="19" count="1">
            <x v="2"/>
          </reference>
        </references>
      </pivotArea>
    </format>
    <format dxfId="8204">
      <pivotArea dataOnly="0" labelOnly="1" outline="0" fieldPosition="0">
        <references count="4">
          <reference field="11" count="1" selected="0">
            <x v="476"/>
          </reference>
          <reference field="14" count="1" selected="0">
            <x v="151"/>
          </reference>
          <reference field="18" count="1" selected="0">
            <x v="0"/>
          </reference>
          <reference field="19" count="1">
            <x v="16"/>
          </reference>
        </references>
      </pivotArea>
    </format>
    <format dxfId="8203">
      <pivotArea dataOnly="0" labelOnly="1" outline="0" fieldPosition="0">
        <references count="4">
          <reference field="11" count="1" selected="0">
            <x v="477"/>
          </reference>
          <reference field="14" count="1" selected="0">
            <x v="419"/>
          </reference>
          <reference field="18" count="1" selected="0">
            <x v="19"/>
          </reference>
          <reference field="19" count="1">
            <x v="2"/>
          </reference>
        </references>
      </pivotArea>
    </format>
    <format dxfId="8202">
      <pivotArea dataOnly="0" labelOnly="1" outline="0" fieldPosition="0">
        <references count="4">
          <reference field="11" count="1" selected="0">
            <x v="478"/>
          </reference>
          <reference field="14" count="1" selected="0">
            <x v="308"/>
          </reference>
          <reference field="18" count="1" selected="0">
            <x v="19"/>
          </reference>
          <reference field="19" count="1">
            <x v="2"/>
          </reference>
        </references>
      </pivotArea>
    </format>
    <format dxfId="8201">
      <pivotArea dataOnly="0" labelOnly="1" outline="0" fieldPosition="0">
        <references count="4">
          <reference field="11" count="1" selected="0">
            <x v="479"/>
          </reference>
          <reference field="14" count="1" selected="0">
            <x v="312"/>
          </reference>
          <reference field="18" count="1" selected="0">
            <x v="19"/>
          </reference>
          <reference field="19" count="1">
            <x v="2"/>
          </reference>
        </references>
      </pivotArea>
    </format>
    <format dxfId="8200">
      <pivotArea dataOnly="0" labelOnly="1" outline="0" fieldPosition="0">
        <references count="4">
          <reference field="11" count="1" selected="0">
            <x v="480"/>
          </reference>
          <reference field="14" count="1" selected="0">
            <x v="423"/>
          </reference>
          <reference field="18" count="1" selected="0">
            <x v="19"/>
          </reference>
          <reference field="19" count="1">
            <x v="2"/>
          </reference>
        </references>
      </pivotArea>
    </format>
    <format dxfId="8199">
      <pivotArea dataOnly="0" labelOnly="1" outline="0" fieldPosition="0">
        <references count="4">
          <reference field="11" count="1" selected="0">
            <x v="481"/>
          </reference>
          <reference field="14" count="1" selected="0">
            <x v="455"/>
          </reference>
          <reference field="18" count="1" selected="0">
            <x v="12"/>
          </reference>
          <reference field="19" count="1">
            <x v="13"/>
          </reference>
        </references>
      </pivotArea>
    </format>
    <format dxfId="8198">
      <pivotArea dataOnly="0" labelOnly="1" outline="0" fieldPosition="0">
        <references count="4">
          <reference field="11" count="1" selected="0">
            <x v="481"/>
          </reference>
          <reference field="14" count="1" selected="0">
            <x v="455"/>
          </reference>
          <reference field="18" count="1" selected="0">
            <x v="14"/>
          </reference>
          <reference field="19" count="1">
            <x v="9"/>
          </reference>
        </references>
      </pivotArea>
    </format>
    <format dxfId="8197">
      <pivotArea dataOnly="0" labelOnly="1" outline="0" fieldPosition="0">
        <references count="4">
          <reference field="11" count="1" selected="0">
            <x v="482"/>
          </reference>
          <reference field="14" count="1" selected="0">
            <x v="38"/>
          </reference>
          <reference field="18" count="1" selected="0">
            <x v="12"/>
          </reference>
          <reference field="19" count="1">
            <x v="13"/>
          </reference>
        </references>
      </pivotArea>
    </format>
    <format dxfId="8196">
      <pivotArea dataOnly="0" labelOnly="1" outline="0" fieldPosition="0">
        <references count="4">
          <reference field="11" count="1" selected="0">
            <x v="482"/>
          </reference>
          <reference field="14" count="1" selected="0">
            <x v="38"/>
          </reference>
          <reference field="18" count="1" selected="0">
            <x v="14"/>
          </reference>
          <reference field="19" count="1">
            <x v="9"/>
          </reference>
        </references>
      </pivotArea>
    </format>
    <format dxfId="8195">
      <pivotArea dataOnly="0" labelOnly="1" outline="0" fieldPosition="0">
        <references count="4">
          <reference field="11" count="1" selected="0">
            <x v="483"/>
          </reference>
          <reference field="14" count="1" selected="0">
            <x v="207"/>
          </reference>
          <reference field="18" count="1" selected="0">
            <x v="14"/>
          </reference>
          <reference field="19" count="1">
            <x v="9"/>
          </reference>
        </references>
      </pivotArea>
    </format>
    <format dxfId="8194">
      <pivotArea dataOnly="0" labelOnly="1" outline="0" fieldPosition="0">
        <references count="4">
          <reference field="11" count="1" selected="0">
            <x v="483"/>
          </reference>
          <reference field="14" count="1" selected="0">
            <x v="207"/>
          </reference>
          <reference field="18" count="1" selected="0">
            <x v="26"/>
          </reference>
          <reference field="19" count="1">
            <x v="3"/>
          </reference>
        </references>
      </pivotArea>
    </format>
    <format dxfId="8193">
      <pivotArea dataOnly="0" labelOnly="1" outline="0" fieldPosition="0">
        <references count="4">
          <reference field="11" count="1" selected="0">
            <x v="484"/>
          </reference>
          <reference field="14" count="1" selected="0">
            <x v="49"/>
          </reference>
          <reference field="18" count="1" selected="0">
            <x v="14"/>
          </reference>
          <reference field="19" count="1">
            <x v="9"/>
          </reference>
        </references>
      </pivotArea>
    </format>
    <format dxfId="8192">
      <pivotArea dataOnly="0" labelOnly="1" outline="0" fieldPosition="0">
        <references count="4">
          <reference field="11" count="1" selected="0">
            <x v="484"/>
          </reference>
          <reference field="14" count="1" selected="0">
            <x v="49"/>
          </reference>
          <reference field="18" count="1" selected="0">
            <x v="26"/>
          </reference>
          <reference field="19" count="1">
            <x v="3"/>
          </reference>
        </references>
      </pivotArea>
    </format>
    <format dxfId="8191">
      <pivotArea dataOnly="0" labelOnly="1" outline="0" fieldPosition="0">
        <references count="4">
          <reference field="11" count="1" selected="0">
            <x v="485"/>
          </reference>
          <reference field="14" count="1" selected="0">
            <x v="49"/>
          </reference>
          <reference field="18" count="1" selected="0">
            <x v="14"/>
          </reference>
          <reference field="19" count="1">
            <x v="9"/>
          </reference>
        </references>
      </pivotArea>
    </format>
    <format dxfId="8190">
      <pivotArea dataOnly="0" labelOnly="1" outline="0" fieldPosition="0">
        <references count="4">
          <reference field="11" count="1" selected="0">
            <x v="485"/>
          </reference>
          <reference field="14" count="1" selected="0">
            <x v="49"/>
          </reference>
          <reference field="18" count="1" selected="0">
            <x v="26"/>
          </reference>
          <reference field="19" count="1">
            <x v="3"/>
          </reference>
        </references>
      </pivotArea>
    </format>
    <format dxfId="8189">
      <pivotArea dataOnly="0" labelOnly="1" outline="0" fieldPosition="0">
        <references count="4">
          <reference field="11" count="1" selected="0">
            <x v="486"/>
          </reference>
          <reference field="14" count="1" selected="0">
            <x v="207"/>
          </reference>
          <reference field="18" count="1" selected="0">
            <x v="14"/>
          </reference>
          <reference field="19" count="1">
            <x v="9"/>
          </reference>
        </references>
      </pivotArea>
    </format>
    <format dxfId="8188">
      <pivotArea dataOnly="0" labelOnly="1" outline="0" fieldPosition="0">
        <references count="4">
          <reference field="11" count="1" selected="0">
            <x v="486"/>
          </reference>
          <reference field="14" count="1" selected="0">
            <x v="207"/>
          </reference>
          <reference field="18" count="1" selected="0">
            <x v="26"/>
          </reference>
          <reference field="19" count="1">
            <x v="3"/>
          </reference>
        </references>
      </pivotArea>
    </format>
    <format dxfId="8187">
      <pivotArea dataOnly="0" labelOnly="1" outline="0" fieldPosition="0">
        <references count="4">
          <reference field="11" count="1" selected="0">
            <x v="487"/>
          </reference>
          <reference field="14" count="1" selected="0">
            <x v="32"/>
          </reference>
          <reference field="18" count="1" selected="0">
            <x v="0"/>
          </reference>
          <reference field="19" count="1">
            <x v="16"/>
          </reference>
        </references>
      </pivotArea>
    </format>
    <format dxfId="8186">
      <pivotArea dataOnly="0" labelOnly="1" outline="0" fieldPosition="0">
        <references count="4">
          <reference field="11" count="1" selected="0">
            <x v="487"/>
          </reference>
          <reference field="14" count="1" selected="0">
            <x v="32"/>
          </reference>
          <reference field="18" count="1" selected="0">
            <x v="27"/>
          </reference>
          <reference field="19" count="1">
            <x v="17"/>
          </reference>
        </references>
      </pivotArea>
    </format>
    <format dxfId="8185">
      <pivotArea dataOnly="0" labelOnly="1" outline="0" fieldPosition="0">
        <references count="4">
          <reference field="11" count="1" selected="0">
            <x v="488"/>
          </reference>
          <reference field="14" count="1" selected="0">
            <x v="484"/>
          </reference>
          <reference field="18" count="1" selected="0">
            <x v="28"/>
          </reference>
          <reference field="19" count="1">
            <x v="28"/>
          </reference>
        </references>
      </pivotArea>
    </format>
    <format dxfId="8184">
      <pivotArea dataOnly="0" labelOnly="1" outline="0" fieldPosition="0">
        <references count="1">
          <reference field="4294967294" count="1">
            <x v="0"/>
          </reference>
        </references>
      </pivotArea>
    </format>
    <format dxfId="818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40FC91-F270-44F0-8512-EC6B197487BA}" name="PivotTable2" cacheId="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F107" firstHeaderRow="0" firstDataRow="1" firstDataCol="4" rowPageCount="2" colPageCount="1"/>
  <pivotFields count="28">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axis="axisRow" compact="0" outline="0" showAll="0" defaultSubtotal="0">
      <items count="489">
        <item x="264"/>
        <item x="172"/>
        <item x="93"/>
        <item x="85"/>
        <item x="90"/>
        <item x="167"/>
        <item x="165"/>
        <item x="308"/>
        <item x="406"/>
        <item x="486"/>
        <item x="146"/>
        <item x="340"/>
        <item x="398"/>
        <item x="418"/>
        <item x="92"/>
        <item x="452"/>
        <item x="275"/>
        <item x="205"/>
        <item x="472"/>
        <item x="99"/>
        <item x="256"/>
        <item x="450"/>
        <item x="84"/>
        <item x="413"/>
        <item x="381"/>
        <item x="335"/>
        <item x="231"/>
        <item x="382"/>
        <item x="404"/>
        <item x="365"/>
        <item x="380"/>
        <item x="403"/>
        <item x="455"/>
        <item x="200"/>
        <item x="190"/>
        <item x="456"/>
        <item x="444"/>
        <item x="427"/>
        <item x="448"/>
        <item x="426"/>
        <item x="445"/>
        <item x="477"/>
        <item x="147"/>
        <item x="112"/>
        <item x="158"/>
        <item x="429"/>
        <item x="396"/>
        <item x="65"/>
        <item x="423"/>
        <item x="177"/>
        <item x="464"/>
        <item x="446"/>
        <item x="454"/>
        <item x="211"/>
        <item x="225"/>
        <item x="253"/>
        <item x="101"/>
        <item x="100"/>
        <item x="347"/>
        <item x="196"/>
        <item x="480"/>
        <item x="447"/>
        <item x="457"/>
        <item x="83"/>
        <item x="170"/>
        <item x="128"/>
        <item x="182"/>
        <item x="179"/>
        <item x="159"/>
        <item x="160"/>
        <item x="157"/>
        <item x="469"/>
        <item x="326"/>
        <item x="277"/>
        <item x="166"/>
        <item x="226"/>
        <item x="96"/>
        <item x="235"/>
        <item x="118"/>
        <item x="123"/>
        <item x="393"/>
        <item x="325"/>
        <item x="313"/>
        <item x="360"/>
        <item x="246"/>
        <item x="482"/>
        <item x="148"/>
        <item x="117"/>
        <item x="151"/>
        <item x="173"/>
        <item x="163"/>
        <item x="345"/>
        <item x="234"/>
        <item x="89"/>
        <item x="199"/>
        <item x="176"/>
        <item x="424"/>
        <item x="202"/>
        <item x="127"/>
        <item x="295"/>
        <item x="254"/>
        <item x="425"/>
        <item x="207"/>
        <item x="232"/>
        <item x="390"/>
        <item x="373"/>
        <item x="269"/>
        <item x="348"/>
        <item x="219"/>
        <item x="120"/>
        <item x="243"/>
        <item x="171"/>
        <item x="294"/>
        <item x="241"/>
        <item x="357"/>
        <item x="108"/>
        <item x="355"/>
        <item x="356"/>
        <item x="372"/>
        <item x="104"/>
        <item x="98"/>
        <item x="371"/>
        <item x="405"/>
        <item x="107"/>
        <item x="109"/>
        <item x="103"/>
        <item x="106"/>
        <item x="370"/>
        <item x="240"/>
        <item x="414"/>
        <item x="383"/>
        <item x="483"/>
        <item x="389"/>
        <item x="312"/>
        <item x="475"/>
        <item x="150"/>
        <item x="110"/>
        <item x="351"/>
        <item x="168"/>
        <item x="184"/>
        <item x="476"/>
        <item x="265"/>
        <item x="133"/>
        <item x="439"/>
        <item x="467"/>
        <item x="451"/>
        <item x="471"/>
        <item x="449"/>
        <item x="131"/>
        <item x="111"/>
        <item x="208"/>
        <item x="417"/>
        <item x="0"/>
        <item x="468"/>
        <item x="324"/>
        <item x="317"/>
        <item x="178"/>
        <item x="458"/>
        <item x="153"/>
        <item x="250"/>
        <item x="137"/>
        <item x="174"/>
        <item x="1"/>
        <item x="162"/>
        <item x="470"/>
        <item x="201"/>
        <item x="129"/>
        <item x="484"/>
        <item x="422"/>
        <item x="113"/>
        <item x="142"/>
        <item x="436"/>
        <item x="169"/>
        <item x="248"/>
        <item x="260"/>
        <item x="388"/>
        <item x="198"/>
        <item x="252"/>
        <item x="290"/>
        <item x="299"/>
        <item x="2"/>
        <item x="285"/>
        <item x="440"/>
        <item x="416"/>
        <item x="408"/>
        <item x="237"/>
        <item x="323"/>
        <item x="3"/>
        <item x="374"/>
        <item x="236"/>
        <item x="259"/>
        <item x="369"/>
        <item x="366"/>
        <item x="255"/>
        <item x="220"/>
        <item x="437"/>
        <item x="69"/>
        <item x="66"/>
        <item x="320"/>
        <item x="4"/>
        <item x="263"/>
        <item x="391"/>
        <item x="397"/>
        <item x="465"/>
        <item x="204"/>
        <item x="349"/>
        <item x="407"/>
        <item x="95"/>
        <item x="87"/>
        <item x="459"/>
        <item x="273"/>
        <item x="358"/>
        <item x="344"/>
        <item x="191"/>
        <item x="161"/>
        <item x="5"/>
        <item x="415"/>
        <item x="6"/>
        <item x="7"/>
        <item x="8"/>
        <item x="9"/>
        <item x="10"/>
        <item x="11"/>
        <item x="12"/>
        <item x="442"/>
        <item x="13"/>
        <item x="14"/>
        <item x="15"/>
        <item x="16"/>
        <item x="17"/>
        <item x="18"/>
        <item x="19"/>
        <item x="20"/>
        <item x="21"/>
        <item x="286"/>
        <item x="289"/>
        <item x="288"/>
        <item x="22"/>
        <item x="242"/>
        <item x="258"/>
        <item x="86"/>
        <item x="395"/>
        <item x="206"/>
        <item x="402"/>
        <item x="384"/>
        <item x="364"/>
        <item x="379"/>
        <item x="385"/>
        <item x="378"/>
        <item x="387"/>
        <item x="401"/>
        <item x="419"/>
        <item x="336"/>
        <item x="154"/>
        <item x="126"/>
        <item x="386"/>
        <item x="412"/>
        <item x="399"/>
        <item x="229"/>
        <item x="478"/>
        <item x="23"/>
        <item x="266"/>
        <item x="24"/>
        <item x="434"/>
        <item x="25"/>
        <item x="26"/>
        <item x="27"/>
        <item x="302"/>
        <item x="377"/>
        <item x="145"/>
        <item x="367"/>
        <item x="28"/>
        <item x="411"/>
        <item x="334"/>
        <item x="485"/>
        <item x="152"/>
        <item x="267"/>
        <item x="479"/>
        <item x="29"/>
        <item x="30"/>
        <item x="352"/>
        <item x="31"/>
        <item x="303"/>
        <item x="32"/>
        <item x="122"/>
        <item x="217"/>
        <item x="132"/>
        <item x="368"/>
        <item x="375"/>
        <item x="33"/>
        <item x="186"/>
        <item x="400"/>
        <item x="34"/>
        <item x="141"/>
        <item x="301"/>
        <item x="353"/>
        <item x="216"/>
        <item x="354"/>
        <item x="35"/>
        <item x="409"/>
        <item x="362"/>
        <item x="257"/>
        <item x="293"/>
        <item x="421"/>
        <item x="280"/>
        <item x="420"/>
        <item x="435"/>
        <item x="361"/>
        <item x="175"/>
        <item x="233"/>
        <item x="376"/>
        <item x="305"/>
        <item x="116"/>
        <item x="81"/>
        <item x="363"/>
        <item x="143"/>
        <item x="239"/>
        <item x="279"/>
        <item x="291"/>
        <item x="300"/>
        <item x="343"/>
        <item x="463"/>
        <item x="438"/>
        <item x="36"/>
        <item x="292"/>
        <item x="230"/>
        <item x="410"/>
        <item x="125"/>
        <item x="37"/>
        <item x="394"/>
        <item x="38"/>
        <item x="433"/>
        <item x="481"/>
        <item x="189"/>
        <item x="276"/>
        <item x="39"/>
        <item x="181"/>
        <item x="287"/>
        <item x="40"/>
        <item x="41"/>
        <item x="42"/>
        <item x="43"/>
        <item x="44"/>
        <item x="212"/>
        <item x="227"/>
        <item x="218"/>
        <item x="203"/>
        <item x="238"/>
        <item x="45"/>
        <item x="441"/>
        <item x="462"/>
        <item x="307"/>
        <item x="332"/>
        <item x="473"/>
        <item x="432"/>
        <item x="453"/>
        <item x="431"/>
        <item x="460"/>
        <item x="215"/>
        <item x="333"/>
        <item x="67"/>
        <item x="68"/>
        <item x="430"/>
        <item x="228"/>
        <item x="140"/>
        <item x="274"/>
        <item x="251"/>
        <item x="283"/>
        <item x="46"/>
        <item x="135"/>
        <item x="47"/>
        <item x="327"/>
        <item x="337"/>
        <item x="346"/>
        <item x="338"/>
        <item x="342"/>
        <item x="328"/>
        <item x="339"/>
        <item x="341"/>
        <item x="91"/>
        <item x="331"/>
        <item x="144"/>
        <item x="180"/>
        <item x="487"/>
        <item x="298"/>
        <item x="121"/>
        <item x="428"/>
        <item x="261"/>
        <item x="262"/>
        <item x="156"/>
        <item x="48"/>
        <item x="49"/>
        <item x="149"/>
        <item x="50"/>
        <item x="138"/>
        <item x="130"/>
        <item x="139"/>
        <item x="272"/>
        <item x="329"/>
        <item x="224"/>
        <item x="284"/>
        <item x="51"/>
        <item x="195"/>
        <item x="314"/>
        <item x="52"/>
        <item x="318"/>
        <item x="297"/>
        <item x="461"/>
        <item x="188"/>
        <item x="193"/>
        <item x="210"/>
        <item x="82"/>
        <item x="53"/>
        <item x="155"/>
        <item x="124"/>
        <item x="282"/>
        <item x="247"/>
        <item x="350"/>
        <item x="97"/>
        <item x="281"/>
        <item x="222"/>
        <item x="278"/>
        <item x="474"/>
        <item x="164"/>
        <item x="270"/>
        <item x="114"/>
        <item x="271"/>
        <item x="296"/>
        <item x="249"/>
        <item x="54"/>
        <item x="55"/>
        <item x="194"/>
        <item x="134"/>
        <item x="306"/>
        <item x="223"/>
        <item x="319"/>
        <item x="330"/>
        <item x="115"/>
        <item x="94"/>
        <item x="56"/>
        <item x="316"/>
        <item x="315"/>
        <item x="322"/>
        <item x="57"/>
        <item x="58"/>
        <item x="59"/>
        <item x="60"/>
        <item x="310"/>
        <item x="304"/>
        <item x="102"/>
        <item x="221"/>
        <item x="309"/>
        <item x="61"/>
        <item x="192"/>
        <item x="197"/>
        <item x="209"/>
        <item x="214"/>
        <item x="183"/>
        <item x="185"/>
        <item x="187"/>
        <item x="213"/>
        <item x="88"/>
        <item x="62"/>
        <item x="63"/>
        <item x="64"/>
        <item x="321"/>
        <item x="311"/>
        <item x="359"/>
        <item x="466"/>
        <item x="105"/>
        <item x="245"/>
        <item x="392"/>
        <item x="443"/>
        <item x="71"/>
        <item x="73"/>
        <item x="74"/>
        <item x="244"/>
        <item x="72"/>
        <item x="75"/>
        <item x="70"/>
        <item x="76"/>
        <item x="119"/>
        <item x="136"/>
        <item x="77"/>
        <item x="78"/>
        <item x="80"/>
        <item x="79"/>
        <item x="268"/>
        <item x="488"/>
      </items>
    </pivotField>
    <pivotField axis="axisPage" compact="0" outline="0" multipleItemSelectionAllowed="1" showAll="0">
      <items count="387">
        <item h="1" x="245"/>
        <item h="1" x="162"/>
        <item h="1" x="86"/>
        <item h="1" x="78"/>
        <item h="1" x="83"/>
        <item h="1" x="157"/>
        <item h="1" x="155"/>
        <item h="1" x="284"/>
        <item h="1" x="362"/>
        <item h="1" x="137"/>
        <item h="1" x="314"/>
        <item h="1" x="358"/>
        <item h="1" x="371"/>
        <item h="1" x="85"/>
        <item h="1" x="254"/>
        <item h="1" x="194"/>
        <item h="1" x="91"/>
        <item h="1" x="77"/>
        <item h="1" x="309"/>
        <item h="1" x="220"/>
        <item h="1" x="189"/>
        <item h="1" x="179"/>
        <item h="1" x="377"/>
        <item h="1" x="138"/>
        <item h="1" x="103"/>
        <item h="1" x="149"/>
        <item h="1" x="167"/>
        <item h="1" x="200"/>
        <item h="1" x="214"/>
        <item h="1" x="237"/>
        <item h="1" x="93"/>
        <item h="1" x="92"/>
        <item h="1" x="320"/>
        <item h="1" x="185"/>
        <item h="1" x="76"/>
        <item h="1" x="160"/>
        <item h="1" x="119"/>
        <item h="1" x="171"/>
        <item h="1" x="169"/>
        <item h="1" x="150"/>
        <item h="1" x="151"/>
        <item h="1" x="148"/>
        <item h="1" x="300"/>
        <item h="1" x="256"/>
        <item h="1" x="156"/>
        <item h="1" x="215"/>
        <item h="1" x="89"/>
        <item h="1" x="223"/>
        <item h="1" x="109"/>
        <item h="1" x="114"/>
        <item h="1" x="355"/>
        <item h="1" x="299"/>
        <item h="1" x="288"/>
        <item h="1" x="232"/>
        <item h="1" x="139"/>
        <item h="1" x="108"/>
        <item h="1" x="142"/>
        <item h="1" x="163"/>
        <item h="1" x="154"/>
        <item h="1" x="318"/>
        <item h="1" x="222"/>
        <item h="1" x="82"/>
        <item h="1" x="188"/>
        <item h="1" x="166"/>
        <item h="1" x="191"/>
        <item h="1" x="118"/>
        <item h="1" x="272"/>
        <item h="1" x="238"/>
        <item h="1" x="196"/>
        <item h="1" x="221"/>
        <item h="1" x="353"/>
        <item h="1" x="341"/>
        <item h="1" x="249"/>
        <item h="1" x="321"/>
        <item h="1" x="208"/>
        <item h="1" x="111"/>
        <item h="1" x="161"/>
        <item h="1" x="271"/>
        <item h="1" x="229"/>
        <item h="1" x="329"/>
        <item h="1" x="327"/>
        <item h="1" x="328"/>
        <item h="1" x="340"/>
        <item h="1" x="96"/>
        <item h="1" x="90"/>
        <item h="1" x="339"/>
        <item h="1" x="99"/>
        <item h="1" x="101"/>
        <item h="1" x="95"/>
        <item h="1" x="338"/>
        <item h="1" x="228"/>
        <item h="1" x="347"/>
        <item h="1" x="380"/>
        <item h="1" x="352"/>
        <item h="1" x="323"/>
        <item h="1" x="158"/>
        <item h="1" x="173"/>
        <item h="1" x="376"/>
        <item h="1" x="246"/>
        <item h="1" x="124"/>
        <item h="1" x="122"/>
        <item h="1" x="102"/>
        <item h="1" x="197"/>
        <item h="1" x="298"/>
        <item h="1" x="168"/>
        <item h="1" x="144"/>
        <item h="1" x="235"/>
        <item h="1" x="128"/>
        <item h="1" x="164"/>
        <item h="1" x="153"/>
        <item h="1" x="190"/>
        <item h="1" x="120"/>
        <item h="1" x="381"/>
        <item h="1" x="375"/>
        <item h="1" x="104"/>
        <item h="1" x="133"/>
        <item h="1" x="159"/>
        <item h="1" x="233"/>
        <item h="1" x="241"/>
        <item h="1" x="351"/>
        <item h="1" x="187"/>
        <item h="1" x="236"/>
        <item h="1" x="267"/>
        <item h="1" x="275"/>
        <item h="1" x="262"/>
        <item h="1" x="370"/>
        <item h="1" x="364"/>
        <item h="1" x="225"/>
        <item h="1" x="297"/>
        <item h="1" x="342"/>
        <item h="1" x="224"/>
        <item h="1" x="240"/>
        <item h="1" x="335"/>
        <item h="1" x="209"/>
        <item h="1" x="295"/>
        <item h="1" x="244"/>
        <item h="1" x="354"/>
        <item h="1" x="357"/>
        <item h="1" x="193"/>
        <item h="1" x="322"/>
        <item h="1" x="88"/>
        <item h="1" x="80"/>
        <item h="1" x="252"/>
        <item h="1" x="330"/>
        <item h="1" x="317"/>
        <item h="1" x="180"/>
        <item h="1" x="152"/>
        <item h="1" x="369"/>
        <item h="1" x="263"/>
        <item h="1" x="266"/>
        <item h="1" x="265"/>
        <item h="1" x="230"/>
        <item h="1" x="239"/>
        <item h="1" x="79"/>
        <item h="1" x="195"/>
        <item h="1" x="361"/>
        <item h="1" x="348"/>
        <item h="1" x="334"/>
        <item h="1" x="346"/>
        <item h="1" x="349"/>
        <item h="1" x="345"/>
        <item h="1" x="350"/>
        <item h="1" x="360"/>
        <item h="1" x="372"/>
        <item h="1" x="310"/>
        <item h="1" x="145"/>
        <item h="1" x="117"/>
        <item h="1" x="368"/>
        <item h="1" x="359"/>
        <item h="1" x="218"/>
        <item h="1" x="378"/>
        <item h="1" x="247"/>
        <item h="1" x="278"/>
        <item h="1" x="136"/>
        <item h="1" x="336"/>
        <item h="1" x="367"/>
        <item h="1" x="308"/>
        <item h="1" x="382"/>
        <item h="1" x="143"/>
        <item h="1" m="1" x="385"/>
        <item h="1" x="324"/>
        <item h="1" x="279"/>
        <item h="1" x="113"/>
        <item h="1" x="206"/>
        <item h="1" x="123"/>
        <item h="1" x="337"/>
        <item h="1" x="343"/>
        <item h="1" x="175"/>
        <item h="1" x="132"/>
        <item h="1" x="277"/>
        <item h="1" x="325"/>
        <item h="1" x="205"/>
        <item h="1" x="326"/>
        <item h="1" x="365"/>
        <item h="1" x="332"/>
        <item h="1" m="1" x="384"/>
        <item h="1" x="270"/>
        <item h="1" x="374"/>
        <item h="1" x="259"/>
        <item h="1" x="373"/>
        <item h="1" x="331"/>
        <item h="1" x="165"/>
        <item h="1" x="344"/>
        <item h="1" x="281"/>
        <item h="1" x="107"/>
        <item h="1" x="74"/>
        <item h="1" x="134"/>
        <item h="1" x="227"/>
        <item h="1" x="258"/>
        <item h="1" x="268"/>
        <item h="1" x="276"/>
        <item h="1" x="316"/>
        <item h="1" x="269"/>
        <item h="1" x="219"/>
        <item h="1" x="366"/>
        <item h="1" x="116"/>
        <item h="1" x="356"/>
        <item h="1" x="178"/>
        <item h="1" x="255"/>
        <item h="1" x="264"/>
        <item h="1" x="201"/>
        <item h="1" x="216"/>
        <item h="1" x="207"/>
        <item h="1" x="192"/>
        <item h="1" x="226"/>
        <item h="1" x="306"/>
        <item h="1" x="204"/>
        <item h="1" x="307"/>
        <item h="1" x="217"/>
        <item h="1" x="131"/>
        <item h="1" x="253"/>
        <item h="1" x="301"/>
        <item h="1" x="311"/>
        <item h="1" x="319"/>
        <item h="1" x="312"/>
        <item h="1" x="315"/>
        <item h="1" x="302"/>
        <item h="1" x="313"/>
        <item h="1" x="305"/>
        <item h="1" x="135"/>
        <item h="1" x="170"/>
        <item h="1" x="274"/>
        <item h="1" x="242"/>
        <item h="1" x="243"/>
        <item h="1" x="147"/>
        <item h="1" x="140"/>
        <item h="1" x="121"/>
        <item h="1" x="130"/>
        <item h="1" x="251"/>
        <item h="1" x="303"/>
        <item h="1" x="213"/>
        <item h="1" x="261"/>
        <item h="1" x="184"/>
        <item h="1" x="289"/>
        <item h="1" x="293"/>
        <item h="1" x="177"/>
        <item h="1" x="182"/>
        <item h="1" x="199"/>
        <item h="1" x="75"/>
        <item h="1" x="146"/>
        <item h="1" x="115"/>
        <item h="1" x="260"/>
        <item h="1" x="211"/>
        <item h="1" x="257"/>
        <item h="1" x="105"/>
        <item h="1" x="250"/>
        <item h="1" x="273"/>
        <item h="1" x="234"/>
        <item h="1" x="183"/>
        <item h="1" x="282"/>
        <item h="1" x="212"/>
        <item h="1" x="304"/>
        <item h="1" x="106"/>
        <item h="1" x="87"/>
        <item h="1" x="285"/>
        <item h="1" x="280"/>
        <item h="1" x="94"/>
        <item h="1" x="210"/>
        <item h="1" x="181"/>
        <item h="1" x="186"/>
        <item h="1" x="198"/>
        <item h="1" x="203"/>
        <item h="1" x="172"/>
        <item h="1" x="174"/>
        <item h="1" x="176"/>
        <item h="1" x="202"/>
        <item h="1" x="81"/>
        <item h="1" x="248"/>
        <item x="65"/>
        <item h="1" x="383"/>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84"/>
        <item h="1" x="98"/>
        <item h="1" x="100"/>
        <item h="1" x="110"/>
        <item h="1" x="112"/>
        <item h="1" x="125"/>
        <item h="1" x="126"/>
        <item h="1" x="127"/>
        <item h="1" x="129"/>
        <item h="1" x="141"/>
        <item h="1" x="287"/>
        <item h="1" x="292"/>
        <item h="1" x="294"/>
        <item h="1" x="333"/>
        <item h="1" x="363"/>
        <item h="1" x="379"/>
        <item h="1" x="66"/>
        <item h="1" x="67"/>
        <item h="1" x="68"/>
        <item h="1" x="69"/>
        <item h="1" x="71"/>
        <item h="1" x="72"/>
        <item h="1" x="73"/>
        <item h="1" x="97"/>
        <item h="1" x="231"/>
        <item h="1" x="283"/>
        <item h="1" x="286"/>
        <item h="1" x="290"/>
        <item h="1" x="291"/>
        <item h="1" x="296"/>
        <item h="1" x="70"/>
        <item t="default"/>
      </items>
    </pivotField>
    <pivotField compact="0" outline="0" showAll="0"/>
    <pivotField axis="axisRow" compact="0" outline="0" showAll="0" defaultSubtotal="0">
      <items count="485">
        <item x="361"/>
        <item x="376"/>
        <item x="46"/>
        <item x="396"/>
        <item x="149"/>
        <item x="189"/>
        <item x="226"/>
        <item x="119"/>
        <item x="359"/>
        <item x="288"/>
        <item x="100"/>
        <item x="347"/>
        <item x="181"/>
        <item x="18"/>
        <item x="253"/>
        <item x="92"/>
        <item x="166"/>
        <item x="90"/>
        <item x="469"/>
        <item x="163"/>
        <item x="186"/>
        <item x="426"/>
        <item x="476"/>
        <item x="197"/>
        <item x="67"/>
        <item x="69"/>
        <item x="66"/>
        <item x="341"/>
        <item x="461"/>
        <item x="60"/>
        <item x="311"/>
        <item x="83"/>
        <item x="265"/>
        <item x="479"/>
        <item x="350"/>
        <item x="339"/>
        <item x="451"/>
        <item x="455"/>
        <item x="134"/>
        <item x="329"/>
        <item x="239"/>
        <item x="290"/>
        <item x="407"/>
        <item x="316"/>
        <item x="237"/>
        <item x="220"/>
        <item x="254"/>
        <item x="244"/>
        <item x="230"/>
        <item x="78"/>
        <item x="482"/>
        <item x="150"/>
        <item x="241"/>
        <item x="136"/>
        <item x="403"/>
        <item x="229"/>
        <item x="321"/>
        <item x="306"/>
        <item x="300"/>
        <item x="145"/>
        <item x="123"/>
        <item x="255"/>
        <item x="289"/>
        <item x="180"/>
        <item x="349"/>
        <item x="457"/>
        <item x="480"/>
        <item x="297"/>
        <item x="287"/>
        <item x="296"/>
        <item x="275"/>
        <item x="283"/>
        <item x="14"/>
        <item x="153"/>
        <item x="477"/>
        <item x="51"/>
        <item x="471"/>
        <item x="156"/>
        <item x="328"/>
        <item x="335"/>
        <item x="302"/>
        <item x="323"/>
        <item x="333"/>
        <item x="322"/>
        <item x="221"/>
        <item x="342"/>
        <item x="332"/>
        <item x="324"/>
        <item x="338"/>
        <item x="334"/>
        <item x="261"/>
        <item x="204"/>
        <item x="337"/>
        <item x="377"/>
        <item x="409"/>
        <item x="222"/>
        <item x="19"/>
        <item x="13"/>
        <item x="159"/>
        <item x="326"/>
        <item x="243"/>
        <item x="305"/>
        <item x="362"/>
        <item x="365"/>
        <item x="233"/>
        <item x="313"/>
        <item x="309"/>
        <item x="277"/>
        <item x="245"/>
        <item x="346"/>
        <item x="95"/>
        <item x="217"/>
        <item x="47"/>
        <item x="4"/>
        <item x="430"/>
        <item x="307"/>
        <item x="203"/>
        <item x="172"/>
        <item x="436"/>
        <item x="132"/>
        <item x="357"/>
        <item x="416"/>
        <item x="417"/>
        <item x="79"/>
        <item x="143"/>
        <item x="122"/>
        <item x="363"/>
        <item x="173"/>
        <item x="397"/>
        <item x="405"/>
        <item x="114"/>
        <item x="360"/>
        <item x="429"/>
        <item x="408"/>
        <item x="390"/>
        <item x="428"/>
        <item x="152"/>
        <item x="155"/>
        <item x="157"/>
        <item x="158"/>
        <item x="154"/>
        <item x="219"/>
        <item x="354"/>
        <item x="214"/>
        <item x="190"/>
        <item x="89"/>
        <item x="310"/>
        <item x="133"/>
        <item x="418"/>
        <item x="120"/>
        <item x="144"/>
        <item x="242"/>
        <item x="27"/>
        <item x="30"/>
        <item x="25"/>
        <item x="42"/>
        <item x="44"/>
        <item x="23"/>
        <item x="5"/>
        <item x="37"/>
        <item x="41"/>
        <item x="1"/>
        <item x="32"/>
        <item x="43"/>
        <item x="29"/>
        <item x="31"/>
        <item x="26"/>
        <item x="268"/>
        <item x="139"/>
        <item x="137"/>
        <item x="38"/>
        <item x="33"/>
        <item x="34"/>
        <item x="257"/>
        <item x="246"/>
        <item x="191"/>
        <item x="468"/>
        <item x="464"/>
        <item x="431"/>
        <item x="400"/>
        <item x="475"/>
        <item x="124"/>
        <item x="320"/>
        <item x="184"/>
        <item x="234"/>
        <item x="345"/>
        <item x="85"/>
        <item x="395"/>
        <item x="218"/>
        <item x="232"/>
        <item x="259"/>
        <item x="192"/>
        <item x="111"/>
        <item x="115"/>
        <item x="118"/>
        <item x="116"/>
        <item x="121"/>
        <item x="364"/>
        <item x="147"/>
        <item x="303"/>
        <item x="174"/>
        <item x="84"/>
        <item x="187"/>
        <item x="478"/>
        <item x="80"/>
        <item x="50"/>
        <item x="199"/>
        <item x="77"/>
        <item x="312"/>
        <item x="216"/>
        <item x="266"/>
        <item x="294"/>
        <item x="138"/>
        <item x="131"/>
        <item x="94"/>
        <item x="129"/>
        <item x="356"/>
        <item x="130"/>
        <item x="248"/>
        <item x="82"/>
        <item x="344"/>
        <item x="458"/>
        <item x="380"/>
        <item x="263"/>
        <item x="151"/>
        <item x="228"/>
        <item x="91"/>
        <item x="81"/>
        <item x="175"/>
        <item x="169"/>
        <item x="170"/>
        <item x="167"/>
        <item x="165"/>
        <item x="88"/>
        <item x="160"/>
        <item x="164"/>
        <item x="315"/>
        <item x="177"/>
        <item x="176"/>
        <item x="28"/>
        <item x="420"/>
        <item x="442"/>
        <item x="379"/>
        <item x="434"/>
        <item x="419"/>
        <item x="128"/>
        <item x="113"/>
        <item x="141"/>
        <item x="205"/>
        <item x="3"/>
        <item x="392"/>
        <item x="171"/>
        <item x="262"/>
        <item x="225"/>
        <item x="249"/>
        <item x="472"/>
        <item x="394"/>
        <item x="236"/>
        <item x="466"/>
        <item x="162"/>
        <item x="280"/>
        <item x="168"/>
        <item x="391"/>
        <item x="382"/>
        <item x="398"/>
        <item x="336"/>
        <item x="308"/>
        <item x="206"/>
        <item x="200"/>
        <item x="202"/>
        <item x="355"/>
        <item x="194"/>
        <item x="285"/>
        <item x="269"/>
        <item x="252"/>
        <item x="251"/>
        <item x="295"/>
        <item x="282"/>
        <item x="223"/>
        <item x="250"/>
        <item x="260"/>
        <item x="281"/>
        <item x="286"/>
        <item x="209"/>
        <item x="270"/>
        <item x="224"/>
        <item x="271"/>
        <item x="274"/>
        <item x="273"/>
        <item x="112"/>
        <item x="264"/>
        <item x="103"/>
        <item x="213"/>
        <item x="210"/>
        <item x="340"/>
        <item x="388"/>
        <item x="449"/>
        <item x="424"/>
        <item x="456"/>
        <item x="427"/>
        <item x="438"/>
        <item x="86"/>
        <item x="301"/>
        <item x="421"/>
        <item x="414"/>
        <item x="387"/>
        <item x="318"/>
        <item x="17"/>
        <item x="75"/>
        <item x="39"/>
        <item x="35"/>
        <item x="24"/>
        <item x="70"/>
        <item x="16"/>
        <item x="40"/>
        <item x="201"/>
        <item x="231"/>
        <item x="140"/>
        <item x="460"/>
        <item x="127"/>
        <item x="369"/>
        <item x="386"/>
        <item x="193"/>
        <item x="65"/>
        <item x="278"/>
        <item x="439"/>
        <item x="435"/>
        <item x="463"/>
        <item x="445"/>
        <item x="447"/>
        <item x="467"/>
        <item x="437"/>
        <item x="148"/>
        <item x="108"/>
        <item x="327"/>
        <item x="161"/>
        <item x="126"/>
        <item x="473"/>
        <item x="411"/>
        <item x="240"/>
        <item x="188"/>
        <item x="198"/>
        <item x="330"/>
        <item x="319"/>
        <item x="422"/>
        <item x="441"/>
        <item x="444"/>
        <item x="446"/>
        <item x="423"/>
        <item x="440"/>
        <item x="432"/>
        <item x="304"/>
        <item x="68"/>
        <item x="373"/>
        <item x="443"/>
        <item x="317"/>
        <item x="93"/>
        <item x="299"/>
        <item x="125"/>
        <item x="314"/>
        <item x="325"/>
        <item x="182"/>
        <item x="196"/>
        <item x="470"/>
        <item x="483"/>
        <item x="215"/>
        <item x="208"/>
        <item x="183"/>
        <item x="185"/>
        <item x="211"/>
        <item x="406"/>
        <item x="474"/>
        <item x="481"/>
        <item x="348"/>
        <item x="298"/>
        <item x="402"/>
        <item x="372"/>
        <item x="22"/>
        <item x="448"/>
        <item x="452"/>
        <item x="462"/>
        <item x="293"/>
        <item x="179"/>
        <item x="146"/>
        <item x="272"/>
        <item x="370"/>
        <item x="412"/>
        <item x="235"/>
        <item x="404"/>
        <item x="371"/>
        <item x="207"/>
        <item x="410"/>
        <item x="413"/>
        <item x="358"/>
        <item x="256"/>
        <item x="454"/>
        <item x="433"/>
        <item x="195"/>
        <item x="135"/>
        <item x="142"/>
        <item x="178"/>
        <item x="267"/>
        <item x="383"/>
        <item x="284"/>
        <item x="374"/>
        <item x="415"/>
        <item x="381"/>
        <item x="292"/>
        <item x="258"/>
        <item x="393"/>
        <item x="110"/>
        <item x="20"/>
        <item x="247"/>
        <item x="450"/>
        <item x="399"/>
        <item x="453"/>
        <item x="12"/>
        <item x="227"/>
        <item x="375"/>
        <item x="72"/>
        <item x="15"/>
        <item x="54"/>
        <item x="49"/>
        <item x="76"/>
        <item x="73"/>
        <item x="71"/>
        <item x="11"/>
        <item x="10"/>
        <item x="36"/>
        <item x="7"/>
        <item x="9"/>
        <item x="8"/>
        <item x="57"/>
        <item x="353"/>
        <item x="62"/>
        <item x="74"/>
        <item x="58"/>
        <item x="59"/>
        <item x="6"/>
        <item x="2"/>
        <item x="63"/>
        <item x="53"/>
        <item x="64"/>
        <item x="52"/>
        <item x="55"/>
        <item x="48"/>
        <item x="56"/>
        <item x="0"/>
        <item x="45"/>
        <item x="21"/>
        <item x="61"/>
        <item x="87"/>
        <item x="212"/>
        <item x="238"/>
        <item x="291"/>
        <item x="117"/>
        <item x="459"/>
        <item x="279"/>
        <item x="378"/>
        <item x="343"/>
        <item x="97"/>
        <item x="109"/>
        <item x="98"/>
        <item x="99"/>
        <item x="276"/>
        <item x="425"/>
        <item x="331"/>
        <item x="389"/>
        <item x="465"/>
        <item x="351"/>
        <item x="106"/>
        <item x="384"/>
        <item x="352"/>
        <item x="368"/>
        <item x="96"/>
        <item x="102"/>
        <item x="401"/>
        <item x="367"/>
        <item x="105"/>
        <item x="101"/>
        <item x="107"/>
        <item x="104"/>
        <item x="385"/>
        <item x="366"/>
        <item x="484"/>
      </items>
    </pivotField>
    <pivotField compact="0" outline="0" showAll="0"/>
    <pivotField axis="axisPage" compact="0" outline="0" multipleItemSelectionAllowed="1" showAll="0">
      <items count="574">
        <item x="568"/>
        <item x="566"/>
        <item x="567"/>
        <item x="146"/>
        <item x="176"/>
        <item x="102"/>
        <item x="468"/>
        <item x="396"/>
        <item x="451"/>
        <item x="515"/>
        <item x="492"/>
        <item x="352"/>
        <item x="358"/>
        <item x="304"/>
        <item x="534"/>
        <item x="280"/>
        <item x="287"/>
        <item x="221"/>
        <item x="499"/>
        <item x="548"/>
        <item x="518"/>
        <item x="530"/>
        <item x="552"/>
        <item x="528"/>
        <item x="520"/>
        <item x="543"/>
        <item x="58"/>
        <item x="59"/>
        <item x="60"/>
        <item x="61"/>
        <item x="62"/>
        <item x="54"/>
        <item x="53"/>
        <item x="63"/>
        <item x="544"/>
        <item x="517"/>
        <item x="215"/>
        <item x="92"/>
        <item x="328"/>
        <item x="200"/>
        <item x="86"/>
        <item x="387"/>
        <item x="195"/>
        <item x="196"/>
        <item x="88"/>
        <item x="64"/>
        <item x="198"/>
        <item x="66"/>
        <item x="95"/>
        <item x="204"/>
        <item x="217"/>
        <item x="87"/>
        <item x="224"/>
        <item x="192"/>
        <item x="191"/>
        <item x="94"/>
        <item x="455"/>
        <item x="453"/>
        <item x="199"/>
        <item x="213"/>
        <item x="408"/>
        <item x="85"/>
        <item x="389"/>
        <item x="197"/>
        <item x="201"/>
        <item x="247"/>
        <item x="424"/>
        <item x="194"/>
        <item x="438"/>
        <item x="465"/>
        <item x="205"/>
        <item x="343"/>
        <item x="214"/>
        <item x="188"/>
        <item x="400"/>
        <item x="491"/>
        <item x="401"/>
        <item x="218"/>
        <item x="454"/>
        <item x="193"/>
        <item x="242"/>
        <item x="74"/>
        <item x="76"/>
        <item x="73"/>
        <item x="75"/>
        <item x="77"/>
        <item x="344"/>
        <item x="72"/>
        <item x="443"/>
        <item x="428"/>
        <item x="4"/>
        <item x="426"/>
        <item x="456"/>
        <item x="535"/>
        <item x="368"/>
        <item x="452"/>
        <item x="227"/>
        <item x="91"/>
        <item x="554"/>
        <item x="137"/>
        <item x="570"/>
        <item x="156"/>
        <item x="302"/>
        <item x="46"/>
        <item x="2"/>
        <item x="3"/>
        <item x="8"/>
        <item x="16"/>
        <item x="17"/>
        <item x="18"/>
        <item x="21"/>
        <item x="22"/>
        <item x="28"/>
        <item x="35"/>
        <item x="36"/>
        <item x="40"/>
        <item x="47"/>
        <item x="50"/>
        <item x="313"/>
        <item x="348"/>
        <item x="486"/>
        <item x="531"/>
        <item x="240"/>
        <item x="251"/>
        <item x="228"/>
        <item x="231"/>
        <item x="259"/>
        <item x="230"/>
        <item x="239"/>
        <item x="234"/>
        <item x="138"/>
        <item x="165"/>
        <item x="116"/>
        <item x="345"/>
        <item x="162"/>
        <item x="341"/>
        <item x="334"/>
        <item x="114"/>
        <item x="533"/>
        <item x="526"/>
        <item x="538"/>
        <item x="539"/>
        <item x="516"/>
        <item x="545"/>
        <item x="525"/>
        <item x="513"/>
        <item x="167"/>
        <item x="158"/>
        <item x="409"/>
        <item x="447"/>
        <item x="436"/>
        <item x="448"/>
        <item x="485"/>
        <item x="488"/>
        <item x="423"/>
        <item x="457"/>
        <item x="395"/>
        <item x="413"/>
        <item x="482"/>
        <item x="489"/>
        <item x="479"/>
        <item x="510"/>
        <item x="421"/>
        <item x="422"/>
        <item x="484"/>
        <item x="320"/>
        <item x="399"/>
        <item x="478"/>
        <item x="555"/>
        <item x="269"/>
        <item x="276"/>
        <item x="521"/>
        <item x="532"/>
        <item x="508"/>
        <item x="509"/>
        <item x="370"/>
        <item x="434"/>
        <item x="244"/>
        <item x="140"/>
        <item x="283"/>
        <item x="266"/>
        <item x="275"/>
        <item x="282"/>
        <item x="292"/>
        <item x="290"/>
        <item x="83"/>
        <item x="267"/>
        <item x="351"/>
        <item x="306"/>
        <item x="268"/>
        <item x="541"/>
        <item x="560"/>
        <item x="161"/>
        <item x="349"/>
        <item x="361"/>
        <item x="383"/>
        <item x="388"/>
        <item x="303"/>
        <item x="265"/>
        <item x="128"/>
        <item x="274"/>
        <item x="386"/>
        <item x="542"/>
        <item x="272"/>
        <item x="472"/>
        <item x="385"/>
        <item x="307"/>
        <item x="569"/>
        <item x="558"/>
        <item x="556"/>
        <item x="141"/>
        <item x="98"/>
        <item x="51"/>
        <item x="52"/>
        <item x="0"/>
        <item x="6"/>
        <item x="7"/>
        <item x="9"/>
        <item x="10"/>
        <item x="11"/>
        <item x="12"/>
        <item x="13"/>
        <item x="14"/>
        <item x="15"/>
        <item x="20"/>
        <item x="19"/>
        <item x="45"/>
        <item x="497"/>
        <item x="157"/>
        <item x="411"/>
        <item x="432"/>
        <item x="481"/>
        <item x="120"/>
        <item x="441"/>
        <item x="154"/>
        <item x="470"/>
        <item x="427"/>
        <item x="414"/>
        <item x="444"/>
        <item x="429"/>
        <item x="495"/>
        <item x="442"/>
        <item x="402"/>
        <item x="496"/>
        <item x="431"/>
        <item x="425"/>
        <item x="412"/>
        <item x="131"/>
        <item x="546"/>
        <item x="553"/>
        <item x="312"/>
        <item x="394"/>
        <item x="417"/>
        <item x="446"/>
        <item x="445"/>
        <item x="475"/>
        <item x="476"/>
        <item x="419"/>
        <item x="418"/>
        <item x="135"/>
        <item x="393"/>
        <item x="71"/>
        <item x="68"/>
        <item x="69"/>
        <item x="70"/>
        <item x="390"/>
        <item x="209"/>
        <item x="125"/>
        <item x="97"/>
        <item x="225"/>
        <item x="233"/>
        <item x="261"/>
        <item x="255"/>
        <item x="226"/>
        <item x="229"/>
        <item x="258"/>
        <item x="257"/>
        <item x="260"/>
        <item x="330"/>
        <item x="93"/>
        <item x="207"/>
        <item x="336"/>
        <item x="65"/>
        <item x="565"/>
        <item x="335"/>
        <item x="190"/>
        <item x="331"/>
        <item x="105"/>
        <item x="245"/>
        <item x="253"/>
        <item x="498"/>
        <item x="450"/>
        <item x="398"/>
        <item x="500"/>
        <item x="522"/>
        <item x="277"/>
        <item x="220"/>
        <item x="108"/>
        <item x="178"/>
        <item x="113"/>
        <item x="170"/>
        <item x="110"/>
        <item x="181"/>
        <item x="101"/>
        <item x="78"/>
        <item x="177"/>
        <item x="112"/>
        <item x="169"/>
        <item x="107"/>
        <item x="172"/>
        <item x="111"/>
        <item x="179"/>
        <item x="106"/>
        <item x="130"/>
        <item x="79"/>
        <item x="142"/>
        <item x="80"/>
        <item x="123"/>
        <item x="82"/>
        <item x="81"/>
        <item x="136"/>
        <item x="182"/>
        <item x="404"/>
        <item x="460"/>
        <item x="67"/>
        <item x="403"/>
        <item x="437"/>
        <item x="561"/>
        <item x="164"/>
        <item x="133"/>
        <item x="115"/>
        <item x="505"/>
        <item x="310"/>
        <item x="299"/>
        <item x="317"/>
        <item x="319"/>
        <item x="416"/>
        <item x="23"/>
        <item x="27"/>
        <item x="490"/>
        <item x="430"/>
        <item x="466"/>
        <item x="477"/>
        <item x="37"/>
        <item x="26"/>
        <item x="30"/>
        <item x="471"/>
        <item x="463"/>
        <item x="458"/>
        <item x="406"/>
        <item x="29"/>
        <item x="32"/>
        <item x="501"/>
        <item x="469"/>
        <item x="462"/>
        <item x="31"/>
        <item x="480"/>
        <item x="483"/>
        <item x="459"/>
        <item x="512"/>
        <item x="420"/>
        <item x="25"/>
        <item x="1"/>
        <item x="34"/>
        <item x="41"/>
        <item x="372"/>
        <item x="38"/>
        <item x="44"/>
        <item x="439"/>
        <item x="42"/>
        <item x="33"/>
        <item x="43"/>
        <item x="5"/>
        <item x="189"/>
        <item x="384"/>
        <item x="380"/>
        <item x="350"/>
        <item x="273"/>
        <item x="562"/>
        <item x="391"/>
        <item x="536"/>
        <item x="540"/>
        <item x="507"/>
        <item x="222"/>
        <item x="563"/>
        <item x="376"/>
        <item x="160"/>
        <item x="89"/>
        <item x="571"/>
        <item x="271"/>
        <item x="264"/>
        <item x="143"/>
        <item x="139"/>
        <item x="262"/>
        <item x="381"/>
        <item x="415"/>
        <item x="440"/>
        <item x="467"/>
        <item x="249"/>
        <item x="152"/>
        <item x="377"/>
        <item x="373"/>
        <item x="378"/>
        <item x="297"/>
        <item x="270"/>
        <item x="318"/>
        <item x="241"/>
        <item x="166"/>
        <item x="311"/>
        <item x="278"/>
        <item x="163"/>
        <item x="360"/>
        <item x="487"/>
        <item x="504"/>
        <item x="527"/>
        <item x="503"/>
        <item x="524"/>
        <item x="514"/>
        <item x="523"/>
        <item x="529"/>
        <item x="549"/>
        <item x="374"/>
        <item x="153"/>
        <item x="151"/>
        <item x="301"/>
        <item x="134"/>
        <item x="298"/>
        <item x="279"/>
        <item x="246"/>
        <item x="100"/>
        <item x="379"/>
        <item x="300"/>
        <item x="550"/>
        <item x="464"/>
        <item x="288"/>
        <item x="367"/>
        <item x="371"/>
        <item x="56"/>
        <item x="236"/>
        <item x="84"/>
        <item x="362"/>
        <item x="356"/>
        <item x="353"/>
        <item x="363"/>
        <item x="359"/>
        <item x="354"/>
        <item x="364"/>
        <item x="375"/>
        <item x="365"/>
        <item x="369"/>
        <item x="355"/>
        <item x="366"/>
        <item x="357"/>
        <item x="118"/>
        <item x="293"/>
        <item x="314"/>
        <item x="281"/>
        <item x="238"/>
        <item x="256"/>
        <item x="309"/>
        <item x="382"/>
        <item x="284"/>
        <item x="289"/>
        <item x="291"/>
        <item x="296"/>
        <item x="295"/>
        <item x="308"/>
        <item x="285"/>
        <item x="286"/>
        <item x="316"/>
        <item x="305"/>
        <item x="55"/>
        <item x="57"/>
        <item x="24"/>
        <item x="39"/>
        <item x="48"/>
        <item x="49"/>
        <item x="405"/>
        <item x="506"/>
        <item x="325"/>
        <item x="321"/>
        <item x="339"/>
        <item x="337"/>
        <item x="342"/>
        <item x="147"/>
        <item x="99"/>
        <item x="551"/>
        <item x="119"/>
        <item x="332"/>
        <item x="322"/>
        <item x="329"/>
        <item x="210"/>
        <item x="338"/>
        <item x="397"/>
        <item x="186"/>
        <item x="324"/>
        <item x="326"/>
        <item x="252"/>
        <item x="235"/>
        <item x="248"/>
        <item x="237"/>
        <item x="254"/>
        <item x="223"/>
        <item x="96"/>
        <item x="90"/>
        <item x="392"/>
        <item x="327"/>
        <item x="148"/>
        <item x="145"/>
        <item x="203"/>
        <item x="187"/>
        <item x="127"/>
        <item x="149"/>
        <item x="206"/>
        <item x="216"/>
        <item x="144"/>
        <item x="493"/>
        <item x="122"/>
        <item x="129"/>
        <item x="121"/>
        <item x="126"/>
        <item x="117"/>
        <item x="132"/>
        <item x="323"/>
        <item x="346"/>
        <item x="347"/>
        <item x="435"/>
        <item x="474"/>
        <item x="407"/>
        <item x="433"/>
        <item x="473"/>
        <item x="564"/>
        <item x="557"/>
        <item x="502"/>
        <item x="185"/>
        <item x="104"/>
        <item x="175"/>
        <item x="103"/>
        <item x="174"/>
        <item x="184"/>
        <item x="537"/>
        <item x="461"/>
        <item x="547"/>
        <item x="333"/>
        <item x="180"/>
        <item x="183"/>
        <item x="173"/>
        <item x="171"/>
        <item x="494"/>
        <item x="410"/>
        <item x="449"/>
        <item x="243"/>
        <item x="232"/>
        <item x="559"/>
        <item x="250"/>
        <item x="511"/>
        <item x="208"/>
        <item x="519"/>
        <item x="212"/>
        <item x="150"/>
        <item x="202"/>
        <item x="124"/>
        <item x="155"/>
        <item x="219"/>
        <item x="168"/>
        <item x="340"/>
        <item x="109"/>
        <item h="1" x="315"/>
        <item x="159"/>
        <item x="294"/>
        <item x="211"/>
        <item h="1" x="263"/>
        <item x="572"/>
        <item t="default"/>
      </items>
    </pivotField>
    <pivotField compact="0" outline="0" showAll="0"/>
    <pivotField axis="axisRow" compact="0" outline="0" showAll="0" defaultSubtotal="0">
      <items count="29">
        <item x="18"/>
        <item x="20"/>
        <item x="1"/>
        <item x="17"/>
        <item x="12"/>
        <item x="4"/>
        <item x="23"/>
        <item x="6"/>
        <item x="7"/>
        <item x="8"/>
        <item x="10"/>
        <item x="2"/>
        <item x="15"/>
        <item x="22"/>
        <item x="11"/>
        <item x="25"/>
        <item x="24"/>
        <item x="3"/>
        <item x="26"/>
        <item x="0"/>
        <item x="21"/>
        <item x="27"/>
        <item x="13"/>
        <item x="14"/>
        <item x="9"/>
        <item x="16"/>
        <item x="5"/>
        <item x="19"/>
        <item x="28"/>
      </items>
    </pivotField>
    <pivotField axis="axisRow" compact="0" outline="0" showAll="0" sortType="descending">
      <items count="30">
        <item x="3"/>
        <item x="4"/>
        <item x="0"/>
        <item x="5"/>
        <item x="6"/>
        <item x="7"/>
        <item x="8"/>
        <item x="9"/>
        <item x="10"/>
        <item x="11"/>
        <item x="12"/>
        <item x="13"/>
        <item x="14"/>
        <item x="15"/>
        <item x="16"/>
        <item x="17"/>
        <item x="18"/>
        <item x="19"/>
        <item x="20"/>
        <item x="21"/>
        <item x="2"/>
        <item x="22"/>
        <item x="1"/>
        <item x="23"/>
        <item x="24"/>
        <item x="25"/>
        <item x="26"/>
        <item x="27"/>
        <item x="28"/>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4">
    <field x="11"/>
    <field x="14"/>
    <field x="18"/>
    <field x="19"/>
  </rowFields>
  <rowItems count="103">
    <i>
      <x v="9"/>
      <x v="50"/>
      <x v="15"/>
      <x v="25"/>
    </i>
    <i>
      <x v="15"/>
      <x v="378"/>
      <x v="6"/>
      <x v="23"/>
    </i>
    <i>
      <x v="18"/>
      <x v="176"/>
      <x v="6"/>
      <x v="23"/>
    </i>
    <i>
      <x v="21"/>
      <x v="347"/>
      <x v="6"/>
      <x v="23"/>
    </i>
    <i>
      <x v="23"/>
      <x v="94"/>
      <x v="2"/>
      <x v="22"/>
    </i>
    <i>
      <x v="24"/>
      <x v="93"/>
      <x v="2"/>
      <x v="22"/>
    </i>
    <i>
      <x v="27"/>
      <x v="458"/>
      <x v="2"/>
      <x v="22"/>
    </i>
    <i>
      <x v="28"/>
      <x v="179"/>
      <x v="2"/>
      <x v="22"/>
    </i>
    <i>
      <x v="29"/>
      <x/>
      <x v="2"/>
      <x v="22"/>
    </i>
    <i>
      <x v="30"/>
      <x v="1"/>
      <x v="2"/>
      <x v="22"/>
    </i>
    <i>
      <x v="31"/>
      <x v="414"/>
      <x v="2"/>
      <x v="22"/>
    </i>
    <i>
      <x v="32"/>
      <x v="36"/>
      <x v="6"/>
      <x v="23"/>
    </i>
    <i>
      <x v="35"/>
      <x v="379"/>
      <x v="6"/>
      <x v="23"/>
    </i>
    <i>
      <x v="36"/>
      <x v="349"/>
      <x v="6"/>
      <x v="23"/>
    </i>
    <i>
      <x v="37"/>
      <x v="348"/>
      <x v="6"/>
      <x v="23"/>
    </i>
    <i>
      <x v="38"/>
      <x v="346"/>
      <x v="6"/>
      <x v="23"/>
    </i>
    <i>
      <x v="39"/>
      <x v="344"/>
      <x v="6"/>
      <x v="23"/>
    </i>
    <i>
      <x v="40"/>
      <x v="345"/>
      <x v="6"/>
      <x v="23"/>
    </i>
    <i>
      <x v="45"/>
      <x v="465"/>
      <x v="6"/>
      <x v="23"/>
    </i>
    <i>
      <x v="46"/>
      <x v="250"/>
      <x v="2"/>
      <x v="22"/>
    </i>
    <i>
      <x v="47"/>
      <x v="323"/>
      <x v="17"/>
      <x/>
    </i>
    <i>
      <x v="48"/>
      <x v="244"/>
      <x v="6"/>
      <x v="23"/>
    </i>
    <i>
      <x v="50"/>
      <x v="318"/>
      <x v="6"/>
      <x v="23"/>
    </i>
    <i>
      <x v="51"/>
      <x v="241"/>
      <x v="6"/>
      <x v="23"/>
    </i>
    <i>
      <x v="52"/>
      <x v="413"/>
      <x v="6"/>
      <x v="23"/>
    </i>
    <i>
      <x v="60"/>
      <x v="22"/>
      <x v="16"/>
      <x v="24"/>
    </i>
    <i>
      <x v="61"/>
      <x v="354"/>
      <x v="6"/>
      <x v="23"/>
    </i>
    <i>
      <x v="62"/>
      <x v="415"/>
      <x v="6"/>
      <x v="23"/>
    </i>
    <i>
      <x v="71"/>
      <x v="468"/>
      <x v="6"/>
      <x v="23"/>
    </i>
    <i>
      <x v="83"/>
      <x v="216"/>
      <x v="2"/>
      <x v="22"/>
    </i>
    <i>
      <x v="85"/>
      <x v="203"/>
      <x v="16"/>
      <x v="24"/>
    </i>
    <i>
      <x v="96"/>
      <x v="240"/>
      <x v="6"/>
      <x v="23"/>
    </i>
    <i>
      <x v="101"/>
      <x v="303"/>
      <x v="6"/>
      <x v="23"/>
    </i>
    <i>
      <x v="122"/>
      <x v="476"/>
      <x v="2"/>
      <x v="22"/>
    </i>
    <i>
      <x v="129"/>
      <x v="391"/>
      <x v="2"/>
      <x v="22"/>
    </i>
    <i>
      <x v="134"/>
      <x v="76"/>
      <x v="16"/>
      <x v="24"/>
    </i>
    <i>
      <x v="136"/>
      <x v="333"/>
      <x v="24"/>
      <x v="7"/>
    </i>
    <i>
      <x v="143"/>
      <x v="326"/>
      <x v="6"/>
      <x v="23"/>
    </i>
    <i>
      <x v="144"/>
      <x v="327"/>
      <x v="6"/>
      <x v="23"/>
    </i>
    <i>
      <x v="145"/>
      <x v="329"/>
      <x v="6"/>
      <x v="23"/>
    </i>
    <i>
      <x v="146"/>
      <x v="330"/>
      <x v="6"/>
      <x v="23"/>
    </i>
    <i>
      <x v="147"/>
      <x v="328"/>
      <x v="6"/>
      <x v="23"/>
    </i>
    <i>
      <x v="151"/>
      <x v="392"/>
      <x v="2"/>
      <x v="22"/>
    </i>
    <i>
      <x v="153"/>
      <x v="177"/>
      <x v="6"/>
      <x v="23"/>
    </i>
    <i>
      <x v="157"/>
      <x v="395"/>
      <x v="6"/>
      <x v="23"/>
    </i>
    <i>
      <x v="164"/>
      <x v="258"/>
      <x v="6"/>
      <x v="23"/>
    </i>
    <i>
      <x v="171"/>
      <x v="350"/>
      <x v="6"/>
      <x v="23"/>
    </i>
    <i>
      <x v="182"/>
      <x v="118"/>
      <x v="6"/>
      <x v="23"/>
    </i>
    <i>
      <x v="191"/>
      <x v="103"/>
      <x v="2"/>
      <x v="22"/>
    </i>
    <i>
      <x v="195"/>
      <x v="396"/>
      <x v="6"/>
      <x v="23"/>
    </i>
    <i>
      <x v="196"/>
      <x v="25"/>
      <x v="5"/>
      <x v="1"/>
    </i>
    <i>
      <x v="197"/>
      <x v="26"/>
      <x v="5"/>
      <x v="1"/>
    </i>
    <i>
      <x v="203"/>
      <x v="28"/>
      <x v="6"/>
      <x v="23"/>
    </i>
    <i>
      <x v="209"/>
      <x v="37"/>
      <x v="6"/>
      <x v="23"/>
    </i>
    <i>
      <x v="224"/>
      <x v="300"/>
      <x v="6"/>
      <x v="23"/>
    </i>
    <i>
      <x v="241"/>
      <x v="262"/>
      <x v="2"/>
      <x v="22"/>
    </i>
    <i>
      <x v="255"/>
      <x v="263"/>
      <x v="2"/>
      <x v="22"/>
    </i>
    <i>
      <x v="263"/>
      <x v="114"/>
      <x v="6"/>
      <x v="23"/>
    </i>
    <i>
      <x v="268"/>
      <x v="353"/>
      <x v="2"/>
      <x v="22"/>
    </i>
    <i>
      <x v="291"/>
      <x v="3"/>
      <x v="2"/>
      <x v="22"/>
    </i>
    <i>
      <x v="306"/>
      <x v="178"/>
      <x v="6"/>
      <x v="23"/>
    </i>
    <i>
      <x v="321"/>
      <x v="456"/>
      <x v="6"/>
      <x v="23"/>
    </i>
    <i>
      <x v="322"/>
      <x v="243"/>
      <x v="6"/>
      <x v="23"/>
    </i>
    <i>
      <x v="331"/>
      <x v="132"/>
      <x v="6"/>
      <x v="23"/>
    </i>
    <i>
      <x v="332"/>
      <x v="74"/>
      <x v="16"/>
      <x v="24"/>
    </i>
    <i r="2">
      <x v="21"/>
      <x v="27"/>
    </i>
    <i>
      <x v="336"/>
      <x v="382"/>
      <x v="3"/>
      <x v="15"/>
    </i>
    <i>
      <x v="349"/>
      <x v="331"/>
      <x v="6"/>
      <x v="23"/>
    </i>
    <i>
      <x v="350"/>
      <x v="221"/>
      <x v="6"/>
      <x v="23"/>
    </i>
    <i>
      <x v="353"/>
      <x v="18"/>
      <x v="6"/>
      <x v="23"/>
    </i>
    <i>
      <x v="354"/>
      <x v="135"/>
      <x v="6"/>
      <x v="23"/>
    </i>
    <i>
      <x v="355"/>
      <x v="296"/>
      <x v="6"/>
      <x v="23"/>
    </i>
    <i>
      <x v="356"/>
      <x v="299"/>
      <x v="6"/>
      <x v="23"/>
    </i>
    <i>
      <x v="357"/>
      <x v="298"/>
      <x v="6"/>
      <x v="23"/>
    </i>
    <i>
      <x v="360"/>
      <x v="24"/>
      <x v="5"/>
      <x v="1"/>
    </i>
    <i>
      <x v="361"/>
      <x v="352"/>
      <x v="5"/>
      <x v="1"/>
    </i>
    <i>
      <x v="362"/>
      <x v="21"/>
      <x v="6"/>
      <x v="23"/>
    </i>
    <i>
      <x v="366"/>
      <x v="254"/>
      <x/>
      <x v="16"/>
    </i>
    <i>
      <x v="367"/>
      <x v="457"/>
      <x/>
      <x v="16"/>
    </i>
    <i>
      <x v="378"/>
      <x v="92"/>
      <x v="1"/>
      <x v="18"/>
    </i>
    <i>
      <x v="383"/>
      <x v="364"/>
      <x v="18"/>
      <x v="26"/>
    </i>
    <i>
      <x v="386"/>
      <x v="297"/>
      <x v="6"/>
      <x v="23"/>
    </i>
    <i>
      <x v="407"/>
      <x v="65"/>
      <x v="6"/>
      <x v="23"/>
    </i>
    <i>
      <x v="416"/>
      <x v="108"/>
      <x/>
      <x v="16"/>
    </i>
    <i>
      <x v="417"/>
      <x v="109"/>
      <x v="1"/>
      <x v="18"/>
    </i>
    <i>
      <x v="418"/>
      <x v="110"/>
      <x v="3"/>
      <x v="15"/>
    </i>
    <i r="2">
      <x v="9"/>
      <x v="6"/>
    </i>
    <i>
      <x v="419"/>
      <x v="107"/>
      <x/>
      <x v="16"/>
    </i>
    <i>
      <x v="422"/>
      <x v="363"/>
      <x v="16"/>
      <x v="24"/>
    </i>
    <i r="2">
      <x v="18"/>
      <x v="26"/>
    </i>
    <i>
      <x v="423"/>
      <x v="259"/>
      <x v="12"/>
      <x v="13"/>
    </i>
    <i>
      <x v="442"/>
      <x v="306"/>
      <x v="27"/>
      <x v="17"/>
    </i>
    <i>
      <x v="451"/>
      <x v="101"/>
      <x v="27"/>
      <x v="17"/>
    </i>
    <i>
      <x v="467"/>
      <x v="270"/>
      <x v="2"/>
      <x v="22"/>
    </i>
    <i>
      <x v="468"/>
      <x v="380"/>
      <x v="6"/>
      <x v="23"/>
    </i>
    <i>
      <x v="471"/>
      <x v="295"/>
      <x v="2"/>
      <x v="22"/>
    </i>
    <i>
      <x v="472"/>
      <x v="325"/>
      <x v="6"/>
      <x v="23"/>
    </i>
    <i>
      <x v="479"/>
      <x v="312"/>
      <x v="19"/>
      <x v="2"/>
    </i>
    <i>
      <x v="485"/>
      <x v="49"/>
      <x v="14"/>
      <x v="9"/>
    </i>
    <i r="2">
      <x v="26"/>
      <x v="3"/>
    </i>
    <i>
      <x v="486"/>
      <x v="207"/>
      <x v="14"/>
      <x v="9"/>
    </i>
    <i r="2">
      <x v="26"/>
      <x v="3"/>
    </i>
    <i t="grand">
      <x/>
    </i>
  </rowItems>
  <colFields count="1">
    <field x="-2"/>
  </colFields>
  <colItems count="2">
    <i>
      <x/>
    </i>
    <i i="1">
      <x v="1"/>
    </i>
  </colItems>
  <pageFields count="2">
    <pageField fld="16" hier="-1"/>
    <pageField fld="12" hier="-1"/>
  </pageFields>
  <dataFields count="2">
    <dataField name="Sum of Recurring Amount (U.S.)" fld="9" baseField="17" baseItem="52" numFmtId="165"/>
    <dataField name="Sum of One Time Amount (U.S.)" fld="8" baseField="17" baseItem="28" numFmtId="165"/>
  </dataFields>
  <formats count="2618">
    <format dxfId="8182">
      <pivotArea dataOnly="0" labelOnly="1" outline="0" fieldPosition="0">
        <references count="1">
          <reference field="4294967294" count="1">
            <x v="0"/>
          </reference>
        </references>
      </pivotArea>
    </format>
    <format dxfId="8181">
      <pivotArea type="all" dataOnly="0" outline="0" fieldPosition="0"/>
    </format>
    <format dxfId="8180">
      <pivotArea outline="0" collapsedLevelsAreSubtotals="1" fieldPosition="0"/>
    </format>
    <format dxfId="8179">
      <pivotArea field="11" type="button" dataOnly="0" labelOnly="1" outline="0" axis="axisRow" fieldPosition="0"/>
    </format>
    <format dxfId="8178">
      <pivotArea field="14" type="button" dataOnly="0" labelOnly="1" outline="0" axis="axisRow" fieldPosition="1"/>
    </format>
    <format dxfId="8177">
      <pivotArea field="18" type="button" dataOnly="0" labelOnly="1" outline="0" axis="axisRow" fieldPosition="2"/>
    </format>
    <format dxfId="8176">
      <pivotArea field="19" type="button" dataOnly="0" labelOnly="1" outline="0" axis="axisRow" fieldPosition="3"/>
    </format>
    <format dxfId="8175">
      <pivotArea dataOnly="0" labelOnly="1" outline="0" fieldPosition="0">
        <references count="1">
          <reference field="11" count="22">
            <x v="0"/>
            <x v="1"/>
            <x v="2"/>
            <x v="3"/>
            <x v="4"/>
            <x v="5"/>
            <x v="6"/>
            <x v="7"/>
            <x v="8"/>
            <x v="9"/>
            <x v="10"/>
            <x v="11"/>
            <x v="12"/>
            <x v="13"/>
            <x v="14"/>
            <x v="15"/>
            <x v="16"/>
            <x v="17"/>
            <x v="18"/>
            <x v="19"/>
            <x v="20"/>
            <x v="21"/>
          </reference>
        </references>
      </pivotArea>
    </format>
    <format dxfId="8174">
      <pivotArea dataOnly="0" labelOnly="1" outline="0" fieldPosition="0">
        <references count="1">
          <reference field="11" count="22" defaultSubtotal="1">
            <x v="0"/>
            <x v="1"/>
            <x v="2"/>
            <x v="3"/>
            <x v="4"/>
            <x v="5"/>
            <x v="6"/>
            <x v="7"/>
            <x v="8"/>
            <x v="9"/>
            <x v="10"/>
            <x v="11"/>
            <x v="12"/>
            <x v="13"/>
            <x v="14"/>
            <x v="15"/>
            <x v="16"/>
            <x v="17"/>
            <x v="18"/>
            <x v="19"/>
            <x v="20"/>
            <x v="21"/>
          </reference>
        </references>
      </pivotArea>
    </format>
    <format dxfId="8173">
      <pivotArea dataOnly="0" labelOnly="1" outline="0" fieldPosition="0">
        <references count="1">
          <reference field="11" count="18">
            <x v="22"/>
            <x v="23"/>
            <x v="24"/>
            <x v="25"/>
            <x v="26"/>
            <x v="27"/>
            <x v="28"/>
            <x v="29"/>
            <x v="30"/>
            <x v="31"/>
            <x v="32"/>
            <x v="33"/>
            <x v="34"/>
            <x v="35"/>
            <x v="36"/>
            <x v="37"/>
            <x v="38"/>
            <x v="39"/>
          </reference>
        </references>
      </pivotArea>
    </format>
    <format dxfId="8172">
      <pivotArea dataOnly="0" labelOnly="1" outline="0" fieldPosition="0">
        <references count="1">
          <reference field="11" count="18" defaultSubtotal="1">
            <x v="22"/>
            <x v="23"/>
            <x v="24"/>
            <x v="25"/>
            <x v="26"/>
            <x v="27"/>
            <x v="28"/>
            <x v="29"/>
            <x v="30"/>
            <x v="31"/>
            <x v="32"/>
            <x v="33"/>
            <x v="34"/>
            <x v="35"/>
            <x v="36"/>
            <x v="37"/>
            <x v="38"/>
            <x v="39"/>
          </reference>
        </references>
      </pivotArea>
    </format>
    <format dxfId="8171">
      <pivotArea dataOnly="0" labelOnly="1" outline="0" fieldPosition="0">
        <references count="1">
          <reference field="11" count="20">
            <x v="40"/>
            <x v="41"/>
            <x v="42"/>
            <x v="43"/>
            <x v="44"/>
            <x v="45"/>
            <x v="46"/>
            <x v="47"/>
            <x v="48"/>
            <x v="49"/>
            <x v="50"/>
            <x v="51"/>
            <x v="52"/>
            <x v="53"/>
            <x v="54"/>
            <x v="55"/>
            <x v="56"/>
            <x v="57"/>
            <x v="58"/>
            <x v="59"/>
          </reference>
        </references>
      </pivotArea>
    </format>
    <format dxfId="8170">
      <pivotArea dataOnly="0" labelOnly="1" outline="0" fieldPosition="0">
        <references count="1">
          <reference field="11" count="20" defaultSubtotal="1">
            <x v="40"/>
            <x v="41"/>
            <x v="42"/>
            <x v="43"/>
            <x v="44"/>
            <x v="45"/>
            <x v="46"/>
            <x v="47"/>
            <x v="48"/>
            <x v="49"/>
            <x v="50"/>
            <x v="51"/>
            <x v="52"/>
            <x v="53"/>
            <x v="54"/>
            <x v="55"/>
            <x v="56"/>
            <x v="57"/>
            <x v="58"/>
            <x v="59"/>
          </reference>
        </references>
      </pivotArea>
    </format>
    <format dxfId="8169">
      <pivotArea dataOnly="0" labelOnly="1" outline="0" fieldPosition="0">
        <references count="1">
          <reference field="11" count="15">
            <x v="60"/>
            <x v="61"/>
            <x v="62"/>
            <x v="63"/>
            <x v="64"/>
            <x v="65"/>
            <x v="66"/>
            <x v="67"/>
            <x v="68"/>
            <x v="69"/>
            <x v="70"/>
            <x v="71"/>
            <x v="72"/>
            <x v="73"/>
            <x v="74"/>
          </reference>
        </references>
      </pivotArea>
    </format>
    <format dxfId="8168">
      <pivotArea dataOnly="0" labelOnly="1" outline="0" fieldPosition="0">
        <references count="1">
          <reference field="11" count="15" defaultSubtotal="1">
            <x v="60"/>
            <x v="61"/>
            <x v="62"/>
            <x v="63"/>
            <x v="64"/>
            <x v="65"/>
            <x v="66"/>
            <x v="67"/>
            <x v="68"/>
            <x v="69"/>
            <x v="70"/>
            <x v="71"/>
            <x v="72"/>
            <x v="73"/>
            <x v="74"/>
          </reference>
        </references>
      </pivotArea>
    </format>
    <format dxfId="8167">
      <pivotArea dataOnly="0" labelOnly="1" outline="0" fieldPosition="0">
        <references count="1">
          <reference field="11" count="18">
            <x v="75"/>
            <x v="76"/>
            <x v="77"/>
            <x v="78"/>
            <x v="79"/>
            <x v="80"/>
            <x v="81"/>
            <x v="82"/>
            <x v="83"/>
            <x v="84"/>
            <x v="85"/>
            <x v="86"/>
            <x v="87"/>
            <x v="88"/>
            <x v="89"/>
            <x v="90"/>
            <x v="91"/>
            <x v="92"/>
          </reference>
        </references>
      </pivotArea>
    </format>
    <format dxfId="8166">
      <pivotArea dataOnly="0" labelOnly="1" outline="0" fieldPosition="0">
        <references count="1">
          <reference field="11" count="18" defaultSubtotal="1">
            <x v="75"/>
            <x v="76"/>
            <x v="77"/>
            <x v="78"/>
            <x v="79"/>
            <x v="80"/>
            <x v="81"/>
            <x v="82"/>
            <x v="83"/>
            <x v="84"/>
            <x v="85"/>
            <x v="86"/>
            <x v="87"/>
            <x v="88"/>
            <x v="89"/>
            <x v="90"/>
            <x v="91"/>
            <x v="92"/>
          </reference>
        </references>
      </pivotArea>
    </format>
    <format dxfId="8165">
      <pivotArea dataOnly="0" labelOnly="1" outline="0" fieldPosition="0">
        <references count="1">
          <reference field="11" count="16">
            <x v="93"/>
            <x v="94"/>
            <x v="95"/>
            <x v="96"/>
            <x v="97"/>
            <x v="98"/>
            <x v="99"/>
            <x v="100"/>
            <x v="101"/>
            <x v="102"/>
            <x v="103"/>
            <x v="104"/>
            <x v="105"/>
            <x v="106"/>
            <x v="107"/>
            <x v="108"/>
          </reference>
        </references>
      </pivotArea>
    </format>
    <format dxfId="8164">
      <pivotArea dataOnly="0" labelOnly="1" outline="0" fieldPosition="0">
        <references count="1">
          <reference field="11" count="16" defaultSubtotal="1">
            <x v="93"/>
            <x v="94"/>
            <x v="95"/>
            <x v="96"/>
            <x v="97"/>
            <x v="98"/>
            <x v="99"/>
            <x v="100"/>
            <x v="101"/>
            <x v="102"/>
            <x v="103"/>
            <x v="104"/>
            <x v="105"/>
            <x v="106"/>
            <x v="107"/>
            <x v="108"/>
          </reference>
        </references>
      </pivotArea>
    </format>
    <format dxfId="8163">
      <pivotArea dataOnly="0" labelOnly="1" outline="0" fieldPosition="0">
        <references count="1">
          <reference field="11" count="23">
            <x v="109"/>
            <x v="110"/>
            <x v="111"/>
            <x v="112"/>
            <x v="113"/>
            <x v="114"/>
            <x v="115"/>
            <x v="116"/>
            <x v="117"/>
            <x v="118"/>
            <x v="119"/>
            <x v="120"/>
            <x v="121"/>
            <x v="122"/>
            <x v="123"/>
            <x v="124"/>
            <x v="125"/>
            <x v="126"/>
            <x v="127"/>
            <x v="128"/>
            <x v="129"/>
            <x v="130"/>
            <x v="131"/>
          </reference>
        </references>
      </pivotArea>
    </format>
    <format dxfId="8162">
      <pivotArea dataOnly="0" labelOnly="1" outline="0" fieldPosition="0">
        <references count="1">
          <reference field="11" count="23" defaultSubtotal="1">
            <x v="109"/>
            <x v="110"/>
            <x v="111"/>
            <x v="112"/>
            <x v="113"/>
            <x v="114"/>
            <x v="115"/>
            <x v="116"/>
            <x v="117"/>
            <x v="118"/>
            <x v="119"/>
            <x v="120"/>
            <x v="121"/>
            <x v="122"/>
            <x v="123"/>
            <x v="124"/>
            <x v="125"/>
            <x v="126"/>
            <x v="127"/>
            <x v="128"/>
            <x v="129"/>
            <x v="130"/>
            <x v="131"/>
          </reference>
        </references>
      </pivotArea>
    </format>
    <format dxfId="8161">
      <pivotArea dataOnly="0" labelOnly="1" outline="0" fieldPosition="0">
        <references count="1">
          <reference field="11" count="19">
            <x v="132"/>
            <x v="133"/>
            <x v="134"/>
            <x v="135"/>
            <x v="136"/>
            <x v="137"/>
            <x v="138"/>
            <x v="139"/>
            <x v="140"/>
            <x v="141"/>
            <x v="142"/>
            <x v="143"/>
            <x v="144"/>
            <x v="145"/>
            <x v="146"/>
            <x v="147"/>
            <x v="148"/>
            <x v="149"/>
            <x v="150"/>
          </reference>
        </references>
      </pivotArea>
    </format>
    <format dxfId="8160">
      <pivotArea dataOnly="0" labelOnly="1" outline="0" fieldPosition="0">
        <references count="1">
          <reference field="11" count="19" defaultSubtotal="1">
            <x v="132"/>
            <x v="133"/>
            <x v="134"/>
            <x v="135"/>
            <x v="136"/>
            <x v="137"/>
            <x v="138"/>
            <x v="139"/>
            <x v="140"/>
            <x v="141"/>
            <x v="142"/>
            <x v="143"/>
            <x v="144"/>
            <x v="145"/>
            <x v="146"/>
            <x v="147"/>
            <x v="148"/>
            <x v="149"/>
            <x v="150"/>
          </reference>
        </references>
      </pivotArea>
    </format>
    <format dxfId="8159">
      <pivotArea dataOnly="0" labelOnly="1" outline="0" fieldPosition="0">
        <references count="1">
          <reference field="11" count="14">
            <x v="151"/>
            <x v="152"/>
            <x v="153"/>
            <x v="154"/>
            <x v="155"/>
            <x v="156"/>
            <x v="157"/>
            <x v="158"/>
            <x v="159"/>
            <x v="160"/>
            <x v="161"/>
            <x v="162"/>
            <x v="163"/>
            <x v="164"/>
          </reference>
        </references>
      </pivotArea>
    </format>
    <format dxfId="8158">
      <pivotArea dataOnly="0" labelOnly="1" outline="0" fieldPosition="0">
        <references count="1">
          <reference field="11" count="14" defaultSubtotal="1">
            <x v="151"/>
            <x v="152"/>
            <x v="153"/>
            <x v="154"/>
            <x v="155"/>
            <x v="156"/>
            <x v="157"/>
            <x v="158"/>
            <x v="159"/>
            <x v="160"/>
            <x v="161"/>
            <x v="162"/>
            <x v="163"/>
            <x v="164"/>
          </reference>
        </references>
      </pivotArea>
    </format>
    <format dxfId="8157">
      <pivotArea dataOnly="0" labelOnly="1" outline="0" fieldPosition="0">
        <references count="1">
          <reference field="11" count="16">
            <x v="165"/>
            <x v="166"/>
            <x v="167"/>
            <x v="168"/>
            <x v="169"/>
            <x v="170"/>
            <x v="171"/>
            <x v="172"/>
            <x v="173"/>
            <x v="174"/>
            <x v="175"/>
            <x v="176"/>
            <x v="177"/>
            <x v="178"/>
            <x v="179"/>
            <x v="180"/>
          </reference>
        </references>
      </pivotArea>
    </format>
    <format dxfId="8156">
      <pivotArea dataOnly="0" labelOnly="1" outline="0" fieldPosition="0">
        <references count="1">
          <reference field="11" count="16" defaultSubtotal="1">
            <x v="165"/>
            <x v="166"/>
            <x v="167"/>
            <x v="168"/>
            <x v="169"/>
            <x v="170"/>
            <x v="171"/>
            <x v="172"/>
            <x v="173"/>
            <x v="174"/>
            <x v="175"/>
            <x v="176"/>
            <x v="177"/>
            <x v="178"/>
            <x v="179"/>
            <x v="180"/>
          </reference>
        </references>
      </pivotArea>
    </format>
    <format dxfId="8155">
      <pivotArea dataOnly="0" labelOnly="1" outline="0" fieldPosition="0">
        <references count="1">
          <reference field="11" count="20">
            <x v="181"/>
            <x v="182"/>
            <x v="183"/>
            <x v="184"/>
            <x v="185"/>
            <x v="186"/>
            <x v="187"/>
            <x v="188"/>
            <x v="189"/>
            <x v="190"/>
            <x v="191"/>
            <x v="192"/>
            <x v="193"/>
            <x v="194"/>
            <x v="195"/>
            <x v="196"/>
            <x v="197"/>
            <x v="198"/>
            <x v="199"/>
            <x v="200"/>
          </reference>
        </references>
      </pivotArea>
    </format>
    <format dxfId="8154">
      <pivotArea dataOnly="0" labelOnly="1" outline="0" fieldPosition="0">
        <references count="1">
          <reference field="11" count="20" defaultSubtotal="1">
            <x v="181"/>
            <x v="182"/>
            <x v="183"/>
            <x v="184"/>
            <x v="185"/>
            <x v="186"/>
            <x v="187"/>
            <x v="188"/>
            <x v="189"/>
            <x v="190"/>
            <x v="191"/>
            <x v="192"/>
            <x v="193"/>
            <x v="194"/>
            <x v="195"/>
            <x v="196"/>
            <x v="197"/>
            <x v="198"/>
            <x v="199"/>
            <x v="200"/>
          </reference>
        </references>
      </pivotArea>
    </format>
    <format dxfId="8153">
      <pivotArea dataOnly="0" labelOnly="1" outline="0" fieldPosition="0">
        <references count="1">
          <reference field="11" count="15">
            <x v="201"/>
            <x v="202"/>
            <x v="203"/>
            <x v="204"/>
            <x v="205"/>
            <x v="206"/>
            <x v="207"/>
            <x v="208"/>
            <x v="209"/>
            <x v="210"/>
            <x v="211"/>
            <x v="212"/>
            <x v="213"/>
            <x v="214"/>
            <x v="215"/>
          </reference>
        </references>
      </pivotArea>
    </format>
    <format dxfId="8152">
      <pivotArea dataOnly="0" labelOnly="1" outline="0" fieldPosition="0">
        <references count="1">
          <reference field="11" count="15" defaultSubtotal="1">
            <x v="201"/>
            <x v="202"/>
            <x v="203"/>
            <x v="204"/>
            <x v="205"/>
            <x v="206"/>
            <x v="207"/>
            <x v="208"/>
            <x v="209"/>
            <x v="210"/>
            <x v="211"/>
            <x v="212"/>
            <x v="213"/>
            <x v="214"/>
            <x v="215"/>
          </reference>
        </references>
      </pivotArea>
    </format>
    <format dxfId="8151">
      <pivotArea dataOnly="0" labelOnly="1" outline="0" fieldPosition="0">
        <references count="1">
          <reference field="11" count="18">
            <x v="216"/>
            <x v="217"/>
            <x v="218"/>
            <x v="219"/>
            <x v="220"/>
            <x v="221"/>
            <x v="222"/>
            <x v="223"/>
            <x v="224"/>
            <x v="225"/>
            <x v="226"/>
            <x v="227"/>
            <x v="228"/>
            <x v="229"/>
            <x v="230"/>
            <x v="231"/>
            <x v="232"/>
            <x v="233"/>
          </reference>
        </references>
      </pivotArea>
    </format>
    <format dxfId="8150">
      <pivotArea dataOnly="0" labelOnly="1" outline="0" fieldPosition="0">
        <references count="1">
          <reference field="11" count="18" defaultSubtotal="1">
            <x v="216"/>
            <x v="217"/>
            <x v="218"/>
            <x v="219"/>
            <x v="220"/>
            <x v="221"/>
            <x v="222"/>
            <x v="223"/>
            <x v="224"/>
            <x v="225"/>
            <x v="226"/>
            <x v="227"/>
            <x v="228"/>
            <x v="229"/>
            <x v="230"/>
            <x v="231"/>
            <x v="232"/>
            <x v="233"/>
          </reference>
        </references>
      </pivotArea>
    </format>
    <format dxfId="8149">
      <pivotArea dataOnly="0" labelOnly="1" outline="0" fieldPosition="0">
        <references count="1">
          <reference field="11" count="19">
            <x v="234"/>
            <x v="235"/>
            <x v="236"/>
            <x v="237"/>
            <x v="238"/>
            <x v="239"/>
            <x v="240"/>
            <x v="241"/>
            <x v="242"/>
            <x v="243"/>
            <x v="244"/>
            <x v="245"/>
            <x v="246"/>
            <x v="247"/>
            <x v="248"/>
            <x v="249"/>
            <x v="250"/>
            <x v="251"/>
            <x v="252"/>
          </reference>
        </references>
      </pivotArea>
    </format>
    <format dxfId="8148">
      <pivotArea dataOnly="0" labelOnly="1" outline="0" fieldPosition="0">
        <references count="1">
          <reference field="11" count="19" defaultSubtotal="1">
            <x v="234"/>
            <x v="235"/>
            <x v="236"/>
            <x v="237"/>
            <x v="238"/>
            <x v="239"/>
            <x v="240"/>
            <x v="241"/>
            <x v="242"/>
            <x v="243"/>
            <x v="244"/>
            <x v="245"/>
            <x v="246"/>
            <x v="247"/>
            <x v="248"/>
            <x v="249"/>
            <x v="250"/>
            <x v="251"/>
            <x v="252"/>
          </reference>
        </references>
      </pivotArea>
    </format>
    <format dxfId="8147">
      <pivotArea dataOnly="0" labelOnly="1" outline="0" fieldPosition="0">
        <references count="1">
          <reference field="11" count="9">
            <x v="253"/>
            <x v="254"/>
            <x v="255"/>
            <x v="256"/>
            <x v="257"/>
            <x v="258"/>
            <x v="259"/>
            <x v="260"/>
            <x v="261"/>
          </reference>
        </references>
      </pivotArea>
    </format>
    <format dxfId="8146">
      <pivotArea dataOnly="0" labelOnly="1" outline="0" fieldPosition="0">
        <references count="1">
          <reference field="11" count="9" defaultSubtotal="1">
            <x v="253"/>
            <x v="254"/>
            <x v="255"/>
            <x v="256"/>
            <x v="257"/>
            <x v="258"/>
            <x v="259"/>
            <x v="260"/>
            <x v="261"/>
          </reference>
        </references>
      </pivotArea>
    </format>
    <format dxfId="8145">
      <pivotArea dataOnly="0" labelOnly="1" outline="0" fieldPosition="0">
        <references count="1">
          <reference field="11" count="23">
            <x v="262"/>
            <x v="263"/>
            <x v="264"/>
            <x v="265"/>
            <x v="266"/>
            <x v="267"/>
            <x v="268"/>
            <x v="269"/>
            <x v="270"/>
            <x v="271"/>
            <x v="272"/>
            <x v="273"/>
            <x v="274"/>
            <x v="275"/>
            <x v="276"/>
            <x v="277"/>
            <x v="278"/>
            <x v="279"/>
            <x v="280"/>
            <x v="281"/>
            <x v="282"/>
            <x v="283"/>
            <x v="284"/>
          </reference>
        </references>
      </pivotArea>
    </format>
    <format dxfId="8144">
      <pivotArea dataOnly="0" labelOnly="1" outline="0" fieldPosition="0">
        <references count="1">
          <reference field="11" count="23" defaultSubtotal="1">
            <x v="262"/>
            <x v="263"/>
            <x v="264"/>
            <x v="265"/>
            <x v="266"/>
            <x v="267"/>
            <x v="268"/>
            <x v="269"/>
            <x v="270"/>
            <x v="271"/>
            <x v="272"/>
            <x v="273"/>
            <x v="274"/>
            <x v="275"/>
            <x v="276"/>
            <x v="277"/>
            <x v="278"/>
            <x v="279"/>
            <x v="280"/>
            <x v="281"/>
            <x v="282"/>
            <x v="283"/>
            <x v="284"/>
          </reference>
        </references>
      </pivotArea>
    </format>
    <format dxfId="8143">
      <pivotArea dataOnly="0" labelOnly="1" outline="0" fieldPosition="0">
        <references count="1">
          <reference field="11" count="24">
            <x v="285"/>
            <x v="286"/>
            <x v="287"/>
            <x v="288"/>
            <x v="289"/>
            <x v="290"/>
            <x v="291"/>
            <x v="292"/>
            <x v="293"/>
            <x v="294"/>
            <x v="295"/>
            <x v="296"/>
            <x v="297"/>
            <x v="298"/>
            <x v="299"/>
            <x v="300"/>
            <x v="301"/>
            <x v="302"/>
            <x v="303"/>
            <x v="304"/>
            <x v="305"/>
            <x v="306"/>
            <x v="307"/>
            <x v="308"/>
          </reference>
        </references>
      </pivotArea>
    </format>
    <format dxfId="8142">
      <pivotArea dataOnly="0" labelOnly="1" outline="0" fieldPosition="0">
        <references count="1">
          <reference field="11" count="24" defaultSubtotal="1">
            <x v="285"/>
            <x v="286"/>
            <x v="287"/>
            <x v="288"/>
            <x v="289"/>
            <x v="290"/>
            <x v="291"/>
            <x v="292"/>
            <x v="293"/>
            <x v="294"/>
            <x v="295"/>
            <x v="296"/>
            <x v="297"/>
            <x v="298"/>
            <x v="299"/>
            <x v="300"/>
            <x v="301"/>
            <x v="302"/>
            <x v="303"/>
            <x v="304"/>
            <x v="305"/>
            <x v="306"/>
            <x v="307"/>
            <x v="308"/>
          </reference>
        </references>
      </pivotArea>
    </format>
    <format dxfId="8141">
      <pivotArea dataOnly="0" labelOnly="1" outline="0" fieldPosition="0">
        <references count="1">
          <reference field="11" count="22">
            <x v="309"/>
            <x v="310"/>
            <x v="311"/>
            <x v="312"/>
            <x v="313"/>
            <x v="314"/>
            <x v="315"/>
            <x v="316"/>
            <x v="317"/>
            <x v="318"/>
            <x v="319"/>
            <x v="320"/>
            <x v="321"/>
            <x v="322"/>
            <x v="323"/>
            <x v="324"/>
            <x v="325"/>
            <x v="326"/>
            <x v="327"/>
            <x v="328"/>
            <x v="329"/>
            <x v="330"/>
          </reference>
        </references>
      </pivotArea>
    </format>
    <format dxfId="8140">
      <pivotArea dataOnly="0" labelOnly="1" outline="0" fieldPosition="0">
        <references count="1">
          <reference field="11" count="22" defaultSubtotal="1">
            <x v="309"/>
            <x v="310"/>
            <x v="311"/>
            <x v="312"/>
            <x v="313"/>
            <x v="314"/>
            <x v="315"/>
            <x v="316"/>
            <x v="317"/>
            <x v="318"/>
            <x v="319"/>
            <x v="320"/>
            <x v="321"/>
            <x v="322"/>
            <x v="323"/>
            <x v="324"/>
            <x v="325"/>
            <x v="326"/>
            <x v="327"/>
            <x v="328"/>
            <x v="329"/>
            <x v="330"/>
          </reference>
        </references>
      </pivotArea>
    </format>
    <format dxfId="8139">
      <pivotArea dataOnly="0" labelOnly="1" outline="0" fieldPosition="0">
        <references count="1">
          <reference field="11" count="15">
            <x v="331"/>
            <x v="332"/>
            <x v="333"/>
            <x v="334"/>
            <x v="335"/>
            <x v="336"/>
            <x v="337"/>
            <x v="338"/>
            <x v="339"/>
            <x v="340"/>
            <x v="341"/>
            <x v="342"/>
            <x v="343"/>
            <x v="344"/>
            <x v="345"/>
          </reference>
        </references>
      </pivotArea>
    </format>
    <format dxfId="8138">
      <pivotArea dataOnly="0" labelOnly="1" outline="0" fieldPosition="0">
        <references count="1">
          <reference field="11" count="15" defaultSubtotal="1">
            <x v="331"/>
            <x v="332"/>
            <x v="333"/>
            <x v="334"/>
            <x v="335"/>
            <x v="336"/>
            <x v="337"/>
            <x v="338"/>
            <x v="339"/>
            <x v="340"/>
            <x v="341"/>
            <x v="342"/>
            <x v="343"/>
            <x v="344"/>
            <x v="345"/>
          </reference>
        </references>
      </pivotArea>
    </format>
    <format dxfId="8137">
      <pivotArea dataOnly="0" labelOnly="1" outline="0" fieldPosition="0">
        <references count="1">
          <reference field="11" count="12">
            <x v="346"/>
            <x v="347"/>
            <x v="348"/>
            <x v="349"/>
            <x v="350"/>
            <x v="351"/>
            <x v="352"/>
            <x v="353"/>
            <x v="354"/>
            <x v="355"/>
            <x v="356"/>
            <x v="357"/>
          </reference>
        </references>
      </pivotArea>
    </format>
    <format dxfId="8136">
      <pivotArea dataOnly="0" labelOnly="1" outline="0" fieldPosition="0">
        <references count="1">
          <reference field="11" count="12" defaultSubtotal="1">
            <x v="346"/>
            <x v="347"/>
            <x v="348"/>
            <x v="349"/>
            <x v="350"/>
            <x v="351"/>
            <x v="352"/>
            <x v="353"/>
            <x v="354"/>
            <x v="355"/>
            <x v="356"/>
            <x v="357"/>
          </reference>
        </references>
      </pivotArea>
    </format>
    <format dxfId="8135">
      <pivotArea dataOnly="0" labelOnly="1" outline="0" fieldPosition="0">
        <references count="1">
          <reference field="11" count="17">
            <x v="358"/>
            <x v="359"/>
            <x v="360"/>
            <x v="361"/>
            <x v="362"/>
            <x v="363"/>
            <x v="364"/>
            <x v="365"/>
            <x v="366"/>
            <x v="367"/>
            <x v="368"/>
            <x v="369"/>
            <x v="370"/>
            <x v="371"/>
            <x v="372"/>
            <x v="373"/>
            <x v="374"/>
          </reference>
        </references>
      </pivotArea>
    </format>
    <format dxfId="8134">
      <pivotArea dataOnly="0" labelOnly="1" outline="0" fieldPosition="0">
        <references count="1">
          <reference field="11" count="17" defaultSubtotal="1">
            <x v="358"/>
            <x v="359"/>
            <x v="360"/>
            <x v="361"/>
            <x v="362"/>
            <x v="363"/>
            <x v="364"/>
            <x v="365"/>
            <x v="366"/>
            <x v="367"/>
            <x v="368"/>
            <x v="369"/>
            <x v="370"/>
            <x v="371"/>
            <x v="372"/>
            <x v="373"/>
            <x v="374"/>
          </reference>
        </references>
      </pivotArea>
    </format>
    <format dxfId="8133">
      <pivotArea dataOnly="0" labelOnly="1" outline="0" fieldPosition="0">
        <references count="1">
          <reference field="11" count="20">
            <x v="375"/>
            <x v="376"/>
            <x v="377"/>
            <x v="378"/>
            <x v="379"/>
            <x v="380"/>
            <x v="381"/>
            <x v="382"/>
            <x v="383"/>
            <x v="384"/>
            <x v="385"/>
            <x v="386"/>
            <x v="387"/>
            <x v="388"/>
            <x v="389"/>
            <x v="390"/>
            <x v="391"/>
            <x v="392"/>
            <x v="393"/>
            <x v="394"/>
          </reference>
        </references>
      </pivotArea>
    </format>
    <format dxfId="8132">
      <pivotArea dataOnly="0" labelOnly="1" outline="0" fieldPosition="0">
        <references count="1">
          <reference field="11" count="20" defaultSubtotal="1">
            <x v="375"/>
            <x v="376"/>
            <x v="377"/>
            <x v="378"/>
            <x v="379"/>
            <x v="380"/>
            <x v="381"/>
            <x v="382"/>
            <x v="383"/>
            <x v="384"/>
            <x v="385"/>
            <x v="386"/>
            <x v="387"/>
            <x v="388"/>
            <x v="389"/>
            <x v="390"/>
            <x v="391"/>
            <x v="392"/>
            <x v="393"/>
            <x v="394"/>
          </reference>
        </references>
      </pivotArea>
    </format>
    <format dxfId="8131">
      <pivotArea dataOnly="0" labelOnly="1" outline="0" fieldPosition="0">
        <references count="1">
          <reference field="11" count="12">
            <x v="395"/>
            <x v="396"/>
            <x v="397"/>
            <x v="398"/>
            <x v="399"/>
            <x v="400"/>
            <x v="401"/>
            <x v="402"/>
            <x v="403"/>
            <x v="404"/>
            <x v="405"/>
            <x v="406"/>
          </reference>
        </references>
      </pivotArea>
    </format>
    <format dxfId="8130">
      <pivotArea dataOnly="0" labelOnly="1" outline="0" fieldPosition="0">
        <references count="1">
          <reference field="11" count="12" defaultSubtotal="1">
            <x v="395"/>
            <x v="396"/>
            <x v="397"/>
            <x v="398"/>
            <x v="399"/>
            <x v="400"/>
            <x v="401"/>
            <x v="402"/>
            <x v="403"/>
            <x v="404"/>
            <x v="405"/>
            <x v="406"/>
          </reference>
        </references>
      </pivotArea>
    </format>
    <format dxfId="8129">
      <pivotArea dataOnly="0" labelOnly="1" outline="0" fieldPosition="0">
        <references count="1">
          <reference field="11" count="19">
            <x v="407"/>
            <x v="408"/>
            <x v="409"/>
            <x v="410"/>
            <x v="411"/>
            <x v="412"/>
            <x v="413"/>
            <x v="414"/>
            <x v="415"/>
            <x v="416"/>
            <x v="417"/>
            <x v="418"/>
            <x v="419"/>
            <x v="420"/>
            <x v="421"/>
            <x v="422"/>
            <x v="423"/>
            <x v="424"/>
            <x v="425"/>
          </reference>
        </references>
      </pivotArea>
    </format>
    <format dxfId="8128">
      <pivotArea dataOnly="0" labelOnly="1" outline="0" fieldPosition="0">
        <references count="1">
          <reference field="11" count="19" defaultSubtotal="1">
            <x v="407"/>
            <x v="408"/>
            <x v="409"/>
            <x v="410"/>
            <x v="411"/>
            <x v="412"/>
            <x v="413"/>
            <x v="414"/>
            <x v="415"/>
            <x v="416"/>
            <x v="417"/>
            <x v="418"/>
            <x v="419"/>
            <x v="420"/>
            <x v="421"/>
            <x v="422"/>
            <x v="423"/>
            <x v="424"/>
            <x v="425"/>
          </reference>
        </references>
      </pivotArea>
    </format>
    <format dxfId="8127">
      <pivotArea dataOnly="0" labelOnly="1" outline="0" fieldPosition="0">
        <references count="1">
          <reference field="11" count="16">
            <x v="426"/>
            <x v="427"/>
            <x v="428"/>
            <x v="429"/>
            <x v="430"/>
            <x v="431"/>
            <x v="432"/>
            <x v="433"/>
            <x v="434"/>
            <x v="435"/>
            <x v="436"/>
            <x v="437"/>
            <x v="438"/>
            <x v="439"/>
            <x v="440"/>
            <x v="441"/>
          </reference>
        </references>
      </pivotArea>
    </format>
    <format dxfId="8126">
      <pivotArea dataOnly="0" labelOnly="1" outline="0" fieldPosition="0">
        <references count="1">
          <reference field="11" count="16" defaultSubtotal="1">
            <x v="426"/>
            <x v="427"/>
            <x v="428"/>
            <x v="429"/>
            <x v="430"/>
            <x v="431"/>
            <x v="432"/>
            <x v="433"/>
            <x v="434"/>
            <x v="435"/>
            <x v="436"/>
            <x v="437"/>
            <x v="438"/>
            <x v="439"/>
            <x v="440"/>
            <x v="441"/>
          </reference>
        </references>
      </pivotArea>
    </format>
    <format dxfId="8125">
      <pivotArea dataOnly="0" labelOnly="1" outline="0" fieldPosition="0">
        <references count="1">
          <reference field="11" count="19">
            <x v="442"/>
            <x v="443"/>
            <x v="444"/>
            <x v="445"/>
            <x v="446"/>
            <x v="447"/>
            <x v="448"/>
            <x v="449"/>
            <x v="450"/>
            <x v="451"/>
            <x v="452"/>
            <x v="453"/>
            <x v="454"/>
            <x v="455"/>
            <x v="456"/>
            <x v="457"/>
            <x v="458"/>
            <x v="459"/>
            <x v="460"/>
          </reference>
        </references>
      </pivotArea>
    </format>
    <format dxfId="8124">
      <pivotArea dataOnly="0" labelOnly="1" outline="0" fieldPosition="0">
        <references count="1">
          <reference field="11" count="19" defaultSubtotal="1">
            <x v="442"/>
            <x v="443"/>
            <x v="444"/>
            <x v="445"/>
            <x v="446"/>
            <x v="447"/>
            <x v="448"/>
            <x v="449"/>
            <x v="450"/>
            <x v="451"/>
            <x v="452"/>
            <x v="453"/>
            <x v="454"/>
            <x v="455"/>
            <x v="456"/>
            <x v="457"/>
            <x v="458"/>
            <x v="459"/>
            <x v="460"/>
          </reference>
        </references>
      </pivotArea>
    </format>
    <format dxfId="8123">
      <pivotArea dataOnly="0" labelOnly="1" outline="0" fieldPosition="0">
        <references count="1">
          <reference field="11" count="21">
            <x v="461"/>
            <x v="462"/>
            <x v="463"/>
            <x v="464"/>
            <x v="465"/>
            <x v="466"/>
            <x v="467"/>
            <x v="468"/>
            <x v="469"/>
            <x v="470"/>
            <x v="471"/>
            <x v="472"/>
            <x v="473"/>
            <x v="474"/>
            <x v="475"/>
            <x v="476"/>
            <x v="477"/>
            <x v="478"/>
            <x v="479"/>
            <x v="480"/>
            <x v="481"/>
          </reference>
        </references>
      </pivotArea>
    </format>
    <format dxfId="8122">
      <pivotArea dataOnly="0" labelOnly="1" outline="0" fieldPosition="0">
        <references count="1">
          <reference field="11" count="21" defaultSubtotal="1">
            <x v="461"/>
            <x v="462"/>
            <x v="463"/>
            <x v="464"/>
            <x v="465"/>
            <x v="466"/>
            <x v="467"/>
            <x v="468"/>
            <x v="469"/>
            <x v="470"/>
            <x v="471"/>
            <x v="472"/>
            <x v="473"/>
            <x v="474"/>
            <x v="475"/>
            <x v="476"/>
            <x v="477"/>
            <x v="478"/>
            <x v="479"/>
            <x v="480"/>
            <x v="481"/>
          </reference>
        </references>
      </pivotArea>
    </format>
    <format dxfId="8121">
      <pivotArea dataOnly="0" labelOnly="1" outline="0" fieldPosition="0">
        <references count="1">
          <reference field="11" count="7">
            <x v="482"/>
            <x v="483"/>
            <x v="484"/>
            <x v="485"/>
            <x v="486"/>
            <x v="487"/>
            <x v="488"/>
          </reference>
        </references>
      </pivotArea>
    </format>
    <format dxfId="8120">
      <pivotArea dataOnly="0" labelOnly="1" outline="0" fieldPosition="0">
        <references count="1">
          <reference field="11" count="7" defaultSubtotal="1">
            <x v="482"/>
            <x v="483"/>
            <x v="484"/>
            <x v="485"/>
            <x v="486"/>
            <x v="487"/>
            <x v="488"/>
          </reference>
        </references>
      </pivotArea>
    </format>
    <format dxfId="8119">
      <pivotArea dataOnly="0" labelOnly="1" grandRow="1" outline="0" fieldPosition="0"/>
    </format>
    <format dxfId="8118">
      <pivotArea dataOnly="0" labelOnly="1" outline="0" fieldPosition="0">
        <references count="2">
          <reference field="11" count="1" selected="0">
            <x v="0"/>
          </reference>
          <reference field="14" count="1">
            <x v="90"/>
          </reference>
        </references>
      </pivotArea>
    </format>
    <format dxfId="8117">
      <pivotArea dataOnly="0" labelOnly="1" outline="0" fieldPosition="0">
        <references count="2">
          <reference field="11" count="1" selected="0">
            <x v="0"/>
          </reference>
          <reference field="14" count="1" defaultSubtotal="1">
            <x v="90"/>
          </reference>
        </references>
      </pivotArea>
    </format>
    <format dxfId="8116">
      <pivotArea dataOnly="0" labelOnly="1" outline="0" fieldPosition="0">
        <references count="2">
          <reference field="11" count="1" selected="0">
            <x v="1"/>
          </reference>
          <reference field="14" count="1">
            <x v="230"/>
          </reference>
        </references>
      </pivotArea>
    </format>
    <format dxfId="8115">
      <pivotArea dataOnly="0" labelOnly="1" outline="0" fieldPosition="0">
        <references count="2">
          <reference field="11" count="1" selected="0">
            <x v="1"/>
          </reference>
          <reference field="14" count="1" defaultSubtotal="1">
            <x v="230"/>
          </reference>
        </references>
      </pivotArea>
    </format>
    <format dxfId="8114">
      <pivotArea dataOnly="0" labelOnly="1" outline="0" fieldPosition="0">
        <references count="2">
          <reference field="11" count="1" selected="0">
            <x v="2"/>
          </reference>
          <reference field="14" count="1">
            <x v="226"/>
          </reference>
        </references>
      </pivotArea>
    </format>
    <format dxfId="8113">
      <pivotArea dataOnly="0" labelOnly="1" outline="0" fieldPosition="0">
        <references count="2">
          <reference field="11" count="1" selected="0">
            <x v="2"/>
          </reference>
          <reference field="14" count="1" defaultSubtotal="1">
            <x v="226"/>
          </reference>
        </references>
      </pivotArea>
    </format>
    <format dxfId="8112">
      <pivotArea dataOnly="0" labelOnly="1" outline="0" fieldPosition="0">
        <references count="2">
          <reference field="11" count="1" selected="0">
            <x v="3"/>
          </reference>
          <reference field="14" count="1">
            <x v="31"/>
          </reference>
        </references>
      </pivotArea>
    </format>
    <format dxfId="8111">
      <pivotArea dataOnly="0" labelOnly="1" outline="0" fieldPosition="0">
        <references count="2">
          <reference field="11" count="1" selected="0">
            <x v="3"/>
          </reference>
          <reference field="14" count="1" defaultSubtotal="1">
            <x v="31"/>
          </reference>
        </references>
      </pivotArea>
    </format>
    <format dxfId="8110">
      <pivotArea dataOnly="0" labelOnly="1" outline="0" fieldPosition="0">
        <references count="2">
          <reference field="11" count="1" selected="0">
            <x v="4"/>
          </reference>
          <reference field="14" count="1">
            <x v="233"/>
          </reference>
        </references>
      </pivotArea>
    </format>
    <format dxfId="8109">
      <pivotArea dataOnly="0" labelOnly="1" outline="0" fieldPosition="0">
        <references count="2">
          <reference field="11" count="1" selected="0">
            <x v="4"/>
          </reference>
          <reference field="14" count="1" defaultSubtotal="1">
            <x v="233"/>
          </reference>
        </references>
      </pivotArea>
    </format>
    <format dxfId="8108">
      <pivotArea dataOnly="0" labelOnly="1" outline="0" fieldPosition="0">
        <references count="2">
          <reference field="11" count="1" selected="0">
            <x v="5"/>
          </reference>
          <reference field="14" count="1">
            <x v="232"/>
          </reference>
        </references>
      </pivotArea>
    </format>
    <format dxfId="8107">
      <pivotArea dataOnly="0" labelOnly="1" outline="0" fieldPosition="0">
        <references count="2">
          <reference field="11" count="1" selected="0">
            <x v="5"/>
          </reference>
          <reference field="14" count="1" defaultSubtotal="1">
            <x v="232"/>
          </reference>
        </references>
      </pivotArea>
    </format>
    <format dxfId="8106">
      <pivotArea dataOnly="0" labelOnly="1" outline="0" fieldPosition="0">
        <references count="2">
          <reference field="11" count="1" selected="0">
            <x v="6"/>
          </reference>
          <reference field="14" count="1">
            <x v="19"/>
          </reference>
        </references>
      </pivotArea>
    </format>
    <format dxfId="8105">
      <pivotArea dataOnly="0" labelOnly="1" outline="0" fieldPosition="0">
        <references count="2">
          <reference field="11" count="1" selected="0">
            <x v="6"/>
          </reference>
          <reference field="14" count="1" defaultSubtotal="1">
            <x v="19"/>
          </reference>
        </references>
      </pivotArea>
    </format>
    <format dxfId="8104">
      <pivotArea dataOnly="0" labelOnly="1" outline="0" fieldPosition="0">
        <references count="2">
          <reference field="11" count="1" selected="0">
            <x v="7"/>
          </reference>
          <reference field="14" count="1">
            <x v="351"/>
          </reference>
        </references>
      </pivotArea>
    </format>
    <format dxfId="8103">
      <pivotArea dataOnly="0" labelOnly="1" outline="0" fieldPosition="0">
        <references count="2">
          <reference field="11" count="1" selected="0">
            <x v="7"/>
          </reference>
          <reference field="14" count="1" defaultSubtotal="1">
            <x v="351"/>
          </reference>
        </references>
      </pivotArea>
    </format>
    <format dxfId="8102">
      <pivotArea dataOnly="0" labelOnly="1" outline="0" fieldPosition="0">
        <references count="2">
          <reference field="11" count="1" selected="0">
            <x v="8"/>
          </reference>
          <reference field="14" count="1">
            <x v="375"/>
          </reference>
        </references>
      </pivotArea>
    </format>
    <format dxfId="8101">
      <pivotArea dataOnly="0" labelOnly="1" outline="0" fieldPosition="0">
        <references count="2">
          <reference field="11" count="1" selected="0">
            <x v="8"/>
          </reference>
          <reference field="14" count="1" defaultSubtotal="1">
            <x v="375"/>
          </reference>
        </references>
      </pivotArea>
    </format>
    <format dxfId="8100">
      <pivotArea dataOnly="0" labelOnly="1" outline="0" fieldPosition="0">
        <references count="2">
          <reference field="11" count="1" selected="0">
            <x v="9"/>
          </reference>
          <reference field="14" count="1">
            <x v="50"/>
          </reference>
        </references>
      </pivotArea>
    </format>
    <format dxfId="8099">
      <pivotArea dataOnly="0" labelOnly="1" outline="0" fieldPosition="0">
        <references count="2">
          <reference field="11" count="1" selected="0">
            <x v="9"/>
          </reference>
          <reference field="14" count="1" defaultSubtotal="1">
            <x v="50"/>
          </reference>
        </references>
      </pivotArea>
    </format>
    <format dxfId="8098">
      <pivotArea dataOnly="0" labelOnly="1" outline="0" fieldPosition="0">
        <references count="2">
          <reference field="11" count="1" selected="0">
            <x v="10"/>
          </reference>
          <reference field="14" count="1">
            <x v="150"/>
          </reference>
        </references>
      </pivotArea>
    </format>
    <format dxfId="8097">
      <pivotArea dataOnly="0" labelOnly="1" outline="0" fieldPosition="0">
        <references count="2">
          <reference field="11" count="1" selected="0">
            <x v="10"/>
          </reference>
          <reference field="14" count="1" defaultSubtotal="1">
            <x v="150"/>
          </reference>
        </references>
      </pivotArea>
    </format>
    <format dxfId="8096">
      <pivotArea dataOnly="0" labelOnly="1" outline="0" fieldPosition="0">
        <references count="2">
          <reference field="11" count="1" selected="0">
            <x v="11"/>
          </reference>
          <reference field="14" count="1">
            <x v="265"/>
          </reference>
        </references>
      </pivotArea>
    </format>
    <format dxfId="8095">
      <pivotArea dataOnly="0" labelOnly="1" outline="0" fieldPosition="0">
        <references count="2">
          <reference field="11" count="1" selected="0">
            <x v="11"/>
          </reference>
          <reference field="14" count="1" defaultSubtotal="1">
            <x v="265"/>
          </reference>
        </references>
      </pivotArea>
    </format>
    <format dxfId="8094">
      <pivotArea dataOnly="0" labelOnly="1" outline="0" fieldPosition="0">
        <references count="2">
          <reference field="11" count="1" selected="0">
            <x v="12"/>
          </reference>
          <reference field="14" count="1">
            <x v="256"/>
          </reference>
        </references>
      </pivotArea>
    </format>
    <format dxfId="8093">
      <pivotArea dataOnly="0" labelOnly="1" outline="0" fieldPosition="0">
        <references count="2">
          <reference field="11" count="1" selected="0">
            <x v="12"/>
          </reference>
          <reference field="14" count="1" defaultSubtotal="1">
            <x v="256"/>
          </reference>
        </references>
      </pivotArea>
    </format>
    <format dxfId="8092">
      <pivotArea dataOnly="0" labelOnly="1" outline="0" fieldPosition="0">
        <references count="2">
          <reference field="11" count="1" selected="0">
            <x v="13"/>
          </reference>
          <reference field="14" count="1">
            <x v="304"/>
          </reference>
        </references>
      </pivotArea>
    </format>
    <format dxfId="8091">
      <pivotArea dataOnly="0" labelOnly="1" outline="0" fieldPosition="0">
        <references count="2">
          <reference field="11" count="1" selected="0">
            <x v="13"/>
          </reference>
          <reference field="14" count="1" defaultSubtotal="1">
            <x v="304"/>
          </reference>
        </references>
      </pivotArea>
    </format>
    <format dxfId="8090">
      <pivotArea dataOnly="0" labelOnly="1" outline="0" fieldPosition="0">
        <references count="2">
          <reference field="11" count="1" selected="0">
            <x v="14"/>
          </reference>
          <reference field="14" count="1">
            <x v="17"/>
          </reference>
        </references>
      </pivotArea>
    </format>
    <format dxfId="8089">
      <pivotArea dataOnly="0" labelOnly="1" outline="0" fieldPosition="0">
        <references count="2">
          <reference field="11" count="1" selected="0">
            <x v="14"/>
          </reference>
          <reference field="14" count="1" defaultSubtotal="1">
            <x v="17"/>
          </reference>
        </references>
      </pivotArea>
    </format>
    <format dxfId="8088">
      <pivotArea dataOnly="0" labelOnly="1" outline="0" fieldPosition="0">
        <references count="2">
          <reference field="11" count="1" selected="0">
            <x v="15"/>
          </reference>
          <reference field="14" count="1">
            <x v="378"/>
          </reference>
        </references>
      </pivotArea>
    </format>
    <format dxfId="8087">
      <pivotArea dataOnly="0" labelOnly="1" outline="0" fieldPosition="0">
        <references count="2">
          <reference field="11" count="1" selected="0">
            <x v="15"/>
          </reference>
          <reference field="14" count="1" defaultSubtotal="1">
            <x v="378"/>
          </reference>
        </references>
      </pivotArea>
    </format>
    <format dxfId="8086">
      <pivotArea dataOnly="0" labelOnly="1" outline="0" fieldPosition="0">
        <references count="2">
          <reference field="11" count="1" selected="0">
            <x v="16"/>
          </reference>
          <reference field="14" count="1">
            <x v="286"/>
          </reference>
        </references>
      </pivotArea>
    </format>
    <format dxfId="8085">
      <pivotArea dataOnly="0" labelOnly="1" outline="0" fieldPosition="0">
        <references count="2">
          <reference field="11" count="1" selected="0">
            <x v="16"/>
          </reference>
          <reference field="14" count="1" defaultSubtotal="1">
            <x v="286"/>
          </reference>
        </references>
      </pivotArea>
    </format>
    <format dxfId="8084">
      <pivotArea dataOnly="0" labelOnly="1" outline="0" fieldPosition="0">
        <references count="2">
          <reference field="11" count="1" selected="0">
            <x v="17"/>
          </reference>
          <reference field="14" count="1">
            <x v="116"/>
          </reference>
        </references>
      </pivotArea>
    </format>
    <format dxfId="8083">
      <pivotArea dataOnly="0" labelOnly="1" outline="0" fieldPosition="0">
        <references count="2">
          <reference field="11" count="1" selected="0">
            <x v="17"/>
          </reference>
          <reference field="14" count="1" defaultSubtotal="1">
            <x v="116"/>
          </reference>
        </references>
      </pivotArea>
    </format>
    <format dxfId="8082">
      <pivotArea dataOnly="0" labelOnly="1" outline="0" fieldPosition="0">
        <references count="2">
          <reference field="11" count="1" selected="0">
            <x v="18"/>
          </reference>
          <reference field="14" count="1">
            <x v="176"/>
          </reference>
        </references>
      </pivotArea>
    </format>
    <format dxfId="8081">
      <pivotArea dataOnly="0" labelOnly="1" outline="0" fieldPosition="0">
        <references count="2">
          <reference field="11" count="1" selected="0">
            <x v="18"/>
          </reference>
          <reference field="14" count="1" defaultSubtotal="1">
            <x v="176"/>
          </reference>
        </references>
      </pivotArea>
    </format>
    <format dxfId="8080">
      <pivotArea dataOnly="0" labelOnly="1" outline="0" fieldPosition="0">
        <references count="2">
          <reference field="11" count="1" selected="0">
            <x v="19"/>
          </reference>
          <reference field="14" count="1">
            <x v="460"/>
          </reference>
        </references>
      </pivotArea>
    </format>
    <format dxfId="8079">
      <pivotArea dataOnly="0" labelOnly="1" outline="0" fieldPosition="0">
        <references count="2">
          <reference field="11" count="1" selected="0">
            <x v="19"/>
          </reference>
          <reference field="14" count="1" defaultSubtotal="1">
            <x v="460"/>
          </reference>
        </references>
      </pivotArea>
    </format>
    <format dxfId="8078">
      <pivotArea dataOnly="0" labelOnly="1" outline="0" fieldPosition="0">
        <references count="2">
          <reference field="11" count="1" selected="0">
            <x v="20"/>
          </reference>
          <reference field="14" count="1">
            <x v="46"/>
          </reference>
        </references>
      </pivotArea>
    </format>
    <format dxfId="8077">
      <pivotArea dataOnly="0" labelOnly="1" outline="0" fieldPosition="0">
        <references count="2">
          <reference field="11" count="1" selected="0">
            <x v="20"/>
          </reference>
          <reference field="14" count="1" defaultSubtotal="1">
            <x v="46"/>
          </reference>
        </references>
      </pivotArea>
    </format>
    <format dxfId="8076">
      <pivotArea dataOnly="0" labelOnly="1" outline="0" fieldPosition="0">
        <references count="2">
          <reference field="11" count="1" selected="0">
            <x v="21"/>
          </reference>
          <reference field="14" count="1">
            <x v="347"/>
          </reference>
        </references>
      </pivotArea>
    </format>
    <format dxfId="8075">
      <pivotArea dataOnly="0" labelOnly="1" outline="0" fieldPosition="0">
        <references count="2">
          <reference field="11" count="1" selected="0">
            <x v="21"/>
          </reference>
          <reference field="14" count="1" defaultSubtotal="1">
            <x v="347"/>
          </reference>
        </references>
      </pivotArea>
    </format>
    <format dxfId="8074">
      <pivotArea dataOnly="0" labelOnly="1" outline="0" fieldPosition="0">
        <references count="2">
          <reference field="11" count="1" selected="0">
            <x v="22"/>
          </reference>
          <reference field="14" count="1">
            <x v="219"/>
          </reference>
        </references>
      </pivotArea>
    </format>
    <format dxfId="8073">
      <pivotArea dataOnly="0" labelOnly="1" outline="0" fieldPosition="0">
        <references count="2">
          <reference field="11" count="1" selected="0">
            <x v="22"/>
          </reference>
          <reference field="14" count="1" defaultSubtotal="1">
            <x v="219"/>
          </reference>
        </references>
      </pivotArea>
    </format>
    <format dxfId="8072">
      <pivotArea dataOnly="0" labelOnly="1" outline="0" fieldPosition="0">
        <references count="2">
          <reference field="11" count="1" selected="0">
            <x v="23"/>
          </reference>
          <reference field="14" count="1">
            <x v="94"/>
          </reference>
        </references>
      </pivotArea>
    </format>
    <format dxfId="8071">
      <pivotArea dataOnly="0" labelOnly="1" outline="0" fieldPosition="0">
        <references count="2">
          <reference field="11" count="1" selected="0">
            <x v="23"/>
          </reference>
          <reference field="14" count="1" defaultSubtotal="1">
            <x v="94"/>
          </reference>
        </references>
      </pivotArea>
    </format>
    <format dxfId="8070">
      <pivotArea dataOnly="0" labelOnly="1" outline="0" fieldPosition="0">
        <references count="2">
          <reference field="11" count="1" selected="0">
            <x v="24"/>
          </reference>
          <reference field="14" count="1">
            <x v="93"/>
          </reference>
        </references>
      </pivotArea>
    </format>
    <format dxfId="8069">
      <pivotArea dataOnly="0" labelOnly="1" outline="0" fieldPosition="0">
        <references count="2">
          <reference field="11" count="1" selected="0">
            <x v="24"/>
          </reference>
          <reference field="14" count="1" defaultSubtotal="1">
            <x v="93"/>
          </reference>
        </references>
      </pivotArea>
    </format>
    <format dxfId="8068">
      <pivotArea dataOnly="0" labelOnly="1" outline="0" fieldPosition="0">
        <references count="2">
          <reference field="11" count="1" selected="0">
            <x v="25"/>
          </reference>
          <reference field="14" count="1">
            <x v="466"/>
          </reference>
        </references>
      </pivotArea>
    </format>
    <format dxfId="8067">
      <pivotArea dataOnly="0" labelOnly="1" outline="0" fieldPosition="0">
        <references count="2">
          <reference field="11" count="1" selected="0">
            <x v="25"/>
          </reference>
          <reference field="14" count="1" defaultSubtotal="1">
            <x v="466"/>
          </reference>
        </references>
      </pivotArea>
    </format>
    <format dxfId="8066">
      <pivotArea dataOnly="0" labelOnly="1" outline="0" fieldPosition="0">
        <references count="2">
          <reference field="11" count="1" selected="0">
            <x v="26"/>
          </reference>
          <reference field="14" count="1">
            <x v="55"/>
          </reference>
        </references>
      </pivotArea>
    </format>
    <format dxfId="8065">
      <pivotArea dataOnly="0" labelOnly="1" outline="0" fieldPosition="0">
        <references count="2">
          <reference field="11" count="1" selected="0">
            <x v="26"/>
          </reference>
          <reference field="14" count="1" defaultSubtotal="1">
            <x v="55"/>
          </reference>
        </references>
      </pivotArea>
    </format>
    <format dxfId="8064">
      <pivotArea dataOnly="0" labelOnly="1" outline="0" fieldPosition="0">
        <references count="2">
          <reference field="11" count="1" selected="0">
            <x v="27"/>
          </reference>
          <reference field="14" count="1">
            <x v="458"/>
          </reference>
        </references>
      </pivotArea>
    </format>
    <format dxfId="8063">
      <pivotArea dataOnly="0" labelOnly="1" outline="0" fieldPosition="0">
        <references count="2">
          <reference field="11" count="1" selected="0">
            <x v="27"/>
          </reference>
          <reference field="14" count="1" defaultSubtotal="1">
            <x v="458"/>
          </reference>
        </references>
      </pivotArea>
    </format>
    <format dxfId="8062">
      <pivotArea dataOnly="0" labelOnly="1" outline="0" fieldPosition="0">
        <references count="2">
          <reference field="11" count="1" selected="0">
            <x v="28"/>
          </reference>
          <reference field="14" count="1">
            <x v="179"/>
          </reference>
        </references>
      </pivotArea>
    </format>
    <format dxfId="8061">
      <pivotArea dataOnly="0" labelOnly="1" outline="0" fieldPosition="0">
        <references count="2">
          <reference field="11" count="1" selected="0">
            <x v="28"/>
          </reference>
          <reference field="14" count="1" defaultSubtotal="1">
            <x v="179"/>
          </reference>
        </references>
      </pivotArea>
    </format>
    <format dxfId="8060">
      <pivotArea dataOnly="0" labelOnly="1" outline="0" fieldPosition="0">
        <references count="2">
          <reference field="11" count="1" selected="0">
            <x v="29"/>
          </reference>
          <reference field="14" count="1">
            <x v="0"/>
          </reference>
        </references>
      </pivotArea>
    </format>
    <format dxfId="8059">
      <pivotArea dataOnly="0" labelOnly="1" outline="0" fieldPosition="0">
        <references count="2">
          <reference field="11" count="1" selected="0">
            <x v="29"/>
          </reference>
          <reference field="14" count="1" defaultSubtotal="1">
            <x v="0"/>
          </reference>
        </references>
      </pivotArea>
    </format>
    <format dxfId="8058">
      <pivotArea dataOnly="0" labelOnly="1" outline="0" fieldPosition="0">
        <references count="2">
          <reference field="11" count="1" selected="0">
            <x v="30"/>
          </reference>
          <reference field="14" count="1">
            <x v="1"/>
          </reference>
        </references>
      </pivotArea>
    </format>
    <format dxfId="8057">
      <pivotArea dataOnly="0" labelOnly="1" outline="0" fieldPosition="0">
        <references count="2">
          <reference field="11" count="1" selected="0">
            <x v="30"/>
          </reference>
          <reference field="14" count="1" defaultSubtotal="1">
            <x v="1"/>
          </reference>
        </references>
      </pivotArea>
    </format>
    <format dxfId="8056">
      <pivotArea dataOnly="0" labelOnly="1" outline="0" fieldPosition="0">
        <references count="2">
          <reference field="11" count="1" selected="0">
            <x v="31"/>
          </reference>
          <reference field="14" count="1">
            <x v="414"/>
          </reference>
        </references>
      </pivotArea>
    </format>
    <format dxfId="8055">
      <pivotArea dataOnly="0" labelOnly="1" outline="0" fieldPosition="0">
        <references count="2">
          <reference field="11" count="1" selected="0">
            <x v="31"/>
          </reference>
          <reference field="14" count="1" defaultSubtotal="1">
            <x v="414"/>
          </reference>
        </references>
      </pivotArea>
    </format>
    <format dxfId="8054">
      <pivotArea dataOnly="0" labelOnly="1" outline="0" fieldPosition="0">
        <references count="2">
          <reference field="11" count="1" selected="0">
            <x v="32"/>
          </reference>
          <reference field="14" count="1">
            <x v="36"/>
          </reference>
        </references>
      </pivotArea>
    </format>
    <format dxfId="8053">
      <pivotArea dataOnly="0" labelOnly="1" outline="0" fieldPosition="0">
        <references count="2">
          <reference field="11" count="1" selected="0">
            <x v="32"/>
          </reference>
          <reference field="14" count="1" defaultSubtotal="1">
            <x v="36"/>
          </reference>
        </references>
      </pivotArea>
    </format>
    <format dxfId="8052">
      <pivotArea dataOnly="0" labelOnly="1" outline="0" fieldPosition="0">
        <references count="2">
          <reference field="11" count="1" selected="0">
            <x v="33"/>
          </reference>
          <reference field="14" count="1">
            <x v="341"/>
          </reference>
        </references>
      </pivotArea>
    </format>
    <format dxfId="8051">
      <pivotArea dataOnly="0" labelOnly="1" outline="0" fieldPosition="0">
        <references count="2">
          <reference field="11" count="1" selected="0">
            <x v="33"/>
          </reference>
          <reference field="14" count="1" defaultSubtotal="1">
            <x v="341"/>
          </reference>
        </references>
      </pivotArea>
    </format>
    <format dxfId="8050">
      <pivotArea dataOnly="0" labelOnly="1" outline="0" fieldPosition="0">
        <references count="2">
          <reference field="11" count="1" selected="0">
            <x v="34"/>
          </reference>
          <reference field="14" count="1">
            <x v="340"/>
          </reference>
        </references>
      </pivotArea>
    </format>
    <format dxfId="8049">
      <pivotArea dataOnly="0" labelOnly="1" outline="0" fieldPosition="0">
        <references count="2">
          <reference field="11" count="1" selected="0">
            <x v="34"/>
          </reference>
          <reference field="14" count="1" defaultSubtotal="1">
            <x v="340"/>
          </reference>
        </references>
      </pivotArea>
    </format>
    <format dxfId="8048">
      <pivotArea dataOnly="0" labelOnly="1" outline="0" fieldPosition="0">
        <references count="2">
          <reference field="11" count="1" selected="0">
            <x v="35"/>
          </reference>
          <reference field="14" count="1">
            <x v="379"/>
          </reference>
        </references>
      </pivotArea>
    </format>
    <format dxfId="8047">
      <pivotArea dataOnly="0" labelOnly="1" outline="0" fieldPosition="0">
        <references count="2">
          <reference field="11" count="1" selected="0">
            <x v="35"/>
          </reference>
          <reference field="14" count="1" defaultSubtotal="1">
            <x v="379"/>
          </reference>
        </references>
      </pivotArea>
    </format>
    <format dxfId="8046">
      <pivotArea dataOnly="0" labelOnly="1" outline="0" fieldPosition="0">
        <references count="2">
          <reference field="11" count="1" selected="0">
            <x v="36"/>
          </reference>
          <reference field="14" count="1">
            <x v="349"/>
          </reference>
        </references>
      </pivotArea>
    </format>
    <format dxfId="8045">
      <pivotArea dataOnly="0" labelOnly="1" outline="0" fieldPosition="0">
        <references count="2">
          <reference field="11" count="1" selected="0">
            <x v="36"/>
          </reference>
          <reference field="14" count="1" defaultSubtotal="1">
            <x v="349"/>
          </reference>
        </references>
      </pivotArea>
    </format>
    <format dxfId="8044">
      <pivotArea dataOnly="0" labelOnly="1" outline="0" fieldPosition="0">
        <references count="2">
          <reference field="11" count="1" selected="0">
            <x v="37"/>
          </reference>
          <reference field="14" count="1">
            <x v="348"/>
          </reference>
        </references>
      </pivotArea>
    </format>
    <format dxfId="8043">
      <pivotArea dataOnly="0" labelOnly="1" outline="0" fieldPosition="0">
        <references count="2">
          <reference field="11" count="1" selected="0">
            <x v="37"/>
          </reference>
          <reference field="14" count="1" defaultSubtotal="1">
            <x v="348"/>
          </reference>
        </references>
      </pivotArea>
    </format>
    <format dxfId="8042">
      <pivotArea dataOnly="0" labelOnly="1" outline="0" fieldPosition="0">
        <references count="2">
          <reference field="11" count="1" selected="0">
            <x v="38"/>
          </reference>
          <reference field="14" count="1">
            <x v="346"/>
          </reference>
        </references>
      </pivotArea>
    </format>
    <format dxfId="8041">
      <pivotArea dataOnly="0" labelOnly="1" outline="0" fieldPosition="0">
        <references count="2">
          <reference field="11" count="1" selected="0">
            <x v="38"/>
          </reference>
          <reference field="14" count="1" defaultSubtotal="1">
            <x v="346"/>
          </reference>
        </references>
      </pivotArea>
    </format>
    <format dxfId="8040">
      <pivotArea dataOnly="0" labelOnly="1" outline="0" fieldPosition="0">
        <references count="2">
          <reference field="11" count="1" selected="0">
            <x v="39"/>
          </reference>
          <reference field="14" count="1">
            <x v="344"/>
          </reference>
        </references>
      </pivotArea>
    </format>
    <format dxfId="8039">
      <pivotArea dataOnly="0" labelOnly="1" outline="0" fieldPosition="0">
        <references count="2">
          <reference field="11" count="1" selected="0">
            <x v="39"/>
          </reference>
          <reference field="14" count="1" defaultSubtotal="1">
            <x v="344"/>
          </reference>
        </references>
      </pivotArea>
    </format>
    <format dxfId="8038">
      <pivotArea dataOnly="0" labelOnly="1" outline="0" fieldPosition="0">
        <references count="2">
          <reference field="11" count="1" selected="0">
            <x v="40"/>
          </reference>
          <reference field="14" count="1">
            <x v="345"/>
          </reference>
        </references>
      </pivotArea>
    </format>
    <format dxfId="8037">
      <pivotArea dataOnly="0" labelOnly="1" outline="0" fieldPosition="0">
        <references count="2">
          <reference field="11" count="1" selected="0">
            <x v="40"/>
          </reference>
          <reference field="14" count="1" defaultSubtotal="1">
            <x v="345"/>
          </reference>
        </references>
      </pivotArea>
    </format>
    <format dxfId="8036">
      <pivotArea dataOnly="0" labelOnly="1" outline="0" fieldPosition="0">
        <references count="2">
          <reference field="11" count="1" selected="0">
            <x v="41"/>
          </reference>
          <reference field="14" count="1">
            <x v="337"/>
          </reference>
        </references>
      </pivotArea>
    </format>
    <format dxfId="8035">
      <pivotArea dataOnly="0" labelOnly="1" outline="0" fieldPosition="0">
        <references count="2">
          <reference field="11" count="1" selected="0">
            <x v="41"/>
          </reference>
          <reference field="14" count="1" defaultSubtotal="1">
            <x v="337"/>
          </reference>
        </references>
      </pivotArea>
    </format>
    <format dxfId="8034">
      <pivotArea dataOnly="0" labelOnly="1" outline="0" fieldPosition="0">
        <references count="2">
          <reference field="11" count="1" selected="0">
            <x v="42"/>
          </reference>
          <reference field="14" count="1">
            <x v="59"/>
          </reference>
        </references>
      </pivotArea>
    </format>
    <format dxfId="8033">
      <pivotArea dataOnly="0" labelOnly="1" outline="0" fieldPosition="0">
        <references count="2">
          <reference field="11" count="1" selected="0">
            <x v="42"/>
          </reference>
          <reference field="14" count="1" defaultSubtotal="1">
            <x v="59"/>
          </reference>
        </references>
      </pivotArea>
    </format>
    <format dxfId="8032">
      <pivotArea dataOnly="0" labelOnly="1" outline="0" fieldPosition="0">
        <references count="2">
          <reference field="11" count="1" selected="0">
            <x v="43"/>
          </reference>
          <reference field="14" count="1">
            <x v="410"/>
          </reference>
        </references>
      </pivotArea>
    </format>
    <format dxfId="8031">
      <pivotArea dataOnly="0" labelOnly="1" outline="0" fieldPosition="0">
        <references count="2">
          <reference field="11" count="1" selected="0">
            <x v="43"/>
          </reference>
          <reference field="14" count="1" defaultSubtotal="1">
            <x v="410"/>
          </reference>
        </references>
      </pivotArea>
    </format>
    <format dxfId="8030">
      <pivotArea dataOnly="0" labelOnly="1" outline="0" fieldPosition="0">
        <references count="2">
          <reference field="11" count="1" selected="0">
            <x v="44"/>
          </reference>
          <reference field="14" count="1">
            <x v="77"/>
          </reference>
        </references>
      </pivotArea>
    </format>
    <format dxfId="8029">
      <pivotArea dataOnly="0" labelOnly="1" outline="0" fieldPosition="0">
        <references count="2">
          <reference field="11" count="1" selected="0">
            <x v="44"/>
          </reference>
          <reference field="14" count="1" defaultSubtotal="1">
            <x v="77"/>
          </reference>
        </references>
      </pivotArea>
    </format>
    <format dxfId="8028">
      <pivotArea dataOnly="0" labelOnly="1" outline="0" fieldPosition="0">
        <references count="2">
          <reference field="11" count="1" selected="0">
            <x v="45"/>
          </reference>
          <reference field="14" count="1">
            <x v="465"/>
          </reference>
        </references>
      </pivotArea>
    </format>
    <format dxfId="8027">
      <pivotArea dataOnly="0" labelOnly="1" outline="0" fieldPosition="0">
        <references count="2">
          <reference field="11" count="1" selected="0">
            <x v="45"/>
          </reference>
          <reference field="14" count="1" defaultSubtotal="1">
            <x v="465"/>
          </reference>
        </references>
      </pivotArea>
    </format>
    <format dxfId="8026">
      <pivotArea dataOnly="0" labelOnly="1" outline="0" fieldPosition="0">
        <references count="2">
          <reference field="11" count="1" selected="0">
            <x v="46"/>
          </reference>
          <reference field="14" count="1">
            <x v="250"/>
          </reference>
        </references>
      </pivotArea>
    </format>
    <format dxfId="8025">
      <pivotArea dataOnly="0" labelOnly="1" outline="0" fieldPosition="0">
        <references count="2">
          <reference field="11" count="1" selected="0">
            <x v="46"/>
          </reference>
          <reference field="14" count="1" defaultSubtotal="1">
            <x v="250"/>
          </reference>
        </references>
      </pivotArea>
    </format>
    <format dxfId="8024">
      <pivotArea dataOnly="0" labelOnly="1" outline="0" fieldPosition="0">
        <references count="2">
          <reference field="11" count="1" selected="0">
            <x v="47"/>
          </reference>
          <reference field="14" count="1">
            <x v="323"/>
          </reference>
        </references>
      </pivotArea>
    </format>
    <format dxfId="8023">
      <pivotArea dataOnly="0" labelOnly="1" outline="0" fieldPosition="0">
        <references count="2">
          <reference field="11" count="1" selected="0">
            <x v="47"/>
          </reference>
          <reference field="14" count="1" defaultSubtotal="1">
            <x v="323"/>
          </reference>
        </references>
      </pivotArea>
    </format>
    <format dxfId="8022">
      <pivotArea dataOnly="0" labelOnly="1" outline="0" fieldPosition="0">
        <references count="2">
          <reference field="11" count="1" selected="0">
            <x v="48"/>
          </reference>
          <reference field="14" count="1">
            <x v="244"/>
          </reference>
        </references>
      </pivotArea>
    </format>
    <format dxfId="8021">
      <pivotArea dataOnly="0" labelOnly="1" outline="0" fieldPosition="0">
        <references count="2">
          <reference field="11" count="1" selected="0">
            <x v="48"/>
          </reference>
          <reference field="14" count="1" defaultSubtotal="1">
            <x v="244"/>
          </reference>
        </references>
      </pivotArea>
    </format>
    <format dxfId="8020">
      <pivotArea dataOnly="0" labelOnly="1" outline="0" fieldPosition="0">
        <references count="2">
          <reference field="11" count="1" selected="0">
            <x v="49"/>
          </reference>
          <reference field="14" count="1">
            <x v="228"/>
          </reference>
        </references>
      </pivotArea>
    </format>
    <format dxfId="8019">
      <pivotArea dataOnly="0" labelOnly="1" outline="0" fieldPosition="0">
        <references count="2">
          <reference field="11" count="1" selected="0">
            <x v="49"/>
          </reference>
          <reference field="14" count="1" defaultSubtotal="1">
            <x v="228"/>
          </reference>
        </references>
      </pivotArea>
    </format>
    <format dxfId="8018">
      <pivotArea dataOnly="0" labelOnly="1" outline="0" fieldPosition="0">
        <references count="2">
          <reference field="11" count="1" selected="0">
            <x v="50"/>
          </reference>
          <reference field="14" count="1">
            <x v="318"/>
          </reference>
        </references>
      </pivotArea>
    </format>
    <format dxfId="8017">
      <pivotArea dataOnly="0" labelOnly="1" outline="0" fieldPosition="0">
        <references count="2">
          <reference field="11" count="1" selected="0">
            <x v="50"/>
          </reference>
          <reference field="14" count="1" defaultSubtotal="1">
            <x v="318"/>
          </reference>
        </references>
      </pivotArea>
    </format>
    <format dxfId="8016">
      <pivotArea dataOnly="0" labelOnly="1" outline="0" fieldPosition="0">
        <references count="2">
          <reference field="11" count="1" selected="0">
            <x v="51"/>
          </reference>
          <reference field="14" count="1">
            <x v="241"/>
          </reference>
        </references>
      </pivotArea>
    </format>
    <format dxfId="8015">
      <pivotArea dataOnly="0" labelOnly="1" outline="0" fieldPosition="0">
        <references count="2">
          <reference field="11" count="1" selected="0">
            <x v="51"/>
          </reference>
          <reference field="14" count="1" defaultSubtotal="1">
            <x v="241"/>
          </reference>
        </references>
      </pivotArea>
    </format>
    <format dxfId="8014">
      <pivotArea dataOnly="0" labelOnly="1" outline="0" fieldPosition="0">
        <references count="2">
          <reference field="11" count="1" selected="0">
            <x v="52"/>
          </reference>
          <reference field="14" count="1">
            <x v="413"/>
          </reference>
        </references>
      </pivotArea>
    </format>
    <format dxfId="8013">
      <pivotArea dataOnly="0" labelOnly="1" outline="0" fieldPosition="0">
        <references count="2">
          <reference field="11" count="1" selected="0">
            <x v="52"/>
          </reference>
          <reference field="14" count="1" defaultSubtotal="1">
            <x v="413"/>
          </reference>
        </references>
      </pivotArea>
    </format>
    <format dxfId="8012">
      <pivotArea dataOnly="0" labelOnly="1" outline="0" fieldPosition="0">
        <references count="2">
          <reference field="11" count="1" selected="0">
            <x v="53"/>
          </reference>
          <reference field="14" count="1">
            <x v="283"/>
          </reference>
        </references>
      </pivotArea>
    </format>
    <format dxfId="8011">
      <pivotArea dataOnly="0" labelOnly="1" outline="0" fieldPosition="0">
        <references count="2">
          <reference field="11" count="1" selected="0">
            <x v="53"/>
          </reference>
          <reference field="14" count="1" defaultSubtotal="1">
            <x v="283"/>
          </reference>
        </references>
      </pivotArea>
    </format>
    <format dxfId="8010">
      <pivotArea dataOnly="0" labelOnly="1" outline="0" fieldPosition="0">
        <references count="2">
          <reference field="11" count="1" selected="0">
            <x v="54"/>
          </reference>
          <reference field="14" count="1">
            <x v="278"/>
          </reference>
        </references>
      </pivotArea>
    </format>
    <format dxfId="8009">
      <pivotArea dataOnly="0" labelOnly="1" outline="0" fieldPosition="0">
        <references count="2">
          <reference field="11" count="1" selected="0">
            <x v="54"/>
          </reference>
          <reference field="14" count="1" defaultSubtotal="1">
            <x v="278"/>
          </reference>
        </references>
      </pivotArea>
    </format>
    <format dxfId="8008">
      <pivotArea dataOnly="0" labelOnly="1" outline="0" fieldPosition="0">
        <references count="2">
          <reference field="11" count="1" selected="0">
            <x v="55"/>
          </reference>
          <reference field="14" count="1">
            <x v="275"/>
          </reference>
        </references>
      </pivotArea>
    </format>
    <format dxfId="8007">
      <pivotArea dataOnly="0" labelOnly="1" outline="0" fieldPosition="0">
        <references count="2">
          <reference field="11" count="1" selected="0">
            <x v="55"/>
          </reference>
          <reference field="14" count="1" defaultSubtotal="1">
            <x v="275"/>
          </reference>
        </references>
      </pivotArea>
    </format>
    <format dxfId="8006">
      <pivotArea dataOnly="0" labelOnly="1" outline="0" fieldPosition="0">
        <references count="2">
          <reference field="11" count="1" selected="0">
            <x v="56"/>
          </reference>
          <reference field="14" count="1">
            <x v="463"/>
          </reference>
        </references>
      </pivotArea>
    </format>
    <format dxfId="8005">
      <pivotArea dataOnly="0" labelOnly="1" outline="0" fieldPosition="0">
        <references count="2">
          <reference field="11" count="1" selected="0">
            <x v="56"/>
          </reference>
          <reference field="14" count="1" defaultSubtotal="1">
            <x v="463"/>
          </reference>
        </references>
      </pivotArea>
    </format>
    <format dxfId="8004">
      <pivotArea dataOnly="0" labelOnly="1" outline="0" fieldPosition="0">
        <references count="2">
          <reference field="11" count="1" selected="0">
            <x v="57"/>
          </reference>
          <reference field="14" count="1">
            <x v="462"/>
          </reference>
        </references>
      </pivotArea>
    </format>
    <format dxfId="8003">
      <pivotArea dataOnly="0" labelOnly="1" outline="0" fieldPosition="0">
        <references count="2">
          <reference field="11" count="1" selected="0">
            <x v="57"/>
          </reference>
          <reference field="14" count="1" defaultSubtotal="1">
            <x v="462"/>
          </reference>
        </references>
      </pivotArea>
    </format>
    <format dxfId="8002">
      <pivotArea dataOnly="0" labelOnly="1" outline="0" fieldPosition="0">
        <references count="2">
          <reference field="11" count="1" selected="0">
            <x v="58"/>
          </reference>
          <reference field="14" count="1">
            <x v="459"/>
          </reference>
        </references>
      </pivotArea>
    </format>
    <format dxfId="8001">
      <pivotArea dataOnly="0" labelOnly="1" outline="0" fieldPosition="0">
        <references count="2">
          <reference field="11" count="1" selected="0">
            <x v="58"/>
          </reference>
          <reference field="14" count="1" defaultSubtotal="1">
            <x v="459"/>
          </reference>
        </references>
      </pivotArea>
    </format>
    <format dxfId="8000">
      <pivotArea dataOnly="0" labelOnly="1" outline="0" fieldPosition="0">
        <references count="2">
          <reference field="11" count="1" selected="0">
            <x v="59"/>
          </reference>
          <reference field="14" count="1">
            <x v="271"/>
          </reference>
        </references>
      </pivotArea>
    </format>
    <format dxfId="7999">
      <pivotArea dataOnly="0" labelOnly="1" outline="0" fieldPosition="0">
        <references count="2">
          <reference field="11" count="1" selected="0">
            <x v="59"/>
          </reference>
          <reference field="14" count="1" defaultSubtotal="1">
            <x v="271"/>
          </reference>
        </references>
      </pivotArea>
    </format>
    <format dxfId="7998">
      <pivotArea dataOnly="0" labelOnly="1" outline="0" fieldPosition="0">
        <references count="2">
          <reference field="11" count="1" selected="0">
            <x v="60"/>
          </reference>
          <reference field="14" count="1">
            <x v="22"/>
          </reference>
        </references>
      </pivotArea>
    </format>
    <format dxfId="7997">
      <pivotArea dataOnly="0" labelOnly="1" outline="0" fieldPosition="0">
        <references count="2">
          <reference field="11" count="1" selected="0">
            <x v="60"/>
          </reference>
          <reference field="14" count="1" defaultSubtotal="1">
            <x v="22"/>
          </reference>
        </references>
      </pivotArea>
    </format>
    <format dxfId="7996">
      <pivotArea dataOnly="0" labelOnly="1" outline="0" fieldPosition="0">
        <references count="2">
          <reference field="11" count="1" selected="0">
            <x v="61"/>
          </reference>
          <reference field="14" count="1">
            <x v="354"/>
          </reference>
        </references>
      </pivotArea>
    </format>
    <format dxfId="7995">
      <pivotArea dataOnly="0" labelOnly="1" outline="0" fieldPosition="0">
        <references count="2">
          <reference field="11" count="1" selected="0">
            <x v="61"/>
          </reference>
          <reference field="14" count="1" defaultSubtotal="1">
            <x v="354"/>
          </reference>
        </references>
      </pivotArea>
    </format>
    <format dxfId="7994">
      <pivotArea dataOnly="0" labelOnly="1" outline="0" fieldPosition="0">
        <references count="2">
          <reference field="11" count="1" selected="0">
            <x v="62"/>
          </reference>
          <reference field="14" count="1">
            <x v="415"/>
          </reference>
        </references>
      </pivotArea>
    </format>
    <format dxfId="7993">
      <pivotArea dataOnly="0" labelOnly="1" outline="0" fieldPosition="0">
        <references count="2">
          <reference field="11" count="1" selected="0">
            <x v="62"/>
          </reference>
          <reference field="14" count="1" defaultSubtotal="1">
            <x v="415"/>
          </reference>
        </references>
      </pivotArea>
    </format>
    <format dxfId="7992">
      <pivotArea dataOnly="0" labelOnly="1" outline="0" fieldPosition="0">
        <references count="2">
          <reference field="11" count="1" selected="0">
            <x v="63"/>
          </reference>
          <reference field="14" count="1">
            <x v="227"/>
          </reference>
        </references>
      </pivotArea>
    </format>
    <format dxfId="7991">
      <pivotArea dataOnly="0" labelOnly="1" outline="0" fieldPosition="0">
        <references count="2">
          <reference field="11" count="1" selected="0">
            <x v="63"/>
          </reference>
          <reference field="14" count="1" defaultSubtotal="1">
            <x v="227"/>
          </reference>
        </references>
      </pivotArea>
    </format>
    <format dxfId="7990">
      <pivotArea dataOnly="0" labelOnly="1" outline="0" fieldPosition="0">
        <references count="2">
          <reference field="11" count="1" selected="0">
            <x v="64"/>
          </reference>
          <reference field="14" count="1">
            <x v="261"/>
          </reference>
        </references>
      </pivotArea>
    </format>
    <format dxfId="7989">
      <pivotArea dataOnly="0" labelOnly="1" outline="0" fieldPosition="0">
        <references count="2">
          <reference field="11" count="1" selected="0">
            <x v="64"/>
          </reference>
          <reference field="14" count="1" defaultSubtotal="1">
            <x v="261"/>
          </reference>
        </references>
      </pivotArea>
    </format>
    <format dxfId="7988">
      <pivotArea dataOnly="0" labelOnly="1" outline="0" fieldPosition="0">
        <references count="2">
          <reference field="11" count="1" selected="0">
            <x v="65"/>
          </reference>
          <reference field="14" count="1">
            <x v="336"/>
          </reference>
        </references>
      </pivotArea>
    </format>
    <format dxfId="7987">
      <pivotArea dataOnly="0" labelOnly="1" outline="0" fieldPosition="0">
        <references count="2">
          <reference field="11" count="1" selected="0">
            <x v="65"/>
          </reference>
          <reference field="14" count="1" defaultSubtotal="1">
            <x v="336"/>
          </reference>
        </references>
      </pivotArea>
    </format>
    <format dxfId="7986">
      <pivotArea dataOnly="0" labelOnly="1" outline="0" fieldPosition="0">
        <references count="2">
          <reference field="11" count="1" selected="0">
            <x v="66"/>
          </reference>
          <reference field="14" count="1">
            <x v="63"/>
          </reference>
        </references>
      </pivotArea>
    </format>
    <format dxfId="7985">
      <pivotArea dataOnly="0" labelOnly="1" outline="0" fieldPosition="0">
        <references count="2">
          <reference field="11" count="1" selected="0">
            <x v="66"/>
          </reference>
          <reference field="14" count="1" defaultSubtotal="1">
            <x v="63"/>
          </reference>
        </references>
      </pivotArea>
    </format>
    <format dxfId="7984">
      <pivotArea dataOnly="0" labelOnly="1" outline="0" fieldPosition="0">
        <references count="2">
          <reference field="11" count="1" selected="0">
            <x v="67"/>
          </reference>
          <reference field="14" count="1">
            <x v="237"/>
          </reference>
        </references>
      </pivotArea>
    </format>
    <format dxfId="7983">
      <pivotArea dataOnly="0" labelOnly="1" outline="0" fieldPosition="0">
        <references count="2">
          <reference field="11" count="1" selected="0">
            <x v="67"/>
          </reference>
          <reference field="14" count="1" defaultSubtotal="1">
            <x v="237"/>
          </reference>
        </references>
      </pivotArea>
    </format>
    <format dxfId="7982">
      <pivotArea dataOnly="0" labelOnly="1" outline="0" fieldPosition="0">
        <references count="2">
          <reference field="11" count="1" selected="0">
            <x v="68"/>
          </reference>
          <reference field="14" count="1">
            <x v="138"/>
          </reference>
        </references>
      </pivotArea>
    </format>
    <format dxfId="7981">
      <pivotArea dataOnly="0" labelOnly="1" outline="0" fieldPosition="0">
        <references count="2">
          <reference field="11" count="1" selected="0">
            <x v="68"/>
          </reference>
          <reference field="14" count="1" defaultSubtotal="1">
            <x v="138"/>
          </reference>
        </references>
      </pivotArea>
    </format>
    <format dxfId="7980">
      <pivotArea dataOnly="0" labelOnly="1" outline="0" fieldPosition="0">
        <references count="2">
          <reference field="11" count="1" selected="0">
            <x v="69"/>
          </reference>
          <reference field="14" count="1">
            <x v="139"/>
          </reference>
        </references>
      </pivotArea>
    </format>
    <format dxfId="7979">
      <pivotArea dataOnly="0" labelOnly="1" outline="0" fieldPosition="0">
        <references count="2">
          <reference field="11" count="1" selected="0">
            <x v="69"/>
          </reference>
          <reference field="14" count="1" defaultSubtotal="1">
            <x v="139"/>
          </reference>
        </references>
      </pivotArea>
    </format>
    <format dxfId="7978">
      <pivotArea dataOnly="0" labelOnly="1" outline="0" fieldPosition="0">
        <references count="2">
          <reference field="11" count="1" selected="0">
            <x v="70"/>
          </reference>
          <reference field="14" count="1">
            <x v="137"/>
          </reference>
        </references>
      </pivotArea>
    </format>
    <format dxfId="7977">
      <pivotArea dataOnly="0" labelOnly="1" outline="0" fieldPosition="0">
        <references count="2">
          <reference field="11" count="1" selected="0">
            <x v="70"/>
          </reference>
          <reference field="14" count="1" defaultSubtotal="1">
            <x v="137"/>
          </reference>
        </references>
      </pivotArea>
    </format>
    <format dxfId="7976">
      <pivotArea dataOnly="0" labelOnly="1" outline="0" fieldPosition="0">
        <references count="2">
          <reference field="11" count="1" selected="0">
            <x v="71"/>
          </reference>
          <reference field="14" count="1">
            <x v="468"/>
          </reference>
        </references>
      </pivotArea>
    </format>
    <format dxfId="7975">
      <pivotArea dataOnly="0" labelOnly="1" outline="0" fieldPosition="0">
        <references count="2">
          <reference field="11" count="1" selected="0">
            <x v="71"/>
          </reference>
          <reference field="14" count="1" defaultSubtotal="1">
            <x v="468"/>
          </reference>
        </references>
      </pivotArea>
    </format>
    <format dxfId="7974">
      <pivotArea dataOnly="0" labelOnly="1" outline="0" fieldPosition="0">
        <references count="2">
          <reference field="11" count="1" selected="0">
            <x v="72"/>
          </reference>
          <reference field="14" count="1">
            <x v="83"/>
          </reference>
        </references>
      </pivotArea>
    </format>
    <format dxfId="7973">
      <pivotArea dataOnly="0" labelOnly="1" outline="0" fieldPosition="0">
        <references count="2">
          <reference field="11" count="1" selected="0">
            <x v="72"/>
          </reference>
          <reference field="14" count="1" defaultSubtotal="1">
            <x v="83"/>
          </reference>
        </references>
      </pivotArea>
    </format>
    <format dxfId="7972">
      <pivotArea dataOnly="0" labelOnly="1" outline="0" fieldPosition="0">
        <references count="2">
          <reference field="11" count="1" selected="0">
            <x v="73"/>
          </reference>
          <reference field="14" count="1">
            <x v="288"/>
          </reference>
        </references>
      </pivotArea>
    </format>
    <format dxfId="7971">
      <pivotArea dataOnly="0" labelOnly="1" outline="0" fieldPosition="0">
        <references count="2">
          <reference field="11" count="1" selected="0">
            <x v="73"/>
          </reference>
          <reference field="14" count="1" defaultSubtotal="1">
            <x v="288"/>
          </reference>
        </references>
      </pivotArea>
    </format>
    <format dxfId="7970">
      <pivotArea dataOnly="0" labelOnly="1" outline="0" fieldPosition="0">
        <references count="2">
          <reference field="11" count="1" selected="0">
            <x v="74"/>
          </reference>
          <reference field="14" count="1">
            <x v="235"/>
          </reference>
        </references>
      </pivotArea>
    </format>
    <format dxfId="7969">
      <pivotArea dataOnly="0" labelOnly="1" outline="0" fieldPosition="0">
        <references count="2">
          <reference field="11" count="1" selected="0">
            <x v="74"/>
          </reference>
          <reference field="14" count="1" defaultSubtotal="1">
            <x v="235"/>
          </reference>
        </references>
      </pivotArea>
    </format>
    <format dxfId="7968">
      <pivotArea dataOnly="0" labelOnly="1" outline="0" fieldPosition="0">
        <references count="2">
          <reference field="11" count="1" selected="0">
            <x v="75"/>
          </reference>
          <reference field="14" count="1">
            <x v="285"/>
          </reference>
        </references>
      </pivotArea>
    </format>
    <format dxfId="7967">
      <pivotArea dataOnly="0" labelOnly="1" outline="0" fieldPosition="0">
        <references count="2">
          <reference field="11" count="1" selected="0">
            <x v="75"/>
          </reference>
          <reference field="14" count="1" defaultSubtotal="1">
            <x v="285"/>
          </reference>
        </references>
      </pivotArea>
    </format>
    <format dxfId="7966">
      <pivotArea dataOnly="0" labelOnly="1" outline="0" fieldPosition="0">
        <references count="2">
          <reference field="11" count="1" selected="0">
            <x v="76"/>
          </reference>
          <reference field="14" count="1">
            <x v="214"/>
          </reference>
        </references>
      </pivotArea>
    </format>
    <format dxfId="7965">
      <pivotArea dataOnly="0" labelOnly="1" outline="0" fieldPosition="0">
        <references count="2">
          <reference field="11" count="1" selected="0">
            <x v="76"/>
          </reference>
          <reference field="14" count="1" defaultSubtotal="1">
            <x v="214"/>
          </reference>
        </references>
      </pivotArea>
    </format>
    <format dxfId="7964">
      <pivotArea dataOnly="0" labelOnly="1" outline="0" fieldPosition="0">
        <references count="2">
          <reference field="11" count="1" selected="0">
            <x v="77"/>
          </reference>
          <reference field="14" count="1">
            <x v="104"/>
          </reference>
        </references>
      </pivotArea>
    </format>
    <format dxfId="7963">
      <pivotArea dataOnly="0" labelOnly="1" outline="0" fieldPosition="0">
        <references count="2">
          <reference field="11" count="1" selected="0">
            <x v="77"/>
          </reference>
          <reference field="14" count="1" defaultSubtotal="1">
            <x v="104"/>
          </reference>
        </references>
      </pivotArea>
    </format>
    <format dxfId="7962">
      <pivotArea dataOnly="0" labelOnly="1" outline="0" fieldPosition="0">
        <references count="2">
          <reference field="11" count="1" selected="0">
            <x v="78"/>
          </reference>
          <reference field="14" count="1">
            <x v="195"/>
          </reference>
        </references>
      </pivotArea>
    </format>
    <format dxfId="7961">
      <pivotArea dataOnly="0" labelOnly="1" outline="0" fieldPosition="0">
        <references count="2">
          <reference field="11" count="1" selected="0">
            <x v="78"/>
          </reference>
          <reference field="14" count="1" defaultSubtotal="1">
            <x v="195"/>
          </reference>
        </references>
      </pivotArea>
    </format>
    <format dxfId="7960">
      <pivotArea dataOnly="0" labelOnly="1" outline="0" fieldPosition="0">
        <references count="2">
          <reference field="11" count="1" selected="0">
            <x v="79"/>
          </reference>
          <reference field="14" count="1">
            <x v="196"/>
          </reference>
        </references>
      </pivotArea>
    </format>
    <format dxfId="7959">
      <pivotArea dataOnly="0" labelOnly="1" outline="0" fieldPosition="0">
        <references count="2">
          <reference field="11" count="1" selected="0">
            <x v="79"/>
          </reference>
          <reference field="14" count="1" defaultSubtotal="1">
            <x v="196"/>
          </reference>
        </references>
      </pivotArea>
    </format>
    <format dxfId="7958">
      <pivotArea dataOnly="0" labelOnly="1" outline="0" fieldPosition="0">
        <references count="2">
          <reference field="11" count="1" selected="0">
            <x v="80"/>
          </reference>
          <reference field="14" count="1">
            <x v="467"/>
          </reference>
        </references>
      </pivotArea>
    </format>
    <format dxfId="7957">
      <pivotArea dataOnly="0" labelOnly="1" outline="0" fieldPosition="0">
        <references count="2">
          <reference field="11" count="1" selected="0">
            <x v="80"/>
          </reference>
          <reference field="14" count="1" defaultSubtotal="1">
            <x v="467"/>
          </reference>
        </references>
      </pivotArea>
    </format>
    <format dxfId="7956">
      <pivotArea dataOnly="0" labelOnly="1" outline="0" fieldPosition="0">
        <references count="2">
          <reference field="11" count="1" selected="0">
            <x v="81"/>
          </reference>
          <reference field="14" count="1">
            <x v="56"/>
          </reference>
        </references>
      </pivotArea>
    </format>
    <format dxfId="7955">
      <pivotArea dataOnly="0" labelOnly="1" outline="0" fieldPosition="0">
        <references count="2">
          <reference field="11" count="1" selected="0">
            <x v="81"/>
          </reference>
          <reference field="14" count="1" defaultSubtotal="1">
            <x v="56"/>
          </reference>
        </references>
      </pivotArea>
    </format>
    <format dxfId="7954">
      <pivotArea dataOnly="0" labelOnly="1" outline="0" fieldPosition="0">
        <references count="2">
          <reference field="11" count="1" selected="0">
            <x v="82"/>
          </reference>
          <reference field="14" count="1">
            <x v="106"/>
          </reference>
        </references>
      </pivotArea>
    </format>
    <format dxfId="7953">
      <pivotArea dataOnly="0" labelOnly="1" outline="0" fieldPosition="0">
        <references count="2">
          <reference field="11" count="1" selected="0">
            <x v="82"/>
          </reference>
          <reference field="14" count="1" defaultSubtotal="1">
            <x v="106"/>
          </reference>
        </references>
      </pivotArea>
    </format>
    <format dxfId="7952">
      <pivotArea dataOnly="0" labelOnly="1" outline="0" fieldPosition="0">
        <references count="2">
          <reference field="11" count="1" selected="0">
            <x v="83"/>
          </reference>
          <reference field="14" count="1">
            <x v="216"/>
          </reference>
        </references>
      </pivotArea>
    </format>
    <format dxfId="7951">
      <pivotArea dataOnly="0" labelOnly="1" outline="0" fieldPosition="0">
        <references count="2">
          <reference field="11" count="1" selected="0">
            <x v="83"/>
          </reference>
          <reference field="14" count="1" defaultSubtotal="1">
            <x v="216"/>
          </reference>
        </references>
      </pivotArea>
    </format>
    <format dxfId="7950">
      <pivotArea dataOnly="0" labelOnly="1" outline="0" fieldPosition="0">
        <references count="2">
          <reference field="11" count="1" selected="0">
            <x v="84"/>
          </reference>
          <reference field="14" count="1">
            <x v="47"/>
          </reference>
        </references>
      </pivotArea>
    </format>
    <format dxfId="7949">
      <pivotArea dataOnly="0" labelOnly="1" outline="0" fieldPosition="0">
        <references count="2">
          <reference field="11" count="1" selected="0">
            <x v="84"/>
          </reference>
          <reference field="14" count="1" defaultSubtotal="1">
            <x v="47"/>
          </reference>
        </references>
      </pivotArea>
    </format>
    <format dxfId="7948">
      <pivotArea dataOnly="0" labelOnly="1" outline="0" fieldPosition="0">
        <references count="2">
          <reference field="11" count="1" selected="0">
            <x v="85"/>
          </reference>
          <reference field="14" count="1">
            <x v="203"/>
          </reference>
        </references>
      </pivotArea>
    </format>
    <format dxfId="7947">
      <pivotArea dataOnly="0" labelOnly="1" outline="0" fieldPosition="0">
        <references count="2">
          <reference field="11" count="1" selected="0">
            <x v="85"/>
          </reference>
          <reference field="14" count="1" defaultSubtotal="1">
            <x v="203"/>
          </reference>
        </references>
      </pivotArea>
    </format>
    <format dxfId="7946">
      <pivotArea dataOnly="0" labelOnly="1" outline="0" fieldPosition="0">
        <references count="2">
          <reference field="11" count="1" selected="0">
            <x v="86"/>
          </reference>
          <reference field="14" count="1">
            <x v="383"/>
          </reference>
        </references>
      </pivotArea>
    </format>
    <format dxfId="7945">
      <pivotArea dataOnly="0" labelOnly="1" outline="0" fieldPosition="0">
        <references count="2">
          <reference field="11" count="1" selected="0">
            <x v="86"/>
          </reference>
          <reference field="14" count="1" defaultSubtotal="1">
            <x v="383"/>
          </reference>
        </references>
      </pivotArea>
    </format>
    <format dxfId="7944">
      <pivotArea dataOnly="0" labelOnly="1" outline="0" fieldPosition="0">
        <references count="2">
          <reference field="11" count="1" selected="0">
            <x v="87"/>
          </reference>
          <reference field="14" count="1">
            <x v="193"/>
          </reference>
        </references>
      </pivotArea>
    </format>
    <format dxfId="7943">
      <pivotArea dataOnly="0" labelOnly="1" outline="0" fieldPosition="0">
        <references count="2">
          <reference field="11" count="1" selected="0">
            <x v="87"/>
          </reference>
          <reference field="14" count="1" defaultSubtotal="1">
            <x v="193"/>
          </reference>
        </references>
      </pivotArea>
    </format>
    <format dxfId="7942">
      <pivotArea dataOnly="0" labelOnly="1" outline="0" fieldPosition="0">
        <references count="2">
          <reference field="11" count="1" selected="0">
            <x v="88"/>
          </reference>
          <reference field="14" count="1">
            <x v="4"/>
          </reference>
        </references>
      </pivotArea>
    </format>
    <format dxfId="7941">
      <pivotArea dataOnly="0" labelOnly="1" outline="0" fieldPosition="0">
        <references count="2">
          <reference field="11" count="1" selected="0">
            <x v="88"/>
          </reference>
          <reference field="14" count="1" defaultSubtotal="1">
            <x v="4"/>
          </reference>
        </references>
      </pivotArea>
    </format>
    <format dxfId="7940">
      <pivotArea dataOnly="0" labelOnly="1" outline="0" fieldPosition="0">
        <references count="2">
          <reference field="11" count="1" selected="0">
            <x v="89"/>
          </reference>
          <reference field="14" count="1">
            <x v="251"/>
          </reference>
        </references>
      </pivotArea>
    </format>
    <format dxfId="7939">
      <pivotArea dataOnly="0" labelOnly="1" outline="0" fieldPosition="0">
        <references count="2">
          <reference field="11" count="1" selected="0">
            <x v="89"/>
          </reference>
          <reference field="14" count="1" defaultSubtotal="1">
            <x v="251"/>
          </reference>
        </references>
      </pivotArea>
    </format>
    <format dxfId="7938">
      <pivotArea dataOnly="0" labelOnly="1" outline="0" fieldPosition="0">
        <references count="2">
          <reference field="11" count="1" selected="0">
            <x v="90"/>
          </reference>
          <reference field="14" count="1">
            <x v="335"/>
          </reference>
        </references>
      </pivotArea>
    </format>
    <format dxfId="7937">
      <pivotArea dataOnly="0" labelOnly="1" outline="0" fieldPosition="0">
        <references count="2">
          <reference field="11" count="1" selected="0">
            <x v="90"/>
          </reference>
          <reference field="14" count="1" defaultSubtotal="1">
            <x v="335"/>
          </reference>
        </references>
      </pivotArea>
    </format>
    <format dxfId="7936">
      <pivotArea dataOnly="0" labelOnly="1" outline="0" fieldPosition="0">
        <references count="2">
          <reference field="11" count="1" selected="0">
            <x v="91"/>
          </reference>
          <reference field="14" count="1">
            <x v="27"/>
          </reference>
        </references>
      </pivotArea>
    </format>
    <format dxfId="7935">
      <pivotArea dataOnly="0" labelOnly="1" outline="0" fieldPosition="0">
        <references count="2">
          <reference field="11" count="1" selected="0">
            <x v="91"/>
          </reference>
          <reference field="14" count="1" defaultSubtotal="1">
            <x v="27"/>
          </reference>
        </references>
      </pivotArea>
    </format>
    <format dxfId="7934">
      <pivotArea dataOnly="0" labelOnly="1" outline="0" fieldPosition="0">
        <references count="2">
          <reference field="11" count="1" selected="0">
            <x v="92"/>
          </reference>
          <reference field="14" count="1">
            <x v="189"/>
          </reference>
        </references>
      </pivotArea>
    </format>
    <format dxfId="7933">
      <pivotArea dataOnly="0" labelOnly="1" outline="0" fieldPosition="0">
        <references count="2">
          <reference field="11" count="1" selected="0">
            <x v="92"/>
          </reference>
          <reference field="14" count="1" defaultSubtotal="1">
            <x v="189"/>
          </reference>
        </references>
      </pivotArea>
    </format>
    <format dxfId="7932">
      <pivotArea dataOnly="0" labelOnly="1" outline="0" fieldPosition="0">
        <references count="2">
          <reference field="11" count="1" selected="0">
            <x v="93"/>
          </reference>
          <reference field="14" count="1">
            <x v="451"/>
          </reference>
        </references>
      </pivotArea>
    </format>
    <format dxfId="7931">
      <pivotArea dataOnly="0" labelOnly="1" outline="0" fieldPosition="0">
        <references count="2">
          <reference field="11" count="1" selected="0">
            <x v="93"/>
          </reference>
          <reference field="14" count="1" defaultSubtotal="1">
            <x v="451"/>
          </reference>
        </references>
      </pivotArea>
    </format>
    <format dxfId="7930">
      <pivotArea dataOnly="0" labelOnly="1" outline="0" fieldPosition="0">
        <references count="2">
          <reference field="11" count="1" selected="0">
            <x v="94"/>
          </reference>
          <reference field="14" count="1">
            <x v="23"/>
          </reference>
        </references>
      </pivotArea>
    </format>
    <format dxfId="7929">
      <pivotArea dataOnly="0" labelOnly="1" outline="0" fieldPosition="0">
        <references count="2">
          <reference field="11" count="1" selected="0">
            <x v="94"/>
          </reference>
          <reference field="14" count="1" defaultSubtotal="1">
            <x v="23"/>
          </reference>
        </references>
      </pivotArea>
    </format>
    <format dxfId="7928">
      <pivotArea dataOnly="0" labelOnly="1" outline="0" fieldPosition="0">
        <references count="2">
          <reference field="11" count="1" selected="0">
            <x v="95"/>
          </reference>
          <reference field="14" count="1">
            <x v="200"/>
          </reference>
        </references>
      </pivotArea>
    </format>
    <format dxfId="7927">
      <pivotArea dataOnly="0" labelOnly="1" outline="0" fieldPosition="0">
        <references count="2">
          <reference field="11" count="1" selected="0">
            <x v="95"/>
          </reference>
          <reference field="14" count="1" defaultSubtotal="1">
            <x v="200"/>
          </reference>
        </references>
      </pivotArea>
    </format>
    <format dxfId="7926">
      <pivotArea dataOnly="0" labelOnly="1" outline="0" fieldPosition="0">
        <references count="2">
          <reference field="11" count="1" selected="0">
            <x v="96"/>
          </reference>
          <reference field="14" count="1">
            <x v="240"/>
          </reference>
        </references>
      </pivotArea>
    </format>
    <format dxfId="7925">
      <pivotArea dataOnly="0" labelOnly="1" outline="0" fieldPosition="0">
        <references count="2">
          <reference field="11" count="1" selected="0">
            <x v="96"/>
          </reference>
          <reference field="14" count="1" defaultSubtotal="1">
            <x v="240"/>
          </reference>
        </references>
      </pivotArea>
    </format>
    <format dxfId="7924">
      <pivotArea dataOnly="0" labelOnly="1" outline="0" fieldPosition="0">
        <references count="2">
          <reference field="11" count="1" selected="0">
            <x v="97"/>
          </reference>
          <reference field="14" count="1">
            <x v="268"/>
          </reference>
        </references>
      </pivotArea>
    </format>
    <format dxfId="7923">
      <pivotArea dataOnly="0" labelOnly="1" outline="0" fieldPosition="0">
        <references count="2">
          <reference field="11" count="1" selected="0">
            <x v="97"/>
          </reference>
          <reference field="14" count="1" defaultSubtotal="1">
            <x v="268"/>
          </reference>
        </references>
      </pivotArea>
    </format>
    <format dxfId="7922">
      <pivotArea dataOnly="0" labelOnly="1" outline="0" fieldPosition="0">
        <references count="2">
          <reference field="11" count="1" selected="0">
            <x v="98"/>
          </reference>
          <reference field="14" count="1">
            <x v="358"/>
          </reference>
        </references>
      </pivotArea>
    </format>
    <format dxfId="7921">
      <pivotArea dataOnly="0" labelOnly="1" outline="0" fieldPosition="0">
        <references count="2">
          <reference field="11" count="1" selected="0">
            <x v="98"/>
          </reference>
          <reference field="14" count="1" defaultSubtotal="1">
            <x v="358"/>
          </reference>
        </references>
      </pivotArea>
    </format>
    <format dxfId="7920">
      <pivotArea dataOnly="0" labelOnly="1" outline="0" fieldPosition="0">
        <references count="2">
          <reference field="11" count="1" selected="0">
            <x v="99"/>
          </reference>
          <reference field="14" count="1">
            <x v="454"/>
          </reference>
        </references>
      </pivotArea>
    </format>
    <format dxfId="7919">
      <pivotArea dataOnly="0" labelOnly="1" outline="0" fieldPosition="0">
        <references count="2">
          <reference field="11" count="1" selected="0">
            <x v="99"/>
          </reference>
          <reference field="14" count="1" defaultSubtotal="1">
            <x v="454"/>
          </reference>
        </references>
      </pivotArea>
    </format>
    <format dxfId="7918">
      <pivotArea dataOnly="0" labelOnly="1" outline="0" fieldPosition="0">
        <references count="2">
          <reference field="11" count="1" selected="0">
            <x v="100"/>
          </reference>
          <reference field="14" count="1">
            <x v="274"/>
          </reference>
        </references>
      </pivotArea>
    </format>
    <format dxfId="7917">
      <pivotArea dataOnly="0" labelOnly="1" outline="0" fieldPosition="0">
        <references count="2">
          <reference field="11" count="1" selected="0">
            <x v="100"/>
          </reference>
          <reference field="14" count="1" defaultSubtotal="1">
            <x v="274"/>
          </reference>
        </references>
      </pivotArea>
    </format>
    <format dxfId="7916">
      <pivotArea dataOnly="0" labelOnly="1" outline="0" fieldPosition="0">
        <references count="2">
          <reference field="11" count="1" selected="0">
            <x v="101"/>
          </reference>
          <reference field="14" count="1">
            <x v="303"/>
          </reference>
        </references>
      </pivotArea>
    </format>
    <format dxfId="7915">
      <pivotArea dataOnly="0" labelOnly="1" outline="0" fieldPosition="0">
        <references count="2">
          <reference field="11" count="1" selected="0">
            <x v="101"/>
          </reference>
          <reference field="14" count="1" defaultSubtotal="1">
            <x v="303"/>
          </reference>
        </references>
      </pivotArea>
    </format>
    <format dxfId="7914">
      <pivotArea dataOnly="0" labelOnly="1" outline="0" fieldPosition="0">
        <references count="2">
          <reference field="11" count="1" selected="0">
            <x v="102"/>
          </reference>
          <reference field="14" count="1">
            <x v="248"/>
          </reference>
        </references>
      </pivotArea>
    </format>
    <format dxfId="7913">
      <pivotArea dataOnly="0" labelOnly="1" outline="0" fieldPosition="0">
        <references count="2">
          <reference field="11" count="1" selected="0">
            <x v="102"/>
          </reference>
          <reference field="14" count="1" defaultSubtotal="1">
            <x v="248"/>
          </reference>
        </references>
      </pivotArea>
    </format>
    <format dxfId="7912">
      <pivotArea dataOnly="0" labelOnly="1" outline="0" fieldPosition="0">
        <references count="2">
          <reference field="11" count="1" selected="0">
            <x v="103"/>
          </reference>
          <reference field="14" count="1">
            <x v="48"/>
          </reference>
        </references>
      </pivotArea>
    </format>
    <format dxfId="7911">
      <pivotArea dataOnly="0" labelOnly="1" outline="0" fieldPosition="0">
        <references count="2">
          <reference field="11" count="1" selected="0">
            <x v="103"/>
          </reference>
          <reference field="14" count="1" defaultSubtotal="1">
            <x v="48"/>
          </reference>
        </references>
      </pivotArea>
    </format>
    <format dxfId="7910">
      <pivotArea dataOnly="0" labelOnly="1" outline="0" fieldPosition="0">
        <references count="2">
          <reference field="11" count="1" selected="0">
            <x v="104"/>
          </reference>
          <reference field="14" count="1">
            <x v="321"/>
          </reference>
        </references>
      </pivotArea>
    </format>
    <format dxfId="7909">
      <pivotArea dataOnly="0" labelOnly="1" outline="0" fieldPosition="0">
        <references count="2">
          <reference field="11" count="1" selected="0">
            <x v="104"/>
          </reference>
          <reference field="14" count="1" defaultSubtotal="1">
            <x v="321"/>
          </reference>
        </references>
      </pivotArea>
    </format>
    <format dxfId="7908">
      <pivotArea dataOnly="0" labelOnly="1" outline="0" fieldPosition="0">
        <references count="2">
          <reference field="11" count="1" selected="0">
            <x v="105"/>
          </reference>
          <reference field="14" count="1">
            <x v="320"/>
          </reference>
        </references>
      </pivotArea>
    </format>
    <format dxfId="7907">
      <pivotArea dataOnly="0" labelOnly="1" outline="0" fieldPosition="0">
        <references count="2">
          <reference field="11" count="1" selected="0">
            <x v="105"/>
          </reference>
          <reference field="14" count="1" defaultSubtotal="1">
            <x v="320"/>
          </reference>
        </references>
      </pivotArea>
    </format>
    <format dxfId="7906">
      <pivotArea dataOnly="0" labelOnly="1" outline="0" fieldPosition="0">
        <references count="2">
          <reference field="11" count="1" selected="0">
            <x v="106"/>
          </reference>
          <reference field="14" count="1">
            <x v="210"/>
          </reference>
        </references>
      </pivotArea>
    </format>
    <format dxfId="7905">
      <pivotArea dataOnly="0" labelOnly="1" outline="0" fieldPosition="0">
        <references count="2">
          <reference field="11" count="1" selected="0">
            <x v="106"/>
          </reference>
          <reference field="14" count="1" defaultSubtotal="1">
            <x v="210"/>
          </reference>
        </references>
      </pivotArea>
    </format>
    <format dxfId="7904">
      <pivotArea dataOnly="0" labelOnly="1" outline="0" fieldPosition="0">
        <references count="2">
          <reference field="11" count="1" selected="0">
            <x v="107"/>
          </reference>
          <reference field="14" count="1">
            <x v="220"/>
          </reference>
        </references>
      </pivotArea>
    </format>
    <format dxfId="7903">
      <pivotArea dataOnly="0" labelOnly="1" outline="0" fieldPosition="0">
        <references count="2">
          <reference field="11" count="1" selected="0">
            <x v="107"/>
          </reference>
          <reference field="14" count="1" defaultSubtotal="1">
            <x v="220"/>
          </reference>
        </references>
      </pivotArea>
    </format>
    <format dxfId="7902">
      <pivotArea dataOnly="0" labelOnly="1" outline="0" fieldPosition="0">
        <references count="2">
          <reference field="11" count="1" selected="0">
            <x v="108"/>
          </reference>
          <reference field="14" count="1">
            <x v="111"/>
          </reference>
        </references>
      </pivotArea>
    </format>
    <format dxfId="7901">
      <pivotArea dataOnly="0" labelOnly="1" outline="0" fieldPosition="0">
        <references count="2">
          <reference field="11" count="1" selected="0">
            <x v="108"/>
          </reference>
          <reference field="14" count="1" defaultSubtotal="1">
            <x v="111"/>
          </reference>
        </references>
      </pivotArea>
    </format>
    <format dxfId="7900">
      <pivotArea dataOnly="0" labelOnly="1" outline="0" fieldPosition="0">
        <references count="2">
          <reference field="11" count="1" selected="0">
            <x v="109"/>
          </reference>
          <reference field="14" count="1">
            <x v="194"/>
          </reference>
        </references>
      </pivotArea>
    </format>
    <format dxfId="7899">
      <pivotArea dataOnly="0" labelOnly="1" outline="0" fieldPosition="0">
        <references count="2">
          <reference field="11" count="1" selected="0">
            <x v="109"/>
          </reference>
          <reference field="14" count="1" defaultSubtotal="1">
            <x v="194"/>
          </reference>
        </references>
      </pivotArea>
    </format>
    <format dxfId="7898">
      <pivotArea dataOnly="0" labelOnly="1" outline="0" fieldPosition="0">
        <references count="2">
          <reference field="11" count="1" selected="0">
            <x v="110"/>
          </reference>
          <reference field="14" count="1">
            <x v="52"/>
          </reference>
        </references>
      </pivotArea>
    </format>
    <format dxfId="7897">
      <pivotArea dataOnly="0" labelOnly="1" outline="0" fieldPosition="0">
        <references count="2">
          <reference field="11" count="1" selected="0">
            <x v="110"/>
          </reference>
          <reference field="14" count="1" defaultSubtotal="1">
            <x v="52"/>
          </reference>
        </references>
      </pivotArea>
    </format>
    <format dxfId="7896">
      <pivotArea dataOnly="0" labelOnly="1" outline="0" fieldPosition="0">
        <references count="2">
          <reference field="11" count="1" selected="0">
            <x v="111"/>
          </reference>
          <reference field="14" count="1">
            <x v="229"/>
          </reference>
        </references>
      </pivotArea>
    </format>
    <format dxfId="7895">
      <pivotArea dataOnly="0" labelOnly="1" outline="0" fieldPosition="0">
        <references count="2">
          <reference field="11" count="1" selected="0">
            <x v="111"/>
          </reference>
          <reference field="14" count="1" defaultSubtotal="1">
            <x v="229"/>
          </reference>
        </references>
      </pivotArea>
    </format>
    <format dxfId="7894">
      <pivotArea dataOnly="0" labelOnly="1" outline="0" fieldPosition="0">
        <references count="2">
          <reference field="11" count="1" selected="0">
            <x v="112"/>
          </reference>
          <reference field="14" count="1">
            <x v="41"/>
          </reference>
        </references>
      </pivotArea>
    </format>
    <format dxfId="7893">
      <pivotArea dataOnly="0" labelOnly="1" outline="0" fieldPosition="0">
        <references count="2">
          <reference field="11" count="1" selected="0">
            <x v="112"/>
          </reference>
          <reference field="14" count="1" defaultSubtotal="1">
            <x v="41"/>
          </reference>
        </references>
      </pivotArea>
    </format>
    <format dxfId="7892">
      <pivotArea dataOnly="0" labelOnly="1" outline="0" fieldPosition="0">
        <references count="2">
          <reference field="11" count="1" selected="0">
            <x v="113"/>
          </reference>
          <reference field="14" count="1">
            <x v="40"/>
          </reference>
        </references>
      </pivotArea>
    </format>
    <format dxfId="7891">
      <pivotArea dataOnly="0" labelOnly="1" outline="0" fieldPosition="0">
        <references count="2">
          <reference field="11" count="1" selected="0">
            <x v="113"/>
          </reference>
          <reference field="14" count="1" defaultSubtotal="1">
            <x v="40"/>
          </reference>
        </references>
      </pivotArea>
    </format>
    <format dxfId="7890">
      <pivotArea dataOnly="0" labelOnly="1" outline="0" fieldPosition="0">
        <references count="2">
          <reference field="11" count="1" selected="0">
            <x v="114"/>
          </reference>
          <reference field="14" count="1">
            <x v="433"/>
          </reference>
        </references>
      </pivotArea>
    </format>
    <format dxfId="7889">
      <pivotArea dataOnly="0" labelOnly="1" outline="0" fieldPosition="0">
        <references count="2">
          <reference field="11" count="1" selected="0">
            <x v="114"/>
          </reference>
          <reference field="14" count="1" defaultSubtotal="1">
            <x v="433"/>
          </reference>
        </references>
      </pivotArea>
    </format>
    <format dxfId="7888">
      <pivotArea dataOnly="0" labelOnly="1" outline="0" fieldPosition="0">
        <references count="2">
          <reference field="11" count="1" selected="0">
            <x v="115"/>
          </reference>
          <reference field="14" count="1">
            <x v="470"/>
          </reference>
        </references>
      </pivotArea>
    </format>
    <format dxfId="7887">
      <pivotArea dataOnly="0" labelOnly="1" outline="0" fieldPosition="0">
        <references count="2">
          <reference field="11" count="1" selected="0">
            <x v="115"/>
          </reference>
          <reference field="14" count="1" defaultSubtotal="1">
            <x v="470"/>
          </reference>
        </references>
      </pivotArea>
    </format>
    <format dxfId="7886">
      <pivotArea dataOnly="0" labelOnly="1" outline="0" fieldPosition="0">
        <references count="2">
          <reference field="11" count="1" selected="0">
            <x v="116"/>
          </reference>
          <reference field="14" count="1">
            <x v="469"/>
          </reference>
        </references>
      </pivotArea>
    </format>
    <format dxfId="7885">
      <pivotArea dataOnly="0" labelOnly="1" outline="0" fieldPosition="0">
        <references count="2">
          <reference field="11" count="1" selected="0">
            <x v="116"/>
          </reference>
          <reference field="14" count="1" defaultSubtotal="1">
            <x v="469"/>
          </reference>
        </references>
      </pivotArea>
    </format>
    <format dxfId="7884">
      <pivotArea dataOnly="0" labelOnly="1" outline="0" fieldPosition="0">
        <references count="2">
          <reference field="11" count="1" selected="0">
            <x v="117"/>
          </reference>
          <reference field="14" count="1">
            <x v="472"/>
          </reference>
        </references>
      </pivotArea>
    </format>
    <format dxfId="7883">
      <pivotArea dataOnly="0" labelOnly="1" outline="0" fieldPosition="0">
        <references count="2">
          <reference field="11" count="1" selected="0">
            <x v="117"/>
          </reference>
          <reference field="14" count="1" defaultSubtotal="1">
            <x v="472"/>
          </reference>
        </references>
      </pivotArea>
    </format>
    <format dxfId="7882">
      <pivotArea dataOnly="0" labelOnly="1" outline="0" fieldPosition="0">
        <references count="2">
          <reference field="11" count="1" selected="0">
            <x v="118"/>
          </reference>
          <reference field="14" count="1">
            <x v="473"/>
          </reference>
        </references>
      </pivotArea>
    </format>
    <format dxfId="7881">
      <pivotArea dataOnly="0" labelOnly="1" outline="0" fieldPosition="0">
        <references count="2">
          <reference field="11" count="1" selected="0">
            <x v="118"/>
          </reference>
          <reference field="14" count="1" defaultSubtotal="1">
            <x v="473"/>
          </reference>
        </references>
      </pivotArea>
    </format>
    <format dxfId="7880">
      <pivotArea dataOnly="0" labelOnly="1" outline="0" fieldPosition="0">
        <references count="2">
          <reference field="11" count="1" selected="0">
            <x v="119"/>
          </reference>
          <reference field="14" count="1">
            <x v="475"/>
          </reference>
        </references>
      </pivotArea>
    </format>
    <format dxfId="7879">
      <pivotArea dataOnly="0" labelOnly="1" outline="0" fieldPosition="0">
        <references count="2">
          <reference field="11" count="1" selected="0">
            <x v="119"/>
          </reference>
          <reference field="14" count="1" defaultSubtotal="1">
            <x v="475"/>
          </reference>
        </references>
      </pivotArea>
    </format>
    <format dxfId="7878">
      <pivotArea dataOnly="0" labelOnly="1" outline="0" fieldPosition="0">
        <references count="2">
          <reference field="11" count="1" selected="0">
            <x v="120"/>
          </reference>
          <reference field="14" count="1">
            <x v="474"/>
          </reference>
        </references>
      </pivotArea>
    </format>
    <format dxfId="7877">
      <pivotArea dataOnly="0" labelOnly="1" outline="0" fieldPosition="0">
        <references count="2">
          <reference field="11" count="1" selected="0">
            <x v="120"/>
          </reference>
          <reference field="14" count="1" defaultSubtotal="1">
            <x v="474"/>
          </reference>
        </references>
      </pivotArea>
    </format>
    <format dxfId="7876">
      <pivotArea dataOnly="0" labelOnly="1" outline="0" fieldPosition="0">
        <references count="2">
          <reference field="11" count="1" selected="0">
            <x v="121"/>
          </reference>
          <reference field="14" count="1">
            <x v="477"/>
          </reference>
        </references>
      </pivotArea>
    </format>
    <format dxfId="7875">
      <pivotArea dataOnly="0" labelOnly="1" outline="0" fieldPosition="0">
        <references count="2">
          <reference field="11" count="1" selected="0">
            <x v="121"/>
          </reference>
          <reference field="14" count="1" defaultSubtotal="1">
            <x v="477"/>
          </reference>
        </references>
      </pivotArea>
    </format>
    <format dxfId="7874">
      <pivotArea dataOnly="0" labelOnly="1" outline="0" fieldPosition="0">
        <references count="2">
          <reference field="11" count="1" selected="0">
            <x v="122"/>
          </reference>
          <reference field="14" count="1">
            <x v="476"/>
          </reference>
        </references>
      </pivotArea>
    </format>
    <format dxfId="7873">
      <pivotArea dataOnly="0" labelOnly="1" outline="0" fieldPosition="0">
        <references count="2">
          <reference field="11" count="1" selected="0">
            <x v="122"/>
          </reference>
          <reference field="14" count="1" defaultSubtotal="1">
            <x v="476"/>
          </reference>
        </references>
      </pivotArea>
    </format>
    <format dxfId="7872">
      <pivotArea dataOnly="0" labelOnly="1" outline="0" fieldPosition="0">
        <references count="2">
          <reference field="11" count="1" selected="0">
            <x v="123"/>
          </reference>
          <reference field="14" count="1">
            <x v="478"/>
          </reference>
        </references>
      </pivotArea>
    </format>
    <format dxfId="7871">
      <pivotArea dataOnly="0" labelOnly="1" outline="0" fieldPosition="0">
        <references count="2">
          <reference field="11" count="1" selected="0">
            <x v="123"/>
          </reference>
          <reference field="14" count="1" defaultSubtotal="1">
            <x v="478"/>
          </reference>
        </references>
      </pivotArea>
    </format>
    <format dxfId="7870">
      <pivotArea dataOnly="0" labelOnly="1" outline="0" fieldPosition="0">
        <references count="2">
          <reference field="11" count="1" selected="0">
            <x v="124"/>
          </reference>
          <reference field="14" count="1">
            <x v="480"/>
          </reference>
        </references>
      </pivotArea>
    </format>
    <format dxfId="7869">
      <pivotArea dataOnly="0" labelOnly="1" outline="0" fieldPosition="0">
        <references count="2">
          <reference field="11" count="1" selected="0">
            <x v="124"/>
          </reference>
          <reference field="14" count="1" defaultSubtotal="1">
            <x v="480"/>
          </reference>
        </references>
      </pivotArea>
    </format>
    <format dxfId="7868">
      <pivotArea dataOnly="0" labelOnly="1" outline="0" fieldPosition="0">
        <references count="2">
          <reference field="11" count="1" selected="0">
            <x v="125"/>
          </reference>
          <reference field="14" count="1">
            <x v="479"/>
          </reference>
        </references>
      </pivotArea>
    </format>
    <format dxfId="7867">
      <pivotArea dataOnly="0" labelOnly="1" outline="0" fieldPosition="0">
        <references count="2">
          <reference field="11" count="1" selected="0">
            <x v="125"/>
          </reference>
          <reference field="14" count="1" defaultSubtotal="1">
            <x v="479"/>
          </reference>
        </references>
      </pivotArea>
    </format>
    <format dxfId="7866">
      <pivotArea dataOnly="0" labelOnly="1" outline="0" fieldPosition="0">
        <references count="2">
          <reference field="11" count="1" selected="0">
            <x v="126"/>
          </reference>
          <reference field="14" count="1">
            <x v="481"/>
          </reference>
        </references>
      </pivotArea>
    </format>
    <format dxfId="7865">
      <pivotArea dataOnly="0" labelOnly="1" outline="0" fieldPosition="0">
        <references count="2">
          <reference field="11" count="1" selected="0">
            <x v="126"/>
          </reference>
          <reference field="14" count="1" defaultSubtotal="1">
            <x v="481"/>
          </reference>
        </references>
      </pivotArea>
    </format>
    <format dxfId="7864">
      <pivotArea dataOnly="0" labelOnly="1" outline="0" fieldPosition="0">
        <references count="2">
          <reference field="11" count="1" selected="0">
            <x v="127"/>
          </reference>
          <reference field="14" count="1">
            <x v="483"/>
          </reference>
        </references>
      </pivotArea>
    </format>
    <format dxfId="7863">
      <pivotArea dataOnly="0" labelOnly="1" outline="0" fieldPosition="0">
        <references count="2">
          <reference field="11" count="1" selected="0">
            <x v="127"/>
          </reference>
          <reference field="14" count="1" defaultSubtotal="1">
            <x v="483"/>
          </reference>
        </references>
      </pivotArea>
    </format>
    <format dxfId="7862">
      <pivotArea dataOnly="0" labelOnly="1" outline="0" fieldPosition="0">
        <references count="2">
          <reference field="11" count="1" selected="0">
            <x v="128"/>
          </reference>
          <reference field="14" count="1">
            <x v="453"/>
          </reference>
        </references>
      </pivotArea>
    </format>
    <format dxfId="7861">
      <pivotArea dataOnly="0" labelOnly="1" outline="0" fieldPosition="0">
        <references count="2">
          <reference field="11" count="1" selected="0">
            <x v="128"/>
          </reference>
          <reference field="14" count="1" defaultSubtotal="1">
            <x v="453"/>
          </reference>
        </references>
      </pivotArea>
    </format>
    <format dxfId="7860">
      <pivotArea dataOnly="0" labelOnly="1" outline="0" fieldPosition="0">
        <references count="2">
          <reference field="11" count="1" selected="0">
            <x v="129"/>
          </reference>
          <reference field="14" count="1">
            <x v="391"/>
          </reference>
        </references>
      </pivotArea>
    </format>
    <format dxfId="7859">
      <pivotArea dataOnly="0" labelOnly="1" outline="0" fieldPosition="0">
        <references count="2">
          <reference field="11" count="1" selected="0">
            <x v="129"/>
          </reference>
          <reference field="14" count="1" defaultSubtotal="1">
            <x v="391"/>
          </reference>
        </references>
      </pivotArea>
    </format>
    <format dxfId="7858">
      <pivotArea dataOnly="0" labelOnly="1" outline="0" fieldPosition="0">
        <references count="2">
          <reference field="11" count="1" selected="0">
            <x v="130"/>
          </reference>
          <reference field="14" count="1">
            <x v="242"/>
          </reference>
        </references>
      </pivotArea>
    </format>
    <format dxfId="7857">
      <pivotArea dataOnly="0" labelOnly="1" outline="0" fieldPosition="0">
        <references count="2">
          <reference field="11" count="1" selected="0">
            <x v="130"/>
          </reference>
          <reference field="14" count="1" defaultSubtotal="1">
            <x v="242"/>
          </reference>
        </references>
      </pivotArea>
    </format>
    <format dxfId="7856">
      <pivotArea dataOnly="0" labelOnly="1" outline="0" fieldPosition="0">
        <references count="2">
          <reference field="11" count="1" selected="0">
            <x v="131"/>
          </reference>
          <reference field="14" count="1">
            <x v="33"/>
          </reference>
        </references>
      </pivotArea>
    </format>
    <format dxfId="7855">
      <pivotArea dataOnly="0" labelOnly="1" outline="0" fieldPosition="0">
        <references count="2">
          <reference field="11" count="1" selected="0">
            <x v="131"/>
          </reference>
          <reference field="14" count="1" defaultSubtotal="1">
            <x v="33"/>
          </reference>
        </references>
      </pivotArea>
    </format>
    <format dxfId="7854">
      <pivotArea dataOnly="0" labelOnly="1" outline="0" fieldPosition="0">
        <references count="2">
          <reference field="11" count="1" selected="0">
            <x v="132"/>
          </reference>
          <reference field="14" count="1">
            <x v="482"/>
          </reference>
        </references>
      </pivotArea>
    </format>
    <format dxfId="7853">
      <pivotArea dataOnly="0" labelOnly="1" outline="0" fieldPosition="0">
        <references count="2">
          <reference field="11" count="1" selected="0">
            <x v="132"/>
          </reference>
          <reference field="14" count="1" defaultSubtotal="1">
            <x v="482"/>
          </reference>
        </references>
      </pivotArea>
    </format>
    <format dxfId="7852">
      <pivotArea dataOnly="0" labelOnly="1" outline="0" fieldPosition="0">
        <references count="2">
          <reference field="11" count="1" selected="0">
            <x v="133"/>
          </reference>
          <reference field="14" count="1">
            <x v="266"/>
          </reference>
        </references>
      </pivotArea>
    </format>
    <format dxfId="7851">
      <pivotArea dataOnly="0" labelOnly="1" outline="0" fieldPosition="0">
        <references count="2">
          <reference field="11" count="1" selected="0">
            <x v="133"/>
          </reference>
          <reference field="14" count="1" defaultSubtotal="1">
            <x v="266"/>
          </reference>
        </references>
      </pivotArea>
    </format>
    <format dxfId="7850">
      <pivotArea dataOnly="0" labelOnly="1" outline="0" fieldPosition="0">
        <references count="2">
          <reference field="11" count="1" selected="0">
            <x v="134"/>
          </reference>
          <reference field="14" count="1">
            <x v="76"/>
          </reference>
        </references>
      </pivotArea>
    </format>
    <format dxfId="7849">
      <pivotArea dataOnly="0" labelOnly="1" outline="0" fieldPosition="0">
        <references count="2">
          <reference field="11" count="1" selected="0">
            <x v="134"/>
          </reference>
          <reference field="14" count="1" defaultSubtotal="1">
            <x v="76"/>
          </reference>
        </references>
      </pivotArea>
    </format>
    <format dxfId="7848">
      <pivotArea dataOnly="0" labelOnly="1" outline="0" fieldPosition="0">
        <references count="2">
          <reference field="11" count="1" selected="0">
            <x v="135"/>
          </reference>
          <reference field="14" count="1">
            <x v="332"/>
          </reference>
        </references>
      </pivotArea>
    </format>
    <format dxfId="7847">
      <pivotArea dataOnly="0" labelOnly="1" outline="0" fieldPosition="0">
        <references count="2">
          <reference field="11" count="1" selected="0">
            <x v="135"/>
          </reference>
          <reference field="14" count="1" defaultSubtotal="1">
            <x v="332"/>
          </reference>
        </references>
      </pivotArea>
    </format>
    <format dxfId="7846">
      <pivotArea dataOnly="0" labelOnly="1" outline="0" fieldPosition="0">
        <references count="2">
          <reference field="11" count="1" selected="0">
            <x v="136"/>
          </reference>
          <reference field="14" count="1">
            <x v="333"/>
          </reference>
        </references>
      </pivotArea>
    </format>
    <format dxfId="7845">
      <pivotArea dataOnly="0" labelOnly="1" outline="0" fieldPosition="0">
        <references count="2">
          <reference field="11" count="1" selected="0">
            <x v="136"/>
          </reference>
          <reference field="14" count="1" defaultSubtotal="1">
            <x v="333"/>
          </reference>
        </references>
      </pivotArea>
    </format>
    <format dxfId="7844">
      <pivotArea dataOnly="0" labelOnly="1" outline="0" fieldPosition="0">
        <references count="2">
          <reference field="11" count="1" selected="0">
            <x v="137"/>
          </reference>
          <reference field="14" count="1">
            <x v="11"/>
          </reference>
        </references>
      </pivotArea>
    </format>
    <format dxfId="7843">
      <pivotArea dataOnly="0" labelOnly="1" outline="0" fieldPosition="0">
        <references count="2">
          <reference field="11" count="1" selected="0">
            <x v="137"/>
          </reference>
          <reference field="14" count="1" defaultSubtotal="1">
            <x v="11"/>
          </reference>
        </references>
      </pivotArea>
    </format>
    <format dxfId="7842">
      <pivotArea dataOnly="0" labelOnly="1" outline="0" fieldPosition="0">
        <references count="2">
          <reference field="11" count="1" selected="0">
            <x v="138"/>
          </reference>
          <reference field="14" count="1">
            <x v="16"/>
          </reference>
        </references>
      </pivotArea>
    </format>
    <format dxfId="7841">
      <pivotArea dataOnly="0" labelOnly="1" outline="0" fieldPosition="0">
        <references count="2">
          <reference field="11" count="1" selected="0">
            <x v="138"/>
          </reference>
          <reference field="14" count="1" defaultSubtotal="1">
            <x v="16"/>
          </reference>
        </references>
      </pivotArea>
    </format>
    <format dxfId="7840">
      <pivotArea dataOnly="0" labelOnly="1" outline="0" fieldPosition="0">
        <references count="2">
          <reference field="11" count="1" selected="0">
            <x v="139"/>
          </reference>
          <reference field="14" count="1">
            <x v="361"/>
          </reference>
        </references>
      </pivotArea>
    </format>
    <format dxfId="7839">
      <pivotArea dataOnly="0" labelOnly="1" outline="0" fieldPosition="0">
        <references count="2">
          <reference field="11" count="1" selected="0">
            <x v="139"/>
          </reference>
          <reference field="14" count="1" defaultSubtotal="1">
            <x v="361"/>
          </reference>
        </references>
      </pivotArea>
    </format>
    <format dxfId="7838">
      <pivotArea dataOnly="0" labelOnly="1" outline="0" fieldPosition="0">
        <references count="2">
          <reference field="11" count="1" selected="0">
            <x v="140"/>
          </reference>
          <reference field="14" count="1">
            <x v="255"/>
          </reference>
        </references>
      </pivotArea>
    </format>
    <format dxfId="7837">
      <pivotArea dataOnly="0" labelOnly="1" outline="0" fieldPosition="0">
        <references count="2">
          <reference field="11" count="1" selected="0">
            <x v="140"/>
          </reference>
          <reference field="14" count="1" defaultSubtotal="1">
            <x v="255"/>
          </reference>
        </references>
      </pivotArea>
    </format>
    <format dxfId="7836">
      <pivotArea dataOnly="0" labelOnly="1" outline="0" fieldPosition="0">
        <references count="2">
          <reference field="11" count="1" selected="0">
            <x v="141"/>
          </reference>
          <reference field="14" count="1">
            <x v="252"/>
          </reference>
        </references>
      </pivotArea>
    </format>
    <format dxfId="7835">
      <pivotArea dataOnly="0" labelOnly="1" outline="0" fieldPosition="0">
        <references count="2">
          <reference field="11" count="1" selected="0">
            <x v="141"/>
          </reference>
          <reference field="14" count="1" defaultSubtotal="1">
            <x v="252"/>
          </reference>
        </references>
      </pivotArea>
    </format>
    <format dxfId="7834">
      <pivotArea dataOnly="0" labelOnly="1" outline="0" fieldPosition="0">
        <references count="2">
          <reference field="11" count="1" selected="0">
            <x v="142"/>
          </reference>
          <reference field="14" count="1">
            <x v="213"/>
          </reference>
        </references>
      </pivotArea>
    </format>
    <format dxfId="7833">
      <pivotArea dataOnly="0" labelOnly="1" outline="0" fieldPosition="0">
        <references count="2">
          <reference field="11" count="1" selected="0">
            <x v="142"/>
          </reference>
          <reference field="14" count="1" defaultSubtotal="1">
            <x v="213"/>
          </reference>
        </references>
      </pivotArea>
    </format>
    <format dxfId="7832">
      <pivotArea dataOnly="0" labelOnly="1" outline="0" fieldPosition="0">
        <references count="2">
          <reference field="11" count="1" selected="0">
            <x v="143"/>
          </reference>
          <reference field="14" count="1">
            <x v="326"/>
          </reference>
        </references>
      </pivotArea>
    </format>
    <format dxfId="7831">
      <pivotArea dataOnly="0" labelOnly="1" outline="0" fieldPosition="0">
        <references count="2">
          <reference field="11" count="1" selected="0">
            <x v="143"/>
          </reference>
          <reference field="14" count="1" defaultSubtotal="1">
            <x v="326"/>
          </reference>
        </references>
      </pivotArea>
    </format>
    <format dxfId="7830">
      <pivotArea dataOnly="0" labelOnly="1" outline="0" fieldPosition="0">
        <references count="2">
          <reference field="11" count="1" selected="0">
            <x v="144"/>
          </reference>
          <reference field="14" count="1">
            <x v="327"/>
          </reference>
        </references>
      </pivotArea>
    </format>
    <format dxfId="7829">
      <pivotArea dataOnly="0" labelOnly="1" outline="0" fieldPosition="0">
        <references count="2">
          <reference field="11" count="1" selected="0">
            <x v="144"/>
          </reference>
          <reference field="14" count="1" defaultSubtotal="1">
            <x v="327"/>
          </reference>
        </references>
      </pivotArea>
    </format>
    <format dxfId="7828">
      <pivotArea dataOnly="0" labelOnly="1" outline="0" fieldPosition="0">
        <references count="2">
          <reference field="11" count="1" selected="0">
            <x v="145"/>
          </reference>
          <reference field="14" count="1">
            <x v="329"/>
          </reference>
        </references>
      </pivotArea>
    </format>
    <format dxfId="7827">
      <pivotArea dataOnly="0" labelOnly="1" outline="0" fieldPosition="0">
        <references count="2">
          <reference field="11" count="1" selected="0">
            <x v="145"/>
          </reference>
          <reference field="14" count="1" defaultSubtotal="1">
            <x v="329"/>
          </reference>
        </references>
      </pivotArea>
    </format>
    <format dxfId="7826">
      <pivotArea dataOnly="0" labelOnly="1" outline="0" fieldPosition="0">
        <references count="2">
          <reference field="11" count="1" selected="0">
            <x v="146"/>
          </reference>
          <reference field="14" count="1">
            <x v="330"/>
          </reference>
        </references>
      </pivotArea>
    </format>
    <format dxfId="7825">
      <pivotArea dataOnly="0" labelOnly="1" outline="0" fieldPosition="0">
        <references count="2">
          <reference field="11" count="1" selected="0">
            <x v="146"/>
          </reference>
          <reference field="14" count="1" defaultSubtotal="1">
            <x v="330"/>
          </reference>
        </references>
      </pivotArea>
    </format>
    <format dxfId="7824">
      <pivotArea dataOnly="0" labelOnly="1" outline="0" fieldPosition="0">
        <references count="2">
          <reference field="11" count="1" selected="0">
            <x v="147"/>
          </reference>
          <reference field="14" count="1">
            <x v="328"/>
          </reference>
        </references>
      </pivotArea>
    </format>
    <format dxfId="7823">
      <pivotArea dataOnly="0" labelOnly="1" outline="0" fieldPosition="0">
        <references count="2">
          <reference field="11" count="1" selected="0">
            <x v="147"/>
          </reference>
          <reference field="14" count="1" defaultSubtotal="1">
            <x v="328"/>
          </reference>
        </references>
      </pivotArea>
    </format>
    <format dxfId="7822">
      <pivotArea dataOnly="0" labelOnly="1" outline="0" fieldPosition="0">
        <references count="2">
          <reference field="11" count="1" selected="0">
            <x v="148"/>
          </reference>
          <reference field="14" count="1">
            <x v="215"/>
          </reference>
        </references>
      </pivotArea>
    </format>
    <format dxfId="7821">
      <pivotArea dataOnly="0" labelOnly="1" outline="0" fieldPosition="0">
        <references count="2">
          <reference field="11" count="1" selected="0">
            <x v="148"/>
          </reference>
          <reference field="14" count="1" defaultSubtotal="1">
            <x v="215"/>
          </reference>
        </references>
      </pivotArea>
    </format>
    <format dxfId="7820">
      <pivotArea dataOnly="0" labelOnly="1" outline="0" fieldPosition="0">
        <references count="2">
          <reference field="11" count="1" selected="0">
            <x v="149"/>
          </reference>
          <reference field="14" count="1">
            <x v="461"/>
          </reference>
        </references>
      </pivotArea>
    </format>
    <format dxfId="7819">
      <pivotArea dataOnly="0" labelOnly="1" outline="0" fieldPosition="0">
        <references count="2">
          <reference field="11" count="1" selected="0">
            <x v="149"/>
          </reference>
          <reference field="14" count="1" defaultSubtotal="1">
            <x v="461"/>
          </reference>
        </references>
      </pivotArea>
    </format>
    <format dxfId="7818">
      <pivotArea dataOnly="0" labelOnly="1" outline="0" fieldPosition="0">
        <references count="2">
          <reference field="11" count="1" selected="0">
            <x v="150"/>
          </reference>
          <reference field="14" count="1">
            <x v="267"/>
          </reference>
        </references>
      </pivotArea>
    </format>
    <format dxfId="7817">
      <pivotArea dataOnly="0" labelOnly="1" outline="0" fieldPosition="0">
        <references count="2">
          <reference field="11" count="1" selected="0">
            <x v="150"/>
          </reference>
          <reference field="14" count="1" defaultSubtotal="1">
            <x v="267"/>
          </reference>
        </references>
      </pivotArea>
    </format>
    <format dxfId="7816">
      <pivotArea dataOnly="0" labelOnly="1" outline="0" fieldPosition="0">
        <references count="2">
          <reference field="11" count="1" selected="0">
            <x v="151"/>
          </reference>
          <reference field="14" count="1">
            <x v="392"/>
          </reference>
        </references>
      </pivotArea>
    </format>
    <format dxfId="7815">
      <pivotArea dataOnly="0" labelOnly="1" outline="0" fieldPosition="0">
        <references count="2">
          <reference field="11" count="1" selected="0">
            <x v="151"/>
          </reference>
          <reference field="14" count="1" defaultSubtotal="1">
            <x v="392"/>
          </reference>
        </references>
      </pivotArea>
    </format>
    <format dxfId="7814">
      <pivotArea dataOnly="0" labelOnly="1" outline="0" fieldPosition="0">
        <references count="2">
          <reference field="11" count="1" selected="0">
            <x v="152"/>
          </reference>
          <reference field="14" count="1">
            <x v="447"/>
          </reference>
        </references>
      </pivotArea>
    </format>
    <format dxfId="7813">
      <pivotArea dataOnly="0" labelOnly="1" outline="0" fieldPosition="0">
        <references count="2">
          <reference field="11" count="1" selected="0">
            <x v="152"/>
          </reference>
          <reference field="14" count="1" defaultSubtotal="1">
            <x v="447"/>
          </reference>
        </references>
      </pivotArea>
    </format>
    <format dxfId="7812">
      <pivotArea dataOnly="0" labelOnly="1" outline="0" fieldPosition="0">
        <references count="2">
          <reference field="11" count="1" selected="0">
            <x v="153"/>
          </reference>
          <reference field="14" count="1">
            <x v="177"/>
          </reference>
        </references>
      </pivotArea>
    </format>
    <format dxfId="7811">
      <pivotArea dataOnly="0" labelOnly="1" outline="0" fieldPosition="0">
        <references count="2">
          <reference field="11" count="1" selected="0">
            <x v="153"/>
          </reference>
          <reference field="14" count="1" defaultSubtotal="1">
            <x v="177"/>
          </reference>
        </references>
      </pivotArea>
    </format>
    <format dxfId="7810">
      <pivotArea dataOnly="0" labelOnly="1" outline="0" fieldPosition="0">
        <references count="2">
          <reference field="11" count="1" selected="0">
            <x v="154"/>
          </reference>
          <reference field="14" count="1">
            <x v="182"/>
          </reference>
        </references>
      </pivotArea>
    </format>
    <format dxfId="7809">
      <pivotArea dataOnly="0" labelOnly="1" outline="0" fieldPosition="0">
        <references count="2">
          <reference field="11" count="1" selected="0">
            <x v="154"/>
          </reference>
          <reference field="14" count="1" defaultSubtotal="1">
            <x v="182"/>
          </reference>
        </references>
      </pivotArea>
    </format>
    <format dxfId="7808">
      <pivotArea dataOnly="0" labelOnly="1" outline="0" fieldPosition="0">
        <references count="2">
          <reference field="11" count="1" selected="0">
            <x v="155"/>
          </reference>
          <reference field="14" count="1">
            <x v="105"/>
          </reference>
        </references>
      </pivotArea>
    </format>
    <format dxfId="7807">
      <pivotArea dataOnly="0" labelOnly="1" outline="0" fieldPosition="0">
        <references count="2">
          <reference field="11" count="1" selected="0">
            <x v="155"/>
          </reference>
          <reference field="14" count="1" defaultSubtotal="1">
            <x v="105"/>
          </reference>
        </references>
      </pivotArea>
    </format>
    <format dxfId="7806">
      <pivotArea dataOnly="0" labelOnly="1" outline="0" fieldPosition="0">
        <references count="2">
          <reference field="11" count="1" selected="0">
            <x v="156"/>
          </reference>
          <reference field="14" count="1">
            <x v="238"/>
          </reference>
        </references>
      </pivotArea>
    </format>
    <format dxfId="7805">
      <pivotArea dataOnly="0" labelOnly="1" outline="0" fieldPosition="0">
        <references count="2">
          <reference field="11" count="1" selected="0">
            <x v="156"/>
          </reference>
          <reference field="14" count="1" defaultSubtotal="1">
            <x v="238"/>
          </reference>
        </references>
      </pivotArea>
    </format>
    <format dxfId="7804">
      <pivotArea dataOnly="0" labelOnly="1" outline="0" fieldPosition="0">
        <references count="2">
          <reference field="11" count="1" selected="0">
            <x v="157"/>
          </reference>
          <reference field="14" count="1">
            <x v="395"/>
          </reference>
        </references>
      </pivotArea>
    </format>
    <format dxfId="7803">
      <pivotArea dataOnly="0" labelOnly="1" outline="0" fieldPosition="0">
        <references count="2">
          <reference field="11" count="1" selected="0">
            <x v="157"/>
          </reference>
          <reference field="14" count="1" defaultSubtotal="1">
            <x v="395"/>
          </reference>
        </references>
      </pivotArea>
    </format>
    <format dxfId="7802">
      <pivotArea dataOnly="0" labelOnly="1" outline="0" fieldPosition="0">
        <references count="2">
          <reference field="11" count="1" selected="0">
            <x v="158"/>
          </reference>
          <reference field="14" count="1">
            <x v="224"/>
          </reference>
        </references>
      </pivotArea>
    </format>
    <format dxfId="7801">
      <pivotArea dataOnly="0" labelOnly="1" outline="0" fieldPosition="0">
        <references count="2">
          <reference field="11" count="1" selected="0">
            <x v="158"/>
          </reference>
          <reference field="14" count="1" defaultSubtotal="1">
            <x v="224"/>
          </reference>
        </references>
      </pivotArea>
    </format>
    <format dxfId="7800">
      <pivotArea dataOnly="0" labelOnly="1" outline="0" fieldPosition="0">
        <references count="2">
          <reference field="11" count="1" selected="0">
            <x v="159"/>
          </reference>
          <reference field="14" count="1">
            <x v="218"/>
          </reference>
        </references>
      </pivotArea>
    </format>
    <format dxfId="7799">
      <pivotArea dataOnly="0" labelOnly="1" outline="0" fieldPosition="0">
        <references count="2">
          <reference field="11" count="1" selected="0">
            <x v="159"/>
          </reference>
          <reference field="14" count="1" defaultSubtotal="1">
            <x v="218"/>
          </reference>
        </references>
      </pivotArea>
    </format>
    <format dxfId="7798">
      <pivotArea dataOnly="0" labelOnly="1" outline="0" fieldPosition="0">
        <references count="2">
          <reference field="11" count="1" selected="0">
            <x v="160"/>
          </reference>
          <reference field="14" count="1">
            <x v="398"/>
          </reference>
        </references>
      </pivotArea>
    </format>
    <format dxfId="7797">
      <pivotArea dataOnly="0" labelOnly="1" outline="0" fieldPosition="0">
        <references count="2">
          <reference field="11" count="1" selected="0">
            <x v="160"/>
          </reference>
          <reference field="14" count="1" defaultSubtotal="1">
            <x v="398"/>
          </reference>
        </references>
      </pivotArea>
    </format>
    <format dxfId="7796">
      <pivotArea dataOnly="0" labelOnly="1" outline="0" fieldPosition="0">
        <references count="2">
          <reference field="11" count="1" selected="0">
            <x v="161"/>
          </reference>
          <reference field="14" count="1">
            <x v="117"/>
          </reference>
        </references>
      </pivotArea>
    </format>
    <format dxfId="7795">
      <pivotArea dataOnly="0" labelOnly="1" outline="0" fieldPosition="0">
        <references count="2">
          <reference field="11" count="1" selected="0">
            <x v="161"/>
          </reference>
          <reference field="14" count="1" defaultSubtotal="1">
            <x v="117"/>
          </reference>
        </references>
      </pivotArea>
    </format>
    <format dxfId="7794">
      <pivotArea dataOnly="0" labelOnly="1" outline="0" fieldPosition="0">
        <references count="2">
          <reference field="11" count="1" selected="0">
            <x v="162"/>
          </reference>
          <reference field="14" count="1">
            <x v="161"/>
          </reference>
        </references>
      </pivotArea>
    </format>
    <format dxfId="7793">
      <pivotArea dataOnly="0" labelOnly="1" outline="0" fieldPosition="0">
        <references count="2">
          <reference field="11" count="1" selected="0">
            <x v="162"/>
          </reference>
          <reference field="14" count="1" defaultSubtotal="1">
            <x v="161"/>
          </reference>
        </references>
      </pivotArea>
    </format>
    <format dxfId="7792">
      <pivotArea dataOnly="0" labelOnly="1" outline="0" fieldPosition="0">
        <references count="2">
          <reference field="11" count="1" selected="0">
            <x v="163"/>
          </reference>
          <reference field="14" count="1">
            <x v="234"/>
          </reference>
        </references>
      </pivotArea>
    </format>
    <format dxfId="7791">
      <pivotArea dataOnly="0" labelOnly="1" outline="0" fieldPosition="0">
        <references count="2">
          <reference field="11" count="1" selected="0">
            <x v="163"/>
          </reference>
          <reference field="14" count="1" defaultSubtotal="1">
            <x v="234"/>
          </reference>
        </references>
      </pivotArea>
    </format>
    <format dxfId="7790">
      <pivotArea dataOnly="0" labelOnly="1" outline="0" fieldPosition="0">
        <references count="2">
          <reference field="11" count="1" selected="0">
            <x v="164"/>
          </reference>
          <reference field="14" count="1">
            <x v="258"/>
          </reference>
        </references>
      </pivotArea>
    </format>
    <format dxfId="7789">
      <pivotArea dataOnly="0" labelOnly="1" outline="0" fieldPosition="0">
        <references count="2">
          <reference field="11" count="1" selected="0">
            <x v="164"/>
          </reference>
          <reference field="14" count="1" defaultSubtotal="1">
            <x v="258"/>
          </reference>
        </references>
      </pivotArea>
    </format>
    <format dxfId="7788">
      <pivotArea dataOnly="0" labelOnly="1" outline="0" fieldPosition="0">
        <references count="2">
          <reference field="11" count="1" selected="0">
            <x v="165"/>
          </reference>
          <reference field="14" count="1">
            <x v="206"/>
          </reference>
        </references>
      </pivotArea>
    </format>
    <format dxfId="7787">
      <pivotArea dataOnly="0" labelOnly="1" outline="0" fieldPosition="0">
        <references count="2">
          <reference field="11" count="1" selected="0">
            <x v="165"/>
          </reference>
          <reference field="14" count="1" defaultSubtotal="1">
            <x v="206"/>
          </reference>
        </references>
      </pivotArea>
    </format>
    <format dxfId="7786">
      <pivotArea dataOnly="0" labelOnly="1" outline="0" fieldPosition="0">
        <references count="2">
          <reference field="11" count="1" selected="0">
            <x v="166"/>
          </reference>
          <reference field="14" count="1">
            <x v="319"/>
          </reference>
        </references>
      </pivotArea>
    </format>
    <format dxfId="7785">
      <pivotArea dataOnly="0" labelOnly="1" outline="0" fieldPosition="0">
        <references count="2">
          <reference field="11" count="1" selected="0">
            <x v="166"/>
          </reference>
          <reference field="14" count="1" defaultSubtotal="1">
            <x v="319"/>
          </reference>
        </references>
      </pivotArea>
    </format>
    <format dxfId="7784">
      <pivotArea dataOnly="0" labelOnly="1" outline="0" fieldPosition="0">
        <references count="2">
          <reference field="11" count="1" selected="0">
            <x v="167"/>
          </reference>
          <reference field="14" count="1">
            <x v="66"/>
          </reference>
        </references>
      </pivotArea>
    </format>
    <format dxfId="7783">
      <pivotArea dataOnly="0" labelOnly="1" outline="0" fieldPosition="0">
        <references count="2">
          <reference field="11" count="1" selected="0">
            <x v="167"/>
          </reference>
          <reference field="14" count="1" defaultSubtotal="1">
            <x v="66"/>
          </reference>
        </references>
      </pivotArea>
    </format>
    <format dxfId="7782">
      <pivotArea dataOnly="0" labelOnly="1" outline="0" fieldPosition="0">
        <references count="2">
          <reference field="11" count="1" selected="0">
            <x v="168"/>
          </reference>
          <reference field="14" count="1">
            <x v="148"/>
          </reference>
        </references>
      </pivotArea>
    </format>
    <format dxfId="7781">
      <pivotArea dataOnly="0" labelOnly="1" outline="0" fieldPosition="0">
        <references count="2">
          <reference field="11" count="1" selected="0">
            <x v="168"/>
          </reference>
          <reference field="14" count="1" defaultSubtotal="1">
            <x v="148"/>
          </reference>
        </references>
      </pivotArea>
    </format>
    <format dxfId="7780">
      <pivotArea dataOnly="0" labelOnly="1" outline="0" fieldPosition="0">
        <references count="2">
          <reference field="11" count="1" selected="0">
            <x v="169"/>
          </reference>
          <reference field="14" count="1">
            <x v="192"/>
          </reference>
        </references>
      </pivotArea>
    </format>
    <format dxfId="7779">
      <pivotArea dataOnly="0" labelOnly="1" outline="0" fieldPosition="0">
        <references count="2">
          <reference field="11" count="1" selected="0">
            <x v="169"/>
          </reference>
          <reference field="14" count="1" defaultSubtotal="1">
            <x v="192"/>
          </reference>
        </references>
      </pivotArea>
    </format>
    <format dxfId="7778">
      <pivotArea dataOnly="0" labelOnly="1" outline="0" fieldPosition="0">
        <references count="2">
          <reference field="11" count="1" selected="0">
            <x v="170"/>
          </reference>
          <reference field="14" count="1">
            <x v="317"/>
          </reference>
        </references>
      </pivotArea>
    </format>
    <format dxfId="7777">
      <pivotArea dataOnly="0" labelOnly="1" outline="0" fieldPosition="0">
        <references count="2">
          <reference field="11" count="1" selected="0">
            <x v="170"/>
          </reference>
          <reference field="14" count="1" defaultSubtotal="1">
            <x v="317"/>
          </reference>
        </references>
      </pivotArea>
    </format>
    <format dxfId="7776">
      <pivotArea dataOnly="0" labelOnly="1" outline="0" fieldPosition="0">
        <references count="2">
          <reference field="11" count="1" selected="0">
            <x v="171"/>
          </reference>
          <reference field="14" count="1">
            <x v="350"/>
          </reference>
        </references>
      </pivotArea>
    </format>
    <format dxfId="7775">
      <pivotArea dataOnly="0" labelOnly="1" outline="0" fieldPosition="0">
        <references count="2">
          <reference field="11" count="1" selected="0">
            <x v="171"/>
          </reference>
          <reference field="14" count="1" defaultSubtotal="1">
            <x v="350"/>
          </reference>
        </references>
      </pivotArea>
    </format>
    <format dxfId="7774">
      <pivotArea dataOnly="0" labelOnly="1" outline="0" fieldPosition="0">
        <references count="2">
          <reference field="11" count="1" selected="0">
            <x v="172"/>
          </reference>
          <reference field="14" count="1">
            <x v="231"/>
          </reference>
        </references>
      </pivotArea>
    </format>
    <format dxfId="7773">
      <pivotArea dataOnly="0" labelOnly="1" outline="0" fieldPosition="0">
        <references count="2">
          <reference field="11" count="1" selected="0">
            <x v="172"/>
          </reference>
          <reference field="14" count="1" defaultSubtotal="1">
            <x v="231"/>
          </reference>
        </references>
      </pivotArea>
    </format>
    <format dxfId="7772">
      <pivotArea dataOnly="0" labelOnly="1" outline="0" fieldPosition="0">
        <references count="2">
          <reference field="11" count="1" selected="0">
            <x v="173"/>
          </reference>
          <reference field="14" count="1">
            <x v="174"/>
          </reference>
        </references>
      </pivotArea>
    </format>
    <format dxfId="7771">
      <pivotArea dataOnly="0" labelOnly="1" outline="0" fieldPosition="0">
        <references count="2">
          <reference field="11" count="1" selected="0">
            <x v="173"/>
          </reference>
          <reference field="14" count="1" defaultSubtotal="1">
            <x v="174"/>
          </reference>
        </references>
      </pivotArea>
    </format>
    <format dxfId="7770">
      <pivotArea dataOnly="0" labelOnly="1" outline="0" fieldPosition="0">
        <references count="2">
          <reference field="11" count="1" selected="0">
            <x v="174"/>
          </reference>
          <reference field="14" count="1">
            <x v="173"/>
          </reference>
        </references>
      </pivotArea>
    </format>
    <format dxfId="7769">
      <pivotArea dataOnly="0" labelOnly="1" outline="0" fieldPosition="0">
        <references count="2">
          <reference field="11" count="1" selected="0">
            <x v="174"/>
          </reference>
          <reference field="14" count="1" defaultSubtotal="1">
            <x v="173"/>
          </reference>
        </references>
      </pivotArea>
    </format>
    <format dxfId="7768">
      <pivotArea dataOnly="0" labelOnly="1" outline="0" fieldPosition="0">
        <references count="2">
          <reference field="11" count="1" selected="0">
            <x v="175"/>
          </reference>
          <reference field="14" count="1">
            <x v="471"/>
          </reference>
        </references>
      </pivotArea>
    </format>
    <format dxfId="7767">
      <pivotArea dataOnly="0" labelOnly="1" outline="0" fieldPosition="0">
        <references count="2">
          <reference field="11" count="1" selected="0">
            <x v="175"/>
          </reference>
          <reference field="14" count="1" defaultSubtotal="1">
            <x v="471"/>
          </reference>
        </references>
      </pivotArea>
    </format>
    <format dxfId="7766">
      <pivotArea dataOnly="0" labelOnly="1" outline="0" fieldPosition="0">
        <references count="2">
          <reference field="11" count="1" selected="0">
            <x v="176"/>
          </reference>
          <reference field="14" count="1">
            <x v="362"/>
          </reference>
        </references>
      </pivotArea>
    </format>
    <format dxfId="7765">
      <pivotArea dataOnly="0" labelOnly="1" outline="0" fieldPosition="0">
        <references count="2">
          <reference field="11" count="1" selected="0">
            <x v="176"/>
          </reference>
          <reference field="14" count="1" defaultSubtotal="1">
            <x v="362"/>
          </reference>
        </references>
      </pivotArea>
    </format>
    <format dxfId="7764">
      <pivotArea dataOnly="0" labelOnly="1" outline="0" fieldPosition="0">
        <references count="2">
          <reference field="11" count="1" selected="0">
            <x v="177"/>
          </reference>
          <reference field="14" count="1">
            <x v="279"/>
          </reference>
        </references>
      </pivotArea>
    </format>
    <format dxfId="7763">
      <pivotArea dataOnly="0" labelOnly="1" outline="0" fieldPosition="0">
        <references count="2">
          <reference field="11" count="1" selected="0">
            <x v="177"/>
          </reference>
          <reference field="14" count="1" defaultSubtotal="1">
            <x v="279"/>
          </reference>
        </references>
      </pivotArea>
    </format>
    <format dxfId="7762">
      <pivotArea dataOnly="0" labelOnly="1" outline="0" fieldPosition="0">
        <references count="2">
          <reference field="11" count="1" selected="0">
            <x v="178"/>
          </reference>
          <reference field="14" count="1">
            <x v="282"/>
          </reference>
        </references>
      </pivotArea>
    </format>
    <format dxfId="7761">
      <pivotArea dataOnly="0" labelOnly="1" outline="0" fieldPosition="0">
        <references count="2">
          <reference field="11" count="1" selected="0">
            <x v="178"/>
          </reference>
          <reference field="14" count="1" defaultSubtotal="1">
            <x v="282"/>
          </reference>
        </references>
      </pivotArea>
    </format>
    <format dxfId="7760">
      <pivotArea dataOnly="0" labelOnly="1" outline="0" fieldPosition="0">
        <references count="2">
          <reference field="11" count="1" selected="0">
            <x v="179"/>
          </reference>
          <reference field="14" count="1">
            <x v="276"/>
          </reference>
        </references>
      </pivotArea>
    </format>
    <format dxfId="7759">
      <pivotArea dataOnly="0" labelOnly="1" outline="0" fieldPosition="0">
        <references count="2">
          <reference field="11" count="1" selected="0">
            <x v="179"/>
          </reference>
          <reference field="14" count="1" defaultSubtotal="1">
            <x v="276"/>
          </reference>
        </references>
      </pivotArea>
    </format>
    <format dxfId="7758">
      <pivotArea dataOnly="0" labelOnly="1" outline="0" fieldPosition="0">
        <references count="2">
          <reference field="11" count="1" selected="0">
            <x v="180"/>
          </reference>
          <reference field="14" count="1">
            <x v="439"/>
          </reference>
        </references>
      </pivotArea>
    </format>
    <format dxfId="7757">
      <pivotArea dataOnly="0" labelOnly="1" outline="0" fieldPosition="0">
        <references count="2">
          <reference field="11" count="1" selected="0">
            <x v="180"/>
          </reference>
          <reference field="14" count="1" defaultSubtotal="1">
            <x v="439"/>
          </reference>
        </references>
      </pivotArea>
    </format>
    <format dxfId="7756">
      <pivotArea dataOnly="0" labelOnly="1" outline="0" fieldPosition="0">
        <references count="2">
          <reference field="11" count="1" selected="0">
            <x v="181"/>
          </reference>
          <reference field="14" count="1">
            <x v="281"/>
          </reference>
        </references>
      </pivotArea>
    </format>
    <format dxfId="7755">
      <pivotArea dataOnly="0" labelOnly="1" outline="0" fieldPosition="0">
        <references count="2">
          <reference field="11" count="1" selected="0">
            <x v="181"/>
          </reference>
          <reference field="14" count="1" defaultSubtotal="1">
            <x v="281"/>
          </reference>
        </references>
      </pivotArea>
    </format>
    <format dxfId="7754">
      <pivotArea dataOnly="0" labelOnly="1" outline="0" fieldPosition="0">
        <references count="2">
          <reference field="11" count="1" selected="0">
            <x v="182"/>
          </reference>
          <reference field="14" count="1">
            <x v="118"/>
          </reference>
        </references>
      </pivotArea>
    </format>
    <format dxfId="7753">
      <pivotArea dataOnly="0" labelOnly="1" outline="0" fieldPosition="0">
        <references count="2">
          <reference field="11" count="1" selected="0">
            <x v="182"/>
          </reference>
          <reference field="14" count="1" defaultSubtotal="1">
            <x v="118"/>
          </reference>
        </references>
      </pivotArea>
    </format>
    <format dxfId="7752">
      <pivotArea dataOnly="0" labelOnly="1" outline="0" fieldPosition="0">
        <references count="2">
          <reference field="11" count="1" selected="0">
            <x v="183"/>
          </reference>
          <reference field="14" count="1">
            <x v="386"/>
          </reference>
        </references>
      </pivotArea>
    </format>
    <format dxfId="7751">
      <pivotArea dataOnly="0" labelOnly="1" outline="0" fieldPosition="0">
        <references count="2">
          <reference field="11" count="1" selected="0">
            <x v="183"/>
          </reference>
          <reference field="14" count="1" defaultSubtotal="1">
            <x v="386"/>
          </reference>
        </references>
      </pivotArea>
    </format>
    <format dxfId="7750">
      <pivotArea dataOnly="0" labelOnly="1" outline="0" fieldPosition="0">
        <references count="2">
          <reference field="11" count="1" selected="0">
            <x v="184"/>
          </reference>
          <reference field="14" count="1">
            <x v="388"/>
          </reference>
        </references>
      </pivotArea>
    </format>
    <format dxfId="7749">
      <pivotArea dataOnly="0" labelOnly="1" outline="0" fieldPosition="0">
        <references count="2">
          <reference field="11" count="1" selected="0">
            <x v="184"/>
          </reference>
          <reference field="14" count="1" defaultSubtotal="1">
            <x v="388"/>
          </reference>
        </references>
      </pivotArea>
    </format>
    <format dxfId="7748">
      <pivotArea dataOnly="0" labelOnly="1" outline="0" fieldPosition="0">
        <references count="2">
          <reference field="11" count="1" selected="0">
            <x v="185"/>
          </reference>
          <reference field="14" count="1">
            <x v="387"/>
          </reference>
        </references>
      </pivotArea>
    </format>
    <format dxfId="7747">
      <pivotArea dataOnly="0" labelOnly="1" outline="0" fieldPosition="0">
        <references count="2">
          <reference field="11" count="1" selected="0">
            <x v="185"/>
          </reference>
          <reference field="14" count="1" defaultSubtotal="1">
            <x v="387"/>
          </reference>
        </references>
      </pivotArea>
    </format>
    <format dxfId="7746">
      <pivotArea dataOnly="0" labelOnly="1" outline="0" fieldPosition="0">
        <references count="2">
          <reference field="11" count="1" selected="0">
            <x v="186"/>
          </reference>
          <reference field="14" count="1">
            <x v="343"/>
          </reference>
        </references>
      </pivotArea>
    </format>
    <format dxfId="7745">
      <pivotArea dataOnly="0" labelOnly="1" outline="0" fieldPosition="0">
        <references count="2">
          <reference field="11" count="1" selected="0">
            <x v="186"/>
          </reference>
          <reference field="14" count="1" defaultSubtotal="1">
            <x v="343"/>
          </reference>
        </references>
      </pivotArea>
    </format>
    <format dxfId="7744">
      <pivotArea dataOnly="0" labelOnly="1" outline="0" fieldPosition="0">
        <references count="2">
          <reference field="11" count="1" selected="0">
            <x v="187"/>
          </reference>
          <reference field="14" count="1">
            <x v="249"/>
          </reference>
        </references>
      </pivotArea>
    </format>
    <format dxfId="7743">
      <pivotArea dataOnly="0" labelOnly="1" outline="0" fieldPosition="0">
        <references count="2">
          <reference field="11" count="1" selected="0">
            <x v="187"/>
          </reference>
          <reference field="14" count="1" defaultSubtotal="1">
            <x v="249"/>
          </reference>
        </references>
      </pivotArea>
    </format>
    <format dxfId="7742">
      <pivotArea dataOnly="0" labelOnly="1" outline="0" fieldPosition="0">
        <references count="2">
          <reference field="11" count="1" selected="0">
            <x v="188"/>
          </reference>
          <reference field="14" count="1">
            <x v="385"/>
          </reference>
        </references>
      </pivotArea>
    </format>
    <format dxfId="7741">
      <pivotArea dataOnly="0" labelOnly="1" outline="0" fieldPosition="0">
        <references count="2">
          <reference field="11" count="1" selected="0">
            <x v="188"/>
          </reference>
          <reference field="14" count="1" defaultSubtotal="1">
            <x v="385"/>
          </reference>
        </references>
      </pivotArea>
    </format>
    <format dxfId="7740">
      <pivotArea dataOnly="0" labelOnly="1" outline="0" fieldPosition="0">
        <references count="2">
          <reference field="11" count="1" selected="0">
            <x v="189"/>
          </reference>
          <reference field="14" count="1">
            <x v="184"/>
          </reference>
        </references>
      </pivotArea>
    </format>
    <format dxfId="7739">
      <pivotArea dataOnly="0" labelOnly="1" outline="0" fieldPosition="0">
        <references count="2">
          <reference field="11" count="1" selected="0">
            <x v="189"/>
          </reference>
          <reference field="14" count="1" defaultSubtotal="1">
            <x v="184"/>
          </reference>
        </references>
      </pivotArea>
    </format>
    <format dxfId="7738">
      <pivotArea dataOnly="0" labelOnly="1" outline="0" fieldPosition="0">
        <references count="2">
          <reference field="11" count="1" selected="0">
            <x v="190"/>
          </reference>
          <reference field="14" count="1">
            <x v="394"/>
          </reference>
        </references>
      </pivotArea>
    </format>
    <format dxfId="7737">
      <pivotArea dataOnly="0" labelOnly="1" outline="0" fieldPosition="0">
        <references count="2">
          <reference field="11" count="1" selected="0">
            <x v="190"/>
          </reference>
          <reference field="14" count="1" defaultSubtotal="1">
            <x v="394"/>
          </reference>
        </references>
      </pivotArea>
    </format>
    <format dxfId="7736">
      <pivotArea dataOnly="0" labelOnly="1" outline="0" fieldPosition="0">
        <references count="2">
          <reference field="11" count="1" selected="0">
            <x v="191"/>
          </reference>
          <reference field="14" count="1">
            <x v="103"/>
          </reference>
        </references>
      </pivotArea>
    </format>
    <format dxfId="7735">
      <pivotArea dataOnly="0" labelOnly="1" outline="0" fieldPosition="0">
        <references count="2">
          <reference field="11" count="1" selected="0">
            <x v="191"/>
          </reference>
          <reference field="14" count="1" defaultSubtotal="1">
            <x v="103"/>
          </reference>
        </references>
      </pivotArea>
    </format>
    <format dxfId="7734">
      <pivotArea dataOnly="0" labelOnly="1" outline="0" fieldPosition="0">
        <references count="2">
          <reference field="11" count="1" selected="0">
            <x v="192"/>
          </reference>
          <reference field="14" count="1">
            <x v="102"/>
          </reference>
        </references>
      </pivotArea>
    </format>
    <format dxfId="7733">
      <pivotArea dataOnly="0" labelOnly="1" outline="0" fieldPosition="0">
        <references count="2">
          <reference field="11" count="1" selected="0">
            <x v="192"/>
          </reference>
          <reference field="14" count="1" defaultSubtotal="1">
            <x v="102"/>
          </reference>
        </references>
      </pivotArea>
    </format>
    <format dxfId="7732">
      <pivotArea dataOnly="0" labelOnly="1" outline="0" fieldPosition="0">
        <references count="2">
          <reference field="11" count="1" selected="0">
            <x v="193"/>
          </reference>
          <reference field="14" count="1">
            <x v="14"/>
          </reference>
        </references>
      </pivotArea>
    </format>
    <format dxfId="7731">
      <pivotArea dataOnly="0" labelOnly="1" outline="0" fieldPosition="0">
        <references count="2">
          <reference field="11" count="1" selected="0">
            <x v="193"/>
          </reference>
          <reference field="14" count="1" defaultSubtotal="1">
            <x v="14"/>
          </reference>
        </references>
      </pivotArea>
    </format>
    <format dxfId="7730">
      <pivotArea dataOnly="0" labelOnly="1" outline="0" fieldPosition="0">
        <references count="2">
          <reference field="11" count="1" selected="0">
            <x v="194"/>
          </reference>
          <reference field="14" count="1">
            <x v="188"/>
          </reference>
        </references>
      </pivotArea>
    </format>
    <format dxfId="7729">
      <pivotArea dataOnly="0" labelOnly="1" outline="0" fieldPosition="0">
        <references count="2">
          <reference field="11" count="1" selected="0">
            <x v="194"/>
          </reference>
          <reference field="14" count="1" defaultSubtotal="1">
            <x v="188"/>
          </reference>
        </references>
      </pivotArea>
    </format>
    <format dxfId="7728">
      <pivotArea dataOnly="0" labelOnly="1" outline="0" fieldPosition="0">
        <references count="2">
          <reference field="11" count="1" selected="0">
            <x v="195"/>
          </reference>
          <reference field="14" count="1">
            <x v="396"/>
          </reference>
        </references>
      </pivotArea>
    </format>
    <format dxfId="7727">
      <pivotArea dataOnly="0" labelOnly="1" outline="0" fieldPosition="0">
        <references count="2">
          <reference field="11" count="1" selected="0">
            <x v="195"/>
          </reference>
          <reference field="14" count="1" defaultSubtotal="1">
            <x v="396"/>
          </reference>
        </references>
      </pivotArea>
    </format>
    <format dxfId="7726">
      <pivotArea dataOnly="0" labelOnly="1" outline="0" fieldPosition="0">
        <references count="2">
          <reference field="11" count="1" selected="0">
            <x v="196"/>
          </reference>
          <reference field="14" count="1">
            <x v="25"/>
          </reference>
        </references>
      </pivotArea>
    </format>
    <format dxfId="7725">
      <pivotArea dataOnly="0" labelOnly="1" outline="0" fieldPosition="0">
        <references count="2">
          <reference field="11" count="1" selected="0">
            <x v="196"/>
          </reference>
          <reference field="14" count="1" defaultSubtotal="1">
            <x v="25"/>
          </reference>
        </references>
      </pivotArea>
    </format>
    <format dxfId="7724">
      <pivotArea dataOnly="0" labelOnly="1" outline="0" fieldPosition="0">
        <references count="2">
          <reference field="11" count="1" selected="0">
            <x v="197"/>
          </reference>
          <reference field="14" count="1">
            <x v="26"/>
          </reference>
        </references>
      </pivotArea>
    </format>
    <format dxfId="7723">
      <pivotArea dataOnly="0" labelOnly="1" outline="0" fieldPosition="0">
        <references count="2">
          <reference field="11" count="1" selected="0">
            <x v="197"/>
          </reference>
          <reference field="14" count="1" defaultSubtotal="1">
            <x v="26"/>
          </reference>
        </references>
      </pivotArea>
    </format>
    <format dxfId="7722">
      <pivotArea dataOnly="0" labelOnly="1" outline="0" fieldPosition="0">
        <references count="2">
          <reference field="11" count="1" selected="0">
            <x v="198"/>
          </reference>
          <reference field="14" count="1">
            <x v="43"/>
          </reference>
        </references>
      </pivotArea>
    </format>
    <format dxfId="7721">
      <pivotArea dataOnly="0" labelOnly="1" outline="0" fieldPosition="0">
        <references count="2">
          <reference field="11" count="1" selected="0">
            <x v="198"/>
          </reference>
          <reference field="14" count="1" defaultSubtotal="1">
            <x v="43"/>
          </reference>
        </references>
      </pivotArea>
    </format>
    <format dxfId="7720">
      <pivotArea dataOnly="0" labelOnly="1" outline="0" fieldPosition="0">
        <references count="2">
          <reference field="11" count="1" selected="0">
            <x v="199"/>
          </reference>
          <reference field="14" count="1">
            <x v="113"/>
          </reference>
        </references>
      </pivotArea>
    </format>
    <format dxfId="7719">
      <pivotArea dataOnly="0" labelOnly="1" outline="0" fieldPosition="0">
        <references count="2">
          <reference field="11" count="1" selected="0">
            <x v="199"/>
          </reference>
          <reference field="14" count="1" defaultSubtotal="1">
            <x v="113"/>
          </reference>
        </references>
      </pivotArea>
    </format>
    <format dxfId="7718">
      <pivotArea dataOnly="0" labelOnly="1" outline="0" fieldPosition="0">
        <references count="2">
          <reference field="11" count="1" selected="0">
            <x v="200"/>
          </reference>
          <reference field="14" count="1">
            <x v="280"/>
          </reference>
        </references>
      </pivotArea>
    </format>
    <format dxfId="7717">
      <pivotArea dataOnly="0" labelOnly="1" outline="0" fieldPosition="0">
        <references count="2">
          <reference field="11" count="1" selected="0">
            <x v="200"/>
          </reference>
          <reference field="14" count="1" defaultSubtotal="1">
            <x v="280"/>
          </reference>
        </references>
      </pivotArea>
    </format>
    <format dxfId="7716">
      <pivotArea dataOnly="0" labelOnly="1" outline="0" fieldPosition="0">
        <references count="2">
          <reference field="11" count="1" selected="0">
            <x v="201"/>
          </reference>
          <reference field="14" count="1">
            <x v="305"/>
          </reference>
        </references>
      </pivotArea>
    </format>
    <format dxfId="7715">
      <pivotArea dataOnly="0" labelOnly="1" outline="0" fieldPosition="0">
        <references count="2">
          <reference field="11" count="1" selected="0">
            <x v="201"/>
          </reference>
          <reference field="14" count="1" defaultSubtotal="1">
            <x v="305"/>
          </reference>
        </references>
      </pivotArea>
    </format>
    <format dxfId="7714">
      <pivotArea dataOnly="0" labelOnly="1" outline="0" fieldPosition="0">
        <references count="2">
          <reference field="11" count="1" selected="0">
            <x v="202"/>
          </reference>
          <reference field="14" count="1">
            <x v="409"/>
          </reference>
        </references>
      </pivotArea>
    </format>
    <format dxfId="7713">
      <pivotArea dataOnly="0" labelOnly="1" outline="0" fieldPosition="0">
        <references count="2">
          <reference field="11" count="1" selected="0">
            <x v="202"/>
          </reference>
          <reference field="14" count="1" defaultSubtotal="1">
            <x v="409"/>
          </reference>
        </references>
      </pivotArea>
    </format>
    <format dxfId="7712">
      <pivotArea dataOnly="0" labelOnly="1" outline="0" fieldPosition="0">
        <references count="2">
          <reference field="11" count="1" selected="0">
            <x v="203"/>
          </reference>
          <reference field="14" count="1">
            <x v="28"/>
          </reference>
        </references>
      </pivotArea>
    </format>
    <format dxfId="7711">
      <pivotArea dataOnly="0" labelOnly="1" outline="0" fieldPosition="0">
        <references count="2">
          <reference field="11" count="1" selected="0">
            <x v="203"/>
          </reference>
          <reference field="14" count="1" defaultSubtotal="1">
            <x v="28"/>
          </reference>
        </references>
      </pivotArea>
    </format>
    <format dxfId="7710">
      <pivotArea dataOnly="0" labelOnly="1" outline="0" fieldPosition="0">
        <references count="2">
          <reference field="11" count="1" selected="0">
            <x v="204"/>
          </reference>
          <reference field="14" count="1">
            <x v="269"/>
          </reference>
        </references>
      </pivotArea>
    </format>
    <format dxfId="7709">
      <pivotArea dataOnly="0" labelOnly="1" outline="0" fieldPosition="0">
        <references count="2">
          <reference field="11" count="1" selected="0">
            <x v="204"/>
          </reference>
          <reference field="14" count="1" defaultSubtotal="1">
            <x v="269"/>
          </reference>
        </references>
      </pivotArea>
    </format>
    <format dxfId="7708">
      <pivotArea dataOnly="0" labelOnly="1" outline="0" fieldPosition="0">
        <references count="2">
          <reference field="11" count="1" selected="0">
            <x v="205"/>
          </reference>
          <reference field="14" count="1">
            <x v="185"/>
          </reference>
        </references>
      </pivotArea>
    </format>
    <format dxfId="7707">
      <pivotArea dataOnly="0" labelOnly="1" outline="0" fieldPosition="0">
        <references count="2">
          <reference field="11" count="1" selected="0">
            <x v="205"/>
          </reference>
          <reference field="14" count="1" defaultSubtotal="1">
            <x v="185"/>
          </reference>
        </references>
      </pivotArea>
    </format>
    <format dxfId="7706">
      <pivotArea dataOnly="0" labelOnly="1" outline="0" fieldPosition="0">
        <references count="2">
          <reference field="11" count="1" selected="0">
            <x v="206"/>
          </reference>
          <reference field="14" count="1">
            <x v="54"/>
          </reference>
        </references>
      </pivotArea>
    </format>
    <format dxfId="7705">
      <pivotArea dataOnly="0" labelOnly="1" outline="0" fieldPosition="0">
        <references count="2">
          <reference field="11" count="1" selected="0">
            <x v="206"/>
          </reference>
          <reference field="14" count="1" defaultSubtotal="1">
            <x v="54"/>
          </reference>
        </references>
      </pivotArea>
    </format>
    <format dxfId="7704">
      <pivotArea dataOnly="0" labelOnly="1" outline="0" fieldPosition="0">
        <references count="2">
          <reference field="11" count="1" selected="0">
            <x v="207"/>
          </reference>
          <reference field="14" count="1">
            <x v="356"/>
          </reference>
        </references>
      </pivotArea>
    </format>
    <format dxfId="7703">
      <pivotArea dataOnly="0" labelOnly="1" outline="0" fieldPosition="0">
        <references count="2">
          <reference field="11" count="1" selected="0">
            <x v="207"/>
          </reference>
          <reference field="14" count="1" defaultSubtotal="1">
            <x v="356"/>
          </reference>
        </references>
      </pivotArea>
    </format>
    <format dxfId="7702">
      <pivotArea dataOnly="0" labelOnly="1" outline="0" fieldPosition="0">
        <references count="2">
          <reference field="11" count="1" selected="0">
            <x v="208"/>
          </reference>
          <reference field="14" count="1">
            <x v="186"/>
          </reference>
        </references>
      </pivotArea>
    </format>
    <format dxfId="7701">
      <pivotArea dataOnly="0" labelOnly="1" outline="0" fieldPosition="0">
        <references count="2">
          <reference field="11" count="1" selected="0">
            <x v="208"/>
          </reference>
          <reference field="14" count="1" defaultSubtotal="1">
            <x v="186"/>
          </reference>
        </references>
      </pivotArea>
    </format>
    <format dxfId="7700">
      <pivotArea dataOnly="0" labelOnly="1" outline="0" fieldPosition="0">
        <references count="2">
          <reference field="11" count="1" selected="0">
            <x v="209"/>
          </reference>
          <reference field="14" count="1">
            <x v="37"/>
          </reference>
        </references>
      </pivotArea>
    </format>
    <format dxfId="7699">
      <pivotArea dataOnly="0" labelOnly="1" outline="0" fieldPosition="0">
        <references count="2">
          <reference field="11" count="1" selected="0">
            <x v="209"/>
          </reference>
          <reference field="14" count="1" defaultSubtotal="1">
            <x v="37"/>
          </reference>
        </references>
      </pivotArea>
    </format>
    <format dxfId="7698">
      <pivotArea dataOnly="0" labelOnly="1" outline="0" fieldPosition="0">
        <references count="2">
          <reference field="11" count="1" selected="0">
            <x v="210"/>
          </reference>
          <reference field="14" count="1">
            <x v="273"/>
          </reference>
        </references>
      </pivotArea>
    </format>
    <format dxfId="7697">
      <pivotArea dataOnly="0" labelOnly="1" outline="0" fieldPosition="0">
        <references count="2">
          <reference field="11" count="1" selected="0">
            <x v="210"/>
          </reference>
          <reference field="14" count="1" defaultSubtotal="1">
            <x v="273"/>
          </reference>
        </references>
      </pivotArea>
    </format>
    <format dxfId="7696">
      <pivotArea dataOnly="0" labelOnly="1" outline="0" fieldPosition="0">
        <references count="2">
          <reference field="11" count="1" selected="0">
            <x v="211"/>
          </reference>
          <reference field="14" count="1">
            <x v="142"/>
          </reference>
        </references>
      </pivotArea>
    </format>
    <format dxfId="7695">
      <pivotArea dataOnly="0" labelOnly="1" outline="0" fieldPosition="0">
        <references count="2">
          <reference field="11" count="1" selected="0">
            <x v="211"/>
          </reference>
          <reference field="14" count="1" defaultSubtotal="1">
            <x v="142"/>
          </reference>
        </references>
      </pivotArea>
    </format>
    <format dxfId="7694">
      <pivotArea dataOnly="0" labelOnly="1" outline="0" fieldPosition="0">
        <references count="2">
          <reference field="11" count="1" selected="0">
            <x v="212"/>
          </reference>
          <reference field="14" count="1">
            <x v="294"/>
          </reference>
        </references>
      </pivotArea>
    </format>
    <format dxfId="7693">
      <pivotArea dataOnly="0" labelOnly="1" outline="0" fieldPosition="0">
        <references count="2">
          <reference field="11" count="1" selected="0">
            <x v="212"/>
          </reference>
          <reference field="14" count="1" defaultSubtotal="1">
            <x v="294"/>
          </reference>
        </references>
      </pivotArea>
    </format>
    <format dxfId="7692">
      <pivotArea dataOnly="0" labelOnly="1" outline="0" fieldPosition="0">
        <references count="2">
          <reference field="11" count="1" selected="0">
            <x v="213"/>
          </reference>
          <reference field="14" count="1">
            <x v="5"/>
          </reference>
        </references>
      </pivotArea>
    </format>
    <format dxfId="7691">
      <pivotArea dataOnly="0" labelOnly="1" outline="0" fieldPosition="0">
        <references count="2">
          <reference field="11" count="1" selected="0">
            <x v="213"/>
          </reference>
          <reference field="14" count="1" defaultSubtotal="1">
            <x v="5"/>
          </reference>
        </references>
      </pivotArea>
    </format>
    <format dxfId="7690">
      <pivotArea dataOnly="0" labelOnly="1" outline="0" fieldPosition="0">
        <references count="2">
          <reference field="11" count="1" selected="0">
            <x v="214"/>
          </reference>
          <reference field="14" count="1">
            <x v="98"/>
          </reference>
        </references>
      </pivotArea>
    </format>
    <format dxfId="7689">
      <pivotArea dataOnly="0" labelOnly="1" outline="0" fieldPosition="0">
        <references count="2">
          <reference field="11" count="1" selected="0">
            <x v="214"/>
          </reference>
          <reference field="14" count="1" defaultSubtotal="1">
            <x v="98"/>
          </reference>
        </references>
      </pivotArea>
    </format>
    <format dxfId="7688">
      <pivotArea dataOnly="0" labelOnly="1" outline="0" fieldPosition="0">
        <references count="2">
          <reference field="11" count="1" selected="0">
            <x v="215"/>
          </reference>
          <reference field="14" count="1">
            <x v="158"/>
          </reference>
        </references>
      </pivotArea>
    </format>
    <format dxfId="7687">
      <pivotArea dataOnly="0" labelOnly="1" outline="0" fieldPosition="0">
        <references count="2">
          <reference field="11" count="1" selected="0">
            <x v="215"/>
          </reference>
          <reference field="14" count="1" defaultSubtotal="1">
            <x v="158"/>
          </reference>
        </references>
      </pivotArea>
    </format>
    <format dxfId="7686">
      <pivotArea dataOnly="0" labelOnly="1" outline="0" fieldPosition="0">
        <references count="2">
          <reference field="11" count="1" selected="0">
            <x v="216"/>
          </reference>
          <reference field="14" count="1">
            <x v="338"/>
          </reference>
        </references>
      </pivotArea>
    </format>
    <format dxfId="7685">
      <pivotArea dataOnly="0" labelOnly="1" outline="0" fieldPosition="0">
        <references count="2">
          <reference field="11" count="1" selected="0">
            <x v="216"/>
          </reference>
          <reference field="14" count="1" defaultSubtotal="1">
            <x v="338"/>
          </reference>
        </references>
      </pivotArea>
    </format>
    <format dxfId="7684">
      <pivotArea dataOnly="0" labelOnly="1" outline="0" fieldPosition="0">
        <references count="2">
          <reference field="11" count="1" selected="0">
            <x v="217"/>
          </reference>
          <reference field="14" count="1">
            <x v="438"/>
          </reference>
        </references>
      </pivotArea>
    </format>
    <format dxfId="7683">
      <pivotArea dataOnly="0" labelOnly="1" outline="0" fieldPosition="0">
        <references count="2">
          <reference field="11" count="1" selected="0">
            <x v="217"/>
          </reference>
          <reference field="14" count="1" defaultSubtotal="1">
            <x v="438"/>
          </reference>
        </references>
      </pivotArea>
    </format>
    <format dxfId="7682">
      <pivotArea dataOnly="0" labelOnly="1" outline="0" fieldPosition="0">
        <references count="2">
          <reference field="11" count="1" selected="0">
            <x v="218"/>
          </reference>
          <reference field="14" count="1">
            <x v="429"/>
          </reference>
        </references>
      </pivotArea>
    </format>
    <format dxfId="7681">
      <pivotArea dataOnly="0" labelOnly="1" outline="0" fieldPosition="0">
        <references count="2">
          <reference field="11" count="1" selected="0">
            <x v="218"/>
          </reference>
          <reference field="14" count="1" defaultSubtotal="1">
            <x v="429"/>
          </reference>
        </references>
      </pivotArea>
    </format>
    <format dxfId="7680">
      <pivotArea dataOnly="0" labelOnly="1" outline="0" fieldPosition="0">
        <references count="2">
          <reference field="11" count="1" selected="0">
            <x v="219"/>
          </reference>
          <reference field="14" count="1">
            <x v="431"/>
          </reference>
        </references>
      </pivotArea>
    </format>
    <format dxfId="7679">
      <pivotArea dataOnly="0" labelOnly="1" outline="0" fieldPosition="0">
        <references count="2">
          <reference field="11" count="1" selected="0">
            <x v="219"/>
          </reference>
          <reference field="14" count="1" defaultSubtotal="1">
            <x v="431"/>
          </reference>
        </references>
      </pivotArea>
    </format>
    <format dxfId="7678">
      <pivotArea dataOnly="0" labelOnly="1" outline="0" fieldPosition="0">
        <references count="2">
          <reference field="11" count="1" selected="0">
            <x v="220"/>
          </reference>
          <reference field="14" count="1">
            <x v="430"/>
          </reference>
        </references>
      </pivotArea>
    </format>
    <format dxfId="7677">
      <pivotArea dataOnly="0" labelOnly="1" outline="0" fieldPosition="0">
        <references count="2">
          <reference field="11" count="1" selected="0">
            <x v="220"/>
          </reference>
          <reference field="14" count="1" defaultSubtotal="1">
            <x v="430"/>
          </reference>
        </references>
      </pivotArea>
    </format>
    <format dxfId="7676">
      <pivotArea dataOnly="0" labelOnly="1" outline="0" fieldPosition="0">
        <references count="2">
          <reference field="11" count="1" selected="0">
            <x v="221"/>
          </reference>
          <reference field="14" count="1">
            <x v="427"/>
          </reference>
        </references>
      </pivotArea>
    </format>
    <format dxfId="7675">
      <pivotArea dataOnly="0" labelOnly="1" outline="0" fieldPosition="0">
        <references count="2">
          <reference field="11" count="1" selected="0">
            <x v="221"/>
          </reference>
          <reference field="14" count="1" defaultSubtotal="1">
            <x v="427"/>
          </reference>
        </references>
      </pivotArea>
    </format>
    <format dxfId="7674">
      <pivotArea dataOnly="0" labelOnly="1" outline="0" fieldPosition="0">
        <references count="2">
          <reference field="11" count="1" selected="0">
            <x v="222"/>
          </reference>
          <reference field="14" count="1">
            <x v="426"/>
          </reference>
        </references>
      </pivotArea>
    </format>
    <format dxfId="7673">
      <pivotArea dataOnly="0" labelOnly="1" outline="0" fieldPosition="0">
        <references count="2">
          <reference field="11" count="1" selected="0">
            <x v="222"/>
          </reference>
          <reference field="14" count="1" defaultSubtotal="1">
            <x v="426"/>
          </reference>
        </references>
      </pivotArea>
    </format>
    <format dxfId="7672">
      <pivotArea dataOnly="0" labelOnly="1" outline="0" fieldPosition="0">
        <references count="2">
          <reference field="11" count="1" selected="0">
            <x v="223"/>
          </reference>
          <reference field="14" count="1">
            <x v="416"/>
          </reference>
        </references>
      </pivotArea>
    </format>
    <format dxfId="7671">
      <pivotArea dataOnly="0" labelOnly="1" outline="0" fieldPosition="0">
        <references count="2">
          <reference field="11" count="1" selected="0">
            <x v="223"/>
          </reference>
          <reference field="14" count="1" defaultSubtotal="1">
            <x v="416"/>
          </reference>
        </references>
      </pivotArea>
    </format>
    <format dxfId="7670">
      <pivotArea dataOnly="0" labelOnly="1" outline="0" fieldPosition="0">
        <references count="2">
          <reference field="11" count="1" selected="0">
            <x v="224"/>
          </reference>
          <reference field="14" count="1">
            <x v="300"/>
          </reference>
        </references>
      </pivotArea>
    </format>
    <format dxfId="7669">
      <pivotArea dataOnly="0" labelOnly="1" outline="0" fieldPosition="0">
        <references count="2">
          <reference field="11" count="1" selected="0">
            <x v="224"/>
          </reference>
          <reference field="14" count="1" defaultSubtotal="1">
            <x v="300"/>
          </reference>
        </references>
      </pivotArea>
    </format>
    <format dxfId="7668">
      <pivotArea dataOnly="0" labelOnly="1" outline="0" fieldPosition="0">
        <references count="2">
          <reference field="11" count="1" selected="0">
            <x v="225"/>
          </reference>
          <reference field="14" count="1">
            <x v="97"/>
          </reference>
        </references>
      </pivotArea>
    </format>
    <format dxfId="7667">
      <pivotArea dataOnly="0" labelOnly="1" outline="0" fieldPosition="0">
        <references count="2">
          <reference field="11" count="1" selected="0">
            <x v="225"/>
          </reference>
          <reference field="14" count="1" defaultSubtotal="1">
            <x v="97"/>
          </reference>
        </references>
      </pivotArea>
    </format>
    <format dxfId="7666">
      <pivotArea dataOnly="0" labelOnly="1" outline="0" fieldPosition="0">
        <references count="2">
          <reference field="11" count="1" selected="0">
            <x v="226"/>
          </reference>
          <reference field="14" count="1">
            <x v="72"/>
          </reference>
        </references>
      </pivotArea>
    </format>
    <format dxfId="7665">
      <pivotArea dataOnly="0" labelOnly="1" outline="0" fieldPosition="0">
        <references count="2">
          <reference field="11" count="1" selected="0">
            <x v="226"/>
          </reference>
          <reference field="14" count="1" defaultSubtotal="1">
            <x v="72"/>
          </reference>
        </references>
      </pivotArea>
    </format>
    <format dxfId="7664">
      <pivotArea dataOnly="0" labelOnly="1" outline="0" fieldPosition="0">
        <references count="2">
          <reference field="11" count="1" selected="0">
            <x v="227"/>
          </reference>
          <reference field="14" count="1">
            <x v="420"/>
          </reference>
        </references>
      </pivotArea>
    </format>
    <format dxfId="7663">
      <pivotArea dataOnly="0" labelOnly="1" outline="0" fieldPosition="0">
        <references count="2">
          <reference field="11" count="1" selected="0">
            <x v="227"/>
          </reference>
          <reference field="14" count="1" defaultSubtotal="1">
            <x v="420"/>
          </reference>
        </references>
      </pivotArea>
    </format>
    <format dxfId="7662">
      <pivotArea dataOnly="0" labelOnly="1" outline="0" fieldPosition="0">
        <references count="2">
          <reference field="11" count="1" selected="0">
            <x v="228"/>
          </reference>
          <reference field="14" count="1">
            <x v="313"/>
          </reference>
        </references>
      </pivotArea>
    </format>
    <format dxfId="7661">
      <pivotArea dataOnly="0" labelOnly="1" outline="0" fieldPosition="0">
        <references count="2">
          <reference field="11" count="1" selected="0">
            <x v="228"/>
          </reference>
          <reference field="14" count="1" defaultSubtotal="1">
            <x v="313"/>
          </reference>
        </references>
      </pivotArea>
    </format>
    <format dxfId="7660">
      <pivotArea dataOnly="0" labelOnly="1" outline="0" fieldPosition="0">
        <references count="2">
          <reference field="11" count="1" selected="0">
            <x v="229"/>
          </reference>
          <reference field="14" count="1">
            <x v="307"/>
          </reference>
        </references>
      </pivotArea>
    </format>
    <format dxfId="7659">
      <pivotArea dataOnly="0" labelOnly="1" outline="0" fieldPosition="0">
        <references count="2">
          <reference field="11" count="1" selected="0">
            <x v="229"/>
          </reference>
          <reference field="14" count="1" defaultSubtotal="1">
            <x v="307"/>
          </reference>
        </references>
      </pivotArea>
    </format>
    <format dxfId="7658">
      <pivotArea dataOnly="0" labelOnly="1" outline="0" fieldPosition="0">
        <references count="2">
          <reference field="11" count="1" selected="0">
            <x v="230"/>
          </reference>
          <reference field="14" count="1">
            <x v="13"/>
          </reference>
        </references>
      </pivotArea>
    </format>
    <format dxfId="7657">
      <pivotArea dataOnly="0" labelOnly="1" outline="0" fieldPosition="0">
        <references count="2">
          <reference field="11" count="1" selected="0">
            <x v="230"/>
          </reference>
          <reference field="14" count="1" defaultSubtotal="1">
            <x v="13"/>
          </reference>
        </references>
      </pivotArea>
    </format>
    <format dxfId="7656">
      <pivotArea dataOnly="0" labelOnly="1" outline="0" fieldPosition="0">
        <references count="2">
          <reference field="11" count="1" selected="0">
            <x v="231"/>
          </reference>
          <reference field="14" count="1">
            <x v="96"/>
          </reference>
        </references>
      </pivotArea>
    </format>
    <format dxfId="7655">
      <pivotArea dataOnly="0" labelOnly="1" outline="0" fieldPosition="0">
        <references count="2">
          <reference field="11" count="1" selected="0">
            <x v="231"/>
          </reference>
          <reference field="14" count="1" defaultSubtotal="1">
            <x v="96"/>
          </reference>
        </references>
      </pivotArea>
    </format>
    <format dxfId="7654">
      <pivotArea dataOnly="0" labelOnly="1" outline="0" fieldPosition="0">
        <references count="2">
          <reference field="11" count="1" selected="0">
            <x v="232"/>
          </reference>
          <reference field="14" count="1">
            <x v="411"/>
          </reference>
        </references>
      </pivotArea>
    </format>
    <format dxfId="7653">
      <pivotArea dataOnly="0" labelOnly="1" outline="0" fieldPosition="0">
        <references count="2">
          <reference field="11" count="1" selected="0">
            <x v="232"/>
          </reference>
          <reference field="14" count="1" defaultSubtotal="1">
            <x v="411"/>
          </reference>
        </references>
      </pivotArea>
    </format>
    <format dxfId="7652">
      <pivotArea dataOnly="0" labelOnly="1" outline="0" fieldPosition="0">
        <references count="2">
          <reference field="11" count="1" selected="0">
            <x v="233"/>
          </reference>
          <reference field="14" count="1">
            <x v="449"/>
          </reference>
        </references>
      </pivotArea>
    </format>
    <format dxfId="7651">
      <pivotArea dataOnly="0" labelOnly="1" outline="0" fieldPosition="0">
        <references count="2">
          <reference field="11" count="1" selected="0">
            <x v="233"/>
          </reference>
          <reference field="14" count="1" defaultSubtotal="1">
            <x v="449"/>
          </reference>
        </references>
      </pivotArea>
    </format>
    <format dxfId="7650">
      <pivotArea dataOnly="0" labelOnly="1" outline="0" fieldPosition="0">
        <references count="2">
          <reference field="11" count="1" selected="0">
            <x v="234"/>
          </reference>
          <reference field="14" count="1">
            <x v="277"/>
          </reference>
        </references>
      </pivotArea>
    </format>
    <format dxfId="7649">
      <pivotArea dataOnly="0" labelOnly="1" outline="0" fieldPosition="0">
        <references count="2">
          <reference field="11" count="1" selected="0">
            <x v="234"/>
          </reference>
          <reference field="14" count="1" defaultSubtotal="1">
            <x v="277"/>
          </reference>
        </references>
      </pivotArea>
    </format>
    <format dxfId="7648">
      <pivotArea dataOnly="0" labelOnly="1" outline="0" fieldPosition="0">
        <references count="2">
          <reference field="11" count="1" selected="0">
            <x v="235"/>
          </reference>
          <reference field="14" count="1">
            <x v="272"/>
          </reference>
        </references>
      </pivotArea>
    </format>
    <format dxfId="7647">
      <pivotArea dataOnly="0" labelOnly="1" outline="0" fieldPosition="0">
        <references count="2">
          <reference field="11" count="1" selected="0">
            <x v="235"/>
          </reference>
          <reference field="14" count="1" defaultSubtotal="1">
            <x v="272"/>
          </reference>
        </references>
      </pivotArea>
    </format>
    <format dxfId="7646">
      <pivotArea dataOnly="0" labelOnly="1" outline="0" fieldPosition="0">
        <references count="2">
          <reference field="11" count="1" selected="0">
            <x v="236"/>
          </reference>
          <reference field="14" count="1">
            <x v="403"/>
          </reference>
        </references>
      </pivotArea>
    </format>
    <format dxfId="7645">
      <pivotArea dataOnly="0" labelOnly="1" outline="0" fieldPosition="0">
        <references count="2">
          <reference field="11" count="1" selected="0">
            <x v="236"/>
          </reference>
          <reference field="14" count="1" defaultSubtotal="1">
            <x v="403"/>
          </reference>
        </references>
      </pivotArea>
    </format>
    <format dxfId="7644">
      <pivotArea dataOnly="0" labelOnly="1" outline="0" fieldPosition="0">
        <references count="2">
          <reference field="11" count="1" selected="0">
            <x v="237"/>
          </reference>
          <reference field="14" count="1">
            <x v="377"/>
          </reference>
        </references>
      </pivotArea>
    </format>
    <format dxfId="7643">
      <pivotArea dataOnly="0" labelOnly="1" outline="0" fieldPosition="0">
        <references count="2">
          <reference field="11" count="1" selected="0">
            <x v="237"/>
          </reference>
          <reference field="14" count="1" defaultSubtotal="1">
            <x v="377"/>
          </reference>
        </references>
      </pivotArea>
    </format>
    <format dxfId="7642">
      <pivotArea dataOnly="0" labelOnly="1" outline="0" fieldPosition="0">
        <references count="2">
          <reference field="11" count="1" selected="0">
            <x v="238"/>
          </reference>
          <reference field="14" count="1">
            <x v="339"/>
          </reference>
        </references>
      </pivotArea>
    </format>
    <format dxfId="7641">
      <pivotArea dataOnly="0" labelOnly="1" outline="0" fieldPosition="0">
        <references count="2">
          <reference field="11" count="1" selected="0">
            <x v="238"/>
          </reference>
          <reference field="14" count="1" defaultSubtotal="1">
            <x v="339"/>
          </reference>
        </references>
      </pivotArea>
    </format>
    <format dxfId="7640">
      <pivotArea dataOnly="0" labelOnly="1" outline="0" fieldPosition="0">
        <references count="2">
          <reference field="11" count="1" selected="0">
            <x v="239"/>
          </reference>
          <reference field="14" count="1">
            <x v="61"/>
          </reference>
        </references>
      </pivotArea>
    </format>
    <format dxfId="7639">
      <pivotArea dataOnly="0" labelOnly="1" outline="0" fieldPosition="0">
        <references count="2">
          <reference field="11" count="1" selected="0">
            <x v="239"/>
          </reference>
          <reference field="14" count="1" defaultSubtotal="1">
            <x v="61"/>
          </reference>
        </references>
      </pivotArea>
    </format>
    <format dxfId="7638">
      <pivotArea dataOnly="0" labelOnly="1" outline="0" fieldPosition="0">
        <references count="2">
          <reference field="11" count="1" selected="0">
            <x v="240"/>
          </reference>
          <reference field="14" count="1">
            <x v="201"/>
          </reference>
        </references>
      </pivotArea>
    </format>
    <format dxfId="7637">
      <pivotArea dataOnly="0" labelOnly="1" outline="0" fieldPosition="0">
        <references count="2">
          <reference field="11" count="1" selected="0">
            <x v="240"/>
          </reference>
          <reference field="14" count="1" defaultSubtotal="1">
            <x v="201"/>
          </reference>
        </references>
      </pivotArea>
    </format>
    <format dxfId="7636">
      <pivotArea dataOnly="0" labelOnly="1" outline="0" fieldPosition="0">
        <references count="2">
          <reference field="11" count="1" selected="0">
            <x v="241"/>
          </reference>
          <reference field="14" count="1">
            <x v="262"/>
          </reference>
        </references>
      </pivotArea>
    </format>
    <format dxfId="7635">
      <pivotArea dataOnly="0" labelOnly="1" outline="0" fieldPosition="0">
        <references count="2">
          <reference field="11" count="1" selected="0">
            <x v="241"/>
          </reference>
          <reference field="14" count="1" defaultSubtotal="1">
            <x v="262"/>
          </reference>
        </references>
      </pivotArea>
    </format>
    <format dxfId="7634">
      <pivotArea dataOnly="0" labelOnly="1" outline="0" fieldPosition="0">
        <references count="2">
          <reference field="11" count="1" selected="0">
            <x v="242"/>
          </reference>
          <reference field="14" count="1">
            <x v="91"/>
          </reference>
        </references>
      </pivotArea>
    </format>
    <format dxfId="7633">
      <pivotArea dataOnly="0" labelOnly="1" outline="0" fieldPosition="0">
        <references count="2">
          <reference field="11" count="1" selected="0">
            <x v="242"/>
          </reference>
          <reference field="14" count="1" defaultSubtotal="1">
            <x v="91"/>
          </reference>
        </references>
      </pivotArea>
    </format>
    <format dxfId="7632">
      <pivotArea dataOnly="0" labelOnly="1" outline="0" fieldPosition="0">
        <references count="2">
          <reference field="11" count="1" selected="0">
            <x v="243"/>
          </reference>
          <reference field="14" count="1">
            <x v="264"/>
          </reference>
        </references>
      </pivotArea>
    </format>
    <format dxfId="7631">
      <pivotArea dataOnly="0" labelOnly="1" outline="0" fieldPosition="0">
        <references count="2">
          <reference field="11" count="1" selected="0">
            <x v="243"/>
          </reference>
          <reference field="14" count="1" defaultSubtotal="1">
            <x v="264"/>
          </reference>
        </references>
      </pivotArea>
    </format>
    <format dxfId="7630">
      <pivotArea dataOnly="0" labelOnly="1" outline="0" fieldPosition="0">
        <references count="2">
          <reference field="11" count="1" selected="0">
            <x v="244"/>
          </reference>
          <reference field="14" count="1">
            <x v="222"/>
          </reference>
        </references>
      </pivotArea>
    </format>
    <format dxfId="7629">
      <pivotArea dataOnly="0" labelOnly="1" outline="0" fieldPosition="0">
        <references count="2">
          <reference field="11" count="1" selected="0">
            <x v="244"/>
          </reference>
          <reference field="14" count="1" defaultSubtotal="1">
            <x v="222"/>
          </reference>
        </references>
      </pivotArea>
    </format>
    <format dxfId="7628">
      <pivotArea dataOnly="0" labelOnly="1" outline="0" fieldPosition="0">
        <references count="2">
          <reference field="11" count="1" selected="0">
            <x v="245"/>
          </reference>
          <reference field="14" count="1">
            <x v="131"/>
          </reference>
        </references>
      </pivotArea>
    </format>
    <format dxfId="7627">
      <pivotArea dataOnly="0" labelOnly="1" outline="0" fieldPosition="0">
        <references count="2">
          <reference field="11" count="1" selected="0">
            <x v="245"/>
          </reference>
          <reference field="14" count="1" defaultSubtotal="1">
            <x v="131"/>
          </reference>
        </references>
      </pivotArea>
    </format>
    <format dxfId="7626">
      <pivotArea dataOnly="0" labelOnly="1" outline="0" fieldPosition="0">
        <references count="2">
          <reference field="11" count="1" selected="0">
            <x v="246"/>
          </reference>
          <reference field="14" count="1">
            <x v="418"/>
          </reference>
        </references>
      </pivotArea>
    </format>
    <format dxfId="7625">
      <pivotArea dataOnly="0" labelOnly="1" outline="0" fieldPosition="0">
        <references count="2">
          <reference field="11" count="1" selected="0">
            <x v="246"/>
          </reference>
          <reference field="14" count="1" defaultSubtotal="1">
            <x v="418"/>
          </reference>
        </references>
      </pivotArea>
    </format>
    <format dxfId="7624">
      <pivotArea dataOnly="0" labelOnly="1" outline="0" fieldPosition="0">
        <references count="2">
          <reference field="11" count="1" selected="0">
            <x v="247"/>
          </reference>
          <reference field="14" count="1">
            <x v="406"/>
          </reference>
        </references>
      </pivotArea>
    </format>
    <format dxfId="7623">
      <pivotArea dataOnly="0" labelOnly="1" outline="0" fieldPosition="0">
        <references count="2">
          <reference field="11" count="1" selected="0">
            <x v="247"/>
          </reference>
          <reference field="14" count="1" defaultSubtotal="1">
            <x v="406"/>
          </reference>
        </references>
      </pivotArea>
    </format>
    <format dxfId="7622">
      <pivotArea dataOnly="0" labelOnly="1" outline="0" fieldPosition="0">
        <references count="2">
          <reference field="11" count="1" selected="0">
            <x v="248"/>
          </reference>
          <reference field="14" count="1">
            <x v="404"/>
          </reference>
        </references>
      </pivotArea>
    </format>
    <format dxfId="7621">
      <pivotArea dataOnly="0" labelOnly="1" outline="0" fieldPosition="0">
        <references count="2">
          <reference field="11" count="1" selected="0">
            <x v="248"/>
          </reference>
          <reference field="14" count="1" defaultSubtotal="1">
            <x v="404"/>
          </reference>
        </references>
      </pivotArea>
    </format>
    <format dxfId="7620">
      <pivotArea dataOnly="0" labelOnly="1" outline="0" fieldPosition="0">
        <references count="2">
          <reference field="11" count="1" selected="0">
            <x v="249"/>
          </reference>
          <reference field="14" count="1">
            <x v="402"/>
          </reference>
        </references>
      </pivotArea>
    </format>
    <format dxfId="7619">
      <pivotArea dataOnly="0" labelOnly="1" outline="0" fieldPosition="0">
        <references count="2">
          <reference field="11" count="1" selected="0">
            <x v="249"/>
          </reference>
          <reference field="14" count="1" defaultSubtotal="1">
            <x v="402"/>
          </reference>
        </references>
      </pivotArea>
    </format>
    <format dxfId="7618">
      <pivotArea dataOnly="0" labelOnly="1" outline="0" fieldPosition="0">
        <references count="2">
          <reference field="11" count="1" selected="0">
            <x v="250"/>
          </reference>
          <reference field="14" count="1">
            <x v="128"/>
          </reference>
        </references>
      </pivotArea>
    </format>
    <format dxfId="7617">
      <pivotArea dataOnly="0" labelOnly="1" outline="0" fieldPosition="0">
        <references count="2">
          <reference field="11" count="1" selected="0">
            <x v="250"/>
          </reference>
          <reference field="14" count="1" defaultSubtotal="1">
            <x v="128"/>
          </reference>
        </references>
      </pivotArea>
    </format>
    <format dxfId="7616">
      <pivotArea dataOnly="0" labelOnly="1" outline="0" fieldPosition="0">
        <references count="2">
          <reference field="11" count="1" selected="0">
            <x v="251"/>
          </reference>
          <reference field="14" count="1">
            <x v="405"/>
          </reference>
        </references>
      </pivotArea>
    </format>
    <format dxfId="7615">
      <pivotArea dataOnly="0" labelOnly="1" outline="0" fieldPosition="0">
        <references count="2">
          <reference field="11" count="1" selected="0">
            <x v="251"/>
          </reference>
          <reference field="14" count="1" defaultSubtotal="1">
            <x v="405"/>
          </reference>
        </references>
      </pivotArea>
    </format>
    <format dxfId="7614">
      <pivotArea dataOnly="0" labelOnly="1" outline="0" fieldPosition="0">
        <references count="2">
          <reference field="11" count="1" selected="0">
            <x v="252"/>
          </reference>
          <reference field="14" count="1">
            <x v="86"/>
          </reference>
        </references>
      </pivotArea>
    </format>
    <format dxfId="7613">
      <pivotArea dataOnly="0" labelOnly="1" outline="0" fieldPosition="0">
        <references count="2">
          <reference field="11" count="1" selected="0">
            <x v="252"/>
          </reference>
          <reference field="14" count="1" defaultSubtotal="1">
            <x v="86"/>
          </reference>
        </references>
      </pivotArea>
    </format>
    <format dxfId="7612">
      <pivotArea dataOnly="0" labelOnly="1" outline="0" fieldPosition="0">
        <references count="2">
          <reference field="11" count="1" selected="0">
            <x v="253"/>
          </reference>
          <reference field="14" count="1">
            <x v="136"/>
          </reference>
        </references>
      </pivotArea>
    </format>
    <format dxfId="7611">
      <pivotArea dataOnly="0" labelOnly="1" outline="0" fieldPosition="0">
        <references count="2">
          <reference field="11" count="1" selected="0">
            <x v="253"/>
          </reference>
          <reference field="14" count="1" defaultSubtotal="1">
            <x v="136"/>
          </reference>
        </references>
      </pivotArea>
    </format>
    <format dxfId="7610">
      <pivotArea dataOnly="0" labelOnly="1" outline="0" fieldPosition="0">
        <references count="2">
          <reference field="11" count="1" selected="0">
            <x v="254"/>
          </reference>
          <reference field="14" count="1">
            <x v="181"/>
          </reference>
        </references>
      </pivotArea>
    </format>
    <format dxfId="7609">
      <pivotArea dataOnly="0" labelOnly="1" outline="0" fieldPosition="0">
        <references count="2">
          <reference field="11" count="1" selected="0">
            <x v="254"/>
          </reference>
          <reference field="14" count="1" defaultSubtotal="1">
            <x v="181"/>
          </reference>
        </references>
      </pivotArea>
    </format>
    <format dxfId="7608">
      <pivotArea dataOnly="0" labelOnly="1" outline="0" fieldPosition="0">
        <references count="2">
          <reference field="11" count="1" selected="0">
            <x v="255"/>
          </reference>
          <reference field="14" count="1">
            <x v="263"/>
          </reference>
        </references>
      </pivotArea>
    </format>
    <format dxfId="7607">
      <pivotArea dataOnly="0" labelOnly="1" outline="0" fieldPosition="0">
        <references count="2">
          <reference field="11" count="1" selected="0">
            <x v="255"/>
          </reference>
          <reference field="14" count="1" defaultSubtotal="1">
            <x v="263"/>
          </reference>
        </references>
      </pivotArea>
    </format>
    <format dxfId="7606">
      <pivotArea dataOnly="0" labelOnly="1" outline="0" fieldPosition="0">
        <references count="2">
          <reference field="11" count="1" selected="0">
            <x v="256"/>
          </reference>
          <reference field="14" count="1">
            <x v="133"/>
          </reference>
        </references>
      </pivotArea>
    </format>
    <format dxfId="7605">
      <pivotArea dataOnly="0" labelOnly="1" outline="0" fieldPosition="0">
        <references count="2">
          <reference field="11" count="1" selected="0">
            <x v="256"/>
          </reference>
          <reference field="14" count="1" defaultSubtotal="1">
            <x v="133"/>
          </reference>
        </references>
      </pivotArea>
    </format>
    <format dxfId="7604">
      <pivotArea dataOnly="0" labelOnly="1" outline="0" fieldPosition="0">
        <references count="2">
          <reference field="11" count="1" selected="0">
            <x v="257"/>
          </reference>
          <reference field="14" count="1">
            <x v="187"/>
          </reference>
        </references>
      </pivotArea>
    </format>
    <format dxfId="7603">
      <pivotArea dataOnly="0" labelOnly="1" outline="0" fieldPosition="0">
        <references count="2">
          <reference field="11" count="1" selected="0">
            <x v="257"/>
          </reference>
          <reference field="14" count="1" defaultSubtotal="1">
            <x v="187"/>
          </reference>
        </references>
      </pivotArea>
    </format>
    <format dxfId="7602">
      <pivotArea dataOnly="0" labelOnly="1" outline="0" fieldPosition="0">
        <references count="2">
          <reference field="11" count="1" selected="0">
            <x v="258"/>
          </reference>
          <reference field="14" count="1">
            <x v="417"/>
          </reference>
        </references>
      </pivotArea>
    </format>
    <format dxfId="7601">
      <pivotArea dataOnly="0" labelOnly="1" outline="0" fieldPosition="0">
        <references count="2">
          <reference field="11" count="1" selected="0">
            <x v="258"/>
          </reference>
          <reference field="14" count="1" defaultSubtotal="1">
            <x v="417"/>
          </reference>
        </references>
      </pivotArea>
    </format>
    <format dxfId="7600">
      <pivotArea dataOnly="0" labelOnly="1" outline="0" fieldPosition="0">
        <references count="2">
          <reference field="11" count="1" selected="0">
            <x v="259"/>
          </reference>
          <reference field="14" count="1">
            <x v="371"/>
          </reference>
        </references>
      </pivotArea>
    </format>
    <format dxfId="7599">
      <pivotArea dataOnly="0" labelOnly="1" outline="0" fieldPosition="0">
        <references count="2">
          <reference field="11" count="1" selected="0">
            <x v="259"/>
          </reference>
          <reference field="14" count="1" defaultSubtotal="1">
            <x v="371"/>
          </reference>
        </references>
      </pivotArea>
    </format>
    <format dxfId="7598">
      <pivotArea dataOnly="0" labelOnly="1" outline="0" fieldPosition="0">
        <references count="2">
          <reference field="11" count="1" selected="0">
            <x v="260"/>
          </reference>
          <reference field="14" count="1">
            <x v="157"/>
          </reference>
        </references>
      </pivotArea>
    </format>
    <format dxfId="7597">
      <pivotArea dataOnly="0" labelOnly="1" outline="0" fieldPosition="0">
        <references count="2">
          <reference field="11" count="1" selected="0">
            <x v="260"/>
          </reference>
          <reference field="14" count="1" defaultSubtotal="1">
            <x v="157"/>
          </reference>
        </references>
      </pivotArea>
    </format>
    <format dxfId="7596">
      <pivotArea dataOnly="0" labelOnly="1" outline="0" fieldPosition="0">
        <references count="2">
          <reference field="11" count="1" selected="0">
            <x v="261"/>
          </reference>
          <reference field="14" count="1">
            <x v="223"/>
          </reference>
        </references>
      </pivotArea>
    </format>
    <format dxfId="7595">
      <pivotArea dataOnly="0" labelOnly="1" outline="0" fieldPosition="0">
        <references count="2">
          <reference field="11" count="1" selected="0">
            <x v="261"/>
          </reference>
          <reference field="14" count="1" defaultSubtotal="1">
            <x v="223"/>
          </reference>
        </references>
      </pivotArea>
    </format>
    <format dxfId="7594">
      <pivotArea dataOnly="0" labelOnly="1" outline="0" fieldPosition="0">
        <references count="2">
          <reference field="11" count="1" selected="0">
            <x v="262"/>
          </reference>
          <reference field="14" count="1">
            <x v="311"/>
          </reference>
        </references>
      </pivotArea>
    </format>
    <format dxfId="7593">
      <pivotArea dataOnly="0" labelOnly="1" outline="0" fieldPosition="0">
        <references count="2">
          <reference field="11" count="1" selected="0">
            <x v="262"/>
          </reference>
          <reference field="14" count="1" defaultSubtotal="1">
            <x v="311"/>
          </reference>
        </references>
      </pivotArea>
    </format>
    <format dxfId="7592">
      <pivotArea dataOnly="0" labelOnly="1" outline="0" fieldPosition="0">
        <references count="2">
          <reference field="11" count="1" selected="0">
            <x v="263"/>
          </reference>
          <reference field="14" count="1">
            <x v="114"/>
          </reference>
        </references>
      </pivotArea>
    </format>
    <format dxfId="7591">
      <pivotArea dataOnly="0" labelOnly="1" outline="0" fieldPosition="0">
        <references count="2">
          <reference field="11" count="1" selected="0">
            <x v="263"/>
          </reference>
          <reference field="14" count="1" defaultSubtotal="1">
            <x v="114"/>
          </reference>
        </references>
      </pivotArea>
    </format>
    <format dxfId="7590">
      <pivotArea dataOnly="0" labelOnly="1" outline="0" fieldPosition="0">
        <references count="2">
          <reference field="11" count="1" selected="0">
            <x v="264"/>
          </reference>
          <reference field="14" count="1">
            <x v="154"/>
          </reference>
        </references>
      </pivotArea>
    </format>
    <format dxfId="7589">
      <pivotArea dataOnly="0" labelOnly="1" outline="0" fieldPosition="0">
        <references count="2">
          <reference field="11" count="1" selected="0">
            <x v="264"/>
          </reference>
          <reference field="14" count="1" defaultSubtotal="1">
            <x v="154"/>
          </reference>
        </references>
      </pivotArea>
    </format>
    <format dxfId="7588">
      <pivotArea dataOnly="0" labelOnly="1" outline="0" fieldPosition="0">
        <references count="2">
          <reference field="11" count="1" selected="0">
            <x v="265"/>
          </reference>
          <reference field="14" count="1">
            <x v="166"/>
          </reference>
        </references>
      </pivotArea>
    </format>
    <format dxfId="7587">
      <pivotArea dataOnly="0" labelOnly="1" outline="0" fieldPosition="0">
        <references count="2">
          <reference field="11" count="1" selected="0">
            <x v="265"/>
          </reference>
          <reference field="14" count="1" defaultSubtotal="1">
            <x v="166"/>
          </reference>
        </references>
      </pivotArea>
    </format>
    <format dxfId="7586">
      <pivotArea dataOnly="0" labelOnly="1" outline="0" fieldPosition="0">
        <references count="2">
          <reference field="11" count="1" selected="0">
            <x v="266"/>
          </reference>
          <reference field="14" count="1">
            <x v="152"/>
          </reference>
        </references>
      </pivotArea>
    </format>
    <format dxfId="7585">
      <pivotArea dataOnly="0" labelOnly="1" outline="0" fieldPosition="0">
        <references count="2">
          <reference field="11" count="1" selected="0">
            <x v="266"/>
          </reference>
          <reference field="14" count="1" defaultSubtotal="1">
            <x v="152"/>
          </reference>
        </references>
      </pivotArea>
    </format>
    <format dxfId="7584">
      <pivotArea dataOnly="0" labelOnly="1" outline="0" fieldPosition="0">
        <references count="2">
          <reference field="11" count="1" selected="0">
            <x v="267"/>
          </reference>
          <reference field="14" count="1">
            <x v="374"/>
          </reference>
        </references>
      </pivotArea>
    </format>
    <format dxfId="7583">
      <pivotArea dataOnly="0" labelOnly="1" outline="0" fieldPosition="0">
        <references count="2">
          <reference field="11" count="1" selected="0">
            <x v="267"/>
          </reference>
          <reference field="14" count="1" defaultSubtotal="1">
            <x v="374"/>
          </reference>
        </references>
      </pivotArea>
    </format>
    <format dxfId="7582">
      <pivotArea dataOnly="0" labelOnly="1" outline="0" fieldPosition="0">
        <references count="2">
          <reference field="11" count="1" selected="0">
            <x v="268"/>
          </reference>
          <reference field="14" count="1">
            <x v="353"/>
          </reference>
        </references>
      </pivotArea>
    </format>
    <format dxfId="7581">
      <pivotArea dataOnly="0" labelOnly="1" outline="0" fieldPosition="0">
        <references count="2">
          <reference field="11" count="1" selected="0">
            <x v="268"/>
          </reference>
          <reference field="14" count="1" defaultSubtotal="1">
            <x v="353"/>
          </reference>
        </references>
      </pivotArea>
    </format>
    <format dxfId="7580">
      <pivotArea dataOnly="0" labelOnly="1" outline="0" fieldPosition="0">
        <references count="2">
          <reference field="11" count="1" selected="0">
            <x v="269"/>
          </reference>
          <reference field="14" count="1">
            <x v="124"/>
          </reference>
        </references>
      </pivotArea>
    </format>
    <format dxfId="7579">
      <pivotArea dataOnly="0" labelOnly="1" outline="0" fieldPosition="0">
        <references count="2">
          <reference field="11" count="1" selected="0">
            <x v="269"/>
          </reference>
          <reference field="14" count="1" defaultSubtotal="1">
            <x v="124"/>
          </reference>
        </references>
      </pivotArea>
    </format>
    <format dxfId="7578">
      <pivotArea dataOnly="0" labelOnly="1" outline="0" fieldPosition="0">
        <references count="2">
          <reference field="11" count="1" selected="0">
            <x v="270"/>
          </reference>
          <reference field="14" count="1">
            <x v="126"/>
          </reference>
        </references>
      </pivotArea>
    </format>
    <format dxfId="7577">
      <pivotArea dataOnly="0" labelOnly="1" outline="0" fieldPosition="0">
        <references count="2">
          <reference field="11" count="1" selected="0">
            <x v="270"/>
          </reference>
          <reference field="14" count="1" defaultSubtotal="1">
            <x v="126"/>
          </reference>
        </references>
      </pivotArea>
    </format>
    <format dxfId="7576">
      <pivotArea dataOnly="0" labelOnly="1" outline="0" fieldPosition="0">
        <references count="2">
          <reference field="11" count="1" selected="0">
            <x v="271"/>
          </reference>
          <reference field="14" count="1">
            <x v="239"/>
          </reference>
        </references>
      </pivotArea>
    </format>
    <format dxfId="7575">
      <pivotArea dataOnly="0" labelOnly="1" outline="0" fieldPosition="0">
        <references count="2">
          <reference field="11" count="1" selected="0">
            <x v="271"/>
          </reference>
          <reference field="14" count="1" defaultSubtotal="1">
            <x v="239"/>
          </reference>
        </references>
      </pivotArea>
    </format>
    <format dxfId="7574">
      <pivotArea dataOnly="0" labelOnly="1" outline="0" fieldPosition="0">
        <references count="2">
          <reference field="11" count="1" selected="0">
            <x v="272"/>
          </reference>
          <reference field="14" count="1">
            <x v="42"/>
          </reference>
        </references>
      </pivotArea>
    </format>
    <format dxfId="7573">
      <pivotArea dataOnly="0" labelOnly="1" outline="0" fieldPosition="0">
        <references count="2">
          <reference field="11" count="1" selected="0">
            <x v="272"/>
          </reference>
          <reference field="14" count="1" defaultSubtotal="1">
            <x v="42"/>
          </reference>
        </references>
      </pivotArea>
    </format>
    <format dxfId="7572">
      <pivotArea dataOnly="0" labelOnly="1" outline="0" fieldPosition="0">
        <references count="2">
          <reference field="11" count="1" selected="0">
            <x v="273"/>
          </reference>
          <reference field="14" count="1">
            <x v="342"/>
          </reference>
        </references>
      </pivotArea>
    </format>
    <format dxfId="7571">
      <pivotArea dataOnly="0" labelOnly="1" outline="0" fieldPosition="0">
        <references count="2">
          <reference field="11" count="1" selected="0">
            <x v="273"/>
          </reference>
          <reference field="14" count="1" defaultSubtotal="1">
            <x v="342"/>
          </reference>
        </references>
      </pivotArea>
    </format>
    <format dxfId="7570">
      <pivotArea dataOnly="0" labelOnly="1" outline="0" fieldPosition="0">
        <references count="2">
          <reference field="11" count="1" selected="0">
            <x v="274"/>
          </reference>
          <reference field="14" count="1">
            <x v="372"/>
          </reference>
        </references>
      </pivotArea>
    </format>
    <format dxfId="7569">
      <pivotArea dataOnly="0" labelOnly="1" outline="0" fieldPosition="0">
        <references count="2">
          <reference field="11" count="1" selected="0">
            <x v="274"/>
          </reference>
          <reference field="14" count="1" defaultSubtotal="1">
            <x v="372"/>
          </reference>
        </references>
      </pivotArea>
    </format>
    <format dxfId="7568">
      <pivotArea dataOnly="0" labelOnly="1" outline="0" fieldPosition="0">
        <references count="2">
          <reference field="11" count="1" selected="0">
            <x v="275"/>
          </reference>
          <reference field="14" count="1">
            <x v="51"/>
          </reference>
        </references>
      </pivotArea>
    </format>
    <format dxfId="7567">
      <pivotArea dataOnly="0" labelOnly="1" outline="0" fieldPosition="0">
        <references count="2">
          <reference field="11" count="1" selected="0">
            <x v="275"/>
          </reference>
          <reference field="14" count="1" defaultSubtotal="1">
            <x v="51"/>
          </reference>
        </references>
      </pivotArea>
    </format>
    <format dxfId="7566">
      <pivotArea dataOnly="0" labelOnly="1" outline="0" fieldPosition="0">
        <references count="2">
          <reference field="11" count="1" selected="0">
            <x v="276"/>
          </reference>
          <reference field="14" count="1">
            <x v="290"/>
          </reference>
        </references>
      </pivotArea>
    </format>
    <format dxfId="7565">
      <pivotArea dataOnly="0" labelOnly="1" outline="0" fieldPosition="0">
        <references count="2">
          <reference field="11" count="1" selected="0">
            <x v="276"/>
          </reference>
          <reference field="14" count="1" defaultSubtotal="1">
            <x v="290"/>
          </reference>
        </references>
      </pivotArea>
    </format>
    <format dxfId="7564">
      <pivotArea dataOnly="0" labelOnly="1" outline="0" fieldPosition="0">
        <references count="2">
          <reference field="11" count="1" selected="0">
            <x v="277"/>
          </reference>
          <reference field="14" count="1">
            <x v="180"/>
          </reference>
        </references>
      </pivotArea>
    </format>
    <format dxfId="7563">
      <pivotArea dataOnly="0" labelOnly="1" outline="0" fieldPosition="0">
        <references count="2">
          <reference field="11" count="1" selected="0">
            <x v="277"/>
          </reference>
          <reference field="14" count="1" defaultSubtotal="1">
            <x v="180"/>
          </reference>
        </references>
      </pivotArea>
    </format>
    <format dxfId="7562">
      <pivotArea dataOnly="0" labelOnly="1" outline="0" fieldPosition="0">
        <references count="2">
          <reference field="11" count="1" selected="0">
            <x v="278"/>
          </reference>
          <reference field="14" count="1">
            <x v="164"/>
          </reference>
        </references>
      </pivotArea>
    </format>
    <format dxfId="7561">
      <pivotArea dataOnly="0" labelOnly="1" outline="0" fieldPosition="0">
        <references count="2">
          <reference field="11" count="1" selected="0">
            <x v="278"/>
          </reference>
          <reference field="14" count="1" defaultSubtotal="1">
            <x v="164"/>
          </reference>
        </references>
      </pivotArea>
    </format>
    <format dxfId="7560">
      <pivotArea dataOnly="0" labelOnly="1" outline="0" fieldPosition="0">
        <references count="2">
          <reference field="11" count="1" selected="0">
            <x v="279"/>
          </reference>
          <reference field="14" count="1">
            <x v="153"/>
          </reference>
        </references>
      </pivotArea>
    </format>
    <format dxfId="7559">
      <pivotArea dataOnly="0" labelOnly="1" outline="0" fieldPosition="0">
        <references count="2">
          <reference field="11" count="1" selected="0">
            <x v="279"/>
          </reference>
          <reference field="14" count="1" defaultSubtotal="1">
            <x v="153"/>
          </reference>
        </references>
      </pivotArea>
    </format>
    <format dxfId="7558">
      <pivotArea dataOnly="0" labelOnly="1" outline="0" fieldPosition="0">
        <references count="2">
          <reference field="11" count="1" selected="0">
            <x v="280"/>
          </reference>
          <reference field="14" count="1">
            <x v="373"/>
          </reference>
        </references>
      </pivotArea>
    </format>
    <format dxfId="7557">
      <pivotArea dataOnly="0" labelOnly="1" outline="0" fieldPosition="0">
        <references count="2">
          <reference field="11" count="1" selected="0">
            <x v="280"/>
          </reference>
          <reference field="14" count="1" defaultSubtotal="1">
            <x v="373"/>
          </reference>
        </references>
      </pivotArea>
    </format>
    <format dxfId="7556">
      <pivotArea dataOnly="0" labelOnly="1" outline="0" fieldPosition="0">
        <references count="2">
          <reference field="11" count="1" selected="0">
            <x v="281"/>
          </reference>
          <reference field="14" count="1">
            <x v="165"/>
          </reference>
        </references>
      </pivotArea>
    </format>
    <format dxfId="7555">
      <pivotArea dataOnly="0" labelOnly="1" outline="0" fieldPosition="0">
        <references count="2">
          <reference field="11" count="1" selected="0">
            <x v="281"/>
          </reference>
          <reference field="14" count="1" defaultSubtotal="1">
            <x v="165"/>
          </reference>
        </references>
      </pivotArea>
    </format>
    <format dxfId="7554">
      <pivotArea dataOnly="0" labelOnly="1" outline="0" fieldPosition="0">
        <references count="2">
          <reference field="11" count="1" selected="0">
            <x v="282"/>
          </reference>
          <reference field="14" count="1">
            <x v="357"/>
          </reference>
        </references>
      </pivotArea>
    </format>
    <format dxfId="7553">
      <pivotArea dataOnly="0" labelOnly="1" outline="0" fieldPosition="0">
        <references count="2">
          <reference field="11" count="1" selected="0">
            <x v="282"/>
          </reference>
          <reference field="14" count="1" defaultSubtotal="1">
            <x v="357"/>
          </reference>
        </references>
      </pivotArea>
    </format>
    <format dxfId="7552">
      <pivotArea dataOnly="0" labelOnly="1" outline="0" fieldPosition="0">
        <references count="2">
          <reference field="11" count="1" selected="0">
            <x v="283"/>
          </reference>
          <reference field="14" count="1">
            <x v="162"/>
          </reference>
        </references>
      </pivotArea>
    </format>
    <format dxfId="7551">
      <pivotArea dataOnly="0" labelOnly="1" outline="0" fieldPosition="0">
        <references count="2">
          <reference field="11" count="1" selected="0">
            <x v="283"/>
          </reference>
          <reference field="14" count="1" defaultSubtotal="1">
            <x v="162"/>
          </reference>
        </references>
      </pivotArea>
    </format>
    <format dxfId="7550">
      <pivotArea dataOnly="0" labelOnly="1" outline="0" fieldPosition="0">
        <references count="2">
          <reference field="11" count="1" selected="0">
            <x v="284"/>
          </reference>
          <reference field="14" count="1">
            <x v="149"/>
          </reference>
        </references>
      </pivotArea>
    </format>
    <format dxfId="7549">
      <pivotArea dataOnly="0" labelOnly="1" outline="0" fieldPosition="0">
        <references count="2">
          <reference field="11" count="1" selected="0">
            <x v="284"/>
          </reference>
          <reference field="14" count="1" defaultSubtotal="1">
            <x v="149"/>
          </reference>
        </references>
      </pivotArea>
    </format>
    <format dxfId="7548">
      <pivotArea dataOnly="0" labelOnly="1" outline="0" fieldPosition="0">
        <references count="2">
          <reference field="11" count="1" selected="0">
            <x v="285"/>
          </reference>
          <reference field="14" count="1">
            <x v="365"/>
          </reference>
        </references>
      </pivotArea>
    </format>
    <format dxfId="7547">
      <pivotArea dataOnly="0" labelOnly="1" outline="0" fieldPosition="0">
        <references count="2">
          <reference field="11" count="1" selected="0">
            <x v="285"/>
          </reference>
          <reference field="14" count="1" defaultSubtotal="1">
            <x v="365"/>
          </reference>
        </references>
      </pivotArea>
    </format>
    <format dxfId="7546">
      <pivotArea dataOnly="0" labelOnly="1" outline="0" fieldPosition="0">
        <references count="2">
          <reference field="11" count="1" selected="0">
            <x v="286"/>
          </reference>
          <reference field="14" count="1">
            <x v="217"/>
          </reference>
        </references>
      </pivotArea>
    </format>
    <format dxfId="7545">
      <pivotArea dataOnly="0" labelOnly="1" outline="0" fieldPosition="0">
        <references count="2">
          <reference field="11" count="1" selected="0">
            <x v="286"/>
          </reference>
          <reference field="14" count="1" defaultSubtotal="1">
            <x v="217"/>
          </reference>
        </references>
      </pivotArea>
    </format>
    <format dxfId="7544">
      <pivotArea dataOnly="0" labelOnly="1" outline="0" fieldPosition="0">
        <references count="2">
          <reference field="11" count="1" selected="0">
            <x v="287"/>
          </reference>
          <reference field="14" count="1">
            <x v="197"/>
          </reference>
        </references>
      </pivotArea>
    </format>
    <format dxfId="7543">
      <pivotArea dataOnly="0" labelOnly="1" outline="0" fieldPosition="0">
        <references count="2">
          <reference field="11" count="1" selected="0">
            <x v="287"/>
          </reference>
          <reference field="14" count="1" defaultSubtotal="1">
            <x v="197"/>
          </reference>
        </references>
      </pivotArea>
    </format>
    <format dxfId="7542">
      <pivotArea dataOnly="0" labelOnly="1" outline="0" fieldPosition="0">
        <references count="2">
          <reference field="11" count="1" selected="0">
            <x v="288"/>
          </reference>
          <reference field="14" count="1">
            <x v="389"/>
          </reference>
        </references>
      </pivotArea>
    </format>
    <format dxfId="7541">
      <pivotArea dataOnly="0" labelOnly="1" outline="0" fieldPosition="0">
        <references count="2">
          <reference field="11" count="1" selected="0">
            <x v="288"/>
          </reference>
          <reference field="14" count="1" defaultSubtotal="1">
            <x v="389"/>
          </reference>
        </references>
      </pivotArea>
    </format>
    <format dxfId="7540">
      <pivotArea dataOnly="0" labelOnly="1" outline="0" fieldPosition="0">
        <references count="2">
          <reference field="11" count="1" selected="0">
            <x v="289"/>
          </reference>
          <reference field="14" count="1">
            <x v="171"/>
          </reference>
        </references>
      </pivotArea>
    </format>
    <format dxfId="7539">
      <pivotArea dataOnly="0" labelOnly="1" outline="0" fieldPosition="0">
        <references count="2">
          <reference field="11" count="1" selected="0">
            <x v="289"/>
          </reference>
          <reference field="14" count="1" defaultSubtotal="1">
            <x v="171"/>
          </reference>
        </references>
      </pivotArea>
    </format>
    <format dxfId="7538">
      <pivotArea dataOnly="0" labelOnly="1" outline="0" fieldPosition="0">
        <references count="2">
          <reference field="11" count="1" selected="0">
            <x v="290"/>
          </reference>
          <reference field="14" count="1">
            <x v="183"/>
          </reference>
        </references>
      </pivotArea>
    </format>
    <format dxfId="7537">
      <pivotArea dataOnly="0" labelOnly="1" outline="0" fieldPosition="0">
        <references count="2">
          <reference field="11" count="1" selected="0">
            <x v="290"/>
          </reference>
          <reference field="14" count="1" defaultSubtotal="1">
            <x v="183"/>
          </reference>
        </references>
      </pivotArea>
    </format>
    <format dxfId="7536">
      <pivotArea dataOnly="0" labelOnly="1" outline="0" fieldPosition="0">
        <references count="2">
          <reference field="11" count="1" selected="0">
            <x v="291"/>
          </reference>
          <reference field="14" count="1">
            <x v="3"/>
          </reference>
        </references>
      </pivotArea>
    </format>
    <format dxfId="7535">
      <pivotArea dataOnly="0" labelOnly="1" outline="0" fieldPosition="0">
        <references count="2">
          <reference field="11" count="1" selected="0">
            <x v="291"/>
          </reference>
          <reference field="14" count="1" defaultSubtotal="1">
            <x v="3"/>
          </reference>
        </references>
      </pivotArea>
    </format>
    <format dxfId="7534">
      <pivotArea dataOnly="0" labelOnly="1" outline="0" fieldPosition="0">
        <references count="2">
          <reference field="11" count="1" selected="0">
            <x v="292"/>
          </reference>
          <reference field="14" count="1">
            <x v="172"/>
          </reference>
        </references>
      </pivotArea>
    </format>
    <format dxfId="7533">
      <pivotArea dataOnly="0" labelOnly="1" outline="0" fieldPosition="0">
        <references count="2">
          <reference field="11" count="1" selected="0">
            <x v="292"/>
          </reference>
          <reference field="14" count="1" defaultSubtotal="1">
            <x v="172"/>
          </reference>
        </references>
      </pivotArea>
    </format>
    <format dxfId="7532">
      <pivotArea dataOnly="0" labelOnly="1" outline="0" fieldPosition="0">
        <references count="2">
          <reference field="11" count="1" selected="0">
            <x v="293"/>
          </reference>
          <reference field="14" count="1">
            <x v="168"/>
          </reference>
        </references>
      </pivotArea>
    </format>
    <format dxfId="7531">
      <pivotArea dataOnly="0" labelOnly="1" outline="0" fieldPosition="0">
        <references count="2">
          <reference field="11" count="1" selected="0">
            <x v="293"/>
          </reference>
          <reference field="14" count="1" defaultSubtotal="1">
            <x v="168"/>
          </reference>
        </references>
      </pivotArea>
    </format>
    <format dxfId="7530">
      <pivotArea dataOnly="0" labelOnly="1" outline="0" fieldPosition="0">
        <references count="2">
          <reference field="11" count="1" selected="0">
            <x v="294"/>
          </reference>
          <reference field="14" count="1">
            <x v="67"/>
          </reference>
        </references>
      </pivotArea>
    </format>
    <format dxfId="7529">
      <pivotArea dataOnly="0" labelOnly="1" outline="0" fieldPosition="0">
        <references count="2">
          <reference field="11" count="1" selected="0">
            <x v="294"/>
          </reference>
          <reference field="14" count="1" defaultSubtotal="1">
            <x v="67"/>
          </reference>
        </references>
      </pivotArea>
    </format>
    <format dxfId="7528">
      <pivotArea dataOnly="0" labelOnly="1" outline="0" fieldPosition="0">
        <references count="2">
          <reference field="11" count="1" selected="0">
            <x v="295"/>
          </reference>
          <reference field="14" count="1">
            <x v="64"/>
          </reference>
        </references>
      </pivotArea>
    </format>
    <format dxfId="7527">
      <pivotArea dataOnly="0" labelOnly="1" outline="0" fieldPosition="0">
        <references count="2">
          <reference field="11" count="1" selected="0">
            <x v="295"/>
          </reference>
          <reference field="14" count="1" defaultSubtotal="1">
            <x v="64"/>
          </reference>
        </references>
      </pivotArea>
    </format>
    <format dxfId="7526">
      <pivotArea dataOnly="0" labelOnly="1" outline="0" fieldPosition="0">
        <references count="2">
          <reference field="11" count="1" selected="0">
            <x v="296"/>
          </reference>
          <reference field="14" count="1">
            <x v="143"/>
          </reference>
        </references>
      </pivotArea>
    </format>
    <format dxfId="7525">
      <pivotArea dataOnly="0" labelOnly="1" outline="0" fieldPosition="0">
        <references count="2">
          <reference field="11" count="1" selected="0">
            <x v="296"/>
          </reference>
          <reference field="14" count="1" defaultSubtotal="1">
            <x v="143"/>
          </reference>
        </references>
      </pivotArea>
    </format>
    <format dxfId="7524">
      <pivotArea dataOnly="0" labelOnly="1" outline="0" fieldPosition="0">
        <references count="2">
          <reference field="11" count="1" selected="0">
            <x v="297"/>
          </reference>
          <reference field="14" count="1">
            <x v="34"/>
          </reference>
        </references>
      </pivotArea>
    </format>
    <format dxfId="7523">
      <pivotArea dataOnly="0" labelOnly="1" outline="0" fieldPosition="0">
        <references count="2">
          <reference field="11" count="1" selected="0">
            <x v="297"/>
          </reference>
          <reference field="14" count="1" defaultSubtotal="1">
            <x v="34"/>
          </reference>
        </references>
      </pivotArea>
    </format>
    <format dxfId="7522">
      <pivotArea dataOnly="0" labelOnly="1" outline="0" fieldPosition="0">
        <references count="2">
          <reference field="11" count="1" selected="0">
            <x v="298"/>
          </reference>
          <reference field="14" count="1">
            <x v="310"/>
          </reference>
        </references>
      </pivotArea>
    </format>
    <format dxfId="7521">
      <pivotArea dataOnly="0" labelOnly="1" outline="0" fieldPosition="0">
        <references count="2">
          <reference field="11" count="1" selected="0">
            <x v="298"/>
          </reference>
          <reference field="14" count="1" defaultSubtotal="1">
            <x v="310"/>
          </reference>
        </references>
      </pivotArea>
    </format>
    <format dxfId="7520">
      <pivotArea dataOnly="0" labelOnly="1" outline="0" fieldPosition="0">
        <references count="2">
          <reference field="11" count="1" selected="0">
            <x v="299"/>
          </reference>
          <reference field="14" count="1">
            <x v="129"/>
          </reference>
        </references>
      </pivotArea>
    </format>
    <format dxfId="7519">
      <pivotArea dataOnly="0" labelOnly="1" outline="0" fieldPosition="0">
        <references count="2">
          <reference field="11" count="1" selected="0">
            <x v="299"/>
          </reference>
          <reference field="14" count="1" defaultSubtotal="1">
            <x v="129"/>
          </reference>
        </references>
      </pivotArea>
    </format>
    <format dxfId="7518">
      <pivotArea dataOnly="0" labelOnly="1" outline="0" fieldPosition="0">
        <references count="2">
          <reference field="11" count="1" selected="0">
            <x v="300"/>
          </reference>
          <reference field="14" count="1">
            <x v="393"/>
          </reference>
        </references>
      </pivotArea>
    </format>
    <format dxfId="7517">
      <pivotArea dataOnly="0" labelOnly="1" outline="0" fieldPosition="0">
        <references count="2">
          <reference field="11" count="1" selected="0">
            <x v="300"/>
          </reference>
          <reference field="14" count="1" defaultSubtotal="1">
            <x v="393"/>
          </reference>
        </references>
      </pivotArea>
    </format>
    <format dxfId="7516">
      <pivotArea dataOnly="0" labelOnly="1" outline="0" fieldPosition="0">
        <references count="2">
          <reference field="11" count="1" selected="0">
            <x v="301"/>
          </reference>
          <reference field="14" count="1">
            <x v="100"/>
          </reference>
        </references>
      </pivotArea>
    </format>
    <format dxfId="7515">
      <pivotArea dataOnly="0" labelOnly="1" outline="0" fieldPosition="0">
        <references count="2">
          <reference field="11" count="1" selected="0">
            <x v="301"/>
          </reference>
          <reference field="14" count="1" defaultSubtotal="1">
            <x v="100"/>
          </reference>
        </references>
      </pivotArea>
    </format>
    <format dxfId="7514">
      <pivotArea dataOnly="0" labelOnly="1" outline="0" fieldPosition="0">
        <references count="2">
          <reference field="11" count="1" selected="0">
            <x v="302"/>
          </reference>
          <reference field="14" count="1">
            <x v="62"/>
          </reference>
        </references>
      </pivotArea>
    </format>
    <format dxfId="7513">
      <pivotArea dataOnly="0" labelOnly="1" outline="0" fieldPosition="0">
        <references count="2">
          <reference field="11" count="1" selected="0">
            <x v="302"/>
          </reference>
          <reference field="14" count="1" defaultSubtotal="1">
            <x v="62"/>
          </reference>
        </references>
      </pivotArea>
    </format>
    <format dxfId="7512">
      <pivotArea dataOnly="0" labelOnly="1" outline="0" fieldPosition="0">
        <references count="2">
          <reference field="11" count="1" selected="0">
            <x v="303"/>
          </reference>
          <reference field="14" count="1">
            <x v="122"/>
          </reference>
        </references>
      </pivotArea>
    </format>
    <format dxfId="7511">
      <pivotArea dataOnly="0" labelOnly="1" outline="0" fieldPosition="0">
        <references count="2">
          <reference field="11" count="1" selected="0">
            <x v="303"/>
          </reference>
          <reference field="14" count="1" defaultSubtotal="1">
            <x v="122"/>
          </reference>
        </references>
      </pivotArea>
    </format>
    <format dxfId="7510">
      <pivotArea dataOnly="0" labelOnly="1" outline="0" fieldPosition="0">
        <references count="2">
          <reference field="11" count="1" selected="0">
            <x v="304"/>
          </reference>
          <reference field="14" count="1">
            <x v="464"/>
          </reference>
        </references>
      </pivotArea>
    </format>
    <format dxfId="7509">
      <pivotArea dataOnly="0" labelOnly="1" outline="0" fieldPosition="0">
        <references count="2">
          <reference field="11" count="1" selected="0">
            <x v="304"/>
          </reference>
          <reference field="14" count="1" defaultSubtotal="1">
            <x v="464"/>
          </reference>
        </references>
      </pivotArea>
    </format>
    <format dxfId="7508">
      <pivotArea dataOnly="0" labelOnly="1" outline="0" fieldPosition="0">
        <references count="2">
          <reference field="11" count="1" selected="0">
            <x v="305"/>
          </reference>
          <reference field="14" count="1">
            <x v="121"/>
          </reference>
        </references>
      </pivotArea>
    </format>
    <format dxfId="7507">
      <pivotArea dataOnly="0" labelOnly="1" outline="0" fieldPosition="0">
        <references count="2">
          <reference field="11" count="1" selected="0">
            <x v="305"/>
          </reference>
          <reference field="14" count="1" defaultSubtotal="1">
            <x v="121"/>
          </reference>
        </references>
      </pivotArea>
    </format>
    <format dxfId="7506">
      <pivotArea dataOnly="0" labelOnly="1" outline="0" fieldPosition="0">
        <references count="2">
          <reference field="11" count="1" selected="0">
            <x v="306"/>
          </reference>
          <reference field="14" count="1">
            <x v="178"/>
          </reference>
        </references>
      </pivotArea>
    </format>
    <format dxfId="7505">
      <pivotArea dataOnly="0" labelOnly="1" outline="0" fieldPosition="0">
        <references count="2">
          <reference field="11" count="1" selected="0">
            <x v="306"/>
          </reference>
          <reference field="14" count="1" defaultSubtotal="1">
            <x v="178"/>
          </reference>
        </references>
      </pivotArea>
    </format>
    <format dxfId="7504">
      <pivotArea dataOnly="0" labelOnly="1" outline="0" fieldPosition="0">
        <references count="2">
          <reference field="11" count="1" selected="0">
            <x v="307"/>
          </reference>
          <reference field="14" count="1">
            <x v="120"/>
          </reference>
        </references>
      </pivotArea>
    </format>
    <format dxfId="7503">
      <pivotArea dataOnly="0" labelOnly="1" outline="0" fieldPosition="0">
        <references count="2">
          <reference field="11" count="1" selected="0">
            <x v="307"/>
          </reference>
          <reference field="14" count="1" defaultSubtotal="1">
            <x v="120"/>
          </reference>
        </references>
      </pivotArea>
    </format>
    <format dxfId="7502">
      <pivotArea dataOnly="0" labelOnly="1" outline="0" fieldPosition="0">
        <references count="2">
          <reference field="11" count="1" selected="0">
            <x v="308"/>
          </reference>
          <reference field="14" count="1">
            <x v="127"/>
          </reference>
        </references>
      </pivotArea>
    </format>
    <format dxfId="7501">
      <pivotArea dataOnly="0" labelOnly="1" outline="0" fieldPosition="0">
        <references count="2">
          <reference field="11" count="1" selected="0">
            <x v="308"/>
          </reference>
          <reference field="14" count="1" defaultSubtotal="1">
            <x v="127"/>
          </reference>
        </references>
      </pivotArea>
    </format>
    <format dxfId="7500">
      <pivotArea dataOnly="0" labelOnly="1" outline="0" fieldPosition="0">
        <references count="2">
          <reference field="11" count="1" selected="0">
            <x v="309"/>
          </reference>
          <reference field="14" count="1">
            <x v="316"/>
          </reference>
        </references>
      </pivotArea>
    </format>
    <format dxfId="7499">
      <pivotArea dataOnly="0" labelOnly="1" outline="0" fieldPosition="0">
        <references count="2">
          <reference field="11" count="1" selected="0">
            <x v="309"/>
          </reference>
          <reference field="14" count="1" defaultSubtotal="1">
            <x v="316"/>
          </reference>
        </references>
      </pivotArea>
    </format>
    <format dxfId="7498">
      <pivotArea dataOnly="0" labelOnly="1" outline="0" fieldPosition="0">
        <references count="2">
          <reference field="11" count="1" selected="0">
            <x v="310"/>
          </reference>
          <reference field="14" count="1">
            <x v="376"/>
          </reference>
        </references>
      </pivotArea>
    </format>
    <format dxfId="7497">
      <pivotArea dataOnly="0" labelOnly="1" outline="0" fieldPosition="0">
        <references count="2">
          <reference field="11" count="1" selected="0">
            <x v="310"/>
          </reference>
          <reference field="14" count="1" defaultSubtotal="1">
            <x v="376"/>
          </reference>
        </references>
      </pivotArea>
    </format>
    <format dxfId="7496">
      <pivotArea dataOnly="0" labelOnly="1" outline="0" fieldPosition="0">
        <references count="2">
          <reference field="11" count="1" selected="0">
            <x v="311"/>
          </reference>
          <reference field="14" count="1">
            <x v="302"/>
          </reference>
        </references>
      </pivotArea>
    </format>
    <format dxfId="7495">
      <pivotArea dataOnly="0" labelOnly="1" outline="0" fieldPosition="0">
        <references count="2">
          <reference field="11" count="1" selected="0">
            <x v="311"/>
          </reference>
          <reference field="14" count="1" defaultSubtotal="1">
            <x v="302"/>
          </reference>
        </references>
      </pivotArea>
    </format>
    <format dxfId="7494">
      <pivotArea dataOnly="0" labelOnly="1" outline="0" fieldPosition="0">
        <references count="2">
          <reference field="11" count="1" selected="0">
            <x v="312"/>
          </reference>
          <reference field="14" count="1">
            <x v="130"/>
          </reference>
        </references>
      </pivotArea>
    </format>
    <format dxfId="7493">
      <pivotArea dataOnly="0" labelOnly="1" outline="0" fieldPosition="0">
        <references count="2">
          <reference field="11" count="1" selected="0">
            <x v="312"/>
          </reference>
          <reference field="14" count="1" defaultSubtotal="1">
            <x v="130"/>
          </reference>
        </references>
      </pivotArea>
    </format>
    <format dxfId="7492">
      <pivotArea dataOnly="0" labelOnly="1" outline="0" fieldPosition="0">
        <references count="2">
          <reference field="11" count="1" selected="0">
            <x v="313"/>
          </reference>
          <reference field="14" count="1">
            <x v="123"/>
          </reference>
        </references>
      </pivotArea>
    </format>
    <format dxfId="7491">
      <pivotArea dataOnly="0" labelOnly="1" outline="0" fieldPosition="0">
        <references count="2">
          <reference field="11" count="1" selected="0">
            <x v="313"/>
          </reference>
          <reference field="14" count="1" defaultSubtotal="1">
            <x v="123"/>
          </reference>
        </references>
      </pivotArea>
    </format>
    <format dxfId="7490">
      <pivotArea dataOnly="0" labelOnly="1" outline="0" fieldPosition="0">
        <references count="2">
          <reference field="11" count="1" selected="0">
            <x v="314"/>
          </reference>
          <reference field="14" count="1">
            <x v="8"/>
          </reference>
        </references>
      </pivotArea>
    </format>
    <format dxfId="7489">
      <pivotArea dataOnly="0" labelOnly="1" outline="0" fieldPosition="0">
        <references count="2">
          <reference field="11" count="1" selected="0">
            <x v="314"/>
          </reference>
          <reference field="14" count="1" defaultSubtotal="1">
            <x v="8"/>
          </reference>
        </references>
      </pivotArea>
    </format>
    <format dxfId="7488">
      <pivotArea dataOnly="0" labelOnly="1" outline="0" fieldPosition="0">
        <references count="2">
          <reference field="11" count="1" selected="0">
            <x v="315"/>
          </reference>
          <reference field="14" count="1">
            <x v="247"/>
          </reference>
        </references>
      </pivotArea>
    </format>
    <format dxfId="7487">
      <pivotArea dataOnly="0" labelOnly="1" outline="0" fieldPosition="0">
        <references count="2">
          <reference field="11" count="1" selected="0">
            <x v="315"/>
          </reference>
          <reference field="14" count="1" defaultSubtotal="1">
            <x v="247"/>
          </reference>
        </references>
      </pivotArea>
    </format>
    <format dxfId="7486">
      <pivotArea dataOnly="0" labelOnly="1" outline="0" fieldPosition="0">
        <references count="2">
          <reference field="11" count="1" selected="0">
            <x v="316"/>
          </reference>
          <reference field="14" count="1">
            <x v="44"/>
          </reference>
        </references>
      </pivotArea>
    </format>
    <format dxfId="7485">
      <pivotArea dataOnly="0" labelOnly="1" outline="0" fieldPosition="0">
        <references count="2">
          <reference field="11" count="1" selected="0">
            <x v="316"/>
          </reference>
          <reference field="14" count="1" defaultSubtotal="1">
            <x v="44"/>
          </reference>
        </references>
      </pivotArea>
    </format>
    <format dxfId="7484">
      <pivotArea dataOnly="0" labelOnly="1" outline="0" fieldPosition="0">
        <references count="2">
          <reference field="11" count="1" selected="0">
            <x v="317"/>
          </reference>
          <reference field="14" count="1">
            <x v="70"/>
          </reference>
        </references>
      </pivotArea>
    </format>
    <format dxfId="7483">
      <pivotArea dataOnly="0" labelOnly="1" outline="0" fieldPosition="0">
        <references count="2">
          <reference field="11" count="1" selected="0">
            <x v="317"/>
          </reference>
          <reference field="14" count="1" defaultSubtotal="1">
            <x v="70"/>
          </reference>
        </references>
      </pivotArea>
    </format>
    <format dxfId="7482">
      <pivotArea dataOnly="0" labelOnly="1" outline="0" fieldPosition="0">
        <references count="2">
          <reference field="11" count="1" selected="0">
            <x v="318"/>
          </reference>
          <reference field="14" count="1">
            <x v="68"/>
          </reference>
        </references>
      </pivotArea>
    </format>
    <format dxfId="7481">
      <pivotArea dataOnly="0" labelOnly="1" outline="0" fieldPosition="0">
        <references count="2">
          <reference field="11" count="1" selected="0">
            <x v="318"/>
          </reference>
          <reference field="14" count="1" defaultSubtotal="1">
            <x v="68"/>
          </reference>
        </references>
      </pivotArea>
    </format>
    <format dxfId="7480">
      <pivotArea dataOnly="0" labelOnly="1" outline="0" fieldPosition="0">
        <references count="2">
          <reference field="11" count="1" selected="0">
            <x v="319"/>
          </reference>
          <reference field="14" count="1">
            <x v="69"/>
          </reference>
        </references>
      </pivotArea>
    </format>
    <format dxfId="7479">
      <pivotArea dataOnly="0" labelOnly="1" outline="0" fieldPosition="0">
        <references count="2">
          <reference field="11" count="1" selected="0">
            <x v="319"/>
          </reference>
          <reference field="14" count="1" defaultSubtotal="1">
            <x v="69"/>
          </reference>
        </references>
      </pivotArea>
    </format>
    <format dxfId="7478">
      <pivotArea dataOnly="0" labelOnly="1" outline="0" fieldPosition="0">
        <references count="2">
          <reference field="11" count="1" selected="0">
            <x v="320"/>
          </reference>
          <reference field="14" count="1">
            <x v="35"/>
          </reference>
        </references>
      </pivotArea>
    </format>
    <format dxfId="7477">
      <pivotArea dataOnly="0" labelOnly="1" outline="0" fieldPosition="0">
        <references count="2">
          <reference field="11" count="1" selected="0">
            <x v="320"/>
          </reference>
          <reference field="14" count="1" defaultSubtotal="1">
            <x v="35"/>
          </reference>
        </references>
      </pivotArea>
    </format>
    <format dxfId="7476">
      <pivotArea dataOnly="0" labelOnly="1" outline="0" fieldPosition="0">
        <references count="2">
          <reference field="11" count="1" selected="0">
            <x v="321"/>
          </reference>
          <reference field="14" count="1">
            <x v="456"/>
          </reference>
        </references>
      </pivotArea>
    </format>
    <format dxfId="7475">
      <pivotArea dataOnly="0" labelOnly="1" outline="0" fieldPosition="0">
        <references count="2">
          <reference field="11" count="1" selected="0">
            <x v="321"/>
          </reference>
          <reference field="14" count="1" defaultSubtotal="1">
            <x v="456"/>
          </reference>
        </references>
      </pivotArea>
    </format>
    <format dxfId="7474">
      <pivotArea dataOnly="0" labelOnly="1" outline="0" fieldPosition="0">
        <references count="2">
          <reference field="11" count="1" selected="0">
            <x v="322"/>
          </reference>
          <reference field="14" count="1">
            <x v="243"/>
          </reference>
        </references>
      </pivotArea>
    </format>
    <format dxfId="7473">
      <pivotArea dataOnly="0" labelOnly="1" outline="0" fieldPosition="0">
        <references count="2">
          <reference field="11" count="1" selected="0">
            <x v="322"/>
          </reference>
          <reference field="14" count="1" defaultSubtotal="1">
            <x v="243"/>
          </reference>
        </references>
      </pivotArea>
    </format>
    <format dxfId="7472">
      <pivotArea dataOnly="0" labelOnly="1" outline="0" fieldPosition="0">
        <references count="2">
          <reference field="11" count="1" selected="0">
            <x v="323"/>
          </reference>
          <reference field="14" count="1">
            <x v="428"/>
          </reference>
        </references>
      </pivotArea>
    </format>
    <format dxfId="7471">
      <pivotArea dataOnly="0" labelOnly="1" outline="0" fieldPosition="0">
        <references count="2">
          <reference field="11" count="1" selected="0">
            <x v="323"/>
          </reference>
          <reference field="14" count="1" defaultSubtotal="1">
            <x v="428"/>
          </reference>
        </references>
      </pivotArea>
    </format>
    <format dxfId="7470">
      <pivotArea dataOnly="0" labelOnly="1" outline="0" fieldPosition="0">
        <references count="2">
          <reference field="11" count="1" selected="0">
            <x v="324"/>
          </reference>
          <reference field="14" count="1">
            <x v="9"/>
          </reference>
        </references>
      </pivotArea>
    </format>
    <format dxfId="7469">
      <pivotArea dataOnly="0" labelOnly="1" outline="0" fieldPosition="0">
        <references count="2">
          <reference field="11" count="1" selected="0">
            <x v="324"/>
          </reference>
          <reference field="14" count="1" defaultSubtotal="1">
            <x v="9"/>
          </reference>
        </references>
      </pivotArea>
    </format>
    <format dxfId="7468">
      <pivotArea dataOnly="0" labelOnly="1" outline="0" fieldPosition="0">
        <references count="2">
          <reference field="11" count="1" selected="0">
            <x v="325"/>
          </reference>
          <reference field="14" count="1">
            <x v="225"/>
          </reference>
        </references>
      </pivotArea>
    </format>
    <format dxfId="7467">
      <pivotArea dataOnly="0" labelOnly="1" outline="0" fieldPosition="0">
        <references count="2">
          <reference field="11" count="1" selected="0">
            <x v="325"/>
          </reference>
          <reference field="14" count="1" defaultSubtotal="1">
            <x v="225"/>
          </reference>
        </references>
      </pivotArea>
    </format>
    <format dxfId="7466">
      <pivotArea dataOnly="0" labelOnly="1" outline="0" fieldPosition="0">
        <references count="2">
          <reference field="11" count="1" selected="0">
            <x v="326"/>
          </reference>
          <reference field="14" count="1">
            <x v="370"/>
          </reference>
        </references>
      </pivotArea>
    </format>
    <format dxfId="7465">
      <pivotArea dataOnly="0" labelOnly="1" outline="0" fieldPosition="0">
        <references count="2">
          <reference field="11" count="1" selected="0">
            <x v="326"/>
          </reference>
          <reference field="14" count="1" defaultSubtotal="1">
            <x v="370"/>
          </reference>
        </references>
      </pivotArea>
    </format>
    <format dxfId="7464">
      <pivotArea dataOnly="0" labelOnly="1" outline="0" fieldPosition="0">
        <references count="2">
          <reference field="11" count="1" selected="0">
            <x v="327"/>
          </reference>
          <reference field="14" count="1">
            <x v="60"/>
          </reference>
        </references>
      </pivotArea>
    </format>
    <format dxfId="7463">
      <pivotArea dataOnly="0" labelOnly="1" outline="0" fieldPosition="0">
        <references count="2">
          <reference field="11" count="1" selected="0">
            <x v="327"/>
          </reference>
          <reference field="14" count="1" defaultSubtotal="1">
            <x v="60"/>
          </reference>
        </references>
      </pivotArea>
    </format>
    <format dxfId="7462">
      <pivotArea dataOnly="0" labelOnly="1" outline="0" fieldPosition="0">
        <references count="2">
          <reference field="11" count="1" selected="0">
            <x v="328"/>
          </reference>
          <reference field="14" count="1">
            <x v="159"/>
          </reference>
        </references>
      </pivotArea>
    </format>
    <format dxfId="7461">
      <pivotArea dataOnly="0" labelOnly="1" outline="0" fieldPosition="0">
        <references count="2">
          <reference field="11" count="1" selected="0">
            <x v="328"/>
          </reference>
          <reference field="14" count="1" defaultSubtotal="1">
            <x v="159"/>
          </reference>
        </references>
      </pivotArea>
    </format>
    <format dxfId="7460">
      <pivotArea dataOnly="0" labelOnly="1" outline="0" fieldPosition="0">
        <references count="2">
          <reference field="11" count="1" selected="0">
            <x v="329"/>
          </reference>
          <reference field="14" count="1">
            <x v="134"/>
          </reference>
        </references>
      </pivotArea>
    </format>
    <format dxfId="7459">
      <pivotArea dataOnly="0" labelOnly="1" outline="0" fieldPosition="0">
        <references count="2">
          <reference field="11" count="1" selected="0">
            <x v="329"/>
          </reference>
          <reference field="14" count="1" defaultSubtotal="1">
            <x v="134"/>
          </reference>
        </references>
      </pivotArea>
    </format>
    <format dxfId="7458">
      <pivotArea dataOnly="0" labelOnly="1" outline="0" fieldPosition="0">
        <references count="2">
          <reference field="11" count="1" selected="0">
            <x v="330"/>
          </reference>
          <reference field="14" count="1">
            <x v="170"/>
          </reference>
        </references>
      </pivotArea>
    </format>
    <format dxfId="7457">
      <pivotArea dataOnly="0" labelOnly="1" outline="0" fieldPosition="0">
        <references count="2">
          <reference field="11" count="1" selected="0">
            <x v="330"/>
          </reference>
          <reference field="14" count="1" defaultSubtotal="1">
            <x v="170"/>
          </reference>
        </references>
      </pivotArea>
    </format>
    <format dxfId="7456">
      <pivotArea dataOnly="0" labelOnly="1" outline="0" fieldPosition="0">
        <references count="2">
          <reference field="11" count="1" selected="0">
            <x v="331"/>
          </reference>
          <reference field="14" count="1">
            <x v="132"/>
          </reference>
        </references>
      </pivotArea>
    </format>
    <format dxfId="7455">
      <pivotArea dataOnly="0" labelOnly="1" outline="0" fieldPosition="0">
        <references count="2">
          <reference field="11" count="1" selected="0">
            <x v="331"/>
          </reference>
          <reference field="14" count="1" defaultSubtotal="1">
            <x v="132"/>
          </reference>
        </references>
      </pivotArea>
    </format>
    <format dxfId="7454">
      <pivotArea dataOnly="0" labelOnly="1" outline="0" fieldPosition="0">
        <references count="2">
          <reference field="11" count="1" selected="0">
            <x v="332"/>
          </reference>
          <reference field="14" count="1">
            <x v="74"/>
          </reference>
        </references>
      </pivotArea>
    </format>
    <format dxfId="7453">
      <pivotArea dataOnly="0" labelOnly="1" outline="0" fieldPosition="0">
        <references count="2">
          <reference field="11" count="1" selected="0">
            <x v="332"/>
          </reference>
          <reference field="14" count="1" defaultSubtotal="1">
            <x v="74"/>
          </reference>
        </references>
      </pivotArea>
    </format>
    <format dxfId="7452">
      <pivotArea dataOnly="0" labelOnly="1" outline="0" fieldPosition="0">
        <references count="2">
          <reference field="11" count="1" selected="0">
            <x v="333"/>
          </reference>
          <reference field="14" count="1">
            <x v="202"/>
          </reference>
        </references>
      </pivotArea>
    </format>
    <format dxfId="7451">
      <pivotArea dataOnly="0" labelOnly="1" outline="0" fieldPosition="0">
        <references count="2">
          <reference field="11" count="1" selected="0">
            <x v="333"/>
          </reference>
          <reference field="14" count="1" defaultSubtotal="1">
            <x v="202"/>
          </reference>
        </references>
      </pivotArea>
    </format>
    <format dxfId="7450">
      <pivotArea dataOnly="0" labelOnly="1" outline="0" fieldPosition="0">
        <references count="2">
          <reference field="11" count="1" selected="0">
            <x v="334"/>
          </reference>
          <reference field="14" count="1">
            <x v="384"/>
          </reference>
        </references>
      </pivotArea>
    </format>
    <format dxfId="7449">
      <pivotArea dataOnly="0" labelOnly="1" outline="0" fieldPosition="0">
        <references count="2">
          <reference field="11" count="1" selected="0">
            <x v="334"/>
          </reference>
          <reference field="14" count="1" defaultSubtotal="1">
            <x v="384"/>
          </reference>
        </references>
      </pivotArea>
    </format>
    <format dxfId="7448">
      <pivotArea dataOnly="0" labelOnly="1" outline="0" fieldPosition="0">
        <references count="2">
          <reference field="11" count="1" selected="0">
            <x v="335"/>
          </reference>
          <reference field="14" count="1">
            <x v="309"/>
          </reference>
        </references>
      </pivotArea>
    </format>
    <format dxfId="7447">
      <pivotArea dataOnly="0" labelOnly="1" outline="0" fieldPosition="0">
        <references count="2">
          <reference field="11" count="1" selected="0">
            <x v="335"/>
          </reference>
          <reference field="14" count="1" defaultSubtotal="1">
            <x v="309"/>
          </reference>
        </references>
      </pivotArea>
    </format>
    <format dxfId="7446">
      <pivotArea dataOnly="0" labelOnly="1" outline="0" fieldPosition="0">
        <references count="2">
          <reference field="11" count="1" selected="0">
            <x v="336"/>
          </reference>
          <reference field="14" count="1">
            <x v="382"/>
          </reference>
        </references>
      </pivotArea>
    </format>
    <format dxfId="7445">
      <pivotArea dataOnly="0" labelOnly="1" outline="0" fieldPosition="0">
        <references count="2">
          <reference field="11" count="1" selected="0">
            <x v="336"/>
          </reference>
          <reference field="14" count="1" defaultSubtotal="1">
            <x v="382"/>
          </reference>
        </references>
      </pivotArea>
    </format>
    <format dxfId="7444">
      <pivotArea dataOnly="0" labelOnly="1" outline="0" fieldPosition="0">
        <references count="2">
          <reference field="11" count="1" selected="0">
            <x v="337"/>
          </reference>
          <reference field="14" count="1">
            <x v="71"/>
          </reference>
        </references>
      </pivotArea>
    </format>
    <format dxfId="7443">
      <pivotArea dataOnly="0" labelOnly="1" outline="0" fieldPosition="0">
        <references count="2">
          <reference field="11" count="1" selected="0">
            <x v="337"/>
          </reference>
          <reference field="14" count="1" defaultSubtotal="1">
            <x v="71"/>
          </reference>
        </references>
      </pivotArea>
    </format>
    <format dxfId="7442">
      <pivotArea dataOnly="0" labelOnly="1" outline="0" fieldPosition="0">
        <references count="2">
          <reference field="11" count="1" selected="0">
            <x v="338"/>
          </reference>
          <reference field="14" count="1">
            <x v="314"/>
          </reference>
        </references>
      </pivotArea>
    </format>
    <format dxfId="7441">
      <pivotArea dataOnly="0" labelOnly="1" outline="0" fieldPosition="0">
        <references count="2">
          <reference field="11" count="1" selected="0">
            <x v="338"/>
          </reference>
          <reference field="14" count="1" defaultSubtotal="1">
            <x v="314"/>
          </reference>
        </references>
      </pivotArea>
    </format>
    <format dxfId="7440">
      <pivotArea dataOnly="0" labelOnly="1" outline="0" fieldPosition="0">
        <references count="2">
          <reference field="11" count="1" selected="0">
            <x v="339"/>
          </reference>
          <reference field="14" count="1">
            <x v="160"/>
          </reference>
        </references>
      </pivotArea>
    </format>
    <format dxfId="7439">
      <pivotArea dataOnly="0" labelOnly="1" outline="0" fieldPosition="0">
        <references count="2">
          <reference field="11" count="1" selected="0">
            <x v="339"/>
          </reference>
          <reference field="14" count="1" defaultSubtotal="1">
            <x v="160"/>
          </reference>
        </references>
      </pivotArea>
    </format>
    <format dxfId="7438">
      <pivotArea dataOnly="0" labelOnly="1" outline="0" fieldPosition="0">
        <references count="2">
          <reference field="11" count="1" selected="0">
            <x v="340"/>
          </reference>
          <reference field="14" count="1">
            <x v="155"/>
          </reference>
        </references>
      </pivotArea>
    </format>
    <format dxfId="7437">
      <pivotArea dataOnly="0" labelOnly="1" outline="0" fieldPosition="0">
        <references count="2">
          <reference field="11" count="1" selected="0">
            <x v="340"/>
          </reference>
          <reference field="14" count="1" defaultSubtotal="1">
            <x v="155"/>
          </reference>
        </references>
      </pivotArea>
    </format>
    <format dxfId="7436">
      <pivotArea dataOnly="0" labelOnly="1" outline="0" fieldPosition="0">
        <references count="2">
          <reference field="11" count="1" selected="0">
            <x v="341"/>
          </reference>
          <reference field="14" count="1">
            <x v="163"/>
          </reference>
        </references>
      </pivotArea>
    </format>
    <format dxfId="7435">
      <pivotArea dataOnly="0" labelOnly="1" outline="0" fieldPosition="0">
        <references count="2">
          <reference field="11" count="1" selected="0">
            <x v="341"/>
          </reference>
          <reference field="14" count="1" defaultSubtotal="1">
            <x v="163"/>
          </reference>
        </references>
      </pivotArea>
    </format>
    <format dxfId="7434">
      <pivotArea dataOnly="0" labelOnly="1" outline="0" fieldPosition="0">
        <references count="2">
          <reference field="11" count="1" selected="0">
            <x v="342"/>
          </reference>
          <reference field="14" count="1">
            <x v="156"/>
          </reference>
        </references>
      </pivotArea>
    </format>
    <format dxfId="7433">
      <pivotArea dataOnly="0" labelOnly="1" outline="0" fieldPosition="0">
        <references count="2">
          <reference field="11" count="1" selected="0">
            <x v="342"/>
          </reference>
          <reference field="14" count="1" defaultSubtotal="1">
            <x v="156"/>
          </reference>
        </references>
      </pivotArea>
    </format>
    <format dxfId="7432">
      <pivotArea dataOnly="0" labelOnly="1" outline="0" fieldPosition="0">
        <references count="2">
          <reference field="11" count="1" selected="0">
            <x v="343"/>
          </reference>
          <reference field="14" count="1">
            <x v="293"/>
          </reference>
        </references>
      </pivotArea>
    </format>
    <format dxfId="7431">
      <pivotArea dataOnly="0" labelOnly="1" outline="0" fieldPosition="0">
        <references count="2">
          <reference field="11" count="1" selected="0">
            <x v="343"/>
          </reference>
          <reference field="14" count="1" defaultSubtotal="1">
            <x v="293"/>
          </reference>
        </references>
      </pivotArea>
    </format>
    <format dxfId="7430">
      <pivotArea dataOnly="0" labelOnly="1" outline="0" fieldPosition="0">
        <references count="2">
          <reference field="11" count="1" selected="0">
            <x v="344"/>
          </reference>
          <reference field="14" count="1">
            <x v="253"/>
          </reference>
        </references>
      </pivotArea>
    </format>
    <format dxfId="7429">
      <pivotArea dataOnly="0" labelOnly="1" outline="0" fieldPosition="0">
        <references count="2">
          <reference field="11" count="1" selected="0">
            <x v="344"/>
          </reference>
          <reference field="14" count="1" defaultSubtotal="1">
            <x v="253"/>
          </reference>
        </references>
      </pivotArea>
    </format>
    <format dxfId="7428">
      <pivotArea dataOnly="0" labelOnly="1" outline="0" fieldPosition="0">
        <references count="2">
          <reference field="11" count="1" selected="0">
            <x v="345"/>
          </reference>
          <reference field="14" count="1" defaultSubtotal="1">
            <x v="209"/>
          </reference>
        </references>
      </pivotArea>
    </format>
    <format dxfId="7427">
      <pivotArea dataOnly="0" labelOnly="1" outline="0" fieldPosition="0">
        <references count="2">
          <reference field="11" count="1" selected="0">
            <x v="346"/>
          </reference>
          <reference field="14" count="1">
            <x v="315"/>
          </reference>
        </references>
      </pivotArea>
    </format>
    <format dxfId="7426">
      <pivotArea dataOnly="0" labelOnly="1" outline="0" fieldPosition="0">
        <references count="2">
          <reference field="11" count="1" selected="0">
            <x v="346"/>
          </reference>
          <reference field="14" count="1" defaultSubtotal="1">
            <x v="315"/>
          </reference>
        </references>
      </pivotArea>
    </format>
    <format dxfId="7425">
      <pivotArea dataOnly="0" labelOnly="1" outline="0" fieldPosition="0">
        <references count="2">
          <reference field="11" count="1" selected="0">
            <x v="347"/>
          </reference>
          <reference field="14" count="1">
            <x v="257"/>
          </reference>
        </references>
      </pivotArea>
    </format>
    <format dxfId="7424">
      <pivotArea dataOnly="0" labelOnly="1" outline="0" fieldPosition="0">
        <references count="2">
          <reference field="11" count="1" selected="0">
            <x v="347"/>
          </reference>
          <reference field="14" count="1" defaultSubtotal="1">
            <x v="257"/>
          </reference>
        </references>
      </pivotArea>
    </format>
    <format dxfId="7423">
      <pivotArea dataOnly="0" labelOnly="1" outline="0" fieldPosition="0">
        <references count="2">
          <reference field="11" count="1" selected="0">
            <x v="348"/>
          </reference>
          <reference field="14" count="1">
            <x v="448"/>
          </reference>
        </references>
      </pivotArea>
    </format>
    <format dxfId="7422">
      <pivotArea dataOnly="0" labelOnly="1" outline="0" fieldPosition="0">
        <references count="2">
          <reference field="11" count="1" selected="0">
            <x v="348"/>
          </reference>
          <reference field="14" count="1" defaultSubtotal="1">
            <x v="448"/>
          </reference>
        </references>
      </pivotArea>
    </format>
    <format dxfId="7421">
      <pivotArea dataOnly="0" labelOnly="1" outline="0" fieldPosition="0">
        <references count="2">
          <reference field="11" count="1" selected="0">
            <x v="349"/>
          </reference>
          <reference field="14" count="1">
            <x v="331"/>
          </reference>
        </references>
      </pivotArea>
    </format>
    <format dxfId="7420">
      <pivotArea dataOnly="0" labelOnly="1" outline="0" fieldPosition="0">
        <references count="2">
          <reference field="11" count="1" selected="0">
            <x v="349"/>
          </reference>
          <reference field="14" count="1" defaultSubtotal="1">
            <x v="331"/>
          </reference>
        </references>
      </pivotArea>
    </format>
    <format dxfId="7419">
      <pivotArea dataOnly="0" labelOnly="1" outline="0" fieldPosition="0">
        <references count="2">
          <reference field="11" count="1" selected="0">
            <x v="350"/>
          </reference>
          <reference field="14" count="1">
            <x v="221"/>
          </reference>
        </references>
      </pivotArea>
    </format>
    <format dxfId="7418">
      <pivotArea dataOnly="0" labelOnly="1" outline="0" fieldPosition="0">
        <references count="2">
          <reference field="11" count="1" selected="0">
            <x v="350"/>
          </reference>
          <reference field="14" count="1" defaultSubtotal="1">
            <x v="221"/>
          </reference>
        </references>
      </pivotArea>
    </format>
    <format dxfId="7417">
      <pivotArea dataOnly="0" labelOnly="1" outline="0" fieldPosition="0">
        <references count="2">
          <reference field="11" count="1" selected="0">
            <x v="351"/>
          </reference>
          <reference field="14" count="1">
            <x v="199"/>
          </reference>
        </references>
      </pivotArea>
    </format>
    <format dxfId="7416">
      <pivotArea dataOnly="0" labelOnly="1" outline="0" fieldPosition="0">
        <references count="2">
          <reference field="11" count="1" selected="0">
            <x v="351"/>
          </reference>
          <reference field="14" count="1" defaultSubtotal="1">
            <x v="199"/>
          </reference>
        </references>
      </pivotArea>
    </format>
    <format dxfId="7415">
      <pivotArea dataOnly="0" labelOnly="1" outline="0" fieldPosition="0">
        <references count="2">
          <reference field="11" count="1" selected="0">
            <x v="352"/>
          </reference>
          <reference field="14" count="1">
            <x v="78"/>
          </reference>
        </references>
      </pivotArea>
    </format>
    <format dxfId="7414">
      <pivotArea dataOnly="0" labelOnly="1" outline="0" fieldPosition="0">
        <references count="2">
          <reference field="11" count="1" selected="0">
            <x v="352"/>
          </reference>
          <reference field="14" count="1" defaultSubtotal="1">
            <x v="78"/>
          </reference>
        </references>
      </pivotArea>
    </format>
    <format dxfId="7413">
      <pivotArea dataOnly="0" labelOnly="1" outline="0" fieldPosition="0">
        <references count="2">
          <reference field="11" count="1" selected="0">
            <x v="353"/>
          </reference>
          <reference field="14" count="1">
            <x v="18"/>
          </reference>
        </references>
      </pivotArea>
    </format>
    <format dxfId="7412">
      <pivotArea dataOnly="0" labelOnly="1" outline="0" fieldPosition="0">
        <references count="2">
          <reference field="11" count="1" selected="0">
            <x v="353"/>
          </reference>
          <reference field="14" count="1" defaultSubtotal="1">
            <x v="18"/>
          </reference>
        </references>
      </pivotArea>
    </format>
    <format dxfId="7411">
      <pivotArea dataOnly="0" labelOnly="1" outline="0" fieldPosition="0">
        <references count="2">
          <reference field="11" count="1" selected="0">
            <x v="354"/>
          </reference>
          <reference field="14" count="1">
            <x v="135"/>
          </reference>
        </references>
      </pivotArea>
    </format>
    <format dxfId="7410">
      <pivotArea dataOnly="0" labelOnly="1" outline="0" fieldPosition="0">
        <references count="2">
          <reference field="11" count="1" selected="0">
            <x v="354"/>
          </reference>
          <reference field="14" count="1" defaultSubtotal="1">
            <x v="135"/>
          </reference>
        </references>
      </pivotArea>
    </format>
    <format dxfId="7409">
      <pivotArea dataOnly="0" labelOnly="1" outline="0" fieldPosition="0">
        <references count="2">
          <reference field="11" count="1" selected="0">
            <x v="355"/>
          </reference>
          <reference field="14" count="1">
            <x v="296"/>
          </reference>
        </references>
      </pivotArea>
    </format>
    <format dxfId="7408">
      <pivotArea dataOnly="0" labelOnly="1" outline="0" fieldPosition="0">
        <references count="2">
          <reference field="11" count="1" selected="0">
            <x v="355"/>
          </reference>
          <reference field="14" count="1" defaultSubtotal="1">
            <x v="296"/>
          </reference>
        </references>
      </pivotArea>
    </format>
    <format dxfId="7407">
      <pivotArea dataOnly="0" labelOnly="1" outline="0" fieldPosition="0">
        <references count="2">
          <reference field="11" count="1" selected="0">
            <x v="356"/>
          </reference>
          <reference field="14" count="1">
            <x v="299"/>
          </reference>
        </references>
      </pivotArea>
    </format>
    <format dxfId="7406">
      <pivotArea dataOnly="0" labelOnly="1" outline="0" fieldPosition="0">
        <references count="2">
          <reference field="11" count="1" selected="0">
            <x v="356"/>
          </reference>
          <reference field="14" count="1" defaultSubtotal="1">
            <x v="299"/>
          </reference>
        </references>
      </pivotArea>
    </format>
    <format dxfId="7405">
      <pivotArea dataOnly="0" labelOnly="1" outline="0" fieldPosition="0">
        <references count="2">
          <reference field="11" count="1" selected="0">
            <x v="357"/>
          </reference>
          <reference field="14" count="1">
            <x v="298"/>
          </reference>
        </references>
      </pivotArea>
    </format>
    <format dxfId="7404">
      <pivotArea dataOnly="0" labelOnly="1" outline="0" fieldPosition="0">
        <references count="2">
          <reference field="11" count="1" selected="0">
            <x v="357"/>
          </reference>
          <reference field="14" count="1" defaultSubtotal="1">
            <x v="298"/>
          </reference>
        </references>
      </pivotArea>
    </format>
    <format dxfId="7403">
      <pivotArea dataOnly="0" labelOnly="1" outline="0" fieldPosition="0">
        <references count="2">
          <reference field="11" count="1" selected="0">
            <x v="358"/>
          </reference>
          <reference field="14" count="1">
            <x v="292"/>
          </reference>
        </references>
      </pivotArea>
    </format>
    <format dxfId="7402">
      <pivotArea dataOnly="0" labelOnly="1" outline="0" fieldPosition="0">
        <references count="2">
          <reference field="11" count="1" selected="0">
            <x v="358"/>
          </reference>
          <reference field="14" count="1" defaultSubtotal="1">
            <x v="292"/>
          </reference>
        </references>
      </pivotArea>
    </format>
    <format dxfId="7401">
      <pivotArea dataOnly="0" labelOnly="1" outline="0" fieldPosition="0">
        <references count="2">
          <reference field="11" count="1" selected="0">
            <x v="359"/>
          </reference>
          <reference field="14" count="1">
            <x v="39"/>
          </reference>
        </references>
      </pivotArea>
    </format>
    <format dxfId="7400">
      <pivotArea dataOnly="0" labelOnly="1" outline="0" fieldPosition="0">
        <references count="2">
          <reference field="11" count="1" selected="0">
            <x v="359"/>
          </reference>
          <reference field="14" count="1" defaultSubtotal="1">
            <x v="39"/>
          </reference>
        </references>
      </pivotArea>
    </format>
    <format dxfId="7399">
      <pivotArea dataOnly="0" labelOnly="1" outline="0" fieldPosition="0">
        <references count="2">
          <reference field="11" count="1" selected="0">
            <x v="360"/>
          </reference>
          <reference field="14" count="1">
            <x v="24"/>
          </reference>
        </references>
      </pivotArea>
    </format>
    <format dxfId="7398">
      <pivotArea dataOnly="0" labelOnly="1" outline="0" fieldPosition="0">
        <references count="2">
          <reference field="11" count="1" selected="0">
            <x v="360"/>
          </reference>
          <reference field="14" count="1" defaultSubtotal="1">
            <x v="24"/>
          </reference>
        </references>
      </pivotArea>
    </format>
    <format dxfId="7397">
      <pivotArea dataOnly="0" labelOnly="1" outline="0" fieldPosition="0">
        <references count="2">
          <reference field="11" count="1" selected="0">
            <x v="361"/>
          </reference>
          <reference field="14" count="1">
            <x v="352"/>
          </reference>
        </references>
      </pivotArea>
    </format>
    <format dxfId="7396">
      <pivotArea dataOnly="0" labelOnly="1" outline="0" fieldPosition="0">
        <references count="2">
          <reference field="11" count="1" selected="0">
            <x v="361"/>
          </reference>
          <reference field="14" count="1" defaultSubtotal="1">
            <x v="352"/>
          </reference>
        </references>
      </pivotArea>
    </format>
    <format dxfId="7395">
      <pivotArea dataOnly="0" labelOnly="1" outline="0" fieldPosition="0">
        <references count="2">
          <reference field="11" count="1" selected="0">
            <x v="362"/>
          </reference>
          <reference field="14" count="1">
            <x v="21"/>
          </reference>
        </references>
      </pivotArea>
    </format>
    <format dxfId="7394">
      <pivotArea dataOnly="0" labelOnly="1" outline="0" fieldPosition="0">
        <references count="2">
          <reference field="11" count="1" selected="0">
            <x v="362"/>
          </reference>
          <reference field="14" count="1" defaultSubtotal="1">
            <x v="21"/>
          </reference>
        </references>
      </pivotArea>
    </format>
    <format dxfId="7393">
      <pivotArea dataOnly="0" labelOnly="1" outline="0" fieldPosition="0">
        <references count="2">
          <reference field="11" count="1" selected="0">
            <x v="363"/>
          </reference>
          <reference field="14" count="1">
            <x v="6"/>
          </reference>
        </references>
      </pivotArea>
    </format>
    <format dxfId="7392">
      <pivotArea dataOnly="0" labelOnly="1" outline="0" fieldPosition="0">
        <references count="2">
          <reference field="11" count="1" selected="0">
            <x v="363"/>
          </reference>
          <reference field="14" count="1" defaultSubtotal="1">
            <x v="6"/>
          </reference>
        </references>
      </pivotArea>
    </format>
    <format dxfId="7391">
      <pivotArea dataOnly="0" labelOnly="1" outline="0" fieldPosition="0">
        <references count="2">
          <reference field="11" count="1" selected="0">
            <x v="364"/>
          </reference>
          <reference field="14" count="1">
            <x v="212"/>
          </reference>
        </references>
      </pivotArea>
    </format>
    <format dxfId="7390">
      <pivotArea dataOnly="0" labelOnly="1" outline="0" fieldPosition="0">
        <references count="2">
          <reference field="11" count="1" selected="0">
            <x v="364"/>
          </reference>
          <reference field="14" count="1" defaultSubtotal="1">
            <x v="212"/>
          </reference>
        </references>
      </pivotArea>
    </format>
    <format dxfId="7389">
      <pivotArea dataOnly="0" labelOnly="1" outline="0" fieldPosition="0">
        <references count="2">
          <reference field="11" count="1" selected="0">
            <x v="365"/>
          </reference>
          <reference field="14" count="1">
            <x v="284"/>
          </reference>
        </references>
      </pivotArea>
    </format>
    <format dxfId="7388">
      <pivotArea dataOnly="0" labelOnly="1" outline="0" fieldPosition="0">
        <references count="2">
          <reference field="11" count="1" selected="0">
            <x v="365"/>
          </reference>
          <reference field="14" count="1" defaultSubtotal="1">
            <x v="284"/>
          </reference>
        </references>
      </pivotArea>
    </format>
    <format dxfId="7387">
      <pivotArea dataOnly="0" labelOnly="1" outline="0" fieldPosition="0">
        <references count="2">
          <reference field="11" count="1" selected="0">
            <x v="366"/>
          </reference>
          <reference field="14" count="1">
            <x v="254"/>
          </reference>
        </references>
      </pivotArea>
    </format>
    <format dxfId="7386">
      <pivotArea dataOnly="0" labelOnly="1" outline="0" fieldPosition="0">
        <references count="2">
          <reference field="11" count="1" selected="0">
            <x v="366"/>
          </reference>
          <reference field="14" count="1" defaultSubtotal="1">
            <x v="254"/>
          </reference>
        </references>
      </pivotArea>
    </format>
    <format dxfId="7385">
      <pivotArea dataOnly="0" labelOnly="1" outline="0" fieldPosition="0">
        <references count="2">
          <reference field="11" count="1" selected="0">
            <x v="367"/>
          </reference>
          <reference field="14" count="1">
            <x v="457"/>
          </reference>
        </references>
      </pivotArea>
    </format>
    <format dxfId="7384">
      <pivotArea dataOnly="0" labelOnly="1" outline="0" fieldPosition="0">
        <references count="2">
          <reference field="11" count="1" selected="0">
            <x v="367"/>
          </reference>
          <reference field="14" count="1" defaultSubtotal="1">
            <x v="457"/>
          </reference>
        </references>
      </pivotArea>
    </format>
    <format dxfId="7383">
      <pivotArea dataOnly="0" labelOnly="1" outline="0" fieldPosition="0">
        <references count="2">
          <reference field="11" count="1" selected="0">
            <x v="368"/>
          </reference>
          <reference field="14" count="1">
            <x v="2"/>
          </reference>
        </references>
      </pivotArea>
    </format>
    <format dxfId="7382">
      <pivotArea dataOnly="0" labelOnly="1" outline="0" fieldPosition="0">
        <references count="2">
          <reference field="11" count="1" selected="0">
            <x v="368"/>
          </reference>
          <reference field="14" count="1" defaultSubtotal="1">
            <x v="2"/>
          </reference>
        </references>
      </pivotArea>
    </format>
    <format dxfId="7381">
      <pivotArea dataOnly="0" labelOnly="1" outline="0" fieldPosition="0">
        <references count="2">
          <reference field="11" count="1" selected="0">
            <x v="369"/>
          </reference>
          <reference field="14" count="1">
            <x v="147"/>
          </reference>
        </references>
      </pivotArea>
    </format>
    <format dxfId="7380">
      <pivotArea dataOnly="0" labelOnly="1" outline="0" fieldPosition="0">
        <references count="2">
          <reference field="11" count="1" selected="0">
            <x v="369"/>
          </reference>
          <reference field="14" count="1" defaultSubtotal="1">
            <x v="147"/>
          </reference>
        </references>
      </pivotArea>
    </format>
    <format dxfId="7379">
      <pivotArea dataOnly="0" labelOnly="1" outline="0" fieldPosition="0">
        <references count="2">
          <reference field="11" count="1" selected="0">
            <x v="370"/>
          </reference>
          <reference field="14" count="1">
            <x v="112"/>
          </reference>
        </references>
      </pivotArea>
    </format>
    <format dxfId="7378">
      <pivotArea dataOnly="0" labelOnly="1" outline="0" fieldPosition="0">
        <references count="2">
          <reference field="11" count="1" selected="0">
            <x v="370"/>
          </reference>
          <reference field="14" count="1" defaultSubtotal="1">
            <x v="112"/>
          </reference>
        </references>
      </pivotArea>
    </format>
    <format dxfId="7377">
      <pivotArea dataOnly="0" labelOnly="1" outline="0" fieldPosition="0">
        <references count="2">
          <reference field="11" count="1" selected="0">
            <x v="371"/>
          </reference>
          <reference field="14" count="1">
            <x v="81"/>
          </reference>
        </references>
      </pivotArea>
    </format>
    <format dxfId="7376">
      <pivotArea dataOnly="0" labelOnly="1" outline="0" fieldPosition="0">
        <references count="2">
          <reference field="11" count="1" selected="0">
            <x v="371"/>
          </reference>
          <reference field="14" count="1" defaultSubtotal="1">
            <x v="81"/>
          </reference>
        </references>
      </pivotArea>
    </format>
    <format dxfId="7375">
      <pivotArea dataOnly="0" labelOnly="1" outline="0" fieldPosition="0">
        <references count="2">
          <reference field="11" count="1" selected="0">
            <x v="372"/>
          </reference>
          <reference field="14" count="1">
            <x v="82"/>
          </reference>
        </references>
      </pivotArea>
    </format>
    <format dxfId="7374">
      <pivotArea dataOnly="0" labelOnly="1" outline="0" fieldPosition="0">
        <references count="2">
          <reference field="11" count="1" selected="0">
            <x v="372"/>
          </reference>
          <reference field="14" count="1" defaultSubtotal="1">
            <x v="82"/>
          </reference>
        </references>
      </pivotArea>
    </format>
    <format dxfId="7373">
      <pivotArea dataOnly="0" labelOnly="1" outline="0" fieldPosition="0">
        <references count="2">
          <reference field="11" count="1" selected="0">
            <x v="373"/>
          </reference>
          <reference field="14" count="1">
            <x v="85"/>
          </reference>
        </references>
      </pivotArea>
    </format>
    <format dxfId="7372">
      <pivotArea dataOnly="0" labelOnly="1" outline="0" fieldPosition="0">
        <references count="2">
          <reference field="11" count="1" selected="0">
            <x v="373"/>
          </reference>
          <reference field="14" count="1" defaultSubtotal="1">
            <x v="85"/>
          </reference>
        </references>
      </pivotArea>
    </format>
    <format dxfId="7371">
      <pivotArea dataOnly="0" labelOnly="1" outline="0" fieldPosition="0">
        <references count="2">
          <reference field="11" count="1" selected="0">
            <x v="374"/>
          </reference>
          <reference field="14" count="1">
            <x v="89"/>
          </reference>
        </references>
      </pivotArea>
    </format>
    <format dxfId="7370">
      <pivotArea dataOnly="0" labelOnly="1" outline="0" fieldPosition="0">
        <references count="2">
          <reference field="11" count="1" selected="0">
            <x v="374"/>
          </reference>
          <reference field="14" count="1" defaultSubtotal="1">
            <x v="89"/>
          </reference>
        </references>
      </pivotArea>
    </format>
    <format dxfId="7369">
      <pivotArea dataOnly="0" labelOnly="1" outline="0" fieldPosition="0">
        <references count="2">
          <reference field="11" count="1" selected="0">
            <x v="375"/>
          </reference>
          <reference field="14" count="1">
            <x v="88"/>
          </reference>
        </references>
      </pivotArea>
    </format>
    <format dxfId="7368">
      <pivotArea dataOnly="0" labelOnly="1" outline="0" fieldPosition="0">
        <references count="2">
          <reference field="11" count="1" selected="0">
            <x v="375"/>
          </reference>
          <reference field="14" count="1" defaultSubtotal="1">
            <x v="88"/>
          </reference>
        </references>
      </pivotArea>
    </format>
    <format dxfId="7367">
      <pivotArea dataOnly="0" labelOnly="1" outline="0" fieldPosition="0">
        <references count="2">
          <reference field="11" count="1" selected="0">
            <x v="376"/>
          </reference>
          <reference field="14" count="1">
            <x v="87"/>
          </reference>
        </references>
      </pivotArea>
    </format>
    <format dxfId="7366">
      <pivotArea dataOnly="0" labelOnly="1" outline="0" fieldPosition="0">
        <references count="2">
          <reference field="11" count="1" selected="0">
            <x v="376"/>
          </reference>
          <reference field="14" count="1" defaultSubtotal="1">
            <x v="87"/>
          </reference>
        </references>
      </pivotArea>
    </format>
    <format dxfId="7365">
      <pivotArea dataOnly="0" labelOnly="1" outline="0" fieldPosition="0">
        <references count="2">
          <reference field="11" count="1" selected="0">
            <x v="377"/>
          </reference>
          <reference field="14" count="1">
            <x v="79"/>
          </reference>
        </references>
      </pivotArea>
    </format>
    <format dxfId="7364">
      <pivotArea dataOnly="0" labelOnly="1" outline="0" fieldPosition="0">
        <references count="2">
          <reference field="11" count="1" selected="0">
            <x v="377"/>
          </reference>
          <reference field="14" count="1" defaultSubtotal="1">
            <x v="79"/>
          </reference>
        </references>
      </pivotArea>
    </format>
    <format dxfId="7363">
      <pivotArea dataOnly="0" labelOnly="1" outline="0" fieldPosition="0">
        <references count="2">
          <reference field="11" count="1" selected="0">
            <x v="378"/>
          </reference>
          <reference field="14" count="1">
            <x v="92"/>
          </reference>
        </references>
      </pivotArea>
    </format>
    <format dxfId="7362">
      <pivotArea dataOnly="0" labelOnly="1" outline="0" fieldPosition="0">
        <references count="2">
          <reference field="11" count="1" selected="0">
            <x v="378"/>
          </reference>
          <reference field="14" count="1" defaultSubtotal="1">
            <x v="92"/>
          </reference>
        </references>
      </pivotArea>
    </format>
    <format dxfId="7361">
      <pivotArea dataOnly="0" labelOnly="1" outline="0" fieldPosition="0">
        <references count="2">
          <reference field="11" count="1" selected="0">
            <x v="379"/>
          </reference>
          <reference field="14" count="1">
            <x v="145"/>
          </reference>
        </references>
      </pivotArea>
    </format>
    <format dxfId="7360">
      <pivotArea dataOnly="0" labelOnly="1" outline="0" fieldPosition="0">
        <references count="2">
          <reference field="11" count="1" selected="0">
            <x v="379"/>
          </reference>
          <reference field="14" count="1" defaultSubtotal="1">
            <x v="145"/>
          </reference>
        </references>
      </pivotArea>
    </format>
    <format dxfId="7359">
      <pivotArea dataOnly="0" labelOnly="1" outline="0" fieldPosition="0">
        <references count="2">
          <reference field="11" count="1" selected="0">
            <x v="380"/>
          </reference>
          <reference field="14" count="1">
            <x v="334"/>
          </reference>
        </references>
      </pivotArea>
    </format>
    <format dxfId="7358">
      <pivotArea dataOnly="0" labelOnly="1" outline="0" fieldPosition="0">
        <references count="2">
          <reference field="11" count="1" selected="0">
            <x v="380"/>
          </reference>
          <reference field="14" count="1" defaultSubtotal="1">
            <x v="334"/>
          </reference>
        </references>
      </pivotArea>
    </format>
    <format dxfId="7357">
      <pivotArea dataOnly="0" labelOnly="1" outline="0" fieldPosition="0">
        <references count="2">
          <reference field="11" count="1" selected="0">
            <x v="381"/>
          </reference>
          <reference field="14" count="1">
            <x v="399"/>
          </reference>
        </references>
      </pivotArea>
    </format>
    <format dxfId="7356">
      <pivotArea dataOnly="0" labelOnly="1" outline="0" fieldPosition="0">
        <references count="2">
          <reference field="11" count="1" selected="0">
            <x v="381"/>
          </reference>
          <reference field="14" count="1" defaultSubtotal="1">
            <x v="399"/>
          </reference>
        </references>
      </pivotArea>
    </format>
    <format dxfId="7355">
      <pivotArea dataOnly="0" labelOnly="1" outline="0" fieldPosition="0">
        <references count="2">
          <reference field="11" count="1" selected="0">
            <x v="382"/>
          </reference>
          <reference field="14" count="1">
            <x v="400"/>
          </reference>
        </references>
      </pivotArea>
    </format>
    <format dxfId="7354">
      <pivotArea dataOnly="0" labelOnly="1" outline="0" fieldPosition="0">
        <references count="2">
          <reference field="11" count="1" selected="0">
            <x v="382"/>
          </reference>
          <reference field="14" count="1" defaultSubtotal="1">
            <x v="400"/>
          </reference>
        </references>
      </pivotArea>
    </format>
    <format dxfId="7353">
      <pivotArea dataOnly="0" labelOnly="1" outline="0" fieldPosition="0">
        <references count="2">
          <reference field="11" count="1" selected="0">
            <x v="383"/>
          </reference>
          <reference field="14" count="1">
            <x v="364"/>
          </reference>
        </references>
      </pivotArea>
    </format>
    <format dxfId="7352">
      <pivotArea dataOnly="0" labelOnly="1" outline="0" fieldPosition="0">
        <references count="2">
          <reference field="11" count="1" selected="0">
            <x v="383"/>
          </reference>
          <reference field="14" count="1" defaultSubtotal="1">
            <x v="364"/>
          </reference>
        </references>
      </pivotArea>
    </format>
    <format dxfId="7351">
      <pivotArea dataOnly="0" labelOnly="1" outline="0" fieldPosition="0">
        <references count="2">
          <reference field="11" count="1" selected="0">
            <x v="384"/>
          </reference>
          <reference field="14" count="1">
            <x v="211"/>
          </reference>
        </references>
      </pivotArea>
    </format>
    <format dxfId="7350">
      <pivotArea dataOnly="0" labelOnly="1" outline="0" fieldPosition="0">
        <references count="2">
          <reference field="11" count="1" selected="0">
            <x v="384"/>
          </reference>
          <reference field="14" count="1" defaultSubtotal="1">
            <x v="211"/>
          </reference>
        </references>
      </pivotArea>
    </format>
    <format dxfId="7349">
      <pivotArea dataOnly="0" labelOnly="1" outline="0" fieldPosition="0">
        <references count="2">
          <reference field="11" count="1" selected="0">
            <x v="385"/>
          </reference>
          <reference field="14" count="1">
            <x v="7"/>
          </reference>
        </references>
      </pivotArea>
    </format>
    <format dxfId="7348">
      <pivotArea dataOnly="0" labelOnly="1" outline="0" fieldPosition="0">
        <references count="2">
          <reference field="11" count="1" selected="0">
            <x v="385"/>
          </reference>
          <reference field="14" count="1" defaultSubtotal="1">
            <x v="7"/>
          </reference>
        </references>
      </pivotArea>
    </format>
    <format dxfId="7347">
      <pivotArea dataOnly="0" labelOnly="1" outline="0" fieldPosition="0">
        <references count="2">
          <reference field="11" count="1" selected="0">
            <x v="386"/>
          </reference>
          <reference field="14" count="1">
            <x v="297"/>
          </reference>
        </references>
      </pivotArea>
    </format>
    <format dxfId="7346">
      <pivotArea dataOnly="0" labelOnly="1" outline="0" fieldPosition="0">
        <references count="2">
          <reference field="11" count="1" selected="0">
            <x v="386"/>
          </reference>
          <reference field="14" count="1" defaultSubtotal="1">
            <x v="297"/>
          </reference>
        </references>
      </pivotArea>
    </format>
    <format dxfId="7345">
      <pivotArea dataOnly="0" labelOnly="1" outline="0" fieldPosition="0">
        <references count="2">
          <reference field="11" count="1" selected="0">
            <x v="387"/>
          </reference>
          <reference field="14" count="1">
            <x v="408"/>
          </reference>
        </references>
      </pivotArea>
    </format>
    <format dxfId="7344">
      <pivotArea dataOnly="0" labelOnly="1" outline="0" fieldPosition="0">
        <references count="2">
          <reference field="11" count="1" selected="0">
            <x v="387"/>
          </reference>
          <reference field="14" count="1" defaultSubtotal="1">
            <x v="408"/>
          </reference>
        </references>
      </pivotArea>
    </format>
    <format dxfId="7343">
      <pivotArea dataOnly="0" labelOnly="1" outline="0" fieldPosition="0">
        <references count="2">
          <reference field="11" count="1" selected="0">
            <x v="388"/>
          </reference>
          <reference field="14" count="1">
            <x v="190"/>
          </reference>
        </references>
      </pivotArea>
    </format>
    <format dxfId="7342">
      <pivotArea dataOnly="0" labelOnly="1" outline="0" fieldPosition="0">
        <references count="2">
          <reference field="11" count="1" selected="0">
            <x v="388"/>
          </reference>
          <reference field="14" count="1" defaultSubtotal="1">
            <x v="190"/>
          </reference>
        </references>
      </pivotArea>
    </format>
    <format dxfId="7341">
      <pivotArea dataOnly="0" labelOnly="1" outline="0" fieldPosition="0">
        <references count="2">
          <reference field="11" count="1" selected="0">
            <x v="389"/>
          </reference>
          <reference field="14" count="1">
            <x v="140"/>
          </reference>
        </references>
      </pivotArea>
    </format>
    <format dxfId="7340">
      <pivotArea dataOnly="0" labelOnly="1" outline="0" fieldPosition="0">
        <references count="2">
          <reference field="11" count="1" selected="0">
            <x v="389"/>
          </reference>
          <reference field="14" count="1" defaultSubtotal="1">
            <x v="140"/>
          </reference>
        </references>
      </pivotArea>
    </format>
    <format dxfId="7339">
      <pivotArea dataOnly="0" labelOnly="1" outline="0" fieldPosition="0">
        <references count="2">
          <reference field="11" count="1" selected="0">
            <x v="390"/>
          </reference>
          <reference field="14" count="1">
            <x v="445"/>
          </reference>
        </references>
      </pivotArea>
    </format>
    <format dxfId="7338">
      <pivotArea dataOnly="0" labelOnly="1" outline="0" fieldPosition="0">
        <references count="2">
          <reference field="11" count="1" selected="0">
            <x v="390"/>
          </reference>
          <reference field="14" count="1" defaultSubtotal="1">
            <x v="445"/>
          </reference>
        </references>
      </pivotArea>
    </format>
    <format dxfId="7337">
      <pivotArea dataOnly="0" labelOnly="1" outline="0" fieldPosition="0">
        <references count="2">
          <reference field="11" count="1" selected="0">
            <x v="391"/>
          </reference>
          <reference field="14" count="1">
            <x v="422"/>
          </reference>
        </references>
      </pivotArea>
    </format>
    <format dxfId="7336">
      <pivotArea dataOnly="0" labelOnly="1" outline="0" fieldPosition="0">
        <references count="2">
          <reference field="11" count="1" selected="0">
            <x v="391"/>
          </reference>
          <reference field="14" count="1" defaultSubtotal="1">
            <x v="422"/>
          </reference>
        </references>
      </pivotArea>
    </format>
    <format dxfId="7335">
      <pivotArea dataOnly="0" labelOnly="1" outline="0" fieldPosition="0">
        <references count="2">
          <reference field="11" count="1" selected="0">
            <x v="392"/>
          </reference>
          <reference field="14" count="1">
            <x v="198"/>
          </reference>
        </references>
      </pivotArea>
    </format>
    <format dxfId="7334">
      <pivotArea dataOnly="0" labelOnly="1" outline="0" fieldPosition="0">
        <references count="2">
          <reference field="11" count="1" selected="0">
            <x v="392"/>
          </reference>
          <reference field="14" count="1" defaultSubtotal="1">
            <x v="198"/>
          </reference>
        </references>
      </pivotArea>
    </format>
    <format dxfId="7333">
      <pivotArea dataOnly="0" labelOnly="1" outline="0" fieldPosition="0">
        <references count="2">
          <reference field="11" count="1" selected="0">
            <x v="393"/>
          </reference>
          <reference field="14" count="1">
            <x v="205"/>
          </reference>
        </references>
      </pivotArea>
    </format>
    <format dxfId="7332">
      <pivotArea dataOnly="0" labelOnly="1" outline="0" fieldPosition="0">
        <references count="2">
          <reference field="11" count="1" selected="0">
            <x v="393"/>
          </reference>
          <reference field="14" count="1" defaultSubtotal="1">
            <x v="205"/>
          </reference>
        </references>
      </pivotArea>
    </format>
    <format dxfId="7331">
      <pivotArea dataOnly="0" labelOnly="1" outline="0" fieldPosition="0">
        <references count="2">
          <reference field="11" count="1" selected="0">
            <x v="394"/>
          </reference>
          <reference field="14" count="1">
            <x v="53"/>
          </reference>
        </references>
      </pivotArea>
    </format>
    <format dxfId="7330">
      <pivotArea dataOnly="0" labelOnly="1" outline="0" fieldPosition="0">
        <references count="2">
          <reference field="11" count="1" selected="0">
            <x v="394"/>
          </reference>
          <reference field="14" count="1" defaultSubtotal="1">
            <x v="53"/>
          </reference>
        </references>
      </pivotArea>
    </format>
    <format dxfId="7329">
      <pivotArea dataOnly="0" labelOnly="1" outline="0" fieldPosition="0">
        <references count="2">
          <reference field="11" count="1" selected="0">
            <x v="395"/>
          </reference>
          <reference field="14" count="1">
            <x v="245"/>
          </reference>
        </references>
      </pivotArea>
    </format>
    <format dxfId="7328">
      <pivotArea dataOnly="0" labelOnly="1" outline="0" fieldPosition="0">
        <references count="2">
          <reference field="11" count="1" selected="0">
            <x v="395"/>
          </reference>
          <reference field="14" count="1" defaultSubtotal="1">
            <x v="245"/>
          </reference>
        </references>
      </pivotArea>
    </format>
    <format dxfId="7327">
      <pivotArea dataOnly="0" labelOnly="1" outline="0" fieldPosition="0">
        <references count="2">
          <reference field="11" count="1" selected="0">
            <x v="396"/>
          </reference>
          <reference field="14" count="1">
            <x v="169"/>
          </reference>
        </references>
      </pivotArea>
    </format>
    <format dxfId="7326">
      <pivotArea dataOnly="0" labelOnly="1" outline="0" fieldPosition="0">
        <references count="2">
          <reference field="11" count="1" selected="0">
            <x v="396"/>
          </reference>
          <reference field="14" count="1" defaultSubtotal="1">
            <x v="169"/>
          </reference>
        </references>
      </pivotArea>
    </format>
    <format dxfId="7325">
      <pivotArea dataOnly="0" labelOnly="1" outline="0" fieldPosition="0">
        <references count="2">
          <reference field="11" count="1" selected="0">
            <x v="397"/>
          </reference>
          <reference field="14" count="1">
            <x v="167"/>
          </reference>
        </references>
      </pivotArea>
    </format>
    <format dxfId="7324">
      <pivotArea dataOnly="0" labelOnly="1" outline="0" fieldPosition="0">
        <references count="2">
          <reference field="11" count="1" selected="0">
            <x v="397"/>
          </reference>
          <reference field="14" count="1" defaultSubtotal="1">
            <x v="167"/>
          </reference>
        </references>
      </pivotArea>
    </format>
    <format dxfId="7323">
      <pivotArea dataOnly="0" labelOnly="1" outline="0" fieldPosition="0">
        <references count="2">
          <reference field="11" count="1" selected="0">
            <x v="398"/>
          </reference>
          <reference field="14" count="1">
            <x v="360"/>
          </reference>
        </references>
      </pivotArea>
    </format>
    <format dxfId="7322">
      <pivotArea dataOnly="0" labelOnly="1" outline="0" fieldPosition="0">
        <references count="2">
          <reference field="11" count="1" selected="0">
            <x v="398"/>
          </reference>
          <reference field="14" count="1" defaultSubtotal="1">
            <x v="360"/>
          </reference>
        </references>
      </pivotArea>
    </format>
    <format dxfId="7321">
      <pivotArea dataOnly="0" labelOnly="1" outline="0" fieldPosition="0">
        <references count="2">
          <reference field="11" count="1" selected="0">
            <x v="399"/>
          </reference>
          <reference field="14" count="1">
            <x v="95"/>
          </reference>
        </references>
      </pivotArea>
    </format>
    <format dxfId="7320">
      <pivotArea dataOnly="0" labelOnly="1" outline="0" fieldPosition="0">
        <references count="2">
          <reference field="11" count="1" selected="0">
            <x v="399"/>
          </reference>
          <reference field="14" count="1" defaultSubtotal="1">
            <x v="95"/>
          </reference>
        </references>
      </pivotArea>
    </format>
    <format dxfId="7319">
      <pivotArea dataOnly="0" labelOnly="1" outline="0" fieldPosition="0">
        <references count="2">
          <reference field="11" count="1" selected="0">
            <x v="400"/>
          </reference>
          <reference field="14" count="1">
            <x v="260"/>
          </reference>
        </references>
      </pivotArea>
    </format>
    <format dxfId="7318">
      <pivotArea dataOnly="0" labelOnly="1" outline="0" fieldPosition="0">
        <references count="2">
          <reference field="11" count="1" selected="0">
            <x v="400"/>
          </reference>
          <reference field="14" count="1" defaultSubtotal="1">
            <x v="260"/>
          </reference>
        </references>
      </pivotArea>
    </format>
    <format dxfId="7317">
      <pivotArea dataOnly="0" labelOnly="1" outline="0" fieldPosition="0">
        <references count="2">
          <reference field="11" count="1" selected="0">
            <x v="401"/>
          </reference>
          <reference field="14" count="1">
            <x v="75"/>
          </reference>
        </references>
      </pivotArea>
    </format>
    <format dxfId="7316">
      <pivotArea dataOnly="0" labelOnly="1" outline="0" fieldPosition="0">
        <references count="2">
          <reference field="11" count="1" selected="0">
            <x v="401"/>
          </reference>
          <reference field="14" count="1" defaultSubtotal="1">
            <x v="75"/>
          </reference>
        </references>
      </pivotArea>
    </format>
    <format dxfId="7315">
      <pivotArea dataOnly="0" labelOnly="1" outline="0" fieldPosition="0">
        <references count="2">
          <reference field="11" count="1" selected="0">
            <x v="402"/>
          </reference>
          <reference field="14" count="1">
            <x v="322"/>
          </reference>
        </references>
      </pivotArea>
    </format>
    <format dxfId="7314">
      <pivotArea dataOnly="0" labelOnly="1" outline="0" fieldPosition="0">
        <references count="2">
          <reference field="11" count="1" selected="0">
            <x v="402"/>
          </reference>
          <reference field="14" count="1" defaultSubtotal="1">
            <x v="322"/>
          </reference>
        </references>
      </pivotArea>
    </format>
    <format dxfId="7313">
      <pivotArea dataOnly="0" labelOnly="1" outline="0" fieldPosition="0">
        <references count="2">
          <reference field="11" count="1" selected="0">
            <x v="403"/>
          </reference>
          <reference field="14" count="1">
            <x v="146"/>
          </reference>
        </references>
      </pivotArea>
    </format>
    <format dxfId="7312">
      <pivotArea dataOnly="0" labelOnly="1" outline="0" fieldPosition="0">
        <references count="2">
          <reference field="11" count="1" selected="0">
            <x v="403"/>
          </reference>
          <reference field="14" count="1" defaultSubtotal="1">
            <x v="146"/>
          </reference>
        </references>
      </pivotArea>
    </format>
    <format dxfId="7311">
      <pivotArea dataOnly="0" labelOnly="1" outline="0" fieldPosition="0">
        <references count="2">
          <reference field="11" count="1" selected="0">
            <x v="404"/>
          </reference>
          <reference field="14" count="1">
            <x v="443"/>
          </reference>
        </references>
      </pivotArea>
    </format>
    <format dxfId="7310">
      <pivotArea dataOnly="0" labelOnly="1" outline="0" fieldPosition="0">
        <references count="2">
          <reference field="11" count="1" selected="0">
            <x v="404"/>
          </reference>
          <reference field="14" count="1" defaultSubtotal="1">
            <x v="443"/>
          </reference>
        </references>
      </pivotArea>
    </format>
    <format dxfId="7309">
      <pivotArea dataOnly="0" labelOnly="1" outline="0" fieldPosition="0">
        <references count="2">
          <reference field="11" count="1" selected="0">
            <x v="405"/>
          </reference>
          <reference field="14" count="1">
            <x v="359"/>
          </reference>
        </references>
      </pivotArea>
    </format>
    <format dxfId="7308">
      <pivotArea dataOnly="0" labelOnly="1" outline="0" fieldPosition="0">
        <references count="2">
          <reference field="11" count="1" selected="0">
            <x v="405"/>
          </reference>
          <reference field="14" count="1" defaultSubtotal="1">
            <x v="359"/>
          </reference>
        </references>
      </pivotArea>
    </format>
    <format dxfId="7307">
      <pivotArea dataOnly="0" labelOnly="1" outline="0" fieldPosition="0">
        <references count="2">
          <reference field="11" count="1" selected="0">
            <x v="406"/>
          </reference>
          <reference field="14" count="1">
            <x v="381"/>
          </reference>
        </references>
      </pivotArea>
    </format>
    <format dxfId="7306">
      <pivotArea dataOnly="0" labelOnly="1" outline="0" fieldPosition="0">
        <references count="2">
          <reference field="11" count="1" selected="0">
            <x v="406"/>
          </reference>
          <reference field="14" count="1" defaultSubtotal="1">
            <x v="381"/>
          </reference>
        </references>
      </pivotArea>
    </format>
    <format dxfId="7305">
      <pivotArea dataOnly="0" labelOnly="1" outline="0" fieldPosition="0">
        <references count="2">
          <reference field="11" count="1" selected="0">
            <x v="407"/>
          </reference>
          <reference field="14" count="1">
            <x v="65"/>
          </reference>
        </references>
      </pivotArea>
    </format>
    <format dxfId="7304">
      <pivotArea dataOnly="0" labelOnly="1" outline="0" fieldPosition="0">
        <references count="2">
          <reference field="11" count="1" selected="0">
            <x v="407"/>
          </reference>
          <reference field="14" count="1" defaultSubtotal="1">
            <x v="65"/>
          </reference>
        </references>
      </pivotArea>
    </format>
    <format dxfId="7303">
      <pivotArea dataOnly="0" labelOnly="1" outline="0" fieldPosition="0">
        <references count="2">
          <reference field="11" count="1" selected="0">
            <x v="408"/>
          </reference>
          <reference field="14" count="1">
            <x v="20"/>
          </reference>
        </references>
      </pivotArea>
    </format>
    <format dxfId="7302">
      <pivotArea dataOnly="0" labelOnly="1" outline="0" fieldPosition="0">
        <references count="2">
          <reference field="11" count="1" selected="0">
            <x v="408"/>
          </reference>
          <reference field="14" count="1" defaultSubtotal="1">
            <x v="20"/>
          </reference>
        </references>
      </pivotArea>
    </format>
    <format dxfId="7301">
      <pivotArea dataOnly="0" labelOnly="1" outline="0" fieldPosition="0">
        <references count="2">
          <reference field="11" count="1" selected="0">
            <x v="409"/>
          </reference>
          <reference field="14" count="1">
            <x v="175"/>
          </reference>
        </references>
      </pivotArea>
    </format>
    <format dxfId="7300">
      <pivotArea dataOnly="0" labelOnly="1" outline="0" fieldPosition="0">
        <references count="2">
          <reference field="11" count="1" selected="0">
            <x v="409"/>
          </reference>
          <reference field="14" count="1" defaultSubtotal="1">
            <x v="175"/>
          </reference>
        </references>
      </pivotArea>
    </format>
    <format dxfId="7299">
      <pivotArea dataOnly="0" labelOnly="1" outline="0" fieldPosition="0">
        <references count="2">
          <reference field="11" count="1" selected="0">
            <x v="410"/>
          </reference>
          <reference field="14" count="1">
            <x v="366"/>
          </reference>
        </references>
      </pivotArea>
    </format>
    <format dxfId="7298">
      <pivotArea dataOnly="0" labelOnly="1" outline="0" fieldPosition="0">
        <references count="2">
          <reference field="11" count="1" selected="0">
            <x v="410"/>
          </reference>
          <reference field="14" count="1" defaultSubtotal="1">
            <x v="366"/>
          </reference>
        </references>
      </pivotArea>
    </format>
    <format dxfId="7297">
      <pivotArea dataOnly="0" labelOnly="1" outline="0" fieldPosition="0">
        <references count="2">
          <reference field="11" count="1" selected="0">
            <x v="411"/>
          </reference>
          <reference field="14" count="1">
            <x v="204"/>
          </reference>
        </references>
      </pivotArea>
    </format>
    <format dxfId="7296">
      <pivotArea dataOnly="0" labelOnly="1" outline="0" fieldPosition="0">
        <references count="2">
          <reference field="11" count="1" selected="0">
            <x v="411"/>
          </reference>
          <reference field="14" count="1" defaultSubtotal="1">
            <x v="204"/>
          </reference>
        </references>
      </pivotArea>
    </format>
    <format dxfId="7295">
      <pivotArea dataOnly="0" labelOnly="1" outline="0" fieldPosition="0">
        <references count="2">
          <reference field="11" count="1" selected="0">
            <x v="412"/>
          </reference>
          <reference field="14" count="1">
            <x v="441"/>
          </reference>
        </references>
      </pivotArea>
    </format>
    <format dxfId="7294">
      <pivotArea dataOnly="0" labelOnly="1" outline="0" fieldPosition="0">
        <references count="2">
          <reference field="11" count="1" selected="0">
            <x v="412"/>
          </reference>
          <reference field="14" count="1" defaultSubtotal="1">
            <x v="441"/>
          </reference>
        </references>
      </pivotArea>
    </format>
    <format dxfId="7293">
      <pivotArea dataOnly="0" labelOnly="1" outline="0" fieldPosition="0">
        <references count="2">
          <reference field="11" count="1" selected="0">
            <x v="413"/>
          </reference>
          <reference field="14" count="1">
            <x v="73"/>
          </reference>
        </references>
      </pivotArea>
    </format>
    <format dxfId="7292">
      <pivotArea dataOnly="0" labelOnly="1" outline="0" fieldPosition="0">
        <references count="2">
          <reference field="11" count="1" selected="0">
            <x v="413"/>
          </reference>
          <reference field="14" count="1" defaultSubtotal="1">
            <x v="73"/>
          </reference>
        </references>
      </pivotArea>
    </format>
    <format dxfId="7291">
      <pivotArea dataOnly="0" labelOnly="1" outline="0" fieldPosition="0">
        <references count="2">
          <reference field="11" count="1" selected="0">
            <x v="414"/>
          </reference>
          <reference field="14" count="1">
            <x v="125"/>
          </reference>
        </references>
      </pivotArea>
    </format>
    <format dxfId="7290">
      <pivotArea dataOnly="0" labelOnly="1" outline="0" fieldPosition="0">
        <references count="2">
          <reference field="11" count="1" selected="0">
            <x v="414"/>
          </reference>
          <reference field="14" count="1" defaultSubtotal="1">
            <x v="125"/>
          </reference>
        </references>
      </pivotArea>
    </format>
    <format dxfId="7289">
      <pivotArea dataOnly="0" labelOnly="1" outline="0" fieldPosition="0">
        <references count="2">
          <reference field="11" count="1" selected="0">
            <x v="415"/>
          </reference>
          <reference field="14" count="1">
            <x v="324"/>
          </reference>
        </references>
      </pivotArea>
    </format>
    <format dxfId="7288">
      <pivotArea dataOnly="0" labelOnly="1" outline="0" fieldPosition="0">
        <references count="2">
          <reference field="11" count="1" selected="0">
            <x v="415"/>
          </reference>
          <reference field="14" count="1" defaultSubtotal="1">
            <x v="324"/>
          </reference>
        </references>
      </pivotArea>
    </format>
    <format dxfId="7287">
      <pivotArea dataOnly="0" labelOnly="1" outline="0" fieldPosition="0">
        <references count="2">
          <reference field="11" count="1" selected="0">
            <x v="416"/>
          </reference>
          <reference field="14" count="1">
            <x v="108"/>
          </reference>
        </references>
      </pivotArea>
    </format>
    <format dxfId="7286">
      <pivotArea dataOnly="0" labelOnly="1" outline="0" fieldPosition="0">
        <references count="2">
          <reference field="11" count="1" selected="0">
            <x v="416"/>
          </reference>
          <reference field="14" count="1" defaultSubtotal="1">
            <x v="108"/>
          </reference>
        </references>
      </pivotArea>
    </format>
    <format dxfId="7285">
      <pivotArea dataOnly="0" labelOnly="1" outline="0" fieldPosition="0">
        <references count="2">
          <reference field="11" count="1" selected="0">
            <x v="417"/>
          </reference>
          <reference field="14" count="1">
            <x v="109"/>
          </reference>
        </references>
      </pivotArea>
    </format>
    <format dxfId="7284">
      <pivotArea dataOnly="0" labelOnly="1" outline="0" fieldPosition="0">
        <references count="2">
          <reference field="11" count="1" selected="0">
            <x v="417"/>
          </reference>
          <reference field="14" count="1" defaultSubtotal="1">
            <x v="109"/>
          </reference>
        </references>
      </pivotArea>
    </format>
    <format dxfId="7283">
      <pivotArea dataOnly="0" labelOnly="1" outline="0" fieldPosition="0">
        <references count="2">
          <reference field="11" count="1" selected="0">
            <x v="418"/>
          </reference>
          <reference field="14" count="1">
            <x v="110"/>
          </reference>
        </references>
      </pivotArea>
    </format>
    <format dxfId="7282">
      <pivotArea dataOnly="0" labelOnly="1" outline="0" fieldPosition="0">
        <references count="2">
          <reference field="11" count="1" selected="0">
            <x v="418"/>
          </reference>
          <reference field="14" count="1" defaultSubtotal="1">
            <x v="110"/>
          </reference>
        </references>
      </pivotArea>
    </format>
    <format dxfId="7281">
      <pivotArea dataOnly="0" labelOnly="1" outline="0" fieldPosition="0">
        <references count="2">
          <reference field="11" count="1" selected="0">
            <x v="419"/>
          </reference>
          <reference field="14" count="1">
            <x v="107"/>
          </reference>
        </references>
      </pivotArea>
    </format>
    <format dxfId="7280">
      <pivotArea dataOnly="0" labelOnly="1" outline="0" fieldPosition="0">
        <references count="2">
          <reference field="11" count="1" selected="0">
            <x v="419"/>
          </reference>
          <reference field="14" count="1" defaultSubtotal="1">
            <x v="107"/>
          </reference>
        </references>
      </pivotArea>
    </format>
    <format dxfId="7279">
      <pivotArea dataOnly="0" labelOnly="1" outline="0" fieldPosition="0">
        <references count="2">
          <reference field="11" count="1" selected="0">
            <x v="420"/>
          </reference>
          <reference field="14" count="1">
            <x v="45"/>
          </reference>
        </references>
      </pivotArea>
    </format>
    <format dxfId="7278">
      <pivotArea dataOnly="0" labelOnly="1" outline="0" fieldPosition="0">
        <references count="2">
          <reference field="11" count="1" selected="0">
            <x v="420"/>
          </reference>
          <reference field="14" count="1" defaultSubtotal="1">
            <x v="45"/>
          </reference>
        </references>
      </pivotArea>
    </format>
    <format dxfId="7277">
      <pivotArea dataOnly="0" labelOnly="1" outline="0" fieldPosition="0">
        <references count="2">
          <reference field="11" count="1" selected="0">
            <x v="421"/>
          </reference>
          <reference field="14" count="1">
            <x v="287"/>
          </reference>
        </references>
      </pivotArea>
    </format>
    <format dxfId="7276">
      <pivotArea dataOnly="0" labelOnly="1" outline="0" fieldPosition="0">
        <references count="2">
          <reference field="11" count="1" selected="0">
            <x v="421"/>
          </reference>
          <reference field="14" count="1" defaultSubtotal="1">
            <x v="287"/>
          </reference>
        </references>
      </pivotArea>
    </format>
    <format dxfId="7275">
      <pivotArea dataOnly="0" labelOnly="1" outline="0" fieldPosition="0">
        <references count="2">
          <reference field="11" count="1" selected="0">
            <x v="422"/>
          </reference>
          <reference field="14" count="1">
            <x v="363"/>
          </reference>
        </references>
      </pivotArea>
    </format>
    <format dxfId="7274">
      <pivotArea dataOnly="0" labelOnly="1" outline="0" fieldPosition="0">
        <references count="2">
          <reference field="11" count="1" selected="0">
            <x v="422"/>
          </reference>
          <reference field="14" count="1" defaultSubtotal="1">
            <x v="363"/>
          </reference>
        </references>
      </pivotArea>
    </format>
    <format dxfId="7273">
      <pivotArea dataOnly="0" labelOnly="1" outline="0" fieldPosition="0">
        <references count="2">
          <reference field="11" count="1" selected="0">
            <x v="423"/>
          </reference>
          <reference field="14" count="1">
            <x v="259"/>
          </reference>
        </references>
      </pivotArea>
    </format>
    <format dxfId="7272">
      <pivotArea dataOnly="0" labelOnly="1" outline="0" fieldPosition="0">
        <references count="2">
          <reference field="11" count="1" selected="0">
            <x v="423"/>
          </reference>
          <reference field="14" count="1" defaultSubtotal="1">
            <x v="259"/>
          </reference>
        </references>
      </pivotArea>
    </format>
    <format dxfId="7271">
      <pivotArea dataOnly="0" labelOnly="1" outline="0" fieldPosition="0">
        <references count="2">
          <reference field="11" count="1" selected="0">
            <x v="424"/>
          </reference>
          <reference field="14" count="1">
            <x v="408"/>
          </reference>
        </references>
      </pivotArea>
    </format>
    <format dxfId="7270">
      <pivotArea dataOnly="0" labelOnly="1" outline="0" fieldPosition="0">
        <references count="2">
          <reference field="11" count="1" selected="0">
            <x v="424"/>
          </reference>
          <reference field="14" count="1" defaultSubtotal="1">
            <x v="408"/>
          </reference>
        </references>
      </pivotArea>
    </format>
    <format dxfId="7269">
      <pivotArea dataOnly="0" labelOnly="1" outline="0" fieldPosition="0">
        <references count="2">
          <reference field="11" count="1" selected="0">
            <x v="425"/>
          </reference>
          <reference field="14" count="1">
            <x v="289"/>
          </reference>
        </references>
      </pivotArea>
    </format>
    <format dxfId="7268">
      <pivotArea dataOnly="0" labelOnly="1" outline="0" fieldPosition="0">
        <references count="2">
          <reference field="11" count="1" selected="0">
            <x v="425"/>
          </reference>
          <reference field="14" count="1" defaultSubtotal="1">
            <x v="289"/>
          </reference>
        </references>
      </pivotArea>
    </format>
    <format dxfId="7267">
      <pivotArea dataOnly="0" labelOnly="1" outline="0" fieldPosition="0">
        <references count="2">
          <reference field="11" count="1" selected="0">
            <x v="426"/>
          </reference>
          <reference field="14" count="1">
            <x v="401"/>
          </reference>
        </references>
      </pivotArea>
    </format>
    <format dxfId="7266">
      <pivotArea dataOnly="0" labelOnly="1" outline="0" fieldPosition="0">
        <references count="2">
          <reference field="11" count="1" selected="0">
            <x v="426"/>
          </reference>
          <reference field="14" count="1" defaultSubtotal="1">
            <x v="401"/>
          </reference>
        </references>
      </pivotArea>
    </format>
    <format dxfId="7265">
      <pivotArea dataOnly="0" labelOnly="1" outline="0" fieldPosition="0">
        <references count="2">
          <reference field="11" count="1" selected="0">
            <x v="427"/>
          </reference>
          <reference field="14" count="1">
            <x v="407"/>
          </reference>
        </references>
      </pivotArea>
    </format>
    <format dxfId="7264">
      <pivotArea dataOnly="0" labelOnly="1" outline="0" fieldPosition="0">
        <references count="2">
          <reference field="11" count="1" selected="0">
            <x v="427"/>
          </reference>
          <reference field="14" count="1" defaultSubtotal="1">
            <x v="407"/>
          </reference>
        </references>
      </pivotArea>
    </format>
    <format dxfId="7263">
      <pivotArea dataOnly="0" labelOnly="1" outline="0" fieldPosition="0">
        <references count="2">
          <reference field="11" count="1" selected="0">
            <x v="428"/>
          </reference>
          <reference field="14" count="1">
            <x v="412"/>
          </reference>
        </references>
      </pivotArea>
    </format>
    <format dxfId="7262">
      <pivotArea dataOnly="0" labelOnly="1" outline="0" fieldPosition="0">
        <references count="2">
          <reference field="11" count="1" selected="0">
            <x v="428"/>
          </reference>
          <reference field="14" count="1" defaultSubtotal="1">
            <x v="412"/>
          </reference>
        </references>
      </pivotArea>
    </format>
    <format dxfId="7261">
      <pivotArea dataOnly="0" labelOnly="1" outline="0" fieldPosition="0">
        <references count="2">
          <reference field="11" count="1" selected="0">
            <x v="429"/>
          </reference>
          <reference field="14" count="1">
            <x v="421"/>
          </reference>
        </references>
      </pivotArea>
    </format>
    <format dxfId="7260">
      <pivotArea dataOnly="0" labelOnly="1" outline="0" fieldPosition="0">
        <references count="2">
          <reference field="11" count="1" selected="0">
            <x v="429"/>
          </reference>
          <reference field="14" count="1" defaultSubtotal="1">
            <x v="421"/>
          </reference>
        </references>
      </pivotArea>
    </format>
    <format dxfId="7259">
      <pivotArea dataOnly="0" labelOnly="1" outline="0" fieldPosition="0">
        <references count="2">
          <reference field="11" count="1" selected="0">
            <x v="430"/>
          </reference>
          <reference field="14" count="1">
            <x v="444"/>
          </reference>
        </references>
      </pivotArea>
    </format>
    <format dxfId="7258">
      <pivotArea dataOnly="0" labelOnly="1" outline="0" fieldPosition="0">
        <references count="2">
          <reference field="11" count="1" selected="0">
            <x v="430"/>
          </reference>
          <reference field="14" count="1" defaultSubtotal="1">
            <x v="444"/>
          </reference>
        </references>
      </pivotArea>
    </format>
    <format dxfId="7257">
      <pivotArea dataOnly="0" labelOnly="1" outline="0" fieldPosition="0">
        <references count="2">
          <reference field="11" count="1" selected="0">
            <x v="431"/>
          </reference>
          <reference field="14" count="1">
            <x v="191"/>
          </reference>
        </references>
      </pivotArea>
    </format>
    <format dxfId="7256">
      <pivotArea dataOnly="0" labelOnly="1" outline="0" fieldPosition="0">
        <references count="2">
          <reference field="11" count="1" selected="0">
            <x v="431"/>
          </reference>
          <reference field="14" count="1" defaultSubtotal="1">
            <x v="191"/>
          </reference>
        </references>
      </pivotArea>
    </format>
    <format dxfId="7255">
      <pivotArea dataOnly="0" labelOnly="1" outline="0" fieldPosition="0">
        <references count="2">
          <reference field="11" count="1" selected="0">
            <x v="432"/>
          </reference>
          <reference field="14" count="1">
            <x v="119"/>
          </reference>
        </references>
      </pivotArea>
    </format>
    <format dxfId="7254">
      <pivotArea dataOnly="0" labelOnly="1" outline="0" fieldPosition="0">
        <references count="2">
          <reference field="11" count="1" selected="0">
            <x v="432"/>
          </reference>
          <reference field="14" count="1" defaultSubtotal="1">
            <x v="119"/>
          </reference>
        </references>
      </pivotArea>
    </format>
    <format dxfId="7253">
      <pivotArea dataOnly="0" labelOnly="1" outline="0" fieldPosition="0">
        <references count="2">
          <reference field="11" count="1" selected="0">
            <x v="433"/>
          </reference>
          <reference field="14" count="1">
            <x v="80"/>
          </reference>
        </references>
      </pivotArea>
    </format>
    <format dxfId="7252">
      <pivotArea dataOnly="0" labelOnly="1" outline="0" fieldPosition="0">
        <references count="2">
          <reference field="11" count="1" selected="0">
            <x v="433"/>
          </reference>
          <reference field="14" count="1" defaultSubtotal="1">
            <x v="80"/>
          </reference>
        </references>
      </pivotArea>
    </format>
    <format dxfId="7251">
      <pivotArea dataOnly="0" labelOnly="1" outline="0" fieldPosition="0">
        <references count="2">
          <reference field="11" count="1" selected="0">
            <x v="434"/>
          </reference>
          <reference field="14" count="1">
            <x v="84"/>
          </reference>
        </references>
      </pivotArea>
    </format>
    <format dxfId="7250">
      <pivotArea dataOnly="0" labelOnly="1" outline="0" fieldPosition="0">
        <references count="2">
          <reference field="11" count="1" selected="0">
            <x v="434"/>
          </reference>
          <reference field="14" count="1" defaultSubtotal="1">
            <x v="84"/>
          </reference>
        </references>
      </pivotArea>
    </format>
    <format dxfId="7249">
      <pivotArea dataOnly="0" labelOnly="1" outline="0" fieldPosition="0">
        <references count="2">
          <reference field="11" count="1" selected="0">
            <x v="435"/>
          </reference>
          <reference field="14" count="1">
            <x v="236"/>
          </reference>
        </references>
      </pivotArea>
    </format>
    <format dxfId="7248">
      <pivotArea dataOnly="0" labelOnly="1" outline="0" fieldPosition="0">
        <references count="2">
          <reference field="11" count="1" selected="0">
            <x v="435"/>
          </reference>
          <reference field="14" count="1" defaultSubtotal="1">
            <x v="236"/>
          </reference>
        </references>
      </pivotArea>
    </format>
    <format dxfId="7247">
      <pivotArea dataOnly="0" labelOnly="1" outline="0" fieldPosition="0">
        <references count="2">
          <reference field="11" count="1" selected="0">
            <x v="436"/>
          </reference>
          <reference field="14" count="1">
            <x v="99"/>
          </reference>
        </references>
      </pivotArea>
    </format>
    <format dxfId="7246">
      <pivotArea dataOnly="0" labelOnly="1" outline="0" fieldPosition="0">
        <references count="2">
          <reference field="11" count="1" selected="0">
            <x v="436"/>
          </reference>
          <reference field="14" count="1" defaultSubtotal="1">
            <x v="99"/>
          </reference>
        </references>
      </pivotArea>
    </format>
    <format dxfId="7245">
      <pivotArea dataOnly="0" labelOnly="1" outline="0" fieldPosition="0">
        <references count="2">
          <reference field="11" count="1" selected="0">
            <x v="437"/>
          </reference>
          <reference field="14" count="1">
            <x v="246"/>
          </reference>
        </references>
      </pivotArea>
    </format>
    <format dxfId="7244">
      <pivotArea dataOnly="0" labelOnly="1" outline="0" fieldPosition="0">
        <references count="2">
          <reference field="11" count="1" selected="0">
            <x v="437"/>
          </reference>
          <reference field="14" count="1" defaultSubtotal="1">
            <x v="246"/>
          </reference>
        </references>
      </pivotArea>
    </format>
    <format dxfId="7243">
      <pivotArea dataOnly="0" labelOnly="1" outline="0" fieldPosition="0">
        <references count="2">
          <reference field="11" count="1" selected="0">
            <x v="438"/>
          </reference>
          <reference field="14" count="1">
            <x v="15"/>
          </reference>
        </references>
      </pivotArea>
    </format>
    <format dxfId="7242">
      <pivotArea dataOnly="0" labelOnly="1" outline="0" fieldPosition="0">
        <references count="2">
          <reference field="11" count="1" selected="0">
            <x v="438"/>
          </reference>
          <reference field="14" count="1" defaultSubtotal="1">
            <x v="15"/>
          </reference>
        </references>
      </pivotArea>
    </format>
    <format dxfId="7241">
      <pivotArea dataOnly="0" labelOnly="1" outline="0" fieldPosition="0">
        <references count="2">
          <reference field="11" count="1" selected="0">
            <x v="439"/>
          </reference>
          <reference field="14" count="1">
            <x v="446"/>
          </reference>
        </references>
      </pivotArea>
    </format>
    <format dxfId="7240">
      <pivotArea dataOnly="0" labelOnly="1" outline="0" fieldPosition="0">
        <references count="2">
          <reference field="11" count="1" selected="0">
            <x v="439"/>
          </reference>
          <reference field="14" count="1" defaultSubtotal="1">
            <x v="446"/>
          </reference>
        </references>
      </pivotArea>
    </format>
    <format dxfId="7239">
      <pivotArea dataOnly="0" labelOnly="1" outline="0" fieldPosition="0">
        <references count="2">
          <reference field="11" count="1" selected="0">
            <x v="440"/>
          </reference>
          <reference field="14" count="1">
            <x v="208"/>
          </reference>
        </references>
      </pivotArea>
    </format>
    <format dxfId="7238">
      <pivotArea dataOnly="0" labelOnly="1" outline="0" fieldPosition="0">
        <references count="2">
          <reference field="11" count="1" selected="0">
            <x v="440"/>
          </reference>
          <reference field="14" count="1" defaultSubtotal="1">
            <x v="208"/>
          </reference>
        </references>
      </pivotArea>
    </format>
    <format dxfId="7237">
      <pivotArea dataOnly="0" labelOnly="1" outline="0" fieldPosition="0">
        <references count="2">
          <reference field="11" count="1" selected="0">
            <x v="441"/>
          </reference>
          <reference field="14" count="1">
            <x v="30"/>
          </reference>
        </references>
      </pivotArea>
    </format>
    <format dxfId="7236">
      <pivotArea dataOnly="0" labelOnly="1" outline="0" fieldPosition="0">
        <references count="2">
          <reference field="11" count="1" selected="0">
            <x v="441"/>
          </reference>
          <reference field="14" count="1" defaultSubtotal="1">
            <x v="30"/>
          </reference>
        </references>
      </pivotArea>
    </format>
    <format dxfId="7235">
      <pivotArea dataOnly="0" labelOnly="1" outline="0" fieldPosition="0">
        <references count="2">
          <reference field="11" count="1" selected="0">
            <x v="442"/>
          </reference>
          <reference field="14" count="1">
            <x v="306"/>
          </reference>
        </references>
      </pivotArea>
    </format>
    <format dxfId="7234">
      <pivotArea dataOnly="0" labelOnly="1" outline="0" fieldPosition="0">
        <references count="2">
          <reference field="11" count="1" selected="0">
            <x v="442"/>
          </reference>
          <reference field="14" count="1" defaultSubtotal="1">
            <x v="306"/>
          </reference>
        </references>
      </pivotArea>
    </format>
    <format dxfId="7233">
      <pivotArea dataOnly="0" labelOnly="1" outline="0" fieldPosition="0">
        <references count="2">
          <reference field="11" count="1" selected="0">
            <x v="443"/>
          </reference>
          <reference field="14" count="1">
            <x v="432"/>
          </reference>
        </references>
      </pivotArea>
    </format>
    <format dxfId="7232">
      <pivotArea dataOnly="0" labelOnly="1" outline="0" fieldPosition="0">
        <references count="2">
          <reference field="11" count="1" selected="0">
            <x v="443"/>
          </reference>
          <reference field="14" count="1" defaultSubtotal="1">
            <x v="432"/>
          </reference>
        </references>
      </pivotArea>
    </format>
    <format dxfId="7231">
      <pivotArea dataOnly="0" labelOnly="1" outline="0" fieldPosition="0">
        <references count="2">
          <reference field="11" count="1" selected="0">
            <x v="444"/>
          </reference>
          <reference field="14" count="1">
            <x v="436"/>
          </reference>
        </references>
      </pivotArea>
    </format>
    <format dxfId="7230">
      <pivotArea dataOnly="0" labelOnly="1" outline="0" fieldPosition="0">
        <references count="2">
          <reference field="11" count="1" selected="0">
            <x v="444"/>
          </reference>
          <reference field="14" count="1" defaultSubtotal="1">
            <x v="436"/>
          </reference>
        </references>
      </pivotArea>
    </format>
    <format dxfId="7229">
      <pivotArea dataOnly="0" labelOnly="1" outline="0" fieldPosition="0">
        <references count="2">
          <reference field="11" count="1" selected="0">
            <x v="445"/>
          </reference>
          <reference field="14" count="1">
            <x v="437"/>
          </reference>
        </references>
      </pivotArea>
    </format>
    <format dxfId="7228">
      <pivotArea dataOnly="0" labelOnly="1" outline="0" fieldPosition="0">
        <references count="2">
          <reference field="11" count="1" selected="0">
            <x v="445"/>
          </reference>
          <reference field="14" count="1" defaultSubtotal="1">
            <x v="437"/>
          </reference>
        </references>
      </pivotArea>
    </format>
    <format dxfId="7227">
      <pivotArea dataOnly="0" labelOnly="1" outline="0" fieldPosition="0">
        <references count="2">
          <reference field="11" count="1" selected="0">
            <x v="446"/>
          </reference>
          <reference field="14" count="1">
            <x v="29"/>
          </reference>
        </references>
      </pivotArea>
    </format>
    <format dxfId="7226">
      <pivotArea dataOnly="0" labelOnly="1" outline="0" fieldPosition="0">
        <references count="2">
          <reference field="11" count="1" selected="0">
            <x v="446"/>
          </reference>
          <reference field="14" count="1" defaultSubtotal="1">
            <x v="29"/>
          </reference>
        </references>
      </pivotArea>
    </format>
    <format dxfId="7225">
      <pivotArea dataOnly="0" labelOnly="1" outline="0" fieldPosition="0">
        <references count="2">
          <reference field="11" count="1" selected="0">
            <x v="447"/>
          </reference>
          <reference field="14" count="1">
            <x v="57"/>
          </reference>
        </references>
      </pivotArea>
    </format>
    <format dxfId="7224">
      <pivotArea dataOnly="0" labelOnly="1" outline="0" fieldPosition="0">
        <references count="2">
          <reference field="11" count="1" selected="0">
            <x v="447"/>
          </reference>
          <reference field="14" count="1" defaultSubtotal="1">
            <x v="57"/>
          </reference>
        </references>
      </pivotArea>
    </format>
    <format dxfId="7223">
      <pivotArea dataOnly="0" labelOnly="1" outline="0" fieldPosition="0">
        <references count="2">
          <reference field="11" count="1" selected="0">
            <x v="448"/>
          </reference>
          <reference field="14" count="1">
            <x v="58"/>
          </reference>
        </references>
      </pivotArea>
    </format>
    <format dxfId="7222">
      <pivotArea dataOnly="0" labelOnly="1" outline="0" fieldPosition="0">
        <references count="2">
          <reference field="11" count="1" selected="0">
            <x v="448"/>
          </reference>
          <reference field="14" count="1" defaultSubtotal="1">
            <x v="58"/>
          </reference>
        </references>
      </pivotArea>
    </format>
    <format dxfId="7221">
      <pivotArea dataOnly="0" labelOnly="1" outline="0" fieldPosition="0">
        <references count="2">
          <reference field="11" count="1" selected="0">
            <x v="449"/>
          </reference>
          <reference field="14" count="1">
            <x v="10"/>
          </reference>
        </references>
      </pivotArea>
    </format>
    <format dxfId="7220">
      <pivotArea dataOnly="0" labelOnly="1" outline="0" fieldPosition="0">
        <references count="2">
          <reference field="11" count="1" selected="0">
            <x v="449"/>
          </reference>
          <reference field="14" count="1" defaultSubtotal="1">
            <x v="10"/>
          </reference>
        </references>
      </pivotArea>
    </format>
    <format dxfId="7219">
      <pivotArea dataOnly="0" labelOnly="1" outline="0" fieldPosition="0">
        <references count="2">
          <reference field="11" count="1" selected="0">
            <x v="450"/>
          </reference>
          <reference field="14" count="1">
            <x v="141"/>
          </reference>
        </references>
      </pivotArea>
    </format>
    <format dxfId="7218">
      <pivotArea dataOnly="0" labelOnly="1" outline="0" fieldPosition="0">
        <references count="2">
          <reference field="11" count="1" selected="0">
            <x v="450"/>
          </reference>
          <reference field="14" count="1" defaultSubtotal="1">
            <x v="141"/>
          </reference>
        </references>
      </pivotArea>
    </format>
    <format dxfId="7217">
      <pivotArea dataOnly="0" labelOnly="1" outline="0" fieldPosition="0">
        <references count="2">
          <reference field="11" count="1" selected="0">
            <x v="451"/>
          </reference>
          <reference field="14" count="1">
            <x v="101"/>
          </reference>
        </references>
      </pivotArea>
    </format>
    <format dxfId="7216">
      <pivotArea dataOnly="0" labelOnly="1" outline="0" fieldPosition="0">
        <references count="2">
          <reference field="11" count="1" selected="0">
            <x v="451"/>
          </reference>
          <reference field="14" count="1" defaultSubtotal="1">
            <x v="101"/>
          </reference>
        </references>
      </pivotArea>
    </format>
    <format dxfId="7215">
      <pivotArea dataOnly="0" labelOnly="1" outline="0" fieldPosition="0">
        <references count="2">
          <reference field="11" count="1" selected="0">
            <x v="452"/>
          </reference>
          <reference field="14" count="1">
            <x v="450"/>
          </reference>
        </references>
      </pivotArea>
    </format>
    <format dxfId="7214">
      <pivotArea dataOnly="0" labelOnly="1" outline="0" fieldPosition="0">
        <references count="2">
          <reference field="11" count="1" selected="0">
            <x v="452"/>
          </reference>
          <reference field="14" count="1" defaultSubtotal="1">
            <x v="450"/>
          </reference>
        </references>
      </pivotArea>
    </format>
    <format dxfId="7213">
      <pivotArea dataOnly="0" labelOnly="1" outline="0" fieldPosition="0">
        <references count="2">
          <reference field="11" count="1" selected="0">
            <x v="453"/>
          </reference>
          <reference field="14" count="1">
            <x v="144"/>
          </reference>
        </references>
      </pivotArea>
    </format>
    <format dxfId="7212">
      <pivotArea dataOnly="0" labelOnly="1" outline="0" fieldPosition="0">
        <references count="2">
          <reference field="11" count="1" selected="0">
            <x v="453"/>
          </reference>
          <reference field="14" count="1" defaultSubtotal="1">
            <x v="144"/>
          </reference>
        </references>
      </pivotArea>
    </format>
    <format dxfId="7211">
      <pivotArea dataOnly="0" labelOnly="1" outline="0" fieldPosition="0">
        <references count="2">
          <reference field="11" count="1" selected="0">
            <x v="454"/>
          </reference>
          <reference field="14" count="1">
            <x v="397"/>
          </reference>
        </references>
      </pivotArea>
    </format>
    <format dxfId="7210">
      <pivotArea dataOnly="0" labelOnly="1" outline="0" fieldPosition="0">
        <references count="2">
          <reference field="11" count="1" selected="0">
            <x v="454"/>
          </reference>
          <reference field="14" count="1" defaultSubtotal="1">
            <x v="397"/>
          </reference>
        </references>
      </pivotArea>
    </format>
    <format dxfId="7209">
      <pivotArea dataOnly="0" labelOnly="1" outline="0" fieldPosition="0">
        <references count="2">
          <reference field="11" count="1" selected="0">
            <x v="455"/>
          </reference>
          <reference field="14" count="1">
            <x v="390"/>
          </reference>
        </references>
      </pivotArea>
    </format>
    <format dxfId="7208">
      <pivotArea dataOnly="0" labelOnly="1" outline="0" fieldPosition="0">
        <references count="2">
          <reference field="11" count="1" selected="0">
            <x v="455"/>
          </reference>
          <reference field="14" count="1" defaultSubtotal="1">
            <x v="390"/>
          </reference>
        </references>
      </pivotArea>
    </format>
    <format dxfId="7207">
      <pivotArea dataOnly="0" labelOnly="1" outline="0" fieldPosition="0">
        <references count="2">
          <reference field="11" count="1" selected="0">
            <x v="456"/>
          </reference>
          <reference field="14" count="1">
            <x v="452"/>
          </reference>
        </references>
      </pivotArea>
    </format>
    <format dxfId="7206">
      <pivotArea dataOnly="0" labelOnly="1" outline="0" fieldPosition="0">
        <references count="2">
          <reference field="11" count="1" selected="0">
            <x v="456"/>
          </reference>
          <reference field="14" count="1" defaultSubtotal="1">
            <x v="452"/>
          </reference>
        </references>
      </pivotArea>
    </format>
    <format dxfId="7205">
      <pivotArea dataOnly="0" labelOnly="1" outline="0" fieldPosition="0">
        <references count="2">
          <reference field="11" count="1" selected="0">
            <x v="457"/>
          </reference>
          <reference field="14" count="1">
            <x v="12"/>
          </reference>
        </references>
      </pivotArea>
    </format>
    <format dxfId="7204">
      <pivotArea dataOnly="0" labelOnly="1" outline="0" fieldPosition="0">
        <references count="2">
          <reference field="11" count="1" selected="0">
            <x v="457"/>
          </reference>
          <reference field="14" count="1" defaultSubtotal="1">
            <x v="12"/>
          </reference>
        </references>
      </pivotArea>
    </format>
    <format dxfId="7203">
      <pivotArea dataOnly="0" labelOnly="1" outline="0" fieldPosition="0">
        <references count="2">
          <reference field="11" count="1" selected="0">
            <x v="458"/>
          </reference>
          <reference field="14" count="1">
            <x v="367"/>
          </reference>
        </references>
      </pivotArea>
    </format>
    <format dxfId="7202">
      <pivotArea dataOnly="0" labelOnly="1" outline="0" fieldPosition="0">
        <references count="2">
          <reference field="11" count="1" selected="0">
            <x v="458"/>
          </reference>
          <reference field="14" count="1" defaultSubtotal="1">
            <x v="367"/>
          </reference>
        </references>
      </pivotArea>
    </format>
    <format dxfId="7201">
      <pivotArea dataOnly="0" labelOnly="1" outline="0" fieldPosition="0">
        <references count="2">
          <reference field="11" count="1" selected="0">
            <x v="459"/>
          </reference>
          <reference field="14" count="1">
            <x v="368"/>
          </reference>
        </references>
      </pivotArea>
    </format>
    <format dxfId="7200">
      <pivotArea dataOnly="0" labelOnly="1" outline="0" fieldPosition="0">
        <references count="2">
          <reference field="11" count="1" selected="0">
            <x v="459"/>
          </reference>
          <reference field="14" count="1" defaultSubtotal="1">
            <x v="368"/>
          </reference>
        </references>
      </pivotArea>
    </format>
    <format dxfId="7199">
      <pivotArea dataOnly="0" labelOnly="1" outline="0" fieldPosition="0">
        <references count="2">
          <reference field="11" count="1" selected="0">
            <x v="460"/>
          </reference>
          <reference field="14" count="1">
            <x v="369"/>
          </reference>
        </references>
      </pivotArea>
    </format>
    <format dxfId="7198">
      <pivotArea dataOnly="0" labelOnly="1" outline="0" fieldPosition="0">
        <references count="2">
          <reference field="11" count="1" selected="0">
            <x v="460"/>
          </reference>
          <reference field="14" count="1" defaultSubtotal="1">
            <x v="369"/>
          </reference>
        </references>
      </pivotArea>
    </format>
    <format dxfId="7197">
      <pivotArea dataOnly="0" labelOnly="1" outline="0" fieldPosition="0">
        <references count="2">
          <reference field="11" count="1" selected="0">
            <x v="461"/>
          </reference>
          <reference field="14" count="1">
            <x v="301"/>
          </reference>
        </references>
      </pivotArea>
    </format>
    <format dxfId="7196">
      <pivotArea dataOnly="0" labelOnly="1" outline="0" fieldPosition="0">
        <references count="2">
          <reference field="11" count="1" selected="0">
            <x v="461"/>
          </reference>
          <reference field="14" count="1" defaultSubtotal="1">
            <x v="301"/>
          </reference>
        </references>
      </pivotArea>
    </format>
    <format dxfId="7195">
      <pivotArea dataOnly="0" labelOnly="1" outline="0" fieldPosition="0">
        <references count="2">
          <reference field="11" count="1" selected="0">
            <x v="462"/>
          </reference>
          <reference field="14" count="1">
            <x v="434"/>
          </reference>
        </references>
      </pivotArea>
    </format>
    <format dxfId="7194">
      <pivotArea dataOnly="0" labelOnly="1" outline="0" fieldPosition="0">
        <references count="2">
          <reference field="11" count="1" selected="0">
            <x v="462"/>
          </reference>
          <reference field="14" count="1" defaultSubtotal="1">
            <x v="434"/>
          </reference>
        </references>
      </pivotArea>
    </format>
    <format dxfId="7193">
      <pivotArea dataOnly="0" labelOnly="1" outline="0" fieldPosition="0">
        <references count="2">
          <reference field="11" count="1" selected="0">
            <x v="463"/>
          </reference>
          <reference field="14" count="1">
            <x v="440"/>
          </reference>
        </references>
      </pivotArea>
    </format>
    <format dxfId="7192">
      <pivotArea dataOnly="0" labelOnly="1" outline="0" fieldPosition="0">
        <references count="2">
          <reference field="11" count="1" selected="0">
            <x v="463"/>
          </reference>
          <reference field="14" count="1" defaultSubtotal="1">
            <x v="440"/>
          </reference>
        </references>
      </pivotArea>
    </format>
    <format dxfId="7191">
      <pivotArea dataOnly="0" labelOnly="1" outline="0" fieldPosition="0">
        <references count="2">
          <reference field="11" count="1" selected="0">
            <x v="464"/>
          </reference>
          <reference field="14" count="1">
            <x v="442"/>
          </reference>
        </references>
      </pivotArea>
    </format>
    <format dxfId="7190">
      <pivotArea dataOnly="0" labelOnly="1" outline="0" fieldPosition="0">
        <references count="2">
          <reference field="11" count="1" selected="0">
            <x v="464"/>
          </reference>
          <reference field="14" count="1" defaultSubtotal="1">
            <x v="442"/>
          </reference>
        </references>
      </pivotArea>
    </format>
    <format dxfId="7189">
      <pivotArea dataOnly="0" labelOnly="1" outline="0" fieldPosition="0">
        <references count="2">
          <reference field="11" count="1" selected="0">
            <x v="465"/>
          </reference>
          <reference field="14" count="1">
            <x v="355"/>
          </reference>
        </references>
      </pivotArea>
    </format>
    <format dxfId="7188">
      <pivotArea dataOnly="0" labelOnly="1" outline="0" fieldPosition="0">
        <references count="2">
          <reference field="11" count="1" selected="0">
            <x v="465"/>
          </reference>
          <reference field="14" count="1" defaultSubtotal="1">
            <x v="355"/>
          </reference>
        </references>
      </pivotArea>
    </format>
    <format dxfId="7187">
      <pivotArea dataOnly="0" labelOnly="1" outline="0" fieldPosition="0">
        <references count="2">
          <reference field="11" count="1" selected="0">
            <x v="466"/>
          </reference>
          <reference field="14" count="1">
            <x v="115"/>
          </reference>
        </references>
      </pivotArea>
    </format>
    <format dxfId="7186">
      <pivotArea dataOnly="0" labelOnly="1" outline="0" fieldPosition="0">
        <references count="2">
          <reference field="11" count="1" selected="0">
            <x v="466"/>
          </reference>
          <reference field="14" count="1" defaultSubtotal="1">
            <x v="115"/>
          </reference>
        </references>
      </pivotArea>
    </format>
    <format dxfId="7185">
      <pivotArea dataOnly="0" labelOnly="1" outline="0" fieldPosition="0">
        <references count="2">
          <reference field="11" count="1" selected="0">
            <x v="467"/>
          </reference>
          <reference field="14" count="1">
            <x v="270"/>
          </reference>
        </references>
      </pivotArea>
    </format>
    <format dxfId="7184">
      <pivotArea dataOnly="0" labelOnly="1" outline="0" fieldPosition="0">
        <references count="2">
          <reference field="11" count="1" selected="0">
            <x v="467"/>
          </reference>
          <reference field="14" count="1" defaultSubtotal="1">
            <x v="270"/>
          </reference>
        </references>
      </pivotArea>
    </format>
    <format dxfId="7183">
      <pivotArea dataOnly="0" labelOnly="1" outline="0" fieldPosition="0">
        <references count="2">
          <reference field="11" count="1" selected="0">
            <x v="468"/>
          </reference>
          <reference field="14" count="1">
            <x v="380"/>
          </reference>
        </references>
      </pivotArea>
    </format>
    <format dxfId="7182">
      <pivotArea dataOnly="0" labelOnly="1" outline="0" fieldPosition="0">
        <references count="2">
          <reference field="11" count="1" selected="0">
            <x v="468"/>
          </reference>
          <reference field="14" count="1" defaultSubtotal="1">
            <x v="380"/>
          </reference>
        </references>
      </pivotArea>
    </format>
    <format dxfId="7181">
      <pivotArea dataOnly="0" labelOnly="1" outline="0" fieldPosition="0">
        <references count="2">
          <reference field="11" count="1" selected="0">
            <x v="469"/>
          </reference>
          <reference field="14" count="1">
            <x v="291"/>
          </reference>
        </references>
      </pivotArea>
    </format>
    <format dxfId="7180">
      <pivotArea dataOnly="0" labelOnly="1" outline="0" fieldPosition="0">
        <references count="2">
          <reference field="11" count="1" selected="0">
            <x v="469"/>
          </reference>
          <reference field="14" count="1" defaultSubtotal="1">
            <x v="291"/>
          </reference>
        </references>
      </pivotArea>
    </format>
    <format dxfId="7179">
      <pivotArea dataOnly="0" labelOnly="1" outline="0" fieldPosition="0">
        <references count="2">
          <reference field="11" count="1" selected="0">
            <x v="470"/>
          </reference>
          <reference field="14" count="1">
            <x v="100"/>
          </reference>
        </references>
      </pivotArea>
    </format>
    <format dxfId="7178">
      <pivotArea dataOnly="0" labelOnly="1" outline="0" fieldPosition="0">
        <references count="2">
          <reference field="11" count="1" selected="0">
            <x v="470"/>
          </reference>
          <reference field="14" count="1" defaultSubtotal="1">
            <x v="100"/>
          </reference>
        </references>
      </pivotArea>
    </format>
    <format dxfId="7177">
      <pivotArea dataOnly="0" labelOnly="1" outline="0" fieldPosition="0">
        <references count="2">
          <reference field="11" count="1" selected="0">
            <x v="471"/>
          </reference>
          <reference field="14" count="1">
            <x v="295"/>
          </reference>
        </references>
      </pivotArea>
    </format>
    <format dxfId="7176">
      <pivotArea dataOnly="0" labelOnly="1" outline="0" fieldPosition="0">
        <references count="2">
          <reference field="11" count="1" selected="0">
            <x v="471"/>
          </reference>
          <reference field="14" count="1" defaultSubtotal="1">
            <x v="295"/>
          </reference>
        </references>
      </pivotArea>
    </format>
    <format dxfId="7175">
      <pivotArea dataOnly="0" labelOnly="1" outline="0" fieldPosition="0">
        <references count="2">
          <reference field="11" count="1" selected="0">
            <x v="472"/>
          </reference>
          <reference field="14" count="1">
            <x v="325"/>
          </reference>
        </references>
      </pivotArea>
    </format>
    <format dxfId="7174">
      <pivotArea dataOnly="0" labelOnly="1" outline="0" fieldPosition="0">
        <references count="2">
          <reference field="11" count="1" selected="0">
            <x v="472"/>
          </reference>
          <reference field="14" count="1" defaultSubtotal="1">
            <x v="325"/>
          </reference>
        </references>
      </pivotArea>
    </format>
    <format dxfId="7173">
      <pivotArea dataOnly="0" labelOnly="1" outline="0" fieldPosition="0">
        <references count="2">
          <reference field="11" count="1" selected="0">
            <x v="473"/>
          </reference>
          <reference field="14" count="1">
            <x v="425"/>
          </reference>
        </references>
      </pivotArea>
    </format>
    <format dxfId="7172">
      <pivotArea dataOnly="0" labelOnly="1" outline="0" fieldPosition="0">
        <references count="2">
          <reference field="11" count="1" selected="0">
            <x v="473"/>
          </reference>
          <reference field="14" count="1" defaultSubtotal="1">
            <x v="425"/>
          </reference>
        </references>
      </pivotArea>
    </format>
    <format dxfId="7171">
      <pivotArea dataOnly="0" labelOnly="1" outline="0" fieldPosition="0">
        <references count="2">
          <reference field="11" count="1" selected="0">
            <x v="474"/>
          </reference>
          <reference field="14" count="1">
            <x v="424"/>
          </reference>
        </references>
      </pivotArea>
    </format>
    <format dxfId="7170">
      <pivotArea dataOnly="0" labelOnly="1" outline="0" fieldPosition="0">
        <references count="2">
          <reference field="11" count="1" selected="0">
            <x v="474"/>
          </reference>
          <reference field="14" count="1" defaultSubtotal="1">
            <x v="424"/>
          </reference>
        </references>
      </pivotArea>
    </format>
    <format dxfId="7169">
      <pivotArea dataOnly="0" labelOnly="1" outline="0" fieldPosition="0">
        <references count="2">
          <reference field="11" count="1" selected="0">
            <x v="475"/>
          </reference>
          <reference field="14" count="1">
            <x v="435"/>
          </reference>
        </references>
      </pivotArea>
    </format>
    <format dxfId="7168">
      <pivotArea dataOnly="0" labelOnly="1" outline="0" fieldPosition="0">
        <references count="2">
          <reference field="11" count="1" selected="0">
            <x v="475"/>
          </reference>
          <reference field="14" count="1" defaultSubtotal="1">
            <x v="435"/>
          </reference>
        </references>
      </pivotArea>
    </format>
    <format dxfId="7167">
      <pivotArea dataOnly="0" labelOnly="1" outline="0" fieldPosition="0">
        <references count="2">
          <reference field="11" count="1" selected="0">
            <x v="476"/>
          </reference>
          <reference field="14" count="1">
            <x v="151"/>
          </reference>
        </references>
      </pivotArea>
    </format>
    <format dxfId="7166">
      <pivotArea dataOnly="0" labelOnly="1" outline="0" fieldPosition="0">
        <references count="2">
          <reference field="11" count="1" selected="0">
            <x v="476"/>
          </reference>
          <reference field="14" count="1" defaultSubtotal="1">
            <x v="151"/>
          </reference>
        </references>
      </pivotArea>
    </format>
    <format dxfId="7165">
      <pivotArea dataOnly="0" labelOnly="1" outline="0" fieldPosition="0">
        <references count="2">
          <reference field="11" count="1" selected="0">
            <x v="477"/>
          </reference>
          <reference field="14" count="1">
            <x v="419"/>
          </reference>
        </references>
      </pivotArea>
    </format>
    <format dxfId="7164">
      <pivotArea dataOnly="0" labelOnly="1" outline="0" fieldPosition="0">
        <references count="2">
          <reference field="11" count="1" selected="0">
            <x v="477"/>
          </reference>
          <reference field="14" count="1" defaultSubtotal="1">
            <x v="419"/>
          </reference>
        </references>
      </pivotArea>
    </format>
    <format dxfId="7163">
      <pivotArea dataOnly="0" labelOnly="1" outline="0" fieldPosition="0">
        <references count="2">
          <reference field="11" count="1" selected="0">
            <x v="478"/>
          </reference>
          <reference field="14" count="1">
            <x v="308"/>
          </reference>
        </references>
      </pivotArea>
    </format>
    <format dxfId="7162">
      <pivotArea dataOnly="0" labelOnly="1" outline="0" fieldPosition="0">
        <references count="2">
          <reference field="11" count="1" selected="0">
            <x v="478"/>
          </reference>
          <reference field="14" count="1" defaultSubtotal="1">
            <x v="308"/>
          </reference>
        </references>
      </pivotArea>
    </format>
    <format dxfId="7161">
      <pivotArea dataOnly="0" labelOnly="1" outline="0" fieldPosition="0">
        <references count="2">
          <reference field="11" count="1" selected="0">
            <x v="479"/>
          </reference>
          <reference field="14" count="1">
            <x v="312"/>
          </reference>
        </references>
      </pivotArea>
    </format>
    <format dxfId="7160">
      <pivotArea dataOnly="0" labelOnly="1" outline="0" fieldPosition="0">
        <references count="2">
          <reference field="11" count="1" selected="0">
            <x v="479"/>
          </reference>
          <reference field="14" count="1" defaultSubtotal="1">
            <x v="312"/>
          </reference>
        </references>
      </pivotArea>
    </format>
    <format dxfId="7159">
      <pivotArea dataOnly="0" labelOnly="1" outline="0" fieldPosition="0">
        <references count="2">
          <reference field="11" count="1" selected="0">
            <x v="480"/>
          </reference>
          <reference field="14" count="1">
            <x v="423"/>
          </reference>
        </references>
      </pivotArea>
    </format>
    <format dxfId="7158">
      <pivotArea dataOnly="0" labelOnly="1" outline="0" fieldPosition="0">
        <references count="2">
          <reference field="11" count="1" selected="0">
            <x v="480"/>
          </reference>
          <reference field="14" count="1" defaultSubtotal="1">
            <x v="423"/>
          </reference>
        </references>
      </pivotArea>
    </format>
    <format dxfId="7157">
      <pivotArea dataOnly="0" labelOnly="1" outline="0" fieldPosition="0">
        <references count="2">
          <reference field="11" count="1" selected="0">
            <x v="481"/>
          </reference>
          <reference field="14" count="1">
            <x v="455"/>
          </reference>
        </references>
      </pivotArea>
    </format>
    <format dxfId="7156">
      <pivotArea dataOnly="0" labelOnly="1" outline="0" fieldPosition="0">
        <references count="2">
          <reference field="11" count="1" selected="0">
            <x v="481"/>
          </reference>
          <reference field="14" count="1" defaultSubtotal="1">
            <x v="455"/>
          </reference>
        </references>
      </pivotArea>
    </format>
    <format dxfId="7155">
      <pivotArea dataOnly="0" labelOnly="1" outline="0" fieldPosition="0">
        <references count="2">
          <reference field="11" count="1" selected="0">
            <x v="482"/>
          </reference>
          <reference field="14" count="1">
            <x v="38"/>
          </reference>
        </references>
      </pivotArea>
    </format>
    <format dxfId="7154">
      <pivotArea dataOnly="0" labelOnly="1" outline="0" fieldPosition="0">
        <references count="2">
          <reference field="11" count="1" selected="0">
            <x v="482"/>
          </reference>
          <reference field="14" count="1" defaultSubtotal="1">
            <x v="38"/>
          </reference>
        </references>
      </pivotArea>
    </format>
    <format dxfId="7153">
      <pivotArea dataOnly="0" labelOnly="1" outline="0" fieldPosition="0">
        <references count="2">
          <reference field="11" count="1" selected="0">
            <x v="483"/>
          </reference>
          <reference field="14" count="1">
            <x v="207"/>
          </reference>
        </references>
      </pivotArea>
    </format>
    <format dxfId="7152">
      <pivotArea dataOnly="0" labelOnly="1" outline="0" fieldPosition="0">
        <references count="2">
          <reference field="11" count="1" selected="0">
            <x v="483"/>
          </reference>
          <reference field="14" count="1" defaultSubtotal="1">
            <x v="207"/>
          </reference>
        </references>
      </pivotArea>
    </format>
    <format dxfId="7151">
      <pivotArea dataOnly="0" labelOnly="1" outline="0" fieldPosition="0">
        <references count="2">
          <reference field="11" count="1" selected="0">
            <x v="484"/>
          </reference>
          <reference field="14" count="1">
            <x v="49"/>
          </reference>
        </references>
      </pivotArea>
    </format>
    <format dxfId="7150">
      <pivotArea dataOnly="0" labelOnly="1" outline="0" fieldPosition="0">
        <references count="2">
          <reference field="11" count="1" selected="0">
            <x v="484"/>
          </reference>
          <reference field="14" count="1" defaultSubtotal="1">
            <x v="49"/>
          </reference>
        </references>
      </pivotArea>
    </format>
    <format dxfId="7149">
      <pivotArea dataOnly="0" labelOnly="1" outline="0" fieldPosition="0">
        <references count="2">
          <reference field="11" count="1" selected="0">
            <x v="485"/>
          </reference>
          <reference field="14" count="1">
            <x v="49"/>
          </reference>
        </references>
      </pivotArea>
    </format>
    <format dxfId="7148">
      <pivotArea dataOnly="0" labelOnly="1" outline="0" fieldPosition="0">
        <references count="2">
          <reference field="11" count="1" selected="0">
            <x v="485"/>
          </reference>
          <reference field="14" count="1" defaultSubtotal="1">
            <x v="49"/>
          </reference>
        </references>
      </pivotArea>
    </format>
    <format dxfId="7147">
      <pivotArea dataOnly="0" labelOnly="1" outline="0" fieldPosition="0">
        <references count="2">
          <reference field="11" count="1" selected="0">
            <x v="486"/>
          </reference>
          <reference field="14" count="1">
            <x v="207"/>
          </reference>
        </references>
      </pivotArea>
    </format>
    <format dxfId="7146">
      <pivotArea dataOnly="0" labelOnly="1" outline="0" fieldPosition="0">
        <references count="2">
          <reference field="11" count="1" selected="0">
            <x v="486"/>
          </reference>
          <reference field="14" count="1" defaultSubtotal="1">
            <x v="207"/>
          </reference>
        </references>
      </pivotArea>
    </format>
    <format dxfId="7145">
      <pivotArea dataOnly="0" labelOnly="1" outline="0" fieldPosition="0">
        <references count="2">
          <reference field="11" count="1" selected="0">
            <x v="487"/>
          </reference>
          <reference field="14" count="1">
            <x v="32"/>
          </reference>
        </references>
      </pivotArea>
    </format>
    <format dxfId="7144">
      <pivotArea dataOnly="0" labelOnly="1" outline="0" fieldPosition="0">
        <references count="2">
          <reference field="11" count="1" selected="0">
            <x v="487"/>
          </reference>
          <reference field="14" count="1" defaultSubtotal="1">
            <x v="32"/>
          </reference>
        </references>
      </pivotArea>
    </format>
    <format dxfId="7143">
      <pivotArea dataOnly="0" labelOnly="1" outline="0" fieldPosition="0">
        <references count="2">
          <reference field="11" count="1" selected="0">
            <x v="488"/>
          </reference>
          <reference field="14" count="1">
            <x v="484"/>
          </reference>
        </references>
      </pivotArea>
    </format>
    <format dxfId="7142">
      <pivotArea dataOnly="0" labelOnly="1" outline="0" fieldPosition="0">
        <references count="2">
          <reference field="11" count="1" selected="0">
            <x v="488"/>
          </reference>
          <reference field="14" count="1" defaultSubtotal="1">
            <x v="484"/>
          </reference>
        </references>
      </pivotArea>
    </format>
    <format dxfId="7141">
      <pivotArea dataOnly="0" labelOnly="1" outline="0" fieldPosition="0">
        <references count="3">
          <reference field="11" count="1" selected="0">
            <x v="0"/>
          </reference>
          <reference field="14" count="1" selected="0">
            <x v="90"/>
          </reference>
          <reference field="18" count="1">
            <x v="0"/>
          </reference>
        </references>
      </pivotArea>
    </format>
    <format dxfId="7140">
      <pivotArea dataOnly="0" labelOnly="1" outline="0" fieldPosition="0">
        <references count="3">
          <reference field="11" count="1" selected="0">
            <x v="0"/>
          </reference>
          <reference field="14" count="1" selected="0">
            <x v="90"/>
          </reference>
          <reference field="18" count="1" defaultSubtotal="1">
            <x v="0"/>
          </reference>
        </references>
      </pivotArea>
    </format>
    <format dxfId="7139">
      <pivotArea dataOnly="0" labelOnly="1" outline="0" fieldPosition="0">
        <references count="3">
          <reference field="11" count="1" selected="0">
            <x v="1"/>
          </reference>
          <reference field="14" count="1" selected="0">
            <x v="230"/>
          </reference>
          <reference field="18" count="3">
            <x v="2"/>
            <x v="3"/>
            <x v="12"/>
          </reference>
        </references>
      </pivotArea>
    </format>
    <format dxfId="7138">
      <pivotArea dataOnly="0" labelOnly="1" outline="0" fieldPosition="0">
        <references count="3">
          <reference field="11" count="1" selected="0">
            <x v="1"/>
          </reference>
          <reference field="14" count="1" selected="0">
            <x v="230"/>
          </reference>
          <reference field="18" count="3" defaultSubtotal="1">
            <x v="2"/>
            <x v="3"/>
            <x v="12"/>
          </reference>
        </references>
      </pivotArea>
    </format>
    <format dxfId="7137">
      <pivotArea dataOnly="0" labelOnly="1" outline="0" fieldPosition="0">
        <references count="3">
          <reference field="11" count="1" selected="0">
            <x v="2"/>
          </reference>
          <reference field="14" count="1" selected="0">
            <x v="226"/>
          </reference>
          <reference field="18" count="2">
            <x v="7"/>
            <x v="12"/>
          </reference>
        </references>
      </pivotArea>
    </format>
    <format dxfId="7136">
      <pivotArea dataOnly="0" labelOnly="1" outline="0" fieldPosition="0">
        <references count="3">
          <reference field="11" count="1" selected="0">
            <x v="2"/>
          </reference>
          <reference field="14" count="1" selected="0">
            <x v="226"/>
          </reference>
          <reference field="18" count="2" defaultSubtotal="1">
            <x v="7"/>
            <x v="12"/>
          </reference>
        </references>
      </pivotArea>
    </format>
    <format dxfId="7135">
      <pivotArea dataOnly="0" labelOnly="1" outline="0" fieldPosition="0">
        <references count="3">
          <reference field="11" count="1" selected="0">
            <x v="3"/>
          </reference>
          <reference field="14" count="1" selected="0">
            <x v="31"/>
          </reference>
          <reference field="18" count="2">
            <x v="7"/>
            <x v="12"/>
          </reference>
        </references>
      </pivotArea>
    </format>
    <format dxfId="7134">
      <pivotArea dataOnly="0" labelOnly="1" outline="0" fieldPosition="0">
        <references count="3">
          <reference field="11" count="1" selected="0">
            <x v="3"/>
          </reference>
          <reference field="14" count="1" selected="0">
            <x v="31"/>
          </reference>
          <reference field="18" count="2" defaultSubtotal="1">
            <x v="7"/>
            <x v="12"/>
          </reference>
        </references>
      </pivotArea>
    </format>
    <format dxfId="7133">
      <pivotArea dataOnly="0" labelOnly="1" outline="0" fieldPosition="0">
        <references count="3">
          <reference field="11" count="1" selected="0">
            <x v="4"/>
          </reference>
          <reference field="14" count="1" selected="0">
            <x v="233"/>
          </reference>
          <reference field="18" count="2">
            <x v="7"/>
            <x v="12"/>
          </reference>
        </references>
      </pivotArea>
    </format>
    <format dxfId="7132">
      <pivotArea dataOnly="0" labelOnly="1" outline="0" fieldPosition="0">
        <references count="3">
          <reference field="11" count="1" selected="0">
            <x v="4"/>
          </reference>
          <reference field="14" count="1" selected="0">
            <x v="233"/>
          </reference>
          <reference field="18" count="2" defaultSubtotal="1">
            <x v="7"/>
            <x v="12"/>
          </reference>
        </references>
      </pivotArea>
    </format>
    <format dxfId="7131">
      <pivotArea dataOnly="0" labelOnly="1" outline="0" fieldPosition="0">
        <references count="3">
          <reference field="11" count="1" selected="0">
            <x v="5"/>
          </reference>
          <reference field="14" count="1" selected="0">
            <x v="232"/>
          </reference>
          <reference field="18" count="2">
            <x v="2"/>
            <x v="12"/>
          </reference>
        </references>
      </pivotArea>
    </format>
    <format dxfId="7130">
      <pivotArea dataOnly="0" labelOnly="1" outline="0" fieldPosition="0">
        <references count="3">
          <reference field="11" count="1" selected="0">
            <x v="5"/>
          </reference>
          <reference field="14" count="1" selected="0">
            <x v="232"/>
          </reference>
          <reference field="18" count="2" defaultSubtotal="1">
            <x v="2"/>
            <x v="12"/>
          </reference>
        </references>
      </pivotArea>
    </format>
    <format dxfId="7129">
      <pivotArea dataOnly="0" labelOnly="1" outline="0" fieldPosition="0">
        <references count="3">
          <reference field="11" count="1" selected="0">
            <x v="6"/>
          </reference>
          <reference field="14" count="1" selected="0">
            <x v="19"/>
          </reference>
          <reference field="18" count="2">
            <x v="3"/>
            <x v="12"/>
          </reference>
        </references>
      </pivotArea>
    </format>
    <format dxfId="7128">
      <pivotArea dataOnly="0" labelOnly="1" outline="0" fieldPosition="0">
        <references count="3">
          <reference field="11" count="1" selected="0">
            <x v="6"/>
          </reference>
          <reference field="14" count="1" selected="0">
            <x v="19"/>
          </reference>
          <reference field="18" count="2" defaultSubtotal="1">
            <x v="3"/>
            <x v="12"/>
          </reference>
        </references>
      </pivotArea>
    </format>
    <format dxfId="7127">
      <pivotArea dataOnly="0" labelOnly="1" outline="0" fieldPosition="0">
        <references count="3">
          <reference field="11" count="1" selected="0">
            <x v="7"/>
          </reference>
          <reference field="14" count="1" selected="0">
            <x v="351"/>
          </reference>
          <reference field="18" count="1">
            <x v="27"/>
          </reference>
        </references>
      </pivotArea>
    </format>
    <format dxfId="7126">
      <pivotArea dataOnly="0" labelOnly="1" outline="0" fieldPosition="0">
        <references count="3">
          <reference field="11" count="1" selected="0">
            <x v="7"/>
          </reference>
          <reference field="14" count="1" selected="0">
            <x v="351"/>
          </reference>
          <reference field="18" count="1" defaultSubtotal="1">
            <x v="27"/>
          </reference>
        </references>
      </pivotArea>
    </format>
    <format dxfId="7125">
      <pivotArea dataOnly="0" labelOnly="1" outline="0" fieldPosition="0">
        <references count="3">
          <reference field="11" count="1" selected="0">
            <x v="8"/>
          </reference>
          <reference field="14" count="1" selected="0">
            <x v="375"/>
          </reference>
          <reference field="18" count="1">
            <x v="2"/>
          </reference>
        </references>
      </pivotArea>
    </format>
    <format dxfId="7124">
      <pivotArea dataOnly="0" labelOnly="1" outline="0" fieldPosition="0">
        <references count="3">
          <reference field="11" count="1" selected="0">
            <x v="8"/>
          </reference>
          <reference field="14" count="1" selected="0">
            <x v="375"/>
          </reference>
          <reference field="18" count="1" defaultSubtotal="1">
            <x v="2"/>
          </reference>
        </references>
      </pivotArea>
    </format>
    <format dxfId="7123">
      <pivotArea dataOnly="0" labelOnly="1" outline="0" fieldPosition="0">
        <references count="3">
          <reference field="11" count="1" selected="0">
            <x v="9"/>
          </reference>
          <reference field="14" count="1" selected="0">
            <x v="50"/>
          </reference>
          <reference field="18" count="1">
            <x v="15"/>
          </reference>
        </references>
      </pivotArea>
    </format>
    <format dxfId="7122">
      <pivotArea dataOnly="0" labelOnly="1" outline="0" fieldPosition="0">
        <references count="3">
          <reference field="11" count="1" selected="0">
            <x v="9"/>
          </reference>
          <reference field="14" count="1" selected="0">
            <x v="50"/>
          </reference>
          <reference field="18" count="1" defaultSubtotal="1">
            <x v="15"/>
          </reference>
        </references>
      </pivotArea>
    </format>
    <format dxfId="7121">
      <pivotArea dataOnly="0" labelOnly="1" outline="0" fieldPosition="0">
        <references count="3">
          <reference field="11" count="1" selected="0">
            <x v="10"/>
          </reference>
          <reference field="14" count="1" selected="0">
            <x v="150"/>
          </reference>
          <reference field="18" count="1">
            <x v="4"/>
          </reference>
        </references>
      </pivotArea>
    </format>
    <format dxfId="7120">
      <pivotArea dataOnly="0" labelOnly="1" outline="0" fieldPosition="0">
        <references count="3">
          <reference field="11" count="1" selected="0">
            <x v="10"/>
          </reference>
          <reference field="14" count="1" selected="0">
            <x v="150"/>
          </reference>
          <reference field="18" count="1" defaultSubtotal="1">
            <x v="4"/>
          </reference>
        </references>
      </pivotArea>
    </format>
    <format dxfId="7119">
      <pivotArea dataOnly="0" labelOnly="1" outline="0" fieldPosition="0">
        <references count="3">
          <reference field="11" count="1" selected="0">
            <x v="11"/>
          </reference>
          <reference field="14" count="1" selected="0">
            <x v="265"/>
          </reference>
          <reference field="18" count="1">
            <x v="1"/>
          </reference>
        </references>
      </pivotArea>
    </format>
    <format dxfId="7118">
      <pivotArea dataOnly="0" labelOnly="1" outline="0" fieldPosition="0">
        <references count="3">
          <reference field="11" count="1" selected="0">
            <x v="11"/>
          </reference>
          <reference field="14" count="1" selected="0">
            <x v="265"/>
          </reference>
          <reference field="18" count="1" defaultSubtotal="1">
            <x v="1"/>
          </reference>
        </references>
      </pivotArea>
    </format>
    <format dxfId="7117">
      <pivotArea dataOnly="0" labelOnly="1" outline="0" fieldPosition="0">
        <references count="3">
          <reference field="11" count="1" selected="0">
            <x v="12"/>
          </reference>
          <reference field="14" count="1" selected="0">
            <x v="256"/>
          </reference>
          <reference field="18" count="1">
            <x v="2"/>
          </reference>
        </references>
      </pivotArea>
    </format>
    <format dxfId="7116">
      <pivotArea dataOnly="0" labelOnly="1" outline="0" fieldPosition="0">
        <references count="3">
          <reference field="11" count="1" selected="0">
            <x v="12"/>
          </reference>
          <reference field="14" count="1" selected="0">
            <x v="256"/>
          </reference>
          <reference field="18" count="1" defaultSubtotal="1">
            <x v="2"/>
          </reference>
        </references>
      </pivotArea>
    </format>
    <format dxfId="7115">
      <pivotArea dataOnly="0" labelOnly="1" outline="0" fieldPosition="0">
        <references count="3">
          <reference field="11" count="1" selected="0">
            <x v="13"/>
          </reference>
          <reference field="14" count="1" selected="0">
            <x v="304"/>
          </reference>
          <reference field="18" count="1">
            <x v="2"/>
          </reference>
        </references>
      </pivotArea>
    </format>
    <format dxfId="7114">
      <pivotArea dataOnly="0" labelOnly="1" outline="0" fieldPosition="0">
        <references count="3">
          <reference field="11" count="1" selected="0">
            <x v="13"/>
          </reference>
          <reference field="14" count="1" selected="0">
            <x v="304"/>
          </reference>
          <reference field="18" count="1" defaultSubtotal="1">
            <x v="2"/>
          </reference>
        </references>
      </pivotArea>
    </format>
    <format dxfId="7113">
      <pivotArea dataOnly="0" labelOnly="1" outline="0" fieldPosition="0">
        <references count="3">
          <reference field="11" count="1" selected="0">
            <x v="14"/>
          </reference>
          <reference field="14" count="1" selected="0">
            <x v="17"/>
          </reference>
          <reference field="18" count="2">
            <x v="7"/>
            <x v="12"/>
          </reference>
        </references>
      </pivotArea>
    </format>
    <format dxfId="7112">
      <pivotArea dataOnly="0" labelOnly="1" outline="0" fieldPosition="0">
        <references count="3">
          <reference field="11" count="1" selected="0">
            <x v="14"/>
          </reference>
          <reference field="14" count="1" selected="0">
            <x v="17"/>
          </reference>
          <reference field="18" count="2" defaultSubtotal="1">
            <x v="7"/>
            <x v="12"/>
          </reference>
        </references>
      </pivotArea>
    </format>
    <format dxfId="7111">
      <pivotArea dataOnly="0" labelOnly="1" outline="0" fieldPosition="0">
        <references count="3">
          <reference field="11" count="1" selected="0">
            <x v="15"/>
          </reference>
          <reference field="14" count="1" selected="0">
            <x v="378"/>
          </reference>
          <reference field="18" count="1">
            <x v="6"/>
          </reference>
        </references>
      </pivotArea>
    </format>
    <format dxfId="7110">
      <pivotArea dataOnly="0" labelOnly="1" outline="0" fieldPosition="0">
        <references count="3">
          <reference field="11" count="1" selected="0">
            <x v="15"/>
          </reference>
          <reference field="14" count="1" selected="0">
            <x v="378"/>
          </reference>
          <reference field="18" count="1" defaultSubtotal="1">
            <x v="6"/>
          </reference>
        </references>
      </pivotArea>
    </format>
    <format dxfId="7109">
      <pivotArea dataOnly="0" labelOnly="1" outline="0" fieldPosition="0">
        <references count="3">
          <reference field="11" count="1" selected="0">
            <x v="16"/>
          </reference>
          <reference field="14" count="1" selected="0">
            <x v="286"/>
          </reference>
          <reference field="18" count="1">
            <x v="0"/>
          </reference>
        </references>
      </pivotArea>
    </format>
    <format dxfId="7108">
      <pivotArea dataOnly="0" labelOnly="1" outline="0" fieldPosition="0">
        <references count="3">
          <reference field="11" count="1" selected="0">
            <x v="16"/>
          </reference>
          <reference field="14" count="1" selected="0">
            <x v="286"/>
          </reference>
          <reference field="18" count="1" defaultSubtotal="1">
            <x v="0"/>
          </reference>
        </references>
      </pivotArea>
    </format>
    <format dxfId="7107">
      <pivotArea dataOnly="0" labelOnly="1" outline="0" fieldPosition="0">
        <references count="3">
          <reference field="11" count="1" selected="0">
            <x v="17"/>
          </reference>
          <reference field="14" count="1" selected="0">
            <x v="116"/>
          </reference>
          <reference field="18" count="1">
            <x v="3"/>
          </reference>
        </references>
      </pivotArea>
    </format>
    <format dxfId="7106">
      <pivotArea dataOnly="0" labelOnly="1" outline="0" fieldPosition="0">
        <references count="3">
          <reference field="11" count="1" selected="0">
            <x v="17"/>
          </reference>
          <reference field="14" count="1" selected="0">
            <x v="116"/>
          </reference>
          <reference field="18" count="1" defaultSubtotal="1">
            <x v="3"/>
          </reference>
        </references>
      </pivotArea>
    </format>
    <format dxfId="7105">
      <pivotArea dataOnly="0" labelOnly="1" outline="0" fieldPosition="0">
        <references count="3">
          <reference field="11" count="1" selected="0">
            <x v="18"/>
          </reference>
          <reference field="14" count="1" selected="0">
            <x v="176"/>
          </reference>
          <reference field="18" count="1">
            <x v="6"/>
          </reference>
        </references>
      </pivotArea>
    </format>
    <format dxfId="7104">
      <pivotArea dataOnly="0" labelOnly="1" outline="0" fieldPosition="0">
        <references count="3">
          <reference field="11" count="1" selected="0">
            <x v="18"/>
          </reference>
          <reference field="14" count="1" selected="0">
            <x v="176"/>
          </reference>
          <reference field="18" count="1" defaultSubtotal="1">
            <x v="6"/>
          </reference>
        </references>
      </pivotArea>
    </format>
    <format dxfId="7103">
      <pivotArea dataOnly="0" labelOnly="1" outline="0" fieldPosition="0">
        <references count="3">
          <reference field="11" count="1" selected="0">
            <x v="19"/>
          </reference>
          <reference field="14" count="1" selected="0">
            <x v="460"/>
          </reference>
          <reference field="18" count="2">
            <x v="24"/>
            <x v="27"/>
          </reference>
        </references>
      </pivotArea>
    </format>
    <format dxfId="7102">
      <pivotArea dataOnly="0" labelOnly="1" outline="0" fieldPosition="0">
        <references count="3">
          <reference field="11" count="1" selected="0">
            <x v="19"/>
          </reference>
          <reference field="14" count="1" selected="0">
            <x v="460"/>
          </reference>
          <reference field="18" count="2" defaultSubtotal="1">
            <x v="24"/>
            <x v="27"/>
          </reference>
        </references>
      </pivotArea>
    </format>
    <format dxfId="7101">
      <pivotArea dataOnly="0" labelOnly="1" outline="0" fieldPosition="0">
        <references count="3">
          <reference field="11" count="1" selected="0">
            <x v="20"/>
          </reference>
          <reference field="14" count="1" selected="0">
            <x v="46"/>
          </reference>
          <reference field="18" count="1">
            <x v="0"/>
          </reference>
        </references>
      </pivotArea>
    </format>
    <format dxfId="7100">
      <pivotArea dataOnly="0" labelOnly="1" outline="0" fieldPosition="0">
        <references count="3">
          <reference field="11" count="1" selected="0">
            <x v="20"/>
          </reference>
          <reference field="14" count="1" selected="0">
            <x v="46"/>
          </reference>
          <reference field="18" count="1" defaultSubtotal="1">
            <x v="0"/>
          </reference>
        </references>
      </pivotArea>
    </format>
    <format dxfId="7099">
      <pivotArea dataOnly="0" labelOnly="1" outline="0" fieldPosition="0">
        <references count="3">
          <reference field="11" count="1" selected="0">
            <x v="21"/>
          </reference>
          <reference field="14" count="1" selected="0">
            <x v="347"/>
          </reference>
          <reference field="18" count="1">
            <x v="6"/>
          </reference>
        </references>
      </pivotArea>
    </format>
    <format dxfId="7098">
      <pivotArea dataOnly="0" labelOnly="1" outline="0" fieldPosition="0">
        <references count="3">
          <reference field="11" count="1" selected="0">
            <x v="21"/>
          </reference>
          <reference field="14" count="1" selected="0">
            <x v="347"/>
          </reference>
          <reference field="18" count="1" defaultSubtotal="1">
            <x v="6"/>
          </reference>
        </references>
      </pivotArea>
    </format>
    <format dxfId="7097">
      <pivotArea dataOnly="0" labelOnly="1" outline="0" fieldPosition="0">
        <references count="3">
          <reference field="11" count="1" selected="0">
            <x v="22"/>
          </reference>
          <reference field="14" count="1" selected="0">
            <x v="219"/>
          </reference>
          <reference field="18" count="2">
            <x v="7"/>
            <x v="12"/>
          </reference>
        </references>
      </pivotArea>
    </format>
    <format dxfId="7096">
      <pivotArea dataOnly="0" labelOnly="1" outline="0" fieldPosition="0">
        <references count="3">
          <reference field="11" count="1" selected="0">
            <x v="22"/>
          </reference>
          <reference field="14" count="1" selected="0">
            <x v="219"/>
          </reference>
          <reference field="18" count="2" defaultSubtotal="1">
            <x v="7"/>
            <x v="12"/>
          </reference>
        </references>
      </pivotArea>
    </format>
    <format dxfId="7095">
      <pivotArea dataOnly="0" labelOnly="1" outline="0" fieldPosition="0">
        <references count="3">
          <reference field="11" count="1" selected="0">
            <x v="23"/>
          </reference>
          <reference field="14" count="1" selected="0">
            <x v="94"/>
          </reference>
          <reference field="18" count="1">
            <x v="2"/>
          </reference>
        </references>
      </pivotArea>
    </format>
    <format dxfId="7094">
      <pivotArea dataOnly="0" labelOnly="1" outline="0" fieldPosition="0">
        <references count="3">
          <reference field="11" count="1" selected="0">
            <x v="23"/>
          </reference>
          <reference field="14" count="1" selected="0">
            <x v="94"/>
          </reference>
          <reference field="18" count="1" defaultSubtotal="1">
            <x v="2"/>
          </reference>
        </references>
      </pivotArea>
    </format>
    <format dxfId="7093">
      <pivotArea dataOnly="0" labelOnly="1" outline="0" fieldPosition="0">
        <references count="3">
          <reference field="11" count="1" selected="0">
            <x v="24"/>
          </reference>
          <reference field="14" count="1" selected="0">
            <x v="93"/>
          </reference>
          <reference field="18" count="1">
            <x v="2"/>
          </reference>
        </references>
      </pivotArea>
    </format>
    <format dxfId="7092">
      <pivotArea dataOnly="0" labelOnly="1" outline="0" fieldPosition="0">
        <references count="3">
          <reference field="11" count="1" selected="0">
            <x v="24"/>
          </reference>
          <reference field="14" count="1" selected="0">
            <x v="93"/>
          </reference>
          <reference field="18" count="1" defaultSubtotal="1">
            <x v="2"/>
          </reference>
        </references>
      </pivotArea>
    </format>
    <format dxfId="7091">
      <pivotArea dataOnly="0" labelOnly="1" outline="0" fieldPosition="0">
        <references count="3">
          <reference field="11" count="1" selected="0">
            <x v="25"/>
          </reference>
          <reference field="14" count="1" selected="0">
            <x v="466"/>
          </reference>
          <reference field="18" count="1">
            <x v="1"/>
          </reference>
        </references>
      </pivotArea>
    </format>
    <format dxfId="7090">
      <pivotArea dataOnly="0" labelOnly="1" outline="0" fieldPosition="0">
        <references count="3">
          <reference field="11" count="1" selected="0">
            <x v="25"/>
          </reference>
          <reference field="14" count="1" selected="0">
            <x v="466"/>
          </reference>
          <reference field="18" count="1" defaultSubtotal="1">
            <x v="1"/>
          </reference>
        </references>
      </pivotArea>
    </format>
    <format dxfId="7089">
      <pivotArea dataOnly="0" labelOnly="1" outline="0" fieldPosition="0">
        <references count="3">
          <reference field="11" count="1" selected="0">
            <x v="26"/>
          </reference>
          <reference field="14" count="1" selected="0">
            <x v="55"/>
          </reference>
          <reference field="18" count="1">
            <x v="0"/>
          </reference>
        </references>
      </pivotArea>
    </format>
    <format dxfId="7088">
      <pivotArea dataOnly="0" labelOnly="1" outline="0" fieldPosition="0">
        <references count="3">
          <reference field="11" count="1" selected="0">
            <x v="26"/>
          </reference>
          <reference field="14" count="1" selected="0">
            <x v="55"/>
          </reference>
          <reference field="18" count="1" defaultSubtotal="1">
            <x v="0"/>
          </reference>
        </references>
      </pivotArea>
    </format>
    <format dxfId="7087">
      <pivotArea dataOnly="0" labelOnly="1" outline="0" fieldPosition="0">
        <references count="3">
          <reference field="11" count="1" selected="0">
            <x v="27"/>
          </reference>
          <reference field="14" count="1" selected="0">
            <x v="458"/>
          </reference>
          <reference field="18" count="1">
            <x v="2"/>
          </reference>
        </references>
      </pivotArea>
    </format>
    <format dxfId="7086">
      <pivotArea dataOnly="0" labelOnly="1" outline="0" fieldPosition="0">
        <references count="3">
          <reference field="11" count="1" selected="0">
            <x v="27"/>
          </reference>
          <reference field="14" count="1" selected="0">
            <x v="458"/>
          </reference>
          <reference field="18" count="1" defaultSubtotal="1">
            <x v="2"/>
          </reference>
        </references>
      </pivotArea>
    </format>
    <format dxfId="7085">
      <pivotArea dataOnly="0" labelOnly="1" outline="0" fieldPosition="0">
        <references count="3">
          <reference field="11" count="1" selected="0">
            <x v="28"/>
          </reference>
          <reference field="14" count="1" selected="0">
            <x v="179"/>
          </reference>
          <reference field="18" count="1">
            <x v="2"/>
          </reference>
        </references>
      </pivotArea>
    </format>
    <format dxfId="7084">
      <pivotArea dataOnly="0" labelOnly="1" outline="0" fieldPosition="0">
        <references count="3">
          <reference field="11" count="1" selected="0">
            <x v="28"/>
          </reference>
          <reference field="14" count="1" selected="0">
            <x v="179"/>
          </reference>
          <reference field="18" count="1" defaultSubtotal="1">
            <x v="2"/>
          </reference>
        </references>
      </pivotArea>
    </format>
    <format dxfId="7083">
      <pivotArea dataOnly="0" labelOnly="1" outline="0" fieldPosition="0">
        <references count="3">
          <reference field="11" count="1" selected="0">
            <x v="29"/>
          </reference>
          <reference field="14" count="1" selected="0">
            <x v="0"/>
          </reference>
          <reference field="18" count="1">
            <x v="2"/>
          </reference>
        </references>
      </pivotArea>
    </format>
    <format dxfId="7082">
      <pivotArea dataOnly="0" labelOnly="1" outline="0" fieldPosition="0">
        <references count="3">
          <reference field="11" count="1" selected="0">
            <x v="29"/>
          </reference>
          <reference field="14" count="1" selected="0">
            <x v="0"/>
          </reference>
          <reference field="18" count="1" defaultSubtotal="1">
            <x v="2"/>
          </reference>
        </references>
      </pivotArea>
    </format>
    <format dxfId="7081">
      <pivotArea dataOnly="0" labelOnly="1" outline="0" fieldPosition="0">
        <references count="3">
          <reference field="11" count="1" selected="0">
            <x v="30"/>
          </reference>
          <reference field="14" count="1" selected="0">
            <x v="1"/>
          </reference>
          <reference field="18" count="1">
            <x v="2"/>
          </reference>
        </references>
      </pivotArea>
    </format>
    <format dxfId="7080">
      <pivotArea dataOnly="0" labelOnly="1" outline="0" fieldPosition="0">
        <references count="3">
          <reference field="11" count="1" selected="0">
            <x v="30"/>
          </reference>
          <reference field="14" count="1" selected="0">
            <x v="1"/>
          </reference>
          <reference field="18" count="1" defaultSubtotal="1">
            <x v="2"/>
          </reference>
        </references>
      </pivotArea>
    </format>
    <format dxfId="7079">
      <pivotArea dataOnly="0" labelOnly="1" outline="0" fieldPosition="0">
        <references count="3">
          <reference field="11" count="1" selected="0">
            <x v="31"/>
          </reference>
          <reference field="14" count="1" selected="0">
            <x v="414"/>
          </reference>
          <reference field="18" count="1">
            <x v="2"/>
          </reference>
        </references>
      </pivotArea>
    </format>
    <format dxfId="7078">
      <pivotArea dataOnly="0" labelOnly="1" outline="0" fieldPosition="0">
        <references count="3">
          <reference field="11" count="1" selected="0">
            <x v="31"/>
          </reference>
          <reference field="14" count="1" selected="0">
            <x v="414"/>
          </reference>
          <reference field="18" count="1" defaultSubtotal="1">
            <x v="2"/>
          </reference>
        </references>
      </pivotArea>
    </format>
    <format dxfId="7077">
      <pivotArea dataOnly="0" labelOnly="1" outline="0" fieldPosition="0">
        <references count="3">
          <reference field="11" count="1" selected="0">
            <x v="32"/>
          </reference>
          <reference field="14" count="1" selected="0">
            <x v="36"/>
          </reference>
          <reference field="18" count="1">
            <x v="6"/>
          </reference>
        </references>
      </pivotArea>
    </format>
    <format dxfId="7076">
      <pivotArea dataOnly="0" labelOnly="1" outline="0" fieldPosition="0">
        <references count="3">
          <reference field="11" count="1" selected="0">
            <x v="32"/>
          </reference>
          <reference field="14" count="1" selected="0">
            <x v="36"/>
          </reference>
          <reference field="18" count="1" defaultSubtotal="1">
            <x v="6"/>
          </reference>
        </references>
      </pivotArea>
    </format>
    <format dxfId="7075">
      <pivotArea dataOnly="0" labelOnly="1" outline="0" fieldPosition="0">
        <references count="3">
          <reference field="11" count="1" selected="0">
            <x v="33"/>
          </reference>
          <reference field="14" count="1" selected="0">
            <x v="341"/>
          </reference>
          <reference field="18" count="1">
            <x v="3"/>
          </reference>
        </references>
      </pivotArea>
    </format>
    <format dxfId="7074">
      <pivotArea dataOnly="0" labelOnly="1" outline="0" fieldPosition="0">
        <references count="3">
          <reference field="11" count="1" selected="0">
            <x v="33"/>
          </reference>
          <reference field="14" count="1" selected="0">
            <x v="341"/>
          </reference>
          <reference field="18" count="1" defaultSubtotal="1">
            <x v="3"/>
          </reference>
        </references>
      </pivotArea>
    </format>
    <format dxfId="7073">
      <pivotArea dataOnly="0" labelOnly="1" outline="0" fieldPosition="0">
        <references count="3">
          <reference field="11" count="1" selected="0">
            <x v="34"/>
          </reference>
          <reference field="14" count="1" selected="0">
            <x v="340"/>
          </reference>
          <reference field="18" count="1">
            <x v="3"/>
          </reference>
        </references>
      </pivotArea>
    </format>
    <format dxfId="7072">
      <pivotArea dataOnly="0" labelOnly="1" outline="0" fieldPosition="0">
        <references count="3">
          <reference field="11" count="1" selected="0">
            <x v="34"/>
          </reference>
          <reference field="14" count="1" selected="0">
            <x v="340"/>
          </reference>
          <reference field="18" count="1" defaultSubtotal="1">
            <x v="3"/>
          </reference>
        </references>
      </pivotArea>
    </format>
    <format dxfId="7071">
      <pivotArea dataOnly="0" labelOnly="1" outline="0" fieldPosition="0">
        <references count="3">
          <reference field="11" count="1" selected="0">
            <x v="35"/>
          </reference>
          <reference field="14" count="1" selected="0">
            <x v="379"/>
          </reference>
          <reference field="18" count="1">
            <x v="6"/>
          </reference>
        </references>
      </pivotArea>
    </format>
    <format dxfId="7070">
      <pivotArea dataOnly="0" labelOnly="1" outline="0" fieldPosition="0">
        <references count="3">
          <reference field="11" count="1" selected="0">
            <x v="35"/>
          </reference>
          <reference field="14" count="1" selected="0">
            <x v="379"/>
          </reference>
          <reference field="18" count="1" defaultSubtotal="1">
            <x v="6"/>
          </reference>
        </references>
      </pivotArea>
    </format>
    <format dxfId="7069">
      <pivotArea dataOnly="0" labelOnly="1" outline="0" fieldPosition="0">
        <references count="3">
          <reference field="11" count="1" selected="0">
            <x v="36"/>
          </reference>
          <reference field="14" count="1" selected="0">
            <x v="349"/>
          </reference>
          <reference field="18" count="1">
            <x v="6"/>
          </reference>
        </references>
      </pivotArea>
    </format>
    <format dxfId="7068">
      <pivotArea dataOnly="0" labelOnly="1" outline="0" fieldPosition="0">
        <references count="3">
          <reference field="11" count="1" selected="0">
            <x v="36"/>
          </reference>
          <reference field="14" count="1" selected="0">
            <x v="349"/>
          </reference>
          <reference field="18" count="1" defaultSubtotal="1">
            <x v="6"/>
          </reference>
        </references>
      </pivotArea>
    </format>
    <format dxfId="7067">
      <pivotArea dataOnly="0" labelOnly="1" outline="0" fieldPosition="0">
        <references count="3">
          <reference field="11" count="1" selected="0">
            <x v="37"/>
          </reference>
          <reference field="14" count="1" selected="0">
            <x v="348"/>
          </reference>
          <reference field="18" count="1">
            <x v="6"/>
          </reference>
        </references>
      </pivotArea>
    </format>
    <format dxfId="7066">
      <pivotArea dataOnly="0" labelOnly="1" outline="0" fieldPosition="0">
        <references count="3">
          <reference field="11" count="1" selected="0">
            <x v="37"/>
          </reference>
          <reference field="14" count="1" selected="0">
            <x v="348"/>
          </reference>
          <reference field="18" count="1" defaultSubtotal="1">
            <x v="6"/>
          </reference>
        </references>
      </pivotArea>
    </format>
    <format dxfId="7065">
      <pivotArea dataOnly="0" labelOnly="1" outline="0" fieldPosition="0">
        <references count="3">
          <reference field="11" count="1" selected="0">
            <x v="38"/>
          </reference>
          <reference field="14" count="1" selected="0">
            <x v="346"/>
          </reference>
          <reference field="18" count="1">
            <x v="6"/>
          </reference>
        </references>
      </pivotArea>
    </format>
    <format dxfId="7064">
      <pivotArea dataOnly="0" labelOnly="1" outline="0" fieldPosition="0">
        <references count="3">
          <reference field="11" count="1" selected="0">
            <x v="38"/>
          </reference>
          <reference field="14" count="1" selected="0">
            <x v="346"/>
          </reference>
          <reference field="18" count="1" defaultSubtotal="1">
            <x v="6"/>
          </reference>
        </references>
      </pivotArea>
    </format>
    <format dxfId="7063">
      <pivotArea dataOnly="0" labelOnly="1" outline="0" fieldPosition="0">
        <references count="3">
          <reference field="11" count="1" selected="0">
            <x v="39"/>
          </reference>
          <reference field="14" count="1" selected="0">
            <x v="344"/>
          </reference>
          <reference field="18" count="1">
            <x v="6"/>
          </reference>
        </references>
      </pivotArea>
    </format>
    <format dxfId="7062">
      <pivotArea dataOnly="0" labelOnly="1" outline="0" fieldPosition="0">
        <references count="3">
          <reference field="11" count="1" selected="0">
            <x v="39"/>
          </reference>
          <reference field="14" count="1" selected="0">
            <x v="344"/>
          </reference>
          <reference field="18" count="1" defaultSubtotal="1">
            <x v="6"/>
          </reference>
        </references>
      </pivotArea>
    </format>
    <format dxfId="7061">
      <pivotArea dataOnly="0" labelOnly="1" outline="0" fieldPosition="0">
        <references count="3">
          <reference field="11" count="1" selected="0">
            <x v="40"/>
          </reference>
          <reference field="14" count="1" selected="0">
            <x v="345"/>
          </reference>
          <reference field="18" count="1">
            <x v="6"/>
          </reference>
        </references>
      </pivotArea>
    </format>
    <format dxfId="7060">
      <pivotArea dataOnly="0" labelOnly="1" outline="0" fieldPosition="0">
        <references count="3">
          <reference field="11" count="1" selected="0">
            <x v="40"/>
          </reference>
          <reference field="14" count="1" selected="0">
            <x v="345"/>
          </reference>
          <reference field="18" count="1" defaultSubtotal="1">
            <x v="6"/>
          </reference>
        </references>
      </pivotArea>
    </format>
    <format dxfId="7059">
      <pivotArea dataOnly="0" labelOnly="1" outline="0" fieldPosition="0">
        <references count="3">
          <reference field="11" count="1" selected="0">
            <x v="41"/>
          </reference>
          <reference field="14" count="1" selected="0">
            <x v="337"/>
          </reference>
          <reference field="18" count="1">
            <x v="16"/>
          </reference>
        </references>
      </pivotArea>
    </format>
    <format dxfId="7058">
      <pivotArea dataOnly="0" labelOnly="1" outline="0" fieldPosition="0">
        <references count="3">
          <reference field="11" count="1" selected="0">
            <x v="41"/>
          </reference>
          <reference field="14" count="1" selected="0">
            <x v="337"/>
          </reference>
          <reference field="18" count="1" defaultSubtotal="1">
            <x v="16"/>
          </reference>
        </references>
      </pivotArea>
    </format>
    <format dxfId="7057">
      <pivotArea dataOnly="0" labelOnly="1" outline="0" fieldPosition="0">
        <references count="3">
          <reference field="11" count="1" selected="0">
            <x v="42"/>
          </reference>
          <reference field="14" count="1" selected="0">
            <x v="59"/>
          </reference>
          <reference field="18" count="1">
            <x v="4"/>
          </reference>
        </references>
      </pivotArea>
    </format>
    <format dxfId="7056">
      <pivotArea dataOnly="0" labelOnly="1" outline="0" fieldPosition="0">
        <references count="3">
          <reference field="11" count="1" selected="0">
            <x v="42"/>
          </reference>
          <reference field="14" count="1" selected="0">
            <x v="59"/>
          </reference>
          <reference field="18" count="1" defaultSubtotal="1">
            <x v="4"/>
          </reference>
        </references>
      </pivotArea>
    </format>
    <format dxfId="7055">
      <pivotArea dataOnly="0" labelOnly="1" outline="0" fieldPosition="0">
        <references count="3">
          <reference field="11" count="1" selected="0">
            <x v="43"/>
          </reference>
          <reference field="14" count="1" selected="0">
            <x v="410"/>
          </reference>
          <reference field="18" count="2">
            <x v="0"/>
            <x v="14"/>
          </reference>
        </references>
      </pivotArea>
    </format>
    <format dxfId="7054">
      <pivotArea dataOnly="0" labelOnly="1" outline="0" fieldPosition="0">
        <references count="3">
          <reference field="11" count="1" selected="0">
            <x v="43"/>
          </reference>
          <reference field="14" count="1" selected="0">
            <x v="410"/>
          </reference>
          <reference field="18" count="2" defaultSubtotal="1">
            <x v="0"/>
            <x v="14"/>
          </reference>
        </references>
      </pivotArea>
    </format>
    <format dxfId="7053">
      <pivotArea dataOnly="0" labelOnly="1" outline="0" fieldPosition="0">
        <references count="3">
          <reference field="11" count="1" selected="0">
            <x v="44"/>
          </reference>
          <reference field="14" count="1" selected="0">
            <x v="77"/>
          </reference>
          <reference field="18" count="2">
            <x v="2"/>
            <x v="22"/>
          </reference>
        </references>
      </pivotArea>
    </format>
    <format dxfId="7052">
      <pivotArea dataOnly="0" labelOnly="1" outline="0" fieldPosition="0">
        <references count="3">
          <reference field="11" count="1" selected="0">
            <x v="44"/>
          </reference>
          <reference field="14" count="1" selected="0">
            <x v="77"/>
          </reference>
          <reference field="18" count="2" defaultSubtotal="1">
            <x v="2"/>
            <x v="22"/>
          </reference>
        </references>
      </pivotArea>
    </format>
    <format dxfId="7051">
      <pivotArea dataOnly="0" labelOnly="1" outline="0" fieldPosition="0">
        <references count="3">
          <reference field="11" count="1" selected="0">
            <x v="45"/>
          </reference>
          <reference field="14" count="1" selected="0">
            <x v="465"/>
          </reference>
          <reference field="18" count="1">
            <x v="6"/>
          </reference>
        </references>
      </pivotArea>
    </format>
    <format dxfId="7050">
      <pivotArea dataOnly="0" labelOnly="1" outline="0" fieldPosition="0">
        <references count="3">
          <reference field="11" count="1" selected="0">
            <x v="45"/>
          </reference>
          <reference field="14" count="1" selected="0">
            <x v="465"/>
          </reference>
          <reference field="18" count="1" defaultSubtotal="1">
            <x v="6"/>
          </reference>
        </references>
      </pivotArea>
    </format>
    <format dxfId="7049">
      <pivotArea dataOnly="0" labelOnly="1" outline="0" fieldPosition="0">
        <references count="3">
          <reference field="11" count="1" selected="0">
            <x v="46"/>
          </reference>
          <reference field="14" count="1" selected="0">
            <x v="250"/>
          </reference>
          <reference field="18" count="1">
            <x v="2"/>
          </reference>
        </references>
      </pivotArea>
    </format>
    <format dxfId="7048">
      <pivotArea dataOnly="0" labelOnly="1" outline="0" fieldPosition="0">
        <references count="3">
          <reference field="11" count="1" selected="0">
            <x v="46"/>
          </reference>
          <reference field="14" count="1" selected="0">
            <x v="250"/>
          </reference>
          <reference field="18" count="1" defaultSubtotal="1">
            <x v="2"/>
          </reference>
        </references>
      </pivotArea>
    </format>
    <format dxfId="7047">
      <pivotArea dataOnly="0" labelOnly="1" outline="0" fieldPosition="0">
        <references count="3">
          <reference field="11" count="1" selected="0">
            <x v="47"/>
          </reference>
          <reference field="14" count="1" selected="0">
            <x v="323"/>
          </reference>
          <reference field="18" count="1">
            <x v="17"/>
          </reference>
        </references>
      </pivotArea>
    </format>
    <format dxfId="7046">
      <pivotArea dataOnly="0" labelOnly="1" outline="0" fieldPosition="0">
        <references count="3">
          <reference field="11" count="1" selected="0">
            <x v="47"/>
          </reference>
          <reference field="14" count="1" selected="0">
            <x v="323"/>
          </reference>
          <reference field="18" count="1" defaultSubtotal="1">
            <x v="17"/>
          </reference>
        </references>
      </pivotArea>
    </format>
    <format dxfId="7045">
      <pivotArea dataOnly="0" labelOnly="1" outline="0" fieldPosition="0">
        <references count="3">
          <reference field="11" count="1" selected="0">
            <x v="48"/>
          </reference>
          <reference field="14" count="1" selected="0">
            <x v="244"/>
          </reference>
          <reference field="18" count="1">
            <x v="6"/>
          </reference>
        </references>
      </pivotArea>
    </format>
    <format dxfId="7044">
      <pivotArea dataOnly="0" labelOnly="1" outline="0" fieldPosition="0">
        <references count="3">
          <reference field="11" count="1" selected="0">
            <x v="48"/>
          </reference>
          <reference field="14" count="1" selected="0">
            <x v="244"/>
          </reference>
          <reference field="18" count="1" defaultSubtotal="1">
            <x v="6"/>
          </reference>
        </references>
      </pivotArea>
    </format>
    <format dxfId="7043">
      <pivotArea dataOnly="0" labelOnly="1" outline="0" fieldPosition="0">
        <references count="3">
          <reference field="11" count="1" selected="0">
            <x v="49"/>
          </reference>
          <reference field="14" count="1" selected="0">
            <x v="228"/>
          </reference>
          <reference field="18" count="3">
            <x v="0"/>
            <x v="2"/>
            <x v="12"/>
          </reference>
        </references>
      </pivotArea>
    </format>
    <format dxfId="7042">
      <pivotArea dataOnly="0" labelOnly="1" outline="0" fieldPosition="0">
        <references count="3">
          <reference field="11" count="1" selected="0">
            <x v="49"/>
          </reference>
          <reference field="14" count="1" selected="0">
            <x v="228"/>
          </reference>
          <reference field="18" count="3" defaultSubtotal="1">
            <x v="0"/>
            <x v="2"/>
            <x v="12"/>
          </reference>
        </references>
      </pivotArea>
    </format>
    <format dxfId="7041">
      <pivotArea dataOnly="0" labelOnly="1" outline="0" fieldPosition="0">
        <references count="3">
          <reference field="11" count="1" selected="0">
            <x v="50"/>
          </reference>
          <reference field="14" count="1" selected="0">
            <x v="318"/>
          </reference>
          <reference field="18" count="1">
            <x v="6"/>
          </reference>
        </references>
      </pivotArea>
    </format>
    <format dxfId="7040">
      <pivotArea dataOnly="0" labelOnly="1" outline="0" fieldPosition="0">
        <references count="3">
          <reference field="11" count="1" selected="0">
            <x v="50"/>
          </reference>
          <reference field="14" count="1" selected="0">
            <x v="318"/>
          </reference>
          <reference field="18" count="1" defaultSubtotal="1">
            <x v="6"/>
          </reference>
        </references>
      </pivotArea>
    </format>
    <format dxfId="7039">
      <pivotArea dataOnly="0" labelOnly="1" outline="0" fieldPosition="0">
        <references count="3">
          <reference field="11" count="1" selected="0">
            <x v="51"/>
          </reference>
          <reference field="14" count="1" selected="0">
            <x v="241"/>
          </reference>
          <reference field="18" count="1">
            <x v="6"/>
          </reference>
        </references>
      </pivotArea>
    </format>
    <format dxfId="7038">
      <pivotArea dataOnly="0" labelOnly="1" outline="0" fieldPosition="0">
        <references count="3">
          <reference field="11" count="1" selected="0">
            <x v="51"/>
          </reference>
          <reference field="14" count="1" selected="0">
            <x v="241"/>
          </reference>
          <reference field="18" count="1" defaultSubtotal="1">
            <x v="6"/>
          </reference>
        </references>
      </pivotArea>
    </format>
    <format dxfId="7037">
      <pivotArea dataOnly="0" labelOnly="1" outline="0" fieldPosition="0">
        <references count="3">
          <reference field="11" count="1" selected="0">
            <x v="52"/>
          </reference>
          <reference field="14" count="1" selected="0">
            <x v="413"/>
          </reference>
          <reference field="18" count="1">
            <x v="6"/>
          </reference>
        </references>
      </pivotArea>
    </format>
    <format dxfId="7036">
      <pivotArea dataOnly="0" labelOnly="1" outline="0" fieldPosition="0">
        <references count="3">
          <reference field="11" count="1" selected="0">
            <x v="52"/>
          </reference>
          <reference field="14" count="1" selected="0">
            <x v="413"/>
          </reference>
          <reference field="18" count="1" defaultSubtotal="1">
            <x v="6"/>
          </reference>
        </references>
      </pivotArea>
    </format>
    <format dxfId="7035">
      <pivotArea dataOnly="0" labelOnly="1" outline="0" fieldPosition="0">
        <references count="3">
          <reference field="11" count="1" selected="0">
            <x v="53"/>
          </reference>
          <reference field="14" count="1" selected="0">
            <x v="283"/>
          </reference>
          <reference field="18" count="1">
            <x v="3"/>
          </reference>
        </references>
      </pivotArea>
    </format>
    <format dxfId="7034">
      <pivotArea dataOnly="0" labelOnly="1" outline="0" fieldPosition="0">
        <references count="3">
          <reference field="11" count="1" selected="0">
            <x v="53"/>
          </reference>
          <reference field="14" count="1" selected="0">
            <x v="283"/>
          </reference>
          <reference field="18" count="1" defaultSubtotal="1">
            <x v="3"/>
          </reference>
        </references>
      </pivotArea>
    </format>
    <format dxfId="7033">
      <pivotArea dataOnly="0" labelOnly="1" outline="0" fieldPosition="0">
        <references count="3">
          <reference field="11" count="1" selected="0">
            <x v="54"/>
          </reference>
          <reference field="14" count="1" selected="0">
            <x v="278"/>
          </reference>
          <reference field="18" count="2">
            <x v="0"/>
            <x v="1"/>
          </reference>
        </references>
      </pivotArea>
    </format>
    <format dxfId="7032">
      <pivotArea dataOnly="0" labelOnly="1" outline="0" fieldPosition="0">
        <references count="3">
          <reference field="11" count="1" selected="0">
            <x v="54"/>
          </reference>
          <reference field="14" count="1" selected="0">
            <x v="278"/>
          </reference>
          <reference field="18" count="2" defaultSubtotal="1">
            <x v="0"/>
            <x v="1"/>
          </reference>
        </references>
      </pivotArea>
    </format>
    <format dxfId="7031">
      <pivotArea dataOnly="0" labelOnly="1" outline="0" fieldPosition="0">
        <references count="3">
          <reference field="11" count="1" selected="0">
            <x v="55"/>
          </reference>
          <reference field="14" count="1" selected="0">
            <x v="275"/>
          </reference>
          <reference field="18" count="1">
            <x v="0"/>
          </reference>
        </references>
      </pivotArea>
    </format>
    <format dxfId="7030">
      <pivotArea dataOnly="0" labelOnly="1" outline="0" fieldPosition="0">
        <references count="3">
          <reference field="11" count="1" selected="0">
            <x v="55"/>
          </reference>
          <reference field="14" count="1" selected="0">
            <x v="275"/>
          </reference>
          <reference field="18" count="1" defaultSubtotal="1">
            <x v="0"/>
          </reference>
        </references>
      </pivotArea>
    </format>
    <format dxfId="7029">
      <pivotArea dataOnly="0" labelOnly="1" outline="0" fieldPosition="0">
        <references count="3">
          <reference field="11" count="1" selected="0">
            <x v="56"/>
          </reference>
          <reference field="14" count="1" selected="0">
            <x v="463"/>
          </reference>
          <reference field="18" count="3">
            <x v="22"/>
            <x v="23"/>
            <x v="24"/>
          </reference>
        </references>
      </pivotArea>
    </format>
    <format dxfId="7028">
      <pivotArea dataOnly="0" labelOnly="1" outline="0" fieldPosition="0">
        <references count="3">
          <reference field="11" count="1" selected="0">
            <x v="56"/>
          </reference>
          <reference field="14" count="1" selected="0">
            <x v="463"/>
          </reference>
          <reference field="18" count="3" defaultSubtotal="1">
            <x v="22"/>
            <x v="23"/>
            <x v="24"/>
          </reference>
        </references>
      </pivotArea>
    </format>
    <format dxfId="7027">
      <pivotArea dataOnly="0" labelOnly="1" outline="0" fieldPosition="0">
        <references count="3">
          <reference field="11" count="1" selected="0">
            <x v="57"/>
          </reference>
          <reference field="14" count="1" selected="0">
            <x v="462"/>
          </reference>
          <reference field="18" count="3">
            <x v="22"/>
            <x v="23"/>
            <x v="24"/>
          </reference>
        </references>
      </pivotArea>
    </format>
    <format dxfId="7026">
      <pivotArea dataOnly="0" labelOnly="1" outline="0" fieldPosition="0">
        <references count="3">
          <reference field="11" count="1" selected="0">
            <x v="57"/>
          </reference>
          <reference field="14" count="1" selected="0">
            <x v="462"/>
          </reference>
          <reference field="18" count="3" defaultSubtotal="1">
            <x v="22"/>
            <x v="23"/>
            <x v="24"/>
          </reference>
        </references>
      </pivotArea>
    </format>
    <format dxfId="7025">
      <pivotArea dataOnly="0" labelOnly="1" outline="0" fieldPosition="0">
        <references count="3">
          <reference field="11" count="1" selected="0">
            <x v="58"/>
          </reference>
          <reference field="14" count="1" selected="0">
            <x v="459"/>
          </reference>
          <reference field="18" count="1">
            <x v="1"/>
          </reference>
        </references>
      </pivotArea>
    </format>
    <format dxfId="7024">
      <pivotArea dataOnly="0" labelOnly="1" outline="0" fieldPosition="0">
        <references count="3">
          <reference field="11" count="1" selected="0">
            <x v="58"/>
          </reference>
          <reference field="14" count="1" selected="0">
            <x v="459"/>
          </reference>
          <reference field="18" count="1" defaultSubtotal="1">
            <x v="1"/>
          </reference>
        </references>
      </pivotArea>
    </format>
    <format dxfId="7023">
      <pivotArea dataOnly="0" labelOnly="1" outline="0" fieldPosition="0">
        <references count="3">
          <reference field="11" count="1" selected="0">
            <x v="59"/>
          </reference>
          <reference field="14" count="1" selected="0">
            <x v="271"/>
          </reference>
          <reference field="18" count="1">
            <x v="3"/>
          </reference>
        </references>
      </pivotArea>
    </format>
    <format dxfId="7022">
      <pivotArea dataOnly="0" labelOnly="1" outline="0" fieldPosition="0">
        <references count="3">
          <reference field="11" count="1" selected="0">
            <x v="59"/>
          </reference>
          <reference field="14" count="1" selected="0">
            <x v="271"/>
          </reference>
          <reference field="18" count="1" defaultSubtotal="1">
            <x v="3"/>
          </reference>
        </references>
      </pivotArea>
    </format>
    <format dxfId="7021">
      <pivotArea dataOnly="0" labelOnly="1" outline="0" fieldPosition="0">
        <references count="3">
          <reference field="11" count="1" selected="0">
            <x v="60"/>
          </reference>
          <reference field="14" count="1" selected="0">
            <x v="22"/>
          </reference>
          <reference field="18" count="1">
            <x v="16"/>
          </reference>
        </references>
      </pivotArea>
    </format>
    <format dxfId="7020">
      <pivotArea dataOnly="0" labelOnly="1" outline="0" fieldPosition="0">
        <references count="3">
          <reference field="11" count="1" selected="0">
            <x v="60"/>
          </reference>
          <reference field="14" count="1" selected="0">
            <x v="22"/>
          </reference>
          <reference field="18" count="1" defaultSubtotal="1">
            <x v="16"/>
          </reference>
        </references>
      </pivotArea>
    </format>
    <format dxfId="7019">
      <pivotArea dataOnly="0" labelOnly="1" outline="0" fieldPosition="0">
        <references count="3">
          <reference field="11" count="1" selected="0">
            <x v="61"/>
          </reference>
          <reference field="14" count="1" selected="0">
            <x v="354"/>
          </reference>
          <reference field="18" count="1">
            <x v="6"/>
          </reference>
        </references>
      </pivotArea>
    </format>
    <format dxfId="7018">
      <pivotArea dataOnly="0" labelOnly="1" outline="0" fieldPosition="0">
        <references count="3">
          <reference field="11" count="1" selected="0">
            <x v="61"/>
          </reference>
          <reference field="14" count="1" selected="0">
            <x v="354"/>
          </reference>
          <reference field="18" count="1" defaultSubtotal="1">
            <x v="6"/>
          </reference>
        </references>
      </pivotArea>
    </format>
    <format dxfId="7017">
      <pivotArea dataOnly="0" labelOnly="1" outline="0" fieldPosition="0">
        <references count="3">
          <reference field="11" count="1" selected="0">
            <x v="62"/>
          </reference>
          <reference field="14" count="1" selected="0">
            <x v="415"/>
          </reference>
          <reference field="18" count="1">
            <x v="6"/>
          </reference>
        </references>
      </pivotArea>
    </format>
    <format dxfId="7016">
      <pivotArea dataOnly="0" labelOnly="1" outline="0" fieldPosition="0">
        <references count="3">
          <reference field="11" count="1" selected="0">
            <x v="62"/>
          </reference>
          <reference field="14" count="1" selected="0">
            <x v="415"/>
          </reference>
          <reference field="18" count="1" defaultSubtotal="1">
            <x v="6"/>
          </reference>
        </references>
      </pivotArea>
    </format>
    <format dxfId="7015">
      <pivotArea dataOnly="0" labelOnly="1" outline="0" fieldPosition="0">
        <references count="3">
          <reference field="11" count="1" selected="0">
            <x v="63"/>
          </reference>
          <reference field="14" count="1" selected="0">
            <x v="227"/>
          </reference>
          <reference field="18" count="4">
            <x v="0"/>
            <x v="7"/>
            <x v="11"/>
            <x v="12"/>
          </reference>
        </references>
      </pivotArea>
    </format>
    <format dxfId="7014">
      <pivotArea dataOnly="0" labelOnly="1" outline="0" fieldPosition="0">
        <references count="3">
          <reference field="11" count="1" selected="0">
            <x v="63"/>
          </reference>
          <reference field="14" count="1" selected="0">
            <x v="227"/>
          </reference>
          <reference field="18" count="4" defaultSubtotal="1">
            <x v="0"/>
            <x v="7"/>
            <x v="11"/>
            <x v="12"/>
          </reference>
        </references>
      </pivotArea>
    </format>
    <format dxfId="7013">
      <pivotArea dataOnly="0" labelOnly="1" outline="0" fieldPosition="0">
        <references count="3">
          <reference field="11" count="1" selected="0">
            <x v="64"/>
          </reference>
          <reference field="14" count="1" selected="0">
            <x v="261"/>
          </reference>
          <reference field="18" count="1">
            <x v="12"/>
          </reference>
        </references>
      </pivotArea>
    </format>
    <format dxfId="7012">
      <pivotArea dataOnly="0" labelOnly="1" outline="0" fieldPosition="0">
        <references count="3">
          <reference field="11" count="1" selected="0">
            <x v="64"/>
          </reference>
          <reference field="14" count="1" selected="0">
            <x v="261"/>
          </reference>
          <reference field="18" count="1" defaultSubtotal="1">
            <x v="12"/>
          </reference>
        </references>
      </pivotArea>
    </format>
    <format dxfId="7011">
      <pivotArea dataOnly="0" labelOnly="1" outline="0" fieldPosition="0">
        <references count="3">
          <reference field="11" count="1" selected="0">
            <x v="65"/>
          </reference>
          <reference field="14" count="1" selected="0">
            <x v="336"/>
          </reference>
          <reference field="18" count="1">
            <x v="14"/>
          </reference>
        </references>
      </pivotArea>
    </format>
    <format dxfId="7010">
      <pivotArea dataOnly="0" labelOnly="1" outline="0" fieldPosition="0">
        <references count="3">
          <reference field="11" count="1" selected="0">
            <x v="65"/>
          </reference>
          <reference field="14" count="1" selected="0">
            <x v="336"/>
          </reference>
          <reference field="18" count="1" defaultSubtotal="1">
            <x v="14"/>
          </reference>
        </references>
      </pivotArea>
    </format>
    <format dxfId="7009">
      <pivotArea dataOnly="0" labelOnly="1" outline="0" fieldPosition="0">
        <references count="3">
          <reference field="11" count="1" selected="0">
            <x v="66"/>
          </reference>
          <reference field="14" count="1" selected="0">
            <x v="63"/>
          </reference>
          <reference field="18" count="1">
            <x v="3"/>
          </reference>
        </references>
      </pivotArea>
    </format>
    <format dxfId="7008">
      <pivotArea dataOnly="0" labelOnly="1" outline="0" fieldPosition="0">
        <references count="3">
          <reference field="11" count="1" selected="0">
            <x v="66"/>
          </reference>
          <reference field="14" count="1" selected="0">
            <x v="63"/>
          </reference>
          <reference field="18" count="1" defaultSubtotal="1">
            <x v="3"/>
          </reference>
        </references>
      </pivotArea>
    </format>
    <format dxfId="7007">
      <pivotArea dataOnly="0" labelOnly="1" outline="0" fieldPosition="0">
        <references count="3">
          <reference field="11" count="1" selected="0">
            <x v="67"/>
          </reference>
          <reference field="14" count="1" selected="0">
            <x v="237"/>
          </reference>
          <reference field="18" count="3">
            <x v="0"/>
            <x v="2"/>
            <x v="12"/>
          </reference>
        </references>
      </pivotArea>
    </format>
    <format dxfId="7006">
      <pivotArea dataOnly="0" labelOnly="1" outline="0" fieldPosition="0">
        <references count="3">
          <reference field="11" count="1" selected="0">
            <x v="67"/>
          </reference>
          <reference field="14" count="1" selected="0">
            <x v="237"/>
          </reference>
          <reference field="18" count="3" defaultSubtotal="1">
            <x v="0"/>
            <x v="2"/>
            <x v="12"/>
          </reference>
        </references>
      </pivotArea>
    </format>
    <format dxfId="7005">
      <pivotArea dataOnly="0" labelOnly="1" outline="0" fieldPosition="0">
        <references count="3">
          <reference field="11" count="1" selected="0">
            <x v="68"/>
          </reference>
          <reference field="14" count="1" selected="0">
            <x v="138"/>
          </reference>
          <reference field="18" count="1">
            <x v="22"/>
          </reference>
        </references>
      </pivotArea>
    </format>
    <format dxfId="7004">
      <pivotArea dataOnly="0" labelOnly="1" outline="0" fieldPosition="0">
        <references count="3">
          <reference field="11" count="1" selected="0">
            <x v="68"/>
          </reference>
          <reference field="14" count="1" selected="0">
            <x v="138"/>
          </reference>
          <reference field="18" count="1" defaultSubtotal="1">
            <x v="22"/>
          </reference>
        </references>
      </pivotArea>
    </format>
    <format dxfId="7003">
      <pivotArea dataOnly="0" labelOnly="1" outline="0" fieldPosition="0">
        <references count="3">
          <reference field="11" count="1" selected="0">
            <x v="69"/>
          </reference>
          <reference field="14" count="1" selected="0">
            <x v="139"/>
          </reference>
          <reference field="18" count="1">
            <x v="22"/>
          </reference>
        </references>
      </pivotArea>
    </format>
    <format dxfId="7002">
      <pivotArea dataOnly="0" labelOnly="1" outline="0" fieldPosition="0">
        <references count="3">
          <reference field="11" count="1" selected="0">
            <x v="69"/>
          </reference>
          <reference field="14" count="1" selected="0">
            <x v="139"/>
          </reference>
          <reference field="18" count="1" defaultSubtotal="1">
            <x v="22"/>
          </reference>
        </references>
      </pivotArea>
    </format>
    <format dxfId="7001">
      <pivotArea dataOnly="0" labelOnly="1" outline="0" fieldPosition="0">
        <references count="3">
          <reference field="11" count="1" selected="0">
            <x v="70"/>
          </reference>
          <reference field="14" count="1" selected="0">
            <x v="137"/>
          </reference>
          <reference field="18" count="1">
            <x v="22"/>
          </reference>
        </references>
      </pivotArea>
    </format>
    <format dxfId="7000">
      <pivotArea dataOnly="0" labelOnly="1" outline="0" fieldPosition="0">
        <references count="3">
          <reference field="11" count="1" selected="0">
            <x v="70"/>
          </reference>
          <reference field="14" count="1" selected="0">
            <x v="137"/>
          </reference>
          <reference field="18" count="1" defaultSubtotal="1">
            <x v="22"/>
          </reference>
        </references>
      </pivotArea>
    </format>
    <format dxfId="6999">
      <pivotArea dataOnly="0" labelOnly="1" outline="0" fieldPosition="0">
        <references count="3">
          <reference field="11" count="1" selected="0">
            <x v="71"/>
          </reference>
          <reference field="14" count="1" selected="0">
            <x v="468"/>
          </reference>
          <reference field="18" count="1">
            <x v="6"/>
          </reference>
        </references>
      </pivotArea>
    </format>
    <format dxfId="6998">
      <pivotArea dataOnly="0" labelOnly="1" outline="0" fieldPosition="0">
        <references count="3">
          <reference field="11" count="1" selected="0">
            <x v="71"/>
          </reference>
          <reference field="14" count="1" selected="0">
            <x v="468"/>
          </reference>
          <reference field="18" count="1" defaultSubtotal="1">
            <x v="6"/>
          </reference>
        </references>
      </pivotArea>
    </format>
    <format dxfId="6997">
      <pivotArea dataOnly="0" labelOnly="1" outline="0" fieldPosition="0">
        <references count="3">
          <reference field="11" count="1" selected="0">
            <x v="72"/>
          </reference>
          <reference field="14" count="1" selected="0">
            <x v="83"/>
          </reference>
          <reference field="18" count="1">
            <x v="1"/>
          </reference>
        </references>
      </pivotArea>
    </format>
    <format dxfId="6996">
      <pivotArea dataOnly="0" labelOnly="1" outline="0" fieldPosition="0">
        <references count="3">
          <reference field="11" count="1" selected="0">
            <x v="72"/>
          </reference>
          <reference field="14" count="1" selected="0">
            <x v="83"/>
          </reference>
          <reference field="18" count="1" defaultSubtotal="1">
            <x v="1"/>
          </reference>
        </references>
      </pivotArea>
    </format>
    <format dxfId="6995">
      <pivotArea dataOnly="0" labelOnly="1" outline="0" fieldPosition="0">
        <references count="3">
          <reference field="11" count="1" selected="0">
            <x v="73"/>
          </reference>
          <reference field="14" count="1" selected="0">
            <x v="288"/>
          </reference>
          <reference field="18" count="1">
            <x v="0"/>
          </reference>
        </references>
      </pivotArea>
    </format>
    <format dxfId="6994">
      <pivotArea dataOnly="0" labelOnly="1" outline="0" fieldPosition="0">
        <references count="3">
          <reference field="11" count="1" selected="0">
            <x v="73"/>
          </reference>
          <reference field="14" count="1" selected="0">
            <x v="288"/>
          </reference>
          <reference field="18" count="1" defaultSubtotal="1">
            <x v="0"/>
          </reference>
        </references>
      </pivotArea>
    </format>
    <format dxfId="6993">
      <pivotArea dataOnly="0" labelOnly="1" outline="0" fieldPosition="0">
        <references count="3">
          <reference field="11" count="1" selected="0">
            <x v="74"/>
          </reference>
          <reference field="14" count="1" selected="0">
            <x v="235"/>
          </reference>
          <reference field="18" count="2">
            <x v="3"/>
            <x v="12"/>
          </reference>
        </references>
      </pivotArea>
    </format>
    <format dxfId="6992">
      <pivotArea dataOnly="0" labelOnly="1" outline="0" fieldPosition="0">
        <references count="3">
          <reference field="11" count="1" selected="0">
            <x v="74"/>
          </reference>
          <reference field="14" count="1" selected="0">
            <x v="235"/>
          </reference>
          <reference field="18" count="2" defaultSubtotal="1">
            <x v="3"/>
            <x v="12"/>
          </reference>
        </references>
      </pivotArea>
    </format>
    <format dxfId="6991">
      <pivotArea dataOnly="0" labelOnly="1" outline="0" fieldPosition="0">
        <references count="3">
          <reference field="11" count="1" selected="0">
            <x v="75"/>
          </reference>
          <reference field="14" count="1" selected="0">
            <x v="285"/>
          </reference>
          <reference field="18" count="1">
            <x v="0"/>
          </reference>
        </references>
      </pivotArea>
    </format>
    <format dxfId="6990">
      <pivotArea dataOnly="0" labelOnly="1" outline="0" fieldPosition="0">
        <references count="3">
          <reference field="11" count="1" selected="0">
            <x v="75"/>
          </reference>
          <reference field="14" count="1" selected="0">
            <x v="285"/>
          </reference>
          <reference field="18" count="1" defaultSubtotal="1">
            <x v="0"/>
          </reference>
        </references>
      </pivotArea>
    </format>
    <format dxfId="6989">
      <pivotArea dataOnly="0" labelOnly="1" outline="0" fieldPosition="0">
        <references count="3">
          <reference field="11" count="1" selected="0">
            <x v="76"/>
          </reference>
          <reference field="14" count="1" selected="0">
            <x v="214"/>
          </reference>
          <reference field="18" count="2">
            <x v="8"/>
            <x v="14"/>
          </reference>
        </references>
      </pivotArea>
    </format>
    <format dxfId="6988">
      <pivotArea dataOnly="0" labelOnly="1" outline="0" fieldPosition="0">
        <references count="3">
          <reference field="11" count="1" selected="0">
            <x v="76"/>
          </reference>
          <reference field="14" count="1" selected="0">
            <x v="214"/>
          </reference>
          <reference field="18" count="2" defaultSubtotal="1">
            <x v="8"/>
            <x v="14"/>
          </reference>
        </references>
      </pivotArea>
    </format>
    <format dxfId="6987">
      <pivotArea dataOnly="0" labelOnly="1" outline="0" fieldPosition="0">
        <references count="3">
          <reference field="11" count="1" selected="0">
            <x v="77"/>
          </reference>
          <reference field="14" count="1" selected="0">
            <x v="104"/>
          </reference>
          <reference field="18" count="1">
            <x v="0"/>
          </reference>
        </references>
      </pivotArea>
    </format>
    <format dxfId="6986">
      <pivotArea dataOnly="0" labelOnly="1" outline="0" fieldPosition="0">
        <references count="3">
          <reference field="11" count="1" selected="0">
            <x v="77"/>
          </reference>
          <reference field="14" count="1" selected="0">
            <x v="104"/>
          </reference>
          <reference field="18" count="1" defaultSubtotal="1">
            <x v="0"/>
          </reference>
        </references>
      </pivotArea>
    </format>
    <format dxfId="6985">
      <pivotArea dataOnly="0" labelOnly="1" outline="0" fieldPosition="0">
        <references count="3">
          <reference field="11" count="1" selected="0">
            <x v="78"/>
          </reference>
          <reference field="14" count="1" selected="0">
            <x v="195"/>
          </reference>
          <reference field="18" count="1">
            <x v="14"/>
          </reference>
        </references>
      </pivotArea>
    </format>
    <format dxfId="6984">
      <pivotArea dataOnly="0" labelOnly="1" outline="0" fieldPosition="0">
        <references count="3">
          <reference field="11" count="1" selected="0">
            <x v="78"/>
          </reference>
          <reference field="14" count="1" selected="0">
            <x v="195"/>
          </reference>
          <reference field="18" count="1" defaultSubtotal="1">
            <x v="14"/>
          </reference>
        </references>
      </pivotArea>
    </format>
    <format dxfId="6983">
      <pivotArea dataOnly="0" labelOnly="1" outline="0" fieldPosition="0">
        <references count="3">
          <reference field="11" count="1" selected="0">
            <x v="79"/>
          </reference>
          <reference field="14" count="1" selected="0">
            <x v="196"/>
          </reference>
          <reference field="18" count="1">
            <x v="14"/>
          </reference>
        </references>
      </pivotArea>
    </format>
    <format dxfId="6982">
      <pivotArea dataOnly="0" labelOnly="1" outline="0" fieldPosition="0">
        <references count="3">
          <reference field="11" count="1" selected="0">
            <x v="79"/>
          </reference>
          <reference field="14" count="1" selected="0">
            <x v="196"/>
          </reference>
          <reference field="18" count="1" defaultSubtotal="1">
            <x v="14"/>
          </reference>
        </references>
      </pivotArea>
    </format>
    <format dxfId="6981">
      <pivotArea dataOnly="0" labelOnly="1" outline="0" fieldPosition="0">
        <references count="3">
          <reference field="11" count="1" selected="0">
            <x v="80"/>
          </reference>
          <reference field="14" count="1" selected="0">
            <x v="467"/>
          </reference>
          <reference field="18" count="1">
            <x v="2"/>
          </reference>
        </references>
      </pivotArea>
    </format>
    <format dxfId="6980">
      <pivotArea dataOnly="0" labelOnly="1" outline="0" fieldPosition="0">
        <references count="3">
          <reference field="11" count="1" selected="0">
            <x v="80"/>
          </reference>
          <reference field="14" count="1" selected="0">
            <x v="467"/>
          </reference>
          <reference field="18" count="1" defaultSubtotal="1">
            <x v="2"/>
          </reference>
        </references>
      </pivotArea>
    </format>
    <format dxfId="6979">
      <pivotArea dataOnly="0" labelOnly="1" outline="0" fieldPosition="0">
        <references count="3">
          <reference field="11" count="1" selected="0">
            <x v="81"/>
          </reference>
          <reference field="14" count="1" selected="0">
            <x v="56"/>
          </reference>
          <reference field="18" count="1">
            <x v="1"/>
          </reference>
        </references>
      </pivotArea>
    </format>
    <format dxfId="6978">
      <pivotArea dataOnly="0" labelOnly="1" outline="0" fieldPosition="0">
        <references count="3">
          <reference field="11" count="1" selected="0">
            <x v="81"/>
          </reference>
          <reference field="14" count="1" selected="0">
            <x v="56"/>
          </reference>
          <reference field="18" count="1" defaultSubtotal="1">
            <x v="1"/>
          </reference>
        </references>
      </pivotArea>
    </format>
    <format dxfId="6977">
      <pivotArea dataOnly="0" labelOnly="1" outline="0" fieldPosition="0">
        <references count="3">
          <reference field="11" count="1" selected="0">
            <x v="82"/>
          </reference>
          <reference field="14" count="1" selected="0">
            <x v="106"/>
          </reference>
          <reference field="18" count="1">
            <x v="27"/>
          </reference>
        </references>
      </pivotArea>
    </format>
    <format dxfId="6976">
      <pivotArea dataOnly="0" labelOnly="1" outline="0" fieldPosition="0">
        <references count="3">
          <reference field="11" count="1" selected="0">
            <x v="82"/>
          </reference>
          <reference field="14" count="1" selected="0">
            <x v="106"/>
          </reference>
          <reference field="18" count="1" defaultSubtotal="1">
            <x v="27"/>
          </reference>
        </references>
      </pivotArea>
    </format>
    <format dxfId="6975">
      <pivotArea dataOnly="0" labelOnly="1" outline="0" fieldPosition="0">
        <references count="3">
          <reference field="11" count="1" selected="0">
            <x v="83"/>
          </reference>
          <reference field="14" count="1" selected="0">
            <x v="216"/>
          </reference>
          <reference field="18" count="1">
            <x v="2"/>
          </reference>
        </references>
      </pivotArea>
    </format>
    <format dxfId="6974">
      <pivotArea dataOnly="0" labelOnly="1" outline="0" fieldPosition="0">
        <references count="3">
          <reference field="11" count="1" selected="0">
            <x v="83"/>
          </reference>
          <reference field="14" count="1" selected="0">
            <x v="216"/>
          </reference>
          <reference field="18" count="1" defaultSubtotal="1">
            <x v="2"/>
          </reference>
        </references>
      </pivotArea>
    </format>
    <format dxfId="6973">
      <pivotArea dataOnly="0" labelOnly="1" outline="0" fieldPosition="0">
        <references count="3">
          <reference field="11" count="1" selected="0">
            <x v="84"/>
          </reference>
          <reference field="14" count="1" selected="0">
            <x v="47"/>
          </reference>
          <reference field="18" count="1">
            <x v="0"/>
          </reference>
        </references>
      </pivotArea>
    </format>
    <format dxfId="6972">
      <pivotArea dataOnly="0" labelOnly="1" outline="0" fieldPosition="0">
        <references count="3">
          <reference field="11" count="1" selected="0">
            <x v="84"/>
          </reference>
          <reference field="14" count="1" selected="0">
            <x v="47"/>
          </reference>
          <reference field="18" count="1" defaultSubtotal="1">
            <x v="0"/>
          </reference>
        </references>
      </pivotArea>
    </format>
    <format dxfId="6971">
      <pivotArea dataOnly="0" labelOnly="1" outline="0" fieldPosition="0">
        <references count="3">
          <reference field="11" count="1" selected="0">
            <x v="85"/>
          </reference>
          <reference field="14" count="1" selected="0">
            <x v="203"/>
          </reference>
          <reference field="18" count="1">
            <x v="16"/>
          </reference>
        </references>
      </pivotArea>
    </format>
    <format dxfId="6970">
      <pivotArea dataOnly="0" labelOnly="1" outline="0" fieldPosition="0">
        <references count="3">
          <reference field="11" count="1" selected="0">
            <x v="85"/>
          </reference>
          <reference field="14" count="1" selected="0">
            <x v="203"/>
          </reference>
          <reference field="18" count="1" defaultSubtotal="1">
            <x v="16"/>
          </reference>
        </references>
      </pivotArea>
    </format>
    <format dxfId="6969">
      <pivotArea dataOnly="0" labelOnly="1" outline="0" fieldPosition="0">
        <references count="3">
          <reference field="11" count="1" selected="0">
            <x v="86"/>
          </reference>
          <reference field="14" count="1" selected="0">
            <x v="383"/>
          </reference>
          <reference field="18" count="1">
            <x v="4"/>
          </reference>
        </references>
      </pivotArea>
    </format>
    <format dxfId="6968">
      <pivotArea dataOnly="0" labelOnly="1" outline="0" fieldPosition="0">
        <references count="3">
          <reference field="11" count="1" selected="0">
            <x v="86"/>
          </reference>
          <reference field="14" count="1" selected="0">
            <x v="383"/>
          </reference>
          <reference field="18" count="1" defaultSubtotal="1">
            <x v="4"/>
          </reference>
        </references>
      </pivotArea>
    </format>
    <format dxfId="6967">
      <pivotArea dataOnly="0" labelOnly="1" outline="0" fieldPosition="0">
        <references count="3">
          <reference field="11" count="1" selected="0">
            <x v="87"/>
          </reference>
          <reference field="14" count="1" selected="0">
            <x v="193"/>
          </reference>
          <reference field="18" count="1">
            <x v="14"/>
          </reference>
        </references>
      </pivotArea>
    </format>
    <format dxfId="6966">
      <pivotArea dataOnly="0" labelOnly="1" outline="0" fieldPosition="0">
        <references count="3">
          <reference field="11" count="1" selected="0">
            <x v="87"/>
          </reference>
          <reference field="14" count="1" selected="0">
            <x v="193"/>
          </reference>
          <reference field="18" count="1" defaultSubtotal="1">
            <x v="14"/>
          </reference>
        </references>
      </pivotArea>
    </format>
    <format dxfId="6965">
      <pivotArea dataOnly="0" labelOnly="1" outline="0" fieldPosition="0">
        <references count="3">
          <reference field="11" count="1" selected="0">
            <x v="88"/>
          </reference>
          <reference field="14" count="1" selected="0">
            <x v="4"/>
          </reference>
          <reference field="18" count="1">
            <x v="4"/>
          </reference>
        </references>
      </pivotArea>
    </format>
    <format dxfId="6964">
      <pivotArea dataOnly="0" labelOnly="1" outline="0" fieldPosition="0">
        <references count="3">
          <reference field="11" count="1" selected="0">
            <x v="88"/>
          </reference>
          <reference field="14" count="1" selected="0">
            <x v="4"/>
          </reference>
          <reference field="18" count="1" defaultSubtotal="1">
            <x v="4"/>
          </reference>
        </references>
      </pivotArea>
    </format>
    <format dxfId="6963">
      <pivotArea dataOnly="0" labelOnly="1" outline="0" fieldPosition="0">
        <references count="3">
          <reference field="11" count="1" selected="0">
            <x v="89"/>
          </reference>
          <reference field="14" count="1" selected="0">
            <x v="251"/>
          </reference>
          <reference field="18" count="2">
            <x v="12"/>
            <x v="27"/>
          </reference>
        </references>
      </pivotArea>
    </format>
    <format dxfId="6962">
      <pivotArea dataOnly="0" labelOnly="1" outline="0" fieldPosition="0">
        <references count="3">
          <reference field="11" count="1" selected="0">
            <x v="89"/>
          </reference>
          <reference field="14" count="1" selected="0">
            <x v="251"/>
          </reference>
          <reference field="18" count="2" defaultSubtotal="1">
            <x v="12"/>
            <x v="27"/>
          </reference>
        </references>
      </pivotArea>
    </format>
    <format dxfId="6961">
      <pivotArea dataOnly="0" labelOnly="1" outline="0" fieldPosition="0">
        <references count="3">
          <reference field="11" count="1" selected="0">
            <x v="90"/>
          </reference>
          <reference field="14" count="1" selected="0">
            <x v="335"/>
          </reference>
          <reference field="18" count="4">
            <x v="0"/>
            <x v="1"/>
            <x v="12"/>
            <x v="13"/>
          </reference>
        </references>
      </pivotArea>
    </format>
    <format dxfId="6960">
      <pivotArea dataOnly="0" labelOnly="1" outline="0" fieldPosition="0">
        <references count="3">
          <reference field="11" count="1" selected="0">
            <x v="90"/>
          </reference>
          <reference field="14" count="1" selected="0">
            <x v="335"/>
          </reference>
          <reference field="18" count="4" defaultSubtotal="1">
            <x v="0"/>
            <x v="1"/>
            <x v="12"/>
            <x v="13"/>
          </reference>
        </references>
      </pivotArea>
    </format>
    <format dxfId="6959">
      <pivotArea dataOnly="0" labelOnly="1" outline="0" fieldPosition="0">
        <references count="3">
          <reference field="11" count="1" selected="0">
            <x v="91"/>
          </reference>
          <reference field="14" count="1" selected="0">
            <x v="27"/>
          </reference>
          <reference field="18" count="1">
            <x v="1"/>
          </reference>
        </references>
      </pivotArea>
    </format>
    <format dxfId="6958">
      <pivotArea dataOnly="0" labelOnly="1" outline="0" fieldPosition="0">
        <references count="3">
          <reference field="11" count="1" selected="0">
            <x v="91"/>
          </reference>
          <reference field="14" count="1" selected="0">
            <x v="27"/>
          </reference>
          <reference field="18" count="1" defaultSubtotal="1">
            <x v="1"/>
          </reference>
        </references>
      </pivotArea>
    </format>
    <format dxfId="6957">
      <pivotArea dataOnly="0" labelOnly="1" outline="0" fieldPosition="0">
        <references count="3">
          <reference field="11" count="1" selected="0">
            <x v="92"/>
          </reference>
          <reference field="14" count="1" selected="0">
            <x v="189"/>
          </reference>
          <reference field="18" count="1">
            <x v="0"/>
          </reference>
        </references>
      </pivotArea>
    </format>
    <format dxfId="6956">
      <pivotArea dataOnly="0" labelOnly="1" outline="0" fieldPosition="0">
        <references count="3">
          <reference field="11" count="1" selected="0">
            <x v="92"/>
          </reference>
          <reference field="14" count="1" selected="0">
            <x v="189"/>
          </reference>
          <reference field="18" count="1" defaultSubtotal="1">
            <x v="0"/>
          </reference>
        </references>
      </pivotArea>
    </format>
    <format dxfId="6955">
      <pivotArea dataOnly="0" labelOnly="1" outline="0" fieldPosition="0">
        <references count="3">
          <reference field="11" count="1" selected="0">
            <x v="93"/>
          </reference>
          <reference field="14" count="1" selected="0">
            <x v="451"/>
          </reference>
          <reference field="18" count="2">
            <x v="3"/>
            <x v="7"/>
          </reference>
        </references>
      </pivotArea>
    </format>
    <format dxfId="6954">
      <pivotArea dataOnly="0" labelOnly="1" outline="0" fieldPosition="0">
        <references count="3">
          <reference field="11" count="1" selected="0">
            <x v="93"/>
          </reference>
          <reference field="14" count="1" selected="0">
            <x v="451"/>
          </reference>
          <reference field="18" count="2" defaultSubtotal="1">
            <x v="3"/>
            <x v="7"/>
          </reference>
        </references>
      </pivotArea>
    </format>
    <format dxfId="6953">
      <pivotArea dataOnly="0" labelOnly="1" outline="0" fieldPosition="0">
        <references count="3">
          <reference field="11" count="1" selected="0">
            <x v="94"/>
          </reference>
          <reference field="14" count="1" selected="0">
            <x v="23"/>
          </reference>
          <reference field="18" count="1">
            <x v="3"/>
          </reference>
        </references>
      </pivotArea>
    </format>
    <format dxfId="6952">
      <pivotArea dataOnly="0" labelOnly="1" outline="0" fieldPosition="0">
        <references count="3">
          <reference field="11" count="1" selected="0">
            <x v="94"/>
          </reference>
          <reference field="14" count="1" selected="0">
            <x v="23"/>
          </reference>
          <reference field="18" count="1" defaultSubtotal="1">
            <x v="3"/>
          </reference>
        </references>
      </pivotArea>
    </format>
    <format dxfId="6951">
      <pivotArea dataOnly="0" labelOnly="1" outline="0" fieldPosition="0">
        <references count="3">
          <reference field="11" count="1" selected="0">
            <x v="95"/>
          </reference>
          <reference field="14" count="1" selected="0">
            <x v="200"/>
          </reference>
          <reference field="18" count="3">
            <x v="0"/>
            <x v="12"/>
            <x v="27"/>
          </reference>
        </references>
      </pivotArea>
    </format>
    <format dxfId="6950">
      <pivotArea dataOnly="0" labelOnly="1" outline="0" fieldPosition="0">
        <references count="3">
          <reference field="11" count="1" selected="0">
            <x v="95"/>
          </reference>
          <reference field="14" count="1" selected="0">
            <x v="200"/>
          </reference>
          <reference field="18" count="3" defaultSubtotal="1">
            <x v="0"/>
            <x v="12"/>
            <x v="27"/>
          </reference>
        </references>
      </pivotArea>
    </format>
    <format dxfId="6949">
      <pivotArea dataOnly="0" labelOnly="1" outline="0" fieldPosition="0">
        <references count="3">
          <reference field="11" count="1" selected="0">
            <x v="96"/>
          </reference>
          <reference field="14" count="1" selected="0">
            <x v="240"/>
          </reference>
          <reference field="18" count="1">
            <x v="6"/>
          </reference>
        </references>
      </pivotArea>
    </format>
    <format dxfId="6948">
      <pivotArea dataOnly="0" labelOnly="1" outline="0" fieldPosition="0">
        <references count="3">
          <reference field="11" count="1" selected="0">
            <x v="96"/>
          </reference>
          <reference field="14" count="1" selected="0">
            <x v="240"/>
          </reference>
          <reference field="18" count="1" defaultSubtotal="1">
            <x v="6"/>
          </reference>
        </references>
      </pivotArea>
    </format>
    <format dxfId="6947">
      <pivotArea dataOnly="0" labelOnly="1" outline="0" fieldPosition="0">
        <references count="3">
          <reference field="11" count="1" selected="0">
            <x v="97"/>
          </reference>
          <reference field="14" count="1" selected="0">
            <x v="268"/>
          </reference>
          <reference field="18" count="1">
            <x v="3"/>
          </reference>
        </references>
      </pivotArea>
    </format>
    <format dxfId="6946">
      <pivotArea dataOnly="0" labelOnly="1" outline="0" fieldPosition="0">
        <references count="3">
          <reference field="11" count="1" selected="0">
            <x v="97"/>
          </reference>
          <reference field="14" count="1" selected="0">
            <x v="268"/>
          </reference>
          <reference field="18" count="1" defaultSubtotal="1">
            <x v="3"/>
          </reference>
        </references>
      </pivotArea>
    </format>
    <format dxfId="6945">
      <pivotArea dataOnly="0" labelOnly="1" outline="0" fieldPosition="0">
        <references count="3">
          <reference field="11" count="1" selected="0">
            <x v="98"/>
          </reference>
          <reference field="14" count="1" selected="0">
            <x v="358"/>
          </reference>
          <reference field="18" count="1">
            <x v="14"/>
          </reference>
        </references>
      </pivotArea>
    </format>
    <format dxfId="6944">
      <pivotArea dataOnly="0" labelOnly="1" outline="0" fieldPosition="0">
        <references count="3">
          <reference field="11" count="1" selected="0">
            <x v="98"/>
          </reference>
          <reference field="14" count="1" selected="0">
            <x v="358"/>
          </reference>
          <reference field="18" count="1" defaultSubtotal="1">
            <x v="14"/>
          </reference>
        </references>
      </pivotArea>
    </format>
    <format dxfId="6943">
      <pivotArea dataOnly="0" labelOnly="1" outline="0" fieldPosition="0">
        <references count="3">
          <reference field="11" count="1" selected="0">
            <x v="99"/>
          </reference>
          <reference field="14" count="1" selected="0">
            <x v="454"/>
          </reference>
          <reference field="18" count="1">
            <x v="0"/>
          </reference>
        </references>
      </pivotArea>
    </format>
    <format dxfId="6942">
      <pivotArea dataOnly="0" labelOnly="1" outline="0" fieldPosition="0">
        <references count="3">
          <reference field="11" count="1" selected="0">
            <x v="99"/>
          </reference>
          <reference field="14" count="1" selected="0">
            <x v="454"/>
          </reference>
          <reference field="18" count="1" defaultSubtotal="1">
            <x v="0"/>
          </reference>
        </references>
      </pivotArea>
    </format>
    <format dxfId="6941">
      <pivotArea dataOnly="0" labelOnly="1" outline="0" fieldPosition="0">
        <references count="3">
          <reference field="11" count="1" selected="0">
            <x v="100"/>
          </reference>
          <reference field="14" count="1" selected="0">
            <x v="274"/>
          </reference>
          <reference field="18" count="1">
            <x v="0"/>
          </reference>
        </references>
      </pivotArea>
    </format>
    <format dxfId="6940">
      <pivotArea dataOnly="0" labelOnly="1" outline="0" fieldPosition="0">
        <references count="3">
          <reference field="11" count="1" selected="0">
            <x v="100"/>
          </reference>
          <reference field="14" count="1" selected="0">
            <x v="274"/>
          </reference>
          <reference field="18" count="1" defaultSubtotal="1">
            <x v="0"/>
          </reference>
        </references>
      </pivotArea>
    </format>
    <format dxfId="6939">
      <pivotArea dataOnly="0" labelOnly="1" outline="0" fieldPosition="0">
        <references count="3">
          <reference field="11" count="1" selected="0">
            <x v="101"/>
          </reference>
          <reference field="14" count="1" selected="0">
            <x v="303"/>
          </reference>
          <reference field="18" count="1">
            <x v="6"/>
          </reference>
        </references>
      </pivotArea>
    </format>
    <format dxfId="6938">
      <pivotArea dataOnly="0" labelOnly="1" outline="0" fieldPosition="0">
        <references count="3">
          <reference field="11" count="1" selected="0">
            <x v="101"/>
          </reference>
          <reference field="14" count="1" selected="0">
            <x v="303"/>
          </reference>
          <reference field="18" count="1" defaultSubtotal="1">
            <x v="6"/>
          </reference>
        </references>
      </pivotArea>
    </format>
    <format dxfId="6937">
      <pivotArea dataOnly="0" labelOnly="1" outline="0" fieldPosition="0">
        <references count="3">
          <reference field="11" count="1" selected="0">
            <x v="102"/>
          </reference>
          <reference field="14" count="1" selected="0">
            <x v="248"/>
          </reference>
          <reference field="18" count="1">
            <x v="3"/>
          </reference>
        </references>
      </pivotArea>
    </format>
    <format dxfId="6936">
      <pivotArea dataOnly="0" labelOnly="1" outline="0" fieldPosition="0">
        <references count="3">
          <reference field="11" count="1" selected="0">
            <x v="102"/>
          </reference>
          <reference field="14" count="1" selected="0">
            <x v="248"/>
          </reference>
          <reference field="18" count="1" defaultSubtotal="1">
            <x v="3"/>
          </reference>
        </references>
      </pivotArea>
    </format>
    <format dxfId="6935">
      <pivotArea dataOnly="0" labelOnly="1" outline="0" fieldPosition="0">
        <references count="3">
          <reference field="11" count="1" selected="0">
            <x v="103"/>
          </reference>
          <reference field="14" count="1" selected="0">
            <x v="48"/>
          </reference>
          <reference field="18" count="1">
            <x v="0"/>
          </reference>
        </references>
      </pivotArea>
    </format>
    <format dxfId="6934">
      <pivotArea dataOnly="0" labelOnly="1" outline="0" fieldPosition="0">
        <references count="3">
          <reference field="11" count="1" selected="0">
            <x v="103"/>
          </reference>
          <reference field="14" count="1" selected="0">
            <x v="48"/>
          </reference>
          <reference field="18" count="1" defaultSubtotal="1">
            <x v="0"/>
          </reference>
        </references>
      </pivotArea>
    </format>
    <format dxfId="6933">
      <pivotArea dataOnly="0" labelOnly="1" outline="0" fieldPosition="0">
        <references count="3">
          <reference field="11" count="1" selected="0">
            <x v="104"/>
          </reference>
          <reference field="14" count="1" selected="0">
            <x v="321"/>
          </reference>
          <reference field="18" count="1">
            <x v="2"/>
          </reference>
        </references>
      </pivotArea>
    </format>
    <format dxfId="6932">
      <pivotArea dataOnly="0" labelOnly="1" outline="0" fieldPosition="0">
        <references count="3">
          <reference field="11" count="1" selected="0">
            <x v="104"/>
          </reference>
          <reference field="14" count="1" selected="0">
            <x v="321"/>
          </reference>
          <reference field="18" count="1" defaultSubtotal="1">
            <x v="2"/>
          </reference>
        </references>
      </pivotArea>
    </format>
    <format dxfId="6931">
      <pivotArea dataOnly="0" labelOnly="1" outline="0" fieldPosition="0">
        <references count="3">
          <reference field="11" count="1" selected="0">
            <x v="105"/>
          </reference>
          <reference field="14" count="1" selected="0">
            <x v="320"/>
          </reference>
          <reference field="18" count="1">
            <x v="2"/>
          </reference>
        </references>
      </pivotArea>
    </format>
    <format dxfId="6930">
      <pivotArea dataOnly="0" labelOnly="1" outline="0" fieldPosition="0">
        <references count="3">
          <reference field="11" count="1" selected="0">
            <x v="105"/>
          </reference>
          <reference field="14" count="1" selected="0">
            <x v="320"/>
          </reference>
          <reference field="18" count="1" defaultSubtotal="1">
            <x v="2"/>
          </reference>
        </references>
      </pivotArea>
    </format>
    <format dxfId="6929">
      <pivotArea dataOnly="0" labelOnly="1" outline="0" fieldPosition="0">
        <references count="3">
          <reference field="11" count="1" selected="0">
            <x v="106"/>
          </reference>
          <reference field="14" count="1" selected="0">
            <x v="210"/>
          </reference>
          <reference field="18" count="1">
            <x v="0"/>
          </reference>
        </references>
      </pivotArea>
    </format>
    <format dxfId="6928">
      <pivotArea dataOnly="0" labelOnly="1" outline="0" fieldPosition="0">
        <references count="3">
          <reference field="11" count="1" selected="0">
            <x v="106"/>
          </reference>
          <reference field="14" count="1" selected="0">
            <x v="210"/>
          </reference>
          <reference field="18" count="1" defaultSubtotal="1">
            <x v="0"/>
          </reference>
        </references>
      </pivotArea>
    </format>
    <format dxfId="6927">
      <pivotArea dataOnly="0" labelOnly="1" outline="0" fieldPosition="0">
        <references count="3">
          <reference field="11" count="1" selected="0">
            <x v="107"/>
          </reference>
          <reference field="14" count="1" selected="0">
            <x v="220"/>
          </reference>
          <reference field="18" count="1">
            <x v="1"/>
          </reference>
        </references>
      </pivotArea>
    </format>
    <format dxfId="6926">
      <pivotArea dataOnly="0" labelOnly="1" outline="0" fieldPosition="0">
        <references count="3">
          <reference field="11" count="1" selected="0">
            <x v="107"/>
          </reference>
          <reference field="14" count="1" selected="0">
            <x v="220"/>
          </reference>
          <reference field="18" count="1" defaultSubtotal="1">
            <x v="1"/>
          </reference>
        </references>
      </pivotArea>
    </format>
    <format dxfId="6925">
      <pivotArea dataOnly="0" labelOnly="1" outline="0" fieldPosition="0">
        <references count="3">
          <reference field="11" count="1" selected="0">
            <x v="108"/>
          </reference>
          <reference field="14" count="1" selected="0">
            <x v="111"/>
          </reference>
          <reference field="18" count="1">
            <x v="0"/>
          </reference>
        </references>
      </pivotArea>
    </format>
    <format dxfId="6924">
      <pivotArea dataOnly="0" labelOnly="1" outline="0" fieldPosition="0">
        <references count="3">
          <reference field="11" count="1" selected="0">
            <x v="108"/>
          </reference>
          <reference field="14" count="1" selected="0">
            <x v="111"/>
          </reference>
          <reference field="18" count="1" defaultSubtotal="1">
            <x v="0"/>
          </reference>
        </references>
      </pivotArea>
    </format>
    <format dxfId="6923">
      <pivotArea dataOnly="0" labelOnly="1" outline="0" fieldPosition="0">
        <references count="3">
          <reference field="11" count="1" selected="0">
            <x v="109"/>
          </reference>
          <reference field="14" count="1" selected="0">
            <x v="194"/>
          </reference>
          <reference field="18" count="1">
            <x v="14"/>
          </reference>
        </references>
      </pivotArea>
    </format>
    <format dxfId="6922">
      <pivotArea dataOnly="0" labelOnly="1" outline="0" fieldPosition="0">
        <references count="3">
          <reference field="11" count="1" selected="0">
            <x v="109"/>
          </reference>
          <reference field="14" count="1" selected="0">
            <x v="194"/>
          </reference>
          <reference field="18" count="1" defaultSubtotal="1">
            <x v="14"/>
          </reference>
        </references>
      </pivotArea>
    </format>
    <format dxfId="6921">
      <pivotArea dataOnly="0" labelOnly="1" outline="0" fieldPosition="0">
        <references count="3">
          <reference field="11" count="1" selected="0">
            <x v="110"/>
          </reference>
          <reference field="14" count="1" selected="0">
            <x v="52"/>
          </reference>
          <reference field="18" count="1">
            <x v="0"/>
          </reference>
        </references>
      </pivotArea>
    </format>
    <format dxfId="6920">
      <pivotArea dataOnly="0" labelOnly="1" outline="0" fieldPosition="0">
        <references count="3">
          <reference field="11" count="1" selected="0">
            <x v="110"/>
          </reference>
          <reference field="14" count="1" selected="0">
            <x v="52"/>
          </reference>
          <reference field="18" count="1" defaultSubtotal="1">
            <x v="0"/>
          </reference>
        </references>
      </pivotArea>
    </format>
    <format dxfId="6919">
      <pivotArea dataOnly="0" labelOnly="1" outline="0" fieldPosition="0">
        <references count="3">
          <reference field="11" count="1" selected="0">
            <x v="111"/>
          </reference>
          <reference field="14" count="1" selected="0">
            <x v="229"/>
          </reference>
          <reference field="18" count="2">
            <x v="2"/>
            <x v="12"/>
          </reference>
        </references>
      </pivotArea>
    </format>
    <format dxfId="6918">
      <pivotArea dataOnly="0" labelOnly="1" outline="0" fieldPosition="0">
        <references count="3">
          <reference field="11" count="1" selected="0">
            <x v="111"/>
          </reference>
          <reference field="14" count="1" selected="0">
            <x v="229"/>
          </reference>
          <reference field="18" count="2" defaultSubtotal="1">
            <x v="2"/>
            <x v="12"/>
          </reference>
        </references>
      </pivotArea>
    </format>
    <format dxfId="6917">
      <pivotArea dataOnly="0" labelOnly="1" outline="0" fieldPosition="0">
        <references count="3">
          <reference field="11" count="1" selected="0">
            <x v="112"/>
          </reference>
          <reference field="14" count="1" selected="0">
            <x v="41"/>
          </reference>
          <reference field="18" count="2">
            <x v="0"/>
            <x v="2"/>
          </reference>
        </references>
      </pivotArea>
    </format>
    <format dxfId="6916">
      <pivotArea dataOnly="0" labelOnly="1" outline="0" fieldPosition="0">
        <references count="3">
          <reference field="11" count="1" selected="0">
            <x v="112"/>
          </reference>
          <reference field="14" count="1" selected="0">
            <x v="41"/>
          </reference>
          <reference field="18" count="2" defaultSubtotal="1">
            <x v="0"/>
            <x v="2"/>
          </reference>
        </references>
      </pivotArea>
    </format>
    <format dxfId="6915">
      <pivotArea dataOnly="0" labelOnly="1" outline="0" fieldPosition="0">
        <references count="3">
          <reference field="11" count="1" selected="0">
            <x v="113"/>
          </reference>
          <reference field="14" count="1" selected="0">
            <x v="40"/>
          </reference>
          <reference field="18" count="2">
            <x v="0"/>
            <x v="2"/>
          </reference>
        </references>
      </pivotArea>
    </format>
    <format dxfId="6914">
      <pivotArea dataOnly="0" labelOnly="1" outline="0" fieldPosition="0">
        <references count="3">
          <reference field="11" count="1" selected="0">
            <x v="113"/>
          </reference>
          <reference field="14" count="1" selected="0">
            <x v="40"/>
          </reference>
          <reference field="18" count="2" defaultSubtotal="1">
            <x v="0"/>
            <x v="2"/>
          </reference>
        </references>
      </pivotArea>
    </format>
    <format dxfId="6913">
      <pivotArea dataOnly="0" labelOnly="1" outline="0" fieldPosition="0">
        <references count="3">
          <reference field="11" count="1" selected="0">
            <x v="114"/>
          </reference>
          <reference field="14" count="1" selected="0">
            <x v="433"/>
          </reference>
          <reference field="18" count="1">
            <x v="2"/>
          </reference>
        </references>
      </pivotArea>
    </format>
    <format dxfId="6912">
      <pivotArea dataOnly="0" labelOnly="1" outline="0" fieldPosition="0">
        <references count="3">
          <reference field="11" count="1" selected="0">
            <x v="114"/>
          </reference>
          <reference field="14" count="1" selected="0">
            <x v="433"/>
          </reference>
          <reference field="18" count="1" defaultSubtotal="1">
            <x v="2"/>
          </reference>
        </references>
      </pivotArea>
    </format>
    <format dxfId="6911">
      <pivotArea dataOnly="0" labelOnly="1" outline="0" fieldPosition="0">
        <references count="3">
          <reference field="11" count="1" selected="0">
            <x v="115"/>
          </reference>
          <reference field="14" count="1" selected="0">
            <x v="470"/>
          </reference>
          <reference field="18" count="2">
            <x v="22"/>
            <x v="24"/>
          </reference>
        </references>
      </pivotArea>
    </format>
    <format dxfId="6910">
      <pivotArea dataOnly="0" labelOnly="1" outline="0" fieldPosition="0">
        <references count="3">
          <reference field="11" count="1" selected="0">
            <x v="115"/>
          </reference>
          <reference field="14" count="1" selected="0">
            <x v="470"/>
          </reference>
          <reference field="18" count="2" defaultSubtotal="1">
            <x v="22"/>
            <x v="24"/>
          </reference>
        </references>
      </pivotArea>
    </format>
    <format dxfId="6909">
      <pivotArea dataOnly="0" labelOnly="1" outline="0" fieldPosition="0">
        <references count="3">
          <reference field="11" count="1" selected="0">
            <x v="116"/>
          </reference>
          <reference field="14" count="1" selected="0">
            <x v="469"/>
          </reference>
          <reference field="18" count="1">
            <x v="2"/>
          </reference>
        </references>
      </pivotArea>
    </format>
    <format dxfId="6908">
      <pivotArea dataOnly="0" labelOnly="1" outline="0" fieldPosition="0">
        <references count="3">
          <reference field="11" count="1" selected="0">
            <x v="116"/>
          </reference>
          <reference field="14" count="1" selected="0">
            <x v="469"/>
          </reference>
          <reference field="18" count="1" defaultSubtotal="1">
            <x v="2"/>
          </reference>
        </references>
      </pivotArea>
    </format>
    <format dxfId="6907">
      <pivotArea dataOnly="0" labelOnly="1" outline="0" fieldPosition="0">
        <references count="3">
          <reference field="11" count="1" selected="0">
            <x v="117"/>
          </reference>
          <reference field="14" count="1" selected="0">
            <x v="472"/>
          </reference>
          <reference field="18" count="1">
            <x v="2"/>
          </reference>
        </references>
      </pivotArea>
    </format>
    <format dxfId="6906">
      <pivotArea dataOnly="0" labelOnly="1" outline="0" fieldPosition="0">
        <references count="3">
          <reference field="11" count="1" selected="0">
            <x v="117"/>
          </reference>
          <reference field="14" count="1" selected="0">
            <x v="472"/>
          </reference>
          <reference field="18" count="1" defaultSubtotal="1">
            <x v="2"/>
          </reference>
        </references>
      </pivotArea>
    </format>
    <format dxfId="6905">
      <pivotArea dataOnly="0" labelOnly="1" outline="0" fieldPosition="0">
        <references count="3">
          <reference field="11" count="1" selected="0">
            <x v="118"/>
          </reference>
          <reference field="14" count="1" selected="0">
            <x v="473"/>
          </reference>
          <reference field="18" count="1">
            <x v="2"/>
          </reference>
        </references>
      </pivotArea>
    </format>
    <format dxfId="6904">
      <pivotArea dataOnly="0" labelOnly="1" outline="0" fieldPosition="0">
        <references count="3">
          <reference field="11" count="1" selected="0">
            <x v="118"/>
          </reference>
          <reference field="14" count="1" selected="0">
            <x v="473"/>
          </reference>
          <reference field="18" count="1" defaultSubtotal="1">
            <x v="2"/>
          </reference>
        </references>
      </pivotArea>
    </format>
    <format dxfId="6903">
      <pivotArea dataOnly="0" labelOnly="1" outline="0" fieldPosition="0">
        <references count="3">
          <reference field="11" count="1" selected="0">
            <x v="119"/>
          </reference>
          <reference field="14" count="1" selected="0">
            <x v="475"/>
          </reference>
          <reference field="18" count="2">
            <x v="22"/>
            <x v="24"/>
          </reference>
        </references>
      </pivotArea>
    </format>
    <format dxfId="6902">
      <pivotArea dataOnly="0" labelOnly="1" outline="0" fieldPosition="0">
        <references count="3">
          <reference field="11" count="1" selected="0">
            <x v="119"/>
          </reference>
          <reference field="14" count="1" selected="0">
            <x v="475"/>
          </reference>
          <reference field="18" count="2" defaultSubtotal="1">
            <x v="22"/>
            <x v="24"/>
          </reference>
        </references>
      </pivotArea>
    </format>
    <format dxfId="6901">
      <pivotArea dataOnly="0" labelOnly="1" outline="0" fieldPosition="0">
        <references count="3">
          <reference field="11" count="1" selected="0">
            <x v="120"/>
          </reference>
          <reference field="14" count="1" selected="0">
            <x v="474"/>
          </reference>
          <reference field="18" count="2">
            <x v="22"/>
            <x v="24"/>
          </reference>
        </references>
      </pivotArea>
    </format>
    <format dxfId="6900">
      <pivotArea dataOnly="0" labelOnly="1" outline="0" fieldPosition="0">
        <references count="3">
          <reference field="11" count="1" selected="0">
            <x v="120"/>
          </reference>
          <reference field="14" count="1" selected="0">
            <x v="474"/>
          </reference>
          <reference field="18" count="2" defaultSubtotal="1">
            <x v="22"/>
            <x v="24"/>
          </reference>
        </references>
      </pivotArea>
    </format>
    <format dxfId="6899">
      <pivotArea dataOnly="0" labelOnly="1" outline="0" fieldPosition="0">
        <references count="3">
          <reference field="11" count="1" selected="0">
            <x v="121"/>
          </reference>
          <reference field="14" count="1" selected="0">
            <x v="477"/>
          </reference>
          <reference field="18" count="1">
            <x v="2"/>
          </reference>
        </references>
      </pivotArea>
    </format>
    <format dxfId="6898">
      <pivotArea dataOnly="0" labelOnly="1" outline="0" fieldPosition="0">
        <references count="3">
          <reference field="11" count="1" selected="0">
            <x v="121"/>
          </reference>
          <reference field="14" count="1" selected="0">
            <x v="477"/>
          </reference>
          <reference field="18" count="1" defaultSubtotal="1">
            <x v="2"/>
          </reference>
        </references>
      </pivotArea>
    </format>
    <format dxfId="6897">
      <pivotArea dataOnly="0" labelOnly="1" outline="0" fieldPosition="0">
        <references count="3">
          <reference field="11" count="1" selected="0">
            <x v="122"/>
          </reference>
          <reference field="14" count="1" selected="0">
            <x v="476"/>
          </reference>
          <reference field="18" count="1">
            <x v="2"/>
          </reference>
        </references>
      </pivotArea>
    </format>
    <format dxfId="6896">
      <pivotArea dataOnly="0" labelOnly="1" outline="0" fieldPosition="0">
        <references count="3">
          <reference field="11" count="1" selected="0">
            <x v="122"/>
          </reference>
          <reference field="14" count="1" selected="0">
            <x v="476"/>
          </reference>
          <reference field="18" count="1" defaultSubtotal="1">
            <x v="2"/>
          </reference>
        </references>
      </pivotArea>
    </format>
    <format dxfId="6895">
      <pivotArea dataOnly="0" labelOnly="1" outline="0" fieldPosition="0">
        <references count="3">
          <reference field="11" count="1" selected="0">
            <x v="123"/>
          </reference>
          <reference field="14" count="1" selected="0">
            <x v="478"/>
          </reference>
          <reference field="18" count="2">
            <x v="22"/>
            <x v="24"/>
          </reference>
        </references>
      </pivotArea>
    </format>
    <format dxfId="6894">
      <pivotArea dataOnly="0" labelOnly="1" outline="0" fieldPosition="0">
        <references count="3">
          <reference field="11" count="1" selected="0">
            <x v="123"/>
          </reference>
          <reference field="14" count="1" selected="0">
            <x v="478"/>
          </reference>
          <reference field="18" count="2" defaultSubtotal="1">
            <x v="22"/>
            <x v="24"/>
          </reference>
        </references>
      </pivotArea>
    </format>
    <format dxfId="6893">
      <pivotArea dataOnly="0" labelOnly="1" outline="0" fieldPosition="0">
        <references count="3">
          <reference field="11" count="1" selected="0">
            <x v="124"/>
          </reference>
          <reference field="14" count="1" selected="0">
            <x v="480"/>
          </reference>
          <reference field="18" count="2">
            <x v="22"/>
            <x v="24"/>
          </reference>
        </references>
      </pivotArea>
    </format>
    <format dxfId="6892">
      <pivotArea dataOnly="0" labelOnly="1" outline="0" fieldPosition="0">
        <references count="3">
          <reference field="11" count="1" selected="0">
            <x v="124"/>
          </reference>
          <reference field="14" count="1" selected="0">
            <x v="480"/>
          </reference>
          <reference field="18" count="2" defaultSubtotal="1">
            <x v="22"/>
            <x v="24"/>
          </reference>
        </references>
      </pivotArea>
    </format>
    <format dxfId="6891">
      <pivotArea dataOnly="0" labelOnly="1" outline="0" fieldPosition="0">
        <references count="3">
          <reference field="11" count="1" selected="0">
            <x v="125"/>
          </reference>
          <reference field="14" count="1" selected="0">
            <x v="479"/>
          </reference>
          <reference field="18" count="2">
            <x v="22"/>
            <x v="24"/>
          </reference>
        </references>
      </pivotArea>
    </format>
    <format dxfId="6890">
      <pivotArea dataOnly="0" labelOnly="1" outline="0" fieldPosition="0">
        <references count="3">
          <reference field="11" count="1" selected="0">
            <x v="125"/>
          </reference>
          <reference field="14" count="1" selected="0">
            <x v="479"/>
          </reference>
          <reference field="18" count="2" defaultSubtotal="1">
            <x v="22"/>
            <x v="24"/>
          </reference>
        </references>
      </pivotArea>
    </format>
    <format dxfId="6889">
      <pivotArea dataOnly="0" labelOnly="1" outline="0" fieldPosition="0">
        <references count="3">
          <reference field="11" count="1" selected="0">
            <x v="126"/>
          </reference>
          <reference field="14" count="1" selected="0">
            <x v="481"/>
          </reference>
          <reference field="18" count="2">
            <x v="22"/>
            <x v="24"/>
          </reference>
        </references>
      </pivotArea>
    </format>
    <format dxfId="6888">
      <pivotArea dataOnly="0" labelOnly="1" outline="0" fieldPosition="0">
        <references count="3">
          <reference field="11" count="1" selected="0">
            <x v="126"/>
          </reference>
          <reference field="14" count="1" selected="0">
            <x v="481"/>
          </reference>
          <reference field="18" count="2" defaultSubtotal="1">
            <x v="22"/>
            <x v="24"/>
          </reference>
        </references>
      </pivotArea>
    </format>
    <format dxfId="6887">
      <pivotArea dataOnly="0" labelOnly="1" outline="0" fieldPosition="0">
        <references count="3">
          <reference field="11" count="1" selected="0">
            <x v="127"/>
          </reference>
          <reference field="14" count="1" selected="0">
            <x v="483"/>
          </reference>
          <reference field="18" count="1">
            <x v="2"/>
          </reference>
        </references>
      </pivotArea>
    </format>
    <format dxfId="6886">
      <pivotArea dataOnly="0" labelOnly="1" outline="0" fieldPosition="0">
        <references count="3">
          <reference field="11" count="1" selected="0">
            <x v="127"/>
          </reference>
          <reference field="14" count="1" selected="0">
            <x v="483"/>
          </reference>
          <reference field="18" count="1" defaultSubtotal="1">
            <x v="2"/>
          </reference>
        </references>
      </pivotArea>
    </format>
    <format dxfId="6885">
      <pivotArea dataOnly="0" labelOnly="1" outline="0" fieldPosition="0">
        <references count="3">
          <reference field="11" count="1" selected="0">
            <x v="128"/>
          </reference>
          <reference field="14" count="1" selected="0">
            <x v="453"/>
          </reference>
          <reference field="18" count="1">
            <x v="0"/>
          </reference>
        </references>
      </pivotArea>
    </format>
    <format dxfId="6884">
      <pivotArea dataOnly="0" labelOnly="1" outline="0" fieldPosition="0">
        <references count="3">
          <reference field="11" count="1" selected="0">
            <x v="128"/>
          </reference>
          <reference field="14" count="1" selected="0">
            <x v="453"/>
          </reference>
          <reference field="18" count="1" defaultSubtotal="1">
            <x v="0"/>
          </reference>
        </references>
      </pivotArea>
    </format>
    <format dxfId="6883">
      <pivotArea dataOnly="0" labelOnly="1" outline="0" fieldPosition="0">
        <references count="3">
          <reference field="11" count="1" selected="0">
            <x v="129"/>
          </reference>
          <reference field="14" count="1" selected="0">
            <x v="391"/>
          </reference>
          <reference field="18" count="1">
            <x v="2"/>
          </reference>
        </references>
      </pivotArea>
    </format>
    <format dxfId="6882">
      <pivotArea dataOnly="0" labelOnly="1" outline="0" fieldPosition="0">
        <references count="3">
          <reference field="11" count="1" selected="0">
            <x v="129"/>
          </reference>
          <reference field="14" count="1" selected="0">
            <x v="391"/>
          </reference>
          <reference field="18" count="1" defaultSubtotal="1">
            <x v="2"/>
          </reference>
        </references>
      </pivotArea>
    </format>
    <format dxfId="6881">
      <pivotArea dataOnly="0" labelOnly="1" outline="0" fieldPosition="0">
        <references count="3">
          <reference field="11" count="1" selected="0">
            <x v="130"/>
          </reference>
          <reference field="14" count="1" selected="0">
            <x v="242"/>
          </reference>
          <reference field="18" count="1">
            <x v="2"/>
          </reference>
        </references>
      </pivotArea>
    </format>
    <format dxfId="6880">
      <pivotArea dataOnly="0" labelOnly="1" outline="0" fieldPosition="0">
        <references count="3">
          <reference field="11" count="1" selected="0">
            <x v="130"/>
          </reference>
          <reference field="14" count="1" selected="0">
            <x v="242"/>
          </reference>
          <reference field="18" count="1" defaultSubtotal="1">
            <x v="2"/>
          </reference>
        </references>
      </pivotArea>
    </format>
    <format dxfId="6879">
      <pivotArea dataOnly="0" labelOnly="1" outline="0" fieldPosition="0">
        <references count="3">
          <reference field="11" count="1" selected="0">
            <x v="131"/>
          </reference>
          <reference field="14" count="1" selected="0">
            <x v="33"/>
          </reference>
          <reference field="18" count="1">
            <x v="15"/>
          </reference>
        </references>
      </pivotArea>
    </format>
    <format dxfId="6878">
      <pivotArea dataOnly="0" labelOnly="1" outline="0" fieldPosition="0">
        <references count="3">
          <reference field="11" count="1" selected="0">
            <x v="131"/>
          </reference>
          <reference field="14" count="1" selected="0">
            <x v="33"/>
          </reference>
          <reference field="18" count="1" defaultSubtotal="1">
            <x v="15"/>
          </reference>
        </references>
      </pivotArea>
    </format>
    <format dxfId="6877">
      <pivotArea dataOnly="0" labelOnly="1" outline="0" fieldPosition="0">
        <references count="3">
          <reference field="11" count="1" selected="0">
            <x v="132"/>
          </reference>
          <reference field="14" count="1" selected="0">
            <x v="482"/>
          </reference>
          <reference field="18" count="1">
            <x v="2"/>
          </reference>
        </references>
      </pivotArea>
    </format>
    <format dxfId="6876">
      <pivotArea dataOnly="0" labelOnly="1" outline="0" fieldPosition="0">
        <references count="3">
          <reference field="11" count="1" selected="0">
            <x v="132"/>
          </reference>
          <reference field="14" count="1" selected="0">
            <x v="482"/>
          </reference>
          <reference field="18" count="1" defaultSubtotal="1">
            <x v="2"/>
          </reference>
        </references>
      </pivotArea>
    </format>
    <format dxfId="6875">
      <pivotArea dataOnly="0" labelOnly="1" outline="0" fieldPosition="0">
        <references count="3">
          <reference field="11" count="1" selected="0">
            <x v="133"/>
          </reference>
          <reference field="14" count="1" selected="0">
            <x v="266"/>
          </reference>
          <reference field="18" count="1">
            <x v="27"/>
          </reference>
        </references>
      </pivotArea>
    </format>
    <format dxfId="6874">
      <pivotArea dataOnly="0" labelOnly="1" outline="0" fieldPosition="0">
        <references count="3">
          <reference field="11" count="1" selected="0">
            <x v="133"/>
          </reference>
          <reference field="14" count="1" selected="0">
            <x v="266"/>
          </reference>
          <reference field="18" count="1" defaultSubtotal="1">
            <x v="27"/>
          </reference>
        </references>
      </pivotArea>
    </format>
    <format dxfId="6873">
      <pivotArea dataOnly="0" labelOnly="1" outline="0" fieldPosition="0">
        <references count="3">
          <reference field="11" count="1" selected="0">
            <x v="134"/>
          </reference>
          <reference field="14" count="1" selected="0">
            <x v="76"/>
          </reference>
          <reference field="18" count="1">
            <x v="16"/>
          </reference>
        </references>
      </pivotArea>
    </format>
    <format dxfId="6872">
      <pivotArea dataOnly="0" labelOnly="1" outline="0" fieldPosition="0">
        <references count="3">
          <reference field="11" count="1" selected="0">
            <x v="134"/>
          </reference>
          <reference field="14" count="1" selected="0">
            <x v="76"/>
          </reference>
          <reference field="18" count="1" defaultSubtotal="1">
            <x v="16"/>
          </reference>
        </references>
      </pivotArea>
    </format>
    <format dxfId="6871">
      <pivotArea dataOnly="0" labelOnly="1" outline="0" fieldPosition="0">
        <references count="3">
          <reference field="11" count="1" selected="0">
            <x v="135"/>
          </reference>
          <reference field="14" count="1" selected="0">
            <x v="332"/>
          </reference>
          <reference field="18" count="1">
            <x v="4"/>
          </reference>
        </references>
      </pivotArea>
    </format>
    <format dxfId="6870">
      <pivotArea dataOnly="0" labelOnly="1" outline="0" fieldPosition="0">
        <references count="3">
          <reference field="11" count="1" selected="0">
            <x v="135"/>
          </reference>
          <reference field="14" count="1" selected="0">
            <x v="332"/>
          </reference>
          <reference field="18" count="1" defaultSubtotal="1">
            <x v="4"/>
          </reference>
        </references>
      </pivotArea>
    </format>
    <format dxfId="6869">
      <pivotArea dataOnly="0" labelOnly="1" outline="0" fieldPosition="0">
        <references count="3">
          <reference field="11" count="1" selected="0">
            <x v="136"/>
          </reference>
          <reference field="14" count="1" selected="0">
            <x v="333"/>
          </reference>
          <reference field="18" count="1">
            <x v="24"/>
          </reference>
        </references>
      </pivotArea>
    </format>
    <format dxfId="6868">
      <pivotArea dataOnly="0" labelOnly="1" outline="0" fieldPosition="0">
        <references count="3">
          <reference field="11" count="1" selected="0">
            <x v="136"/>
          </reference>
          <reference field="14" count="1" selected="0">
            <x v="333"/>
          </reference>
          <reference field="18" count="1" defaultSubtotal="1">
            <x v="24"/>
          </reference>
        </references>
      </pivotArea>
    </format>
    <format dxfId="6867">
      <pivotArea dataOnly="0" labelOnly="1" outline="0" fieldPosition="0">
        <references count="3">
          <reference field="11" count="1" selected="0">
            <x v="137"/>
          </reference>
          <reference field="14" count="1" selected="0">
            <x v="11"/>
          </reference>
          <reference field="18" count="1">
            <x v="1"/>
          </reference>
        </references>
      </pivotArea>
    </format>
    <format dxfId="6866">
      <pivotArea dataOnly="0" labelOnly="1" outline="0" fieldPosition="0">
        <references count="3">
          <reference field="11" count="1" selected="0">
            <x v="137"/>
          </reference>
          <reference field="14" count="1" selected="0">
            <x v="11"/>
          </reference>
          <reference field="18" count="1" defaultSubtotal="1">
            <x v="1"/>
          </reference>
        </references>
      </pivotArea>
    </format>
    <format dxfId="6865">
      <pivotArea dataOnly="0" labelOnly="1" outline="0" fieldPosition="0">
        <references count="3">
          <reference field="11" count="1" selected="0">
            <x v="138"/>
          </reference>
          <reference field="14" count="1" selected="0">
            <x v="16"/>
          </reference>
          <reference field="18" count="2">
            <x v="12"/>
            <x v="20"/>
          </reference>
        </references>
      </pivotArea>
    </format>
    <format dxfId="6864">
      <pivotArea dataOnly="0" labelOnly="1" outline="0" fieldPosition="0">
        <references count="3">
          <reference field="11" count="1" selected="0">
            <x v="138"/>
          </reference>
          <reference field="14" count="1" selected="0">
            <x v="16"/>
          </reference>
          <reference field="18" count="2" defaultSubtotal="1">
            <x v="12"/>
            <x v="20"/>
          </reference>
        </references>
      </pivotArea>
    </format>
    <format dxfId="6863">
      <pivotArea dataOnly="0" labelOnly="1" outline="0" fieldPosition="0">
        <references count="3">
          <reference field="11" count="1" selected="0">
            <x v="139"/>
          </reference>
          <reference field="14" count="1" selected="0">
            <x v="361"/>
          </reference>
          <reference field="18" count="2">
            <x v="3"/>
            <x v="6"/>
          </reference>
        </references>
      </pivotArea>
    </format>
    <format dxfId="6862">
      <pivotArea dataOnly="0" labelOnly="1" outline="0" fieldPosition="0">
        <references count="3">
          <reference field="11" count="1" selected="0">
            <x v="139"/>
          </reference>
          <reference field="14" count="1" selected="0">
            <x v="361"/>
          </reference>
          <reference field="18" count="2" defaultSubtotal="1">
            <x v="3"/>
            <x v="6"/>
          </reference>
        </references>
      </pivotArea>
    </format>
    <format dxfId="6861">
      <pivotArea dataOnly="0" labelOnly="1" outline="0" fieldPosition="0">
        <references count="3">
          <reference field="11" count="1" selected="0">
            <x v="140"/>
          </reference>
          <reference field="14" count="1" selected="0">
            <x v="255"/>
          </reference>
          <reference field="18" count="1">
            <x v="16"/>
          </reference>
        </references>
      </pivotArea>
    </format>
    <format dxfId="6860">
      <pivotArea dataOnly="0" labelOnly="1" outline="0" fieldPosition="0">
        <references count="3">
          <reference field="11" count="1" selected="0">
            <x v="140"/>
          </reference>
          <reference field="14" count="1" selected="0">
            <x v="255"/>
          </reference>
          <reference field="18" count="1" defaultSubtotal="1">
            <x v="16"/>
          </reference>
        </references>
      </pivotArea>
    </format>
    <format dxfId="6859">
      <pivotArea dataOnly="0" labelOnly="1" outline="0" fieldPosition="0">
        <references count="3">
          <reference field="11" count="1" selected="0">
            <x v="141"/>
          </reference>
          <reference field="14" count="1" selected="0">
            <x v="252"/>
          </reference>
          <reference field="18" count="1">
            <x v="0"/>
          </reference>
        </references>
      </pivotArea>
    </format>
    <format dxfId="6858">
      <pivotArea dataOnly="0" labelOnly="1" outline="0" fieldPosition="0">
        <references count="3">
          <reference field="11" count="1" selected="0">
            <x v="141"/>
          </reference>
          <reference field="14" count="1" selected="0">
            <x v="252"/>
          </reference>
          <reference field="18" count="1" defaultSubtotal="1">
            <x v="0"/>
          </reference>
        </references>
      </pivotArea>
    </format>
    <format dxfId="6857">
      <pivotArea dataOnly="0" labelOnly="1" outline="0" fieldPosition="0">
        <references count="3">
          <reference field="11" count="1" selected="0">
            <x v="142"/>
          </reference>
          <reference field="14" count="1" selected="0">
            <x v="213"/>
          </reference>
          <reference field="18" count="1">
            <x v="14"/>
          </reference>
        </references>
      </pivotArea>
    </format>
    <format dxfId="6856">
      <pivotArea dataOnly="0" labelOnly="1" outline="0" fieldPosition="0">
        <references count="3">
          <reference field="11" count="1" selected="0">
            <x v="142"/>
          </reference>
          <reference field="14" count="1" selected="0">
            <x v="213"/>
          </reference>
          <reference field="18" count="1" defaultSubtotal="1">
            <x v="14"/>
          </reference>
        </references>
      </pivotArea>
    </format>
    <format dxfId="6855">
      <pivotArea dataOnly="0" labelOnly="1" outline="0" fieldPosition="0">
        <references count="3">
          <reference field="11" count="1" selected="0">
            <x v="143"/>
          </reference>
          <reference field="14" count="1" selected="0">
            <x v="326"/>
          </reference>
          <reference field="18" count="1">
            <x v="6"/>
          </reference>
        </references>
      </pivotArea>
    </format>
    <format dxfId="6854">
      <pivotArea dataOnly="0" labelOnly="1" outline="0" fieldPosition="0">
        <references count="3">
          <reference field="11" count="1" selected="0">
            <x v="143"/>
          </reference>
          <reference field="14" count="1" selected="0">
            <x v="326"/>
          </reference>
          <reference field="18" count="1" defaultSubtotal="1">
            <x v="6"/>
          </reference>
        </references>
      </pivotArea>
    </format>
    <format dxfId="6853">
      <pivotArea dataOnly="0" labelOnly="1" outline="0" fieldPosition="0">
        <references count="3">
          <reference field="11" count="1" selected="0">
            <x v="144"/>
          </reference>
          <reference field="14" count="1" selected="0">
            <x v="327"/>
          </reference>
          <reference field="18" count="1">
            <x v="6"/>
          </reference>
        </references>
      </pivotArea>
    </format>
    <format dxfId="6852">
      <pivotArea dataOnly="0" labelOnly="1" outline="0" fieldPosition="0">
        <references count="3">
          <reference field="11" count="1" selected="0">
            <x v="144"/>
          </reference>
          <reference field="14" count="1" selected="0">
            <x v="327"/>
          </reference>
          <reference field="18" count="1" defaultSubtotal="1">
            <x v="6"/>
          </reference>
        </references>
      </pivotArea>
    </format>
    <format dxfId="6851">
      <pivotArea dataOnly="0" labelOnly="1" outline="0" fieldPosition="0">
        <references count="3">
          <reference field="11" count="1" selected="0">
            <x v="145"/>
          </reference>
          <reference field="14" count="1" selected="0">
            <x v="329"/>
          </reference>
          <reference field="18" count="1">
            <x v="6"/>
          </reference>
        </references>
      </pivotArea>
    </format>
    <format dxfId="6850">
      <pivotArea dataOnly="0" labelOnly="1" outline="0" fieldPosition="0">
        <references count="3">
          <reference field="11" count="1" selected="0">
            <x v="145"/>
          </reference>
          <reference field="14" count="1" selected="0">
            <x v="329"/>
          </reference>
          <reference field="18" count="1" defaultSubtotal="1">
            <x v="6"/>
          </reference>
        </references>
      </pivotArea>
    </format>
    <format dxfId="6849">
      <pivotArea dataOnly="0" labelOnly="1" outline="0" fieldPosition="0">
        <references count="3">
          <reference field="11" count="1" selected="0">
            <x v="146"/>
          </reference>
          <reference field="14" count="1" selected="0">
            <x v="330"/>
          </reference>
          <reference field="18" count="1">
            <x v="6"/>
          </reference>
        </references>
      </pivotArea>
    </format>
    <format dxfId="6848">
      <pivotArea dataOnly="0" labelOnly="1" outline="0" fieldPosition="0">
        <references count="3">
          <reference field="11" count="1" selected="0">
            <x v="146"/>
          </reference>
          <reference field="14" count="1" selected="0">
            <x v="330"/>
          </reference>
          <reference field="18" count="1" defaultSubtotal="1">
            <x v="6"/>
          </reference>
        </references>
      </pivotArea>
    </format>
    <format dxfId="6847">
      <pivotArea dataOnly="0" labelOnly="1" outline="0" fieldPosition="0">
        <references count="3">
          <reference field="11" count="1" selected="0">
            <x v="147"/>
          </reference>
          <reference field="14" count="1" selected="0">
            <x v="328"/>
          </reference>
          <reference field="18" count="1">
            <x v="6"/>
          </reference>
        </references>
      </pivotArea>
    </format>
    <format dxfId="6846">
      <pivotArea dataOnly="0" labelOnly="1" outline="0" fieldPosition="0">
        <references count="3">
          <reference field="11" count="1" selected="0">
            <x v="147"/>
          </reference>
          <reference field="14" count="1" selected="0">
            <x v="328"/>
          </reference>
          <reference field="18" count="1" defaultSubtotal="1">
            <x v="6"/>
          </reference>
        </references>
      </pivotArea>
    </format>
    <format dxfId="6845">
      <pivotArea dataOnly="0" labelOnly="1" outline="0" fieldPosition="0">
        <references count="3">
          <reference field="11" count="1" selected="0">
            <x v="148"/>
          </reference>
          <reference field="14" count="1" selected="0">
            <x v="215"/>
          </reference>
          <reference field="18" count="1">
            <x v="14"/>
          </reference>
        </references>
      </pivotArea>
    </format>
    <format dxfId="6844">
      <pivotArea dataOnly="0" labelOnly="1" outline="0" fieldPosition="0">
        <references count="3">
          <reference field="11" count="1" selected="0">
            <x v="148"/>
          </reference>
          <reference field="14" count="1" selected="0">
            <x v="215"/>
          </reference>
          <reference field="18" count="1" defaultSubtotal="1">
            <x v="14"/>
          </reference>
        </references>
      </pivotArea>
    </format>
    <format dxfId="6843">
      <pivotArea dataOnly="0" labelOnly="1" outline="0" fieldPosition="0">
        <references count="3">
          <reference field="11" count="1" selected="0">
            <x v="149"/>
          </reference>
          <reference field="14" count="1" selected="0">
            <x v="461"/>
          </reference>
          <reference field="18" count="2">
            <x v="4"/>
            <x v="10"/>
          </reference>
        </references>
      </pivotArea>
    </format>
    <format dxfId="6842">
      <pivotArea dataOnly="0" labelOnly="1" outline="0" fieldPosition="0">
        <references count="3">
          <reference field="11" count="1" selected="0">
            <x v="149"/>
          </reference>
          <reference field="14" count="1" selected="0">
            <x v="461"/>
          </reference>
          <reference field="18" count="2" defaultSubtotal="1">
            <x v="4"/>
            <x v="10"/>
          </reference>
        </references>
      </pivotArea>
    </format>
    <format dxfId="6841">
      <pivotArea dataOnly="0" labelOnly="1" outline="0" fieldPosition="0">
        <references count="3">
          <reference field="11" count="1" selected="0">
            <x v="150"/>
          </reference>
          <reference field="14" count="1" selected="0">
            <x v="267"/>
          </reference>
          <reference field="18" count="1">
            <x v="3"/>
          </reference>
        </references>
      </pivotArea>
    </format>
    <format dxfId="6840">
      <pivotArea dataOnly="0" labelOnly="1" outline="0" fieldPosition="0">
        <references count="3">
          <reference field="11" count="1" selected="0">
            <x v="150"/>
          </reference>
          <reference field="14" count="1" selected="0">
            <x v="267"/>
          </reference>
          <reference field="18" count="1" defaultSubtotal="1">
            <x v="3"/>
          </reference>
        </references>
      </pivotArea>
    </format>
    <format dxfId="6839">
      <pivotArea dataOnly="0" labelOnly="1" outline="0" fieldPosition="0">
        <references count="3">
          <reference field="11" count="1" selected="0">
            <x v="151"/>
          </reference>
          <reference field="14" count="1" selected="0">
            <x v="392"/>
          </reference>
          <reference field="18" count="1">
            <x v="2"/>
          </reference>
        </references>
      </pivotArea>
    </format>
    <format dxfId="6838">
      <pivotArea dataOnly="0" labelOnly="1" outline="0" fieldPosition="0">
        <references count="3">
          <reference field="11" count="1" selected="0">
            <x v="151"/>
          </reference>
          <reference field="14" count="1" selected="0">
            <x v="392"/>
          </reference>
          <reference field="18" count="1" defaultSubtotal="1">
            <x v="2"/>
          </reference>
        </references>
      </pivotArea>
    </format>
    <format dxfId="6837">
      <pivotArea dataOnly="0" labelOnly="1" outline="0" fieldPosition="0">
        <references count="3">
          <reference field="11" count="1" selected="0">
            <x v="152"/>
          </reference>
          <reference field="14" count="1" selected="0">
            <x v="447"/>
          </reference>
          <reference field="18" count="1">
            <x v="19"/>
          </reference>
        </references>
      </pivotArea>
    </format>
    <format dxfId="6836">
      <pivotArea dataOnly="0" labelOnly="1" outline="0" fieldPosition="0">
        <references count="3">
          <reference field="11" count="1" selected="0">
            <x v="152"/>
          </reference>
          <reference field="14" count="1" selected="0">
            <x v="447"/>
          </reference>
          <reference field="18" count="1" defaultSubtotal="1">
            <x v="19"/>
          </reference>
        </references>
      </pivotArea>
    </format>
    <format dxfId="6835">
      <pivotArea dataOnly="0" labelOnly="1" outline="0" fieldPosition="0">
        <references count="3">
          <reference field="11" count="1" selected="0">
            <x v="153"/>
          </reference>
          <reference field="14" count="1" selected="0">
            <x v="177"/>
          </reference>
          <reference field="18" count="1">
            <x v="6"/>
          </reference>
        </references>
      </pivotArea>
    </format>
    <format dxfId="6834">
      <pivotArea dataOnly="0" labelOnly="1" outline="0" fieldPosition="0">
        <references count="3">
          <reference field="11" count="1" selected="0">
            <x v="153"/>
          </reference>
          <reference field="14" count="1" selected="0">
            <x v="177"/>
          </reference>
          <reference field="18" count="1" defaultSubtotal="1">
            <x v="6"/>
          </reference>
        </references>
      </pivotArea>
    </format>
    <format dxfId="6833">
      <pivotArea dataOnly="0" labelOnly="1" outline="0" fieldPosition="0">
        <references count="3">
          <reference field="11" count="1" selected="0">
            <x v="154"/>
          </reference>
          <reference field="14" count="1" selected="0">
            <x v="182"/>
          </reference>
          <reference field="18" count="1">
            <x v="1"/>
          </reference>
        </references>
      </pivotArea>
    </format>
    <format dxfId="6832">
      <pivotArea dataOnly="0" labelOnly="1" outline="0" fieldPosition="0">
        <references count="3">
          <reference field="11" count="1" selected="0">
            <x v="154"/>
          </reference>
          <reference field="14" count="1" selected="0">
            <x v="182"/>
          </reference>
          <reference field="18" count="1" defaultSubtotal="1">
            <x v="1"/>
          </reference>
        </references>
      </pivotArea>
    </format>
    <format dxfId="6831">
      <pivotArea dataOnly="0" labelOnly="1" outline="0" fieldPosition="0">
        <references count="3">
          <reference field="11" count="1" selected="0">
            <x v="155"/>
          </reference>
          <reference field="14" count="1" selected="0">
            <x v="105"/>
          </reference>
          <reference field="18" count="1">
            <x v="27"/>
          </reference>
        </references>
      </pivotArea>
    </format>
    <format dxfId="6830">
      <pivotArea dataOnly="0" labelOnly="1" outline="0" fieldPosition="0">
        <references count="3">
          <reference field="11" count="1" selected="0">
            <x v="155"/>
          </reference>
          <reference field="14" count="1" selected="0">
            <x v="105"/>
          </reference>
          <reference field="18" count="1" defaultSubtotal="1">
            <x v="27"/>
          </reference>
        </references>
      </pivotArea>
    </format>
    <format dxfId="6829">
      <pivotArea dataOnly="0" labelOnly="1" outline="0" fieldPosition="0">
        <references count="3">
          <reference field="11" count="1" selected="0">
            <x v="156"/>
          </reference>
          <reference field="14" count="1" selected="0">
            <x v="238"/>
          </reference>
          <reference field="18" count="1">
            <x v="12"/>
          </reference>
        </references>
      </pivotArea>
    </format>
    <format dxfId="6828">
      <pivotArea dataOnly="0" labelOnly="1" outline="0" fieldPosition="0">
        <references count="3">
          <reference field="11" count="1" selected="0">
            <x v="156"/>
          </reference>
          <reference field="14" count="1" selected="0">
            <x v="238"/>
          </reference>
          <reference field="18" count="1" defaultSubtotal="1">
            <x v="12"/>
          </reference>
        </references>
      </pivotArea>
    </format>
    <format dxfId="6827">
      <pivotArea dataOnly="0" labelOnly="1" outline="0" fieldPosition="0">
        <references count="3">
          <reference field="11" count="1" selected="0">
            <x v="157"/>
          </reference>
          <reference field="14" count="1" selected="0">
            <x v="395"/>
          </reference>
          <reference field="18" count="1">
            <x v="6"/>
          </reference>
        </references>
      </pivotArea>
    </format>
    <format dxfId="6826">
      <pivotArea dataOnly="0" labelOnly="1" outline="0" fieldPosition="0">
        <references count="3">
          <reference field="11" count="1" selected="0">
            <x v="157"/>
          </reference>
          <reference field="14" count="1" selected="0">
            <x v="395"/>
          </reference>
          <reference field="18" count="1" defaultSubtotal="1">
            <x v="6"/>
          </reference>
        </references>
      </pivotArea>
    </format>
    <format dxfId="6825">
      <pivotArea dataOnly="0" labelOnly="1" outline="0" fieldPosition="0">
        <references count="3">
          <reference field="11" count="1" selected="0">
            <x v="158"/>
          </reference>
          <reference field="14" count="1" selected="0">
            <x v="224"/>
          </reference>
          <reference field="18" count="2">
            <x v="4"/>
            <x v="12"/>
          </reference>
        </references>
      </pivotArea>
    </format>
    <format dxfId="6824">
      <pivotArea dataOnly="0" labelOnly="1" outline="0" fieldPosition="0">
        <references count="3">
          <reference field="11" count="1" selected="0">
            <x v="158"/>
          </reference>
          <reference field="14" count="1" selected="0">
            <x v="224"/>
          </reference>
          <reference field="18" count="2" defaultSubtotal="1">
            <x v="4"/>
            <x v="12"/>
          </reference>
        </references>
      </pivotArea>
    </format>
    <format dxfId="6823">
      <pivotArea dataOnly="0" labelOnly="1" outline="0" fieldPosition="0">
        <references count="3">
          <reference field="11" count="1" selected="0">
            <x v="159"/>
          </reference>
          <reference field="14" count="1" selected="0">
            <x v="218"/>
          </reference>
          <reference field="18" count="1">
            <x v="0"/>
          </reference>
        </references>
      </pivotArea>
    </format>
    <format dxfId="6822">
      <pivotArea dataOnly="0" labelOnly="1" outline="0" fieldPosition="0">
        <references count="3">
          <reference field="11" count="1" selected="0">
            <x v="159"/>
          </reference>
          <reference field="14" count="1" selected="0">
            <x v="218"/>
          </reference>
          <reference field="18" count="1" defaultSubtotal="1">
            <x v="0"/>
          </reference>
        </references>
      </pivotArea>
    </format>
    <format dxfId="6821">
      <pivotArea dataOnly="0" labelOnly="1" outline="0" fieldPosition="0">
        <references count="3">
          <reference field="11" count="1" selected="0">
            <x v="160"/>
          </reference>
          <reference field="14" count="1" selected="0">
            <x v="398"/>
          </reference>
          <reference field="18" count="1">
            <x v="14"/>
          </reference>
        </references>
      </pivotArea>
    </format>
    <format dxfId="6820">
      <pivotArea dataOnly="0" labelOnly="1" outline="0" fieldPosition="0">
        <references count="3">
          <reference field="11" count="1" selected="0">
            <x v="160"/>
          </reference>
          <reference field="14" count="1" selected="0">
            <x v="398"/>
          </reference>
          <reference field="18" count="1" defaultSubtotal="1">
            <x v="14"/>
          </reference>
        </references>
      </pivotArea>
    </format>
    <format dxfId="6819">
      <pivotArea dataOnly="0" labelOnly="1" outline="0" fieldPosition="0">
        <references count="3">
          <reference field="11" count="1" selected="0">
            <x v="161"/>
          </reference>
          <reference field="14" count="1" selected="0">
            <x v="117"/>
          </reference>
          <reference field="18" count="2">
            <x v="6"/>
            <x v="12"/>
          </reference>
        </references>
      </pivotArea>
    </format>
    <format dxfId="6818">
      <pivotArea dataOnly="0" labelOnly="1" outline="0" fieldPosition="0">
        <references count="3">
          <reference field="11" count="1" selected="0">
            <x v="161"/>
          </reference>
          <reference field="14" count="1" selected="0">
            <x v="117"/>
          </reference>
          <reference field="18" count="2" defaultSubtotal="1">
            <x v="6"/>
            <x v="12"/>
          </reference>
        </references>
      </pivotArea>
    </format>
    <format dxfId="6817">
      <pivotArea dataOnly="0" labelOnly="1" outline="0" fieldPosition="0">
        <references count="3">
          <reference field="11" count="1" selected="0">
            <x v="162"/>
          </reference>
          <reference field="14" count="1" selected="0">
            <x v="161"/>
          </reference>
          <reference field="18" count="1">
            <x v="2"/>
          </reference>
        </references>
      </pivotArea>
    </format>
    <format dxfId="6816">
      <pivotArea dataOnly="0" labelOnly="1" outline="0" fieldPosition="0">
        <references count="3">
          <reference field="11" count="1" selected="0">
            <x v="162"/>
          </reference>
          <reference field="14" count="1" selected="0">
            <x v="161"/>
          </reference>
          <reference field="18" count="1" defaultSubtotal="1">
            <x v="2"/>
          </reference>
        </references>
      </pivotArea>
    </format>
    <format dxfId="6815">
      <pivotArea dataOnly="0" labelOnly="1" outline="0" fieldPosition="0">
        <references count="3">
          <reference field="11" count="1" selected="0">
            <x v="163"/>
          </reference>
          <reference field="14" count="1" selected="0">
            <x v="234"/>
          </reference>
          <reference field="18" count="2">
            <x v="2"/>
            <x v="12"/>
          </reference>
        </references>
      </pivotArea>
    </format>
    <format dxfId="6814">
      <pivotArea dataOnly="0" labelOnly="1" outline="0" fieldPosition="0">
        <references count="3">
          <reference field="11" count="1" selected="0">
            <x v="163"/>
          </reference>
          <reference field="14" count="1" selected="0">
            <x v="234"/>
          </reference>
          <reference field="18" count="2" defaultSubtotal="1">
            <x v="2"/>
            <x v="12"/>
          </reference>
        </references>
      </pivotArea>
    </format>
    <format dxfId="6813">
      <pivotArea dataOnly="0" labelOnly="1" outline="0" fieldPosition="0">
        <references count="3">
          <reference field="11" count="1" selected="0">
            <x v="164"/>
          </reference>
          <reference field="14" count="1" selected="0">
            <x v="258"/>
          </reference>
          <reference field="18" count="1">
            <x v="6"/>
          </reference>
        </references>
      </pivotArea>
    </format>
    <format dxfId="6812">
      <pivotArea dataOnly="0" labelOnly="1" outline="0" fieldPosition="0">
        <references count="3">
          <reference field="11" count="1" selected="0">
            <x v="164"/>
          </reference>
          <reference field="14" count="1" selected="0">
            <x v="258"/>
          </reference>
          <reference field="18" count="1" defaultSubtotal="1">
            <x v="6"/>
          </reference>
        </references>
      </pivotArea>
    </format>
    <format dxfId="6811">
      <pivotArea dataOnly="0" labelOnly="1" outline="0" fieldPosition="0">
        <references count="3">
          <reference field="11" count="1" selected="0">
            <x v="165"/>
          </reference>
          <reference field="14" count="1" selected="0">
            <x v="206"/>
          </reference>
          <reference field="18" count="1">
            <x v="3"/>
          </reference>
        </references>
      </pivotArea>
    </format>
    <format dxfId="6810">
      <pivotArea dataOnly="0" labelOnly="1" outline="0" fieldPosition="0">
        <references count="3">
          <reference field="11" count="1" selected="0">
            <x v="165"/>
          </reference>
          <reference field="14" count="1" selected="0">
            <x v="206"/>
          </reference>
          <reference field="18" count="1" defaultSubtotal="1">
            <x v="3"/>
          </reference>
        </references>
      </pivotArea>
    </format>
    <format dxfId="6809">
      <pivotArea dataOnly="0" labelOnly="1" outline="0" fieldPosition="0">
        <references count="3">
          <reference field="11" count="1" selected="0">
            <x v="166"/>
          </reference>
          <reference field="14" count="1" selected="0">
            <x v="319"/>
          </reference>
          <reference field="18" count="2">
            <x v="2"/>
            <x v="14"/>
          </reference>
        </references>
      </pivotArea>
    </format>
    <format dxfId="6808">
      <pivotArea dataOnly="0" labelOnly="1" outline="0" fieldPosition="0">
        <references count="3">
          <reference field="11" count="1" selected="0">
            <x v="166"/>
          </reference>
          <reference field="14" count="1" selected="0">
            <x v="319"/>
          </reference>
          <reference field="18" count="2" defaultSubtotal="1">
            <x v="2"/>
            <x v="14"/>
          </reference>
        </references>
      </pivotArea>
    </format>
    <format dxfId="6807">
      <pivotArea dataOnly="0" labelOnly="1" outline="0" fieldPosition="0">
        <references count="3">
          <reference field="11" count="1" selected="0">
            <x v="167"/>
          </reference>
          <reference field="14" count="1" selected="0">
            <x v="66"/>
          </reference>
          <reference field="18" count="1">
            <x v="15"/>
          </reference>
        </references>
      </pivotArea>
    </format>
    <format dxfId="6806">
      <pivotArea dataOnly="0" labelOnly="1" outline="0" fieldPosition="0">
        <references count="3">
          <reference field="11" count="1" selected="0">
            <x v="167"/>
          </reference>
          <reference field="14" count="1" selected="0">
            <x v="66"/>
          </reference>
          <reference field="18" count="1" defaultSubtotal="1">
            <x v="15"/>
          </reference>
        </references>
      </pivotArea>
    </format>
    <format dxfId="6805">
      <pivotArea dataOnly="0" labelOnly="1" outline="0" fieldPosition="0">
        <references count="3">
          <reference field="11" count="1" selected="0">
            <x v="168"/>
          </reference>
          <reference field="14" count="1" selected="0">
            <x v="148"/>
          </reference>
          <reference field="18" count="1">
            <x v="2"/>
          </reference>
        </references>
      </pivotArea>
    </format>
    <format dxfId="6804">
      <pivotArea dataOnly="0" labelOnly="1" outline="0" fieldPosition="0">
        <references count="3">
          <reference field="11" count="1" selected="0">
            <x v="168"/>
          </reference>
          <reference field="14" count="1" selected="0">
            <x v="148"/>
          </reference>
          <reference field="18" count="1" defaultSubtotal="1">
            <x v="2"/>
          </reference>
        </references>
      </pivotArea>
    </format>
    <format dxfId="6803">
      <pivotArea dataOnly="0" labelOnly="1" outline="0" fieldPosition="0">
        <references count="3">
          <reference field="11" count="1" selected="0">
            <x v="169"/>
          </reference>
          <reference field="14" count="1" selected="0">
            <x v="192"/>
          </reference>
          <reference field="18" count="1">
            <x v="14"/>
          </reference>
        </references>
      </pivotArea>
    </format>
    <format dxfId="6802">
      <pivotArea dataOnly="0" labelOnly="1" outline="0" fieldPosition="0">
        <references count="3">
          <reference field="11" count="1" selected="0">
            <x v="169"/>
          </reference>
          <reference field="14" count="1" selected="0">
            <x v="192"/>
          </reference>
          <reference field="18" count="1" defaultSubtotal="1">
            <x v="14"/>
          </reference>
        </references>
      </pivotArea>
    </format>
    <format dxfId="6801">
      <pivotArea dataOnly="0" labelOnly="1" outline="0" fieldPosition="0">
        <references count="3">
          <reference field="11" count="1" selected="0">
            <x v="170"/>
          </reference>
          <reference field="14" count="1" selected="0">
            <x v="317"/>
          </reference>
          <reference field="18" count="1">
            <x v="14"/>
          </reference>
        </references>
      </pivotArea>
    </format>
    <format dxfId="6800">
      <pivotArea dataOnly="0" labelOnly="1" outline="0" fieldPosition="0">
        <references count="3">
          <reference field="11" count="1" selected="0">
            <x v="170"/>
          </reference>
          <reference field="14" count="1" selected="0">
            <x v="317"/>
          </reference>
          <reference field="18" count="1" defaultSubtotal="1">
            <x v="14"/>
          </reference>
        </references>
      </pivotArea>
    </format>
    <format dxfId="6799">
      <pivotArea dataOnly="0" labelOnly="1" outline="0" fieldPosition="0">
        <references count="3">
          <reference field="11" count="1" selected="0">
            <x v="171"/>
          </reference>
          <reference field="14" count="1" selected="0">
            <x v="350"/>
          </reference>
          <reference field="18" count="1">
            <x v="6"/>
          </reference>
        </references>
      </pivotArea>
    </format>
    <format dxfId="6798">
      <pivotArea dataOnly="0" labelOnly="1" outline="0" fieldPosition="0">
        <references count="3">
          <reference field="11" count="1" selected="0">
            <x v="171"/>
          </reference>
          <reference field="14" count="1" selected="0">
            <x v="350"/>
          </reference>
          <reference field="18" count="1" defaultSubtotal="1">
            <x v="6"/>
          </reference>
        </references>
      </pivotArea>
    </format>
    <format dxfId="6797">
      <pivotArea dataOnly="0" labelOnly="1" outline="0" fieldPosition="0">
        <references count="3">
          <reference field="11" count="1" selected="0">
            <x v="172"/>
          </reference>
          <reference field="14" count="1" selected="0">
            <x v="231"/>
          </reference>
          <reference field="18" count="1">
            <x v="12"/>
          </reference>
        </references>
      </pivotArea>
    </format>
    <format dxfId="6796">
      <pivotArea dataOnly="0" labelOnly="1" outline="0" fieldPosition="0">
        <references count="3">
          <reference field="11" count="1" selected="0">
            <x v="172"/>
          </reference>
          <reference field="14" count="1" selected="0">
            <x v="231"/>
          </reference>
          <reference field="18" count="1" defaultSubtotal="1">
            <x v="12"/>
          </reference>
        </references>
      </pivotArea>
    </format>
    <format dxfId="6795">
      <pivotArea dataOnly="0" labelOnly="1" outline="0" fieldPosition="0">
        <references count="3">
          <reference field="11" count="1" selected="0">
            <x v="173"/>
          </reference>
          <reference field="14" count="1" selected="0">
            <x v="174"/>
          </reference>
          <reference field="18" count="1">
            <x v="0"/>
          </reference>
        </references>
      </pivotArea>
    </format>
    <format dxfId="6794">
      <pivotArea dataOnly="0" labelOnly="1" outline="0" fieldPosition="0">
        <references count="3">
          <reference field="11" count="1" selected="0">
            <x v="173"/>
          </reference>
          <reference field="14" count="1" selected="0">
            <x v="174"/>
          </reference>
          <reference field="18" count="1" defaultSubtotal="1">
            <x v="0"/>
          </reference>
        </references>
      </pivotArea>
    </format>
    <format dxfId="6793">
      <pivotArea dataOnly="0" labelOnly="1" outline="0" fieldPosition="0">
        <references count="3">
          <reference field="11" count="1" selected="0">
            <x v="174"/>
          </reference>
          <reference field="14" count="1" selected="0">
            <x v="173"/>
          </reference>
          <reference field="18" count="1">
            <x v="0"/>
          </reference>
        </references>
      </pivotArea>
    </format>
    <format dxfId="6792">
      <pivotArea dataOnly="0" labelOnly="1" outline="0" fieldPosition="0">
        <references count="3">
          <reference field="11" count="1" selected="0">
            <x v="174"/>
          </reference>
          <reference field="14" count="1" selected="0">
            <x v="173"/>
          </reference>
          <reference field="18" count="1" defaultSubtotal="1">
            <x v="0"/>
          </reference>
        </references>
      </pivotArea>
    </format>
    <format dxfId="6791">
      <pivotArea dataOnly="0" labelOnly="1" outline="0" fieldPosition="0">
        <references count="3">
          <reference field="11" count="1" selected="0">
            <x v="175"/>
          </reference>
          <reference field="14" count="1" selected="0">
            <x v="471"/>
          </reference>
          <reference field="18" count="1">
            <x v="2"/>
          </reference>
        </references>
      </pivotArea>
    </format>
    <format dxfId="6790">
      <pivotArea dataOnly="0" labelOnly="1" outline="0" fieldPosition="0">
        <references count="3">
          <reference field="11" count="1" selected="0">
            <x v="175"/>
          </reference>
          <reference field="14" count="1" selected="0">
            <x v="471"/>
          </reference>
          <reference field="18" count="1" defaultSubtotal="1">
            <x v="2"/>
          </reference>
        </references>
      </pivotArea>
    </format>
    <format dxfId="6789">
      <pivotArea dataOnly="0" labelOnly="1" outline="0" fieldPosition="0">
        <references count="3">
          <reference field="11" count="1" selected="0">
            <x v="176"/>
          </reference>
          <reference field="14" count="1" selected="0">
            <x v="362"/>
          </reference>
          <reference field="18" count="2">
            <x v="3"/>
            <x v="6"/>
          </reference>
        </references>
      </pivotArea>
    </format>
    <format dxfId="6788">
      <pivotArea dataOnly="0" labelOnly="1" outline="0" fieldPosition="0">
        <references count="3">
          <reference field="11" count="1" selected="0">
            <x v="176"/>
          </reference>
          <reference field="14" count="1" selected="0">
            <x v="362"/>
          </reference>
          <reference field="18" count="2" defaultSubtotal="1">
            <x v="3"/>
            <x v="6"/>
          </reference>
        </references>
      </pivotArea>
    </format>
    <format dxfId="6787">
      <pivotArea dataOnly="0" labelOnly="1" outline="0" fieldPosition="0">
        <references count="3">
          <reference field="11" count="1" selected="0">
            <x v="177"/>
          </reference>
          <reference field="14" count="1" selected="0">
            <x v="279"/>
          </reference>
          <reference field="18" count="1">
            <x v="0"/>
          </reference>
        </references>
      </pivotArea>
    </format>
    <format dxfId="6786">
      <pivotArea dataOnly="0" labelOnly="1" outline="0" fieldPosition="0">
        <references count="3">
          <reference field="11" count="1" selected="0">
            <x v="177"/>
          </reference>
          <reference field="14" count="1" selected="0">
            <x v="279"/>
          </reference>
          <reference field="18" count="1" defaultSubtotal="1">
            <x v="0"/>
          </reference>
        </references>
      </pivotArea>
    </format>
    <format dxfId="6785">
      <pivotArea dataOnly="0" labelOnly="1" outline="0" fieldPosition="0">
        <references count="3">
          <reference field="11" count="1" selected="0">
            <x v="178"/>
          </reference>
          <reference field="14" count="1" selected="0">
            <x v="282"/>
          </reference>
          <reference field="18" count="1">
            <x v="0"/>
          </reference>
        </references>
      </pivotArea>
    </format>
    <format dxfId="6784">
      <pivotArea dataOnly="0" labelOnly="1" outline="0" fieldPosition="0">
        <references count="3">
          <reference field="11" count="1" selected="0">
            <x v="178"/>
          </reference>
          <reference field="14" count="1" selected="0">
            <x v="282"/>
          </reference>
          <reference field="18" count="1" defaultSubtotal="1">
            <x v="0"/>
          </reference>
        </references>
      </pivotArea>
    </format>
    <format dxfId="6783">
      <pivotArea dataOnly="0" labelOnly="1" outline="0" fieldPosition="0">
        <references count="3">
          <reference field="11" count="1" selected="0">
            <x v="179"/>
          </reference>
          <reference field="14" count="1" selected="0">
            <x v="276"/>
          </reference>
          <reference field="18" count="1">
            <x v="0"/>
          </reference>
        </references>
      </pivotArea>
    </format>
    <format dxfId="6782">
      <pivotArea dataOnly="0" labelOnly="1" outline="0" fieldPosition="0">
        <references count="3">
          <reference field="11" count="1" selected="0">
            <x v="179"/>
          </reference>
          <reference field="14" count="1" selected="0">
            <x v="276"/>
          </reference>
          <reference field="18" count="1" defaultSubtotal="1">
            <x v="0"/>
          </reference>
        </references>
      </pivotArea>
    </format>
    <format dxfId="6781">
      <pivotArea dataOnly="0" labelOnly="1" outline="0" fieldPosition="0">
        <references count="3">
          <reference field="11" count="1" selected="0">
            <x v="180"/>
          </reference>
          <reference field="14" count="1" selected="0">
            <x v="439"/>
          </reference>
          <reference field="18" count="1">
            <x v="19"/>
          </reference>
        </references>
      </pivotArea>
    </format>
    <format dxfId="6780">
      <pivotArea dataOnly="0" labelOnly="1" outline="0" fieldPosition="0">
        <references count="3">
          <reference field="11" count="1" selected="0">
            <x v="180"/>
          </reference>
          <reference field="14" count="1" selected="0">
            <x v="439"/>
          </reference>
          <reference field="18" count="1" defaultSubtotal="1">
            <x v="19"/>
          </reference>
        </references>
      </pivotArea>
    </format>
    <format dxfId="6779">
      <pivotArea dataOnly="0" labelOnly="1" outline="0" fieldPosition="0">
        <references count="3">
          <reference field="11" count="1" selected="0">
            <x v="181"/>
          </reference>
          <reference field="14" count="1" selected="0">
            <x v="281"/>
          </reference>
          <reference field="18" count="1">
            <x v="0"/>
          </reference>
        </references>
      </pivotArea>
    </format>
    <format dxfId="6778">
      <pivotArea dataOnly="0" labelOnly="1" outline="0" fieldPosition="0">
        <references count="3">
          <reference field="11" count="1" selected="0">
            <x v="181"/>
          </reference>
          <reference field="14" count="1" selected="0">
            <x v="281"/>
          </reference>
          <reference field="18" count="1" defaultSubtotal="1">
            <x v="0"/>
          </reference>
        </references>
      </pivotArea>
    </format>
    <format dxfId="6777">
      <pivotArea dataOnly="0" labelOnly="1" outline="0" fieldPosition="0">
        <references count="3">
          <reference field="11" count="1" selected="0">
            <x v="182"/>
          </reference>
          <reference field="14" count="1" selected="0">
            <x v="118"/>
          </reference>
          <reference field="18" count="1">
            <x v="6"/>
          </reference>
        </references>
      </pivotArea>
    </format>
    <format dxfId="6776">
      <pivotArea dataOnly="0" labelOnly="1" outline="0" fieldPosition="0">
        <references count="3">
          <reference field="11" count="1" selected="0">
            <x v="182"/>
          </reference>
          <reference field="14" count="1" selected="0">
            <x v="118"/>
          </reference>
          <reference field="18" count="1" defaultSubtotal="1">
            <x v="6"/>
          </reference>
        </references>
      </pivotArea>
    </format>
    <format dxfId="6775">
      <pivotArea dataOnly="0" labelOnly="1" outline="0" fieldPosition="0">
        <references count="3">
          <reference field="11" count="1" selected="0">
            <x v="183"/>
          </reference>
          <reference field="14" count="1" selected="0">
            <x v="386"/>
          </reference>
          <reference field="18" count="1">
            <x v="2"/>
          </reference>
        </references>
      </pivotArea>
    </format>
    <format dxfId="6774">
      <pivotArea dataOnly="0" labelOnly="1" outline="0" fieldPosition="0">
        <references count="3">
          <reference field="11" count="1" selected="0">
            <x v="183"/>
          </reference>
          <reference field="14" count="1" selected="0">
            <x v="386"/>
          </reference>
          <reference field="18" count="1" defaultSubtotal="1">
            <x v="2"/>
          </reference>
        </references>
      </pivotArea>
    </format>
    <format dxfId="6773">
      <pivotArea dataOnly="0" labelOnly="1" outline="0" fieldPosition="0">
        <references count="3">
          <reference field="11" count="1" selected="0">
            <x v="184"/>
          </reference>
          <reference field="14" count="1" selected="0">
            <x v="388"/>
          </reference>
          <reference field="18" count="1">
            <x v="2"/>
          </reference>
        </references>
      </pivotArea>
    </format>
    <format dxfId="6772">
      <pivotArea dataOnly="0" labelOnly="1" outline="0" fieldPosition="0">
        <references count="3">
          <reference field="11" count="1" selected="0">
            <x v="184"/>
          </reference>
          <reference field="14" count="1" selected="0">
            <x v="388"/>
          </reference>
          <reference field="18" count="1" defaultSubtotal="1">
            <x v="2"/>
          </reference>
        </references>
      </pivotArea>
    </format>
    <format dxfId="6771">
      <pivotArea dataOnly="0" labelOnly="1" outline="0" fieldPosition="0">
        <references count="3">
          <reference field="11" count="1" selected="0">
            <x v="185"/>
          </reference>
          <reference field="14" count="1" selected="0">
            <x v="387"/>
          </reference>
          <reference field="18" count="2">
            <x v="0"/>
            <x v="2"/>
          </reference>
        </references>
      </pivotArea>
    </format>
    <format dxfId="6770">
      <pivotArea dataOnly="0" labelOnly="1" outline="0" fieldPosition="0">
        <references count="3">
          <reference field="11" count="1" selected="0">
            <x v="185"/>
          </reference>
          <reference field="14" count="1" selected="0">
            <x v="387"/>
          </reference>
          <reference field="18" count="2" defaultSubtotal="1">
            <x v="0"/>
            <x v="2"/>
          </reference>
        </references>
      </pivotArea>
    </format>
    <format dxfId="6769">
      <pivotArea dataOnly="0" labelOnly="1" outline="0" fieldPosition="0">
        <references count="3">
          <reference field="11" count="1" selected="0">
            <x v="186"/>
          </reference>
          <reference field="14" count="1" selected="0">
            <x v="343"/>
          </reference>
          <reference field="18" count="1">
            <x v="1"/>
          </reference>
        </references>
      </pivotArea>
    </format>
    <format dxfId="6768">
      <pivotArea dataOnly="0" labelOnly="1" outline="0" fieldPosition="0">
        <references count="3">
          <reference field="11" count="1" selected="0">
            <x v="186"/>
          </reference>
          <reference field="14" count="1" selected="0">
            <x v="343"/>
          </reference>
          <reference field="18" count="1" defaultSubtotal="1">
            <x v="1"/>
          </reference>
        </references>
      </pivotArea>
    </format>
    <format dxfId="6767">
      <pivotArea dataOnly="0" labelOnly="1" outline="0" fieldPosition="0">
        <references count="3">
          <reference field="11" count="1" selected="0">
            <x v="187"/>
          </reference>
          <reference field="14" count="1" selected="0">
            <x v="249"/>
          </reference>
          <reference field="18" count="1">
            <x v="19"/>
          </reference>
        </references>
      </pivotArea>
    </format>
    <format dxfId="6766">
      <pivotArea dataOnly="0" labelOnly="1" outline="0" fieldPosition="0">
        <references count="3">
          <reference field="11" count="1" selected="0">
            <x v="187"/>
          </reference>
          <reference field="14" count="1" selected="0">
            <x v="249"/>
          </reference>
          <reference field="18" count="1" defaultSubtotal="1">
            <x v="19"/>
          </reference>
        </references>
      </pivotArea>
    </format>
    <format dxfId="6765">
      <pivotArea dataOnly="0" labelOnly="1" outline="0" fieldPosition="0">
        <references count="3">
          <reference field="11" count="1" selected="0">
            <x v="188"/>
          </reference>
          <reference field="14" count="1" selected="0">
            <x v="385"/>
          </reference>
          <reference field="18" count="1">
            <x v="2"/>
          </reference>
        </references>
      </pivotArea>
    </format>
    <format dxfId="6764">
      <pivotArea dataOnly="0" labelOnly="1" outline="0" fieldPosition="0">
        <references count="3">
          <reference field="11" count="1" selected="0">
            <x v="188"/>
          </reference>
          <reference field="14" count="1" selected="0">
            <x v="385"/>
          </reference>
          <reference field="18" count="1" defaultSubtotal="1">
            <x v="2"/>
          </reference>
        </references>
      </pivotArea>
    </format>
    <format dxfId="6763">
      <pivotArea dataOnly="0" labelOnly="1" outline="0" fieldPosition="0">
        <references count="3">
          <reference field="11" count="1" selected="0">
            <x v="189"/>
          </reference>
          <reference field="14" count="1" selected="0">
            <x v="184"/>
          </reference>
          <reference field="18" count="2">
            <x v="0"/>
            <x v="1"/>
          </reference>
        </references>
      </pivotArea>
    </format>
    <format dxfId="6762">
      <pivotArea dataOnly="0" labelOnly="1" outline="0" fieldPosition="0">
        <references count="3">
          <reference field="11" count="1" selected="0">
            <x v="189"/>
          </reference>
          <reference field="14" count="1" selected="0">
            <x v="184"/>
          </reference>
          <reference field="18" count="2" defaultSubtotal="1">
            <x v="0"/>
            <x v="1"/>
          </reference>
        </references>
      </pivotArea>
    </format>
    <format dxfId="6761">
      <pivotArea dataOnly="0" labelOnly="1" outline="0" fieldPosition="0">
        <references count="3">
          <reference field="11" count="1" selected="0">
            <x v="190"/>
          </reference>
          <reference field="14" count="1" selected="0">
            <x v="394"/>
          </reference>
          <reference field="18" count="2">
            <x v="0"/>
            <x v="2"/>
          </reference>
        </references>
      </pivotArea>
    </format>
    <format dxfId="6760">
      <pivotArea dataOnly="0" labelOnly="1" outline="0" fieldPosition="0">
        <references count="3">
          <reference field="11" count="1" selected="0">
            <x v="190"/>
          </reference>
          <reference field="14" count="1" selected="0">
            <x v="394"/>
          </reference>
          <reference field="18" count="2" defaultSubtotal="1">
            <x v="0"/>
            <x v="2"/>
          </reference>
        </references>
      </pivotArea>
    </format>
    <format dxfId="6759">
      <pivotArea dataOnly="0" labelOnly="1" outline="0" fieldPosition="0">
        <references count="3">
          <reference field="11" count="1" selected="0">
            <x v="191"/>
          </reference>
          <reference field="14" count="1" selected="0">
            <x v="103"/>
          </reference>
          <reference field="18" count="1">
            <x v="2"/>
          </reference>
        </references>
      </pivotArea>
    </format>
    <format dxfId="6758">
      <pivotArea dataOnly="0" labelOnly="1" outline="0" fieldPosition="0">
        <references count="3">
          <reference field="11" count="1" selected="0">
            <x v="191"/>
          </reference>
          <reference field="14" count="1" selected="0">
            <x v="103"/>
          </reference>
          <reference field="18" count="1" defaultSubtotal="1">
            <x v="2"/>
          </reference>
        </references>
      </pivotArea>
    </format>
    <format dxfId="6757">
      <pivotArea dataOnly="0" labelOnly="1" outline="0" fieldPosition="0">
        <references count="3">
          <reference field="11" count="1" selected="0">
            <x v="192"/>
          </reference>
          <reference field="14" count="1" selected="0">
            <x v="102"/>
          </reference>
          <reference field="18" count="1">
            <x v="2"/>
          </reference>
        </references>
      </pivotArea>
    </format>
    <format dxfId="6756">
      <pivotArea dataOnly="0" labelOnly="1" outline="0" fieldPosition="0">
        <references count="3">
          <reference field="11" count="1" selected="0">
            <x v="192"/>
          </reference>
          <reference field="14" count="1" selected="0">
            <x v="102"/>
          </reference>
          <reference field="18" count="1" defaultSubtotal="1">
            <x v="2"/>
          </reference>
        </references>
      </pivotArea>
    </format>
    <format dxfId="6755">
      <pivotArea dataOnly="0" labelOnly="1" outline="0" fieldPosition="0">
        <references count="3">
          <reference field="11" count="1" selected="0">
            <x v="193"/>
          </reference>
          <reference field="14" count="1" selected="0">
            <x v="14"/>
          </reference>
          <reference field="18" count="1">
            <x v="0"/>
          </reference>
        </references>
      </pivotArea>
    </format>
    <format dxfId="6754">
      <pivotArea dataOnly="0" labelOnly="1" outline="0" fieldPosition="0">
        <references count="3">
          <reference field="11" count="1" selected="0">
            <x v="193"/>
          </reference>
          <reference field="14" count="1" selected="0">
            <x v="14"/>
          </reference>
          <reference field="18" count="1" defaultSubtotal="1">
            <x v="0"/>
          </reference>
        </references>
      </pivotArea>
    </format>
    <format dxfId="6753">
      <pivotArea dataOnly="0" labelOnly="1" outline="0" fieldPosition="0">
        <references count="3">
          <reference field="11" count="1" selected="0">
            <x v="194"/>
          </reference>
          <reference field="14" count="1" selected="0">
            <x v="188"/>
          </reference>
          <reference field="18" count="1">
            <x v="0"/>
          </reference>
        </references>
      </pivotArea>
    </format>
    <format dxfId="6752">
      <pivotArea dataOnly="0" labelOnly="1" outline="0" fieldPosition="0">
        <references count="3">
          <reference field="11" count="1" selected="0">
            <x v="194"/>
          </reference>
          <reference field="14" count="1" selected="0">
            <x v="188"/>
          </reference>
          <reference field="18" count="1" defaultSubtotal="1">
            <x v="0"/>
          </reference>
        </references>
      </pivotArea>
    </format>
    <format dxfId="6751">
      <pivotArea dataOnly="0" labelOnly="1" outline="0" fieldPosition="0">
        <references count="3">
          <reference field="11" count="1" selected="0">
            <x v="195"/>
          </reference>
          <reference field="14" count="1" selected="0">
            <x v="396"/>
          </reference>
          <reference field="18" count="1">
            <x v="6"/>
          </reference>
        </references>
      </pivotArea>
    </format>
    <format dxfId="6750">
      <pivotArea dataOnly="0" labelOnly="1" outline="0" fieldPosition="0">
        <references count="3">
          <reference field="11" count="1" selected="0">
            <x v="195"/>
          </reference>
          <reference field="14" count="1" selected="0">
            <x v="396"/>
          </reference>
          <reference field="18" count="1" defaultSubtotal="1">
            <x v="6"/>
          </reference>
        </references>
      </pivotArea>
    </format>
    <format dxfId="6749">
      <pivotArea dataOnly="0" labelOnly="1" outline="0" fieldPosition="0">
        <references count="3">
          <reference field="11" count="1" selected="0">
            <x v="196"/>
          </reference>
          <reference field="14" count="1" selected="0">
            <x v="25"/>
          </reference>
          <reference field="18" count="1">
            <x v="5"/>
          </reference>
        </references>
      </pivotArea>
    </format>
    <format dxfId="6748">
      <pivotArea dataOnly="0" labelOnly="1" outline="0" fieldPosition="0">
        <references count="3">
          <reference field="11" count="1" selected="0">
            <x v="196"/>
          </reference>
          <reference field="14" count="1" selected="0">
            <x v="25"/>
          </reference>
          <reference field="18" count="1" defaultSubtotal="1">
            <x v="5"/>
          </reference>
        </references>
      </pivotArea>
    </format>
    <format dxfId="6747">
      <pivotArea dataOnly="0" labelOnly="1" outline="0" fieldPosition="0">
        <references count="3">
          <reference field="11" count="1" selected="0">
            <x v="197"/>
          </reference>
          <reference field="14" count="1" selected="0">
            <x v="26"/>
          </reference>
          <reference field="18" count="1">
            <x v="5"/>
          </reference>
        </references>
      </pivotArea>
    </format>
    <format dxfId="6746">
      <pivotArea dataOnly="0" labelOnly="1" outline="0" fieldPosition="0">
        <references count="3">
          <reference field="11" count="1" selected="0">
            <x v="197"/>
          </reference>
          <reference field="14" count="1" selected="0">
            <x v="26"/>
          </reference>
          <reference field="18" count="1" defaultSubtotal="1">
            <x v="5"/>
          </reference>
        </references>
      </pivotArea>
    </format>
    <format dxfId="6745">
      <pivotArea dataOnly="0" labelOnly="1" outline="0" fieldPosition="0">
        <references count="3">
          <reference field="11" count="1" selected="0">
            <x v="198"/>
          </reference>
          <reference field="14" count="1" selected="0">
            <x v="43"/>
          </reference>
          <reference field="18" count="1">
            <x v="27"/>
          </reference>
        </references>
      </pivotArea>
    </format>
    <format dxfId="6744">
      <pivotArea dataOnly="0" labelOnly="1" outline="0" fieldPosition="0">
        <references count="3">
          <reference field="11" count="1" selected="0">
            <x v="198"/>
          </reference>
          <reference field="14" count="1" selected="0">
            <x v="43"/>
          </reference>
          <reference field="18" count="1" defaultSubtotal="1">
            <x v="27"/>
          </reference>
        </references>
      </pivotArea>
    </format>
    <format dxfId="6743">
      <pivotArea dataOnly="0" labelOnly="1" outline="0" fieldPosition="0">
        <references count="3">
          <reference field="11" count="1" selected="0">
            <x v="199"/>
          </reference>
          <reference field="14" count="1" selected="0">
            <x v="113"/>
          </reference>
          <reference field="18" count="1">
            <x v="19"/>
          </reference>
        </references>
      </pivotArea>
    </format>
    <format dxfId="6742">
      <pivotArea dataOnly="0" labelOnly="1" outline="0" fieldPosition="0">
        <references count="3">
          <reference field="11" count="1" selected="0">
            <x v="199"/>
          </reference>
          <reference field="14" count="1" selected="0">
            <x v="113"/>
          </reference>
          <reference field="18" count="1" defaultSubtotal="1">
            <x v="19"/>
          </reference>
        </references>
      </pivotArea>
    </format>
    <format dxfId="6741">
      <pivotArea dataOnly="0" labelOnly="1" outline="0" fieldPosition="0">
        <references count="3">
          <reference field="11" count="1" selected="0">
            <x v="200"/>
          </reference>
          <reference field="14" count="1" selected="0">
            <x v="280"/>
          </reference>
          <reference field="18" count="1">
            <x v="0"/>
          </reference>
        </references>
      </pivotArea>
    </format>
    <format dxfId="6740">
      <pivotArea dataOnly="0" labelOnly="1" outline="0" fieldPosition="0">
        <references count="3">
          <reference field="11" count="1" selected="0">
            <x v="200"/>
          </reference>
          <reference field="14" count="1" selected="0">
            <x v="280"/>
          </reference>
          <reference field="18" count="1" defaultSubtotal="1">
            <x v="0"/>
          </reference>
        </references>
      </pivotArea>
    </format>
    <format dxfId="6739">
      <pivotArea dataOnly="0" labelOnly="1" outline="0" fieldPosition="0">
        <references count="3">
          <reference field="11" count="1" selected="0">
            <x v="201"/>
          </reference>
          <reference field="14" count="1" selected="0">
            <x v="305"/>
          </reference>
          <reference field="18" count="1">
            <x v="2"/>
          </reference>
        </references>
      </pivotArea>
    </format>
    <format dxfId="6738">
      <pivotArea dataOnly="0" labelOnly="1" outline="0" fieldPosition="0">
        <references count="3">
          <reference field="11" count="1" selected="0">
            <x v="201"/>
          </reference>
          <reference field="14" count="1" selected="0">
            <x v="305"/>
          </reference>
          <reference field="18" count="1" defaultSubtotal="1">
            <x v="2"/>
          </reference>
        </references>
      </pivotArea>
    </format>
    <format dxfId="6737">
      <pivotArea dataOnly="0" labelOnly="1" outline="0" fieldPosition="0">
        <references count="3">
          <reference field="11" count="1" selected="0">
            <x v="202"/>
          </reference>
          <reference field="14" count="1" selected="0">
            <x v="409"/>
          </reference>
          <reference field="18" count="1">
            <x v="2"/>
          </reference>
        </references>
      </pivotArea>
    </format>
    <format dxfId="6736">
      <pivotArea dataOnly="0" labelOnly="1" outline="0" fieldPosition="0">
        <references count="3">
          <reference field="11" count="1" selected="0">
            <x v="202"/>
          </reference>
          <reference field="14" count="1" selected="0">
            <x v="409"/>
          </reference>
          <reference field="18" count="1" defaultSubtotal="1">
            <x v="2"/>
          </reference>
        </references>
      </pivotArea>
    </format>
    <format dxfId="6735">
      <pivotArea dataOnly="0" labelOnly="1" outline="0" fieldPosition="0">
        <references count="3">
          <reference field="11" count="1" selected="0">
            <x v="203"/>
          </reference>
          <reference field="14" count="1" selected="0">
            <x v="28"/>
          </reference>
          <reference field="18" count="1">
            <x v="6"/>
          </reference>
        </references>
      </pivotArea>
    </format>
    <format dxfId="6734">
      <pivotArea dataOnly="0" labelOnly="1" outline="0" fieldPosition="0">
        <references count="3">
          <reference field="11" count="1" selected="0">
            <x v="203"/>
          </reference>
          <reference field="14" count="1" selected="0">
            <x v="28"/>
          </reference>
          <reference field="18" count="1" defaultSubtotal="1">
            <x v="6"/>
          </reference>
        </references>
      </pivotArea>
    </format>
    <format dxfId="6733">
      <pivotArea dataOnly="0" labelOnly="1" outline="0" fieldPosition="0">
        <references count="3">
          <reference field="11" count="1" selected="0">
            <x v="204"/>
          </reference>
          <reference field="14" count="1" selected="0">
            <x v="269"/>
          </reference>
          <reference field="18" count="2">
            <x v="2"/>
            <x v="3"/>
          </reference>
        </references>
      </pivotArea>
    </format>
    <format dxfId="6732">
      <pivotArea dataOnly="0" labelOnly="1" outline="0" fieldPosition="0">
        <references count="3">
          <reference field="11" count="1" selected="0">
            <x v="204"/>
          </reference>
          <reference field="14" count="1" selected="0">
            <x v="269"/>
          </reference>
          <reference field="18" count="2" defaultSubtotal="1">
            <x v="2"/>
            <x v="3"/>
          </reference>
        </references>
      </pivotArea>
    </format>
    <format dxfId="6731">
      <pivotArea dataOnly="0" labelOnly="1" outline="0" fieldPosition="0">
        <references count="3">
          <reference field="11" count="1" selected="0">
            <x v="205"/>
          </reference>
          <reference field="14" count="1" selected="0">
            <x v="185"/>
          </reference>
          <reference field="18" count="1">
            <x v="1"/>
          </reference>
        </references>
      </pivotArea>
    </format>
    <format dxfId="6730">
      <pivotArea dataOnly="0" labelOnly="1" outline="0" fieldPosition="0">
        <references count="3">
          <reference field="11" count="1" selected="0">
            <x v="205"/>
          </reference>
          <reference field="14" count="1" selected="0">
            <x v="185"/>
          </reference>
          <reference field="18" count="1" defaultSubtotal="1">
            <x v="1"/>
          </reference>
        </references>
      </pivotArea>
    </format>
    <format dxfId="6729">
      <pivotArea dataOnly="0" labelOnly="1" outline="0" fieldPosition="0">
        <references count="3">
          <reference field="11" count="1" selected="0">
            <x v="206"/>
          </reference>
          <reference field="14" count="1" selected="0">
            <x v="54"/>
          </reference>
          <reference field="18" count="1">
            <x v="2"/>
          </reference>
        </references>
      </pivotArea>
    </format>
    <format dxfId="6728">
      <pivotArea dataOnly="0" labelOnly="1" outline="0" fieldPosition="0">
        <references count="3">
          <reference field="11" count="1" selected="0">
            <x v="206"/>
          </reference>
          <reference field="14" count="1" selected="0">
            <x v="54"/>
          </reference>
          <reference field="18" count="1" defaultSubtotal="1">
            <x v="2"/>
          </reference>
        </references>
      </pivotArea>
    </format>
    <format dxfId="6727">
      <pivotArea dataOnly="0" labelOnly="1" outline="0" fieldPosition="0">
        <references count="3">
          <reference field="11" count="1" selected="0">
            <x v="207"/>
          </reference>
          <reference field="14" count="1" selected="0">
            <x v="356"/>
          </reference>
          <reference field="18" count="2">
            <x v="8"/>
            <x v="14"/>
          </reference>
        </references>
      </pivotArea>
    </format>
    <format dxfId="6726">
      <pivotArea dataOnly="0" labelOnly="1" outline="0" fieldPosition="0">
        <references count="3">
          <reference field="11" count="1" selected="0">
            <x v="207"/>
          </reference>
          <reference field="14" count="1" selected="0">
            <x v="356"/>
          </reference>
          <reference field="18" count="2" defaultSubtotal="1">
            <x v="8"/>
            <x v="14"/>
          </reference>
        </references>
      </pivotArea>
    </format>
    <format dxfId="6725">
      <pivotArea dataOnly="0" labelOnly="1" outline="0" fieldPosition="0">
        <references count="3">
          <reference field="11" count="1" selected="0">
            <x v="208"/>
          </reference>
          <reference field="14" count="1" selected="0">
            <x v="186"/>
          </reference>
          <reference field="18" count="2">
            <x v="0"/>
            <x v="7"/>
          </reference>
        </references>
      </pivotArea>
    </format>
    <format dxfId="6724">
      <pivotArea dataOnly="0" labelOnly="1" outline="0" fieldPosition="0">
        <references count="3">
          <reference field="11" count="1" selected="0">
            <x v="208"/>
          </reference>
          <reference field="14" count="1" selected="0">
            <x v="186"/>
          </reference>
          <reference field="18" count="2" defaultSubtotal="1">
            <x v="0"/>
            <x v="7"/>
          </reference>
        </references>
      </pivotArea>
    </format>
    <format dxfId="6723">
      <pivotArea dataOnly="0" labelOnly="1" outline="0" fieldPosition="0">
        <references count="3">
          <reference field="11" count="1" selected="0">
            <x v="209"/>
          </reference>
          <reference field="14" count="1" selected="0">
            <x v="37"/>
          </reference>
          <reference field="18" count="1">
            <x v="6"/>
          </reference>
        </references>
      </pivotArea>
    </format>
    <format dxfId="6722">
      <pivotArea dataOnly="0" labelOnly="1" outline="0" fieldPosition="0">
        <references count="3">
          <reference field="11" count="1" selected="0">
            <x v="209"/>
          </reference>
          <reference field="14" count="1" selected="0">
            <x v="37"/>
          </reference>
          <reference field="18" count="1" defaultSubtotal="1">
            <x v="6"/>
          </reference>
        </references>
      </pivotArea>
    </format>
    <format dxfId="6721">
      <pivotArea dataOnly="0" labelOnly="1" outline="0" fieldPosition="0">
        <references count="3">
          <reference field="11" count="1" selected="0">
            <x v="210"/>
          </reference>
          <reference field="14" count="1" selected="0">
            <x v="273"/>
          </reference>
          <reference field="18" count="1">
            <x v="0"/>
          </reference>
        </references>
      </pivotArea>
    </format>
    <format dxfId="6720">
      <pivotArea dataOnly="0" labelOnly="1" outline="0" fieldPosition="0">
        <references count="3">
          <reference field="11" count="1" selected="0">
            <x v="210"/>
          </reference>
          <reference field="14" count="1" selected="0">
            <x v="273"/>
          </reference>
          <reference field="18" count="1" defaultSubtotal="1">
            <x v="0"/>
          </reference>
        </references>
      </pivotArea>
    </format>
    <format dxfId="6719">
      <pivotArea dataOnly="0" labelOnly="1" outline="0" fieldPosition="0">
        <references count="3">
          <reference field="11" count="1" selected="0">
            <x v="211"/>
          </reference>
          <reference field="14" count="1" selected="0">
            <x v="142"/>
          </reference>
          <reference field="18" count="1">
            <x v="2"/>
          </reference>
        </references>
      </pivotArea>
    </format>
    <format dxfId="6718">
      <pivotArea dataOnly="0" labelOnly="1" outline="0" fieldPosition="0">
        <references count="3">
          <reference field="11" count="1" selected="0">
            <x v="211"/>
          </reference>
          <reference field="14" count="1" selected="0">
            <x v="142"/>
          </reference>
          <reference field="18" count="1" defaultSubtotal="1">
            <x v="2"/>
          </reference>
        </references>
      </pivotArea>
    </format>
    <format dxfId="6717">
      <pivotArea dataOnly="0" labelOnly="1" outline="0" fieldPosition="0">
        <references count="3">
          <reference field="11" count="1" selected="0">
            <x v="212"/>
          </reference>
          <reference field="14" count="1" selected="0">
            <x v="294"/>
          </reference>
          <reference field="18" count="1">
            <x v="1"/>
          </reference>
        </references>
      </pivotArea>
    </format>
    <format dxfId="6716">
      <pivotArea dataOnly="0" labelOnly="1" outline="0" fieldPosition="0">
        <references count="3">
          <reference field="11" count="1" selected="0">
            <x v="212"/>
          </reference>
          <reference field="14" count="1" selected="0">
            <x v="294"/>
          </reference>
          <reference field="18" count="1" defaultSubtotal="1">
            <x v="1"/>
          </reference>
        </references>
      </pivotArea>
    </format>
    <format dxfId="6715">
      <pivotArea dataOnly="0" labelOnly="1" outline="0" fieldPosition="0">
        <references count="3">
          <reference field="11" count="1" selected="0">
            <x v="213"/>
          </reference>
          <reference field="14" count="1" selected="0">
            <x v="5"/>
          </reference>
          <reference field="18" count="1">
            <x v="3"/>
          </reference>
        </references>
      </pivotArea>
    </format>
    <format dxfId="6714">
      <pivotArea dataOnly="0" labelOnly="1" outline="0" fieldPosition="0">
        <references count="3">
          <reference field="11" count="1" selected="0">
            <x v="213"/>
          </reference>
          <reference field="14" count="1" selected="0">
            <x v="5"/>
          </reference>
          <reference field="18" count="1" defaultSubtotal="1">
            <x v="3"/>
          </reference>
        </references>
      </pivotArea>
    </format>
    <format dxfId="6713">
      <pivotArea dataOnly="0" labelOnly="1" outline="0" fieldPosition="0">
        <references count="3">
          <reference field="11" count="1" selected="0">
            <x v="214"/>
          </reference>
          <reference field="14" count="1" selected="0">
            <x v="98"/>
          </reference>
          <reference field="18" count="4">
            <x v="1"/>
            <x v="2"/>
            <x v="12"/>
            <x v="27"/>
          </reference>
        </references>
      </pivotArea>
    </format>
    <format dxfId="6712">
      <pivotArea dataOnly="0" labelOnly="1" outline="0" fieldPosition="0">
        <references count="3">
          <reference field="11" count="1" selected="0">
            <x v="214"/>
          </reference>
          <reference field="14" count="1" selected="0">
            <x v="98"/>
          </reference>
          <reference field="18" count="4" defaultSubtotal="1">
            <x v="1"/>
            <x v="2"/>
            <x v="12"/>
            <x v="27"/>
          </reference>
        </references>
      </pivotArea>
    </format>
    <format dxfId="6711">
      <pivotArea dataOnly="0" labelOnly="1" outline="0" fieldPosition="0">
        <references count="3">
          <reference field="11" count="1" selected="0">
            <x v="215"/>
          </reference>
          <reference field="14" count="1" selected="0">
            <x v="158"/>
          </reference>
          <reference field="18" count="1">
            <x v="2"/>
          </reference>
        </references>
      </pivotArea>
    </format>
    <format dxfId="6710">
      <pivotArea dataOnly="0" labelOnly="1" outline="0" fieldPosition="0">
        <references count="3">
          <reference field="11" count="1" selected="0">
            <x v="215"/>
          </reference>
          <reference field="14" count="1" selected="0">
            <x v="158"/>
          </reference>
          <reference field="18" count="1" defaultSubtotal="1">
            <x v="2"/>
          </reference>
        </references>
      </pivotArea>
    </format>
    <format dxfId="6709">
      <pivotArea dataOnly="0" labelOnly="1" outline="0" fieldPosition="0">
        <references count="3">
          <reference field="11" count="1" selected="0">
            <x v="216"/>
          </reference>
          <reference field="14" count="1" selected="0">
            <x v="338"/>
          </reference>
          <reference field="18" count="1">
            <x v="2"/>
          </reference>
        </references>
      </pivotArea>
    </format>
    <format dxfId="6708">
      <pivotArea dataOnly="0" labelOnly="1" outline="0" fieldPosition="0">
        <references count="3">
          <reference field="11" count="1" selected="0">
            <x v="216"/>
          </reference>
          <reference field="14" count="1" selected="0">
            <x v="338"/>
          </reference>
          <reference field="18" count="1" defaultSubtotal="1">
            <x v="2"/>
          </reference>
        </references>
      </pivotArea>
    </format>
    <format dxfId="6707">
      <pivotArea dataOnly="0" labelOnly="1" outline="0" fieldPosition="0">
        <references count="3">
          <reference field="11" count="1" selected="0">
            <x v="217"/>
          </reference>
          <reference field="14" count="1" selected="0">
            <x v="438"/>
          </reference>
          <reference field="18" count="1">
            <x v="19"/>
          </reference>
        </references>
      </pivotArea>
    </format>
    <format dxfId="6706">
      <pivotArea dataOnly="0" labelOnly="1" outline="0" fieldPosition="0">
        <references count="3">
          <reference field="11" count="1" selected="0">
            <x v="217"/>
          </reference>
          <reference field="14" count="1" selected="0">
            <x v="438"/>
          </reference>
          <reference field="18" count="1" defaultSubtotal="1">
            <x v="19"/>
          </reference>
        </references>
      </pivotArea>
    </format>
    <format dxfId="6705">
      <pivotArea dataOnly="0" labelOnly="1" outline="0" fieldPosition="0">
        <references count="3">
          <reference field="11" count="1" selected="0">
            <x v="218"/>
          </reference>
          <reference field="14" count="1" selected="0">
            <x v="429"/>
          </reference>
          <reference field="18" count="1">
            <x v="19"/>
          </reference>
        </references>
      </pivotArea>
    </format>
    <format dxfId="6704">
      <pivotArea dataOnly="0" labelOnly="1" outline="0" fieldPosition="0">
        <references count="3">
          <reference field="11" count="1" selected="0">
            <x v="218"/>
          </reference>
          <reference field="14" count="1" selected="0">
            <x v="429"/>
          </reference>
          <reference field="18" count="1" defaultSubtotal="1">
            <x v="19"/>
          </reference>
        </references>
      </pivotArea>
    </format>
    <format dxfId="6703">
      <pivotArea dataOnly="0" labelOnly="1" outline="0" fieldPosition="0">
        <references count="3">
          <reference field="11" count="1" selected="0">
            <x v="219"/>
          </reference>
          <reference field="14" count="1" selected="0">
            <x v="431"/>
          </reference>
          <reference field="18" count="1">
            <x v="19"/>
          </reference>
        </references>
      </pivotArea>
    </format>
    <format dxfId="6702">
      <pivotArea dataOnly="0" labelOnly="1" outline="0" fieldPosition="0">
        <references count="3">
          <reference field="11" count="1" selected="0">
            <x v="219"/>
          </reference>
          <reference field="14" count="1" selected="0">
            <x v="431"/>
          </reference>
          <reference field="18" count="1" defaultSubtotal="1">
            <x v="19"/>
          </reference>
        </references>
      </pivotArea>
    </format>
    <format dxfId="6701">
      <pivotArea dataOnly="0" labelOnly="1" outline="0" fieldPosition="0">
        <references count="3">
          <reference field="11" count="1" selected="0">
            <x v="220"/>
          </reference>
          <reference field="14" count="1" selected="0">
            <x v="430"/>
          </reference>
          <reference field="18" count="1">
            <x v="19"/>
          </reference>
        </references>
      </pivotArea>
    </format>
    <format dxfId="6700">
      <pivotArea dataOnly="0" labelOnly="1" outline="0" fieldPosition="0">
        <references count="3">
          <reference field="11" count="1" selected="0">
            <x v="220"/>
          </reference>
          <reference field="14" count="1" selected="0">
            <x v="430"/>
          </reference>
          <reference field="18" count="1" defaultSubtotal="1">
            <x v="19"/>
          </reference>
        </references>
      </pivotArea>
    </format>
    <format dxfId="6699">
      <pivotArea dataOnly="0" labelOnly="1" outline="0" fieldPosition="0">
        <references count="3">
          <reference field="11" count="1" selected="0">
            <x v="221"/>
          </reference>
          <reference field="14" count="1" selected="0">
            <x v="427"/>
          </reference>
          <reference field="18" count="1">
            <x v="19"/>
          </reference>
        </references>
      </pivotArea>
    </format>
    <format dxfId="6698">
      <pivotArea dataOnly="0" labelOnly="1" outline="0" fieldPosition="0">
        <references count="3">
          <reference field="11" count="1" selected="0">
            <x v="221"/>
          </reference>
          <reference field="14" count="1" selected="0">
            <x v="427"/>
          </reference>
          <reference field="18" count="1" defaultSubtotal="1">
            <x v="19"/>
          </reference>
        </references>
      </pivotArea>
    </format>
    <format dxfId="6697">
      <pivotArea dataOnly="0" labelOnly="1" outline="0" fieldPosition="0">
        <references count="3">
          <reference field="11" count="1" selected="0">
            <x v="222"/>
          </reference>
          <reference field="14" count="1" selected="0">
            <x v="426"/>
          </reference>
          <reference field="18" count="1">
            <x v="19"/>
          </reference>
        </references>
      </pivotArea>
    </format>
    <format dxfId="6696">
      <pivotArea dataOnly="0" labelOnly="1" outline="0" fieldPosition="0">
        <references count="3">
          <reference field="11" count="1" selected="0">
            <x v="222"/>
          </reference>
          <reference field="14" count="1" selected="0">
            <x v="426"/>
          </reference>
          <reference field="18" count="1" defaultSubtotal="1">
            <x v="19"/>
          </reference>
        </references>
      </pivotArea>
    </format>
    <format dxfId="6695">
      <pivotArea dataOnly="0" labelOnly="1" outline="0" fieldPosition="0">
        <references count="3">
          <reference field="11" count="1" selected="0">
            <x v="223"/>
          </reference>
          <reference field="14" count="1" selected="0">
            <x v="416"/>
          </reference>
          <reference field="18" count="1">
            <x v="19"/>
          </reference>
        </references>
      </pivotArea>
    </format>
    <format dxfId="6694">
      <pivotArea dataOnly="0" labelOnly="1" outline="0" fieldPosition="0">
        <references count="3">
          <reference field="11" count="1" selected="0">
            <x v="223"/>
          </reference>
          <reference field="14" count="1" selected="0">
            <x v="416"/>
          </reference>
          <reference field="18" count="1" defaultSubtotal="1">
            <x v="19"/>
          </reference>
        </references>
      </pivotArea>
    </format>
    <format dxfId="6693">
      <pivotArea dataOnly="0" labelOnly="1" outline="0" fieldPosition="0">
        <references count="3">
          <reference field="11" count="1" selected="0">
            <x v="224"/>
          </reference>
          <reference field="14" count="1" selected="0">
            <x v="300"/>
          </reference>
          <reference field="18" count="1">
            <x v="6"/>
          </reference>
        </references>
      </pivotArea>
    </format>
    <format dxfId="6692">
      <pivotArea dataOnly="0" labelOnly="1" outline="0" fieldPosition="0">
        <references count="3">
          <reference field="11" count="1" selected="0">
            <x v="224"/>
          </reference>
          <reference field="14" count="1" selected="0">
            <x v="300"/>
          </reference>
          <reference field="18" count="1" defaultSubtotal="1">
            <x v="6"/>
          </reference>
        </references>
      </pivotArea>
    </format>
    <format dxfId="6691">
      <pivotArea dataOnly="0" labelOnly="1" outline="0" fieldPosition="0">
        <references count="3">
          <reference field="11" count="1" selected="0">
            <x v="225"/>
          </reference>
          <reference field="14" count="1" selected="0">
            <x v="97"/>
          </reference>
          <reference field="18" count="1">
            <x v="19"/>
          </reference>
        </references>
      </pivotArea>
    </format>
    <format dxfId="6690">
      <pivotArea dataOnly="0" labelOnly="1" outline="0" fieldPosition="0">
        <references count="3">
          <reference field="11" count="1" selected="0">
            <x v="225"/>
          </reference>
          <reference field="14" count="1" selected="0">
            <x v="97"/>
          </reference>
          <reference field="18" count="1" defaultSubtotal="1">
            <x v="19"/>
          </reference>
        </references>
      </pivotArea>
    </format>
    <format dxfId="6689">
      <pivotArea dataOnly="0" labelOnly="1" outline="0" fieldPosition="0">
        <references count="3">
          <reference field="11" count="1" selected="0">
            <x v="226"/>
          </reference>
          <reference field="14" count="1" selected="0">
            <x v="72"/>
          </reference>
          <reference field="18" count="1">
            <x v="19"/>
          </reference>
        </references>
      </pivotArea>
    </format>
    <format dxfId="6688">
      <pivotArea dataOnly="0" labelOnly="1" outline="0" fieldPosition="0">
        <references count="3">
          <reference field="11" count="1" selected="0">
            <x v="226"/>
          </reference>
          <reference field="14" count="1" selected="0">
            <x v="72"/>
          </reference>
          <reference field="18" count="1" defaultSubtotal="1">
            <x v="19"/>
          </reference>
        </references>
      </pivotArea>
    </format>
    <format dxfId="6687">
      <pivotArea dataOnly="0" labelOnly="1" outline="0" fieldPosition="0">
        <references count="3">
          <reference field="11" count="1" selected="0">
            <x v="227"/>
          </reference>
          <reference field="14" count="1" selected="0">
            <x v="420"/>
          </reference>
          <reference field="18" count="1">
            <x v="19"/>
          </reference>
        </references>
      </pivotArea>
    </format>
    <format dxfId="6686">
      <pivotArea dataOnly="0" labelOnly="1" outline="0" fieldPosition="0">
        <references count="3">
          <reference field="11" count="1" selected="0">
            <x v="227"/>
          </reference>
          <reference field="14" count="1" selected="0">
            <x v="420"/>
          </reference>
          <reference field="18" count="1" defaultSubtotal="1">
            <x v="19"/>
          </reference>
        </references>
      </pivotArea>
    </format>
    <format dxfId="6685">
      <pivotArea dataOnly="0" labelOnly="1" outline="0" fieldPosition="0">
        <references count="3">
          <reference field="11" count="1" selected="0">
            <x v="228"/>
          </reference>
          <reference field="14" count="1" selected="0">
            <x v="313"/>
          </reference>
          <reference field="18" count="1">
            <x v="19"/>
          </reference>
        </references>
      </pivotArea>
    </format>
    <format dxfId="6684">
      <pivotArea dataOnly="0" labelOnly="1" outline="0" fieldPosition="0">
        <references count="3">
          <reference field="11" count="1" selected="0">
            <x v="228"/>
          </reference>
          <reference field="14" count="1" selected="0">
            <x v="313"/>
          </reference>
          <reference field="18" count="1" defaultSubtotal="1">
            <x v="19"/>
          </reference>
        </references>
      </pivotArea>
    </format>
    <format dxfId="6683">
      <pivotArea dataOnly="0" labelOnly="1" outline="0" fieldPosition="0">
        <references count="3">
          <reference field="11" count="1" selected="0">
            <x v="229"/>
          </reference>
          <reference field="14" count="1" selected="0">
            <x v="307"/>
          </reference>
          <reference field="18" count="1">
            <x v="19"/>
          </reference>
        </references>
      </pivotArea>
    </format>
    <format dxfId="6682">
      <pivotArea dataOnly="0" labelOnly="1" outline="0" fieldPosition="0">
        <references count="3">
          <reference field="11" count="1" selected="0">
            <x v="229"/>
          </reference>
          <reference field="14" count="1" selected="0">
            <x v="307"/>
          </reference>
          <reference field="18" count="1" defaultSubtotal="1">
            <x v="19"/>
          </reference>
        </references>
      </pivotArea>
    </format>
    <format dxfId="6681">
      <pivotArea dataOnly="0" labelOnly="1" outline="0" fieldPosition="0">
        <references count="3">
          <reference field="11" count="1" selected="0">
            <x v="230"/>
          </reference>
          <reference field="14" count="1" selected="0">
            <x v="13"/>
          </reference>
          <reference field="18" count="1">
            <x v="19"/>
          </reference>
        </references>
      </pivotArea>
    </format>
    <format dxfId="6680">
      <pivotArea dataOnly="0" labelOnly="1" outline="0" fieldPosition="0">
        <references count="3">
          <reference field="11" count="1" selected="0">
            <x v="230"/>
          </reference>
          <reference field="14" count="1" selected="0">
            <x v="13"/>
          </reference>
          <reference field="18" count="1" defaultSubtotal="1">
            <x v="19"/>
          </reference>
        </references>
      </pivotArea>
    </format>
    <format dxfId="6679">
      <pivotArea dataOnly="0" labelOnly="1" outline="0" fieldPosition="0">
        <references count="3">
          <reference field="11" count="1" selected="0">
            <x v="231"/>
          </reference>
          <reference field="14" count="1" selected="0">
            <x v="96"/>
          </reference>
          <reference field="18" count="1">
            <x v="19"/>
          </reference>
        </references>
      </pivotArea>
    </format>
    <format dxfId="6678">
      <pivotArea dataOnly="0" labelOnly="1" outline="0" fieldPosition="0">
        <references count="3">
          <reference field="11" count="1" selected="0">
            <x v="231"/>
          </reference>
          <reference field="14" count="1" selected="0">
            <x v="96"/>
          </reference>
          <reference field="18" count="1" defaultSubtotal="1">
            <x v="19"/>
          </reference>
        </references>
      </pivotArea>
    </format>
    <format dxfId="6677">
      <pivotArea dataOnly="0" labelOnly="1" outline="0" fieldPosition="0">
        <references count="3">
          <reference field="11" count="1" selected="0">
            <x v="232"/>
          </reference>
          <reference field="14" count="1" selected="0">
            <x v="411"/>
          </reference>
          <reference field="18" count="1">
            <x v="19"/>
          </reference>
        </references>
      </pivotArea>
    </format>
    <format dxfId="6676">
      <pivotArea dataOnly="0" labelOnly="1" outline="0" fieldPosition="0">
        <references count="3">
          <reference field="11" count="1" selected="0">
            <x v="232"/>
          </reference>
          <reference field="14" count="1" selected="0">
            <x v="411"/>
          </reference>
          <reference field="18" count="1" defaultSubtotal="1">
            <x v="19"/>
          </reference>
        </references>
      </pivotArea>
    </format>
    <format dxfId="6675">
      <pivotArea dataOnly="0" labelOnly="1" outline="0" fieldPosition="0">
        <references count="3">
          <reference field="11" count="1" selected="0">
            <x v="233"/>
          </reference>
          <reference field="14" count="1" selected="0">
            <x v="449"/>
          </reference>
          <reference field="18" count="1">
            <x v="19"/>
          </reference>
        </references>
      </pivotArea>
    </format>
    <format dxfId="6674">
      <pivotArea dataOnly="0" labelOnly="1" outline="0" fieldPosition="0">
        <references count="3">
          <reference field="11" count="1" selected="0">
            <x v="233"/>
          </reference>
          <reference field="14" count="1" selected="0">
            <x v="449"/>
          </reference>
          <reference field="18" count="1" defaultSubtotal="1">
            <x v="19"/>
          </reference>
        </references>
      </pivotArea>
    </format>
    <format dxfId="6673">
      <pivotArea dataOnly="0" labelOnly="1" outline="0" fieldPosition="0">
        <references count="3">
          <reference field="11" count="1" selected="0">
            <x v="234"/>
          </reference>
          <reference field="14" count="1" selected="0">
            <x v="277"/>
          </reference>
          <reference field="18" count="1">
            <x v="0"/>
          </reference>
        </references>
      </pivotArea>
    </format>
    <format dxfId="6672">
      <pivotArea dataOnly="0" labelOnly="1" outline="0" fieldPosition="0">
        <references count="3">
          <reference field="11" count="1" selected="0">
            <x v="234"/>
          </reference>
          <reference field="14" count="1" selected="0">
            <x v="277"/>
          </reference>
          <reference field="18" count="1" defaultSubtotal="1">
            <x v="0"/>
          </reference>
        </references>
      </pivotArea>
    </format>
    <format dxfId="6671">
      <pivotArea dataOnly="0" labelOnly="1" outline="0" fieldPosition="0">
        <references count="3">
          <reference field="11" count="1" selected="0">
            <x v="235"/>
          </reference>
          <reference field="14" count="1" selected="0">
            <x v="272"/>
          </reference>
          <reference field="18" count="1">
            <x v="0"/>
          </reference>
        </references>
      </pivotArea>
    </format>
    <format dxfId="6670">
      <pivotArea dataOnly="0" labelOnly="1" outline="0" fieldPosition="0">
        <references count="3">
          <reference field="11" count="1" selected="0">
            <x v="235"/>
          </reference>
          <reference field="14" count="1" selected="0">
            <x v="272"/>
          </reference>
          <reference field="18" count="1" defaultSubtotal="1">
            <x v="0"/>
          </reference>
        </references>
      </pivotArea>
    </format>
    <format dxfId="6669">
      <pivotArea dataOnly="0" labelOnly="1" outline="0" fieldPosition="0">
        <references count="3">
          <reference field="11" count="1" selected="0">
            <x v="236"/>
          </reference>
          <reference field="14" count="1" selected="0">
            <x v="403"/>
          </reference>
          <reference field="18" count="2">
            <x v="0"/>
            <x v="2"/>
          </reference>
        </references>
      </pivotArea>
    </format>
    <format dxfId="6668">
      <pivotArea dataOnly="0" labelOnly="1" outline="0" fieldPosition="0">
        <references count="3">
          <reference field="11" count="1" selected="0">
            <x v="236"/>
          </reference>
          <reference field="14" count="1" selected="0">
            <x v="403"/>
          </reference>
          <reference field="18" count="2" defaultSubtotal="1">
            <x v="0"/>
            <x v="2"/>
          </reference>
        </references>
      </pivotArea>
    </format>
    <format dxfId="6667">
      <pivotArea dataOnly="0" labelOnly="1" outline="0" fieldPosition="0">
        <references count="3">
          <reference field="11" count="1" selected="0">
            <x v="237"/>
          </reference>
          <reference field="14" count="1" selected="0">
            <x v="377"/>
          </reference>
          <reference field="18" count="1">
            <x v="19"/>
          </reference>
        </references>
      </pivotArea>
    </format>
    <format dxfId="6666">
      <pivotArea dataOnly="0" labelOnly="1" outline="0" fieldPosition="0">
        <references count="3">
          <reference field="11" count="1" selected="0">
            <x v="237"/>
          </reference>
          <reference field="14" count="1" selected="0">
            <x v="377"/>
          </reference>
          <reference field="18" count="1" defaultSubtotal="1">
            <x v="19"/>
          </reference>
        </references>
      </pivotArea>
    </format>
    <format dxfId="6665">
      <pivotArea dataOnly="0" labelOnly="1" outline="0" fieldPosition="0">
        <references count="3">
          <reference field="11" count="1" selected="0">
            <x v="238"/>
          </reference>
          <reference field="14" count="1" selected="0">
            <x v="339"/>
          </reference>
          <reference field="18" count="1">
            <x v="0"/>
          </reference>
        </references>
      </pivotArea>
    </format>
    <format dxfId="6664">
      <pivotArea dataOnly="0" labelOnly="1" outline="0" fieldPosition="0">
        <references count="3">
          <reference field="11" count="1" selected="0">
            <x v="238"/>
          </reference>
          <reference field="14" count="1" selected="0">
            <x v="339"/>
          </reference>
          <reference field="18" count="1" defaultSubtotal="1">
            <x v="0"/>
          </reference>
        </references>
      </pivotArea>
    </format>
    <format dxfId="6663">
      <pivotArea dataOnly="0" labelOnly="1" outline="0" fieldPosition="0">
        <references count="3">
          <reference field="11" count="1" selected="0">
            <x v="239"/>
          </reference>
          <reference field="14" count="1" selected="0">
            <x v="61"/>
          </reference>
          <reference field="18" count="2">
            <x v="0"/>
            <x v="2"/>
          </reference>
        </references>
      </pivotArea>
    </format>
    <format dxfId="6662">
      <pivotArea dataOnly="0" labelOnly="1" outline="0" fieldPosition="0">
        <references count="3">
          <reference field="11" count="1" selected="0">
            <x v="239"/>
          </reference>
          <reference field="14" count="1" selected="0">
            <x v="61"/>
          </reference>
          <reference field="18" count="2" defaultSubtotal="1">
            <x v="0"/>
            <x v="2"/>
          </reference>
        </references>
      </pivotArea>
    </format>
    <format dxfId="6661">
      <pivotArea dataOnly="0" labelOnly="1" outline="0" fieldPosition="0">
        <references count="3">
          <reference field="11" count="1" selected="0">
            <x v="240"/>
          </reference>
          <reference field="14" count="1" selected="0">
            <x v="201"/>
          </reference>
          <reference field="18" count="1">
            <x v="7"/>
          </reference>
        </references>
      </pivotArea>
    </format>
    <format dxfId="6660">
      <pivotArea dataOnly="0" labelOnly="1" outline="0" fieldPosition="0">
        <references count="3">
          <reference field="11" count="1" selected="0">
            <x v="240"/>
          </reference>
          <reference field="14" count="1" selected="0">
            <x v="201"/>
          </reference>
          <reference field="18" count="1" defaultSubtotal="1">
            <x v="7"/>
          </reference>
        </references>
      </pivotArea>
    </format>
    <format dxfId="6659">
      <pivotArea dataOnly="0" labelOnly="1" outline="0" fieldPosition="0">
        <references count="3">
          <reference field="11" count="1" selected="0">
            <x v="241"/>
          </reference>
          <reference field="14" count="1" selected="0">
            <x v="262"/>
          </reference>
          <reference field="18" count="1">
            <x v="2"/>
          </reference>
        </references>
      </pivotArea>
    </format>
    <format dxfId="6658">
      <pivotArea dataOnly="0" labelOnly="1" outline="0" fieldPosition="0">
        <references count="3">
          <reference field="11" count="1" selected="0">
            <x v="241"/>
          </reference>
          <reference field="14" count="1" selected="0">
            <x v="262"/>
          </reference>
          <reference field="18" count="1" defaultSubtotal="1">
            <x v="2"/>
          </reference>
        </references>
      </pivotArea>
    </format>
    <format dxfId="6657">
      <pivotArea dataOnly="0" labelOnly="1" outline="0" fieldPosition="0">
        <references count="3">
          <reference field="11" count="1" selected="0">
            <x v="242"/>
          </reference>
          <reference field="14" count="1" selected="0">
            <x v="91"/>
          </reference>
          <reference field="18" count="1">
            <x v="3"/>
          </reference>
        </references>
      </pivotArea>
    </format>
    <format dxfId="6656">
      <pivotArea dataOnly="0" labelOnly="1" outline="0" fieldPosition="0">
        <references count="3">
          <reference field="11" count="1" selected="0">
            <x v="242"/>
          </reference>
          <reference field="14" count="1" selected="0">
            <x v="91"/>
          </reference>
          <reference field="18" count="1" defaultSubtotal="1">
            <x v="3"/>
          </reference>
        </references>
      </pivotArea>
    </format>
    <format dxfId="6655">
      <pivotArea dataOnly="0" labelOnly="1" outline="0" fieldPosition="0">
        <references count="3">
          <reference field="11" count="1" selected="0">
            <x v="243"/>
          </reference>
          <reference field="14" count="1" selected="0">
            <x v="264"/>
          </reference>
          <reference field="18" count="1">
            <x v="2"/>
          </reference>
        </references>
      </pivotArea>
    </format>
    <format dxfId="6654">
      <pivotArea dataOnly="0" labelOnly="1" outline="0" fieldPosition="0">
        <references count="3">
          <reference field="11" count="1" selected="0">
            <x v="243"/>
          </reference>
          <reference field="14" count="1" selected="0">
            <x v="264"/>
          </reference>
          <reference field="18" count="1" defaultSubtotal="1">
            <x v="2"/>
          </reference>
        </references>
      </pivotArea>
    </format>
    <format dxfId="6653">
      <pivotArea dataOnly="0" labelOnly="1" outline="0" fieldPosition="0">
        <references count="3">
          <reference field="11" count="1" selected="0">
            <x v="244"/>
          </reference>
          <reference field="14" count="1" selected="0">
            <x v="222"/>
          </reference>
          <reference field="18" count="1">
            <x v="2"/>
          </reference>
        </references>
      </pivotArea>
    </format>
    <format dxfId="6652">
      <pivotArea dataOnly="0" labelOnly="1" outline="0" fieldPosition="0">
        <references count="3">
          <reference field="11" count="1" selected="0">
            <x v="244"/>
          </reference>
          <reference field="14" count="1" selected="0">
            <x v="222"/>
          </reference>
          <reference field="18" count="1" defaultSubtotal="1">
            <x v="2"/>
          </reference>
        </references>
      </pivotArea>
    </format>
    <format dxfId="6651">
      <pivotArea dataOnly="0" labelOnly="1" outline="0" fieldPosition="0">
        <references count="3">
          <reference field="11" count="1" selected="0">
            <x v="245"/>
          </reference>
          <reference field="14" count="1" selected="0">
            <x v="131"/>
          </reference>
          <reference field="18" count="1">
            <x v="2"/>
          </reference>
        </references>
      </pivotArea>
    </format>
    <format dxfId="6650">
      <pivotArea dataOnly="0" labelOnly="1" outline="0" fieldPosition="0">
        <references count="3">
          <reference field="11" count="1" selected="0">
            <x v="245"/>
          </reference>
          <reference field="14" count="1" selected="0">
            <x v="131"/>
          </reference>
          <reference field="18" count="1" defaultSubtotal="1">
            <x v="2"/>
          </reference>
        </references>
      </pivotArea>
    </format>
    <format dxfId="6649">
      <pivotArea dataOnly="0" labelOnly="1" outline="0" fieldPosition="0">
        <references count="3">
          <reference field="11" count="1" selected="0">
            <x v="246"/>
          </reference>
          <reference field="14" count="1" selected="0">
            <x v="418"/>
          </reference>
          <reference field="18" count="1">
            <x v="2"/>
          </reference>
        </references>
      </pivotArea>
    </format>
    <format dxfId="6648">
      <pivotArea dataOnly="0" labelOnly="1" outline="0" fieldPosition="0">
        <references count="3">
          <reference field="11" count="1" selected="0">
            <x v="246"/>
          </reference>
          <reference field="14" count="1" selected="0">
            <x v="418"/>
          </reference>
          <reference field="18" count="1" defaultSubtotal="1">
            <x v="2"/>
          </reference>
        </references>
      </pivotArea>
    </format>
    <format dxfId="6647">
      <pivotArea dataOnly="0" labelOnly="1" outline="0" fieldPosition="0">
        <references count="3">
          <reference field="11" count="1" selected="0">
            <x v="247"/>
          </reference>
          <reference field="14" count="1" selected="0">
            <x v="406"/>
          </reference>
          <reference field="18" count="1">
            <x v="2"/>
          </reference>
        </references>
      </pivotArea>
    </format>
    <format dxfId="6646">
      <pivotArea dataOnly="0" labelOnly="1" outline="0" fieldPosition="0">
        <references count="3">
          <reference field="11" count="1" selected="0">
            <x v="247"/>
          </reference>
          <reference field="14" count="1" selected="0">
            <x v="406"/>
          </reference>
          <reference field="18" count="1" defaultSubtotal="1">
            <x v="2"/>
          </reference>
        </references>
      </pivotArea>
    </format>
    <format dxfId="6645">
      <pivotArea dataOnly="0" labelOnly="1" outline="0" fieldPosition="0">
        <references count="3">
          <reference field="11" count="1" selected="0">
            <x v="248"/>
          </reference>
          <reference field="14" count="1" selected="0">
            <x v="404"/>
          </reference>
          <reference field="18" count="1">
            <x v="2"/>
          </reference>
        </references>
      </pivotArea>
    </format>
    <format dxfId="6644">
      <pivotArea dataOnly="0" labelOnly="1" outline="0" fieldPosition="0">
        <references count="3">
          <reference field="11" count="1" selected="0">
            <x v="248"/>
          </reference>
          <reference field="14" count="1" selected="0">
            <x v="404"/>
          </reference>
          <reference field="18" count="1" defaultSubtotal="1">
            <x v="2"/>
          </reference>
        </references>
      </pivotArea>
    </format>
    <format dxfId="6643">
      <pivotArea dataOnly="0" labelOnly="1" outline="0" fieldPosition="0">
        <references count="3">
          <reference field="11" count="1" selected="0">
            <x v="249"/>
          </reference>
          <reference field="14" count="1" selected="0">
            <x v="402"/>
          </reference>
          <reference field="18" count="1">
            <x v="2"/>
          </reference>
        </references>
      </pivotArea>
    </format>
    <format dxfId="6642">
      <pivotArea dataOnly="0" labelOnly="1" outline="0" fieldPosition="0">
        <references count="3">
          <reference field="11" count="1" selected="0">
            <x v="249"/>
          </reference>
          <reference field="14" count="1" selected="0">
            <x v="402"/>
          </reference>
          <reference field="18" count="1" defaultSubtotal="1">
            <x v="2"/>
          </reference>
        </references>
      </pivotArea>
    </format>
    <format dxfId="6641">
      <pivotArea dataOnly="0" labelOnly="1" outline="0" fieldPosition="0">
        <references count="3">
          <reference field="11" count="1" selected="0">
            <x v="250"/>
          </reference>
          <reference field="14" count="1" selected="0">
            <x v="128"/>
          </reference>
          <reference field="18" count="1">
            <x v="2"/>
          </reference>
        </references>
      </pivotArea>
    </format>
    <format dxfId="6640">
      <pivotArea dataOnly="0" labelOnly="1" outline="0" fieldPosition="0">
        <references count="3">
          <reference field="11" count="1" selected="0">
            <x v="250"/>
          </reference>
          <reference field="14" count="1" selected="0">
            <x v="128"/>
          </reference>
          <reference field="18" count="1" defaultSubtotal="1">
            <x v="2"/>
          </reference>
        </references>
      </pivotArea>
    </format>
    <format dxfId="6639">
      <pivotArea dataOnly="0" labelOnly="1" outline="0" fieldPosition="0">
        <references count="3">
          <reference field="11" count="1" selected="0">
            <x v="251"/>
          </reference>
          <reference field="14" count="1" selected="0">
            <x v="405"/>
          </reference>
          <reference field="18" count="1">
            <x v="2"/>
          </reference>
        </references>
      </pivotArea>
    </format>
    <format dxfId="6638">
      <pivotArea dataOnly="0" labelOnly="1" outline="0" fieldPosition="0">
        <references count="3">
          <reference field="11" count="1" selected="0">
            <x v="251"/>
          </reference>
          <reference field="14" count="1" selected="0">
            <x v="405"/>
          </reference>
          <reference field="18" count="1" defaultSubtotal="1">
            <x v="2"/>
          </reference>
        </references>
      </pivotArea>
    </format>
    <format dxfId="6637">
      <pivotArea dataOnly="0" labelOnly="1" outline="0" fieldPosition="0">
        <references count="3">
          <reference field="11" count="1" selected="0">
            <x v="252"/>
          </reference>
          <reference field="14" count="1" selected="0">
            <x v="86"/>
          </reference>
          <reference field="18" count="1">
            <x v="1"/>
          </reference>
        </references>
      </pivotArea>
    </format>
    <format dxfId="6636">
      <pivotArea dataOnly="0" labelOnly="1" outline="0" fieldPosition="0">
        <references count="3">
          <reference field="11" count="1" selected="0">
            <x v="252"/>
          </reference>
          <reference field="14" count="1" selected="0">
            <x v="86"/>
          </reference>
          <reference field="18" count="1" defaultSubtotal="1">
            <x v="1"/>
          </reference>
        </references>
      </pivotArea>
    </format>
    <format dxfId="6635">
      <pivotArea dataOnly="0" labelOnly="1" outline="0" fieldPosition="0">
        <references count="3">
          <reference field="11" count="1" selected="0">
            <x v="253"/>
          </reference>
          <reference field="14" count="1" selected="0">
            <x v="136"/>
          </reference>
          <reference field="18" count="1">
            <x v="4"/>
          </reference>
        </references>
      </pivotArea>
    </format>
    <format dxfId="6634">
      <pivotArea dataOnly="0" labelOnly="1" outline="0" fieldPosition="0">
        <references count="3">
          <reference field="11" count="1" selected="0">
            <x v="253"/>
          </reference>
          <reference field="14" count="1" selected="0">
            <x v="136"/>
          </reference>
          <reference field="18" count="1" defaultSubtotal="1">
            <x v="4"/>
          </reference>
        </references>
      </pivotArea>
    </format>
    <format dxfId="6633">
      <pivotArea dataOnly="0" labelOnly="1" outline="0" fieldPosition="0">
        <references count="3">
          <reference field="11" count="1" selected="0">
            <x v="254"/>
          </reference>
          <reference field="14" count="1" selected="0">
            <x v="181"/>
          </reference>
          <reference field="18" count="1">
            <x v="14"/>
          </reference>
        </references>
      </pivotArea>
    </format>
    <format dxfId="6632">
      <pivotArea dataOnly="0" labelOnly="1" outline="0" fieldPosition="0">
        <references count="3">
          <reference field="11" count="1" selected="0">
            <x v="254"/>
          </reference>
          <reference field="14" count="1" selected="0">
            <x v="181"/>
          </reference>
          <reference field="18" count="1" defaultSubtotal="1">
            <x v="14"/>
          </reference>
        </references>
      </pivotArea>
    </format>
    <format dxfId="6631">
      <pivotArea dataOnly="0" labelOnly="1" outline="0" fieldPosition="0">
        <references count="3">
          <reference field="11" count="1" selected="0">
            <x v="255"/>
          </reference>
          <reference field="14" count="1" selected="0">
            <x v="263"/>
          </reference>
          <reference field="18" count="1">
            <x v="2"/>
          </reference>
        </references>
      </pivotArea>
    </format>
    <format dxfId="6630">
      <pivotArea dataOnly="0" labelOnly="1" outline="0" fieldPosition="0">
        <references count="3">
          <reference field="11" count="1" selected="0">
            <x v="255"/>
          </reference>
          <reference field="14" count="1" selected="0">
            <x v="263"/>
          </reference>
          <reference field="18" count="1" defaultSubtotal="1">
            <x v="2"/>
          </reference>
        </references>
      </pivotArea>
    </format>
    <format dxfId="6629">
      <pivotArea dataOnly="0" labelOnly="1" outline="0" fieldPosition="0">
        <references count="3">
          <reference field="11" count="1" selected="0">
            <x v="256"/>
          </reference>
          <reference field="14" count="1" selected="0">
            <x v="133"/>
          </reference>
          <reference field="18" count="1">
            <x v="2"/>
          </reference>
        </references>
      </pivotArea>
    </format>
    <format dxfId="6628">
      <pivotArea dataOnly="0" labelOnly="1" outline="0" fieldPosition="0">
        <references count="3">
          <reference field="11" count="1" selected="0">
            <x v="256"/>
          </reference>
          <reference field="14" count="1" selected="0">
            <x v="133"/>
          </reference>
          <reference field="18" count="1" defaultSubtotal="1">
            <x v="2"/>
          </reference>
        </references>
      </pivotArea>
    </format>
    <format dxfId="6627">
      <pivotArea dataOnly="0" labelOnly="1" outline="0" fieldPosition="0">
        <references count="3">
          <reference field="11" count="1" selected="0">
            <x v="257"/>
          </reference>
          <reference field="14" count="1" selected="0">
            <x v="187"/>
          </reference>
          <reference field="18" count="1">
            <x v="2"/>
          </reference>
        </references>
      </pivotArea>
    </format>
    <format dxfId="6626">
      <pivotArea dataOnly="0" labelOnly="1" outline="0" fieldPosition="0">
        <references count="3">
          <reference field="11" count="1" selected="0">
            <x v="257"/>
          </reference>
          <reference field="14" count="1" selected="0">
            <x v="187"/>
          </reference>
          <reference field="18" count="1" defaultSubtotal="1">
            <x v="2"/>
          </reference>
        </references>
      </pivotArea>
    </format>
    <format dxfId="6625">
      <pivotArea dataOnly="0" labelOnly="1" outline="0" fieldPosition="0">
        <references count="3">
          <reference field="11" count="1" selected="0">
            <x v="258"/>
          </reference>
          <reference field="14" count="1" selected="0">
            <x v="417"/>
          </reference>
          <reference field="18" count="1">
            <x v="0"/>
          </reference>
        </references>
      </pivotArea>
    </format>
    <format dxfId="6624">
      <pivotArea dataOnly="0" labelOnly="1" outline="0" fieldPosition="0">
        <references count="3">
          <reference field="11" count="1" selected="0">
            <x v="258"/>
          </reference>
          <reference field="14" count="1" selected="0">
            <x v="417"/>
          </reference>
          <reference field="18" count="1" defaultSubtotal="1">
            <x v="0"/>
          </reference>
        </references>
      </pivotArea>
    </format>
    <format dxfId="6623">
      <pivotArea dataOnly="0" labelOnly="1" outline="0" fieldPosition="0">
        <references count="3">
          <reference field="11" count="1" selected="0">
            <x v="259"/>
          </reference>
          <reference field="14" count="1" selected="0">
            <x v="371"/>
          </reference>
          <reference field="18" count="1">
            <x v="16"/>
          </reference>
        </references>
      </pivotArea>
    </format>
    <format dxfId="6622">
      <pivotArea dataOnly="0" labelOnly="1" outline="0" fieldPosition="0">
        <references count="3">
          <reference field="11" count="1" selected="0">
            <x v="259"/>
          </reference>
          <reference field="14" count="1" selected="0">
            <x v="371"/>
          </reference>
          <reference field="18" count="1" defaultSubtotal="1">
            <x v="16"/>
          </reference>
        </references>
      </pivotArea>
    </format>
    <format dxfId="6621">
      <pivotArea dataOnly="0" labelOnly="1" outline="0" fieldPosition="0">
        <references count="3">
          <reference field="11" count="1" selected="0">
            <x v="260"/>
          </reference>
          <reference field="14" count="1" selected="0">
            <x v="157"/>
          </reference>
          <reference field="18" count="1">
            <x v="2"/>
          </reference>
        </references>
      </pivotArea>
    </format>
    <format dxfId="6620">
      <pivotArea dataOnly="0" labelOnly="1" outline="0" fieldPosition="0">
        <references count="3">
          <reference field="11" count="1" selected="0">
            <x v="260"/>
          </reference>
          <reference field="14" count="1" selected="0">
            <x v="157"/>
          </reference>
          <reference field="18" count="1" defaultSubtotal="1">
            <x v="2"/>
          </reference>
        </references>
      </pivotArea>
    </format>
    <format dxfId="6619">
      <pivotArea dataOnly="0" labelOnly="1" outline="0" fieldPosition="0">
        <references count="3">
          <reference field="11" count="1" selected="0">
            <x v="261"/>
          </reference>
          <reference field="14" count="1" selected="0">
            <x v="223"/>
          </reference>
          <reference field="18" count="2">
            <x v="0"/>
            <x v="2"/>
          </reference>
        </references>
      </pivotArea>
    </format>
    <format dxfId="6618">
      <pivotArea dataOnly="0" labelOnly="1" outline="0" fieldPosition="0">
        <references count="3">
          <reference field="11" count="1" selected="0">
            <x v="261"/>
          </reference>
          <reference field="14" count="1" selected="0">
            <x v="223"/>
          </reference>
          <reference field="18" count="2" defaultSubtotal="1">
            <x v="0"/>
            <x v="2"/>
          </reference>
        </references>
      </pivotArea>
    </format>
    <format dxfId="6617">
      <pivotArea dataOnly="0" labelOnly="1" outline="0" fieldPosition="0">
        <references count="3">
          <reference field="11" count="1" selected="0">
            <x v="262"/>
          </reference>
          <reference field="14" count="1" selected="0">
            <x v="311"/>
          </reference>
          <reference field="18" count="1">
            <x v="19"/>
          </reference>
        </references>
      </pivotArea>
    </format>
    <format dxfId="6616">
      <pivotArea dataOnly="0" labelOnly="1" outline="0" fieldPosition="0">
        <references count="3">
          <reference field="11" count="1" selected="0">
            <x v="262"/>
          </reference>
          <reference field="14" count="1" selected="0">
            <x v="311"/>
          </reference>
          <reference field="18" count="1" defaultSubtotal="1">
            <x v="19"/>
          </reference>
        </references>
      </pivotArea>
    </format>
    <format dxfId="6615">
      <pivotArea dataOnly="0" labelOnly="1" outline="0" fieldPosition="0">
        <references count="3">
          <reference field="11" count="1" selected="0">
            <x v="263"/>
          </reference>
          <reference field="14" count="1" selected="0">
            <x v="114"/>
          </reference>
          <reference field="18" count="1">
            <x v="6"/>
          </reference>
        </references>
      </pivotArea>
    </format>
    <format dxfId="6614">
      <pivotArea dataOnly="0" labelOnly="1" outline="0" fieldPosition="0">
        <references count="3">
          <reference field="11" count="1" selected="0">
            <x v="263"/>
          </reference>
          <reference field="14" count="1" selected="0">
            <x v="114"/>
          </reference>
          <reference field="18" count="1" defaultSubtotal="1">
            <x v="6"/>
          </reference>
        </references>
      </pivotArea>
    </format>
    <format dxfId="6613">
      <pivotArea dataOnly="0" labelOnly="1" outline="0" fieldPosition="0">
        <references count="3">
          <reference field="11" count="1" selected="0">
            <x v="264"/>
          </reference>
          <reference field="14" count="1" selected="0">
            <x v="154"/>
          </reference>
          <reference field="18" count="1">
            <x v="2"/>
          </reference>
        </references>
      </pivotArea>
    </format>
    <format dxfId="6612">
      <pivotArea dataOnly="0" labelOnly="1" outline="0" fieldPosition="0">
        <references count="3">
          <reference field="11" count="1" selected="0">
            <x v="264"/>
          </reference>
          <reference field="14" count="1" selected="0">
            <x v="154"/>
          </reference>
          <reference field="18" count="1" defaultSubtotal="1">
            <x v="2"/>
          </reference>
        </references>
      </pivotArea>
    </format>
    <format dxfId="6611">
      <pivotArea dataOnly="0" labelOnly="1" outline="0" fieldPosition="0">
        <references count="3">
          <reference field="11" count="1" selected="0">
            <x v="265"/>
          </reference>
          <reference field="14" count="1" selected="0">
            <x v="166"/>
          </reference>
          <reference field="18" count="1">
            <x v="2"/>
          </reference>
        </references>
      </pivotArea>
    </format>
    <format dxfId="6610">
      <pivotArea dataOnly="0" labelOnly="1" outline="0" fieldPosition="0">
        <references count="3">
          <reference field="11" count="1" selected="0">
            <x v="265"/>
          </reference>
          <reference field="14" count="1" selected="0">
            <x v="166"/>
          </reference>
          <reference field="18" count="1" defaultSubtotal="1">
            <x v="2"/>
          </reference>
        </references>
      </pivotArea>
    </format>
    <format dxfId="6609">
      <pivotArea dataOnly="0" labelOnly="1" outline="0" fieldPosition="0">
        <references count="3">
          <reference field="11" count="1" selected="0">
            <x v="266"/>
          </reference>
          <reference field="14" count="1" selected="0">
            <x v="152"/>
          </reference>
          <reference field="18" count="1">
            <x v="2"/>
          </reference>
        </references>
      </pivotArea>
    </format>
    <format dxfId="6608">
      <pivotArea dataOnly="0" labelOnly="1" outline="0" fieldPosition="0">
        <references count="3">
          <reference field="11" count="1" selected="0">
            <x v="266"/>
          </reference>
          <reference field="14" count="1" selected="0">
            <x v="152"/>
          </reference>
          <reference field="18" count="1" defaultSubtotal="1">
            <x v="2"/>
          </reference>
        </references>
      </pivotArea>
    </format>
    <format dxfId="6607">
      <pivotArea dataOnly="0" labelOnly="1" outline="0" fieldPosition="0">
        <references count="3">
          <reference field="11" count="1" selected="0">
            <x v="267"/>
          </reference>
          <reference field="14" count="1" selected="0">
            <x v="374"/>
          </reference>
          <reference field="18" count="2">
            <x v="0"/>
            <x v="2"/>
          </reference>
        </references>
      </pivotArea>
    </format>
    <format dxfId="6606">
      <pivotArea dataOnly="0" labelOnly="1" outline="0" fieldPosition="0">
        <references count="3">
          <reference field="11" count="1" selected="0">
            <x v="267"/>
          </reference>
          <reference field="14" count="1" selected="0">
            <x v="374"/>
          </reference>
          <reference field="18" count="2" defaultSubtotal="1">
            <x v="0"/>
            <x v="2"/>
          </reference>
        </references>
      </pivotArea>
    </format>
    <format dxfId="6605">
      <pivotArea dataOnly="0" labelOnly="1" outline="0" fieldPosition="0">
        <references count="3">
          <reference field="11" count="1" selected="0">
            <x v="268"/>
          </reference>
          <reference field="14" count="1" selected="0">
            <x v="353"/>
          </reference>
          <reference field="18" count="1">
            <x v="2"/>
          </reference>
        </references>
      </pivotArea>
    </format>
    <format dxfId="6604">
      <pivotArea dataOnly="0" labelOnly="1" outline="0" fieldPosition="0">
        <references count="3">
          <reference field="11" count="1" selected="0">
            <x v="268"/>
          </reference>
          <reference field="14" count="1" selected="0">
            <x v="353"/>
          </reference>
          <reference field="18" count="1" defaultSubtotal="1">
            <x v="2"/>
          </reference>
        </references>
      </pivotArea>
    </format>
    <format dxfId="6603">
      <pivotArea dataOnly="0" labelOnly="1" outline="0" fieldPosition="0">
        <references count="3">
          <reference field="11" count="1" selected="0">
            <x v="269"/>
          </reference>
          <reference field="14" count="1" selected="0">
            <x v="124"/>
          </reference>
          <reference field="18" count="1">
            <x v="4"/>
          </reference>
        </references>
      </pivotArea>
    </format>
    <format dxfId="6602">
      <pivotArea dataOnly="0" labelOnly="1" outline="0" fieldPosition="0">
        <references count="3">
          <reference field="11" count="1" selected="0">
            <x v="269"/>
          </reference>
          <reference field="14" count="1" selected="0">
            <x v="124"/>
          </reference>
          <reference field="18" count="1" defaultSubtotal="1">
            <x v="4"/>
          </reference>
        </references>
      </pivotArea>
    </format>
    <format dxfId="6601">
      <pivotArea dataOnly="0" labelOnly="1" outline="0" fieldPosition="0">
        <references count="3">
          <reference field="11" count="1" selected="0">
            <x v="270"/>
          </reference>
          <reference field="14" count="1" selected="0">
            <x v="126"/>
          </reference>
          <reference field="18" count="1">
            <x v="2"/>
          </reference>
        </references>
      </pivotArea>
    </format>
    <format dxfId="6600">
      <pivotArea dataOnly="0" labelOnly="1" outline="0" fieldPosition="0">
        <references count="3">
          <reference field="11" count="1" selected="0">
            <x v="270"/>
          </reference>
          <reference field="14" count="1" selected="0">
            <x v="126"/>
          </reference>
          <reference field="18" count="1" defaultSubtotal="1">
            <x v="2"/>
          </reference>
        </references>
      </pivotArea>
    </format>
    <format dxfId="6599">
      <pivotArea dataOnly="0" labelOnly="1" outline="0" fieldPosition="0">
        <references count="3">
          <reference field="11" count="1" selected="0">
            <x v="271"/>
          </reference>
          <reference field="14" count="1" selected="0">
            <x v="239"/>
          </reference>
          <reference field="18" count="1">
            <x v="19"/>
          </reference>
        </references>
      </pivotArea>
    </format>
    <format dxfId="6598">
      <pivotArea dataOnly="0" labelOnly="1" outline="0" fieldPosition="0">
        <references count="3">
          <reference field="11" count="1" selected="0">
            <x v="271"/>
          </reference>
          <reference field="14" count="1" selected="0">
            <x v="239"/>
          </reference>
          <reference field="18" count="1" defaultSubtotal="1">
            <x v="19"/>
          </reference>
        </references>
      </pivotArea>
    </format>
    <format dxfId="6597">
      <pivotArea dataOnly="0" labelOnly="1" outline="0" fieldPosition="0">
        <references count="3">
          <reference field="11" count="1" selected="0">
            <x v="272"/>
          </reference>
          <reference field="14" count="1" selected="0">
            <x v="42"/>
          </reference>
          <reference field="18" count="1">
            <x v="2"/>
          </reference>
        </references>
      </pivotArea>
    </format>
    <format dxfId="6596">
      <pivotArea dataOnly="0" labelOnly="1" outline="0" fieldPosition="0">
        <references count="3">
          <reference field="11" count="1" selected="0">
            <x v="272"/>
          </reference>
          <reference field="14" count="1" selected="0">
            <x v="42"/>
          </reference>
          <reference field="18" count="1" defaultSubtotal="1">
            <x v="2"/>
          </reference>
        </references>
      </pivotArea>
    </format>
    <format dxfId="6595">
      <pivotArea dataOnly="0" labelOnly="1" outline="0" fieldPosition="0">
        <references count="3">
          <reference field="11" count="1" selected="0">
            <x v="273"/>
          </reference>
          <reference field="14" count="1" selected="0">
            <x v="342"/>
          </reference>
          <reference field="18" count="1">
            <x v="1"/>
          </reference>
        </references>
      </pivotArea>
    </format>
    <format dxfId="6594">
      <pivotArea dataOnly="0" labelOnly="1" outline="0" fieldPosition="0">
        <references count="3">
          <reference field="11" count="1" selected="0">
            <x v="273"/>
          </reference>
          <reference field="14" count="1" selected="0">
            <x v="342"/>
          </reference>
          <reference field="18" count="1" defaultSubtotal="1">
            <x v="1"/>
          </reference>
        </references>
      </pivotArea>
    </format>
    <format dxfId="6593">
      <pivotArea dataOnly="0" labelOnly="1" outline="0" fieldPosition="0">
        <references count="3">
          <reference field="11" count="1" selected="0">
            <x v="274"/>
          </reference>
          <reference field="14" count="1" selected="0">
            <x v="372"/>
          </reference>
          <reference field="18" count="1">
            <x v="15"/>
          </reference>
        </references>
      </pivotArea>
    </format>
    <format dxfId="6592">
      <pivotArea dataOnly="0" labelOnly="1" outline="0" fieldPosition="0">
        <references count="3">
          <reference field="11" count="1" selected="0">
            <x v="274"/>
          </reference>
          <reference field="14" count="1" selected="0">
            <x v="372"/>
          </reference>
          <reference field="18" count="1" defaultSubtotal="1">
            <x v="15"/>
          </reference>
        </references>
      </pivotArea>
    </format>
    <format dxfId="6591">
      <pivotArea dataOnly="0" labelOnly="1" outline="0" fieldPosition="0">
        <references count="3">
          <reference field="11" count="1" selected="0">
            <x v="275"/>
          </reference>
          <reference field="14" count="1" selected="0">
            <x v="51"/>
          </reference>
          <reference field="18" count="1">
            <x v="4"/>
          </reference>
        </references>
      </pivotArea>
    </format>
    <format dxfId="6590">
      <pivotArea dataOnly="0" labelOnly="1" outline="0" fieldPosition="0">
        <references count="3">
          <reference field="11" count="1" selected="0">
            <x v="275"/>
          </reference>
          <reference field="14" count="1" selected="0">
            <x v="51"/>
          </reference>
          <reference field="18" count="1" defaultSubtotal="1">
            <x v="4"/>
          </reference>
        </references>
      </pivotArea>
    </format>
    <format dxfId="6589">
      <pivotArea dataOnly="0" labelOnly="1" outline="0" fieldPosition="0">
        <references count="3">
          <reference field="11" count="1" selected="0">
            <x v="276"/>
          </reference>
          <reference field="14" count="1" selected="0">
            <x v="290"/>
          </reference>
          <reference field="18" count="1">
            <x v="0"/>
          </reference>
        </references>
      </pivotArea>
    </format>
    <format dxfId="6588">
      <pivotArea dataOnly="0" labelOnly="1" outline="0" fieldPosition="0">
        <references count="3">
          <reference field="11" count="1" selected="0">
            <x v="276"/>
          </reference>
          <reference field="14" count="1" selected="0">
            <x v="290"/>
          </reference>
          <reference field="18" count="1" defaultSubtotal="1">
            <x v="0"/>
          </reference>
        </references>
      </pivotArea>
    </format>
    <format dxfId="6587">
      <pivotArea dataOnly="0" labelOnly="1" outline="0" fieldPosition="0">
        <references count="3">
          <reference field="11" count="1" selected="0">
            <x v="277"/>
          </reference>
          <reference field="14" count="1" selected="0">
            <x v="180"/>
          </reference>
          <reference field="18" count="1">
            <x v="16"/>
          </reference>
        </references>
      </pivotArea>
    </format>
    <format dxfId="6586">
      <pivotArea dataOnly="0" labelOnly="1" outline="0" fieldPosition="0">
        <references count="3">
          <reference field="11" count="1" selected="0">
            <x v="277"/>
          </reference>
          <reference field="14" count="1" selected="0">
            <x v="180"/>
          </reference>
          <reference field="18" count="1" defaultSubtotal="1">
            <x v="16"/>
          </reference>
        </references>
      </pivotArea>
    </format>
    <format dxfId="6585">
      <pivotArea dataOnly="0" labelOnly="1" outline="0" fieldPosition="0">
        <references count="3">
          <reference field="11" count="1" selected="0">
            <x v="278"/>
          </reference>
          <reference field="14" count="1" selected="0">
            <x v="164"/>
          </reference>
          <reference field="18" count="1">
            <x v="2"/>
          </reference>
        </references>
      </pivotArea>
    </format>
    <format dxfId="6584">
      <pivotArea dataOnly="0" labelOnly="1" outline="0" fieldPosition="0">
        <references count="3">
          <reference field="11" count="1" selected="0">
            <x v="278"/>
          </reference>
          <reference field="14" count="1" selected="0">
            <x v="164"/>
          </reference>
          <reference field="18" count="1" defaultSubtotal="1">
            <x v="2"/>
          </reference>
        </references>
      </pivotArea>
    </format>
    <format dxfId="6583">
      <pivotArea dataOnly="0" labelOnly="1" outline="0" fieldPosition="0">
        <references count="3">
          <reference field="11" count="1" selected="0">
            <x v="279"/>
          </reference>
          <reference field="14" count="1" selected="0">
            <x v="153"/>
          </reference>
          <reference field="18" count="1">
            <x v="2"/>
          </reference>
        </references>
      </pivotArea>
    </format>
    <format dxfId="6582">
      <pivotArea dataOnly="0" labelOnly="1" outline="0" fieldPosition="0">
        <references count="3">
          <reference field="11" count="1" selected="0">
            <x v="279"/>
          </reference>
          <reference field="14" count="1" selected="0">
            <x v="153"/>
          </reference>
          <reference field="18" count="1" defaultSubtotal="1">
            <x v="2"/>
          </reference>
        </references>
      </pivotArea>
    </format>
    <format dxfId="6581">
      <pivotArea dataOnly="0" labelOnly="1" outline="0" fieldPosition="0">
        <references count="3">
          <reference field="11" count="1" selected="0">
            <x v="280"/>
          </reference>
          <reference field="14" count="1" selected="0">
            <x v="373"/>
          </reference>
          <reference field="18" count="2">
            <x v="1"/>
            <x v="11"/>
          </reference>
        </references>
      </pivotArea>
    </format>
    <format dxfId="6580">
      <pivotArea dataOnly="0" labelOnly="1" outline="0" fieldPosition="0">
        <references count="3">
          <reference field="11" count="1" selected="0">
            <x v="280"/>
          </reference>
          <reference field="14" count="1" selected="0">
            <x v="373"/>
          </reference>
          <reference field="18" count="2" defaultSubtotal="1">
            <x v="1"/>
            <x v="11"/>
          </reference>
        </references>
      </pivotArea>
    </format>
    <format dxfId="6579">
      <pivotArea dataOnly="0" labelOnly="1" outline="0" fieldPosition="0">
        <references count="3">
          <reference field="11" count="1" selected="0">
            <x v="281"/>
          </reference>
          <reference field="14" count="1" selected="0">
            <x v="165"/>
          </reference>
          <reference field="18" count="1">
            <x v="2"/>
          </reference>
        </references>
      </pivotArea>
    </format>
    <format dxfId="6578">
      <pivotArea dataOnly="0" labelOnly="1" outline="0" fieldPosition="0">
        <references count="3">
          <reference field="11" count="1" selected="0">
            <x v="281"/>
          </reference>
          <reference field="14" count="1" selected="0">
            <x v="165"/>
          </reference>
          <reference field="18" count="1" defaultSubtotal="1">
            <x v="2"/>
          </reference>
        </references>
      </pivotArea>
    </format>
    <format dxfId="6577">
      <pivotArea dataOnly="0" labelOnly="1" outline="0" fieldPosition="0">
        <references count="3">
          <reference field="11" count="1" selected="0">
            <x v="282"/>
          </reference>
          <reference field="14" count="1" selected="0">
            <x v="357"/>
          </reference>
          <reference field="18" count="1">
            <x v="0"/>
          </reference>
        </references>
      </pivotArea>
    </format>
    <format dxfId="6576">
      <pivotArea dataOnly="0" labelOnly="1" outline="0" fieldPosition="0">
        <references count="3">
          <reference field="11" count="1" selected="0">
            <x v="282"/>
          </reference>
          <reference field="14" count="1" selected="0">
            <x v="357"/>
          </reference>
          <reference field="18" count="1" defaultSubtotal="1">
            <x v="0"/>
          </reference>
        </references>
      </pivotArea>
    </format>
    <format dxfId="6575">
      <pivotArea dataOnly="0" labelOnly="1" outline="0" fieldPosition="0">
        <references count="3">
          <reference field="11" count="1" selected="0">
            <x v="283"/>
          </reference>
          <reference field="14" count="1" selected="0">
            <x v="162"/>
          </reference>
          <reference field="18" count="1">
            <x v="2"/>
          </reference>
        </references>
      </pivotArea>
    </format>
    <format dxfId="6574">
      <pivotArea dataOnly="0" labelOnly="1" outline="0" fieldPosition="0">
        <references count="3">
          <reference field="11" count="1" selected="0">
            <x v="283"/>
          </reference>
          <reference field="14" count="1" selected="0">
            <x v="162"/>
          </reference>
          <reference field="18" count="1" defaultSubtotal="1">
            <x v="2"/>
          </reference>
        </references>
      </pivotArea>
    </format>
    <format dxfId="6573">
      <pivotArea dataOnly="0" labelOnly="1" outline="0" fieldPosition="0">
        <references count="3">
          <reference field="11" count="1" selected="0">
            <x v="284"/>
          </reference>
          <reference field="14" count="1" selected="0">
            <x v="149"/>
          </reference>
          <reference field="18" count="1">
            <x v="14"/>
          </reference>
        </references>
      </pivotArea>
    </format>
    <format dxfId="6572">
      <pivotArea dataOnly="0" labelOnly="1" outline="0" fieldPosition="0">
        <references count="3">
          <reference field="11" count="1" selected="0">
            <x v="284"/>
          </reference>
          <reference field="14" count="1" selected="0">
            <x v="149"/>
          </reference>
          <reference field="18" count="1" defaultSubtotal="1">
            <x v="14"/>
          </reference>
        </references>
      </pivotArea>
    </format>
    <format dxfId="6571">
      <pivotArea dataOnly="0" labelOnly="1" outline="0" fieldPosition="0">
        <references count="3">
          <reference field="11" count="1" selected="0">
            <x v="285"/>
          </reference>
          <reference field="14" count="1" selected="0">
            <x v="365"/>
          </reference>
          <reference field="18" count="1">
            <x v="3"/>
          </reference>
        </references>
      </pivotArea>
    </format>
    <format dxfId="6570">
      <pivotArea dataOnly="0" labelOnly="1" outline="0" fieldPosition="0">
        <references count="3">
          <reference field="11" count="1" selected="0">
            <x v="285"/>
          </reference>
          <reference field="14" count="1" selected="0">
            <x v="365"/>
          </reference>
          <reference field="18" count="1" defaultSubtotal="1">
            <x v="3"/>
          </reference>
        </references>
      </pivotArea>
    </format>
    <format dxfId="6569">
      <pivotArea dataOnly="0" labelOnly="1" outline="0" fieldPosition="0">
        <references count="3">
          <reference field="11" count="1" selected="0">
            <x v="286"/>
          </reference>
          <reference field="14" count="1" selected="0">
            <x v="217"/>
          </reference>
          <reference field="18" count="1">
            <x v="14"/>
          </reference>
        </references>
      </pivotArea>
    </format>
    <format dxfId="6568">
      <pivotArea dataOnly="0" labelOnly="1" outline="0" fieldPosition="0">
        <references count="3">
          <reference field="11" count="1" selected="0">
            <x v="286"/>
          </reference>
          <reference field="14" count="1" selected="0">
            <x v="217"/>
          </reference>
          <reference field="18" count="1" defaultSubtotal="1">
            <x v="14"/>
          </reference>
        </references>
      </pivotArea>
    </format>
    <format dxfId="6567">
      <pivotArea dataOnly="0" labelOnly="1" outline="0" fieldPosition="0">
        <references count="3">
          <reference field="11" count="1" selected="0">
            <x v="287"/>
          </reference>
          <reference field="14" count="1" selected="0">
            <x v="197"/>
          </reference>
          <reference field="18" count="1">
            <x v="2"/>
          </reference>
        </references>
      </pivotArea>
    </format>
    <format dxfId="6566">
      <pivotArea dataOnly="0" labelOnly="1" outline="0" fieldPosition="0">
        <references count="3">
          <reference field="11" count="1" selected="0">
            <x v="287"/>
          </reference>
          <reference field="14" count="1" selected="0">
            <x v="197"/>
          </reference>
          <reference field="18" count="1" defaultSubtotal="1">
            <x v="2"/>
          </reference>
        </references>
      </pivotArea>
    </format>
    <format dxfId="6565">
      <pivotArea dataOnly="0" labelOnly="1" outline="0" fieldPosition="0">
        <references count="3">
          <reference field="11" count="1" selected="0">
            <x v="288"/>
          </reference>
          <reference field="14" count="1" selected="0">
            <x v="389"/>
          </reference>
          <reference field="18" count="1">
            <x v="2"/>
          </reference>
        </references>
      </pivotArea>
    </format>
    <format dxfId="6564">
      <pivotArea dataOnly="0" labelOnly="1" outline="0" fieldPosition="0">
        <references count="3">
          <reference field="11" count="1" selected="0">
            <x v="288"/>
          </reference>
          <reference field="14" count="1" selected="0">
            <x v="389"/>
          </reference>
          <reference field="18" count="1" defaultSubtotal="1">
            <x v="2"/>
          </reference>
        </references>
      </pivotArea>
    </format>
    <format dxfId="6563">
      <pivotArea dataOnly="0" labelOnly="1" outline="0" fieldPosition="0">
        <references count="3">
          <reference field="11" count="1" selected="0">
            <x v="289"/>
          </reference>
          <reference field="14" count="1" selected="0">
            <x v="171"/>
          </reference>
          <reference field="18" count="1">
            <x v="2"/>
          </reference>
        </references>
      </pivotArea>
    </format>
    <format dxfId="6562">
      <pivotArea dataOnly="0" labelOnly="1" outline="0" fieldPosition="0">
        <references count="3">
          <reference field="11" count="1" selected="0">
            <x v="289"/>
          </reference>
          <reference field="14" count="1" selected="0">
            <x v="171"/>
          </reference>
          <reference field="18" count="1" defaultSubtotal="1">
            <x v="2"/>
          </reference>
        </references>
      </pivotArea>
    </format>
    <format dxfId="6561">
      <pivotArea dataOnly="0" labelOnly="1" outline="0" fieldPosition="0">
        <references count="3">
          <reference field="11" count="1" selected="0">
            <x v="290"/>
          </reference>
          <reference field="14" count="1" selected="0">
            <x v="183"/>
          </reference>
          <reference field="18" count="2">
            <x v="3"/>
            <x v="6"/>
          </reference>
        </references>
      </pivotArea>
    </format>
    <format dxfId="6560">
      <pivotArea dataOnly="0" labelOnly="1" outline="0" fieldPosition="0">
        <references count="3">
          <reference field="11" count="1" selected="0">
            <x v="290"/>
          </reference>
          <reference field="14" count="1" selected="0">
            <x v="183"/>
          </reference>
          <reference field="18" count="2" defaultSubtotal="1">
            <x v="3"/>
            <x v="6"/>
          </reference>
        </references>
      </pivotArea>
    </format>
    <format dxfId="6559">
      <pivotArea dataOnly="0" labelOnly="1" outline="0" fieldPosition="0">
        <references count="3">
          <reference field="11" count="1" selected="0">
            <x v="291"/>
          </reference>
          <reference field="14" count="1" selected="0">
            <x v="3"/>
          </reference>
          <reference field="18" count="1">
            <x v="2"/>
          </reference>
        </references>
      </pivotArea>
    </format>
    <format dxfId="6558">
      <pivotArea dataOnly="0" labelOnly="1" outline="0" fieldPosition="0">
        <references count="3">
          <reference field="11" count="1" selected="0">
            <x v="291"/>
          </reference>
          <reference field="14" count="1" selected="0">
            <x v="3"/>
          </reference>
          <reference field="18" count="1" defaultSubtotal="1">
            <x v="2"/>
          </reference>
        </references>
      </pivotArea>
    </format>
    <format dxfId="6557">
      <pivotArea dataOnly="0" labelOnly="1" outline="0" fieldPosition="0">
        <references count="3">
          <reference field="11" count="1" selected="0">
            <x v="292"/>
          </reference>
          <reference field="14" count="1" selected="0">
            <x v="172"/>
          </reference>
          <reference field="18" count="1">
            <x v="2"/>
          </reference>
        </references>
      </pivotArea>
    </format>
    <format dxfId="6556">
      <pivotArea dataOnly="0" labelOnly="1" outline="0" fieldPosition="0">
        <references count="3">
          <reference field="11" count="1" selected="0">
            <x v="292"/>
          </reference>
          <reference field="14" count="1" selected="0">
            <x v="172"/>
          </reference>
          <reference field="18" count="1" defaultSubtotal="1">
            <x v="2"/>
          </reference>
        </references>
      </pivotArea>
    </format>
    <format dxfId="6555">
      <pivotArea dataOnly="0" labelOnly="1" outline="0" fieldPosition="0">
        <references count="3">
          <reference field="11" count="1" selected="0">
            <x v="293"/>
          </reference>
          <reference field="14" count="1" selected="0">
            <x v="168"/>
          </reference>
          <reference field="18" count="1">
            <x v="14"/>
          </reference>
        </references>
      </pivotArea>
    </format>
    <format dxfId="6554">
      <pivotArea dataOnly="0" labelOnly="1" outline="0" fieldPosition="0">
        <references count="3">
          <reference field="11" count="1" selected="0">
            <x v="293"/>
          </reference>
          <reference field="14" count="1" selected="0">
            <x v="168"/>
          </reference>
          <reference field="18" count="1" defaultSubtotal="1">
            <x v="14"/>
          </reference>
        </references>
      </pivotArea>
    </format>
    <format dxfId="6553">
      <pivotArea dataOnly="0" labelOnly="1" outline="0" fieldPosition="0">
        <references count="3">
          <reference field="11" count="1" selected="0">
            <x v="294"/>
          </reference>
          <reference field="14" count="1" selected="0">
            <x v="67"/>
          </reference>
          <reference field="18" count="1">
            <x v="0"/>
          </reference>
        </references>
      </pivotArea>
    </format>
    <format dxfId="6552">
      <pivotArea dataOnly="0" labelOnly="1" outline="0" fieldPosition="0">
        <references count="3">
          <reference field="11" count="1" selected="0">
            <x v="294"/>
          </reference>
          <reference field="14" count="1" selected="0">
            <x v="67"/>
          </reference>
          <reference field="18" count="1" defaultSubtotal="1">
            <x v="0"/>
          </reference>
        </references>
      </pivotArea>
    </format>
    <format dxfId="6551">
      <pivotArea dataOnly="0" labelOnly="1" outline="0" fieldPosition="0">
        <references count="3">
          <reference field="11" count="1" selected="0">
            <x v="295"/>
          </reference>
          <reference field="14" count="1" selected="0">
            <x v="64"/>
          </reference>
          <reference field="18" count="1">
            <x v="1"/>
          </reference>
        </references>
      </pivotArea>
    </format>
    <format dxfId="6550">
      <pivotArea dataOnly="0" labelOnly="1" outline="0" fieldPosition="0">
        <references count="3">
          <reference field="11" count="1" selected="0">
            <x v="295"/>
          </reference>
          <reference field="14" count="1" selected="0">
            <x v="64"/>
          </reference>
          <reference field="18" count="1" defaultSubtotal="1">
            <x v="1"/>
          </reference>
        </references>
      </pivotArea>
    </format>
    <format dxfId="6549">
      <pivotArea dataOnly="0" labelOnly="1" outline="0" fieldPosition="0">
        <references count="3">
          <reference field="11" count="1" selected="0">
            <x v="296"/>
          </reference>
          <reference field="14" count="1" selected="0">
            <x v="143"/>
          </reference>
          <reference field="18" count="1">
            <x v="3"/>
          </reference>
        </references>
      </pivotArea>
    </format>
    <format dxfId="6548">
      <pivotArea dataOnly="0" labelOnly="1" outline="0" fieldPosition="0">
        <references count="3">
          <reference field="11" count="1" selected="0">
            <x v="296"/>
          </reference>
          <reference field="14" count="1" selected="0">
            <x v="143"/>
          </reference>
          <reference field="18" count="1" defaultSubtotal="1">
            <x v="3"/>
          </reference>
        </references>
      </pivotArea>
    </format>
    <format dxfId="6547">
      <pivotArea dataOnly="0" labelOnly="1" outline="0" fieldPosition="0">
        <references count="3">
          <reference field="11" count="1" selected="0">
            <x v="297"/>
          </reference>
          <reference field="14" count="1" selected="0">
            <x v="34"/>
          </reference>
          <reference field="18" count="1">
            <x v="20"/>
          </reference>
        </references>
      </pivotArea>
    </format>
    <format dxfId="6546">
      <pivotArea dataOnly="0" labelOnly="1" outline="0" fieldPosition="0">
        <references count="3">
          <reference field="11" count="1" selected="0">
            <x v="297"/>
          </reference>
          <reference field="14" count="1" selected="0">
            <x v="34"/>
          </reference>
          <reference field="18" count="1" defaultSubtotal="1">
            <x v="20"/>
          </reference>
        </references>
      </pivotArea>
    </format>
    <format dxfId="6545">
      <pivotArea dataOnly="0" labelOnly="1" outline="0" fieldPosition="0">
        <references count="3">
          <reference field="11" count="1" selected="0">
            <x v="298"/>
          </reference>
          <reference field="14" count="1" selected="0">
            <x v="310"/>
          </reference>
          <reference field="18" count="1">
            <x v="19"/>
          </reference>
        </references>
      </pivotArea>
    </format>
    <format dxfId="6544">
      <pivotArea dataOnly="0" labelOnly="1" outline="0" fieldPosition="0">
        <references count="3">
          <reference field="11" count="1" selected="0">
            <x v="298"/>
          </reference>
          <reference field="14" count="1" selected="0">
            <x v="310"/>
          </reference>
          <reference field="18" count="1" defaultSubtotal="1">
            <x v="19"/>
          </reference>
        </references>
      </pivotArea>
    </format>
    <format dxfId="6543">
      <pivotArea dataOnly="0" labelOnly="1" outline="0" fieldPosition="0">
        <references count="3">
          <reference field="11" count="1" selected="0">
            <x v="299"/>
          </reference>
          <reference field="14" count="1" selected="0">
            <x v="129"/>
          </reference>
          <reference field="18" count="1">
            <x v="2"/>
          </reference>
        </references>
      </pivotArea>
    </format>
    <format dxfId="6542">
      <pivotArea dataOnly="0" labelOnly="1" outline="0" fieldPosition="0">
        <references count="3">
          <reference field="11" count="1" selected="0">
            <x v="299"/>
          </reference>
          <reference field="14" count="1" selected="0">
            <x v="129"/>
          </reference>
          <reference field="18" count="1" defaultSubtotal="1">
            <x v="2"/>
          </reference>
        </references>
      </pivotArea>
    </format>
    <format dxfId="6541">
      <pivotArea dataOnly="0" labelOnly="1" outline="0" fieldPosition="0">
        <references count="3">
          <reference field="11" count="1" selected="0">
            <x v="300"/>
          </reference>
          <reference field="14" count="1" selected="0">
            <x v="393"/>
          </reference>
          <reference field="18" count="1">
            <x v="2"/>
          </reference>
        </references>
      </pivotArea>
    </format>
    <format dxfId="6540">
      <pivotArea dataOnly="0" labelOnly="1" outline="0" fieldPosition="0">
        <references count="3">
          <reference field="11" count="1" selected="0">
            <x v="300"/>
          </reference>
          <reference field="14" count="1" selected="0">
            <x v="393"/>
          </reference>
          <reference field="18" count="1" defaultSubtotal="1">
            <x v="2"/>
          </reference>
        </references>
      </pivotArea>
    </format>
    <format dxfId="6539">
      <pivotArea dataOnly="0" labelOnly="1" outline="0" fieldPosition="0">
        <references count="3">
          <reference field="11" count="1" selected="0">
            <x v="301"/>
          </reference>
          <reference field="14" count="1" selected="0">
            <x v="100"/>
          </reference>
          <reference field="18" count="1">
            <x v="0"/>
          </reference>
        </references>
      </pivotArea>
    </format>
    <format dxfId="6538">
      <pivotArea dataOnly="0" labelOnly="1" outline="0" fieldPosition="0">
        <references count="3">
          <reference field="11" count="1" selected="0">
            <x v="301"/>
          </reference>
          <reference field="14" count="1" selected="0">
            <x v="100"/>
          </reference>
          <reference field="18" count="1" defaultSubtotal="1">
            <x v="0"/>
          </reference>
        </references>
      </pivotArea>
    </format>
    <format dxfId="6537">
      <pivotArea dataOnly="0" labelOnly="1" outline="0" fieldPosition="0">
        <references count="3">
          <reference field="11" count="1" selected="0">
            <x v="302"/>
          </reference>
          <reference field="14" count="1" selected="0">
            <x v="62"/>
          </reference>
          <reference field="18" count="2">
            <x v="0"/>
            <x v="2"/>
          </reference>
        </references>
      </pivotArea>
    </format>
    <format dxfId="6536">
      <pivotArea dataOnly="0" labelOnly="1" outline="0" fieldPosition="0">
        <references count="3">
          <reference field="11" count="1" selected="0">
            <x v="302"/>
          </reference>
          <reference field="14" count="1" selected="0">
            <x v="62"/>
          </reference>
          <reference field="18" count="2" defaultSubtotal="1">
            <x v="0"/>
            <x v="2"/>
          </reference>
        </references>
      </pivotArea>
    </format>
    <format dxfId="6535">
      <pivotArea dataOnly="0" labelOnly="1" outline="0" fieldPosition="0">
        <references count="3">
          <reference field="11" count="1" selected="0">
            <x v="303"/>
          </reference>
          <reference field="14" count="1" selected="0">
            <x v="122"/>
          </reference>
          <reference field="18" count="1">
            <x v="2"/>
          </reference>
        </references>
      </pivotArea>
    </format>
    <format dxfId="6534">
      <pivotArea dataOnly="0" labelOnly="1" outline="0" fieldPosition="0">
        <references count="3">
          <reference field="11" count="1" selected="0">
            <x v="303"/>
          </reference>
          <reference field="14" count="1" selected="0">
            <x v="122"/>
          </reference>
          <reference field="18" count="1" defaultSubtotal="1">
            <x v="2"/>
          </reference>
        </references>
      </pivotArea>
    </format>
    <format dxfId="6533">
      <pivotArea dataOnly="0" labelOnly="1" outline="0" fieldPosition="0">
        <references count="3">
          <reference field="11" count="1" selected="0">
            <x v="304"/>
          </reference>
          <reference field="14" count="1" selected="0">
            <x v="464"/>
          </reference>
          <reference field="18" count="2">
            <x v="0"/>
            <x v="2"/>
          </reference>
        </references>
      </pivotArea>
    </format>
    <format dxfId="6532">
      <pivotArea dataOnly="0" labelOnly="1" outline="0" fieldPosition="0">
        <references count="3">
          <reference field="11" count="1" selected="0">
            <x v="304"/>
          </reference>
          <reference field="14" count="1" selected="0">
            <x v="464"/>
          </reference>
          <reference field="18" count="2" defaultSubtotal="1">
            <x v="0"/>
            <x v="2"/>
          </reference>
        </references>
      </pivotArea>
    </format>
    <format dxfId="6531">
      <pivotArea dataOnly="0" labelOnly="1" outline="0" fieldPosition="0">
        <references count="3">
          <reference field="11" count="1" selected="0">
            <x v="305"/>
          </reference>
          <reference field="14" count="1" selected="0">
            <x v="121"/>
          </reference>
          <reference field="18" count="1">
            <x v="2"/>
          </reference>
        </references>
      </pivotArea>
    </format>
    <format dxfId="6530">
      <pivotArea dataOnly="0" labelOnly="1" outline="0" fieldPosition="0">
        <references count="3">
          <reference field="11" count="1" selected="0">
            <x v="305"/>
          </reference>
          <reference field="14" count="1" selected="0">
            <x v="121"/>
          </reference>
          <reference field="18" count="1" defaultSubtotal="1">
            <x v="2"/>
          </reference>
        </references>
      </pivotArea>
    </format>
    <format dxfId="6529">
      <pivotArea dataOnly="0" labelOnly="1" outline="0" fieldPosition="0">
        <references count="3">
          <reference field="11" count="1" selected="0">
            <x v="306"/>
          </reference>
          <reference field="14" count="1" selected="0">
            <x v="178"/>
          </reference>
          <reference field="18" count="1">
            <x v="6"/>
          </reference>
        </references>
      </pivotArea>
    </format>
    <format dxfId="6528">
      <pivotArea dataOnly="0" labelOnly="1" outline="0" fieldPosition="0">
        <references count="3">
          <reference field="11" count="1" selected="0">
            <x v="306"/>
          </reference>
          <reference field="14" count="1" selected="0">
            <x v="178"/>
          </reference>
          <reference field="18" count="1" defaultSubtotal="1">
            <x v="6"/>
          </reference>
        </references>
      </pivotArea>
    </format>
    <format dxfId="6527">
      <pivotArea dataOnly="0" labelOnly="1" outline="0" fieldPosition="0">
        <references count="3">
          <reference field="11" count="1" selected="0">
            <x v="307"/>
          </reference>
          <reference field="14" count="1" selected="0">
            <x v="120"/>
          </reference>
          <reference field="18" count="1">
            <x v="2"/>
          </reference>
        </references>
      </pivotArea>
    </format>
    <format dxfId="6526">
      <pivotArea dataOnly="0" labelOnly="1" outline="0" fieldPosition="0">
        <references count="3">
          <reference field="11" count="1" selected="0">
            <x v="307"/>
          </reference>
          <reference field="14" count="1" selected="0">
            <x v="120"/>
          </reference>
          <reference field="18" count="1" defaultSubtotal="1">
            <x v="2"/>
          </reference>
        </references>
      </pivotArea>
    </format>
    <format dxfId="6525">
      <pivotArea dataOnly="0" labelOnly="1" outline="0" fieldPosition="0">
        <references count="3">
          <reference field="11" count="1" selected="0">
            <x v="308"/>
          </reference>
          <reference field="14" count="1" selected="0">
            <x v="127"/>
          </reference>
          <reference field="18" count="3">
            <x v="0"/>
            <x v="2"/>
            <x v="12"/>
          </reference>
        </references>
      </pivotArea>
    </format>
    <format dxfId="6524">
      <pivotArea dataOnly="0" labelOnly="1" outline="0" fieldPosition="0">
        <references count="3">
          <reference field="11" count="1" selected="0">
            <x v="308"/>
          </reference>
          <reference field="14" count="1" selected="0">
            <x v="127"/>
          </reference>
          <reference field="18" count="3" defaultSubtotal="1">
            <x v="0"/>
            <x v="2"/>
            <x v="12"/>
          </reference>
        </references>
      </pivotArea>
    </format>
    <format dxfId="6523">
      <pivotArea dataOnly="0" labelOnly="1" outline="0" fieldPosition="0">
        <references count="3">
          <reference field="11" count="1" selected="0">
            <x v="309"/>
          </reference>
          <reference field="14" count="1" selected="0">
            <x v="316"/>
          </reference>
          <reference field="18" count="1">
            <x v="0"/>
          </reference>
        </references>
      </pivotArea>
    </format>
    <format dxfId="6522">
      <pivotArea dataOnly="0" labelOnly="1" outline="0" fieldPosition="0">
        <references count="3">
          <reference field="11" count="1" selected="0">
            <x v="309"/>
          </reference>
          <reference field="14" count="1" selected="0">
            <x v="316"/>
          </reference>
          <reference field="18" count="1" defaultSubtotal="1">
            <x v="0"/>
          </reference>
        </references>
      </pivotArea>
    </format>
    <format dxfId="6521">
      <pivotArea dataOnly="0" labelOnly="1" outline="0" fieldPosition="0">
        <references count="3">
          <reference field="11" count="1" selected="0">
            <x v="310"/>
          </reference>
          <reference field="14" count="1" selected="0">
            <x v="376"/>
          </reference>
          <reference field="18" count="1">
            <x v="2"/>
          </reference>
        </references>
      </pivotArea>
    </format>
    <format dxfId="6520">
      <pivotArea dataOnly="0" labelOnly="1" outline="0" fieldPosition="0">
        <references count="3">
          <reference field="11" count="1" selected="0">
            <x v="310"/>
          </reference>
          <reference field="14" count="1" selected="0">
            <x v="376"/>
          </reference>
          <reference field="18" count="1" defaultSubtotal="1">
            <x v="2"/>
          </reference>
        </references>
      </pivotArea>
    </format>
    <format dxfId="6519">
      <pivotArea dataOnly="0" labelOnly="1" outline="0" fieldPosition="0">
        <references count="3">
          <reference field="11" count="1" selected="0">
            <x v="311"/>
          </reference>
          <reference field="14" count="1" selected="0">
            <x v="302"/>
          </reference>
          <reference field="18" count="2">
            <x v="6"/>
            <x v="27"/>
          </reference>
        </references>
      </pivotArea>
    </format>
    <format dxfId="6518">
      <pivotArea dataOnly="0" labelOnly="1" outline="0" fieldPosition="0">
        <references count="3">
          <reference field="11" count="1" selected="0">
            <x v="311"/>
          </reference>
          <reference field="14" count="1" selected="0">
            <x v="302"/>
          </reference>
          <reference field="18" count="2" defaultSubtotal="1">
            <x v="6"/>
            <x v="27"/>
          </reference>
        </references>
      </pivotArea>
    </format>
    <format dxfId="6517">
      <pivotArea dataOnly="0" labelOnly="1" outline="0" fieldPosition="0">
        <references count="3">
          <reference field="11" count="1" selected="0">
            <x v="312"/>
          </reference>
          <reference field="14" count="1" selected="0">
            <x v="130"/>
          </reference>
          <reference field="18" count="2">
            <x v="0"/>
            <x v="14"/>
          </reference>
        </references>
      </pivotArea>
    </format>
    <format dxfId="6516">
      <pivotArea dataOnly="0" labelOnly="1" outline="0" fieldPosition="0">
        <references count="3">
          <reference field="11" count="1" selected="0">
            <x v="312"/>
          </reference>
          <reference field="14" count="1" selected="0">
            <x v="130"/>
          </reference>
          <reference field="18" count="2" defaultSubtotal="1">
            <x v="0"/>
            <x v="14"/>
          </reference>
        </references>
      </pivotArea>
    </format>
    <format dxfId="6515">
      <pivotArea dataOnly="0" labelOnly="1" outline="0" fieldPosition="0">
        <references count="3">
          <reference field="11" count="1" selected="0">
            <x v="313"/>
          </reference>
          <reference field="14" count="1" selected="0">
            <x v="123"/>
          </reference>
          <reference field="18" count="1">
            <x v="7"/>
          </reference>
        </references>
      </pivotArea>
    </format>
    <format dxfId="6514">
      <pivotArea dataOnly="0" labelOnly="1" outline="0" fieldPosition="0">
        <references count="3">
          <reference field="11" count="1" selected="0">
            <x v="313"/>
          </reference>
          <reference field="14" count="1" selected="0">
            <x v="123"/>
          </reference>
          <reference field="18" count="1" defaultSubtotal="1">
            <x v="7"/>
          </reference>
        </references>
      </pivotArea>
    </format>
    <format dxfId="6513">
      <pivotArea dataOnly="0" labelOnly="1" outline="0" fieldPosition="0">
        <references count="3">
          <reference field="11" count="1" selected="0">
            <x v="314"/>
          </reference>
          <reference field="14" count="1" selected="0">
            <x v="8"/>
          </reference>
          <reference field="18" count="1">
            <x v="2"/>
          </reference>
        </references>
      </pivotArea>
    </format>
    <format dxfId="6512">
      <pivotArea dataOnly="0" labelOnly="1" outline="0" fieldPosition="0">
        <references count="3">
          <reference field="11" count="1" selected="0">
            <x v="314"/>
          </reference>
          <reference field="14" count="1" selected="0">
            <x v="8"/>
          </reference>
          <reference field="18" count="1" defaultSubtotal="1">
            <x v="2"/>
          </reference>
        </references>
      </pivotArea>
    </format>
    <format dxfId="6511">
      <pivotArea dataOnly="0" labelOnly="1" outline="0" fieldPosition="0">
        <references count="3">
          <reference field="11" count="1" selected="0">
            <x v="315"/>
          </reference>
          <reference field="14" count="1" selected="0">
            <x v="247"/>
          </reference>
          <reference field="18" count="1">
            <x v="14"/>
          </reference>
        </references>
      </pivotArea>
    </format>
    <format dxfId="6510">
      <pivotArea dataOnly="0" labelOnly="1" outline="0" fieldPosition="0">
        <references count="3">
          <reference field="11" count="1" selected="0">
            <x v="315"/>
          </reference>
          <reference field="14" count="1" selected="0">
            <x v="247"/>
          </reference>
          <reference field="18" count="1" defaultSubtotal="1">
            <x v="14"/>
          </reference>
        </references>
      </pivotArea>
    </format>
    <format dxfId="6509">
      <pivotArea dataOnly="0" labelOnly="1" outline="0" fieldPosition="0">
        <references count="3">
          <reference field="11" count="1" selected="0">
            <x v="316"/>
          </reference>
          <reference field="14" count="1" selected="0">
            <x v="44"/>
          </reference>
          <reference field="18" count="1">
            <x v="0"/>
          </reference>
        </references>
      </pivotArea>
    </format>
    <format dxfId="6508">
      <pivotArea dataOnly="0" labelOnly="1" outline="0" fieldPosition="0">
        <references count="3">
          <reference field="11" count="1" selected="0">
            <x v="316"/>
          </reference>
          <reference field="14" count="1" selected="0">
            <x v="44"/>
          </reference>
          <reference field="18" count="1" defaultSubtotal="1">
            <x v="0"/>
          </reference>
        </references>
      </pivotArea>
    </format>
    <format dxfId="6507">
      <pivotArea dataOnly="0" labelOnly="1" outline="0" fieldPosition="0">
        <references count="3">
          <reference field="11" count="1" selected="0">
            <x v="317"/>
          </reference>
          <reference field="14" count="1" selected="0">
            <x v="70"/>
          </reference>
          <reference field="18" count="2">
            <x v="0"/>
            <x v="2"/>
          </reference>
        </references>
      </pivotArea>
    </format>
    <format dxfId="6506">
      <pivotArea dataOnly="0" labelOnly="1" outline="0" fieldPosition="0">
        <references count="3">
          <reference field="11" count="1" selected="0">
            <x v="317"/>
          </reference>
          <reference field="14" count="1" selected="0">
            <x v="70"/>
          </reference>
          <reference field="18" count="2" defaultSubtotal="1">
            <x v="0"/>
            <x v="2"/>
          </reference>
        </references>
      </pivotArea>
    </format>
    <format dxfId="6505">
      <pivotArea dataOnly="0" labelOnly="1" outline="0" fieldPosition="0">
        <references count="3">
          <reference field="11" count="1" selected="0">
            <x v="318"/>
          </reference>
          <reference field="14" count="1" selected="0">
            <x v="68"/>
          </reference>
          <reference field="18" count="2">
            <x v="0"/>
            <x v="2"/>
          </reference>
        </references>
      </pivotArea>
    </format>
    <format dxfId="6504">
      <pivotArea dataOnly="0" labelOnly="1" outline="0" fieldPosition="0">
        <references count="3">
          <reference field="11" count="1" selected="0">
            <x v="318"/>
          </reference>
          <reference field="14" count="1" selected="0">
            <x v="68"/>
          </reference>
          <reference field="18" count="2" defaultSubtotal="1">
            <x v="0"/>
            <x v="2"/>
          </reference>
        </references>
      </pivotArea>
    </format>
    <format dxfId="6503">
      <pivotArea dataOnly="0" labelOnly="1" outline="0" fieldPosition="0">
        <references count="3">
          <reference field="11" count="1" selected="0">
            <x v="319"/>
          </reference>
          <reference field="14" count="1" selected="0">
            <x v="69"/>
          </reference>
          <reference field="18" count="2">
            <x v="0"/>
            <x v="2"/>
          </reference>
        </references>
      </pivotArea>
    </format>
    <format dxfId="6502">
      <pivotArea dataOnly="0" labelOnly="1" outline="0" fieldPosition="0">
        <references count="3">
          <reference field="11" count="1" selected="0">
            <x v="319"/>
          </reference>
          <reference field="14" count="1" selected="0">
            <x v="69"/>
          </reference>
          <reference field="18" count="2" defaultSubtotal="1">
            <x v="0"/>
            <x v="2"/>
          </reference>
        </references>
      </pivotArea>
    </format>
    <format dxfId="6501">
      <pivotArea dataOnly="0" labelOnly="1" outline="0" fieldPosition="0">
        <references count="3">
          <reference field="11" count="1" selected="0">
            <x v="320"/>
          </reference>
          <reference field="14" count="1" selected="0">
            <x v="35"/>
          </reference>
          <reference field="18" count="1">
            <x v="1"/>
          </reference>
        </references>
      </pivotArea>
    </format>
    <format dxfId="6500">
      <pivotArea dataOnly="0" labelOnly="1" outline="0" fieldPosition="0">
        <references count="3">
          <reference field="11" count="1" selected="0">
            <x v="320"/>
          </reference>
          <reference field="14" count="1" selected="0">
            <x v="35"/>
          </reference>
          <reference field="18" count="1" defaultSubtotal="1">
            <x v="1"/>
          </reference>
        </references>
      </pivotArea>
    </format>
    <format dxfId="6499">
      <pivotArea dataOnly="0" labelOnly="1" outline="0" fieldPosition="0">
        <references count="3">
          <reference field="11" count="1" selected="0">
            <x v="321"/>
          </reference>
          <reference field="14" count="1" selected="0">
            <x v="456"/>
          </reference>
          <reference field="18" count="1">
            <x v="6"/>
          </reference>
        </references>
      </pivotArea>
    </format>
    <format dxfId="6498">
      <pivotArea dataOnly="0" labelOnly="1" outline="0" fieldPosition="0">
        <references count="3">
          <reference field="11" count="1" selected="0">
            <x v="321"/>
          </reference>
          <reference field="14" count="1" selected="0">
            <x v="456"/>
          </reference>
          <reference field="18" count="1" defaultSubtotal="1">
            <x v="6"/>
          </reference>
        </references>
      </pivotArea>
    </format>
    <format dxfId="6497">
      <pivotArea dataOnly="0" labelOnly="1" outline="0" fieldPosition="0">
        <references count="3">
          <reference field="11" count="1" selected="0">
            <x v="322"/>
          </reference>
          <reference field="14" count="1" selected="0">
            <x v="243"/>
          </reference>
          <reference field="18" count="1">
            <x v="6"/>
          </reference>
        </references>
      </pivotArea>
    </format>
    <format dxfId="6496">
      <pivotArea dataOnly="0" labelOnly="1" outline="0" fieldPosition="0">
        <references count="3">
          <reference field="11" count="1" selected="0">
            <x v="322"/>
          </reference>
          <reference field="14" count="1" selected="0">
            <x v="243"/>
          </reference>
          <reference field="18" count="1" defaultSubtotal="1">
            <x v="6"/>
          </reference>
        </references>
      </pivotArea>
    </format>
    <format dxfId="6495">
      <pivotArea dataOnly="0" labelOnly="1" outline="0" fieldPosition="0">
        <references count="3">
          <reference field="11" count="1" selected="0">
            <x v="323"/>
          </reference>
          <reference field="14" count="1" selected="0">
            <x v="428"/>
          </reference>
          <reference field="18" count="1">
            <x v="19"/>
          </reference>
        </references>
      </pivotArea>
    </format>
    <format dxfId="6494">
      <pivotArea dataOnly="0" labelOnly="1" outline="0" fieldPosition="0">
        <references count="3">
          <reference field="11" count="1" selected="0">
            <x v="323"/>
          </reference>
          <reference field="14" count="1" selected="0">
            <x v="428"/>
          </reference>
          <reference field="18" count="1" defaultSubtotal="1">
            <x v="19"/>
          </reference>
        </references>
      </pivotArea>
    </format>
    <format dxfId="6493">
      <pivotArea dataOnly="0" labelOnly="1" outline="0" fieldPosition="0">
        <references count="3">
          <reference field="11" count="1" selected="0">
            <x v="324"/>
          </reference>
          <reference field="14" count="1" selected="0">
            <x v="9"/>
          </reference>
          <reference field="18" count="2">
            <x v="0"/>
            <x v="2"/>
          </reference>
        </references>
      </pivotArea>
    </format>
    <format dxfId="6492">
      <pivotArea dataOnly="0" labelOnly="1" outline="0" fieldPosition="0">
        <references count="3">
          <reference field="11" count="1" selected="0">
            <x v="324"/>
          </reference>
          <reference field="14" count="1" selected="0">
            <x v="9"/>
          </reference>
          <reference field="18" count="2" defaultSubtotal="1">
            <x v="0"/>
            <x v="2"/>
          </reference>
        </references>
      </pivotArea>
    </format>
    <format dxfId="6491">
      <pivotArea dataOnly="0" labelOnly="1" outline="0" fieldPosition="0">
        <references count="3">
          <reference field="11" count="1" selected="0">
            <x v="325"/>
          </reference>
          <reference field="14" count="1" selected="0">
            <x v="225"/>
          </reference>
          <reference field="18" count="1">
            <x v="0"/>
          </reference>
        </references>
      </pivotArea>
    </format>
    <format dxfId="6490">
      <pivotArea dataOnly="0" labelOnly="1" outline="0" fieldPosition="0">
        <references count="3">
          <reference field="11" count="1" selected="0">
            <x v="325"/>
          </reference>
          <reference field="14" count="1" selected="0">
            <x v="225"/>
          </reference>
          <reference field="18" count="1" defaultSubtotal="1">
            <x v="0"/>
          </reference>
        </references>
      </pivotArea>
    </format>
    <format dxfId="6489">
      <pivotArea dataOnly="0" labelOnly="1" outline="0" fieldPosition="0">
        <references count="3">
          <reference field="11" count="1" selected="0">
            <x v="326"/>
          </reference>
          <reference field="14" count="1" selected="0">
            <x v="370"/>
          </reference>
          <reference field="18" count="1">
            <x v="2"/>
          </reference>
        </references>
      </pivotArea>
    </format>
    <format dxfId="6488">
      <pivotArea dataOnly="0" labelOnly="1" outline="0" fieldPosition="0">
        <references count="3">
          <reference field="11" count="1" selected="0">
            <x v="326"/>
          </reference>
          <reference field="14" count="1" selected="0">
            <x v="370"/>
          </reference>
          <reference field="18" count="1" defaultSubtotal="1">
            <x v="2"/>
          </reference>
        </references>
      </pivotArea>
    </format>
    <format dxfId="6487">
      <pivotArea dataOnly="0" labelOnly="1" outline="0" fieldPosition="0">
        <references count="3">
          <reference field="11" count="1" selected="0">
            <x v="327"/>
          </reference>
          <reference field="14" count="1" selected="0">
            <x v="60"/>
          </reference>
          <reference field="18" count="2">
            <x v="2"/>
            <x v="14"/>
          </reference>
        </references>
      </pivotArea>
    </format>
    <format dxfId="6486">
      <pivotArea dataOnly="0" labelOnly="1" outline="0" fieldPosition="0">
        <references count="3">
          <reference field="11" count="1" selected="0">
            <x v="327"/>
          </reference>
          <reference field="14" count="1" selected="0">
            <x v="60"/>
          </reference>
          <reference field="18" count="2" defaultSubtotal="1">
            <x v="2"/>
            <x v="14"/>
          </reference>
        </references>
      </pivotArea>
    </format>
    <format dxfId="6485">
      <pivotArea dataOnly="0" labelOnly="1" outline="0" fieldPosition="0">
        <references count="3">
          <reference field="11" count="1" selected="0">
            <x v="328"/>
          </reference>
          <reference field="14" count="1" selected="0">
            <x v="159"/>
          </reference>
          <reference field="18" count="1">
            <x v="2"/>
          </reference>
        </references>
      </pivotArea>
    </format>
    <format dxfId="6484">
      <pivotArea dataOnly="0" labelOnly="1" outline="0" fieldPosition="0">
        <references count="3">
          <reference field="11" count="1" selected="0">
            <x v="328"/>
          </reference>
          <reference field="14" count="1" selected="0">
            <x v="159"/>
          </reference>
          <reference field="18" count="1" defaultSubtotal="1">
            <x v="2"/>
          </reference>
        </references>
      </pivotArea>
    </format>
    <format dxfId="6483">
      <pivotArea dataOnly="0" labelOnly="1" outline="0" fieldPosition="0">
        <references count="3">
          <reference field="11" count="1" selected="0">
            <x v="329"/>
          </reference>
          <reference field="14" count="1" selected="0">
            <x v="134"/>
          </reference>
          <reference field="18" count="1">
            <x v="2"/>
          </reference>
        </references>
      </pivotArea>
    </format>
    <format dxfId="6482">
      <pivotArea dataOnly="0" labelOnly="1" outline="0" fieldPosition="0">
        <references count="3">
          <reference field="11" count="1" selected="0">
            <x v="329"/>
          </reference>
          <reference field="14" count="1" selected="0">
            <x v="134"/>
          </reference>
          <reference field="18" count="1" defaultSubtotal="1">
            <x v="2"/>
          </reference>
        </references>
      </pivotArea>
    </format>
    <format dxfId="6481">
      <pivotArea dataOnly="0" labelOnly="1" outline="0" fieldPosition="0">
        <references count="3">
          <reference field="11" count="1" selected="0">
            <x v="330"/>
          </reference>
          <reference field="14" count="1" selected="0">
            <x v="170"/>
          </reference>
          <reference field="18" count="1">
            <x v="2"/>
          </reference>
        </references>
      </pivotArea>
    </format>
    <format dxfId="6480">
      <pivotArea dataOnly="0" labelOnly="1" outline="0" fieldPosition="0">
        <references count="3">
          <reference field="11" count="1" selected="0">
            <x v="330"/>
          </reference>
          <reference field="14" count="1" selected="0">
            <x v="170"/>
          </reference>
          <reference field="18" count="1" defaultSubtotal="1">
            <x v="2"/>
          </reference>
        </references>
      </pivotArea>
    </format>
    <format dxfId="6479">
      <pivotArea dataOnly="0" labelOnly="1" outline="0" fieldPosition="0">
        <references count="3">
          <reference field="11" count="1" selected="0">
            <x v="331"/>
          </reference>
          <reference field="14" count="1" selected="0">
            <x v="132"/>
          </reference>
          <reference field="18" count="1">
            <x v="6"/>
          </reference>
        </references>
      </pivotArea>
    </format>
    <format dxfId="6478">
      <pivotArea dataOnly="0" labelOnly="1" outline="0" fieldPosition="0">
        <references count="3">
          <reference field="11" count="1" selected="0">
            <x v="331"/>
          </reference>
          <reference field="14" count="1" selected="0">
            <x v="132"/>
          </reference>
          <reference field="18" count="1" defaultSubtotal="1">
            <x v="6"/>
          </reference>
        </references>
      </pivotArea>
    </format>
    <format dxfId="6477">
      <pivotArea dataOnly="0" labelOnly="1" outline="0" fieldPosition="0">
        <references count="3">
          <reference field="11" count="1" selected="0">
            <x v="332"/>
          </reference>
          <reference field="14" count="1" selected="0">
            <x v="74"/>
          </reference>
          <reference field="18" count="2">
            <x v="16"/>
            <x v="21"/>
          </reference>
        </references>
      </pivotArea>
    </format>
    <format dxfId="6476">
      <pivotArea dataOnly="0" labelOnly="1" outline="0" fieldPosition="0">
        <references count="3">
          <reference field="11" count="1" selected="0">
            <x v="332"/>
          </reference>
          <reference field="14" count="1" selected="0">
            <x v="74"/>
          </reference>
          <reference field="18" count="2" defaultSubtotal="1">
            <x v="16"/>
            <x v="21"/>
          </reference>
        </references>
      </pivotArea>
    </format>
    <format dxfId="6475">
      <pivotArea dataOnly="0" labelOnly="1" outline="0" fieldPosition="0">
        <references count="3">
          <reference field="11" count="1" selected="0">
            <x v="333"/>
          </reference>
          <reference field="14" count="1" selected="0">
            <x v="202"/>
          </reference>
          <reference field="18" count="1">
            <x v="3"/>
          </reference>
        </references>
      </pivotArea>
    </format>
    <format dxfId="6474">
      <pivotArea dataOnly="0" labelOnly="1" outline="0" fieldPosition="0">
        <references count="3">
          <reference field="11" count="1" selected="0">
            <x v="333"/>
          </reference>
          <reference field="14" count="1" selected="0">
            <x v="202"/>
          </reference>
          <reference field="18" count="1" defaultSubtotal="1">
            <x v="3"/>
          </reference>
        </references>
      </pivotArea>
    </format>
    <format dxfId="6473">
      <pivotArea dataOnly="0" labelOnly="1" outline="0" fieldPosition="0">
        <references count="3">
          <reference field="11" count="1" selected="0">
            <x v="334"/>
          </reference>
          <reference field="14" count="1" selected="0">
            <x v="384"/>
          </reference>
          <reference field="18" count="2">
            <x v="0"/>
            <x v="2"/>
          </reference>
        </references>
      </pivotArea>
    </format>
    <format dxfId="6472">
      <pivotArea dataOnly="0" labelOnly="1" outline="0" fieldPosition="0">
        <references count="3">
          <reference field="11" count="1" selected="0">
            <x v="334"/>
          </reference>
          <reference field="14" count="1" selected="0">
            <x v="384"/>
          </reference>
          <reference field="18" count="2" defaultSubtotal="1">
            <x v="0"/>
            <x v="2"/>
          </reference>
        </references>
      </pivotArea>
    </format>
    <format dxfId="6471">
      <pivotArea dataOnly="0" labelOnly="1" outline="0" fieldPosition="0">
        <references count="3">
          <reference field="11" count="1" selected="0">
            <x v="335"/>
          </reference>
          <reference field="14" count="1" selected="0">
            <x v="309"/>
          </reference>
          <reference field="18" count="1">
            <x v="19"/>
          </reference>
        </references>
      </pivotArea>
    </format>
    <format dxfId="6470">
      <pivotArea dataOnly="0" labelOnly="1" outline="0" fieldPosition="0">
        <references count="3">
          <reference field="11" count="1" selected="0">
            <x v="335"/>
          </reference>
          <reference field="14" count="1" selected="0">
            <x v="309"/>
          </reference>
          <reference field="18" count="1" defaultSubtotal="1">
            <x v="19"/>
          </reference>
        </references>
      </pivotArea>
    </format>
    <format dxfId="6469">
      <pivotArea dataOnly="0" labelOnly="1" outline="0" fieldPosition="0">
        <references count="3">
          <reference field="11" count="1" selected="0">
            <x v="336"/>
          </reference>
          <reference field="14" count="1" selected="0">
            <x v="382"/>
          </reference>
          <reference field="18" count="1">
            <x v="3"/>
          </reference>
        </references>
      </pivotArea>
    </format>
    <format dxfId="6468">
      <pivotArea dataOnly="0" labelOnly="1" outline="0" fieldPosition="0">
        <references count="3">
          <reference field="11" count="1" selected="0">
            <x v="336"/>
          </reference>
          <reference field="14" count="1" selected="0">
            <x v="382"/>
          </reference>
          <reference field="18" count="1" defaultSubtotal="1">
            <x v="3"/>
          </reference>
        </references>
      </pivotArea>
    </format>
    <format dxfId="6467">
      <pivotArea dataOnly="0" labelOnly="1" outline="0" fieldPosition="0">
        <references count="3">
          <reference field="11" count="1" selected="0">
            <x v="337"/>
          </reference>
          <reference field="14" count="1" selected="0">
            <x v="71"/>
          </reference>
          <reference field="18" count="1">
            <x v="0"/>
          </reference>
        </references>
      </pivotArea>
    </format>
    <format dxfId="6466">
      <pivotArea dataOnly="0" labelOnly="1" outline="0" fieldPosition="0">
        <references count="3">
          <reference field="11" count="1" selected="0">
            <x v="337"/>
          </reference>
          <reference field="14" count="1" selected="0">
            <x v="71"/>
          </reference>
          <reference field="18" count="1" defaultSubtotal="1">
            <x v="0"/>
          </reference>
        </references>
      </pivotArea>
    </format>
    <format dxfId="6465">
      <pivotArea dataOnly="0" labelOnly="1" outline="0" fieldPosition="0">
        <references count="3">
          <reference field="11" count="1" selected="0">
            <x v="338"/>
          </reference>
          <reference field="14" count="1" selected="0">
            <x v="314"/>
          </reference>
          <reference field="18" count="1">
            <x v="19"/>
          </reference>
        </references>
      </pivotArea>
    </format>
    <format dxfId="6464">
      <pivotArea dataOnly="0" labelOnly="1" outline="0" fieldPosition="0">
        <references count="3">
          <reference field="11" count="1" selected="0">
            <x v="338"/>
          </reference>
          <reference field="14" count="1" selected="0">
            <x v="314"/>
          </reference>
          <reference field="18" count="1" defaultSubtotal="1">
            <x v="19"/>
          </reference>
        </references>
      </pivotArea>
    </format>
    <format dxfId="6463">
      <pivotArea dataOnly="0" labelOnly="1" outline="0" fieldPosition="0">
        <references count="3">
          <reference field="11" count="1" selected="0">
            <x v="339"/>
          </reference>
          <reference field="14" count="1" selected="0">
            <x v="160"/>
          </reference>
          <reference field="18" count="1">
            <x v="2"/>
          </reference>
        </references>
      </pivotArea>
    </format>
    <format dxfId="6462">
      <pivotArea dataOnly="0" labelOnly="1" outline="0" fieldPosition="0">
        <references count="3">
          <reference field="11" count="1" selected="0">
            <x v="339"/>
          </reference>
          <reference field="14" count="1" selected="0">
            <x v="160"/>
          </reference>
          <reference field="18" count="1" defaultSubtotal="1">
            <x v="2"/>
          </reference>
        </references>
      </pivotArea>
    </format>
    <format dxfId="6461">
      <pivotArea dataOnly="0" labelOnly="1" outline="0" fieldPosition="0">
        <references count="3">
          <reference field="11" count="1" selected="0">
            <x v="340"/>
          </reference>
          <reference field="14" count="1" selected="0">
            <x v="155"/>
          </reference>
          <reference field="18" count="1">
            <x v="2"/>
          </reference>
        </references>
      </pivotArea>
    </format>
    <format dxfId="6460">
      <pivotArea dataOnly="0" labelOnly="1" outline="0" fieldPosition="0">
        <references count="3">
          <reference field="11" count="1" selected="0">
            <x v="340"/>
          </reference>
          <reference field="14" count="1" selected="0">
            <x v="155"/>
          </reference>
          <reference field="18" count="1" defaultSubtotal="1">
            <x v="2"/>
          </reference>
        </references>
      </pivotArea>
    </format>
    <format dxfId="6459">
      <pivotArea dataOnly="0" labelOnly="1" outline="0" fieldPosition="0">
        <references count="3">
          <reference field="11" count="1" selected="0">
            <x v="341"/>
          </reference>
          <reference field="14" count="1" selected="0">
            <x v="163"/>
          </reference>
          <reference field="18" count="1">
            <x v="2"/>
          </reference>
        </references>
      </pivotArea>
    </format>
    <format dxfId="6458">
      <pivotArea dataOnly="0" labelOnly="1" outline="0" fieldPosition="0">
        <references count="3">
          <reference field="11" count="1" selected="0">
            <x v="341"/>
          </reference>
          <reference field="14" count="1" selected="0">
            <x v="163"/>
          </reference>
          <reference field="18" count="1" defaultSubtotal="1">
            <x v="2"/>
          </reference>
        </references>
      </pivotArea>
    </format>
    <format dxfId="6457">
      <pivotArea dataOnly="0" labelOnly="1" outline="0" fieldPosition="0">
        <references count="3">
          <reference field="11" count="1" selected="0">
            <x v="342"/>
          </reference>
          <reference field="14" count="1" selected="0">
            <x v="156"/>
          </reference>
          <reference field="18" count="1">
            <x v="2"/>
          </reference>
        </references>
      </pivotArea>
    </format>
    <format dxfId="6456">
      <pivotArea dataOnly="0" labelOnly="1" outline="0" fieldPosition="0">
        <references count="3">
          <reference field="11" count="1" selected="0">
            <x v="342"/>
          </reference>
          <reference field="14" count="1" selected="0">
            <x v="156"/>
          </reference>
          <reference field="18" count="1" defaultSubtotal="1">
            <x v="2"/>
          </reference>
        </references>
      </pivotArea>
    </format>
    <format dxfId="6455">
      <pivotArea dataOnly="0" labelOnly="1" outline="0" fieldPosition="0">
        <references count="3">
          <reference field="11" count="1" selected="0">
            <x v="343"/>
          </reference>
          <reference field="14" count="1" selected="0">
            <x v="293"/>
          </reference>
          <reference field="18" count="2">
            <x v="2"/>
            <x v="3"/>
          </reference>
        </references>
      </pivotArea>
    </format>
    <format dxfId="6454">
      <pivotArea dataOnly="0" labelOnly="1" outline="0" fieldPosition="0">
        <references count="3">
          <reference field="11" count="1" selected="0">
            <x v="343"/>
          </reference>
          <reference field="14" count="1" selected="0">
            <x v="293"/>
          </reference>
          <reference field="18" count="2" defaultSubtotal="1">
            <x v="2"/>
            <x v="3"/>
          </reference>
        </references>
      </pivotArea>
    </format>
    <format dxfId="6453">
      <pivotArea dataOnly="0" labelOnly="1" outline="0" fieldPosition="0">
        <references count="3">
          <reference field="11" count="1" selected="0">
            <x v="344"/>
          </reference>
          <reference field="14" count="1" selected="0">
            <x v="253"/>
          </reference>
          <reference field="18" count="1">
            <x v="0"/>
          </reference>
        </references>
      </pivotArea>
    </format>
    <format dxfId="6452">
      <pivotArea dataOnly="0" labelOnly="1" outline="0" fieldPosition="0">
        <references count="3">
          <reference field="11" count="1" selected="0">
            <x v="344"/>
          </reference>
          <reference field="14" count="1" selected="0">
            <x v="253"/>
          </reference>
          <reference field="18" count="1" defaultSubtotal="1">
            <x v="0"/>
          </reference>
        </references>
      </pivotArea>
    </format>
    <format dxfId="6451">
      <pivotArea dataOnly="0" labelOnly="1" outline="0" fieldPosition="0">
        <references count="3">
          <reference field="11" count="1" selected="0">
            <x v="345"/>
          </reference>
          <reference field="14" count="1" selected="0">
            <x v="209"/>
          </reference>
          <reference field="18" count="3">
            <x v="0"/>
            <x v="1"/>
            <x v="11"/>
          </reference>
        </references>
      </pivotArea>
    </format>
    <format dxfId="6450">
      <pivotArea dataOnly="0" labelOnly="1" outline="0" fieldPosition="0">
        <references count="3">
          <reference field="11" count="1" selected="0">
            <x v="345"/>
          </reference>
          <reference field="14" count="1" selected="0">
            <x v="209"/>
          </reference>
          <reference field="18" count="3" defaultSubtotal="1">
            <x v="0"/>
            <x v="1"/>
            <x v="11"/>
          </reference>
        </references>
      </pivotArea>
    </format>
    <format dxfId="6449">
      <pivotArea dataOnly="0" labelOnly="1" outline="0" fieldPosition="0">
        <references count="3">
          <reference field="11" count="1" selected="0">
            <x v="346"/>
          </reference>
          <reference field="14" count="1" selected="0">
            <x v="315"/>
          </reference>
          <reference field="18" count="1">
            <x v="3"/>
          </reference>
        </references>
      </pivotArea>
    </format>
    <format dxfId="6448">
      <pivotArea dataOnly="0" labelOnly="1" outline="0" fieldPosition="0">
        <references count="3">
          <reference field="11" count="1" selected="0">
            <x v="346"/>
          </reference>
          <reference field="14" count="1" selected="0">
            <x v="315"/>
          </reference>
          <reference field="18" count="1" defaultSubtotal="1">
            <x v="3"/>
          </reference>
        </references>
      </pivotArea>
    </format>
    <format dxfId="6447">
      <pivotArea dataOnly="0" labelOnly="1" outline="0" fieldPosition="0">
        <references count="3">
          <reference field="11" count="1" selected="0">
            <x v="347"/>
          </reference>
          <reference field="14" count="1" selected="0">
            <x v="257"/>
          </reference>
          <reference field="18" count="1">
            <x v="0"/>
          </reference>
        </references>
      </pivotArea>
    </format>
    <format dxfId="6446">
      <pivotArea dataOnly="0" labelOnly="1" outline="0" fieldPosition="0">
        <references count="3">
          <reference field="11" count="1" selected="0">
            <x v="347"/>
          </reference>
          <reference field="14" count="1" selected="0">
            <x v="257"/>
          </reference>
          <reference field="18" count="1" defaultSubtotal="1">
            <x v="0"/>
          </reference>
        </references>
      </pivotArea>
    </format>
    <format dxfId="6445">
      <pivotArea dataOnly="0" labelOnly="1" outline="0" fieldPosition="0">
        <references count="3">
          <reference field="11" count="1" selected="0">
            <x v="348"/>
          </reference>
          <reference field="14" count="1" selected="0">
            <x v="448"/>
          </reference>
          <reference field="18" count="1">
            <x v="19"/>
          </reference>
        </references>
      </pivotArea>
    </format>
    <format dxfId="6444">
      <pivotArea dataOnly="0" labelOnly="1" outline="0" fieldPosition="0">
        <references count="3">
          <reference field="11" count="1" selected="0">
            <x v="348"/>
          </reference>
          <reference field="14" count="1" selected="0">
            <x v="448"/>
          </reference>
          <reference field="18" count="1" defaultSubtotal="1">
            <x v="19"/>
          </reference>
        </references>
      </pivotArea>
    </format>
    <format dxfId="6443">
      <pivotArea dataOnly="0" labelOnly="1" outline="0" fieldPosition="0">
        <references count="3">
          <reference field="11" count="1" selected="0">
            <x v="349"/>
          </reference>
          <reference field="14" count="1" selected="0">
            <x v="331"/>
          </reference>
          <reference field="18" count="1">
            <x v="6"/>
          </reference>
        </references>
      </pivotArea>
    </format>
    <format dxfId="6442">
      <pivotArea dataOnly="0" labelOnly="1" outline="0" fieldPosition="0">
        <references count="3">
          <reference field="11" count="1" selected="0">
            <x v="349"/>
          </reference>
          <reference field="14" count="1" selected="0">
            <x v="331"/>
          </reference>
          <reference field="18" count="1" defaultSubtotal="1">
            <x v="6"/>
          </reference>
        </references>
      </pivotArea>
    </format>
    <format dxfId="6441">
      <pivotArea dataOnly="0" labelOnly="1" outline="0" fieldPosition="0">
        <references count="3">
          <reference field="11" count="1" selected="0">
            <x v="350"/>
          </reference>
          <reference field="14" count="1" selected="0">
            <x v="221"/>
          </reference>
          <reference field="18" count="1">
            <x v="6"/>
          </reference>
        </references>
      </pivotArea>
    </format>
    <format dxfId="6440">
      <pivotArea dataOnly="0" labelOnly="1" outline="0" fieldPosition="0">
        <references count="3">
          <reference field="11" count="1" selected="0">
            <x v="350"/>
          </reference>
          <reference field="14" count="1" selected="0">
            <x v="221"/>
          </reference>
          <reference field="18" count="1" defaultSubtotal="1">
            <x v="6"/>
          </reference>
        </references>
      </pivotArea>
    </format>
    <format dxfId="6439">
      <pivotArea dataOnly="0" labelOnly="1" outline="0" fieldPosition="0">
        <references count="3">
          <reference field="11" count="1" selected="0">
            <x v="351"/>
          </reference>
          <reference field="14" count="1" selected="0">
            <x v="199"/>
          </reference>
          <reference field="18" count="1">
            <x v="27"/>
          </reference>
        </references>
      </pivotArea>
    </format>
    <format dxfId="6438">
      <pivotArea dataOnly="0" labelOnly="1" outline="0" fieldPosition="0">
        <references count="3">
          <reference field="11" count="1" selected="0">
            <x v="351"/>
          </reference>
          <reference field="14" count="1" selected="0">
            <x v="199"/>
          </reference>
          <reference field="18" count="1" defaultSubtotal="1">
            <x v="27"/>
          </reference>
        </references>
      </pivotArea>
    </format>
    <format dxfId="6437">
      <pivotArea dataOnly="0" labelOnly="1" outline="0" fieldPosition="0">
        <references count="3">
          <reference field="11" count="1" selected="0">
            <x v="352"/>
          </reference>
          <reference field="14" count="1" selected="0">
            <x v="78"/>
          </reference>
          <reference field="18" count="1">
            <x v="1"/>
          </reference>
        </references>
      </pivotArea>
    </format>
    <format dxfId="6436">
      <pivotArea dataOnly="0" labelOnly="1" outline="0" fieldPosition="0">
        <references count="3">
          <reference field="11" count="1" selected="0">
            <x v="352"/>
          </reference>
          <reference field="14" count="1" selected="0">
            <x v="78"/>
          </reference>
          <reference field="18" count="1" defaultSubtotal="1">
            <x v="1"/>
          </reference>
        </references>
      </pivotArea>
    </format>
    <format dxfId="6435">
      <pivotArea dataOnly="0" labelOnly="1" outline="0" fieldPosition="0">
        <references count="3">
          <reference field="11" count="1" selected="0">
            <x v="353"/>
          </reference>
          <reference field="14" count="1" selected="0">
            <x v="18"/>
          </reference>
          <reference field="18" count="1">
            <x v="6"/>
          </reference>
        </references>
      </pivotArea>
    </format>
    <format dxfId="6434">
      <pivotArea dataOnly="0" labelOnly="1" outline="0" fieldPosition="0">
        <references count="3">
          <reference field="11" count="1" selected="0">
            <x v="353"/>
          </reference>
          <reference field="14" count="1" selected="0">
            <x v="18"/>
          </reference>
          <reference field="18" count="1" defaultSubtotal="1">
            <x v="6"/>
          </reference>
        </references>
      </pivotArea>
    </format>
    <format dxfId="6433">
      <pivotArea dataOnly="0" labelOnly="1" outline="0" fieldPosition="0">
        <references count="3">
          <reference field="11" count="1" selected="0">
            <x v="354"/>
          </reference>
          <reference field="14" count="1" selected="0">
            <x v="135"/>
          </reference>
          <reference field="18" count="1">
            <x v="6"/>
          </reference>
        </references>
      </pivotArea>
    </format>
    <format dxfId="6432">
      <pivotArea dataOnly="0" labelOnly="1" outline="0" fieldPosition="0">
        <references count="3">
          <reference field="11" count="1" selected="0">
            <x v="354"/>
          </reference>
          <reference field="14" count="1" selected="0">
            <x v="135"/>
          </reference>
          <reference field="18" count="1" defaultSubtotal="1">
            <x v="6"/>
          </reference>
        </references>
      </pivotArea>
    </format>
    <format dxfId="6431">
      <pivotArea dataOnly="0" labelOnly="1" outline="0" fieldPosition="0">
        <references count="3">
          <reference field="11" count="1" selected="0">
            <x v="355"/>
          </reference>
          <reference field="14" count="1" selected="0">
            <x v="296"/>
          </reference>
          <reference field="18" count="1">
            <x v="6"/>
          </reference>
        </references>
      </pivotArea>
    </format>
    <format dxfId="6430">
      <pivotArea dataOnly="0" labelOnly="1" outline="0" fieldPosition="0">
        <references count="3">
          <reference field="11" count="1" selected="0">
            <x v="355"/>
          </reference>
          <reference field="14" count="1" selected="0">
            <x v="296"/>
          </reference>
          <reference field="18" count="1" defaultSubtotal="1">
            <x v="6"/>
          </reference>
        </references>
      </pivotArea>
    </format>
    <format dxfId="6429">
      <pivotArea dataOnly="0" labelOnly="1" outline="0" fieldPosition="0">
        <references count="3">
          <reference field="11" count="1" selected="0">
            <x v="356"/>
          </reference>
          <reference field="14" count="1" selected="0">
            <x v="299"/>
          </reference>
          <reference field="18" count="1">
            <x v="6"/>
          </reference>
        </references>
      </pivotArea>
    </format>
    <format dxfId="6428">
      <pivotArea dataOnly="0" labelOnly="1" outline="0" fieldPosition="0">
        <references count="3">
          <reference field="11" count="1" selected="0">
            <x v="356"/>
          </reference>
          <reference field="14" count="1" selected="0">
            <x v="299"/>
          </reference>
          <reference field="18" count="1" defaultSubtotal="1">
            <x v="6"/>
          </reference>
        </references>
      </pivotArea>
    </format>
    <format dxfId="6427">
      <pivotArea dataOnly="0" labelOnly="1" outline="0" fieldPosition="0">
        <references count="3">
          <reference field="11" count="1" selected="0">
            <x v="357"/>
          </reference>
          <reference field="14" count="1" selected="0">
            <x v="298"/>
          </reference>
          <reference field="18" count="1">
            <x v="6"/>
          </reference>
        </references>
      </pivotArea>
    </format>
    <format dxfId="6426">
      <pivotArea dataOnly="0" labelOnly="1" outline="0" fieldPosition="0">
        <references count="3">
          <reference field="11" count="1" selected="0">
            <x v="357"/>
          </reference>
          <reference field="14" count="1" selected="0">
            <x v="298"/>
          </reference>
          <reference field="18" count="1" defaultSubtotal="1">
            <x v="6"/>
          </reference>
        </references>
      </pivotArea>
    </format>
    <format dxfId="6425">
      <pivotArea dataOnly="0" labelOnly="1" outline="0" fieldPosition="0">
        <references count="3">
          <reference field="11" count="1" selected="0">
            <x v="358"/>
          </reference>
          <reference field="14" count="1" selected="0">
            <x v="292"/>
          </reference>
          <reference field="18" count="1">
            <x v="3"/>
          </reference>
        </references>
      </pivotArea>
    </format>
    <format dxfId="6424">
      <pivotArea dataOnly="0" labelOnly="1" outline="0" fieldPosition="0">
        <references count="3">
          <reference field="11" count="1" selected="0">
            <x v="358"/>
          </reference>
          <reference field="14" count="1" selected="0">
            <x v="292"/>
          </reference>
          <reference field="18" count="1" defaultSubtotal="1">
            <x v="3"/>
          </reference>
        </references>
      </pivotArea>
    </format>
    <format dxfId="6423">
      <pivotArea dataOnly="0" labelOnly="1" outline="0" fieldPosition="0">
        <references count="3">
          <reference field="11" count="1" selected="0">
            <x v="359"/>
          </reference>
          <reference field="14" count="1" selected="0">
            <x v="39"/>
          </reference>
          <reference field="18" count="1">
            <x v="1"/>
          </reference>
        </references>
      </pivotArea>
    </format>
    <format dxfId="6422">
      <pivotArea dataOnly="0" labelOnly="1" outline="0" fieldPosition="0">
        <references count="3">
          <reference field="11" count="1" selected="0">
            <x v="359"/>
          </reference>
          <reference field="14" count="1" selected="0">
            <x v="39"/>
          </reference>
          <reference field="18" count="1" defaultSubtotal="1">
            <x v="1"/>
          </reference>
        </references>
      </pivotArea>
    </format>
    <format dxfId="6421">
      <pivotArea dataOnly="0" labelOnly="1" outline="0" fieldPosition="0">
        <references count="3">
          <reference field="11" count="1" selected="0">
            <x v="360"/>
          </reference>
          <reference field="14" count="1" selected="0">
            <x v="24"/>
          </reference>
          <reference field="18" count="1">
            <x v="5"/>
          </reference>
        </references>
      </pivotArea>
    </format>
    <format dxfId="6420">
      <pivotArea dataOnly="0" labelOnly="1" outline="0" fieldPosition="0">
        <references count="3">
          <reference field="11" count="1" selected="0">
            <x v="360"/>
          </reference>
          <reference field="14" count="1" selected="0">
            <x v="24"/>
          </reference>
          <reference field="18" count="1" defaultSubtotal="1">
            <x v="5"/>
          </reference>
        </references>
      </pivotArea>
    </format>
    <format dxfId="6419">
      <pivotArea dataOnly="0" labelOnly="1" outline="0" fieldPosition="0">
        <references count="3">
          <reference field="11" count="1" selected="0">
            <x v="361"/>
          </reference>
          <reference field="14" count="1" selected="0">
            <x v="352"/>
          </reference>
          <reference field="18" count="1">
            <x v="5"/>
          </reference>
        </references>
      </pivotArea>
    </format>
    <format dxfId="6418">
      <pivotArea dataOnly="0" labelOnly="1" outline="0" fieldPosition="0">
        <references count="3">
          <reference field="11" count="1" selected="0">
            <x v="361"/>
          </reference>
          <reference field="14" count="1" selected="0">
            <x v="352"/>
          </reference>
          <reference field="18" count="1" defaultSubtotal="1">
            <x v="5"/>
          </reference>
        </references>
      </pivotArea>
    </format>
    <format dxfId="6417">
      <pivotArea dataOnly="0" labelOnly="1" outline="0" fieldPosition="0">
        <references count="3">
          <reference field="11" count="1" selected="0">
            <x v="362"/>
          </reference>
          <reference field="14" count="1" selected="0">
            <x v="21"/>
          </reference>
          <reference field="18" count="1">
            <x v="6"/>
          </reference>
        </references>
      </pivotArea>
    </format>
    <format dxfId="6416">
      <pivotArea dataOnly="0" labelOnly="1" outline="0" fieldPosition="0">
        <references count="3">
          <reference field="11" count="1" selected="0">
            <x v="362"/>
          </reference>
          <reference field="14" count="1" selected="0">
            <x v="21"/>
          </reference>
          <reference field="18" count="1" defaultSubtotal="1">
            <x v="6"/>
          </reference>
        </references>
      </pivotArea>
    </format>
    <format dxfId="6415">
      <pivotArea dataOnly="0" labelOnly="1" outline="0" fieldPosition="0">
        <references count="3">
          <reference field="11" count="1" selected="0">
            <x v="363"/>
          </reference>
          <reference field="14" count="1" selected="0">
            <x v="6"/>
          </reference>
          <reference field="18" count="1">
            <x v="0"/>
          </reference>
        </references>
      </pivotArea>
    </format>
    <format dxfId="6414">
      <pivotArea dataOnly="0" labelOnly="1" outline="0" fieldPosition="0">
        <references count="3">
          <reference field="11" count="1" selected="0">
            <x v="363"/>
          </reference>
          <reference field="14" count="1" selected="0">
            <x v="6"/>
          </reference>
          <reference field="18" count="1" defaultSubtotal="1">
            <x v="0"/>
          </reference>
        </references>
      </pivotArea>
    </format>
    <format dxfId="6413">
      <pivotArea dataOnly="0" labelOnly="1" outline="0" fieldPosition="0">
        <references count="3">
          <reference field="11" count="1" selected="0">
            <x v="364"/>
          </reference>
          <reference field="14" count="1" selected="0">
            <x v="212"/>
          </reference>
          <reference field="18" count="1">
            <x v="14"/>
          </reference>
        </references>
      </pivotArea>
    </format>
    <format dxfId="6412">
      <pivotArea dataOnly="0" labelOnly="1" outline="0" fieldPosition="0">
        <references count="3">
          <reference field="11" count="1" selected="0">
            <x v="364"/>
          </reference>
          <reference field="14" count="1" selected="0">
            <x v="212"/>
          </reference>
          <reference field="18" count="1" defaultSubtotal="1">
            <x v="14"/>
          </reference>
        </references>
      </pivotArea>
    </format>
    <format dxfId="6411">
      <pivotArea dataOnly="0" labelOnly="1" outline="0" fieldPosition="0">
        <references count="3">
          <reference field="11" count="1" selected="0">
            <x v="365"/>
          </reference>
          <reference field="14" count="1" selected="0">
            <x v="284"/>
          </reference>
          <reference field="18" count="1">
            <x v="0"/>
          </reference>
        </references>
      </pivotArea>
    </format>
    <format dxfId="6410">
      <pivotArea dataOnly="0" labelOnly="1" outline="0" fieldPosition="0">
        <references count="3">
          <reference field="11" count="1" selected="0">
            <x v="365"/>
          </reference>
          <reference field="14" count="1" selected="0">
            <x v="284"/>
          </reference>
          <reference field="18" count="1" defaultSubtotal="1">
            <x v="0"/>
          </reference>
        </references>
      </pivotArea>
    </format>
    <format dxfId="6409">
      <pivotArea dataOnly="0" labelOnly="1" outline="0" fieldPosition="0">
        <references count="3">
          <reference field="11" count="1" selected="0">
            <x v="366"/>
          </reference>
          <reference field="14" count="1" selected="0">
            <x v="254"/>
          </reference>
          <reference field="18" count="1">
            <x v="0"/>
          </reference>
        </references>
      </pivotArea>
    </format>
    <format dxfId="6408">
      <pivotArea dataOnly="0" labelOnly="1" outline="0" fieldPosition="0">
        <references count="3">
          <reference field="11" count="1" selected="0">
            <x v="366"/>
          </reference>
          <reference field="14" count="1" selected="0">
            <x v="254"/>
          </reference>
          <reference field="18" count="1" defaultSubtotal="1">
            <x v="0"/>
          </reference>
        </references>
      </pivotArea>
    </format>
    <format dxfId="6407">
      <pivotArea dataOnly="0" labelOnly="1" outline="0" fieldPosition="0">
        <references count="3">
          <reference field="11" count="1" selected="0">
            <x v="367"/>
          </reference>
          <reference field="14" count="1" selected="0">
            <x v="457"/>
          </reference>
          <reference field="18" count="1">
            <x v="0"/>
          </reference>
        </references>
      </pivotArea>
    </format>
    <format dxfId="6406">
      <pivotArea dataOnly="0" labelOnly="1" outline="0" fieldPosition="0">
        <references count="3">
          <reference field="11" count="1" selected="0">
            <x v="367"/>
          </reference>
          <reference field="14" count="1" selected="0">
            <x v="457"/>
          </reference>
          <reference field="18" count="1" defaultSubtotal="1">
            <x v="0"/>
          </reference>
        </references>
      </pivotArea>
    </format>
    <format dxfId="6405">
      <pivotArea dataOnly="0" labelOnly="1" outline="0" fieldPosition="0">
        <references count="3">
          <reference field="11" count="1" selected="0">
            <x v="368"/>
          </reference>
          <reference field="14" count="1" selected="0">
            <x v="2"/>
          </reference>
          <reference field="18" count="1">
            <x v="19"/>
          </reference>
        </references>
      </pivotArea>
    </format>
    <format dxfId="6404">
      <pivotArea dataOnly="0" labelOnly="1" outline="0" fieldPosition="0">
        <references count="3">
          <reference field="11" count="1" selected="0">
            <x v="368"/>
          </reference>
          <reference field="14" count="1" selected="0">
            <x v="2"/>
          </reference>
          <reference field="18" count="1" defaultSubtotal="1">
            <x v="19"/>
          </reference>
        </references>
      </pivotArea>
    </format>
    <format dxfId="6403">
      <pivotArea dataOnly="0" labelOnly="1" outline="0" fieldPosition="0">
        <references count="3">
          <reference field="11" count="1" selected="0">
            <x v="369"/>
          </reference>
          <reference field="14" count="1" selected="0">
            <x v="147"/>
          </reference>
          <reference field="18" count="2">
            <x v="12"/>
            <x v="14"/>
          </reference>
        </references>
      </pivotArea>
    </format>
    <format dxfId="6402">
      <pivotArea dataOnly="0" labelOnly="1" outline="0" fieldPosition="0">
        <references count="3">
          <reference field="11" count="1" selected="0">
            <x v="369"/>
          </reference>
          <reference field="14" count="1" selected="0">
            <x v="147"/>
          </reference>
          <reference field="18" count="2" defaultSubtotal="1">
            <x v="12"/>
            <x v="14"/>
          </reference>
        </references>
      </pivotArea>
    </format>
    <format dxfId="6401">
      <pivotArea dataOnly="0" labelOnly="1" outline="0" fieldPosition="0">
        <references count="3">
          <reference field="11" count="1" selected="0">
            <x v="370"/>
          </reference>
          <reference field="14" count="1" selected="0">
            <x v="112"/>
          </reference>
          <reference field="18" count="1">
            <x v="19"/>
          </reference>
        </references>
      </pivotArea>
    </format>
    <format dxfId="6400">
      <pivotArea dataOnly="0" labelOnly="1" outline="0" fieldPosition="0">
        <references count="3">
          <reference field="11" count="1" selected="0">
            <x v="370"/>
          </reference>
          <reference field="14" count="1" selected="0">
            <x v="112"/>
          </reference>
          <reference field="18" count="1" defaultSubtotal="1">
            <x v="19"/>
          </reference>
        </references>
      </pivotArea>
    </format>
    <format dxfId="6399">
      <pivotArea dataOnly="0" labelOnly="1" outline="0" fieldPosition="0">
        <references count="3">
          <reference field="11" count="1" selected="0">
            <x v="371"/>
          </reference>
          <reference field="14" count="1" selected="0">
            <x v="81"/>
          </reference>
          <reference field="18" count="1">
            <x v="1"/>
          </reference>
        </references>
      </pivotArea>
    </format>
    <format dxfId="6398">
      <pivotArea dataOnly="0" labelOnly="1" outline="0" fieldPosition="0">
        <references count="3">
          <reference field="11" count="1" selected="0">
            <x v="371"/>
          </reference>
          <reference field="14" count="1" selected="0">
            <x v="81"/>
          </reference>
          <reference field="18" count="1" defaultSubtotal="1">
            <x v="1"/>
          </reference>
        </references>
      </pivotArea>
    </format>
    <format dxfId="6397">
      <pivotArea dataOnly="0" labelOnly="1" outline="0" fieldPosition="0">
        <references count="3">
          <reference field="11" count="1" selected="0">
            <x v="372"/>
          </reference>
          <reference field="14" count="1" selected="0">
            <x v="82"/>
          </reference>
          <reference field="18" count="1">
            <x v="1"/>
          </reference>
        </references>
      </pivotArea>
    </format>
    <format dxfId="6396">
      <pivotArea dataOnly="0" labelOnly="1" outline="0" fieldPosition="0">
        <references count="3">
          <reference field="11" count="1" selected="0">
            <x v="372"/>
          </reference>
          <reference field="14" count="1" selected="0">
            <x v="82"/>
          </reference>
          <reference field="18" count="1" defaultSubtotal="1">
            <x v="1"/>
          </reference>
        </references>
      </pivotArea>
    </format>
    <format dxfId="6395">
      <pivotArea dataOnly="0" labelOnly="1" outline="0" fieldPosition="0">
        <references count="3">
          <reference field="11" count="1" selected="0">
            <x v="373"/>
          </reference>
          <reference field="14" count="1" selected="0">
            <x v="85"/>
          </reference>
          <reference field="18" count="1">
            <x v="1"/>
          </reference>
        </references>
      </pivotArea>
    </format>
    <format dxfId="6394">
      <pivotArea dataOnly="0" labelOnly="1" outline="0" fieldPosition="0">
        <references count="3">
          <reference field="11" count="1" selected="0">
            <x v="373"/>
          </reference>
          <reference field="14" count="1" selected="0">
            <x v="85"/>
          </reference>
          <reference field="18" count="1" defaultSubtotal="1">
            <x v="1"/>
          </reference>
        </references>
      </pivotArea>
    </format>
    <format dxfId="6393">
      <pivotArea dataOnly="0" labelOnly="1" outline="0" fieldPosition="0">
        <references count="3">
          <reference field="11" count="1" selected="0">
            <x v="374"/>
          </reference>
          <reference field="14" count="1" selected="0">
            <x v="89"/>
          </reference>
          <reference field="18" count="1">
            <x v="1"/>
          </reference>
        </references>
      </pivotArea>
    </format>
    <format dxfId="6392">
      <pivotArea dataOnly="0" labelOnly="1" outline="0" fieldPosition="0">
        <references count="3">
          <reference field="11" count="1" selected="0">
            <x v="374"/>
          </reference>
          <reference field="14" count="1" selected="0">
            <x v="89"/>
          </reference>
          <reference field="18" count="1" defaultSubtotal="1">
            <x v="1"/>
          </reference>
        </references>
      </pivotArea>
    </format>
    <format dxfId="6391">
      <pivotArea dataOnly="0" labelOnly="1" outline="0" fieldPosition="0">
        <references count="3">
          <reference field="11" count="1" selected="0">
            <x v="375"/>
          </reference>
          <reference field="14" count="1" selected="0">
            <x v="88"/>
          </reference>
          <reference field="18" count="1">
            <x v="1"/>
          </reference>
        </references>
      </pivotArea>
    </format>
    <format dxfId="6390">
      <pivotArea dataOnly="0" labelOnly="1" outline="0" fieldPosition="0">
        <references count="3">
          <reference field="11" count="1" selected="0">
            <x v="375"/>
          </reference>
          <reference field="14" count="1" selected="0">
            <x v="88"/>
          </reference>
          <reference field="18" count="1" defaultSubtotal="1">
            <x v="1"/>
          </reference>
        </references>
      </pivotArea>
    </format>
    <format dxfId="6389">
      <pivotArea dataOnly="0" labelOnly="1" outline="0" fieldPosition="0">
        <references count="3">
          <reference field="11" count="1" selected="0">
            <x v="376"/>
          </reference>
          <reference field="14" count="1" selected="0">
            <x v="87"/>
          </reference>
          <reference field="18" count="1">
            <x v="1"/>
          </reference>
        </references>
      </pivotArea>
    </format>
    <format dxfId="6388">
      <pivotArea dataOnly="0" labelOnly="1" outline="0" fieldPosition="0">
        <references count="3">
          <reference field="11" count="1" selected="0">
            <x v="376"/>
          </reference>
          <reference field="14" count="1" selected="0">
            <x v="87"/>
          </reference>
          <reference field="18" count="1" defaultSubtotal="1">
            <x v="1"/>
          </reference>
        </references>
      </pivotArea>
    </format>
    <format dxfId="6387">
      <pivotArea dataOnly="0" labelOnly="1" outline="0" fieldPosition="0">
        <references count="3">
          <reference field="11" count="1" selected="0">
            <x v="377"/>
          </reference>
          <reference field="14" count="1" selected="0">
            <x v="79"/>
          </reference>
          <reference field="18" count="1">
            <x v="1"/>
          </reference>
        </references>
      </pivotArea>
    </format>
    <format dxfId="6386">
      <pivotArea dataOnly="0" labelOnly="1" outline="0" fieldPosition="0">
        <references count="3">
          <reference field="11" count="1" selected="0">
            <x v="377"/>
          </reference>
          <reference field="14" count="1" selected="0">
            <x v="79"/>
          </reference>
          <reference field="18" count="1" defaultSubtotal="1">
            <x v="1"/>
          </reference>
        </references>
      </pivotArea>
    </format>
    <format dxfId="6385">
      <pivotArea dataOnly="0" labelOnly="1" outline="0" fieldPosition="0">
        <references count="3">
          <reference field="11" count="1" selected="0">
            <x v="378"/>
          </reference>
          <reference field="14" count="1" selected="0">
            <x v="92"/>
          </reference>
          <reference field="18" count="1">
            <x v="1"/>
          </reference>
        </references>
      </pivotArea>
    </format>
    <format dxfId="6384">
      <pivotArea dataOnly="0" labelOnly="1" outline="0" fieldPosition="0">
        <references count="3">
          <reference field="11" count="1" selected="0">
            <x v="378"/>
          </reference>
          <reference field="14" count="1" selected="0">
            <x v="92"/>
          </reference>
          <reference field="18" count="1" defaultSubtotal="1">
            <x v="1"/>
          </reference>
        </references>
      </pivotArea>
    </format>
    <format dxfId="6383">
      <pivotArea dataOnly="0" labelOnly="1" outline="0" fieldPosition="0">
        <references count="3">
          <reference field="11" count="1" selected="0">
            <x v="379"/>
          </reference>
          <reference field="14" count="1" selected="0">
            <x v="145"/>
          </reference>
          <reference field="18" count="2">
            <x v="7"/>
            <x v="12"/>
          </reference>
        </references>
      </pivotArea>
    </format>
    <format dxfId="6382">
      <pivotArea dataOnly="0" labelOnly="1" outline="0" fieldPosition="0">
        <references count="3">
          <reference field="11" count="1" selected="0">
            <x v="379"/>
          </reference>
          <reference field="14" count="1" selected="0">
            <x v="145"/>
          </reference>
          <reference field="18" count="2" defaultSubtotal="1">
            <x v="7"/>
            <x v="12"/>
          </reference>
        </references>
      </pivotArea>
    </format>
    <format dxfId="6381">
      <pivotArea dataOnly="0" labelOnly="1" outline="0" fieldPosition="0">
        <references count="3">
          <reference field="11" count="1" selected="0">
            <x v="380"/>
          </reference>
          <reference field="14" count="1" selected="0">
            <x v="334"/>
          </reference>
          <reference field="18" count="1">
            <x v="1"/>
          </reference>
        </references>
      </pivotArea>
    </format>
    <format dxfId="6380">
      <pivotArea dataOnly="0" labelOnly="1" outline="0" fieldPosition="0">
        <references count="3">
          <reference field="11" count="1" selected="0">
            <x v="380"/>
          </reference>
          <reference field="14" count="1" selected="0">
            <x v="334"/>
          </reference>
          <reference field="18" count="1" defaultSubtotal="1">
            <x v="1"/>
          </reference>
        </references>
      </pivotArea>
    </format>
    <format dxfId="6379">
      <pivotArea dataOnly="0" labelOnly="1" outline="0" fieldPosition="0">
        <references count="3">
          <reference field="11" count="1" selected="0">
            <x v="381"/>
          </reference>
          <reference field="14" count="1" selected="0">
            <x v="399"/>
          </reference>
          <reference field="18" count="2">
            <x v="0"/>
            <x v="4"/>
          </reference>
        </references>
      </pivotArea>
    </format>
    <format dxfId="6378">
      <pivotArea dataOnly="0" labelOnly="1" outline="0" fieldPosition="0">
        <references count="3">
          <reference field="11" count="1" selected="0">
            <x v="381"/>
          </reference>
          <reference field="14" count="1" selected="0">
            <x v="399"/>
          </reference>
          <reference field="18" count="2" defaultSubtotal="1">
            <x v="0"/>
            <x v="4"/>
          </reference>
        </references>
      </pivotArea>
    </format>
    <format dxfId="6377">
      <pivotArea dataOnly="0" labelOnly="1" outline="0" fieldPosition="0">
        <references count="3">
          <reference field="11" count="1" selected="0">
            <x v="382"/>
          </reference>
          <reference field="14" count="1" selected="0">
            <x v="400"/>
          </reference>
          <reference field="18" count="1">
            <x v="25"/>
          </reference>
        </references>
      </pivotArea>
    </format>
    <format dxfId="6376">
      <pivotArea dataOnly="0" labelOnly="1" outline="0" fieldPosition="0">
        <references count="3">
          <reference field="11" count="1" selected="0">
            <x v="382"/>
          </reference>
          <reference field="14" count="1" selected="0">
            <x v="400"/>
          </reference>
          <reference field="18" count="1" defaultSubtotal="1">
            <x v="25"/>
          </reference>
        </references>
      </pivotArea>
    </format>
    <format dxfId="6375">
      <pivotArea dataOnly="0" labelOnly="1" outline="0" fieldPosition="0">
        <references count="3">
          <reference field="11" count="1" selected="0">
            <x v="383"/>
          </reference>
          <reference field="14" count="1" selected="0">
            <x v="364"/>
          </reference>
          <reference field="18" count="1">
            <x v="18"/>
          </reference>
        </references>
      </pivotArea>
    </format>
    <format dxfId="6374">
      <pivotArea dataOnly="0" labelOnly="1" outline="0" fieldPosition="0">
        <references count="3">
          <reference field="11" count="1" selected="0">
            <x v="383"/>
          </reference>
          <reference field="14" count="1" selected="0">
            <x v="364"/>
          </reference>
          <reference field="18" count="1" defaultSubtotal="1">
            <x v="18"/>
          </reference>
        </references>
      </pivotArea>
    </format>
    <format dxfId="6373">
      <pivotArea dataOnly="0" labelOnly="1" outline="0" fieldPosition="0">
        <references count="3">
          <reference field="11" count="1" selected="0">
            <x v="384"/>
          </reference>
          <reference field="14" count="1" selected="0">
            <x v="211"/>
          </reference>
          <reference field="18" count="1">
            <x v="0"/>
          </reference>
        </references>
      </pivotArea>
    </format>
    <format dxfId="6372">
      <pivotArea dataOnly="0" labelOnly="1" outline="0" fieldPosition="0">
        <references count="3">
          <reference field="11" count="1" selected="0">
            <x v="384"/>
          </reference>
          <reference field="14" count="1" selected="0">
            <x v="211"/>
          </reference>
          <reference field="18" count="1" defaultSubtotal="1">
            <x v="0"/>
          </reference>
        </references>
      </pivotArea>
    </format>
    <format dxfId="6371">
      <pivotArea dataOnly="0" labelOnly="1" outline="0" fieldPosition="0">
        <references count="3">
          <reference field="11" count="1" selected="0">
            <x v="385"/>
          </reference>
          <reference field="14" count="1" selected="0">
            <x v="7"/>
          </reference>
          <reference field="18" count="2">
            <x v="12"/>
            <x v="14"/>
          </reference>
        </references>
      </pivotArea>
    </format>
    <format dxfId="6370">
      <pivotArea dataOnly="0" labelOnly="1" outline="0" fieldPosition="0">
        <references count="3">
          <reference field="11" count="1" selected="0">
            <x v="385"/>
          </reference>
          <reference field="14" count="1" selected="0">
            <x v="7"/>
          </reference>
          <reference field="18" count="2" defaultSubtotal="1">
            <x v="12"/>
            <x v="14"/>
          </reference>
        </references>
      </pivotArea>
    </format>
    <format dxfId="6369">
      <pivotArea dataOnly="0" labelOnly="1" outline="0" fieldPosition="0">
        <references count="3">
          <reference field="11" count="1" selected="0">
            <x v="386"/>
          </reference>
          <reference field="14" count="1" selected="0">
            <x v="297"/>
          </reference>
          <reference field="18" count="1">
            <x v="6"/>
          </reference>
        </references>
      </pivotArea>
    </format>
    <format dxfId="6368">
      <pivotArea dataOnly="0" labelOnly="1" outline="0" fieldPosition="0">
        <references count="3">
          <reference field="11" count="1" selected="0">
            <x v="386"/>
          </reference>
          <reference field="14" count="1" selected="0">
            <x v="297"/>
          </reference>
          <reference field="18" count="1" defaultSubtotal="1">
            <x v="6"/>
          </reference>
        </references>
      </pivotArea>
    </format>
    <format dxfId="6367">
      <pivotArea dataOnly="0" labelOnly="1" outline="0" fieldPosition="0">
        <references count="3">
          <reference field="11" count="1" selected="0">
            <x v="387"/>
          </reference>
          <reference field="14" count="1" selected="0">
            <x v="408"/>
          </reference>
          <reference field="18" count="1">
            <x v="0"/>
          </reference>
        </references>
      </pivotArea>
    </format>
    <format dxfId="6366">
      <pivotArea dataOnly="0" labelOnly="1" outline="0" fieldPosition="0">
        <references count="3">
          <reference field="11" count="1" selected="0">
            <x v="387"/>
          </reference>
          <reference field="14" count="1" selected="0">
            <x v="408"/>
          </reference>
          <reference field="18" count="1" defaultSubtotal="1">
            <x v="0"/>
          </reference>
        </references>
      </pivotArea>
    </format>
    <format dxfId="6365">
      <pivotArea dataOnly="0" labelOnly="1" outline="0" fieldPosition="0">
        <references count="3">
          <reference field="11" count="1" selected="0">
            <x v="388"/>
          </reference>
          <reference field="14" count="1" selected="0">
            <x v="190"/>
          </reference>
          <reference field="18" count="1">
            <x v="0"/>
          </reference>
        </references>
      </pivotArea>
    </format>
    <format dxfId="6364">
      <pivotArea dataOnly="0" labelOnly="1" outline="0" fieldPosition="0">
        <references count="3">
          <reference field="11" count="1" selected="0">
            <x v="388"/>
          </reference>
          <reference field="14" count="1" selected="0">
            <x v="190"/>
          </reference>
          <reference field="18" count="1" defaultSubtotal="1">
            <x v="0"/>
          </reference>
        </references>
      </pivotArea>
    </format>
    <format dxfId="6363">
      <pivotArea dataOnly="0" labelOnly="1" outline="0" fieldPosition="0">
        <references count="3">
          <reference field="11" count="1" selected="0">
            <x v="389"/>
          </reference>
          <reference field="14" count="1" selected="0">
            <x v="140"/>
          </reference>
          <reference field="18" count="1">
            <x v="22"/>
          </reference>
        </references>
      </pivotArea>
    </format>
    <format dxfId="6362">
      <pivotArea dataOnly="0" labelOnly="1" outline="0" fieldPosition="0">
        <references count="3">
          <reference field="11" count="1" selected="0">
            <x v="389"/>
          </reference>
          <reference field="14" count="1" selected="0">
            <x v="140"/>
          </reference>
          <reference field="18" count="1" defaultSubtotal="1">
            <x v="22"/>
          </reference>
        </references>
      </pivotArea>
    </format>
    <format dxfId="6361">
      <pivotArea dataOnly="0" labelOnly="1" outline="0" fieldPosition="0">
        <references count="3">
          <reference field="11" count="1" selected="0">
            <x v="390"/>
          </reference>
          <reference field="14" count="1" selected="0">
            <x v="445"/>
          </reference>
          <reference field="18" count="1">
            <x v="19"/>
          </reference>
        </references>
      </pivotArea>
    </format>
    <format dxfId="6360">
      <pivotArea dataOnly="0" labelOnly="1" outline="0" fieldPosition="0">
        <references count="3">
          <reference field="11" count="1" selected="0">
            <x v="390"/>
          </reference>
          <reference field="14" count="1" selected="0">
            <x v="445"/>
          </reference>
          <reference field="18" count="1" defaultSubtotal="1">
            <x v="19"/>
          </reference>
        </references>
      </pivotArea>
    </format>
    <format dxfId="6359">
      <pivotArea dataOnly="0" labelOnly="1" outline="0" fieldPosition="0">
        <references count="3">
          <reference field="11" count="1" selected="0">
            <x v="391"/>
          </reference>
          <reference field="14" count="1" selected="0">
            <x v="422"/>
          </reference>
          <reference field="18" count="1">
            <x v="19"/>
          </reference>
        </references>
      </pivotArea>
    </format>
    <format dxfId="6358">
      <pivotArea dataOnly="0" labelOnly="1" outline="0" fieldPosition="0">
        <references count="3">
          <reference field="11" count="1" selected="0">
            <x v="391"/>
          </reference>
          <reference field="14" count="1" selected="0">
            <x v="422"/>
          </reference>
          <reference field="18" count="1" defaultSubtotal="1">
            <x v="19"/>
          </reference>
        </references>
      </pivotArea>
    </format>
    <format dxfId="6357">
      <pivotArea dataOnly="0" labelOnly="1" outline="0" fieldPosition="0">
        <references count="3">
          <reference field="11" count="1" selected="0">
            <x v="392"/>
          </reference>
          <reference field="14" count="1" selected="0">
            <x v="198"/>
          </reference>
          <reference field="18" count="1">
            <x v="4"/>
          </reference>
        </references>
      </pivotArea>
    </format>
    <format dxfId="6356">
      <pivotArea dataOnly="0" labelOnly="1" outline="0" fieldPosition="0">
        <references count="3">
          <reference field="11" count="1" selected="0">
            <x v="392"/>
          </reference>
          <reference field="14" count="1" selected="0">
            <x v="198"/>
          </reference>
          <reference field="18" count="1" defaultSubtotal="1">
            <x v="4"/>
          </reference>
        </references>
      </pivotArea>
    </format>
    <format dxfId="6355">
      <pivotArea dataOnly="0" labelOnly="1" outline="0" fieldPosition="0">
        <references count="3">
          <reference field="11" count="1" selected="0">
            <x v="393"/>
          </reference>
          <reference field="14" count="1" selected="0">
            <x v="205"/>
          </reference>
          <reference field="18" count="1">
            <x v="19"/>
          </reference>
        </references>
      </pivotArea>
    </format>
    <format dxfId="6354">
      <pivotArea dataOnly="0" labelOnly="1" outline="0" fieldPosition="0">
        <references count="3">
          <reference field="11" count="1" selected="0">
            <x v="393"/>
          </reference>
          <reference field="14" count="1" selected="0">
            <x v="205"/>
          </reference>
          <reference field="18" count="1" defaultSubtotal="1">
            <x v="19"/>
          </reference>
        </references>
      </pivotArea>
    </format>
    <format dxfId="6353">
      <pivotArea dataOnly="0" labelOnly="1" outline="0" fieldPosition="0">
        <references count="3">
          <reference field="11" count="1" selected="0">
            <x v="394"/>
          </reference>
          <reference field="14" count="1" selected="0">
            <x v="53"/>
          </reference>
          <reference field="18" count="2">
            <x v="12"/>
            <x v="14"/>
          </reference>
        </references>
      </pivotArea>
    </format>
    <format dxfId="6352">
      <pivotArea dataOnly="0" labelOnly="1" outline="0" fieldPosition="0">
        <references count="3">
          <reference field="11" count="1" selected="0">
            <x v="394"/>
          </reference>
          <reference field="14" count="1" selected="0">
            <x v="53"/>
          </reference>
          <reference field="18" count="2" defaultSubtotal="1">
            <x v="12"/>
            <x v="14"/>
          </reference>
        </references>
      </pivotArea>
    </format>
    <format dxfId="6351">
      <pivotArea dataOnly="0" labelOnly="1" outline="0" fieldPosition="0">
        <references count="3">
          <reference field="11" count="1" selected="0">
            <x v="395"/>
          </reference>
          <reference field="14" count="1" selected="0">
            <x v="245"/>
          </reference>
          <reference field="18" count="1">
            <x v="14"/>
          </reference>
        </references>
      </pivotArea>
    </format>
    <format dxfId="6350">
      <pivotArea dataOnly="0" labelOnly="1" outline="0" fieldPosition="0">
        <references count="3">
          <reference field="11" count="1" selected="0">
            <x v="395"/>
          </reference>
          <reference field="14" count="1" selected="0">
            <x v="245"/>
          </reference>
          <reference field="18" count="1" defaultSubtotal="1">
            <x v="14"/>
          </reference>
        </references>
      </pivotArea>
    </format>
    <format dxfId="6349">
      <pivotArea dataOnly="0" labelOnly="1" outline="0" fieldPosition="0">
        <references count="3">
          <reference field="11" count="1" selected="0">
            <x v="396"/>
          </reference>
          <reference field="14" count="1" selected="0">
            <x v="169"/>
          </reference>
          <reference field="18" count="1">
            <x v="14"/>
          </reference>
        </references>
      </pivotArea>
    </format>
    <format dxfId="6348">
      <pivotArea dataOnly="0" labelOnly="1" outline="0" fieldPosition="0">
        <references count="3">
          <reference field="11" count="1" selected="0">
            <x v="396"/>
          </reference>
          <reference field="14" count="1" selected="0">
            <x v="169"/>
          </reference>
          <reference field="18" count="1" defaultSubtotal="1">
            <x v="14"/>
          </reference>
        </references>
      </pivotArea>
    </format>
    <format dxfId="6347">
      <pivotArea dataOnly="0" labelOnly="1" outline="0" fieldPosition="0">
        <references count="3">
          <reference field="11" count="1" selected="0">
            <x v="397"/>
          </reference>
          <reference field="14" count="1" selected="0">
            <x v="167"/>
          </reference>
          <reference field="18" count="1">
            <x v="0"/>
          </reference>
        </references>
      </pivotArea>
    </format>
    <format dxfId="6346">
      <pivotArea dataOnly="0" labelOnly="1" outline="0" fieldPosition="0">
        <references count="3">
          <reference field="11" count="1" selected="0">
            <x v="397"/>
          </reference>
          <reference field="14" count="1" selected="0">
            <x v="167"/>
          </reference>
          <reference field="18" count="1" defaultSubtotal="1">
            <x v="0"/>
          </reference>
        </references>
      </pivotArea>
    </format>
    <format dxfId="6345">
      <pivotArea dataOnly="0" labelOnly="1" outline="0" fieldPosition="0">
        <references count="3">
          <reference field="11" count="1" selected="0">
            <x v="398"/>
          </reference>
          <reference field="14" count="1" selected="0">
            <x v="360"/>
          </reference>
          <reference field="18" count="1">
            <x v="1"/>
          </reference>
        </references>
      </pivotArea>
    </format>
    <format dxfId="6344">
      <pivotArea dataOnly="0" labelOnly="1" outline="0" fieldPosition="0">
        <references count="3">
          <reference field="11" count="1" selected="0">
            <x v="398"/>
          </reference>
          <reference field="14" count="1" selected="0">
            <x v="360"/>
          </reference>
          <reference field="18" count="1" defaultSubtotal="1">
            <x v="1"/>
          </reference>
        </references>
      </pivotArea>
    </format>
    <format dxfId="6343">
      <pivotArea dataOnly="0" labelOnly="1" outline="0" fieldPosition="0">
        <references count="3">
          <reference field="11" count="1" selected="0">
            <x v="399"/>
          </reference>
          <reference field="14" count="1" selected="0">
            <x v="95"/>
          </reference>
          <reference field="18" count="1">
            <x v="0"/>
          </reference>
        </references>
      </pivotArea>
    </format>
    <format dxfId="6342">
      <pivotArea dataOnly="0" labelOnly="1" outline="0" fieldPosition="0">
        <references count="3">
          <reference field="11" count="1" selected="0">
            <x v="399"/>
          </reference>
          <reference field="14" count="1" selected="0">
            <x v="95"/>
          </reference>
          <reference field="18" count="1" defaultSubtotal="1">
            <x v="0"/>
          </reference>
        </references>
      </pivotArea>
    </format>
    <format dxfId="6341">
      <pivotArea dataOnly="0" labelOnly="1" outline="0" fieldPosition="0">
        <references count="3">
          <reference field="11" count="1" selected="0">
            <x v="400"/>
          </reference>
          <reference field="14" count="1" selected="0">
            <x v="260"/>
          </reference>
          <reference field="18" count="1">
            <x v="0"/>
          </reference>
        </references>
      </pivotArea>
    </format>
    <format dxfId="6340">
      <pivotArea dataOnly="0" labelOnly="1" outline="0" fieldPosition="0">
        <references count="3">
          <reference field="11" count="1" selected="0">
            <x v="400"/>
          </reference>
          <reference field="14" count="1" selected="0">
            <x v="260"/>
          </reference>
          <reference field="18" count="1" defaultSubtotal="1">
            <x v="0"/>
          </reference>
        </references>
      </pivotArea>
    </format>
    <format dxfId="6339">
      <pivotArea dataOnly="0" labelOnly="1" outline="0" fieldPosition="0">
        <references count="3">
          <reference field="11" count="1" selected="0">
            <x v="401"/>
          </reference>
          <reference field="14" count="1" selected="0">
            <x v="75"/>
          </reference>
          <reference field="18" count="1">
            <x v="19"/>
          </reference>
        </references>
      </pivotArea>
    </format>
    <format dxfId="6338">
      <pivotArea dataOnly="0" labelOnly="1" outline="0" fieldPosition="0">
        <references count="3">
          <reference field="11" count="1" selected="0">
            <x v="401"/>
          </reference>
          <reference field="14" count="1" selected="0">
            <x v="75"/>
          </reference>
          <reference field="18" count="1" defaultSubtotal="1">
            <x v="19"/>
          </reference>
        </references>
      </pivotArea>
    </format>
    <format dxfId="6337">
      <pivotArea dataOnly="0" labelOnly="1" outline="0" fieldPosition="0">
        <references count="3">
          <reference field="11" count="1" selected="0">
            <x v="402"/>
          </reference>
          <reference field="14" count="1" selected="0">
            <x v="322"/>
          </reference>
          <reference field="18" count="1">
            <x v="3"/>
          </reference>
        </references>
      </pivotArea>
    </format>
    <format dxfId="6336">
      <pivotArea dataOnly="0" labelOnly="1" outline="0" fieldPosition="0">
        <references count="3">
          <reference field="11" count="1" selected="0">
            <x v="402"/>
          </reference>
          <reference field="14" count="1" selected="0">
            <x v="322"/>
          </reference>
          <reference field="18" count="1" defaultSubtotal="1">
            <x v="3"/>
          </reference>
        </references>
      </pivotArea>
    </format>
    <format dxfId="6335">
      <pivotArea dataOnly="0" labelOnly="1" outline="0" fieldPosition="0">
        <references count="3">
          <reference field="11" count="1" selected="0">
            <x v="403"/>
          </reference>
          <reference field="14" count="1" selected="0">
            <x v="146"/>
          </reference>
          <reference field="18" count="1">
            <x v="27"/>
          </reference>
        </references>
      </pivotArea>
    </format>
    <format dxfId="6334">
      <pivotArea dataOnly="0" labelOnly="1" outline="0" fieldPosition="0">
        <references count="3">
          <reference field="11" count="1" selected="0">
            <x v="403"/>
          </reference>
          <reference field="14" count="1" selected="0">
            <x v="146"/>
          </reference>
          <reference field="18" count="1" defaultSubtotal="1">
            <x v="27"/>
          </reference>
        </references>
      </pivotArea>
    </format>
    <format dxfId="6333">
      <pivotArea dataOnly="0" labelOnly="1" outline="0" fieldPosition="0">
        <references count="3">
          <reference field="11" count="1" selected="0">
            <x v="404"/>
          </reference>
          <reference field="14" count="1" selected="0">
            <x v="443"/>
          </reference>
          <reference field="18" count="2">
            <x v="11"/>
            <x v="19"/>
          </reference>
        </references>
      </pivotArea>
    </format>
    <format dxfId="6332">
      <pivotArea dataOnly="0" labelOnly="1" outline="0" fieldPosition="0">
        <references count="3">
          <reference field="11" count="1" selected="0">
            <x v="404"/>
          </reference>
          <reference field="14" count="1" selected="0">
            <x v="443"/>
          </reference>
          <reference field="18" count="2" defaultSubtotal="1">
            <x v="11"/>
            <x v="19"/>
          </reference>
        </references>
      </pivotArea>
    </format>
    <format dxfId="6331">
      <pivotArea dataOnly="0" labelOnly="1" outline="0" fieldPosition="0">
        <references count="3">
          <reference field="11" count="1" selected="0">
            <x v="405"/>
          </reference>
          <reference field="14" count="1" selected="0">
            <x v="359"/>
          </reference>
          <reference field="18" count="1">
            <x v="27"/>
          </reference>
        </references>
      </pivotArea>
    </format>
    <format dxfId="6330">
      <pivotArea dataOnly="0" labelOnly="1" outline="0" fieldPosition="0">
        <references count="3">
          <reference field="11" count="1" selected="0">
            <x v="405"/>
          </reference>
          <reference field="14" count="1" selected="0">
            <x v="359"/>
          </reference>
          <reference field="18" count="1" defaultSubtotal="1">
            <x v="27"/>
          </reference>
        </references>
      </pivotArea>
    </format>
    <format dxfId="6329">
      <pivotArea dataOnly="0" labelOnly="1" outline="0" fieldPosition="0">
        <references count="3">
          <reference field="11" count="1" selected="0">
            <x v="406"/>
          </reference>
          <reference field="14" count="1" selected="0">
            <x v="381"/>
          </reference>
          <reference field="18" count="1">
            <x v="0"/>
          </reference>
        </references>
      </pivotArea>
    </format>
    <format dxfId="6328">
      <pivotArea dataOnly="0" labelOnly="1" outline="0" fieldPosition="0">
        <references count="3">
          <reference field="11" count="1" selected="0">
            <x v="406"/>
          </reference>
          <reference field="14" count="1" selected="0">
            <x v="381"/>
          </reference>
          <reference field="18" count="1" defaultSubtotal="1">
            <x v="0"/>
          </reference>
        </references>
      </pivotArea>
    </format>
    <format dxfId="6327">
      <pivotArea dataOnly="0" labelOnly="1" outline="0" fieldPosition="0">
        <references count="3">
          <reference field="11" count="1" selected="0">
            <x v="407"/>
          </reference>
          <reference field="14" count="1" selected="0">
            <x v="65"/>
          </reference>
          <reference field="18" count="1">
            <x v="6"/>
          </reference>
        </references>
      </pivotArea>
    </format>
    <format dxfId="6326">
      <pivotArea dataOnly="0" labelOnly="1" outline="0" fieldPosition="0">
        <references count="3">
          <reference field="11" count="1" selected="0">
            <x v="407"/>
          </reference>
          <reference field="14" count="1" selected="0">
            <x v="65"/>
          </reference>
          <reference field="18" count="1" defaultSubtotal="1">
            <x v="6"/>
          </reference>
        </references>
      </pivotArea>
    </format>
    <format dxfId="6325">
      <pivotArea dataOnly="0" labelOnly="1" outline="0" fieldPosition="0">
        <references count="3">
          <reference field="11" count="1" selected="0">
            <x v="408"/>
          </reference>
          <reference field="14" count="1" selected="0">
            <x v="20"/>
          </reference>
          <reference field="18" count="1">
            <x v="3"/>
          </reference>
        </references>
      </pivotArea>
    </format>
    <format dxfId="6324">
      <pivotArea dataOnly="0" labelOnly="1" outline="0" fieldPosition="0">
        <references count="3">
          <reference field="11" count="1" selected="0">
            <x v="408"/>
          </reference>
          <reference field="14" count="1" selected="0">
            <x v="20"/>
          </reference>
          <reference field="18" count="1" defaultSubtotal="1">
            <x v="3"/>
          </reference>
        </references>
      </pivotArea>
    </format>
    <format dxfId="6323">
      <pivotArea dataOnly="0" labelOnly="1" outline="0" fieldPosition="0">
        <references count="3">
          <reference field="11" count="1" selected="0">
            <x v="409"/>
          </reference>
          <reference field="14" count="1" selected="0">
            <x v="175"/>
          </reference>
          <reference field="18" count="1">
            <x v="3"/>
          </reference>
        </references>
      </pivotArea>
    </format>
    <format dxfId="6322">
      <pivotArea dataOnly="0" labelOnly="1" outline="0" fieldPosition="0">
        <references count="3">
          <reference field="11" count="1" selected="0">
            <x v="409"/>
          </reference>
          <reference field="14" count="1" selected="0">
            <x v="175"/>
          </reference>
          <reference field="18" count="1" defaultSubtotal="1">
            <x v="3"/>
          </reference>
        </references>
      </pivotArea>
    </format>
    <format dxfId="6321">
      <pivotArea dataOnly="0" labelOnly="1" outline="0" fieldPosition="0">
        <references count="3">
          <reference field="11" count="1" selected="0">
            <x v="410"/>
          </reference>
          <reference field="14" count="1" selected="0">
            <x v="366"/>
          </reference>
          <reference field="18" count="1">
            <x v="3"/>
          </reference>
        </references>
      </pivotArea>
    </format>
    <format dxfId="6320">
      <pivotArea dataOnly="0" labelOnly="1" outline="0" fieldPosition="0">
        <references count="3">
          <reference field="11" count="1" selected="0">
            <x v="410"/>
          </reference>
          <reference field="14" count="1" selected="0">
            <x v="366"/>
          </reference>
          <reference field="18" count="1" defaultSubtotal="1">
            <x v="3"/>
          </reference>
        </references>
      </pivotArea>
    </format>
    <format dxfId="6319">
      <pivotArea dataOnly="0" labelOnly="1" outline="0" fieldPosition="0">
        <references count="3">
          <reference field="11" count="1" selected="0">
            <x v="411"/>
          </reference>
          <reference field="14" count="1" selected="0">
            <x v="204"/>
          </reference>
          <reference field="18" count="1">
            <x v="7"/>
          </reference>
        </references>
      </pivotArea>
    </format>
    <format dxfId="6318">
      <pivotArea dataOnly="0" labelOnly="1" outline="0" fieldPosition="0">
        <references count="3">
          <reference field="11" count="1" selected="0">
            <x v="411"/>
          </reference>
          <reference field="14" count="1" selected="0">
            <x v="204"/>
          </reference>
          <reference field="18" count="1" defaultSubtotal="1">
            <x v="7"/>
          </reference>
        </references>
      </pivotArea>
    </format>
    <format dxfId="6317">
      <pivotArea dataOnly="0" labelOnly="1" outline="0" fieldPosition="0">
        <references count="3">
          <reference field="11" count="1" selected="0">
            <x v="412"/>
          </reference>
          <reference field="14" count="1" selected="0">
            <x v="441"/>
          </reference>
          <reference field="18" count="1">
            <x v="19"/>
          </reference>
        </references>
      </pivotArea>
    </format>
    <format dxfId="6316">
      <pivotArea dataOnly="0" labelOnly="1" outline="0" fieldPosition="0">
        <references count="3">
          <reference field="11" count="1" selected="0">
            <x v="412"/>
          </reference>
          <reference field="14" count="1" selected="0">
            <x v="441"/>
          </reference>
          <reference field="18" count="1" defaultSubtotal="1">
            <x v="19"/>
          </reference>
        </references>
      </pivotArea>
    </format>
    <format dxfId="6315">
      <pivotArea dataOnly="0" labelOnly="1" outline="0" fieldPosition="0">
        <references count="3">
          <reference field="11" count="1" selected="0">
            <x v="413"/>
          </reference>
          <reference field="14" count="1" selected="0">
            <x v="73"/>
          </reference>
          <reference field="18" count="1">
            <x v="22"/>
          </reference>
        </references>
      </pivotArea>
    </format>
    <format dxfId="6314">
      <pivotArea dataOnly="0" labelOnly="1" outline="0" fieldPosition="0">
        <references count="3">
          <reference field="11" count="1" selected="0">
            <x v="413"/>
          </reference>
          <reference field="14" count="1" selected="0">
            <x v="73"/>
          </reference>
          <reference field="18" count="1" defaultSubtotal="1">
            <x v="22"/>
          </reference>
        </references>
      </pivotArea>
    </format>
    <format dxfId="6313">
      <pivotArea dataOnly="0" labelOnly="1" outline="0" fieldPosition="0">
        <references count="3">
          <reference field="11" count="1" selected="0">
            <x v="414"/>
          </reference>
          <reference field="14" count="1" selected="0">
            <x v="125"/>
          </reference>
          <reference field="18" count="1">
            <x v="14"/>
          </reference>
        </references>
      </pivotArea>
    </format>
    <format dxfId="6312">
      <pivotArea dataOnly="0" labelOnly="1" outline="0" fieldPosition="0">
        <references count="3">
          <reference field="11" count="1" selected="0">
            <x v="414"/>
          </reference>
          <reference field="14" count="1" selected="0">
            <x v="125"/>
          </reference>
          <reference field="18" count="1" defaultSubtotal="1">
            <x v="14"/>
          </reference>
        </references>
      </pivotArea>
    </format>
    <format dxfId="6311">
      <pivotArea dataOnly="0" labelOnly="1" outline="0" fieldPosition="0">
        <references count="3">
          <reference field="11" count="1" selected="0">
            <x v="415"/>
          </reference>
          <reference field="14" count="1" selected="0">
            <x v="324"/>
          </reference>
          <reference field="18" count="1">
            <x v="0"/>
          </reference>
        </references>
      </pivotArea>
    </format>
    <format dxfId="6310">
      <pivotArea dataOnly="0" labelOnly="1" outline="0" fieldPosition="0">
        <references count="3">
          <reference field="11" count="1" selected="0">
            <x v="415"/>
          </reference>
          <reference field="14" count="1" selected="0">
            <x v="324"/>
          </reference>
          <reference field="18" count="1" defaultSubtotal="1">
            <x v="0"/>
          </reference>
        </references>
      </pivotArea>
    </format>
    <format dxfId="6309">
      <pivotArea dataOnly="0" labelOnly="1" outline="0" fieldPosition="0">
        <references count="3">
          <reference field="11" count="1" selected="0">
            <x v="416"/>
          </reference>
          <reference field="14" count="1" selected="0">
            <x v="108"/>
          </reference>
          <reference field="18" count="1">
            <x v="0"/>
          </reference>
        </references>
      </pivotArea>
    </format>
    <format dxfId="6308">
      <pivotArea dataOnly="0" labelOnly="1" outline="0" fieldPosition="0">
        <references count="3">
          <reference field="11" count="1" selected="0">
            <x v="416"/>
          </reference>
          <reference field="14" count="1" selected="0">
            <x v="108"/>
          </reference>
          <reference field="18" count="1" defaultSubtotal="1">
            <x v="0"/>
          </reference>
        </references>
      </pivotArea>
    </format>
    <format dxfId="6307">
      <pivotArea dataOnly="0" labelOnly="1" outline="0" fieldPosition="0">
        <references count="3">
          <reference field="11" count="1" selected="0">
            <x v="417"/>
          </reference>
          <reference field="14" count="1" selected="0">
            <x v="109"/>
          </reference>
          <reference field="18" count="1">
            <x v="1"/>
          </reference>
        </references>
      </pivotArea>
    </format>
    <format dxfId="6306">
      <pivotArea dataOnly="0" labelOnly="1" outline="0" fieldPosition="0">
        <references count="3">
          <reference field="11" count="1" selected="0">
            <x v="417"/>
          </reference>
          <reference field="14" count="1" selected="0">
            <x v="109"/>
          </reference>
          <reference field="18" count="1" defaultSubtotal="1">
            <x v="1"/>
          </reference>
        </references>
      </pivotArea>
    </format>
    <format dxfId="6305">
      <pivotArea dataOnly="0" labelOnly="1" outline="0" fieldPosition="0">
        <references count="3">
          <reference field="11" count="1" selected="0">
            <x v="418"/>
          </reference>
          <reference field="14" count="1" selected="0">
            <x v="110"/>
          </reference>
          <reference field="18" count="2">
            <x v="3"/>
            <x v="9"/>
          </reference>
        </references>
      </pivotArea>
    </format>
    <format dxfId="6304">
      <pivotArea dataOnly="0" labelOnly="1" outline="0" fieldPosition="0">
        <references count="3">
          <reference field="11" count="1" selected="0">
            <x v="418"/>
          </reference>
          <reference field="14" count="1" selected="0">
            <x v="110"/>
          </reference>
          <reference field="18" count="2" defaultSubtotal="1">
            <x v="3"/>
            <x v="9"/>
          </reference>
        </references>
      </pivotArea>
    </format>
    <format dxfId="6303">
      <pivotArea dataOnly="0" labelOnly="1" outline="0" fieldPosition="0">
        <references count="3">
          <reference field="11" count="1" selected="0">
            <x v="419"/>
          </reference>
          <reference field="14" count="1" selected="0">
            <x v="107"/>
          </reference>
          <reference field="18" count="1">
            <x v="0"/>
          </reference>
        </references>
      </pivotArea>
    </format>
    <format dxfId="6302">
      <pivotArea dataOnly="0" labelOnly="1" outline="0" fieldPosition="0">
        <references count="3">
          <reference field="11" count="1" selected="0">
            <x v="419"/>
          </reference>
          <reference field="14" count="1" selected="0">
            <x v="107"/>
          </reference>
          <reference field="18" count="1" defaultSubtotal="1">
            <x v="0"/>
          </reference>
        </references>
      </pivotArea>
    </format>
    <format dxfId="6301">
      <pivotArea dataOnly="0" labelOnly="1" outline="0" fieldPosition="0">
        <references count="3">
          <reference field="11" count="1" selected="0">
            <x v="420"/>
          </reference>
          <reference field="14" count="1" selected="0">
            <x v="45"/>
          </reference>
          <reference field="18" count="1">
            <x v="0"/>
          </reference>
        </references>
      </pivotArea>
    </format>
    <format dxfId="6300">
      <pivotArea dataOnly="0" labelOnly="1" outline="0" fieldPosition="0">
        <references count="3">
          <reference field="11" count="1" selected="0">
            <x v="420"/>
          </reference>
          <reference field="14" count="1" selected="0">
            <x v="45"/>
          </reference>
          <reference field="18" count="1" defaultSubtotal="1">
            <x v="0"/>
          </reference>
        </references>
      </pivotArea>
    </format>
    <format dxfId="6299">
      <pivotArea dataOnly="0" labelOnly="1" outline="0" fieldPosition="0">
        <references count="3">
          <reference field="11" count="1" selected="0">
            <x v="421"/>
          </reference>
          <reference field="14" count="1" selected="0">
            <x v="287"/>
          </reference>
          <reference field="18" count="1">
            <x v="0"/>
          </reference>
        </references>
      </pivotArea>
    </format>
    <format dxfId="6298">
      <pivotArea dataOnly="0" labelOnly="1" outline="0" fieldPosition="0">
        <references count="3">
          <reference field="11" count="1" selected="0">
            <x v="421"/>
          </reference>
          <reference field="14" count="1" selected="0">
            <x v="287"/>
          </reference>
          <reference field="18" count="1" defaultSubtotal="1">
            <x v="0"/>
          </reference>
        </references>
      </pivotArea>
    </format>
    <format dxfId="6297">
      <pivotArea dataOnly="0" labelOnly="1" outline="0" fieldPosition="0">
        <references count="3">
          <reference field="11" count="1" selected="0">
            <x v="422"/>
          </reference>
          <reference field="14" count="1" selected="0">
            <x v="363"/>
          </reference>
          <reference field="18" count="2">
            <x v="16"/>
            <x v="18"/>
          </reference>
        </references>
      </pivotArea>
    </format>
    <format dxfId="6296">
      <pivotArea dataOnly="0" labelOnly="1" outline="0" fieldPosition="0">
        <references count="3">
          <reference field="11" count="1" selected="0">
            <x v="422"/>
          </reference>
          <reference field="14" count="1" selected="0">
            <x v="363"/>
          </reference>
          <reference field="18" count="2" defaultSubtotal="1">
            <x v="16"/>
            <x v="18"/>
          </reference>
        </references>
      </pivotArea>
    </format>
    <format dxfId="6295">
      <pivotArea dataOnly="0" labelOnly="1" outline="0" fieldPosition="0">
        <references count="3">
          <reference field="11" count="1" selected="0">
            <x v="423"/>
          </reference>
          <reference field="14" count="1" selected="0">
            <x v="259"/>
          </reference>
          <reference field="18" count="1">
            <x v="12"/>
          </reference>
        </references>
      </pivotArea>
    </format>
    <format dxfId="6294">
      <pivotArea dataOnly="0" labelOnly="1" outline="0" fieldPosition="0">
        <references count="3">
          <reference field="11" count="1" selected="0">
            <x v="423"/>
          </reference>
          <reference field="14" count="1" selected="0">
            <x v="259"/>
          </reference>
          <reference field="18" count="1" defaultSubtotal="1">
            <x v="12"/>
          </reference>
        </references>
      </pivotArea>
    </format>
    <format dxfId="6293">
      <pivotArea dataOnly="0" labelOnly="1" outline="0" fieldPosition="0">
        <references count="3">
          <reference field="11" count="1" selected="0">
            <x v="424"/>
          </reference>
          <reference field="14" count="1" selected="0">
            <x v="408"/>
          </reference>
          <reference field="18" count="1">
            <x v="0"/>
          </reference>
        </references>
      </pivotArea>
    </format>
    <format dxfId="6292">
      <pivotArea dataOnly="0" labelOnly="1" outline="0" fieldPosition="0">
        <references count="3">
          <reference field="11" count="1" selected="0">
            <x v="424"/>
          </reference>
          <reference field="14" count="1" selected="0">
            <x v="408"/>
          </reference>
          <reference field="18" count="1" defaultSubtotal="1">
            <x v="0"/>
          </reference>
        </references>
      </pivotArea>
    </format>
    <format dxfId="6291">
      <pivotArea dataOnly="0" labelOnly="1" outline="0" fieldPosition="0">
        <references count="3">
          <reference field="11" count="1" selected="0">
            <x v="425"/>
          </reference>
          <reference field="14" count="1" selected="0">
            <x v="289"/>
          </reference>
          <reference field="18" count="1">
            <x v="14"/>
          </reference>
        </references>
      </pivotArea>
    </format>
    <format dxfId="6290">
      <pivotArea dataOnly="0" labelOnly="1" outline="0" fieldPosition="0">
        <references count="3">
          <reference field="11" count="1" selected="0">
            <x v="425"/>
          </reference>
          <reference field="14" count="1" selected="0">
            <x v="289"/>
          </reference>
          <reference field="18" count="1" defaultSubtotal="1">
            <x v="14"/>
          </reference>
        </references>
      </pivotArea>
    </format>
    <format dxfId="6289">
      <pivotArea dataOnly="0" labelOnly="1" outline="0" fieldPosition="0">
        <references count="3">
          <reference field="11" count="1" selected="0">
            <x v="426"/>
          </reference>
          <reference field="14" count="1" selected="0">
            <x v="401"/>
          </reference>
          <reference field="18" count="1">
            <x v="0"/>
          </reference>
        </references>
      </pivotArea>
    </format>
    <format dxfId="6288">
      <pivotArea dataOnly="0" labelOnly="1" outline="0" fieldPosition="0">
        <references count="3">
          <reference field="11" count="1" selected="0">
            <x v="426"/>
          </reference>
          <reference field="14" count="1" selected="0">
            <x v="401"/>
          </reference>
          <reference field="18" count="1" defaultSubtotal="1">
            <x v="0"/>
          </reference>
        </references>
      </pivotArea>
    </format>
    <format dxfId="6287">
      <pivotArea dataOnly="0" labelOnly="1" outline="0" fieldPosition="0">
        <references count="3">
          <reference field="11" count="1" selected="0">
            <x v="427"/>
          </reference>
          <reference field="14" count="1" selected="0">
            <x v="407"/>
          </reference>
          <reference field="18" count="1">
            <x v="0"/>
          </reference>
        </references>
      </pivotArea>
    </format>
    <format dxfId="6286">
      <pivotArea dataOnly="0" labelOnly="1" outline="0" fieldPosition="0">
        <references count="3">
          <reference field="11" count="1" selected="0">
            <x v="427"/>
          </reference>
          <reference field="14" count="1" selected="0">
            <x v="407"/>
          </reference>
          <reference field="18" count="1" defaultSubtotal="1">
            <x v="0"/>
          </reference>
        </references>
      </pivotArea>
    </format>
    <format dxfId="6285">
      <pivotArea dataOnly="0" labelOnly="1" outline="0" fieldPosition="0">
        <references count="3">
          <reference field="11" count="1" selected="0">
            <x v="428"/>
          </reference>
          <reference field="14" count="1" selected="0">
            <x v="412"/>
          </reference>
          <reference field="18" count="1">
            <x v="0"/>
          </reference>
        </references>
      </pivotArea>
    </format>
    <format dxfId="6284">
      <pivotArea dataOnly="0" labelOnly="1" outline="0" fieldPosition="0">
        <references count="3">
          <reference field="11" count="1" selected="0">
            <x v="428"/>
          </reference>
          <reference field="14" count="1" selected="0">
            <x v="412"/>
          </reference>
          <reference field="18" count="1" defaultSubtotal="1">
            <x v="0"/>
          </reference>
        </references>
      </pivotArea>
    </format>
    <format dxfId="6283">
      <pivotArea dataOnly="0" labelOnly="1" outline="0" fieldPosition="0">
        <references count="3">
          <reference field="11" count="1" selected="0">
            <x v="429"/>
          </reference>
          <reference field="14" count="1" selected="0">
            <x v="421"/>
          </reference>
          <reference field="18" count="1">
            <x v="19"/>
          </reference>
        </references>
      </pivotArea>
    </format>
    <format dxfId="6282">
      <pivotArea dataOnly="0" labelOnly="1" outline="0" fieldPosition="0">
        <references count="3">
          <reference field="11" count="1" selected="0">
            <x v="429"/>
          </reference>
          <reference field="14" count="1" selected="0">
            <x v="421"/>
          </reference>
          <reference field="18" count="1" defaultSubtotal="1">
            <x v="19"/>
          </reference>
        </references>
      </pivotArea>
    </format>
    <format dxfId="6281">
      <pivotArea dataOnly="0" labelOnly="1" outline="0" fieldPosition="0">
        <references count="3">
          <reference field="11" count="1" selected="0">
            <x v="430"/>
          </reference>
          <reference field="14" count="1" selected="0">
            <x v="444"/>
          </reference>
          <reference field="18" count="1">
            <x v="19"/>
          </reference>
        </references>
      </pivotArea>
    </format>
    <format dxfId="6280">
      <pivotArea dataOnly="0" labelOnly="1" outline="0" fieldPosition="0">
        <references count="3">
          <reference field="11" count="1" selected="0">
            <x v="430"/>
          </reference>
          <reference field="14" count="1" selected="0">
            <x v="444"/>
          </reference>
          <reference field="18" count="1" defaultSubtotal="1">
            <x v="19"/>
          </reference>
        </references>
      </pivotArea>
    </format>
    <format dxfId="6279">
      <pivotArea dataOnly="0" labelOnly="1" outline="0" fieldPosition="0">
        <references count="3">
          <reference field="11" count="1" selected="0">
            <x v="431"/>
          </reference>
          <reference field="14" count="1" selected="0">
            <x v="191"/>
          </reference>
          <reference field="18" count="1">
            <x v="3"/>
          </reference>
        </references>
      </pivotArea>
    </format>
    <format dxfId="6278">
      <pivotArea dataOnly="0" labelOnly="1" outline="0" fieldPosition="0">
        <references count="3">
          <reference field="11" count="1" selected="0">
            <x v="431"/>
          </reference>
          <reference field="14" count="1" selected="0">
            <x v="191"/>
          </reference>
          <reference field="18" count="1" defaultSubtotal="1">
            <x v="3"/>
          </reference>
        </references>
      </pivotArea>
    </format>
    <format dxfId="6277">
      <pivotArea dataOnly="0" labelOnly="1" outline="0" fieldPosition="0">
        <references count="3">
          <reference field="11" count="1" selected="0">
            <x v="432"/>
          </reference>
          <reference field="14" count="1" selected="0">
            <x v="119"/>
          </reference>
          <reference field="18" count="2">
            <x v="12"/>
            <x v="14"/>
          </reference>
        </references>
      </pivotArea>
    </format>
    <format dxfId="6276">
      <pivotArea dataOnly="0" labelOnly="1" outline="0" fieldPosition="0">
        <references count="3">
          <reference field="11" count="1" selected="0">
            <x v="432"/>
          </reference>
          <reference field="14" count="1" selected="0">
            <x v="119"/>
          </reference>
          <reference field="18" count="2" defaultSubtotal="1">
            <x v="12"/>
            <x v="14"/>
          </reference>
        </references>
      </pivotArea>
    </format>
    <format dxfId="6275">
      <pivotArea dataOnly="0" labelOnly="1" outline="0" fieldPosition="0">
        <references count="3">
          <reference field="11" count="1" selected="0">
            <x v="433"/>
          </reference>
          <reference field="14" count="1" selected="0">
            <x v="80"/>
          </reference>
          <reference field="18" count="1">
            <x v="27"/>
          </reference>
        </references>
      </pivotArea>
    </format>
    <format dxfId="6274">
      <pivotArea dataOnly="0" labelOnly="1" outline="0" fieldPosition="0">
        <references count="3">
          <reference field="11" count="1" selected="0">
            <x v="433"/>
          </reference>
          <reference field="14" count="1" selected="0">
            <x v="80"/>
          </reference>
          <reference field="18" count="1" defaultSubtotal="1">
            <x v="27"/>
          </reference>
        </references>
      </pivotArea>
    </format>
    <format dxfId="6273">
      <pivotArea dataOnly="0" labelOnly="1" outline="0" fieldPosition="0">
        <references count="3">
          <reference field="11" count="1" selected="0">
            <x v="434"/>
          </reference>
          <reference field="14" count="1" selected="0">
            <x v="84"/>
          </reference>
          <reference field="18" count="2">
            <x v="0"/>
            <x v="27"/>
          </reference>
        </references>
      </pivotArea>
    </format>
    <format dxfId="6272">
      <pivotArea dataOnly="0" labelOnly="1" outline="0" fieldPosition="0">
        <references count="3">
          <reference field="11" count="1" selected="0">
            <x v="434"/>
          </reference>
          <reference field="14" count="1" selected="0">
            <x v="84"/>
          </reference>
          <reference field="18" count="2" defaultSubtotal="1">
            <x v="0"/>
            <x v="27"/>
          </reference>
        </references>
      </pivotArea>
    </format>
    <format dxfId="6271">
      <pivotArea dataOnly="0" labelOnly="1" outline="0" fieldPosition="0">
        <references count="3">
          <reference field="11" count="1" selected="0">
            <x v="435"/>
          </reference>
          <reference field="14" count="1" selected="0">
            <x v="236"/>
          </reference>
          <reference field="18" count="1">
            <x v="27"/>
          </reference>
        </references>
      </pivotArea>
    </format>
    <format dxfId="6270">
      <pivotArea dataOnly="0" labelOnly="1" outline="0" fieldPosition="0">
        <references count="3">
          <reference field="11" count="1" selected="0">
            <x v="435"/>
          </reference>
          <reference field="14" count="1" selected="0">
            <x v="236"/>
          </reference>
          <reference field="18" count="1" defaultSubtotal="1">
            <x v="27"/>
          </reference>
        </references>
      </pivotArea>
    </format>
    <format dxfId="6269">
      <pivotArea dataOnly="0" labelOnly="1" outline="0" fieldPosition="0">
        <references count="3">
          <reference field="11" count="1" selected="0">
            <x v="436"/>
          </reference>
          <reference field="14" count="1" selected="0">
            <x v="99"/>
          </reference>
          <reference field="18" count="1">
            <x v="1"/>
          </reference>
        </references>
      </pivotArea>
    </format>
    <format dxfId="6268">
      <pivotArea dataOnly="0" labelOnly="1" outline="0" fieldPosition="0">
        <references count="3">
          <reference field="11" count="1" selected="0">
            <x v="436"/>
          </reference>
          <reference field="14" count="1" selected="0">
            <x v="99"/>
          </reference>
          <reference field="18" count="1" defaultSubtotal="1">
            <x v="1"/>
          </reference>
        </references>
      </pivotArea>
    </format>
    <format dxfId="6267">
      <pivotArea dataOnly="0" labelOnly="1" outline="0" fieldPosition="0">
        <references count="3">
          <reference field="11" count="1" selected="0">
            <x v="437"/>
          </reference>
          <reference field="14" count="1" selected="0">
            <x v="246"/>
          </reference>
          <reference field="18" count="1">
            <x v="14"/>
          </reference>
        </references>
      </pivotArea>
    </format>
    <format dxfId="6266">
      <pivotArea dataOnly="0" labelOnly="1" outline="0" fieldPosition="0">
        <references count="3">
          <reference field="11" count="1" selected="0">
            <x v="437"/>
          </reference>
          <reference field="14" count="1" selected="0">
            <x v="246"/>
          </reference>
          <reference field="18" count="1" defaultSubtotal="1">
            <x v="14"/>
          </reference>
        </references>
      </pivotArea>
    </format>
    <format dxfId="6265">
      <pivotArea dataOnly="0" labelOnly="1" outline="0" fieldPosition="0">
        <references count="3">
          <reference field="11" count="1" selected="0">
            <x v="438"/>
          </reference>
          <reference field="14" count="1" selected="0">
            <x v="15"/>
          </reference>
          <reference field="18" count="2">
            <x v="8"/>
            <x v="14"/>
          </reference>
        </references>
      </pivotArea>
    </format>
    <format dxfId="6264">
      <pivotArea dataOnly="0" labelOnly="1" outline="0" fieldPosition="0">
        <references count="3">
          <reference field="11" count="1" selected="0">
            <x v="438"/>
          </reference>
          <reference field="14" count="1" selected="0">
            <x v="15"/>
          </reference>
          <reference field="18" count="2" defaultSubtotal="1">
            <x v="8"/>
            <x v="14"/>
          </reference>
        </references>
      </pivotArea>
    </format>
    <format dxfId="6263">
      <pivotArea dataOnly="0" labelOnly="1" outline="0" fieldPosition="0">
        <references count="3">
          <reference field="11" count="1" selected="0">
            <x v="439"/>
          </reference>
          <reference field="14" count="1" selected="0">
            <x v="446"/>
          </reference>
          <reference field="18" count="1">
            <x v="19"/>
          </reference>
        </references>
      </pivotArea>
    </format>
    <format dxfId="6262">
      <pivotArea dataOnly="0" labelOnly="1" outline="0" fieldPosition="0">
        <references count="3">
          <reference field="11" count="1" selected="0">
            <x v="439"/>
          </reference>
          <reference field="14" count="1" selected="0">
            <x v="446"/>
          </reference>
          <reference field="18" count="1" defaultSubtotal="1">
            <x v="19"/>
          </reference>
        </references>
      </pivotArea>
    </format>
    <format dxfId="6261">
      <pivotArea dataOnly="0" labelOnly="1" outline="0" fieldPosition="0">
        <references count="3">
          <reference field="11" count="1" selected="0">
            <x v="440"/>
          </reference>
          <reference field="14" count="1" selected="0">
            <x v="208"/>
          </reference>
          <reference field="18" count="1">
            <x v="27"/>
          </reference>
        </references>
      </pivotArea>
    </format>
    <format dxfId="6260">
      <pivotArea dataOnly="0" labelOnly="1" outline="0" fieldPosition="0">
        <references count="3">
          <reference field="11" count="1" selected="0">
            <x v="440"/>
          </reference>
          <reference field="14" count="1" selected="0">
            <x v="208"/>
          </reference>
          <reference field="18" count="1" defaultSubtotal="1">
            <x v="27"/>
          </reference>
        </references>
      </pivotArea>
    </format>
    <format dxfId="6259">
      <pivotArea dataOnly="0" labelOnly="1" outline="0" fieldPosition="0">
        <references count="3">
          <reference field="11" count="1" selected="0">
            <x v="441"/>
          </reference>
          <reference field="14" count="1" selected="0">
            <x v="30"/>
          </reference>
          <reference field="18" count="1">
            <x v="27"/>
          </reference>
        </references>
      </pivotArea>
    </format>
    <format dxfId="6258">
      <pivotArea dataOnly="0" labelOnly="1" outline="0" fieldPosition="0">
        <references count="3">
          <reference field="11" count="1" selected="0">
            <x v="441"/>
          </reference>
          <reference field="14" count="1" selected="0">
            <x v="30"/>
          </reference>
          <reference field="18" count="1" defaultSubtotal="1">
            <x v="27"/>
          </reference>
        </references>
      </pivotArea>
    </format>
    <format dxfId="6257">
      <pivotArea dataOnly="0" labelOnly="1" outline="0" fieldPosition="0">
        <references count="3">
          <reference field="11" count="1" selected="0">
            <x v="442"/>
          </reference>
          <reference field="14" count="1" selected="0">
            <x v="306"/>
          </reference>
          <reference field="18" count="1">
            <x v="27"/>
          </reference>
        </references>
      </pivotArea>
    </format>
    <format dxfId="6256">
      <pivotArea dataOnly="0" labelOnly="1" outline="0" fieldPosition="0">
        <references count="3">
          <reference field="11" count="1" selected="0">
            <x v="442"/>
          </reference>
          <reference field="14" count="1" selected="0">
            <x v="306"/>
          </reference>
          <reference field="18" count="1" defaultSubtotal="1">
            <x v="27"/>
          </reference>
        </references>
      </pivotArea>
    </format>
    <format dxfId="6255">
      <pivotArea dataOnly="0" labelOnly="1" outline="0" fieldPosition="0">
        <references count="3">
          <reference field="11" count="1" selected="0">
            <x v="443"/>
          </reference>
          <reference field="14" count="1" selected="0">
            <x v="432"/>
          </reference>
          <reference field="18" count="1">
            <x v="19"/>
          </reference>
        </references>
      </pivotArea>
    </format>
    <format dxfId="6254">
      <pivotArea dataOnly="0" labelOnly="1" outline="0" fieldPosition="0">
        <references count="3">
          <reference field="11" count="1" selected="0">
            <x v="443"/>
          </reference>
          <reference field="14" count="1" selected="0">
            <x v="432"/>
          </reference>
          <reference field="18" count="1" defaultSubtotal="1">
            <x v="19"/>
          </reference>
        </references>
      </pivotArea>
    </format>
    <format dxfId="6253">
      <pivotArea dataOnly="0" labelOnly="1" outline="0" fieldPosition="0">
        <references count="3">
          <reference field="11" count="1" selected="0">
            <x v="444"/>
          </reference>
          <reference field="14" count="1" selected="0">
            <x v="436"/>
          </reference>
          <reference field="18" count="1">
            <x v="19"/>
          </reference>
        </references>
      </pivotArea>
    </format>
    <format dxfId="6252">
      <pivotArea dataOnly="0" labelOnly="1" outline="0" fieldPosition="0">
        <references count="3">
          <reference field="11" count="1" selected="0">
            <x v="444"/>
          </reference>
          <reference field="14" count="1" selected="0">
            <x v="436"/>
          </reference>
          <reference field="18" count="1" defaultSubtotal="1">
            <x v="19"/>
          </reference>
        </references>
      </pivotArea>
    </format>
    <format dxfId="6251">
      <pivotArea dataOnly="0" labelOnly="1" outline="0" fieldPosition="0">
        <references count="3">
          <reference field="11" count="1" selected="0">
            <x v="445"/>
          </reference>
          <reference field="14" count="1" selected="0">
            <x v="437"/>
          </reference>
          <reference field="18" count="1">
            <x v="19"/>
          </reference>
        </references>
      </pivotArea>
    </format>
    <format dxfId="6250">
      <pivotArea dataOnly="0" labelOnly="1" outline="0" fieldPosition="0">
        <references count="3">
          <reference field="11" count="1" selected="0">
            <x v="445"/>
          </reference>
          <reference field="14" count="1" selected="0">
            <x v="437"/>
          </reference>
          <reference field="18" count="1" defaultSubtotal="1">
            <x v="19"/>
          </reference>
        </references>
      </pivotArea>
    </format>
    <format dxfId="6249">
      <pivotArea dataOnly="0" labelOnly="1" outline="0" fieldPosition="0">
        <references count="3">
          <reference field="11" count="1" selected="0">
            <x v="446"/>
          </reference>
          <reference field="14" count="1" selected="0">
            <x v="29"/>
          </reference>
          <reference field="18" count="1">
            <x v="19"/>
          </reference>
        </references>
      </pivotArea>
    </format>
    <format dxfId="6248">
      <pivotArea dataOnly="0" labelOnly="1" outline="0" fieldPosition="0">
        <references count="3">
          <reference field="11" count="1" selected="0">
            <x v="446"/>
          </reference>
          <reference field="14" count="1" selected="0">
            <x v="29"/>
          </reference>
          <reference field="18" count="1" defaultSubtotal="1">
            <x v="19"/>
          </reference>
        </references>
      </pivotArea>
    </format>
    <format dxfId="6247">
      <pivotArea dataOnly="0" labelOnly="1" outline="0" fieldPosition="0">
        <references count="3">
          <reference field="11" count="1" selected="0">
            <x v="447"/>
          </reference>
          <reference field="14" count="1" selected="0">
            <x v="57"/>
          </reference>
          <reference field="18" count="1">
            <x v="27"/>
          </reference>
        </references>
      </pivotArea>
    </format>
    <format dxfId="6246">
      <pivotArea dataOnly="0" labelOnly="1" outline="0" fieldPosition="0">
        <references count="3">
          <reference field="11" count="1" selected="0">
            <x v="447"/>
          </reference>
          <reference field="14" count="1" selected="0">
            <x v="57"/>
          </reference>
          <reference field="18" count="1" defaultSubtotal="1">
            <x v="27"/>
          </reference>
        </references>
      </pivotArea>
    </format>
    <format dxfId="6245">
      <pivotArea dataOnly="0" labelOnly="1" outline="0" fieldPosition="0">
        <references count="3">
          <reference field="11" count="1" selected="0">
            <x v="448"/>
          </reference>
          <reference field="14" count="1" selected="0">
            <x v="58"/>
          </reference>
          <reference field="18" count="1">
            <x v="27"/>
          </reference>
        </references>
      </pivotArea>
    </format>
    <format dxfId="6244">
      <pivotArea dataOnly="0" labelOnly="1" outline="0" fieldPosition="0">
        <references count="3">
          <reference field="11" count="1" selected="0">
            <x v="448"/>
          </reference>
          <reference field="14" count="1" selected="0">
            <x v="58"/>
          </reference>
          <reference field="18" count="1" defaultSubtotal="1">
            <x v="27"/>
          </reference>
        </references>
      </pivotArea>
    </format>
    <format dxfId="6243">
      <pivotArea dataOnly="0" labelOnly="1" outline="0" fieldPosition="0">
        <references count="3">
          <reference field="11" count="1" selected="0">
            <x v="449"/>
          </reference>
          <reference field="14" count="1" selected="0">
            <x v="10"/>
          </reference>
          <reference field="18" count="2">
            <x v="24"/>
            <x v="27"/>
          </reference>
        </references>
      </pivotArea>
    </format>
    <format dxfId="6242">
      <pivotArea dataOnly="0" labelOnly="1" outline="0" fieldPosition="0">
        <references count="3">
          <reference field="11" count="1" selected="0">
            <x v="449"/>
          </reference>
          <reference field="14" count="1" selected="0">
            <x v="10"/>
          </reference>
          <reference field="18" count="2" defaultSubtotal="1">
            <x v="24"/>
            <x v="27"/>
          </reference>
        </references>
      </pivotArea>
    </format>
    <format dxfId="6241">
      <pivotArea dataOnly="0" labelOnly="1" outline="0" fieldPosition="0">
        <references count="3">
          <reference field="11" count="1" selected="0">
            <x v="450"/>
          </reference>
          <reference field="14" count="1" selected="0">
            <x v="141"/>
          </reference>
          <reference field="18" count="2">
            <x v="0"/>
            <x v="27"/>
          </reference>
        </references>
      </pivotArea>
    </format>
    <format dxfId="6240">
      <pivotArea dataOnly="0" labelOnly="1" outline="0" fieldPosition="0">
        <references count="3">
          <reference field="11" count="1" selected="0">
            <x v="450"/>
          </reference>
          <reference field="14" count="1" selected="0">
            <x v="141"/>
          </reference>
          <reference field="18" count="2" defaultSubtotal="1">
            <x v="0"/>
            <x v="27"/>
          </reference>
        </references>
      </pivotArea>
    </format>
    <format dxfId="6239">
      <pivotArea dataOnly="0" labelOnly="1" outline="0" fieldPosition="0">
        <references count="3">
          <reference field="11" count="1" selected="0">
            <x v="451"/>
          </reference>
          <reference field="14" count="1" selected="0">
            <x v="101"/>
          </reference>
          <reference field="18" count="1">
            <x v="27"/>
          </reference>
        </references>
      </pivotArea>
    </format>
    <format dxfId="6238">
      <pivotArea dataOnly="0" labelOnly="1" outline="0" fieldPosition="0">
        <references count="3">
          <reference field="11" count="1" selected="0">
            <x v="451"/>
          </reference>
          <reference field="14" count="1" selected="0">
            <x v="101"/>
          </reference>
          <reference field="18" count="1" defaultSubtotal="1">
            <x v="27"/>
          </reference>
        </references>
      </pivotArea>
    </format>
    <format dxfId="6237">
      <pivotArea dataOnly="0" labelOnly="1" outline="0" fieldPosition="0">
        <references count="3">
          <reference field="11" count="1" selected="0">
            <x v="452"/>
          </reference>
          <reference field="14" count="1" selected="0">
            <x v="450"/>
          </reference>
          <reference field="18" count="1">
            <x v="19"/>
          </reference>
        </references>
      </pivotArea>
    </format>
    <format dxfId="6236">
      <pivotArea dataOnly="0" labelOnly="1" outline="0" fieldPosition="0">
        <references count="3">
          <reference field="11" count="1" selected="0">
            <x v="452"/>
          </reference>
          <reference field="14" count="1" selected="0">
            <x v="450"/>
          </reference>
          <reference field="18" count="1" defaultSubtotal="1">
            <x v="19"/>
          </reference>
        </references>
      </pivotArea>
    </format>
    <format dxfId="6235">
      <pivotArea dataOnly="0" labelOnly="1" outline="0" fieldPosition="0">
        <references count="3">
          <reference field="11" count="1" selected="0">
            <x v="453"/>
          </reference>
          <reference field="14" count="1" selected="0">
            <x v="144"/>
          </reference>
          <reference field="18" count="1">
            <x v="3"/>
          </reference>
        </references>
      </pivotArea>
    </format>
    <format dxfId="6234">
      <pivotArea dataOnly="0" labelOnly="1" outline="0" fieldPosition="0">
        <references count="3">
          <reference field="11" count="1" selected="0">
            <x v="453"/>
          </reference>
          <reference field="14" count="1" selected="0">
            <x v="144"/>
          </reference>
          <reference field="18" count="1" defaultSubtotal="1">
            <x v="3"/>
          </reference>
        </references>
      </pivotArea>
    </format>
    <format dxfId="6233">
      <pivotArea dataOnly="0" labelOnly="1" outline="0" fieldPosition="0">
        <references count="3">
          <reference field="11" count="1" selected="0">
            <x v="454"/>
          </reference>
          <reference field="14" count="1" selected="0">
            <x v="397"/>
          </reference>
          <reference field="18" count="1">
            <x v="3"/>
          </reference>
        </references>
      </pivotArea>
    </format>
    <format dxfId="6232">
      <pivotArea dataOnly="0" labelOnly="1" outline="0" fieldPosition="0">
        <references count="3">
          <reference field="11" count="1" selected="0">
            <x v="454"/>
          </reference>
          <reference field="14" count="1" selected="0">
            <x v="397"/>
          </reference>
          <reference field="18" count="1" defaultSubtotal="1">
            <x v="3"/>
          </reference>
        </references>
      </pivotArea>
    </format>
    <format dxfId="6231">
      <pivotArea dataOnly="0" labelOnly="1" outline="0" fieldPosition="0">
        <references count="3">
          <reference field="11" count="1" selected="0">
            <x v="455"/>
          </reference>
          <reference field="14" count="1" selected="0">
            <x v="390"/>
          </reference>
          <reference field="18" count="1">
            <x v="3"/>
          </reference>
        </references>
      </pivotArea>
    </format>
    <format dxfId="6230">
      <pivotArea dataOnly="0" labelOnly="1" outline="0" fieldPosition="0">
        <references count="3">
          <reference field="11" count="1" selected="0">
            <x v="455"/>
          </reference>
          <reference field="14" count="1" selected="0">
            <x v="390"/>
          </reference>
          <reference field="18" count="1" defaultSubtotal="1">
            <x v="3"/>
          </reference>
        </references>
      </pivotArea>
    </format>
    <format dxfId="6229">
      <pivotArea dataOnly="0" labelOnly="1" outline="0" fieldPosition="0">
        <references count="3">
          <reference field="11" count="1" selected="0">
            <x v="456"/>
          </reference>
          <reference field="14" count="1" selected="0">
            <x v="452"/>
          </reference>
          <reference field="18" count="1">
            <x v="3"/>
          </reference>
        </references>
      </pivotArea>
    </format>
    <format dxfId="6228">
      <pivotArea dataOnly="0" labelOnly="1" outline="0" fieldPosition="0">
        <references count="3">
          <reference field="11" count="1" selected="0">
            <x v="456"/>
          </reference>
          <reference field="14" count="1" selected="0">
            <x v="452"/>
          </reference>
          <reference field="18" count="1" defaultSubtotal="1">
            <x v="3"/>
          </reference>
        </references>
      </pivotArea>
    </format>
    <format dxfId="6227">
      <pivotArea dataOnly="0" labelOnly="1" outline="0" fieldPosition="0">
        <references count="3">
          <reference field="11" count="1" selected="0">
            <x v="457"/>
          </reference>
          <reference field="14" count="1" selected="0">
            <x v="12"/>
          </reference>
          <reference field="18" count="1">
            <x v="3"/>
          </reference>
        </references>
      </pivotArea>
    </format>
    <format dxfId="6226">
      <pivotArea dataOnly="0" labelOnly="1" outline="0" fieldPosition="0">
        <references count="3">
          <reference field="11" count="1" selected="0">
            <x v="457"/>
          </reference>
          <reference field="14" count="1" selected="0">
            <x v="12"/>
          </reference>
          <reference field="18" count="1" defaultSubtotal="1">
            <x v="3"/>
          </reference>
        </references>
      </pivotArea>
    </format>
    <format dxfId="6225">
      <pivotArea dataOnly="0" labelOnly="1" outline="0" fieldPosition="0">
        <references count="3">
          <reference field="11" count="1" selected="0">
            <x v="458"/>
          </reference>
          <reference field="14" count="1" selected="0">
            <x v="367"/>
          </reference>
          <reference field="18" count="1">
            <x v="3"/>
          </reference>
        </references>
      </pivotArea>
    </format>
    <format dxfId="6224">
      <pivotArea dataOnly="0" labelOnly="1" outline="0" fieldPosition="0">
        <references count="3">
          <reference field="11" count="1" selected="0">
            <x v="458"/>
          </reference>
          <reference field="14" count="1" selected="0">
            <x v="367"/>
          </reference>
          <reference field="18" count="1" defaultSubtotal="1">
            <x v="3"/>
          </reference>
        </references>
      </pivotArea>
    </format>
    <format dxfId="6223">
      <pivotArea dataOnly="0" labelOnly="1" outline="0" fieldPosition="0">
        <references count="3">
          <reference field="11" count="1" selected="0">
            <x v="459"/>
          </reference>
          <reference field="14" count="1" selected="0">
            <x v="368"/>
          </reference>
          <reference field="18" count="1">
            <x v="3"/>
          </reference>
        </references>
      </pivotArea>
    </format>
    <format dxfId="6222">
      <pivotArea dataOnly="0" labelOnly="1" outline="0" fieldPosition="0">
        <references count="3">
          <reference field="11" count="1" selected="0">
            <x v="459"/>
          </reference>
          <reference field="14" count="1" selected="0">
            <x v="368"/>
          </reference>
          <reference field="18" count="1" defaultSubtotal="1">
            <x v="3"/>
          </reference>
        </references>
      </pivotArea>
    </format>
    <format dxfId="6221">
      <pivotArea dataOnly="0" labelOnly="1" outline="0" fieldPosition="0">
        <references count="3">
          <reference field="11" count="1" selected="0">
            <x v="460"/>
          </reference>
          <reference field="14" count="1" selected="0">
            <x v="369"/>
          </reference>
          <reference field="18" count="1">
            <x v="3"/>
          </reference>
        </references>
      </pivotArea>
    </format>
    <format dxfId="6220">
      <pivotArea dataOnly="0" labelOnly="1" outline="0" fieldPosition="0">
        <references count="3">
          <reference field="11" count="1" selected="0">
            <x v="460"/>
          </reference>
          <reference field="14" count="1" selected="0">
            <x v="369"/>
          </reference>
          <reference field="18" count="1" defaultSubtotal="1">
            <x v="3"/>
          </reference>
        </references>
      </pivotArea>
    </format>
    <format dxfId="6219">
      <pivotArea dataOnly="0" labelOnly="1" outline="0" fieldPosition="0">
        <references count="3">
          <reference field="11" count="1" selected="0">
            <x v="461"/>
          </reference>
          <reference field="14" count="1" selected="0">
            <x v="301"/>
          </reference>
          <reference field="18" count="3">
            <x v="7"/>
            <x v="8"/>
            <x v="13"/>
          </reference>
        </references>
      </pivotArea>
    </format>
    <format dxfId="6218">
      <pivotArea dataOnly="0" labelOnly="1" outline="0" fieldPosition="0">
        <references count="3">
          <reference field="11" count="1" selected="0">
            <x v="461"/>
          </reference>
          <reference field="14" count="1" selected="0">
            <x v="301"/>
          </reference>
          <reference field="18" count="3" defaultSubtotal="1">
            <x v="7"/>
            <x v="8"/>
            <x v="13"/>
          </reference>
        </references>
      </pivotArea>
    </format>
    <format dxfId="6217">
      <pivotArea dataOnly="0" labelOnly="1" outline="0" fieldPosition="0">
        <references count="3">
          <reference field="11" count="1" selected="0">
            <x v="462"/>
          </reference>
          <reference field="14" count="1" selected="0">
            <x v="434"/>
          </reference>
          <reference field="18" count="1">
            <x v="19"/>
          </reference>
        </references>
      </pivotArea>
    </format>
    <format dxfId="6216">
      <pivotArea dataOnly="0" labelOnly="1" outline="0" fieldPosition="0">
        <references count="3">
          <reference field="11" count="1" selected="0">
            <x v="462"/>
          </reference>
          <reference field="14" count="1" selected="0">
            <x v="434"/>
          </reference>
          <reference field="18" count="1" defaultSubtotal="1">
            <x v="19"/>
          </reference>
        </references>
      </pivotArea>
    </format>
    <format dxfId="6215">
      <pivotArea dataOnly="0" labelOnly="1" outline="0" fieldPosition="0">
        <references count="3">
          <reference field="11" count="1" selected="0">
            <x v="463"/>
          </reference>
          <reference field="14" count="1" selected="0">
            <x v="440"/>
          </reference>
          <reference field="18" count="1">
            <x v="19"/>
          </reference>
        </references>
      </pivotArea>
    </format>
    <format dxfId="6214">
      <pivotArea dataOnly="0" labelOnly="1" outline="0" fieldPosition="0">
        <references count="3">
          <reference field="11" count="1" selected="0">
            <x v="463"/>
          </reference>
          <reference field="14" count="1" selected="0">
            <x v="440"/>
          </reference>
          <reference field="18" count="1" defaultSubtotal="1">
            <x v="19"/>
          </reference>
        </references>
      </pivotArea>
    </format>
    <format dxfId="6213">
      <pivotArea dataOnly="0" labelOnly="1" outline="0" fieldPosition="0">
        <references count="3">
          <reference field="11" count="1" selected="0">
            <x v="464"/>
          </reference>
          <reference field="14" count="1" selected="0">
            <x v="442"/>
          </reference>
          <reference field="18" count="1">
            <x v="19"/>
          </reference>
        </references>
      </pivotArea>
    </format>
    <format dxfId="6212">
      <pivotArea dataOnly="0" labelOnly="1" outline="0" fieldPosition="0">
        <references count="3">
          <reference field="11" count="1" selected="0">
            <x v="464"/>
          </reference>
          <reference field="14" count="1" selected="0">
            <x v="442"/>
          </reference>
          <reference field="18" count="1" defaultSubtotal="1">
            <x v="19"/>
          </reference>
        </references>
      </pivotArea>
    </format>
    <format dxfId="6211">
      <pivotArea dataOnly="0" labelOnly="1" outline="0" fieldPosition="0">
        <references count="3">
          <reference field="11" count="1" selected="0">
            <x v="465"/>
          </reference>
          <reference field="14" count="1" selected="0">
            <x v="355"/>
          </reference>
          <reference field="18" count="1">
            <x v="27"/>
          </reference>
        </references>
      </pivotArea>
    </format>
    <format dxfId="6210">
      <pivotArea dataOnly="0" labelOnly="1" outline="0" fieldPosition="0">
        <references count="3">
          <reference field="11" count="1" selected="0">
            <x v="465"/>
          </reference>
          <reference field="14" count="1" selected="0">
            <x v="355"/>
          </reference>
          <reference field="18" count="1" defaultSubtotal="1">
            <x v="27"/>
          </reference>
        </references>
      </pivotArea>
    </format>
    <format dxfId="6209">
      <pivotArea dataOnly="0" labelOnly="1" outline="0" fieldPosition="0">
        <references count="3">
          <reference field="11" count="1" selected="0">
            <x v="466"/>
          </reference>
          <reference field="14" count="1" selected="0">
            <x v="115"/>
          </reference>
          <reference field="18" count="1">
            <x v="27"/>
          </reference>
        </references>
      </pivotArea>
    </format>
    <format dxfId="6208">
      <pivotArea dataOnly="0" labelOnly="1" outline="0" fieldPosition="0">
        <references count="3">
          <reference field="11" count="1" selected="0">
            <x v="466"/>
          </reference>
          <reference field="14" count="1" selected="0">
            <x v="115"/>
          </reference>
          <reference field="18" count="1" defaultSubtotal="1">
            <x v="27"/>
          </reference>
        </references>
      </pivotArea>
    </format>
    <format dxfId="6207">
      <pivotArea dataOnly="0" labelOnly="1" outline="0" fieldPosition="0">
        <references count="3">
          <reference field="11" count="1" selected="0">
            <x v="467"/>
          </reference>
          <reference field="14" count="1" selected="0">
            <x v="270"/>
          </reference>
          <reference field="18" count="1">
            <x v="2"/>
          </reference>
        </references>
      </pivotArea>
    </format>
    <format dxfId="6206">
      <pivotArea dataOnly="0" labelOnly="1" outline="0" fieldPosition="0">
        <references count="3">
          <reference field="11" count="1" selected="0">
            <x v="467"/>
          </reference>
          <reference field="14" count="1" selected="0">
            <x v="270"/>
          </reference>
          <reference field="18" count="1" defaultSubtotal="1">
            <x v="2"/>
          </reference>
        </references>
      </pivotArea>
    </format>
    <format dxfId="6205">
      <pivotArea dataOnly="0" labelOnly="1" outline="0" fieldPosition="0">
        <references count="3">
          <reference field="11" count="1" selected="0">
            <x v="468"/>
          </reference>
          <reference field="14" count="1" selected="0">
            <x v="380"/>
          </reference>
          <reference field="18" count="1">
            <x v="6"/>
          </reference>
        </references>
      </pivotArea>
    </format>
    <format dxfId="6204">
      <pivotArea dataOnly="0" labelOnly="1" outline="0" fieldPosition="0">
        <references count="3">
          <reference field="11" count="1" selected="0">
            <x v="468"/>
          </reference>
          <reference field="14" count="1" selected="0">
            <x v="380"/>
          </reference>
          <reference field="18" count="1" defaultSubtotal="1">
            <x v="6"/>
          </reference>
        </references>
      </pivotArea>
    </format>
    <format dxfId="6203">
      <pivotArea dataOnly="0" labelOnly="1" outline="0" fieldPosition="0">
        <references count="3">
          <reference field="11" count="1" selected="0">
            <x v="469"/>
          </reference>
          <reference field="14" count="1" selected="0">
            <x v="291"/>
          </reference>
          <reference field="18" count="3">
            <x v="6"/>
            <x v="24"/>
            <x v="25"/>
          </reference>
        </references>
      </pivotArea>
    </format>
    <format dxfId="6202">
      <pivotArea dataOnly="0" labelOnly="1" outline="0" fieldPosition="0">
        <references count="3">
          <reference field="11" count="1" selected="0">
            <x v="469"/>
          </reference>
          <reference field="14" count="1" selected="0">
            <x v="291"/>
          </reference>
          <reference field="18" count="3" defaultSubtotal="1">
            <x v="6"/>
            <x v="24"/>
            <x v="25"/>
          </reference>
        </references>
      </pivotArea>
    </format>
    <format dxfId="6201">
      <pivotArea dataOnly="0" labelOnly="1" outline="0" fieldPosition="0">
        <references count="3">
          <reference field="11" count="1" selected="0">
            <x v="470"/>
          </reference>
          <reference field="14" count="1" selected="0">
            <x v="100"/>
          </reference>
          <reference field="18" count="1">
            <x v="0"/>
          </reference>
        </references>
      </pivotArea>
    </format>
    <format dxfId="6200">
      <pivotArea dataOnly="0" labelOnly="1" outline="0" fieldPosition="0">
        <references count="3">
          <reference field="11" count="1" selected="0">
            <x v="470"/>
          </reference>
          <reference field="14" count="1" selected="0">
            <x v="100"/>
          </reference>
          <reference field="18" count="1" defaultSubtotal="1">
            <x v="0"/>
          </reference>
        </references>
      </pivotArea>
    </format>
    <format dxfId="6199">
      <pivotArea dataOnly="0" labelOnly="1" outline="0" fieldPosition="0">
        <references count="3">
          <reference field="11" count="1" selected="0">
            <x v="471"/>
          </reference>
          <reference field="14" count="1" selected="0">
            <x v="295"/>
          </reference>
          <reference field="18" count="1">
            <x v="2"/>
          </reference>
        </references>
      </pivotArea>
    </format>
    <format dxfId="6198">
      <pivotArea dataOnly="0" labelOnly="1" outline="0" fieldPosition="0">
        <references count="3">
          <reference field="11" count="1" selected="0">
            <x v="471"/>
          </reference>
          <reference field="14" count="1" selected="0">
            <x v="295"/>
          </reference>
          <reference field="18" count="1" defaultSubtotal="1">
            <x v="2"/>
          </reference>
        </references>
      </pivotArea>
    </format>
    <format dxfId="6197">
      <pivotArea dataOnly="0" labelOnly="1" outline="0" fieldPosition="0">
        <references count="3">
          <reference field="11" count="1" selected="0">
            <x v="472"/>
          </reference>
          <reference field="14" count="1" selected="0">
            <x v="325"/>
          </reference>
          <reference field="18" count="1">
            <x v="6"/>
          </reference>
        </references>
      </pivotArea>
    </format>
    <format dxfId="6196">
      <pivotArea dataOnly="0" labelOnly="1" outline="0" fieldPosition="0">
        <references count="3">
          <reference field="11" count="1" selected="0">
            <x v="472"/>
          </reference>
          <reference field="14" count="1" selected="0">
            <x v="325"/>
          </reference>
          <reference field="18" count="1" defaultSubtotal="1">
            <x v="6"/>
          </reference>
        </references>
      </pivotArea>
    </format>
    <format dxfId="6195">
      <pivotArea dataOnly="0" labelOnly="1" outline="0" fieldPosition="0">
        <references count="3">
          <reference field="11" count="1" selected="0">
            <x v="473"/>
          </reference>
          <reference field="14" count="1" selected="0">
            <x v="425"/>
          </reference>
          <reference field="18" count="1">
            <x v="19"/>
          </reference>
        </references>
      </pivotArea>
    </format>
    <format dxfId="6194">
      <pivotArea dataOnly="0" labelOnly="1" outline="0" fieldPosition="0">
        <references count="3">
          <reference field="11" count="1" selected="0">
            <x v="473"/>
          </reference>
          <reference field="14" count="1" selected="0">
            <x v="425"/>
          </reference>
          <reference field="18" count="1" defaultSubtotal="1">
            <x v="19"/>
          </reference>
        </references>
      </pivotArea>
    </format>
    <format dxfId="6193">
      <pivotArea dataOnly="0" labelOnly="1" outline="0" fieldPosition="0">
        <references count="3">
          <reference field="11" count="1" selected="0">
            <x v="474"/>
          </reference>
          <reference field="14" count="1" selected="0">
            <x v="424"/>
          </reference>
          <reference field="18" count="1">
            <x v="19"/>
          </reference>
        </references>
      </pivotArea>
    </format>
    <format dxfId="6192">
      <pivotArea dataOnly="0" labelOnly="1" outline="0" fieldPosition="0">
        <references count="3">
          <reference field="11" count="1" selected="0">
            <x v="474"/>
          </reference>
          <reference field="14" count="1" selected="0">
            <x v="424"/>
          </reference>
          <reference field="18" count="1" defaultSubtotal="1">
            <x v="19"/>
          </reference>
        </references>
      </pivotArea>
    </format>
    <format dxfId="6191">
      <pivotArea dataOnly="0" labelOnly="1" outline="0" fieldPosition="0">
        <references count="3">
          <reference field="11" count="1" selected="0">
            <x v="475"/>
          </reference>
          <reference field="14" count="1" selected="0">
            <x v="435"/>
          </reference>
          <reference field="18" count="1">
            <x v="19"/>
          </reference>
        </references>
      </pivotArea>
    </format>
    <format dxfId="6190">
      <pivotArea dataOnly="0" labelOnly="1" outline="0" fieldPosition="0">
        <references count="3">
          <reference field="11" count="1" selected="0">
            <x v="475"/>
          </reference>
          <reference field="14" count="1" selected="0">
            <x v="435"/>
          </reference>
          <reference field="18" count="1" defaultSubtotal="1">
            <x v="19"/>
          </reference>
        </references>
      </pivotArea>
    </format>
    <format dxfId="6189">
      <pivotArea dataOnly="0" labelOnly="1" outline="0" fieldPosition="0">
        <references count="3">
          <reference field="11" count="1" selected="0">
            <x v="476"/>
          </reference>
          <reference field="14" count="1" selected="0">
            <x v="151"/>
          </reference>
          <reference field="18" count="1">
            <x v="0"/>
          </reference>
        </references>
      </pivotArea>
    </format>
    <format dxfId="6188">
      <pivotArea dataOnly="0" labelOnly="1" outline="0" fieldPosition="0">
        <references count="3">
          <reference field="11" count="1" selected="0">
            <x v="476"/>
          </reference>
          <reference field="14" count="1" selected="0">
            <x v="151"/>
          </reference>
          <reference field="18" count="1" defaultSubtotal="1">
            <x v="0"/>
          </reference>
        </references>
      </pivotArea>
    </format>
    <format dxfId="6187">
      <pivotArea dataOnly="0" labelOnly="1" outline="0" fieldPosition="0">
        <references count="3">
          <reference field="11" count="1" selected="0">
            <x v="477"/>
          </reference>
          <reference field="14" count="1" selected="0">
            <x v="419"/>
          </reference>
          <reference field="18" count="1">
            <x v="19"/>
          </reference>
        </references>
      </pivotArea>
    </format>
    <format dxfId="6186">
      <pivotArea dataOnly="0" labelOnly="1" outline="0" fieldPosition="0">
        <references count="3">
          <reference field="11" count="1" selected="0">
            <x v="477"/>
          </reference>
          <reference field="14" count="1" selected="0">
            <x v="419"/>
          </reference>
          <reference field="18" count="1" defaultSubtotal="1">
            <x v="19"/>
          </reference>
        </references>
      </pivotArea>
    </format>
    <format dxfId="6185">
      <pivotArea dataOnly="0" labelOnly="1" outline="0" fieldPosition="0">
        <references count="3">
          <reference field="11" count="1" selected="0">
            <x v="478"/>
          </reference>
          <reference field="14" count="1" selected="0">
            <x v="308"/>
          </reference>
          <reference field="18" count="1">
            <x v="19"/>
          </reference>
        </references>
      </pivotArea>
    </format>
    <format dxfId="6184">
      <pivotArea dataOnly="0" labelOnly="1" outline="0" fieldPosition="0">
        <references count="3">
          <reference field="11" count="1" selected="0">
            <x v="478"/>
          </reference>
          <reference field="14" count="1" selected="0">
            <x v="308"/>
          </reference>
          <reference field="18" count="1" defaultSubtotal="1">
            <x v="19"/>
          </reference>
        </references>
      </pivotArea>
    </format>
    <format dxfId="6183">
      <pivotArea dataOnly="0" labelOnly="1" outline="0" fieldPosition="0">
        <references count="3">
          <reference field="11" count="1" selected="0">
            <x v="479"/>
          </reference>
          <reference field="14" count="1" selected="0">
            <x v="312"/>
          </reference>
          <reference field="18" count="1">
            <x v="19"/>
          </reference>
        </references>
      </pivotArea>
    </format>
    <format dxfId="6182">
      <pivotArea dataOnly="0" labelOnly="1" outline="0" fieldPosition="0">
        <references count="3">
          <reference field="11" count="1" selected="0">
            <x v="479"/>
          </reference>
          <reference field="14" count="1" selected="0">
            <x v="312"/>
          </reference>
          <reference field="18" count="1" defaultSubtotal="1">
            <x v="19"/>
          </reference>
        </references>
      </pivotArea>
    </format>
    <format dxfId="6181">
      <pivotArea dataOnly="0" labelOnly="1" outline="0" fieldPosition="0">
        <references count="3">
          <reference field="11" count="1" selected="0">
            <x v="480"/>
          </reference>
          <reference field="14" count="1" selected="0">
            <x v="423"/>
          </reference>
          <reference field="18" count="1">
            <x v="19"/>
          </reference>
        </references>
      </pivotArea>
    </format>
    <format dxfId="6180">
      <pivotArea dataOnly="0" labelOnly="1" outline="0" fieldPosition="0">
        <references count="3">
          <reference field="11" count="1" selected="0">
            <x v="480"/>
          </reference>
          <reference field="14" count="1" selected="0">
            <x v="423"/>
          </reference>
          <reference field="18" count="1" defaultSubtotal="1">
            <x v="19"/>
          </reference>
        </references>
      </pivotArea>
    </format>
    <format dxfId="6179">
      <pivotArea dataOnly="0" labelOnly="1" outline="0" fieldPosition="0">
        <references count="3">
          <reference field="11" count="1" selected="0">
            <x v="481"/>
          </reference>
          <reference field="14" count="1" selected="0">
            <x v="455"/>
          </reference>
          <reference field="18" count="2">
            <x v="12"/>
            <x v="14"/>
          </reference>
        </references>
      </pivotArea>
    </format>
    <format dxfId="6178">
      <pivotArea dataOnly="0" labelOnly="1" outline="0" fieldPosition="0">
        <references count="3">
          <reference field="11" count="1" selected="0">
            <x v="481"/>
          </reference>
          <reference field="14" count="1" selected="0">
            <x v="455"/>
          </reference>
          <reference field="18" count="2" defaultSubtotal="1">
            <x v="12"/>
            <x v="14"/>
          </reference>
        </references>
      </pivotArea>
    </format>
    <format dxfId="6177">
      <pivotArea dataOnly="0" labelOnly="1" outline="0" fieldPosition="0">
        <references count="3">
          <reference field="11" count="1" selected="0">
            <x v="482"/>
          </reference>
          <reference field="14" count="1" selected="0">
            <x v="38"/>
          </reference>
          <reference field="18" count="2">
            <x v="12"/>
            <x v="14"/>
          </reference>
        </references>
      </pivotArea>
    </format>
    <format dxfId="6176">
      <pivotArea dataOnly="0" labelOnly="1" outline="0" fieldPosition="0">
        <references count="3">
          <reference field="11" count="1" selected="0">
            <x v="482"/>
          </reference>
          <reference field="14" count="1" selected="0">
            <x v="38"/>
          </reference>
          <reference field="18" count="2" defaultSubtotal="1">
            <x v="12"/>
            <x v="14"/>
          </reference>
        </references>
      </pivotArea>
    </format>
    <format dxfId="6175">
      <pivotArea dataOnly="0" labelOnly="1" outline="0" fieldPosition="0">
        <references count="3">
          <reference field="11" count="1" selected="0">
            <x v="483"/>
          </reference>
          <reference field="14" count="1" selected="0">
            <x v="207"/>
          </reference>
          <reference field="18" count="2">
            <x v="14"/>
            <x v="26"/>
          </reference>
        </references>
      </pivotArea>
    </format>
    <format dxfId="6174">
      <pivotArea dataOnly="0" labelOnly="1" outline="0" fieldPosition="0">
        <references count="3">
          <reference field="11" count="1" selected="0">
            <x v="483"/>
          </reference>
          <reference field="14" count="1" selected="0">
            <x v="207"/>
          </reference>
          <reference field="18" count="2" defaultSubtotal="1">
            <x v="14"/>
            <x v="26"/>
          </reference>
        </references>
      </pivotArea>
    </format>
    <format dxfId="6173">
      <pivotArea dataOnly="0" labelOnly="1" outline="0" fieldPosition="0">
        <references count="3">
          <reference field="11" count="1" selected="0">
            <x v="484"/>
          </reference>
          <reference field="14" count="1" selected="0">
            <x v="49"/>
          </reference>
          <reference field="18" count="2">
            <x v="14"/>
            <x v="26"/>
          </reference>
        </references>
      </pivotArea>
    </format>
    <format dxfId="6172">
      <pivotArea dataOnly="0" labelOnly="1" outline="0" fieldPosition="0">
        <references count="3">
          <reference field="11" count="1" selected="0">
            <x v="484"/>
          </reference>
          <reference field="14" count="1" selected="0">
            <x v="49"/>
          </reference>
          <reference field="18" count="2" defaultSubtotal="1">
            <x v="14"/>
            <x v="26"/>
          </reference>
        </references>
      </pivotArea>
    </format>
    <format dxfId="6171">
      <pivotArea dataOnly="0" labelOnly="1" outline="0" fieldPosition="0">
        <references count="3">
          <reference field="11" count="1" selected="0">
            <x v="485"/>
          </reference>
          <reference field="14" count="1" selected="0">
            <x v="49"/>
          </reference>
          <reference field="18" count="2">
            <x v="14"/>
            <x v="26"/>
          </reference>
        </references>
      </pivotArea>
    </format>
    <format dxfId="6170">
      <pivotArea dataOnly="0" labelOnly="1" outline="0" fieldPosition="0">
        <references count="3">
          <reference field="11" count="1" selected="0">
            <x v="485"/>
          </reference>
          <reference field="14" count="1" selected="0">
            <x v="49"/>
          </reference>
          <reference field="18" count="2" defaultSubtotal="1">
            <x v="14"/>
            <x v="26"/>
          </reference>
        </references>
      </pivotArea>
    </format>
    <format dxfId="6169">
      <pivotArea dataOnly="0" labelOnly="1" outline="0" fieldPosition="0">
        <references count="3">
          <reference field="11" count="1" selected="0">
            <x v="486"/>
          </reference>
          <reference field="14" count="1" selected="0">
            <x v="207"/>
          </reference>
          <reference field="18" count="2">
            <x v="14"/>
            <x v="26"/>
          </reference>
        </references>
      </pivotArea>
    </format>
    <format dxfId="6168">
      <pivotArea dataOnly="0" labelOnly="1" outline="0" fieldPosition="0">
        <references count="3">
          <reference field="11" count="1" selected="0">
            <x v="486"/>
          </reference>
          <reference field="14" count="1" selected="0">
            <x v="207"/>
          </reference>
          <reference field="18" count="2" defaultSubtotal="1">
            <x v="14"/>
            <x v="26"/>
          </reference>
        </references>
      </pivotArea>
    </format>
    <format dxfId="6167">
      <pivotArea dataOnly="0" labelOnly="1" outline="0" fieldPosition="0">
        <references count="3">
          <reference field="11" count="1" selected="0">
            <x v="487"/>
          </reference>
          <reference field="14" count="1" selected="0">
            <x v="32"/>
          </reference>
          <reference field="18" count="2">
            <x v="0"/>
            <x v="27"/>
          </reference>
        </references>
      </pivotArea>
    </format>
    <format dxfId="6166">
      <pivotArea dataOnly="0" labelOnly="1" outline="0" fieldPosition="0">
        <references count="3">
          <reference field="11" count="1" selected="0">
            <x v="487"/>
          </reference>
          <reference field="14" count="1" selected="0">
            <x v="32"/>
          </reference>
          <reference field="18" count="2" defaultSubtotal="1">
            <x v="0"/>
            <x v="27"/>
          </reference>
        </references>
      </pivotArea>
    </format>
    <format dxfId="6165">
      <pivotArea dataOnly="0" labelOnly="1" outline="0" fieldPosition="0">
        <references count="3">
          <reference field="11" count="1" selected="0">
            <x v="488"/>
          </reference>
          <reference field="14" count="1" selected="0">
            <x v="484"/>
          </reference>
          <reference field="18" count="1">
            <x v="28"/>
          </reference>
        </references>
      </pivotArea>
    </format>
    <format dxfId="6164">
      <pivotArea dataOnly="0" labelOnly="1" outline="0" fieldPosition="0">
        <references count="3">
          <reference field="11" count="1" selected="0">
            <x v="488"/>
          </reference>
          <reference field="14" count="1" selected="0">
            <x v="484"/>
          </reference>
          <reference field="18" count="1" defaultSubtotal="1">
            <x v="28"/>
          </reference>
        </references>
      </pivotArea>
    </format>
    <format dxfId="6163">
      <pivotArea dataOnly="0" labelOnly="1" outline="0" fieldPosition="0">
        <references count="4">
          <reference field="11" count="1" selected="0">
            <x v="0"/>
          </reference>
          <reference field="14" count="1" selected="0">
            <x v="90"/>
          </reference>
          <reference field="18" count="1" selected="0">
            <x v="0"/>
          </reference>
          <reference field="19" count="1">
            <x v="16"/>
          </reference>
        </references>
      </pivotArea>
    </format>
    <format dxfId="6162">
      <pivotArea dataOnly="0" labelOnly="1" outline="0" fieldPosition="0">
        <references count="4">
          <reference field="11" count="1" selected="0">
            <x v="1"/>
          </reference>
          <reference field="14" count="1" selected="0">
            <x v="230"/>
          </reference>
          <reference field="18" count="1" selected="0">
            <x v="2"/>
          </reference>
          <reference field="19" count="1">
            <x v="22"/>
          </reference>
        </references>
      </pivotArea>
    </format>
    <format dxfId="6161">
      <pivotArea dataOnly="0" labelOnly="1" outline="0" fieldPosition="0">
        <references count="4">
          <reference field="11" count="1" selected="0">
            <x v="1"/>
          </reference>
          <reference field="14" count="1" selected="0">
            <x v="230"/>
          </reference>
          <reference field="18" count="1" selected="0">
            <x v="3"/>
          </reference>
          <reference field="19" count="1">
            <x v="15"/>
          </reference>
        </references>
      </pivotArea>
    </format>
    <format dxfId="6160">
      <pivotArea dataOnly="0" labelOnly="1" outline="0" fieldPosition="0">
        <references count="4">
          <reference field="11" count="1" selected="0">
            <x v="1"/>
          </reference>
          <reference field="14" count="1" selected="0">
            <x v="230"/>
          </reference>
          <reference field="18" count="1" selected="0">
            <x v="12"/>
          </reference>
          <reference field="19" count="1">
            <x v="13"/>
          </reference>
        </references>
      </pivotArea>
    </format>
    <format dxfId="6159">
      <pivotArea dataOnly="0" labelOnly="1" outline="0" fieldPosition="0">
        <references count="4">
          <reference field="11" count="1" selected="0">
            <x v="2"/>
          </reference>
          <reference field="14" count="1" selected="0">
            <x v="226"/>
          </reference>
          <reference field="18" count="1" selected="0">
            <x v="7"/>
          </reference>
          <reference field="19" count="1">
            <x v="4"/>
          </reference>
        </references>
      </pivotArea>
    </format>
    <format dxfId="6158">
      <pivotArea dataOnly="0" labelOnly="1" outline="0" fieldPosition="0">
        <references count="4">
          <reference field="11" count="1" selected="0">
            <x v="2"/>
          </reference>
          <reference field="14" count="1" selected="0">
            <x v="226"/>
          </reference>
          <reference field="18" count="1" selected="0">
            <x v="12"/>
          </reference>
          <reference field="19" count="1">
            <x v="13"/>
          </reference>
        </references>
      </pivotArea>
    </format>
    <format dxfId="6157">
      <pivotArea dataOnly="0" labelOnly="1" outline="0" fieldPosition="0">
        <references count="4">
          <reference field="11" count="1" selected="0">
            <x v="3"/>
          </reference>
          <reference field="14" count="1" selected="0">
            <x v="31"/>
          </reference>
          <reference field="18" count="1" selected="0">
            <x v="7"/>
          </reference>
          <reference field="19" count="1">
            <x v="4"/>
          </reference>
        </references>
      </pivotArea>
    </format>
    <format dxfId="6156">
      <pivotArea dataOnly="0" labelOnly="1" outline="0" fieldPosition="0">
        <references count="4">
          <reference field="11" count="1" selected="0">
            <x v="3"/>
          </reference>
          <reference field="14" count="1" selected="0">
            <x v="31"/>
          </reference>
          <reference field="18" count="1" selected="0">
            <x v="12"/>
          </reference>
          <reference field="19" count="1">
            <x v="13"/>
          </reference>
        </references>
      </pivotArea>
    </format>
    <format dxfId="6155">
      <pivotArea dataOnly="0" labelOnly="1" outline="0" fieldPosition="0">
        <references count="4">
          <reference field="11" count="1" selected="0">
            <x v="4"/>
          </reference>
          <reference field="14" count="1" selected="0">
            <x v="233"/>
          </reference>
          <reference field="18" count="1" selected="0">
            <x v="7"/>
          </reference>
          <reference field="19" count="1">
            <x v="4"/>
          </reference>
        </references>
      </pivotArea>
    </format>
    <format dxfId="6154">
      <pivotArea dataOnly="0" labelOnly="1" outline="0" fieldPosition="0">
        <references count="4">
          <reference field="11" count="1" selected="0">
            <x v="4"/>
          </reference>
          <reference field="14" count="1" selected="0">
            <x v="233"/>
          </reference>
          <reference field="18" count="1" selected="0">
            <x v="12"/>
          </reference>
          <reference field="19" count="1">
            <x v="13"/>
          </reference>
        </references>
      </pivotArea>
    </format>
    <format dxfId="6153">
      <pivotArea dataOnly="0" labelOnly="1" outline="0" fieldPosition="0">
        <references count="4">
          <reference field="11" count="1" selected="0">
            <x v="5"/>
          </reference>
          <reference field="14" count="1" selected="0">
            <x v="232"/>
          </reference>
          <reference field="18" count="1" selected="0">
            <x v="2"/>
          </reference>
          <reference field="19" count="1">
            <x v="22"/>
          </reference>
        </references>
      </pivotArea>
    </format>
    <format dxfId="6152">
      <pivotArea dataOnly="0" labelOnly="1" outline="0" fieldPosition="0">
        <references count="4">
          <reference field="11" count="1" selected="0">
            <x v="5"/>
          </reference>
          <reference field="14" count="1" selected="0">
            <x v="232"/>
          </reference>
          <reference field="18" count="1" selected="0">
            <x v="12"/>
          </reference>
          <reference field="19" count="1">
            <x v="13"/>
          </reference>
        </references>
      </pivotArea>
    </format>
    <format dxfId="6151">
      <pivotArea dataOnly="0" labelOnly="1" outline="0" fieldPosition="0">
        <references count="4">
          <reference field="11" count="1" selected="0">
            <x v="6"/>
          </reference>
          <reference field="14" count="1" selected="0">
            <x v="19"/>
          </reference>
          <reference field="18" count="1" selected="0">
            <x v="3"/>
          </reference>
          <reference field="19" count="1">
            <x v="15"/>
          </reference>
        </references>
      </pivotArea>
    </format>
    <format dxfId="6150">
      <pivotArea dataOnly="0" labelOnly="1" outline="0" fieldPosition="0">
        <references count="4">
          <reference field="11" count="1" selected="0">
            <x v="6"/>
          </reference>
          <reference field="14" count="1" selected="0">
            <x v="19"/>
          </reference>
          <reference field="18" count="1" selected="0">
            <x v="12"/>
          </reference>
          <reference field="19" count="1">
            <x v="13"/>
          </reference>
        </references>
      </pivotArea>
    </format>
    <format dxfId="6149">
      <pivotArea dataOnly="0" labelOnly="1" outline="0" fieldPosition="0">
        <references count="4">
          <reference field="11" count="1" selected="0">
            <x v="7"/>
          </reference>
          <reference field="14" count="1" selected="0">
            <x v="351"/>
          </reference>
          <reference field="18" count="1" selected="0">
            <x v="27"/>
          </reference>
          <reference field="19" count="1">
            <x v="17"/>
          </reference>
        </references>
      </pivotArea>
    </format>
    <format dxfId="6148">
      <pivotArea dataOnly="0" labelOnly="1" outline="0" fieldPosition="0">
        <references count="4">
          <reference field="11" count="1" selected="0">
            <x v="8"/>
          </reference>
          <reference field="14" count="1" selected="0">
            <x v="375"/>
          </reference>
          <reference field="18" count="1" selected="0">
            <x v="2"/>
          </reference>
          <reference field="19" count="1">
            <x v="22"/>
          </reference>
        </references>
      </pivotArea>
    </format>
    <format dxfId="6147">
      <pivotArea dataOnly="0" labelOnly="1" outline="0" fieldPosition="0">
        <references count="4">
          <reference field="11" count="1" selected="0">
            <x v="9"/>
          </reference>
          <reference field="14" count="1" selected="0">
            <x v="50"/>
          </reference>
          <reference field="18" count="1" selected="0">
            <x v="15"/>
          </reference>
          <reference field="19" count="1">
            <x v="25"/>
          </reference>
        </references>
      </pivotArea>
    </format>
    <format dxfId="6146">
      <pivotArea dataOnly="0" labelOnly="1" outline="0" fieldPosition="0">
        <references count="4">
          <reference field="11" count="1" selected="0">
            <x v="10"/>
          </reference>
          <reference field="14" count="1" selected="0">
            <x v="150"/>
          </reference>
          <reference field="18" count="1" selected="0">
            <x v="4"/>
          </reference>
          <reference field="19" count="1">
            <x v="10"/>
          </reference>
        </references>
      </pivotArea>
    </format>
    <format dxfId="6145">
      <pivotArea dataOnly="0" labelOnly="1" outline="0" fieldPosition="0">
        <references count="4">
          <reference field="11" count="1" selected="0">
            <x v="11"/>
          </reference>
          <reference field="14" count="1" selected="0">
            <x v="265"/>
          </reference>
          <reference field="18" count="1" selected="0">
            <x v="1"/>
          </reference>
          <reference field="19" count="1">
            <x v="18"/>
          </reference>
        </references>
      </pivotArea>
    </format>
    <format dxfId="6144">
      <pivotArea dataOnly="0" labelOnly="1" outline="0" fieldPosition="0">
        <references count="4">
          <reference field="11" count="1" selected="0">
            <x v="12"/>
          </reference>
          <reference field="14" count="1" selected="0">
            <x v="256"/>
          </reference>
          <reference field="18" count="1" selected="0">
            <x v="2"/>
          </reference>
          <reference field="19" count="1">
            <x v="22"/>
          </reference>
        </references>
      </pivotArea>
    </format>
    <format dxfId="6143">
      <pivotArea dataOnly="0" labelOnly="1" outline="0" fieldPosition="0">
        <references count="4">
          <reference field="11" count="1" selected="0">
            <x v="13"/>
          </reference>
          <reference field="14" count="1" selected="0">
            <x v="304"/>
          </reference>
          <reference field="18" count="1" selected="0">
            <x v="2"/>
          </reference>
          <reference field="19" count="1">
            <x v="22"/>
          </reference>
        </references>
      </pivotArea>
    </format>
    <format dxfId="6142">
      <pivotArea dataOnly="0" labelOnly="1" outline="0" fieldPosition="0">
        <references count="4">
          <reference field="11" count="1" selected="0">
            <x v="14"/>
          </reference>
          <reference field="14" count="1" selected="0">
            <x v="17"/>
          </reference>
          <reference field="18" count="1" selected="0">
            <x v="7"/>
          </reference>
          <reference field="19" count="1">
            <x v="4"/>
          </reference>
        </references>
      </pivotArea>
    </format>
    <format dxfId="6141">
      <pivotArea dataOnly="0" labelOnly="1" outline="0" fieldPosition="0">
        <references count="4">
          <reference field="11" count="1" selected="0">
            <x v="14"/>
          </reference>
          <reference field="14" count="1" selected="0">
            <x v="17"/>
          </reference>
          <reference field="18" count="1" selected="0">
            <x v="12"/>
          </reference>
          <reference field="19" count="1">
            <x v="13"/>
          </reference>
        </references>
      </pivotArea>
    </format>
    <format dxfId="6140">
      <pivotArea dataOnly="0" labelOnly="1" outline="0" fieldPosition="0">
        <references count="4">
          <reference field="11" count="1" selected="0">
            <x v="15"/>
          </reference>
          <reference field="14" count="1" selected="0">
            <x v="378"/>
          </reference>
          <reference field="18" count="1" selected="0">
            <x v="6"/>
          </reference>
          <reference field="19" count="1">
            <x v="23"/>
          </reference>
        </references>
      </pivotArea>
    </format>
    <format dxfId="6139">
      <pivotArea dataOnly="0" labelOnly="1" outline="0" fieldPosition="0">
        <references count="4">
          <reference field="11" count="1" selected="0">
            <x v="16"/>
          </reference>
          <reference field="14" count="1" selected="0">
            <x v="286"/>
          </reference>
          <reference field="18" count="1" selected="0">
            <x v="0"/>
          </reference>
          <reference field="19" count="1">
            <x v="16"/>
          </reference>
        </references>
      </pivotArea>
    </format>
    <format dxfId="6138">
      <pivotArea dataOnly="0" labelOnly="1" outline="0" fieldPosition="0">
        <references count="4">
          <reference field="11" count="1" selected="0">
            <x v="17"/>
          </reference>
          <reference field="14" count="1" selected="0">
            <x v="116"/>
          </reference>
          <reference field="18" count="1" selected="0">
            <x v="3"/>
          </reference>
          <reference field="19" count="1">
            <x v="15"/>
          </reference>
        </references>
      </pivotArea>
    </format>
    <format dxfId="6137">
      <pivotArea dataOnly="0" labelOnly="1" outline="0" fieldPosition="0">
        <references count="4">
          <reference field="11" count="1" selected="0">
            <x v="18"/>
          </reference>
          <reference field="14" count="1" selected="0">
            <x v="176"/>
          </reference>
          <reference field="18" count="1" selected="0">
            <x v="6"/>
          </reference>
          <reference field="19" count="1">
            <x v="23"/>
          </reference>
        </references>
      </pivotArea>
    </format>
    <format dxfId="6136">
      <pivotArea dataOnly="0" labelOnly="1" outline="0" fieldPosition="0">
        <references count="4">
          <reference field="11" count="1" selected="0">
            <x v="19"/>
          </reference>
          <reference field="14" count="1" selected="0">
            <x v="460"/>
          </reference>
          <reference field="18" count="1" selected="0">
            <x v="24"/>
          </reference>
          <reference field="19" count="1">
            <x v="7"/>
          </reference>
        </references>
      </pivotArea>
    </format>
    <format dxfId="6135">
      <pivotArea dataOnly="0" labelOnly="1" outline="0" fieldPosition="0">
        <references count="4">
          <reference field="11" count="1" selected="0">
            <x v="19"/>
          </reference>
          <reference field="14" count="1" selected="0">
            <x v="460"/>
          </reference>
          <reference field="18" count="1" selected="0">
            <x v="27"/>
          </reference>
          <reference field="19" count="1">
            <x v="17"/>
          </reference>
        </references>
      </pivotArea>
    </format>
    <format dxfId="6134">
      <pivotArea dataOnly="0" labelOnly="1" outline="0" fieldPosition="0">
        <references count="4">
          <reference field="11" count="1" selected="0">
            <x v="20"/>
          </reference>
          <reference field="14" count="1" selected="0">
            <x v="46"/>
          </reference>
          <reference field="18" count="1" selected="0">
            <x v="0"/>
          </reference>
          <reference field="19" count="1">
            <x v="16"/>
          </reference>
        </references>
      </pivotArea>
    </format>
    <format dxfId="6133">
      <pivotArea dataOnly="0" labelOnly="1" outline="0" fieldPosition="0">
        <references count="4">
          <reference field="11" count="1" selected="0">
            <x v="21"/>
          </reference>
          <reference field="14" count="1" selected="0">
            <x v="347"/>
          </reference>
          <reference field="18" count="1" selected="0">
            <x v="6"/>
          </reference>
          <reference field="19" count="1">
            <x v="23"/>
          </reference>
        </references>
      </pivotArea>
    </format>
    <format dxfId="6132">
      <pivotArea dataOnly="0" labelOnly="1" outline="0" fieldPosition="0">
        <references count="4">
          <reference field="11" count="1" selected="0">
            <x v="22"/>
          </reference>
          <reference field="14" count="1" selected="0">
            <x v="219"/>
          </reference>
          <reference field="18" count="1" selected="0">
            <x v="7"/>
          </reference>
          <reference field="19" count="1">
            <x v="4"/>
          </reference>
        </references>
      </pivotArea>
    </format>
    <format dxfId="6131">
      <pivotArea dataOnly="0" labelOnly="1" outline="0" fieldPosition="0">
        <references count="4">
          <reference field="11" count="1" selected="0">
            <x v="22"/>
          </reference>
          <reference field="14" count="1" selected="0">
            <x v="219"/>
          </reference>
          <reference field="18" count="1" selected="0">
            <x v="12"/>
          </reference>
          <reference field="19" count="1">
            <x v="13"/>
          </reference>
        </references>
      </pivotArea>
    </format>
    <format dxfId="6130">
      <pivotArea dataOnly="0" labelOnly="1" outline="0" fieldPosition="0">
        <references count="4">
          <reference field="11" count="1" selected="0">
            <x v="23"/>
          </reference>
          <reference field="14" count="1" selected="0">
            <x v="94"/>
          </reference>
          <reference field="18" count="1" selected="0">
            <x v="2"/>
          </reference>
          <reference field="19" count="1">
            <x v="22"/>
          </reference>
        </references>
      </pivotArea>
    </format>
    <format dxfId="6129">
      <pivotArea dataOnly="0" labelOnly="1" outline="0" fieldPosition="0">
        <references count="4">
          <reference field="11" count="1" selected="0">
            <x v="24"/>
          </reference>
          <reference field="14" count="1" selected="0">
            <x v="93"/>
          </reference>
          <reference field="18" count="1" selected="0">
            <x v="2"/>
          </reference>
          <reference field="19" count="1">
            <x v="22"/>
          </reference>
        </references>
      </pivotArea>
    </format>
    <format dxfId="6128">
      <pivotArea dataOnly="0" labelOnly="1" outline="0" fieldPosition="0">
        <references count="4">
          <reference field="11" count="1" selected="0">
            <x v="25"/>
          </reference>
          <reference field="14" count="1" selected="0">
            <x v="466"/>
          </reference>
          <reference field="18" count="1" selected="0">
            <x v="1"/>
          </reference>
          <reference field="19" count="1">
            <x v="18"/>
          </reference>
        </references>
      </pivotArea>
    </format>
    <format dxfId="6127">
      <pivotArea dataOnly="0" labelOnly="1" outline="0" fieldPosition="0">
        <references count="4">
          <reference field="11" count="1" selected="0">
            <x v="26"/>
          </reference>
          <reference field="14" count="1" selected="0">
            <x v="55"/>
          </reference>
          <reference field="18" count="1" selected="0">
            <x v="0"/>
          </reference>
          <reference field="19" count="1">
            <x v="16"/>
          </reference>
        </references>
      </pivotArea>
    </format>
    <format dxfId="6126">
      <pivotArea dataOnly="0" labelOnly="1" outline="0" fieldPosition="0">
        <references count="4">
          <reference field="11" count="1" selected="0">
            <x v="27"/>
          </reference>
          <reference field="14" count="1" selected="0">
            <x v="458"/>
          </reference>
          <reference field="18" count="1" selected="0">
            <x v="2"/>
          </reference>
          <reference field="19" count="1">
            <x v="22"/>
          </reference>
        </references>
      </pivotArea>
    </format>
    <format dxfId="6125">
      <pivotArea dataOnly="0" labelOnly="1" outline="0" fieldPosition="0">
        <references count="4">
          <reference field="11" count="1" selected="0">
            <x v="28"/>
          </reference>
          <reference field="14" count="1" selected="0">
            <x v="179"/>
          </reference>
          <reference field="18" count="1" selected="0">
            <x v="2"/>
          </reference>
          <reference field="19" count="1">
            <x v="22"/>
          </reference>
        </references>
      </pivotArea>
    </format>
    <format dxfId="6124">
      <pivotArea dataOnly="0" labelOnly="1" outline="0" fieldPosition="0">
        <references count="4">
          <reference field="11" count="1" selected="0">
            <x v="29"/>
          </reference>
          <reference field="14" count="1" selected="0">
            <x v="0"/>
          </reference>
          <reference field="18" count="1" selected="0">
            <x v="2"/>
          </reference>
          <reference field="19" count="1">
            <x v="22"/>
          </reference>
        </references>
      </pivotArea>
    </format>
    <format dxfId="6123">
      <pivotArea dataOnly="0" labelOnly="1" outline="0" fieldPosition="0">
        <references count="4">
          <reference field="11" count="1" selected="0">
            <x v="30"/>
          </reference>
          <reference field="14" count="1" selected="0">
            <x v="1"/>
          </reference>
          <reference field="18" count="1" selected="0">
            <x v="2"/>
          </reference>
          <reference field="19" count="1">
            <x v="22"/>
          </reference>
        </references>
      </pivotArea>
    </format>
    <format dxfId="6122">
      <pivotArea dataOnly="0" labelOnly="1" outline="0" fieldPosition="0">
        <references count="4">
          <reference field="11" count="1" selected="0">
            <x v="31"/>
          </reference>
          <reference field="14" count="1" selected="0">
            <x v="414"/>
          </reference>
          <reference field="18" count="1" selected="0">
            <x v="2"/>
          </reference>
          <reference field="19" count="1">
            <x v="22"/>
          </reference>
        </references>
      </pivotArea>
    </format>
    <format dxfId="6121">
      <pivotArea dataOnly="0" labelOnly="1" outline="0" fieldPosition="0">
        <references count="4">
          <reference field="11" count="1" selected="0">
            <x v="32"/>
          </reference>
          <reference field="14" count="1" selected="0">
            <x v="36"/>
          </reference>
          <reference field="18" count="1" selected="0">
            <x v="6"/>
          </reference>
          <reference field="19" count="1">
            <x v="23"/>
          </reference>
        </references>
      </pivotArea>
    </format>
    <format dxfId="6120">
      <pivotArea dataOnly="0" labelOnly="1" outline="0" fieldPosition="0">
        <references count="4">
          <reference field="11" count="1" selected="0">
            <x v="33"/>
          </reference>
          <reference field="14" count="1" selected="0">
            <x v="341"/>
          </reference>
          <reference field="18" count="1" selected="0">
            <x v="3"/>
          </reference>
          <reference field="19" count="1">
            <x v="15"/>
          </reference>
        </references>
      </pivotArea>
    </format>
    <format dxfId="6119">
      <pivotArea dataOnly="0" labelOnly="1" outline="0" fieldPosition="0">
        <references count="4">
          <reference field="11" count="1" selected="0">
            <x v="34"/>
          </reference>
          <reference field="14" count="1" selected="0">
            <x v="340"/>
          </reference>
          <reference field="18" count="1" selected="0">
            <x v="3"/>
          </reference>
          <reference field="19" count="1">
            <x v="15"/>
          </reference>
        </references>
      </pivotArea>
    </format>
    <format dxfId="6118">
      <pivotArea dataOnly="0" labelOnly="1" outline="0" fieldPosition="0">
        <references count="4">
          <reference field="11" count="1" selected="0">
            <x v="35"/>
          </reference>
          <reference field="14" count="1" selected="0">
            <x v="379"/>
          </reference>
          <reference field="18" count="1" selected="0">
            <x v="6"/>
          </reference>
          <reference field="19" count="1">
            <x v="23"/>
          </reference>
        </references>
      </pivotArea>
    </format>
    <format dxfId="6117">
      <pivotArea dataOnly="0" labelOnly="1" outline="0" fieldPosition="0">
        <references count="4">
          <reference field="11" count="1" selected="0">
            <x v="36"/>
          </reference>
          <reference field="14" count="1" selected="0">
            <x v="349"/>
          </reference>
          <reference field="18" count="1" selected="0">
            <x v="6"/>
          </reference>
          <reference field="19" count="1">
            <x v="23"/>
          </reference>
        </references>
      </pivotArea>
    </format>
    <format dxfId="6116">
      <pivotArea dataOnly="0" labelOnly="1" outline="0" fieldPosition="0">
        <references count="4">
          <reference field="11" count="1" selected="0">
            <x v="37"/>
          </reference>
          <reference field="14" count="1" selected="0">
            <x v="348"/>
          </reference>
          <reference field="18" count="1" selected="0">
            <x v="6"/>
          </reference>
          <reference field="19" count="1">
            <x v="23"/>
          </reference>
        </references>
      </pivotArea>
    </format>
    <format dxfId="6115">
      <pivotArea dataOnly="0" labelOnly="1" outline="0" fieldPosition="0">
        <references count="4">
          <reference field="11" count="1" selected="0">
            <x v="38"/>
          </reference>
          <reference field="14" count="1" selected="0">
            <x v="346"/>
          </reference>
          <reference field="18" count="1" selected="0">
            <x v="6"/>
          </reference>
          <reference field="19" count="1">
            <x v="23"/>
          </reference>
        </references>
      </pivotArea>
    </format>
    <format dxfId="6114">
      <pivotArea dataOnly="0" labelOnly="1" outline="0" fieldPosition="0">
        <references count="4">
          <reference field="11" count="1" selected="0">
            <x v="39"/>
          </reference>
          <reference field="14" count="1" selected="0">
            <x v="344"/>
          </reference>
          <reference field="18" count="1" selected="0">
            <x v="6"/>
          </reference>
          <reference field="19" count="1">
            <x v="23"/>
          </reference>
        </references>
      </pivotArea>
    </format>
    <format dxfId="6113">
      <pivotArea dataOnly="0" labelOnly="1" outline="0" fieldPosition="0">
        <references count="4">
          <reference field="11" count="1" selected="0">
            <x v="40"/>
          </reference>
          <reference field="14" count="1" selected="0">
            <x v="345"/>
          </reference>
          <reference field="18" count="1" selected="0">
            <x v="6"/>
          </reference>
          <reference field="19" count="1">
            <x v="23"/>
          </reference>
        </references>
      </pivotArea>
    </format>
    <format dxfId="6112">
      <pivotArea dataOnly="0" labelOnly="1" outline="0" fieldPosition="0">
        <references count="4">
          <reference field="11" count="1" selected="0">
            <x v="41"/>
          </reference>
          <reference field="14" count="1" selected="0">
            <x v="337"/>
          </reference>
          <reference field="18" count="1" selected="0">
            <x v="16"/>
          </reference>
          <reference field="19" count="1">
            <x v="24"/>
          </reference>
        </references>
      </pivotArea>
    </format>
    <format dxfId="6111">
      <pivotArea dataOnly="0" labelOnly="1" outline="0" fieldPosition="0">
        <references count="4">
          <reference field="11" count="1" selected="0">
            <x v="42"/>
          </reference>
          <reference field="14" count="1" selected="0">
            <x v="59"/>
          </reference>
          <reference field="18" count="1" selected="0">
            <x v="4"/>
          </reference>
          <reference field="19" count="1">
            <x v="10"/>
          </reference>
        </references>
      </pivotArea>
    </format>
    <format dxfId="6110">
      <pivotArea dataOnly="0" labelOnly="1" outline="0" fieldPosition="0">
        <references count="4">
          <reference field="11" count="1" selected="0">
            <x v="43"/>
          </reference>
          <reference field="14" count="1" selected="0">
            <x v="410"/>
          </reference>
          <reference field="18" count="1" selected="0">
            <x v="0"/>
          </reference>
          <reference field="19" count="1">
            <x v="16"/>
          </reference>
        </references>
      </pivotArea>
    </format>
    <format dxfId="6109">
      <pivotArea dataOnly="0" labelOnly="1" outline="0" fieldPosition="0">
        <references count="4">
          <reference field="11" count="1" selected="0">
            <x v="43"/>
          </reference>
          <reference field="14" count="1" selected="0">
            <x v="410"/>
          </reference>
          <reference field="18" count="1" selected="0">
            <x v="14"/>
          </reference>
          <reference field="19" count="1">
            <x v="9"/>
          </reference>
        </references>
      </pivotArea>
    </format>
    <format dxfId="6108">
      <pivotArea dataOnly="0" labelOnly="1" outline="0" fieldPosition="0">
        <references count="4">
          <reference field="11" count="1" selected="0">
            <x v="44"/>
          </reference>
          <reference field="14" count="1" selected="0">
            <x v="77"/>
          </reference>
          <reference field="18" count="1" selected="0">
            <x v="2"/>
          </reference>
          <reference field="19" count="1">
            <x v="22"/>
          </reference>
        </references>
      </pivotArea>
    </format>
    <format dxfId="6107">
      <pivotArea dataOnly="0" labelOnly="1" outline="0" fieldPosition="0">
        <references count="4">
          <reference field="11" count="1" selected="0">
            <x v="44"/>
          </reference>
          <reference field="14" count="1" selected="0">
            <x v="77"/>
          </reference>
          <reference field="18" count="1" selected="0">
            <x v="22"/>
          </reference>
          <reference field="19" count="1">
            <x v="11"/>
          </reference>
        </references>
      </pivotArea>
    </format>
    <format dxfId="6106">
      <pivotArea dataOnly="0" labelOnly="1" outline="0" fieldPosition="0">
        <references count="4">
          <reference field="11" count="1" selected="0">
            <x v="45"/>
          </reference>
          <reference field="14" count="1" selected="0">
            <x v="465"/>
          </reference>
          <reference field="18" count="1" selected="0">
            <x v="6"/>
          </reference>
          <reference field="19" count="1">
            <x v="23"/>
          </reference>
        </references>
      </pivotArea>
    </format>
    <format dxfId="6105">
      <pivotArea dataOnly="0" labelOnly="1" outline="0" fieldPosition="0">
        <references count="4">
          <reference field="11" count="1" selected="0">
            <x v="46"/>
          </reference>
          <reference field="14" count="1" selected="0">
            <x v="250"/>
          </reference>
          <reference field="18" count="1" selected="0">
            <x v="2"/>
          </reference>
          <reference field="19" count="1">
            <x v="22"/>
          </reference>
        </references>
      </pivotArea>
    </format>
    <format dxfId="6104">
      <pivotArea dataOnly="0" labelOnly="1" outline="0" fieldPosition="0">
        <references count="4">
          <reference field="11" count="1" selected="0">
            <x v="47"/>
          </reference>
          <reference field="14" count="1" selected="0">
            <x v="323"/>
          </reference>
          <reference field="18" count="1" selected="0">
            <x v="17"/>
          </reference>
          <reference field="19" count="1">
            <x v="0"/>
          </reference>
        </references>
      </pivotArea>
    </format>
    <format dxfId="6103">
      <pivotArea dataOnly="0" labelOnly="1" outline="0" fieldPosition="0">
        <references count="4">
          <reference field="11" count="1" selected="0">
            <x v="48"/>
          </reference>
          <reference field="14" count="1" selected="0">
            <x v="244"/>
          </reference>
          <reference field="18" count="1" selected="0">
            <x v="6"/>
          </reference>
          <reference field="19" count="1">
            <x v="23"/>
          </reference>
        </references>
      </pivotArea>
    </format>
    <format dxfId="6102">
      <pivotArea dataOnly="0" labelOnly="1" outline="0" fieldPosition="0">
        <references count="4">
          <reference field="11" count="1" selected="0">
            <x v="49"/>
          </reference>
          <reference field="14" count="1" selected="0">
            <x v="228"/>
          </reference>
          <reference field="18" count="1" selected="0">
            <x v="0"/>
          </reference>
          <reference field="19" count="1">
            <x v="16"/>
          </reference>
        </references>
      </pivotArea>
    </format>
    <format dxfId="6101">
      <pivotArea dataOnly="0" labelOnly="1" outline="0" fieldPosition="0">
        <references count="4">
          <reference field="11" count="1" selected="0">
            <x v="49"/>
          </reference>
          <reference field="14" count="1" selected="0">
            <x v="228"/>
          </reference>
          <reference field="18" count="1" selected="0">
            <x v="2"/>
          </reference>
          <reference field="19" count="1">
            <x v="22"/>
          </reference>
        </references>
      </pivotArea>
    </format>
    <format dxfId="6100">
      <pivotArea dataOnly="0" labelOnly="1" outline="0" fieldPosition="0">
        <references count="4">
          <reference field="11" count="1" selected="0">
            <x v="49"/>
          </reference>
          <reference field="14" count="1" selected="0">
            <x v="228"/>
          </reference>
          <reference field="18" count="1" selected="0">
            <x v="12"/>
          </reference>
          <reference field="19" count="1">
            <x v="13"/>
          </reference>
        </references>
      </pivotArea>
    </format>
    <format dxfId="6099">
      <pivotArea dataOnly="0" labelOnly="1" outline="0" fieldPosition="0">
        <references count="4">
          <reference field="11" count="1" selected="0">
            <x v="50"/>
          </reference>
          <reference field="14" count="1" selected="0">
            <x v="318"/>
          </reference>
          <reference field="18" count="1" selected="0">
            <x v="6"/>
          </reference>
          <reference field="19" count="1">
            <x v="23"/>
          </reference>
        </references>
      </pivotArea>
    </format>
    <format dxfId="6098">
      <pivotArea dataOnly="0" labelOnly="1" outline="0" fieldPosition="0">
        <references count="4">
          <reference field="11" count="1" selected="0">
            <x v="51"/>
          </reference>
          <reference field="14" count="1" selected="0">
            <x v="241"/>
          </reference>
          <reference field="18" count="1" selected="0">
            <x v="6"/>
          </reference>
          <reference field="19" count="1">
            <x v="23"/>
          </reference>
        </references>
      </pivotArea>
    </format>
    <format dxfId="6097">
      <pivotArea dataOnly="0" labelOnly="1" outline="0" fieldPosition="0">
        <references count="4">
          <reference field="11" count="1" selected="0">
            <x v="52"/>
          </reference>
          <reference field="14" count="1" selected="0">
            <x v="413"/>
          </reference>
          <reference field="18" count="1" selected="0">
            <x v="6"/>
          </reference>
          <reference field="19" count="1">
            <x v="23"/>
          </reference>
        </references>
      </pivotArea>
    </format>
    <format dxfId="6096">
      <pivotArea dataOnly="0" labelOnly="1" outline="0" fieldPosition="0">
        <references count="4">
          <reference field="11" count="1" selected="0">
            <x v="53"/>
          </reference>
          <reference field="14" count="1" selected="0">
            <x v="283"/>
          </reference>
          <reference field="18" count="1" selected="0">
            <x v="3"/>
          </reference>
          <reference field="19" count="1">
            <x v="15"/>
          </reference>
        </references>
      </pivotArea>
    </format>
    <format dxfId="6095">
      <pivotArea dataOnly="0" labelOnly="1" outline="0" fieldPosition="0">
        <references count="4">
          <reference field="11" count="1" selected="0">
            <x v="54"/>
          </reference>
          <reference field="14" count="1" selected="0">
            <x v="278"/>
          </reference>
          <reference field="18" count="1" selected="0">
            <x v="0"/>
          </reference>
          <reference field="19" count="1">
            <x v="16"/>
          </reference>
        </references>
      </pivotArea>
    </format>
    <format dxfId="6094">
      <pivotArea dataOnly="0" labelOnly="1" outline="0" fieldPosition="0">
        <references count="4">
          <reference field="11" count="1" selected="0">
            <x v="54"/>
          </reference>
          <reference field="14" count="1" selected="0">
            <x v="278"/>
          </reference>
          <reference field="18" count="1" selected="0">
            <x v="1"/>
          </reference>
          <reference field="19" count="1">
            <x v="18"/>
          </reference>
        </references>
      </pivotArea>
    </format>
    <format dxfId="6093">
      <pivotArea dataOnly="0" labelOnly="1" outline="0" fieldPosition="0">
        <references count="4">
          <reference field="11" count="1" selected="0">
            <x v="55"/>
          </reference>
          <reference field="14" count="1" selected="0">
            <x v="275"/>
          </reference>
          <reference field="18" count="1" selected="0">
            <x v="0"/>
          </reference>
          <reference field="19" count="1">
            <x v="16"/>
          </reference>
        </references>
      </pivotArea>
    </format>
    <format dxfId="6092">
      <pivotArea dataOnly="0" labelOnly="1" outline="0" fieldPosition="0">
        <references count="4">
          <reference field="11" count="1" selected="0">
            <x v="56"/>
          </reference>
          <reference field="14" count="1" selected="0">
            <x v="463"/>
          </reference>
          <reference field="18" count="1" selected="0">
            <x v="22"/>
          </reference>
          <reference field="19" count="1">
            <x v="11"/>
          </reference>
        </references>
      </pivotArea>
    </format>
    <format dxfId="6091">
      <pivotArea dataOnly="0" labelOnly="1" outline="0" fieldPosition="0">
        <references count="4">
          <reference field="11" count="1" selected="0">
            <x v="56"/>
          </reference>
          <reference field="14" count="1" selected="0">
            <x v="463"/>
          </reference>
          <reference field="18" count="1" selected="0">
            <x v="23"/>
          </reference>
          <reference field="19" count="1">
            <x v="12"/>
          </reference>
        </references>
      </pivotArea>
    </format>
    <format dxfId="6090">
      <pivotArea dataOnly="0" labelOnly="1" outline="0" fieldPosition="0">
        <references count="4">
          <reference field="11" count="1" selected="0">
            <x v="56"/>
          </reference>
          <reference field="14" count="1" selected="0">
            <x v="463"/>
          </reference>
          <reference field="18" count="1" selected="0">
            <x v="24"/>
          </reference>
          <reference field="19" count="1">
            <x v="7"/>
          </reference>
        </references>
      </pivotArea>
    </format>
    <format dxfId="6089">
      <pivotArea dataOnly="0" labelOnly="1" outline="0" fieldPosition="0">
        <references count="4">
          <reference field="11" count="1" selected="0">
            <x v="57"/>
          </reference>
          <reference field="14" count="1" selected="0">
            <x v="462"/>
          </reference>
          <reference field="18" count="1" selected="0">
            <x v="22"/>
          </reference>
          <reference field="19" count="1">
            <x v="11"/>
          </reference>
        </references>
      </pivotArea>
    </format>
    <format dxfId="6088">
      <pivotArea dataOnly="0" labelOnly="1" outline="0" fieldPosition="0">
        <references count="4">
          <reference field="11" count="1" selected="0">
            <x v="57"/>
          </reference>
          <reference field="14" count="1" selected="0">
            <x v="462"/>
          </reference>
          <reference field="18" count="1" selected="0">
            <x v="23"/>
          </reference>
          <reference field="19" count="1">
            <x v="12"/>
          </reference>
        </references>
      </pivotArea>
    </format>
    <format dxfId="6087">
      <pivotArea dataOnly="0" labelOnly="1" outline="0" fieldPosition="0">
        <references count="4">
          <reference field="11" count="1" selected="0">
            <x v="57"/>
          </reference>
          <reference field="14" count="1" selected="0">
            <x v="462"/>
          </reference>
          <reference field="18" count="1" selected="0">
            <x v="24"/>
          </reference>
          <reference field="19" count="1">
            <x v="7"/>
          </reference>
        </references>
      </pivotArea>
    </format>
    <format dxfId="6086">
      <pivotArea dataOnly="0" labelOnly="1" outline="0" fieldPosition="0">
        <references count="4">
          <reference field="11" count="1" selected="0">
            <x v="58"/>
          </reference>
          <reference field="14" count="1" selected="0">
            <x v="459"/>
          </reference>
          <reference field="18" count="1" selected="0">
            <x v="1"/>
          </reference>
          <reference field="19" count="1">
            <x v="18"/>
          </reference>
        </references>
      </pivotArea>
    </format>
    <format dxfId="6085">
      <pivotArea dataOnly="0" labelOnly="1" outline="0" fieldPosition="0">
        <references count="4">
          <reference field="11" count="1" selected="0">
            <x v="59"/>
          </reference>
          <reference field="14" count="1" selected="0">
            <x v="271"/>
          </reference>
          <reference field="18" count="1" selected="0">
            <x v="3"/>
          </reference>
          <reference field="19" count="1">
            <x v="15"/>
          </reference>
        </references>
      </pivotArea>
    </format>
    <format dxfId="6084">
      <pivotArea dataOnly="0" labelOnly="1" outline="0" fieldPosition="0">
        <references count="4">
          <reference field="11" count="1" selected="0">
            <x v="60"/>
          </reference>
          <reference field="14" count="1" selected="0">
            <x v="22"/>
          </reference>
          <reference field="18" count="1" selected="0">
            <x v="16"/>
          </reference>
          <reference field="19" count="1">
            <x v="24"/>
          </reference>
        </references>
      </pivotArea>
    </format>
    <format dxfId="6083">
      <pivotArea dataOnly="0" labelOnly="1" outline="0" fieldPosition="0">
        <references count="4">
          <reference field="11" count="1" selected="0">
            <x v="61"/>
          </reference>
          <reference field="14" count="1" selected="0">
            <x v="354"/>
          </reference>
          <reference field="18" count="1" selected="0">
            <x v="6"/>
          </reference>
          <reference field="19" count="1">
            <x v="23"/>
          </reference>
        </references>
      </pivotArea>
    </format>
    <format dxfId="6082">
      <pivotArea dataOnly="0" labelOnly="1" outline="0" fieldPosition="0">
        <references count="4">
          <reference field="11" count="1" selected="0">
            <x v="62"/>
          </reference>
          <reference field="14" count="1" selected="0">
            <x v="415"/>
          </reference>
          <reference field="18" count="1" selected="0">
            <x v="6"/>
          </reference>
          <reference field="19" count="1">
            <x v="23"/>
          </reference>
        </references>
      </pivotArea>
    </format>
    <format dxfId="6081">
      <pivotArea dataOnly="0" labelOnly="1" outline="0" fieldPosition="0">
        <references count="4">
          <reference field="11" count="1" selected="0">
            <x v="63"/>
          </reference>
          <reference field="14" count="1" selected="0">
            <x v="227"/>
          </reference>
          <reference field="18" count="1" selected="0">
            <x v="0"/>
          </reference>
          <reference field="19" count="1">
            <x v="16"/>
          </reference>
        </references>
      </pivotArea>
    </format>
    <format dxfId="6080">
      <pivotArea dataOnly="0" labelOnly="1" outline="0" fieldPosition="0">
        <references count="4">
          <reference field="11" count="1" selected="0">
            <x v="63"/>
          </reference>
          <reference field="14" count="1" selected="0">
            <x v="227"/>
          </reference>
          <reference field="18" count="1" selected="0">
            <x v="7"/>
          </reference>
          <reference field="19" count="1">
            <x v="4"/>
          </reference>
        </references>
      </pivotArea>
    </format>
    <format dxfId="6079">
      <pivotArea dataOnly="0" labelOnly="1" outline="0" fieldPosition="0">
        <references count="4">
          <reference field="11" count="1" selected="0">
            <x v="63"/>
          </reference>
          <reference field="14" count="1" selected="0">
            <x v="227"/>
          </reference>
          <reference field="18" count="1" selected="0">
            <x v="11"/>
          </reference>
          <reference field="19" count="1">
            <x v="20"/>
          </reference>
        </references>
      </pivotArea>
    </format>
    <format dxfId="6078">
      <pivotArea dataOnly="0" labelOnly="1" outline="0" fieldPosition="0">
        <references count="4">
          <reference field="11" count="1" selected="0">
            <x v="63"/>
          </reference>
          <reference field="14" count="1" selected="0">
            <x v="227"/>
          </reference>
          <reference field="18" count="1" selected="0">
            <x v="12"/>
          </reference>
          <reference field="19" count="1">
            <x v="13"/>
          </reference>
        </references>
      </pivotArea>
    </format>
    <format dxfId="6077">
      <pivotArea dataOnly="0" labelOnly="1" outline="0" fieldPosition="0">
        <references count="4">
          <reference field="11" count="1" selected="0">
            <x v="64"/>
          </reference>
          <reference field="14" count="1" selected="0">
            <x v="261"/>
          </reference>
          <reference field="18" count="1" selected="0">
            <x v="12"/>
          </reference>
          <reference field="19" count="1">
            <x v="13"/>
          </reference>
        </references>
      </pivotArea>
    </format>
    <format dxfId="6076">
      <pivotArea dataOnly="0" labelOnly="1" outline="0" fieldPosition="0">
        <references count="4">
          <reference field="11" count="1" selected="0">
            <x v="65"/>
          </reference>
          <reference field="14" count="1" selected="0">
            <x v="336"/>
          </reference>
          <reference field="18" count="1" selected="0">
            <x v="14"/>
          </reference>
          <reference field="19" count="1">
            <x v="9"/>
          </reference>
        </references>
      </pivotArea>
    </format>
    <format dxfId="6075">
      <pivotArea dataOnly="0" labelOnly="1" outline="0" fieldPosition="0">
        <references count="4">
          <reference field="11" count="1" selected="0">
            <x v="66"/>
          </reference>
          <reference field="14" count="1" selected="0">
            <x v="63"/>
          </reference>
          <reference field="18" count="1" selected="0">
            <x v="3"/>
          </reference>
          <reference field="19" count="1">
            <x v="15"/>
          </reference>
        </references>
      </pivotArea>
    </format>
    <format dxfId="6074">
      <pivotArea dataOnly="0" labelOnly="1" outline="0" fieldPosition="0">
        <references count="4">
          <reference field="11" count="1" selected="0">
            <x v="67"/>
          </reference>
          <reference field="14" count="1" selected="0">
            <x v="237"/>
          </reference>
          <reference field="18" count="1" selected="0">
            <x v="0"/>
          </reference>
          <reference field="19" count="1">
            <x v="16"/>
          </reference>
        </references>
      </pivotArea>
    </format>
    <format dxfId="6073">
      <pivotArea dataOnly="0" labelOnly="1" outline="0" fieldPosition="0">
        <references count="4">
          <reference field="11" count="1" selected="0">
            <x v="67"/>
          </reference>
          <reference field="14" count="1" selected="0">
            <x v="237"/>
          </reference>
          <reference field="18" count="1" selected="0">
            <x v="2"/>
          </reference>
          <reference field="19" count="1">
            <x v="22"/>
          </reference>
        </references>
      </pivotArea>
    </format>
    <format dxfId="6072">
      <pivotArea dataOnly="0" labelOnly="1" outline="0" fieldPosition="0">
        <references count="4">
          <reference field="11" count="1" selected="0">
            <x v="67"/>
          </reference>
          <reference field="14" count="1" selected="0">
            <x v="237"/>
          </reference>
          <reference field="18" count="1" selected="0">
            <x v="12"/>
          </reference>
          <reference field="19" count="1">
            <x v="13"/>
          </reference>
        </references>
      </pivotArea>
    </format>
    <format dxfId="6071">
      <pivotArea dataOnly="0" labelOnly="1" outline="0" fieldPosition="0">
        <references count="4">
          <reference field="11" count="1" selected="0">
            <x v="68"/>
          </reference>
          <reference field="14" count="1" selected="0">
            <x v="138"/>
          </reference>
          <reference field="18" count="1" selected="0">
            <x v="22"/>
          </reference>
          <reference field="19" count="1">
            <x v="11"/>
          </reference>
        </references>
      </pivotArea>
    </format>
    <format dxfId="6070">
      <pivotArea dataOnly="0" labelOnly="1" outline="0" fieldPosition="0">
        <references count="4">
          <reference field="11" count="1" selected="0">
            <x v="69"/>
          </reference>
          <reference field="14" count="1" selected="0">
            <x v="139"/>
          </reference>
          <reference field="18" count="1" selected="0">
            <x v="22"/>
          </reference>
          <reference field="19" count="1">
            <x v="11"/>
          </reference>
        </references>
      </pivotArea>
    </format>
    <format dxfId="6069">
      <pivotArea dataOnly="0" labelOnly="1" outline="0" fieldPosition="0">
        <references count="4">
          <reference field="11" count="1" selected="0">
            <x v="70"/>
          </reference>
          <reference field="14" count="1" selected="0">
            <x v="137"/>
          </reference>
          <reference field="18" count="1" selected="0">
            <x v="22"/>
          </reference>
          <reference field="19" count="1">
            <x v="11"/>
          </reference>
        </references>
      </pivotArea>
    </format>
    <format dxfId="6068">
      <pivotArea dataOnly="0" labelOnly="1" outline="0" fieldPosition="0">
        <references count="4">
          <reference field="11" count="1" selected="0">
            <x v="71"/>
          </reference>
          <reference field="14" count="1" selected="0">
            <x v="468"/>
          </reference>
          <reference field="18" count="1" selected="0">
            <x v="6"/>
          </reference>
          <reference field="19" count="1">
            <x v="23"/>
          </reference>
        </references>
      </pivotArea>
    </format>
    <format dxfId="6067">
      <pivotArea dataOnly="0" labelOnly="1" outline="0" fieldPosition="0">
        <references count="4">
          <reference field="11" count="1" selected="0">
            <x v="72"/>
          </reference>
          <reference field="14" count="1" selected="0">
            <x v="83"/>
          </reference>
          <reference field="18" count="1" selected="0">
            <x v="1"/>
          </reference>
          <reference field="19" count="1">
            <x v="18"/>
          </reference>
        </references>
      </pivotArea>
    </format>
    <format dxfId="6066">
      <pivotArea dataOnly="0" labelOnly="1" outline="0" fieldPosition="0">
        <references count="4">
          <reference field="11" count="1" selected="0">
            <x v="73"/>
          </reference>
          <reference field="14" count="1" selected="0">
            <x v="288"/>
          </reference>
          <reference field="18" count="1" selected="0">
            <x v="0"/>
          </reference>
          <reference field="19" count="1">
            <x v="16"/>
          </reference>
        </references>
      </pivotArea>
    </format>
    <format dxfId="6065">
      <pivotArea dataOnly="0" labelOnly="1" outline="0" fieldPosition="0">
        <references count="4">
          <reference field="11" count="1" selected="0">
            <x v="74"/>
          </reference>
          <reference field="14" count="1" selected="0">
            <x v="235"/>
          </reference>
          <reference field="18" count="1" selected="0">
            <x v="3"/>
          </reference>
          <reference field="19" count="1">
            <x v="15"/>
          </reference>
        </references>
      </pivotArea>
    </format>
    <format dxfId="6064">
      <pivotArea dataOnly="0" labelOnly="1" outline="0" fieldPosition="0">
        <references count="4">
          <reference field="11" count="1" selected="0">
            <x v="74"/>
          </reference>
          <reference field="14" count="1" selected="0">
            <x v="235"/>
          </reference>
          <reference field="18" count="1" selected="0">
            <x v="12"/>
          </reference>
          <reference field="19" count="1">
            <x v="13"/>
          </reference>
        </references>
      </pivotArea>
    </format>
    <format dxfId="6063">
      <pivotArea dataOnly="0" labelOnly="1" outline="0" fieldPosition="0">
        <references count="4">
          <reference field="11" count="1" selected="0">
            <x v="75"/>
          </reference>
          <reference field="14" count="1" selected="0">
            <x v="285"/>
          </reference>
          <reference field="18" count="1" selected="0">
            <x v="0"/>
          </reference>
          <reference field="19" count="1">
            <x v="16"/>
          </reference>
        </references>
      </pivotArea>
    </format>
    <format dxfId="6062">
      <pivotArea dataOnly="0" labelOnly="1" outline="0" fieldPosition="0">
        <references count="4">
          <reference field="11" count="1" selected="0">
            <x v="76"/>
          </reference>
          <reference field="14" count="1" selected="0">
            <x v="214"/>
          </reference>
          <reference field="18" count="1" selected="0">
            <x v="8"/>
          </reference>
          <reference field="19" count="1">
            <x v="5"/>
          </reference>
        </references>
      </pivotArea>
    </format>
    <format dxfId="6061">
      <pivotArea dataOnly="0" labelOnly="1" outline="0" fieldPosition="0">
        <references count="4">
          <reference field="11" count="1" selected="0">
            <x v="76"/>
          </reference>
          <reference field="14" count="1" selected="0">
            <x v="214"/>
          </reference>
          <reference field="18" count="1" selected="0">
            <x v="14"/>
          </reference>
          <reference field="19" count="1">
            <x v="9"/>
          </reference>
        </references>
      </pivotArea>
    </format>
    <format dxfId="6060">
      <pivotArea dataOnly="0" labelOnly="1" outline="0" fieldPosition="0">
        <references count="4">
          <reference field="11" count="1" selected="0">
            <x v="77"/>
          </reference>
          <reference field="14" count="1" selected="0">
            <x v="104"/>
          </reference>
          <reference field="18" count="1" selected="0">
            <x v="0"/>
          </reference>
          <reference field="19" count="1">
            <x v="16"/>
          </reference>
        </references>
      </pivotArea>
    </format>
    <format dxfId="6059">
      <pivotArea dataOnly="0" labelOnly="1" outline="0" fieldPosition="0">
        <references count="4">
          <reference field="11" count="1" selected="0">
            <x v="78"/>
          </reference>
          <reference field="14" count="1" selected="0">
            <x v="195"/>
          </reference>
          <reference field="18" count="1" selected="0">
            <x v="14"/>
          </reference>
          <reference field="19" count="1">
            <x v="9"/>
          </reference>
        </references>
      </pivotArea>
    </format>
    <format dxfId="6058">
      <pivotArea dataOnly="0" labelOnly="1" outline="0" fieldPosition="0">
        <references count="4">
          <reference field="11" count="1" selected="0">
            <x v="79"/>
          </reference>
          <reference field="14" count="1" selected="0">
            <x v="196"/>
          </reference>
          <reference field="18" count="1" selected="0">
            <x v="14"/>
          </reference>
          <reference field="19" count="1">
            <x v="9"/>
          </reference>
        </references>
      </pivotArea>
    </format>
    <format dxfId="6057">
      <pivotArea dataOnly="0" labelOnly="1" outline="0" fieldPosition="0">
        <references count="4">
          <reference field="11" count="1" selected="0">
            <x v="80"/>
          </reference>
          <reference field="14" count="1" selected="0">
            <x v="467"/>
          </reference>
          <reference field="18" count="1" selected="0">
            <x v="2"/>
          </reference>
          <reference field="19" count="1">
            <x v="22"/>
          </reference>
        </references>
      </pivotArea>
    </format>
    <format dxfId="6056">
      <pivotArea dataOnly="0" labelOnly="1" outline="0" fieldPosition="0">
        <references count="4">
          <reference field="11" count="1" selected="0">
            <x v="81"/>
          </reference>
          <reference field="14" count="1" selected="0">
            <x v="56"/>
          </reference>
          <reference field="18" count="1" selected="0">
            <x v="1"/>
          </reference>
          <reference field="19" count="1">
            <x v="18"/>
          </reference>
        </references>
      </pivotArea>
    </format>
    <format dxfId="6055">
      <pivotArea dataOnly="0" labelOnly="1" outline="0" fieldPosition="0">
        <references count="4">
          <reference field="11" count="1" selected="0">
            <x v="82"/>
          </reference>
          <reference field="14" count="1" selected="0">
            <x v="106"/>
          </reference>
          <reference field="18" count="1" selected="0">
            <x v="27"/>
          </reference>
          <reference field="19" count="1">
            <x v="17"/>
          </reference>
        </references>
      </pivotArea>
    </format>
    <format dxfId="6054">
      <pivotArea dataOnly="0" labelOnly="1" outline="0" fieldPosition="0">
        <references count="4">
          <reference field="11" count="1" selected="0">
            <x v="83"/>
          </reference>
          <reference field="14" count="1" selected="0">
            <x v="216"/>
          </reference>
          <reference field="18" count="1" selected="0">
            <x v="2"/>
          </reference>
          <reference field="19" count="1">
            <x v="22"/>
          </reference>
        </references>
      </pivotArea>
    </format>
    <format dxfId="6053">
      <pivotArea dataOnly="0" labelOnly="1" outline="0" fieldPosition="0">
        <references count="4">
          <reference field="11" count="1" selected="0">
            <x v="84"/>
          </reference>
          <reference field="14" count="1" selected="0">
            <x v="47"/>
          </reference>
          <reference field="18" count="1" selected="0">
            <x v="0"/>
          </reference>
          <reference field="19" count="1">
            <x v="16"/>
          </reference>
        </references>
      </pivotArea>
    </format>
    <format dxfId="6052">
      <pivotArea dataOnly="0" labelOnly="1" outline="0" fieldPosition="0">
        <references count="4">
          <reference field="11" count="1" selected="0">
            <x v="85"/>
          </reference>
          <reference field="14" count="1" selected="0">
            <x v="203"/>
          </reference>
          <reference field="18" count="1" selected="0">
            <x v="16"/>
          </reference>
          <reference field="19" count="1">
            <x v="24"/>
          </reference>
        </references>
      </pivotArea>
    </format>
    <format dxfId="6051">
      <pivotArea dataOnly="0" labelOnly="1" outline="0" fieldPosition="0">
        <references count="4">
          <reference field="11" count="1" selected="0">
            <x v="86"/>
          </reference>
          <reference field="14" count="1" selected="0">
            <x v="383"/>
          </reference>
          <reference field="18" count="1" selected="0">
            <x v="4"/>
          </reference>
          <reference field="19" count="1">
            <x v="10"/>
          </reference>
        </references>
      </pivotArea>
    </format>
    <format dxfId="6050">
      <pivotArea dataOnly="0" labelOnly="1" outline="0" fieldPosition="0">
        <references count="4">
          <reference field="11" count="1" selected="0">
            <x v="87"/>
          </reference>
          <reference field="14" count="1" selected="0">
            <x v="193"/>
          </reference>
          <reference field="18" count="1" selected="0">
            <x v="14"/>
          </reference>
          <reference field="19" count="1">
            <x v="9"/>
          </reference>
        </references>
      </pivotArea>
    </format>
    <format dxfId="6049">
      <pivotArea dataOnly="0" labelOnly="1" outline="0" fieldPosition="0">
        <references count="4">
          <reference field="11" count="1" selected="0">
            <x v="88"/>
          </reference>
          <reference field="14" count="1" selected="0">
            <x v="4"/>
          </reference>
          <reference field="18" count="1" selected="0">
            <x v="4"/>
          </reference>
          <reference field="19" count="1">
            <x v="10"/>
          </reference>
        </references>
      </pivotArea>
    </format>
    <format dxfId="6048">
      <pivotArea dataOnly="0" labelOnly="1" outline="0" fieldPosition="0">
        <references count="4">
          <reference field="11" count="1" selected="0">
            <x v="89"/>
          </reference>
          <reference field="14" count="1" selected="0">
            <x v="251"/>
          </reference>
          <reference field="18" count="1" selected="0">
            <x v="12"/>
          </reference>
          <reference field="19" count="1">
            <x v="13"/>
          </reference>
        </references>
      </pivotArea>
    </format>
    <format dxfId="6047">
      <pivotArea dataOnly="0" labelOnly="1" outline="0" fieldPosition="0">
        <references count="4">
          <reference field="11" count="1" selected="0">
            <x v="89"/>
          </reference>
          <reference field="14" count="1" selected="0">
            <x v="251"/>
          </reference>
          <reference field="18" count="1" selected="0">
            <x v="27"/>
          </reference>
          <reference field="19" count="1">
            <x v="17"/>
          </reference>
        </references>
      </pivotArea>
    </format>
    <format dxfId="6046">
      <pivotArea dataOnly="0" labelOnly="1" outline="0" fieldPosition="0">
        <references count="4">
          <reference field="11" count="1" selected="0">
            <x v="90"/>
          </reference>
          <reference field="14" count="1" selected="0">
            <x v="335"/>
          </reference>
          <reference field="18" count="1" selected="0">
            <x v="0"/>
          </reference>
          <reference field="19" count="1">
            <x v="16"/>
          </reference>
        </references>
      </pivotArea>
    </format>
    <format dxfId="6045">
      <pivotArea dataOnly="0" labelOnly="1" outline="0" fieldPosition="0">
        <references count="4">
          <reference field="11" count="1" selected="0">
            <x v="90"/>
          </reference>
          <reference field="14" count="1" selected="0">
            <x v="335"/>
          </reference>
          <reference field="18" count="1" selected="0">
            <x v="1"/>
          </reference>
          <reference field="19" count="1">
            <x v="18"/>
          </reference>
        </references>
      </pivotArea>
    </format>
    <format dxfId="6044">
      <pivotArea dataOnly="0" labelOnly="1" outline="0" fieldPosition="0">
        <references count="4">
          <reference field="11" count="1" selected="0">
            <x v="90"/>
          </reference>
          <reference field="14" count="1" selected="0">
            <x v="335"/>
          </reference>
          <reference field="18" count="1" selected="0">
            <x v="12"/>
          </reference>
          <reference field="19" count="1">
            <x v="13"/>
          </reference>
        </references>
      </pivotArea>
    </format>
    <format dxfId="6043">
      <pivotArea dataOnly="0" labelOnly="1" outline="0" fieldPosition="0">
        <references count="4">
          <reference field="11" count="1" selected="0">
            <x v="90"/>
          </reference>
          <reference field="14" count="1" selected="0">
            <x v="335"/>
          </reference>
          <reference field="18" count="1" selected="0">
            <x v="13"/>
          </reference>
          <reference field="19" count="1">
            <x v="21"/>
          </reference>
        </references>
      </pivotArea>
    </format>
    <format dxfId="6042">
      <pivotArea dataOnly="0" labelOnly="1" outline="0" fieldPosition="0">
        <references count="4">
          <reference field="11" count="1" selected="0">
            <x v="91"/>
          </reference>
          <reference field="14" count="1" selected="0">
            <x v="27"/>
          </reference>
          <reference field="18" count="1" selected="0">
            <x v="1"/>
          </reference>
          <reference field="19" count="1">
            <x v="18"/>
          </reference>
        </references>
      </pivotArea>
    </format>
    <format dxfId="6041">
      <pivotArea dataOnly="0" labelOnly="1" outline="0" fieldPosition="0">
        <references count="4">
          <reference field="11" count="1" selected="0">
            <x v="92"/>
          </reference>
          <reference field="14" count="1" selected="0">
            <x v="189"/>
          </reference>
          <reference field="18" count="1" selected="0">
            <x v="0"/>
          </reference>
          <reference field="19" count="1">
            <x v="16"/>
          </reference>
        </references>
      </pivotArea>
    </format>
    <format dxfId="6040">
      <pivotArea dataOnly="0" labelOnly="1" outline="0" fieldPosition="0">
        <references count="4">
          <reference field="11" count="1" selected="0">
            <x v="93"/>
          </reference>
          <reference field="14" count="1" selected="0">
            <x v="451"/>
          </reference>
          <reference field="18" count="1" selected="0">
            <x v="3"/>
          </reference>
          <reference field="19" count="1">
            <x v="15"/>
          </reference>
        </references>
      </pivotArea>
    </format>
    <format dxfId="6039">
      <pivotArea dataOnly="0" labelOnly="1" outline="0" fieldPosition="0">
        <references count="4">
          <reference field="11" count="1" selected="0">
            <x v="93"/>
          </reference>
          <reference field="14" count="1" selected="0">
            <x v="451"/>
          </reference>
          <reference field="18" count="1" selected="0">
            <x v="7"/>
          </reference>
          <reference field="19" count="1">
            <x v="4"/>
          </reference>
        </references>
      </pivotArea>
    </format>
    <format dxfId="6038">
      <pivotArea dataOnly="0" labelOnly="1" outline="0" fieldPosition="0">
        <references count="4">
          <reference field="11" count="1" selected="0">
            <x v="94"/>
          </reference>
          <reference field="14" count="1" selected="0">
            <x v="23"/>
          </reference>
          <reference field="18" count="1" selected="0">
            <x v="3"/>
          </reference>
          <reference field="19" count="1">
            <x v="15"/>
          </reference>
        </references>
      </pivotArea>
    </format>
    <format dxfId="6037">
      <pivotArea dataOnly="0" labelOnly="1" outline="0" fieldPosition="0">
        <references count="4">
          <reference field="11" count="1" selected="0">
            <x v="95"/>
          </reference>
          <reference field="14" count="1" selected="0">
            <x v="200"/>
          </reference>
          <reference field="18" count="1" selected="0">
            <x v="0"/>
          </reference>
          <reference field="19" count="1">
            <x v="16"/>
          </reference>
        </references>
      </pivotArea>
    </format>
    <format dxfId="6036">
      <pivotArea dataOnly="0" labelOnly="1" outline="0" fieldPosition="0">
        <references count="4">
          <reference field="11" count="1" selected="0">
            <x v="95"/>
          </reference>
          <reference field="14" count="1" selected="0">
            <x v="200"/>
          </reference>
          <reference field="18" count="1" selected="0">
            <x v="12"/>
          </reference>
          <reference field="19" count="1">
            <x v="13"/>
          </reference>
        </references>
      </pivotArea>
    </format>
    <format dxfId="6035">
      <pivotArea dataOnly="0" labelOnly="1" outline="0" fieldPosition="0">
        <references count="4">
          <reference field="11" count="1" selected="0">
            <x v="95"/>
          </reference>
          <reference field="14" count="1" selected="0">
            <x v="200"/>
          </reference>
          <reference field="18" count="1" selected="0">
            <x v="27"/>
          </reference>
          <reference field="19" count="1">
            <x v="17"/>
          </reference>
        </references>
      </pivotArea>
    </format>
    <format dxfId="6034">
      <pivotArea dataOnly="0" labelOnly="1" outline="0" fieldPosition="0">
        <references count="4">
          <reference field="11" count="1" selected="0">
            <x v="96"/>
          </reference>
          <reference field="14" count="1" selected="0">
            <x v="240"/>
          </reference>
          <reference field="18" count="1" selected="0">
            <x v="6"/>
          </reference>
          <reference field="19" count="1">
            <x v="23"/>
          </reference>
        </references>
      </pivotArea>
    </format>
    <format dxfId="6033">
      <pivotArea dataOnly="0" labelOnly="1" outline="0" fieldPosition="0">
        <references count="4">
          <reference field="11" count="1" selected="0">
            <x v="97"/>
          </reference>
          <reference field="14" count="1" selected="0">
            <x v="268"/>
          </reference>
          <reference field="18" count="1" selected="0">
            <x v="3"/>
          </reference>
          <reference field="19" count="1">
            <x v="15"/>
          </reference>
        </references>
      </pivotArea>
    </format>
    <format dxfId="6032">
      <pivotArea dataOnly="0" labelOnly="1" outline="0" fieldPosition="0">
        <references count="4">
          <reference field="11" count="1" selected="0">
            <x v="98"/>
          </reference>
          <reference field="14" count="1" selected="0">
            <x v="358"/>
          </reference>
          <reference field="18" count="1" selected="0">
            <x v="14"/>
          </reference>
          <reference field="19" count="1">
            <x v="9"/>
          </reference>
        </references>
      </pivotArea>
    </format>
    <format dxfId="6031">
      <pivotArea dataOnly="0" labelOnly="1" outline="0" fieldPosition="0">
        <references count="4">
          <reference field="11" count="1" selected="0">
            <x v="99"/>
          </reference>
          <reference field="14" count="1" selected="0">
            <x v="454"/>
          </reference>
          <reference field="18" count="1" selected="0">
            <x v="0"/>
          </reference>
          <reference field="19" count="1">
            <x v="16"/>
          </reference>
        </references>
      </pivotArea>
    </format>
    <format dxfId="6030">
      <pivotArea dataOnly="0" labelOnly="1" outline="0" fieldPosition="0">
        <references count="4">
          <reference field="11" count="1" selected="0">
            <x v="100"/>
          </reference>
          <reference field="14" count="1" selected="0">
            <x v="274"/>
          </reference>
          <reference field="18" count="1" selected="0">
            <x v="0"/>
          </reference>
          <reference field="19" count="1">
            <x v="16"/>
          </reference>
        </references>
      </pivotArea>
    </format>
    <format dxfId="6029">
      <pivotArea dataOnly="0" labelOnly="1" outline="0" fieldPosition="0">
        <references count="4">
          <reference field="11" count="1" selected="0">
            <x v="101"/>
          </reference>
          <reference field="14" count="1" selected="0">
            <x v="303"/>
          </reference>
          <reference field="18" count="1" selected="0">
            <x v="6"/>
          </reference>
          <reference field="19" count="1">
            <x v="23"/>
          </reference>
        </references>
      </pivotArea>
    </format>
    <format dxfId="6028">
      <pivotArea dataOnly="0" labelOnly="1" outline="0" fieldPosition="0">
        <references count="4">
          <reference field="11" count="1" selected="0">
            <x v="102"/>
          </reference>
          <reference field="14" count="1" selected="0">
            <x v="248"/>
          </reference>
          <reference field="18" count="1" selected="0">
            <x v="3"/>
          </reference>
          <reference field="19" count="1">
            <x v="15"/>
          </reference>
        </references>
      </pivotArea>
    </format>
    <format dxfId="6027">
      <pivotArea dataOnly="0" labelOnly="1" outline="0" fieldPosition="0">
        <references count="4">
          <reference field="11" count="1" selected="0">
            <x v="103"/>
          </reference>
          <reference field="14" count="1" selected="0">
            <x v="48"/>
          </reference>
          <reference field="18" count="1" selected="0">
            <x v="0"/>
          </reference>
          <reference field="19" count="1">
            <x v="16"/>
          </reference>
        </references>
      </pivotArea>
    </format>
    <format dxfId="6026">
      <pivotArea dataOnly="0" labelOnly="1" outline="0" fieldPosition="0">
        <references count="4">
          <reference field="11" count="1" selected="0">
            <x v="104"/>
          </reference>
          <reference field="14" count="1" selected="0">
            <x v="321"/>
          </reference>
          <reference field="18" count="1" selected="0">
            <x v="2"/>
          </reference>
          <reference field="19" count="1">
            <x v="22"/>
          </reference>
        </references>
      </pivotArea>
    </format>
    <format dxfId="6025">
      <pivotArea dataOnly="0" labelOnly="1" outline="0" fieldPosition="0">
        <references count="4">
          <reference field="11" count="1" selected="0">
            <x v="105"/>
          </reference>
          <reference field="14" count="1" selected="0">
            <x v="320"/>
          </reference>
          <reference field="18" count="1" selected="0">
            <x v="2"/>
          </reference>
          <reference field="19" count="1">
            <x v="22"/>
          </reference>
        </references>
      </pivotArea>
    </format>
    <format dxfId="6024">
      <pivotArea dataOnly="0" labelOnly="1" outline="0" fieldPosition="0">
        <references count="4">
          <reference field="11" count="1" selected="0">
            <x v="106"/>
          </reference>
          <reference field="14" count="1" selected="0">
            <x v="210"/>
          </reference>
          <reference field="18" count="1" selected="0">
            <x v="0"/>
          </reference>
          <reference field="19" count="1">
            <x v="16"/>
          </reference>
        </references>
      </pivotArea>
    </format>
    <format dxfId="6023">
      <pivotArea dataOnly="0" labelOnly="1" outline="0" fieldPosition="0">
        <references count="4">
          <reference field="11" count="1" selected="0">
            <x v="107"/>
          </reference>
          <reference field="14" count="1" selected="0">
            <x v="220"/>
          </reference>
          <reference field="18" count="1" selected="0">
            <x v="1"/>
          </reference>
          <reference field="19" count="1">
            <x v="18"/>
          </reference>
        </references>
      </pivotArea>
    </format>
    <format dxfId="6022">
      <pivotArea dataOnly="0" labelOnly="1" outline="0" fieldPosition="0">
        <references count="4">
          <reference field="11" count="1" selected="0">
            <x v="108"/>
          </reference>
          <reference field="14" count="1" selected="0">
            <x v="111"/>
          </reference>
          <reference field="18" count="1" selected="0">
            <x v="0"/>
          </reference>
          <reference field="19" count="1">
            <x v="16"/>
          </reference>
        </references>
      </pivotArea>
    </format>
    <format dxfId="6021">
      <pivotArea dataOnly="0" labelOnly="1" outline="0" fieldPosition="0">
        <references count="4">
          <reference field="11" count="1" selected="0">
            <x v="109"/>
          </reference>
          <reference field="14" count="1" selected="0">
            <x v="194"/>
          </reference>
          <reference field="18" count="1" selected="0">
            <x v="14"/>
          </reference>
          <reference field="19" count="1">
            <x v="9"/>
          </reference>
        </references>
      </pivotArea>
    </format>
    <format dxfId="6020">
      <pivotArea dataOnly="0" labelOnly="1" outline="0" fieldPosition="0">
        <references count="4">
          <reference field="11" count="1" selected="0">
            <x v="110"/>
          </reference>
          <reference field="14" count="1" selected="0">
            <x v="52"/>
          </reference>
          <reference field="18" count="1" selected="0">
            <x v="0"/>
          </reference>
          <reference field="19" count="1">
            <x v="16"/>
          </reference>
        </references>
      </pivotArea>
    </format>
    <format dxfId="6019">
      <pivotArea dataOnly="0" labelOnly="1" outline="0" fieldPosition="0">
        <references count="4">
          <reference field="11" count="1" selected="0">
            <x v="111"/>
          </reference>
          <reference field="14" count="1" selected="0">
            <x v="229"/>
          </reference>
          <reference field="18" count="1" selected="0">
            <x v="2"/>
          </reference>
          <reference field="19" count="1">
            <x v="22"/>
          </reference>
        </references>
      </pivotArea>
    </format>
    <format dxfId="6018">
      <pivotArea dataOnly="0" labelOnly="1" outline="0" fieldPosition="0">
        <references count="4">
          <reference field="11" count="1" selected="0">
            <x v="111"/>
          </reference>
          <reference field="14" count="1" selected="0">
            <x v="229"/>
          </reference>
          <reference field="18" count="1" selected="0">
            <x v="12"/>
          </reference>
          <reference field="19" count="1">
            <x v="13"/>
          </reference>
        </references>
      </pivotArea>
    </format>
    <format dxfId="6017">
      <pivotArea dataOnly="0" labelOnly="1" outline="0" fieldPosition="0">
        <references count="4">
          <reference field="11" count="1" selected="0">
            <x v="112"/>
          </reference>
          <reference field="14" count="1" selected="0">
            <x v="41"/>
          </reference>
          <reference field="18" count="1" selected="0">
            <x v="0"/>
          </reference>
          <reference field="19" count="1">
            <x v="16"/>
          </reference>
        </references>
      </pivotArea>
    </format>
    <format dxfId="6016">
      <pivotArea dataOnly="0" labelOnly="1" outline="0" fieldPosition="0">
        <references count="4">
          <reference field="11" count="1" selected="0">
            <x v="112"/>
          </reference>
          <reference field="14" count="1" selected="0">
            <x v="41"/>
          </reference>
          <reference field="18" count="1" selected="0">
            <x v="2"/>
          </reference>
          <reference field="19" count="1">
            <x v="22"/>
          </reference>
        </references>
      </pivotArea>
    </format>
    <format dxfId="6015">
      <pivotArea dataOnly="0" labelOnly="1" outline="0" fieldPosition="0">
        <references count="4">
          <reference field="11" count="1" selected="0">
            <x v="113"/>
          </reference>
          <reference field="14" count="1" selected="0">
            <x v="40"/>
          </reference>
          <reference field="18" count="1" selected="0">
            <x v="0"/>
          </reference>
          <reference field="19" count="1">
            <x v="16"/>
          </reference>
        </references>
      </pivotArea>
    </format>
    <format dxfId="6014">
      <pivotArea dataOnly="0" labelOnly="1" outline="0" fieldPosition="0">
        <references count="4">
          <reference field="11" count="1" selected="0">
            <x v="113"/>
          </reference>
          <reference field="14" count="1" selected="0">
            <x v="40"/>
          </reference>
          <reference field="18" count="1" selected="0">
            <x v="2"/>
          </reference>
          <reference field="19" count="1">
            <x v="22"/>
          </reference>
        </references>
      </pivotArea>
    </format>
    <format dxfId="6013">
      <pivotArea dataOnly="0" labelOnly="1" outline="0" fieldPosition="0">
        <references count="4">
          <reference field="11" count="1" selected="0">
            <x v="114"/>
          </reference>
          <reference field="14" count="1" selected="0">
            <x v="433"/>
          </reference>
          <reference field="18" count="1" selected="0">
            <x v="2"/>
          </reference>
          <reference field="19" count="1">
            <x v="22"/>
          </reference>
        </references>
      </pivotArea>
    </format>
    <format dxfId="6012">
      <pivotArea dataOnly="0" labelOnly="1" outline="0" fieldPosition="0">
        <references count="4">
          <reference field="11" count="1" selected="0">
            <x v="115"/>
          </reference>
          <reference field="14" count="1" selected="0">
            <x v="470"/>
          </reference>
          <reference field="18" count="1" selected="0">
            <x v="22"/>
          </reference>
          <reference field="19" count="1">
            <x v="11"/>
          </reference>
        </references>
      </pivotArea>
    </format>
    <format dxfId="6011">
      <pivotArea dataOnly="0" labelOnly="1" outline="0" fieldPosition="0">
        <references count="4">
          <reference field="11" count="1" selected="0">
            <x v="115"/>
          </reference>
          <reference field="14" count="1" selected="0">
            <x v="470"/>
          </reference>
          <reference field="18" count="1" selected="0">
            <x v="24"/>
          </reference>
          <reference field="19" count="1">
            <x v="7"/>
          </reference>
        </references>
      </pivotArea>
    </format>
    <format dxfId="6010">
      <pivotArea dataOnly="0" labelOnly="1" outline="0" fieldPosition="0">
        <references count="4">
          <reference field="11" count="1" selected="0">
            <x v="116"/>
          </reference>
          <reference field="14" count="1" selected="0">
            <x v="469"/>
          </reference>
          <reference field="18" count="1" selected="0">
            <x v="2"/>
          </reference>
          <reference field="19" count="1">
            <x v="22"/>
          </reference>
        </references>
      </pivotArea>
    </format>
    <format dxfId="6009">
      <pivotArea dataOnly="0" labelOnly="1" outline="0" fieldPosition="0">
        <references count="4">
          <reference field="11" count="1" selected="0">
            <x v="117"/>
          </reference>
          <reference field="14" count="1" selected="0">
            <x v="472"/>
          </reference>
          <reference field="18" count="1" selected="0">
            <x v="2"/>
          </reference>
          <reference field="19" count="1">
            <x v="22"/>
          </reference>
        </references>
      </pivotArea>
    </format>
    <format dxfId="6008">
      <pivotArea dataOnly="0" labelOnly="1" outline="0" fieldPosition="0">
        <references count="4">
          <reference field="11" count="1" selected="0">
            <x v="118"/>
          </reference>
          <reference field="14" count="1" selected="0">
            <x v="473"/>
          </reference>
          <reference field="18" count="1" selected="0">
            <x v="2"/>
          </reference>
          <reference field="19" count="1">
            <x v="22"/>
          </reference>
        </references>
      </pivotArea>
    </format>
    <format dxfId="6007">
      <pivotArea dataOnly="0" labelOnly="1" outline="0" fieldPosition="0">
        <references count="4">
          <reference field="11" count="1" selected="0">
            <x v="119"/>
          </reference>
          <reference field="14" count="1" selected="0">
            <x v="475"/>
          </reference>
          <reference field="18" count="1" selected="0">
            <x v="22"/>
          </reference>
          <reference field="19" count="1">
            <x v="11"/>
          </reference>
        </references>
      </pivotArea>
    </format>
    <format dxfId="6006">
      <pivotArea dataOnly="0" labelOnly="1" outline="0" fieldPosition="0">
        <references count="4">
          <reference field="11" count="1" selected="0">
            <x v="119"/>
          </reference>
          <reference field="14" count="1" selected="0">
            <x v="475"/>
          </reference>
          <reference field="18" count="1" selected="0">
            <x v="24"/>
          </reference>
          <reference field="19" count="1">
            <x v="7"/>
          </reference>
        </references>
      </pivotArea>
    </format>
    <format dxfId="6005">
      <pivotArea dataOnly="0" labelOnly="1" outline="0" fieldPosition="0">
        <references count="4">
          <reference field="11" count="1" selected="0">
            <x v="120"/>
          </reference>
          <reference field="14" count="1" selected="0">
            <x v="474"/>
          </reference>
          <reference field="18" count="1" selected="0">
            <x v="22"/>
          </reference>
          <reference field="19" count="1">
            <x v="11"/>
          </reference>
        </references>
      </pivotArea>
    </format>
    <format dxfId="6004">
      <pivotArea dataOnly="0" labelOnly="1" outline="0" fieldPosition="0">
        <references count="4">
          <reference field="11" count="1" selected="0">
            <x v="120"/>
          </reference>
          <reference field="14" count="1" selected="0">
            <x v="474"/>
          </reference>
          <reference field="18" count="1" selected="0">
            <x v="24"/>
          </reference>
          <reference field="19" count="1">
            <x v="7"/>
          </reference>
        </references>
      </pivotArea>
    </format>
    <format dxfId="6003">
      <pivotArea dataOnly="0" labelOnly="1" outline="0" fieldPosition="0">
        <references count="4">
          <reference field="11" count="1" selected="0">
            <x v="121"/>
          </reference>
          <reference field="14" count="1" selected="0">
            <x v="477"/>
          </reference>
          <reference field="18" count="1" selected="0">
            <x v="2"/>
          </reference>
          <reference field="19" count="1">
            <x v="22"/>
          </reference>
        </references>
      </pivotArea>
    </format>
    <format dxfId="6002">
      <pivotArea dataOnly="0" labelOnly="1" outline="0" fieldPosition="0">
        <references count="4">
          <reference field="11" count="1" selected="0">
            <x v="122"/>
          </reference>
          <reference field="14" count="1" selected="0">
            <x v="476"/>
          </reference>
          <reference field="18" count="1" selected="0">
            <x v="2"/>
          </reference>
          <reference field="19" count="1">
            <x v="22"/>
          </reference>
        </references>
      </pivotArea>
    </format>
    <format dxfId="6001">
      <pivotArea dataOnly="0" labelOnly="1" outline="0" fieldPosition="0">
        <references count="4">
          <reference field="11" count="1" selected="0">
            <x v="123"/>
          </reference>
          <reference field="14" count="1" selected="0">
            <x v="478"/>
          </reference>
          <reference field="18" count="1" selected="0">
            <x v="22"/>
          </reference>
          <reference field="19" count="1">
            <x v="11"/>
          </reference>
        </references>
      </pivotArea>
    </format>
    <format dxfId="6000">
      <pivotArea dataOnly="0" labelOnly="1" outline="0" fieldPosition="0">
        <references count="4">
          <reference field="11" count="1" selected="0">
            <x v="123"/>
          </reference>
          <reference field="14" count="1" selected="0">
            <x v="478"/>
          </reference>
          <reference field="18" count="1" selected="0">
            <x v="24"/>
          </reference>
          <reference field="19" count="1">
            <x v="7"/>
          </reference>
        </references>
      </pivotArea>
    </format>
    <format dxfId="5999">
      <pivotArea dataOnly="0" labelOnly="1" outline="0" fieldPosition="0">
        <references count="4">
          <reference field="11" count="1" selected="0">
            <x v="124"/>
          </reference>
          <reference field="14" count="1" selected="0">
            <x v="480"/>
          </reference>
          <reference field="18" count="1" selected="0">
            <x v="22"/>
          </reference>
          <reference field="19" count="1">
            <x v="11"/>
          </reference>
        </references>
      </pivotArea>
    </format>
    <format dxfId="5998">
      <pivotArea dataOnly="0" labelOnly="1" outline="0" fieldPosition="0">
        <references count="4">
          <reference field="11" count="1" selected="0">
            <x v="124"/>
          </reference>
          <reference field="14" count="1" selected="0">
            <x v="480"/>
          </reference>
          <reference field="18" count="1" selected="0">
            <x v="24"/>
          </reference>
          <reference field="19" count="1">
            <x v="7"/>
          </reference>
        </references>
      </pivotArea>
    </format>
    <format dxfId="5997">
      <pivotArea dataOnly="0" labelOnly="1" outline="0" fieldPosition="0">
        <references count="4">
          <reference field="11" count="1" selected="0">
            <x v="125"/>
          </reference>
          <reference field="14" count="1" selected="0">
            <x v="479"/>
          </reference>
          <reference field="18" count="1" selected="0">
            <x v="22"/>
          </reference>
          <reference field="19" count="1">
            <x v="11"/>
          </reference>
        </references>
      </pivotArea>
    </format>
    <format dxfId="5996">
      <pivotArea dataOnly="0" labelOnly="1" outline="0" fieldPosition="0">
        <references count="4">
          <reference field="11" count="1" selected="0">
            <x v="125"/>
          </reference>
          <reference field="14" count="1" selected="0">
            <x v="479"/>
          </reference>
          <reference field="18" count="1" selected="0">
            <x v="24"/>
          </reference>
          <reference field="19" count="1">
            <x v="7"/>
          </reference>
        </references>
      </pivotArea>
    </format>
    <format dxfId="5995">
      <pivotArea dataOnly="0" labelOnly="1" outline="0" fieldPosition="0">
        <references count="4">
          <reference field="11" count="1" selected="0">
            <x v="126"/>
          </reference>
          <reference field="14" count="1" selected="0">
            <x v="481"/>
          </reference>
          <reference field="18" count="1" selected="0">
            <x v="22"/>
          </reference>
          <reference field="19" count="1">
            <x v="11"/>
          </reference>
        </references>
      </pivotArea>
    </format>
    <format dxfId="5994">
      <pivotArea dataOnly="0" labelOnly="1" outline="0" fieldPosition="0">
        <references count="4">
          <reference field="11" count="1" selected="0">
            <x v="126"/>
          </reference>
          <reference field="14" count="1" selected="0">
            <x v="481"/>
          </reference>
          <reference field="18" count="1" selected="0">
            <x v="24"/>
          </reference>
          <reference field="19" count="1">
            <x v="7"/>
          </reference>
        </references>
      </pivotArea>
    </format>
    <format dxfId="5993">
      <pivotArea dataOnly="0" labelOnly="1" outline="0" fieldPosition="0">
        <references count="4">
          <reference field="11" count="1" selected="0">
            <x v="127"/>
          </reference>
          <reference field="14" count="1" selected="0">
            <x v="483"/>
          </reference>
          <reference field="18" count="1" selected="0">
            <x v="2"/>
          </reference>
          <reference field="19" count="1">
            <x v="22"/>
          </reference>
        </references>
      </pivotArea>
    </format>
    <format dxfId="5992">
      <pivotArea dataOnly="0" labelOnly="1" outline="0" fieldPosition="0">
        <references count="4">
          <reference field="11" count="1" selected="0">
            <x v="128"/>
          </reference>
          <reference field="14" count="1" selected="0">
            <x v="453"/>
          </reference>
          <reference field="18" count="1" selected="0">
            <x v="0"/>
          </reference>
          <reference field="19" count="1">
            <x v="16"/>
          </reference>
        </references>
      </pivotArea>
    </format>
    <format dxfId="5991">
      <pivotArea dataOnly="0" labelOnly="1" outline="0" fieldPosition="0">
        <references count="4">
          <reference field="11" count="1" selected="0">
            <x v="129"/>
          </reference>
          <reference field="14" count="1" selected="0">
            <x v="391"/>
          </reference>
          <reference field="18" count="1" selected="0">
            <x v="2"/>
          </reference>
          <reference field="19" count="1">
            <x v="22"/>
          </reference>
        </references>
      </pivotArea>
    </format>
    <format dxfId="5990">
      <pivotArea dataOnly="0" labelOnly="1" outline="0" fieldPosition="0">
        <references count="4">
          <reference field="11" count="1" selected="0">
            <x v="130"/>
          </reference>
          <reference field="14" count="1" selected="0">
            <x v="242"/>
          </reference>
          <reference field="18" count="1" selected="0">
            <x v="2"/>
          </reference>
          <reference field="19" count="1">
            <x v="22"/>
          </reference>
        </references>
      </pivotArea>
    </format>
    <format dxfId="5989">
      <pivotArea dataOnly="0" labelOnly="1" outline="0" fieldPosition="0">
        <references count="4">
          <reference field="11" count="1" selected="0">
            <x v="131"/>
          </reference>
          <reference field="14" count="1" selected="0">
            <x v="33"/>
          </reference>
          <reference field="18" count="1" selected="0">
            <x v="15"/>
          </reference>
          <reference field="19" count="1">
            <x v="25"/>
          </reference>
        </references>
      </pivotArea>
    </format>
    <format dxfId="5988">
      <pivotArea dataOnly="0" labelOnly="1" outline="0" fieldPosition="0">
        <references count="4">
          <reference field="11" count="1" selected="0">
            <x v="132"/>
          </reference>
          <reference field="14" count="1" selected="0">
            <x v="482"/>
          </reference>
          <reference field="18" count="1" selected="0">
            <x v="2"/>
          </reference>
          <reference field="19" count="1">
            <x v="22"/>
          </reference>
        </references>
      </pivotArea>
    </format>
    <format dxfId="5987">
      <pivotArea dataOnly="0" labelOnly="1" outline="0" fieldPosition="0">
        <references count="4">
          <reference field="11" count="1" selected="0">
            <x v="133"/>
          </reference>
          <reference field="14" count="1" selected="0">
            <x v="266"/>
          </reference>
          <reference field="18" count="1" selected="0">
            <x v="27"/>
          </reference>
          <reference field="19" count="1">
            <x v="17"/>
          </reference>
        </references>
      </pivotArea>
    </format>
    <format dxfId="5986">
      <pivotArea dataOnly="0" labelOnly="1" outline="0" fieldPosition="0">
        <references count="4">
          <reference field="11" count="1" selected="0">
            <x v="134"/>
          </reference>
          <reference field="14" count="1" selected="0">
            <x v="76"/>
          </reference>
          <reference field="18" count="1" selected="0">
            <x v="16"/>
          </reference>
          <reference field="19" count="1">
            <x v="24"/>
          </reference>
        </references>
      </pivotArea>
    </format>
    <format dxfId="5985">
      <pivotArea dataOnly="0" labelOnly="1" outline="0" fieldPosition="0">
        <references count="4">
          <reference field="11" count="1" selected="0">
            <x v="135"/>
          </reference>
          <reference field="14" count="1" selected="0">
            <x v="332"/>
          </reference>
          <reference field="18" count="1" selected="0">
            <x v="4"/>
          </reference>
          <reference field="19" count="1">
            <x v="10"/>
          </reference>
        </references>
      </pivotArea>
    </format>
    <format dxfId="5984">
      <pivotArea dataOnly="0" labelOnly="1" outline="0" fieldPosition="0">
        <references count="4">
          <reference field="11" count="1" selected="0">
            <x v="136"/>
          </reference>
          <reference field="14" count="1" selected="0">
            <x v="333"/>
          </reference>
          <reference field="18" count="1" selected="0">
            <x v="24"/>
          </reference>
          <reference field="19" count="1">
            <x v="7"/>
          </reference>
        </references>
      </pivotArea>
    </format>
    <format dxfId="5983">
      <pivotArea dataOnly="0" labelOnly="1" outline="0" fieldPosition="0">
        <references count="4">
          <reference field="11" count="1" selected="0">
            <x v="137"/>
          </reference>
          <reference field="14" count="1" selected="0">
            <x v="11"/>
          </reference>
          <reference field="18" count="1" selected="0">
            <x v="1"/>
          </reference>
          <reference field="19" count="1">
            <x v="18"/>
          </reference>
        </references>
      </pivotArea>
    </format>
    <format dxfId="5982">
      <pivotArea dataOnly="0" labelOnly="1" outline="0" fieldPosition="0">
        <references count="4">
          <reference field="11" count="1" selected="0">
            <x v="138"/>
          </reference>
          <reference field="14" count="1" selected="0">
            <x v="16"/>
          </reference>
          <reference field="18" count="1" selected="0">
            <x v="12"/>
          </reference>
          <reference field="19" count="1">
            <x v="13"/>
          </reference>
        </references>
      </pivotArea>
    </format>
    <format dxfId="5981">
      <pivotArea dataOnly="0" labelOnly="1" outline="0" fieldPosition="0">
        <references count="4">
          <reference field="11" count="1" selected="0">
            <x v="138"/>
          </reference>
          <reference field="14" count="1" selected="0">
            <x v="16"/>
          </reference>
          <reference field="18" count="1" selected="0">
            <x v="20"/>
          </reference>
          <reference field="19" count="1">
            <x v="19"/>
          </reference>
        </references>
      </pivotArea>
    </format>
    <format dxfId="5980">
      <pivotArea dataOnly="0" labelOnly="1" outline="0" fieldPosition="0">
        <references count="4">
          <reference field="11" count="1" selected="0">
            <x v="139"/>
          </reference>
          <reference field="14" count="1" selected="0">
            <x v="361"/>
          </reference>
          <reference field="18" count="1" selected="0">
            <x v="3"/>
          </reference>
          <reference field="19" count="1">
            <x v="15"/>
          </reference>
        </references>
      </pivotArea>
    </format>
    <format dxfId="5979">
      <pivotArea dataOnly="0" labelOnly="1" outline="0" fieldPosition="0">
        <references count="4">
          <reference field="11" count="1" selected="0">
            <x v="139"/>
          </reference>
          <reference field="14" count="1" selected="0">
            <x v="361"/>
          </reference>
          <reference field="18" count="1" selected="0">
            <x v="6"/>
          </reference>
          <reference field="19" count="1">
            <x v="23"/>
          </reference>
        </references>
      </pivotArea>
    </format>
    <format dxfId="5978">
      <pivotArea dataOnly="0" labelOnly="1" outline="0" fieldPosition="0">
        <references count="4">
          <reference field="11" count="1" selected="0">
            <x v="140"/>
          </reference>
          <reference field="14" count="1" selected="0">
            <x v="255"/>
          </reference>
          <reference field="18" count="1" selected="0">
            <x v="16"/>
          </reference>
          <reference field="19" count="1">
            <x v="24"/>
          </reference>
        </references>
      </pivotArea>
    </format>
    <format dxfId="5977">
      <pivotArea dataOnly="0" labelOnly="1" outline="0" fieldPosition="0">
        <references count="4">
          <reference field="11" count="1" selected="0">
            <x v="141"/>
          </reference>
          <reference field="14" count="1" selected="0">
            <x v="252"/>
          </reference>
          <reference field="18" count="1" selected="0">
            <x v="0"/>
          </reference>
          <reference field="19" count="1">
            <x v="16"/>
          </reference>
        </references>
      </pivotArea>
    </format>
    <format dxfId="5976">
      <pivotArea dataOnly="0" labelOnly="1" outline="0" fieldPosition="0">
        <references count="4">
          <reference field="11" count="1" selected="0">
            <x v="142"/>
          </reference>
          <reference field="14" count="1" selected="0">
            <x v="213"/>
          </reference>
          <reference field="18" count="1" selected="0">
            <x v="14"/>
          </reference>
          <reference field="19" count="1">
            <x v="9"/>
          </reference>
        </references>
      </pivotArea>
    </format>
    <format dxfId="5975">
      <pivotArea dataOnly="0" labelOnly="1" outline="0" fieldPosition="0">
        <references count="4">
          <reference field="11" count="1" selected="0">
            <x v="143"/>
          </reference>
          <reference field="14" count="1" selected="0">
            <x v="326"/>
          </reference>
          <reference field="18" count="1" selected="0">
            <x v="6"/>
          </reference>
          <reference field="19" count="1">
            <x v="23"/>
          </reference>
        </references>
      </pivotArea>
    </format>
    <format dxfId="5974">
      <pivotArea dataOnly="0" labelOnly="1" outline="0" fieldPosition="0">
        <references count="4">
          <reference field="11" count="1" selected="0">
            <x v="144"/>
          </reference>
          <reference field="14" count="1" selected="0">
            <x v="327"/>
          </reference>
          <reference field="18" count="1" selected="0">
            <x v="6"/>
          </reference>
          <reference field="19" count="1">
            <x v="23"/>
          </reference>
        </references>
      </pivotArea>
    </format>
    <format dxfId="5973">
      <pivotArea dataOnly="0" labelOnly="1" outline="0" fieldPosition="0">
        <references count="4">
          <reference field="11" count="1" selected="0">
            <x v="145"/>
          </reference>
          <reference field="14" count="1" selected="0">
            <x v="329"/>
          </reference>
          <reference field="18" count="1" selected="0">
            <x v="6"/>
          </reference>
          <reference field="19" count="1">
            <x v="23"/>
          </reference>
        </references>
      </pivotArea>
    </format>
    <format dxfId="5972">
      <pivotArea dataOnly="0" labelOnly="1" outline="0" fieldPosition="0">
        <references count="4">
          <reference field="11" count="1" selected="0">
            <x v="146"/>
          </reference>
          <reference field="14" count="1" selected="0">
            <x v="330"/>
          </reference>
          <reference field="18" count="1" selected="0">
            <x v="6"/>
          </reference>
          <reference field="19" count="1">
            <x v="23"/>
          </reference>
        </references>
      </pivotArea>
    </format>
    <format dxfId="5971">
      <pivotArea dataOnly="0" labelOnly="1" outline="0" fieldPosition="0">
        <references count="4">
          <reference field="11" count="1" selected="0">
            <x v="147"/>
          </reference>
          <reference field="14" count="1" selected="0">
            <x v="328"/>
          </reference>
          <reference field="18" count="1" selected="0">
            <x v="6"/>
          </reference>
          <reference field="19" count="1">
            <x v="23"/>
          </reference>
        </references>
      </pivotArea>
    </format>
    <format dxfId="5970">
      <pivotArea dataOnly="0" labelOnly="1" outline="0" fieldPosition="0">
        <references count="4">
          <reference field="11" count="1" selected="0">
            <x v="148"/>
          </reference>
          <reference field="14" count="1" selected="0">
            <x v="215"/>
          </reference>
          <reference field="18" count="1" selected="0">
            <x v="14"/>
          </reference>
          <reference field="19" count="1">
            <x v="9"/>
          </reference>
        </references>
      </pivotArea>
    </format>
    <format dxfId="5969">
      <pivotArea dataOnly="0" labelOnly="1" outline="0" fieldPosition="0">
        <references count="4">
          <reference field="11" count="1" selected="0">
            <x v="149"/>
          </reference>
          <reference field="14" count="1" selected="0">
            <x v="461"/>
          </reference>
          <reference field="18" count="1" selected="0">
            <x v="4"/>
          </reference>
          <reference field="19" count="1">
            <x v="10"/>
          </reference>
        </references>
      </pivotArea>
    </format>
    <format dxfId="5968">
      <pivotArea dataOnly="0" labelOnly="1" outline="0" fieldPosition="0">
        <references count="4">
          <reference field="11" count="1" selected="0">
            <x v="149"/>
          </reference>
          <reference field="14" count="1" selected="0">
            <x v="461"/>
          </reference>
          <reference field="18" count="1" selected="0">
            <x v="10"/>
          </reference>
          <reference field="19" count="1">
            <x v="8"/>
          </reference>
        </references>
      </pivotArea>
    </format>
    <format dxfId="5967">
      <pivotArea dataOnly="0" labelOnly="1" outline="0" fieldPosition="0">
        <references count="4">
          <reference field="11" count="1" selected="0">
            <x v="150"/>
          </reference>
          <reference field="14" count="1" selected="0">
            <x v="267"/>
          </reference>
          <reference field="18" count="1" selected="0">
            <x v="3"/>
          </reference>
          <reference field="19" count="1">
            <x v="15"/>
          </reference>
        </references>
      </pivotArea>
    </format>
    <format dxfId="5966">
      <pivotArea dataOnly="0" labelOnly="1" outline="0" fieldPosition="0">
        <references count="4">
          <reference field="11" count="1" selected="0">
            <x v="151"/>
          </reference>
          <reference field="14" count="1" selected="0">
            <x v="392"/>
          </reference>
          <reference field="18" count="1" selected="0">
            <x v="2"/>
          </reference>
          <reference field="19" count="1">
            <x v="22"/>
          </reference>
        </references>
      </pivotArea>
    </format>
    <format dxfId="5965">
      <pivotArea dataOnly="0" labelOnly="1" outline="0" fieldPosition="0">
        <references count="4">
          <reference field="11" count="1" selected="0">
            <x v="152"/>
          </reference>
          <reference field="14" count="1" selected="0">
            <x v="447"/>
          </reference>
          <reference field="18" count="1" selected="0">
            <x v="19"/>
          </reference>
          <reference field="19" count="1">
            <x v="2"/>
          </reference>
        </references>
      </pivotArea>
    </format>
    <format dxfId="5964">
      <pivotArea dataOnly="0" labelOnly="1" outline="0" fieldPosition="0">
        <references count="4">
          <reference field="11" count="1" selected="0">
            <x v="153"/>
          </reference>
          <reference field="14" count="1" selected="0">
            <x v="177"/>
          </reference>
          <reference field="18" count="1" selected="0">
            <x v="6"/>
          </reference>
          <reference field="19" count="1">
            <x v="23"/>
          </reference>
        </references>
      </pivotArea>
    </format>
    <format dxfId="5963">
      <pivotArea dataOnly="0" labelOnly="1" outline="0" fieldPosition="0">
        <references count="4">
          <reference field="11" count="1" selected="0">
            <x v="154"/>
          </reference>
          <reference field="14" count="1" selected="0">
            <x v="182"/>
          </reference>
          <reference field="18" count="1" selected="0">
            <x v="1"/>
          </reference>
          <reference field="19" count="1">
            <x v="18"/>
          </reference>
        </references>
      </pivotArea>
    </format>
    <format dxfId="5962">
      <pivotArea dataOnly="0" labelOnly="1" outline="0" fieldPosition="0">
        <references count="4">
          <reference field="11" count="1" selected="0">
            <x v="155"/>
          </reference>
          <reference field="14" count="1" selected="0">
            <x v="105"/>
          </reference>
          <reference field="18" count="1" selected="0">
            <x v="27"/>
          </reference>
          <reference field="19" count="1">
            <x v="17"/>
          </reference>
        </references>
      </pivotArea>
    </format>
    <format dxfId="5961">
      <pivotArea dataOnly="0" labelOnly="1" outline="0" fieldPosition="0">
        <references count="4">
          <reference field="11" count="1" selected="0">
            <x v="156"/>
          </reference>
          <reference field="14" count="1" selected="0">
            <x v="238"/>
          </reference>
          <reference field="18" count="1" selected="0">
            <x v="12"/>
          </reference>
          <reference field="19" count="1">
            <x v="13"/>
          </reference>
        </references>
      </pivotArea>
    </format>
    <format dxfId="5960">
      <pivotArea dataOnly="0" labelOnly="1" outline="0" fieldPosition="0">
        <references count="4">
          <reference field="11" count="1" selected="0">
            <x v="157"/>
          </reference>
          <reference field="14" count="1" selected="0">
            <x v="395"/>
          </reference>
          <reference field="18" count="1" selected="0">
            <x v="6"/>
          </reference>
          <reference field="19" count="1">
            <x v="23"/>
          </reference>
        </references>
      </pivotArea>
    </format>
    <format dxfId="5959">
      <pivotArea dataOnly="0" labelOnly="1" outline="0" fieldPosition="0">
        <references count="4">
          <reference field="11" count="1" selected="0">
            <x v="158"/>
          </reference>
          <reference field="14" count="1" selected="0">
            <x v="224"/>
          </reference>
          <reference field="18" count="1" selected="0">
            <x v="4"/>
          </reference>
          <reference field="19" count="1">
            <x v="10"/>
          </reference>
        </references>
      </pivotArea>
    </format>
    <format dxfId="5958">
      <pivotArea dataOnly="0" labelOnly="1" outline="0" fieldPosition="0">
        <references count="4">
          <reference field="11" count="1" selected="0">
            <x v="158"/>
          </reference>
          <reference field="14" count="1" selected="0">
            <x v="224"/>
          </reference>
          <reference field="18" count="1" selected="0">
            <x v="12"/>
          </reference>
          <reference field="19" count="1">
            <x v="13"/>
          </reference>
        </references>
      </pivotArea>
    </format>
    <format dxfId="5957">
      <pivotArea dataOnly="0" labelOnly="1" outline="0" fieldPosition="0">
        <references count="4">
          <reference field="11" count="1" selected="0">
            <x v="159"/>
          </reference>
          <reference field="14" count="1" selected="0">
            <x v="218"/>
          </reference>
          <reference field="18" count="1" selected="0">
            <x v="0"/>
          </reference>
          <reference field="19" count="1">
            <x v="16"/>
          </reference>
        </references>
      </pivotArea>
    </format>
    <format dxfId="5956">
      <pivotArea dataOnly="0" labelOnly="1" outline="0" fieldPosition="0">
        <references count="4">
          <reference field="11" count="1" selected="0">
            <x v="160"/>
          </reference>
          <reference field="14" count="1" selected="0">
            <x v="398"/>
          </reference>
          <reference field="18" count="1" selected="0">
            <x v="14"/>
          </reference>
          <reference field="19" count="1">
            <x v="9"/>
          </reference>
        </references>
      </pivotArea>
    </format>
    <format dxfId="5955">
      <pivotArea dataOnly="0" labelOnly="1" outline="0" fieldPosition="0">
        <references count="4">
          <reference field="11" count="1" selected="0">
            <x v="161"/>
          </reference>
          <reference field="14" count="1" selected="0">
            <x v="117"/>
          </reference>
          <reference field="18" count="1" selected="0">
            <x v="6"/>
          </reference>
          <reference field="19" count="1">
            <x v="23"/>
          </reference>
        </references>
      </pivotArea>
    </format>
    <format dxfId="5954">
      <pivotArea dataOnly="0" labelOnly="1" outline="0" fieldPosition="0">
        <references count="4">
          <reference field="11" count="1" selected="0">
            <x v="161"/>
          </reference>
          <reference field="14" count="1" selected="0">
            <x v="117"/>
          </reference>
          <reference field="18" count="1" selected="0">
            <x v="12"/>
          </reference>
          <reference field="19" count="1">
            <x v="13"/>
          </reference>
        </references>
      </pivotArea>
    </format>
    <format dxfId="5953">
      <pivotArea dataOnly="0" labelOnly="1" outline="0" fieldPosition="0">
        <references count="4">
          <reference field="11" count="1" selected="0">
            <x v="162"/>
          </reference>
          <reference field="14" count="1" selected="0">
            <x v="161"/>
          </reference>
          <reference field="18" count="1" selected="0">
            <x v="2"/>
          </reference>
          <reference field="19" count="1">
            <x v="22"/>
          </reference>
        </references>
      </pivotArea>
    </format>
    <format dxfId="5952">
      <pivotArea dataOnly="0" labelOnly="1" outline="0" fieldPosition="0">
        <references count="4">
          <reference field="11" count="1" selected="0">
            <x v="163"/>
          </reference>
          <reference field="14" count="1" selected="0">
            <x v="234"/>
          </reference>
          <reference field="18" count="1" selected="0">
            <x v="2"/>
          </reference>
          <reference field="19" count="1">
            <x v="22"/>
          </reference>
        </references>
      </pivotArea>
    </format>
    <format dxfId="5951">
      <pivotArea dataOnly="0" labelOnly="1" outline="0" fieldPosition="0">
        <references count="4">
          <reference field="11" count="1" selected="0">
            <x v="163"/>
          </reference>
          <reference field="14" count="1" selected="0">
            <x v="234"/>
          </reference>
          <reference field="18" count="1" selected="0">
            <x v="12"/>
          </reference>
          <reference field="19" count="1">
            <x v="13"/>
          </reference>
        </references>
      </pivotArea>
    </format>
    <format dxfId="5950">
      <pivotArea dataOnly="0" labelOnly="1" outline="0" fieldPosition="0">
        <references count="4">
          <reference field="11" count="1" selected="0">
            <x v="164"/>
          </reference>
          <reference field="14" count="1" selected="0">
            <x v="258"/>
          </reference>
          <reference field="18" count="1" selected="0">
            <x v="6"/>
          </reference>
          <reference field="19" count="1">
            <x v="23"/>
          </reference>
        </references>
      </pivotArea>
    </format>
    <format dxfId="5949">
      <pivotArea dataOnly="0" labelOnly="1" outline="0" fieldPosition="0">
        <references count="4">
          <reference field="11" count="1" selected="0">
            <x v="165"/>
          </reference>
          <reference field="14" count="1" selected="0">
            <x v="206"/>
          </reference>
          <reference field="18" count="1" selected="0">
            <x v="3"/>
          </reference>
          <reference field="19" count="1">
            <x v="15"/>
          </reference>
        </references>
      </pivotArea>
    </format>
    <format dxfId="5948">
      <pivotArea dataOnly="0" labelOnly="1" outline="0" fieldPosition="0">
        <references count="4">
          <reference field="11" count="1" selected="0">
            <x v="166"/>
          </reference>
          <reference field="14" count="1" selected="0">
            <x v="319"/>
          </reference>
          <reference field="18" count="1" selected="0">
            <x v="2"/>
          </reference>
          <reference field="19" count="1">
            <x v="22"/>
          </reference>
        </references>
      </pivotArea>
    </format>
    <format dxfId="5947">
      <pivotArea dataOnly="0" labelOnly="1" outline="0" fieldPosition="0">
        <references count="4">
          <reference field="11" count="1" selected="0">
            <x v="166"/>
          </reference>
          <reference field="14" count="1" selected="0">
            <x v="319"/>
          </reference>
          <reference field="18" count="1" selected="0">
            <x v="14"/>
          </reference>
          <reference field="19" count="1">
            <x v="9"/>
          </reference>
        </references>
      </pivotArea>
    </format>
    <format dxfId="5946">
      <pivotArea dataOnly="0" labelOnly="1" outline="0" fieldPosition="0">
        <references count="4">
          <reference field="11" count="1" selected="0">
            <x v="167"/>
          </reference>
          <reference field="14" count="1" selected="0">
            <x v="66"/>
          </reference>
          <reference field="18" count="1" selected="0">
            <x v="15"/>
          </reference>
          <reference field="19" count="1">
            <x v="25"/>
          </reference>
        </references>
      </pivotArea>
    </format>
    <format dxfId="5945">
      <pivotArea dataOnly="0" labelOnly="1" outline="0" fieldPosition="0">
        <references count="4">
          <reference field="11" count="1" selected="0">
            <x v="168"/>
          </reference>
          <reference field="14" count="1" selected="0">
            <x v="148"/>
          </reference>
          <reference field="18" count="1" selected="0">
            <x v="2"/>
          </reference>
          <reference field="19" count="1">
            <x v="22"/>
          </reference>
        </references>
      </pivotArea>
    </format>
    <format dxfId="5944">
      <pivotArea dataOnly="0" labelOnly="1" outline="0" fieldPosition="0">
        <references count="4">
          <reference field="11" count="1" selected="0">
            <x v="169"/>
          </reference>
          <reference field="14" count="1" selected="0">
            <x v="192"/>
          </reference>
          <reference field="18" count="1" selected="0">
            <x v="14"/>
          </reference>
          <reference field="19" count="1">
            <x v="9"/>
          </reference>
        </references>
      </pivotArea>
    </format>
    <format dxfId="5943">
      <pivotArea dataOnly="0" labelOnly="1" outline="0" fieldPosition="0">
        <references count="4">
          <reference field="11" count="1" selected="0">
            <x v="170"/>
          </reference>
          <reference field="14" count="1" selected="0">
            <x v="317"/>
          </reference>
          <reference field="18" count="1" selected="0">
            <x v="14"/>
          </reference>
          <reference field="19" count="1">
            <x v="9"/>
          </reference>
        </references>
      </pivotArea>
    </format>
    <format dxfId="5942">
      <pivotArea dataOnly="0" labelOnly="1" outline="0" fieldPosition="0">
        <references count="4">
          <reference field="11" count="1" selected="0">
            <x v="171"/>
          </reference>
          <reference field="14" count="1" selected="0">
            <x v="350"/>
          </reference>
          <reference field="18" count="1" selected="0">
            <x v="6"/>
          </reference>
          <reference field="19" count="1">
            <x v="23"/>
          </reference>
        </references>
      </pivotArea>
    </format>
    <format dxfId="5941">
      <pivotArea dataOnly="0" labelOnly="1" outline="0" fieldPosition="0">
        <references count="4">
          <reference field="11" count="1" selected="0">
            <x v="172"/>
          </reference>
          <reference field="14" count="1" selected="0">
            <x v="231"/>
          </reference>
          <reference field="18" count="1" selected="0">
            <x v="12"/>
          </reference>
          <reference field="19" count="1">
            <x v="13"/>
          </reference>
        </references>
      </pivotArea>
    </format>
    <format dxfId="5940">
      <pivotArea dataOnly="0" labelOnly="1" outline="0" fieldPosition="0">
        <references count="4">
          <reference field="11" count="1" selected="0">
            <x v="173"/>
          </reference>
          <reference field="14" count="1" selected="0">
            <x v="174"/>
          </reference>
          <reference field="18" count="1" selected="0">
            <x v="0"/>
          </reference>
          <reference field="19" count="1">
            <x v="16"/>
          </reference>
        </references>
      </pivotArea>
    </format>
    <format dxfId="5939">
      <pivotArea dataOnly="0" labelOnly="1" outline="0" fieldPosition="0">
        <references count="4">
          <reference field="11" count="1" selected="0">
            <x v="174"/>
          </reference>
          <reference field="14" count="1" selected="0">
            <x v="173"/>
          </reference>
          <reference field="18" count="1" selected="0">
            <x v="0"/>
          </reference>
          <reference field="19" count="1">
            <x v="16"/>
          </reference>
        </references>
      </pivotArea>
    </format>
    <format dxfId="5938">
      <pivotArea dataOnly="0" labelOnly="1" outline="0" fieldPosition="0">
        <references count="4">
          <reference field="11" count="1" selected="0">
            <x v="175"/>
          </reference>
          <reference field="14" count="1" selected="0">
            <x v="471"/>
          </reference>
          <reference field="18" count="1" selected="0">
            <x v="2"/>
          </reference>
          <reference field="19" count="1">
            <x v="22"/>
          </reference>
        </references>
      </pivotArea>
    </format>
    <format dxfId="5937">
      <pivotArea dataOnly="0" labelOnly="1" outline="0" fieldPosition="0">
        <references count="4">
          <reference field="11" count="1" selected="0">
            <x v="176"/>
          </reference>
          <reference field="14" count="1" selected="0">
            <x v="362"/>
          </reference>
          <reference field="18" count="1" selected="0">
            <x v="3"/>
          </reference>
          <reference field="19" count="1">
            <x v="15"/>
          </reference>
        </references>
      </pivotArea>
    </format>
    <format dxfId="5936">
      <pivotArea dataOnly="0" labelOnly="1" outline="0" fieldPosition="0">
        <references count="4">
          <reference field="11" count="1" selected="0">
            <x v="176"/>
          </reference>
          <reference field="14" count="1" selected="0">
            <x v="362"/>
          </reference>
          <reference field="18" count="1" selected="0">
            <x v="6"/>
          </reference>
          <reference field="19" count="1">
            <x v="23"/>
          </reference>
        </references>
      </pivotArea>
    </format>
    <format dxfId="5935">
      <pivotArea dataOnly="0" labelOnly="1" outline="0" fieldPosition="0">
        <references count="4">
          <reference field="11" count="1" selected="0">
            <x v="177"/>
          </reference>
          <reference field="14" count="1" selected="0">
            <x v="279"/>
          </reference>
          <reference field="18" count="1" selected="0">
            <x v="0"/>
          </reference>
          <reference field="19" count="1">
            <x v="16"/>
          </reference>
        </references>
      </pivotArea>
    </format>
    <format dxfId="5934">
      <pivotArea dataOnly="0" labelOnly="1" outline="0" fieldPosition="0">
        <references count="4">
          <reference field="11" count="1" selected="0">
            <x v="178"/>
          </reference>
          <reference field="14" count="1" selected="0">
            <x v="282"/>
          </reference>
          <reference field="18" count="1" selected="0">
            <x v="0"/>
          </reference>
          <reference field="19" count="1">
            <x v="16"/>
          </reference>
        </references>
      </pivotArea>
    </format>
    <format dxfId="5933">
      <pivotArea dataOnly="0" labelOnly="1" outline="0" fieldPosition="0">
        <references count="4">
          <reference field="11" count="1" selected="0">
            <x v="179"/>
          </reference>
          <reference field="14" count="1" selected="0">
            <x v="276"/>
          </reference>
          <reference field="18" count="1" selected="0">
            <x v="0"/>
          </reference>
          <reference field="19" count="1">
            <x v="16"/>
          </reference>
        </references>
      </pivotArea>
    </format>
    <format dxfId="5932">
      <pivotArea dataOnly="0" labelOnly="1" outline="0" fieldPosition="0">
        <references count="4">
          <reference field="11" count="1" selected="0">
            <x v="180"/>
          </reference>
          <reference field="14" count="1" selected="0">
            <x v="439"/>
          </reference>
          <reference field="18" count="1" selected="0">
            <x v="19"/>
          </reference>
          <reference field="19" count="1">
            <x v="2"/>
          </reference>
        </references>
      </pivotArea>
    </format>
    <format dxfId="5931">
      <pivotArea dataOnly="0" labelOnly="1" outline="0" fieldPosition="0">
        <references count="4">
          <reference field="11" count="1" selected="0">
            <x v="181"/>
          </reference>
          <reference field="14" count="1" selected="0">
            <x v="281"/>
          </reference>
          <reference field="18" count="1" selected="0">
            <x v="0"/>
          </reference>
          <reference field="19" count="1">
            <x v="16"/>
          </reference>
        </references>
      </pivotArea>
    </format>
    <format dxfId="5930">
      <pivotArea dataOnly="0" labelOnly="1" outline="0" fieldPosition="0">
        <references count="4">
          <reference field="11" count="1" selected="0">
            <x v="182"/>
          </reference>
          <reference field="14" count="1" selected="0">
            <x v="118"/>
          </reference>
          <reference field="18" count="1" selected="0">
            <x v="6"/>
          </reference>
          <reference field="19" count="1">
            <x v="23"/>
          </reference>
        </references>
      </pivotArea>
    </format>
    <format dxfId="5929">
      <pivotArea dataOnly="0" labelOnly="1" outline="0" fieldPosition="0">
        <references count="4">
          <reference field="11" count="1" selected="0">
            <x v="183"/>
          </reference>
          <reference field="14" count="1" selected="0">
            <x v="386"/>
          </reference>
          <reference field="18" count="1" selected="0">
            <x v="2"/>
          </reference>
          <reference field="19" count="1">
            <x v="22"/>
          </reference>
        </references>
      </pivotArea>
    </format>
    <format dxfId="5928">
      <pivotArea dataOnly="0" labelOnly="1" outline="0" fieldPosition="0">
        <references count="4">
          <reference field="11" count="1" selected="0">
            <x v="184"/>
          </reference>
          <reference field="14" count="1" selected="0">
            <x v="388"/>
          </reference>
          <reference field="18" count="1" selected="0">
            <x v="2"/>
          </reference>
          <reference field="19" count="1">
            <x v="22"/>
          </reference>
        </references>
      </pivotArea>
    </format>
    <format dxfId="5927">
      <pivotArea dataOnly="0" labelOnly="1" outline="0" fieldPosition="0">
        <references count="4">
          <reference field="11" count="1" selected="0">
            <x v="185"/>
          </reference>
          <reference field="14" count="1" selected="0">
            <x v="387"/>
          </reference>
          <reference field="18" count="1" selected="0">
            <x v="0"/>
          </reference>
          <reference field="19" count="1">
            <x v="16"/>
          </reference>
        </references>
      </pivotArea>
    </format>
    <format dxfId="5926">
      <pivotArea dataOnly="0" labelOnly="1" outline="0" fieldPosition="0">
        <references count="4">
          <reference field="11" count="1" selected="0">
            <x v="185"/>
          </reference>
          <reference field="14" count="1" selected="0">
            <x v="387"/>
          </reference>
          <reference field="18" count="1" selected="0">
            <x v="2"/>
          </reference>
          <reference field="19" count="1">
            <x v="22"/>
          </reference>
        </references>
      </pivotArea>
    </format>
    <format dxfId="5925">
      <pivotArea dataOnly="0" labelOnly="1" outline="0" fieldPosition="0">
        <references count="4">
          <reference field="11" count="1" selected="0">
            <x v="186"/>
          </reference>
          <reference field="14" count="1" selected="0">
            <x v="343"/>
          </reference>
          <reference field="18" count="1" selected="0">
            <x v="1"/>
          </reference>
          <reference field="19" count="1">
            <x v="18"/>
          </reference>
        </references>
      </pivotArea>
    </format>
    <format dxfId="5924">
      <pivotArea dataOnly="0" labelOnly="1" outline="0" fieldPosition="0">
        <references count="4">
          <reference field="11" count="1" selected="0">
            <x v="187"/>
          </reference>
          <reference field="14" count="1" selected="0">
            <x v="249"/>
          </reference>
          <reference field="18" count="1" selected="0">
            <x v="19"/>
          </reference>
          <reference field="19" count="1">
            <x v="2"/>
          </reference>
        </references>
      </pivotArea>
    </format>
    <format dxfId="5923">
      <pivotArea dataOnly="0" labelOnly="1" outline="0" fieldPosition="0">
        <references count="4">
          <reference field="11" count="1" selected="0">
            <x v="188"/>
          </reference>
          <reference field="14" count="1" selected="0">
            <x v="385"/>
          </reference>
          <reference field="18" count="1" selected="0">
            <x v="2"/>
          </reference>
          <reference field="19" count="1">
            <x v="22"/>
          </reference>
        </references>
      </pivotArea>
    </format>
    <format dxfId="5922">
      <pivotArea dataOnly="0" labelOnly="1" outline="0" fieldPosition="0">
        <references count="4">
          <reference field="11" count="1" selected="0">
            <x v="189"/>
          </reference>
          <reference field="14" count="1" selected="0">
            <x v="184"/>
          </reference>
          <reference field="18" count="1" selected="0">
            <x v="0"/>
          </reference>
          <reference field="19" count="1">
            <x v="16"/>
          </reference>
        </references>
      </pivotArea>
    </format>
    <format dxfId="5921">
      <pivotArea dataOnly="0" labelOnly="1" outline="0" fieldPosition="0">
        <references count="4">
          <reference field="11" count="1" selected="0">
            <x v="189"/>
          </reference>
          <reference field="14" count="1" selected="0">
            <x v="184"/>
          </reference>
          <reference field="18" count="1" selected="0">
            <x v="1"/>
          </reference>
          <reference field="19" count="1">
            <x v="18"/>
          </reference>
        </references>
      </pivotArea>
    </format>
    <format dxfId="5920">
      <pivotArea dataOnly="0" labelOnly="1" outline="0" fieldPosition="0">
        <references count="4">
          <reference field="11" count="1" selected="0">
            <x v="190"/>
          </reference>
          <reference field="14" count="1" selected="0">
            <x v="394"/>
          </reference>
          <reference field="18" count="1" selected="0">
            <x v="0"/>
          </reference>
          <reference field="19" count="1">
            <x v="16"/>
          </reference>
        </references>
      </pivotArea>
    </format>
    <format dxfId="5919">
      <pivotArea dataOnly="0" labelOnly="1" outline="0" fieldPosition="0">
        <references count="4">
          <reference field="11" count="1" selected="0">
            <x v="190"/>
          </reference>
          <reference field="14" count="1" selected="0">
            <x v="394"/>
          </reference>
          <reference field="18" count="1" selected="0">
            <x v="2"/>
          </reference>
          <reference field="19" count="1">
            <x v="22"/>
          </reference>
        </references>
      </pivotArea>
    </format>
    <format dxfId="5918">
      <pivotArea dataOnly="0" labelOnly="1" outline="0" fieldPosition="0">
        <references count="4">
          <reference field="11" count="1" selected="0">
            <x v="191"/>
          </reference>
          <reference field="14" count="1" selected="0">
            <x v="103"/>
          </reference>
          <reference field="18" count="1" selected="0">
            <x v="2"/>
          </reference>
          <reference field="19" count="1">
            <x v="22"/>
          </reference>
        </references>
      </pivotArea>
    </format>
    <format dxfId="5917">
      <pivotArea dataOnly="0" labelOnly="1" outline="0" fieldPosition="0">
        <references count="4">
          <reference field="11" count="1" selected="0">
            <x v="192"/>
          </reference>
          <reference field="14" count="1" selected="0">
            <x v="102"/>
          </reference>
          <reference field="18" count="1" selected="0">
            <x v="2"/>
          </reference>
          <reference field="19" count="1">
            <x v="22"/>
          </reference>
        </references>
      </pivotArea>
    </format>
    <format dxfId="5916">
      <pivotArea dataOnly="0" labelOnly="1" outline="0" fieldPosition="0">
        <references count="4">
          <reference field="11" count="1" selected="0">
            <x v="193"/>
          </reference>
          <reference field="14" count="1" selected="0">
            <x v="14"/>
          </reference>
          <reference field="18" count="1" selected="0">
            <x v="0"/>
          </reference>
          <reference field="19" count="1">
            <x v="16"/>
          </reference>
        </references>
      </pivotArea>
    </format>
    <format dxfId="5915">
      <pivotArea dataOnly="0" labelOnly="1" outline="0" fieldPosition="0">
        <references count="4">
          <reference field="11" count="1" selected="0">
            <x v="194"/>
          </reference>
          <reference field="14" count="1" selected="0">
            <x v="188"/>
          </reference>
          <reference field="18" count="1" selected="0">
            <x v="0"/>
          </reference>
          <reference field="19" count="1">
            <x v="16"/>
          </reference>
        </references>
      </pivotArea>
    </format>
    <format dxfId="5914">
      <pivotArea dataOnly="0" labelOnly="1" outline="0" fieldPosition="0">
        <references count="4">
          <reference field="11" count="1" selected="0">
            <x v="195"/>
          </reference>
          <reference field="14" count="1" selected="0">
            <x v="396"/>
          </reference>
          <reference field="18" count="1" selected="0">
            <x v="6"/>
          </reference>
          <reference field="19" count="1">
            <x v="23"/>
          </reference>
        </references>
      </pivotArea>
    </format>
    <format dxfId="5913">
      <pivotArea dataOnly="0" labelOnly="1" outline="0" fieldPosition="0">
        <references count="4">
          <reference field="11" count="1" selected="0">
            <x v="196"/>
          </reference>
          <reference field="14" count="1" selected="0">
            <x v="25"/>
          </reference>
          <reference field="18" count="1" selected="0">
            <x v="5"/>
          </reference>
          <reference field="19" count="1">
            <x v="1"/>
          </reference>
        </references>
      </pivotArea>
    </format>
    <format dxfId="5912">
      <pivotArea dataOnly="0" labelOnly="1" outline="0" fieldPosition="0">
        <references count="4">
          <reference field="11" count="1" selected="0">
            <x v="197"/>
          </reference>
          <reference field="14" count="1" selected="0">
            <x v="26"/>
          </reference>
          <reference field="18" count="1" selected="0">
            <x v="5"/>
          </reference>
          <reference field="19" count="1">
            <x v="1"/>
          </reference>
        </references>
      </pivotArea>
    </format>
    <format dxfId="5911">
      <pivotArea dataOnly="0" labelOnly="1" outline="0" fieldPosition="0">
        <references count="4">
          <reference field="11" count="1" selected="0">
            <x v="198"/>
          </reference>
          <reference field="14" count="1" selected="0">
            <x v="43"/>
          </reference>
          <reference field="18" count="1" selected="0">
            <x v="27"/>
          </reference>
          <reference field="19" count="1">
            <x v="17"/>
          </reference>
        </references>
      </pivotArea>
    </format>
    <format dxfId="5910">
      <pivotArea dataOnly="0" labelOnly="1" outline="0" fieldPosition="0">
        <references count="4">
          <reference field="11" count="1" selected="0">
            <x v="199"/>
          </reference>
          <reference field="14" count="1" selected="0">
            <x v="113"/>
          </reference>
          <reference field="18" count="1" selected="0">
            <x v="19"/>
          </reference>
          <reference field="19" count="1">
            <x v="2"/>
          </reference>
        </references>
      </pivotArea>
    </format>
    <format dxfId="5909">
      <pivotArea dataOnly="0" labelOnly="1" outline="0" fieldPosition="0">
        <references count="4">
          <reference field="11" count="1" selected="0">
            <x v="200"/>
          </reference>
          <reference field="14" count="1" selected="0">
            <x v="280"/>
          </reference>
          <reference field="18" count="1" selected="0">
            <x v="0"/>
          </reference>
          <reference field="19" count="1">
            <x v="16"/>
          </reference>
        </references>
      </pivotArea>
    </format>
    <format dxfId="5908">
      <pivotArea dataOnly="0" labelOnly="1" outline="0" fieldPosition="0">
        <references count="4">
          <reference field="11" count="1" selected="0">
            <x v="201"/>
          </reference>
          <reference field="14" count="1" selected="0">
            <x v="305"/>
          </reference>
          <reference field="18" count="1" selected="0">
            <x v="2"/>
          </reference>
          <reference field="19" count="1">
            <x v="22"/>
          </reference>
        </references>
      </pivotArea>
    </format>
    <format dxfId="5907">
      <pivotArea dataOnly="0" labelOnly="1" outline="0" fieldPosition="0">
        <references count="4">
          <reference field="11" count="1" selected="0">
            <x v="202"/>
          </reference>
          <reference field="14" count="1" selected="0">
            <x v="409"/>
          </reference>
          <reference field="18" count="1" selected="0">
            <x v="2"/>
          </reference>
          <reference field="19" count="1">
            <x v="22"/>
          </reference>
        </references>
      </pivotArea>
    </format>
    <format dxfId="5906">
      <pivotArea dataOnly="0" labelOnly="1" outline="0" fieldPosition="0">
        <references count="4">
          <reference field="11" count="1" selected="0">
            <x v="203"/>
          </reference>
          <reference field="14" count="1" selected="0">
            <x v="28"/>
          </reference>
          <reference field="18" count="1" selected="0">
            <x v="6"/>
          </reference>
          <reference field="19" count="1">
            <x v="23"/>
          </reference>
        </references>
      </pivotArea>
    </format>
    <format dxfId="5905">
      <pivotArea dataOnly="0" labelOnly="1" outline="0" fieldPosition="0">
        <references count="4">
          <reference field="11" count="1" selected="0">
            <x v="204"/>
          </reference>
          <reference field="14" count="1" selected="0">
            <x v="269"/>
          </reference>
          <reference field="18" count="1" selected="0">
            <x v="2"/>
          </reference>
          <reference field="19" count="1">
            <x v="22"/>
          </reference>
        </references>
      </pivotArea>
    </format>
    <format dxfId="5904">
      <pivotArea dataOnly="0" labelOnly="1" outline="0" fieldPosition="0">
        <references count="4">
          <reference field="11" count="1" selected="0">
            <x v="204"/>
          </reference>
          <reference field="14" count="1" selected="0">
            <x v="269"/>
          </reference>
          <reference field="18" count="1" selected="0">
            <x v="3"/>
          </reference>
          <reference field="19" count="1">
            <x v="15"/>
          </reference>
        </references>
      </pivotArea>
    </format>
    <format dxfId="5903">
      <pivotArea dataOnly="0" labelOnly="1" outline="0" fieldPosition="0">
        <references count="4">
          <reference field="11" count="1" selected="0">
            <x v="205"/>
          </reference>
          <reference field="14" count="1" selected="0">
            <x v="185"/>
          </reference>
          <reference field="18" count="1" selected="0">
            <x v="1"/>
          </reference>
          <reference field="19" count="1">
            <x v="18"/>
          </reference>
        </references>
      </pivotArea>
    </format>
    <format dxfId="5902">
      <pivotArea dataOnly="0" labelOnly="1" outline="0" fieldPosition="0">
        <references count="4">
          <reference field="11" count="1" selected="0">
            <x v="206"/>
          </reference>
          <reference field="14" count="1" selected="0">
            <x v="54"/>
          </reference>
          <reference field="18" count="1" selected="0">
            <x v="2"/>
          </reference>
          <reference field="19" count="1">
            <x v="22"/>
          </reference>
        </references>
      </pivotArea>
    </format>
    <format dxfId="5901">
      <pivotArea dataOnly="0" labelOnly="1" outline="0" fieldPosition="0">
        <references count="4">
          <reference field="11" count="1" selected="0">
            <x v="207"/>
          </reference>
          <reference field="14" count="1" selected="0">
            <x v="356"/>
          </reference>
          <reference field="18" count="1" selected="0">
            <x v="8"/>
          </reference>
          <reference field="19" count="1">
            <x v="5"/>
          </reference>
        </references>
      </pivotArea>
    </format>
    <format dxfId="5900">
      <pivotArea dataOnly="0" labelOnly="1" outline="0" fieldPosition="0">
        <references count="4">
          <reference field="11" count="1" selected="0">
            <x v="207"/>
          </reference>
          <reference field="14" count="1" selected="0">
            <x v="356"/>
          </reference>
          <reference field="18" count="1" selected="0">
            <x v="14"/>
          </reference>
          <reference field="19" count="1">
            <x v="9"/>
          </reference>
        </references>
      </pivotArea>
    </format>
    <format dxfId="5899">
      <pivotArea dataOnly="0" labelOnly="1" outline="0" fieldPosition="0">
        <references count="4">
          <reference field="11" count="1" selected="0">
            <x v="208"/>
          </reference>
          <reference field="14" count="1" selected="0">
            <x v="186"/>
          </reference>
          <reference field="18" count="1" selected="0">
            <x v="0"/>
          </reference>
          <reference field="19" count="1">
            <x v="16"/>
          </reference>
        </references>
      </pivotArea>
    </format>
    <format dxfId="5898">
      <pivotArea dataOnly="0" labelOnly="1" outline="0" fieldPosition="0">
        <references count="4">
          <reference field="11" count="1" selected="0">
            <x v="208"/>
          </reference>
          <reference field="14" count="1" selected="0">
            <x v="186"/>
          </reference>
          <reference field="18" count="1" selected="0">
            <x v="7"/>
          </reference>
          <reference field="19" count="1">
            <x v="4"/>
          </reference>
        </references>
      </pivotArea>
    </format>
    <format dxfId="5897">
      <pivotArea dataOnly="0" labelOnly="1" outline="0" fieldPosition="0">
        <references count="4">
          <reference field="11" count="1" selected="0">
            <x v="209"/>
          </reference>
          <reference field="14" count="1" selected="0">
            <x v="37"/>
          </reference>
          <reference field="18" count="1" selected="0">
            <x v="6"/>
          </reference>
          <reference field="19" count="1">
            <x v="23"/>
          </reference>
        </references>
      </pivotArea>
    </format>
    <format dxfId="5896">
      <pivotArea dataOnly="0" labelOnly="1" outline="0" fieldPosition="0">
        <references count="4">
          <reference field="11" count="1" selected="0">
            <x v="210"/>
          </reference>
          <reference field="14" count="1" selected="0">
            <x v="273"/>
          </reference>
          <reference field="18" count="1" selected="0">
            <x v="0"/>
          </reference>
          <reference field="19" count="1">
            <x v="16"/>
          </reference>
        </references>
      </pivotArea>
    </format>
    <format dxfId="5895">
      <pivotArea dataOnly="0" labelOnly="1" outline="0" fieldPosition="0">
        <references count="4">
          <reference field="11" count="1" selected="0">
            <x v="211"/>
          </reference>
          <reference field="14" count="1" selected="0">
            <x v="142"/>
          </reference>
          <reference field="18" count="1" selected="0">
            <x v="2"/>
          </reference>
          <reference field="19" count="1">
            <x v="22"/>
          </reference>
        </references>
      </pivotArea>
    </format>
    <format dxfId="5894">
      <pivotArea dataOnly="0" labelOnly="1" outline="0" fieldPosition="0">
        <references count="4">
          <reference field="11" count="1" selected="0">
            <x v="212"/>
          </reference>
          <reference field="14" count="1" selected="0">
            <x v="294"/>
          </reference>
          <reference field="18" count="1" selected="0">
            <x v="1"/>
          </reference>
          <reference field="19" count="1">
            <x v="18"/>
          </reference>
        </references>
      </pivotArea>
    </format>
    <format dxfId="5893">
      <pivotArea dataOnly="0" labelOnly="1" outline="0" fieldPosition="0">
        <references count="4">
          <reference field="11" count="1" selected="0">
            <x v="213"/>
          </reference>
          <reference field="14" count="1" selected="0">
            <x v="5"/>
          </reference>
          <reference field="18" count="1" selected="0">
            <x v="3"/>
          </reference>
          <reference field="19" count="1">
            <x v="15"/>
          </reference>
        </references>
      </pivotArea>
    </format>
    <format dxfId="5892">
      <pivotArea dataOnly="0" labelOnly="1" outline="0" fieldPosition="0">
        <references count="4">
          <reference field="11" count="1" selected="0">
            <x v="214"/>
          </reference>
          <reference field="14" count="1" selected="0">
            <x v="98"/>
          </reference>
          <reference field="18" count="1" selected="0">
            <x v="1"/>
          </reference>
          <reference field="19" count="1">
            <x v="18"/>
          </reference>
        </references>
      </pivotArea>
    </format>
    <format dxfId="5891">
      <pivotArea dataOnly="0" labelOnly="1" outline="0" fieldPosition="0">
        <references count="4">
          <reference field="11" count="1" selected="0">
            <x v="214"/>
          </reference>
          <reference field="14" count="1" selected="0">
            <x v="98"/>
          </reference>
          <reference field="18" count="1" selected="0">
            <x v="2"/>
          </reference>
          <reference field="19" count="1">
            <x v="22"/>
          </reference>
        </references>
      </pivotArea>
    </format>
    <format dxfId="5890">
      <pivotArea dataOnly="0" labelOnly="1" outline="0" fieldPosition="0">
        <references count="4">
          <reference field="11" count="1" selected="0">
            <x v="214"/>
          </reference>
          <reference field="14" count="1" selected="0">
            <x v="98"/>
          </reference>
          <reference field="18" count="1" selected="0">
            <x v="12"/>
          </reference>
          <reference field="19" count="1">
            <x v="13"/>
          </reference>
        </references>
      </pivotArea>
    </format>
    <format dxfId="5889">
      <pivotArea dataOnly="0" labelOnly="1" outline="0" fieldPosition="0">
        <references count="4">
          <reference field="11" count="1" selected="0">
            <x v="214"/>
          </reference>
          <reference field="14" count="1" selected="0">
            <x v="98"/>
          </reference>
          <reference field="18" count="1" selected="0">
            <x v="27"/>
          </reference>
          <reference field="19" count="1">
            <x v="17"/>
          </reference>
        </references>
      </pivotArea>
    </format>
    <format dxfId="5888">
      <pivotArea dataOnly="0" labelOnly="1" outline="0" fieldPosition="0">
        <references count="4">
          <reference field="11" count="1" selected="0">
            <x v="215"/>
          </reference>
          <reference field="14" count="1" selected="0">
            <x v="158"/>
          </reference>
          <reference field="18" count="1" selected="0">
            <x v="2"/>
          </reference>
          <reference field="19" count="1">
            <x v="22"/>
          </reference>
        </references>
      </pivotArea>
    </format>
    <format dxfId="5887">
      <pivotArea dataOnly="0" labelOnly="1" outline="0" fieldPosition="0">
        <references count="4">
          <reference field="11" count="1" selected="0">
            <x v="216"/>
          </reference>
          <reference field="14" count="1" selected="0">
            <x v="338"/>
          </reference>
          <reference field="18" count="1" selected="0">
            <x v="2"/>
          </reference>
          <reference field="19" count="1">
            <x v="22"/>
          </reference>
        </references>
      </pivotArea>
    </format>
    <format dxfId="5886">
      <pivotArea dataOnly="0" labelOnly="1" outline="0" fieldPosition="0">
        <references count="4">
          <reference field="11" count="1" selected="0">
            <x v="217"/>
          </reference>
          <reference field="14" count="1" selected="0">
            <x v="438"/>
          </reference>
          <reference field="18" count="1" selected="0">
            <x v="19"/>
          </reference>
          <reference field="19" count="1">
            <x v="2"/>
          </reference>
        </references>
      </pivotArea>
    </format>
    <format dxfId="5885">
      <pivotArea dataOnly="0" labelOnly="1" outline="0" fieldPosition="0">
        <references count="4">
          <reference field="11" count="1" selected="0">
            <x v="218"/>
          </reference>
          <reference field="14" count="1" selected="0">
            <x v="429"/>
          </reference>
          <reference field="18" count="1" selected="0">
            <x v="19"/>
          </reference>
          <reference field="19" count="1">
            <x v="2"/>
          </reference>
        </references>
      </pivotArea>
    </format>
    <format dxfId="5884">
      <pivotArea dataOnly="0" labelOnly="1" outline="0" fieldPosition="0">
        <references count="4">
          <reference field="11" count="1" selected="0">
            <x v="219"/>
          </reference>
          <reference field="14" count="1" selected="0">
            <x v="431"/>
          </reference>
          <reference field="18" count="1" selected="0">
            <x v="19"/>
          </reference>
          <reference field="19" count="1">
            <x v="2"/>
          </reference>
        </references>
      </pivotArea>
    </format>
    <format dxfId="5883">
      <pivotArea dataOnly="0" labelOnly="1" outline="0" fieldPosition="0">
        <references count="4">
          <reference field="11" count="1" selected="0">
            <x v="220"/>
          </reference>
          <reference field="14" count="1" selected="0">
            <x v="430"/>
          </reference>
          <reference field="18" count="1" selected="0">
            <x v="19"/>
          </reference>
          <reference field="19" count="1">
            <x v="2"/>
          </reference>
        </references>
      </pivotArea>
    </format>
    <format dxfId="5882">
      <pivotArea dataOnly="0" labelOnly="1" outline="0" fieldPosition="0">
        <references count="4">
          <reference field="11" count="1" selected="0">
            <x v="221"/>
          </reference>
          <reference field="14" count="1" selected="0">
            <x v="427"/>
          </reference>
          <reference field="18" count="1" selected="0">
            <x v="19"/>
          </reference>
          <reference field="19" count="1">
            <x v="2"/>
          </reference>
        </references>
      </pivotArea>
    </format>
    <format dxfId="5881">
      <pivotArea dataOnly="0" labelOnly="1" outline="0" fieldPosition="0">
        <references count="4">
          <reference field="11" count="1" selected="0">
            <x v="222"/>
          </reference>
          <reference field="14" count="1" selected="0">
            <x v="426"/>
          </reference>
          <reference field="18" count="1" selected="0">
            <x v="19"/>
          </reference>
          <reference field="19" count="1">
            <x v="2"/>
          </reference>
        </references>
      </pivotArea>
    </format>
    <format dxfId="5880">
      <pivotArea dataOnly="0" labelOnly="1" outline="0" fieldPosition="0">
        <references count="4">
          <reference field="11" count="1" selected="0">
            <x v="223"/>
          </reference>
          <reference field="14" count="1" selected="0">
            <x v="416"/>
          </reference>
          <reference field="18" count="1" selected="0">
            <x v="19"/>
          </reference>
          <reference field="19" count="1">
            <x v="2"/>
          </reference>
        </references>
      </pivotArea>
    </format>
    <format dxfId="5879">
      <pivotArea dataOnly="0" labelOnly="1" outline="0" fieldPosition="0">
        <references count="4">
          <reference field="11" count="1" selected="0">
            <x v="224"/>
          </reference>
          <reference field="14" count="1" selected="0">
            <x v="300"/>
          </reference>
          <reference field="18" count="1" selected="0">
            <x v="6"/>
          </reference>
          <reference field="19" count="1">
            <x v="23"/>
          </reference>
        </references>
      </pivotArea>
    </format>
    <format dxfId="5878">
      <pivotArea dataOnly="0" labelOnly="1" outline="0" fieldPosition="0">
        <references count="4">
          <reference field="11" count="1" selected="0">
            <x v="225"/>
          </reference>
          <reference field="14" count="1" selected="0">
            <x v="97"/>
          </reference>
          <reference field="18" count="1" selected="0">
            <x v="19"/>
          </reference>
          <reference field="19" count="1">
            <x v="2"/>
          </reference>
        </references>
      </pivotArea>
    </format>
    <format dxfId="5877">
      <pivotArea dataOnly="0" labelOnly="1" outline="0" fieldPosition="0">
        <references count="4">
          <reference field="11" count="1" selected="0">
            <x v="226"/>
          </reference>
          <reference field="14" count="1" selected="0">
            <x v="72"/>
          </reference>
          <reference field="18" count="1" selected="0">
            <x v="19"/>
          </reference>
          <reference field="19" count="1">
            <x v="2"/>
          </reference>
        </references>
      </pivotArea>
    </format>
    <format dxfId="5876">
      <pivotArea dataOnly="0" labelOnly="1" outline="0" fieldPosition="0">
        <references count="4">
          <reference field="11" count="1" selected="0">
            <x v="227"/>
          </reference>
          <reference field="14" count="1" selected="0">
            <x v="420"/>
          </reference>
          <reference field="18" count="1" selected="0">
            <x v="19"/>
          </reference>
          <reference field="19" count="1">
            <x v="2"/>
          </reference>
        </references>
      </pivotArea>
    </format>
    <format dxfId="5875">
      <pivotArea dataOnly="0" labelOnly="1" outline="0" fieldPosition="0">
        <references count="4">
          <reference field="11" count="1" selected="0">
            <x v="228"/>
          </reference>
          <reference field="14" count="1" selected="0">
            <x v="313"/>
          </reference>
          <reference field="18" count="1" selected="0">
            <x v="19"/>
          </reference>
          <reference field="19" count="1">
            <x v="2"/>
          </reference>
        </references>
      </pivotArea>
    </format>
    <format dxfId="5874">
      <pivotArea dataOnly="0" labelOnly="1" outline="0" fieldPosition="0">
        <references count="4">
          <reference field="11" count="1" selected="0">
            <x v="229"/>
          </reference>
          <reference field="14" count="1" selected="0">
            <x v="307"/>
          </reference>
          <reference field="18" count="1" selected="0">
            <x v="19"/>
          </reference>
          <reference field="19" count="1">
            <x v="2"/>
          </reference>
        </references>
      </pivotArea>
    </format>
    <format dxfId="5873">
      <pivotArea dataOnly="0" labelOnly="1" outline="0" fieldPosition="0">
        <references count="4">
          <reference field="11" count="1" selected="0">
            <x v="230"/>
          </reference>
          <reference field="14" count="1" selected="0">
            <x v="13"/>
          </reference>
          <reference field="18" count="1" selected="0">
            <x v="19"/>
          </reference>
          <reference field="19" count="1">
            <x v="2"/>
          </reference>
        </references>
      </pivotArea>
    </format>
    <format dxfId="5872">
      <pivotArea dataOnly="0" labelOnly="1" outline="0" fieldPosition="0">
        <references count="4">
          <reference field="11" count="1" selected="0">
            <x v="231"/>
          </reference>
          <reference field="14" count="1" selected="0">
            <x v="96"/>
          </reference>
          <reference field="18" count="1" selected="0">
            <x v="19"/>
          </reference>
          <reference field="19" count="1">
            <x v="2"/>
          </reference>
        </references>
      </pivotArea>
    </format>
    <format dxfId="5871">
      <pivotArea dataOnly="0" labelOnly="1" outline="0" fieldPosition="0">
        <references count="4">
          <reference field="11" count="1" selected="0">
            <x v="232"/>
          </reference>
          <reference field="14" count="1" selected="0">
            <x v="411"/>
          </reference>
          <reference field="18" count="1" selected="0">
            <x v="19"/>
          </reference>
          <reference field="19" count="1">
            <x v="2"/>
          </reference>
        </references>
      </pivotArea>
    </format>
    <format dxfId="5870">
      <pivotArea dataOnly="0" labelOnly="1" outline="0" fieldPosition="0">
        <references count="4">
          <reference field="11" count="1" selected="0">
            <x v="233"/>
          </reference>
          <reference field="14" count="1" selected="0">
            <x v="449"/>
          </reference>
          <reference field="18" count="1" selected="0">
            <x v="19"/>
          </reference>
          <reference field="19" count="1">
            <x v="2"/>
          </reference>
        </references>
      </pivotArea>
    </format>
    <format dxfId="5869">
      <pivotArea dataOnly="0" labelOnly="1" outline="0" fieldPosition="0">
        <references count="4">
          <reference field="11" count="1" selected="0">
            <x v="234"/>
          </reference>
          <reference field="14" count="1" selected="0">
            <x v="277"/>
          </reference>
          <reference field="18" count="1" selected="0">
            <x v="0"/>
          </reference>
          <reference field="19" count="1">
            <x v="16"/>
          </reference>
        </references>
      </pivotArea>
    </format>
    <format dxfId="5868">
      <pivotArea dataOnly="0" labelOnly="1" outline="0" fieldPosition="0">
        <references count="4">
          <reference field="11" count="1" selected="0">
            <x v="235"/>
          </reference>
          <reference field="14" count="1" selected="0">
            <x v="272"/>
          </reference>
          <reference field="18" count="1" selected="0">
            <x v="0"/>
          </reference>
          <reference field="19" count="1">
            <x v="16"/>
          </reference>
        </references>
      </pivotArea>
    </format>
    <format dxfId="5867">
      <pivotArea dataOnly="0" labelOnly="1" outline="0" fieldPosition="0">
        <references count="4">
          <reference field="11" count="1" selected="0">
            <x v="236"/>
          </reference>
          <reference field="14" count="1" selected="0">
            <x v="403"/>
          </reference>
          <reference field="18" count="1" selected="0">
            <x v="0"/>
          </reference>
          <reference field="19" count="1">
            <x v="16"/>
          </reference>
        </references>
      </pivotArea>
    </format>
    <format dxfId="5866">
      <pivotArea dataOnly="0" labelOnly="1" outline="0" fieldPosition="0">
        <references count="4">
          <reference field="11" count="1" selected="0">
            <x v="236"/>
          </reference>
          <reference field="14" count="1" selected="0">
            <x v="403"/>
          </reference>
          <reference field="18" count="1" selected="0">
            <x v="2"/>
          </reference>
          <reference field="19" count="1">
            <x v="22"/>
          </reference>
        </references>
      </pivotArea>
    </format>
    <format dxfId="5865">
      <pivotArea dataOnly="0" labelOnly="1" outline="0" fieldPosition="0">
        <references count="4">
          <reference field="11" count="1" selected="0">
            <x v="237"/>
          </reference>
          <reference field="14" count="1" selected="0">
            <x v="377"/>
          </reference>
          <reference field="18" count="1" selected="0">
            <x v="19"/>
          </reference>
          <reference field="19" count="1">
            <x v="2"/>
          </reference>
        </references>
      </pivotArea>
    </format>
    <format dxfId="5864">
      <pivotArea dataOnly="0" labelOnly="1" outline="0" fieldPosition="0">
        <references count="4">
          <reference field="11" count="1" selected="0">
            <x v="238"/>
          </reference>
          <reference field="14" count="1" selected="0">
            <x v="339"/>
          </reference>
          <reference field="18" count="1" selected="0">
            <x v="0"/>
          </reference>
          <reference field="19" count="1">
            <x v="16"/>
          </reference>
        </references>
      </pivotArea>
    </format>
    <format dxfId="5863">
      <pivotArea dataOnly="0" labelOnly="1" outline="0" fieldPosition="0">
        <references count="4">
          <reference field="11" count="1" selected="0">
            <x v="239"/>
          </reference>
          <reference field="14" count="1" selected="0">
            <x v="61"/>
          </reference>
          <reference field="18" count="1" selected="0">
            <x v="0"/>
          </reference>
          <reference field="19" count="1">
            <x v="16"/>
          </reference>
        </references>
      </pivotArea>
    </format>
    <format dxfId="5862">
      <pivotArea dataOnly="0" labelOnly="1" outline="0" fieldPosition="0">
        <references count="4">
          <reference field="11" count="1" selected="0">
            <x v="239"/>
          </reference>
          <reference field="14" count="1" selected="0">
            <x v="61"/>
          </reference>
          <reference field="18" count="1" selected="0">
            <x v="2"/>
          </reference>
          <reference field="19" count="1">
            <x v="22"/>
          </reference>
        </references>
      </pivotArea>
    </format>
    <format dxfId="5861">
      <pivotArea dataOnly="0" labelOnly="1" outline="0" fieldPosition="0">
        <references count="4">
          <reference field="11" count="1" selected="0">
            <x v="240"/>
          </reference>
          <reference field="14" count="1" selected="0">
            <x v="201"/>
          </reference>
          <reference field="18" count="1" selected="0">
            <x v="7"/>
          </reference>
          <reference field="19" count="1">
            <x v="4"/>
          </reference>
        </references>
      </pivotArea>
    </format>
    <format dxfId="5860">
      <pivotArea dataOnly="0" labelOnly="1" outline="0" fieldPosition="0">
        <references count="4">
          <reference field="11" count="1" selected="0">
            <x v="241"/>
          </reference>
          <reference field="14" count="1" selected="0">
            <x v="262"/>
          </reference>
          <reference field="18" count="1" selected="0">
            <x v="2"/>
          </reference>
          <reference field="19" count="1">
            <x v="22"/>
          </reference>
        </references>
      </pivotArea>
    </format>
    <format dxfId="5859">
      <pivotArea dataOnly="0" labelOnly="1" outline="0" fieldPosition="0">
        <references count="4">
          <reference field="11" count="1" selected="0">
            <x v="242"/>
          </reference>
          <reference field="14" count="1" selected="0">
            <x v="91"/>
          </reference>
          <reference field="18" count="1" selected="0">
            <x v="3"/>
          </reference>
          <reference field="19" count="1">
            <x v="15"/>
          </reference>
        </references>
      </pivotArea>
    </format>
    <format dxfId="5858">
      <pivotArea dataOnly="0" labelOnly="1" outline="0" fieldPosition="0">
        <references count="4">
          <reference field="11" count="1" selected="0">
            <x v="243"/>
          </reference>
          <reference field="14" count="1" selected="0">
            <x v="264"/>
          </reference>
          <reference field="18" count="1" selected="0">
            <x v="2"/>
          </reference>
          <reference field="19" count="1">
            <x v="22"/>
          </reference>
        </references>
      </pivotArea>
    </format>
    <format dxfId="5857">
      <pivotArea dataOnly="0" labelOnly="1" outline="0" fieldPosition="0">
        <references count="4">
          <reference field="11" count="1" selected="0">
            <x v="244"/>
          </reference>
          <reference field="14" count="1" selected="0">
            <x v="222"/>
          </reference>
          <reference field="18" count="1" selected="0">
            <x v="2"/>
          </reference>
          <reference field="19" count="1">
            <x v="22"/>
          </reference>
        </references>
      </pivotArea>
    </format>
    <format dxfId="5856">
      <pivotArea dataOnly="0" labelOnly="1" outline="0" fieldPosition="0">
        <references count="4">
          <reference field="11" count="1" selected="0">
            <x v="245"/>
          </reference>
          <reference field="14" count="1" selected="0">
            <x v="131"/>
          </reference>
          <reference field="18" count="1" selected="0">
            <x v="2"/>
          </reference>
          <reference field="19" count="1">
            <x v="22"/>
          </reference>
        </references>
      </pivotArea>
    </format>
    <format dxfId="5855">
      <pivotArea dataOnly="0" labelOnly="1" outline="0" fieldPosition="0">
        <references count="4">
          <reference field="11" count="1" selected="0">
            <x v="246"/>
          </reference>
          <reference field="14" count="1" selected="0">
            <x v="418"/>
          </reference>
          <reference field="18" count="1" selected="0">
            <x v="2"/>
          </reference>
          <reference field="19" count="1">
            <x v="22"/>
          </reference>
        </references>
      </pivotArea>
    </format>
    <format dxfId="5854">
      <pivotArea dataOnly="0" labelOnly="1" outline="0" fieldPosition="0">
        <references count="4">
          <reference field="11" count="1" selected="0">
            <x v="247"/>
          </reference>
          <reference field="14" count="1" selected="0">
            <x v="406"/>
          </reference>
          <reference field="18" count="1" selected="0">
            <x v="2"/>
          </reference>
          <reference field="19" count="1">
            <x v="22"/>
          </reference>
        </references>
      </pivotArea>
    </format>
    <format dxfId="5853">
      <pivotArea dataOnly="0" labelOnly="1" outline="0" fieldPosition="0">
        <references count="4">
          <reference field="11" count="1" selected="0">
            <x v="248"/>
          </reference>
          <reference field="14" count="1" selected="0">
            <x v="404"/>
          </reference>
          <reference field="18" count="1" selected="0">
            <x v="2"/>
          </reference>
          <reference field="19" count="1">
            <x v="22"/>
          </reference>
        </references>
      </pivotArea>
    </format>
    <format dxfId="5852">
      <pivotArea dataOnly="0" labelOnly="1" outline="0" fieldPosition="0">
        <references count="4">
          <reference field="11" count="1" selected="0">
            <x v="249"/>
          </reference>
          <reference field="14" count="1" selected="0">
            <x v="402"/>
          </reference>
          <reference field="18" count="1" selected="0">
            <x v="2"/>
          </reference>
          <reference field="19" count="1">
            <x v="22"/>
          </reference>
        </references>
      </pivotArea>
    </format>
    <format dxfId="5851">
      <pivotArea dataOnly="0" labelOnly="1" outline="0" fieldPosition="0">
        <references count="4">
          <reference field="11" count="1" selected="0">
            <x v="250"/>
          </reference>
          <reference field="14" count="1" selected="0">
            <x v="128"/>
          </reference>
          <reference field="18" count="1" selected="0">
            <x v="2"/>
          </reference>
          <reference field="19" count="1">
            <x v="22"/>
          </reference>
        </references>
      </pivotArea>
    </format>
    <format dxfId="5850">
      <pivotArea dataOnly="0" labelOnly="1" outline="0" fieldPosition="0">
        <references count="4">
          <reference field="11" count="1" selected="0">
            <x v="251"/>
          </reference>
          <reference field="14" count="1" selected="0">
            <x v="405"/>
          </reference>
          <reference field="18" count="1" selected="0">
            <x v="2"/>
          </reference>
          <reference field="19" count="1">
            <x v="22"/>
          </reference>
        </references>
      </pivotArea>
    </format>
    <format dxfId="5849">
      <pivotArea dataOnly="0" labelOnly="1" outline="0" fieldPosition="0">
        <references count="4">
          <reference field="11" count="1" selected="0">
            <x v="252"/>
          </reference>
          <reference field="14" count="1" selected="0">
            <x v="86"/>
          </reference>
          <reference field="18" count="1" selected="0">
            <x v="1"/>
          </reference>
          <reference field="19" count="1">
            <x v="18"/>
          </reference>
        </references>
      </pivotArea>
    </format>
    <format dxfId="5848">
      <pivotArea dataOnly="0" labelOnly="1" outline="0" fieldPosition="0">
        <references count="4">
          <reference field="11" count="1" selected="0">
            <x v="253"/>
          </reference>
          <reference field="14" count="1" selected="0">
            <x v="136"/>
          </reference>
          <reference field="18" count="1" selected="0">
            <x v="4"/>
          </reference>
          <reference field="19" count="1">
            <x v="10"/>
          </reference>
        </references>
      </pivotArea>
    </format>
    <format dxfId="5847">
      <pivotArea dataOnly="0" labelOnly="1" outline="0" fieldPosition="0">
        <references count="4">
          <reference field="11" count="1" selected="0">
            <x v="254"/>
          </reference>
          <reference field="14" count="1" selected="0">
            <x v="181"/>
          </reference>
          <reference field="18" count="1" selected="0">
            <x v="14"/>
          </reference>
          <reference field="19" count="1">
            <x v="9"/>
          </reference>
        </references>
      </pivotArea>
    </format>
    <format dxfId="5846">
      <pivotArea dataOnly="0" labelOnly="1" outline="0" fieldPosition="0">
        <references count="4">
          <reference field="11" count="1" selected="0">
            <x v="255"/>
          </reference>
          <reference field="14" count="1" selected="0">
            <x v="263"/>
          </reference>
          <reference field="18" count="1" selected="0">
            <x v="2"/>
          </reference>
          <reference field="19" count="1">
            <x v="22"/>
          </reference>
        </references>
      </pivotArea>
    </format>
    <format dxfId="5845">
      <pivotArea dataOnly="0" labelOnly="1" outline="0" fieldPosition="0">
        <references count="4">
          <reference field="11" count="1" selected="0">
            <x v="256"/>
          </reference>
          <reference field="14" count="1" selected="0">
            <x v="133"/>
          </reference>
          <reference field="18" count="1" selected="0">
            <x v="2"/>
          </reference>
          <reference field="19" count="1">
            <x v="22"/>
          </reference>
        </references>
      </pivotArea>
    </format>
    <format dxfId="5844">
      <pivotArea dataOnly="0" labelOnly="1" outline="0" fieldPosition="0">
        <references count="4">
          <reference field="11" count="1" selected="0">
            <x v="257"/>
          </reference>
          <reference field="14" count="1" selected="0">
            <x v="187"/>
          </reference>
          <reference field="18" count="1" selected="0">
            <x v="2"/>
          </reference>
          <reference field="19" count="1">
            <x v="22"/>
          </reference>
        </references>
      </pivotArea>
    </format>
    <format dxfId="5843">
      <pivotArea dataOnly="0" labelOnly="1" outline="0" fieldPosition="0">
        <references count="4">
          <reference field="11" count="1" selected="0">
            <x v="258"/>
          </reference>
          <reference field="14" count="1" selected="0">
            <x v="417"/>
          </reference>
          <reference field="18" count="1" selected="0">
            <x v="0"/>
          </reference>
          <reference field="19" count="1">
            <x v="16"/>
          </reference>
        </references>
      </pivotArea>
    </format>
    <format dxfId="5842">
      <pivotArea dataOnly="0" labelOnly="1" outline="0" fieldPosition="0">
        <references count="4">
          <reference field="11" count="1" selected="0">
            <x v="259"/>
          </reference>
          <reference field="14" count="1" selected="0">
            <x v="371"/>
          </reference>
          <reference field="18" count="1" selected="0">
            <x v="16"/>
          </reference>
          <reference field="19" count="1">
            <x v="24"/>
          </reference>
        </references>
      </pivotArea>
    </format>
    <format dxfId="5841">
      <pivotArea dataOnly="0" labelOnly="1" outline="0" fieldPosition="0">
        <references count="4">
          <reference field="11" count="1" selected="0">
            <x v="260"/>
          </reference>
          <reference field="14" count="1" selected="0">
            <x v="157"/>
          </reference>
          <reference field="18" count="1" selected="0">
            <x v="2"/>
          </reference>
          <reference field="19" count="1">
            <x v="22"/>
          </reference>
        </references>
      </pivotArea>
    </format>
    <format dxfId="5840">
      <pivotArea dataOnly="0" labelOnly="1" outline="0" fieldPosition="0">
        <references count="4">
          <reference field="11" count="1" selected="0">
            <x v="261"/>
          </reference>
          <reference field="14" count="1" selected="0">
            <x v="223"/>
          </reference>
          <reference field="18" count="1" selected="0">
            <x v="0"/>
          </reference>
          <reference field="19" count="1">
            <x v="16"/>
          </reference>
        </references>
      </pivotArea>
    </format>
    <format dxfId="5839">
      <pivotArea dataOnly="0" labelOnly="1" outline="0" fieldPosition="0">
        <references count="4">
          <reference field="11" count="1" selected="0">
            <x v="261"/>
          </reference>
          <reference field="14" count="1" selected="0">
            <x v="223"/>
          </reference>
          <reference field="18" count="1" selected="0">
            <x v="2"/>
          </reference>
          <reference field="19" count="1">
            <x v="22"/>
          </reference>
        </references>
      </pivotArea>
    </format>
    <format dxfId="5838">
      <pivotArea dataOnly="0" labelOnly="1" outline="0" fieldPosition="0">
        <references count="4">
          <reference field="11" count="1" selected="0">
            <x v="262"/>
          </reference>
          <reference field="14" count="1" selected="0">
            <x v="311"/>
          </reference>
          <reference field="18" count="1" selected="0">
            <x v="19"/>
          </reference>
          <reference field="19" count="1">
            <x v="2"/>
          </reference>
        </references>
      </pivotArea>
    </format>
    <format dxfId="5837">
      <pivotArea dataOnly="0" labelOnly="1" outline="0" fieldPosition="0">
        <references count="4">
          <reference field="11" count="1" selected="0">
            <x v="263"/>
          </reference>
          <reference field="14" count="1" selected="0">
            <x v="114"/>
          </reference>
          <reference field="18" count="1" selected="0">
            <x v="6"/>
          </reference>
          <reference field="19" count="1">
            <x v="23"/>
          </reference>
        </references>
      </pivotArea>
    </format>
    <format dxfId="5836">
      <pivotArea dataOnly="0" labelOnly="1" outline="0" fieldPosition="0">
        <references count="4">
          <reference field="11" count="1" selected="0">
            <x v="264"/>
          </reference>
          <reference field="14" count="1" selected="0">
            <x v="154"/>
          </reference>
          <reference field="18" count="1" selected="0">
            <x v="2"/>
          </reference>
          <reference field="19" count="1">
            <x v="22"/>
          </reference>
        </references>
      </pivotArea>
    </format>
    <format dxfId="5835">
      <pivotArea dataOnly="0" labelOnly="1" outline="0" fieldPosition="0">
        <references count="4">
          <reference field="11" count="1" selected="0">
            <x v="265"/>
          </reference>
          <reference field="14" count="1" selected="0">
            <x v="166"/>
          </reference>
          <reference field="18" count="1" selected="0">
            <x v="2"/>
          </reference>
          <reference field="19" count="1">
            <x v="22"/>
          </reference>
        </references>
      </pivotArea>
    </format>
    <format dxfId="5834">
      <pivotArea dataOnly="0" labelOnly="1" outline="0" fieldPosition="0">
        <references count="4">
          <reference field="11" count="1" selected="0">
            <x v="266"/>
          </reference>
          <reference field="14" count="1" selected="0">
            <x v="152"/>
          </reference>
          <reference field="18" count="1" selected="0">
            <x v="2"/>
          </reference>
          <reference field="19" count="1">
            <x v="22"/>
          </reference>
        </references>
      </pivotArea>
    </format>
    <format dxfId="5833">
      <pivotArea dataOnly="0" labelOnly="1" outline="0" fieldPosition="0">
        <references count="4">
          <reference field="11" count="1" selected="0">
            <x v="267"/>
          </reference>
          <reference field="14" count="1" selected="0">
            <x v="374"/>
          </reference>
          <reference field="18" count="1" selected="0">
            <x v="0"/>
          </reference>
          <reference field="19" count="1">
            <x v="16"/>
          </reference>
        </references>
      </pivotArea>
    </format>
    <format dxfId="5832">
      <pivotArea dataOnly="0" labelOnly="1" outline="0" fieldPosition="0">
        <references count="4">
          <reference field="11" count="1" selected="0">
            <x v="267"/>
          </reference>
          <reference field="14" count="1" selected="0">
            <x v="374"/>
          </reference>
          <reference field="18" count="1" selected="0">
            <x v="2"/>
          </reference>
          <reference field="19" count="1">
            <x v="22"/>
          </reference>
        </references>
      </pivotArea>
    </format>
    <format dxfId="5831">
      <pivotArea dataOnly="0" labelOnly="1" outline="0" fieldPosition="0">
        <references count="4">
          <reference field="11" count="1" selected="0">
            <x v="268"/>
          </reference>
          <reference field="14" count="1" selected="0">
            <x v="353"/>
          </reference>
          <reference field="18" count="1" selected="0">
            <x v="2"/>
          </reference>
          <reference field="19" count="1">
            <x v="22"/>
          </reference>
        </references>
      </pivotArea>
    </format>
    <format dxfId="5830">
      <pivotArea dataOnly="0" labelOnly="1" outline="0" fieldPosition="0">
        <references count="4">
          <reference field="11" count="1" selected="0">
            <x v="269"/>
          </reference>
          <reference field="14" count="1" selected="0">
            <x v="124"/>
          </reference>
          <reference field="18" count="1" selected="0">
            <x v="4"/>
          </reference>
          <reference field="19" count="1">
            <x v="10"/>
          </reference>
        </references>
      </pivotArea>
    </format>
    <format dxfId="5829">
      <pivotArea dataOnly="0" labelOnly="1" outline="0" fieldPosition="0">
        <references count="4">
          <reference field="11" count="1" selected="0">
            <x v="270"/>
          </reference>
          <reference field="14" count="1" selected="0">
            <x v="126"/>
          </reference>
          <reference field="18" count="1" selected="0">
            <x v="2"/>
          </reference>
          <reference field="19" count="1">
            <x v="22"/>
          </reference>
        </references>
      </pivotArea>
    </format>
    <format dxfId="5828">
      <pivotArea dataOnly="0" labelOnly="1" outline="0" fieldPosition="0">
        <references count="4">
          <reference field="11" count="1" selected="0">
            <x v="271"/>
          </reference>
          <reference field="14" count="1" selected="0">
            <x v="239"/>
          </reference>
          <reference field="18" count="1" selected="0">
            <x v="19"/>
          </reference>
          <reference field="19" count="1">
            <x v="2"/>
          </reference>
        </references>
      </pivotArea>
    </format>
    <format dxfId="5827">
      <pivotArea dataOnly="0" labelOnly="1" outline="0" fieldPosition="0">
        <references count="4">
          <reference field="11" count="1" selected="0">
            <x v="272"/>
          </reference>
          <reference field="14" count="1" selected="0">
            <x v="42"/>
          </reference>
          <reference field="18" count="1" selected="0">
            <x v="2"/>
          </reference>
          <reference field="19" count="1">
            <x v="22"/>
          </reference>
        </references>
      </pivotArea>
    </format>
    <format dxfId="5826">
      <pivotArea dataOnly="0" labelOnly="1" outline="0" fieldPosition="0">
        <references count="4">
          <reference field="11" count="1" selected="0">
            <x v="273"/>
          </reference>
          <reference field="14" count="1" selected="0">
            <x v="342"/>
          </reference>
          <reference field="18" count="1" selected="0">
            <x v="1"/>
          </reference>
          <reference field="19" count="1">
            <x v="18"/>
          </reference>
        </references>
      </pivotArea>
    </format>
    <format dxfId="5825">
      <pivotArea dataOnly="0" labelOnly="1" outline="0" fieldPosition="0">
        <references count="4">
          <reference field="11" count="1" selected="0">
            <x v="274"/>
          </reference>
          <reference field="14" count="1" selected="0">
            <x v="372"/>
          </reference>
          <reference field="18" count="1" selected="0">
            <x v="15"/>
          </reference>
          <reference field="19" count="1">
            <x v="25"/>
          </reference>
        </references>
      </pivotArea>
    </format>
    <format dxfId="5824">
      <pivotArea dataOnly="0" labelOnly="1" outline="0" fieldPosition="0">
        <references count="4">
          <reference field="11" count="1" selected="0">
            <x v="275"/>
          </reference>
          <reference field="14" count="1" selected="0">
            <x v="51"/>
          </reference>
          <reference field="18" count="1" selected="0">
            <x v="4"/>
          </reference>
          <reference field="19" count="1">
            <x v="10"/>
          </reference>
        </references>
      </pivotArea>
    </format>
    <format dxfId="5823">
      <pivotArea dataOnly="0" labelOnly="1" outline="0" fieldPosition="0">
        <references count="4">
          <reference field="11" count="1" selected="0">
            <x v="276"/>
          </reference>
          <reference field="14" count="1" selected="0">
            <x v="290"/>
          </reference>
          <reference field="18" count="1" selected="0">
            <x v="0"/>
          </reference>
          <reference field="19" count="1">
            <x v="16"/>
          </reference>
        </references>
      </pivotArea>
    </format>
    <format dxfId="5822">
      <pivotArea dataOnly="0" labelOnly="1" outline="0" fieldPosition="0">
        <references count="4">
          <reference field="11" count="1" selected="0">
            <x v="277"/>
          </reference>
          <reference field="14" count="1" selected="0">
            <x v="180"/>
          </reference>
          <reference field="18" count="1" selected="0">
            <x v="16"/>
          </reference>
          <reference field="19" count="1">
            <x v="24"/>
          </reference>
        </references>
      </pivotArea>
    </format>
    <format dxfId="5821">
      <pivotArea dataOnly="0" labelOnly="1" outline="0" fieldPosition="0">
        <references count="4">
          <reference field="11" count="1" selected="0">
            <x v="278"/>
          </reference>
          <reference field="14" count="1" selected="0">
            <x v="164"/>
          </reference>
          <reference field="18" count="1" selected="0">
            <x v="2"/>
          </reference>
          <reference field="19" count="1">
            <x v="22"/>
          </reference>
        </references>
      </pivotArea>
    </format>
    <format dxfId="5820">
      <pivotArea dataOnly="0" labelOnly="1" outline="0" fieldPosition="0">
        <references count="4">
          <reference field="11" count="1" selected="0">
            <x v="279"/>
          </reference>
          <reference field="14" count="1" selected="0">
            <x v="153"/>
          </reference>
          <reference field="18" count="1" selected="0">
            <x v="2"/>
          </reference>
          <reference field="19" count="1">
            <x v="22"/>
          </reference>
        </references>
      </pivotArea>
    </format>
    <format dxfId="5819">
      <pivotArea dataOnly="0" labelOnly="1" outline="0" fieldPosition="0">
        <references count="4">
          <reference field="11" count="1" selected="0">
            <x v="280"/>
          </reference>
          <reference field="14" count="1" selected="0">
            <x v="373"/>
          </reference>
          <reference field="18" count="1" selected="0">
            <x v="1"/>
          </reference>
          <reference field="19" count="1">
            <x v="18"/>
          </reference>
        </references>
      </pivotArea>
    </format>
    <format dxfId="5818">
      <pivotArea dataOnly="0" labelOnly="1" outline="0" fieldPosition="0">
        <references count="4">
          <reference field="11" count="1" selected="0">
            <x v="280"/>
          </reference>
          <reference field="14" count="1" selected="0">
            <x v="373"/>
          </reference>
          <reference field="18" count="1" selected="0">
            <x v="11"/>
          </reference>
          <reference field="19" count="1">
            <x v="20"/>
          </reference>
        </references>
      </pivotArea>
    </format>
    <format dxfId="5817">
      <pivotArea dataOnly="0" labelOnly="1" outline="0" fieldPosition="0">
        <references count="4">
          <reference field="11" count="1" selected="0">
            <x v="281"/>
          </reference>
          <reference field="14" count="1" selected="0">
            <x v="165"/>
          </reference>
          <reference field="18" count="1" selected="0">
            <x v="2"/>
          </reference>
          <reference field="19" count="1">
            <x v="22"/>
          </reference>
        </references>
      </pivotArea>
    </format>
    <format dxfId="5816">
      <pivotArea dataOnly="0" labelOnly="1" outline="0" fieldPosition="0">
        <references count="4">
          <reference field="11" count="1" selected="0">
            <x v="282"/>
          </reference>
          <reference field="14" count="1" selected="0">
            <x v="357"/>
          </reference>
          <reference field="18" count="1" selected="0">
            <x v="0"/>
          </reference>
          <reference field="19" count="1">
            <x v="16"/>
          </reference>
        </references>
      </pivotArea>
    </format>
    <format dxfId="5815">
      <pivotArea dataOnly="0" labelOnly="1" outline="0" fieldPosition="0">
        <references count="4">
          <reference field="11" count="1" selected="0">
            <x v="283"/>
          </reference>
          <reference field="14" count="1" selected="0">
            <x v="162"/>
          </reference>
          <reference field="18" count="1" selected="0">
            <x v="2"/>
          </reference>
          <reference field="19" count="1">
            <x v="22"/>
          </reference>
        </references>
      </pivotArea>
    </format>
    <format dxfId="5814">
      <pivotArea dataOnly="0" labelOnly="1" outline="0" fieldPosition="0">
        <references count="4">
          <reference field="11" count="1" selected="0">
            <x v="284"/>
          </reference>
          <reference field="14" count="1" selected="0">
            <x v="149"/>
          </reference>
          <reference field="18" count="1" selected="0">
            <x v="14"/>
          </reference>
          <reference field="19" count="1">
            <x v="9"/>
          </reference>
        </references>
      </pivotArea>
    </format>
    <format dxfId="5813">
      <pivotArea dataOnly="0" labelOnly="1" outline="0" fieldPosition="0">
        <references count="4">
          <reference field="11" count="1" selected="0">
            <x v="285"/>
          </reference>
          <reference field="14" count="1" selected="0">
            <x v="365"/>
          </reference>
          <reference field="18" count="1" selected="0">
            <x v="3"/>
          </reference>
          <reference field="19" count="1">
            <x v="15"/>
          </reference>
        </references>
      </pivotArea>
    </format>
    <format dxfId="5812">
      <pivotArea dataOnly="0" labelOnly="1" outline="0" fieldPosition="0">
        <references count="4">
          <reference field="11" count="1" selected="0">
            <x v="286"/>
          </reference>
          <reference field="14" count="1" selected="0">
            <x v="217"/>
          </reference>
          <reference field="18" count="1" selected="0">
            <x v="14"/>
          </reference>
          <reference field="19" count="1">
            <x v="9"/>
          </reference>
        </references>
      </pivotArea>
    </format>
    <format dxfId="5811">
      <pivotArea dataOnly="0" labelOnly="1" outline="0" fieldPosition="0">
        <references count="4">
          <reference field="11" count="1" selected="0">
            <x v="287"/>
          </reference>
          <reference field="14" count="1" selected="0">
            <x v="197"/>
          </reference>
          <reference field="18" count="1" selected="0">
            <x v="2"/>
          </reference>
          <reference field="19" count="1">
            <x v="22"/>
          </reference>
        </references>
      </pivotArea>
    </format>
    <format dxfId="5810">
      <pivotArea dataOnly="0" labelOnly="1" outline="0" fieldPosition="0">
        <references count="4">
          <reference field="11" count="1" selected="0">
            <x v="288"/>
          </reference>
          <reference field="14" count="1" selected="0">
            <x v="389"/>
          </reference>
          <reference field="18" count="1" selected="0">
            <x v="2"/>
          </reference>
          <reference field="19" count="1">
            <x v="22"/>
          </reference>
        </references>
      </pivotArea>
    </format>
    <format dxfId="5809">
      <pivotArea dataOnly="0" labelOnly="1" outline="0" fieldPosition="0">
        <references count="4">
          <reference field="11" count="1" selected="0">
            <x v="289"/>
          </reference>
          <reference field="14" count="1" selected="0">
            <x v="171"/>
          </reference>
          <reference field="18" count="1" selected="0">
            <x v="2"/>
          </reference>
          <reference field="19" count="1">
            <x v="22"/>
          </reference>
        </references>
      </pivotArea>
    </format>
    <format dxfId="5808">
      <pivotArea dataOnly="0" labelOnly="1" outline="0" fieldPosition="0">
        <references count="4">
          <reference field="11" count="1" selected="0">
            <x v="290"/>
          </reference>
          <reference field="14" count="1" selected="0">
            <x v="183"/>
          </reference>
          <reference field="18" count="1" selected="0">
            <x v="3"/>
          </reference>
          <reference field="19" count="1">
            <x v="15"/>
          </reference>
        </references>
      </pivotArea>
    </format>
    <format dxfId="5807">
      <pivotArea dataOnly="0" labelOnly="1" outline="0" fieldPosition="0">
        <references count="4">
          <reference field="11" count="1" selected="0">
            <x v="290"/>
          </reference>
          <reference field="14" count="1" selected="0">
            <x v="183"/>
          </reference>
          <reference field="18" count="1" selected="0">
            <x v="6"/>
          </reference>
          <reference field="19" count="1">
            <x v="23"/>
          </reference>
        </references>
      </pivotArea>
    </format>
    <format dxfId="5806">
      <pivotArea dataOnly="0" labelOnly="1" outline="0" fieldPosition="0">
        <references count="4">
          <reference field="11" count="1" selected="0">
            <x v="291"/>
          </reference>
          <reference field="14" count="1" selected="0">
            <x v="3"/>
          </reference>
          <reference field="18" count="1" selected="0">
            <x v="2"/>
          </reference>
          <reference field="19" count="1">
            <x v="22"/>
          </reference>
        </references>
      </pivotArea>
    </format>
    <format dxfId="5805">
      <pivotArea dataOnly="0" labelOnly="1" outline="0" fieldPosition="0">
        <references count="4">
          <reference field="11" count="1" selected="0">
            <x v="292"/>
          </reference>
          <reference field="14" count="1" selected="0">
            <x v="172"/>
          </reference>
          <reference field="18" count="1" selected="0">
            <x v="2"/>
          </reference>
          <reference field="19" count="1">
            <x v="22"/>
          </reference>
        </references>
      </pivotArea>
    </format>
    <format dxfId="5804">
      <pivotArea dataOnly="0" labelOnly="1" outline="0" fieldPosition="0">
        <references count="4">
          <reference field="11" count="1" selected="0">
            <x v="293"/>
          </reference>
          <reference field="14" count="1" selected="0">
            <x v="168"/>
          </reference>
          <reference field="18" count="1" selected="0">
            <x v="14"/>
          </reference>
          <reference field="19" count="1">
            <x v="9"/>
          </reference>
        </references>
      </pivotArea>
    </format>
    <format dxfId="5803">
      <pivotArea dataOnly="0" labelOnly="1" outline="0" fieldPosition="0">
        <references count="4">
          <reference field="11" count="1" selected="0">
            <x v="294"/>
          </reference>
          <reference field="14" count="1" selected="0">
            <x v="67"/>
          </reference>
          <reference field="18" count="1" selected="0">
            <x v="0"/>
          </reference>
          <reference field="19" count="1">
            <x v="16"/>
          </reference>
        </references>
      </pivotArea>
    </format>
    <format dxfId="5802">
      <pivotArea dataOnly="0" labelOnly="1" outline="0" fieldPosition="0">
        <references count="4">
          <reference field="11" count="1" selected="0">
            <x v="295"/>
          </reference>
          <reference field="14" count="1" selected="0">
            <x v="64"/>
          </reference>
          <reference field="18" count="1" selected="0">
            <x v="1"/>
          </reference>
          <reference field="19" count="1">
            <x v="18"/>
          </reference>
        </references>
      </pivotArea>
    </format>
    <format dxfId="5801">
      <pivotArea dataOnly="0" labelOnly="1" outline="0" fieldPosition="0">
        <references count="4">
          <reference field="11" count="1" selected="0">
            <x v="296"/>
          </reference>
          <reference field="14" count="1" selected="0">
            <x v="143"/>
          </reference>
          <reference field="18" count="1" selected="0">
            <x v="3"/>
          </reference>
          <reference field="19" count="1">
            <x v="15"/>
          </reference>
        </references>
      </pivotArea>
    </format>
    <format dxfId="5800">
      <pivotArea dataOnly="0" labelOnly="1" outline="0" fieldPosition="0">
        <references count="4">
          <reference field="11" count="1" selected="0">
            <x v="297"/>
          </reference>
          <reference field="14" count="1" selected="0">
            <x v="34"/>
          </reference>
          <reference field="18" count="1" selected="0">
            <x v="20"/>
          </reference>
          <reference field="19" count="1">
            <x v="19"/>
          </reference>
        </references>
      </pivotArea>
    </format>
    <format dxfId="5799">
      <pivotArea dataOnly="0" labelOnly="1" outline="0" fieldPosition="0">
        <references count="4">
          <reference field="11" count="1" selected="0">
            <x v="298"/>
          </reference>
          <reference field="14" count="1" selected="0">
            <x v="310"/>
          </reference>
          <reference field="18" count="1" selected="0">
            <x v="19"/>
          </reference>
          <reference field="19" count="1">
            <x v="2"/>
          </reference>
        </references>
      </pivotArea>
    </format>
    <format dxfId="5798">
      <pivotArea dataOnly="0" labelOnly="1" outline="0" fieldPosition="0">
        <references count="4">
          <reference field="11" count="1" selected="0">
            <x v="299"/>
          </reference>
          <reference field="14" count="1" selected="0">
            <x v="129"/>
          </reference>
          <reference field="18" count="1" selected="0">
            <x v="2"/>
          </reference>
          <reference field="19" count="1">
            <x v="22"/>
          </reference>
        </references>
      </pivotArea>
    </format>
    <format dxfId="5797">
      <pivotArea dataOnly="0" labelOnly="1" outline="0" fieldPosition="0">
        <references count="4">
          <reference field="11" count="1" selected="0">
            <x v="300"/>
          </reference>
          <reference field="14" count="1" selected="0">
            <x v="393"/>
          </reference>
          <reference field="18" count="1" selected="0">
            <x v="2"/>
          </reference>
          <reference field="19" count="1">
            <x v="22"/>
          </reference>
        </references>
      </pivotArea>
    </format>
    <format dxfId="5796">
      <pivotArea dataOnly="0" labelOnly="1" outline="0" fieldPosition="0">
        <references count="4">
          <reference field="11" count="1" selected="0">
            <x v="301"/>
          </reference>
          <reference field="14" count="1" selected="0">
            <x v="100"/>
          </reference>
          <reference field="18" count="1" selected="0">
            <x v="0"/>
          </reference>
          <reference field="19" count="1">
            <x v="16"/>
          </reference>
        </references>
      </pivotArea>
    </format>
    <format dxfId="5795">
      <pivotArea dataOnly="0" labelOnly="1" outline="0" fieldPosition="0">
        <references count="4">
          <reference field="11" count="1" selected="0">
            <x v="302"/>
          </reference>
          <reference field="14" count="1" selected="0">
            <x v="62"/>
          </reference>
          <reference field="18" count="1" selected="0">
            <x v="0"/>
          </reference>
          <reference field="19" count="1">
            <x v="16"/>
          </reference>
        </references>
      </pivotArea>
    </format>
    <format dxfId="5794">
      <pivotArea dataOnly="0" labelOnly="1" outline="0" fieldPosition="0">
        <references count="4">
          <reference field="11" count="1" selected="0">
            <x v="302"/>
          </reference>
          <reference field="14" count="1" selected="0">
            <x v="62"/>
          </reference>
          <reference field="18" count="1" selected="0">
            <x v="2"/>
          </reference>
          <reference field="19" count="1">
            <x v="22"/>
          </reference>
        </references>
      </pivotArea>
    </format>
    <format dxfId="5793">
      <pivotArea dataOnly="0" labelOnly="1" outline="0" fieldPosition="0">
        <references count="4">
          <reference field="11" count="1" selected="0">
            <x v="303"/>
          </reference>
          <reference field="14" count="1" selected="0">
            <x v="122"/>
          </reference>
          <reference field="18" count="1" selected="0">
            <x v="2"/>
          </reference>
          <reference field="19" count="1">
            <x v="22"/>
          </reference>
        </references>
      </pivotArea>
    </format>
    <format dxfId="5792">
      <pivotArea dataOnly="0" labelOnly="1" outline="0" fieldPosition="0">
        <references count="4">
          <reference field="11" count="1" selected="0">
            <x v="304"/>
          </reference>
          <reference field="14" count="1" selected="0">
            <x v="464"/>
          </reference>
          <reference field="18" count="1" selected="0">
            <x v="0"/>
          </reference>
          <reference field="19" count="1">
            <x v="16"/>
          </reference>
        </references>
      </pivotArea>
    </format>
    <format dxfId="5791">
      <pivotArea dataOnly="0" labelOnly="1" outline="0" fieldPosition="0">
        <references count="4">
          <reference field="11" count="1" selected="0">
            <x v="304"/>
          </reference>
          <reference field="14" count="1" selected="0">
            <x v="464"/>
          </reference>
          <reference field="18" count="1" selected="0">
            <x v="2"/>
          </reference>
          <reference field="19" count="1">
            <x v="22"/>
          </reference>
        </references>
      </pivotArea>
    </format>
    <format dxfId="5790">
      <pivotArea dataOnly="0" labelOnly="1" outline="0" fieldPosition="0">
        <references count="4">
          <reference field="11" count="1" selected="0">
            <x v="305"/>
          </reference>
          <reference field="14" count="1" selected="0">
            <x v="121"/>
          </reference>
          <reference field="18" count="1" selected="0">
            <x v="2"/>
          </reference>
          <reference field="19" count="1">
            <x v="22"/>
          </reference>
        </references>
      </pivotArea>
    </format>
    <format dxfId="5789">
      <pivotArea dataOnly="0" labelOnly="1" outline="0" fieldPosition="0">
        <references count="4">
          <reference field="11" count="1" selected="0">
            <x v="306"/>
          </reference>
          <reference field="14" count="1" selected="0">
            <x v="178"/>
          </reference>
          <reference field="18" count="1" selected="0">
            <x v="6"/>
          </reference>
          <reference field="19" count="1">
            <x v="23"/>
          </reference>
        </references>
      </pivotArea>
    </format>
    <format dxfId="5788">
      <pivotArea dataOnly="0" labelOnly="1" outline="0" fieldPosition="0">
        <references count="4">
          <reference field="11" count="1" selected="0">
            <x v="307"/>
          </reference>
          <reference field="14" count="1" selected="0">
            <x v="120"/>
          </reference>
          <reference field="18" count="1" selected="0">
            <x v="2"/>
          </reference>
          <reference field="19" count="1">
            <x v="22"/>
          </reference>
        </references>
      </pivotArea>
    </format>
    <format dxfId="5787">
      <pivotArea dataOnly="0" labelOnly="1" outline="0" fieldPosition="0">
        <references count="4">
          <reference field="11" count="1" selected="0">
            <x v="308"/>
          </reference>
          <reference field="14" count="1" selected="0">
            <x v="127"/>
          </reference>
          <reference field="18" count="1" selected="0">
            <x v="0"/>
          </reference>
          <reference field="19" count="1">
            <x v="16"/>
          </reference>
        </references>
      </pivotArea>
    </format>
    <format dxfId="5786">
      <pivotArea dataOnly="0" labelOnly="1" outline="0" fieldPosition="0">
        <references count="4">
          <reference field="11" count="1" selected="0">
            <x v="308"/>
          </reference>
          <reference field="14" count="1" selected="0">
            <x v="127"/>
          </reference>
          <reference field="18" count="1" selected="0">
            <x v="2"/>
          </reference>
          <reference field="19" count="1">
            <x v="22"/>
          </reference>
        </references>
      </pivotArea>
    </format>
    <format dxfId="5785">
      <pivotArea dataOnly="0" labelOnly="1" outline="0" fieldPosition="0">
        <references count="4">
          <reference field="11" count="1" selected="0">
            <x v="308"/>
          </reference>
          <reference field="14" count="1" selected="0">
            <x v="127"/>
          </reference>
          <reference field="18" count="1" selected="0">
            <x v="12"/>
          </reference>
          <reference field="19" count="1">
            <x v="13"/>
          </reference>
        </references>
      </pivotArea>
    </format>
    <format dxfId="5784">
      <pivotArea dataOnly="0" labelOnly="1" outline="0" fieldPosition="0">
        <references count="4">
          <reference field="11" count="1" selected="0">
            <x v="309"/>
          </reference>
          <reference field="14" count="1" selected="0">
            <x v="316"/>
          </reference>
          <reference field="18" count="1" selected="0">
            <x v="0"/>
          </reference>
          <reference field="19" count="1">
            <x v="16"/>
          </reference>
        </references>
      </pivotArea>
    </format>
    <format dxfId="5783">
      <pivotArea dataOnly="0" labelOnly="1" outline="0" fieldPosition="0">
        <references count="4">
          <reference field="11" count="1" selected="0">
            <x v="310"/>
          </reference>
          <reference field="14" count="1" selected="0">
            <x v="376"/>
          </reference>
          <reference field="18" count="1" selected="0">
            <x v="2"/>
          </reference>
          <reference field="19" count="1">
            <x v="22"/>
          </reference>
        </references>
      </pivotArea>
    </format>
    <format dxfId="5782">
      <pivotArea dataOnly="0" labelOnly="1" outline="0" fieldPosition="0">
        <references count="4">
          <reference field="11" count="1" selected="0">
            <x v="311"/>
          </reference>
          <reference field="14" count="1" selected="0">
            <x v="302"/>
          </reference>
          <reference field="18" count="1" selected="0">
            <x v="6"/>
          </reference>
          <reference field="19" count="1">
            <x v="23"/>
          </reference>
        </references>
      </pivotArea>
    </format>
    <format dxfId="5781">
      <pivotArea dataOnly="0" labelOnly="1" outline="0" fieldPosition="0">
        <references count="4">
          <reference field="11" count="1" selected="0">
            <x v="311"/>
          </reference>
          <reference field="14" count="1" selected="0">
            <x v="302"/>
          </reference>
          <reference field="18" count="1" selected="0">
            <x v="27"/>
          </reference>
          <reference field="19" count="1">
            <x v="17"/>
          </reference>
        </references>
      </pivotArea>
    </format>
    <format dxfId="5780">
      <pivotArea dataOnly="0" labelOnly="1" outline="0" fieldPosition="0">
        <references count="4">
          <reference field="11" count="1" selected="0">
            <x v="312"/>
          </reference>
          <reference field="14" count="1" selected="0">
            <x v="130"/>
          </reference>
          <reference field="18" count="1" selected="0">
            <x v="0"/>
          </reference>
          <reference field="19" count="1">
            <x v="16"/>
          </reference>
        </references>
      </pivotArea>
    </format>
    <format dxfId="5779">
      <pivotArea dataOnly="0" labelOnly="1" outline="0" fieldPosition="0">
        <references count="4">
          <reference field="11" count="1" selected="0">
            <x v="312"/>
          </reference>
          <reference field="14" count="1" selected="0">
            <x v="130"/>
          </reference>
          <reference field="18" count="1" selected="0">
            <x v="14"/>
          </reference>
          <reference field="19" count="1">
            <x v="9"/>
          </reference>
        </references>
      </pivotArea>
    </format>
    <format dxfId="5778">
      <pivotArea dataOnly="0" labelOnly="1" outline="0" fieldPosition="0">
        <references count="4">
          <reference field="11" count="1" selected="0">
            <x v="313"/>
          </reference>
          <reference field="14" count="1" selected="0">
            <x v="123"/>
          </reference>
          <reference field="18" count="1" selected="0">
            <x v="7"/>
          </reference>
          <reference field="19" count="1">
            <x v="4"/>
          </reference>
        </references>
      </pivotArea>
    </format>
    <format dxfId="5777">
      <pivotArea dataOnly="0" labelOnly="1" outline="0" fieldPosition="0">
        <references count="4">
          <reference field="11" count="1" selected="0">
            <x v="314"/>
          </reference>
          <reference field="14" count="1" selected="0">
            <x v="8"/>
          </reference>
          <reference field="18" count="1" selected="0">
            <x v="2"/>
          </reference>
          <reference field="19" count="1">
            <x v="22"/>
          </reference>
        </references>
      </pivotArea>
    </format>
    <format dxfId="5776">
      <pivotArea dataOnly="0" labelOnly="1" outline="0" fieldPosition="0">
        <references count="4">
          <reference field="11" count="1" selected="0">
            <x v="315"/>
          </reference>
          <reference field="14" count="1" selected="0">
            <x v="247"/>
          </reference>
          <reference field="18" count="1" selected="0">
            <x v="14"/>
          </reference>
          <reference field="19" count="1">
            <x v="9"/>
          </reference>
        </references>
      </pivotArea>
    </format>
    <format dxfId="5775">
      <pivotArea dataOnly="0" labelOnly="1" outline="0" fieldPosition="0">
        <references count="4">
          <reference field="11" count="1" selected="0">
            <x v="316"/>
          </reference>
          <reference field="14" count="1" selected="0">
            <x v="44"/>
          </reference>
          <reference field="18" count="1" selected="0">
            <x v="0"/>
          </reference>
          <reference field="19" count="1">
            <x v="16"/>
          </reference>
        </references>
      </pivotArea>
    </format>
    <format dxfId="5774">
      <pivotArea dataOnly="0" labelOnly="1" outline="0" fieldPosition="0">
        <references count="4">
          <reference field="11" count="1" selected="0">
            <x v="317"/>
          </reference>
          <reference field="14" count="1" selected="0">
            <x v="70"/>
          </reference>
          <reference field="18" count="1" selected="0">
            <x v="0"/>
          </reference>
          <reference field="19" count="1">
            <x v="16"/>
          </reference>
        </references>
      </pivotArea>
    </format>
    <format dxfId="5773">
      <pivotArea dataOnly="0" labelOnly="1" outline="0" fieldPosition="0">
        <references count="4">
          <reference field="11" count="1" selected="0">
            <x v="317"/>
          </reference>
          <reference field="14" count="1" selected="0">
            <x v="70"/>
          </reference>
          <reference field="18" count="1" selected="0">
            <x v="2"/>
          </reference>
          <reference field="19" count="1">
            <x v="22"/>
          </reference>
        </references>
      </pivotArea>
    </format>
    <format dxfId="5772">
      <pivotArea dataOnly="0" labelOnly="1" outline="0" fieldPosition="0">
        <references count="4">
          <reference field="11" count="1" selected="0">
            <x v="318"/>
          </reference>
          <reference field="14" count="1" selected="0">
            <x v="68"/>
          </reference>
          <reference field="18" count="1" selected="0">
            <x v="0"/>
          </reference>
          <reference field="19" count="1">
            <x v="16"/>
          </reference>
        </references>
      </pivotArea>
    </format>
    <format dxfId="5771">
      <pivotArea dataOnly="0" labelOnly="1" outline="0" fieldPosition="0">
        <references count="4">
          <reference field="11" count="1" selected="0">
            <x v="318"/>
          </reference>
          <reference field="14" count="1" selected="0">
            <x v="68"/>
          </reference>
          <reference field="18" count="1" selected="0">
            <x v="2"/>
          </reference>
          <reference field="19" count="1">
            <x v="22"/>
          </reference>
        </references>
      </pivotArea>
    </format>
    <format dxfId="5770">
      <pivotArea dataOnly="0" labelOnly="1" outline="0" fieldPosition="0">
        <references count="4">
          <reference field="11" count="1" selected="0">
            <x v="319"/>
          </reference>
          <reference field="14" count="1" selected="0">
            <x v="69"/>
          </reference>
          <reference field="18" count="1" selected="0">
            <x v="0"/>
          </reference>
          <reference field="19" count="1">
            <x v="16"/>
          </reference>
        </references>
      </pivotArea>
    </format>
    <format dxfId="5769">
      <pivotArea dataOnly="0" labelOnly="1" outline="0" fieldPosition="0">
        <references count="4">
          <reference field="11" count="1" selected="0">
            <x v="319"/>
          </reference>
          <reference field="14" count="1" selected="0">
            <x v="69"/>
          </reference>
          <reference field="18" count="1" selected="0">
            <x v="2"/>
          </reference>
          <reference field="19" count="1">
            <x v="22"/>
          </reference>
        </references>
      </pivotArea>
    </format>
    <format dxfId="5768">
      <pivotArea dataOnly="0" labelOnly="1" outline="0" fieldPosition="0">
        <references count="4">
          <reference field="11" count="1" selected="0">
            <x v="320"/>
          </reference>
          <reference field="14" count="1" selected="0">
            <x v="35"/>
          </reference>
          <reference field="18" count="1" selected="0">
            <x v="1"/>
          </reference>
          <reference field="19" count="1">
            <x v="18"/>
          </reference>
        </references>
      </pivotArea>
    </format>
    <format dxfId="5767">
      <pivotArea dataOnly="0" labelOnly="1" outline="0" fieldPosition="0">
        <references count="4">
          <reference field="11" count="1" selected="0">
            <x v="321"/>
          </reference>
          <reference field="14" count="1" selected="0">
            <x v="456"/>
          </reference>
          <reference field="18" count="1" selected="0">
            <x v="6"/>
          </reference>
          <reference field="19" count="1">
            <x v="23"/>
          </reference>
        </references>
      </pivotArea>
    </format>
    <format dxfId="5766">
      <pivotArea dataOnly="0" labelOnly="1" outline="0" fieldPosition="0">
        <references count="4">
          <reference field="11" count="1" selected="0">
            <x v="322"/>
          </reference>
          <reference field="14" count="1" selected="0">
            <x v="243"/>
          </reference>
          <reference field="18" count="1" selected="0">
            <x v="6"/>
          </reference>
          <reference field="19" count="1">
            <x v="23"/>
          </reference>
        </references>
      </pivotArea>
    </format>
    <format dxfId="5765">
      <pivotArea dataOnly="0" labelOnly="1" outline="0" fieldPosition="0">
        <references count="4">
          <reference field="11" count="1" selected="0">
            <x v="323"/>
          </reference>
          <reference field="14" count="1" selected="0">
            <x v="428"/>
          </reference>
          <reference field="18" count="1" selected="0">
            <x v="19"/>
          </reference>
          <reference field="19" count="1">
            <x v="2"/>
          </reference>
        </references>
      </pivotArea>
    </format>
    <format dxfId="5764">
      <pivotArea dataOnly="0" labelOnly="1" outline="0" fieldPosition="0">
        <references count="4">
          <reference field="11" count="1" selected="0">
            <x v="324"/>
          </reference>
          <reference field="14" count="1" selected="0">
            <x v="9"/>
          </reference>
          <reference field="18" count="1" selected="0">
            <x v="0"/>
          </reference>
          <reference field="19" count="1">
            <x v="16"/>
          </reference>
        </references>
      </pivotArea>
    </format>
    <format dxfId="5763">
      <pivotArea dataOnly="0" labelOnly="1" outline="0" fieldPosition="0">
        <references count="4">
          <reference field="11" count="1" selected="0">
            <x v="324"/>
          </reference>
          <reference field="14" count="1" selected="0">
            <x v="9"/>
          </reference>
          <reference field="18" count="1" selected="0">
            <x v="2"/>
          </reference>
          <reference field="19" count="1">
            <x v="22"/>
          </reference>
        </references>
      </pivotArea>
    </format>
    <format dxfId="5762">
      <pivotArea dataOnly="0" labelOnly="1" outline="0" fieldPosition="0">
        <references count="4">
          <reference field="11" count="1" selected="0">
            <x v="325"/>
          </reference>
          <reference field="14" count="1" selected="0">
            <x v="225"/>
          </reference>
          <reference field="18" count="1" selected="0">
            <x v="0"/>
          </reference>
          <reference field="19" count="1">
            <x v="16"/>
          </reference>
        </references>
      </pivotArea>
    </format>
    <format dxfId="5761">
      <pivotArea dataOnly="0" labelOnly="1" outline="0" fieldPosition="0">
        <references count="4">
          <reference field="11" count="1" selected="0">
            <x v="326"/>
          </reference>
          <reference field="14" count="1" selected="0">
            <x v="370"/>
          </reference>
          <reference field="18" count="1" selected="0">
            <x v="2"/>
          </reference>
          <reference field="19" count="1">
            <x v="22"/>
          </reference>
        </references>
      </pivotArea>
    </format>
    <format dxfId="5760">
      <pivotArea dataOnly="0" labelOnly="1" outline="0" fieldPosition="0">
        <references count="4">
          <reference field="11" count="1" selected="0">
            <x v="327"/>
          </reference>
          <reference field="14" count="1" selected="0">
            <x v="60"/>
          </reference>
          <reference field="18" count="1" selected="0">
            <x v="2"/>
          </reference>
          <reference field="19" count="1">
            <x v="22"/>
          </reference>
        </references>
      </pivotArea>
    </format>
    <format dxfId="5759">
      <pivotArea dataOnly="0" labelOnly="1" outline="0" fieldPosition="0">
        <references count="4">
          <reference field="11" count="1" selected="0">
            <x v="327"/>
          </reference>
          <reference field="14" count="1" selected="0">
            <x v="60"/>
          </reference>
          <reference field="18" count="1" selected="0">
            <x v="14"/>
          </reference>
          <reference field="19" count="1">
            <x v="9"/>
          </reference>
        </references>
      </pivotArea>
    </format>
    <format dxfId="5758">
      <pivotArea dataOnly="0" labelOnly="1" outline="0" fieldPosition="0">
        <references count="4">
          <reference field="11" count="1" selected="0">
            <x v="328"/>
          </reference>
          <reference field="14" count="1" selected="0">
            <x v="159"/>
          </reference>
          <reference field="18" count="1" selected="0">
            <x v="2"/>
          </reference>
          <reference field="19" count="1">
            <x v="22"/>
          </reference>
        </references>
      </pivotArea>
    </format>
    <format dxfId="5757">
      <pivotArea dataOnly="0" labelOnly="1" outline="0" fieldPosition="0">
        <references count="4">
          <reference field="11" count="1" selected="0">
            <x v="329"/>
          </reference>
          <reference field="14" count="1" selected="0">
            <x v="134"/>
          </reference>
          <reference field="18" count="1" selected="0">
            <x v="2"/>
          </reference>
          <reference field="19" count="1">
            <x v="22"/>
          </reference>
        </references>
      </pivotArea>
    </format>
    <format dxfId="5756">
      <pivotArea dataOnly="0" labelOnly="1" outline="0" fieldPosition="0">
        <references count="4">
          <reference field="11" count="1" selected="0">
            <x v="330"/>
          </reference>
          <reference field="14" count="1" selected="0">
            <x v="170"/>
          </reference>
          <reference field="18" count="1" selected="0">
            <x v="2"/>
          </reference>
          <reference field="19" count="1">
            <x v="22"/>
          </reference>
        </references>
      </pivotArea>
    </format>
    <format dxfId="5755">
      <pivotArea dataOnly="0" labelOnly="1" outline="0" fieldPosition="0">
        <references count="4">
          <reference field="11" count="1" selected="0">
            <x v="331"/>
          </reference>
          <reference field="14" count="1" selected="0">
            <x v="132"/>
          </reference>
          <reference field="18" count="1" selected="0">
            <x v="6"/>
          </reference>
          <reference field="19" count="1">
            <x v="23"/>
          </reference>
        </references>
      </pivotArea>
    </format>
    <format dxfId="5754">
      <pivotArea dataOnly="0" labelOnly="1" outline="0" fieldPosition="0">
        <references count="4">
          <reference field="11" count="1" selected="0">
            <x v="332"/>
          </reference>
          <reference field="14" count="1" selected="0">
            <x v="74"/>
          </reference>
          <reference field="18" count="1" selected="0">
            <x v="16"/>
          </reference>
          <reference field="19" count="1">
            <x v="24"/>
          </reference>
        </references>
      </pivotArea>
    </format>
    <format dxfId="5753">
      <pivotArea dataOnly="0" labelOnly="1" outline="0" fieldPosition="0">
        <references count="4">
          <reference field="11" count="1" selected="0">
            <x v="332"/>
          </reference>
          <reference field="14" count="1" selected="0">
            <x v="74"/>
          </reference>
          <reference field="18" count="1" selected="0">
            <x v="21"/>
          </reference>
          <reference field="19" count="1">
            <x v="27"/>
          </reference>
        </references>
      </pivotArea>
    </format>
    <format dxfId="5752">
      <pivotArea dataOnly="0" labelOnly="1" outline="0" fieldPosition="0">
        <references count="4">
          <reference field="11" count="1" selected="0">
            <x v="333"/>
          </reference>
          <reference field="14" count="1" selected="0">
            <x v="202"/>
          </reference>
          <reference field="18" count="1" selected="0">
            <x v="3"/>
          </reference>
          <reference field="19" count="1">
            <x v="15"/>
          </reference>
        </references>
      </pivotArea>
    </format>
    <format dxfId="5751">
      <pivotArea dataOnly="0" labelOnly="1" outline="0" fieldPosition="0">
        <references count="4">
          <reference field="11" count="1" selected="0">
            <x v="334"/>
          </reference>
          <reference field="14" count="1" selected="0">
            <x v="384"/>
          </reference>
          <reference field="18" count="1" selected="0">
            <x v="0"/>
          </reference>
          <reference field="19" count="1">
            <x v="16"/>
          </reference>
        </references>
      </pivotArea>
    </format>
    <format dxfId="5750">
      <pivotArea dataOnly="0" labelOnly="1" outline="0" fieldPosition="0">
        <references count="4">
          <reference field="11" count="1" selected="0">
            <x v="334"/>
          </reference>
          <reference field="14" count="1" selected="0">
            <x v="384"/>
          </reference>
          <reference field="18" count="1" selected="0">
            <x v="2"/>
          </reference>
          <reference field="19" count="1">
            <x v="22"/>
          </reference>
        </references>
      </pivotArea>
    </format>
    <format dxfId="5749">
      <pivotArea dataOnly="0" labelOnly="1" outline="0" fieldPosition="0">
        <references count="4">
          <reference field="11" count="1" selected="0">
            <x v="335"/>
          </reference>
          <reference field="14" count="1" selected="0">
            <x v="309"/>
          </reference>
          <reference field="18" count="1" selected="0">
            <x v="19"/>
          </reference>
          <reference field="19" count="1">
            <x v="2"/>
          </reference>
        </references>
      </pivotArea>
    </format>
    <format dxfId="5748">
      <pivotArea dataOnly="0" labelOnly="1" outline="0" fieldPosition="0">
        <references count="4">
          <reference field="11" count="1" selected="0">
            <x v="336"/>
          </reference>
          <reference field="14" count="1" selected="0">
            <x v="382"/>
          </reference>
          <reference field="18" count="1" selected="0">
            <x v="3"/>
          </reference>
          <reference field="19" count="1">
            <x v="15"/>
          </reference>
        </references>
      </pivotArea>
    </format>
    <format dxfId="5747">
      <pivotArea dataOnly="0" labelOnly="1" outline="0" fieldPosition="0">
        <references count="4">
          <reference field="11" count="1" selected="0">
            <x v="337"/>
          </reference>
          <reference field="14" count="1" selected="0">
            <x v="71"/>
          </reference>
          <reference field="18" count="1" selected="0">
            <x v="0"/>
          </reference>
          <reference field="19" count="1">
            <x v="16"/>
          </reference>
        </references>
      </pivotArea>
    </format>
    <format dxfId="5746">
      <pivotArea dataOnly="0" labelOnly="1" outline="0" fieldPosition="0">
        <references count="4">
          <reference field="11" count="1" selected="0">
            <x v="338"/>
          </reference>
          <reference field="14" count="1" selected="0">
            <x v="314"/>
          </reference>
          <reference field="18" count="1" selected="0">
            <x v="19"/>
          </reference>
          <reference field="19" count="1">
            <x v="2"/>
          </reference>
        </references>
      </pivotArea>
    </format>
    <format dxfId="5745">
      <pivotArea dataOnly="0" labelOnly="1" outline="0" fieldPosition="0">
        <references count="4">
          <reference field="11" count="1" selected="0">
            <x v="339"/>
          </reference>
          <reference field="14" count="1" selected="0">
            <x v="160"/>
          </reference>
          <reference field="18" count="1" selected="0">
            <x v="2"/>
          </reference>
          <reference field="19" count="1">
            <x v="22"/>
          </reference>
        </references>
      </pivotArea>
    </format>
    <format dxfId="5744">
      <pivotArea dataOnly="0" labelOnly="1" outline="0" fieldPosition="0">
        <references count="4">
          <reference field="11" count="1" selected="0">
            <x v="340"/>
          </reference>
          <reference field="14" count="1" selected="0">
            <x v="155"/>
          </reference>
          <reference field="18" count="1" selected="0">
            <x v="2"/>
          </reference>
          <reference field="19" count="1">
            <x v="22"/>
          </reference>
        </references>
      </pivotArea>
    </format>
    <format dxfId="5743">
      <pivotArea dataOnly="0" labelOnly="1" outline="0" fieldPosition="0">
        <references count="4">
          <reference field="11" count="1" selected="0">
            <x v="341"/>
          </reference>
          <reference field="14" count="1" selected="0">
            <x v="163"/>
          </reference>
          <reference field="18" count="1" selected="0">
            <x v="2"/>
          </reference>
          <reference field="19" count="1">
            <x v="22"/>
          </reference>
        </references>
      </pivotArea>
    </format>
    <format dxfId="5742">
      <pivotArea dataOnly="0" labelOnly="1" outline="0" fieldPosition="0">
        <references count="4">
          <reference field="11" count="1" selected="0">
            <x v="342"/>
          </reference>
          <reference field="14" count="1" selected="0">
            <x v="156"/>
          </reference>
          <reference field="18" count="1" selected="0">
            <x v="2"/>
          </reference>
          <reference field="19" count="1">
            <x v="22"/>
          </reference>
        </references>
      </pivotArea>
    </format>
    <format dxfId="5741">
      <pivotArea dataOnly="0" labelOnly="1" outline="0" fieldPosition="0">
        <references count="4">
          <reference field="11" count="1" selected="0">
            <x v="343"/>
          </reference>
          <reference field="14" count="1" selected="0">
            <x v="293"/>
          </reference>
          <reference field="18" count="1" selected="0">
            <x v="2"/>
          </reference>
          <reference field="19" count="1">
            <x v="22"/>
          </reference>
        </references>
      </pivotArea>
    </format>
    <format dxfId="5740">
      <pivotArea dataOnly="0" labelOnly="1" outline="0" fieldPosition="0">
        <references count="4">
          <reference field="11" count="1" selected="0">
            <x v="343"/>
          </reference>
          <reference field="14" count="1" selected="0">
            <x v="293"/>
          </reference>
          <reference field="18" count="1" selected="0">
            <x v="3"/>
          </reference>
          <reference field="19" count="1">
            <x v="15"/>
          </reference>
        </references>
      </pivotArea>
    </format>
    <format dxfId="5739">
      <pivotArea dataOnly="0" labelOnly="1" outline="0" fieldPosition="0">
        <references count="4">
          <reference field="11" count="1" selected="0">
            <x v="344"/>
          </reference>
          <reference field="14" count="1" selected="0">
            <x v="253"/>
          </reference>
          <reference field="18" count="1" selected="0">
            <x v="0"/>
          </reference>
          <reference field="19" count="1">
            <x v="16"/>
          </reference>
        </references>
      </pivotArea>
    </format>
    <format dxfId="5738">
      <pivotArea dataOnly="0" labelOnly="1" outline="0" fieldPosition="0">
        <references count="4">
          <reference field="11" count="1" selected="0">
            <x v="345"/>
          </reference>
          <reference field="14" count="1" selected="0">
            <x v="209"/>
          </reference>
          <reference field="18" count="1" selected="0">
            <x v="0"/>
          </reference>
          <reference field="19" count="1">
            <x v="16"/>
          </reference>
        </references>
      </pivotArea>
    </format>
    <format dxfId="5737">
      <pivotArea dataOnly="0" labelOnly="1" outline="0" fieldPosition="0">
        <references count="4">
          <reference field="11" count="1" selected="0">
            <x v="345"/>
          </reference>
          <reference field="14" count="1" selected="0">
            <x v="209"/>
          </reference>
          <reference field="18" count="1" selected="0">
            <x v="1"/>
          </reference>
          <reference field="19" count="1">
            <x v="18"/>
          </reference>
        </references>
      </pivotArea>
    </format>
    <format dxfId="5736">
      <pivotArea dataOnly="0" labelOnly="1" outline="0" fieldPosition="0">
        <references count="4">
          <reference field="11" count="1" selected="0">
            <x v="345"/>
          </reference>
          <reference field="14" count="1" selected="0">
            <x v="209"/>
          </reference>
          <reference field="18" count="1" selected="0">
            <x v="11"/>
          </reference>
          <reference field="19" count="1">
            <x v="20"/>
          </reference>
        </references>
      </pivotArea>
    </format>
    <format dxfId="5735">
      <pivotArea dataOnly="0" labelOnly="1" outline="0" fieldPosition="0">
        <references count="4">
          <reference field="11" count="1" selected="0">
            <x v="346"/>
          </reference>
          <reference field="14" count="1" selected="0">
            <x v="315"/>
          </reference>
          <reference field="18" count="1" selected="0">
            <x v="3"/>
          </reference>
          <reference field="19" count="1">
            <x v="15"/>
          </reference>
        </references>
      </pivotArea>
    </format>
    <format dxfId="5734">
      <pivotArea dataOnly="0" labelOnly="1" outline="0" fieldPosition="0">
        <references count="4">
          <reference field="11" count="1" selected="0">
            <x v="347"/>
          </reference>
          <reference field="14" count="1" selected="0">
            <x v="257"/>
          </reference>
          <reference field="18" count="1" selected="0">
            <x v="0"/>
          </reference>
          <reference field="19" count="1">
            <x v="16"/>
          </reference>
        </references>
      </pivotArea>
    </format>
    <format dxfId="5733">
      <pivotArea dataOnly="0" labelOnly="1" outline="0" fieldPosition="0">
        <references count="4">
          <reference field="11" count="1" selected="0">
            <x v="348"/>
          </reference>
          <reference field="14" count="1" selected="0">
            <x v="448"/>
          </reference>
          <reference field="18" count="1" selected="0">
            <x v="19"/>
          </reference>
          <reference field="19" count="1">
            <x v="2"/>
          </reference>
        </references>
      </pivotArea>
    </format>
    <format dxfId="5732">
      <pivotArea dataOnly="0" labelOnly="1" outline="0" fieldPosition="0">
        <references count="4">
          <reference field="11" count="1" selected="0">
            <x v="349"/>
          </reference>
          <reference field="14" count="1" selected="0">
            <x v="331"/>
          </reference>
          <reference field="18" count="1" selected="0">
            <x v="6"/>
          </reference>
          <reference field="19" count="1">
            <x v="23"/>
          </reference>
        </references>
      </pivotArea>
    </format>
    <format dxfId="5731">
      <pivotArea dataOnly="0" labelOnly="1" outline="0" fieldPosition="0">
        <references count="4">
          <reference field="11" count="1" selected="0">
            <x v="350"/>
          </reference>
          <reference field="14" count="1" selected="0">
            <x v="221"/>
          </reference>
          <reference field="18" count="1" selected="0">
            <x v="6"/>
          </reference>
          <reference field="19" count="1">
            <x v="23"/>
          </reference>
        </references>
      </pivotArea>
    </format>
    <format dxfId="5730">
      <pivotArea dataOnly="0" labelOnly="1" outline="0" fieldPosition="0">
        <references count="4">
          <reference field="11" count="1" selected="0">
            <x v="351"/>
          </reference>
          <reference field="14" count="1" selected="0">
            <x v="199"/>
          </reference>
          <reference field="18" count="1" selected="0">
            <x v="27"/>
          </reference>
          <reference field="19" count="1">
            <x v="17"/>
          </reference>
        </references>
      </pivotArea>
    </format>
    <format dxfId="5729">
      <pivotArea dataOnly="0" labelOnly="1" outline="0" fieldPosition="0">
        <references count="4">
          <reference field="11" count="1" selected="0">
            <x v="352"/>
          </reference>
          <reference field="14" count="1" selected="0">
            <x v="78"/>
          </reference>
          <reference field="18" count="1" selected="0">
            <x v="1"/>
          </reference>
          <reference field="19" count="1">
            <x v="18"/>
          </reference>
        </references>
      </pivotArea>
    </format>
    <format dxfId="5728">
      <pivotArea dataOnly="0" labelOnly="1" outline="0" fieldPosition="0">
        <references count="4">
          <reference field="11" count="1" selected="0">
            <x v="353"/>
          </reference>
          <reference field="14" count="1" selected="0">
            <x v="18"/>
          </reference>
          <reference field="18" count="1" selected="0">
            <x v="6"/>
          </reference>
          <reference field="19" count="1">
            <x v="23"/>
          </reference>
        </references>
      </pivotArea>
    </format>
    <format dxfId="5727">
      <pivotArea dataOnly="0" labelOnly="1" outline="0" fieldPosition="0">
        <references count="4">
          <reference field="11" count="1" selected="0">
            <x v="354"/>
          </reference>
          <reference field="14" count="1" selected="0">
            <x v="135"/>
          </reference>
          <reference field="18" count="1" selected="0">
            <x v="6"/>
          </reference>
          <reference field="19" count="1">
            <x v="23"/>
          </reference>
        </references>
      </pivotArea>
    </format>
    <format dxfId="5726">
      <pivotArea dataOnly="0" labelOnly="1" outline="0" fieldPosition="0">
        <references count="4">
          <reference field="11" count="1" selected="0">
            <x v="355"/>
          </reference>
          <reference field="14" count="1" selected="0">
            <x v="296"/>
          </reference>
          <reference field="18" count="1" selected="0">
            <x v="6"/>
          </reference>
          <reference field="19" count="1">
            <x v="23"/>
          </reference>
        </references>
      </pivotArea>
    </format>
    <format dxfId="5725">
      <pivotArea dataOnly="0" labelOnly="1" outline="0" fieldPosition="0">
        <references count="4">
          <reference field="11" count="1" selected="0">
            <x v="356"/>
          </reference>
          <reference field="14" count="1" selected="0">
            <x v="299"/>
          </reference>
          <reference field="18" count="1" selected="0">
            <x v="6"/>
          </reference>
          <reference field="19" count="1">
            <x v="23"/>
          </reference>
        </references>
      </pivotArea>
    </format>
    <format dxfId="5724">
      <pivotArea dataOnly="0" labelOnly="1" outline="0" fieldPosition="0">
        <references count="4">
          <reference field="11" count="1" selected="0">
            <x v="357"/>
          </reference>
          <reference field="14" count="1" selected="0">
            <x v="298"/>
          </reference>
          <reference field="18" count="1" selected="0">
            <x v="6"/>
          </reference>
          <reference field="19" count="1">
            <x v="23"/>
          </reference>
        </references>
      </pivotArea>
    </format>
    <format dxfId="5723">
      <pivotArea dataOnly="0" labelOnly="1" outline="0" fieldPosition="0">
        <references count="4">
          <reference field="11" count="1" selected="0">
            <x v="358"/>
          </reference>
          <reference field="14" count="1" selected="0">
            <x v="292"/>
          </reference>
          <reference field="18" count="1" selected="0">
            <x v="3"/>
          </reference>
          <reference field="19" count="1">
            <x v="15"/>
          </reference>
        </references>
      </pivotArea>
    </format>
    <format dxfId="5722">
      <pivotArea dataOnly="0" labelOnly="1" outline="0" fieldPosition="0">
        <references count="4">
          <reference field="11" count="1" selected="0">
            <x v="359"/>
          </reference>
          <reference field="14" count="1" selected="0">
            <x v="39"/>
          </reference>
          <reference field="18" count="1" selected="0">
            <x v="1"/>
          </reference>
          <reference field="19" count="1">
            <x v="18"/>
          </reference>
        </references>
      </pivotArea>
    </format>
    <format dxfId="5721">
      <pivotArea dataOnly="0" labelOnly="1" outline="0" fieldPosition="0">
        <references count="4">
          <reference field="11" count="1" selected="0">
            <x v="360"/>
          </reference>
          <reference field="14" count="1" selected="0">
            <x v="24"/>
          </reference>
          <reference field="18" count="1" selected="0">
            <x v="5"/>
          </reference>
          <reference field="19" count="1">
            <x v="1"/>
          </reference>
        </references>
      </pivotArea>
    </format>
    <format dxfId="5720">
      <pivotArea dataOnly="0" labelOnly="1" outline="0" fieldPosition="0">
        <references count="4">
          <reference field="11" count="1" selected="0">
            <x v="361"/>
          </reference>
          <reference field="14" count="1" selected="0">
            <x v="352"/>
          </reference>
          <reference field="18" count="1" selected="0">
            <x v="5"/>
          </reference>
          <reference field="19" count="1">
            <x v="1"/>
          </reference>
        </references>
      </pivotArea>
    </format>
    <format dxfId="5719">
      <pivotArea dataOnly="0" labelOnly="1" outline="0" fieldPosition="0">
        <references count="4">
          <reference field="11" count="1" selected="0">
            <x v="362"/>
          </reference>
          <reference field="14" count="1" selected="0">
            <x v="21"/>
          </reference>
          <reference field="18" count="1" selected="0">
            <x v="6"/>
          </reference>
          <reference field="19" count="1">
            <x v="23"/>
          </reference>
        </references>
      </pivotArea>
    </format>
    <format dxfId="5718">
      <pivotArea dataOnly="0" labelOnly="1" outline="0" fieldPosition="0">
        <references count="4">
          <reference field="11" count="1" selected="0">
            <x v="363"/>
          </reference>
          <reference field="14" count="1" selected="0">
            <x v="6"/>
          </reference>
          <reference field="18" count="1" selected="0">
            <x v="0"/>
          </reference>
          <reference field="19" count="1">
            <x v="16"/>
          </reference>
        </references>
      </pivotArea>
    </format>
    <format dxfId="5717">
      <pivotArea dataOnly="0" labelOnly="1" outline="0" fieldPosition="0">
        <references count="4">
          <reference field="11" count="1" selected="0">
            <x v="364"/>
          </reference>
          <reference field="14" count="1" selected="0">
            <x v="212"/>
          </reference>
          <reference field="18" count="1" selected="0">
            <x v="14"/>
          </reference>
          <reference field="19" count="1">
            <x v="9"/>
          </reference>
        </references>
      </pivotArea>
    </format>
    <format dxfId="5716">
      <pivotArea dataOnly="0" labelOnly="1" outline="0" fieldPosition="0">
        <references count="4">
          <reference field="11" count="1" selected="0">
            <x v="365"/>
          </reference>
          <reference field="14" count="1" selected="0">
            <x v="284"/>
          </reference>
          <reference field="18" count="1" selected="0">
            <x v="0"/>
          </reference>
          <reference field="19" count="1">
            <x v="16"/>
          </reference>
        </references>
      </pivotArea>
    </format>
    <format dxfId="5715">
      <pivotArea dataOnly="0" labelOnly="1" outline="0" fieldPosition="0">
        <references count="4">
          <reference field="11" count="1" selected="0">
            <x v="366"/>
          </reference>
          <reference field="14" count="1" selected="0">
            <x v="254"/>
          </reference>
          <reference field="18" count="1" selected="0">
            <x v="0"/>
          </reference>
          <reference field="19" count="1">
            <x v="16"/>
          </reference>
        </references>
      </pivotArea>
    </format>
    <format dxfId="5714">
      <pivotArea dataOnly="0" labelOnly="1" outline="0" fieldPosition="0">
        <references count="4">
          <reference field="11" count="1" selected="0">
            <x v="367"/>
          </reference>
          <reference field="14" count="1" selected="0">
            <x v="457"/>
          </reference>
          <reference field="18" count="1" selected="0">
            <x v="0"/>
          </reference>
          <reference field="19" count="1">
            <x v="16"/>
          </reference>
        </references>
      </pivotArea>
    </format>
    <format dxfId="5713">
      <pivotArea dataOnly="0" labelOnly="1" outline="0" fieldPosition="0">
        <references count="4">
          <reference field="11" count="1" selected="0">
            <x v="368"/>
          </reference>
          <reference field="14" count="1" selected="0">
            <x v="2"/>
          </reference>
          <reference field="18" count="1" selected="0">
            <x v="19"/>
          </reference>
          <reference field="19" count="1">
            <x v="2"/>
          </reference>
        </references>
      </pivotArea>
    </format>
    <format dxfId="5712">
      <pivotArea dataOnly="0" labelOnly="1" outline="0" fieldPosition="0">
        <references count="4">
          <reference field="11" count="1" selected="0">
            <x v="369"/>
          </reference>
          <reference field="14" count="1" selected="0">
            <x v="147"/>
          </reference>
          <reference field="18" count="1" selected="0">
            <x v="12"/>
          </reference>
          <reference field="19" count="1">
            <x v="13"/>
          </reference>
        </references>
      </pivotArea>
    </format>
    <format dxfId="5711">
      <pivotArea dataOnly="0" labelOnly="1" outline="0" fieldPosition="0">
        <references count="4">
          <reference field="11" count="1" selected="0">
            <x v="369"/>
          </reference>
          <reference field="14" count="1" selected="0">
            <x v="147"/>
          </reference>
          <reference field="18" count="1" selected="0">
            <x v="14"/>
          </reference>
          <reference field="19" count="1">
            <x v="9"/>
          </reference>
        </references>
      </pivotArea>
    </format>
    <format dxfId="5710">
      <pivotArea dataOnly="0" labelOnly="1" outline="0" fieldPosition="0">
        <references count="4">
          <reference field="11" count="1" selected="0">
            <x v="370"/>
          </reference>
          <reference field="14" count="1" selected="0">
            <x v="112"/>
          </reference>
          <reference field="18" count="1" selected="0">
            <x v="19"/>
          </reference>
          <reference field="19" count="1">
            <x v="2"/>
          </reference>
        </references>
      </pivotArea>
    </format>
    <format dxfId="5709">
      <pivotArea dataOnly="0" labelOnly="1" outline="0" fieldPosition="0">
        <references count="4">
          <reference field="11" count="1" selected="0">
            <x v="371"/>
          </reference>
          <reference field="14" count="1" selected="0">
            <x v="81"/>
          </reference>
          <reference field="18" count="1" selected="0">
            <x v="1"/>
          </reference>
          <reference field="19" count="1">
            <x v="18"/>
          </reference>
        </references>
      </pivotArea>
    </format>
    <format dxfId="5708">
      <pivotArea dataOnly="0" labelOnly="1" outline="0" fieldPosition="0">
        <references count="4">
          <reference field="11" count="1" selected="0">
            <x v="372"/>
          </reference>
          <reference field="14" count="1" selected="0">
            <x v="82"/>
          </reference>
          <reference field="18" count="1" selected="0">
            <x v="1"/>
          </reference>
          <reference field="19" count="1">
            <x v="18"/>
          </reference>
        </references>
      </pivotArea>
    </format>
    <format dxfId="5707">
      <pivotArea dataOnly="0" labelOnly="1" outline="0" fieldPosition="0">
        <references count="4">
          <reference field="11" count="1" selected="0">
            <x v="373"/>
          </reference>
          <reference field="14" count="1" selected="0">
            <x v="85"/>
          </reference>
          <reference field="18" count="1" selected="0">
            <x v="1"/>
          </reference>
          <reference field="19" count="1">
            <x v="18"/>
          </reference>
        </references>
      </pivotArea>
    </format>
    <format dxfId="5706">
      <pivotArea dataOnly="0" labelOnly="1" outline="0" fieldPosition="0">
        <references count="4">
          <reference field="11" count="1" selected="0">
            <x v="374"/>
          </reference>
          <reference field="14" count="1" selected="0">
            <x v="89"/>
          </reference>
          <reference field="18" count="1" selected="0">
            <x v="1"/>
          </reference>
          <reference field="19" count="1">
            <x v="18"/>
          </reference>
        </references>
      </pivotArea>
    </format>
    <format dxfId="5705">
      <pivotArea dataOnly="0" labelOnly="1" outline="0" fieldPosition="0">
        <references count="4">
          <reference field="11" count="1" selected="0">
            <x v="375"/>
          </reference>
          <reference field="14" count="1" selected="0">
            <x v="88"/>
          </reference>
          <reference field="18" count="1" selected="0">
            <x v="1"/>
          </reference>
          <reference field="19" count="1">
            <x v="18"/>
          </reference>
        </references>
      </pivotArea>
    </format>
    <format dxfId="5704">
      <pivotArea dataOnly="0" labelOnly="1" outline="0" fieldPosition="0">
        <references count="4">
          <reference field="11" count="1" selected="0">
            <x v="376"/>
          </reference>
          <reference field="14" count="1" selected="0">
            <x v="87"/>
          </reference>
          <reference field="18" count="1" selected="0">
            <x v="1"/>
          </reference>
          <reference field="19" count="1">
            <x v="18"/>
          </reference>
        </references>
      </pivotArea>
    </format>
    <format dxfId="5703">
      <pivotArea dataOnly="0" labelOnly="1" outline="0" fieldPosition="0">
        <references count="4">
          <reference field="11" count="1" selected="0">
            <x v="377"/>
          </reference>
          <reference field="14" count="1" selected="0">
            <x v="79"/>
          </reference>
          <reference field="18" count="1" selected="0">
            <x v="1"/>
          </reference>
          <reference field="19" count="1">
            <x v="18"/>
          </reference>
        </references>
      </pivotArea>
    </format>
    <format dxfId="5702">
      <pivotArea dataOnly="0" labelOnly="1" outline="0" fieldPosition="0">
        <references count="4">
          <reference field="11" count="1" selected="0">
            <x v="378"/>
          </reference>
          <reference field="14" count="1" selected="0">
            <x v="92"/>
          </reference>
          <reference field="18" count="1" selected="0">
            <x v="1"/>
          </reference>
          <reference field="19" count="1">
            <x v="18"/>
          </reference>
        </references>
      </pivotArea>
    </format>
    <format dxfId="5701">
      <pivotArea dataOnly="0" labelOnly="1" outline="0" fieldPosition="0">
        <references count="4">
          <reference field="11" count="1" selected="0">
            <x v="379"/>
          </reference>
          <reference field="14" count="1" selected="0">
            <x v="145"/>
          </reference>
          <reference field="18" count="1" selected="0">
            <x v="7"/>
          </reference>
          <reference field="19" count="1">
            <x v="4"/>
          </reference>
        </references>
      </pivotArea>
    </format>
    <format dxfId="5700">
      <pivotArea dataOnly="0" labelOnly="1" outline="0" fieldPosition="0">
        <references count="4">
          <reference field="11" count="1" selected="0">
            <x v="379"/>
          </reference>
          <reference field="14" count="1" selected="0">
            <x v="145"/>
          </reference>
          <reference field="18" count="1" selected="0">
            <x v="12"/>
          </reference>
          <reference field="19" count="1">
            <x v="13"/>
          </reference>
        </references>
      </pivotArea>
    </format>
    <format dxfId="5699">
      <pivotArea dataOnly="0" labelOnly="1" outline="0" fieldPosition="0">
        <references count="4">
          <reference field="11" count="1" selected="0">
            <x v="380"/>
          </reference>
          <reference field="14" count="1" selected="0">
            <x v="334"/>
          </reference>
          <reference field="18" count="1" selected="0">
            <x v="1"/>
          </reference>
          <reference field="19" count="1">
            <x v="18"/>
          </reference>
        </references>
      </pivotArea>
    </format>
    <format dxfId="5698">
      <pivotArea dataOnly="0" labelOnly="1" outline="0" fieldPosition="0">
        <references count="4">
          <reference field="11" count="1" selected="0">
            <x v="381"/>
          </reference>
          <reference field="14" count="1" selected="0">
            <x v="399"/>
          </reference>
          <reference field="18" count="1" selected="0">
            <x v="0"/>
          </reference>
          <reference field="19" count="1">
            <x v="16"/>
          </reference>
        </references>
      </pivotArea>
    </format>
    <format dxfId="5697">
      <pivotArea dataOnly="0" labelOnly="1" outline="0" fieldPosition="0">
        <references count="4">
          <reference field="11" count="1" selected="0">
            <x v="381"/>
          </reference>
          <reference field="14" count="1" selected="0">
            <x v="399"/>
          </reference>
          <reference field="18" count="1" selected="0">
            <x v="4"/>
          </reference>
          <reference field="19" count="1">
            <x v="10"/>
          </reference>
        </references>
      </pivotArea>
    </format>
    <format dxfId="5696">
      <pivotArea dataOnly="0" labelOnly="1" outline="0" fieldPosition="0">
        <references count="4">
          <reference field="11" count="1" selected="0">
            <x v="382"/>
          </reference>
          <reference field="14" count="1" selected="0">
            <x v="400"/>
          </reference>
          <reference field="18" count="1" selected="0">
            <x v="25"/>
          </reference>
          <reference field="19" count="1">
            <x v="14"/>
          </reference>
        </references>
      </pivotArea>
    </format>
    <format dxfId="5695">
      <pivotArea dataOnly="0" labelOnly="1" outline="0" fieldPosition="0">
        <references count="4">
          <reference field="11" count="1" selected="0">
            <x v="383"/>
          </reference>
          <reference field="14" count="1" selected="0">
            <x v="364"/>
          </reference>
          <reference field="18" count="1" selected="0">
            <x v="18"/>
          </reference>
          <reference field="19" count="1">
            <x v="26"/>
          </reference>
        </references>
      </pivotArea>
    </format>
    <format dxfId="5694">
      <pivotArea dataOnly="0" labelOnly="1" outline="0" fieldPosition="0">
        <references count="4">
          <reference field="11" count="1" selected="0">
            <x v="384"/>
          </reference>
          <reference field="14" count="1" selected="0">
            <x v="211"/>
          </reference>
          <reference field="18" count="1" selected="0">
            <x v="0"/>
          </reference>
          <reference field="19" count="1">
            <x v="16"/>
          </reference>
        </references>
      </pivotArea>
    </format>
    <format dxfId="5693">
      <pivotArea dataOnly="0" labelOnly="1" outline="0" fieldPosition="0">
        <references count="4">
          <reference field="11" count="1" selected="0">
            <x v="385"/>
          </reference>
          <reference field="14" count="1" selected="0">
            <x v="7"/>
          </reference>
          <reference field="18" count="1" selected="0">
            <x v="12"/>
          </reference>
          <reference field="19" count="1">
            <x v="13"/>
          </reference>
        </references>
      </pivotArea>
    </format>
    <format dxfId="5692">
      <pivotArea dataOnly="0" labelOnly="1" outline="0" fieldPosition="0">
        <references count="4">
          <reference field="11" count="1" selected="0">
            <x v="385"/>
          </reference>
          <reference field="14" count="1" selected="0">
            <x v="7"/>
          </reference>
          <reference field="18" count="1" selected="0">
            <x v="14"/>
          </reference>
          <reference field="19" count="1">
            <x v="9"/>
          </reference>
        </references>
      </pivotArea>
    </format>
    <format dxfId="5691">
      <pivotArea dataOnly="0" labelOnly="1" outline="0" fieldPosition="0">
        <references count="4">
          <reference field="11" count="1" selected="0">
            <x v="386"/>
          </reference>
          <reference field="14" count="1" selected="0">
            <x v="297"/>
          </reference>
          <reference field="18" count="1" selected="0">
            <x v="6"/>
          </reference>
          <reference field="19" count="1">
            <x v="23"/>
          </reference>
        </references>
      </pivotArea>
    </format>
    <format dxfId="5690">
      <pivotArea dataOnly="0" labelOnly="1" outline="0" fieldPosition="0">
        <references count="4">
          <reference field="11" count="1" selected="0">
            <x v="387"/>
          </reference>
          <reference field="14" count="1" selected="0">
            <x v="408"/>
          </reference>
          <reference field="18" count="1" selected="0">
            <x v="0"/>
          </reference>
          <reference field="19" count="1">
            <x v="16"/>
          </reference>
        </references>
      </pivotArea>
    </format>
    <format dxfId="5689">
      <pivotArea dataOnly="0" labelOnly="1" outline="0" fieldPosition="0">
        <references count="4">
          <reference field="11" count="1" selected="0">
            <x v="388"/>
          </reference>
          <reference field="14" count="1" selected="0">
            <x v="190"/>
          </reference>
          <reference field="18" count="1" selected="0">
            <x v="0"/>
          </reference>
          <reference field="19" count="1">
            <x v="16"/>
          </reference>
        </references>
      </pivotArea>
    </format>
    <format dxfId="5688">
      <pivotArea dataOnly="0" labelOnly="1" outline="0" fieldPosition="0">
        <references count="4">
          <reference field="11" count="1" selected="0">
            <x v="389"/>
          </reference>
          <reference field="14" count="1" selected="0">
            <x v="140"/>
          </reference>
          <reference field="18" count="1" selected="0">
            <x v="22"/>
          </reference>
          <reference field="19" count="1">
            <x v="11"/>
          </reference>
        </references>
      </pivotArea>
    </format>
    <format dxfId="5687">
      <pivotArea dataOnly="0" labelOnly="1" outline="0" fieldPosition="0">
        <references count="4">
          <reference field="11" count="1" selected="0">
            <x v="390"/>
          </reference>
          <reference field="14" count="1" selected="0">
            <x v="445"/>
          </reference>
          <reference field="18" count="1" selected="0">
            <x v="19"/>
          </reference>
          <reference field="19" count="1">
            <x v="2"/>
          </reference>
        </references>
      </pivotArea>
    </format>
    <format dxfId="5686">
      <pivotArea dataOnly="0" labelOnly="1" outline="0" fieldPosition="0">
        <references count="4">
          <reference field="11" count="1" selected="0">
            <x v="391"/>
          </reference>
          <reference field="14" count="1" selected="0">
            <x v="422"/>
          </reference>
          <reference field="18" count="1" selected="0">
            <x v="19"/>
          </reference>
          <reference field="19" count="1">
            <x v="2"/>
          </reference>
        </references>
      </pivotArea>
    </format>
    <format dxfId="5685">
      <pivotArea dataOnly="0" labelOnly="1" outline="0" fieldPosition="0">
        <references count="4">
          <reference field="11" count="1" selected="0">
            <x v="392"/>
          </reference>
          <reference field="14" count="1" selected="0">
            <x v="198"/>
          </reference>
          <reference field="18" count="1" selected="0">
            <x v="4"/>
          </reference>
          <reference field="19" count="1">
            <x v="10"/>
          </reference>
        </references>
      </pivotArea>
    </format>
    <format dxfId="5684">
      <pivotArea dataOnly="0" labelOnly="1" outline="0" fieldPosition="0">
        <references count="4">
          <reference field="11" count="1" selected="0">
            <x v="393"/>
          </reference>
          <reference field="14" count="1" selected="0">
            <x v="205"/>
          </reference>
          <reference field="18" count="1" selected="0">
            <x v="19"/>
          </reference>
          <reference field="19" count="1">
            <x v="2"/>
          </reference>
        </references>
      </pivotArea>
    </format>
    <format dxfId="5683">
      <pivotArea dataOnly="0" labelOnly="1" outline="0" fieldPosition="0">
        <references count="4">
          <reference field="11" count="1" selected="0">
            <x v="394"/>
          </reference>
          <reference field="14" count="1" selected="0">
            <x v="53"/>
          </reference>
          <reference field="18" count="1" selected="0">
            <x v="12"/>
          </reference>
          <reference field="19" count="1">
            <x v="13"/>
          </reference>
        </references>
      </pivotArea>
    </format>
    <format dxfId="5682">
      <pivotArea dataOnly="0" labelOnly="1" outline="0" fieldPosition="0">
        <references count="4">
          <reference field="11" count="1" selected="0">
            <x v="394"/>
          </reference>
          <reference field="14" count="1" selected="0">
            <x v="53"/>
          </reference>
          <reference field="18" count="1" selected="0">
            <x v="14"/>
          </reference>
          <reference field="19" count="1">
            <x v="9"/>
          </reference>
        </references>
      </pivotArea>
    </format>
    <format dxfId="5681">
      <pivotArea dataOnly="0" labelOnly="1" outline="0" fieldPosition="0">
        <references count="4">
          <reference field="11" count="1" selected="0">
            <x v="395"/>
          </reference>
          <reference field="14" count="1" selected="0">
            <x v="245"/>
          </reference>
          <reference field="18" count="1" selected="0">
            <x v="14"/>
          </reference>
          <reference field="19" count="1">
            <x v="9"/>
          </reference>
        </references>
      </pivotArea>
    </format>
    <format dxfId="5680">
      <pivotArea dataOnly="0" labelOnly="1" outline="0" fieldPosition="0">
        <references count="4">
          <reference field="11" count="1" selected="0">
            <x v="396"/>
          </reference>
          <reference field="14" count="1" selected="0">
            <x v="169"/>
          </reference>
          <reference field="18" count="1" selected="0">
            <x v="14"/>
          </reference>
          <reference field="19" count="1">
            <x v="9"/>
          </reference>
        </references>
      </pivotArea>
    </format>
    <format dxfId="5679">
      <pivotArea dataOnly="0" labelOnly="1" outline="0" fieldPosition="0">
        <references count="4">
          <reference field="11" count="1" selected="0">
            <x v="397"/>
          </reference>
          <reference field="14" count="1" selected="0">
            <x v="167"/>
          </reference>
          <reference field="18" count="1" selected="0">
            <x v="0"/>
          </reference>
          <reference field="19" count="1">
            <x v="16"/>
          </reference>
        </references>
      </pivotArea>
    </format>
    <format dxfId="5678">
      <pivotArea dataOnly="0" labelOnly="1" outline="0" fieldPosition="0">
        <references count="4">
          <reference field="11" count="1" selected="0">
            <x v="398"/>
          </reference>
          <reference field="14" count="1" selected="0">
            <x v="360"/>
          </reference>
          <reference field="18" count="1" selected="0">
            <x v="1"/>
          </reference>
          <reference field="19" count="1">
            <x v="18"/>
          </reference>
        </references>
      </pivotArea>
    </format>
    <format dxfId="5677">
      <pivotArea dataOnly="0" labelOnly="1" outline="0" fieldPosition="0">
        <references count="4">
          <reference field="11" count="1" selected="0">
            <x v="399"/>
          </reference>
          <reference field="14" count="1" selected="0">
            <x v="95"/>
          </reference>
          <reference field="18" count="1" selected="0">
            <x v="0"/>
          </reference>
          <reference field="19" count="1">
            <x v="16"/>
          </reference>
        </references>
      </pivotArea>
    </format>
    <format dxfId="5676">
      <pivotArea dataOnly="0" labelOnly="1" outline="0" fieldPosition="0">
        <references count="4">
          <reference field="11" count="1" selected="0">
            <x v="400"/>
          </reference>
          <reference field="14" count="1" selected="0">
            <x v="260"/>
          </reference>
          <reference field="18" count="1" selected="0">
            <x v="0"/>
          </reference>
          <reference field="19" count="1">
            <x v="16"/>
          </reference>
        </references>
      </pivotArea>
    </format>
    <format dxfId="5675">
      <pivotArea dataOnly="0" labelOnly="1" outline="0" fieldPosition="0">
        <references count="4">
          <reference field="11" count="1" selected="0">
            <x v="401"/>
          </reference>
          <reference field="14" count="1" selected="0">
            <x v="75"/>
          </reference>
          <reference field="18" count="1" selected="0">
            <x v="19"/>
          </reference>
          <reference field="19" count="1">
            <x v="2"/>
          </reference>
        </references>
      </pivotArea>
    </format>
    <format dxfId="5674">
      <pivotArea dataOnly="0" labelOnly="1" outline="0" fieldPosition="0">
        <references count="4">
          <reference field="11" count="1" selected="0">
            <x v="402"/>
          </reference>
          <reference field="14" count="1" selected="0">
            <x v="322"/>
          </reference>
          <reference field="18" count="1" selected="0">
            <x v="3"/>
          </reference>
          <reference field="19" count="1">
            <x v="15"/>
          </reference>
        </references>
      </pivotArea>
    </format>
    <format dxfId="5673">
      <pivotArea dataOnly="0" labelOnly="1" outline="0" fieldPosition="0">
        <references count="4">
          <reference field="11" count="1" selected="0">
            <x v="403"/>
          </reference>
          <reference field="14" count="1" selected="0">
            <x v="146"/>
          </reference>
          <reference field="18" count="1" selected="0">
            <x v="27"/>
          </reference>
          <reference field="19" count="1">
            <x v="17"/>
          </reference>
        </references>
      </pivotArea>
    </format>
    <format dxfId="5672">
      <pivotArea dataOnly="0" labelOnly="1" outline="0" fieldPosition="0">
        <references count="4">
          <reference field="11" count="1" selected="0">
            <x v="404"/>
          </reference>
          <reference field="14" count="1" selected="0">
            <x v="443"/>
          </reference>
          <reference field="18" count="1" selected="0">
            <x v="11"/>
          </reference>
          <reference field="19" count="1">
            <x v="20"/>
          </reference>
        </references>
      </pivotArea>
    </format>
    <format dxfId="5671">
      <pivotArea dataOnly="0" labelOnly="1" outline="0" fieldPosition="0">
        <references count="4">
          <reference field="11" count="1" selected="0">
            <x v="404"/>
          </reference>
          <reference field="14" count="1" selected="0">
            <x v="443"/>
          </reference>
          <reference field="18" count="1" selected="0">
            <x v="19"/>
          </reference>
          <reference field="19" count="1">
            <x v="2"/>
          </reference>
        </references>
      </pivotArea>
    </format>
    <format dxfId="5670">
      <pivotArea dataOnly="0" labelOnly="1" outline="0" fieldPosition="0">
        <references count="4">
          <reference field="11" count="1" selected="0">
            <x v="405"/>
          </reference>
          <reference field="14" count="1" selected="0">
            <x v="359"/>
          </reference>
          <reference field="18" count="1" selected="0">
            <x v="27"/>
          </reference>
          <reference field="19" count="1">
            <x v="17"/>
          </reference>
        </references>
      </pivotArea>
    </format>
    <format dxfId="5669">
      <pivotArea dataOnly="0" labelOnly="1" outline="0" fieldPosition="0">
        <references count="4">
          <reference field="11" count="1" selected="0">
            <x v="406"/>
          </reference>
          <reference field="14" count="1" selected="0">
            <x v="381"/>
          </reference>
          <reference field="18" count="1" selected="0">
            <x v="0"/>
          </reference>
          <reference field="19" count="1">
            <x v="16"/>
          </reference>
        </references>
      </pivotArea>
    </format>
    <format dxfId="5668">
      <pivotArea dataOnly="0" labelOnly="1" outline="0" fieldPosition="0">
        <references count="4">
          <reference field="11" count="1" selected="0">
            <x v="407"/>
          </reference>
          <reference field="14" count="1" selected="0">
            <x v="65"/>
          </reference>
          <reference field="18" count="1" selected="0">
            <x v="6"/>
          </reference>
          <reference field="19" count="1">
            <x v="23"/>
          </reference>
        </references>
      </pivotArea>
    </format>
    <format dxfId="5667">
      <pivotArea dataOnly="0" labelOnly="1" outline="0" fieldPosition="0">
        <references count="4">
          <reference field="11" count="1" selected="0">
            <x v="408"/>
          </reference>
          <reference field="14" count="1" selected="0">
            <x v="20"/>
          </reference>
          <reference field="18" count="1" selected="0">
            <x v="3"/>
          </reference>
          <reference field="19" count="1">
            <x v="15"/>
          </reference>
        </references>
      </pivotArea>
    </format>
    <format dxfId="5666">
      <pivotArea dataOnly="0" labelOnly="1" outline="0" fieldPosition="0">
        <references count="4">
          <reference field="11" count="1" selected="0">
            <x v="409"/>
          </reference>
          <reference field="14" count="1" selected="0">
            <x v="175"/>
          </reference>
          <reference field="18" count="1" selected="0">
            <x v="3"/>
          </reference>
          <reference field="19" count="1">
            <x v="15"/>
          </reference>
        </references>
      </pivotArea>
    </format>
    <format dxfId="5665">
      <pivotArea dataOnly="0" labelOnly="1" outline="0" fieldPosition="0">
        <references count="4">
          <reference field="11" count="1" selected="0">
            <x v="410"/>
          </reference>
          <reference field="14" count="1" selected="0">
            <x v="366"/>
          </reference>
          <reference field="18" count="1" selected="0">
            <x v="3"/>
          </reference>
          <reference field="19" count="1">
            <x v="15"/>
          </reference>
        </references>
      </pivotArea>
    </format>
    <format dxfId="5664">
      <pivotArea dataOnly="0" labelOnly="1" outline="0" fieldPosition="0">
        <references count="4">
          <reference field="11" count="1" selected="0">
            <x v="411"/>
          </reference>
          <reference field="14" count="1" selected="0">
            <x v="204"/>
          </reference>
          <reference field="18" count="1" selected="0">
            <x v="7"/>
          </reference>
          <reference field="19" count="1">
            <x v="4"/>
          </reference>
        </references>
      </pivotArea>
    </format>
    <format dxfId="5663">
      <pivotArea dataOnly="0" labelOnly="1" outline="0" fieldPosition="0">
        <references count="4">
          <reference field="11" count="1" selected="0">
            <x v="412"/>
          </reference>
          <reference field="14" count="1" selected="0">
            <x v="441"/>
          </reference>
          <reference field="18" count="1" selected="0">
            <x v="19"/>
          </reference>
          <reference field="19" count="1">
            <x v="2"/>
          </reference>
        </references>
      </pivotArea>
    </format>
    <format dxfId="5662">
      <pivotArea dataOnly="0" labelOnly="1" outline="0" fieldPosition="0">
        <references count="4">
          <reference field="11" count="1" selected="0">
            <x v="413"/>
          </reference>
          <reference field="14" count="1" selected="0">
            <x v="73"/>
          </reference>
          <reference field="18" count="1" selected="0">
            <x v="22"/>
          </reference>
          <reference field="19" count="1">
            <x v="11"/>
          </reference>
        </references>
      </pivotArea>
    </format>
    <format dxfId="5661">
      <pivotArea dataOnly="0" labelOnly="1" outline="0" fieldPosition="0">
        <references count="4">
          <reference field="11" count="1" selected="0">
            <x v="414"/>
          </reference>
          <reference field="14" count="1" selected="0">
            <x v="125"/>
          </reference>
          <reference field="18" count="1" selected="0">
            <x v="14"/>
          </reference>
          <reference field="19" count="1">
            <x v="9"/>
          </reference>
        </references>
      </pivotArea>
    </format>
    <format dxfId="5660">
      <pivotArea dataOnly="0" labelOnly="1" outline="0" fieldPosition="0">
        <references count="4">
          <reference field="11" count="1" selected="0">
            <x v="415"/>
          </reference>
          <reference field="14" count="1" selected="0">
            <x v="324"/>
          </reference>
          <reference field="18" count="1" selected="0">
            <x v="0"/>
          </reference>
          <reference field="19" count="1">
            <x v="16"/>
          </reference>
        </references>
      </pivotArea>
    </format>
    <format dxfId="5659">
      <pivotArea dataOnly="0" labelOnly="1" outline="0" fieldPosition="0">
        <references count="4">
          <reference field="11" count="1" selected="0">
            <x v="416"/>
          </reference>
          <reference field="14" count="1" selected="0">
            <x v="108"/>
          </reference>
          <reference field="18" count="1" selected="0">
            <x v="0"/>
          </reference>
          <reference field="19" count="1">
            <x v="16"/>
          </reference>
        </references>
      </pivotArea>
    </format>
    <format dxfId="5658">
      <pivotArea dataOnly="0" labelOnly="1" outline="0" fieldPosition="0">
        <references count="4">
          <reference field="11" count="1" selected="0">
            <x v="417"/>
          </reference>
          <reference field="14" count="1" selected="0">
            <x v="109"/>
          </reference>
          <reference field="18" count="1" selected="0">
            <x v="1"/>
          </reference>
          <reference field="19" count="1">
            <x v="18"/>
          </reference>
        </references>
      </pivotArea>
    </format>
    <format dxfId="5657">
      <pivotArea dataOnly="0" labelOnly="1" outline="0" fieldPosition="0">
        <references count="4">
          <reference field="11" count="1" selected="0">
            <x v="418"/>
          </reference>
          <reference field="14" count="1" selected="0">
            <x v="110"/>
          </reference>
          <reference field="18" count="1" selected="0">
            <x v="3"/>
          </reference>
          <reference field="19" count="1">
            <x v="15"/>
          </reference>
        </references>
      </pivotArea>
    </format>
    <format dxfId="5656">
      <pivotArea dataOnly="0" labelOnly="1" outline="0" fieldPosition="0">
        <references count="4">
          <reference field="11" count="1" selected="0">
            <x v="418"/>
          </reference>
          <reference field="14" count="1" selected="0">
            <x v="110"/>
          </reference>
          <reference field="18" count="1" selected="0">
            <x v="9"/>
          </reference>
          <reference field="19" count="1">
            <x v="6"/>
          </reference>
        </references>
      </pivotArea>
    </format>
    <format dxfId="5655">
      <pivotArea dataOnly="0" labelOnly="1" outline="0" fieldPosition="0">
        <references count="4">
          <reference field="11" count="1" selected="0">
            <x v="419"/>
          </reference>
          <reference field="14" count="1" selected="0">
            <x v="107"/>
          </reference>
          <reference field="18" count="1" selected="0">
            <x v="0"/>
          </reference>
          <reference field="19" count="1">
            <x v="16"/>
          </reference>
        </references>
      </pivotArea>
    </format>
    <format dxfId="5654">
      <pivotArea dataOnly="0" labelOnly="1" outline="0" fieldPosition="0">
        <references count="4">
          <reference field="11" count="1" selected="0">
            <x v="420"/>
          </reference>
          <reference field="14" count="1" selected="0">
            <x v="45"/>
          </reference>
          <reference field="18" count="1" selected="0">
            <x v="0"/>
          </reference>
          <reference field="19" count="1">
            <x v="16"/>
          </reference>
        </references>
      </pivotArea>
    </format>
    <format dxfId="5653">
      <pivotArea dataOnly="0" labelOnly="1" outline="0" fieldPosition="0">
        <references count="4">
          <reference field="11" count="1" selected="0">
            <x v="421"/>
          </reference>
          <reference field="14" count="1" selected="0">
            <x v="287"/>
          </reference>
          <reference field="18" count="1" selected="0">
            <x v="0"/>
          </reference>
          <reference field="19" count="1">
            <x v="16"/>
          </reference>
        </references>
      </pivotArea>
    </format>
    <format dxfId="5652">
      <pivotArea dataOnly="0" labelOnly="1" outline="0" fieldPosition="0">
        <references count="4">
          <reference field="11" count="1" selected="0">
            <x v="422"/>
          </reference>
          <reference field="14" count="1" selected="0">
            <x v="363"/>
          </reference>
          <reference field="18" count="1" selected="0">
            <x v="16"/>
          </reference>
          <reference field="19" count="1">
            <x v="24"/>
          </reference>
        </references>
      </pivotArea>
    </format>
    <format dxfId="5651">
      <pivotArea dataOnly="0" labelOnly="1" outline="0" fieldPosition="0">
        <references count="4">
          <reference field="11" count="1" selected="0">
            <x v="422"/>
          </reference>
          <reference field="14" count="1" selected="0">
            <x v="363"/>
          </reference>
          <reference field="18" count="1" selected="0">
            <x v="18"/>
          </reference>
          <reference field="19" count="1">
            <x v="26"/>
          </reference>
        </references>
      </pivotArea>
    </format>
    <format dxfId="5650">
      <pivotArea dataOnly="0" labelOnly="1" outline="0" fieldPosition="0">
        <references count="4">
          <reference field="11" count="1" selected="0">
            <x v="423"/>
          </reference>
          <reference field="14" count="1" selected="0">
            <x v="259"/>
          </reference>
          <reference field="18" count="1" selected="0">
            <x v="12"/>
          </reference>
          <reference field="19" count="1">
            <x v="13"/>
          </reference>
        </references>
      </pivotArea>
    </format>
    <format dxfId="5649">
      <pivotArea dataOnly="0" labelOnly="1" outline="0" fieldPosition="0">
        <references count="4">
          <reference field="11" count="1" selected="0">
            <x v="424"/>
          </reference>
          <reference field="14" count="1" selected="0">
            <x v="408"/>
          </reference>
          <reference field="18" count="1" selected="0">
            <x v="0"/>
          </reference>
          <reference field="19" count="1">
            <x v="16"/>
          </reference>
        </references>
      </pivotArea>
    </format>
    <format dxfId="5648">
      <pivotArea dataOnly="0" labelOnly="1" outline="0" fieldPosition="0">
        <references count="4">
          <reference field="11" count="1" selected="0">
            <x v="425"/>
          </reference>
          <reference field="14" count="1" selected="0">
            <x v="289"/>
          </reference>
          <reference field="18" count="1" selected="0">
            <x v="14"/>
          </reference>
          <reference field="19" count="1">
            <x v="9"/>
          </reference>
        </references>
      </pivotArea>
    </format>
    <format dxfId="5647">
      <pivotArea dataOnly="0" labelOnly="1" outline="0" fieldPosition="0">
        <references count="4">
          <reference field="11" count="1" selected="0">
            <x v="426"/>
          </reference>
          <reference field="14" count="1" selected="0">
            <x v="401"/>
          </reference>
          <reference field="18" count="1" selected="0">
            <x v="0"/>
          </reference>
          <reference field="19" count="1">
            <x v="16"/>
          </reference>
        </references>
      </pivotArea>
    </format>
    <format dxfId="5646">
      <pivotArea dataOnly="0" labelOnly="1" outline="0" fieldPosition="0">
        <references count="4">
          <reference field="11" count="1" selected="0">
            <x v="427"/>
          </reference>
          <reference field="14" count="1" selected="0">
            <x v="407"/>
          </reference>
          <reference field="18" count="1" selected="0">
            <x v="0"/>
          </reference>
          <reference field="19" count="1">
            <x v="16"/>
          </reference>
        </references>
      </pivotArea>
    </format>
    <format dxfId="5645">
      <pivotArea dataOnly="0" labelOnly="1" outline="0" fieldPosition="0">
        <references count="4">
          <reference field="11" count="1" selected="0">
            <x v="428"/>
          </reference>
          <reference field="14" count="1" selected="0">
            <x v="412"/>
          </reference>
          <reference field="18" count="1" selected="0">
            <x v="0"/>
          </reference>
          <reference field="19" count="1">
            <x v="16"/>
          </reference>
        </references>
      </pivotArea>
    </format>
    <format dxfId="5644">
      <pivotArea dataOnly="0" labelOnly="1" outline="0" fieldPosition="0">
        <references count="4">
          <reference field="11" count="1" selected="0">
            <x v="429"/>
          </reference>
          <reference field="14" count="1" selected="0">
            <x v="421"/>
          </reference>
          <reference field="18" count="1" selected="0">
            <x v="19"/>
          </reference>
          <reference field="19" count="1">
            <x v="2"/>
          </reference>
        </references>
      </pivotArea>
    </format>
    <format dxfId="5643">
      <pivotArea dataOnly="0" labelOnly="1" outline="0" fieldPosition="0">
        <references count="4">
          <reference field="11" count="1" selected="0">
            <x v="430"/>
          </reference>
          <reference field="14" count="1" selected="0">
            <x v="444"/>
          </reference>
          <reference field="18" count="1" selected="0">
            <x v="19"/>
          </reference>
          <reference field="19" count="1">
            <x v="2"/>
          </reference>
        </references>
      </pivotArea>
    </format>
    <format dxfId="5642">
      <pivotArea dataOnly="0" labelOnly="1" outline="0" fieldPosition="0">
        <references count="4">
          <reference field="11" count="1" selected="0">
            <x v="431"/>
          </reference>
          <reference field="14" count="1" selected="0">
            <x v="191"/>
          </reference>
          <reference field="18" count="1" selected="0">
            <x v="3"/>
          </reference>
          <reference field="19" count="1">
            <x v="15"/>
          </reference>
        </references>
      </pivotArea>
    </format>
    <format dxfId="5641">
      <pivotArea dataOnly="0" labelOnly="1" outline="0" fieldPosition="0">
        <references count="4">
          <reference field="11" count="1" selected="0">
            <x v="432"/>
          </reference>
          <reference field="14" count="1" selected="0">
            <x v="119"/>
          </reference>
          <reference field="18" count="1" selected="0">
            <x v="12"/>
          </reference>
          <reference field="19" count="1">
            <x v="13"/>
          </reference>
        </references>
      </pivotArea>
    </format>
    <format dxfId="5640">
      <pivotArea dataOnly="0" labelOnly="1" outline="0" fieldPosition="0">
        <references count="4">
          <reference field="11" count="1" selected="0">
            <x v="432"/>
          </reference>
          <reference field="14" count="1" selected="0">
            <x v="119"/>
          </reference>
          <reference field="18" count="1" selected="0">
            <x v="14"/>
          </reference>
          <reference field="19" count="1">
            <x v="9"/>
          </reference>
        </references>
      </pivotArea>
    </format>
    <format dxfId="5639">
      <pivotArea dataOnly="0" labelOnly="1" outline="0" fieldPosition="0">
        <references count="4">
          <reference field="11" count="1" selected="0">
            <x v="433"/>
          </reference>
          <reference field="14" count="1" selected="0">
            <x v="80"/>
          </reference>
          <reference field="18" count="1" selected="0">
            <x v="27"/>
          </reference>
          <reference field="19" count="1">
            <x v="17"/>
          </reference>
        </references>
      </pivotArea>
    </format>
    <format dxfId="5638">
      <pivotArea dataOnly="0" labelOnly="1" outline="0" fieldPosition="0">
        <references count="4">
          <reference field="11" count="1" selected="0">
            <x v="434"/>
          </reference>
          <reference field="14" count="1" selected="0">
            <x v="84"/>
          </reference>
          <reference field="18" count="1" selected="0">
            <x v="0"/>
          </reference>
          <reference field="19" count="1">
            <x v="16"/>
          </reference>
        </references>
      </pivotArea>
    </format>
    <format dxfId="5637">
      <pivotArea dataOnly="0" labelOnly="1" outline="0" fieldPosition="0">
        <references count="4">
          <reference field="11" count="1" selected="0">
            <x v="434"/>
          </reference>
          <reference field="14" count="1" selected="0">
            <x v="84"/>
          </reference>
          <reference field="18" count="1" selected="0">
            <x v="27"/>
          </reference>
          <reference field="19" count="1">
            <x v="17"/>
          </reference>
        </references>
      </pivotArea>
    </format>
    <format dxfId="5636">
      <pivotArea dataOnly="0" labelOnly="1" outline="0" fieldPosition="0">
        <references count="4">
          <reference field="11" count="1" selected="0">
            <x v="435"/>
          </reference>
          <reference field="14" count="1" selected="0">
            <x v="236"/>
          </reference>
          <reference field="18" count="1" selected="0">
            <x v="27"/>
          </reference>
          <reference field="19" count="1">
            <x v="17"/>
          </reference>
        </references>
      </pivotArea>
    </format>
    <format dxfId="5635">
      <pivotArea dataOnly="0" labelOnly="1" outline="0" fieldPosition="0">
        <references count="4">
          <reference field="11" count="1" selected="0">
            <x v="436"/>
          </reference>
          <reference field="14" count="1" selected="0">
            <x v="99"/>
          </reference>
          <reference field="18" count="1" selected="0">
            <x v="1"/>
          </reference>
          <reference field="19" count="1">
            <x v="18"/>
          </reference>
        </references>
      </pivotArea>
    </format>
    <format dxfId="5634">
      <pivotArea dataOnly="0" labelOnly="1" outline="0" fieldPosition="0">
        <references count="4">
          <reference field="11" count="1" selected="0">
            <x v="437"/>
          </reference>
          <reference field="14" count="1" selected="0">
            <x v="246"/>
          </reference>
          <reference field="18" count="1" selected="0">
            <x v="14"/>
          </reference>
          <reference field="19" count="1">
            <x v="9"/>
          </reference>
        </references>
      </pivotArea>
    </format>
    <format dxfId="5633">
      <pivotArea dataOnly="0" labelOnly="1" outline="0" fieldPosition="0">
        <references count="4">
          <reference field="11" count="1" selected="0">
            <x v="438"/>
          </reference>
          <reference field="14" count="1" selected="0">
            <x v="15"/>
          </reference>
          <reference field="18" count="1" selected="0">
            <x v="8"/>
          </reference>
          <reference field="19" count="1">
            <x v="5"/>
          </reference>
        </references>
      </pivotArea>
    </format>
    <format dxfId="5632">
      <pivotArea dataOnly="0" labelOnly="1" outline="0" fieldPosition="0">
        <references count="4">
          <reference field="11" count="1" selected="0">
            <x v="438"/>
          </reference>
          <reference field="14" count="1" selected="0">
            <x v="15"/>
          </reference>
          <reference field="18" count="1" selected="0">
            <x v="14"/>
          </reference>
          <reference field="19" count="1">
            <x v="9"/>
          </reference>
        </references>
      </pivotArea>
    </format>
    <format dxfId="5631">
      <pivotArea dataOnly="0" labelOnly="1" outline="0" fieldPosition="0">
        <references count="4">
          <reference field="11" count="1" selected="0">
            <x v="439"/>
          </reference>
          <reference field="14" count="1" selected="0">
            <x v="446"/>
          </reference>
          <reference field="18" count="1" selected="0">
            <x v="19"/>
          </reference>
          <reference field="19" count="1">
            <x v="2"/>
          </reference>
        </references>
      </pivotArea>
    </format>
    <format dxfId="5630">
      <pivotArea dataOnly="0" labelOnly="1" outline="0" fieldPosition="0">
        <references count="4">
          <reference field="11" count="1" selected="0">
            <x v="440"/>
          </reference>
          <reference field="14" count="1" selected="0">
            <x v="208"/>
          </reference>
          <reference field="18" count="1" selected="0">
            <x v="27"/>
          </reference>
          <reference field="19" count="1">
            <x v="17"/>
          </reference>
        </references>
      </pivotArea>
    </format>
    <format dxfId="5629">
      <pivotArea dataOnly="0" labelOnly="1" outline="0" fieldPosition="0">
        <references count="4">
          <reference field="11" count="1" selected="0">
            <x v="441"/>
          </reference>
          <reference field="14" count="1" selected="0">
            <x v="30"/>
          </reference>
          <reference field="18" count="1" selected="0">
            <x v="27"/>
          </reference>
          <reference field="19" count="1">
            <x v="17"/>
          </reference>
        </references>
      </pivotArea>
    </format>
    <format dxfId="5628">
      <pivotArea dataOnly="0" labelOnly="1" outline="0" fieldPosition="0">
        <references count="4">
          <reference field="11" count="1" selected="0">
            <x v="442"/>
          </reference>
          <reference field="14" count="1" selected="0">
            <x v="306"/>
          </reference>
          <reference field="18" count="1" selected="0">
            <x v="27"/>
          </reference>
          <reference field="19" count="1">
            <x v="17"/>
          </reference>
        </references>
      </pivotArea>
    </format>
    <format dxfId="5627">
      <pivotArea dataOnly="0" labelOnly="1" outline="0" fieldPosition="0">
        <references count="4">
          <reference field="11" count="1" selected="0">
            <x v="443"/>
          </reference>
          <reference field="14" count="1" selected="0">
            <x v="432"/>
          </reference>
          <reference field="18" count="1" selected="0">
            <x v="19"/>
          </reference>
          <reference field="19" count="1">
            <x v="2"/>
          </reference>
        </references>
      </pivotArea>
    </format>
    <format dxfId="5626">
      <pivotArea dataOnly="0" labelOnly="1" outline="0" fieldPosition="0">
        <references count="4">
          <reference field="11" count="1" selected="0">
            <x v="444"/>
          </reference>
          <reference field="14" count="1" selected="0">
            <x v="436"/>
          </reference>
          <reference field="18" count="1" selected="0">
            <x v="19"/>
          </reference>
          <reference field="19" count="1">
            <x v="2"/>
          </reference>
        </references>
      </pivotArea>
    </format>
    <format dxfId="5625">
      <pivotArea dataOnly="0" labelOnly="1" outline="0" fieldPosition="0">
        <references count="4">
          <reference field="11" count="1" selected="0">
            <x v="445"/>
          </reference>
          <reference field="14" count="1" selected="0">
            <x v="437"/>
          </reference>
          <reference field="18" count="1" selected="0">
            <x v="19"/>
          </reference>
          <reference field="19" count="1">
            <x v="2"/>
          </reference>
        </references>
      </pivotArea>
    </format>
    <format dxfId="5624">
      <pivotArea dataOnly="0" labelOnly="1" outline="0" fieldPosition="0">
        <references count="4">
          <reference field="11" count="1" selected="0">
            <x v="446"/>
          </reference>
          <reference field="14" count="1" selected="0">
            <x v="29"/>
          </reference>
          <reference field="18" count="1" selected="0">
            <x v="19"/>
          </reference>
          <reference field="19" count="1">
            <x v="2"/>
          </reference>
        </references>
      </pivotArea>
    </format>
    <format dxfId="5623">
      <pivotArea dataOnly="0" labelOnly="1" outline="0" fieldPosition="0">
        <references count="4">
          <reference field="11" count="1" selected="0">
            <x v="447"/>
          </reference>
          <reference field="14" count="1" selected="0">
            <x v="57"/>
          </reference>
          <reference field="18" count="1" selected="0">
            <x v="27"/>
          </reference>
          <reference field="19" count="1">
            <x v="17"/>
          </reference>
        </references>
      </pivotArea>
    </format>
    <format dxfId="5622">
      <pivotArea dataOnly="0" labelOnly="1" outline="0" fieldPosition="0">
        <references count="4">
          <reference field="11" count="1" selected="0">
            <x v="448"/>
          </reference>
          <reference field="14" count="1" selected="0">
            <x v="58"/>
          </reference>
          <reference field="18" count="1" selected="0">
            <x v="27"/>
          </reference>
          <reference field="19" count="1">
            <x v="17"/>
          </reference>
        </references>
      </pivotArea>
    </format>
    <format dxfId="5621">
      <pivotArea dataOnly="0" labelOnly="1" outline="0" fieldPosition="0">
        <references count="4">
          <reference field="11" count="1" selected="0">
            <x v="449"/>
          </reference>
          <reference field="14" count="1" selected="0">
            <x v="10"/>
          </reference>
          <reference field="18" count="1" selected="0">
            <x v="24"/>
          </reference>
          <reference field="19" count="1">
            <x v="7"/>
          </reference>
        </references>
      </pivotArea>
    </format>
    <format dxfId="5620">
      <pivotArea dataOnly="0" labelOnly="1" outline="0" fieldPosition="0">
        <references count="4">
          <reference field="11" count="1" selected="0">
            <x v="449"/>
          </reference>
          <reference field="14" count="1" selected="0">
            <x v="10"/>
          </reference>
          <reference field="18" count="1" selected="0">
            <x v="27"/>
          </reference>
          <reference field="19" count="1">
            <x v="17"/>
          </reference>
        </references>
      </pivotArea>
    </format>
    <format dxfId="5619">
      <pivotArea dataOnly="0" labelOnly="1" outline="0" fieldPosition="0">
        <references count="4">
          <reference field="11" count="1" selected="0">
            <x v="450"/>
          </reference>
          <reference field="14" count="1" selected="0">
            <x v="141"/>
          </reference>
          <reference field="18" count="1" selected="0">
            <x v="0"/>
          </reference>
          <reference field="19" count="1">
            <x v="16"/>
          </reference>
        </references>
      </pivotArea>
    </format>
    <format dxfId="5618">
      <pivotArea dataOnly="0" labelOnly="1" outline="0" fieldPosition="0">
        <references count="4">
          <reference field="11" count="1" selected="0">
            <x v="450"/>
          </reference>
          <reference field="14" count="1" selected="0">
            <x v="141"/>
          </reference>
          <reference field="18" count="1" selected="0">
            <x v="27"/>
          </reference>
          <reference field="19" count="1">
            <x v="17"/>
          </reference>
        </references>
      </pivotArea>
    </format>
    <format dxfId="5617">
      <pivotArea dataOnly="0" labelOnly="1" outline="0" fieldPosition="0">
        <references count="4">
          <reference field="11" count="1" selected="0">
            <x v="451"/>
          </reference>
          <reference field="14" count="1" selected="0">
            <x v="101"/>
          </reference>
          <reference field="18" count="1" selected="0">
            <x v="27"/>
          </reference>
          <reference field="19" count="1">
            <x v="17"/>
          </reference>
        </references>
      </pivotArea>
    </format>
    <format dxfId="5616">
      <pivotArea dataOnly="0" labelOnly="1" outline="0" fieldPosition="0">
        <references count="4">
          <reference field="11" count="1" selected="0">
            <x v="452"/>
          </reference>
          <reference field="14" count="1" selected="0">
            <x v="450"/>
          </reference>
          <reference field="18" count="1" selected="0">
            <x v="19"/>
          </reference>
          <reference field="19" count="1">
            <x v="2"/>
          </reference>
        </references>
      </pivotArea>
    </format>
    <format dxfId="5615">
      <pivotArea dataOnly="0" labelOnly="1" outline="0" fieldPosition="0">
        <references count="4">
          <reference field="11" count="1" selected="0">
            <x v="453"/>
          </reference>
          <reference field="14" count="1" selected="0">
            <x v="144"/>
          </reference>
          <reference field="18" count="1" selected="0">
            <x v="3"/>
          </reference>
          <reference field="19" count="1">
            <x v="15"/>
          </reference>
        </references>
      </pivotArea>
    </format>
    <format dxfId="5614">
      <pivotArea dataOnly="0" labelOnly="1" outline="0" fieldPosition="0">
        <references count="4">
          <reference field="11" count="1" selected="0">
            <x v="454"/>
          </reference>
          <reference field="14" count="1" selected="0">
            <x v="397"/>
          </reference>
          <reference field="18" count="1" selected="0">
            <x v="3"/>
          </reference>
          <reference field="19" count="1">
            <x v="15"/>
          </reference>
        </references>
      </pivotArea>
    </format>
    <format dxfId="5613">
      <pivotArea dataOnly="0" labelOnly="1" outline="0" fieldPosition="0">
        <references count="4">
          <reference field="11" count="1" selected="0">
            <x v="455"/>
          </reference>
          <reference field="14" count="1" selected="0">
            <x v="390"/>
          </reference>
          <reference field="18" count="1" selected="0">
            <x v="3"/>
          </reference>
          <reference field="19" count="1">
            <x v="15"/>
          </reference>
        </references>
      </pivotArea>
    </format>
    <format dxfId="5612">
      <pivotArea dataOnly="0" labelOnly="1" outline="0" fieldPosition="0">
        <references count="4">
          <reference field="11" count="1" selected="0">
            <x v="456"/>
          </reference>
          <reference field="14" count="1" selected="0">
            <x v="452"/>
          </reference>
          <reference field="18" count="1" selected="0">
            <x v="3"/>
          </reference>
          <reference field="19" count="1">
            <x v="15"/>
          </reference>
        </references>
      </pivotArea>
    </format>
    <format dxfId="5611">
      <pivotArea dataOnly="0" labelOnly="1" outline="0" fieldPosition="0">
        <references count="4">
          <reference field="11" count="1" selected="0">
            <x v="457"/>
          </reference>
          <reference field="14" count="1" selected="0">
            <x v="12"/>
          </reference>
          <reference field="18" count="1" selected="0">
            <x v="3"/>
          </reference>
          <reference field="19" count="1">
            <x v="15"/>
          </reference>
        </references>
      </pivotArea>
    </format>
    <format dxfId="5610">
      <pivotArea dataOnly="0" labelOnly="1" outline="0" fieldPosition="0">
        <references count="4">
          <reference field="11" count="1" selected="0">
            <x v="458"/>
          </reference>
          <reference field="14" count="1" selected="0">
            <x v="367"/>
          </reference>
          <reference field="18" count="1" selected="0">
            <x v="3"/>
          </reference>
          <reference field="19" count="1">
            <x v="15"/>
          </reference>
        </references>
      </pivotArea>
    </format>
    <format dxfId="5609">
      <pivotArea dataOnly="0" labelOnly="1" outline="0" fieldPosition="0">
        <references count="4">
          <reference field="11" count="1" selected="0">
            <x v="459"/>
          </reference>
          <reference field="14" count="1" selected="0">
            <x v="368"/>
          </reference>
          <reference field="18" count="1" selected="0">
            <x v="3"/>
          </reference>
          <reference field="19" count="1">
            <x v="15"/>
          </reference>
        </references>
      </pivotArea>
    </format>
    <format dxfId="5608">
      <pivotArea dataOnly="0" labelOnly="1" outline="0" fieldPosition="0">
        <references count="4">
          <reference field="11" count="1" selected="0">
            <x v="460"/>
          </reference>
          <reference field="14" count="1" selected="0">
            <x v="369"/>
          </reference>
          <reference field="18" count="1" selected="0">
            <x v="3"/>
          </reference>
          <reference field="19" count="1">
            <x v="15"/>
          </reference>
        </references>
      </pivotArea>
    </format>
    <format dxfId="5607">
      <pivotArea dataOnly="0" labelOnly="1" outline="0" fieldPosition="0">
        <references count="4">
          <reference field="11" count="1" selected="0">
            <x v="461"/>
          </reference>
          <reference field="14" count="1" selected="0">
            <x v="301"/>
          </reference>
          <reference field="18" count="1" selected="0">
            <x v="7"/>
          </reference>
          <reference field="19" count="1">
            <x v="4"/>
          </reference>
        </references>
      </pivotArea>
    </format>
    <format dxfId="5606">
      <pivotArea dataOnly="0" labelOnly="1" outline="0" fieldPosition="0">
        <references count="4">
          <reference field="11" count="1" selected="0">
            <x v="461"/>
          </reference>
          <reference field="14" count="1" selected="0">
            <x v="301"/>
          </reference>
          <reference field="18" count="1" selected="0">
            <x v="8"/>
          </reference>
          <reference field="19" count="1">
            <x v="5"/>
          </reference>
        </references>
      </pivotArea>
    </format>
    <format dxfId="5605">
      <pivotArea dataOnly="0" labelOnly="1" outline="0" fieldPosition="0">
        <references count="4">
          <reference field="11" count="1" selected="0">
            <x v="461"/>
          </reference>
          <reference field="14" count="1" selected="0">
            <x v="301"/>
          </reference>
          <reference field="18" count="1" selected="0">
            <x v="13"/>
          </reference>
          <reference field="19" count="1">
            <x v="21"/>
          </reference>
        </references>
      </pivotArea>
    </format>
    <format dxfId="5604">
      <pivotArea dataOnly="0" labelOnly="1" outline="0" fieldPosition="0">
        <references count="4">
          <reference field="11" count="1" selected="0">
            <x v="462"/>
          </reference>
          <reference field="14" count="1" selected="0">
            <x v="434"/>
          </reference>
          <reference field="18" count="1" selected="0">
            <x v="19"/>
          </reference>
          <reference field="19" count="1">
            <x v="2"/>
          </reference>
        </references>
      </pivotArea>
    </format>
    <format dxfId="5603">
      <pivotArea dataOnly="0" labelOnly="1" outline="0" fieldPosition="0">
        <references count="4">
          <reference field="11" count="1" selected="0">
            <x v="463"/>
          </reference>
          <reference field="14" count="1" selected="0">
            <x v="440"/>
          </reference>
          <reference field="18" count="1" selected="0">
            <x v="19"/>
          </reference>
          <reference field="19" count="1">
            <x v="2"/>
          </reference>
        </references>
      </pivotArea>
    </format>
    <format dxfId="5602">
      <pivotArea dataOnly="0" labelOnly="1" outline="0" fieldPosition="0">
        <references count="4">
          <reference field="11" count="1" selected="0">
            <x v="464"/>
          </reference>
          <reference field="14" count="1" selected="0">
            <x v="442"/>
          </reference>
          <reference field="18" count="1" selected="0">
            <x v="19"/>
          </reference>
          <reference field="19" count="1">
            <x v="2"/>
          </reference>
        </references>
      </pivotArea>
    </format>
    <format dxfId="5601">
      <pivotArea dataOnly="0" labelOnly="1" outline="0" fieldPosition="0">
        <references count="4">
          <reference field="11" count="1" selected="0">
            <x v="465"/>
          </reference>
          <reference field="14" count="1" selected="0">
            <x v="355"/>
          </reference>
          <reference field="18" count="1" selected="0">
            <x v="27"/>
          </reference>
          <reference field="19" count="1">
            <x v="17"/>
          </reference>
        </references>
      </pivotArea>
    </format>
    <format dxfId="5600">
      <pivotArea dataOnly="0" labelOnly="1" outline="0" fieldPosition="0">
        <references count="4">
          <reference field="11" count="1" selected="0">
            <x v="466"/>
          </reference>
          <reference field="14" count="1" selected="0">
            <x v="115"/>
          </reference>
          <reference field="18" count="1" selected="0">
            <x v="27"/>
          </reference>
          <reference field="19" count="1">
            <x v="17"/>
          </reference>
        </references>
      </pivotArea>
    </format>
    <format dxfId="5599">
      <pivotArea dataOnly="0" labelOnly="1" outline="0" fieldPosition="0">
        <references count="4">
          <reference field="11" count="1" selected="0">
            <x v="467"/>
          </reference>
          <reference field="14" count="1" selected="0">
            <x v="270"/>
          </reference>
          <reference field="18" count="1" selected="0">
            <x v="2"/>
          </reference>
          <reference field="19" count="1">
            <x v="22"/>
          </reference>
        </references>
      </pivotArea>
    </format>
    <format dxfId="5598">
      <pivotArea dataOnly="0" labelOnly="1" outline="0" fieldPosition="0">
        <references count="4">
          <reference field="11" count="1" selected="0">
            <x v="468"/>
          </reference>
          <reference field="14" count="1" selected="0">
            <x v="380"/>
          </reference>
          <reference field="18" count="1" selected="0">
            <x v="6"/>
          </reference>
          <reference field="19" count="1">
            <x v="23"/>
          </reference>
        </references>
      </pivotArea>
    </format>
    <format dxfId="5597">
      <pivotArea dataOnly="0" labelOnly="1" outline="0" fieldPosition="0">
        <references count="4">
          <reference field="11" count="1" selected="0">
            <x v="469"/>
          </reference>
          <reference field="14" count="1" selected="0">
            <x v="291"/>
          </reference>
          <reference field="18" count="1" selected="0">
            <x v="6"/>
          </reference>
          <reference field="19" count="1">
            <x v="23"/>
          </reference>
        </references>
      </pivotArea>
    </format>
    <format dxfId="5596">
      <pivotArea dataOnly="0" labelOnly="1" outline="0" fieldPosition="0">
        <references count="4">
          <reference field="11" count="1" selected="0">
            <x v="469"/>
          </reference>
          <reference field="14" count="1" selected="0">
            <x v="291"/>
          </reference>
          <reference field="18" count="1" selected="0">
            <x v="24"/>
          </reference>
          <reference field="19" count="1">
            <x v="7"/>
          </reference>
        </references>
      </pivotArea>
    </format>
    <format dxfId="5595">
      <pivotArea dataOnly="0" labelOnly="1" outline="0" fieldPosition="0">
        <references count="4">
          <reference field="11" count="1" selected="0">
            <x v="469"/>
          </reference>
          <reference field="14" count="1" selected="0">
            <x v="291"/>
          </reference>
          <reference field="18" count="1" selected="0">
            <x v="25"/>
          </reference>
          <reference field="19" count="1">
            <x v="14"/>
          </reference>
        </references>
      </pivotArea>
    </format>
    <format dxfId="5594">
      <pivotArea dataOnly="0" labelOnly="1" outline="0" fieldPosition="0">
        <references count="4">
          <reference field="11" count="1" selected="0">
            <x v="470"/>
          </reference>
          <reference field="14" count="1" selected="0">
            <x v="100"/>
          </reference>
          <reference field="18" count="1" selected="0">
            <x v="0"/>
          </reference>
          <reference field="19" count="1">
            <x v="16"/>
          </reference>
        </references>
      </pivotArea>
    </format>
    <format dxfId="5593">
      <pivotArea dataOnly="0" labelOnly="1" outline="0" fieldPosition="0">
        <references count="4">
          <reference field="11" count="1" selected="0">
            <x v="471"/>
          </reference>
          <reference field="14" count="1" selected="0">
            <x v="295"/>
          </reference>
          <reference field="18" count="1" selected="0">
            <x v="2"/>
          </reference>
          <reference field="19" count="1">
            <x v="22"/>
          </reference>
        </references>
      </pivotArea>
    </format>
    <format dxfId="5592">
      <pivotArea dataOnly="0" labelOnly="1" outline="0" fieldPosition="0">
        <references count="4">
          <reference field="11" count="1" selected="0">
            <x v="472"/>
          </reference>
          <reference field="14" count="1" selected="0">
            <x v="325"/>
          </reference>
          <reference field="18" count="1" selected="0">
            <x v="6"/>
          </reference>
          <reference field="19" count="1">
            <x v="23"/>
          </reference>
        </references>
      </pivotArea>
    </format>
    <format dxfId="5591">
      <pivotArea dataOnly="0" labelOnly="1" outline="0" fieldPosition="0">
        <references count="4">
          <reference field="11" count="1" selected="0">
            <x v="473"/>
          </reference>
          <reference field="14" count="1" selected="0">
            <x v="425"/>
          </reference>
          <reference field="18" count="1" selected="0">
            <x v="19"/>
          </reference>
          <reference field="19" count="1">
            <x v="2"/>
          </reference>
        </references>
      </pivotArea>
    </format>
    <format dxfId="5590">
      <pivotArea dataOnly="0" labelOnly="1" outline="0" fieldPosition="0">
        <references count="4">
          <reference field="11" count="1" selected="0">
            <x v="474"/>
          </reference>
          <reference field="14" count="1" selected="0">
            <x v="424"/>
          </reference>
          <reference field="18" count="1" selected="0">
            <x v="19"/>
          </reference>
          <reference field="19" count="1">
            <x v="2"/>
          </reference>
        </references>
      </pivotArea>
    </format>
    <format dxfId="5589">
      <pivotArea dataOnly="0" labelOnly="1" outline="0" fieldPosition="0">
        <references count="4">
          <reference field="11" count="1" selected="0">
            <x v="475"/>
          </reference>
          <reference field="14" count="1" selected="0">
            <x v="435"/>
          </reference>
          <reference field="18" count="1" selected="0">
            <x v="19"/>
          </reference>
          <reference field="19" count="1">
            <x v="2"/>
          </reference>
        </references>
      </pivotArea>
    </format>
    <format dxfId="5588">
      <pivotArea dataOnly="0" labelOnly="1" outline="0" fieldPosition="0">
        <references count="4">
          <reference field="11" count="1" selected="0">
            <x v="476"/>
          </reference>
          <reference field="14" count="1" selected="0">
            <x v="151"/>
          </reference>
          <reference field="18" count="1" selected="0">
            <x v="0"/>
          </reference>
          <reference field="19" count="1">
            <x v="16"/>
          </reference>
        </references>
      </pivotArea>
    </format>
    <format dxfId="5587">
      <pivotArea dataOnly="0" labelOnly="1" outline="0" fieldPosition="0">
        <references count="4">
          <reference field="11" count="1" selected="0">
            <x v="477"/>
          </reference>
          <reference field="14" count="1" selected="0">
            <x v="419"/>
          </reference>
          <reference field="18" count="1" selected="0">
            <x v="19"/>
          </reference>
          <reference field="19" count="1">
            <x v="2"/>
          </reference>
        </references>
      </pivotArea>
    </format>
    <format dxfId="5586">
      <pivotArea dataOnly="0" labelOnly="1" outline="0" fieldPosition="0">
        <references count="4">
          <reference field="11" count="1" selected="0">
            <x v="478"/>
          </reference>
          <reference field="14" count="1" selected="0">
            <x v="308"/>
          </reference>
          <reference field="18" count="1" selected="0">
            <x v="19"/>
          </reference>
          <reference field="19" count="1">
            <x v="2"/>
          </reference>
        </references>
      </pivotArea>
    </format>
    <format dxfId="5585">
      <pivotArea dataOnly="0" labelOnly="1" outline="0" fieldPosition="0">
        <references count="4">
          <reference field="11" count="1" selected="0">
            <x v="479"/>
          </reference>
          <reference field="14" count="1" selected="0">
            <x v="312"/>
          </reference>
          <reference field="18" count="1" selected="0">
            <x v="19"/>
          </reference>
          <reference field="19" count="1">
            <x v="2"/>
          </reference>
        </references>
      </pivotArea>
    </format>
    <format dxfId="5584">
      <pivotArea dataOnly="0" labelOnly="1" outline="0" fieldPosition="0">
        <references count="4">
          <reference field="11" count="1" selected="0">
            <x v="480"/>
          </reference>
          <reference field="14" count="1" selected="0">
            <x v="423"/>
          </reference>
          <reference field="18" count="1" selected="0">
            <x v="19"/>
          </reference>
          <reference field="19" count="1">
            <x v="2"/>
          </reference>
        </references>
      </pivotArea>
    </format>
    <format dxfId="5583">
      <pivotArea dataOnly="0" labelOnly="1" outline="0" fieldPosition="0">
        <references count="4">
          <reference field="11" count="1" selected="0">
            <x v="481"/>
          </reference>
          <reference field="14" count="1" selected="0">
            <x v="455"/>
          </reference>
          <reference field="18" count="1" selected="0">
            <x v="12"/>
          </reference>
          <reference field="19" count="1">
            <x v="13"/>
          </reference>
        </references>
      </pivotArea>
    </format>
    <format dxfId="5582">
      <pivotArea dataOnly="0" labelOnly="1" outline="0" fieldPosition="0">
        <references count="4">
          <reference field="11" count="1" selected="0">
            <x v="481"/>
          </reference>
          <reference field="14" count="1" selected="0">
            <x v="455"/>
          </reference>
          <reference field="18" count="1" selected="0">
            <x v="14"/>
          </reference>
          <reference field="19" count="1">
            <x v="9"/>
          </reference>
        </references>
      </pivotArea>
    </format>
    <format dxfId="5581">
      <pivotArea dataOnly="0" labelOnly="1" outline="0" fieldPosition="0">
        <references count="4">
          <reference field="11" count="1" selected="0">
            <x v="482"/>
          </reference>
          <reference field="14" count="1" selected="0">
            <x v="38"/>
          </reference>
          <reference field="18" count="1" selected="0">
            <x v="12"/>
          </reference>
          <reference field="19" count="1">
            <x v="13"/>
          </reference>
        </references>
      </pivotArea>
    </format>
    <format dxfId="5580">
      <pivotArea dataOnly="0" labelOnly="1" outline="0" fieldPosition="0">
        <references count="4">
          <reference field="11" count="1" selected="0">
            <x v="482"/>
          </reference>
          <reference field="14" count="1" selected="0">
            <x v="38"/>
          </reference>
          <reference field="18" count="1" selected="0">
            <x v="14"/>
          </reference>
          <reference field="19" count="1">
            <x v="9"/>
          </reference>
        </references>
      </pivotArea>
    </format>
    <format dxfId="5579">
      <pivotArea dataOnly="0" labelOnly="1" outline="0" fieldPosition="0">
        <references count="4">
          <reference field="11" count="1" selected="0">
            <x v="483"/>
          </reference>
          <reference field="14" count="1" selected="0">
            <x v="207"/>
          </reference>
          <reference field="18" count="1" selected="0">
            <x v="14"/>
          </reference>
          <reference field="19" count="1">
            <x v="9"/>
          </reference>
        </references>
      </pivotArea>
    </format>
    <format dxfId="5578">
      <pivotArea dataOnly="0" labelOnly="1" outline="0" fieldPosition="0">
        <references count="4">
          <reference field="11" count="1" selected="0">
            <x v="483"/>
          </reference>
          <reference field="14" count="1" selected="0">
            <x v="207"/>
          </reference>
          <reference field="18" count="1" selected="0">
            <x v="26"/>
          </reference>
          <reference field="19" count="1">
            <x v="3"/>
          </reference>
        </references>
      </pivotArea>
    </format>
    <format dxfId="5577">
      <pivotArea dataOnly="0" labelOnly="1" outline="0" fieldPosition="0">
        <references count="4">
          <reference field="11" count="1" selected="0">
            <x v="484"/>
          </reference>
          <reference field="14" count="1" selected="0">
            <x v="49"/>
          </reference>
          <reference field="18" count="1" selected="0">
            <x v="14"/>
          </reference>
          <reference field="19" count="1">
            <x v="9"/>
          </reference>
        </references>
      </pivotArea>
    </format>
    <format dxfId="5576">
      <pivotArea dataOnly="0" labelOnly="1" outline="0" fieldPosition="0">
        <references count="4">
          <reference field="11" count="1" selected="0">
            <x v="484"/>
          </reference>
          <reference field="14" count="1" selected="0">
            <x v="49"/>
          </reference>
          <reference field="18" count="1" selected="0">
            <x v="26"/>
          </reference>
          <reference field="19" count="1">
            <x v="3"/>
          </reference>
        </references>
      </pivotArea>
    </format>
    <format dxfId="5575">
      <pivotArea dataOnly="0" labelOnly="1" outline="0" fieldPosition="0">
        <references count="4">
          <reference field="11" count="1" selected="0">
            <x v="485"/>
          </reference>
          <reference field="14" count="1" selected="0">
            <x v="49"/>
          </reference>
          <reference field="18" count="1" selected="0">
            <x v="14"/>
          </reference>
          <reference field="19" count="1">
            <x v="9"/>
          </reference>
        </references>
      </pivotArea>
    </format>
    <format dxfId="5574">
      <pivotArea dataOnly="0" labelOnly="1" outline="0" fieldPosition="0">
        <references count="4">
          <reference field="11" count="1" selected="0">
            <x v="485"/>
          </reference>
          <reference field="14" count="1" selected="0">
            <x v="49"/>
          </reference>
          <reference field="18" count="1" selected="0">
            <x v="26"/>
          </reference>
          <reference field="19" count="1">
            <x v="3"/>
          </reference>
        </references>
      </pivotArea>
    </format>
    <format dxfId="5573">
      <pivotArea dataOnly="0" labelOnly="1" outline="0" fieldPosition="0">
        <references count="4">
          <reference field="11" count="1" selected="0">
            <x v="486"/>
          </reference>
          <reference field="14" count="1" selected="0">
            <x v="207"/>
          </reference>
          <reference field="18" count="1" selected="0">
            <x v="14"/>
          </reference>
          <reference field="19" count="1">
            <x v="9"/>
          </reference>
        </references>
      </pivotArea>
    </format>
    <format dxfId="5572">
      <pivotArea dataOnly="0" labelOnly="1" outline="0" fieldPosition="0">
        <references count="4">
          <reference field="11" count="1" selected="0">
            <x v="486"/>
          </reference>
          <reference field="14" count="1" selected="0">
            <x v="207"/>
          </reference>
          <reference field="18" count="1" selected="0">
            <x v="26"/>
          </reference>
          <reference field="19" count="1">
            <x v="3"/>
          </reference>
        </references>
      </pivotArea>
    </format>
    <format dxfId="5571">
      <pivotArea dataOnly="0" labelOnly="1" outline="0" fieldPosition="0">
        <references count="4">
          <reference field="11" count="1" selected="0">
            <x v="487"/>
          </reference>
          <reference field="14" count="1" selected="0">
            <x v="32"/>
          </reference>
          <reference field="18" count="1" selected="0">
            <x v="0"/>
          </reference>
          <reference field="19" count="1">
            <x v="16"/>
          </reference>
        </references>
      </pivotArea>
    </format>
    <format dxfId="5570">
      <pivotArea dataOnly="0" labelOnly="1" outline="0" fieldPosition="0">
        <references count="4">
          <reference field="11" count="1" selected="0">
            <x v="487"/>
          </reference>
          <reference field="14" count="1" selected="0">
            <x v="32"/>
          </reference>
          <reference field="18" count="1" selected="0">
            <x v="27"/>
          </reference>
          <reference field="19" count="1">
            <x v="17"/>
          </reference>
        </references>
      </pivotArea>
    </format>
    <format dxfId="5569">
      <pivotArea dataOnly="0" labelOnly="1" outline="0" fieldPosition="0">
        <references count="4">
          <reference field="11" count="1" selected="0">
            <x v="488"/>
          </reference>
          <reference field="14" count="1" selected="0">
            <x v="484"/>
          </reference>
          <reference field="18" count="1" selected="0">
            <x v="28"/>
          </reference>
          <reference field="19" count="1">
            <x v="28"/>
          </reference>
        </references>
      </pivotArea>
    </format>
    <format dxfId="5568">
      <pivotArea dataOnly="0" labelOnly="1" outline="0" fieldPosition="0">
        <references count="1">
          <reference field="4294967294" count="2">
            <x v="0"/>
            <x v="1"/>
          </reference>
        </references>
      </pivotArea>
    </format>
    <format dxfId="5567">
      <pivotArea outline="0" fieldPosition="0">
        <references count="1">
          <reference field="4294967294" count="1">
            <x v="0"/>
          </reference>
        </references>
      </pivotArea>
    </format>
    <format dxfId="5566">
      <pivotArea outline="0" fieldPosition="0">
        <references count="1">
          <reference field="4294967294" count="1">
            <x v="1"/>
          </reference>
        </references>
      </pivotArea>
    </format>
    <format dxfId="5565">
      <pivotArea dataOnly="0" labelOnly="1" outline="0" fieldPosition="0">
        <references count="2">
          <reference field="11" count="1" selected="0">
            <x v="345"/>
          </reference>
          <reference field="14" count="1">
            <x v="20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37D113-78A9-4A9F-81B0-F7FA51054E49}" name="PivotTable2" cacheId="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F559" firstHeaderRow="0" firstDataRow="1" firstDataCol="4" rowPageCount="2" colPageCount="1"/>
  <pivotFields count="28">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489">
        <item x="264"/>
        <item x="172"/>
        <item x="93"/>
        <item x="85"/>
        <item x="90"/>
        <item x="167"/>
        <item x="165"/>
        <item x="308"/>
        <item x="406"/>
        <item x="486"/>
        <item x="146"/>
        <item x="340"/>
        <item x="398"/>
        <item x="418"/>
        <item x="92"/>
        <item x="452"/>
        <item x="275"/>
        <item x="205"/>
        <item x="472"/>
        <item x="99"/>
        <item x="256"/>
        <item x="450"/>
        <item x="84"/>
        <item x="413"/>
        <item x="381"/>
        <item x="335"/>
        <item x="231"/>
        <item x="382"/>
        <item x="404"/>
        <item x="365"/>
        <item x="380"/>
        <item x="403"/>
        <item x="455"/>
        <item x="200"/>
        <item x="190"/>
        <item x="456"/>
        <item x="444"/>
        <item x="427"/>
        <item x="448"/>
        <item x="426"/>
        <item x="445"/>
        <item x="477"/>
        <item x="147"/>
        <item x="112"/>
        <item x="158"/>
        <item x="429"/>
        <item x="396"/>
        <item x="65"/>
        <item x="423"/>
        <item x="177"/>
        <item x="464"/>
        <item x="446"/>
        <item x="454"/>
        <item x="211"/>
        <item x="225"/>
        <item x="253"/>
        <item x="101"/>
        <item x="100"/>
        <item x="347"/>
        <item x="196"/>
        <item x="480"/>
        <item x="447"/>
        <item x="457"/>
        <item x="83"/>
        <item x="170"/>
        <item x="128"/>
        <item x="182"/>
        <item x="179"/>
        <item x="159"/>
        <item x="160"/>
        <item x="157"/>
        <item x="469"/>
        <item x="326"/>
        <item x="277"/>
        <item x="166"/>
        <item x="226"/>
        <item x="96"/>
        <item x="235"/>
        <item x="118"/>
        <item x="123"/>
        <item x="393"/>
        <item x="325"/>
        <item x="313"/>
        <item x="360"/>
        <item x="246"/>
        <item x="482"/>
        <item x="148"/>
        <item x="117"/>
        <item x="151"/>
        <item x="173"/>
        <item x="163"/>
        <item x="345"/>
        <item x="234"/>
        <item x="89"/>
        <item x="199"/>
        <item x="176"/>
        <item x="424"/>
        <item x="202"/>
        <item x="127"/>
        <item x="295"/>
        <item x="254"/>
        <item x="425"/>
        <item x="207"/>
        <item x="232"/>
        <item x="390"/>
        <item x="373"/>
        <item x="269"/>
        <item x="348"/>
        <item x="219"/>
        <item x="120"/>
        <item x="243"/>
        <item x="171"/>
        <item x="294"/>
        <item x="241"/>
        <item x="357"/>
        <item x="108"/>
        <item x="355"/>
        <item x="356"/>
        <item x="372"/>
        <item x="104"/>
        <item x="98"/>
        <item x="371"/>
        <item x="405"/>
        <item x="107"/>
        <item x="109"/>
        <item x="103"/>
        <item x="106"/>
        <item x="370"/>
        <item x="240"/>
        <item x="414"/>
        <item x="383"/>
        <item x="483"/>
        <item x="389"/>
        <item x="312"/>
        <item x="475"/>
        <item x="150"/>
        <item x="110"/>
        <item x="351"/>
        <item x="168"/>
        <item x="184"/>
        <item x="476"/>
        <item x="265"/>
        <item x="133"/>
        <item x="439"/>
        <item x="467"/>
        <item x="451"/>
        <item x="471"/>
        <item x="449"/>
        <item x="131"/>
        <item x="111"/>
        <item x="208"/>
        <item x="417"/>
        <item x="0"/>
        <item x="468"/>
        <item x="324"/>
        <item x="317"/>
        <item x="178"/>
        <item x="458"/>
        <item x="153"/>
        <item x="250"/>
        <item x="137"/>
        <item x="174"/>
        <item x="1"/>
        <item x="162"/>
        <item x="470"/>
        <item x="201"/>
        <item x="129"/>
        <item x="484"/>
        <item x="422"/>
        <item x="113"/>
        <item x="142"/>
        <item x="436"/>
        <item x="169"/>
        <item x="248"/>
        <item x="260"/>
        <item x="388"/>
        <item x="198"/>
        <item x="252"/>
        <item x="290"/>
        <item x="299"/>
        <item x="2"/>
        <item x="285"/>
        <item x="440"/>
        <item x="416"/>
        <item x="408"/>
        <item x="237"/>
        <item x="323"/>
        <item x="3"/>
        <item x="374"/>
        <item x="236"/>
        <item x="259"/>
        <item x="369"/>
        <item x="366"/>
        <item x="255"/>
        <item x="220"/>
        <item x="437"/>
        <item x="69"/>
        <item x="66"/>
        <item x="320"/>
        <item x="4"/>
        <item x="263"/>
        <item x="391"/>
        <item x="397"/>
        <item x="465"/>
        <item x="204"/>
        <item x="349"/>
        <item x="407"/>
        <item x="95"/>
        <item x="87"/>
        <item x="459"/>
        <item x="273"/>
        <item x="358"/>
        <item x="344"/>
        <item x="191"/>
        <item x="161"/>
        <item x="5"/>
        <item x="415"/>
        <item x="6"/>
        <item x="7"/>
        <item x="8"/>
        <item x="9"/>
        <item x="10"/>
        <item x="11"/>
        <item x="12"/>
        <item x="442"/>
        <item x="13"/>
        <item x="14"/>
        <item x="15"/>
        <item x="16"/>
        <item x="17"/>
        <item x="18"/>
        <item x="19"/>
        <item x="20"/>
        <item x="21"/>
        <item x="286"/>
        <item x="289"/>
        <item x="288"/>
        <item x="22"/>
        <item x="242"/>
        <item x="258"/>
        <item x="86"/>
        <item x="395"/>
        <item x="206"/>
        <item x="402"/>
        <item x="384"/>
        <item x="364"/>
        <item x="379"/>
        <item x="385"/>
        <item x="378"/>
        <item x="387"/>
        <item x="401"/>
        <item x="419"/>
        <item x="336"/>
        <item x="154"/>
        <item x="126"/>
        <item x="386"/>
        <item x="412"/>
        <item x="399"/>
        <item x="229"/>
        <item x="478"/>
        <item x="23"/>
        <item x="266"/>
        <item x="24"/>
        <item x="434"/>
        <item x="25"/>
        <item x="26"/>
        <item x="27"/>
        <item x="302"/>
        <item x="377"/>
        <item x="145"/>
        <item x="367"/>
        <item x="28"/>
        <item x="411"/>
        <item x="334"/>
        <item x="485"/>
        <item x="152"/>
        <item x="267"/>
        <item x="479"/>
        <item x="29"/>
        <item x="30"/>
        <item x="352"/>
        <item x="31"/>
        <item x="303"/>
        <item x="32"/>
        <item x="122"/>
        <item x="217"/>
        <item x="132"/>
        <item x="368"/>
        <item x="375"/>
        <item x="33"/>
        <item x="186"/>
        <item x="400"/>
        <item x="34"/>
        <item x="141"/>
        <item x="301"/>
        <item x="353"/>
        <item x="216"/>
        <item x="354"/>
        <item x="35"/>
        <item x="409"/>
        <item x="362"/>
        <item x="257"/>
        <item x="293"/>
        <item x="421"/>
        <item x="280"/>
        <item x="420"/>
        <item x="435"/>
        <item x="361"/>
        <item x="175"/>
        <item x="233"/>
        <item x="376"/>
        <item x="305"/>
        <item x="116"/>
        <item x="81"/>
        <item x="363"/>
        <item x="143"/>
        <item x="239"/>
        <item x="279"/>
        <item x="291"/>
        <item x="300"/>
        <item x="343"/>
        <item x="463"/>
        <item x="438"/>
        <item x="36"/>
        <item x="292"/>
        <item x="230"/>
        <item x="410"/>
        <item x="125"/>
        <item x="37"/>
        <item x="394"/>
        <item x="38"/>
        <item x="433"/>
        <item x="481"/>
        <item x="189"/>
        <item x="276"/>
        <item x="39"/>
        <item x="181"/>
        <item x="287"/>
        <item x="40"/>
        <item x="41"/>
        <item x="42"/>
        <item x="43"/>
        <item x="44"/>
        <item x="212"/>
        <item x="227"/>
        <item x="218"/>
        <item x="203"/>
        <item x="238"/>
        <item x="45"/>
        <item x="441"/>
        <item x="462"/>
        <item x="307"/>
        <item x="332"/>
        <item x="473"/>
        <item x="432"/>
        <item x="453"/>
        <item x="431"/>
        <item x="460"/>
        <item x="215"/>
        <item x="333"/>
        <item x="67"/>
        <item x="68"/>
        <item x="430"/>
        <item x="228"/>
        <item x="140"/>
        <item x="274"/>
        <item x="251"/>
        <item x="283"/>
        <item x="46"/>
        <item x="135"/>
        <item x="47"/>
        <item x="327"/>
        <item x="337"/>
        <item x="346"/>
        <item x="338"/>
        <item x="342"/>
        <item x="328"/>
        <item x="339"/>
        <item x="341"/>
        <item x="91"/>
        <item x="331"/>
        <item x="144"/>
        <item x="180"/>
        <item x="487"/>
        <item x="298"/>
        <item x="121"/>
        <item x="428"/>
        <item x="261"/>
        <item x="262"/>
        <item x="156"/>
        <item x="48"/>
        <item x="49"/>
        <item x="149"/>
        <item x="50"/>
        <item x="138"/>
        <item x="130"/>
        <item x="139"/>
        <item x="272"/>
        <item x="329"/>
        <item x="224"/>
        <item x="284"/>
        <item x="51"/>
        <item x="195"/>
        <item x="314"/>
        <item x="52"/>
        <item x="318"/>
        <item x="297"/>
        <item x="461"/>
        <item x="188"/>
        <item x="193"/>
        <item x="210"/>
        <item x="82"/>
        <item x="53"/>
        <item x="155"/>
        <item x="124"/>
        <item x="282"/>
        <item x="247"/>
        <item x="350"/>
        <item x="97"/>
        <item x="281"/>
        <item x="222"/>
        <item x="278"/>
        <item x="474"/>
        <item x="164"/>
        <item x="270"/>
        <item x="114"/>
        <item x="271"/>
        <item x="296"/>
        <item x="249"/>
        <item x="54"/>
        <item x="55"/>
        <item x="194"/>
        <item x="134"/>
        <item x="306"/>
        <item x="223"/>
        <item x="319"/>
        <item x="330"/>
        <item x="115"/>
        <item x="94"/>
        <item x="56"/>
        <item x="316"/>
        <item x="315"/>
        <item x="322"/>
        <item x="57"/>
        <item x="58"/>
        <item x="59"/>
        <item x="60"/>
        <item x="310"/>
        <item x="304"/>
        <item x="102"/>
        <item x="221"/>
        <item x="309"/>
        <item x="61"/>
        <item x="192"/>
        <item x="197"/>
        <item x="209"/>
        <item x="214"/>
        <item x="183"/>
        <item x="185"/>
        <item x="187"/>
        <item x="213"/>
        <item x="88"/>
        <item x="62"/>
        <item x="63"/>
        <item x="64"/>
        <item x="321"/>
        <item x="311"/>
        <item x="359"/>
        <item x="466"/>
        <item x="105"/>
        <item x="245"/>
        <item x="392"/>
        <item x="443"/>
        <item x="71"/>
        <item x="73"/>
        <item x="74"/>
        <item x="244"/>
        <item x="72"/>
        <item x="75"/>
        <item x="70"/>
        <item x="76"/>
        <item x="119"/>
        <item x="136"/>
        <item x="77"/>
        <item x="78"/>
        <item x="80"/>
        <item x="79"/>
        <item x="268"/>
        <item x="488"/>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485">
        <item x="361"/>
        <item x="376"/>
        <item x="46"/>
        <item x="396"/>
        <item x="149"/>
        <item x="189"/>
        <item x="226"/>
        <item x="119"/>
        <item x="359"/>
        <item x="288"/>
        <item x="100"/>
        <item x="347"/>
        <item x="181"/>
        <item x="18"/>
        <item x="253"/>
        <item x="92"/>
        <item x="166"/>
        <item x="90"/>
        <item x="469"/>
        <item x="163"/>
        <item x="186"/>
        <item x="426"/>
        <item x="476"/>
        <item x="197"/>
        <item x="67"/>
        <item x="69"/>
        <item x="66"/>
        <item x="341"/>
        <item x="461"/>
        <item x="60"/>
        <item x="311"/>
        <item x="83"/>
        <item x="265"/>
        <item x="479"/>
        <item x="350"/>
        <item x="339"/>
        <item x="451"/>
        <item x="455"/>
        <item x="134"/>
        <item x="329"/>
        <item x="239"/>
        <item x="290"/>
        <item x="407"/>
        <item x="316"/>
        <item x="237"/>
        <item x="220"/>
        <item x="254"/>
        <item x="244"/>
        <item x="230"/>
        <item x="78"/>
        <item x="482"/>
        <item x="150"/>
        <item x="241"/>
        <item x="136"/>
        <item x="403"/>
        <item x="229"/>
        <item x="321"/>
        <item x="306"/>
        <item x="300"/>
        <item x="145"/>
        <item x="123"/>
        <item x="255"/>
        <item x="289"/>
        <item x="180"/>
        <item x="349"/>
        <item x="457"/>
        <item x="480"/>
        <item x="297"/>
        <item x="287"/>
        <item x="296"/>
        <item x="275"/>
        <item x="283"/>
        <item x="14"/>
        <item x="153"/>
        <item x="477"/>
        <item x="51"/>
        <item x="471"/>
        <item x="156"/>
        <item x="328"/>
        <item x="335"/>
        <item x="302"/>
        <item x="323"/>
        <item x="333"/>
        <item x="322"/>
        <item x="221"/>
        <item x="342"/>
        <item x="332"/>
        <item x="324"/>
        <item x="338"/>
        <item x="334"/>
        <item x="261"/>
        <item x="204"/>
        <item x="337"/>
        <item x="377"/>
        <item x="409"/>
        <item x="222"/>
        <item x="19"/>
        <item x="13"/>
        <item x="159"/>
        <item x="326"/>
        <item x="243"/>
        <item x="305"/>
        <item x="362"/>
        <item x="365"/>
        <item x="233"/>
        <item x="313"/>
        <item x="309"/>
        <item x="277"/>
        <item x="245"/>
        <item x="346"/>
        <item x="95"/>
        <item x="217"/>
        <item x="47"/>
        <item x="4"/>
        <item x="430"/>
        <item x="307"/>
        <item x="203"/>
        <item x="172"/>
        <item x="436"/>
        <item x="132"/>
        <item x="357"/>
        <item x="416"/>
        <item x="417"/>
        <item x="79"/>
        <item x="143"/>
        <item x="122"/>
        <item x="363"/>
        <item x="173"/>
        <item x="397"/>
        <item x="405"/>
        <item x="114"/>
        <item x="360"/>
        <item x="429"/>
        <item x="408"/>
        <item x="390"/>
        <item x="428"/>
        <item x="152"/>
        <item x="155"/>
        <item x="157"/>
        <item x="158"/>
        <item x="154"/>
        <item x="219"/>
        <item x="354"/>
        <item x="214"/>
        <item x="190"/>
        <item x="89"/>
        <item x="310"/>
        <item x="133"/>
        <item x="418"/>
        <item x="120"/>
        <item x="144"/>
        <item x="242"/>
        <item x="27"/>
        <item x="30"/>
        <item x="25"/>
        <item x="42"/>
        <item x="44"/>
        <item x="23"/>
        <item x="5"/>
        <item x="37"/>
        <item x="41"/>
        <item x="1"/>
        <item x="32"/>
        <item x="43"/>
        <item x="29"/>
        <item x="31"/>
        <item x="26"/>
        <item x="268"/>
        <item x="139"/>
        <item x="137"/>
        <item x="38"/>
        <item x="33"/>
        <item x="34"/>
        <item x="257"/>
        <item x="246"/>
        <item x="191"/>
        <item x="468"/>
        <item x="464"/>
        <item x="431"/>
        <item x="400"/>
        <item x="475"/>
        <item x="124"/>
        <item x="320"/>
        <item x="184"/>
        <item x="234"/>
        <item x="345"/>
        <item x="85"/>
        <item x="395"/>
        <item x="218"/>
        <item x="232"/>
        <item x="259"/>
        <item x="192"/>
        <item x="111"/>
        <item x="115"/>
        <item x="118"/>
        <item x="116"/>
        <item x="121"/>
        <item x="364"/>
        <item x="147"/>
        <item x="303"/>
        <item x="174"/>
        <item x="84"/>
        <item x="187"/>
        <item x="478"/>
        <item x="80"/>
        <item x="50"/>
        <item x="199"/>
        <item x="77"/>
        <item x="312"/>
        <item x="216"/>
        <item x="266"/>
        <item x="294"/>
        <item x="138"/>
        <item x="131"/>
        <item x="94"/>
        <item x="129"/>
        <item x="356"/>
        <item x="130"/>
        <item x="248"/>
        <item x="82"/>
        <item x="344"/>
        <item x="458"/>
        <item x="380"/>
        <item x="263"/>
        <item x="151"/>
        <item x="228"/>
        <item x="91"/>
        <item x="81"/>
        <item x="175"/>
        <item x="169"/>
        <item x="170"/>
        <item x="167"/>
        <item x="165"/>
        <item x="88"/>
        <item x="160"/>
        <item x="164"/>
        <item x="315"/>
        <item x="177"/>
        <item x="176"/>
        <item x="28"/>
        <item x="420"/>
        <item x="442"/>
        <item x="379"/>
        <item x="434"/>
        <item x="419"/>
        <item x="128"/>
        <item x="113"/>
        <item x="141"/>
        <item x="205"/>
        <item x="3"/>
        <item x="392"/>
        <item x="171"/>
        <item x="262"/>
        <item x="225"/>
        <item x="249"/>
        <item x="472"/>
        <item x="394"/>
        <item x="236"/>
        <item x="466"/>
        <item x="162"/>
        <item x="280"/>
        <item x="168"/>
        <item x="391"/>
        <item x="382"/>
        <item x="398"/>
        <item x="336"/>
        <item x="308"/>
        <item x="206"/>
        <item x="200"/>
        <item x="202"/>
        <item x="355"/>
        <item x="194"/>
        <item x="285"/>
        <item x="269"/>
        <item x="252"/>
        <item x="251"/>
        <item x="295"/>
        <item x="282"/>
        <item x="223"/>
        <item x="250"/>
        <item x="260"/>
        <item x="281"/>
        <item x="286"/>
        <item x="209"/>
        <item x="270"/>
        <item x="224"/>
        <item x="271"/>
        <item x="274"/>
        <item x="273"/>
        <item x="112"/>
        <item x="264"/>
        <item x="103"/>
        <item x="213"/>
        <item x="210"/>
        <item x="340"/>
        <item x="388"/>
        <item x="449"/>
        <item x="424"/>
        <item x="456"/>
        <item x="427"/>
        <item x="438"/>
        <item x="86"/>
        <item x="301"/>
        <item x="421"/>
        <item x="414"/>
        <item x="387"/>
        <item x="318"/>
        <item x="17"/>
        <item x="75"/>
        <item x="39"/>
        <item x="35"/>
        <item x="24"/>
        <item x="70"/>
        <item x="16"/>
        <item x="40"/>
        <item x="201"/>
        <item x="231"/>
        <item x="140"/>
        <item x="460"/>
        <item x="127"/>
        <item x="369"/>
        <item x="386"/>
        <item x="193"/>
        <item x="65"/>
        <item x="278"/>
        <item x="439"/>
        <item x="435"/>
        <item x="463"/>
        <item x="445"/>
        <item x="447"/>
        <item x="467"/>
        <item x="437"/>
        <item x="148"/>
        <item x="108"/>
        <item x="327"/>
        <item x="161"/>
        <item x="126"/>
        <item x="473"/>
        <item x="411"/>
        <item x="240"/>
        <item x="188"/>
        <item x="198"/>
        <item x="330"/>
        <item x="319"/>
        <item x="422"/>
        <item x="441"/>
        <item x="444"/>
        <item x="446"/>
        <item x="423"/>
        <item x="440"/>
        <item x="432"/>
        <item x="304"/>
        <item x="68"/>
        <item x="373"/>
        <item x="443"/>
        <item x="317"/>
        <item x="93"/>
        <item x="299"/>
        <item x="125"/>
        <item x="314"/>
        <item x="325"/>
        <item x="182"/>
        <item x="196"/>
        <item x="470"/>
        <item x="483"/>
        <item x="215"/>
        <item x="208"/>
        <item x="183"/>
        <item x="185"/>
        <item x="211"/>
        <item x="406"/>
        <item x="474"/>
        <item x="481"/>
        <item x="348"/>
        <item x="298"/>
        <item x="402"/>
        <item x="372"/>
        <item x="22"/>
        <item x="448"/>
        <item x="452"/>
        <item x="462"/>
        <item x="293"/>
        <item x="179"/>
        <item x="146"/>
        <item x="272"/>
        <item x="370"/>
        <item x="412"/>
        <item x="235"/>
        <item x="404"/>
        <item x="371"/>
        <item x="207"/>
        <item x="410"/>
        <item x="413"/>
        <item x="358"/>
        <item x="256"/>
        <item x="454"/>
        <item x="433"/>
        <item x="195"/>
        <item x="135"/>
        <item x="142"/>
        <item x="178"/>
        <item x="267"/>
        <item x="383"/>
        <item x="284"/>
        <item x="374"/>
        <item x="415"/>
        <item x="381"/>
        <item x="292"/>
        <item x="258"/>
        <item x="393"/>
        <item x="110"/>
        <item x="20"/>
        <item x="247"/>
        <item x="450"/>
        <item x="399"/>
        <item x="453"/>
        <item x="12"/>
        <item x="227"/>
        <item x="375"/>
        <item x="72"/>
        <item x="15"/>
        <item x="54"/>
        <item x="49"/>
        <item x="76"/>
        <item x="73"/>
        <item x="71"/>
        <item x="11"/>
        <item x="10"/>
        <item x="36"/>
        <item x="7"/>
        <item x="9"/>
        <item x="8"/>
        <item x="57"/>
        <item x="353"/>
        <item x="62"/>
        <item x="74"/>
        <item x="58"/>
        <item x="59"/>
        <item x="6"/>
        <item x="2"/>
        <item x="63"/>
        <item x="53"/>
        <item x="64"/>
        <item x="52"/>
        <item x="55"/>
        <item x="48"/>
        <item x="56"/>
        <item x="0"/>
        <item x="45"/>
        <item x="21"/>
        <item x="61"/>
        <item x="87"/>
        <item x="212"/>
        <item x="238"/>
        <item x="291"/>
        <item x="117"/>
        <item x="459"/>
        <item x="279"/>
        <item x="378"/>
        <item x="343"/>
        <item x="97"/>
        <item x="109"/>
        <item x="98"/>
        <item x="99"/>
        <item x="276"/>
        <item x="425"/>
        <item x="331"/>
        <item x="389"/>
        <item x="465"/>
        <item x="351"/>
        <item x="106"/>
        <item x="384"/>
        <item x="352"/>
        <item x="368"/>
        <item x="96"/>
        <item x="102"/>
        <item x="401"/>
        <item x="367"/>
        <item x="105"/>
        <item x="101"/>
        <item x="107"/>
        <item x="104"/>
        <item x="385"/>
        <item x="366"/>
        <item x="484"/>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Page" compact="0" outline="0" multipleItemSelectionAllowed="1" showAll="0">
      <items count="574">
        <item x="568"/>
        <item x="566"/>
        <item x="567"/>
        <item x="146"/>
        <item x="176"/>
        <item x="102"/>
        <item x="468"/>
        <item x="396"/>
        <item x="451"/>
        <item x="515"/>
        <item x="492"/>
        <item x="352"/>
        <item x="358"/>
        <item x="304"/>
        <item x="534"/>
        <item x="280"/>
        <item x="287"/>
        <item x="221"/>
        <item x="499"/>
        <item x="548"/>
        <item x="518"/>
        <item x="530"/>
        <item x="552"/>
        <item x="528"/>
        <item x="520"/>
        <item x="543"/>
        <item x="58"/>
        <item x="59"/>
        <item x="60"/>
        <item x="61"/>
        <item x="62"/>
        <item x="54"/>
        <item x="53"/>
        <item x="63"/>
        <item x="544"/>
        <item x="517"/>
        <item x="215"/>
        <item x="92"/>
        <item x="328"/>
        <item x="200"/>
        <item x="86"/>
        <item x="387"/>
        <item x="195"/>
        <item x="196"/>
        <item x="88"/>
        <item x="64"/>
        <item x="198"/>
        <item x="66"/>
        <item x="95"/>
        <item x="204"/>
        <item x="217"/>
        <item x="87"/>
        <item x="224"/>
        <item x="192"/>
        <item x="191"/>
        <item x="94"/>
        <item x="455"/>
        <item x="453"/>
        <item x="199"/>
        <item x="213"/>
        <item x="408"/>
        <item x="85"/>
        <item x="389"/>
        <item x="197"/>
        <item x="201"/>
        <item x="247"/>
        <item x="424"/>
        <item x="194"/>
        <item x="438"/>
        <item x="465"/>
        <item x="205"/>
        <item x="343"/>
        <item x="214"/>
        <item x="188"/>
        <item x="400"/>
        <item x="491"/>
        <item x="401"/>
        <item x="218"/>
        <item x="454"/>
        <item x="193"/>
        <item x="242"/>
        <item x="74"/>
        <item x="76"/>
        <item x="73"/>
        <item x="75"/>
        <item x="77"/>
        <item x="344"/>
        <item x="72"/>
        <item x="443"/>
        <item x="428"/>
        <item x="4"/>
        <item x="426"/>
        <item x="456"/>
        <item x="535"/>
        <item x="368"/>
        <item x="452"/>
        <item x="227"/>
        <item x="91"/>
        <item x="554"/>
        <item x="137"/>
        <item x="570"/>
        <item x="156"/>
        <item x="302"/>
        <item x="46"/>
        <item x="2"/>
        <item x="3"/>
        <item x="8"/>
        <item x="16"/>
        <item x="17"/>
        <item x="18"/>
        <item x="21"/>
        <item x="22"/>
        <item x="28"/>
        <item x="35"/>
        <item x="36"/>
        <item x="40"/>
        <item x="47"/>
        <item x="50"/>
        <item x="313"/>
        <item x="348"/>
        <item x="486"/>
        <item x="531"/>
        <item x="240"/>
        <item x="251"/>
        <item x="228"/>
        <item x="231"/>
        <item x="259"/>
        <item x="230"/>
        <item x="239"/>
        <item x="234"/>
        <item x="138"/>
        <item x="165"/>
        <item x="116"/>
        <item x="345"/>
        <item x="162"/>
        <item x="341"/>
        <item x="334"/>
        <item x="114"/>
        <item x="533"/>
        <item x="526"/>
        <item x="538"/>
        <item x="539"/>
        <item x="516"/>
        <item x="545"/>
        <item x="525"/>
        <item x="513"/>
        <item x="167"/>
        <item x="158"/>
        <item x="409"/>
        <item x="447"/>
        <item x="436"/>
        <item x="448"/>
        <item x="485"/>
        <item x="488"/>
        <item x="423"/>
        <item x="457"/>
        <item x="395"/>
        <item x="413"/>
        <item x="482"/>
        <item x="489"/>
        <item x="479"/>
        <item x="510"/>
        <item x="421"/>
        <item x="422"/>
        <item x="484"/>
        <item x="320"/>
        <item x="399"/>
        <item x="478"/>
        <item x="555"/>
        <item x="269"/>
        <item x="276"/>
        <item x="521"/>
        <item x="532"/>
        <item x="508"/>
        <item x="509"/>
        <item x="370"/>
        <item x="434"/>
        <item x="244"/>
        <item x="140"/>
        <item x="283"/>
        <item x="266"/>
        <item x="275"/>
        <item x="282"/>
        <item x="292"/>
        <item x="290"/>
        <item x="83"/>
        <item x="267"/>
        <item x="351"/>
        <item x="306"/>
        <item x="268"/>
        <item x="541"/>
        <item x="560"/>
        <item x="161"/>
        <item x="349"/>
        <item x="361"/>
        <item x="383"/>
        <item x="388"/>
        <item x="303"/>
        <item x="265"/>
        <item x="128"/>
        <item x="274"/>
        <item x="386"/>
        <item x="542"/>
        <item x="272"/>
        <item x="472"/>
        <item x="385"/>
        <item x="307"/>
        <item x="569"/>
        <item x="558"/>
        <item x="556"/>
        <item x="141"/>
        <item x="98"/>
        <item x="51"/>
        <item x="52"/>
        <item x="0"/>
        <item x="6"/>
        <item x="7"/>
        <item x="9"/>
        <item x="10"/>
        <item x="11"/>
        <item x="12"/>
        <item x="13"/>
        <item x="14"/>
        <item x="15"/>
        <item x="20"/>
        <item x="19"/>
        <item x="45"/>
        <item x="497"/>
        <item x="157"/>
        <item x="411"/>
        <item x="432"/>
        <item x="481"/>
        <item x="120"/>
        <item x="441"/>
        <item x="154"/>
        <item x="470"/>
        <item x="427"/>
        <item x="414"/>
        <item x="444"/>
        <item x="429"/>
        <item x="495"/>
        <item x="442"/>
        <item x="402"/>
        <item x="496"/>
        <item x="431"/>
        <item x="425"/>
        <item x="412"/>
        <item x="131"/>
        <item x="546"/>
        <item x="553"/>
        <item x="312"/>
        <item x="394"/>
        <item x="417"/>
        <item x="446"/>
        <item x="445"/>
        <item x="475"/>
        <item x="476"/>
        <item x="419"/>
        <item x="418"/>
        <item x="135"/>
        <item x="393"/>
        <item x="71"/>
        <item x="68"/>
        <item x="69"/>
        <item x="70"/>
        <item x="390"/>
        <item x="209"/>
        <item x="125"/>
        <item x="97"/>
        <item x="225"/>
        <item x="233"/>
        <item x="261"/>
        <item x="255"/>
        <item x="226"/>
        <item x="229"/>
        <item x="258"/>
        <item x="257"/>
        <item x="260"/>
        <item x="330"/>
        <item x="93"/>
        <item x="207"/>
        <item x="336"/>
        <item x="65"/>
        <item x="565"/>
        <item x="335"/>
        <item x="190"/>
        <item x="331"/>
        <item x="105"/>
        <item x="245"/>
        <item x="253"/>
        <item x="498"/>
        <item x="450"/>
        <item x="398"/>
        <item x="500"/>
        <item x="522"/>
        <item x="277"/>
        <item x="220"/>
        <item x="108"/>
        <item x="178"/>
        <item x="113"/>
        <item x="170"/>
        <item x="110"/>
        <item x="181"/>
        <item x="101"/>
        <item x="78"/>
        <item x="177"/>
        <item x="112"/>
        <item x="169"/>
        <item x="107"/>
        <item x="172"/>
        <item x="111"/>
        <item x="179"/>
        <item x="106"/>
        <item x="130"/>
        <item x="79"/>
        <item x="142"/>
        <item x="80"/>
        <item x="123"/>
        <item x="82"/>
        <item x="81"/>
        <item x="136"/>
        <item x="182"/>
        <item x="404"/>
        <item x="460"/>
        <item x="67"/>
        <item x="403"/>
        <item x="437"/>
        <item x="561"/>
        <item x="164"/>
        <item x="133"/>
        <item x="115"/>
        <item x="505"/>
        <item x="310"/>
        <item x="299"/>
        <item x="317"/>
        <item x="319"/>
        <item x="416"/>
        <item x="23"/>
        <item x="27"/>
        <item x="490"/>
        <item x="430"/>
        <item x="466"/>
        <item x="477"/>
        <item x="37"/>
        <item x="26"/>
        <item x="30"/>
        <item x="471"/>
        <item x="463"/>
        <item x="458"/>
        <item x="406"/>
        <item x="29"/>
        <item x="32"/>
        <item x="501"/>
        <item x="469"/>
        <item x="462"/>
        <item x="31"/>
        <item x="480"/>
        <item x="483"/>
        <item x="459"/>
        <item x="512"/>
        <item x="420"/>
        <item x="25"/>
        <item x="1"/>
        <item x="34"/>
        <item x="41"/>
        <item x="372"/>
        <item x="38"/>
        <item x="44"/>
        <item x="439"/>
        <item x="42"/>
        <item x="33"/>
        <item x="43"/>
        <item x="5"/>
        <item x="189"/>
        <item x="384"/>
        <item x="380"/>
        <item x="350"/>
        <item x="273"/>
        <item x="562"/>
        <item x="391"/>
        <item x="536"/>
        <item x="540"/>
        <item x="507"/>
        <item x="222"/>
        <item x="563"/>
        <item x="376"/>
        <item x="160"/>
        <item x="89"/>
        <item x="571"/>
        <item x="271"/>
        <item x="264"/>
        <item x="143"/>
        <item x="139"/>
        <item x="262"/>
        <item x="381"/>
        <item x="415"/>
        <item x="440"/>
        <item x="467"/>
        <item x="249"/>
        <item x="152"/>
        <item x="377"/>
        <item x="373"/>
        <item x="378"/>
        <item x="297"/>
        <item x="270"/>
        <item x="318"/>
        <item x="241"/>
        <item x="166"/>
        <item x="311"/>
        <item x="278"/>
        <item x="163"/>
        <item x="360"/>
        <item x="487"/>
        <item x="504"/>
        <item x="527"/>
        <item x="503"/>
        <item x="524"/>
        <item x="514"/>
        <item x="523"/>
        <item x="529"/>
        <item x="549"/>
        <item x="374"/>
        <item x="153"/>
        <item x="151"/>
        <item x="301"/>
        <item x="134"/>
        <item x="298"/>
        <item x="279"/>
        <item x="246"/>
        <item x="100"/>
        <item x="379"/>
        <item x="300"/>
        <item x="550"/>
        <item x="464"/>
        <item x="288"/>
        <item x="367"/>
        <item x="371"/>
        <item x="56"/>
        <item x="236"/>
        <item x="84"/>
        <item x="362"/>
        <item x="356"/>
        <item x="353"/>
        <item x="363"/>
        <item x="359"/>
        <item x="354"/>
        <item x="364"/>
        <item x="375"/>
        <item x="365"/>
        <item x="369"/>
        <item x="355"/>
        <item x="366"/>
        <item x="357"/>
        <item x="118"/>
        <item x="293"/>
        <item x="314"/>
        <item x="281"/>
        <item x="238"/>
        <item x="256"/>
        <item x="309"/>
        <item x="382"/>
        <item x="284"/>
        <item x="289"/>
        <item x="291"/>
        <item x="296"/>
        <item x="295"/>
        <item x="308"/>
        <item x="285"/>
        <item x="286"/>
        <item x="316"/>
        <item x="305"/>
        <item x="55"/>
        <item x="57"/>
        <item x="24"/>
        <item x="39"/>
        <item x="48"/>
        <item x="49"/>
        <item x="405"/>
        <item x="506"/>
        <item x="325"/>
        <item x="321"/>
        <item x="339"/>
        <item x="337"/>
        <item x="342"/>
        <item x="147"/>
        <item x="99"/>
        <item x="551"/>
        <item x="119"/>
        <item x="332"/>
        <item x="322"/>
        <item x="329"/>
        <item x="210"/>
        <item x="338"/>
        <item x="397"/>
        <item x="186"/>
        <item x="324"/>
        <item x="326"/>
        <item x="252"/>
        <item x="235"/>
        <item x="248"/>
        <item x="237"/>
        <item x="254"/>
        <item x="223"/>
        <item x="96"/>
        <item x="90"/>
        <item x="392"/>
        <item x="327"/>
        <item x="148"/>
        <item x="145"/>
        <item x="203"/>
        <item x="187"/>
        <item x="127"/>
        <item x="149"/>
        <item x="206"/>
        <item x="216"/>
        <item x="144"/>
        <item x="493"/>
        <item x="122"/>
        <item x="129"/>
        <item x="121"/>
        <item x="126"/>
        <item x="117"/>
        <item x="132"/>
        <item x="323"/>
        <item x="346"/>
        <item x="347"/>
        <item x="435"/>
        <item x="474"/>
        <item x="407"/>
        <item x="433"/>
        <item x="473"/>
        <item x="564"/>
        <item x="557"/>
        <item x="502"/>
        <item x="185"/>
        <item x="104"/>
        <item x="175"/>
        <item x="103"/>
        <item x="174"/>
        <item x="184"/>
        <item x="537"/>
        <item x="461"/>
        <item x="547"/>
        <item x="333"/>
        <item x="180"/>
        <item x="183"/>
        <item x="173"/>
        <item x="171"/>
        <item x="494"/>
        <item x="410"/>
        <item x="449"/>
        <item x="243"/>
        <item x="232"/>
        <item x="559"/>
        <item x="250"/>
        <item x="511"/>
        <item x="208"/>
        <item x="519"/>
        <item x="212"/>
        <item x="150"/>
        <item x="202"/>
        <item x="124"/>
        <item x="155"/>
        <item x="219"/>
        <item x="168"/>
        <item x="340"/>
        <item x="109"/>
        <item h="1" x="315"/>
        <item x="159"/>
        <item x="294"/>
        <item x="211"/>
        <item h="1" x="263"/>
        <item x="572"/>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29">
        <item x="18"/>
        <item x="20"/>
        <item x="1"/>
        <item x="17"/>
        <item x="12"/>
        <item x="4"/>
        <item x="23"/>
        <item x="6"/>
        <item x="7"/>
        <item x="8"/>
        <item x="10"/>
        <item x="2"/>
        <item x="15"/>
        <item x="22"/>
        <item x="11"/>
        <item x="25"/>
        <item x="24"/>
        <item x="3"/>
        <item x="26"/>
        <item x="0"/>
        <item x="21"/>
        <item x="27"/>
        <item x="13"/>
        <item x="14"/>
        <item x="9"/>
        <item x="16"/>
        <item x="5"/>
        <item x="19"/>
        <item x="28"/>
      </items>
      <extLst>
        <ext xmlns:x14="http://schemas.microsoft.com/office/spreadsheetml/2009/9/main" uri="{2946ED86-A175-432a-8AC1-64E0C546D7DE}">
          <x14:pivotField fillDownLabels="1"/>
        </ext>
      </extLst>
    </pivotField>
    <pivotField axis="axisRow" compact="0" outline="0" showAll="0" sortType="descending">
      <items count="30">
        <item x="3"/>
        <item x="4"/>
        <item x="0"/>
        <item x="5"/>
        <item x="6"/>
        <item x="7"/>
        <item x="8"/>
        <item x="9"/>
        <item x="10"/>
        <item x="11"/>
        <item x="12"/>
        <item x="13"/>
        <item x="14"/>
        <item x="15"/>
        <item x="16"/>
        <item x="17"/>
        <item x="18"/>
        <item x="19"/>
        <item x="20"/>
        <item x="21"/>
        <item x="2"/>
        <item x="22"/>
        <item x="1"/>
        <item x="23"/>
        <item x="24"/>
        <item x="25"/>
        <item x="26"/>
        <item x="27"/>
        <item x="28"/>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Page" compact="0" outline="0" showAll="0">
      <items count="4">
        <item x="0"/>
        <item x="1"/>
        <item x="2"/>
        <item t="default"/>
      </items>
      <extLst>
        <ext xmlns:x14="http://schemas.microsoft.com/office/spreadsheetml/2009/9/main" uri="{2946ED86-A175-432a-8AC1-64E0C546D7DE}">
          <x14:pivotField fillDownLabels="1"/>
        </ext>
      </extLst>
    </pivotField>
  </pivotFields>
  <rowFields count="4">
    <field x="11"/>
    <field x="14"/>
    <field x="18"/>
    <field x="19"/>
  </rowFields>
  <rowItems count="555">
    <i>
      <x/>
      <x v="90"/>
      <x/>
      <x v="16"/>
    </i>
    <i>
      <x v="1"/>
      <x v="230"/>
      <x v="2"/>
      <x v="22"/>
    </i>
    <i r="2">
      <x v="3"/>
      <x v="15"/>
    </i>
    <i r="2">
      <x v="12"/>
      <x v="13"/>
    </i>
    <i>
      <x v="2"/>
      <x v="226"/>
      <x v="7"/>
      <x v="4"/>
    </i>
    <i r="2">
      <x v="12"/>
      <x v="13"/>
    </i>
    <i>
      <x v="3"/>
      <x v="31"/>
      <x v="7"/>
      <x v="4"/>
    </i>
    <i r="2">
      <x v="12"/>
      <x v="13"/>
    </i>
    <i>
      <x v="4"/>
      <x v="233"/>
      <x v="7"/>
      <x v="4"/>
    </i>
    <i r="2">
      <x v="12"/>
      <x v="13"/>
    </i>
    <i>
      <x v="5"/>
      <x v="232"/>
      <x v="2"/>
      <x v="22"/>
    </i>
    <i r="2">
      <x v="12"/>
      <x v="13"/>
    </i>
    <i>
      <x v="6"/>
      <x v="19"/>
      <x v="3"/>
      <x v="15"/>
    </i>
    <i r="2">
      <x v="12"/>
      <x v="13"/>
    </i>
    <i>
      <x v="7"/>
      <x v="351"/>
      <x v="27"/>
      <x v="17"/>
    </i>
    <i>
      <x v="8"/>
      <x v="375"/>
      <x v="2"/>
      <x v="22"/>
    </i>
    <i>
      <x v="9"/>
      <x v="50"/>
      <x v="15"/>
      <x v="25"/>
    </i>
    <i>
      <x v="10"/>
      <x v="150"/>
      <x v="4"/>
      <x v="10"/>
    </i>
    <i>
      <x v="11"/>
      <x v="265"/>
      <x v="1"/>
      <x v="18"/>
    </i>
    <i>
      <x v="12"/>
      <x v="256"/>
      <x v="2"/>
      <x v="22"/>
    </i>
    <i>
      <x v="13"/>
      <x v="304"/>
      <x v="2"/>
      <x v="22"/>
    </i>
    <i>
      <x v="14"/>
      <x v="17"/>
      <x v="7"/>
      <x v="4"/>
    </i>
    <i r="2">
      <x v="12"/>
      <x v="13"/>
    </i>
    <i>
      <x v="15"/>
      <x v="378"/>
      <x v="6"/>
      <x v="23"/>
    </i>
    <i>
      <x v="16"/>
      <x v="286"/>
      <x/>
      <x v="16"/>
    </i>
    <i>
      <x v="17"/>
      <x v="116"/>
      <x v="3"/>
      <x v="15"/>
    </i>
    <i>
      <x v="18"/>
      <x v="176"/>
      <x v="6"/>
      <x v="23"/>
    </i>
    <i>
      <x v="19"/>
      <x v="460"/>
      <x v="24"/>
      <x v="7"/>
    </i>
    <i r="2">
      <x v="27"/>
      <x v="17"/>
    </i>
    <i>
      <x v="21"/>
      <x v="347"/>
      <x v="6"/>
      <x v="23"/>
    </i>
    <i>
      <x v="22"/>
      <x v="219"/>
      <x v="7"/>
      <x v="4"/>
    </i>
    <i r="2">
      <x v="12"/>
      <x v="13"/>
    </i>
    <i>
      <x v="23"/>
      <x v="94"/>
      <x v="2"/>
      <x v="22"/>
    </i>
    <i>
      <x v="24"/>
      <x v="93"/>
      <x v="2"/>
      <x v="22"/>
    </i>
    <i>
      <x v="25"/>
      <x v="466"/>
      <x v="1"/>
      <x v="18"/>
    </i>
    <i>
      <x v="26"/>
      <x v="55"/>
      <x/>
      <x v="16"/>
    </i>
    <i>
      <x v="27"/>
      <x v="458"/>
      <x v="2"/>
      <x v="22"/>
    </i>
    <i>
      <x v="28"/>
      <x v="179"/>
      <x v="2"/>
      <x v="22"/>
    </i>
    <i>
      <x v="29"/>
      <x/>
      <x v="2"/>
      <x v="22"/>
    </i>
    <i>
      <x v="30"/>
      <x v="1"/>
      <x v="2"/>
      <x v="22"/>
    </i>
    <i>
      <x v="31"/>
      <x v="414"/>
      <x v="2"/>
      <x v="22"/>
    </i>
    <i>
      <x v="32"/>
      <x v="36"/>
      <x v="6"/>
      <x v="23"/>
    </i>
    <i>
      <x v="33"/>
      <x v="341"/>
      <x v="3"/>
      <x v="15"/>
    </i>
    <i>
      <x v="34"/>
      <x v="340"/>
      <x v="3"/>
      <x v="15"/>
    </i>
    <i>
      <x v="35"/>
      <x v="379"/>
      <x v="6"/>
      <x v="23"/>
    </i>
    <i>
      <x v="36"/>
      <x v="349"/>
      <x v="6"/>
      <x v="23"/>
    </i>
    <i>
      <x v="37"/>
      <x v="348"/>
      <x v="6"/>
      <x v="23"/>
    </i>
    <i>
      <x v="38"/>
      <x v="346"/>
      <x v="6"/>
      <x v="23"/>
    </i>
    <i>
      <x v="39"/>
      <x v="344"/>
      <x v="6"/>
      <x v="23"/>
    </i>
    <i>
      <x v="40"/>
      <x v="345"/>
      <x v="6"/>
      <x v="23"/>
    </i>
    <i>
      <x v="41"/>
      <x v="337"/>
      <x v="16"/>
      <x v="24"/>
    </i>
    <i>
      <x v="42"/>
      <x v="59"/>
      <x v="4"/>
      <x v="10"/>
    </i>
    <i>
      <x v="43"/>
      <x v="410"/>
      <x v="14"/>
      <x v="9"/>
    </i>
    <i>
      <x v="44"/>
      <x v="77"/>
      <x v="2"/>
      <x v="22"/>
    </i>
    <i r="2">
      <x v="22"/>
      <x v="11"/>
    </i>
    <i>
      <x v="45"/>
      <x v="465"/>
      <x v="6"/>
      <x v="23"/>
    </i>
    <i>
      <x v="46"/>
      <x v="250"/>
      <x v="2"/>
      <x v="22"/>
    </i>
    <i>
      <x v="47"/>
      <x v="323"/>
      <x v="17"/>
      <x/>
    </i>
    <i>
      <x v="48"/>
      <x v="244"/>
      <x v="6"/>
      <x v="23"/>
    </i>
    <i>
      <x v="49"/>
      <x v="228"/>
      <x v="2"/>
      <x v="22"/>
    </i>
    <i r="2">
      <x v="12"/>
      <x v="13"/>
    </i>
    <i>
      <x v="50"/>
      <x v="318"/>
      <x v="6"/>
      <x v="23"/>
    </i>
    <i>
      <x v="51"/>
      <x v="241"/>
      <x v="6"/>
      <x v="23"/>
    </i>
    <i>
      <x v="52"/>
      <x v="413"/>
      <x v="6"/>
      <x v="23"/>
    </i>
    <i>
      <x v="53"/>
      <x v="283"/>
      <x v="3"/>
      <x v="15"/>
    </i>
    <i>
      <x v="54"/>
      <x v="278"/>
      <x v="1"/>
      <x v="18"/>
    </i>
    <i>
      <x v="55"/>
      <x v="275"/>
      <x/>
      <x v="16"/>
    </i>
    <i>
      <x v="56"/>
      <x v="463"/>
      <x v="22"/>
      <x v="11"/>
    </i>
    <i r="2">
      <x v="23"/>
      <x v="12"/>
    </i>
    <i r="2">
      <x v="24"/>
      <x v="7"/>
    </i>
    <i>
      <x v="57"/>
      <x v="462"/>
      <x v="22"/>
      <x v="11"/>
    </i>
    <i r="2">
      <x v="23"/>
      <x v="12"/>
    </i>
    <i r="2">
      <x v="24"/>
      <x v="7"/>
    </i>
    <i>
      <x v="58"/>
      <x v="459"/>
      <x v="1"/>
      <x v="18"/>
    </i>
    <i>
      <x v="59"/>
      <x v="271"/>
      <x v="3"/>
      <x v="15"/>
    </i>
    <i>
      <x v="60"/>
      <x v="22"/>
      <x v="16"/>
      <x v="24"/>
    </i>
    <i>
      <x v="61"/>
      <x v="354"/>
      <x v="6"/>
      <x v="23"/>
    </i>
    <i>
      <x v="62"/>
      <x v="415"/>
      <x v="6"/>
      <x v="23"/>
    </i>
    <i>
      <x v="63"/>
      <x v="227"/>
      <x v="7"/>
      <x v="4"/>
    </i>
    <i r="2">
      <x v="11"/>
      <x v="20"/>
    </i>
    <i r="2">
      <x v="12"/>
      <x v="13"/>
    </i>
    <i>
      <x v="64"/>
      <x v="261"/>
      <x v="12"/>
      <x v="13"/>
    </i>
    <i>
      <x v="65"/>
      <x v="336"/>
      <x v="14"/>
      <x v="9"/>
    </i>
    <i>
      <x v="66"/>
      <x v="63"/>
      <x v="3"/>
      <x v="15"/>
    </i>
    <i>
      <x v="67"/>
      <x v="237"/>
      <x v="2"/>
      <x v="22"/>
    </i>
    <i r="2">
      <x v="12"/>
      <x v="13"/>
    </i>
    <i>
      <x v="68"/>
      <x v="138"/>
      <x v="22"/>
      <x v="11"/>
    </i>
    <i>
      <x v="69"/>
      <x v="139"/>
      <x v="22"/>
      <x v="11"/>
    </i>
    <i>
      <x v="70"/>
      <x v="137"/>
      <x v="22"/>
      <x v="11"/>
    </i>
    <i>
      <x v="71"/>
      <x v="468"/>
      <x v="6"/>
      <x v="23"/>
    </i>
    <i>
      <x v="72"/>
      <x v="83"/>
      <x v="1"/>
      <x v="18"/>
    </i>
    <i>
      <x v="73"/>
      <x v="288"/>
      <x/>
      <x v="16"/>
    </i>
    <i>
      <x v="74"/>
      <x v="235"/>
      <x v="3"/>
      <x v="15"/>
    </i>
    <i r="2">
      <x v="12"/>
      <x v="13"/>
    </i>
    <i>
      <x v="75"/>
      <x v="285"/>
      <x/>
      <x v="16"/>
    </i>
    <i>
      <x v="76"/>
      <x v="214"/>
      <x v="8"/>
      <x v="5"/>
    </i>
    <i r="2">
      <x v="14"/>
      <x v="9"/>
    </i>
    <i>
      <x v="77"/>
      <x v="104"/>
      <x/>
      <x v="16"/>
    </i>
    <i>
      <x v="78"/>
      <x v="195"/>
      <x v="14"/>
      <x v="9"/>
    </i>
    <i>
      <x v="79"/>
      <x v="196"/>
      <x v="14"/>
      <x v="9"/>
    </i>
    <i>
      <x v="80"/>
      <x v="467"/>
      <x v="2"/>
      <x v="22"/>
    </i>
    <i>
      <x v="81"/>
      <x v="56"/>
      <x v="1"/>
      <x v="18"/>
    </i>
    <i>
      <x v="82"/>
      <x v="106"/>
      <x v="27"/>
      <x v="17"/>
    </i>
    <i>
      <x v="83"/>
      <x v="216"/>
      <x v="2"/>
      <x v="22"/>
    </i>
    <i>
      <x v="84"/>
      <x v="47"/>
      <x/>
      <x v="16"/>
    </i>
    <i>
      <x v="85"/>
      <x v="203"/>
      <x v="16"/>
      <x v="24"/>
    </i>
    <i>
      <x v="86"/>
      <x v="383"/>
      <x v="4"/>
      <x v="10"/>
    </i>
    <i>
      <x v="87"/>
      <x v="193"/>
      <x v="14"/>
      <x v="9"/>
    </i>
    <i>
      <x v="88"/>
      <x v="4"/>
      <x v="4"/>
      <x v="10"/>
    </i>
    <i>
      <x v="89"/>
      <x v="251"/>
      <x v="12"/>
      <x v="13"/>
    </i>
    <i r="2">
      <x v="27"/>
      <x v="17"/>
    </i>
    <i>
      <x v="90"/>
      <x v="335"/>
      <x v="1"/>
      <x v="18"/>
    </i>
    <i r="2">
      <x v="12"/>
      <x v="13"/>
    </i>
    <i r="2">
      <x v="13"/>
      <x v="21"/>
    </i>
    <i>
      <x v="91"/>
      <x v="27"/>
      <x v="1"/>
      <x v="18"/>
    </i>
    <i>
      <x v="92"/>
      <x v="189"/>
      <x/>
      <x v="16"/>
    </i>
    <i>
      <x v="93"/>
      <x v="451"/>
      <x v="3"/>
      <x v="15"/>
    </i>
    <i r="2">
      <x v="7"/>
      <x v="4"/>
    </i>
    <i>
      <x v="94"/>
      <x v="23"/>
      <x v="3"/>
      <x v="15"/>
    </i>
    <i>
      <x v="95"/>
      <x v="200"/>
      <x v="12"/>
      <x v="13"/>
    </i>
    <i r="2">
      <x v="27"/>
      <x v="17"/>
    </i>
    <i>
      <x v="96"/>
      <x v="240"/>
      <x v="6"/>
      <x v="23"/>
    </i>
    <i>
      <x v="97"/>
      <x v="268"/>
      <x v="3"/>
      <x v="15"/>
    </i>
    <i>
      <x v="98"/>
      <x v="358"/>
      <x v="14"/>
      <x v="9"/>
    </i>
    <i>
      <x v="99"/>
      <x v="454"/>
      <x/>
      <x v="16"/>
    </i>
    <i>
      <x v="100"/>
      <x v="274"/>
      <x/>
      <x v="16"/>
    </i>
    <i>
      <x v="101"/>
      <x v="303"/>
      <x v="6"/>
      <x v="23"/>
    </i>
    <i>
      <x v="102"/>
      <x v="248"/>
      <x v="3"/>
      <x v="15"/>
    </i>
    <i>
      <x v="103"/>
      <x v="48"/>
      <x/>
      <x v="16"/>
    </i>
    <i>
      <x v="104"/>
      <x v="321"/>
      <x v="2"/>
      <x v="22"/>
    </i>
    <i>
      <x v="105"/>
      <x v="320"/>
      <x v="2"/>
      <x v="22"/>
    </i>
    <i>
      <x v="107"/>
      <x v="220"/>
      <x v="1"/>
      <x v="18"/>
    </i>
    <i>
      <x v="108"/>
      <x v="111"/>
      <x/>
      <x v="16"/>
    </i>
    <i>
      <x v="109"/>
      <x v="194"/>
      <x v="14"/>
      <x v="9"/>
    </i>
    <i>
      <x v="111"/>
      <x v="229"/>
      <x v="2"/>
      <x v="22"/>
    </i>
    <i r="2">
      <x v="12"/>
      <x v="13"/>
    </i>
    <i>
      <x v="112"/>
      <x v="41"/>
      <x v="2"/>
      <x v="22"/>
    </i>
    <i>
      <x v="113"/>
      <x v="40"/>
      <x v="2"/>
      <x v="22"/>
    </i>
    <i>
      <x v="114"/>
      <x v="433"/>
      <x v="2"/>
      <x v="22"/>
    </i>
    <i>
      <x v="115"/>
      <x v="470"/>
      <x v="22"/>
      <x v="11"/>
    </i>
    <i r="2">
      <x v="24"/>
      <x v="7"/>
    </i>
    <i>
      <x v="116"/>
      <x v="469"/>
      <x v="2"/>
      <x v="22"/>
    </i>
    <i>
      <x v="117"/>
      <x v="472"/>
      <x v="2"/>
      <x v="22"/>
    </i>
    <i>
      <x v="118"/>
      <x v="473"/>
      <x v="2"/>
      <x v="22"/>
    </i>
    <i>
      <x v="119"/>
      <x v="475"/>
      <x v="22"/>
      <x v="11"/>
    </i>
    <i r="2">
      <x v="24"/>
      <x v="7"/>
    </i>
    <i>
      <x v="120"/>
      <x v="474"/>
      <x v="22"/>
      <x v="11"/>
    </i>
    <i r="2">
      <x v="24"/>
      <x v="7"/>
    </i>
    <i>
      <x v="121"/>
      <x v="477"/>
      <x v="2"/>
      <x v="22"/>
    </i>
    <i>
      <x v="122"/>
      <x v="476"/>
      <x v="2"/>
      <x v="22"/>
    </i>
    <i>
      <x v="123"/>
      <x v="478"/>
      <x v="22"/>
      <x v="11"/>
    </i>
    <i r="2">
      <x v="24"/>
      <x v="7"/>
    </i>
    <i>
      <x v="124"/>
      <x v="480"/>
      <x v="22"/>
      <x v="11"/>
    </i>
    <i r="2">
      <x v="24"/>
      <x v="7"/>
    </i>
    <i>
      <x v="125"/>
      <x v="479"/>
      <x v="22"/>
      <x v="11"/>
    </i>
    <i r="2">
      <x v="24"/>
      <x v="7"/>
    </i>
    <i>
      <x v="126"/>
      <x v="481"/>
      <x v="22"/>
      <x v="11"/>
    </i>
    <i r="2">
      <x v="24"/>
      <x v="7"/>
    </i>
    <i>
      <x v="127"/>
      <x v="483"/>
      <x v="2"/>
      <x v="22"/>
    </i>
    <i>
      <x v="128"/>
      <x v="453"/>
      <x/>
      <x v="16"/>
    </i>
    <i>
      <x v="129"/>
      <x v="391"/>
      <x v="2"/>
      <x v="22"/>
    </i>
    <i>
      <x v="130"/>
      <x v="242"/>
      <x v="2"/>
      <x v="22"/>
    </i>
    <i>
      <x v="131"/>
      <x v="33"/>
      <x v="15"/>
      <x v="25"/>
    </i>
    <i>
      <x v="132"/>
      <x v="482"/>
      <x v="2"/>
      <x v="22"/>
    </i>
    <i>
      <x v="133"/>
      <x v="266"/>
      <x v="27"/>
      <x v="17"/>
    </i>
    <i>
      <x v="134"/>
      <x v="76"/>
      <x v="16"/>
      <x v="24"/>
    </i>
    <i>
      <x v="135"/>
      <x v="332"/>
      <x v="4"/>
      <x v="10"/>
    </i>
    <i>
      <x v="136"/>
      <x v="333"/>
      <x v="24"/>
      <x v="7"/>
    </i>
    <i>
      <x v="137"/>
      <x v="11"/>
      <x v="1"/>
      <x v="18"/>
    </i>
    <i>
      <x v="138"/>
      <x v="16"/>
      <x v="12"/>
      <x v="13"/>
    </i>
    <i r="2">
      <x v="20"/>
      <x v="19"/>
    </i>
    <i>
      <x v="139"/>
      <x v="361"/>
      <x v="3"/>
      <x v="15"/>
    </i>
    <i r="2">
      <x v="6"/>
      <x v="23"/>
    </i>
    <i>
      <x v="140"/>
      <x v="255"/>
      <x v="16"/>
      <x v="24"/>
    </i>
    <i>
      <x v="141"/>
      <x v="252"/>
      <x/>
      <x v="16"/>
    </i>
    <i>
      <x v="142"/>
      <x v="213"/>
      <x v="14"/>
      <x v="9"/>
    </i>
    <i>
      <x v="143"/>
      <x v="326"/>
      <x v="6"/>
      <x v="23"/>
    </i>
    <i>
      <x v="144"/>
      <x v="327"/>
      <x v="6"/>
      <x v="23"/>
    </i>
    <i>
      <x v="145"/>
      <x v="329"/>
      <x v="6"/>
      <x v="23"/>
    </i>
    <i>
      <x v="146"/>
      <x v="330"/>
      <x v="6"/>
      <x v="23"/>
    </i>
    <i>
      <x v="147"/>
      <x v="328"/>
      <x v="6"/>
      <x v="23"/>
    </i>
    <i>
      <x v="148"/>
      <x v="215"/>
      <x v="14"/>
      <x v="9"/>
    </i>
    <i>
      <x v="149"/>
      <x v="461"/>
      <x v="4"/>
      <x v="10"/>
    </i>
    <i r="2">
      <x v="10"/>
      <x v="8"/>
    </i>
    <i>
      <x v="150"/>
      <x v="267"/>
      <x v="3"/>
      <x v="15"/>
    </i>
    <i>
      <x v="151"/>
      <x v="392"/>
      <x v="2"/>
      <x v="22"/>
    </i>
    <i>
      <x v="152"/>
      <x v="447"/>
      <x v="19"/>
      <x v="2"/>
    </i>
    <i>
      <x v="153"/>
      <x v="177"/>
      <x v="6"/>
      <x v="23"/>
    </i>
    <i>
      <x v="154"/>
      <x v="182"/>
      <x v="1"/>
      <x v="18"/>
    </i>
    <i>
      <x v="155"/>
      <x v="105"/>
      <x v="27"/>
      <x v="17"/>
    </i>
    <i>
      <x v="156"/>
      <x v="238"/>
      <x v="12"/>
      <x v="13"/>
    </i>
    <i>
      <x v="157"/>
      <x v="395"/>
      <x v="6"/>
      <x v="23"/>
    </i>
    <i>
      <x v="158"/>
      <x v="224"/>
      <x v="4"/>
      <x v="10"/>
    </i>
    <i r="2">
      <x v="12"/>
      <x v="13"/>
    </i>
    <i>
      <x v="159"/>
      <x v="218"/>
      <x/>
      <x v="16"/>
    </i>
    <i>
      <x v="160"/>
      <x v="398"/>
      <x v="14"/>
      <x v="9"/>
    </i>
    <i>
      <x v="161"/>
      <x v="117"/>
      <x v="6"/>
      <x v="23"/>
    </i>
    <i r="2">
      <x v="12"/>
      <x v="13"/>
    </i>
    <i>
      <x v="162"/>
      <x v="161"/>
      <x v="2"/>
      <x v="22"/>
    </i>
    <i>
      <x v="163"/>
      <x v="234"/>
      <x v="2"/>
      <x v="22"/>
    </i>
    <i r="2">
      <x v="12"/>
      <x v="13"/>
    </i>
    <i>
      <x v="164"/>
      <x v="258"/>
      <x v="6"/>
      <x v="23"/>
    </i>
    <i>
      <x v="165"/>
      <x v="206"/>
      <x v="3"/>
      <x v="15"/>
    </i>
    <i>
      <x v="166"/>
      <x v="319"/>
      <x v="2"/>
      <x v="22"/>
    </i>
    <i r="2">
      <x v="14"/>
      <x v="9"/>
    </i>
    <i>
      <x v="167"/>
      <x v="66"/>
      <x v="15"/>
      <x v="25"/>
    </i>
    <i>
      <x v="168"/>
      <x v="148"/>
      <x v="2"/>
      <x v="22"/>
    </i>
    <i>
      <x v="169"/>
      <x v="192"/>
      <x v="14"/>
      <x v="9"/>
    </i>
    <i>
      <x v="170"/>
      <x v="317"/>
      <x v="14"/>
      <x v="9"/>
    </i>
    <i>
      <x v="171"/>
      <x v="350"/>
      <x v="6"/>
      <x v="23"/>
    </i>
    <i>
      <x v="172"/>
      <x v="231"/>
      <x v="12"/>
      <x v="13"/>
    </i>
    <i>
      <x v="173"/>
      <x v="174"/>
      <x/>
      <x v="16"/>
    </i>
    <i>
      <x v="174"/>
      <x v="173"/>
      <x/>
      <x v="16"/>
    </i>
    <i>
      <x v="175"/>
      <x v="471"/>
      <x v="2"/>
      <x v="22"/>
    </i>
    <i>
      <x v="176"/>
      <x v="362"/>
      <x v="3"/>
      <x v="15"/>
    </i>
    <i r="2">
      <x v="6"/>
      <x v="23"/>
    </i>
    <i>
      <x v="177"/>
      <x v="279"/>
      <x/>
      <x v="16"/>
    </i>
    <i>
      <x v="178"/>
      <x v="282"/>
      <x/>
      <x v="16"/>
    </i>
    <i>
      <x v="179"/>
      <x v="276"/>
      <x/>
      <x v="16"/>
    </i>
    <i>
      <x v="180"/>
      <x v="439"/>
      <x v="19"/>
      <x v="2"/>
    </i>
    <i>
      <x v="182"/>
      <x v="118"/>
      <x v="6"/>
      <x v="23"/>
    </i>
    <i>
      <x v="183"/>
      <x v="386"/>
      <x v="2"/>
      <x v="22"/>
    </i>
    <i>
      <x v="184"/>
      <x v="388"/>
      <x v="2"/>
      <x v="22"/>
    </i>
    <i>
      <x v="185"/>
      <x v="387"/>
      <x v="2"/>
      <x v="22"/>
    </i>
    <i>
      <x v="186"/>
      <x v="343"/>
      <x v="1"/>
      <x v="18"/>
    </i>
    <i>
      <x v="187"/>
      <x v="249"/>
      <x v="19"/>
      <x v="2"/>
    </i>
    <i>
      <x v="188"/>
      <x v="385"/>
      <x v="2"/>
      <x v="22"/>
    </i>
    <i>
      <x v="189"/>
      <x v="184"/>
      <x v="1"/>
      <x v="18"/>
    </i>
    <i>
      <x v="190"/>
      <x v="394"/>
      <x v="2"/>
      <x v="22"/>
    </i>
    <i>
      <x v="191"/>
      <x v="103"/>
      <x v="2"/>
      <x v="22"/>
    </i>
    <i>
      <x v="192"/>
      <x v="102"/>
      <x v="2"/>
      <x v="22"/>
    </i>
    <i>
      <x v="194"/>
      <x v="188"/>
      <x/>
      <x v="16"/>
    </i>
    <i>
      <x v="195"/>
      <x v="396"/>
      <x v="6"/>
      <x v="23"/>
    </i>
    <i>
      <x v="196"/>
      <x v="25"/>
      <x v="5"/>
      <x v="1"/>
    </i>
    <i>
      <x v="197"/>
      <x v="26"/>
      <x v="5"/>
      <x v="1"/>
    </i>
    <i>
      <x v="198"/>
      <x v="43"/>
      <x v="27"/>
      <x v="17"/>
    </i>
    <i>
      <x v="199"/>
      <x v="113"/>
      <x v="19"/>
      <x v="2"/>
    </i>
    <i>
      <x v="200"/>
      <x v="280"/>
      <x/>
      <x v="16"/>
    </i>
    <i>
      <x v="201"/>
      <x v="305"/>
      <x v="2"/>
      <x v="22"/>
    </i>
    <i>
      <x v="202"/>
      <x v="409"/>
      <x v="2"/>
      <x v="22"/>
    </i>
    <i>
      <x v="203"/>
      <x v="28"/>
      <x v="6"/>
      <x v="23"/>
    </i>
    <i>
      <x v="204"/>
      <x v="269"/>
      <x v="2"/>
      <x v="22"/>
    </i>
    <i r="2">
      <x v="3"/>
      <x v="15"/>
    </i>
    <i>
      <x v="205"/>
      <x v="185"/>
      <x v="1"/>
      <x v="18"/>
    </i>
    <i>
      <x v="206"/>
      <x v="54"/>
      <x v="2"/>
      <x v="22"/>
    </i>
    <i>
      <x v="207"/>
      <x v="356"/>
      <x v="8"/>
      <x v="5"/>
    </i>
    <i r="2">
      <x v="14"/>
      <x v="9"/>
    </i>
    <i>
      <x v="208"/>
      <x v="186"/>
      <x v="7"/>
      <x v="4"/>
    </i>
    <i>
      <x v="209"/>
      <x v="37"/>
      <x v="6"/>
      <x v="23"/>
    </i>
    <i>
      <x v="210"/>
      <x v="273"/>
      <x/>
      <x v="16"/>
    </i>
    <i>
      <x v="211"/>
      <x v="142"/>
      <x v="2"/>
      <x v="22"/>
    </i>
    <i>
      <x v="212"/>
      <x v="294"/>
      <x v="1"/>
      <x v="18"/>
    </i>
    <i>
      <x v="213"/>
      <x v="5"/>
      <x v="3"/>
      <x v="15"/>
    </i>
    <i>
      <x v="214"/>
      <x v="98"/>
      <x v="2"/>
      <x v="22"/>
    </i>
    <i r="2">
      <x v="12"/>
      <x v="13"/>
    </i>
    <i r="2">
      <x v="27"/>
      <x v="17"/>
    </i>
    <i>
      <x v="215"/>
      <x v="158"/>
      <x v="2"/>
      <x v="22"/>
    </i>
    <i>
      <x v="216"/>
      <x v="338"/>
      <x v="2"/>
      <x v="22"/>
    </i>
    <i>
      <x v="217"/>
      <x v="438"/>
      <x v="19"/>
      <x v="2"/>
    </i>
    <i>
      <x v="218"/>
      <x v="429"/>
      <x v="19"/>
      <x v="2"/>
    </i>
    <i>
      <x v="219"/>
      <x v="431"/>
      <x v="19"/>
      <x v="2"/>
    </i>
    <i>
      <x v="220"/>
      <x v="430"/>
      <x v="19"/>
      <x v="2"/>
    </i>
    <i>
      <x v="221"/>
      <x v="427"/>
      <x v="19"/>
      <x v="2"/>
    </i>
    <i>
      <x v="222"/>
      <x v="426"/>
      <x v="19"/>
      <x v="2"/>
    </i>
    <i>
      <x v="223"/>
      <x v="416"/>
      <x v="19"/>
      <x v="2"/>
    </i>
    <i>
      <x v="224"/>
      <x v="300"/>
      <x v="6"/>
      <x v="23"/>
    </i>
    <i>
      <x v="225"/>
      <x v="97"/>
      <x v="19"/>
      <x v="2"/>
    </i>
    <i>
      <x v="226"/>
      <x v="72"/>
      <x v="19"/>
      <x v="2"/>
    </i>
    <i>
      <x v="227"/>
      <x v="420"/>
      <x v="19"/>
      <x v="2"/>
    </i>
    <i>
      <x v="228"/>
      <x v="313"/>
      <x v="19"/>
      <x v="2"/>
    </i>
    <i>
      <x v="229"/>
      <x v="307"/>
      <x v="19"/>
      <x v="2"/>
    </i>
    <i>
      <x v="230"/>
      <x v="13"/>
      <x v="19"/>
      <x v="2"/>
    </i>
    <i>
      <x v="231"/>
      <x v="96"/>
      <x v="19"/>
      <x v="2"/>
    </i>
    <i>
      <x v="232"/>
      <x v="411"/>
      <x v="19"/>
      <x v="2"/>
    </i>
    <i>
      <x v="233"/>
      <x v="449"/>
      <x v="19"/>
      <x v="2"/>
    </i>
    <i>
      <x v="234"/>
      <x v="277"/>
      <x/>
      <x v="16"/>
    </i>
    <i>
      <x v="235"/>
      <x v="272"/>
      <x/>
      <x v="16"/>
    </i>
    <i>
      <x v="236"/>
      <x v="403"/>
      <x v="2"/>
      <x v="22"/>
    </i>
    <i>
      <x v="237"/>
      <x v="377"/>
      <x v="19"/>
      <x v="2"/>
    </i>
    <i>
      <x v="238"/>
      <x v="339"/>
      <x/>
      <x v="16"/>
    </i>
    <i>
      <x v="239"/>
      <x v="61"/>
      <x v="2"/>
      <x v="22"/>
    </i>
    <i>
      <x v="240"/>
      <x v="201"/>
      <x v="7"/>
      <x v="4"/>
    </i>
    <i>
      <x v="241"/>
      <x v="262"/>
      <x v="2"/>
      <x v="22"/>
    </i>
    <i>
      <x v="242"/>
      <x v="91"/>
      <x v="3"/>
      <x v="15"/>
    </i>
    <i>
      <x v="243"/>
      <x v="264"/>
      <x v="2"/>
      <x v="22"/>
    </i>
    <i>
      <x v="244"/>
      <x v="222"/>
      <x v="2"/>
      <x v="22"/>
    </i>
    <i>
      <x v="245"/>
      <x v="131"/>
      <x v="2"/>
      <x v="22"/>
    </i>
    <i>
      <x v="246"/>
      <x v="418"/>
      <x v="2"/>
      <x v="22"/>
    </i>
    <i>
      <x v="247"/>
      <x v="406"/>
      <x v="2"/>
      <x v="22"/>
    </i>
    <i>
      <x v="248"/>
      <x v="404"/>
      <x v="2"/>
      <x v="22"/>
    </i>
    <i>
      <x v="249"/>
      <x v="402"/>
      <x v="2"/>
      <x v="22"/>
    </i>
    <i>
      <x v="250"/>
      <x v="128"/>
      <x v="2"/>
      <x v="22"/>
    </i>
    <i>
      <x v="251"/>
      <x v="405"/>
      <x v="2"/>
      <x v="22"/>
    </i>
    <i>
      <x v="252"/>
      <x v="86"/>
      <x v="1"/>
      <x v="18"/>
    </i>
    <i>
      <x v="253"/>
      <x v="136"/>
      <x v="4"/>
      <x v="10"/>
    </i>
    <i>
      <x v="254"/>
      <x v="181"/>
      <x v="14"/>
      <x v="9"/>
    </i>
    <i>
      <x v="255"/>
      <x v="263"/>
      <x v="2"/>
      <x v="22"/>
    </i>
    <i>
      <x v="256"/>
      <x v="133"/>
      <x v="2"/>
      <x v="22"/>
    </i>
    <i>
      <x v="257"/>
      <x v="187"/>
      <x v="2"/>
      <x v="22"/>
    </i>
    <i>
      <x v="258"/>
      <x v="417"/>
      <x/>
      <x v="16"/>
    </i>
    <i>
      <x v="259"/>
      <x v="371"/>
      <x v="16"/>
      <x v="24"/>
    </i>
    <i>
      <x v="260"/>
      <x v="157"/>
      <x v="2"/>
      <x v="22"/>
    </i>
    <i>
      <x v="261"/>
      <x v="223"/>
      <x v="2"/>
      <x v="22"/>
    </i>
    <i>
      <x v="262"/>
      <x v="311"/>
      <x v="19"/>
      <x v="2"/>
    </i>
    <i>
      <x v="263"/>
      <x v="114"/>
      <x v="6"/>
      <x v="23"/>
    </i>
    <i>
      <x v="264"/>
      <x v="154"/>
      <x v="2"/>
      <x v="22"/>
    </i>
    <i>
      <x v="265"/>
      <x v="166"/>
      <x v="2"/>
      <x v="22"/>
    </i>
    <i>
      <x v="266"/>
      <x v="152"/>
      <x v="2"/>
      <x v="22"/>
    </i>
    <i>
      <x v="267"/>
      <x v="374"/>
      <x v="2"/>
      <x v="22"/>
    </i>
    <i>
      <x v="268"/>
      <x v="353"/>
      <x v="2"/>
      <x v="22"/>
    </i>
    <i>
      <x v="269"/>
      <x v="124"/>
      <x v="4"/>
      <x v="10"/>
    </i>
    <i>
      <x v="270"/>
      <x v="126"/>
      <x v="2"/>
      <x v="22"/>
    </i>
    <i>
      <x v="271"/>
      <x v="239"/>
      <x v="19"/>
      <x v="2"/>
    </i>
    <i>
      <x v="272"/>
      <x v="42"/>
      <x v="2"/>
      <x v="22"/>
    </i>
    <i>
      <x v="273"/>
      <x v="342"/>
      <x v="1"/>
      <x v="18"/>
    </i>
    <i>
      <x v="274"/>
      <x v="372"/>
      <x v="15"/>
      <x v="25"/>
    </i>
    <i>
      <x v="275"/>
      <x v="51"/>
      <x v="4"/>
      <x v="10"/>
    </i>
    <i>
      <x v="277"/>
      <x v="180"/>
      <x v="16"/>
      <x v="24"/>
    </i>
    <i>
      <x v="278"/>
      <x v="164"/>
      <x v="2"/>
      <x v="22"/>
    </i>
    <i>
      <x v="279"/>
      <x v="153"/>
      <x v="2"/>
      <x v="22"/>
    </i>
    <i>
      <x v="280"/>
      <x v="373"/>
      <x v="1"/>
      <x v="18"/>
    </i>
    <i r="2">
      <x v="11"/>
      <x v="20"/>
    </i>
    <i>
      <x v="281"/>
      <x v="165"/>
      <x v="2"/>
      <x v="22"/>
    </i>
    <i>
      <x v="282"/>
      <x v="357"/>
      <x/>
      <x v="16"/>
    </i>
    <i>
      <x v="283"/>
      <x v="162"/>
      <x v="2"/>
      <x v="22"/>
    </i>
    <i>
      <x v="284"/>
      <x v="149"/>
      <x v="14"/>
      <x v="9"/>
    </i>
    <i>
      <x v="285"/>
      <x v="365"/>
      <x v="3"/>
      <x v="15"/>
    </i>
    <i>
      <x v="286"/>
      <x v="217"/>
      <x v="14"/>
      <x v="9"/>
    </i>
    <i>
      <x v="287"/>
      <x v="197"/>
      <x v="2"/>
      <x v="22"/>
    </i>
    <i>
      <x v="288"/>
      <x v="389"/>
      <x v="2"/>
      <x v="22"/>
    </i>
    <i>
      <x v="289"/>
      <x v="171"/>
      <x v="2"/>
      <x v="22"/>
    </i>
    <i>
      <x v="290"/>
      <x v="183"/>
      <x v="3"/>
      <x v="15"/>
    </i>
    <i r="2">
      <x v="6"/>
      <x v="23"/>
    </i>
    <i>
      <x v="291"/>
      <x v="3"/>
      <x v="2"/>
      <x v="22"/>
    </i>
    <i>
      <x v="292"/>
      <x v="172"/>
      <x v="2"/>
      <x v="22"/>
    </i>
    <i>
      <x v="293"/>
      <x v="168"/>
      <x v="14"/>
      <x v="9"/>
    </i>
    <i>
      <x v="294"/>
      <x v="67"/>
      <x/>
      <x v="16"/>
    </i>
    <i>
      <x v="295"/>
      <x v="64"/>
      <x v="1"/>
      <x v="18"/>
    </i>
    <i>
      <x v="296"/>
      <x v="143"/>
      <x v="3"/>
      <x v="15"/>
    </i>
    <i>
      <x v="297"/>
      <x v="34"/>
      <x v="20"/>
      <x v="19"/>
    </i>
    <i>
      <x v="298"/>
      <x v="310"/>
      <x v="19"/>
      <x v="2"/>
    </i>
    <i>
      <x v="299"/>
      <x v="129"/>
      <x v="2"/>
      <x v="22"/>
    </i>
    <i>
      <x v="300"/>
      <x v="393"/>
      <x v="2"/>
      <x v="22"/>
    </i>
    <i>
      <x v="302"/>
      <x v="62"/>
      <x v="2"/>
      <x v="22"/>
    </i>
    <i>
      <x v="303"/>
      <x v="122"/>
      <x v="2"/>
      <x v="22"/>
    </i>
    <i>
      <x v="304"/>
      <x v="464"/>
      <x v="2"/>
      <x v="22"/>
    </i>
    <i>
      <x v="305"/>
      <x v="121"/>
      <x v="2"/>
      <x v="22"/>
    </i>
    <i>
      <x v="306"/>
      <x v="178"/>
      <x v="6"/>
      <x v="23"/>
    </i>
    <i>
      <x v="307"/>
      <x v="120"/>
      <x v="2"/>
      <x v="22"/>
    </i>
    <i>
      <x v="308"/>
      <x v="127"/>
      <x v="2"/>
      <x v="22"/>
    </i>
    <i r="2">
      <x v="12"/>
      <x v="13"/>
    </i>
    <i>
      <x v="310"/>
      <x v="376"/>
      <x v="2"/>
      <x v="22"/>
    </i>
    <i>
      <x v="311"/>
      <x v="302"/>
      <x v="6"/>
      <x v="23"/>
    </i>
    <i r="2">
      <x v="27"/>
      <x v="17"/>
    </i>
    <i>
      <x v="312"/>
      <x v="130"/>
      <x v="14"/>
      <x v="9"/>
    </i>
    <i>
      <x v="313"/>
      <x v="123"/>
      <x v="7"/>
      <x v="4"/>
    </i>
    <i>
      <x v="314"/>
      <x v="8"/>
      <x v="2"/>
      <x v="22"/>
    </i>
    <i>
      <x v="315"/>
      <x v="247"/>
      <x v="14"/>
      <x v="9"/>
    </i>
    <i>
      <x v="316"/>
      <x v="44"/>
      <x/>
      <x v="16"/>
    </i>
    <i>
      <x v="317"/>
      <x v="70"/>
      <x/>
      <x v="16"/>
    </i>
    <i r="2">
      <x v="2"/>
      <x v="22"/>
    </i>
    <i>
      <x v="318"/>
      <x v="68"/>
      <x/>
      <x v="16"/>
    </i>
    <i r="2">
      <x v="2"/>
      <x v="22"/>
    </i>
    <i>
      <x v="319"/>
      <x v="69"/>
      <x/>
      <x v="16"/>
    </i>
    <i r="2">
      <x v="2"/>
      <x v="22"/>
    </i>
    <i>
      <x v="320"/>
      <x v="35"/>
      <x v="1"/>
      <x v="18"/>
    </i>
    <i>
      <x v="321"/>
      <x v="456"/>
      <x v="6"/>
      <x v="23"/>
    </i>
    <i>
      <x v="322"/>
      <x v="243"/>
      <x v="6"/>
      <x v="23"/>
    </i>
    <i>
      <x v="323"/>
      <x v="428"/>
      <x v="19"/>
      <x v="2"/>
    </i>
    <i>
      <x v="324"/>
      <x v="9"/>
      <x v="2"/>
      <x v="22"/>
    </i>
    <i>
      <x v="325"/>
      <x v="225"/>
      <x/>
      <x v="16"/>
    </i>
    <i>
      <x v="326"/>
      <x v="370"/>
      <x v="2"/>
      <x v="22"/>
    </i>
    <i>
      <x v="327"/>
      <x v="60"/>
      <x v="2"/>
      <x v="22"/>
    </i>
    <i r="2">
      <x v="14"/>
      <x v="9"/>
    </i>
    <i>
      <x v="328"/>
      <x v="159"/>
      <x v="2"/>
      <x v="22"/>
    </i>
    <i>
      <x v="329"/>
      <x v="134"/>
      <x v="2"/>
      <x v="22"/>
    </i>
    <i>
      <x v="330"/>
      <x v="170"/>
      <x v="2"/>
      <x v="22"/>
    </i>
    <i>
      <x v="331"/>
      <x v="132"/>
      <x v="6"/>
      <x v="23"/>
    </i>
    <i>
      <x v="332"/>
      <x v="74"/>
      <x v="16"/>
      <x v="24"/>
    </i>
    <i r="2">
      <x v="21"/>
      <x v="27"/>
    </i>
    <i>
      <x v="333"/>
      <x v="202"/>
      <x v="3"/>
      <x v="15"/>
    </i>
    <i>
      <x v="334"/>
      <x v="384"/>
      <x v="2"/>
      <x v="22"/>
    </i>
    <i>
      <x v="335"/>
      <x v="309"/>
      <x v="19"/>
      <x v="2"/>
    </i>
    <i>
      <x v="336"/>
      <x v="382"/>
      <x v="3"/>
      <x v="15"/>
    </i>
    <i>
      <x v="337"/>
      <x v="71"/>
      <x/>
      <x v="16"/>
    </i>
    <i>
      <x v="338"/>
      <x v="314"/>
      <x v="19"/>
      <x v="2"/>
    </i>
    <i>
      <x v="339"/>
      <x v="160"/>
      <x v="2"/>
      <x v="22"/>
    </i>
    <i>
      <x v="340"/>
      <x v="155"/>
      <x v="2"/>
      <x v="22"/>
    </i>
    <i>
      <x v="341"/>
      <x v="163"/>
      <x v="2"/>
      <x v="22"/>
    </i>
    <i>
      <x v="342"/>
      <x v="156"/>
      <x v="2"/>
      <x v="22"/>
    </i>
    <i>
      <x v="343"/>
      <x v="293"/>
      <x v="2"/>
      <x v="22"/>
    </i>
    <i r="2">
      <x v="3"/>
      <x v="15"/>
    </i>
    <i>
      <x v="344"/>
      <x v="253"/>
      <x/>
      <x v="16"/>
    </i>
    <i>
      <x v="345"/>
      <x v="209"/>
      <x v="1"/>
      <x v="18"/>
    </i>
    <i r="2">
      <x v="11"/>
      <x v="20"/>
    </i>
    <i>
      <x v="346"/>
      <x v="315"/>
      <x v="3"/>
      <x v="15"/>
    </i>
    <i>
      <x v="347"/>
      <x v="257"/>
      <x/>
      <x v="16"/>
    </i>
    <i>
      <x v="348"/>
      <x v="448"/>
      <x v="19"/>
      <x v="2"/>
    </i>
    <i>
      <x v="349"/>
      <x v="331"/>
      <x v="6"/>
      <x v="23"/>
    </i>
    <i>
      <x v="350"/>
      <x v="221"/>
      <x v="6"/>
      <x v="23"/>
    </i>
    <i>
      <x v="351"/>
      <x v="199"/>
      <x v="27"/>
      <x v="17"/>
    </i>
    <i>
      <x v="352"/>
      <x v="78"/>
      <x v="1"/>
      <x v="18"/>
    </i>
    <i>
      <x v="353"/>
      <x v="18"/>
      <x v="6"/>
      <x v="23"/>
    </i>
    <i>
      <x v="354"/>
      <x v="135"/>
      <x v="6"/>
      <x v="23"/>
    </i>
    <i>
      <x v="355"/>
      <x v="296"/>
      <x v="6"/>
      <x v="23"/>
    </i>
    <i>
      <x v="356"/>
      <x v="299"/>
      <x v="6"/>
      <x v="23"/>
    </i>
    <i>
      <x v="357"/>
      <x v="298"/>
      <x v="6"/>
      <x v="23"/>
    </i>
    <i>
      <x v="358"/>
      <x v="292"/>
      <x v="3"/>
      <x v="15"/>
    </i>
    <i>
      <x v="359"/>
      <x v="39"/>
      <x v="1"/>
      <x v="18"/>
    </i>
    <i>
      <x v="360"/>
      <x v="24"/>
      <x v="5"/>
      <x v="1"/>
    </i>
    <i>
      <x v="361"/>
      <x v="352"/>
      <x v="5"/>
      <x v="1"/>
    </i>
    <i>
      <x v="362"/>
      <x v="21"/>
      <x v="6"/>
      <x v="23"/>
    </i>
    <i>
      <x v="363"/>
      <x v="6"/>
      <x/>
      <x v="16"/>
    </i>
    <i>
      <x v="364"/>
      <x v="212"/>
      <x v="14"/>
      <x v="9"/>
    </i>
    <i>
      <x v="365"/>
      <x v="284"/>
      <x/>
      <x v="16"/>
    </i>
    <i>
      <x v="366"/>
      <x v="254"/>
      <x/>
      <x v="16"/>
    </i>
    <i>
      <x v="367"/>
      <x v="457"/>
      <x/>
      <x v="16"/>
    </i>
    <i>
      <x v="368"/>
      <x v="2"/>
      <x v="19"/>
      <x v="2"/>
    </i>
    <i>
      <x v="369"/>
      <x v="147"/>
      <x v="12"/>
      <x v="13"/>
    </i>
    <i r="2">
      <x v="14"/>
      <x v="9"/>
    </i>
    <i>
      <x v="370"/>
      <x v="112"/>
      <x v="19"/>
      <x v="2"/>
    </i>
    <i>
      <x v="371"/>
      <x v="81"/>
      <x v="1"/>
      <x v="18"/>
    </i>
    <i>
      <x v="372"/>
      <x v="82"/>
      <x v="1"/>
      <x v="18"/>
    </i>
    <i>
      <x v="373"/>
      <x v="85"/>
      <x v="1"/>
      <x v="18"/>
    </i>
    <i>
      <x v="374"/>
      <x v="89"/>
      <x v="1"/>
      <x v="18"/>
    </i>
    <i>
      <x v="375"/>
      <x v="88"/>
      <x v="1"/>
      <x v="18"/>
    </i>
    <i>
      <x v="376"/>
      <x v="87"/>
      <x v="1"/>
      <x v="18"/>
    </i>
    <i>
      <x v="377"/>
      <x v="79"/>
      <x v="1"/>
      <x v="18"/>
    </i>
    <i>
      <x v="378"/>
      <x v="92"/>
      <x v="1"/>
      <x v="18"/>
    </i>
    <i>
      <x v="379"/>
      <x v="145"/>
      <x v="7"/>
      <x v="4"/>
    </i>
    <i r="2">
      <x v="12"/>
      <x v="13"/>
    </i>
    <i>
      <x v="380"/>
      <x v="334"/>
      <x v="1"/>
      <x v="18"/>
    </i>
    <i>
      <x v="381"/>
      <x v="399"/>
      <x v="4"/>
      <x v="10"/>
    </i>
    <i>
      <x v="382"/>
      <x v="400"/>
      <x v="25"/>
      <x v="14"/>
    </i>
    <i>
      <x v="383"/>
      <x v="364"/>
      <x v="18"/>
      <x v="26"/>
    </i>
    <i>
      <x v="385"/>
      <x v="7"/>
      <x v="12"/>
      <x v="13"/>
    </i>
    <i r="2">
      <x v="14"/>
      <x v="9"/>
    </i>
    <i>
      <x v="386"/>
      <x v="297"/>
      <x v="6"/>
      <x v="23"/>
    </i>
    <i>
      <x v="387"/>
      <x v="408"/>
      <x/>
      <x v="16"/>
    </i>
    <i>
      <x v="388"/>
      <x v="190"/>
      <x/>
      <x v="16"/>
    </i>
    <i>
      <x v="389"/>
      <x v="140"/>
      <x v="22"/>
      <x v="11"/>
    </i>
    <i>
      <x v="390"/>
      <x v="445"/>
      <x v="19"/>
      <x v="2"/>
    </i>
    <i>
      <x v="391"/>
      <x v="422"/>
      <x v="19"/>
      <x v="2"/>
    </i>
    <i>
      <x v="392"/>
      <x v="198"/>
      <x v="4"/>
      <x v="10"/>
    </i>
    <i>
      <x v="393"/>
      <x v="205"/>
      <x v="19"/>
      <x v="2"/>
    </i>
    <i>
      <x v="394"/>
      <x v="53"/>
      <x v="12"/>
      <x v="13"/>
    </i>
    <i r="2">
      <x v="14"/>
      <x v="9"/>
    </i>
    <i>
      <x v="395"/>
      <x v="245"/>
      <x v="14"/>
      <x v="9"/>
    </i>
    <i>
      <x v="396"/>
      <x v="169"/>
      <x v="14"/>
      <x v="9"/>
    </i>
    <i>
      <x v="397"/>
      <x v="167"/>
      <x/>
      <x v="16"/>
    </i>
    <i>
      <x v="398"/>
      <x v="360"/>
      <x v="1"/>
      <x v="18"/>
    </i>
    <i>
      <x v="399"/>
      <x v="95"/>
      <x/>
      <x v="16"/>
    </i>
    <i>
      <x v="400"/>
      <x v="260"/>
      <x/>
      <x v="16"/>
    </i>
    <i>
      <x v="401"/>
      <x v="75"/>
      <x v="19"/>
      <x v="2"/>
    </i>
    <i>
      <x v="402"/>
      <x v="322"/>
      <x v="3"/>
      <x v="15"/>
    </i>
    <i>
      <x v="403"/>
      <x v="146"/>
      <x v="27"/>
      <x v="17"/>
    </i>
    <i>
      <x v="404"/>
      <x v="443"/>
      <x v="11"/>
      <x v="20"/>
    </i>
    <i r="2">
      <x v="19"/>
      <x v="2"/>
    </i>
    <i>
      <x v="405"/>
      <x v="359"/>
      <x v="27"/>
      <x v="17"/>
    </i>
    <i>
      <x v="407"/>
      <x v="65"/>
      <x v="6"/>
      <x v="23"/>
    </i>
    <i>
      <x v="408"/>
      <x v="20"/>
      <x v="3"/>
      <x v="15"/>
    </i>
    <i>
      <x v="409"/>
      <x v="175"/>
      <x v="3"/>
      <x v="15"/>
    </i>
    <i>
      <x v="410"/>
      <x v="366"/>
      <x v="3"/>
      <x v="15"/>
    </i>
    <i>
      <x v="411"/>
      <x v="204"/>
      <x v="7"/>
      <x v="4"/>
    </i>
    <i>
      <x v="412"/>
      <x v="441"/>
      <x v="19"/>
      <x v="2"/>
    </i>
    <i>
      <x v="413"/>
      <x v="73"/>
      <x v="22"/>
      <x v="11"/>
    </i>
    <i>
      <x v="414"/>
      <x v="125"/>
      <x v="14"/>
      <x v="9"/>
    </i>
    <i>
      <x v="415"/>
      <x v="324"/>
      <x/>
      <x v="16"/>
    </i>
    <i>
      <x v="416"/>
      <x v="108"/>
      <x/>
      <x v="16"/>
    </i>
    <i>
      <x v="417"/>
      <x v="109"/>
      <x v="1"/>
      <x v="18"/>
    </i>
    <i>
      <x v="418"/>
      <x v="110"/>
      <x v="3"/>
      <x v="15"/>
    </i>
    <i r="2">
      <x v="9"/>
      <x v="6"/>
    </i>
    <i>
      <x v="419"/>
      <x v="107"/>
      <x/>
      <x v="16"/>
    </i>
    <i>
      <x v="420"/>
      <x v="45"/>
      <x/>
      <x v="16"/>
    </i>
    <i>
      <x v="421"/>
      <x v="287"/>
      <x/>
      <x v="16"/>
    </i>
    <i>
      <x v="422"/>
      <x v="363"/>
      <x v="16"/>
      <x v="24"/>
    </i>
    <i r="2">
      <x v="18"/>
      <x v="26"/>
    </i>
    <i>
      <x v="423"/>
      <x v="259"/>
      <x v="12"/>
      <x v="13"/>
    </i>
    <i>
      <x v="425"/>
      <x v="289"/>
      <x v="14"/>
      <x v="9"/>
    </i>
    <i>
      <x v="426"/>
      <x v="401"/>
      <x/>
      <x v="16"/>
    </i>
    <i>
      <x v="427"/>
      <x v="407"/>
      <x/>
      <x v="16"/>
    </i>
    <i>
      <x v="428"/>
      <x v="412"/>
      <x/>
      <x v="16"/>
    </i>
    <i>
      <x v="429"/>
      <x v="421"/>
      <x v="19"/>
      <x v="2"/>
    </i>
    <i>
      <x v="430"/>
      <x v="444"/>
      <x v="19"/>
      <x v="2"/>
    </i>
    <i>
      <x v="431"/>
      <x v="191"/>
      <x v="3"/>
      <x v="15"/>
    </i>
    <i>
      <x v="432"/>
      <x v="119"/>
      <x v="12"/>
      <x v="13"/>
    </i>
    <i r="2">
      <x v="14"/>
      <x v="9"/>
    </i>
    <i>
      <x v="433"/>
      <x v="80"/>
      <x v="27"/>
      <x v="17"/>
    </i>
    <i>
      <x v="434"/>
      <x v="84"/>
      <x v="27"/>
      <x v="17"/>
    </i>
    <i>
      <x v="435"/>
      <x v="236"/>
      <x v="27"/>
      <x v="17"/>
    </i>
    <i>
      <x v="436"/>
      <x v="99"/>
      <x v="1"/>
      <x v="18"/>
    </i>
    <i>
      <x v="437"/>
      <x v="246"/>
      <x v="14"/>
      <x v="9"/>
    </i>
    <i>
      <x v="438"/>
      <x v="15"/>
      <x v="8"/>
      <x v="5"/>
    </i>
    <i r="2">
      <x v="14"/>
      <x v="9"/>
    </i>
    <i>
      <x v="439"/>
      <x v="446"/>
      <x v="19"/>
      <x v="2"/>
    </i>
    <i>
      <x v="440"/>
      <x v="208"/>
      <x v="27"/>
      <x v="17"/>
    </i>
    <i>
      <x v="441"/>
      <x v="30"/>
      <x v="27"/>
      <x v="17"/>
    </i>
    <i>
      <x v="442"/>
      <x v="306"/>
      <x v="27"/>
      <x v="17"/>
    </i>
    <i>
      <x v="443"/>
      <x v="432"/>
      <x v="19"/>
      <x v="2"/>
    </i>
    <i>
      <x v="444"/>
      <x v="436"/>
      <x v="19"/>
      <x v="2"/>
    </i>
    <i>
      <x v="445"/>
      <x v="437"/>
      <x v="19"/>
      <x v="2"/>
    </i>
    <i>
      <x v="446"/>
      <x v="29"/>
      <x v="19"/>
      <x v="2"/>
    </i>
    <i>
      <x v="447"/>
      <x v="57"/>
      <x v="27"/>
      <x v="17"/>
    </i>
    <i>
      <x v="448"/>
      <x v="58"/>
      <x v="27"/>
      <x v="17"/>
    </i>
    <i>
      <x v="449"/>
      <x v="10"/>
      <x v="24"/>
      <x v="7"/>
    </i>
    <i r="2">
      <x v="27"/>
      <x v="17"/>
    </i>
    <i>
      <x v="450"/>
      <x v="141"/>
      <x v="27"/>
      <x v="17"/>
    </i>
    <i>
      <x v="451"/>
      <x v="101"/>
      <x v="27"/>
      <x v="17"/>
    </i>
    <i>
      <x v="452"/>
      <x v="450"/>
      <x v="19"/>
      <x v="2"/>
    </i>
    <i>
      <x v="453"/>
      <x v="144"/>
      <x v="3"/>
      <x v="15"/>
    </i>
    <i>
      <x v="454"/>
      <x v="397"/>
      <x v="3"/>
      <x v="15"/>
    </i>
    <i>
      <x v="455"/>
      <x v="390"/>
      <x v="3"/>
      <x v="15"/>
    </i>
    <i>
      <x v="456"/>
      <x v="452"/>
      <x v="3"/>
      <x v="15"/>
    </i>
    <i>
      <x v="457"/>
      <x v="12"/>
      <x v="3"/>
      <x v="15"/>
    </i>
    <i>
      <x v="458"/>
      <x v="367"/>
      <x v="3"/>
      <x v="15"/>
    </i>
    <i>
      <x v="459"/>
      <x v="368"/>
      <x v="3"/>
      <x v="15"/>
    </i>
    <i>
      <x v="460"/>
      <x v="369"/>
      <x v="3"/>
      <x v="15"/>
    </i>
    <i>
      <x v="461"/>
      <x v="301"/>
      <x v="7"/>
      <x v="4"/>
    </i>
    <i r="2">
      <x v="8"/>
      <x v="5"/>
    </i>
    <i r="2">
      <x v="13"/>
      <x v="21"/>
    </i>
    <i>
      <x v="462"/>
      <x v="434"/>
      <x v="19"/>
      <x v="2"/>
    </i>
    <i>
      <x v="463"/>
      <x v="440"/>
      <x v="19"/>
      <x v="2"/>
    </i>
    <i>
      <x v="464"/>
      <x v="442"/>
      <x v="19"/>
      <x v="2"/>
    </i>
    <i>
      <x v="465"/>
      <x v="355"/>
      <x v="27"/>
      <x v="17"/>
    </i>
    <i>
      <x v="466"/>
      <x v="115"/>
      <x v="27"/>
      <x v="17"/>
    </i>
    <i>
      <x v="467"/>
      <x v="270"/>
      <x v="2"/>
      <x v="22"/>
    </i>
    <i>
      <x v="468"/>
      <x v="380"/>
      <x v="6"/>
      <x v="23"/>
    </i>
    <i>
      <x v="469"/>
      <x v="291"/>
      <x v="6"/>
      <x v="23"/>
    </i>
    <i r="2">
      <x v="24"/>
      <x v="7"/>
    </i>
    <i r="2">
      <x v="25"/>
      <x v="14"/>
    </i>
    <i>
      <x v="470"/>
      <x v="100"/>
      <x/>
      <x v="16"/>
    </i>
    <i>
      <x v="471"/>
      <x v="295"/>
      <x v="2"/>
      <x v="22"/>
    </i>
    <i>
      <x v="472"/>
      <x v="325"/>
      <x v="6"/>
      <x v="23"/>
    </i>
    <i>
      <x v="473"/>
      <x v="425"/>
      <x v="19"/>
      <x v="2"/>
    </i>
    <i>
      <x v="474"/>
      <x v="424"/>
      <x v="19"/>
      <x v="2"/>
    </i>
    <i>
      <x v="475"/>
      <x v="435"/>
      <x v="19"/>
      <x v="2"/>
    </i>
    <i>
      <x v="477"/>
      <x v="419"/>
      <x v="19"/>
      <x v="2"/>
    </i>
    <i>
      <x v="478"/>
      <x v="308"/>
      <x v="19"/>
      <x v="2"/>
    </i>
    <i>
      <x v="479"/>
      <x v="312"/>
      <x v="19"/>
      <x v="2"/>
    </i>
    <i>
      <x v="480"/>
      <x v="423"/>
      <x v="19"/>
      <x v="2"/>
    </i>
    <i>
      <x v="481"/>
      <x v="455"/>
      <x v="12"/>
      <x v="13"/>
    </i>
    <i r="2">
      <x v="14"/>
      <x v="9"/>
    </i>
    <i>
      <x v="482"/>
      <x v="38"/>
      <x v="12"/>
      <x v="13"/>
    </i>
    <i r="2">
      <x v="14"/>
      <x v="9"/>
    </i>
    <i>
      <x v="483"/>
      <x v="207"/>
      <x v="14"/>
      <x v="9"/>
    </i>
    <i r="2">
      <x v="26"/>
      <x v="3"/>
    </i>
    <i>
      <x v="484"/>
      <x v="49"/>
      <x v="14"/>
      <x v="9"/>
    </i>
    <i r="2">
      <x v="26"/>
      <x v="3"/>
    </i>
    <i>
      <x v="485"/>
      <x v="49"/>
      <x v="14"/>
      <x v="9"/>
    </i>
    <i r="2">
      <x v="26"/>
      <x v="3"/>
    </i>
    <i>
      <x v="486"/>
      <x v="207"/>
      <x v="14"/>
      <x v="9"/>
    </i>
    <i r="2">
      <x v="26"/>
      <x v="3"/>
    </i>
    <i>
      <x v="487"/>
      <x v="32"/>
      <x v="27"/>
      <x v="17"/>
    </i>
    <i>
      <x v="488"/>
      <x v="484"/>
      <x v="28"/>
      <x v="28"/>
    </i>
    <i t="grand">
      <x/>
    </i>
  </rowItems>
  <colFields count="1">
    <field x="-2"/>
  </colFields>
  <colItems count="2">
    <i>
      <x/>
    </i>
    <i i="1">
      <x v="1"/>
    </i>
  </colItems>
  <pageFields count="2">
    <pageField fld="16" hier="-1"/>
    <pageField fld="27" hier="-1"/>
  </pageFields>
  <dataFields count="2">
    <dataField name="Sum of Recurring Amount (U.S.)" fld="9" baseField="17" baseItem="52" numFmtId="165"/>
    <dataField name="Sum of One Time Amount (U.S.)" fld="8" baseField="17" baseItem="42" numFmtId="165"/>
  </dataFields>
  <formats count="2618">
    <format dxfId="5564">
      <pivotArea dataOnly="0" labelOnly="1" outline="0" fieldPosition="0">
        <references count="1">
          <reference field="4294967294" count="1">
            <x v="0"/>
          </reference>
        </references>
      </pivotArea>
    </format>
    <format dxfId="5563">
      <pivotArea type="all" dataOnly="0" outline="0" fieldPosition="0"/>
    </format>
    <format dxfId="5562">
      <pivotArea outline="0" collapsedLevelsAreSubtotals="1" fieldPosition="0"/>
    </format>
    <format dxfId="5561">
      <pivotArea field="11" type="button" dataOnly="0" labelOnly="1" outline="0" axis="axisRow" fieldPosition="0"/>
    </format>
    <format dxfId="5560">
      <pivotArea field="14" type="button" dataOnly="0" labelOnly="1" outline="0" axis="axisRow" fieldPosition="1"/>
    </format>
    <format dxfId="5559">
      <pivotArea field="18" type="button" dataOnly="0" labelOnly="1" outline="0" axis="axisRow" fieldPosition="2"/>
    </format>
    <format dxfId="5558">
      <pivotArea field="19" type="button" dataOnly="0" labelOnly="1" outline="0" axis="axisRow" fieldPosition="3"/>
    </format>
    <format dxfId="5557">
      <pivotArea dataOnly="0" labelOnly="1" outline="0" fieldPosition="0">
        <references count="1">
          <reference field="11" count="22">
            <x v="0"/>
            <x v="1"/>
            <x v="2"/>
            <x v="3"/>
            <x v="4"/>
            <x v="5"/>
            <x v="6"/>
            <x v="7"/>
            <x v="8"/>
            <x v="9"/>
            <x v="10"/>
            <x v="11"/>
            <x v="12"/>
            <x v="13"/>
            <x v="14"/>
            <x v="15"/>
            <x v="16"/>
            <x v="17"/>
            <x v="18"/>
            <x v="19"/>
            <x v="20"/>
            <x v="21"/>
          </reference>
        </references>
      </pivotArea>
    </format>
    <format dxfId="5556">
      <pivotArea dataOnly="0" labelOnly="1" outline="0" fieldPosition="0">
        <references count="1">
          <reference field="11" count="22" defaultSubtotal="1">
            <x v="0"/>
            <x v="1"/>
            <x v="2"/>
            <x v="3"/>
            <x v="4"/>
            <x v="5"/>
            <x v="6"/>
            <x v="7"/>
            <x v="8"/>
            <x v="9"/>
            <x v="10"/>
            <x v="11"/>
            <x v="12"/>
            <x v="13"/>
            <x v="14"/>
            <x v="15"/>
            <x v="16"/>
            <x v="17"/>
            <x v="18"/>
            <x v="19"/>
            <x v="20"/>
            <x v="21"/>
          </reference>
        </references>
      </pivotArea>
    </format>
    <format dxfId="5555">
      <pivotArea dataOnly="0" labelOnly="1" outline="0" fieldPosition="0">
        <references count="1">
          <reference field="11" count="18">
            <x v="22"/>
            <x v="23"/>
            <x v="24"/>
            <x v="25"/>
            <x v="26"/>
            <x v="27"/>
            <x v="28"/>
            <x v="29"/>
            <x v="30"/>
            <x v="31"/>
            <x v="32"/>
            <x v="33"/>
            <x v="34"/>
            <x v="35"/>
            <x v="36"/>
            <x v="37"/>
            <x v="38"/>
            <x v="39"/>
          </reference>
        </references>
      </pivotArea>
    </format>
    <format dxfId="5554">
      <pivotArea dataOnly="0" labelOnly="1" outline="0" fieldPosition="0">
        <references count="1">
          <reference field="11" count="18" defaultSubtotal="1">
            <x v="22"/>
            <x v="23"/>
            <x v="24"/>
            <x v="25"/>
            <x v="26"/>
            <x v="27"/>
            <x v="28"/>
            <x v="29"/>
            <x v="30"/>
            <x v="31"/>
            <x v="32"/>
            <x v="33"/>
            <x v="34"/>
            <x v="35"/>
            <x v="36"/>
            <x v="37"/>
            <x v="38"/>
            <x v="39"/>
          </reference>
        </references>
      </pivotArea>
    </format>
    <format dxfId="5553">
      <pivotArea dataOnly="0" labelOnly="1" outline="0" fieldPosition="0">
        <references count="1">
          <reference field="11" count="20">
            <x v="40"/>
            <x v="41"/>
            <x v="42"/>
            <x v="43"/>
            <x v="44"/>
            <x v="45"/>
            <x v="46"/>
            <x v="47"/>
            <x v="48"/>
            <x v="49"/>
            <x v="50"/>
            <x v="51"/>
            <x v="52"/>
            <x v="53"/>
            <x v="54"/>
            <x v="55"/>
            <x v="56"/>
            <x v="57"/>
            <x v="58"/>
            <x v="59"/>
          </reference>
        </references>
      </pivotArea>
    </format>
    <format dxfId="5552">
      <pivotArea dataOnly="0" labelOnly="1" outline="0" fieldPosition="0">
        <references count="1">
          <reference field="11" count="20" defaultSubtotal="1">
            <x v="40"/>
            <x v="41"/>
            <x v="42"/>
            <x v="43"/>
            <x v="44"/>
            <x v="45"/>
            <x v="46"/>
            <x v="47"/>
            <x v="48"/>
            <x v="49"/>
            <x v="50"/>
            <x v="51"/>
            <x v="52"/>
            <x v="53"/>
            <x v="54"/>
            <x v="55"/>
            <x v="56"/>
            <x v="57"/>
            <x v="58"/>
            <x v="59"/>
          </reference>
        </references>
      </pivotArea>
    </format>
    <format dxfId="5551">
      <pivotArea dataOnly="0" labelOnly="1" outline="0" fieldPosition="0">
        <references count="1">
          <reference field="11" count="15">
            <x v="60"/>
            <x v="61"/>
            <x v="62"/>
            <x v="63"/>
            <x v="64"/>
            <x v="65"/>
            <x v="66"/>
            <x v="67"/>
            <x v="68"/>
            <x v="69"/>
            <x v="70"/>
            <x v="71"/>
            <x v="72"/>
            <x v="73"/>
            <x v="74"/>
          </reference>
        </references>
      </pivotArea>
    </format>
    <format dxfId="5550">
      <pivotArea dataOnly="0" labelOnly="1" outline="0" fieldPosition="0">
        <references count="1">
          <reference field="11" count="15" defaultSubtotal="1">
            <x v="60"/>
            <x v="61"/>
            <x v="62"/>
            <x v="63"/>
            <x v="64"/>
            <x v="65"/>
            <x v="66"/>
            <x v="67"/>
            <x v="68"/>
            <x v="69"/>
            <x v="70"/>
            <x v="71"/>
            <x v="72"/>
            <x v="73"/>
            <x v="74"/>
          </reference>
        </references>
      </pivotArea>
    </format>
    <format dxfId="5549">
      <pivotArea dataOnly="0" labelOnly="1" outline="0" fieldPosition="0">
        <references count="1">
          <reference field="11" count="18">
            <x v="75"/>
            <x v="76"/>
            <x v="77"/>
            <x v="78"/>
            <x v="79"/>
            <x v="80"/>
            <x v="81"/>
            <x v="82"/>
            <x v="83"/>
            <x v="84"/>
            <x v="85"/>
            <x v="86"/>
            <x v="87"/>
            <x v="88"/>
            <x v="89"/>
            <x v="90"/>
            <x v="91"/>
            <x v="92"/>
          </reference>
        </references>
      </pivotArea>
    </format>
    <format dxfId="5548">
      <pivotArea dataOnly="0" labelOnly="1" outline="0" fieldPosition="0">
        <references count="1">
          <reference field="11" count="18" defaultSubtotal="1">
            <x v="75"/>
            <x v="76"/>
            <x v="77"/>
            <x v="78"/>
            <x v="79"/>
            <x v="80"/>
            <x v="81"/>
            <x v="82"/>
            <x v="83"/>
            <x v="84"/>
            <x v="85"/>
            <x v="86"/>
            <x v="87"/>
            <x v="88"/>
            <x v="89"/>
            <x v="90"/>
            <x v="91"/>
            <x v="92"/>
          </reference>
        </references>
      </pivotArea>
    </format>
    <format dxfId="5547">
      <pivotArea dataOnly="0" labelOnly="1" outline="0" fieldPosition="0">
        <references count="1">
          <reference field="11" count="16">
            <x v="93"/>
            <x v="94"/>
            <x v="95"/>
            <x v="96"/>
            <x v="97"/>
            <x v="98"/>
            <x v="99"/>
            <x v="100"/>
            <x v="101"/>
            <x v="102"/>
            <x v="103"/>
            <x v="104"/>
            <x v="105"/>
            <x v="106"/>
            <x v="107"/>
            <x v="108"/>
          </reference>
        </references>
      </pivotArea>
    </format>
    <format dxfId="5546">
      <pivotArea dataOnly="0" labelOnly="1" outline="0" fieldPosition="0">
        <references count="1">
          <reference field="11" count="16" defaultSubtotal="1">
            <x v="93"/>
            <x v="94"/>
            <x v="95"/>
            <x v="96"/>
            <x v="97"/>
            <x v="98"/>
            <x v="99"/>
            <x v="100"/>
            <x v="101"/>
            <x v="102"/>
            <x v="103"/>
            <x v="104"/>
            <x v="105"/>
            <x v="106"/>
            <x v="107"/>
            <x v="108"/>
          </reference>
        </references>
      </pivotArea>
    </format>
    <format dxfId="5545">
      <pivotArea dataOnly="0" labelOnly="1" outline="0" fieldPosition="0">
        <references count="1">
          <reference field="11" count="23">
            <x v="109"/>
            <x v="110"/>
            <x v="111"/>
            <x v="112"/>
            <x v="113"/>
            <x v="114"/>
            <x v="115"/>
            <x v="116"/>
            <x v="117"/>
            <x v="118"/>
            <x v="119"/>
            <x v="120"/>
            <x v="121"/>
            <x v="122"/>
            <x v="123"/>
            <x v="124"/>
            <x v="125"/>
            <x v="126"/>
            <x v="127"/>
            <x v="128"/>
            <x v="129"/>
            <x v="130"/>
            <x v="131"/>
          </reference>
        </references>
      </pivotArea>
    </format>
    <format dxfId="5544">
      <pivotArea dataOnly="0" labelOnly="1" outline="0" fieldPosition="0">
        <references count="1">
          <reference field="11" count="23" defaultSubtotal="1">
            <x v="109"/>
            <x v="110"/>
            <x v="111"/>
            <x v="112"/>
            <x v="113"/>
            <x v="114"/>
            <x v="115"/>
            <x v="116"/>
            <x v="117"/>
            <x v="118"/>
            <x v="119"/>
            <x v="120"/>
            <x v="121"/>
            <x v="122"/>
            <x v="123"/>
            <x v="124"/>
            <x v="125"/>
            <x v="126"/>
            <x v="127"/>
            <x v="128"/>
            <x v="129"/>
            <x v="130"/>
            <x v="131"/>
          </reference>
        </references>
      </pivotArea>
    </format>
    <format dxfId="5543">
      <pivotArea dataOnly="0" labelOnly="1" outline="0" fieldPosition="0">
        <references count="1">
          <reference field="11" count="19">
            <x v="132"/>
            <x v="133"/>
            <x v="134"/>
            <x v="135"/>
            <x v="136"/>
            <x v="137"/>
            <x v="138"/>
            <x v="139"/>
            <x v="140"/>
            <x v="141"/>
            <x v="142"/>
            <x v="143"/>
            <x v="144"/>
            <x v="145"/>
            <x v="146"/>
            <x v="147"/>
            <x v="148"/>
            <x v="149"/>
            <x v="150"/>
          </reference>
        </references>
      </pivotArea>
    </format>
    <format dxfId="5542">
      <pivotArea dataOnly="0" labelOnly="1" outline="0" fieldPosition="0">
        <references count="1">
          <reference field="11" count="19" defaultSubtotal="1">
            <x v="132"/>
            <x v="133"/>
            <x v="134"/>
            <x v="135"/>
            <x v="136"/>
            <x v="137"/>
            <x v="138"/>
            <x v="139"/>
            <x v="140"/>
            <x v="141"/>
            <x v="142"/>
            <x v="143"/>
            <x v="144"/>
            <x v="145"/>
            <x v="146"/>
            <x v="147"/>
            <x v="148"/>
            <x v="149"/>
            <x v="150"/>
          </reference>
        </references>
      </pivotArea>
    </format>
    <format dxfId="5541">
      <pivotArea dataOnly="0" labelOnly="1" outline="0" fieldPosition="0">
        <references count="1">
          <reference field="11" count="14">
            <x v="151"/>
            <x v="152"/>
            <x v="153"/>
            <x v="154"/>
            <x v="155"/>
            <x v="156"/>
            <x v="157"/>
            <x v="158"/>
            <x v="159"/>
            <x v="160"/>
            <x v="161"/>
            <x v="162"/>
            <x v="163"/>
            <x v="164"/>
          </reference>
        </references>
      </pivotArea>
    </format>
    <format dxfId="5540">
      <pivotArea dataOnly="0" labelOnly="1" outline="0" fieldPosition="0">
        <references count="1">
          <reference field="11" count="14" defaultSubtotal="1">
            <x v="151"/>
            <x v="152"/>
            <x v="153"/>
            <x v="154"/>
            <x v="155"/>
            <x v="156"/>
            <x v="157"/>
            <x v="158"/>
            <x v="159"/>
            <x v="160"/>
            <x v="161"/>
            <x v="162"/>
            <x v="163"/>
            <x v="164"/>
          </reference>
        </references>
      </pivotArea>
    </format>
    <format dxfId="5539">
      <pivotArea dataOnly="0" labelOnly="1" outline="0" fieldPosition="0">
        <references count="1">
          <reference field="11" count="16">
            <x v="165"/>
            <x v="166"/>
            <x v="167"/>
            <x v="168"/>
            <x v="169"/>
            <x v="170"/>
            <x v="171"/>
            <x v="172"/>
            <x v="173"/>
            <x v="174"/>
            <x v="175"/>
            <x v="176"/>
            <x v="177"/>
            <x v="178"/>
            <x v="179"/>
            <x v="180"/>
          </reference>
        </references>
      </pivotArea>
    </format>
    <format dxfId="5538">
      <pivotArea dataOnly="0" labelOnly="1" outline="0" fieldPosition="0">
        <references count="1">
          <reference field="11" count="16" defaultSubtotal="1">
            <x v="165"/>
            <x v="166"/>
            <x v="167"/>
            <x v="168"/>
            <x v="169"/>
            <x v="170"/>
            <x v="171"/>
            <x v="172"/>
            <x v="173"/>
            <x v="174"/>
            <x v="175"/>
            <x v="176"/>
            <x v="177"/>
            <x v="178"/>
            <x v="179"/>
            <x v="180"/>
          </reference>
        </references>
      </pivotArea>
    </format>
    <format dxfId="5537">
      <pivotArea dataOnly="0" labelOnly="1" outline="0" fieldPosition="0">
        <references count="1">
          <reference field="11" count="20">
            <x v="181"/>
            <x v="182"/>
            <x v="183"/>
            <x v="184"/>
            <x v="185"/>
            <x v="186"/>
            <x v="187"/>
            <x v="188"/>
            <x v="189"/>
            <x v="190"/>
            <x v="191"/>
            <x v="192"/>
            <x v="193"/>
            <x v="194"/>
            <x v="195"/>
            <x v="196"/>
            <x v="197"/>
            <x v="198"/>
            <x v="199"/>
            <x v="200"/>
          </reference>
        </references>
      </pivotArea>
    </format>
    <format dxfId="5536">
      <pivotArea dataOnly="0" labelOnly="1" outline="0" fieldPosition="0">
        <references count="1">
          <reference field="11" count="20" defaultSubtotal="1">
            <x v="181"/>
            <x v="182"/>
            <x v="183"/>
            <x v="184"/>
            <x v="185"/>
            <x v="186"/>
            <x v="187"/>
            <x v="188"/>
            <x v="189"/>
            <x v="190"/>
            <x v="191"/>
            <x v="192"/>
            <x v="193"/>
            <x v="194"/>
            <x v="195"/>
            <x v="196"/>
            <x v="197"/>
            <x v="198"/>
            <x v="199"/>
            <x v="200"/>
          </reference>
        </references>
      </pivotArea>
    </format>
    <format dxfId="5535">
      <pivotArea dataOnly="0" labelOnly="1" outline="0" fieldPosition="0">
        <references count="1">
          <reference field="11" count="15">
            <x v="201"/>
            <x v="202"/>
            <x v="203"/>
            <x v="204"/>
            <x v="205"/>
            <x v="206"/>
            <x v="207"/>
            <x v="208"/>
            <x v="209"/>
            <x v="210"/>
            <x v="211"/>
            <x v="212"/>
            <x v="213"/>
            <x v="214"/>
            <x v="215"/>
          </reference>
        </references>
      </pivotArea>
    </format>
    <format dxfId="5534">
      <pivotArea dataOnly="0" labelOnly="1" outline="0" fieldPosition="0">
        <references count="1">
          <reference field="11" count="15" defaultSubtotal="1">
            <x v="201"/>
            <x v="202"/>
            <x v="203"/>
            <x v="204"/>
            <x v="205"/>
            <x v="206"/>
            <x v="207"/>
            <x v="208"/>
            <x v="209"/>
            <x v="210"/>
            <x v="211"/>
            <x v="212"/>
            <x v="213"/>
            <x v="214"/>
            <x v="215"/>
          </reference>
        </references>
      </pivotArea>
    </format>
    <format dxfId="5533">
      <pivotArea dataOnly="0" labelOnly="1" outline="0" fieldPosition="0">
        <references count="1">
          <reference field="11" count="18">
            <x v="216"/>
            <x v="217"/>
            <x v="218"/>
            <x v="219"/>
            <x v="220"/>
            <x v="221"/>
            <x v="222"/>
            <x v="223"/>
            <x v="224"/>
            <x v="225"/>
            <x v="226"/>
            <x v="227"/>
            <x v="228"/>
            <x v="229"/>
            <x v="230"/>
            <x v="231"/>
            <x v="232"/>
            <x v="233"/>
          </reference>
        </references>
      </pivotArea>
    </format>
    <format dxfId="5532">
      <pivotArea dataOnly="0" labelOnly="1" outline="0" fieldPosition="0">
        <references count="1">
          <reference field="11" count="18" defaultSubtotal="1">
            <x v="216"/>
            <x v="217"/>
            <x v="218"/>
            <x v="219"/>
            <x v="220"/>
            <x v="221"/>
            <x v="222"/>
            <x v="223"/>
            <x v="224"/>
            <x v="225"/>
            <x v="226"/>
            <x v="227"/>
            <x v="228"/>
            <x v="229"/>
            <x v="230"/>
            <x v="231"/>
            <x v="232"/>
            <x v="233"/>
          </reference>
        </references>
      </pivotArea>
    </format>
    <format dxfId="5531">
      <pivotArea dataOnly="0" labelOnly="1" outline="0" fieldPosition="0">
        <references count="1">
          <reference field="11" count="19">
            <x v="234"/>
            <x v="235"/>
            <x v="236"/>
            <x v="237"/>
            <x v="238"/>
            <x v="239"/>
            <x v="240"/>
            <x v="241"/>
            <x v="242"/>
            <x v="243"/>
            <x v="244"/>
            <x v="245"/>
            <x v="246"/>
            <x v="247"/>
            <x v="248"/>
            <x v="249"/>
            <x v="250"/>
            <x v="251"/>
            <x v="252"/>
          </reference>
        </references>
      </pivotArea>
    </format>
    <format dxfId="5530">
      <pivotArea dataOnly="0" labelOnly="1" outline="0" fieldPosition="0">
        <references count="1">
          <reference field="11" count="19" defaultSubtotal="1">
            <x v="234"/>
            <x v="235"/>
            <x v="236"/>
            <x v="237"/>
            <x v="238"/>
            <x v="239"/>
            <x v="240"/>
            <x v="241"/>
            <x v="242"/>
            <x v="243"/>
            <x v="244"/>
            <x v="245"/>
            <x v="246"/>
            <x v="247"/>
            <x v="248"/>
            <x v="249"/>
            <x v="250"/>
            <x v="251"/>
            <x v="252"/>
          </reference>
        </references>
      </pivotArea>
    </format>
    <format dxfId="5529">
      <pivotArea dataOnly="0" labelOnly="1" outline="0" fieldPosition="0">
        <references count="1">
          <reference field="11" count="9">
            <x v="253"/>
            <x v="254"/>
            <x v="255"/>
            <x v="256"/>
            <x v="257"/>
            <x v="258"/>
            <x v="259"/>
            <x v="260"/>
            <x v="261"/>
          </reference>
        </references>
      </pivotArea>
    </format>
    <format dxfId="5528">
      <pivotArea dataOnly="0" labelOnly="1" outline="0" fieldPosition="0">
        <references count="1">
          <reference field="11" count="9" defaultSubtotal="1">
            <x v="253"/>
            <x v="254"/>
            <x v="255"/>
            <x v="256"/>
            <x v="257"/>
            <x v="258"/>
            <x v="259"/>
            <x v="260"/>
            <x v="261"/>
          </reference>
        </references>
      </pivotArea>
    </format>
    <format dxfId="5527">
      <pivotArea dataOnly="0" labelOnly="1" outline="0" fieldPosition="0">
        <references count="1">
          <reference field="11" count="23">
            <x v="262"/>
            <x v="263"/>
            <x v="264"/>
            <x v="265"/>
            <x v="266"/>
            <x v="267"/>
            <x v="268"/>
            <x v="269"/>
            <x v="270"/>
            <x v="271"/>
            <x v="272"/>
            <x v="273"/>
            <x v="274"/>
            <x v="275"/>
            <x v="276"/>
            <x v="277"/>
            <x v="278"/>
            <x v="279"/>
            <x v="280"/>
            <x v="281"/>
            <x v="282"/>
            <x v="283"/>
            <x v="284"/>
          </reference>
        </references>
      </pivotArea>
    </format>
    <format dxfId="5526">
      <pivotArea dataOnly="0" labelOnly="1" outline="0" fieldPosition="0">
        <references count="1">
          <reference field="11" count="23" defaultSubtotal="1">
            <x v="262"/>
            <x v="263"/>
            <x v="264"/>
            <x v="265"/>
            <x v="266"/>
            <x v="267"/>
            <x v="268"/>
            <x v="269"/>
            <x v="270"/>
            <x v="271"/>
            <x v="272"/>
            <x v="273"/>
            <x v="274"/>
            <x v="275"/>
            <x v="276"/>
            <x v="277"/>
            <x v="278"/>
            <x v="279"/>
            <x v="280"/>
            <x v="281"/>
            <x v="282"/>
            <x v="283"/>
            <x v="284"/>
          </reference>
        </references>
      </pivotArea>
    </format>
    <format dxfId="5525">
      <pivotArea dataOnly="0" labelOnly="1" outline="0" fieldPosition="0">
        <references count="1">
          <reference field="11" count="24">
            <x v="285"/>
            <x v="286"/>
            <x v="287"/>
            <x v="288"/>
            <x v="289"/>
            <x v="290"/>
            <x v="291"/>
            <x v="292"/>
            <x v="293"/>
            <x v="294"/>
            <x v="295"/>
            <x v="296"/>
            <x v="297"/>
            <x v="298"/>
            <x v="299"/>
            <x v="300"/>
            <x v="301"/>
            <x v="302"/>
            <x v="303"/>
            <x v="304"/>
            <x v="305"/>
            <x v="306"/>
            <x v="307"/>
            <x v="308"/>
          </reference>
        </references>
      </pivotArea>
    </format>
    <format dxfId="5524">
      <pivotArea dataOnly="0" labelOnly="1" outline="0" fieldPosition="0">
        <references count="1">
          <reference field="11" count="24" defaultSubtotal="1">
            <x v="285"/>
            <x v="286"/>
            <x v="287"/>
            <x v="288"/>
            <x v="289"/>
            <x v="290"/>
            <x v="291"/>
            <x v="292"/>
            <x v="293"/>
            <x v="294"/>
            <x v="295"/>
            <x v="296"/>
            <x v="297"/>
            <x v="298"/>
            <x v="299"/>
            <x v="300"/>
            <x v="301"/>
            <x v="302"/>
            <x v="303"/>
            <x v="304"/>
            <x v="305"/>
            <x v="306"/>
            <x v="307"/>
            <x v="308"/>
          </reference>
        </references>
      </pivotArea>
    </format>
    <format dxfId="5523">
      <pivotArea dataOnly="0" labelOnly="1" outline="0" fieldPosition="0">
        <references count="1">
          <reference field="11" count="22">
            <x v="309"/>
            <x v="310"/>
            <x v="311"/>
            <x v="312"/>
            <x v="313"/>
            <x v="314"/>
            <x v="315"/>
            <x v="316"/>
            <x v="317"/>
            <x v="318"/>
            <x v="319"/>
            <x v="320"/>
            <x v="321"/>
            <x v="322"/>
            <x v="323"/>
            <x v="324"/>
            <x v="325"/>
            <x v="326"/>
            <x v="327"/>
            <x v="328"/>
            <x v="329"/>
            <x v="330"/>
          </reference>
        </references>
      </pivotArea>
    </format>
    <format dxfId="5522">
      <pivotArea dataOnly="0" labelOnly="1" outline="0" fieldPosition="0">
        <references count="1">
          <reference field="11" count="22" defaultSubtotal="1">
            <x v="309"/>
            <x v="310"/>
            <x v="311"/>
            <x v="312"/>
            <x v="313"/>
            <x v="314"/>
            <x v="315"/>
            <x v="316"/>
            <x v="317"/>
            <x v="318"/>
            <x v="319"/>
            <x v="320"/>
            <x v="321"/>
            <x v="322"/>
            <x v="323"/>
            <x v="324"/>
            <x v="325"/>
            <x v="326"/>
            <x v="327"/>
            <x v="328"/>
            <x v="329"/>
            <x v="330"/>
          </reference>
        </references>
      </pivotArea>
    </format>
    <format dxfId="5521">
      <pivotArea dataOnly="0" labelOnly="1" outline="0" fieldPosition="0">
        <references count="1">
          <reference field="11" count="15">
            <x v="331"/>
            <x v="332"/>
            <x v="333"/>
            <x v="334"/>
            <x v="335"/>
            <x v="336"/>
            <x v="337"/>
            <x v="338"/>
            <x v="339"/>
            <x v="340"/>
            <x v="341"/>
            <x v="342"/>
            <x v="343"/>
            <x v="344"/>
            <x v="345"/>
          </reference>
        </references>
      </pivotArea>
    </format>
    <format dxfId="5520">
      <pivotArea dataOnly="0" labelOnly="1" outline="0" fieldPosition="0">
        <references count="1">
          <reference field="11" count="15" defaultSubtotal="1">
            <x v="331"/>
            <x v="332"/>
            <x v="333"/>
            <x v="334"/>
            <x v="335"/>
            <x v="336"/>
            <x v="337"/>
            <x v="338"/>
            <x v="339"/>
            <x v="340"/>
            <x v="341"/>
            <x v="342"/>
            <x v="343"/>
            <x v="344"/>
            <x v="345"/>
          </reference>
        </references>
      </pivotArea>
    </format>
    <format dxfId="5519">
      <pivotArea dataOnly="0" labelOnly="1" outline="0" fieldPosition="0">
        <references count="1">
          <reference field="11" count="12">
            <x v="346"/>
            <x v="347"/>
            <x v="348"/>
            <x v="349"/>
            <x v="350"/>
            <x v="351"/>
            <x v="352"/>
            <x v="353"/>
            <x v="354"/>
            <x v="355"/>
            <x v="356"/>
            <x v="357"/>
          </reference>
        </references>
      </pivotArea>
    </format>
    <format dxfId="5518">
      <pivotArea dataOnly="0" labelOnly="1" outline="0" fieldPosition="0">
        <references count="1">
          <reference field="11" count="12" defaultSubtotal="1">
            <x v="346"/>
            <x v="347"/>
            <x v="348"/>
            <x v="349"/>
            <x v="350"/>
            <x v="351"/>
            <x v="352"/>
            <x v="353"/>
            <x v="354"/>
            <x v="355"/>
            <x v="356"/>
            <x v="357"/>
          </reference>
        </references>
      </pivotArea>
    </format>
    <format dxfId="5517">
      <pivotArea dataOnly="0" labelOnly="1" outline="0" fieldPosition="0">
        <references count="1">
          <reference field="11" count="17">
            <x v="358"/>
            <x v="359"/>
            <x v="360"/>
            <x v="361"/>
            <x v="362"/>
            <x v="363"/>
            <x v="364"/>
            <x v="365"/>
            <x v="366"/>
            <x v="367"/>
            <x v="368"/>
            <x v="369"/>
            <x v="370"/>
            <x v="371"/>
            <x v="372"/>
            <x v="373"/>
            <x v="374"/>
          </reference>
        </references>
      </pivotArea>
    </format>
    <format dxfId="5516">
      <pivotArea dataOnly="0" labelOnly="1" outline="0" fieldPosition="0">
        <references count="1">
          <reference field="11" count="17" defaultSubtotal="1">
            <x v="358"/>
            <x v="359"/>
            <x v="360"/>
            <x v="361"/>
            <x v="362"/>
            <x v="363"/>
            <x v="364"/>
            <x v="365"/>
            <x v="366"/>
            <x v="367"/>
            <x v="368"/>
            <x v="369"/>
            <x v="370"/>
            <x v="371"/>
            <x v="372"/>
            <x v="373"/>
            <x v="374"/>
          </reference>
        </references>
      </pivotArea>
    </format>
    <format dxfId="5515">
      <pivotArea dataOnly="0" labelOnly="1" outline="0" fieldPosition="0">
        <references count="1">
          <reference field="11" count="20">
            <x v="375"/>
            <x v="376"/>
            <x v="377"/>
            <x v="378"/>
            <x v="379"/>
            <x v="380"/>
            <x v="381"/>
            <x v="382"/>
            <x v="383"/>
            <x v="384"/>
            <x v="385"/>
            <x v="386"/>
            <x v="387"/>
            <x v="388"/>
            <x v="389"/>
            <x v="390"/>
            <x v="391"/>
            <x v="392"/>
            <x v="393"/>
            <x v="394"/>
          </reference>
        </references>
      </pivotArea>
    </format>
    <format dxfId="5514">
      <pivotArea dataOnly="0" labelOnly="1" outline="0" fieldPosition="0">
        <references count="1">
          <reference field="11" count="20" defaultSubtotal="1">
            <x v="375"/>
            <x v="376"/>
            <x v="377"/>
            <x v="378"/>
            <x v="379"/>
            <x v="380"/>
            <x v="381"/>
            <x v="382"/>
            <x v="383"/>
            <x v="384"/>
            <x v="385"/>
            <x v="386"/>
            <x v="387"/>
            <x v="388"/>
            <x v="389"/>
            <x v="390"/>
            <x v="391"/>
            <x v="392"/>
            <x v="393"/>
            <x v="394"/>
          </reference>
        </references>
      </pivotArea>
    </format>
    <format dxfId="5513">
      <pivotArea dataOnly="0" labelOnly="1" outline="0" fieldPosition="0">
        <references count="1">
          <reference field="11" count="12">
            <x v="395"/>
            <x v="396"/>
            <x v="397"/>
            <x v="398"/>
            <x v="399"/>
            <x v="400"/>
            <x v="401"/>
            <x v="402"/>
            <x v="403"/>
            <x v="404"/>
            <x v="405"/>
            <x v="406"/>
          </reference>
        </references>
      </pivotArea>
    </format>
    <format dxfId="5512">
      <pivotArea dataOnly="0" labelOnly="1" outline="0" fieldPosition="0">
        <references count="1">
          <reference field="11" count="12" defaultSubtotal="1">
            <x v="395"/>
            <x v="396"/>
            <x v="397"/>
            <x v="398"/>
            <x v="399"/>
            <x v="400"/>
            <x v="401"/>
            <x v="402"/>
            <x v="403"/>
            <x v="404"/>
            <x v="405"/>
            <x v="406"/>
          </reference>
        </references>
      </pivotArea>
    </format>
    <format dxfId="5511">
      <pivotArea dataOnly="0" labelOnly="1" outline="0" fieldPosition="0">
        <references count="1">
          <reference field="11" count="19">
            <x v="407"/>
            <x v="408"/>
            <x v="409"/>
            <x v="410"/>
            <x v="411"/>
            <x v="412"/>
            <x v="413"/>
            <x v="414"/>
            <x v="415"/>
            <x v="416"/>
            <x v="417"/>
            <x v="418"/>
            <x v="419"/>
            <x v="420"/>
            <x v="421"/>
            <x v="422"/>
            <x v="423"/>
            <x v="424"/>
            <x v="425"/>
          </reference>
        </references>
      </pivotArea>
    </format>
    <format dxfId="5510">
      <pivotArea dataOnly="0" labelOnly="1" outline="0" fieldPosition="0">
        <references count="1">
          <reference field="11" count="19" defaultSubtotal="1">
            <x v="407"/>
            <x v="408"/>
            <x v="409"/>
            <x v="410"/>
            <x v="411"/>
            <x v="412"/>
            <x v="413"/>
            <x v="414"/>
            <x v="415"/>
            <x v="416"/>
            <x v="417"/>
            <x v="418"/>
            <x v="419"/>
            <x v="420"/>
            <x v="421"/>
            <x v="422"/>
            <x v="423"/>
            <x v="424"/>
            <x v="425"/>
          </reference>
        </references>
      </pivotArea>
    </format>
    <format dxfId="5509">
      <pivotArea dataOnly="0" labelOnly="1" outline="0" fieldPosition="0">
        <references count="1">
          <reference field="11" count="16">
            <x v="426"/>
            <x v="427"/>
            <x v="428"/>
            <x v="429"/>
            <x v="430"/>
            <x v="431"/>
            <x v="432"/>
            <x v="433"/>
            <x v="434"/>
            <x v="435"/>
            <x v="436"/>
            <x v="437"/>
            <x v="438"/>
            <x v="439"/>
            <x v="440"/>
            <x v="441"/>
          </reference>
        </references>
      </pivotArea>
    </format>
    <format dxfId="5508">
      <pivotArea dataOnly="0" labelOnly="1" outline="0" fieldPosition="0">
        <references count="1">
          <reference field="11" count="16" defaultSubtotal="1">
            <x v="426"/>
            <x v="427"/>
            <x v="428"/>
            <x v="429"/>
            <x v="430"/>
            <x v="431"/>
            <x v="432"/>
            <x v="433"/>
            <x v="434"/>
            <x v="435"/>
            <x v="436"/>
            <x v="437"/>
            <x v="438"/>
            <x v="439"/>
            <x v="440"/>
            <x v="441"/>
          </reference>
        </references>
      </pivotArea>
    </format>
    <format dxfId="5507">
      <pivotArea dataOnly="0" labelOnly="1" outline="0" fieldPosition="0">
        <references count="1">
          <reference field="11" count="19">
            <x v="442"/>
            <x v="443"/>
            <x v="444"/>
            <x v="445"/>
            <x v="446"/>
            <x v="447"/>
            <x v="448"/>
            <x v="449"/>
            <x v="450"/>
            <x v="451"/>
            <x v="452"/>
            <x v="453"/>
            <x v="454"/>
            <x v="455"/>
            <x v="456"/>
            <x v="457"/>
            <x v="458"/>
            <x v="459"/>
            <x v="460"/>
          </reference>
        </references>
      </pivotArea>
    </format>
    <format dxfId="5506">
      <pivotArea dataOnly="0" labelOnly="1" outline="0" fieldPosition="0">
        <references count="1">
          <reference field="11" count="19" defaultSubtotal="1">
            <x v="442"/>
            <x v="443"/>
            <x v="444"/>
            <x v="445"/>
            <x v="446"/>
            <x v="447"/>
            <x v="448"/>
            <x v="449"/>
            <x v="450"/>
            <x v="451"/>
            <x v="452"/>
            <x v="453"/>
            <x v="454"/>
            <x v="455"/>
            <x v="456"/>
            <x v="457"/>
            <x v="458"/>
            <x v="459"/>
            <x v="460"/>
          </reference>
        </references>
      </pivotArea>
    </format>
    <format dxfId="5505">
      <pivotArea dataOnly="0" labelOnly="1" outline="0" fieldPosition="0">
        <references count="1">
          <reference field="11" count="21">
            <x v="461"/>
            <x v="462"/>
            <x v="463"/>
            <x v="464"/>
            <x v="465"/>
            <x v="466"/>
            <x v="467"/>
            <x v="468"/>
            <x v="469"/>
            <x v="470"/>
            <x v="471"/>
            <x v="472"/>
            <x v="473"/>
            <x v="474"/>
            <x v="475"/>
            <x v="476"/>
            <x v="477"/>
            <x v="478"/>
            <x v="479"/>
            <x v="480"/>
            <x v="481"/>
          </reference>
        </references>
      </pivotArea>
    </format>
    <format dxfId="5504">
      <pivotArea dataOnly="0" labelOnly="1" outline="0" fieldPosition="0">
        <references count="1">
          <reference field="11" count="21" defaultSubtotal="1">
            <x v="461"/>
            <x v="462"/>
            <x v="463"/>
            <x v="464"/>
            <x v="465"/>
            <x v="466"/>
            <x v="467"/>
            <x v="468"/>
            <x v="469"/>
            <x v="470"/>
            <x v="471"/>
            <x v="472"/>
            <x v="473"/>
            <x v="474"/>
            <x v="475"/>
            <x v="476"/>
            <x v="477"/>
            <x v="478"/>
            <x v="479"/>
            <x v="480"/>
            <x v="481"/>
          </reference>
        </references>
      </pivotArea>
    </format>
    <format dxfId="5503">
      <pivotArea dataOnly="0" labelOnly="1" outline="0" fieldPosition="0">
        <references count="1">
          <reference field="11" count="7">
            <x v="482"/>
            <x v="483"/>
            <x v="484"/>
            <x v="485"/>
            <x v="486"/>
            <x v="487"/>
            <x v="488"/>
          </reference>
        </references>
      </pivotArea>
    </format>
    <format dxfId="5502">
      <pivotArea dataOnly="0" labelOnly="1" outline="0" fieldPosition="0">
        <references count="1">
          <reference field="11" count="7" defaultSubtotal="1">
            <x v="482"/>
            <x v="483"/>
            <x v="484"/>
            <x v="485"/>
            <x v="486"/>
            <x v="487"/>
            <x v="488"/>
          </reference>
        </references>
      </pivotArea>
    </format>
    <format dxfId="5501">
      <pivotArea dataOnly="0" labelOnly="1" grandRow="1" outline="0" fieldPosition="0"/>
    </format>
    <format dxfId="5500">
      <pivotArea dataOnly="0" labelOnly="1" outline="0" fieldPosition="0">
        <references count="2">
          <reference field="11" count="1" selected="0">
            <x v="0"/>
          </reference>
          <reference field="14" count="1">
            <x v="90"/>
          </reference>
        </references>
      </pivotArea>
    </format>
    <format dxfId="5499">
      <pivotArea dataOnly="0" labelOnly="1" outline="0" fieldPosition="0">
        <references count="2">
          <reference field="11" count="1" selected="0">
            <x v="0"/>
          </reference>
          <reference field="14" count="1" defaultSubtotal="1">
            <x v="90"/>
          </reference>
        </references>
      </pivotArea>
    </format>
    <format dxfId="5498">
      <pivotArea dataOnly="0" labelOnly="1" outline="0" fieldPosition="0">
        <references count="2">
          <reference field="11" count="1" selected="0">
            <x v="1"/>
          </reference>
          <reference field="14" count="1">
            <x v="230"/>
          </reference>
        </references>
      </pivotArea>
    </format>
    <format dxfId="5497">
      <pivotArea dataOnly="0" labelOnly="1" outline="0" fieldPosition="0">
        <references count="2">
          <reference field="11" count="1" selected="0">
            <x v="1"/>
          </reference>
          <reference field="14" count="1" defaultSubtotal="1">
            <x v="230"/>
          </reference>
        </references>
      </pivotArea>
    </format>
    <format dxfId="5496">
      <pivotArea dataOnly="0" labelOnly="1" outline="0" fieldPosition="0">
        <references count="2">
          <reference field="11" count="1" selected="0">
            <x v="2"/>
          </reference>
          <reference field="14" count="1">
            <x v="226"/>
          </reference>
        </references>
      </pivotArea>
    </format>
    <format dxfId="5495">
      <pivotArea dataOnly="0" labelOnly="1" outline="0" fieldPosition="0">
        <references count="2">
          <reference field="11" count="1" selected="0">
            <x v="2"/>
          </reference>
          <reference field="14" count="1" defaultSubtotal="1">
            <x v="226"/>
          </reference>
        </references>
      </pivotArea>
    </format>
    <format dxfId="5494">
      <pivotArea dataOnly="0" labelOnly="1" outline="0" fieldPosition="0">
        <references count="2">
          <reference field="11" count="1" selected="0">
            <x v="3"/>
          </reference>
          <reference field="14" count="1">
            <x v="31"/>
          </reference>
        </references>
      </pivotArea>
    </format>
    <format dxfId="5493">
      <pivotArea dataOnly="0" labelOnly="1" outline="0" fieldPosition="0">
        <references count="2">
          <reference field="11" count="1" selected="0">
            <x v="3"/>
          </reference>
          <reference field="14" count="1" defaultSubtotal="1">
            <x v="31"/>
          </reference>
        </references>
      </pivotArea>
    </format>
    <format dxfId="5492">
      <pivotArea dataOnly="0" labelOnly="1" outline="0" fieldPosition="0">
        <references count="2">
          <reference field="11" count="1" selected="0">
            <x v="4"/>
          </reference>
          <reference field="14" count="1">
            <x v="233"/>
          </reference>
        </references>
      </pivotArea>
    </format>
    <format dxfId="5491">
      <pivotArea dataOnly="0" labelOnly="1" outline="0" fieldPosition="0">
        <references count="2">
          <reference field="11" count="1" selected="0">
            <x v="4"/>
          </reference>
          <reference field="14" count="1" defaultSubtotal="1">
            <x v="233"/>
          </reference>
        </references>
      </pivotArea>
    </format>
    <format dxfId="5490">
      <pivotArea dataOnly="0" labelOnly="1" outline="0" fieldPosition="0">
        <references count="2">
          <reference field="11" count="1" selected="0">
            <x v="5"/>
          </reference>
          <reference field="14" count="1">
            <x v="232"/>
          </reference>
        </references>
      </pivotArea>
    </format>
    <format dxfId="5489">
      <pivotArea dataOnly="0" labelOnly="1" outline="0" fieldPosition="0">
        <references count="2">
          <reference field="11" count="1" selected="0">
            <x v="5"/>
          </reference>
          <reference field="14" count="1" defaultSubtotal="1">
            <x v="232"/>
          </reference>
        </references>
      </pivotArea>
    </format>
    <format dxfId="5488">
      <pivotArea dataOnly="0" labelOnly="1" outline="0" fieldPosition="0">
        <references count="2">
          <reference field="11" count="1" selected="0">
            <x v="6"/>
          </reference>
          <reference field="14" count="1">
            <x v="19"/>
          </reference>
        </references>
      </pivotArea>
    </format>
    <format dxfId="5487">
      <pivotArea dataOnly="0" labelOnly="1" outline="0" fieldPosition="0">
        <references count="2">
          <reference field="11" count="1" selected="0">
            <x v="6"/>
          </reference>
          <reference field="14" count="1" defaultSubtotal="1">
            <x v="19"/>
          </reference>
        </references>
      </pivotArea>
    </format>
    <format dxfId="5486">
      <pivotArea dataOnly="0" labelOnly="1" outline="0" fieldPosition="0">
        <references count="2">
          <reference field="11" count="1" selected="0">
            <x v="7"/>
          </reference>
          <reference field="14" count="1">
            <x v="351"/>
          </reference>
        </references>
      </pivotArea>
    </format>
    <format dxfId="5485">
      <pivotArea dataOnly="0" labelOnly="1" outline="0" fieldPosition="0">
        <references count="2">
          <reference field="11" count="1" selected="0">
            <x v="7"/>
          </reference>
          <reference field="14" count="1" defaultSubtotal="1">
            <x v="351"/>
          </reference>
        </references>
      </pivotArea>
    </format>
    <format dxfId="5484">
      <pivotArea dataOnly="0" labelOnly="1" outline="0" fieldPosition="0">
        <references count="2">
          <reference field="11" count="1" selected="0">
            <x v="8"/>
          </reference>
          <reference field="14" count="1">
            <x v="375"/>
          </reference>
        </references>
      </pivotArea>
    </format>
    <format dxfId="5483">
      <pivotArea dataOnly="0" labelOnly="1" outline="0" fieldPosition="0">
        <references count="2">
          <reference field="11" count="1" selected="0">
            <x v="8"/>
          </reference>
          <reference field="14" count="1" defaultSubtotal="1">
            <x v="375"/>
          </reference>
        </references>
      </pivotArea>
    </format>
    <format dxfId="5482">
      <pivotArea dataOnly="0" labelOnly="1" outline="0" fieldPosition="0">
        <references count="2">
          <reference field="11" count="1" selected="0">
            <x v="9"/>
          </reference>
          <reference field="14" count="1">
            <x v="50"/>
          </reference>
        </references>
      </pivotArea>
    </format>
    <format dxfId="5481">
      <pivotArea dataOnly="0" labelOnly="1" outline="0" fieldPosition="0">
        <references count="2">
          <reference field="11" count="1" selected="0">
            <x v="9"/>
          </reference>
          <reference field="14" count="1" defaultSubtotal="1">
            <x v="50"/>
          </reference>
        </references>
      </pivotArea>
    </format>
    <format dxfId="5480">
      <pivotArea dataOnly="0" labelOnly="1" outline="0" fieldPosition="0">
        <references count="2">
          <reference field="11" count="1" selected="0">
            <x v="10"/>
          </reference>
          <reference field="14" count="1">
            <x v="150"/>
          </reference>
        </references>
      </pivotArea>
    </format>
    <format dxfId="5479">
      <pivotArea dataOnly="0" labelOnly="1" outline="0" fieldPosition="0">
        <references count="2">
          <reference field="11" count="1" selected="0">
            <x v="10"/>
          </reference>
          <reference field="14" count="1" defaultSubtotal="1">
            <x v="150"/>
          </reference>
        </references>
      </pivotArea>
    </format>
    <format dxfId="5478">
      <pivotArea dataOnly="0" labelOnly="1" outline="0" fieldPosition="0">
        <references count="2">
          <reference field="11" count="1" selected="0">
            <x v="11"/>
          </reference>
          <reference field="14" count="1">
            <x v="265"/>
          </reference>
        </references>
      </pivotArea>
    </format>
    <format dxfId="5477">
      <pivotArea dataOnly="0" labelOnly="1" outline="0" fieldPosition="0">
        <references count="2">
          <reference field="11" count="1" selected="0">
            <x v="11"/>
          </reference>
          <reference field="14" count="1" defaultSubtotal="1">
            <x v="265"/>
          </reference>
        </references>
      </pivotArea>
    </format>
    <format dxfId="5476">
      <pivotArea dataOnly="0" labelOnly="1" outline="0" fieldPosition="0">
        <references count="2">
          <reference field="11" count="1" selected="0">
            <x v="12"/>
          </reference>
          <reference field="14" count="1">
            <x v="256"/>
          </reference>
        </references>
      </pivotArea>
    </format>
    <format dxfId="5475">
      <pivotArea dataOnly="0" labelOnly="1" outline="0" fieldPosition="0">
        <references count="2">
          <reference field="11" count="1" selected="0">
            <x v="12"/>
          </reference>
          <reference field="14" count="1" defaultSubtotal="1">
            <x v="256"/>
          </reference>
        </references>
      </pivotArea>
    </format>
    <format dxfId="5474">
      <pivotArea dataOnly="0" labelOnly="1" outline="0" fieldPosition="0">
        <references count="2">
          <reference field="11" count="1" selected="0">
            <x v="13"/>
          </reference>
          <reference field="14" count="1">
            <x v="304"/>
          </reference>
        </references>
      </pivotArea>
    </format>
    <format dxfId="5473">
      <pivotArea dataOnly="0" labelOnly="1" outline="0" fieldPosition="0">
        <references count="2">
          <reference field="11" count="1" selected="0">
            <x v="13"/>
          </reference>
          <reference field="14" count="1" defaultSubtotal="1">
            <x v="304"/>
          </reference>
        </references>
      </pivotArea>
    </format>
    <format dxfId="5472">
      <pivotArea dataOnly="0" labelOnly="1" outline="0" fieldPosition="0">
        <references count="2">
          <reference field="11" count="1" selected="0">
            <x v="14"/>
          </reference>
          <reference field="14" count="1">
            <x v="17"/>
          </reference>
        </references>
      </pivotArea>
    </format>
    <format dxfId="5471">
      <pivotArea dataOnly="0" labelOnly="1" outline="0" fieldPosition="0">
        <references count="2">
          <reference field="11" count="1" selected="0">
            <x v="14"/>
          </reference>
          <reference field="14" count="1" defaultSubtotal="1">
            <x v="17"/>
          </reference>
        </references>
      </pivotArea>
    </format>
    <format dxfId="5470">
      <pivotArea dataOnly="0" labelOnly="1" outline="0" fieldPosition="0">
        <references count="2">
          <reference field="11" count="1" selected="0">
            <x v="15"/>
          </reference>
          <reference field="14" count="1">
            <x v="378"/>
          </reference>
        </references>
      </pivotArea>
    </format>
    <format dxfId="5469">
      <pivotArea dataOnly="0" labelOnly="1" outline="0" fieldPosition="0">
        <references count="2">
          <reference field="11" count="1" selected="0">
            <x v="15"/>
          </reference>
          <reference field="14" count="1" defaultSubtotal="1">
            <x v="378"/>
          </reference>
        </references>
      </pivotArea>
    </format>
    <format dxfId="5468">
      <pivotArea dataOnly="0" labelOnly="1" outline="0" fieldPosition="0">
        <references count="2">
          <reference field="11" count="1" selected="0">
            <x v="16"/>
          </reference>
          <reference field="14" count="1">
            <x v="286"/>
          </reference>
        </references>
      </pivotArea>
    </format>
    <format dxfId="5467">
      <pivotArea dataOnly="0" labelOnly="1" outline="0" fieldPosition="0">
        <references count="2">
          <reference field="11" count="1" selected="0">
            <x v="16"/>
          </reference>
          <reference field="14" count="1" defaultSubtotal="1">
            <x v="286"/>
          </reference>
        </references>
      </pivotArea>
    </format>
    <format dxfId="5466">
      <pivotArea dataOnly="0" labelOnly="1" outline="0" fieldPosition="0">
        <references count="2">
          <reference field="11" count="1" selected="0">
            <x v="17"/>
          </reference>
          <reference field="14" count="1">
            <x v="116"/>
          </reference>
        </references>
      </pivotArea>
    </format>
    <format dxfId="5465">
      <pivotArea dataOnly="0" labelOnly="1" outline="0" fieldPosition="0">
        <references count="2">
          <reference field="11" count="1" selected="0">
            <x v="17"/>
          </reference>
          <reference field="14" count="1" defaultSubtotal="1">
            <x v="116"/>
          </reference>
        </references>
      </pivotArea>
    </format>
    <format dxfId="5464">
      <pivotArea dataOnly="0" labelOnly="1" outline="0" fieldPosition="0">
        <references count="2">
          <reference field="11" count="1" selected="0">
            <x v="18"/>
          </reference>
          <reference field="14" count="1">
            <x v="176"/>
          </reference>
        </references>
      </pivotArea>
    </format>
    <format dxfId="5463">
      <pivotArea dataOnly="0" labelOnly="1" outline="0" fieldPosition="0">
        <references count="2">
          <reference field="11" count="1" selected="0">
            <x v="18"/>
          </reference>
          <reference field="14" count="1" defaultSubtotal="1">
            <x v="176"/>
          </reference>
        </references>
      </pivotArea>
    </format>
    <format dxfId="5462">
      <pivotArea dataOnly="0" labelOnly="1" outline="0" fieldPosition="0">
        <references count="2">
          <reference field="11" count="1" selected="0">
            <x v="19"/>
          </reference>
          <reference field="14" count="1">
            <x v="460"/>
          </reference>
        </references>
      </pivotArea>
    </format>
    <format dxfId="5461">
      <pivotArea dataOnly="0" labelOnly="1" outline="0" fieldPosition="0">
        <references count="2">
          <reference field="11" count="1" selected="0">
            <x v="19"/>
          </reference>
          <reference field="14" count="1" defaultSubtotal="1">
            <x v="460"/>
          </reference>
        </references>
      </pivotArea>
    </format>
    <format dxfId="5460">
      <pivotArea dataOnly="0" labelOnly="1" outline="0" fieldPosition="0">
        <references count="2">
          <reference field="11" count="1" selected="0">
            <x v="20"/>
          </reference>
          <reference field="14" count="1">
            <x v="46"/>
          </reference>
        </references>
      </pivotArea>
    </format>
    <format dxfId="5459">
      <pivotArea dataOnly="0" labelOnly="1" outline="0" fieldPosition="0">
        <references count="2">
          <reference field="11" count="1" selected="0">
            <x v="20"/>
          </reference>
          <reference field="14" count="1" defaultSubtotal="1">
            <x v="46"/>
          </reference>
        </references>
      </pivotArea>
    </format>
    <format dxfId="5458">
      <pivotArea dataOnly="0" labelOnly="1" outline="0" fieldPosition="0">
        <references count="2">
          <reference field="11" count="1" selected="0">
            <x v="21"/>
          </reference>
          <reference field="14" count="1">
            <x v="347"/>
          </reference>
        </references>
      </pivotArea>
    </format>
    <format dxfId="5457">
      <pivotArea dataOnly="0" labelOnly="1" outline="0" fieldPosition="0">
        <references count="2">
          <reference field="11" count="1" selected="0">
            <x v="21"/>
          </reference>
          <reference field="14" count="1" defaultSubtotal="1">
            <x v="347"/>
          </reference>
        </references>
      </pivotArea>
    </format>
    <format dxfId="5456">
      <pivotArea dataOnly="0" labelOnly="1" outline="0" fieldPosition="0">
        <references count="2">
          <reference field="11" count="1" selected="0">
            <x v="22"/>
          </reference>
          <reference field="14" count="1">
            <x v="219"/>
          </reference>
        </references>
      </pivotArea>
    </format>
    <format dxfId="5455">
      <pivotArea dataOnly="0" labelOnly="1" outline="0" fieldPosition="0">
        <references count="2">
          <reference field="11" count="1" selected="0">
            <x v="22"/>
          </reference>
          <reference field="14" count="1" defaultSubtotal="1">
            <x v="219"/>
          </reference>
        </references>
      </pivotArea>
    </format>
    <format dxfId="5454">
      <pivotArea dataOnly="0" labelOnly="1" outline="0" fieldPosition="0">
        <references count="2">
          <reference field="11" count="1" selected="0">
            <x v="23"/>
          </reference>
          <reference field="14" count="1">
            <x v="94"/>
          </reference>
        </references>
      </pivotArea>
    </format>
    <format dxfId="5453">
      <pivotArea dataOnly="0" labelOnly="1" outline="0" fieldPosition="0">
        <references count="2">
          <reference field="11" count="1" selected="0">
            <x v="23"/>
          </reference>
          <reference field="14" count="1" defaultSubtotal="1">
            <x v="94"/>
          </reference>
        </references>
      </pivotArea>
    </format>
    <format dxfId="5452">
      <pivotArea dataOnly="0" labelOnly="1" outline="0" fieldPosition="0">
        <references count="2">
          <reference field="11" count="1" selected="0">
            <x v="24"/>
          </reference>
          <reference field="14" count="1">
            <x v="93"/>
          </reference>
        </references>
      </pivotArea>
    </format>
    <format dxfId="5451">
      <pivotArea dataOnly="0" labelOnly="1" outline="0" fieldPosition="0">
        <references count="2">
          <reference field="11" count="1" selected="0">
            <x v="24"/>
          </reference>
          <reference field="14" count="1" defaultSubtotal="1">
            <x v="93"/>
          </reference>
        </references>
      </pivotArea>
    </format>
    <format dxfId="5450">
      <pivotArea dataOnly="0" labelOnly="1" outline="0" fieldPosition="0">
        <references count="2">
          <reference field="11" count="1" selected="0">
            <x v="25"/>
          </reference>
          <reference field="14" count="1">
            <x v="466"/>
          </reference>
        </references>
      </pivotArea>
    </format>
    <format dxfId="5449">
      <pivotArea dataOnly="0" labelOnly="1" outline="0" fieldPosition="0">
        <references count="2">
          <reference field="11" count="1" selected="0">
            <x v="25"/>
          </reference>
          <reference field="14" count="1" defaultSubtotal="1">
            <x v="466"/>
          </reference>
        </references>
      </pivotArea>
    </format>
    <format dxfId="5448">
      <pivotArea dataOnly="0" labelOnly="1" outline="0" fieldPosition="0">
        <references count="2">
          <reference field="11" count="1" selected="0">
            <x v="26"/>
          </reference>
          <reference field="14" count="1">
            <x v="55"/>
          </reference>
        </references>
      </pivotArea>
    </format>
    <format dxfId="5447">
      <pivotArea dataOnly="0" labelOnly="1" outline="0" fieldPosition="0">
        <references count="2">
          <reference field="11" count="1" selected="0">
            <x v="26"/>
          </reference>
          <reference field="14" count="1" defaultSubtotal="1">
            <x v="55"/>
          </reference>
        </references>
      </pivotArea>
    </format>
    <format dxfId="5446">
      <pivotArea dataOnly="0" labelOnly="1" outline="0" fieldPosition="0">
        <references count="2">
          <reference field="11" count="1" selected="0">
            <x v="27"/>
          </reference>
          <reference field="14" count="1">
            <x v="458"/>
          </reference>
        </references>
      </pivotArea>
    </format>
    <format dxfId="5445">
      <pivotArea dataOnly="0" labelOnly="1" outline="0" fieldPosition="0">
        <references count="2">
          <reference field="11" count="1" selected="0">
            <x v="27"/>
          </reference>
          <reference field="14" count="1" defaultSubtotal="1">
            <x v="458"/>
          </reference>
        </references>
      </pivotArea>
    </format>
    <format dxfId="5444">
      <pivotArea dataOnly="0" labelOnly="1" outline="0" fieldPosition="0">
        <references count="2">
          <reference field="11" count="1" selected="0">
            <x v="28"/>
          </reference>
          <reference field="14" count="1">
            <x v="179"/>
          </reference>
        </references>
      </pivotArea>
    </format>
    <format dxfId="5443">
      <pivotArea dataOnly="0" labelOnly="1" outline="0" fieldPosition="0">
        <references count="2">
          <reference field="11" count="1" selected="0">
            <x v="28"/>
          </reference>
          <reference field="14" count="1" defaultSubtotal="1">
            <x v="179"/>
          </reference>
        </references>
      </pivotArea>
    </format>
    <format dxfId="5442">
      <pivotArea dataOnly="0" labelOnly="1" outline="0" fieldPosition="0">
        <references count="2">
          <reference field="11" count="1" selected="0">
            <x v="29"/>
          </reference>
          <reference field="14" count="1">
            <x v="0"/>
          </reference>
        </references>
      </pivotArea>
    </format>
    <format dxfId="5441">
      <pivotArea dataOnly="0" labelOnly="1" outline="0" fieldPosition="0">
        <references count="2">
          <reference field="11" count="1" selected="0">
            <x v="29"/>
          </reference>
          <reference field="14" count="1" defaultSubtotal="1">
            <x v="0"/>
          </reference>
        </references>
      </pivotArea>
    </format>
    <format dxfId="5440">
      <pivotArea dataOnly="0" labelOnly="1" outline="0" fieldPosition="0">
        <references count="2">
          <reference field="11" count="1" selected="0">
            <x v="30"/>
          </reference>
          <reference field="14" count="1">
            <x v="1"/>
          </reference>
        </references>
      </pivotArea>
    </format>
    <format dxfId="5439">
      <pivotArea dataOnly="0" labelOnly="1" outline="0" fieldPosition="0">
        <references count="2">
          <reference field="11" count="1" selected="0">
            <x v="30"/>
          </reference>
          <reference field="14" count="1" defaultSubtotal="1">
            <x v="1"/>
          </reference>
        </references>
      </pivotArea>
    </format>
    <format dxfId="5438">
      <pivotArea dataOnly="0" labelOnly="1" outline="0" fieldPosition="0">
        <references count="2">
          <reference field="11" count="1" selected="0">
            <x v="31"/>
          </reference>
          <reference field="14" count="1">
            <x v="414"/>
          </reference>
        </references>
      </pivotArea>
    </format>
    <format dxfId="5437">
      <pivotArea dataOnly="0" labelOnly="1" outline="0" fieldPosition="0">
        <references count="2">
          <reference field="11" count="1" selected="0">
            <x v="31"/>
          </reference>
          <reference field="14" count="1" defaultSubtotal="1">
            <x v="414"/>
          </reference>
        </references>
      </pivotArea>
    </format>
    <format dxfId="5436">
      <pivotArea dataOnly="0" labelOnly="1" outline="0" fieldPosition="0">
        <references count="2">
          <reference field="11" count="1" selected="0">
            <x v="32"/>
          </reference>
          <reference field="14" count="1">
            <x v="36"/>
          </reference>
        </references>
      </pivotArea>
    </format>
    <format dxfId="5435">
      <pivotArea dataOnly="0" labelOnly="1" outline="0" fieldPosition="0">
        <references count="2">
          <reference field="11" count="1" selected="0">
            <x v="32"/>
          </reference>
          <reference field="14" count="1" defaultSubtotal="1">
            <x v="36"/>
          </reference>
        </references>
      </pivotArea>
    </format>
    <format dxfId="5434">
      <pivotArea dataOnly="0" labelOnly="1" outline="0" fieldPosition="0">
        <references count="2">
          <reference field="11" count="1" selected="0">
            <x v="33"/>
          </reference>
          <reference field="14" count="1">
            <x v="341"/>
          </reference>
        </references>
      </pivotArea>
    </format>
    <format dxfId="5433">
      <pivotArea dataOnly="0" labelOnly="1" outline="0" fieldPosition="0">
        <references count="2">
          <reference field="11" count="1" selected="0">
            <x v="33"/>
          </reference>
          <reference field="14" count="1" defaultSubtotal="1">
            <x v="341"/>
          </reference>
        </references>
      </pivotArea>
    </format>
    <format dxfId="5432">
      <pivotArea dataOnly="0" labelOnly="1" outline="0" fieldPosition="0">
        <references count="2">
          <reference field="11" count="1" selected="0">
            <x v="34"/>
          </reference>
          <reference field="14" count="1">
            <x v="340"/>
          </reference>
        </references>
      </pivotArea>
    </format>
    <format dxfId="5431">
      <pivotArea dataOnly="0" labelOnly="1" outline="0" fieldPosition="0">
        <references count="2">
          <reference field="11" count="1" selected="0">
            <x v="34"/>
          </reference>
          <reference field="14" count="1" defaultSubtotal="1">
            <x v="340"/>
          </reference>
        </references>
      </pivotArea>
    </format>
    <format dxfId="5430">
      <pivotArea dataOnly="0" labelOnly="1" outline="0" fieldPosition="0">
        <references count="2">
          <reference field="11" count="1" selected="0">
            <x v="35"/>
          </reference>
          <reference field="14" count="1">
            <x v="379"/>
          </reference>
        </references>
      </pivotArea>
    </format>
    <format dxfId="5429">
      <pivotArea dataOnly="0" labelOnly="1" outline="0" fieldPosition="0">
        <references count="2">
          <reference field="11" count="1" selected="0">
            <x v="35"/>
          </reference>
          <reference field="14" count="1" defaultSubtotal="1">
            <x v="379"/>
          </reference>
        </references>
      </pivotArea>
    </format>
    <format dxfId="5428">
      <pivotArea dataOnly="0" labelOnly="1" outline="0" fieldPosition="0">
        <references count="2">
          <reference field="11" count="1" selected="0">
            <x v="36"/>
          </reference>
          <reference field="14" count="1">
            <x v="349"/>
          </reference>
        </references>
      </pivotArea>
    </format>
    <format dxfId="5427">
      <pivotArea dataOnly="0" labelOnly="1" outline="0" fieldPosition="0">
        <references count="2">
          <reference field="11" count="1" selected="0">
            <x v="36"/>
          </reference>
          <reference field="14" count="1" defaultSubtotal="1">
            <x v="349"/>
          </reference>
        </references>
      </pivotArea>
    </format>
    <format dxfId="5426">
      <pivotArea dataOnly="0" labelOnly="1" outline="0" fieldPosition="0">
        <references count="2">
          <reference field="11" count="1" selected="0">
            <x v="37"/>
          </reference>
          <reference field="14" count="1">
            <x v="348"/>
          </reference>
        </references>
      </pivotArea>
    </format>
    <format dxfId="5425">
      <pivotArea dataOnly="0" labelOnly="1" outline="0" fieldPosition="0">
        <references count="2">
          <reference field="11" count="1" selected="0">
            <x v="37"/>
          </reference>
          <reference field="14" count="1" defaultSubtotal="1">
            <x v="348"/>
          </reference>
        </references>
      </pivotArea>
    </format>
    <format dxfId="5424">
      <pivotArea dataOnly="0" labelOnly="1" outline="0" fieldPosition="0">
        <references count="2">
          <reference field="11" count="1" selected="0">
            <x v="38"/>
          </reference>
          <reference field="14" count="1">
            <x v="346"/>
          </reference>
        </references>
      </pivotArea>
    </format>
    <format dxfId="5423">
      <pivotArea dataOnly="0" labelOnly="1" outline="0" fieldPosition="0">
        <references count="2">
          <reference field="11" count="1" selected="0">
            <x v="38"/>
          </reference>
          <reference field="14" count="1" defaultSubtotal="1">
            <x v="346"/>
          </reference>
        </references>
      </pivotArea>
    </format>
    <format dxfId="5422">
      <pivotArea dataOnly="0" labelOnly="1" outline="0" fieldPosition="0">
        <references count="2">
          <reference field="11" count="1" selected="0">
            <x v="39"/>
          </reference>
          <reference field="14" count="1">
            <x v="344"/>
          </reference>
        </references>
      </pivotArea>
    </format>
    <format dxfId="5421">
      <pivotArea dataOnly="0" labelOnly="1" outline="0" fieldPosition="0">
        <references count="2">
          <reference field="11" count="1" selected="0">
            <x v="39"/>
          </reference>
          <reference field="14" count="1" defaultSubtotal="1">
            <x v="344"/>
          </reference>
        </references>
      </pivotArea>
    </format>
    <format dxfId="5420">
      <pivotArea dataOnly="0" labelOnly="1" outline="0" fieldPosition="0">
        <references count="2">
          <reference field="11" count="1" selected="0">
            <x v="40"/>
          </reference>
          <reference field="14" count="1">
            <x v="345"/>
          </reference>
        </references>
      </pivotArea>
    </format>
    <format dxfId="5419">
      <pivotArea dataOnly="0" labelOnly="1" outline="0" fieldPosition="0">
        <references count="2">
          <reference field="11" count="1" selected="0">
            <x v="40"/>
          </reference>
          <reference field="14" count="1" defaultSubtotal="1">
            <x v="345"/>
          </reference>
        </references>
      </pivotArea>
    </format>
    <format dxfId="5418">
      <pivotArea dataOnly="0" labelOnly="1" outline="0" fieldPosition="0">
        <references count="2">
          <reference field="11" count="1" selected="0">
            <x v="41"/>
          </reference>
          <reference field="14" count="1">
            <x v="337"/>
          </reference>
        </references>
      </pivotArea>
    </format>
    <format dxfId="5417">
      <pivotArea dataOnly="0" labelOnly="1" outline="0" fieldPosition="0">
        <references count="2">
          <reference field="11" count="1" selected="0">
            <x v="41"/>
          </reference>
          <reference field="14" count="1" defaultSubtotal="1">
            <x v="337"/>
          </reference>
        </references>
      </pivotArea>
    </format>
    <format dxfId="5416">
      <pivotArea dataOnly="0" labelOnly="1" outline="0" fieldPosition="0">
        <references count="2">
          <reference field="11" count="1" selected="0">
            <x v="42"/>
          </reference>
          <reference field="14" count="1">
            <x v="59"/>
          </reference>
        </references>
      </pivotArea>
    </format>
    <format dxfId="5415">
      <pivotArea dataOnly="0" labelOnly="1" outline="0" fieldPosition="0">
        <references count="2">
          <reference field="11" count="1" selected="0">
            <x v="42"/>
          </reference>
          <reference field="14" count="1" defaultSubtotal="1">
            <x v="59"/>
          </reference>
        </references>
      </pivotArea>
    </format>
    <format dxfId="5414">
      <pivotArea dataOnly="0" labelOnly="1" outline="0" fieldPosition="0">
        <references count="2">
          <reference field="11" count="1" selected="0">
            <x v="43"/>
          </reference>
          <reference field="14" count="1">
            <x v="410"/>
          </reference>
        </references>
      </pivotArea>
    </format>
    <format dxfId="5413">
      <pivotArea dataOnly="0" labelOnly="1" outline="0" fieldPosition="0">
        <references count="2">
          <reference field="11" count="1" selected="0">
            <x v="43"/>
          </reference>
          <reference field="14" count="1" defaultSubtotal="1">
            <x v="410"/>
          </reference>
        </references>
      </pivotArea>
    </format>
    <format dxfId="5412">
      <pivotArea dataOnly="0" labelOnly="1" outline="0" fieldPosition="0">
        <references count="2">
          <reference field="11" count="1" selected="0">
            <x v="44"/>
          </reference>
          <reference field="14" count="1">
            <x v="77"/>
          </reference>
        </references>
      </pivotArea>
    </format>
    <format dxfId="5411">
      <pivotArea dataOnly="0" labelOnly="1" outline="0" fieldPosition="0">
        <references count="2">
          <reference field="11" count="1" selected="0">
            <x v="44"/>
          </reference>
          <reference field="14" count="1" defaultSubtotal="1">
            <x v="77"/>
          </reference>
        </references>
      </pivotArea>
    </format>
    <format dxfId="5410">
      <pivotArea dataOnly="0" labelOnly="1" outline="0" fieldPosition="0">
        <references count="2">
          <reference field="11" count="1" selected="0">
            <x v="45"/>
          </reference>
          <reference field="14" count="1">
            <x v="465"/>
          </reference>
        </references>
      </pivotArea>
    </format>
    <format dxfId="5409">
      <pivotArea dataOnly="0" labelOnly="1" outline="0" fieldPosition="0">
        <references count="2">
          <reference field="11" count="1" selected="0">
            <x v="45"/>
          </reference>
          <reference field="14" count="1" defaultSubtotal="1">
            <x v="465"/>
          </reference>
        </references>
      </pivotArea>
    </format>
    <format dxfId="5408">
      <pivotArea dataOnly="0" labelOnly="1" outline="0" fieldPosition="0">
        <references count="2">
          <reference field="11" count="1" selected="0">
            <x v="46"/>
          </reference>
          <reference field="14" count="1">
            <x v="250"/>
          </reference>
        </references>
      </pivotArea>
    </format>
    <format dxfId="5407">
      <pivotArea dataOnly="0" labelOnly="1" outline="0" fieldPosition="0">
        <references count="2">
          <reference field="11" count="1" selected="0">
            <x v="46"/>
          </reference>
          <reference field="14" count="1" defaultSubtotal="1">
            <x v="250"/>
          </reference>
        </references>
      </pivotArea>
    </format>
    <format dxfId="5406">
      <pivotArea dataOnly="0" labelOnly="1" outline="0" fieldPosition="0">
        <references count="2">
          <reference field="11" count="1" selected="0">
            <x v="47"/>
          </reference>
          <reference field="14" count="1">
            <x v="323"/>
          </reference>
        </references>
      </pivotArea>
    </format>
    <format dxfId="5405">
      <pivotArea dataOnly="0" labelOnly="1" outline="0" fieldPosition="0">
        <references count="2">
          <reference field="11" count="1" selected="0">
            <x v="47"/>
          </reference>
          <reference field="14" count="1" defaultSubtotal="1">
            <x v="323"/>
          </reference>
        </references>
      </pivotArea>
    </format>
    <format dxfId="5404">
      <pivotArea dataOnly="0" labelOnly="1" outline="0" fieldPosition="0">
        <references count="2">
          <reference field="11" count="1" selected="0">
            <x v="48"/>
          </reference>
          <reference field="14" count="1">
            <x v="244"/>
          </reference>
        </references>
      </pivotArea>
    </format>
    <format dxfId="5403">
      <pivotArea dataOnly="0" labelOnly="1" outline="0" fieldPosition="0">
        <references count="2">
          <reference field="11" count="1" selected="0">
            <x v="48"/>
          </reference>
          <reference field="14" count="1" defaultSubtotal="1">
            <x v="244"/>
          </reference>
        </references>
      </pivotArea>
    </format>
    <format dxfId="5402">
      <pivotArea dataOnly="0" labelOnly="1" outline="0" fieldPosition="0">
        <references count="2">
          <reference field="11" count="1" selected="0">
            <x v="49"/>
          </reference>
          <reference field="14" count="1">
            <x v="228"/>
          </reference>
        </references>
      </pivotArea>
    </format>
    <format dxfId="5401">
      <pivotArea dataOnly="0" labelOnly="1" outline="0" fieldPosition="0">
        <references count="2">
          <reference field="11" count="1" selected="0">
            <x v="49"/>
          </reference>
          <reference field="14" count="1" defaultSubtotal="1">
            <x v="228"/>
          </reference>
        </references>
      </pivotArea>
    </format>
    <format dxfId="5400">
      <pivotArea dataOnly="0" labelOnly="1" outline="0" fieldPosition="0">
        <references count="2">
          <reference field="11" count="1" selected="0">
            <x v="50"/>
          </reference>
          <reference field="14" count="1">
            <x v="318"/>
          </reference>
        </references>
      </pivotArea>
    </format>
    <format dxfId="5399">
      <pivotArea dataOnly="0" labelOnly="1" outline="0" fieldPosition="0">
        <references count="2">
          <reference field="11" count="1" selected="0">
            <x v="50"/>
          </reference>
          <reference field="14" count="1" defaultSubtotal="1">
            <x v="318"/>
          </reference>
        </references>
      </pivotArea>
    </format>
    <format dxfId="5398">
      <pivotArea dataOnly="0" labelOnly="1" outline="0" fieldPosition="0">
        <references count="2">
          <reference field="11" count="1" selected="0">
            <x v="51"/>
          </reference>
          <reference field="14" count="1">
            <x v="241"/>
          </reference>
        </references>
      </pivotArea>
    </format>
    <format dxfId="5397">
      <pivotArea dataOnly="0" labelOnly="1" outline="0" fieldPosition="0">
        <references count="2">
          <reference field="11" count="1" selected="0">
            <x v="51"/>
          </reference>
          <reference field="14" count="1" defaultSubtotal="1">
            <x v="241"/>
          </reference>
        </references>
      </pivotArea>
    </format>
    <format dxfId="5396">
      <pivotArea dataOnly="0" labelOnly="1" outline="0" fieldPosition="0">
        <references count="2">
          <reference field="11" count="1" selected="0">
            <x v="52"/>
          </reference>
          <reference field="14" count="1">
            <x v="413"/>
          </reference>
        </references>
      </pivotArea>
    </format>
    <format dxfId="5395">
      <pivotArea dataOnly="0" labelOnly="1" outline="0" fieldPosition="0">
        <references count="2">
          <reference field="11" count="1" selected="0">
            <x v="52"/>
          </reference>
          <reference field="14" count="1" defaultSubtotal="1">
            <x v="413"/>
          </reference>
        </references>
      </pivotArea>
    </format>
    <format dxfId="5394">
      <pivotArea dataOnly="0" labelOnly="1" outline="0" fieldPosition="0">
        <references count="2">
          <reference field="11" count="1" selected="0">
            <x v="53"/>
          </reference>
          <reference field="14" count="1">
            <x v="283"/>
          </reference>
        </references>
      </pivotArea>
    </format>
    <format dxfId="5393">
      <pivotArea dataOnly="0" labelOnly="1" outline="0" fieldPosition="0">
        <references count="2">
          <reference field="11" count="1" selected="0">
            <x v="53"/>
          </reference>
          <reference field="14" count="1" defaultSubtotal="1">
            <x v="283"/>
          </reference>
        </references>
      </pivotArea>
    </format>
    <format dxfId="5392">
      <pivotArea dataOnly="0" labelOnly="1" outline="0" fieldPosition="0">
        <references count="2">
          <reference field="11" count="1" selected="0">
            <x v="54"/>
          </reference>
          <reference field="14" count="1">
            <x v="278"/>
          </reference>
        </references>
      </pivotArea>
    </format>
    <format dxfId="5391">
      <pivotArea dataOnly="0" labelOnly="1" outline="0" fieldPosition="0">
        <references count="2">
          <reference field="11" count="1" selected="0">
            <x v="54"/>
          </reference>
          <reference field="14" count="1" defaultSubtotal="1">
            <x v="278"/>
          </reference>
        </references>
      </pivotArea>
    </format>
    <format dxfId="5390">
      <pivotArea dataOnly="0" labelOnly="1" outline="0" fieldPosition="0">
        <references count="2">
          <reference field="11" count="1" selected="0">
            <x v="55"/>
          </reference>
          <reference field="14" count="1">
            <x v="275"/>
          </reference>
        </references>
      </pivotArea>
    </format>
    <format dxfId="5389">
      <pivotArea dataOnly="0" labelOnly="1" outline="0" fieldPosition="0">
        <references count="2">
          <reference field="11" count="1" selected="0">
            <x v="55"/>
          </reference>
          <reference field="14" count="1" defaultSubtotal="1">
            <x v="275"/>
          </reference>
        </references>
      </pivotArea>
    </format>
    <format dxfId="5388">
      <pivotArea dataOnly="0" labelOnly="1" outline="0" fieldPosition="0">
        <references count="2">
          <reference field="11" count="1" selected="0">
            <x v="56"/>
          </reference>
          <reference field="14" count="1">
            <x v="463"/>
          </reference>
        </references>
      </pivotArea>
    </format>
    <format dxfId="5387">
      <pivotArea dataOnly="0" labelOnly="1" outline="0" fieldPosition="0">
        <references count="2">
          <reference field="11" count="1" selected="0">
            <x v="56"/>
          </reference>
          <reference field="14" count="1" defaultSubtotal="1">
            <x v="463"/>
          </reference>
        </references>
      </pivotArea>
    </format>
    <format dxfId="5386">
      <pivotArea dataOnly="0" labelOnly="1" outline="0" fieldPosition="0">
        <references count="2">
          <reference field="11" count="1" selected="0">
            <x v="57"/>
          </reference>
          <reference field="14" count="1">
            <x v="462"/>
          </reference>
        </references>
      </pivotArea>
    </format>
    <format dxfId="5385">
      <pivotArea dataOnly="0" labelOnly="1" outline="0" fieldPosition="0">
        <references count="2">
          <reference field="11" count="1" selected="0">
            <x v="57"/>
          </reference>
          <reference field="14" count="1" defaultSubtotal="1">
            <x v="462"/>
          </reference>
        </references>
      </pivotArea>
    </format>
    <format dxfId="5384">
      <pivotArea dataOnly="0" labelOnly="1" outline="0" fieldPosition="0">
        <references count="2">
          <reference field="11" count="1" selected="0">
            <x v="58"/>
          </reference>
          <reference field="14" count="1">
            <x v="459"/>
          </reference>
        </references>
      </pivotArea>
    </format>
    <format dxfId="5383">
      <pivotArea dataOnly="0" labelOnly="1" outline="0" fieldPosition="0">
        <references count="2">
          <reference field="11" count="1" selected="0">
            <x v="58"/>
          </reference>
          <reference field="14" count="1" defaultSubtotal="1">
            <x v="459"/>
          </reference>
        </references>
      </pivotArea>
    </format>
    <format dxfId="5382">
      <pivotArea dataOnly="0" labelOnly="1" outline="0" fieldPosition="0">
        <references count="2">
          <reference field="11" count="1" selected="0">
            <x v="59"/>
          </reference>
          <reference field="14" count="1">
            <x v="271"/>
          </reference>
        </references>
      </pivotArea>
    </format>
    <format dxfId="5381">
      <pivotArea dataOnly="0" labelOnly="1" outline="0" fieldPosition="0">
        <references count="2">
          <reference field="11" count="1" selected="0">
            <x v="59"/>
          </reference>
          <reference field="14" count="1" defaultSubtotal="1">
            <x v="271"/>
          </reference>
        </references>
      </pivotArea>
    </format>
    <format dxfId="5380">
      <pivotArea dataOnly="0" labelOnly="1" outline="0" fieldPosition="0">
        <references count="2">
          <reference field="11" count="1" selected="0">
            <x v="60"/>
          </reference>
          <reference field="14" count="1">
            <x v="22"/>
          </reference>
        </references>
      </pivotArea>
    </format>
    <format dxfId="5379">
      <pivotArea dataOnly="0" labelOnly="1" outline="0" fieldPosition="0">
        <references count="2">
          <reference field="11" count="1" selected="0">
            <x v="60"/>
          </reference>
          <reference field="14" count="1" defaultSubtotal="1">
            <x v="22"/>
          </reference>
        </references>
      </pivotArea>
    </format>
    <format dxfId="5378">
      <pivotArea dataOnly="0" labelOnly="1" outline="0" fieldPosition="0">
        <references count="2">
          <reference field="11" count="1" selected="0">
            <x v="61"/>
          </reference>
          <reference field="14" count="1">
            <x v="354"/>
          </reference>
        </references>
      </pivotArea>
    </format>
    <format dxfId="5377">
      <pivotArea dataOnly="0" labelOnly="1" outline="0" fieldPosition="0">
        <references count="2">
          <reference field="11" count="1" selected="0">
            <x v="61"/>
          </reference>
          <reference field="14" count="1" defaultSubtotal="1">
            <x v="354"/>
          </reference>
        </references>
      </pivotArea>
    </format>
    <format dxfId="5376">
      <pivotArea dataOnly="0" labelOnly="1" outline="0" fieldPosition="0">
        <references count="2">
          <reference field="11" count="1" selected="0">
            <x v="62"/>
          </reference>
          <reference field="14" count="1">
            <x v="415"/>
          </reference>
        </references>
      </pivotArea>
    </format>
    <format dxfId="5375">
      <pivotArea dataOnly="0" labelOnly="1" outline="0" fieldPosition="0">
        <references count="2">
          <reference field="11" count="1" selected="0">
            <x v="62"/>
          </reference>
          <reference field="14" count="1" defaultSubtotal="1">
            <x v="415"/>
          </reference>
        </references>
      </pivotArea>
    </format>
    <format dxfId="5374">
      <pivotArea dataOnly="0" labelOnly="1" outline="0" fieldPosition="0">
        <references count="2">
          <reference field="11" count="1" selected="0">
            <x v="63"/>
          </reference>
          <reference field="14" count="1">
            <x v="227"/>
          </reference>
        </references>
      </pivotArea>
    </format>
    <format dxfId="5373">
      <pivotArea dataOnly="0" labelOnly="1" outline="0" fieldPosition="0">
        <references count="2">
          <reference field="11" count="1" selected="0">
            <x v="63"/>
          </reference>
          <reference field="14" count="1" defaultSubtotal="1">
            <x v="227"/>
          </reference>
        </references>
      </pivotArea>
    </format>
    <format dxfId="5372">
      <pivotArea dataOnly="0" labelOnly="1" outline="0" fieldPosition="0">
        <references count="2">
          <reference field="11" count="1" selected="0">
            <x v="64"/>
          </reference>
          <reference field="14" count="1">
            <x v="261"/>
          </reference>
        </references>
      </pivotArea>
    </format>
    <format dxfId="5371">
      <pivotArea dataOnly="0" labelOnly="1" outline="0" fieldPosition="0">
        <references count="2">
          <reference field="11" count="1" selected="0">
            <x v="64"/>
          </reference>
          <reference field="14" count="1" defaultSubtotal="1">
            <x v="261"/>
          </reference>
        </references>
      </pivotArea>
    </format>
    <format dxfId="5370">
      <pivotArea dataOnly="0" labelOnly="1" outline="0" fieldPosition="0">
        <references count="2">
          <reference field="11" count="1" selected="0">
            <x v="65"/>
          </reference>
          <reference field="14" count="1">
            <x v="336"/>
          </reference>
        </references>
      </pivotArea>
    </format>
    <format dxfId="5369">
      <pivotArea dataOnly="0" labelOnly="1" outline="0" fieldPosition="0">
        <references count="2">
          <reference field="11" count="1" selected="0">
            <x v="65"/>
          </reference>
          <reference field="14" count="1" defaultSubtotal="1">
            <x v="336"/>
          </reference>
        </references>
      </pivotArea>
    </format>
    <format dxfId="5368">
      <pivotArea dataOnly="0" labelOnly="1" outline="0" fieldPosition="0">
        <references count="2">
          <reference field="11" count="1" selected="0">
            <x v="66"/>
          </reference>
          <reference field="14" count="1">
            <x v="63"/>
          </reference>
        </references>
      </pivotArea>
    </format>
    <format dxfId="5367">
      <pivotArea dataOnly="0" labelOnly="1" outline="0" fieldPosition="0">
        <references count="2">
          <reference field="11" count="1" selected="0">
            <x v="66"/>
          </reference>
          <reference field="14" count="1" defaultSubtotal="1">
            <x v="63"/>
          </reference>
        </references>
      </pivotArea>
    </format>
    <format dxfId="5366">
      <pivotArea dataOnly="0" labelOnly="1" outline="0" fieldPosition="0">
        <references count="2">
          <reference field="11" count="1" selected="0">
            <x v="67"/>
          </reference>
          <reference field="14" count="1">
            <x v="237"/>
          </reference>
        </references>
      </pivotArea>
    </format>
    <format dxfId="5365">
      <pivotArea dataOnly="0" labelOnly="1" outline="0" fieldPosition="0">
        <references count="2">
          <reference field="11" count="1" selected="0">
            <x v="67"/>
          </reference>
          <reference field="14" count="1" defaultSubtotal="1">
            <x v="237"/>
          </reference>
        </references>
      </pivotArea>
    </format>
    <format dxfId="5364">
      <pivotArea dataOnly="0" labelOnly="1" outline="0" fieldPosition="0">
        <references count="2">
          <reference field="11" count="1" selected="0">
            <x v="68"/>
          </reference>
          <reference field="14" count="1">
            <x v="138"/>
          </reference>
        </references>
      </pivotArea>
    </format>
    <format dxfId="5363">
      <pivotArea dataOnly="0" labelOnly="1" outline="0" fieldPosition="0">
        <references count="2">
          <reference field="11" count="1" selected="0">
            <x v="68"/>
          </reference>
          <reference field="14" count="1" defaultSubtotal="1">
            <x v="138"/>
          </reference>
        </references>
      </pivotArea>
    </format>
    <format dxfId="5362">
      <pivotArea dataOnly="0" labelOnly="1" outline="0" fieldPosition="0">
        <references count="2">
          <reference field="11" count="1" selected="0">
            <x v="69"/>
          </reference>
          <reference field="14" count="1">
            <x v="139"/>
          </reference>
        </references>
      </pivotArea>
    </format>
    <format dxfId="5361">
      <pivotArea dataOnly="0" labelOnly="1" outline="0" fieldPosition="0">
        <references count="2">
          <reference field="11" count="1" selected="0">
            <x v="69"/>
          </reference>
          <reference field="14" count="1" defaultSubtotal="1">
            <x v="139"/>
          </reference>
        </references>
      </pivotArea>
    </format>
    <format dxfId="5360">
      <pivotArea dataOnly="0" labelOnly="1" outline="0" fieldPosition="0">
        <references count="2">
          <reference field="11" count="1" selected="0">
            <x v="70"/>
          </reference>
          <reference field="14" count="1">
            <x v="137"/>
          </reference>
        </references>
      </pivotArea>
    </format>
    <format dxfId="5359">
      <pivotArea dataOnly="0" labelOnly="1" outline="0" fieldPosition="0">
        <references count="2">
          <reference field="11" count="1" selected="0">
            <x v="70"/>
          </reference>
          <reference field="14" count="1" defaultSubtotal="1">
            <x v="137"/>
          </reference>
        </references>
      </pivotArea>
    </format>
    <format dxfId="5358">
      <pivotArea dataOnly="0" labelOnly="1" outline="0" fieldPosition="0">
        <references count="2">
          <reference field="11" count="1" selected="0">
            <x v="71"/>
          </reference>
          <reference field="14" count="1">
            <x v="468"/>
          </reference>
        </references>
      </pivotArea>
    </format>
    <format dxfId="5357">
      <pivotArea dataOnly="0" labelOnly="1" outline="0" fieldPosition="0">
        <references count="2">
          <reference field="11" count="1" selected="0">
            <x v="71"/>
          </reference>
          <reference field="14" count="1" defaultSubtotal="1">
            <x v="468"/>
          </reference>
        </references>
      </pivotArea>
    </format>
    <format dxfId="5356">
      <pivotArea dataOnly="0" labelOnly="1" outline="0" fieldPosition="0">
        <references count="2">
          <reference field="11" count="1" selected="0">
            <x v="72"/>
          </reference>
          <reference field="14" count="1">
            <x v="83"/>
          </reference>
        </references>
      </pivotArea>
    </format>
    <format dxfId="5355">
      <pivotArea dataOnly="0" labelOnly="1" outline="0" fieldPosition="0">
        <references count="2">
          <reference field="11" count="1" selected="0">
            <x v="72"/>
          </reference>
          <reference field="14" count="1" defaultSubtotal="1">
            <x v="83"/>
          </reference>
        </references>
      </pivotArea>
    </format>
    <format dxfId="5354">
      <pivotArea dataOnly="0" labelOnly="1" outline="0" fieldPosition="0">
        <references count="2">
          <reference field="11" count="1" selected="0">
            <x v="73"/>
          </reference>
          <reference field="14" count="1">
            <x v="288"/>
          </reference>
        </references>
      </pivotArea>
    </format>
    <format dxfId="5353">
      <pivotArea dataOnly="0" labelOnly="1" outline="0" fieldPosition="0">
        <references count="2">
          <reference field="11" count="1" selected="0">
            <x v="73"/>
          </reference>
          <reference field="14" count="1" defaultSubtotal="1">
            <x v="288"/>
          </reference>
        </references>
      </pivotArea>
    </format>
    <format dxfId="5352">
      <pivotArea dataOnly="0" labelOnly="1" outline="0" fieldPosition="0">
        <references count="2">
          <reference field="11" count="1" selected="0">
            <x v="74"/>
          </reference>
          <reference field="14" count="1">
            <x v="235"/>
          </reference>
        </references>
      </pivotArea>
    </format>
    <format dxfId="5351">
      <pivotArea dataOnly="0" labelOnly="1" outline="0" fieldPosition="0">
        <references count="2">
          <reference field="11" count="1" selected="0">
            <x v="74"/>
          </reference>
          <reference field="14" count="1" defaultSubtotal="1">
            <x v="235"/>
          </reference>
        </references>
      </pivotArea>
    </format>
    <format dxfId="5350">
      <pivotArea dataOnly="0" labelOnly="1" outline="0" fieldPosition="0">
        <references count="2">
          <reference field="11" count="1" selected="0">
            <x v="75"/>
          </reference>
          <reference field="14" count="1">
            <x v="285"/>
          </reference>
        </references>
      </pivotArea>
    </format>
    <format dxfId="5349">
      <pivotArea dataOnly="0" labelOnly="1" outline="0" fieldPosition="0">
        <references count="2">
          <reference field="11" count="1" selected="0">
            <x v="75"/>
          </reference>
          <reference field="14" count="1" defaultSubtotal="1">
            <x v="285"/>
          </reference>
        </references>
      </pivotArea>
    </format>
    <format dxfId="5348">
      <pivotArea dataOnly="0" labelOnly="1" outline="0" fieldPosition="0">
        <references count="2">
          <reference field="11" count="1" selected="0">
            <x v="76"/>
          </reference>
          <reference field="14" count="1">
            <x v="214"/>
          </reference>
        </references>
      </pivotArea>
    </format>
    <format dxfId="5347">
      <pivotArea dataOnly="0" labelOnly="1" outline="0" fieldPosition="0">
        <references count="2">
          <reference field="11" count="1" selected="0">
            <x v="76"/>
          </reference>
          <reference field="14" count="1" defaultSubtotal="1">
            <x v="214"/>
          </reference>
        </references>
      </pivotArea>
    </format>
    <format dxfId="5346">
      <pivotArea dataOnly="0" labelOnly="1" outline="0" fieldPosition="0">
        <references count="2">
          <reference field="11" count="1" selected="0">
            <x v="77"/>
          </reference>
          <reference field="14" count="1">
            <x v="104"/>
          </reference>
        </references>
      </pivotArea>
    </format>
    <format dxfId="5345">
      <pivotArea dataOnly="0" labelOnly="1" outline="0" fieldPosition="0">
        <references count="2">
          <reference field="11" count="1" selected="0">
            <x v="77"/>
          </reference>
          <reference field="14" count="1" defaultSubtotal="1">
            <x v="104"/>
          </reference>
        </references>
      </pivotArea>
    </format>
    <format dxfId="5344">
      <pivotArea dataOnly="0" labelOnly="1" outline="0" fieldPosition="0">
        <references count="2">
          <reference field="11" count="1" selected="0">
            <x v="78"/>
          </reference>
          <reference field="14" count="1">
            <x v="195"/>
          </reference>
        </references>
      </pivotArea>
    </format>
    <format dxfId="5343">
      <pivotArea dataOnly="0" labelOnly="1" outline="0" fieldPosition="0">
        <references count="2">
          <reference field="11" count="1" selected="0">
            <x v="78"/>
          </reference>
          <reference field="14" count="1" defaultSubtotal="1">
            <x v="195"/>
          </reference>
        </references>
      </pivotArea>
    </format>
    <format dxfId="5342">
      <pivotArea dataOnly="0" labelOnly="1" outline="0" fieldPosition="0">
        <references count="2">
          <reference field="11" count="1" selected="0">
            <x v="79"/>
          </reference>
          <reference field="14" count="1">
            <x v="196"/>
          </reference>
        </references>
      </pivotArea>
    </format>
    <format dxfId="5341">
      <pivotArea dataOnly="0" labelOnly="1" outline="0" fieldPosition="0">
        <references count="2">
          <reference field="11" count="1" selected="0">
            <x v="79"/>
          </reference>
          <reference field="14" count="1" defaultSubtotal="1">
            <x v="196"/>
          </reference>
        </references>
      </pivotArea>
    </format>
    <format dxfId="5340">
      <pivotArea dataOnly="0" labelOnly="1" outline="0" fieldPosition="0">
        <references count="2">
          <reference field="11" count="1" selected="0">
            <x v="80"/>
          </reference>
          <reference field="14" count="1">
            <x v="467"/>
          </reference>
        </references>
      </pivotArea>
    </format>
    <format dxfId="5339">
      <pivotArea dataOnly="0" labelOnly="1" outline="0" fieldPosition="0">
        <references count="2">
          <reference field="11" count="1" selected="0">
            <x v="80"/>
          </reference>
          <reference field="14" count="1" defaultSubtotal="1">
            <x v="467"/>
          </reference>
        </references>
      </pivotArea>
    </format>
    <format dxfId="5338">
      <pivotArea dataOnly="0" labelOnly="1" outline="0" fieldPosition="0">
        <references count="2">
          <reference field="11" count="1" selected="0">
            <x v="81"/>
          </reference>
          <reference field="14" count="1">
            <x v="56"/>
          </reference>
        </references>
      </pivotArea>
    </format>
    <format dxfId="5337">
      <pivotArea dataOnly="0" labelOnly="1" outline="0" fieldPosition="0">
        <references count="2">
          <reference field="11" count="1" selected="0">
            <x v="81"/>
          </reference>
          <reference field="14" count="1" defaultSubtotal="1">
            <x v="56"/>
          </reference>
        </references>
      </pivotArea>
    </format>
    <format dxfId="5336">
      <pivotArea dataOnly="0" labelOnly="1" outline="0" fieldPosition="0">
        <references count="2">
          <reference field="11" count="1" selected="0">
            <x v="82"/>
          </reference>
          <reference field="14" count="1">
            <x v="106"/>
          </reference>
        </references>
      </pivotArea>
    </format>
    <format dxfId="5335">
      <pivotArea dataOnly="0" labelOnly="1" outline="0" fieldPosition="0">
        <references count="2">
          <reference field="11" count="1" selected="0">
            <x v="82"/>
          </reference>
          <reference field="14" count="1" defaultSubtotal="1">
            <x v="106"/>
          </reference>
        </references>
      </pivotArea>
    </format>
    <format dxfId="5334">
      <pivotArea dataOnly="0" labelOnly="1" outline="0" fieldPosition="0">
        <references count="2">
          <reference field="11" count="1" selected="0">
            <x v="83"/>
          </reference>
          <reference field="14" count="1">
            <x v="216"/>
          </reference>
        </references>
      </pivotArea>
    </format>
    <format dxfId="5333">
      <pivotArea dataOnly="0" labelOnly="1" outline="0" fieldPosition="0">
        <references count="2">
          <reference field="11" count="1" selected="0">
            <x v="83"/>
          </reference>
          <reference field="14" count="1" defaultSubtotal="1">
            <x v="216"/>
          </reference>
        </references>
      </pivotArea>
    </format>
    <format dxfId="5332">
      <pivotArea dataOnly="0" labelOnly="1" outline="0" fieldPosition="0">
        <references count="2">
          <reference field="11" count="1" selected="0">
            <x v="84"/>
          </reference>
          <reference field="14" count="1">
            <x v="47"/>
          </reference>
        </references>
      </pivotArea>
    </format>
    <format dxfId="5331">
      <pivotArea dataOnly="0" labelOnly="1" outline="0" fieldPosition="0">
        <references count="2">
          <reference field="11" count="1" selected="0">
            <x v="84"/>
          </reference>
          <reference field="14" count="1" defaultSubtotal="1">
            <x v="47"/>
          </reference>
        </references>
      </pivotArea>
    </format>
    <format dxfId="5330">
      <pivotArea dataOnly="0" labelOnly="1" outline="0" fieldPosition="0">
        <references count="2">
          <reference field="11" count="1" selected="0">
            <x v="85"/>
          </reference>
          <reference field="14" count="1">
            <x v="203"/>
          </reference>
        </references>
      </pivotArea>
    </format>
    <format dxfId="5329">
      <pivotArea dataOnly="0" labelOnly="1" outline="0" fieldPosition="0">
        <references count="2">
          <reference field="11" count="1" selected="0">
            <x v="85"/>
          </reference>
          <reference field="14" count="1" defaultSubtotal="1">
            <x v="203"/>
          </reference>
        </references>
      </pivotArea>
    </format>
    <format dxfId="5328">
      <pivotArea dataOnly="0" labelOnly="1" outline="0" fieldPosition="0">
        <references count="2">
          <reference field="11" count="1" selected="0">
            <x v="86"/>
          </reference>
          <reference field="14" count="1">
            <x v="383"/>
          </reference>
        </references>
      </pivotArea>
    </format>
    <format dxfId="5327">
      <pivotArea dataOnly="0" labelOnly="1" outline="0" fieldPosition="0">
        <references count="2">
          <reference field="11" count="1" selected="0">
            <x v="86"/>
          </reference>
          <reference field="14" count="1" defaultSubtotal="1">
            <x v="383"/>
          </reference>
        </references>
      </pivotArea>
    </format>
    <format dxfId="5326">
      <pivotArea dataOnly="0" labelOnly="1" outline="0" fieldPosition="0">
        <references count="2">
          <reference field="11" count="1" selected="0">
            <x v="87"/>
          </reference>
          <reference field="14" count="1">
            <x v="193"/>
          </reference>
        </references>
      </pivotArea>
    </format>
    <format dxfId="5325">
      <pivotArea dataOnly="0" labelOnly="1" outline="0" fieldPosition="0">
        <references count="2">
          <reference field="11" count="1" selected="0">
            <x v="87"/>
          </reference>
          <reference field="14" count="1" defaultSubtotal="1">
            <x v="193"/>
          </reference>
        </references>
      </pivotArea>
    </format>
    <format dxfId="5324">
      <pivotArea dataOnly="0" labelOnly="1" outline="0" fieldPosition="0">
        <references count="2">
          <reference field="11" count="1" selected="0">
            <x v="88"/>
          </reference>
          <reference field="14" count="1">
            <x v="4"/>
          </reference>
        </references>
      </pivotArea>
    </format>
    <format dxfId="5323">
      <pivotArea dataOnly="0" labelOnly="1" outline="0" fieldPosition="0">
        <references count="2">
          <reference field="11" count="1" selected="0">
            <x v="88"/>
          </reference>
          <reference field="14" count="1" defaultSubtotal="1">
            <x v="4"/>
          </reference>
        </references>
      </pivotArea>
    </format>
    <format dxfId="5322">
      <pivotArea dataOnly="0" labelOnly="1" outline="0" fieldPosition="0">
        <references count="2">
          <reference field="11" count="1" selected="0">
            <x v="89"/>
          </reference>
          <reference field="14" count="1">
            <x v="251"/>
          </reference>
        </references>
      </pivotArea>
    </format>
    <format dxfId="5321">
      <pivotArea dataOnly="0" labelOnly="1" outline="0" fieldPosition="0">
        <references count="2">
          <reference field="11" count="1" selected="0">
            <x v="89"/>
          </reference>
          <reference field="14" count="1" defaultSubtotal="1">
            <x v="251"/>
          </reference>
        </references>
      </pivotArea>
    </format>
    <format dxfId="5320">
      <pivotArea dataOnly="0" labelOnly="1" outline="0" fieldPosition="0">
        <references count="2">
          <reference field="11" count="1" selected="0">
            <x v="90"/>
          </reference>
          <reference field="14" count="1">
            <x v="335"/>
          </reference>
        </references>
      </pivotArea>
    </format>
    <format dxfId="5319">
      <pivotArea dataOnly="0" labelOnly="1" outline="0" fieldPosition="0">
        <references count="2">
          <reference field="11" count="1" selected="0">
            <x v="90"/>
          </reference>
          <reference field="14" count="1" defaultSubtotal="1">
            <x v="335"/>
          </reference>
        </references>
      </pivotArea>
    </format>
    <format dxfId="5318">
      <pivotArea dataOnly="0" labelOnly="1" outline="0" fieldPosition="0">
        <references count="2">
          <reference field="11" count="1" selected="0">
            <x v="91"/>
          </reference>
          <reference field="14" count="1">
            <x v="27"/>
          </reference>
        </references>
      </pivotArea>
    </format>
    <format dxfId="5317">
      <pivotArea dataOnly="0" labelOnly="1" outline="0" fieldPosition="0">
        <references count="2">
          <reference field="11" count="1" selected="0">
            <x v="91"/>
          </reference>
          <reference field="14" count="1" defaultSubtotal="1">
            <x v="27"/>
          </reference>
        </references>
      </pivotArea>
    </format>
    <format dxfId="5316">
      <pivotArea dataOnly="0" labelOnly="1" outline="0" fieldPosition="0">
        <references count="2">
          <reference field="11" count="1" selected="0">
            <x v="92"/>
          </reference>
          <reference field="14" count="1">
            <x v="189"/>
          </reference>
        </references>
      </pivotArea>
    </format>
    <format dxfId="5315">
      <pivotArea dataOnly="0" labelOnly="1" outline="0" fieldPosition="0">
        <references count="2">
          <reference field="11" count="1" selected="0">
            <x v="92"/>
          </reference>
          <reference field="14" count="1" defaultSubtotal="1">
            <x v="189"/>
          </reference>
        </references>
      </pivotArea>
    </format>
    <format dxfId="5314">
      <pivotArea dataOnly="0" labelOnly="1" outline="0" fieldPosition="0">
        <references count="2">
          <reference field="11" count="1" selected="0">
            <x v="93"/>
          </reference>
          <reference field="14" count="1">
            <x v="451"/>
          </reference>
        </references>
      </pivotArea>
    </format>
    <format dxfId="5313">
      <pivotArea dataOnly="0" labelOnly="1" outline="0" fieldPosition="0">
        <references count="2">
          <reference field="11" count="1" selected="0">
            <x v="93"/>
          </reference>
          <reference field="14" count="1" defaultSubtotal="1">
            <x v="451"/>
          </reference>
        </references>
      </pivotArea>
    </format>
    <format dxfId="5312">
      <pivotArea dataOnly="0" labelOnly="1" outline="0" fieldPosition="0">
        <references count="2">
          <reference field="11" count="1" selected="0">
            <x v="94"/>
          </reference>
          <reference field="14" count="1">
            <x v="23"/>
          </reference>
        </references>
      </pivotArea>
    </format>
    <format dxfId="5311">
      <pivotArea dataOnly="0" labelOnly="1" outline="0" fieldPosition="0">
        <references count="2">
          <reference field="11" count="1" selected="0">
            <x v="94"/>
          </reference>
          <reference field="14" count="1" defaultSubtotal="1">
            <x v="23"/>
          </reference>
        </references>
      </pivotArea>
    </format>
    <format dxfId="5310">
      <pivotArea dataOnly="0" labelOnly="1" outline="0" fieldPosition="0">
        <references count="2">
          <reference field="11" count="1" selected="0">
            <x v="95"/>
          </reference>
          <reference field="14" count="1">
            <x v="200"/>
          </reference>
        </references>
      </pivotArea>
    </format>
    <format dxfId="5309">
      <pivotArea dataOnly="0" labelOnly="1" outline="0" fieldPosition="0">
        <references count="2">
          <reference field="11" count="1" selected="0">
            <x v="95"/>
          </reference>
          <reference field="14" count="1" defaultSubtotal="1">
            <x v="200"/>
          </reference>
        </references>
      </pivotArea>
    </format>
    <format dxfId="5308">
      <pivotArea dataOnly="0" labelOnly="1" outline="0" fieldPosition="0">
        <references count="2">
          <reference field="11" count="1" selected="0">
            <x v="96"/>
          </reference>
          <reference field="14" count="1">
            <x v="240"/>
          </reference>
        </references>
      </pivotArea>
    </format>
    <format dxfId="5307">
      <pivotArea dataOnly="0" labelOnly="1" outline="0" fieldPosition="0">
        <references count="2">
          <reference field="11" count="1" selected="0">
            <x v="96"/>
          </reference>
          <reference field="14" count="1" defaultSubtotal="1">
            <x v="240"/>
          </reference>
        </references>
      </pivotArea>
    </format>
    <format dxfId="5306">
      <pivotArea dataOnly="0" labelOnly="1" outline="0" fieldPosition="0">
        <references count="2">
          <reference field="11" count="1" selected="0">
            <x v="97"/>
          </reference>
          <reference field="14" count="1">
            <x v="268"/>
          </reference>
        </references>
      </pivotArea>
    </format>
    <format dxfId="5305">
      <pivotArea dataOnly="0" labelOnly="1" outline="0" fieldPosition="0">
        <references count="2">
          <reference field="11" count="1" selected="0">
            <x v="97"/>
          </reference>
          <reference field="14" count="1" defaultSubtotal="1">
            <x v="268"/>
          </reference>
        </references>
      </pivotArea>
    </format>
    <format dxfId="5304">
      <pivotArea dataOnly="0" labelOnly="1" outline="0" fieldPosition="0">
        <references count="2">
          <reference field="11" count="1" selected="0">
            <x v="98"/>
          </reference>
          <reference field="14" count="1">
            <x v="358"/>
          </reference>
        </references>
      </pivotArea>
    </format>
    <format dxfId="5303">
      <pivotArea dataOnly="0" labelOnly="1" outline="0" fieldPosition="0">
        <references count="2">
          <reference field="11" count="1" selected="0">
            <x v="98"/>
          </reference>
          <reference field="14" count="1" defaultSubtotal="1">
            <x v="358"/>
          </reference>
        </references>
      </pivotArea>
    </format>
    <format dxfId="5302">
      <pivotArea dataOnly="0" labelOnly="1" outline="0" fieldPosition="0">
        <references count="2">
          <reference field="11" count="1" selected="0">
            <x v="99"/>
          </reference>
          <reference field="14" count="1">
            <x v="454"/>
          </reference>
        </references>
      </pivotArea>
    </format>
    <format dxfId="5301">
      <pivotArea dataOnly="0" labelOnly="1" outline="0" fieldPosition="0">
        <references count="2">
          <reference field="11" count="1" selected="0">
            <x v="99"/>
          </reference>
          <reference field="14" count="1" defaultSubtotal="1">
            <x v="454"/>
          </reference>
        </references>
      </pivotArea>
    </format>
    <format dxfId="5300">
      <pivotArea dataOnly="0" labelOnly="1" outline="0" fieldPosition="0">
        <references count="2">
          <reference field="11" count="1" selected="0">
            <x v="100"/>
          </reference>
          <reference field="14" count="1">
            <x v="274"/>
          </reference>
        </references>
      </pivotArea>
    </format>
    <format dxfId="5299">
      <pivotArea dataOnly="0" labelOnly="1" outline="0" fieldPosition="0">
        <references count="2">
          <reference field="11" count="1" selected="0">
            <x v="100"/>
          </reference>
          <reference field="14" count="1" defaultSubtotal="1">
            <x v="274"/>
          </reference>
        </references>
      </pivotArea>
    </format>
    <format dxfId="5298">
      <pivotArea dataOnly="0" labelOnly="1" outline="0" fieldPosition="0">
        <references count="2">
          <reference field="11" count="1" selected="0">
            <x v="101"/>
          </reference>
          <reference field="14" count="1">
            <x v="303"/>
          </reference>
        </references>
      </pivotArea>
    </format>
    <format dxfId="5297">
      <pivotArea dataOnly="0" labelOnly="1" outline="0" fieldPosition="0">
        <references count="2">
          <reference field="11" count="1" selected="0">
            <x v="101"/>
          </reference>
          <reference field="14" count="1" defaultSubtotal="1">
            <x v="303"/>
          </reference>
        </references>
      </pivotArea>
    </format>
    <format dxfId="5296">
      <pivotArea dataOnly="0" labelOnly="1" outline="0" fieldPosition="0">
        <references count="2">
          <reference field="11" count="1" selected="0">
            <x v="102"/>
          </reference>
          <reference field="14" count="1">
            <x v="248"/>
          </reference>
        </references>
      </pivotArea>
    </format>
    <format dxfId="5295">
      <pivotArea dataOnly="0" labelOnly="1" outline="0" fieldPosition="0">
        <references count="2">
          <reference field="11" count="1" selected="0">
            <x v="102"/>
          </reference>
          <reference field="14" count="1" defaultSubtotal="1">
            <x v="248"/>
          </reference>
        </references>
      </pivotArea>
    </format>
    <format dxfId="5294">
      <pivotArea dataOnly="0" labelOnly="1" outline="0" fieldPosition="0">
        <references count="2">
          <reference field="11" count="1" selected="0">
            <x v="103"/>
          </reference>
          <reference field="14" count="1">
            <x v="48"/>
          </reference>
        </references>
      </pivotArea>
    </format>
    <format dxfId="5293">
      <pivotArea dataOnly="0" labelOnly="1" outline="0" fieldPosition="0">
        <references count="2">
          <reference field="11" count="1" selected="0">
            <x v="103"/>
          </reference>
          <reference field="14" count="1" defaultSubtotal="1">
            <x v="48"/>
          </reference>
        </references>
      </pivotArea>
    </format>
    <format dxfId="5292">
      <pivotArea dataOnly="0" labelOnly="1" outline="0" fieldPosition="0">
        <references count="2">
          <reference field="11" count="1" selected="0">
            <x v="104"/>
          </reference>
          <reference field="14" count="1">
            <x v="321"/>
          </reference>
        </references>
      </pivotArea>
    </format>
    <format dxfId="5291">
      <pivotArea dataOnly="0" labelOnly="1" outline="0" fieldPosition="0">
        <references count="2">
          <reference field="11" count="1" selected="0">
            <x v="104"/>
          </reference>
          <reference field="14" count="1" defaultSubtotal="1">
            <x v="321"/>
          </reference>
        </references>
      </pivotArea>
    </format>
    <format dxfId="5290">
      <pivotArea dataOnly="0" labelOnly="1" outline="0" fieldPosition="0">
        <references count="2">
          <reference field="11" count="1" selected="0">
            <x v="105"/>
          </reference>
          <reference field="14" count="1">
            <x v="320"/>
          </reference>
        </references>
      </pivotArea>
    </format>
    <format dxfId="5289">
      <pivotArea dataOnly="0" labelOnly="1" outline="0" fieldPosition="0">
        <references count="2">
          <reference field="11" count="1" selected="0">
            <x v="105"/>
          </reference>
          <reference field="14" count="1" defaultSubtotal="1">
            <x v="320"/>
          </reference>
        </references>
      </pivotArea>
    </format>
    <format dxfId="5288">
      <pivotArea dataOnly="0" labelOnly="1" outline="0" fieldPosition="0">
        <references count="2">
          <reference field="11" count="1" selected="0">
            <x v="106"/>
          </reference>
          <reference field="14" count="1">
            <x v="210"/>
          </reference>
        </references>
      </pivotArea>
    </format>
    <format dxfId="5287">
      <pivotArea dataOnly="0" labelOnly="1" outline="0" fieldPosition="0">
        <references count="2">
          <reference field="11" count="1" selected="0">
            <x v="106"/>
          </reference>
          <reference field="14" count="1" defaultSubtotal="1">
            <x v="210"/>
          </reference>
        </references>
      </pivotArea>
    </format>
    <format dxfId="5286">
      <pivotArea dataOnly="0" labelOnly="1" outline="0" fieldPosition="0">
        <references count="2">
          <reference field="11" count="1" selected="0">
            <x v="107"/>
          </reference>
          <reference field="14" count="1">
            <x v="220"/>
          </reference>
        </references>
      </pivotArea>
    </format>
    <format dxfId="5285">
      <pivotArea dataOnly="0" labelOnly="1" outline="0" fieldPosition="0">
        <references count="2">
          <reference field="11" count="1" selected="0">
            <x v="107"/>
          </reference>
          <reference field="14" count="1" defaultSubtotal="1">
            <x v="220"/>
          </reference>
        </references>
      </pivotArea>
    </format>
    <format dxfId="5284">
      <pivotArea dataOnly="0" labelOnly="1" outline="0" fieldPosition="0">
        <references count="2">
          <reference field="11" count="1" selected="0">
            <x v="108"/>
          </reference>
          <reference field="14" count="1">
            <x v="111"/>
          </reference>
        </references>
      </pivotArea>
    </format>
    <format dxfId="5283">
      <pivotArea dataOnly="0" labelOnly="1" outline="0" fieldPosition="0">
        <references count="2">
          <reference field="11" count="1" selected="0">
            <x v="108"/>
          </reference>
          <reference field="14" count="1" defaultSubtotal="1">
            <x v="111"/>
          </reference>
        </references>
      </pivotArea>
    </format>
    <format dxfId="5282">
      <pivotArea dataOnly="0" labelOnly="1" outline="0" fieldPosition="0">
        <references count="2">
          <reference field="11" count="1" selected="0">
            <x v="109"/>
          </reference>
          <reference field="14" count="1">
            <x v="194"/>
          </reference>
        </references>
      </pivotArea>
    </format>
    <format dxfId="5281">
      <pivotArea dataOnly="0" labelOnly="1" outline="0" fieldPosition="0">
        <references count="2">
          <reference field="11" count="1" selected="0">
            <x v="109"/>
          </reference>
          <reference field="14" count="1" defaultSubtotal="1">
            <x v="194"/>
          </reference>
        </references>
      </pivotArea>
    </format>
    <format dxfId="5280">
      <pivotArea dataOnly="0" labelOnly="1" outline="0" fieldPosition="0">
        <references count="2">
          <reference field="11" count="1" selected="0">
            <x v="110"/>
          </reference>
          <reference field="14" count="1">
            <x v="52"/>
          </reference>
        </references>
      </pivotArea>
    </format>
    <format dxfId="5279">
      <pivotArea dataOnly="0" labelOnly="1" outline="0" fieldPosition="0">
        <references count="2">
          <reference field="11" count="1" selected="0">
            <x v="110"/>
          </reference>
          <reference field="14" count="1" defaultSubtotal="1">
            <x v="52"/>
          </reference>
        </references>
      </pivotArea>
    </format>
    <format dxfId="5278">
      <pivotArea dataOnly="0" labelOnly="1" outline="0" fieldPosition="0">
        <references count="2">
          <reference field="11" count="1" selected="0">
            <x v="111"/>
          </reference>
          <reference field="14" count="1">
            <x v="229"/>
          </reference>
        </references>
      </pivotArea>
    </format>
    <format dxfId="5277">
      <pivotArea dataOnly="0" labelOnly="1" outline="0" fieldPosition="0">
        <references count="2">
          <reference field="11" count="1" selected="0">
            <x v="111"/>
          </reference>
          <reference field="14" count="1" defaultSubtotal="1">
            <x v="229"/>
          </reference>
        </references>
      </pivotArea>
    </format>
    <format dxfId="5276">
      <pivotArea dataOnly="0" labelOnly="1" outline="0" fieldPosition="0">
        <references count="2">
          <reference field="11" count="1" selected="0">
            <x v="112"/>
          </reference>
          <reference field="14" count="1">
            <x v="41"/>
          </reference>
        </references>
      </pivotArea>
    </format>
    <format dxfId="5275">
      <pivotArea dataOnly="0" labelOnly="1" outline="0" fieldPosition="0">
        <references count="2">
          <reference field="11" count="1" selected="0">
            <x v="112"/>
          </reference>
          <reference field="14" count="1" defaultSubtotal="1">
            <x v="41"/>
          </reference>
        </references>
      </pivotArea>
    </format>
    <format dxfId="5274">
      <pivotArea dataOnly="0" labelOnly="1" outline="0" fieldPosition="0">
        <references count="2">
          <reference field="11" count="1" selected="0">
            <x v="113"/>
          </reference>
          <reference field="14" count="1">
            <x v="40"/>
          </reference>
        </references>
      </pivotArea>
    </format>
    <format dxfId="5273">
      <pivotArea dataOnly="0" labelOnly="1" outline="0" fieldPosition="0">
        <references count="2">
          <reference field="11" count="1" selected="0">
            <x v="113"/>
          </reference>
          <reference field="14" count="1" defaultSubtotal="1">
            <x v="40"/>
          </reference>
        </references>
      </pivotArea>
    </format>
    <format dxfId="5272">
      <pivotArea dataOnly="0" labelOnly="1" outline="0" fieldPosition="0">
        <references count="2">
          <reference field="11" count="1" selected="0">
            <x v="114"/>
          </reference>
          <reference field="14" count="1">
            <x v="433"/>
          </reference>
        </references>
      </pivotArea>
    </format>
    <format dxfId="5271">
      <pivotArea dataOnly="0" labelOnly="1" outline="0" fieldPosition="0">
        <references count="2">
          <reference field="11" count="1" selected="0">
            <x v="114"/>
          </reference>
          <reference field="14" count="1" defaultSubtotal="1">
            <x v="433"/>
          </reference>
        </references>
      </pivotArea>
    </format>
    <format dxfId="5270">
      <pivotArea dataOnly="0" labelOnly="1" outline="0" fieldPosition="0">
        <references count="2">
          <reference field="11" count="1" selected="0">
            <x v="115"/>
          </reference>
          <reference field="14" count="1">
            <x v="470"/>
          </reference>
        </references>
      </pivotArea>
    </format>
    <format dxfId="5269">
      <pivotArea dataOnly="0" labelOnly="1" outline="0" fieldPosition="0">
        <references count="2">
          <reference field="11" count="1" selected="0">
            <x v="115"/>
          </reference>
          <reference field="14" count="1" defaultSubtotal="1">
            <x v="470"/>
          </reference>
        </references>
      </pivotArea>
    </format>
    <format dxfId="5268">
      <pivotArea dataOnly="0" labelOnly="1" outline="0" fieldPosition="0">
        <references count="2">
          <reference field="11" count="1" selected="0">
            <x v="116"/>
          </reference>
          <reference field="14" count="1">
            <x v="469"/>
          </reference>
        </references>
      </pivotArea>
    </format>
    <format dxfId="5267">
      <pivotArea dataOnly="0" labelOnly="1" outline="0" fieldPosition="0">
        <references count="2">
          <reference field="11" count="1" selected="0">
            <x v="116"/>
          </reference>
          <reference field="14" count="1" defaultSubtotal="1">
            <x v="469"/>
          </reference>
        </references>
      </pivotArea>
    </format>
    <format dxfId="5266">
      <pivotArea dataOnly="0" labelOnly="1" outline="0" fieldPosition="0">
        <references count="2">
          <reference field="11" count="1" selected="0">
            <x v="117"/>
          </reference>
          <reference field="14" count="1">
            <x v="472"/>
          </reference>
        </references>
      </pivotArea>
    </format>
    <format dxfId="5265">
      <pivotArea dataOnly="0" labelOnly="1" outline="0" fieldPosition="0">
        <references count="2">
          <reference field="11" count="1" selected="0">
            <x v="117"/>
          </reference>
          <reference field="14" count="1" defaultSubtotal="1">
            <x v="472"/>
          </reference>
        </references>
      </pivotArea>
    </format>
    <format dxfId="5264">
      <pivotArea dataOnly="0" labelOnly="1" outline="0" fieldPosition="0">
        <references count="2">
          <reference field="11" count="1" selected="0">
            <x v="118"/>
          </reference>
          <reference field="14" count="1">
            <x v="473"/>
          </reference>
        </references>
      </pivotArea>
    </format>
    <format dxfId="5263">
      <pivotArea dataOnly="0" labelOnly="1" outline="0" fieldPosition="0">
        <references count="2">
          <reference field="11" count="1" selected="0">
            <x v="118"/>
          </reference>
          <reference field="14" count="1" defaultSubtotal="1">
            <x v="473"/>
          </reference>
        </references>
      </pivotArea>
    </format>
    <format dxfId="5262">
      <pivotArea dataOnly="0" labelOnly="1" outline="0" fieldPosition="0">
        <references count="2">
          <reference field="11" count="1" selected="0">
            <x v="119"/>
          </reference>
          <reference field="14" count="1">
            <x v="475"/>
          </reference>
        </references>
      </pivotArea>
    </format>
    <format dxfId="5261">
      <pivotArea dataOnly="0" labelOnly="1" outline="0" fieldPosition="0">
        <references count="2">
          <reference field="11" count="1" selected="0">
            <x v="119"/>
          </reference>
          <reference field="14" count="1" defaultSubtotal="1">
            <x v="475"/>
          </reference>
        </references>
      </pivotArea>
    </format>
    <format dxfId="5260">
      <pivotArea dataOnly="0" labelOnly="1" outline="0" fieldPosition="0">
        <references count="2">
          <reference field="11" count="1" selected="0">
            <x v="120"/>
          </reference>
          <reference field="14" count="1">
            <x v="474"/>
          </reference>
        </references>
      </pivotArea>
    </format>
    <format dxfId="5259">
      <pivotArea dataOnly="0" labelOnly="1" outline="0" fieldPosition="0">
        <references count="2">
          <reference field="11" count="1" selected="0">
            <x v="120"/>
          </reference>
          <reference field="14" count="1" defaultSubtotal="1">
            <x v="474"/>
          </reference>
        </references>
      </pivotArea>
    </format>
    <format dxfId="5258">
      <pivotArea dataOnly="0" labelOnly="1" outline="0" fieldPosition="0">
        <references count="2">
          <reference field="11" count="1" selected="0">
            <x v="121"/>
          </reference>
          <reference field="14" count="1">
            <x v="477"/>
          </reference>
        </references>
      </pivotArea>
    </format>
    <format dxfId="5257">
      <pivotArea dataOnly="0" labelOnly="1" outline="0" fieldPosition="0">
        <references count="2">
          <reference field="11" count="1" selected="0">
            <x v="121"/>
          </reference>
          <reference field="14" count="1" defaultSubtotal="1">
            <x v="477"/>
          </reference>
        </references>
      </pivotArea>
    </format>
    <format dxfId="5256">
      <pivotArea dataOnly="0" labelOnly="1" outline="0" fieldPosition="0">
        <references count="2">
          <reference field="11" count="1" selected="0">
            <x v="122"/>
          </reference>
          <reference field="14" count="1">
            <x v="476"/>
          </reference>
        </references>
      </pivotArea>
    </format>
    <format dxfId="5255">
      <pivotArea dataOnly="0" labelOnly="1" outline="0" fieldPosition="0">
        <references count="2">
          <reference field="11" count="1" selected="0">
            <x v="122"/>
          </reference>
          <reference field="14" count="1" defaultSubtotal="1">
            <x v="476"/>
          </reference>
        </references>
      </pivotArea>
    </format>
    <format dxfId="5254">
      <pivotArea dataOnly="0" labelOnly="1" outline="0" fieldPosition="0">
        <references count="2">
          <reference field="11" count="1" selected="0">
            <x v="123"/>
          </reference>
          <reference field="14" count="1">
            <x v="478"/>
          </reference>
        </references>
      </pivotArea>
    </format>
    <format dxfId="5253">
      <pivotArea dataOnly="0" labelOnly="1" outline="0" fieldPosition="0">
        <references count="2">
          <reference field="11" count="1" selected="0">
            <x v="123"/>
          </reference>
          <reference field="14" count="1" defaultSubtotal="1">
            <x v="478"/>
          </reference>
        </references>
      </pivotArea>
    </format>
    <format dxfId="5252">
      <pivotArea dataOnly="0" labelOnly="1" outline="0" fieldPosition="0">
        <references count="2">
          <reference field="11" count="1" selected="0">
            <x v="124"/>
          </reference>
          <reference field="14" count="1">
            <x v="480"/>
          </reference>
        </references>
      </pivotArea>
    </format>
    <format dxfId="5251">
      <pivotArea dataOnly="0" labelOnly="1" outline="0" fieldPosition="0">
        <references count="2">
          <reference field="11" count="1" selected="0">
            <x v="124"/>
          </reference>
          <reference field="14" count="1" defaultSubtotal="1">
            <x v="480"/>
          </reference>
        </references>
      </pivotArea>
    </format>
    <format dxfId="5250">
      <pivotArea dataOnly="0" labelOnly="1" outline="0" fieldPosition="0">
        <references count="2">
          <reference field="11" count="1" selected="0">
            <x v="125"/>
          </reference>
          <reference field="14" count="1">
            <x v="479"/>
          </reference>
        </references>
      </pivotArea>
    </format>
    <format dxfId="5249">
      <pivotArea dataOnly="0" labelOnly="1" outline="0" fieldPosition="0">
        <references count="2">
          <reference field="11" count="1" selected="0">
            <x v="125"/>
          </reference>
          <reference field="14" count="1" defaultSubtotal="1">
            <x v="479"/>
          </reference>
        </references>
      </pivotArea>
    </format>
    <format dxfId="5248">
      <pivotArea dataOnly="0" labelOnly="1" outline="0" fieldPosition="0">
        <references count="2">
          <reference field="11" count="1" selected="0">
            <x v="126"/>
          </reference>
          <reference field="14" count="1">
            <x v="481"/>
          </reference>
        </references>
      </pivotArea>
    </format>
    <format dxfId="5247">
      <pivotArea dataOnly="0" labelOnly="1" outline="0" fieldPosition="0">
        <references count="2">
          <reference field="11" count="1" selected="0">
            <x v="126"/>
          </reference>
          <reference field="14" count="1" defaultSubtotal="1">
            <x v="481"/>
          </reference>
        </references>
      </pivotArea>
    </format>
    <format dxfId="5246">
      <pivotArea dataOnly="0" labelOnly="1" outline="0" fieldPosition="0">
        <references count="2">
          <reference field="11" count="1" selected="0">
            <x v="127"/>
          </reference>
          <reference field="14" count="1">
            <x v="483"/>
          </reference>
        </references>
      </pivotArea>
    </format>
    <format dxfId="5245">
      <pivotArea dataOnly="0" labelOnly="1" outline="0" fieldPosition="0">
        <references count="2">
          <reference field="11" count="1" selected="0">
            <x v="127"/>
          </reference>
          <reference field="14" count="1" defaultSubtotal="1">
            <x v="483"/>
          </reference>
        </references>
      </pivotArea>
    </format>
    <format dxfId="5244">
      <pivotArea dataOnly="0" labelOnly="1" outline="0" fieldPosition="0">
        <references count="2">
          <reference field="11" count="1" selected="0">
            <x v="128"/>
          </reference>
          <reference field="14" count="1">
            <x v="453"/>
          </reference>
        </references>
      </pivotArea>
    </format>
    <format dxfId="5243">
      <pivotArea dataOnly="0" labelOnly="1" outline="0" fieldPosition="0">
        <references count="2">
          <reference field="11" count="1" selected="0">
            <x v="128"/>
          </reference>
          <reference field="14" count="1" defaultSubtotal="1">
            <x v="453"/>
          </reference>
        </references>
      </pivotArea>
    </format>
    <format dxfId="5242">
      <pivotArea dataOnly="0" labelOnly="1" outline="0" fieldPosition="0">
        <references count="2">
          <reference field="11" count="1" selected="0">
            <x v="129"/>
          </reference>
          <reference field="14" count="1">
            <x v="391"/>
          </reference>
        </references>
      </pivotArea>
    </format>
    <format dxfId="5241">
      <pivotArea dataOnly="0" labelOnly="1" outline="0" fieldPosition="0">
        <references count="2">
          <reference field="11" count="1" selected="0">
            <x v="129"/>
          </reference>
          <reference field="14" count="1" defaultSubtotal="1">
            <x v="391"/>
          </reference>
        </references>
      </pivotArea>
    </format>
    <format dxfId="5240">
      <pivotArea dataOnly="0" labelOnly="1" outline="0" fieldPosition="0">
        <references count="2">
          <reference field="11" count="1" selected="0">
            <x v="130"/>
          </reference>
          <reference field="14" count="1">
            <x v="242"/>
          </reference>
        </references>
      </pivotArea>
    </format>
    <format dxfId="5239">
      <pivotArea dataOnly="0" labelOnly="1" outline="0" fieldPosition="0">
        <references count="2">
          <reference field="11" count="1" selected="0">
            <x v="130"/>
          </reference>
          <reference field="14" count="1" defaultSubtotal="1">
            <x v="242"/>
          </reference>
        </references>
      </pivotArea>
    </format>
    <format dxfId="5238">
      <pivotArea dataOnly="0" labelOnly="1" outline="0" fieldPosition="0">
        <references count="2">
          <reference field="11" count="1" selected="0">
            <x v="131"/>
          </reference>
          <reference field="14" count="1">
            <x v="33"/>
          </reference>
        </references>
      </pivotArea>
    </format>
    <format dxfId="5237">
      <pivotArea dataOnly="0" labelOnly="1" outline="0" fieldPosition="0">
        <references count="2">
          <reference field="11" count="1" selected="0">
            <x v="131"/>
          </reference>
          <reference field="14" count="1" defaultSubtotal="1">
            <x v="33"/>
          </reference>
        </references>
      </pivotArea>
    </format>
    <format dxfId="5236">
      <pivotArea dataOnly="0" labelOnly="1" outline="0" fieldPosition="0">
        <references count="2">
          <reference field="11" count="1" selected="0">
            <x v="132"/>
          </reference>
          <reference field="14" count="1">
            <x v="482"/>
          </reference>
        </references>
      </pivotArea>
    </format>
    <format dxfId="5235">
      <pivotArea dataOnly="0" labelOnly="1" outline="0" fieldPosition="0">
        <references count="2">
          <reference field="11" count="1" selected="0">
            <x v="132"/>
          </reference>
          <reference field="14" count="1" defaultSubtotal="1">
            <x v="482"/>
          </reference>
        </references>
      </pivotArea>
    </format>
    <format dxfId="5234">
      <pivotArea dataOnly="0" labelOnly="1" outline="0" fieldPosition="0">
        <references count="2">
          <reference field="11" count="1" selected="0">
            <x v="133"/>
          </reference>
          <reference field="14" count="1">
            <x v="266"/>
          </reference>
        </references>
      </pivotArea>
    </format>
    <format dxfId="5233">
      <pivotArea dataOnly="0" labelOnly="1" outline="0" fieldPosition="0">
        <references count="2">
          <reference field="11" count="1" selected="0">
            <x v="133"/>
          </reference>
          <reference field="14" count="1" defaultSubtotal="1">
            <x v="266"/>
          </reference>
        </references>
      </pivotArea>
    </format>
    <format dxfId="5232">
      <pivotArea dataOnly="0" labelOnly="1" outline="0" fieldPosition="0">
        <references count="2">
          <reference field="11" count="1" selected="0">
            <x v="134"/>
          </reference>
          <reference field="14" count="1">
            <x v="76"/>
          </reference>
        </references>
      </pivotArea>
    </format>
    <format dxfId="5231">
      <pivotArea dataOnly="0" labelOnly="1" outline="0" fieldPosition="0">
        <references count="2">
          <reference field="11" count="1" selected="0">
            <x v="134"/>
          </reference>
          <reference field="14" count="1" defaultSubtotal="1">
            <x v="76"/>
          </reference>
        </references>
      </pivotArea>
    </format>
    <format dxfId="5230">
      <pivotArea dataOnly="0" labelOnly="1" outline="0" fieldPosition="0">
        <references count="2">
          <reference field="11" count="1" selected="0">
            <x v="135"/>
          </reference>
          <reference field="14" count="1">
            <x v="332"/>
          </reference>
        </references>
      </pivotArea>
    </format>
    <format dxfId="5229">
      <pivotArea dataOnly="0" labelOnly="1" outline="0" fieldPosition="0">
        <references count="2">
          <reference field="11" count="1" selected="0">
            <x v="135"/>
          </reference>
          <reference field="14" count="1" defaultSubtotal="1">
            <x v="332"/>
          </reference>
        </references>
      </pivotArea>
    </format>
    <format dxfId="5228">
      <pivotArea dataOnly="0" labelOnly="1" outline="0" fieldPosition="0">
        <references count="2">
          <reference field="11" count="1" selected="0">
            <x v="136"/>
          </reference>
          <reference field="14" count="1">
            <x v="333"/>
          </reference>
        </references>
      </pivotArea>
    </format>
    <format dxfId="5227">
      <pivotArea dataOnly="0" labelOnly="1" outline="0" fieldPosition="0">
        <references count="2">
          <reference field="11" count="1" selected="0">
            <x v="136"/>
          </reference>
          <reference field="14" count="1" defaultSubtotal="1">
            <x v="333"/>
          </reference>
        </references>
      </pivotArea>
    </format>
    <format dxfId="5226">
      <pivotArea dataOnly="0" labelOnly="1" outline="0" fieldPosition="0">
        <references count="2">
          <reference field="11" count="1" selected="0">
            <x v="137"/>
          </reference>
          <reference field="14" count="1">
            <x v="11"/>
          </reference>
        </references>
      </pivotArea>
    </format>
    <format dxfId="5225">
      <pivotArea dataOnly="0" labelOnly="1" outline="0" fieldPosition="0">
        <references count="2">
          <reference field="11" count="1" selected="0">
            <x v="137"/>
          </reference>
          <reference field="14" count="1" defaultSubtotal="1">
            <x v="11"/>
          </reference>
        </references>
      </pivotArea>
    </format>
    <format dxfId="5224">
      <pivotArea dataOnly="0" labelOnly="1" outline="0" fieldPosition="0">
        <references count="2">
          <reference field="11" count="1" selected="0">
            <x v="138"/>
          </reference>
          <reference field="14" count="1">
            <x v="16"/>
          </reference>
        </references>
      </pivotArea>
    </format>
    <format dxfId="5223">
      <pivotArea dataOnly="0" labelOnly="1" outline="0" fieldPosition="0">
        <references count="2">
          <reference field="11" count="1" selected="0">
            <x v="138"/>
          </reference>
          <reference field="14" count="1" defaultSubtotal="1">
            <x v="16"/>
          </reference>
        </references>
      </pivotArea>
    </format>
    <format dxfId="5222">
      <pivotArea dataOnly="0" labelOnly="1" outline="0" fieldPosition="0">
        <references count="2">
          <reference field="11" count="1" selected="0">
            <x v="139"/>
          </reference>
          <reference field="14" count="1">
            <x v="361"/>
          </reference>
        </references>
      </pivotArea>
    </format>
    <format dxfId="5221">
      <pivotArea dataOnly="0" labelOnly="1" outline="0" fieldPosition="0">
        <references count="2">
          <reference field="11" count="1" selected="0">
            <x v="139"/>
          </reference>
          <reference field="14" count="1" defaultSubtotal="1">
            <x v="361"/>
          </reference>
        </references>
      </pivotArea>
    </format>
    <format dxfId="5220">
      <pivotArea dataOnly="0" labelOnly="1" outline="0" fieldPosition="0">
        <references count="2">
          <reference field="11" count="1" selected="0">
            <x v="140"/>
          </reference>
          <reference field="14" count="1">
            <x v="255"/>
          </reference>
        </references>
      </pivotArea>
    </format>
    <format dxfId="5219">
      <pivotArea dataOnly="0" labelOnly="1" outline="0" fieldPosition="0">
        <references count="2">
          <reference field="11" count="1" selected="0">
            <x v="140"/>
          </reference>
          <reference field="14" count="1" defaultSubtotal="1">
            <x v="255"/>
          </reference>
        </references>
      </pivotArea>
    </format>
    <format dxfId="5218">
      <pivotArea dataOnly="0" labelOnly="1" outline="0" fieldPosition="0">
        <references count="2">
          <reference field="11" count="1" selected="0">
            <x v="141"/>
          </reference>
          <reference field="14" count="1">
            <x v="252"/>
          </reference>
        </references>
      </pivotArea>
    </format>
    <format dxfId="5217">
      <pivotArea dataOnly="0" labelOnly="1" outline="0" fieldPosition="0">
        <references count="2">
          <reference field="11" count="1" selected="0">
            <x v="141"/>
          </reference>
          <reference field="14" count="1" defaultSubtotal="1">
            <x v="252"/>
          </reference>
        </references>
      </pivotArea>
    </format>
    <format dxfId="5216">
      <pivotArea dataOnly="0" labelOnly="1" outline="0" fieldPosition="0">
        <references count="2">
          <reference field="11" count="1" selected="0">
            <x v="142"/>
          </reference>
          <reference field="14" count="1">
            <x v="213"/>
          </reference>
        </references>
      </pivotArea>
    </format>
    <format dxfId="5215">
      <pivotArea dataOnly="0" labelOnly="1" outline="0" fieldPosition="0">
        <references count="2">
          <reference field="11" count="1" selected="0">
            <x v="142"/>
          </reference>
          <reference field="14" count="1" defaultSubtotal="1">
            <x v="213"/>
          </reference>
        </references>
      </pivotArea>
    </format>
    <format dxfId="5214">
      <pivotArea dataOnly="0" labelOnly="1" outline="0" fieldPosition="0">
        <references count="2">
          <reference field="11" count="1" selected="0">
            <x v="143"/>
          </reference>
          <reference field="14" count="1">
            <x v="326"/>
          </reference>
        </references>
      </pivotArea>
    </format>
    <format dxfId="5213">
      <pivotArea dataOnly="0" labelOnly="1" outline="0" fieldPosition="0">
        <references count="2">
          <reference field="11" count="1" selected="0">
            <x v="143"/>
          </reference>
          <reference field="14" count="1" defaultSubtotal="1">
            <x v="326"/>
          </reference>
        </references>
      </pivotArea>
    </format>
    <format dxfId="5212">
      <pivotArea dataOnly="0" labelOnly="1" outline="0" fieldPosition="0">
        <references count="2">
          <reference field="11" count="1" selected="0">
            <x v="144"/>
          </reference>
          <reference field="14" count="1">
            <x v="327"/>
          </reference>
        </references>
      </pivotArea>
    </format>
    <format dxfId="5211">
      <pivotArea dataOnly="0" labelOnly="1" outline="0" fieldPosition="0">
        <references count="2">
          <reference field="11" count="1" selected="0">
            <x v="144"/>
          </reference>
          <reference field="14" count="1" defaultSubtotal="1">
            <x v="327"/>
          </reference>
        </references>
      </pivotArea>
    </format>
    <format dxfId="5210">
      <pivotArea dataOnly="0" labelOnly="1" outline="0" fieldPosition="0">
        <references count="2">
          <reference field="11" count="1" selected="0">
            <x v="145"/>
          </reference>
          <reference field="14" count="1">
            <x v="329"/>
          </reference>
        </references>
      </pivotArea>
    </format>
    <format dxfId="5209">
      <pivotArea dataOnly="0" labelOnly="1" outline="0" fieldPosition="0">
        <references count="2">
          <reference field="11" count="1" selected="0">
            <x v="145"/>
          </reference>
          <reference field="14" count="1" defaultSubtotal="1">
            <x v="329"/>
          </reference>
        </references>
      </pivotArea>
    </format>
    <format dxfId="5208">
      <pivotArea dataOnly="0" labelOnly="1" outline="0" fieldPosition="0">
        <references count="2">
          <reference field="11" count="1" selected="0">
            <x v="146"/>
          </reference>
          <reference field="14" count="1">
            <x v="330"/>
          </reference>
        </references>
      </pivotArea>
    </format>
    <format dxfId="5207">
      <pivotArea dataOnly="0" labelOnly="1" outline="0" fieldPosition="0">
        <references count="2">
          <reference field="11" count="1" selected="0">
            <x v="146"/>
          </reference>
          <reference field="14" count="1" defaultSubtotal="1">
            <x v="330"/>
          </reference>
        </references>
      </pivotArea>
    </format>
    <format dxfId="5206">
      <pivotArea dataOnly="0" labelOnly="1" outline="0" fieldPosition="0">
        <references count="2">
          <reference field="11" count="1" selected="0">
            <x v="147"/>
          </reference>
          <reference field="14" count="1">
            <x v="328"/>
          </reference>
        </references>
      </pivotArea>
    </format>
    <format dxfId="5205">
      <pivotArea dataOnly="0" labelOnly="1" outline="0" fieldPosition="0">
        <references count="2">
          <reference field="11" count="1" selected="0">
            <x v="147"/>
          </reference>
          <reference field="14" count="1" defaultSubtotal="1">
            <x v="328"/>
          </reference>
        </references>
      </pivotArea>
    </format>
    <format dxfId="5204">
      <pivotArea dataOnly="0" labelOnly="1" outline="0" fieldPosition="0">
        <references count="2">
          <reference field="11" count="1" selected="0">
            <x v="148"/>
          </reference>
          <reference field="14" count="1">
            <x v="215"/>
          </reference>
        </references>
      </pivotArea>
    </format>
    <format dxfId="5203">
      <pivotArea dataOnly="0" labelOnly="1" outline="0" fieldPosition="0">
        <references count="2">
          <reference field="11" count="1" selected="0">
            <x v="148"/>
          </reference>
          <reference field="14" count="1" defaultSubtotal="1">
            <x v="215"/>
          </reference>
        </references>
      </pivotArea>
    </format>
    <format dxfId="5202">
      <pivotArea dataOnly="0" labelOnly="1" outline="0" fieldPosition="0">
        <references count="2">
          <reference field="11" count="1" selected="0">
            <x v="149"/>
          </reference>
          <reference field="14" count="1">
            <x v="461"/>
          </reference>
        </references>
      </pivotArea>
    </format>
    <format dxfId="5201">
      <pivotArea dataOnly="0" labelOnly="1" outline="0" fieldPosition="0">
        <references count="2">
          <reference field="11" count="1" selected="0">
            <x v="149"/>
          </reference>
          <reference field="14" count="1" defaultSubtotal="1">
            <x v="461"/>
          </reference>
        </references>
      </pivotArea>
    </format>
    <format dxfId="5200">
      <pivotArea dataOnly="0" labelOnly="1" outline="0" fieldPosition="0">
        <references count="2">
          <reference field="11" count="1" selected="0">
            <x v="150"/>
          </reference>
          <reference field="14" count="1">
            <x v="267"/>
          </reference>
        </references>
      </pivotArea>
    </format>
    <format dxfId="5199">
      <pivotArea dataOnly="0" labelOnly="1" outline="0" fieldPosition="0">
        <references count="2">
          <reference field="11" count="1" selected="0">
            <x v="150"/>
          </reference>
          <reference field="14" count="1" defaultSubtotal="1">
            <x v="267"/>
          </reference>
        </references>
      </pivotArea>
    </format>
    <format dxfId="5198">
      <pivotArea dataOnly="0" labelOnly="1" outline="0" fieldPosition="0">
        <references count="2">
          <reference field="11" count="1" selected="0">
            <x v="151"/>
          </reference>
          <reference field="14" count="1">
            <x v="392"/>
          </reference>
        </references>
      </pivotArea>
    </format>
    <format dxfId="5197">
      <pivotArea dataOnly="0" labelOnly="1" outline="0" fieldPosition="0">
        <references count="2">
          <reference field="11" count="1" selected="0">
            <x v="151"/>
          </reference>
          <reference field="14" count="1" defaultSubtotal="1">
            <x v="392"/>
          </reference>
        </references>
      </pivotArea>
    </format>
    <format dxfId="5196">
      <pivotArea dataOnly="0" labelOnly="1" outline="0" fieldPosition="0">
        <references count="2">
          <reference field="11" count="1" selected="0">
            <x v="152"/>
          </reference>
          <reference field="14" count="1">
            <x v="447"/>
          </reference>
        </references>
      </pivotArea>
    </format>
    <format dxfId="5195">
      <pivotArea dataOnly="0" labelOnly="1" outline="0" fieldPosition="0">
        <references count="2">
          <reference field="11" count="1" selected="0">
            <x v="152"/>
          </reference>
          <reference field="14" count="1" defaultSubtotal="1">
            <x v="447"/>
          </reference>
        </references>
      </pivotArea>
    </format>
    <format dxfId="5194">
      <pivotArea dataOnly="0" labelOnly="1" outline="0" fieldPosition="0">
        <references count="2">
          <reference field="11" count="1" selected="0">
            <x v="153"/>
          </reference>
          <reference field="14" count="1">
            <x v="177"/>
          </reference>
        </references>
      </pivotArea>
    </format>
    <format dxfId="5193">
      <pivotArea dataOnly="0" labelOnly="1" outline="0" fieldPosition="0">
        <references count="2">
          <reference field="11" count="1" selected="0">
            <x v="153"/>
          </reference>
          <reference field="14" count="1" defaultSubtotal="1">
            <x v="177"/>
          </reference>
        </references>
      </pivotArea>
    </format>
    <format dxfId="5192">
      <pivotArea dataOnly="0" labelOnly="1" outline="0" fieldPosition="0">
        <references count="2">
          <reference field="11" count="1" selected="0">
            <x v="154"/>
          </reference>
          <reference field="14" count="1">
            <x v="182"/>
          </reference>
        </references>
      </pivotArea>
    </format>
    <format dxfId="5191">
      <pivotArea dataOnly="0" labelOnly="1" outline="0" fieldPosition="0">
        <references count="2">
          <reference field="11" count="1" selected="0">
            <x v="154"/>
          </reference>
          <reference field="14" count="1" defaultSubtotal="1">
            <x v="182"/>
          </reference>
        </references>
      </pivotArea>
    </format>
    <format dxfId="5190">
      <pivotArea dataOnly="0" labelOnly="1" outline="0" fieldPosition="0">
        <references count="2">
          <reference field="11" count="1" selected="0">
            <x v="155"/>
          </reference>
          <reference field="14" count="1">
            <x v="105"/>
          </reference>
        </references>
      </pivotArea>
    </format>
    <format dxfId="5189">
      <pivotArea dataOnly="0" labelOnly="1" outline="0" fieldPosition="0">
        <references count="2">
          <reference field="11" count="1" selected="0">
            <x v="155"/>
          </reference>
          <reference field="14" count="1" defaultSubtotal="1">
            <x v="105"/>
          </reference>
        </references>
      </pivotArea>
    </format>
    <format dxfId="5188">
      <pivotArea dataOnly="0" labelOnly="1" outline="0" fieldPosition="0">
        <references count="2">
          <reference field="11" count="1" selected="0">
            <x v="156"/>
          </reference>
          <reference field="14" count="1">
            <x v="238"/>
          </reference>
        </references>
      </pivotArea>
    </format>
    <format dxfId="5187">
      <pivotArea dataOnly="0" labelOnly="1" outline="0" fieldPosition="0">
        <references count="2">
          <reference field="11" count="1" selected="0">
            <x v="156"/>
          </reference>
          <reference field="14" count="1" defaultSubtotal="1">
            <x v="238"/>
          </reference>
        </references>
      </pivotArea>
    </format>
    <format dxfId="5186">
      <pivotArea dataOnly="0" labelOnly="1" outline="0" fieldPosition="0">
        <references count="2">
          <reference field="11" count="1" selected="0">
            <x v="157"/>
          </reference>
          <reference field="14" count="1">
            <x v="395"/>
          </reference>
        </references>
      </pivotArea>
    </format>
    <format dxfId="5185">
      <pivotArea dataOnly="0" labelOnly="1" outline="0" fieldPosition="0">
        <references count="2">
          <reference field="11" count="1" selected="0">
            <x v="157"/>
          </reference>
          <reference field="14" count="1" defaultSubtotal="1">
            <x v="395"/>
          </reference>
        </references>
      </pivotArea>
    </format>
    <format dxfId="5184">
      <pivotArea dataOnly="0" labelOnly="1" outline="0" fieldPosition="0">
        <references count="2">
          <reference field="11" count="1" selected="0">
            <x v="158"/>
          </reference>
          <reference field="14" count="1">
            <x v="224"/>
          </reference>
        </references>
      </pivotArea>
    </format>
    <format dxfId="5183">
      <pivotArea dataOnly="0" labelOnly="1" outline="0" fieldPosition="0">
        <references count="2">
          <reference field="11" count="1" selected="0">
            <x v="158"/>
          </reference>
          <reference field="14" count="1" defaultSubtotal="1">
            <x v="224"/>
          </reference>
        </references>
      </pivotArea>
    </format>
    <format dxfId="5182">
      <pivotArea dataOnly="0" labelOnly="1" outline="0" fieldPosition="0">
        <references count="2">
          <reference field="11" count="1" selected="0">
            <x v="159"/>
          </reference>
          <reference field="14" count="1">
            <x v="218"/>
          </reference>
        </references>
      </pivotArea>
    </format>
    <format dxfId="5181">
      <pivotArea dataOnly="0" labelOnly="1" outline="0" fieldPosition="0">
        <references count="2">
          <reference field="11" count="1" selected="0">
            <x v="159"/>
          </reference>
          <reference field="14" count="1" defaultSubtotal="1">
            <x v="218"/>
          </reference>
        </references>
      </pivotArea>
    </format>
    <format dxfId="5180">
      <pivotArea dataOnly="0" labelOnly="1" outline="0" fieldPosition="0">
        <references count="2">
          <reference field="11" count="1" selected="0">
            <x v="160"/>
          </reference>
          <reference field="14" count="1">
            <x v="398"/>
          </reference>
        </references>
      </pivotArea>
    </format>
    <format dxfId="5179">
      <pivotArea dataOnly="0" labelOnly="1" outline="0" fieldPosition="0">
        <references count="2">
          <reference field="11" count="1" selected="0">
            <x v="160"/>
          </reference>
          <reference field="14" count="1" defaultSubtotal="1">
            <x v="398"/>
          </reference>
        </references>
      </pivotArea>
    </format>
    <format dxfId="5178">
      <pivotArea dataOnly="0" labelOnly="1" outline="0" fieldPosition="0">
        <references count="2">
          <reference field="11" count="1" selected="0">
            <x v="161"/>
          </reference>
          <reference field="14" count="1">
            <x v="117"/>
          </reference>
        </references>
      </pivotArea>
    </format>
    <format dxfId="5177">
      <pivotArea dataOnly="0" labelOnly="1" outline="0" fieldPosition="0">
        <references count="2">
          <reference field="11" count="1" selected="0">
            <x v="161"/>
          </reference>
          <reference field="14" count="1" defaultSubtotal="1">
            <x v="117"/>
          </reference>
        </references>
      </pivotArea>
    </format>
    <format dxfId="5176">
      <pivotArea dataOnly="0" labelOnly="1" outline="0" fieldPosition="0">
        <references count="2">
          <reference field="11" count="1" selected="0">
            <x v="162"/>
          </reference>
          <reference field="14" count="1">
            <x v="161"/>
          </reference>
        </references>
      </pivotArea>
    </format>
    <format dxfId="5175">
      <pivotArea dataOnly="0" labelOnly="1" outline="0" fieldPosition="0">
        <references count="2">
          <reference field="11" count="1" selected="0">
            <x v="162"/>
          </reference>
          <reference field="14" count="1" defaultSubtotal="1">
            <x v="161"/>
          </reference>
        </references>
      </pivotArea>
    </format>
    <format dxfId="5174">
      <pivotArea dataOnly="0" labelOnly="1" outline="0" fieldPosition="0">
        <references count="2">
          <reference field="11" count="1" selected="0">
            <x v="163"/>
          </reference>
          <reference field="14" count="1">
            <x v="234"/>
          </reference>
        </references>
      </pivotArea>
    </format>
    <format dxfId="5173">
      <pivotArea dataOnly="0" labelOnly="1" outline="0" fieldPosition="0">
        <references count="2">
          <reference field="11" count="1" selected="0">
            <x v="163"/>
          </reference>
          <reference field="14" count="1" defaultSubtotal="1">
            <x v="234"/>
          </reference>
        </references>
      </pivotArea>
    </format>
    <format dxfId="5172">
      <pivotArea dataOnly="0" labelOnly="1" outline="0" fieldPosition="0">
        <references count="2">
          <reference field="11" count="1" selected="0">
            <x v="164"/>
          </reference>
          <reference field="14" count="1">
            <x v="258"/>
          </reference>
        </references>
      </pivotArea>
    </format>
    <format dxfId="5171">
      <pivotArea dataOnly="0" labelOnly="1" outline="0" fieldPosition="0">
        <references count="2">
          <reference field="11" count="1" selected="0">
            <x v="164"/>
          </reference>
          <reference field="14" count="1" defaultSubtotal="1">
            <x v="258"/>
          </reference>
        </references>
      </pivotArea>
    </format>
    <format dxfId="5170">
      <pivotArea dataOnly="0" labelOnly="1" outline="0" fieldPosition="0">
        <references count="2">
          <reference field="11" count="1" selected="0">
            <x v="165"/>
          </reference>
          <reference field="14" count="1">
            <x v="206"/>
          </reference>
        </references>
      </pivotArea>
    </format>
    <format dxfId="5169">
      <pivotArea dataOnly="0" labelOnly="1" outline="0" fieldPosition="0">
        <references count="2">
          <reference field="11" count="1" selected="0">
            <x v="165"/>
          </reference>
          <reference field="14" count="1" defaultSubtotal="1">
            <x v="206"/>
          </reference>
        </references>
      </pivotArea>
    </format>
    <format dxfId="5168">
      <pivotArea dataOnly="0" labelOnly="1" outline="0" fieldPosition="0">
        <references count="2">
          <reference field="11" count="1" selected="0">
            <x v="166"/>
          </reference>
          <reference field="14" count="1">
            <x v="319"/>
          </reference>
        </references>
      </pivotArea>
    </format>
    <format dxfId="5167">
      <pivotArea dataOnly="0" labelOnly="1" outline="0" fieldPosition="0">
        <references count="2">
          <reference field="11" count="1" selected="0">
            <x v="166"/>
          </reference>
          <reference field="14" count="1" defaultSubtotal="1">
            <x v="319"/>
          </reference>
        </references>
      </pivotArea>
    </format>
    <format dxfId="5166">
      <pivotArea dataOnly="0" labelOnly="1" outline="0" fieldPosition="0">
        <references count="2">
          <reference field="11" count="1" selected="0">
            <x v="167"/>
          </reference>
          <reference field="14" count="1">
            <x v="66"/>
          </reference>
        </references>
      </pivotArea>
    </format>
    <format dxfId="5165">
      <pivotArea dataOnly="0" labelOnly="1" outline="0" fieldPosition="0">
        <references count="2">
          <reference field="11" count="1" selected="0">
            <x v="167"/>
          </reference>
          <reference field="14" count="1" defaultSubtotal="1">
            <x v="66"/>
          </reference>
        </references>
      </pivotArea>
    </format>
    <format dxfId="5164">
      <pivotArea dataOnly="0" labelOnly="1" outline="0" fieldPosition="0">
        <references count="2">
          <reference field="11" count="1" selected="0">
            <x v="168"/>
          </reference>
          <reference field="14" count="1">
            <x v="148"/>
          </reference>
        </references>
      </pivotArea>
    </format>
    <format dxfId="5163">
      <pivotArea dataOnly="0" labelOnly="1" outline="0" fieldPosition="0">
        <references count="2">
          <reference field="11" count="1" selected="0">
            <x v="168"/>
          </reference>
          <reference field="14" count="1" defaultSubtotal="1">
            <x v="148"/>
          </reference>
        </references>
      </pivotArea>
    </format>
    <format dxfId="5162">
      <pivotArea dataOnly="0" labelOnly="1" outline="0" fieldPosition="0">
        <references count="2">
          <reference field="11" count="1" selected="0">
            <x v="169"/>
          </reference>
          <reference field="14" count="1">
            <x v="192"/>
          </reference>
        </references>
      </pivotArea>
    </format>
    <format dxfId="5161">
      <pivotArea dataOnly="0" labelOnly="1" outline="0" fieldPosition="0">
        <references count="2">
          <reference field="11" count="1" selected="0">
            <x v="169"/>
          </reference>
          <reference field="14" count="1" defaultSubtotal="1">
            <x v="192"/>
          </reference>
        </references>
      </pivotArea>
    </format>
    <format dxfId="5160">
      <pivotArea dataOnly="0" labelOnly="1" outline="0" fieldPosition="0">
        <references count="2">
          <reference field="11" count="1" selected="0">
            <x v="170"/>
          </reference>
          <reference field="14" count="1">
            <x v="317"/>
          </reference>
        </references>
      </pivotArea>
    </format>
    <format dxfId="5159">
      <pivotArea dataOnly="0" labelOnly="1" outline="0" fieldPosition="0">
        <references count="2">
          <reference field="11" count="1" selected="0">
            <x v="170"/>
          </reference>
          <reference field="14" count="1" defaultSubtotal="1">
            <x v="317"/>
          </reference>
        </references>
      </pivotArea>
    </format>
    <format dxfId="5158">
      <pivotArea dataOnly="0" labelOnly="1" outline="0" fieldPosition="0">
        <references count="2">
          <reference field="11" count="1" selected="0">
            <x v="171"/>
          </reference>
          <reference field="14" count="1">
            <x v="350"/>
          </reference>
        </references>
      </pivotArea>
    </format>
    <format dxfId="5157">
      <pivotArea dataOnly="0" labelOnly="1" outline="0" fieldPosition="0">
        <references count="2">
          <reference field="11" count="1" selected="0">
            <x v="171"/>
          </reference>
          <reference field="14" count="1" defaultSubtotal="1">
            <x v="350"/>
          </reference>
        </references>
      </pivotArea>
    </format>
    <format dxfId="5156">
      <pivotArea dataOnly="0" labelOnly="1" outline="0" fieldPosition="0">
        <references count="2">
          <reference field="11" count="1" selected="0">
            <x v="172"/>
          </reference>
          <reference field="14" count="1">
            <x v="231"/>
          </reference>
        </references>
      </pivotArea>
    </format>
    <format dxfId="5155">
      <pivotArea dataOnly="0" labelOnly="1" outline="0" fieldPosition="0">
        <references count="2">
          <reference field="11" count="1" selected="0">
            <x v="172"/>
          </reference>
          <reference field="14" count="1" defaultSubtotal="1">
            <x v="231"/>
          </reference>
        </references>
      </pivotArea>
    </format>
    <format dxfId="5154">
      <pivotArea dataOnly="0" labelOnly="1" outline="0" fieldPosition="0">
        <references count="2">
          <reference field="11" count="1" selected="0">
            <x v="173"/>
          </reference>
          <reference field="14" count="1">
            <x v="174"/>
          </reference>
        </references>
      </pivotArea>
    </format>
    <format dxfId="5153">
      <pivotArea dataOnly="0" labelOnly="1" outline="0" fieldPosition="0">
        <references count="2">
          <reference field="11" count="1" selected="0">
            <x v="173"/>
          </reference>
          <reference field="14" count="1" defaultSubtotal="1">
            <x v="174"/>
          </reference>
        </references>
      </pivotArea>
    </format>
    <format dxfId="5152">
      <pivotArea dataOnly="0" labelOnly="1" outline="0" fieldPosition="0">
        <references count="2">
          <reference field="11" count="1" selected="0">
            <x v="174"/>
          </reference>
          <reference field="14" count="1">
            <x v="173"/>
          </reference>
        </references>
      </pivotArea>
    </format>
    <format dxfId="5151">
      <pivotArea dataOnly="0" labelOnly="1" outline="0" fieldPosition="0">
        <references count="2">
          <reference field="11" count="1" selected="0">
            <x v="174"/>
          </reference>
          <reference field="14" count="1" defaultSubtotal="1">
            <x v="173"/>
          </reference>
        </references>
      </pivotArea>
    </format>
    <format dxfId="5150">
      <pivotArea dataOnly="0" labelOnly="1" outline="0" fieldPosition="0">
        <references count="2">
          <reference field="11" count="1" selected="0">
            <x v="175"/>
          </reference>
          <reference field="14" count="1">
            <x v="471"/>
          </reference>
        </references>
      </pivotArea>
    </format>
    <format dxfId="5149">
      <pivotArea dataOnly="0" labelOnly="1" outline="0" fieldPosition="0">
        <references count="2">
          <reference field="11" count="1" selected="0">
            <x v="175"/>
          </reference>
          <reference field="14" count="1" defaultSubtotal="1">
            <x v="471"/>
          </reference>
        </references>
      </pivotArea>
    </format>
    <format dxfId="5148">
      <pivotArea dataOnly="0" labelOnly="1" outline="0" fieldPosition="0">
        <references count="2">
          <reference field="11" count="1" selected="0">
            <x v="176"/>
          </reference>
          <reference field="14" count="1">
            <x v="362"/>
          </reference>
        </references>
      </pivotArea>
    </format>
    <format dxfId="5147">
      <pivotArea dataOnly="0" labelOnly="1" outline="0" fieldPosition="0">
        <references count="2">
          <reference field="11" count="1" selected="0">
            <x v="176"/>
          </reference>
          <reference field="14" count="1" defaultSubtotal="1">
            <x v="362"/>
          </reference>
        </references>
      </pivotArea>
    </format>
    <format dxfId="5146">
      <pivotArea dataOnly="0" labelOnly="1" outline="0" fieldPosition="0">
        <references count="2">
          <reference field="11" count="1" selected="0">
            <x v="177"/>
          </reference>
          <reference field="14" count="1">
            <x v="279"/>
          </reference>
        </references>
      </pivotArea>
    </format>
    <format dxfId="5145">
      <pivotArea dataOnly="0" labelOnly="1" outline="0" fieldPosition="0">
        <references count="2">
          <reference field="11" count="1" selected="0">
            <x v="177"/>
          </reference>
          <reference field="14" count="1" defaultSubtotal="1">
            <x v="279"/>
          </reference>
        </references>
      </pivotArea>
    </format>
    <format dxfId="5144">
      <pivotArea dataOnly="0" labelOnly="1" outline="0" fieldPosition="0">
        <references count="2">
          <reference field="11" count="1" selected="0">
            <x v="178"/>
          </reference>
          <reference field="14" count="1">
            <x v="282"/>
          </reference>
        </references>
      </pivotArea>
    </format>
    <format dxfId="5143">
      <pivotArea dataOnly="0" labelOnly="1" outline="0" fieldPosition="0">
        <references count="2">
          <reference field="11" count="1" selected="0">
            <x v="178"/>
          </reference>
          <reference field="14" count="1" defaultSubtotal="1">
            <x v="282"/>
          </reference>
        </references>
      </pivotArea>
    </format>
    <format dxfId="5142">
      <pivotArea dataOnly="0" labelOnly="1" outline="0" fieldPosition="0">
        <references count="2">
          <reference field="11" count="1" selected="0">
            <x v="179"/>
          </reference>
          <reference field="14" count="1">
            <x v="276"/>
          </reference>
        </references>
      </pivotArea>
    </format>
    <format dxfId="5141">
      <pivotArea dataOnly="0" labelOnly="1" outline="0" fieldPosition="0">
        <references count="2">
          <reference field="11" count="1" selected="0">
            <x v="179"/>
          </reference>
          <reference field="14" count="1" defaultSubtotal="1">
            <x v="276"/>
          </reference>
        </references>
      </pivotArea>
    </format>
    <format dxfId="5140">
      <pivotArea dataOnly="0" labelOnly="1" outline="0" fieldPosition="0">
        <references count="2">
          <reference field="11" count="1" selected="0">
            <x v="180"/>
          </reference>
          <reference field="14" count="1">
            <x v="439"/>
          </reference>
        </references>
      </pivotArea>
    </format>
    <format dxfId="5139">
      <pivotArea dataOnly="0" labelOnly="1" outline="0" fieldPosition="0">
        <references count="2">
          <reference field="11" count="1" selected="0">
            <x v="180"/>
          </reference>
          <reference field="14" count="1" defaultSubtotal="1">
            <x v="439"/>
          </reference>
        </references>
      </pivotArea>
    </format>
    <format dxfId="5138">
      <pivotArea dataOnly="0" labelOnly="1" outline="0" fieldPosition="0">
        <references count="2">
          <reference field="11" count="1" selected="0">
            <x v="181"/>
          </reference>
          <reference field="14" count="1">
            <x v="281"/>
          </reference>
        </references>
      </pivotArea>
    </format>
    <format dxfId="5137">
      <pivotArea dataOnly="0" labelOnly="1" outline="0" fieldPosition="0">
        <references count="2">
          <reference field="11" count="1" selected="0">
            <x v="181"/>
          </reference>
          <reference field="14" count="1" defaultSubtotal="1">
            <x v="281"/>
          </reference>
        </references>
      </pivotArea>
    </format>
    <format dxfId="5136">
      <pivotArea dataOnly="0" labelOnly="1" outline="0" fieldPosition="0">
        <references count="2">
          <reference field="11" count="1" selected="0">
            <x v="182"/>
          </reference>
          <reference field="14" count="1">
            <x v="118"/>
          </reference>
        </references>
      </pivotArea>
    </format>
    <format dxfId="5135">
      <pivotArea dataOnly="0" labelOnly="1" outline="0" fieldPosition="0">
        <references count="2">
          <reference field="11" count="1" selected="0">
            <x v="182"/>
          </reference>
          <reference field="14" count="1" defaultSubtotal="1">
            <x v="118"/>
          </reference>
        </references>
      </pivotArea>
    </format>
    <format dxfId="5134">
      <pivotArea dataOnly="0" labelOnly="1" outline="0" fieldPosition="0">
        <references count="2">
          <reference field="11" count="1" selected="0">
            <x v="183"/>
          </reference>
          <reference field="14" count="1">
            <x v="386"/>
          </reference>
        </references>
      </pivotArea>
    </format>
    <format dxfId="5133">
      <pivotArea dataOnly="0" labelOnly="1" outline="0" fieldPosition="0">
        <references count="2">
          <reference field="11" count="1" selected="0">
            <x v="183"/>
          </reference>
          <reference field="14" count="1" defaultSubtotal="1">
            <x v="386"/>
          </reference>
        </references>
      </pivotArea>
    </format>
    <format dxfId="5132">
      <pivotArea dataOnly="0" labelOnly="1" outline="0" fieldPosition="0">
        <references count="2">
          <reference field="11" count="1" selected="0">
            <x v="184"/>
          </reference>
          <reference field="14" count="1">
            <x v="388"/>
          </reference>
        </references>
      </pivotArea>
    </format>
    <format dxfId="5131">
      <pivotArea dataOnly="0" labelOnly="1" outline="0" fieldPosition="0">
        <references count="2">
          <reference field="11" count="1" selected="0">
            <x v="184"/>
          </reference>
          <reference field="14" count="1" defaultSubtotal="1">
            <x v="388"/>
          </reference>
        </references>
      </pivotArea>
    </format>
    <format dxfId="5130">
      <pivotArea dataOnly="0" labelOnly="1" outline="0" fieldPosition="0">
        <references count="2">
          <reference field="11" count="1" selected="0">
            <x v="185"/>
          </reference>
          <reference field="14" count="1">
            <x v="387"/>
          </reference>
        </references>
      </pivotArea>
    </format>
    <format dxfId="5129">
      <pivotArea dataOnly="0" labelOnly="1" outline="0" fieldPosition="0">
        <references count="2">
          <reference field="11" count="1" selected="0">
            <x v="185"/>
          </reference>
          <reference field="14" count="1" defaultSubtotal="1">
            <x v="387"/>
          </reference>
        </references>
      </pivotArea>
    </format>
    <format dxfId="5128">
      <pivotArea dataOnly="0" labelOnly="1" outline="0" fieldPosition="0">
        <references count="2">
          <reference field="11" count="1" selected="0">
            <x v="186"/>
          </reference>
          <reference field="14" count="1">
            <x v="343"/>
          </reference>
        </references>
      </pivotArea>
    </format>
    <format dxfId="5127">
      <pivotArea dataOnly="0" labelOnly="1" outline="0" fieldPosition="0">
        <references count="2">
          <reference field="11" count="1" selected="0">
            <x v="186"/>
          </reference>
          <reference field="14" count="1" defaultSubtotal="1">
            <x v="343"/>
          </reference>
        </references>
      </pivotArea>
    </format>
    <format dxfId="5126">
      <pivotArea dataOnly="0" labelOnly="1" outline="0" fieldPosition="0">
        <references count="2">
          <reference field="11" count="1" selected="0">
            <x v="187"/>
          </reference>
          <reference field="14" count="1">
            <x v="249"/>
          </reference>
        </references>
      </pivotArea>
    </format>
    <format dxfId="5125">
      <pivotArea dataOnly="0" labelOnly="1" outline="0" fieldPosition="0">
        <references count="2">
          <reference field="11" count="1" selected="0">
            <x v="187"/>
          </reference>
          <reference field="14" count="1" defaultSubtotal="1">
            <x v="249"/>
          </reference>
        </references>
      </pivotArea>
    </format>
    <format dxfId="5124">
      <pivotArea dataOnly="0" labelOnly="1" outline="0" fieldPosition="0">
        <references count="2">
          <reference field="11" count="1" selected="0">
            <x v="188"/>
          </reference>
          <reference field="14" count="1">
            <x v="385"/>
          </reference>
        </references>
      </pivotArea>
    </format>
    <format dxfId="5123">
      <pivotArea dataOnly="0" labelOnly="1" outline="0" fieldPosition="0">
        <references count="2">
          <reference field="11" count="1" selected="0">
            <x v="188"/>
          </reference>
          <reference field="14" count="1" defaultSubtotal="1">
            <x v="385"/>
          </reference>
        </references>
      </pivotArea>
    </format>
    <format dxfId="5122">
      <pivotArea dataOnly="0" labelOnly="1" outline="0" fieldPosition="0">
        <references count="2">
          <reference field="11" count="1" selected="0">
            <x v="189"/>
          </reference>
          <reference field="14" count="1">
            <x v="184"/>
          </reference>
        </references>
      </pivotArea>
    </format>
    <format dxfId="5121">
      <pivotArea dataOnly="0" labelOnly="1" outline="0" fieldPosition="0">
        <references count="2">
          <reference field="11" count="1" selected="0">
            <x v="189"/>
          </reference>
          <reference field="14" count="1" defaultSubtotal="1">
            <x v="184"/>
          </reference>
        </references>
      </pivotArea>
    </format>
    <format dxfId="5120">
      <pivotArea dataOnly="0" labelOnly="1" outline="0" fieldPosition="0">
        <references count="2">
          <reference field="11" count="1" selected="0">
            <x v="190"/>
          </reference>
          <reference field="14" count="1">
            <x v="394"/>
          </reference>
        </references>
      </pivotArea>
    </format>
    <format dxfId="5119">
      <pivotArea dataOnly="0" labelOnly="1" outline="0" fieldPosition="0">
        <references count="2">
          <reference field="11" count="1" selected="0">
            <x v="190"/>
          </reference>
          <reference field="14" count="1" defaultSubtotal="1">
            <x v="394"/>
          </reference>
        </references>
      </pivotArea>
    </format>
    <format dxfId="5118">
      <pivotArea dataOnly="0" labelOnly="1" outline="0" fieldPosition="0">
        <references count="2">
          <reference field="11" count="1" selected="0">
            <x v="191"/>
          </reference>
          <reference field="14" count="1">
            <x v="103"/>
          </reference>
        </references>
      </pivotArea>
    </format>
    <format dxfId="5117">
      <pivotArea dataOnly="0" labelOnly="1" outline="0" fieldPosition="0">
        <references count="2">
          <reference field="11" count="1" selected="0">
            <x v="191"/>
          </reference>
          <reference field="14" count="1" defaultSubtotal="1">
            <x v="103"/>
          </reference>
        </references>
      </pivotArea>
    </format>
    <format dxfId="5116">
      <pivotArea dataOnly="0" labelOnly="1" outline="0" fieldPosition="0">
        <references count="2">
          <reference field="11" count="1" selected="0">
            <x v="192"/>
          </reference>
          <reference field="14" count="1">
            <x v="102"/>
          </reference>
        </references>
      </pivotArea>
    </format>
    <format dxfId="5115">
      <pivotArea dataOnly="0" labelOnly="1" outline="0" fieldPosition="0">
        <references count="2">
          <reference field="11" count="1" selected="0">
            <x v="192"/>
          </reference>
          <reference field="14" count="1" defaultSubtotal="1">
            <x v="102"/>
          </reference>
        </references>
      </pivotArea>
    </format>
    <format dxfId="5114">
      <pivotArea dataOnly="0" labelOnly="1" outline="0" fieldPosition="0">
        <references count="2">
          <reference field="11" count="1" selected="0">
            <x v="193"/>
          </reference>
          <reference field="14" count="1">
            <x v="14"/>
          </reference>
        </references>
      </pivotArea>
    </format>
    <format dxfId="5113">
      <pivotArea dataOnly="0" labelOnly="1" outline="0" fieldPosition="0">
        <references count="2">
          <reference field="11" count="1" selected="0">
            <x v="193"/>
          </reference>
          <reference field="14" count="1" defaultSubtotal="1">
            <x v="14"/>
          </reference>
        </references>
      </pivotArea>
    </format>
    <format dxfId="5112">
      <pivotArea dataOnly="0" labelOnly="1" outline="0" fieldPosition="0">
        <references count="2">
          <reference field="11" count="1" selected="0">
            <x v="194"/>
          </reference>
          <reference field="14" count="1">
            <x v="188"/>
          </reference>
        </references>
      </pivotArea>
    </format>
    <format dxfId="5111">
      <pivotArea dataOnly="0" labelOnly="1" outline="0" fieldPosition="0">
        <references count="2">
          <reference field="11" count="1" selected="0">
            <x v="194"/>
          </reference>
          <reference field="14" count="1" defaultSubtotal="1">
            <x v="188"/>
          </reference>
        </references>
      </pivotArea>
    </format>
    <format dxfId="5110">
      <pivotArea dataOnly="0" labelOnly="1" outline="0" fieldPosition="0">
        <references count="2">
          <reference field="11" count="1" selected="0">
            <x v="195"/>
          </reference>
          <reference field="14" count="1">
            <x v="396"/>
          </reference>
        </references>
      </pivotArea>
    </format>
    <format dxfId="5109">
      <pivotArea dataOnly="0" labelOnly="1" outline="0" fieldPosition="0">
        <references count="2">
          <reference field="11" count="1" selected="0">
            <x v="195"/>
          </reference>
          <reference field="14" count="1" defaultSubtotal="1">
            <x v="396"/>
          </reference>
        </references>
      </pivotArea>
    </format>
    <format dxfId="5108">
      <pivotArea dataOnly="0" labelOnly="1" outline="0" fieldPosition="0">
        <references count="2">
          <reference field="11" count="1" selected="0">
            <x v="196"/>
          </reference>
          <reference field="14" count="1">
            <x v="25"/>
          </reference>
        </references>
      </pivotArea>
    </format>
    <format dxfId="5107">
      <pivotArea dataOnly="0" labelOnly="1" outline="0" fieldPosition="0">
        <references count="2">
          <reference field="11" count="1" selected="0">
            <x v="196"/>
          </reference>
          <reference field="14" count="1" defaultSubtotal="1">
            <x v="25"/>
          </reference>
        </references>
      </pivotArea>
    </format>
    <format dxfId="5106">
      <pivotArea dataOnly="0" labelOnly="1" outline="0" fieldPosition="0">
        <references count="2">
          <reference field="11" count="1" selected="0">
            <x v="197"/>
          </reference>
          <reference field="14" count="1">
            <x v="26"/>
          </reference>
        </references>
      </pivotArea>
    </format>
    <format dxfId="5105">
      <pivotArea dataOnly="0" labelOnly="1" outline="0" fieldPosition="0">
        <references count="2">
          <reference field="11" count="1" selected="0">
            <x v="197"/>
          </reference>
          <reference field="14" count="1" defaultSubtotal="1">
            <x v="26"/>
          </reference>
        </references>
      </pivotArea>
    </format>
    <format dxfId="5104">
      <pivotArea dataOnly="0" labelOnly="1" outline="0" fieldPosition="0">
        <references count="2">
          <reference field="11" count="1" selected="0">
            <x v="198"/>
          </reference>
          <reference field="14" count="1">
            <x v="43"/>
          </reference>
        </references>
      </pivotArea>
    </format>
    <format dxfId="5103">
      <pivotArea dataOnly="0" labelOnly="1" outline="0" fieldPosition="0">
        <references count="2">
          <reference field="11" count="1" selected="0">
            <x v="198"/>
          </reference>
          <reference field="14" count="1" defaultSubtotal="1">
            <x v="43"/>
          </reference>
        </references>
      </pivotArea>
    </format>
    <format dxfId="5102">
      <pivotArea dataOnly="0" labelOnly="1" outline="0" fieldPosition="0">
        <references count="2">
          <reference field="11" count="1" selected="0">
            <x v="199"/>
          </reference>
          <reference field="14" count="1">
            <x v="113"/>
          </reference>
        </references>
      </pivotArea>
    </format>
    <format dxfId="5101">
      <pivotArea dataOnly="0" labelOnly="1" outline="0" fieldPosition="0">
        <references count="2">
          <reference field="11" count="1" selected="0">
            <x v="199"/>
          </reference>
          <reference field="14" count="1" defaultSubtotal="1">
            <x v="113"/>
          </reference>
        </references>
      </pivotArea>
    </format>
    <format dxfId="5100">
      <pivotArea dataOnly="0" labelOnly="1" outline="0" fieldPosition="0">
        <references count="2">
          <reference field="11" count="1" selected="0">
            <x v="200"/>
          </reference>
          <reference field="14" count="1">
            <x v="280"/>
          </reference>
        </references>
      </pivotArea>
    </format>
    <format dxfId="5099">
      <pivotArea dataOnly="0" labelOnly="1" outline="0" fieldPosition="0">
        <references count="2">
          <reference field="11" count="1" selected="0">
            <x v="200"/>
          </reference>
          <reference field="14" count="1" defaultSubtotal="1">
            <x v="280"/>
          </reference>
        </references>
      </pivotArea>
    </format>
    <format dxfId="5098">
      <pivotArea dataOnly="0" labelOnly="1" outline="0" fieldPosition="0">
        <references count="2">
          <reference field="11" count="1" selected="0">
            <x v="201"/>
          </reference>
          <reference field="14" count="1">
            <x v="305"/>
          </reference>
        </references>
      </pivotArea>
    </format>
    <format dxfId="5097">
      <pivotArea dataOnly="0" labelOnly="1" outline="0" fieldPosition="0">
        <references count="2">
          <reference field="11" count="1" selected="0">
            <x v="201"/>
          </reference>
          <reference field="14" count="1" defaultSubtotal="1">
            <x v="305"/>
          </reference>
        </references>
      </pivotArea>
    </format>
    <format dxfId="5096">
      <pivotArea dataOnly="0" labelOnly="1" outline="0" fieldPosition="0">
        <references count="2">
          <reference field="11" count="1" selected="0">
            <x v="202"/>
          </reference>
          <reference field="14" count="1">
            <x v="409"/>
          </reference>
        </references>
      </pivotArea>
    </format>
    <format dxfId="5095">
      <pivotArea dataOnly="0" labelOnly="1" outline="0" fieldPosition="0">
        <references count="2">
          <reference field="11" count="1" selected="0">
            <x v="202"/>
          </reference>
          <reference field="14" count="1" defaultSubtotal="1">
            <x v="409"/>
          </reference>
        </references>
      </pivotArea>
    </format>
    <format dxfId="5094">
      <pivotArea dataOnly="0" labelOnly="1" outline="0" fieldPosition="0">
        <references count="2">
          <reference field="11" count="1" selected="0">
            <x v="203"/>
          </reference>
          <reference field="14" count="1">
            <x v="28"/>
          </reference>
        </references>
      </pivotArea>
    </format>
    <format dxfId="5093">
      <pivotArea dataOnly="0" labelOnly="1" outline="0" fieldPosition="0">
        <references count="2">
          <reference field="11" count="1" selected="0">
            <x v="203"/>
          </reference>
          <reference field="14" count="1" defaultSubtotal="1">
            <x v="28"/>
          </reference>
        </references>
      </pivotArea>
    </format>
    <format dxfId="5092">
      <pivotArea dataOnly="0" labelOnly="1" outline="0" fieldPosition="0">
        <references count="2">
          <reference field="11" count="1" selected="0">
            <x v="204"/>
          </reference>
          <reference field="14" count="1">
            <x v="269"/>
          </reference>
        </references>
      </pivotArea>
    </format>
    <format dxfId="5091">
      <pivotArea dataOnly="0" labelOnly="1" outline="0" fieldPosition="0">
        <references count="2">
          <reference field="11" count="1" selected="0">
            <x v="204"/>
          </reference>
          <reference field="14" count="1" defaultSubtotal="1">
            <x v="269"/>
          </reference>
        </references>
      </pivotArea>
    </format>
    <format dxfId="5090">
      <pivotArea dataOnly="0" labelOnly="1" outline="0" fieldPosition="0">
        <references count="2">
          <reference field="11" count="1" selected="0">
            <x v="205"/>
          </reference>
          <reference field="14" count="1">
            <x v="185"/>
          </reference>
        </references>
      </pivotArea>
    </format>
    <format dxfId="5089">
      <pivotArea dataOnly="0" labelOnly="1" outline="0" fieldPosition="0">
        <references count="2">
          <reference field="11" count="1" selected="0">
            <x v="205"/>
          </reference>
          <reference field="14" count="1" defaultSubtotal="1">
            <x v="185"/>
          </reference>
        </references>
      </pivotArea>
    </format>
    <format dxfId="5088">
      <pivotArea dataOnly="0" labelOnly="1" outline="0" fieldPosition="0">
        <references count="2">
          <reference field="11" count="1" selected="0">
            <x v="206"/>
          </reference>
          <reference field="14" count="1">
            <x v="54"/>
          </reference>
        </references>
      </pivotArea>
    </format>
    <format dxfId="5087">
      <pivotArea dataOnly="0" labelOnly="1" outline="0" fieldPosition="0">
        <references count="2">
          <reference field="11" count="1" selected="0">
            <x v="206"/>
          </reference>
          <reference field="14" count="1" defaultSubtotal="1">
            <x v="54"/>
          </reference>
        </references>
      </pivotArea>
    </format>
    <format dxfId="5086">
      <pivotArea dataOnly="0" labelOnly="1" outline="0" fieldPosition="0">
        <references count="2">
          <reference field="11" count="1" selected="0">
            <x v="207"/>
          </reference>
          <reference field="14" count="1">
            <x v="356"/>
          </reference>
        </references>
      </pivotArea>
    </format>
    <format dxfId="5085">
      <pivotArea dataOnly="0" labelOnly="1" outline="0" fieldPosition="0">
        <references count="2">
          <reference field="11" count="1" selected="0">
            <x v="207"/>
          </reference>
          <reference field="14" count="1" defaultSubtotal="1">
            <x v="356"/>
          </reference>
        </references>
      </pivotArea>
    </format>
    <format dxfId="5084">
      <pivotArea dataOnly="0" labelOnly="1" outline="0" fieldPosition="0">
        <references count="2">
          <reference field="11" count="1" selected="0">
            <x v="208"/>
          </reference>
          <reference field="14" count="1">
            <x v="186"/>
          </reference>
        </references>
      </pivotArea>
    </format>
    <format dxfId="5083">
      <pivotArea dataOnly="0" labelOnly="1" outline="0" fieldPosition="0">
        <references count="2">
          <reference field="11" count="1" selected="0">
            <x v="208"/>
          </reference>
          <reference field="14" count="1" defaultSubtotal="1">
            <x v="186"/>
          </reference>
        </references>
      </pivotArea>
    </format>
    <format dxfId="5082">
      <pivotArea dataOnly="0" labelOnly="1" outline="0" fieldPosition="0">
        <references count="2">
          <reference field="11" count="1" selected="0">
            <x v="209"/>
          </reference>
          <reference field="14" count="1">
            <x v="37"/>
          </reference>
        </references>
      </pivotArea>
    </format>
    <format dxfId="5081">
      <pivotArea dataOnly="0" labelOnly="1" outline="0" fieldPosition="0">
        <references count="2">
          <reference field="11" count="1" selected="0">
            <x v="209"/>
          </reference>
          <reference field="14" count="1" defaultSubtotal="1">
            <x v="37"/>
          </reference>
        </references>
      </pivotArea>
    </format>
    <format dxfId="5080">
      <pivotArea dataOnly="0" labelOnly="1" outline="0" fieldPosition="0">
        <references count="2">
          <reference field="11" count="1" selected="0">
            <x v="210"/>
          </reference>
          <reference field="14" count="1">
            <x v="273"/>
          </reference>
        </references>
      </pivotArea>
    </format>
    <format dxfId="5079">
      <pivotArea dataOnly="0" labelOnly="1" outline="0" fieldPosition="0">
        <references count="2">
          <reference field="11" count="1" selected="0">
            <x v="210"/>
          </reference>
          <reference field="14" count="1" defaultSubtotal="1">
            <x v="273"/>
          </reference>
        </references>
      </pivotArea>
    </format>
    <format dxfId="5078">
      <pivotArea dataOnly="0" labelOnly="1" outline="0" fieldPosition="0">
        <references count="2">
          <reference field="11" count="1" selected="0">
            <x v="211"/>
          </reference>
          <reference field="14" count="1">
            <x v="142"/>
          </reference>
        </references>
      </pivotArea>
    </format>
    <format dxfId="5077">
      <pivotArea dataOnly="0" labelOnly="1" outline="0" fieldPosition="0">
        <references count="2">
          <reference field="11" count="1" selected="0">
            <x v="211"/>
          </reference>
          <reference field="14" count="1" defaultSubtotal="1">
            <x v="142"/>
          </reference>
        </references>
      </pivotArea>
    </format>
    <format dxfId="5076">
      <pivotArea dataOnly="0" labelOnly="1" outline="0" fieldPosition="0">
        <references count="2">
          <reference field="11" count="1" selected="0">
            <x v="212"/>
          </reference>
          <reference field="14" count="1">
            <x v="294"/>
          </reference>
        </references>
      </pivotArea>
    </format>
    <format dxfId="5075">
      <pivotArea dataOnly="0" labelOnly="1" outline="0" fieldPosition="0">
        <references count="2">
          <reference field="11" count="1" selected="0">
            <x v="212"/>
          </reference>
          <reference field="14" count="1" defaultSubtotal="1">
            <x v="294"/>
          </reference>
        </references>
      </pivotArea>
    </format>
    <format dxfId="5074">
      <pivotArea dataOnly="0" labelOnly="1" outline="0" fieldPosition="0">
        <references count="2">
          <reference field="11" count="1" selected="0">
            <x v="213"/>
          </reference>
          <reference field="14" count="1">
            <x v="5"/>
          </reference>
        </references>
      </pivotArea>
    </format>
    <format dxfId="5073">
      <pivotArea dataOnly="0" labelOnly="1" outline="0" fieldPosition="0">
        <references count="2">
          <reference field="11" count="1" selected="0">
            <x v="213"/>
          </reference>
          <reference field="14" count="1" defaultSubtotal="1">
            <x v="5"/>
          </reference>
        </references>
      </pivotArea>
    </format>
    <format dxfId="5072">
      <pivotArea dataOnly="0" labelOnly="1" outline="0" fieldPosition="0">
        <references count="2">
          <reference field="11" count="1" selected="0">
            <x v="214"/>
          </reference>
          <reference field="14" count="1">
            <x v="98"/>
          </reference>
        </references>
      </pivotArea>
    </format>
    <format dxfId="5071">
      <pivotArea dataOnly="0" labelOnly="1" outline="0" fieldPosition="0">
        <references count="2">
          <reference field="11" count="1" selected="0">
            <x v="214"/>
          </reference>
          <reference field="14" count="1" defaultSubtotal="1">
            <x v="98"/>
          </reference>
        </references>
      </pivotArea>
    </format>
    <format dxfId="5070">
      <pivotArea dataOnly="0" labelOnly="1" outline="0" fieldPosition="0">
        <references count="2">
          <reference field="11" count="1" selected="0">
            <x v="215"/>
          </reference>
          <reference field="14" count="1">
            <x v="158"/>
          </reference>
        </references>
      </pivotArea>
    </format>
    <format dxfId="5069">
      <pivotArea dataOnly="0" labelOnly="1" outline="0" fieldPosition="0">
        <references count="2">
          <reference field="11" count="1" selected="0">
            <x v="215"/>
          </reference>
          <reference field="14" count="1" defaultSubtotal="1">
            <x v="158"/>
          </reference>
        </references>
      </pivotArea>
    </format>
    <format dxfId="5068">
      <pivotArea dataOnly="0" labelOnly="1" outline="0" fieldPosition="0">
        <references count="2">
          <reference field="11" count="1" selected="0">
            <x v="216"/>
          </reference>
          <reference field="14" count="1">
            <x v="338"/>
          </reference>
        </references>
      </pivotArea>
    </format>
    <format dxfId="5067">
      <pivotArea dataOnly="0" labelOnly="1" outline="0" fieldPosition="0">
        <references count="2">
          <reference field="11" count="1" selected="0">
            <x v="216"/>
          </reference>
          <reference field="14" count="1" defaultSubtotal="1">
            <x v="338"/>
          </reference>
        </references>
      </pivotArea>
    </format>
    <format dxfId="5066">
      <pivotArea dataOnly="0" labelOnly="1" outline="0" fieldPosition="0">
        <references count="2">
          <reference field="11" count="1" selected="0">
            <x v="217"/>
          </reference>
          <reference field="14" count="1">
            <x v="438"/>
          </reference>
        </references>
      </pivotArea>
    </format>
    <format dxfId="5065">
      <pivotArea dataOnly="0" labelOnly="1" outline="0" fieldPosition="0">
        <references count="2">
          <reference field="11" count="1" selected="0">
            <x v="217"/>
          </reference>
          <reference field="14" count="1" defaultSubtotal="1">
            <x v="438"/>
          </reference>
        </references>
      </pivotArea>
    </format>
    <format dxfId="5064">
      <pivotArea dataOnly="0" labelOnly="1" outline="0" fieldPosition="0">
        <references count="2">
          <reference field="11" count="1" selected="0">
            <x v="218"/>
          </reference>
          <reference field="14" count="1">
            <x v="429"/>
          </reference>
        </references>
      </pivotArea>
    </format>
    <format dxfId="5063">
      <pivotArea dataOnly="0" labelOnly="1" outline="0" fieldPosition="0">
        <references count="2">
          <reference field="11" count="1" selected="0">
            <x v="218"/>
          </reference>
          <reference field="14" count="1" defaultSubtotal="1">
            <x v="429"/>
          </reference>
        </references>
      </pivotArea>
    </format>
    <format dxfId="5062">
      <pivotArea dataOnly="0" labelOnly="1" outline="0" fieldPosition="0">
        <references count="2">
          <reference field="11" count="1" selected="0">
            <x v="219"/>
          </reference>
          <reference field="14" count="1">
            <x v="431"/>
          </reference>
        </references>
      </pivotArea>
    </format>
    <format dxfId="5061">
      <pivotArea dataOnly="0" labelOnly="1" outline="0" fieldPosition="0">
        <references count="2">
          <reference field="11" count="1" selected="0">
            <x v="219"/>
          </reference>
          <reference field="14" count="1" defaultSubtotal="1">
            <x v="431"/>
          </reference>
        </references>
      </pivotArea>
    </format>
    <format dxfId="5060">
      <pivotArea dataOnly="0" labelOnly="1" outline="0" fieldPosition="0">
        <references count="2">
          <reference field="11" count="1" selected="0">
            <x v="220"/>
          </reference>
          <reference field="14" count="1">
            <x v="430"/>
          </reference>
        </references>
      </pivotArea>
    </format>
    <format dxfId="5059">
      <pivotArea dataOnly="0" labelOnly="1" outline="0" fieldPosition="0">
        <references count="2">
          <reference field="11" count="1" selected="0">
            <x v="220"/>
          </reference>
          <reference field="14" count="1" defaultSubtotal="1">
            <x v="430"/>
          </reference>
        </references>
      </pivotArea>
    </format>
    <format dxfId="5058">
      <pivotArea dataOnly="0" labelOnly="1" outline="0" fieldPosition="0">
        <references count="2">
          <reference field="11" count="1" selected="0">
            <x v="221"/>
          </reference>
          <reference field="14" count="1">
            <x v="427"/>
          </reference>
        </references>
      </pivotArea>
    </format>
    <format dxfId="5057">
      <pivotArea dataOnly="0" labelOnly="1" outline="0" fieldPosition="0">
        <references count="2">
          <reference field="11" count="1" selected="0">
            <x v="221"/>
          </reference>
          <reference field="14" count="1" defaultSubtotal="1">
            <x v="427"/>
          </reference>
        </references>
      </pivotArea>
    </format>
    <format dxfId="5056">
      <pivotArea dataOnly="0" labelOnly="1" outline="0" fieldPosition="0">
        <references count="2">
          <reference field="11" count="1" selected="0">
            <x v="222"/>
          </reference>
          <reference field="14" count="1">
            <x v="426"/>
          </reference>
        </references>
      </pivotArea>
    </format>
    <format dxfId="5055">
      <pivotArea dataOnly="0" labelOnly="1" outline="0" fieldPosition="0">
        <references count="2">
          <reference field="11" count="1" selected="0">
            <x v="222"/>
          </reference>
          <reference field="14" count="1" defaultSubtotal="1">
            <x v="426"/>
          </reference>
        </references>
      </pivotArea>
    </format>
    <format dxfId="5054">
      <pivotArea dataOnly="0" labelOnly="1" outline="0" fieldPosition="0">
        <references count="2">
          <reference field="11" count="1" selected="0">
            <x v="223"/>
          </reference>
          <reference field="14" count="1">
            <x v="416"/>
          </reference>
        </references>
      </pivotArea>
    </format>
    <format dxfId="5053">
      <pivotArea dataOnly="0" labelOnly="1" outline="0" fieldPosition="0">
        <references count="2">
          <reference field="11" count="1" selected="0">
            <x v="223"/>
          </reference>
          <reference field="14" count="1" defaultSubtotal="1">
            <x v="416"/>
          </reference>
        </references>
      </pivotArea>
    </format>
    <format dxfId="5052">
      <pivotArea dataOnly="0" labelOnly="1" outline="0" fieldPosition="0">
        <references count="2">
          <reference field="11" count="1" selected="0">
            <x v="224"/>
          </reference>
          <reference field="14" count="1">
            <x v="300"/>
          </reference>
        </references>
      </pivotArea>
    </format>
    <format dxfId="5051">
      <pivotArea dataOnly="0" labelOnly="1" outline="0" fieldPosition="0">
        <references count="2">
          <reference field="11" count="1" selected="0">
            <x v="224"/>
          </reference>
          <reference field="14" count="1" defaultSubtotal="1">
            <x v="300"/>
          </reference>
        </references>
      </pivotArea>
    </format>
    <format dxfId="5050">
      <pivotArea dataOnly="0" labelOnly="1" outline="0" fieldPosition="0">
        <references count="2">
          <reference field="11" count="1" selected="0">
            <x v="225"/>
          </reference>
          <reference field="14" count="1">
            <x v="97"/>
          </reference>
        </references>
      </pivotArea>
    </format>
    <format dxfId="5049">
      <pivotArea dataOnly="0" labelOnly="1" outline="0" fieldPosition="0">
        <references count="2">
          <reference field="11" count="1" selected="0">
            <x v="225"/>
          </reference>
          <reference field="14" count="1" defaultSubtotal="1">
            <x v="97"/>
          </reference>
        </references>
      </pivotArea>
    </format>
    <format dxfId="5048">
      <pivotArea dataOnly="0" labelOnly="1" outline="0" fieldPosition="0">
        <references count="2">
          <reference field="11" count="1" selected="0">
            <x v="226"/>
          </reference>
          <reference field="14" count="1">
            <x v="72"/>
          </reference>
        </references>
      </pivotArea>
    </format>
    <format dxfId="5047">
      <pivotArea dataOnly="0" labelOnly="1" outline="0" fieldPosition="0">
        <references count="2">
          <reference field="11" count="1" selected="0">
            <x v="226"/>
          </reference>
          <reference field="14" count="1" defaultSubtotal="1">
            <x v="72"/>
          </reference>
        </references>
      </pivotArea>
    </format>
    <format dxfId="5046">
      <pivotArea dataOnly="0" labelOnly="1" outline="0" fieldPosition="0">
        <references count="2">
          <reference field="11" count="1" selected="0">
            <x v="227"/>
          </reference>
          <reference field="14" count="1">
            <x v="420"/>
          </reference>
        </references>
      </pivotArea>
    </format>
    <format dxfId="5045">
      <pivotArea dataOnly="0" labelOnly="1" outline="0" fieldPosition="0">
        <references count="2">
          <reference field="11" count="1" selected="0">
            <x v="227"/>
          </reference>
          <reference field="14" count="1" defaultSubtotal="1">
            <x v="420"/>
          </reference>
        </references>
      </pivotArea>
    </format>
    <format dxfId="5044">
      <pivotArea dataOnly="0" labelOnly="1" outline="0" fieldPosition="0">
        <references count="2">
          <reference field="11" count="1" selected="0">
            <x v="228"/>
          </reference>
          <reference field="14" count="1">
            <x v="313"/>
          </reference>
        </references>
      </pivotArea>
    </format>
    <format dxfId="5043">
      <pivotArea dataOnly="0" labelOnly="1" outline="0" fieldPosition="0">
        <references count="2">
          <reference field="11" count="1" selected="0">
            <x v="228"/>
          </reference>
          <reference field="14" count="1" defaultSubtotal="1">
            <x v="313"/>
          </reference>
        </references>
      </pivotArea>
    </format>
    <format dxfId="5042">
      <pivotArea dataOnly="0" labelOnly="1" outline="0" fieldPosition="0">
        <references count="2">
          <reference field="11" count="1" selected="0">
            <x v="229"/>
          </reference>
          <reference field="14" count="1">
            <x v="307"/>
          </reference>
        </references>
      </pivotArea>
    </format>
    <format dxfId="5041">
      <pivotArea dataOnly="0" labelOnly="1" outline="0" fieldPosition="0">
        <references count="2">
          <reference field="11" count="1" selected="0">
            <x v="229"/>
          </reference>
          <reference field="14" count="1" defaultSubtotal="1">
            <x v="307"/>
          </reference>
        </references>
      </pivotArea>
    </format>
    <format dxfId="5040">
      <pivotArea dataOnly="0" labelOnly="1" outline="0" fieldPosition="0">
        <references count="2">
          <reference field="11" count="1" selected="0">
            <x v="230"/>
          </reference>
          <reference field="14" count="1">
            <x v="13"/>
          </reference>
        </references>
      </pivotArea>
    </format>
    <format dxfId="5039">
      <pivotArea dataOnly="0" labelOnly="1" outline="0" fieldPosition="0">
        <references count="2">
          <reference field="11" count="1" selected="0">
            <x v="230"/>
          </reference>
          <reference field="14" count="1" defaultSubtotal="1">
            <x v="13"/>
          </reference>
        </references>
      </pivotArea>
    </format>
    <format dxfId="5038">
      <pivotArea dataOnly="0" labelOnly="1" outline="0" fieldPosition="0">
        <references count="2">
          <reference field="11" count="1" selected="0">
            <x v="231"/>
          </reference>
          <reference field="14" count="1">
            <x v="96"/>
          </reference>
        </references>
      </pivotArea>
    </format>
    <format dxfId="5037">
      <pivotArea dataOnly="0" labelOnly="1" outline="0" fieldPosition="0">
        <references count="2">
          <reference field="11" count="1" selected="0">
            <x v="231"/>
          </reference>
          <reference field="14" count="1" defaultSubtotal="1">
            <x v="96"/>
          </reference>
        </references>
      </pivotArea>
    </format>
    <format dxfId="5036">
      <pivotArea dataOnly="0" labelOnly="1" outline="0" fieldPosition="0">
        <references count="2">
          <reference field="11" count="1" selected="0">
            <x v="232"/>
          </reference>
          <reference field="14" count="1">
            <x v="411"/>
          </reference>
        </references>
      </pivotArea>
    </format>
    <format dxfId="5035">
      <pivotArea dataOnly="0" labelOnly="1" outline="0" fieldPosition="0">
        <references count="2">
          <reference field="11" count="1" selected="0">
            <x v="232"/>
          </reference>
          <reference field="14" count="1" defaultSubtotal="1">
            <x v="411"/>
          </reference>
        </references>
      </pivotArea>
    </format>
    <format dxfId="5034">
      <pivotArea dataOnly="0" labelOnly="1" outline="0" fieldPosition="0">
        <references count="2">
          <reference field="11" count="1" selected="0">
            <x v="233"/>
          </reference>
          <reference field="14" count="1">
            <x v="449"/>
          </reference>
        </references>
      </pivotArea>
    </format>
    <format dxfId="5033">
      <pivotArea dataOnly="0" labelOnly="1" outline="0" fieldPosition="0">
        <references count="2">
          <reference field="11" count="1" selected="0">
            <x v="233"/>
          </reference>
          <reference field="14" count="1" defaultSubtotal="1">
            <x v="449"/>
          </reference>
        </references>
      </pivotArea>
    </format>
    <format dxfId="5032">
      <pivotArea dataOnly="0" labelOnly="1" outline="0" fieldPosition="0">
        <references count="2">
          <reference field="11" count="1" selected="0">
            <x v="234"/>
          </reference>
          <reference field="14" count="1">
            <x v="277"/>
          </reference>
        </references>
      </pivotArea>
    </format>
    <format dxfId="5031">
      <pivotArea dataOnly="0" labelOnly="1" outline="0" fieldPosition="0">
        <references count="2">
          <reference field="11" count="1" selected="0">
            <x v="234"/>
          </reference>
          <reference field="14" count="1" defaultSubtotal="1">
            <x v="277"/>
          </reference>
        </references>
      </pivotArea>
    </format>
    <format dxfId="5030">
      <pivotArea dataOnly="0" labelOnly="1" outline="0" fieldPosition="0">
        <references count="2">
          <reference field="11" count="1" selected="0">
            <x v="235"/>
          </reference>
          <reference field="14" count="1">
            <x v="272"/>
          </reference>
        </references>
      </pivotArea>
    </format>
    <format dxfId="5029">
      <pivotArea dataOnly="0" labelOnly="1" outline="0" fieldPosition="0">
        <references count="2">
          <reference field="11" count="1" selected="0">
            <x v="235"/>
          </reference>
          <reference field="14" count="1" defaultSubtotal="1">
            <x v="272"/>
          </reference>
        </references>
      </pivotArea>
    </format>
    <format dxfId="5028">
      <pivotArea dataOnly="0" labelOnly="1" outline="0" fieldPosition="0">
        <references count="2">
          <reference field="11" count="1" selected="0">
            <x v="236"/>
          </reference>
          <reference field="14" count="1">
            <x v="403"/>
          </reference>
        </references>
      </pivotArea>
    </format>
    <format dxfId="5027">
      <pivotArea dataOnly="0" labelOnly="1" outline="0" fieldPosition="0">
        <references count="2">
          <reference field="11" count="1" selected="0">
            <x v="236"/>
          </reference>
          <reference field="14" count="1" defaultSubtotal="1">
            <x v="403"/>
          </reference>
        </references>
      </pivotArea>
    </format>
    <format dxfId="5026">
      <pivotArea dataOnly="0" labelOnly="1" outline="0" fieldPosition="0">
        <references count="2">
          <reference field="11" count="1" selected="0">
            <x v="237"/>
          </reference>
          <reference field="14" count="1">
            <x v="377"/>
          </reference>
        </references>
      </pivotArea>
    </format>
    <format dxfId="5025">
      <pivotArea dataOnly="0" labelOnly="1" outline="0" fieldPosition="0">
        <references count="2">
          <reference field="11" count="1" selected="0">
            <x v="237"/>
          </reference>
          <reference field="14" count="1" defaultSubtotal="1">
            <x v="377"/>
          </reference>
        </references>
      </pivotArea>
    </format>
    <format dxfId="5024">
      <pivotArea dataOnly="0" labelOnly="1" outline="0" fieldPosition="0">
        <references count="2">
          <reference field="11" count="1" selected="0">
            <x v="238"/>
          </reference>
          <reference field="14" count="1">
            <x v="339"/>
          </reference>
        </references>
      </pivotArea>
    </format>
    <format dxfId="5023">
      <pivotArea dataOnly="0" labelOnly="1" outline="0" fieldPosition="0">
        <references count="2">
          <reference field="11" count="1" selected="0">
            <x v="238"/>
          </reference>
          <reference field="14" count="1" defaultSubtotal="1">
            <x v="339"/>
          </reference>
        </references>
      </pivotArea>
    </format>
    <format dxfId="5022">
      <pivotArea dataOnly="0" labelOnly="1" outline="0" fieldPosition="0">
        <references count="2">
          <reference field="11" count="1" selected="0">
            <x v="239"/>
          </reference>
          <reference field="14" count="1">
            <x v="61"/>
          </reference>
        </references>
      </pivotArea>
    </format>
    <format dxfId="5021">
      <pivotArea dataOnly="0" labelOnly="1" outline="0" fieldPosition="0">
        <references count="2">
          <reference field="11" count="1" selected="0">
            <x v="239"/>
          </reference>
          <reference field="14" count="1" defaultSubtotal="1">
            <x v="61"/>
          </reference>
        </references>
      </pivotArea>
    </format>
    <format dxfId="5020">
      <pivotArea dataOnly="0" labelOnly="1" outline="0" fieldPosition="0">
        <references count="2">
          <reference field="11" count="1" selected="0">
            <x v="240"/>
          </reference>
          <reference field="14" count="1">
            <x v="201"/>
          </reference>
        </references>
      </pivotArea>
    </format>
    <format dxfId="5019">
      <pivotArea dataOnly="0" labelOnly="1" outline="0" fieldPosition="0">
        <references count="2">
          <reference field="11" count="1" selected="0">
            <x v="240"/>
          </reference>
          <reference field="14" count="1" defaultSubtotal="1">
            <x v="201"/>
          </reference>
        </references>
      </pivotArea>
    </format>
    <format dxfId="5018">
      <pivotArea dataOnly="0" labelOnly="1" outline="0" fieldPosition="0">
        <references count="2">
          <reference field="11" count="1" selected="0">
            <x v="241"/>
          </reference>
          <reference field="14" count="1">
            <x v="262"/>
          </reference>
        </references>
      </pivotArea>
    </format>
    <format dxfId="5017">
      <pivotArea dataOnly="0" labelOnly="1" outline="0" fieldPosition="0">
        <references count="2">
          <reference field="11" count="1" selected="0">
            <x v="241"/>
          </reference>
          <reference field="14" count="1" defaultSubtotal="1">
            <x v="262"/>
          </reference>
        </references>
      </pivotArea>
    </format>
    <format dxfId="5016">
      <pivotArea dataOnly="0" labelOnly="1" outline="0" fieldPosition="0">
        <references count="2">
          <reference field="11" count="1" selected="0">
            <x v="242"/>
          </reference>
          <reference field="14" count="1">
            <x v="91"/>
          </reference>
        </references>
      </pivotArea>
    </format>
    <format dxfId="5015">
      <pivotArea dataOnly="0" labelOnly="1" outline="0" fieldPosition="0">
        <references count="2">
          <reference field="11" count="1" selected="0">
            <x v="242"/>
          </reference>
          <reference field="14" count="1" defaultSubtotal="1">
            <x v="91"/>
          </reference>
        </references>
      </pivotArea>
    </format>
    <format dxfId="5014">
      <pivotArea dataOnly="0" labelOnly="1" outline="0" fieldPosition="0">
        <references count="2">
          <reference field="11" count="1" selected="0">
            <x v="243"/>
          </reference>
          <reference field="14" count="1">
            <x v="264"/>
          </reference>
        </references>
      </pivotArea>
    </format>
    <format dxfId="5013">
      <pivotArea dataOnly="0" labelOnly="1" outline="0" fieldPosition="0">
        <references count="2">
          <reference field="11" count="1" selected="0">
            <x v="243"/>
          </reference>
          <reference field="14" count="1" defaultSubtotal="1">
            <x v="264"/>
          </reference>
        </references>
      </pivotArea>
    </format>
    <format dxfId="5012">
      <pivotArea dataOnly="0" labelOnly="1" outline="0" fieldPosition="0">
        <references count="2">
          <reference field="11" count="1" selected="0">
            <x v="244"/>
          </reference>
          <reference field="14" count="1">
            <x v="222"/>
          </reference>
        </references>
      </pivotArea>
    </format>
    <format dxfId="5011">
      <pivotArea dataOnly="0" labelOnly="1" outline="0" fieldPosition="0">
        <references count="2">
          <reference field="11" count="1" selected="0">
            <x v="244"/>
          </reference>
          <reference field="14" count="1" defaultSubtotal="1">
            <x v="222"/>
          </reference>
        </references>
      </pivotArea>
    </format>
    <format dxfId="5010">
      <pivotArea dataOnly="0" labelOnly="1" outline="0" fieldPosition="0">
        <references count="2">
          <reference field="11" count="1" selected="0">
            <x v="245"/>
          </reference>
          <reference field="14" count="1">
            <x v="131"/>
          </reference>
        </references>
      </pivotArea>
    </format>
    <format dxfId="5009">
      <pivotArea dataOnly="0" labelOnly="1" outline="0" fieldPosition="0">
        <references count="2">
          <reference field="11" count="1" selected="0">
            <x v="245"/>
          </reference>
          <reference field="14" count="1" defaultSubtotal="1">
            <x v="131"/>
          </reference>
        </references>
      </pivotArea>
    </format>
    <format dxfId="5008">
      <pivotArea dataOnly="0" labelOnly="1" outline="0" fieldPosition="0">
        <references count="2">
          <reference field="11" count="1" selected="0">
            <x v="246"/>
          </reference>
          <reference field="14" count="1">
            <x v="418"/>
          </reference>
        </references>
      </pivotArea>
    </format>
    <format dxfId="5007">
      <pivotArea dataOnly="0" labelOnly="1" outline="0" fieldPosition="0">
        <references count="2">
          <reference field="11" count="1" selected="0">
            <x v="246"/>
          </reference>
          <reference field="14" count="1" defaultSubtotal="1">
            <x v="418"/>
          </reference>
        </references>
      </pivotArea>
    </format>
    <format dxfId="5006">
      <pivotArea dataOnly="0" labelOnly="1" outline="0" fieldPosition="0">
        <references count="2">
          <reference field="11" count="1" selected="0">
            <x v="247"/>
          </reference>
          <reference field="14" count="1">
            <x v="406"/>
          </reference>
        </references>
      </pivotArea>
    </format>
    <format dxfId="5005">
      <pivotArea dataOnly="0" labelOnly="1" outline="0" fieldPosition="0">
        <references count="2">
          <reference field="11" count="1" selected="0">
            <x v="247"/>
          </reference>
          <reference field="14" count="1" defaultSubtotal="1">
            <x v="406"/>
          </reference>
        </references>
      </pivotArea>
    </format>
    <format dxfId="5004">
      <pivotArea dataOnly="0" labelOnly="1" outline="0" fieldPosition="0">
        <references count="2">
          <reference field="11" count="1" selected="0">
            <x v="248"/>
          </reference>
          <reference field="14" count="1">
            <x v="404"/>
          </reference>
        </references>
      </pivotArea>
    </format>
    <format dxfId="5003">
      <pivotArea dataOnly="0" labelOnly="1" outline="0" fieldPosition="0">
        <references count="2">
          <reference field="11" count="1" selected="0">
            <x v="248"/>
          </reference>
          <reference field="14" count="1" defaultSubtotal="1">
            <x v="404"/>
          </reference>
        </references>
      </pivotArea>
    </format>
    <format dxfId="5002">
      <pivotArea dataOnly="0" labelOnly="1" outline="0" fieldPosition="0">
        <references count="2">
          <reference field="11" count="1" selected="0">
            <x v="249"/>
          </reference>
          <reference field="14" count="1">
            <x v="402"/>
          </reference>
        </references>
      </pivotArea>
    </format>
    <format dxfId="5001">
      <pivotArea dataOnly="0" labelOnly="1" outline="0" fieldPosition="0">
        <references count="2">
          <reference field="11" count="1" selected="0">
            <x v="249"/>
          </reference>
          <reference field="14" count="1" defaultSubtotal="1">
            <x v="402"/>
          </reference>
        </references>
      </pivotArea>
    </format>
    <format dxfId="5000">
      <pivotArea dataOnly="0" labelOnly="1" outline="0" fieldPosition="0">
        <references count="2">
          <reference field="11" count="1" selected="0">
            <x v="250"/>
          </reference>
          <reference field="14" count="1">
            <x v="128"/>
          </reference>
        </references>
      </pivotArea>
    </format>
    <format dxfId="4999">
      <pivotArea dataOnly="0" labelOnly="1" outline="0" fieldPosition="0">
        <references count="2">
          <reference field="11" count="1" selected="0">
            <x v="250"/>
          </reference>
          <reference field="14" count="1" defaultSubtotal="1">
            <x v="128"/>
          </reference>
        </references>
      </pivotArea>
    </format>
    <format dxfId="4998">
      <pivotArea dataOnly="0" labelOnly="1" outline="0" fieldPosition="0">
        <references count="2">
          <reference field="11" count="1" selected="0">
            <x v="251"/>
          </reference>
          <reference field="14" count="1">
            <x v="405"/>
          </reference>
        </references>
      </pivotArea>
    </format>
    <format dxfId="4997">
      <pivotArea dataOnly="0" labelOnly="1" outline="0" fieldPosition="0">
        <references count="2">
          <reference field="11" count="1" selected="0">
            <x v="251"/>
          </reference>
          <reference field="14" count="1" defaultSubtotal="1">
            <x v="405"/>
          </reference>
        </references>
      </pivotArea>
    </format>
    <format dxfId="4996">
      <pivotArea dataOnly="0" labelOnly="1" outline="0" fieldPosition="0">
        <references count="2">
          <reference field="11" count="1" selected="0">
            <x v="252"/>
          </reference>
          <reference field="14" count="1">
            <x v="86"/>
          </reference>
        </references>
      </pivotArea>
    </format>
    <format dxfId="4995">
      <pivotArea dataOnly="0" labelOnly="1" outline="0" fieldPosition="0">
        <references count="2">
          <reference field="11" count="1" selected="0">
            <x v="252"/>
          </reference>
          <reference field="14" count="1" defaultSubtotal="1">
            <x v="86"/>
          </reference>
        </references>
      </pivotArea>
    </format>
    <format dxfId="4994">
      <pivotArea dataOnly="0" labelOnly="1" outline="0" fieldPosition="0">
        <references count="2">
          <reference field="11" count="1" selected="0">
            <x v="253"/>
          </reference>
          <reference field="14" count="1">
            <x v="136"/>
          </reference>
        </references>
      </pivotArea>
    </format>
    <format dxfId="4993">
      <pivotArea dataOnly="0" labelOnly="1" outline="0" fieldPosition="0">
        <references count="2">
          <reference field="11" count="1" selected="0">
            <x v="253"/>
          </reference>
          <reference field="14" count="1" defaultSubtotal="1">
            <x v="136"/>
          </reference>
        </references>
      </pivotArea>
    </format>
    <format dxfId="4992">
      <pivotArea dataOnly="0" labelOnly="1" outline="0" fieldPosition="0">
        <references count="2">
          <reference field="11" count="1" selected="0">
            <x v="254"/>
          </reference>
          <reference field="14" count="1">
            <x v="181"/>
          </reference>
        </references>
      </pivotArea>
    </format>
    <format dxfId="4991">
      <pivotArea dataOnly="0" labelOnly="1" outline="0" fieldPosition="0">
        <references count="2">
          <reference field="11" count="1" selected="0">
            <x v="254"/>
          </reference>
          <reference field="14" count="1" defaultSubtotal="1">
            <x v="181"/>
          </reference>
        </references>
      </pivotArea>
    </format>
    <format dxfId="4990">
      <pivotArea dataOnly="0" labelOnly="1" outline="0" fieldPosition="0">
        <references count="2">
          <reference field="11" count="1" selected="0">
            <x v="255"/>
          </reference>
          <reference field="14" count="1">
            <x v="263"/>
          </reference>
        </references>
      </pivotArea>
    </format>
    <format dxfId="4989">
      <pivotArea dataOnly="0" labelOnly="1" outline="0" fieldPosition="0">
        <references count="2">
          <reference field="11" count="1" selected="0">
            <x v="255"/>
          </reference>
          <reference field="14" count="1" defaultSubtotal="1">
            <x v="263"/>
          </reference>
        </references>
      </pivotArea>
    </format>
    <format dxfId="4988">
      <pivotArea dataOnly="0" labelOnly="1" outline="0" fieldPosition="0">
        <references count="2">
          <reference field="11" count="1" selected="0">
            <x v="256"/>
          </reference>
          <reference field="14" count="1">
            <x v="133"/>
          </reference>
        </references>
      </pivotArea>
    </format>
    <format dxfId="4987">
      <pivotArea dataOnly="0" labelOnly="1" outline="0" fieldPosition="0">
        <references count="2">
          <reference field="11" count="1" selected="0">
            <x v="256"/>
          </reference>
          <reference field="14" count="1" defaultSubtotal="1">
            <x v="133"/>
          </reference>
        </references>
      </pivotArea>
    </format>
    <format dxfId="4986">
      <pivotArea dataOnly="0" labelOnly="1" outline="0" fieldPosition="0">
        <references count="2">
          <reference field="11" count="1" selected="0">
            <x v="257"/>
          </reference>
          <reference field="14" count="1">
            <x v="187"/>
          </reference>
        </references>
      </pivotArea>
    </format>
    <format dxfId="4985">
      <pivotArea dataOnly="0" labelOnly="1" outline="0" fieldPosition="0">
        <references count="2">
          <reference field="11" count="1" selected="0">
            <x v="257"/>
          </reference>
          <reference field="14" count="1" defaultSubtotal="1">
            <x v="187"/>
          </reference>
        </references>
      </pivotArea>
    </format>
    <format dxfId="4984">
      <pivotArea dataOnly="0" labelOnly="1" outline="0" fieldPosition="0">
        <references count="2">
          <reference field="11" count="1" selected="0">
            <x v="258"/>
          </reference>
          <reference field="14" count="1">
            <x v="417"/>
          </reference>
        </references>
      </pivotArea>
    </format>
    <format dxfId="4983">
      <pivotArea dataOnly="0" labelOnly="1" outline="0" fieldPosition="0">
        <references count="2">
          <reference field="11" count="1" selected="0">
            <x v="258"/>
          </reference>
          <reference field="14" count="1" defaultSubtotal="1">
            <x v="417"/>
          </reference>
        </references>
      </pivotArea>
    </format>
    <format dxfId="4982">
      <pivotArea dataOnly="0" labelOnly="1" outline="0" fieldPosition="0">
        <references count="2">
          <reference field="11" count="1" selected="0">
            <x v="259"/>
          </reference>
          <reference field="14" count="1">
            <x v="371"/>
          </reference>
        </references>
      </pivotArea>
    </format>
    <format dxfId="4981">
      <pivotArea dataOnly="0" labelOnly="1" outline="0" fieldPosition="0">
        <references count="2">
          <reference field="11" count="1" selected="0">
            <x v="259"/>
          </reference>
          <reference field="14" count="1" defaultSubtotal="1">
            <x v="371"/>
          </reference>
        </references>
      </pivotArea>
    </format>
    <format dxfId="4980">
      <pivotArea dataOnly="0" labelOnly="1" outline="0" fieldPosition="0">
        <references count="2">
          <reference field="11" count="1" selected="0">
            <x v="260"/>
          </reference>
          <reference field="14" count="1">
            <x v="157"/>
          </reference>
        </references>
      </pivotArea>
    </format>
    <format dxfId="4979">
      <pivotArea dataOnly="0" labelOnly="1" outline="0" fieldPosition="0">
        <references count="2">
          <reference field="11" count="1" selected="0">
            <x v="260"/>
          </reference>
          <reference field="14" count="1" defaultSubtotal="1">
            <x v="157"/>
          </reference>
        </references>
      </pivotArea>
    </format>
    <format dxfId="4978">
      <pivotArea dataOnly="0" labelOnly="1" outline="0" fieldPosition="0">
        <references count="2">
          <reference field="11" count="1" selected="0">
            <x v="261"/>
          </reference>
          <reference field="14" count="1">
            <x v="223"/>
          </reference>
        </references>
      </pivotArea>
    </format>
    <format dxfId="4977">
      <pivotArea dataOnly="0" labelOnly="1" outline="0" fieldPosition="0">
        <references count="2">
          <reference field="11" count="1" selected="0">
            <x v="261"/>
          </reference>
          <reference field="14" count="1" defaultSubtotal="1">
            <x v="223"/>
          </reference>
        </references>
      </pivotArea>
    </format>
    <format dxfId="4976">
      <pivotArea dataOnly="0" labelOnly="1" outline="0" fieldPosition="0">
        <references count="2">
          <reference field="11" count="1" selected="0">
            <x v="262"/>
          </reference>
          <reference field="14" count="1">
            <x v="311"/>
          </reference>
        </references>
      </pivotArea>
    </format>
    <format dxfId="4975">
      <pivotArea dataOnly="0" labelOnly="1" outline="0" fieldPosition="0">
        <references count="2">
          <reference field="11" count="1" selected="0">
            <x v="262"/>
          </reference>
          <reference field="14" count="1" defaultSubtotal="1">
            <x v="311"/>
          </reference>
        </references>
      </pivotArea>
    </format>
    <format dxfId="4974">
      <pivotArea dataOnly="0" labelOnly="1" outline="0" fieldPosition="0">
        <references count="2">
          <reference field="11" count="1" selected="0">
            <x v="263"/>
          </reference>
          <reference field="14" count="1">
            <x v="114"/>
          </reference>
        </references>
      </pivotArea>
    </format>
    <format dxfId="4973">
      <pivotArea dataOnly="0" labelOnly="1" outline="0" fieldPosition="0">
        <references count="2">
          <reference field="11" count="1" selected="0">
            <x v="263"/>
          </reference>
          <reference field="14" count="1" defaultSubtotal="1">
            <x v="114"/>
          </reference>
        </references>
      </pivotArea>
    </format>
    <format dxfId="4972">
      <pivotArea dataOnly="0" labelOnly="1" outline="0" fieldPosition="0">
        <references count="2">
          <reference field="11" count="1" selected="0">
            <x v="264"/>
          </reference>
          <reference field="14" count="1">
            <x v="154"/>
          </reference>
        </references>
      </pivotArea>
    </format>
    <format dxfId="4971">
      <pivotArea dataOnly="0" labelOnly="1" outline="0" fieldPosition="0">
        <references count="2">
          <reference field="11" count="1" selected="0">
            <x v="264"/>
          </reference>
          <reference field="14" count="1" defaultSubtotal="1">
            <x v="154"/>
          </reference>
        </references>
      </pivotArea>
    </format>
    <format dxfId="4970">
      <pivotArea dataOnly="0" labelOnly="1" outline="0" fieldPosition="0">
        <references count="2">
          <reference field="11" count="1" selected="0">
            <x v="265"/>
          </reference>
          <reference field="14" count="1">
            <x v="166"/>
          </reference>
        </references>
      </pivotArea>
    </format>
    <format dxfId="4969">
      <pivotArea dataOnly="0" labelOnly="1" outline="0" fieldPosition="0">
        <references count="2">
          <reference field="11" count="1" selected="0">
            <x v="265"/>
          </reference>
          <reference field="14" count="1" defaultSubtotal="1">
            <x v="166"/>
          </reference>
        </references>
      </pivotArea>
    </format>
    <format dxfId="4968">
      <pivotArea dataOnly="0" labelOnly="1" outline="0" fieldPosition="0">
        <references count="2">
          <reference field="11" count="1" selected="0">
            <x v="266"/>
          </reference>
          <reference field="14" count="1">
            <x v="152"/>
          </reference>
        </references>
      </pivotArea>
    </format>
    <format dxfId="4967">
      <pivotArea dataOnly="0" labelOnly="1" outline="0" fieldPosition="0">
        <references count="2">
          <reference field="11" count="1" selected="0">
            <x v="266"/>
          </reference>
          <reference field="14" count="1" defaultSubtotal="1">
            <x v="152"/>
          </reference>
        </references>
      </pivotArea>
    </format>
    <format dxfId="4966">
      <pivotArea dataOnly="0" labelOnly="1" outline="0" fieldPosition="0">
        <references count="2">
          <reference field="11" count="1" selected="0">
            <x v="267"/>
          </reference>
          <reference field="14" count="1">
            <x v="374"/>
          </reference>
        </references>
      </pivotArea>
    </format>
    <format dxfId="4965">
      <pivotArea dataOnly="0" labelOnly="1" outline="0" fieldPosition="0">
        <references count="2">
          <reference field="11" count="1" selected="0">
            <x v="267"/>
          </reference>
          <reference field="14" count="1" defaultSubtotal="1">
            <x v="374"/>
          </reference>
        </references>
      </pivotArea>
    </format>
    <format dxfId="4964">
      <pivotArea dataOnly="0" labelOnly="1" outline="0" fieldPosition="0">
        <references count="2">
          <reference field="11" count="1" selected="0">
            <x v="268"/>
          </reference>
          <reference field="14" count="1">
            <x v="353"/>
          </reference>
        </references>
      </pivotArea>
    </format>
    <format dxfId="4963">
      <pivotArea dataOnly="0" labelOnly="1" outline="0" fieldPosition="0">
        <references count="2">
          <reference field="11" count="1" selected="0">
            <x v="268"/>
          </reference>
          <reference field="14" count="1" defaultSubtotal="1">
            <x v="353"/>
          </reference>
        </references>
      </pivotArea>
    </format>
    <format dxfId="4962">
      <pivotArea dataOnly="0" labelOnly="1" outline="0" fieldPosition="0">
        <references count="2">
          <reference field="11" count="1" selected="0">
            <x v="269"/>
          </reference>
          <reference field="14" count="1">
            <x v="124"/>
          </reference>
        </references>
      </pivotArea>
    </format>
    <format dxfId="4961">
      <pivotArea dataOnly="0" labelOnly="1" outline="0" fieldPosition="0">
        <references count="2">
          <reference field="11" count="1" selected="0">
            <x v="269"/>
          </reference>
          <reference field="14" count="1" defaultSubtotal="1">
            <x v="124"/>
          </reference>
        </references>
      </pivotArea>
    </format>
    <format dxfId="4960">
      <pivotArea dataOnly="0" labelOnly="1" outline="0" fieldPosition="0">
        <references count="2">
          <reference field="11" count="1" selected="0">
            <x v="270"/>
          </reference>
          <reference field="14" count="1">
            <x v="126"/>
          </reference>
        </references>
      </pivotArea>
    </format>
    <format dxfId="4959">
      <pivotArea dataOnly="0" labelOnly="1" outline="0" fieldPosition="0">
        <references count="2">
          <reference field="11" count="1" selected="0">
            <x v="270"/>
          </reference>
          <reference field="14" count="1" defaultSubtotal="1">
            <x v="126"/>
          </reference>
        </references>
      </pivotArea>
    </format>
    <format dxfId="4958">
      <pivotArea dataOnly="0" labelOnly="1" outline="0" fieldPosition="0">
        <references count="2">
          <reference field="11" count="1" selected="0">
            <x v="271"/>
          </reference>
          <reference field="14" count="1">
            <x v="239"/>
          </reference>
        </references>
      </pivotArea>
    </format>
    <format dxfId="4957">
      <pivotArea dataOnly="0" labelOnly="1" outline="0" fieldPosition="0">
        <references count="2">
          <reference field="11" count="1" selected="0">
            <x v="271"/>
          </reference>
          <reference field="14" count="1" defaultSubtotal="1">
            <x v="239"/>
          </reference>
        </references>
      </pivotArea>
    </format>
    <format dxfId="4956">
      <pivotArea dataOnly="0" labelOnly="1" outline="0" fieldPosition="0">
        <references count="2">
          <reference field="11" count="1" selected="0">
            <x v="272"/>
          </reference>
          <reference field="14" count="1">
            <x v="42"/>
          </reference>
        </references>
      </pivotArea>
    </format>
    <format dxfId="4955">
      <pivotArea dataOnly="0" labelOnly="1" outline="0" fieldPosition="0">
        <references count="2">
          <reference field="11" count="1" selected="0">
            <x v="272"/>
          </reference>
          <reference field="14" count="1" defaultSubtotal="1">
            <x v="42"/>
          </reference>
        </references>
      </pivotArea>
    </format>
    <format dxfId="4954">
      <pivotArea dataOnly="0" labelOnly="1" outline="0" fieldPosition="0">
        <references count="2">
          <reference field="11" count="1" selected="0">
            <x v="273"/>
          </reference>
          <reference field="14" count="1">
            <x v="342"/>
          </reference>
        </references>
      </pivotArea>
    </format>
    <format dxfId="4953">
      <pivotArea dataOnly="0" labelOnly="1" outline="0" fieldPosition="0">
        <references count="2">
          <reference field="11" count="1" selected="0">
            <x v="273"/>
          </reference>
          <reference field="14" count="1" defaultSubtotal="1">
            <x v="342"/>
          </reference>
        </references>
      </pivotArea>
    </format>
    <format dxfId="4952">
      <pivotArea dataOnly="0" labelOnly="1" outline="0" fieldPosition="0">
        <references count="2">
          <reference field="11" count="1" selected="0">
            <x v="274"/>
          </reference>
          <reference field="14" count="1">
            <x v="372"/>
          </reference>
        </references>
      </pivotArea>
    </format>
    <format dxfId="4951">
      <pivotArea dataOnly="0" labelOnly="1" outline="0" fieldPosition="0">
        <references count="2">
          <reference field="11" count="1" selected="0">
            <x v="274"/>
          </reference>
          <reference field="14" count="1" defaultSubtotal="1">
            <x v="372"/>
          </reference>
        </references>
      </pivotArea>
    </format>
    <format dxfId="4950">
      <pivotArea dataOnly="0" labelOnly="1" outline="0" fieldPosition="0">
        <references count="2">
          <reference field="11" count="1" selected="0">
            <x v="275"/>
          </reference>
          <reference field="14" count="1">
            <x v="51"/>
          </reference>
        </references>
      </pivotArea>
    </format>
    <format dxfId="4949">
      <pivotArea dataOnly="0" labelOnly="1" outline="0" fieldPosition="0">
        <references count="2">
          <reference field="11" count="1" selected="0">
            <x v="275"/>
          </reference>
          <reference field="14" count="1" defaultSubtotal="1">
            <x v="51"/>
          </reference>
        </references>
      </pivotArea>
    </format>
    <format dxfId="4948">
      <pivotArea dataOnly="0" labelOnly="1" outline="0" fieldPosition="0">
        <references count="2">
          <reference field="11" count="1" selected="0">
            <x v="276"/>
          </reference>
          <reference field="14" count="1">
            <x v="290"/>
          </reference>
        </references>
      </pivotArea>
    </format>
    <format dxfId="4947">
      <pivotArea dataOnly="0" labelOnly="1" outline="0" fieldPosition="0">
        <references count="2">
          <reference field="11" count="1" selected="0">
            <x v="276"/>
          </reference>
          <reference field="14" count="1" defaultSubtotal="1">
            <x v="290"/>
          </reference>
        </references>
      </pivotArea>
    </format>
    <format dxfId="4946">
      <pivotArea dataOnly="0" labelOnly="1" outline="0" fieldPosition="0">
        <references count="2">
          <reference field="11" count="1" selected="0">
            <x v="277"/>
          </reference>
          <reference field="14" count="1">
            <x v="180"/>
          </reference>
        </references>
      </pivotArea>
    </format>
    <format dxfId="4945">
      <pivotArea dataOnly="0" labelOnly="1" outline="0" fieldPosition="0">
        <references count="2">
          <reference field="11" count="1" selected="0">
            <x v="277"/>
          </reference>
          <reference field="14" count="1" defaultSubtotal="1">
            <x v="180"/>
          </reference>
        </references>
      </pivotArea>
    </format>
    <format dxfId="4944">
      <pivotArea dataOnly="0" labelOnly="1" outline="0" fieldPosition="0">
        <references count="2">
          <reference field="11" count="1" selected="0">
            <x v="278"/>
          </reference>
          <reference field="14" count="1">
            <x v="164"/>
          </reference>
        </references>
      </pivotArea>
    </format>
    <format dxfId="4943">
      <pivotArea dataOnly="0" labelOnly="1" outline="0" fieldPosition="0">
        <references count="2">
          <reference field="11" count="1" selected="0">
            <x v="278"/>
          </reference>
          <reference field="14" count="1" defaultSubtotal="1">
            <x v="164"/>
          </reference>
        </references>
      </pivotArea>
    </format>
    <format dxfId="4942">
      <pivotArea dataOnly="0" labelOnly="1" outline="0" fieldPosition="0">
        <references count="2">
          <reference field="11" count="1" selected="0">
            <x v="279"/>
          </reference>
          <reference field="14" count="1">
            <x v="153"/>
          </reference>
        </references>
      </pivotArea>
    </format>
    <format dxfId="4941">
      <pivotArea dataOnly="0" labelOnly="1" outline="0" fieldPosition="0">
        <references count="2">
          <reference field="11" count="1" selected="0">
            <x v="279"/>
          </reference>
          <reference field="14" count="1" defaultSubtotal="1">
            <x v="153"/>
          </reference>
        </references>
      </pivotArea>
    </format>
    <format dxfId="4940">
      <pivotArea dataOnly="0" labelOnly="1" outline="0" fieldPosition="0">
        <references count="2">
          <reference field="11" count="1" selected="0">
            <x v="280"/>
          </reference>
          <reference field="14" count="1">
            <x v="373"/>
          </reference>
        </references>
      </pivotArea>
    </format>
    <format dxfId="4939">
      <pivotArea dataOnly="0" labelOnly="1" outline="0" fieldPosition="0">
        <references count="2">
          <reference field="11" count="1" selected="0">
            <x v="280"/>
          </reference>
          <reference field="14" count="1" defaultSubtotal="1">
            <x v="373"/>
          </reference>
        </references>
      </pivotArea>
    </format>
    <format dxfId="4938">
      <pivotArea dataOnly="0" labelOnly="1" outline="0" fieldPosition="0">
        <references count="2">
          <reference field="11" count="1" selected="0">
            <x v="281"/>
          </reference>
          <reference field="14" count="1">
            <x v="165"/>
          </reference>
        </references>
      </pivotArea>
    </format>
    <format dxfId="4937">
      <pivotArea dataOnly="0" labelOnly="1" outline="0" fieldPosition="0">
        <references count="2">
          <reference field="11" count="1" selected="0">
            <x v="281"/>
          </reference>
          <reference field="14" count="1" defaultSubtotal="1">
            <x v="165"/>
          </reference>
        </references>
      </pivotArea>
    </format>
    <format dxfId="4936">
      <pivotArea dataOnly="0" labelOnly="1" outline="0" fieldPosition="0">
        <references count="2">
          <reference field="11" count="1" selected="0">
            <x v="282"/>
          </reference>
          <reference field="14" count="1">
            <x v="357"/>
          </reference>
        </references>
      </pivotArea>
    </format>
    <format dxfId="4935">
      <pivotArea dataOnly="0" labelOnly="1" outline="0" fieldPosition="0">
        <references count="2">
          <reference field="11" count="1" selected="0">
            <x v="282"/>
          </reference>
          <reference field="14" count="1" defaultSubtotal="1">
            <x v="357"/>
          </reference>
        </references>
      </pivotArea>
    </format>
    <format dxfId="4934">
      <pivotArea dataOnly="0" labelOnly="1" outline="0" fieldPosition="0">
        <references count="2">
          <reference field="11" count="1" selected="0">
            <x v="283"/>
          </reference>
          <reference field="14" count="1">
            <x v="162"/>
          </reference>
        </references>
      </pivotArea>
    </format>
    <format dxfId="4933">
      <pivotArea dataOnly="0" labelOnly="1" outline="0" fieldPosition="0">
        <references count="2">
          <reference field="11" count="1" selected="0">
            <x v="283"/>
          </reference>
          <reference field="14" count="1" defaultSubtotal="1">
            <x v="162"/>
          </reference>
        </references>
      </pivotArea>
    </format>
    <format dxfId="4932">
      <pivotArea dataOnly="0" labelOnly="1" outline="0" fieldPosition="0">
        <references count="2">
          <reference field="11" count="1" selected="0">
            <x v="284"/>
          </reference>
          <reference field="14" count="1">
            <x v="149"/>
          </reference>
        </references>
      </pivotArea>
    </format>
    <format dxfId="4931">
      <pivotArea dataOnly="0" labelOnly="1" outline="0" fieldPosition="0">
        <references count="2">
          <reference field="11" count="1" selected="0">
            <x v="284"/>
          </reference>
          <reference field="14" count="1" defaultSubtotal="1">
            <x v="149"/>
          </reference>
        </references>
      </pivotArea>
    </format>
    <format dxfId="4930">
      <pivotArea dataOnly="0" labelOnly="1" outline="0" fieldPosition="0">
        <references count="2">
          <reference field="11" count="1" selected="0">
            <x v="285"/>
          </reference>
          <reference field="14" count="1">
            <x v="365"/>
          </reference>
        </references>
      </pivotArea>
    </format>
    <format dxfId="4929">
      <pivotArea dataOnly="0" labelOnly="1" outline="0" fieldPosition="0">
        <references count="2">
          <reference field="11" count="1" selected="0">
            <x v="285"/>
          </reference>
          <reference field="14" count="1" defaultSubtotal="1">
            <x v="365"/>
          </reference>
        </references>
      </pivotArea>
    </format>
    <format dxfId="4928">
      <pivotArea dataOnly="0" labelOnly="1" outline="0" fieldPosition="0">
        <references count="2">
          <reference field="11" count="1" selected="0">
            <x v="286"/>
          </reference>
          <reference field="14" count="1">
            <x v="217"/>
          </reference>
        </references>
      </pivotArea>
    </format>
    <format dxfId="4927">
      <pivotArea dataOnly="0" labelOnly="1" outline="0" fieldPosition="0">
        <references count="2">
          <reference field="11" count="1" selected="0">
            <x v="286"/>
          </reference>
          <reference field="14" count="1" defaultSubtotal="1">
            <x v="217"/>
          </reference>
        </references>
      </pivotArea>
    </format>
    <format dxfId="4926">
      <pivotArea dataOnly="0" labelOnly="1" outline="0" fieldPosition="0">
        <references count="2">
          <reference field="11" count="1" selected="0">
            <x v="287"/>
          </reference>
          <reference field="14" count="1">
            <x v="197"/>
          </reference>
        </references>
      </pivotArea>
    </format>
    <format dxfId="4925">
      <pivotArea dataOnly="0" labelOnly="1" outline="0" fieldPosition="0">
        <references count="2">
          <reference field="11" count="1" selected="0">
            <x v="287"/>
          </reference>
          <reference field="14" count="1" defaultSubtotal="1">
            <x v="197"/>
          </reference>
        </references>
      </pivotArea>
    </format>
    <format dxfId="4924">
      <pivotArea dataOnly="0" labelOnly="1" outline="0" fieldPosition="0">
        <references count="2">
          <reference field="11" count="1" selected="0">
            <x v="288"/>
          </reference>
          <reference field="14" count="1">
            <x v="389"/>
          </reference>
        </references>
      </pivotArea>
    </format>
    <format dxfId="4923">
      <pivotArea dataOnly="0" labelOnly="1" outline="0" fieldPosition="0">
        <references count="2">
          <reference field="11" count="1" selected="0">
            <x v="288"/>
          </reference>
          <reference field="14" count="1" defaultSubtotal="1">
            <x v="389"/>
          </reference>
        </references>
      </pivotArea>
    </format>
    <format dxfId="4922">
      <pivotArea dataOnly="0" labelOnly="1" outline="0" fieldPosition="0">
        <references count="2">
          <reference field="11" count="1" selected="0">
            <x v="289"/>
          </reference>
          <reference field="14" count="1">
            <x v="171"/>
          </reference>
        </references>
      </pivotArea>
    </format>
    <format dxfId="4921">
      <pivotArea dataOnly="0" labelOnly="1" outline="0" fieldPosition="0">
        <references count="2">
          <reference field="11" count="1" selected="0">
            <x v="289"/>
          </reference>
          <reference field="14" count="1" defaultSubtotal="1">
            <x v="171"/>
          </reference>
        </references>
      </pivotArea>
    </format>
    <format dxfId="4920">
      <pivotArea dataOnly="0" labelOnly="1" outline="0" fieldPosition="0">
        <references count="2">
          <reference field="11" count="1" selected="0">
            <x v="290"/>
          </reference>
          <reference field="14" count="1">
            <x v="183"/>
          </reference>
        </references>
      </pivotArea>
    </format>
    <format dxfId="4919">
      <pivotArea dataOnly="0" labelOnly="1" outline="0" fieldPosition="0">
        <references count="2">
          <reference field="11" count="1" selected="0">
            <x v="290"/>
          </reference>
          <reference field="14" count="1" defaultSubtotal="1">
            <x v="183"/>
          </reference>
        </references>
      </pivotArea>
    </format>
    <format dxfId="4918">
      <pivotArea dataOnly="0" labelOnly="1" outline="0" fieldPosition="0">
        <references count="2">
          <reference field="11" count="1" selected="0">
            <x v="291"/>
          </reference>
          <reference field="14" count="1">
            <x v="3"/>
          </reference>
        </references>
      </pivotArea>
    </format>
    <format dxfId="4917">
      <pivotArea dataOnly="0" labelOnly="1" outline="0" fieldPosition="0">
        <references count="2">
          <reference field="11" count="1" selected="0">
            <x v="291"/>
          </reference>
          <reference field="14" count="1" defaultSubtotal="1">
            <x v="3"/>
          </reference>
        </references>
      </pivotArea>
    </format>
    <format dxfId="4916">
      <pivotArea dataOnly="0" labelOnly="1" outline="0" fieldPosition="0">
        <references count="2">
          <reference field="11" count="1" selected="0">
            <x v="292"/>
          </reference>
          <reference field="14" count="1">
            <x v="172"/>
          </reference>
        </references>
      </pivotArea>
    </format>
    <format dxfId="4915">
      <pivotArea dataOnly="0" labelOnly="1" outline="0" fieldPosition="0">
        <references count="2">
          <reference field="11" count="1" selected="0">
            <x v="292"/>
          </reference>
          <reference field="14" count="1" defaultSubtotal="1">
            <x v="172"/>
          </reference>
        </references>
      </pivotArea>
    </format>
    <format dxfId="4914">
      <pivotArea dataOnly="0" labelOnly="1" outline="0" fieldPosition="0">
        <references count="2">
          <reference field="11" count="1" selected="0">
            <x v="293"/>
          </reference>
          <reference field="14" count="1">
            <x v="168"/>
          </reference>
        </references>
      </pivotArea>
    </format>
    <format dxfId="4913">
      <pivotArea dataOnly="0" labelOnly="1" outline="0" fieldPosition="0">
        <references count="2">
          <reference field="11" count="1" selected="0">
            <x v="293"/>
          </reference>
          <reference field="14" count="1" defaultSubtotal="1">
            <x v="168"/>
          </reference>
        </references>
      </pivotArea>
    </format>
    <format dxfId="4912">
      <pivotArea dataOnly="0" labelOnly="1" outline="0" fieldPosition="0">
        <references count="2">
          <reference field="11" count="1" selected="0">
            <x v="294"/>
          </reference>
          <reference field="14" count="1">
            <x v="67"/>
          </reference>
        </references>
      </pivotArea>
    </format>
    <format dxfId="4911">
      <pivotArea dataOnly="0" labelOnly="1" outline="0" fieldPosition="0">
        <references count="2">
          <reference field="11" count="1" selected="0">
            <x v="294"/>
          </reference>
          <reference field="14" count="1" defaultSubtotal="1">
            <x v="67"/>
          </reference>
        </references>
      </pivotArea>
    </format>
    <format dxfId="4910">
      <pivotArea dataOnly="0" labelOnly="1" outline="0" fieldPosition="0">
        <references count="2">
          <reference field="11" count="1" selected="0">
            <x v="295"/>
          </reference>
          <reference field="14" count="1">
            <x v="64"/>
          </reference>
        </references>
      </pivotArea>
    </format>
    <format dxfId="4909">
      <pivotArea dataOnly="0" labelOnly="1" outline="0" fieldPosition="0">
        <references count="2">
          <reference field="11" count="1" selected="0">
            <x v="295"/>
          </reference>
          <reference field="14" count="1" defaultSubtotal="1">
            <x v="64"/>
          </reference>
        </references>
      </pivotArea>
    </format>
    <format dxfId="4908">
      <pivotArea dataOnly="0" labelOnly="1" outline="0" fieldPosition="0">
        <references count="2">
          <reference field="11" count="1" selected="0">
            <x v="296"/>
          </reference>
          <reference field="14" count="1">
            <x v="143"/>
          </reference>
        </references>
      </pivotArea>
    </format>
    <format dxfId="4907">
      <pivotArea dataOnly="0" labelOnly="1" outline="0" fieldPosition="0">
        <references count="2">
          <reference field="11" count="1" selected="0">
            <x v="296"/>
          </reference>
          <reference field="14" count="1" defaultSubtotal="1">
            <x v="143"/>
          </reference>
        </references>
      </pivotArea>
    </format>
    <format dxfId="4906">
      <pivotArea dataOnly="0" labelOnly="1" outline="0" fieldPosition="0">
        <references count="2">
          <reference field="11" count="1" selected="0">
            <x v="297"/>
          </reference>
          <reference field="14" count="1">
            <x v="34"/>
          </reference>
        </references>
      </pivotArea>
    </format>
    <format dxfId="4905">
      <pivotArea dataOnly="0" labelOnly="1" outline="0" fieldPosition="0">
        <references count="2">
          <reference field="11" count="1" selected="0">
            <x v="297"/>
          </reference>
          <reference field="14" count="1" defaultSubtotal="1">
            <x v="34"/>
          </reference>
        </references>
      </pivotArea>
    </format>
    <format dxfId="4904">
      <pivotArea dataOnly="0" labelOnly="1" outline="0" fieldPosition="0">
        <references count="2">
          <reference field="11" count="1" selected="0">
            <x v="298"/>
          </reference>
          <reference field="14" count="1">
            <x v="310"/>
          </reference>
        </references>
      </pivotArea>
    </format>
    <format dxfId="4903">
      <pivotArea dataOnly="0" labelOnly="1" outline="0" fieldPosition="0">
        <references count="2">
          <reference field="11" count="1" selected="0">
            <x v="298"/>
          </reference>
          <reference field="14" count="1" defaultSubtotal="1">
            <x v="310"/>
          </reference>
        </references>
      </pivotArea>
    </format>
    <format dxfId="4902">
      <pivotArea dataOnly="0" labelOnly="1" outline="0" fieldPosition="0">
        <references count="2">
          <reference field="11" count="1" selected="0">
            <x v="299"/>
          </reference>
          <reference field="14" count="1">
            <x v="129"/>
          </reference>
        </references>
      </pivotArea>
    </format>
    <format dxfId="4901">
      <pivotArea dataOnly="0" labelOnly="1" outline="0" fieldPosition="0">
        <references count="2">
          <reference field="11" count="1" selected="0">
            <x v="299"/>
          </reference>
          <reference field="14" count="1" defaultSubtotal="1">
            <x v="129"/>
          </reference>
        </references>
      </pivotArea>
    </format>
    <format dxfId="4900">
      <pivotArea dataOnly="0" labelOnly="1" outline="0" fieldPosition="0">
        <references count="2">
          <reference field="11" count="1" selected="0">
            <x v="300"/>
          </reference>
          <reference field="14" count="1">
            <x v="393"/>
          </reference>
        </references>
      </pivotArea>
    </format>
    <format dxfId="4899">
      <pivotArea dataOnly="0" labelOnly="1" outline="0" fieldPosition="0">
        <references count="2">
          <reference field="11" count="1" selected="0">
            <x v="300"/>
          </reference>
          <reference field="14" count="1" defaultSubtotal="1">
            <x v="393"/>
          </reference>
        </references>
      </pivotArea>
    </format>
    <format dxfId="4898">
      <pivotArea dataOnly="0" labelOnly="1" outline="0" fieldPosition="0">
        <references count="2">
          <reference field="11" count="1" selected="0">
            <x v="301"/>
          </reference>
          <reference field="14" count="1">
            <x v="100"/>
          </reference>
        </references>
      </pivotArea>
    </format>
    <format dxfId="4897">
      <pivotArea dataOnly="0" labelOnly="1" outline="0" fieldPosition="0">
        <references count="2">
          <reference field="11" count="1" selected="0">
            <x v="301"/>
          </reference>
          <reference field="14" count="1" defaultSubtotal="1">
            <x v="100"/>
          </reference>
        </references>
      </pivotArea>
    </format>
    <format dxfId="4896">
      <pivotArea dataOnly="0" labelOnly="1" outline="0" fieldPosition="0">
        <references count="2">
          <reference field="11" count="1" selected="0">
            <x v="302"/>
          </reference>
          <reference field="14" count="1">
            <x v="62"/>
          </reference>
        </references>
      </pivotArea>
    </format>
    <format dxfId="4895">
      <pivotArea dataOnly="0" labelOnly="1" outline="0" fieldPosition="0">
        <references count="2">
          <reference field="11" count="1" selected="0">
            <x v="302"/>
          </reference>
          <reference field="14" count="1" defaultSubtotal="1">
            <x v="62"/>
          </reference>
        </references>
      </pivotArea>
    </format>
    <format dxfId="4894">
      <pivotArea dataOnly="0" labelOnly="1" outline="0" fieldPosition="0">
        <references count="2">
          <reference field="11" count="1" selected="0">
            <x v="303"/>
          </reference>
          <reference field="14" count="1">
            <x v="122"/>
          </reference>
        </references>
      </pivotArea>
    </format>
    <format dxfId="4893">
      <pivotArea dataOnly="0" labelOnly="1" outline="0" fieldPosition="0">
        <references count="2">
          <reference field="11" count="1" selected="0">
            <x v="303"/>
          </reference>
          <reference field="14" count="1" defaultSubtotal="1">
            <x v="122"/>
          </reference>
        </references>
      </pivotArea>
    </format>
    <format dxfId="4892">
      <pivotArea dataOnly="0" labelOnly="1" outline="0" fieldPosition="0">
        <references count="2">
          <reference field="11" count="1" selected="0">
            <x v="304"/>
          </reference>
          <reference field="14" count="1">
            <x v="464"/>
          </reference>
        </references>
      </pivotArea>
    </format>
    <format dxfId="4891">
      <pivotArea dataOnly="0" labelOnly="1" outline="0" fieldPosition="0">
        <references count="2">
          <reference field="11" count="1" selected="0">
            <x v="304"/>
          </reference>
          <reference field="14" count="1" defaultSubtotal="1">
            <x v="464"/>
          </reference>
        </references>
      </pivotArea>
    </format>
    <format dxfId="4890">
      <pivotArea dataOnly="0" labelOnly="1" outline="0" fieldPosition="0">
        <references count="2">
          <reference field="11" count="1" selected="0">
            <x v="305"/>
          </reference>
          <reference field="14" count="1">
            <x v="121"/>
          </reference>
        </references>
      </pivotArea>
    </format>
    <format dxfId="4889">
      <pivotArea dataOnly="0" labelOnly="1" outline="0" fieldPosition="0">
        <references count="2">
          <reference field="11" count="1" selected="0">
            <x v="305"/>
          </reference>
          <reference field="14" count="1" defaultSubtotal="1">
            <x v="121"/>
          </reference>
        </references>
      </pivotArea>
    </format>
    <format dxfId="4888">
      <pivotArea dataOnly="0" labelOnly="1" outline="0" fieldPosition="0">
        <references count="2">
          <reference field="11" count="1" selected="0">
            <x v="306"/>
          </reference>
          <reference field="14" count="1">
            <x v="178"/>
          </reference>
        </references>
      </pivotArea>
    </format>
    <format dxfId="4887">
      <pivotArea dataOnly="0" labelOnly="1" outline="0" fieldPosition="0">
        <references count="2">
          <reference field="11" count="1" selected="0">
            <x v="306"/>
          </reference>
          <reference field="14" count="1" defaultSubtotal="1">
            <x v="178"/>
          </reference>
        </references>
      </pivotArea>
    </format>
    <format dxfId="4886">
      <pivotArea dataOnly="0" labelOnly="1" outline="0" fieldPosition="0">
        <references count="2">
          <reference field="11" count="1" selected="0">
            <x v="307"/>
          </reference>
          <reference field="14" count="1">
            <x v="120"/>
          </reference>
        </references>
      </pivotArea>
    </format>
    <format dxfId="4885">
      <pivotArea dataOnly="0" labelOnly="1" outline="0" fieldPosition="0">
        <references count="2">
          <reference field="11" count="1" selected="0">
            <x v="307"/>
          </reference>
          <reference field="14" count="1" defaultSubtotal="1">
            <x v="120"/>
          </reference>
        </references>
      </pivotArea>
    </format>
    <format dxfId="4884">
      <pivotArea dataOnly="0" labelOnly="1" outline="0" fieldPosition="0">
        <references count="2">
          <reference field="11" count="1" selected="0">
            <x v="308"/>
          </reference>
          <reference field="14" count="1">
            <x v="127"/>
          </reference>
        </references>
      </pivotArea>
    </format>
    <format dxfId="4883">
      <pivotArea dataOnly="0" labelOnly="1" outline="0" fieldPosition="0">
        <references count="2">
          <reference field="11" count="1" selected="0">
            <x v="308"/>
          </reference>
          <reference field="14" count="1" defaultSubtotal="1">
            <x v="127"/>
          </reference>
        </references>
      </pivotArea>
    </format>
    <format dxfId="4882">
      <pivotArea dataOnly="0" labelOnly="1" outline="0" fieldPosition="0">
        <references count="2">
          <reference field="11" count="1" selected="0">
            <x v="309"/>
          </reference>
          <reference field="14" count="1">
            <x v="316"/>
          </reference>
        </references>
      </pivotArea>
    </format>
    <format dxfId="4881">
      <pivotArea dataOnly="0" labelOnly="1" outline="0" fieldPosition="0">
        <references count="2">
          <reference field="11" count="1" selected="0">
            <x v="309"/>
          </reference>
          <reference field="14" count="1" defaultSubtotal="1">
            <x v="316"/>
          </reference>
        </references>
      </pivotArea>
    </format>
    <format dxfId="4880">
      <pivotArea dataOnly="0" labelOnly="1" outline="0" fieldPosition="0">
        <references count="2">
          <reference field="11" count="1" selected="0">
            <x v="310"/>
          </reference>
          <reference field="14" count="1">
            <x v="376"/>
          </reference>
        </references>
      </pivotArea>
    </format>
    <format dxfId="4879">
      <pivotArea dataOnly="0" labelOnly="1" outline="0" fieldPosition="0">
        <references count="2">
          <reference field="11" count="1" selected="0">
            <x v="310"/>
          </reference>
          <reference field="14" count="1" defaultSubtotal="1">
            <x v="376"/>
          </reference>
        </references>
      </pivotArea>
    </format>
    <format dxfId="4878">
      <pivotArea dataOnly="0" labelOnly="1" outline="0" fieldPosition="0">
        <references count="2">
          <reference field="11" count="1" selected="0">
            <x v="311"/>
          </reference>
          <reference field="14" count="1">
            <x v="302"/>
          </reference>
        </references>
      </pivotArea>
    </format>
    <format dxfId="4877">
      <pivotArea dataOnly="0" labelOnly="1" outline="0" fieldPosition="0">
        <references count="2">
          <reference field="11" count="1" selected="0">
            <x v="311"/>
          </reference>
          <reference field="14" count="1" defaultSubtotal="1">
            <x v="302"/>
          </reference>
        </references>
      </pivotArea>
    </format>
    <format dxfId="4876">
      <pivotArea dataOnly="0" labelOnly="1" outline="0" fieldPosition="0">
        <references count="2">
          <reference field="11" count="1" selected="0">
            <x v="312"/>
          </reference>
          <reference field="14" count="1">
            <x v="130"/>
          </reference>
        </references>
      </pivotArea>
    </format>
    <format dxfId="4875">
      <pivotArea dataOnly="0" labelOnly="1" outline="0" fieldPosition="0">
        <references count="2">
          <reference field="11" count="1" selected="0">
            <x v="312"/>
          </reference>
          <reference field="14" count="1" defaultSubtotal="1">
            <x v="130"/>
          </reference>
        </references>
      </pivotArea>
    </format>
    <format dxfId="4874">
      <pivotArea dataOnly="0" labelOnly="1" outline="0" fieldPosition="0">
        <references count="2">
          <reference field="11" count="1" selected="0">
            <x v="313"/>
          </reference>
          <reference field="14" count="1">
            <x v="123"/>
          </reference>
        </references>
      </pivotArea>
    </format>
    <format dxfId="4873">
      <pivotArea dataOnly="0" labelOnly="1" outline="0" fieldPosition="0">
        <references count="2">
          <reference field="11" count="1" selected="0">
            <x v="313"/>
          </reference>
          <reference field="14" count="1" defaultSubtotal="1">
            <x v="123"/>
          </reference>
        </references>
      </pivotArea>
    </format>
    <format dxfId="4872">
      <pivotArea dataOnly="0" labelOnly="1" outline="0" fieldPosition="0">
        <references count="2">
          <reference field="11" count="1" selected="0">
            <x v="314"/>
          </reference>
          <reference field="14" count="1">
            <x v="8"/>
          </reference>
        </references>
      </pivotArea>
    </format>
    <format dxfId="4871">
      <pivotArea dataOnly="0" labelOnly="1" outline="0" fieldPosition="0">
        <references count="2">
          <reference field="11" count="1" selected="0">
            <x v="314"/>
          </reference>
          <reference field="14" count="1" defaultSubtotal="1">
            <x v="8"/>
          </reference>
        </references>
      </pivotArea>
    </format>
    <format dxfId="4870">
      <pivotArea dataOnly="0" labelOnly="1" outline="0" fieldPosition="0">
        <references count="2">
          <reference field="11" count="1" selected="0">
            <x v="315"/>
          </reference>
          <reference field="14" count="1">
            <x v="247"/>
          </reference>
        </references>
      </pivotArea>
    </format>
    <format dxfId="4869">
      <pivotArea dataOnly="0" labelOnly="1" outline="0" fieldPosition="0">
        <references count="2">
          <reference field="11" count="1" selected="0">
            <x v="315"/>
          </reference>
          <reference field="14" count="1" defaultSubtotal="1">
            <x v="247"/>
          </reference>
        </references>
      </pivotArea>
    </format>
    <format dxfId="4868">
      <pivotArea dataOnly="0" labelOnly="1" outline="0" fieldPosition="0">
        <references count="2">
          <reference field="11" count="1" selected="0">
            <x v="316"/>
          </reference>
          <reference field="14" count="1">
            <x v="44"/>
          </reference>
        </references>
      </pivotArea>
    </format>
    <format dxfId="4867">
      <pivotArea dataOnly="0" labelOnly="1" outline="0" fieldPosition="0">
        <references count="2">
          <reference field="11" count="1" selected="0">
            <x v="316"/>
          </reference>
          <reference field="14" count="1" defaultSubtotal="1">
            <x v="44"/>
          </reference>
        </references>
      </pivotArea>
    </format>
    <format dxfId="4866">
      <pivotArea dataOnly="0" labelOnly="1" outline="0" fieldPosition="0">
        <references count="2">
          <reference field="11" count="1" selected="0">
            <x v="317"/>
          </reference>
          <reference field="14" count="1">
            <x v="70"/>
          </reference>
        </references>
      </pivotArea>
    </format>
    <format dxfId="4865">
      <pivotArea dataOnly="0" labelOnly="1" outline="0" fieldPosition="0">
        <references count="2">
          <reference field="11" count="1" selected="0">
            <x v="317"/>
          </reference>
          <reference field="14" count="1" defaultSubtotal="1">
            <x v="70"/>
          </reference>
        </references>
      </pivotArea>
    </format>
    <format dxfId="4864">
      <pivotArea dataOnly="0" labelOnly="1" outline="0" fieldPosition="0">
        <references count="2">
          <reference field="11" count="1" selected="0">
            <x v="318"/>
          </reference>
          <reference field="14" count="1">
            <x v="68"/>
          </reference>
        </references>
      </pivotArea>
    </format>
    <format dxfId="4863">
      <pivotArea dataOnly="0" labelOnly="1" outline="0" fieldPosition="0">
        <references count="2">
          <reference field="11" count="1" selected="0">
            <x v="318"/>
          </reference>
          <reference field="14" count="1" defaultSubtotal="1">
            <x v="68"/>
          </reference>
        </references>
      </pivotArea>
    </format>
    <format dxfId="4862">
      <pivotArea dataOnly="0" labelOnly="1" outline="0" fieldPosition="0">
        <references count="2">
          <reference field="11" count="1" selected="0">
            <x v="319"/>
          </reference>
          <reference field="14" count="1">
            <x v="69"/>
          </reference>
        </references>
      </pivotArea>
    </format>
    <format dxfId="4861">
      <pivotArea dataOnly="0" labelOnly="1" outline="0" fieldPosition="0">
        <references count="2">
          <reference field="11" count="1" selected="0">
            <x v="319"/>
          </reference>
          <reference field="14" count="1" defaultSubtotal="1">
            <x v="69"/>
          </reference>
        </references>
      </pivotArea>
    </format>
    <format dxfId="4860">
      <pivotArea dataOnly="0" labelOnly="1" outline="0" fieldPosition="0">
        <references count="2">
          <reference field="11" count="1" selected="0">
            <x v="320"/>
          </reference>
          <reference field="14" count="1">
            <x v="35"/>
          </reference>
        </references>
      </pivotArea>
    </format>
    <format dxfId="4859">
      <pivotArea dataOnly="0" labelOnly="1" outline="0" fieldPosition="0">
        <references count="2">
          <reference field="11" count="1" selected="0">
            <x v="320"/>
          </reference>
          <reference field="14" count="1" defaultSubtotal="1">
            <x v="35"/>
          </reference>
        </references>
      </pivotArea>
    </format>
    <format dxfId="4858">
      <pivotArea dataOnly="0" labelOnly="1" outline="0" fieldPosition="0">
        <references count="2">
          <reference field="11" count="1" selected="0">
            <x v="321"/>
          </reference>
          <reference field="14" count="1">
            <x v="456"/>
          </reference>
        </references>
      </pivotArea>
    </format>
    <format dxfId="4857">
      <pivotArea dataOnly="0" labelOnly="1" outline="0" fieldPosition="0">
        <references count="2">
          <reference field="11" count="1" selected="0">
            <x v="321"/>
          </reference>
          <reference field="14" count="1" defaultSubtotal="1">
            <x v="456"/>
          </reference>
        </references>
      </pivotArea>
    </format>
    <format dxfId="4856">
      <pivotArea dataOnly="0" labelOnly="1" outline="0" fieldPosition="0">
        <references count="2">
          <reference field="11" count="1" selected="0">
            <x v="322"/>
          </reference>
          <reference field="14" count="1">
            <x v="243"/>
          </reference>
        </references>
      </pivotArea>
    </format>
    <format dxfId="4855">
      <pivotArea dataOnly="0" labelOnly="1" outline="0" fieldPosition="0">
        <references count="2">
          <reference field="11" count="1" selected="0">
            <x v="322"/>
          </reference>
          <reference field="14" count="1" defaultSubtotal="1">
            <x v="243"/>
          </reference>
        </references>
      </pivotArea>
    </format>
    <format dxfId="4854">
      <pivotArea dataOnly="0" labelOnly="1" outline="0" fieldPosition="0">
        <references count="2">
          <reference field="11" count="1" selected="0">
            <x v="323"/>
          </reference>
          <reference field="14" count="1">
            <x v="428"/>
          </reference>
        </references>
      </pivotArea>
    </format>
    <format dxfId="4853">
      <pivotArea dataOnly="0" labelOnly="1" outline="0" fieldPosition="0">
        <references count="2">
          <reference field="11" count="1" selected="0">
            <x v="323"/>
          </reference>
          <reference field="14" count="1" defaultSubtotal="1">
            <x v="428"/>
          </reference>
        </references>
      </pivotArea>
    </format>
    <format dxfId="4852">
      <pivotArea dataOnly="0" labelOnly="1" outline="0" fieldPosition="0">
        <references count="2">
          <reference field="11" count="1" selected="0">
            <x v="324"/>
          </reference>
          <reference field="14" count="1">
            <x v="9"/>
          </reference>
        </references>
      </pivotArea>
    </format>
    <format dxfId="4851">
      <pivotArea dataOnly="0" labelOnly="1" outline="0" fieldPosition="0">
        <references count="2">
          <reference field="11" count="1" selected="0">
            <x v="324"/>
          </reference>
          <reference field="14" count="1" defaultSubtotal="1">
            <x v="9"/>
          </reference>
        </references>
      </pivotArea>
    </format>
    <format dxfId="4850">
      <pivotArea dataOnly="0" labelOnly="1" outline="0" fieldPosition="0">
        <references count="2">
          <reference field="11" count="1" selected="0">
            <x v="325"/>
          </reference>
          <reference field="14" count="1">
            <x v="225"/>
          </reference>
        </references>
      </pivotArea>
    </format>
    <format dxfId="4849">
      <pivotArea dataOnly="0" labelOnly="1" outline="0" fieldPosition="0">
        <references count="2">
          <reference field="11" count="1" selected="0">
            <x v="325"/>
          </reference>
          <reference field="14" count="1" defaultSubtotal="1">
            <x v="225"/>
          </reference>
        </references>
      </pivotArea>
    </format>
    <format dxfId="4848">
      <pivotArea dataOnly="0" labelOnly="1" outline="0" fieldPosition="0">
        <references count="2">
          <reference field="11" count="1" selected="0">
            <x v="326"/>
          </reference>
          <reference field="14" count="1">
            <x v="370"/>
          </reference>
        </references>
      </pivotArea>
    </format>
    <format dxfId="4847">
      <pivotArea dataOnly="0" labelOnly="1" outline="0" fieldPosition="0">
        <references count="2">
          <reference field="11" count="1" selected="0">
            <x v="326"/>
          </reference>
          <reference field="14" count="1" defaultSubtotal="1">
            <x v="370"/>
          </reference>
        </references>
      </pivotArea>
    </format>
    <format dxfId="4846">
      <pivotArea dataOnly="0" labelOnly="1" outline="0" fieldPosition="0">
        <references count="2">
          <reference field="11" count="1" selected="0">
            <x v="327"/>
          </reference>
          <reference field="14" count="1">
            <x v="60"/>
          </reference>
        </references>
      </pivotArea>
    </format>
    <format dxfId="4845">
      <pivotArea dataOnly="0" labelOnly="1" outline="0" fieldPosition="0">
        <references count="2">
          <reference field="11" count="1" selected="0">
            <x v="327"/>
          </reference>
          <reference field="14" count="1" defaultSubtotal="1">
            <x v="60"/>
          </reference>
        </references>
      </pivotArea>
    </format>
    <format dxfId="4844">
      <pivotArea dataOnly="0" labelOnly="1" outline="0" fieldPosition="0">
        <references count="2">
          <reference field="11" count="1" selected="0">
            <x v="328"/>
          </reference>
          <reference field="14" count="1">
            <x v="159"/>
          </reference>
        </references>
      </pivotArea>
    </format>
    <format dxfId="4843">
      <pivotArea dataOnly="0" labelOnly="1" outline="0" fieldPosition="0">
        <references count="2">
          <reference field="11" count="1" selected="0">
            <x v="328"/>
          </reference>
          <reference field="14" count="1" defaultSubtotal="1">
            <x v="159"/>
          </reference>
        </references>
      </pivotArea>
    </format>
    <format dxfId="4842">
      <pivotArea dataOnly="0" labelOnly="1" outline="0" fieldPosition="0">
        <references count="2">
          <reference field="11" count="1" selected="0">
            <x v="329"/>
          </reference>
          <reference field="14" count="1">
            <x v="134"/>
          </reference>
        </references>
      </pivotArea>
    </format>
    <format dxfId="4841">
      <pivotArea dataOnly="0" labelOnly="1" outline="0" fieldPosition="0">
        <references count="2">
          <reference field="11" count="1" selected="0">
            <x v="329"/>
          </reference>
          <reference field="14" count="1" defaultSubtotal="1">
            <x v="134"/>
          </reference>
        </references>
      </pivotArea>
    </format>
    <format dxfId="4840">
      <pivotArea dataOnly="0" labelOnly="1" outline="0" fieldPosition="0">
        <references count="2">
          <reference field="11" count="1" selected="0">
            <x v="330"/>
          </reference>
          <reference field="14" count="1">
            <x v="170"/>
          </reference>
        </references>
      </pivotArea>
    </format>
    <format dxfId="4839">
      <pivotArea dataOnly="0" labelOnly="1" outline="0" fieldPosition="0">
        <references count="2">
          <reference field="11" count="1" selected="0">
            <x v="330"/>
          </reference>
          <reference field="14" count="1" defaultSubtotal="1">
            <x v="170"/>
          </reference>
        </references>
      </pivotArea>
    </format>
    <format dxfId="4838">
      <pivotArea dataOnly="0" labelOnly="1" outline="0" fieldPosition="0">
        <references count="2">
          <reference field="11" count="1" selected="0">
            <x v="331"/>
          </reference>
          <reference field="14" count="1">
            <x v="132"/>
          </reference>
        </references>
      </pivotArea>
    </format>
    <format dxfId="4837">
      <pivotArea dataOnly="0" labelOnly="1" outline="0" fieldPosition="0">
        <references count="2">
          <reference field="11" count="1" selected="0">
            <x v="331"/>
          </reference>
          <reference field="14" count="1" defaultSubtotal="1">
            <x v="132"/>
          </reference>
        </references>
      </pivotArea>
    </format>
    <format dxfId="4836">
      <pivotArea dataOnly="0" labelOnly="1" outline="0" fieldPosition="0">
        <references count="2">
          <reference field="11" count="1" selected="0">
            <x v="332"/>
          </reference>
          <reference field="14" count="1">
            <x v="74"/>
          </reference>
        </references>
      </pivotArea>
    </format>
    <format dxfId="4835">
      <pivotArea dataOnly="0" labelOnly="1" outline="0" fieldPosition="0">
        <references count="2">
          <reference field="11" count="1" selected="0">
            <x v="332"/>
          </reference>
          <reference field="14" count="1" defaultSubtotal="1">
            <x v="74"/>
          </reference>
        </references>
      </pivotArea>
    </format>
    <format dxfId="4834">
      <pivotArea dataOnly="0" labelOnly="1" outline="0" fieldPosition="0">
        <references count="2">
          <reference field="11" count="1" selected="0">
            <x v="333"/>
          </reference>
          <reference field="14" count="1">
            <x v="202"/>
          </reference>
        </references>
      </pivotArea>
    </format>
    <format dxfId="4833">
      <pivotArea dataOnly="0" labelOnly="1" outline="0" fieldPosition="0">
        <references count="2">
          <reference field="11" count="1" selected="0">
            <x v="333"/>
          </reference>
          <reference field="14" count="1" defaultSubtotal="1">
            <x v="202"/>
          </reference>
        </references>
      </pivotArea>
    </format>
    <format dxfId="4832">
      <pivotArea dataOnly="0" labelOnly="1" outline="0" fieldPosition="0">
        <references count="2">
          <reference field="11" count="1" selected="0">
            <x v="334"/>
          </reference>
          <reference field="14" count="1">
            <x v="384"/>
          </reference>
        </references>
      </pivotArea>
    </format>
    <format dxfId="4831">
      <pivotArea dataOnly="0" labelOnly="1" outline="0" fieldPosition="0">
        <references count="2">
          <reference field="11" count="1" selected="0">
            <x v="334"/>
          </reference>
          <reference field="14" count="1" defaultSubtotal="1">
            <x v="384"/>
          </reference>
        </references>
      </pivotArea>
    </format>
    <format dxfId="4830">
      <pivotArea dataOnly="0" labelOnly="1" outline="0" fieldPosition="0">
        <references count="2">
          <reference field="11" count="1" selected="0">
            <x v="335"/>
          </reference>
          <reference field="14" count="1">
            <x v="309"/>
          </reference>
        </references>
      </pivotArea>
    </format>
    <format dxfId="4829">
      <pivotArea dataOnly="0" labelOnly="1" outline="0" fieldPosition="0">
        <references count="2">
          <reference field="11" count="1" selected="0">
            <x v="335"/>
          </reference>
          <reference field="14" count="1" defaultSubtotal="1">
            <x v="309"/>
          </reference>
        </references>
      </pivotArea>
    </format>
    <format dxfId="4828">
      <pivotArea dataOnly="0" labelOnly="1" outline="0" fieldPosition="0">
        <references count="2">
          <reference field="11" count="1" selected="0">
            <x v="336"/>
          </reference>
          <reference field="14" count="1">
            <x v="382"/>
          </reference>
        </references>
      </pivotArea>
    </format>
    <format dxfId="4827">
      <pivotArea dataOnly="0" labelOnly="1" outline="0" fieldPosition="0">
        <references count="2">
          <reference field="11" count="1" selected="0">
            <x v="336"/>
          </reference>
          <reference field="14" count="1" defaultSubtotal="1">
            <x v="382"/>
          </reference>
        </references>
      </pivotArea>
    </format>
    <format dxfId="4826">
      <pivotArea dataOnly="0" labelOnly="1" outline="0" fieldPosition="0">
        <references count="2">
          <reference field="11" count="1" selected="0">
            <x v="337"/>
          </reference>
          <reference field="14" count="1">
            <x v="71"/>
          </reference>
        </references>
      </pivotArea>
    </format>
    <format dxfId="4825">
      <pivotArea dataOnly="0" labelOnly="1" outline="0" fieldPosition="0">
        <references count="2">
          <reference field="11" count="1" selected="0">
            <x v="337"/>
          </reference>
          <reference field="14" count="1" defaultSubtotal="1">
            <x v="71"/>
          </reference>
        </references>
      </pivotArea>
    </format>
    <format dxfId="4824">
      <pivotArea dataOnly="0" labelOnly="1" outline="0" fieldPosition="0">
        <references count="2">
          <reference field="11" count="1" selected="0">
            <x v="338"/>
          </reference>
          <reference field="14" count="1">
            <x v="314"/>
          </reference>
        </references>
      </pivotArea>
    </format>
    <format dxfId="4823">
      <pivotArea dataOnly="0" labelOnly="1" outline="0" fieldPosition="0">
        <references count="2">
          <reference field="11" count="1" selected="0">
            <x v="338"/>
          </reference>
          <reference field="14" count="1" defaultSubtotal="1">
            <x v="314"/>
          </reference>
        </references>
      </pivotArea>
    </format>
    <format dxfId="4822">
      <pivotArea dataOnly="0" labelOnly="1" outline="0" fieldPosition="0">
        <references count="2">
          <reference field="11" count="1" selected="0">
            <x v="339"/>
          </reference>
          <reference field="14" count="1">
            <x v="160"/>
          </reference>
        </references>
      </pivotArea>
    </format>
    <format dxfId="4821">
      <pivotArea dataOnly="0" labelOnly="1" outline="0" fieldPosition="0">
        <references count="2">
          <reference field="11" count="1" selected="0">
            <x v="339"/>
          </reference>
          <reference field="14" count="1" defaultSubtotal="1">
            <x v="160"/>
          </reference>
        </references>
      </pivotArea>
    </format>
    <format dxfId="4820">
      <pivotArea dataOnly="0" labelOnly="1" outline="0" fieldPosition="0">
        <references count="2">
          <reference field="11" count="1" selected="0">
            <x v="340"/>
          </reference>
          <reference field="14" count="1">
            <x v="155"/>
          </reference>
        </references>
      </pivotArea>
    </format>
    <format dxfId="4819">
      <pivotArea dataOnly="0" labelOnly="1" outline="0" fieldPosition="0">
        <references count="2">
          <reference field="11" count="1" selected="0">
            <x v="340"/>
          </reference>
          <reference field="14" count="1" defaultSubtotal="1">
            <x v="155"/>
          </reference>
        </references>
      </pivotArea>
    </format>
    <format dxfId="4818">
      <pivotArea dataOnly="0" labelOnly="1" outline="0" fieldPosition="0">
        <references count="2">
          <reference field="11" count="1" selected="0">
            <x v="341"/>
          </reference>
          <reference field="14" count="1">
            <x v="163"/>
          </reference>
        </references>
      </pivotArea>
    </format>
    <format dxfId="4817">
      <pivotArea dataOnly="0" labelOnly="1" outline="0" fieldPosition="0">
        <references count="2">
          <reference field="11" count="1" selected="0">
            <x v="341"/>
          </reference>
          <reference field="14" count="1" defaultSubtotal="1">
            <x v="163"/>
          </reference>
        </references>
      </pivotArea>
    </format>
    <format dxfId="4816">
      <pivotArea dataOnly="0" labelOnly="1" outline="0" fieldPosition="0">
        <references count="2">
          <reference field="11" count="1" selected="0">
            <x v="342"/>
          </reference>
          <reference field="14" count="1">
            <x v="156"/>
          </reference>
        </references>
      </pivotArea>
    </format>
    <format dxfId="4815">
      <pivotArea dataOnly="0" labelOnly="1" outline="0" fieldPosition="0">
        <references count="2">
          <reference field="11" count="1" selected="0">
            <x v="342"/>
          </reference>
          <reference field="14" count="1" defaultSubtotal="1">
            <x v="156"/>
          </reference>
        </references>
      </pivotArea>
    </format>
    <format dxfId="4814">
      <pivotArea dataOnly="0" labelOnly="1" outline="0" fieldPosition="0">
        <references count="2">
          <reference field="11" count="1" selected="0">
            <x v="343"/>
          </reference>
          <reference field="14" count="1">
            <x v="293"/>
          </reference>
        </references>
      </pivotArea>
    </format>
    <format dxfId="4813">
      <pivotArea dataOnly="0" labelOnly="1" outline="0" fieldPosition="0">
        <references count="2">
          <reference field="11" count="1" selected="0">
            <x v="343"/>
          </reference>
          <reference field="14" count="1" defaultSubtotal="1">
            <x v="293"/>
          </reference>
        </references>
      </pivotArea>
    </format>
    <format dxfId="4812">
      <pivotArea dataOnly="0" labelOnly="1" outline="0" fieldPosition="0">
        <references count="2">
          <reference field="11" count="1" selected="0">
            <x v="344"/>
          </reference>
          <reference field="14" count="1">
            <x v="253"/>
          </reference>
        </references>
      </pivotArea>
    </format>
    <format dxfId="4811">
      <pivotArea dataOnly="0" labelOnly="1" outline="0" fieldPosition="0">
        <references count="2">
          <reference field="11" count="1" selected="0">
            <x v="344"/>
          </reference>
          <reference field="14" count="1" defaultSubtotal="1">
            <x v="253"/>
          </reference>
        </references>
      </pivotArea>
    </format>
    <format dxfId="4810">
      <pivotArea dataOnly="0" labelOnly="1" outline="0" fieldPosition="0">
        <references count="2">
          <reference field="11" count="1" selected="0">
            <x v="345"/>
          </reference>
          <reference field="14" count="1">
            <x v="209"/>
          </reference>
        </references>
      </pivotArea>
    </format>
    <format dxfId="4809">
      <pivotArea dataOnly="0" labelOnly="1" outline="0" fieldPosition="0">
        <references count="2">
          <reference field="11" count="1" selected="0">
            <x v="345"/>
          </reference>
          <reference field="14" count="1" defaultSubtotal="1">
            <x v="209"/>
          </reference>
        </references>
      </pivotArea>
    </format>
    <format dxfId="4808">
      <pivotArea dataOnly="0" labelOnly="1" outline="0" fieldPosition="0">
        <references count="2">
          <reference field="11" count="1" selected="0">
            <x v="346"/>
          </reference>
          <reference field="14" count="1">
            <x v="315"/>
          </reference>
        </references>
      </pivotArea>
    </format>
    <format dxfId="4807">
      <pivotArea dataOnly="0" labelOnly="1" outline="0" fieldPosition="0">
        <references count="2">
          <reference field="11" count="1" selected="0">
            <x v="346"/>
          </reference>
          <reference field="14" count="1" defaultSubtotal="1">
            <x v="315"/>
          </reference>
        </references>
      </pivotArea>
    </format>
    <format dxfId="4806">
      <pivotArea dataOnly="0" labelOnly="1" outline="0" fieldPosition="0">
        <references count="2">
          <reference field="11" count="1" selected="0">
            <x v="347"/>
          </reference>
          <reference field="14" count="1">
            <x v="257"/>
          </reference>
        </references>
      </pivotArea>
    </format>
    <format dxfId="4805">
      <pivotArea dataOnly="0" labelOnly="1" outline="0" fieldPosition="0">
        <references count="2">
          <reference field="11" count="1" selected="0">
            <x v="347"/>
          </reference>
          <reference field="14" count="1" defaultSubtotal="1">
            <x v="257"/>
          </reference>
        </references>
      </pivotArea>
    </format>
    <format dxfId="4804">
      <pivotArea dataOnly="0" labelOnly="1" outline="0" fieldPosition="0">
        <references count="2">
          <reference field="11" count="1" selected="0">
            <x v="348"/>
          </reference>
          <reference field="14" count="1">
            <x v="448"/>
          </reference>
        </references>
      </pivotArea>
    </format>
    <format dxfId="4803">
      <pivotArea dataOnly="0" labelOnly="1" outline="0" fieldPosition="0">
        <references count="2">
          <reference field="11" count="1" selected="0">
            <x v="348"/>
          </reference>
          <reference field="14" count="1" defaultSubtotal="1">
            <x v="448"/>
          </reference>
        </references>
      </pivotArea>
    </format>
    <format dxfId="4802">
      <pivotArea dataOnly="0" labelOnly="1" outline="0" fieldPosition="0">
        <references count="2">
          <reference field="11" count="1" selected="0">
            <x v="349"/>
          </reference>
          <reference field="14" count="1">
            <x v="331"/>
          </reference>
        </references>
      </pivotArea>
    </format>
    <format dxfId="4801">
      <pivotArea dataOnly="0" labelOnly="1" outline="0" fieldPosition="0">
        <references count="2">
          <reference field="11" count="1" selected="0">
            <x v="349"/>
          </reference>
          <reference field="14" count="1" defaultSubtotal="1">
            <x v="331"/>
          </reference>
        </references>
      </pivotArea>
    </format>
    <format dxfId="4800">
      <pivotArea dataOnly="0" labelOnly="1" outline="0" fieldPosition="0">
        <references count="2">
          <reference field="11" count="1" selected="0">
            <x v="350"/>
          </reference>
          <reference field="14" count="1">
            <x v="221"/>
          </reference>
        </references>
      </pivotArea>
    </format>
    <format dxfId="4799">
      <pivotArea dataOnly="0" labelOnly="1" outline="0" fieldPosition="0">
        <references count="2">
          <reference field="11" count="1" selected="0">
            <x v="350"/>
          </reference>
          <reference field="14" count="1" defaultSubtotal="1">
            <x v="221"/>
          </reference>
        </references>
      </pivotArea>
    </format>
    <format dxfId="4798">
      <pivotArea dataOnly="0" labelOnly="1" outline="0" fieldPosition="0">
        <references count="2">
          <reference field="11" count="1" selected="0">
            <x v="351"/>
          </reference>
          <reference field="14" count="1">
            <x v="199"/>
          </reference>
        </references>
      </pivotArea>
    </format>
    <format dxfId="4797">
      <pivotArea dataOnly="0" labelOnly="1" outline="0" fieldPosition="0">
        <references count="2">
          <reference field="11" count="1" selected="0">
            <x v="351"/>
          </reference>
          <reference field="14" count="1" defaultSubtotal="1">
            <x v="199"/>
          </reference>
        </references>
      </pivotArea>
    </format>
    <format dxfId="4796">
      <pivotArea dataOnly="0" labelOnly="1" outline="0" fieldPosition="0">
        <references count="2">
          <reference field="11" count="1" selected="0">
            <x v="352"/>
          </reference>
          <reference field="14" count="1">
            <x v="78"/>
          </reference>
        </references>
      </pivotArea>
    </format>
    <format dxfId="4795">
      <pivotArea dataOnly="0" labelOnly="1" outline="0" fieldPosition="0">
        <references count="2">
          <reference field="11" count="1" selected="0">
            <x v="352"/>
          </reference>
          <reference field="14" count="1" defaultSubtotal="1">
            <x v="78"/>
          </reference>
        </references>
      </pivotArea>
    </format>
    <format dxfId="4794">
      <pivotArea dataOnly="0" labelOnly="1" outline="0" fieldPosition="0">
        <references count="2">
          <reference field="11" count="1" selected="0">
            <x v="353"/>
          </reference>
          <reference field="14" count="1">
            <x v="18"/>
          </reference>
        </references>
      </pivotArea>
    </format>
    <format dxfId="4793">
      <pivotArea dataOnly="0" labelOnly="1" outline="0" fieldPosition="0">
        <references count="2">
          <reference field="11" count="1" selected="0">
            <x v="353"/>
          </reference>
          <reference field="14" count="1" defaultSubtotal="1">
            <x v="18"/>
          </reference>
        </references>
      </pivotArea>
    </format>
    <format dxfId="4792">
      <pivotArea dataOnly="0" labelOnly="1" outline="0" fieldPosition="0">
        <references count="2">
          <reference field="11" count="1" selected="0">
            <x v="354"/>
          </reference>
          <reference field="14" count="1">
            <x v="135"/>
          </reference>
        </references>
      </pivotArea>
    </format>
    <format dxfId="4791">
      <pivotArea dataOnly="0" labelOnly="1" outline="0" fieldPosition="0">
        <references count="2">
          <reference field="11" count="1" selected="0">
            <x v="354"/>
          </reference>
          <reference field="14" count="1" defaultSubtotal="1">
            <x v="135"/>
          </reference>
        </references>
      </pivotArea>
    </format>
    <format dxfId="4790">
      <pivotArea dataOnly="0" labelOnly="1" outline="0" fieldPosition="0">
        <references count="2">
          <reference field="11" count="1" selected="0">
            <x v="355"/>
          </reference>
          <reference field="14" count="1">
            <x v="296"/>
          </reference>
        </references>
      </pivotArea>
    </format>
    <format dxfId="4789">
      <pivotArea dataOnly="0" labelOnly="1" outline="0" fieldPosition="0">
        <references count="2">
          <reference field="11" count="1" selected="0">
            <x v="355"/>
          </reference>
          <reference field="14" count="1" defaultSubtotal="1">
            <x v="296"/>
          </reference>
        </references>
      </pivotArea>
    </format>
    <format dxfId="4788">
      <pivotArea dataOnly="0" labelOnly="1" outline="0" fieldPosition="0">
        <references count="2">
          <reference field="11" count="1" selected="0">
            <x v="356"/>
          </reference>
          <reference field="14" count="1">
            <x v="299"/>
          </reference>
        </references>
      </pivotArea>
    </format>
    <format dxfId="4787">
      <pivotArea dataOnly="0" labelOnly="1" outline="0" fieldPosition="0">
        <references count="2">
          <reference field="11" count="1" selected="0">
            <x v="356"/>
          </reference>
          <reference field="14" count="1" defaultSubtotal="1">
            <x v="299"/>
          </reference>
        </references>
      </pivotArea>
    </format>
    <format dxfId="4786">
      <pivotArea dataOnly="0" labelOnly="1" outline="0" fieldPosition="0">
        <references count="2">
          <reference field="11" count="1" selected="0">
            <x v="357"/>
          </reference>
          <reference field="14" count="1">
            <x v="298"/>
          </reference>
        </references>
      </pivotArea>
    </format>
    <format dxfId="4785">
      <pivotArea dataOnly="0" labelOnly="1" outline="0" fieldPosition="0">
        <references count="2">
          <reference field="11" count="1" selected="0">
            <x v="357"/>
          </reference>
          <reference field="14" count="1" defaultSubtotal="1">
            <x v="298"/>
          </reference>
        </references>
      </pivotArea>
    </format>
    <format dxfId="4784">
      <pivotArea dataOnly="0" labelOnly="1" outline="0" fieldPosition="0">
        <references count="2">
          <reference field="11" count="1" selected="0">
            <x v="358"/>
          </reference>
          <reference field="14" count="1">
            <x v="292"/>
          </reference>
        </references>
      </pivotArea>
    </format>
    <format dxfId="4783">
      <pivotArea dataOnly="0" labelOnly="1" outline="0" fieldPosition="0">
        <references count="2">
          <reference field="11" count="1" selected="0">
            <x v="358"/>
          </reference>
          <reference field="14" count="1" defaultSubtotal="1">
            <x v="292"/>
          </reference>
        </references>
      </pivotArea>
    </format>
    <format dxfId="4782">
      <pivotArea dataOnly="0" labelOnly="1" outline="0" fieldPosition="0">
        <references count="2">
          <reference field="11" count="1" selected="0">
            <x v="359"/>
          </reference>
          <reference field="14" count="1">
            <x v="39"/>
          </reference>
        </references>
      </pivotArea>
    </format>
    <format dxfId="4781">
      <pivotArea dataOnly="0" labelOnly="1" outline="0" fieldPosition="0">
        <references count="2">
          <reference field="11" count="1" selected="0">
            <x v="359"/>
          </reference>
          <reference field="14" count="1" defaultSubtotal="1">
            <x v="39"/>
          </reference>
        </references>
      </pivotArea>
    </format>
    <format dxfId="4780">
      <pivotArea dataOnly="0" labelOnly="1" outline="0" fieldPosition="0">
        <references count="2">
          <reference field="11" count="1" selected="0">
            <x v="360"/>
          </reference>
          <reference field="14" count="1">
            <x v="24"/>
          </reference>
        </references>
      </pivotArea>
    </format>
    <format dxfId="4779">
      <pivotArea dataOnly="0" labelOnly="1" outline="0" fieldPosition="0">
        <references count="2">
          <reference field="11" count="1" selected="0">
            <x v="360"/>
          </reference>
          <reference field="14" count="1" defaultSubtotal="1">
            <x v="24"/>
          </reference>
        </references>
      </pivotArea>
    </format>
    <format dxfId="4778">
      <pivotArea dataOnly="0" labelOnly="1" outline="0" fieldPosition="0">
        <references count="2">
          <reference field="11" count="1" selected="0">
            <x v="361"/>
          </reference>
          <reference field="14" count="1">
            <x v="352"/>
          </reference>
        </references>
      </pivotArea>
    </format>
    <format dxfId="4777">
      <pivotArea dataOnly="0" labelOnly="1" outline="0" fieldPosition="0">
        <references count="2">
          <reference field="11" count="1" selected="0">
            <x v="361"/>
          </reference>
          <reference field="14" count="1" defaultSubtotal="1">
            <x v="352"/>
          </reference>
        </references>
      </pivotArea>
    </format>
    <format dxfId="4776">
      <pivotArea dataOnly="0" labelOnly="1" outline="0" fieldPosition="0">
        <references count="2">
          <reference field="11" count="1" selected="0">
            <x v="362"/>
          </reference>
          <reference field="14" count="1">
            <x v="21"/>
          </reference>
        </references>
      </pivotArea>
    </format>
    <format dxfId="4775">
      <pivotArea dataOnly="0" labelOnly="1" outline="0" fieldPosition="0">
        <references count="2">
          <reference field="11" count="1" selected="0">
            <x v="362"/>
          </reference>
          <reference field="14" count="1" defaultSubtotal="1">
            <x v="21"/>
          </reference>
        </references>
      </pivotArea>
    </format>
    <format dxfId="4774">
      <pivotArea dataOnly="0" labelOnly="1" outline="0" fieldPosition="0">
        <references count="2">
          <reference field="11" count="1" selected="0">
            <x v="363"/>
          </reference>
          <reference field="14" count="1">
            <x v="6"/>
          </reference>
        </references>
      </pivotArea>
    </format>
    <format dxfId="4773">
      <pivotArea dataOnly="0" labelOnly="1" outline="0" fieldPosition="0">
        <references count="2">
          <reference field="11" count="1" selected="0">
            <x v="363"/>
          </reference>
          <reference field="14" count="1" defaultSubtotal="1">
            <x v="6"/>
          </reference>
        </references>
      </pivotArea>
    </format>
    <format dxfId="4772">
      <pivotArea dataOnly="0" labelOnly="1" outline="0" fieldPosition="0">
        <references count="2">
          <reference field="11" count="1" selected="0">
            <x v="364"/>
          </reference>
          <reference field="14" count="1">
            <x v="212"/>
          </reference>
        </references>
      </pivotArea>
    </format>
    <format dxfId="4771">
      <pivotArea dataOnly="0" labelOnly="1" outline="0" fieldPosition="0">
        <references count="2">
          <reference field="11" count="1" selected="0">
            <x v="364"/>
          </reference>
          <reference field="14" count="1" defaultSubtotal="1">
            <x v="212"/>
          </reference>
        </references>
      </pivotArea>
    </format>
    <format dxfId="4770">
      <pivotArea dataOnly="0" labelOnly="1" outline="0" fieldPosition="0">
        <references count="2">
          <reference field="11" count="1" selected="0">
            <x v="365"/>
          </reference>
          <reference field="14" count="1">
            <x v="284"/>
          </reference>
        </references>
      </pivotArea>
    </format>
    <format dxfId="4769">
      <pivotArea dataOnly="0" labelOnly="1" outline="0" fieldPosition="0">
        <references count="2">
          <reference field="11" count="1" selected="0">
            <x v="365"/>
          </reference>
          <reference field="14" count="1" defaultSubtotal="1">
            <x v="284"/>
          </reference>
        </references>
      </pivotArea>
    </format>
    <format dxfId="4768">
      <pivotArea dataOnly="0" labelOnly="1" outline="0" fieldPosition="0">
        <references count="2">
          <reference field="11" count="1" selected="0">
            <x v="366"/>
          </reference>
          <reference field="14" count="1">
            <x v="254"/>
          </reference>
        </references>
      </pivotArea>
    </format>
    <format dxfId="4767">
      <pivotArea dataOnly="0" labelOnly="1" outline="0" fieldPosition="0">
        <references count="2">
          <reference field="11" count="1" selected="0">
            <x v="366"/>
          </reference>
          <reference field="14" count="1" defaultSubtotal="1">
            <x v="254"/>
          </reference>
        </references>
      </pivotArea>
    </format>
    <format dxfId="4766">
      <pivotArea dataOnly="0" labelOnly="1" outline="0" fieldPosition="0">
        <references count="2">
          <reference field="11" count="1" selected="0">
            <x v="367"/>
          </reference>
          <reference field="14" count="1">
            <x v="457"/>
          </reference>
        </references>
      </pivotArea>
    </format>
    <format dxfId="4765">
      <pivotArea dataOnly="0" labelOnly="1" outline="0" fieldPosition="0">
        <references count="2">
          <reference field="11" count="1" selected="0">
            <x v="367"/>
          </reference>
          <reference field="14" count="1" defaultSubtotal="1">
            <x v="457"/>
          </reference>
        </references>
      </pivotArea>
    </format>
    <format dxfId="4764">
      <pivotArea dataOnly="0" labelOnly="1" outline="0" fieldPosition="0">
        <references count="2">
          <reference field="11" count="1" selected="0">
            <x v="368"/>
          </reference>
          <reference field="14" count="1">
            <x v="2"/>
          </reference>
        </references>
      </pivotArea>
    </format>
    <format dxfId="4763">
      <pivotArea dataOnly="0" labelOnly="1" outline="0" fieldPosition="0">
        <references count="2">
          <reference field="11" count="1" selected="0">
            <x v="368"/>
          </reference>
          <reference field="14" count="1" defaultSubtotal="1">
            <x v="2"/>
          </reference>
        </references>
      </pivotArea>
    </format>
    <format dxfId="4762">
      <pivotArea dataOnly="0" labelOnly="1" outline="0" fieldPosition="0">
        <references count="2">
          <reference field="11" count="1" selected="0">
            <x v="369"/>
          </reference>
          <reference field="14" count="1">
            <x v="147"/>
          </reference>
        </references>
      </pivotArea>
    </format>
    <format dxfId="4761">
      <pivotArea dataOnly="0" labelOnly="1" outline="0" fieldPosition="0">
        <references count="2">
          <reference field="11" count="1" selected="0">
            <x v="369"/>
          </reference>
          <reference field="14" count="1" defaultSubtotal="1">
            <x v="147"/>
          </reference>
        </references>
      </pivotArea>
    </format>
    <format dxfId="4760">
      <pivotArea dataOnly="0" labelOnly="1" outline="0" fieldPosition="0">
        <references count="2">
          <reference field="11" count="1" selected="0">
            <x v="370"/>
          </reference>
          <reference field="14" count="1">
            <x v="112"/>
          </reference>
        </references>
      </pivotArea>
    </format>
    <format dxfId="4759">
      <pivotArea dataOnly="0" labelOnly="1" outline="0" fieldPosition="0">
        <references count="2">
          <reference field="11" count="1" selected="0">
            <x v="370"/>
          </reference>
          <reference field="14" count="1" defaultSubtotal="1">
            <x v="112"/>
          </reference>
        </references>
      </pivotArea>
    </format>
    <format dxfId="4758">
      <pivotArea dataOnly="0" labelOnly="1" outline="0" fieldPosition="0">
        <references count="2">
          <reference field="11" count="1" selected="0">
            <x v="371"/>
          </reference>
          <reference field="14" count="1">
            <x v="81"/>
          </reference>
        </references>
      </pivotArea>
    </format>
    <format dxfId="4757">
      <pivotArea dataOnly="0" labelOnly="1" outline="0" fieldPosition="0">
        <references count="2">
          <reference field="11" count="1" selected="0">
            <x v="371"/>
          </reference>
          <reference field="14" count="1" defaultSubtotal="1">
            <x v="81"/>
          </reference>
        </references>
      </pivotArea>
    </format>
    <format dxfId="4756">
      <pivotArea dataOnly="0" labelOnly="1" outline="0" fieldPosition="0">
        <references count="2">
          <reference field="11" count="1" selected="0">
            <x v="372"/>
          </reference>
          <reference field="14" count="1">
            <x v="82"/>
          </reference>
        </references>
      </pivotArea>
    </format>
    <format dxfId="4755">
      <pivotArea dataOnly="0" labelOnly="1" outline="0" fieldPosition="0">
        <references count="2">
          <reference field="11" count="1" selected="0">
            <x v="372"/>
          </reference>
          <reference field="14" count="1" defaultSubtotal="1">
            <x v="82"/>
          </reference>
        </references>
      </pivotArea>
    </format>
    <format dxfId="4754">
      <pivotArea dataOnly="0" labelOnly="1" outline="0" fieldPosition="0">
        <references count="2">
          <reference field="11" count="1" selected="0">
            <x v="373"/>
          </reference>
          <reference field="14" count="1">
            <x v="85"/>
          </reference>
        </references>
      </pivotArea>
    </format>
    <format dxfId="4753">
      <pivotArea dataOnly="0" labelOnly="1" outline="0" fieldPosition="0">
        <references count="2">
          <reference field="11" count="1" selected="0">
            <x v="373"/>
          </reference>
          <reference field="14" count="1" defaultSubtotal="1">
            <x v="85"/>
          </reference>
        </references>
      </pivotArea>
    </format>
    <format dxfId="4752">
      <pivotArea dataOnly="0" labelOnly="1" outline="0" fieldPosition="0">
        <references count="2">
          <reference field="11" count="1" selected="0">
            <x v="374"/>
          </reference>
          <reference field="14" count="1">
            <x v="89"/>
          </reference>
        </references>
      </pivotArea>
    </format>
    <format dxfId="4751">
      <pivotArea dataOnly="0" labelOnly="1" outline="0" fieldPosition="0">
        <references count="2">
          <reference field="11" count="1" selected="0">
            <x v="374"/>
          </reference>
          <reference field="14" count="1" defaultSubtotal="1">
            <x v="89"/>
          </reference>
        </references>
      </pivotArea>
    </format>
    <format dxfId="4750">
      <pivotArea dataOnly="0" labelOnly="1" outline="0" fieldPosition="0">
        <references count="2">
          <reference field="11" count="1" selected="0">
            <x v="375"/>
          </reference>
          <reference field="14" count="1">
            <x v="88"/>
          </reference>
        </references>
      </pivotArea>
    </format>
    <format dxfId="4749">
      <pivotArea dataOnly="0" labelOnly="1" outline="0" fieldPosition="0">
        <references count="2">
          <reference field="11" count="1" selected="0">
            <x v="375"/>
          </reference>
          <reference field="14" count="1" defaultSubtotal="1">
            <x v="88"/>
          </reference>
        </references>
      </pivotArea>
    </format>
    <format dxfId="4748">
      <pivotArea dataOnly="0" labelOnly="1" outline="0" fieldPosition="0">
        <references count="2">
          <reference field="11" count="1" selected="0">
            <x v="376"/>
          </reference>
          <reference field="14" count="1">
            <x v="87"/>
          </reference>
        </references>
      </pivotArea>
    </format>
    <format dxfId="4747">
      <pivotArea dataOnly="0" labelOnly="1" outline="0" fieldPosition="0">
        <references count="2">
          <reference field="11" count="1" selected="0">
            <x v="376"/>
          </reference>
          <reference field="14" count="1" defaultSubtotal="1">
            <x v="87"/>
          </reference>
        </references>
      </pivotArea>
    </format>
    <format dxfId="4746">
      <pivotArea dataOnly="0" labelOnly="1" outline="0" fieldPosition="0">
        <references count="2">
          <reference field="11" count="1" selected="0">
            <x v="377"/>
          </reference>
          <reference field="14" count="1">
            <x v="79"/>
          </reference>
        </references>
      </pivotArea>
    </format>
    <format dxfId="4745">
      <pivotArea dataOnly="0" labelOnly="1" outline="0" fieldPosition="0">
        <references count="2">
          <reference field="11" count="1" selected="0">
            <x v="377"/>
          </reference>
          <reference field="14" count="1" defaultSubtotal="1">
            <x v="79"/>
          </reference>
        </references>
      </pivotArea>
    </format>
    <format dxfId="4744">
      <pivotArea dataOnly="0" labelOnly="1" outline="0" fieldPosition="0">
        <references count="2">
          <reference field="11" count="1" selected="0">
            <x v="378"/>
          </reference>
          <reference field="14" count="1">
            <x v="92"/>
          </reference>
        </references>
      </pivotArea>
    </format>
    <format dxfId="4743">
      <pivotArea dataOnly="0" labelOnly="1" outline="0" fieldPosition="0">
        <references count="2">
          <reference field="11" count="1" selected="0">
            <x v="378"/>
          </reference>
          <reference field="14" count="1" defaultSubtotal="1">
            <x v="92"/>
          </reference>
        </references>
      </pivotArea>
    </format>
    <format dxfId="4742">
      <pivotArea dataOnly="0" labelOnly="1" outline="0" fieldPosition="0">
        <references count="2">
          <reference field="11" count="1" selected="0">
            <x v="379"/>
          </reference>
          <reference field="14" count="1">
            <x v="145"/>
          </reference>
        </references>
      </pivotArea>
    </format>
    <format dxfId="4741">
      <pivotArea dataOnly="0" labelOnly="1" outline="0" fieldPosition="0">
        <references count="2">
          <reference field="11" count="1" selected="0">
            <x v="379"/>
          </reference>
          <reference field="14" count="1" defaultSubtotal="1">
            <x v="145"/>
          </reference>
        </references>
      </pivotArea>
    </format>
    <format dxfId="4740">
      <pivotArea dataOnly="0" labelOnly="1" outline="0" fieldPosition="0">
        <references count="2">
          <reference field="11" count="1" selected="0">
            <x v="380"/>
          </reference>
          <reference field="14" count="1">
            <x v="334"/>
          </reference>
        </references>
      </pivotArea>
    </format>
    <format dxfId="4739">
      <pivotArea dataOnly="0" labelOnly="1" outline="0" fieldPosition="0">
        <references count="2">
          <reference field="11" count="1" selected="0">
            <x v="380"/>
          </reference>
          <reference field="14" count="1" defaultSubtotal="1">
            <x v="334"/>
          </reference>
        </references>
      </pivotArea>
    </format>
    <format dxfId="4738">
      <pivotArea dataOnly="0" labelOnly="1" outline="0" fieldPosition="0">
        <references count="2">
          <reference field="11" count="1" selected="0">
            <x v="381"/>
          </reference>
          <reference field="14" count="1">
            <x v="399"/>
          </reference>
        </references>
      </pivotArea>
    </format>
    <format dxfId="4737">
      <pivotArea dataOnly="0" labelOnly="1" outline="0" fieldPosition="0">
        <references count="2">
          <reference field="11" count="1" selected="0">
            <x v="381"/>
          </reference>
          <reference field="14" count="1" defaultSubtotal="1">
            <x v="399"/>
          </reference>
        </references>
      </pivotArea>
    </format>
    <format dxfId="4736">
      <pivotArea dataOnly="0" labelOnly="1" outline="0" fieldPosition="0">
        <references count="2">
          <reference field="11" count="1" selected="0">
            <x v="382"/>
          </reference>
          <reference field="14" count="1">
            <x v="400"/>
          </reference>
        </references>
      </pivotArea>
    </format>
    <format dxfId="4735">
      <pivotArea dataOnly="0" labelOnly="1" outline="0" fieldPosition="0">
        <references count="2">
          <reference field="11" count="1" selected="0">
            <x v="382"/>
          </reference>
          <reference field="14" count="1" defaultSubtotal="1">
            <x v="400"/>
          </reference>
        </references>
      </pivotArea>
    </format>
    <format dxfId="4734">
      <pivotArea dataOnly="0" labelOnly="1" outline="0" fieldPosition="0">
        <references count="2">
          <reference field="11" count="1" selected="0">
            <x v="383"/>
          </reference>
          <reference field="14" count="1">
            <x v="364"/>
          </reference>
        </references>
      </pivotArea>
    </format>
    <format dxfId="4733">
      <pivotArea dataOnly="0" labelOnly="1" outline="0" fieldPosition="0">
        <references count="2">
          <reference field="11" count="1" selected="0">
            <x v="383"/>
          </reference>
          <reference field="14" count="1" defaultSubtotal="1">
            <x v="364"/>
          </reference>
        </references>
      </pivotArea>
    </format>
    <format dxfId="4732">
      <pivotArea dataOnly="0" labelOnly="1" outline="0" fieldPosition="0">
        <references count="2">
          <reference field="11" count="1" selected="0">
            <x v="384"/>
          </reference>
          <reference field="14" count="1">
            <x v="211"/>
          </reference>
        </references>
      </pivotArea>
    </format>
    <format dxfId="4731">
      <pivotArea dataOnly="0" labelOnly="1" outline="0" fieldPosition="0">
        <references count="2">
          <reference field="11" count="1" selected="0">
            <x v="384"/>
          </reference>
          <reference field="14" count="1" defaultSubtotal="1">
            <x v="211"/>
          </reference>
        </references>
      </pivotArea>
    </format>
    <format dxfId="4730">
      <pivotArea dataOnly="0" labelOnly="1" outline="0" fieldPosition="0">
        <references count="2">
          <reference field="11" count="1" selected="0">
            <x v="385"/>
          </reference>
          <reference field="14" count="1">
            <x v="7"/>
          </reference>
        </references>
      </pivotArea>
    </format>
    <format dxfId="4729">
      <pivotArea dataOnly="0" labelOnly="1" outline="0" fieldPosition="0">
        <references count="2">
          <reference field="11" count="1" selected="0">
            <x v="385"/>
          </reference>
          <reference field="14" count="1" defaultSubtotal="1">
            <x v="7"/>
          </reference>
        </references>
      </pivotArea>
    </format>
    <format dxfId="4728">
      <pivotArea dataOnly="0" labelOnly="1" outline="0" fieldPosition="0">
        <references count="2">
          <reference field="11" count="1" selected="0">
            <x v="386"/>
          </reference>
          <reference field="14" count="1">
            <x v="297"/>
          </reference>
        </references>
      </pivotArea>
    </format>
    <format dxfId="4727">
      <pivotArea dataOnly="0" labelOnly="1" outline="0" fieldPosition="0">
        <references count="2">
          <reference field="11" count="1" selected="0">
            <x v="386"/>
          </reference>
          <reference field="14" count="1" defaultSubtotal="1">
            <x v="297"/>
          </reference>
        </references>
      </pivotArea>
    </format>
    <format dxfId="4726">
      <pivotArea dataOnly="0" labelOnly="1" outline="0" fieldPosition="0">
        <references count="2">
          <reference field="11" count="1" selected="0">
            <x v="387"/>
          </reference>
          <reference field="14" count="1">
            <x v="408"/>
          </reference>
        </references>
      </pivotArea>
    </format>
    <format dxfId="4725">
      <pivotArea dataOnly="0" labelOnly="1" outline="0" fieldPosition="0">
        <references count="2">
          <reference field="11" count="1" selected="0">
            <x v="387"/>
          </reference>
          <reference field="14" count="1" defaultSubtotal="1">
            <x v="408"/>
          </reference>
        </references>
      </pivotArea>
    </format>
    <format dxfId="4724">
      <pivotArea dataOnly="0" labelOnly="1" outline="0" fieldPosition="0">
        <references count="2">
          <reference field="11" count="1" selected="0">
            <x v="388"/>
          </reference>
          <reference field="14" count="1">
            <x v="190"/>
          </reference>
        </references>
      </pivotArea>
    </format>
    <format dxfId="4723">
      <pivotArea dataOnly="0" labelOnly="1" outline="0" fieldPosition="0">
        <references count="2">
          <reference field="11" count="1" selected="0">
            <x v="388"/>
          </reference>
          <reference field="14" count="1" defaultSubtotal="1">
            <x v="190"/>
          </reference>
        </references>
      </pivotArea>
    </format>
    <format dxfId="4722">
      <pivotArea dataOnly="0" labelOnly="1" outline="0" fieldPosition="0">
        <references count="2">
          <reference field="11" count="1" selected="0">
            <x v="389"/>
          </reference>
          <reference field="14" count="1">
            <x v="140"/>
          </reference>
        </references>
      </pivotArea>
    </format>
    <format dxfId="4721">
      <pivotArea dataOnly="0" labelOnly="1" outline="0" fieldPosition="0">
        <references count="2">
          <reference field="11" count="1" selected="0">
            <x v="389"/>
          </reference>
          <reference field="14" count="1" defaultSubtotal="1">
            <x v="140"/>
          </reference>
        </references>
      </pivotArea>
    </format>
    <format dxfId="4720">
      <pivotArea dataOnly="0" labelOnly="1" outline="0" fieldPosition="0">
        <references count="2">
          <reference field="11" count="1" selected="0">
            <x v="390"/>
          </reference>
          <reference field="14" count="1">
            <x v="445"/>
          </reference>
        </references>
      </pivotArea>
    </format>
    <format dxfId="4719">
      <pivotArea dataOnly="0" labelOnly="1" outline="0" fieldPosition="0">
        <references count="2">
          <reference field="11" count="1" selected="0">
            <x v="390"/>
          </reference>
          <reference field="14" count="1" defaultSubtotal="1">
            <x v="445"/>
          </reference>
        </references>
      </pivotArea>
    </format>
    <format dxfId="4718">
      <pivotArea dataOnly="0" labelOnly="1" outline="0" fieldPosition="0">
        <references count="2">
          <reference field="11" count="1" selected="0">
            <x v="391"/>
          </reference>
          <reference field="14" count="1">
            <x v="422"/>
          </reference>
        </references>
      </pivotArea>
    </format>
    <format dxfId="4717">
      <pivotArea dataOnly="0" labelOnly="1" outline="0" fieldPosition="0">
        <references count="2">
          <reference field="11" count="1" selected="0">
            <x v="391"/>
          </reference>
          <reference field="14" count="1" defaultSubtotal="1">
            <x v="422"/>
          </reference>
        </references>
      </pivotArea>
    </format>
    <format dxfId="4716">
      <pivotArea dataOnly="0" labelOnly="1" outline="0" fieldPosition="0">
        <references count="2">
          <reference field="11" count="1" selected="0">
            <x v="392"/>
          </reference>
          <reference field="14" count="1">
            <x v="198"/>
          </reference>
        </references>
      </pivotArea>
    </format>
    <format dxfId="4715">
      <pivotArea dataOnly="0" labelOnly="1" outline="0" fieldPosition="0">
        <references count="2">
          <reference field="11" count="1" selected="0">
            <x v="392"/>
          </reference>
          <reference field="14" count="1" defaultSubtotal="1">
            <x v="198"/>
          </reference>
        </references>
      </pivotArea>
    </format>
    <format dxfId="4714">
      <pivotArea dataOnly="0" labelOnly="1" outline="0" fieldPosition="0">
        <references count="2">
          <reference field="11" count="1" selected="0">
            <x v="393"/>
          </reference>
          <reference field="14" count="1">
            <x v="205"/>
          </reference>
        </references>
      </pivotArea>
    </format>
    <format dxfId="4713">
      <pivotArea dataOnly="0" labelOnly="1" outline="0" fieldPosition="0">
        <references count="2">
          <reference field="11" count="1" selected="0">
            <x v="393"/>
          </reference>
          <reference field="14" count="1" defaultSubtotal="1">
            <x v="205"/>
          </reference>
        </references>
      </pivotArea>
    </format>
    <format dxfId="4712">
      <pivotArea dataOnly="0" labelOnly="1" outline="0" fieldPosition="0">
        <references count="2">
          <reference field="11" count="1" selected="0">
            <x v="394"/>
          </reference>
          <reference field="14" count="1">
            <x v="53"/>
          </reference>
        </references>
      </pivotArea>
    </format>
    <format dxfId="4711">
      <pivotArea dataOnly="0" labelOnly="1" outline="0" fieldPosition="0">
        <references count="2">
          <reference field="11" count="1" selected="0">
            <x v="394"/>
          </reference>
          <reference field="14" count="1" defaultSubtotal="1">
            <x v="53"/>
          </reference>
        </references>
      </pivotArea>
    </format>
    <format dxfId="4710">
      <pivotArea dataOnly="0" labelOnly="1" outline="0" fieldPosition="0">
        <references count="2">
          <reference field="11" count="1" selected="0">
            <x v="395"/>
          </reference>
          <reference field="14" count="1">
            <x v="245"/>
          </reference>
        </references>
      </pivotArea>
    </format>
    <format dxfId="4709">
      <pivotArea dataOnly="0" labelOnly="1" outline="0" fieldPosition="0">
        <references count="2">
          <reference field="11" count="1" selected="0">
            <x v="395"/>
          </reference>
          <reference field="14" count="1" defaultSubtotal="1">
            <x v="245"/>
          </reference>
        </references>
      </pivotArea>
    </format>
    <format dxfId="4708">
      <pivotArea dataOnly="0" labelOnly="1" outline="0" fieldPosition="0">
        <references count="2">
          <reference field="11" count="1" selected="0">
            <x v="396"/>
          </reference>
          <reference field="14" count="1">
            <x v="169"/>
          </reference>
        </references>
      </pivotArea>
    </format>
    <format dxfId="4707">
      <pivotArea dataOnly="0" labelOnly="1" outline="0" fieldPosition="0">
        <references count="2">
          <reference field="11" count="1" selected="0">
            <x v="396"/>
          </reference>
          <reference field="14" count="1" defaultSubtotal="1">
            <x v="169"/>
          </reference>
        </references>
      </pivotArea>
    </format>
    <format dxfId="4706">
      <pivotArea dataOnly="0" labelOnly="1" outline="0" fieldPosition="0">
        <references count="2">
          <reference field="11" count="1" selected="0">
            <x v="397"/>
          </reference>
          <reference field="14" count="1">
            <x v="167"/>
          </reference>
        </references>
      </pivotArea>
    </format>
    <format dxfId="4705">
      <pivotArea dataOnly="0" labelOnly="1" outline="0" fieldPosition="0">
        <references count="2">
          <reference field="11" count="1" selected="0">
            <x v="397"/>
          </reference>
          <reference field="14" count="1" defaultSubtotal="1">
            <x v="167"/>
          </reference>
        </references>
      </pivotArea>
    </format>
    <format dxfId="4704">
      <pivotArea dataOnly="0" labelOnly="1" outline="0" fieldPosition="0">
        <references count="2">
          <reference field="11" count="1" selected="0">
            <x v="398"/>
          </reference>
          <reference field="14" count="1">
            <x v="360"/>
          </reference>
        </references>
      </pivotArea>
    </format>
    <format dxfId="4703">
      <pivotArea dataOnly="0" labelOnly="1" outline="0" fieldPosition="0">
        <references count="2">
          <reference field="11" count="1" selected="0">
            <x v="398"/>
          </reference>
          <reference field="14" count="1" defaultSubtotal="1">
            <x v="360"/>
          </reference>
        </references>
      </pivotArea>
    </format>
    <format dxfId="4702">
      <pivotArea dataOnly="0" labelOnly="1" outline="0" fieldPosition="0">
        <references count="2">
          <reference field="11" count="1" selected="0">
            <x v="399"/>
          </reference>
          <reference field="14" count="1">
            <x v="95"/>
          </reference>
        </references>
      </pivotArea>
    </format>
    <format dxfId="4701">
      <pivotArea dataOnly="0" labelOnly="1" outline="0" fieldPosition="0">
        <references count="2">
          <reference field="11" count="1" selected="0">
            <x v="399"/>
          </reference>
          <reference field="14" count="1" defaultSubtotal="1">
            <x v="95"/>
          </reference>
        </references>
      </pivotArea>
    </format>
    <format dxfId="4700">
      <pivotArea dataOnly="0" labelOnly="1" outline="0" fieldPosition="0">
        <references count="2">
          <reference field="11" count="1" selected="0">
            <x v="400"/>
          </reference>
          <reference field="14" count="1">
            <x v="260"/>
          </reference>
        </references>
      </pivotArea>
    </format>
    <format dxfId="4699">
      <pivotArea dataOnly="0" labelOnly="1" outline="0" fieldPosition="0">
        <references count="2">
          <reference field="11" count="1" selected="0">
            <x v="400"/>
          </reference>
          <reference field="14" count="1" defaultSubtotal="1">
            <x v="260"/>
          </reference>
        </references>
      </pivotArea>
    </format>
    <format dxfId="4698">
      <pivotArea dataOnly="0" labelOnly="1" outline="0" fieldPosition="0">
        <references count="2">
          <reference field="11" count="1" selected="0">
            <x v="401"/>
          </reference>
          <reference field="14" count="1">
            <x v="75"/>
          </reference>
        </references>
      </pivotArea>
    </format>
    <format dxfId="4697">
      <pivotArea dataOnly="0" labelOnly="1" outline="0" fieldPosition="0">
        <references count="2">
          <reference field="11" count="1" selected="0">
            <x v="401"/>
          </reference>
          <reference field="14" count="1" defaultSubtotal="1">
            <x v="75"/>
          </reference>
        </references>
      </pivotArea>
    </format>
    <format dxfId="4696">
      <pivotArea dataOnly="0" labelOnly="1" outline="0" fieldPosition="0">
        <references count="2">
          <reference field="11" count="1" selected="0">
            <x v="402"/>
          </reference>
          <reference field="14" count="1">
            <x v="322"/>
          </reference>
        </references>
      </pivotArea>
    </format>
    <format dxfId="4695">
      <pivotArea dataOnly="0" labelOnly="1" outline="0" fieldPosition="0">
        <references count="2">
          <reference field="11" count="1" selected="0">
            <x v="402"/>
          </reference>
          <reference field="14" count="1" defaultSubtotal="1">
            <x v="322"/>
          </reference>
        </references>
      </pivotArea>
    </format>
    <format dxfId="4694">
      <pivotArea dataOnly="0" labelOnly="1" outline="0" fieldPosition="0">
        <references count="2">
          <reference field="11" count="1" selected="0">
            <x v="403"/>
          </reference>
          <reference field="14" count="1">
            <x v="146"/>
          </reference>
        </references>
      </pivotArea>
    </format>
    <format dxfId="4693">
      <pivotArea dataOnly="0" labelOnly="1" outline="0" fieldPosition="0">
        <references count="2">
          <reference field="11" count="1" selected="0">
            <x v="403"/>
          </reference>
          <reference field="14" count="1" defaultSubtotal="1">
            <x v="146"/>
          </reference>
        </references>
      </pivotArea>
    </format>
    <format dxfId="4692">
      <pivotArea dataOnly="0" labelOnly="1" outline="0" fieldPosition="0">
        <references count="2">
          <reference field="11" count="1" selected="0">
            <x v="404"/>
          </reference>
          <reference field="14" count="1">
            <x v="443"/>
          </reference>
        </references>
      </pivotArea>
    </format>
    <format dxfId="4691">
      <pivotArea dataOnly="0" labelOnly="1" outline="0" fieldPosition="0">
        <references count="2">
          <reference field="11" count="1" selected="0">
            <x v="404"/>
          </reference>
          <reference field="14" count="1" defaultSubtotal="1">
            <x v="443"/>
          </reference>
        </references>
      </pivotArea>
    </format>
    <format dxfId="4690">
      <pivotArea dataOnly="0" labelOnly="1" outline="0" fieldPosition="0">
        <references count="2">
          <reference field="11" count="1" selected="0">
            <x v="405"/>
          </reference>
          <reference field="14" count="1">
            <x v="359"/>
          </reference>
        </references>
      </pivotArea>
    </format>
    <format dxfId="4689">
      <pivotArea dataOnly="0" labelOnly="1" outline="0" fieldPosition="0">
        <references count="2">
          <reference field="11" count="1" selected="0">
            <x v="405"/>
          </reference>
          <reference field="14" count="1" defaultSubtotal="1">
            <x v="359"/>
          </reference>
        </references>
      </pivotArea>
    </format>
    <format dxfId="4688">
      <pivotArea dataOnly="0" labelOnly="1" outline="0" fieldPosition="0">
        <references count="2">
          <reference field="11" count="1" selected="0">
            <x v="406"/>
          </reference>
          <reference field="14" count="1">
            <x v="381"/>
          </reference>
        </references>
      </pivotArea>
    </format>
    <format dxfId="4687">
      <pivotArea dataOnly="0" labelOnly="1" outline="0" fieldPosition="0">
        <references count="2">
          <reference field="11" count="1" selected="0">
            <x v="406"/>
          </reference>
          <reference field="14" count="1" defaultSubtotal="1">
            <x v="381"/>
          </reference>
        </references>
      </pivotArea>
    </format>
    <format dxfId="4686">
      <pivotArea dataOnly="0" labelOnly="1" outline="0" fieldPosition="0">
        <references count="2">
          <reference field="11" count="1" selected="0">
            <x v="407"/>
          </reference>
          <reference field="14" count="1">
            <x v="65"/>
          </reference>
        </references>
      </pivotArea>
    </format>
    <format dxfId="4685">
      <pivotArea dataOnly="0" labelOnly="1" outline="0" fieldPosition="0">
        <references count="2">
          <reference field="11" count="1" selected="0">
            <x v="407"/>
          </reference>
          <reference field="14" count="1" defaultSubtotal="1">
            <x v="65"/>
          </reference>
        </references>
      </pivotArea>
    </format>
    <format dxfId="4684">
      <pivotArea dataOnly="0" labelOnly="1" outline="0" fieldPosition="0">
        <references count="2">
          <reference field="11" count="1" selected="0">
            <x v="408"/>
          </reference>
          <reference field="14" count="1">
            <x v="20"/>
          </reference>
        </references>
      </pivotArea>
    </format>
    <format dxfId="4683">
      <pivotArea dataOnly="0" labelOnly="1" outline="0" fieldPosition="0">
        <references count="2">
          <reference field="11" count="1" selected="0">
            <x v="408"/>
          </reference>
          <reference field="14" count="1" defaultSubtotal="1">
            <x v="20"/>
          </reference>
        </references>
      </pivotArea>
    </format>
    <format dxfId="4682">
      <pivotArea dataOnly="0" labelOnly="1" outline="0" fieldPosition="0">
        <references count="2">
          <reference field="11" count="1" selected="0">
            <x v="409"/>
          </reference>
          <reference field="14" count="1">
            <x v="175"/>
          </reference>
        </references>
      </pivotArea>
    </format>
    <format dxfId="4681">
      <pivotArea dataOnly="0" labelOnly="1" outline="0" fieldPosition="0">
        <references count="2">
          <reference field="11" count="1" selected="0">
            <x v="409"/>
          </reference>
          <reference field="14" count="1" defaultSubtotal="1">
            <x v="175"/>
          </reference>
        </references>
      </pivotArea>
    </format>
    <format dxfId="4680">
      <pivotArea dataOnly="0" labelOnly="1" outline="0" fieldPosition="0">
        <references count="2">
          <reference field="11" count="1" selected="0">
            <x v="410"/>
          </reference>
          <reference field="14" count="1">
            <x v="366"/>
          </reference>
        </references>
      </pivotArea>
    </format>
    <format dxfId="4679">
      <pivotArea dataOnly="0" labelOnly="1" outline="0" fieldPosition="0">
        <references count="2">
          <reference field="11" count="1" selected="0">
            <x v="410"/>
          </reference>
          <reference field="14" count="1" defaultSubtotal="1">
            <x v="366"/>
          </reference>
        </references>
      </pivotArea>
    </format>
    <format dxfId="4678">
      <pivotArea dataOnly="0" labelOnly="1" outline="0" fieldPosition="0">
        <references count="2">
          <reference field="11" count="1" selected="0">
            <x v="411"/>
          </reference>
          <reference field="14" count="1">
            <x v="204"/>
          </reference>
        </references>
      </pivotArea>
    </format>
    <format dxfId="4677">
      <pivotArea dataOnly="0" labelOnly="1" outline="0" fieldPosition="0">
        <references count="2">
          <reference field="11" count="1" selected="0">
            <x v="411"/>
          </reference>
          <reference field="14" count="1" defaultSubtotal="1">
            <x v="204"/>
          </reference>
        </references>
      </pivotArea>
    </format>
    <format dxfId="4676">
      <pivotArea dataOnly="0" labelOnly="1" outline="0" fieldPosition="0">
        <references count="2">
          <reference field="11" count="1" selected="0">
            <x v="412"/>
          </reference>
          <reference field="14" count="1">
            <x v="441"/>
          </reference>
        </references>
      </pivotArea>
    </format>
    <format dxfId="4675">
      <pivotArea dataOnly="0" labelOnly="1" outline="0" fieldPosition="0">
        <references count="2">
          <reference field="11" count="1" selected="0">
            <x v="412"/>
          </reference>
          <reference field="14" count="1" defaultSubtotal="1">
            <x v="441"/>
          </reference>
        </references>
      </pivotArea>
    </format>
    <format dxfId="4674">
      <pivotArea dataOnly="0" labelOnly="1" outline="0" fieldPosition="0">
        <references count="2">
          <reference field="11" count="1" selected="0">
            <x v="413"/>
          </reference>
          <reference field="14" count="1">
            <x v="73"/>
          </reference>
        </references>
      </pivotArea>
    </format>
    <format dxfId="4673">
      <pivotArea dataOnly="0" labelOnly="1" outline="0" fieldPosition="0">
        <references count="2">
          <reference field="11" count="1" selected="0">
            <x v="413"/>
          </reference>
          <reference field="14" count="1" defaultSubtotal="1">
            <x v="73"/>
          </reference>
        </references>
      </pivotArea>
    </format>
    <format dxfId="4672">
      <pivotArea dataOnly="0" labelOnly="1" outline="0" fieldPosition="0">
        <references count="2">
          <reference field="11" count="1" selected="0">
            <x v="414"/>
          </reference>
          <reference field="14" count="1">
            <x v="125"/>
          </reference>
        </references>
      </pivotArea>
    </format>
    <format dxfId="4671">
      <pivotArea dataOnly="0" labelOnly="1" outline="0" fieldPosition="0">
        <references count="2">
          <reference field="11" count="1" selected="0">
            <x v="414"/>
          </reference>
          <reference field="14" count="1" defaultSubtotal="1">
            <x v="125"/>
          </reference>
        </references>
      </pivotArea>
    </format>
    <format dxfId="4670">
      <pivotArea dataOnly="0" labelOnly="1" outline="0" fieldPosition="0">
        <references count="2">
          <reference field="11" count="1" selected="0">
            <x v="415"/>
          </reference>
          <reference field="14" count="1">
            <x v="324"/>
          </reference>
        </references>
      </pivotArea>
    </format>
    <format dxfId="4669">
      <pivotArea dataOnly="0" labelOnly="1" outline="0" fieldPosition="0">
        <references count="2">
          <reference field="11" count="1" selected="0">
            <x v="415"/>
          </reference>
          <reference field="14" count="1" defaultSubtotal="1">
            <x v="324"/>
          </reference>
        </references>
      </pivotArea>
    </format>
    <format dxfId="4668">
      <pivotArea dataOnly="0" labelOnly="1" outline="0" fieldPosition="0">
        <references count="2">
          <reference field="11" count="1" selected="0">
            <x v="416"/>
          </reference>
          <reference field="14" count="1">
            <x v="108"/>
          </reference>
        </references>
      </pivotArea>
    </format>
    <format dxfId="4667">
      <pivotArea dataOnly="0" labelOnly="1" outline="0" fieldPosition="0">
        <references count="2">
          <reference field="11" count="1" selected="0">
            <x v="416"/>
          </reference>
          <reference field="14" count="1" defaultSubtotal="1">
            <x v="108"/>
          </reference>
        </references>
      </pivotArea>
    </format>
    <format dxfId="4666">
      <pivotArea dataOnly="0" labelOnly="1" outline="0" fieldPosition="0">
        <references count="2">
          <reference field="11" count="1" selected="0">
            <x v="417"/>
          </reference>
          <reference field="14" count="1">
            <x v="109"/>
          </reference>
        </references>
      </pivotArea>
    </format>
    <format dxfId="4665">
      <pivotArea dataOnly="0" labelOnly="1" outline="0" fieldPosition="0">
        <references count="2">
          <reference field="11" count="1" selected="0">
            <x v="417"/>
          </reference>
          <reference field="14" count="1" defaultSubtotal="1">
            <x v="109"/>
          </reference>
        </references>
      </pivotArea>
    </format>
    <format dxfId="4664">
      <pivotArea dataOnly="0" labelOnly="1" outline="0" fieldPosition="0">
        <references count="2">
          <reference field="11" count="1" selected="0">
            <x v="418"/>
          </reference>
          <reference field="14" count="1">
            <x v="110"/>
          </reference>
        </references>
      </pivotArea>
    </format>
    <format dxfId="4663">
      <pivotArea dataOnly="0" labelOnly="1" outline="0" fieldPosition="0">
        <references count="2">
          <reference field="11" count="1" selected="0">
            <x v="418"/>
          </reference>
          <reference field="14" count="1" defaultSubtotal="1">
            <x v="110"/>
          </reference>
        </references>
      </pivotArea>
    </format>
    <format dxfId="4662">
      <pivotArea dataOnly="0" labelOnly="1" outline="0" fieldPosition="0">
        <references count="2">
          <reference field="11" count="1" selected="0">
            <x v="419"/>
          </reference>
          <reference field="14" count="1">
            <x v="107"/>
          </reference>
        </references>
      </pivotArea>
    </format>
    <format dxfId="4661">
      <pivotArea dataOnly="0" labelOnly="1" outline="0" fieldPosition="0">
        <references count="2">
          <reference field="11" count="1" selected="0">
            <x v="419"/>
          </reference>
          <reference field="14" count="1" defaultSubtotal="1">
            <x v="107"/>
          </reference>
        </references>
      </pivotArea>
    </format>
    <format dxfId="4660">
      <pivotArea dataOnly="0" labelOnly="1" outline="0" fieldPosition="0">
        <references count="2">
          <reference field="11" count="1" selected="0">
            <x v="420"/>
          </reference>
          <reference field="14" count="1">
            <x v="45"/>
          </reference>
        </references>
      </pivotArea>
    </format>
    <format dxfId="4659">
      <pivotArea dataOnly="0" labelOnly="1" outline="0" fieldPosition="0">
        <references count="2">
          <reference field="11" count="1" selected="0">
            <x v="420"/>
          </reference>
          <reference field="14" count="1" defaultSubtotal="1">
            <x v="45"/>
          </reference>
        </references>
      </pivotArea>
    </format>
    <format dxfId="4658">
      <pivotArea dataOnly="0" labelOnly="1" outline="0" fieldPosition="0">
        <references count="2">
          <reference field="11" count="1" selected="0">
            <x v="421"/>
          </reference>
          <reference field="14" count="1">
            <x v="287"/>
          </reference>
        </references>
      </pivotArea>
    </format>
    <format dxfId="4657">
      <pivotArea dataOnly="0" labelOnly="1" outline="0" fieldPosition="0">
        <references count="2">
          <reference field="11" count="1" selected="0">
            <x v="421"/>
          </reference>
          <reference field="14" count="1" defaultSubtotal="1">
            <x v="287"/>
          </reference>
        </references>
      </pivotArea>
    </format>
    <format dxfId="4656">
      <pivotArea dataOnly="0" labelOnly="1" outline="0" fieldPosition="0">
        <references count="2">
          <reference field="11" count="1" selected="0">
            <x v="422"/>
          </reference>
          <reference field="14" count="1">
            <x v="363"/>
          </reference>
        </references>
      </pivotArea>
    </format>
    <format dxfId="4655">
      <pivotArea dataOnly="0" labelOnly="1" outline="0" fieldPosition="0">
        <references count="2">
          <reference field="11" count="1" selected="0">
            <x v="422"/>
          </reference>
          <reference field="14" count="1" defaultSubtotal="1">
            <x v="363"/>
          </reference>
        </references>
      </pivotArea>
    </format>
    <format dxfId="4654">
      <pivotArea dataOnly="0" labelOnly="1" outline="0" fieldPosition="0">
        <references count="2">
          <reference field="11" count="1" selected="0">
            <x v="423"/>
          </reference>
          <reference field="14" count="1">
            <x v="259"/>
          </reference>
        </references>
      </pivotArea>
    </format>
    <format dxfId="4653">
      <pivotArea dataOnly="0" labelOnly="1" outline="0" fieldPosition="0">
        <references count="2">
          <reference field="11" count="1" selected="0">
            <x v="423"/>
          </reference>
          <reference field="14" count="1" defaultSubtotal="1">
            <x v="259"/>
          </reference>
        </references>
      </pivotArea>
    </format>
    <format dxfId="4652">
      <pivotArea dataOnly="0" labelOnly="1" outline="0" fieldPosition="0">
        <references count="2">
          <reference field="11" count="1" selected="0">
            <x v="424"/>
          </reference>
          <reference field="14" count="1">
            <x v="408"/>
          </reference>
        </references>
      </pivotArea>
    </format>
    <format dxfId="4651">
      <pivotArea dataOnly="0" labelOnly="1" outline="0" fieldPosition="0">
        <references count="2">
          <reference field="11" count="1" selected="0">
            <x v="424"/>
          </reference>
          <reference field="14" count="1" defaultSubtotal="1">
            <x v="408"/>
          </reference>
        </references>
      </pivotArea>
    </format>
    <format dxfId="4650">
      <pivotArea dataOnly="0" labelOnly="1" outline="0" fieldPosition="0">
        <references count="2">
          <reference field="11" count="1" selected="0">
            <x v="425"/>
          </reference>
          <reference field="14" count="1">
            <x v="289"/>
          </reference>
        </references>
      </pivotArea>
    </format>
    <format dxfId="4649">
      <pivotArea dataOnly="0" labelOnly="1" outline="0" fieldPosition="0">
        <references count="2">
          <reference field="11" count="1" selected="0">
            <x v="425"/>
          </reference>
          <reference field="14" count="1" defaultSubtotal="1">
            <x v="289"/>
          </reference>
        </references>
      </pivotArea>
    </format>
    <format dxfId="4648">
      <pivotArea dataOnly="0" labelOnly="1" outline="0" fieldPosition="0">
        <references count="2">
          <reference field="11" count="1" selected="0">
            <x v="426"/>
          </reference>
          <reference field="14" count="1">
            <x v="401"/>
          </reference>
        </references>
      </pivotArea>
    </format>
    <format dxfId="4647">
      <pivotArea dataOnly="0" labelOnly="1" outline="0" fieldPosition="0">
        <references count="2">
          <reference field="11" count="1" selected="0">
            <x v="426"/>
          </reference>
          <reference field="14" count="1" defaultSubtotal="1">
            <x v="401"/>
          </reference>
        </references>
      </pivotArea>
    </format>
    <format dxfId="4646">
      <pivotArea dataOnly="0" labelOnly="1" outline="0" fieldPosition="0">
        <references count="2">
          <reference field="11" count="1" selected="0">
            <x v="427"/>
          </reference>
          <reference field="14" count="1">
            <x v="407"/>
          </reference>
        </references>
      </pivotArea>
    </format>
    <format dxfId="4645">
      <pivotArea dataOnly="0" labelOnly="1" outline="0" fieldPosition="0">
        <references count="2">
          <reference field="11" count="1" selected="0">
            <x v="427"/>
          </reference>
          <reference field="14" count="1" defaultSubtotal="1">
            <x v="407"/>
          </reference>
        </references>
      </pivotArea>
    </format>
    <format dxfId="4644">
      <pivotArea dataOnly="0" labelOnly="1" outline="0" fieldPosition="0">
        <references count="2">
          <reference field="11" count="1" selected="0">
            <x v="428"/>
          </reference>
          <reference field="14" count="1">
            <x v="412"/>
          </reference>
        </references>
      </pivotArea>
    </format>
    <format dxfId="4643">
      <pivotArea dataOnly="0" labelOnly="1" outline="0" fieldPosition="0">
        <references count="2">
          <reference field="11" count="1" selected="0">
            <x v="428"/>
          </reference>
          <reference field="14" count="1" defaultSubtotal="1">
            <x v="412"/>
          </reference>
        </references>
      </pivotArea>
    </format>
    <format dxfId="4642">
      <pivotArea dataOnly="0" labelOnly="1" outline="0" fieldPosition="0">
        <references count="2">
          <reference field="11" count="1" selected="0">
            <x v="429"/>
          </reference>
          <reference field="14" count="1">
            <x v="421"/>
          </reference>
        </references>
      </pivotArea>
    </format>
    <format dxfId="4641">
      <pivotArea dataOnly="0" labelOnly="1" outline="0" fieldPosition="0">
        <references count="2">
          <reference field="11" count="1" selected="0">
            <x v="429"/>
          </reference>
          <reference field="14" count="1" defaultSubtotal="1">
            <x v="421"/>
          </reference>
        </references>
      </pivotArea>
    </format>
    <format dxfId="4640">
      <pivotArea dataOnly="0" labelOnly="1" outline="0" fieldPosition="0">
        <references count="2">
          <reference field="11" count="1" selected="0">
            <x v="430"/>
          </reference>
          <reference field="14" count="1">
            <x v="444"/>
          </reference>
        </references>
      </pivotArea>
    </format>
    <format dxfId="4639">
      <pivotArea dataOnly="0" labelOnly="1" outline="0" fieldPosition="0">
        <references count="2">
          <reference field="11" count="1" selected="0">
            <x v="430"/>
          </reference>
          <reference field="14" count="1" defaultSubtotal="1">
            <x v="444"/>
          </reference>
        </references>
      </pivotArea>
    </format>
    <format dxfId="4638">
      <pivotArea dataOnly="0" labelOnly="1" outline="0" fieldPosition="0">
        <references count="2">
          <reference field="11" count="1" selected="0">
            <x v="431"/>
          </reference>
          <reference field="14" count="1">
            <x v="191"/>
          </reference>
        </references>
      </pivotArea>
    </format>
    <format dxfId="4637">
      <pivotArea dataOnly="0" labelOnly="1" outline="0" fieldPosition="0">
        <references count="2">
          <reference field="11" count="1" selected="0">
            <x v="431"/>
          </reference>
          <reference field="14" count="1" defaultSubtotal="1">
            <x v="191"/>
          </reference>
        </references>
      </pivotArea>
    </format>
    <format dxfId="4636">
      <pivotArea dataOnly="0" labelOnly="1" outline="0" fieldPosition="0">
        <references count="2">
          <reference field="11" count="1" selected="0">
            <x v="432"/>
          </reference>
          <reference field="14" count="1">
            <x v="119"/>
          </reference>
        </references>
      </pivotArea>
    </format>
    <format dxfId="4635">
      <pivotArea dataOnly="0" labelOnly="1" outline="0" fieldPosition="0">
        <references count="2">
          <reference field="11" count="1" selected="0">
            <x v="432"/>
          </reference>
          <reference field="14" count="1" defaultSubtotal="1">
            <x v="119"/>
          </reference>
        </references>
      </pivotArea>
    </format>
    <format dxfId="4634">
      <pivotArea dataOnly="0" labelOnly="1" outline="0" fieldPosition="0">
        <references count="2">
          <reference field="11" count="1" selected="0">
            <x v="433"/>
          </reference>
          <reference field="14" count="1">
            <x v="80"/>
          </reference>
        </references>
      </pivotArea>
    </format>
    <format dxfId="4633">
      <pivotArea dataOnly="0" labelOnly="1" outline="0" fieldPosition="0">
        <references count="2">
          <reference field="11" count="1" selected="0">
            <x v="433"/>
          </reference>
          <reference field="14" count="1" defaultSubtotal="1">
            <x v="80"/>
          </reference>
        </references>
      </pivotArea>
    </format>
    <format dxfId="4632">
      <pivotArea dataOnly="0" labelOnly="1" outline="0" fieldPosition="0">
        <references count="2">
          <reference field="11" count="1" selected="0">
            <x v="434"/>
          </reference>
          <reference field="14" count="1">
            <x v="84"/>
          </reference>
        </references>
      </pivotArea>
    </format>
    <format dxfId="4631">
      <pivotArea dataOnly="0" labelOnly="1" outline="0" fieldPosition="0">
        <references count="2">
          <reference field="11" count="1" selected="0">
            <x v="434"/>
          </reference>
          <reference field="14" count="1" defaultSubtotal="1">
            <x v="84"/>
          </reference>
        </references>
      </pivotArea>
    </format>
    <format dxfId="4630">
      <pivotArea dataOnly="0" labelOnly="1" outline="0" fieldPosition="0">
        <references count="2">
          <reference field="11" count="1" selected="0">
            <x v="435"/>
          </reference>
          <reference field="14" count="1">
            <x v="236"/>
          </reference>
        </references>
      </pivotArea>
    </format>
    <format dxfId="4629">
      <pivotArea dataOnly="0" labelOnly="1" outline="0" fieldPosition="0">
        <references count="2">
          <reference field="11" count="1" selected="0">
            <x v="435"/>
          </reference>
          <reference field="14" count="1" defaultSubtotal="1">
            <x v="236"/>
          </reference>
        </references>
      </pivotArea>
    </format>
    <format dxfId="4628">
      <pivotArea dataOnly="0" labelOnly="1" outline="0" fieldPosition="0">
        <references count="2">
          <reference field="11" count="1" selected="0">
            <x v="436"/>
          </reference>
          <reference field="14" count="1">
            <x v="99"/>
          </reference>
        </references>
      </pivotArea>
    </format>
    <format dxfId="4627">
      <pivotArea dataOnly="0" labelOnly="1" outline="0" fieldPosition="0">
        <references count="2">
          <reference field="11" count="1" selected="0">
            <x v="436"/>
          </reference>
          <reference field="14" count="1" defaultSubtotal="1">
            <x v="99"/>
          </reference>
        </references>
      </pivotArea>
    </format>
    <format dxfId="4626">
      <pivotArea dataOnly="0" labelOnly="1" outline="0" fieldPosition="0">
        <references count="2">
          <reference field="11" count="1" selected="0">
            <x v="437"/>
          </reference>
          <reference field="14" count="1">
            <x v="246"/>
          </reference>
        </references>
      </pivotArea>
    </format>
    <format dxfId="4625">
      <pivotArea dataOnly="0" labelOnly="1" outline="0" fieldPosition="0">
        <references count="2">
          <reference field="11" count="1" selected="0">
            <x v="437"/>
          </reference>
          <reference field="14" count="1" defaultSubtotal="1">
            <x v="246"/>
          </reference>
        </references>
      </pivotArea>
    </format>
    <format dxfId="4624">
      <pivotArea dataOnly="0" labelOnly="1" outline="0" fieldPosition="0">
        <references count="2">
          <reference field="11" count="1" selected="0">
            <x v="438"/>
          </reference>
          <reference field="14" count="1">
            <x v="15"/>
          </reference>
        </references>
      </pivotArea>
    </format>
    <format dxfId="4623">
      <pivotArea dataOnly="0" labelOnly="1" outline="0" fieldPosition="0">
        <references count="2">
          <reference field="11" count="1" selected="0">
            <x v="438"/>
          </reference>
          <reference field="14" count="1" defaultSubtotal="1">
            <x v="15"/>
          </reference>
        </references>
      </pivotArea>
    </format>
    <format dxfId="4622">
      <pivotArea dataOnly="0" labelOnly="1" outline="0" fieldPosition="0">
        <references count="2">
          <reference field="11" count="1" selected="0">
            <x v="439"/>
          </reference>
          <reference field="14" count="1">
            <x v="446"/>
          </reference>
        </references>
      </pivotArea>
    </format>
    <format dxfId="4621">
      <pivotArea dataOnly="0" labelOnly="1" outline="0" fieldPosition="0">
        <references count="2">
          <reference field="11" count="1" selected="0">
            <x v="439"/>
          </reference>
          <reference field="14" count="1" defaultSubtotal="1">
            <x v="446"/>
          </reference>
        </references>
      </pivotArea>
    </format>
    <format dxfId="4620">
      <pivotArea dataOnly="0" labelOnly="1" outline="0" fieldPosition="0">
        <references count="2">
          <reference field="11" count="1" selected="0">
            <x v="440"/>
          </reference>
          <reference field="14" count="1">
            <x v="208"/>
          </reference>
        </references>
      </pivotArea>
    </format>
    <format dxfId="4619">
      <pivotArea dataOnly="0" labelOnly="1" outline="0" fieldPosition="0">
        <references count="2">
          <reference field="11" count="1" selected="0">
            <x v="440"/>
          </reference>
          <reference field="14" count="1" defaultSubtotal="1">
            <x v="208"/>
          </reference>
        </references>
      </pivotArea>
    </format>
    <format dxfId="4618">
      <pivotArea dataOnly="0" labelOnly="1" outline="0" fieldPosition="0">
        <references count="2">
          <reference field="11" count="1" selected="0">
            <x v="441"/>
          </reference>
          <reference field="14" count="1">
            <x v="30"/>
          </reference>
        </references>
      </pivotArea>
    </format>
    <format dxfId="4617">
      <pivotArea dataOnly="0" labelOnly="1" outline="0" fieldPosition="0">
        <references count="2">
          <reference field="11" count="1" selected="0">
            <x v="441"/>
          </reference>
          <reference field="14" count="1" defaultSubtotal="1">
            <x v="30"/>
          </reference>
        </references>
      </pivotArea>
    </format>
    <format dxfId="4616">
      <pivotArea dataOnly="0" labelOnly="1" outline="0" fieldPosition="0">
        <references count="2">
          <reference field="11" count="1" selected="0">
            <x v="442"/>
          </reference>
          <reference field="14" count="1">
            <x v="306"/>
          </reference>
        </references>
      </pivotArea>
    </format>
    <format dxfId="4615">
      <pivotArea dataOnly="0" labelOnly="1" outline="0" fieldPosition="0">
        <references count="2">
          <reference field="11" count="1" selected="0">
            <x v="442"/>
          </reference>
          <reference field="14" count="1" defaultSubtotal="1">
            <x v="306"/>
          </reference>
        </references>
      </pivotArea>
    </format>
    <format dxfId="4614">
      <pivotArea dataOnly="0" labelOnly="1" outline="0" fieldPosition="0">
        <references count="2">
          <reference field="11" count="1" selected="0">
            <x v="443"/>
          </reference>
          <reference field="14" count="1">
            <x v="432"/>
          </reference>
        </references>
      </pivotArea>
    </format>
    <format dxfId="4613">
      <pivotArea dataOnly="0" labelOnly="1" outline="0" fieldPosition="0">
        <references count="2">
          <reference field="11" count="1" selected="0">
            <x v="443"/>
          </reference>
          <reference field="14" count="1" defaultSubtotal="1">
            <x v="432"/>
          </reference>
        </references>
      </pivotArea>
    </format>
    <format dxfId="4612">
      <pivotArea dataOnly="0" labelOnly="1" outline="0" fieldPosition="0">
        <references count="2">
          <reference field="11" count="1" selected="0">
            <x v="444"/>
          </reference>
          <reference field="14" count="1">
            <x v="436"/>
          </reference>
        </references>
      </pivotArea>
    </format>
    <format dxfId="4611">
      <pivotArea dataOnly="0" labelOnly="1" outline="0" fieldPosition="0">
        <references count="2">
          <reference field="11" count="1" selected="0">
            <x v="444"/>
          </reference>
          <reference field="14" count="1" defaultSubtotal="1">
            <x v="436"/>
          </reference>
        </references>
      </pivotArea>
    </format>
    <format dxfId="4610">
      <pivotArea dataOnly="0" labelOnly="1" outline="0" fieldPosition="0">
        <references count="2">
          <reference field="11" count="1" selected="0">
            <x v="445"/>
          </reference>
          <reference field="14" count="1">
            <x v="437"/>
          </reference>
        </references>
      </pivotArea>
    </format>
    <format dxfId="4609">
      <pivotArea dataOnly="0" labelOnly="1" outline="0" fieldPosition="0">
        <references count="2">
          <reference field="11" count="1" selected="0">
            <x v="445"/>
          </reference>
          <reference field="14" count="1" defaultSubtotal="1">
            <x v="437"/>
          </reference>
        </references>
      </pivotArea>
    </format>
    <format dxfId="4608">
      <pivotArea dataOnly="0" labelOnly="1" outline="0" fieldPosition="0">
        <references count="2">
          <reference field="11" count="1" selected="0">
            <x v="446"/>
          </reference>
          <reference field="14" count="1">
            <x v="29"/>
          </reference>
        </references>
      </pivotArea>
    </format>
    <format dxfId="4607">
      <pivotArea dataOnly="0" labelOnly="1" outline="0" fieldPosition="0">
        <references count="2">
          <reference field="11" count="1" selected="0">
            <x v="446"/>
          </reference>
          <reference field="14" count="1" defaultSubtotal="1">
            <x v="29"/>
          </reference>
        </references>
      </pivotArea>
    </format>
    <format dxfId="4606">
      <pivotArea dataOnly="0" labelOnly="1" outline="0" fieldPosition="0">
        <references count="2">
          <reference field="11" count="1" selected="0">
            <x v="447"/>
          </reference>
          <reference field="14" count="1">
            <x v="57"/>
          </reference>
        </references>
      </pivotArea>
    </format>
    <format dxfId="4605">
      <pivotArea dataOnly="0" labelOnly="1" outline="0" fieldPosition="0">
        <references count="2">
          <reference field="11" count="1" selected="0">
            <x v="447"/>
          </reference>
          <reference field="14" count="1" defaultSubtotal="1">
            <x v="57"/>
          </reference>
        </references>
      </pivotArea>
    </format>
    <format dxfId="4604">
      <pivotArea dataOnly="0" labelOnly="1" outline="0" fieldPosition="0">
        <references count="2">
          <reference field="11" count="1" selected="0">
            <x v="448"/>
          </reference>
          <reference field="14" count="1">
            <x v="58"/>
          </reference>
        </references>
      </pivotArea>
    </format>
    <format dxfId="4603">
      <pivotArea dataOnly="0" labelOnly="1" outline="0" fieldPosition="0">
        <references count="2">
          <reference field="11" count="1" selected="0">
            <x v="448"/>
          </reference>
          <reference field="14" count="1" defaultSubtotal="1">
            <x v="58"/>
          </reference>
        </references>
      </pivotArea>
    </format>
    <format dxfId="4602">
      <pivotArea dataOnly="0" labelOnly="1" outline="0" fieldPosition="0">
        <references count="2">
          <reference field="11" count="1" selected="0">
            <x v="449"/>
          </reference>
          <reference field="14" count="1">
            <x v="10"/>
          </reference>
        </references>
      </pivotArea>
    </format>
    <format dxfId="4601">
      <pivotArea dataOnly="0" labelOnly="1" outline="0" fieldPosition="0">
        <references count="2">
          <reference field="11" count="1" selected="0">
            <x v="449"/>
          </reference>
          <reference field="14" count="1" defaultSubtotal="1">
            <x v="10"/>
          </reference>
        </references>
      </pivotArea>
    </format>
    <format dxfId="4600">
      <pivotArea dataOnly="0" labelOnly="1" outline="0" fieldPosition="0">
        <references count="2">
          <reference field="11" count="1" selected="0">
            <x v="450"/>
          </reference>
          <reference field="14" count="1">
            <x v="141"/>
          </reference>
        </references>
      </pivotArea>
    </format>
    <format dxfId="4599">
      <pivotArea dataOnly="0" labelOnly="1" outline="0" fieldPosition="0">
        <references count="2">
          <reference field="11" count="1" selected="0">
            <x v="450"/>
          </reference>
          <reference field="14" count="1" defaultSubtotal="1">
            <x v="141"/>
          </reference>
        </references>
      </pivotArea>
    </format>
    <format dxfId="4598">
      <pivotArea dataOnly="0" labelOnly="1" outline="0" fieldPosition="0">
        <references count="2">
          <reference field="11" count="1" selected="0">
            <x v="451"/>
          </reference>
          <reference field="14" count="1">
            <x v="101"/>
          </reference>
        </references>
      </pivotArea>
    </format>
    <format dxfId="4597">
      <pivotArea dataOnly="0" labelOnly="1" outline="0" fieldPosition="0">
        <references count="2">
          <reference field="11" count="1" selected="0">
            <x v="451"/>
          </reference>
          <reference field="14" count="1" defaultSubtotal="1">
            <x v="101"/>
          </reference>
        </references>
      </pivotArea>
    </format>
    <format dxfId="4596">
      <pivotArea dataOnly="0" labelOnly="1" outline="0" fieldPosition="0">
        <references count="2">
          <reference field="11" count="1" selected="0">
            <x v="452"/>
          </reference>
          <reference field="14" count="1">
            <x v="450"/>
          </reference>
        </references>
      </pivotArea>
    </format>
    <format dxfId="4595">
      <pivotArea dataOnly="0" labelOnly="1" outline="0" fieldPosition="0">
        <references count="2">
          <reference field="11" count="1" selected="0">
            <x v="452"/>
          </reference>
          <reference field="14" count="1" defaultSubtotal="1">
            <x v="450"/>
          </reference>
        </references>
      </pivotArea>
    </format>
    <format dxfId="4594">
      <pivotArea dataOnly="0" labelOnly="1" outline="0" fieldPosition="0">
        <references count="2">
          <reference field="11" count="1" selected="0">
            <x v="453"/>
          </reference>
          <reference field="14" count="1">
            <x v="144"/>
          </reference>
        </references>
      </pivotArea>
    </format>
    <format dxfId="4593">
      <pivotArea dataOnly="0" labelOnly="1" outline="0" fieldPosition="0">
        <references count="2">
          <reference field="11" count="1" selected="0">
            <x v="453"/>
          </reference>
          <reference field="14" count="1" defaultSubtotal="1">
            <x v="144"/>
          </reference>
        </references>
      </pivotArea>
    </format>
    <format dxfId="4592">
      <pivotArea dataOnly="0" labelOnly="1" outline="0" fieldPosition="0">
        <references count="2">
          <reference field="11" count="1" selected="0">
            <x v="454"/>
          </reference>
          <reference field="14" count="1">
            <x v="397"/>
          </reference>
        </references>
      </pivotArea>
    </format>
    <format dxfId="4591">
      <pivotArea dataOnly="0" labelOnly="1" outline="0" fieldPosition="0">
        <references count="2">
          <reference field="11" count="1" selected="0">
            <x v="454"/>
          </reference>
          <reference field="14" count="1" defaultSubtotal="1">
            <x v="397"/>
          </reference>
        </references>
      </pivotArea>
    </format>
    <format dxfId="4590">
      <pivotArea dataOnly="0" labelOnly="1" outline="0" fieldPosition="0">
        <references count="2">
          <reference field="11" count="1" selected="0">
            <x v="455"/>
          </reference>
          <reference field="14" count="1">
            <x v="390"/>
          </reference>
        </references>
      </pivotArea>
    </format>
    <format dxfId="4589">
      <pivotArea dataOnly="0" labelOnly="1" outline="0" fieldPosition="0">
        <references count="2">
          <reference field="11" count="1" selected="0">
            <x v="455"/>
          </reference>
          <reference field="14" count="1" defaultSubtotal="1">
            <x v="390"/>
          </reference>
        </references>
      </pivotArea>
    </format>
    <format dxfId="4588">
      <pivotArea dataOnly="0" labelOnly="1" outline="0" fieldPosition="0">
        <references count="2">
          <reference field="11" count="1" selected="0">
            <x v="456"/>
          </reference>
          <reference field="14" count="1">
            <x v="452"/>
          </reference>
        </references>
      </pivotArea>
    </format>
    <format dxfId="4587">
      <pivotArea dataOnly="0" labelOnly="1" outline="0" fieldPosition="0">
        <references count="2">
          <reference field="11" count="1" selected="0">
            <x v="456"/>
          </reference>
          <reference field="14" count="1" defaultSubtotal="1">
            <x v="452"/>
          </reference>
        </references>
      </pivotArea>
    </format>
    <format dxfId="4586">
      <pivotArea dataOnly="0" labelOnly="1" outline="0" fieldPosition="0">
        <references count="2">
          <reference field="11" count="1" selected="0">
            <x v="457"/>
          </reference>
          <reference field="14" count="1">
            <x v="12"/>
          </reference>
        </references>
      </pivotArea>
    </format>
    <format dxfId="4585">
      <pivotArea dataOnly="0" labelOnly="1" outline="0" fieldPosition="0">
        <references count="2">
          <reference field="11" count="1" selected="0">
            <x v="457"/>
          </reference>
          <reference field="14" count="1" defaultSubtotal="1">
            <x v="12"/>
          </reference>
        </references>
      </pivotArea>
    </format>
    <format dxfId="4584">
      <pivotArea dataOnly="0" labelOnly="1" outline="0" fieldPosition="0">
        <references count="2">
          <reference field="11" count="1" selected="0">
            <x v="458"/>
          </reference>
          <reference field="14" count="1">
            <x v="367"/>
          </reference>
        </references>
      </pivotArea>
    </format>
    <format dxfId="4583">
      <pivotArea dataOnly="0" labelOnly="1" outline="0" fieldPosition="0">
        <references count="2">
          <reference field="11" count="1" selected="0">
            <x v="458"/>
          </reference>
          <reference field="14" count="1" defaultSubtotal="1">
            <x v="367"/>
          </reference>
        </references>
      </pivotArea>
    </format>
    <format dxfId="4582">
      <pivotArea dataOnly="0" labelOnly="1" outline="0" fieldPosition="0">
        <references count="2">
          <reference field="11" count="1" selected="0">
            <x v="459"/>
          </reference>
          <reference field="14" count="1">
            <x v="368"/>
          </reference>
        </references>
      </pivotArea>
    </format>
    <format dxfId="4581">
      <pivotArea dataOnly="0" labelOnly="1" outline="0" fieldPosition="0">
        <references count="2">
          <reference field="11" count="1" selected="0">
            <x v="459"/>
          </reference>
          <reference field="14" count="1" defaultSubtotal="1">
            <x v="368"/>
          </reference>
        </references>
      </pivotArea>
    </format>
    <format dxfId="4580">
      <pivotArea dataOnly="0" labelOnly="1" outline="0" fieldPosition="0">
        <references count="2">
          <reference field="11" count="1" selected="0">
            <x v="460"/>
          </reference>
          <reference field="14" count="1">
            <x v="369"/>
          </reference>
        </references>
      </pivotArea>
    </format>
    <format dxfId="4579">
      <pivotArea dataOnly="0" labelOnly="1" outline="0" fieldPosition="0">
        <references count="2">
          <reference field="11" count="1" selected="0">
            <x v="460"/>
          </reference>
          <reference field="14" count="1" defaultSubtotal="1">
            <x v="369"/>
          </reference>
        </references>
      </pivotArea>
    </format>
    <format dxfId="4578">
      <pivotArea dataOnly="0" labelOnly="1" outline="0" fieldPosition="0">
        <references count="2">
          <reference field="11" count="1" selected="0">
            <x v="461"/>
          </reference>
          <reference field="14" count="1">
            <x v="301"/>
          </reference>
        </references>
      </pivotArea>
    </format>
    <format dxfId="4577">
      <pivotArea dataOnly="0" labelOnly="1" outline="0" fieldPosition="0">
        <references count="2">
          <reference field="11" count="1" selected="0">
            <x v="461"/>
          </reference>
          <reference field="14" count="1" defaultSubtotal="1">
            <x v="301"/>
          </reference>
        </references>
      </pivotArea>
    </format>
    <format dxfId="4576">
      <pivotArea dataOnly="0" labelOnly="1" outline="0" fieldPosition="0">
        <references count="2">
          <reference field="11" count="1" selected="0">
            <x v="462"/>
          </reference>
          <reference field="14" count="1">
            <x v="434"/>
          </reference>
        </references>
      </pivotArea>
    </format>
    <format dxfId="4575">
      <pivotArea dataOnly="0" labelOnly="1" outline="0" fieldPosition="0">
        <references count="2">
          <reference field="11" count="1" selected="0">
            <x v="462"/>
          </reference>
          <reference field="14" count="1" defaultSubtotal="1">
            <x v="434"/>
          </reference>
        </references>
      </pivotArea>
    </format>
    <format dxfId="4574">
      <pivotArea dataOnly="0" labelOnly="1" outline="0" fieldPosition="0">
        <references count="2">
          <reference field="11" count="1" selected="0">
            <x v="463"/>
          </reference>
          <reference field="14" count="1">
            <x v="440"/>
          </reference>
        </references>
      </pivotArea>
    </format>
    <format dxfId="4573">
      <pivotArea dataOnly="0" labelOnly="1" outline="0" fieldPosition="0">
        <references count="2">
          <reference field="11" count="1" selected="0">
            <x v="463"/>
          </reference>
          <reference field="14" count="1" defaultSubtotal="1">
            <x v="440"/>
          </reference>
        </references>
      </pivotArea>
    </format>
    <format dxfId="4572">
      <pivotArea dataOnly="0" labelOnly="1" outline="0" fieldPosition="0">
        <references count="2">
          <reference field="11" count="1" selected="0">
            <x v="464"/>
          </reference>
          <reference field="14" count="1">
            <x v="442"/>
          </reference>
        </references>
      </pivotArea>
    </format>
    <format dxfId="4571">
      <pivotArea dataOnly="0" labelOnly="1" outline="0" fieldPosition="0">
        <references count="2">
          <reference field="11" count="1" selected="0">
            <x v="464"/>
          </reference>
          <reference field="14" count="1" defaultSubtotal="1">
            <x v="442"/>
          </reference>
        </references>
      </pivotArea>
    </format>
    <format dxfId="4570">
      <pivotArea dataOnly="0" labelOnly="1" outline="0" fieldPosition="0">
        <references count="2">
          <reference field="11" count="1" selected="0">
            <x v="465"/>
          </reference>
          <reference field="14" count="1">
            <x v="355"/>
          </reference>
        </references>
      </pivotArea>
    </format>
    <format dxfId="4569">
      <pivotArea dataOnly="0" labelOnly="1" outline="0" fieldPosition="0">
        <references count="2">
          <reference field="11" count="1" selected="0">
            <x v="465"/>
          </reference>
          <reference field="14" count="1" defaultSubtotal="1">
            <x v="355"/>
          </reference>
        </references>
      </pivotArea>
    </format>
    <format dxfId="4568">
      <pivotArea dataOnly="0" labelOnly="1" outline="0" fieldPosition="0">
        <references count="2">
          <reference field="11" count="1" selected="0">
            <x v="466"/>
          </reference>
          <reference field="14" count="1">
            <x v="115"/>
          </reference>
        </references>
      </pivotArea>
    </format>
    <format dxfId="4567">
      <pivotArea dataOnly="0" labelOnly="1" outline="0" fieldPosition="0">
        <references count="2">
          <reference field="11" count="1" selected="0">
            <x v="466"/>
          </reference>
          <reference field="14" count="1" defaultSubtotal="1">
            <x v="115"/>
          </reference>
        </references>
      </pivotArea>
    </format>
    <format dxfId="4566">
      <pivotArea dataOnly="0" labelOnly="1" outline="0" fieldPosition="0">
        <references count="2">
          <reference field="11" count="1" selected="0">
            <x v="467"/>
          </reference>
          <reference field="14" count="1">
            <x v="270"/>
          </reference>
        </references>
      </pivotArea>
    </format>
    <format dxfId="4565">
      <pivotArea dataOnly="0" labelOnly="1" outline="0" fieldPosition="0">
        <references count="2">
          <reference field="11" count="1" selected="0">
            <x v="467"/>
          </reference>
          <reference field="14" count="1" defaultSubtotal="1">
            <x v="270"/>
          </reference>
        </references>
      </pivotArea>
    </format>
    <format dxfId="4564">
      <pivotArea dataOnly="0" labelOnly="1" outline="0" fieldPosition="0">
        <references count="2">
          <reference field="11" count="1" selected="0">
            <x v="468"/>
          </reference>
          <reference field="14" count="1">
            <x v="380"/>
          </reference>
        </references>
      </pivotArea>
    </format>
    <format dxfId="4563">
      <pivotArea dataOnly="0" labelOnly="1" outline="0" fieldPosition="0">
        <references count="2">
          <reference field="11" count="1" selected="0">
            <x v="468"/>
          </reference>
          <reference field="14" count="1" defaultSubtotal="1">
            <x v="380"/>
          </reference>
        </references>
      </pivotArea>
    </format>
    <format dxfId="4562">
      <pivotArea dataOnly="0" labelOnly="1" outline="0" fieldPosition="0">
        <references count="2">
          <reference field="11" count="1" selected="0">
            <x v="469"/>
          </reference>
          <reference field="14" count="1">
            <x v="291"/>
          </reference>
        </references>
      </pivotArea>
    </format>
    <format dxfId="4561">
      <pivotArea dataOnly="0" labelOnly="1" outline="0" fieldPosition="0">
        <references count="2">
          <reference field="11" count="1" selected="0">
            <x v="469"/>
          </reference>
          <reference field="14" count="1" defaultSubtotal="1">
            <x v="291"/>
          </reference>
        </references>
      </pivotArea>
    </format>
    <format dxfId="4560">
      <pivotArea dataOnly="0" labelOnly="1" outline="0" fieldPosition="0">
        <references count="2">
          <reference field="11" count="1" selected="0">
            <x v="470"/>
          </reference>
          <reference field="14" count="1">
            <x v="100"/>
          </reference>
        </references>
      </pivotArea>
    </format>
    <format dxfId="4559">
      <pivotArea dataOnly="0" labelOnly="1" outline="0" fieldPosition="0">
        <references count="2">
          <reference field="11" count="1" selected="0">
            <x v="470"/>
          </reference>
          <reference field="14" count="1" defaultSubtotal="1">
            <x v="100"/>
          </reference>
        </references>
      </pivotArea>
    </format>
    <format dxfId="4558">
      <pivotArea dataOnly="0" labelOnly="1" outline="0" fieldPosition="0">
        <references count="2">
          <reference field="11" count="1" selected="0">
            <x v="471"/>
          </reference>
          <reference field="14" count="1">
            <x v="295"/>
          </reference>
        </references>
      </pivotArea>
    </format>
    <format dxfId="4557">
      <pivotArea dataOnly="0" labelOnly="1" outline="0" fieldPosition="0">
        <references count="2">
          <reference field="11" count="1" selected="0">
            <x v="471"/>
          </reference>
          <reference field="14" count="1" defaultSubtotal="1">
            <x v="295"/>
          </reference>
        </references>
      </pivotArea>
    </format>
    <format dxfId="4556">
      <pivotArea dataOnly="0" labelOnly="1" outline="0" fieldPosition="0">
        <references count="2">
          <reference field="11" count="1" selected="0">
            <x v="472"/>
          </reference>
          <reference field="14" count="1">
            <x v="325"/>
          </reference>
        </references>
      </pivotArea>
    </format>
    <format dxfId="4555">
      <pivotArea dataOnly="0" labelOnly="1" outline="0" fieldPosition="0">
        <references count="2">
          <reference field="11" count="1" selected="0">
            <x v="472"/>
          </reference>
          <reference field="14" count="1" defaultSubtotal="1">
            <x v="325"/>
          </reference>
        </references>
      </pivotArea>
    </format>
    <format dxfId="4554">
      <pivotArea dataOnly="0" labelOnly="1" outline="0" fieldPosition="0">
        <references count="2">
          <reference field="11" count="1" selected="0">
            <x v="473"/>
          </reference>
          <reference field="14" count="1">
            <x v="425"/>
          </reference>
        </references>
      </pivotArea>
    </format>
    <format dxfId="4553">
      <pivotArea dataOnly="0" labelOnly="1" outline="0" fieldPosition="0">
        <references count="2">
          <reference field="11" count="1" selected="0">
            <x v="473"/>
          </reference>
          <reference field="14" count="1" defaultSubtotal="1">
            <x v="425"/>
          </reference>
        </references>
      </pivotArea>
    </format>
    <format dxfId="4552">
      <pivotArea dataOnly="0" labelOnly="1" outline="0" fieldPosition="0">
        <references count="2">
          <reference field="11" count="1" selected="0">
            <x v="474"/>
          </reference>
          <reference field="14" count="1">
            <x v="424"/>
          </reference>
        </references>
      </pivotArea>
    </format>
    <format dxfId="4551">
      <pivotArea dataOnly="0" labelOnly="1" outline="0" fieldPosition="0">
        <references count="2">
          <reference field="11" count="1" selected="0">
            <x v="474"/>
          </reference>
          <reference field="14" count="1" defaultSubtotal="1">
            <x v="424"/>
          </reference>
        </references>
      </pivotArea>
    </format>
    <format dxfId="4550">
      <pivotArea dataOnly="0" labelOnly="1" outline="0" fieldPosition="0">
        <references count="2">
          <reference field="11" count="1" selected="0">
            <x v="475"/>
          </reference>
          <reference field="14" count="1">
            <x v="435"/>
          </reference>
        </references>
      </pivotArea>
    </format>
    <format dxfId="4549">
      <pivotArea dataOnly="0" labelOnly="1" outline="0" fieldPosition="0">
        <references count="2">
          <reference field="11" count="1" selected="0">
            <x v="475"/>
          </reference>
          <reference field="14" count="1" defaultSubtotal="1">
            <x v="435"/>
          </reference>
        </references>
      </pivotArea>
    </format>
    <format dxfId="4548">
      <pivotArea dataOnly="0" labelOnly="1" outline="0" fieldPosition="0">
        <references count="2">
          <reference field="11" count="1" selected="0">
            <x v="476"/>
          </reference>
          <reference field="14" count="1">
            <x v="151"/>
          </reference>
        </references>
      </pivotArea>
    </format>
    <format dxfId="4547">
      <pivotArea dataOnly="0" labelOnly="1" outline="0" fieldPosition="0">
        <references count="2">
          <reference field="11" count="1" selected="0">
            <x v="476"/>
          </reference>
          <reference field="14" count="1" defaultSubtotal="1">
            <x v="151"/>
          </reference>
        </references>
      </pivotArea>
    </format>
    <format dxfId="4546">
      <pivotArea dataOnly="0" labelOnly="1" outline="0" fieldPosition="0">
        <references count="2">
          <reference field="11" count="1" selected="0">
            <x v="477"/>
          </reference>
          <reference field="14" count="1">
            <x v="419"/>
          </reference>
        </references>
      </pivotArea>
    </format>
    <format dxfId="4545">
      <pivotArea dataOnly="0" labelOnly="1" outline="0" fieldPosition="0">
        <references count="2">
          <reference field="11" count="1" selected="0">
            <x v="477"/>
          </reference>
          <reference field="14" count="1" defaultSubtotal="1">
            <x v="419"/>
          </reference>
        </references>
      </pivotArea>
    </format>
    <format dxfId="4544">
      <pivotArea dataOnly="0" labelOnly="1" outline="0" fieldPosition="0">
        <references count="2">
          <reference field="11" count="1" selected="0">
            <x v="478"/>
          </reference>
          <reference field="14" count="1">
            <x v="308"/>
          </reference>
        </references>
      </pivotArea>
    </format>
    <format dxfId="4543">
      <pivotArea dataOnly="0" labelOnly="1" outline="0" fieldPosition="0">
        <references count="2">
          <reference field="11" count="1" selected="0">
            <x v="478"/>
          </reference>
          <reference field="14" count="1" defaultSubtotal="1">
            <x v="308"/>
          </reference>
        </references>
      </pivotArea>
    </format>
    <format dxfId="4542">
      <pivotArea dataOnly="0" labelOnly="1" outline="0" fieldPosition="0">
        <references count="2">
          <reference field="11" count="1" selected="0">
            <x v="479"/>
          </reference>
          <reference field="14" count="1">
            <x v="312"/>
          </reference>
        </references>
      </pivotArea>
    </format>
    <format dxfId="4541">
      <pivotArea dataOnly="0" labelOnly="1" outline="0" fieldPosition="0">
        <references count="2">
          <reference field="11" count="1" selected="0">
            <x v="479"/>
          </reference>
          <reference field="14" count="1" defaultSubtotal="1">
            <x v="312"/>
          </reference>
        </references>
      </pivotArea>
    </format>
    <format dxfId="4540">
      <pivotArea dataOnly="0" labelOnly="1" outline="0" fieldPosition="0">
        <references count="2">
          <reference field="11" count="1" selected="0">
            <x v="480"/>
          </reference>
          <reference field="14" count="1">
            <x v="423"/>
          </reference>
        </references>
      </pivotArea>
    </format>
    <format dxfId="4539">
      <pivotArea dataOnly="0" labelOnly="1" outline="0" fieldPosition="0">
        <references count="2">
          <reference field="11" count="1" selected="0">
            <x v="480"/>
          </reference>
          <reference field="14" count="1" defaultSubtotal="1">
            <x v="423"/>
          </reference>
        </references>
      </pivotArea>
    </format>
    <format dxfId="4538">
      <pivotArea dataOnly="0" labelOnly="1" outline="0" fieldPosition="0">
        <references count="2">
          <reference field="11" count="1" selected="0">
            <x v="481"/>
          </reference>
          <reference field="14" count="1">
            <x v="455"/>
          </reference>
        </references>
      </pivotArea>
    </format>
    <format dxfId="4537">
      <pivotArea dataOnly="0" labelOnly="1" outline="0" fieldPosition="0">
        <references count="2">
          <reference field="11" count="1" selected="0">
            <x v="481"/>
          </reference>
          <reference field="14" count="1" defaultSubtotal="1">
            <x v="455"/>
          </reference>
        </references>
      </pivotArea>
    </format>
    <format dxfId="4536">
      <pivotArea dataOnly="0" labelOnly="1" outline="0" fieldPosition="0">
        <references count="2">
          <reference field="11" count="1" selected="0">
            <x v="482"/>
          </reference>
          <reference field="14" count="1">
            <x v="38"/>
          </reference>
        </references>
      </pivotArea>
    </format>
    <format dxfId="4535">
      <pivotArea dataOnly="0" labelOnly="1" outline="0" fieldPosition="0">
        <references count="2">
          <reference field="11" count="1" selected="0">
            <x v="482"/>
          </reference>
          <reference field="14" count="1" defaultSubtotal="1">
            <x v="38"/>
          </reference>
        </references>
      </pivotArea>
    </format>
    <format dxfId="4534">
      <pivotArea dataOnly="0" labelOnly="1" outline="0" fieldPosition="0">
        <references count="2">
          <reference field="11" count="1" selected="0">
            <x v="483"/>
          </reference>
          <reference field="14" count="1">
            <x v="207"/>
          </reference>
        </references>
      </pivotArea>
    </format>
    <format dxfId="4533">
      <pivotArea dataOnly="0" labelOnly="1" outline="0" fieldPosition="0">
        <references count="2">
          <reference field="11" count="1" selected="0">
            <x v="483"/>
          </reference>
          <reference field="14" count="1" defaultSubtotal="1">
            <x v="207"/>
          </reference>
        </references>
      </pivotArea>
    </format>
    <format dxfId="4532">
      <pivotArea dataOnly="0" labelOnly="1" outline="0" fieldPosition="0">
        <references count="2">
          <reference field="11" count="1" selected="0">
            <x v="484"/>
          </reference>
          <reference field="14" count="1">
            <x v="49"/>
          </reference>
        </references>
      </pivotArea>
    </format>
    <format dxfId="4531">
      <pivotArea dataOnly="0" labelOnly="1" outline="0" fieldPosition="0">
        <references count="2">
          <reference field="11" count="1" selected="0">
            <x v="484"/>
          </reference>
          <reference field="14" count="1" defaultSubtotal="1">
            <x v="49"/>
          </reference>
        </references>
      </pivotArea>
    </format>
    <format dxfId="4530">
      <pivotArea dataOnly="0" labelOnly="1" outline="0" fieldPosition="0">
        <references count="2">
          <reference field="11" count="1" selected="0">
            <x v="485"/>
          </reference>
          <reference field="14" count="1">
            <x v="49"/>
          </reference>
        </references>
      </pivotArea>
    </format>
    <format dxfId="4529">
      <pivotArea dataOnly="0" labelOnly="1" outline="0" fieldPosition="0">
        <references count="2">
          <reference field="11" count="1" selected="0">
            <x v="485"/>
          </reference>
          <reference field="14" count="1" defaultSubtotal="1">
            <x v="49"/>
          </reference>
        </references>
      </pivotArea>
    </format>
    <format dxfId="4528">
      <pivotArea dataOnly="0" labelOnly="1" outline="0" fieldPosition="0">
        <references count="2">
          <reference field="11" count="1" selected="0">
            <x v="486"/>
          </reference>
          <reference field="14" count="1">
            <x v="207"/>
          </reference>
        </references>
      </pivotArea>
    </format>
    <format dxfId="4527">
      <pivotArea dataOnly="0" labelOnly="1" outline="0" fieldPosition="0">
        <references count="2">
          <reference field="11" count="1" selected="0">
            <x v="486"/>
          </reference>
          <reference field="14" count="1" defaultSubtotal="1">
            <x v="207"/>
          </reference>
        </references>
      </pivotArea>
    </format>
    <format dxfId="4526">
      <pivotArea dataOnly="0" labelOnly="1" outline="0" fieldPosition="0">
        <references count="2">
          <reference field="11" count="1" selected="0">
            <x v="487"/>
          </reference>
          <reference field="14" count="1">
            <x v="32"/>
          </reference>
        </references>
      </pivotArea>
    </format>
    <format dxfId="4525">
      <pivotArea dataOnly="0" labelOnly="1" outline="0" fieldPosition="0">
        <references count="2">
          <reference field="11" count="1" selected="0">
            <x v="487"/>
          </reference>
          <reference field="14" count="1" defaultSubtotal="1">
            <x v="32"/>
          </reference>
        </references>
      </pivotArea>
    </format>
    <format dxfId="4524">
      <pivotArea dataOnly="0" labelOnly="1" outline="0" fieldPosition="0">
        <references count="2">
          <reference field="11" count="1" selected="0">
            <x v="488"/>
          </reference>
          <reference field="14" count="1">
            <x v="484"/>
          </reference>
        </references>
      </pivotArea>
    </format>
    <format dxfId="4523">
      <pivotArea dataOnly="0" labelOnly="1" outline="0" fieldPosition="0">
        <references count="2">
          <reference field="11" count="1" selected="0">
            <x v="488"/>
          </reference>
          <reference field="14" count="1" defaultSubtotal="1">
            <x v="484"/>
          </reference>
        </references>
      </pivotArea>
    </format>
    <format dxfId="4522">
      <pivotArea dataOnly="0" labelOnly="1" outline="0" fieldPosition="0">
        <references count="3">
          <reference field="11" count="1" selected="0">
            <x v="0"/>
          </reference>
          <reference field="14" count="1" selected="0">
            <x v="90"/>
          </reference>
          <reference field="18" count="1">
            <x v="0"/>
          </reference>
        </references>
      </pivotArea>
    </format>
    <format dxfId="4521">
      <pivotArea dataOnly="0" labelOnly="1" outline="0" fieldPosition="0">
        <references count="3">
          <reference field="11" count="1" selected="0">
            <x v="0"/>
          </reference>
          <reference field="14" count="1" selected="0">
            <x v="90"/>
          </reference>
          <reference field="18" count="1" defaultSubtotal="1">
            <x v="0"/>
          </reference>
        </references>
      </pivotArea>
    </format>
    <format dxfId="4520">
      <pivotArea dataOnly="0" labelOnly="1" outline="0" fieldPosition="0">
        <references count="3">
          <reference field="11" count="1" selected="0">
            <x v="1"/>
          </reference>
          <reference field="14" count="1" selected="0">
            <x v="230"/>
          </reference>
          <reference field="18" count="3">
            <x v="2"/>
            <x v="3"/>
            <x v="12"/>
          </reference>
        </references>
      </pivotArea>
    </format>
    <format dxfId="4519">
      <pivotArea dataOnly="0" labelOnly="1" outline="0" fieldPosition="0">
        <references count="3">
          <reference field="11" count="1" selected="0">
            <x v="1"/>
          </reference>
          <reference field="14" count="1" selected="0">
            <x v="230"/>
          </reference>
          <reference field="18" count="3" defaultSubtotal="1">
            <x v="2"/>
            <x v="3"/>
            <x v="12"/>
          </reference>
        </references>
      </pivotArea>
    </format>
    <format dxfId="4518">
      <pivotArea dataOnly="0" labelOnly="1" outline="0" fieldPosition="0">
        <references count="3">
          <reference field="11" count="1" selected="0">
            <x v="2"/>
          </reference>
          <reference field="14" count="1" selected="0">
            <x v="226"/>
          </reference>
          <reference field="18" count="2">
            <x v="7"/>
            <x v="12"/>
          </reference>
        </references>
      </pivotArea>
    </format>
    <format dxfId="4517">
      <pivotArea dataOnly="0" labelOnly="1" outline="0" fieldPosition="0">
        <references count="3">
          <reference field="11" count="1" selected="0">
            <x v="2"/>
          </reference>
          <reference field="14" count="1" selected="0">
            <x v="226"/>
          </reference>
          <reference field="18" count="2" defaultSubtotal="1">
            <x v="7"/>
            <x v="12"/>
          </reference>
        </references>
      </pivotArea>
    </format>
    <format dxfId="4516">
      <pivotArea dataOnly="0" labelOnly="1" outline="0" fieldPosition="0">
        <references count="3">
          <reference field="11" count="1" selected="0">
            <x v="3"/>
          </reference>
          <reference field="14" count="1" selected="0">
            <x v="31"/>
          </reference>
          <reference field="18" count="2">
            <x v="7"/>
            <x v="12"/>
          </reference>
        </references>
      </pivotArea>
    </format>
    <format dxfId="4515">
      <pivotArea dataOnly="0" labelOnly="1" outline="0" fieldPosition="0">
        <references count="3">
          <reference field="11" count="1" selected="0">
            <x v="3"/>
          </reference>
          <reference field="14" count="1" selected="0">
            <x v="31"/>
          </reference>
          <reference field="18" count="2" defaultSubtotal="1">
            <x v="7"/>
            <x v="12"/>
          </reference>
        </references>
      </pivotArea>
    </format>
    <format dxfId="4514">
      <pivotArea dataOnly="0" labelOnly="1" outline="0" fieldPosition="0">
        <references count="3">
          <reference field="11" count="1" selected="0">
            <x v="4"/>
          </reference>
          <reference field="14" count="1" selected="0">
            <x v="233"/>
          </reference>
          <reference field="18" count="2">
            <x v="7"/>
            <x v="12"/>
          </reference>
        </references>
      </pivotArea>
    </format>
    <format dxfId="4513">
      <pivotArea dataOnly="0" labelOnly="1" outline="0" fieldPosition="0">
        <references count="3">
          <reference field="11" count="1" selected="0">
            <x v="4"/>
          </reference>
          <reference field="14" count="1" selected="0">
            <x v="233"/>
          </reference>
          <reference field="18" count="2" defaultSubtotal="1">
            <x v="7"/>
            <x v="12"/>
          </reference>
        </references>
      </pivotArea>
    </format>
    <format dxfId="4512">
      <pivotArea dataOnly="0" labelOnly="1" outline="0" fieldPosition="0">
        <references count="3">
          <reference field="11" count="1" selected="0">
            <x v="5"/>
          </reference>
          <reference field="14" count="1" selected="0">
            <x v="232"/>
          </reference>
          <reference field="18" count="2">
            <x v="2"/>
            <x v="12"/>
          </reference>
        </references>
      </pivotArea>
    </format>
    <format dxfId="4511">
      <pivotArea dataOnly="0" labelOnly="1" outline="0" fieldPosition="0">
        <references count="3">
          <reference field="11" count="1" selected="0">
            <x v="5"/>
          </reference>
          <reference field="14" count="1" selected="0">
            <x v="232"/>
          </reference>
          <reference field="18" count="2" defaultSubtotal="1">
            <x v="2"/>
            <x v="12"/>
          </reference>
        </references>
      </pivotArea>
    </format>
    <format dxfId="4510">
      <pivotArea dataOnly="0" labelOnly="1" outline="0" fieldPosition="0">
        <references count="3">
          <reference field="11" count="1" selected="0">
            <x v="6"/>
          </reference>
          <reference field="14" count="1" selected="0">
            <x v="19"/>
          </reference>
          <reference field="18" count="2">
            <x v="3"/>
            <x v="12"/>
          </reference>
        </references>
      </pivotArea>
    </format>
    <format dxfId="4509">
      <pivotArea dataOnly="0" labelOnly="1" outline="0" fieldPosition="0">
        <references count="3">
          <reference field="11" count="1" selected="0">
            <x v="6"/>
          </reference>
          <reference field="14" count="1" selected="0">
            <x v="19"/>
          </reference>
          <reference field="18" count="2" defaultSubtotal="1">
            <x v="3"/>
            <x v="12"/>
          </reference>
        </references>
      </pivotArea>
    </format>
    <format dxfId="4508">
      <pivotArea dataOnly="0" labelOnly="1" outline="0" fieldPosition="0">
        <references count="3">
          <reference field="11" count="1" selected="0">
            <x v="7"/>
          </reference>
          <reference field="14" count="1" selected="0">
            <x v="351"/>
          </reference>
          <reference field="18" count="1">
            <x v="27"/>
          </reference>
        </references>
      </pivotArea>
    </format>
    <format dxfId="4507">
      <pivotArea dataOnly="0" labelOnly="1" outline="0" fieldPosition="0">
        <references count="3">
          <reference field="11" count="1" selected="0">
            <x v="7"/>
          </reference>
          <reference field="14" count="1" selected="0">
            <x v="351"/>
          </reference>
          <reference field="18" count="1" defaultSubtotal="1">
            <x v="27"/>
          </reference>
        </references>
      </pivotArea>
    </format>
    <format dxfId="4506">
      <pivotArea dataOnly="0" labelOnly="1" outline="0" fieldPosition="0">
        <references count="3">
          <reference field="11" count="1" selected="0">
            <x v="8"/>
          </reference>
          <reference field="14" count="1" selected="0">
            <x v="375"/>
          </reference>
          <reference field="18" count="1">
            <x v="2"/>
          </reference>
        </references>
      </pivotArea>
    </format>
    <format dxfId="4505">
      <pivotArea dataOnly="0" labelOnly="1" outline="0" fieldPosition="0">
        <references count="3">
          <reference field="11" count="1" selected="0">
            <x v="8"/>
          </reference>
          <reference field="14" count="1" selected="0">
            <x v="375"/>
          </reference>
          <reference field="18" count="1" defaultSubtotal="1">
            <x v="2"/>
          </reference>
        </references>
      </pivotArea>
    </format>
    <format dxfId="4504">
      <pivotArea dataOnly="0" labelOnly="1" outline="0" fieldPosition="0">
        <references count="3">
          <reference field="11" count="1" selected="0">
            <x v="9"/>
          </reference>
          <reference field="14" count="1" selected="0">
            <x v="50"/>
          </reference>
          <reference field="18" count="1">
            <x v="15"/>
          </reference>
        </references>
      </pivotArea>
    </format>
    <format dxfId="4503">
      <pivotArea dataOnly="0" labelOnly="1" outline="0" fieldPosition="0">
        <references count="3">
          <reference field="11" count="1" selected="0">
            <x v="9"/>
          </reference>
          <reference field="14" count="1" selected="0">
            <x v="50"/>
          </reference>
          <reference field="18" count="1" defaultSubtotal="1">
            <x v="15"/>
          </reference>
        </references>
      </pivotArea>
    </format>
    <format dxfId="4502">
      <pivotArea dataOnly="0" labelOnly="1" outline="0" fieldPosition="0">
        <references count="3">
          <reference field="11" count="1" selected="0">
            <x v="10"/>
          </reference>
          <reference field="14" count="1" selected="0">
            <x v="150"/>
          </reference>
          <reference field="18" count="1">
            <x v="4"/>
          </reference>
        </references>
      </pivotArea>
    </format>
    <format dxfId="4501">
      <pivotArea dataOnly="0" labelOnly="1" outline="0" fieldPosition="0">
        <references count="3">
          <reference field="11" count="1" selected="0">
            <x v="10"/>
          </reference>
          <reference field="14" count="1" selected="0">
            <x v="150"/>
          </reference>
          <reference field="18" count="1" defaultSubtotal="1">
            <x v="4"/>
          </reference>
        </references>
      </pivotArea>
    </format>
    <format dxfId="4500">
      <pivotArea dataOnly="0" labelOnly="1" outline="0" fieldPosition="0">
        <references count="3">
          <reference field="11" count="1" selected="0">
            <x v="11"/>
          </reference>
          <reference field="14" count="1" selected="0">
            <x v="265"/>
          </reference>
          <reference field="18" count="1">
            <x v="1"/>
          </reference>
        </references>
      </pivotArea>
    </format>
    <format dxfId="4499">
      <pivotArea dataOnly="0" labelOnly="1" outline="0" fieldPosition="0">
        <references count="3">
          <reference field="11" count="1" selected="0">
            <x v="11"/>
          </reference>
          <reference field="14" count="1" selected="0">
            <x v="265"/>
          </reference>
          <reference field="18" count="1" defaultSubtotal="1">
            <x v="1"/>
          </reference>
        </references>
      </pivotArea>
    </format>
    <format dxfId="4498">
      <pivotArea dataOnly="0" labelOnly="1" outline="0" fieldPosition="0">
        <references count="3">
          <reference field="11" count="1" selected="0">
            <x v="12"/>
          </reference>
          <reference field="14" count="1" selected="0">
            <x v="256"/>
          </reference>
          <reference field="18" count="1">
            <x v="2"/>
          </reference>
        </references>
      </pivotArea>
    </format>
    <format dxfId="4497">
      <pivotArea dataOnly="0" labelOnly="1" outline="0" fieldPosition="0">
        <references count="3">
          <reference field="11" count="1" selected="0">
            <x v="12"/>
          </reference>
          <reference field="14" count="1" selected="0">
            <x v="256"/>
          </reference>
          <reference field="18" count="1" defaultSubtotal="1">
            <x v="2"/>
          </reference>
        </references>
      </pivotArea>
    </format>
    <format dxfId="4496">
      <pivotArea dataOnly="0" labelOnly="1" outline="0" fieldPosition="0">
        <references count="3">
          <reference field="11" count="1" selected="0">
            <x v="13"/>
          </reference>
          <reference field="14" count="1" selected="0">
            <x v="304"/>
          </reference>
          <reference field="18" count="1">
            <x v="2"/>
          </reference>
        </references>
      </pivotArea>
    </format>
    <format dxfId="4495">
      <pivotArea dataOnly="0" labelOnly="1" outline="0" fieldPosition="0">
        <references count="3">
          <reference field="11" count="1" selected="0">
            <x v="13"/>
          </reference>
          <reference field="14" count="1" selected="0">
            <x v="304"/>
          </reference>
          <reference field="18" count="1" defaultSubtotal="1">
            <x v="2"/>
          </reference>
        </references>
      </pivotArea>
    </format>
    <format dxfId="4494">
      <pivotArea dataOnly="0" labelOnly="1" outline="0" fieldPosition="0">
        <references count="3">
          <reference field="11" count="1" selected="0">
            <x v="14"/>
          </reference>
          <reference field="14" count="1" selected="0">
            <x v="17"/>
          </reference>
          <reference field="18" count="2">
            <x v="7"/>
            <x v="12"/>
          </reference>
        </references>
      </pivotArea>
    </format>
    <format dxfId="4493">
      <pivotArea dataOnly="0" labelOnly="1" outline="0" fieldPosition="0">
        <references count="3">
          <reference field="11" count="1" selected="0">
            <x v="14"/>
          </reference>
          <reference field="14" count="1" selected="0">
            <x v="17"/>
          </reference>
          <reference field="18" count="2" defaultSubtotal="1">
            <x v="7"/>
            <x v="12"/>
          </reference>
        </references>
      </pivotArea>
    </format>
    <format dxfId="4492">
      <pivotArea dataOnly="0" labelOnly="1" outline="0" fieldPosition="0">
        <references count="3">
          <reference field="11" count="1" selected="0">
            <x v="15"/>
          </reference>
          <reference field="14" count="1" selected="0">
            <x v="378"/>
          </reference>
          <reference field="18" count="1">
            <x v="6"/>
          </reference>
        </references>
      </pivotArea>
    </format>
    <format dxfId="4491">
      <pivotArea dataOnly="0" labelOnly="1" outline="0" fieldPosition="0">
        <references count="3">
          <reference field="11" count="1" selected="0">
            <x v="15"/>
          </reference>
          <reference field="14" count="1" selected="0">
            <x v="378"/>
          </reference>
          <reference field="18" count="1" defaultSubtotal="1">
            <x v="6"/>
          </reference>
        </references>
      </pivotArea>
    </format>
    <format dxfId="4490">
      <pivotArea dataOnly="0" labelOnly="1" outline="0" fieldPosition="0">
        <references count="3">
          <reference field="11" count="1" selected="0">
            <x v="16"/>
          </reference>
          <reference field="14" count="1" selected="0">
            <x v="286"/>
          </reference>
          <reference field="18" count="1">
            <x v="0"/>
          </reference>
        </references>
      </pivotArea>
    </format>
    <format dxfId="4489">
      <pivotArea dataOnly="0" labelOnly="1" outline="0" fieldPosition="0">
        <references count="3">
          <reference field="11" count="1" selected="0">
            <x v="16"/>
          </reference>
          <reference field="14" count="1" selected="0">
            <x v="286"/>
          </reference>
          <reference field="18" count="1" defaultSubtotal="1">
            <x v="0"/>
          </reference>
        </references>
      </pivotArea>
    </format>
    <format dxfId="4488">
      <pivotArea dataOnly="0" labelOnly="1" outline="0" fieldPosition="0">
        <references count="3">
          <reference field="11" count="1" selected="0">
            <x v="17"/>
          </reference>
          <reference field="14" count="1" selected="0">
            <x v="116"/>
          </reference>
          <reference field="18" count="1">
            <x v="3"/>
          </reference>
        </references>
      </pivotArea>
    </format>
    <format dxfId="4487">
      <pivotArea dataOnly="0" labelOnly="1" outline="0" fieldPosition="0">
        <references count="3">
          <reference field="11" count="1" selected="0">
            <x v="17"/>
          </reference>
          <reference field="14" count="1" selected="0">
            <x v="116"/>
          </reference>
          <reference field="18" count="1" defaultSubtotal="1">
            <x v="3"/>
          </reference>
        </references>
      </pivotArea>
    </format>
    <format dxfId="4486">
      <pivotArea dataOnly="0" labelOnly="1" outline="0" fieldPosition="0">
        <references count="3">
          <reference field="11" count="1" selected="0">
            <x v="18"/>
          </reference>
          <reference field="14" count="1" selected="0">
            <x v="176"/>
          </reference>
          <reference field="18" count="1">
            <x v="6"/>
          </reference>
        </references>
      </pivotArea>
    </format>
    <format dxfId="4485">
      <pivotArea dataOnly="0" labelOnly="1" outline="0" fieldPosition="0">
        <references count="3">
          <reference field="11" count="1" selected="0">
            <x v="18"/>
          </reference>
          <reference field="14" count="1" selected="0">
            <x v="176"/>
          </reference>
          <reference field="18" count="1" defaultSubtotal="1">
            <x v="6"/>
          </reference>
        </references>
      </pivotArea>
    </format>
    <format dxfId="4484">
      <pivotArea dataOnly="0" labelOnly="1" outline="0" fieldPosition="0">
        <references count="3">
          <reference field="11" count="1" selected="0">
            <x v="19"/>
          </reference>
          <reference field="14" count="1" selected="0">
            <x v="460"/>
          </reference>
          <reference field="18" count="2">
            <x v="24"/>
            <x v="27"/>
          </reference>
        </references>
      </pivotArea>
    </format>
    <format dxfId="4483">
      <pivotArea dataOnly="0" labelOnly="1" outline="0" fieldPosition="0">
        <references count="3">
          <reference field="11" count="1" selected="0">
            <x v="19"/>
          </reference>
          <reference field="14" count="1" selected="0">
            <x v="460"/>
          </reference>
          <reference field="18" count="2" defaultSubtotal="1">
            <x v="24"/>
            <x v="27"/>
          </reference>
        </references>
      </pivotArea>
    </format>
    <format dxfId="4482">
      <pivotArea dataOnly="0" labelOnly="1" outline="0" fieldPosition="0">
        <references count="3">
          <reference field="11" count="1" selected="0">
            <x v="20"/>
          </reference>
          <reference field="14" count="1" selected="0">
            <x v="46"/>
          </reference>
          <reference field="18" count="1">
            <x v="0"/>
          </reference>
        </references>
      </pivotArea>
    </format>
    <format dxfId="4481">
      <pivotArea dataOnly="0" labelOnly="1" outline="0" fieldPosition="0">
        <references count="3">
          <reference field="11" count="1" selected="0">
            <x v="20"/>
          </reference>
          <reference field="14" count="1" selected="0">
            <x v="46"/>
          </reference>
          <reference field="18" count="1" defaultSubtotal="1">
            <x v="0"/>
          </reference>
        </references>
      </pivotArea>
    </format>
    <format dxfId="4480">
      <pivotArea dataOnly="0" labelOnly="1" outline="0" fieldPosition="0">
        <references count="3">
          <reference field="11" count="1" selected="0">
            <x v="21"/>
          </reference>
          <reference field="14" count="1" selected="0">
            <x v="347"/>
          </reference>
          <reference field="18" count="1">
            <x v="6"/>
          </reference>
        </references>
      </pivotArea>
    </format>
    <format dxfId="4479">
      <pivotArea dataOnly="0" labelOnly="1" outline="0" fieldPosition="0">
        <references count="3">
          <reference field="11" count="1" selected="0">
            <x v="21"/>
          </reference>
          <reference field="14" count="1" selected="0">
            <x v="347"/>
          </reference>
          <reference field="18" count="1" defaultSubtotal="1">
            <x v="6"/>
          </reference>
        </references>
      </pivotArea>
    </format>
    <format dxfId="4478">
      <pivotArea dataOnly="0" labelOnly="1" outline="0" fieldPosition="0">
        <references count="3">
          <reference field="11" count="1" selected="0">
            <x v="22"/>
          </reference>
          <reference field="14" count="1" selected="0">
            <x v="219"/>
          </reference>
          <reference field="18" count="2">
            <x v="7"/>
            <x v="12"/>
          </reference>
        </references>
      </pivotArea>
    </format>
    <format dxfId="4477">
      <pivotArea dataOnly="0" labelOnly="1" outline="0" fieldPosition="0">
        <references count="3">
          <reference field="11" count="1" selected="0">
            <x v="22"/>
          </reference>
          <reference field="14" count="1" selected="0">
            <x v="219"/>
          </reference>
          <reference field="18" count="2" defaultSubtotal="1">
            <x v="7"/>
            <x v="12"/>
          </reference>
        </references>
      </pivotArea>
    </format>
    <format dxfId="4476">
      <pivotArea dataOnly="0" labelOnly="1" outline="0" fieldPosition="0">
        <references count="3">
          <reference field="11" count="1" selected="0">
            <x v="23"/>
          </reference>
          <reference field="14" count="1" selected="0">
            <x v="94"/>
          </reference>
          <reference field="18" count="1">
            <x v="2"/>
          </reference>
        </references>
      </pivotArea>
    </format>
    <format dxfId="4475">
      <pivotArea dataOnly="0" labelOnly="1" outline="0" fieldPosition="0">
        <references count="3">
          <reference field="11" count="1" selected="0">
            <x v="23"/>
          </reference>
          <reference field="14" count="1" selected="0">
            <x v="94"/>
          </reference>
          <reference field="18" count="1" defaultSubtotal="1">
            <x v="2"/>
          </reference>
        </references>
      </pivotArea>
    </format>
    <format dxfId="4474">
      <pivotArea dataOnly="0" labelOnly="1" outline="0" fieldPosition="0">
        <references count="3">
          <reference field="11" count="1" selected="0">
            <x v="24"/>
          </reference>
          <reference field="14" count="1" selected="0">
            <x v="93"/>
          </reference>
          <reference field="18" count="1">
            <x v="2"/>
          </reference>
        </references>
      </pivotArea>
    </format>
    <format dxfId="4473">
      <pivotArea dataOnly="0" labelOnly="1" outline="0" fieldPosition="0">
        <references count="3">
          <reference field="11" count="1" selected="0">
            <x v="24"/>
          </reference>
          <reference field="14" count="1" selected="0">
            <x v="93"/>
          </reference>
          <reference field="18" count="1" defaultSubtotal="1">
            <x v="2"/>
          </reference>
        </references>
      </pivotArea>
    </format>
    <format dxfId="4472">
      <pivotArea dataOnly="0" labelOnly="1" outline="0" fieldPosition="0">
        <references count="3">
          <reference field="11" count="1" selected="0">
            <x v="25"/>
          </reference>
          <reference field="14" count="1" selected="0">
            <x v="466"/>
          </reference>
          <reference field="18" count="1">
            <x v="1"/>
          </reference>
        </references>
      </pivotArea>
    </format>
    <format dxfId="4471">
      <pivotArea dataOnly="0" labelOnly="1" outline="0" fieldPosition="0">
        <references count="3">
          <reference field="11" count="1" selected="0">
            <x v="25"/>
          </reference>
          <reference field="14" count="1" selected="0">
            <x v="466"/>
          </reference>
          <reference field="18" count="1" defaultSubtotal="1">
            <x v="1"/>
          </reference>
        </references>
      </pivotArea>
    </format>
    <format dxfId="4470">
      <pivotArea dataOnly="0" labelOnly="1" outline="0" fieldPosition="0">
        <references count="3">
          <reference field="11" count="1" selected="0">
            <x v="26"/>
          </reference>
          <reference field="14" count="1" selected="0">
            <x v="55"/>
          </reference>
          <reference field="18" count="1">
            <x v="0"/>
          </reference>
        </references>
      </pivotArea>
    </format>
    <format dxfId="4469">
      <pivotArea dataOnly="0" labelOnly="1" outline="0" fieldPosition="0">
        <references count="3">
          <reference field="11" count="1" selected="0">
            <x v="26"/>
          </reference>
          <reference field="14" count="1" selected="0">
            <x v="55"/>
          </reference>
          <reference field="18" count="1" defaultSubtotal="1">
            <x v="0"/>
          </reference>
        </references>
      </pivotArea>
    </format>
    <format dxfId="4468">
      <pivotArea dataOnly="0" labelOnly="1" outline="0" fieldPosition="0">
        <references count="3">
          <reference field="11" count="1" selected="0">
            <x v="27"/>
          </reference>
          <reference field="14" count="1" selected="0">
            <x v="458"/>
          </reference>
          <reference field="18" count="1">
            <x v="2"/>
          </reference>
        </references>
      </pivotArea>
    </format>
    <format dxfId="4467">
      <pivotArea dataOnly="0" labelOnly="1" outline="0" fieldPosition="0">
        <references count="3">
          <reference field="11" count="1" selected="0">
            <x v="27"/>
          </reference>
          <reference field="14" count="1" selected="0">
            <x v="458"/>
          </reference>
          <reference field="18" count="1" defaultSubtotal="1">
            <x v="2"/>
          </reference>
        </references>
      </pivotArea>
    </format>
    <format dxfId="4466">
      <pivotArea dataOnly="0" labelOnly="1" outline="0" fieldPosition="0">
        <references count="3">
          <reference field="11" count="1" selected="0">
            <x v="28"/>
          </reference>
          <reference field="14" count="1" selected="0">
            <x v="179"/>
          </reference>
          <reference field="18" count="1">
            <x v="2"/>
          </reference>
        </references>
      </pivotArea>
    </format>
    <format dxfId="4465">
      <pivotArea dataOnly="0" labelOnly="1" outline="0" fieldPosition="0">
        <references count="3">
          <reference field="11" count="1" selected="0">
            <x v="28"/>
          </reference>
          <reference field="14" count="1" selected="0">
            <x v="179"/>
          </reference>
          <reference field="18" count="1" defaultSubtotal="1">
            <x v="2"/>
          </reference>
        </references>
      </pivotArea>
    </format>
    <format dxfId="4464">
      <pivotArea dataOnly="0" labelOnly="1" outline="0" fieldPosition="0">
        <references count="3">
          <reference field="11" count="1" selected="0">
            <x v="29"/>
          </reference>
          <reference field="14" count="1" selected="0">
            <x v="0"/>
          </reference>
          <reference field="18" count="1">
            <x v="2"/>
          </reference>
        </references>
      </pivotArea>
    </format>
    <format dxfId="4463">
      <pivotArea dataOnly="0" labelOnly="1" outline="0" fieldPosition="0">
        <references count="3">
          <reference field="11" count="1" selected="0">
            <x v="29"/>
          </reference>
          <reference field="14" count="1" selected="0">
            <x v="0"/>
          </reference>
          <reference field="18" count="1" defaultSubtotal="1">
            <x v="2"/>
          </reference>
        </references>
      </pivotArea>
    </format>
    <format dxfId="4462">
      <pivotArea dataOnly="0" labelOnly="1" outline="0" fieldPosition="0">
        <references count="3">
          <reference field="11" count="1" selected="0">
            <x v="30"/>
          </reference>
          <reference field="14" count="1" selected="0">
            <x v="1"/>
          </reference>
          <reference field="18" count="1">
            <x v="2"/>
          </reference>
        </references>
      </pivotArea>
    </format>
    <format dxfId="4461">
      <pivotArea dataOnly="0" labelOnly="1" outline="0" fieldPosition="0">
        <references count="3">
          <reference field="11" count="1" selected="0">
            <x v="30"/>
          </reference>
          <reference field="14" count="1" selected="0">
            <x v="1"/>
          </reference>
          <reference field="18" count="1" defaultSubtotal="1">
            <x v="2"/>
          </reference>
        </references>
      </pivotArea>
    </format>
    <format dxfId="4460">
      <pivotArea dataOnly="0" labelOnly="1" outline="0" fieldPosition="0">
        <references count="3">
          <reference field="11" count="1" selected="0">
            <x v="31"/>
          </reference>
          <reference field="14" count="1" selected="0">
            <x v="414"/>
          </reference>
          <reference field="18" count="1">
            <x v="2"/>
          </reference>
        </references>
      </pivotArea>
    </format>
    <format dxfId="4459">
      <pivotArea dataOnly="0" labelOnly="1" outline="0" fieldPosition="0">
        <references count="3">
          <reference field="11" count="1" selected="0">
            <x v="31"/>
          </reference>
          <reference field="14" count="1" selected="0">
            <x v="414"/>
          </reference>
          <reference field="18" count="1" defaultSubtotal="1">
            <x v="2"/>
          </reference>
        </references>
      </pivotArea>
    </format>
    <format dxfId="4458">
      <pivotArea dataOnly="0" labelOnly="1" outline="0" fieldPosition="0">
        <references count="3">
          <reference field="11" count="1" selected="0">
            <x v="32"/>
          </reference>
          <reference field="14" count="1" selected="0">
            <x v="36"/>
          </reference>
          <reference field="18" count="1">
            <x v="6"/>
          </reference>
        </references>
      </pivotArea>
    </format>
    <format dxfId="4457">
      <pivotArea dataOnly="0" labelOnly="1" outline="0" fieldPosition="0">
        <references count="3">
          <reference field="11" count="1" selected="0">
            <x v="32"/>
          </reference>
          <reference field="14" count="1" selected="0">
            <x v="36"/>
          </reference>
          <reference field="18" count="1" defaultSubtotal="1">
            <x v="6"/>
          </reference>
        </references>
      </pivotArea>
    </format>
    <format dxfId="4456">
      <pivotArea dataOnly="0" labelOnly="1" outline="0" fieldPosition="0">
        <references count="3">
          <reference field="11" count="1" selected="0">
            <x v="33"/>
          </reference>
          <reference field="14" count="1" selected="0">
            <x v="341"/>
          </reference>
          <reference field="18" count="1">
            <x v="3"/>
          </reference>
        </references>
      </pivotArea>
    </format>
    <format dxfId="4455">
      <pivotArea dataOnly="0" labelOnly="1" outline="0" fieldPosition="0">
        <references count="3">
          <reference field="11" count="1" selected="0">
            <x v="33"/>
          </reference>
          <reference field="14" count="1" selected="0">
            <x v="341"/>
          </reference>
          <reference field="18" count="1" defaultSubtotal="1">
            <x v="3"/>
          </reference>
        </references>
      </pivotArea>
    </format>
    <format dxfId="4454">
      <pivotArea dataOnly="0" labelOnly="1" outline="0" fieldPosition="0">
        <references count="3">
          <reference field="11" count="1" selected="0">
            <x v="34"/>
          </reference>
          <reference field="14" count="1" selected="0">
            <x v="340"/>
          </reference>
          <reference field="18" count="1">
            <x v="3"/>
          </reference>
        </references>
      </pivotArea>
    </format>
    <format dxfId="4453">
      <pivotArea dataOnly="0" labelOnly="1" outline="0" fieldPosition="0">
        <references count="3">
          <reference field="11" count="1" selected="0">
            <x v="34"/>
          </reference>
          <reference field="14" count="1" selected="0">
            <x v="340"/>
          </reference>
          <reference field="18" count="1" defaultSubtotal="1">
            <x v="3"/>
          </reference>
        </references>
      </pivotArea>
    </format>
    <format dxfId="4452">
      <pivotArea dataOnly="0" labelOnly="1" outline="0" fieldPosition="0">
        <references count="3">
          <reference field="11" count="1" selected="0">
            <x v="35"/>
          </reference>
          <reference field="14" count="1" selected="0">
            <x v="379"/>
          </reference>
          <reference field="18" count="1">
            <x v="6"/>
          </reference>
        </references>
      </pivotArea>
    </format>
    <format dxfId="4451">
      <pivotArea dataOnly="0" labelOnly="1" outline="0" fieldPosition="0">
        <references count="3">
          <reference field="11" count="1" selected="0">
            <x v="35"/>
          </reference>
          <reference field="14" count="1" selected="0">
            <x v="379"/>
          </reference>
          <reference field="18" count="1" defaultSubtotal="1">
            <x v="6"/>
          </reference>
        </references>
      </pivotArea>
    </format>
    <format dxfId="4450">
      <pivotArea dataOnly="0" labelOnly="1" outline="0" fieldPosition="0">
        <references count="3">
          <reference field="11" count="1" selected="0">
            <x v="36"/>
          </reference>
          <reference field="14" count="1" selected="0">
            <x v="349"/>
          </reference>
          <reference field="18" count="1">
            <x v="6"/>
          </reference>
        </references>
      </pivotArea>
    </format>
    <format dxfId="4449">
      <pivotArea dataOnly="0" labelOnly="1" outline="0" fieldPosition="0">
        <references count="3">
          <reference field="11" count="1" selected="0">
            <x v="36"/>
          </reference>
          <reference field="14" count="1" selected="0">
            <x v="349"/>
          </reference>
          <reference field="18" count="1" defaultSubtotal="1">
            <x v="6"/>
          </reference>
        </references>
      </pivotArea>
    </format>
    <format dxfId="4448">
      <pivotArea dataOnly="0" labelOnly="1" outline="0" fieldPosition="0">
        <references count="3">
          <reference field="11" count="1" selected="0">
            <x v="37"/>
          </reference>
          <reference field="14" count="1" selected="0">
            <x v="348"/>
          </reference>
          <reference field="18" count="1">
            <x v="6"/>
          </reference>
        </references>
      </pivotArea>
    </format>
    <format dxfId="4447">
      <pivotArea dataOnly="0" labelOnly="1" outline="0" fieldPosition="0">
        <references count="3">
          <reference field="11" count="1" selected="0">
            <x v="37"/>
          </reference>
          <reference field="14" count="1" selected="0">
            <x v="348"/>
          </reference>
          <reference field="18" count="1" defaultSubtotal="1">
            <x v="6"/>
          </reference>
        </references>
      </pivotArea>
    </format>
    <format dxfId="4446">
      <pivotArea dataOnly="0" labelOnly="1" outline="0" fieldPosition="0">
        <references count="3">
          <reference field="11" count="1" selected="0">
            <x v="38"/>
          </reference>
          <reference field="14" count="1" selected="0">
            <x v="346"/>
          </reference>
          <reference field="18" count="1">
            <x v="6"/>
          </reference>
        </references>
      </pivotArea>
    </format>
    <format dxfId="4445">
      <pivotArea dataOnly="0" labelOnly="1" outline="0" fieldPosition="0">
        <references count="3">
          <reference field="11" count="1" selected="0">
            <x v="38"/>
          </reference>
          <reference field="14" count="1" selected="0">
            <x v="346"/>
          </reference>
          <reference field="18" count="1" defaultSubtotal="1">
            <x v="6"/>
          </reference>
        </references>
      </pivotArea>
    </format>
    <format dxfId="4444">
      <pivotArea dataOnly="0" labelOnly="1" outline="0" fieldPosition="0">
        <references count="3">
          <reference field="11" count="1" selected="0">
            <x v="39"/>
          </reference>
          <reference field="14" count="1" selected="0">
            <x v="344"/>
          </reference>
          <reference field="18" count="1">
            <x v="6"/>
          </reference>
        </references>
      </pivotArea>
    </format>
    <format dxfId="4443">
      <pivotArea dataOnly="0" labelOnly="1" outline="0" fieldPosition="0">
        <references count="3">
          <reference field="11" count="1" selected="0">
            <x v="39"/>
          </reference>
          <reference field="14" count="1" selected="0">
            <x v="344"/>
          </reference>
          <reference field="18" count="1" defaultSubtotal="1">
            <x v="6"/>
          </reference>
        </references>
      </pivotArea>
    </format>
    <format dxfId="4442">
      <pivotArea dataOnly="0" labelOnly="1" outline="0" fieldPosition="0">
        <references count="3">
          <reference field="11" count="1" selected="0">
            <x v="40"/>
          </reference>
          <reference field="14" count="1" selected="0">
            <x v="345"/>
          </reference>
          <reference field="18" count="1">
            <x v="6"/>
          </reference>
        </references>
      </pivotArea>
    </format>
    <format dxfId="4441">
      <pivotArea dataOnly="0" labelOnly="1" outline="0" fieldPosition="0">
        <references count="3">
          <reference field="11" count="1" selected="0">
            <x v="40"/>
          </reference>
          <reference field="14" count="1" selected="0">
            <x v="345"/>
          </reference>
          <reference field="18" count="1" defaultSubtotal="1">
            <x v="6"/>
          </reference>
        </references>
      </pivotArea>
    </format>
    <format dxfId="4440">
      <pivotArea dataOnly="0" labelOnly="1" outline="0" fieldPosition="0">
        <references count="3">
          <reference field="11" count="1" selected="0">
            <x v="41"/>
          </reference>
          <reference field="14" count="1" selected="0">
            <x v="337"/>
          </reference>
          <reference field="18" count="1">
            <x v="16"/>
          </reference>
        </references>
      </pivotArea>
    </format>
    <format dxfId="4439">
      <pivotArea dataOnly="0" labelOnly="1" outline="0" fieldPosition="0">
        <references count="3">
          <reference field="11" count="1" selected="0">
            <x v="41"/>
          </reference>
          <reference field="14" count="1" selected="0">
            <x v="337"/>
          </reference>
          <reference field="18" count="1" defaultSubtotal="1">
            <x v="16"/>
          </reference>
        </references>
      </pivotArea>
    </format>
    <format dxfId="4438">
      <pivotArea dataOnly="0" labelOnly="1" outline="0" fieldPosition="0">
        <references count="3">
          <reference field="11" count="1" selected="0">
            <x v="42"/>
          </reference>
          <reference field="14" count="1" selected="0">
            <x v="59"/>
          </reference>
          <reference field="18" count="1">
            <x v="4"/>
          </reference>
        </references>
      </pivotArea>
    </format>
    <format dxfId="4437">
      <pivotArea dataOnly="0" labelOnly="1" outline="0" fieldPosition="0">
        <references count="3">
          <reference field="11" count="1" selected="0">
            <x v="42"/>
          </reference>
          <reference field="14" count="1" selected="0">
            <x v="59"/>
          </reference>
          <reference field="18" count="1" defaultSubtotal="1">
            <x v="4"/>
          </reference>
        </references>
      </pivotArea>
    </format>
    <format dxfId="4436">
      <pivotArea dataOnly="0" labelOnly="1" outline="0" fieldPosition="0">
        <references count="3">
          <reference field="11" count="1" selected="0">
            <x v="43"/>
          </reference>
          <reference field="14" count="1" selected="0">
            <x v="410"/>
          </reference>
          <reference field="18" count="2">
            <x v="0"/>
            <x v="14"/>
          </reference>
        </references>
      </pivotArea>
    </format>
    <format dxfId="4435">
      <pivotArea dataOnly="0" labelOnly="1" outline="0" fieldPosition="0">
        <references count="3">
          <reference field="11" count="1" selected="0">
            <x v="43"/>
          </reference>
          <reference field="14" count="1" selected="0">
            <x v="410"/>
          </reference>
          <reference field="18" count="2" defaultSubtotal="1">
            <x v="0"/>
            <x v="14"/>
          </reference>
        </references>
      </pivotArea>
    </format>
    <format dxfId="4434">
      <pivotArea dataOnly="0" labelOnly="1" outline="0" fieldPosition="0">
        <references count="3">
          <reference field="11" count="1" selected="0">
            <x v="44"/>
          </reference>
          <reference field="14" count="1" selected="0">
            <x v="77"/>
          </reference>
          <reference field="18" count="2">
            <x v="2"/>
            <x v="22"/>
          </reference>
        </references>
      </pivotArea>
    </format>
    <format dxfId="4433">
      <pivotArea dataOnly="0" labelOnly="1" outline="0" fieldPosition="0">
        <references count="3">
          <reference field="11" count="1" selected="0">
            <x v="44"/>
          </reference>
          <reference field="14" count="1" selected="0">
            <x v="77"/>
          </reference>
          <reference field="18" count="2" defaultSubtotal="1">
            <x v="2"/>
            <x v="22"/>
          </reference>
        </references>
      </pivotArea>
    </format>
    <format dxfId="4432">
      <pivotArea dataOnly="0" labelOnly="1" outline="0" fieldPosition="0">
        <references count="3">
          <reference field="11" count="1" selected="0">
            <x v="45"/>
          </reference>
          <reference field="14" count="1" selected="0">
            <x v="465"/>
          </reference>
          <reference field="18" count="1">
            <x v="6"/>
          </reference>
        </references>
      </pivotArea>
    </format>
    <format dxfId="4431">
      <pivotArea dataOnly="0" labelOnly="1" outline="0" fieldPosition="0">
        <references count="3">
          <reference field="11" count="1" selected="0">
            <x v="45"/>
          </reference>
          <reference field="14" count="1" selected="0">
            <x v="465"/>
          </reference>
          <reference field="18" count="1" defaultSubtotal="1">
            <x v="6"/>
          </reference>
        </references>
      </pivotArea>
    </format>
    <format dxfId="4430">
      <pivotArea dataOnly="0" labelOnly="1" outline="0" fieldPosition="0">
        <references count="3">
          <reference field="11" count="1" selected="0">
            <x v="46"/>
          </reference>
          <reference field="14" count="1" selected="0">
            <x v="250"/>
          </reference>
          <reference field="18" count="1">
            <x v="2"/>
          </reference>
        </references>
      </pivotArea>
    </format>
    <format dxfId="4429">
      <pivotArea dataOnly="0" labelOnly="1" outline="0" fieldPosition="0">
        <references count="3">
          <reference field="11" count="1" selected="0">
            <x v="46"/>
          </reference>
          <reference field="14" count="1" selected="0">
            <x v="250"/>
          </reference>
          <reference field="18" count="1" defaultSubtotal="1">
            <x v="2"/>
          </reference>
        </references>
      </pivotArea>
    </format>
    <format dxfId="4428">
      <pivotArea dataOnly="0" labelOnly="1" outline="0" fieldPosition="0">
        <references count="3">
          <reference field="11" count="1" selected="0">
            <x v="47"/>
          </reference>
          <reference field="14" count="1" selected="0">
            <x v="323"/>
          </reference>
          <reference field="18" count="1">
            <x v="17"/>
          </reference>
        </references>
      </pivotArea>
    </format>
    <format dxfId="4427">
      <pivotArea dataOnly="0" labelOnly="1" outline="0" fieldPosition="0">
        <references count="3">
          <reference field="11" count="1" selected="0">
            <x v="47"/>
          </reference>
          <reference field="14" count="1" selected="0">
            <x v="323"/>
          </reference>
          <reference field="18" count="1" defaultSubtotal="1">
            <x v="17"/>
          </reference>
        </references>
      </pivotArea>
    </format>
    <format dxfId="4426">
      <pivotArea dataOnly="0" labelOnly="1" outline="0" fieldPosition="0">
        <references count="3">
          <reference field="11" count="1" selected="0">
            <x v="48"/>
          </reference>
          <reference field="14" count="1" selected="0">
            <x v="244"/>
          </reference>
          <reference field="18" count="1">
            <x v="6"/>
          </reference>
        </references>
      </pivotArea>
    </format>
    <format dxfId="4425">
      <pivotArea dataOnly="0" labelOnly="1" outline="0" fieldPosition="0">
        <references count="3">
          <reference field="11" count="1" selected="0">
            <x v="48"/>
          </reference>
          <reference field="14" count="1" selected="0">
            <x v="244"/>
          </reference>
          <reference field="18" count="1" defaultSubtotal="1">
            <x v="6"/>
          </reference>
        </references>
      </pivotArea>
    </format>
    <format dxfId="4424">
      <pivotArea dataOnly="0" labelOnly="1" outline="0" fieldPosition="0">
        <references count="3">
          <reference field="11" count="1" selected="0">
            <x v="49"/>
          </reference>
          <reference field="14" count="1" selected="0">
            <x v="228"/>
          </reference>
          <reference field="18" count="3">
            <x v="0"/>
            <x v="2"/>
            <x v="12"/>
          </reference>
        </references>
      </pivotArea>
    </format>
    <format dxfId="4423">
      <pivotArea dataOnly="0" labelOnly="1" outline="0" fieldPosition="0">
        <references count="3">
          <reference field="11" count="1" selected="0">
            <x v="49"/>
          </reference>
          <reference field="14" count="1" selected="0">
            <x v="228"/>
          </reference>
          <reference field="18" count="3" defaultSubtotal="1">
            <x v="0"/>
            <x v="2"/>
            <x v="12"/>
          </reference>
        </references>
      </pivotArea>
    </format>
    <format dxfId="4422">
      <pivotArea dataOnly="0" labelOnly="1" outline="0" fieldPosition="0">
        <references count="3">
          <reference field="11" count="1" selected="0">
            <x v="50"/>
          </reference>
          <reference field="14" count="1" selected="0">
            <x v="318"/>
          </reference>
          <reference field="18" count="1">
            <x v="6"/>
          </reference>
        </references>
      </pivotArea>
    </format>
    <format dxfId="4421">
      <pivotArea dataOnly="0" labelOnly="1" outline="0" fieldPosition="0">
        <references count="3">
          <reference field="11" count="1" selected="0">
            <x v="50"/>
          </reference>
          <reference field="14" count="1" selected="0">
            <x v="318"/>
          </reference>
          <reference field="18" count="1" defaultSubtotal="1">
            <x v="6"/>
          </reference>
        </references>
      </pivotArea>
    </format>
    <format dxfId="4420">
      <pivotArea dataOnly="0" labelOnly="1" outline="0" fieldPosition="0">
        <references count="3">
          <reference field="11" count="1" selected="0">
            <x v="51"/>
          </reference>
          <reference field="14" count="1" selected="0">
            <x v="241"/>
          </reference>
          <reference field="18" count="1">
            <x v="6"/>
          </reference>
        </references>
      </pivotArea>
    </format>
    <format dxfId="4419">
      <pivotArea dataOnly="0" labelOnly="1" outline="0" fieldPosition="0">
        <references count="3">
          <reference field="11" count="1" selected="0">
            <x v="51"/>
          </reference>
          <reference field="14" count="1" selected="0">
            <x v="241"/>
          </reference>
          <reference field="18" count="1" defaultSubtotal="1">
            <x v="6"/>
          </reference>
        </references>
      </pivotArea>
    </format>
    <format dxfId="4418">
      <pivotArea dataOnly="0" labelOnly="1" outline="0" fieldPosition="0">
        <references count="3">
          <reference field="11" count="1" selected="0">
            <x v="52"/>
          </reference>
          <reference field="14" count="1" selected="0">
            <x v="413"/>
          </reference>
          <reference field="18" count="1">
            <x v="6"/>
          </reference>
        </references>
      </pivotArea>
    </format>
    <format dxfId="4417">
      <pivotArea dataOnly="0" labelOnly="1" outline="0" fieldPosition="0">
        <references count="3">
          <reference field="11" count="1" selected="0">
            <x v="52"/>
          </reference>
          <reference field="14" count="1" selected="0">
            <x v="413"/>
          </reference>
          <reference field="18" count="1" defaultSubtotal="1">
            <x v="6"/>
          </reference>
        </references>
      </pivotArea>
    </format>
    <format dxfId="4416">
      <pivotArea dataOnly="0" labelOnly="1" outline="0" fieldPosition="0">
        <references count="3">
          <reference field="11" count="1" selected="0">
            <x v="53"/>
          </reference>
          <reference field="14" count="1" selected="0">
            <x v="283"/>
          </reference>
          <reference field="18" count="1">
            <x v="3"/>
          </reference>
        </references>
      </pivotArea>
    </format>
    <format dxfId="4415">
      <pivotArea dataOnly="0" labelOnly="1" outline="0" fieldPosition="0">
        <references count="3">
          <reference field="11" count="1" selected="0">
            <x v="53"/>
          </reference>
          <reference field="14" count="1" selected="0">
            <x v="283"/>
          </reference>
          <reference field="18" count="1" defaultSubtotal="1">
            <x v="3"/>
          </reference>
        </references>
      </pivotArea>
    </format>
    <format dxfId="4414">
      <pivotArea dataOnly="0" labelOnly="1" outline="0" fieldPosition="0">
        <references count="3">
          <reference field="11" count="1" selected="0">
            <x v="54"/>
          </reference>
          <reference field="14" count="1" selected="0">
            <x v="278"/>
          </reference>
          <reference field="18" count="2">
            <x v="0"/>
            <x v="1"/>
          </reference>
        </references>
      </pivotArea>
    </format>
    <format dxfId="4413">
      <pivotArea dataOnly="0" labelOnly="1" outline="0" fieldPosition="0">
        <references count="3">
          <reference field="11" count="1" selected="0">
            <x v="54"/>
          </reference>
          <reference field="14" count="1" selected="0">
            <x v="278"/>
          </reference>
          <reference field="18" count="2" defaultSubtotal="1">
            <x v="0"/>
            <x v="1"/>
          </reference>
        </references>
      </pivotArea>
    </format>
    <format dxfId="4412">
      <pivotArea dataOnly="0" labelOnly="1" outline="0" fieldPosition="0">
        <references count="3">
          <reference field="11" count="1" selected="0">
            <x v="55"/>
          </reference>
          <reference field="14" count="1" selected="0">
            <x v="275"/>
          </reference>
          <reference field="18" count="1">
            <x v="0"/>
          </reference>
        </references>
      </pivotArea>
    </format>
    <format dxfId="4411">
      <pivotArea dataOnly="0" labelOnly="1" outline="0" fieldPosition="0">
        <references count="3">
          <reference field="11" count="1" selected="0">
            <x v="55"/>
          </reference>
          <reference field="14" count="1" selected="0">
            <x v="275"/>
          </reference>
          <reference field="18" count="1" defaultSubtotal="1">
            <x v="0"/>
          </reference>
        </references>
      </pivotArea>
    </format>
    <format dxfId="4410">
      <pivotArea dataOnly="0" labelOnly="1" outline="0" fieldPosition="0">
        <references count="3">
          <reference field="11" count="1" selected="0">
            <x v="56"/>
          </reference>
          <reference field="14" count="1" selected="0">
            <x v="463"/>
          </reference>
          <reference field="18" count="3">
            <x v="22"/>
            <x v="23"/>
            <x v="24"/>
          </reference>
        </references>
      </pivotArea>
    </format>
    <format dxfId="4409">
      <pivotArea dataOnly="0" labelOnly="1" outline="0" fieldPosition="0">
        <references count="3">
          <reference field="11" count="1" selected="0">
            <x v="56"/>
          </reference>
          <reference field="14" count="1" selected="0">
            <x v="463"/>
          </reference>
          <reference field="18" count="3" defaultSubtotal="1">
            <x v="22"/>
            <x v="23"/>
            <x v="24"/>
          </reference>
        </references>
      </pivotArea>
    </format>
    <format dxfId="4408">
      <pivotArea dataOnly="0" labelOnly="1" outline="0" fieldPosition="0">
        <references count="3">
          <reference field="11" count="1" selected="0">
            <x v="57"/>
          </reference>
          <reference field="14" count="1" selected="0">
            <x v="462"/>
          </reference>
          <reference field="18" count="3">
            <x v="22"/>
            <x v="23"/>
            <x v="24"/>
          </reference>
        </references>
      </pivotArea>
    </format>
    <format dxfId="4407">
      <pivotArea dataOnly="0" labelOnly="1" outline="0" fieldPosition="0">
        <references count="3">
          <reference field="11" count="1" selected="0">
            <x v="57"/>
          </reference>
          <reference field="14" count="1" selected="0">
            <x v="462"/>
          </reference>
          <reference field="18" count="3" defaultSubtotal="1">
            <x v="22"/>
            <x v="23"/>
            <x v="24"/>
          </reference>
        </references>
      </pivotArea>
    </format>
    <format dxfId="4406">
      <pivotArea dataOnly="0" labelOnly="1" outline="0" fieldPosition="0">
        <references count="3">
          <reference field="11" count="1" selected="0">
            <x v="58"/>
          </reference>
          <reference field="14" count="1" selected="0">
            <x v="459"/>
          </reference>
          <reference field="18" count="1">
            <x v="1"/>
          </reference>
        </references>
      </pivotArea>
    </format>
    <format dxfId="4405">
      <pivotArea dataOnly="0" labelOnly="1" outline="0" fieldPosition="0">
        <references count="3">
          <reference field="11" count="1" selected="0">
            <x v="58"/>
          </reference>
          <reference field="14" count="1" selected="0">
            <x v="459"/>
          </reference>
          <reference field="18" count="1" defaultSubtotal="1">
            <x v="1"/>
          </reference>
        </references>
      </pivotArea>
    </format>
    <format dxfId="4404">
      <pivotArea dataOnly="0" labelOnly="1" outline="0" fieldPosition="0">
        <references count="3">
          <reference field="11" count="1" selected="0">
            <x v="59"/>
          </reference>
          <reference field="14" count="1" selected="0">
            <x v="271"/>
          </reference>
          <reference field="18" count="1">
            <x v="3"/>
          </reference>
        </references>
      </pivotArea>
    </format>
    <format dxfId="4403">
      <pivotArea dataOnly="0" labelOnly="1" outline="0" fieldPosition="0">
        <references count="3">
          <reference field="11" count="1" selected="0">
            <x v="59"/>
          </reference>
          <reference field="14" count="1" selected="0">
            <x v="271"/>
          </reference>
          <reference field="18" count="1" defaultSubtotal="1">
            <x v="3"/>
          </reference>
        </references>
      </pivotArea>
    </format>
    <format dxfId="4402">
      <pivotArea dataOnly="0" labelOnly="1" outline="0" fieldPosition="0">
        <references count="3">
          <reference field="11" count="1" selected="0">
            <x v="60"/>
          </reference>
          <reference field="14" count="1" selected="0">
            <x v="22"/>
          </reference>
          <reference field="18" count="1">
            <x v="16"/>
          </reference>
        </references>
      </pivotArea>
    </format>
    <format dxfId="4401">
      <pivotArea dataOnly="0" labelOnly="1" outline="0" fieldPosition="0">
        <references count="3">
          <reference field="11" count="1" selected="0">
            <x v="60"/>
          </reference>
          <reference field="14" count="1" selected="0">
            <x v="22"/>
          </reference>
          <reference field="18" count="1" defaultSubtotal="1">
            <x v="16"/>
          </reference>
        </references>
      </pivotArea>
    </format>
    <format dxfId="4400">
      <pivotArea dataOnly="0" labelOnly="1" outline="0" fieldPosition="0">
        <references count="3">
          <reference field="11" count="1" selected="0">
            <x v="61"/>
          </reference>
          <reference field="14" count="1" selected="0">
            <x v="354"/>
          </reference>
          <reference field="18" count="1">
            <x v="6"/>
          </reference>
        </references>
      </pivotArea>
    </format>
    <format dxfId="4399">
      <pivotArea dataOnly="0" labelOnly="1" outline="0" fieldPosition="0">
        <references count="3">
          <reference field="11" count="1" selected="0">
            <x v="61"/>
          </reference>
          <reference field="14" count="1" selected="0">
            <x v="354"/>
          </reference>
          <reference field="18" count="1" defaultSubtotal="1">
            <x v="6"/>
          </reference>
        </references>
      </pivotArea>
    </format>
    <format dxfId="4398">
      <pivotArea dataOnly="0" labelOnly="1" outline="0" fieldPosition="0">
        <references count="3">
          <reference field="11" count="1" selected="0">
            <x v="62"/>
          </reference>
          <reference field="14" count="1" selected="0">
            <x v="415"/>
          </reference>
          <reference field="18" count="1">
            <x v="6"/>
          </reference>
        </references>
      </pivotArea>
    </format>
    <format dxfId="4397">
      <pivotArea dataOnly="0" labelOnly="1" outline="0" fieldPosition="0">
        <references count="3">
          <reference field="11" count="1" selected="0">
            <x v="62"/>
          </reference>
          <reference field="14" count="1" selected="0">
            <x v="415"/>
          </reference>
          <reference field="18" count="1" defaultSubtotal="1">
            <x v="6"/>
          </reference>
        </references>
      </pivotArea>
    </format>
    <format dxfId="4396">
      <pivotArea dataOnly="0" labelOnly="1" outline="0" fieldPosition="0">
        <references count="3">
          <reference field="11" count="1" selected="0">
            <x v="63"/>
          </reference>
          <reference field="14" count="1" selected="0">
            <x v="227"/>
          </reference>
          <reference field="18" count="4">
            <x v="0"/>
            <x v="7"/>
            <x v="11"/>
            <x v="12"/>
          </reference>
        </references>
      </pivotArea>
    </format>
    <format dxfId="4395">
      <pivotArea dataOnly="0" labelOnly="1" outline="0" fieldPosition="0">
        <references count="3">
          <reference field="11" count="1" selected="0">
            <x v="63"/>
          </reference>
          <reference field="14" count="1" selected="0">
            <x v="227"/>
          </reference>
          <reference field="18" count="4" defaultSubtotal="1">
            <x v="0"/>
            <x v="7"/>
            <x v="11"/>
            <x v="12"/>
          </reference>
        </references>
      </pivotArea>
    </format>
    <format dxfId="4394">
      <pivotArea dataOnly="0" labelOnly="1" outline="0" fieldPosition="0">
        <references count="3">
          <reference field="11" count="1" selected="0">
            <x v="64"/>
          </reference>
          <reference field="14" count="1" selected="0">
            <x v="261"/>
          </reference>
          <reference field="18" count="1">
            <x v="12"/>
          </reference>
        </references>
      </pivotArea>
    </format>
    <format dxfId="4393">
      <pivotArea dataOnly="0" labelOnly="1" outline="0" fieldPosition="0">
        <references count="3">
          <reference field="11" count="1" selected="0">
            <x v="64"/>
          </reference>
          <reference field="14" count="1" selected="0">
            <x v="261"/>
          </reference>
          <reference field="18" count="1" defaultSubtotal="1">
            <x v="12"/>
          </reference>
        </references>
      </pivotArea>
    </format>
    <format dxfId="4392">
      <pivotArea dataOnly="0" labelOnly="1" outline="0" fieldPosition="0">
        <references count="3">
          <reference field="11" count="1" selected="0">
            <x v="65"/>
          </reference>
          <reference field="14" count="1" selected="0">
            <x v="336"/>
          </reference>
          <reference field="18" count="1">
            <x v="14"/>
          </reference>
        </references>
      </pivotArea>
    </format>
    <format dxfId="4391">
      <pivotArea dataOnly="0" labelOnly="1" outline="0" fieldPosition="0">
        <references count="3">
          <reference field="11" count="1" selected="0">
            <x v="65"/>
          </reference>
          <reference field="14" count="1" selected="0">
            <x v="336"/>
          </reference>
          <reference field="18" count="1" defaultSubtotal="1">
            <x v="14"/>
          </reference>
        </references>
      </pivotArea>
    </format>
    <format dxfId="4390">
      <pivotArea dataOnly="0" labelOnly="1" outline="0" fieldPosition="0">
        <references count="3">
          <reference field="11" count="1" selected="0">
            <x v="66"/>
          </reference>
          <reference field="14" count="1" selected="0">
            <x v="63"/>
          </reference>
          <reference field="18" count="1">
            <x v="3"/>
          </reference>
        </references>
      </pivotArea>
    </format>
    <format dxfId="4389">
      <pivotArea dataOnly="0" labelOnly="1" outline="0" fieldPosition="0">
        <references count="3">
          <reference field="11" count="1" selected="0">
            <x v="66"/>
          </reference>
          <reference field="14" count="1" selected="0">
            <x v="63"/>
          </reference>
          <reference field="18" count="1" defaultSubtotal="1">
            <x v="3"/>
          </reference>
        </references>
      </pivotArea>
    </format>
    <format dxfId="4388">
      <pivotArea dataOnly="0" labelOnly="1" outline="0" fieldPosition="0">
        <references count="3">
          <reference field="11" count="1" selected="0">
            <x v="67"/>
          </reference>
          <reference field="14" count="1" selected="0">
            <x v="237"/>
          </reference>
          <reference field="18" count="3">
            <x v="0"/>
            <x v="2"/>
            <x v="12"/>
          </reference>
        </references>
      </pivotArea>
    </format>
    <format dxfId="4387">
      <pivotArea dataOnly="0" labelOnly="1" outline="0" fieldPosition="0">
        <references count="3">
          <reference field="11" count="1" selected="0">
            <x v="67"/>
          </reference>
          <reference field="14" count="1" selected="0">
            <x v="237"/>
          </reference>
          <reference field="18" count="3" defaultSubtotal="1">
            <x v="0"/>
            <x v="2"/>
            <x v="12"/>
          </reference>
        </references>
      </pivotArea>
    </format>
    <format dxfId="4386">
      <pivotArea dataOnly="0" labelOnly="1" outline="0" fieldPosition="0">
        <references count="3">
          <reference field="11" count="1" selected="0">
            <x v="68"/>
          </reference>
          <reference field="14" count="1" selected="0">
            <x v="138"/>
          </reference>
          <reference field="18" count="1">
            <x v="22"/>
          </reference>
        </references>
      </pivotArea>
    </format>
    <format dxfId="4385">
      <pivotArea dataOnly="0" labelOnly="1" outline="0" fieldPosition="0">
        <references count="3">
          <reference field="11" count="1" selected="0">
            <x v="68"/>
          </reference>
          <reference field="14" count="1" selected="0">
            <x v="138"/>
          </reference>
          <reference field="18" count="1" defaultSubtotal="1">
            <x v="22"/>
          </reference>
        </references>
      </pivotArea>
    </format>
    <format dxfId="4384">
      <pivotArea dataOnly="0" labelOnly="1" outline="0" fieldPosition="0">
        <references count="3">
          <reference field="11" count="1" selected="0">
            <x v="69"/>
          </reference>
          <reference field="14" count="1" selected="0">
            <x v="139"/>
          </reference>
          <reference field="18" count="1">
            <x v="22"/>
          </reference>
        </references>
      </pivotArea>
    </format>
    <format dxfId="4383">
      <pivotArea dataOnly="0" labelOnly="1" outline="0" fieldPosition="0">
        <references count="3">
          <reference field="11" count="1" selected="0">
            <x v="69"/>
          </reference>
          <reference field="14" count="1" selected="0">
            <x v="139"/>
          </reference>
          <reference field="18" count="1" defaultSubtotal="1">
            <x v="22"/>
          </reference>
        </references>
      </pivotArea>
    </format>
    <format dxfId="4382">
      <pivotArea dataOnly="0" labelOnly="1" outline="0" fieldPosition="0">
        <references count="3">
          <reference field="11" count="1" selected="0">
            <x v="70"/>
          </reference>
          <reference field="14" count="1" selected="0">
            <x v="137"/>
          </reference>
          <reference field="18" count="1">
            <x v="22"/>
          </reference>
        </references>
      </pivotArea>
    </format>
    <format dxfId="4381">
      <pivotArea dataOnly="0" labelOnly="1" outline="0" fieldPosition="0">
        <references count="3">
          <reference field="11" count="1" selected="0">
            <x v="70"/>
          </reference>
          <reference field="14" count="1" selected="0">
            <x v="137"/>
          </reference>
          <reference field="18" count="1" defaultSubtotal="1">
            <x v="22"/>
          </reference>
        </references>
      </pivotArea>
    </format>
    <format dxfId="4380">
      <pivotArea dataOnly="0" labelOnly="1" outline="0" fieldPosition="0">
        <references count="3">
          <reference field="11" count="1" selected="0">
            <x v="71"/>
          </reference>
          <reference field="14" count="1" selected="0">
            <x v="468"/>
          </reference>
          <reference field="18" count="1">
            <x v="6"/>
          </reference>
        </references>
      </pivotArea>
    </format>
    <format dxfId="4379">
      <pivotArea dataOnly="0" labelOnly="1" outline="0" fieldPosition="0">
        <references count="3">
          <reference field="11" count="1" selected="0">
            <x v="71"/>
          </reference>
          <reference field="14" count="1" selected="0">
            <x v="468"/>
          </reference>
          <reference field="18" count="1" defaultSubtotal="1">
            <x v="6"/>
          </reference>
        </references>
      </pivotArea>
    </format>
    <format dxfId="4378">
      <pivotArea dataOnly="0" labelOnly="1" outline="0" fieldPosition="0">
        <references count="3">
          <reference field="11" count="1" selected="0">
            <x v="72"/>
          </reference>
          <reference field="14" count="1" selected="0">
            <x v="83"/>
          </reference>
          <reference field="18" count="1">
            <x v="1"/>
          </reference>
        </references>
      </pivotArea>
    </format>
    <format dxfId="4377">
      <pivotArea dataOnly="0" labelOnly="1" outline="0" fieldPosition="0">
        <references count="3">
          <reference field="11" count="1" selected="0">
            <x v="72"/>
          </reference>
          <reference field="14" count="1" selected="0">
            <x v="83"/>
          </reference>
          <reference field="18" count="1" defaultSubtotal="1">
            <x v="1"/>
          </reference>
        </references>
      </pivotArea>
    </format>
    <format dxfId="4376">
      <pivotArea dataOnly="0" labelOnly="1" outline="0" fieldPosition="0">
        <references count="3">
          <reference field="11" count="1" selected="0">
            <x v="73"/>
          </reference>
          <reference field="14" count="1" selected="0">
            <x v="288"/>
          </reference>
          <reference field="18" count="1">
            <x v="0"/>
          </reference>
        </references>
      </pivotArea>
    </format>
    <format dxfId="4375">
      <pivotArea dataOnly="0" labelOnly="1" outline="0" fieldPosition="0">
        <references count="3">
          <reference field="11" count="1" selected="0">
            <x v="73"/>
          </reference>
          <reference field="14" count="1" selected="0">
            <x v="288"/>
          </reference>
          <reference field="18" count="1" defaultSubtotal="1">
            <x v="0"/>
          </reference>
        </references>
      </pivotArea>
    </format>
    <format dxfId="4374">
      <pivotArea dataOnly="0" labelOnly="1" outline="0" fieldPosition="0">
        <references count="3">
          <reference field="11" count="1" selected="0">
            <x v="74"/>
          </reference>
          <reference field="14" count="1" selected="0">
            <x v="235"/>
          </reference>
          <reference field="18" count="2">
            <x v="3"/>
            <x v="12"/>
          </reference>
        </references>
      </pivotArea>
    </format>
    <format dxfId="4373">
      <pivotArea dataOnly="0" labelOnly="1" outline="0" fieldPosition="0">
        <references count="3">
          <reference field="11" count="1" selected="0">
            <x v="74"/>
          </reference>
          <reference field="14" count="1" selected="0">
            <x v="235"/>
          </reference>
          <reference field="18" count="2" defaultSubtotal="1">
            <x v="3"/>
            <x v="12"/>
          </reference>
        </references>
      </pivotArea>
    </format>
    <format dxfId="4372">
      <pivotArea dataOnly="0" labelOnly="1" outline="0" fieldPosition="0">
        <references count="3">
          <reference field="11" count="1" selected="0">
            <x v="75"/>
          </reference>
          <reference field="14" count="1" selected="0">
            <x v="285"/>
          </reference>
          <reference field="18" count="1">
            <x v="0"/>
          </reference>
        </references>
      </pivotArea>
    </format>
    <format dxfId="4371">
      <pivotArea dataOnly="0" labelOnly="1" outline="0" fieldPosition="0">
        <references count="3">
          <reference field="11" count="1" selected="0">
            <x v="75"/>
          </reference>
          <reference field="14" count="1" selected="0">
            <x v="285"/>
          </reference>
          <reference field="18" count="1" defaultSubtotal="1">
            <x v="0"/>
          </reference>
        </references>
      </pivotArea>
    </format>
    <format dxfId="4370">
      <pivotArea dataOnly="0" labelOnly="1" outline="0" fieldPosition="0">
        <references count="3">
          <reference field="11" count="1" selected="0">
            <x v="76"/>
          </reference>
          <reference field="14" count="1" selected="0">
            <x v="214"/>
          </reference>
          <reference field="18" count="2">
            <x v="8"/>
            <x v="14"/>
          </reference>
        </references>
      </pivotArea>
    </format>
    <format dxfId="4369">
      <pivotArea dataOnly="0" labelOnly="1" outline="0" fieldPosition="0">
        <references count="3">
          <reference field="11" count="1" selected="0">
            <x v="76"/>
          </reference>
          <reference field="14" count="1" selected="0">
            <x v="214"/>
          </reference>
          <reference field="18" count="2" defaultSubtotal="1">
            <x v="8"/>
            <x v="14"/>
          </reference>
        </references>
      </pivotArea>
    </format>
    <format dxfId="4368">
      <pivotArea dataOnly="0" labelOnly="1" outline="0" fieldPosition="0">
        <references count="3">
          <reference field="11" count="1" selected="0">
            <x v="77"/>
          </reference>
          <reference field="14" count="1" selected="0">
            <x v="104"/>
          </reference>
          <reference field="18" count="1">
            <x v="0"/>
          </reference>
        </references>
      </pivotArea>
    </format>
    <format dxfId="4367">
      <pivotArea dataOnly="0" labelOnly="1" outline="0" fieldPosition="0">
        <references count="3">
          <reference field="11" count="1" selected="0">
            <x v="77"/>
          </reference>
          <reference field="14" count="1" selected="0">
            <x v="104"/>
          </reference>
          <reference field="18" count="1" defaultSubtotal="1">
            <x v="0"/>
          </reference>
        </references>
      </pivotArea>
    </format>
    <format dxfId="4366">
      <pivotArea dataOnly="0" labelOnly="1" outline="0" fieldPosition="0">
        <references count="3">
          <reference field="11" count="1" selected="0">
            <x v="78"/>
          </reference>
          <reference field="14" count="1" selected="0">
            <x v="195"/>
          </reference>
          <reference field="18" count="1">
            <x v="14"/>
          </reference>
        </references>
      </pivotArea>
    </format>
    <format dxfId="4365">
      <pivotArea dataOnly="0" labelOnly="1" outline="0" fieldPosition="0">
        <references count="3">
          <reference field="11" count="1" selected="0">
            <x v="78"/>
          </reference>
          <reference field="14" count="1" selected="0">
            <x v="195"/>
          </reference>
          <reference field="18" count="1" defaultSubtotal="1">
            <x v="14"/>
          </reference>
        </references>
      </pivotArea>
    </format>
    <format dxfId="4364">
      <pivotArea dataOnly="0" labelOnly="1" outline="0" fieldPosition="0">
        <references count="3">
          <reference field="11" count="1" selected="0">
            <x v="79"/>
          </reference>
          <reference field="14" count="1" selected="0">
            <x v="196"/>
          </reference>
          <reference field="18" count="1">
            <x v="14"/>
          </reference>
        </references>
      </pivotArea>
    </format>
    <format dxfId="4363">
      <pivotArea dataOnly="0" labelOnly="1" outline="0" fieldPosition="0">
        <references count="3">
          <reference field="11" count="1" selected="0">
            <x v="79"/>
          </reference>
          <reference field="14" count="1" selected="0">
            <x v="196"/>
          </reference>
          <reference field="18" count="1" defaultSubtotal="1">
            <x v="14"/>
          </reference>
        </references>
      </pivotArea>
    </format>
    <format dxfId="4362">
      <pivotArea dataOnly="0" labelOnly="1" outline="0" fieldPosition="0">
        <references count="3">
          <reference field="11" count="1" selected="0">
            <x v="80"/>
          </reference>
          <reference field="14" count="1" selected="0">
            <x v="467"/>
          </reference>
          <reference field="18" count="1">
            <x v="2"/>
          </reference>
        </references>
      </pivotArea>
    </format>
    <format dxfId="4361">
      <pivotArea dataOnly="0" labelOnly="1" outline="0" fieldPosition="0">
        <references count="3">
          <reference field="11" count="1" selected="0">
            <x v="80"/>
          </reference>
          <reference field="14" count="1" selected="0">
            <x v="467"/>
          </reference>
          <reference field="18" count="1" defaultSubtotal="1">
            <x v="2"/>
          </reference>
        </references>
      </pivotArea>
    </format>
    <format dxfId="4360">
      <pivotArea dataOnly="0" labelOnly="1" outline="0" fieldPosition="0">
        <references count="3">
          <reference field="11" count="1" selected="0">
            <x v="81"/>
          </reference>
          <reference field="14" count="1" selected="0">
            <x v="56"/>
          </reference>
          <reference field="18" count="1">
            <x v="1"/>
          </reference>
        </references>
      </pivotArea>
    </format>
    <format dxfId="4359">
      <pivotArea dataOnly="0" labelOnly="1" outline="0" fieldPosition="0">
        <references count="3">
          <reference field="11" count="1" selected="0">
            <x v="81"/>
          </reference>
          <reference field="14" count="1" selected="0">
            <x v="56"/>
          </reference>
          <reference field="18" count="1" defaultSubtotal="1">
            <x v="1"/>
          </reference>
        </references>
      </pivotArea>
    </format>
    <format dxfId="4358">
      <pivotArea dataOnly="0" labelOnly="1" outline="0" fieldPosition="0">
        <references count="3">
          <reference field="11" count="1" selected="0">
            <x v="82"/>
          </reference>
          <reference field="14" count="1" selected="0">
            <x v="106"/>
          </reference>
          <reference field="18" count="1">
            <x v="27"/>
          </reference>
        </references>
      </pivotArea>
    </format>
    <format dxfId="4357">
      <pivotArea dataOnly="0" labelOnly="1" outline="0" fieldPosition="0">
        <references count="3">
          <reference field="11" count="1" selected="0">
            <x v="82"/>
          </reference>
          <reference field="14" count="1" selected="0">
            <x v="106"/>
          </reference>
          <reference field="18" count="1" defaultSubtotal="1">
            <x v="27"/>
          </reference>
        </references>
      </pivotArea>
    </format>
    <format dxfId="4356">
      <pivotArea dataOnly="0" labelOnly="1" outline="0" fieldPosition="0">
        <references count="3">
          <reference field="11" count="1" selected="0">
            <x v="83"/>
          </reference>
          <reference field="14" count="1" selected="0">
            <x v="216"/>
          </reference>
          <reference field="18" count="1">
            <x v="2"/>
          </reference>
        </references>
      </pivotArea>
    </format>
    <format dxfId="4355">
      <pivotArea dataOnly="0" labelOnly="1" outline="0" fieldPosition="0">
        <references count="3">
          <reference field="11" count="1" selected="0">
            <x v="83"/>
          </reference>
          <reference field="14" count="1" selected="0">
            <x v="216"/>
          </reference>
          <reference field="18" count="1" defaultSubtotal="1">
            <x v="2"/>
          </reference>
        </references>
      </pivotArea>
    </format>
    <format dxfId="4354">
      <pivotArea dataOnly="0" labelOnly="1" outline="0" fieldPosition="0">
        <references count="3">
          <reference field="11" count="1" selected="0">
            <x v="84"/>
          </reference>
          <reference field="14" count="1" selected="0">
            <x v="47"/>
          </reference>
          <reference field="18" count="1">
            <x v="0"/>
          </reference>
        </references>
      </pivotArea>
    </format>
    <format dxfId="4353">
      <pivotArea dataOnly="0" labelOnly="1" outline="0" fieldPosition="0">
        <references count="3">
          <reference field="11" count="1" selected="0">
            <x v="84"/>
          </reference>
          <reference field="14" count="1" selected="0">
            <x v="47"/>
          </reference>
          <reference field="18" count="1" defaultSubtotal="1">
            <x v="0"/>
          </reference>
        </references>
      </pivotArea>
    </format>
    <format dxfId="4352">
      <pivotArea dataOnly="0" labelOnly="1" outline="0" fieldPosition="0">
        <references count="3">
          <reference field="11" count="1" selected="0">
            <x v="85"/>
          </reference>
          <reference field="14" count="1" selected="0">
            <x v="203"/>
          </reference>
          <reference field="18" count="1">
            <x v="16"/>
          </reference>
        </references>
      </pivotArea>
    </format>
    <format dxfId="4351">
      <pivotArea dataOnly="0" labelOnly="1" outline="0" fieldPosition="0">
        <references count="3">
          <reference field="11" count="1" selected="0">
            <x v="85"/>
          </reference>
          <reference field="14" count="1" selected="0">
            <x v="203"/>
          </reference>
          <reference field="18" count="1" defaultSubtotal="1">
            <x v="16"/>
          </reference>
        </references>
      </pivotArea>
    </format>
    <format dxfId="4350">
      <pivotArea dataOnly="0" labelOnly="1" outline="0" fieldPosition="0">
        <references count="3">
          <reference field="11" count="1" selected="0">
            <x v="86"/>
          </reference>
          <reference field="14" count="1" selected="0">
            <x v="383"/>
          </reference>
          <reference field="18" count="1">
            <x v="4"/>
          </reference>
        </references>
      </pivotArea>
    </format>
    <format dxfId="4349">
      <pivotArea dataOnly="0" labelOnly="1" outline="0" fieldPosition="0">
        <references count="3">
          <reference field="11" count="1" selected="0">
            <x v="86"/>
          </reference>
          <reference field="14" count="1" selected="0">
            <x v="383"/>
          </reference>
          <reference field="18" count="1" defaultSubtotal="1">
            <x v="4"/>
          </reference>
        </references>
      </pivotArea>
    </format>
    <format dxfId="4348">
      <pivotArea dataOnly="0" labelOnly="1" outline="0" fieldPosition="0">
        <references count="3">
          <reference field="11" count="1" selected="0">
            <x v="87"/>
          </reference>
          <reference field="14" count="1" selected="0">
            <x v="193"/>
          </reference>
          <reference field="18" count="1">
            <x v="14"/>
          </reference>
        </references>
      </pivotArea>
    </format>
    <format dxfId="4347">
      <pivotArea dataOnly="0" labelOnly="1" outline="0" fieldPosition="0">
        <references count="3">
          <reference field="11" count="1" selected="0">
            <x v="87"/>
          </reference>
          <reference field="14" count="1" selected="0">
            <x v="193"/>
          </reference>
          <reference field="18" count="1" defaultSubtotal="1">
            <x v="14"/>
          </reference>
        </references>
      </pivotArea>
    </format>
    <format dxfId="4346">
      <pivotArea dataOnly="0" labelOnly="1" outline="0" fieldPosition="0">
        <references count="3">
          <reference field="11" count="1" selected="0">
            <x v="88"/>
          </reference>
          <reference field="14" count="1" selected="0">
            <x v="4"/>
          </reference>
          <reference field="18" count="1">
            <x v="4"/>
          </reference>
        </references>
      </pivotArea>
    </format>
    <format dxfId="4345">
      <pivotArea dataOnly="0" labelOnly="1" outline="0" fieldPosition="0">
        <references count="3">
          <reference field="11" count="1" selected="0">
            <x v="88"/>
          </reference>
          <reference field="14" count="1" selected="0">
            <x v="4"/>
          </reference>
          <reference field="18" count="1" defaultSubtotal="1">
            <x v="4"/>
          </reference>
        </references>
      </pivotArea>
    </format>
    <format dxfId="4344">
      <pivotArea dataOnly="0" labelOnly="1" outline="0" fieldPosition="0">
        <references count="3">
          <reference field="11" count="1" selected="0">
            <x v="89"/>
          </reference>
          <reference field="14" count="1" selected="0">
            <x v="251"/>
          </reference>
          <reference field="18" count="2">
            <x v="12"/>
            <x v="27"/>
          </reference>
        </references>
      </pivotArea>
    </format>
    <format dxfId="4343">
      <pivotArea dataOnly="0" labelOnly="1" outline="0" fieldPosition="0">
        <references count="3">
          <reference field="11" count="1" selected="0">
            <x v="89"/>
          </reference>
          <reference field="14" count="1" selected="0">
            <x v="251"/>
          </reference>
          <reference field="18" count="2" defaultSubtotal="1">
            <x v="12"/>
            <x v="27"/>
          </reference>
        </references>
      </pivotArea>
    </format>
    <format dxfId="4342">
      <pivotArea dataOnly="0" labelOnly="1" outline="0" fieldPosition="0">
        <references count="3">
          <reference field="11" count="1" selected="0">
            <x v="90"/>
          </reference>
          <reference field="14" count="1" selected="0">
            <x v="335"/>
          </reference>
          <reference field="18" count="4">
            <x v="0"/>
            <x v="1"/>
            <x v="12"/>
            <x v="13"/>
          </reference>
        </references>
      </pivotArea>
    </format>
    <format dxfId="4341">
      <pivotArea dataOnly="0" labelOnly="1" outline="0" fieldPosition="0">
        <references count="3">
          <reference field="11" count="1" selected="0">
            <x v="90"/>
          </reference>
          <reference field="14" count="1" selected="0">
            <x v="335"/>
          </reference>
          <reference field="18" count="4" defaultSubtotal="1">
            <x v="0"/>
            <x v="1"/>
            <x v="12"/>
            <x v="13"/>
          </reference>
        </references>
      </pivotArea>
    </format>
    <format dxfId="4340">
      <pivotArea dataOnly="0" labelOnly="1" outline="0" fieldPosition="0">
        <references count="3">
          <reference field="11" count="1" selected="0">
            <x v="91"/>
          </reference>
          <reference field="14" count="1" selected="0">
            <x v="27"/>
          </reference>
          <reference field="18" count="1">
            <x v="1"/>
          </reference>
        </references>
      </pivotArea>
    </format>
    <format dxfId="4339">
      <pivotArea dataOnly="0" labelOnly="1" outline="0" fieldPosition="0">
        <references count="3">
          <reference field="11" count="1" selected="0">
            <x v="91"/>
          </reference>
          <reference field="14" count="1" selected="0">
            <x v="27"/>
          </reference>
          <reference field="18" count="1" defaultSubtotal="1">
            <x v="1"/>
          </reference>
        </references>
      </pivotArea>
    </format>
    <format dxfId="4338">
      <pivotArea dataOnly="0" labelOnly="1" outline="0" fieldPosition="0">
        <references count="3">
          <reference field="11" count="1" selected="0">
            <x v="92"/>
          </reference>
          <reference field="14" count="1" selected="0">
            <x v="189"/>
          </reference>
          <reference field="18" count="1">
            <x v="0"/>
          </reference>
        </references>
      </pivotArea>
    </format>
    <format dxfId="4337">
      <pivotArea dataOnly="0" labelOnly="1" outline="0" fieldPosition="0">
        <references count="3">
          <reference field="11" count="1" selected="0">
            <x v="92"/>
          </reference>
          <reference field="14" count="1" selected="0">
            <x v="189"/>
          </reference>
          <reference field="18" count="1" defaultSubtotal="1">
            <x v="0"/>
          </reference>
        </references>
      </pivotArea>
    </format>
    <format dxfId="4336">
      <pivotArea dataOnly="0" labelOnly="1" outline="0" fieldPosition="0">
        <references count="3">
          <reference field="11" count="1" selected="0">
            <x v="93"/>
          </reference>
          <reference field="14" count="1" selected="0">
            <x v="451"/>
          </reference>
          <reference field="18" count="2">
            <x v="3"/>
            <x v="7"/>
          </reference>
        </references>
      </pivotArea>
    </format>
    <format dxfId="4335">
      <pivotArea dataOnly="0" labelOnly="1" outline="0" fieldPosition="0">
        <references count="3">
          <reference field="11" count="1" selected="0">
            <x v="93"/>
          </reference>
          <reference field="14" count="1" selected="0">
            <x v="451"/>
          </reference>
          <reference field="18" count="2" defaultSubtotal="1">
            <x v="3"/>
            <x v="7"/>
          </reference>
        </references>
      </pivotArea>
    </format>
    <format dxfId="4334">
      <pivotArea dataOnly="0" labelOnly="1" outline="0" fieldPosition="0">
        <references count="3">
          <reference field="11" count="1" selected="0">
            <x v="94"/>
          </reference>
          <reference field="14" count="1" selected="0">
            <x v="23"/>
          </reference>
          <reference field="18" count="1">
            <x v="3"/>
          </reference>
        </references>
      </pivotArea>
    </format>
    <format dxfId="4333">
      <pivotArea dataOnly="0" labelOnly="1" outline="0" fieldPosition="0">
        <references count="3">
          <reference field="11" count="1" selected="0">
            <x v="94"/>
          </reference>
          <reference field="14" count="1" selected="0">
            <x v="23"/>
          </reference>
          <reference field="18" count="1" defaultSubtotal="1">
            <x v="3"/>
          </reference>
        </references>
      </pivotArea>
    </format>
    <format dxfId="4332">
      <pivotArea dataOnly="0" labelOnly="1" outline="0" fieldPosition="0">
        <references count="3">
          <reference field="11" count="1" selected="0">
            <x v="95"/>
          </reference>
          <reference field="14" count="1" selected="0">
            <x v="200"/>
          </reference>
          <reference field="18" count="3">
            <x v="0"/>
            <x v="12"/>
            <x v="27"/>
          </reference>
        </references>
      </pivotArea>
    </format>
    <format dxfId="4331">
      <pivotArea dataOnly="0" labelOnly="1" outline="0" fieldPosition="0">
        <references count="3">
          <reference field="11" count="1" selected="0">
            <x v="95"/>
          </reference>
          <reference field="14" count="1" selected="0">
            <x v="200"/>
          </reference>
          <reference field="18" count="3" defaultSubtotal="1">
            <x v="0"/>
            <x v="12"/>
            <x v="27"/>
          </reference>
        </references>
      </pivotArea>
    </format>
    <format dxfId="4330">
      <pivotArea dataOnly="0" labelOnly="1" outline="0" fieldPosition="0">
        <references count="3">
          <reference field="11" count="1" selected="0">
            <x v="96"/>
          </reference>
          <reference field="14" count="1" selected="0">
            <x v="240"/>
          </reference>
          <reference field="18" count="1">
            <x v="6"/>
          </reference>
        </references>
      </pivotArea>
    </format>
    <format dxfId="4329">
      <pivotArea dataOnly="0" labelOnly="1" outline="0" fieldPosition="0">
        <references count="3">
          <reference field="11" count="1" selected="0">
            <x v="96"/>
          </reference>
          <reference field="14" count="1" selected="0">
            <x v="240"/>
          </reference>
          <reference field="18" count="1" defaultSubtotal="1">
            <x v="6"/>
          </reference>
        </references>
      </pivotArea>
    </format>
    <format dxfId="4328">
      <pivotArea dataOnly="0" labelOnly="1" outline="0" fieldPosition="0">
        <references count="3">
          <reference field="11" count="1" selected="0">
            <x v="97"/>
          </reference>
          <reference field="14" count="1" selected="0">
            <x v="268"/>
          </reference>
          <reference field="18" count="1">
            <x v="3"/>
          </reference>
        </references>
      </pivotArea>
    </format>
    <format dxfId="4327">
      <pivotArea dataOnly="0" labelOnly="1" outline="0" fieldPosition="0">
        <references count="3">
          <reference field="11" count="1" selected="0">
            <x v="97"/>
          </reference>
          <reference field="14" count="1" selected="0">
            <x v="268"/>
          </reference>
          <reference field="18" count="1" defaultSubtotal="1">
            <x v="3"/>
          </reference>
        </references>
      </pivotArea>
    </format>
    <format dxfId="4326">
      <pivotArea dataOnly="0" labelOnly="1" outline="0" fieldPosition="0">
        <references count="3">
          <reference field="11" count="1" selected="0">
            <x v="98"/>
          </reference>
          <reference field="14" count="1" selected="0">
            <x v="358"/>
          </reference>
          <reference field="18" count="1">
            <x v="14"/>
          </reference>
        </references>
      </pivotArea>
    </format>
    <format dxfId="4325">
      <pivotArea dataOnly="0" labelOnly="1" outline="0" fieldPosition="0">
        <references count="3">
          <reference field="11" count="1" selected="0">
            <x v="98"/>
          </reference>
          <reference field="14" count="1" selected="0">
            <x v="358"/>
          </reference>
          <reference field="18" count="1" defaultSubtotal="1">
            <x v="14"/>
          </reference>
        </references>
      </pivotArea>
    </format>
    <format dxfId="4324">
      <pivotArea dataOnly="0" labelOnly="1" outline="0" fieldPosition="0">
        <references count="3">
          <reference field="11" count="1" selected="0">
            <x v="99"/>
          </reference>
          <reference field="14" count="1" selected="0">
            <x v="454"/>
          </reference>
          <reference field="18" count="1">
            <x v="0"/>
          </reference>
        </references>
      </pivotArea>
    </format>
    <format dxfId="4323">
      <pivotArea dataOnly="0" labelOnly="1" outline="0" fieldPosition="0">
        <references count="3">
          <reference field="11" count="1" selected="0">
            <x v="99"/>
          </reference>
          <reference field="14" count="1" selected="0">
            <x v="454"/>
          </reference>
          <reference field="18" count="1" defaultSubtotal="1">
            <x v="0"/>
          </reference>
        </references>
      </pivotArea>
    </format>
    <format dxfId="4322">
      <pivotArea dataOnly="0" labelOnly="1" outline="0" fieldPosition="0">
        <references count="3">
          <reference field="11" count="1" selected="0">
            <x v="100"/>
          </reference>
          <reference field="14" count="1" selected="0">
            <x v="274"/>
          </reference>
          <reference field="18" count="1">
            <x v="0"/>
          </reference>
        </references>
      </pivotArea>
    </format>
    <format dxfId="4321">
      <pivotArea dataOnly="0" labelOnly="1" outline="0" fieldPosition="0">
        <references count="3">
          <reference field="11" count="1" selected="0">
            <x v="100"/>
          </reference>
          <reference field="14" count="1" selected="0">
            <x v="274"/>
          </reference>
          <reference field="18" count="1" defaultSubtotal="1">
            <x v="0"/>
          </reference>
        </references>
      </pivotArea>
    </format>
    <format dxfId="4320">
      <pivotArea dataOnly="0" labelOnly="1" outline="0" fieldPosition="0">
        <references count="3">
          <reference field="11" count="1" selected="0">
            <x v="101"/>
          </reference>
          <reference field="14" count="1" selected="0">
            <x v="303"/>
          </reference>
          <reference field="18" count="1">
            <x v="6"/>
          </reference>
        </references>
      </pivotArea>
    </format>
    <format dxfId="4319">
      <pivotArea dataOnly="0" labelOnly="1" outline="0" fieldPosition="0">
        <references count="3">
          <reference field="11" count="1" selected="0">
            <x v="101"/>
          </reference>
          <reference field="14" count="1" selected="0">
            <x v="303"/>
          </reference>
          <reference field="18" count="1" defaultSubtotal="1">
            <x v="6"/>
          </reference>
        </references>
      </pivotArea>
    </format>
    <format dxfId="4318">
      <pivotArea dataOnly="0" labelOnly="1" outline="0" fieldPosition="0">
        <references count="3">
          <reference field="11" count="1" selected="0">
            <x v="102"/>
          </reference>
          <reference field="14" count="1" selected="0">
            <x v="248"/>
          </reference>
          <reference field="18" count="1">
            <x v="3"/>
          </reference>
        </references>
      </pivotArea>
    </format>
    <format dxfId="4317">
      <pivotArea dataOnly="0" labelOnly="1" outline="0" fieldPosition="0">
        <references count="3">
          <reference field="11" count="1" selected="0">
            <x v="102"/>
          </reference>
          <reference field="14" count="1" selected="0">
            <x v="248"/>
          </reference>
          <reference field="18" count="1" defaultSubtotal="1">
            <x v="3"/>
          </reference>
        </references>
      </pivotArea>
    </format>
    <format dxfId="4316">
      <pivotArea dataOnly="0" labelOnly="1" outline="0" fieldPosition="0">
        <references count="3">
          <reference field="11" count="1" selected="0">
            <x v="103"/>
          </reference>
          <reference field="14" count="1" selected="0">
            <x v="48"/>
          </reference>
          <reference field="18" count="1">
            <x v="0"/>
          </reference>
        </references>
      </pivotArea>
    </format>
    <format dxfId="4315">
      <pivotArea dataOnly="0" labelOnly="1" outline="0" fieldPosition="0">
        <references count="3">
          <reference field="11" count="1" selected="0">
            <x v="103"/>
          </reference>
          <reference field="14" count="1" selected="0">
            <x v="48"/>
          </reference>
          <reference field="18" count="1" defaultSubtotal="1">
            <x v="0"/>
          </reference>
        </references>
      </pivotArea>
    </format>
    <format dxfId="4314">
      <pivotArea dataOnly="0" labelOnly="1" outline="0" fieldPosition="0">
        <references count="3">
          <reference field="11" count="1" selected="0">
            <x v="104"/>
          </reference>
          <reference field="14" count="1" selected="0">
            <x v="321"/>
          </reference>
          <reference field="18" count="1">
            <x v="2"/>
          </reference>
        </references>
      </pivotArea>
    </format>
    <format dxfId="4313">
      <pivotArea dataOnly="0" labelOnly="1" outline="0" fieldPosition="0">
        <references count="3">
          <reference field="11" count="1" selected="0">
            <x v="104"/>
          </reference>
          <reference field="14" count="1" selected="0">
            <x v="321"/>
          </reference>
          <reference field="18" count="1" defaultSubtotal="1">
            <x v="2"/>
          </reference>
        </references>
      </pivotArea>
    </format>
    <format dxfId="4312">
      <pivotArea dataOnly="0" labelOnly="1" outline="0" fieldPosition="0">
        <references count="3">
          <reference field="11" count="1" selected="0">
            <x v="105"/>
          </reference>
          <reference field="14" count="1" selected="0">
            <x v="320"/>
          </reference>
          <reference field="18" count="1">
            <x v="2"/>
          </reference>
        </references>
      </pivotArea>
    </format>
    <format dxfId="4311">
      <pivotArea dataOnly="0" labelOnly="1" outline="0" fieldPosition="0">
        <references count="3">
          <reference field="11" count="1" selected="0">
            <x v="105"/>
          </reference>
          <reference field="14" count="1" selected="0">
            <x v="320"/>
          </reference>
          <reference field="18" count="1" defaultSubtotal="1">
            <x v="2"/>
          </reference>
        </references>
      </pivotArea>
    </format>
    <format dxfId="4310">
      <pivotArea dataOnly="0" labelOnly="1" outline="0" fieldPosition="0">
        <references count="3">
          <reference field="11" count="1" selected="0">
            <x v="106"/>
          </reference>
          <reference field="14" count="1" selected="0">
            <x v="210"/>
          </reference>
          <reference field="18" count="1">
            <x v="0"/>
          </reference>
        </references>
      </pivotArea>
    </format>
    <format dxfId="4309">
      <pivotArea dataOnly="0" labelOnly="1" outline="0" fieldPosition="0">
        <references count="3">
          <reference field="11" count="1" selected="0">
            <x v="106"/>
          </reference>
          <reference field="14" count="1" selected="0">
            <x v="210"/>
          </reference>
          <reference field="18" count="1" defaultSubtotal="1">
            <x v="0"/>
          </reference>
        </references>
      </pivotArea>
    </format>
    <format dxfId="4308">
      <pivotArea dataOnly="0" labelOnly="1" outline="0" fieldPosition="0">
        <references count="3">
          <reference field="11" count="1" selected="0">
            <x v="107"/>
          </reference>
          <reference field="14" count="1" selected="0">
            <x v="220"/>
          </reference>
          <reference field="18" count="1">
            <x v="1"/>
          </reference>
        </references>
      </pivotArea>
    </format>
    <format dxfId="4307">
      <pivotArea dataOnly="0" labelOnly="1" outline="0" fieldPosition="0">
        <references count="3">
          <reference field="11" count="1" selected="0">
            <x v="107"/>
          </reference>
          <reference field="14" count="1" selected="0">
            <x v="220"/>
          </reference>
          <reference field="18" count="1" defaultSubtotal="1">
            <x v="1"/>
          </reference>
        </references>
      </pivotArea>
    </format>
    <format dxfId="4306">
      <pivotArea dataOnly="0" labelOnly="1" outline="0" fieldPosition="0">
        <references count="3">
          <reference field="11" count="1" selected="0">
            <x v="108"/>
          </reference>
          <reference field="14" count="1" selected="0">
            <x v="111"/>
          </reference>
          <reference field="18" count="1">
            <x v="0"/>
          </reference>
        </references>
      </pivotArea>
    </format>
    <format dxfId="4305">
      <pivotArea dataOnly="0" labelOnly="1" outline="0" fieldPosition="0">
        <references count="3">
          <reference field="11" count="1" selected="0">
            <x v="108"/>
          </reference>
          <reference field="14" count="1" selected="0">
            <x v="111"/>
          </reference>
          <reference field="18" count="1" defaultSubtotal="1">
            <x v="0"/>
          </reference>
        </references>
      </pivotArea>
    </format>
    <format dxfId="4304">
      <pivotArea dataOnly="0" labelOnly="1" outline="0" fieldPosition="0">
        <references count="3">
          <reference field="11" count="1" selected="0">
            <x v="109"/>
          </reference>
          <reference field="14" count="1" selected="0">
            <x v="194"/>
          </reference>
          <reference field="18" count="1">
            <x v="14"/>
          </reference>
        </references>
      </pivotArea>
    </format>
    <format dxfId="4303">
      <pivotArea dataOnly="0" labelOnly="1" outline="0" fieldPosition="0">
        <references count="3">
          <reference field="11" count="1" selected="0">
            <x v="109"/>
          </reference>
          <reference field="14" count="1" selected="0">
            <x v="194"/>
          </reference>
          <reference field="18" count="1" defaultSubtotal="1">
            <x v="14"/>
          </reference>
        </references>
      </pivotArea>
    </format>
    <format dxfId="4302">
      <pivotArea dataOnly="0" labelOnly="1" outline="0" fieldPosition="0">
        <references count="3">
          <reference field="11" count="1" selected="0">
            <x v="110"/>
          </reference>
          <reference field="14" count="1" selected="0">
            <x v="52"/>
          </reference>
          <reference field="18" count="1">
            <x v="0"/>
          </reference>
        </references>
      </pivotArea>
    </format>
    <format dxfId="4301">
      <pivotArea dataOnly="0" labelOnly="1" outline="0" fieldPosition="0">
        <references count="3">
          <reference field="11" count="1" selected="0">
            <x v="110"/>
          </reference>
          <reference field="14" count="1" selected="0">
            <x v="52"/>
          </reference>
          <reference field="18" count="1" defaultSubtotal="1">
            <x v="0"/>
          </reference>
        </references>
      </pivotArea>
    </format>
    <format dxfId="4300">
      <pivotArea dataOnly="0" labelOnly="1" outline="0" fieldPosition="0">
        <references count="3">
          <reference field="11" count="1" selected="0">
            <x v="111"/>
          </reference>
          <reference field="14" count="1" selected="0">
            <x v="229"/>
          </reference>
          <reference field="18" count="2">
            <x v="2"/>
            <x v="12"/>
          </reference>
        </references>
      </pivotArea>
    </format>
    <format dxfId="4299">
      <pivotArea dataOnly="0" labelOnly="1" outline="0" fieldPosition="0">
        <references count="3">
          <reference field="11" count="1" selected="0">
            <x v="111"/>
          </reference>
          <reference field="14" count="1" selected="0">
            <x v="229"/>
          </reference>
          <reference field="18" count="2" defaultSubtotal="1">
            <x v="2"/>
            <x v="12"/>
          </reference>
        </references>
      </pivotArea>
    </format>
    <format dxfId="4298">
      <pivotArea dataOnly="0" labelOnly="1" outline="0" fieldPosition="0">
        <references count="3">
          <reference field="11" count="1" selected="0">
            <x v="112"/>
          </reference>
          <reference field="14" count="1" selected="0">
            <x v="41"/>
          </reference>
          <reference field="18" count="2">
            <x v="0"/>
            <x v="2"/>
          </reference>
        </references>
      </pivotArea>
    </format>
    <format dxfId="4297">
      <pivotArea dataOnly="0" labelOnly="1" outline="0" fieldPosition="0">
        <references count="3">
          <reference field="11" count="1" selected="0">
            <x v="112"/>
          </reference>
          <reference field="14" count="1" selected="0">
            <x v="41"/>
          </reference>
          <reference field="18" count="2" defaultSubtotal="1">
            <x v="0"/>
            <x v="2"/>
          </reference>
        </references>
      </pivotArea>
    </format>
    <format dxfId="4296">
      <pivotArea dataOnly="0" labelOnly="1" outline="0" fieldPosition="0">
        <references count="3">
          <reference field="11" count="1" selected="0">
            <x v="113"/>
          </reference>
          <reference field="14" count="1" selected="0">
            <x v="40"/>
          </reference>
          <reference field="18" count="2">
            <x v="0"/>
            <x v="2"/>
          </reference>
        </references>
      </pivotArea>
    </format>
    <format dxfId="4295">
      <pivotArea dataOnly="0" labelOnly="1" outline="0" fieldPosition="0">
        <references count="3">
          <reference field="11" count="1" selected="0">
            <x v="113"/>
          </reference>
          <reference field="14" count="1" selected="0">
            <x v="40"/>
          </reference>
          <reference field="18" count="2" defaultSubtotal="1">
            <x v="0"/>
            <x v="2"/>
          </reference>
        </references>
      </pivotArea>
    </format>
    <format dxfId="4294">
      <pivotArea dataOnly="0" labelOnly="1" outline="0" fieldPosition="0">
        <references count="3">
          <reference field="11" count="1" selected="0">
            <x v="114"/>
          </reference>
          <reference field="14" count="1" selected="0">
            <x v="433"/>
          </reference>
          <reference field="18" count="1">
            <x v="2"/>
          </reference>
        </references>
      </pivotArea>
    </format>
    <format dxfId="4293">
      <pivotArea dataOnly="0" labelOnly="1" outline="0" fieldPosition="0">
        <references count="3">
          <reference field="11" count="1" selected="0">
            <x v="114"/>
          </reference>
          <reference field="14" count="1" selected="0">
            <x v="433"/>
          </reference>
          <reference field="18" count="1" defaultSubtotal="1">
            <x v="2"/>
          </reference>
        </references>
      </pivotArea>
    </format>
    <format dxfId="4292">
      <pivotArea dataOnly="0" labelOnly="1" outline="0" fieldPosition="0">
        <references count="3">
          <reference field="11" count="1" selected="0">
            <x v="115"/>
          </reference>
          <reference field="14" count="1" selected="0">
            <x v="470"/>
          </reference>
          <reference field="18" count="2">
            <x v="22"/>
            <x v="24"/>
          </reference>
        </references>
      </pivotArea>
    </format>
    <format dxfId="4291">
      <pivotArea dataOnly="0" labelOnly="1" outline="0" fieldPosition="0">
        <references count="3">
          <reference field="11" count="1" selected="0">
            <x v="115"/>
          </reference>
          <reference field="14" count="1" selected="0">
            <x v="470"/>
          </reference>
          <reference field="18" count="2" defaultSubtotal="1">
            <x v="22"/>
            <x v="24"/>
          </reference>
        </references>
      </pivotArea>
    </format>
    <format dxfId="4290">
      <pivotArea dataOnly="0" labelOnly="1" outline="0" fieldPosition="0">
        <references count="3">
          <reference field="11" count="1" selected="0">
            <x v="116"/>
          </reference>
          <reference field="14" count="1" selected="0">
            <x v="469"/>
          </reference>
          <reference field="18" count="1">
            <x v="2"/>
          </reference>
        </references>
      </pivotArea>
    </format>
    <format dxfId="4289">
      <pivotArea dataOnly="0" labelOnly="1" outline="0" fieldPosition="0">
        <references count="3">
          <reference field="11" count="1" selected="0">
            <x v="116"/>
          </reference>
          <reference field="14" count="1" selected="0">
            <x v="469"/>
          </reference>
          <reference field="18" count="1" defaultSubtotal="1">
            <x v="2"/>
          </reference>
        </references>
      </pivotArea>
    </format>
    <format dxfId="4288">
      <pivotArea dataOnly="0" labelOnly="1" outline="0" fieldPosition="0">
        <references count="3">
          <reference field="11" count="1" selected="0">
            <x v="117"/>
          </reference>
          <reference field="14" count="1" selected="0">
            <x v="472"/>
          </reference>
          <reference field="18" count="1">
            <x v="2"/>
          </reference>
        </references>
      </pivotArea>
    </format>
    <format dxfId="4287">
      <pivotArea dataOnly="0" labelOnly="1" outline="0" fieldPosition="0">
        <references count="3">
          <reference field="11" count="1" selected="0">
            <x v="117"/>
          </reference>
          <reference field="14" count="1" selected="0">
            <x v="472"/>
          </reference>
          <reference field="18" count="1" defaultSubtotal="1">
            <x v="2"/>
          </reference>
        </references>
      </pivotArea>
    </format>
    <format dxfId="4286">
      <pivotArea dataOnly="0" labelOnly="1" outline="0" fieldPosition="0">
        <references count="3">
          <reference field="11" count="1" selected="0">
            <x v="118"/>
          </reference>
          <reference field="14" count="1" selected="0">
            <x v="473"/>
          </reference>
          <reference field="18" count="1">
            <x v="2"/>
          </reference>
        </references>
      </pivotArea>
    </format>
    <format dxfId="4285">
      <pivotArea dataOnly="0" labelOnly="1" outline="0" fieldPosition="0">
        <references count="3">
          <reference field="11" count="1" selected="0">
            <x v="118"/>
          </reference>
          <reference field="14" count="1" selected="0">
            <x v="473"/>
          </reference>
          <reference field="18" count="1" defaultSubtotal="1">
            <x v="2"/>
          </reference>
        </references>
      </pivotArea>
    </format>
    <format dxfId="4284">
      <pivotArea dataOnly="0" labelOnly="1" outline="0" fieldPosition="0">
        <references count="3">
          <reference field="11" count="1" selected="0">
            <x v="119"/>
          </reference>
          <reference field="14" count="1" selected="0">
            <x v="475"/>
          </reference>
          <reference field="18" count="2">
            <x v="22"/>
            <x v="24"/>
          </reference>
        </references>
      </pivotArea>
    </format>
    <format dxfId="4283">
      <pivotArea dataOnly="0" labelOnly="1" outline="0" fieldPosition="0">
        <references count="3">
          <reference field="11" count="1" selected="0">
            <x v="119"/>
          </reference>
          <reference field="14" count="1" selected="0">
            <x v="475"/>
          </reference>
          <reference field="18" count="2" defaultSubtotal="1">
            <x v="22"/>
            <x v="24"/>
          </reference>
        </references>
      </pivotArea>
    </format>
    <format dxfId="4282">
      <pivotArea dataOnly="0" labelOnly="1" outline="0" fieldPosition="0">
        <references count="3">
          <reference field="11" count="1" selected="0">
            <x v="120"/>
          </reference>
          <reference field="14" count="1" selected="0">
            <x v="474"/>
          </reference>
          <reference field="18" count="2">
            <x v="22"/>
            <x v="24"/>
          </reference>
        </references>
      </pivotArea>
    </format>
    <format dxfId="4281">
      <pivotArea dataOnly="0" labelOnly="1" outline="0" fieldPosition="0">
        <references count="3">
          <reference field="11" count="1" selected="0">
            <x v="120"/>
          </reference>
          <reference field="14" count="1" selected="0">
            <x v="474"/>
          </reference>
          <reference field="18" count="2" defaultSubtotal="1">
            <x v="22"/>
            <x v="24"/>
          </reference>
        </references>
      </pivotArea>
    </format>
    <format dxfId="4280">
      <pivotArea dataOnly="0" labelOnly="1" outline="0" fieldPosition="0">
        <references count="3">
          <reference field="11" count="1" selected="0">
            <x v="121"/>
          </reference>
          <reference field="14" count="1" selected="0">
            <x v="477"/>
          </reference>
          <reference field="18" count="1">
            <x v="2"/>
          </reference>
        </references>
      </pivotArea>
    </format>
    <format dxfId="4279">
      <pivotArea dataOnly="0" labelOnly="1" outline="0" fieldPosition="0">
        <references count="3">
          <reference field="11" count="1" selected="0">
            <x v="121"/>
          </reference>
          <reference field="14" count="1" selected="0">
            <x v="477"/>
          </reference>
          <reference field="18" count="1" defaultSubtotal="1">
            <x v="2"/>
          </reference>
        </references>
      </pivotArea>
    </format>
    <format dxfId="4278">
      <pivotArea dataOnly="0" labelOnly="1" outline="0" fieldPosition="0">
        <references count="3">
          <reference field="11" count="1" selected="0">
            <x v="122"/>
          </reference>
          <reference field="14" count="1" selected="0">
            <x v="476"/>
          </reference>
          <reference field="18" count="1">
            <x v="2"/>
          </reference>
        </references>
      </pivotArea>
    </format>
    <format dxfId="4277">
      <pivotArea dataOnly="0" labelOnly="1" outline="0" fieldPosition="0">
        <references count="3">
          <reference field="11" count="1" selected="0">
            <x v="122"/>
          </reference>
          <reference field="14" count="1" selected="0">
            <x v="476"/>
          </reference>
          <reference field="18" count="1" defaultSubtotal="1">
            <x v="2"/>
          </reference>
        </references>
      </pivotArea>
    </format>
    <format dxfId="4276">
      <pivotArea dataOnly="0" labelOnly="1" outline="0" fieldPosition="0">
        <references count="3">
          <reference field="11" count="1" selected="0">
            <x v="123"/>
          </reference>
          <reference field="14" count="1" selected="0">
            <x v="478"/>
          </reference>
          <reference field="18" count="2">
            <x v="22"/>
            <x v="24"/>
          </reference>
        </references>
      </pivotArea>
    </format>
    <format dxfId="4275">
      <pivotArea dataOnly="0" labelOnly="1" outline="0" fieldPosition="0">
        <references count="3">
          <reference field="11" count="1" selected="0">
            <x v="123"/>
          </reference>
          <reference field="14" count="1" selected="0">
            <x v="478"/>
          </reference>
          <reference field="18" count="2" defaultSubtotal="1">
            <x v="22"/>
            <x v="24"/>
          </reference>
        </references>
      </pivotArea>
    </format>
    <format dxfId="4274">
      <pivotArea dataOnly="0" labelOnly="1" outline="0" fieldPosition="0">
        <references count="3">
          <reference field="11" count="1" selected="0">
            <x v="124"/>
          </reference>
          <reference field="14" count="1" selected="0">
            <x v="480"/>
          </reference>
          <reference field="18" count="2">
            <x v="22"/>
            <x v="24"/>
          </reference>
        </references>
      </pivotArea>
    </format>
    <format dxfId="4273">
      <pivotArea dataOnly="0" labelOnly="1" outline="0" fieldPosition="0">
        <references count="3">
          <reference field="11" count="1" selected="0">
            <x v="124"/>
          </reference>
          <reference field="14" count="1" selected="0">
            <x v="480"/>
          </reference>
          <reference field="18" count="2" defaultSubtotal="1">
            <x v="22"/>
            <x v="24"/>
          </reference>
        </references>
      </pivotArea>
    </format>
    <format dxfId="4272">
      <pivotArea dataOnly="0" labelOnly="1" outline="0" fieldPosition="0">
        <references count="3">
          <reference field="11" count="1" selected="0">
            <x v="125"/>
          </reference>
          <reference field="14" count="1" selected="0">
            <x v="479"/>
          </reference>
          <reference field="18" count="2">
            <x v="22"/>
            <x v="24"/>
          </reference>
        </references>
      </pivotArea>
    </format>
    <format dxfId="4271">
      <pivotArea dataOnly="0" labelOnly="1" outline="0" fieldPosition="0">
        <references count="3">
          <reference field="11" count="1" selected="0">
            <x v="125"/>
          </reference>
          <reference field="14" count="1" selected="0">
            <x v="479"/>
          </reference>
          <reference field="18" count="2" defaultSubtotal="1">
            <x v="22"/>
            <x v="24"/>
          </reference>
        </references>
      </pivotArea>
    </format>
    <format dxfId="4270">
      <pivotArea dataOnly="0" labelOnly="1" outline="0" fieldPosition="0">
        <references count="3">
          <reference field="11" count="1" selected="0">
            <x v="126"/>
          </reference>
          <reference field="14" count="1" selected="0">
            <x v="481"/>
          </reference>
          <reference field="18" count="2">
            <x v="22"/>
            <x v="24"/>
          </reference>
        </references>
      </pivotArea>
    </format>
    <format dxfId="4269">
      <pivotArea dataOnly="0" labelOnly="1" outline="0" fieldPosition="0">
        <references count="3">
          <reference field="11" count="1" selected="0">
            <x v="126"/>
          </reference>
          <reference field="14" count="1" selected="0">
            <x v="481"/>
          </reference>
          <reference field="18" count="2" defaultSubtotal="1">
            <x v="22"/>
            <x v="24"/>
          </reference>
        </references>
      </pivotArea>
    </format>
    <format dxfId="4268">
      <pivotArea dataOnly="0" labelOnly="1" outline="0" fieldPosition="0">
        <references count="3">
          <reference field="11" count="1" selected="0">
            <x v="127"/>
          </reference>
          <reference field="14" count="1" selected="0">
            <x v="483"/>
          </reference>
          <reference field="18" count="1">
            <x v="2"/>
          </reference>
        </references>
      </pivotArea>
    </format>
    <format dxfId="4267">
      <pivotArea dataOnly="0" labelOnly="1" outline="0" fieldPosition="0">
        <references count="3">
          <reference field="11" count="1" selected="0">
            <x v="127"/>
          </reference>
          <reference field="14" count="1" selected="0">
            <x v="483"/>
          </reference>
          <reference field="18" count="1" defaultSubtotal="1">
            <x v="2"/>
          </reference>
        </references>
      </pivotArea>
    </format>
    <format dxfId="4266">
      <pivotArea dataOnly="0" labelOnly="1" outline="0" fieldPosition="0">
        <references count="3">
          <reference field="11" count="1" selected="0">
            <x v="128"/>
          </reference>
          <reference field="14" count="1" selected="0">
            <x v="453"/>
          </reference>
          <reference field="18" count="1">
            <x v="0"/>
          </reference>
        </references>
      </pivotArea>
    </format>
    <format dxfId="4265">
      <pivotArea dataOnly="0" labelOnly="1" outline="0" fieldPosition="0">
        <references count="3">
          <reference field="11" count="1" selected="0">
            <x v="128"/>
          </reference>
          <reference field="14" count="1" selected="0">
            <x v="453"/>
          </reference>
          <reference field="18" count="1" defaultSubtotal="1">
            <x v="0"/>
          </reference>
        </references>
      </pivotArea>
    </format>
    <format dxfId="4264">
      <pivotArea dataOnly="0" labelOnly="1" outline="0" fieldPosition="0">
        <references count="3">
          <reference field="11" count="1" selected="0">
            <x v="129"/>
          </reference>
          <reference field="14" count="1" selected="0">
            <x v="391"/>
          </reference>
          <reference field="18" count="1">
            <x v="2"/>
          </reference>
        </references>
      </pivotArea>
    </format>
    <format dxfId="4263">
      <pivotArea dataOnly="0" labelOnly="1" outline="0" fieldPosition="0">
        <references count="3">
          <reference field="11" count="1" selected="0">
            <x v="129"/>
          </reference>
          <reference field="14" count="1" selected="0">
            <x v="391"/>
          </reference>
          <reference field="18" count="1" defaultSubtotal="1">
            <x v="2"/>
          </reference>
        </references>
      </pivotArea>
    </format>
    <format dxfId="4262">
      <pivotArea dataOnly="0" labelOnly="1" outline="0" fieldPosition="0">
        <references count="3">
          <reference field="11" count="1" selected="0">
            <x v="130"/>
          </reference>
          <reference field="14" count="1" selected="0">
            <x v="242"/>
          </reference>
          <reference field="18" count="1">
            <x v="2"/>
          </reference>
        </references>
      </pivotArea>
    </format>
    <format dxfId="4261">
      <pivotArea dataOnly="0" labelOnly="1" outline="0" fieldPosition="0">
        <references count="3">
          <reference field="11" count="1" selected="0">
            <x v="130"/>
          </reference>
          <reference field="14" count="1" selected="0">
            <x v="242"/>
          </reference>
          <reference field="18" count="1" defaultSubtotal="1">
            <x v="2"/>
          </reference>
        </references>
      </pivotArea>
    </format>
    <format dxfId="4260">
      <pivotArea dataOnly="0" labelOnly="1" outline="0" fieldPosition="0">
        <references count="3">
          <reference field="11" count="1" selected="0">
            <x v="131"/>
          </reference>
          <reference field="14" count="1" selected="0">
            <x v="33"/>
          </reference>
          <reference field="18" count="1">
            <x v="15"/>
          </reference>
        </references>
      </pivotArea>
    </format>
    <format dxfId="4259">
      <pivotArea dataOnly="0" labelOnly="1" outline="0" fieldPosition="0">
        <references count="3">
          <reference field="11" count="1" selected="0">
            <x v="131"/>
          </reference>
          <reference field="14" count="1" selected="0">
            <x v="33"/>
          </reference>
          <reference field="18" count="1" defaultSubtotal="1">
            <x v="15"/>
          </reference>
        </references>
      </pivotArea>
    </format>
    <format dxfId="4258">
      <pivotArea dataOnly="0" labelOnly="1" outline="0" fieldPosition="0">
        <references count="3">
          <reference field="11" count="1" selected="0">
            <x v="132"/>
          </reference>
          <reference field="14" count="1" selected="0">
            <x v="482"/>
          </reference>
          <reference field="18" count="1">
            <x v="2"/>
          </reference>
        </references>
      </pivotArea>
    </format>
    <format dxfId="4257">
      <pivotArea dataOnly="0" labelOnly="1" outline="0" fieldPosition="0">
        <references count="3">
          <reference field="11" count="1" selected="0">
            <x v="132"/>
          </reference>
          <reference field="14" count="1" selected="0">
            <x v="482"/>
          </reference>
          <reference field="18" count="1" defaultSubtotal="1">
            <x v="2"/>
          </reference>
        </references>
      </pivotArea>
    </format>
    <format dxfId="4256">
      <pivotArea dataOnly="0" labelOnly="1" outline="0" fieldPosition="0">
        <references count="3">
          <reference field="11" count="1" selected="0">
            <x v="133"/>
          </reference>
          <reference field="14" count="1" selected="0">
            <x v="266"/>
          </reference>
          <reference field="18" count="1">
            <x v="27"/>
          </reference>
        </references>
      </pivotArea>
    </format>
    <format dxfId="4255">
      <pivotArea dataOnly="0" labelOnly="1" outline="0" fieldPosition="0">
        <references count="3">
          <reference field="11" count="1" selected="0">
            <x v="133"/>
          </reference>
          <reference field="14" count="1" selected="0">
            <x v="266"/>
          </reference>
          <reference field="18" count="1" defaultSubtotal="1">
            <x v="27"/>
          </reference>
        </references>
      </pivotArea>
    </format>
    <format dxfId="4254">
      <pivotArea dataOnly="0" labelOnly="1" outline="0" fieldPosition="0">
        <references count="3">
          <reference field="11" count="1" selected="0">
            <x v="134"/>
          </reference>
          <reference field="14" count="1" selected="0">
            <x v="76"/>
          </reference>
          <reference field="18" count="1">
            <x v="16"/>
          </reference>
        </references>
      </pivotArea>
    </format>
    <format dxfId="4253">
      <pivotArea dataOnly="0" labelOnly="1" outline="0" fieldPosition="0">
        <references count="3">
          <reference field="11" count="1" selected="0">
            <x v="134"/>
          </reference>
          <reference field="14" count="1" selected="0">
            <x v="76"/>
          </reference>
          <reference field="18" count="1" defaultSubtotal="1">
            <x v="16"/>
          </reference>
        </references>
      </pivotArea>
    </format>
    <format dxfId="4252">
      <pivotArea dataOnly="0" labelOnly="1" outline="0" fieldPosition="0">
        <references count="3">
          <reference field="11" count="1" selected="0">
            <x v="135"/>
          </reference>
          <reference field="14" count="1" selected="0">
            <x v="332"/>
          </reference>
          <reference field="18" count="1">
            <x v="4"/>
          </reference>
        </references>
      </pivotArea>
    </format>
    <format dxfId="4251">
      <pivotArea dataOnly="0" labelOnly="1" outline="0" fieldPosition="0">
        <references count="3">
          <reference field="11" count="1" selected="0">
            <x v="135"/>
          </reference>
          <reference field="14" count="1" selected="0">
            <x v="332"/>
          </reference>
          <reference field="18" count="1" defaultSubtotal="1">
            <x v="4"/>
          </reference>
        </references>
      </pivotArea>
    </format>
    <format dxfId="4250">
      <pivotArea dataOnly="0" labelOnly="1" outline="0" fieldPosition="0">
        <references count="3">
          <reference field="11" count="1" selected="0">
            <x v="136"/>
          </reference>
          <reference field="14" count="1" selected="0">
            <x v="333"/>
          </reference>
          <reference field="18" count="1">
            <x v="24"/>
          </reference>
        </references>
      </pivotArea>
    </format>
    <format dxfId="4249">
      <pivotArea dataOnly="0" labelOnly="1" outline="0" fieldPosition="0">
        <references count="3">
          <reference field="11" count="1" selected="0">
            <x v="136"/>
          </reference>
          <reference field="14" count="1" selected="0">
            <x v="333"/>
          </reference>
          <reference field="18" count="1" defaultSubtotal="1">
            <x v="24"/>
          </reference>
        </references>
      </pivotArea>
    </format>
    <format dxfId="4248">
      <pivotArea dataOnly="0" labelOnly="1" outline="0" fieldPosition="0">
        <references count="3">
          <reference field="11" count="1" selected="0">
            <x v="137"/>
          </reference>
          <reference field="14" count="1" selected="0">
            <x v="11"/>
          </reference>
          <reference field="18" count="1">
            <x v="1"/>
          </reference>
        </references>
      </pivotArea>
    </format>
    <format dxfId="4247">
      <pivotArea dataOnly="0" labelOnly="1" outline="0" fieldPosition="0">
        <references count="3">
          <reference field="11" count="1" selected="0">
            <x v="137"/>
          </reference>
          <reference field="14" count="1" selected="0">
            <x v="11"/>
          </reference>
          <reference field="18" count="1" defaultSubtotal="1">
            <x v="1"/>
          </reference>
        </references>
      </pivotArea>
    </format>
    <format dxfId="4246">
      <pivotArea dataOnly="0" labelOnly="1" outline="0" fieldPosition="0">
        <references count="3">
          <reference field="11" count="1" selected="0">
            <x v="138"/>
          </reference>
          <reference field="14" count="1" selected="0">
            <x v="16"/>
          </reference>
          <reference field="18" count="2">
            <x v="12"/>
            <x v="20"/>
          </reference>
        </references>
      </pivotArea>
    </format>
    <format dxfId="4245">
      <pivotArea dataOnly="0" labelOnly="1" outline="0" fieldPosition="0">
        <references count="3">
          <reference field="11" count="1" selected="0">
            <x v="138"/>
          </reference>
          <reference field="14" count="1" selected="0">
            <x v="16"/>
          </reference>
          <reference field="18" count="2" defaultSubtotal="1">
            <x v="12"/>
            <x v="20"/>
          </reference>
        </references>
      </pivotArea>
    </format>
    <format dxfId="4244">
      <pivotArea dataOnly="0" labelOnly="1" outline="0" fieldPosition="0">
        <references count="3">
          <reference field="11" count="1" selected="0">
            <x v="139"/>
          </reference>
          <reference field="14" count="1" selected="0">
            <x v="361"/>
          </reference>
          <reference field="18" count="2">
            <x v="3"/>
            <x v="6"/>
          </reference>
        </references>
      </pivotArea>
    </format>
    <format dxfId="4243">
      <pivotArea dataOnly="0" labelOnly="1" outline="0" fieldPosition="0">
        <references count="3">
          <reference field="11" count="1" selected="0">
            <x v="139"/>
          </reference>
          <reference field="14" count="1" selected="0">
            <x v="361"/>
          </reference>
          <reference field="18" count="2" defaultSubtotal="1">
            <x v="3"/>
            <x v="6"/>
          </reference>
        </references>
      </pivotArea>
    </format>
    <format dxfId="4242">
      <pivotArea dataOnly="0" labelOnly="1" outline="0" fieldPosition="0">
        <references count="3">
          <reference field="11" count="1" selected="0">
            <x v="140"/>
          </reference>
          <reference field="14" count="1" selected="0">
            <x v="255"/>
          </reference>
          <reference field="18" count="1">
            <x v="16"/>
          </reference>
        </references>
      </pivotArea>
    </format>
    <format dxfId="4241">
      <pivotArea dataOnly="0" labelOnly="1" outline="0" fieldPosition="0">
        <references count="3">
          <reference field="11" count="1" selected="0">
            <x v="140"/>
          </reference>
          <reference field="14" count="1" selected="0">
            <x v="255"/>
          </reference>
          <reference field="18" count="1" defaultSubtotal="1">
            <x v="16"/>
          </reference>
        </references>
      </pivotArea>
    </format>
    <format dxfId="4240">
      <pivotArea dataOnly="0" labelOnly="1" outline="0" fieldPosition="0">
        <references count="3">
          <reference field="11" count="1" selected="0">
            <x v="141"/>
          </reference>
          <reference field="14" count="1" selected="0">
            <x v="252"/>
          </reference>
          <reference field="18" count="1">
            <x v="0"/>
          </reference>
        </references>
      </pivotArea>
    </format>
    <format dxfId="4239">
      <pivotArea dataOnly="0" labelOnly="1" outline="0" fieldPosition="0">
        <references count="3">
          <reference field="11" count="1" selected="0">
            <x v="141"/>
          </reference>
          <reference field="14" count="1" selected="0">
            <x v="252"/>
          </reference>
          <reference field="18" count="1" defaultSubtotal="1">
            <x v="0"/>
          </reference>
        </references>
      </pivotArea>
    </format>
    <format dxfId="4238">
      <pivotArea dataOnly="0" labelOnly="1" outline="0" fieldPosition="0">
        <references count="3">
          <reference field="11" count="1" selected="0">
            <x v="142"/>
          </reference>
          <reference field="14" count="1" selected="0">
            <x v="213"/>
          </reference>
          <reference field="18" count="1">
            <x v="14"/>
          </reference>
        </references>
      </pivotArea>
    </format>
    <format dxfId="4237">
      <pivotArea dataOnly="0" labelOnly="1" outline="0" fieldPosition="0">
        <references count="3">
          <reference field="11" count="1" selected="0">
            <x v="142"/>
          </reference>
          <reference field="14" count="1" selected="0">
            <x v="213"/>
          </reference>
          <reference field="18" count="1" defaultSubtotal="1">
            <x v="14"/>
          </reference>
        </references>
      </pivotArea>
    </format>
    <format dxfId="4236">
      <pivotArea dataOnly="0" labelOnly="1" outline="0" fieldPosition="0">
        <references count="3">
          <reference field="11" count="1" selected="0">
            <x v="143"/>
          </reference>
          <reference field="14" count="1" selected="0">
            <x v="326"/>
          </reference>
          <reference field="18" count="1">
            <x v="6"/>
          </reference>
        </references>
      </pivotArea>
    </format>
    <format dxfId="4235">
      <pivotArea dataOnly="0" labelOnly="1" outline="0" fieldPosition="0">
        <references count="3">
          <reference field="11" count="1" selected="0">
            <x v="143"/>
          </reference>
          <reference field="14" count="1" selected="0">
            <x v="326"/>
          </reference>
          <reference field="18" count="1" defaultSubtotal="1">
            <x v="6"/>
          </reference>
        </references>
      </pivotArea>
    </format>
    <format dxfId="4234">
      <pivotArea dataOnly="0" labelOnly="1" outline="0" fieldPosition="0">
        <references count="3">
          <reference field="11" count="1" selected="0">
            <x v="144"/>
          </reference>
          <reference field="14" count="1" selected="0">
            <x v="327"/>
          </reference>
          <reference field="18" count="1">
            <x v="6"/>
          </reference>
        </references>
      </pivotArea>
    </format>
    <format dxfId="4233">
      <pivotArea dataOnly="0" labelOnly="1" outline="0" fieldPosition="0">
        <references count="3">
          <reference field="11" count="1" selected="0">
            <x v="144"/>
          </reference>
          <reference field="14" count="1" selected="0">
            <x v="327"/>
          </reference>
          <reference field="18" count="1" defaultSubtotal="1">
            <x v="6"/>
          </reference>
        </references>
      </pivotArea>
    </format>
    <format dxfId="4232">
      <pivotArea dataOnly="0" labelOnly="1" outline="0" fieldPosition="0">
        <references count="3">
          <reference field="11" count="1" selected="0">
            <x v="145"/>
          </reference>
          <reference field="14" count="1" selected="0">
            <x v="329"/>
          </reference>
          <reference field="18" count="1">
            <x v="6"/>
          </reference>
        </references>
      </pivotArea>
    </format>
    <format dxfId="4231">
      <pivotArea dataOnly="0" labelOnly="1" outline="0" fieldPosition="0">
        <references count="3">
          <reference field="11" count="1" selected="0">
            <x v="145"/>
          </reference>
          <reference field="14" count="1" selected="0">
            <x v="329"/>
          </reference>
          <reference field="18" count="1" defaultSubtotal="1">
            <x v="6"/>
          </reference>
        </references>
      </pivotArea>
    </format>
    <format dxfId="4230">
      <pivotArea dataOnly="0" labelOnly="1" outline="0" fieldPosition="0">
        <references count="3">
          <reference field="11" count="1" selected="0">
            <x v="146"/>
          </reference>
          <reference field="14" count="1" selected="0">
            <x v="330"/>
          </reference>
          <reference field="18" count="1">
            <x v="6"/>
          </reference>
        </references>
      </pivotArea>
    </format>
    <format dxfId="4229">
      <pivotArea dataOnly="0" labelOnly="1" outline="0" fieldPosition="0">
        <references count="3">
          <reference field="11" count="1" selected="0">
            <x v="146"/>
          </reference>
          <reference field="14" count="1" selected="0">
            <x v="330"/>
          </reference>
          <reference field="18" count="1" defaultSubtotal="1">
            <x v="6"/>
          </reference>
        </references>
      </pivotArea>
    </format>
    <format dxfId="4228">
      <pivotArea dataOnly="0" labelOnly="1" outline="0" fieldPosition="0">
        <references count="3">
          <reference field="11" count="1" selected="0">
            <x v="147"/>
          </reference>
          <reference field="14" count="1" selected="0">
            <x v="328"/>
          </reference>
          <reference field="18" count="1">
            <x v="6"/>
          </reference>
        </references>
      </pivotArea>
    </format>
    <format dxfId="4227">
      <pivotArea dataOnly="0" labelOnly="1" outline="0" fieldPosition="0">
        <references count="3">
          <reference field="11" count="1" selected="0">
            <x v="147"/>
          </reference>
          <reference field="14" count="1" selected="0">
            <x v="328"/>
          </reference>
          <reference field="18" count="1" defaultSubtotal="1">
            <x v="6"/>
          </reference>
        </references>
      </pivotArea>
    </format>
    <format dxfId="4226">
      <pivotArea dataOnly="0" labelOnly="1" outline="0" fieldPosition="0">
        <references count="3">
          <reference field="11" count="1" selected="0">
            <x v="148"/>
          </reference>
          <reference field="14" count="1" selected="0">
            <x v="215"/>
          </reference>
          <reference field="18" count="1">
            <x v="14"/>
          </reference>
        </references>
      </pivotArea>
    </format>
    <format dxfId="4225">
      <pivotArea dataOnly="0" labelOnly="1" outline="0" fieldPosition="0">
        <references count="3">
          <reference field="11" count="1" selected="0">
            <x v="148"/>
          </reference>
          <reference field="14" count="1" selected="0">
            <x v="215"/>
          </reference>
          <reference field="18" count="1" defaultSubtotal="1">
            <x v="14"/>
          </reference>
        </references>
      </pivotArea>
    </format>
    <format dxfId="4224">
      <pivotArea dataOnly="0" labelOnly="1" outline="0" fieldPosition="0">
        <references count="3">
          <reference field="11" count="1" selected="0">
            <x v="149"/>
          </reference>
          <reference field="14" count="1" selected="0">
            <x v="461"/>
          </reference>
          <reference field="18" count="2">
            <x v="4"/>
            <x v="10"/>
          </reference>
        </references>
      </pivotArea>
    </format>
    <format dxfId="4223">
      <pivotArea dataOnly="0" labelOnly="1" outline="0" fieldPosition="0">
        <references count="3">
          <reference field="11" count="1" selected="0">
            <x v="149"/>
          </reference>
          <reference field="14" count="1" selected="0">
            <x v="461"/>
          </reference>
          <reference field="18" count="2" defaultSubtotal="1">
            <x v="4"/>
            <x v="10"/>
          </reference>
        </references>
      </pivotArea>
    </format>
    <format dxfId="4222">
      <pivotArea dataOnly="0" labelOnly="1" outline="0" fieldPosition="0">
        <references count="3">
          <reference field="11" count="1" selected="0">
            <x v="150"/>
          </reference>
          <reference field="14" count="1" selected="0">
            <x v="267"/>
          </reference>
          <reference field="18" count="1">
            <x v="3"/>
          </reference>
        </references>
      </pivotArea>
    </format>
    <format dxfId="4221">
      <pivotArea dataOnly="0" labelOnly="1" outline="0" fieldPosition="0">
        <references count="3">
          <reference field="11" count="1" selected="0">
            <x v="150"/>
          </reference>
          <reference field="14" count="1" selected="0">
            <x v="267"/>
          </reference>
          <reference field="18" count="1" defaultSubtotal="1">
            <x v="3"/>
          </reference>
        </references>
      </pivotArea>
    </format>
    <format dxfId="4220">
      <pivotArea dataOnly="0" labelOnly="1" outline="0" fieldPosition="0">
        <references count="3">
          <reference field="11" count="1" selected="0">
            <x v="151"/>
          </reference>
          <reference field="14" count="1" selected="0">
            <x v="392"/>
          </reference>
          <reference field="18" count="1">
            <x v="2"/>
          </reference>
        </references>
      </pivotArea>
    </format>
    <format dxfId="4219">
      <pivotArea dataOnly="0" labelOnly="1" outline="0" fieldPosition="0">
        <references count="3">
          <reference field="11" count="1" selected="0">
            <x v="151"/>
          </reference>
          <reference field="14" count="1" selected="0">
            <x v="392"/>
          </reference>
          <reference field="18" count="1" defaultSubtotal="1">
            <x v="2"/>
          </reference>
        </references>
      </pivotArea>
    </format>
    <format dxfId="4218">
      <pivotArea dataOnly="0" labelOnly="1" outline="0" fieldPosition="0">
        <references count="3">
          <reference field="11" count="1" selected="0">
            <x v="152"/>
          </reference>
          <reference field="14" count="1" selected="0">
            <x v="447"/>
          </reference>
          <reference field="18" count="1">
            <x v="19"/>
          </reference>
        </references>
      </pivotArea>
    </format>
    <format dxfId="4217">
      <pivotArea dataOnly="0" labelOnly="1" outline="0" fieldPosition="0">
        <references count="3">
          <reference field="11" count="1" selected="0">
            <x v="152"/>
          </reference>
          <reference field="14" count="1" selected="0">
            <x v="447"/>
          </reference>
          <reference field="18" count="1" defaultSubtotal="1">
            <x v="19"/>
          </reference>
        </references>
      </pivotArea>
    </format>
    <format dxfId="4216">
      <pivotArea dataOnly="0" labelOnly="1" outline="0" fieldPosition="0">
        <references count="3">
          <reference field="11" count="1" selected="0">
            <x v="153"/>
          </reference>
          <reference field="14" count="1" selected="0">
            <x v="177"/>
          </reference>
          <reference field="18" count="1">
            <x v="6"/>
          </reference>
        </references>
      </pivotArea>
    </format>
    <format dxfId="4215">
      <pivotArea dataOnly="0" labelOnly="1" outline="0" fieldPosition="0">
        <references count="3">
          <reference field="11" count="1" selected="0">
            <x v="153"/>
          </reference>
          <reference field="14" count="1" selected="0">
            <x v="177"/>
          </reference>
          <reference field="18" count="1" defaultSubtotal="1">
            <x v="6"/>
          </reference>
        </references>
      </pivotArea>
    </format>
    <format dxfId="4214">
      <pivotArea dataOnly="0" labelOnly="1" outline="0" fieldPosition="0">
        <references count="3">
          <reference field="11" count="1" selected="0">
            <x v="154"/>
          </reference>
          <reference field="14" count="1" selected="0">
            <x v="182"/>
          </reference>
          <reference field="18" count="1">
            <x v="1"/>
          </reference>
        </references>
      </pivotArea>
    </format>
    <format dxfId="4213">
      <pivotArea dataOnly="0" labelOnly="1" outline="0" fieldPosition="0">
        <references count="3">
          <reference field="11" count="1" selected="0">
            <x v="154"/>
          </reference>
          <reference field="14" count="1" selected="0">
            <x v="182"/>
          </reference>
          <reference field="18" count="1" defaultSubtotal="1">
            <x v="1"/>
          </reference>
        </references>
      </pivotArea>
    </format>
    <format dxfId="4212">
      <pivotArea dataOnly="0" labelOnly="1" outline="0" fieldPosition="0">
        <references count="3">
          <reference field="11" count="1" selected="0">
            <x v="155"/>
          </reference>
          <reference field="14" count="1" selected="0">
            <x v="105"/>
          </reference>
          <reference field="18" count="1">
            <x v="27"/>
          </reference>
        </references>
      </pivotArea>
    </format>
    <format dxfId="4211">
      <pivotArea dataOnly="0" labelOnly="1" outline="0" fieldPosition="0">
        <references count="3">
          <reference field="11" count="1" selected="0">
            <x v="155"/>
          </reference>
          <reference field="14" count="1" selected="0">
            <x v="105"/>
          </reference>
          <reference field="18" count="1" defaultSubtotal="1">
            <x v="27"/>
          </reference>
        </references>
      </pivotArea>
    </format>
    <format dxfId="4210">
      <pivotArea dataOnly="0" labelOnly="1" outline="0" fieldPosition="0">
        <references count="3">
          <reference field="11" count="1" selected="0">
            <x v="156"/>
          </reference>
          <reference field="14" count="1" selected="0">
            <x v="238"/>
          </reference>
          <reference field="18" count="1">
            <x v="12"/>
          </reference>
        </references>
      </pivotArea>
    </format>
    <format dxfId="4209">
      <pivotArea dataOnly="0" labelOnly="1" outline="0" fieldPosition="0">
        <references count="3">
          <reference field="11" count="1" selected="0">
            <x v="156"/>
          </reference>
          <reference field="14" count="1" selected="0">
            <x v="238"/>
          </reference>
          <reference field="18" count="1" defaultSubtotal="1">
            <x v="12"/>
          </reference>
        </references>
      </pivotArea>
    </format>
    <format dxfId="4208">
      <pivotArea dataOnly="0" labelOnly="1" outline="0" fieldPosition="0">
        <references count="3">
          <reference field="11" count="1" selected="0">
            <x v="157"/>
          </reference>
          <reference field="14" count="1" selected="0">
            <x v="395"/>
          </reference>
          <reference field="18" count="1">
            <x v="6"/>
          </reference>
        </references>
      </pivotArea>
    </format>
    <format dxfId="4207">
      <pivotArea dataOnly="0" labelOnly="1" outline="0" fieldPosition="0">
        <references count="3">
          <reference field="11" count="1" selected="0">
            <x v="157"/>
          </reference>
          <reference field="14" count="1" selected="0">
            <x v="395"/>
          </reference>
          <reference field="18" count="1" defaultSubtotal="1">
            <x v="6"/>
          </reference>
        </references>
      </pivotArea>
    </format>
    <format dxfId="4206">
      <pivotArea dataOnly="0" labelOnly="1" outline="0" fieldPosition="0">
        <references count="3">
          <reference field="11" count="1" selected="0">
            <x v="158"/>
          </reference>
          <reference field="14" count="1" selected="0">
            <x v="224"/>
          </reference>
          <reference field="18" count="2">
            <x v="4"/>
            <x v="12"/>
          </reference>
        </references>
      </pivotArea>
    </format>
    <format dxfId="4205">
      <pivotArea dataOnly="0" labelOnly="1" outline="0" fieldPosition="0">
        <references count="3">
          <reference field="11" count="1" selected="0">
            <x v="158"/>
          </reference>
          <reference field="14" count="1" selected="0">
            <x v="224"/>
          </reference>
          <reference field="18" count="2" defaultSubtotal="1">
            <x v="4"/>
            <x v="12"/>
          </reference>
        </references>
      </pivotArea>
    </format>
    <format dxfId="4204">
      <pivotArea dataOnly="0" labelOnly="1" outline="0" fieldPosition="0">
        <references count="3">
          <reference field="11" count="1" selected="0">
            <x v="159"/>
          </reference>
          <reference field="14" count="1" selected="0">
            <x v="218"/>
          </reference>
          <reference field="18" count="1">
            <x v="0"/>
          </reference>
        </references>
      </pivotArea>
    </format>
    <format dxfId="4203">
      <pivotArea dataOnly="0" labelOnly="1" outline="0" fieldPosition="0">
        <references count="3">
          <reference field="11" count="1" selected="0">
            <x v="159"/>
          </reference>
          <reference field="14" count="1" selected="0">
            <x v="218"/>
          </reference>
          <reference field="18" count="1" defaultSubtotal="1">
            <x v="0"/>
          </reference>
        </references>
      </pivotArea>
    </format>
    <format dxfId="4202">
      <pivotArea dataOnly="0" labelOnly="1" outline="0" fieldPosition="0">
        <references count="3">
          <reference field="11" count="1" selected="0">
            <x v="160"/>
          </reference>
          <reference field="14" count="1" selected="0">
            <x v="398"/>
          </reference>
          <reference field="18" count="1">
            <x v="14"/>
          </reference>
        </references>
      </pivotArea>
    </format>
    <format dxfId="4201">
      <pivotArea dataOnly="0" labelOnly="1" outline="0" fieldPosition="0">
        <references count="3">
          <reference field="11" count="1" selected="0">
            <x v="160"/>
          </reference>
          <reference field="14" count="1" selected="0">
            <x v="398"/>
          </reference>
          <reference field="18" count="1" defaultSubtotal="1">
            <x v="14"/>
          </reference>
        </references>
      </pivotArea>
    </format>
    <format dxfId="4200">
      <pivotArea dataOnly="0" labelOnly="1" outline="0" fieldPosition="0">
        <references count="3">
          <reference field="11" count="1" selected="0">
            <x v="161"/>
          </reference>
          <reference field="14" count="1" selected="0">
            <x v="117"/>
          </reference>
          <reference field="18" count="2">
            <x v="6"/>
            <x v="12"/>
          </reference>
        </references>
      </pivotArea>
    </format>
    <format dxfId="4199">
      <pivotArea dataOnly="0" labelOnly="1" outline="0" fieldPosition="0">
        <references count="3">
          <reference field="11" count="1" selected="0">
            <x v="161"/>
          </reference>
          <reference field="14" count="1" selected="0">
            <x v="117"/>
          </reference>
          <reference field="18" count="2" defaultSubtotal="1">
            <x v="6"/>
            <x v="12"/>
          </reference>
        </references>
      </pivotArea>
    </format>
    <format dxfId="4198">
      <pivotArea dataOnly="0" labelOnly="1" outline="0" fieldPosition="0">
        <references count="3">
          <reference field="11" count="1" selected="0">
            <x v="162"/>
          </reference>
          <reference field="14" count="1" selected="0">
            <x v="161"/>
          </reference>
          <reference field="18" count="1">
            <x v="2"/>
          </reference>
        </references>
      </pivotArea>
    </format>
    <format dxfId="4197">
      <pivotArea dataOnly="0" labelOnly="1" outline="0" fieldPosition="0">
        <references count="3">
          <reference field="11" count="1" selected="0">
            <x v="162"/>
          </reference>
          <reference field="14" count="1" selected="0">
            <x v="161"/>
          </reference>
          <reference field="18" count="1" defaultSubtotal="1">
            <x v="2"/>
          </reference>
        </references>
      </pivotArea>
    </format>
    <format dxfId="4196">
      <pivotArea dataOnly="0" labelOnly="1" outline="0" fieldPosition="0">
        <references count="3">
          <reference field="11" count="1" selected="0">
            <x v="163"/>
          </reference>
          <reference field="14" count="1" selected="0">
            <x v="234"/>
          </reference>
          <reference field="18" count="2">
            <x v="2"/>
            <x v="12"/>
          </reference>
        </references>
      </pivotArea>
    </format>
    <format dxfId="4195">
      <pivotArea dataOnly="0" labelOnly="1" outline="0" fieldPosition="0">
        <references count="3">
          <reference field="11" count="1" selected="0">
            <x v="163"/>
          </reference>
          <reference field="14" count="1" selected="0">
            <x v="234"/>
          </reference>
          <reference field="18" count="2" defaultSubtotal="1">
            <x v="2"/>
            <x v="12"/>
          </reference>
        </references>
      </pivotArea>
    </format>
    <format dxfId="4194">
      <pivotArea dataOnly="0" labelOnly="1" outline="0" fieldPosition="0">
        <references count="3">
          <reference field="11" count="1" selected="0">
            <x v="164"/>
          </reference>
          <reference field="14" count="1" selected="0">
            <x v="258"/>
          </reference>
          <reference field="18" count="1">
            <x v="6"/>
          </reference>
        </references>
      </pivotArea>
    </format>
    <format dxfId="4193">
      <pivotArea dataOnly="0" labelOnly="1" outline="0" fieldPosition="0">
        <references count="3">
          <reference field="11" count="1" selected="0">
            <x v="164"/>
          </reference>
          <reference field="14" count="1" selected="0">
            <x v="258"/>
          </reference>
          <reference field="18" count="1" defaultSubtotal="1">
            <x v="6"/>
          </reference>
        </references>
      </pivotArea>
    </format>
    <format dxfId="4192">
      <pivotArea dataOnly="0" labelOnly="1" outline="0" fieldPosition="0">
        <references count="3">
          <reference field="11" count="1" selected="0">
            <x v="165"/>
          </reference>
          <reference field="14" count="1" selected="0">
            <x v="206"/>
          </reference>
          <reference field="18" count="1">
            <x v="3"/>
          </reference>
        </references>
      </pivotArea>
    </format>
    <format dxfId="4191">
      <pivotArea dataOnly="0" labelOnly="1" outline="0" fieldPosition="0">
        <references count="3">
          <reference field="11" count="1" selected="0">
            <x v="165"/>
          </reference>
          <reference field="14" count="1" selected="0">
            <x v="206"/>
          </reference>
          <reference field="18" count="1" defaultSubtotal="1">
            <x v="3"/>
          </reference>
        </references>
      </pivotArea>
    </format>
    <format dxfId="4190">
      <pivotArea dataOnly="0" labelOnly="1" outline="0" fieldPosition="0">
        <references count="3">
          <reference field="11" count="1" selected="0">
            <x v="166"/>
          </reference>
          <reference field="14" count="1" selected="0">
            <x v="319"/>
          </reference>
          <reference field="18" count="2">
            <x v="2"/>
            <x v="14"/>
          </reference>
        </references>
      </pivotArea>
    </format>
    <format dxfId="4189">
      <pivotArea dataOnly="0" labelOnly="1" outline="0" fieldPosition="0">
        <references count="3">
          <reference field="11" count="1" selected="0">
            <x v="166"/>
          </reference>
          <reference field="14" count="1" selected="0">
            <x v="319"/>
          </reference>
          <reference field="18" count="2" defaultSubtotal="1">
            <x v="2"/>
            <x v="14"/>
          </reference>
        </references>
      </pivotArea>
    </format>
    <format dxfId="4188">
      <pivotArea dataOnly="0" labelOnly="1" outline="0" fieldPosition="0">
        <references count="3">
          <reference field="11" count="1" selected="0">
            <x v="167"/>
          </reference>
          <reference field="14" count="1" selected="0">
            <x v="66"/>
          </reference>
          <reference field="18" count="1">
            <x v="15"/>
          </reference>
        </references>
      </pivotArea>
    </format>
    <format dxfId="4187">
      <pivotArea dataOnly="0" labelOnly="1" outline="0" fieldPosition="0">
        <references count="3">
          <reference field="11" count="1" selected="0">
            <x v="167"/>
          </reference>
          <reference field="14" count="1" selected="0">
            <x v="66"/>
          </reference>
          <reference field="18" count="1" defaultSubtotal="1">
            <x v="15"/>
          </reference>
        </references>
      </pivotArea>
    </format>
    <format dxfId="4186">
      <pivotArea dataOnly="0" labelOnly="1" outline="0" fieldPosition="0">
        <references count="3">
          <reference field="11" count="1" selected="0">
            <x v="168"/>
          </reference>
          <reference field="14" count="1" selected="0">
            <x v="148"/>
          </reference>
          <reference field="18" count="1">
            <x v="2"/>
          </reference>
        </references>
      </pivotArea>
    </format>
    <format dxfId="4185">
      <pivotArea dataOnly="0" labelOnly="1" outline="0" fieldPosition="0">
        <references count="3">
          <reference field="11" count="1" selected="0">
            <x v="168"/>
          </reference>
          <reference field="14" count="1" selected="0">
            <x v="148"/>
          </reference>
          <reference field="18" count="1" defaultSubtotal="1">
            <x v="2"/>
          </reference>
        </references>
      </pivotArea>
    </format>
    <format dxfId="4184">
      <pivotArea dataOnly="0" labelOnly="1" outline="0" fieldPosition="0">
        <references count="3">
          <reference field="11" count="1" selected="0">
            <x v="169"/>
          </reference>
          <reference field="14" count="1" selected="0">
            <x v="192"/>
          </reference>
          <reference field="18" count="1">
            <x v="14"/>
          </reference>
        </references>
      </pivotArea>
    </format>
    <format dxfId="4183">
      <pivotArea dataOnly="0" labelOnly="1" outline="0" fieldPosition="0">
        <references count="3">
          <reference field="11" count="1" selected="0">
            <x v="169"/>
          </reference>
          <reference field="14" count="1" selected="0">
            <x v="192"/>
          </reference>
          <reference field="18" count="1" defaultSubtotal="1">
            <x v="14"/>
          </reference>
        </references>
      </pivotArea>
    </format>
    <format dxfId="4182">
      <pivotArea dataOnly="0" labelOnly="1" outline="0" fieldPosition="0">
        <references count="3">
          <reference field="11" count="1" selected="0">
            <x v="170"/>
          </reference>
          <reference field="14" count="1" selected="0">
            <x v="317"/>
          </reference>
          <reference field="18" count="1">
            <x v="14"/>
          </reference>
        </references>
      </pivotArea>
    </format>
    <format dxfId="4181">
      <pivotArea dataOnly="0" labelOnly="1" outline="0" fieldPosition="0">
        <references count="3">
          <reference field="11" count="1" selected="0">
            <x v="170"/>
          </reference>
          <reference field="14" count="1" selected="0">
            <x v="317"/>
          </reference>
          <reference field="18" count="1" defaultSubtotal="1">
            <x v="14"/>
          </reference>
        </references>
      </pivotArea>
    </format>
    <format dxfId="4180">
      <pivotArea dataOnly="0" labelOnly="1" outline="0" fieldPosition="0">
        <references count="3">
          <reference field="11" count="1" selected="0">
            <x v="171"/>
          </reference>
          <reference field="14" count="1" selected="0">
            <x v="350"/>
          </reference>
          <reference field="18" count="1">
            <x v="6"/>
          </reference>
        </references>
      </pivotArea>
    </format>
    <format dxfId="4179">
      <pivotArea dataOnly="0" labelOnly="1" outline="0" fieldPosition="0">
        <references count="3">
          <reference field="11" count="1" selected="0">
            <x v="171"/>
          </reference>
          <reference field="14" count="1" selected="0">
            <x v="350"/>
          </reference>
          <reference field="18" count="1" defaultSubtotal="1">
            <x v="6"/>
          </reference>
        </references>
      </pivotArea>
    </format>
    <format dxfId="4178">
      <pivotArea dataOnly="0" labelOnly="1" outline="0" fieldPosition="0">
        <references count="3">
          <reference field="11" count="1" selected="0">
            <x v="172"/>
          </reference>
          <reference field="14" count="1" selected="0">
            <x v="231"/>
          </reference>
          <reference field="18" count="1">
            <x v="12"/>
          </reference>
        </references>
      </pivotArea>
    </format>
    <format dxfId="4177">
      <pivotArea dataOnly="0" labelOnly="1" outline="0" fieldPosition="0">
        <references count="3">
          <reference field="11" count="1" selected="0">
            <x v="172"/>
          </reference>
          <reference field="14" count="1" selected="0">
            <x v="231"/>
          </reference>
          <reference field="18" count="1" defaultSubtotal="1">
            <x v="12"/>
          </reference>
        </references>
      </pivotArea>
    </format>
    <format dxfId="4176">
      <pivotArea dataOnly="0" labelOnly="1" outline="0" fieldPosition="0">
        <references count="3">
          <reference field="11" count="1" selected="0">
            <x v="173"/>
          </reference>
          <reference field="14" count="1" selected="0">
            <x v="174"/>
          </reference>
          <reference field="18" count="1">
            <x v="0"/>
          </reference>
        </references>
      </pivotArea>
    </format>
    <format dxfId="4175">
      <pivotArea dataOnly="0" labelOnly="1" outline="0" fieldPosition="0">
        <references count="3">
          <reference field="11" count="1" selected="0">
            <x v="173"/>
          </reference>
          <reference field="14" count="1" selected="0">
            <x v="174"/>
          </reference>
          <reference field="18" count="1" defaultSubtotal="1">
            <x v="0"/>
          </reference>
        </references>
      </pivotArea>
    </format>
    <format dxfId="4174">
      <pivotArea dataOnly="0" labelOnly="1" outline="0" fieldPosition="0">
        <references count="3">
          <reference field="11" count="1" selected="0">
            <x v="174"/>
          </reference>
          <reference field="14" count="1" selected="0">
            <x v="173"/>
          </reference>
          <reference field="18" count="1">
            <x v="0"/>
          </reference>
        </references>
      </pivotArea>
    </format>
    <format dxfId="4173">
      <pivotArea dataOnly="0" labelOnly="1" outline="0" fieldPosition="0">
        <references count="3">
          <reference field="11" count="1" selected="0">
            <x v="174"/>
          </reference>
          <reference field="14" count="1" selected="0">
            <x v="173"/>
          </reference>
          <reference field="18" count="1" defaultSubtotal="1">
            <x v="0"/>
          </reference>
        </references>
      </pivotArea>
    </format>
    <format dxfId="4172">
      <pivotArea dataOnly="0" labelOnly="1" outline="0" fieldPosition="0">
        <references count="3">
          <reference field="11" count="1" selected="0">
            <x v="175"/>
          </reference>
          <reference field="14" count="1" selected="0">
            <x v="471"/>
          </reference>
          <reference field="18" count="1">
            <x v="2"/>
          </reference>
        </references>
      </pivotArea>
    </format>
    <format dxfId="4171">
      <pivotArea dataOnly="0" labelOnly="1" outline="0" fieldPosition="0">
        <references count="3">
          <reference field="11" count="1" selected="0">
            <x v="175"/>
          </reference>
          <reference field="14" count="1" selected="0">
            <x v="471"/>
          </reference>
          <reference field="18" count="1" defaultSubtotal="1">
            <x v="2"/>
          </reference>
        </references>
      </pivotArea>
    </format>
    <format dxfId="4170">
      <pivotArea dataOnly="0" labelOnly="1" outline="0" fieldPosition="0">
        <references count="3">
          <reference field="11" count="1" selected="0">
            <x v="176"/>
          </reference>
          <reference field="14" count="1" selected="0">
            <x v="362"/>
          </reference>
          <reference field="18" count="2">
            <x v="3"/>
            <x v="6"/>
          </reference>
        </references>
      </pivotArea>
    </format>
    <format dxfId="4169">
      <pivotArea dataOnly="0" labelOnly="1" outline="0" fieldPosition="0">
        <references count="3">
          <reference field="11" count="1" selected="0">
            <x v="176"/>
          </reference>
          <reference field="14" count="1" selected="0">
            <x v="362"/>
          </reference>
          <reference field="18" count="2" defaultSubtotal="1">
            <x v="3"/>
            <x v="6"/>
          </reference>
        </references>
      </pivotArea>
    </format>
    <format dxfId="4168">
      <pivotArea dataOnly="0" labelOnly="1" outline="0" fieldPosition="0">
        <references count="3">
          <reference field="11" count="1" selected="0">
            <x v="177"/>
          </reference>
          <reference field="14" count="1" selected="0">
            <x v="279"/>
          </reference>
          <reference field="18" count="1">
            <x v="0"/>
          </reference>
        </references>
      </pivotArea>
    </format>
    <format dxfId="4167">
      <pivotArea dataOnly="0" labelOnly="1" outline="0" fieldPosition="0">
        <references count="3">
          <reference field="11" count="1" selected="0">
            <x v="177"/>
          </reference>
          <reference field="14" count="1" selected="0">
            <x v="279"/>
          </reference>
          <reference field="18" count="1" defaultSubtotal="1">
            <x v="0"/>
          </reference>
        </references>
      </pivotArea>
    </format>
    <format dxfId="4166">
      <pivotArea dataOnly="0" labelOnly="1" outline="0" fieldPosition="0">
        <references count="3">
          <reference field="11" count="1" selected="0">
            <x v="178"/>
          </reference>
          <reference field="14" count="1" selected="0">
            <x v="282"/>
          </reference>
          <reference field="18" count="1">
            <x v="0"/>
          </reference>
        </references>
      </pivotArea>
    </format>
    <format dxfId="4165">
      <pivotArea dataOnly="0" labelOnly="1" outline="0" fieldPosition="0">
        <references count="3">
          <reference field="11" count="1" selected="0">
            <x v="178"/>
          </reference>
          <reference field="14" count="1" selected="0">
            <x v="282"/>
          </reference>
          <reference field="18" count="1" defaultSubtotal="1">
            <x v="0"/>
          </reference>
        </references>
      </pivotArea>
    </format>
    <format dxfId="4164">
      <pivotArea dataOnly="0" labelOnly="1" outline="0" fieldPosition="0">
        <references count="3">
          <reference field="11" count="1" selected="0">
            <x v="179"/>
          </reference>
          <reference field="14" count="1" selected="0">
            <x v="276"/>
          </reference>
          <reference field="18" count="1">
            <x v="0"/>
          </reference>
        </references>
      </pivotArea>
    </format>
    <format dxfId="4163">
      <pivotArea dataOnly="0" labelOnly="1" outline="0" fieldPosition="0">
        <references count="3">
          <reference field="11" count="1" selected="0">
            <x v="179"/>
          </reference>
          <reference field="14" count="1" selected="0">
            <x v="276"/>
          </reference>
          <reference field="18" count="1" defaultSubtotal="1">
            <x v="0"/>
          </reference>
        </references>
      </pivotArea>
    </format>
    <format dxfId="4162">
      <pivotArea dataOnly="0" labelOnly="1" outline="0" fieldPosition="0">
        <references count="3">
          <reference field="11" count="1" selected="0">
            <x v="180"/>
          </reference>
          <reference field="14" count="1" selected="0">
            <x v="439"/>
          </reference>
          <reference field="18" count="1">
            <x v="19"/>
          </reference>
        </references>
      </pivotArea>
    </format>
    <format dxfId="4161">
      <pivotArea dataOnly="0" labelOnly="1" outline="0" fieldPosition="0">
        <references count="3">
          <reference field="11" count="1" selected="0">
            <x v="180"/>
          </reference>
          <reference field="14" count="1" selected="0">
            <x v="439"/>
          </reference>
          <reference field="18" count="1" defaultSubtotal="1">
            <x v="19"/>
          </reference>
        </references>
      </pivotArea>
    </format>
    <format dxfId="4160">
      <pivotArea dataOnly="0" labelOnly="1" outline="0" fieldPosition="0">
        <references count="3">
          <reference field="11" count="1" selected="0">
            <x v="181"/>
          </reference>
          <reference field="14" count="1" selected="0">
            <x v="281"/>
          </reference>
          <reference field="18" count="1">
            <x v="0"/>
          </reference>
        </references>
      </pivotArea>
    </format>
    <format dxfId="4159">
      <pivotArea dataOnly="0" labelOnly="1" outline="0" fieldPosition="0">
        <references count="3">
          <reference field="11" count="1" selected="0">
            <x v="181"/>
          </reference>
          <reference field="14" count="1" selected="0">
            <x v="281"/>
          </reference>
          <reference field="18" count="1" defaultSubtotal="1">
            <x v="0"/>
          </reference>
        </references>
      </pivotArea>
    </format>
    <format dxfId="4158">
      <pivotArea dataOnly="0" labelOnly="1" outline="0" fieldPosition="0">
        <references count="3">
          <reference field="11" count="1" selected="0">
            <x v="182"/>
          </reference>
          <reference field="14" count="1" selected="0">
            <x v="118"/>
          </reference>
          <reference field="18" count="1">
            <x v="6"/>
          </reference>
        </references>
      </pivotArea>
    </format>
    <format dxfId="4157">
      <pivotArea dataOnly="0" labelOnly="1" outline="0" fieldPosition="0">
        <references count="3">
          <reference field="11" count="1" selected="0">
            <x v="182"/>
          </reference>
          <reference field="14" count="1" selected="0">
            <x v="118"/>
          </reference>
          <reference field="18" count="1" defaultSubtotal="1">
            <x v="6"/>
          </reference>
        </references>
      </pivotArea>
    </format>
    <format dxfId="4156">
      <pivotArea dataOnly="0" labelOnly="1" outline="0" fieldPosition="0">
        <references count="3">
          <reference field="11" count="1" selected="0">
            <x v="183"/>
          </reference>
          <reference field="14" count="1" selected="0">
            <x v="386"/>
          </reference>
          <reference field="18" count="1">
            <x v="2"/>
          </reference>
        </references>
      </pivotArea>
    </format>
    <format dxfId="4155">
      <pivotArea dataOnly="0" labelOnly="1" outline="0" fieldPosition="0">
        <references count="3">
          <reference field="11" count="1" selected="0">
            <x v="183"/>
          </reference>
          <reference field="14" count="1" selected="0">
            <x v="386"/>
          </reference>
          <reference field="18" count="1" defaultSubtotal="1">
            <x v="2"/>
          </reference>
        </references>
      </pivotArea>
    </format>
    <format dxfId="4154">
      <pivotArea dataOnly="0" labelOnly="1" outline="0" fieldPosition="0">
        <references count="3">
          <reference field="11" count="1" selected="0">
            <x v="184"/>
          </reference>
          <reference field="14" count="1" selected="0">
            <x v="388"/>
          </reference>
          <reference field="18" count="1">
            <x v="2"/>
          </reference>
        </references>
      </pivotArea>
    </format>
    <format dxfId="4153">
      <pivotArea dataOnly="0" labelOnly="1" outline="0" fieldPosition="0">
        <references count="3">
          <reference field="11" count="1" selected="0">
            <x v="184"/>
          </reference>
          <reference field="14" count="1" selected="0">
            <x v="388"/>
          </reference>
          <reference field="18" count="1" defaultSubtotal="1">
            <x v="2"/>
          </reference>
        </references>
      </pivotArea>
    </format>
    <format dxfId="4152">
      <pivotArea dataOnly="0" labelOnly="1" outline="0" fieldPosition="0">
        <references count="3">
          <reference field="11" count="1" selected="0">
            <x v="185"/>
          </reference>
          <reference field="14" count="1" selected="0">
            <x v="387"/>
          </reference>
          <reference field="18" count="2">
            <x v="0"/>
            <x v="2"/>
          </reference>
        </references>
      </pivotArea>
    </format>
    <format dxfId="4151">
      <pivotArea dataOnly="0" labelOnly="1" outline="0" fieldPosition="0">
        <references count="3">
          <reference field="11" count="1" selected="0">
            <x v="185"/>
          </reference>
          <reference field="14" count="1" selected="0">
            <x v="387"/>
          </reference>
          <reference field="18" count="2" defaultSubtotal="1">
            <x v="0"/>
            <x v="2"/>
          </reference>
        </references>
      </pivotArea>
    </format>
    <format dxfId="4150">
      <pivotArea dataOnly="0" labelOnly="1" outline="0" fieldPosition="0">
        <references count="3">
          <reference field="11" count="1" selected="0">
            <x v="186"/>
          </reference>
          <reference field="14" count="1" selected="0">
            <x v="343"/>
          </reference>
          <reference field="18" count="1">
            <x v="1"/>
          </reference>
        </references>
      </pivotArea>
    </format>
    <format dxfId="4149">
      <pivotArea dataOnly="0" labelOnly="1" outline="0" fieldPosition="0">
        <references count="3">
          <reference field="11" count="1" selected="0">
            <x v="186"/>
          </reference>
          <reference field="14" count="1" selected="0">
            <x v="343"/>
          </reference>
          <reference field="18" count="1" defaultSubtotal="1">
            <x v="1"/>
          </reference>
        </references>
      </pivotArea>
    </format>
    <format dxfId="4148">
      <pivotArea dataOnly="0" labelOnly="1" outline="0" fieldPosition="0">
        <references count="3">
          <reference field="11" count="1" selected="0">
            <x v="187"/>
          </reference>
          <reference field="14" count="1" selected="0">
            <x v="249"/>
          </reference>
          <reference field="18" count="1">
            <x v="19"/>
          </reference>
        </references>
      </pivotArea>
    </format>
    <format dxfId="4147">
      <pivotArea dataOnly="0" labelOnly="1" outline="0" fieldPosition="0">
        <references count="3">
          <reference field="11" count="1" selected="0">
            <x v="187"/>
          </reference>
          <reference field="14" count="1" selected="0">
            <x v="249"/>
          </reference>
          <reference field="18" count="1" defaultSubtotal="1">
            <x v="19"/>
          </reference>
        </references>
      </pivotArea>
    </format>
    <format dxfId="4146">
      <pivotArea dataOnly="0" labelOnly="1" outline="0" fieldPosition="0">
        <references count="3">
          <reference field="11" count="1" selected="0">
            <x v="188"/>
          </reference>
          <reference field="14" count="1" selected="0">
            <x v="385"/>
          </reference>
          <reference field="18" count="1">
            <x v="2"/>
          </reference>
        </references>
      </pivotArea>
    </format>
    <format dxfId="4145">
      <pivotArea dataOnly="0" labelOnly="1" outline="0" fieldPosition="0">
        <references count="3">
          <reference field="11" count="1" selected="0">
            <x v="188"/>
          </reference>
          <reference field="14" count="1" selected="0">
            <x v="385"/>
          </reference>
          <reference field="18" count="1" defaultSubtotal="1">
            <x v="2"/>
          </reference>
        </references>
      </pivotArea>
    </format>
    <format dxfId="4144">
      <pivotArea dataOnly="0" labelOnly="1" outline="0" fieldPosition="0">
        <references count="3">
          <reference field="11" count="1" selected="0">
            <x v="189"/>
          </reference>
          <reference field="14" count="1" selected="0">
            <x v="184"/>
          </reference>
          <reference field="18" count="2">
            <x v="0"/>
            <x v="1"/>
          </reference>
        </references>
      </pivotArea>
    </format>
    <format dxfId="4143">
      <pivotArea dataOnly="0" labelOnly="1" outline="0" fieldPosition="0">
        <references count="3">
          <reference field="11" count="1" selected="0">
            <x v="189"/>
          </reference>
          <reference field="14" count="1" selected="0">
            <x v="184"/>
          </reference>
          <reference field="18" count="2" defaultSubtotal="1">
            <x v="0"/>
            <x v="1"/>
          </reference>
        </references>
      </pivotArea>
    </format>
    <format dxfId="4142">
      <pivotArea dataOnly="0" labelOnly="1" outline="0" fieldPosition="0">
        <references count="3">
          <reference field="11" count="1" selected="0">
            <x v="190"/>
          </reference>
          <reference field="14" count="1" selected="0">
            <x v="394"/>
          </reference>
          <reference field="18" count="2">
            <x v="0"/>
            <x v="2"/>
          </reference>
        </references>
      </pivotArea>
    </format>
    <format dxfId="4141">
      <pivotArea dataOnly="0" labelOnly="1" outline="0" fieldPosition="0">
        <references count="3">
          <reference field="11" count="1" selected="0">
            <x v="190"/>
          </reference>
          <reference field="14" count="1" selected="0">
            <x v="394"/>
          </reference>
          <reference field="18" count="2" defaultSubtotal="1">
            <x v="0"/>
            <x v="2"/>
          </reference>
        </references>
      </pivotArea>
    </format>
    <format dxfId="4140">
      <pivotArea dataOnly="0" labelOnly="1" outline="0" fieldPosition="0">
        <references count="3">
          <reference field="11" count="1" selected="0">
            <x v="191"/>
          </reference>
          <reference field="14" count="1" selected="0">
            <x v="103"/>
          </reference>
          <reference field="18" count="1">
            <x v="2"/>
          </reference>
        </references>
      </pivotArea>
    </format>
    <format dxfId="4139">
      <pivotArea dataOnly="0" labelOnly="1" outline="0" fieldPosition="0">
        <references count="3">
          <reference field="11" count="1" selected="0">
            <x v="191"/>
          </reference>
          <reference field="14" count="1" selected="0">
            <x v="103"/>
          </reference>
          <reference field="18" count="1" defaultSubtotal="1">
            <x v="2"/>
          </reference>
        </references>
      </pivotArea>
    </format>
    <format dxfId="4138">
      <pivotArea dataOnly="0" labelOnly="1" outline="0" fieldPosition="0">
        <references count="3">
          <reference field="11" count="1" selected="0">
            <x v="192"/>
          </reference>
          <reference field="14" count="1" selected="0">
            <x v="102"/>
          </reference>
          <reference field="18" count="1">
            <x v="2"/>
          </reference>
        </references>
      </pivotArea>
    </format>
    <format dxfId="4137">
      <pivotArea dataOnly="0" labelOnly="1" outline="0" fieldPosition="0">
        <references count="3">
          <reference field="11" count="1" selected="0">
            <x v="192"/>
          </reference>
          <reference field="14" count="1" selected="0">
            <x v="102"/>
          </reference>
          <reference field="18" count="1" defaultSubtotal="1">
            <x v="2"/>
          </reference>
        </references>
      </pivotArea>
    </format>
    <format dxfId="4136">
      <pivotArea dataOnly="0" labelOnly="1" outline="0" fieldPosition="0">
        <references count="3">
          <reference field="11" count="1" selected="0">
            <x v="193"/>
          </reference>
          <reference field="14" count="1" selected="0">
            <x v="14"/>
          </reference>
          <reference field="18" count="1">
            <x v="0"/>
          </reference>
        </references>
      </pivotArea>
    </format>
    <format dxfId="4135">
      <pivotArea dataOnly="0" labelOnly="1" outline="0" fieldPosition="0">
        <references count="3">
          <reference field="11" count="1" selected="0">
            <x v="193"/>
          </reference>
          <reference field="14" count="1" selected="0">
            <x v="14"/>
          </reference>
          <reference field="18" count="1" defaultSubtotal="1">
            <x v="0"/>
          </reference>
        </references>
      </pivotArea>
    </format>
    <format dxfId="4134">
      <pivotArea dataOnly="0" labelOnly="1" outline="0" fieldPosition="0">
        <references count="3">
          <reference field="11" count="1" selected="0">
            <x v="194"/>
          </reference>
          <reference field="14" count="1" selected="0">
            <x v="188"/>
          </reference>
          <reference field="18" count="1">
            <x v="0"/>
          </reference>
        </references>
      </pivotArea>
    </format>
    <format dxfId="4133">
      <pivotArea dataOnly="0" labelOnly="1" outline="0" fieldPosition="0">
        <references count="3">
          <reference field="11" count="1" selected="0">
            <x v="194"/>
          </reference>
          <reference field="14" count="1" selected="0">
            <x v="188"/>
          </reference>
          <reference field="18" count="1" defaultSubtotal="1">
            <x v="0"/>
          </reference>
        </references>
      </pivotArea>
    </format>
    <format dxfId="4132">
      <pivotArea dataOnly="0" labelOnly="1" outline="0" fieldPosition="0">
        <references count="3">
          <reference field="11" count="1" selected="0">
            <x v="195"/>
          </reference>
          <reference field="14" count="1" selected="0">
            <x v="396"/>
          </reference>
          <reference field="18" count="1">
            <x v="6"/>
          </reference>
        </references>
      </pivotArea>
    </format>
    <format dxfId="4131">
      <pivotArea dataOnly="0" labelOnly="1" outline="0" fieldPosition="0">
        <references count="3">
          <reference field="11" count="1" selected="0">
            <x v="195"/>
          </reference>
          <reference field="14" count="1" selected="0">
            <x v="396"/>
          </reference>
          <reference field="18" count="1" defaultSubtotal="1">
            <x v="6"/>
          </reference>
        </references>
      </pivotArea>
    </format>
    <format dxfId="4130">
      <pivotArea dataOnly="0" labelOnly="1" outline="0" fieldPosition="0">
        <references count="3">
          <reference field="11" count="1" selected="0">
            <x v="196"/>
          </reference>
          <reference field="14" count="1" selected="0">
            <x v="25"/>
          </reference>
          <reference field="18" count="1">
            <x v="5"/>
          </reference>
        </references>
      </pivotArea>
    </format>
    <format dxfId="4129">
      <pivotArea dataOnly="0" labelOnly="1" outline="0" fieldPosition="0">
        <references count="3">
          <reference field="11" count="1" selected="0">
            <x v="196"/>
          </reference>
          <reference field="14" count="1" selected="0">
            <x v="25"/>
          </reference>
          <reference field="18" count="1" defaultSubtotal="1">
            <x v="5"/>
          </reference>
        </references>
      </pivotArea>
    </format>
    <format dxfId="4128">
      <pivotArea dataOnly="0" labelOnly="1" outline="0" fieldPosition="0">
        <references count="3">
          <reference field="11" count="1" selected="0">
            <x v="197"/>
          </reference>
          <reference field="14" count="1" selected="0">
            <x v="26"/>
          </reference>
          <reference field="18" count="1">
            <x v="5"/>
          </reference>
        </references>
      </pivotArea>
    </format>
    <format dxfId="4127">
      <pivotArea dataOnly="0" labelOnly="1" outline="0" fieldPosition="0">
        <references count="3">
          <reference field="11" count="1" selected="0">
            <x v="197"/>
          </reference>
          <reference field="14" count="1" selected="0">
            <x v="26"/>
          </reference>
          <reference field="18" count="1" defaultSubtotal="1">
            <x v="5"/>
          </reference>
        </references>
      </pivotArea>
    </format>
    <format dxfId="4126">
      <pivotArea dataOnly="0" labelOnly="1" outline="0" fieldPosition="0">
        <references count="3">
          <reference field="11" count="1" selected="0">
            <x v="198"/>
          </reference>
          <reference field="14" count="1" selected="0">
            <x v="43"/>
          </reference>
          <reference field="18" count="1">
            <x v="27"/>
          </reference>
        </references>
      </pivotArea>
    </format>
    <format dxfId="4125">
      <pivotArea dataOnly="0" labelOnly="1" outline="0" fieldPosition="0">
        <references count="3">
          <reference field="11" count="1" selected="0">
            <x v="198"/>
          </reference>
          <reference field="14" count="1" selected="0">
            <x v="43"/>
          </reference>
          <reference field="18" count="1" defaultSubtotal="1">
            <x v="27"/>
          </reference>
        </references>
      </pivotArea>
    </format>
    <format dxfId="4124">
      <pivotArea dataOnly="0" labelOnly="1" outline="0" fieldPosition="0">
        <references count="3">
          <reference field="11" count="1" selected="0">
            <x v="199"/>
          </reference>
          <reference field="14" count="1" selected="0">
            <x v="113"/>
          </reference>
          <reference field="18" count="1">
            <x v="19"/>
          </reference>
        </references>
      </pivotArea>
    </format>
    <format dxfId="4123">
      <pivotArea dataOnly="0" labelOnly="1" outline="0" fieldPosition="0">
        <references count="3">
          <reference field="11" count="1" selected="0">
            <x v="199"/>
          </reference>
          <reference field="14" count="1" selected="0">
            <x v="113"/>
          </reference>
          <reference field="18" count="1" defaultSubtotal="1">
            <x v="19"/>
          </reference>
        </references>
      </pivotArea>
    </format>
    <format dxfId="4122">
      <pivotArea dataOnly="0" labelOnly="1" outline="0" fieldPosition="0">
        <references count="3">
          <reference field="11" count="1" selected="0">
            <x v="200"/>
          </reference>
          <reference field="14" count="1" selected="0">
            <x v="280"/>
          </reference>
          <reference field="18" count="1">
            <x v="0"/>
          </reference>
        </references>
      </pivotArea>
    </format>
    <format dxfId="4121">
      <pivotArea dataOnly="0" labelOnly="1" outline="0" fieldPosition="0">
        <references count="3">
          <reference field="11" count="1" selected="0">
            <x v="200"/>
          </reference>
          <reference field="14" count="1" selected="0">
            <x v="280"/>
          </reference>
          <reference field="18" count="1" defaultSubtotal="1">
            <x v="0"/>
          </reference>
        </references>
      </pivotArea>
    </format>
    <format dxfId="4120">
      <pivotArea dataOnly="0" labelOnly="1" outline="0" fieldPosition="0">
        <references count="3">
          <reference field="11" count="1" selected="0">
            <x v="201"/>
          </reference>
          <reference field="14" count="1" selected="0">
            <x v="305"/>
          </reference>
          <reference field="18" count="1">
            <x v="2"/>
          </reference>
        </references>
      </pivotArea>
    </format>
    <format dxfId="4119">
      <pivotArea dataOnly="0" labelOnly="1" outline="0" fieldPosition="0">
        <references count="3">
          <reference field="11" count="1" selected="0">
            <x v="201"/>
          </reference>
          <reference field="14" count="1" selected="0">
            <x v="305"/>
          </reference>
          <reference field="18" count="1" defaultSubtotal="1">
            <x v="2"/>
          </reference>
        </references>
      </pivotArea>
    </format>
    <format dxfId="4118">
      <pivotArea dataOnly="0" labelOnly="1" outline="0" fieldPosition="0">
        <references count="3">
          <reference field="11" count="1" selected="0">
            <x v="202"/>
          </reference>
          <reference field="14" count="1" selected="0">
            <x v="409"/>
          </reference>
          <reference field="18" count="1">
            <x v="2"/>
          </reference>
        </references>
      </pivotArea>
    </format>
    <format dxfId="4117">
      <pivotArea dataOnly="0" labelOnly="1" outline="0" fieldPosition="0">
        <references count="3">
          <reference field="11" count="1" selected="0">
            <x v="202"/>
          </reference>
          <reference field="14" count="1" selected="0">
            <x v="409"/>
          </reference>
          <reference field="18" count="1" defaultSubtotal="1">
            <x v="2"/>
          </reference>
        </references>
      </pivotArea>
    </format>
    <format dxfId="4116">
      <pivotArea dataOnly="0" labelOnly="1" outline="0" fieldPosition="0">
        <references count="3">
          <reference field="11" count="1" selected="0">
            <x v="203"/>
          </reference>
          <reference field="14" count="1" selected="0">
            <x v="28"/>
          </reference>
          <reference field="18" count="1">
            <x v="6"/>
          </reference>
        </references>
      </pivotArea>
    </format>
    <format dxfId="4115">
      <pivotArea dataOnly="0" labelOnly="1" outline="0" fieldPosition="0">
        <references count="3">
          <reference field="11" count="1" selected="0">
            <x v="203"/>
          </reference>
          <reference field="14" count="1" selected="0">
            <x v="28"/>
          </reference>
          <reference field="18" count="1" defaultSubtotal="1">
            <x v="6"/>
          </reference>
        </references>
      </pivotArea>
    </format>
    <format dxfId="4114">
      <pivotArea dataOnly="0" labelOnly="1" outline="0" fieldPosition="0">
        <references count="3">
          <reference field="11" count="1" selected="0">
            <x v="204"/>
          </reference>
          <reference field="14" count="1" selected="0">
            <x v="269"/>
          </reference>
          <reference field="18" count="2">
            <x v="2"/>
            <x v="3"/>
          </reference>
        </references>
      </pivotArea>
    </format>
    <format dxfId="4113">
      <pivotArea dataOnly="0" labelOnly="1" outline="0" fieldPosition="0">
        <references count="3">
          <reference field="11" count="1" selected="0">
            <x v="204"/>
          </reference>
          <reference field="14" count="1" selected="0">
            <x v="269"/>
          </reference>
          <reference field="18" count="2" defaultSubtotal="1">
            <x v="2"/>
            <x v="3"/>
          </reference>
        </references>
      </pivotArea>
    </format>
    <format dxfId="4112">
      <pivotArea dataOnly="0" labelOnly="1" outline="0" fieldPosition="0">
        <references count="3">
          <reference field="11" count="1" selected="0">
            <x v="205"/>
          </reference>
          <reference field="14" count="1" selected="0">
            <x v="185"/>
          </reference>
          <reference field="18" count="1">
            <x v="1"/>
          </reference>
        </references>
      </pivotArea>
    </format>
    <format dxfId="4111">
      <pivotArea dataOnly="0" labelOnly="1" outline="0" fieldPosition="0">
        <references count="3">
          <reference field="11" count="1" selected="0">
            <x v="205"/>
          </reference>
          <reference field="14" count="1" selected="0">
            <x v="185"/>
          </reference>
          <reference field="18" count="1" defaultSubtotal="1">
            <x v="1"/>
          </reference>
        </references>
      </pivotArea>
    </format>
    <format dxfId="4110">
      <pivotArea dataOnly="0" labelOnly="1" outline="0" fieldPosition="0">
        <references count="3">
          <reference field="11" count="1" selected="0">
            <x v="206"/>
          </reference>
          <reference field="14" count="1" selected="0">
            <x v="54"/>
          </reference>
          <reference field="18" count="1">
            <x v="2"/>
          </reference>
        </references>
      </pivotArea>
    </format>
    <format dxfId="4109">
      <pivotArea dataOnly="0" labelOnly="1" outline="0" fieldPosition="0">
        <references count="3">
          <reference field="11" count="1" selected="0">
            <x v="206"/>
          </reference>
          <reference field="14" count="1" selected="0">
            <x v="54"/>
          </reference>
          <reference field="18" count="1" defaultSubtotal="1">
            <x v="2"/>
          </reference>
        </references>
      </pivotArea>
    </format>
    <format dxfId="4108">
      <pivotArea dataOnly="0" labelOnly="1" outline="0" fieldPosition="0">
        <references count="3">
          <reference field="11" count="1" selected="0">
            <x v="207"/>
          </reference>
          <reference field="14" count="1" selected="0">
            <x v="356"/>
          </reference>
          <reference field="18" count="2">
            <x v="8"/>
            <x v="14"/>
          </reference>
        </references>
      </pivotArea>
    </format>
    <format dxfId="4107">
      <pivotArea dataOnly="0" labelOnly="1" outline="0" fieldPosition="0">
        <references count="3">
          <reference field="11" count="1" selected="0">
            <x v="207"/>
          </reference>
          <reference field="14" count="1" selected="0">
            <x v="356"/>
          </reference>
          <reference field="18" count="2" defaultSubtotal="1">
            <x v="8"/>
            <x v="14"/>
          </reference>
        </references>
      </pivotArea>
    </format>
    <format dxfId="4106">
      <pivotArea dataOnly="0" labelOnly="1" outline="0" fieldPosition="0">
        <references count="3">
          <reference field="11" count="1" selected="0">
            <x v="208"/>
          </reference>
          <reference field="14" count="1" selected="0">
            <x v="186"/>
          </reference>
          <reference field="18" count="2">
            <x v="0"/>
            <x v="7"/>
          </reference>
        </references>
      </pivotArea>
    </format>
    <format dxfId="4105">
      <pivotArea dataOnly="0" labelOnly="1" outline="0" fieldPosition="0">
        <references count="3">
          <reference field="11" count="1" selected="0">
            <x v="208"/>
          </reference>
          <reference field="14" count="1" selected="0">
            <x v="186"/>
          </reference>
          <reference field="18" count="2" defaultSubtotal="1">
            <x v="0"/>
            <x v="7"/>
          </reference>
        </references>
      </pivotArea>
    </format>
    <format dxfId="4104">
      <pivotArea dataOnly="0" labelOnly="1" outline="0" fieldPosition="0">
        <references count="3">
          <reference field="11" count="1" selected="0">
            <x v="209"/>
          </reference>
          <reference field="14" count="1" selected="0">
            <x v="37"/>
          </reference>
          <reference field="18" count="1">
            <x v="6"/>
          </reference>
        </references>
      </pivotArea>
    </format>
    <format dxfId="4103">
      <pivotArea dataOnly="0" labelOnly="1" outline="0" fieldPosition="0">
        <references count="3">
          <reference field="11" count="1" selected="0">
            <x v="209"/>
          </reference>
          <reference field="14" count="1" selected="0">
            <x v="37"/>
          </reference>
          <reference field="18" count="1" defaultSubtotal="1">
            <x v="6"/>
          </reference>
        </references>
      </pivotArea>
    </format>
    <format dxfId="4102">
      <pivotArea dataOnly="0" labelOnly="1" outline="0" fieldPosition="0">
        <references count="3">
          <reference field="11" count="1" selected="0">
            <x v="210"/>
          </reference>
          <reference field="14" count="1" selected="0">
            <x v="273"/>
          </reference>
          <reference field="18" count="1">
            <x v="0"/>
          </reference>
        </references>
      </pivotArea>
    </format>
    <format dxfId="4101">
      <pivotArea dataOnly="0" labelOnly="1" outline="0" fieldPosition="0">
        <references count="3">
          <reference field="11" count="1" selected="0">
            <x v="210"/>
          </reference>
          <reference field="14" count="1" selected="0">
            <x v="273"/>
          </reference>
          <reference field="18" count="1" defaultSubtotal="1">
            <x v="0"/>
          </reference>
        </references>
      </pivotArea>
    </format>
    <format dxfId="4100">
      <pivotArea dataOnly="0" labelOnly="1" outline="0" fieldPosition="0">
        <references count="3">
          <reference field="11" count="1" selected="0">
            <x v="211"/>
          </reference>
          <reference field="14" count="1" selected="0">
            <x v="142"/>
          </reference>
          <reference field="18" count="1">
            <x v="2"/>
          </reference>
        </references>
      </pivotArea>
    </format>
    <format dxfId="4099">
      <pivotArea dataOnly="0" labelOnly="1" outline="0" fieldPosition="0">
        <references count="3">
          <reference field="11" count="1" selected="0">
            <x v="211"/>
          </reference>
          <reference field="14" count="1" selected="0">
            <x v="142"/>
          </reference>
          <reference field="18" count="1" defaultSubtotal="1">
            <x v="2"/>
          </reference>
        </references>
      </pivotArea>
    </format>
    <format dxfId="4098">
      <pivotArea dataOnly="0" labelOnly="1" outline="0" fieldPosition="0">
        <references count="3">
          <reference field="11" count="1" selected="0">
            <x v="212"/>
          </reference>
          <reference field="14" count="1" selected="0">
            <x v="294"/>
          </reference>
          <reference field="18" count="1">
            <x v="1"/>
          </reference>
        </references>
      </pivotArea>
    </format>
    <format dxfId="4097">
      <pivotArea dataOnly="0" labelOnly="1" outline="0" fieldPosition="0">
        <references count="3">
          <reference field="11" count="1" selected="0">
            <x v="212"/>
          </reference>
          <reference field="14" count="1" selected="0">
            <x v="294"/>
          </reference>
          <reference field="18" count="1" defaultSubtotal="1">
            <x v="1"/>
          </reference>
        </references>
      </pivotArea>
    </format>
    <format dxfId="4096">
      <pivotArea dataOnly="0" labelOnly="1" outline="0" fieldPosition="0">
        <references count="3">
          <reference field="11" count="1" selected="0">
            <x v="213"/>
          </reference>
          <reference field="14" count="1" selected="0">
            <x v="5"/>
          </reference>
          <reference field="18" count="1">
            <x v="3"/>
          </reference>
        </references>
      </pivotArea>
    </format>
    <format dxfId="4095">
      <pivotArea dataOnly="0" labelOnly="1" outline="0" fieldPosition="0">
        <references count="3">
          <reference field="11" count="1" selected="0">
            <x v="213"/>
          </reference>
          <reference field="14" count="1" selected="0">
            <x v="5"/>
          </reference>
          <reference field="18" count="1" defaultSubtotal="1">
            <x v="3"/>
          </reference>
        </references>
      </pivotArea>
    </format>
    <format dxfId="4094">
      <pivotArea dataOnly="0" labelOnly="1" outline="0" fieldPosition="0">
        <references count="3">
          <reference field="11" count="1" selected="0">
            <x v="214"/>
          </reference>
          <reference field="14" count="1" selected="0">
            <x v="98"/>
          </reference>
          <reference field="18" count="4">
            <x v="1"/>
            <x v="2"/>
            <x v="12"/>
            <x v="27"/>
          </reference>
        </references>
      </pivotArea>
    </format>
    <format dxfId="4093">
      <pivotArea dataOnly="0" labelOnly="1" outline="0" fieldPosition="0">
        <references count="3">
          <reference field="11" count="1" selected="0">
            <x v="214"/>
          </reference>
          <reference field="14" count="1" selected="0">
            <x v="98"/>
          </reference>
          <reference field="18" count="4" defaultSubtotal="1">
            <x v="1"/>
            <x v="2"/>
            <x v="12"/>
            <x v="27"/>
          </reference>
        </references>
      </pivotArea>
    </format>
    <format dxfId="4092">
      <pivotArea dataOnly="0" labelOnly="1" outline="0" fieldPosition="0">
        <references count="3">
          <reference field="11" count="1" selected="0">
            <x v="215"/>
          </reference>
          <reference field="14" count="1" selected="0">
            <x v="158"/>
          </reference>
          <reference field="18" count="1">
            <x v="2"/>
          </reference>
        </references>
      </pivotArea>
    </format>
    <format dxfId="4091">
      <pivotArea dataOnly="0" labelOnly="1" outline="0" fieldPosition="0">
        <references count="3">
          <reference field="11" count="1" selected="0">
            <x v="215"/>
          </reference>
          <reference field="14" count="1" selected="0">
            <x v="158"/>
          </reference>
          <reference field="18" count="1" defaultSubtotal="1">
            <x v="2"/>
          </reference>
        </references>
      </pivotArea>
    </format>
    <format dxfId="4090">
      <pivotArea dataOnly="0" labelOnly="1" outline="0" fieldPosition="0">
        <references count="3">
          <reference field="11" count="1" selected="0">
            <x v="216"/>
          </reference>
          <reference field="14" count="1" selected="0">
            <x v="338"/>
          </reference>
          <reference field="18" count="1">
            <x v="2"/>
          </reference>
        </references>
      </pivotArea>
    </format>
    <format dxfId="4089">
      <pivotArea dataOnly="0" labelOnly="1" outline="0" fieldPosition="0">
        <references count="3">
          <reference field="11" count="1" selected="0">
            <x v="216"/>
          </reference>
          <reference field="14" count="1" selected="0">
            <x v="338"/>
          </reference>
          <reference field="18" count="1" defaultSubtotal="1">
            <x v="2"/>
          </reference>
        </references>
      </pivotArea>
    </format>
    <format dxfId="4088">
      <pivotArea dataOnly="0" labelOnly="1" outline="0" fieldPosition="0">
        <references count="3">
          <reference field="11" count="1" selected="0">
            <x v="217"/>
          </reference>
          <reference field="14" count="1" selected="0">
            <x v="438"/>
          </reference>
          <reference field="18" count="1">
            <x v="19"/>
          </reference>
        </references>
      </pivotArea>
    </format>
    <format dxfId="4087">
      <pivotArea dataOnly="0" labelOnly="1" outline="0" fieldPosition="0">
        <references count="3">
          <reference field="11" count="1" selected="0">
            <x v="217"/>
          </reference>
          <reference field="14" count="1" selected="0">
            <x v="438"/>
          </reference>
          <reference field="18" count="1" defaultSubtotal="1">
            <x v="19"/>
          </reference>
        </references>
      </pivotArea>
    </format>
    <format dxfId="4086">
      <pivotArea dataOnly="0" labelOnly="1" outline="0" fieldPosition="0">
        <references count="3">
          <reference field="11" count="1" selected="0">
            <x v="218"/>
          </reference>
          <reference field="14" count="1" selected="0">
            <x v="429"/>
          </reference>
          <reference field="18" count="1">
            <x v="19"/>
          </reference>
        </references>
      </pivotArea>
    </format>
    <format dxfId="4085">
      <pivotArea dataOnly="0" labelOnly="1" outline="0" fieldPosition="0">
        <references count="3">
          <reference field="11" count="1" selected="0">
            <x v="218"/>
          </reference>
          <reference field="14" count="1" selected="0">
            <x v="429"/>
          </reference>
          <reference field="18" count="1" defaultSubtotal="1">
            <x v="19"/>
          </reference>
        </references>
      </pivotArea>
    </format>
    <format dxfId="4084">
      <pivotArea dataOnly="0" labelOnly="1" outline="0" fieldPosition="0">
        <references count="3">
          <reference field="11" count="1" selected="0">
            <x v="219"/>
          </reference>
          <reference field="14" count="1" selected="0">
            <x v="431"/>
          </reference>
          <reference field="18" count="1">
            <x v="19"/>
          </reference>
        </references>
      </pivotArea>
    </format>
    <format dxfId="4083">
      <pivotArea dataOnly="0" labelOnly="1" outline="0" fieldPosition="0">
        <references count="3">
          <reference field="11" count="1" selected="0">
            <x v="219"/>
          </reference>
          <reference field="14" count="1" selected="0">
            <x v="431"/>
          </reference>
          <reference field="18" count="1" defaultSubtotal="1">
            <x v="19"/>
          </reference>
        </references>
      </pivotArea>
    </format>
    <format dxfId="4082">
      <pivotArea dataOnly="0" labelOnly="1" outline="0" fieldPosition="0">
        <references count="3">
          <reference field="11" count="1" selected="0">
            <x v="220"/>
          </reference>
          <reference field="14" count="1" selected="0">
            <x v="430"/>
          </reference>
          <reference field="18" count="1">
            <x v="19"/>
          </reference>
        </references>
      </pivotArea>
    </format>
    <format dxfId="4081">
      <pivotArea dataOnly="0" labelOnly="1" outline="0" fieldPosition="0">
        <references count="3">
          <reference field="11" count="1" selected="0">
            <x v="220"/>
          </reference>
          <reference field="14" count="1" selected="0">
            <x v="430"/>
          </reference>
          <reference field="18" count="1" defaultSubtotal="1">
            <x v="19"/>
          </reference>
        </references>
      </pivotArea>
    </format>
    <format dxfId="4080">
      <pivotArea dataOnly="0" labelOnly="1" outline="0" fieldPosition="0">
        <references count="3">
          <reference field="11" count="1" selected="0">
            <x v="221"/>
          </reference>
          <reference field="14" count="1" selected="0">
            <x v="427"/>
          </reference>
          <reference field="18" count="1">
            <x v="19"/>
          </reference>
        </references>
      </pivotArea>
    </format>
    <format dxfId="4079">
      <pivotArea dataOnly="0" labelOnly="1" outline="0" fieldPosition="0">
        <references count="3">
          <reference field="11" count="1" selected="0">
            <x v="221"/>
          </reference>
          <reference field="14" count="1" selected="0">
            <x v="427"/>
          </reference>
          <reference field="18" count="1" defaultSubtotal="1">
            <x v="19"/>
          </reference>
        </references>
      </pivotArea>
    </format>
    <format dxfId="4078">
      <pivotArea dataOnly="0" labelOnly="1" outline="0" fieldPosition="0">
        <references count="3">
          <reference field="11" count="1" selected="0">
            <x v="222"/>
          </reference>
          <reference field="14" count="1" selected="0">
            <x v="426"/>
          </reference>
          <reference field="18" count="1">
            <x v="19"/>
          </reference>
        </references>
      </pivotArea>
    </format>
    <format dxfId="4077">
      <pivotArea dataOnly="0" labelOnly="1" outline="0" fieldPosition="0">
        <references count="3">
          <reference field="11" count="1" selected="0">
            <x v="222"/>
          </reference>
          <reference field="14" count="1" selected="0">
            <x v="426"/>
          </reference>
          <reference field="18" count="1" defaultSubtotal="1">
            <x v="19"/>
          </reference>
        </references>
      </pivotArea>
    </format>
    <format dxfId="4076">
      <pivotArea dataOnly="0" labelOnly="1" outline="0" fieldPosition="0">
        <references count="3">
          <reference field="11" count="1" selected="0">
            <x v="223"/>
          </reference>
          <reference field="14" count="1" selected="0">
            <x v="416"/>
          </reference>
          <reference field="18" count="1">
            <x v="19"/>
          </reference>
        </references>
      </pivotArea>
    </format>
    <format dxfId="4075">
      <pivotArea dataOnly="0" labelOnly="1" outline="0" fieldPosition="0">
        <references count="3">
          <reference field="11" count="1" selected="0">
            <x v="223"/>
          </reference>
          <reference field="14" count="1" selected="0">
            <x v="416"/>
          </reference>
          <reference field="18" count="1" defaultSubtotal="1">
            <x v="19"/>
          </reference>
        </references>
      </pivotArea>
    </format>
    <format dxfId="4074">
      <pivotArea dataOnly="0" labelOnly="1" outline="0" fieldPosition="0">
        <references count="3">
          <reference field="11" count="1" selected="0">
            <x v="224"/>
          </reference>
          <reference field="14" count="1" selected="0">
            <x v="300"/>
          </reference>
          <reference field="18" count="1">
            <x v="6"/>
          </reference>
        </references>
      </pivotArea>
    </format>
    <format dxfId="4073">
      <pivotArea dataOnly="0" labelOnly="1" outline="0" fieldPosition="0">
        <references count="3">
          <reference field="11" count="1" selected="0">
            <x v="224"/>
          </reference>
          <reference field="14" count="1" selected="0">
            <x v="300"/>
          </reference>
          <reference field="18" count="1" defaultSubtotal="1">
            <x v="6"/>
          </reference>
        </references>
      </pivotArea>
    </format>
    <format dxfId="4072">
      <pivotArea dataOnly="0" labelOnly="1" outline="0" fieldPosition="0">
        <references count="3">
          <reference field="11" count="1" selected="0">
            <x v="225"/>
          </reference>
          <reference field="14" count="1" selected="0">
            <x v="97"/>
          </reference>
          <reference field="18" count="1">
            <x v="19"/>
          </reference>
        </references>
      </pivotArea>
    </format>
    <format dxfId="4071">
      <pivotArea dataOnly="0" labelOnly="1" outline="0" fieldPosition="0">
        <references count="3">
          <reference field="11" count="1" selected="0">
            <x v="225"/>
          </reference>
          <reference field="14" count="1" selected="0">
            <x v="97"/>
          </reference>
          <reference field="18" count="1" defaultSubtotal="1">
            <x v="19"/>
          </reference>
        </references>
      </pivotArea>
    </format>
    <format dxfId="4070">
      <pivotArea dataOnly="0" labelOnly="1" outline="0" fieldPosition="0">
        <references count="3">
          <reference field="11" count="1" selected="0">
            <x v="226"/>
          </reference>
          <reference field="14" count="1" selected="0">
            <x v="72"/>
          </reference>
          <reference field="18" count="1">
            <x v="19"/>
          </reference>
        </references>
      </pivotArea>
    </format>
    <format dxfId="4069">
      <pivotArea dataOnly="0" labelOnly="1" outline="0" fieldPosition="0">
        <references count="3">
          <reference field="11" count="1" selected="0">
            <x v="226"/>
          </reference>
          <reference field="14" count="1" selected="0">
            <x v="72"/>
          </reference>
          <reference field="18" count="1" defaultSubtotal="1">
            <x v="19"/>
          </reference>
        </references>
      </pivotArea>
    </format>
    <format dxfId="4068">
      <pivotArea dataOnly="0" labelOnly="1" outline="0" fieldPosition="0">
        <references count="3">
          <reference field="11" count="1" selected="0">
            <x v="227"/>
          </reference>
          <reference field="14" count="1" selected="0">
            <x v="420"/>
          </reference>
          <reference field="18" count="1">
            <x v="19"/>
          </reference>
        </references>
      </pivotArea>
    </format>
    <format dxfId="4067">
      <pivotArea dataOnly="0" labelOnly="1" outline="0" fieldPosition="0">
        <references count="3">
          <reference field="11" count="1" selected="0">
            <x v="227"/>
          </reference>
          <reference field="14" count="1" selected="0">
            <x v="420"/>
          </reference>
          <reference field="18" count="1" defaultSubtotal="1">
            <x v="19"/>
          </reference>
        </references>
      </pivotArea>
    </format>
    <format dxfId="4066">
      <pivotArea dataOnly="0" labelOnly="1" outline="0" fieldPosition="0">
        <references count="3">
          <reference field="11" count="1" selected="0">
            <x v="228"/>
          </reference>
          <reference field="14" count="1" selected="0">
            <x v="313"/>
          </reference>
          <reference field="18" count="1">
            <x v="19"/>
          </reference>
        </references>
      </pivotArea>
    </format>
    <format dxfId="4065">
      <pivotArea dataOnly="0" labelOnly="1" outline="0" fieldPosition="0">
        <references count="3">
          <reference field="11" count="1" selected="0">
            <x v="228"/>
          </reference>
          <reference field="14" count="1" selected="0">
            <x v="313"/>
          </reference>
          <reference field="18" count="1" defaultSubtotal="1">
            <x v="19"/>
          </reference>
        </references>
      </pivotArea>
    </format>
    <format dxfId="4064">
      <pivotArea dataOnly="0" labelOnly="1" outline="0" fieldPosition="0">
        <references count="3">
          <reference field="11" count="1" selected="0">
            <x v="229"/>
          </reference>
          <reference field="14" count="1" selected="0">
            <x v="307"/>
          </reference>
          <reference field="18" count="1">
            <x v="19"/>
          </reference>
        </references>
      </pivotArea>
    </format>
    <format dxfId="4063">
      <pivotArea dataOnly="0" labelOnly="1" outline="0" fieldPosition="0">
        <references count="3">
          <reference field="11" count="1" selected="0">
            <x v="229"/>
          </reference>
          <reference field="14" count="1" selected="0">
            <x v="307"/>
          </reference>
          <reference field="18" count="1" defaultSubtotal="1">
            <x v="19"/>
          </reference>
        </references>
      </pivotArea>
    </format>
    <format dxfId="4062">
      <pivotArea dataOnly="0" labelOnly="1" outline="0" fieldPosition="0">
        <references count="3">
          <reference field="11" count="1" selected="0">
            <x v="230"/>
          </reference>
          <reference field="14" count="1" selected="0">
            <x v="13"/>
          </reference>
          <reference field="18" count="1">
            <x v="19"/>
          </reference>
        </references>
      </pivotArea>
    </format>
    <format dxfId="4061">
      <pivotArea dataOnly="0" labelOnly="1" outline="0" fieldPosition="0">
        <references count="3">
          <reference field="11" count="1" selected="0">
            <x v="230"/>
          </reference>
          <reference field="14" count="1" selected="0">
            <x v="13"/>
          </reference>
          <reference field="18" count="1" defaultSubtotal="1">
            <x v="19"/>
          </reference>
        </references>
      </pivotArea>
    </format>
    <format dxfId="4060">
      <pivotArea dataOnly="0" labelOnly="1" outline="0" fieldPosition="0">
        <references count="3">
          <reference field="11" count="1" selected="0">
            <x v="231"/>
          </reference>
          <reference field="14" count="1" selected="0">
            <x v="96"/>
          </reference>
          <reference field="18" count="1">
            <x v="19"/>
          </reference>
        </references>
      </pivotArea>
    </format>
    <format dxfId="4059">
      <pivotArea dataOnly="0" labelOnly="1" outline="0" fieldPosition="0">
        <references count="3">
          <reference field="11" count="1" selected="0">
            <x v="231"/>
          </reference>
          <reference field="14" count="1" selected="0">
            <x v="96"/>
          </reference>
          <reference field="18" count="1" defaultSubtotal="1">
            <x v="19"/>
          </reference>
        </references>
      </pivotArea>
    </format>
    <format dxfId="4058">
      <pivotArea dataOnly="0" labelOnly="1" outline="0" fieldPosition="0">
        <references count="3">
          <reference field="11" count="1" selected="0">
            <x v="232"/>
          </reference>
          <reference field="14" count="1" selected="0">
            <x v="411"/>
          </reference>
          <reference field="18" count="1">
            <x v="19"/>
          </reference>
        </references>
      </pivotArea>
    </format>
    <format dxfId="4057">
      <pivotArea dataOnly="0" labelOnly="1" outline="0" fieldPosition="0">
        <references count="3">
          <reference field="11" count="1" selected="0">
            <x v="232"/>
          </reference>
          <reference field="14" count="1" selected="0">
            <x v="411"/>
          </reference>
          <reference field="18" count="1" defaultSubtotal="1">
            <x v="19"/>
          </reference>
        </references>
      </pivotArea>
    </format>
    <format dxfId="4056">
      <pivotArea dataOnly="0" labelOnly="1" outline="0" fieldPosition="0">
        <references count="3">
          <reference field="11" count="1" selected="0">
            <x v="233"/>
          </reference>
          <reference field="14" count="1" selected="0">
            <x v="449"/>
          </reference>
          <reference field="18" count="1">
            <x v="19"/>
          </reference>
        </references>
      </pivotArea>
    </format>
    <format dxfId="4055">
      <pivotArea dataOnly="0" labelOnly="1" outline="0" fieldPosition="0">
        <references count="3">
          <reference field="11" count="1" selected="0">
            <x v="233"/>
          </reference>
          <reference field="14" count="1" selected="0">
            <x v="449"/>
          </reference>
          <reference field="18" count="1" defaultSubtotal="1">
            <x v="19"/>
          </reference>
        </references>
      </pivotArea>
    </format>
    <format dxfId="4054">
      <pivotArea dataOnly="0" labelOnly="1" outline="0" fieldPosition="0">
        <references count="3">
          <reference field="11" count="1" selected="0">
            <x v="234"/>
          </reference>
          <reference field="14" count="1" selected="0">
            <x v="277"/>
          </reference>
          <reference field="18" count="1">
            <x v="0"/>
          </reference>
        </references>
      </pivotArea>
    </format>
    <format dxfId="4053">
      <pivotArea dataOnly="0" labelOnly="1" outline="0" fieldPosition="0">
        <references count="3">
          <reference field="11" count="1" selected="0">
            <x v="234"/>
          </reference>
          <reference field="14" count="1" selected="0">
            <x v="277"/>
          </reference>
          <reference field="18" count="1" defaultSubtotal="1">
            <x v="0"/>
          </reference>
        </references>
      </pivotArea>
    </format>
    <format dxfId="4052">
      <pivotArea dataOnly="0" labelOnly="1" outline="0" fieldPosition="0">
        <references count="3">
          <reference field="11" count="1" selected="0">
            <x v="235"/>
          </reference>
          <reference field="14" count="1" selected="0">
            <x v="272"/>
          </reference>
          <reference field="18" count="1">
            <x v="0"/>
          </reference>
        </references>
      </pivotArea>
    </format>
    <format dxfId="4051">
      <pivotArea dataOnly="0" labelOnly="1" outline="0" fieldPosition="0">
        <references count="3">
          <reference field="11" count="1" selected="0">
            <x v="235"/>
          </reference>
          <reference field="14" count="1" selected="0">
            <x v="272"/>
          </reference>
          <reference field="18" count="1" defaultSubtotal="1">
            <x v="0"/>
          </reference>
        </references>
      </pivotArea>
    </format>
    <format dxfId="4050">
      <pivotArea dataOnly="0" labelOnly="1" outline="0" fieldPosition="0">
        <references count="3">
          <reference field="11" count="1" selected="0">
            <x v="236"/>
          </reference>
          <reference field="14" count="1" selected="0">
            <x v="403"/>
          </reference>
          <reference field="18" count="2">
            <x v="0"/>
            <x v="2"/>
          </reference>
        </references>
      </pivotArea>
    </format>
    <format dxfId="4049">
      <pivotArea dataOnly="0" labelOnly="1" outline="0" fieldPosition="0">
        <references count="3">
          <reference field="11" count="1" selected="0">
            <x v="236"/>
          </reference>
          <reference field="14" count="1" selected="0">
            <x v="403"/>
          </reference>
          <reference field="18" count="2" defaultSubtotal="1">
            <x v="0"/>
            <x v="2"/>
          </reference>
        </references>
      </pivotArea>
    </format>
    <format dxfId="4048">
      <pivotArea dataOnly="0" labelOnly="1" outline="0" fieldPosition="0">
        <references count="3">
          <reference field="11" count="1" selected="0">
            <x v="237"/>
          </reference>
          <reference field="14" count="1" selected="0">
            <x v="377"/>
          </reference>
          <reference field="18" count="1">
            <x v="19"/>
          </reference>
        </references>
      </pivotArea>
    </format>
    <format dxfId="4047">
      <pivotArea dataOnly="0" labelOnly="1" outline="0" fieldPosition="0">
        <references count="3">
          <reference field="11" count="1" selected="0">
            <x v="237"/>
          </reference>
          <reference field="14" count="1" selected="0">
            <x v="377"/>
          </reference>
          <reference field="18" count="1" defaultSubtotal="1">
            <x v="19"/>
          </reference>
        </references>
      </pivotArea>
    </format>
    <format dxfId="4046">
      <pivotArea dataOnly="0" labelOnly="1" outline="0" fieldPosition="0">
        <references count="3">
          <reference field="11" count="1" selected="0">
            <x v="238"/>
          </reference>
          <reference field="14" count="1" selected="0">
            <x v="339"/>
          </reference>
          <reference field="18" count="1">
            <x v="0"/>
          </reference>
        </references>
      </pivotArea>
    </format>
    <format dxfId="4045">
      <pivotArea dataOnly="0" labelOnly="1" outline="0" fieldPosition="0">
        <references count="3">
          <reference field="11" count="1" selected="0">
            <x v="238"/>
          </reference>
          <reference field="14" count="1" selected="0">
            <x v="339"/>
          </reference>
          <reference field="18" count="1" defaultSubtotal="1">
            <x v="0"/>
          </reference>
        </references>
      </pivotArea>
    </format>
    <format dxfId="4044">
      <pivotArea dataOnly="0" labelOnly="1" outline="0" fieldPosition="0">
        <references count="3">
          <reference field="11" count="1" selected="0">
            <x v="239"/>
          </reference>
          <reference field="14" count="1" selected="0">
            <x v="61"/>
          </reference>
          <reference field="18" count="2">
            <x v="0"/>
            <x v="2"/>
          </reference>
        </references>
      </pivotArea>
    </format>
    <format dxfId="4043">
      <pivotArea dataOnly="0" labelOnly="1" outline="0" fieldPosition="0">
        <references count="3">
          <reference field="11" count="1" selected="0">
            <x v="239"/>
          </reference>
          <reference field="14" count="1" selected="0">
            <x v="61"/>
          </reference>
          <reference field="18" count="2" defaultSubtotal="1">
            <x v="0"/>
            <x v="2"/>
          </reference>
        </references>
      </pivotArea>
    </format>
    <format dxfId="4042">
      <pivotArea dataOnly="0" labelOnly="1" outline="0" fieldPosition="0">
        <references count="3">
          <reference field="11" count="1" selected="0">
            <x v="240"/>
          </reference>
          <reference field="14" count="1" selected="0">
            <x v="201"/>
          </reference>
          <reference field="18" count="1">
            <x v="7"/>
          </reference>
        </references>
      </pivotArea>
    </format>
    <format dxfId="4041">
      <pivotArea dataOnly="0" labelOnly="1" outline="0" fieldPosition="0">
        <references count="3">
          <reference field="11" count="1" selected="0">
            <x v="240"/>
          </reference>
          <reference field="14" count="1" selected="0">
            <x v="201"/>
          </reference>
          <reference field="18" count="1" defaultSubtotal="1">
            <x v="7"/>
          </reference>
        </references>
      </pivotArea>
    </format>
    <format dxfId="4040">
      <pivotArea dataOnly="0" labelOnly="1" outline="0" fieldPosition="0">
        <references count="3">
          <reference field="11" count="1" selected="0">
            <x v="241"/>
          </reference>
          <reference field="14" count="1" selected="0">
            <x v="262"/>
          </reference>
          <reference field="18" count="1">
            <x v="2"/>
          </reference>
        </references>
      </pivotArea>
    </format>
    <format dxfId="4039">
      <pivotArea dataOnly="0" labelOnly="1" outline="0" fieldPosition="0">
        <references count="3">
          <reference field="11" count="1" selected="0">
            <x v="241"/>
          </reference>
          <reference field="14" count="1" selected="0">
            <x v="262"/>
          </reference>
          <reference field="18" count="1" defaultSubtotal="1">
            <x v="2"/>
          </reference>
        </references>
      </pivotArea>
    </format>
    <format dxfId="4038">
      <pivotArea dataOnly="0" labelOnly="1" outline="0" fieldPosition="0">
        <references count="3">
          <reference field="11" count="1" selected="0">
            <x v="242"/>
          </reference>
          <reference field="14" count="1" selected="0">
            <x v="91"/>
          </reference>
          <reference field="18" count="1">
            <x v="3"/>
          </reference>
        </references>
      </pivotArea>
    </format>
    <format dxfId="4037">
      <pivotArea dataOnly="0" labelOnly="1" outline="0" fieldPosition="0">
        <references count="3">
          <reference field="11" count="1" selected="0">
            <x v="242"/>
          </reference>
          <reference field="14" count="1" selected="0">
            <x v="91"/>
          </reference>
          <reference field="18" count="1" defaultSubtotal="1">
            <x v="3"/>
          </reference>
        </references>
      </pivotArea>
    </format>
    <format dxfId="4036">
      <pivotArea dataOnly="0" labelOnly="1" outline="0" fieldPosition="0">
        <references count="3">
          <reference field="11" count="1" selected="0">
            <x v="243"/>
          </reference>
          <reference field="14" count="1" selected="0">
            <x v="264"/>
          </reference>
          <reference field="18" count="1">
            <x v="2"/>
          </reference>
        </references>
      </pivotArea>
    </format>
    <format dxfId="4035">
      <pivotArea dataOnly="0" labelOnly="1" outline="0" fieldPosition="0">
        <references count="3">
          <reference field="11" count="1" selected="0">
            <x v="243"/>
          </reference>
          <reference field="14" count="1" selected="0">
            <x v="264"/>
          </reference>
          <reference field="18" count="1" defaultSubtotal="1">
            <x v="2"/>
          </reference>
        </references>
      </pivotArea>
    </format>
    <format dxfId="4034">
      <pivotArea dataOnly="0" labelOnly="1" outline="0" fieldPosition="0">
        <references count="3">
          <reference field="11" count="1" selected="0">
            <x v="244"/>
          </reference>
          <reference field="14" count="1" selected="0">
            <x v="222"/>
          </reference>
          <reference field="18" count="1">
            <x v="2"/>
          </reference>
        </references>
      </pivotArea>
    </format>
    <format dxfId="4033">
      <pivotArea dataOnly="0" labelOnly="1" outline="0" fieldPosition="0">
        <references count="3">
          <reference field="11" count="1" selected="0">
            <x v="244"/>
          </reference>
          <reference field="14" count="1" selected="0">
            <x v="222"/>
          </reference>
          <reference field="18" count="1" defaultSubtotal="1">
            <x v="2"/>
          </reference>
        </references>
      </pivotArea>
    </format>
    <format dxfId="4032">
      <pivotArea dataOnly="0" labelOnly="1" outline="0" fieldPosition="0">
        <references count="3">
          <reference field="11" count="1" selected="0">
            <x v="245"/>
          </reference>
          <reference field="14" count="1" selected="0">
            <x v="131"/>
          </reference>
          <reference field="18" count="1">
            <x v="2"/>
          </reference>
        </references>
      </pivotArea>
    </format>
    <format dxfId="4031">
      <pivotArea dataOnly="0" labelOnly="1" outline="0" fieldPosition="0">
        <references count="3">
          <reference field="11" count="1" selected="0">
            <x v="245"/>
          </reference>
          <reference field="14" count="1" selected="0">
            <x v="131"/>
          </reference>
          <reference field="18" count="1" defaultSubtotal="1">
            <x v="2"/>
          </reference>
        </references>
      </pivotArea>
    </format>
    <format dxfId="4030">
      <pivotArea dataOnly="0" labelOnly="1" outline="0" fieldPosition="0">
        <references count="3">
          <reference field="11" count="1" selected="0">
            <x v="246"/>
          </reference>
          <reference field="14" count="1" selected="0">
            <x v="418"/>
          </reference>
          <reference field="18" count="1">
            <x v="2"/>
          </reference>
        </references>
      </pivotArea>
    </format>
    <format dxfId="4029">
      <pivotArea dataOnly="0" labelOnly="1" outline="0" fieldPosition="0">
        <references count="3">
          <reference field="11" count="1" selected="0">
            <x v="246"/>
          </reference>
          <reference field="14" count="1" selected="0">
            <x v="418"/>
          </reference>
          <reference field="18" count="1" defaultSubtotal="1">
            <x v="2"/>
          </reference>
        </references>
      </pivotArea>
    </format>
    <format dxfId="4028">
      <pivotArea dataOnly="0" labelOnly="1" outline="0" fieldPosition="0">
        <references count="3">
          <reference field="11" count="1" selected="0">
            <x v="247"/>
          </reference>
          <reference field="14" count="1" selected="0">
            <x v="406"/>
          </reference>
          <reference field="18" count="1">
            <x v="2"/>
          </reference>
        </references>
      </pivotArea>
    </format>
    <format dxfId="4027">
      <pivotArea dataOnly="0" labelOnly="1" outline="0" fieldPosition="0">
        <references count="3">
          <reference field="11" count="1" selected="0">
            <x v="247"/>
          </reference>
          <reference field="14" count="1" selected="0">
            <x v="406"/>
          </reference>
          <reference field="18" count="1" defaultSubtotal="1">
            <x v="2"/>
          </reference>
        </references>
      </pivotArea>
    </format>
    <format dxfId="4026">
      <pivotArea dataOnly="0" labelOnly="1" outline="0" fieldPosition="0">
        <references count="3">
          <reference field="11" count="1" selected="0">
            <x v="248"/>
          </reference>
          <reference field="14" count="1" selected="0">
            <x v="404"/>
          </reference>
          <reference field="18" count="1">
            <x v="2"/>
          </reference>
        </references>
      </pivotArea>
    </format>
    <format dxfId="4025">
      <pivotArea dataOnly="0" labelOnly="1" outline="0" fieldPosition="0">
        <references count="3">
          <reference field="11" count="1" selected="0">
            <x v="248"/>
          </reference>
          <reference field="14" count="1" selected="0">
            <x v="404"/>
          </reference>
          <reference field="18" count="1" defaultSubtotal="1">
            <x v="2"/>
          </reference>
        </references>
      </pivotArea>
    </format>
    <format dxfId="4024">
      <pivotArea dataOnly="0" labelOnly="1" outline="0" fieldPosition="0">
        <references count="3">
          <reference field="11" count="1" selected="0">
            <x v="249"/>
          </reference>
          <reference field="14" count="1" selected="0">
            <x v="402"/>
          </reference>
          <reference field="18" count="1">
            <x v="2"/>
          </reference>
        </references>
      </pivotArea>
    </format>
    <format dxfId="4023">
      <pivotArea dataOnly="0" labelOnly="1" outline="0" fieldPosition="0">
        <references count="3">
          <reference field="11" count="1" selected="0">
            <x v="249"/>
          </reference>
          <reference field="14" count="1" selected="0">
            <x v="402"/>
          </reference>
          <reference field="18" count="1" defaultSubtotal="1">
            <x v="2"/>
          </reference>
        </references>
      </pivotArea>
    </format>
    <format dxfId="4022">
      <pivotArea dataOnly="0" labelOnly="1" outline="0" fieldPosition="0">
        <references count="3">
          <reference field="11" count="1" selected="0">
            <x v="250"/>
          </reference>
          <reference field="14" count="1" selected="0">
            <x v="128"/>
          </reference>
          <reference field="18" count="1">
            <x v="2"/>
          </reference>
        </references>
      </pivotArea>
    </format>
    <format dxfId="4021">
      <pivotArea dataOnly="0" labelOnly="1" outline="0" fieldPosition="0">
        <references count="3">
          <reference field="11" count="1" selected="0">
            <x v="250"/>
          </reference>
          <reference field="14" count="1" selected="0">
            <x v="128"/>
          </reference>
          <reference field="18" count="1" defaultSubtotal="1">
            <x v="2"/>
          </reference>
        </references>
      </pivotArea>
    </format>
    <format dxfId="4020">
      <pivotArea dataOnly="0" labelOnly="1" outline="0" fieldPosition="0">
        <references count="3">
          <reference field="11" count="1" selected="0">
            <x v="251"/>
          </reference>
          <reference field="14" count="1" selected="0">
            <x v="405"/>
          </reference>
          <reference field="18" count="1">
            <x v="2"/>
          </reference>
        </references>
      </pivotArea>
    </format>
    <format dxfId="4019">
      <pivotArea dataOnly="0" labelOnly="1" outline="0" fieldPosition="0">
        <references count="3">
          <reference field="11" count="1" selected="0">
            <x v="251"/>
          </reference>
          <reference field="14" count="1" selected="0">
            <x v="405"/>
          </reference>
          <reference field="18" count="1" defaultSubtotal="1">
            <x v="2"/>
          </reference>
        </references>
      </pivotArea>
    </format>
    <format dxfId="4018">
      <pivotArea dataOnly="0" labelOnly="1" outline="0" fieldPosition="0">
        <references count="3">
          <reference field="11" count="1" selected="0">
            <x v="252"/>
          </reference>
          <reference field="14" count="1" selected="0">
            <x v="86"/>
          </reference>
          <reference field="18" count="1">
            <x v="1"/>
          </reference>
        </references>
      </pivotArea>
    </format>
    <format dxfId="4017">
      <pivotArea dataOnly="0" labelOnly="1" outline="0" fieldPosition="0">
        <references count="3">
          <reference field="11" count="1" selected="0">
            <x v="252"/>
          </reference>
          <reference field="14" count="1" selected="0">
            <x v="86"/>
          </reference>
          <reference field="18" count="1" defaultSubtotal="1">
            <x v="1"/>
          </reference>
        </references>
      </pivotArea>
    </format>
    <format dxfId="4016">
      <pivotArea dataOnly="0" labelOnly="1" outline="0" fieldPosition="0">
        <references count="3">
          <reference field="11" count="1" selected="0">
            <x v="253"/>
          </reference>
          <reference field="14" count="1" selected="0">
            <x v="136"/>
          </reference>
          <reference field="18" count="1">
            <x v="4"/>
          </reference>
        </references>
      </pivotArea>
    </format>
    <format dxfId="4015">
      <pivotArea dataOnly="0" labelOnly="1" outline="0" fieldPosition="0">
        <references count="3">
          <reference field="11" count="1" selected="0">
            <x v="253"/>
          </reference>
          <reference field="14" count="1" selected="0">
            <x v="136"/>
          </reference>
          <reference field="18" count="1" defaultSubtotal="1">
            <x v="4"/>
          </reference>
        </references>
      </pivotArea>
    </format>
    <format dxfId="4014">
      <pivotArea dataOnly="0" labelOnly="1" outline="0" fieldPosition="0">
        <references count="3">
          <reference field="11" count="1" selected="0">
            <x v="254"/>
          </reference>
          <reference field="14" count="1" selected="0">
            <x v="181"/>
          </reference>
          <reference field="18" count="1">
            <x v="14"/>
          </reference>
        </references>
      </pivotArea>
    </format>
    <format dxfId="4013">
      <pivotArea dataOnly="0" labelOnly="1" outline="0" fieldPosition="0">
        <references count="3">
          <reference field="11" count="1" selected="0">
            <x v="254"/>
          </reference>
          <reference field="14" count="1" selected="0">
            <x v="181"/>
          </reference>
          <reference field="18" count="1" defaultSubtotal="1">
            <x v="14"/>
          </reference>
        </references>
      </pivotArea>
    </format>
    <format dxfId="4012">
      <pivotArea dataOnly="0" labelOnly="1" outline="0" fieldPosition="0">
        <references count="3">
          <reference field="11" count="1" selected="0">
            <x v="255"/>
          </reference>
          <reference field="14" count="1" selected="0">
            <x v="263"/>
          </reference>
          <reference field="18" count="1">
            <x v="2"/>
          </reference>
        </references>
      </pivotArea>
    </format>
    <format dxfId="4011">
      <pivotArea dataOnly="0" labelOnly="1" outline="0" fieldPosition="0">
        <references count="3">
          <reference field="11" count="1" selected="0">
            <x v="255"/>
          </reference>
          <reference field="14" count="1" selected="0">
            <x v="263"/>
          </reference>
          <reference field="18" count="1" defaultSubtotal="1">
            <x v="2"/>
          </reference>
        </references>
      </pivotArea>
    </format>
    <format dxfId="4010">
      <pivotArea dataOnly="0" labelOnly="1" outline="0" fieldPosition="0">
        <references count="3">
          <reference field="11" count="1" selected="0">
            <x v="256"/>
          </reference>
          <reference field="14" count="1" selected="0">
            <x v="133"/>
          </reference>
          <reference field="18" count="1">
            <x v="2"/>
          </reference>
        </references>
      </pivotArea>
    </format>
    <format dxfId="4009">
      <pivotArea dataOnly="0" labelOnly="1" outline="0" fieldPosition="0">
        <references count="3">
          <reference field="11" count="1" selected="0">
            <x v="256"/>
          </reference>
          <reference field="14" count="1" selected="0">
            <x v="133"/>
          </reference>
          <reference field="18" count="1" defaultSubtotal="1">
            <x v="2"/>
          </reference>
        </references>
      </pivotArea>
    </format>
    <format dxfId="4008">
      <pivotArea dataOnly="0" labelOnly="1" outline="0" fieldPosition="0">
        <references count="3">
          <reference field="11" count="1" selected="0">
            <x v="257"/>
          </reference>
          <reference field="14" count="1" selected="0">
            <x v="187"/>
          </reference>
          <reference field="18" count="1">
            <x v="2"/>
          </reference>
        </references>
      </pivotArea>
    </format>
    <format dxfId="4007">
      <pivotArea dataOnly="0" labelOnly="1" outline="0" fieldPosition="0">
        <references count="3">
          <reference field="11" count="1" selected="0">
            <x v="257"/>
          </reference>
          <reference field="14" count="1" selected="0">
            <x v="187"/>
          </reference>
          <reference field="18" count="1" defaultSubtotal="1">
            <x v="2"/>
          </reference>
        </references>
      </pivotArea>
    </format>
    <format dxfId="4006">
      <pivotArea dataOnly="0" labelOnly="1" outline="0" fieldPosition="0">
        <references count="3">
          <reference field="11" count="1" selected="0">
            <x v="258"/>
          </reference>
          <reference field="14" count="1" selected="0">
            <x v="417"/>
          </reference>
          <reference field="18" count="1">
            <x v="0"/>
          </reference>
        </references>
      </pivotArea>
    </format>
    <format dxfId="4005">
      <pivotArea dataOnly="0" labelOnly="1" outline="0" fieldPosition="0">
        <references count="3">
          <reference field="11" count="1" selected="0">
            <x v="258"/>
          </reference>
          <reference field="14" count="1" selected="0">
            <x v="417"/>
          </reference>
          <reference field="18" count="1" defaultSubtotal="1">
            <x v="0"/>
          </reference>
        </references>
      </pivotArea>
    </format>
    <format dxfId="4004">
      <pivotArea dataOnly="0" labelOnly="1" outline="0" fieldPosition="0">
        <references count="3">
          <reference field="11" count="1" selected="0">
            <x v="259"/>
          </reference>
          <reference field="14" count="1" selected="0">
            <x v="371"/>
          </reference>
          <reference field="18" count="1">
            <x v="16"/>
          </reference>
        </references>
      </pivotArea>
    </format>
    <format dxfId="4003">
      <pivotArea dataOnly="0" labelOnly="1" outline="0" fieldPosition="0">
        <references count="3">
          <reference field="11" count="1" selected="0">
            <x v="259"/>
          </reference>
          <reference field="14" count="1" selected="0">
            <x v="371"/>
          </reference>
          <reference field="18" count="1" defaultSubtotal="1">
            <x v="16"/>
          </reference>
        </references>
      </pivotArea>
    </format>
    <format dxfId="4002">
      <pivotArea dataOnly="0" labelOnly="1" outline="0" fieldPosition="0">
        <references count="3">
          <reference field="11" count="1" selected="0">
            <x v="260"/>
          </reference>
          <reference field="14" count="1" selected="0">
            <x v="157"/>
          </reference>
          <reference field="18" count="1">
            <x v="2"/>
          </reference>
        </references>
      </pivotArea>
    </format>
    <format dxfId="4001">
      <pivotArea dataOnly="0" labelOnly="1" outline="0" fieldPosition="0">
        <references count="3">
          <reference field="11" count="1" selected="0">
            <x v="260"/>
          </reference>
          <reference field="14" count="1" selected="0">
            <x v="157"/>
          </reference>
          <reference field="18" count="1" defaultSubtotal="1">
            <x v="2"/>
          </reference>
        </references>
      </pivotArea>
    </format>
    <format dxfId="4000">
      <pivotArea dataOnly="0" labelOnly="1" outline="0" fieldPosition="0">
        <references count="3">
          <reference field="11" count="1" selected="0">
            <x v="261"/>
          </reference>
          <reference field="14" count="1" selected="0">
            <x v="223"/>
          </reference>
          <reference field="18" count="2">
            <x v="0"/>
            <x v="2"/>
          </reference>
        </references>
      </pivotArea>
    </format>
    <format dxfId="3999">
      <pivotArea dataOnly="0" labelOnly="1" outline="0" fieldPosition="0">
        <references count="3">
          <reference field="11" count="1" selected="0">
            <x v="261"/>
          </reference>
          <reference field="14" count="1" selected="0">
            <x v="223"/>
          </reference>
          <reference field="18" count="2" defaultSubtotal="1">
            <x v="0"/>
            <x v="2"/>
          </reference>
        </references>
      </pivotArea>
    </format>
    <format dxfId="3998">
      <pivotArea dataOnly="0" labelOnly="1" outline="0" fieldPosition="0">
        <references count="3">
          <reference field="11" count="1" selected="0">
            <x v="262"/>
          </reference>
          <reference field="14" count="1" selected="0">
            <x v="311"/>
          </reference>
          <reference field="18" count="1">
            <x v="19"/>
          </reference>
        </references>
      </pivotArea>
    </format>
    <format dxfId="3997">
      <pivotArea dataOnly="0" labelOnly="1" outline="0" fieldPosition="0">
        <references count="3">
          <reference field="11" count="1" selected="0">
            <x v="262"/>
          </reference>
          <reference field="14" count="1" selected="0">
            <x v="311"/>
          </reference>
          <reference field="18" count="1" defaultSubtotal="1">
            <x v="19"/>
          </reference>
        </references>
      </pivotArea>
    </format>
    <format dxfId="3996">
      <pivotArea dataOnly="0" labelOnly="1" outline="0" fieldPosition="0">
        <references count="3">
          <reference field="11" count="1" selected="0">
            <x v="263"/>
          </reference>
          <reference field="14" count="1" selected="0">
            <x v="114"/>
          </reference>
          <reference field="18" count="1">
            <x v="6"/>
          </reference>
        </references>
      </pivotArea>
    </format>
    <format dxfId="3995">
      <pivotArea dataOnly="0" labelOnly="1" outline="0" fieldPosition="0">
        <references count="3">
          <reference field="11" count="1" selected="0">
            <x v="263"/>
          </reference>
          <reference field="14" count="1" selected="0">
            <x v="114"/>
          </reference>
          <reference field="18" count="1" defaultSubtotal="1">
            <x v="6"/>
          </reference>
        </references>
      </pivotArea>
    </format>
    <format dxfId="3994">
      <pivotArea dataOnly="0" labelOnly="1" outline="0" fieldPosition="0">
        <references count="3">
          <reference field="11" count="1" selected="0">
            <x v="264"/>
          </reference>
          <reference field="14" count="1" selected="0">
            <x v="154"/>
          </reference>
          <reference field="18" count="1">
            <x v="2"/>
          </reference>
        </references>
      </pivotArea>
    </format>
    <format dxfId="3993">
      <pivotArea dataOnly="0" labelOnly="1" outline="0" fieldPosition="0">
        <references count="3">
          <reference field="11" count="1" selected="0">
            <x v="264"/>
          </reference>
          <reference field="14" count="1" selected="0">
            <x v="154"/>
          </reference>
          <reference field="18" count="1" defaultSubtotal="1">
            <x v="2"/>
          </reference>
        </references>
      </pivotArea>
    </format>
    <format dxfId="3992">
      <pivotArea dataOnly="0" labelOnly="1" outline="0" fieldPosition="0">
        <references count="3">
          <reference field="11" count="1" selected="0">
            <x v="265"/>
          </reference>
          <reference field="14" count="1" selected="0">
            <x v="166"/>
          </reference>
          <reference field="18" count="1">
            <x v="2"/>
          </reference>
        </references>
      </pivotArea>
    </format>
    <format dxfId="3991">
      <pivotArea dataOnly="0" labelOnly="1" outline="0" fieldPosition="0">
        <references count="3">
          <reference field="11" count="1" selected="0">
            <x v="265"/>
          </reference>
          <reference field="14" count="1" selected="0">
            <x v="166"/>
          </reference>
          <reference field="18" count="1" defaultSubtotal="1">
            <x v="2"/>
          </reference>
        </references>
      </pivotArea>
    </format>
    <format dxfId="3990">
      <pivotArea dataOnly="0" labelOnly="1" outline="0" fieldPosition="0">
        <references count="3">
          <reference field="11" count="1" selected="0">
            <x v="266"/>
          </reference>
          <reference field="14" count="1" selected="0">
            <x v="152"/>
          </reference>
          <reference field="18" count="1">
            <x v="2"/>
          </reference>
        </references>
      </pivotArea>
    </format>
    <format dxfId="3989">
      <pivotArea dataOnly="0" labelOnly="1" outline="0" fieldPosition="0">
        <references count="3">
          <reference field="11" count="1" selected="0">
            <x v="266"/>
          </reference>
          <reference field="14" count="1" selected="0">
            <x v="152"/>
          </reference>
          <reference field="18" count="1" defaultSubtotal="1">
            <x v="2"/>
          </reference>
        </references>
      </pivotArea>
    </format>
    <format dxfId="3988">
      <pivotArea dataOnly="0" labelOnly="1" outline="0" fieldPosition="0">
        <references count="3">
          <reference field="11" count="1" selected="0">
            <x v="267"/>
          </reference>
          <reference field="14" count="1" selected="0">
            <x v="374"/>
          </reference>
          <reference field="18" count="2">
            <x v="0"/>
            <x v="2"/>
          </reference>
        </references>
      </pivotArea>
    </format>
    <format dxfId="3987">
      <pivotArea dataOnly="0" labelOnly="1" outline="0" fieldPosition="0">
        <references count="3">
          <reference field="11" count="1" selected="0">
            <x v="267"/>
          </reference>
          <reference field="14" count="1" selected="0">
            <x v="374"/>
          </reference>
          <reference field="18" count="2" defaultSubtotal="1">
            <x v="0"/>
            <x v="2"/>
          </reference>
        </references>
      </pivotArea>
    </format>
    <format dxfId="3986">
      <pivotArea dataOnly="0" labelOnly="1" outline="0" fieldPosition="0">
        <references count="3">
          <reference field="11" count="1" selected="0">
            <x v="268"/>
          </reference>
          <reference field="14" count="1" selected="0">
            <x v="353"/>
          </reference>
          <reference field="18" count="1">
            <x v="2"/>
          </reference>
        </references>
      </pivotArea>
    </format>
    <format dxfId="3985">
      <pivotArea dataOnly="0" labelOnly="1" outline="0" fieldPosition="0">
        <references count="3">
          <reference field="11" count="1" selected="0">
            <x v="268"/>
          </reference>
          <reference field="14" count="1" selected="0">
            <x v="353"/>
          </reference>
          <reference field="18" count="1" defaultSubtotal="1">
            <x v="2"/>
          </reference>
        </references>
      </pivotArea>
    </format>
    <format dxfId="3984">
      <pivotArea dataOnly="0" labelOnly="1" outline="0" fieldPosition="0">
        <references count="3">
          <reference field="11" count="1" selected="0">
            <x v="269"/>
          </reference>
          <reference field="14" count="1" selected="0">
            <x v="124"/>
          </reference>
          <reference field="18" count="1">
            <x v="4"/>
          </reference>
        </references>
      </pivotArea>
    </format>
    <format dxfId="3983">
      <pivotArea dataOnly="0" labelOnly="1" outline="0" fieldPosition="0">
        <references count="3">
          <reference field="11" count="1" selected="0">
            <x v="269"/>
          </reference>
          <reference field="14" count="1" selected="0">
            <x v="124"/>
          </reference>
          <reference field="18" count="1" defaultSubtotal="1">
            <x v="4"/>
          </reference>
        </references>
      </pivotArea>
    </format>
    <format dxfId="3982">
      <pivotArea dataOnly="0" labelOnly="1" outline="0" fieldPosition="0">
        <references count="3">
          <reference field="11" count="1" selected="0">
            <x v="270"/>
          </reference>
          <reference field="14" count="1" selected="0">
            <x v="126"/>
          </reference>
          <reference field="18" count="1">
            <x v="2"/>
          </reference>
        </references>
      </pivotArea>
    </format>
    <format dxfId="3981">
      <pivotArea dataOnly="0" labelOnly="1" outline="0" fieldPosition="0">
        <references count="3">
          <reference field="11" count="1" selected="0">
            <x v="270"/>
          </reference>
          <reference field="14" count="1" selected="0">
            <x v="126"/>
          </reference>
          <reference field="18" count="1" defaultSubtotal="1">
            <x v="2"/>
          </reference>
        </references>
      </pivotArea>
    </format>
    <format dxfId="3980">
      <pivotArea dataOnly="0" labelOnly="1" outline="0" fieldPosition="0">
        <references count="3">
          <reference field="11" count="1" selected="0">
            <x v="271"/>
          </reference>
          <reference field="14" count="1" selected="0">
            <x v="239"/>
          </reference>
          <reference field="18" count="1">
            <x v="19"/>
          </reference>
        </references>
      </pivotArea>
    </format>
    <format dxfId="3979">
      <pivotArea dataOnly="0" labelOnly="1" outline="0" fieldPosition="0">
        <references count="3">
          <reference field="11" count="1" selected="0">
            <x v="271"/>
          </reference>
          <reference field="14" count="1" selected="0">
            <x v="239"/>
          </reference>
          <reference field="18" count="1" defaultSubtotal="1">
            <x v="19"/>
          </reference>
        </references>
      </pivotArea>
    </format>
    <format dxfId="3978">
      <pivotArea dataOnly="0" labelOnly="1" outline="0" fieldPosition="0">
        <references count="3">
          <reference field="11" count="1" selected="0">
            <x v="272"/>
          </reference>
          <reference field="14" count="1" selected="0">
            <x v="42"/>
          </reference>
          <reference field="18" count="1">
            <x v="2"/>
          </reference>
        </references>
      </pivotArea>
    </format>
    <format dxfId="3977">
      <pivotArea dataOnly="0" labelOnly="1" outline="0" fieldPosition="0">
        <references count="3">
          <reference field="11" count="1" selected="0">
            <x v="272"/>
          </reference>
          <reference field="14" count="1" selected="0">
            <x v="42"/>
          </reference>
          <reference field="18" count="1" defaultSubtotal="1">
            <x v="2"/>
          </reference>
        </references>
      </pivotArea>
    </format>
    <format dxfId="3976">
      <pivotArea dataOnly="0" labelOnly="1" outline="0" fieldPosition="0">
        <references count="3">
          <reference field="11" count="1" selected="0">
            <x v="273"/>
          </reference>
          <reference field="14" count="1" selected="0">
            <x v="342"/>
          </reference>
          <reference field="18" count="1">
            <x v="1"/>
          </reference>
        </references>
      </pivotArea>
    </format>
    <format dxfId="3975">
      <pivotArea dataOnly="0" labelOnly="1" outline="0" fieldPosition="0">
        <references count="3">
          <reference field="11" count="1" selected="0">
            <x v="273"/>
          </reference>
          <reference field="14" count="1" selected="0">
            <x v="342"/>
          </reference>
          <reference field="18" count="1" defaultSubtotal="1">
            <x v="1"/>
          </reference>
        </references>
      </pivotArea>
    </format>
    <format dxfId="3974">
      <pivotArea dataOnly="0" labelOnly="1" outline="0" fieldPosition="0">
        <references count="3">
          <reference field="11" count="1" selected="0">
            <x v="274"/>
          </reference>
          <reference field="14" count="1" selected="0">
            <x v="372"/>
          </reference>
          <reference field="18" count="1">
            <x v="15"/>
          </reference>
        </references>
      </pivotArea>
    </format>
    <format dxfId="3973">
      <pivotArea dataOnly="0" labelOnly="1" outline="0" fieldPosition="0">
        <references count="3">
          <reference field="11" count="1" selected="0">
            <x v="274"/>
          </reference>
          <reference field="14" count="1" selected="0">
            <x v="372"/>
          </reference>
          <reference field="18" count="1" defaultSubtotal="1">
            <x v="15"/>
          </reference>
        </references>
      </pivotArea>
    </format>
    <format dxfId="3972">
      <pivotArea dataOnly="0" labelOnly="1" outline="0" fieldPosition="0">
        <references count="3">
          <reference field="11" count="1" selected="0">
            <x v="275"/>
          </reference>
          <reference field="14" count="1" selected="0">
            <x v="51"/>
          </reference>
          <reference field="18" count="1">
            <x v="4"/>
          </reference>
        </references>
      </pivotArea>
    </format>
    <format dxfId="3971">
      <pivotArea dataOnly="0" labelOnly="1" outline="0" fieldPosition="0">
        <references count="3">
          <reference field="11" count="1" selected="0">
            <x v="275"/>
          </reference>
          <reference field="14" count="1" selected="0">
            <x v="51"/>
          </reference>
          <reference field="18" count="1" defaultSubtotal="1">
            <x v="4"/>
          </reference>
        </references>
      </pivotArea>
    </format>
    <format dxfId="3970">
      <pivotArea dataOnly="0" labelOnly="1" outline="0" fieldPosition="0">
        <references count="3">
          <reference field="11" count="1" selected="0">
            <x v="276"/>
          </reference>
          <reference field="14" count="1" selected="0">
            <x v="290"/>
          </reference>
          <reference field="18" count="1">
            <x v="0"/>
          </reference>
        </references>
      </pivotArea>
    </format>
    <format dxfId="3969">
      <pivotArea dataOnly="0" labelOnly="1" outline="0" fieldPosition="0">
        <references count="3">
          <reference field="11" count="1" selected="0">
            <x v="276"/>
          </reference>
          <reference field="14" count="1" selected="0">
            <x v="290"/>
          </reference>
          <reference field="18" count="1" defaultSubtotal="1">
            <x v="0"/>
          </reference>
        </references>
      </pivotArea>
    </format>
    <format dxfId="3968">
      <pivotArea dataOnly="0" labelOnly="1" outline="0" fieldPosition="0">
        <references count="3">
          <reference field="11" count="1" selected="0">
            <x v="277"/>
          </reference>
          <reference field="14" count="1" selected="0">
            <x v="180"/>
          </reference>
          <reference field="18" count="1">
            <x v="16"/>
          </reference>
        </references>
      </pivotArea>
    </format>
    <format dxfId="3967">
      <pivotArea dataOnly="0" labelOnly="1" outline="0" fieldPosition="0">
        <references count="3">
          <reference field="11" count="1" selected="0">
            <x v="277"/>
          </reference>
          <reference field="14" count="1" selected="0">
            <x v="180"/>
          </reference>
          <reference field="18" count="1" defaultSubtotal="1">
            <x v="16"/>
          </reference>
        </references>
      </pivotArea>
    </format>
    <format dxfId="3966">
      <pivotArea dataOnly="0" labelOnly="1" outline="0" fieldPosition="0">
        <references count="3">
          <reference field="11" count="1" selected="0">
            <x v="278"/>
          </reference>
          <reference field="14" count="1" selected="0">
            <x v="164"/>
          </reference>
          <reference field="18" count="1">
            <x v="2"/>
          </reference>
        </references>
      </pivotArea>
    </format>
    <format dxfId="3965">
      <pivotArea dataOnly="0" labelOnly="1" outline="0" fieldPosition="0">
        <references count="3">
          <reference field="11" count="1" selected="0">
            <x v="278"/>
          </reference>
          <reference field="14" count="1" selected="0">
            <x v="164"/>
          </reference>
          <reference field="18" count="1" defaultSubtotal="1">
            <x v="2"/>
          </reference>
        </references>
      </pivotArea>
    </format>
    <format dxfId="3964">
      <pivotArea dataOnly="0" labelOnly="1" outline="0" fieldPosition="0">
        <references count="3">
          <reference field="11" count="1" selected="0">
            <x v="279"/>
          </reference>
          <reference field="14" count="1" selected="0">
            <x v="153"/>
          </reference>
          <reference field="18" count="1">
            <x v="2"/>
          </reference>
        </references>
      </pivotArea>
    </format>
    <format dxfId="3963">
      <pivotArea dataOnly="0" labelOnly="1" outline="0" fieldPosition="0">
        <references count="3">
          <reference field="11" count="1" selected="0">
            <x v="279"/>
          </reference>
          <reference field="14" count="1" selected="0">
            <x v="153"/>
          </reference>
          <reference field="18" count="1" defaultSubtotal="1">
            <x v="2"/>
          </reference>
        </references>
      </pivotArea>
    </format>
    <format dxfId="3962">
      <pivotArea dataOnly="0" labelOnly="1" outline="0" fieldPosition="0">
        <references count="3">
          <reference field="11" count="1" selected="0">
            <x v="280"/>
          </reference>
          <reference field="14" count="1" selected="0">
            <x v="373"/>
          </reference>
          <reference field="18" count="2">
            <x v="1"/>
            <x v="11"/>
          </reference>
        </references>
      </pivotArea>
    </format>
    <format dxfId="3961">
      <pivotArea dataOnly="0" labelOnly="1" outline="0" fieldPosition="0">
        <references count="3">
          <reference field="11" count="1" selected="0">
            <x v="280"/>
          </reference>
          <reference field="14" count="1" selected="0">
            <x v="373"/>
          </reference>
          <reference field="18" count="2" defaultSubtotal="1">
            <x v="1"/>
            <x v="11"/>
          </reference>
        </references>
      </pivotArea>
    </format>
    <format dxfId="3960">
      <pivotArea dataOnly="0" labelOnly="1" outline="0" fieldPosition="0">
        <references count="3">
          <reference field="11" count="1" selected="0">
            <x v="281"/>
          </reference>
          <reference field="14" count="1" selected="0">
            <x v="165"/>
          </reference>
          <reference field="18" count="1">
            <x v="2"/>
          </reference>
        </references>
      </pivotArea>
    </format>
    <format dxfId="3959">
      <pivotArea dataOnly="0" labelOnly="1" outline="0" fieldPosition="0">
        <references count="3">
          <reference field="11" count="1" selected="0">
            <x v="281"/>
          </reference>
          <reference field="14" count="1" selected="0">
            <x v="165"/>
          </reference>
          <reference field="18" count="1" defaultSubtotal="1">
            <x v="2"/>
          </reference>
        </references>
      </pivotArea>
    </format>
    <format dxfId="3958">
      <pivotArea dataOnly="0" labelOnly="1" outline="0" fieldPosition="0">
        <references count="3">
          <reference field="11" count="1" selected="0">
            <x v="282"/>
          </reference>
          <reference field="14" count="1" selected="0">
            <x v="357"/>
          </reference>
          <reference field="18" count="1">
            <x v="0"/>
          </reference>
        </references>
      </pivotArea>
    </format>
    <format dxfId="3957">
      <pivotArea dataOnly="0" labelOnly="1" outline="0" fieldPosition="0">
        <references count="3">
          <reference field="11" count="1" selected="0">
            <x v="282"/>
          </reference>
          <reference field="14" count="1" selected="0">
            <x v="357"/>
          </reference>
          <reference field="18" count="1" defaultSubtotal="1">
            <x v="0"/>
          </reference>
        </references>
      </pivotArea>
    </format>
    <format dxfId="3956">
      <pivotArea dataOnly="0" labelOnly="1" outline="0" fieldPosition="0">
        <references count="3">
          <reference field="11" count="1" selected="0">
            <x v="283"/>
          </reference>
          <reference field="14" count="1" selected="0">
            <x v="162"/>
          </reference>
          <reference field="18" count="1">
            <x v="2"/>
          </reference>
        </references>
      </pivotArea>
    </format>
    <format dxfId="3955">
      <pivotArea dataOnly="0" labelOnly="1" outline="0" fieldPosition="0">
        <references count="3">
          <reference field="11" count="1" selected="0">
            <x v="283"/>
          </reference>
          <reference field="14" count="1" selected="0">
            <x v="162"/>
          </reference>
          <reference field="18" count="1" defaultSubtotal="1">
            <x v="2"/>
          </reference>
        </references>
      </pivotArea>
    </format>
    <format dxfId="3954">
      <pivotArea dataOnly="0" labelOnly="1" outline="0" fieldPosition="0">
        <references count="3">
          <reference field="11" count="1" selected="0">
            <x v="284"/>
          </reference>
          <reference field="14" count="1" selected="0">
            <x v="149"/>
          </reference>
          <reference field="18" count="1">
            <x v="14"/>
          </reference>
        </references>
      </pivotArea>
    </format>
    <format dxfId="3953">
      <pivotArea dataOnly="0" labelOnly="1" outline="0" fieldPosition="0">
        <references count="3">
          <reference field="11" count="1" selected="0">
            <x v="284"/>
          </reference>
          <reference field="14" count="1" selected="0">
            <x v="149"/>
          </reference>
          <reference field="18" count="1" defaultSubtotal="1">
            <x v="14"/>
          </reference>
        </references>
      </pivotArea>
    </format>
    <format dxfId="3952">
      <pivotArea dataOnly="0" labelOnly="1" outline="0" fieldPosition="0">
        <references count="3">
          <reference field="11" count="1" selected="0">
            <x v="285"/>
          </reference>
          <reference field="14" count="1" selected="0">
            <x v="365"/>
          </reference>
          <reference field="18" count="1">
            <x v="3"/>
          </reference>
        </references>
      </pivotArea>
    </format>
    <format dxfId="3951">
      <pivotArea dataOnly="0" labelOnly="1" outline="0" fieldPosition="0">
        <references count="3">
          <reference field="11" count="1" selected="0">
            <x v="285"/>
          </reference>
          <reference field="14" count="1" selected="0">
            <x v="365"/>
          </reference>
          <reference field="18" count="1" defaultSubtotal="1">
            <x v="3"/>
          </reference>
        </references>
      </pivotArea>
    </format>
    <format dxfId="3950">
      <pivotArea dataOnly="0" labelOnly="1" outline="0" fieldPosition="0">
        <references count="3">
          <reference field="11" count="1" selected="0">
            <x v="286"/>
          </reference>
          <reference field="14" count="1" selected="0">
            <x v="217"/>
          </reference>
          <reference field="18" count="1">
            <x v="14"/>
          </reference>
        </references>
      </pivotArea>
    </format>
    <format dxfId="3949">
      <pivotArea dataOnly="0" labelOnly="1" outline="0" fieldPosition="0">
        <references count="3">
          <reference field="11" count="1" selected="0">
            <x v="286"/>
          </reference>
          <reference field="14" count="1" selected="0">
            <x v="217"/>
          </reference>
          <reference field="18" count="1" defaultSubtotal="1">
            <x v="14"/>
          </reference>
        </references>
      </pivotArea>
    </format>
    <format dxfId="3948">
      <pivotArea dataOnly="0" labelOnly="1" outline="0" fieldPosition="0">
        <references count="3">
          <reference field="11" count="1" selected="0">
            <x v="287"/>
          </reference>
          <reference field="14" count="1" selected="0">
            <x v="197"/>
          </reference>
          <reference field="18" count="1">
            <x v="2"/>
          </reference>
        </references>
      </pivotArea>
    </format>
    <format dxfId="3947">
      <pivotArea dataOnly="0" labelOnly="1" outline="0" fieldPosition="0">
        <references count="3">
          <reference field="11" count="1" selected="0">
            <x v="287"/>
          </reference>
          <reference field="14" count="1" selected="0">
            <x v="197"/>
          </reference>
          <reference field="18" count="1" defaultSubtotal="1">
            <x v="2"/>
          </reference>
        </references>
      </pivotArea>
    </format>
    <format dxfId="3946">
      <pivotArea dataOnly="0" labelOnly="1" outline="0" fieldPosition="0">
        <references count="3">
          <reference field="11" count="1" selected="0">
            <x v="288"/>
          </reference>
          <reference field="14" count="1" selected="0">
            <x v="389"/>
          </reference>
          <reference field="18" count="1">
            <x v="2"/>
          </reference>
        </references>
      </pivotArea>
    </format>
    <format dxfId="3945">
      <pivotArea dataOnly="0" labelOnly="1" outline="0" fieldPosition="0">
        <references count="3">
          <reference field="11" count="1" selected="0">
            <x v="288"/>
          </reference>
          <reference field="14" count="1" selected="0">
            <x v="389"/>
          </reference>
          <reference field="18" count="1" defaultSubtotal="1">
            <x v="2"/>
          </reference>
        </references>
      </pivotArea>
    </format>
    <format dxfId="3944">
      <pivotArea dataOnly="0" labelOnly="1" outline="0" fieldPosition="0">
        <references count="3">
          <reference field="11" count="1" selected="0">
            <x v="289"/>
          </reference>
          <reference field="14" count="1" selected="0">
            <x v="171"/>
          </reference>
          <reference field="18" count="1">
            <x v="2"/>
          </reference>
        </references>
      </pivotArea>
    </format>
    <format dxfId="3943">
      <pivotArea dataOnly="0" labelOnly="1" outline="0" fieldPosition="0">
        <references count="3">
          <reference field="11" count="1" selected="0">
            <x v="289"/>
          </reference>
          <reference field="14" count="1" selected="0">
            <x v="171"/>
          </reference>
          <reference field="18" count="1" defaultSubtotal="1">
            <x v="2"/>
          </reference>
        </references>
      </pivotArea>
    </format>
    <format dxfId="3942">
      <pivotArea dataOnly="0" labelOnly="1" outline="0" fieldPosition="0">
        <references count="3">
          <reference field="11" count="1" selected="0">
            <x v="290"/>
          </reference>
          <reference field="14" count="1" selected="0">
            <x v="183"/>
          </reference>
          <reference field="18" count="2">
            <x v="3"/>
            <x v="6"/>
          </reference>
        </references>
      </pivotArea>
    </format>
    <format dxfId="3941">
      <pivotArea dataOnly="0" labelOnly="1" outline="0" fieldPosition="0">
        <references count="3">
          <reference field="11" count="1" selected="0">
            <x v="290"/>
          </reference>
          <reference field="14" count="1" selected="0">
            <x v="183"/>
          </reference>
          <reference field="18" count="2" defaultSubtotal="1">
            <x v="3"/>
            <x v="6"/>
          </reference>
        </references>
      </pivotArea>
    </format>
    <format dxfId="3940">
      <pivotArea dataOnly="0" labelOnly="1" outline="0" fieldPosition="0">
        <references count="3">
          <reference field="11" count="1" selected="0">
            <x v="291"/>
          </reference>
          <reference field="14" count="1" selected="0">
            <x v="3"/>
          </reference>
          <reference field="18" count="1">
            <x v="2"/>
          </reference>
        </references>
      </pivotArea>
    </format>
    <format dxfId="3939">
      <pivotArea dataOnly="0" labelOnly="1" outline="0" fieldPosition="0">
        <references count="3">
          <reference field="11" count="1" selected="0">
            <x v="291"/>
          </reference>
          <reference field="14" count="1" selected="0">
            <x v="3"/>
          </reference>
          <reference field="18" count="1" defaultSubtotal="1">
            <x v="2"/>
          </reference>
        </references>
      </pivotArea>
    </format>
    <format dxfId="3938">
      <pivotArea dataOnly="0" labelOnly="1" outline="0" fieldPosition="0">
        <references count="3">
          <reference field="11" count="1" selected="0">
            <x v="292"/>
          </reference>
          <reference field="14" count="1" selected="0">
            <x v="172"/>
          </reference>
          <reference field="18" count="1">
            <x v="2"/>
          </reference>
        </references>
      </pivotArea>
    </format>
    <format dxfId="3937">
      <pivotArea dataOnly="0" labelOnly="1" outline="0" fieldPosition="0">
        <references count="3">
          <reference field="11" count="1" selected="0">
            <x v="292"/>
          </reference>
          <reference field="14" count="1" selected="0">
            <x v="172"/>
          </reference>
          <reference field="18" count="1" defaultSubtotal="1">
            <x v="2"/>
          </reference>
        </references>
      </pivotArea>
    </format>
    <format dxfId="3936">
      <pivotArea dataOnly="0" labelOnly="1" outline="0" fieldPosition="0">
        <references count="3">
          <reference field="11" count="1" selected="0">
            <x v="293"/>
          </reference>
          <reference field="14" count="1" selected="0">
            <x v="168"/>
          </reference>
          <reference field="18" count="1">
            <x v="14"/>
          </reference>
        </references>
      </pivotArea>
    </format>
    <format dxfId="3935">
      <pivotArea dataOnly="0" labelOnly="1" outline="0" fieldPosition="0">
        <references count="3">
          <reference field="11" count="1" selected="0">
            <x v="293"/>
          </reference>
          <reference field="14" count="1" selected="0">
            <x v="168"/>
          </reference>
          <reference field="18" count="1" defaultSubtotal="1">
            <x v="14"/>
          </reference>
        </references>
      </pivotArea>
    </format>
    <format dxfId="3934">
      <pivotArea dataOnly="0" labelOnly="1" outline="0" fieldPosition="0">
        <references count="3">
          <reference field="11" count="1" selected="0">
            <x v="294"/>
          </reference>
          <reference field="14" count="1" selected="0">
            <x v="67"/>
          </reference>
          <reference field="18" count="1">
            <x v="0"/>
          </reference>
        </references>
      </pivotArea>
    </format>
    <format dxfId="3933">
      <pivotArea dataOnly="0" labelOnly="1" outline="0" fieldPosition="0">
        <references count="3">
          <reference field="11" count="1" selected="0">
            <x v="294"/>
          </reference>
          <reference field="14" count="1" selected="0">
            <x v="67"/>
          </reference>
          <reference field="18" count="1" defaultSubtotal="1">
            <x v="0"/>
          </reference>
        </references>
      </pivotArea>
    </format>
    <format dxfId="3932">
      <pivotArea dataOnly="0" labelOnly="1" outline="0" fieldPosition="0">
        <references count="3">
          <reference field="11" count="1" selected="0">
            <x v="295"/>
          </reference>
          <reference field="14" count="1" selected="0">
            <x v="64"/>
          </reference>
          <reference field="18" count="1">
            <x v="1"/>
          </reference>
        </references>
      </pivotArea>
    </format>
    <format dxfId="3931">
      <pivotArea dataOnly="0" labelOnly="1" outline="0" fieldPosition="0">
        <references count="3">
          <reference field="11" count="1" selected="0">
            <x v="295"/>
          </reference>
          <reference field="14" count="1" selected="0">
            <x v="64"/>
          </reference>
          <reference field="18" count="1" defaultSubtotal="1">
            <x v="1"/>
          </reference>
        </references>
      </pivotArea>
    </format>
    <format dxfId="3930">
      <pivotArea dataOnly="0" labelOnly="1" outline="0" fieldPosition="0">
        <references count="3">
          <reference field="11" count="1" selected="0">
            <x v="296"/>
          </reference>
          <reference field="14" count="1" selected="0">
            <x v="143"/>
          </reference>
          <reference field="18" count="1">
            <x v="3"/>
          </reference>
        </references>
      </pivotArea>
    </format>
    <format dxfId="3929">
      <pivotArea dataOnly="0" labelOnly="1" outline="0" fieldPosition="0">
        <references count="3">
          <reference field="11" count="1" selected="0">
            <x v="296"/>
          </reference>
          <reference field="14" count="1" selected="0">
            <x v="143"/>
          </reference>
          <reference field="18" count="1" defaultSubtotal="1">
            <x v="3"/>
          </reference>
        </references>
      </pivotArea>
    </format>
    <format dxfId="3928">
      <pivotArea dataOnly="0" labelOnly="1" outline="0" fieldPosition="0">
        <references count="3">
          <reference field="11" count="1" selected="0">
            <x v="297"/>
          </reference>
          <reference field="14" count="1" selected="0">
            <x v="34"/>
          </reference>
          <reference field="18" count="1">
            <x v="20"/>
          </reference>
        </references>
      </pivotArea>
    </format>
    <format dxfId="3927">
      <pivotArea dataOnly="0" labelOnly="1" outline="0" fieldPosition="0">
        <references count="3">
          <reference field="11" count="1" selected="0">
            <x v="297"/>
          </reference>
          <reference field="14" count="1" selected="0">
            <x v="34"/>
          </reference>
          <reference field="18" count="1" defaultSubtotal="1">
            <x v="20"/>
          </reference>
        </references>
      </pivotArea>
    </format>
    <format dxfId="3926">
      <pivotArea dataOnly="0" labelOnly="1" outline="0" fieldPosition="0">
        <references count="3">
          <reference field="11" count="1" selected="0">
            <x v="298"/>
          </reference>
          <reference field="14" count="1" selected="0">
            <x v="310"/>
          </reference>
          <reference field="18" count="1">
            <x v="19"/>
          </reference>
        </references>
      </pivotArea>
    </format>
    <format dxfId="3925">
      <pivotArea dataOnly="0" labelOnly="1" outline="0" fieldPosition="0">
        <references count="3">
          <reference field="11" count="1" selected="0">
            <x v="298"/>
          </reference>
          <reference field="14" count="1" selected="0">
            <x v="310"/>
          </reference>
          <reference field="18" count="1" defaultSubtotal="1">
            <x v="19"/>
          </reference>
        </references>
      </pivotArea>
    </format>
    <format dxfId="3924">
      <pivotArea dataOnly="0" labelOnly="1" outline="0" fieldPosition="0">
        <references count="3">
          <reference field="11" count="1" selected="0">
            <x v="299"/>
          </reference>
          <reference field="14" count="1" selected="0">
            <x v="129"/>
          </reference>
          <reference field="18" count="1">
            <x v="2"/>
          </reference>
        </references>
      </pivotArea>
    </format>
    <format dxfId="3923">
      <pivotArea dataOnly="0" labelOnly="1" outline="0" fieldPosition="0">
        <references count="3">
          <reference field="11" count="1" selected="0">
            <x v="299"/>
          </reference>
          <reference field="14" count="1" selected="0">
            <x v="129"/>
          </reference>
          <reference field="18" count="1" defaultSubtotal="1">
            <x v="2"/>
          </reference>
        </references>
      </pivotArea>
    </format>
    <format dxfId="3922">
      <pivotArea dataOnly="0" labelOnly="1" outline="0" fieldPosition="0">
        <references count="3">
          <reference field="11" count="1" selected="0">
            <x v="300"/>
          </reference>
          <reference field="14" count="1" selected="0">
            <x v="393"/>
          </reference>
          <reference field="18" count="1">
            <x v="2"/>
          </reference>
        </references>
      </pivotArea>
    </format>
    <format dxfId="3921">
      <pivotArea dataOnly="0" labelOnly="1" outline="0" fieldPosition="0">
        <references count="3">
          <reference field="11" count="1" selected="0">
            <x v="300"/>
          </reference>
          <reference field="14" count="1" selected="0">
            <x v="393"/>
          </reference>
          <reference field="18" count="1" defaultSubtotal="1">
            <x v="2"/>
          </reference>
        </references>
      </pivotArea>
    </format>
    <format dxfId="3920">
      <pivotArea dataOnly="0" labelOnly="1" outline="0" fieldPosition="0">
        <references count="3">
          <reference field="11" count="1" selected="0">
            <x v="301"/>
          </reference>
          <reference field="14" count="1" selected="0">
            <x v="100"/>
          </reference>
          <reference field="18" count="1">
            <x v="0"/>
          </reference>
        </references>
      </pivotArea>
    </format>
    <format dxfId="3919">
      <pivotArea dataOnly="0" labelOnly="1" outline="0" fieldPosition="0">
        <references count="3">
          <reference field="11" count="1" selected="0">
            <x v="301"/>
          </reference>
          <reference field="14" count="1" selected="0">
            <x v="100"/>
          </reference>
          <reference field="18" count="1" defaultSubtotal="1">
            <x v="0"/>
          </reference>
        </references>
      </pivotArea>
    </format>
    <format dxfId="3918">
      <pivotArea dataOnly="0" labelOnly="1" outline="0" fieldPosition="0">
        <references count="3">
          <reference field="11" count="1" selected="0">
            <x v="302"/>
          </reference>
          <reference field="14" count="1" selected="0">
            <x v="62"/>
          </reference>
          <reference field="18" count="2">
            <x v="0"/>
            <x v="2"/>
          </reference>
        </references>
      </pivotArea>
    </format>
    <format dxfId="3917">
      <pivotArea dataOnly="0" labelOnly="1" outline="0" fieldPosition="0">
        <references count="3">
          <reference field="11" count="1" selected="0">
            <x v="302"/>
          </reference>
          <reference field="14" count="1" selected="0">
            <x v="62"/>
          </reference>
          <reference field="18" count="2" defaultSubtotal="1">
            <x v="0"/>
            <x v="2"/>
          </reference>
        </references>
      </pivotArea>
    </format>
    <format dxfId="3916">
      <pivotArea dataOnly="0" labelOnly="1" outline="0" fieldPosition="0">
        <references count="3">
          <reference field="11" count="1" selected="0">
            <x v="303"/>
          </reference>
          <reference field="14" count="1" selected="0">
            <x v="122"/>
          </reference>
          <reference field="18" count="1">
            <x v="2"/>
          </reference>
        </references>
      </pivotArea>
    </format>
    <format dxfId="3915">
      <pivotArea dataOnly="0" labelOnly="1" outline="0" fieldPosition="0">
        <references count="3">
          <reference field="11" count="1" selected="0">
            <x v="303"/>
          </reference>
          <reference field="14" count="1" selected="0">
            <x v="122"/>
          </reference>
          <reference field="18" count="1" defaultSubtotal="1">
            <x v="2"/>
          </reference>
        </references>
      </pivotArea>
    </format>
    <format dxfId="3914">
      <pivotArea dataOnly="0" labelOnly="1" outline="0" fieldPosition="0">
        <references count="3">
          <reference field="11" count="1" selected="0">
            <x v="304"/>
          </reference>
          <reference field="14" count="1" selected="0">
            <x v="464"/>
          </reference>
          <reference field="18" count="2">
            <x v="0"/>
            <x v="2"/>
          </reference>
        </references>
      </pivotArea>
    </format>
    <format dxfId="3913">
      <pivotArea dataOnly="0" labelOnly="1" outline="0" fieldPosition="0">
        <references count="3">
          <reference field="11" count="1" selected="0">
            <x v="304"/>
          </reference>
          <reference field="14" count="1" selected="0">
            <x v="464"/>
          </reference>
          <reference field="18" count="2" defaultSubtotal="1">
            <x v="0"/>
            <x v="2"/>
          </reference>
        </references>
      </pivotArea>
    </format>
    <format dxfId="3912">
      <pivotArea dataOnly="0" labelOnly="1" outline="0" fieldPosition="0">
        <references count="3">
          <reference field="11" count="1" selected="0">
            <x v="305"/>
          </reference>
          <reference field="14" count="1" selected="0">
            <x v="121"/>
          </reference>
          <reference field="18" count="1">
            <x v="2"/>
          </reference>
        </references>
      </pivotArea>
    </format>
    <format dxfId="3911">
      <pivotArea dataOnly="0" labelOnly="1" outline="0" fieldPosition="0">
        <references count="3">
          <reference field="11" count="1" selected="0">
            <x v="305"/>
          </reference>
          <reference field="14" count="1" selected="0">
            <x v="121"/>
          </reference>
          <reference field="18" count="1" defaultSubtotal="1">
            <x v="2"/>
          </reference>
        </references>
      </pivotArea>
    </format>
    <format dxfId="3910">
      <pivotArea dataOnly="0" labelOnly="1" outline="0" fieldPosition="0">
        <references count="3">
          <reference field="11" count="1" selected="0">
            <x v="306"/>
          </reference>
          <reference field="14" count="1" selected="0">
            <x v="178"/>
          </reference>
          <reference field="18" count="1">
            <x v="6"/>
          </reference>
        </references>
      </pivotArea>
    </format>
    <format dxfId="3909">
      <pivotArea dataOnly="0" labelOnly="1" outline="0" fieldPosition="0">
        <references count="3">
          <reference field="11" count="1" selected="0">
            <x v="306"/>
          </reference>
          <reference field="14" count="1" selected="0">
            <x v="178"/>
          </reference>
          <reference field="18" count="1" defaultSubtotal="1">
            <x v="6"/>
          </reference>
        </references>
      </pivotArea>
    </format>
    <format dxfId="3908">
      <pivotArea dataOnly="0" labelOnly="1" outline="0" fieldPosition="0">
        <references count="3">
          <reference field="11" count="1" selected="0">
            <x v="307"/>
          </reference>
          <reference field="14" count="1" selected="0">
            <x v="120"/>
          </reference>
          <reference field="18" count="1">
            <x v="2"/>
          </reference>
        </references>
      </pivotArea>
    </format>
    <format dxfId="3907">
      <pivotArea dataOnly="0" labelOnly="1" outline="0" fieldPosition="0">
        <references count="3">
          <reference field="11" count="1" selected="0">
            <x v="307"/>
          </reference>
          <reference field="14" count="1" selected="0">
            <x v="120"/>
          </reference>
          <reference field="18" count="1" defaultSubtotal="1">
            <x v="2"/>
          </reference>
        </references>
      </pivotArea>
    </format>
    <format dxfId="3906">
      <pivotArea dataOnly="0" labelOnly="1" outline="0" fieldPosition="0">
        <references count="3">
          <reference field="11" count="1" selected="0">
            <x v="308"/>
          </reference>
          <reference field="14" count="1" selected="0">
            <x v="127"/>
          </reference>
          <reference field="18" count="3">
            <x v="0"/>
            <x v="2"/>
            <x v="12"/>
          </reference>
        </references>
      </pivotArea>
    </format>
    <format dxfId="3905">
      <pivotArea dataOnly="0" labelOnly="1" outline="0" fieldPosition="0">
        <references count="3">
          <reference field="11" count="1" selected="0">
            <x v="308"/>
          </reference>
          <reference field="14" count="1" selected="0">
            <x v="127"/>
          </reference>
          <reference field="18" count="3" defaultSubtotal="1">
            <x v="0"/>
            <x v="2"/>
            <x v="12"/>
          </reference>
        </references>
      </pivotArea>
    </format>
    <format dxfId="3904">
      <pivotArea dataOnly="0" labelOnly="1" outline="0" fieldPosition="0">
        <references count="3">
          <reference field="11" count="1" selected="0">
            <x v="309"/>
          </reference>
          <reference field="14" count="1" selected="0">
            <x v="316"/>
          </reference>
          <reference field="18" count="1">
            <x v="0"/>
          </reference>
        </references>
      </pivotArea>
    </format>
    <format dxfId="3903">
      <pivotArea dataOnly="0" labelOnly="1" outline="0" fieldPosition="0">
        <references count="3">
          <reference field="11" count="1" selected="0">
            <x v="309"/>
          </reference>
          <reference field="14" count="1" selected="0">
            <x v="316"/>
          </reference>
          <reference field="18" count="1" defaultSubtotal="1">
            <x v="0"/>
          </reference>
        </references>
      </pivotArea>
    </format>
    <format dxfId="3902">
      <pivotArea dataOnly="0" labelOnly="1" outline="0" fieldPosition="0">
        <references count="3">
          <reference field="11" count="1" selected="0">
            <x v="310"/>
          </reference>
          <reference field="14" count="1" selected="0">
            <x v="376"/>
          </reference>
          <reference field="18" count="1">
            <x v="2"/>
          </reference>
        </references>
      </pivotArea>
    </format>
    <format dxfId="3901">
      <pivotArea dataOnly="0" labelOnly="1" outline="0" fieldPosition="0">
        <references count="3">
          <reference field="11" count="1" selected="0">
            <x v="310"/>
          </reference>
          <reference field="14" count="1" selected="0">
            <x v="376"/>
          </reference>
          <reference field="18" count="1" defaultSubtotal="1">
            <x v="2"/>
          </reference>
        </references>
      </pivotArea>
    </format>
    <format dxfId="3900">
      <pivotArea dataOnly="0" labelOnly="1" outline="0" fieldPosition="0">
        <references count="3">
          <reference field="11" count="1" selected="0">
            <x v="311"/>
          </reference>
          <reference field="14" count="1" selected="0">
            <x v="302"/>
          </reference>
          <reference field="18" count="2">
            <x v="6"/>
            <x v="27"/>
          </reference>
        </references>
      </pivotArea>
    </format>
    <format dxfId="3899">
      <pivotArea dataOnly="0" labelOnly="1" outline="0" fieldPosition="0">
        <references count="3">
          <reference field="11" count="1" selected="0">
            <x v="311"/>
          </reference>
          <reference field="14" count="1" selected="0">
            <x v="302"/>
          </reference>
          <reference field="18" count="2" defaultSubtotal="1">
            <x v="6"/>
            <x v="27"/>
          </reference>
        </references>
      </pivotArea>
    </format>
    <format dxfId="3898">
      <pivotArea dataOnly="0" labelOnly="1" outline="0" fieldPosition="0">
        <references count="3">
          <reference field="11" count="1" selected="0">
            <x v="312"/>
          </reference>
          <reference field="14" count="1" selected="0">
            <x v="130"/>
          </reference>
          <reference field="18" count="2">
            <x v="0"/>
            <x v="14"/>
          </reference>
        </references>
      </pivotArea>
    </format>
    <format dxfId="3897">
      <pivotArea dataOnly="0" labelOnly="1" outline="0" fieldPosition="0">
        <references count="3">
          <reference field="11" count="1" selected="0">
            <x v="312"/>
          </reference>
          <reference field="14" count="1" selected="0">
            <x v="130"/>
          </reference>
          <reference field="18" count="2" defaultSubtotal="1">
            <x v="0"/>
            <x v="14"/>
          </reference>
        </references>
      </pivotArea>
    </format>
    <format dxfId="3896">
      <pivotArea dataOnly="0" labelOnly="1" outline="0" fieldPosition="0">
        <references count="3">
          <reference field="11" count="1" selected="0">
            <x v="313"/>
          </reference>
          <reference field="14" count="1" selected="0">
            <x v="123"/>
          </reference>
          <reference field="18" count="1">
            <x v="7"/>
          </reference>
        </references>
      </pivotArea>
    </format>
    <format dxfId="3895">
      <pivotArea dataOnly="0" labelOnly="1" outline="0" fieldPosition="0">
        <references count="3">
          <reference field="11" count="1" selected="0">
            <x v="313"/>
          </reference>
          <reference field="14" count="1" selected="0">
            <x v="123"/>
          </reference>
          <reference field="18" count="1" defaultSubtotal="1">
            <x v="7"/>
          </reference>
        </references>
      </pivotArea>
    </format>
    <format dxfId="3894">
      <pivotArea dataOnly="0" labelOnly="1" outline="0" fieldPosition="0">
        <references count="3">
          <reference field="11" count="1" selected="0">
            <x v="314"/>
          </reference>
          <reference field="14" count="1" selected="0">
            <x v="8"/>
          </reference>
          <reference field="18" count="1">
            <x v="2"/>
          </reference>
        </references>
      </pivotArea>
    </format>
    <format dxfId="3893">
      <pivotArea dataOnly="0" labelOnly="1" outline="0" fieldPosition="0">
        <references count="3">
          <reference field="11" count="1" selected="0">
            <x v="314"/>
          </reference>
          <reference field="14" count="1" selected="0">
            <x v="8"/>
          </reference>
          <reference field="18" count="1" defaultSubtotal="1">
            <x v="2"/>
          </reference>
        </references>
      </pivotArea>
    </format>
    <format dxfId="3892">
      <pivotArea dataOnly="0" labelOnly="1" outline="0" fieldPosition="0">
        <references count="3">
          <reference field="11" count="1" selected="0">
            <x v="315"/>
          </reference>
          <reference field="14" count="1" selected="0">
            <x v="247"/>
          </reference>
          <reference field="18" count="1">
            <x v="14"/>
          </reference>
        </references>
      </pivotArea>
    </format>
    <format dxfId="3891">
      <pivotArea dataOnly="0" labelOnly="1" outline="0" fieldPosition="0">
        <references count="3">
          <reference field="11" count="1" selected="0">
            <x v="315"/>
          </reference>
          <reference field="14" count="1" selected="0">
            <x v="247"/>
          </reference>
          <reference field="18" count="1" defaultSubtotal="1">
            <x v="14"/>
          </reference>
        </references>
      </pivotArea>
    </format>
    <format dxfId="3890">
      <pivotArea dataOnly="0" labelOnly="1" outline="0" fieldPosition="0">
        <references count="3">
          <reference field="11" count="1" selected="0">
            <x v="316"/>
          </reference>
          <reference field="14" count="1" selected="0">
            <x v="44"/>
          </reference>
          <reference field="18" count="1">
            <x v="0"/>
          </reference>
        </references>
      </pivotArea>
    </format>
    <format dxfId="3889">
      <pivotArea dataOnly="0" labelOnly="1" outline="0" fieldPosition="0">
        <references count="3">
          <reference field="11" count="1" selected="0">
            <x v="316"/>
          </reference>
          <reference field="14" count="1" selected="0">
            <x v="44"/>
          </reference>
          <reference field="18" count="1" defaultSubtotal="1">
            <x v="0"/>
          </reference>
        </references>
      </pivotArea>
    </format>
    <format dxfId="3888">
      <pivotArea dataOnly="0" labelOnly="1" outline="0" fieldPosition="0">
        <references count="3">
          <reference field="11" count="1" selected="0">
            <x v="317"/>
          </reference>
          <reference field="14" count="1" selected="0">
            <x v="70"/>
          </reference>
          <reference field="18" count="2">
            <x v="0"/>
            <x v="2"/>
          </reference>
        </references>
      </pivotArea>
    </format>
    <format dxfId="3887">
      <pivotArea dataOnly="0" labelOnly="1" outline="0" fieldPosition="0">
        <references count="3">
          <reference field="11" count="1" selected="0">
            <x v="317"/>
          </reference>
          <reference field="14" count="1" selected="0">
            <x v="70"/>
          </reference>
          <reference field="18" count="2" defaultSubtotal="1">
            <x v="0"/>
            <x v="2"/>
          </reference>
        </references>
      </pivotArea>
    </format>
    <format dxfId="3886">
      <pivotArea dataOnly="0" labelOnly="1" outline="0" fieldPosition="0">
        <references count="3">
          <reference field="11" count="1" selected="0">
            <x v="318"/>
          </reference>
          <reference field="14" count="1" selected="0">
            <x v="68"/>
          </reference>
          <reference field="18" count="2">
            <x v="0"/>
            <x v="2"/>
          </reference>
        </references>
      </pivotArea>
    </format>
    <format dxfId="3885">
      <pivotArea dataOnly="0" labelOnly="1" outline="0" fieldPosition="0">
        <references count="3">
          <reference field="11" count="1" selected="0">
            <x v="318"/>
          </reference>
          <reference field="14" count="1" selected="0">
            <x v="68"/>
          </reference>
          <reference field="18" count="2" defaultSubtotal="1">
            <x v="0"/>
            <x v="2"/>
          </reference>
        </references>
      </pivotArea>
    </format>
    <format dxfId="3884">
      <pivotArea dataOnly="0" labelOnly="1" outline="0" fieldPosition="0">
        <references count="3">
          <reference field="11" count="1" selected="0">
            <x v="319"/>
          </reference>
          <reference field="14" count="1" selected="0">
            <x v="69"/>
          </reference>
          <reference field="18" count="2">
            <x v="0"/>
            <x v="2"/>
          </reference>
        </references>
      </pivotArea>
    </format>
    <format dxfId="3883">
      <pivotArea dataOnly="0" labelOnly="1" outline="0" fieldPosition="0">
        <references count="3">
          <reference field="11" count="1" selected="0">
            <x v="319"/>
          </reference>
          <reference field="14" count="1" selected="0">
            <x v="69"/>
          </reference>
          <reference field="18" count="2" defaultSubtotal="1">
            <x v="0"/>
            <x v="2"/>
          </reference>
        </references>
      </pivotArea>
    </format>
    <format dxfId="3882">
      <pivotArea dataOnly="0" labelOnly="1" outline="0" fieldPosition="0">
        <references count="3">
          <reference field="11" count="1" selected="0">
            <x v="320"/>
          </reference>
          <reference field="14" count="1" selected="0">
            <x v="35"/>
          </reference>
          <reference field="18" count="1">
            <x v="1"/>
          </reference>
        </references>
      </pivotArea>
    </format>
    <format dxfId="3881">
      <pivotArea dataOnly="0" labelOnly="1" outline="0" fieldPosition="0">
        <references count="3">
          <reference field="11" count="1" selected="0">
            <x v="320"/>
          </reference>
          <reference field="14" count="1" selected="0">
            <x v="35"/>
          </reference>
          <reference field="18" count="1" defaultSubtotal="1">
            <x v="1"/>
          </reference>
        </references>
      </pivotArea>
    </format>
    <format dxfId="3880">
      <pivotArea dataOnly="0" labelOnly="1" outline="0" fieldPosition="0">
        <references count="3">
          <reference field="11" count="1" selected="0">
            <x v="321"/>
          </reference>
          <reference field="14" count="1" selected="0">
            <x v="456"/>
          </reference>
          <reference field="18" count="1">
            <x v="6"/>
          </reference>
        </references>
      </pivotArea>
    </format>
    <format dxfId="3879">
      <pivotArea dataOnly="0" labelOnly="1" outline="0" fieldPosition="0">
        <references count="3">
          <reference field="11" count="1" selected="0">
            <x v="321"/>
          </reference>
          <reference field="14" count="1" selected="0">
            <x v="456"/>
          </reference>
          <reference field="18" count="1" defaultSubtotal="1">
            <x v="6"/>
          </reference>
        </references>
      </pivotArea>
    </format>
    <format dxfId="3878">
      <pivotArea dataOnly="0" labelOnly="1" outline="0" fieldPosition="0">
        <references count="3">
          <reference field="11" count="1" selected="0">
            <x v="322"/>
          </reference>
          <reference field="14" count="1" selected="0">
            <x v="243"/>
          </reference>
          <reference field="18" count="1">
            <x v="6"/>
          </reference>
        </references>
      </pivotArea>
    </format>
    <format dxfId="3877">
      <pivotArea dataOnly="0" labelOnly="1" outline="0" fieldPosition="0">
        <references count="3">
          <reference field="11" count="1" selected="0">
            <x v="322"/>
          </reference>
          <reference field="14" count="1" selected="0">
            <x v="243"/>
          </reference>
          <reference field="18" count="1" defaultSubtotal="1">
            <x v="6"/>
          </reference>
        </references>
      </pivotArea>
    </format>
    <format dxfId="3876">
      <pivotArea dataOnly="0" labelOnly="1" outline="0" fieldPosition="0">
        <references count="3">
          <reference field="11" count="1" selected="0">
            <x v="323"/>
          </reference>
          <reference field="14" count="1" selected="0">
            <x v="428"/>
          </reference>
          <reference field="18" count="1">
            <x v="19"/>
          </reference>
        </references>
      </pivotArea>
    </format>
    <format dxfId="3875">
      <pivotArea dataOnly="0" labelOnly="1" outline="0" fieldPosition="0">
        <references count="3">
          <reference field="11" count="1" selected="0">
            <x v="323"/>
          </reference>
          <reference field="14" count="1" selected="0">
            <x v="428"/>
          </reference>
          <reference field="18" count="1" defaultSubtotal="1">
            <x v="19"/>
          </reference>
        </references>
      </pivotArea>
    </format>
    <format dxfId="3874">
      <pivotArea dataOnly="0" labelOnly="1" outline="0" fieldPosition="0">
        <references count="3">
          <reference field="11" count="1" selected="0">
            <x v="324"/>
          </reference>
          <reference field="14" count="1" selected="0">
            <x v="9"/>
          </reference>
          <reference field="18" count="2">
            <x v="0"/>
            <x v="2"/>
          </reference>
        </references>
      </pivotArea>
    </format>
    <format dxfId="3873">
      <pivotArea dataOnly="0" labelOnly="1" outline="0" fieldPosition="0">
        <references count="3">
          <reference field="11" count="1" selected="0">
            <x v="324"/>
          </reference>
          <reference field="14" count="1" selected="0">
            <x v="9"/>
          </reference>
          <reference field="18" count="2" defaultSubtotal="1">
            <x v="0"/>
            <x v="2"/>
          </reference>
        </references>
      </pivotArea>
    </format>
    <format dxfId="3872">
      <pivotArea dataOnly="0" labelOnly="1" outline="0" fieldPosition="0">
        <references count="3">
          <reference field="11" count="1" selected="0">
            <x v="325"/>
          </reference>
          <reference field="14" count="1" selected="0">
            <x v="225"/>
          </reference>
          <reference field="18" count="1">
            <x v="0"/>
          </reference>
        </references>
      </pivotArea>
    </format>
    <format dxfId="3871">
      <pivotArea dataOnly="0" labelOnly="1" outline="0" fieldPosition="0">
        <references count="3">
          <reference field="11" count="1" selected="0">
            <x v="325"/>
          </reference>
          <reference field="14" count="1" selected="0">
            <x v="225"/>
          </reference>
          <reference field="18" count="1" defaultSubtotal="1">
            <x v="0"/>
          </reference>
        </references>
      </pivotArea>
    </format>
    <format dxfId="3870">
      <pivotArea dataOnly="0" labelOnly="1" outline="0" fieldPosition="0">
        <references count="3">
          <reference field="11" count="1" selected="0">
            <x v="326"/>
          </reference>
          <reference field="14" count="1" selected="0">
            <x v="370"/>
          </reference>
          <reference field="18" count="1">
            <x v="2"/>
          </reference>
        </references>
      </pivotArea>
    </format>
    <format dxfId="3869">
      <pivotArea dataOnly="0" labelOnly="1" outline="0" fieldPosition="0">
        <references count="3">
          <reference field="11" count="1" selected="0">
            <x v="326"/>
          </reference>
          <reference field="14" count="1" selected="0">
            <x v="370"/>
          </reference>
          <reference field="18" count="1" defaultSubtotal="1">
            <x v="2"/>
          </reference>
        </references>
      </pivotArea>
    </format>
    <format dxfId="3868">
      <pivotArea dataOnly="0" labelOnly="1" outline="0" fieldPosition="0">
        <references count="3">
          <reference field="11" count="1" selected="0">
            <x v="327"/>
          </reference>
          <reference field="14" count="1" selected="0">
            <x v="60"/>
          </reference>
          <reference field="18" count="2">
            <x v="2"/>
            <x v="14"/>
          </reference>
        </references>
      </pivotArea>
    </format>
    <format dxfId="3867">
      <pivotArea dataOnly="0" labelOnly="1" outline="0" fieldPosition="0">
        <references count="3">
          <reference field="11" count="1" selected="0">
            <x v="327"/>
          </reference>
          <reference field="14" count="1" selected="0">
            <x v="60"/>
          </reference>
          <reference field="18" count="2" defaultSubtotal="1">
            <x v="2"/>
            <x v="14"/>
          </reference>
        </references>
      </pivotArea>
    </format>
    <format dxfId="3866">
      <pivotArea dataOnly="0" labelOnly="1" outline="0" fieldPosition="0">
        <references count="3">
          <reference field="11" count="1" selected="0">
            <x v="328"/>
          </reference>
          <reference field="14" count="1" selected="0">
            <x v="159"/>
          </reference>
          <reference field="18" count="1">
            <x v="2"/>
          </reference>
        </references>
      </pivotArea>
    </format>
    <format dxfId="3865">
      <pivotArea dataOnly="0" labelOnly="1" outline="0" fieldPosition="0">
        <references count="3">
          <reference field="11" count="1" selected="0">
            <x v="328"/>
          </reference>
          <reference field="14" count="1" selected="0">
            <x v="159"/>
          </reference>
          <reference field="18" count="1" defaultSubtotal="1">
            <x v="2"/>
          </reference>
        </references>
      </pivotArea>
    </format>
    <format dxfId="3864">
      <pivotArea dataOnly="0" labelOnly="1" outline="0" fieldPosition="0">
        <references count="3">
          <reference field="11" count="1" selected="0">
            <x v="329"/>
          </reference>
          <reference field="14" count="1" selected="0">
            <x v="134"/>
          </reference>
          <reference field="18" count="1">
            <x v="2"/>
          </reference>
        </references>
      </pivotArea>
    </format>
    <format dxfId="3863">
      <pivotArea dataOnly="0" labelOnly="1" outline="0" fieldPosition="0">
        <references count="3">
          <reference field="11" count="1" selected="0">
            <x v="329"/>
          </reference>
          <reference field="14" count="1" selected="0">
            <x v="134"/>
          </reference>
          <reference field="18" count="1" defaultSubtotal="1">
            <x v="2"/>
          </reference>
        </references>
      </pivotArea>
    </format>
    <format dxfId="3862">
      <pivotArea dataOnly="0" labelOnly="1" outline="0" fieldPosition="0">
        <references count="3">
          <reference field="11" count="1" selected="0">
            <x v="330"/>
          </reference>
          <reference field="14" count="1" selected="0">
            <x v="170"/>
          </reference>
          <reference field="18" count="1">
            <x v="2"/>
          </reference>
        </references>
      </pivotArea>
    </format>
    <format dxfId="3861">
      <pivotArea dataOnly="0" labelOnly="1" outline="0" fieldPosition="0">
        <references count="3">
          <reference field="11" count="1" selected="0">
            <x v="330"/>
          </reference>
          <reference field="14" count="1" selected="0">
            <x v="170"/>
          </reference>
          <reference field="18" count="1" defaultSubtotal="1">
            <x v="2"/>
          </reference>
        </references>
      </pivotArea>
    </format>
    <format dxfId="3860">
      <pivotArea dataOnly="0" labelOnly="1" outline="0" fieldPosition="0">
        <references count="3">
          <reference field="11" count="1" selected="0">
            <x v="331"/>
          </reference>
          <reference field="14" count="1" selected="0">
            <x v="132"/>
          </reference>
          <reference field="18" count="1">
            <x v="6"/>
          </reference>
        </references>
      </pivotArea>
    </format>
    <format dxfId="3859">
      <pivotArea dataOnly="0" labelOnly="1" outline="0" fieldPosition="0">
        <references count="3">
          <reference field="11" count="1" selected="0">
            <x v="331"/>
          </reference>
          <reference field="14" count="1" selected="0">
            <x v="132"/>
          </reference>
          <reference field="18" count="1" defaultSubtotal="1">
            <x v="6"/>
          </reference>
        </references>
      </pivotArea>
    </format>
    <format dxfId="3858">
      <pivotArea dataOnly="0" labelOnly="1" outline="0" fieldPosition="0">
        <references count="3">
          <reference field="11" count="1" selected="0">
            <x v="332"/>
          </reference>
          <reference field="14" count="1" selected="0">
            <x v="74"/>
          </reference>
          <reference field="18" count="2">
            <x v="16"/>
            <x v="21"/>
          </reference>
        </references>
      </pivotArea>
    </format>
    <format dxfId="3857">
      <pivotArea dataOnly="0" labelOnly="1" outline="0" fieldPosition="0">
        <references count="3">
          <reference field="11" count="1" selected="0">
            <x v="332"/>
          </reference>
          <reference field="14" count="1" selected="0">
            <x v="74"/>
          </reference>
          <reference field="18" count="2" defaultSubtotal="1">
            <x v="16"/>
            <x v="21"/>
          </reference>
        </references>
      </pivotArea>
    </format>
    <format dxfId="3856">
      <pivotArea dataOnly="0" labelOnly="1" outline="0" fieldPosition="0">
        <references count="3">
          <reference field="11" count="1" selected="0">
            <x v="333"/>
          </reference>
          <reference field="14" count="1" selected="0">
            <x v="202"/>
          </reference>
          <reference field="18" count="1">
            <x v="3"/>
          </reference>
        </references>
      </pivotArea>
    </format>
    <format dxfId="3855">
      <pivotArea dataOnly="0" labelOnly="1" outline="0" fieldPosition="0">
        <references count="3">
          <reference field="11" count="1" selected="0">
            <x v="333"/>
          </reference>
          <reference field="14" count="1" selected="0">
            <x v="202"/>
          </reference>
          <reference field="18" count="1" defaultSubtotal="1">
            <x v="3"/>
          </reference>
        </references>
      </pivotArea>
    </format>
    <format dxfId="3854">
      <pivotArea dataOnly="0" labelOnly="1" outline="0" fieldPosition="0">
        <references count="3">
          <reference field="11" count="1" selected="0">
            <x v="334"/>
          </reference>
          <reference field="14" count="1" selected="0">
            <x v="384"/>
          </reference>
          <reference field="18" count="2">
            <x v="0"/>
            <x v="2"/>
          </reference>
        </references>
      </pivotArea>
    </format>
    <format dxfId="3853">
      <pivotArea dataOnly="0" labelOnly="1" outline="0" fieldPosition="0">
        <references count="3">
          <reference field="11" count="1" selected="0">
            <x v="334"/>
          </reference>
          <reference field="14" count="1" selected="0">
            <x v="384"/>
          </reference>
          <reference field="18" count="2" defaultSubtotal="1">
            <x v="0"/>
            <x v="2"/>
          </reference>
        </references>
      </pivotArea>
    </format>
    <format dxfId="3852">
      <pivotArea dataOnly="0" labelOnly="1" outline="0" fieldPosition="0">
        <references count="3">
          <reference field="11" count="1" selected="0">
            <x v="335"/>
          </reference>
          <reference field="14" count="1" selected="0">
            <x v="309"/>
          </reference>
          <reference field="18" count="1">
            <x v="19"/>
          </reference>
        </references>
      </pivotArea>
    </format>
    <format dxfId="3851">
      <pivotArea dataOnly="0" labelOnly="1" outline="0" fieldPosition="0">
        <references count="3">
          <reference field="11" count="1" selected="0">
            <x v="335"/>
          </reference>
          <reference field="14" count="1" selected="0">
            <x v="309"/>
          </reference>
          <reference field="18" count="1" defaultSubtotal="1">
            <x v="19"/>
          </reference>
        </references>
      </pivotArea>
    </format>
    <format dxfId="3850">
      <pivotArea dataOnly="0" labelOnly="1" outline="0" fieldPosition="0">
        <references count="3">
          <reference field="11" count="1" selected="0">
            <x v="336"/>
          </reference>
          <reference field="14" count="1" selected="0">
            <x v="382"/>
          </reference>
          <reference field="18" count="1">
            <x v="3"/>
          </reference>
        </references>
      </pivotArea>
    </format>
    <format dxfId="3849">
      <pivotArea dataOnly="0" labelOnly="1" outline="0" fieldPosition="0">
        <references count="3">
          <reference field="11" count="1" selected="0">
            <x v="336"/>
          </reference>
          <reference field="14" count="1" selected="0">
            <x v="382"/>
          </reference>
          <reference field="18" count="1" defaultSubtotal="1">
            <x v="3"/>
          </reference>
        </references>
      </pivotArea>
    </format>
    <format dxfId="3848">
      <pivotArea dataOnly="0" labelOnly="1" outline="0" fieldPosition="0">
        <references count="3">
          <reference field="11" count="1" selected="0">
            <x v="337"/>
          </reference>
          <reference field="14" count="1" selected="0">
            <x v="71"/>
          </reference>
          <reference field="18" count="1">
            <x v="0"/>
          </reference>
        </references>
      </pivotArea>
    </format>
    <format dxfId="3847">
      <pivotArea dataOnly="0" labelOnly="1" outline="0" fieldPosition="0">
        <references count="3">
          <reference field="11" count="1" selected="0">
            <x v="337"/>
          </reference>
          <reference field="14" count="1" selected="0">
            <x v="71"/>
          </reference>
          <reference field="18" count="1" defaultSubtotal="1">
            <x v="0"/>
          </reference>
        </references>
      </pivotArea>
    </format>
    <format dxfId="3846">
      <pivotArea dataOnly="0" labelOnly="1" outline="0" fieldPosition="0">
        <references count="3">
          <reference field="11" count="1" selected="0">
            <x v="338"/>
          </reference>
          <reference field="14" count="1" selected="0">
            <x v="314"/>
          </reference>
          <reference field="18" count="1">
            <x v="19"/>
          </reference>
        </references>
      </pivotArea>
    </format>
    <format dxfId="3845">
      <pivotArea dataOnly="0" labelOnly="1" outline="0" fieldPosition="0">
        <references count="3">
          <reference field="11" count="1" selected="0">
            <x v="338"/>
          </reference>
          <reference field="14" count="1" selected="0">
            <x v="314"/>
          </reference>
          <reference field="18" count="1" defaultSubtotal="1">
            <x v="19"/>
          </reference>
        </references>
      </pivotArea>
    </format>
    <format dxfId="3844">
      <pivotArea dataOnly="0" labelOnly="1" outline="0" fieldPosition="0">
        <references count="3">
          <reference field="11" count="1" selected="0">
            <x v="339"/>
          </reference>
          <reference field="14" count="1" selected="0">
            <x v="160"/>
          </reference>
          <reference field="18" count="1">
            <x v="2"/>
          </reference>
        </references>
      </pivotArea>
    </format>
    <format dxfId="3843">
      <pivotArea dataOnly="0" labelOnly="1" outline="0" fieldPosition="0">
        <references count="3">
          <reference field="11" count="1" selected="0">
            <x v="339"/>
          </reference>
          <reference field="14" count="1" selected="0">
            <x v="160"/>
          </reference>
          <reference field="18" count="1" defaultSubtotal="1">
            <x v="2"/>
          </reference>
        </references>
      </pivotArea>
    </format>
    <format dxfId="3842">
      <pivotArea dataOnly="0" labelOnly="1" outline="0" fieldPosition="0">
        <references count="3">
          <reference field="11" count="1" selected="0">
            <x v="340"/>
          </reference>
          <reference field="14" count="1" selected="0">
            <x v="155"/>
          </reference>
          <reference field="18" count="1">
            <x v="2"/>
          </reference>
        </references>
      </pivotArea>
    </format>
    <format dxfId="3841">
      <pivotArea dataOnly="0" labelOnly="1" outline="0" fieldPosition="0">
        <references count="3">
          <reference field="11" count="1" selected="0">
            <x v="340"/>
          </reference>
          <reference field="14" count="1" selected="0">
            <x v="155"/>
          </reference>
          <reference field="18" count="1" defaultSubtotal="1">
            <x v="2"/>
          </reference>
        </references>
      </pivotArea>
    </format>
    <format dxfId="3840">
      <pivotArea dataOnly="0" labelOnly="1" outline="0" fieldPosition="0">
        <references count="3">
          <reference field="11" count="1" selected="0">
            <x v="341"/>
          </reference>
          <reference field="14" count="1" selected="0">
            <x v="163"/>
          </reference>
          <reference field="18" count="1">
            <x v="2"/>
          </reference>
        </references>
      </pivotArea>
    </format>
    <format dxfId="3839">
      <pivotArea dataOnly="0" labelOnly="1" outline="0" fieldPosition="0">
        <references count="3">
          <reference field="11" count="1" selected="0">
            <x v="341"/>
          </reference>
          <reference field="14" count="1" selected="0">
            <x v="163"/>
          </reference>
          <reference field="18" count="1" defaultSubtotal="1">
            <x v="2"/>
          </reference>
        </references>
      </pivotArea>
    </format>
    <format dxfId="3838">
      <pivotArea dataOnly="0" labelOnly="1" outline="0" fieldPosition="0">
        <references count="3">
          <reference field="11" count="1" selected="0">
            <x v="342"/>
          </reference>
          <reference field="14" count="1" selected="0">
            <x v="156"/>
          </reference>
          <reference field="18" count="1">
            <x v="2"/>
          </reference>
        </references>
      </pivotArea>
    </format>
    <format dxfId="3837">
      <pivotArea dataOnly="0" labelOnly="1" outline="0" fieldPosition="0">
        <references count="3">
          <reference field="11" count="1" selected="0">
            <x v="342"/>
          </reference>
          <reference field="14" count="1" selected="0">
            <x v="156"/>
          </reference>
          <reference field="18" count="1" defaultSubtotal="1">
            <x v="2"/>
          </reference>
        </references>
      </pivotArea>
    </format>
    <format dxfId="3836">
      <pivotArea dataOnly="0" labelOnly="1" outline="0" fieldPosition="0">
        <references count="3">
          <reference field="11" count="1" selected="0">
            <x v="343"/>
          </reference>
          <reference field="14" count="1" selected="0">
            <x v="293"/>
          </reference>
          <reference field="18" count="2">
            <x v="2"/>
            <x v="3"/>
          </reference>
        </references>
      </pivotArea>
    </format>
    <format dxfId="3835">
      <pivotArea dataOnly="0" labelOnly="1" outline="0" fieldPosition="0">
        <references count="3">
          <reference field="11" count="1" selected="0">
            <x v="343"/>
          </reference>
          <reference field="14" count="1" selected="0">
            <x v="293"/>
          </reference>
          <reference field="18" count="2" defaultSubtotal="1">
            <x v="2"/>
            <x v="3"/>
          </reference>
        </references>
      </pivotArea>
    </format>
    <format dxfId="3834">
      <pivotArea dataOnly="0" labelOnly="1" outline="0" fieldPosition="0">
        <references count="3">
          <reference field="11" count="1" selected="0">
            <x v="344"/>
          </reference>
          <reference field="14" count="1" selected="0">
            <x v="253"/>
          </reference>
          <reference field="18" count="1">
            <x v="0"/>
          </reference>
        </references>
      </pivotArea>
    </format>
    <format dxfId="3833">
      <pivotArea dataOnly="0" labelOnly="1" outline="0" fieldPosition="0">
        <references count="3">
          <reference field="11" count="1" selected="0">
            <x v="344"/>
          </reference>
          <reference field="14" count="1" selected="0">
            <x v="253"/>
          </reference>
          <reference field="18" count="1" defaultSubtotal="1">
            <x v="0"/>
          </reference>
        </references>
      </pivotArea>
    </format>
    <format dxfId="3832">
      <pivotArea dataOnly="0" labelOnly="1" outline="0" fieldPosition="0">
        <references count="3">
          <reference field="11" count="1" selected="0">
            <x v="345"/>
          </reference>
          <reference field="14" count="1" selected="0">
            <x v="209"/>
          </reference>
          <reference field="18" count="3">
            <x v="0"/>
            <x v="1"/>
            <x v="11"/>
          </reference>
        </references>
      </pivotArea>
    </format>
    <format dxfId="3831">
      <pivotArea dataOnly="0" labelOnly="1" outline="0" fieldPosition="0">
        <references count="3">
          <reference field="11" count="1" selected="0">
            <x v="345"/>
          </reference>
          <reference field="14" count="1" selected="0">
            <x v="209"/>
          </reference>
          <reference field="18" count="3" defaultSubtotal="1">
            <x v="0"/>
            <x v="1"/>
            <x v="11"/>
          </reference>
        </references>
      </pivotArea>
    </format>
    <format dxfId="3830">
      <pivotArea dataOnly="0" labelOnly="1" outline="0" fieldPosition="0">
        <references count="3">
          <reference field="11" count="1" selected="0">
            <x v="346"/>
          </reference>
          <reference field="14" count="1" selected="0">
            <x v="315"/>
          </reference>
          <reference field="18" count="1">
            <x v="3"/>
          </reference>
        </references>
      </pivotArea>
    </format>
    <format dxfId="3829">
      <pivotArea dataOnly="0" labelOnly="1" outline="0" fieldPosition="0">
        <references count="3">
          <reference field="11" count="1" selected="0">
            <x v="346"/>
          </reference>
          <reference field="14" count="1" selected="0">
            <x v="315"/>
          </reference>
          <reference field="18" count="1" defaultSubtotal="1">
            <x v="3"/>
          </reference>
        </references>
      </pivotArea>
    </format>
    <format dxfId="3828">
      <pivotArea dataOnly="0" labelOnly="1" outline="0" fieldPosition="0">
        <references count="3">
          <reference field="11" count="1" selected="0">
            <x v="347"/>
          </reference>
          <reference field="14" count="1" selected="0">
            <x v="257"/>
          </reference>
          <reference field="18" count="1">
            <x v="0"/>
          </reference>
        </references>
      </pivotArea>
    </format>
    <format dxfId="3827">
      <pivotArea dataOnly="0" labelOnly="1" outline="0" fieldPosition="0">
        <references count="3">
          <reference field="11" count="1" selected="0">
            <x v="347"/>
          </reference>
          <reference field="14" count="1" selected="0">
            <x v="257"/>
          </reference>
          <reference field="18" count="1" defaultSubtotal="1">
            <x v="0"/>
          </reference>
        </references>
      </pivotArea>
    </format>
    <format dxfId="3826">
      <pivotArea dataOnly="0" labelOnly="1" outline="0" fieldPosition="0">
        <references count="3">
          <reference field="11" count="1" selected="0">
            <x v="348"/>
          </reference>
          <reference field="14" count="1" selected="0">
            <x v="448"/>
          </reference>
          <reference field="18" count="1">
            <x v="19"/>
          </reference>
        </references>
      </pivotArea>
    </format>
    <format dxfId="3825">
      <pivotArea dataOnly="0" labelOnly="1" outline="0" fieldPosition="0">
        <references count="3">
          <reference field="11" count="1" selected="0">
            <x v="348"/>
          </reference>
          <reference field="14" count="1" selected="0">
            <x v="448"/>
          </reference>
          <reference field="18" count="1" defaultSubtotal="1">
            <x v="19"/>
          </reference>
        </references>
      </pivotArea>
    </format>
    <format dxfId="3824">
      <pivotArea dataOnly="0" labelOnly="1" outline="0" fieldPosition="0">
        <references count="3">
          <reference field="11" count="1" selected="0">
            <x v="349"/>
          </reference>
          <reference field="14" count="1" selected="0">
            <x v="331"/>
          </reference>
          <reference field="18" count="1">
            <x v="6"/>
          </reference>
        </references>
      </pivotArea>
    </format>
    <format dxfId="3823">
      <pivotArea dataOnly="0" labelOnly="1" outline="0" fieldPosition="0">
        <references count="3">
          <reference field="11" count="1" selected="0">
            <x v="349"/>
          </reference>
          <reference field="14" count="1" selected="0">
            <x v="331"/>
          </reference>
          <reference field="18" count="1" defaultSubtotal="1">
            <x v="6"/>
          </reference>
        </references>
      </pivotArea>
    </format>
    <format dxfId="3822">
      <pivotArea dataOnly="0" labelOnly="1" outline="0" fieldPosition="0">
        <references count="3">
          <reference field="11" count="1" selected="0">
            <x v="350"/>
          </reference>
          <reference field="14" count="1" selected="0">
            <x v="221"/>
          </reference>
          <reference field="18" count="1">
            <x v="6"/>
          </reference>
        </references>
      </pivotArea>
    </format>
    <format dxfId="3821">
      <pivotArea dataOnly="0" labelOnly="1" outline="0" fieldPosition="0">
        <references count="3">
          <reference field="11" count="1" selected="0">
            <x v="350"/>
          </reference>
          <reference field="14" count="1" selected="0">
            <x v="221"/>
          </reference>
          <reference field="18" count="1" defaultSubtotal="1">
            <x v="6"/>
          </reference>
        </references>
      </pivotArea>
    </format>
    <format dxfId="3820">
      <pivotArea dataOnly="0" labelOnly="1" outline="0" fieldPosition="0">
        <references count="3">
          <reference field="11" count="1" selected="0">
            <x v="351"/>
          </reference>
          <reference field="14" count="1" selected="0">
            <x v="199"/>
          </reference>
          <reference field="18" count="1">
            <x v="27"/>
          </reference>
        </references>
      </pivotArea>
    </format>
    <format dxfId="3819">
      <pivotArea dataOnly="0" labelOnly="1" outline="0" fieldPosition="0">
        <references count="3">
          <reference field="11" count="1" selected="0">
            <x v="351"/>
          </reference>
          <reference field="14" count="1" selected="0">
            <x v="199"/>
          </reference>
          <reference field="18" count="1" defaultSubtotal="1">
            <x v="27"/>
          </reference>
        </references>
      </pivotArea>
    </format>
    <format dxfId="3818">
      <pivotArea dataOnly="0" labelOnly="1" outline="0" fieldPosition="0">
        <references count="3">
          <reference field="11" count="1" selected="0">
            <x v="352"/>
          </reference>
          <reference field="14" count="1" selected="0">
            <x v="78"/>
          </reference>
          <reference field="18" count="1">
            <x v="1"/>
          </reference>
        </references>
      </pivotArea>
    </format>
    <format dxfId="3817">
      <pivotArea dataOnly="0" labelOnly="1" outline="0" fieldPosition="0">
        <references count="3">
          <reference field="11" count="1" selected="0">
            <x v="352"/>
          </reference>
          <reference field="14" count="1" selected="0">
            <x v="78"/>
          </reference>
          <reference field="18" count="1" defaultSubtotal="1">
            <x v="1"/>
          </reference>
        </references>
      </pivotArea>
    </format>
    <format dxfId="3816">
      <pivotArea dataOnly="0" labelOnly="1" outline="0" fieldPosition="0">
        <references count="3">
          <reference field="11" count="1" selected="0">
            <x v="353"/>
          </reference>
          <reference field="14" count="1" selected="0">
            <x v="18"/>
          </reference>
          <reference field="18" count="1">
            <x v="6"/>
          </reference>
        </references>
      </pivotArea>
    </format>
    <format dxfId="3815">
      <pivotArea dataOnly="0" labelOnly="1" outline="0" fieldPosition="0">
        <references count="3">
          <reference field="11" count="1" selected="0">
            <x v="353"/>
          </reference>
          <reference field="14" count="1" selected="0">
            <x v="18"/>
          </reference>
          <reference field="18" count="1" defaultSubtotal="1">
            <x v="6"/>
          </reference>
        </references>
      </pivotArea>
    </format>
    <format dxfId="3814">
      <pivotArea dataOnly="0" labelOnly="1" outline="0" fieldPosition="0">
        <references count="3">
          <reference field="11" count="1" selected="0">
            <x v="354"/>
          </reference>
          <reference field="14" count="1" selected="0">
            <x v="135"/>
          </reference>
          <reference field="18" count="1">
            <x v="6"/>
          </reference>
        </references>
      </pivotArea>
    </format>
    <format dxfId="3813">
      <pivotArea dataOnly="0" labelOnly="1" outline="0" fieldPosition="0">
        <references count="3">
          <reference field="11" count="1" selected="0">
            <x v="354"/>
          </reference>
          <reference field="14" count="1" selected="0">
            <x v="135"/>
          </reference>
          <reference field="18" count="1" defaultSubtotal="1">
            <x v="6"/>
          </reference>
        </references>
      </pivotArea>
    </format>
    <format dxfId="3812">
      <pivotArea dataOnly="0" labelOnly="1" outline="0" fieldPosition="0">
        <references count="3">
          <reference field="11" count="1" selected="0">
            <x v="355"/>
          </reference>
          <reference field="14" count="1" selected="0">
            <x v="296"/>
          </reference>
          <reference field="18" count="1">
            <x v="6"/>
          </reference>
        </references>
      </pivotArea>
    </format>
    <format dxfId="3811">
      <pivotArea dataOnly="0" labelOnly="1" outline="0" fieldPosition="0">
        <references count="3">
          <reference field="11" count="1" selected="0">
            <x v="355"/>
          </reference>
          <reference field="14" count="1" selected="0">
            <x v="296"/>
          </reference>
          <reference field="18" count="1" defaultSubtotal="1">
            <x v="6"/>
          </reference>
        </references>
      </pivotArea>
    </format>
    <format dxfId="3810">
      <pivotArea dataOnly="0" labelOnly="1" outline="0" fieldPosition="0">
        <references count="3">
          <reference field="11" count="1" selected="0">
            <x v="356"/>
          </reference>
          <reference field="14" count="1" selected="0">
            <x v="299"/>
          </reference>
          <reference field="18" count="1">
            <x v="6"/>
          </reference>
        </references>
      </pivotArea>
    </format>
    <format dxfId="3809">
      <pivotArea dataOnly="0" labelOnly="1" outline="0" fieldPosition="0">
        <references count="3">
          <reference field="11" count="1" selected="0">
            <x v="356"/>
          </reference>
          <reference field="14" count="1" selected="0">
            <x v="299"/>
          </reference>
          <reference field="18" count="1" defaultSubtotal="1">
            <x v="6"/>
          </reference>
        </references>
      </pivotArea>
    </format>
    <format dxfId="3808">
      <pivotArea dataOnly="0" labelOnly="1" outline="0" fieldPosition="0">
        <references count="3">
          <reference field="11" count="1" selected="0">
            <x v="357"/>
          </reference>
          <reference field="14" count="1" selected="0">
            <x v="298"/>
          </reference>
          <reference field="18" count="1">
            <x v="6"/>
          </reference>
        </references>
      </pivotArea>
    </format>
    <format dxfId="3807">
      <pivotArea dataOnly="0" labelOnly="1" outline="0" fieldPosition="0">
        <references count="3">
          <reference field="11" count="1" selected="0">
            <x v="357"/>
          </reference>
          <reference field="14" count="1" selected="0">
            <x v="298"/>
          </reference>
          <reference field="18" count="1" defaultSubtotal="1">
            <x v="6"/>
          </reference>
        </references>
      </pivotArea>
    </format>
    <format dxfId="3806">
      <pivotArea dataOnly="0" labelOnly="1" outline="0" fieldPosition="0">
        <references count="3">
          <reference field="11" count="1" selected="0">
            <x v="358"/>
          </reference>
          <reference field="14" count="1" selected="0">
            <x v="292"/>
          </reference>
          <reference field="18" count="1">
            <x v="3"/>
          </reference>
        </references>
      </pivotArea>
    </format>
    <format dxfId="3805">
      <pivotArea dataOnly="0" labelOnly="1" outline="0" fieldPosition="0">
        <references count="3">
          <reference field="11" count="1" selected="0">
            <x v="358"/>
          </reference>
          <reference field="14" count="1" selected="0">
            <x v="292"/>
          </reference>
          <reference field="18" count="1" defaultSubtotal="1">
            <x v="3"/>
          </reference>
        </references>
      </pivotArea>
    </format>
    <format dxfId="3804">
      <pivotArea dataOnly="0" labelOnly="1" outline="0" fieldPosition="0">
        <references count="3">
          <reference field="11" count="1" selected="0">
            <x v="359"/>
          </reference>
          <reference field="14" count="1" selected="0">
            <x v="39"/>
          </reference>
          <reference field="18" count="1">
            <x v="1"/>
          </reference>
        </references>
      </pivotArea>
    </format>
    <format dxfId="3803">
      <pivotArea dataOnly="0" labelOnly="1" outline="0" fieldPosition="0">
        <references count="3">
          <reference field="11" count="1" selected="0">
            <x v="359"/>
          </reference>
          <reference field="14" count="1" selected="0">
            <x v="39"/>
          </reference>
          <reference field="18" count="1" defaultSubtotal="1">
            <x v="1"/>
          </reference>
        </references>
      </pivotArea>
    </format>
    <format dxfId="3802">
      <pivotArea dataOnly="0" labelOnly="1" outline="0" fieldPosition="0">
        <references count="3">
          <reference field="11" count="1" selected="0">
            <x v="360"/>
          </reference>
          <reference field="14" count="1" selected="0">
            <x v="24"/>
          </reference>
          <reference field="18" count="1">
            <x v="5"/>
          </reference>
        </references>
      </pivotArea>
    </format>
    <format dxfId="3801">
      <pivotArea dataOnly="0" labelOnly="1" outline="0" fieldPosition="0">
        <references count="3">
          <reference field="11" count="1" selected="0">
            <x v="360"/>
          </reference>
          <reference field="14" count="1" selected="0">
            <x v="24"/>
          </reference>
          <reference field="18" count="1" defaultSubtotal="1">
            <x v="5"/>
          </reference>
        </references>
      </pivotArea>
    </format>
    <format dxfId="3800">
      <pivotArea dataOnly="0" labelOnly="1" outline="0" fieldPosition="0">
        <references count="3">
          <reference field="11" count="1" selected="0">
            <x v="361"/>
          </reference>
          <reference field="14" count="1" selected="0">
            <x v="352"/>
          </reference>
          <reference field="18" count="1">
            <x v="5"/>
          </reference>
        </references>
      </pivotArea>
    </format>
    <format dxfId="3799">
      <pivotArea dataOnly="0" labelOnly="1" outline="0" fieldPosition="0">
        <references count="3">
          <reference field="11" count="1" selected="0">
            <x v="361"/>
          </reference>
          <reference field="14" count="1" selected="0">
            <x v="352"/>
          </reference>
          <reference field="18" count="1" defaultSubtotal="1">
            <x v="5"/>
          </reference>
        </references>
      </pivotArea>
    </format>
    <format dxfId="3798">
      <pivotArea dataOnly="0" labelOnly="1" outline="0" fieldPosition="0">
        <references count="3">
          <reference field="11" count="1" selected="0">
            <x v="362"/>
          </reference>
          <reference field="14" count="1" selected="0">
            <x v="21"/>
          </reference>
          <reference field="18" count="1">
            <x v="6"/>
          </reference>
        </references>
      </pivotArea>
    </format>
    <format dxfId="3797">
      <pivotArea dataOnly="0" labelOnly="1" outline="0" fieldPosition="0">
        <references count="3">
          <reference field="11" count="1" selected="0">
            <x v="362"/>
          </reference>
          <reference field="14" count="1" selected="0">
            <x v="21"/>
          </reference>
          <reference field="18" count="1" defaultSubtotal="1">
            <x v="6"/>
          </reference>
        </references>
      </pivotArea>
    </format>
    <format dxfId="3796">
      <pivotArea dataOnly="0" labelOnly="1" outline="0" fieldPosition="0">
        <references count="3">
          <reference field="11" count="1" selected="0">
            <x v="363"/>
          </reference>
          <reference field="14" count="1" selected="0">
            <x v="6"/>
          </reference>
          <reference field="18" count="1">
            <x v="0"/>
          </reference>
        </references>
      </pivotArea>
    </format>
    <format dxfId="3795">
      <pivotArea dataOnly="0" labelOnly="1" outline="0" fieldPosition="0">
        <references count="3">
          <reference field="11" count="1" selected="0">
            <x v="363"/>
          </reference>
          <reference field="14" count="1" selected="0">
            <x v="6"/>
          </reference>
          <reference field="18" count="1" defaultSubtotal="1">
            <x v="0"/>
          </reference>
        </references>
      </pivotArea>
    </format>
    <format dxfId="3794">
      <pivotArea dataOnly="0" labelOnly="1" outline="0" fieldPosition="0">
        <references count="3">
          <reference field="11" count="1" selected="0">
            <x v="364"/>
          </reference>
          <reference field="14" count="1" selected="0">
            <x v="212"/>
          </reference>
          <reference field="18" count="1">
            <x v="14"/>
          </reference>
        </references>
      </pivotArea>
    </format>
    <format dxfId="3793">
      <pivotArea dataOnly="0" labelOnly="1" outline="0" fieldPosition="0">
        <references count="3">
          <reference field="11" count="1" selected="0">
            <x v="364"/>
          </reference>
          <reference field="14" count="1" selected="0">
            <x v="212"/>
          </reference>
          <reference field="18" count="1" defaultSubtotal="1">
            <x v="14"/>
          </reference>
        </references>
      </pivotArea>
    </format>
    <format dxfId="3792">
      <pivotArea dataOnly="0" labelOnly="1" outline="0" fieldPosition="0">
        <references count="3">
          <reference field="11" count="1" selected="0">
            <x v="365"/>
          </reference>
          <reference field="14" count="1" selected="0">
            <x v="284"/>
          </reference>
          <reference field="18" count="1">
            <x v="0"/>
          </reference>
        </references>
      </pivotArea>
    </format>
    <format dxfId="3791">
      <pivotArea dataOnly="0" labelOnly="1" outline="0" fieldPosition="0">
        <references count="3">
          <reference field="11" count="1" selected="0">
            <x v="365"/>
          </reference>
          <reference field="14" count="1" selected="0">
            <x v="284"/>
          </reference>
          <reference field="18" count="1" defaultSubtotal="1">
            <x v="0"/>
          </reference>
        </references>
      </pivotArea>
    </format>
    <format dxfId="3790">
      <pivotArea dataOnly="0" labelOnly="1" outline="0" fieldPosition="0">
        <references count="3">
          <reference field="11" count="1" selected="0">
            <x v="366"/>
          </reference>
          <reference field="14" count="1" selected="0">
            <x v="254"/>
          </reference>
          <reference field="18" count="1">
            <x v="0"/>
          </reference>
        </references>
      </pivotArea>
    </format>
    <format dxfId="3789">
      <pivotArea dataOnly="0" labelOnly="1" outline="0" fieldPosition="0">
        <references count="3">
          <reference field="11" count="1" selected="0">
            <x v="366"/>
          </reference>
          <reference field="14" count="1" selected="0">
            <x v="254"/>
          </reference>
          <reference field="18" count="1" defaultSubtotal="1">
            <x v="0"/>
          </reference>
        </references>
      </pivotArea>
    </format>
    <format dxfId="3788">
      <pivotArea dataOnly="0" labelOnly="1" outline="0" fieldPosition="0">
        <references count="3">
          <reference field="11" count="1" selected="0">
            <x v="367"/>
          </reference>
          <reference field="14" count="1" selected="0">
            <x v="457"/>
          </reference>
          <reference field="18" count="1">
            <x v="0"/>
          </reference>
        </references>
      </pivotArea>
    </format>
    <format dxfId="3787">
      <pivotArea dataOnly="0" labelOnly="1" outline="0" fieldPosition="0">
        <references count="3">
          <reference field="11" count="1" selected="0">
            <x v="367"/>
          </reference>
          <reference field="14" count="1" selected="0">
            <x v="457"/>
          </reference>
          <reference field="18" count="1" defaultSubtotal="1">
            <x v="0"/>
          </reference>
        </references>
      </pivotArea>
    </format>
    <format dxfId="3786">
      <pivotArea dataOnly="0" labelOnly="1" outline="0" fieldPosition="0">
        <references count="3">
          <reference field="11" count="1" selected="0">
            <x v="368"/>
          </reference>
          <reference field="14" count="1" selected="0">
            <x v="2"/>
          </reference>
          <reference field="18" count="1">
            <x v="19"/>
          </reference>
        </references>
      </pivotArea>
    </format>
    <format dxfId="3785">
      <pivotArea dataOnly="0" labelOnly="1" outline="0" fieldPosition="0">
        <references count="3">
          <reference field="11" count="1" selected="0">
            <x v="368"/>
          </reference>
          <reference field="14" count="1" selected="0">
            <x v="2"/>
          </reference>
          <reference field="18" count="1" defaultSubtotal="1">
            <x v="19"/>
          </reference>
        </references>
      </pivotArea>
    </format>
    <format dxfId="3784">
      <pivotArea dataOnly="0" labelOnly="1" outline="0" fieldPosition="0">
        <references count="3">
          <reference field="11" count="1" selected="0">
            <x v="369"/>
          </reference>
          <reference field="14" count="1" selected="0">
            <x v="147"/>
          </reference>
          <reference field="18" count="2">
            <x v="12"/>
            <x v="14"/>
          </reference>
        </references>
      </pivotArea>
    </format>
    <format dxfId="3783">
      <pivotArea dataOnly="0" labelOnly="1" outline="0" fieldPosition="0">
        <references count="3">
          <reference field="11" count="1" selected="0">
            <x v="369"/>
          </reference>
          <reference field="14" count="1" selected="0">
            <x v="147"/>
          </reference>
          <reference field="18" count="2" defaultSubtotal="1">
            <x v="12"/>
            <x v="14"/>
          </reference>
        </references>
      </pivotArea>
    </format>
    <format dxfId="3782">
      <pivotArea dataOnly="0" labelOnly="1" outline="0" fieldPosition="0">
        <references count="3">
          <reference field="11" count="1" selected="0">
            <x v="370"/>
          </reference>
          <reference field="14" count="1" selected="0">
            <x v="112"/>
          </reference>
          <reference field="18" count="1">
            <x v="19"/>
          </reference>
        </references>
      </pivotArea>
    </format>
    <format dxfId="3781">
      <pivotArea dataOnly="0" labelOnly="1" outline="0" fieldPosition="0">
        <references count="3">
          <reference field="11" count="1" selected="0">
            <x v="370"/>
          </reference>
          <reference field="14" count="1" selected="0">
            <x v="112"/>
          </reference>
          <reference field="18" count="1" defaultSubtotal="1">
            <x v="19"/>
          </reference>
        </references>
      </pivotArea>
    </format>
    <format dxfId="3780">
      <pivotArea dataOnly="0" labelOnly="1" outline="0" fieldPosition="0">
        <references count="3">
          <reference field="11" count="1" selected="0">
            <x v="371"/>
          </reference>
          <reference field="14" count="1" selected="0">
            <x v="81"/>
          </reference>
          <reference field="18" count="1">
            <x v="1"/>
          </reference>
        </references>
      </pivotArea>
    </format>
    <format dxfId="3779">
      <pivotArea dataOnly="0" labelOnly="1" outline="0" fieldPosition="0">
        <references count="3">
          <reference field="11" count="1" selected="0">
            <x v="371"/>
          </reference>
          <reference field="14" count="1" selected="0">
            <x v="81"/>
          </reference>
          <reference field="18" count="1" defaultSubtotal="1">
            <x v="1"/>
          </reference>
        </references>
      </pivotArea>
    </format>
    <format dxfId="3778">
      <pivotArea dataOnly="0" labelOnly="1" outline="0" fieldPosition="0">
        <references count="3">
          <reference field="11" count="1" selected="0">
            <x v="372"/>
          </reference>
          <reference field="14" count="1" selected="0">
            <x v="82"/>
          </reference>
          <reference field="18" count="1">
            <x v="1"/>
          </reference>
        </references>
      </pivotArea>
    </format>
    <format dxfId="3777">
      <pivotArea dataOnly="0" labelOnly="1" outline="0" fieldPosition="0">
        <references count="3">
          <reference field="11" count="1" selected="0">
            <x v="372"/>
          </reference>
          <reference field="14" count="1" selected="0">
            <x v="82"/>
          </reference>
          <reference field="18" count="1" defaultSubtotal="1">
            <x v="1"/>
          </reference>
        </references>
      </pivotArea>
    </format>
    <format dxfId="3776">
      <pivotArea dataOnly="0" labelOnly="1" outline="0" fieldPosition="0">
        <references count="3">
          <reference field="11" count="1" selected="0">
            <x v="373"/>
          </reference>
          <reference field="14" count="1" selected="0">
            <x v="85"/>
          </reference>
          <reference field="18" count="1">
            <x v="1"/>
          </reference>
        </references>
      </pivotArea>
    </format>
    <format dxfId="3775">
      <pivotArea dataOnly="0" labelOnly="1" outline="0" fieldPosition="0">
        <references count="3">
          <reference field="11" count="1" selected="0">
            <x v="373"/>
          </reference>
          <reference field="14" count="1" selected="0">
            <x v="85"/>
          </reference>
          <reference field="18" count="1" defaultSubtotal="1">
            <x v="1"/>
          </reference>
        </references>
      </pivotArea>
    </format>
    <format dxfId="3774">
      <pivotArea dataOnly="0" labelOnly="1" outline="0" fieldPosition="0">
        <references count="3">
          <reference field="11" count="1" selected="0">
            <x v="374"/>
          </reference>
          <reference field="14" count="1" selected="0">
            <x v="89"/>
          </reference>
          <reference field="18" count="1">
            <x v="1"/>
          </reference>
        </references>
      </pivotArea>
    </format>
    <format dxfId="3773">
      <pivotArea dataOnly="0" labelOnly="1" outline="0" fieldPosition="0">
        <references count="3">
          <reference field="11" count="1" selected="0">
            <x v="374"/>
          </reference>
          <reference field="14" count="1" selected="0">
            <x v="89"/>
          </reference>
          <reference field="18" count="1" defaultSubtotal="1">
            <x v="1"/>
          </reference>
        </references>
      </pivotArea>
    </format>
    <format dxfId="3772">
      <pivotArea dataOnly="0" labelOnly="1" outline="0" fieldPosition="0">
        <references count="3">
          <reference field="11" count="1" selected="0">
            <x v="375"/>
          </reference>
          <reference field="14" count="1" selected="0">
            <x v="88"/>
          </reference>
          <reference field="18" count="1">
            <x v="1"/>
          </reference>
        </references>
      </pivotArea>
    </format>
    <format dxfId="3771">
      <pivotArea dataOnly="0" labelOnly="1" outline="0" fieldPosition="0">
        <references count="3">
          <reference field="11" count="1" selected="0">
            <x v="375"/>
          </reference>
          <reference field="14" count="1" selected="0">
            <x v="88"/>
          </reference>
          <reference field="18" count="1" defaultSubtotal="1">
            <x v="1"/>
          </reference>
        </references>
      </pivotArea>
    </format>
    <format dxfId="3770">
      <pivotArea dataOnly="0" labelOnly="1" outline="0" fieldPosition="0">
        <references count="3">
          <reference field="11" count="1" selected="0">
            <x v="376"/>
          </reference>
          <reference field="14" count="1" selected="0">
            <x v="87"/>
          </reference>
          <reference field="18" count="1">
            <x v="1"/>
          </reference>
        </references>
      </pivotArea>
    </format>
    <format dxfId="3769">
      <pivotArea dataOnly="0" labelOnly="1" outline="0" fieldPosition="0">
        <references count="3">
          <reference field="11" count="1" selected="0">
            <x v="376"/>
          </reference>
          <reference field="14" count="1" selected="0">
            <x v="87"/>
          </reference>
          <reference field="18" count="1" defaultSubtotal="1">
            <x v="1"/>
          </reference>
        </references>
      </pivotArea>
    </format>
    <format dxfId="3768">
      <pivotArea dataOnly="0" labelOnly="1" outline="0" fieldPosition="0">
        <references count="3">
          <reference field="11" count="1" selected="0">
            <x v="377"/>
          </reference>
          <reference field="14" count="1" selected="0">
            <x v="79"/>
          </reference>
          <reference field="18" count="1">
            <x v="1"/>
          </reference>
        </references>
      </pivotArea>
    </format>
    <format dxfId="3767">
      <pivotArea dataOnly="0" labelOnly="1" outline="0" fieldPosition="0">
        <references count="3">
          <reference field="11" count="1" selected="0">
            <x v="377"/>
          </reference>
          <reference field="14" count="1" selected="0">
            <x v="79"/>
          </reference>
          <reference field="18" count="1" defaultSubtotal="1">
            <x v="1"/>
          </reference>
        </references>
      </pivotArea>
    </format>
    <format dxfId="3766">
      <pivotArea dataOnly="0" labelOnly="1" outline="0" fieldPosition="0">
        <references count="3">
          <reference field="11" count="1" selected="0">
            <x v="378"/>
          </reference>
          <reference field="14" count="1" selected="0">
            <x v="92"/>
          </reference>
          <reference field="18" count="1">
            <x v="1"/>
          </reference>
        </references>
      </pivotArea>
    </format>
    <format dxfId="3765">
      <pivotArea dataOnly="0" labelOnly="1" outline="0" fieldPosition="0">
        <references count="3">
          <reference field="11" count="1" selected="0">
            <x v="378"/>
          </reference>
          <reference field="14" count="1" selected="0">
            <x v="92"/>
          </reference>
          <reference field="18" count="1" defaultSubtotal="1">
            <x v="1"/>
          </reference>
        </references>
      </pivotArea>
    </format>
    <format dxfId="3764">
      <pivotArea dataOnly="0" labelOnly="1" outline="0" fieldPosition="0">
        <references count="3">
          <reference field="11" count="1" selected="0">
            <x v="379"/>
          </reference>
          <reference field="14" count="1" selected="0">
            <x v="145"/>
          </reference>
          <reference field="18" count="2">
            <x v="7"/>
            <x v="12"/>
          </reference>
        </references>
      </pivotArea>
    </format>
    <format dxfId="3763">
      <pivotArea dataOnly="0" labelOnly="1" outline="0" fieldPosition="0">
        <references count="3">
          <reference field="11" count="1" selected="0">
            <x v="379"/>
          </reference>
          <reference field="14" count="1" selected="0">
            <x v="145"/>
          </reference>
          <reference field="18" count="2" defaultSubtotal="1">
            <x v="7"/>
            <x v="12"/>
          </reference>
        </references>
      </pivotArea>
    </format>
    <format dxfId="3762">
      <pivotArea dataOnly="0" labelOnly="1" outline="0" fieldPosition="0">
        <references count="3">
          <reference field="11" count="1" selected="0">
            <x v="380"/>
          </reference>
          <reference field="14" count="1" selected="0">
            <x v="334"/>
          </reference>
          <reference field="18" count="1">
            <x v="1"/>
          </reference>
        </references>
      </pivotArea>
    </format>
    <format dxfId="3761">
      <pivotArea dataOnly="0" labelOnly="1" outline="0" fieldPosition="0">
        <references count="3">
          <reference field="11" count="1" selected="0">
            <x v="380"/>
          </reference>
          <reference field="14" count="1" selected="0">
            <x v="334"/>
          </reference>
          <reference field="18" count="1" defaultSubtotal="1">
            <x v="1"/>
          </reference>
        </references>
      </pivotArea>
    </format>
    <format dxfId="3760">
      <pivotArea dataOnly="0" labelOnly="1" outline="0" fieldPosition="0">
        <references count="3">
          <reference field="11" count="1" selected="0">
            <x v="381"/>
          </reference>
          <reference field="14" count="1" selected="0">
            <x v="399"/>
          </reference>
          <reference field="18" count="2">
            <x v="0"/>
            <x v="4"/>
          </reference>
        </references>
      </pivotArea>
    </format>
    <format dxfId="3759">
      <pivotArea dataOnly="0" labelOnly="1" outline="0" fieldPosition="0">
        <references count="3">
          <reference field="11" count="1" selected="0">
            <x v="381"/>
          </reference>
          <reference field="14" count="1" selected="0">
            <x v="399"/>
          </reference>
          <reference field="18" count="2" defaultSubtotal="1">
            <x v="0"/>
            <x v="4"/>
          </reference>
        </references>
      </pivotArea>
    </format>
    <format dxfId="3758">
      <pivotArea dataOnly="0" labelOnly="1" outline="0" fieldPosition="0">
        <references count="3">
          <reference field="11" count="1" selected="0">
            <x v="382"/>
          </reference>
          <reference field="14" count="1" selected="0">
            <x v="400"/>
          </reference>
          <reference field="18" count="1">
            <x v="25"/>
          </reference>
        </references>
      </pivotArea>
    </format>
    <format dxfId="3757">
      <pivotArea dataOnly="0" labelOnly="1" outline="0" fieldPosition="0">
        <references count="3">
          <reference field="11" count="1" selected="0">
            <x v="382"/>
          </reference>
          <reference field="14" count="1" selected="0">
            <x v="400"/>
          </reference>
          <reference field="18" count="1" defaultSubtotal="1">
            <x v="25"/>
          </reference>
        </references>
      </pivotArea>
    </format>
    <format dxfId="3756">
      <pivotArea dataOnly="0" labelOnly="1" outline="0" fieldPosition="0">
        <references count="3">
          <reference field="11" count="1" selected="0">
            <x v="383"/>
          </reference>
          <reference field="14" count="1" selected="0">
            <x v="364"/>
          </reference>
          <reference field="18" count="1">
            <x v="18"/>
          </reference>
        </references>
      </pivotArea>
    </format>
    <format dxfId="3755">
      <pivotArea dataOnly="0" labelOnly="1" outline="0" fieldPosition="0">
        <references count="3">
          <reference field="11" count="1" selected="0">
            <x v="383"/>
          </reference>
          <reference field="14" count="1" selected="0">
            <x v="364"/>
          </reference>
          <reference field="18" count="1" defaultSubtotal="1">
            <x v="18"/>
          </reference>
        </references>
      </pivotArea>
    </format>
    <format dxfId="3754">
      <pivotArea dataOnly="0" labelOnly="1" outline="0" fieldPosition="0">
        <references count="3">
          <reference field="11" count="1" selected="0">
            <x v="384"/>
          </reference>
          <reference field="14" count="1" selected="0">
            <x v="211"/>
          </reference>
          <reference field="18" count="1">
            <x v="0"/>
          </reference>
        </references>
      </pivotArea>
    </format>
    <format dxfId="3753">
      <pivotArea dataOnly="0" labelOnly="1" outline="0" fieldPosition="0">
        <references count="3">
          <reference field="11" count="1" selected="0">
            <x v="384"/>
          </reference>
          <reference field="14" count="1" selected="0">
            <x v="211"/>
          </reference>
          <reference field="18" count="1" defaultSubtotal="1">
            <x v="0"/>
          </reference>
        </references>
      </pivotArea>
    </format>
    <format dxfId="3752">
      <pivotArea dataOnly="0" labelOnly="1" outline="0" fieldPosition="0">
        <references count="3">
          <reference field="11" count="1" selected="0">
            <x v="385"/>
          </reference>
          <reference field="14" count="1" selected="0">
            <x v="7"/>
          </reference>
          <reference field="18" count="2">
            <x v="12"/>
            <x v="14"/>
          </reference>
        </references>
      </pivotArea>
    </format>
    <format dxfId="3751">
      <pivotArea dataOnly="0" labelOnly="1" outline="0" fieldPosition="0">
        <references count="3">
          <reference field="11" count="1" selected="0">
            <x v="385"/>
          </reference>
          <reference field="14" count="1" selected="0">
            <x v="7"/>
          </reference>
          <reference field="18" count="2" defaultSubtotal="1">
            <x v="12"/>
            <x v="14"/>
          </reference>
        </references>
      </pivotArea>
    </format>
    <format dxfId="3750">
      <pivotArea dataOnly="0" labelOnly="1" outline="0" fieldPosition="0">
        <references count="3">
          <reference field="11" count="1" selected="0">
            <x v="386"/>
          </reference>
          <reference field="14" count="1" selected="0">
            <x v="297"/>
          </reference>
          <reference field="18" count="1">
            <x v="6"/>
          </reference>
        </references>
      </pivotArea>
    </format>
    <format dxfId="3749">
      <pivotArea dataOnly="0" labelOnly="1" outline="0" fieldPosition="0">
        <references count="3">
          <reference field="11" count="1" selected="0">
            <x v="386"/>
          </reference>
          <reference field="14" count="1" selected="0">
            <x v="297"/>
          </reference>
          <reference field="18" count="1" defaultSubtotal="1">
            <x v="6"/>
          </reference>
        </references>
      </pivotArea>
    </format>
    <format dxfId="3748">
      <pivotArea dataOnly="0" labelOnly="1" outline="0" fieldPosition="0">
        <references count="3">
          <reference field="11" count="1" selected="0">
            <x v="387"/>
          </reference>
          <reference field="14" count="1" selected="0">
            <x v="408"/>
          </reference>
          <reference field="18" count="1">
            <x v="0"/>
          </reference>
        </references>
      </pivotArea>
    </format>
    <format dxfId="3747">
      <pivotArea dataOnly="0" labelOnly="1" outline="0" fieldPosition="0">
        <references count="3">
          <reference field="11" count="1" selected="0">
            <x v="387"/>
          </reference>
          <reference field="14" count="1" selected="0">
            <x v="408"/>
          </reference>
          <reference field="18" count="1" defaultSubtotal="1">
            <x v="0"/>
          </reference>
        </references>
      </pivotArea>
    </format>
    <format dxfId="3746">
      <pivotArea dataOnly="0" labelOnly="1" outline="0" fieldPosition="0">
        <references count="3">
          <reference field="11" count="1" selected="0">
            <x v="388"/>
          </reference>
          <reference field="14" count="1" selected="0">
            <x v="190"/>
          </reference>
          <reference field="18" count="1">
            <x v="0"/>
          </reference>
        </references>
      </pivotArea>
    </format>
    <format dxfId="3745">
      <pivotArea dataOnly="0" labelOnly="1" outline="0" fieldPosition="0">
        <references count="3">
          <reference field="11" count="1" selected="0">
            <x v="388"/>
          </reference>
          <reference field="14" count="1" selected="0">
            <x v="190"/>
          </reference>
          <reference field="18" count="1" defaultSubtotal="1">
            <x v="0"/>
          </reference>
        </references>
      </pivotArea>
    </format>
    <format dxfId="3744">
      <pivotArea dataOnly="0" labelOnly="1" outline="0" fieldPosition="0">
        <references count="3">
          <reference field="11" count="1" selected="0">
            <x v="389"/>
          </reference>
          <reference field="14" count="1" selected="0">
            <x v="140"/>
          </reference>
          <reference field="18" count="1">
            <x v="22"/>
          </reference>
        </references>
      </pivotArea>
    </format>
    <format dxfId="3743">
      <pivotArea dataOnly="0" labelOnly="1" outline="0" fieldPosition="0">
        <references count="3">
          <reference field="11" count="1" selected="0">
            <x v="389"/>
          </reference>
          <reference field="14" count="1" selected="0">
            <x v="140"/>
          </reference>
          <reference field="18" count="1" defaultSubtotal="1">
            <x v="22"/>
          </reference>
        </references>
      </pivotArea>
    </format>
    <format dxfId="3742">
      <pivotArea dataOnly="0" labelOnly="1" outline="0" fieldPosition="0">
        <references count="3">
          <reference field="11" count="1" selected="0">
            <x v="390"/>
          </reference>
          <reference field="14" count="1" selected="0">
            <x v="445"/>
          </reference>
          <reference field="18" count="1">
            <x v="19"/>
          </reference>
        </references>
      </pivotArea>
    </format>
    <format dxfId="3741">
      <pivotArea dataOnly="0" labelOnly="1" outline="0" fieldPosition="0">
        <references count="3">
          <reference field="11" count="1" selected="0">
            <x v="390"/>
          </reference>
          <reference field="14" count="1" selected="0">
            <x v="445"/>
          </reference>
          <reference field="18" count="1" defaultSubtotal="1">
            <x v="19"/>
          </reference>
        </references>
      </pivotArea>
    </format>
    <format dxfId="3740">
      <pivotArea dataOnly="0" labelOnly="1" outline="0" fieldPosition="0">
        <references count="3">
          <reference field="11" count="1" selected="0">
            <x v="391"/>
          </reference>
          <reference field="14" count="1" selected="0">
            <x v="422"/>
          </reference>
          <reference field="18" count="1">
            <x v="19"/>
          </reference>
        </references>
      </pivotArea>
    </format>
    <format dxfId="3739">
      <pivotArea dataOnly="0" labelOnly="1" outline="0" fieldPosition="0">
        <references count="3">
          <reference field="11" count="1" selected="0">
            <x v="391"/>
          </reference>
          <reference field="14" count="1" selected="0">
            <x v="422"/>
          </reference>
          <reference field="18" count="1" defaultSubtotal="1">
            <x v="19"/>
          </reference>
        </references>
      </pivotArea>
    </format>
    <format dxfId="3738">
      <pivotArea dataOnly="0" labelOnly="1" outline="0" fieldPosition="0">
        <references count="3">
          <reference field="11" count="1" selected="0">
            <x v="392"/>
          </reference>
          <reference field="14" count="1" selected="0">
            <x v="198"/>
          </reference>
          <reference field="18" count="1">
            <x v="4"/>
          </reference>
        </references>
      </pivotArea>
    </format>
    <format dxfId="3737">
      <pivotArea dataOnly="0" labelOnly="1" outline="0" fieldPosition="0">
        <references count="3">
          <reference field="11" count="1" selected="0">
            <x v="392"/>
          </reference>
          <reference field="14" count="1" selected="0">
            <x v="198"/>
          </reference>
          <reference field="18" count="1" defaultSubtotal="1">
            <x v="4"/>
          </reference>
        </references>
      </pivotArea>
    </format>
    <format dxfId="3736">
      <pivotArea dataOnly="0" labelOnly="1" outline="0" fieldPosition="0">
        <references count="3">
          <reference field="11" count="1" selected="0">
            <x v="393"/>
          </reference>
          <reference field="14" count="1" selected="0">
            <x v="205"/>
          </reference>
          <reference field="18" count="1">
            <x v="19"/>
          </reference>
        </references>
      </pivotArea>
    </format>
    <format dxfId="3735">
      <pivotArea dataOnly="0" labelOnly="1" outline="0" fieldPosition="0">
        <references count="3">
          <reference field="11" count="1" selected="0">
            <x v="393"/>
          </reference>
          <reference field="14" count="1" selected="0">
            <x v="205"/>
          </reference>
          <reference field="18" count="1" defaultSubtotal="1">
            <x v="19"/>
          </reference>
        </references>
      </pivotArea>
    </format>
    <format dxfId="3734">
      <pivotArea dataOnly="0" labelOnly="1" outline="0" fieldPosition="0">
        <references count="3">
          <reference field="11" count="1" selected="0">
            <x v="394"/>
          </reference>
          <reference field="14" count="1" selected="0">
            <x v="53"/>
          </reference>
          <reference field="18" count="2">
            <x v="12"/>
            <x v="14"/>
          </reference>
        </references>
      </pivotArea>
    </format>
    <format dxfId="3733">
      <pivotArea dataOnly="0" labelOnly="1" outline="0" fieldPosition="0">
        <references count="3">
          <reference field="11" count="1" selected="0">
            <x v="394"/>
          </reference>
          <reference field="14" count="1" selected="0">
            <x v="53"/>
          </reference>
          <reference field="18" count="2" defaultSubtotal="1">
            <x v="12"/>
            <x v="14"/>
          </reference>
        </references>
      </pivotArea>
    </format>
    <format dxfId="3732">
      <pivotArea dataOnly="0" labelOnly="1" outline="0" fieldPosition="0">
        <references count="3">
          <reference field="11" count="1" selected="0">
            <x v="395"/>
          </reference>
          <reference field="14" count="1" selected="0">
            <x v="245"/>
          </reference>
          <reference field="18" count="1">
            <x v="14"/>
          </reference>
        </references>
      </pivotArea>
    </format>
    <format dxfId="3731">
      <pivotArea dataOnly="0" labelOnly="1" outline="0" fieldPosition="0">
        <references count="3">
          <reference field="11" count="1" selected="0">
            <x v="395"/>
          </reference>
          <reference field="14" count="1" selected="0">
            <x v="245"/>
          </reference>
          <reference field="18" count="1" defaultSubtotal="1">
            <x v="14"/>
          </reference>
        </references>
      </pivotArea>
    </format>
    <format dxfId="3730">
      <pivotArea dataOnly="0" labelOnly="1" outline="0" fieldPosition="0">
        <references count="3">
          <reference field="11" count="1" selected="0">
            <x v="396"/>
          </reference>
          <reference field="14" count="1" selected="0">
            <x v="169"/>
          </reference>
          <reference field="18" count="1">
            <x v="14"/>
          </reference>
        </references>
      </pivotArea>
    </format>
    <format dxfId="3729">
      <pivotArea dataOnly="0" labelOnly="1" outline="0" fieldPosition="0">
        <references count="3">
          <reference field="11" count="1" selected="0">
            <x v="396"/>
          </reference>
          <reference field="14" count="1" selected="0">
            <x v="169"/>
          </reference>
          <reference field="18" count="1" defaultSubtotal="1">
            <x v="14"/>
          </reference>
        </references>
      </pivotArea>
    </format>
    <format dxfId="3728">
      <pivotArea dataOnly="0" labelOnly="1" outline="0" fieldPosition="0">
        <references count="3">
          <reference field="11" count="1" selected="0">
            <x v="397"/>
          </reference>
          <reference field="14" count="1" selected="0">
            <x v="167"/>
          </reference>
          <reference field="18" count="1">
            <x v="0"/>
          </reference>
        </references>
      </pivotArea>
    </format>
    <format dxfId="3727">
      <pivotArea dataOnly="0" labelOnly="1" outline="0" fieldPosition="0">
        <references count="3">
          <reference field="11" count="1" selected="0">
            <x v="397"/>
          </reference>
          <reference field="14" count="1" selected="0">
            <x v="167"/>
          </reference>
          <reference field="18" count="1" defaultSubtotal="1">
            <x v="0"/>
          </reference>
        </references>
      </pivotArea>
    </format>
    <format dxfId="3726">
      <pivotArea dataOnly="0" labelOnly="1" outline="0" fieldPosition="0">
        <references count="3">
          <reference field="11" count="1" selected="0">
            <x v="398"/>
          </reference>
          <reference field="14" count="1" selected="0">
            <x v="360"/>
          </reference>
          <reference field="18" count="1">
            <x v="1"/>
          </reference>
        </references>
      </pivotArea>
    </format>
    <format dxfId="3725">
      <pivotArea dataOnly="0" labelOnly="1" outline="0" fieldPosition="0">
        <references count="3">
          <reference field="11" count="1" selected="0">
            <x v="398"/>
          </reference>
          <reference field="14" count="1" selected="0">
            <x v="360"/>
          </reference>
          <reference field="18" count="1" defaultSubtotal="1">
            <x v="1"/>
          </reference>
        </references>
      </pivotArea>
    </format>
    <format dxfId="3724">
      <pivotArea dataOnly="0" labelOnly="1" outline="0" fieldPosition="0">
        <references count="3">
          <reference field="11" count="1" selected="0">
            <x v="399"/>
          </reference>
          <reference field="14" count="1" selected="0">
            <x v="95"/>
          </reference>
          <reference field="18" count="1">
            <x v="0"/>
          </reference>
        </references>
      </pivotArea>
    </format>
    <format dxfId="3723">
      <pivotArea dataOnly="0" labelOnly="1" outline="0" fieldPosition="0">
        <references count="3">
          <reference field="11" count="1" selected="0">
            <x v="399"/>
          </reference>
          <reference field="14" count="1" selected="0">
            <x v="95"/>
          </reference>
          <reference field="18" count="1" defaultSubtotal="1">
            <x v="0"/>
          </reference>
        </references>
      </pivotArea>
    </format>
    <format dxfId="3722">
      <pivotArea dataOnly="0" labelOnly="1" outline="0" fieldPosition="0">
        <references count="3">
          <reference field="11" count="1" selected="0">
            <x v="400"/>
          </reference>
          <reference field="14" count="1" selected="0">
            <x v="260"/>
          </reference>
          <reference field="18" count="1">
            <x v="0"/>
          </reference>
        </references>
      </pivotArea>
    </format>
    <format dxfId="3721">
      <pivotArea dataOnly="0" labelOnly="1" outline="0" fieldPosition="0">
        <references count="3">
          <reference field="11" count="1" selected="0">
            <x v="400"/>
          </reference>
          <reference field="14" count="1" selected="0">
            <x v="260"/>
          </reference>
          <reference field="18" count="1" defaultSubtotal="1">
            <x v="0"/>
          </reference>
        </references>
      </pivotArea>
    </format>
    <format dxfId="3720">
      <pivotArea dataOnly="0" labelOnly="1" outline="0" fieldPosition="0">
        <references count="3">
          <reference field="11" count="1" selected="0">
            <x v="401"/>
          </reference>
          <reference field="14" count="1" selected="0">
            <x v="75"/>
          </reference>
          <reference field="18" count="1">
            <x v="19"/>
          </reference>
        </references>
      </pivotArea>
    </format>
    <format dxfId="3719">
      <pivotArea dataOnly="0" labelOnly="1" outline="0" fieldPosition="0">
        <references count="3">
          <reference field="11" count="1" selected="0">
            <x v="401"/>
          </reference>
          <reference field="14" count="1" selected="0">
            <x v="75"/>
          </reference>
          <reference field="18" count="1" defaultSubtotal="1">
            <x v="19"/>
          </reference>
        </references>
      </pivotArea>
    </format>
    <format dxfId="3718">
      <pivotArea dataOnly="0" labelOnly="1" outline="0" fieldPosition="0">
        <references count="3">
          <reference field="11" count="1" selected="0">
            <x v="402"/>
          </reference>
          <reference field="14" count="1" selected="0">
            <x v="322"/>
          </reference>
          <reference field="18" count="1">
            <x v="3"/>
          </reference>
        </references>
      </pivotArea>
    </format>
    <format dxfId="3717">
      <pivotArea dataOnly="0" labelOnly="1" outline="0" fieldPosition="0">
        <references count="3">
          <reference field="11" count="1" selected="0">
            <x v="402"/>
          </reference>
          <reference field="14" count="1" selected="0">
            <x v="322"/>
          </reference>
          <reference field="18" count="1" defaultSubtotal="1">
            <x v="3"/>
          </reference>
        </references>
      </pivotArea>
    </format>
    <format dxfId="3716">
      <pivotArea dataOnly="0" labelOnly="1" outline="0" fieldPosition="0">
        <references count="3">
          <reference field="11" count="1" selected="0">
            <x v="403"/>
          </reference>
          <reference field="14" count="1" selected="0">
            <x v="146"/>
          </reference>
          <reference field="18" count="1">
            <x v="27"/>
          </reference>
        </references>
      </pivotArea>
    </format>
    <format dxfId="3715">
      <pivotArea dataOnly="0" labelOnly="1" outline="0" fieldPosition="0">
        <references count="3">
          <reference field="11" count="1" selected="0">
            <x v="403"/>
          </reference>
          <reference field="14" count="1" selected="0">
            <x v="146"/>
          </reference>
          <reference field="18" count="1" defaultSubtotal="1">
            <x v="27"/>
          </reference>
        </references>
      </pivotArea>
    </format>
    <format dxfId="3714">
      <pivotArea dataOnly="0" labelOnly="1" outline="0" fieldPosition="0">
        <references count="3">
          <reference field="11" count="1" selected="0">
            <x v="404"/>
          </reference>
          <reference field="14" count="1" selected="0">
            <x v="443"/>
          </reference>
          <reference field="18" count="2">
            <x v="11"/>
            <x v="19"/>
          </reference>
        </references>
      </pivotArea>
    </format>
    <format dxfId="3713">
      <pivotArea dataOnly="0" labelOnly="1" outline="0" fieldPosition="0">
        <references count="3">
          <reference field="11" count="1" selected="0">
            <x v="404"/>
          </reference>
          <reference field="14" count="1" selected="0">
            <x v="443"/>
          </reference>
          <reference field="18" count="2" defaultSubtotal="1">
            <x v="11"/>
            <x v="19"/>
          </reference>
        </references>
      </pivotArea>
    </format>
    <format dxfId="3712">
      <pivotArea dataOnly="0" labelOnly="1" outline="0" fieldPosition="0">
        <references count="3">
          <reference field="11" count="1" selected="0">
            <x v="405"/>
          </reference>
          <reference field="14" count="1" selected="0">
            <x v="359"/>
          </reference>
          <reference field="18" count="1">
            <x v="27"/>
          </reference>
        </references>
      </pivotArea>
    </format>
    <format dxfId="3711">
      <pivotArea dataOnly="0" labelOnly="1" outline="0" fieldPosition="0">
        <references count="3">
          <reference field="11" count="1" selected="0">
            <x v="405"/>
          </reference>
          <reference field="14" count="1" selected="0">
            <x v="359"/>
          </reference>
          <reference field="18" count="1" defaultSubtotal="1">
            <x v="27"/>
          </reference>
        </references>
      </pivotArea>
    </format>
    <format dxfId="3710">
      <pivotArea dataOnly="0" labelOnly="1" outline="0" fieldPosition="0">
        <references count="3">
          <reference field="11" count="1" selected="0">
            <x v="406"/>
          </reference>
          <reference field="14" count="1" selected="0">
            <x v="381"/>
          </reference>
          <reference field="18" count="1">
            <x v="0"/>
          </reference>
        </references>
      </pivotArea>
    </format>
    <format dxfId="3709">
      <pivotArea dataOnly="0" labelOnly="1" outline="0" fieldPosition="0">
        <references count="3">
          <reference field="11" count="1" selected="0">
            <x v="406"/>
          </reference>
          <reference field="14" count="1" selected="0">
            <x v="381"/>
          </reference>
          <reference field="18" count="1" defaultSubtotal="1">
            <x v="0"/>
          </reference>
        </references>
      </pivotArea>
    </format>
    <format dxfId="3708">
      <pivotArea dataOnly="0" labelOnly="1" outline="0" fieldPosition="0">
        <references count="3">
          <reference field="11" count="1" selected="0">
            <x v="407"/>
          </reference>
          <reference field="14" count="1" selected="0">
            <x v="65"/>
          </reference>
          <reference field="18" count="1">
            <x v="6"/>
          </reference>
        </references>
      </pivotArea>
    </format>
    <format dxfId="3707">
      <pivotArea dataOnly="0" labelOnly="1" outline="0" fieldPosition="0">
        <references count="3">
          <reference field="11" count="1" selected="0">
            <x v="407"/>
          </reference>
          <reference field="14" count="1" selected="0">
            <x v="65"/>
          </reference>
          <reference field="18" count="1" defaultSubtotal="1">
            <x v="6"/>
          </reference>
        </references>
      </pivotArea>
    </format>
    <format dxfId="3706">
      <pivotArea dataOnly="0" labelOnly="1" outline="0" fieldPosition="0">
        <references count="3">
          <reference field="11" count="1" selected="0">
            <x v="408"/>
          </reference>
          <reference field="14" count="1" selected="0">
            <x v="20"/>
          </reference>
          <reference field="18" count="1">
            <x v="3"/>
          </reference>
        </references>
      </pivotArea>
    </format>
    <format dxfId="3705">
      <pivotArea dataOnly="0" labelOnly="1" outline="0" fieldPosition="0">
        <references count="3">
          <reference field="11" count="1" selected="0">
            <x v="408"/>
          </reference>
          <reference field="14" count="1" selected="0">
            <x v="20"/>
          </reference>
          <reference field="18" count="1" defaultSubtotal="1">
            <x v="3"/>
          </reference>
        </references>
      </pivotArea>
    </format>
    <format dxfId="3704">
      <pivotArea dataOnly="0" labelOnly="1" outline="0" fieldPosition="0">
        <references count="3">
          <reference field="11" count="1" selected="0">
            <x v="409"/>
          </reference>
          <reference field="14" count="1" selected="0">
            <x v="175"/>
          </reference>
          <reference field="18" count="1">
            <x v="3"/>
          </reference>
        </references>
      </pivotArea>
    </format>
    <format dxfId="3703">
      <pivotArea dataOnly="0" labelOnly="1" outline="0" fieldPosition="0">
        <references count="3">
          <reference field="11" count="1" selected="0">
            <x v="409"/>
          </reference>
          <reference field="14" count="1" selected="0">
            <x v="175"/>
          </reference>
          <reference field="18" count="1" defaultSubtotal="1">
            <x v="3"/>
          </reference>
        </references>
      </pivotArea>
    </format>
    <format dxfId="3702">
      <pivotArea dataOnly="0" labelOnly="1" outline="0" fieldPosition="0">
        <references count="3">
          <reference field="11" count="1" selected="0">
            <x v="410"/>
          </reference>
          <reference field="14" count="1" selected="0">
            <x v="366"/>
          </reference>
          <reference field="18" count="1">
            <x v="3"/>
          </reference>
        </references>
      </pivotArea>
    </format>
    <format dxfId="3701">
      <pivotArea dataOnly="0" labelOnly="1" outline="0" fieldPosition="0">
        <references count="3">
          <reference field="11" count="1" selected="0">
            <x v="410"/>
          </reference>
          <reference field="14" count="1" selected="0">
            <x v="366"/>
          </reference>
          <reference field="18" count="1" defaultSubtotal="1">
            <x v="3"/>
          </reference>
        </references>
      </pivotArea>
    </format>
    <format dxfId="3700">
      <pivotArea dataOnly="0" labelOnly="1" outline="0" fieldPosition="0">
        <references count="3">
          <reference field="11" count="1" selected="0">
            <x v="411"/>
          </reference>
          <reference field="14" count="1" selected="0">
            <x v="204"/>
          </reference>
          <reference field="18" count="1">
            <x v="7"/>
          </reference>
        </references>
      </pivotArea>
    </format>
    <format dxfId="3699">
      <pivotArea dataOnly="0" labelOnly="1" outline="0" fieldPosition="0">
        <references count="3">
          <reference field="11" count="1" selected="0">
            <x v="411"/>
          </reference>
          <reference field="14" count="1" selected="0">
            <x v="204"/>
          </reference>
          <reference field="18" count="1" defaultSubtotal="1">
            <x v="7"/>
          </reference>
        </references>
      </pivotArea>
    </format>
    <format dxfId="3698">
      <pivotArea dataOnly="0" labelOnly="1" outline="0" fieldPosition="0">
        <references count="3">
          <reference field="11" count="1" selected="0">
            <x v="412"/>
          </reference>
          <reference field="14" count="1" selected="0">
            <x v="441"/>
          </reference>
          <reference field="18" count="1">
            <x v="19"/>
          </reference>
        </references>
      </pivotArea>
    </format>
    <format dxfId="3697">
      <pivotArea dataOnly="0" labelOnly="1" outline="0" fieldPosition="0">
        <references count="3">
          <reference field="11" count="1" selected="0">
            <x v="412"/>
          </reference>
          <reference field="14" count="1" selected="0">
            <x v="441"/>
          </reference>
          <reference field="18" count="1" defaultSubtotal="1">
            <x v="19"/>
          </reference>
        </references>
      </pivotArea>
    </format>
    <format dxfId="3696">
      <pivotArea dataOnly="0" labelOnly="1" outline="0" fieldPosition="0">
        <references count="3">
          <reference field="11" count="1" selected="0">
            <x v="413"/>
          </reference>
          <reference field="14" count="1" selected="0">
            <x v="73"/>
          </reference>
          <reference field="18" count="1">
            <x v="22"/>
          </reference>
        </references>
      </pivotArea>
    </format>
    <format dxfId="3695">
      <pivotArea dataOnly="0" labelOnly="1" outline="0" fieldPosition="0">
        <references count="3">
          <reference field="11" count="1" selected="0">
            <x v="413"/>
          </reference>
          <reference field="14" count="1" selected="0">
            <x v="73"/>
          </reference>
          <reference field="18" count="1" defaultSubtotal="1">
            <x v="22"/>
          </reference>
        </references>
      </pivotArea>
    </format>
    <format dxfId="3694">
      <pivotArea dataOnly="0" labelOnly="1" outline="0" fieldPosition="0">
        <references count="3">
          <reference field="11" count="1" selected="0">
            <x v="414"/>
          </reference>
          <reference field="14" count="1" selected="0">
            <x v="125"/>
          </reference>
          <reference field="18" count="1">
            <x v="14"/>
          </reference>
        </references>
      </pivotArea>
    </format>
    <format dxfId="3693">
      <pivotArea dataOnly="0" labelOnly="1" outline="0" fieldPosition="0">
        <references count="3">
          <reference field="11" count="1" selected="0">
            <x v="414"/>
          </reference>
          <reference field="14" count="1" selected="0">
            <x v="125"/>
          </reference>
          <reference field="18" count="1" defaultSubtotal="1">
            <x v="14"/>
          </reference>
        </references>
      </pivotArea>
    </format>
    <format dxfId="3692">
      <pivotArea dataOnly="0" labelOnly="1" outline="0" fieldPosition="0">
        <references count="3">
          <reference field="11" count="1" selected="0">
            <x v="415"/>
          </reference>
          <reference field="14" count="1" selected="0">
            <x v="324"/>
          </reference>
          <reference field="18" count="1">
            <x v="0"/>
          </reference>
        </references>
      </pivotArea>
    </format>
    <format dxfId="3691">
      <pivotArea dataOnly="0" labelOnly="1" outline="0" fieldPosition="0">
        <references count="3">
          <reference field="11" count="1" selected="0">
            <x v="415"/>
          </reference>
          <reference field="14" count="1" selected="0">
            <x v="324"/>
          </reference>
          <reference field="18" count="1" defaultSubtotal="1">
            <x v="0"/>
          </reference>
        </references>
      </pivotArea>
    </format>
    <format dxfId="3690">
      <pivotArea dataOnly="0" labelOnly="1" outline="0" fieldPosition="0">
        <references count="3">
          <reference field="11" count="1" selected="0">
            <x v="416"/>
          </reference>
          <reference field="14" count="1" selected="0">
            <x v="108"/>
          </reference>
          <reference field="18" count="1">
            <x v="0"/>
          </reference>
        </references>
      </pivotArea>
    </format>
    <format dxfId="3689">
      <pivotArea dataOnly="0" labelOnly="1" outline="0" fieldPosition="0">
        <references count="3">
          <reference field="11" count="1" selected="0">
            <x v="416"/>
          </reference>
          <reference field="14" count="1" selected="0">
            <x v="108"/>
          </reference>
          <reference field="18" count="1" defaultSubtotal="1">
            <x v="0"/>
          </reference>
        </references>
      </pivotArea>
    </format>
    <format dxfId="3688">
      <pivotArea dataOnly="0" labelOnly="1" outline="0" fieldPosition="0">
        <references count="3">
          <reference field="11" count="1" selected="0">
            <x v="417"/>
          </reference>
          <reference field="14" count="1" selected="0">
            <x v="109"/>
          </reference>
          <reference field="18" count="1">
            <x v="1"/>
          </reference>
        </references>
      </pivotArea>
    </format>
    <format dxfId="3687">
      <pivotArea dataOnly="0" labelOnly="1" outline="0" fieldPosition="0">
        <references count="3">
          <reference field="11" count="1" selected="0">
            <x v="417"/>
          </reference>
          <reference field="14" count="1" selected="0">
            <x v="109"/>
          </reference>
          <reference field="18" count="1" defaultSubtotal="1">
            <x v="1"/>
          </reference>
        </references>
      </pivotArea>
    </format>
    <format dxfId="3686">
      <pivotArea dataOnly="0" labelOnly="1" outline="0" fieldPosition="0">
        <references count="3">
          <reference field="11" count="1" selected="0">
            <x v="418"/>
          </reference>
          <reference field="14" count="1" selected="0">
            <x v="110"/>
          </reference>
          <reference field="18" count="2">
            <x v="3"/>
            <x v="9"/>
          </reference>
        </references>
      </pivotArea>
    </format>
    <format dxfId="3685">
      <pivotArea dataOnly="0" labelOnly="1" outline="0" fieldPosition="0">
        <references count="3">
          <reference field="11" count="1" selected="0">
            <x v="418"/>
          </reference>
          <reference field="14" count="1" selected="0">
            <x v="110"/>
          </reference>
          <reference field="18" count="2" defaultSubtotal="1">
            <x v="3"/>
            <x v="9"/>
          </reference>
        </references>
      </pivotArea>
    </format>
    <format dxfId="3684">
      <pivotArea dataOnly="0" labelOnly="1" outline="0" fieldPosition="0">
        <references count="3">
          <reference field="11" count="1" selected="0">
            <x v="419"/>
          </reference>
          <reference field="14" count="1" selected="0">
            <x v="107"/>
          </reference>
          <reference field="18" count="1">
            <x v="0"/>
          </reference>
        </references>
      </pivotArea>
    </format>
    <format dxfId="3683">
      <pivotArea dataOnly="0" labelOnly="1" outline="0" fieldPosition="0">
        <references count="3">
          <reference field="11" count="1" selected="0">
            <x v="419"/>
          </reference>
          <reference field="14" count="1" selected="0">
            <x v="107"/>
          </reference>
          <reference field="18" count="1" defaultSubtotal="1">
            <x v="0"/>
          </reference>
        </references>
      </pivotArea>
    </format>
    <format dxfId="3682">
      <pivotArea dataOnly="0" labelOnly="1" outline="0" fieldPosition="0">
        <references count="3">
          <reference field="11" count="1" selected="0">
            <x v="420"/>
          </reference>
          <reference field="14" count="1" selected="0">
            <x v="45"/>
          </reference>
          <reference field="18" count="1">
            <x v="0"/>
          </reference>
        </references>
      </pivotArea>
    </format>
    <format dxfId="3681">
      <pivotArea dataOnly="0" labelOnly="1" outline="0" fieldPosition="0">
        <references count="3">
          <reference field="11" count="1" selected="0">
            <x v="420"/>
          </reference>
          <reference field="14" count="1" selected="0">
            <x v="45"/>
          </reference>
          <reference field="18" count="1" defaultSubtotal="1">
            <x v="0"/>
          </reference>
        </references>
      </pivotArea>
    </format>
    <format dxfId="3680">
      <pivotArea dataOnly="0" labelOnly="1" outline="0" fieldPosition="0">
        <references count="3">
          <reference field="11" count="1" selected="0">
            <x v="421"/>
          </reference>
          <reference field="14" count="1" selected="0">
            <x v="287"/>
          </reference>
          <reference field="18" count="1">
            <x v="0"/>
          </reference>
        </references>
      </pivotArea>
    </format>
    <format dxfId="3679">
      <pivotArea dataOnly="0" labelOnly="1" outline="0" fieldPosition="0">
        <references count="3">
          <reference field="11" count="1" selected="0">
            <x v="421"/>
          </reference>
          <reference field="14" count="1" selected="0">
            <x v="287"/>
          </reference>
          <reference field="18" count="1" defaultSubtotal="1">
            <x v="0"/>
          </reference>
        </references>
      </pivotArea>
    </format>
    <format dxfId="3678">
      <pivotArea dataOnly="0" labelOnly="1" outline="0" fieldPosition="0">
        <references count="3">
          <reference field="11" count="1" selected="0">
            <x v="422"/>
          </reference>
          <reference field="14" count="1" selected="0">
            <x v="363"/>
          </reference>
          <reference field="18" count="2">
            <x v="16"/>
            <x v="18"/>
          </reference>
        </references>
      </pivotArea>
    </format>
    <format dxfId="3677">
      <pivotArea dataOnly="0" labelOnly="1" outline="0" fieldPosition="0">
        <references count="3">
          <reference field="11" count="1" selected="0">
            <x v="422"/>
          </reference>
          <reference field="14" count="1" selected="0">
            <x v="363"/>
          </reference>
          <reference field="18" count="2" defaultSubtotal="1">
            <x v="16"/>
            <x v="18"/>
          </reference>
        </references>
      </pivotArea>
    </format>
    <format dxfId="3676">
      <pivotArea dataOnly="0" labelOnly="1" outline="0" fieldPosition="0">
        <references count="3">
          <reference field="11" count="1" selected="0">
            <x v="423"/>
          </reference>
          <reference field="14" count="1" selected="0">
            <x v="259"/>
          </reference>
          <reference field="18" count="1">
            <x v="12"/>
          </reference>
        </references>
      </pivotArea>
    </format>
    <format dxfId="3675">
      <pivotArea dataOnly="0" labelOnly="1" outline="0" fieldPosition="0">
        <references count="3">
          <reference field="11" count="1" selected="0">
            <x v="423"/>
          </reference>
          <reference field="14" count="1" selected="0">
            <x v="259"/>
          </reference>
          <reference field="18" count="1" defaultSubtotal="1">
            <x v="12"/>
          </reference>
        </references>
      </pivotArea>
    </format>
    <format dxfId="3674">
      <pivotArea dataOnly="0" labelOnly="1" outline="0" fieldPosition="0">
        <references count="3">
          <reference field="11" count="1" selected="0">
            <x v="424"/>
          </reference>
          <reference field="14" count="1" selected="0">
            <x v="408"/>
          </reference>
          <reference field="18" count="1">
            <x v="0"/>
          </reference>
        </references>
      </pivotArea>
    </format>
    <format dxfId="3673">
      <pivotArea dataOnly="0" labelOnly="1" outline="0" fieldPosition="0">
        <references count="3">
          <reference field="11" count="1" selected="0">
            <x v="424"/>
          </reference>
          <reference field="14" count="1" selected="0">
            <x v="408"/>
          </reference>
          <reference field="18" count="1" defaultSubtotal="1">
            <x v="0"/>
          </reference>
        </references>
      </pivotArea>
    </format>
    <format dxfId="3672">
      <pivotArea dataOnly="0" labelOnly="1" outline="0" fieldPosition="0">
        <references count="3">
          <reference field="11" count="1" selected="0">
            <x v="425"/>
          </reference>
          <reference field="14" count="1" selected="0">
            <x v="289"/>
          </reference>
          <reference field="18" count="1">
            <x v="14"/>
          </reference>
        </references>
      </pivotArea>
    </format>
    <format dxfId="3671">
      <pivotArea dataOnly="0" labelOnly="1" outline="0" fieldPosition="0">
        <references count="3">
          <reference field="11" count="1" selected="0">
            <x v="425"/>
          </reference>
          <reference field="14" count="1" selected="0">
            <x v="289"/>
          </reference>
          <reference field="18" count="1" defaultSubtotal="1">
            <x v="14"/>
          </reference>
        </references>
      </pivotArea>
    </format>
    <format dxfId="3670">
      <pivotArea dataOnly="0" labelOnly="1" outline="0" fieldPosition="0">
        <references count="3">
          <reference field="11" count="1" selected="0">
            <x v="426"/>
          </reference>
          <reference field="14" count="1" selected="0">
            <x v="401"/>
          </reference>
          <reference field="18" count="1">
            <x v="0"/>
          </reference>
        </references>
      </pivotArea>
    </format>
    <format dxfId="3669">
      <pivotArea dataOnly="0" labelOnly="1" outline="0" fieldPosition="0">
        <references count="3">
          <reference field="11" count="1" selected="0">
            <x v="426"/>
          </reference>
          <reference field="14" count="1" selected="0">
            <x v="401"/>
          </reference>
          <reference field="18" count="1" defaultSubtotal="1">
            <x v="0"/>
          </reference>
        </references>
      </pivotArea>
    </format>
    <format dxfId="3668">
      <pivotArea dataOnly="0" labelOnly="1" outline="0" fieldPosition="0">
        <references count="3">
          <reference field="11" count="1" selected="0">
            <x v="427"/>
          </reference>
          <reference field="14" count="1" selected="0">
            <x v="407"/>
          </reference>
          <reference field="18" count="1">
            <x v="0"/>
          </reference>
        </references>
      </pivotArea>
    </format>
    <format dxfId="3667">
      <pivotArea dataOnly="0" labelOnly="1" outline="0" fieldPosition="0">
        <references count="3">
          <reference field="11" count="1" selected="0">
            <x v="427"/>
          </reference>
          <reference field="14" count="1" selected="0">
            <x v="407"/>
          </reference>
          <reference field="18" count="1" defaultSubtotal="1">
            <x v="0"/>
          </reference>
        </references>
      </pivotArea>
    </format>
    <format dxfId="3666">
      <pivotArea dataOnly="0" labelOnly="1" outline="0" fieldPosition="0">
        <references count="3">
          <reference field="11" count="1" selected="0">
            <x v="428"/>
          </reference>
          <reference field="14" count="1" selected="0">
            <x v="412"/>
          </reference>
          <reference field="18" count="1">
            <x v="0"/>
          </reference>
        </references>
      </pivotArea>
    </format>
    <format dxfId="3665">
      <pivotArea dataOnly="0" labelOnly="1" outline="0" fieldPosition="0">
        <references count="3">
          <reference field="11" count="1" selected="0">
            <x v="428"/>
          </reference>
          <reference field="14" count="1" selected="0">
            <x v="412"/>
          </reference>
          <reference field="18" count="1" defaultSubtotal="1">
            <x v="0"/>
          </reference>
        </references>
      </pivotArea>
    </format>
    <format dxfId="3664">
      <pivotArea dataOnly="0" labelOnly="1" outline="0" fieldPosition="0">
        <references count="3">
          <reference field="11" count="1" selected="0">
            <x v="429"/>
          </reference>
          <reference field="14" count="1" selected="0">
            <x v="421"/>
          </reference>
          <reference field="18" count="1">
            <x v="19"/>
          </reference>
        </references>
      </pivotArea>
    </format>
    <format dxfId="3663">
      <pivotArea dataOnly="0" labelOnly="1" outline="0" fieldPosition="0">
        <references count="3">
          <reference field="11" count="1" selected="0">
            <x v="429"/>
          </reference>
          <reference field="14" count="1" selected="0">
            <x v="421"/>
          </reference>
          <reference field="18" count="1" defaultSubtotal="1">
            <x v="19"/>
          </reference>
        </references>
      </pivotArea>
    </format>
    <format dxfId="3662">
      <pivotArea dataOnly="0" labelOnly="1" outline="0" fieldPosition="0">
        <references count="3">
          <reference field="11" count="1" selected="0">
            <x v="430"/>
          </reference>
          <reference field="14" count="1" selected="0">
            <x v="444"/>
          </reference>
          <reference field="18" count="1">
            <x v="19"/>
          </reference>
        </references>
      </pivotArea>
    </format>
    <format dxfId="3661">
      <pivotArea dataOnly="0" labelOnly="1" outline="0" fieldPosition="0">
        <references count="3">
          <reference field="11" count="1" selected="0">
            <x v="430"/>
          </reference>
          <reference field="14" count="1" selected="0">
            <x v="444"/>
          </reference>
          <reference field="18" count="1" defaultSubtotal="1">
            <x v="19"/>
          </reference>
        </references>
      </pivotArea>
    </format>
    <format dxfId="3660">
      <pivotArea dataOnly="0" labelOnly="1" outline="0" fieldPosition="0">
        <references count="3">
          <reference field="11" count="1" selected="0">
            <x v="431"/>
          </reference>
          <reference field="14" count="1" selected="0">
            <x v="191"/>
          </reference>
          <reference field="18" count="1">
            <x v="3"/>
          </reference>
        </references>
      </pivotArea>
    </format>
    <format dxfId="3659">
      <pivotArea dataOnly="0" labelOnly="1" outline="0" fieldPosition="0">
        <references count="3">
          <reference field="11" count="1" selected="0">
            <x v="431"/>
          </reference>
          <reference field="14" count="1" selected="0">
            <x v="191"/>
          </reference>
          <reference field="18" count="1" defaultSubtotal="1">
            <x v="3"/>
          </reference>
        </references>
      </pivotArea>
    </format>
    <format dxfId="3658">
      <pivotArea dataOnly="0" labelOnly="1" outline="0" fieldPosition="0">
        <references count="3">
          <reference field="11" count="1" selected="0">
            <x v="432"/>
          </reference>
          <reference field="14" count="1" selected="0">
            <x v="119"/>
          </reference>
          <reference field="18" count="2">
            <x v="12"/>
            <x v="14"/>
          </reference>
        </references>
      </pivotArea>
    </format>
    <format dxfId="3657">
      <pivotArea dataOnly="0" labelOnly="1" outline="0" fieldPosition="0">
        <references count="3">
          <reference field="11" count="1" selected="0">
            <x v="432"/>
          </reference>
          <reference field="14" count="1" selected="0">
            <x v="119"/>
          </reference>
          <reference field="18" count="2" defaultSubtotal="1">
            <x v="12"/>
            <x v="14"/>
          </reference>
        </references>
      </pivotArea>
    </format>
    <format dxfId="3656">
      <pivotArea dataOnly="0" labelOnly="1" outline="0" fieldPosition="0">
        <references count="3">
          <reference field="11" count="1" selected="0">
            <x v="433"/>
          </reference>
          <reference field="14" count="1" selected="0">
            <x v="80"/>
          </reference>
          <reference field="18" count="1">
            <x v="27"/>
          </reference>
        </references>
      </pivotArea>
    </format>
    <format dxfId="3655">
      <pivotArea dataOnly="0" labelOnly="1" outline="0" fieldPosition="0">
        <references count="3">
          <reference field="11" count="1" selected="0">
            <x v="433"/>
          </reference>
          <reference field="14" count="1" selected="0">
            <x v="80"/>
          </reference>
          <reference field="18" count="1" defaultSubtotal="1">
            <x v="27"/>
          </reference>
        </references>
      </pivotArea>
    </format>
    <format dxfId="3654">
      <pivotArea dataOnly="0" labelOnly="1" outline="0" fieldPosition="0">
        <references count="3">
          <reference field="11" count="1" selected="0">
            <x v="434"/>
          </reference>
          <reference field="14" count="1" selected="0">
            <x v="84"/>
          </reference>
          <reference field="18" count="2">
            <x v="0"/>
            <x v="27"/>
          </reference>
        </references>
      </pivotArea>
    </format>
    <format dxfId="3653">
      <pivotArea dataOnly="0" labelOnly="1" outline="0" fieldPosition="0">
        <references count="3">
          <reference field="11" count="1" selected="0">
            <x v="434"/>
          </reference>
          <reference field="14" count="1" selected="0">
            <x v="84"/>
          </reference>
          <reference field="18" count="2" defaultSubtotal="1">
            <x v="0"/>
            <x v="27"/>
          </reference>
        </references>
      </pivotArea>
    </format>
    <format dxfId="3652">
      <pivotArea dataOnly="0" labelOnly="1" outline="0" fieldPosition="0">
        <references count="3">
          <reference field="11" count="1" selected="0">
            <x v="435"/>
          </reference>
          <reference field="14" count="1" selected="0">
            <x v="236"/>
          </reference>
          <reference field="18" count="1">
            <x v="27"/>
          </reference>
        </references>
      </pivotArea>
    </format>
    <format dxfId="3651">
      <pivotArea dataOnly="0" labelOnly="1" outline="0" fieldPosition="0">
        <references count="3">
          <reference field="11" count="1" selected="0">
            <x v="435"/>
          </reference>
          <reference field="14" count="1" selected="0">
            <x v="236"/>
          </reference>
          <reference field="18" count="1" defaultSubtotal="1">
            <x v="27"/>
          </reference>
        </references>
      </pivotArea>
    </format>
    <format dxfId="3650">
      <pivotArea dataOnly="0" labelOnly="1" outline="0" fieldPosition="0">
        <references count="3">
          <reference field="11" count="1" selected="0">
            <x v="436"/>
          </reference>
          <reference field="14" count="1" selected="0">
            <x v="99"/>
          </reference>
          <reference field="18" count="1">
            <x v="1"/>
          </reference>
        </references>
      </pivotArea>
    </format>
    <format dxfId="3649">
      <pivotArea dataOnly="0" labelOnly="1" outline="0" fieldPosition="0">
        <references count="3">
          <reference field="11" count="1" selected="0">
            <x v="436"/>
          </reference>
          <reference field="14" count="1" selected="0">
            <x v="99"/>
          </reference>
          <reference field="18" count="1" defaultSubtotal="1">
            <x v="1"/>
          </reference>
        </references>
      </pivotArea>
    </format>
    <format dxfId="3648">
      <pivotArea dataOnly="0" labelOnly="1" outline="0" fieldPosition="0">
        <references count="3">
          <reference field="11" count="1" selected="0">
            <x v="437"/>
          </reference>
          <reference field="14" count="1" selected="0">
            <x v="246"/>
          </reference>
          <reference field="18" count="1">
            <x v="14"/>
          </reference>
        </references>
      </pivotArea>
    </format>
    <format dxfId="3647">
      <pivotArea dataOnly="0" labelOnly="1" outline="0" fieldPosition="0">
        <references count="3">
          <reference field="11" count="1" selected="0">
            <x v="437"/>
          </reference>
          <reference field="14" count="1" selected="0">
            <x v="246"/>
          </reference>
          <reference field="18" count="1" defaultSubtotal="1">
            <x v="14"/>
          </reference>
        </references>
      </pivotArea>
    </format>
    <format dxfId="3646">
      <pivotArea dataOnly="0" labelOnly="1" outline="0" fieldPosition="0">
        <references count="3">
          <reference field="11" count="1" selected="0">
            <x v="438"/>
          </reference>
          <reference field="14" count="1" selected="0">
            <x v="15"/>
          </reference>
          <reference field="18" count="2">
            <x v="8"/>
            <x v="14"/>
          </reference>
        </references>
      </pivotArea>
    </format>
    <format dxfId="3645">
      <pivotArea dataOnly="0" labelOnly="1" outline="0" fieldPosition="0">
        <references count="3">
          <reference field="11" count="1" selected="0">
            <x v="438"/>
          </reference>
          <reference field="14" count="1" selected="0">
            <x v="15"/>
          </reference>
          <reference field="18" count="2" defaultSubtotal="1">
            <x v="8"/>
            <x v="14"/>
          </reference>
        </references>
      </pivotArea>
    </format>
    <format dxfId="3644">
      <pivotArea dataOnly="0" labelOnly="1" outline="0" fieldPosition="0">
        <references count="3">
          <reference field="11" count="1" selected="0">
            <x v="439"/>
          </reference>
          <reference field="14" count="1" selected="0">
            <x v="446"/>
          </reference>
          <reference field="18" count="1">
            <x v="19"/>
          </reference>
        </references>
      </pivotArea>
    </format>
    <format dxfId="3643">
      <pivotArea dataOnly="0" labelOnly="1" outline="0" fieldPosition="0">
        <references count="3">
          <reference field="11" count="1" selected="0">
            <x v="439"/>
          </reference>
          <reference field="14" count="1" selected="0">
            <x v="446"/>
          </reference>
          <reference field="18" count="1" defaultSubtotal="1">
            <x v="19"/>
          </reference>
        </references>
      </pivotArea>
    </format>
    <format dxfId="3642">
      <pivotArea dataOnly="0" labelOnly="1" outline="0" fieldPosition="0">
        <references count="3">
          <reference field="11" count="1" selected="0">
            <x v="440"/>
          </reference>
          <reference field="14" count="1" selected="0">
            <x v="208"/>
          </reference>
          <reference field="18" count="1">
            <x v="27"/>
          </reference>
        </references>
      </pivotArea>
    </format>
    <format dxfId="3641">
      <pivotArea dataOnly="0" labelOnly="1" outline="0" fieldPosition="0">
        <references count="3">
          <reference field="11" count="1" selected="0">
            <x v="440"/>
          </reference>
          <reference field="14" count="1" selected="0">
            <x v="208"/>
          </reference>
          <reference field="18" count="1" defaultSubtotal="1">
            <x v="27"/>
          </reference>
        </references>
      </pivotArea>
    </format>
    <format dxfId="3640">
      <pivotArea dataOnly="0" labelOnly="1" outline="0" fieldPosition="0">
        <references count="3">
          <reference field="11" count="1" selected="0">
            <x v="441"/>
          </reference>
          <reference field="14" count="1" selected="0">
            <x v="30"/>
          </reference>
          <reference field="18" count="1">
            <x v="27"/>
          </reference>
        </references>
      </pivotArea>
    </format>
    <format dxfId="3639">
      <pivotArea dataOnly="0" labelOnly="1" outline="0" fieldPosition="0">
        <references count="3">
          <reference field="11" count="1" selected="0">
            <x v="441"/>
          </reference>
          <reference field="14" count="1" selected="0">
            <x v="30"/>
          </reference>
          <reference field="18" count="1" defaultSubtotal="1">
            <x v="27"/>
          </reference>
        </references>
      </pivotArea>
    </format>
    <format dxfId="3638">
      <pivotArea dataOnly="0" labelOnly="1" outline="0" fieldPosition="0">
        <references count="3">
          <reference field="11" count="1" selected="0">
            <x v="442"/>
          </reference>
          <reference field="14" count="1" selected="0">
            <x v="306"/>
          </reference>
          <reference field="18" count="1">
            <x v="27"/>
          </reference>
        </references>
      </pivotArea>
    </format>
    <format dxfId="3637">
      <pivotArea dataOnly="0" labelOnly="1" outline="0" fieldPosition="0">
        <references count="3">
          <reference field="11" count="1" selected="0">
            <x v="442"/>
          </reference>
          <reference field="14" count="1" selected="0">
            <x v="306"/>
          </reference>
          <reference field="18" count="1" defaultSubtotal="1">
            <x v="27"/>
          </reference>
        </references>
      </pivotArea>
    </format>
    <format dxfId="3636">
      <pivotArea dataOnly="0" labelOnly="1" outline="0" fieldPosition="0">
        <references count="3">
          <reference field="11" count="1" selected="0">
            <x v="443"/>
          </reference>
          <reference field="14" count="1" selected="0">
            <x v="432"/>
          </reference>
          <reference field="18" count="1">
            <x v="19"/>
          </reference>
        </references>
      </pivotArea>
    </format>
    <format dxfId="3635">
      <pivotArea dataOnly="0" labelOnly="1" outline="0" fieldPosition="0">
        <references count="3">
          <reference field="11" count="1" selected="0">
            <x v="443"/>
          </reference>
          <reference field="14" count="1" selected="0">
            <x v="432"/>
          </reference>
          <reference field="18" count="1" defaultSubtotal="1">
            <x v="19"/>
          </reference>
        </references>
      </pivotArea>
    </format>
    <format dxfId="3634">
      <pivotArea dataOnly="0" labelOnly="1" outline="0" fieldPosition="0">
        <references count="3">
          <reference field="11" count="1" selected="0">
            <x v="444"/>
          </reference>
          <reference field="14" count="1" selected="0">
            <x v="436"/>
          </reference>
          <reference field="18" count="1">
            <x v="19"/>
          </reference>
        </references>
      </pivotArea>
    </format>
    <format dxfId="3633">
      <pivotArea dataOnly="0" labelOnly="1" outline="0" fieldPosition="0">
        <references count="3">
          <reference field="11" count="1" selected="0">
            <x v="444"/>
          </reference>
          <reference field="14" count="1" selected="0">
            <x v="436"/>
          </reference>
          <reference field="18" count="1" defaultSubtotal="1">
            <x v="19"/>
          </reference>
        </references>
      </pivotArea>
    </format>
    <format dxfId="3632">
      <pivotArea dataOnly="0" labelOnly="1" outline="0" fieldPosition="0">
        <references count="3">
          <reference field="11" count="1" selected="0">
            <x v="445"/>
          </reference>
          <reference field="14" count="1" selected="0">
            <x v="437"/>
          </reference>
          <reference field="18" count="1">
            <x v="19"/>
          </reference>
        </references>
      </pivotArea>
    </format>
    <format dxfId="3631">
      <pivotArea dataOnly="0" labelOnly="1" outline="0" fieldPosition="0">
        <references count="3">
          <reference field="11" count="1" selected="0">
            <x v="445"/>
          </reference>
          <reference field="14" count="1" selected="0">
            <x v="437"/>
          </reference>
          <reference field="18" count="1" defaultSubtotal="1">
            <x v="19"/>
          </reference>
        </references>
      </pivotArea>
    </format>
    <format dxfId="3630">
      <pivotArea dataOnly="0" labelOnly="1" outline="0" fieldPosition="0">
        <references count="3">
          <reference field="11" count="1" selected="0">
            <x v="446"/>
          </reference>
          <reference field="14" count="1" selected="0">
            <x v="29"/>
          </reference>
          <reference field="18" count="1">
            <x v="19"/>
          </reference>
        </references>
      </pivotArea>
    </format>
    <format dxfId="3629">
      <pivotArea dataOnly="0" labelOnly="1" outline="0" fieldPosition="0">
        <references count="3">
          <reference field="11" count="1" selected="0">
            <x v="446"/>
          </reference>
          <reference field="14" count="1" selected="0">
            <x v="29"/>
          </reference>
          <reference field="18" count="1" defaultSubtotal="1">
            <x v="19"/>
          </reference>
        </references>
      </pivotArea>
    </format>
    <format dxfId="3628">
      <pivotArea dataOnly="0" labelOnly="1" outline="0" fieldPosition="0">
        <references count="3">
          <reference field="11" count="1" selected="0">
            <x v="447"/>
          </reference>
          <reference field="14" count="1" selected="0">
            <x v="57"/>
          </reference>
          <reference field="18" count="1">
            <x v="27"/>
          </reference>
        </references>
      </pivotArea>
    </format>
    <format dxfId="3627">
      <pivotArea dataOnly="0" labelOnly="1" outline="0" fieldPosition="0">
        <references count="3">
          <reference field="11" count="1" selected="0">
            <x v="447"/>
          </reference>
          <reference field="14" count="1" selected="0">
            <x v="57"/>
          </reference>
          <reference field="18" count="1" defaultSubtotal="1">
            <x v="27"/>
          </reference>
        </references>
      </pivotArea>
    </format>
    <format dxfId="3626">
      <pivotArea dataOnly="0" labelOnly="1" outline="0" fieldPosition="0">
        <references count="3">
          <reference field="11" count="1" selected="0">
            <x v="448"/>
          </reference>
          <reference field="14" count="1" selected="0">
            <x v="58"/>
          </reference>
          <reference field="18" count="1">
            <x v="27"/>
          </reference>
        </references>
      </pivotArea>
    </format>
    <format dxfId="3625">
      <pivotArea dataOnly="0" labelOnly="1" outline="0" fieldPosition="0">
        <references count="3">
          <reference field="11" count="1" selected="0">
            <x v="448"/>
          </reference>
          <reference field="14" count="1" selected="0">
            <x v="58"/>
          </reference>
          <reference field="18" count="1" defaultSubtotal="1">
            <x v="27"/>
          </reference>
        </references>
      </pivotArea>
    </format>
    <format dxfId="3624">
      <pivotArea dataOnly="0" labelOnly="1" outline="0" fieldPosition="0">
        <references count="3">
          <reference field="11" count="1" selected="0">
            <x v="449"/>
          </reference>
          <reference field="14" count="1" selected="0">
            <x v="10"/>
          </reference>
          <reference field="18" count="2">
            <x v="24"/>
            <x v="27"/>
          </reference>
        </references>
      </pivotArea>
    </format>
    <format dxfId="3623">
      <pivotArea dataOnly="0" labelOnly="1" outline="0" fieldPosition="0">
        <references count="3">
          <reference field="11" count="1" selected="0">
            <x v="449"/>
          </reference>
          <reference field="14" count="1" selected="0">
            <x v="10"/>
          </reference>
          <reference field="18" count="2" defaultSubtotal="1">
            <x v="24"/>
            <x v="27"/>
          </reference>
        </references>
      </pivotArea>
    </format>
    <format dxfId="3622">
      <pivotArea dataOnly="0" labelOnly="1" outline="0" fieldPosition="0">
        <references count="3">
          <reference field="11" count="1" selected="0">
            <x v="450"/>
          </reference>
          <reference field="14" count="1" selected="0">
            <x v="141"/>
          </reference>
          <reference field="18" count="2">
            <x v="0"/>
            <x v="27"/>
          </reference>
        </references>
      </pivotArea>
    </format>
    <format dxfId="3621">
      <pivotArea dataOnly="0" labelOnly="1" outline="0" fieldPosition="0">
        <references count="3">
          <reference field="11" count="1" selected="0">
            <x v="450"/>
          </reference>
          <reference field="14" count="1" selected="0">
            <x v="141"/>
          </reference>
          <reference field="18" count="2" defaultSubtotal="1">
            <x v="0"/>
            <x v="27"/>
          </reference>
        </references>
      </pivotArea>
    </format>
    <format dxfId="3620">
      <pivotArea dataOnly="0" labelOnly="1" outline="0" fieldPosition="0">
        <references count="3">
          <reference field="11" count="1" selected="0">
            <x v="451"/>
          </reference>
          <reference field="14" count="1" selected="0">
            <x v="101"/>
          </reference>
          <reference field="18" count="1">
            <x v="27"/>
          </reference>
        </references>
      </pivotArea>
    </format>
    <format dxfId="3619">
      <pivotArea dataOnly="0" labelOnly="1" outline="0" fieldPosition="0">
        <references count="3">
          <reference field="11" count="1" selected="0">
            <x v="451"/>
          </reference>
          <reference field="14" count="1" selected="0">
            <x v="101"/>
          </reference>
          <reference field="18" count="1" defaultSubtotal="1">
            <x v="27"/>
          </reference>
        </references>
      </pivotArea>
    </format>
    <format dxfId="3618">
      <pivotArea dataOnly="0" labelOnly="1" outline="0" fieldPosition="0">
        <references count="3">
          <reference field="11" count="1" selected="0">
            <x v="452"/>
          </reference>
          <reference field="14" count="1" selected="0">
            <x v="450"/>
          </reference>
          <reference field="18" count="1">
            <x v="19"/>
          </reference>
        </references>
      </pivotArea>
    </format>
    <format dxfId="3617">
      <pivotArea dataOnly="0" labelOnly="1" outline="0" fieldPosition="0">
        <references count="3">
          <reference field="11" count="1" selected="0">
            <x v="452"/>
          </reference>
          <reference field="14" count="1" selected="0">
            <x v="450"/>
          </reference>
          <reference field="18" count="1" defaultSubtotal="1">
            <x v="19"/>
          </reference>
        </references>
      </pivotArea>
    </format>
    <format dxfId="3616">
      <pivotArea dataOnly="0" labelOnly="1" outline="0" fieldPosition="0">
        <references count="3">
          <reference field="11" count="1" selected="0">
            <x v="453"/>
          </reference>
          <reference field="14" count="1" selected="0">
            <x v="144"/>
          </reference>
          <reference field="18" count="1">
            <x v="3"/>
          </reference>
        </references>
      </pivotArea>
    </format>
    <format dxfId="3615">
      <pivotArea dataOnly="0" labelOnly="1" outline="0" fieldPosition="0">
        <references count="3">
          <reference field="11" count="1" selected="0">
            <x v="453"/>
          </reference>
          <reference field="14" count="1" selected="0">
            <x v="144"/>
          </reference>
          <reference field="18" count="1" defaultSubtotal="1">
            <x v="3"/>
          </reference>
        </references>
      </pivotArea>
    </format>
    <format dxfId="3614">
      <pivotArea dataOnly="0" labelOnly="1" outline="0" fieldPosition="0">
        <references count="3">
          <reference field="11" count="1" selected="0">
            <x v="454"/>
          </reference>
          <reference field="14" count="1" selected="0">
            <x v="397"/>
          </reference>
          <reference field="18" count="1">
            <x v="3"/>
          </reference>
        </references>
      </pivotArea>
    </format>
    <format dxfId="3613">
      <pivotArea dataOnly="0" labelOnly="1" outline="0" fieldPosition="0">
        <references count="3">
          <reference field="11" count="1" selected="0">
            <x v="454"/>
          </reference>
          <reference field="14" count="1" selected="0">
            <x v="397"/>
          </reference>
          <reference field="18" count="1" defaultSubtotal="1">
            <x v="3"/>
          </reference>
        </references>
      </pivotArea>
    </format>
    <format dxfId="3612">
      <pivotArea dataOnly="0" labelOnly="1" outline="0" fieldPosition="0">
        <references count="3">
          <reference field="11" count="1" selected="0">
            <x v="455"/>
          </reference>
          <reference field="14" count="1" selected="0">
            <x v="390"/>
          </reference>
          <reference field="18" count="1">
            <x v="3"/>
          </reference>
        </references>
      </pivotArea>
    </format>
    <format dxfId="3611">
      <pivotArea dataOnly="0" labelOnly="1" outline="0" fieldPosition="0">
        <references count="3">
          <reference field="11" count="1" selected="0">
            <x v="455"/>
          </reference>
          <reference field="14" count="1" selected="0">
            <x v="390"/>
          </reference>
          <reference field="18" count="1" defaultSubtotal="1">
            <x v="3"/>
          </reference>
        </references>
      </pivotArea>
    </format>
    <format dxfId="3610">
      <pivotArea dataOnly="0" labelOnly="1" outline="0" fieldPosition="0">
        <references count="3">
          <reference field="11" count="1" selected="0">
            <x v="456"/>
          </reference>
          <reference field="14" count="1" selected="0">
            <x v="452"/>
          </reference>
          <reference field="18" count="1">
            <x v="3"/>
          </reference>
        </references>
      </pivotArea>
    </format>
    <format dxfId="3609">
      <pivotArea dataOnly="0" labelOnly="1" outline="0" fieldPosition="0">
        <references count="3">
          <reference field="11" count="1" selected="0">
            <x v="456"/>
          </reference>
          <reference field="14" count="1" selected="0">
            <x v="452"/>
          </reference>
          <reference field="18" count="1" defaultSubtotal="1">
            <x v="3"/>
          </reference>
        </references>
      </pivotArea>
    </format>
    <format dxfId="3608">
      <pivotArea dataOnly="0" labelOnly="1" outline="0" fieldPosition="0">
        <references count="3">
          <reference field="11" count="1" selected="0">
            <x v="457"/>
          </reference>
          <reference field="14" count="1" selected="0">
            <x v="12"/>
          </reference>
          <reference field="18" count="1">
            <x v="3"/>
          </reference>
        </references>
      </pivotArea>
    </format>
    <format dxfId="3607">
      <pivotArea dataOnly="0" labelOnly="1" outline="0" fieldPosition="0">
        <references count="3">
          <reference field="11" count="1" selected="0">
            <x v="457"/>
          </reference>
          <reference field="14" count="1" selected="0">
            <x v="12"/>
          </reference>
          <reference field="18" count="1" defaultSubtotal="1">
            <x v="3"/>
          </reference>
        </references>
      </pivotArea>
    </format>
    <format dxfId="3606">
      <pivotArea dataOnly="0" labelOnly="1" outline="0" fieldPosition="0">
        <references count="3">
          <reference field="11" count="1" selected="0">
            <x v="458"/>
          </reference>
          <reference field="14" count="1" selected="0">
            <x v="367"/>
          </reference>
          <reference field="18" count="1">
            <x v="3"/>
          </reference>
        </references>
      </pivotArea>
    </format>
    <format dxfId="3605">
      <pivotArea dataOnly="0" labelOnly="1" outline="0" fieldPosition="0">
        <references count="3">
          <reference field="11" count="1" selected="0">
            <x v="458"/>
          </reference>
          <reference field="14" count="1" selected="0">
            <x v="367"/>
          </reference>
          <reference field="18" count="1" defaultSubtotal="1">
            <x v="3"/>
          </reference>
        </references>
      </pivotArea>
    </format>
    <format dxfId="3604">
      <pivotArea dataOnly="0" labelOnly="1" outline="0" fieldPosition="0">
        <references count="3">
          <reference field="11" count="1" selected="0">
            <x v="459"/>
          </reference>
          <reference field="14" count="1" selected="0">
            <x v="368"/>
          </reference>
          <reference field="18" count="1">
            <x v="3"/>
          </reference>
        </references>
      </pivotArea>
    </format>
    <format dxfId="3603">
      <pivotArea dataOnly="0" labelOnly="1" outline="0" fieldPosition="0">
        <references count="3">
          <reference field="11" count="1" selected="0">
            <x v="459"/>
          </reference>
          <reference field="14" count="1" selected="0">
            <x v="368"/>
          </reference>
          <reference field="18" count="1" defaultSubtotal="1">
            <x v="3"/>
          </reference>
        </references>
      </pivotArea>
    </format>
    <format dxfId="3602">
      <pivotArea dataOnly="0" labelOnly="1" outline="0" fieldPosition="0">
        <references count="3">
          <reference field="11" count="1" selected="0">
            <x v="460"/>
          </reference>
          <reference field="14" count="1" selected="0">
            <x v="369"/>
          </reference>
          <reference field="18" count="1">
            <x v="3"/>
          </reference>
        </references>
      </pivotArea>
    </format>
    <format dxfId="3601">
      <pivotArea dataOnly="0" labelOnly="1" outline="0" fieldPosition="0">
        <references count="3">
          <reference field="11" count="1" selected="0">
            <x v="460"/>
          </reference>
          <reference field="14" count="1" selected="0">
            <x v="369"/>
          </reference>
          <reference field="18" count="1" defaultSubtotal="1">
            <x v="3"/>
          </reference>
        </references>
      </pivotArea>
    </format>
    <format dxfId="3600">
      <pivotArea dataOnly="0" labelOnly="1" outline="0" fieldPosition="0">
        <references count="3">
          <reference field="11" count="1" selected="0">
            <x v="461"/>
          </reference>
          <reference field="14" count="1" selected="0">
            <x v="301"/>
          </reference>
          <reference field="18" count="3">
            <x v="7"/>
            <x v="8"/>
            <x v="13"/>
          </reference>
        </references>
      </pivotArea>
    </format>
    <format dxfId="3599">
      <pivotArea dataOnly="0" labelOnly="1" outline="0" fieldPosition="0">
        <references count="3">
          <reference field="11" count="1" selected="0">
            <x v="461"/>
          </reference>
          <reference field="14" count="1" selected="0">
            <x v="301"/>
          </reference>
          <reference field="18" count="3" defaultSubtotal="1">
            <x v="7"/>
            <x v="8"/>
            <x v="13"/>
          </reference>
        </references>
      </pivotArea>
    </format>
    <format dxfId="3598">
      <pivotArea dataOnly="0" labelOnly="1" outline="0" fieldPosition="0">
        <references count="3">
          <reference field="11" count="1" selected="0">
            <x v="462"/>
          </reference>
          <reference field="14" count="1" selected="0">
            <x v="434"/>
          </reference>
          <reference field="18" count="1">
            <x v="19"/>
          </reference>
        </references>
      </pivotArea>
    </format>
    <format dxfId="3597">
      <pivotArea dataOnly="0" labelOnly="1" outline="0" fieldPosition="0">
        <references count="3">
          <reference field="11" count="1" selected="0">
            <x v="462"/>
          </reference>
          <reference field="14" count="1" selected="0">
            <x v="434"/>
          </reference>
          <reference field="18" count="1" defaultSubtotal="1">
            <x v="19"/>
          </reference>
        </references>
      </pivotArea>
    </format>
    <format dxfId="3596">
      <pivotArea dataOnly="0" labelOnly="1" outline="0" fieldPosition="0">
        <references count="3">
          <reference field="11" count="1" selected="0">
            <x v="463"/>
          </reference>
          <reference field="14" count="1" selected="0">
            <x v="440"/>
          </reference>
          <reference field="18" count="1">
            <x v="19"/>
          </reference>
        </references>
      </pivotArea>
    </format>
    <format dxfId="3595">
      <pivotArea dataOnly="0" labelOnly="1" outline="0" fieldPosition="0">
        <references count="3">
          <reference field="11" count="1" selected="0">
            <x v="463"/>
          </reference>
          <reference field="14" count="1" selected="0">
            <x v="440"/>
          </reference>
          <reference field="18" count="1" defaultSubtotal="1">
            <x v="19"/>
          </reference>
        </references>
      </pivotArea>
    </format>
    <format dxfId="3594">
      <pivotArea dataOnly="0" labelOnly="1" outline="0" fieldPosition="0">
        <references count="3">
          <reference field="11" count="1" selected="0">
            <x v="464"/>
          </reference>
          <reference field="14" count="1" selected="0">
            <x v="442"/>
          </reference>
          <reference field="18" count="1">
            <x v="19"/>
          </reference>
        </references>
      </pivotArea>
    </format>
    <format dxfId="3593">
      <pivotArea dataOnly="0" labelOnly="1" outline="0" fieldPosition="0">
        <references count="3">
          <reference field="11" count="1" selected="0">
            <x v="464"/>
          </reference>
          <reference field="14" count="1" selected="0">
            <x v="442"/>
          </reference>
          <reference field="18" count="1" defaultSubtotal="1">
            <x v="19"/>
          </reference>
        </references>
      </pivotArea>
    </format>
    <format dxfId="3592">
      <pivotArea dataOnly="0" labelOnly="1" outline="0" fieldPosition="0">
        <references count="3">
          <reference field="11" count="1" selected="0">
            <x v="465"/>
          </reference>
          <reference field="14" count="1" selected="0">
            <x v="355"/>
          </reference>
          <reference field="18" count="1">
            <x v="27"/>
          </reference>
        </references>
      </pivotArea>
    </format>
    <format dxfId="3591">
      <pivotArea dataOnly="0" labelOnly="1" outline="0" fieldPosition="0">
        <references count="3">
          <reference field="11" count="1" selected="0">
            <x v="465"/>
          </reference>
          <reference field="14" count="1" selected="0">
            <x v="355"/>
          </reference>
          <reference field="18" count="1" defaultSubtotal="1">
            <x v="27"/>
          </reference>
        </references>
      </pivotArea>
    </format>
    <format dxfId="3590">
      <pivotArea dataOnly="0" labelOnly="1" outline="0" fieldPosition="0">
        <references count="3">
          <reference field="11" count="1" selected="0">
            <x v="466"/>
          </reference>
          <reference field="14" count="1" selected="0">
            <x v="115"/>
          </reference>
          <reference field="18" count="1">
            <x v="27"/>
          </reference>
        </references>
      </pivotArea>
    </format>
    <format dxfId="3589">
      <pivotArea dataOnly="0" labelOnly="1" outline="0" fieldPosition="0">
        <references count="3">
          <reference field="11" count="1" selected="0">
            <x v="466"/>
          </reference>
          <reference field="14" count="1" selected="0">
            <x v="115"/>
          </reference>
          <reference field="18" count="1" defaultSubtotal="1">
            <x v="27"/>
          </reference>
        </references>
      </pivotArea>
    </format>
    <format dxfId="3588">
      <pivotArea dataOnly="0" labelOnly="1" outline="0" fieldPosition="0">
        <references count="3">
          <reference field="11" count="1" selected="0">
            <x v="467"/>
          </reference>
          <reference field="14" count="1" selected="0">
            <x v="270"/>
          </reference>
          <reference field="18" count="1">
            <x v="2"/>
          </reference>
        </references>
      </pivotArea>
    </format>
    <format dxfId="3587">
      <pivotArea dataOnly="0" labelOnly="1" outline="0" fieldPosition="0">
        <references count="3">
          <reference field="11" count="1" selected="0">
            <x v="467"/>
          </reference>
          <reference field="14" count="1" selected="0">
            <x v="270"/>
          </reference>
          <reference field="18" count="1" defaultSubtotal="1">
            <x v="2"/>
          </reference>
        </references>
      </pivotArea>
    </format>
    <format dxfId="3586">
      <pivotArea dataOnly="0" labelOnly="1" outline="0" fieldPosition="0">
        <references count="3">
          <reference field="11" count="1" selected="0">
            <x v="468"/>
          </reference>
          <reference field="14" count="1" selected="0">
            <x v="380"/>
          </reference>
          <reference field="18" count="1">
            <x v="6"/>
          </reference>
        </references>
      </pivotArea>
    </format>
    <format dxfId="3585">
      <pivotArea dataOnly="0" labelOnly="1" outline="0" fieldPosition="0">
        <references count="3">
          <reference field="11" count="1" selected="0">
            <x v="468"/>
          </reference>
          <reference field="14" count="1" selected="0">
            <x v="380"/>
          </reference>
          <reference field="18" count="1" defaultSubtotal="1">
            <x v="6"/>
          </reference>
        </references>
      </pivotArea>
    </format>
    <format dxfId="3584">
      <pivotArea dataOnly="0" labelOnly="1" outline="0" fieldPosition="0">
        <references count="3">
          <reference field="11" count="1" selected="0">
            <x v="469"/>
          </reference>
          <reference field="14" count="1" selected="0">
            <x v="291"/>
          </reference>
          <reference field="18" count="3">
            <x v="6"/>
            <x v="24"/>
            <x v="25"/>
          </reference>
        </references>
      </pivotArea>
    </format>
    <format dxfId="3583">
      <pivotArea dataOnly="0" labelOnly="1" outline="0" fieldPosition="0">
        <references count="3">
          <reference field="11" count="1" selected="0">
            <x v="469"/>
          </reference>
          <reference field="14" count="1" selected="0">
            <x v="291"/>
          </reference>
          <reference field="18" count="3" defaultSubtotal="1">
            <x v="6"/>
            <x v="24"/>
            <x v="25"/>
          </reference>
        </references>
      </pivotArea>
    </format>
    <format dxfId="3582">
      <pivotArea dataOnly="0" labelOnly="1" outline="0" fieldPosition="0">
        <references count="3">
          <reference field="11" count="1" selected="0">
            <x v="470"/>
          </reference>
          <reference field="14" count="1" selected="0">
            <x v="100"/>
          </reference>
          <reference field="18" count="1">
            <x v="0"/>
          </reference>
        </references>
      </pivotArea>
    </format>
    <format dxfId="3581">
      <pivotArea dataOnly="0" labelOnly="1" outline="0" fieldPosition="0">
        <references count="3">
          <reference field="11" count="1" selected="0">
            <x v="470"/>
          </reference>
          <reference field="14" count="1" selected="0">
            <x v="100"/>
          </reference>
          <reference field="18" count="1" defaultSubtotal="1">
            <x v="0"/>
          </reference>
        </references>
      </pivotArea>
    </format>
    <format dxfId="3580">
      <pivotArea dataOnly="0" labelOnly="1" outline="0" fieldPosition="0">
        <references count="3">
          <reference field="11" count="1" selected="0">
            <x v="471"/>
          </reference>
          <reference field="14" count="1" selected="0">
            <x v="295"/>
          </reference>
          <reference field="18" count="1">
            <x v="2"/>
          </reference>
        </references>
      </pivotArea>
    </format>
    <format dxfId="3579">
      <pivotArea dataOnly="0" labelOnly="1" outline="0" fieldPosition="0">
        <references count="3">
          <reference field="11" count="1" selected="0">
            <x v="471"/>
          </reference>
          <reference field="14" count="1" selected="0">
            <x v="295"/>
          </reference>
          <reference field="18" count="1" defaultSubtotal="1">
            <x v="2"/>
          </reference>
        </references>
      </pivotArea>
    </format>
    <format dxfId="3578">
      <pivotArea dataOnly="0" labelOnly="1" outline="0" fieldPosition="0">
        <references count="3">
          <reference field="11" count="1" selected="0">
            <x v="472"/>
          </reference>
          <reference field="14" count="1" selected="0">
            <x v="325"/>
          </reference>
          <reference field="18" count="1">
            <x v="6"/>
          </reference>
        </references>
      </pivotArea>
    </format>
    <format dxfId="3577">
      <pivotArea dataOnly="0" labelOnly="1" outline="0" fieldPosition="0">
        <references count="3">
          <reference field="11" count="1" selected="0">
            <x v="472"/>
          </reference>
          <reference field="14" count="1" selected="0">
            <x v="325"/>
          </reference>
          <reference field="18" count="1" defaultSubtotal="1">
            <x v="6"/>
          </reference>
        </references>
      </pivotArea>
    </format>
    <format dxfId="3576">
      <pivotArea dataOnly="0" labelOnly="1" outline="0" fieldPosition="0">
        <references count="3">
          <reference field="11" count="1" selected="0">
            <x v="473"/>
          </reference>
          <reference field="14" count="1" selected="0">
            <x v="425"/>
          </reference>
          <reference field="18" count="1">
            <x v="19"/>
          </reference>
        </references>
      </pivotArea>
    </format>
    <format dxfId="3575">
      <pivotArea dataOnly="0" labelOnly="1" outline="0" fieldPosition="0">
        <references count="3">
          <reference field="11" count="1" selected="0">
            <x v="473"/>
          </reference>
          <reference field="14" count="1" selected="0">
            <x v="425"/>
          </reference>
          <reference field="18" count="1" defaultSubtotal="1">
            <x v="19"/>
          </reference>
        </references>
      </pivotArea>
    </format>
    <format dxfId="3574">
      <pivotArea dataOnly="0" labelOnly="1" outline="0" fieldPosition="0">
        <references count="3">
          <reference field="11" count="1" selected="0">
            <x v="474"/>
          </reference>
          <reference field="14" count="1" selected="0">
            <x v="424"/>
          </reference>
          <reference field="18" count="1">
            <x v="19"/>
          </reference>
        </references>
      </pivotArea>
    </format>
    <format dxfId="3573">
      <pivotArea dataOnly="0" labelOnly="1" outline="0" fieldPosition="0">
        <references count="3">
          <reference field="11" count="1" selected="0">
            <x v="474"/>
          </reference>
          <reference field="14" count="1" selected="0">
            <x v="424"/>
          </reference>
          <reference field="18" count="1" defaultSubtotal="1">
            <x v="19"/>
          </reference>
        </references>
      </pivotArea>
    </format>
    <format dxfId="3572">
      <pivotArea dataOnly="0" labelOnly="1" outline="0" fieldPosition="0">
        <references count="3">
          <reference field="11" count="1" selected="0">
            <x v="475"/>
          </reference>
          <reference field="14" count="1" selected="0">
            <x v="435"/>
          </reference>
          <reference field="18" count="1">
            <x v="19"/>
          </reference>
        </references>
      </pivotArea>
    </format>
    <format dxfId="3571">
      <pivotArea dataOnly="0" labelOnly="1" outline="0" fieldPosition="0">
        <references count="3">
          <reference field="11" count="1" selected="0">
            <x v="475"/>
          </reference>
          <reference field="14" count="1" selected="0">
            <x v="435"/>
          </reference>
          <reference field="18" count="1" defaultSubtotal="1">
            <x v="19"/>
          </reference>
        </references>
      </pivotArea>
    </format>
    <format dxfId="3570">
      <pivotArea dataOnly="0" labelOnly="1" outline="0" fieldPosition="0">
        <references count="3">
          <reference field="11" count="1" selected="0">
            <x v="476"/>
          </reference>
          <reference field="14" count="1" selected="0">
            <x v="151"/>
          </reference>
          <reference field="18" count="1">
            <x v="0"/>
          </reference>
        </references>
      </pivotArea>
    </format>
    <format dxfId="3569">
      <pivotArea dataOnly="0" labelOnly="1" outline="0" fieldPosition="0">
        <references count="3">
          <reference field="11" count="1" selected="0">
            <x v="476"/>
          </reference>
          <reference field="14" count="1" selected="0">
            <x v="151"/>
          </reference>
          <reference field="18" count="1" defaultSubtotal="1">
            <x v="0"/>
          </reference>
        </references>
      </pivotArea>
    </format>
    <format dxfId="3568">
      <pivotArea dataOnly="0" labelOnly="1" outline="0" fieldPosition="0">
        <references count="3">
          <reference field="11" count="1" selected="0">
            <x v="477"/>
          </reference>
          <reference field="14" count="1" selected="0">
            <x v="419"/>
          </reference>
          <reference field="18" count="1">
            <x v="19"/>
          </reference>
        </references>
      </pivotArea>
    </format>
    <format dxfId="3567">
      <pivotArea dataOnly="0" labelOnly="1" outline="0" fieldPosition="0">
        <references count="3">
          <reference field="11" count="1" selected="0">
            <x v="477"/>
          </reference>
          <reference field="14" count="1" selected="0">
            <x v="419"/>
          </reference>
          <reference field="18" count="1" defaultSubtotal="1">
            <x v="19"/>
          </reference>
        </references>
      </pivotArea>
    </format>
    <format dxfId="3566">
      <pivotArea dataOnly="0" labelOnly="1" outline="0" fieldPosition="0">
        <references count="3">
          <reference field="11" count="1" selected="0">
            <x v="478"/>
          </reference>
          <reference field="14" count="1" selected="0">
            <x v="308"/>
          </reference>
          <reference field="18" count="1">
            <x v="19"/>
          </reference>
        </references>
      </pivotArea>
    </format>
    <format dxfId="3565">
      <pivotArea dataOnly="0" labelOnly="1" outline="0" fieldPosition="0">
        <references count="3">
          <reference field="11" count="1" selected="0">
            <x v="478"/>
          </reference>
          <reference field="14" count="1" selected="0">
            <x v="308"/>
          </reference>
          <reference field="18" count="1" defaultSubtotal="1">
            <x v="19"/>
          </reference>
        </references>
      </pivotArea>
    </format>
    <format dxfId="3564">
      <pivotArea dataOnly="0" labelOnly="1" outline="0" fieldPosition="0">
        <references count="3">
          <reference field="11" count="1" selected="0">
            <x v="479"/>
          </reference>
          <reference field="14" count="1" selected="0">
            <x v="312"/>
          </reference>
          <reference field="18" count="1">
            <x v="19"/>
          </reference>
        </references>
      </pivotArea>
    </format>
    <format dxfId="3563">
      <pivotArea dataOnly="0" labelOnly="1" outline="0" fieldPosition="0">
        <references count="3">
          <reference field="11" count="1" selected="0">
            <x v="479"/>
          </reference>
          <reference field="14" count="1" selected="0">
            <x v="312"/>
          </reference>
          <reference field="18" count="1" defaultSubtotal="1">
            <x v="19"/>
          </reference>
        </references>
      </pivotArea>
    </format>
    <format dxfId="3562">
      <pivotArea dataOnly="0" labelOnly="1" outline="0" fieldPosition="0">
        <references count="3">
          <reference field="11" count="1" selected="0">
            <x v="480"/>
          </reference>
          <reference field="14" count="1" selected="0">
            <x v="423"/>
          </reference>
          <reference field="18" count="1">
            <x v="19"/>
          </reference>
        </references>
      </pivotArea>
    </format>
    <format dxfId="3561">
      <pivotArea dataOnly="0" labelOnly="1" outline="0" fieldPosition="0">
        <references count="3">
          <reference field="11" count="1" selected="0">
            <x v="480"/>
          </reference>
          <reference field="14" count="1" selected="0">
            <x v="423"/>
          </reference>
          <reference field="18" count="1" defaultSubtotal="1">
            <x v="19"/>
          </reference>
        </references>
      </pivotArea>
    </format>
    <format dxfId="3560">
      <pivotArea dataOnly="0" labelOnly="1" outline="0" fieldPosition="0">
        <references count="3">
          <reference field="11" count="1" selected="0">
            <x v="481"/>
          </reference>
          <reference field="14" count="1" selected="0">
            <x v="455"/>
          </reference>
          <reference field="18" count="2">
            <x v="12"/>
            <x v="14"/>
          </reference>
        </references>
      </pivotArea>
    </format>
    <format dxfId="3559">
      <pivotArea dataOnly="0" labelOnly="1" outline="0" fieldPosition="0">
        <references count="3">
          <reference field="11" count="1" selected="0">
            <x v="481"/>
          </reference>
          <reference field="14" count="1" selected="0">
            <x v="455"/>
          </reference>
          <reference field="18" count="2" defaultSubtotal="1">
            <x v="12"/>
            <x v="14"/>
          </reference>
        </references>
      </pivotArea>
    </format>
    <format dxfId="3558">
      <pivotArea dataOnly="0" labelOnly="1" outline="0" fieldPosition="0">
        <references count="3">
          <reference field="11" count="1" selected="0">
            <x v="482"/>
          </reference>
          <reference field="14" count="1" selected="0">
            <x v="38"/>
          </reference>
          <reference field="18" count="2">
            <x v="12"/>
            <x v="14"/>
          </reference>
        </references>
      </pivotArea>
    </format>
    <format dxfId="3557">
      <pivotArea dataOnly="0" labelOnly="1" outline="0" fieldPosition="0">
        <references count="3">
          <reference field="11" count="1" selected="0">
            <x v="482"/>
          </reference>
          <reference field="14" count="1" selected="0">
            <x v="38"/>
          </reference>
          <reference field="18" count="2" defaultSubtotal="1">
            <x v="12"/>
            <x v="14"/>
          </reference>
        </references>
      </pivotArea>
    </format>
    <format dxfId="3556">
      <pivotArea dataOnly="0" labelOnly="1" outline="0" fieldPosition="0">
        <references count="3">
          <reference field="11" count="1" selected="0">
            <x v="483"/>
          </reference>
          <reference field="14" count="1" selected="0">
            <x v="207"/>
          </reference>
          <reference field="18" count="2">
            <x v="14"/>
            <x v="26"/>
          </reference>
        </references>
      </pivotArea>
    </format>
    <format dxfId="3555">
      <pivotArea dataOnly="0" labelOnly="1" outline="0" fieldPosition="0">
        <references count="3">
          <reference field="11" count="1" selected="0">
            <x v="483"/>
          </reference>
          <reference field="14" count="1" selected="0">
            <x v="207"/>
          </reference>
          <reference field="18" count="2" defaultSubtotal="1">
            <x v="14"/>
            <x v="26"/>
          </reference>
        </references>
      </pivotArea>
    </format>
    <format dxfId="3554">
      <pivotArea dataOnly="0" labelOnly="1" outline="0" fieldPosition="0">
        <references count="3">
          <reference field="11" count="1" selected="0">
            <x v="484"/>
          </reference>
          <reference field="14" count="1" selected="0">
            <x v="49"/>
          </reference>
          <reference field="18" count="2">
            <x v="14"/>
            <x v="26"/>
          </reference>
        </references>
      </pivotArea>
    </format>
    <format dxfId="3553">
      <pivotArea dataOnly="0" labelOnly="1" outline="0" fieldPosition="0">
        <references count="3">
          <reference field="11" count="1" selected="0">
            <x v="484"/>
          </reference>
          <reference field="14" count="1" selected="0">
            <x v="49"/>
          </reference>
          <reference field="18" count="2" defaultSubtotal="1">
            <x v="14"/>
            <x v="26"/>
          </reference>
        </references>
      </pivotArea>
    </format>
    <format dxfId="3552">
      <pivotArea dataOnly="0" labelOnly="1" outline="0" fieldPosition="0">
        <references count="3">
          <reference field="11" count="1" selected="0">
            <x v="485"/>
          </reference>
          <reference field="14" count="1" selected="0">
            <x v="49"/>
          </reference>
          <reference field="18" count="2">
            <x v="14"/>
            <x v="26"/>
          </reference>
        </references>
      </pivotArea>
    </format>
    <format dxfId="3551">
      <pivotArea dataOnly="0" labelOnly="1" outline="0" fieldPosition="0">
        <references count="3">
          <reference field="11" count="1" selected="0">
            <x v="485"/>
          </reference>
          <reference field="14" count="1" selected="0">
            <x v="49"/>
          </reference>
          <reference field="18" count="2" defaultSubtotal="1">
            <x v="14"/>
            <x v="26"/>
          </reference>
        </references>
      </pivotArea>
    </format>
    <format dxfId="3550">
      <pivotArea dataOnly="0" labelOnly="1" outline="0" fieldPosition="0">
        <references count="3">
          <reference field="11" count="1" selected="0">
            <x v="486"/>
          </reference>
          <reference field="14" count="1" selected="0">
            <x v="207"/>
          </reference>
          <reference field="18" count="2">
            <x v="14"/>
            <x v="26"/>
          </reference>
        </references>
      </pivotArea>
    </format>
    <format dxfId="3549">
      <pivotArea dataOnly="0" labelOnly="1" outline="0" fieldPosition="0">
        <references count="3">
          <reference field="11" count="1" selected="0">
            <x v="486"/>
          </reference>
          <reference field="14" count="1" selected="0">
            <x v="207"/>
          </reference>
          <reference field="18" count="2" defaultSubtotal="1">
            <x v="14"/>
            <x v="26"/>
          </reference>
        </references>
      </pivotArea>
    </format>
    <format dxfId="3548">
      <pivotArea dataOnly="0" labelOnly="1" outline="0" fieldPosition="0">
        <references count="3">
          <reference field="11" count="1" selected="0">
            <x v="487"/>
          </reference>
          <reference field="14" count="1" selected="0">
            <x v="32"/>
          </reference>
          <reference field="18" count="2">
            <x v="0"/>
            <x v="27"/>
          </reference>
        </references>
      </pivotArea>
    </format>
    <format dxfId="3547">
      <pivotArea dataOnly="0" labelOnly="1" outline="0" fieldPosition="0">
        <references count="3">
          <reference field="11" count="1" selected="0">
            <x v="487"/>
          </reference>
          <reference field="14" count="1" selected="0">
            <x v="32"/>
          </reference>
          <reference field="18" count="2" defaultSubtotal="1">
            <x v="0"/>
            <x v="27"/>
          </reference>
        </references>
      </pivotArea>
    </format>
    <format dxfId="3546">
      <pivotArea dataOnly="0" labelOnly="1" outline="0" fieldPosition="0">
        <references count="3">
          <reference field="11" count="1" selected="0">
            <x v="488"/>
          </reference>
          <reference field="14" count="1" selected="0">
            <x v="484"/>
          </reference>
          <reference field="18" count="1">
            <x v="28"/>
          </reference>
        </references>
      </pivotArea>
    </format>
    <format dxfId="3545">
      <pivotArea dataOnly="0" labelOnly="1" outline="0" fieldPosition="0">
        <references count="3">
          <reference field="11" count="1" selected="0">
            <x v="488"/>
          </reference>
          <reference field="14" count="1" selected="0">
            <x v="484"/>
          </reference>
          <reference field="18" count="1" defaultSubtotal="1">
            <x v="28"/>
          </reference>
        </references>
      </pivotArea>
    </format>
    <format dxfId="3544">
      <pivotArea dataOnly="0" labelOnly="1" outline="0" fieldPosition="0">
        <references count="4">
          <reference field="11" count="1" selected="0">
            <x v="0"/>
          </reference>
          <reference field="14" count="1" selected="0">
            <x v="90"/>
          </reference>
          <reference field="18" count="1" selected="0">
            <x v="0"/>
          </reference>
          <reference field="19" count="1">
            <x v="16"/>
          </reference>
        </references>
      </pivotArea>
    </format>
    <format dxfId="3543">
      <pivotArea dataOnly="0" labelOnly="1" outline="0" fieldPosition="0">
        <references count="4">
          <reference field="11" count="1" selected="0">
            <x v="1"/>
          </reference>
          <reference field="14" count="1" selected="0">
            <x v="230"/>
          </reference>
          <reference field="18" count="1" selected="0">
            <x v="2"/>
          </reference>
          <reference field="19" count="1">
            <x v="22"/>
          </reference>
        </references>
      </pivotArea>
    </format>
    <format dxfId="3542">
      <pivotArea dataOnly="0" labelOnly="1" outline="0" fieldPosition="0">
        <references count="4">
          <reference field="11" count="1" selected="0">
            <x v="1"/>
          </reference>
          <reference field="14" count="1" selected="0">
            <x v="230"/>
          </reference>
          <reference field="18" count="1" selected="0">
            <x v="3"/>
          </reference>
          <reference field="19" count="1">
            <x v="15"/>
          </reference>
        </references>
      </pivotArea>
    </format>
    <format dxfId="3541">
      <pivotArea dataOnly="0" labelOnly="1" outline="0" fieldPosition="0">
        <references count="4">
          <reference field="11" count="1" selected="0">
            <x v="1"/>
          </reference>
          <reference field="14" count="1" selected="0">
            <x v="230"/>
          </reference>
          <reference field="18" count="1" selected="0">
            <x v="12"/>
          </reference>
          <reference field="19" count="1">
            <x v="13"/>
          </reference>
        </references>
      </pivotArea>
    </format>
    <format dxfId="3540">
      <pivotArea dataOnly="0" labelOnly="1" outline="0" fieldPosition="0">
        <references count="4">
          <reference field="11" count="1" selected="0">
            <x v="2"/>
          </reference>
          <reference field="14" count="1" selected="0">
            <x v="226"/>
          </reference>
          <reference field="18" count="1" selected="0">
            <x v="7"/>
          </reference>
          <reference field="19" count="1">
            <x v="4"/>
          </reference>
        </references>
      </pivotArea>
    </format>
    <format dxfId="3539">
      <pivotArea dataOnly="0" labelOnly="1" outline="0" fieldPosition="0">
        <references count="4">
          <reference field="11" count="1" selected="0">
            <x v="2"/>
          </reference>
          <reference field="14" count="1" selected="0">
            <x v="226"/>
          </reference>
          <reference field="18" count="1" selected="0">
            <x v="12"/>
          </reference>
          <reference field="19" count="1">
            <x v="13"/>
          </reference>
        </references>
      </pivotArea>
    </format>
    <format dxfId="3538">
      <pivotArea dataOnly="0" labelOnly="1" outline="0" fieldPosition="0">
        <references count="4">
          <reference field="11" count="1" selected="0">
            <x v="3"/>
          </reference>
          <reference field="14" count="1" selected="0">
            <x v="31"/>
          </reference>
          <reference field="18" count="1" selected="0">
            <x v="7"/>
          </reference>
          <reference field="19" count="1">
            <x v="4"/>
          </reference>
        </references>
      </pivotArea>
    </format>
    <format dxfId="3537">
      <pivotArea dataOnly="0" labelOnly="1" outline="0" fieldPosition="0">
        <references count="4">
          <reference field="11" count="1" selected="0">
            <x v="3"/>
          </reference>
          <reference field="14" count="1" selected="0">
            <x v="31"/>
          </reference>
          <reference field="18" count="1" selected="0">
            <x v="12"/>
          </reference>
          <reference field="19" count="1">
            <x v="13"/>
          </reference>
        </references>
      </pivotArea>
    </format>
    <format dxfId="3536">
      <pivotArea dataOnly="0" labelOnly="1" outline="0" fieldPosition="0">
        <references count="4">
          <reference field="11" count="1" selected="0">
            <x v="4"/>
          </reference>
          <reference field="14" count="1" selected="0">
            <x v="233"/>
          </reference>
          <reference field="18" count="1" selected="0">
            <x v="7"/>
          </reference>
          <reference field="19" count="1">
            <x v="4"/>
          </reference>
        </references>
      </pivotArea>
    </format>
    <format dxfId="3535">
      <pivotArea dataOnly="0" labelOnly="1" outline="0" fieldPosition="0">
        <references count="4">
          <reference field="11" count="1" selected="0">
            <x v="4"/>
          </reference>
          <reference field="14" count="1" selected="0">
            <x v="233"/>
          </reference>
          <reference field="18" count="1" selected="0">
            <x v="12"/>
          </reference>
          <reference field="19" count="1">
            <x v="13"/>
          </reference>
        </references>
      </pivotArea>
    </format>
    <format dxfId="3534">
      <pivotArea dataOnly="0" labelOnly="1" outline="0" fieldPosition="0">
        <references count="4">
          <reference field="11" count="1" selected="0">
            <x v="5"/>
          </reference>
          <reference field="14" count="1" selected="0">
            <x v="232"/>
          </reference>
          <reference field="18" count="1" selected="0">
            <x v="2"/>
          </reference>
          <reference field="19" count="1">
            <x v="22"/>
          </reference>
        </references>
      </pivotArea>
    </format>
    <format dxfId="3533">
      <pivotArea dataOnly="0" labelOnly="1" outline="0" fieldPosition="0">
        <references count="4">
          <reference field="11" count="1" selected="0">
            <x v="5"/>
          </reference>
          <reference field="14" count="1" selected="0">
            <x v="232"/>
          </reference>
          <reference field="18" count="1" selected="0">
            <x v="12"/>
          </reference>
          <reference field="19" count="1">
            <x v="13"/>
          </reference>
        </references>
      </pivotArea>
    </format>
    <format dxfId="3532">
      <pivotArea dataOnly="0" labelOnly="1" outline="0" fieldPosition="0">
        <references count="4">
          <reference field="11" count="1" selected="0">
            <x v="6"/>
          </reference>
          <reference field="14" count="1" selected="0">
            <x v="19"/>
          </reference>
          <reference field="18" count="1" selected="0">
            <x v="3"/>
          </reference>
          <reference field="19" count="1">
            <x v="15"/>
          </reference>
        </references>
      </pivotArea>
    </format>
    <format dxfId="3531">
      <pivotArea dataOnly="0" labelOnly="1" outline="0" fieldPosition="0">
        <references count="4">
          <reference field="11" count="1" selected="0">
            <x v="6"/>
          </reference>
          <reference field="14" count="1" selected="0">
            <x v="19"/>
          </reference>
          <reference field="18" count="1" selected="0">
            <x v="12"/>
          </reference>
          <reference field="19" count="1">
            <x v="13"/>
          </reference>
        </references>
      </pivotArea>
    </format>
    <format dxfId="3530">
      <pivotArea dataOnly="0" labelOnly="1" outline="0" fieldPosition="0">
        <references count="4">
          <reference field="11" count="1" selected="0">
            <x v="7"/>
          </reference>
          <reference field="14" count="1" selected="0">
            <x v="351"/>
          </reference>
          <reference field="18" count="1" selected="0">
            <x v="27"/>
          </reference>
          <reference field="19" count="1">
            <x v="17"/>
          </reference>
        </references>
      </pivotArea>
    </format>
    <format dxfId="3529">
      <pivotArea dataOnly="0" labelOnly="1" outline="0" fieldPosition="0">
        <references count="4">
          <reference field="11" count="1" selected="0">
            <x v="8"/>
          </reference>
          <reference field="14" count="1" selected="0">
            <x v="375"/>
          </reference>
          <reference field="18" count="1" selected="0">
            <x v="2"/>
          </reference>
          <reference field="19" count="1">
            <x v="22"/>
          </reference>
        </references>
      </pivotArea>
    </format>
    <format dxfId="3528">
      <pivotArea dataOnly="0" labelOnly="1" outline="0" fieldPosition="0">
        <references count="4">
          <reference field="11" count="1" selected="0">
            <x v="9"/>
          </reference>
          <reference field="14" count="1" selected="0">
            <x v="50"/>
          </reference>
          <reference field="18" count="1" selected="0">
            <x v="15"/>
          </reference>
          <reference field="19" count="1">
            <x v="25"/>
          </reference>
        </references>
      </pivotArea>
    </format>
    <format dxfId="3527">
      <pivotArea dataOnly="0" labelOnly="1" outline="0" fieldPosition="0">
        <references count="4">
          <reference field="11" count="1" selected="0">
            <x v="10"/>
          </reference>
          <reference field="14" count="1" selected="0">
            <x v="150"/>
          </reference>
          <reference field="18" count="1" selected="0">
            <x v="4"/>
          </reference>
          <reference field="19" count="1">
            <x v="10"/>
          </reference>
        </references>
      </pivotArea>
    </format>
    <format dxfId="3526">
      <pivotArea dataOnly="0" labelOnly="1" outline="0" fieldPosition="0">
        <references count="4">
          <reference field="11" count="1" selected="0">
            <x v="11"/>
          </reference>
          <reference field="14" count="1" selected="0">
            <x v="265"/>
          </reference>
          <reference field="18" count="1" selected="0">
            <x v="1"/>
          </reference>
          <reference field="19" count="1">
            <x v="18"/>
          </reference>
        </references>
      </pivotArea>
    </format>
    <format dxfId="3525">
      <pivotArea dataOnly="0" labelOnly="1" outline="0" fieldPosition="0">
        <references count="4">
          <reference field="11" count="1" selected="0">
            <x v="12"/>
          </reference>
          <reference field="14" count="1" selected="0">
            <x v="256"/>
          </reference>
          <reference field="18" count="1" selected="0">
            <x v="2"/>
          </reference>
          <reference field="19" count="1">
            <x v="22"/>
          </reference>
        </references>
      </pivotArea>
    </format>
    <format dxfId="3524">
      <pivotArea dataOnly="0" labelOnly="1" outline="0" fieldPosition="0">
        <references count="4">
          <reference field="11" count="1" selected="0">
            <x v="13"/>
          </reference>
          <reference field="14" count="1" selected="0">
            <x v="304"/>
          </reference>
          <reference field="18" count="1" selected="0">
            <x v="2"/>
          </reference>
          <reference field="19" count="1">
            <x v="22"/>
          </reference>
        </references>
      </pivotArea>
    </format>
    <format dxfId="3523">
      <pivotArea dataOnly="0" labelOnly="1" outline="0" fieldPosition="0">
        <references count="4">
          <reference field="11" count="1" selected="0">
            <x v="14"/>
          </reference>
          <reference field="14" count="1" selected="0">
            <x v="17"/>
          </reference>
          <reference field="18" count="1" selected="0">
            <x v="7"/>
          </reference>
          <reference field="19" count="1">
            <x v="4"/>
          </reference>
        </references>
      </pivotArea>
    </format>
    <format dxfId="3522">
      <pivotArea dataOnly="0" labelOnly="1" outline="0" fieldPosition="0">
        <references count="4">
          <reference field="11" count="1" selected="0">
            <x v="14"/>
          </reference>
          <reference field="14" count="1" selected="0">
            <x v="17"/>
          </reference>
          <reference field="18" count="1" selected="0">
            <x v="12"/>
          </reference>
          <reference field="19" count="1">
            <x v="13"/>
          </reference>
        </references>
      </pivotArea>
    </format>
    <format dxfId="3521">
      <pivotArea dataOnly="0" labelOnly="1" outline="0" fieldPosition="0">
        <references count="4">
          <reference field="11" count="1" selected="0">
            <x v="15"/>
          </reference>
          <reference field="14" count="1" selected="0">
            <x v="378"/>
          </reference>
          <reference field="18" count="1" selected="0">
            <x v="6"/>
          </reference>
          <reference field="19" count="1">
            <x v="23"/>
          </reference>
        </references>
      </pivotArea>
    </format>
    <format dxfId="3520">
      <pivotArea dataOnly="0" labelOnly="1" outline="0" fieldPosition="0">
        <references count="4">
          <reference field="11" count="1" selected="0">
            <x v="16"/>
          </reference>
          <reference field="14" count="1" selected="0">
            <x v="286"/>
          </reference>
          <reference field="18" count="1" selected="0">
            <x v="0"/>
          </reference>
          <reference field="19" count="1">
            <x v="16"/>
          </reference>
        </references>
      </pivotArea>
    </format>
    <format dxfId="3519">
      <pivotArea dataOnly="0" labelOnly="1" outline="0" fieldPosition="0">
        <references count="4">
          <reference field="11" count="1" selected="0">
            <x v="17"/>
          </reference>
          <reference field="14" count="1" selected="0">
            <x v="116"/>
          </reference>
          <reference field="18" count="1" selected="0">
            <x v="3"/>
          </reference>
          <reference field="19" count="1">
            <x v="15"/>
          </reference>
        </references>
      </pivotArea>
    </format>
    <format dxfId="3518">
      <pivotArea dataOnly="0" labelOnly="1" outline="0" fieldPosition="0">
        <references count="4">
          <reference field="11" count="1" selected="0">
            <x v="18"/>
          </reference>
          <reference field="14" count="1" selected="0">
            <x v="176"/>
          </reference>
          <reference field="18" count="1" selected="0">
            <x v="6"/>
          </reference>
          <reference field="19" count="1">
            <x v="23"/>
          </reference>
        </references>
      </pivotArea>
    </format>
    <format dxfId="3517">
      <pivotArea dataOnly="0" labelOnly="1" outline="0" fieldPosition="0">
        <references count="4">
          <reference field="11" count="1" selected="0">
            <x v="19"/>
          </reference>
          <reference field="14" count="1" selected="0">
            <x v="460"/>
          </reference>
          <reference field="18" count="1" selected="0">
            <x v="24"/>
          </reference>
          <reference field="19" count="1">
            <x v="7"/>
          </reference>
        </references>
      </pivotArea>
    </format>
    <format dxfId="3516">
      <pivotArea dataOnly="0" labelOnly="1" outline="0" fieldPosition="0">
        <references count="4">
          <reference field="11" count="1" selected="0">
            <x v="19"/>
          </reference>
          <reference field="14" count="1" selected="0">
            <x v="460"/>
          </reference>
          <reference field="18" count="1" selected="0">
            <x v="27"/>
          </reference>
          <reference field="19" count="1">
            <x v="17"/>
          </reference>
        </references>
      </pivotArea>
    </format>
    <format dxfId="3515">
      <pivotArea dataOnly="0" labelOnly="1" outline="0" fieldPosition="0">
        <references count="4">
          <reference field="11" count="1" selected="0">
            <x v="20"/>
          </reference>
          <reference field="14" count="1" selected="0">
            <x v="46"/>
          </reference>
          <reference field="18" count="1" selected="0">
            <x v="0"/>
          </reference>
          <reference field="19" count="1">
            <x v="16"/>
          </reference>
        </references>
      </pivotArea>
    </format>
    <format dxfId="3514">
      <pivotArea dataOnly="0" labelOnly="1" outline="0" fieldPosition="0">
        <references count="4">
          <reference field="11" count="1" selected="0">
            <x v="21"/>
          </reference>
          <reference field="14" count="1" selected="0">
            <x v="347"/>
          </reference>
          <reference field="18" count="1" selected="0">
            <x v="6"/>
          </reference>
          <reference field="19" count="1">
            <x v="23"/>
          </reference>
        </references>
      </pivotArea>
    </format>
    <format dxfId="3513">
      <pivotArea dataOnly="0" labelOnly="1" outline="0" fieldPosition="0">
        <references count="4">
          <reference field="11" count="1" selected="0">
            <x v="22"/>
          </reference>
          <reference field="14" count="1" selected="0">
            <x v="219"/>
          </reference>
          <reference field="18" count="1" selected="0">
            <x v="7"/>
          </reference>
          <reference field="19" count="1">
            <x v="4"/>
          </reference>
        </references>
      </pivotArea>
    </format>
    <format dxfId="3512">
      <pivotArea dataOnly="0" labelOnly="1" outline="0" fieldPosition="0">
        <references count="4">
          <reference field="11" count="1" selected="0">
            <x v="22"/>
          </reference>
          <reference field="14" count="1" selected="0">
            <x v="219"/>
          </reference>
          <reference field="18" count="1" selected="0">
            <x v="12"/>
          </reference>
          <reference field="19" count="1">
            <x v="13"/>
          </reference>
        </references>
      </pivotArea>
    </format>
    <format dxfId="3511">
      <pivotArea dataOnly="0" labelOnly="1" outline="0" fieldPosition="0">
        <references count="4">
          <reference field="11" count="1" selected="0">
            <x v="23"/>
          </reference>
          <reference field="14" count="1" selected="0">
            <x v="94"/>
          </reference>
          <reference field="18" count="1" selected="0">
            <x v="2"/>
          </reference>
          <reference field="19" count="1">
            <x v="22"/>
          </reference>
        </references>
      </pivotArea>
    </format>
    <format dxfId="3510">
      <pivotArea dataOnly="0" labelOnly="1" outline="0" fieldPosition="0">
        <references count="4">
          <reference field="11" count="1" selected="0">
            <x v="24"/>
          </reference>
          <reference field="14" count="1" selected="0">
            <x v="93"/>
          </reference>
          <reference field="18" count="1" selected="0">
            <x v="2"/>
          </reference>
          <reference field="19" count="1">
            <x v="22"/>
          </reference>
        </references>
      </pivotArea>
    </format>
    <format dxfId="3509">
      <pivotArea dataOnly="0" labelOnly="1" outline="0" fieldPosition="0">
        <references count="4">
          <reference field="11" count="1" selected="0">
            <x v="25"/>
          </reference>
          <reference field="14" count="1" selected="0">
            <x v="466"/>
          </reference>
          <reference field="18" count="1" selected="0">
            <x v="1"/>
          </reference>
          <reference field="19" count="1">
            <x v="18"/>
          </reference>
        </references>
      </pivotArea>
    </format>
    <format dxfId="3508">
      <pivotArea dataOnly="0" labelOnly="1" outline="0" fieldPosition="0">
        <references count="4">
          <reference field="11" count="1" selected="0">
            <x v="26"/>
          </reference>
          <reference field="14" count="1" selected="0">
            <x v="55"/>
          </reference>
          <reference field="18" count="1" selected="0">
            <x v="0"/>
          </reference>
          <reference field="19" count="1">
            <x v="16"/>
          </reference>
        </references>
      </pivotArea>
    </format>
    <format dxfId="3507">
      <pivotArea dataOnly="0" labelOnly="1" outline="0" fieldPosition="0">
        <references count="4">
          <reference field="11" count="1" selected="0">
            <x v="27"/>
          </reference>
          <reference field="14" count="1" selected="0">
            <x v="458"/>
          </reference>
          <reference field="18" count="1" selected="0">
            <x v="2"/>
          </reference>
          <reference field="19" count="1">
            <x v="22"/>
          </reference>
        </references>
      </pivotArea>
    </format>
    <format dxfId="3506">
      <pivotArea dataOnly="0" labelOnly="1" outline="0" fieldPosition="0">
        <references count="4">
          <reference field="11" count="1" selected="0">
            <x v="28"/>
          </reference>
          <reference field="14" count="1" selected="0">
            <x v="179"/>
          </reference>
          <reference field="18" count="1" selected="0">
            <x v="2"/>
          </reference>
          <reference field="19" count="1">
            <x v="22"/>
          </reference>
        </references>
      </pivotArea>
    </format>
    <format dxfId="3505">
      <pivotArea dataOnly="0" labelOnly="1" outline="0" fieldPosition="0">
        <references count="4">
          <reference field="11" count="1" selected="0">
            <x v="29"/>
          </reference>
          <reference field="14" count="1" selected="0">
            <x v="0"/>
          </reference>
          <reference field="18" count="1" selected="0">
            <x v="2"/>
          </reference>
          <reference field="19" count="1">
            <x v="22"/>
          </reference>
        </references>
      </pivotArea>
    </format>
    <format dxfId="3504">
      <pivotArea dataOnly="0" labelOnly="1" outline="0" fieldPosition="0">
        <references count="4">
          <reference field="11" count="1" selected="0">
            <x v="30"/>
          </reference>
          <reference field="14" count="1" selected="0">
            <x v="1"/>
          </reference>
          <reference field="18" count="1" selected="0">
            <x v="2"/>
          </reference>
          <reference field="19" count="1">
            <x v="22"/>
          </reference>
        </references>
      </pivotArea>
    </format>
    <format dxfId="3503">
      <pivotArea dataOnly="0" labelOnly="1" outline="0" fieldPosition="0">
        <references count="4">
          <reference field="11" count="1" selected="0">
            <x v="31"/>
          </reference>
          <reference field="14" count="1" selected="0">
            <x v="414"/>
          </reference>
          <reference field="18" count="1" selected="0">
            <x v="2"/>
          </reference>
          <reference field="19" count="1">
            <x v="22"/>
          </reference>
        </references>
      </pivotArea>
    </format>
    <format dxfId="3502">
      <pivotArea dataOnly="0" labelOnly="1" outline="0" fieldPosition="0">
        <references count="4">
          <reference field="11" count="1" selected="0">
            <x v="32"/>
          </reference>
          <reference field="14" count="1" selected="0">
            <x v="36"/>
          </reference>
          <reference field="18" count="1" selected="0">
            <x v="6"/>
          </reference>
          <reference field="19" count="1">
            <x v="23"/>
          </reference>
        </references>
      </pivotArea>
    </format>
    <format dxfId="3501">
      <pivotArea dataOnly="0" labelOnly="1" outline="0" fieldPosition="0">
        <references count="4">
          <reference field="11" count="1" selected="0">
            <x v="33"/>
          </reference>
          <reference field="14" count="1" selected="0">
            <x v="341"/>
          </reference>
          <reference field="18" count="1" selected="0">
            <x v="3"/>
          </reference>
          <reference field="19" count="1">
            <x v="15"/>
          </reference>
        </references>
      </pivotArea>
    </format>
    <format dxfId="3500">
      <pivotArea dataOnly="0" labelOnly="1" outline="0" fieldPosition="0">
        <references count="4">
          <reference field="11" count="1" selected="0">
            <x v="34"/>
          </reference>
          <reference field="14" count="1" selected="0">
            <x v="340"/>
          </reference>
          <reference field="18" count="1" selected="0">
            <x v="3"/>
          </reference>
          <reference field="19" count="1">
            <x v="15"/>
          </reference>
        </references>
      </pivotArea>
    </format>
    <format dxfId="3499">
      <pivotArea dataOnly="0" labelOnly="1" outline="0" fieldPosition="0">
        <references count="4">
          <reference field="11" count="1" selected="0">
            <x v="35"/>
          </reference>
          <reference field="14" count="1" selected="0">
            <x v="379"/>
          </reference>
          <reference field="18" count="1" selected="0">
            <x v="6"/>
          </reference>
          <reference field="19" count="1">
            <x v="23"/>
          </reference>
        </references>
      </pivotArea>
    </format>
    <format dxfId="3498">
      <pivotArea dataOnly="0" labelOnly="1" outline="0" fieldPosition="0">
        <references count="4">
          <reference field="11" count="1" selected="0">
            <x v="36"/>
          </reference>
          <reference field="14" count="1" selected="0">
            <x v="349"/>
          </reference>
          <reference field="18" count="1" selected="0">
            <x v="6"/>
          </reference>
          <reference field="19" count="1">
            <x v="23"/>
          </reference>
        </references>
      </pivotArea>
    </format>
    <format dxfId="3497">
      <pivotArea dataOnly="0" labelOnly="1" outline="0" fieldPosition="0">
        <references count="4">
          <reference field="11" count="1" selected="0">
            <x v="37"/>
          </reference>
          <reference field="14" count="1" selected="0">
            <x v="348"/>
          </reference>
          <reference field="18" count="1" selected="0">
            <x v="6"/>
          </reference>
          <reference field="19" count="1">
            <x v="23"/>
          </reference>
        </references>
      </pivotArea>
    </format>
    <format dxfId="3496">
      <pivotArea dataOnly="0" labelOnly="1" outline="0" fieldPosition="0">
        <references count="4">
          <reference field="11" count="1" selected="0">
            <x v="38"/>
          </reference>
          <reference field="14" count="1" selected="0">
            <x v="346"/>
          </reference>
          <reference field="18" count="1" selected="0">
            <x v="6"/>
          </reference>
          <reference field="19" count="1">
            <x v="23"/>
          </reference>
        </references>
      </pivotArea>
    </format>
    <format dxfId="3495">
      <pivotArea dataOnly="0" labelOnly="1" outline="0" fieldPosition="0">
        <references count="4">
          <reference field="11" count="1" selected="0">
            <x v="39"/>
          </reference>
          <reference field="14" count="1" selected="0">
            <x v="344"/>
          </reference>
          <reference field="18" count="1" selected="0">
            <x v="6"/>
          </reference>
          <reference field="19" count="1">
            <x v="23"/>
          </reference>
        </references>
      </pivotArea>
    </format>
    <format dxfId="3494">
      <pivotArea dataOnly="0" labelOnly="1" outline="0" fieldPosition="0">
        <references count="4">
          <reference field="11" count="1" selected="0">
            <x v="40"/>
          </reference>
          <reference field="14" count="1" selected="0">
            <x v="345"/>
          </reference>
          <reference field="18" count="1" selected="0">
            <x v="6"/>
          </reference>
          <reference field="19" count="1">
            <x v="23"/>
          </reference>
        </references>
      </pivotArea>
    </format>
    <format dxfId="3493">
      <pivotArea dataOnly="0" labelOnly="1" outline="0" fieldPosition="0">
        <references count="4">
          <reference field="11" count="1" selected="0">
            <x v="41"/>
          </reference>
          <reference field="14" count="1" selected="0">
            <x v="337"/>
          </reference>
          <reference field="18" count="1" selected="0">
            <x v="16"/>
          </reference>
          <reference field="19" count="1">
            <x v="24"/>
          </reference>
        </references>
      </pivotArea>
    </format>
    <format dxfId="3492">
      <pivotArea dataOnly="0" labelOnly="1" outline="0" fieldPosition="0">
        <references count="4">
          <reference field="11" count="1" selected="0">
            <x v="42"/>
          </reference>
          <reference field="14" count="1" selected="0">
            <x v="59"/>
          </reference>
          <reference field="18" count="1" selected="0">
            <x v="4"/>
          </reference>
          <reference field="19" count="1">
            <x v="10"/>
          </reference>
        </references>
      </pivotArea>
    </format>
    <format dxfId="3491">
      <pivotArea dataOnly="0" labelOnly="1" outline="0" fieldPosition="0">
        <references count="4">
          <reference field="11" count="1" selected="0">
            <x v="43"/>
          </reference>
          <reference field="14" count="1" selected="0">
            <x v="410"/>
          </reference>
          <reference field="18" count="1" selected="0">
            <x v="0"/>
          </reference>
          <reference field="19" count="1">
            <x v="16"/>
          </reference>
        </references>
      </pivotArea>
    </format>
    <format dxfId="3490">
      <pivotArea dataOnly="0" labelOnly="1" outline="0" fieldPosition="0">
        <references count="4">
          <reference field="11" count="1" selected="0">
            <x v="43"/>
          </reference>
          <reference field="14" count="1" selected="0">
            <x v="410"/>
          </reference>
          <reference field="18" count="1" selected="0">
            <x v="14"/>
          </reference>
          <reference field="19" count="1">
            <x v="9"/>
          </reference>
        </references>
      </pivotArea>
    </format>
    <format dxfId="3489">
      <pivotArea dataOnly="0" labelOnly="1" outline="0" fieldPosition="0">
        <references count="4">
          <reference field="11" count="1" selected="0">
            <x v="44"/>
          </reference>
          <reference field="14" count="1" selected="0">
            <x v="77"/>
          </reference>
          <reference field="18" count="1" selected="0">
            <x v="2"/>
          </reference>
          <reference field="19" count="1">
            <x v="22"/>
          </reference>
        </references>
      </pivotArea>
    </format>
    <format dxfId="3488">
      <pivotArea dataOnly="0" labelOnly="1" outline="0" fieldPosition="0">
        <references count="4">
          <reference field="11" count="1" selected="0">
            <x v="44"/>
          </reference>
          <reference field="14" count="1" selected="0">
            <x v="77"/>
          </reference>
          <reference field="18" count="1" selected="0">
            <x v="22"/>
          </reference>
          <reference field="19" count="1">
            <x v="11"/>
          </reference>
        </references>
      </pivotArea>
    </format>
    <format dxfId="3487">
      <pivotArea dataOnly="0" labelOnly="1" outline="0" fieldPosition="0">
        <references count="4">
          <reference field="11" count="1" selected="0">
            <x v="45"/>
          </reference>
          <reference field="14" count="1" selected="0">
            <x v="465"/>
          </reference>
          <reference field="18" count="1" selected="0">
            <x v="6"/>
          </reference>
          <reference field="19" count="1">
            <x v="23"/>
          </reference>
        </references>
      </pivotArea>
    </format>
    <format dxfId="3486">
      <pivotArea dataOnly="0" labelOnly="1" outline="0" fieldPosition="0">
        <references count="4">
          <reference field="11" count="1" selected="0">
            <x v="46"/>
          </reference>
          <reference field="14" count="1" selected="0">
            <x v="250"/>
          </reference>
          <reference field="18" count="1" selected="0">
            <x v="2"/>
          </reference>
          <reference field="19" count="1">
            <x v="22"/>
          </reference>
        </references>
      </pivotArea>
    </format>
    <format dxfId="3485">
      <pivotArea dataOnly="0" labelOnly="1" outline="0" fieldPosition="0">
        <references count="4">
          <reference field="11" count="1" selected="0">
            <x v="47"/>
          </reference>
          <reference field="14" count="1" selected="0">
            <x v="323"/>
          </reference>
          <reference field="18" count="1" selected="0">
            <x v="17"/>
          </reference>
          <reference field="19" count="1">
            <x v="0"/>
          </reference>
        </references>
      </pivotArea>
    </format>
    <format dxfId="3484">
      <pivotArea dataOnly="0" labelOnly="1" outline="0" fieldPosition="0">
        <references count="4">
          <reference field="11" count="1" selected="0">
            <x v="48"/>
          </reference>
          <reference field="14" count="1" selected="0">
            <x v="244"/>
          </reference>
          <reference field="18" count="1" selected="0">
            <x v="6"/>
          </reference>
          <reference field="19" count="1">
            <x v="23"/>
          </reference>
        </references>
      </pivotArea>
    </format>
    <format dxfId="3483">
      <pivotArea dataOnly="0" labelOnly="1" outline="0" fieldPosition="0">
        <references count="4">
          <reference field="11" count="1" selected="0">
            <x v="49"/>
          </reference>
          <reference field="14" count="1" selected="0">
            <x v="228"/>
          </reference>
          <reference field="18" count="1" selected="0">
            <x v="0"/>
          </reference>
          <reference field="19" count="1">
            <x v="16"/>
          </reference>
        </references>
      </pivotArea>
    </format>
    <format dxfId="3482">
      <pivotArea dataOnly="0" labelOnly="1" outline="0" fieldPosition="0">
        <references count="4">
          <reference field="11" count="1" selected="0">
            <x v="49"/>
          </reference>
          <reference field="14" count="1" selected="0">
            <x v="228"/>
          </reference>
          <reference field="18" count="1" selected="0">
            <x v="2"/>
          </reference>
          <reference field="19" count="1">
            <x v="22"/>
          </reference>
        </references>
      </pivotArea>
    </format>
    <format dxfId="3481">
      <pivotArea dataOnly="0" labelOnly="1" outline="0" fieldPosition="0">
        <references count="4">
          <reference field="11" count="1" selected="0">
            <x v="49"/>
          </reference>
          <reference field="14" count="1" selected="0">
            <x v="228"/>
          </reference>
          <reference field="18" count="1" selected="0">
            <x v="12"/>
          </reference>
          <reference field="19" count="1">
            <x v="13"/>
          </reference>
        </references>
      </pivotArea>
    </format>
    <format dxfId="3480">
      <pivotArea dataOnly="0" labelOnly="1" outline="0" fieldPosition="0">
        <references count="4">
          <reference field="11" count="1" selected="0">
            <x v="50"/>
          </reference>
          <reference field="14" count="1" selected="0">
            <x v="318"/>
          </reference>
          <reference field="18" count="1" selected="0">
            <x v="6"/>
          </reference>
          <reference field="19" count="1">
            <x v="23"/>
          </reference>
        </references>
      </pivotArea>
    </format>
    <format dxfId="3479">
      <pivotArea dataOnly="0" labelOnly="1" outline="0" fieldPosition="0">
        <references count="4">
          <reference field="11" count="1" selected="0">
            <x v="51"/>
          </reference>
          <reference field="14" count="1" selected="0">
            <x v="241"/>
          </reference>
          <reference field="18" count="1" selected="0">
            <x v="6"/>
          </reference>
          <reference field="19" count="1">
            <x v="23"/>
          </reference>
        </references>
      </pivotArea>
    </format>
    <format dxfId="3478">
      <pivotArea dataOnly="0" labelOnly="1" outline="0" fieldPosition="0">
        <references count="4">
          <reference field="11" count="1" selected="0">
            <x v="52"/>
          </reference>
          <reference field="14" count="1" selected="0">
            <x v="413"/>
          </reference>
          <reference field="18" count="1" selected="0">
            <x v="6"/>
          </reference>
          <reference field="19" count="1">
            <x v="23"/>
          </reference>
        </references>
      </pivotArea>
    </format>
    <format dxfId="3477">
      <pivotArea dataOnly="0" labelOnly="1" outline="0" fieldPosition="0">
        <references count="4">
          <reference field="11" count="1" selected="0">
            <x v="53"/>
          </reference>
          <reference field="14" count="1" selected="0">
            <x v="283"/>
          </reference>
          <reference field="18" count="1" selected="0">
            <x v="3"/>
          </reference>
          <reference field="19" count="1">
            <x v="15"/>
          </reference>
        </references>
      </pivotArea>
    </format>
    <format dxfId="3476">
      <pivotArea dataOnly="0" labelOnly="1" outline="0" fieldPosition="0">
        <references count="4">
          <reference field="11" count="1" selected="0">
            <x v="54"/>
          </reference>
          <reference field="14" count="1" selected="0">
            <x v="278"/>
          </reference>
          <reference field="18" count="1" selected="0">
            <x v="0"/>
          </reference>
          <reference field="19" count="1">
            <x v="16"/>
          </reference>
        </references>
      </pivotArea>
    </format>
    <format dxfId="3475">
      <pivotArea dataOnly="0" labelOnly="1" outline="0" fieldPosition="0">
        <references count="4">
          <reference field="11" count="1" selected="0">
            <x v="54"/>
          </reference>
          <reference field="14" count="1" selected="0">
            <x v="278"/>
          </reference>
          <reference field="18" count="1" selected="0">
            <x v="1"/>
          </reference>
          <reference field="19" count="1">
            <x v="18"/>
          </reference>
        </references>
      </pivotArea>
    </format>
    <format dxfId="3474">
      <pivotArea dataOnly="0" labelOnly="1" outline="0" fieldPosition="0">
        <references count="4">
          <reference field="11" count="1" selected="0">
            <x v="55"/>
          </reference>
          <reference field="14" count="1" selected="0">
            <x v="275"/>
          </reference>
          <reference field="18" count="1" selected="0">
            <x v="0"/>
          </reference>
          <reference field="19" count="1">
            <x v="16"/>
          </reference>
        </references>
      </pivotArea>
    </format>
    <format dxfId="3473">
      <pivotArea dataOnly="0" labelOnly="1" outline="0" fieldPosition="0">
        <references count="4">
          <reference field="11" count="1" selected="0">
            <x v="56"/>
          </reference>
          <reference field="14" count="1" selected="0">
            <x v="463"/>
          </reference>
          <reference field="18" count="1" selected="0">
            <x v="22"/>
          </reference>
          <reference field="19" count="1">
            <x v="11"/>
          </reference>
        </references>
      </pivotArea>
    </format>
    <format dxfId="3472">
      <pivotArea dataOnly="0" labelOnly="1" outline="0" fieldPosition="0">
        <references count="4">
          <reference field="11" count="1" selected="0">
            <x v="56"/>
          </reference>
          <reference field="14" count="1" selected="0">
            <x v="463"/>
          </reference>
          <reference field="18" count="1" selected="0">
            <x v="23"/>
          </reference>
          <reference field="19" count="1">
            <x v="12"/>
          </reference>
        </references>
      </pivotArea>
    </format>
    <format dxfId="3471">
      <pivotArea dataOnly="0" labelOnly="1" outline="0" fieldPosition="0">
        <references count="4">
          <reference field="11" count="1" selected="0">
            <x v="56"/>
          </reference>
          <reference field="14" count="1" selected="0">
            <x v="463"/>
          </reference>
          <reference field="18" count="1" selected="0">
            <x v="24"/>
          </reference>
          <reference field="19" count="1">
            <x v="7"/>
          </reference>
        </references>
      </pivotArea>
    </format>
    <format dxfId="3470">
      <pivotArea dataOnly="0" labelOnly="1" outline="0" fieldPosition="0">
        <references count="4">
          <reference field="11" count="1" selected="0">
            <x v="57"/>
          </reference>
          <reference field="14" count="1" selected="0">
            <x v="462"/>
          </reference>
          <reference field="18" count="1" selected="0">
            <x v="22"/>
          </reference>
          <reference field="19" count="1">
            <x v="11"/>
          </reference>
        </references>
      </pivotArea>
    </format>
    <format dxfId="3469">
      <pivotArea dataOnly="0" labelOnly="1" outline="0" fieldPosition="0">
        <references count="4">
          <reference field="11" count="1" selected="0">
            <x v="57"/>
          </reference>
          <reference field="14" count="1" selected="0">
            <x v="462"/>
          </reference>
          <reference field="18" count="1" selected="0">
            <x v="23"/>
          </reference>
          <reference field="19" count="1">
            <x v="12"/>
          </reference>
        </references>
      </pivotArea>
    </format>
    <format dxfId="3468">
      <pivotArea dataOnly="0" labelOnly="1" outline="0" fieldPosition="0">
        <references count="4">
          <reference field="11" count="1" selected="0">
            <x v="57"/>
          </reference>
          <reference field="14" count="1" selected="0">
            <x v="462"/>
          </reference>
          <reference field="18" count="1" selected="0">
            <x v="24"/>
          </reference>
          <reference field="19" count="1">
            <x v="7"/>
          </reference>
        </references>
      </pivotArea>
    </format>
    <format dxfId="3467">
      <pivotArea dataOnly="0" labelOnly="1" outline="0" fieldPosition="0">
        <references count="4">
          <reference field="11" count="1" selected="0">
            <x v="58"/>
          </reference>
          <reference field="14" count="1" selected="0">
            <x v="459"/>
          </reference>
          <reference field="18" count="1" selected="0">
            <x v="1"/>
          </reference>
          <reference field="19" count="1">
            <x v="18"/>
          </reference>
        </references>
      </pivotArea>
    </format>
    <format dxfId="3466">
      <pivotArea dataOnly="0" labelOnly="1" outline="0" fieldPosition="0">
        <references count="4">
          <reference field="11" count="1" selected="0">
            <x v="59"/>
          </reference>
          <reference field="14" count="1" selected="0">
            <x v="271"/>
          </reference>
          <reference field="18" count="1" selected="0">
            <x v="3"/>
          </reference>
          <reference field="19" count="1">
            <x v="15"/>
          </reference>
        </references>
      </pivotArea>
    </format>
    <format dxfId="3465">
      <pivotArea dataOnly="0" labelOnly="1" outline="0" fieldPosition="0">
        <references count="4">
          <reference field="11" count="1" selected="0">
            <x v="60"/>
          </reference>
          <reference field="14" count="1" selected="0">
            <x v="22"/>
          </reference>
          <reference field="18" count="1" selected="0">
            <x v="16"/>
          </reference>
          <reference field="19" count="1">
            <x v="24"/>
          </reference>
        </references>
      </pivotArea>
    </format>
    <format dxfId="3464">
      <pivotArea dataOnly="0" labelOnly="1" outline="0" fieldPosition="0">
        <references count="4">
          <reference field="11" count="1" selected="0">
            <x v="61"/>
          </reference>
          <reference field="14" count="1" selected="0">
            <x v="354"/>
          </reference>
          <reference field="18" count="1" selected="0">
            <x v="6"/>
          </reference>
          <reference field="19" count="1">
            <x v="23"/>
          </reference>
        </references>
      </pivotArea>
    </format>
    <format dxfId="3463">
      <pivotArea dataOnly="0" labelOnly="1" outline="0" fieldPosition="0">
        <references count="4">
          <reference field="11" count="1" selected="0">
            <x v="62"/>
          </reference>
          <reference field="14" count="1" selected="0">
            <x v="415"/>
          </reference>
          <reference field="18" count="1" selected="0">
            <x v="6"/>
          </reference>
          <reference field="19" count="1">
            <x v="23"/>
          </reference>
        </references>
      </pivotArea>
    </format>
    <format dxfId="3462">
      <pivotArea dataOnly="0" labelOnly="1" outline="0" fieldPosition="0">
        <references count="4">
          <reference field="11" count="1" selected="0">
            <x v="63"/>
          </reference>
          <reference field="14" count="1" selected="0">
            <x v="227"/>
          </reference>
          <reference field="18" count="1" selected="0">
            <x v="0"/>
          </reference>
          <reference field="19" count="1">
            <x v="16"/>
          </reference>
        </references>
      </pivotArea>
    </format>
    <format dxfId="3461">
      <pivotArea dataOnly="0" labelOnly="1" outline="0" fieldPosition="0">
        <references count="4">
          <reference field="11" count="1" selected="0">
            <x v="63"/>
          </reference>
          <reference field="14" count="1" selected="0">
            <x v="227"/>
          </reference>
          <reference field="18" count="1" selected="0">
            <x v="7"/>
          </reference>
          <reference field="19" count="1">
            <x v="4"/>
          </reference>
        </references>
      </pivotArea>
    </format>
    <format dxfId="3460">
      <pivotArea dataOnly="0" labelOnly="1" outline="0" fieldPosition="0">
        <references count="4">
          <reference field="11" count="1" selected="0">
            <x v="63"/>
          </reference>
          <reference field="14" count="1" selected="0">
            <x v="227"/>
          </reference>
          <reference field="18" count="1" selected="0">
            <x v="11"/>
          </reference>
          <reference field="19" count="1">
            <x v="20"/>
          </reference>
        </references>
      </pivotArea>
    </format>
    <format dxfId="3459">
      <pivotArea dataOnly="0" labelOnly="1" outline="0" fieldPosition="0">
        <references count="4">
          <reference field="11" count="1" selected="0">
            <x v="63"/>
          </reference>
          <reference field="14" count="1" selected="0">
            <x v="227"/>
          </reference>
          <reference field="18" count="1" selected="0">
            <x v="12"/>
          </reference>
          <reference field="19" count="1">
            <x v="13"/>
          </reference>
        </references>
      </pivotArea>
    </format>
    <format dxfId="3458">
      <pivotArea dataOnly="0" labelOnly="1" outline="0" fieldPosition="0">
        <references count="4">
          <reference field="11" count="1" selected="0">
            <x v="64"/>
          </reference>
          <reference field="14" count="1" selected="0">
            <x v="261"/>
          </reference>
          <reference field="18" count="1" selected="0">
            <x v="12"/>
          </reference>
          <reference field="19" count="1">
            <x v="13"/>
          </reference>
        </references>
      </pivotArea>
    </format>
    <format dxfId="3457">
      <pivotArea dataOnly="0" labelOnly="1" outline="0" fieldPosition="0">
        <references count="4">
          <reference field="11" count="1" selected="0">
            <x v="65"/>
          </reference>
          <reference field="14" count="1" selected="0">
            <x v="336"/>
          </reference>
          <reference field="18" count="1" selected="0">
            <x v="14"/>
          </reference>
          <reference field="19" count="1">
            <x v="9"/>
          </reference>
        </references>
      </pivotArea>
    </format>
    <format dxfId="3456">
      <pivotArea dataOnly="0" labelOnly="1" outline="0" fieldPosition="0">
        <references count="4">
          <reference field="11" count="1" selected="0">
            <x v="66"/>
          </reference>
          <reference field="14" count="1" selected="0">
            <x v="63"/>
          </reference>
          <reference field="18" count="1" selected="0">
            <x v="3"/>
          </reference>
          <reference field="19" count="1">
            <x v="15"/>
          </reference>
        </references>
      </pivotArea>
    </format>
    <format dxfId="3455">
      <pivotArea dataOnly="0" labelOnly="1" outline="0" fieldPosition="0">
        <references count="4">
          <reference field="11" count="1" selected="0">
            <x v="67"/>
          </reference>
          <reference field="14" count="1" selected="0">
            <x v="237"/>
          </reference>
          <reference field="18" count="1" selected="0">
            <x v="0"/>
          </reference>
          <reference field="19" count="1">
            <x v="16"/>
          </reference>
        </references>
      </pivotArea>
    </format>
    <format dxfId="3454">
      <pivotArea dataOnly="0" labelOnly="1" outline="0" fieldPosition="0">
        <references count="4">
          <reference field="11" count="1" selected="0">
            <x v="67"/>
          </reference>
          <reference field="14" count="1" selected="0">
            <x v="237"/>
          </reference>
          <reference field="18" count="1" selected="0">
            <x v="2"/>
          </reference>
          <reference field="19" count="1">
            <x v="22"/>
          </reference>
        </references>
      </pivotArea>
    </format>
    <format dxfId="3453">
      <pivotArea dataOnly="0" labelOnly="1" outline="0" fieldPosition="0">
        <references count="4">
          <reference field="11" count="1" selected="0">
            <x v="67"/>
          </reference>
          <reference field="14" count="1" selected="0">
            <x v="237"/>
          </reference>
          <reference field="18" count="1" selected="0">
            <x v="12"/>
          </reference>
          <reference field="19" count="1">
            <x v="13"/>
          </reference>
        </references>
      </pivotArea>
    </format>
    <format dxfId="3452">
      <pivotArea dataOnly="0" labelOnly="1" outline="0" fieldPosition="0">
        <references count="4">
          <reference field="11" count="1" selected="0">
            <x v="68"/>
          </reference>
          <reference field="14" count="1" selected="0">
            <x v="138"/>
          </reference>
          <reference field="18" count="1" selected="0">
            <x v="22"/>
          </reference>
          <reference field="19" count="1">
            <x v="11"/>
          </reference>
        </references>
      </pivotArea>
    </format>
    <format dxfId="3451">
      <pivotArea dataOnly="0" labelOnly="1" outline="0" fieldPosition="0">
        <references count="4">
          <reference field="11" count="1" selected="0">
            <x v="69"/>
          </reference>
          <reference field="14" count="1" selected="0">
            <x v="139"/>
          </reference>
          <reference field="18" count="1" selected="0">
            <x v="22"/>
          </reference>
          <reference field="19" count="1">
            <x v="11"/>
          </reference>
        </references>
      </pivotArea>
    </format>
    <format dxfId="3450">
      <pivotArea dataOnly="0" labelOnly="1" outline="0" fieldPosition="0">
        <references count="4">
          <reference field="11" count="1" selected="0">
            <x v="70"/>
          </reference>
          <reference field="14" count="1" selected="0">
            <x v="137"/>
          </reference>
          <reference field="18" count="1" selected="0">
            <x v="22"/>
          </reference>
          <reference field="19" count="1">
            <x v="11"/>
          </reference>
        </references>
      </pivotArea>
    </format>
    <format dxfId="3449">
      <pivotArea dataOnly="0" labelOnly="1" outline="0" fieldPosition="0">
        <references count="4">
          <reference field="11" count="1" selected="0">
            <x v="71"/>
          </reference>
          <reference field="14" count="1" selected="0">
            <x v="468"/>
          </reference>
          <reference field="18" count="1" selected="0">
            <x v="6"/>
          </reference>
          <reference field="19" count="1">
            <x v="23"/>
          </reference>
        </references>
      </pivotArea>
    </format>
    <format dxfId="3448">
      <pivotArea dataOnly="0" labelOnly="1" outline="0" fieldPosition="0">
        <references count="4">
          <reference field="11" count="1" selected="0">
            <x v="72"/>
          </reference>
          <reference field="14" count="1" selected="0">
            <x v="83"/>
          </reference>
          <reference field="18" count="1" selected="0">
            <x v="1"/>
          </reference>
          <reference field="19" count="1">
            <x v="18"/>
          </reference>
        </references>
      </pivotArea>
    </format>
    <format dxfId="3447">
      <pivotArea dataOnly="0" labelOnly="1" outline="0" fieldPosition="0">
        <references count="4">
          <reference field="11" count="1" selected="0">
            <x v="73"/>
          </reference>
          <reference field="14" count="1" selected="0">
            <x v="288"/>
          </reference>
          <reference field="18" count="1" selected="0">
            <x v="0"/>
          </reference>
          <reference field="19" count="1">
            <x v="16"/>
          </reference>
        </references>
      </pivotArea>
    </format>
    <format dxfId="3446">
      <pivotArea dataOnly="0" labelOnly="1" outline="0" fieldPosition="0">
        <references count="4">
          <reference field="11" count="1" selected="0">
            <x v="74"/>
          </reference>
          <reference field="14" count="1" selected="0">
            <x v="235"/>
          </reference>
          <reference field="18" count="1" selected="0">
            <x v="3"/>
          </reference>
          <reference field="19" count="1">
            <x v="15"/>
          </reference>
        </references>
      </pivotArea>
    </format>
    <format dxfId="3445">
      <pivotArea dataOnly="0" labelOnly="1" outline="0" fieldPosition="0">
        <references count="4">
          <reference field="11" count="1" selected="0">
            <x v="74"/>
          </reference>
          <reference field="14" count="1" selected="0">
            <x v="235"/>
          </reference>
          <reference field="18" count="1" selected="0">
            <x v="12"/>
          </reference>
          <reference field="19" count="1">
            <x v="13"/>
          </reference>
        </references>
      </pivotArea>
    </format>
    <format dxfId="3444">
      <pivotArea dataOnly="0" labelOnly="1" outline="0" fieldPosition="0">
        <references count="4">
          <reference field="11" count="1" selected="0">
            <x v="75"/>
          </reference>
          <reference field="14" count="1" selected="0">
            <x v="285"/>
          </reference>
          <reference field="18" count="1" selected="0">
            <x v="0"/>
          </reference>
          <reference field="19" count="1">
            <x v="16"/>
          </reference>
        </references>
      </pivotArea>
    </format>
    <format dxfId="3443">
      <pivotArea dataOnly="0" labelOnly="1" outline="0" fieldPosition="0">
        <references count="4">
          <reference field="11" count="1" selected="0">
            <x v="76"/>
          </reference>
          <reference field="14" count="1" selected="0">
            <x v="214"/>
          </reference>
          <reference field="18" count="1" selected="0">
            <x v="8"/>
          </reference>
          <reference field="19" count="1">
            <x v="5"/>
          </reference>
        </references>
      </pivotArea>
    </format>
    <format dxfId="3442">
      <pivotArea dataOnly="0" labelOnly="1" outline="0" fieldPosition="0">
        <references count="4">
          <reference field="11" count="1" selected="0">
            <x v="76"/>
          </reference>
          <reference field="14" count="1" selected="0">
            <x v="214"/>
          </reference>
          <reference field="18" count="1" selected="0">
            <x v="14"/>
          </reference>
          <reference field="19" count="1">
            <x v="9"/>
          </reference>
        </references>
      </pivotArea>
    </format>
    <format dxfId="3441">
      <pivotArea dataOnly="0" labelOnly="1" outline="0" fieldPosition="0">
        <references count="4">
          <reference field="11" count="1" selected="0">
            <x v="77"/>
          </reference>
          <reference field="14" count="1" selected="0">
            <x v="104"/>
          </reference>
          <reference field="18" count="1" selected="0">
            <x v="0"/>
          </reference>
          <reference field="19" count="1">
            <x v="16"/>
          </reference>
        </references>
      </pivotArea>
    </format>
    <format dxfId="3440">
      <pivotArea dataOnly="0" labelOnly="1" outline="0" fieldPosition="0">
        <references count="4">
          <reference field="11" count="1" selected="0">
            <x v="78"/>
          </reference>
          <reference field="14" count="1" selected="0">
            <x v="195"/>
          </reference>
          <reference field="18" count="1" selected="0">
            <x v="14"/>
          </reference>
          <reference field="19" count="1">
            <x v="9"/>
          </reference>
        </references>
      </pivotArea>
    </format>
    <format dxfId="3439">
      <pivotArea dataOnly="0" labelOnly="1" outline="0" fieldPosition="0">
        <references count="4">
          <reference field="11" count="1" selected="0">
            <x v="79"/>
          </reference>
          <reference field="14" count="1" selected="0">
            <x v="196"/>
          </reference>
          <reference field="18" count="1" selected="0">
            <x v="14"/>
          </reference>
          <reference field="19" count="1">
            <x v="9"/>
          </reference>
        </references>
      </pivotArea>
    </format>
    <format dxfId="3438">
      <pivotArea dataOnly="0" labelOnly="1" outline="0" fieldPosition="0">
        <references count="4">
          <reference field="11" count="1" selected="0">
            <x v="80"/>
          </reference>
          <reference field="14" count="1" selected="0">
            <x v="467"/>
          </reference>
          <reference field="18" count="1" selected="0">
            <x v="2"/>
          </reference>
          <reference field="19" count="1">
            <x v="22"/>
          </reference>
        </references>
      </pivotArea>
    </format>
    <format dxfId="3437">
      <pivotArea dataOnly="0" labelOnly="1" outline="0" fieldPosition="0">
        <references count="4">
          <reference field="11" count="1" selected="0">
            <x v="81"/>
          </reference>
          <reference field="14" count="1" selected="0">
            <x v="56"/>
          </reference>
          <reference field="18" count="1" selected="0">
            <x v="1"/>
          </reference>
          <reference field="19" count="1">
            <x v="18"/>
          </reference>
        </references>
      </pivotArea>
    </format>
    <format dxfId="3436">
      <pivotArea dataOnly="0" labelOnly="1" outline="0" fieldPosition="0">
        <references count="4">
          <reference field="11" count="1" selected="0">
            <x v="82"/>
          </reference>
          <reference field="14" count="1" selected="0">
            <x v="106"/>
          </reference>
          <reference field="18" count="1" selected="0">
            <x v="27"/>
          </reference>
          <reference field="19" count="1">
            <x v="17"/>
          </reference>
        </references>
      </pivotArea>
    </format>
    <format dxfId="3435">
      <pivotArea dataOnly="0" labelOnly="1" outline="0" fieldPosition="0">
        <references count="4">
          <reference field="11" count="1" selected="0">
            <x v="83"/>
          </reference>
          <reference field="14" count="1" selected="0">
            <x v="216"/>
          </reference>
          <reference field="18" count="1" selected="0">
            <x v="2"/>
          </reference>
          <reference field="19" count="1">
            <x v="22"/>
          </reference>
        </references>
      </pivotArea>
    </format>
    <format dxfId="3434">
      <pivotArea dataOnly="0" labelOnly="1" outline="0" fieldPosition="0">
        <references count="4">
          <reference field="11" count="1" selected="0">
            <x v="84"/>
          </reference>
          <reference field="14" count="1" selected="0">
            <x v="47"/>
          </reference>
          <reference field="18" count="1" selected="0">
            <x v="0"/>
          </reference>
          <reference field="19" count="1">
            <x v="16"/>
          </reference>
        </references>
      </pivotArea>
    </format>
    <format dxfId="3433">
      <pivotArea dataOnly="0" labelOnly="1" outline="0" fieldPosition="0">
        <references count="4">
          <reference field="11" count="1" selected="0">
            <x v="85"/>
          </reference>
          <reference field="14" count="1" selected="0">
            <x v="203"/>
          </reference>
          <reference field="18" count="1" selected="0">
            <x v="16"/>
          </reference>
          <reference field="19" count="1">
            <x v="24"/>
          </reference>
        </references>
      </pivotArea>
    </format>
    <format dxfId="3432">
      <pivotArea dataOnly="0" labelOnly="1" outline="0" fieldPosition="0">
        <references count="4">
          <reference field="11" count="1" selected="0">
            <x v="86"/>
          </reference>
          <reference field="14" count="1" selected="0">
            <x v="383"/>
          </reference>
          <reference field="18" count="1" selected="0">
            <x v="4"/>
          </reference>
          <reference field="19" count="1">
            <x v="10"/>
          </reference>
        </references>
      </pivotArea>
    </format>
    <format dxfId="3431">
      <pivotArea dataOnly="0" labelOnly="1" outline="0" fieldPosition="0">
        <references count="4">
          <reference field="11" count="1" selected="0">
            <x v="87"/>
          </reference>
          <reference field="14" count="1" selected="0">
            <x v="193"/>
          </reference>
          <reference field="18" count="1" selected="0">
            <x v="14"/>
          </reference>
          <reference field="19" count="1">
            <x v="9"/>
          </reference>
        </references>
      </pivotArea>
    </format>
    <format dxfId="3430">
      <pivotArea dataOnly="0" labelOnly="1" outline="0" fieldPosition="0">
        <references count="4">
          <reference field="11" count="1" selected="0">
            <x v="88"/>
          </reference>
          <reference field="14" count="1" selected="0">
            <x v="4"/>
          </reference>
          <reference field="18" count="1" selected="0">
            <x v="4"/>
          </reference>
          <reference field="19" count="1">
            <x v="10"/>
          </reference>
        </references>
      </pivotArea>
    </format>
    <format dxfId="3429">
      <pivotArea dataOnly="0" labelOnly="1" outline="0" fieldPosition="0">
        <references count="4">
          <reference field="11" count="1" selected="0">
            <x v="89"/>
          </reference>
          <reference field="14" count="1" selected="0">
            <x v="251"/>
          </reference>
          <reference field="18" count="1" selected="0">
            <x v="12"/>
          </reference>
          <reference field="19" count="1">
            <x v="13"/>
          </reference>
        </references>
      </pivotArea>
    </format>
    <format dxfId="3428">
      <pivotArea dataOnly="0" labelOnly="1" outline="0" fieldPosition="0">
        <references count="4">
          <reference field="11" count="1" selected="0">
            <x v="89"/>
          </reference>
          <reference field="14" count="1" selected="0">
            <x v="251"/>
          </reference>
          <reference field="18" count="1" selected="0">
            <x v="27"/>
          </reference>
          <reference field="19" count="1">
            <x v="17"/>
          </reference>
        </references>
      </pivotArea>
    </format>
    <format dxfId="3427">
      <pivotArea dataOnly="0" labelOnly="1" outline="0" fieldPosition="0">
        <references count="4">
          <reference field="11" count="1" selected="0">
            <x v="90"/>
          </reference>
          <reference field="14" count="1" selected="0">
            <x v="335"/>
          </reference>
          <reference field="18" count="1" selected="0">
            <x v="0"/>
          </reference>
          <reference field="19" count="1">
            <x v="16"/>
          </reference>
        </references>
      </pivotArea>
    </format>
    <format dxfId="3426">
      <pivotArea dataOnly="0" labelOnly="1" outline="0" fieldPosition="0">
        <references count="4">
          <reference field="11" count="1" selected="0">
            <x v="90"/>
          </reference>
          <reference field="14" count="1" selected="0">
            <x v="335"/>
          </reference>
          <reference field="18" count="1" selected="0">
            <x v="1"/>
          </reference>
          <reference field="19" count="1">
            <x v="18"/>
          </reference>
        </references>
      </pivotArea>
    </format>
    <format dxfId="3425">
      <pivotArea dataOnly="0" labelOnly="1" outline="0" fieldPosition="0">
        <references count="4">
          <reference field="11" count="1" selected="0">
            <x v="90"/>
          </reference>
          <reference field="14" count="1" selected="0">
            <x v="335"/>
          </reference>
          <reference field="18" count="1" selected="0">
            <x v="12"/>
          </reference>
          <reference field="19" count="1">
            <x v="13"/>
          </reference>
        </references>
      </pivotArea>
    </format>
    <format dxfId="3424">
      <pivotArea dataOnly="0" labelOnly="1" outline="0" fieldPosition="0">
        <references count="4">
          <reference field="11" count="1" selected="0">
            <x v="90"/>
          </reference>
          <reference field="14" count="1" selected="0">
            <x v="335"/>
          </reference>
          <reference field="18" count="1" selected="0">
            <x v="13"/>
          </reference>
          <reference field="19" count="1">
            <x v="21"/>
          </reference>
        </references>
      </pivotArea>
    </format>
    <format dxfId="3423">
      <pivotArea dataOnly="0" labelOnly="1" outline="0" fieldPosition="0">
        <references count="4">
          <reference field="11" count="1" selected="0">
            <x v="91"/>
          </reference>
          <reference field="14" count="1" selected="0">
            <x v="27"/>
          </reference>
          <reference field="18" count="1" selected="0">
            <x v="1"/>
          </reference>
          <reference field="19" count="1">
            <x v="18"/>
          </reference>
        </references>
      </pivotArea>
    </format>
    <format dxfId="3422">
      <pivotArea dataOnly="0" labelOnly="1" outline="0" fieldPosition="0">
        <references count="4">
          <reference field="11" count="1" selected="0">
            <x v="92"/>
          </reference>
          <reference field="14" count="1" selected="0">
            <x v="189"/>
          </reference>
          <reference field="18" count="1" selected="0">
            <x v="0"/>
          </reference>
          <reference field="19" count="1">
            <x v="16"/>
          </reference>
        </references>
      </pivotArea>
    </format>
    <format dxfId="3421">
      <pivotArea dataOnly="0" labelOnly="1" outline="0" fieldPosition="0">
        <references count="4">
          <reference field="11" count="1" selected="0">
            <x v="93"/>
          </reference>
          <reference field="14" count="1" selected="0">
            <x v="451"/>
          </reference>
          <reference field="18" count="1" selected="0">
            <x v="3"/>
          </reference>
          <reference field="19" count="1">
            <x v="15"/>
          </reference>
        </references>
      </pivotArea>
    </format>
    <format dxfId="3420">
      <pivotArea dataOnly="0" labelOnly="1" outline="0" fieldPosition="0">
        <references count="4">
          <reference field="11" count="1" selected="0">
            <x v="93"/>
          </reference>
          <reference field="14" count="1" selected="0">
            <x v="451"/>
          </reference>
          <reference field="18" count="1" selected="0">
            <x v="7"/>
          </reference>
          <reference field="19" count="1">
            <x v="4"/>
          </reference>
        </references>
      </pivotArea>
    </format>
    <format dxfId="3419">
      <pivotArea dataOnly="0" labelOnly="1" outline="0" fieldPosition="0">
        <references count="4">
          <reference field="11" count="1" selected="0">
            <x v="94"/>
          </reference>
          <reference field="14" count="1" selected="0">
            <x v="23"/>
          </reference>
          <reference field="18" count="1" selected="0">
            <x v="3"/>
          </reference>
          <reference field="19" count="1">
            <x v="15"/>
          </reference>
        </references>
      </pivotArea>
    </format>
    <format dxfId="3418">
      <pivotArea dataOnly="0" labelOnly="1" outline="0" fieldPosition="0">
        <references count="4">
          <reference field="11" count="1" selected="0">
            <x v="95"/>
          </reference>
          <reference field="14" count="1" selected="0">
            <x v="200"/>
          </reference>
          <reference field="18" count="1" selected="0">
            <x v="0"/>
          </reference>
          <reference field="19" count="1">
            <x v="16"/>
          </reference>
        </references>
      </pivotArea>
    </format>
    <format dxfId="3417">
      <pivotArea dataOnly="0" labelOnly="1" outline="0" fieldPosition="0">
        <references count="4">
          <reference field="11" count="1" selected="0">
            <x v="95"/>
          </reference>
          <reference field="14" count="1" selected="0">
            <x v="200"/>
          </reference>
          <reference field="18" count="1" selected="0">
            <x v="12"/>
          </reference>
          <reference field="19" count="1">
            <x v="13"/>
          </reference>
        </references>
      </pivotArea>
    </format>
    <format dxfId="3416">
      <pivotArea dataOnly="0" labelOnly="1" outline="0" fieldPosition="0">
        <references count="4">
          <reference field="11" count="1" selected="0">
            <x v="95"/>
          </reference>
          <reference field="14" count="1" selected="0">
            <x v="200"/>
          </reference>
          <reference field="18" count="1" selected="0">
            <x v="27"/>
          </reference>
          <reference field="19" count="1">
            <x v="17"/>
          </reference>
        </references>
      </pivotArea>
    </format>
    <format dxfId="3415">
      <pivotArea dataOnly="0" labelOnly="1" outline="0" fieldPosition="0">
        <references count="4">
          <reference field="11" count="1" selected="0">
            <x v="96"/>
          </reference>
          <reference field="14" count="1" selected="0">
            <x v="240"/>
          </reference>
          <reference field="18" count="1" selected="0">
            <x v="6"/>
          </reference>
          <reference field="19" count="1">
            <x v="23"/>
          </reference>
        </references>
      </pivotArea>
    </format>
    <format dxfId="3414">
      <pivotArea dataOnly="0" labelOnly="1" outline="0" fieldPosition="0">
        <references count="4">
          <reference field="11" count="1" selected="0">
            <x v="97"/>
          </reference>
          <reference field="14" count="1" selected="0">
            <x v="268"/>
          </reference>
          <reference field="18" count="1" selected="0">
            <x v="3"/>
          </reference>
          <reference field="19" count="1">
            <x v="15"/>
          </reference>
        </references>
      </pivotArea>
    </format>
    <format dxfId="3413">
      <pivotArea dataOnly="0" labelOnly="1" outline="0" fieldPosition="0">
        <references count="4">
          <reference field="11" count="1" selected="0">
            <x v="98"/>
          </reference>
          <reference field="14" count="1" selected="0">
            <x v="358"/>
          </reference>
          <reference field="18" count="1" selected="0">
            <x v="14"/>
          </reference>
          <reference field="19" count="1">
            <x v="9"/>
          </reference>
        </references>
      </pivotArea>
    </format>
    <format dxfId="3412">
      <pivotArea dataOnly="0" labelOnly="1" outline="0" fieldPosition="0">
        <references count="4">
          <reference field="11" count="1" selected="0">
            <x v="99"/>
          </reference>
          <reference field="14" count="1" selected="0">
            <x v="454"/>
          </reference>
          <reference field="18" count="1" selected="0">
            <x v="0"/>
          </reference>
          <reference field="19" count="1">
            <x v="16"/>
          </reference>
        </references>
      </pivotArea>
    </format>
    <format dxfId="3411">
      <pivotArea dataOnly="0" labelOnly="1" outline="0" fieldPosition="0">
        <references count="4">
          <reference field="11" count="1" selected="0">
            <x v="100"/>
          </reference>
          <reference field="14" count="1" selected="0">
            <x v="274"/>
          </reference>
          <reference field="18" count="1" selected="0">
            <x v="0"/>
          </reference>
          <reference field="19" count="1">
            <x v="16"/>
          </reference>
        </references>
      </pivotArea>
    </format>
    <format dxfId="3410">
      <pivotArea dataOnly="0" labelOnly="1" outline="0" fieldPosition="0">
        <references count="4">
          <reference field="11" count="1" selected="0">
            <x v="101"/>
          </reference>
          <reference field="14" count="1" selected="0">
            <x v="303"/>
          </reference>
          <reference field="18" count="1" selected="0">
            <x v="6"/>
          </reference>
          <reference field="19" count="1">
            <x v="23"/>
          </reference>
        </references>
      </pivotArea>
    </format>
    <format dxfId="3409">
      <pivotArea dataOnly="0" labelOnly="1" outline="0" fieldPosition="0">
        <references count="4">
          <reference field="11" count="1" selected="0">
            <x v="102"/>
          </reference>
          <reference field="14" count="1" selected="0">
            <x v="248"/>
          </reference>
          <reference field="18" count="1" selected="0">
            <x v="3"/>
          </reference>
          <reference field="19" count="1">
            <x v="15"/>
          </reference>
        </references>
      </pivotArea>
    </format>
    <format dxfId="3408">
      <pivotArea dataOnly="0" labelOnly="1" outline="0" fieldPosition="0">
        <references count="4">
          <reference field="11" count="1" selected="0">
            <x v="103"/>
          </reference>
          <reference field="14" count="1" selected="0">
            <x v="48"/>
          </reference>
          <reference field="18" count="1" selected="0">
            <x v="0"/>
          </reference>
          <reference field="19" count="1">
            <x v="16"/>
          </reference>
        </references>
      </pivotArea>
    </format>
    <format dxfId="3407">
      <pivotArea dataOnly="0" labelOnly="1" outline="0" fieldPosition="0">
        <references count="4">
          <reference field="11" count="1" selected="0">
            <x v="104"/>
          </reference>
          <reference field="14" count="1" selected="0">
            <x v="321"/>
          </reference>
          <reference field="18" count="1" selected="0">
            <x v="2"/>
          </reference>
          <reference field="19" count="1">
            <x v="22"/>
          </reference>
        </references>
      </pivotArea>
    </format>
    <format dxfId="3406">
      <pivotArea dataOnly="0" labelOnly="1" outline="0" fieldPosition="0">
        <references count="4">
          <reference field="11" count="1" selected="0">
            <x v="105"/>
          </reference>
          <reference field="14" count="1" selected="0">
            <x v="320"/>
          </reference>
          <reference field="18" count="1" selected="0">
            <x v="2"/>
          </reference>
          <reference field="19" count="1">
            <x v="22"/>
          </reference>
        </references>
      </pivotArea>
    </format>
    <format dxfId="3405">
      <pivotArea dataOnly="0" labelOnly="1" outline="0" fieldPosition="0">
        <references count="4">
          <reference field="11" count="1" selected="0">
            <x v="106"/>
          </reference>
          <reference field="14" count="1" selected="0">
            <x v="210"/>
          </reference>
          <reference field="18" count="1" selected="0">
            <x v="0"/>
          </reference>
          <reference field="19" count="1">
            <x v="16"/>
          </reference>
        </references>
      </pivotArea>
    </format>
    <format dxfId="3404">
      <pivotArea dataOnly="0" labelOnly="1" outline="0" fieldPosition="0">
        <references count="4">
          <reference field="11" count="1" selected="0">
            <x v="107"/>
          </reference>
          <reference field="14" count="1" selected="0">
            <x v="220"/>
          </reference>
          <reference field="18" count="1" selected="0">
            <x v="1"/>
          </reference>
          <reference field="19" count="1">
            <x v="18"/>
          </reference>
        </references>
      </pivotArea>
    </format>
    <format dxfId="3403">
      <pivotArea dataOnly="0" labelOnly="1" outline="0" fieldPosition="0">
        <references count="4">
          <reference field="11" count="1" selected="0">
            <x v="108"/>
          </reference>
          <reference field="14" count="1" selected="0">
            <x v="111"/>
          </reference>
          <reference field="18" count="1" selected="0">
            <x v="0"/>
          </reference>
          <reference field="19" count="1">
            <x v="16"/>
          </reference>
        </references>
      </pivotArea>
    </format>
    <format dxfId="3402">
      <pivotArea dataOnly="0" labelOnly="1" outline="0" fieldPosition="0">
        <references count="4">
          <reference field="11" count="1" selected="0">
            <x v="109"/>
          </reference>
          <reference field="14" count="1" selected="0">
            <x v="194"/>
          </reference>
          <reference field="18" count="1" selected="0">
            <x v="14"/>
          </reference>
          <reference field="19" count="1">
            <x v="9"/>
          </reference>
        </references>
      </pivotArea>
    </format>
    <format dxfId="3401">
      <pivotArea dataOnly="0" labelOnly="1" outline="0" fieldPosition="0">
        <references count="4">
          <reference field="11" count="1" selected="0">
            <x v="110"/>
          </reference>
          <reference field="14" count="1" selected="0">
            <x v="52"/>
          </reference>
          <reference field="18" count="1" selected="0">
            <x v="0"/>
          </reference>
          <reference field="19" count="1">
            <x v="16"/>
          </reference>
        </references>
      </pivotArea>
    </format>
    <format dxfId="3400">
      <pivotArea dataOnly="0" labelOnly="1" outline="0" fieldPosition="0">
        <references count="4">
          <reference field="11" count="1" selected="0">
            <x v="111"/>
          </reference>
          <reference field="14" count="1" selected="0">
            <x v="229"/>
          </reference>
          <reference field="18" count="1" selected="0">
            <x v="2"/>
          </reference>
          <reference field="19" count="1">
            <x v="22"/>
          </reference>
        </references>
      </pivotArea>
    </format>
    <format dxfId="3399">
      <pivotArea dataOnly="0" labelOnly="1" outline="0" fieldPosition="0">
        <references count="4">
          <reference field="11" count="1" selected="0">
            <x v="111"/>
          </reference>
          <reference field="14" count="1" selected="0">
            <x v="229"/>
          </reference>
          <reference field="18" count="1" selected="0">
            <x v="12"/>
          </reference>
          <reference field="19" count="1">
            <x v="13"/>
          </reference>
        </references>
      </pivotArea>
    </format>
    <format dxfId="3398">
      <pivotArea dataOnly="0" labelOnly="1" outline="0" fieldPosition="0">
        <references count="4">
          <reference field="11" count="1" selected="0">
            <x v="112"/>
          </reference>
          <reference field="14" count="1" selected="0">
            <x v="41"/>
          </reference>
          <reference field="18" count="1" selected="0">
            <x v="0"/>
          </reference>
          <reference field="19" count="1">
            <x v="16"/>
          </reference>
        </references>
      </pivotArea>
    </format>
    <format dxfId="3397">
      <pivotArea dataOnly="0" labelOnly="1" outline="0" fieldPosition="0">
        <references count="4">
          <reference field="11" count="1" selected="0">
            <x v="112"/>
          </reference>
          <reference field="14" count="1" selected="0">
            <x v="41"/>
          </reference>
          <reference field="18" count="1" selected="0">
            <x v="2"/>
          </reference>
          <reference field="19" count="1">
            <x v="22"/>
          </reference>
        </references>
      </pivotArea>
    </format>
    <format dxfId="3396">
      <pivotArea dataOnly="0" labelOnly="1" outline="0" fieldPosition="0">
        <references count="4">
          <reference field="11" count="1" selected="0">
            <x v="113"/>
          </reference>
          <reference field="14" count="1" selected="0">
            <x v="40"/>
          </reference>
          <reference field="18" count="1" selected="0">
            <x v="0"/>
          </reference>
          <reference field="19" count="1">
            <x v="16"/>
          </reference>
        </references>
      </pivotArea>
    </format>
    <format dxfId="3395">
      <pivotArea dataOnly="0" labelOnly="1" outline="0" fieldPosition="0">
        <references count="4">
          <reference field="11" count="1" selected="0">
            <x v="113"/>
          </reference>
          <reference field="14" count="1" selected="0">
            <x v="40"/>
          </reference>
          <reference field="18" count="1" selected="0">
            <x v="2"/>
          </reference>
          <reference field="19" count="1">
            <x v="22"/>
          </reference>
        </references>
      </pivotArea>
    </format>
    <format dxfId="3394">
      <pivotArea dataOnly="0" labelOnly="1" outline="0" fieldPosition="0">
        <references count="4">
          <reference field="11" count="1" selected="0">
            <x v="114"/>
          </reference>
          <reference field="14" count="1" selected="0">
            <x v="433"/>
          </reference>
          <reference field="18" count="1" selected="0">
            <x v="2"/>
          </reference>
          <reference field="19" count="1">
            <x v="22"/>
          </reference>
        </references>
      </pivotArea>
    </format>
    <format dxfId="3393">
      <pivotArea dataOnly="0" labelOnly="1" outline="0" fieldPosition="0">
        <references count="4">
          <reference field="11" count="1" selected="0">
            <x v="115"/>
          </reference>
          <reference field="14" count="1" selected="0">
            <x v="470"/>
          </reference>
          <reference field="18" count="1" selected="0">
            <x v="22"/>
          </reference>
          <reference field="19" count="1">
            <x v="11"/>
          </reference>
        </references>
      </pivotArea>
    </format>
    <format dxfId="3392">
      <pivotArea dataOnly="0" labelOnly="1" outline="0" fieldPosition="0">
        <references count="4">
          <reference field="11" count="1" selected="0">
            <x v="115"/>
          </reference>
          <reference field="14" count="1" selected="0">
            <x v="470"/>
          </reference>
          <reference field="18" count="1" selected="0">
            <x v="24"/>
          </reference>
          <reference field="19" count="1">
            <x v="7"/>
          </reference>
        </references>
      </pivotArea>
    </format>
    <format dxfId="3391">
      <pivotArea dataOnly="0" labelOnly="1" outline="0" fieldPosition="0">
        <references count="4">
          <reference field="11" count="1" selected="0">
            <x v="116"/>
          </reference>
          <reference field="14" count="1" selected="0">
            <x v="469"/>
          </reference>
          <reference field="18" count="1" selected="0">
            <x v="2"/>
          </reference>
          <reference field="19" count="1">
            <x v="22"/>
          </reference>
        </references>
      </pivotArea>
    </format>
    <format dxfId="3390">
      <pivotArea dataOnly="0" labelOnly="1" outline="0" fieldPosition="0">
        <references count="4">
          <reference field="11" count="1" selected="0">
            <x v="117"/>
          </reference>
          <reference field="14" count="1" selected="0">
            <x v="472"/>
          </reference>
          <reference field="18" count="1" selected="0">
            <x v="2"/>
          </reference>
          <reference field="19" count="1">
            <x v="22"/>
          </reference>
        </references>
      </pivotArea>
    </format>
    <format dxfId="3389">
      <pivotArea dataOnly="0" labelOnly="1" outline="0" fieldPosition="0">
        <references count="4">
          <reference field="11" count="1" selected="0">
            <x v="118"/>
          </reference>
          <reference field="14" count="1" selected="0">
            <x v="473"/>
          </reference>
          <reference field="18" count="1" selected="0">
            <x v="2"/>
          </reference>
          <reference field="19" count="1">
            <x v="22"/>
          </reference>
        </references>
      </pivotArea>
    </format>
    <format dxfId="3388">
      <pivotArea dataOnly="0" labelOnly="1" outline="0" fieldPosition="0">
        <references count="4">
          <reference field="11" count="1" selected="0">
            <x v="119"/>
          </reference>
          <reference field="14" count="1" selected="0">
            <x v="475"/>
          </reference>
          <reference field="18" count="1" selected="0">
            <x v="22"/>
          </reference>
          <reference field="19" count="1">
            <x v="11"/>
          </reference>
        </references>
      </pivotArea>
    </format>
    <format dxfId="3387">
      <pivotArea dataOnly="0" labelOnly="1" outline="0" fieldPosition="0">
        <references count="4">
          <reference field="11" count="1" selected="0">
            <x v="119"/>
          </reference>
          <reference field="14" count="1" selected="0">
            <x v="475"/>
          </reference>
          <reference field="18" count="1" selected="0">
            <x v="24"/>
          </reference>
          <reference field="19" count="1">
            <x v="7"/>
          </reference>
        </references>
      </pivotArea>
    </format>
    <format dxfId="3386">
      <pivotArea dataOnly="0" labelOnly="1" outline="0" fieldPosition="0">
        <references count="4">
          <reference field="11" count="1" selected="0">
            <x v="120"/>
          </reference>
          <reference field="14" count="1" selected="0">
            <x v="474"/>
          </reference>
          <reference field="18" count="1" selected="0">
            <x v="22"/>
          </reference>
          <reference field="19" count="1">
            <x v="11"/>
          </reference>
        </references>
      </pivotArea>
    </format>
    <format dxfId="3385">
      <pivotArea dataOnly="0" labelOnly="1" outline="0" fieldPosition="0">
        <references count="4">
          <reference field="11" count="1" selected="0">
            <x v="120"/>
          </reference>
          <reference field="14" count="1" selected="0">
            <x v="474"/>
          </reference>
          <reference field="18" count="1" selected="0">
            <x v="24"/>
          </reference>
          <reference field="19" count="1">
            <x v="7"/>
          </reference>
        </references>
      </pivotArea>
    </format>
    <format dxfId="3384">
      <pivotArea dataOnly="0" labelOnly="1" outline="0" fieldPosition="0">
        <references count="4">
          <reference field="11" count="1" selected="0">
            <x v="121"/>
          </reference>
          <reference field="14" count="1" selected="0">
            <x v="477"/>
          </reference>
          <reference field="18" count="1" selected="0">
            <x v="2"/>
          </reference>
          <reference field="19" count="1">
            <x v="22"/>
          </reference>
        </references>
      </pivotArea>
    </format>
    <format dxfId="3383">
      <pivotArea dataOnly="0" labelOnly="1" outline="0" fieldPosition="0">
        <references count="4">
          <reference field="11" count="1" selected="0">
            <x v="122"/>
          </reference>
          <reference field="14" count="1" selected="0">
            <x v="476"/>
          </reference>
          <reference field="18" count="1" selected="0">
            <x v="2"/>
          </reference>
          <reference field="19" count="1">
            <x v="22"/>
          </reference>
        </references>
      </pivotArea>
    </format>
    <format dxfId="3382">
      <pivotArea dataOnly="0" labelOnly="1" outline="0" fieldPosition="0">
        <references count="4">
          <reference field="11" count="1" selected="0">
            <x v="123"/>
          </reference>
          <reference field="14" count="1" selected="0">
            <x v="478"/>
          </reference>
          <reference field="18" count="1" selected="0">
            <x v="22"/>
          </reference>
          <reference field="19" count="1">
            <x v="11"/>
          </reference>
        </references>
      </pivotArea>
    </format>
    <format dxfId="3381">
      <pivotArea dataOnly="0" labelOnly="1" outline="0" fieldPosition="0">
        <references count="4">
          <reference field="11" count="1" selected="0">
            <x v="123"/>
          </reference>
          <reference field="14" count="1" selected="0">
            <x v="478"/>
          </reference>
          <reference field="18" count="1" selected="0">
            <x v="24"/>
          </reference>
          <reference field="19" count="1">
            <x v="7"/>
          </reference>
        </references>
      </pivotArea>
    </format>
    <format dxfId="3380">
      <pivotArea dataOnly="0" labelOnly="1" outline="0" fieldPosition="0">
        <references count="4">
          <reference field="11" count="1" selected="0">
            <x v="124"/>
          </reference>
          <reference field="14" count="1" selected="0">
            <x v="480"/>
          </reference>
          <reference field="18" count="1" selected="0">
            <x v="22"/>
          </reference>
          <reference field="19" count="1">
            <x v="11"/>
          </reference>
        </references>
      </pivotArea>
    </format>
    <format dxfId="3379">
      <pivotArea dataOnly="0" labelOnly="1" outline="0" fieldPosition="0">
        <references count="4">
          <reference field="11" count="1" selected="0">
            <x v="124"/>
          </reference>
          <reference field="14" count="1" selected="0">
            <x v="480"/>
          </reference>
          <reference field="18" count="1" selected="0">
            <x v="24"/>
          </reference>
          <reference field="19" count="1">
            <x v="7"/>
          </reference>
        </references>
      </pivotArea>
    </format>
    <format dxfId="3378">
      <pivotArea dataOnly="0" labelOnly="1" outline="0" fieldPosition="0">
        <references count="4">
          <reference field="11" count="1" selected="0">
            <x v="125"/>
          </reference>
          <reference field="14" count="1" selected="0">
            <x v="479"/>
          </reference>
          <reference field="18" count="1" selected="0">
            <x v="22"/>
          </reference>
          <reference field="19" count="1">
            <x v="11"/>
          </reference>
        </references>
      </pivotArea>
    </format>
    <format dxfId="3377">
      <pivotArea dataOnly="0" labelOnly="1" outline="0" fieldPosition="0">
        <references count="4">
          <reference field="11" count="1" selected="0">
            <x v="125"/>
          </reference>
          <reference field="14" count="1" selected="0">
            <x v="479"/>
          </reference>
          <reference field="18" count="1" selected="0">
            <x v="24"/>
          </reference>
          <reference field="19" count="1">
            <x v="7"/>
          </reference>
        </references>
      </pivotArea>
    </format>
    <format dxfId="3376">
      <pivotArea dataOnly="0" labelOnly="1" outline="0" fieldPosition="0">
        <references count="4">
          <reference field="11" count="1" selected="0">
            <x v="126"/>
          </reference>
          <reference field="14" count="1" selected="0">
            <x v="481"/>
          </reference>
          <reference field="18" count="1" selected="0">
            <x v="22"/>
          </reference>
          <reference field="19" count="1">
            <x v="11"/>
          </reference>
        </references>
      </pivotArea>
    </format>
    <format dxfId="3375">
      <pivotArea dataOnly="0" labelOnly="1" outline="0" fieldPosition="0">
        <references count="4">
          <reference field="11" count="1" selected="0">
            <x v="126"/>
          </reference>
          <reference field="14" count="1" selected="0">
            <x v="481"/>
          </reference>
          <reference field="18" count="1" selected="0">
            <x v="24"/>
          </reference>
          <reference field="19" count="1">
            <x v="7"/>
          </reference>
        </references>
      </pivotArea>
    </format>
    <format dxfId="3374">
      <pivotArea dataOnly="0" labelOnly="1" outline="0" fieldPosition="0">
        <references count="4">
          <reference field="11" count="1" selected="0">
            <x v="127"/>
          </reference>
          <reference field="14" count="1" selected="0">
            <x v="483"/>
          </reference>
          <reference field="18" count="1" selected="0">
            <x v="2"/>
          </reference>
          <reference field="19" count="1">
            <x v="22"/>
          </reference>
        </references>
      </pivotArea>
    </format>
    <format dxfId="3373">
      <pivotArea dataOnly="0" labelOnly="1" outline="0" fieldPosition="0">
        <references count="4">
          <reference field="11" count="1" selected="0">
            <x v="128"/>
          </reference>
          <reference field="14" count="1" selected="0">
            <x v="453"/>
          </reference>
          <reference field="18" count="1" selected="0">
            <x v="0"/>
          </reference>
          <reference field="19" count="1">
            <x v="16"/>
          </reference>
        </references>
      </pivotArea>
    </format>
    <format dxfId="3372">
      <pivotArea dataOnly="0" labelOnly="1" outline="0" fieldPosition="0">
        <references count="4">
          <reference field="11" count="1" selected="0">
            <x v="129"/>
          </reference>
          <reference field="14" count="1" selected="0">
            <x v="391"/>
          </reference>
          <reference field="18" count="1" selected="0">
            <x v="2"/>
          </reference>
          <reference field="19" count="1">
            <x v="22"/>
          </reference>
        </references>
      </pivotArea>
    </format>
    <format dxfId="3371">
      <pivotArea dataOnly="0" labelOnly="1" outline="0" fieldPosition="0">
        <references count="4">
          <reference field="11" count="1" selected="0">
            <x v="130"/>
          </reference>
          <reference field="14" count="1" selected="0">
            <x v="242"/>
          </reference>
          <reference field="18" count="1" selected="0">
            <x v="2"/>
          </reference>
          <reference field="19" count="1">
            <x v="22"/>
          </reference>
        </references>
      </pivotArea>
    </format>
    <format dxfId="3370">
      <pivotArea dataOnly="0" labelOnly="1" outline="0" fieldPosition="0">
        <references count="4">
          <reference field="11" count="1" selected="0">
            <x v="131"/>
          </reference>
          <reference field="14" count="1" selected="0">
            <x v="33"/>
          </reference>
          <reference field="18" count="1" selected="0">
            <x v="15"/>
          </reference>
          <reference field="19" count="1">
            <x v="25"/>
          </reference>
        </references>
      </pivotArea>
    </format>
    <format dxfId="3369">
      <pivotArea dataOnly="0" labelOnly="1" outline="0" fieldPosition="0">
        <references count="4">
          <reference field="11" count="1" selected="0">
            <x v="132"/>
          </reference>
          <reference field="14" count="1" selected="0">
            <x v="482"/>
          </reference>
          <reference field="18" count="1" selected="0">
            <x v="2"/>
          </reference>
          <reference field="19" count="1">
            <x v="22"/>
          </reference>
        </references>
      </pivotArea>
    </format>
    <format dxfId="3368">
      <pivotArea dataOnly="0" labelOnly="1" outline="0" fieldPosition="0">
        <references count="4">
          <reference field="11" count="1" selected="0">
            <x v="133"/>
          </reference>
          <reference field="14" count="1" selected="0">
            <x v="266"/>
          </reference>
          <reference field="18" count="1" selected="0">
            <x v="27"/>
          </reference>
          <reference field="19" count="1">
            <x v="17"/>
          </reference>
        </references>
      </pivotArea>
    </format>
    <format dxfId="3367">
      <pivotArea dataOnly="0" labelOnly="1" outline="0" fieldPosition="0">
        <references count="4">
          <reference field="11" count="1" selected="0">
            <x v="134"/>
          </reference>
          <reference field="14" count="1" selected="0">
            <x v="76"/>
          </reference>
          <reference field="18" count="1" selected="0">
            <x v="16"/>
          </reference>
          <reference field="19" count="1">
            <x v="24"/>
          </reference>
        </references>
      </pivotArea>
    </format>
    <format dxfId="3366">
      <pivotArea dataOnly="0" labelOnly="1" outline="0" fieldPosition="0">
        <references count="4">
          <reference field="11" count="1" selected="0">
            <x v="135"/>
          </reference>
          <reference field="14" count="1" selected="0">
            <x v="332"/>
          </reference>
          <reference field="18" count="1" selected="0">
            <x v="4"/>
          </reference>
          <reference field="19" count="1">
            <x v="10"/>
          </reference>
        </references>
      </pivotArea>
    </format>
    <format dxfId="3365">
      <pivotArea dataOnly="0" labelOnly="1" outline="0" fieldPosition="0">
        <references count="4">
          <reference field="11" count="1" selected="0">
            <x v="136"/>
          </reference>
          <reference field="14" count="1" selected="0">
            <x v="333"/>
          </reference>
          <reference field="18" count="1" selected="0">
            <x v="24"/>
          </reference>
          <reference field="19" count="1">
            <x v="7"/>
          </reference>
        </references>
      </pivotArea>
    </format>
    <format dxfId="3364">
      <pivotArea dataOnly="0" labelOnly="1" outline="0" fieldPosition="0">
        <references count="4">
          <reference field="11" count="1" selected="0">
            <x v="137"/>
          </reference>
          <reference field="14" count="1" selected="0">
            <x v="11"/>
          </reference>
          <reference field="18" count="1" selected="0">
            <x v="1"/>
          </reference>
          <reference field="19" count="1">
            <x v="18"/>
          </reference>
        </references>
      </pivotArea>
    </format>
    <format dxfId="3363">
      <pivotArea dataOnly="0" labelOnly="1" outline="0" fieldPosition="0">
        <references count="4">
          <reference field="11" count="1" selected="0">
            <x v="138"/>
          </reference>
          <reference field="14" count="1" selected="0">
            <x v="16"/>
          </reference>
          <reference field="18" count="1" selected="0">
            <x v="12"/>
          </reference>
          <reference field="19" count="1">
            <x v="13"/>
          </reference>
        </references>
      </pivotArea>
    </format>
    <format dxfId="3362">
      <pivotArea dataOnly="0" labelOnly="1" outline="0" fieldPosition="0">
        <references count="4">
          <reference field="11" count="1" selected="0">
            <x v="138"/>
          </reference>
          <reference field="14" count="1" selected="0">
            <x v="16"/>
          </reference>
          <reference field="18" count="1" selected="0">
            <x v="20"/>
          </reference>
          <reference field="19" count="1">
            <x v="19"/>
          </reference>
        </references>
      </pivotArea>
    </format>
    <format dxfId="3361">
      <pivotArea dataOnly="0" labelOnly="1" outline="0" fieldPosition="0">
        <references count="4">
          <reference field="11" count="1" selected="0">
            <x v="139"/>
          </reference>
          <reference field="14" count="1" selected="0">
            <x v="361"/>
          </reference>
          <reference field="18" count="1" selected="0">
            <x v="3"/>
          </reference>
          <reference field="19" count="1">
            <x v="15"/>
          </reference>
        </references>
      </pivotArea>
    </format>
    <format dxfId="3360">
      <pivotArea dataOnly="0" labelOnly="1" outline="0" fieldPosition="0">
        <references count="4">
          <reference field="11" count="1" selected="0">
            <x v="139"/>
          </reference>
          <reference field="14" count="1" selected="0">
            <x v="361"/>
          </reference>
          <reference field="18" count="1" selected="0">
            <x v="6"/>
          </reference>
          <reference field="19" count="1">
            <x v="23"/>
          </reference>
        </references>
      </pivotArea>
    </format>
    <format dxfId="3359">
      <pivotArea dataOnly="0" labelOnly="1" outline="0" fieldPosition="0">
        <references count="4">
          <reference field="11" count="1" selected="0">
            <x v="140"/>
          </reference>
          <reference field="14" count="1" selected="0">
            <x v="255"/>
          </reference>
          <reference field="18" count="1" selected="0">
            <x v="16"/>
          </reference>
          <reference field="19" count="1">
            <x v="24"/>
          </reference>
        </references>
      </pivotArea>
    </format>
    <format dxfId="3358">
      <pivotArea dataOnly="0" labelOnly="1" outline="0" fieldPosition="0">
        <references count="4">
          <reference field="11" count="1" selected="0">
            <x v="141"/>
          </reference>
          <reference field="14" count="1" selected="0">
            <x v="252"/>
          </reference>
          <reference field="18" count="1" selected="0">
            <x v="0"/>
          </reference>
          <reference field="19" count="1">
            <x v="16"/>
          </reference>
        </references>
      </pivotArea>
    </format>
    <format dxfId="3357">
      <pivotArea dataOnly="0" labelOnly="1" outline="0" fieldPosition="0">
        <references count="4">
          <reference field="11" count="1" selected="0">
            <x v="142"/>
          </reference>
          <reference field="14" count="1" selected="0">
            <x v="213"/>
          </reference>
          <reference field="18" count="1" selected="0">
            <x v="14"/>
          </reference>
          <reference field="19" count="1">
            <x v="9"/>
          </reference>
        </references>
      </pivotArea>
    </format>
    <format dxfId="3356">
      <pivotArea dataOnly="0" labelOnly="1" outline="0" fieldPosition="0">
        <references count="4">
          <reference field="11" count="1" selected="0">
            <x v="143"/>
          </reference>
          <reference field="14" count="1" selected="0">
            <x v="326"/>
          </reference>
          <reference field="18" count="1" selected="0">
            <x v="6"/>
          </reference>
          <reference field="19" count="1">
            <x v="23"/>
          </reference>
        </references>
      </pivotArea>
    </format>
    <format dxfId="3355">
      <pivotArea dataOnly="0" labelOnly="1" outline="0" fieldPosition="0">
        <references count="4">
          <reference field="11" count="1" selected="0">
            <x v="144"/>
          </reference>
          <reference field="14" count="1" selected="0">
            <x v="327"/>
          </reference>
          <reference field="18" count="1" selected="0">
            <x v="6"/>
          </reference>
          <reference field="19" count="1">
            <x v="23"/>
          </reference>
        </references>
      </pivotArea>
    </format>
    <format dxfId="3354">
      <pivotArea dataOnly="0" labelOnly="1" outline="0" fieldPosition="0">
        <references count="4">
          <reference field="11" count="1" selected="0">
            <x v="145"/>
          </reference>
          <reference field="14" count="1" selected="0">
            <x v="329"/>
          </reference>
          <reference field="18" count="1" selected="0">
            <x v="6"/>
          </reference>
          <reference field="19" count="1">
            <x v="23"/>
          </reference>
        </references>
      </pivotArea>
    </format>
    <format dxfId="3353">
      <pivotArea dataOnly="0" labelOnly="1" outline="0" fieldPosition="0">
        <references count="4">
          <reference field="11" count="1" selected="0">
            <x v="146"/>
          </reference>
          <reference field="14" count="1" selected="0">
            <x v="330"/>
          </reference>
          <reference field="18" count="1" selected="0">
            <x v="6"/>
          </reference>
          <reference field="19" count="1">
            <x v="23"/>
          </reference>
        </references>
      </pivotArea>
    </format>
    <format dxfId="3352">
      <pivotArea dataOnly="0" labelOnly="1" outline="0" fieldPosition="0">
        <references count="4">
          <reference field="11" count="1" selected="0">
            <x v="147"/>
          </reference>
          <reference field="14" count="1" selected="0">
            <x v="328"/>
          </reference>
          <reference field="18" count="1" selected="0">
            <x v="6"/>
          </reference>
          <reference field="19" count="1">
            <x v="23"/>
          </reference>
        </references>
      </pivotArea>
    </format>
    <format dxfId="3351">
      <pivotArea dataOnly="0" labelOnly="1" outline="0" fieldPosition="0">
        <references count="4">
          <reference field="11" count="1" selected="0">
            <x v="148"/>
          </reference>
          <reference field="14" count="1" selected="0">
            <x v="215"/>
          </reference>
          <reference field="18" count="1" selected="0">
            <x v="14"/>
          </reference>
          <reference field="19" count="1">
            <x v="9"/>
          </reference>
        </references>
      </pivotArea>
    </format>
    <format dxfId="3350">
      <pivotArea dataOnly="0" labelOnly="1" outline="0" fieldPosition="0">
        <references count="4">
          <reference field="11" count="1" selected="0">
            <x v="149"/>
          </reference>
          <reference field="14" count="1" selected="0">
            <x v="461"/>
          </reference>
          <reference field="18" count="1" selected="0">
            <x v="4"/>
          </reference>
          <reference field="19" count="1">
            <x v="10"/>
          </reference>
        </references>
      </pivotArea>
    </format>
    <format dxfId="3349">
      <pivotArea dataOnly="0" labelOnly="1" outline="0" fieldPosition="0">
        <references count="4">
          <reference field="11" count="1" selected="0">
            <x v="149"/>
          </reference>
          <reference field="14" count="1" selected="0">
            <x v="461"/>
          </reference>
          <reference field="18" count="1" selected="0">
            <x v="10"/>
          </reference>
          <reference field="19" count="1">
            <x v="8"/>
          </reference>
        </references>
      </pivotArea>
    </format>
    <format dxfId="3348">
      <pivotArea dataOnly="0" labelOnly="1" outline="0" fieldPosition="0">
        <references count="4">
          <reference field="11" count="1" selected="0">
            <x v="150"/>
          </reference>
          <reference field="14" count="1" selected="0">
            <x v="267"/>
          </reference>
          <reference field="18" count="1" selected="0">
            <x v="3"/>
          </reference>
          <reference field="19" count="1">
            <x v="15"/>
          </reference>
        </references>
      </pivotArea>
    </format>
    <format dxfId="3347">
      <pivotArea dataOnly="0" labelOnly="1" outline="0" fieldPosition="0">
        <references count="4">
          <reference field="11" count="1" selected="0">
            <x v="151"/>
          </reference>
          <reference field="14" count="1" selected="0">
            <x v="392"/>
          </reference>
          <reference field="18" count="1" selected="0">
            <x v="2"/>
          </reference>
          <reference field="19" count="1">
            <x v="22"/>
          </reference>
        </references>
      </pivotArea>
    </format>
    <format dxfId="3346">
      <pivotArea dataOnly="0" labelOnly="1" outline="0" fieldPosition="0">
        <references count="4">
          <reference field="11" count="1" selected="0">
            <x v="152"/>
          </reference>
          <reference field="14" count="1" selected="0">
            <x v="447"/>
          </reference>
          <reference field="18" count="1" selected="0">
            <x v="19"/>
          </reference>
          <reference field="19" count="1">
            <x v="2"/>
          </reference>
        </references>
      </pivotArea>
    </format>
    <format dxfId="3345">
      <pivotArea dataOnly="0" labelOnly="1" outline="0" fieldPosition="0">
        <references count="4">
          <reference field="11" count="1" selected="0">
            <x v="153"/>
          </reference>
          <reference field="14" count="1" selected="0">
            <x v="177"/>
          </reference>
          <reference field="18" count="1" selected="0">
            <x v="6"/>
          </reference>
          <reference field="19" count="1">
            <x v="23"/>
          </reference>
        </references>
      </pivotArea>
    </format>
    <format dxfId="3344">
      <pivotArea dataOnly="0" labelOnly="1" outline="0" fieldPosition="0">
        <references count="4">
          <reference field="11" count="1" selected="0">
            <x v="154"/>
          </reference>
          <reference field="14" count="1" selected="0">
            <x v="182"/>
          </reference>
          <reference field="18" count="1" selected="0">
            <x v="1"/>
          </reference>
          <reference field="19" count="1">
            <x v="18"/>
          </reference>
        </references>
      </pivotArea>
    </format>
    <format dxfId="3343">
      <pivotArea dataOnly="0" labelOnly="1" outline="0" fieldPosition="0">
        <references count="4">
          <reference field="11" count="1" selected="0">
            <x v="155"/>
          </reference>
          <reference field="14" count="1" selected="0">
            <x v="105"/>
          </reference>
          <reference field="18" count="1" selected="0">
            <x v="27"/>
          </reference>
          <reference field="19" count="1">
            <x v="17"/>
          </reference>
        </references>
      </pivotArea>
    </format>
    <format dxfId="3342">
      <pivotArea dataOnly="0" labelOnly="1" outline="0" fieldPosition="0">
        <references count="4">
          <reference field="11" count="1" selected="0">
            <x v="156"/>
          </reference>
          <reference field="14" count="1" selected="0">
            <x v="238"/>
          </reference>
          <reference field="18" count="1" selected="0">
            <x v="12"/>
          </reference>
          <reference field="19" count="1">
            <x v="13"/>
          </reference>
        </references>
      </pivotArea>
    </format>
    <format dxfId="3341">
      <pivotArea dataOnly="0" labelOnly="1" outline="0" fieldPosition="0">
        <references count="4">
          <reference field="11" count="1" selected="0">
            <x v="157"/>
          </reference>
          <reference field="14" count="1" selected="0">
            <x v="395"/>
          </reference>
          <reference field="18" count="1" selected="0">
            <x v="6"/>
          </reference>
          <reference field="19" count="1">
            <x v="23"/>
          </reference>
        </references>
      </pivotArea>
    </format>
    <format dxfId="3340">
      <pivotArea dataOnly="0" labelOnly="1" outline="0" fieldPosition="0">
        <references count="4">
          <reference field="11" count="1" selected="0">
            <x v="158"/>
          </reference>
          <reference field="14" count="1" selected="0">
            <x v="224"/>
          </reference>
          <reference field="18" count="1" selected="0">
            <x v="4"/>
          </reference>
          <reference field="19" count="1">
            <x v="10"/>
          </reference>
        </references>
      </pivotArea>
    </format>
    <format dxfId="3339">
      <pivotArea dataOnly="0" labelOnly="1" outline="0" fieldPosition="0">
        <references count="4">
          <reference field="11" count="1" selected="0">
            <x v="158"/>
          </reference>
          <reference field="14" count="1" selected="0">
            <x v="224"/>
          </reference>
          <reference field="18" count="1" selected="0">
            <x v="12"/>
          </reference>
          <reference field="19" count="1">
            <x v="13"/>
          </reference>
        </references>
      </pivotArea>
    </format>
    <format dxfId="3338">
      <pivotArea dataOnly="0" labelOnly="1" outline="0" fieldPosition="0">
        <references count="4">
          <reference field="11" count="1" selected="0">
            <x v="159"/>
          </reference>
          <reference field="14" count="1" selected="0">
            <x v="218"/>
          </reference>
          <reference field="18" count="1" selected="0">
            <x v="0"/>
          </reference>
          <reference field="19" count="1">
            <x v="16"/>
          </reference>
        </references>
      </pivotArea>
    </format>
    <format dxfId="3337">
      <pivotArea dataOnly="0" labelOnly="1" outline="0" fieldPosition="0">
        <references count="4">
          <reference field="11" count="1" selected="0">
            <x v="160"/>
          </reference>
          <reference field="14" count="1" selected="0">
            <x v="398"/>
          </reference>
          <reference field="18" count="1" selected="0">
            <x v="14"/>
          </reference>
          <reference field="19" count="1">
            <x v="9"/>
          </reference>
        </references>
      </pivotArea>
    </format>
    <format dxfId="3336">
      <pivotArea dataOnly="0" labelOnly="1" outline="0" fieldPosition="0">
        <references count="4">
          <reference field="11" count="1" selected="0">
            <x v="161"/>
          </reference>
          <reference field="14" count="1" selected="0">
            <x v="117"/>
          </reference>
          <reference field="18" count="1" selected="0">
            <x v="6"/>
          </reference>
          <reference field="19" count="1">
            <x v="23"/>
          </reference>
        </references>
      </pivotArea>
    </format>
    <format dxfId="3335">
      <pivotArea dataOnly="0" labelOnly="1" outline="0" fieldPosition="0">
        <references count="4">
          <reference field="11" count="1" selected="0">
            <x v="161"/>
          </reference>
          <reference field="14" count="1" selected="0">
            <x v="117"/>
          </reference>
          <reference field="18" count="1" selected="0">
            <x v="12"/>
          </reference>
          <reference field="19" count="1">
            <x v="13"/>
          </reference>
        </references>
      </pivotArea>
    </format>
    <format dxfId="3334">
      <pivotArea dataOnly="0" labelOnly="1" outline="0" fieldPosition="0">
        <references count="4">
          <reference field="11" count="1" selected="0">
            <x v="162"/>
          </reference>
          <reference field="14" count="1" selected="0">
            <x v="161"/>
          </reference>
          <reference field="18" count="1" selected="0">
            <x v="2"/>
          </reference>
          <reference field="19" count="1">
            <x v="22"/>
          </reference>
        </references>
      </pivotArea>
    </format>
    <format dxfId="3333">
      <pivotArea dataOnly="0" labelOnly="1" outline="0" fieldPosition="0">
        <references count="4">
          <reference field="11" count="1" selected="0">
            <x v="163"/>
          </reference>
          <reference field="14" count="1" selected="0">
            <x v="234"/>
          </reference>
          <reference field="18" count="1" selected="0">
            <x v="2"/>
          </reference>
          <reference field="19" count="1">
            <x v="22"/>
          </reference>
        </references>
      </pivotArea>
    </format>
    <format dxfId="3332">
      <pivotArea dataOnly="0" labelOnly="1" outline="0" fieldPosition="0">
        <references count="4">
          <reference field="11" count="1" selected="0">
            <x v="163"/>
          </reference>
          <reference field="14" count="1" selected="0">
            <x v="234"/>
          </reference>
          <reference field="18" count="1" selected="0">
            <x v="12"/>
          </reference>
          <reference field="19" count="1">
            <x v="13"/>
          </reference>
        </references>
      </pivotArea>
    </format>
    <format dxfId="3331">
      <pivotArea dataOnly="0" labelOnly="1" outline="0" fieldPosition="0">
        <references count="4">
          <reference field="11" count="1" selected="0">
            <x v="164"/>
          </reference>
          <reference field="14" count="1" selected="0">
            <x v="258"/>
          </reference>
          <reference field="18" count="1" selected="0">
            <x v="6"/>
          </reference>
          <reference field="19" count="1">
            <x v="23"/>
          </reference>
        </references>
      </pivotArea>
    </format>
    <format dxfId="3330">
      <pivotArea dataOnly="0" labelOnly="1" outline="0" fieldPosition="0">
        <references count="4">
          <reference field="11" count="1" selected="0">
            <x v="165"/>
          </reference>
          <reference field="14" count="1" selected="0">
            <x v="206"/>
          </reference>
          <reference field="18" count="1" selected="0">
            <x v="3"/>
          </reference>
          <reference field="19" count="1">
            <x v="15"/>
          </reference>
        </references>
      </pivotArea>
    </format>
    <format dxfId="3329">
      <pivotArea dataOnly="0" labelOnly="1" outline="0" fieldPosition="0">
        <references count="4">
          <reference field="11" count="1" selected="0">
            <x v="166"/>
          </reference>
          <reference field="14" count="1" selected="0">
            <x v="319"/>
          </reference>
          <reference field="18" count="1" selected="0">
            <x v="2"/>
          </reference>
          <reference field="19" count="1">
            <x v="22"/>
          </reference>
        </references>
      </pivotArea>
    </format>
    <format dxfId="3328">
      <pivotArea dataOnly="0" labelOnly="1" outline="0" fieldPosition="0">
        <references count="4">
          <reference field="11" count="1" selected="0">
            <x v="166"/>
          </reference>
          <reference field="14" count="1" selected="0">
            <x v="319"/>
          </reference>
          <reference field="18" count="1" selected="0">
            <x v="14"/>
          </reference>
          <reference field="19" count="1">
            <x v="9"/>
          </reference>
        </references>
      </pivotArea>
    </format>
    <format dxfId="3327">
      <pivotArea dataOnly="0" labelOnly="1" outline="0" fieldPosition="0">
        <references count="4">
          <reference field="11" count="1" selected="0">
            <x v="167"/>
          </reference>
          <reference field="14" count="1" selected="0">
            <x v="66"/>
          </reference>
          <reference field="18" count="1" selected="0">
            <x v="15"/>
          </reference>
          <reference field="19" count="1">
            <x v="25"/>
          </reference>
        </references>
      </pivotArea>
    </format>
    <format dxfId="3326">
      <pivotArea dataOnly="0" labelOnly="1" outline="0" fieldPosition="0">
        <references count="4">
          <reference field="11" count="1" selected="0">
            <x v="168"/>
          </reference>
          <reference field="14" count="1" selected="0">
            <x v="148"/>
          </reference>
          <reference field="18" count="1" selected="0">
            <x v="2"/>
          </reference>
          <reference field="19" count="1">
            <x v="22"/>
          </reference>
        </references>
      </pivotArea>
    </format>
    <format dxfId="3325">
      <pivotArea dataOnly="0" labelOnly="1" outline="0" fieldPosition="0">
        <references count="4">
          <reference field="11" count="1" selected="0">
            <x v="169"/>
          </reference>
          <reference field="14" count="1" selected="0">
            <x v="192"/>
          </reference>
          <reference field="18" count="1" selected="0">
            <x v="14"/>
          </reference>
          <reference field="19" count="1">
            <x v="9"/>
          </reference>
        </references>
      </pivotArea>
    </format>
    <format dxfId="3324">
      <pivotArea dataOnly="0" labelOnly="1" outline="0" fieldPosition="0">
        <references count="4">
          <reference field="11" count="1" selected="0">
            <x v="170"/>
          </reference>
          <reference field="14" count="1" selected="0">
            <x v="317"/>
          </reference>
          <reference field="18" count="1" selected="0">
            <x v="14"/>
          </reference>
          <reference field="19" count="1">
            <x v="9"/>
          </reference>
        </references>
      </pivotArea>
    </format>
    <format dxfId="3323">
      <pivotArea dataOnly="0" labelOnly="1" outline="0" fieldPosition="0">
        <references count="4">
          <reference field="11" count="1" selected="0">
            <x v="171"/>
          </reference>
          <reference field="14" count="1" selected="0">
            <x v="350"/>
          </reference>
          <reference field="18" count="1" selected="0">
            <x v="6"/>
          </reference>
          <reference field="19" count="1">
            <x v="23"/>
          </reference>
        </references>
      </pivotArea>
    </format>
    <format dxfId="3322">
      <pivotArea dataOnly="0" labelOnly="1" outline="0" fieldPosition="0">
        <references count="4">
          <reference field="11" count="1" selected="0">
            <x v="172"/>
          </reference>
          <reference field="14" count="1" selected="0">
            <x v="231"/>
          </reference>
          <reference field="18" count="1" selected="0">
            <x v="12"/>
          </reference>
          <reference field="19" count="1">
            <x v="13"/>
          </reference>
        </references>
      </pivotArea>
    </format>
    <format dxfId="3321">
      <pivotArea dataOnly="0" labelOnly="1" outline="0" fieldPosition="0">
        <references count="4">
          <reference field="11" count="1" selected="0">
            <x v="173"/>
          </reference>
          <reference field="14" count="1" selected="0">
            <x v="174"/>
          </reference>
          <reference field="18" count="1" selected="0">
            <x v="0"/>
          </reference>
          <reference field="19" count="1">
            <x v="16"/>
          </reference>
        </references>
      </pivotArea>
    </format>
    <format dxfId="3320">
      <pivotArea dataOnly="0" labelOnly="1" outline="0" fieldPosition="0">
        <references count="4">
          <reference field="11" count="1" selected="0">
            <x v="174"/>
          </reference>
          <reference field="14" count="1" selected="0">
            <x v="173"/>
          </reference>
          <reference field="18" count="1" selected="0">
            <x v="0"/>
          </reference>
          <reference field="19" count="1">
            <x v="16"/>
          </reference>
        </references>
      </pivotArea>
    </format>
    <format dxfId="3319">
      <pivotArea dataOnly="0" labelOnly="1" outline="0" fieldPosition="0">
        <references count="4">
          <reference field="11" count="1" selected="0">
            <x v="175"/>
          </reference>
          <reference field="14" count="1" selected="0">
            <x v="471"/>
          </reference>
          <reference field="18" count="1" selected="0">
            <x v="2"/>
          </reference>
          <reference field="19" count="1">
            <x v="22"/>
          </reference>
        </references>
      </pivotArea>
    </format>
    <format dxfId="3318">
      <pivotArea dataOnly="0" labelOnly="1" outline="0" fieldPosition="0">
        <references count="4">
          <reference field="11" count="1" selected="0">
            <x v="176"/>
          </reference>
          <reference field="14" count="1" selected="0">
            <x v="362"/>
          </reference>
          <reference field="18" count="1" selected="0">
            <x v="3"/>
          </reference>
          <reference field="19" count="1">
            <x v="15"/>
          </reference>
        </references>
      </pivotArea>
    </format>
    <format dxfId="3317">
      <pivotArea dataOnly="0" labelOnly="1" outline="0" fieldPosition="0">
        <references count="4">
          <reference field="11" count="1" selected="0">
            <x v="176"/>
          </reference>
          <reference field="14" count="1" selected="0">
            <x v="362"/>
          </reference>
          <reference field="18" count="1" selected="0">
            <x v="6"/>
          </reference>
          <reference field="19" count="1">
            <x v="23"/>
          </reference>
        </references>
      </pivotArea>
    </format>
    <format dxfId="3316">
      <pivotArea dataOnly="0" labelOnly="1" outline="0" fieldPosition="0">
        <references count="4">
          <reference field="11" count="1" selected="0">
            <x v="177"/>
          </reference>
          <reference field="14" count="1" selected="0">
            <x v="279"/>
          </reference>
          <reference field="18" count="1" selected="0">
            <x v="0"/>
          </reference>
          <reference field="19" count="1">
            <x v="16"/>
          </reference>
        </references>
      </pivotArea>
    </format>
    <format dxfId="3315">
      <pivotArea dataOnly="0" labelOnly="1" outline="0" fieldPosition="0">
        <references count="4">
          <reference field="11" count="1" selected="0">
            <x v="178"/>
          </reference>
          <reference field="14" count="1" selected="0">
            <x v="282"/>
          </reference>
          <reference field="18" count="1" selected="0">
            <x v="0"/>
          </reference>
          <reference field="19" count="1">
            <x v="16"/>
          </reference>
        </references>
      </pivotArea>
    </format>
    <format dxfId="3314">
      <pivotArea dataOnly="0" labelOnly="1" outline="0" fieldPosition="0">
        <references count="4">
          <reference field="11" count="1" selected="0">
            <x v="179"/>
          </reference>
          <reference field="14" count="1" selected="0">
            <x v="276"/>
          </reference>
          <reference field="18" count="1" selected="0">
            <x v="0"/>
          </reference>
          <reference field="19" count="1">
            <x v="16"/>
          </reference>
        </references>
      </pivotArea>
    </format>
    <format dxfId="3313">
      <pivotArea dataOnly="0" labelOnly="1" outline="0" fieldPosition="0">
        <references count="4">
          <reference field="11" count="1" selected="0">
            <x v="180"/>
          </reference>
          <reference field="14" count="1" selected="0">
            <x v="439"/>
          </reference>
          <reference field="18" count="1" selected="0">
            <x v="19"/>
          </reference>
          <reference field="19" count="1">
            <x v="2"/>
          </reference>
        </references>
      </pivotArea>
    </format>
    <format dxfId="3312">
      <pivotArea dataOnly="0" labelOnly="1" outline="0" fieldPosition="0">
        <references count="4">
          <reference field="11" count="1" selected="0">
            <x v="181"/>
          </reference>
          <reference field="14" count="1" selected="0">
            <x v="281"/>
          </reference>
          <reference field="18" count="1" selected="0">
            <x v="0"/>
          </reference>
          <reference field="19" count="1">
            <x v="16"/>
          </reference>
        </references>
      </pivotArea>
    </format>
    <format dxfId="3311">
      <pivotArea dataOnly="0" labelOnly="1" outline="0" fieldPosition="0">
        <references count="4">
          <reference field="11" count="1" selected="0">
            <x v="182"/>
          </reference>
          <reference field="14" count="1" selected="0">
            <x v="118"/>
          </reference>
          <reference field="18" count="1" selected="0">
            <x v="6"/>
          </reference>
          <reference field="19" count="1">
            <x v="23"/>
          </reference>
        </references>
      </pivotArea>
    </format>
    <format dxfId="3310">
      <pivotArea dataOnly="0" labelOnly="1" outline="0" fieldPosition="0">
        <references count="4">
          <reference field="11" count="1" selected="0">
            <x v="183"/>
          </reference>
          <reference field="14" count="1" selected="0">
            <x v="386"/>
          </reference>
          <reference field="18" count="1" selected="0">
            <x v="2"/>
          </reference>
          <reference field="19" count="1">
            <x v="22"/>
          </reference>
        </references>
      </pivotArea>
    </format>
    <format dxfId="3309">
      <pivotArea dataOnly="0" labelOnly="1" outline="0" fieldPosition="0">
        <references count="4">
          <reference field="11" count="1" selected="0">
            <x v="184"/>
          </reference>
          <reference field="14" count="1" selected="0">
            <x v="388"/>
          </reference>
          <reference field="18" count="1" selected="0">
            <x v="2"/>
          </reference>
          <reference field="19" count="1">
            <x v="22"/>
          </reference>
        </references>
      </pivotArea>
    </format>
    <format dxfId="3308">
      <pivotArea dataOnly="0" labelOnly="1" outline="0" fieldPosition="0">
        <references count="4">
          <reference field="11" count="1" selected="0">
            <x v="185"/>
          </reference>
          <reference field="14" count="1" selected="0">
            <x v="387"/>
          </reference>
          <reference field="18" count="1" selected="0">
            <x v="0"/>
          </reference>
          <reference field="19" count="1">
            <x v="16"/>
          </reference>
        </references>
      </pivotArea>
    </format>
    <format dxfId="3307">
      <pivotArea dataOnly="0" labelOnly="1" outline="0" fieldPosition="0">
        <references count="4">
          <reference field="11" count="1" selected="0">
            <x v="185"/>
          </reference>
          <reference field="14" count="1" selected="0">
            <x v="387"/>
          </reference>
          <reference field="18" count="1" selected="0">
            <x v="2"/>
          </reference>
          <reference field="19" count="1">
            <x v="22"/>
          </reference>
        </references>
      </pivotArea>
    </format>
    <format dxfId="3306">
      <pivotArea dataOnly="0" labelOnly="1" outline="0" fieldPosition="0">
        <references count="4">
          <reference field="11" count="1" selected="0">
            <x v="186"/>
          </reference>
          <reference field="14" count="1" selected="0">
            <x v="343"/>
          </reference>
          <reference field="18" count="1" selected="0">
            <x v="1"/>
          </reference>
          <reference field="19" count="1">
            <x v="18"/>
          </reference>
        </references>
      </pivotArea>
    </format>
    <format dxfId="3305">
      <pivotArea dataOnly="0" labelOnly="1" outline="0" fieldPosition="0">
        <references count="4">
          <reference field="11" count="1" selected="0">
            <x v="187"/>
          </reference>
          <reference field="14" count="1" selected="0">
            <x v="249"/>
          </reference>
          <reference field="18" count="1" selected="0">
            <x v="19"/>
          </reference>
          <reference field="19" count="1">
            <x v="2"/>
          </reference>
        </references>
      </pivotArea>
    </format>
    <format dxfId="3304">
      <pivotArea dataOnly="0" labelOnly="1" outline="0" fieldPosition="0">
        <references count="4">
          <reference field="11" count="1" selected="0">
            <x v="188"/>
          </reference>
          <reference field="14" count="1" selected="0">
            <x v="385"/>
          </reference>
          <reference field="18" count="1" selected="0">
            <x v="2"/>
          </reference>
          <reference field="19" count="1">
            <x v="22"/>
          </reference>
        </references>
      </pivotArea>
    </format>
    <format dxfId="3303">
      <pivotArea dataOnly="0" labelOnly="1" outline="0" fieldPosition="0">
        <references count="4">
          <reference field="11" count="1" selected="0">
            <x v="189"/>
          </reference>
          <reference field="14" count="1" selected="0">
            <x v="184"/>
          </reference>
          <reference field="18" count="1" selected="0">
            <x v="0"/>
          </reference>
          <reference field="19" count="1">
            <x v="16"/>
          </reference>
        </references>
      </pivotArea>
    </format>
    <format dxfId="3302">
      <pivotArea dataOnly="0" labelOnly="1" outline="0" fieldPosition="0">
        <references count="4">
          <reference field="11" count="1" selected="0">
            <x v="189"/>
          </reference>
          <reference field="14" count="1" selected="0">
            <x v="184"/>
          </reference>
          <reference field="18" count="1" selected="0">
            <x v="1"/>
          </reference>
          <reference field="19" count="1">
            <x v="18"/>
          </reference>
        </references>
      </pivotArea>
    </format>
    <format dxfId="3301">
      <pivotArea dataOnly="0" labelOnly="1" outline="0" fieldPosition="0">
        <references count="4">
          <reference field="11" count="1" selected="0">
            <x v="190"/>
          </reference>
          <reference field="14" count="1" selected="0">
            <x v="394"/>
          </reference>
          <reference field="18" count="1" selected="0">
            <x v="0"/>
          </reference>
          <reference field="19" count="1">
            <x v="16"/>
          </reference>
        </references>
      </pivotArea>
    </format>
    <format dxfId="3300">
      <pivotArea dataOnly="0" labelOnly="1" outline="0" fieldPosition="0">
        <references count="4">
          <reference field="11" count="1" selected="0">
            <x v="190"/>
          </reference>
          <reference field="14" count="1" selected="0">
            <x v="394"/>
          </reference>
          <reference field="18" count="1" selected="0">
            <x v="2"/>
          </reference>
          <reference field="19" count="1">
            <x v="22"/>
          </reference>
        </references>
      </pivotArea>
    </format>
    <format dxfId="3299">
      <pivotArea dataOnly="0" labelOnly="1" outline="0" fieldPosition="0">
        <references count="4">
          <reference field="11" count="1" selected="0">
            <x v="191"/>
          </reference>
          <reference field="14" count="1" selected="0">
            <x v="103"/>
          </reference>
          <reference field="18" count="1" selected="0">
            <x v="2"/>
          </reference>
          <reference field="19" count="1">
            <x v="22"/>
          </reference>
        </references>
      </pivotArea>
    </format>
    <format dxfId="3298">
      <pivotArea dataOnly="0" labelOnly="1" outline="0" fieldPosition="0">
        <references count="4">
          <reference field="11" count="1" selected="0">
            <x v="192"/>
          </reference>
          <reference field="14" count="1" selected="0">
            <x v="102"/>
          </reference>
          <reference field="18" count="1" selected="0">
            <x v="2"/>
          </reference>
          <reference field="19" count="1">
            <x v="22"/>
          </reference>
        </references>
      </pivotArea>
    </format>
    <format dxfId="3297">
      <pivotArea dataOnly="0" labelOnly="1" outline="0" fieldPosition="0">
        <references count="4">
          <reference field="11" count="1" selected="0">
            <x v="193"/>
          </reference>
          <reference field="14" count="1" selected="0">
            <x v="14"/>
          </reference>
          <reference field="18" count="1" selected="0">
            <x v="0"/>
          </reference>
          <reference field="19" count="1">
            <x v="16"/>
          </reference>
        </references>
      </pivotArea>
    </format>
    <format dxfId="3296">
      <pivotArea dataOnly="0" labelOnly="1" outline="0" fieldPosition="0">
        <references count="4">
          <reference field="11" count="1" selected="0">
            <x v="194"/>
          </reference>
          <reference field="14" count="1" selected="0">
            <x v="188"/>
          </reference>
          <reference field="18" count="1" selected="0">
            <x v="0"/>
          </reference>
          <reference field="19" count="1">
            <x v="16"/>
          </reference>
        </references>
      </pivotArea>
    </format>
    <format dxfId="3295">
      <pivotArea dataOnly="0" labelOnly="1" outline="0" fieldPosition="0">
        <references count="4">
          <reference field="11" count="1" selected="0">
            <x v="195"/>
          </reference>
          <reference field="14" count="1" selected="0">
            <x v="396"/>
          </reference>
          <reference field="18" count="1" selected="0">
            <x v="6"/>
          </reference>
          <reference field="19" count="1">
            <x v="23"/>
          </reference>
        </references>
      </pivotArea>
    </format>
    <format dxfId="3294">
      <pivotArea dataOnly="0" labelOnly="1" outline="0" fieldPosition="0">
        <references count="4">
          <reference field="11" count="1" selected="0">
            <x v="196"/>
          </reference>
          <reference field="14" count="1" selected="0">
            <x v="25"/>
          </reference>
          <reference field="18" count="1" selected="0">
            <x v="5"/>
          </reference>
          <reference field="19" count="1">
            <x v="1"/>
          </reference>
        </references>
      </pivotArea>
    </format>
    <format dxfId="3293">
      <pivotArea dataOnly="0" labelOnly="1" outline="0" fieldPosition="0">
        <references count="4">
          <reference field="11" count="1" selected="0">
            <x v="197"/>
          </reference>
          <reference field="14" count="1" selected="0">
            <x v="26"/>
          </reference>
          <reference field="18" count="1" selected="0">
            <x v="5"/>
          </reference>
          <reference field="19" count="1">
            <x v="1"/>
          </reference>
        </references>
      </pivotArea>
    </format>
    <format dxfId="3292">
      <pivotArea dataOnly="0" labelOnly="1" outline="0" fieldPosition="0">
        <references count="4">
          <reference field="11" count="1" selected="0">
            <x v="198"/>
          </reference>
          <reference field="14" count="1" selected="0">
            <x v="43"/>
          </reference>
          <reference field="18" count="1" selected="0">
            <x v="27"/>
          </reference>
          <reference field="19" count="1">
            <x v="17"/>
          </reference>
        </references>
      </pivotArea>
    </format>
    <format dxfId="3291">
      <pivotArea dataOnly="0" labelOnly="1" outline="0" fieldPosition="0">
        <references count="4">
          <reference field="11" count="1" selected="0">
            <x v="199"/>
          </reference>
          <reference field="14" count="1" selected="0">
            <x v="113"/>
          </reference>
          <reference field="18" count="1" selected="0">
            <x v="19"/>
          </reference>
          <reference field="19" count="1">
            <x v="2"/>
          </reference>
        </references>
      </pivotArea>
    </format>
    <format dxfId="3290">
      <pivotArea dataOnly="0" labelOnly="1" outline="0" fieldPosition="0">
        <references count="4">
          <reference field="11" count="1" selected="0">
            <x v="200"/>
          </reference>
          <reference field="14" count="1" selected="0">
            <x v="280"/>
          </reference>
          <reference field="18" count="1" selected="0">
            <x v="0"/>
          </reference>
          <reference field="19" count="1">
            <x v="16"/>
          </reference>
        </references>
      </pivotArea>
    </format>
    <format dxfId="3289">
      <pivotArea dataOnly="0" labelOnly="1" outline="0" fieldPosition="0">
        <references count="4">
          <reference field="11" count="1" selected="0">
            <x v="201"/>
          </reference>
          <reference field="14" count="1" selected="0">
            <x v="305"/>
          </reference>
          <reference field="18" count="1" selected="0">
            <x v="2"/>
          </reference>
          <reference field="19" count="1">
            <x v="22"/>
          </reference>
        </references>
      </pivotArea>
    </format>
    <format dxfId="3288">
      <pivotArea dataOnly="0" labelOnly="1" outline="0" fieldPosition="0">
        <references count="4">
          <reference field="11" count="1" selected="0">
            <x v="202"/>
          </reference>
          <reference field="14" count="1" selected="0">
            <x v="409"/>
          </reference>
          <reference field="18" count="1" selected="0">
            <x v="2"/>
          </reference>
          <reference field="19" count="1">
            <x v="22"/>
          </reference>
        </references>
      </pivotArea>
    </format>
    <format dxfId="3287">
      <pivotArea dataOnly="0" labelOnly="1" outline="0" fieldPosition="0">
        <references count="4">
          <reference field="11" count="1" selected="0">
            <x v="203"/>
          </reference>
          <reference field="14" count="1" selected="0">
            <x v="28"/>
          </reference>
          <reference field="18" count="1" selected="0">
            <x v="6"/>
          </reference>
          <reference field="19" count="1">
            <x v="23"/>
          </reference>
        </references>
      </pivotArea>
    </format>
    <format dxfId="3286">
      <pivotArea dataOnly="0" labelOnly="1" outline="0" fieldPosition="0">
        <references count="4">
          <reference field="11" count="1" selected="0">
            <x v="204"/>
          </reference>
          <reference field="14" count="1" selected="0">
            <x v="269"/>
          </reference>
          <reference field="18" count="1" selected="0">
            <x v="2"/>
          </reference>
          <reference field="19" count="1">
            <x v="22"/>
          </reference>
        </references>
      </pivotArea>
    </format>
    <format dxfId="3285">
      <pivotArea dataOnly="0" labelOnly="1" outline="0" fieldPosition="0">
        <references count="4">
          <reference field="11" count="1" selected="0">
            <x v="204"/>
          </reference>
          <reference field="14" count="1" selected="0">
            <x v="269"/>
          </reference>
          <reference field="18" count="1" selected="0">
            <x v="3"/>
          </reference>
          <reference field="19" count="1">
            <x v="15"/>
          </reference>
        </references>
      </pivotArea>
    </format>
    <format dxfId="3284">
      <pivotArea dataOnly="0" labelOnly="1" outline="0" fieldPosition="0">
        <references count="4">
          <reference field="11" count="1" selected="0">
            <x v="205"/>
          </reference>
          <reference field="14" count="1" selected="0">
            <x v="185"/>
          </reference>
          <reference field="18" count="1" selected="0">
            <x v="1"/>
          </reference>
          <reference field="19" count="1">
            <x v="18"/>
          </reference>
        </references>
      </pivotArea>
    </format>
    <format dxfId="3283">
      <pivotArea dataOnly="0" labelOnly="1" outline="0" fieldPosition="0">
        <references count="4">
          <reference field="11" count="1" selected="0">
            <x v="206"/>
          </reference>
          <reference field="14" count="1" selected="0">
            <x v="54"/>
          </reference>
          <reference field="18" count="1" selected="0">
            <x v="2"/>
          </reference>
          <reference field="19" count="1">
            <x v="22"/>
          </reference>
        </references>
      </pivotArea>
    </format>
    <format dxfId="3282">
      <pivotArea dataOnly="0" labelOnly="1" outline="0" fieldPosition="0">
        <references count="4">
          <reference field="11" count="1" selected="0">
            <x v="207"/>
          </reference>
          <reference field="14" count="1" selected="0">
            <x v="356"/>
          </reference>
          <reference field="18" count="1" selected="0">
            <x v="8"/>
          </reference>
          <reference field="19" count="1">
            <x v="5"/>
          </reference>
        </references>
      </pivotArea>
    </format>
    <format dxfId="3281">
      <pivotArea dataOnly="0" labelOnly="1" outline="0" fieldPosition="0">
        <references count="4">
          <reference field="11" count="1" selected="0">
            <x v="207"/>
          </reference>
          <reference field="14" count="1" selected="0">
            <x v="356"/>
          </reference>
          <reference field="18" count="1" selected="0">
            <x v="14"/>
          </reference>
          <reference field="19" count="1">
            <x v="9"/>
          </reference>
        </references>
      </pivotArea>
    </format>
    <format dxfId="3280">
      <pivotArea dataOnly="0" labelOnly="1" outline="0" fieldPosition="0">
        <references count="4">
          <reference field="11" count="1" selected="0">
            <x v="208"/>
          </reference>
          <reference field="14" count="1" selected="0">
            <x v="186"/>
          </reference>
          <reference field="18" count="1" selected="0">
            <x v="0"/>
          </reference>
          <reference field="19" count="1">
            <x v="16"/>
          </reference>
        </references>
      </pivotArea>
    </format>
    <format dxfId="3279">
      <pivotArea dataOnly="0" labelOnly="1" outline="0" fieldPosition="0">
        <references count="4">
          <reference field="11" count="1" selected="0">
            <x v="208"/>
          </reference>
          <reference field="14" count="1" selected="0">
            <x v="186"/>
          </reference>
          <reference field="18" count="1" selected="0">
            <x v="7"/>
          </reference>
          <reference field="19" count="1">
            <x v="4"/>
          </reference>
        </references>
      </pivotArea>
    </format>
    <format dxfId="3278">
      <pivotArea dataOnly="0" labelOnly="1" outline="0" fieldPosition="0">
        <references count="4">
          <reference field="11" count="1" selected="0">
            <x v="209"/>
          </reference>
          <reference field="14" count="1" selected="0">
            <x v="37"/>
          </reference>
          <reference field="18" count="1" selected="0">
            <x v="6"/>
          </reference>
          <reference field="19" count="1">
            <x v="23"/>
          </reference>
        </references>
      </pivotArea>
    </format>
    <format dxfId="3277">
      <pivotArea dataOnly="0" labelOnly="1" outline="0" fieldPosition="0">
        <references count="4">
          <reference field="11" count="1" selected="0">
            <x v="210"/>
          </reference>
          <reference field="14" count="1" selected="0">
            <x v="273"/>
          </reference>
          <reference field="18" count="1" selected="0">
            <x v="0"/>
          </reference>
          <reference field="19" count="1">
            <x v="16"/>
          </reference>
        </references>
      </pivotArea>
    </format>
    <format dxfId="3276">
      <pivotArea dataOnly="0" labelOnly="1" outline="0" fieldPosition="0">
        <references count="4">
          <reference field="11" count="1" selected="0">
            <x v="211"/>
          </reference>
          <reference field="14" count="1" selected="0">
            <x v="142"/>
          </reference>
          <reference field="18" count="1" selected="0">
            <x v="2"/>
          </reference>
          <reference field="19" count="1">
            <x v="22"/>
          </reference>
        </references>
      </pivotArea>
    </format>
    <format dxfId="3275">
      <pivotArea dataOnly="0" labelOnly="1" outline="0" fieldPosition="0">
        <references count="4">
          <reference field="11" count="1" selected="0">
            <x v="212"/>
          </reference>
          <reference field="14" count="1" selected="0">
            <x v="294"/>
          </reference>
          <reference field="18" count="1" selected="0">
            <x v="1"/>
          </reference>
          <reference field="19" count="1">
            <x v="18"/>
          </reference>
        </references>
      </pivotArea>
    </format>
    <format dxfId="3274">
      <pivotArea dataOnly="0" labelOnly="1" outline="0" fieldPosition="0">
        <references count="4">
          <reference field="11" count="1" selected="0">
            <x v="213"/>
          </reference>
          <reference field="14" count="1" selected="0">
            <x v="5"/>
          </reference>
          <reference field="18" count="1" selected="0">
            <x v="3"/>
          </reference>
          <reference field="19" count="1">
            <x v="15"/>
          </reference>
        </references>
      </pivotArea>
    </format>
    <format dxfId="3273">
      <pivotArea dataOnly="0" labelOnly="1" outline="0" fieldPosition="0">
        <references count="4">
          <reference field="11" count="1" selected="0">
            <x v="214"/>
          </reference>
          <reference field="14" count="1" selected="0">
            <x v="98"/>
          </reference>
          <reference field="18" count="1" selected="0">
            <x v="1"/>
          </reference>
          <reference field="19" count="1">
            <x v="18"/>
          </reference>
        </references>
      </pivotArea>
    </format>
    <format dxfId="3272">
      <pivotArea dataOnly="0" labelOnly="1" outline="0" fieldPosition="0">
        <references count="4">
          <reference field="11" count="1" selected="0">
            <x v="214"/>
          </reference>
          <reference field="14" count="1" selected="0">
            <x v="98"/>
          </reference>
          <reference field="18" count="1" selected="0">
            <x v="2"/>
          </reference>
          <reference field="19" count="1">
            <x v="22"/>
          </reference>
        </references>
      </pivotArea>
    </format>
    <format dxfId="3271">
      <pivotArea dataOnly="0" labelOnly="1" outline="0" fieldPosition="0">
        <references count="4">
          <reference field="11" count="1" selected="0">
            <x v="214"/>
          </reference>
          <reference field="14" count="1" selected="0">
            <x v="98"/>
          </reference>
          <reference field="18" count="1" selected="0">
            <x v="12"/>
          </reference>
          <reference field="19" count="1">
            <x v="13"/>
          </reference>
        </references>
      </pivotArea>
    </format>
    <format dxfId="3270">
      <pivotArea dataOnly="0" labelOnly="1" outline="0" fieldPosition="0">
        <references count="4">
          <reference field="11" count="1" selected="0">
            <x v="214"/>
          </reference>
          <reference field="14" count="1" selected="0">
            <x v="98"/>
          </reference>
          <reference field="18" count="1" selected="0">
            <x v="27"/>
          </reference>
          <reference field="19" count="1">
            <x v="17"/>
          </reference>
        </references>
      </pivotArea>
    </format>
    <format dxfId="3269">
      <pivotArea dataOnly="0" labelOnly="1" outline="0" fieldPosition="0">
        <references count="4">
          <reference field="11" count="1" selected="0">
            <x v="215"/>
          </reference>
          <reference field="14" count="1" selected="0">
            <x v="158"/>
          </reference>
          <reference field="18" count="1" selected="0">
            <x v="2"/>
          </reference>
          <reference field="19" count="1">
            <x v="22"/>
          </reference>
        </references>
      </pivotArea>
    </format>
    <format dxfId="3268">
      <pivotArea dataOnly="0" labelOnly="1" outline="0" fieldPosition="0">
        <references count="4">
          <reference field="11" count="1" selected="0">
            <x v="216"/>
          </reference>
          <reference field="14" count="1" selected="0">
            <x v="338"/>
          </reference>
          <reference field="18" count="1" selected="0">
            <x v="2"/>
          </reference>
          <reference field="19" count="1">
            <x v="22"/>
          </reference>
        </references>
      </pivotArea>
    </format>
    <format dxfId="3267">
      <pivotArea dataOnly="0" labelOnly="1" outline="0" fieldPosition="0">
        <references count="4">
          <reference field="11" count="1" selected="0">
            <x v="217"/>
          </reference>
          <reference field="14" count="1" selected="0">
            <x v="438"/>
          </reference>
          <reference field="18" count="1" selected="0">
            <x v="19"/>
          </reference>
          <reference field="19" count="1">
            <x v="2"/>
          </reference>
        </references>
      </pivotArea>
    </format>
    <format dxfId="3266">
      <pivotArea dataOnly="0" labelOnly="1" outline="0" fieldPosition="0">
        <references count="4">
          <reference field="11" count="1" selected="0">
            <x v="218"/>
          </reference>
          <reference field="14" count="1" selected="0">
            <x v="429"/>
          </reference>
          <reference field="18" count="1" selected="0">
            <x v="19"/>
          </reference>
          <reference field="19" count="1">
            <x v="2"/>
          </reference>
        </references>
      </pivotArea>
    </format>
    <format dxfId="3265">
      <pivotArea dataOnly="0" labelOnly="1" outline="0" fieldPosition="0">
        <references count="4">
          <reference field="11" count="1" selected="0">
            <x v="219"/>
          </reference>
          <reference field="14" count="1" selected="0">
            <x v="431"/>
          </reference>
          <reference field="18" count="1" selected="0">
            <x v="19"/>
          </reference>
          <reference field="19" count="1">
            <x v="2"/>
          </reference>
        </references>
      </pivotArea>
    </format>
    <format dxfId="3264">
      <pivotArea dataOnly="0" labelOnly="1" outline="0" fieldPosition="0">
        <references count="4">
          <reference field="11" count="1" selected="0">
            <x v="220"/>
          </reference>
          <reference field="14" count="1" selected="0">
            <x v="430"/>
          </reference>
          <reference field="18" count="1" selected="0">
            <x v="19"/>
          </reference>
          <reference field="19" count="1">
            <x v="2"/>
          </reference>
        </references>
      </pivotArea>
    </format>
    <format dxfId="3263">
      <pivotArea dataOnly="0" labelOnly="1" outline="0" fieldPosition="0">
        <references count="4">
          <reference field="11" count="1" selected="0">
            <x v="221"/>
          </reference>
          <reference field="14" count="1" selected="0">
            <x v="427"/>
          </reference>
          <reference field="18" count="1" selected="0">
            <x v="19"/>
          </reference>
          <reference field="19" count="1">
            <x v="2"/>
          </reference>
        </references>
      </pivotArea>
    </format>
    <format dxfId="3262">
      <pivotArea dataOnly="0" labelOnly="1" outline="0" fieldPosition="0">
        <references count="4">
          <reference field="11" count="1" selected="0">
            <x v="222"/>
          </reference>
          <reference field="14" count="1" selected="0">
            <x v="426"/>
          </reference>
          <reference field="18" count="1" selected="0">
            <x v="19"/>
          </reference>
          <reference field="19" count="1">
            <x v="2"/>
          </reference>
        </references>
      </pivotArea>
    </format>
    <format dxfId="3261">
      <pivotArea dataOnly="0" labelOnly="1" outline="0" fieldPosition="0">
        <references count="4">
          <reference field="11" count="1" selected="0">
            <x v="223"/>
          </reference>
          <reference field="14" count="1" selected="0">
            <x v="416"/>
          </reference>
          <reference field="18" count="1" selected="0">
            <x v="19"/>
          </reference>
          <reference field="19" count="1">
            <x v="2"/>
          </reference>
        </references>
      </pivotArea>
    </format>
    <format dxfId="3260">
      <pivotArea dataOnly="0" labelOnly="1" outline="0" fieldPosition="0">
        <references count="4">
          <reference field="11" count="1" selected="0">
            <x v="224"/>
          </reference>
          <reference field="14" count="1" selected="0">
            <x v="300"/>
          </reference>
          <reference field="18" count="1" selected="0">
            <x v="6"/>
          </reference>
          <reference field="19" count="1">
            <x v="23"/>
          </reference>
        </references>
      </pivotArea>
    </format>
    <format dxfId="3259">
      <pivotArea dataOnly="0" labelOnly="1" outline="0" fieldPosition="0">
        <references count="4">
          <reference field="11" count="1" selected="0">
            <x v="225"/>
          </reference>
          <reference field="14" count="1" selected="0">
            <x v="97"/>
          </reference>
          <reference field="18" count="1" selected="0">
            <x v="19"/>
          </reference>
          <reference field="19" count="1">
            <x v="2"/>
          </reference>
        </references>
      </pivotArea>
    </format>
    <format dxfId="3258">
      <pivotArea dataOnly="0" labelOnly="1" outline="0" fieldPosition="0">
        <references count="4">
          <reference field="11" count="1" selected="0">
            <x v="226"/>
          </reference>
          <reference field="14" count="1" selected="0">
            <x v="72"/>
          </reference>
          <reference field="18" count="1" selected="0">
            <x v="19"/>
          </reference>
          <reference field="19" count="1">
            <x v="2"/>
          </reference>
        </references>
      </pivotArea>
    </format>
    <format dxfId="3257">
      <pivotArea dataOnly="0" labelOnly="1" outline="0" fieldPosition="0">
        <references count="4">
          <reference field="11" count="1" selected="0">
            <x v="227"/>
          </reference>
          <reference field="14" count="1" selected="0">
            <x v="420"/>
          </reference>
          <reference field="18" count="1" selected="0">
            <x v="19"/>
          </reference>
          <reference field="19" count="1">
            <x v="2"/>
          </reference>
        </references>
      </pivotArea>
    </format>
    <format dxfId="3256">
      <pivotArea dataOnly="0" labelOnly="1" outline="0" fieldPosition="0">
        <references count="4">
          <reference field="11" count="1" selected="0">
            <x v="228"/>
          </reference>
          <reference field="14" count="1" selected="0">
            <x v="313"/>
          </reference>
          <reference field="18" count="1" selected="0">
            <x v="19"/>
          </reference>
          <reference field="19" count="1">
            <x v="2"/>
          </reference>
        </references>
      </pivotArea>
    </format>
    <format dxfId="3255">
      <pivotArea dataOnly="0" labelOnly="1" outline="0" fieldPosition="0">
        <references count="4">
          <reference field="11" count="1" selected="0">
            <x v="229"/>
          </reference>
          <reference field="14" count="1" selected="0">
            <x v="307"/>
          </reference>
          <reference field="18" count="1" selected="0">
            <x v="19"/>
          </reference>
          <reference field="19" count="1">
            <x v="2"/>
          </reference>
        </references>
      </pivotArea>
    </format>
    <format dxfId="3254">
      <pivotArea dataOnly="0" labelOnly="1" outline="0" fieldPosition="0">
        <references count="4">
          <reference field="11" count="1" selected="0">
            <x v="230"/>
          </reference>
          <reference field="14" count="1" selected="0">
            <x v="13"/>
          </reference>
          <reference field="18" count="1" selected="0">
            <x v="19"/>
          </reference>
          <reference field="19" count="1">
            <x v="2"/>
          </reference>
        </references>
      </pivotArea>
    </format>
    <format dxfId="3253">
      <pivotArea dataOnly="0" labelOnly="1" outline="0" fieldPosition="0">
        <references count="4">
          <reference field="11" count="1" selected="0">
            <x v="231"/>
          </reference>
          <reference field="14" count="1" selected="0">
            <x v="96"/>
          </reference>
          <reference field="18" count="1" selected="0">
            <x v="19"/>
          </reference>
          <reference field="19" count="1">
            <x v="2"/>
          </reference>
        </references>
      </pivotArea>
    </format>
    <format dxfId="3252">
      <pivotArea dataOnly="0" labelOnly="1" outline="0" fieldPosition="0">
        <references count="4">
          <reference field="11" count="1" selected="0">
            <x v="232"/>
          </reference>
          <reference field="14" count="1" selected="0">
            <x v="411"/>
          </reference>
          <reference field="18" count="1" selected="0">
            <x v="19"/>
          </reference>
          <reference field="19" count="1">
            <x v="2"/>
          </reference>
        </references>
      </pivotArea>
    </format>
    <format dxfId="3251">
      <pivotArea dataOnly="0" labelOnly="1" outline="0" fieldPosition="0">
        <references count="4">
          <reference field="11" count="1" selected="0">
            <x v="233"/>
          </reference>
          <reference field="14" count="1" selected="0">
            <x v="449"/>
          </reference>
          <reference field="18" count="1" selected="0">
            <x v="19"/>
          </reference>
          <reference field="19" count="1">
            <x v="2"/>
          </reference>
        </references>
      </pivotArea>
    </format>
    <format dxfId="3250">
      <pivotArea dataOnly="0" labelOnly="1" outline="0" fieldPosition="0">
        <references count="4">
          <reference field="11" count="1" selected="0">
            <x v="234"/>
          </reference>
          <reference field="14" count="1" selected="0">
            <x v="277"/>
          </reference>
          <reference field="18" count="1" selected="0">
            <x v="0"/>
          </reference>
          <reference field="19" count="1">
            <x v="16"/>
          </reference>
        </references>
      </pivotArea>
    </format>
    <format dxfId="3249">
      <pivotArea dataOnly="0" labelOnly="1" outline="0" fieldPosition="0">
        <references count="4">
          <reference field="11" count="1" selected="0">
            <x v="235"/>
          </reference>
          <reference field="14" count="1" selected="0">
            <x v="272"/>
          </reference>
          <reference field="18" count="1" selected="0">
            <x v="0"/>
          </reference>
          <reference field="19" count="1">
            <x v="16"/>
          </reference>
        </references>
      </pivotArea>
    </format>
    <format dxfId="3248">
      <pivotArea dataOnly="0" labelOnly="1" outline="0" fieldPosition="0">
        <references count="4">
          <reference field="11" count="1" selected="0">
            <x v="236"/>
          </reference>
          <reference field="14" count="1" selected="0">
            <x v="403"/>
          </reference>
          <reference field="18" count="1" selected="0">
            <x v="0"/>
          </reference>
          <reference field="19" count="1">
            <x v="16"/>
          </reference>
        </references>
      </pivotArea>
    </format>
    <format dxfId="3247">
      <pivotArea dataOnly="0" labelOnly="1" outline="0" fieldPosition="0">
        <references count="4">
          <reference field="11" count="1" selected="0">
            <x v="236"/>
          </reference>
          <reference field="14" count="1" selected="0">
            <x v="403"/>
          </reference>
          <reference field="18" count="1" selected="0">
            <x v="2"/>
          </reference>
          <reference field="19" count="1">
            <x v="22"/>
          </reference>
        </references>
      </pivotArea>
    </format>
    <format dxfId="3246">
      <pivotArea dataOnly="0" labelOnly="1" outline="0" fieldPosition="0">
        <references count="4">
          <reference field="11" count="1" selected="0">
            <x v="237"/>
          </reference>
          <reference field="14" count="1" selected="0">
            <x v="377"/>
          </reference>
          <reference field="18" count="1" selected="0">
            <x v="19"/>
          </reference>
          <reference field="19" count="1">
            <x v="2"/>
          </reference>
        </references>
      </pivotArea>
    </format>
    <format dxfId="3245">
      <pivotArea dataOnly="0" labelOnly="1" outline="0" fieldPosition="0">
        <references count="4">
          <reference field="11" count="1" selected="0">
            <x v="238"/>
          </reference>
          <reference field="14" count="1" selected="0">
            <x v="339"/>
          </reference>
          <reference field="18" count="1" selected="0">
            <x v="0"/>
          </reference>
          <reference field="19" count="1">
            <x v="16"/>
          </reference>
        </references>
      </pivotArea>
    </format>
    <format dxfId="3244">
      <pivotArea dataOnly="0" labelOnly="1" outline="0" fieldPosition="0">
        <references count="4">
          <reference field="11" count="1" selected="0">
            <x v="239"/>
          </reference>
          <reference field="14" count="1" selected="0">
            <x v="61"/>
          </reference>
          <reference field="18" count="1" selected="0">
            <x v="0"/>
          </reference>
          <reference field="19" count="1">
            <x v="16"/>
          </reference>
        </references>
      </pivotArea>
    </format>
    <format dxfId="3243">
      <pivotArea dataOnly="0" labelOnly="1" outline="0" fieldPosition="0">
        <references count="4">
          <reference field="11" count="1" selected="0">
            <x v="239"/>
          </reference>
          <reference field="14" count="1" selected="0">
            <x v="61"/>
          </reference>
          <reference field="18" count="1" selected="0">
            <x v="2"/>
          </reference>
          <reference field="19" count="1">
            <x v="22"/>
          </reference>
        </references>
      </pivotArea>
    </format>
    <format dxfId="3242">
      <pivotArea dataOnly="0" labelOnly="1" outline="0" fieldPosition="0">
        <references count="4">
          <reference field="11" count="1" selected="0">
            <x v="240"/>
          </reference>
          <reference field="14" count="1" selected="0">
            <x v="201"/>
          </reference>
          <reference field="18" count="1" selected="0">
            <x v="7"/>
          </reference>
          <reference field="19" count="1">
            <x v="4"/>
          </reference>
        </references>
      </pivotArea>
    </format>
    <format dxfId="3241">
      <pivotArea dataOnly="0" labelOnly="1" outline="0" fieldPosition="0">
        <references count="4">
          <reference field="11" count="1" selected="0">
            <x v="241"/>
          </reference>
          <reference field="14" count="1" selected="0">
            <x v="262"/>
          </reference>
          <reference field="18" count="1" selected="0">
            <x v="2"/>
          </reference>
          <reference field="19" count="1">
            <x v="22"/>
          </reference>
        </references>
      </pivotArea>
    </format>
    <format dxfId="3240">
      <pivotArea dataOnly="0" labelOnly="1" outline="0" fieldPosition="0">
        <references count="4">
          <reference field="11" count="1" selected="0">
            <x v="242"/>
          </reference>
          <reference field="14" count="1" selected="0">
            <x v="91"/>
          </reference>
          <reference field="18" count="1" selected="0">
            <x v="3"/>
          </reference>
          <reference field="19" count="1">
            <x v="15"/>
          </reference>
        </references>
      </pivotArea>
    </format>
    <format dxfId="3239">
      <pivotArea dataOnly="0" labelOnly="1" outline="0" fieldPosition="0">
        <references count="4">
          <reference field="11" count="1" selected="0">
            <x v="243"/>
          </reference>
          <reference field="14" count="1" selected="0">
            <x v="264"/>
          </reference>
          <reference field="18" count="1" selected="0">
            <x v="2"/>
          </reference>
          <reference field="19" count="1">
            <x v="22"/>
          </reference>
        </references>
      </pivotArea>
    </format>
    <format dxfId="3238">
      <pivotArea dataOnly="0" labelOnly="1" outline="0" fieldPosition="0">
        <references count="4">
          <reference field="11" count="1" selected="0">
            <x v="244"/>
          </reference>
          <reference field="14" count="1" selected="0">
            <x v="222"/>
          </reference>
          <reference field="18" count="1" selected="0">
            <x v="2"/>
          </reference>
          <reference field="19" count="1">
            <x v="22"/>
          </reference>
        </references>
      </pivotArea>
    </format>
    <format dxfId="3237">
      <pivotArea dataOnly="0" labelOnly="1" outline="0" fieldPosition="0">
        <references count="4">
          <reference field="11" count="1" selected="0">
            <x v="245"/>
          </reference>
          <reference field="14" count="1" selected="0">
            <x v="131"/>
          </reference>
          <reference field="18" count="1" selected="0">
            <x v="2"/>
          </reference>
          <reference field="19" count="1">
            <x v="22"/>
          </reference>
        </references>
      </pivotArea>
    </format>
    <format dxfId="3236">
      <pivotArea dataOnly="0" labelOnly="1" outline="0" fieldPosition="0">
        <references count="4">
          <reference field="11" count="1" selected="0">
            <x v="246"/>
          </reference>
          <reference field="14" count="1" selected="0">
            <x v="418"/>
          </reference>
          <reference field="18" count="1" selected="0">
            <x v="2"/>
          </reference>
          <reference field="19" count="1">
            <x v="22"/>
          </reference>
        </references>
      </pivotArea>
    </format>
    <format dxfId="3235">
      <pivotArea dataOnly="0" labelOnly="1" outline="0" fieldPosition="0">
        <references count="4">
          <reference field="11" count="1" selected="0">
            <x v="247"/>
          </reference>
          <reference field="14" count="1" selected="0">
            <x v="406"/>
          </reference>
          <reference field="18" count="1" selected="0">
            <x v="2"/>
          </reference>
          <reference field="19" count="1">
            <x v="22"/>
          </reference>
        </references>
      </pivotArea>
    </format>
    <format dxfId="3234">
      <pivotArea dataOnly="0" labelOnly="1" outline="0" fieldPosition="0">
        <references count="4">
          <reference field="11" count="1" selected="0">
            <x v="248"/>
          </reference>
          <reference field="14" count="1" selected="0">
            <x v="404"/>
          </reference>
          <reference field="18" count="1" selected="0">
            <x v="2"/>
          </reference>
          <reference field="19" count="1">
            <x v="22"/>
          </reference>
        </references>
      </pivotArea>
    </format>
    <format dxfId="3233">
      <pivotArea dataOnly="0" labelOnly="1" outline="0" fieldPosition="0">
        <references count="4">
          <reference field="11" count="1" selected="0">
            <x v="249"/>
          </reference>
          <reference field="14" count="1" selected="0">
            <x v="402"/>
          </reference>
          <reference field="18" count="1" selected="0">
            <x v="2"/>
          </reference>
          <reference field="19" count="1">
            <x v="22"/>
          </reference>
        </references>
      </pivotArea>
    </format>
    <format dxfId="3232">
      <pivotArea dataOnly="0" labelOnly="1" outline="0" fieldPosition="0">
        <references count="4">
          <reference field="11" count="1" selected="0">
            <x v="250"/>
          </reference>
          <reference field="14" count="1" selected="0">
            <x v="128"/>
          </reference>
          <reference field="18" count="1" selected="0">
            <x v="2"/>
          </reference>
          <reference field="19" count="1">
            <x v="22"/>
          </reference>
        </references>
      </pivotArea>
    </format>
    <format dxfId="3231">
      <pivotArea dataOnly="0" labelOnly="1" outline="0" fieldPosition="0">
        <references count="4">
          <reference field="11" count="1" selected="0">
            <x v="251"/>
          </reference>
          <reference field="14" count="1" selected="0">
            <x v="405"/>
          </reference>
          <reference field="18" count="1" selected="0">
            <x v="2"/>
          </reference>
          <reference field="19" count="1">
            <x v="22"/>
          </reference>
        </references>
      </pivotArea>
    </format>
    <format dxfId="3230">
      <pivotArea dataOnly="0" labelOnly="1" outline="0" fieldPosition="0">
        <references count="4">
          <reference field="11" count="1" selected="0">
            <x v="252"/>
          </reference>
          <reference field="14" count="1" selected="0">
            <x v="86"/>
          </reference>
          <reference field="18" count="1" selected="0">
            <x v="1"/>
          </reference>
          <reference field="19" count="1">
            <x v="18"/>
          </reference>
        </references>
      </pivotArea>
    </format>
    <format dxfId="3229">
      <pivotArea dataOnly="0" labelOnly="1" outline="0" fieldPosition="0">
        <references count="4">
          <reference field="11" count="1" selected="0">
            <x v="253"/>
          </reference>
          <reference field="14" count="1" selected="0">
            <x v="136"/>
          </reference>
          <reference field="18" count="1" selected="0">
            <x v="4"/>
          </reference>
          <reference field="19" count="1">
            <x v="10"/>
          </reference>
        </references>
      </pivotArea>
    </format>
    <format dxfId="3228">
      <pivotArea dataOnly="0" labelOnly="1" outline="0" fieldPosition="0">
        <references count="4">
          <reference field="11" count="1" selected="0">
            <x v="254"/>
          </reference>
          <reference field="14" count="1" selected="0">
            <x v="181"/>
          </reference>
          <reference field="18" count="1" selected="0">
            <x v="14"/>
          </reference>
          <reference field="19" count="1">
            <x v="9"/>
          </reference>
        </references>
      </pivotArea>
    </format>
    <format dxfId="3227">
      <pivotArea dataOnly="0" labelOnly="1" outline="0" fieldPosition="0">
        <references count="4">
          <reference field="11" count="1" selected="0">
            <x v="255"/>
          </reference>
          <reference field="14" count="1" selected="0">
            <x v="263"/>
          </reference>
          <reference field="18" count="1" selected="0">
            <x v="2"/>
          </reference>
          <reference field="19" count="1">
            <x v="22"/>
          </reference>
        </references>
      </pivotArea>
    </format>
    <format dxfId="3226">
      <pivotArea dataOnly="0" labelOnly="1" outline="0" fieldPosition="0">
        <references count="4">
          <reference field="11" count="1" selected="0">
            <x v="256"/>
          </reference>
          <reference field="14" count="1" selected="0">
            <x v="133"/>
          </reference>
          <reference field="18" count="1" selected="0">
            <x v="2"/>
          </reference>
          <reference field="19" count="1">
            <x v="22"/>
          </reference>
        </references>
      </pivotArea>
    </format>
    <format dxfId="3225">
      <pivotArea dataOnly="0" labelOnly="1" outline="0" fieldPosition="0">
        <references count="4">
          <reference field="11" count="1" selected="0">
            <x v="257"/>
          </reference>
          <reference field="14" count="1" selected="0">
            <x v="187"/>
          </reference>
          <reference field="18" count="1" selected="0">
            <x v="2"/>
          </reference>
          <reference field="19" count="1">
            <x v="22"/>
          </reference>
        </references>
      </pivotArea>
    </format>
    <format dxfId="3224">
      <pivotArea dataOnly="0" labelOnly="1" outline="0" fieldPosition="0">
        <references count="4">
          <reference field="11" count="1" selected="0">
            <x v="258"/>
          </reference>
          <reference field="14" count="1" selected="0">
            <x v="417"/>
          </reference>
          <reference field="18" count="1" selected="0">
            <x v="0"/>
          </reference>
          <reference field="19" count="1">
            <x v="16"/>
          </reference>
        </references>
      </pivotArea>
    </format>
    <format dxfId="3223">
      <pivotArea dataOnly="0" labelOnly="1" outline="0" fieldPosition="0">
        <references count="4">
          <reference field="11" count="1" selected="0">
            <x v="259"/>
          </reference>
          <reference field="14" count="1" selected="0">
            <x v="371"/>
          </reference>
          <reference field="18" count="1" selected="0">
            <x v="16"/>
          </reference>
          <reference field="19" count="1">
            <x v="24"/>
          </reference>
        </references>
      </pivotArea>
    </format>
    <format dxfId="3222">
      <pivotArea dataOnly="0" labelOnly="1" outline="0" fieldPosition="0">
        <references count="4">
          <reference field="11" count="1" selected="0">
            <x v="260"/>
          </reference>
          <reference field="14" count="1" selected="0">
            <x v="157"/>
          </reference>
          <reference field="18" count="1" selected="0">
            <x v="2"/>
          </reference>
          <reference field="19" count="1">
            <x v="22"/>
          </reference>
        </references>
      </pivotArea>
    </format>
    <format dxfId="3221">
      <pivotArea dataOnly="0" labelOnly="1" outline="0" fieldPosition="0">
        <references count="4">
          <reference field="11" count="1" selected="0">
            <x v="261"/>
          </reference>
          <reference field="14" count="1" selected="0">
            <x v="223"/>
          </reference>
          <reference field="18" count="1" selected="0">
            <x v="0"/>
          </reference>
          <reference field="19" count="1">
            <x v="16"/>
          </reference>
        </references>
      </pivotArea>
    </format>
    <format dxfId="3220">
      <pivotArea dataOnly="0" labelOnly="1" outline="0" fieldPosition="0">
        <references count="4">
          <reference field="11" count="1" selected="0">
            <x v="261"/>
          </reference>
          <reference field="14" count="1" selected="0">
            <x v="223"/>
          </reference>
          <reference field="18" count="1" selected="0">
            <x v="2"/>
          </reference>
          <reference field="19" count="1">
            <x v="22"/>
          </reference>
        </references>
      </pivotArea>
    </format>
    <format dxfId="3219">
      <pivotArea dataOnly="0" labelOnly="1" outline="0" fieldPosition="0">
        <references count="4">
          <reference field="11" count="1" selected="0">
            <x v="262"/>
          </reference>
          <reference field="14" count="1" selected="0">
            <x v="311"/>
          </reference>
          <reference field="18" count="1" selected="0">
            <x v="19"/>
          </reference>
          <reference field="19" count="1">
            <x v="2"/>
          </reference>
        </references>
      </pivotArea>
    </format>
    <format dxfId="3218">
      <pivotArea dataOnly="0" labelOnly="1" outline="0" fieldPosition="0">
        <references count="4">
          <reference field="11" count="1" selected="0">
            <x v="263"/>
          </reference>
          <reference field="14" count="1" selected="0">
            <x v="114"/>
          </reference>
          <reference field="18" count="1" selected="0">
            <x v="6"/>
          </reference>
          <reference field="19" count="1">
            <x v="23"/>
          </reference>
        </references>
      </pivotArea>
    </format>
    <format dxfId="3217">
      <pivotArea dataOnly="0" labelOnly="1" outline="0" fieldPosition="0">
        <references count="4">
          <reference field="11" count="1" selected="0">
            <x v="264"/>
          </reference>
          <reference field="14" count="1" selected="0">
            <x v="154"/>
          </reference>
          <reference field="18" count="1" selected="0">
            <x v="2"/>
          </reference>
          <reference field="19" count="1">
            <x v="22"/>
          </reference>
        </references>
      </pivotArea>
    </format>
    <format dxfId="3216">
      <pivotArea dataOnly="0" labelOnly="1" outline="0" fieldPosition="0">
        <references count="4">
          <reference field="11" count="1" selected="0">
            <x v="265"/>
          </reference>
          <reference field="14" count="1" selected="0">
            <x v="166"/>
          </reference>
          <reference field="18" count="1" selected="0">
            <x v="2"/>
          </reference>
          <reference field="19" count="1">
            <x v="22"/>
          </reference>
        </references>
      </pivotArea>
    </format>
    <format dxfId="3215">
      <pivotArea dataOnly="0" labelOnly="1" outline="0" fieldPosition="0">
        <references count="4">
          <reference field="11" count="1" selected="0">
            <x v="266"/>
          </reference>
          <reference field="14" count="1" selected="0">
            <x v="152"/>
          </reference>
          <reference field="18" count="1" selected="0">
            <x v="2"/>
          </reference>
          <reference field="19" count="1">
            <x v="22"/>
          </reference>
        </references>
      </pivotArea>
    </format>
    <format dxfId="3214">
      <pivotArea dataOnly="0" labelOnly="1" outline="0" fieldPosition="0">
        <references count="4">
          <reference field="11" count="1" selected="0">
            <x v="267"/>
          </reference>
          <reference field="14" count="1" selected="0">
            <x v="374"/>
          </reference>
          <reference field="18" count="1" selected="0">
            <x v="0"/>
          </reference>
          <reference field="19" count="1">
            <x v="16"/>
          </reference>
        </references>
      </pivotArea>
    </format>
    <format dxfId="3213">
      <pivotArea dataOnly="0" labelOnly="1" outline="0" fieldPosition="0">
        <references count="4">
          <reference field="11" count="1" selected="0">
            <x v="267"/>
          </reference>
          <reference field="14" count="1" selected="0">
            <x v="374"/>
          </reference>
          <reference field="18" count="1" selected="0">
            <x v="2"/>
          </reference>
          <reference field="19" count="1">
            <x v="22"/>
          </reference>
        </references>
      </pivotArea>
    </format>
    <format dxfId="3212">
      <pivotArea dataOnly="0" labelOnly="1" outline="0" fieldPosition="0">
        <references count="4">
          <reference field="11" count="1" selected="0">
            <x v="268"/>
          </reference>
          <reference field="14" count="1" selected="0">
            <x v="353"/>
          </reference>
          <reference field="18" count="1" selected="0">
            <x v="2"/>
          </reference>
          <reference field="19" count="1">
            <x v="22"/>
          </reference>
        </references>
      </pivotArea>
    </format>
    <format dxfId="3211">
      <pivotArea dataOnly="0" labelOnly="1" outline="0" fieldPosition="0">
        <references count="4">
          <reference field="11" count="1" selected="0">
            <x v="269"/>
          </reference>
          <reference field="14" count="1" selected="0">
            <x v="124"/>
          </reference>
          <reference field="18" count="1" selected="0">
            <x v="4"/>
          </reference>
          <reference field="19" count="1">
            <x v="10"/>
          </reference>
        </references>
      </pivotArea>
    </format>
    <format dxfId="3210">
      <pivotArea dataOnly="0" labelOnly="1" outline="0" fieldPosition="0">
        <references count="4">
          <reference field="11" count="1" selected="0">
            <x v="270"/>
          </reference>
          <reference field="14" count="1" selected="0">
            <x v="126"/>
          </reference>
          <reference field="18" count="1" selected="0">
            <x v="2"/>
          </reference>
          <reference field="19" count="1">
            <x v="22"/>
          </reference>
        </references>
      </pivotArea>
    </format>
    <format dxfId="3209">
      <pivotArea dataOnly="0" labelOnly="1" outline="0" fieldPosition="0">
        <references count="4">
          <reference field="11" count="1" selected="0">
            <x v="271"/>
          </reference>
          <reference field="14" count="1" selected="0">
            <x v="239"/>
          </reference>
          <reference field="18" count="1" selected="0">
            <x v="19"/>
          </reference>
          <reference field="19" count="1">
            <x v="2"/>
          </reference>
        </references>
      </pivotArea>
    </format>
    <format dxfId="3208">
      <pivotArea dataOnly="0" labelOnly="1" outline="0" fieldPosition="0">
        <references count="4">
          <reference field="11" count="1" selected="0">
            <x v="272"/>
          </reference>
          <reference field="14" count="1" selected="0">
            <x v="42"/>
          </reference>
          <reference field="18" count="1" selected="0">
            <x v="2"/>
          </reference>
          <reference field="19" count="1">
            <x v="22"/>
          </reference>
        </references>
      </pivotArea>
    </format>
    <format dxfId="3207">
      <pivotArea dataOnly="0" labelOnly="1" outline="0" fieldPosition="0">
        <references count="4">
          <reference field="11" count="1" selected="0">
            <x v="273"/>
          </reference>
          <reference field="14" count="1" selected="0">
            <x v="342"/>
          </reference>
          <reference field="18" count="1" selected="0">
            <x v="1"/>
          </reference>
          <reference field="19" count="1">
            <x v="18"/>
          </reference>
        </references>
      </pivotArea>
    </format>
    <format dxfId="3206">
      <pivotArea dataOnly="0" labelOnly="1" outline="0" fieldPosition="0">
        <references count="4">
          <reference field="11" count="1" selected="0">
            <x v="274"/>
          </reference>
          <reference field="14" count="1" selected="0">
            <x v="372"/>
          </reference>
          <reference field="18" count="1" selected="0">
            <x v="15"/>
          </reference>
          <reference field="19" count="1">
            <x v="25"/>
          </reference>
        </references>
      </pivotArea>
    </format>
    <format dxfId="3205">
      <pivotArea dataOnly="0" labelOnly="1" outline="0" fieldPosition="0">
        <references count="4">
          <reference field="11" count="1" selected="0">
            <x v="275"/>
          </reference>
          <reference field="14" count="1" selected="0">
            <x v="51"/>
          </reference>
          <reference field="18" count="1" selected="0">
            <x v="4"/>
          </reference>
          <reference field="19" count="1">
            <x v="10"/>
          </reference>
        </references>
      </pivotArea>
    </format>
    <format dxfId="3204">
      <pivotArea dataOnly="0" labelOnly="1" outline="0" fieldPosition="0">
        <references count="4">
          <reference field="11" count="1" selected="0">
            <x v="276"/>
          </reference>
          <reference field="14" count="1" selected="0">
            <x v="290"/>
          </reference>
          <reference field="18" count="1" selected="0">
            <x v="0"/>
          </reference>
          <reference field="19" count="1">
            <x v="16"/>
          </reference>
        </references>
      </pivotArea>
    </format>
    <format dxfId="3203">
      <pivotArea dataOnly="0" labelOnly="1" outline="0" fieldPosition="0">
        <references count="4">
          <reference field="11" count="1" selected="0">
            <x v="277"/>
          </reference>
          <reference field="14" count="1" selected="0">
            <x v="180"/>
          </reference>
          <reference field="18" count="1" selected="0">
            <x v="16"/>
          </reference>
          <reference field="19" count="1">
            <x v="24"/>
          </reference>
        </references>
      </pivotArea>
    </format>
    <format dxfId="3202">
      <pivotArea dataOnly="0" labelOnly="1" outline="0" fieldPosition="0">
        <references count="4">
          <reference field="11" count="1" selected="0">
            <x v="278"/>
          </reference>
          <reference field="14" count="1" selected="0">
            <x v="164"/>
          </reference>
          <reference field="18" count="1" selected="0">
            <x v="2"/>
          </reference>
          <reference field="19" count="1">
            <x v="22"/>
          </reference>
        </references>
      </pivotArea>
    </format>
    <format dxfId="3201">
      <pivotArea dataOnly="0" labelOnly="1" outline="0" fieldPosition="0">
        <references count="4">
          <reference field="11" count="1" selected="0">
            <x v="279"/>
          </reference>
          <reference field="14" count="1" selected="0">
            <x v="153"/>
          </reference>
          <reference field="18" count="1" selected="0">
            <x v="2"/>
          </reference>
          <reference field="19" count="1">
            <x v="22"/>
          </reference>
        </references>
      </pivotArea>
    </format>
    <format dxfId="3200">
      <pivotArea dataOnly="0" labelOnly="1" outline="0" fieldPosition="0">
        <references count="4">
          <reference field="11" count="1" selected="0">
            <x v="280"/>
          </reference>
          <reference field="14" count="1" selected="0">
            <x v="373"/>
          </reference>
          <reference field="18" count="1" selected="0">
            <x v="1"/>
          </reference>
          <reference field="19" count="1">
            <x v="18"/>
          </reference>
        </references>
      </pivotArea>
    </format>
    <format dxfId="3199">
      <pivotArea dataOnly="0" labelOnly="1" outline="0" fieldPosition="0">
        <references count="4">
          <reference field="11" count="1" selected="0">
            <x v="280"/>
          </reference>
          <reference field="14" count="1" selected="0">
            <x v="373"/>
          </reference>
          <reference field="18" count="1" selected="0">
            <x v="11"/>
          </reference>
          <reference field="19" count="1">
            <x v="20"/>
          </reference>
        </references>
      </pivotArea>
    </format>
    <format dxfId="3198">
      <pivotArea dataOnly="0" labelOnly="1" outline="0" fieldPosition="0">
        <references count="4">
          <reference field="11" count="1" selected="0">
            <x v="281"/>
          </reference>
          <reference field="14" count="1" selected="0">
            <x v="165"/>
          </reference>
          <reference field="18" count="1" selected="0">
            <x v="2"/>
          </reference>
          <reference field="19" count="1">
            <x v="22"/>
          </reference>
        </references>
      </pivotArea>
    </format>
    <format dxfId="3197">
      <pivotArea dataOnly="0" labelOnly="1" outline="0" fieldPosition="0">
        <references count="4">
          <reference field="11" count="1" selected="0">
            <x v="282"/>
          </reference>
          <reference field="14" count="1" selected="0">
            <x v="357"/>
          </reference>
          <reference field="18" count="1" selected="0">
            <x v="0"/>
          </reference>
          <reference field="19" count="1">
            <x v="16"/>
          </reference>
        </references>
      </pivotArea>
    </format>
    <format dxfId="3196">
      <pivotArea dataOnly="0" labelOnly="1" outline="0" fieldPosition="0">
        <references count="4">
          <reference field="11" count="1" selected="0">
            <x v="283"/>
          </reference>
          <reference field="14" count="1" selected="0">
            <x v="162"/>
          </reference>
          <reference field="18" count="1" selected="0">
            <x v="2"/>
          </reference>
          <reference field="19" count="1">
            <x v="22"/>
          </reference>
        </references>
      </pivotArea>
    </format>
    <format dxfId="3195">
      <pivotArea dataOnly="0" labelOnly="1" outline="0" fieldPosition="0">
        <references count="4">
          <reference field="11" count="1" selected="0">
            <x v="284"/>
          </reference>
          <reference field="14" count="1" selected="0">
            <x v="149"/>
          </reference>
          <reference field="18" count="1" selected="0">
            <x v="14"/>
          </reference>
          <reference field="19" count="1">
            <x v="9"/>
          </reference>
        </references>
      </pivotArea>
    </format>
    <format dxfId="3194">
      <pivotArea dataOnly="0" labelOnly="1" outline="0" fieldPosition="0">
        <references count="4">
          <reference field="11" count="1" selected="0">
            <x v="285"/>
          </reference>
          <reference field="14" count="1" selected="0">
            <x v="365"/>
          </reference>
          <reference field="18" count="1" selected="0">
            <x v="3"/>
          </reference>
          <reference field="19" count="1">
            <x v="15"/>
          </reference>
        </references>
      </pivotArea>
    </format>
    <format dxfId="3193">
      <pivotArea dataOnly="0" labelOnly="1" outline="0" fieldPosition="0">
        <references count="4">
          <reference field="11" count="1" selected="0">
            <x v="286"/>
          </reference>
          <reference field="14" count="1" selected="0">
            <x v="217"/>
          </reference>
          <reference field="18" count="1" selected="0">
            <x v="14"/>
          </reference>
          <reference field="19" count="1">
            <x v="9"/>
          </reference>
        </references>
      </pivotArea>
    </format>
    <format dxfId="3192">
      <pivotArea dataOnly="0" labelOnly="1" outline="0" fieldPosition="0">
        <references count="4">
          <reference field="11" count="1" selected="0">
            <x v="287"/>
          </reference>
          <reference field="14" count="1" selected="0">
            <x v="197"/>
          </reference>
          <reference field="18" count="1" selected="0">
            <x v="2"/>
          </reference>
          <reference field="19" count="1">
            <x v="22"/>
          </reference>
        </references>
      </pivotArea>
    </format>
    <format dxfId="3191">
      <pivotArea dataOnly="0" labelOnly="1" outline="0" fieldPosition="0">
        <references count="4">
          <reference field="11" count="1" selected="0">
            <x v="288"/>
          </reference>
          <reference field="14" count="1" selected="0">
            <x v="389"/>
          </reference>
          <reference field="18" count="1" selected="0">
            <x v="2"/>
          </reference>
          <reference field="19" count="1">
            <x v="22"/>
          </reference>
        </references>
      </pivotArea>
    </format>
    <format dxfId="3190">
      <pivotArea dataOnly="0" labelOnly="1" outline="0" fieldPosition="0">
        <references count="4">
          <reference field="11" count="1" selected="0">
            <x v="289"/>
          </reference>
          <reference field="14" count="1" selected="0">
            <x v="171"/>
          </reference>
          <reference field="18" count="1" selected="0">
            <x v="2"/>
          </reference>
          <reference field="19" count="1">
            <x v="22"/>
          </reference>
        </references>
      </pivotArea>
    </format>
    <format dxfId="3189">
      <pivotArea dataOnly="0" labelOnly="1" outline="0" fieldPosition="0">
        <references count="4">
          <reference field="11" count="1" selected="0">
            <x v="290"/>
          </reference>
          <reference field="14" count="1" selected="0">
            <x v="183"/>
          </reference>
          <reference field="18" count="1" selected="0">
            <x v="3"/>
          </reference>
          <reference field="19" count="1">
            <x v="15"/>
          </reference>
        </references>
      </pivotArea>
    </format>
    <format dxfId="3188">
      <pivotArea dataOnly="0" labelOnly="1" outline="0" fieldPosition="0">
        <references count="4">
          <reference field="11" count="1" selected="0">
            <x v="290"/>
          </reference>
          <reference field="14" count="1" selected="0">
            <x v="183"/>
          </reference>
          <reference field="18" count="1" selected="0">
            <x v="6"/>
          </reference>
          <reference field="19" count="1">
            <x v="23"/>
          </reference>
        </references>
      </pivotArea>
    </format>
    <format dxfId="3187">
      <pivotArea dataOnly="0" labelOnly="1" outline="0" fieldPosition="0">
        <references count="4">
          <reference field="11" count="1" selected="0">
            <x v="291"/>
          </reference>
          <reference field="14" count="1" selected="0">
            <x v="3"/>
          </reference>
          <reference field="18" count="1" selected="0">
            <x v="2"/>
          </reference>
          <reference field="19" count="1">
            <x v="22"/>
          </reference>
        </references>
      </pivotArea>
    </format>
    <format dxfId="3186">
      <pivotArea dataOnly="0" labelOnly="1" outline="0" fieldPosition="0">
        <references count="4">
          <reference field="11" count="1" selected="0">
            <x v="292"/>
          </reference>
          <reference field="14" count="1" selected="0">
            <x v="172"/>
          </reference>
          <reference field="18" count="1" selected="0">
            <x v="2"/>
          </reference>
          <reference field="19" count="1">
            <x v="22"/>
          </reference>
        </references>
      </pivotArea>
    </format>
    <format dxfId="3185">
      <pivotArea dataOnly="0" labelOnly="1" outline="0" fieldPosition="0">
        <references count="4">
          <reference field="11" count="1" selected="0">
            <x v="293"/>
          </reference>
          <reference field="14" count="1" selected="0">
            <x v="168"/>
          </reference>
          <reference field="18" count="1" selected="0">
            <x v="14"/>
          </reference>
          <reference field="19" count="1">
            <x v="9"/>
          </reference>
        </references>
      </pivotArea>
    </format>
    <format dxfId="3184">
      <pivotArea dataOnly="0" labelOnly="1" outline="0" fieldPosition="0">
        <references count="4">
          <reference field="11" count="1" selected="0">
            <x v="294"/>
          </reference>
          <reference field="14" count="1" selected="0">
            <x v="67"/>
          </reference>
          <reference field="18" count="1" selected="0">
            <x v="0"/>
          </reference>
          <reference field="19" count="1">
            <x v="16"/>
          </reference>
        </references>
      </pivotArea>
    </format>
    <format dxfId="3183">
      <pivotArea dataOnly="0" labelOnly="1" outline="0" fieldPosition="0">
        <references count="4">
          <reference field="11" count="1" selected="0">
            <x v="295"/>
          </reference>
          <reference field="14" count="1" selected="0">
            <x v="64"/>
          </reference>
          <reference field="18" count="1" selected="0">
            <x v="1"/>
          </reference>
          <reference field="19" count="1">
            <x v="18"/>
          </reference>
        </references>
      </pivotArea>
    </format>
    <format dxfId="3182">
      <pivotArea dataOnly="0" labelOnly="1" outline="0" fieldPosition="0">
        <references count="4">
          <reference field="11" count="1" selected="0">
            <x v="296"/>
          </reference>
          <reference field="14" count="1" selected="0">
            <x v="143"/>
          </reference>
          <reference field="18" count="1" selected="0">
            <x v="3"/>
          </reference>
          <reference field="19" count="1">
            <x v="15"/>
          </reference>
        </references>
      </pivotArea>
    </format>
    <format dxfId="3181">
      <pivotArea dataOnly="0" labelOnly="1" outline="0" fieldPosition="0">
        <references count="4">
          <reference field="11" count="1" selected="0">
            <x v="297"/>
          </reference>
          <reference field="14" count="1" selected="0">
            <x v="34"/>
          </reference>
          <reference field="18" count="1" selected="0">
            <x v="20"/>
          </reference>
          <reference field="19" count="1">
            <x v="19"/>
          </reference>
        </references>
      </pivotArea>
    </format>
    <format dxfId="3180">
      <pivotArea dataOnly="0" labelOnly="1" outline="0" fieldPosition="0">
        <references count="4">
          <reference field="11" count="1" selected="0">
            <x v="298"/>
          </reference>
          <reference field="14" count="1" selected="0">
            <x v="310"/>
          </reference>
          <reference field="18" count="1" selected="0">
            <x v="19"/>
          </reference>
          <reference field="19" count="1">
            <x v="2"/>
          </reference>
        </references>
      </pivotArea>
    </format>
    <format dxfId="3179">
      <pivotArea dataOnly="0" labelOnly="1" outline="0" fieldPosition="0">
        <references count="4">
          <reference field="11" count="1" selected="0">
            <x v="299"/>
          </reference>
          <reference field="14" count="1" selected="0">
            <x v="129"/>
          </reference>
          <reference field="18" count="1" selected="0">
            <x v="2"/>
          </reference>
          <reference field="19" count="1">
            <x v="22"/>
          </reference>
        </references>
      </pivotArea>
    </format>
    <format dxfId="3178">
      <pivotArea dataOnly="0" labelOnly="1" outline="0" fieldPosition="0">
        <references count="4">
          <reference field="11" count="1" selected="0">
            <x v="300"/>
          </reference>
          <reference field="14" count="1" selected="0">
            <x v="393"/>
          </reference>
          <reference field="18" count="1" selected="0">
            <x v="2"/>
          </reference>
          <reference field="19" count="1">
            <x v="22"/>
          </reference>
        </references>
      </pivotArea>
    </format>
    <format dxfId="3177">
      <pivotArea dataOnly="0" labelOnly="1" outline="0" fieldPosition="0">
        <references count="4">
          <reference field="11" count="1" selected="0">
            <x v="301"/>
          </reference>
          <reference field="14" count="1" selected="0">
            <x v="100"/>
          </reference>
          <reference field="18" count="1" selected="0">
            <x v="0"/>
          </reference>
          <reference field="19" count="1">
            <x v="16"/>
          </reference>
        </references>
      </pivotArea>
    </format>
    <format dxfId="3176">
      <pivotArea dataOnly="0" labelOnly="1" outline="0" fieldPosition="0">
        <references count="4">
          <reference field="11" count="1" selected="0">
            <x v="302"/>
          </reference>
          <reference field="14" count="1" selected="0">
            <x v="62"/>
          </reference>
          <reference field="18" count="1" selected="0">
            <x v="0"/>
          </reference>
          <reference field="19" count="1">
            <x v="16"/>
          </reference>
        </references>
      </pivotArea>
    </format>
    <format dxfId="3175">
      <pivotArea dataOnly="0" labelOnly="1" outline="0" fieldPosition="0">
        <references count="4">
          <reference field="11" count="1" selected="0">
            <x v="302"/>
          </reference>
          <reference field="14" count="1" selected="0">
            <x v="62"/>
          </reference>
          <reference field="18" count="1" selected="0">
            <x v="2"/>
          </reference>
          <reference field="19" count="1">
            <x v="22"/>
          </reference>
        </references>
      </pivotArea>
    </format>
    <format dxfId="3174">
      <pivotArea dataOnly="0" labelOnly="1" outline="0" fieldPosition="0">
        <references count="4">
          <reference field="11" count="1" selected="0">
            <x v="303"/>
          </reference>
          <reference field="14" count="1" selected="0">
            <x v="122"/>
          </reference>
          <reference field="18" count="1" selected="0">
            <x v="2"/>
          </reference>
          <reference field="19" count="1">
            <x v="22"/>
          </reference>
        </references>
      </pivotArea>
    </format>
    <format dxfId="3173">
      <pivotArea dataOnly="0" labelOnly="1" outline="0" fieldPosition="0">
        <references count="4">
          <reference field="11" count="1" selected="0">
            <x v="304"/>
          </reference>
          <reference field="14" count="1" selected="0">
            <x v="464"/>
          </reference>
          <reference field="18" count="1" selected="0">
            <x v="0"/>
          </reference>
          <reference field="19" count="1">
            <x v="16"/>
          </reference>
        </references>
      </pivotArea>
    </format>
    <format dxfId="3172">
      <pivotArea dataOnly="0" labelOnly="1" outline="0" fieldPosition="0">
        <references count="4">
          <reference field="11" count="1" selected="0">
            <x v="304"/>
          </reference>
          <reference field="14" count="1" selected="0">
            <x v="464"/>
          </reference>
          <reference field="18" count="1" selected="0">
            <x v="2"/>
          </reference>
          <reference field="19" count="1">
            <x v="22"/>
          </reference>
        </references>
      </pivotArea>
    </format>
    <format dxfId="3171">
      <pivotArea dataOnly="0" labelOnly="1" outline="0" fieldPosition="0">
        <references count="4">
          <reference field="11" count="1" selected="0">
            <x v="305"/>
          </reference>
          <reference field="14" count="1" selected="0">
            <x v="121"/>
          </reference>
          <reference field="18" count="1" selected="0">
            <x v="2"/>
          </reference>
          <reference field="19" count="1">
            <x v="22"/>
          </reference>
        </references>
      </pivotArea>
    </format>
    <format dxfId="3170">
      <pivotArea dataOnly="0" labelOnly="1" outline="0" fieldPosition="0">
        <references count="4">
          <reference field="11" count="1" selected="0">
            <x v="306"/>
          </reference>
          <reference field="14" count="1" selected="0">
            <x v="178"/>
          </reference>
          <reference field="18" count="1" selected="0">
            <x v="6"/>
          </reference>
          <reference field="19" count="1">
            <x v="23"/>
          </reference>
        </references>
      </pivotArea>
    </format>
    <format dxfId="3169">
      <pivotArea dataOnly="0" labelOnly="1" outline="0" fieldPosition="0">
        <references count="4">
          <reference field="11" count="1" selected="0">
            <x v="307"/>
          </reference>
          <reference field="14" count="1" selected="0">
            <x v="120"/>
          </reference>
          <reference field="18" count="1" selected="0">
            <x v="2"/>
          </reference>
          <reference field="19" count="1">
            <x v="22"/>
          </reference>
        </references>
      </pivotArea>
    </format>
    <format dxfId="3168">
      <pivotArea dataOnly="0" labelOnly="1" outline="0" fieldPosition="0">
        <references count="4">
          <reference field="11" count="1" selected="0">
            <x v="308"/>
          </reference>
          <reference field="14" count="1" selected="0">
            <x v="127"/>
          </reference>
          <reference field="18" count="1" selected="0">
            <x v="0"/>
          </reference>
          <reference field="19" count="1">
            <x v="16"/>
          </reference>
        </references>
      </pivotArea>
    </format>
    <format dxfId="3167">
      <pivotArea dataOnly="0" labelOnly="1" outline="0" fieldPosition="0">
        <references count="4">
          <reference field="11" count="1" selected="0">
            <x v="308"/>
          </reference>
          <reference field="14" count="1" selected="0">
            <x v="127"/>
          </reference>
          <reference field="18" count="1" selected="0">
            <x v="2"/>
          </reference>
          <reference field="19" count="1">
            <x v="22"/>
          </reference>
        </references>
      </pivotArea>
    </format>
    <format dxfId="3166">
      <pivotArea dataOnly="0" labelOnly="1" outline="0" fieldPosition="0">
        <references count="4">
          <reference field="11" count="1" selected="0">
            <x v="308"/>
          </reference>
          <reference field="14" count="1" selected="0">
            <x v="127"/>
          </reference>
          <reference field="18" count="1" selected="0">
            <x v="12"/>
          </reference>
          <reference field="19" count="1">
            <x v="13"/>
          </reference>
        </references>
      </pivotArea>
    </format>
    <format dxfId="3165">
      <pivotArea dataOnly="0" labelOnly="1" outline="0" fieldPosition="0">
        <references count="4">
          <reference field="11" count="1" selected="0">
            <x v="309"/>
          </reference>
          <reference field="14" count="1" selected="0">
            <x v="316"/>
          </reference>
          <reference field="18" count="1" selected="0">
            <x v="0"/>
          </reference>
          <reference field="19" count="1">
            <x v="16"/>
          </reference>
        </references>
      </pivotArea>
    </format>
    <format dxfId="3164">
      <pivotArea dataOnly="0" labelOnly="1" outline="0" fieldPosition="0">
        <references count="4">
          <reference field="11" count="1" selected="0">
            <x v="310"/>
          </reference>
          <reference field="14" count="1" selected="0">
            <x v="376"/>
          </reference>
          <reference field="18" count="1" selected="0">
            <x v="2"/>
          </reference>
          <reference field="19" count="1">
            <x v="22"/>
          </reference>
        </references>
      </pivotArea>
    </format>
    <format dxfId="3163">
      <pivotArea dataOnly="0" labelOnly="1" outline="0" fieldPosition="0">
        <references count="4">
          <reference field="11" count="1" selected="0">
            <x v="311"/>
          </reference>
          <reference field="14" count="1" selected="0">
            <x v="302"/>
          </reference>
          <reference field="18" count="1" selected="0">
            <x v="6"/>
          </reference>
          <reference field="19" count="1">
            <x v="23"/>
          </reference>
        </references>
      </pivotArea>
    </format>
    <format dxfId="3162">
      <pivotArea dataOnly="0" labelOnly="1" outline="0" fieldPosition="0">
        <references count="4">
          <reference field="11" count="1" selected="0">
            <x v="311"/>
          </reference>
          <reference field="14" count="1" selected="0">
            <x v="302"/>
          </reference>
          <reference field="18" count="1" selected="0">
            <x v="27"/>
          </reference>
          <reference field="19" count="1">
            <x v="17"/>
          </reference>
        </references>
      </pivotArea>
    </format>
    <format dxfId="3161">
      <pivotArea dataOnly="0" labelOnly="1" outline="0" fieldPosition="0">
        <references count="4">
          <reference field="11" count="1" selected="0">
            <x v="312"/>
          </reference>
          <reference field="14" count="1" selected="0">
            <x v="130"/>
          </reference>
          <reference field="18" count="1" selected="0">
            <x v="0"/>
          </reference>
          <reference field="19" count="1">
            <x v="16"/>
          </reference>
        </references>
      </pivotArea>
    </format>
    <format dxfId="3160">
      <pivotArea dataOnly="0" labelOnly="1" outline="0" fieldPosition="0">
        <references count="4">
          <reference field="11" count="1" selected="0">
            <x v="312"/>
          </reference>
          <reference field="14" count="1" selected="0">
            <x v="130"/>
          </reference>
          <reference field="18" count="1" selected="0">
            <x v="14"/>
          </reference>
          <reference field="19" count="1">
            <x v="9"/>
          </reference>
        </references>
      </pivotArea>
    </format>
    <format dxfId="3159">
      <pivotArea dataOnly="0" labelOnly="1" outline="0" fieldPosition="0">
        <references count="4">
          <reference field="11" count="1" selected="0">
            <x v="313"/>
          </reference>
          <reference field="14" count="1" selected="0">
            <x v="123"/>
          </reference>
          <reference field="18" count="1" selected="0">
            <x v="7"/>
          </reference>
          <reference field="19" count="1">
            <x v="4"/>
          </reference>
        </references>
      </pivotArea>
    </format>
    <format dxfId="3158">
      <pivotArea dataOnly="0" labelOnly="1" outline="0" fieldPosition="0">
        <references count="4">
          <reference field="11" count="1" selected="0">
            <x v="314"/>
          </reference>
          <reference field="14" count="1" selected="0">
            <x v="8"/>
          </reference>
          <reference field="18" count="1" selected="0">
            <x v="2"/>
          </reference>
          <reference field="19" count="1">
            <x v="22"/>
          </reference>
        </references>
      </pivotArea>
    </format>
    <format dxfId="3157">
      <pivotArea dataOnly="0" labelOnly="1" outline="0" fieldPosition="0">
        <references count="4">
          <reference field="11" count="1" selected="0">
            <x v="315"/>
          </reference>
          <reference field="14" count="1" selected="0">
            <x v="247"/>
          </reference>
          <reference field="18" count="1" selected="0">
            <x v="14"/>
          </reference>
          <reference field="19" count="1">
            <x v="9"/>
          </reference>
        </references>
      </pivotArea>
    </format>
    <format dxfId="3156">
      <pivotArea dataOnly="0" labelOnly="1" outline="0" fieldPosition="0">
        <references count="4">
          <reference field="11" count="1" selected="0">
            <x v="316"/>
          </reference>
          <reference field="14" count="1" selected="0">
            <x v="44"/>
          </reference>
          <reference field="18" count="1" selected="0">
            <x v="0"/>
          </reference>
          <reference field="19" count="1">
            <x v="16"/>
          </reference>
        </references>
      </pivotArea>
    </format>
    <format dxfId="3155">
      <pivotArea dataOnly="0" labelOnly="1" outline="0" fieldPosition="0">
        <references count="4">
          <reference field="11" count="1" selected="0">
            <x v="317"/>
          </reference>
          <reference field="14" count="1" selected="0">
            <x v="70"/>
          </reference>
          <reference field="18" count="1" selected="0">
            <x v="0"/>
          </reference>
          <reference field="19" count="1">
            <x v="16"/>
          </reference>
        </references>
      </pivotArea>
    </format>
    <format dxfId="3154">
      <pivotArea dataOnly="0" labelOnly="1" outline="0" fieldPosition="0">
        <references count="4">
          <reference field="11" count="1" selected="0">
            <x v="317"/>
          </reference>
          <reference field="14" count="1" selected="0">
            <x v="70"/>
          </reference>
          <reference field="18" count="1" selected="0">
            <x v="2"/>
          </reference>
          <reference field="19" count="1">
            <x v="22"/>
          </reference>
        </references>
      </pivotArea>
    </format>
    <format dxfId="3153">
      <pivotArea dataOnly="0" labelOnly="1" outline="0" fieldPosition="0">
        <references count="4">
          <reference field="11" count="1" selected="0">
            <x v="318"/>
          </reference>
          <reference field="14" count="1" selected="0">
            <x v="68"/>
          </reference>
          <reference field="18" count="1" selected="0">
            <x v="0"/>
          </reference>
          <reference field="19" count="1">
            <x v="16"/>
          </reference>
        </references>
      </pivotArea>
    </format>
    <format dxfId="3152">
      <pivotArea dataOnly="0" labelOnly="1" outline="0" fieldPosition="0">
        <references count="4">
          <reference field="11" count="1" selected="0">
            <x v="318"/>
          </reference>
          <reference field="14" count="1" selected="0">
            <x v="68"/>
          </reference>
          <reference field="18" count="1" selected="0">
            <x v="2"/>
          </reference>
          <reference field="19" count="1">
            <x v="22"/>
          </reference>
        </references>
      </pivotArea>
    </format>
    <format dxfId="3151">
      <pivotArea dataOnly="0" labelOnly="1" outline="0" fieldPosition="0">
        <references count="4">
          <reference field="11" count="1" selected="0">
            <x v="319"/>
          </reference>
          <reference field="14" count="1" selected="0">
            <x v="69"/>
          </reference>
          <reference field="18" count="1" selected="0">
            <x v="0"/>
          </reference>
          <reference field="19" count="1">
            <x v="16"/>
          </reference>
        </references>
      </pivotArea>
    </format>
    <format dxfId="3150">
      <pivotArea dataOnly="0" labelOnly="1" outline="0" fieldPosition="0">
        <references count="4">
          <reference field="11" count="1" selected="0">
            <x v="319"/>
          </reference>
          <reference field="14" count="1" selected="0">
            <x v="69"/>
          </reference>
          <reference field="18" count="1" selected="0">
            <x v="2"/>
          </reference>
          <reference field="19" count="1">
            <x v="22"/>
          </reference>
        </references>
      </pivotArea>
    </format>
    <format dxfId="3149">
      <pivotArea dataOnly="0" labelOnly="1" outline="0" fieldPosition="0">
        <references count="4">
          <reference field="11" count="1" selected="0">
            <x v="320"/>
          </reference>
          <reference field="14" count="1" selected="0">
            <x v="35"/>
          </reference>
          <reference field="18" count="1" selected="0">
            <x v="1"/>
          </reference>
          <reference field="19" count="1">
            <x v="18"/>
          </reference>
        </references>
      </pivotArea>
    </format>
    <format dxfId="3148">
      <pivotArea dataOnly="0" labelOnly="1" outline="0" fieldPosition="0">
        <references count="4">
          <reference field="11" count="1" selected="0">
            <x v="321"/>
          </reference>
          <reference field="14" count="1" selected="0">
            <x v="456"/>
          </reference>
          <reference field="18" count="1" selected="0">
            <x v="6"/>
          </reference>
          <reference field="19" count="1">
            <x v="23"/>
          </reference>
        </references>
      </pivotArea>
    </format>
    <format dxfId="3147">
      <pivotArea dataOnly="0" labelOnly="1" outline="0" fieldPosition="0">
        <references count="4">
          <reference field="11" count="1" selected="0">
            <x v="322"/>
          </reference>
          <reference field="14" count="1" selected="0">
            <x v="243"/>
          </reference>
          <reference field="18" count="1" selected="0">
            <x v="6"/>
          </reference>
          <reference field="19" count="1">
            <x v="23"/>
          </reference>
        </references>
      </pivotArea>
    </format>
    <format dxfId="3146">
      <pivotArea dataOnly="0" labelOnly="1" outline="0" fieldPosition="0">
        <references count="4">
          <reference field="11" count="1" selected="0">
            <x v="323"/>
          </reference>
          <reference field="14" count="1" selected="0">
            <x v="428"/>
          </reference>
          <reference field="18" count="1" selected="0">
            <x v="19"/>
          </reference>
          <reference field="19" count="1">
            <x v="2"/>
          </reference>
        </references>
      </pivotArea>
    </format>
    <format dxfId="3145">
      <pivotArea dataOnly="0" labelOnly="1" outline="0" fieldPosition="0">
        <references count="4">
          <reference field="11" count="1" selected="0">
            <x v="324"/>
          </reference>
          <reference field="14" count="1" selected="0">
            <x v="9"/>
          </reference>
          <reference field="18" count="1" selected="0">
            <x v="0"/>
          </reference>
          <reference field="19" count="1">
            <x v="16"/>
          </reference>
        </references>
      </pivotArea>
    </format>
    <format dxfId="3144">
      <pivotArea dataOnly="0" labelOnly="1" outline="0" fieldPosition="0">
        <references count="4">
          <reference field="11" count="1" selected="0">
            <x v="324"/>
          </reference>
          <reference field="14" count="1" selected="0">
            <x v="9"/>
          </reference>
          <reference field="18" count="1" selected="0">
            <x v="2"/>
          </reference>
          <reference field="19" count="1">
            <x v="22"/>
          </reference>
        </references>
      </pivotArea>
    </format>
    <format dxfId="3143">
      <pivotArea dataOnly="0" labelOnly="1" outline="0" fieldPosition="0">
        <references count="4">
          <reference field="11" count="1" selected="0">
            <x v="325"/>
          </reference>
          <reference field="14" count="1" selected="0">
            <x v="225"/>
          </reference>
          <reference field="18" count="1" selected="0">
            <x v="0"/>
          </reference>
          <reference field="19" count="1">
            <x v="16"/>
          </reference>
        </references>
      </pivotArea>
    </format>
    <format dxfId="3142">
      <pivotArea dataOnly="0" labelOnly="1" outline="0" fieldPosition="0">
        <references count="4">
          <reference field="11" count="1" selected="0">
            <x v="326"/>
          </reference>
          <reference field="14" count="1" selected="0">
            <x v="370"/>
          </reference>
          <reference field="18" count="1" selected="0">
            <x v="2"/>
          </reference>
          <reference field="19" count="1">
            <x v="22"/>
          </reference>
        </references>
      </pivotArea>
    </format>
    <format dxfId="3141">
      <pivotArea dataOnly="0" labelOnly="1" outline="0" fieldPosition="0">
        <references count="4">
          <reference field="11" count="1" selected="0">
            <x v="327"/>
          </reference>
          <reference field="14" count="1" selected="0">
            <x v="60"/>
          </reference>
          <reference field="18" count="1" selected="0">
            <x v="2"/>
          </reference>
          <reference field="19" count="1">
            <x v="22"/>
          </reference>
        </references>
      </pivotArea>
    </format>
    <format dxfId="3140">
      <pivotArea dataOnly="0" labelOnly="1" outline="0" fieldPosition="0">
        <references count="4">
          <reference field="11" count="1" selected="0">
            <x v="327"/>
          </reference>
          <reference field="14" count="1" selected="0">
            <x v="60"/>
          </reference>
          <reference field="18" count="1" selected="0">
            <x v="14"/>
          </reference>
          <reference field="19" count="1">
            <x v="9"/>
          </reference>
        </references>
      </pivotArea>
    </format>
    <format dxfId="3139">
      <pivotArea dataOnly="0" labelOnly="1" outline="0" fieldPosition="0">
        <references count="4">
          <reference field="11" count="1" selected="0">
            <x v="328"/>
          </reference>
          <reference field="14" count="1" selected="0">
            <x v="159"/>
          </reference>
          <reference field="18" count="1" selected="0">
            <x v="2"/>
          </reference>
          <reference field="19" count="1">
            <x v="22"/>
          </reference>
        </references>
      </pivotArea>
    </format>
    <format dxfId="3138">
      <pivotArea dataOnly="0" labelOnly="1" outline="0" fieldPosition="0">
        <references count="4">
          <reference field="11" count="1" selected="0">
            <x v="329"/>
          </reference>
          <reference field="14" count="1" selected="0">
            <x v="134"/>
          </reference>
          <reference field="18" count="1" selected="0">
            <x v="2"/>
          </reference>
          <reference field="19" count="1">
            <x v="22"/>
          </reference>
        </references>
      </pivotArea>
    </format>
    <format dxfId="3137">
      <pivotArea dataOnly="0" labelOnly="1" outline="0" fieldPosition="0">
        <references count="4">
          <reference field="11" count="1" selected="0">
            <x v="330"/>
          </reference>
          <reference field="14" count="1" selected="0">
            <x v="170"/>
          </reference>
          <reference field="18" count="1" selected="0">
            <x v="2"/>
          </reference>
          <reference field="19" count="1">
            <x v="22"/>
          </reference>
        </references>
      </pivotArea>
    </format>
    <format dxfId="3136">
      <pivotArea dataOnly="0" labelOnly="1" outline="0" fieldPosition="0">
        <references count="4">
          <reference field="11" count="1" selected="0">
            <x v="331"/>
          </reference>
          <reference field="14" count="1" selected="0">
            <x v="132"/>
          </reference>
          <reference field="18" count="1" selected="0">
            <x v="6"/>
          </reference>
          <reference field="19" count="1">
            <x v="23"/>
          </reference>
        </references>
      </pivotArea>
    </format>
    <format dxfId="3135">
      <pivotArea dataOnly="0" labelOnly="1" outline="0" fieldPosition="0">
        <references count="4">
          <reference field="11" count="1" selected="0">
            <x v="332"/>
          </reference>
          <reference field="14" count="1" selected="0">
            <x v="74"/>
          </reference>
          <reference field="18" count="1" selected="0">
            <x v="16"/>
          </reference>
          <reference field="19" count="1">
            <x v="24"/>
          </reference>
        </references>
      </pivotArea>
    </format>
    <format dxfId="3134">
      <pivotArea dataOnly="0" labelOnly="1" outline="0" fieldPosition="0">
        <references count="4">
          <reference field="11" count="1" selected="0">
            <x v="332"/>
          </reference>
          <reference field="14" count="1" selected="0">
            <x v="74"/>
          </reference>
          <reference field="18" count="1" selected="0">
            <x v="21"/>
          </reference>
          <reference field="19" count="1">
            <x v="27"/>
          </reference>
        </references>
      </pivotArea>
    </format>
    <format dxfId="3133">
      <pivotArea dataOnly="0" labelOnly="1" outline="0" fieldPosition="0">
        <references count="4">
          <reference field="11" count="1" selected="0">
            <x v="333"/>
          </reference>
          <reference field="14" count="1" selected="0">
            <x v="202"/>
          </reference>
          <reference field="18" count="1" selected="0">
            <x v="3"/>
          </reference>
          <reference field="19" count="1">
            <x v="15"/>
          </reference>
        </references>
      </pivotArea>
    </format>
    <format dxfId="3132">
      <pivotArea dataOnly="0" labelOnly="1" outline="0" fieldPosition="0">
        <references count="4">
          <reference field="11" count="1" selected="0">
            <x v="334"/>
          </reference>
          <reference field="14" count="1" selected="0">
            <x v="384"/>
          </reference>
          <reference field="18" count="1" selected="0">
            <x v="0"/>
          </reference>
          <reference field="19" count="1">
            <x v="16"/>
          </reference>
        </references>
      </pivotArea>
    </format>
    <format dxfId="3131">
      <pivotArea dataOnly="0" labelOnly="1" outline="0" fieldPosition="0">
        <references count="4">
          <reference field="11" count="1" selected="0">
            <x v="334"/>
          </reference>
          <reference field="14" count="1" selected="0">
            <x v="384"/>
          </reference>
          <reference field="18" count="1" selected="0">
            <x v="2"/>
          </reference>
          <reference field="19" count="1">
            <x v="22"/>
          </reference>
        </references>
      </pivotArea>
    </format>
    <format dxfId="3130">
      <pivotArea dataOnly="0" labelOnly="1" outline="0" fieldPosition="0">
        <references count="4">
          <reference field="11" count="1" selected="0">
            <x v="335"/>
          </reference>
          <reference field="14" count="1" selected="0">
            <x v="309"/>
          </reference>
          <reference field="18" count="1" selected="0">
            <x v="19"/>
          </reference>
          <reference field="19" count="1">
            <x v="2"/>
          </reference>
        </references>
      </pivotArea>
    </format>
    <format dxfId="3129">
      <pivotArea dataOnly="0" labelOnly="1" outline="0" fieldPosition="0">
        <references count="4">
          <reference field="11" count="1" selected="0">
            <x v="336"/>
          </reference>
          <reference field="14" count="1" selected="0">
            <x v="382"/>
          </reference>
          <reference field="18" count="1" selected="0">
            <x v="3"/>
          </reference>
          <reference field="19" count="1">
            <x v="15"/>
          </reference>
        </references>
      </pivotArea>
    </format>
    <format dxfId="3128">
      <pivotArea dataOnly="0" labelOnly="1" outline="0" fieldPosition="0">
        <references count="4">
          <reference field="11" count="1" selected="0">
            <x v="337"/>
          </reference>
          <reference field="14" count="1" selected="0">
            <x v="71"/>
          </reference>
          <reference field="18" count="1" selected="0">
            <x v="0"/>
          </reference>
          <reference field="19" count="1">
            <x v="16"/>
          </reference>
        </references>
      </pivotArea>
    </format>
    <format dxfId="3127">
      <pivotArea dataOnly="0" labelOnly="1" outline="0" fieldPosition="0">
        <references count="4">
          <reference field="11" count="1" selected="0">
            <x v="338"/>
          </reference>
          <reference field="14" count="1" selected="0">
            <x v="314"/>
          </reference>
          <reference field="18" count="1" selected="0">
            <x v="19"/>
          </reference>
          <reference field="19" count="1">
            <x v="2"/>
          </reference>
        </references>
      </pivotArea>
    </format>
    <format dxfId="3126">
      <pivotArea dataOnly="0" labelOnly="1" outline="0" fieldPosition="0">
        <references count="4">
          <reference field="11" count="1" selected="0">
            <x v="339"/>
          </reference>
          <reference field="14" count="1" selected="0">
            <x v="160"/>
          </reference>
          <reference field="18" count="1" selected="0">
            <x v="2"/>
          </reference>
          <reference field="19" count="1">
            <x v="22"/>
          </reference>
        </references>
      </pivotArea>
    </format>
    <format dxfId="3125">
      <pivotArea dataOnly="0" labelOnly="1" outline="0" fieldPosition="0">
        <references count="4">
          <reference field="11" count="1" selected="0">
            <x v="340"/>
          </reference>
          <reference field="14" count="1" selected="0">
            <x v="155"/>
          </reference>
          <reference field="18" count="1" selected="0">
            <x v="2"/>
          </reference>
          <reference field="19" count="1">
            <x v="22"/>
          </reference>
        </references>
      </pivotArea>
    </format>
    <format dxfId="3124">
      <pivotArea dataOnly="0" labelOnly="1" outline="0" fieldPosition="0">
        <references count="4">
          <reference field="11" count="1" selected="0">
            <x v="341"/>
          </reference>
          <reference field="14" count="1" selected="0">
            <x v="163"/>
          </reference>
          <reference field="18" count="1" selected="0">
            <x v="2"/>
          </reference>
          <reference field="19" count="1">
            <x v="22"/>
          </reference>
        </references>
      </pivotArea>
    </format>
    <format dxfId="3123">
      <pivotArea dataOnly="0" labelOnly="1" outline="0" fieldPosition="0">
        <references count="4">
          <reference field="11" count="1" selected="0">
            <x v="342"/>
          </reference>
          <reference field="14" count="1" selected="0">
            <x v="156"/>
          </reference>
          <reference field="18" count="1" selected="0">
            <x v="2"/>
          </reference>
          <reference field="19" count="1">
            <x v="22"/>
          </reference>
        </references>
      </pivotArea>
    </format>
    <format dxfId="3122">
      <pivotArea dataOnly="0" labelOnly="1" outline="0" fieldPosition="0">
        <references count="4">
          <reference field="11" count="1" selected="0">
            <x v="343"/>
          </reference>
          <reference field="14" count="1" selected="0">
            <x v="293"/>
          </reference>
          <reference field="18" count="1" selected="0">
            <x v="2"/>
          </reference>
          <reference field="19" count="1">
            <x v="22"/>
          </reference>
        </references>
      </pivotArea>
    </format>
    <format dxfId="3121">
      <pivotArea dataOnly="0" labelOnly="1" outline="0" fieldPosition="0">
        <references count="4">
          <reference field="11" count="1" selected="0">
            <x v="343"/>
          </reference>
          <reference field="14" count="1" selected="0">
            <x v="293"/>
          </reference>
          <reference field="18" count="1" selected="0">
            <x v="3"/>
          </reference>
          <reference field="19" count="1">
            <x v="15"/>
          </reference>
        </references>
      </pivotArea>
    </format>
    <format dxfId="3120">
      <pivotArea dataOnly="0" labelOnly="1" outline="0" fieldPosition="0">
        <references count="4">
          <reference field="11" count="1" selected="0">
            <x v="344"/>
          </reference>
          <reference field="14" count="1" selected="0">
            <x v="253"/>
          </reference>
          <reference field="18" count="1" selected="0">
            <x v="0"/>
          </reference>
          <reference field="19" count="1">
            <x v="16"/>
          </reference>
        </references>
      </pivotArea>
    </format>
    <format dxfId="3119">
      <pivotArea dataOnly="0" labelOnly="1" outline="0" fieldPosition="0">
        <references count="4">
          <reference field="11" count="1" selected="0">
            <x v="345"/>
          </reference>
          <reference field="14" count="1" selected="0">
            <x v="209"/>
          </reference>
          <reference field="18" count="1" selected="0">
            <x v="0"/>
          </reference>
          <reference field="19" count="1">
            <x v="16"/>
          </reference>
        </references>
      </pivotArea>
    </format>
    <format dxfId="3118">
      <pivotArea dataOnly="0" labelOnly="1" outline="0" fieldPosition="0">
        <references count="4">
          <reference field="11" count="1" selected="0">
            <x v="345"/>
          </reference>
          <reference field="14" count="1" selected="0">
            <x v="209"/>
          </reference>
          <reference field="18" count="1" selected="0">
            <x v="1"/>
          </reference>
          <reference field="19" count="1">
            <x v="18"/>
          </reference>
        </references>
      </pivotArea>
    </format>
    <format dxfId="3117">
      <pivotArea dataOnly="0" labelOnly="1" outline="0" fieldPosition="0">
        <references count="4">
          <reference field="11" count="1" selected="0">
            <x v="345"/>
          </reference>
          <reference field="14" count="1" selected="0">
            <x v="209"/>
          </reference>
          <reference field="18" count="1" selected="0">
            <x v="11"/>
          </reference>
          <reference field="19" count="1">
            <x v="20"/>
          </reference>
        </references>
      </pivotArea>
    </format>
    <format dxfId="3116">
      <pivotArea dataOnly="0" labelOnly="1" outline="0" fieldPosition="0">
        <references count="4">
          <reference field="11" count="1" selected="0">
            <x v="346"/>
          </reference>
          <reference field="14" count="1" selected="0">
            <x v="315"/>
          </reference>
          <reference field="18" count="1" selected="0">
            <x v="3"/>
          </reference>
          <reference field="19" count="1">
            <x v="15"/>
          </reference>
        </references>
      </pivotArea>
    </format>
    <format dxfId="3115">
      <pivotArea dataOnly="0" labelOnly="1" outline="0" fieldPosition="0">
        <references count="4">
          <reference field="11" count="1" selected="0">
            <x v="347"/>
          </reference>
          <reference field="14" count="1" selected="0">
            <x v="257"/>
          </reference>
          <reference field="18" count="1" selected="0">
            <x v="0"/>
          </reference>
          <reference field="19" count="1">
            <x v="16"/>
          </reference>
        </references>
      </pivotArea>
    </format>
    <format dxfId="3114">
      <pivotArea dataOnly="0" labelOnly="1" outline="0" fieldPosition="0">
        <references count="4">
          <reference field="11" count="1" selected="0">
            <x v="348"/>
          </reference>
          <reference field="14" count="1" selected="0">
            <x v="448"/>
          </reference>
          <reference field="18" count="1" selected="0">
            <x v="19"/>
          </reference>
          <reference field="19" count="1">
            <x v="2"/>
          </reference>
        </references>
      </pivotArea>
    </format>
    <format dxfId="3113">
      <pivotArea dataOnly="0" labelOnly="1" outline="0" fieldPosition="0">
        <references count="4">
          <reference field="11" count="1" selected="0">
            <x v="349"/>
          </reference>
          <reference field="14" count="1" selected="0">
            <x v="331"/>
          </reference>
          <reference field="18" count="1" selected="0">
            <x v="6"/>
          </reference>
          <reference field="19" count="1">
            <x v="23"/>
          </reference>
        </references>
      </pivotArea>
    </format>
    <format dxfId="3112">
      <pivotArea dataOnly="0" labelOnly="1" outline="0" fieldPosition="0">
        <references count="4">
          <reference field="11" count="1" selected="0">
            <x v="350"/>
          </reference>
          <reference field="14" count="1" selected="0">
            <x v="221"/>
          </reference>
          <reference field="18" count="1" selected="0">
            <x v="6"/>
          </reference>
          <reference field="19" count="1">
            <x v="23"/>
          </reference>
        </references>
      </pivotArea>
    </format>
    <format dxfId="3111">
      <pivotArea dataOnly="0" labelOnly="1" outline="0" fieldPosition="0">
        <references count="4">
          <reference field="11" count="1" selected="0">
            <x v="351"/>
          </reference>
          <reference field="14" count="1" selected="0">
            <x v="199"/>
          </reference>
          <reference field="18" count="1" selected="0">
            <x v="27"/>
          </reference>
          <reference field="19" count="1">
            <x v="17"/>
          </reference>
        </references>
      </pivotArea>
    </format>
    <format dxfId="3110">
      <pivotArea dataOnly="0" labelOnly="1" outline="0" fieldPosition="0">
        <references count="4">
          <reference field="11" count="1" selected="0">
            <x v="352"/>
          </reference>
          <reference field="14" count="1" selected="0">
            <x v="78"/>
          </reference>
          <reference field="18" count="1" selected="0">
            <x v="1"/>
          </reference>
          <reference field="19" count="1">
            <x v="18"/>
          </reference>
        </references>
      </pivotArea>
    </format>
    <format dxfId="3109">
      <pivotArea dataOnly="0" labelOnly="1" outline="0" fieldPosition="0">
        <references count="4">
          <reference field="11" count="1" selected="0">
            <x v="353"/>
          </reference>
          <reference field="14" count="1" selected="0">
            <x v="18"/>
          </reference>
          <reference field="18" count="1" selected="0">
            <x v="6"/>
          </reference>
          <reference field="19" count="1">
            <x v="23"/>
          </reference>
        </references>
      </pivotArea>
    </format>
    <format dxfId="3108">
      <pivotArea dataOnly="0" labelOnly="1" outline="0" fieldPosition="0">
        <references count="4">
          <reference field="11" count="1" selected="0">
            <x v="354"/>
          </reference>
          <reference field="14" count="1" selected="0">
            <x v="135"/>
          </reference>
          <reference field="18" count="1" selected="0">
            <x v="6"/>
          </reference>
          <reference field="19" count="1">
            <x v="23"/>
          </reference>
        </references>
      </pivotArea>
    </format>
    <format dxfId="3107">
      <pivotArea dataOnly="0" labelOnly="1" outline="0" fieldPosition="0">
        <references count="4">
          <reference field="11" count="1" selected="0">
            <x v="355"/>
          </reference>
          <reference field="14" count="1" selected="0">
            <x v="296"/>
          </reference>
          <reference field="18" count="1" selected="0">
            <x v="6"/>
          </reference>
          <reference field="19" count="1">
            <x v="23"/>
          </reference>
        </references>
      </pivotArea>
    </format>
    <format dxfId="3106">
      <pivotArea dataOnly="0" labelOnly="1" outline="0" fieldPosition="0">
        <references count="4">
          <reference field="11" count="1" selected="0">
            <x v="356"/>
          </reference>
          <reference field="14" count="1" selected="0">
            <x v="299"/>
          </reference>
          <reference field="18" count="1" selected="0">
            <x v="6"/>
          </reference>
          <reference field="19" count="1">
            <x v="23"/>
          </reference>
        </references>
      </pivotArea>
    </format>
    <format dxfId="3105">
      <pivotArea dataOnly="0" labelOnly="1" outline="0" fieldPosition="0">
        <references count="4">
          <reference field="11" count="1" selected="0">
            <x v="357"/>
          </reference>
          <reference field="14" count="1" selected="0">
            <x v="298"/>
          </reference>
          <reference field="18" count="1" selected="0">
            <x v="6"/>
          </reference>
          <reference field="19" count="1">
            <x v="23"/>
          </reference>
        </references>
      </pivotArea>
    </format>
    <format dxfId="3104">
      <pivotArea dataOnly="0" labelOnly="1" outline="0" fieldPosition="0">
        <references count="4">
          <reference field="11" count="1" selected="0">
            <x v="358"/>
          </reference>
          <reference field="14" count="1" selected="0">
            <x v="292"/>
          </reference>
          <reference field="18" count="1" selected="0">
            <x v="3"/>
          </reference>
          <reference field="19" count="1">
            <x v="15"/>
          </reference>
        </references>
      </pivotArea>
    </format>
    <format dxfId="3103">
      <pivotArea dataOnly="0" labelOnly="1" outline="0" fieldPosition="0">
        <references count="4">
          <reference field="11" count="1" selected="0">
            <x v="359"/>
          </reference>
          <reference field="14" count="1" selected="0">
            <x v="39"/>
          </reference>
          <reference field="18" count="1" selected="0">
            <x v="1"/>
          </reference>
          <reference field="19" count="1">
            <x v="18"/>
          </reference>
        </references>
      </pivotArea>
    </format>
    <format dxfId="3102">
      <pivotArea dataOnly="0" labelOnly="1" outline="0" fieldPosition="0">
        <references count="4">
          <reference field="11" count="1" selected="0">
            <x v="360"/>
          </reference>
          <reference field="14" count="1" selected="0">
            <x v="24"/>
          </reference>
          <reference field="18" count="1" selected="0">
            <x v="5"/>
          </reference>
          <reference field="19" count="1">
            <x v="1"/>
          </reference>
        </references>
      </pivotArea>
    </format>
    <format dxfId="3101">
      <pivotArea dataOnly="0" labelOnly="1" outline="0" fieldPosition="0">
        <references count="4">
          <reference field="11" count="1" selected="0">
            <x v="361"/>
          </reference>
          <reference field="14" count="1" selected="0">
            <x v="352"/>
          </reference>
          <reference field="18" count="1" selected="0">
            <x v="5"/>
          </reference>
          <reference field="19" count="1">
            <x v="1"/>
          </reference>
        </references>
      </pivotArea>
    </format>
    <format dxfId="3100">
      <pivotArea dataOnly="0" labelOnly="1" outline="0" fieldPosition="0">
        <references count="4">
          <reference field="11" count="1" selected="0">
            <x v="362"/>
          </reference>
          <reference field="14" count="1" selected="0">
            <x v="21"/>
          </reference>
          <reference field="18" count="1" selected="0">
            <x v="6"/>
          </reference>
          <reference field="19" count="1">
            <x v="23"/>
          </reference>
        </references>
      </pivotArea>
    </format>
    <format dxfId="3099">
      <pivotArea dataOnly="0" labelOnly="1" outline="0" fieldPosition="0">
        <references count="4">
          <reference field="11" count="1" selected="0">
            <x v="363"/>
          </reference>
          <reference field="14" count="1" selected="0">
            <x v="6"/>
          </reference>
          <reference field="18" count="1" selected="0">
            <x v="0"/>
          </reference>
          <reference field="19" count="1">
            <x v="16"/>
          </reference>
        </references>
      </pivotArea>
    </format>
    <format dxfId="3098">
      <pivotArea dataOnly="0" labelOnly="1" outline="0" fieldPosition="0">
        <references count="4">
          <reference field="11" count="1" selected="0">
            <x v="364"/>
          </reference>
          <reference field="14" count="1" selected="0">
            <x v="212"/>
          </reference>
          <reference field="18" count="1" selected="0">
            <x v="14"/>
          </reference>
          <reference field="19" count="1">
            <x v="9"/>
          </reference>
        </references>
      </pivotArea>
    </format>
    <format dxfId="3097">
      <pivotArea dataOnly="0" labelOnly="1" outline="0" fieldPosition="0">
        <references count="4">
          <reference field="11" count="1" selected="0">
            <x v="365"/>
          </reference>
          <reference field="14" count="1" selected="0">
            <x v="284"/>
          </reference>
          <reference field="18" count="1" selected="0">
            <x v="0"/>
          </reference>
          <reference field="19" count="1">
            <x v="16"/>
          </reference>
        </references>
      </pivotArea>
    </format>
    <format dxfId="3096">
      <pivotArea dataOnly="0" labelOnly="1" outline="0" fieldPosition="0">
        <references count="4">
          <reference field="11" count="1" selected="0">
            <x v="366"/>
          </reference>
          <reference field="14" count="1" selected="0">
            <x v="254"/>
          </reference>
          <reference field="18" count="1" selected="0">
            <x v="0"/>
          </reference>
          <reference field="19" count="1">
            <x v="16"/>
          </reference>
        </references>
      </pivotArea>
    </format>
    <format dxfId="3095">
      <pivotArea dataOnly="0" labelOnly="1" outline="0" fieldPosition="0">
        <references count="4">
          <reference field="11" count="1" selected="0">
            <x v="367"/>
          </reference>
          <reference field="14" count="1" selected="0">
            <x v="457"/>
          </reference>
          <reference field="18" count="1" selected="0">
            <x v="0"/>
          </reference>
          <reference field="19" count="1">
            <x v="16"/>
          </reference>
        </references>
      </pivotArea>
    </format>
    <format dxfId="3094">
      <pivotArea dataOnly="0" labelOnly="1" outline="0" fieldPosition="0">
        <references count="4">
          <reference field="11" count="1" selected="0">
            <x v="368"/>
          </reference>
          <reference field="14" count="1" selected="0">
            <x v="2"/>
          </reference>
          <reference field="18" count="1" selected="0">
            <x v="19"/>
          </reference>
          <reference field="19" count="1">
            <x v="2"/>
          </reference>
        </references>
      </pivotArea>
    </format>
    <format dxfId="3093">
      <pivotArea dataOnly="0" labelOnly="1" outline="0" fieldPosition="0">
        <references count="4">
          <reference field="11" count="1" selected="0">
            <x v="369"/>
          </reference>
          <reference field="14" count="1" selected="0">
            <x v="147"/>
          </reference>
          <reference field="18" count="1" selected="0">
            <x v="12"/>
          </reference>
          <reference field="19" count="1">
            <x v="13"/>
          </reference>
        </references>
      </pivotArea>
    </format>
    <format dxfId="3092">
      <pivotArea dataOnly="0" labelOnly="1" outline="0" fieldPosition="0">
        <references count="4">
          <reference field="11" count="1" selected="0">
            <x v="369"/>
          </reference>
          <reference field="14" count="1" selected="0">
            <x v="147"/>
          </reference>
          <reference field="18" count="1" selected="0">
            <x v="14"/>
          </reference>
          <reference field="19" count="1">
            <x v="9"/>
          </reference>
        </references>
      </pivotArea>
    </format>
    <format dxfId="3091">
      <pivotArea dataOnly="0" labelOnly="1" outline="0" fieldPosition="0">
        <references count="4">
          <reference field="11" count="1" selected="0">
            <x v="370"/>
          </reference>
          <reference field="14" count="1" selected="0">
            <x v="112"/>
          </reference>
          <reference field="18" count="1" selected="0">
            <x v="19"/>
          </reference>
          <reference field="19" count="1">
            <x v="2"/>
          </reference>
        </references>
      </pivotArea>
    </format>
    <format dxfId="3090">
      <pivotArea dataOnly="0" labelOnly="1" outline="0" fieldPosition="0">
        <references count="4">
          <reference field="11" count="1" selected="0">
            <x v="371"/>
          </reference>
          <reference field="14" count="1" selected="0">
            <x v="81"/>
          </reference>
          <reference field="18" count="1" selected="0">
            <x v="1"/>
          </reference>
          <reference field="19" count="1">
            <x v="18"/>
          </reference>
        </references>
      </pivotArea>
    </format>
    <format dxfId="3089">
      <pivotArea dataOnly="0" labelOnly="1" outline="0" fieldPosition="0">
        <references count="4">
          <reference field="11" count="1" selected="0">
            <x v="372"/>
          </reference>
          <reference field="14" count="1" selected="0">
            <x v="82"/>
          </reference>
          <reference field="18" count="1" selected="0">
            <x v="1"/>
          </reference>
          <reference field="19" count="1">
            <x v="18"/>
          </reference>
        </references>
      </pivotArea>
    </format>
    <format dxfId="3088">
      <pivotArea dataOnly="0" labelOnly="1" outline="0" fieldPosition="0">
        <references count="4">
          <reference field="11" count="1" selected="0">
            <x v="373"/>
          </reference>
          <reference field="14" count="1" selected="0">
            <x v="85"/>
          </reference>
          <reference field="18" count="1" selected="0">
            <x v="1"/>
          </reference>
          <reference field="19" count="1">
            <x v="18"/>
          </reference>
        </references>
      </pivotArea>
    </format>
    <format dxfId="3087">
      <pivotArea dataOnly="0" labelOnly="1" outline="0" fieldPosition="0">
        <references count="4">
          <reference field="11" count="1" selected="0">
            <x v="374"/>
          </reference>
          <reference field="14" count="1" selected="0">
            <x v="89"/>
          </reference>
          <reference field="18" count="1" selected="0">
            <x v="1"/>
          </reference>
          <reference field="19" count="1">
            <x v="18"/>
          </reference>
        </references>
      </pivotArea>
    </format>
    <format dxfId="3086">
      <pivotArea dataOnly="0" labelOnly="1" outline="0" fieldPosition="0">
        <references count="4">
          <reference field="11" count="1" selected="0">
            <x v="375"/>
          </reference>
          <reference field="14" count="1" selected="0">
            <x v="88"/>
          </reference>
          <reference field="18" count="1" selected="0">
            <x v="1"/>
          </reference>
          <reference field="19" count="1">
            <x v="18"/>
          </reference>
        </references>
      </pivotArea>
    </format>
    <format dxfId="3085">
      <pivotArea dataOnly="0" labelOnly="1" outline="0" fieldPosition="0">
        <references count="4">
          <reference field="11" count="1" selected="0">
            <x v="376"/>
          </reference>
          <reference field="14" count="1" selected="0">
            <x v="87"/>
          </reference>
          <reference field="18" count="1" selected="0">
            <x v="1"/>
          </reference>
          <reference field="19" count="1">
            <x v="18"/>
          </reference>
        </references>
      </pivotArea>
    </format>
    <format dxfId="3084">
      <pivotArea dataOnly="0" labelOnly="1" outline="0" fieldPosition="0">
        <references count="4">
          <reference field="11" count="1" selected="0">
            <x v="377"/>
          </reference>
          <reference field="14" count="1" selected="0">
            <x v="79"/>
          </reference>
          <reference field="18" count="1" selected="0">
            <x v="1"/>
          </reference>
          <reference field="19" count="1">
            <x v="18"/>
          </reference>
        </references>
      </pivotArea>
    </format>
    <format dxfId="3083">
      <pivotArea dataOnly="0" labelOnly="1" outline="0" fieldPosition="0">
        <references count="4">
          <reference field="11" count="1" selected="0">
            <x v="378"/>
          </reference>
          <reference field="14" count="1" selected="0">
            <x v="92"/>
          </reference>
          <reference field="18" count="1" selected="0">
            <x v="1"/>
          </reference>
          <reference field="19" count="1">
            <x v="18"/>
          </reference>
        </references>
      </pivotArea>
    </format>
    <format dxfId="3082">
      <pivotArea dataOnly="0" labelOnly="1" outline="0" fieldPosition="0">
        <references count="4">
          <reference field="11" count="1" selected="0">
            <x v="379"/>
          </reference>
          <reference field="14" count="1" selected="0">
            <x v="145"/>
          </reference>
          <reference field="18" count="1" selected="0">
            <x v="7"/>
          </reference>
          <reference field="19" count="1">
            <x v="4"/>
          </reference>
        </references>
      </pivotArea>
    </format>
    <format dxfId="3081">
      <pivotArea dataOnly="0" labelOnly="1" outline="0" fieldPosition="0">
        <references count="4">
          <reference field="11" count="1" selected="0">
            <x v="379"/>
          </reference>
          <reference field="14" count="1" selected="0">
            <x v="145"/>
          </reference>
          <reference field="18" count="1" selected="0">
            <x v="12"/>
          </reference>
          <reference field="19" count="1">
            <x v="13"/>
          </reference>
        </references>
      </pivotArea>
    </format>
    <format dxfId="3080">
      <pivotArea dataOnly="0" labelOnly="1" outline="0" fieldPosition="0">
        <references count="4">
          <reference field="11" count="1" selected="0">
            <x v="380"/>
          </reference>
          <reference field="14" count="1" selected="0">
            <x v="334"/>
          </reference>
          <reference field="18" count="1" selected="0">
            <x v="1"/>
          </reference>
          <reference field="19" count="1">
            <x v="18"/>
          </reference>
        </references>
      </pivotArea>
    </format>
    <format dxfId="3079">
      <pivotArea dataOnly="0" labelOnly="1" outline="0" fieldPosition="0">
        <references count="4">
          <reference field="11" count="1" selected="0">
            <x v="381"/>
          </reference>
          <reference field="14" count="1" selected="0">
            <x v="399"/>
          </reference>
          <reference field="18" count="1" selected="0">
            <x v="0"/>
          </reference>
          <reference field="19" count="1">
            <x v="16"/>
          </reference>
        </references>
      </pivotArea>
    </format>
    <format dxfId="3078">
      <pivotArea dataOnly="0" labelOnly="1" outline="0" fieldPosition="0">
        <references count="4">
          <reference field="11" count="1" selected="0">
            <x v="381"/>
          </reference>
          <reference field="14" count="1" selected="0">
            <x v="399"/>
          </reference>
          <reference field="18" count="1" selected="0">
            <x v="4"/>
          </reference>
          <reference field="19" count="1">
            <x v="10"/>
          </reference>
        </references>
      </pivotArea>
    </format>
    <format dxfId="3077">
      <pivotArea dataOnly="0" labelOnly="1" outline="0" fieldPosition="0">
        <references count="4">
          <reference field="11" count="1" selected="0">
            <x v="382"/>
          </reference>
          <reference field="14" count="1" selected="0">
            <x v="400"/>
          </reference>
          <reference field="18" count="1" selected="0">
            <x v="25"/>
          </reference>
          <reference field="19" count="1">
            <x v="14"/>
          </reference>
        </references>
      </pivotArea>
    </format>
    <format dxfId="3076">
      <pivotArea dataOnly="0" labelOnly="1" outline="0" fieldPosition="0">
        <references count="4">
          <reference field="11" count="1" selected="0">
            <x v="383"/>
          </reference>
          <reference field="14" count="1" selected="0">
            <x v="364"/>
          </reference>
          <reference field="18" count="1" selected="0">
            <x v="18"/>
          </reference>
          <reference field="19" count="1">
            <x v="26"/>
          </reference>
        </references>
      </pivotArea>
    </format>
    <format dxfId="3075">
      <pivotArea dataOnly="0" labelOnly="1" outline="0" fieldPosition="0">
        <references count="4">
          <reference field="11" count="1" selected="0">
            <x v="384"/>
          </reference>
          <reference field="14" count="1" selected="0">
            <x v="211"/>
          </reference>
          <reference field="18" count="1" selected="0">
            <x v="0"/>
          </reference>
          <reference field="19" count="1">
            <x v="16"/>
          </reference>
        </references>
      </pivotArea>
    </format>
    <format dxfId="3074">
      <pivotArea dataOnly="0" labelOnly="1" outline="0" fieldPosition="0">
        <references count="4">
          <reference field="11" count="1" selected="0">
            <x v="385"/>
          </reference>
          <reference field="14" count="1" selected="0">
            <x v="7"/>
          </reference>
          <reference field="18" count="1" selected="0">
            <x v="12"/>
          </reference>
          <reference field="19" count="1">
            <x v="13"/>
          </reference>
        </references>
      </pivotArea>
    </format>
    <format dxfId="3073">
      <pivotArea dataOnly="0" labelOnly="1" outline="0" fieldPosition="0">
        <references count="4">
          <reference field="11" count="1" selected="0">
            <x v="385"/>
          </reference>
          <reference field="14" count="1" selected="0">
            <x v="7"/>
          </reference>
          <reference field="18" count="1" selected="0">
            <x v="14"/>
          </reference>
          <reference field="19" count="1">
            <x v="9"/>
          </reference>
        </references>
      </pivotArea>
    </format>
    <format dxfId="3072">
      <pivotArea dataOnly="0" labelOnly="1" outline="0" fieldPosition="0">
        <references count="4">
          <reference field="11" count="1" selected="0">
            <x v="386"/>
          </reference>
          <reference field="14" count="1" selected="0">
            <x v="297"/>
          </reference>
          <reference field="18" count="1" selected="0">
            <x v="6"/>
          </reference>
          <reference field="19" count="1">
            <x v="23"/>
          </reference>
        </references>
      </pivotArea>
    </format>
    <format dxfId="3071">
      <pivotArea dataOnly="0" labelOnly="1" outline="0" fieldPosition="0">
        <references count="4">
          <reference field="11" count="1" selected="0">
            <x v="387"/>
          </reference>
          <reference field="14" count="1" selected="0">
            <x v="408"/>
          </reference>
          <reference field="18" count="1" selected="0">
            <x v="0"/>
          </reference>
          <reference field="19" count="1">
            <x v="16"/>
          </reference>
        </references>
      </pivotArea>
    </format>
    <format dxfId="3070">
      <pivotArea dataOnly="0" labelOnly="1" outline="0" fieldPosition="0">
        <references count="4">
          <reference field="11" count="1" selected="0">
            <x v="388"/>
          </reference>
          <reference field="14" count="1" selected="0">
            <x v="190"/>
          </reference>
          <reference field="18" count="1" selected="0">
            <x v="0"/>
          </reference>
          <reference field="19" count="1">
            <x v="16"/>
          </reference>
        </references>
      </pivotArea>
    </format>
    <format dxfId="3069">
      <pivotArea dataOnly="0" labelOnly="1" outline="0" fieldPosition="0">
        <references count="4">
          <reference field="11" count="1" selected="0">
            <x v="389"/>
          </reference>
          <reference field="14" count="1" selected="0">
            <x v="140"/>
          </reference>
          <reference field="18" count="1" selected="0">
            <x v="22"/>
          </reference>
          <reference field="19" count="1">
            <x v="11"/>
          </reference>
        </references>
      </pivotArea>
    </format>
    <format dxfId="3068">
      <pivotArea dataOnly="0" labelOnly="1" outline="0" fieldPosition="0">
        <references count="4">
          <reference field="11" count="1" selected="0">
            <x v="390"/>
          </reference>
          <reference field="14" count="1" selected="0">
            <x v="445"/>
          </reference>
          <reference field="18" count="1" selected="0">
            <x v="19"/>
          </reference>
          <reference field="19" count="1">
            <x v="2"/>
          </reference>
        </references>
      </pivotArea>
    </format>
    <format dxfId="3067">
      <pivotArea dataOnly="0" labelOnly="1" outline="0" fieldPosition="0">
        <references count="4">
          <reference field="11" count="1" selected="0">
            <x v="391"/>
          </reference>
          <reference field="14" count="1" selected="0">
            <x v="422"/>
          </reference>
          <reference field="18" count="1" selected="0">
            <x v="19"/>
          </reference>
          <reference field="19" count="1">
            <x v="2"/>
          </reference>
        </references>
      </pivotArea>
    </format>
    <format dxfId="3066">
      <pivotArea dataOnly="0" labelOnly="1" outline="0" fieldPosition="0">
        <references count="4">
          <reference field="11" count="1" selected="0">
            <x v="392"/>
          </reference>
          <reference field="14" count="1" selected="0">
            <x v="198"/>
          </reference>
          <reference field="18" count="1" selected="0">
            <x v="4"/>
          </reference>
          <reference field="19" count="1">
            <x v="10"/>
          </reference>
        </references>
      </pivotArea>
    </format>
    <format dxfId="3065">
      <pivotArea dataOnly="0" labelOnly="1" outline="0" fieldPosition="0">
        <references count="4">
          <reference field="11" count="1" selected="0">
            <x v="393"/>
          </reference>
          <reference field="14" count="1" selected="0">
            <x v="205"/>
          </reference>
          <reference field="18" count="1" selected="0">
            <x v="19"/>
          </reference>
          <reference field="19" count="1">
            <x v="2"/>
          </reference>
        </references>
      </pivotArea>
    </format>
    <format dxfId="3064">
      <pivotArea dataOnly="0" labelOnly="1" outline="0" fieldPosition="0">
        <references count="4">
          <reference field="11" count="1" selected="0">
            <x v="394"/>
          </reference>
          <reference field="14" count="1" selected="0">
            <x v="53"/>
          </reference>
          <reference field="18" count="1" selected="0">
            <x v="12"/>
          </reference>
          <reference field="19" count="1">
            <x v="13"/>
          </reference>
        </references>
      </pivotArea>
    </format>
    <format dxfId="3063">
      <pivotArea dataOnly="0" labelOnly="1" outline="0" fieldPosition="0">
        <references count="4">
          <reference field="11" count="1" selected="0">
            <x v="394"/>
          </reference>
          <reference field="14" count="1" selected="0">
            <x v="53"/>
          </reference>
          <reference field="18" count="1" selected="0">
            <x v="14"/>
          </reference>
          <reference field="19" count="1">
            <x v="9"/>
          </reference>
        </references>
      </pivotArea>
    </format>
    <format dxfId="3062">
      <pivotArea dataOnly="0" labelOnly="1" outline="0" fieldPosition="0">
        <references count="4">
          <reference field="11" count="1" selected="0">
            <x v="395"/>
          </reference>
          <reference field="14" count="1" selected="0">
            <x v="245"/>
          </reference>
          <reference field="18" count="1" selected="0">
            <x v="14"/>
          </reference>
          <reference field="19" count="1">
            <x v="9"/>
          </reference>
        </references>
      </pivotArea>
    </format>
    <format dxfId="3061">
      <pivotArea dataOnly="0" labelOnly="1" outline="0" fieldPosition="0">
        <references count="4">
          <reference field="11" count="1" selected="0">
            <x v="396"/>
          </reference>
          <reference field="14" count="1" selected="0">
            <x v="169"/>
          </reference>
          <reference field="18" count="1" selected="0">
            <x v="14"/>
          </reference>
          <reference field="19" count="1">
            <x v="9"/>
          </reference>
        </references>
      </pivotArea>
    </format>
    <format dxfId="3060">
      <pivotArea dataOnly="0" labelOnly="1" outline="0" fieldPosition="0">
        <references count="4">
          <reference field="11" count="1" selected="0">
            <x v="397"/>
          </reference>
          <reference field="14" count="1" selected="0">
            <x v="167"/>
          </reference>
          <reference field="18" count="1" selected="0">
            <x v="0"/>
          </reference>
          <reference field="19" count="1">
            <x v="16"/>
          </reference>
        </references>
      </pivotArea>
    </format>
    <format dxfId="3059">
      <pivotArea dataOnly="0" labelOnly="1" outline="0" fieldPosition="0">
        <references count="4">
          <reference field="11" count="1" selected="0">
            <x v="398"/>
          </reference>
          <reference field="14" count="1" selected="0">
            <x v="360"/>
          </reference>
          <reference field="18" count="1" selected="0">
            <x v="1"/>
          </reference>
          <reference field="19" count="1">
            <x v="18"/>
          </reference>
        </references>
      </pivotArea>
    </format>
    <format dxfId="3058">
      <pivotArea dataOnly="0" labelOnly="1" outline="0" fieldPosition="0">
        <references count="4">
          <reference field="11" count="1" selected="0">
            <x v="399"/>
          </reference>
          <reference field="14" count="1" selected="0">
            <x v="95"/>
          </reference>
          <reference field="18" count="1" selected="0">
            <x v="0"/>
          </reference>
          <reference field="19" count="1">
            <x v="16"/>
          </reference>
        </references>
      </pivotArea>
    </format>
    <format dxfId="3057">
      <pivotArea dataOnly="0" labelOnly="1" outline="0" fieldPosition="0">
        <references count="4">
          <reference field="11" count="1" selected="0">
            <x v="400"/>
          </reference>
          <reference field="14" count="1" selected="0">
            <x v="260"/>
          </reference>
          <reference field="18" count="1" selected="0">
            <x v="0"/>
          </reference>
          <reference field="19" count="1">
            <x v="16"/>
          </reference>
        </references>
      </pivotArea>
    </format>
    <format dxfId="3056">
      <pivotArea dataOnly="0" labelOnly="1" outline="0" fieldPosition="0">
        <references count="4">
          <reference field="11" count="1" selected="0">
            <x v="401"/>
          </reference>
          <reference field="14" count="1" selected="0">
            <x v="75"/>
          </reference>
          <reference field="18" count="1" selected="0">
            <x v="19"/>
          </reference>
          <reference field="19" count="1">
            <x v="2"/>
          </reference>
        </references>
      </pivotArea>
    </format>
    <format dxfId="3055">
      <pivotArea dataOnly="0" labelOnly="1" outline="0" fieldPosition="0">
        <references count="4">
          <reference field="11" count="1" selected="0">
            <x v="402"/>
          </reference>
          <reference field="14" count="1" selected="0">
            <x v="322"/>
          </reference>
          <reference field="18" count="1" selected="0">
            <x v="3"/>
          </reference>
          <reference field="19" count="1">
            <x v="15"/>
          </reference>
        </references>
      </pivotArea>
    </format>
    <format dxfId="3054">
      <pivotArea dataOnly="0" labelOnly="1" outline="0" fieldPosition="0">
        <references count="4">
          <reference field="11" count="1" selected="0">
            <x v="403"/>
          </reference>
          <reference field="14" count="1" selected="0">
            <x v="146"/>
          </reference>
          <reference field="18" count="1" selected="0">
            <x v="27"/>
          </reference>
          <reference field="19" count="1">
            <x v="17"/>
          </reference>
        </references>
      </pivotArea>
    </format>
    <format dxfId="3053">
      <pivotArea dataOnly="0" labelOnly="1" outline="0" fieldPosition="0">
        <references count="4">
          <reference field="11" count="1" selected="0">
            <x v="404"/>
          </reference>
          <reference field="14" count="1" selected="0">
            <x v="443"/>
          </reference>
          <reference field="18" count="1" selected="0">
            <x v="11"/>
          </reference>
          <reference field="19" count="1">
            <x v="20"/>
          </reference>
        </references>
      </pivotArea>
    </format>
    <format dxfId="3052">
      <pivotArea dataOnly="0" labelOnly="1" outline="0" fieldPosition="0">
        <references count="4">
          <reference field="11" count="1" selected="0">
            <x v="404"/>
          </reference>
          <reference field="14" count="1" selected="0">
            <x v="443"/>
          </reference>
          <reference field="18" count="1" selected="0">
            <x v="19"/>
          </reference>
          <reference field="19" count="1">
            <x v="2"/>
          </reference>
        </references>
      </pivotArea>
    </format>
    <format dxfId="3051">
      <pivotArea dataOnly="0" labelOnly="1" outline="0" fieldPosition="0">
        <references count="4">
          <reference field="11" count="1" selected="0">
            <x v="405"/>
          </reference>
          <reference field="14" count="1" selected="0">
            <x v="359"/>
          </reference>
          <reference field="18" count="1" selected="0">
            <x v="27"/>
          </reference>
          <reference field="19" count="1">
            <x v="17"/>
          </reference>
        </references>
      </pivotArea>
    </format>
    <format dxfId="3050">
      <pivotArea dataOnly="0" labelOnly="1" outline="0" fieldPosition="0">
        <references count="4">
          <reference field="11" count="1" selected="0">
            <x v="406"/>
          </reference>
          <reference field="14" count="1" selected="0">
            <x v="381"/>
          </reference>
          <reference field="18" count="1" selected="0">
            <x v="0"/>
          </reference>
          <reference field="19" count="1">
            <x v="16"/>
          </reference>
        </references>
      </pivotArea>
    </format>
    <format dxfId="3049">
      <pivotArea dataOnly="0" labelOnly="1" outline="0" fieldPosition="0">
        <references count="4">
          <reference field="11" count="1" selected="0">
            <x v="407"/>
          </reference>
          <reference field="14" count="1" selected="0">
            <x v="65"/>
          </reference>
          <reference field="18" count="1" selected="0">
            <x v="6"/>
          </reference>
          <reference field="19" count="1">
            <x v="23"/>
          </reference>
        </references>
      </pivotArea>
    </format>
    <format dxfId="3048">
      <pivotArea dataOnly="0" labelOnly="1" outline="0" fieldPosition="0">
        <references count="4">
          <reference field="11" count="1" selected="0">
            <x v="408"/>
          </reference>
          <reference field="14" count="1" selected="0">
            <x v="20"/>
          </reference>
          <reference field="18" count="1" selected="0">
            <x v="3"/>
          </reference>
          <reference field="19" count="1">
            <x v="15"/>
          </reference>
        </references>
      </pivotArea>
    </format>
    <format dxfId="3047">
      <pivotArea dataOnly="0" labelOnly="1" outline="0" fieldPosition="0">
        <references count="4">
          <reference field="11" count="1" selected="0">
            <x v="409"/>
          </reference>
          <reference field="14" count="1" selected="0">
            <x v="175"/>
          </reference>
          <reference field="18" count="1" selected="0">
            <x v="3"/>
          </reference>
          <reference field="19" count="1">
            <x v="15"/>
          </reference>
        </references>
      </pivotArea>
    </format>
    <format dxfId="3046">
      <pivotArea dataOnly="0" labelOnly="1" outline="0" fieldPosition="0">
        <references count="4">
          <reference field="11" count="1" selected="0">
            <x v="410"/>
          </reference>
          <reference field="14" count="1" selected="0">
            <x v="366"/>
          </reference>
          <reference field="18" count="1" selected="0">
            <x v="3"/>
          </reference>
          <reference field="19" count="1">
            <x v="15"/>
          </reference>
        </references>
      </pivotArea>
    </format>
    <format dxfId="3045">
      <pivotArea dataOnly="0" labelOnly="1" outline="0" fieldPosition="0">
        <references count="4">
          <reference field="11" count="1" selected="0">
            <x v="411"/>
          </reference>
          <reference field="14" count="1" selected="0">
            <x v="204"/>
          </reference>
          <reference field="18" count="1" selected="0">
            <x v="7"/>
          </reference>
          <reference field="19" count="1">
            <x v="4"/>
          </reference>
        </references>
      </pivotArea>
    </format>
    <format dxfId="3044">
      <pivotArea dataOnly="0" labelOnly="1" outline="0" fieldPosition="0">
        <references count="4">
          <reference field="11" count="1" selected="0">
            <x v="412"/>
          </reference>
          <reference field="14" count="1" selected="0">
            <x v="441"/>
          </reference>
          <reference field="18" count="1" selected="0">
            <x v="19"/>
          </reference>
          <reference field="19" count="1">
            <x v="2"/>
          </reference>
        </references>
      </pivotArea>
    </format>
    <format dxfId="3043">
      <pivotArea dataOnly="0" labelOnly="1" outline="0" fieldPosition="0">
        <references count="4">
          <reference field="11" count="1" selected="0">
            <x v="413"/>
          </reference>
          <reference field="14" count="1" selected="0">
            <x v="73"/>
          </reference>
          <reference field="18" count="1" selected="0">
            <x v="22"/>
          </reference>
          <reference field="19" count="1">
            <x v="11"/>
          </reference>
        </references>
      </pivotArea>
    </format>
    <format dxfId="3042">
      <pivotArea dataOnly="0" labelOnly="1" outline="0" fieldPosition="0">
        <references count="4">
          <reference field="11" count="1" selected="0">
            <x v="414"/>
          </reference>
          <reference field="14" count="1" selected="0">
            <x v="125"/>
          </reference>
          <reference field="18" count="1" selected="0">
            <x v="14"/>
          </reference>
          <reference field="19" count="1">
            <x v="9"/>
          </reference>
        </references>
      </pivotArea>
    </format>
    <format dxfId="3041">
      <pivotArea dataOnly="0" labelOnly="1" outline="0" fieldPosition="0">
        <references count="4">
          <reference field="11" count="1" selected="0">
            <x v="415"/>
          </reference>
          <reference field="14" count="1" selected="0">
            <x v="324"/>
          </reference>
          <reference field="18" count="1" selected="0">
            <x v="0"/>
          </reference>
          <reference field="19" count="1">
            <x v="16"/>
          </reference>
        </references>
      </pivotArea>
    </format>
    <format dxfId="3040">
      <pivotArea dataOnly="0" labelOnly="1" outline="0" fieldPosition="0">
        <references count="4">
          <reference field="11" count="1" selected="0">
            <x v="416"/>
          </reference>
          <reference field="14" count="1" selected="0">
            <x v="108"/>
          </reference>
          <reference field="18" count="1" selected="0">
            <x v="0"/>
          </reference>
          <reference field="19" count="1">
            <x v="16"/>
          </reference>
        </references>
      </pivotArea>
    </format>
    <format dxfId="3039">
      <pivotArea dataOnly="0" labelOnly="1" outline="0" fieldPosition="0">
        <references count="4">
          <reference field="11" count="1" selected="0">
            <x v="417"/>
          </reference>
          <reference field="14" count="1" selected="0">
            <x v="109"/>
          </reference>
          <reference field="18" count="1" selected="0">
            <x v="1"/>
          </reference>
          <reference field="19" count="1">
            <x v="18"/>
          </reference>
        </references>
      </pivotArea>
    </format>
    <format dxfId="3038">
      <pivotArea dataOnly="0" labelOnly="1" outline="0" fieldPosition="0">
        <references count="4">
          <reference field="11" count="1" selected="0">
            <x v="418"/>
          </reference>
          <reference field="14" count="1" selected="0">
            <x v="110"/>
          </reference>
          <reference field="18" count="1" selected="0">
            <x v="3"/>
          </reference>
          <reference field="19" count="1">
            <x v="15"/>
          </reference>
        </references>
      </pivotArea>
    </format>
    <format dxfId="3037">
      <pivotArea dataOnly="0" labelOnly="1" outline="0" fieldPosition="0">
        <references count="4">
          <reference field="11" count="1" selected="0">
            <x v="418"/>
          </reference>
          <reference field="14" count="1" selected="0">
            <x v="110"/>
          </reference>
          <reference field="18" count="1" selected="0">
            <x v="9"/>
          </reference>
          <reference field="19" count="1">
            <x v="6"/>
          </reference>
        </references>
      </pivotArea>
    </format>
    <format dxfId="3036">
      <pivotArea dataOnly="0" labelOnly="1" outline="0" fieldPosition="0">
        <references count="4">
          <reference field="11" count="1" selected="0">
            <x v="419"/>
          </reference>
          <reference field="14" count="1" selected="0">
            <x v="107"/>
          </reference>
          <reference field="18" count="1" selected="0">
            <x v="0"/>
          </reference>
          <reference field="19" count="1">
            <x v="16"/>
          </reference>
        </references>
      </pivotArea>
    </format>
    <format dxfId="3035">
      <pivotArea dataOnly="0" labelOnly="1" outline="0" fieldPosition="0">
        <references count="4">
          <reference field="11" count="1" selected="0">
            <x v="420"/>
          </reference>
          <reference field="14" count="1" selected="0">
            <x v="45"/>
          </reference>
          <reference field="18" count="1" selected="0">
            <x v="0"/>
          </reference>
          <reference field="19" count="1">
            <x v="16"/>
          </reference>
        </references>
      </pivotArea>
    </format>
    <format dxfId="3034">
      <pivotArea dataOnly="0" labelOnly="1" outline="0" fieldPosition="0">
        <references count="4">
          <reference field="11" count="1" selected="0">
            <x v="421"/>
          </reference>
          <reference field="14" count="1" selected="0">
            <x v="287"/>
          </reference>
          <reference field="18" count="1" selected="0">
            <x v="0"/>
          </reference>
          <reference field="19" count="1">
            <x v="16"/>
          </reference>
        </references>
      </pivotArea>
    </format>
    <format dxfId="3033">
      <pivotArea dataOnly="0" labelOnly="1" outline="0" fieldPosition="0">
        <references count="4">
          <reference field="11" count="1" selected="0">
            <x v="422"/>
          </reference>
          <reference field="14" count="1" selected="0">
            <x v="363"/>
          </reference>
          <reference field="18" count="1" selected="0">
            <x v="16"/>
          </reference>
          <reference field="19" count="1">
            <x v="24"/>
          </reference>
        </references>
      </pivotArea>
    </format>
    <format dxfId="3032">
      <pivotArea dataOnly="0" labelOnly="1" outline="0" fieldPosition="0">
        <references count="4">
          <reference field="11" count="1" selected="0">
            <x v="422"/>
          </reference>
          <reference field="14" count="1" selected="0">
            <x v="363"/>
          </reference>
          <reference field="18" count="1" selected="0">
            <x v="18"/>
          </reference>
          <reference field="19" count="1">
            <x v="26"/>
          </reference>
        </references>
      </pivotArea>
    </format>
    <format dxfId="3031">
      <pivotArea dataOnly="0" labelOnly="1" outline="0" fieldPosition="0">
        <references count="4">
          <reference field="11" count="1" selected="0">
            <x v="423"/>
          </reference>
          <reference field="14" count="1" selected="0">
            <x v="259"/>
          </reference>
          <reference field="18" count="1" selected="0">
            <x v="12"/>
          </reference>
          <reference field="19" count="1">
            <x v="13"/>
          </reference>
        </references>
      </pivotArea>
    </format>
    <format dxfId="3030">
      <pivotArea dataOnly="0" labelOnly="1" outline="0" fieldPosition="0">
        <references count="4">
          <reference field="11" count="1" selected="0">
            <x v="424"/>
          </reference>
          <reference field="14" count="1" selected="0">
            <x v="408"/>
          </reference>
          <reference field="18" count="1" selected="0">
            <x v="0"/>
          </reference>
          <reference field="19" count="1">
            <x v="16"/>
          </reference>
        </references>
      </pivotArea>
    </format>
    <format dxfId="3029">
      <pivotArea dataOnly="0" labelOnly="1" outline="0" fieldPosition="0">
        <references count="4">
          <reference field="11" count="1" selected="0">
            <x v="425"/>
          </reference>
          <reference field="14" count="1" selected="0">
            <x v="289"/>
          </reference>
          <reference field="18" count="1" selected="0">
            <x v="14"/>
          </reference>
          <reference field="19" count="1">
            <x v="9"/>
          </reference>
        </references>
      </pivotArea>
    </format>
    <format dxfId="3028">
      <pivotArea dataOnly="0" labelOnly="1" outline="0" fieldPosition="0">
        <references count="4">
          <reference field="11" count="1" selected="0">
            <x v="426"/>
          </reference>
          <reference field="14" count="1" selected="0">
            <x v="401"/>
          </reference>
          <reference field="18" count="1" selected="0">
            <x v="0"/>
          </reference>
          <reference field="19" count="1">
            <x v="16"/>
          </reference>
        </references>
      </pivotArea>
    </format>
    <format dxfId="3027">
      <pivotArea dataOnly="0" labelOnly="1" outline="0" fieldPosition="0">
        <references count="4">
          <reference field="11" count="1" selected="0">
            <x v="427"/>
          </reference>
          <reference field="14" count="1" selected="0">
            <x v="407"/>
          </reference>
          <reference field="18" count="1" selected="0">
            <x v="0"/>
          </reference>
          <reference field="19" count="1">
            <x v="16"/>
          </reference>
        </references>
      </pivotArea>
    </format>
    <format dxfId="3026">
      <pivotArea dataOnly="0" labelOnly="1" outline="0" fieldPosition="0">
        <references count="4">
          <reference field="11" count="1" selected="0">
            <x v="428"/>
          </reference>
          <reference field="14" count="1" selected="0">
            <x v="412"/>
          </reference>
          <reference field="18" count="1" selected="0">
            <x v="0"/>
          </reference>
          <reference field="19" count="1">
            <x v="16"/>
          </reference>
        </references>
      </pivotArea>
    </format>
    <format dxfId="3025">
      <pivotArea dataOnly="0" labelOnly="1" outline="0" fieldPosition="0">
        <references count="4">
          <reference field="11" count="1" selected="0">
            <x v="429"/>
          </reference>
          <reference field="14" count="1" selected="0">
            <x v="421"/>
          </reference>
          <reference field="18" count="1" selected="0">
            <x v="19"/>
          </reference>
          <reference field="19" count="1">
            <x v="2"/>
          </reference>
        </references>
      </pivotArea>
    </format>
    <format dxfId="3024">
      <pivotArea dataOnly="0" labelOnly="1" outline="0" fieldPosition="0">
        <references count="4">
          <reference field="11" count="1" selected="0">
            <x v="430"/>
          </reference>
          <reference field="14" count="1" selected="0">
            <x v="444"/>
          </reference>
          <reference field="18" count="1" selected="0">
            <x v="19"/>
          </reference>
          <reference field="19" count="1">
            <x v="2"/>
          </reference>
        </references>
      </pivotArea>
    </format>
    <format dxfId="3023">
      <pivotArea dataOnly="0" labelOnly="1" outline="0" fieldPosition="0">
        <references count="4">
          <reference field="11" count="1" selected="0">
            <x v="431"/>
          </reference>
          <reference field="14" count="1" selected="0">
            <x v="191"/>
          </reference>
          <reference field="18" count="1" selected="0">
            <x v="3"/>
          </reference>
          <reference field="19" count="1">
            <x v="15"/>
          </reference>
        </references>
      </pivotArea>
    </format>
    <format dxfId="3022">
      <pivotArea dataOnly="0" labelOnly="1" outline="0" fieldPosition="0">
        <references count="4">
          <reference field="11" count="1" selected="0">
            <x v="432"/>
          </reference>
          <reference field="14" count="1" selected="0">
            <x v="119"/>
          </reference>
          <reference field="18" count="1" selected="0">
            <x v="12"/>
          </reference>
          <reference field="19" count="1">
            <x v="13"/>
          </reference>
        </references>
      </pivotArea>
    </format>
    <format dxfId="3021">
      <pivotArea dataOnly="0" labelOnly="1" outline="0" fieldPosition="0">
        <references count="4">
          <reference field="11" count="1" selected="0">
            <x v="432"/>
          </reference>
          <reference field="14" count="1" selected="0">
            <x v="119"/>
          </reference>
          <reference field="18" count="1" selected="0">
            <x v="14"/>
          </reference>
          <reference field="19" count="1">
            <x v="9"/>
          </reference>
        </references>
      </pivotArea>
    </format>
    <format dxfId="3020">
      <pivotArea dataOnly="0" labelOnly="1" outline="0" fieldPosition="0">
        <references count="4">
          <reference field="11" count="1" selected="0">
            <x v="433"/>
          </reference>
          <reference field="14" count="1" selected="0">
            <x v="80"/>
          </reference>
          <reference field="18" count="1" selected="0">
            <x v="27"/>
          </reference>
          <reference field="19" count="1">
            <x v="17"/>
          </reference>
        </references>
      </pivotArea>
    </format>
    <format dxfId="3019">
      <pivotArea dataOnly="0" labelOnly="1" outline="0" fieldPosition="0">
        <references count="4">
          <reference field="11" count="1" selected="0">
            <x v="434"/>
          </reference>
          <reference field="14" count="1" selected="0">
            <x v="84"/>
          </reference>
          <reference field="18" count="1" selected="0">
            <x v="0"/>
          </reference>
          <reference field="19" count="1">
            <x v="16"/>
          </reference>
        </references>
      </pivotArea>
    </format>
    <format dxfId="3018">
      <pivotArea dataOnly="0" labelOnly="1" outline="0" fieldPosition="0">
        <references count="4">
          <reference field="11" count="1" selected="0">
            <x v="434"/>
          </reference>
          <reference field="14" count="1" selected="0">
            <x v="84"/>
          </reference>
          <reference field="18" count="1" selected="0">
            <x v="27"/>
          </reference>
          <reference field="19" count="1">
            <x v="17"/>
          </reference>
        </references>
      </pivotArea>
    </format>
    <format dxfId="3017">
      <pivotArea dataOnly="0" labelOnly="1" outline="0" fieldPosition="0">
        <references count="4">
          <reference field="11" count="1" selected="0">
            <x v="435"/>
          </reference>
          <reference field="14" count="1" selected="0">
            <x v="236"/>
          </reference>
          <reference field="18" count="1" selected="0">
            <x v="27"/>
          </reference>
          <reference field="19" count="1">
            <x v="17"/>
          </reference>
        </references>
      </pivotArea>
    </format>
    <format dxfId="3016">
      <pivotArea dataOnly="0" labelOnly="1" outline="0" fieldPosition="0">
        <references count="4">
          <reference field="11" count="1" selected="0">
            <x v="436"/>
          </reference>
          <reference field="14" count="1" selected="0">
            <x v="99"/>
          </reference>
          <reference field="18" count="1" selected="0">
            <x v="1"/>
          </reference>
          <reference field="19" count="1">
            <x v="18"/>
          </reference>
        </references>
      </pivotArea>
    </format>
    <format dxfId="3015">
      <pivotArea dataOnly="0" labelOnly="1" outline="0" fieldPosition="0">
        <references count="4">
          <reference field="11" count="1" selected="0">
            <x v="437"/>
          </reference>
          <reference field="14" count="1" selected="0">
            <x v="246"/>
          </reference>
          <reference field="18" count="1" selected="0">
            <x v="14"/>
          </reference>
          <reference field="19" count="1">
            <x v="9"/>
          </reference>
        </references>
      </pivotArea>
    </format>
    <format dxfId="3014">
      <pivotArea dataOnly="0" labelOnly="1" outline="0" fieldPosition="0">
        <references count="4">
          <reference field="11" count="1" selected="0">
            <x v="438"/>
          </reference>
          <reference field="14" count="1" selected="0">
            <x v="15"/>
          </reference>
          <reference field="18" count="1" selected="0">
            <x v="8"/>
          </reference>
          <reference field="19" count="1">
            <x v="5"/>
          </reference>
        </references>
      </pivotArea>
    </format>
    <format dxfId="3013">
      <pivotArea dataOnly="0" labelOnly="1" outline="0" fieldPosition="0">
        <references count="4">
          <reference field="11" count="1" selected="0">
            <x v="438"/>
          </reference>
          <reference field="14" count="1" selected="0">
            <x v="15"/>
          </reference>
          <reference field="18" count="1" selected="0">
            <x v="14"/>
          </reference>
          <reference field="19" count="1">
            <x v="9"/>
          </reference>
        </references>
      </pivotArea>
    </format>
    <format dxfId="3012">
      <pivotArea dataOnly="0" labelOnly="1" outline="0" fieldPosition="0">
        <references count="4">
          <reference field="11" count="1" selected="0">
            <x v="439"/>
          </reference>
          <reference field="14" count="1" selected="0">
            <x v="446"/>
          </reference>
          <reference field="18" count="1" selected="0">
            <x v="19"/>
          </reference>
          <reference field="19" count="1">
            <x v="2"/>
          </reference>
        </references>
      </pivotArea>
    </format>
    <format dxfId="3011">
      <pivotArea dataOnly="0" labelOnly="1" outline="0" fieldPosition="0">
        <references count="4">
          <reference field="11" count="1" selected="0">
            <x v="440"/>
          </reference>
          <reference field="14" count="1" selected="0">
            <x v="208"/>
          </reference>
          <reference field="18" count="1" selected="0">
            <x v="27"/>
          </reference>
          <reference field="19" count="1">
            <x v="17"/>
          </reference>
        </references>
      </pivotArea>
    </format>
    <format dxfId="3010">
      <pivotArea dataOnly="0" labelOnly="1" outline="0" fieldPosition="0">
        <references count="4">
          <reference field="11" count="1" selected="0">
            <x v="441"/>
          </reference>
          <reference field="14" count="1" selected="0">
            <x v="30"/>
          </reference>
          <reference field="18" count="1" selected="0">
            <x v="27"/>
          </reference>
          <reference field="19" count="1">
            <x v="17"/>
          </reference>
        </references>
      </pivotArea>
    </format>
    <format dxfId="3009">
      <pivotArea dataOnly="0" labelOnly="1" outline="0" fieldPosition="0">
        <references count="4">
          <reference field="11" count="1" selected="0">
            <x v="442"/>
          </reference>
          <reference field="14" count="1" selected="0">
            <x v="306"/>
          </reference>
          <reference field="18" count="1" selected="0">
            <x v="27"/>
          </reference>
          <reference field="19" count="1">
            <x v="17"/>
          </reference>
        </references>
      </pivotArea>
    </format>
    <format dxfId="3008">
      <pivotArea dataOnly="0" labelOnly="1" outline="0" fieldPosition="0">
        <references count="4">
          <reference field="11" count="1" selected="0">
            <x v="443"/>
          </reference>
          <reference field="14" count="1" selected="0">
            <x v="432"/>
          </reference>
          <reference field="18" count="1" selected="0">
            <x v="19"/>
          </reference>
          <reference field="19" count="1">
            <x v="2"/>
          </reference>
        </references>
      </pivotArea>
    </format>
    <format dxfId="3007">
      <pivotArea dataOnly="0" labelOnly="1" outline="0" fieldPosition="0">
        <references count="4">
          <reference field="11" count="1" selected="0">
            <x v="444"/>
          </reference>
          <reference field="14" count="1" selected="0">
            <x v="436"/>
          </reference>
          <reference field="18" count="1" selected="0">
            <x v="19"/>
          </reference>
          <reference field="19" count="1">
            <x v="2"/>
          </reference>
        </references>
      </pivotArea>
    </format>
    <format dxfId="3006">
      <pivotArea dataOnly="0" labelOnly="1" outline="0" fieldPosition="0">
        <references count="4">
          <reference field="11" count="1" selected="0">
            <x v="445"/>
          </reference>
          <reference field="14" count="1" selected="0">
            <x v="437"/>
          </reference>
          <reference field="18" count="1" selected="0">
            <x v="19"/>
          </reference>
          <reference field="19" count="1">
            <x v="2"/>
          </reference>
        </references>
      </pivotArea>
    </format>
    <format dxfId="3005">
      <pivotArea dataOnly="0" labelOnly="1" outline="0" fieldPosition="0">
        <references count="4">
          <reference field="11" count="1" selected="0">
            <x v="446"/>
          </reference>
          <reference field="14" count="1" selected="0">
            <x v="29"/>
          </reference>
          <reference field="18" count="1" selected="0">
            <x v="19"/>
          </reference>
          <reference field="19" count="1">
            <x v="2"/>
          </reference>
        </references>
      </pivotArea>
    </format>
    <format dxfId="3004">
      <pivotArea dataOnly="0" labelOnly="1" outline="0" fieldPosition="0">
        <references count="4">
          <reference field="11" count="1" selected="0">
            <x v="447"/>
          </reference>
          <reference field="14" count="1" selected="0">
            <x v="57"/>
          </reference>
          <reference field="18" count="1" selected="0">
            <x v="27"/>
          </reference>
          <reference field="19" count="1">
            <x v="17"/>
          </reference>
        </references>
      </pivotArea>
    </format>
    <format dxfId="3003">
      <pivotArea dataOnly="0" labelOnly="1" outline="0" fieldPosition="0">
        <references count="4">
          <reference field="11" count="1" selected="0">
            <x v="448"/>
          </reference>
          <reference field="14" count="1" selected="0">
            <x v="58"/>
          </reference>
          <reference field="18" count="1" selected="0">
            <x v="27"/>
          </reference>
          <reference field="19" count="1">
            <x v="17"/>
          </reference>
        </references>
      </pivotArea>
    </format>
    <format dxfId="3002">
      <pivotArea dataOnly="0" labelOnly="1" outline="0" fieldPosition="0">
        <references count="4">
          <reference field="11" count="1" selected="0">
            <x v="449"/>
          </reference>
          <reference field="14" count="1" selected="0">
            <x v="10"/>
          </reference>
          <reference field="18" count="1" selected="0">
            <x v="24"/>
          </reference>
          <reference field="19" count="1">
            <x v="7"/>
          </reference>
        </references>
      </pivotArea>
    </format>
    <format dxfId="3001">
      <pivotArea dataOnly="0" labelOnly="1" outline="0" fieldPosition="0">
        <references count="4">
          <reference field="11" count="1" selected="0">
            <x v="449"/>
          </reference>
          <reference field="14" count="1" selected="0">
            <x v="10"/>
          </reference>
          <reference field="18" count="1" selected="0">
            <x v="27"/>
          </reference>
          <reference field="19" count="1">
            <x v="17"/>
          </reference>
        </references>
      </pivotArea>
    </format>
    <format dxfId="3000">
      <pivotArea dataOnly="0" labelOnly="1" outline="0" fieldPosition="0">
        <references count="4">
          <reference field="11" count="1" selected="0">
            <x v="450"/>
          </reference>
          <reference field="14" count="1" selected="0">
            <x v="141"/>
          </reference>
          <reference field="18" count="1" selected="0">
            <x v="0"/>
          </reference>
          <reference field="19" count="1">
            <x v="16"/>
          </reference>
        </references>
      </pivotArea>
    </format>
    <format dxfId="2999">
      <pivotArea dataOnly="0" labelOnly="1" outline="0" fieldPosition="0">
        <references count="4">
          <reference field="11" count="1" selected="0">
            <x v="450"/>
          </reference>
          <reference field="14" count="1" selected="0">
            <x v="141"/>
          </reference>
          <reference field="18" count="1" selected="0">
            <x v="27"/>
          </reference>
          <reference field="19" count="1">
            <x v="17"/>
          </reference>
        </references>
      </pivotArea>
    </format>
    <format dxfId="2998">
      <pivotArea dataOnly="0" labelOnly="1" outline="0" fieldPosition="0">
        <references count="4">
          <reference field="11" count="1" selected="0">
            <x v="451"/>
          </reference>
          <reference field="14" count="1" selected="0">
            <x v="101"/>
          </reference>
          <reference field="18" count="1" selected="0">
            <x v="27"/>
          </reference>
          <reference field="19" count="1">
            <x v="17"/>
          </reference>
        </references>
      </pivotArea>
    </format>
    <format dxfId="2997">
      <pivotArea dataOnly="0" labelOnly="1" outline="0" fieldPosition="0">
        <references count="4">
          <reference field="11" count="1" selected="0">
            <x v="452"/>
          </reference>
          <reference field="14" count="1" selected="0">
            <x v="450"/>
          </reference>
          <reference field="18" count="1" selected="0">
            <x v="19"/>
          </reference>
          <reference field="19" count="1">
            <x v="2"/>
          </reference>
        </references>
      </pivotArea>
    </format>
    <format dxfId="2996">
      <pivotArea dataOnly="0" labelOnly="1" outline="0" fieldPosition="0">
        <references count="4">
          <reference field="11" count="1" selected="0">
            <x v="453"/>
          </reference>
          <reference field="14" count="1" selected="0">
            <x v="144"/>
          </reference>
          <reference field="18" count="1" selected="0">
            <x v="3"/>
          </reference>
          <reference field="19" count="1">
            <x v="15"/>
          </reference>
        </references>
      </pivotArea>
    </format>
    <format dxfId="2995">
      <pivotArea dataOnly="0" labelOnly="1" outline="0" fieldPosition="0">
        <references count="4">
          <reference field="11" count="1" selected="0">
            <x v="454"/>
          </reference>
          <reference field="14" count="1" selected="0">
            <x v="397"/>
          </reference>
          <reference field="18" count="1" selected="0">
            <x v="3"/>
          </reference>
          <reference field="19" count="1">
            <x v="15"/>
          </reference>
        </references>
      </pivotArea>
    </format>
    <format dxfId="2994">
      <pivotArea dataOnly="0" labelOnly="1" outline="0" fieldPosition="0">
        <references count="4">
          <reference field="11" count="1" selected="0">
            <x v="455"/>
          </reference>
          <reference field="14" count="1" selected="0">
            <x v="390"/>
          </reference>
          <reference field="18" count="1" selected="0">
            <x v="3"/>
          </reference>
          <reference field="19" count="1">
            <x v="15"/>
          </reference>
        </references>
      </pivotArea>
    </format>
    <format dxfId="2993">
      <pivotArea dataOnly="0" labelOnly="1" outline="0" fieldPosition="0">
        <references count="4">
          <reference field="11" count="1" selected="0">
            <x v="456"/>
          </reference>
          <reference field="14" count="1" selected="0">
            <x v="452"/>
          </reference>
          <reference field="18" count="1" selected="0">
            <x v="3"/>
          </reference>
          <reference field="19" count="1">
            <x v="15"/>
          </reference>
        </references>
      </pivotArea>
    </format>
    <format dxfId="2992">
      <pivotArea dataOnly="0" labelOnly="1" outline="0" fieldPosition="0">
        <references count="4">
          <reference field="11" count="1" selected="0">
            <x v="457"/>
          </reference>
          <reference field="14" count="1" selected="0">
            <x v="12"/>
          </reference>
          <reference field="18" count="1" selected="0">
            <x v="3"/>
          </reference>
          <reference field="19" count="1">
            <x v="15"/>
          </reference>
        </references>
      </pivotArea>
    </format>
    <format dxfId="2991">
      <pivotArea dataOnly="0" labelOnly="1" outline="0" fieldPosition="0">
        <references count="4">
          <reference field="11" count="1" selected="0">
            <x v="458"/>
          </reference>
          <reference field="14" count="1" selected="0">
            <x v="367"/>
          </reference>
          <reference field="18" count="1" selected="0">
            <x v="3"/>
          </reference>
          <reference field="19" count="1">
            <x v="15"/>
          </reference>
        </references>
      </pivotArea>
    </format>
    <format dxfId="2990">
      <pivotArea dataOnly="0" labelOnly="1" outline="0" fieldPosition="0">
        <references count="4">
          <reference field="11" count="1" selected="0">
            <x v="459"/>
          </reference>
          <reference field="14" count="1" selected="0">
            <x v="368"/>
          </reference>
          <reference field="18" count="1" selected="0">
            <x v="3"/>
          </reference>
          <reference field="19" count="1">
            <x v="15"/>
          </reference>
        </references>
      </pivotArea>
    </format>
    <format dxfId="2989">
      <pivotArea dataOnly="0" labelOnly="1" outline="0" fieldPosition="0">
        <references count="4">
          <reference field="11" count="1" selected="0">
            <x v="460"/>
          </reference>
          <reference field="14" count="1" selected="0">
            <x v="369"/>
          </reference>
          <reference field="18" count="1" selected="0">
            <x v="3"/>
          </reference>
          <reference field="19" count="1">
            <x v="15"/>
          </reference>
        </references>
      </pivotArea>
    </format>
    <format dxfId="2988">
      <pivotArea dataOnly="0" labelOnly="1" outline="0" fieldPosition="0">
        <references count="4">
          <reference field="11" count="1" selected="0">
            <x v="461"/>
          </reference>
          <reference field="14" count="1" selected="0">
            <x v="301"/>
          </reference>
          <reference field="18" count="1" selected="0">
            <x v="7"/>
          </reference>
          <reference field="19" count="1">
            <x v="4"/>
          </reference>
        </references>
      </pivotArea>
    </format>
    <format dxfId="2987">
      <pivotArea dataOnly="0" labelOnly="1" outline="0" fieldPosition="0">
        <references count="4">
          <reference field="11" count="1" selected="0">
            <x v="461"/>
          </reference>
          <reference field="14" count="1" selected="0">
            <x v="301"/>
          </reference>
          <reference field="18" count="1" selected="0">
            <x v="8"/>
          </reference>
          <reference field="19" count="1">
            <x v="5"/>
          </reference>
        </references>
      </pivotArea>
    </format>
    <format dxfId="2986">
      <pivotArea dataOnly="0" labelOnly="1" outline="0" fieldPosition="0">
        <references count="4">
          <reference field="11" count="1" selected="0">
            <x v="461"/>
          </reference>
          <reference field="14" count="1" selected="0">
            <x v="301"/>
          </reference>
          <reference field="18" count="1" selected="0">
            <x v="13"/>
          </reference>
          <reference field="19" count="1">
            <x v="21"/>
          </reference>
        </references>
      </pivotArea>
    </format>
    <format dxfId="2985">
      <pivotArea dataOnly="0" labelOnly="1" outline="0" fieldPosition="0">
        <references count="4">
          <reference field="11" count="1" selected="0">
            <x v="462"/>
          </reference>
          <reference field="14" count="1" selected="0">
            <x v="434"/>
          </reference>
          <reference field="18" count="1" selected="0">
            <x v="19"/>
          </reference>
          <reference field="19" count="1">
            <x v="2"/>
          </reference>
        </references>
      </pivotArea>
    </format>
    <format dxfId="2984">
      <pivotArea dataOnly="0" labelOnly="1" outline="0" fieldPosition="0">
        <references count="4">
          <reference field="11" count="1" selected="0">
            <x v="463"/>
          </reference>
          <reference field="14" count="1" selected="0">
            <x v="440"/>
          </reference>
          <reference field="18" count="1" selected="0">
            <x v="19"/>
          </reference>
          <reference field="19" count="1">
            <x v="2"/>
          </reference>
        </references>
      </pivotArea>
    </format>
    <format dxfId="2983">
      <pivotArea dataOnly="0" labelOnly="1" outline="0" fieldPosition="0">
        <references count="4">
          <reference field="11" count="1" selected="0">
            <x v="464"/>
          </reference>
          <reference field="14" count="1" selected="0">
            <x v="442"/>
          </reference>
          <reference field="18" count="1" selected="0">
            <x v="19"/>
          </reference>
          <reference field="19" count="1">
            <x v="2"/>
          </reference>
        </references>
      </pivotArea>
    </format>
    <format dxfId="2982">
      <pivotArea dataOnly="0" labelOnly="1" outline="0" fieldPosition="0">
        <references count="4">
          <reference field="11" count="1" selected="0">
            <x v="465"/>
          </reference>
          <reference field="14" count="1" selected="0">
            <x v="355"/>
          </reference>
          <reference field="18" count="1" selected="0">
            <x v="27"/>
          </reference>
          <reference field="19" count="1">
            <x v="17"/>
          </reference>
        </references>
      </pivotArea>
    </format>
    <format dxfId="2981">
      <pivotArea dataOnly="0" labelOnly="1" outline="0" fieldPosition="0">
        <references count="4">
          <reference field="11" count="1" selected="0">
            <x v="466"/>
          </reference>
          <reference field="14" count="1" selected="0">
            <x v="115"/>
          </reference>
          <reference field="18" count="1" selected="0">
            <x v="27"/>
          </reference>
          <reference field="19" count="1">
            <x v="17"/>
          </reference>
        </references>
      </pivotArea>
    </format>
    <format dxfId="2980">
      <pivotArea dataOnly="0" labelOnly="1" outline="0" fieldPosition="0">
        <references count="4">
          <reference field="11" count="1" selected="0">
            <x v="467"/>
          </reference>
          <reference field="14" count="1" selected="0">
            <x v="270"/>
          </reference>
          <reference field="18" count="1" selected="0">
            <x v="2"/>
          </reference>
          <reference field="19" count="1">
            <x v="22"/>
          </reference>
        </references>
      </pivotArea>
    </format>
    <format dxfId="2979">
      <pivotArea dataOnly="0" labelOnly="1" outline="0" fieldPosition="0">
        <references count="4">
          <reference field="11" count="1" selected="0">
            <x v="468"/>
          </reference>
          <reference field="14" count="1" selected="0">
            <x v="380"/>
          </reference>
          <reference field="18" count="1" selected="0">
            <x v="6"/>
          </reference>
          <reference field="19" count="1">
            <x v="23"/>
          </reference>
        </references>
      </pivotArea>
    </format>
    <format dxfId="2978">
      <pivotArea dataOnly="0" labelOnly="1" outline="0" fieldPosition="0">
        <references count="4">
          <reference field="11" count="1" selected="0">
            <x v="469"/>
          </reference>
          <reference field="14" count="1" selected="0">
            <x v="291"/>
          </reference>
          <reference field="18" count="1" selected="0">
            <x v="6"/>
          </reference>
          <reference field="19" count="1">
            <x v="23"/>
          </reference>
        </references>
      </pivotArea>
    </format>
    <format dxfId="2977">
      <pivotArea dataOnly="0" labelOnly="1" outline="0" fieldPosition="0">
        <references count="4">
          <reference field="11" count="1" selected="0">
            <x v="469"/>
          </reference>
          <reference field="14" count="1" selected="0">
            <x v="291"/>
          </reference>
          <reference field="18" count="1" selected="0">
            <x v="24"/>
          </reference>
          <reference field="19" count="1">
            <x v="7"/>
          </reference>
        </references>
      </pivotArea>
    </format>
    <format dxfId="2976">
      <pivotArea dataOnly="0" labelOnly="1" outline="0" fieldPosition="0">
        <references count="4">
          <reference field="11" count="1" selected="0">
            <x v="469"/>
          </reference>
          <reference field="14" count="1" selected="0">
            <x v="291"/>
          </reference>
          <reference field="18" count="1" selected="0">
            <x v="25"/>
          </reference>
          <reference field="19" count="1">
            <x v="14"/>
          </reference>
        </references>
      </pivotArea>
    </format>
    <format dxfId="2975">
      <pivotArea dataOnly="0" labelOnly="1" outline="0" fieldPosition="0">
        <references count="4">
          <reference field="11" count="1" selected="0">
            <x v="470"/>
          </reference>
          <reference field="14" count="1" selected="0">
            <x v="100"/>
          </reference>
          <reference field="18" count="1" selected="0">
            <x v="0"/>
          </reference>
          <reference field="19" count="1">
            <x v="16"/>
          </reference>
        </references>
      </pivotArea>
    </format>
    <format dxfId="2974">
      <pivotArea dataOnly="0" labelOnly="1" outline="0" fieldPosition="0">
        <references count="4">
          <reference field="11" count="1" selected="0">
            <x v="471"/>
          </reference>
          <reference field="14" count="1" selected="0">
            <x v="295"/>
          </reference>
          <reference field="18" count="1" selected="0">
            <x v="2"/>
          </reference>
          <reference field="19" count="1">
            <x v="22"/>
          </reference>
        </references>
      </pivotArea>
    </format>
    <format dxfId="2973">
      <pivotArea dataOnly="0" labelOnly="1" outline="0" fieldPosition="0">
        <references count="4">
          <reference field="11" count="1" selected="0">
            <x v="472"/>
          </reference>
          <reference field="14" count="1" selected="0">
            <x v="325"/>
          </reference>
          <reference field="18" count="1" selected="0">
            <x v="6"/>
          </reference>
          <reference field="19" count="1">
            <x v="23"/>
          </reference>
        </references>
      </pivotArea>
    </format>
    <format dxfId="2972">
      <pivotArea dataOnly="0" labelOnly="1" outline="0" fieldPosition="0">
        <references count="4">
          <reference field="11" count="1" selected="0">
            <x v="473"/>
          </reference>
          <reference field="14" count="1" selected="0">
            <x v="425"/>
          </reference>
          <reference field="18" count="1" selected="0">
            <x v="19"/>
          </reference>
          <reference field="19" count="1">
            <x v="2"/>
          </reference>
        </references>
      </pivotArea>
    </format>
    <format dxfId="2971">
      <pivotArea dataOnly="0" labelOnly="1" outline="0" fieldPosition="0">
        <references count="4">
          <reference field="11" count="1" selected="0">
            <x v="474"/>
          </reference>
          <reference field="14" count="1" selected="0">
            <x v="424"/>
          </reference>
          <reference field="18" count="1" selected="0">
            <x v="19"/>
          </reference>
          <reference field="19" count="1">
            <x v="2"/>
          </reference>
        </references>
      </pivotArea>
    </format>
    <format dxfId="2970">
      <pivotArea dataOnly="0" labelOnly="1" outline="0" fieldPosition="0">
        <references count="4">
          <reference field="11" count="1" selected="0">
            <x v="475"/>
          </reference>
          <reference field="14" count="1" selected="0">
            <x v="435"/>
          </reference>
          <reference field="18" count="1" selected="0">
            <x v="19"/>
          </reference>
          <reference field="19" count="1">
            <x v="2"/>
          </reference>
        </references>
      </pivotArea>
    </format>
    <format dxfId="2969">
      <pivotArea dataOnly="0" labelOnly="1" outline="0" fieldPosition="0">
        <references count="4">
          <reference field="11" count="1" selected="0">
            <x v="476"/>
          </reference>
          <reference field="14" count="1" selected="0">
            <x v="151"/>
          </reference>
          <reference field="18" count="1" selected="0">
            <x v="0"/>
          </reference>
          <reference field="19" count="1">
            <x v="16"/>
          </reference>
        </references>
      </pivotArea>
    </format>
    <format dxfId="2968">
      <pivotArea dataOnly="0" labelOnly="1" outline="0" fieldPosition="0">
        <references count="4">
          <reference field="11" count="1" selected="0">
            <x v="477"/>
          </reference>
          <reference field="14" count="1" selected="0">
            <x v="419"/>
          </reference>
          <reference field="18" count="1" selected="0">
            <x v="19"/>
          </reference>
          <reference field="19" count="1">
            <x v="2"/>
          </reference>
        </references>
      </pivotArea>
    </format>
    <format dxfId="2967">
      <pivotArea dataOnly="0" labelOnly="1" outline="0" fieldPosition="0">
        <references count="4">
          <reference field="11" count="1" selected="0">
            <x v="478"/>
          </reference>
          <reference field="14" count="1" selected="0">
            <x v="308"/>
          </reference>
          <reference field="18" count="1" selected="0">
            <x v="19"/>
          </reference>
          <reference field="19" count="1">
            <x v="2"/>
          </reference>
        </references>
      </pivotArea>
    </format>
    <format dxfId="2966">
      <pivotArea dataOnly="0" labelOnly="1" outline="0" fieldPosition="0">
        <references count="4">
          <reference field="11" count="1" selected="0">
            <x v="479"/>
          </reference>
          <reference field="14" count="1" selected="0">
            <x v="312"/>
          </reference>
          <reference field="18" count="1" selected="0">
            <x v="19"/>
          </reference>
          <reference field="19" count="1">
            <x v="2"/>
          </reference>
        </references>
      </pivotArea>
    </format>
    <format dxfId="2965">
      <pivotArea dataOnly="0" labelOnly="1" outline="0" fieldPosition="0">
        <references count="4">
          <reference field="11" count="1" selected="0">
            <x v="480"/>
          </reference>
          <reference field="14" count="1" selected="0">
            <x v="423"/>
          </reference>
          <reference field="18" count="1" selected="0">
            <x v="19"/>
          </reference>
          <reference field="19" count="1">
            <x v="2"/>
          </reference>
        </references>
      </pivotArea>
    </format>
    <format dxfId="2964">
      <pivotArea dataOnly="0" labelOnly="1" outline="0" fieldPosition="0">
        <references count="4">
          <reference field="11" count="1" selected="0">
            <x v="481"/>
          </reference>
          <reference field="14" count="1" selected="0">
            <x v="455"/>
          </reference>
          <reference field="18" count="1" selected="0">
            <x v="12"/>
          </reference>
          <reference field="19" count="1">
            <x v="13"/>
          </reference>
        </references>
      </pivotArea>
    </format>
    <format dxfId="2963">
      <pivotArea dataOnly="0" labelOnly="1" outline="0" fieldPosition="0">
        <references count="4">
          <reference field="11" count="1" selected="0">
            <x v="481"/>
          </reference>
          <reference field="14" count="1" selected="0">
            <x v="455"/>
          </reference>
          <reference field="18" count="1" selected="0">
            <x v="14"/>
          </reference>
          <reference field="19" count="1">
            <x v="9"/>
          </reference>
        </references>
      </pivotArea>
    </format>
    <format dxfId="2962">
      <pivotArea dataOnly="0" labelOnly="1" outline="0" fieldPosition="0">
        <references count="4">
          <reference field="11" count="1" selected="0">
            <x v="482"/>
          </reference>
          <reference field="14" count="1" selected="0">
            <x v="38"/>
          </reference>
          <reference field="18" count="1" selected="0">
            <x v="12"/>
          </reference>
          <reference field="19" count="1">
            <x v="13"/>
          </reference>
        </references>
      </pivotArea>
    </format>
    <format dxfId="2961">
      <pivotArea dataOnly="0" labelOnly="1" outline="0" fieldPosition="0">
        <references count="4">
          <reference field="11" count="1" selected="0">
            <x v="482"/>
          </reference>
          <reference field="14" count="1" selected="0">
            <x v="38"/>
          </reference>
          <reference field="18" count="1" selected="0">
            <x v="14"/>
          </reference>
          <reference field="19" count="1">
            <x v="9"/>
          </reference>
        </references>
      </pivotArea>
    </format>
    <format dxfId="2960">
      <pivotArea dataOnly="0" labelOnly="1" outline="0" fieldPosition="0">
        <references count="4">
          <reference field="11" count="1" selected="0">
            <x v="483"/>
          </reference>
          <reference field="14" count="1" selected="0">
            <x v="207"/>
          </reference>
          <reference field="18" count="1" selected="0">
            <x v="14"/>
          </reference>
          <reference field="19" count="1">
            <x v="9"/>
          </reference>
        </references>
      </pivotArea>
    </format>
    <format dxfId="2959">
      <pivotArea dataOnly="0" labelOnly="1" outline="0" fieldPosition="0">
        <references count="4">
          <reference field="11" count="1" selected="0">
            <x v="483"/>
          </reference>
          <reference field="14" count="1" selected="0">
            <x v="207"/>
          </reference>
          <reference field="18" count="1" selected="0">
            <x v="26"/>
          </reference>
          <reference field="19" count="1">
            <x v="3"/>
          </reference>
        </references>
      </pivotArea>
    </format>
    <format dxfId="2958">
      <pivotArea dataOnly="0" labelOnly="1" outline="0" fieldPosition="0">
        <references count="4">
          <reference field="11" count="1" selected="0">
            <x v="484"/>
          </reference>
          <reference field="14" count="1" selected="0">
            <x v="49"/>
          </reference>
          <reference field="18" count="1" selected="0">
            <x v="14"/>
          </reference>
          <reference field="19" count="1">
            <x v="9"/>
          </reference>
        </references>
      </pivotArea>
    </format>
    <format dxfId="2957">
      <pivotArea dataOnly="0" labelOnly="1" outline="0" fieldPosition="0">
        <references count="4">
          <reference field="11" count="1" selected="0">
            <x v="484"/>
          </reference>
          <reference field="14" count="1" selected="0">
            <x v="49"/>
          </reference>
          <reference field="18" count="1" selected="0">
            <x v="26"/>
          </reference>
          <reference field="19" count="1">
            <x v="3"/>
          </reference>
        </references>
      </pivotArea>
    </format>
    <format dxfId="2956">
      <pivotArea dataOnly="0" labelOnly="1" outline="0" fieldPosition="0">
        <references count="4">
          <reference field="11" count="1" selected="0">
            <x v="485"/>
          </reference>
          <reference field="14" count="1" selected="0">
            <x v="49"/>
          </reference>
          <reference field="18" count="1" selected="0">
            <x v="14"/>
          </reference>
          <reference field="19" count="1">
            <x v="9"/>
          </reference>
        </references>
      </pivotArea>
    </format>
    <format dxfId="2955">
      <pivotArea dataOnly="0" labelOnly="1" outline="0" fieldPosition="0">
        <references count="4">
          <reference field="11" count="1" selected="0">
            <x v="485"/>
          </reference>
          <reference field="14" count="1" selected="0">
            <x v="49"/>
          </reference>
          <reference field="18" count="1" selected="0">
            <x v="26"/>
          </reference>
          <reference field="19" count="1">
            <x v="3"/>
          </reference>
        </references>
      </pivotArea>
    </format>
    <format dxfId="2954">
      <pivotArea dataOnly="0" labelOnly="1" outline="0" fieldPosition="0">
        <references count="4">
          <reference field="11" count="1" selected="0">
            <x v="486"/>
          </reference>
          <reference field="14" count="1" selected="0">
            <x v="207"/>
          </reference>
          <reference field="18" count="1" selected="0">
            <x v="14"/>
          </reference>
          <reference field="19" count="1">
            <x v="9"/>
          </reference>
        </references>
      </pivotArea>
    </format>
    <format dxfId="2953">
      <pivotArea dataOnly="0" labelOnly="1" outline="0" fieldPosition="0">
        <references count="4">
          <reference field="11" count="1" selected="0">
            <x v="486"/>
          </reference>
          <reference field="14" count="1" selected="0">
            <x v="207"/>
          </reference>
          <reference field="18" count="1" selected="0">
            <x v="26"/>
          </reference>
          <reference field="19" count="1">
            <x v="3"/>
          </reference>
        </references>
      </pivotArea>
    </format>
    <format dxfId="2952">
      <pivotArea dataOnly="0" labelOnly="1" outline="0" fieldPosition="0">
        <references count="4">
          <reference field="11" count="1" selected="0">
            <x v="487"/>
          </reference>
          <reference field="14" count="1" selected="0">
            <x v="32"/>
          </reference>
          <reference field="18" count="1" selected="0">
            <x v="0"/>
          </reference>
          <reference field="19" count="1">
            <x v="16"/>
          </reference>
        </references>
      </pivotArea>
    </format>
    <format dxfId="2951">
      <pivotArea dataOnly="0" labelOnly="1" outline="0" fieldPosition="0">
        <references count="4">
          <reference field="11" count="1" selected="0">
            <x v="487"/>
          </reference>
          <reference field="14" count="1" selected="0">
            <x v="32"/>
          </reference>
          <reference field="18" count="1" selected="0">
            <x v="27"/>
          </reference>
          <reference field="19" count="1">
            <x v="17"/>
          </reference>
        </references>
      </pivotArea>
    </format>
    <format dxfId="2950">
      <pivotArea dataOnly="0" labelOnly="1" outline="0" fieldPosition="0">
        <references count="4">
          <reference field="11" count="1" selected="0">
            <x v="488"/>
          </reference>
          <reference field="14" count="1" selected="0">
            <x v="484"/>
          </reference>
          <reference field="18" count="1" selected="0">
            <x v="28"/>
          </reference>
          <reference field="19" count="1">
            <x v="28"/>
          </reference>
        </references>
      </pivotArea>
    </format>
    <format dxfId="2949">
      <pivotArea dataOnly="0" labelOnly="1" outline="0" fieldPosition="0">
        <references count="1">
          <reference field="4294967294" count="2">
            <x v="0"/>
            <x v="1"/>
          </reference>
        </references>
      </pivotArea>
    </format>
    <format dxfId="2948">
      <pivotArea outline="0" fieldPosition="0">
        <references count="1">
          <reference field="4294967294" count="1">
            <x v="0"/>
          </reference>
        </references>
      </pivotArea>
    </format>
    <format dxfId="2947">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C06726-9231-4AD0-99BF-E009961CF8E3}" name="PivotTable2" cacheId="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F62" firstHeaderRow="0" firstDataRow="1" firstDataCol="4" rowPageCount="1" colPageCount="1"/>
  <pivotFields count="28">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axis="axisRow" compact="0" outline="0" showAll="0" defaultSubtotal="0">
      <items count="489">
        <item x="264"/>
        <item x="172"/>
        <item x="93"/>
        <item x="85"/>
        <item x="90"/>
        <item x="167"/>
        <item x="165"/>
        <item x="308"/>
        <item x="406"/>
        <item x="486"/>
        <item x="146"/>
        <item x="340"/>
        <item x="398"/>
        <item x="418"/>
        <item x="92"/>
        <item x="452"/>
        <item x="275"/>
        <item x="205"/>
        <item x="472"/>
        <item x="99"/>
        <item x="256"/>
        <item x="450"/>
        <item x="84"/>
        <item x="413"/>
        <item x="381"/>
        <item x="335"/>
        <item x="231"/>
        <item x="382"/>
        <item x="404"/>
        <item x="365"/>
        <item x="380"/>
        <item x="403"/>
        <item x="455"/>
        <item x="200"/>
        <item x="190"/>
        <item x="456"/>
        <item x="444"/>
        <item x="427"/>
        <item x="448"/>
        <item x="426"/>
        <item x="445"/>
        <item x="477"/>
        <item x="147"/>
        <item x="112"/>
        <item x="158"/>
        <item x="429"/>
        <item x="396"/>
        <item x="65"/>
        <item x="423"/>
        <item x="177"/>
        <item x="464"/>
        <item x="446"/>
        <item x="454"/>
        <item x="211"/>
        <item x="225"/>
        <item x="253"/>
        <item x="101"/>
        <item x="100"/>
        <item x="347"/>
        <item x="196"/>
        <item x="480"/>
        <item x="447"/>
        <item x="457"/>
        <item x="83"/>
        <item x="170"/>
        <item x="128"/>
        <item x="182"/>
        <item x="179"/>
        <item x="159"/>
        <item x="160"/>
        <item x="157"/>
        <item x="469"/>
        <item x="326"/>
        <item x="277"/>
        <item x="166"/>
        <item x="226"/>
        <item x="96"/>
        <item x="235"/>
        <item x="118"/>
        <item x="123"/>
        <item x="393"/>
        <item x="325"/>
        <item x="313"/>
        <item x="360"/>
        <item x="246"/>
        <item x="482"/>
        <item x="148"/>
        <item x="117"/>
        <item x="151"/>
        <item x="173"/>
        <item x="163"/>
        <item x="345"/>
        <item x="234"/>
        <item x="89"/>
        <item x="199"/>
        <item x="176"/>
        <item x="424"/>
        <item x="202"/>
        <item x="127"/>
        <item x="295"/>
        <item x="254"/>
        <item x="425"/>
        <item x="207"/>
        <item x="232"/>
        <item x="390"/>
        <item x="373"/>
        <item x="269"/>
        <item x="348"/>
        <item x="219"/>
        <item x="120"/>
        <item x="243"/>
        <item x="171"/>
        <item x="294"/>
        <item x="241"/>
        <item x="357"/>
        <item x="108"/>
        <item x="355"/>
        <item x="356"/>
        <item x="372"/>
        <item x="104"/>
        <item x="98"/>
        <item x="371"/>
        <item x="405"/>
        <item x="107"/>
        <item x="109"/>
        <item x="103"/>
        <item x="106"/>
        <item x="370"/>
        <item x="240"/>
        <item x="414"/>
        <item x="383"/>
        <item x="483"/>
        <item x="389"/>
        <item x="312"/>
        <item x="475"/>
        <item x="150"/>
        <item x="110"/>
        <item x="351"/>
        <item x="168"/>
        <item x="184"/>
        <item x="476"/>
        <item x="265"/>
        <item x="133"/>
        <item x="439"/>
        <item x="467"/>
        <item x="451"/>
        <item x="471"/>
        <item x="449"/>
        <item x="131"/>
        <item x="111"/>
        <item x="208"/>
        <item x="417"/>
        <item x="0"/>
        <item x="468"/>
        <item x="324"/>
        <item x="317"/>
        <item x="178"/>
        <item x="458"/>
        <item x="153"/>
        <item x="250"/>
        <item x="137"/>
        <item x="174"/>
        <item x="1"/>
        <item x="162"/>
        <item x="470"/>
        <item x="201"/>
        <item x="129"/>
        <item x="484"/>
        <item x="422"/>
        <item x="113"/>
        <item x="142"/>
        <item x="436"/>
        <item x="169"/>
        <item x="248"/>
        <item x="260"/>
        <item x="388"/>
        <item x="198"/>
        <item x="252"/>
        <item x="290"/>
        <item x="299"/>
        <item x="2"/>
        <item x="285"/>
        <item x="440"/>
        <item x="416"/>
        <item x="408"/>
        <item x="237"/>
        <item x="323"/>
        <item x="3"/>
        <item x="374"/>
        <item x="236"/>
        <item x="259"/>
        <item x="369"/>
        <item x="366"/>
        <item x="255"/>
        <item x="220"/>
        <item x="437"/>
        <item x="69"/>
        <item x="66"/>
        <item x="320"/>
        <item x="4"/>
        <item x="263"/>
        <item x="391"/>
        <item x="397"/>
        <item x="465"/>
        <item x="204"/>
        <item x="349"/>
        <item x="407"/>
        <item x="95"/>
        <item x="87"/>
        <item x="459"/>
        <item x="273"/>
        <item x="358"/>
        <item x="344"/>
        <item x="191"/>
        <item x="161"/>
        <item x="5"/>
        <item x="415"/>
        <item x="6"/>
        <item x="7"/>
        <item x="8"/>
        <item x="9"/>
        <item x="10"/>
        <item x="11"/>
        <item x="12"/>
        <item x="442"/>
        <item x="13"/>
        <item x="14"/>
        <item x="15"/>
        <item x="16"/>
        <item x="17"/>
        <item x="18"/>
        <item x="19"/>
        <item x="20"/>
        <item x="21"/>
        <item x="286"/>
        <item x="289"/>
        <item x="288"/>
        <item x="22"/>
        <item x="242"/>
        <item x="258"/>
        <item x="86"/>
        <item x="395"/>
        <item x="206"/>
        <item x="402"/>
        <item x="384"/>
        <item x="364"/>
        <item x="379"/>
        <item x="385"/>
        <item x="378"/>
        <item x="387"/>
        <item x="401"/>
        <item x="419"/>
        <item x="336"/>
        <item x="154"/>
        <item x="126"/>
        <item x="386"/>
        <item x="412"/>
        <item x="399"/>
        <item x="229"/>
        <item x="478"/>
        <item x="23"/>
        <item x="266"/>
        <item x="24"/>
        <item x="434"/>
        <item x="25"/>
        <item x="26"/>
        <item x="27"/>
        <item x="302"/>
        <item x="377"/>
        <item x="145"/>
        <item x="367"/>
        <item x="28"/>
        <item x="411"/>
        <item x="334"/>
        <item x="485"/>
        <item x="152"/>
        <item x="267"/>
        <item x="479"/>
        <item x="29"/>
        <item x="30"/>
        <item x="352"/>
        <item x="31"/>
        <item x="303"/>
        <item x="32"/>
        <item x="122"/>
        <item x="217"/>
        <item x="132"/>
        <item x="368"/>
        <item x="375"/>
        <item x="33"/>
        <item x="186"/>
        <item x="400"/>
        <item x="34"/>
        <item x="141"/>
        <item x="301"/>
        <item x="353"/>
        <item x="216"/>
        <item x="354"/>
        <item x="35"/>
        <item x="409"/>
        <item x="362"/>
        <item x="257"/>
        <item x="293"/>
        <item x="421"/>
        <item x="280"/>
        <item x="420"/>
        <item x="435"/>
        <item x="361"/>
        <item x="175"/>
        <item x="233"/>
        <item x="376"/>
        <item x="305"/>
        <item x="116"/>
        <item x="81"/>
        <item x="363"/>
        <item x="143"/>
        <item x="239"/>
        <item x="279"/>
        <item x="291"/>
        <item x="300"/>
        <item x="343"/>
        <item x="463"/>
        <item x="438"/>
        <item x="36"/>
        <item x="292"/>
        <item x="230"/>
        <item x="410"/>
        <item x="125"/>
        <item x="37"/>
        <item x="394"/>
        <item x="38"/>
        <item x="433"/>
        <item x="481"/>
        <item x="189"/>
        <item x="276"/>
        <item x="39"/>
        <item x="181"/>
        <item x="287"/>
        <item x="40"/>
        <item x="41"/>
        <item x="42"/>
        <item x="43"/>
        <item x="44"/>
        <item x="212"/>
        <item x="227"/>
        <item x="218"/>
        <item x="203"/>
        <item x="238"/>
        <item x="45"/>
        <item x="441"/>
        <item x="462"/>
        <item x="307"/>
        <item x="332"/>
        <item x="473"/>
        <item x="432"/>
        <item x="453"/>
        <item x="431"/>
        <item x="460"/>
        <item x="215"/>
        <item x="333"/>
        <item x="67"/>
        <item x="68"/>
        <item x="430"/>
        <item x="228"/>
        <item x="140"/>
        <item x="274"/>
        <item x="251"/>
        <item x="283"/>
        <item x="46"/>
        <item x="135"/>
        <item x="47"/>
        <item x="327"/>
        <item x="337"/>
        <item x="346"/>
        <item x="338"/>
        <item x="342"/>
        <item x="328"/>
        <item x="339"/>
        <item x="341"/>
        <item x="91"/>
        <item x="331"/>
        <item x="144"/>
        <item x="180"/>
        <item x="487"/>
        <item x="298"/>
        <item x="121"/>
        <item x="428"/>
        <item x="261"/>
        <item x="262"/>
        <item x="156"/>
        <item x="48"/>
        <item x="49"/>
        <item x="149"/>
        <item x="50"/>
        <item x="138"/>
        <item x="130"/>
        <item x="139"/>
        <item x="272"/>
        <item x="329"/>
        <item x="224"/>
        <item x="284"/>
        <item x="51"/>
        <item x="195"/>
        <item x="314"/>
        <item x="52"/>
        <item x="318"/>
        <item x="297"/>
        <item x="461"/>
        <item x="188"/>
        <item x="193"/>
        <item x="210"/>
        <item x="82"/>
        <item x="53"/>
        <item x="155"/>
        <item x="124"/>
        <item x="282"/>
        <item x="247"/>
        <item x="350"/>
        <item x="97"/>
        <item x="281"/>
        <item x="222"/>
        <item x="278"/>
        <item x="474"/>
        <item x="164"/>
        <item x="270"/>
        <item x="114"/>
        <item x="271"/>
        <item x="296"/>
        <item x="249"/>
        <item x="54"/>
        <item x="55"/>
        <item x="194"/>
        <item x="134"/>
        <item x="306"/>
        <item x="223"/>
        <item x="319"/>
        <item x="330"/>
        <item x="115"/>
        <item x="94"/>
        <item x="56"/>
        <item x="316"/>
        <item x="315"/>
        <item x="322"/>
        <item x="57"/>
        <item x="58"/>
        <item x="59"/>
        <item x="60"/>
        <item x="310"/>
        <item x="304"/>
        <item x="102"/>
        <item x="221"/>
        <item x="309"/>
        <item x="61"/>
        <item x="192"/>
        <item x="197"/>
        <item x="209"/>
        <item x="214"/>
        <item x="183"/>
        <item x="185"/>
        <item x="187"/>
        <item x="213"/>
        <item x="88"/>
        <item x="62"/>
        <item x="63"/>
        <item x="64"/>
        <item x="321"/>
        <item x="311"/>
        <item x="359"/>
        <item x="466"/>
        <item x="105"/>
        <item x="245"/>
        <item x="392"/>
        <item x="443"/>
        <item x="71"/>
        <item x="73"/>
        <item x="74"/>
        <item x="244"/>
        <item x="72"/>
        <item x="75"/>
        <item x="70"/>
        <item x="76"/>
        <item x="119"/>
        <item x="136"/>
        <item x="77"/>
        <item x="78"/>
        <item x="80"/>
        <item x="79"/>
        <item x="268"/>
        <item x="488"/>
      </items>
    </pivotField>
    <pivotField compact="0" outline="0" showAll="0"/>
    <pivotField compact="0" outline="0" showAll="0"/>
    <pivotField axis="axisRow" compact="0" outline="0" showAll="0" defaultSubtotal="0">
      <items count="485">
        <item x="361"/>
        <item x="376"/>
        <item x="46"/>
        <item x="396"/>
        <item x="149"/>
        <item x="189"/>
        <item x="226"/>
        <item x="119"/>
        <item x="359"/>
        <item x="288"/>
        <item x="100"/>
        <item x="347"/>
        <item x="181"/>
        <item x="18"/>
        <item x="253"/>
        <item x="92"/>
        <item x="166"/>
        <item x="90"/>
        <item x="469"/>
        <item x="163"/>
        <item x="186"/>
        <item x="426"/>
        <item x="476"/>
        <item x="197"/>
        <item x="67"/>
        <item x="69"/>
        <item x="66"/>
        <item x="341"/>
        <item x="461"/>
        <item x="60"/>
        <item x="311"/>
        <item x="83"/>
        <item x="265"/>
        <item x="479"/>
        <item x="350"/>
        <item x="339"/>
        <item x="451"/>
        <item x="455"/>
        <item x="134"/>
        <item x="329"/>
        <item x="239"/>
        <item x="290"/>
        <item x="407"/>
        <item x="316"/>
        <item x="237"/>
        <item x="220"/>
        <item x="254"/>
        <item x="244"/>
        <item x="230"/>
        <item x="78"/>
        <item x="482"/>
        <item x="150"/>
        <item x="241"/>
        <item x="136"/>
        <item x="403"/>
        <item x="229"/>
        <item x="321"/>
        <item x="306"/>
        <item x="300"/>
        <item x="145"/>
        <item x="123"/>
        <item x="255"/>
        <item x="289"/>
        <item x="180"/>
        <item x="349"/>
        <item x="457"/>
        <item x="480"/>
        <item x="297"/>
        <item x="287"/>
        <item x="296"/>
        <item x="275"/>
        <item x="283"/>
        <item x="14"/>
        <item x="153"/>
        <item x="477"/>
        <item x="51"/>
        <item x="471"/>
        <item x="156"/>
        <item x="328"/>
        <item x="335"/>
        <item x="302"/>
        <item x="323"/>
        <item x="333"/>
        <item x="322"/>
        <item x="221"/>
        <item x="342"/>
        <item x="332"/>
        <item x="324"/>
        <item x="338"/>
        <item x="334"/>
        <item x="261"/>
        <item x="204"/>
        <item x="337"/>
        <item x="377"/>
        <item x="409"/>
        <item x="222"/>
        <item x="19"/>
        <item x="13"/>
        <item x="159"/>
        <item x="326"/>
        <item x="243"/>
        <item x="305"/>
        <item x="362"/>
        <item x="365"/>
        <item x="233"/>
        <item x="313"/>
        <item x="309"/>
        <item x="277"/>
        <item x="245"/>
        <item x="346"/>
        <item x="95"/>
        <item x="217"/>
        <item x="47"/>
        <item x="4"/>
        <item x="430"/>
        <item x="307"/>
        <item x="203"/>
        <item x="172"/>
        <item x="436"/>
        <item x="132"/>
        <item x="357"/>
        <item x="416"/>
        <item x="417"/>
        <item x="79"/>
        <item x="143"/>
        <item x="122"/>
        <item x="363"/>
        <item x="173"/>
        <item x="397"/>
        <item x="405"/>
        <item x="114"/>
        <item x="360"/>
        <item x="429"/>
        <item x="408"/>
        <item x="390"/>
        <item x="428"/>
        <item x="152"/>
        <item x="155"/>
        <item x="157"/>
        <item x="158"/>
        <item x="154"/>
        <item x="219"/>
        <item x="354"/>
        <item x="214"/>
        <item x="190"/>
        <item x="89"/>
        <item x="310"/>
        <item x="133"/>
        <item x="418"/>
        <item x="120"/>
        <item x="144"/>
        <item x="242"/>
        <item x="27"/>
        <item x="30"/>
        <item x="25"/>
        <item x="42"/>
        <item x="44"/>
        <item x="23"/>
        <item x="5"/>
        <item x="37"/>
        <item x="41"/>
        <item x="1"/>
        <item x="32"/>
        <item x="43"/>
        <item x="29"/>
        <item x="31"/>
        <item x="26"/>
        <item x="268"/>
        <item x="139"/>
        <item x="137"/>
        <item x="38"/>
        <item x="33"/>
        <item x="34"/>
        <item x="257"/>
        <item x="246"/>
        <item x="191"/>
        <item x="468"/>
        <item x="464"/>
        <item x="431"/>
        <item x="400"/>
        <item x="475"/>
        <item x="124"/>
        <item x="320"/>
        <item x="184"/>
        <item x="234"/>
        <item x="345"/>
        <item x="85"/>
        <item x="395"/>
        <item x="218"/>
        <item x="232"/>
        <item x="259"/>
        <item x="192"/>
        <item x="111"/>
        <item x="115"/>
        <item x="118"/>
        <item x="116"/>
        <item x="121"/>
        <item x="364"/>
        <item x="147"/>
        <item x="303"/>
        <item x="174"/>
        <item x="84"/>
        <item x="187"/>
        <item x="478"/>
        <item x="80"/>
        <item x="50"/>
        <item x="199"/>
        <item x="77"/>
        <item x="312"/>
        <item x="216"/>
        <item x="266"/>
        <item x="294"/>
        <item x="138"/>
        <item x="131"/>
        <item x="94"/>
        <item x="129"/>
        <item x="356"/>
        <item x="130"/>
        <item x="248"/>
        <item x="82"/>
        <item x="344"/>
        <item x="458"/>
        <item x="380"/>
        <item x="263"/>
        <item x="151"/>
        <item x="228"/>
        <item x="91"/>
        <item x="81"/>
        <item x="175"/>
        <item x="169"/>
        <item x="170"/>
        <item x="167"/>
        <item x="165"/>
        <item x="88"/>
        <item x="160"/>
        <item x="164"/>
        <item x="315"/>
        <item x="177"/>
        <item x="176"/>
        <item x="28"/>
        <item x="420"/>
        <item x="442"/>
        <item x="379"/>
        <item x="434"/>
        <item x="419"/>
        <item x="128"/>
        <item x="113"/>
        <item x="141"/>
        <item x="205"/>
        <item x="3"/>
        <item x="392"/>
        <item x="171"/>
        <item x="262"/>
        <item x="225"/>
        <item x="249"/>
        <item x="472"/>
        <item x="394"/>
        <item x="236"/>
        <item x="466"/>
        <item x="162"/>
        <item x="280"/>
        <item x="168"/>
        <item x="391"/>
        <item x="382"/>
        <item x="398"/>
        <item x="336"/>
        <item x="308"/>
        <item x="206"/>
        <item x="200"/>
        <item x="202"/>
        <item x="355"/>
        <item x="194"/>
        <item x="285"/>
        <item x="269"/>
        <item x="252"/>
        <item x="251"/>
        <item x="295"/>
        <item x="282"/>
        <item x="223"/>
        <item x="250"/>
        <item x="260"/>
        <item x="281"/>
        <item x="286"/>
        <item x="209"/>
        <item x="270"/>
        <item x="224"/>
        <item x="271"/>
        <item x="274"/>
        <item x="273"/>
        <item x="112"/>
        <item x="264"/>
        <item x="103"/>
        <item x="213"/>
        <item x="210"/>
        <item x="340"/>
        <item x="388"/>
        <item x="449"/>
        <item x="424"/>
        <item x="456"/>
        <item x="427"/>
        <item x="438"/>
        <item x="86"/>
        <item x="301"/>
        <item x="421"/>
        <item x="414"/>
        <item x="387"/>
        <item x="318"/>
        <item x="17"/>
        <item x="75"/>
        <item x="39"/>
        <item x="35"/>
        <item x="24"/>
        <item x="70"/>
        <item x="16"/>
        <item x="40"/>
        <item x="201"/>
        <item x="231"/>
        <item x="140"/>
        <item x="460"/>
        <item x="127"/>
        <item x="369"/>
        <item x="386"/>
        <item x="193"/>
        <item x="65"/>
        <item x="278"/>
        <item x="439"/>
        <item x="435"/>
        <item x="463"/>
        <item x="445"/>
        <item x="447"/>
        <item x="467"/>
        <item x="437"/>
        <item x="148"/>
        <item x="108"/>
        <item x="327"/>
        <item x="161"/>
        <item x="126"/>
        <item x="473"/>
        <item x="411"/>
        <item x="240"/>
        <item x="188"/>
        <item x="198"/>
        <item x="330"/>
        <item x="319"/>
        <item x="422"/>
        <item x="441"/>
        <item x="444"/>
        <item x="446"/>
        <item x="423"/>
        <item x="440"/>
        <item x="432"/>
        <item x="304"/>
        <item x="68"/>
        <item x="373"/>
        <item x="443"/>
        <item x="317"/>
        <item x="93"/>
        <item x="299"/>
        <item x="125"/>
        <item x="314"/>
        <item x="325"/>
        <item x="182"/>
        <item x="196"/>
        <item x="470"/>
        <item x="483"/>
        <item x="215"/>
        <item x="208"/>
        <item x="183"/>
        <item x="185"/>
        <item x="211"/>
        <item x="406"/>
        <item x="474"/>
        <item x="481"/>
        <item x="348"/>
        <item x="298"/>
        <item x="402"/>
        <item x="372"/>
        <item x="22"/>
        <item x="448"/>
        <item x="452"/>
        <item x="462"/>
        <item x="293"/>
        <item x="179"/>
        <item x="146"/>
        <item x="272"/>
        <item x="370"/>
        <item x="412"/>
        <item x="235"/>
        <item x="404"/>
        <item x="371"/>
        <item x="207"/>
        <item x="410"/>
        <item x="413"/>
        <item x="358"/>
        <item x="256"/>
        <item x="454"/>
        <item x="433"/>
        <item x="195"/>
        <item x="135"/>
        <item x="142"/>
        <item x="178"/>
        <item x="267"/>
        <item x="383"/>
        <item x="284"/>
        <item x="374"/>
        <item x="415"/>
        <item x="381"/>
        <item x="292"/>
        <item x="258"/>
        <item x="393"/>
        <item x="110"/>
        <item x="20"/>
        <item x="247"/>
        <item x="450"/>
        <item x="399"/>
        <item x="453"/>
        <item x="12"/>
        <item x="227"/>
        <item x="375"/>
        <item x="72"/>
        <item x="15"/>
        <item x="54"/>
        <item x="49"/>
        <item x="76"/>
        <item x="73"/>
        <item x="71"/>
        <item x="11"/>
        <item x="10"/>
        <item x="36"/>
        <item x="7"/>
        <item x="9"/>
        <item x="8"/>
        <item x="57"/>
        <item x="353"/>
        <item x="62"/>
        <item x="74"/>
        <item x="58"/>
        <item x="59"/>
        <item x="6"/>
        <item x="2"/>
        <item x="63"/>
        <item x="53"/>
        <item x="64"/>
        <item x="52"/>
        <item x="55"/>
        <item x="48"/>
        <item x="56"/>
        <item x="0"/>
        <item x="45"/>
        <item x="21"/>
        <item x="61"/>
        <item x="87"/>
        <item x="212"/>
        <item x="238"/>
        <item x="291"/>
        <item x="117"/>
        <item x="459"/>
        <item x="279"/>
        <item x="378"/>
        <item x="343"/>
        <item x="97"/>
        <item x="109"/>
        <item x="98"/>
        <item x="99"/>
        <item x="276"/>
        <item x="425"/>
        <item x="331"/>
        <item x="389"/>
        <item x="465"/>
        <item x="351"/>
        <item x="106"/>
        <item x="384"/>
        <item x="352"/>
        <item x="368"/>
        <item x="96"/>
        <item x="102"/>
        <item x="401"/>
        <item x="367"/>
        <item x="105"/>
        <item x="101"/>
        <item x="107"/>
        <item x="104"/>
        <item x="385"/>
        <item x="366"/>
        <item x="484"/>
      </items>
    </pivotField>
    <pivotField compact="0" outline="0" showAll="0"/>
    <pivotField axis="axisPage" compact="0" outline="0" multipleItemSelectionAllowed="1" showAll="0">
      <items count="574">
        <item h="1" x="568"/>
        <item h="1" x="566"/>
        <item h="1" x="567"/>
        <item h="1" x="146"/>
        <item h="1" x="176"/>
        <item h="1" x="102"/>
        <item h="1" x="468"/>
        <item h="1" x="396"/>
        <item h="1" x="451"/>
        <item h="1" x="515"/>
        <item h="1" x="492"/>
        <item h="1" x="352"/>
        <item h="1" x="358"/>
        <item h="1" x="304"/>
        <item h="1" x="534"/>
        <item h="1" x="280"/>
        <item h="1" x="287"/>
        <item h="1" x="221"/>
        <item h="1" x="499"/>
        <item h="1" x="548"/>
        <item h="1" x="518"/>
        <item h="1" x="530"/>
        <item h="1" x="552"/>
        <item h="1" x="528"/>
        <item h="1" x="520"/>
        <item h="1" x="543"/>
        <item h="1" x="58"/>
        <item h="1" x="59"/>
        <item h="1" x="60"/>
        <item h="1" x="61"/>
        <item h="1" x="62"/>
        <item h="1" x="54"/>
        <item h="1" x="53"/>
        <item h="1" x="63"/>
        <item h="1" x="544"/>
        <item h="1" x="517"/>
        <item h="1" x="215"/>
        <item h="1" x="92"/>
        <item h="1" x="328"/>
        <item h="1" x="200"/>
        <item h="1" x="86"/>
        <item h="1" x="387"/>
        <item h="1" x="195"/>
        <item h="1" x="196"/>
        <item h="1" x="88"/>
        <item h="1" x="64"/>
        <item h="1" x="198"/>
        <item h="1" x="66"/>
        <item h="1" x="95"/>
        <item h="1" x="204"/>
        <item h="1" x="217"/>
        <item h="1" x="87"/>
        <item h="1" x="224"/>
        <item h="1" x="192"/>
        <item h="1" x="191"/>
        <item h="1" x="94"/>
        <item h="1" x="455"/>
        <item h="1" x="453"/>
        <item h="1" x="199"/>
        <item h="1" x="213"/>
        <item h="1" x="408"/>
        <item h="1" x="85"/>
        <item h="1" x="389"/>
        <item h="1" x="197"/>
        <item h="1" x="201"/>
        <item h="1" x="247"/>
        <item h="1" x="424"/>
        <item h="1" x="194"/>
        <item h="1" x="438"/>
        <item h="1" x="465"/>
        <item h="1" x="205"/>
        <item h="1" x="343"/>
        <item h="1" x="214"/>
        <item h="1" x="188"/>
        <item h="1" x="400"/>
        <item h="1" x="491"/>
        <item h="1" x="401"/>
        <item h="1" x="218"/>
        <item h="1" x="454"/>
        <item h="1" x="193"/>
        <item h="1" x="242"/>
        <item h="1" x="74"/>
        <item h="1" x="76"/>
        <item h="1" x="73"/>
        <item h="1" x="75"/>
        <item h="1" x="77"/>
        <item h="1" x="344"/>
        <item h="1" x="72"/>
        <item h="1" x="443"/>
        <item h="1" x="428"/>
        <item h="1" x="4"/>
        <item h="1" x="426"/>
        <item h="1" x="456"/>
        <item h="1" x="535"/>
        <item h="1" x="368"/>
        <item h="1" x="452"/>
        <item h="1" x="227"/>
        <item h="1" x="91"/>
        <item h="1" x="554"/>
        <item h="1" x="137"/>
        <item h="1" x="570"/>
        <item h="1" x="156"/>
        <item h="1" x="302"/>
        <item h="1" x="46"/>
        <item h="1" x="2"/>
        <item h="1" x="3"/>
        <item h="1" x="8"/>
        <item h="1" x="16"/>
        <item h="1" x="17"/>
        <item h="1" x="18"/>
        <item h="1" x="21"/>
        <item h="1" x="22"/>
        <item h="1" x="28"/>
        <item h="1" x="35"/>
        <item h="1" x="36"/>
        <item h="1" x="40"/>
        <item h="1" x="47"/>
        <item h="1" x="50"/>
        <item h="1" x="313"/>
        <item h="1" x="348"/>
        <item h="1" x="486"/>
        <item h="1" x="531"/>
        <item h="1" x="240"/>
        <item h="1" x="251"/>
        <item h="1" x="228"/>
        <item h="1" x="231"/>
        <item h="1" x="259"/>
        <item h="1" x="230"/>
        <item h="1" x="239"/>
        <item h="1" x="234"/>
        <item h="1" x="138"/>
        <item h="1" x="165"/>
        <item h="1" x="116"/>
        <item h="1" x="345"/>
        <item h="1" x="162"/>
        <item h="1" x="341"/>
        <item h="1" x="334"/>
        <item h="1" x="114"/>
        <item h="1" x="533"/>
        <item h="1" x="526"/>
        <item h="1" x="538"/>
        <item h="1" x="539"/>
        <item h="1" x="516"/>
        <item h="1" x="545"/>
        <item h="1" x="525"/>
        <item h="1" x="513"/>
        <item h="1" x="167"/>
        <item h="1" x="158"/>
        <item h="1" x="409"/>
        <item h="1" x="447"/>
        <item h="1" x="436"/>
        <item h="1" x="448"/>
        <item h="1" x="485"/>
        <item h="1" x="488"/>
        <item h="1" x="423"/>
        <item h="1" x="457"/>
        <item h="1" x="395"/>
        <item h="1" x="413"/>
        <item h="1" x="482"/>
        <item h="1" x="489"/>
        <item h="1" x="479"/>
        <item h="1" x="510"/>
        <item h="1" x="421"/>
        <item h="1" x="422"/>
        <item h="1" x="484"/>
        <item h="1" x="320"/>
        <item h="1" x="399"/>
        <item h="1" x="478"/>
        <item h="1" x="555"/>
        <item h="1" x="269"/>
        <item h="1" x="276"/>
        <item h="1" x="521"/>
        <item h="1" x="532"/>
        <item h="1" x="508"/>
        <item h="1" x="509"/>
        <item h="1" x="370"/>
        <item h="1" x="434"/>
        <item h="1" x="244"/>
        <item h="1" x="140"/>
        <item h="1" x="283"/>
        <item h="1" x="266"/>
        <item h="1" x="275"/>
        <item h="1" x="282"/>
        <item h="1" x="292"/>
        <item h="1" x="290"/>
        <item h="1" x="83"/>
        <item h="1" x="267"/>
        <item h="1" x="351"/>
        <item h="1" x="306"/>
        <item h="1" x="268"/>
        <item h="1" x="541"/>
        <item h="1" x="560"/>
        <item h="1" x="161"/>
        <item h="1" x="349"/>
        <item h="1" x="361"/>
        <item h="1" x="383"/>
        <item h="1" x="388"/>
        <item h="1" x="303"/>
        <item h="1" x="265"/>
        <item h="1" x="128"/>
        <item h="1" x="274"/>
        <item h="1" x="386"/>
        <item h="1" x="542"/>
        <item h="1" x="272"/>
        <item h="1" x="472"/>
        <item h="1" x="385"/>
        <item h="1" x="307"/>
        <item h="1" x="569"/>
        <item h="1" x="558"/>
        <item h="1" x="556"/>
        <item h="1" x="141"/>
        <item h="1" x="98"/>
        <item h="1" x="51"/>
        <item h="1" x="52"/>
        <item h="1" x="0"/>
        <item h="1" x="6"/>
        <item h="1" x="7"/>
        <item h="1" x="9"/>
        <item h="1" x="10"/>
        <item h="1" x="11"/>
        <item h="1" x="12"/>
        <item h="1" x="13"/>
        <item h="1" x="14"/>
        <item h="1" x="15"/>
        <item h="1" x="20"/>
        <item h="1" x="19"/>
        <item h="1" x="45"/>
        <item h="1" x="497"/>
        <item h="1" x="157"/>
        <item h="1" x="411"/>
        <item h="1" x="432"/>
        <item h="1" x="481"/>
        <item h="1" x="120"/>
        <item h="1" x="441"/>
        <item h="1" x="154"/>
        <item h="1" x="470"/>
        <item h="1" x="427"/>
        <item h="1" x="414"/>
        <item h="1" x="444"/>
        <item h="1" x="429"/>
        <item h="1" x="495"/>
        <item h="1" x="442"/>
        <item h="1" x="402"/>
        <item h="1" x="496"/>
        <item h="1" x="431"/>
        <item h="1" x="425"/>
        <item h="1" x="412"/>
        <item h="1" x="131"/>
        <item h="1" x="546"/>
        <item h="1" x="553"/>
        <item h="1" x="312"/>
        <item h="1" x="394"/>
        <item h="1" x="417"/>
        <item h="1" x="446"/>
        <item h="1" x="445"/>
        <item h="1" x="475"/>
        <item h="1" x="476"/>
        <item h="1" x="419"/>
        <item h="1" x="418"/>
        <item h="1" x="135"/>
        <item h="1" x="393"/>
        <item h="1" x="71"/>
        <item h="1" x="68"/>
        <item h="1" x="69"/>
        <item h="1" x="70"/>
        <item h="1" x="390"/>
        <item h="1" x="209"/>
        <item h="1" x="125"/>
        <item h="1" x="97"/>
        <item h="1" x="225"/>
        <item h="1" x="233"/>
        <item h="1" x="261"/>
        <item h="1" x="255"/>
        <item h="1" x="226"/>
        <item h="1" x="229"/>
        <item h="1" x="258"/>
        <item h="1" x="257"/>
        <item h="1" x="260"/>
        <item h="1" x="330"/>
        <item h="1" x="93"/>
        <item h="1" x="207"/>
        <item h="1" x="336"/>
        <item h="1" x="65"/>
        <item h="1" x="565"/>
        <item h="1" x="335"/>
        <item h="1" x="190"/>
        <item h="1" x="331"/>
        <item h="1" x="105"/>
        <item h="1" x="245"/>
        <item h="1" x="253"/>
        <item h="1" x="498"/>
        <item h="1" x="450"/>
        <item h="1" x="398"/>
        <item h="1" x="500"/>
        <item h="1" x="522"/>
        <item h="1" x="277"/>
        <item h="1" x="220"/>
        <item h="1" x="108"/>
        <item h="1" x="178"/>
        <item h="1" x="113"/>
        <item h="1" x="170"/>
        <item h="1" x="110"/>
        <item h="1" x="181"/>
        <item h="1" x="101"/>
        <item h="1" x="78"/>
        <item h="1" x="177"/>
        <item h="1" x="112"/>
        <item h="1" x="169"/>
        <item h="1" x="107"/>
        <item h="1" x="172"/>
        <item h="1" x="111"/>
        <item h="1" x="179"/>
        <item h="1" x="106"/>
        <item h="1" x="130"/>
        <item h="1" x="79"/>
        <item h="1" x="142"/>
        <item h="1" x="80"/>
        <item h="1" x="123"/>
        <item h="1" x="82"/>
        <item h="1" x="81"/>
        <item h="1" x="136"/>
        <item h="1" x="182"/>
        <item h="1" x="404"/>
        <item h="1" x="460"/>
        <item h="1" x="67"/>
        <item h="1" x="403"/>
        <item h="1" x="437"/>
        <item h="1" x="561"/>
        <item h="1" x="164"/>
        <item h="1" x="133"/>
        <item h="1" x="115"/>
        <item h="1" x="505"/>
        <item h="1" x="310"/>
        <item h="1" x="299"/>
        <item h="1" x="317"/>
        <item h="1" x="319"/>
        <item h="1" x="416"/>
        <item h="1" x="23"/>
        <item h="1" x="27"/>
        <item h="1" x="490"/>
        <item h="1" x="430"/>
        <item h="1" x="466"/>
        <item h="1" x="477"/>
        <item h="1" x="37"/>
        <item h="1" x="26"/>
        <item h="1" x="30"/>
        <item h="1" x="471"/>
        <item h="1" x="463"/>
        <item h="1" x="458"/>
        <item h="1" x="406"/>
        <item h="1" x="29"/>
        <item h="1" x="32"/>
        <item h="1" x="501"/>
        <item h="1" x="469"/>
        <item h="1" x="462"/>
        <item h="1" x="31"/>
        <item h="1" x="480"/>
        <item h="1" x="483"/>
        <item h="1" x="459"/>
        <item h="1" x="512"/>
        <item h="1" x="420"/>
        <item h="1" x="25"/>
        <item h="1" x="1"/>
        <item h="1" x="34"/>
        <item h="1" x="41"/>
        <item h="1" x="372"/>
        <item h="1" x="38"/>
        <item h="1" x="44"/>
        <item h="1" x="439"/>
        <item h="1" x="42"/>
        <item h="1" x="33"/>
        <item h="1" x="43"/>
        <item h="1" x="5"/>
        <item h="1" x="189"/>
        <item h="1" x="384"/>
        <item h="1" x="380"/>
        <item h="1" x="350"/>
        <item h="1" x="273"/>
        <item h="1" x="562"/>
        <item h="1" x="391"/>
        <item h="1" x="536"/>
        <item h="1" x="540"/>
        <item h="1" x="507"/>
        <item h="1" x="222"/>
        <item h="1" x="563"/>
        <item h="1" x="376"/>
        <item h="1" x="160"/>
        <item h="1" x="89"/>
        <item h="1" x="571"/>
        <item h="1" x="271"/>
        <item h="1" x="264"/>
        <item h="1" x="143"/>
        <item h="1" x="139"/>
        <item h="1" x="262"/>
        <item h="1" x="381"/>
        <item h="1" x="415"/>
        <item h="1" x="440"/>
        <item h="1" x="467"/>
        <item h="1" x="249"/>
        <item h="1" x="152"/>
        <item h="1" x="377"/>
        <item h="1" x="373"/>
        <item h="1" x="378"/>
        <item h="1" x="297"/>
        <item h="1" x="270"/>
        <item h="1" x="318"/>
        <item h="1" x="241"/>
        <item h="1" x="166"/>
        <item h="1" x="311"/>
        <item h="1" x="278"/>
        <item h="1" x="163"/>
        <item h="1" x="360"/>
        <item h="1" x="487"/>
        <item h="1" x="504"/>
        <item h="1" x="527"/>
        <item h="1" x="503"/>
        <item h="1" x="524"/>
        <item h="1" x="514"/>
        <item h="1" x="523"/>
        <item h="1" x="529"/>
        <item h="1" x="549"/>
        <item h="1" x="374"/>
        <item h="1" x="153"/>
        <item h="1" x="151"/>
        <item h="1" x="301"/>
        <item h="1" x="134"/>
        <item h="1" x="298"/>
        <item h="1" x="279"/>
        <item h="1" x="246"/>
        <item h="1" x="100"/>
        <item h="1" x="379"/>
        <item h="1" x="300"/>
        <item h="1" x="550"/>
        <item h="1" x="464"/>
        <item h="1" x="288"/>
        <item h="1" x="367"/>
        <item h="1" x="371"/>
        <item h="1" x="56"/>
        <item h="1" x="236"/>
        <item h="1" x="84"/>
        <item h="1" x="362"/>
        <item h="1" x="356"/>
        <item h="1" x="353"/>
        <item h="1" x="363"/>
        <item h="1" x="359"/>
        <item h="1" x="354"/>
        <item h="1" x="364"/>
        <item h="1" x="375"/>
        <item h="1" x="365"/>
        <item h="1" x="369"/>
        <item h="1" x="355"/>
        <item h="1" x="366"/>
        <item h="1" x="357"/>
        <item h="1" x="118"/>
        <item h="1" x="293"/>
        <item h="1" x="314"/>
        <item h="1" x="281"/>
        <item h="1" x="238"/>
        <item h="1" x="256"/>
        <item h="1" x="309"/>
        <item h="1" x="382"/>
        <item h="1" x="284"/>
        <item h="1" x="289"/>
        <item h="1" x="291"/>
        <item h="1" x="296"/>
        <item h="1" x="295"/>
        <item h="1" x="308"/>
        <item h="1" x="285"/>
        <item h="1" x="286"/>
        <item h="1" x="316"/>
        <item h="1" x="305"/>
        <item h="1" x="55"/>
        <item h="1" x="57"/>
        <item h="1" x="24"/>
        <item h="1" x="39"/>
        <item h="1" x="48"/>
        <item h="1" x="49"/>
        <item h="1" x="405"/>
        <item h="1" x="506"/>
        <item h="1" x="325"/>
        <item h="1" x="321"/>
        <item h="1" x="339"/>
        <item h="1" x="337"/>
        <item h="1" x="342"/>
        <item h="1" x="147"/>
        <item h="1" x="99"/>
        <item h="1" x="551"/>
        <item h="1" x="119"/>
        <item h="1" x="332"/>
        <item h="1" x="322"/>
        <item h="1" x="329"/>
        <item h="1" x="210"/>
        <item h="1" x="338"/>
        <item h="1" x="397"/>
        <item h="1" x="186"/>
        <item h="1" x="324"/>
        <item h="1" x="326"/>
        <item h="1" x="252"/>
        <item h="1" x="235"/>
        <item h="1" x="248"/>
        <item h="1" x="237"/>
        <item h="1" x="254"/>
        <item h="1" x="223"/>
        <item h="1" x="96"/>
        <item h="1" x="90"/>
        <item h="1" x="392"/>
        <item h="1" x="327"/>
        <item h="1" x="148"/>
        <item h="1" x="145"/>
        <item h="1" x="203"/>
        <item h="1" x="187"/>
        <item h="1" x="127"/>
        <item h="1" x="149"/>
        <item h="1" x="206"/>
        <item h="1" x="216"/>
        <item h="1" x="144"/>
        <item h="1" x="493"/>
        <item h="1" x="122"/>
        <item h="1" x="129"/>
        <item h="1" x="121"/>
        <item h="1" x="126"/>
        <item h="1" x="117"/>
        <item h="1" x="132"/>
        <item h="1" x="323"/>
        <item h="1" x="346"/>
        <item h="1" x="347"/>
        <item h="1" x="435"/>
        <item h="1" x="474"/>
        <item h="1" x="407"/>
        <item h="1" x="433"/>
        <item h="1" x="473"/>
        <item h="1" x="564"/>
        <item h="1" x="557"/>
        <item h="1" x="502"/>
        <item h="1" x="185"/>
        <item h="1" x="104"/>
        <item h="1" x="175"/>
        <item h="1" x="103"/>
        <item h="1" x="174"/>
        <item h="1" x="184"/>
        <item h="1" x="537"/>
        <item h="1" x="461"/>
        <item h="1" x="547"/>
        <item h="1" x="333"/>
        <item h="1" x="180"/>
        <item h="1" x="183"/>
        <item h="1" x="173"/>
        <item h="1" x="171"/>
        <item h="1" x="494"/>
        <item h="1" x="410"/>
        <item h="1" x="449"/>
        <item h="1" x="243"/>
        <item h="1" x="232"/>
        <item h="1" x="559"/>
        <item h="1" x="250"/>
        <item h="1" x="511"/>
        <item h="1" x="208"/>
        <item h="1" x="519"/>
        <item h="1" x="212"/>
        <item h="1" x="150"/>
        <item h="1" x="202"/>
        <item h="1" x="124"/>
        <item h="1" x="155"/>
        <item h="1" x="219"/>
        <item h="1" x="168"/>
        <item h="1" x="340"/>
        <item h="1" x="109"/>
        <item x="315"/>
        <item h="1" x="159"/>
        <item h="1" x="294"/>
        <item h="1" x="211"/>
        <item x="263"/>
        <item h="1" x="572"/>
        <item t="default"/>
      </items>
    </pivotField>
    <pivotField compact="0" outline="0" showAll="0"/>
    <pivotField axis="axisRow" compact="0" outline="0" showAll="0" defaultSubtotal="0">
      <items count="29">
        <item x="18"/>
        <item x="20"/>
        <item x="1"/>
        <item x="17"/>
        <item x="12"/>
        <item x="4"/>
        <item x="23"/>
        <item x="6"/>
        <item x="7"/>
        <item x="8"/>
        <item x="10"/>
        <item x="2"/>
        <item x="15"/>
        <item x="22"/>
        <item x="11"/>
        <item x="25"/>
        <item x="24"/>
        <item x="3"/>
        <item x="26"/>
        <item x="0"/>
        <item x="21"/>
        <item x="27"/>
        <item x="13"/>
        <item x="14"/>
        <item x="9"/>
        <item x="16"/>
        <item x="5"/>
        <item x="19"/>
        <item x="28"/>
      </items>
    </pivotField>
    <pivotField axis="axisRow" compact="0" outline="0" showAll="0" sortType="descending">
      <items count="30">
        <item x="3"/>
        <item x="4"/>
        <item x="0"/>
        <item x="5"/>
        <item x="6"/>
        <item x="7"/>
        <item x="8"/>
        <item x="9"/>
        <item x="10"/>
        <item x="11"/>
        <item x="12"/>
        <item x="13"/>
        <item x="14"/>
        <item x="15"/>
        <item x="16"/>
        <item x="17"/>
        <item x="18"/>
        <item x="19"/>
        <item x="20"/>
        <item x="21"/>
        <item x="2"/>
        <item x="22"/>
        <item x="1"/>
        <item x="23"/>
        <item x="24"/>
        <item x="25"/>
        <item x="26"/>
        <item x="27"/>
        <item x="28"/>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4">
    <field x="11"/>
    <field x="14"/>
    <field x="18"/>
    <field x="19"/>
  </rowFields>
  <rowItems count="59">
    <i>
      <x v="20"/>
      <x v="46"/>
      <x/>
      <x v="16"/>
    </i>
    <i>
      <x v="26"/>
      <x v="55"/>
      <x/>
      <x v="16"/>
    </i>
    <i>
      <x v="43"/>
      <x v="410"/>
      <x/>
      <x v="16"/>
    </i>
    <i>
      <x v="49"/>
      <x v="228"/>
      <x/>
      <x v="16"/>
    </i>
    <i>
      <x v="54"/>
      <x v="278"/>
      <x/>
      <x v="16"/>
    </i>
    <i>
      <x v="63"/>
      <x v="227"/>
      <x/>
      <x v="16"/>
    </i>
    <i>
      <x v="67"/>
      <x v="237"/>
      <x/>
      <x v="16"/>
    </i>
    <i>
      <x v="73"/>
      <x v="288"/>
      <x/>
      <x v="16"/>
    </i>
    <i>
      <x v="75"/>
      <x v="285"/>
      <x/>
      <x v="16"/>
    </i>
    <i>
      <x v="84"/>
      <x v="47"/>
      <x/>
      <x v="16"/>
    </i>
    <i>
      <x v="90"/>
      <x v="335"/>
      <x/>
      <x v="16"/>
    </i>
    <i>
      <x v="95"/>
      <x v="200"/>
      <x/>
      <x v="16"/>
    </i>
    <i>
      <x v="100"/>
      <x v="274"/>
      <x/>
      <x v="16"/>
    </i>
    <i>
      <x v="103"/>
      <x v="48"/>
      <x/>
      <x v="16"/>
    </i>
    <i>
      <x v="106"/>
      <x v="210"/>
      <x/>
      <x v="16"/>
    </i>
    <i>
      <x v="108"/>
      <x v="111"/>
      <x/>
      <x v="16"/>
    </i>
    <i>
      <x v="110"/>
      <x v="52"/>
      <x/>
      <x v="16"/>
    </i>
    <i>
      <x v="112"/>
      <x v="41"/>
      <x/>
      <x v="16"/>
    </i>
    <i>
      <x v="113"/>
      <x v="40"/>
      <x/>
      <x v="16"/>
    </i>
    <i>
      <x v="128"/>
      <x v="453"/>
      <x/>
      <x v="16"/>
    </i>
    <i>
      <x v="159"/>
      <x v="218"/>
      <x/>
      <x v="16"/>
    </i>
    <i>
      <x v="173"/>
      <x v="174"/>
      <x/>
      <x v="16"/>
    </i>
    <i>
      <x v="177"/>
      <x v="279"/>
      <x/>
      <x v="16"/>
    </i>
    <i>
      <x v="181"/>
      <x v="281"/>
      <x/>
      <x v="16"/>
    </i>
    <i>
      <x v="185"/>
      <x v="387"/>
      <x/>
      <x v="16"/>
    </i>
    <i>
      <x v="189"/>
      <x v="184"/>
      <x/>
      <x v="16"/>
    </i>
    <i>
      <x v="190"/>
      <x v="394"/>
      <x/>
      <x v="16"/>
    </i>
    <i>
      <x v="193"/>
      <x v="14"/>
      <x/>
      <x v="16"/>
    </i>
    <i>
      <x v="200"/>
      <x v="280"/>
      <x/>
      <x v="16"/>
    </i>
    <i>
      <x v="208"/>
      <x v="186"/>
      <x/>
      <x v="16"/>
    </i>
    <i>
      <x v="214"/>
      <x v="98"/>
      <x v="1"/>
      <x v="18"/>
    </i>
    <i>
      <x v="236"/>
      <x v="403"/>
      <x/>
      <x v="16"/>
    </i>
    <i>
      <x v="239"/>
      <x v="61"/>
      <x/>
      <x v="16"/>
    </i>
    <i>
      <x v="261"/>
      <x v="223"/>
      <x/>
      <x v="16"/>
    </i>
    <i>
      <x v="267"/>
      <x v="374"/>
      <x/>
      <x v="16"/>
    </i>
    <i>
      <x v="276"/>
      <x v="290"/>
      <x/>
      <x v="16"/>
    </i>
    <i>
      <x v="301"/>
      <x v="100"/>
      <x/>
      <x v="16"/>
    </i>
    <i>
      <x v="302"/>
      <x v="62"/>
      <x/>
      <x v="16"/>
    </i>
    <i>
      <x v="304"/>
      <x v="464"/>
      <x/>
      <x v="16"/>
    </i>
    <i>
      <x v="308"/>
      <x v="127"/>
      <x/>
      <x v="16"/>
    </i>
    <i>
      <x v="309"/>
      <x v="316"/>
      <x/>
      <x v="16"/>
    </i>
    <i>
      <x v="312"/>
      <x v="130"/>
      <x/>
      <x v="16"/>
    </i>
    <i>
      <x v="316"/>
      <x v="44"/>
      <x/>
      <x v="16"/>
    </i>
    <i>
      <x v="324"/>
      <x v="9"/>
      <x/>
      <x v="16"/>
    </i>
    <i>
      <x v="334"/>
      <x v="384"/>
      <x/>
      <x v="16"/>
    </i>
    <i>
      <x v="344"/>
      <x v="253"/>
      <x/>
      <x v="16"/>
    </i>
    <i>
      <x v="345"/>
      <x v="209"/>
      <x/>
      <x v="16"/>
    </i>
    <i>
      <x v="381"/>
      <x v="399"/>
      <x/>
      <x v="16"/>
    </i>
    <i>
      <x v="384"/>
      <x v="211"/>
      <x/>
      <x v="16"/>
    </i>
    <i>
      <x v="388"/>
      <x v="190"/>
      <x/>
      <x v="16"/>
    </i>
    <i>
      <x v="399"/>
      <x v="95"/>
      <x/>
      <x v="16"/>
    </i>
    <i>
      <x v="406"/>
      <x v="381"/>
      <x/>
      <x v="16"/>
    </i>
    <i>
      <x v="420"/>
      <x v="45"/>
      <x/>
      <x v="16"/>
    </i>
    <i>
      <x v="424"/>
      <x v="408"/>
      <x/>
      <x v="16"/>
    </i>
    <i>
      <x v="434"/>
      <x v="84"/>
      <x/>
      <x v="16"/>
    </i>
    <i>
      <x v="450"/>
      <x v="141"/>
      <x/>
      <x v="16"/>
    </i>
    <i>
      <x v="476"/>
      <x v="151"/>
      <x/>
      <x v="16"/>
    </i>
    <i>
      <x v="487"/>
      <x v="32"/>
      <x/>
      <x v="16"/>
    </i>
    <i t="grand">
      <x/>
    </i>
  </rowItems>
  <colFields count="1">
    <field x="-2"/>
  </colFields>
  <colItems count="2">
    <i>
      <x/>
    </i>
    <i i="1">
      <x v="1"/>
    </i>
  </colItems>
  <pageFields count="1">
    <pageField fld="16" hier="-1"/>
  </pageFields>
  <dataFields count="2">
    <dataField name="Sum of Recurring Amount (U.S.)" fld="9" baseField="17" baseItem="52" numFmtId="165"/>
    <dataField name="Sum of One Time Amount (U.S.)" fld="8" baseField="17" baseItem="28" numFmtId="165"/>
  </dataFields>
  <formats count="2618">
    <format dxfId="2946">
      <pivotArea dataOnly="0" labelOnly="1" outline="0" fieldPosition="0">
        <references count="1">
          <reference field="4294967294" count="1">
            <x v="0"/>
          </reference>
        </references>
      </pivotArea>
    </format>
    <format dxfId="2945">
      <pivotArea type="all" dataOnly="0" outline="0" fieldPosition="0"/>
    </format>
    <format dxfId="2944">
      <pivotArea outline="0" collapsedLevelsAreSubtotals="1" fieldPosition="0"/>
    </format>
    <format dxfId="2943">
      <pivotArea field="11" type="button" dataOnly="0" labelOnly="1" outline="0" axis="axisRow" fieldPosition="0"/>
    </format>
    <format dxfId="2942">
      <pivotArea field="14" type="button" dataOnly="0" labelOnly="1" outline="0" axis="axisRow" fieldPosition="1"/>
    </format>
    <format dxfId="2941">
      <pivotArea field="18" type="button" dataOnly="0" labelOnly="1" outline="0" axis="axisRow" fieldPosition="2"/>
    </format>
    <format dxfId="2940">
      <pivotArea field="19" type="button" dataOnly="0" labelOnly="1" outline="0" axis="axisRow" fieldPosition="3"/>
    </format>
    <format dxfId="2939">
      <pivotArea dataOnly="0" labelOnly="1" outline="0" fieldPosition="0">
        <references count="1">
          <reference field="11" count="22">
            <x v="0"/>
            <x v="1"/>
            <x v="2"/>
            <x v="3"/>
            <x v="4"/>
            <x v="5"/>
            <x v="6"/>
            <x v="7"/>
            <x v="8"/>
            <x v="9"/>
            <x v="10"/>
            <x v="11"/>
            <x v="12"/>
            <x v="13"/>
            <x v="14"/>
            <x v="15"/>
            <x v="16"/>
            <x v="17"/>
            <x v="18"/>
            <x v="19"/>
            <x v="20"/>
            <x v="21"/>
          </reference>
        </references>
      </pivotArea>
    </format>
    <format dxfId="2938">
      <pivotArea dataOnly="0" labelOnly="1" outline="0" fieldPosition="0">
        <references count="1">
          <reference field="11" count="22" defaultSubtotal="1">
            <x v="0"/>
            <x v="1"/>
            <x v="2"/>
            <x v="3"/>
            <x v="4"/>
            <x v="5"/>
            <x v="6"/>
            <x v="7"/>
            <x v="8"/>
            <x v="9"/>
            <x v="10"/>
            <x v="11"/>
            <x v="12"/>
            <x v="13"/>
            <x v="14"/>
            <x v="15"/>
            <x v="16"/>
            <x v="17"/>
            <x v="18"/>
            <x v="19"/>
            <x v="20"/>
            <x v="21"/>
          </reference>
        </references>
      </pivotArea>
    </format>
    <format dxfId="2937">
      <pivotArea dataOnly="0" labelOnly="1" outline="0" fieldPosition="0">
        <references count="1">
          <reference field="11" count="18">
            <x v="22"/>
            <x v="23"/>
            <x v="24"/>
            <x v="25"/>
            <x v="26"/>
            <x v="27"/>
            <x v="28"/>
            <x v="29"/>
            <x v="30"/>
            <x v="31"/>
            <x v="32"/>
            <x v="33"/>
            <x v="34"/>
            <x v="35"/>
            <x v="36"/>
            <x v="37"/>
            <x v="38"/>
            <x v="39"/>
          </reference>
        </references>
      </pivotArea>
    </format>
    <format dxfId="2936">
      <pivotArea dataOnly="0" labelOnly="1" outline="0" fieldPosition="0">
        <references count="1">
          <reference field="11" count="18" defaultSubtotal="1">
            <x v="22"/>
            <x v="23"/>
            <x v="24"/>
            <x v="25"/>
            <x v="26"/>
            <x v="27"/>
            <x v="28"/>
            <x v="29"/>
            <x v="30"/>
            <x v="31"/>
            <x v="32"/>
            <x v="33"/>
            <x v="34"/>
            <x v="35"/>
            <x v="36"/>
            <x v="37"/>
            <x v="38"/>
            <x v="39"/>
          </reference>
        </references>
      </pivotArea>
    </format>
    <format dxfId="2935">
      <pivotArea dataOnly="0" labelOnly="1" outline="0" fieldPosition="0">
        <references count="1">
          <reference field="11" count="20">
            <x v="40"/>
            <x v="41"/>
            <x v="42"/>
            <x v="43"/>
            <x v="44"/>
            <x v="45"/>
            <x v="46"/>
            <x v="47"/>
            <x v="48"/>
            <x v="49"/>
            <x v="50"/>
            <x v="51"/>
            <x v="52"/>
            <x v="53"/>
            <x v="54"/>
            <x v="55"/>
            <x v="56"/>
            <x v="57"/>
            <x v="58"/>
            <x v="59"/>
          </reference>
        </references>
      </pivotArea>
    </format>
    <format dxfId="2934">
      <pivotArea dataOnly="0" labelOnly="1" outline="0" fieldPosition="0">
        <references count="1">
          <reference field="11" count="20" defaultSubtotal="1">
            <x v="40"/>
            <x v="41"/>
            <x v="42"/>
            <x v="43"/>
            <x v="44"/>
            <x v="45"/>
            <x v="46"/>
            <x v="47"/>
            <x v="48"/>
            <x v="49"/>
            <x v="50"/>
            <x v="51"/>
            <x v="52"/>
            <x v="53"/>
            <x v="54"/>
            <x v="55"/>
            <x v="56"/>
            <x v="57"/>
            <x v="58"/>
            <x v="59"/>
          </reference>
        </references>
      </pivotArea>
    </format>
    <format dxfId="2933">
      <pivotArea dataOnly="0" labelOnly="1" outline="0" fieldPosition="0">
        <references count="1">
          <reference field="11" count="15">
            <x v="60"/>
            <x v="61"/>
            <x v="62"/>
            <x v="63"/>
            <x v="64"/>
            <x v="65"/>
            <x v="66"/>
            <x v="67"/>
            <x v="68"/>
            <x v="69"/>
            <x v="70"/>
            <x v="71"/>
            <x v="72"/>
            <x v="73"/>
            <x v="74"/>
          </reference>
        </references>
      </pivotArea>
    </format>
    <format dxfId="2932">
      <pivotArea dataOnly="0" labelOnly="1" outline="0" fieldPosition="0">
        <references count="1">
          <reference field="11" count="15" defaultSubtotal="1">
            <x v="60"/>
            <x v="61"/>
            <x v="62"/>
            <x v="63"/>
            <x v="64"/>
            <x v="65"/>
            <x v="66"/>
            <x v="67"/>
            <x v="68"/>
            <x v="69"/>
            <x v="70"/>
            <x v="71"/>
            <x v="72"/>
            <x v="73"/>
            <x v="74"/>
          </reference>
        </references>
      </pivotArea>
    </format>
    <format dxfId="2931">
      <pivotArea dataOnly="0" labelOnly="1" outline="0" fieldPosition="0">
        <references count="1">
          <reference field="11" count="18">
            <x v="75"/>
            <x v="76"/>
            <x v="77"/>
            <x v="78"/>
            <x v="79"/>
            <x v="80"/>
            <x v="81"/>
            <x v="82"/>
            <x v="83"/>
            <x v="84"/>
            <x v="85"/>
            <x v="86"/>
            <x v="87"/>
            <x v="88"/>
            <x v="89"/>
            <x v="90"/>
            <x v="91"/>
            <x v="92"/>
          </reference>
        </references>
      </pivotArea>
    </format>
    <format dxfId="2930">
      <pivotArea dataOnly="0" labelOnly="1" outline="0" fieldPosition="0">
        <references count="1">
          <reference field="11" count="18" defaultSubtotal="1">
            <x v="75"/>
            <x v="76"/>
            <x v="77"/>
            <x v="78"/>
            <x v="79"/>
            <x v="80"/>
            <x v="81"/>
            <x v="82"/>
            <x v="83"/>
            <x v="84"/>
            <x v="85"/>
            <x v="86"/>
            <x v="87"/>
            <x v="88"/>
            <x v="89"/>
            <x v="90"/>
            <x v="91"/>
            <x v="92"/>
          </reference>
        </references>
      </pivotArea>
    </format>
    <format dxfId="2929">
      <pivotArea dataOnly="0" labelOnly="1" outline="0" fieldPosition="0">
        <references count="1">
          <reference field="11" count="16">
            <x v="93"/>
            <x v="94"/>
            <x v="95"/>
            <x v="96"/>
            <x v="97"/>
            <x v="98"/>
            <x v="99"/>
            <x v="100"/>
            <x v="101"/>
            <x v="102"/>
            <x v="103"/>
            <x v="104"/>
            <x v="105"/>
            <x v="106"/>
            <x v="107"/>
            <x v="108"/>
          </reference>
        </references>
      </pivotArea>
    </format>
    <format dxfId="2928">
      <pivotArea dataOnly="0" labelOnly="1" outline="0" fieldPosition="0">
        <references count="1">
          <reference field="11" count="16" defaultSubtotal="1">
            <x v="93"/>
            <x v="94"/>
            <x v="95"/>
            <x v="96"/>
            <x v="97"/>
            <x v="98"/>
            <x v="99"/>
            <x v="100"/>
            <x v="101"/>
            <x v="102"/>
            <x v="103"/>
            <x v="104"/>
            <x v="105"/>
            <x v="106"/>
            <x v="107"/>
            <x v="108"/>
          </reference>
        </references>
      </pivotArea>
    </format>
    <format dxfId="2927">
      <pivotArea dataOnly="0" labelOnly="1" outline="0" fieldPosition="0">
        <references count="1">
          <reference field="11" count="23">
            <x v="109"/>
            <x v="110"/>
            <x v="111"/>
            <x v="112"/>
            <x v="113"/>
            <x v="114"/>
            <x v="115"/>
            <x v="116"/>
            <x v="117"/>
            <x v="118"/>
            <x v="119"/>
            <x v="120"/>
            <x v="121"/>
            <x v="122"/>
            <x v="123"/>
            <x v="124"/>
            <x v="125"/>
            <x v="126"/>
            <x v="127"/>
            <x v="128"/>
            <x v="129"/>
            <x v="130"/>
            <x v="131"/>
          </reference>
        </references>
      </pivotArea>
    </format>
    <format dxfId="2926">
      <pivotArea dataOnly="0" labelOnly="1" outline="0" fieldPosition="0">
        <references count="1">
          <reference field="11" count="23" defaultSubtotal="1">
            <x v="109"/>
            <x v="110"/>
            <x v="111"/>
            <x v="112"/>
            <x v="113"/>
            <x v="114"/>
            <x v="115"/>
            <x v="116"/>
            <x v="117"/>
            <x v="118"/>
            <x v="119"/>
            <x v="120"/>
            <x v="121"/>
            <x v="122"/>
            <x v="123"/>
            <x v="124"/>
            <x v="125"/>
            <x v="126"/>
            <x v="127"/>
            <x v="128"/>
            <x v="129"/>
            <x v="130"/>
            <x v="131"/>
          </reference>
        </references>
      </pivotArea>
    </format>
    <format dxfId="2925">
      <pivotArea dataOnly="0" labelOnly="1" outline="0" fieldPosition="0">
        <references count="1">
          <reference field="11" count="19">
            <x v="132"/>
            <x v="133"/>
            <x v="134"/>
            <x v="135"/>
            <x v="136"/>
            <x v="137"/>
            <x v="138"/>
            <x v="139"/>
            <x v="140"/>
            <x v="141"/>
            <x v="142"/>
            <x v="143"/>
            <x v="144"/>
            <x v="145"/>
            <x v="146"/>
            <x v="147"/>
            <x v="148"/>
            <x v="149"/>
            <x v="150"/>
          </reference>
        </references>
      </pivotArea>
    </format>
    <format dxfId="2924">
      <pivotArea dataOnly="0" labelOnly="1" outline="0" fieldPosition="0">
        <references count="1">
          <reference field="11" count="19" defaultSubtotal="1">
            <x v="132"/>
            <x v="133"/>
            <x v="134"/>
            <x v="135"/>
            <x v="136"/>
            <x v="137"/>
            <x v="138"/>
            <x v="139"/>
            <x v="140"/>
            <x v="141"/>
            <x v="142"/>
            <x v="143"/>
            <x v="144"/>
            <x v="145"/>
            <x v="146"/>
            <x v="147"/>
            <x v="148"/>
            <x v="149"/>
            <x v="150"/>
          </reference>
        </references>
      </pivotArea>
    </format>
    <format dxfId="2923">
      <pivotArea dataOnly="0" labelOnly="1" outline="0" fieldPosition="0">
        <references count="1">
          <reference field="11" count="14">
            <x v="151"/>
            <x v="152"/>
            <x v="153"/>
            <x v="154"/>
            <x v="155"/>
            <x v="156"/>
            <x v="157"/>
            <x v="158"/>
            <x v="159"/>
            <x v="160"/>
            <x v="161"/>
            <x v="162"/>
            <x v="163"/>
            <x v="164"/>
          </reference>
        </references>
      </pivotArea>
    </format>
    <format dxfId="2922">
      <pivotArea dataOnly="0" labelOnly="1" outline="0" fieldPosition="0">
        <references count="1">
          <reference field="11" count="14" defaultSubtotal="1">
            <x v="151"/>
            <x v="152"/>
            <x v="153"/>
            <x v="154"/>
            <x v="155"/>
            <x v="156"/>
            <x v="157"/>
            <x v="158"/>
            <x v="159"/>
            <x v="160"/>
            <x v="161"/>
            <x v="162"/>
            <x v="163"/>
            <x v="164"/>
          </reference>
        </references>
      </pivotArea>
    </format>
    <format dxfId="2921">
      <pivotArea dataOnly="0" labelOnly="1" outline="0" fieldPosition="0">
        <references count="1">
          <reference field="11" count="16">
            <x v="165"/>
            <x v="166"/>
            <x v="167"/>
            <x v="168"/>
            <x v="169"/>
            <x v="170"/>
            <x v="171"/>
            <x v="172"/>
            <x v="173"/>
            <x v="174"/>
            <x v="175"/>
            <x v="176"/>
            <x v="177"/>
            <x v="178"/>
            <x v="179"/>
            <x v="180"/>
          </reference>
        </references>
      </pivotArea>
    </format>
    <format dxfId="2920">
      <pivotArea dataOnly="0" labelOnly="1" outline="0" fieldPosition="0">
        <references count="1">
          <reference field="11" count="16" defaultSubtotal="1">
            <x v="165"/>
            <x v="166"/>
            <x v="167"/>
            <x v="168"/>
            <x v="169"/>
            <x v="170"/>
            <x v="171"/>
            <x v="172"/>
            <x v="173"/>
            <x v="174"/>
            <x v="175"/>
            <x v="176"/>
            <x v="177"/>
            <x v="178"/>
            <x v="179"/>
            <x v="180"/>
          </reference>
        </references>
      </pivotArea>
    </format>
    <format dxfId="2919">
      <pivotArea dataOnly="0" labelOnly="1" outline="0" fieldPosition="0">
        <references count="1">
          <reference field="11" count="20">
            <x v="181"/>
            <x v="182"/>
            <x v="183"/>
            <x v="184"/>
            <x v="185"/>
            <x v="186"/>
            <x v="187"/>
            <x v="188"/>
            <x v="189"/>
            <x v="190"/>
            <x v="191"/>
            <x v="192"/>
            <x v="193"/>
            <x v="194"/>
            <x v="195"/>
            <x v="196"/>
            <x v="197"/>
            <x v="198"/>
            <x v="199"/>
            <x v="200"/>
          </reference>
        </references>
      </pivotArea>
    </format>
    <format dxfId="2918">
      <pivotArea dataOnly="0" labelOnly="1" outline="0" fieldPosition="0">
        <references count="1">
          <reference field="11" count="20" defaultSubtotal="1">
            <x v="181"/>
            <x v="182"/>
            <x v="183"/>
            <x v="184"/>
            <x v="185"/>
            <x v="186"/>
            <x v="187"/>
            <x v="188"/>
            <x v="189"/>
            <x v="190"/>
            <x v="191"/>
            <x v="192"/>
            <x v="193"/>
            <x v="194"/>
            <x v="195"/>
            <x v="196"/>
            <x v="197"/>
            <x v="198"/>
            <x v="199"/>
            <x v="200"/>
          </reference>
        </references>
      </pivotArea>
    </format>
    <format dxfId="2917">
      <pivotArea dataOnly="0" labelOnly="1" outline="0" fieldPosition="0">
        <references count="1">
          <reference field="11" count="15">
            <x v="201"/>
            <x v="202"/>
            <x v="203"/>
            <x v="204"/>
            <x v="205"/>
            <x v="206"/>
            <x v="207"/>
            <x v="208"/>
            <x v="209"/>
            <x v="210"/>
            <x v="211"/>
            <x v="212"/>
            <x v="213"/>
            <x v="214"/>
            <x v="215"/>
          </reference>
        </references>
      </pivotArea>
    </format>
    <format dxfId="2916">
      <pivotArea dataOnly="0" labelOnly="1" outline="0" fieldPosition="0">
        <references count="1">
          <reference field="11" count="15" defaultSubtotal="1">
            <x v="201"/>
            <x v="202"/>
            <x v="203"/>
            <x v="204"/>
            <x v="205"/>
            <x v="206"/>
            <x v="207"/>
            <x v="208"/>
            <x v="209"/>
            <x v="210"/>
            <x v="211"/>
            <x v="212"/>
            <x v="213"/>
            <x v="214"/>
            <x v="215"/>
          </reference>
        </references>
      </pivotArea>
    </format>
    <format dxfId="2915">
      <pivotArea dataOnly="0" labelOnly="1" outline="0" fieldPosition="0">
        <references count="1">
          <reference field="11" count="18">
            <x v="216"/>
            <x v="217"/>
            <x v="218"/>
            <x v="219"/>
            <x v="220"/>
            <x v="221"/>
            <x v="222"/>
            <x v="223"/>
            <x v="224"/>
            <x v="225"/>
            <x v="226"/>
            <x v="227"/>
            <x v="228"/>
            <x v="229"/>
            <x v="230"/>
            <x v="231"/>
            <x v="232"/>
            <x v="233"/>
          </reference>
        </references>
      </pivotArea>
    </format>
    <format dxfId="2914">
      <pivotArea dataOnly="0" labelOnly="1" outline="0" fieldPosition="0">
        <references count="1">
          <reference field="11" count="18" defaultSubtotal="1">
            <x v="216"/>
            <x v="217"/>
            <x v="218"/>
            <x v="219"/>
            <x v="220"/>
            <x v="221"/>
            <x v="222"/>
            <x v="223"/>
            <x v="224"/>
            <x v="225"/>
            <x v="226"/>
            <x v="227"/>
            <x v="228"/>
            <x v="229"/>
            <x v="230"/>
            <x v="231"/>
            <x v="232"/>
            <x v="233"/>
          </reference>
        </references>
      </pivotArea>
    </format>
    <format dxfId="2913">
      <pivotArea dataOnly="0" labelOnly="1" outline="0" fieldPosition="0">
        <references count="1">
          <reference field="11" count="19">
            <x v="234"/>
            <x v="235"/>
            <x v="236"/>
            <x v="237"/>
            <x v="238"/>
            <x v="239"/>
            <x v="240"/>
            <x v="241"/>
            <x v="242"/>
            <x v="243"/>
            <x v="244"/>
            <x v="245"/>
            <x v="246"/>
            <x v="247"/>
            <x v="248"/>
            <x v="249"/>
            <x v="250"/>
            <x v="251"/>
            <x v="252"/>
          </reference>
        </references>
      </pivotArea>
    </format>
    <format dxfId="2912">
      <pivotArea dataOnly="0" labelOnly="1" outline="0" fieldPosition="0">
        <references count="1">
          <reference field="11" count="19" defaultSubtotal="1">
            <x v="234"/>
            <x v="235"/>
            <x v="236"/>
            <x v="237"/>
            <x v="238"/>
            <x v="239"/>
            <x v="240"/>
            <x v="241"/>
            <x v="242"/>
            <x v="243"/>
            <x v="244"/>
            <x v="245"/>
            <x v="246"/>
            <x v="247"/>
            <x v="248"/>
            <x v="249"/>
            <x v="250"/>
            <x v="251"/>
            <x v="252"/>
          </reference>
        </references>
      </pivotArea>
    </format>
    <format dxfId="2911">
      <pivotArea dataOnly="0" labelOnly="1" outline="0" fieldPosition="0">
        <references count="1">
          <reference field="11" count="9">
            <x v="253"/>
            <x v="254"/>
            <x v="255"/>
            <x v="256"/>
            <x v="257"/>
            <x v="258"/>
            <x v="259"/>
            <x v="260"/>
            <x v="261"/>
          </reference>
        </references>
      </pivotArea>
    </format>
    <format dxfId="2910">
      <pivotArea dataOnly="0" labelOnly="1" outline="0" fieldPosition="0">
        <references count="1">
          <reference field="11" count="9" defaultSubtotal="1">
            <x v="253"/>
            <x v="254"/>
            <x v="255"/>
            <x v="256"/>
            <x v="257"/>
            <x v="258"/>
            <x v="259"/>
            <x v="260"/>
            <x v="261"/>
          </reference>
        </references>
      </pivotArea>
    </format>
    <format dxfId="2909">
      <pivotArea dataOnly="0" labelOnly="1" outline="0" fieldPosition="0">
        <references count="1">
          <reference field="11" count="23">
            <x v="262"/>
            <x v="263"/>
            <x v="264"/>
            <x v="265"/>
            <x v="266"/>
            <x v="267"/>
            <x v="268"/>
            <x v="269"/>
            <x v="270"/>
            <x v="271"/>
            <x v="272"/>
            <x v="273"/>
            <x v="274"/>
            <x v="275"/>
            <x v="276"/>
            <x v="277"/>
            <x v="278"/>
            <x v="279"/>
            <x v="280"/>
            <x v="281"/>
            <x v="282"/>
            <x v="283"/>
            <x v="284"/>
          </reference>
        </references>
      </pivotArea>
    </format>
    <format dxfId="2908">
      <pivotArea dataOnly="0" labelOnly="1" outline="0" fieldPosition="0">
        <references count="1">
          <reference field="11" count="23" defaultSubtotal="1">
            <x v="262"/>
            <x v="263"/>
            <x v="264"/>
            <x v="265"/>
            <x v="266"/>
            <x v="267"/>
            <x v="268"/>
            <x v="269"/>
            <x v="270"/>
            <x v="271"/>
            <x v="272"/>
            <x v="273"/>
            <x v="274"/>
            <x v="275"/>
            <x v="276"/>
            <x v="277"/>
            <x v="278"/>
            <x v="279"/>
            <x v="280"/>
            <x v="281"/>
            <x v="282"/>
            <x v="283"/>
            <x v="284"/>
          </reference>
        </references>
      </pivotArea>
    </format>
    <format dxfId="2907">
      <pivotArea dataOnly="0" labelOnly="1" outline="0" fieldPosition="0">
        <references count="1">
          <reference field="11" count="24">
            <x v="285"/>
            <x v="286"/>
            <x v="287"/>
            <x v="288"/>
            <x v="289"/>
            <x v="290"/>
            <x v="291"/>
            <x v="292"/>
            <x v="293"/>
            <x v="294"/>
            <x v="295"/>
            <x v="296"/>
            <x v="297"/>
            <x v="298"/>
            <x v="299"/>
            <x v="300"/>
            <x v="301"/>
            <x v="302"/>
            <x v="303"/>
            <x v="304"/>
            <x v="305"/>
            <x v="306"/>
            <x v="307"/>
            <x v="308"/>
          </reference>
        </references>
      </pivotArea>
    </format>
    <format dxfId="2906">
      <pivotArea dataOnly="0" labelOnly="1" outline="0" fieldPosition="0">
        <references count="1">
          <reference field="11" count="24" defaultSubtotal="1">
            <x v="285"/>
            <x v="286"/>
            <x v="287"/>
            <x v="288"/>
            <x v="289"/>
            <x v="290"/>
            <x v="291"/>
            <x v="292"/>
            <x v="293"/>
            <x v="294"/>
            <x v="295"/>
            <x v="296"/>
            <x v="297"/>
            <x v="298"/>
            <x v="299"/>
            <x v="300"/>
            <x v="301"/>
            <x v="302"/>
            <x v="303"/>
            <x v="304"/>
            <x v="305"/>
            <x v="306"/>
            <x v="307"/>
            <x v="308"/>
          </reference>
        </references>
      </pivotArea>
    </format>
    <format dxfId="2905">
      <pivotArea dataOnly="0" labelOnly="1" outline="0" fieldPosition="0">
        <references count="1">
          <reference field="11" count="22">
            <x v="309"/>
            <x v="310"/>
            <x v="311"/>
            <x v="312"/>
            <x v="313"/>
            <x v="314"/>
            <x v="315"/>
            <x v="316"/>
            <x v="317"/>
            <x v="318"/>
            <x v="319"/>
            <x v="320"/>
            <x v="321"/>
            <x v="322"/>
            <x v="323"/>
            <x v="324"/>
            <x v="325"/>
            <x v="326"/>
            <x v="327"/>
            <x v="328"/>
            <x v="329"/>
            <x v="330"/>
          </reference>
        </references>
      </pivotArea>
    </format>
    <format dxfId="2904">
      <pivotArea dataOnly="0" labelOnly="1" outline="0" fieldPosition="0">
        <references count="1">
          <reference field="11" count="22" defaultSubtotal="1">
            <x v="309"/>
            <x v="310"/>
            <x v="311"/>
            <x v="312"/>
            <x v="313"/>
            <x v="314"/>
            <x v="315"/>
            <x v="316"/>
            <x v="317"/>
            <x v="318"/>
            <x v="319"/>
            <x v="320"/>
            <x v="321"/>
            <x v="322"/>
            <x v="323"/>
            <x v="324"/>
            <x v="325"/>
            <x v="326"/>
            <x v="327"/>
            <x v="328"/>
            <x v="329"/>
            <x v="330"/>
          </reference>
        </references>
      </pivotArea>
    </format>
    <format dxfId="2903">
      <pivotArea dataOnly="0" labelOnly="1" outline="0" fieldPosition="0">
        <references count="1">
          <reference field="11" count="15">
            <x v="331"/>
            <x v="332"/>
            <x v="333"/>
            <x v="334"/>
            <x v="335"/>
            <x v="336"/>
            <x v="337"/>
            <x v="338"/>
            <x v="339"/>
            <x v="340"/>
            <x v="341"/>
            <x v="342"/>
            <x v="343"/>
            <x v="344"/>
            <x v="345"/>
          </reference>
        </references>
      </pivotArea>
    </format>
    <format dxfId="2902">
      <pivotArea dataOnly="0" labelOnly="1" outline="0" fieldPosition="0">
        <references count="1">
          <reference field="11" count="15" defaultSubtotal="1">
            <x v="331"/>
            <x v="332"/>
            <x v="333"/>
            <x v="334"/>
            <x v="335"/>
            <x v="336"/>
            <x v="337"/>
            <x v="338"/>
            <x v="339"/>
            <x v="340"/>
            <x v="341"/>
            <x v="342"/>
            <x v="343"/>
            <x v="344"/>
            <x v="345"/>
          </reference>
        </references>
      </pivotArea>
    </format>
    <format dxfId="2901">
      <pivotArea dataOnly="0" labelOnly="1" outline="0" fieldPosition="0">
        <references count="1">
          <reference field="11" count="12">
            <x v="346"/>
            <x v="347"/>
            <x v="348"/>
            <x v="349"/>
            <x v="350"/>
            <x v="351"/>
            <x v="352"/>
            <x v="353"/>
            <x v="354"/>
            <x v="355"/>
            <x v="356"/>
            <x v="357"/>
          </reference>
        </references>
      </pivotArea>
    </format>
    <format dxfId="2900">
      <pivotArea dataOnly="0" labelOnly="1" outline="0" fieldPosition="0">
        <references count="1">
          <reference field="11" count="12" defaultSubtotal="1">
            <x v="346"/>
            <x v="347"/>
            <x v="348"/>
            <x v="349"/>
            <x v="350"/>
            <x v="351"/>
            <x v="352"/>
            <x v="353"/>
            <x v="354"/>
            <x v="355"/>
            <x v="356"/>
            <x v="357"/>
          </reference>
        </references>
      </pivotArea>
    </format>
    <format dxfId="2899">
      <pivotArea dataOnly="0" labelOnly="1" outline="0" fieldPosition="0">
        <references count="1">
          <reference field="11" count="17">
            <x v="358"/>
            <x v="359"/>
            <x v="360"/>
            <x v="361"/>
            <x v="362"/>
            <x v="363"/>
            <x v="364"/>
            <x v="365"/>
            <x v="366"/>
            <x v="367"/>
            <x v="368"/>
            <x v="369"/>
            <x v="370"/>
            <x v="371"/>
            <x v="372"/>
            <x v="373"/>
            <x v="374"/>
          </reference>
        </references>
      </pivotArea>
    </format>
    <format dxfId="2898">
      <pivotArea dataOnly="0" labelOnly="1" outline="0" fieldPosition="0">
        <references count="1">
          <reference field="11" count="17" defaultSubtotal="1">
            <x v="358"/>
            <x v="359"/>
            <x v="360"/>
            <x v="361"/>
            <x v="362"/>
            <x v="363"/>
            <x v="364"/>
            <x v="365"/>
            <x v="366"/>
            <x v="367"/>
            <x v="368"/>
            <x v="369"/>
            <x v="370"/>
            <x v="371"/>
            <x v="372"/>
            <x v="373"/>
            <x v="374"/>
          </reference>
        </references>
      </pivotArea>
    </format>
    <format dxfId="2897">
      <pivotArea dataOnly="0" labelOnly="1" outline="0" fieldPosition="0">
        <references count="1">
          <reference field="11" count="20">
            <x v="375"/>
            <x v="376"/>
            <x v="377"/>
            <x v="378"/>
            <x v="379"/>
            <x v="380"/>
            <x v="381"/>
            <x v="382"/>
            <x v="383"/>
            <x v="384"/>
            <x v="385"/>
            <x v="386"/>
            <x v="387"/>
            <x v="388"/>
            <x v="389"/>
            <x v="390"/>
            <x v="391"/>
            <x v="392"/>
            <x v="393"/>
            <x v="394"/>
          </reference>
        </references>
      </pivotArea>
    </format>
    <format dxfId="2896">
      <pivotArea dataOnly="0" labelOnly="1" outline="0" fieldPosition="0">
        <references count="1">
          <reference field="11" count="20" defaultSubtotal="1">
            <x v="375"/>
            <x v="376"/>
            <x v="377"/>
            <x v="378"/>
            <x v="379"/>
            <x v="380"/>
            <x v="381"/>
            <x v="382"/>
            <x v="383"/>
            <x v="384"/>
            <x v="385"/>
            <x v="386"/>
            <x v="387"/>
            <x v="388"/>
            <x v="389"/>
            <x v="390"/>
            <x v="391"/>
            <x v="392"/>
            <x v="393"/>
            <x v="394"/>
          </reference>
        </references>
      </pivotArea>
    </format>
    <format dxfId="2895">
      <pivotArea dataOnly="0" labelOnly="1" outline="0" fieldPosition="0">
        <references count="1">
          <reference field="11" count="12">
            <x v="395"/>
            <x v="396"/>
            <x v="397"/>
            <x v="398"/>
            <x v="399"/>
            <x v="400"/>
            <x v="401"/>
            <x v="402"/>
            <x v="403"/>
            <x v="404"/>
            <x v="405"/>
            <x v="406"/>
          </reference>
        </references>
      </pivotArea>
    </format>
    <format dxfId="2894">
      <pivotArea dataOnly="0" labelOnly="1" outline="0" fieldPosition="0">
        <references count="1">
          <reference field="11" count="12" defaultSubtotal="1">
            <x v="395"/>
            <x v="396"/>
            <x v="397"/>
            <x v="398"/>
            <x v="399"/>
            <x v="400"/>
            <x v="401"/>
            <x v="402"/>
            <x v="403"/>
            <x v="404"/>
            <x v="405"/>
            <x v="406"/>
          </reference>
        </references>
      </pivotArea>
    </format>
    <format dxfId="2893">
      <pivotArea dataOnly="0" labelOnly="1" outline="0" fieldPosition="0">
        <references count="1">
          <reference field="11" count="19">
            <x v="407"/>
            <x v="408"/>
            <x v="409"/>
            <x v="410"/>
            <x v="411"/>
            <x v="412"/>
            <x v="413"/>
            <x v="414"/>
            <x v="415"/>
            <x v="416"/>
            <x v="417"/>
            <x v="418"/>
            <x v="419"/>
            <x v="420"/>
            <x v="421"/>
            <x v="422"/>
            <x v="423"/>
            <x v="424"/>
            <x v="425"/>
          </reference>
        </references>
      </pivotArea>
    </format>
    <format dxfId="2892">
      <pivotArea dataOnly="0" labelOnly="1" outline="0" fieldPosition="0">
        <references count="1">
          <reference field="11" count="19" defaultSubtotal="1">
            <x v="407"/>
            <x v="408"/>
            <x v="409"/>
            <x v="410"/>
            <x v="411"/>
            <x v="412"/>
            <x v="413"/>
            <x v="414"/>
            <x v="415"/>
            <x v="416"/>
            <x v="417"/>
            <x v="418"/>
            <x v="419"/>
            <x v="420"/>
            <x v="421"/>
            <x v="422"/>
            <x v="423"/>
            <x v="424"/>
            <x v="425"/>
          </reference>
        </references>
      </pivotArea>
    </format>
    <format dxfId="2891">
      <pivotArea dataOnly="0" labelOnly="1" outline="0" fieldPosition="0">
        <references count="1">
          <reference field="11" count="16">
            <x v="426"/>
            <x v="427"/>
            <x v="428"/>
            <x v="429"/>
            <x v="430"/>
            <x v="431"/>
            <x v="432"/>
            <x v="433"/>
            <x v="434"/>
            <x v="435"/>
            <x v="436"/>
            <x v="437"/>
            <x v="438"/>
            <x v="439"/>
            <x v="440"/>
            <x v="441"/>
          </reference>
        </references>
      </pivotArea>
    </format>
    <format dxfId="2890">
      <pivotArea dataOnly="0" labelOnly="1" outline="0" fieldPosition="0">
        <references count="1">
          <reference field="11" count="16" defaultSubtotal="1">
            <x v="426"/>
            <x v="427"/>
            <x v="428"/>
            <x v="429"/>
            <x v="430"/>
            <x v="431"/>
            <x v="432"/>
            <x v="433"/>
            <x v="434"/>
            <x v="435"/>
            <x v="436"/>
            <x v="437"/>
            <x v="438"/>
            <x v="439"/>
            <x v="440"/>
            <x v="441"/>
          </reference>
        </references>
      </pivotArea>
    </format>
    <format dxfId="2889">
      <pivotArea dataOnly="0" labelOnly="1" outline="0" fieldPosition="0">
        <references count="1">
          <reference field="11" count="19">
            <x v="442"/>
            <x v="443"/>
            <x v="444"/>
            <x v="445"/>
            <x v="446"/>
            <x v="447"/>
            <x v="448"/>
            <x v="449"/>
            <x v="450"/>
            <x v="451"/>
            <x v="452"/>
            <x v="453"/>
            <x v="454"/>
            <x v="455"/>
            <x v="456"/>
            <x v="457"/>
            <x v="458"/>
            <x v="459"/>
            <x v="460"/>
          </reference>
        </references>
      </pivotArea>
    </format>
    <format dxfId="2888">
      <pivotArea dataOnly="0" labelOnly="1" outline="0" fieldPosition="0">
        <references count="1">
          <reference field="11" count="19" defaultSubtotal="1">
            <x v="442"/>
            <x v="443"/>
            <x v="444"/>
            <x v="445"/>
            <x v="446"/>
            <x v="447"/>
            <x v="448"/>
            <x v="449"/>
            <x v="450"/>
            <x v="451"/>
            <x v="452"/>
            <x v="453"/>
            <x v="454"/>
            <x v="455"/>
            <x v="456"/>
            <x v="457"/>
            <x v="458"/>
            <x v="459"/>
            <x v="460"/>
          </reference>
        </references>
      </pivotArea>
    </format>
    <format dxfId="2887">
      <pivotArea dataOnly="0" labelOnly="1" outline="0" fieldPosition="0">
        <references count="1">
          <reference field="11" count="21">
            <x v="461"/>
            <x v="462"/>
            <x v="463"/>
            <x v="464"/>
            <x v="465"/>
            <x v="466"/>
            <x v="467"/>
            <x v="468"/>
            <x v="469"/>
            <x v="470"/>
            <x v="471"/>
            <x v="472"/>
            <x v="473"/>
            <x v="474"/>
            <x v="475"/>
            <x v="476"/>
            <x v="477"/>
            <x v="478"/>
            <x v="479"/>
            <x v="480"/>
            <x v="481"/>
          </reference>
        </references>
      </pivotArea>
    </format>
    <format dxfId="2886">
      <pivotArea dataOnly="0" labelOnly="1" outline="0" fieldPosition="0">
        <references count="1">
          <reference field="11" count="21" defaultSubtotal="1">
            <x v="461"/>
            <x v="462"/>
            <x v="463"/>
            <x v="464"/>
            <x v="465"/>
            <x v="466"/>
            <x v="467"/>
            <x v="468"/>
            <x v="469"/>
            <x v="470"/>
            <x v="471"/>
            <x v="472"/>
            <x v="473"/>
            <x v="474"/>
            <x v="475"/>
            <x v="476"/>
            <x v="477"/>
            <x v="478"/>
            <x v="479"/>
            <x v="480"/>
            <x v="481"/>
          </reference>
        </references>
      </pivotArea>
    </format>
    <format dxfId="2885">
      <pivotArea dataOnly="0" labelOnly="1" outline="0" fieldPosition="0">
        <references count="1">
          <reference field="11" count="7">
            <x v="482"/>
            <x v="483"/>
            <x v="484"/>
            <x v="485"/>
            <x v="486"/>
            <x v="487"/>
            <x v="488"/>
          </reference>
        </references>
      </pivotArea>
    </format>
    <format dxfId="2884">
      <pivotArea dataOnly="0" labelOnly="1" outline="0" fieldPosition="0">
        <references count="1">
          <reference field="11" count="7" defaultSubtotal="1">
            <x v="482"/>
            <x v="483"/>
            <x v="484"/>
            <x v="485"/>
            <x v="486"/>
            <x v="487"/>
            <x v="488"/>
          </reference>
        </references>
      </pivotArea>
    </format>
    <format dxfId="2883">
      <pivotArea dataOnly="0" labelOnly="1" grandRow="1" outline="0" fieldPosition="0"/>
    </format>
    <format dxfId="2882">
      <pivotArea dataOnly="0" labelOnly="1" outline="0" fieldPosition="0">
        <references count="2">
          <reference field="11" count="1" selected="0">
            <x v="0"/>
          </reference>
          <reference field="14" count="1">
            <x v="90"/>
          </reference>
        </references>
      </pivotArea>
    </format>
    <format dxfId="2881">
      <pivotArea dataOnly="0" labelOnly="1" outline="0" fieldPosition="0">
        <references count="2">
          <reference field="11" count="1" selected="0">
            <x v="0"/>
          </reference>
          <reference field="14" count="1" defaultSubtotal="1">
            <x v="90"/>
          </reference>
        </references>
      </pivotArea>
    </format>
    <format dxfId="2880">
      <pivotArea dataOnly="0" labelOnly="1" outline="0" fieldPosition="0">
        <references count="2">
          <reference field="11" count="1" selected="0">
            <x v="1"/>
          </reference>
          <reference field="14" count="1">
            <x v="230"/>
          </reference>
        </references>
      </pivotArea>
    </format>
    <format dxfId="2879">
      <pivotArea dataOnly="0" labelOnly="1" outline="0" fieldPosition="0">
        <references count="2">
          <reference field="11" count="1" selected="0">
            <x v="1"/>
          </reference>
          <reference field="14" count="1" defaultSubtotal="1">
            <x v="230"/>
          </reference>
        </references>
      </pivotArea>
    </format>
    <format dxfId="2878">
      <pivotArea dataOnly="0" labelOnly="1" outline="0" fieldPosition="0">
        <references count="2">
          <reference field="11" count="1" selected="0">
            <x v="2"/>
          </reference>
          <reference field="14" count="1">
            <x v="226"/>
          </reference>
        </references>
      </pivotArea>
    </format>
    <format dxfId="2877">
      <pivotArea dataOnly="0" labelOnly="1" outline="0" fieldPosition="0">
        <references count="2">
          <reference field="11" count="1" selected="0">
            <x v="2"/>
          </reference>
          <reference field="14" count="1" defaultSubtotal="1">
            <x v="226"/>
          </reference>
        </references>
      </pivotArea>
    </format>
    <format dxfId="2876">
      <pivotArea dataOnly="0" labelOnly="1" outline="0" fieldPosition="0">
        <references count="2">
          <reference field="11" count="1" selected="0">
            <x v="3"/>
          </reference>
          <reference field="14" count="1">
            <x v="31"/>
          </reference>
        </references>
      </pivotArea>
    </format>
    <format dxfId="2875">
      <pivotArea dataOnly="0" labelOnly="1" outline="0" fieldPosition="0">
        <references count="2">
          <reference field="11" count="1" selected="0">
            <x v="3"/>
          </reference>
          <reference field="14" count="1" defaultSubtotal="1">
            <x v="31"/>
          </reference>
        </references>
      </pivotArea>
    </format>
    <format dxfId="2874">
      <pivotArea dataOnly="0" labelOnly="1" outline="0" fieldPosition="0">
        <references count="2">
          <reference field="11" count="1" selected="0">
            <x v="4"/>
          </reference>
          <reference field="14" count="1">
            <x v="233"/>
          </reference>
        </references>
      </pivotArea>
    </format>
    <format dxfId="2873">
      <pivotArea dataOnly="0" labelOnly="1" outline="0" fieldPosition="0">
        <references count="2">
          <reference field="11" count="1" selected="0">
            <x v="4"/>
          </reference>
          <reference field="14" count="1" defaultSubtotal="1">
            <x v="233"/>
          </reference>
        </references>
      </pivotArea>
    </format>
    <format dxfId="2872">
      <pivotArea dataOnly="0" labelOnly="1" outline="0" fieldPosition="0">
        <references count="2">
          <reference field="11" count="1" selected="0">
            <x v="5"/>
          </reference>
          <reference field="14" count="1">
            <x v="232"/>
          </reference>
        </references>
      </pivotArea>
    </format>
    <format dxfId="2871">
      <pivotArea dataOnly="0" labelOnly="1" outline="0" fieldPosition="0">
        <references count="2">
          <reference field="11" count="1" selected="0">
            <x v="5"/>
          </reference>
          <reference field="14" count="1" defaultSubtotal="1">
            <x v="232"/>
          </reference>
        </references>
      </pivotArea>
    </format>
    <format dxfId="2870">
      <pivotArea dataOnly="0" labelOnly="1" outline="0" fieldPosition="0">
        <references count="2">
          <reference field="11" count="1" selected="0">
            <x v="6"/>
          </reference>
          <reference field="14" count="1">
            <x v="19"/>
          </reference>
        </references>
      </pivotArea>
    </format>
    <format dxfId="2869">
      <pivotArea dataOnly="0" labelOnly="1" outline="0" fieldPosition="0">
        <references count="2">
          <reference field="11" count="1" selected="0">
            <x v="6"/>
          </reference>
          <reference field="14" count="1" defaultSubtotal="1">
            <x v="19"/>
          </reference>
        </references>
      </pivotArea>
    </format>
    <format dxfId="2868">
      <pivotArea dataOnly="0" labelOnly="1" outline="0" fieldPosition="0">
        <references count="2">
          <reference field="11" count="1" selected="0">
            <x v="7"/>
          </reference>
          <reference field="14" count="1">
            <x v="351"/>
          </reference>
        </references>
      </pivotArea>
    </format>
    <format dxfId="2867">
      <pivotArea dataOnly="0" labelOnly="1" outline="0" fieldPosition="0">
        <references count="2">
          <reference field="11" count="1" selected="0">
            <x v="7"/>
          </reference>
          <reference field="14" count="1" defaultSubtotal="1">
            <x v="351"/>
          </reference>
        </references>
      </pivotArea>
    </format>
    <format dxfId="2866">
      <pivotArea dataOnly="0" labelOnly="1" outline="0" fieldPosition="0">
        <references count="2">
          <reference field="11" count="1" selected="0">
            <x v="8"/>
          </reference>
          <reference field="14" count="1">
            <x v="375"/>
          </reference>
        </references>
      </pivotArea>
    </format>
    <format dxfId="2865">
      <pivotArea dataOnly="0" labelOnly="1" outline="0" fieldPosition="0">
        <references count="2">
          <reference field="11" count="1" selected="0">
            <x v="8"/>
          </reference>
          <reference field="14" count="1" defaultSubtotal="1">
            <x v="375"/>
          </reference>
        </references>
      </pivotArea>
    </format>
    <format dxfId="2864">
      <pivotArea dataOnly="0" labelOnly="1" outline="0" fieldPosition="0">
        <references count="2">
          <reference field="11" count="1" selected="0">
            <x v="9"/>
          </reference>
          <reference field="14" count="1">
            <x v="50"/>
          </reference>
        </references>
      </pivotArea>
    </format>
    <format dxfId="2863">
      <pivotArea dataOnly="0" labelOnly="1" outline="0" fieldPosition="0">
        <references count="2">
          <reference field="11" count="1" selected="0">
            <x v="9"/>
          </reference>
          <reference field="14" count="1" defaultSubtotal="1">
            <x v="50"/>
          </reference>
        </references>
      </pivotArea>
    </format>
    <format dxfId="2862">
      <pivotArea dataOnly="0" labelOnly="1" outline="0" fieldPosition="0">
        <references count="2">
          <reference field="11" count="1" selected="0">
            <x v="10"/>
          </reference>
          <reference field="14" count="1">
            <x v="150"/>
          </reference>
        </references>
      </pivotArea>
    </format>
    <format dxfId="2861">
      <pivotArea dataOnly="0" labelOnly="1" outline="0" fieldPosition="0">
        <references count="2">
          <reference field="11" count="1" selected="0">
            <x v="10"/>
          </reference>
          <reference field="14" count="1" defaultSubtotal="1">
            <x v="150"/>
          </reference>
        </references>
      </pivotArea>
    </format>
    <format dxfId="2860">
      <pivotArea dataOnly="0" labelOnly="1" outline="0" fieldPosition="0">
        <references count="2">
          <reference field="11" count="1" selected="0">
            <x v="11"/>
          </reference>
          <reference field="14" count="1">
            <x v="265"/>
          </reference>
        </references>
      </pivotArea>
    </format>
    <format dxfId="2859">
      <pivotArea dataOnly="0" labelOnly="1" outline="0" fieldPosition="0">
        <references count="2">
          <reference field="11" count="1" selected="0">
            <x v="11"/>
          </reference>
          <reference field="14" count="1" defaultSubtotal="1">
            <x v="265"/>
          </reference>
        </references>
      </pivotArea>
    </format>
    <format dxfId="2858">
      <pivotArea dataOnly="0" labelOnly="1" outline="0" fieldPosition="0">
        <references count="2">
          <reference field="11" count="1" selected="0">
            <x v="12"/>
          </reference>
          <reference field="14" count="1">
            <x v="256"/>
          </reference>
        </references>
      </pivotArea>
    </format>
    <format dxfId="2857">
      <pivotArea dataOnly="0" labelOnly="1" outline="0" fieldPosition="0">
        <references count="2">
          <reference field="11" count="1" selected="0">
            <x v="12"/>
          </reference>
          <reference field="14" count="1" defaultSubtotal="1">
            <x v="256"/>
          </reference>
        </references>
      </pivotArea>
    </format>
    <format dxfId="2856">
      <pivotArea dataOnly="0" labelOnly="1" outline="0" fieldPosition="0">
        <references count="2">
          <reference field="11" count="1" selected="0">
            <x v="13"/>
          </reference>
          <reference field="14" count="1">
            <x v="304"/>
          </reference>
        </references>
      </pivotArea>
    </format>
    <format dxfId="2855">
      <pivotArea dataOnly="0" labelOnly="1" outline="0" fieldPosition="0">
        <references count="2">
          <reference field="11" count="1" selected="0">
            <x v="13"/>
          </reference>
          <reference field="14" count="1" defaultSubtotal="1">
            <x v="304"/>
          </reference>
        </references>
      </pivotArea>
    </format>
    <format dxfId="2854">
      <pivotArea dataOnly="0" labelOnly="1" outline="0" fieldPosition="0">
        <references count="2">
          <reference field="11" count="1" selected="0">
            <x v="14"/>
          </reference>
          <reference field="14" count="1">
            <x v="17"/>
          </reference>
        </references>
      </pivotArea>
    </format>
    <format dxfId="2853">
      <pivotArea dataOnly="0" labelOnly="1" outline="0" fieldPosition="0">
        <references count="2">
          <reference field="11" count="1" selected="0">
            <x v="14"/>
          </reference>
          <reference field="14" count="1" defaultSubtotal="1">
            <x v="17"/>
          </reference>
        </references>
      </pivotArea>
    </format>
    <format dxfId="2852">
      <pivotArea dataOnly="0" labelOnly="1" outline="0" fieldPosition="0">
        <references count="2">
          <reference field="11" count="1" selected="0">
            <x v="15"/>
          </reference>
          <reference field="14" count="1">
            <x v="378"/>
          </reference>
        </references>
      </pivotArea>
    </format>
    <format dxfId="2851">
      <pivotArea dataOnly="0" labelOnly="1" outline="0" fieldPosition="0">
        <references count="2">
          <reference field="11" count="1" selected="0">
            <x v="15"/>
          </reference>
          <reference field="14" count="1" defaultSubtotal="1">
            <x v="378"/>
          </reference>
        </references>
      </pivotArea>
    </format>
    <format dxfId="2850">
      <pivotArea dataOnly="0" labelOnly="1" outline="0" fieldPosition="0">
        <references count="2">
          <reference field="11" count="1" selected="0">
            <x v="16"/>
          </reference>
          <reference field="14" count="1">
            <x v="286"/>
          </reference>
        </references>
      </pivotArea>
    </format>
    <format dxfId="2849">
      <pivotArea dataOnly="0" labelOnly="1" outline="0" fieldPosition="0">
        <references count="2">
          <reference field="11" count="1" selected="0">
            <x v="16"/>
          </reference>
          <reference field="14" count="1" defaultSubtotal="1">
            <x v="286"/>
          </reference>
        </references>
      </pivotArea>
    </format>
    <format dxfId="2848">
      <pivotArea dataOnly="0" labelOnly="1" outline="0" fieldPosition="0">
        <references count="2">
          <reference field="11" count="1" selected="0">
            <x v="17"/>
          </reference>
          <reference field="14" count="1">
            <x v="116"/>
          </reference>
        </references>
      </pivotArea>
    </format>
    <format dxfId="2847">
      <pivotArea dataOnly="0" labelOnly="1" outline="0" fieldPosition="0">
        <references count="2">
          <reference field="11" count="1" selected="0">
            <x v="17"/>
          </reference>
          <reference field="14" count="1" defaultSubtotal="1">
            <x v="116"/>
          </reference>
        </references>
      </pivotArea>
    </format>
    <format dxfId="2846">
      <pivotArea dataOnly="0" labelOnly="1" outline="0" fieldPosition="0">
        <references count="2">
          <reference field="11" count="1" selected="0">
            <x v="18"/>
          </reference>
          <reference field="14" count="1">
            <x v="176"/>
          </reference>
        </references>
      </pivotArea>
    </format>
    <format dxfId="2845">
      <pivotArea dataOnly="0" labelOnly="1" outline="0" fieldPosition="0">
        <references count="2">
          <reference field="11" count="1" selected="0">
            <x v="18"/>
          </reference>
          <reference field="14" count="1" defaultSubtotal="1">
            <x v="176"/>
          </reference>
        </references>
      </pivotArea>
    </format>
    <format dxfId="2844">
      <pivotArea dataOnly="0" labelOnly="1" outline="0" fieldPosition="0">
        <references count="2">
          <reference field="11" count="1" selected="0">
            <x v="19"/>
          </reference>
          <reference field="14" count="1">
            <x v="460"/>
          </reference>
        </references>
      </pivotArea>
    </format>
    <format dxfId="2843">
      <pivotArea dataOnly="0" labelOnly="1" outline="0" fieldPosition="0">
        <references count="2">
          <reference field="11" count="1" selected="0">
            <x v="19"/>
          </reference>
          <reference field="14" count="1" defaultSubtotal="1">
            <x v="460"/>
          </reference>
        </references>
      </pivotArea>
    </format>
    <format dxfId="2842">
      <pivotArea dataOnly="0" labelOnly="1" outline="0" fieldPosition="0">
        <references count="2">
          <reference field="11" count="1" selected="0">
            <x v="20"/>
          </reference>
          <reference field="14" count="1">
            <x v="46"/>
          </reference>
        </references>
      </pivotArea>
    </format>
    <format dxfId="2841">
      <pivotArea dataOnly="0" labelOnly="1" outline="0" fieldPosition="0">
        <references count="2">
          <reference field="11" count="1" selected="0">
            <x v="20"/>
          </reference>
          <reference field="14" count="1" defaultSubtotal="1">
            <x v="46"/>
          </reference>
        </references>
      </pivotArea>
    </format>
    <format dxfId="2840">
      <pivotArea dataOnly="0" labelOnly="1" outline="0" fieldPosition="0">
        <references count="2">
          <reference field="11" count="1" selected="0">
            <x v="21"/>
          </reference>
          <reference field="14" count="1">
            <x v="347"/>
          </reference>
        </references>
      </pivotArea>
    </format>
    <format dxfId="2839">
      <pivotArea dataOnly="0" labelOnly="1" outline="0" fieldPosition="0">
        <references count="2">
          <reference field="11" count="1" selected="0">
            <x v="21"/>
          </reference>
          <reference field="14" count="1" defaultSubtotal="1">
            <x v="347"/>
          </reference>
        </references>
      </pivotArea>
    </format>
    <format dxfId="2838">
      <pivotArea dataOnly="0" labelOnly="1" outline="0" fieldPosition="0">
        <references count="2">
          <reference field="11" count="1" selected="0">
            <x v="22"/>
          </reference>
          <reference field="14" count="1">
            <x v="219"/>
          </reference>
        </references>
      </pivotArea>
    </format>
    <format dxfId="2837">
      <pivotArea dataOnly="0" labelOnly="1" outline="0" fieldPosition="0">
        <references count="2">
          <reference field="11" count="1" selected="0">
            <x v="22"/>
          </reference>
          <reference field="14" count="1" defaultSubtotal="1">
            <x v="219"/>
          </reference>
        </references>
      </pivotArea>
    </format>
    <format dxfId="2836">
      <pivotArea dataOnly="0" labelOnly="1" outline="0" fieldPosition="0">
        <references count="2">
          <reference field="11" count="1" selected="0">
            <x v="23"/>
          </reference>
          <reference field="14" count="1">
            <x v="94"/>
          </reference>
        </references>
      </pivotArea>
    </format>
    <format dxfId="2835">
      <pivotArea dataOnly="0" labelOnly="1" outline="0" fieldPosition="0">
        <references count="2">
          <reference field="11" count="1" selected="0">
            <x v="23"/>
          </reference>
          <reference field="14" count="1" defaultSubtotal="1">
            <x v="94"/>
          </reference>
        </references>
      </pivotArea>
    </format>
    <format dxfId="2834">
      <pivotArea dataOnly="0" labelOnly="1" outline="0" fieldPosition="0">
        <references count="2">
          <reference field="11" count="1" selected="0">
            <x v="24"/>
          </reference>
          <reference field="14" count="1">
            <x v="93"/>
          </reference>
        </references>
      </pivotArea>
    </format>
    <format dxfId="2833">
      <pivotArea dataOnly="0" labelOnly="1" outline="0" fieldPosition="0">
        <references count="2">
          <reference field="11" count="1" selected="0">
            <x v="24"/>
          </reference>
          <reference field="14" count="1" defaultSubtotal="1">
            <x v="93"/>
          </reference>
        </references>
      </pivotArea>
    </format>
    <format dxfId="2832">
      <pivotArea dataOnly="0" labelOnly="1" outline="0" fieldPosition="0">
        <references count="2">
          <reference field="11" count="1" selected="0">
            <x v="25"/>
          </reference>
          <reference field="14" count="1">
            <x v="466"/>
          </reference>
        </references>
      </pivotArea>
    </format>
    <format dxfId="2831">
      <pivotArea dataOnly="0" labelOnly="1" outline="0" fieldPosition="0">
        <references count="2">
          <reference field="11" count="1" selected="0">
            <x v="25"/>
          </reference>
          <reference field="14" count="1" defaultSubtotal="1">
            <x v="466"/>
          </reference>
        </references>
      </pivotArea>
    </format>
    <format dxfId="2830">
      <pivotArea dataOnly="0" labelOnly="1" outline="0" fieldPosition="0">
        <references count="2">
          <reference field="11" count="1" selected="0">
            <x v="26"/>
          </reference>
          <reference field="14" count="1">
            <x v="55"/>
          </reference>
        </references>
      </pivotArea>
    </format>
    <format dxfId="2829">
      <pivotArea dataOnly="0" labelOnly="1" outline="0" fieldPosition="0">
        <references count="2">
          <reference field="11" count="1" selected="0">
            <x v="26"/>
          </reference>
          <reference field="14" count="1" defaultSubtotal="1">
            <x v="55"/>
          </reference>
        </references>
      </pivotArea>
    </format>
    <format dxfId="2828">
      <pivotArea dataOnly="0" labelOnly="1" outline="0" fieldPosition="0">
        <references count="2">
          <reference field="11" count="1" selected="0">
            <x v="27"/>
          </reference>
          <reference field="14" count="1">
            <x v="458"/>
          </reference>
        </references>
      </pivotArea>
    </format>
    <format dxfId="2827">
      <pivotArea dataOnly="0" labelOnly="1" outline="0" fieldPosition="0">
        <references count="2">
          <reference field="11" count="1" selected="0">
            <x v="27"/>
          </reference>
          <reference field="14" count="1" defaultSubtotal="1">
            <x v="458"/>
          </reference>
        </references>
      </pivotArea>
    </format>
    <format dxfId="2826">
      <pivotArea dataOnly="0" labelOnly="1" outline="0" fieldPosition="0">
        <references count="2">
          <reference field="11" count="1" selected="0">
            <x v="28"/>
          </reference>
          <reference field="14" count="1">
            <x v="179"/>
          </reference>
        </references>
      </pivotArea>
    </format>
    <format dxfId="2825">
      <pivotArea dataOnly="0" labelOnly="1" outline="0" fieldPosition="0">
        <references count="2">
          <reference field="11" count="1" selected="0">
            <x v="28"/>
          </reference>
          <reference field="14" count="1" defaultSubtotal="1">
            <x v="179"/>
          </reference>
        </references>
      </pivotArea>
    </format>
    <format dxfId="2824">
      <pivotArea dataOnly="0" labelOnly="1" outline="0" fieldPosition="0">
        <references count="2">
          <reference field="11" count="1" selected="0">
            <x v="29"/>
          </reference>
          <reference field="14" count="1">
            <x v="0"/>
          </reference>
        </references>
      </pivotArea>
    </format>
    <format dxfId="2823">
      <pivotArea dataOnly="0" labelOnly="1" outline="0" fieldPosition="0">
        <references count="2">
          <reference field="11" count="1" selected="0">
            <x v="29"/>
          </reference>
          <reference field="14" count="1" defaultSubtotal="1">
            <x v="0"/>
          </reference>
        </references>
      </pivotArea>
    </format>
    <format dxfId="2822">
      <pivotArea dataOnly="0" labelOnly="1" outline="0" fieldPosition="0">
        <references count="2">
          <reference field="11" count="1" selected="0">
            <x v="30"/>
          </reference>
          <reference field="14" count="1">
            <x v="1"/>
          </reference>
        </references>
      </pivotArea>
    </format>
    <format dxfId="2821">
      <pivotArea dataOnly="0" labelOnly="1" outline="0" fieldPosition="0">
        <references count="2">
          <reference field="11" count="1" selected="0">
            <x v="30"/>
          </reference>
          <reference field="14" count="1" defaultSubtotal="1">
            <x v="1"/>
          </reference>
        </references>
      </pivotArea>
    </format>
    <format dxfId="2820">
      <pivotArea dataOnly="0" labelOnly="1" outline="0" fieldPosition="0">
        <references count="2">
          <reference field="11" count="1" selected="0">
            <x v="31"/>
          </reference>
          <reference field="14" count="1">
            <x v="414"/>
          </reference>
        </references>
      </pivotArea>
    </format>
    <format dxfId="2819">
      <pivotArea dataOnly="0" labelOnly="1" outline="0" fieldPosition="0">
        <references count="2">
          <reference field="11" count="1" selected="0">
            <x v="31"/>
          </reference>
          <reference field="14" count="1" defaultSubtotal="1">
            <x v="414"/>
          </reference>
        </references>
      </pivotArea>
    </format>
    <format dxfId="2818">
      <pivotArea dataOnly="0" labelOnly="1" outline="0" fieldPosition="0">
        <references count="2">
          <reference field="11" count="1" selected="0">
            <x v="32"/>
          </reference>
          <reference field="14" count="1">
            <x v="36"/>
          </reference>
        </references>
      </pivotArea>
    </format>
    <format dxfId="2817">
      <pivotArea dataOnly="0" labelOnly="1" outline="0" fieldPosition="0">
        <references count="2">
          <reference field="11" count="1" selected="0">
            <x v="32"/>
          </reference>
          <reference field="14" count="1" defaultSubtotal="1">
            <x v="36"/>
          </reference>
        </references>
      </pivotArea>
    </format>
    <format dxfId="2816">
      <pivotArea dataOnly="0" labelOnly="1" outline="0" fieldPosition="0">
        <references count="2">
          <reference field="11" count="1" selected="0">
            <x v="33"/>
          </reference>
          <reference field="14" count="1">
            <x v="341"/>
          </reference>
        </references>
      </pivotArea>
    </format>
    <format dxfId="2815">
      <pivotArea dataOnly="0" labelOnly="1" outline="0" fieldPosition="0">
        <references count="2">
          <reference field="11" count="1" selected="0">
            <x v="33"/>
          </reference>
          <reference field="14" count="1" defaultSubtotal="1">
            <x v="341"/>
          </reference>
        </references>
      </pivotArea>
    </format>
    <format dxfId="2814">
      <pivotArea dataOnly="0" labelOnly="1" outline="0" fieldPosition="0">
        <references count="2">
          <reference field="11" count="1" selected="0">
            <x v="34"/>
          </reference>
          <reference field="14" count="1">
            <x v="340"/>
          </reference>
        </references>
      </pivotArea>
    </format>
    <format dxfId="2813">
      <pivotArea dataOnly="0" labelOnly="1" outline="0" fieldPosition="0">
        <references count="2">
          <reference field="11" count="1" selected="0">
            <x v="34"/>
          </reference>
          <reference field="14" count="1" defaultSubtotal="1">
            <x v="340"/>
          </reference>
        </references>
      </pivotArea>
    </format>
    <format dxfId="2812">
      <pivotArea dataOnly="0" labelOnly="1" outline="0" fieldPosition="0">
        <references count="2">
          <reference field="11" count="1" selected="0">
            <x v="35"/>
          </reference>
          <reference field="14" count="1">
            <x v="379"/>
          </reference>
        </references>
      </pivotArea>
    </format>
    <format dxfId="2811">
      <pivotArea dataOnly="0" labelOnly="1" outline="0" fieldPosition="0">
        <references count="2">
          <reference field="11" count="1" selected="0">
            <x v="35"/>
          </reference>
          <reference field="14" count="1" defaultSubtotal="1">
            <x v="379"/>
          </reference>
        </references>
      </pivotArea>
    </format>
    <format dxfId="2810">
      <pivotArea dataOnly="0" labelOnly="1" outline="0" fieldPosition="0">
        <references count="2">
          <reference field="11" count="1" selected="0">
            <x v="36"/>
          </reference>
          <reference field="14" count="1">
            <x v="349"/>
          </reference>
        </references>
      </pivotArea>
    </format>
    <format dxfId="2809">
      <pivotArea dataOnly="0" labelOnly="1" outline="0" fieldPosition="0">
        <references count="2">
          <reference field="11" count="1" selected="0">
            <x v="36"/>
          </reference>
          <reference field="14" count="1" defaultSubtotal="1">
            <x v="349"/>
          </reference>
        </references>
      </pivotArea>
    </format>
    <format dxfId="2808">
      <pivotArea dataOnly="0" labelOnly="1" outline="0" fieldPosition="0">
        <references count="2">
          <reference field="11" count="1" selected="0">
            <x v="37"/>
          </reference>
          <reference field="14" count="1">
            <x v="348"/>
          </reference>
        </references>
      </pivotArea>
    </format>
    <format dxfId="2807">
      <pivotArea dataOnly="0" labelOnly="1" outline="0" fieldPosition="0">
        <references count="2">
          <reference field="11" count="1" selected="0">
            <x v="37"/>
          </reference>
          <reference field="14" count="1" defaultSubtotal="1">
            <x v="348"/>
          </reference>
        </references>
      </pivotArea>
    </format>
    <format dxfId="2806">
      <pivotArea dataOnly="0" labelOnly="1" outline="0" fieldPosition="0">
        <references count="2">
          <reference field="11" count="1" selected="0">
            <x v="38"/>
          </reference>
          <reference field="14" count="1">
            <x v="346"/>
          </reference>
        </references>
      </pivotArea>
    </format>
    <format dxfId="2805">
      <pivotArea dataOnly="0" labelOnly="1" outline="0" fieldPosition="0">
        <references count="2">
          <reference field="11" count="1" selected="0">
            <x v="38"/>
          </reference>
          <reference field="14" count="1" defaultSubtotal="1">
            <x v="346"/>
          </reference>
        </references>
      </pivotArea>
    </format>
    <format dxfId="2804">
      <pivotArea dataOnly="0" labelOnly="1" outline="0" fieldPosition="0">
        <references count="2">
          <reference field="11" count="1" selected="0">
            <x v="39"/>
          </reference>
          <reference field="14" count="1">
            <x v="344"/>
          </reference>
        </references>
      </pivotArea>
    </format>
    <format dxfId="2803">
      <pivotArea dataOnly="0" labelOnly="1" outline="0" fieldPosition="0">
        <references count="2">
          <reference field="11" count="1" selected="0">
            <x v="39"/>
          </reference>
          <reference field="14" count="1" defaultSubtotal="1">
            <x v="344"/>
          </reference>
        </references>
      </pivotArea>
    </format>
    <format dxfId="2802">
      <pivotArea dataOnly="0" labelOnly="1" outline="0" fieldPosition="0">
        <references count="2">
          <reference field="11" count="1" selected="0">
            <x v="40"/>
          </reference>
          <reference field="14" count="1">
            <x v="345"/>
          </reference>
        </references>
      </pivotArea>
    </format>
    <format dxfId="2801">
      <pivotArea dataOnly="0" labelOnly="1" outline="0" fieldPosition="0">
        <references count="2">
          <reference field="11" count="1" selected="0">
            <x v="40"/>
          </reference>
          <reference field="14" count="1" defaultSubtotal="1">
            <x v="345"/>
          </reference>
        </references>
      </pivotArea>
    </format>
    <format dxfId="2800">
      <pivotArea dataOnly="0" labelOnly="1" outline="0" fieldPosition="0">
        <references count="2">
          <reference field="11" count="1" selected="0">
            <x v="41"/>
          </reference>
          <reference field="14" count="1">
            <x v="337"/>
          </reference>
        </references>
      </pivotArea>
    </format>
    <format dxfId="2799">
      <pivotArea dataOnly="0" labelOnly="1" outline="0" fieldPosition="0">
        <references count="2">
          <reference field="11" count="1" selected="0">
            <x v="41"/>
          </reference>
          <reference field="14" count="1" defaultSubtotal="1">
            <x v="337"/>
          </reference>
        </references>
      </pivotArea>
    </format>
    <format dxfId="2798">
      <pivotArea dataOnly="0" labelOnly="1" outline="0" fieldPosition="0">
        <references count="2">
          <reference field="11" count="1" selected="0">
            <x v="42"/>
          </reference>
          <reference field="14" count="1">
            <x v="59"/>
          </reference>
        </references>
      </pivotArea>
    </format>
    <format dxfId="2797">
      <pivotArea dataOnly="0" labelOnly="1" outline="0" fieldPosition="0">
        <references count="2">
          <reference field="11" count="1" selected="0">
            <x v="42"/>
          </reference>
          <reference field="14" count="1" defaultSubtotal="1">
            <x v="59"/>
          </reference>
        </references>
      </pivotArea>
    </format>
    <format dxfId="2796">
      <pivotArea dataOnly="0" labelOnly="1" outline="0" fieldPosition="0">
        <references count="2">
          <reference field="11" count="1" selected="0">
            <x v="43"/>
          </reference>
          <reference field="14" count="1">
            <x v="410"/>
          </reference>
        </references>
      </pivotArea>
    </format>
    <format dxfId="2795">
      <pivotArea dataOnly="0" labelOnly="1" outline="0" fieldPosition="0">
        <references count="2">
          <reference field="11" count="1" selected="0">
            <x v="43"/>
          </reference>
          <reference field="14" count="1" defaultSubtotal="1">
            <x v="410"/>
          </reference>
        </references>
      </pivotArea>
    </format>
    <format dxfId="2794">
      <pivotArea dataOnly="0" labelOnly="1" outline="0" fieldPosition="0">
        <references count="2">
          <reference field="11" count="1" selected="0">
            <x v="44"/>
          </reference>
          <reference field="14" count="1">
            <x v="77"/>
          </reference>
        </references>
      </pivotArea>
    </format>
    <format dxfId="2793">
      <pivotArea dataOnly="0" labelOnly="1" outline="0" fieldPosition="0">
        <references count="2">
          <reference field="11" count="1" selected="0">
            <x v="44"/>
          </reference>
          <reference field="14" count="1" defaultSubtotal="1">
            <x v="77"/>
          </reference>
        </references>
      </pivotArea>
    </format>
    <format dxfId="2792">
      <pivotArea dataOnly="0" labelOnly="1" outline="0" fieldPosition="0">
        <references count="2">
          <reference field="11" count="1" selected="0">
            <x v="45"/>
          </reference>
          <reference field="14" count="1">
            <x v="465"/>
          </reference>
        </references>
      </pivotArea>
    </format>
    <format dxfId="2791">
      <pivotArea dataOnly="0" labelOnly="1" outline="0" fieldPosition="0">
        <references count="2">
          <reference field="11" count="1" selected="0">
            <x v="45"/>
          </reference>
          <reference field="14" count="1" defaultSubtotal="1">
            <x v="465"/>
          </reference>
        </references>
      </pivotArea>
    </format>
    <format dxfId="2790">
      <pivotArea dataOnly="0" labelOnly="1" outline="0" fieldPosition="0">
        <references count="2">
          <reference field="11" count="1" selected="0">
            <x v="46"/>
          </reference>
          <reference field="14" count="1">
            <x v="250"/>
          </reference>
        </references>
      </pivotArea>
    </format>
    <format dxfId="2789">
      <pivotArea dataOnly="0" labelOnly="1" outline="0" fieldPosition="0">
        <references count="2">
          <reference field="11" count="1" selected="0">
            <x v="46"/>
          </reference>
          <reference field="14" count="1" defaultSubtotal="1">
            <x v="250"/>
          </reference>
        </references>
      </pivotArea>
    </format>
    <format dxfId="2788">
      <pivotArea dataOnly="0" labelOnly="1" outline="0" fieldPosition="0">
        <references count="2">
          <reference field="11" count="1" selected="0">
            <x v="47"/>
          </reference>
          <reference field="14" count="1">
            <x v="323"/>
          </reference>
        </references>
      </pivotArea>
    </format>
    <format dxfId="2787">
      <pivotArea dataOnly="0" labelOnly="1" outline="0" fieldPosition="0">
        <references count="2">
          <reference field="11" count="1" selected="0">
            <x v="47"/>
          </reference>
          <reference field="14" count="1" defaultSubtotal="1">
            <x v="323"/>
          </reference>
        </references>
      </pivotArea>
    </format>
    <format dxfId="2786">
      <pivotArea dataOnly="0" labelOnly="1" outline="0" fieldPosition="0">
        <references count="2">
          <reference field="11" count="1" selected="0">
            <x v="48"/>
          </reference>
          <reference field="14" count="1">
            <x v="244"/>
          </reference>
        </references>
      </pivotArea>
    </format>
    <format dxfId="2785">
      <pivotArea dataOnly="0" labelOnly="1" outline="0" fieldPosition="0">
        <references count="2">
          <reference field="11" count="1" selected="0">
            <x v="48"/>
          </reference>
          <reference field="14" count="1" defaultSubtotal="1">
            <x v="244"/>
          </reference>
        </references>
      </pivotArea>
    </format>
    <format dxfId="2784">
      <pivotArea dataOnly="0" labelOnly="1" outline="0" fieldPosition="0">
        <references count="2">
          <reference field="11" count="1" selected="0">
            <x v="49"/>
          </reference>
          <reference field="14" count="1">
            <x v="228"/>
          </reference>
        </references>
      </pivotArea>
    </format>
    <format dxfId="2783">
      <pivotArea dataOnly="0" labelOnly="1" outline="0" fieldPosition="0">
        <references count="2">
          <reference field="11" count="1" selected="0">
            <x v="49"/>
          </reference>
          <reference field="14" count="1" defaultSubtotal="1">
            <x v="228"/>
          </reference>
        </references>
      </pivotArea>
    </format>
    <format dxfId="2782">
      <pivotArea dataOnly="0" labelOnly="1" outline="0" fieldPosition="0">
        <references count="2">
          <reference field="11" count="1" selected="0">
            <x v="50"/>
          </reference>
          <reference field="14" count="1">
            <x v="318"/>
          </reference>
        </references>
      </pivotArea>
    </format>
    <format dxfId="2781">
      <pivotArea dataOnly="0" labelOnly="1" outline="0" fieldPosition="0">
        <references count="2">
          <reference field="11" count="1" selected="0">
            <x v="50"/>
          </reference>
          <reference field="14" count="1" defaultSubtotal="1">
            <x v="318"/>
          </reference>
        </references>
      </pivotArea>
    </format>
    <format dxfId="2780">
      <pivotArea dataOnly="0" labelOnly="1" outline="0" fieldPosition="0">
        <references count="2">
          <reference field="11" count="1" selected="0">
            <x v="51"/>
          </reference>
          <reference field="14" count="1">
            <x v="241"/>
          </reference>
        </references>
      </pivotArea>
    </format>
    <format dxfId="2779">
      <pivotArea dataOnly="0" labelOnly="1" outline="0" fieldPosition="0">
        <references count="2">
          <reference field="11" count="1" selected="0">
            <x v="51"/>
          </reference>
          <reference field="14" count="1" defaultSubtotal="1">
            <x v="241"/>
          </reference>
        </references>
      </pivotArea>
    </format>
    <format dxfId="2778">
      <pivotArea dataOnly="0" labelOnly="1" outline="0" fieldPosition="0">
        <references count="2">
          <reference field="11" count="1" selected="0">
            <x v="52"/>
          </reference>
          <reference field="14" count="1">
            <x v="413"/>
          </reference>
        </references>
      </pivotArea>
    </format>
    <format dxfId="2777">
      <pivotArea dataOnly="0" labelOnly="1" outline="0" fieldPosition="0">
        <references count="2">
          <reference field="11" count="1" selected="0">
            <x v="52"/>
          </reference>
          <reference field="14" count="1" defaultSubtotal="1">
            <x v="413"/>
          </reference>
        </references>
      </pivotArea>
    </format>
    <format dxfId="2776">
      <pivotArea dataOnly="0" labelOnly="1" outline="0" fieldPosition="0">
        <references count="2">
          <reference field="11" count="1" selected="0">
            <x v="53"/>
          </reference>
          <reference field="14" count="1">
            <x v="283"/>
          </reference>
        </references>
      </pivotArea>
    </format>
    <format dxfId="2775">
      <pivotArea dataOnly="0" labelOnly="1" outline="0" fieldPosition="0">
        <references count="2">
          <reference field="11" count="1" selected="0">
            <x v="53"/>
          </reference>
          <reference field="14" count="1" defaultSubtotal="1">
            <x v="283"/>
          </reference>
        </references>
      </pivotArea>
    </format>
    <format dxfId="2774">
      <pivotArea dataOnly="0" labelOnly="1" outline="0" fieldPosition="0">
        <references count="2">
          <reference field="11" count="1" selected="0">
            <x v="54"/>
          </reference>
          <reference field="14" count="1">
            <x v="278"/>
          </reference>
        </references>
      </pivotArea>
    </format>
    <format dxfId="2773">
      <pivotArea dataOnly="0" labelOnly="1" outline="0" fieldPosition="0">
        <references count="2">
          <reference field="11" count="1" selected="0">
            <x v="54"/>
          </reference>
          <reference field="14" count="1" defaultSubtotal="1">
            <x v="278"/>
          </reference>
        </references>
      </pivotArea>
    </format>
    <format dxfId="2772">
      <pivotArea dataOnly="0" labelOnly="1" outline="0" fieldPosition="0">
        <references count="2">
          <reference field="11" count="1" selected="0">
            <x v="55"/>
          </reference>
          <reference field="14" count="1">
            <x v="275"/>
          </reference>
        </references>
      </pivotArea>
    </format>
    <format dxfId="2771">
      <pivotArea dataOnly="0" labelOnly="1" outline="0" fieldPosition="0">
        <references count="2">
          <reference field="11" count="1" selected="0">
            <x v="55"/>
          </reference>
          <reference field="14" count="1" defaultSubtotal="1">
            <x v="275"/>
          </reference>
        </references>
      </pivotArea>
    </format>
    <format dxfId="2770">
      <pivotArea dataOnly="0" labelOnly="1" outline="0" fieldPosition="0">
        <references count="2">
          <reference field="11" count="1" selected="0">
            <x v="56"/>
          </reference>
          <reference field="14" count="1">
            <x v="463"/>
          </reference>
        </references>
      </pivotArea>
    </format>
    <format dxfId="2769">
      <pivotArea dataOnly="0" labelOnly="1" outline="0" fieldPosition="0">
        <references count="2">
          <reference field="11" count="1" selected="0">
            <x v="56"/>
          </reference>
          <reference field="14" count="1" defaultSubtotal="1">
            <x v="463"/>
          </reference>
        </references>
      </pivotArea>
    </format>
    <format dxfId="2768">
      <pivotArea dataOnly="0" labelOnly="1" outline="0" fieldPosition="0">
        <references count="2">
          <reference field="11" count="1" selected="0">
            <x v="57"/>
          </reference>
          <reference field="14" count="1">
            <x v="462"/>
          </reference>
        </references>
      </pivotArea>
    </format>
    <format dxfId="2767">
      <pivotArea dataOnly="0" labelOnly="1" outline="0" fieldPosition="0">
        <references count="2">
          <reference field="11" count="1" selected="0">
            <x v="57"/>
          </reference>
          <reference field="14" count="1" defaultSubtotal="1">
            <x v="462"/>
          </reference>
        </references>
      </pivotArea>
    </format>
    <format dxfId="2766">
      <pivotArea dataOnly="0" labelOnly="1" outline="0" fieldPosition="0">
        <references count="2">
          <reference field="11" count="1" selected="0">
            <x v="58"/>
          </reference>
          <reference field="14" count="1">
            <x v="459"/>
          </reference>
        </references>
      </pivotArea>
    </format>
    <format dxfId="2765">
      <pivotArea dataOnly="0" labelOnly="1" outline="0" fieldPosition="0">
        <references count="2">
          <reference field="11" count="1" selected="0">
            <x v="58"/>
          </reference>
          <reference field="14" count="1" defaultSubtotal="1">
            <x v="459"/>
          </reference>
        </references>
      </pivotArea>
    </format>
    <format dxfId="2764">
      <pivotArea dataOnly="0" labelOnly="1" outline="0" fieldPosition="0">
        <references count="2">
          <reference field="11" count="1" selected="0">
            <x v="59"/>
          </reference>
          <reference field="14" count="1">
            <x v="271"/>
          </reference>
        </references>
      </pivotArea>
    </format>
    <format dxfId="2763">
      <pivotArea dataOnly="0" labelOnly="1" outline="0" fieldPosition="0">
        <references count="2">
          <reference field="11" count="1" selected="0">
            <x v="59"/>
          </reference>
          <reference field="14" count="1" defaultSubtotal="1">
            <x v="271"/>
          </reference>
        </references>
      </pivotArea>
    </format>
    <format dxfId="2762">
      <pivotArea dataOnly="0" labelOnly="1" outline="0" fieldPosition="0">
        <references count="2">
          <reference field="11" count="1" selected="0">
            <x v="60"/>
          </reference>
          <reference field="14" count="1">
            <x v="22"/>
          </reference>
        </references>
      </pivotArea>
    </format>
    <format dxfId="2761">
      <pivotArea dataOnly="0" labelOnly="1" outline="0" fieldPosition="0">
        <references count="2">
          <reference field="11" count="1" selected="0">
            <x v="60"/>
          </reference>
          <reference field="14" count="1" defaultSubtotal="1">
            <x v="22"/>
          </reference>
        </references>
      </pivotArea>
    </format>
    <format dxfId="2760">
      <pivotArea dataOnly="0" labelOnly="1" outline="0" fieldPosition="0">
        <references count="2">
          <reference field="11" count="1" selected="0">
            <x v="61"/>
          </reference>
          <reference field="14" count="1">
            <x v="354"/>
          </reference>
        </references>
      </pivotArea>
    </format>
    <format dxfId="2759">
      <pivotArea dataOnly="0" labelOnly="1" outline="0" fieldPosition="0">
        <references count="2">
          <reference field="11" count="1" selected="0">
            <x v="61"/>
          </reference>
          <reference field="14" count="1" defaultSubtotal="1">
            <x v="354"/>
          </reference>
        </references>
      </pivotArea>
    </format>
    <format dxfId="2758">
      <pivotArea dataOnly="0" labelOnly="1" outline="0" fieldPosition="0">
        <references count="2">
          <reference field="11" count="1" selected="0">
            <x v="62"/>
          </reference>
          <reference field="14" count="1">
            <x v="415"/>
          </reference>
        </references>
      </pivotArea>
    </format>
    <format dxfId="2757">
      <pivotArea dataOnly="0" labelOnly="1" outline="0" fieldPosition="0">
        <references count="2">
          <reference field="11" count="1" selected="0">
            <x v="62"/>
          </reference>
          <reference field="14" count="1" defaultSubtotal="1">
            <x v="415"/>
          </reference>
        </references>
      </pivotArea>
    </format>
    <format dxfId="2756">
      <pivotArea dataOnly="0" labelOnly="1" outline="0" fieldPosition="0">
        <references count="2">
          <reference field="11" count="1" selected="0">
            <x v="63"/>
          </reference>
          <reference field="14" count="1">
            <x v="227"/>
          </reference>
        </references>
      </pivotArea>
    </format>
    <format dxfId="2755">
      <pivotArea dataOnly="0" labelOnly="1" outline="0" fieldPosition="0">
        <references count="2">
          <reference field="11" count="1" selected="0">
            <x v="63"/>
          </reference>
          <reference field="14" count="1" defaultSubtotal="1">
            <x v="227"/>
          </reference>
        </references>
      </pivotArea>
    </format>
    <format dxfId="2754">
      <pivotArea dataOnly="0" labelOnly="1" outline="0" fieldPosition="0">
        <references count="2">
          <reference field="11" count="1" selected="0">
            <x v="64"/>
          </reference>
          <reference field="14" count="1">
            <x v="261"/>
          </reference>
        </references>
      </pivotArea>
    </format>
    <format dxfId="2753">
      <pivotArea dataOnly="0" labelOnly="1" outline="0" fieldPosition="0">
        <references count="2">
          <reference field="11" count="1" selected="0">
            <x v="64"/>
          </reference>
          <reference field="14" count="1" defaultSubtotal="1">
            <x v="261"/>
          </reference>
        </references>
      </pivotArea>
    </format>
    <format dxfId="2752">
      <pivotArea dataOnly="0" labelOnly="1" outline="0" fieldPosition="0">
        <references count="2">
          <reference field="11" count="1" selected="0">
            <x v="65"/>
          </reference>
          <reference field="14" count="1">
            <x v="336"/>
          </reference>
        </references>
      </pivotArea>
    </format>
    <format dxfId="2751">
      <pivotArea dataOnly="0" labelOnly="1" outline="0" fieldPosition="0">
        <references count="2">
          <reference field="11" count="1" selected="0">
            <x v="65"/>
          </reference>
          <reference field="14" count="1" defaultSubtotal="1">
            <x v="336"/>
          </reference>
        </references>
      </pivotArea>
    </format>
    <format dxfId="2750">
      <pivotArea dataOnly="0" labelOnly="1" outline="0" fieldPosition="0">
        <references count="2">
          <reference field="11" count="1" selected="0">
            <x v="66"/>
          </reference>
          <reference field="14" count="1">
            <x v="63"/>
          </reference>
        </references>
      </pivotArea>
    </format>
    <format dxfId="2749">
      <pivotArea dataOnly="0" labelOnly="1" outline="0" fieldPosition="0">
        <references count="2">
          <reference field="11" count="1" selected="0">
            <x v="66"/>
          </reference>
          <reference field="14" count="1" defaultSubtotal="1">
            <x v="63"/>
          </reference>
        </references>
      </pivotArea>
    </format>
    <format dxfId="2748">
      <pivotArea dataOnly="0" labelOnly="1" outline="0" fieldPosition="0">
        <references count="2">
          <reference field="11" count="1" selected="0">
            <x v="67"/>
          </reference>
          <reference field="14" count="1">
            <x v="237"/>
          </reference>
        </references>
      </pivotArea>
    </format>
    <format dxfId="2747">
      <pivotArea dataOnly="0" labelOnly="1" outline="0" fieldPosition="0">
        <references count="2">
          <reference field="11" count="1" selected="0">
            <x v="67"/>
          </reference>
          <reference field="14" count="1" defaultSubtotal="1">
            <x v="237"/>
          </reference>
        </references>
      </pivotArea>
    </format>
    <format dxfId="2746">
      <pivotArea dataOnly="0" labelOnly="1" outline="0" fieldPosition="0">
        <references count="2">
          <reference field="11" count="1" selected="0">
            <x v="68"/>
          </reference>
          <reference field="14" count="1">
            <x v="138"/>
          </reference>
        </references>
      </pivotArea>
    </format>
    <format dxfId="2745">
      <pivotArea dataOnly="0" labelOnly="1" outline="0" fieldPosition="0">
        <references count="2">
          <reference field="11" count="1" selected="0">
            <x v="68"/>
          </reference>
          <reference field="14" count="1" defaultSubtotal="1">
            <x v="138"/>
          </reference>
        </references>
      </pivotArea>
    </format>
    <format dxfId="2744">
      <pivotArea dataOnly="0" labelOnly="1" outline="0" fieldPosition="0">
        <references count="2">
          <reference field="11" count="1" selected="0">
            <x v="69"/>
          </reference>
          <reference field="14" count="1">
            <x v="139"/>
          </reference>
        </references>
      </pivotArea>
    </format>
    <format dxfId="2743">
      <pivotArea dataOnly="0" labelOnly="1" outline="0" fieldPosition="0">
        <references count="2">
          <reference field="11" count="1" selected="0">
            <x v="69"/>
          </reference>
          <reference field="14" count="1" defaultSubtotal="1">
            <x v="139"/>
          </reference>
        </references>
      </pivotArea>
    </format>
    <format dxfId="2742">
      <pivotArea dataOnly="0" labelOnly="1" outline="0" fieldPosition="0">
        <references count="2">
          <reference field="11" count="1" selected="0">
            <x v="70"/>
          </reference>
          <reference field="14" count="1">
            <x v="137"/>
          </reference>
        </references>
      </pivotArea>
    </format>
    <format dxfId="2741">
      <pivotArea dataOnly="0" labelOnly="1" outline="0" fieldPosition="0">
        <references count="2">
          <reference field="11" count="1" selected="0">
            <x v="70"/>
          </reference>
          <reference field="14" count="1" defaultSubtotal="1">
            <x v="137"/>
          </reference>
        </references>
      </pivotArea>
    </format>
    <format dxfId="2740">
      <pivotArea dataOnly="0" labelOnly="1" outline="0" fieldPosition="0">
        <references count="2">
          <reference field="11" count="1" selected="0">
            <x v="71"/>
          </reference>
          <reference field="14" count="1">
            <x v="468"/>
          </reference>
        </references>
      </pivotArea>
    </format>
    <format dxfId="2739">
      <pivotArea dataOnly="0" labelOnly="1" outline="0" fieldPosition="0">
        <references count="2">
          <reference field="11" count="1" selected="0">
            <x v="71"/>
          </reference>
          <reference field="14" count="1" defaultSubtotal="1">
            <x v="468"/>
          </reference>
        </references>
      </pivotArea>
    </format>
    <format dxfId="2738">
      <pivotArea dataOnly="0" labelOnly="1" outline="0" fieldPosition="0">
        <references count="2">
          <reference field="11" count="1" selected="0">
            <x v="72"/>
          </reference>
          <reference field="14" count="1">
            <x v="83"/>
          </reference>
        </references>
      </pivotArea>
    </format>
    <format dxfId="2737">
      <pivotArea dataOnly="0" labelOnly="1" outline="0" fieldPosition="0">
        <references count="2">
          <reference field="11" count="1" selected="0">
            <x v="72"/>
          </reference>
          <reference field="14" count="1" defaultSubtotal="1">
            <x v="83"/>
          </reference>
        </references>
      </pivotArea>
    </format>
    <format dxfId="2736">
      <pivotArea dataOnly="0" labelOnly="1" outline="0" fieldPosition="0">
        <references count="2">
          <reference field="11" count="1" selected="0">
            <x v="73"/>
          </reference>
          <reference field="14" count="1">
            <x v="288"/>
          </reference>
        </references>
      </pivotArea>
    </format>
    <format dxfId="2735">
      <pivotArea dataOnly="0" labelOnly="1" outline="0" fieldPosition="0">
        <references count="2">
          <reference field="11" count="1" selected="0">
            <x v="73"/>
          </reference>
          <reference field="14" count="1" defaultSubtotal="1">
            <x v="288"/>
          </reference>
        </references>
      </pivotArea>
    </format>
    <format dxfId="2734">
      <pivotArea dataOnly="0" labelOnly="1" outline="0" fieldPosition="0">
        <references count="2">
          <reference field="11" count="1" selected="0">
            <x v="74"/>
          </reference>
          <reference field="14" count="1">
            <x v="235"/>
          </reference>
        </references>
      </pivotArea>
    </format>
    <format dxfId="2733">
      <pivotArea dataOnly="0" labelOnly="1" outline="0" fieldPosition="0">
        <references count="2">
          <reference field="11" count="1" selected="0">
            <x v="74"/>
          </reference>
          <reference field="14" count="1" defaultSubtotal="1">
            <x v="235"/>
          </reference>
        </references>
      </pivotArea>
    </format>
    <format dxfId="2732">
      <pivotArea dataOnly="0" labelOnly="1" outline="0" fieldPosition="0">
        <references count="2">
          <reference field="11" count="1" selected="0">
            <x v="75"/>
          </reference>
          <reference field="14" count="1">
            <x v="285"/>
          </reference>
        </references>
      </pivotArea>
    </format>
    <format dxfId="2731">
      <pivotArea dataOnly="0" labelOnly="1" outline="0" fieldPosition="0">
        <references count="2">
          <reference field="11" count="1" selected="0">
            <x v="75"/>
          </reference>
          <reference field="14" count="1" defaultSubtotal="1">
            <x v="285"/>
          </reference>
        </references>
      </pivotArea>
    </format>
    <format dxfId="2730">
      <pivotArea dataOnly="0" labelOnly="1" outline="0" fieldPosition="0">
        <references count="2">
          <reference field="11" count="1" selected="0">
            <x v="76"/>
          </reference>
          <reference field="14" count="1">
            <x v="214"/>
          </reference>
        </references>
      </pivotArea>
    </format>
    <format dxfId="2729">
      <pivotArea dataOnly="0" labelOnly="1" outline="0" fieldPosition="0">
        <references count="2">
          <reference field="11" count="1" selected="0">
            <x v="76"/>
          </reference>
          <reference field="14" count="1" defaultSubtotal="1">
            <x v="214"/>
          </reference>
        </references>
      </pivotArea>
    </format>
    <format dxfId="2728">
      <pivotArea dataOnly="0" labelOnly="1" outline="0" fieldPosition="0">
        <references count="2">
          <reference field="11" count="1" selected="0">
            <x v="77"/>
          </reference>
          <reference field="14" count="1">
            <x v="104"/>
          </reference>
        </references>
      </pivotArea>
    </format>
    <format dxfId="2727">
      <pivotArea dataOnly="0" labelOnly="1" outline="0" fieldPosition="0">
        <references count="2">
          <reference field="11" count="1" selected="0">
            <x v="77"/>
          </reference>
          <reference field="14" count="1" defaultSubtotal="1">
            <x v="104"/>
          </reference>
        </references>
      </pivotArea>
    </format>
    <format dxfId="2726">
      <pivotArea dataOnly="0" labelOnly="1" outline="0" fieldPosition="0">
        <references count="2">
          <reference field="11" count="1" selected="0">
            <x v="78"/>
          </reference>
          <reference field="14" count="1">
            <x v="195"/>
          </reference>
        </references>
      </pivotArea>
    </format>
    <format dxfId="2725">
      <pivotArea dataOnly="0" labelOnly="1" outline="0" fieldPosition="0">
        <references count="2">
          <reference field="11" count="1" selected="0">
            <x v="78"/>
          </reference>
          <reference field="14" count="1" defaultSubtotal="1">
            <x v="195"/>
          </reference>
        </references>
      </pivotArea>
    </format>
    <format dxfId="2724">
      <pivotArea dataOnly="0" labelOnly="1" outline="0" fieldPosition="0">
        <references count="2">
          <reference field="11" count="1" selected="0">
            <x v="79"/>
          </reference>
          <reference field="14" count="1">
            <x v="196"/>
          </reference>
        </references>
      </pivotArea>
    </format>
    <format dxfId="2723">
      <pivotArea dataOnly="0" labelOnly="1" outline="0" fieldPosition="0">
        <references count="2">
          <reference field="11" count="1" selected="0">
            <x v="79"/>
          </reference>
          <reference field="14" count="1" defaultSubtotal="1">
            <x v="196"/>
          </reference>
        </references>
      </pivotArea>
    </format>
    <format dxfId="2722">
      <pivotArea dataOnly="0" labelOnly="1" outline="0" fieldPosition="0">
        <references count="2">
          <reference field="11" count="1" selected="0">
            <x v="80"/>
          </reference>
          <reference field="14" count="1">
            <x v="467"/>
          </reference>
        </references>
      </pivotArea>
    </format>
    <format dxfId="2721">
      <pivotArea dataOnly="0" labelOnly="1" outline="0" fieldPosition="0">
        <references count="2">
          <reference field="11" count="1" selected="0">
            <x v="80"/>
          </reference>
          <reference field="14" count="1" defaultSubtotal="1">
            <x v="467"/>
          </reference>
        </references>
      </pivotArea>
    </format>
    <format dxfId="2720">
      <pivotArea dataOnly="0" labelOnly="1" outline="0" fieldPosition="0">
        <references count="2">
          <reference field="11" count="1" selected="0">
            <x v="81"/>
          </reference>
          <reference field="14" count="1">
            <x v="56"/>
          </reference>
        </references>
      </pivotArea>
    </format>
    <format dxfId="2719">
      <pivotArea dataOnly="0" labelOnly="1" outline="0" fieldPosition="0">
        <references count="2">
          <reference field="11" count="1" selected="0">
            <x v="81"/>
          </reference>
          <reference field="14" count="1" defaultSubtotal="1">
            <x v="56"/>
          </reference>
        </references>
      </pivotArea>
    </format>
    <format dxfId="2718">
      <pivotArea dataOnly="0" labelOnly="1" outline="0" fieldPosition="0">
        <references count="2">
          <reference field="11" count="1" selected="0">
            <x v="82"/>
          </reference>
          <reference field="14" count="1">
            <x v="106"/>
          </reference>
        </references>
      </pivotArea>
    </format>
    <format dxfId="2717">
      <pivotArea dataOnly="0" labelOnly="1" outline="0" fieldPosition="0">
        <references count="2">
          <reference field="11" count="1" selected="0">
            <x v="82"/>
          </reference>
          <reference field="14" count="1" defaultSubtotal="1">
            <x v="106"/>
          </reference>
        </references>
      </pivotArea>
    </format>
    <format dxfId="2716">
      <pivotArea dataOnly="0" labelOnly="1" outline="0" fieldPosition="0">
        <references count="2">
          <reference field="11" count="1" selected="0">
            <x v="83"/>
          </reference>
          <reference field="14" count="1">
            <x v="216"/>
          </reference>
        </references>
      </pivotArea>
    </format>
    <format dxfId="2715">
      <pivotArea dataOnly="0" labelOnly="1" outline="0" fieldPosition="0">
        <references count="2">
          <reference field="11" count="1" selected="0">
            <x v="83"/>
          </reference>
          <reference field="14" count="1" defaultSubtotal="1">
            <x v="216"/>
          </reference>
        </references>
      </pivotArea>
    </format>
    <format dxfId="2714">
      <pivotArea dataOnly="0" labelOnly="1" outline="0" fieldPosition="0">
        <references count="2">
          <reference field="11" count="1" selected="0">
            <x v="84"/>
          </reference>
          <reference field="14" count="1">
            <x v="47"/>
          </reference>
        </references>
      </pivotArea>
    </format>
    <format dxfId="2713">
      <pivotArea dataOnly="0" labelOnly="1" outline="0" fieldPosition="0">
        <references count="2">
          <reference field="11" count="1" selected="0">
            <x v="84"/>
          </reference>
          <reference field="14" count="1" defaultSubtotal="1">
            <x v="47"/>
          </reference>
        </references>
      </pivotArea>
    </format>
    <format dxfId="2712">
      <pivotArea dataOnly="0" labelOnly="1" outline="0" fieldPosition="0">
        <references count="2">
          <reference field="11" count="1" selected="0">
            <x v="85"/>
          </reference>
          <reference field="14" count="1">
            <x v="203"/>
          </reference>
        </references>
      </pivotArea>
    </format>
    <format dxfId="2711">
      <pivotArea dataOnly="0" labelOnly="1" outline="0" fieldPosition="0">
        <references count="2">
          <reference field="11" count="1" selected="0">
            <x v="85"/>
          </reference>
          <reference field="14" count="1" defaultSubtotal="1">
            <x v="203"/>
          </reference>
        </references>
      </pivotArea>
    </format>
    <format dxfId="2710">
      <pivotArea dataOnly="0" labelOnly="1" outline="0" fieldPosition="0">
        <references count="2">
          <reference field="11" count="1" selected="0">
            <x v="86"/>
          </reference>
          <reference field="14" count="1">
            <x v="383"/>
          </reference>
        </references>
      </pivotArea>
    </format>
    <format dxfId="2709">
      <pivotArea dataOnly="0" labelOnly="1" outline="0" fieldPosition="0">
        <references count="2">
          <reference field="11" count="1" selected="0">
            <x v="86"/>
          </reference>
          <reference field="14" count="1" defaultSubtotal="1">
            <x v="383"/>
          </reference>
        </references>
      </pivotArea>
    </format>
    <format dxfId="2708">
      <pivotArea dataOnly="0" labelOnly="1" outline="0" fieldPosition="0">
        <references count="2">
          <reference field="11" count="1" selected="0">
            <x v="87"/>
          </reference>
          <reference field="14" count="1">
            <x v="193"/>
          </reference>
        </references>
      </pivotArea>
    </format>
    <format dxfId="2707">
      <pivotArea dataOnly="0" labelOnly="1" outline="0" fieldPosition="0">
        <references count="2">
          <reference field="11" count="1" selected="0">
            <x v="87"/>
          </reference>
          <reference field="14" count="1" defaultSubtotal="1">
            <x v="193"/>
          </reference>
        </references>
      </pivotArea>
    </format>
    <format dxfId="2706">
      <pivotArea dataOnly="0" labelOnly="1" outline="0" fieldPosition="0">
        <references count="2">
          <reference field="11" count="1" selected="0">
            <x v="88"/>
          </reference>
          <reference field="14" count="1">
            <x v="4"/>
          </reference>
        </references>
      </pivotArea>
    </format>
    <format dxfId="2705">
      <pivotArea dataOnly="0" labelOnly="1" outline="0" fieldPosition="0">
        <references count="2">
          <reference field="11" count="1" selected="0">
            <x v="88"/>
          </reference>
          <reference field="14" count="1" defaultSubtotal="1">
            <x v="4"/>
          </reference>
        </references>
      </pivotArea>
    </format>
    <format dxfId="2704">
      <pivotArea dataOnly="0" labelOnly="1" outline="0" fieldPosition="0">
        <references count="2">
          <reference field="11" count="1" selected="0">
            <x v="89"/>
          </reference>
          <reference field="14" count="1">
            <x v="251"/>
          </reference>
        </references>
      </pivotArea>
    </format>
    <format dxfId="2703">
      <pivotArea dataOnly="0" labelOnly="1" outline="0" fieldPosition="0">
        <references count="2">
          <reference field="11" count="1" selected="0">
            <x v="89"/>
          </reference>
          <reference field="14" count="1" defaultSubtotal="1">
            <x v="251"/>
          </reference>
        </references>
      </pivotArea>
    </format>
    <format dxfId="2702">
      <pivotArea dataOnly="0" labelOnly="1" outline="0" fieldPosition="0">
        <references count="2">
          <reference field="11" count="1" selected="0">
            <x v="90"/>
          </reference>
          <reference field="14" count="1">
            <x v="335"/>
          </reference>
        </references>
      </pivotArea>
    </format>
    <format dxfId="2701">
      <pivotArea dataOnly="0" labelOnly="1" outline="0" fieldPosition="0">
        <references count="2">
          <reference field="11" count="1" selected="0">
            <x v="90"/>
          </reference>
          <reference field="14" count="1" defaultSubtotal="1">
            <x v="335"/>
          </reference>
        </references>
      </pivotArea>
    </format>
    <format dxfId="2700">
      <pivotArea dataOnly="0" labelOnly="1" outline="0" fieldPosition="0">
        <references count="2">
          <reference field="11" count="1" selected="0">
            <x v="91"/>
          </reference>
          <reference field="14" count="1">
            <x v="27"/>
          </reference>
        </references>
      </pivotArea>
    </format>
    <format dxfId="2699">
      <pivotArea dataOnly="0" labelOnly="1" outline="0" fieldPosition="0">
        <references count="2">
          <reference field="11" count="1" selected="0">
            <x v="91"/>
          </reference>
          <reference field="14" count="1" defaultSubtotal="1">
            <x v="27"/>
          </reference>
        </references>
      </pivotArea>
    </format>
    <format dxfId="2698">
      <pivotArea dataOnly="0" labelOnly="1" outline="0" fieldPosition="0">
        <references count="2">
          <reference field="11" count="1" selected="0">
            <x v="92"/>
          </reference>
          <reference field="14" count="1">
            <x v="189"/>
          </reference>
        </references>
      </pivotArea>
    </format>
    <format dxfId="2697">
      <pivotArea dataOnly="0" labelOnly="1" outline="0" fieldPosition="0">
        <references count="2">
          <reference field="11" count="1" selected="0">
            <x v="92"/>
          </reference>
          <reference field="14" count="1" defaultSubtotal="1">
            <x v="189"/>
          </reference>
        </references>
      </pivotArea>
    </format>
    <format dxfId="2696">
      <pivotArea dataOnly="0" labelOnly="1" outline="0" fieldPosition="0">
        <references count="2">
          <reference field="11" count="1" selected="0">
            <x v="93"/>
          </reference>
          <reference field="14" count="1">
            <x v="451"/>
          </reference>
        </references>
      </pivotArea>
    </format>
    <format dxfId="2695">
      <pivotArea dataOnly="0" labelOnly="1" outline="0" fieldPosition="0">
        <references count="2">
          <reference field="11" count="1" selected="0">
            <x v="93"/>
          </reference>
          <reference field="14" count="1" defaultSubtotal="1">
            <x v="451"/>
          </reference>
        </references>
      </pivotArea>
    </format>
    <format dxfId="2694">
      <pivotArea dataOnly="0" labelOnly="1" outline="0" fieldPosition="0">
        <references count="2">
          <reference field="11" count="1" selected="0">
            <x v="94"/>
          </reference>
          <reference field="14" count="1">
            <x v="23"/>
          </reference>
        </references>
      </pivotArea>
    </format>
    <format dxfId="2693">
      <pivotArea dataOnly="0" labelOnly="1" outline="0" fieldPosition="0">
        <references count="2">
          <reference field="11" count="1" selected="0">
            <x v="94"/>
          </reference>
          <reference field="14" count="1" defaultSubtotal="1">
            <x v="23"/>
          </reference>
        </references>
      </pivotArea>
    </format>
    <format dxfId="2692">
      <pivotArea dataOnly="0" labelOnly="1" outline="0" fieldPosition="0">
        <references count="2">
          <reference field="11" count="1" selected="0">
            <x v="95"/>
          </reference>
          <reference field="14" count="1">
            <x v="200"/>
          </reference>
        </references>
      </pivotArea>
    </format>
    <format dxfId="2691">
      <pivotArea dataOnly="0" labelOnly="1" outline="0" fieldPosition="0">
        <references count="2">
          <reference field="11" count="1" selected="0">
            <x v="95"/>
          </reference>
          <reference field="14" count="1" defaultSubtotal="1">
            <x v="200"/>
          </reference>
        </references>
      </pivotArea>
    </format>
    <format dxfId="2690">
      <pivotArea dataOnly="0" labelOnly="1" outline="0" fieldPosition="0">
        <references count="2">
          <reference field="11" count="1" selected="0">
            <x v="96"/>
          </reference>
          <reference field="14" count="1">
            <x v="240"/>
          </reference>
        </references>
      </pivotArea>
    </format>
    <format dxfId="2689">
      <pivotArea dataOnly="0" labelOnly="1" outline="0" fieldPosition="0">
        <references count="2">
          <reference field="11" count="1" selected="0">
            <x v="96"/>
          </reference>
          <reference field="14" count="1" defaultSubtotal="1">
            <x v="240"/>
          </reference>
        </references>
      </pivotArea>
    </format>
    <format dxfId="2688">
      <pivotArea dataOnly="0" labelOnly="1" outline="0" fieldPosition="0">
        <references count="2">
          <reference field="11" count="1" selected="0">
            <x v="97"/>
          </reference>
          <reference field="14" count="1">
            <x v="268"/>
          </reference>
        </references>
      </pivotArea>
    </format>
    <format dxfId="2687">
      <pivotArea dataOnly="0" labelOnly="1" outline="0" fieldPosition="0">
        <references count="2">
          <reference field="11" count="1" selected="0">
            <x v="97"/>
          </reference>
          <reference field="14" count="1" defaultSubtotal="1">
            <x v="268"/>
          </reference>
        </references>
      </pivotArea>
    </format>
    <format dxfId="2686">
      <pivotArea dataOnly="0" labelOnly="1" outline="0" fieldPosition="0">
        <references count="2">
          <reference field="11" count="1" selected="0">
            <x v="98"/>
          </reference>
          <reference field="14" count="1">
            <x v="358"/>
          </reference>
        </references>
      </pivotArea>
    </format>
    <format dxfId="2685">
      <pivotArea dataOnly="0" labelOnly="1" outline="0" fieldPosition="0">
        <references count="2">
          <reference field="11" count="1" selected="0">
            <x v="98"/>
          </reference>
          <reference field="14" count="1" defaultSubtotal="1">
            <x v="358"/>
          </reference>
        </references>
      </pivotArea>
    </format>
    <format dxfId="2684">
      <pivotArea dataOnly="0" labelOnly="1" outline="0" fieldPosition="0">
        <references count="2">
          <reference field="11" count="1" selected="0">
            <x v="99"/>
          </reference>
          <reference field="14" count="1">
            <x v="454"/>
          </reference>
        </references>
      </pivotArea>
    </format>
    <format dxfId="2683">
      <pivotArea dataOnly="0" labelOnly="1" outline="0" fieldPosition="0">
        <references count="2">
          <reference field="11" count="1" selected="0">
            <x v="99"/>
          </reference>
          <reference field="14" count="1" defaultSubtotal="1">
            <x v="454"/>
          </reference>
        </references>
      </pivotArea>
    </format>
    <format dxfId="2682">
      <pivotArea dataOnly="0" labelOnly="1" outline="0" fieldPosition="0">
        <references count="2">
          <reference field="11" count="1" selected="0">
            <x v="100"/>
          </reference>
          <reference field="14" count="1">
            <x v="274"/>
          </reference>
        </references>
      </pivotArea>
    </format>
    <format dxfId="2681">
      <pivotArea dataOnly="0" labelOnly="1" outline="0" fieldPosition="0">
        <references count="2">
          <reference field="11" count="1" selected="0">
            <x v="100"/>
          </reference>
          <reference field="14" count="1" defaultSubtotal="1">
            <x v="274"/>
          </reference>
        </references>
      </pivotArea>
    </format>
    <format dxfId="2680">
      <pivotArea dataOnly="0" labelOnly="1" outline="0" fieldPosition="0">
        <references count="2">
          <reference field="11" count="1" selected="0">
            <x v="101"/>
          </reference>
          <reference field="14" count="1">
            <x v="303"/>
          </reference>
        </references>
      </pivotArea>
    </format>
    <format dxfId="2679">
      <pivotArea dataOnly="0" labelOnly="1" outline="0" fieldPosition="0">
        <references count="2">
          <reference field="11" count="1" selected="0">
            <x v="101"/>
          </reference>
          <reference field="14" count="1" defaultSubtotal="1">
            <x v="303"/>
          </reference>
        </references>
      </pivotArea>
    </format>
    <format dxfId="2678">
      <pivotArea dataOnly="0" labelOnly="1" outline="0" fieldPosition="0">
        <references count="2">
          <reference field="11" count="1" selected="0">
            <x v="102"/>
          </reference>
          <reference field="14" count="1">
            <x v="248"/>
          </reference>
        </references>
      </pivotArea>
    </format>
    <format dxfId="2677">
      <pivotArea dataOnly="0" labelOnly="1" outline="0" fieldPosition="0">
        <references count="2">
          <reference field="11" count="1" selected="0">
            <x v="102"/>
          </reference>
          <reference field="14" count="1" defaultSubtotal="1">
            <x v="248"/>
          </reference>
        </references>
      </pivotArea>
    </format>
    <format dxfId="2676">
      <pivotArea dataOnly="0" labelOnly="1" outline="0" fieldPosition="0">
        <references count="2">
          <reference field="11" count="1" selected="0">
            <x v="103"/>
          </reference>
          <reference field="14" count="1">
            <x v="48"/>
          </reference>
        </references>
      </pivotArea>
    </format>
    <format dxfId="2675">
      <pivotArea dataOnly="0" labelOnly="1" outline="0" fieldPosition="0">
        <references count="2">
          <reference field="11" count="1" selected="0">
            <x v="103"/>
          </reference>
          <reference field="14" count="1" defaultSubtotal="1">
            <x v="48"/>
          </reference>
        </references>
      </pivotArea>
    </format>
    <format dxfId="2674">
      <pivotArea dataOnly="0" labelOnly="1" outline="0" fieldPosition="0">
        <references count="2">
          <reference field="11" count="1" selected="0">
            <x v="104"/>
          </reference>
          <reference field="14" count="1">
            <x v="321"/>
          </reference>
        </references>
      </pivotArea>
    </format>
    <format dxfId="2673">
      <pivotArea dataOnly="0" labelOnly="1" outline="0" fieldPosition="0">
        <references count="2">
          <reference field="11" count="1" selected="0">
            <x v="104"/>
          </reference>
          <reference field="14" count="1" defaultSubtotal="1">
            <x v="321"/>
          </reference>
        </references>
      </pivotArea>
    </format>
    <format dxfId="2672">
      <pivotArea dataOnly="0" labelOnly="1" outline="0" fieldPosition="0">
        <references count="2">
          <reference field="11" count="1" selected="0">
            <x v="105"/>
          </reference>
          <reference field="14" count="1">
            <x v="320"/>
          </reference>
        </references>
      </pivotArea>
    </format>
    <format dxfId="2671">
      <pivotArea dataOnly="0" labelOnly="1" outline="0" fieldPosition="0">
        <references count="2">
          <reference field="11" count="1" selected="0">
            <x v="105"/>
          </reference>
          <reference field="14" count="1" defaultSubtotal="1">
            <x v="320"/>
          </reference>
        </references>
      </pivotArea>
    </format>
    <format dxfId="2670">
      <pivotArea dataOnly="0" labelOnly="1" outline="0" fieldPosition="0">
        <references count="2">
          <reference field="11" count="1" selected="0">
            <x v="106"/>
          </reference>
          <reference field="14" count="1">
            <x v="210"/>
          </reference>
        </references>
      </pivotArea>
    </format>
    <format dxfId="2669">
      <pivotArea dataOnly="0" labelOnly="1" outline="0" fieldPosition="0">
        <references count="2">
          <reference field="11" count="1" selected="0">
            <x v="106"/>
          </reference>
          <reference field="14" count="1" defaultSubtotal="1">
            <x v="210"/>
          </reference>
        </references>
      </pivotArea>
    </format>
    <format dxfId="2668">
      <pivotArea dataOnly="0" labelOnly="1" outline="0" fieldPosition="0">
        <references count="2">
          <reference field="11" count="1" selected="0">
            <x v="107"/>
          </reference>
          <reference field="14" count="1">
            <x v="220"/>
          </reference>
        </references>
      </pivotArea>
    </format>
    <format dxfId="2667">
      <pivotArea dataOnly="0" labelOnly="1" outline="0" fieldPosition="0">
        <references count="2">
          <reference field="11" count="1" selected="0">
            <x v="107"/>
          </reference>
          <reference field="14" count="1" defaultSubtotal="1">
            <x v="220"/>
          </reference>
        </references>
      </pivotArea>
    </format>
    <format dxfId="2666">
      <pivotArea dataOnly="0" labelOnly="1" outline="0" fieldPosition="0">
        <references count="2">
          <reference field="11" count="1" selected="0">
            <x v="108"/>
          </reference>
          <reference field="14" count="1">
            <x v="111"/>
          </reference>
        </references>
      </pivotArea>
    </format>
    <format dxfId="2665">
      <pivotArea dataOnly="0" labelOnly="1" outline="0" fieldPosition="0">
        <references count="2">
          <reference field="11" count="1" selected="0">
            <x v="108"/>
          </reference>
          <reference field="14" count="1" defaultSubtotal="1">
            <x v="111"/>
          </reference>
        </references>
      </pivotArea>
    </format>
    <format dxfId="2664">
      <pivotArea dataOnly="0" labelOnly="1" outline="0" fieldPosition="0">
        <references count="2">
          <reference field="11" count="1" selected="0">
            <x v="109"/>
          </reference>
          <reference field="14" count="1">
            <x v="194"/>
          </reference>
        </references>
      </pivotArea>
    </format>
    <format dxfId="2663">
      <pivotArea dataOnly="0" labelOnly="1" outline="0" fieldPosition="0">
        <references count="2">
          <reference field="11" count="1" selected="0">
            <x v="109"/>
          </reference>
          <reference field="14" count="1" defaultSubtotal="1">
            <x v="194"/>
          </reference>
        </references>
      </pivotArea>
    </format>
    <format dxfId="2662">
      <pivotArea dataOnly="0" labelOnly="1" outline="0" fieldPosition="0">
        <references count="2">
          <reference field="11" count="1" selected="0">
            <x v="110"/>
          </reference>
          <reference field="14" count="1">
            <x v="52"/>
          </reference>
        </references>
      </pivotArea>
    </format>
    <format dxfId="2661">
      <pivotArea dataOnly="0" labelOnly="1" outline="0" fieldPosition="0">
        <references count="2">
          <reference field="11" count="1" selected="0">
            <x v="110"/>
          </reference>
          <reference field="14" count="1" defaultSubtotal="1">
            <x v="52"/>
          </reference>
        </references>
      </pivotArea>
    </format>
    <format dxfId="2660">
      <pivotArea dataOnly="0" labelOnly="1" outline="0" fieldPosition="0">
        <references count="2">
          <reference field="11" count="1" selected="0">
            <x v="111"/>
          </reference>
          <reference field="14" count="1">
            <x v="229"/>
          </reference>
        </references>
      </pivotArea>
    </format>
    <format dxfId="2659">
      <pivotArea dataOnly="0" labelOnly="1" outline="0" fieldPosition="0">
        <references count="2">
          <reference field="11" count="1" selected="0">
            <x v="111"/>
          </reference>
          <reference field="14" count="1" defaultSubtotal="1">
            <x v="229"/>
          </reference>
        </references>
      </pivotArea>
    </format>
    <format dxfId="2658">
      <pivotArea dataOnly="0" labelOnly="1" outline="0" fieldPosition="0">
        <references count="2">
          <reference field="11" count="1" selected="0">
            <x v="112"/>
          </reference>
          <reference field="14" count="1">
            <x v="41"/>
          </reference>
        </references>
      </pivotArea>
    </format>
    <format dxfId="2657">
      <pivotArea dataOnly="0" labelOnly="1" outline="0" fieldPosition="0">
        <references count="2">
          <reference field="11" count="1" selected="0">
            <x v="112"/>
          </reference>
          <reference field="14" count="1" defaultSubtotal="1">
            <x v="41"/>
          </reference>
        </references>
      </pivotArea>
    </format>
    <format dxfId="2656">
      <pivotArea dataOnly="0" labelOnly="1" outline="0" fieldPosition="0">
        <references count="2">
          <reference field="11" count="1" selected="0">
            <x v="113"/>
          </reference>
          <reference field="14" count="1">
            <x v="40"/>
          </reference>
        </references>
      </pivotArea>
    </format>
    <format dxfId="2655">
      <pivotArea dataOnly="0" labelOnly="1" outline="0" fieldPosition="0">
        <references count="2">
          <reference field="11" count="1" selected="0">
            <x v="113"/>
          </reference>
          <reference field="14" count="1" defaultSubtotal="1">
            <x v="40"/>
          </reference>
        </references>
      </pivotArea>
    </format>
    <format dxfId="2654">
      <pivotArea dataOnly="0" labelOnly="1" outline="0" fieldPosition="0">
        <references count="2">
          <reference field="11" count="1" selected="0">
            <x v="114"/>
          </reference>
          <reference field="14" count="1">
            <x v="433"/>
          </reference>
        </references>
      </pivotArea>
    </format>
    <format dxfId="2653">
      <pivotArea dataOnly="0" labelOnly="1" outline="0" fieldPosition="0">
        <references count="2">
          <reference field="11" count="1" selected="0">
            <x v="114"/>
          </reference>
          <reference field="14" count="1" defaultSubtotal="1">
            <x v="433"/>
          </reference>
        </references>
      </pivotArea>
    </format>
    <format dxfId="2652">
      <pivotArea dataOnly="0" labelOnly="1" outline="0" fieldPosition="0">
        <references count="2">
          <reference field="11" count="1" selected="0">
            <x v="115"/>
          </reference>
          <reference field="14" count="1">
            <x v="470"/>
          </reference>
        </references>
      </pivotArea>
    </format>
    <format dxfId="2651">
      <pivotArea dataOnly="0" labelOnly="1" outline="0" fieldPosition="0">
        <references count="2">
          <reference field="11" count="1" selected="0">
            <x v="115"/>
          </reference>
          <reference field="14" count="1" defaultSubtotal="1">
            <x v="470"/>
          </reference>
        </references>
      </pivotArea>
    </format>
    <format dxfId="2650">
      <pivotArea dataOnly="0" labelOnly="1" outline="0" fieldPosition="0">
        <references count="2">
          <reference field="11" count="1" selected="0">
            <x v="116"/>
          </reference>
          <reference field="14" count="1">
            <x v="469"/>
          </reference>
        </references>
      </pivotArea>
    </format>
    <format dxfId="2649">
      <pivotArea dataOnly="0" labelOnly="1" outline="0" fieldPosition="0">
        <references count="2">
          <reference field="11" count="1" selected="0">
            <x v="116"/>
          </reference>
          <reference field="14" count="1" defaultSubtotal="1">
            <x v="469"/>
          </reference>
        </references>
      </pivotArea>
    </format>
    <format dxfId="2648">
      <pivotArea dataOnly="0" labelOnly="1" outline="0" fieldPosition="0">
        <references count="2">
          <reference field="11" count="1" selected="0">
            <x v="117"/>
          </reference>
          <reference field="14" count="1">
            <x v="472"/>
          </reference>
        </references>
      </pivotArea>
    </format>
    <format dxfId="2647">
      <pivotArea dataOnly="0" labelOnly="1" outline="0" fieldPosition="0">
        <references count="2">
          <reference field="11" count="1" selected="0">
            <x v="117"/>
          </reference>
          <reference field="14" count="1" defaultSubtotal="1">
            <x v="472"/>
          </reference>
        </references>
      </pivotArea>
    </format>
    <format dxfId="2646">
      <pivotArea dataOnly="0" labelOnly="1" outline="0" fieldPosition="0">
        <references count="2">
          <reference field="11" count="1" selected="0">
            <x v="118"/>
          </reference>
          <reference field="14" count="1">
            <x v="473"/>
          </reference>
        </references>
      </pivotArea>
    </format>
    <format dxfId="2645">
      <pivotArea dataOnly="0" labelOnly="1" outline="0" fieldPosition="0">
        <references count="2">
          <reference field="11" count="1" selected="0">
            <x v="118"/>
          </reference>
          <reference field="14" count="1" defaultSubtotal="1">
            <x v="473"/>
          </reference>
        </references>
      </pivotArea>
    </format>
    <format dxfId="2644">
      <pivotArea dataOnly="0" labelOnly="1" outline="0" fieldPosition="0">
        <references count="2">
          <reference field="11" count="1" selected="0">
            <x v="119"/>
          </reference>
          <reference field="14" count="1">
            <x v="475"/>
          </reference>
        </references>
      </pivotArea>
    </format>
    <format dxfId="2643">
      <pivotArea dataOnly="0" labelOnly="1" outline="0" fieldPosition="0">
        <references count="2">
          <reference field="11" count="1" selected="0">
            <x v="119"/>
          </reference>
          <reference field="14" count="1" defaultSubtotal="1">
            <x v="475"/>
          </reference>
        </references>
      </pivotArea>
    </format>
    <format dxfId="2642">
      <pivotArea dataOnly="0" labelOnly="1" outline="0" fieldPosition="0">
        <references count="2">
          <reference field="11" count="1" selected="0">
            <x v="120"/>
          </reference>
          <reference field="14" count="1">
            <x v="474"/>
          </reference>
        </references>
      </pivotArea>
    </format>
    <format dxfId="2641">
      <pivotArea dataOnly="0" labelOnly="1" outline="0" fieldPosition="0">
        <references count="2">
          <reference field="11" count="1" selected="0">
            <x v="120"/>
          </reference>
          <reference field="14" count="1" defaultSubtotal="1">
            <x v="474"/>
          </reference>
        </references>
      </pivotArea>
    </format>
    <format dxfId="2640">
      <pivotArea dataOnly="0" labelOnly="1" outline="0" fieldPosition="0">
        <references count="2">
          <reference field="11" count="1" selected="0">
            <x v="121"/>
          </reference>
          <reference field="14" count="1">
            <x v="477"/>
          </reference>
        </references>
      </pivotArea>
    </format>
    <format dxfId="2639">
      <pivotArea dataOnly="0" labelOnly="1" outline="0" fieldPosition="0">
        <references count="2">
          <reference field="11" count="1" selected="0">
            <x v="121"/>
          </reference>
          <reference field="14" count="1" defaultSubtotal="1">
            <x v="477"/>
          </reference>
        </references>
      </pivotArea>
    </format>
    <format dxfId="2638">
      <pivotArea dataOnly="0" labelOnly="1" outline="0" fieldPosition="0">
        <references count="2">
          <reference field="11" count="1" selected="0">
            <x v="122"/>
          </reference>
          <reference field="14" count="1">
            <x v="476"/>
          </reference>
        </references>
      </pivotArea>
    </format>
    <format dxfId="2637">
      <pivotArea dataOnly="0" labelOnly="1" outline="0" fieldPosition="0">
        <references count="2">
          <reference field="11" count="1" selected="0">
            <x v="122"/>
          </reference>
          <reference field="14" count="1" defaultSubtotal="1">
            <x v="476"/>
          </reference>
        </references>
      </pivotArea>
    </format>
    <format dxfId="2636">
      <pivotArea dataOnly="0" labelOnly="1" outline="0" fieldPosition="0">
        <references count="2">
          <reference field="11" count="1" selected="0">
            <x v="123"/>
          </reference>
          <reference field="14" count="1">
            <x v="478"/>
          </reference>
        </references>
      </pivotArea>
    </format>
    <format dxfId="2635">
      <pivotArea dataOnly="0" labelOnly="1" outline="0" fieldPosition="0">
        <references count="2">
          <reference field="11" count="1" selected="0">
            <x v="123"/>
          </reference>
          <reference field="14" count="1" defaultSubtotal="1">
            <x v="478"/>
          </reference>
        </references>
      </pivotArea>
    </format>
    <format dxfId="2634">
      <pivotArea dataOnly="0" labelOnly="1" outline="0" fieldPosition="0">
        <references count="2">
          <reference field="11" count="1" selected="0">
            <x v="124"/>
          </reference>
          <reference field="14" count="1">
            <x v="480"/>
          </reference>
        </references>
      </pivotArea>
    </format>
    <format dxfId="2633">
      <pivotArea dataOnly="0" labelOnly="1" outline="0" fieldPosition="0">
        <references count="2">
          <reference field="11" count="1" selected="0">
            <x v="124"/>
          </reference>
          <reference field="14" count="1" defaultSubtotal="1">
            <x v="480"/>
          </reference>
        </references>
      </pivotArea>
    </format>
    <format dxfId="2632">
      <pivotArea dataOnly="0" labelOnly="1" outline="0" fieldPosition="0">
        <references count="2">
          <reference field="11" count="1" selected="0">
            <x v="125"/>
          </reference>
          <reference field="14" count="1">
            <x v="479"/>
          </reference>
        </references>
      </pivotArea>
    </format>
    <format dxfId="2631">
      <pivotArea dataOnly="0" labelOnly="1" outline="0" fieldPosition="0">
        <references count="2">
          <reference field="11" count="1" selected="0">
            <x v="125"/>
          </reference>
          <reference field="14" count="1" defaultSubtotal="1">
            <x v="479"/>
          </reference>
        </references>
      </pivotArea>
    </format>
    <format dxfId="2630">
      <pivotArea dataOnly="0" labelOnly="1" outline="0" fieldPosition="0">
        <references count="2">
          <reference field="11" count="1" selected="0">
            <x v="126"/>
          </reference>
          <reference field="14" count="1">
            <x v="481"/>
          </reference>
        </references>
      </pivotArea>
    </format>
    <format dxfId="2629">
      <pivotArea dataOnly="0" labelOnly="1" outline="0" fieldPosition="0">
        <references count="2">
          <reference field="11" count="1" selected="0">
            <x v="126"/>
          </reference>
          <reference field="14" count="1" defaultSubtotal="1">
            <x v="481"/>
          </reference>
        </references>
      </pivotArea>
    </format>
    <format dxfId="2628">
      <pivotArea dataOnly="0" labelOnly="1" outline="0" fieldPosition="0">
        <references count="2">
          <reference field="11" count="1" selected="0">
            <x v="127"/>
          </reference>
          <reference field="14" count="1">
            <x v="483"/>
          </reference>
        </references>
      </pivotArea>
    </format>
    <format dxfId="2627">
      <pivotArea dataOnly="0" labelOnly="1" outline="0" fieldPosition="0">
        <references count="2">
          <reference field="11" count="1" selected="0">
            <x v="127"/>
          </reference>
          <reference field="14" count="1" defaultSubtotal="1">
            <x v="483"/>
          </reference>
        </references>
      </pivotArea>
    </format>
    <format dxfId="2626">
      <pivotArea dataOnly="0" labelOnly="1" outline="0" fieldPosition="0">
        <references count="2">
          <reference field="11" count="1" selected="0">
            <x v="128"/>
          </reference>
          <reference field="14" count="1">
            <x v="453"/>
          </reference>
        </references>
      </pivotArea>
    </format>
    <format dxfId="2625">
      <pivotArea dataOnly="0" labelOnly="1" outline="0" fieldPosition="0">
        <references count="2">
          <reference field="11" count="1" selected="0">
            <x v="128"/>
          </reference>
          <reference field="14" count="1" defaultSubtotal="1">
            <x v="453"/>
          </reference>
        </references>
      </pivotArea>
    </format>
    <format dxfId="2624">
      <pivotArea dataOnly="0" labelOnly="1" outline="0" fieldPosition="0">
        <references count="2">
          <reference field="11" count="1" selected="0">
            <x v="129"/>
          </reference>
          <reference field="14" count="1">
            <x v="391"/>
          </reference>
        </references>
      </pivotArea>
    </format>
    <format dxfId="2623">
      <pivotArea dataOnly="0" labelOnly="1" outline="0" fieldPosition="0">
        <references count="2">
          <reference field="11" count="1" selected="0">
            <x v="129"/>
          </reference>
          <reference field="14" count="1" defaultSubtotal="1">
            <x v="391"/>
          </reference>
        </references>
      </pivotArea>
    </format>
    <format dxfId="2622">
      <pivotArea dataOnly="0" labelOnly="1" outline="0" fieldPosition="0">
        <references count="2">
          <reference field="11" count="1" selected="0">
            <x v="130"/>
          </reference>
          <reference field="14" count="1">
            <x v="242"/>
          </reference>
        </references>
      </pivotArea>
    </format>
    <format dxfId="2621">
      <pivotArea dataOnly="0" labelOnly="1" outline="0" fieldPosition="0">
        <references count="2">
          <reference field="11" count="1" selected="0">
            <x v="130"/>
          </reference>
          <reference field="14" count="1" defaultSubtotal="1">
            <x v="242"/>
          </reference>
        </references>
      </pivotArea>
    </format>
    <format dxfId="2620">
      <pivotArea dataOnly="0" labelOnly="1" outline="0" fieldPosition="0">
        <references count="2">
          <reference field="11" count="1" selected="0">
            <x v="131"/>
          </reference>
          <reference field="14" count="1">
            <x v="33"/>
          </reference>
        </references>
      </pivotArea>
    </format>
    <format dxfId="2619">
      <pivotArea dataOnly="0" labelOnly="1" outline="0" fieldPosition="0">
        <references count="2">
          <reference field="11" count="1" selected="0">
            <x v="131"/>
          </reference>
          <reference field="14" count="1" defaultSubtotal="1">
            <x v="33"/>
          </reference>
        </references>
      </pivotArea>
    </format>
    <format dxfId="2618">
      <pivotArea dataOnly="0" labelOnly="1" outline="0" fieldPosition="0">
        <references count="2">
          <reference field="11" count="1" selected="0">
            <x v="132"/>
          </reference>
          <reference field="14" count="1">
            <x v="482"/>
          </reference>
        </references>
      </pivotArea>
    </format>
    <format dxfId="2617">
      <pivotArea dataOnly="0" labelOnly="1" outline="0" fieldPosition="0">
        <references count="2">
          <reference field="11" count="1" selected="0">
            <x v="132"/>
          </reference>
          <reference field="14" count="1" defaultSubtotal="1">
            <x v="482"/>
          </reference>
        </references>
      </pivotArea>
    </format>
    <format dxfId="2616">
      <pivotArea dataOnly="0" labelOnly="1" outline="0" fieldPosition="0">
        <references count="2">
          <reference field="11" count="1" selected="0">
            <x v="133"/>
          </reference>
          <reference field="14" count="1">
            <x v="266"/>
          </reference>
        </references>
      </pivotArea>
    </format>
    <format dxfId="2615">
      <pivotArea dataOnly="0" labelOnly="1" outline="0" fieldPosition="0">
        <references count="2">
          <reference field="11" count="1" selected="0">
            <x v="133"/>
          </reference>
          <reference field="14" count="1" defaultSubtotal="1">
            <x v="266"/>
          </reference>
        </references>
      </pivotArea>
    </format>
    <format dxfId="2614">
      <pivotArea dataOnly="0" labelOnly="1" outline="0" fieldPosition="0">
        <references count="2">
          <reference field="11" count="1" selected="0">
            <x v="134"/>
          </reference>
          <reference field="14" count="1">
            <x v="76"/>
          </reference>
        </references>
      </pivotArea>
    </format>
    <format dxfId="2613">
      <pivotArea dataOnly="0" labelOnly="1" outline="0" fieldPosition="0">
        <references count="2">
          <reference field="11" count="1" selected="0">
            <x v="134"/>
          </reference>
          <reference field="14" count="1" defaultSubtotal="1">
            <x v="76"/>
          </reference>
        </references>
      </pivotArea>
    </format>
    <format dxfId="2612">
      <pivotArea dataOnly="0" labelOnly="1" outline="0" fieldPosition="0">
        <references count="2">
          <reference field="11" count="1" selected="0">
            <x v="135"/>
          </reference>
          <reference field="14" count="1">
            <x v="332"/>
          </reference>
        </references>
      </pivotArea>
    </format>
    <format dxfId="2611">
      <pivotArea dataOnly="0" labelOnly="1" outline="0" fieldPosition="0">
        <references count="2">
          <reference field="11" count="1" selected="0">
            <x v="135"/>
          </reference>
          <reference field="14" count="1" defaultSubtotal="1">
            <x v="332"/>
          </reference>
        </references>
      </pivotArea>
    </format>
    <format dxfId="2610">
      <pivotArea dataOnly="0" labelOnly="1" outline="0" fieldPosition="0">
        <references count="2">
          <reference field="11" count="1" selected="0">
            <x v="136"/>
          </reference>
          <reference field="14" count="1">
            <x v="333"/>
          </reference>
        </references>
      </pivotArea>
    </format>
    <format dxfId="2609">
      <pivotArea dataOnly="0" labelOnly="1" outline="0" fieldPosition="0">
        <references count="2">
          <reference field="11" count="1" selected="0">
            <x v="136"/>
          </reference>
          <reference field="14" count="1" defaultSubtotal="1">
            <x v="333"/>
          </reference>
        </references>
      </pivotArea>
    </format>
    <format dxfId="2608">
      <pivotArea dataOnly="0" labelOnly="1" outline="0" fieldPosition="0">
        <references count="2">
          <reference field="11" count="1" selected="0">
            <x v="137"/>
          </reference>
          <reference field="14" count="1">
            <x v="11"/>
          </reference>
        </references>
      </pivotArea>
    </format>
    <format dxfId="2607">
      <pivotArea dataOnly="0" labelOnly="1" outline="0" fieldPosition="0">
        <references count="2">
          <reference field="11" count="1" selected="0">
            <x v="137"/>
          </reference>
          <reference field="14" count="1" defaultSubtotal="1">
            <x v="11"/>
          </reference>
        </references>
      </pivotArea>
    </format>
    <format dxfId="2606">
      <pivotArea dataOnly="0" labelOnly="1" outline="0" fieldPosition="0">
        <references count="2">
          <reference field="11" count="1" selected="0">
            <x v="138"/>
          </reference>
          <reference field="14" count="1">
            <x v="16"/>
          </reference>
        </references>
      </pivotArea>
    </format>
    <format dxfId="2605">
      <pivotArea dataOnly="0" labelOnly="1" outline="0" fieldPosition="0">
        <references count="2">
          <reference field="11" count="1" selected="0">
            <x v="138"/>
          </reference>
          <reference field="14" count="1" defaultSubtotal="1">
            <x v="16"/>
          </reference>
        </references>
      </pivotArea>
    </format>
    <format dxfId="2604">
      <pivotArea dataOnly="0" labelOnly="1" outline="0" fieldPosition="0">
        <references count="2">
          <reference field="11" count="1" selected="0">
            <x v="139"/>
          </reference>
          <reference field="14" count="1">
            <x v="361"/>
          </reference>
        </references>
      </pivotArea>
    </format>
    <format dxfId="2603">
      <pivotArea dataOnly="0" labelOnly="1" outline="0" fieldPosition="0">
        <references count="2">
          <reference field="11" count="1" selected="0">
            <x v="139"/>
          </reference>
          <reference field="14" count="1" defaultSubtotal="1">
            <x v="361"/>
          </reference>
        </references>
      </pivotArea>
    </format>
    <format dxfId="2602">
      <pivotArea dataOnly="0" labelOnly="1" outline="0" fieldPosition="0">
        <references count="2">
          <reference field="11" count="1" selected="0">
            <x v="140"/>
          </reference>
          <reference field="14" count="1">
            <x v="255"/>
          </reference>
        </references>
      </pivotArea>
    </format>
    <format dxfId="2601">
      <pivotArea dataOnly="0" labelOnly="1" outline="0" fieldPosition="0">
        <references count="2">
          <reference field="11" count="1" selected="0">
            <x v="140"/>
          </reference>
          <reference field="14" count="1" defaultSubtotal="1">
            <x v="255"/>
          </reference>
        </references>
      </pivotArea>
    </format>
    <format dxfId="2600">
      <pivotArea dataOnly="0" labelOnly="1" outline="0" fieldPosition="0">
        <references count="2">
          <reference field="11" count="1" selected="0">
            <x v="141"/>
          </reference>
          <reference field="14" count="1">
            <x v="252"/>
          </reference>
        </references>
      </pivotArea>
    </format>
    <format dxfId="2599">
      <pivotArea dataOnly="0" labelOnly="1" outline="0" fieldPosition="0">
        <references count="2">
          <reference field="11" count="1" selected="0">
            <x v="141"/>
          </reference>
          <reference field="14" count="1" defaultSubtotal="1">
            <x v="252"/>
          </reference>
        </references>
      </pivotArea>
    </format>
    <format dxfId="2598">
      <pivotArea dataOnly="0" labelOnly="1" outline="0" fieldPosition="0">
        <references count="2">
          <reference field="11" count="1" selected="0">
            <x v="142"/>
          </reference>
          <reference field="14" count="1">
            <x v="213"/>
          </reference>
        </references>
      </pivotArea>
    </format>
    <format dxfId="2597">
      <pivotArea dataOnly="0" labelOnly="1" outline="0" fieldPosition="0">
        <references count="2">
          <reference field="11" count="1" selected="0">
            <x v="142"/>
          </reference>
          <reference field="14" count="1" defaultSubtotal="1">
            <x v="213"/>
          </reference>
        </references>
      </pivotArea>
    </format>
    <format dxfId="2596">
      <pivotArea dataOnly="0" labelOnly="1" outline="0" fieldPosition="0">
        <references count="2">
          <reference field="11" count="1" selected="0">
            <x v="143"/>
          </reference>
          <reference field="14" count="1">
            <x v="326"/>
          </reference>
        </references>
      </pivotArea>
    </format>
    <format dxfId="2595">
      <pivotArea dataOnly="0" labelOnly="1" outline="0" fieldPosition="0">
        <references count="2">
          <reference field="11" count="1" selected="0">
            <x v="143"/>
          </reference>
          <reference field="14" count="1" defaultSubtotal="1">
            <x v="326"/>
          </reference>
        </references>
      </pivotArea>
    </format>
    <format dxfId="2594">
      <pivotArea dataOnly="0" labelOnly="1" outline="0" fieldPosition="0">
        <references count="2">
          <reference field="11" count="1" selected="0">
            <x v="144"/>
          </reference>
          <reference field="14" count="1">
            <x v="327"/>
          </reference>
        </references>
      </pivotArea>
    </format>
    <format dxfId="2593">
      <pivotArea dataOnly="0" labelOnly="1" outline="0" fieldPosition="0">
        <references count="2">
          <reference field="11" count="1" selected="0">
            <x v="144"/>
          </reference>
          <reference field="14" count="1" defaultSubtotal="1">
            <x v="327"/>
          </reference>
        </references>
      </pivotArea>
    </format>
    <format dxfId="2592">
      <pivotArea dataOnly="0" labelOnly="1" outline="0" fieldPosition="0">
        <references count="2">
          <reference field="11" count="1" selected="0">
            <x v="145"/>
          </reference>
          <reference field="14" count="1">
            <x v="329"/>
          </reference>
        </references>
      </pivotArea>
    </format>
    <format dxfId="2591">
      <pivotArea dataOnly="0" labelOnly="1" outline="0" fieldPosition="0">
        <references count="2">
          <reference field="11" count="1" selected="0">
            <x v="145"/>
          </reference>
          <reference field="14" count="1" defaultSubtotal="1">
            <x v="329"/>
          </reference>
        </references>
      </pivotArea>
    </format>
    <format dxfId="2590">
      <pivotArea dataOnly="0" labelOnly="1" outline="0" fieldPosition="0">
        <references count="2">
          <reference field="11" count="1" selected="0">
            <x v="146"/>
          </reference>
          <reference field="14" count="1">
            <x v="330"/>
          </reference>
        </references>
      </pivotArea>
    </format>
    <format dxfId="2589">
      <pivotArea dataOnly="0" labelOnly="1" outline="0" fieldPosition="0">
        <references count="2">
          <reference field="11" count="1" selected="0">
            <x v="146"/>
          </reference>
          <reference field="14" count="1" defaultSubtotal="1">
            <x v="330"/>
          </reference>
        </references>
      </pivotArea>
    </format>
    <format dxfId="2588">
      <pivotArea dataOnly="0" labelOnly="1" outline="0" fieldPosition="0">
        <references count="2">
          <reference field="11" count="1" selected="0">
            <x v="147"/>
          </reference>
          <reference field="14" count="1">
            <x v="328"/>
          </reference>
        </references>
      </pivotArea>
    </format>
    <format dxfId="2587">
      <pivotArea dataOnly="0" labelOnly="1" outline="0" fieldPosition="0">
        <references count="2">
          <reference field="11" count="1" selected="0">
            <x v="147"/>
          </reference>
          <reference field="14" count="1" defaultSubtotal="1">
            <x v="328"/>
          </reference>
        </references>
      </pivotArea>
    </format>
    <format dxfId="2586">
      <pivotArea dataOnly="0" labelOnly="1" outline="0" fieldPosition="0">
        <references count="2">
          <reference field="11" count="1" selected="0">
            <x v="148"/>
          </reference>
          <reference field="14" count="1">
            <x v="215"/>
          </reference>
        </references>
      </pivotArea>
    </format>
    <format dxfId="2585">
      <pivotArea dataOnly="0" labelOnly="1" outline="0" fieldPosition="0">
        <references count="2">
          <reference field="11" count="1" selected="0">
            <x v="148"/>
          </reference>
          <reference field="14" count="1" defaultSubtotal="1">
            <x v="215"/>
          </reference>
        </references>
      </pivotArea>
    </format>
    <format dxfId="2584">
      <pivotArea dataOnly="0" labelOnly="1" outline="0" fieldPosition="0">
        <references count="2">
          <reference field="11" count="1" selected="0">
            <x v="149"/>
          </reference>
          <reference field="14" count="1">
            <x v="461"/>
          </reference>
        </references>
      </pivotArea>
    </format>
    <format dxfId="2583">
      <pivotArea dataOnly="0" labelOnly="1" outline="0" fieldPosition="0">
        <references count="2">
          <reference field="11" count="1" selected="0">
            <x v="149"/>
          </reference>
          <reference field="14" count="1" defaultSubtotal="1">
            <x v="461"/>
          </reference>
        </references>
      </pivotArea>
    </format>
    <format dxfId="2582">
      <pivotArea dataOnly="0" labelOnly="1" outline="0" fieldPosition="0">
        <references count="2">
          <reference field="11" count="1" selected="0">
            <x v="150"/>
          </reference>
          <reference field="14" count="1">
            <x v="267"/>
          </reference>
        </references>
      </pivotArea>
    </format>
    <format dxfId="2581">
      <pivotArea dataOnly="0" labelOnly="1" outline="0" fieldPosition="0">
        <references count="2">
          <reference field="11" count="1" selected="0">
            <x v="150"/>
          </reference>
          <reference field="14" count="1" defaultSubtotal="1">
            <x v="267"/>
          </reference>
        </references>
      </pivotArea>
    </format>
    <format dxfId="2580">
      <pivotArea dataOnly="0" labelOnly="1" outline="0" fieldPosition="0">
        <references count="2">
          <reference field="11" count="1" selected="0">
            <x v="151"/>
          </reference>
          <reference field="14" count="1">
            <x v="392"/>
          </reference>
        </references>
      </pivotArea>
    </format>
    <format dxfId="2579">
      <pivotArea dataOnly="0" labelOnly="1" outline="0" fieldPosition="0">
        <references count="2">
          <reference field="11" count="1" selected="0">
            <x v="151"/>
          </reference>
          <reference field="14" count="1" defaultSubtotal="1">
            <x v="392"/>
          </reference>
        </references>
      </pivotArea>
    </format>
    <format dxfId="2578">
      <pivotArea dataOnly="0" labelOnly="1" outline="0" fieldPosition="0">
        <references count="2">
          <reference field="11" count="1" selected="0">
            <x v="152"/>
          </reference>
          <reference field="14" count="1">
            <x v="447"/>
          </reference>
        </references>
      </pivotArea>
    </format>
    <format dxfId="2577">
      <pivotArea dataOnly="0" labelOnly="1" outline="0" fieldPosition="0">
        <references count="2">
          <reference field="11" count="1" selected="0">
            <x v="152"/>
          </reference>
          <reference field="14" count="1" defaultSubtotal="1">
            <x v="447"/>
          </reference>
        </references>
      </pivotArea>
    </format>
    <format dxfId="2576">
      <pivotArea dataOnly="0" labelOnly="1" outline="0" fieldPosition="0">
        <references count="2">
          <reference field="11" count="1" selected="0">
            <x v="153"/>
          </reference>
          <reference field="14" count="1">
            <x v="177"/>
          </reference>
        </references>
      </pivotArea>
    </format>
    <format dxfId="2575">
      <pivotArea dataOnly="0" labelOnly="1" outline="0" fieldPosition="0">
        <references count="2">
          <reference field="11" count="1" selected="0">
            <x v="153"/>
          </reference>
          <reference field="14" count="1" defaultSubtotal="1">
            <x v="177"/>
          </reference>
        </references>
      </pivotArea>
    </format>
    <format dxfId="2574">
      <pivotArea dataOnly="0" labelOnly="1" outline="0" fieldPosition="0">
        <references count="2">
          <reference field="11" count="1" selected="0">
            <x v="154"/>
          </reference>
          <reference field="14" count="1">
            <x v="182"/>
          </reference>
        </references>
      </pivotArea>
    </format>
    <format dxfId="2573">
      <pivotArea dataOnly="0" labelOnly="1" outline="0" fieldPosition="0">
        <references count="2">
          <reference field="11" count="1" selected="0">
            <x v="154"/>
          </reference>
          <reference field="14" count="1" defaultSubtotal="1">
            <x v="182"/>
          </reference>
        </references>
      </pivotArea>
    </format>
    <format dxfId="2572">
      <pivotArea dataOnly="0" labelOnly="1" outline="0" fieldPosition="0">
        <references count="2">
          <reference field="11" count="1" selected="0">
            <x v="155"/>
          </reference>
          <reference field="14" count="1">
            <x v="105"/>
          </reference>
        </references>
      </pivotArea>
    </format>
    <format dxfId="2571">
      <pivotArea dataOnly="0" labelOnly="1" outline="0" fieldPosition="0">
        <references count="2">
          <reference field="11" count="1" selected="0">
            <x v="155"/>
          </reference>
          <reference field="14" count="1" defaultSubtotal="1">
            <x v="105"/>
          </reference>
        </references>
      </pivotArea>
    </format>
    <format dxfId="2570">
      <pivotArea dataOnly="0" labelOnly="1" outline="0" fieldPosition="0">
        <references count="2">
          <reference field="11" count="1" selected="0">
            <x v="156"/>
          </reference>
          <reference field="14" count="1">
            <x v="238"/>
          </reference>
        </references>
      </pivotArea>
    </format>
    <format dxfId="2569">
      <pivotArea dataOnly="0" labelOnly="1" outline="0" fieldPosition="0">
        <references count="2">
          <reference field="11" count="1" selected="0">
            <x v="156"/>
          </reference>
          <reference field="14" count="1" defaultSubtotal="1">
            <x v="238"/>
          </reference>
        </references>
      </pivotArea>
    </format>
    <format dxfId="2568">
      <pivotArea dataOnly="0" labelOnly="1" outline="0" fieldPosition="0">
        <references count="2">
          <reference field="11" count="1" selected="0">
            <x v="157"/>
          </reference>
          <reference field="14" count="1">
            <x v="395"/>
          </reference>
        </references>
      </pivotArea>
    </format>
    <format dxfId="2567">
      <pivotArea dataOnly="0" labelOnly="1" outline="0" fieldPosition="0">
        <references count="2">
          <reference field="11" count="1" selected="0">
            <x v="157"/>
          </reference>
          <reference field="14" count="1" defaultSubtotal="1">
            <x v="395"/>
          </reference>
        </references>
      </pivotArea>
    </format>
    <format dxfId="2566">
      <pivotArea dataOnly="0" labelOnly="1" outline="0" fieldPosition="0">
        <references count="2">
          <reference field="11" count="1" selected="0">
            <x v="158"/>
          </reference>
          <reference field="14" count="1">
            <x v="224"/>
          </reference>
        </references>
      </pivotArea>
    </format>
    <format dxfId="2565">
      <pivotArea dataOnly="0" labelOnly="1" outline="0" fieldPosition="0">
        <references count="2">
          <reference field="11" count="1" selected="0">
            <x v="158"/>
          </reference>
          <reference field="14" count="1" defaultSubtotal="1">
            <x v="224"/>
          </reference>
        </references>
      </pivotArea>
    </format>
    <format dxfId="2564">
      <pivotArea dataOnly="0" labelOnly="1" outline="0" fieldPosition="0">
        <references count="2">
          <reference field="11" count="1" selected="0">
            <x v="159"/>
          </reference>
          <reference field="14" count="1">
            <x v="218"/>
          </reference>
        </references>
      </pivotArea>
    </format>
    <format dxfId="2563">
      <pivotArea dataOnly="0" labelOnly="1" outline="0" fieldPosition="0">
        <references count="2">
          <reference field="11" count="1" selected="0">
            <x v="159"/>
          </reference>
          <reference field="14" count="1" defaultSubtotal="1">
            <x v="218"/>
          </reference>
        </references>
      </pivotArea>
    </format>
    <format dxfId="2562">
      <pivotArea dataOnly="0" labelOnly="1" outline="0" fieldPosition="0">
        <references count="2">
          <reference field="11" count="1" selected="0">
            <x v="160"/>
          </reference>
          <reference field="14" count="1">
            <x v="398"/>
          </reference>
        </references>
      </pivotArea>
    </format>
    <format dxfId="2561">
      <pivotArea dataOnly="0" labelOnly="1" outline="0" fieldPosition="0">
        <references count="2">
          <reference field="11" count="1" selected="0">
            <x v="160"/>
          </reference>
          <reference field="14" count="1" defaultSubtotal="1">
            <x v="398"/>
          </reference>
        </references>
      </pivotArea>
    </format>
    <format dxfId="2560">
      <pivotArea dataOnly="0" labelOnly="1" outline="0" fieldPosition="0">
        <references count="2">
          <reference field="11" count="1" selected="0">
            <x v="161"/>
          </reference>
          <reference field="14" count="1">
            <x v="117"/>
          </reference>
        </references>
      </pivotArea>
    </format>
    <format dxfId="2559">
      <pivotArea dataOnly="0" labelOnly="1" outline="0" fieldPosition="0">
        <references count="2">
          <reference field="11" count="1" selected="0">
            <x v="161"/>
          </reference>
          <reference field="14" count="1" defaultSubtotal="1">
            <x v="117"/>
          </reference>
        </references>
      </pivotArea>
    </format>
    <format dxfId="2558">
      <pivotArea dataOnly="0" labelOnly="1" outline="0" fieldPosition="0">
        <references count="2">
          <reference field="11" count="1" selected="0">
            <x v="162"/>
          </reference>
          <reference field="14" count="1">
            <x v="161"/>
          </reference>
        </references>
      </pivotArea>
    </format>
    <format dxfId="2557">
      <pivotArea dataOnly="0" labelOnly="1" outline="0" fieldPosition="0">
        <references count="2">
          <reference field="11" count="1" selected="0">
            <x v="162"/>
          </reference>
          <reference field="14" count="1" defaultSubtotal="1">
            <x v="161"/>
          </reference>
        </references>
      </pivotArea>
    </format>
    <format dxfId="2556">
      <pivotArea dataOnly="0" labelOnly="1" outline="0" fieldPosition="0">
        <references count="2">
          <reference field="11" count="1" selected="0">
            <x v="163"/>
          </reference>
          <reference field="14" count="1">
            <x v="234"/>
          </reference>
        </references>
      </pivotArea>
    </format>
    <format dxfId="2555">
      <pivotArea dataOnly="0" labelOnly="1" outline="0" fieldPosition="0">
        <references count="2">
          <reference field="11" count="1" selected="0">
            <x v="163"/>
          </reference>
          <reference field="14" count="1" defaultSubtotal="1">
            <x v="234"/>
          </reference>
        </references>
      </pivotArea>
    </format>
    <format dxfId="2554">
      <pivotArea dataOnly="0" labelOnly="1" outline="0" fieldPosition="0">
        <references count="2">
          <reference field="11" count="1" selected="0">
            <x v="164"/>
          </reference>
          <reference field="14" count="1">
            <x v="258"/>
          </reference>
        </references>
      </pivotArea>
    </format>
    <format dxfId="2553">
      <pivotArea dataOnly="0" labelOnly="1" outline="0" fieldPosition="0">
        <references count="2">
          <reference field="11" count="1" selected="0">
            <x v="164"/>
          </reference>
          <reference field="14" count="1" defaultSubtotal="1">
            <x v="258"/>
          </reference>
        </references>
      </pivotArea>
    </format>
    <format dxfId="2552">
      <pivotArea dataOnly="0" labelOnly="1" outline="0" fieldPosition="0">
        <references count="2">
          <reference field="11" count="1" selected="0">
            <x v="165"/>
          </reference>
          <reference field="14" count="1">
            <x v="206"/>
          </reference>
        </references>
      </pivotArea>
    </format>
    <format dxfId="2551">
      <pivotArea dataOnly="0" labelOnly="1" outline="0" fieldPosition="0">
        <references count="2">
          <reference field="11" count="1" selected="0">
            <x v="165"/>
          </reference>
          <reference field="14" count="1" defaultSubtotal="1">
            <x v="206"/>
          </reference>
        </references>
      </pivotArea>
    </format>
    <format dxfId="2550">
      <pivotArea dataOnly="0" labelOnly="1" outline="0" fieldPosition="0">
        <references count="2">
          <reference field="11" count="1" selected="0">
            <x v="166"/>
          </reference>
          <reference field="14" count="1">
            <x v="319"/>
          </reference>
        </references>
      </pivotArea>
    </format>
    <format dxfId="2549">
      <pivotArea dataOnly="0" labelOnly="1" outline="0" fieldPosition="0">
        <references count="2">
          <reference field="11" count="1" selected="0">
            <x v="166"/>
          </reference>
          <reference field="14" count="1" defaultSubtotal="1">
            <x v="319"/>
          </reference>
        </references>
      </pivotArea>
    </format>
    <format dxfId="2548">
      <pivotArea dataOnly="0" labelOnly="1" outline="0" fieldPosition="0">
        <references count="2">
          <reference field="11" count="1" selected="0">
            <x v="167"/>
          </reference>
          <reference field="14" count="1">
            <x v="66"/>
          </reference>
        </references>
      </pivotArea>
    </format>
    <format dxfId="2547">
      <pivotArea dataOnly="0" labelOnly="1" outline="0" fieldPosition="0">
        <references count="2">
          <reference field="11" count="1" selected="0">
            <x v="167"/>
          </reference>
          <reference field="14" count="1" defaultSubtotal="1">
            <x v="66"/>
          </reference>
        </references>
      </pivotArea>
    </format>
    <format dxfId="2546">
      <pivotArea dataOnly="0" labelOnly="1" outline="0" fieldPosition="0">
        <references count="2">
          <reference field="11" count="1" selected="0">
            <x v="168"/>
          </reference>
          <reference field="14" count="1">
            <x v="148"/>
          </reference>
        </references>
      </pivotArea>
    </format>
    <format dxfId="2545">
      <pivotArea dataOnly="0" labelOnly="1" outline="0" fieldPosition="0">
        <references count="2">
          <reference field="11" count="1" selected="0">
            <x v="168"/>
          </reference>
          <reference field="14" count="1" defaultSubtotal="1">
            <x v="148"/>
          </reference>
        </references>
      </pivotArea>
    </format>
    <format dxfId="2544">
      <pivotArea dataOnly="0" labelOnly="1" outline="0" fieldPosition="0">
        <references count="2">
          <reference field="11" count="1" selected="0">
            <x v="169"/>
          </reference>
          <reference field="14" count="1">
            <x v="192"/>
          </reference>
        </references>
      </pivotArea>
    </format>
    <format dxfId="2543">
      <pivotArea dataOnly="0" labelOnly="1" outline="0" fieldPosition="0">
        <references count="2">
          <reference field="11" count="1" selected="0">
            <x v="169"/>
          </reference>
          <reference field="14" count="1" defaultSubtotal="1">
            <x v="192"/>
          </reference>
        </references>
      </pivotArea>
    </format>
    <format dxfId="2542">
      <pivotArea dataOnly="0" labelOnly="1" outline="0" fieldPosition="0">
        <references count="2">
          <reference field="11" count="1" selected="0">
            <x v="170"/>
          </reference>
          <reference field="14" count="1">
            <x v="317"/>
          </reference>
        </references>
      </pivotArea>
    </format>
    <format dxfId="2541">
      <pivotArea dataOnly="0" labelOnly="1" outline="0" fieldPosition="0">
        <references count="2">
          <reference field="11" count="1" selected="0">
            <x v="170"/>
          </reference>
          <reference field="14" count="1" defaultSubtotal="1">
            <x v="317"/>
          </reference>
        </references>
      </pivotArea>
    </format>
    <format dxfId="2540">
      <pivotArea dataOnly="0" labelOnly="1" outline="0" fieldPosition="0">
        <references count="2">
          <reference field="11" count="1" selected="0">
            <x v="171"/>
          </reference>
          <reference field="14" count="1">
            <x v="350"/>
          </reference>
        </references>
      </pivotArea>
    </format>
    <format dxfId="2539">
      <pivotArea dataOnly="0" labelOnly="1" outline="0" fieldPosition="0">
        <references count="2">
          <reference field="11" count="1" selected="0">
            <x v="171"/>
          </reference>
          <reference field="14" count="1" defaultSubtotal="1">
            <x v="350"/>
          </reference>
        </references>
      </pivotArea>
    </format>
    <format dxfId="2538">
      <pivotArea dataOnly="0" labelOnly="1" outline="0" fieldPosition="0">
        <references count="2">
          <reference field="11" count="1" selected="0">
            <x v="172"/>
          </reference>
          <reference field="14" count="1">
            <x v="231"/>
          </reference>
        </references>
      </pivotArea>
    </format>
    <format dxfId="2537">
      <pivotArea dataOnly="0" labelOnly="1" outline="0" fieldPosition="0">
        <references count="2">
          <reference field="11" count="1" selected="0">
            <x v="172"/>
          </reference>
          <reference field="14" count="1" defaultSubtotal="1">
            <x v="231"/>
          </reference>
        </references>
      </pivotArea>
    </format>
    <format dxfId="2536">
      <pivotArea dataOnly="0" labelOnly="1" outline="0" fieldPosition="0">
        <references count="2">
          <reference field="11" count="1" selected="0">
            <x v="173"/>
          </reference>
          <reference field="14" count="1">
            <x v="174"/>
          </reference>
        </references>
      </pivotArea>
    </format>
    <format dxfId="2535">
      <pivotArea dataOnly="0" labelOnly="1" outline="0" fieldPosition="0">
        <references count="2">
          <reference field="11" count="1" selected="0">
            <x v="173"/>
          </reference>
          <reference field="14" count="1" defaultSubtotal="1">
            <x v="174"/>
          </reference>
        </references>
      </pivotArea>
    </format>
    <format dxfId="2534">
      <pivotArea dataOnly="0" labelOnly="1" outline="0" fieldPosition="0">
        <references count="2">
          <reference field="11" count="1" selected="0">
            <x v="174"/>
          </reference>
          <reference field="14" count="1">
            <x v="173"/>
          </reference>
        </references>
      </pivotArea>
    </format>
    <format dxfId="2533">
      <pivotArea dataOnly="0" labelOnly="1" outline="0" fieldPosition="0">
        <references count="2">
          <reference field="11" count="1" selected="0">
            <x v="174"/>
          </reference>
          <reference field="14" count="1" defaultSubtotal="1">
            <x v="173"/>
          </reference>
        </references>
      </pivotArea>
    </format>
    <format dxfId="2532">
      <pivotArea dataOnly="0" labelOnly="1" outline="0" fieldPosition="0">
        <references count="2">
          <reference field="11" count="1" selected="0">
            <x v="175"/>
          </reference>
          <reference field="14" count="1">
            <x v="471"/>
          </reference>
        </references>
      </pivotArea>
    </format>
    <format dxfId="2531">
      <pivotArea dataOnly="0" labelOnly="1" outline="0" fieldPosition="0">
        <references count="2">
          <reference field="11" count="1" selected="0">
            <x v="175"/>
          </reference>
          <reference field="14" count="1" defaultSubtotal="1">
            <x v="471"/>
          </reference>
        </references>
      </pivotArea>
    </format>
    <format dxfId="2530">
      <pivotArea dataOnly="0" labelOnly="1" outline="0" fieldPosition="0">
        <references count="2">
          <reference field="11" count="1" selected="0">
            <x v="176"/>
          </reference>
          <reference field="14" count="1">
            <x v="362"/>
          </reference>
        </references>
      </pivotArea>
    </format>
    <format dxfId="2529">
      <pivotArea dataOnly="0" labelOnly="1" outline="0" fieldPosition="0">
        <references count="2">
          <reference field="11" count="1" selected="0">
            <x v="176"/>
          </reference>
          <reference field="14" count="1" defaultSubtotal="1">
            <x v="362"/>
          </reference>
        </references>
      </pivotArea>
    </format>
    <format dxfId="2528">
      <pivotArea dataOnly="0" labelOnly="1" outline="0" fieldPosition="0">
        <references count="2">
          <reference field="11" count="1" selected="0">
            <x v="177"/>
          </reference>
          <reference field="14" count="1">
            <x v="279"/>
          </reference>
        </references>
      </pivotArea>
    </format>
    <format dxfId="2527">
      <pivotArea dataOnly="0" labelOnly="1" outline="0" fieldPosition="0">
        <references count="2">
          <reference field="11" count="1" selected="0">
            <x v="177"/>
          </reference>
          <reference field="14" count="1" defaultSubtotal="1">
            <x v="279"/>
          </reference>
        </references>
      </pivotArea>
    </format>
    <format dxfId="2526">
      <pivotArea dataOnly="0" labelOnly="1" outline="0" fieldPosition="0">
        <references count="2">
          <reference field="11" count="1" selected="0">
            <x v="178"/>
          </reference>
          <reference field="14" count="1">
            <x v="282"/>
          </reference>
        </references>
      </pivotArea>
    </format>
    <format dxfId="2525">
      <pivotArea dataOnly="0" labelOnly="1" outline="0" fieldPosition="0">
        <references count="2">
          <reference field="11" count="1" selected="0">
            <x v="178"/>
          </reference>
          <reference field="14" count="1" defaultSubtotal="1">
            <x v="282"/>
          </reference>
        </references>
      </pivotArea>
    </format>
    <format dxfId="2524">
      <pivotArea dataOnly="0" labelOnly="1" outline="0" fieldPosition="0">
        <references count="2">
          <reference field="11" count="1" selected="0">
            <x v="179"/>
          </reference>
          <reference field="14" count="1">
            <x v="276"/>
          </reference>
        </references>
      </pivotArea>
    </format>
    <format dxfId="2523">
      <pivotArea dataOnly="0" labelOnly="1" outline="0" fieldPosition="0">
        <references count="2">
          <reference field="11" count="1" selected="0">
            <x v="179"/>
          </reference>
          <reference field="14" count="1" defaultSubtotal="1">
            <x v="276"/>
          </reference>
        </references>
      </pivotArea>
    </format>
    <format dxfId="2522">
      <pivotArea dataOnly="0" labelOnly="1" outline="0" fieldPosition="0">
        <references count="2">
          <reference field="11" count="1" selected="0">
            <x v="180"/>
          </reference>
          <reference field="14" count="1">
            <x v="439"/>
          </reference>
        </references>
      </pivotArea>
    </format>
    <format dxfId="2521">
      <pivotArea dataOnly="0" labelOnly="1" outline="0" fieldPosition="0">
        <references count="2">
          <reference field="11" count="1" selected="0">
            <x v="180"/>
          </reference>
          <reference field="14" count="1" defaultSubtotal="1">
            <x v="439"/>
          </reference>
        </references>
      </pivotArea>
    </format>
    <format dxfId="2520">
      <pivotArea dataOnly="0" labelOnly="1" outline="0" fieldPosition="0">
        <references count="2">
          <reference field="11" count="1" selected="0">
            <x v="181"/>
          </reference>
          <reference field="14" count="1">
            <x v="281"/>
          </reference>
        </references>
      </pivotArea>
    </format>
    <format dxfId="2519">
      <pivotArea dataOnly="0" labelOnly="1" outline="0" fieldPosition="0">
        <references count="2">
          <reference field="11" count="1" selected="0">
            <x v="181"/>
          </reference>
          <reference field="14" count="1" defaultSubtotal="1">
            <x v="281"/>
          </reference>
        </references>
      </pivotArea>
    </format>
    <format dxfId="2518">
      <pivotArea dataOnly="0" labelOnly="1" outline="0" fieldPosition="0">
        <references count="2">
          <reference field="11" count="1" selected="0">
            <x v="182"/>
          </reference>
          <reference field="14" count="1">
            <x v="118"/>
          </reference>
        </references>
      </pivotArea>
    </format>
    <format dxfId="2517">
      <pivotArea dataOnly="0" labelOnly="1" outline="0" fieldPosition="0">
        <references count="2">
          <reference field="11" count="1" selected="0">
            <x v="182"/>
          </reference>
          <reference field="14" count="1" defaultSubtotal="1">
            <x v="118"/>
          </reference>
        </references>
      </pivotArea>
    </format>
    <format dxfId="2516">
      <pivotArea dataOnly="0" labelOnly="1" outline="0" fieldPosition="0">
        <references count="2">
          <reference field="11" count="1" selected="0">
            <x v="183"/>
          </reference>
          <reference field="14" count="1">
            <x v="386"/>
          </reference>
        </references>
      </pivotArea>
    </format>
    <format dxfId="2515">
      <pivotArea dataOnly="0" labelOnly="1" outline="0" fieldPosition="0">
        <references count="2">
          <reference field="11" count="1" selected="0">
            <x v="183"/>
          </reference>
          <reference field="14" count="1" defaultSubtotal="1">
            <x v="386"/>
          </reference>
        </references>
      </pivotArea>
    </format>
    <format dxfId="2514">
      <pivotArea dataOnly="0" labelOnly="1" outline="0" fieldPosition="0">
        <references count="2">
          <reference field="11" count="1" selected="0">
            <x v="184"/>
          </reference>
          <reference field="14" count="1">
            <x v="388"/>
          </reference>
        </references>
      </pivotArea>
    </format>
    <format dxfId="2513">
      <pivotArea dataOnly="0" labelOnly="1" outline="0" fieldPosition="0">
        <references count="2">
          <reference field="11" count="1" selected="0">
            <x v="184"/>
          </reference>
          <reference field="14" count="1" defaultSubtotal="1">
            <x v="388"/>
          </reference>
        </references>
      </pivotArea>
    </format>
    <format dxfId="2512">
      <pivotArea dataOnly="0" labelOnly="1" outline="0" fieldPosition="0">
        <references count="2">
          <reference field="11" count="1" selected="0">
            <x v="185"/>
          </reference>
          <reference field="14" count="1">
            <x v="387"/>
          </reference>
        </references>
      </pivotArea>
    </format>
    <format dxfId="2511">
      <pivotArea dataOnly="0" labelOnly="1" outline="0" fieldPosition="0">
        <references count="2">
          <reference field="11" count="1" selected="0">
            <x v="185"/>
          </reference>
          <reference field="14" count="1" defaultSubtotal="1">
            <x v="387"/>
          </reference>
        </references>
      </pivotArea>
    </format>
    <format dxfId="2510">
      <pivotArea dataOnly="0" labelOnly="1" outline="0" fieldPosition="0">
        <references count="2">
          <reference field="11" count="1" selected="0">
            <x v="186"/>
          </reference>
          <reference field="14" count="1">
            <x v="343"/>
          </reference>
        </references>
      </pivotArea>
    </format>
    <format dxfId="2509">
      <pivotArea dataOnly="0" labelOnly="1" outline="0" fieldPosition="0">
        <references count="2">
          <reference field="11" count="1" selected="0">
            <x v="186"/>
          </reference>
          <reference field="14" count="1" defaultSubtotal="1">
            <x v="343"/>
          </reference>
        </references>
      </pivotArea>
    </format>
    <format dxfId="2508">
      <pivotArea dataOnly="0" labelOnly="1" outline="0" fieldPosition="0">
        <references count="2">
          <reference field="11" count="1" selected="0">
            <x v="187"/>
          </reference>
          <reference field="14" count="1">
            <x v="249"/>
          </reference>
        </references>
      </pivotArea>
    </format>
    <format dxfId="2507">
      <pivotArea dataOnly="0" labelOnly="1" outline="0" fieldPosition="0">
        <references count="2">
          <reference field="11" count="1" selected="0">
            <x v="187"/>
          </reference>
          <reference field="14" count="1" defaultSubtotal="1">
            <x v="249"/>
          </reference>
        </references>
      </pivotArea>
    </format>
    <format dxfId="2506">
      <pivotArea dataOnly="0" labelOnly="1" outline="0" fieldPosition="0">
        <references count="2">
          <reference field="11" count="1" selected="0">
            <x v="188"/>
          </reference>
          <reference field="14" count="1">
            <x v="385"/>
          </reference>
        </references>
      </pivotArea>
    </format>
    <format dxfId="2505">
      <pivotArea dataOnly="0" labelOnly="1" outline="0" fieldPosition="0">
        <references count="2">
          <reference field="11" count="1" selected="0">
            <x v="188"/>
          </reference>
          <reference field="14" count="1" defaultSubtotal="1">
            <x v="385"/>
          </reference>
        </references>
      </pivotArea>
    </format>
    <format dxfId="2504">
      <pivotArea dataOnly="0" labelOnly="1" outline="0" fieldPosition="0">
        <references count="2">
          <reference field="11" count="1" selected="0">
            <x v="189"/>
          </reference>
          <reference field="14" count="1">
            <x v="184"/>
          </reference>
        </references>
      </pivotArea>
    </format>
    <format dxfId="2503">
      <pivotArea dataOnly="0" labelOnly="1" outline="0" fieldPosition="0">
        <references count="2">
          <reference field="11" count="1" selected="0">
            <x v="189"/>
          </reference>
          <reference field="14" count="1" defaultSubtotal="1">
            <x v="184"/>
          </reference>
        </references>
      </pivotArea>
    </format>
    <format dxfId="2502">
      <pivotArea dataOnly="0" labelOnly="1" outline="0" fieldPosition="0">
        <references count="2">
          <reference field="11" count="1" selected="0">
            <x v="190"/>
          </reference>
          <reference field="14" count="1">
            <x v="394"/>
          </reference>
        </references>
      </pivotArea>
    </format>
    <format dxfId="2501">
      <pivotArea dataOnly="0" labelOnly="1" outline="0" fieldPosition="0">
        <references count="2">
          <reference field="11" count="1" selected="0">
            <x v="190"/>
          </reference>
          <reference field="14" count="1" defaultSubtotal="1">
            <x v="394"/>
          </reference>
        </references>
      </pivotArea>
    </format>
    <format dxfId="2500">
      <pivotArea dataOnly="0" labelOnly="1" outline="0" fieldPosition="0">
        <references count="2">
          <reference field="11" count="1" selected="0">
            <x v="191"/>
          </reference>
          <reference field="14" count="1">
            <x v="103"/>
          </reference>
        </references>
      </pivotArea>
    </format>
    <format dxfId="2499">
      <pivotArea dataOnly="0" labelOnly="1" outline="0" fieldPosition="0">
        <references count="2">
          <reference field="11" count="1" selected="0">
            <x v="191"/>
          </reference>
          <reference field="14" count="1" defaultSubtotal="1">
            <x v="103"/>
          </reference>
        </references>
      </pivotArea>
    </format>
    <format dxfId="2498">
      <pivotArea dataOnly="0" labelOnly="1" outline="0" fieldPosition="0">
        <references count="2">
          <reference field="11" count="1" selected="0">
            <x v="192"/>
          </reference>
          <reference field="14" count="1">
            <x v="102"/>
          </reference>
        </references>
      </pivotArea>
    </format>
    <format dxfId="2497">
      <pivotArea dataOnly="0" labelOnly="1" outline="0" fieldPosition="0">
        <references count="2">
          <reference field="11" count="1" selected="0">
            <x v="192"/>
          </reference>
          <reference field="14" count="1" defaultSubtotal="1">
            <x v="102"/>
          </reference>
        </references>
      </pivotArea>
    </format>
    <format dxfId="2496">
      <pivotArea dataOnly="0" labelOnly="1" outline="0" fieldPosition="0">
        <references count="2">
          <reference field="11" count="1" selected="0">
            <x v="193"/>
          </reference>
          <reference field="14" count="1">
            <x v="14"/>
          </reference>
        </references>
      </pivotArea>
    </format>
    <format dxfId="2495">
      <pivotArea dataOnly="0" labelOnly="1" outline="0" fieldPosition="0">
        <references count="2">
          <reference field="11" count="1" selected="0">
            <x v="193"/>
          </reference>
          <reference field="14" count="1" defaultSubtotal="1">
            <x v="14"/>
          </reference>
        </references>
      </pivotArea>
    </format>
    <format dxfId="2494">
      <pivotArea dataOnly="0" labelOnly="1" outline="0" fieldPosition="0">
        <references count="2">
          <reference field="11" count="1" selected="0">
            <x v="194"/>
          </reference>
          <reference field="14" count="1">
            <x v="188"/>
          </reference>
        </references>
      </pivotArea>
    </format>
    <format dxfId="2493">
      <pivotArea dataOnly="0" labelOnly="1" outline="0" fieldPosition="0">
        <references count="2">
          <reference field="11" count="1" selected="0">
            <x v="194"/>
          </reference>
          <reference field="14" count="1" defaultSubtotal="1">
            <x v="188"/>
          </reference>
        </references>
      </pivotArea>
    </format>
    <format dxfId="2492">
      <pivotArea dataOnly="0" labelOnly="1" outline="0" fieldPosition="0">
        <references count="2">
          <reference field="11" count="1" selected="0">
            <x v="195"/>
          </reference>
          <reference field="14" count="1">
            <x v="396"/>
          </reference>
        </references>
      </pivotArea>
    </format>
    <format dxfId="2491">
      <pivotArea dataOnly="0" labelOnly="1" outline="0" fieldPosition="0">
        <references count="2">
          <reference field="11" count="1" selected="0">
            <x v="195"/>
          </reference>
          <reference field="14" count="1" defaultSubtotal="1">
            <x v="396"/>
          </reference>
        </references>
      </pivotArea>
    </format>
    <format dxfId="2490">
      <pivotArea dataOnly="0" labelOnly="1" outline="0" fieldPosition="0">
        <references count="2">
          <reference field="11" count="1" selected="0">
            <x v="196"/>
          </reference>
          <reference field="14" count="1">
            <x v="25"/>
          </reference>
        </references>
      </pivotArea>
    </format>
    <format dxfId="2489">
      <pivotArea dataOnly="0" labelOnly="1" outline="0" fieldPosition="0">
        <references count="2">
          <reference field="11" count="1" selected="0">
            <x v="196"/>
          </reference>
          <reference field="14" count="1" defaultSubtotal="1">
            <x v="25"/>
          </reference>
        </references>
      </pivotArea>
    </format>
    <format dxfId="2488">
      <pivotArea dataOnly="0" labelOnly="1" outline="0" fieldPosition="0">
        <references count="2">
          <reference field="11" count="1" selected="0">
            <x v="197"/>
          </reference>
          <reference field="14" count="1">
            <x v="26"/>
          </reference>
        </references>
      </pivotArea>
    </format>
    <format dxfId="2487">
      <pivotArea dataOnly="0" labelOnly="1" outline="0" fieldPosition="0">
        <references count="2">
          <reference field="11" count="1" selected="0">
            <x v="197"/>
          </reference>
          <reference field="14" count="1" defaultSubtotal="1">
            <x v="26"/>
          </reference>
        </references>
      </pivotArea>
    </format>
    <format dxfId="2486">
      <pivotArea dataOnly="0" labelOnly="1" outline="0" fieldPosition="0">
        <references count="2">
          <reference field="11" count="1" selected="0">
            <x v="198"/>
          </reference>
          <reference field="14" count="1">
            <x v="43"/>
          </reference>
        </references>
      </pivotArea>
    </format>
    <format dxfId="2485">
      <pivotArea dataOnly="0" labelOnly="1" outline="0" fieldPosition="0">
        <references count="2">
          <reference field="11" count="1" selected="0">
            <x v="198"/>
          </reference>
          <reference field="14" count="1" defaultSubtotal="1">
            <x v="43"/>
          </reference>
        </references>
      </pivotArea>
    </format>
    <format dxfId="2484">
      <pivotArea dataOnly="0" labelOnly="1" outline="0" fieldPosition="0">
        <references count="2">
          <reference field="11" count="1" selected="0">
            <x v="199"/>
          </reference>
          <reference field="14" count="1">
            <x v="113"/>
          </reference>
        </references>
      </pivotArea>
    </format>
    <format dxfId="2483">
      <pivotArea dataOnly="0" labelOnly="1" outline="0" fieldPosition="0">
        <references count="2">
          <reference field="11" count="1" selected="0">
            <x v="199"/>
          </reference>
          <reference field="14" count="1" defaultSubtotal="1">
            <x v="113"/>
          </reference>
        </references>
      </pivotArea>
    </format>
    <format dxfId="2482">
      <pivotArea dataOnly="0" labelOnly="1" outline="0" fieldPosition="0">
        <references count="2">
          <reference field="11" count="1" selected="0">
            <x v="200"/>
          </reference>
          <reference field="14" count="1">
            <x v="280"/>
          </reference>
        </references>
      </pivotArea>
    </format>
    <format dxfId="2481">
      <pivotArea dataOnly="0" labelOnly="1" outline="0" fieldPosition="0">
        <references count="2">
          <reference field="11" count="1" selected="0">
            <x v="200"/>
          </reference>
          <reference field="14" count="1" defaultSubtotal="1">
            <x v="280"/>
          </reference>
        </references>
      </pivotArea>
    </format>
    <format dxfId="2480">
      <pivotArea dataOnly="0" labelOnly="1" outline="0" fieldPosition="0">
        <references count="2">
          <reference field="11" count="1" selected="0">
            <x v="201"/>
          </reference>
          <reference field="14" count="1">
            <x v="305"/>
          </reference>
        </references>
      </pivotArea>
    </format>
    <format dxfId="2479">
      <pivotArea dataOnly="0" labelOnly="1" outline="0" fieldPosition="0">
        <references count="2">
          <reference field="11" count="1" selected="0">
            <x v="201"/>
          </reference>
          <reference field="14" count="1" defaultSubtotal="1">
            <x v="305"/>
          </reference>
        </references>
      </pivotArea>
    </format>
    <format dxfId="2478">
      <pivotArea dataOnly="0" labelOnly="1" outline="0" fieldPosition="0">
        <references count="2">
          <reference field="11" count="1" selected="0">
            <x v="202"/>
          </reference>
          <reference field="14" count="1">
            <x v="409"/>
          </reference>
        </references>
      </pivotArea>
    </format>
    <format dxfId="2477">
      <pivotArea dataOnly="0" labelOnly="1" outline="0" fieldPosition="0">
        <references count="2">
          <reference field="11" count="1" selected="0">
            <x v="202"/>
          </reference>
          <reference field="14" count="1" defaultSubtotal="1">
            <x v="409"/>
          </reference>
        </references>
      </pivotArea>
    </format>
    <format dxfId="2476">
      <pivotArea dataOnly="0" labelOnly="1" outline="0" fieldPosition="0">
        <references count="2">
          <reference field="11" count="1" selected="0">
            <x v="203"/>
          </reference>
          <reference field="14" count="1">
            <x v="28"/>
          </reference>
        </references>
      </pivotArea>
    </format>
    <format dxfId="2475">
      <pivotArea dataOnly="0" labelOnly="1" outline="0" fieldPosition="0">
        <references count="2">
          <reference field="11" count="1" selected="0">
            <x v="203"/>
          </reference>
          <reference field="14" count="1" defaultSubtotal="1">
            <x v="28"/>
          </reference>
        </references>
      </pivotArea>
    </format>
    <format dxfId="2474">
      <pivotArea dataOnly="0" labelOnly="1" outline="0" fieldPosition="0">
        <references count="2">
          <reference field="11" count="1" selected="0">
            <x v="204"/>
          </reference>
          <reference field="14" count="1">
            <x v="269"/>
          </reference>
        </references>
      </pivotArea>
    </format>
    <format dxfId="2473">
      <pivotArea dataOnly="0" labelOnly="1" outline="0" fieldPosition="0">
        <references count="2">
          <reference field="11" count="1" selected="0">
            <x v="204"/>
          </reference>
          <reference field="14" count="1" defaultSubtotal="1">
            <x v="269"/>
          </reference>
        </references>
      </pivotArea>
    </format>
    <format dxfId="2472">
      <pivotArea dataOnly="0" labelOnly="1" outline="0" fieldPosition="0">
        <references count="2">
          <reference field="11" count="1" selected="0">
            <x v="205"/>
          </reference>
          <reference field="14" count="1">
            <x v="185"/>
          </reference>
        </references>
      </pivotArea>
    </format>
    <format dxfId="2471">
      <pivotArea dataOnly="0" labelOnly="1" outline="0" fieldPosition="0">
        <references count="2">
          <reference field="11" count="1" selected="0">
            <x v="205"/>
          </reference>
          <reference field="14" count="1" defaultSubtotal="1">
            <x v="185"/>
          </reference>
        </references>
      </pivotArea>
    </format>
    <format dxfId="2470">
      <pivotArea dataOnly="0" labelOnly="1" outline="0" fieldPosition="0">
        <references count="2">
          <reference field="11" count="1" selected="0">
            <x v="206"/>
          </reference>
          <reference field="14" count="1">
            <x v="54"/>
          </reference>
        </references>
      </pivotArea>
    </format>
    <format dxfId="2469">
      <pivotArea dataOnly="0" labelOnly="1" outline="0" fieldPosition="0">
        <references count="2">
          <reference field="11" count="1" selected="0">
            <x v="206"/>
          </reference>
          <reference field="14" count="1" defaultSubtotal="1">
            <x v="54"/>
          </reference>
        </references>
      </pivotArea>
    </format>
    <format dxfId="2468">
      <pivotArea dataOnly="0" labelOnly="1" outline="0" fieldPosition="0">
        <references count="2">
          <reference field="11" count="1" selected="0">
            <x v="207"/>
          </reference>
          <reference field="14" count="1">
            <x v="356"/>
          </reference>
        </references>
      </pivotArea>
    </format>
    <format dxfId="2467">
      <pivotArea dataOnly="0" labelOnly="1" outline="0" fieldPosition="0">
        <references count="2">
          <reference field="11" count="1" selected="0">
            <x v="207"/>
          </reference>
          <reference field="14" count="1" defaultSubtotal="1">
            <x v="356"/>
          </reference>
        </references>
      </pivotArea>
    </format>
    <format dxfId="2466">
      <pivotArea dataOnly="0" labelOnly="1" outline="0" fieldPosition="0">
        <references count="2">
          <reference field="11" count="1" selected="0">
            <x v="208"/>
          </reference>
          <reference field="14" count="1">
            <x v="186"/>
          </reference>
        </references>
      </pivotArea>
    </format>
    <format dxfId="2465">
      <pivotArea dataOnly="0" labelOnly="1" outline="0" fieldPosition="0">
        <references count="2">
          <reference field="11" count="1" selected="0">
            <x v="208"/>
          </reference>
          <reference field="14" count="1" defaultSubtotal="1">
            <x v="186"/>
          </reference>
        </references>
      </pivotArea>
    </format>
    <format dxfId="2464">
      <pivotArea dataOnly="0" labelOnly="1" outline="0" fieldPosition="0">
        <references count="2">
          <reference field="11" count="1" selected="0">
            <x v="209"/>
          </reference>
          <reference field="14" count="1">
            <x v="37"/>
          </reference>
        </references>
      </pivotArea>
    </format>
    <format dxfId="2463">
      <pivotArea dataOnly="0" labelOnly="1" outline="0" fieldPosition="0">
        <references count="2">
          <reference field="11" count="1" selected="0">
            <x v="209"/>
          </reference>
          <reference field="14" count="1" defaultSubtotal="1">
            <x v="37"/>
          </reference>
        </references>
      </pivotArea>
    </format>
    <format dxfId="2462">
      <pivotArea dataOnly="0" labelOnly="1" outline="0" fieldPosition="0">
        <references count="2">
          <reference field="11" count="1" selected="0">
            <x v="210"/>
          </reference>
          <reference field="14" count="1">
            <x v="273"/>
          </reference>
        </references>
      </pivotArea>
    </format>
    <format dxfId="2461">
      <pivotArea dataOnly="0" labelOnly="1" outline="0" fieldPosition="0">
        <references count="2">
          <reference field="11" count="1" selected="0">
            <x v="210"/>
          </reference>
          <reference field="14" count="1" defaultSubtotal="1">
            <x v="273"/>
          </reference>
        </references>
      </pivotArea>
    </format>
    <format dxfId="2460">
      <pivotArea dataOnly="0" labelOnly="1" outline="0" fieldPosition="0">
        <references count="2">
          <reference field="11" count="1" selected="0">
            <x v="211"/>
          </reference>
          <reference field="14" count="1">
            <x v="142"/>
          </reference>
        </references>
      </pivotArea>
    </format>
    <format dxfId="2459">
      <pivotArea dataOnly="0" labelOnly="1" outline="0" fieldPosition="0">
        <references count="2">
          <reference field="11" count="1" selected="0">
            <x v="211"/>
          </reference>
          <reference field="14" count="1" defaultSubtotal="1">
            <x v="142"/>
          </reference>
        </references>
      </pivotArea>
    </format>
    <format dxfId="2458">
      <pivotArea dataOnly="0" labelOnly="1" outline="0" fieldPosition="0">
        <references count="2">
          <reference field="11" count="1" selected="0">
            <x v="212"/>
          </reference>
          <reference field="14" count="1">
            <x v="294"/>
          </reference>
        </references>
      </pivotArea>
    </format>
    <format dxfId="2457">
      <pivotArea dataOnly="0" labelOnly="1" outline="0" fieldPosition="0">
        <references count="2">
          <reference field="11" count="1" selected="0">
            <x v="212"/>
          </reference>
          <reference field="14" count="1" defaultSubtotal="1">
            <x v="294"/>
          </reference>
        </references>
      </pivotArea>
    </format>
    <format dxfId="2456">
      <pivotArea dataOnly="0" labelOnly="1" outline="0" fieldPosition="0">
        <references count="2">
          <reference field="11" count="1" selected="0">
            <x v="213"/>
          </reference>
          <reference field="14" count="1">
            <x v="5"/>
          </reference>
        </references>
      </pivotArea>
    </format>
    <format dxfId="2455">
      <pivotArea dataOnly="0" labelOnly="1" outline="0" fieldPosition="0">
        <references count="2">
          <reference field="11" count="1" selected="0">
            <x v="213"/>
          </reference>
          <reference field="14" count="1" defaultSubtotal="1">
            <x v="5"/>
          </reference>
        </references>
      </pivotArea>
    </format>
    <format dxfId="2454">
      <pivotArea dataOnly="0" labelOnly="1" outline="0" fieldPosition="0">
        <references count="2">
          <reference field="11" count="1" selected="0">
            <x v="214"/>
          </reference>
          <reference field="14" count="1">
            <x v="98"/>
          </reference>
        </references>
      </pivotArea>
    </format>
    <format dxfId="2453">
      <pivotArea dataOnly="0" labelOnly="1" outline="0" fieldPosition="0">
        <references count="2">
          <reference field="11" count="1" selected="0">
            <x v="214"/>
          </reference>
          <reference field="14" count="1" defaultSubtotal="1">
            <x v="98"/>
          </reference>
        </references>
      </pivotArea>
    </format>
    <format dxfId="2452">
      <pivotArea dataOnly="0" labelOnly="1" outline="0" fieldPosition="0">
        <references count="2">
          <reference field="11" count="1" selected="0">
            <x v="215"/>
          </reference>
          <reference field="14" count="1">
            <x v="158"/>
          </reference>
        </references>
      </pivotArea>
    </format>
    <format dxfId="2451">
      <pivotArea dataOnly="0" labelOnly="1" outline="0" fieldPosition="0">
        <references count="2">
          <reference field="11" count="1" selected="0">
            <x v="215"/>
          </reference>
          <reference field="14" count="1" defaultSubtotal="1">
            <x v="158"/>
          </reference>
        </references>
      </pivotArea>
    </format>
    <format dxfId="2450">
      <pivotArea dataOnly="0" labelOnly="1" outline="0" fieldPosition="0">
        <references count="2">
          <reference field="11" count="1" selected="0">
            <x v="216"/>
          </reference>
          <reference field="14" count="1">
            <x v="338"/>
          </reference>
        </references>
      </pivotArea>
    </format>
    <format dxfId="2449">
      <pivotArea dataOnly="0" labelOnly="1" outline="0" fieldPosition="0">
        <references count="2">
          <reference field="11" count="1" selected="0">
            <x v="216"/>
          </reference>
          <reference field="14" count="1" defaultSubtotal="1">
            <x v="338"/>
          </reference>
        </references>
      </pivotArea>
    </format>
    <format dxfId="2448">
      <pivotArea dataOnly="0" labelOnly="1" outline="0" fieldPosition="0">
        <references count="2">
          <reference field="11" count="1" selected="0">
            <x v="217"/>
          </reference>
          <reference field="14" count="1">
            <x v="438"/>
          </reference>
        </references>
      </pivotArea>
    </format>
    <format dxfId="2447">
      <pivotArea dataOnly="0" labelOnly="1" outline="0" fieldPosition="0">
        <references count="2">
          <reference field="11" count="1" selected="0">
            <x v="217"/>
          </reference>
          <reference field="14" count="1" defaultSubtotal="1">
            <x v="438"/>
          </reference>
        </references>
      </pivotArea>
    </format>
    <format dxfId="2446">
      <pivotArea dataOnly="0" labelOnly="1" outline="0" fieldPosition="0">
        <references count="2">
          <reference field="11" count="1" selected="0">
            <x v="218"/>
          </reference>
          <reference field="14" count="1">
            <x v="429"/>
          </reference>
        </references>
      </pivotArea>
    </format>
    <format dxfId="2445">
      <pivotArea dataOnly="0" labelOnly="1" outline="0" fieldPosition="0">
        <references count="2">
          <reference field="11" count="1" selected="0">
            <x v="218"/>
          </reference>
          <reference field="14" count="1" defaultSubtotal="1">
            <x v="429"/>
          </reference>
        </references>
      </pivotArea>
    </format>
    <format dxfId="2444">
      <pivotArea dataOnly="0" labelOnly="1" outline="0" fieldPosition="0">
        <references count="2">
          <reference field="11" count="1" selected="0">
            <x v="219"/>
          </reference>
          <reference field="14" count="1">
            <x v="431"/>
          </reference>
        </references>
      </pivotArea>
    </format>
    <format dxfId="2443">
      <pivotArea dataOnly="0" labelOnly="1" outline="0" fieldPosition="0">
        <references count="2">
          <reference field="11" count="1" selected="0">
            <x v="219"/>
          </reference>
          <reference field="14" count="1" defaultSubtotal="1">
            <x v="431"/>
          </reference>
        </references>
      </pivotArea>
    </format>
    <format dxfId="2442">
      <pivotArea dataOnly="0" labelOnly="1" outline="0" fieldPosition="0">
        <references count="2">
          <reference field="11" count="1" selected="0">
            <x v="220"/>
          </reference>
          <reference field="14" count="1">
            <x v="430"/>
          </reference>
        </references>
      </pivotArea>
    </format>
    <format dxfId="2441">
      <pivotArea dataOnly="0" labelOnly="1" outline="0" fieldPosition="0">
        <references count="2">
          <reference field="11" count="1" selected="0">
            <x v="220"/>
          </reference>
          <reference field="14" count="1" defaultSubtotal="1">
            <x v="430"/>
          </reference>
        </references>
      </pivotArea>
    </format>
    <format dxfId="2440">
      <pivotArea dataOnly="0" labelOnly="1" outline="0" fieldPosition="0">
        <references count="2">
          <reference field="11" count="1" selected="0">
            <x v="221"/>
          </reference>
          <reference field="14" count="1">
            <x v="427"/>
          </reference>
        </references>
      </pivotArea>
    </format>
    <format dxfId="2439">
      <pivotArea dataOnly="0" labelOnly="1" outline="0" fieldPosition="0">
        <references count="2">
          <reference field="11" count="1" selected="0">
            <x v="221"/>
          </reference>
          <reference field="14" count="1" defaultSubtotal="1">
            <x v="427"/>
          </reference>
        </references>
      </pivotArea>
    </format>
    <format dxfId="2438">
      <pivotArea dataOnly="0" labelOnly="1" outline="0" fieldPosition="0">
        <references count="2">
          <reference field="11" count="1" selected="0">
            <x v="222"/>
          </reference>
          <reference field="14" count="1">
            <x v="426"/>
          </reference>
        </references>
      </pivotArea>
    </format>
    <format dxfId="2437">
      <pivotArea dataOnly="0" labelOnly="1" outline="0" fieldPosition="0">
        <references count="2">
          <reference field="11" count="1" selected="0">
            <x v="222"/>
          </reference>
          <reference field="14" count="1" defaultSubtotal="1">
            <x v="426"/>
          </reference>
        </references>
      </pivotArea>
    </format>
    <format dxfId="2436">
      <pivotArea dataOnly="0" labelOnly="1" outline="0" fieldPosition="0">
        <references count="2">
          <reference field="11" count="1" selected="0">
            <x v="223"/>
          </reference>
          <reference field="14" count="1">
            <x v="416"/>
          </reference>
        </references>
      </pivotArea>
    </format>
    <format dxfId="2435">
      <pivotArea dataOnly="0" labelOnly="1" outline="0" fieldPosition="0">
        <references count="2">
          <reference field="11" count="1" selected="0">
            <x v="223"/>
          </reference>
          <reference field="14" count="1" defaultSubtotal="1">
            <x v="416"/>
          </reference>
        </references>
      </pivotArea>
    </format>
    <format dxfId="2434">
      <pivotArea dataOnly="0" labelOnly="1" outline="0" fieldPosition="0">
        <references count="2">
          <reference field="11" count="1" selected="0">
            <x v="224"/>
          </reference>
          <reference field="14" count="1">
            <x v="300"/>
          </reference>
        </references>
      </pivotArea>
    </format>
    <format dxfId="2433">
      <pivotArea dataOnly="0" labelOnly="1" outline="0" fieldPosition="0">
        <references count="2">
          <reference field="11" count="1" selected="0">
            <x v="224"/>
          </reference>
          <reference field="14" count="1" defaultSubtotal="1">
            <x v="300"/>
          </reference>
        </references>
      </pivotArea>
    </format>
    <format dxfId="2432">
      <pivotArea dataOnly="0" labelOnly="1" outline="0" fieldPosition="0">
        <references count="2">
          <reference field="11" count="1" selected="0">
            <x v="225"/>
          </reference>
          <reference field="14" count="1">
            <x v="97"/>
          </reference>
        </references>
      </pivotArea>
    </format>
    <format dxfId="2431">
      <pivotArea dataOnly="0" labelOnly="1" outline="0" fieldPosition="0">
        <references count="2">
          <reference field="11" count="1" selected="0">
            <x v="225"/>
          </reference>
          <reference field="14" count="1" defaultSubtotal="1">
            <x v="97"/>
          </reference>
        </references>
      </pivotArea>
    </format>
    <format dxfId="2430">
      <pivotArea dataOnly="0" labelOnly="1" outline="0" fieldPosition="0">
        <references count="2">
          <reference field="11" count="1" selected="0">
            <x v="226"/>
          </reference>
          <reference field="14" count="1">
            <x v="72"/>
          </reference>
        </references>
      </pivotArea>
    </format>
    <format dxfId="2429">
      <pivotArea dataOnly="0" labelOnly="1" outline="0" fieldPosition="0">
        <references count="2">
          <reference field="11" count="1" selected="0">
            <x v="226"/>
          </reference>
          <reference field="14" count="1" defaultSubtotal="1">
            <x v="72"/>
          </reference>
        </references>
      </pivotArea>
    </format>
    <format dxfId="2428">
      <pivotArea dataOnly="0" labelOnly="1" outline="0" fieldPosition="0">
        <references count="2">
          <reference field="11" count="1" selected="0">
            <x v="227"/>
          </reference>
          <reference field="14" count="1">
            <x v="420"/>
          </reference>
        </references>
      </pivotArea>
    </format>
    <format dxfId="2427">
      <pivotArea dataOnly="0" labelOnly="1" outline="0" fieldPosition="0">
        <references count="2">
          <reference field="11" count="1" selected="0">
            <x v="227"/>
          </reference>
          <reference field="14" count="1" defaultSubtotal="1">
            <x v="420"/>
          </reference>
        </references>
      </pivotArea>
    </format>
    <format dxfId="2426">
      <pivotArea dataOnly="0" labelOnly="1" outline="0" fieldPosition="0">
        <references count="2">
          <reference field="11" count="1" selected="0">
            <x v="228"/>
          </reference>
          <reference field="14" count="1">
            <x v="313"/>
          </reference>
        </references>
      </pivotArea>
    </format>
    <format dxfId="2425">
      <pivotArea dataOnly="0" labelOnly="1" outline="0" fieldPosition="0">
        <references count="2">
          <reference field="11" count="1" selected="0">
            <x v="228"/>
          </reference>
          <reference field="14" count="1" defaultSubtotal="1">
            <x v="313"/>
          </reference>
        </references>
      </pivotArea>
    </format>
    <format dxfId="2424">
      <pivotArea dataOnly="0" labelOnly="1" outline="0" fieldPosition="0">
        <references count="2">
          <reference field="11" count="1" selected="0">
            <x v="229"/>
          </reference>
          <reference field="14" count="1">
            <x v="307"/>
          </reference>
        </references>
      </pivotArea>
    </format>
    <format dxfId="2423">
      <pivotArea dataOnly="0" labelOnly="1" outline="0" fieldPosition="0">
        <references count="2">
          <reference field="11" count="1" selected="0">
            <x v="229"/>
          </reference>
          <reference field="14" count="1" defaultSubtotal="1">
            <x v="307"/>
          </reference>
        </references>
      </pivotArea>
    </format>
    <format dxfId="2422">
      <pivotArea dataOnly="0" labelOnly="1" outline="0" fieldPosition="0">
        <references count="2">
          <reference field="11" count="1" selected="0">
            <x v="230"/>
          </reference>
          <reference field="14" count="1">
            <x v="13"/>
          </reference>
        </references>
      </pivotArea>
    </format>
    <format dxfId="2421">
      <pivotArea dataOnly="0" labelOnly="1" outline="0" fieldPosition="0">
        <references count="2">
          <reference field="11" count="1" selected="0">
            <x v="230"/>
          </reference>
          <reference field="14" count="1" defaultSubtotal="1">
            <x v="13"/>
          </reference>
        </references>
      </pivotArea>
    </format>
    <format dxfId="2420">
      <pivotArea dataOnly="0" labelOnly="1" outline="0" fieldPosition="0">
        <references count="2">
          <reference field="11" count="1" selected="0">
            <x v="231"/>
          </reference>
          <reference field="14" count="1">
            <x v="96"/>
          </reference>
        </references>
      </pivotArea>
    </format>
    <format dxfId="2419">
      <pivotArea dataOnly="0" labelOnly="1" outline="0" fieldPosition="0">
        <references count="2">
          <reference field="11" count="1" selected="0">
            <x v="231"/>
          </reference>
          <reference field="14" count="1" defaultSubtotal="1">
            <x v="96"/>
          </reference>
        </references>
      </pivotArea>
    </format>
    <format dxfId="2418">
      <pivotArea dataOnly="0" labelOnly="1" outline="0" fieldPosition="0">
        <references count="2">
          <reference field="11" count="1" selected="0">
            <x v="232"/>
          </reference>
          <reference field="14" count="1">
            <x v="411"/>
          </reference>
        </references>
      </pivotArea>
    </format>
    <format dxfId="2417">
      <pivotArea dataOnly="0" labelOnly="1" outline="0" fieldPosition="0">
        <references count="2">
          <reference field="11" count="1" selected="0">
            <x v="232"/>
          </reference>
          <reference field="14" count="1" defaultSubtotal="1">
            <x v="411"/>
          </reference>
        </references>
      </pivotArea>
    </format>
    <format dxfId="2416">
      <pivotArea dataOnly="0" labelOnly="1" outline="0" fieldPosition="0">
        <references count="2">
          <reference field="11" count="1" selected="0">
            <x v="233"/>
          </reference>
          <reference field="14" count="1">
            <x v="449"/>
          </reference>
        </references>
      </pivotArea>
    </format>
    <format dxfId="2415">
      <pivotArea dataOnly="0" labelOnly="1" outline="0" fieldPosition="0">
        <references count="2">
          <reference field="11" count="1" selected="0">
            <x v="233"/>
          </reference>
          <reference field="14" count="1" defaultSubtotal="1">
            <x v="449"/>
          </reference>
        </references>
      </pivotArea>
    </format>
    <format dxfId="2414">
      <pivotArea dataOnly="0" labelOnly="1" outline="0" fieldPosition="0">
        <references count="2">
          <reference field="11" count="1" selected="0">
            <x v="234"/>
          </reference>
          <reference field="14" count="1">
            <x v="277"/>
          </reference>
        </references>
      </pivotArea>
    </format>
    <format dxfId="2413">
      <pivotArea dataOnly="0" labelOnly="1" outline="0" fieldPosition="0">
        <references count="2">
          <reference field="11" count="1" selected="0">
            <x v="234"/>
          </reference>
          <reference field="14" count="1" defaultSubtotal="1">
            <x v="277"/>
          </reference>
        </references>
      </pivotArea>
    </format>
    <format dxfId="2412">
      <pivotArea dataOnly="0" labelOnly="1" outline="0" fieldPosition="0">
        <references count="2">
          <reference field="11" count="1" selected="0">
            <x v="235"/>
          </reference>
          <reference field="14" count="1">
            <x v="272"/>
          </reference>
        </references>
      </pivotArea>
    </format>
    <format dxfId="2411">
      <pivotArea dataOnly="0" labelOnly="1" outline="0" fieldPosition="0">
        <references count="2">
          <reference field="11" count="1" selected="0">
            <x v="235"/>
          </reference>
          <reference field="14" count="1" defaultSubtotal="1">
            <x v="272"/>
          </reference>
        </references>
      </pivotArea>
    </format>
    <format dxfId="2410">
      <pivotArea dataOnly="0" labelOnly="1" outline="0" fieldPosition="0">
        <references count="2">
          <reference field="11" count="1" selected="0">
            <x v="236"/>
          </reference>
          <reference field="14" count="1">
            <x v="403"/>
          </reference>
        </references>
      </pivotArea>
    </format>
    <format dxfId="2409">
      <pivotArea dataOnly="0" labelOnly="1" outline="0" fieldPosition="0">
        <references count="2">
          <reference field="11" count="1" selected="0">
            <x v="236"/>
          </reference>
          <reference field="14" count="1" defaultSubtotal="1">
            <x v="403"/>
          </reference>
        </references>
      </pivotArea>
    </format>
    <format dxfId="2408">
      <pivotArea dataOnly="0" labelOnly="1" outline="0" fieldPosition="0">
        <references count="2">
          <reference field="11" count="1" selected="0">
            <x v="237"/>
          </reference>
          <reference field="14" count="1">
            <x v="377"/>
          </reference>
        </references>
      </pivotArea>
    </format>
    <format dxfId="2407">
      <pivotArea dataOnly="0" labelOnly="1" outline="0" fieldPosition="0">
        <references count="2">
          <reference field="11" count="1" selected="0">
            <x v="237"/>
          </reference>
          <reference field="14" count="1" defaultSubtotal="1">
            <x v="377"/>
          </reference>
        </references>
      </pivotArea>
    </format>
    <format dxfId="2406">
      <pivotArea dataOnly="0" labelOnly="1" outline="0" fieldPosition="0">
        <references count="2">
          <reference field="11" count="1" selected="0">
            <x v="238"/>
          </reference>
          <reference field="14" count="1">
            <x v="339"/>
          </reference>
        </references>
      </pivotArea>
    </format>
    <format dxfId="2405">
      <pivotArea dataOnly="0" labelOnly="1" outline="0" fieldPosition="0">
        <references count="2">
          <reference field="11" count="1" selected="0">
            <x v="238"/>
          </reference>
          <reference field="14" count="1" defaultSubtotal="1">
            <x v="339"/>
          </reference>
        </references>
      </pivotArea>
    </format>
    <format dxfId="2404">
      <pivotArea dataOnly="0" labelOnly="1" outline="0" fieldPosition="0">
        <references count="2">
          <reference field="11" count="1" selected="0">
            <x v="239"/>
          </reference>
          <reference field="14" count="1">
            <x v="61"/>
          </reference>
        </references>
      </pivotArea>
    </format>
    <format dxfId="2403">
      <pivotArea dataOnly="0" labelOnly="1" outline="0" fieldPosition="0">
        <references count="2">
          <reference field="11" count="1" selected="0">
            <x v="239"/>
          </reference>
          <reference field="14" count="1" defaultSubtotal="1">
            <x v="61"/>
          </reference>
        </references>
      </pivotArea>
    </format>
    <format dxfId="2402">
      <pivotArea dataOnly="0" labelOnly="1" outline="0" fieldPosition="0">
        <references count="2">
          <reference field="11" count="1" selected="0">
            <x v="240"/>
          </reference>
          <reference field="14" count="1">
            <x v="201"/>
          </reference>
        </references>
      </pivotArea>
    </format>
    <format dxfId="2401">
      <pivotArea dataOnly="0" labelOnly="1" outline="0" fieldPosition="0">
        <references count="2">
          <reference field="11" count="1" selected="0">
            <x v="240"/>
          </reference>
          <reference field="14" count="1" defaultSubtotal="1">
            <x v="201"/>
          </reference>
        </references>
      </pivotArea>
    </format>
    <format dxfId="2400">
      <pivotArea dataOnly="0" labelOnly="1" outline="0" fieldPosition="0">
        <references count="2">
          <reference field="11" count="1" selected="0">
            <x v="241"/>
          </reference>
          <reference field="14" count="1">
            <x v="262"/>
          </reference>
        </references>
      </pivotArea>
    </format>
    <format dxfId="2399">
      <pivotArea dataOnly="0" labelOnly="1" outline="0" fieldPosition="0">
        <references count="2">
          <reference field="11" count="1" selected="0">
            <x v="241"/>
          </reference>
          <reference field="14" count="1" defaultSubtotal="1">
            <x v="262"/>
          </reference>
        </references>
      </pivotArea>
    </format>
    <format dxfId="2398">
      <pivotArea dataOnly="0" labelOnly="1" outline="0" fieldPosition="0">
        <references count="2">
          <reference field="11" count="1" selected="0">
            <x v="242"/>
          </reference>
          <reference field="14" count="1">
            <x v="91"/>
          </reference>
        </references>
      </pivotArea>
    </format>
    <format dxfId="2397">
      <pivotArea dataOnly="0" labelOnly="1" outline="0" fieldPosition="0">
        <references count="2">
          <reference field="11" count="1" selected="0">
            <x v="242"/>
          </reference>
          <reference field="14" count="1" defaultSubtotal="1">
            <x v="91"/>
          </reference>
        </references>
      </pivotArea>
    </format>
    <format dxfId="2396">
      <pivotArea dataOnly="0" labelOnly="1" outline="0" fieldPosition="0">
        <references count="2">
          <reference field="11" count="1" selected="0">
            <x v="243"/>
          </reference>
          <reference field="14" count="1">
            <x v="264"/>
          </reference>
        </references>
      </pivotArea>
    </format>
    <format dxfId="2395">
      <pivotArea dataOnly="0" labelOnly="1" outline="0" fieldPosition="0">
        <references count="2">
          <reference field="11" count="1" selected="0">
            <x v="243"/>
          </reference>
          <reference field="14" count="1" defaultSubtotal="1">
            <x v="264"/>
          </reference>
        </references>
      </pivotArea>
    </format>
    <format dxfId="2394">
      <pivotArea dataOnly="0" labelOnly="1" outline="0" fieldPosition="0">
        <references count="2">
          <reference field="11" count="1" selected="0">
            <x v="244"/>
          </reference>
          <reference field="14" count="1">
            <x v="222"/>
          </reference>
        </references>
      </pivotArea>
    </format>
    <format dxfId="2393">
      <pivotArea dataOnly="0" labelOnly="1" outline="0" fieldPosition="0">
        <references count="2">
          <reference field="11" count="1" selected="0">
            <x v="244"/>
          </reference>
          <reference field="14" count="1" defaultSubtotal="1">
            <x v="222"/>
          </reference>
        </references>
      </pivotArea>
    </format>
    <format dxfId="2392">
      <pivotArea dataOnly="0" labelOnly="1" outline="0" fieldPosition="0">
        <references count="2">
          <reference field="11" count="1" selected="0">
            <x v="245"/>
          </reference>
          <reference field="14" count="1">
            <x v="131"/>
          </reference>
        </references>
      </pivotArea>
    </format>
    <format dxfId="2391">
      <pivotArea dataOnly="0" labelOnly="1" outline="0" fieldPosition="0">
        <references count="2">
          <reference field="11" count="1" selected="0">
            <x v="245"/>
          </reference>
          <reference field="14" count="1" defaultSubtotal="1">
            <x v="131"/>
          </reference>
        </references>
      </pivotArea>
    </format>
    <format dxfId="2390">
      <pivotArea dataOnly="0" labelOnly="1" outline="0" fieldPosition="0">
        <references count="2">
          <reference field="11" count="1" selected="0">
            <x v="246"/>
          </reference>
          <reference field="14" count="1">
            <x v="418"/>
          </reference>
        </references>
      </pivotArea>
    </format>
    <format dxfId="2389">
      <pivotArea dataOnly="0" labelOnly="1" outline="0" fieldPosition="0">
        <references count="2">
          <reference field="11" count="1" selected="0">
            <x v="246"/>
          </reference>
          <reference field="14" count="1" defaultSubtotal="1">
            <x v="418"/>
          </reference>
        </references>
      </pivotArea>
    </format>
    <format dxfId="2388">
      <pivotArea dataOnly="0" labelOnly="1" outline="0" fieldPosition="0">
        <references count="2">
          <reference field="11" count="1" selected="0">
            <x v="247"/>
          </reference>
          <reference field="14" count="1">
            <x v="406"/>
          </reference>
        </references>
      </pivotArea>
    </format>
    <format dxfId="2387">
      <pivotArea dataOnly="0" labelOnly="1" outline="0" fieldPosition="0">
        <references count="2">
          <reference field="11" count="1" selected="0">
            <x v="247"/>
          </reference>
          <reference field="14" count="1" defaultSubtotal="1">
            <x v="406"/>
          </reference>
        </references>
      </pivotArea>
    </format>
    <format dxfId="2386">
      <pivotArea dataOnly="0" labelOnly="1" outline="0" fieldPosition="0">
        <references count="2">
          <reference field="11" count="1" selected="0">
            <x v="248"/>
          </reference>
          <reference field="14" count="1">
            <x v="404"/>
          </reference>
        </references>
      </pivotArea>
    </format>
    <format dxfId="2385">
      <pivotArea dataOnly="0" labelOnly="1" outline="0" fieldPosition="0">
        <references count="2">
          <reference field="11" count="1" selected="0">
            <x v="248"/>
          </reference>
          <reference field="14" count="1" defaultSubtotal="1">
            <x v="404"/>
          </reference>
        </references>
      </pivotArea>
    </format>
    <format dxfId="2384">
      <pivotArea dataOnly="0" labelOnly="1" outline="0" fieldPosition="0">
        <references count="2">
          <reference field="11" count="1" selected="0">
            <x v="249"/>
          </reference>
          <reference field="14" count="1">
            <x v="402"/>
          </reference>
        </references>
      </pivotArea>
    </format>
    <format dxfId="2383">
      <pivotArea dataOnly="0" labelOnly="1" outline="0" fieldPosition="0">
        <references count="2">
          <reference field="11" count="1" selected="0">
            <x v="249"/>
          </reference>
          <reference field="14" count="1" defaultSubtotal="1">
            <x v="402"/>
          </reference>
        </references>
      </pivotArea>
    </format>
    <format dxfId="2382">
      <pivotArea dataOnly="0" labelOnly="1" outline="0" fieldPosition="0">
        <references count="2">
          <reference field="11" count="1" selected="0">
            <x v="250"/>
          </reference>
          <reference field="14" count="1">
            <x v="128"/>
          </reference>
        </references>
      </pivotArea>
    </format>
    <format dxfId="2381">
      <pivotArea dataOnly="0" labelOnly="1" outline="0" fieldPosition="0">
        <references count="2">
          <reference field="11" count="1" selected="0">
            <x v="250"/>
          </reference>
          <reference field="14" count="1" defaultSubtotal="1">
            <x v="128"/>
          </reference>
        </references>
      </pivotArea>
    </format>
    <format dxfId="2380">
      <pivotArea dataOnly="0" labelOnly="1" outline="0" fieldPosition="0">
        <references count="2">
          <reference field="11" count="1" selected="0">
            <x v="251"/>
          </reference>
          <reference field="14" count="1">
            <x v="405"/>
          </reference>
        </references>
      </pivotArea>
    </format>
    <format dxfId="2379">
      <pivotArea dataOnly="0" labelOnly="1" outline="0" fieldPosition="0">
        <references count="2">
          <reference field="11" count="1" selected="0">
            <x v="251"/>
          </reference>
          <reference field="14" count="1" defaultSubtotal="1">
            <x v="405"/>
          </reference>
        </references>
      </pivotArea>
    </format>
    <format dxfId="2378">
      <pivotArea dataOnly="0" labelOnly="1" outline="0" fieldPosition="0">
        <references count="2">
          <reference field="11" count="1" selected="0">
            <x v="252"/>
          </reference>
          <reference field="14" count="1">
            <x v="86"/>
          </reference>
        </references>
      </pivotArea>
    </format>
    <format dxfId="2377">
      <pivotArea dataOnly="0" labelOnly="1" outline="0" fieldPosition="0">
        <references count="2">
          <reference field="11" count="1" selected="0">
            <x v="252"/>
          </reference>
          <reference field="14" count="1" defaultSubtotal="1">
            <x v="86"/>
          </reference>
        </references>
      </pivotArea>
    </format>
    <format dxfId="2376">
      <pivotArea dataOnly="0" labelOnly="1" outline="0" fieldPosition="0">
        <references count="2">
          <reference field="11" count="1" selected="0">
            <x v="253"/>
          </reference>
          <reference field="14" count="1">
            <x v="136"/>
          </reference>
        </references>
      </pivotArea>
    </format>
    <format dxfId="2375">
      <pivotArea dataOnly="0" labelOnly="1" outline="0" fieldPosition="0">
        <references count="2">
          <reference field="11" count="1" selected="0">
            <x v="253"/>
          </reference>
          <reference field="14" count="1" defaultSubtotal="1">
            <x v="136"/>
          </reference>
        </references>
      </pivotArea>
    </format>
    <format dxfId="2374">
      <pivotArea dataOnly="0" labelOnly="1" outline="0" fieldPosition="0">
        <references count="2">
          <reference field="11" count="1" selected="0">
            <x v="254"/>
          </reference>
          <reference field="14" count="1">
            <x v="181"/>
          </reference>
        </references>
      </pivotArea>
    </format>
    <format dxfId="2373">
      <pivotArea dataOnly="0" labelOnly="1" outline="0" fieldPosition="0">
        <references count="2">
          <reference field="11" count="1" selected="0">
            <x v="254"/>
          </reference>
          <reference field="14" count="1" defaultSubtotal="1">
            <x v="181"/>
          </reference>
        </references>
      </pivotArea>
    </format>
    <format dxfId="2372">
      <pivotArea dataOnly="0" labelOnly="1" outline="0" fieldPosition="0">
        <references count="2">
          <reference field="11" count="1" selected="0">
            <x v="255"/>
          </reference>
          <reference field="14" count="1">
            <x v="263"/>
          </reference>
        </references>
      </pivotArea>
    </format>
    <format dxfId="2371">
      <pivotArea dataOnly="0" labelOnly="1" outline="0" fieldPosition="0">
        <references count="2">
          <reference field="11" count="1" selected="0">
            <x v="255"/>
          </reference>
          <reference field="14" count="1" defaultSubtotal="1">
            <x v="263"/>
          </reference>
        </references>
      </pivotArea>
    </format>
    <format dxfId="2370">
      <pivotArea dataOnly="0" labelOnly="1" outline="0" fieldPosition="0">
        <references count="2">
          <reference field="11" count="1" selected="0">
            <x v="256"/>
          </reference>
          <reference field="14" count="1">
            <x v="133"/>
          </reference>
        </references>
      </pivotArea>
    </format>
    <format dxfId="2369">
      <pivotArea dataOnly="0" labelOnly="1" outline="0" fieldPosition="0">
        <references count="2">
          <reference field="11" count="1" selected="0">
            <x v="256"/>
          </reference>
          <reference field="14" count="1" defaultSubtotal="1">
            <x v="133"/>
          </reference>
        </references>
      </pivotArea>
    </format>
    <format dxfId="2368">
      <pivotArea dataOnly="0" labelOnly="1" outline="0" fieldPosition="0">
        <references count="2">
          <reference field="11" count="1" selected="0">
            <x v="257"/>
          </reference>
          <reference field="14" count="1">
            <x v="187"/>
          </reference>
        </references>
      </pivotArea>
    </format>
    <format dxfId="2367">
      <pivotArea dataOnly="0" labelOnly="1" outline="0" fieldPosition="0">
        <references count="2">
          <reference field="11" count="1" selected="0">
            <x v="257"/>
          </reference>
          <reference field="14" count="1" defaultSubtotal="1">
            <x v="187"/>
          </reference>
        </references>
      </pivotArea>
    </format>
    <format dxfId="2366">
      <pivotArea dataOnly="0" labelOnly="1" outline="0" fieldPosition="0">
        <references count="2">
          <reference field="11" count="1" selected="0">
            <x v="258"/>
          </reference>
          <reference field="14" count="1">
            <x v="417"/>
          </reference>
        </references>
      </pivotArea>
    </format>
    <format dxfId="2365">
      <pivotArea dataOnly="0" labelOnly="1" outline="0" fieldPosition="0">
        <references count="2">
          <reference field="11" count="1" selected="0">
            <x v="258"/>
          </reference>
          <reference field="14" count="1" defaultSubtotal="1">
            <x v="417"/>
          </reference>
        </references>
      </pivotArea>
    </format>
    <format dxfId="2364">
      <pivotArea dataOnly="0" labelOnly="1" outline="0" fieldPosition="0">
        <references count="2">
          <reference field="11" count="1" selected="0">
            <x v="259"/>
          </reference>
          <reference field="14" count="1">
            <x v="371"/>
          </reference>
        </references>
      </pivotArea>
    </format>
    <format dxfId="2363">
      <pivotArea dataOnly="0" labelOnly="1" outline="0" fieldPosition="0">
        <references count="2">
          <reference field="11" count="1" selected="0">
            <x v="259"/>
          </reference>
          <reference field="14" count="1" defaultSubtotal="1">
            <x v="371"/>
          </reference>
        </references>
      </pivotArea>
    </format>
    <format dxfId="2362">
      <pivotArea dataOnly="0" labelOnly="1" outline="0" fieldPosition="0">
        <references count="2">
          <reference field="11" count="1" selected="0">
            <x v="260"/>
          </reference>
          <reference field="14" count="1">
            <x v="157"/>
          </reference>
        </references>
      </pivotArea>
    </format>
    <format dxfId="2361">
      <pivotArea dataOnly="0" labelOnly="1" outline="0" fieldPosition="0">
        <references count="2">
          <reference field="11" count="1" selected="0">
            <x v="260"/>
          </reference>
          <reference field="14" count="1" defaultSubtotal="1">
            <x v="157"/>
          </reference>
        </references>
      </pivotArea>
    </format>
    <format dxfId="2360">
      <pivotArea dataOnly="0" labelOnly="1" outline="0" fieldPosition="0">
        <references count="2">
          <reference field="11" count="1" selected="0">
            <x v="261"/>
          </reference>
          <reference field="14" count="1">
            <x v="223"/>
          </reference>
        </references>
      </pivotArea>
    </format>
    <format dxfId="2359">
      <pivotArea dataOnly="0" labelOnly="1" outline="0" fieldPosition="0">
        <references count="2">
          <reference field="11" count="1" selected="0">
            <x v="261"/>
          </reference>
          <reference field="14" count="1" defaultSubtotal="1">
            <x v="223"/>
          </reference>
        </references>
      </pivotArea>
    </format>
    <format dxfId="2358">
      <pivotArea dataOnly="0" labelOnly="1" outline="0" fieldPosition="0">
        <references count="2">
          <reference field="11" count="1" selected="0">
            <x v="262"/>
          </reference>
          <reference field="14" count="1">
            <x v="311"/>
          </reference>
        </references>
      </pivotArea>
    </format>
    <format dxfId="2357">
      <pivotArea dataOnly="0" labelOnly="1" outline="0" fieldPosition="0">
        <references count="2">
          <reference field="11" count="1" selected="0">
            <x v="262"/>
          </reference>
          <reference field="14" count="1" defaultSubtotal="1">
            <x v="311"/>
          </reference>
        </references>
      </pivotArea>
    </format>
    <format dxfId="2356">
      <pivotArea dataOnly="0" labelOnly="1" outline="0" fieldPosition="0">
        <references count="2">
          <reference field="11" count="1" selected="0">
            <x v="263"/>
          </reference>
          <reference field="14" count="1">
            <x v="114"/>
          </reference>
        </references>
      </pivotArea>
    </format>
    <format dxfId="2355">
      <pivotArea dataOnly="0" labelOnly="1" outline="0" fieldPosition="0">
        <references count="2">
          <reference field="11" count="1" selected="0">
            <x v="263"/>
          </reference>
          <reference field="14" count="1" defaultSubtotal="1">
            <x v="114"/>
          </reference>
        </references>
      </pivotArea>
    </format>
    <format dxfId="2354">
      <pivotArea dataOnly="0" labelOnly="1" outline="0" fieldPosition="0">
        <references count="2">
          <reference field="11" count="1" selected="0">
            <x v="264"/>
          </reference>
          <reference field="14" count="1">
            <x v="154"/>
          </reference>
        </references>
      </pivotArea>
    </format>
    <format dxfId="2353">
      <pivotArea dataOnly="0" labelOnly="1" outline="0" fieldPosition="0">
        <references count="2">
          <reference field="11" count="1" selected="0">
            <x v="264"/>
          </reference>
          <reference field="14" count="1" defaultSubtotal="1">
            <x v="154"/>
          </reference>
        </references>
      </pivotArea>
    </format>
    <format dxfId="2352">
      <pivotArea dataOnly="0" labelOnly="1" outline="0" fieldPosition="0">
        <references count="2">
          <reference field="11" count="1" selected="0">
            <x v="265"/>
          </reference>
          <reference field="14" count="1">
            <x v="166"/>
          </reference>
        </references>
      </pivotArea>
    </format>
    <format dxfId="2351">
      <pivotArea dataOnly="0" labelOnly="1" outline="0" fieldPosition="0">
        <references count="2">
          <reference field="11" count="1" selected="0">
            <x v="265"/>
          </reference>
          <reference field="14" count="1" defaultSubtotal="1">
            <x v="166"/>
          </reference>
        </references>
      </pivotArea>
    </format>
    <format dxfId="2350">
      <pivotArea dataOnly="0" labelOnly="1" outline="0" fieldPosition="0">
        <references count="2">
          <reference field="11" count="1" selected="0">
            <x v="266"/>
          </reference>
          <reference field="14" count="1">
            <x v="152"/>
          </reference>
        </references>
      </pivotArea>
    </format>
    <format dxfId="2349">
      <pivotArea dataOnly="0" labelOnly="1" outline="0" fieldPosition="0">
        <references count="2">
          <reference field="11" count="1" selected="0">
            <x v="266"/>
          </reference>
          <reference field="14" count="1" defaultSubtotal="1">
            <x v="152"/>
          </reference>
        </references>
      </pivotArea>
    </format>
    <format dxfId="2348">
      <pivotArea dataOnly="0" labelOnly="1" outline="0" fieldPosition="0">
        <references count="2">
          <reference field="11" count="1" selected="0">
            <x v="267"/>
          </reference>
          <reference field="14" count="1">
            <x v="374"/>
          </reference>
        </references>
      </pivotArea>
    </format>
    <format dxfId="2347">
      <pivotArea dataOnly="0" labelOnly="1" outline="0" fieldPosition="0">
        <references count="2">
          <reference field="11" count="1" selected="0">
            <x v="267"/>
          </reference>
          <reference field="14" count="1" defaultSubtotal="1">
            <x v="374"/>
          </reference>
        </references>
      </pivotArea>
    </format>
    <format dxfId="2346">
      <pivotArea dataOnly="0" labelOnly="1" outline="0" fieldPosition="0">
        <references count="2">
          <reference field="11" count="1" selected="0">
            <x v="268"/>
          </reference>
          <reference field="14" count="1">
            <x v="353"/>
          </reference>
        </references>
      </pivotArea>
    </format>
    <format dxfId="2345">
      <pivotArea dataOnly="0" labelOnly="1" outline="0" fieldPosition="0">
        <references count="2">
          <reference field="11" count="1" selected="0">
            <x v="268"/>
          </reference>
          <reference field="14" count="1" defaultSubtotal="1">
            <x v="353"/>
          </reference>
        </references>
      </pivotArea>
    </format>
    <format dxfId="2344">
      <pivotArea dataOnly="0" labelOnly="1" outline="0" fieldPosition="0">
        <references count="2">
          <reference field="11" count="1" selected="0">
            <x v="269"/>
          </reference>
          <reference field="14" count="1">
            <x v="124"/>
          </reference>
        </references>
      </pivotArea>
    </format>
    <format dxfId="2343">
      <pivotArea dataOnly="0" labelOnly="1" outline="0" fieldPosition="0">
        <references count="2">
          <reference field="11" count="1" selected="0">
            <x v="269"/>
          </reference>
          <reference field="14" count="1" defaultSubtotal="1">
            <x v="124"/>
          </reference>
        </references>
      </pivotArea>
    </format>
    <format dxfId="2342">
      <pivotArea dataOnly="0" labelOnly="1" outline="0" fieldPosition="0">
        <references count="2">
          <reference field="11" count="1" selected="0">
            <x v="270"/>
          </reference>
          <reference field="14" count="1">
            <x v="126"/>
          </reference>
        </references>
      </pivotArea>
    </format>
    <format dxfId="2341">
      <pivotArea dataOnly="0" labelOnly="1" outline="0" fieldPosition="0">
        <references count="2">
          <reference field="11" count="1" selected="0">
            <x v="270"/>
          </reference>
          <reference field="14" count="1" defaultSubtotal="1">
            <x v="126"/>
          </reference>
        </references>
      </pivotArea>
    </format>
    <format dxfId="2340">
      <pivotArea dataOnly="0" labelOnly="1" outline="0" fieldPosition="0">
        <references count="2">
          <reference field="11" count="1" selected="0">
            <x v="271"/>
          </reference>
          <reference field="14" count="1">
            <x v="239"/>
          </reference>
        </references>
      </pivotArea>
    </format>
    <format dxfId="2339">
      <pivotArea dataOnly="0" labelOnly="1" outline="0" fieldPosition="0">
        <references count="2">
          <reference field="11" count="1" selected="0">
            <x v="271"/>
          </reference>
          <reference field="14" count="1" defaultSubtotal="1">
            <x v="239"/>
          </reference>
        </references>
      </pivotArea>
    </format>
    <format dxfId="2338">
      <pivotArea dataOnly="0" labelOnly="1" outline="0" fieldPosition="0">
        <references count="2">
          <reference field="11" count="1" selected="0">
            <x v="272"/>
          </reference>
          <reference field="14" count="1">
            <x v="42"/>
          </reference>
        </references>
      </pivotArea>
    </format>
    <format dxfId="2337">
      <pivotArea dataOnly="0" labelOnly="1" outline="0" fieldPosition="0">
        <references count="2">
          <reference field="11" count="1" selected="0">
            <x v="272"/>
          </reference>
          <reference field="14" count="1" defaultSubtotal="1">
            <x v="42"/>
          </reference>
        </references>
      </pivotArea>
    </format>
    <format dxfId="2336">
      <pivotArea dataOnly="0" labelOnly="1" outline="0" fieldPosition="0">
        <references count="2">
          <reference field="11" count="1" selected="0">
            <x v="273"/>
          </reference>
          <reference field="14" count="1">
            <x v="342"/>
          </reference>
        </references>
      </pivotArea>
    </format>
    <format dxfId="2335">
      <pivotArea dataOnly="0" labelOnly="1" outline="0" fieldPosition="0">
        <references count="2">
          <reference field="11" count="1" selected="0">
            <x v="273"/>
          </reference>
          <reference field="14" count="1" defaultSubtotal="1">
            <x v="342"/>
          </reference>
        </references>
      </pivotArea>
    </format>
    <format dxfId="2334">
      <pivotArea dataOnly="0" labelOnly="1" outline="0" fieldPosition="0">
        <references count="2">
          <reference field="11" count="1" selected="0">
            <x v="274"/>
          </reference>
          <reference field="14" count="1">
            <x v="372"/>
          </reference>
        </references>
      </pivotArea>
    </format>
    <format dxfId="2333">
      <pivotArea dataOnly="0" labelOnly="1" outline="0" fieldPosition="0">
        <references count="2">
          <reference field="11" count="1" selected="0">
            <x v="274"/>
          </reference>
          <reference field="14" count="1" defaultSubtotal="1">
            <x v="372"/>
          </reference>
        </references>
      </pivotArea>
    </format>
    <format dxfId="2332">
      <pivotArea dataOnly="0" labelOnly="1" outline="0" fieldPosition="0">
        <references count="2">
          <reference field="11" count="1" selected="0">
            <x v="275"/>
          </reference>
          <reference field="14" count="1">
            <x v="51"/>
          </reference>
        </references>
      </pivotArea>
    </format>
    <format dxfId="2331">
      <pivotArea dataOnly="0" labelOnly="1" outline="0" fieldPosition="0">
        <references count="2">
          <reference field="11" count="1" selected="0">
            <x v="275"/>
          </reference>
          <reference field="14" count="1" defaultSubtotal="1">
            <x v="51"/>
          </reference>
        </references>
      </pivotArea>
    </format>
    <format dxfId="2330">
      <pivotArea dataOnly="0" labelOnly="1" outline="0" fieldPosition="0">
        <references count="2">
          <reference field="11" count="1" selected="0">
            <x v="276"/>
          </reference>
          <reference field="14" count="1">
            <x v="290"/>
          </reference>
        </references>
      </pivotArea>
    </format>
    <format dxfId="2329">
      <pivotArea dataOnly="0" labelOnly="1" outline="0" fieldPosition="0">
        <references count="2">
          <reference field="11" count="1" selected="0">
            <x v="276"/>
          </reference>
          <reference field="14" count="1" defaultSubtotal="1">
            <x v="290"/>
          </reference>
        </references>
      </pivotArea>
    </format>
    <format dxfId="2328">
      <pivotArea dataOnly="0" labelOnly="1" outline="0" fieldPosition="0">
        <references count="2">
          <reference field="11" count="1" selected="0">
            <x v="277"/>
          </reference>
          <reference field="14" count="1">
            <x v="180"/>
          </reference>
        </references>
      </pivotArea>
    </format>
    <format dxfId="2327">
      <pivotArea dataOnly="0" labelOnly="1" outline="0" fieldPosition="0">
        <references count="2">
          <reference field="11" count="1" selected="0">
            <x v="277"/>
          </reference>
          <reference field="14" count="1" defaultSubtotal="1">
            <x v="180"/>
          </reference>
        </references>
      </pivotArea>
    </format>
    <format dxfId="2326">
      <pivotArea dataOnly="0" labelOnly="1" outline="0" fieldPosition="0">
        <references count="2">
          <reference field="11" count="1" selected="0">
            <x v="278"/>
          </reference>
          <reference field="14" count="1">
            <x v="164"/>
          </reference>
        </references>
      </pivotArea>
    </format>
    <format dxfId="2325">
      <pivotArea dataOnly="0" labelOnly="1" outline="0" fieldPosition="0">
        <references count="2">
          <reference field="11" count="1" selected="0">
            <x v="278"/>
          </reference>
          <reference field="14" count="1" defaultSubtotal="1">
            <x v="164"/>
          </reference>
        </references>
      </pivotArea>
    </format>
    <format dxfId="2324">
      <pivotArea dataOnly="0" labelOnly="1" outline="0" fieldPosition="0">
        <references count="2">
          <reference field="11" count="1" selected="0">
            <x v="279"/>
          </reference>
          <reference field="14" count="1">
            <x v="153"/>
          </reference>
        </references>
      </pivotArea>
    </format>
    <format dxfId="2323">
      <pivotArea dataOnly="0" labelOnly="1" outline="0" fieldPosition="0">
        <references count="2">
          <reference field="11" count="1" selected="0">
            <x v="279"/>
          </reference>
          <reference field="14" count="1" defaultSubtotal="1">
            <x v="153"/>
          </reference>
        </references>
      </pivotArea>
    </format>
    <format dxfId="2322">
      <pivotArea dataOnly="0" labelOnly="1" outline="0" fieldPosition="0">
        <references count="2">
          <reference field="11" count="1" selected="0">
            <x v="280"/>
          </reference>
          <reference field="14" count="1">
            <x v="373"/>
          </reference>
        </references>
      </pivotArea>
    </format>
    <format dxfId="2321">
      <pivotArea dataOnly="0" labelOnly="1" outline="0" fieldPosition="0">
        <references count="2">
          <reference field="11" count="1" selected="0">
            <x v="280"/>
          </reference>
          <reference field="14" count="1" defaultSubtotal="1">
            <x v="373"/>
          </reference>
        </references>
      </pivotArea>
    </format>
    <format dxfId="2320">
      <pivotArea dataOnly="0" labelOnly="1" outline="0" fieldPosition="0">
        <references count="2">
          <reference field="11" count="1" selected="0">
            <x v="281"/>
          </reference>
          <reference field="14" count="1">
            <x v="165"/>
          </reference>
        </references>
      </pivotArea>
    </format>
    <format dxfId="2319">
      <pivotArea dataOnly="0" labelOnly="1" outline="0" fieldPosition="0">
        <references count="2">
          <reference field="11" count="1" selected="0">
            <x v="281"/>
          </reference>
          <reference field="14" count="1" defaultSubtotal="1">
            <x v="165"/>
          </reference>
        </references>
      </pivotArea>
    </format>
    <format dxfId="2318">
      <pivotArea dataOnly="0" labelOnly="1" outline="0" fieldPosition="0">
        <references count="2">
          <reference field="11" count="1" selected="0">
            <x v="282"/>
          </reference>
          <reference field="14" count="1">
            <x v="357"/>
          </reference>
        </references>
      </pivotArea>
    </format>
    <format dxfId="2317">
      <pivotArea dataOnly="0" labelOnly="1" outline="0" fieldPosition="0">
        <references count="2">
          <reference field="11" count="1" selected="0">
            <x v="282"/>
          </reference>
          <reference field="14" count="1" defaultSubtotal="1">
            <x v="357"/>
          </reference>
        </references>
      </pivotArea>
    </format>
    <format dxfId="2316">
      <pivotArea dataOnly="0" labelOnly="1" outline="0" fieldPosition="0">
        <references count="2">
          <reference field="11" count="1" selected="0">
            <x v="283"/>
          </reference>
          <reference field="14" count="1">
            <x v="162"/>
          </reference>
        </references>
      </pivotArea>
    </format>
    <format dxfId="2315">
      <pivotArea dataOnly="0" labelOnly="1" outline="0" fieldPosition="0">
        <references count="2">
          <reference field="11" count="1" selected="0">
            <x v="283"/>
          </reference>
          <reference field="14" count="1" defaultSubtotal="1">
            <x v="162"/>
          </reference>
        </references>
      </pivotArea>
    </format>
    <format dxfId="2314">
      <pivotArea dataOnly="0" labelOnly="1" outline="0" fieldPosition="0">
        <references count="2">
          <reference field="11" count="1" selected="0">
            <x v="284"/>
          </reference>
          <reference field="14" count="1">
            <x v="149"/>
          </reference>
        </references>
      </pivotArea>
    </format>
    <format dxfId="2313">
      <pivotArea dataOnly="0" labelOnly="1" outline="0" fieldPosition="0">
        <references count="2">
          <reference field="11" count="1" selected="0">
            <x v="284"/>
          </reference>
          <reference field="14" count="1" defaultSubtotal="1">
            <x v="149"/>
          </reference>
        </references>
      </pivotArea>
    </format>
    <format dxfId="2312">
      <pivotArea dataOnly="0" labelOnly="1" outline="0" fieldPosition="0">
        <references count="2">
          <reference field="11" count="1" selected="0">
            <x v="285"/>
          </reference>
          <reference field="14" count="1">
            <x v="365"/>
          </reference>
        </references>
      </pivotArea>
    </format>
    <format dxfId="2311">
      <pivotArea dataOnly="0" labelOnly="1" outline="0" fieldPosition="0">
        <references count="2">
          <reference field="11" count="1" selected="0">
            <x v="285"/>
          </reference>
          <reference field="14" count="1" defaultSubtotal="1">
            <x v="365"/>
          </reference>
        </references>
      </pivotArea>
    </format>
    <format dxfId="2310">
      <pivotArea dataOnly="0" labelOnly="1" outline="0" fieldPosition="0">
        <references count="2">
          <reference field="11" count="1" selected="0">
            <x v="286"/>
          </reference>
          <reference field="14" count="1">
            <x v="217"/>
          </reference>
        </references>
      </pivotArea>
    </format>
    <format dxfId="2309">
      <pivotArea dataOnly="0" labelOnly="1" outline="0" fieldPosition="0">
        <references count="2">
          <reference field="11" count="1" selected="0">
            <x v="286"/>
          </reference>
          <reference field="14" count="1" defaultSubtotal="1">
            <x v="217"/>
          </reference>
        </references>
      </pivotArea>
    </format>
    <format dxfId="2308">
      <pivotArea dataOnly="0" labelOnly="1" outline="0" fieldPosition="0">
        <references count="2">
          <reference field="11" count="1" selected="0">
            <x v="287"/>
          </reference>
          <reference field="14" count="1">
            <x v="197"/>
          </reference>
        </references>
      </pivotArea>
    </format>
    <format dxfId="2307">
      <pivotArea dataOnly="0" labelOnly="1" outline="0" fieldPosition="0">
        <references count="2">
          <reference field="11" count="1" selected="0">
            <x v="287"/>
          </reference>
          <reference field="14" count="1" defaultSubtotal="1">
            <x v="197"/>
          </reference>
        </references>
      </pivotArea>
    </format>
    <format dxfId="2306">
      <pivotArea dataOnly="0" labelOnly="1" outline="0" fieldPosition="0">
        <references count="2">
          <reference field="11" count="1" selected="0">
            <x v="288"/>
          </reference>
          <reference field="14" count="1">
            <x v="389"/>
          </reference>
        </references>
      </pivotArea>
    </format>
    <format dxfId="2305">
      <pivotArea dataOnly="0" labelOnly="1" outline="0" fieldPosition="0">
        <references count="2">
          <reference field="11" count="1" selected="0">
            <x v="288"/>
          </reference>
          <reference field="14" count="1" defaultSubtotal="1">
            <x v="389"/>
          </reference>
        </references>
      </pivotArea>
    </format>
    <format dxfId="2304">
      <pivotArea dataOnly="0" labelOnly="1" outline="0" fieldPosition="0">
        <references count="2">
          <reference field="11" count="1" selected="0">
            <x v="289"/>
          </reference>
          <reference field="14" count="1">
            <x v="171"/>
          </reference>
        </references>
      </pivotArea>
    </format>
    <format dxfId="2303">
      <pivotArea dataOnly="0" labelOnly="1" outline="0" fieldPosition="0">
        <references count="2">
          <reference field="11" count="1" selected="0">
            <x v="289"/>
          </reference>
          <reference field="14" count="1" defaultSubtotal="1">
            <x v="171"/>
          </reference>
        </references>
      </pivotArea>
    </format>
    <format dxfId="2302">
      <pivotArea dataOnly="0" labelOnly="1" outline="0" fieldPosition="0">
        <references count="2">
          <reference field="11" count="1" selected="0">
            <x v="290"/>
          </reference>
          <reference field="14" count="1">
            <x v="183"/>
          </reference>
        </references>
      </pivotArea>
    </format>
    <format dxfId="2301">
      <pivotArea dataOnly="0" labelOnly="1" outline="0" fieldPosition="0">
        <references count="2">
          <reference field="11" count="1" selected="0">
            <x v="290"/>
          </reference>
          <reference field="14" count="1" defaultSubtotal="1">
            <x v="183"/>
          </reference>
        </references>
      </pivotArea>
    </format>
    <format dxfId="2300">
      <pivotArea dataOnly="0" labelOnly="1" outline="0" fieldPosition="0">
        <references count="2">
          <reference field="11" count="1" selected="0">
            <x v="291"/>
          </reference>
          <reference field="14" count="1">
            <x v="3"/>
          </reference>
        </references>
      </pivotArea>
    </format>
    <format dxfId="2299">
      <pivotArea dataOnly="0" labelOnly="1" outline="0" fieldPosition="0">
        <references count="2">
          <reference field="11" count="1" selected="0">
            <x v="291"/>
          </reference>
          <reference field="14" count="1" defaultSubtotal="1">
            <x v="3"/>
          </reference>
        </references>
      </pivotArea>
    </format>
    <format dxfId="2298">
      <pivotArea dataOnly="0" labelOnly="1" outline="0" fieldPosition="0">
        <references count="2">
          <reference field="11" count="1" selected="0">
            <x v="292"/>
          </reference>
          <reference field="14" count="1">
            <x v="172"/>
          </reference>
        </references>
      </pivotArea>
    </format>
    <format dxfId="2297">
      <pivotArea dataOnly="0" labelOnly="1" outline="0" fieldPosition="0">
        <references count="2">
          <reference field="11" count="1" selected="0">
            <x v="292"/>
          </reference>
          <reference field="14" count="1" defaultSubtotal="1">
            <x v="172"/>
          </reference>
        </references>
      </pivotArea>
    </format>
    <format dxfId="2296">
      <pivotArea dataOnly="0" labelOnly="1" outline="0" fieldPosition="0">
        <references count="2">
          <reference field="11" count="1" selected="0">
            <x v="293"/>
          </reference>
          <reference field="14" count="1">
            <x v="168"/>
          </reference>
        </references>
      </pivotArea>
    </format>
    <format dxfId="2295">
      <pivotArea dataOnly="0" labelOnly="1" outline="0" fieldPosition="0">
        <references count="2">
          <reference field="11" count="1" selected="0">
            <x v="293"/>
          </reference>
          <reference field="14" count="1" defaultSubtotal="1">
            <x v="168"/>
          </reference>
        </references>
      </pivotArea>
    </format>
    <format dxfId="2294">
      <pivotArea dataOnly="0" labelOnly="1" outline="0" fieldPosition="0">
        <references count="2">
          <reference field="11" count="1" selected="0">
            <x v="294"/>
          </reference>
          <reference field="14" count="1">
            <x v="67"/>
          </reference>
        </references>
      </pivotArea>
    </format>
    <format dxfId="2293">
      <pivotArea dataOnly="0" labelOnly="1" outline="0" fieldPosition="0">
        <references count="2">
          <reference field="11" count="1" selected="0">
            <x v="294"/>
          </reference>
          <reference field="14" count="1" defaultSubtotal="1">
            <x v="67"/>
          </reference>
        </references>
      </pivotArea>
    </format>
    <format dxfId="2292">
      <pivotArea dataOnly="0" labelOnly="1" outline="0" fieldPosition="0">
        <references count="2">
          <reference field="11" count="1" selected="0">
            <x v="295"/>
          </reference>
          <reference field="14" count="1">
            <x v="64"/>
          </reference>
        </references>
      </pivotArea>
    </format>
    <format dxfId="2291">
      <pivotArea dataOnly="0" labelOnly="1" outline="0" fieldPosition="0">
        <references count="2">
          <reference field="11" count="1" selected="0">
            <x v="295"/>
          </reference>
          <reference field="14" count="1" defaultSubtotal="1">
            <x v="64"/>
          </reference>
        </references>
      </pivotArea>
    </format>
    <format dxfId="2290">
      <pivotArea dataOnly="0" labelOnly="1" outline="0" fieldPosition="0">
        <references count="2">
          <reference field="11" count="1" selected="0">
            <x v="296"/>
          </reference>
          <reference field="14" count="1">
            <x v="143"/>
          </reference>
        </references>
      </pivotArea>
    </format>
    <format dxfId="2289">
      <pivotArea dataOnly="0" labelOnly="1" outline="0" fieldPosition="0">
        <references count="2">
          <reference field="11" count="1" selected="0">
            <x v="296"/>
          </reference>
          <reference field="14" count="1" defaultSubtotal="1">
            <x v="143"/>
          </reference>
        </references>
      </pivotArea>
    </format>
    <format dxfId="2288">
      <pivotArea dataOnly="0" labelOnly="1" outline="0" fieldPosition="0">
        <references count="2">
          <reference field="11" count="1" selected="0">
            <x v="297"/>
          </reference>
          <reference field="14" count="1">
            <x v="34"/>
          </reference>
        </references>
      </pivotArea>
    </format>
    <format dxfId="2287">
      <pivotArea dataOnly="0" labelOnly="1" outline="0" fieldPosition="0">
        <references count="2">
          <reference field="11" count="1" selected="0">
            <x v="297"/>
          </reference>
          <reference field="14" count="1" defaultSubtotal="1">
            <x v="34"/>
          </reference>
        </references>
      </pivotArea>
    </format>
    <format dxfId="2286">
      <pivotArea dataOnly="0" labelOnly="1" outline="0" fieldPosition="0">
        <references count="2">
          <reference field="11" count="1" selected="0">
            <x v="298"/>
          </reference>
          <reference field="14" count="1">
            <x v="310"/>
          </reference>
        </references>
      </pivotArea>
    </format>
    <format dxfId="2285">
      <pivotArea dataOnly="0" labelOnly="1" outline="0" fieldPosition="0">
        <references count="2">
          <reference field="11" count="1" selected="0">
            <x v="298"/>
          </reference>
          <reference field="14" count="1" defaultSubtotal="1">
            <x v="310"/>
          </reference>
        </references>
      </pivotArea>
    </format>
    <format dxfId="2284">
      <pivotArea dataOnly="0" labelOnly="1" outline="0" fieldPosition="0">
        <references count="2">
          <reference field="11" count="1" selected="0">
            <x v="299"/>
          </reference>
          <reference field="14" count="1">
            <x v="129"/>
          </reference>
        </references>
      </pivotArea>
    </format>
    <format dxfId="2283">
      <pivotArea dataOnly="0" labelOnly="1" outline="0" fieldPosition="0">
        <references count="2">
          <reference field="11" count="1" selected="0">
            <x v="299"/>
          </reference>
          <reference field="14" count="1" defaultSubtotal="1">
            <x v="129"/>
          </reference>
        </references>
      </pivotArea>
    </format>
    <format dxfId="2282">
      <pivotArea dataOnly="0" labelOnly="1" outline="0" fieldPosition="0">
        <references count="2">
          <reference field="11" count="1" selected="0">
            <x v="300"/>
          </reference>
          <reference field="14" count="1">
            <x v="393"/>
          </reference>
        </references>
      </pivotArea>
    </format>
    <format dxfId="2281">
      <pivotArea dataOnly="0" labelOnly="1" outline="0" fieldPosition="0">
        <references count="2">
          <reference field="11" count="1" selected="0">
            <x v="300"/>
          </reference>
          <reference field="14" count="1" defaultSubtotal="1">
            <x v="393"/>
          </reference>
        </references>
      </pivotArea>
    </format>
    <format dxfId="2280">
      <pivotArea dataOnly="0" labelOnly="1" outline="0" fieldPosition="0">
        <references count="2">
          <reference field="11" count="1" selected="0">
            <x v="301"/>
          </reference>
          <reference field="14" count="1">
            <x v="100"/>
          </reference>
        </references>
      </pivotArea>
    </format>
    <format dxfId="2279">
      <pivotArea dataOnly="0" labelOnly="1" outline="0" fieldPosition="0">
        <references count="2">
          <reference field="11" count="1" selected="0">
            <x v="301"/>
          </reference>
          <reference field="14" count="1" defaultSubtotal="1">
            <x v="100"/>
          </reference>
        </references>
      </pivotArea>
    </format>
    <format dxfId="2278">
      <pivotArea dataOnly="0" labelOnly="1" outline="0" fieldPosition="0">
        <references count="2">
          <reference field="11" count="1" selected="0">
            <x v="302"/>
          </reference>
          <reference field="14" count="1">
            <x v="62"/>
          </reference>
        </references>
      </pivotArea>
    </format>
    <format dxfId="2277">
      <pivotArea dataOnly="0" labelOnly="1" outline="0" fieldPosition="0">
        <references count="2">
          <reference field="11" count="1" selected="0">
            <x v="302"/>
          </reference>
          <reference field="14" count="1" defaultSubtotal="1">
            <x v="62"/>
          </reference>
        </references>
      </pivotArea>
    </format>
    <format dxfId="2276">
      <pivotArea dataOnly="0" labelOnly="1" outline="0" fieldPosition="0">
        <references count="2">
          <reference field="11" count="1" selected="0">
            <x v="303"/>
          </reference>
          <reference field="14" count="1">
            <x v="122"/>
          </reference>
        </references>
      </pivotArea>
    </format>
    <format dxfId="2275">
      <pivotArea dataOnly="0" labelOnly="1" outline="0" fieldPosition="0">
        <references count="2">
          <reference field="11" count="1" selected="0">
            <x v="303"/>
          </reference>
          <reference field="14" count="1" defaultSubtotal="1">
            <x v="122"/>
          </reference>
        </references>
      </pivotArea>
    </format>
    <format dxfId="2274">
      <pivotArea dataOnly="0" labelOnly="1" outline="0" fieldPosition="0">
        <references count="2">
          <reference field="11" count="1" selected="0">
            <x v="304"/>
          </reference>
          <reference field="14" count="1">
            <x v="464"/>
          </reference>
        </references>
      </pivotArea>
    </format>
    <format dxfId="2273">
      <pivotArea dataOnly="0" labelOnly="1" outline="0" fieldPosition="0">
        <references count="2">
          <reference field="11" count="1" selected="0">
            <x v="304"/>
          </reference>
          <reference field="14" count="1" defaultSubtotal="1">
            <x v="464"/>
          </reference>
        </references>
      </pivotArea>
    </format>
    <format dxfId="2272">
      <pivotArea dataOnly="0" labelOnly="1" outline="0" fieldPosition="0">
        <references count="2">
          <reference field="11" count="1" selected="0">
            <x v="305"/>
          </reference>
          <reference field="14" count="1">
            <x v="121"/>
          </reference>
        </references>
      </pivotArea>
    </format>
    <format dxfId="2271">
      <pivotArea dataOnly="0" labelOnly="1" outline="0" fieldPosition="0">
        <references count="2">
          <reference field="11" count="1" selected="0">
            <x v="305"/>
          </reference>
          <reference field="14" count="1" defaultSubtotal="1">
            <x v="121"/>
          </reference>
        </references>
      </pivotArea>
    </format>
    <format dxfId="2270">
      <pivotArea dataOnly="0" labelOnly="1" outline="0" fieldPosition="0">
        <references count="2">
          <reference field="11" count="1" selected="0">
            <x v="306"/>
          </reference>
          <reference field="14" count="1">
            <x v="178"/>
          </reference>
        </references>
      </pivotArea>
    </format>
    <format dxfId="2269">
      <pivotArea dataOnly="0" labelOnly="1" outline="0" fieldPosition="0">
        <references count="2">
          <reference field="11" count="1" selected="0">
            <x v="306"/>
          </reference>
          <reference field="14" count="1" defaultSubtotal="1">
            <x v="178"/>
          </reference>
        </references>
      </pivotArea>
    </format>
    <format dxfId="2268">
      <pivotArea dataOnly="0" labelOnly="1" outline="0" fieldPosition="0">
        <references count="2">
          <reference field="11" count="1" selected="0">
            <x v="307"/>
          </reference>
          <reference field="14" count="1">
            <x v="120"/>
          </reference>
        </references>
      </pivotArea>
    </format>
    <format dxfId="2267">
      <pivotArea dataOnly="0" labelOnly="1" outline="0" fieldPosition="0">
        <references count="2">
          <reference field="11" count="1" selected="0">
            <x v="307"/>
          </reference>
          <reference field="14" count="1" defaultSubtotal="1">
            <x v="120"/>
          </reference>
        </references>
      </pivotArea>
    </format>
    <format dxfId="2266">
      <pivotArea dataOnly="0" labelOnly="1" outline="0" fieldPosition="0">
        <references count="2">
          <reference field="11" count="1" selected="0">
            <x v="308"/>
          </reference>
          <reference field="14" count="1">
            <x v="127"/>
          </reference>
        </references>
      </pivotArea>
    </format>
    <format dxfId="2265">
      <pivotArea dataOnly="0" labelOnly="1" outline="0" fieldPosition="0">
        <references count="2">
          <reference field="11" count="1" selected="0">
            <x v="308"/>
          </reference>
          <reference field="14" count="1" defaultSubtotal="1">
            <x v="127"/>
          </reference>
        </references>
      </pivotArea>
    </format>
    <format dxfId="2264">
      <pivotArea dataOnly="0" labelOnly="1" outline="0" fieldPosition="0">
        <references count="2">
          <reference field="11" count="1" selected="0">
            <x v="309"/>
          </reference>
          <reference field="14" count="1">
            <x v="316"/>
          </reference>
        </references>
      </pivotArea>
    </format>
    <format dxfId="2263">
      <pivotArea dataOnly="0" labelOnly="1" outline="0" fieldPosition="0">
        <references count="2">
          <reference field="11" count="1" selected="0">
            <x v="309"/>
          </reference>
          <reference field="14" count="1" defaultSubtotal="1">
            <x v="316"/>
          </reference>
        </references>
      </pivotArea>
    </format>
    <format dxfId="2262">
      <pivotArea dataOnly="0" labelOnly="1" outline="0" fieldPosition="0">
        <references count="2">
          <reference field="11" count="1" selected="0">
            <x v="310"/>
          </reference>
          <reference field="14" count="1">
            <x v="376"/>
          </reference>
        </references>
      </pivotArea>
    </format>
    <format dxfId="2261">
      <pivotArea dataOnly="0" labelOnly="1" outline="0" fieldPosition="0">
        <references count="2">
          <reference field="11" count="1" selected="0">
            <x v="310"/>
          </reference>
          <reference field="14" count="1" defaultSubtotal="1">
            <x v="376"/>
          </reference>
        </references>
      </pivotArea>
    </format>
    <format dxfId="2260">
      <pivotArea dataOnly="0" labelOnly="1" outline="0" fieldPosition="0">
        <references count="2">
          <reference field="11" count="1" selected="0">
            <x v="311"/>
          </reference>
          <reference field="14" count="1">
            <x v="302"/>
          </reference>
        </references>
      </pivotArea>
    </format>
    <format dxfId="2259">
      <pivotArea dataOnly="0" labelOnly="1" outline="0" fieldPosition="0">
        <references count="2">
          <reference field="11" count="1" selected="0">
            <x v="311"/>
          </reference>
          <reference field="14" count="1" defaultSubtotal="1">
            <x v="302"/>
          </reference>
        </references>
      </pivotArea>
    </format>
    <format dxfId="2258">
      <pivotArea dataOnly="0" labelOnly="1" outline="0" fieldPosition="0">
        <references count="2">
          <reference field="11" count="1" selected="0">
            <x v="312"/>
          </reference>
          <reference field="14" count="1">
            <x v="130"/>
          </reference>
        </references>
      </pivotArea>
    </format>
    <format dxfId="2257">
      <pivotArea dataOnly="0" labelOnly="1" outline="0" fieldPosition="0">
        <references count="2">
          <reference field="11" count="1" selected="0">
            <x v="312"/>
          </reference>
          <reference field="14" count="1" defaultSubtotal="1">
            <x v="130"/>
          </reference>
        </references>
      </pivotArea>
    </format>
    <format dxfId="2256">
      <pivotArea dataOnly="0" labelOnly="1" outline="0" fieldPosition="0">
        <references count="2">
          <reference field="11" count="1" selected="0">
            <x v="313"/>
          </reference>
          <reference field="14" count="1">
            <x v="123"/>
          </reference>
        </references>
      </pivotArea>
    </format>
    <format dxfId="2255">
      <pivotArea dataOnly="0" labelOnly="1" outline="0" fieldPosition="0">
        <references count="2">
          <reference field="11" count="1" selected="0">
            <x v="313"/>
          </reference>
          <reference field="14" count="1" defaultSubtotal="1">
            <x v="123"/>
          </reference>
        </references>
      </pivotArea>
    </format>
    <format dxfId="2254">
      <pivotArea dataOnly="0" labelOnly="1" outline="0" fieldPosition="0">
        <references count="2">
          <reference field="11" count="1" selected="0">
            <x v="314"/>
          </reference>
          <reference field="14" count="1">
            <x v="8"/>
          </reference>
        </references>
      </pivotArea>
    </format>
    <format dxfId="2253">
      <pivotArea dataOnly="0" labelOnly="1" outline="0" fieldPosition="0">
        <references count="2">
          <reference field="11" count="1" selected="0">
            <x v="314"/>
          </reference>
          <reference field="14" count="1" defaultSubtotal="1">
            <x v="8"/>
          </reference>
        </references>
      </pivotArea>
    </format>
    <format dxfId="2252">
      <pivotArea dataOnly="0" labelOnly="1" outline="0" fieldPosition="0">
        <references count="2">
          <reference field="11" count="1" selected="0">
            <x v="315"/>
          </reference>
          <reference field="14" count="1">
            <x v="247"/>
          </reference>
        </references>
      </pivotArea>
    </format>
    <format dxfId="2251">
      <pivotArea dataOnly="0" labelOnly="1" outline="0" fieldPosition="0">
        <references count="2">
          <reference field="11" count="1" selected="0">
            <x v="315"/>
          </reference>
          <reference field="14" count="1" defaultSubtotal="1">
            <x v="247"/>
          </reference>
        </references>
      </pivotArea>
    </format>
    <format dxfId="2250">
      <pivotArea dataOnly="0" labelOnly="1" outline="0" fieldPosition="0">
        <references count="2">
          <reference field="11" count="1" selected="0">
            <x v="316"/>
          </reference>
          <reference field="14" count="1">
            <x v="44"/>
          </reference>
        </references>
      </pivotArea>
    </format>
    <format dxfId="2249">
      <pivotArea dataOnly="0" labelOnly="1" outline="0" fieldPosition="0">
        <references count="2">
          <reference field="11" count="1" selected="0">
            <x v="316"/>
          </reference>
          <reference field="14" count="1" defaultSubtotal="1">
            <x v="44"/>
          </reference>
        </references>
      </pivotArea>
    </format>
    <format dxfId="2248">
      <pivotArea dataOnly="0" labelOnly="1" outline="0" fieldPosition="0">
        <references count="2">
          <reference field="11" count="1" selected="0">
            <x v="317"/>
          </reference>
          <reference field="14" count="1">
            <x v="70"/>
          </reference>
        </references>
      </pivotArea>
    </format>
    <format dxfId="2247">
      <pivotArea dataOnly="0" labelOnly="1" outline="0" fieldPosition="0">
        <references count="2">
          <reference field="11" count="1" selected="0">
            <x v="317"/>
          </reference>
          <reference field="14" count="1" defaultSubtotal="1">
            <x v="70"/>
          </reference>
        </references>
      </pivotArea>
    </format>
    <format dxfId="2246">
      <pivotArea dataOnly="0" labelOnly="1" outline="0" fieldPosition="0">
        <references count="2">
          <reference field="11" count="1" selected="0">
            <x v="318"/>
          </reference>
          <reference field="14" count="1">
            <x v="68"/>
          </reference>
        </references>
      </pivotArea>
    </format>
    <format dxfId="2245">
      <pivotArea dataOnly="0" labelOnly="1" outline="0" fieldPosition="0">
        <references count="2">
          <reference field="11" count="1" selected="0">
            <x v="318"/>
          </reference>
          <reference field="14" count="1" defaultSubtotal="1">
            <x v="68"/>
          </reference>
        </references>
      </pivotArea>
    </format>
    <format dxfId="2244">
      <pivotArea dataOnly="0" labelOnly="1" outline="0" fieldPosition="0">
        <references count="2">
          <reference field="11" count="1" selected="0">
            <x v="319"/>
          </reference>
          <reference field="14" count="1">
            <x v="69"/>
          </reference>
        </references>
      </pivotArea>
    </format>
    <format dxfId="2243">
      <pivotArea dataOnly="0" labelOnly="1" outline="0" fieldPosition="0">
        <references count="2">
          <reference field="11" count="1" selected="0">
            <x v="319"/>
          </reference>
          <reference field="14" count="1" defaultSubtotal="1">
            <x v="69"/>
          </reference>
        </references>
      </pivotArea>
    </format>
    <format dxfId="2242">
      <pivotArea dataOnly="0" labelOnly="1" outline="0" fieldPosition="0">
        <references count="2">
          <reference field="11" count="1" selected="0">
            <x v="320"/>
          </reference>
          <reference field="14" count="1">
            <x v="35"/>
          </reference>
        </references>
      </pivotArea>
    </format>
    <format dxfId="2241">
      <pivotArea dataOnly="0" labelOnly="1" outline="0" fieldPosition="0">
        <references count="2">
          <reference field="11" count="1" selected="0">
            <x v="320"/>
          </reference>
          <reference field="14" count="1" defaultSubtotal="1">
            <x v="35"/>
          </reference>
        </references>
      </pivotArea>
    </format>
    <format dxfId="2240">
      <pivotArea dataOnly="0" labelOnly="1" outline="0" fieldPosition="0">
        <references count="2">
          <reference field="11" count="1" selected="0">
            <x v="321"/>
          </reference>
          <reference field="14" count="1">
            <x v="456"/>
          </reference>
        </references>
      </pivotArea>
    </format>
    <format dxfId="2239">
      <pivotArea dataOnly="0" labelOnly="1" outline="0" fieldPosition="0">
        <references count="2">
          <reference field="11" count="1" selected="0">
            <x v="321"/>
          </reference>
          <reference field="14" count="1" defaultSubtotal="1">
            <x v="456"/>
          </reference>
        </references>
      </pivotArea>
    </format>
    <format dxfId="2238">
      <pivotArea dataOnly="0" labelOnly="1" outline="0" fieldPosition="0">
        <references count="2">
          <reference field="11" count="1" selected="0">
            <x v="322"/>
          </reference>
          <reference field="14" count="1">
            <x v="243"/>
          </reference>
        </references>
      </pivotArea>
    </format>
    <format dxfId="2237">
      <pivotArea dataOnly="0" labelOnly="1" outline="0" fieldPosition="0">
        <references count="2">
          <reference field="11" count="1" selected="0">
            <x v="322"/>
          </reference>
          <reference field="14" count="1" defaultSubtotal="1">
            <x v="243"/>
          </reference>
        </references>
      </pivotArea>
    </format>
    <format dxfId="2236">
      <pivotArea dataOnly="0" labelOnly="1" outline="0" fieldPosition="0">
        <references count="2">
          <reference field="11" count="1" selected="0">
            <x v="323"/>
          </reference>
          <reference field="14" count="1">
            <x v="428"/>
          </reference>
        </references>
      </pivotArea>
    </format>
    <format dxfId="2235">
      <pivotArea dataOnly="0" labelOnly="1" outline="0" fieldPosition="0">
        <references count="2">
          <reference field="11" count="1" selected="0">
            <x v="323"/>
          </reference>
          <reference field="14" count="1" defaultSubtotal="1">
            <x v="428"/>
          </reference>
        </references>
      </pivotArea>
    </format>
    <format dxfId="2234">
      <pivotArea dataOnly="0" labelOnly="1" outline="0" fieldPosition="0">
        <references count="2">
          <reference field="11" count="1" selected="0">
            <x v="324"/>
          </reference>
          <reference field="14" count="1">
            <x v="9"/>
          </reference>
        </references>
      </pivotArea>
    </format>
    <format dxfId="2233">
      <pivotArea dataOnly="0" labelOnly="1" outline="0" fieldPosition="0">
        <references count="2">
          <reference field="11" count="1" selected="0">
            <x v="324"/>
          </reference>
          <reference field="14" count="1" defaultSubtotal="1">
            <x v="9"/>
          </reference>
        </references>
      </pivotArea>
    </format>
    <format dxfId="2232">
      <pivotArea dataOnly="0" labelOnly="1" outline="0" fieldPosition="0">
        <references count="2">
          <reference field="11" count="1" selected="0">
            <x v="325"/>
          </reference>
          <reference field="14" count="1">
            <x v="225"/>
          </reference>
        </references>
      </pivotArea>
    </format>
    <format dxfId="2231">
      <pivotArea dataOnly="0" labelOnly="1" outline="0" fieldPosition="0">
        <references count="2">
          <reference field="11" count="1" selected="0">
            <x v="325"/>
          </reference>
          <reference field="14" count="1" defaultSubtotal="1">
            <x v="225"/>
          </reference>
        </references>
      </pivotArea>
    </format>
    <format dxfId="2230">
      <pivotArea dataOnly="0" labelOnly="1" outline="0" fieldPosition="0">
        <references count="2">
          <reference field="11" count="1" selected="0">
            <x v="326"/>
          </reference>
          <reference field="14" count="1">
            <x v="370"/>
          </reference>
        </references>
      </pivotArea>
    </format>
    <format dxfId="2229">
      <pivotArea dataOnly="0" labelOnly="1" outline="0" fieldPosition="0">
        <references count="2">
          <reference field="11" count="1" selected="0">
            <x v="326"/>
          </reference>
          <reference field="14" count="1" defaultSubtotal="1">
            <x v="370"/>
          </reference>
        </references>
      </pivotArea>
    </format>
    <format dxfId="2228">
      <pivotArea dataOnly="0" labelOnly="1" outline="0" fieldPosition="0">
        <references count="2">
          <reference field="11" count="1" selected="0">
            <x v="327"/>
          </reference>
          <reference field="14" count="1">
            <x v="60"/>
          </reference>
        </references>
      </pivotArea>
    </format>
    <format dxfId="2227">
      <pivotArea dataOnly="0" labelOnly="1" outline="0" fieldPosition="0">
        <references count="2">
          <reference field="11" count="1" selected="0">
            <x v="327"/>
          </reference>
          <reference field="14" count="1" defaultSubtotal="1">
            <x v="60"/>
          </reference>
        </references>
      </pivotArea>
    </format>
    <format dxfId="2226">
      <pivotArea dataOnly="0" labelOnly="1" outline="0" fieldPosition="0">
        <references count="2">
          <reference field="11" count="1" selected="0">
            <x v="328"/>
          </reference>
          <reference field="14" count="1">
            <x v="159"/>
          </reference>
        </references>
      </pivotArea>
    </format>
    <format dxfId="2225">
      <pivotArea dataOnly="0" labelOnly="1" outline="0" fieldPosition="0">
        <references count="2">
          <reference field="11" count="1" selected="0">
            <x v="328"/>
          </reference>
          <reference field="14" count="1" defaultSubtotal="1">
            <x v="159"/>
          </reference>
        </references>
      </pivotArea>
    </format>
    <format dxfId="2224">
      <pivotArea dataOnly="0" labelOnly="1" outline="0" fieldPosition="0">
        <references count="2">
          <reference field="11" count="1" selected="0">
            <x v="329"/>
          </reference>
          <reference field="14" count="1">
            <x v="134"/>
          </reference>
        </references>
      </pivotArea>
    </format>
    <format dxfId="2223">
      <pivotArea dataOnly="0" labelOnly="1" outline="0" fieldPosition="0">
        <references count="2">
          <reference field="11" count="1" selected="0">
            <x v="329"/>
          </reference>
          <reference field="14" count="1" defaultSubtotal="1">
            <x v="134"/>
          </reference>
        </references>
      </pivotArea>
    </format>
    <format dxfId="2222">
      <pivotArea dataOnly="0" labelOnly="1" outline="0" fieldPosition="0">
        <references count="2">
          <reference field="11" count="1" selected="0">
            <x v="330"/>
          </reference>
          <reference field="14" count="1">
            <x v="170"/>
          </reference>
        </references>
      </pivotArea>
    </format>
    <format dxfId="2221">
      <pivotArea dataOnly="0" labelOnly="1" outline="0" fieldPosition="0">
        <references count="2">
          <reference field="11" count="1" selected="0">
            <x v="330"/>
          </reference>
          <reference field="14" count="1" defaultSubtotal="1">
            <x v="170"/>
          </reference>
        </references>
      </pivotArea>
    </format>
    <format dxfId="2220">
      <pivotArea dataOnly="0" labelOnly="1" outline="0" fieldPosition="0">
        <references count="2">
          <reference field="11" count="1" selected="0">
            <x v="331"/>
          </reference>
          <reference field="14" count="1">
            <x v="132"/>
          </reference>
        </references>
      </pivotArea>
    </format>
    <format dxfId="2219">
      <pivotArea dataOnly="0" labelOnly="1" outline="0" fieldPosition="0">
        <references count="2">
          <reference field="11" count="1" selected="0">
            <x v="331"/>
          </reference>
          <reference field="14" count="1" defaultSubtotal="1">
            <x v="132"/>
          </reference>
        </references>
      </pivotArea>
    </format>
    <format dxfId="2218">
      <pivotArea dataOnly="0" labelOnly="1" outline="0" fieldPosition="0">
        <references count="2">
          <reference field="11" count="1" selected="0">
            <x v="332"/>
          </reference>
          <reference field="14" count="1">
            <x v="74"/>
          </reference>
        </references>
      </pivotArea>
    </format>
    <format dxfId="2217">
      <pivotArea dataOnly="0" labelOnly="1" outline="0" fieldPosition="0">
        <references count="2">
          <reference field="11" count="1" selected="0">
            <x v="332"/>
          </reference>
          <reference field="14" count="1" defaultSubtotal="1">
            <x v="74"/>
          </reference>
        </references>
      </pivotArea>
    </format>
    <format dxfId="2216">
      <pivotArea dataOnly="0" labelOnly="1" outline="0" fieldPosition="0">
        <references count="2">
          <reference field="11" count="1" selected="0">
            <x v="333"/>
          </reference>
          <reference field="14" count="1">
            <x v="202"/>
          </reference>
        </references>
      </pivotArea>
    </format>
    <format dxfId="2215">
      <pivotArea dataOnly="0" labelOnly="1" outline="0" fieldPosition="0">
        <references count="2">
          <reference field="11" count="1" selected="0">
            <x v="333"/>
          </reference>
          <reference field="14" count="1" defaultSubtotal="1">
            <x v="202"/>
          </reference>
        </references>
      </pivotArea>
    </format>
    <format dxfId="2214">
      <pivotArea dataOnly="0" labelOnly="1" outline="0" fieldPosition="0">
        <references count="2">
          <reference field="11" count="1" selected="0">
            <x v="334"/>
          </reference>
          <reference field="14" count="1">
            <x v="384"/>
          </reference>
        </references>
      </pivotArea>
    </format>
    <format dxfId="2213">
      <pivotArea dataOnly="0" labelOnly="1" outline="0" fieldPosition="0">
        <references count="2">
          <reference field="11" count="1" selected="0">
            <x v="334"/>
          </reference>
          <reference field="14" count="1" defaultSubtotal="1">
            <x v="384"/>
          </reference>
        </references>
      </pivotArea>
    </format>
    <format dxfId="2212">
      <pivotArea dataOnly="0" labelOnly="1" outline="0" fieldPosition="0">
        <references count="2">
          <reference field="11" count="1" selected="0">
            <x v="335"/>
          </reference>
          <reference field="14" count="1">
            <x v="309"/>
          </reference>
        </references>
      </pivotArea>
    </format>
    <format dxfId="2211">
      <pivotArea dataOnly="0" labelOnly="1" outline="0" fieldPosition="0">
        <references count="2">
          <reference field="11" count="1" selected="0">
            <x v="335"/>
          </reference>
          <reference field="14" count="1" defaultSubtotal="1">
            <x v="309"/>
          </reference>
        </references>
      </pivotArea>
    </format>
    <format dxfId="2210">
      <pivotArea dataOnly="0" labelOnly="1" outline="0" fieldPosition="0">
        <references count="2">
          <reference field="11" count="1" selected="0">
            <x v="336"/>
          </reference>
          <reference field="14" count="1">
            <x v="382"/>
          </reference>
        </references>
      </pivotArea>
    </format>
    <format dxfId="2209">
      <pivotArea dataOnly="0" labelOnly="1" outline="0" fieldPosition="0">
        <references count="2">
          <reference field="11" count="1" selected="0">
            <x v="336"/>
          </reference>
          <reference field="14" count="1" defaultSubtotal="1">
            <x v="382"/>
          </reference>
        </references>
      </pivotArea>
    </format>
    <format dxfId="2208">
      <pivotArea dataOnly="0" labelOnly="1" outline="0" fieldPosition="0">
        <references count="2">
          <reference field="11" count="1" selected="0">
            <x v="337"/>
          </reference>
          <reference field="14" count="1">
            <x v="71"/>
          </reference>
        </references>
      </pivotArea>
    </format>
    <format dxfId="2207">
      <pivotArea dataOnly="0" labelOnly="1" outline="0" fieldPosition="0">
        <references count="2">
          <reference field="11" count="1" selected="0">
            <x v="337"/>
          </reference>
          <reference field="14" count="1" defaultSubtotal="1">
            <x v="71"/>
          </reference>
        </references>
      </pivotArea>
    </format>
    <format dxfId="2206">
      <pivotArea dataOnly="0" labelOnly="1" outline="0" fieldPosition="0">
        <references count="2">
          <reference field="11" count="1" selected="0">
            <x v="338"/>
          </reference>
          <reference field="14" count="1">
            <x v="314"/>
          </reference>
        </references>
      </pivotArea>
    </format>
    <format dxfId="2205">
      <pivotArea dataOnly="0" labelOnly="1" outline="0" fieldPosition="0">
        <references count="2">
          <reference field="11" count="1" selected="0">
            <x v="338"/>
          </reference>
          <reference field="14" count="1" defaultSubtotal="1">
            <x v="314"/>
          </reference>
        </references>
      </pivotArea>
    </format>
    <format dxfId="2204">
      <pivotArea dataOnly="0" labelOnly="1" outline="0" fieldPosition="0">
        <references count="2">
          <reference field="11" count="1" selected="0">
            <x v="339"/>
          </reference>
          <reference field="14" count="1">
            <x v="160"/>
          </reference>
        </references>
      </pivotArea>
    </format>
    <format dxfId="2203">
      <pivotArea dataOnly="0" labelOnly="1" outline="0" fieldPosition="0">
        <references count="2">
          <reference field="11" count="1" selected="0">
            <x v="339"/>
          </reference>
          <reference field="14" count="1" defaultSubtotal="1">
            <x v="160"/>
          </reference>
        </references>
      </pivotArea>
    </format>
    <format dxfId="2202">
      <pivotArea dataOnly="0" labelOnly="1" outline="0" fieldPosition="0">
        <references count="2">
          <reference field="11" count="1" selected="0">
            <x v="340"/>
          </reference>
          <reference field="14" count="1">
            <x v="155"/>
          </reference>
        </references>
      </pivotArea>
    </format>
    <format dxfId="2201">
      <pivotArea dataOnly="0" labelOnly="1" outline="0" fieldPosition="0">
        <references count="2">
          <reference field="11" count="1" selected="0">
            <x v="340"/>
          </reference>
          <reference field="14" count="1" defaultSubtotal="1">
            <x v="155"/>
          </reference>
        </references>
      </pivotArea>
    </format>
    <format dxfId="2200">
      <pivotArea dataOnly="0" labelOnly="1" outline="0" fieldPosition="0">
        <references count="2">
          <reference field="11" count="1" selected="0">
            <x v="341"/>
          </reference>
          <reference field="14" count="1">
            <x v="163"/>
          </reference>
        </references>
      </pivotArea>
    </format>
    <format dxfId="2199">
      <pivotArea dataOnly="0" labelOnly="1" outline="0" fieldPosition="0">
        <references count="2">
          <reference field="11" count="1" selected="0">
            <x v="341"/>
          </reference>
          <reference field="14" count="1" defaultSubtotal="1">
            <x v="163"/>
          </reference>
        </references>
      </pivotArea>
    </format>
    <format dxfId="2198">
      <pivotArea dataOnly="0" labelOnly="1" outline="0" fieldPosition="0">
        <references count="2">
          <reference field="11" count="1" selected="0">
            <x v="342"/>
          </reference>
          <reference field="14" count="1">
            <x v="156"/>
          </reference>
        </references>
      </pivotArea>
    </format>
    <format dxfId="2197">
      <pivotArea dataOnly="0" labelOnly="1" outline="0" fieldPosition="0">
        <references count="2">
          <reference field="11" count="1" selected="0">
            <x v="342"/>
          </reference>
          <reference field="14" count="1" defaultSubtotal="1">
            <x v="156"/>
          </reference>
        </references>
      </pivotArea>
    </format>
    <format dxfId="2196">
      <pivotArea dataOnly="0" labelOnly="1" outline="0" fieldPosition="0">
        <references count="2">
          <reference field="11" count="1" selected="0">
            <x v="343"/>
          </reference>
          <reference field="14" count="1">
            <x v="293"/>
          </reference>
        </references>
      </pivotArea>
    </format>
    <format dxfId="2195">
      <pivotArea dataOnly="0" labelOnly="1" outline="0" fieldPosition="0">
        <references count="2">
          <reference field="11" count="1" selected="0">
            <x v="343"/>
          </reference>
          <reference field="14" count="1" defaultSubtotal="1">
            <x v="293"/>
          </reference>
        </references>
      </pivotArea>
    </format>
    <format dxfId="2194">
      <pivotArea dataOnly="0" labelOnly="1" outline="0" fieldPosition="0">
        <references count="2">
          <reference field="11" count="1" selected="0">
            <x v="344"/>
          </reference>
          <reference field="14" count="1">
            <x v="253"/>
          </reference>
        </references>
      </pivotArea>
    </format>
    <format dxfId="2193">
      <pivotArea dataOnly="0" labelOnly="1" outline="0" fieldPosition="0">
        <references count="2">
          <reference field="11" count="1" selected="0">
            <x v="344"/>
          </reference>
          <reference field="14" count="1" defaultSubtotal="1">
            <x v="253"/>
          </reference>
        </references>
      </pivotArea>
    </format>
    <format dxfId="2192">
      <pivotArea dataOnly="0" labelOnly="1" outline="0" fieldPosition="0">
        <references count="2">
          <reference field="11" count="1" selected="0">
            <x v="345"/>
          </reference>
          <reference field="14" count="1">
            <x v="209"/>
          </reference>
        </references>
      </pivotArea>
    </format>
    <format dxfId="2191">
      <pivotArea dataOnly="0" labelOnly="1" outline="0" fieldPosition="0">
        <references count="2">
          <reference field="11" count="1" selected="0">
            <x v="345"/>
          </reference>
          <reference field="14" count="1" defaultSubtotal="1">
            <x v="209"/>
          </reference>
        </references>
      </pivotArea>
    </format>
    <format dxfId="2190">
      <pivotArea dataOnly="0" labelOnly="1" outline="0" fieldPosition="0">
        <references count="2">
          <reference field="11" count="1" selected="0">
            <x v="346"/>
          </reference>
          <reference field="14" count="1">
            <x v="315"/>
          </reference>
        </references>
      </pivotArea>
    </format>
    <format dxfId="2189">
      <pivotArea dataOnly="0" labelOnly="1" outline="0" fieldPosition="0">
        <references count="2">
          <reference field="11" count="1" selected="0">
            <x v="346"/>
          </reference>
          <reference field="14" count="1" defaultSubtotal="1">
            <x v="315"/>
          </reference>
        </references>
      </pivotArea>
    </format>
    <format dxfId="2188">
      <pivotArea dataOnly="0" labelOnly="1" outline="0" fieldPosition="0">
        <references count="2">
          <reference field="11" count="1" selected="0">
            <x v="347"/>
          </reference>
          <reference field="14" count="1">
            <x v="257"/>
          </reference>
        </references>
      </pivotArea>
    </format>
    <format dxfId="2187">
      <pivotArea dataOnly="0" labelOnly="1" outline="0" fieldPosition="0">
        <references count="2">
          <reference field="11" count="1" selected="0">
            <x v="347"/>
          </reference>
          <reference field="14" count="1" defaultSubtotal="1">
            <x v="257"/>
          </reference>
        </references>
      </pivotArea>
    </format>
    <format dxfId="2186">
      <pivotArea dataOnly="0" labelOnly="1" outline="0" fieldPosition="0">
        <references count="2">
          <reference field="11" count="1" selected="0">
            <x v="348"/>
          </reference>
          <reference field="14" count="1">
            <x v="448"/>
          </reference>
        </references>
      </pivotArea>
    </format>
    <format dxfId="2185">
      <pivotArea dataOnly="0" labelOnly="1" outline="0" fieldPosition="0">
        <references count="2">
          <reference field="11" count="1" selected="0">
            <x v="348"/>
          </reference>
          <reference field="14" count="1" defaultSubtotal="1">
            <x v="448"/>
          </reference>
        </references>
      </pivotArea>
    </format>
    <format dxfId="2184">
      <pivotArea dataOnly="0" labelOnly="1" outline="0" fieldPosition="0">
        <references count="2">
          <reference field="11" count="1" selected="0">
            <x v="349"/>
          </reference>
          <reference field="14" count="1">
            <x v="331"/>
          </reference>
        </references>
      </pivotArea>
    </format>
    <format dxfId="2183">
      <pivotArea dataOnly="0" labelOnly="1" outline="0" fieldPosition="0">
        <references count="2">
          <reference field="11" count="1" selected="0">
            <x v="349"/>
          </reference>
          <reference field="14" count="1" defaultSubtotal="1">
            <x v="331"/>
          </reference>
        </references>
      </pivotArea>
    </format>
    <format dxfId="2182">
      <pivotArea dataOnly="0" labelOnly="1" outline="0" fieldPosition="0">
        <references count="2">
          <reference field="11" count="1" selected="0">
            <x v="350"/>
          </reference>
          <reference field="14" count="1">
            <x v="221"/>
          </reference>
        </references>
      </pivotArea>
    </format>
    <format dxfId="2181">
      <pivotArea dataOnly="0" labelOnly="1" outline="0" fieldPosition="0">
        <references count="2">
          <reference field="11" count="1" selected="0">
            <x v="350"/>
          </reference>
          <reference field="14" count="1" defaultSubtotal="1">
            <x v="221"/>
          </reference>
        </references>
      </pivotArea>
    </format>
    <format dxfId="2180">
      <pivotArea dataOnly="0" labelOnly="1" outline="0" fieldPosition="0">
        <references count="2">
          <reference field="11" count="1" selected="0">
            <x v="351"/>
          </reference>
          <reference field="14" count="1">
            <x v="199"/>
          </reference>
        </references>
      </pivotArea>
    </format>
    <format dxfId="2179">
      <pivotArea dataOnly="0" labelOnly="1" outline="0" fieldPosition="0">
        <references count="2">
          <reference field="11" count="1" selected="0">
            <x v="351"/>
          </reference>
          <reference field="14" count="1" defaultSubtotal="1">
            <x v="199"/>
          </reference>
        </references>
      </pivotArea>
    </format>
    <format dxfId="2178">
      <pivotArea dataOnly="0" labelOnly="1" outline="0" fieldPosition="0">
        <references count="2">
          <reference field="11" count="1" selected="0">
            <x v="352"/>
          </reference>
          <reference field="14" count="1">
            <x v="78"/>
          </reference>
        </references>
      </pivotArea>
    </format>
    <format dxfId="2177">
      <pivotArea dataOnly="0" labelOnly="1" outline="0" fieldPosition="0">
        <references count="2">
          <reference field="11" count="1" selected="0">
            <x v="352"/>
          </reference>
          <reference field="14" count="1" defaultSubtotal="1">
            <x v="78"/>
          </reference>
        </references>
      </pivotArea>
    </format>
    <format dxfId="2176">
      <pivotArea dataOnly="0" labelOnly="1" outline="0" fieldPosition="0">
        <references count="2">
          <reference field="11" count="1" selected="0">
            <x v="353"/>
          </reference>
          <reference field="14" count="1">
            <x v="18"/>
          </reference>
        </references>
      </pivotArea>
    </format>
    <format dxfId="2175">
      <pivotArea dataOnly="0" labelOnly="1" outline="0" fieldPosition="0">
        <references count="2">
          <reference field="11" count="1" selected="0">
            <x v="353"/>
          </reference>
          <reference field="14" count="1" defaultSubtotal="1">
            <x v="18"/>
          </reference>
        </references>
      </pivotArea>
    </format>
    <format dxfId="2174">
      <pivotArea dataOnly="0" labelOnly="1" outline="0" fieldPosition="0">
        <references count="2">
          <reference field="11" count="1" selected="0">
            <x v="354"/>
          </reference>
          <reference field="14" count="1">
            <x v="135"/>
          </reference>
        </references>
      </pivotArea>
    </format>
    <format dxfId="2173">
      <pivotArea dataOnly="0" labelOnly="1" outline="0" fieldPosition="0">
        <references count="2">
          <reference field="11" count="1" selected="0">
            <x v="354"/>
          </reference>
          <reference field="14" count="1" defaultSubtotal="1">
            <x v="135"/>
          </reference>
        </references>
      </pivotArea>
    </format>
    <format dxfId="2172">
      <pivotArea dataOnly="0" labelOnly="1" outline="0" fieldPosition="0">
        <references count="2">
          <reference field="11" count="1" selected="0">
            <x v="355"/>
          </reference>
          <reference field="14" count="1">
            <x v="296"/>
          </reference>
        </references>
      </pivotArea>
    </format>
    <format dxfId="2171">
      <pivotArea dataOnly="0" labelOnly="1" outline="0" fieldPosition="0">
        <references count="2">
          <reference field="11" count="1" selected="0">
            <x v="355"/>
          </reference>
          <reference field="14" count="1" defaultSubtotal="1">
            <x v="296"/>
          </reference>
        </references>
      </pivotArea>
    </format>
    <format dxfId="2170">
      <pivotArea dataOnly="0" labelOnly="1" outline="0" fieldPosition="0">
        <references count="2">
          <reference field="11" count="1" selected="0">
            <x v="356"/>
          </reference>
          <reference field="14" count="1">
            <x v="299"/>
          </reference>
        </references>
      </pivotArea>
    </format>
    <format dxfId="2169">
      <pivotArea dataOnly="0" labelOnly="1" outline="0" fieldPosition="0">
        <references count="2">
          <reference field="11" count="1" selected="0">
            <x v="356"/>
          </reference>
          <reference field="14" count="1" defaultSubtotal="1">
            <x v="299"/>
          </reference>
        </references>
      </pivotArea>
    </format>
    <format dxfId="2168">
      <pivotArea dataOnly="0" labelOnly="1" outline="0" fieldPosition="0">
        <references count="2">
          <reference field="11" count="1" selected="0">
            <x v="357"/>
          </reference>
          <reference field="14" count="1">
            <x v="298"/>
          </reference>
        </references>
      </pivotArea>
    </format>
    <format dxfId="2167">
      <pivotArea dataOnly="0" labelOnly="1" outline="0" fieldPosition="0">
        <references count="2">
          <reference field="11" count="1" selected="0">
            <x v="357"/>
          </reference>
          <reference field="14" count="1" defaultSubtotal="1">
            <x v="298"/>
          </reference>
        </references>
      </pivotArea>
    </format>
    <format dxfId="2166">
      <pivotArea dataOnly="0" labelOnly="1" outline="0" fieldPosition="0">
        <references count="2">
          <reference field="11" count="1" selected="0">
            <x v="358"/>
          </reference>
          <reference field="14" count="1">
            <x v="292"/>
          </reference>
        </references>
      </pivotArea>
    </format>
    <format dxfId="2165">
      <pivotArea dataOnly="0" labelOnly="1" outline="0" fieldPosition="0">
        <references count="2">
          <reference field="11" count="1" selected="0">
            <x v="358"/>
          </reference>
          <reference field="14" count="1" defaultSubtotal="1">
            <x v="292"/>
          </reference>
        </references>
      </pivotArea>
    </format>
    <format dxfId="2164">
      <pivotArea dataOnly="0" labelOnly="1" outline="0" fieldPosition="0">
        <references count="2">
          <reference field="11" count="1" selected="0">
            <x v="359"/>
          </reference>
          <reference field="14" count="1">
            <x v="39"/>
          </reference>
        </references>
      </pivotArea>
    </format>
    <format dxfId="2163">
      <pivotArea dataOnly="0" labelOnly="1" outline="0" fieldPosition="0">
        <references count="2">
          <reference field="11" count="1" selected="0">
            <x v="359"/>
          </reference>
          <reference field="14" count="1" defaultSubtotal="1">
            <x v="39"/>
          </reference>
        </references>
      </pivotArea>
    </format>
    <format dxfId="2162">
      <pivotArea dataOnly="0" labelOnly="1" outline="0" fieldPosition="0">
        <references count="2">
          <reference field="11" count="1" selected="0">
            <x v="360"/>
          </reference>
          <reference field="14" count="1">
            <x v="24"/>
          </reference>
        </references>
      </pivotArea>
    </format>
    <format dxfId="2161">
      <pivotArea dataOnly="0" labelOnly="1" outline="0" fieldPosition="0">
        <references count="2">
          <reference field="11" count="1" selected="0">
            <x v="360"/>
          </reference>
          <reference field="14" count="1" defaultSubtotal="1">
            <x v="24"/>
          </reference>
        </references>
      </pivotArea>
    </format>
    <format dxfId="2160">
      <pivotArea dataOnly="0" labelOnly="1" outline="0" fieldPosition="0">
        <references count="2">
          <reference field="11" count="1" selected="0">
            <x v="361"/>
          </reference>
          <reference field="14" count="1">
            <x v="352"/>
          </reference>
        </references>
      </pivotArea>
    </format>
    <format dxfId="2159">
      <pivotArea dataOnly="0" labelOnly="1" outline="0" fieldPosition="0">
        <references count="2">
          <reference field="11" count="1" selected="0">
            <x v="361"/>
          </reference>
          <reference field="14" count="1" defaultSubtotal="1">
            <x v="352"/>
          </reference>
        </references>
      </pivotArea>
    </format>
    <format dxfId="2158">
      <pivotArea dataOnly="0" labelOnly="1" outline="0" fieldPosition="0">
        <references count="2">
          <reference field="11" count="1" selected="0">
            <x v="362"/>
          </reference>
          <reference field="14" count="1">
            <x v="21"/>
          </reference>
        </references>
      </pivotArea>
    </format>
    <format dxfId="2157">
      <pivotArea dataOnly="0" labelOnly="1" outline="0" fieldPosition="0">
        <references count="2">
          <reference field="11" count="1" selected="0">
            <x v="362"/>
          </reference>
          <reference field="14" count="1" defaultSubtotal="1">
            <x v="21"/>
          </reference>
        </references>
      </pivotArea>
    </format>
    <format dxfId="2156">
      <pivotArea dataOnly="0" labelOnly="1" outline="0" fieldPosition="0">
        <references count="2">
          <reference field="11" count="1" selected="0">
            <x v="363"/>
          </reference>
          <reference field="14" count="1">
            <x v="6"/>
          </reference>
        </references>
      </pivotArea>
    </format>
    <format dxfId="2155">
      <pivotArea dataOnly="0" labelOnly="1" outline="0" fieldPosition="0">
        <references count="2">
          <reference field="11" count="1" selected="0">
            <x v="363"/>
          </reference>
          <reference field="14" count="1" defaultSubtotal="1">
            <x v="6"/>
          </reference>
        </references>
      </pivotArea>
    </format>
    <format dxfId="2154">
      <pivotArea dataOnly="0" labelOnly="1" outline="0" fieldPosition="0">
        <references count="2">
          <reference field="11" count="1" selected="0">
            <x v="364"/>
          </reference>
          <reference field="14" count="1">
            <x v="212"/>
          </reference>
        </references>
      </pivotArea>
    </format>
    <format dxfId="2153">
      <pivotArea dataOnly="0" labelOnly="1" outline="0" fieldPosition="0">
        <references count="2">
          <reference field="11" count="1" selected="0">
            <x v="364"/>
          </reference>
          <reference field="14" count="1" defaultSubtotal="1">
            <x v="212"/>
          </reference>
        </references>
      </pivotArea>
    </format>
    <format dxfId="2152">
      <pivotArea dataOnly="0" labelOnly="1" outline="0" fieldPosition="0">
        <references count="2">
          <reference field="11" count="1" selected="0">
            <x v="365"/>
          </reference>
          <reference field="14" count="1">
            <x v="284"/>
          </reference>
        </references>
      </pivotArea>
    </format>
    <format dxfId="2151">
      <pivotArea dataOnly="0" labelOnly="1" outline="0" fieldPosition="0">
        <references count="2">
          <reference field="11" count="1" selected="0">
            <x v="365"/>
          </reference>
          <reference field="14" count="1" defaultSubtotal="1">
            <x v="284"/>
          </reference>
        </references>
      </pivotArea>
    </format>
    <format dxfId="2150">
      <pivotArea dataOnly="0" labelOnly="1" outline="0" fieldPosition="0">
        <references count="2">
          <reference field="11" count="1" selected="0">
            <x v="366"/>
          </reference>
          <reference field="14" count="1">
            <x v="254"/>
          </reference>
        </references>
      </pivotArea>
    </format>
    <format dxfId="2149">
      <pivotArea dataOnly="0" labelOnly="1" outline="0" fieldPosition="0">
        <references count="2">
          <reference field="11" count="1" selected="0">
            <x v="366"/>
          </reference>
          <reference field="14" count="1" defaultSubtotal="1">
            <x v="254"/>
          </reference>
        </references>
      </pivotArea>
    </format>
    <format dxfId="2148">
      <pivotArea dataOnly="0" labelOnly="1" outline="0" fieldPosition="0">
        <references count="2">
          <reference field="11" count="1" selected="0">
            <x v="367"/>
          </reference>
          <reference field="14" count="1">
            <x v="457"/>
          </reference>
        </references>
      </pivotArea>
    </format>
    <format dxfId="2147">
      <pivotArea dataOnly="0" labelOnly="1" outline="0" fieldPosition="0">
        <references count="2">
          <reference field="11" count="1" selected="0">
            <x v="367"/>
          </reference>
          <reference field="14" count="1" defaultSubtotal="1">
            <x v="457"/>
          </reference>
        </references>
      </pivotArea>
    </format>
    <format dxfId="2146">
      <pivotArea dataOnly="0" labelOnly="1" outline="0" fieldPosition="0">
        <references count="2">
          <reference field="11" count="1" selected="0">
            <x v="368"/>
          </reference>
          <reference field="14" count="1">
            <x v="2"/>
          </reference>
        </references>
      </pivotArea>
    </format>
    <format dxfId="2145">
      <pivotArea dataOnly="0" labelOnly="1" outline="0" fieldPosition="0">
        <references count="2">
          <reference field="11" count="1" selected="0">
            <x v="368"/>
          </reference>
          <reference field="14" count="1" defaultSubtotal="1">
            <x v="2"/>
          </reference>
        </references>
      </pivotArea>
    </format>
    <format dxfId="2144">
      <pivotArea dataOnly="0" labelOnly="1" outline="0" fieldPosition="0">
        <references count="2">
          <reference field="11" count="1" selected="0">
            <x v="369"/>
          </reference>
          <reference field="14" count="1">
            <x v="147"/>
          </reference>
        </references>
      </pivotArea>
    </format>
    <format dxfId="2143">
      <pivotArea dataOnly="0" labelOnly="1" outline="0" fieldPosition="0">
        <references count="2">
          <reference field="11" count="1" selected="0">
            <x v="369"/>
          </reference>
          <reference field="14" count="1" defaultSubtotal="1">
            <x v="147"/>
          </reference>
        </references>
      </pivotArea>
    </format>
    <format dxfId="2142">
      <pivotArea dataOnly="0" labelOnly="1" outline="0" fieldPosition="0">
        <references count="2">
          <reference field="11" count="1" selected="0">
            <x v="370"/>
          </reference>
          <reference field="14" count="1">
            <x v="112"/>
          </reference>
        </references>
      </pivotArea>
    </format>
    <format dxfId="2141">
      <pivotArea dataOnly="0" labelOnly="1" outline="0" fieldPosition="0">
        <references count="2">
          <reference field="11" count="1" selected="0">
            <x v="370"/>
          </reference>
          <reference field="14" count="1" defaultSubtotal="1">
            <x v="112"/>
          </reference>
        </references>
      </pivotArea>
    </format>
    <format dxfId="2140">
      <pivotArea dataOnly="0" labelOnly="1" outline="0" fieldPosition="0">
        <references count="2">
          <reference field="11" count="1" selected="0">
            <x v="371"/>
          </reference>
          <reference field="14" count="1">
            <x v="81"/>
          </reference>
        </references>
      </pivotArea>
    </format>
    <format dxfId="2139">
      <pivotArea dataOnly="0" labelOnly="1" outline="0" fieldPosition="0">
        <references count="2">
          <reference field="11" count="1" selected="0">
            <x v="371"/>
          </reference>
          <reference field="14" count="1" defaultSubtotal="1">
            <x v="81"/>
          </reference>
        </references>
      </pivotArea>
    </format>
    <format dxfId="2138">
      <pivotArea dataOnly="0" labelOnly="1" outline="0" fieldPosition="0">
        <references count="2">
          <reference field="11" count="1" selected="0">
            <x v="372"/>
          </reference>
          <reference field="14" count="1">
            <x v="82"/>
          </reference>
        </references>
      </pivotArea>
    </format>
    <format dxfId="2137">
      <pivotArea dataOnly="0" labelOnly="1" outline="0" fieldPosition="0">
        <references count="2">
          <reference field="11" count="1" selected="0">
            <x v="372"/>
          </reference>
          <reference field="14" count="1" defaultSubtotal="1">
            <x v="82"/>
          </reference>
        </references>
      </pivotArea>
    </format>
    <format dxfId="2136">
      <pivotArea dataOnly="0" labelOnly="1" outline="0" fieldPosition="0">
        <references count="2">
          <reference field="11" count="1" selected="0">
            <x v="373"/>
          </reference>
          <reference field="14" count="1">
            <x v="85"/>
          </reference>
        </references>
      </pivotArea>
    </format>
    <format dxfId="2135">
      <pivotArea dataOnly="0" labelOnly="1" outline="0" fieldPosition="0">
        <references count="2">
          <reference field="11" count="1" selected="0">
            <x v="373"/>
          </reference>
          <reference field="14" count="1" defaultSubtotal="1">
            <x v="85"/>
          </reference>
        </references>
      </pivotArea>
    </format>
    <format dxfId="2134">
      <pivotArea dataOnly="0" labelOnly="1" outline="0" fieldPosition="0">
        <references count="2">
          <reference field="11" count="1" selected="0">
            <x v="374"/>
          </reference>
          <reference field="14" count="1">
            <x v="89"/>
          </reference>
        </references>
      </pivotArea>
    </format>
    <format dxfId="2133">
      <pivotArea dataOnly="0" labelOnly="1" outline="0" fieldPosition="0">
        <references count="2">
          <reference field="11" count="1" selected="0">
            <x v="374"/>
          </reference>
          <reference field="14" count="1" defaultSubtotal="1">
            <x v="89"/>
          </reference>
        </references>
      </pivotArea>
    </format>
    <format dxfId="2132">
      <pivotArea dataOnly="0" labelOnly="1" outline="0" fieldPosition="0">
        <references count="2">
          <reference field="11" count="1" selected="0">
            <x v="375"/>
          </reference>
          <reference field="14" count="1">
            <x v="88"/>
          </reference>
        </references>
      </pivotArea>
    </format>
    <format dxfId="2131">
      <pivotArea dataOnly="0" labelOnly="1" outline="0" fieldPosition="0">
        <references count="2">
          <reference field="11" count="1" selected="0">
            <x v="375"/>
          </reference>
          <reference field="14" count="1" defaultSubtotal="1">
            <x v="88"/>
          </reference>
        </references>
      </pivotArea>
    </format>
    <format dxfId="2130">
      <pivotArea dataOnly="0" labelOnly="1" outline="0" fieldPosition="0">
        <references count="2">
          <reference field="11" count="1" selected="0">
            <x v="376"/>
          </reference>
          <reference field="14" count="1">
            <x v="87"/>
          </reference>
        </references>
      </pivotArea>
    </format>
    <format dxfId="2129">
      <pivotArea dataOnly="0" labelOnly="1" outline="0" fieldPosition="0">
        <references count="2">
          <reference field="11" count="1" selected="0">
            <x v="376"/>
          </reference>
          <reference field="14" count="1" defaultSubtotal="1">
            <x v="87"/>
          </reference>
        </references>
      </pivotArea>
    </format>
    <format dxfId="2128">
      <pivotArea dataOnly="0" labelOnly="1" outline="0" fieldPosition="0">
        <references count="2">
          <reference field="11" count="1" selected="0">
            <x v="377"/>
          </reference>
          <reference field="14" count="1">
            <x v="79"/>
          </reference>
        </references>
      </pivotArea>
    </format>
    <format dxfId="2127">
      <pivotArea dataOnly="0" labelOnly="1" outline="0" fieldPosition="0">
        <references count="2">
          <reference field="11" count="1" selected="0">
            <x v="377"/>
          </reference>
          <reference field="14" count="1" defaultSubtotal="1">
            <x v="79"/>
          </reference>
        </references>
      </pivotArea>
    </format>
    <format dxfId="2126">
      <pivotArea dataOnly="0" labelOnly="1" outline="0" fieldPosition="0">
        <references count="2">
          <reference field="11" count="1" selected="0">
            <x v="378"/>
          </reference>
          <reference field="14" count="1">
            <x v="92"/>
          </reference>
        </references>
      </pivotArea>
    </format>
    <format dxfId="2125">
      <pivotArea dataOnly="0" labelOnly="1" outline="0" fieldPosition="0">
        <references count="2">
          <reference field="11" count="1" selected="0">
            <x v="378"/>
          </reference>
          <reference field="14" count="1" defaultSubtotal="1">
            <x v="92"/>
          </reference>
        </references>
      </pivotArea>
    </format>
    <format dxfId="2124">
      <pivotArea dataOnly="0" labelOnly="1" outline="0" fieldPosition="0">
        <references count="2">
          <reference field="11" count="1" selected="0">
            <x v="379"/>
          </reference>
          <reference field="14" count="1">
            <x v="145"/>
          </reference>
        </references>
      </pivotArea>
    </format>
    <format dxfId="2123">
      <pivotArea dataOnly="0" labelOnly="1" outline="0" fieldPosition="0">
        <references count="2">
          <reference field="11" count="1" selected="0">
            <x v="379"/>
          </reference>
          <reference field="14" count="1" defaultSubtotal="1">
            <x v="145"/>
          </reference>
        </references>
      </pivotArea>
    </format>
    <format dxfId="2122">
      <pivotArea dataOnly="0" labelOnly="1" outline="0" fieldPosition="0">
        <references count="2">
          <reference field="11" count="1" selected="0">
            <x v="380"/>
          </reference>
          <reference field="14" count="1">
            <x v="334"/>
          </reference>
        </references>
      </pivotArea>
    </format>
    <format dxfId="2121">
      <pivotArea dataOnly="0" labelOnly="1" outline="0" fieldPosition="0">
        <references count="2">
          <reference field="11" count="1" selected="0">
            <x v="380"/>
          </reference>
          <reference field="14" count="1" defaultSubtotal="1">
            <x v="334"/>
          </reference>
        </references>
      </pivotArea>
    </format>
    <format dxfId="2120">
      <pivotArea dataOnly="0" labelOnly="1" outline="0" fieldPosition="0">
        <references count="2">
          <reference field="11" count="1" selected="0">
            <x v="381"/>
          </reference>
          <reference field="14" count="1">
            <x v="399"/>
          </reference>
        </references>
      </pivotArea>
    </format>
    <format dxfId="2119">
      <pivotArea dataOnly="0" labelOnly="1" outline="0" fieldPosition="0">
        <references count="2">
          <reference field="11" count="1" selected="0">
            <x v="381"/>
          </reference>
          <reference field="14" count="1" defaultSubtotal="1">
            <x v="399"/>
          </reference>
        </references>
      </pivotArea>
    </format>
    <format dxfId="2118">
      <pivotArea dataOnly="0" labelOnly="1" outline="0" fieldPosition="0">
        <references count="2">
          <reference field="11" count="1" selected="0">
            <x v="382"/>
          </reference>
          <reference field="14" count="1">
            <x v="400"/>
          </reference>
        </references>
      </pivotArea>
    </format>
    <format dxfId="2117">
      <pivotArea dataOnly="0" labelOnly="1" outline="0" fieldPosition="0">
        <references count="2">
          <reference field="11" count="1" selected="0">
            <x v="382"/>
          </reference>
          <reference field="14" count="1" defaultSubtotal="1">
            <x v="400"/>
          </reference>
        </references>
      </pivotArea>
    </format>
    <format dxfId="2116">
      <pivotArea dataOnly="0" labelOnly="1" outline="0" fieldPosition="0">
        <references count="2">
          <reference field="11" count="1" selected="0">
            <x v="383"/>
          </reference>
          <reference field="14" count="1">
            <x v="364"/>
          </reference>
        </references>
      </pivotArea>
    </format>
    <format dxfId="2115">
      <pivotArea dataOnly="0" labelOnly="1" outline="0" fieldPosition="0">
        <references count="2">
          <reference field="11" count="1" selected="0">
            <x v="383"/>
          </reference>
          <reference field="14" count="1" defaultSubtotal="1">
            <x v="364"/>
          </reference>
        </references>
      </pivotArea>
    </format>
    <format dxfId="2114">
      <pivotArea dataOnly="0" labelOnly="1" outline="0" fieldPosition="0">
        <references count="2">
          <reference field="11" count="1" selected="0">
            <x v="384"/>
          </reference>
          <reference field="14" count="1">
            <x v="211"/>
          </reference>
        </references>
      </pivotArea>
    </format>
    <format dxfId="2113">
      <pivotArea dataOnly="0" labelOnly="1" outline="0" fieldPosition="0">
        <references count="2">
          <reference field="11" count="1" selected="0">
            <x v="384"/>
          </reference>
          <reference field="14" count="1" defaultSubtotal="1">
            <x v="211"/>
          </reference>
        </references>
      </pivotArea>
    </format>
    <format dxfId="2112">
      <pivotArea dataOnly="0" labelOnly="1" outline="0" fieldPosition="0">
        <references count="2">
          <reference field="11" count="1" selected="0">
            <x v="385"/>
          </reference>
          <reference field="14" count="1">
            <x v="7"/>
          </reference>
        </references>
      </pivotArea>
    </format>
    <format dxfId="2111">
      <pivotArea dataOnly="0" labelOnly="1" outline="0" fieldPosition="0">
        <references count="2">
          <reference field="11" count="1" selected="0">
            <x v="385"/>
          </reference>
          <reference field="14" count="1" defaultSubtotal="1">
            <x v="7"/>
          </reference>
        </references>
      </pivotArea>
    </format>
    <format dxfId="2110">
      <pivotArea dataOnly="0" labelOnly="1" outline="0" fieldPosition="0">
        <references count="2">
          <reference field="11" count="1" selected="0">
            <x v="386"/>
          </reference>
          <reference field="14" count="1">
            <x v="297"/>
          </reference>
        </references>
      </pivotArea>
    </format>
    <format dxfId="2109">
      <pivotArea dataOnly="0" labelOnly="1" outline="0" fieldPosition="0">
        <references count="2">
          <reference field="11" count="1" selected="0">
            <x v="386"/>
          </reference>
          <reference field="14" count="1" defaultSubtotal="1">
            <x v="297"/>
          </reference>
        </references>
      </pivotArea>
    </format>
    <format dxfId="2108">
      <pivotArea dataOnly="0" labelOnly="1" outline="0" fieldPosition="0">
        <references count="2">
          <reference field="11" count="1" selected="0">
            <x v="387"/>
          </reference>
          <reference field="14" count="1">
            <x v="408"/>
          </reference>
        </references>
      </pivotArea>
    </format>
    <format dxfId="2107">
      <pivotArea dataOnly="0" labelOnly="1" outline="0" fieldPosition="0">
        <references count="2">
          <reference field="11" count="1" selected="0">
            <x v="387"/>
          </reference>
          <reference field="14" count="1" defaultSubtotal="1">
            <x v="408"/>
          </reference>
        </references>
      </pivotArea>
    </format>
    <format dxfId="2106">
      <pivotArea dataOnly="0" labelOnly="1" outline="0" fieldPosition="0">
        <references count="2">
          <reference field="11" count="1" selected="0">
            <x v="388"/>
          </reference>
          <reference field="14" count="1">
            <x v="190"/>
          </reference>
        </references>
      </pivotArea>
    </format>
    <format dxfId="2105">
      <pivotArea dataOnly="0" labelOnly="1" outline="0" fieldPosition="0">
        <references count="2">
          <reference field="11" count="1" selected="0">
            <x v="388"/>
          </reference>
          <reference field="14" count="1" defaultSubtotal="1">
            <x v="190"/>
          </reference>
        </references>
      </pivotArea>
    </format>
    <format dxfId="2104">
      <pivotArea dataOnly="0" labelOnly="1" outline="0" fieldPosition="0">
        <references count="2">
          <reference field="11" count="1" selected="0">
            <x v="389"/>
          </reference>
          <reference field="14" count="1">
            <x v="140"/>
          </reference>
        </references>
      </pivotArea>
    </format>
    <format dxfId="2103">
      <pivotArea dataOnly="0" labelOnly="1" outline="0" fieldPosition="0">
        <references count="2">
          <reference field="11" count="1" selected="0">
            <x v="389"/>
          </reference>
          <reference field="14" count="1" defaultSubtotal="1">
            <x v="140"/>
          </reference>
        </references>
      </pivotArea>
    </format>
    <format dxfId="2102">
      <pivotArea dataOnly="0" labelOnly="1" outline="0" fieldPosition="0">
        <references count="2">
          <reference field="11" count="1" selected="0">
            <x v="390"/>
          </reference>
          <reference field="14" count="1">
            <x v="445"/>
          </reference>
        </references>
      </pivotArea>
    </format>
    <format dxfId="2101">
      <pivotArea dataOnly="0" labelOnly="1" outline="0" fieldPosition="0">
        <references count="2">
          <reference field="11" count="1" selected="0">
            <x v="390"/>
          </reference>
          <reference field="14" count="1" defaultSubtotal="1">
            <x v="445"/>
          </reference>
        </references>
      </pivotArea>
    </format>
    <format dxfId="2100">
      <pivotArea dataOnly="0" labelOnly="1" outline="0" fieldPosition="0">
        <references count="2">
          <reference field="11" count="1" selected="0">
            <x v="391"/>
          </reference>
          <reference field="14" count="1">
            <x v="422"/>
          </reference>
        </references>
      </pivotArea>
    </format>
    <format dxfId="2099">
      <pivotArea dataOnly="0" labelOnly="1" outline="0" fieldPosition="0">
        <references count="2">
          <reference field="11" count="1" selected="0">
            <x v="391"/>
          </reference>
          <reference field="14" count="1" defaultSubtotal="1">
            <x v="422"/>
          </reference>
        </references>
      </pivotArea>
    </format>
    <format dxfId="2098">
      <pivotArea dataOnly="0" labelOnly="1" outline="0" fieldPosition="0">
        <references count="2">
          <reference field="11" count="1" selected="0">
            <x v="392"/>
          </reference>
          <reference field="14" count="1">
            <x v="198"/>
          </reference>
        </references>
      </pivotArea>
    </format>
    <format dxfId="2097">
      <pivotArea dataOnly="0" labelOnly="1" outline="0" fieldPosition="0">
        <references count="2">
          <reference field="11" count="1" selected="0">
            <x v="392"/>
          </reference>
          <reference field="14" count="1" defaultSubtotal="1">
            <x v="198"/>
          </reference>
        </references>
      </pivotArea>
    </format>
    <format dxfId="2096">
      <pivotArea dataOnly="0" labelOnly="1" outline="0" fieldPosition="0">
        <references count="2">
          <reference field="11" count="1" selected="0">
            <x v="393"/>
          </reference>
          <reference field="14" count="1">
            <x v="205"/>
          </reference>
        </references>
      </pivotArea>
    </format>
    <format dxfId="2095">
      <pivotArea dataOnly="0" labelOnly="1" outline="0" fieldPosition="0">
        <references count="2">
          <reference field="11" count="1" selected="0">
            <x v="393"/>
          </reference>
          <reference field="14" count="1" defaultSubtotal="1">
            <x v="205"/>
          </reference>
        </references>
      </pivotArea>
    </format>
    <format dxfId="2094">
      <pivotArea dataOnly="0" labelOnly="1" outline="0" fieldPosition="0">
        <references count="2">
          <reference field="11" count="1" selected="0">
            <x v="394"/>
          </reference>
          <reference field="14" count="1">
            <x v="53"/>
          </reference>
        </references>
      </pivotArea>
    </format>
    <format dxfId="2093">
      <pivotArea dataOnly="0" labelOnly="1" outline="0" fieldPosition="0">
        <references count="2">
          <reference field="11" count="1" selected="0">
            <x v="394"/>
          </reference>
          <reference field="14" count="1" defaultSubtotal="1">
            <x v="53"/>
          </reference>
        </references>
      </pivotArea>
    </format>
    <format dxfId="2092">
      <pivotArea dataOnly="0" labelOnly="1" outline="0" fieldPosition="0">
        <references count="2">
          <reference field="11" count="1" selected="0">
            <x v="395"/>
          </reference>
          <reference field="14" count="1">
            <x v="245"/>
          </reference>
        </references>
      </pivotArea>
    </format>
    <format dxfId="2091">
      <pivotArea dataOnly="0" labelOnly="1" outline="0" fieldPosition="0">
        <references count="2">
          <reference field="11" count="1" selected="0">
            <x v="395"/>
          </reference>
          <reference field="14" count="1" defaultSubtotal="1">
            <x v="245"/>
          </reference>
        </references>
      </pivotArea>
    </format>
    <format dxfId="2090">
      <pivotArea dataOnly="0" labelOnly="1" outline="0" fieldPosition="0">
        <references count="2">
          <reference field="11" count="1" selected="0">
            <x v="396"/>
          </reference>
          <reference field="14" count="1">
            <x v="169"/>
          </reference>
        </references>
      </pivotArea>
    </format>
    <format dxfId="2089">
      <pivotArea dataOnly="0" labelOnly="1" outline="0" fieldPosition="0">
        <references count="2">
          <reference field="11" count="1" selected="0">
            <x v="396"/>
          </reference>
          <reference field="14" count="1" defaultSubtotal="1">
            <x v="169"/>
          </reference>
        </references>
      </pivotArea>
    </format>
    <format dxfId="2088">
      <pivotArea dataOnly="0" labelOnly="1" outline="0" fieldPosition="0">
        <references count="2">
          <reference field="11" count="1" selected="0">
            <x v="397"/>
          </reference>
          <reference field="14" count="1">
            <x v="167"/>
          </reference>
        </references>
      </pivotArea>
    </format>
    <format dxfId="2087">
      <pivotArea dataOnly="0" labelOnly="1" outline="0" fieldPosition="0">
        <references count="2">
          <reference field="11" count="1" selected="0">
            <x v="397"/>
          </reference>
          <reference field="14" count="1" defaultSubtotal="1">
            <x v="167"/>
          </reference>
        </references>
      </pivotArea>
    </format>
    <format dxfId="2086">
      <pivotArea dataOnly="0" labelOnly="1" outline="0" fieldPosition="0">
        <references count="2">
          <reference field="11" count="1" selected="0">
            <x v="398"/>
          </reference>
          <reference field="14" count="1">
            <x v="360"/>
          </reference>
        </references>
      </pivotArea>
    </format>
    <format dxfId="2085">
      <pivotArea dataOnly="0" labelOnly="1" outline="0" fieldPosition="0">
        <references count="2">
          <reference field="11" count="1" selected="0">
            <x v="398"/>
          </reference>
          <reference field="14" count="1" defaultSubtotal="1">
            <x v="360"/>
          </reference>
        </references>
      </pivotArea>
    </format>
    <format dxfId="2084">
      <pivotArea dataOnly="0" labelOnly="1" outline="0" fieldPosition="0">
        <references count="2">
          <reference field="11" count="1" selected="0">
            <x v="399"/>
          </reference>
          <reference field="14" count="1">
            <x v="95"/>
          </reference>
        </references>
      </pivotArea>
    </format>
    <format dxfId="2083">
      <pivotArea dataOnly="0" labelOnly="1" outline="0" fieldPosition="0">
        <references count="2">
          <reference field="11" count="1" selected="0">
            <x v="399"/>
          </reference>
          <reference field="14" count="1" defaultSubtotal="1">
            <x v="95"/>
          </reference>
        </references>
      </pivotArea>
    </format>
    <format dxfId="2082">
      <pivotArea dataOnly="0" labelOnly="1" outline="0" fieldPosition="0">
        <references count="2">
          <reference field="11" count="1" selected="0">
            <x v="400"/>
          </reference>
          <reference field="14" count="1">
            <x v="260"/>
          </reference>
        </references>
      </pivotArea>
    </format>
    <format dxfId="2081">
      <pivotArea dataOnly="0" labelOnly="1" outline="0" fieldPosition="0">
        <references count="2">
          <reference field="11" count="1" selected="0">
            <x v="400"/>
          </reference>
          <reference field="14" count="1" defaultSubtotal="1">
            <x v="260"/>
          </reference>
        </references>
      </pivotArea>
    </format>
    <format dxfId="2080">
      <pivotArea dataOnly="0" labelOnly="1" outline="0" fieldPosition="0">
        <references count="2">
          <reference field="11" count="1" selected="0">
            <x v="401"/>
          </reference>
          <reference field="14" count="1">
            <x v="75"/>
          </reference>
        </references>
      </pivotArea>
    </format>
    <format dxfId="2079">
      <pivotArea dataOnly="0" labelOnly="1" outline="0" fieldPosition="0">
        <references count="2">
          <reference field="11" count="1" selected="0">
            <x v="401"/>
          </reference>
          <reference field="14" count="1" defaultSubtotal="1">
            <x v="75"/>
          </reference>
        </references>
      </pivotArea>
    </format>
    <format dxfId="2078">
      <pivotArea dataOnly="0" labelOnly="1" outline="0" fieldPosition="0">
        <references count="2">
          <reference field="11" count="1" selected="0">
            <x v="402"/>
          </reference>
          <reference field="14" count="1">
            <x v="322"/>
          </reference>
        </references>
      </pivotArea>
    </format>
    <format dxfId="2077">
      <pivotArea dataOnly="0" labelOnly="1" outline="0" fieldPosition="0">
        <references count="2">
          <reference field="11" count="1" selected="0">
            <x v="402"/>
          </reference>
          <reference field="14" count="1" defaultSubtotal="1">
            <x v="322"/>
          </reference>
        </references>
      </pivotArea>
    </format>
    <format dxfId="2076">
      <pivotArea dataOnly="0" labelOnly="1" outline="0" fieldPosition="0">
        <references count="2">
          <reference field="11" count="1" selected="0">
            <x v="403"/>
          </reference>
          <reference field="14" count="1">
            <x v="146"/>
          </reference>
        </references>
      </pivotArea>
    </format>
    <format dxfId="2075">
      <pivotArea dataOnly="0" labelOnly="1" outline="0" fieldPosition="0">
        <references count="2">
          <reference field="11" count="1" selected="0">
            <x v="403"/>
          </reference>
          <reference field="14" count="1" defaultSubtotal="1">
            <x v="146"/>
          </reference>
        </references>
      </pivotArea>
    </format>
    <format dxfId="2074">
      <pivotArea dataOnly="0" labelOnly="1" outline="0" fieldPosition="0">
        <references count="2">
          <reference field="11" count="1" selected="0">
            <x v="404"/>
          </reference>
          <reference field="14" count="1">
            <x v="443"/>
          </reference>
        </references>
      </pivotArea>
    </format>
    <format dxfId="2073">
      <pivotArea dataOnly="0" labelOnly="1" outline="0" fieldPosition="0">
        <references count="2">
          <reference field="11" count="1" selected="0">
            <x v="404"/>
          </reference>
          <reference field="14" count="1" defaultSubtotal="1">
            <x v="443"/>
          </reference>
        </references>
      </pivotArea>
    </format>
    <format dxfId="2072">
      <pivotArea dataOnly="0" labelOnly="1" outline="0" fieldPosition="0">
        <references count="2">
          <reference field="11" count="1" selected="0">
            <x v="405"/>
          </reference>
          <reference field="14" count="1">
            <x v="359"/>
          </reference>
        </references>
      </pivotArea>
    </format>
    <format dxfId="2071">
      <pivotArea dataOnly="0" labelOnly="1" outline="0" fieldPosition="0">
        <references count="2">
          <reference field="11" count="1" selected="0">
            <x v="405"/>
          </reference>
          <reference field="14" count="1" defaultSubtotal="1">
            <x v="359"/>
          </reference>
        </references>
      </pivotArea>
    </format>
    <format dxfId="2070">
      <pivotArea dataOnly="0" labelOnly="1" outline="0" fieldPosition="0">
        <references count="2">
          <reference field="11" count="1" selected="0">
            <x v="406"/>
          </reference>
          <reference field="14" count="1">
            <x v="381"/>
          </reference>
        </references>
      </pivotArea>
    </format>
    <format dxfId="2069">
      <pivotArea dataOnly="0" labelOnly="1" outline="0" fieldPosition="0">
        <references count="2">
          <reference field="11" count="1" selected="0">
            <x v="406"/>
          </reference>
          <reference field="14" count="1" defaultSubtotal="1">
            <x v="381"/>
          </reference>
        </references>
      </pivotArea>
    </format>
    <format dxfId="2068">
      <pivotArea dataOnly="0" labelOnly="1" outline="0" fieldPosition="0">
        <references count="2">
          <reference field="11" count="1" selected="0">
            <x v="407"/>
          </reference>
          <reference field="14" count="1">
            <x v="65"/>
          </reference>
        </references>
      </pivotArea>
    </format>
    <format dxfId="2067">
      <pivotArea dataOnly="0" labelOnly="1" outline="0" fieldPosition="0">
        <references count="2">
          <reference field="11" count="1" selected="0">
            <x v="407"/>
          </reference>
          <reference field="14" count="1" defaultSubtotal="1">
            <x v="65"/>
          </reference>
        </references>
      </pivotArea>
    </format>
    <format dxfId="2066">
      <pivotArea dataOnly="0" labelOnly="1" outline="0" fieldPosition="0">
        <references count="2">
          <reference field="11" count="1" selected="0">
            <x v="408"/>
          </reference>
          <reference field="14" count="1">
            <x v="20"/>
          </reference>
        </references>
      </pivotArea>
    </format>
    <format dxfId="2065">
      <pivotArea dataOnly="0" labelOnly="1" outline="0" fieldPosition="0">
        <references count="2">
          <reference field="11" count="1" selected="0">
            <x v="408"/>
          </reference>
          <reference field="14" count="1" defaultSubtotal="1">
            <x v="20"/>
          </reference>
        </references>
      </pivotArea>
    </format>
    <format dxfId="2064">
      <pivotArea dataOnly="0" labelOnly="1" outline="0" fieldPosition="0">
        <references count="2">
          <reference field="11" count="1" selected="0">
            <x v="409"/>
          </reference>
          <reference field="14" count="1">
            <x v="175"/>
          </reference>
        </references>
      </pivotArea>
    </format>
    <format dxfId="2063">
      <pivotArea dataOnly="0" labelOnly="1" outline="0" fieldPosition="0">
        <references count="2">
          <reference field="11" count="1" selected="0">
            <x v="409"/>
          </reference>
          <reference field="14" count="1" defaultSubtotal="1">
            <x v="175"/>
          </reference>
        </references>
      </pivotArea>
    </format>
    <format dxfId="2062">
      <pivotArea dataOnly="0" labelOnly="1" outline="0" fieldPosition="0">
        <references count="2">
          <reference field="11" count="1" selected="0">
            <x v="410"/>
          </reference>
          <reference field="14" count="1">
            <x v="366"/>
          </reference>
        </references>
      </pivotArea>
    </format>
    <format dxfId="2061">
      <pivotArea dataOnly="0" labelOnly="1" outline="0" fieldPosition="0">
        <references count="2">
          <reference field="11" count="1" selected="0">
            <x v="410"/>
          </reference>
          <reference field="14" count="1" defaultSubtotal="1">
            <x v="366"/>
          </reference>
        </references>
      </pivotArea>
    </format>
    <format dxfId="2060">
      <pivotArea dataOnly="0" labelOnly="1" outline="0" fieldPosition="0">
        <references count="2">
          <reference field="11" count="1" selected="0">
            <x v="411"/>
          </reference>
          <reference field="14" count="1">
            <x v="204"/>
          </reference>
        </references>
      </pivotArea>
    </format>
    <format dxfId="2059">
      <pivotArea dataOnly="0" labelOnly="1" outline="0" fieldPosition="0">
        <references count="2">
          <reference field="11" count="1" selected="0">
            <x v="411"/>
          </reference>
          <reference field="14" count="1" defaultSubtotal="1">
            <x v="204"/>
          </reference>
        </references>
      </pivotArea>
    </format>
    <format dxfId="2058">
      <pivotArea dataOnly="0" labelOnly="1" outline="0" fieldPosition="0">
        <references count="2">
          <reference field="11" count="1" selected="0">
            <x v="412"/>
          </reference>
          <reference field="14" count="1">
            <x v="441"/>
          </reference>
        </references>
      </pivotArea>
    </format>
    <format dxfId="2057">
      <pivotArea dataOnly="0" labelOnly="1" outline="0" fieldPosition="0">
        <references count="2">
          <reference field="11" count="1" selected="0">
            <x v="412"/>
          </reference>
          <reference field="14" count="1" defaultSubtotal="1">
            <x v="441"/>
          </reference>
        </references>
      </pivotArea>
    </format>
    <format dxfId="2056">
      <pivotArea dataOnly="0" labelOnly="1" outline="0" fieldPosition="0">
        <references count="2">
          <reference field="11" count="1" selected="0">
            <x v="413"/>
          </reference>
          <reference field="14" count="1">
            <x v="73"/>
          </reference>
        </references>
      </pivotArea>
    </format>
    <format dxfId="2055">
      <pivotArea dataOnly="0" labelOnly="1" outline="0" fieldPosition="0">
        <references count="2">
          <reference field="11" count="1" selected="0">
            <x v="413"/>
          </reference>
          <reference field="14" count="1" defaultSubtotal="1">
            <x v="73"/>
          </reference>
        </references>
      </pivotArea>
    </format>
    <format dxfId="2054">
      <pivotArea dataOnly="0" labelOnly="1" outline="0" fieldPosition="0">
        <references count="2">
          <reference field="11" count="1" selected="0">
            <x v="414"/>
          </reference>
          <reference field="14" count="1">
            <x v="125"/>
          </reference>
        </references>
      </pivotArea>
    </format>
    <format dxfId="2053">
      <pivotArea dataOnly="0" labelOnly="1" outline="0" fieldPosition="0">
        <references count="2">
          <reference field="11" count="1" selected="0">
            <x v="414"/>
          </reference>
          <reference field="14" count="1" defaultSubtotal="1">
            <x v="125"/>
          </reference>
        </references>
      </pivotArea>
    </format>
    <format dxfId="2052">
      <pivotArea dataOnly="0" labelOnly="1" outline="0" fieldPosition="0">
        <references count="2">
          <reference field="11" count="1" selected="0">
            <x v="415"/>
          </reference>
          <reference field="14" count="1">
            <x v="324"/>
          </reference>
        </references>
      </pivotArea>
    </format>
    <format dxfId="2051">
      <pivotArea dataOnly="0" labelOnly="1" outline="0" fieldPosition="0">
        <references count="2">
          <reference field="11" count="1" selected="0">
            <x v="415"/>
          </reference>
          <reference field="14" count="1" defaultSubtotal="1">
            <x v="324"/>
          </reference>
        </references>
      </pivotArea>
    </format>
    <format dxfId="2050">
      <pivotArea dataOnly="0" labelOnly="1" outline="0" fieldPosition="0">
        <references count="2">
          <reference field="11" count="1" selected="0">
            <x v="416"/>
          </reference>
          <reference field="14" count="1">
            <x v="108"/>
          </reference>
        </references>
      </pivotArea>
    </format>
    <format dxfId="2049">
      <pivotArea dataOnly="0" labelOnly="1" outline="0" fieldPosition="0">
        <references count="2">
          <reference field="11" count="1" selected="0">
            <x v="416"/>
          </reference>
          <reference field="14" count="1" defaultSubtotal="1">
            <x v="108"/>
          </reference>
        </references>
      </pivotArea>
    </format>
    <format dxfId="2048">
      <pivotArea dataOnly="0" labelOnly="1" outline="0" fieldPosition="0">
        <references count="2">
          <reference field="11" count="1" selected="0">
            <x v="417"/>
          </reference>
          <reference field="14" count="1">
            <x v="109"/>
          </reference>
        </references>
      </pivotArea>
    </format>
    <format dxfId="2047">
      <pivotArea dataOnly="0" labelOnly="1" outline="0" fieldPosition="0">
        <references count="2">
          <reference field="11" count="1" selected="0">
            <x v="417"/>
          </reference>
          <reference field="14" count="1" defaultSubtotal="1">
            <x v="109"/>
          </reference>
        </references>
      </pivotArea>
    </format>
    <format dxfId="2046">
      <pivotArea dataOnly="0" labelOnly="1" outline="0" fieldPosition="0">
        <references count="2">
          <reference field="11" count="1" selected="0">
            <x v="418"/>
          </reference>
          <reference field="14" count="1">
            <x v="110"/>
          </reference>
        </references>
      </pivotArea>
    </format>
    <format dxfId="2045">
      <pivotArea dataOnly="0" labelOnly="1" outline="0" fieldPosition="0">
        <references count="2">
          <reference field="11" count="1" selected="0">
            <x v="418"/>
          </reference>
          <reference field="14" count="1" defaultSubtotal="1">
            <x v="110"/>
          </reference>
        </references>
      </pivotArea>
    </format>
    <format dxfId="2044">
      <pivotArea dataOnly="0" labelOnly="1" outline="0" fieldPosition="0">
        <references count="2">
          <reference field="11" count="1" selected="0">
            <x v="419"/>
          </reference>
          <reference field="14" count="1">
            <x v="107"/>
          </reference>
        </references>
      </pivotArea>
    </format>
    <format dxfId="2043">
      <pivotArea dataOnly="0" labelOnly="1" outline="0" fieldPosition="0">
        <references count="2">
          <reference field="11" count="1" selected="0">
            <x v="419"/>
          </reference>
          <reference field="14" count="1" defaultSubtotal="1">
            <x v="107"/>
          </reference>
        </references>
      </pivotArea>
    </format>
    <format dxfId="2042">
      <pivotArea dataOnly="0" labelOnly="1" outline="0" fieldPosition="0">
        <references count="2">
          <reference field="11" count="1" selected="0">
            <x v="420"/>
          </reference>
          <reference field="14" count="1">
            <x v="45"/>
          </reference>
        </references>
      </pivotArea>
    </format>
    <format dxfId="2041">
      <pivotArea dataOnly="0" labelOnly="1" outline="0" fieldPosition="0">
        <references count="2">
          <reference field="11" count="1" selected="0">
            <x v="420"/>
          </reference>
          <reference field="14" count="1" defaultSubtotal="1">
            <x v="45"/>
          </reference>
        </references>
      </pivotArea>
    </format>
    <format dxfId="2040">
      <pivotArea dataOnly="0" labelOnly="1" outline="0" fieldPosition="0">
        <references count="2">
          <reference field="11" count="1" selected="0">
            <x v="421"/>
          </reference>
          <reference field="14" count="1">
            <x v="287"/>
          </reference>
        </references>
      </pivotArea>
    </format>
    <format dxfId="2039">
      <pivotArea dataOnly="0" labelOnly="1" outline="0" fieldPosition="0">
        <references count="2">
          <reference field="11" count="1" selected="0">
            <x v="421"/>
          </reference>
          <reference field="14" count="1" defaultSubtotal="1">
            <x v="287"/>
          </reference>
        </references>
      </pivotArea>
    </format>
    <format dxfId="2038">
      <pivotArea dataOnly="0" labelOnly="1" outline="0" fieldPosition="0">
        <references count="2">
          <reference field="11" count="1" selected="0">
            <x v="422"/>
          </reference>
          <reference field="14" count="1">
            <x v="363"/>
          </reference>
        </references>
      </pivotArea>
    </format>
    <format dxfId="2037">
      <pivotArea dataOnly="0" labelOnly="1" outline="0" fieldPosition="0">
        <references count="2">
          <reference field="11" count="1" selected="0">
            <x v="422"/>
          </reference>
          <reference field="14" count="1" defaultSubtotal="1">
            <x v="363"/>
          </reference>
        </references>
      </pivotArea>
    </format>
    <format dxfId="2036">
      <pivotArea dataOnly="0" labelOnly="1" outline="0" fieldPosition="0">
        <references count="2">
          <reference field="11" count="1" selected="0">
            <x v="423"/>
          </reference>
          <reference field="14" count="1">
            <x v="259"/>
          </reference>
        </references>
      </pivotArea>
    </format>
    <format dxfId="2035">
      <pivotArea dataOnly="0" labelOnly="1" outline="0" fieldPosition="0">
        <references count="2">
          <reference field="11" count="1" selected="0">
            <x v="423"/>
          </reference>
          <reference field="14" count="1" defaultSubtotal="1">
            <x v="259"/>
          </reference>
        </references>
      </pivotArea>
    </format>
    <format dxfId="2034">
      <pivotArea dataOnly="0" labelOnly="1" outline="0" fieldPosition="0">
        <references count="2">
          <reference field="11" count="1" selected="0">
            <x v="424"/>
          </reference>
          <reference field="14" count="1">
            <x v="408"/>
          </reference>
        </references>
      </pivotArea>
    </format>
    <format dxfId="2033">
      <pivotArea dataOnly="0" labelOnly="1" outline="0" fieldPosition="0">
        <references count="2">
          <reference field="11" count="1" selected="0">
            <x v="424"/>
          </reference>
          <reference field="14" count="1" defaultSubtotal="1">
            <x v="408"/>
          </reference>
        </references>
      </pivotArea>
    </format>
    <format dxfId="2032">
      <pivotArea dataOnly="0" labelOnly="1" outline="0" fieldPosition="0">
        <references count="2">
          <reference field="11" count="1" selected="0">
            <x v="425"/>
          </reference>
          <reference field="14" count="1">
            <x v="289"/>
          </reference>
        </references>
      </pivotArea>
    </format>
    <format dxfId="2031">
      <pivotArea dataOnly="0" labelOnly="1" outline="0" fieldPosition="0">
        <references count="2">
          <reference field="11" count="1" selected="0">
            <x v="425"/>
          </reference>
          <reference field="14" count="1" defaultSubtotal="1">
            <x v="289"/>
          </reference>
        </references>
      </pivotArea>
    </format>
    <format dxfId="2030">
      <pivotArea dataOnly="0" labelOnly="1" outline="0" fieldPosition="0">
        <references count="2">
          <reference field="11" count="1" selected="0">
            <x v="426"/>
          </reference>
          <reference field="14" count="1">
            <x v="401"/>
          </reference>
        </references>
      </pivotArea>
    </format>
    <format dxfId="2029">
      <pivotArea dataOnly="0" labelOnly="1" outline="0" fieldPosition="0">
        <references count="2">
          <reference field="11" count="1" selected="0">
            <x v="426"/>
          </reference>
          <reference field="14" count="1" defaultSubtotal="1">
            <x v="401"/>
          </reference>
        </references>
      </pivotArea>
    </format>
    <format dxfId="2028">
      <pivotArea dataOnly="0" labelOnly="1" outline="0" fieldPosition="0">
        <references count="2">
          <reference field="11" count="1" selected="0">
            <x v="427"/>
          </reference>
          <reference field="14" count="1">
            <x v="407"/>
          </reference>
        </references>
      </pivotArea>
    </format>
    <format dxfId="2027">
      <pivotArea dataOnly="0" labelOnly="1" outline="0" fieldPosition="0">
        <references count="2">
          <reference field="11" count="1" selected="0">
            <x v="427"/>
          </reference>
          <reference field="14" count="1" defaultSubtotal="1">
            <x v="407"/>
          </reference>
        </references>
      </pivotArea>
    </format>
    <format dxfId="2026">
      <pivotArea dataOnly="0" labelOnly="1" outline="0" fieldPosition="0">
        <references count="2">
          <reference field="11" count="1" selected="0">
            <x v="428"/>
          </reference>
          <reference field="14" count="1">
            <x v="412"/>
          </reference>
        </references>
      </pivotArea>
    </format>
    <format dxfId="2025">
      <pivotArea dataOnly="0" labelOnly="1" outline="0" fieldPosition="0">
        <references count="2">
          <reference field="11" count="1" selected="0">
            <x v="428"/>
          </reference>
          <reference field="14" count="1" defaultSubtotal="1">
            <x v="412"/>
          </reference>
        </references>
      </pivotArea>
    </format>
    <format dxfId="2024">
      <pivotArea dataOnly="0" labelOnly="1" outline="0" fieldPosition="0">
        <references count="2">
          <reference field="11" count="1" selected="0">
            <x v="429"/>
          </reference>
          <reference field="14" count="1">
            <x v="421"/>
          </reference>
        </references>
      </pivotArea>
    </format>
    <format dxfId="2023">
      <pivotArea dataOnly="0" labelOnly="1" outline="0" fieldPosition="0">
        <references count="2">
          <reference field="11" count="1" selected="0">
            <x v="429"/>
          </reference>
          <reference field="14" count="1" defaultSubtotal="1">
            <x v="421"/>
          </reference>
        </references>
      </pivotArea>
    </format>
    <format dxfId="2022">
      <pivotArea dataOnly="0" labelOnly="1" outline="0" fieldPosition="0">
        <references count="2">
          <reference field="11" count="1" selected="0">
            <x v="430"/>
          </reference>
          <reference field="14" count="1">
            <x v="444"/>
          </reference>
        </references>
      </pivotArea>
    </format>
    <format dxfId="2021">
      <pivotArea dataOnly="0" labelOnly="1" outline="0" fieldPosition="0">
        <references count="2">
          <reference field="11" count="1" selected="0">
            <x v="430"/>
          </reference>
          <reference field="14" count="1" defaultSubtotal="1">
            <x v="444"/>
          </reference>
        </references>
      </pivotArea>
    </format>
    <format dxfId="2020">
      <pivotArea dataOnly="0" labelOnly="1" outline="0" fieldPosition="0">
        <references count="2">
          <reference field="11" count="1" selected="0">
            <x v="431"/>
          </reference>
          <reference field="14" count="1">
            <x v="191"/>
          </reference>
        </references>
      </pivotArea>
    </format>
    <format dxfId="2019">
      <pivotArea dataOnly="0" labelOnly="1" outline="0" fieldPosition="0">
        <references count="2">
          <reference field="11" count="1" selected="0">
            <x v="431"/>
          </reference>
          <reference field="14" count="1" defaultSubtotal="1">
            <x v="191"/>
          </reference>
        </references>
      </pivotArea>
    </format>
    <format dxfId="2018">
      <pivotArea dataOnly="0" labelOnly="1" outline="0" fieldPosition="0">
        <references count="2">
          <reference field="11" count="1" selected="0">
            <x v="432"/>
          </reference>
          <reference field="14" count="1">
            <x v="119"/>
          </reference>
        </references>
      </pivotArea>
    </format>
    <format dxfId="2017">
      <pivotArea dataOnly="0" labelOnly="1" outline="0" fieldPosition="0">
        <references count="2">
          <reference field="11" count="1" selected="0">
            <x v="432"/>
          </reference>
          <reference field="14" count="1" defaultSubtotal="1">
            <x v="119"/>
          </reference>
        </references>
      </pivotArea>
    </format>
    <format dxfId="2016">
      <pivotArea dataOnly="0" labelOnly="1" outline="0" fieldPosition="0">
        <references count="2">
          <reference field="11" count="1" selected="0">
            <x v="433"/>
          </reference>
          <reference field="14" count="1">
            <x v="80"/>
          </reference>
        </references>
      </pivotArea>
    </format>
    <format dxfId="2015">
      <pivotArea dataOnly="0" labelOnly="1" outline="0" fieldPosition="0">
        <references count="2">
          <reference field="11" count="1" selected="0">
            <x v="433"/>
          </reference>
          <reference field="14" count="1" defaultSubtotal="1">
            <x v="80"/>
          </reference>
        </references>
      </pivotArea>
    </format>
    <format dxfId="2014">
      <pivotArea dataOnly="0" labelOnly="1" outline="0" fieldPosition="0">
        <references count="2">
          <reference field="11" count="1" selected="0">
            <x v="434"/>
          </reference>
          <reference field="14" count="1">
            <x v="84"/>
          </reference>
        </references>
      </pivotArea>
    </format>
    <format dxfId="2013">
      <pivotArea dataOnly="0" labelOnly="1" outline="0" fieldPosition="0">
        <references count="2">
          <reference field="11" count="1" selected="0">
            <x v="434"/>
          </reference>
          <reference field="14" count="1" defaultSubtotal="1">
            <x v="84"/>
          </reference>
        </references>
      </pivotArea>
    </format>
    <format dxfId="2012">
      <pivotArea dataOnly="0" labelOnly="1" outline="0" fieldPosition="0">
        <references count="2">
          <reference field="11" count="1" selected="0">
            <x v="435"/>
          </reference>
          <reference field="14" count="1">
            <x v="236"/>
          </reference>
        </references>
      </pivotArea>
    </format>
    <format dxfId="2011">
      <pivotArea dataOnly="0" labelOnly="1" outline="0" fieldPosition="0">
        <references count="2">
          <reference field="11" count="1" selected="0">
            <x v="435"/>
          </reference>
          <reference field="14" count="1" defaultSubtotal="1">
            <x v="236"/>
          </reference>
        </references>
      </pivotArea>
    </format>
    <format dxfId="2010">
      <pivotArea dataOnly="0" labelOnly="1" outline="0" fieldPosition="0">
        <references count="2">
          <reference field="11" count="1" selected="0">
            <x v="436"/>
          </reference>
          <reference field="14" count="1">
            <x v="99"/>
          </reference>
        </references>
      </pivotArea>
    </format>
    <format dxfId="2009">
      <pivotArea dataOnly="0" labelOnly="1" outline="0" fieldPosition="0">
        <references count="2">
          <reference field="11" count="1" selected="0">
            <x v="436"/>
          </reference>
          <reference field="14" count="1" defaultSubtotal="1">
            <x v="99"/>
          </reference>
        </references>
      </pivotArea>
    </format>
    <format dxfId="2008">
      <pivotArea dataOnly="0" labelOnly="1" outline="0" fieldPosition="0">
        <references count="2">
          <reference field="11" count="1" selected="0">
            <x v="437"/>
          </reference>
          <reference field="14" count="1">
            <x v="246"/>
          </reference>
        </references>
      </pivotArea>
    </format>
    <format dxfId="2007">
      <pivotArea dataOnly="0" labelOnly="1" outline="0" fieldPosition="0">
        <references count="2">
          <reference field="11" count="1" selected="0">
            <x v="437"/>
          </reference>
          <reference field="14" count="1" defaultSubtotal="1">
            <x v="246"/>
          </reference>
        </references>
      </pivotArea>
    </format>
    <format dxfId="2006">
      <pivotArea dataOnly="0" labelOnly="1" outline="0" fieldPosition="0">
        <references count="2">
          <reference field="11" count="1" selected="0">
            <x v="438"/>
          </reference>
          <reference field="14" count="1">
            <x v="15"/>
          </reference>
        </references>
      </pivotArea>
    </format>
    <format dxfId="2005">
      <pivotArea dataOnly="0" labelOnly="1" outline="0" fieldPosition="0">
        <references count="2">
          <reference field="11" count="1" selected="0">
            <x v="438"/>
          </reference>
          <reference field="14" count="1" defaultSubtotal="1">
            <x v="15"/>
          </reference>
        </references>
      </pivotArea>
    </format>
    <format dxfId="2004">
      <pivotArea dataOnly="0" labelOnly="1" outline="0" fieldPosition="0">
        <references count="2">
          <reference field="11" count="1" selected="0">
            <x v="439"/>
          </reference>
          <reference field="14" count="1">
            <x v="446"/>
          </reference>
        </references>
      </pivotArea>
    </format>
    <format dxfId="2003">
      <pivotArea dataOnly="0" labelOnly="1" outline="0" fieldPosition="0">
        <references count="2">
          <reference field="11" count="1" selected="0">
            <x v="439"/>
          </reference>
          <reference field="14" count="1" defaultSubtotal="1">
            <x v="446"/>
          </reference>
        </references>
      </pivotArea>
    </format>
    <format dxfId="2002">
      <pivotArea dataOnly="0" labelOnly="1" outline="0" fieldPosition="0">
        <references count="2">
          <reference field="11" count="1" selected="0">
            <x v="440"/>
          </reference>
          <reference field="14" count="1">
            <x v="208"/>
          </reference>
        </references>
      </pivotArea>
    </format>
    <format dxfId="2001">
      <pivotArea dataOnly="0" labelOnly="1" outline="0" fieldPosition="0">
        <references count="2">
          <reference field="11" count="1" selected="0">
            <x v="440"/>
          </reference>
          <reference field="14" count="1" defaultSubtotal="1">
            <x v="208"/>
          </reference>
        </references>
      </pivotArea>
    </format>
    <format dxfId="2000">
      <pivotArea dataOnly="0" labelOnly="1" outline="0" fieldPosition="0">
        <references count="2">
          <reference field="11" count="1" selected="0">
            <x v="441"/>
          </reference>
          <reference field="14" count="1">
            <x v="30"/>
          </reference>
        </references>
      </pivotArea>
    </format>
    <format dxfId="1999">
      <pivotArea dataOnly="0" labelOnly="1" outline="0" fieldPosition="0">
        <references count="2">
          <reference field="11" count="1" selected="0">
            <x v="441"/>
          </reference>
          <reference field="14" count="1" defaultSubtotal="1">
            <x v="30"/>
          </reference>
        </references>
      </pivotArea>
    </format>
    <format dxfId="1998">
      <pivotArea dataOnly="0" labelOnly="1" outline="0" fieldPosition="0">
        <references count="2">
          <reference field="11" count="1" selected="0">
            <x v="442"/>
          </reference>
          <reference field="14" count="1">
            <x v="306"/>
          </reference>
        </references>
      </pivotArea>
    </format>
    <format dxfId="1997">
      <pivotArea dataOnly="0" labelOnly="1" outline="0" fieldPosition="0">
        <references count="2">
          <reference field="11" count="1" selected="0">
            <x v="442"/>
          </reference>
          <reference field="14" count="1" defaultSubtotal="1">
            <x v="306"/>
          </reference>
        </references>
      </pivotArea>
    </format>
    <format dxfId="1996">
      <pivotArea dataOnly="0" labelOnly="1" outline="0" fieldPosition="0">
        <references count="2">
          <reference field="11" count="1" selected="0">
            <x v="443"/>
          </reference>
          <reference field="14" count="1">
            <x v="432"/>
          </reference>
        </references>
      </pivotArea>
    </format>
    <format dxfId="1995">
      <pivotArea dataOnly="0" labelOnly="1" outline="0" fieldPosition="0">
        <references count="2">
          <reference field="11" count="1" selected="0">
            <x v="443"/>
          </reference>
          <reference field="14" count="1" defaultSubtotal="1">
            <x v="432"/>
          </reference>
        </references>
      </pivotArea>
    </format>
    <format dxfId="1994">
      <pivotArea dataOnly="0" labelOnly="1" outline="0" fieldPosition="0">
        <references count="2">
          <reference field="11" count="1" selected="0">
            <x v="444"/>
          </reference>
          <reference field="14" count="1">
            <x v="436"/>
          </reference>
        </references>
      </pivotArea>
    </format>
    <format dxfId="1993">
      <pivotArea dataOnly="0" labelOnly="1" outline="0" fieldPosition="0">
        <references count="2">
          <reference field="11" count="1" selected="0">
            <x v="444"/>
          </reference>
          <reference field="14" count="1" defaultSubtotal="1">
            <x v="436"/>
          </reference>
        </references>
      </pivotArea>
    </format>
    <format dxfId="1992">
      <pivotArea dataOnly="0" labelOnly="1" outline="0" fieldPosition="0">
        <references count="2">
          <reference field="11" count="1" selected="0">
            <x v="445"/>
          </reference>
          <reference field="14" count="1">
            <x v="437"/>
          </reference>
        </references>
      </pivotArea>
    </format>
    <format dxfId="1991">
      <pivotArea dataOnly="0" labelOnly="1" outline="0" fieldPosition="0">
        <references count="2">
          <reference field="11" count="1" selected="0">
            <x v="445"/>
          </reference>
          <reference field="14" count="1" defaultSubtotal="1">
            <x v="437"/>
          </reference>
        </references>
      </pivotArea>
    </format>
    <format dxfId="1990">
      <pivotArea dataOnly="0" labelOnly="1" outline="0" fieldPosition="0">
        <references count="2">
          <reference field="11" count="1" selected="0">
            <x v="446"/>
          </reference>
          <reference field="14" count="1">
            <x v="29"/>
          </reference>
        </references>
      </pivotArea>
    </format>
    <format dxfId="1989">
      <pivotArea dataOnly="0" labelOnly="1" outline="0" fieldPosition="0">
        <references count="2">
          <reference field="11" count="1" selected="0">
            <x v="446"/>
          </reference>
          <reference field="14" count="1" defaultSubtotal="1">
            <x v="29"/>
          </reference>
        </references>
      </pivotArea>
    </format>
    <format dxfId="1988">
      <pivotArea dataOnly="0" labelOnly="1" outline="0" fieldPosition="0">
        <references count="2">
          <reference field="11" count="1" selected="0">
            <x v="447"/>
          </reference>
          <reference field="14" count="1">
            <x v="57"/>
          </reference>
        </references>
      </pivotArea>
    </format>
    <format dxfId="1987">
      <pivotArea dataOnly="0" labelOnly="1" outline="0" fieldPosition="0">
        <references count="2">
          <reference field="11" count="1" selected="0">
            <x v="447"/>
          </reference>
          <reference field="14" count="1" defaultSubtotal="1">
            <x v="57"/>
          </reference>
        </references>
      </pivotArea>
    </format>
    <format dxfId="1986">
      <pivotArea dataOnly="0" labelOnly="1" outline="0" fieldPosition="0">
        <references count="2">
          <reference field="11" count="1" selected="0">
            <x v="448"/>
          </reference>
          <reference field="14" count="1">
            <x v="58"/>
          </reference>
        </references>
      </pivotArea>
    </format>
    <format dxfId="1985">
      <pivotArea dataOnly="0" labelOnly="1" outline="0" fieldPosition="0">
        <references count="2">
          <reference field="11" count="1" selected="0">
            <x v="448"/>
          </reference>
          <reference field="14" count="1" defaultSubtotal="1">
            <x v="58"/>
          </reference>
        </references>
      </pivotArea>
    </format>
    <format dxfId="1984">
      <pivotArea dataOnly="0" labelOnly="1" outline="0" fieldPosition="0">
        <references count="2">
          <reference field="11" count="1" selected="0">
            <x v="449"/>
          </reference>
          <reference field="14" count="1">
            <x v="10"/>
          </reference>
        </references>
      </pivotArea>
    </format>
    <format dxfId="1983">
      <pivotArea dataOnly="0" labelOnly="1" outline="0" fieldPosition="0">
        <references count="2">
          <reference field="11" count="1" selected="0">
            <x v="449"/>
          </reference>
          <reference field="14" count="1" defaultSubtotal="1">
            <x v="10"/>
          </reference>
        </references>
      </pivotArea>
    </format>
    <format dxfId="1982">
      <pivotArea dataOnly="0" labelOnly="1" outline="0" fieldPosition="0">
        <references count="2">
          <reference field="11" count="1" selected="0">
            <x v="450"/>
          </reference>
          <reference field="14" count="1">
            <x v="141"/>
          </reference>
        </references>
      </pivotArea>
    </format>
    <format dxfId="1981">
      <pivotArea dataOnly="0" labelOnly="1" outline="0" fieldPosition="0">
        <references count="2">
          <reference field="11" count="1" selected="0">
            <x v="450"/>
          </reference>
          <reference field="14" count="1" defaultSubtotal="1">
            <x v="141"/>
          </reference>
        </references>
      </pivotArea>
    </format>
    <format dxfId="1980">
      <pivotArea dataOnly="0" labelOnly="1" outline="0" fieldPosition="0">
        <references count="2">
          <reference field="11" count="1" selected="0">
            <x v="451"/>
          </reference>
          <reference field="14" count="1">
            <x v="101"/>
          </reference>
        </references>
      </pivotArea>
    </format>
    <format dxfId="1979">
      <pivotArea dataOnly="0" labelOnly="1" outline="0" fieldPosition="0">
        <references count="2">
          <reference field="11" count="1" selected="0">
            <x v="451"/>
          </reference>
          <reference field="14" count="1" defaultSubtotal="1">
            <x v="101"/>
          </reference>
        </references>
      </pivotArea>
    </format>
    <format dxfId="1978">
      <pivotArea dataOnly="0" labelOnly="1" outline="0" fieldPosition="0">
        <references count="2">
          <reference field="11" count="1" selected="0">
            <x v="452"/>
          </reference>
          <reference field="14" count="1">
            <x v="450"/>
          </reference>
        </references>
      </pivotArea>
    </format>
    <format dxfId="1977">
      <pivotArea dataOnly="0" labelOnly="1" outline="0" fieldPosition="0">
        <references count="2">
          <reference field="11" count="1" selected="0">
            <x v="452"/>
          </reference>
          <reference field="14" count="1" defaultSubtotal="1">
            <x v="450"/>
          </reference>
        </references>
      </pivotArea>
    </format>
    <format dxfId="1976">
      <pivotArea dataOnly="0" labelOnly="1" outline="0" fieldPosition="0">
        <references count="2">
          <reference field="11" count="1" selected="0">
            <x v="453"/>
          </reference>
          <reference field="14" count="1">
            <x v="144"/>
          </reference>
        </references>
      </pivotArea>
    </format>
    <format dxfId="1975">
      <pivotArea dataOnly="0" labelOnly="1" outline="0" fieldPosition="0">
        <references count="2">
          <reference field="11" count="1" selected="0">
            <x v="453"/>
          </reference>
          <reference field="14" count="1" defaultSubtotal="1">
            <x v="144"/>
          </reference>
        </references>
      </pivotArea>
    </format>
    <format dxfId="1974">
      <pivotArea dataOnly="0" labelOnly="1" outline="0" fieldPosition="0">
        <references count="2">
          <reference field="11" count="1" selected="0">
            <x v="454"/>
          </reference>
          <reference field="14" count="1">
            <x v="397"/>
          </reference>
        </references>
      </pivotArea>
    </format>
    <format dxfId="1973">
      <pivotArea dataOnly="0" labelOnly="1" outline="0" fieldPosition="0">
        <references count="2">
          <reference field="11" count="1" selected="0">
            <x v="454"/>
          </reference>
          <reference field="14" count="1" defaultSubtotal="1">
            <x v="397"/>
          </reference>
        </references>
      </pivotArea>
    </format>
    <format dxfId="1972">
      <pivotArea dataOnly="0" labelOnly="1" outline="0" fieldPosition="0">
        <references count="2">
          <reference field="11" count="1" selected="0">
            <x v="455"/>
          </reference>
          <reference field="14" count="1">
            <x v="390"/>
          </reference>
        </references>
      </pivotArea>
    </format>
    <format dxfId="1971">
      <pivotArea dataOnly="0" labelOnly="1" outline="0" fieldPosition="0">
        <references count="2">
          <reference field="11" count="1" selected="0">
            <x v="455"/>
          </reference>
          <reference field="14" count="1" defaultSubtotal="1">
            <x v="390"/>
          </reference>
        </references>
      </pivotArea>
    </format>
    <format dxfId="1970">
      <pivotArea dataOnly="0" labelOnly="1" outline="0" fieldPosition="0">
        <references count="2">
          <reference field="11" count="1" selected="0">
            <x v="456"/>
          </reference>
          <reference field="14" count="1">
            <x v="452"/>
          </reference>
        </references>
      </pivotArea>
    </format>
    <format dxfId="1969">
      <pivotArea dataOnly="0" labelOnly="1" outline="0" fieldPosition="0">
        <references count="2">
          <reference field="11" count="1" selected="0">
            <x v="456"/>
          </reference>
          <reference field="14" count="1" defaultSubtotal="1">
            <x v="452"/>
          </reference>
        </references>
      </pivotArea>
    </format>
    <format dxfId="1968">
      <pivotArea dataOnly="0" labelOnly="1" outline="0" fieldPosition="0">
        <references count="2">
          <reference field="11" count="1" selected="0">
            <x v="457"/>
          </reference>
          <reference field="14" count="1">
            <x v="12"/>
          </reference>
        </references>
      </pivotArea>
    </format>
    <format dxfId="1967">
      <pivotArea dataOnly="0" labelOnly="1" outline="0" fieldPosition="0">
        <references count="2">
          <reference field="11" count="1" selected="0">
            <x v="457"/>
          </reference>
          <reference field="14" count="1" defaultSubtotal="1">
            <x v="12"/>
          </reference>
        </references>
      </pivotArea>
    </format>
    <format dxfId="1966">
      <pivotArea dataOnly="0" labelOnly="1" outline="0" fieldPosition="0">
        <references count="2">
          <reference field="11" count="1" selected="0">
            <x v="458"/>
          </reference>
          <reference field="14" count="1">
            <x v="367"/>
          </reference>
        </references>
      </pivotArea>
    </format>
    <format dxfId="1965">
      <pivotArea dataOnly="0" labelOnly="1" outline="0" fieldPosition="0">
        <references count="2">
          <reference field="11" count="1" selected="0">
            <x v="458"/>
          </reference>
          <reference field="14" count="1" defaultSubtotal="1">
            <x v="367"/>
          </reference>
        </references>
      </pivotArea>
    </format>
    <format dxfId="1964">
      <pivotArea dataOnly="0" labelOnly="1" outline="0" fieldPosition="0">
        <references count="2">
          <reference field="11" count="1" selected="0">
            <x v="459"/>
          </reference>
          <reference field="14" count="1">
            <x v="368"/>
          </reference>
        </references>
      </pivotArea>
    </format>
    <format dxfId="1963">
      <pivotArea dataOnly="0" labelOnly="1" outline="0" fieldPosition="0">
        <references count="2">
          <reference field="11" count="1" selected="0">
            <x v="459"/>
          </reference>
          <reference field="14" count="1" defaultSubtotal="1">
            <x v="368"/>
          </reference>
        </references>
      </pivotArea>
    </format>
    <format dxfId="1962">
      <pivotArea dataOnly="0" labelOnly="1" outline="0" fieldPosition="0">
        <references count="2">
          <reference field="11" count="1" selected="0">
            <x v="460"/>
          </reference>
          <reference field="14" count="1">
            <x v="369"/>
          </reference>
        </references>
      </pivotArea>
    </format>
    <format dxfId="1961">
      <pivotArea dataOnly="0" labelOnly="1" outline="0" fieldPosition="0">
        <references count="2">
          <reference field="11" count="1" selected="0">
            <x v="460"/>
          </reference>
          <reference field="14" count="1" defaultSubtotal="1">
            <x v="369"/>
          </reference>
        </references>
      </pivotArea>
    </format>
    <format dxfId="1960">
      <pivotArea dataOnly="0" labelOnly="1" outline="0" fieldPosition="0">
        <references count="2">
          <reference field="11" count="1" selected="0">
            <x v="461"/>
          </reference>
          <reference field="14" count="1">
            <x v="301"/>
          </reference>
        </references>
      </pivotArea>
    </format>
    <format dxfId="1959">
      <pivotArea dataOnly="0" labelOnly="1" outline="0" fieldPosition="0">
        <references count="2">
          <reference field="11" count="1" selected="0">
            <x v="461"/>
          </reference>
          <reference field="14" count="1" defaultSubtotal="1">
            <x v="301"/>
          </reference>
        </references>
      </pivotArea>
    </format>
    <format dxfId="1958">
      <pivotArea dataOnly="0" labelOnly="1" outline="0" fieldPosition="0">
        <references count="2">
          <reference field="11" count="1" selected="0">
            <x v="462"/>
          </reference>
          <reference field="14" count="1">
            <x v="434"/>
          </reference>
        </references>
      </pivotArea>
    </format>
    <format dxfId="1957">
      <pivotArea dataOnly="0" labelOnly="1" outline="0" fieldPosition="0">
        <references count="2">
          <reference field="11" count="1" selected="0">
            <x v="462"/>
          </reference>
          <reference field="14" count="1" defaultSubtotal="1">
            <x v="434"/>
          </reference>
        </references>
      </pivotArea>
    </format>
    <format dxfId="1956">
      <pivotArea dataOnly="0" labelOnly="1" outline="0" fieldPosition="0">
        <references count="2">
          <reference field="11" count="1" selected="0">
            <x v="463"/>
          </reference>
          <reference field="14" count="1">
            <x v="440"/>
          </reference>
        </references>
      </pivotArea>
    </format>
    <format dxfId="1955">
      <pivotArea dataOnly="0" labelOnly="1" outline="0" fieldPosition="0">
        <references count="2">
          <reference field="11" count="1" selected="0">
            <x v="463"/>
          </reference>
          <reference field="14" count="1" defaultSubtotal="1">
            <x v="440"/>
          </reference>
        </references>
      </pivotArea>
    </format>
    <format dxfId="1954">
      <pivotArea dataOnly="0" labelOnly="1" outline="0" fieldPosition="0">
        <references count="2">
          <reference field="11" count="1" selected="0">
            <x v="464"/>
          </reference>
          <reference field="14" count="1">
            <x v="442"/>
          </reference>
        </references>
      </pivotArea>
    </format>
    <format dxfId="1953">
      <pivotArea dataOnly="0" labelOnly="1" outline="0" fieldPosition="0">
        <references count="2">
          <reference field="11" count="1" selected="0">
            <x v="464"/>
          </reference>
          <reference field="14" count="1" defaultSubtotal="1">
            <x v="442"/>
          </reference>
        </references>
      </pivotArea>
    </format>
    <format dxfId="1952">
      <pivotArea dataOnly="0" labelOnly="1" outline="0" fieldPosition="0">
        <references count="2">
          <reference field="11" count="1" selected="0">
            <x v="465"/>
          </reference>
          <reference field="14" count="1">
            <x v="355"/>
          </reference>
        </references>
      </pivotArea>
    </format>
    <format dxfId="1951">
      <pivotArea dataOnly="0" labelOnly="1" outline="0" fieldPosition="0">
        <references count="2">
          <reference field="11" count="1" selected="0">
            <x v="465"/>
          </reference>
          <reference field="14" count="1" defaultSubtotal="1">
            <x v="355"/>
          </reference>
        </references>
      </pivotArea>
    </format>
    <format dxfId="1950">
      <pivotArea dataOnly="0" labelOnly="1" outline="0" fieldPosition="0">
        <references count="2">
          <reference field="11" count="1" selected="0">
            <x v="466"/>
          </reference>
          <reference field="14" count="1">
            <x v="115"/>
          </reference>
        </references>
      </pivotArea>
    </format>
    <format dxfId="1949">
      <pivotArea dataOnly="0" labelOnly="1" outline="0" fieldPosition="0">
        <references count="2">
          <reference field="11" count="1" selected="0">
            <x v="466"/>
          </reference>
          <reference field="14" count="1" defaultSubtotal="1">
            <x v="115"/>
          </reference>
        </references>
      </pivotArea>
    </format>
    <format dxfId="1948">
      <pivotArea dataOnly="0" labelOnly="1" outline="0" fieldPosition="0">
        <references count="2">
          <reference field="11" count="1" selected="0">
            <x v="467"/>
          </reference>
          <reference field="14" count="1">
            <x v="270"/>
          </reference>
        </references>
      </pivotArea>
    </format>
    <format dxfId="1947">
      <pivotArea dataOnly="0" labelOnly="1" outline="0" fieldPosition="0">
        <references count="2">
          <reference field="11" count="1" selected="0">
            <x v="467"/>
          </reference>
          <reference field="14" count="1" defaultSubtotal="1">
            <x v="270"/>
          </reference>
        </references>
      </pivotArea>
    </format>
    <format dxfId="1946">
      <pivotArea dataOnly="0" labelOnly="1" outline="0" fieldPosition="0">
        <references count="2">
          <reference field="11" count="1" selected="0">
            <x v="468"/>
          </reference>
          <reference field="14" count="1">
            <x v="380"/>
          </reference>
        </references>
      </pivotArea>
    </format>
    <format dxfId="1945">
      <pivotArea dataOnly="0" labelOnly="1" outline="0" fieldPosition="0">
        <references count="2">
          <reference field="11" count="1" selected="0">
            <x v="468"/>
          </reference>
          <reference field="14" count="1" defaultSubtotal="1">
            <x v="380"/>
          </reference>
        </references>
      </pivotArea>
    </format>
    <format dxfId="1944">
      <pivotArea dataOnly="0" labelOnly="1" outline="0" fieldPosition="0">
        <references count="2">
          <reference field="11" count="1" selected="0">
            <x v="469"/>
          </reference>
          <reference field="14" count="1">
            <x v="291"/>
          </reference>
        </references>
      </pivotArea>
    </format>
    <format dxfId="1943">
      <pivotArea dataOnly="0" labelOnly="1" outline="0" fieldPosition="0">
        <references count="2">
          <reference field="11" count="1" selected="0">
            <x v="469"/>
          </reference>
          <reference field="14" count="1" defaultSubtotal="1">
            <x v="291"/>
          </reference>
        </references>
      </pivotArea>
    </format>
    <format dxfId="1942">
      <pivotArea dataOnly="0" labelOnly="1" outline="0" fieldPosition="0">
        <references count="2">
          <reference field="11" count="1" selected="0">
            <x v="470"/>
          </reference>
          <reference field="14" count="1">
            <x v="100"/>
          </reference>
        </references>
      </pivotArea>
    </format>
    <format dxfId="1941">
      <pivotArea dataOnly="0" labelOnly="1" outline="0" fieldPosition="0">
        <references count="2">
          <reference field="11" count="1" selected="0">
            <x v="470"/>
          </reference>
          <reference field="14" count="1" defaultSubtotal="1">
            <x v="100"/>
          </reference>
        </references>
      </pivotArea>
    </format>
    <format dxfId="1940">
      <pivotArea dataOnly="0" labelOnly="1" outline="0" fieldPosition="0">
        <references count="2">
          <reference field="11" count="1" selected="0">
            <x v="471"/>
          </reference>
          <reference field="14" count="1">
            <x v="295"/>
          </reference>
        </references>
      </pivotArea>
    </format>
    <format dxfId="1939">
      <pivotArea dataOnly="0" labelOnly="1" outline="0" fieldPosition="0">
        <references count="2">
          <reference field="11" count="1" selected="0">
            <x v="471"/>
          </reference>
          <reference field="14" count="1" defaultSubtotal="1">
            <x v="295"/>
          </reference>
        </references>
      </pivotArea>
    </format>
    <format dxfId="1938">
      <pivotArea dataOnly="0" labelOnly="1" outline="0" fieldPosition="0">
        <references count="2">
          <reference field="11" count="1" selected="0">
            <x v="472"/>
          </reference>
          <reference field="14" count="1">
            <x v="325"/>
          </reference>
        </references>
      </pivotArea>
    </format>
    <format dxfId="1937">
      <pivotArea dataOnly="0" labelOnly="1" outline="0" fieldPosition="0">
        <references count="2">
          <reference field="11" count="1" selected="0">
            <x v="472"/>
          </reference>
          <reference field="14" count="1" defaultSubtotal="1">
            <x v="325"/>
          </reference>
        </references>
      </pivotArea>
    </format>
    <format dxfId="1936">
      <pivotArea dataOnly="0" labelOnly="1" outline="0" fieldPosition="0">
        <references count="2">
          <reference field="11" count="1" selected="0">
            <x v="473"/>
          </reference>
          <reference field="14" count="1">
            <x v="425"/>
          </reference>
        </references>
      </pivotArea>
    </format>
    <format dxfId="1935">
      <pivotArea dataOnly="0" labelOnly="1" outline="0" fieldPosition="0">
        <references count="2">
          <reference field="11" count="1" selected="0">
            <x v="473"/>
          </reference>
          <reference field="14" count="1" defaultSubtotal="1">
            <x v="425"/>
          </reference>
        </references>
      </pivotArea>
    </format>
    <format dxfId="1934">
      <pivotArea dataOnly="0" labelOnly="1" outline="0" fieldPosition="0">
        <references count="2">
          <reference field="11" count="1" selected="0">
            <x v="474"/>
          </reference>
          <reference field="14" count="1">
            <x v="424"/>
          </reference>
        </references>
      </pivotArea>
    </format>
    <format dxfId="1933">
      <pivotArea dataOnly="0" labelOnly="1" outline="0" fieldPosition="0">
        <references count="2">
          <reference field="11" count="1" selected="0">
            <x v="474"/>
          </reference>
          <reference field="14" count="1" defaultSubtotal="1">
            <x v="424"/>
          </reference>
        </references>
      </pivotArea>
    </format>
    <format dxfId="1932">
      <pivotArea dataOnly="0" labelOnly="1" outline="0" fieldPosition="0">
        <references count="2">
          <reference field="11" count="1" selected="0">
            <x v="475"/>
          </reference>
          <reference field="14" count="1">
            <x v="435"/>
          </reference>
        </references>
      </pivotArea>
    </format>
    <format dxfId="1931">
      <pivotArea dataOnly="0" labelOnly="1" outline="0" fieldPosition="0">
        <references count="2">
          <reference field="11" count="1" selected="0">
            <x v="475"/>
          </reference>
          <reference field="14" count="1" defaultSubtotal="1">
            <x v="435"/>
          </reference>
        </references>
      </pivotArea>
    </format>
    <format dxfId="1930">
      <pivotArea dataOnly="0" labelOnly="1" outline="0" fieldPosition="0">
        <references count="2">
          <reference field="11" count="1" selected="0">
            <x v="476"/>
          </reference>
          <reference field="14" count="1">
            <x v="151"/>
          </reference>
        </references>
      </pivotArea>
    </format>
    <format dxfId="1929">
      <pivotArea dataOnly="0" labelOnly="1" outline="0" fieldPosition="0">
        <references count="2">
          <reference field="11" count="1" selected="0">
            <x v="476"/>
          </reference>
          <reference field="14" count="1" defaultSubtotal="1">
            <x v="151"/>
          </reference>
        </references>
      </pivotArea>
    </format>
    <format dxfId="1928">
      <pivotArea dataOnly="0" labelOnly="1" outline="0" fieldPosition="0">
        <references count="2">
          <reference field="11" count="1" selected="0">
            <x v="477"/>
          </reference>
          <reference field="14" count="1">
            <x v="419"/>
          </reference>
        </references>
      </pivotArea>
    </format>
    <format dxfId="1927">
      <pivotArea dataOnly="0" labelOnly="1" outline="0" fieldPosition="0">
        <references count="2">
          <reference field="11" count="1" selected="0">
            <x v="477"/>
          </reference>
          <reference field="14" count="1" defaultSubtotal="1">
            <x v="419"/>
          </reference>
        </references>
      </pivotArea>
    </format>
    <format dxfId="1926">
      <pivotArea dataOnly="0" labelOnly="1" outline="0" fieldPosition="0">
        <references count="2">
          <reference field="11" count="1" selected="0">
            <x v="478"/>
          </reference>
          <reference field="14" count="1">
            <x v="308"/>
          </reference>
        </references>
      </pivotArea>
    </format>
    <format dxfId="1925">
      <pivotArea dataOnly="0" labelOnly="1" outline="0" fieldPosition="0">
        <references count="2">
          <reference field="11" count="1" selected="0">
            <x v="478"/>
          </reference>
          <reference field="14" count="1" defaultSubtotal="1">
            <x v="308"/>
          </reference>
        </references>
      </pivotArea>
    </format>
    <format dxfId="1924">
      <pivotArea dataOnly="0" labelOnly="1" outline="0" fieldPosition="0">
        <references count="2">
          <reference field="11" count="1" selected="0">
            <x v="479"/>
          </reference>
          <reference field="14" count="1">
            <x v="312"/>
          </reference>
        </references>
      </pivotArea>
    </format>
    <format dxfId="1923">
      <pivotArea dataOnly="0" labelOnly="1" outline="0" fieldPosition="0">
        <references count="2">
          <reference field="11" count="1" selected="0">
            <x v="479"/>
          </reference>
          <reference field="14" count="1" defaultSubtotal="1">
            <x v="312"/>
          </reference>
        </references>
      </pivotArea>
    </format>
    <format dxfId="1922">
      <pivotArea dataOnly="0" labelOnly="1" outline="0" fieldPosition="0">
        <references count="2">
          <reference field="11" count="1" selected="0">
            <x v="480"/>
          </reference>
          <reference field="14" count="1">
            <x v="423"/>
          </reference>
        </references>
      </pivotArea>
    </format>
    <format dxfId="1921">
      <pivotArea dataOnly="0" labelOnly="1" outline="0" fieldPosition="0">
        <references count="2">
          <reference field="11" count="1" selected="0">
            <x v="480"/>
          </reference>
          <reference field="14" count="1" defaultSubtotal="1">
            <x v="423"/>
          </reference>
        </references>
      </pivotArea>
    </format>
    <format dxfId="1920">
      <pivotArea dataOnly="0" labelOnly="1" outline="0" fieldPosition="0">
        <references count="2">
          <reference field="11" count="1" selected="0">
            <x v="481"/>
          </reference>
          <reference field="14" count="1">
            <x v="455"/>
          </reference>
        </references>
      </pivotArea>
    </format>
    <format dxfId="1919">
      <pivotArea dataOnly="0" labelOnly="1" outline="0" fieldPosition="0">
        <references count="2">
          <reference field="11" count="1" selected="0">
            <x v="481"/>
          </reference>
          <reference field="14" count="1" defaultSubtotal="1">
            <x v="455"/>
          </reference>
        </references>
      </pivotArea>
    </format>
    <format dxfId="1918">
      <pivotArea dataOnly="0" labelOnly="1" outline="0" fieldPosition="0">
        <references count="2">
          <reference field="11" count="1" selected="0">
            <x v="482"/>
          </reference>
          <reference field="14" count="1">
            <x v="38"/>
          </reference>
        </references>
      </pivotArea>
    </format>
    <format dxfId="1917">
      <pivotArea dataOnly="0" labelOnly="1" outline="0" fieldPosition="0">
        <references count="2">
          <reference field="11" count="1" selected="0">
            <x v="482"/>
          </reference>
          <reference field="14" count="1" defaultSubtotal="1">
            <x v="38"/>
          </reference>
        </references>
      </pivotArea>
    </format>
    <format dxfId="1916">
      <pivotArea dataOnly="0" labelOnly="1" outline="0" fieldPosition="0">
        <references count="2">
          <reference field="11" count="1" selected="0">
            <x v="483"/>
          </reference>
          <reference field="14" count="1">
            <x v="207"/>
          </reference>
        </references>
      </pivotArea>
    </format>
    <format dxfId="1915">
      <pivotArea dataOnly="0" labelOnly="1" outline="0" fieldPosition="0">
        <references count="2">
          <reference field="11" count="1" selected="0">
            <x v="483"/>
          </reference>
          <reference field="14" count="1" defaultSubtotal="1">
            <x v="207"/>
          </reference>
        </references>
      </pivotArea>
    </format>
    <format dxfId="1914">
      <pivotArea dataOnly="0" labelOnly="1" outline="0" fieldPosition="0">
        <references count="2">
          <reference field="11" count="1" selected="0">
            <x v="484"/>
          </reference>
          <reference field="14" count="1">
            <x v="49"/>
          </reference>
        </references>
      </pivotArea>
    </format>
    <format dxfId="1913">
      <pivotArea dataOnly="0" labelOnly="1" outline="0" fieldPosition="0">
        <references count="2">
          <reference field="11" count="1" selected="0">
            <x v="484"/>
          </reference>
          <reference field="14" count="1" defaultSubtotal="1">
            <x v="49"/>
          </reference>
        </references>
      </pivotArea>
    </format>
    <format dxfId="1912">
      <pivotArea dataOnly="0" labelOnly="1" outline="0" fieldPosition="0">
        <references count="2">
          <reference field="11" count="1" selected="0">
            <x v="485"/>
          </reference>
          <reference field="14" count="1">
            <x v="49"/>
          </reference>
        </references>
      </pivotArea>
    </format>
    <format dxfId="1911">
      <pivotArea dataOnly="0" labelOnly="1" outline="0" fieldPosition="0">
        <references count="2">
          <reference field="11" count="1" selected="0">
            <x v="485"/>
          </reference>
          <reference field="14" count="1" defaultSubtotal="1">
            <x v="49"/>
          </reference>
        </references>
      </pivotArea>
    </format>
    <format dxfId="1910">
      <pivotArea dataOnly="0" labelOnly="1" outline="0" fieldPosition="0">
        <references count="2">
          <reference field="11" count="1" selected="0">
            <x v="486"/>
          </reference>
          <reference field="14" count="1">
            <x v="207"/>
          </reference>
        </references>
      </pivotArea>
    </format>
    <format dxfId="1909">
      <pivotArea dataOnly="0" labelOnly="1" outline="0" fieldPosition="0">
        <references count="2">
          <reference field="11" count="1" selected="0">
            <x v="486"/>
          </reference>
          <reference field="14" count="1" defaultSubtotal="1">
            <x v="207"/>
          </reference>
        </references>
      </pivotArea>
    </format>
    <format dxfId="1908">
      <pivotArea dataOnly="0" labelOnly="1" outline="0" fieldPosition="0">
        <references count="2">
          <reference field="11" count="1" selected="0">
            <x v="487"/>
          </reference>
          <reference field="14" count="1">
            <x v="32"/>
          </reference>
        </references>
      </pivotArea>
    </format>
    <format dxfId="1907">
      <pivotArea dataOnly="0" labelOnly="1" outline="0" fieldPosition="0">
        <references count="2">
          <reference field="11" count="1" selected="0">
            <x v="487"/>
          </reference>
          <reference field="14" count="1" defaultSubtotal="1">
            <x v="32"/>
          </reference>
        </references>
      </pivotArea>
    </format>
    <format dxfId="1906">
      <pivotArea dataOnly="0" labelOnly="1" outline="0" fieldPosition="0">
        <references count="2">
          <reference field="11" count="1" selected="0">
            <x v="488"/>
          </reference>
          <reference field="14" count="1">
            <x v="484"/>
          </reference>
        </references>
      </pivotArea>
    </format>
    <format dxfId="1905">
      <pivotArea dataOnly="0" labelOnly="1" outline="0" fieldPosition="0">
        <references count="2">
          <reference field="11" count="1" selected="0">
            <x v="488"/>
          </reference>
          <reference field="14" count="1" defaultSubtotal="1">
            <x v="484"/>
          </reference>
        </references>
      </pivotArea>
    </format>
    <format dxfId="1904">
      <pivotArea dataOnly="0" labelOnly="1" outline="0" fieldPosition="0">
        <references count="3">
          <reference field="11" count="1" selected="0">
            <x v="0"/>
          </reference>
          <reference field="14" count="1" selected="0">
            <x v="90"/>
          </reference>
          <reference field="18" count="1">
            <x v="0"/>
          </reference>
        </references>
      </pivotArea>
    </format>
    <format dxfId="1903">
      <pivotArea dataOnly="0" labelOnly="1" outline="0" fieldPosition="0">
        <references count="3">
          <reference field="11" count="1" selected="0">
            <x v="0"/>
          </reference>
          <reference field="14" count="1" selected="0">
            <x v="90"/>
          </reference>
          <reference field="18" count="1" defaultSubtotal="1">
            <x v="0"/>
          </reference>
        </references>
      </pivotArea>
    </format>
    <format dxfId="1902">
      <pivotArea dataOnly="0" labelOnly="1" outline="0" fieldPosition="0">
        <references count="3">
          <reference field="11" count="1" selected="0">
            <x v="1"/>
          </reference>
          <reference field="14" count="1" selected="0">
            <x v="230"/>
          </reference>
          <reference field="18" count="3">
            <x v="2"/>
            <x v="3"/>
            <x v="12"/>
          </reference>
        </references>
      </pivotArea>
    </format>
    <format dxfId="1901">
      <pivotArea dataOnly="0" labelOnly="1" outline="0" fieldPosition="0">
        <references count="3">
          <reference field="11" count="1" selected="0">
            <x v="1"/>
          </reference>
          <reference field="14" count="1" selected="0">
            <x v="230"/>
          </reference>
          <reference field="18" count="3" defaultSubtotal="1">
            <x v="2"/>
            <x v="3"/>
            <x v="12"/>
          </reference>
        </references>
      </pivotArea>
    </format>
    <format dxfId="1900">
      <pivotArea dataOnly="0" labelOnly="1" outline="0" fieldPosition="0">
        <references count="3">
          <reference field="11" count="1" selected="0">
            <x v="2"/>
          </reference>
          <reference field="14" count="1" selected="0">
            <x v="226"/>
          </reference>
          <reference field="18" count="2">
            <x v="7"/>
            <x v="12"/>
          </reference>
        </references>
      </pivotArea>
    </format>
    <format dxfId="1899">
      <pivotArea dataOnly="0" labelOnly="1" outline="0" fieldPosition="0">
        <references count="3">
          <reference field="11" count="1" selected="0">
            <x v="2"/>
          </reference>
          <reference field="14" count="1" selected="0">
            <x v="226"/>
          </reference>
          <reference field="18" count="2" defaultSubtotal="1">
            <x v="7"/>
            <x v="12"/>
          </reference>
        </references>
      </pivotArea>
    </format>
    <format dxfId="1898">
      <pivotArea dataOnly="0" labelOnly="1" outline="0" fieldPosition="0">
        <references count="3">
          <reference field="11" count="1" selected="0">
            <x v="3"/>
          </reference>
          <reference field="14" count="1" selected="0">
            <x v="31"/>
          </reference>
          <reference field="18" count="2">
            <x v="7"/>
            <x v="12"/>
          </reference>
        </references>
      </pivotArea>
    </format>
    <format dxfId="1897">
      <pivotArea dataOnly="0" labelOnly="1" outline="0" fieldPosition="0">
        <references count="3">
          <reference field="11" count="1" selected="0">
            <x v="3"/>
          </reference>
          <reference field="14" count="1" selected="0">
            <x v="31"/>
          </reference>
          <reference field="18" count="2" defaultSubtotal="1">
            <x v="7"/>
            <x v="12"/>
          </reference>
        </references>
      </pivotArea>
    </format>
    <format dxfId="1896">
      <pivotArea dataOnly="0" labelOnly="1" outline="0" fieldPosition="0">
        <references count="3">
          <reference field="11" count="1" selected="0">
            <x v="4"/>
          </reference>
          <reference field="14" count="1" selected="0">
            <x v="233"/>
          </reference>
          <reference field="18" count="2">
            <x v="7"/>
            <x v="12"/>
          </reference>
        </references>
      </pivotArea>
    </format>
    <format dxfId="1895">
      <pivotArea dataOnly="0" labelOnly="1" outline="0" fieldPosition="0">
        <references count="3">
          <reference field="11" count="1" selected="0">
            <x v="4"/>
          </reference>
          <reference field="14" count="1" selected="0">
            <x v="233"/>
          </reference>
          <reference field="18" count="2" defaultSubtotal="1">
            <x v="7"/>
            <x v="12"/>
          </reference>
        </references>
      </pivotArea>
    </format>
    <format dxfId="1894">
      <pivotArea dataOnly="0" labelOnly="1" outline="0" fieldPosition="0">
        <references count="3">
          <reference field="11" count="1" selected="0">
            <x v="5"/>
          </reference>
          <reference field="14" count="1" selected="0">
            <x v="232"/>
          </reference>
          <reference field="18" count="2">
            <x v="2"/>
            <x v="12"/>
          </reference>
        </references>
      </pivotArea>
    </format>
    <format dxfId="1893">
      <pivotArea dataOnly="0" labelOnly="1" outline="0" fieldPosition="0">
        <references count="3">
          <reference field="11" count="1" selected="0">
            <x v="5"/>
          </reference>
          <reference field="14" count="1" selected="0">
            <x v="232"/>
          </reference>
          <reference field="18" count="2" defaultSubtotal="1">
            <x v="2"/>
            <x v="12"/>
          </reference>
        </references>
      </pivotArea>
    </format>
    <format dxfId="1892">
      <pivotArea dataOnly="0" labelOnly="1" outline="0" fieldPosition="0">
        <references count="3">
          <reference field="11" count="1" selected="0">
            <x v="6"/>
          </reference>
          <reference field="14" count="1" selected="0">
            <x v="19"/>
          </reference>
          <reference field="18" count="2">
            <x v="3"/>
            <x v="12"/>
          </reference>
        </references>
      </pivotArea>
    </format>
    <format dxfId="1891">
      <pivotArea dataOnly="0" labelOnly="1" outline="0" fieldPosition="0">
        <references count="3">
          <reference field="11" count="1" selected="0">
            <x v="6"/>
          </reference>
          <reference field="14" count="1" selected="0">
            <x v="19"/>
          </reference>
          <reference field="18" count="2" defaultSubtotal="1">
            <x v="3"/>
            <x v="12"/>
          </reference>
        </references>
      </pivotArea>
    </format>
    <format dxfId="1890">
      <pivotArea dataOnly="0" labelOnly="1" outline="0" fieldPosition="0">
        <references count="3">
          <reference field="11" count="1" selected="0">
            <x v="7"/>
          </reference>
          <reference field="14" count="1" selected="0">
            <x v="351"/>
          </reference>
          <reference field="18" count="1">
            <x v="27"/>
          </reference>
        </references>
      </pivotArea>
    </format>
    <format dxfId="1889">
      <pivotArea dataOnly="0" labelOnly="1" outline="0" fieldPosition="0">
        <references count="3">
          <reference field="11" count="1" selected="0">
            <x v="7"/>
          </reference>
          <reference field="14" count="1" selected="0">
            <x v="351"/>
          </reference>
          <reference field="18" count="1" defaultSubtotal="1">
            <x v="27"/>
          </reference>
        </references>
      </pivotArea>
    </format>
    <format dxfId="1888">
      <pivotArea dataOnly="0" labelOnly="1" outline="0" fieldPosition="0">
        <references count="3">
          <reference field="11" count="1" selected="0">
            <x v="8"/>
          </reference>
          <reference field="14" count="1" selected="0">
            <x v="375"/>
          </reference>
          <reference field="18" count="1">
            <x v="2"/>
          </reference>
        </references>
      </pivotArea>
    </format>
    <format dxfId="1887">
      <pivotArea dataOnly="0" labelOnly="1" outline="0" fieldPosition="0">
        <references count="3">
          <reference field="11" count="1" selected="0">
            <x v="8"/>
          </reference>
          <reference field="14" count="1" selected="0">
            <x v="375"/>
          </reference>
          <reference field="18" count="1" defaultSubtotal="1">
            <x v="2"/>
          </reference>
        </references>
      </pivotArea>
    </format>
    <format dxfId="1886">
      <pivotArea dataOnly="0" labelOnly="1" outline="0" fieldPosition="0">
        <references count="3">
          <reference field="11" count="1" selected="0">
            <x v="9"/>
          </reference>
          <reference field="14" count="1" selected="0">
            <x v="50"/>
          </reference>
          <reference field="18" count="1">
            <x v="15"/>
          </reference>
        </references>
      </pivotArea>
    </format>
    <format dxfId="1885">
      <pivotArea dataOnly="0" labelOnly="1" outline="0" fieldPosition="0">
        <references count="3">
          <reference field="11" count="1" selected="0">
            <x v="9"/>
          </reference>
          <reference field="14" count="1" selected="0">
            <x v="50"/>
          </reference>
          <reference field="18" count="1" defaultSubtotal="1">
            <x v="15"/>
          </reference>
        </references>
      </pivotArea>
    </format>
    <format dxfId="1884">
      <pivotArea dataOnly="0" labelOnly="1" outline="0" fieldPosition="0">
        <references count="3">
          <reference field="11" count="1" selected="0">
            <x v="10"/>
          </reference>
          <reference field="14" count="1" selected="0">
            <x v="150"/>
          </reference>
          <reference field="18" count="1">
            <x v="4"/>
          </reference>
        </references>
      </pivotArea>
    </format>
    <format dxfId="1883">
      <pivotArea dataOnly="0" labelOnly="1" outline="0" fieldPosition="0">
        <references count="3">
          <reference field="11" count="1" selected="0">
            <x v="10"/>
          </reference>
          <reference field="14" count="1" selected="0">
            <x v="150"/>
          </reference>
          <reference field="18" count="1" defaultSubtotal="1">
            <x v="4"/>
          </reference>
        </references>
      </pivotArea>
    </format>
    <format dxfId="1882">
      <pivotArea dataOnly="0" labelOnly="1" outline="0" fieldPosition="0">
        <references count="3">
          <reference field="11" count="1" selected="0">
            <x v="11"/>
          </reference>
          <reference field="14" count="1" selected="0">
            <x v="265"/>
          </reference>
          <reference field="18" count="1">
            <x v="1"/>
          </reference>
        </references>
      </pivotArea>
    </format>
    <format dxfId="1881">
      <pivotArea dataOnly="0" labelOnly="1" outline="0" fieldPosition="0">
        <references count="3">
          <reference field="11" count="1" selected="0">
            <x v="11"/>
          </reference>
          <reference field="14" count="1" selected="0">
            <x v="265"/>
          </reference>
          <reference field="18" count="1" defaultSubtotal="1">
            <x v="1"/>
          </reference>
        </references>
      </pivotArea>
    </format>
    <format dxfId="1880">
      <pivotArea dataOnly="0" labelOnly="1" outline="0" fieldPosition="0">
        <references count="3">
          <reference field="11" count="1" selected="0">
            <x v="12"/>
          </reference>
          <reference field="14" count="1" selected="0">
            <x v="256"/>
          </reference>
          <reference field="18" count="1">
            <x v="2"/>
          </reference>
        </references>
      </pivotArea>
    </format>
    <format dxfId="1879">
      <pivotArea dataOnly="0" labelOnly="1" outline="0" fieldPosition="0">
        <references count="3">
          <reference field="11" count="1" selected="0">
            <x v="12"/>
          </reference>
          <reference field="14" count="1" selected="0">
            <x v="256"/>
          </reference>
          <reference field="18" count="1" defaultSubtotal="1">
            <x v="2"/>
          </reference>
        </references>
      </pivotArea>
    </format>
    <format dxfId="1878">
      <pivotArea dataOnly="0" labelOnly="1" outline="0" fieldPosition="0">
        <references count="3">
          <reference field="11" count="1" selected="0">
            <x v="13"/>
          </reference>
          <reference field="14" count="1" selected="0">
            <x v="304"/>
          </reference>
          <reference field="18" count="1">
            <x v="2"/>
          </reference>
        </references>
      </pivotArea>
    </format>
    <format dxfId="1877">
      <pivotArea dataOnly="0" labelOnly="1" outline="0" fieldPosition="0">
        <references count="3">
          <reference field="11" count="1" selected="0">
            <x v="13"/>
          </reference>
          <reference field="14" count="1" selected="0">
            <x v="304"/>
          </reference>
          <reference field="18" count="1" defaultSubtotal="1">
            <x v="2"/>
          </reference>
        </references>
      </pivotArea>
    </format>
    <format dxfId="1876">
      <pivotArea dataOnly="0" labelOnly="1" outline="0" fieldPosition="0">
        <references count="3">
          <reference field="11" count="1" selected="0">
            <x v="14"/>
          </reference>
          <reference field="14" count="1" selected="0">
            <x v="17"/>
          </reference>
          <reference field="18" count="2">
            <x v="7"/>
            <x v="12"/>
          </reference>
        </references>
      </pivotArea>
    </format>
    <format dxfId="1875">
      <pivotArea dataOnly="0" labelOnly="1" outline="0" fieldPosition="0">
        <references count="3">
          <reference field="11" count="1" selected="0">
            <x v="14"/>
          </reference>
          <reference field="14" count="1" selected="0">
            <x v="17"/>
          </reference>
          <reference field="18" count="2" defaultSubtotal="1">
            <x v="7"/>
            <x v="12"/>
          </reference>
        </references>
      </pivotArea>
    </format>
    <format dxfId="1874">
      <pivotArea dataOnly="0" labelOnly="1" outline="0" fieldPosition="0">
        <references count="3">
          <reference field="11" count="1" selected="0">
            <x v="15"/>
          </reference>
          <reference field="14" count="1" selected="0">
            <x v="378"/>
          </reference>
          <reference field="18" count="1">
            <x v="6"/>
          </reference>
        </references>
      </pivotArea>
    </format>
    <format dxfId="1873">
      <pivotArea dataOnly="0" labelOnly="1" outline="0" fieldPosition="0">
        <references count="3">
          <reference field="11" count="1" selected="0">
            <x v="15"/>
          </reference>
          <reference field="14" count="1" selected="0">
            <x v="378"/>
          </reference>
          <reference field="18" count="1" defaultSubtotal="1">
            <x v="6"/>
          </reference>
        </references>
      </pivotArea>
    </format>
    <format dxfId="1872">
      <pivotArea dataOnly="0" labelOnly="1" outline="0" fieldPosition="0">
        <references count="3">
          <reference field="11" count="1" selected="0">
            <x v="16"/>
          </reference>
          <reference field="14" count="1" selected="0">
            <x v="286"/>
          </reference>
          <reference field="18" count="1">
            <x v="0"/>
          </reference>
        </references>
      </pivotArea>
    </format>
    <format dxfId="1871">
      <pivotArea dataOnly="0" labelOnly="1" outline="0" fieldPosition="0">
        <references count="3">
          <reference field="11" count="1" selected="0">
            <x v="16"/>
          </reference>
          <reference field="14" count="1" selected="0">
            <x v="286"/>
          </reference>
          <reference field="18" count="1" defaultSubtotal="1">
            <x v="0"/>
          </reference>
        </references>
      </pivotArea>
    </format>
    <format dxfId="1870">
      <pivotArea dataOnly="0" labelOnly="1" outline="0" fieldPosition="0">
        <references count="3">
          <reference field="11" count="1" selected="0">
            <x v="17"/>
          </reference>
          <reference field="14" count="1" selected="0">
            <x v="116"/>
          </reference>
          <reference field="18" count="1">
            <x v="3"/>
          </reference>
        </references>
      </pivotArea>
    </format>
    <format dxfId="1869">
      <pivotArea dataOnly="0" labelOnly="1" outline="0" fieldPosition="0">
        <references count="3">
          <reference field="11" count="1" selected="0">
            <x v="17"/>
          </reference>
          <reference field="14" count="1" selected="0">
            <x v="116"/>
          </reference>
          <reference field="18" count="1" defaultSubtotal="1">
            <x v="3"/>
          </reference>
        </references>
      </pivotArea>
    </format>
    <format dxfId="1868">
      <pivotArea dataOnly="0" labelOnly="1" outline="0" fieldPosition="0">
        <references count="3">
          <reference field="11" count="1" selected="0">
            <x v="18"/>
          </reference>
          <reference field="14" count="1" selected="0">
            <x v="176"/>
          </reference>
          <reference field="18" count="1">
            <x v="6"/>
          </reference>
        </references>
      </pivotArea>
    </format>
    <format dxfId="1867">
      <pivotArea dataOnly="0" labelOnly="1" outline="0" fieldPosition="0">
        <references count="3">
          <reference field="11" count="1" selected="0">
            <x v="18"/>
          </reference>
          <reference field="14" count="1" selected="0">
            <x v="176"/>
          </reference>
          <reference field="18" count="1" defaultSubtotal="1">
            <x v="6"/>
          </reference>
        </references>
      </pivotArea>
    </format>
    <format dxfId="1866">
      <pivotArea dataOnly="0" labelOnly="1" outline="0" fieldPosition="0">
        <references count="3">
          <reference field="11" count="1" selected="0">
            <x v="19"/>
          </reference>
          <reference field="14" count="1" selected="0">
            <x v="460"/>
          </reference>
          <reference field="18" count="2">
            <x v="24"/>
            <x v="27"/>
          </reference>
        </references>
      </pivotArea>
    </format>
    <format dxfId="1865">
      <pivotArea dataOnly="0" labelOnly="1" outline="0" fieldPosition="0">
        <references count="3">
          <reference field="11" count="1" selected="0">
            <x v="19"/>
          </reference>
          <reference field="14" count="1" selected="0">
            <x v="460"/>
          </reference>
          <reference field="18" count="2" defaultSubtotal="1">
            <x v="24"/>
            <x v="27"/>
          </reference>
        </references>
      </pivotArea>
    </format>
    <format dxfId="1864">
      <pivotArea dataOnly="0" labelOnly="1" outline="0" fieldPosition="0">
        <references count="3">
          <reference field="11" count="1" selected="0">
            <x v="20"/>
          </reference>
          <reference field="14" count="1" selected="0">
            <x v="46"/>
          </reference>
          <reference field="18" count="1">
            <x v="0"/>
          </reference>
        </references>
      </pivotArea>
    </format>
    <format dxfId="1863">
      <pivotArea dataOnly="0" labelOnly="1" outline="0" fieldPosition="0">
        <references count="3">
          <reference field="11" count="1" selected="0">
            <x v="20"/>
          </reference>
          <reference field="14" count="1" selected="0">
            <x v="46"/>
          </reference>
          <reference field="18" count="1" defaultSubtotal="1">
            <x v="0"/>
          </reference>
        </references>
      </pivotArea>
    </format>
    <format dxfId="1862">
      <pivotArea dataOnly="0" labelOnly="1" outline="0" fieldPosition="0">
        <references count="3">
          <reference field="11" count="1" selected="0">
            <x v="21"/>
          </reference>
          <reference field="14" count="1" selected="0">
            <x v="347"/>
          </reference>
          <reference field="18" count="1">
            <x v="6"/>
          </reference>
        </references>
      </pivotArea>
    </format>
    <format dxfId="1861">
      <pivotArea dataOnly="0" labelOnly="1" outline="0" fieldPosition="0">
        <references count="3">
          <reference field="11" count="1" selected="0">
            <x v="21"/>
          </reference>
          <reference field="14" count="1" selected="0">
            <x v="347"/>
          </reference>
          <reference field="18" count="1" defaultSubtotal="1">
            <x v="6"/>
          </reference>
        </references>
      </pivotArea>
    </format>
    <format dxfId="1860">
      <pivotArea dataOnly="0" labelOnly="1" outline="0" fieldPosition="0">
        <references count="3">
          <reference field="11" count="1" selected="0">
            <x v="22"/>
          </reference>
          <reference field="14" count="1" selected="0">
            <x v="219"/>
          </reference>
          <reference field="18" count="2">
            <x v="7"/>
            <x v="12"/>
          </reference>
        </references>
      </pivotArea>
    </format>
    <format dxfId="1859">
      <pivotArea dataOnly="0" labelOnly="1" outline="0" fieldPosition="0">
        <references count="3">
          <reference field="11" count="1" selected="0">
            <x v="22"/>
          </reference>
          <reference field="14" count="1" selected="0">
            <x v="219"/>
          </reference>
          <reference field="18" count="2" defaultSubtotal="1">
            <x v="7"/>
            <x v="12"/>
          </reference>
        </references>
      </pivotArea>
    </format>
    <format dxfId="1858">
      <pivotArea dataOnly="0" labelOnly="1" outline="0" fieldPosition="0">
        <references count="3">
          <reference field="11" count="1" selected="0">
            <x v="23"/>
          </reference>
          <reference field="14" count="1" selected="0">
            <x v="94"/>
          </reference>
          <reference field="18" count="1">
            <x v="2"/>
          </reference>
        </references>
      </pivotArea>
    </format>
    <format dxfId="1857">
      <pivotArea dataOnly="0" labelOnly="1" outline="0" fieldPosition="0">
        <references count="3">
          <reference field="11" count="1" selected="0">
            <x v="23"/>
          </reference>
          <reference field="14" count="1" selected="0">
            <x v="94"/>
          </reference>
          <reference field="18" count="1" defaultSubtotal="1">
            <x v="2"/>
          </reference>
        </references>
      </pivotArea>
    </format>
    <format dxfId="1856">
      <pivotArea dataOnly="0" labelOnly="1" outline="0" fieldPosition="0">
        <references count="3">
          <reference field="11" count="1" selected="0">
            <x v="24"/>
          </reference>
          <reference field="14" count="1" selected="0">
            <x v="93"/>
          </reference>
          <reference field="18" count="1">
            <x v="2"/>
          </reference>
        </references>
      </pivotArea>
    </format>
    <format dxfId="1855">
      <pivotArea dataOnly="0" labelOnly="1" outline="0" fieldPosition="0">
        <references count="3">
          <reference field="11" count="1" selected="0">
            <x v="24"/>
          </reference>
          <reference field="14" count="1" selected="0">
            <x v="93"/>
          </reference>
          <reference field="18" count="1" defaultSubtotal="1">
            <x v="2"/>
          </reference>
        </references>
      </pivotArea>
    </format>
    <format dxfId="1854">
      <pivotArea dataOnly="0" labelOnly="1" outline="0" fieldPosition="0">
        <references count="3">
          <reference field="11" count="1" selected="0">
            <x v="25"/>
          </reference>
          <reference field="14" count="1" selected="0">
            <x v="466"/>
          </reference>
          <reference field="18" count="1">
            <x v="1"/>
          </reference>
        </references>
      </pivotArea>
    </format>
    <format dxfId="1853">
      <pivotArea dataOnly="0" labelOnly="1" outline="0" fieldPosition="0">
        <references count="3">
          <reference field="11" count="1" selected="0">
            <x v="25"/>
          </reference>
          <reference field="14" count="1" selected="0">
            <x v="466"/>
          </reference>
          <reference field="18" count="1" defaultSubtotal="1">
            <x v="1"/>
          </reference>
        </references>
      </pivotArea>
    </format>
    <format dxfId="1852">
      <pivotArea dataOnly="0" labelOnly="1" outline="0" fieldPosition="0">
        <references count="3">
          <reference field="11" count="1" selected="0">
            <x v="26"/>
          </reference>
          <reference field="14" count="1" selected="0">
            <x v="55"/>
          </reference>
          <reference field="18" count="1">
            <x v="0"/>
          </reference>
        </references>
      </pivotArea>
    </format>
    <format dxfId="1851">
      <pivotArea dataOnly="0" labelOnly="1" outline="0" fieldPosition="0">
        <references count="3">
          <reference field="11" count="1" selected="0">
            <x v="26"/>
          </reference>
          <reference field="14" count="1" selected="0">
            <x v="55"/>
          </reference>
          <reference field="18" count="1" defaultSubtotal="1">
            <x v="0"/>
          </reference>
        </references>
      </pivotArea>
    </format>
    <format dxfId="1850">
      <pivotArea dataOnly="0" labelOnly="1" outline="0" fieldPosition="0">
        <references count="3">
          <reference field="11" count="1" selected="0">
            <x v="27"/>
          </reference>
          <reference field="14" count="1" selected="0">
            <x v="458"/>
          </reference>
          <reference field="18" count="1">
            <x v="2"/>
          </reference>
        </references>
      </pivotArea>
    </format>
    <format dxfId="1849">
      <pivotArea dataOnly="0" labelOnly="1" outline="0" fieldPosition="0">
        <references count="3">
          <reference field="11" count="1" selected="0">
            <x v="27"/>
          </reference>
          <reference field="14" count="1" selected="0">
            <x v="458"/>
          </reference>
          <reference field="18" count="1" defaultSubtotal="1">
            <x v="2"/>
          </reference>
        </references>
      </pivotArea>
    </format>
    <format dxfId="1848">
      <pivotArea dataOnly="0" labelOnly="1" outline="0" fieldPosition="0">
        <references count="3">
          <reference field="11" count="1" selected="0">
            <x v="28"/>
          </reference>
          <reference field="14" count="1" selected="0">
            <x v="179"/>
          </reference>
          <reference field="18" count="1">
            <x v="2"/>
          </reference>
        </references>
      </pivotArea>
    </format>
    <format dxfId="1847">
      <pivotArea dataOnly="0" labelOnly="1" outline="0" fieldPosition="0">
        <references count="3">
          <reference field="11" count="1" selected="0">
            <x v="28"/>
          </reference>
          <reference field="14" count="1" selected="0">
            <x v="179"/>
          </reference>
          <reference field="18" count="1" defaultSubtotal="1">
            <x v="2"/>
          </reference>
        </references>
      </pivotArea>
    </format>
    <format dxfId="1846">
      <pivotArea dataOnly="0" labelOnly="1" outline="0" fieldPosition="0">
        <references count="3">
          <reference field="11" count="1" selected="0">
            <x v="29"/>
          </reference>
          <reference field="14" count="1" selected="0">
            <x v="0"/>
          </reference>
          <reference field="18" count="1">
            <x v="2"/>
          </reference>
        </references>
      </pivotArea>
    </format>
    <format dxfId="1845">
      <pivotArea dataOnly="0" labelOnly="1" outline="0" fieldPosition="0">
        <references count="3">
          <reference field="11" count="1" selected="0">
            <x v="29"/>
          </reference>
          <reference field="14" count="1" selected="0">
            <x v="0"/>
          </reference>
          <reference field="18" count="1" defaultSubtotal="1">
            <x v="2"/>
          </reference>
        </references>
      </pivotArea>
    </format>
    <format dxfId="1844">
      <pivotArea dataOnly="0" labelOnly="1" outline="0" fieldPosition="0">
        <references count="3">
          <reference field="11" count="1" selected="0">
            <x v="30"/>
          </reference>
          <reference field="14" count="1" selected="0">
            <x v="1"/>
          </reference>
          <reference field="18" count="1">
            <x v="2"/>
          </reference>
        </references>
      </pivotArea>
    </format>
    <format dxfId="1843">
      <pivotArea dataOnly="0" labelOnly="1" outline="0" fieldPosition="0">
        <references count="3">
          <reference field="11" count="1" selected="0">
            <x v="30"/>
          </reference>
          <reference field="14" count="1" selected="0">
            <x v="1"/>
          </reference>
          <reference field="18" count="1" defaultSubtotal="1">
            <x v="2"/>
          </reference>
        </references>
      </pivotArea>
    </format>
    <format dxfId="1842">
      <pivotArea dataOnly="0" labelOnly="1" outline="0" fieldPosition="0">
        <references count="3">
          <reference field="11" count="1" selected="0">
            <x v="31"/>
          </reference>
          <reference field="14" count="1" selected="0">
            <x v="414"/>
          </reference>
          <reference field="18" count="1">
            <x v="2"/>
          </reference>
        </references>
      </pivotArea>
    </format>
    <format dxfId="1841">
      <pivotArea dataOnly="0" labelOnly="1" outline="0" fieldPosition="0">
        <references count="3">
          <reference field="11" count="1" selected="0">
            <x v="31"/>
          </reference>
          <reference field="14" count="1" selected="0">
            <x v="414"/>
          </reference>
          <reference field="18" count="1" defaultSubtotal="1">
            <x v="2"/>
          </reference>
        </references>
      </pivotArea>
    </format>
    <format dxfId="1840">
      <pivotArea dataOnly="0" labelOnly="1" outline="0" fieldPosition="0">
        <references count="3">
          <reference field="11" count="1" selected="0">
            <x v="32"/>
          </reference>
          <reference field="14" count="1" selected="0">
            <x v="36"/>
          </reference>
          <reference field="18" count="1">
            <x v="6"/>
          </reference>
        </references>
      </pivotArea>
    </format>
    <format dxfId="1839">
      <pivotArea dataOnly="0" labelOnly="1" outline="0" fieldPosition="0">
        <references count="3">
          <reference field="11" count="1" selected="0">
            <x v="32"/>
          </reference>
          <reference field="14" count="1" selected="0">
            <x v="36"/>
          </reference>
          <reference field="18" count="1" defaultSubtotal="1">
            <x v="6"/>
          </reference>
        </references>
      </pivotArea>
    </format>
    <format dxfId="1838">
      <pivotArea dataOnly="0" labelOnly="1" outline="0" fieldPosition="0">
        <references count="3">
          <reference field="11" count="1" selected="0">
            <x v="33"/>
          </reference>
          <reference field="14" count="1" selected="0">
            <x v="341"/>
          </reference>
          <reference field="18" count="1">
            <x v="3"/>
          </reference>
        </references>
      </pivotArea>
    </format>
    <format dxfId="1837">
      <pivotArea dataOnly="0" labelOnly="1" outline="0" fieldPosition="0">
        <references count="3">
          <reference field="11" count="1" selected="0">
            <x v="33"/>
          </reference>
          <reference field="14" count="1" selected="0">
            <x v="341"/>
          </reference>
          <reference field="18" count="1" defaultSubtotal="1">
            <x v="3"/>
          </reference>
        </references>
      </pivotArea>
    </format>
    <format dxfId="1836">
      <pivotArea dataOnly="0" labelOnly="1" outline="0" fieldPosition="0">
        <references count="3">
          <reference field="11" count="1" selected="0">
            <x v="34"/>
          </reference>
          <reference field="14" count="1" selected="0">
            <x v="340"/>
          </reference>
          <reference field="18" count="1">
            <x v="3"/>
          </reference>
        </references>
      </pivotArea>
    </format>
    <format dxfId="1835">
      <pivotArea dataOnly="0" labelOnly="1" outline="0" fieldPosition="0">
        <references count="3">
          <reference field="11" count="1" selected="0">
            <x v="34"/>
          </reference>
          <reference field="14" count="1" selected="0">
            <x v="340"/>
          </reference>
          <reference field="18" count="1" defaultSubtotal="1">
            <x v="3"/>
          </reference>
        </references>
      </pivotArea>
    </format>
    <format dxfId="1834">
      <pivotArea dataOnly="0" labelOnly="1" outline="0" fieldPosition="0">
        <references count="3">
          <reference field="11" count="1" selected="0">
            <x v="35"/>
          </reference>
          <reference field="14" count="1" selected="0">
            <x v="379"/>
          </reference>
          <reference field="18" count="1">
            <x v="6"/>
          </reference>
        </references>
      </pivotArea>
    </format>
    <format dxfId="1833">
      <pivotArea dataOnly="0" labelOnly="1" outline="0" fieldPosition="0">
        <references count="3">
          <reference field="11" count="1" selected="0">
            <x v="35"/>
          </reference>
          <reference field="14" count="1" selected="0">
            <x v="379"/>
          </reference>
          <reference field="18" count="1" defaultSubtotal="1">
            <x v="6"/>
          </reference>
        </references>
      </pivotArea>
    </format>
    <format dxfId="1832">
      <pivotArea dataOnly="0" labelOnly="1" outline="0" fieldPosition="0">
        <references count="3">
          <reference field="11" count="1" selected="0">
            <x v="36"/>
          </reference>
          <reference field="14" count="1" selected="0">
            <x v="349"/>
          </reference>
          <reference field="18" count="1">
            <x v="6"/>
          </reference>
        </references>
      </pivotArea>
    </format>
    <format dxfId="1831">
      <pivotArea dataOnly="0" labelOnly="1" outline="0" fieldPosition="0">
        <references count="3">
          <reference field="11" count="1" selected="0">
            <x v="36"/>
          </reference>
          <reference field="14" count="1" selected="0">
            <x v="349"/>
          </reference>
          <reference field="18" count="1" defaultSubtotal="1">
            <x v="6"/>
          </reference>
        </references>
      </pivotArea>
    </format>
    <format dxfId="1830">
      <pivotArea dataOnly="0" labelOnly="1" outline="0" fieldPosition="0">
        <references count="3">
          <reference field="11" count="1" selected="0">
            <x v="37"/>
          </reference>
          <reference field="14" count="1" selected="0">
            <x v="348"/>
          </reference>
          <reference field="18" count="1">
            <x v="6"/>
          </reference>
        </references>
      </pivotArea>
    </format>
    <format dxfId="1829">
      <pivotArea dataOnly="0" labelOnly="1" outline="0" fieldPosition="0">
        <references count="3">
          <reference field="11" count="1" selected="0">
            <x v="37"/>
          </reference>
          <reference field="14" count="1" selected="0">
            <x v="348"/>
          </reference>
          <reference field="18" count="1" defaultSubtotal="1">
            <x v="6"/>
          </reference>
        </references>
      </pivotArea>
    </format>
    <format dxfId="1828">
      <pivotArea dataOnly="0" labelOnly="1" outline="0" fieldPosition="0">
        <references count="3">
          <reference field="11" count="1" selected="0">
            <x v="38"/>
          </reference>
          <reference field="14" count="1" selected="0">
            <x v="346"/>
          </reference>
          <reference field="18" count="1">
            <x v="6"/>
          </reference>
        </references>
      </pivotArea>
    </format>
    <format dxfId="1827">
      <pivotArea dataOnly="0" labelOnly="1" outline="0" fieldPosition="0">
        <references count="3">
          <reference field="11" count="1" selected="0">
            <x v="38"/>
          </reference>
          <reference field="14" count="1" selected="0">
            <x v="346"/>
          </reference>
          <reference field="18" count="1" defaultSubtotal="1">
            <x v="6"/>
          </reference>
        </references>
      </pivotArea>
    </format>
    <format dxfId="1826">
      <pivotArea dataOnly="0" labelOnly="1" outline="0" fieldPosition="0">
        <references count="3">
          <reference field="11" count="1" selected="0">
            <x v="39"/>
          </reference>
          <reference field="14" count="1" selected="0">
            <x v="344"/>
          </reference>
          <reference field="18" count="1">
            <x v="6"/>
          </reference>
        </references>
      </pivotArea>
    </format>
    <format dxfId="1825">
      <pivotArea dataOnly="0" labelOnly="1" outline="0" fieldPosition="0">
        <references count="3">
          <reference field="11" count="1" selected="0">
            <x v="39"/>
          </reference>
          <reference field="14" count="1" selected="0">
            <x v="344"/>
          </reference>
          <reference field="18" count="1" defaultSubtotal="1">
            <x v="6"/>
          </reference>
        </references>
      </pivotArea>
    </format>
    <format dxfId="1824">
      <pivotArea dataOnly="0" labelOnly="1" outline="0" fieldPosition="0">
        <references count="3">
          <reference field="11" count="1" selected="0">
            <x v="40"/>
          </reference>
          <reference field="14" count="1" selected="0">
            <x v="345"/>
          </reference>
          <reference field="18" count="1">
            <x v="6"/>
          </reference>
        </references>
      </pivotArea>
    </format>
    <format dxfId="1823">
      <pivotArea dataOnly="0" labelOnly="1" outline="0" fieldPosition="0">
        <references count="3">
          <reference field="11" count="1" selected="0">
            <x v="40"/>
          </reference>
          <reference field="14" count="1" selected="0">
            <x v="345"/>
          </reference>
          <reference field="18" count="1" defaultSubtotal="1">
            <x v="6"/>
          </reference>
        </references>
      </pivotArea>
    </format>
    <format dxfId="1822">
      <pivotArea dataOnly="0" labelOnly="1" outline="0" fieldPosition="0">
        <references count="3">
          <reference field="11" count="1" selected="0">
            <x v="41"/>
          </reference>
          <reference field="14" count="1" selected="0">
            <x v="337"/>
          </reference>
          <reference field="18" count="1">
            <x v="16"/>
          </reference>
        </references>
      </pivotArea>
    </format>
    <format dxfId="1821">
      <pivotArea dataOnly="0" labelOnly="1" outline="0" fieldPosition="0">
        <references count="3">
          <reference field="11" count="1" selected="0">
            <x v="41"/>
          </reference>
          <reference field="14" count="1" selected="0">
            <x v="337"/>
          </reference>
          <reference field="18" count="1" defaultSubtotal="1">
            <x v="16"/>
          </reference>
        </references>
      </pivotArea>
    </format>
    <format dxfId="1820">
      <pivotArea dataOnly="0" labelOnly="1" outline="0" fieldPosition="0">
        <references count="3">
          <reference field="11" count="1" selected="0">
            <x v="42"/>
          </reference>
          <reference field="14" count="1" selected="0">
            <x v="59"/>
          </reference>
          <reference field="18" count="1">
            <x v="4"/>
          </reference>
        </references>
      </pivotArea>
    </format>
    <format dxfId="1819">
      <pivotArea dataOnly="0" labelOnly="1" outline="0" fieldPosition="0">
        <references count="3">
          <reference field="11" count="1" selected="0">
            <x v="42"/>
          </reference>
          <reference field="14" count="1" selected="0">
            <x v="59"/>
          </reference>
          <reference field="18" count="1" defaultSubtotal="1">
            <x v="4"/>
          </reference>
        </references>
      </pivotArea>
    </format>
    <format dxfId="1818">
      <pivotArea dataOnly="0" labelOnly="1" outline="0" fieldPosition="0">
        <references count="3">
          <reference field="11" count="1" selected="0">
            <x v="43"/>
          </reference>
          <reference field="14" count="1" selected="0">
            <x v="410"/>
          </reference>
          <reference field="18" count="2">
            <x v="0"/>
            <x v="14"/>
          </reference>
        </references>
      </pivotArea>
    </format>
    <format dxfId="1817">
      <pivotArea dataOnly="0" labelOnly="1" outline="0" fieldPosition="0">
        <references count="3">
          <reference field="11" count="1" selected="0">
            <x v="43"/>
          </reference>
          <reference field="14" count="1" selected="0">
            <x v="410"/>
          </reference>
          <reference field="18" count="2" defaultSubtotal="1">
            <x v="0"/>
            <x v="14"/>
          </reference>
        </references>
      </pivotArea>
    </format>
    <format dxfId="1816">
      <pivotArea dataOnly="0" labelOnly="1" outline="0" fieldPosition="0">
        <references count="3">
          <reference field="11" count="1" selected="0">
            <x v="44"/>
          </reference>
          <reference field="14" count="1" selected="0">
            <x v="77"/>
          </reference>
          <reference field="18" count="2">
            <x v="2"/>
            <x v="22"/>
          </reference>
        </references>
      </pivotArea>
    </format>
    <format dxfId="1815">
      <pivotArea dataOnly="0" labelOnly="1" outline="0" fieldPosition="0">
        <references count="3">
          <reference field="11" count="1" selected="0">
            <x v="44"/>
          </reference>
          <reference field="14" count="1" selected="0">
            <x v="77"/>
          </reference>
          <reference field="18" count="2" defaultSubtotal="1">
            <x v="2"/>
            <x v="22"/>
          </reference>
        </references>
      </pivotArea>
    </format>
    <format dxfId="1814">
      <pivotArea dataOnly="0" labelOnly="1" outline="0" fieldPosition="0">
        <references count="3">
          <reference field="11" count="1" selected="0">
            <x v="45"/>
          </reference>
          <reference field="14" count="1" selected="0">
            <x v="465"/>
          </reference>
          <reference field="18" count="1">
            <x v="6"/>
          </reference>
        </references>
      </pivotArea>
    </format>
    <format dxfId="1813">
      <pivotArea dataOnly="0" labelOnly="1" outline="0" fieldPosition="0">
        <references count="3">
          <reference field="11" count="1" selected="0">
            <x v="45"/>
          </reference>
          <reference field="14" count="1" selected="0">
            <x v="465"/>
          </reference>
          <reference field="18" count="1" defaultSubtotal="1">
            <x v="6"/>
          </reference>
        </references>
      </pivotArea>
    </format>
    <format dxfId="1812">
      <pivotArea dataOnly="0" labelOnly="1" outline="0" fieldPosition="0">
        <references count="3">
          <reference field="11" count="1" selected="0">
            <x v="46"/>
          </reference>
          <reference field="14" count="1" selected="0">
            <x v="250"/>
          </reference>
          <reference field="18" count="1">
            <x v="2"/>
          </reference>
        </references>
      </pivotArea>
    </format>
    <format dxfId="1811">
      <pivotArea dataOnly="0" labelOnly="1" outline="0" fieldPosition="0">
        <references count="3">
          <reference field="11" count="1" selected="0">
            <x v="46"/>
          </reference>
          <reference field="14" count="1" selected="0">
            <x v="250"/>
          </reference>
          <reference field="18" count="1" defaultSubtotal="1">
            <x v="2"/>
          </reference>
        </references>
      </pivotArea>
    </format>
    <format dxfId="1810">
      <pivotArea dataOnly="0" labelOnly="1" outline="0" fieldPosition="0">
        <references count="3">
          <reference field="11" count="1" selected="0">
            <x v="47"/>
          </reference>
          <reference field="14" count="1" selected="0">
            <x v="323"/>
          </reference>
          <reference field="18" count="1">
            <x v="17"/>
          </reference>
        </references>
      </pivotArea>
    </format>
    <format dxfId="1809">
      <pivotArea dataOnly="0" labelOnly="1" outline="0" fieldPosition="0">
        <references count="3">
          <reference field="11" count="1" selected="0">
            <x v="47"/>
          </reference>
          <reference field="14" count="1" selected="0">
            <x v="323"/>
          </reference>
          <reference field="18" count="1" defaultSubtotal="1">
            <x v="17"/>
          </reference>
        </references>
      </pivotArea>
    </format>
    <format dxfId="1808">
      <pivotArea dataOnly="0" labelOnly="1" outline="0" fieldPosition="0">
        <references count="3">
          <reference field="11" count="1" selected="0">
            <x v="48"/>
          </reference>
          <reference field="14" count="1" selected="0">
            <x v="244"/>
          </reference>
          <reference field="18" count="1">
            <x v="6"/>
          </reference>
        </references>
      </pivotArea>
    </format>
    <format dxfId="1807">
      <pivotArea dataOnly="0" labelOnly="1" outline="0" fieldPosition="0">
        <references count="3">
          <reference field="11" count="1" selected="0">
            <x v="48"/>
          </reference>
          <reference field="14" count="1" selected="0">
            <x v="244"/>
          </reference>
          <reference field="18" count="1" defaultSubtotal="1">
            <x v="6"/>
          </reference>
        </references>
      </pivotArea>
    </format>
    <format dxfId="1806">
      <pivotArea dataOnly="0" labelOnly="1" outline="0" fieldPosition="0">
        <references count="3">
          <reference field="11" count="1" selected="0">
            <x v="49"/>
          </reference>
          <reference field="14" count="1" selected="0">
            <x v="228"/>
          </reference>
          <reference field="18" count="3">
            <x v="0"/>
            <x v="2"/>
            <x v="12"/>
          </reference>
        </references>
      </pivotArea>
    </format>
    <format dxfId="1805">
      <pivotArea dataOnly="0" labelOnly="1" outline="0" fieldPosition="0">
        <references count="3">
          <reference field="11" count="1" selected="0">
            <x v="49"/>
          </reference>
          <reference field="14" count="1" selected="0">
            <x v="228"/>
          </reference>
          <reference field="18" count="3" defaultSubtotal="1">
            <x v="0"/>
            <x v="2"/>
            <x v="12"/>
          </reference>
        </references>
      </pivotArea>
    </format>
    <format dxfId="1804">
      <pivotArea dataOnly="0" labelOnly="1" outline="0" fieldPosition="0">
        <references count="3">
          <reference field="11" count="1" selected="0">
            <x v="50"/>
          </reference>
          <reference field="14" count="1" selected="0">
            <x v="318"/>
          </reference>
          <reference field="18" count="1">
            <x v="6"/>
          </reference>
        </references>
      </pivotArea>
    </format>
    <format dxfId="1803">
      <pivotArea dataOnly="0" labelOnly="1" outline="0" fieldPosition="0">
        <references count="3">
          <reference field="11" count="1" selected="0">
            <x v="50"/>
          </reference>
          <reference field="14" count="1" selected="0">
            <x v="318"/>
          </reference>
          <reference field="18" count="1" defaultSubtotal="1">
            <x v="6"/>
          </reference>
        </references>
      </pivotArea>
    </format>
    <format dxfId="1802">
      <pivotArea dataOnly="0" labelOnly="1" outline="0" fieldPosition="0">
        <references count="3">
          <reference field="11" count="1" selected="0">
            <x v="51"/>
          </reference>
          <reference field="14" count="1" selected="0">
            <x v="241"/>
          </reference>
          <reference field="18" count="1">
            <x v="6"/>
          </reference>
        </references>
      </pivotArea>
    </format>
    <format dxfId="1801">
      <pivotArea dataOnly="0" labelOnly="1" outline="0" fieldPosition="0">
        <references count="3">
          <reference field="11" count="1" selected="0">
            <x v="51"/>
          </reference>
          <reference field="14" count="1" selected="0">
            <x v="241"/>
          </reference>
          <reference field="18" count="1" defaultSubtotal="1">
            <x v="6"/>
          </reference>
        </references>
      </pivotArea>
    </format>
    <format dxfId="1800">
      <pivotArea dataOnly="0" labelOnly="1" outline="0" fieldPosition="0">
        <references count="3">
          <reference field="11" count="1" selected="0">
            <x v="52"/>
          </reference>
          <reference field="14" count="1" selected="0">
            <x v="413"/>
          </reference>
          <reference field="18" count="1">
            <x v="6"/>
          </reference>
        </references>
      </pivotArea>
    </format>
    <format dxfId="1799">
      <pivotArea dataOnly="0" labelOnly="1" outline="0" fieldPosition="0">
        <references count="3">
          <reference field="11" count="1" selected="0">
            <x v="52"/>
          </reference>
          <reference field="14" count="1" selected="0">
            <x v="413"/>
          </reference>
          <reference field="18" count="1" defaultSubtotal="1">
            <x v="6"/>
          </reference>
        </references>
      </pivotArea>
    </format>
    <format dxfId="1798">
      <pivotArea dataOnly="0" labelOnly="1" outline="0" fieldPosition="0">
        <references count="3">
          <reference field="11" count="1" selected="0">
            <x v="53"/>
          </reference>
          <reference field="14" count="1" selected="0">
            <x v="283"/>
          </reference>
          <reference field="18" count="1">
            <x v="3"/>
          </reference>
        </references>
      </pivotArea>
    </format>
    <format dxfId="1797">
      <pivotArea dataOnly="0" labelOnly="1" outline="0" fieldPosition="0">
        <references count="3">
          <reference field="11" count="1" selected="0">
            <x v="53"/>
          </reference>
          <reference field="14" count="1" selected="0">
            <x v="283"/>
          </reference>
          <reference field="18" count="1" defaultSubtotal="1">
            <x v="3"/>
          </reference>
        </references>
      </pivotArea>
    </format>
    <format dxfId="1796">
      <pivotArea dataOnly="0" labelOnly="1" outline="0" fieldPosition="0">
        <references count="3">
          <reference field="11" count="1" selected="0">
            <x v="54"/>
          </reference>
          <reference field="14" count="1" selected="0">
            <x v="278"/>
          </reference>
          <reference field="18" count="2">
            <x v="0"/>
            <x v="1"/>
          </reference>
        </references>
      </pivotArea>
    </format>
    <format dxfId="1795">
      <pivotArea dataOnly="0" labelOnly="1" outline="0" fieldPosition="0">
        <references count="3">
          <reference field="11" count="1" selected="0">
            <x v="54"/>
          </reference>
          <reference field="14" count="1" selected="0">
            <x v="278"/>
          </reference>
          <reference field="18" count="2" defaultSubtotal="1">
            <x v="0"/>
            <x v="1"/>
          </reference>
        </references>
      </pivotArea>
    </format>
    <format dxfId="1794">
      <pivotArea dataOnly="0" labelOnly="1" outline="0" fieldPosition="0">
        <references count="3">
          <reference field="11" count="1" selected="0">
            <x v="55"/>
          </reference>
          <reference field="14" count="1" selected="0">
            <x v="275"/>
          </reference>
          <reference field="18" count="1">
            <x v="0"/>
          </reference>
        </references>
      </pivotArea>
    </format>
    <format dxfId="1793">
      <pivotArea dataOnly="0" labelOnly="1" outline="0" fieldPosition="0">
        <references count="3">
          <reference field="11" count="1" selected="0">
            <x v="55"/>
          </reference>
          <reference field="14" count="1" selected="0">
            <x v="275"/>
          </reference>
          <reference field="18" count="1" defaultSubtotal="1">
            <x v="0"/>
          </reference>
        </references>
      </pivotArea>
    </format>
    <format dxfId="1792">
      <pivotArea dataOnly="0" labelOnly="1" outline="0" fieldPosition="0">
        <references count="3">
          <reference field="11" count="1" selected="0">
            <x v="56"/>
          </reference>
          <reference field="14" count="1" selected="0">
            <x v="463"/>
          </reference>
          <reference field="18" count="3">
            <x v="22"/>
            <x v="23"/>
            <x v="24"/>
          </reference>
        </references>
      </pivotArea>
    </format>
    <format dxfId="1791">
      <pivotArea dataOnly="0" labelOnly="1" outline="0" fieldPosition="0">
        <references count="3">
          <reference field="11" count="1" selected="0">
            <x v="56"/>
          </reference>
          <reference field="14" count="1" selected="0">
            <x v="463"/>
          </reference>
          <reference field="18" count="3" defaultSubtotal="1">
            <x v="22"/>
            <x v="23"/>
            <x v="24"/>
          </reference>
        </references>
      </pivotArea>
    </format>
    <format dxfId="1790">
      <pivotArea dataOnly="0" labelOnly="1" outline="0" fieldPosition="0">
        <references count="3">
          <reference field="11" count="1" selected="0">
            <x v="57"/>
          </reference>
          <reference field="14" count="1" selected="0">
            <x v="462"/>
          </reference>
          <reference field="18" count="3">
            <x v="22"/>
            <x v="23"/>
            <x v="24"/>
          </reference>
        </references>
      </pivotArea>
    </format>
    <format dxfId="1789">
      <pivotArea dataOnly="0" labelOnly="1" outline="0" fieldPosition="0">
        <references count="3">
          <reference field="11" count="1" selected="0">
            <x v="57"/>
          </reference>
          <reference field="14" count="1" selected="0">
            <x v="462"/>
          </reference>
          <reference field="18" count="3" defaultSubtotal="1">
            <x v="22"/>
            <x v="23"/>
            <x v="24"/>
          </reference>
        </references>
      </pivotArea>
    </format>
    <format dxfId="1788">
      <pivotArea dataOnly="0" labelOnly="1" outline="0" fieldPosition="0">
        <references count="3">
          <reference field="11" count="1" selected="0">
            <x v="58"/>
          </reference>
          <reference field="14" count="1" selected="0">
            <x v="459"/>
          </reference>
          <reference field="18" count="1">
            <x v="1"/>
          </reference>
        </references>
      </pivotArea>
    </format>
    <format dxfId="1787">
      <pivotArea dataOnly="0" labelOnly="1" outline="0" fieldPosition="0">
        <references count="3">
          <reference field="11" count="1" selected="0">
            <x v="58"/>
          </reference>
          <reference field="14" count="1" selected="0">
            <x v="459"/>
          </reference>
          <reference field="18" count="1" defaultSubtotal="1">
            <x v="1"/>
          </reference>
        </references>
      </pivotArea>
    </format>
    <format dxfId="1786">
      <pivotArea dataOnly="0" labelOnly="1" outline="0" fieldPosition="0">
        <references count="3">
          <reference field="11" count="1" selected="0">
            <x v="59"/>
          </reference>
          <reference field="14" count="1" selected="0">
            <x v="271"/>
          </reference>
          <reference field="18" count="1">
            <x v="3"/>
          </reference>
        </references>
      </pivotArea>
    </format>
    <format dxfId="1785">
      <pivotArea dataOnly="0" labelOnly="1" outline="0" fieldPosition="0">
        <references count="3">
          <reference field="11" count="1" selected="0">
            <x v="59"/>
          </reference>
          <reference field="14" count="1" selected="0">
            <x v="271"/>
          </reference>
          <reference field="18" count="1" defaultSubtotal="1">
            <x v="3"/>
          </reference>
        </references>
      </pivotArea>
    </format>
    <format dxfId="1784">
      <pivotArea dataOnly="0" labelOnly="1" outline="0" fieldPosition="0">
        <references count="3">
          <reference field="11" count="1" selected="0">
            <x v="60"/>
          </reference>
          <reference field="14" count="1" selected="0">
            <x v="22"/>
          </reference>
          <reference field="18" count="1">
            <x v="16"/>
          </reference>
        </references>
      </pivotArea>
    </format>
    <format dxfId="1783">
      <pivotArea dataOnly="0" labelOnly="1" outline="0" fieldPosition="0">
        <references count="3">
          <reference field="11" count="1" selected="0">
            <x v="60"/>
          </reference>
          <reference field="14" count="1" selected="0">
            <x v="22"/>
          </reference>
          <reference field="18" count="1" defaultSubtotal="1">
            <x v="16"/>
          </reference>
        </references>
      </pivotArea>
    </format>
    <format dxfId="1782">
      <pivotArea dataOnly="0" labelOnly="1" outline="0" fieldPosition="0">
        <references count="3">
          <reference field="11" count="1" selected="0">
            <x v="61"/>
          </reference>
          <reference field="14" count="1" selected="0">
            <x v="354"/>
          </reference>
          <reference field="18" count="1">
            <x v="6"/>
          </reference>
        </references>
      </pivotArea>
    </format>
    <format dxfId="1781">
      <pivotArea dataOnly="0" labelOnly="1" outline="0" fieldPosition="0">
        <references count="3">
          <reference field="11" count="1" selected="0">
            <x v="61"/>
          </reference>
          <reference field="14" count="1" selected="0">
            <x v="354"/>
          </reference>
          <reference field="18" count="1" defaultSubtotal="1">
            <x v="6"/>
          </reference>
        </references>
      </pivotArea>
    </format>
    <format dxfId="1780">
      <pivotArea dataOnly="0" labelOnly="1" outline="0" fieldPosition="0">
        <references count="3">
          <reference field="11" count="1" selected="0">
            <x v="62"/>
          </reference>
          <reference field="14" count="1" selected="0">
            <x v="415"/>
          </reference>
          <reference field="18" count="1">
            <x v="6"/>
          </reference>
        </references>
      </pivotArea>
    </format>
    <format dxfId="1779">
      <pivotArea dataOnly="0" labelOnly="1" outline="0" fieldPosition="0">
        <references count="3">
          <reference field="11" count="1" selected="0">
            <x v="62"/>
          </reference>
          <reference field="14" count="1" selected="0">
            <x v="415"/>
          </reference>
          <reference field="18" count="1" defaultSubtotal="1">
            <x v="6"/>
          </reference>
        </references>
      </pivotArea>
    </format>
    <format dxfId="1778">
      <pivotArea dataOnly="0" labelOnly="1" outline="0" fieldPosition="0">
        <references count="3">
          <reference field="11" count="1" selected="0">
            <x v="63"/>
          </reference>
          <reference field="14" count="1" selected="0">
            <x v="227"/>
          </reference>
          <reference field="18" count="4">
            <x v="0"/>
            <x v="7"/>
            <x v="11"/>
            <x v="12"/>
          </reference>
        </references>
      </pivotArea>
    </format>
    <format dxfId="1777">
      <pivotArea dataOnly="0" labelOnly="1" outline="0" fieldPosition="0">
        <references count="3">
          <reference field="11" count="1" selected="0">
            <x v="63"/>
          </reference>
          <reference field="14" count="1" selected="0">
            <x v="227"/>
          </reference>
          <reference field="18" count="4" defaultSubtotal="1">
            <x v="0"/>
            <x v="7"/>
            <x v="11"/>
            <x v="12"/>
          </reference>
        </references>
      </pivotArea>
    </format>
    <format dxfId="1776">
      <pivotArea dataOnly="0" labelOnly="1" outline="0" fieldPosition="0">
        <references count="3">
          <reference field="11" count="1" selected="0">
            <x v="64"/>
          </reference>
          <reference field="14" count="1" selected="0">
            <x v="261"/>
          </reference>
          <reference field="18" count="1">
            <x v="12"/>
          </reference>
        </references>
      </pivotArea>
    </format>
    <format dxfId="1775">
      <pivotArea dataOnly="0" labelOnly="1" outline="0" fieldPosition="0">
        <references count="3">
          <reference field="11" count="1" selected="0">
            <x v="64"/>
          </reference>
          <reference field="14" count="1" selected="0">
            <x v="261"/>
          </reference>
          <reference field="18" count="1" defaultSubtotal="1">
            <x v="12"/>
          </reference>
        </references>
      </pivotArea>
    </format>
    <format dxfId="1774">
      <pivotArea dataOnly="0" labelOnly="1" outline="0" fieldPosition="0">
        <references count="3">
          <reference field="11" count="1" selected="0">
            <x v="65"/>
          </reference>
          <reference field="14" count="1" selected="0">
            <x v="336"/>
          </reference>
          <reference field="18" count="1">
            <x v="14"/>
          </reference>
        </references>
      </pivotArea>
    </format>
    <format dxfId="1773">
      <pivotArea dataOnly="0" labelOnly="1" outline="0" fieldPosition="0">
        <references count="3">
          <reference field="11" count="1" selected="0">
            <x v="65"/>
          </reference>
          <reference field="14" count="1" selected="0">
            <x v="336"/>
          </reference>
          <reference field="18" count="1" defaultSubtotal="1">
            <x v="14"/>
          </reference>
        </references>
      </pivotArea>
    </format>
    <format dxfId="1772">
      <pivotArea dataOnly="0" labelOnly="1" outline="0" fieldPosition="0">
        <references count="3">
          <reference field="11" count="1" selected="0">
            <x v="66"/>
          </reference>
          <reference field="14" count="1" selected="0">
            <x v="63"/>
          </reference>
          <reference field="18" count="1">
            <x v="3"/>
          </reference>
        </references>
      </pivotArea>
    </format>
    <format dxfId="1771">
      <pivotArea dataOnly="0" labelOnly="1" outline="0" fieldPosition="0">
        <references count="3">
          <reference field="11" count="1" selected="0">
            <x v="66"/>
          </reference>
          <reference field="14" count="1" selected="0">
            <x v="63"/>
          </reference>
          <reference field="18" count="1" defaultSubtotal="1">
            <x v="3"/>
          </reference>
        </references>
      </pivotArea>
    </format>
    <format dxfId="1770">
      <pivotArea dataOnly="0" labelOnly="1" outline="0" fieldPosition="0">
        <references count="3">
          <reference field="11" count="1" selected="0">
            <x v="67"/>
          </reference>
          <reference field="14" count="1" selected="0">
            <x v="237"/>
          </reference>
          <reference field="18" count="3">
            <x v="0"/>
            <x v="2"/>
            <x v="12"/>
          </reference>
        </references>
      </pivotArea>
    </format>
    <format dxfId="1769">
      <pivotArea dataOnly="0" labelOnly="1" outline="0" fieldPosition="0">
        <references count="3">
          <reference field="11" count="1" selected="0">
            <x v="67"/>
          </reference>
          <reference field="14" count="1" selected="0">
            <x v="237"/>
          </reference>
          <reference field="18" count="3" defaultSubtotal="1">
            <x v="0"/>
            <x v="2"/>
            <x v="12"/>
          </reference>
        </references>
      </pivotArea>
    </format>
    <format dxfId="1768">
      <pivotArea dataOnly="0" labelOnly="1" outline="0" fieldPosition="0">
        <references count="3">
          <reference field="11" count="1" selected="0">
            <x v="68"/>
          </reference>
          <reference field="14" count="1" selected="0">
            <x v="138"/>
          </reference>
          <reference field="18" count="1">
            <x v="22"/>
          </reference>
        </references>
      </pivotArea>
    </format>
    <format dxfId="1767">
      <pivotArea dataOnly="0" labelOnly="1" outline="0" fieldPosition="0">
        <references count="3">
          <reference field="11" count="1" selected="0">
            <x v="68"/>
          </reference>
          <reference field="14" count="1" selected="0">
            <x v="138"/>
          </reference>
          <reference field="18" count="1" defaultSubtotal="1">
            <x v="22"/>
          </reference>
        </references>
      </pivotArea>
    </format>
    <format dxfId="1766">
      <pivotArea dataOnly="0" labelOnly="1" outline="0" fieldPosition="0">
        <references count="3">
          <reference field="11" count="1" selected="0">
            <x v="69"/>
          </reference>
          <reference field="14" count="1" selected="0">
            <x v="139"/>
          </reference>
          <reference field="18" count="1">
            <x v="22"/>
          </reference>
        </references>
      </pivotArea>
    </format>
    <format dxfId="1765">
      <pivotArea dataOnly="0" labelOnly="1" outline="0" fieldPosition="0">
        <references count="3">
          <reference field="11" count="1" selected="0">
            <x v="69"/>
          </reference>
          <reference field="14" count="1" selected="0">
            <x v="139"/>
          </reference>
          <reference field="18" count="1" defaultSubtotal="1">
            <x v="22"/>
          </reference>
        </references>
      </pivotArea>
    </format>
    <format dxfId="1764">
      <pivotArea dataOnly="0" labelOnly="1" outline="0" fieldPosition="0">
        <references count="3">
          <reference field="11" count="1" selected="0">
            <x v="70"/>
          </reference>
          <reference field="14" count="1" selected="0">
            <x v="137"/>
          </reference>
          <reference field="18" count="1">
            <x v="22"/>
          </reference>
        </references>
      </pivotArea>
    </format>
    <format dxfId="1763">
      <pivotArea dataOnly="0" labelOnly="1" outline="0" fieldPosition="0">
        <references count="3">
          <reference field="11" count="1" selected="0">
            <x v="70"/>
          </reference>
          <reference field="14" count="1" selected="0">
            <x v="137"/>
          </reference>
          <reference field="18" count="1" defaultSubtotal="1">
            <x v="22"/>
          </reference>
        </references>
      </pivotArea>
    </format>
    <format dxfId="1762">
      <pivotArea dataOnly="0" labelOnly="1" outline="0" fieldPosition="0">
        <references count="3">
          <reference field="11" count="1" selected="0">
            <x v="71"/>
          </reference>
          <reference field="14" count="1" selected="0">
            <x v="468"/>
          </reference>
          <reference field="18" count="1">
            <x v="6"/>
          </reference>
        </references>
      </pivotArea>
    </format>
    <format dxfId="1761">
      <pivotArea dataOnly="0" labelOnly="1" outline="0" fieldPosition="0">
        <references count="3">
          <reference field="11" count="1" selected="0">
            <x v="71"/>
          </reference>
          <reference field="14" count="1" selected="0">
            <x v="468"/>
          </reference>
          <reference field="18" count="1" defaultSubtotal="1">
            <x v="6"/>
          </reference>
        </references>
      </pivotArea>
    </format>
    <format dxfId="1760">
      <pivotArea dataOnly="0" labelOnly="1" outline="0" fieldPosition="0">
        <references count="3">
          <reference field="11" count="1" selected="0">
            <x v="72"/>
          </reference>
          <reference field="14" count="1" selected="0">
            <x v="83"/>
          </reference>
          <reference field="18" count="1">
            <x v="1"/>
          </reference>
        </references>
      </pivotArea>
    </format>
    <format dxfId="1759">
      <pivotArea dataOnly="0" labelOnly="1" outline="0" fieldPosition="0">
        <references count="3">
          <reference field="11" count="1" selected="0">
            <x v="72"/>
          </reference>
          <reference field="14" count="1" selected="0">
            <x v="83"/>
          </reference>
          <reference field="18" count="1" defaultSubtotal="1">
            <x v="1"/>
          </reference>
        </references>
      </pivotArea>
    </format>
    <format dxfId="1758">
      <pivotArea dataOnly="0" labelOnly="1" outline="0" fieldPosition="0">
        <references count="3">
          <reference field="11" count="1" selected="0">
            <x v="73"/>
          </reference>
          <reference field="14" count="1" selected="0">
            <x v="288"/>
          </reference>
          <reference field="18" count="1">
            <x v="0"/>
          </reference>
        </references>
      </pivotArea>
    </format>
    <format dxfId="1757">
      <pivotArea dataOnly="0" labelOnly="1" outline="0" fieldPosition="0">
        <references count="3">
          <reference field="11" count="1" selected="0">
            <x v="73"/>
          </reference>
          <reference field="14" count="1" selected="0">
            <x v="288"/>
          </reference>
          <reference field="18" count="1" defaultSubtotal="1">
            <x v="0"/>
          </reference>
        </references>
      </pivotArea>
    </format>
    <format dxfId="1756">
      <pivotArea dataOnly="0" labelOnly="1" outline="0" fieldPosition="0">
        <references count="3">
          <reference field="11" count="1" selected="0">
            <x v="74"/>
          </reference>
          <reference field="14" count="1" selected="0">
            <x v="235"/>
          </reference>
          <reference field="18" count="2">
            <x v="3"/>
            <x v="12"/>
          </reference>
        </references>
      </pivotArea>
    </format>
    <format dxfId="1755">
      <pivotArea dataOnly="0" labelOnly="1" outline="0" fieldPosition="0">
        <references count="3">
          <reference field="11" count="1" selected="0">
            <x v="74"/>
          </reference>
          <reference field="14" count="1" selected="0">
            <x v="235"/>
          </reference>
          <reference field="18" count="2" defaultSubtotal="1">
            <x v="3"/>
            <x v="12"/>
          </reference>
        </references>
      </pivotArea>
    </format>
    <format dxfId="1754">
      <pivotArea dataOnly="0" labelOnly="1" outline="0" fieldPosition="0">
        <references count="3">
          <reference field="11" count="1" selected="0">
            <x v="75"/>
          </reference>
          <reference field="14" count="1" selected="0">
            <x v="285"/>
          </reference>
          <reference field="18" count="1">
            <x v="0"/>
          </reference>
        </references>
      </pivotArea>
    </format>
    <format dxfId="1753">
      <pivotArea dataOnly="0" labelOnly="1" outline="0" fieldPosition="0">
        <references count="3">
          <reference field="11" count="1" selected="0">
            <x v="75"/>
          </reference>
          <reference field="14" count="1" selected="0">
            <x v="285"/>
          </reference>
          <reference field="18" count="1" defaultSubtotal="1">
            <x v="0"/>
          </reference>
        </references>
      </pivotArea>
    </format>
    <format dxfId="1752">
      <pivotArea dataOnly="0" labelOnly="1" outline="0" fieldPosition="0">
        <references count="3">
          <reference field="11" count="1" selected="0">
            <x v="76"/>
          </reference>
          <reference field="14" count="1" selected="0">
            <x v="214"/>
          </reference>
          <reference field="18" count="2">
            <x v="8"/>
            <x v="14"/>
          </reference>
        </references>
      </pivotArea>
    </format>
    <format dxfId="1751">
      <pivotArea dataOnly="0" labelOnly="1" outline="0" fieldPosition="0">
        <references count="3">
          <reference field="11" count="1" selected="0">
            <x v="76"/>
          </reference>
          <reference field="14" count="1" selected="0">
            <x v="214"/>
          </reference>
          <reference field="18" count="2" defaultSubtotal="1">
            <x v="8"/>
            <x v="14"/>
          </reference>
        </references>
      </pivotArea>
    </format>
    <format dxfId="1750">
      <pivotArea dataOnly="0" labelOnly="1" outline="0" fieldPosition="0">
        <references count="3">
          <reference field="11" count="1" selected="0">
            <x v="77"/>
          </reference>
          <reference field="14" count="1" selected="0">
            <x v="104"/>
          </reference>
          <reference field="18" count="1">
            <x v="0"/>
          </reference>
        </references>
      </pivotArea>
    </format>
    <format dxfId="1749">
      <pivotArea dataOnly="0" labelOnly="1" outline="0" fieldPosition="0">
        <references count="3">
          <reference field="11" count="1" selected="0">
            <x v="77"/>
          </reference>
          <reference field="14" count="1" selected="0">
            <x v="104"/>
          </reference>
          <reference field="18" count="1" defaultSubtotal="1">
            <x v="0"/>
          </reference>
        </references>
      </pivotArea>
    </format>
    <format dxfId="1748">
      <pivotArea dataOnly="0" labelOnly="1" outline="0" fieldPosition="0">
        <references count="3">
          <reference field="11" count="1" selected="0">
            <x v="78"/>
          </reference>
          <reference field="14" count="1" selected="0">
            <x v="195"/>
          </reference>
          <reference field="18" count="1">
            <x v="14"/>
          </reference>
        </references>
      </pivotArea>
    </format>
    <format dxfId="1747">
      <pivotArea dataOnly="0" labelOnly="1" outline="0" fieldPosition="0">
        <references count="3">
          <reference field="11" count="1" selected="0">
            <x v="78"/>
          </reference>
          <reference field="14" count="1" selected="0">
            <x v="195"/>
          </reference>
          <reference field="18" count="1" defaultSubtotal="1">
            <x v="14"/>
          </reference>
        </references>
      </pivotArea>
    </format>
    <format dxfId="1746">
      <pivotArea dataOnly="0" labelOnly="1" outline="0" fieldPosition="0">
        <references count="3">
          <reference field="11" count="1" selected="0">
            <x v="79"/>
          </reference>
          <reference field="14" count="1" selected="0">
            <x v="196"/>
          </reference>
          <reference field="18" count="1">
            <x v="14"/>
          </reference>
        </references>
      </pivotArea>
    </format>
    <format dxfId="1745">
      <pivotArea dataOnly="0" labelOnly="1" outline="0" fieldPosition="0">
        <references count="3">
          <reference field="11" count="1" selected="0">
            <x v="79"/>
          </reference>
          <reference field="14" count="1" selected="0">
            <x v="196"/>
          </reference>
          <reference field="18" count="1" defaultSubtotal="1">
            <x v="14"/>
          </reference>
        </references>
      </pivotArea>
    </format>
    <format dxfId="1744">
      <pivotArea dataOnly="0" labelOnly="1" outline="0" fieldPosition="0">
        <references count="3">
          <reference field="11" count="1" selected="0">
            <x v="80"/>
          </reference>
          <reference field="14" count="1" selected="0">
            <x v="467"/>
          </reference>
          <reference field="18" count="1">
            <x v="2"/>
          </reference>
        </references>
      </pivotArea>
    </format>
    <format dxfId="1743">
      <pivotArea dataOnly="0" labelOnly="1" outline="0" fieldPosition="0">
        <references count="3">
          <reference field="11" count="1" selected="0">
            <x v="80"/>
          </reference>
          <reference field="14" count="1" selected="0">
            <x v="467"/>
          </reference>
          <reference field="18" count="1" defaultSubtotal="1">
            <x v="2"/>
          </reference>
        </references>
      </pivotArea>
    </format>
    <format dxfId="1742">
      <pivotArea dataOnly="0" labelOnly="1" outline="0" fieldPosition="0">
        <references count="3">
          <reference field="11" count="1" selected="0">
            <x v="81"/>
          </reference>
          <reference field="14" count="1" selected="0">
            <x v="56"/>
          </reference>
          <reference field="18" count="1">
            <x v="1"/>
          </reference>
        </references>
      </pivotArea>
    </format>
    <format dxfId="1741">
      <pivotArea dataOnly="0" labelOnly="1" outline="0" fieldPosition="0">
        <references count="3">
          <reference field="11" count="1" selected="0">
            <x v="81"/>
          </reference>
          <reference field="14" count="1" selected="0">
            <x v="56"/>
          </reference>
          <reference field="18" count="1" defaultSubtotal="1">
            <x v="1"/>
          </reference>
        </references>
      </pivotArea>
    </format>
    <format dxfId="1740">
      <pivotArea dataOnly="0" labelOnly="1" outline="0" fieldPosition="0">
        <references count="3">
          <reference field="11" count="1" selected="0">
            <x v="82"/>
          </reference>
          <reference field="14" count="1" selected="0">
            <x v="106"/>
          </reference>
          <reference field="18" count="1">
            <x v="27"/>
          </reference>
        </references>
      </pivotArea>
    </format>
    <format dxfId="1739">
      <pivotArea dataOnly="0" labelOnly="1" outline="0" fieldPosition="0">
        <references count="3">
          <reference field="11" count="1" selected="0">
            <x v="82"/>
          </reference>
          <reference field="14" count="1" selected="0">
            <x v="106"/>
          </reference>
          <reference field="18" count="1" defaultSubtotal="1">
            <x v="27"/>
          </reference>
        </references>
      </pivotArea>
    </format>
    <format dxfId="1738">
      <pivotArea dataOnly="0" labelOnly="1" outline="0" fieldPosition="0">
        <references count="3">
          <reference field="11" count="1" selected="0">
            <x v="83"/>
          </reference>
          <reference field="14" count="1" selected="0">
            <x v="216"/>
          </reference>
          <reference field="18" count="1">
            <x v="2"/>
          </reference>
        </references>
      </pivotArea>
    </format>
    <format dxfId="1737">
      <pivotArea dataOnly="0" labelOnly="1" outline="0" fieldPosition="0">
        <references count="3">
          <reference field="11" count="1" selected="0">
            <x v="83"/>
          </reference>
          <reference field="14" count="1" selected="0">
            <x v="216"/>
          </reference>
          <reference field="18" count="1" defaultSubtotal="1">
            <x v="2"/>
          </reference>
        </references>
      </pivotArea>
    </format>
    <format dxfId="1736">
      <pivotArea dataOnly="0" labelOnly="1" outline="0" fieldPosition="0">
        <references count="3">
          <reference field="11" count="1" selected="0">
            <x v="84"/>
          </reference>
          <reference field="14" count="1" selected="0">
            <x v="47"/>
          </reference>
          <reference field="18" count="1">
            <x v="0"/>
          </reference>
        </references>
      </pivotArea>
    </format>
    <format dxfId="1735">
      <pivotArea dataOnly="0" labelOnly="1" outline="0" fieldPosition="0">
        <references count="3">
          <reference field="11" count="1" selected="0">
            <x v="84"/>
          </reference>
          <reference field="14" count="1" selected="0">
            <x v="47"/>
          </reference>
          <reference field="18" count="1" defaultSubtotal="1">
            <x v="0"/>
          </reference>
        </references>
      </pivotArea>
    </format>
    <format dxfId="1734">
      <pivotArea dataOnly="0" labelOnly="1" outline="0" fieldPosition="0">
        <references count="3">
          <reference field="11" count="1" selected="0">
            <x v="85"/>
          </reference>
          <reference field="14" count="1" selected="0">
            <x v="203"/>
          </reference>
          <reference field="18" count="1">
            <x v="16"/>
          </reference>
        </references>
      </pivotArea>
    </format>
    <format dxfId="1733">
      <pivotArea dataOnly="0" labelOnly="1" outline="0" fieldPosition="0">
        <references count="3">
          <reference field="11" count="1" selected="0">
            <x v="85"/>
          </reference>
          <reference field="14" count="1" selected="0">
            <x v="203"/>
          </reference>
          <reference field="18" count="1" defaultSubtotal="1">
            <x v="16"/>
          </reference>
        </references>
      </pivotArea>
    </format>
    <format dxfId="1732">
      <pivotArea dataOnly="0" labelOnly="1" outline="0" fieldPosition="0">
        <references count="3">
          <reference field="11" count="1" selected="0">
            <x v="86"/>
          </reference>
          <reference field="14" count="1" selected="0">
            <x v="383"/>
          </reference>
          <reference field="18" count="1">
            <x v="4"/>
          </reference>
        </references>
      </pivotArea>
    </format>
    <format dxfId="1731">
      <pivotArea dataOnly="0" labelOnly="1" outline="0" fieldPosition="0">
        <references count="3">
          <reference field="11" count="1" selected="0">
            <x v="86"/>
          </reference>
          <reference field="14" count="1" selected="0">
            <x v="383"/>
          </reference>
          <reference field="18" count="1" defaultSubtotal="1">
            <x v="4"/>
          </reference>
        </references>
      </pivotArea>
    </format>
    <format dxfId="1730">
      <pivotArea dataOnly="0" labelOnly="1" outline="0" fieldPosition="0">
        <references count="3">
          <reference field="11" count="1" selected="0">
            <x v="87"/>
          </reference>
          <reference field="14" count="1" selected="0">
            <x v="193"/>
          </reference>
          <reference field="18" count="1">
            <x v="14"/>
          </reference>
        </references>
      </pivotArea>
    </format>
    <format dxfId="1729">
      <pivotArea dataOnly="0" labelOnly="1" outline="0" fieldPosition="0">
        <references count="3">
          <reference field="11" count="1" selected="0">
            <x v="87"/>
          </reference>
          <reference field="14" count="1" selected="0">
            <x v="193"/>
          </reference>
          <reference field="18" count="1" defaultSubtotal="1">
            <x v="14"/>
          </reference>
        </references>
      </pivotArea>
    </format>
    <format dxfId="1728">
      <pivotArea dataOnly="0" labelOnly="1" outline="0" fieldPosition="0">
        <references count="3">
          <reference field="11" count="1" selected="0">
            <x v="88"/>
          </reference>
          <reference field="14" count="1" selected="0">
            <x v="4"/>
          </reference>
          <reference field="18" count="1">
            <x v="4"/>
          </reference>
        </references>
      </pivotArea>
    </format>
    <format dxfId="1727">
      <pivotArea dataOnly="0" labelOnly="1" outline="0" fieldPosition="0">
        <references count="3">
          <reference field="11" count="1" selected="0">
            <x v="88"/>
          </reference>
          <reference field="14" count="1" selected="0">
            <x v="4"/>
          </reference>
          <reference field="18" count="1" defaultSubtotal="1">
            <x v="4"/>
          </reference>
        </references>
      </pivotArea>
    </format>
    <format dxfId="1726">
      <pivotArea dataOnly="0" labelOnly="1" outline="0" fieldPosition="0">
        <references count="3">
          <reference field="11" count="1" selected="0">
            <x v="89"/>
          </reference>
          <reference field="14" count="1" selected="0">
            <x v="251"/>
          </reference>
          <reference field="18" count="2">
            <x v="12"/>
            <x v="27"/>
          </reference>
        </references>
      </pivotArea>
    </format>
    <format dxfId="1725">
      <pivotArea dataOnly="0" labelOnly="1" outline="0" fieldPosition="0">
        <references count="3">
          <reference field="11" count="1" selected="0">
            <x v="89"/>
          </reference>
          <reference field="14" count="1" selected="0">
            <x v="251"/>
          </reference>
          <reference field="18" count="2" defaultSubtotal="1">
            <x v="12"/>
            <x v="27"/>
          </reference>
        </references>
      </pivotArea>
    </format>
    <format dxfId="1724">
      <pivotArea dataOnly="0" labelOnly="1" outline="0" fieldPosition="0">
        <references count="3">
          <reference field="11" count="1" selected="0">
            <x v="90"/>
          </reference>
          <reference field="14" count="1" selected="0">
            <x v="335"/>
          </reference>
          <reference field="18" count="4">
            <x v="0"/>
            <x v="1"/>
            <x v="12"/>
            <x v="13"/>
          </reference>
        </references>
      </pivotArea>
    </format>
    <format dxfId="1723">
      <pivotArea dataOnly="0" labelOnly="1" outline="0" fieldPosition="0">
        <references count="3">
          <reference field="11" count="1" selected="0">
            <x v="90"/>
          </reference>
          <reference field="14" count="1" selected="0">
            <x v="335"/>
          </reference>
          <reference field="18" count="4" defaultSubtotal="1">
            <x v="0"/>
            <x v="1"/>
            <x v="12"/>
            <x v="13"/>
          </reference>
        </references>
      </pivotArea>
    </format>
    <format dxfId="1722">
      <pivotArea dataOnly="0" labelOnly="1" outline="0" fieldPosition="0">
        <references count="3">
          <reference field="11" count="1" selected="0">
            <x v="91"/>
          </reference>
          <reference field="14" count="1" selected="0">
            <x v="27"/>
          </reference>
          <reference field="18" count="1">
            <x v="1"/>
          </reference>
        </references>
      </pivotArea>
    </format>
    <format dxfId="1721">
      <pivotArea dataOnly="0" labelOnly="1" outline="0" fieldPosition="0">
        <references count="3">
          <reference field="11" count="1" selected="0">
            <x v="91"/>
          </reference>
          <reference field="14" count="1" selected="0">
            <x v="27"/>
          </reference>
          <reference field="18" count="1" defaultSubtotal="1">
            <x v="1"/>
          </reference>
        </references>
      </pivotArea>
    </format>
    <format dxfId="1720">
      <pivotArea dataOnly="0" labelOnly="1" outline="0" fieldPosition="0">
        <references count="3">
          <reference field="11" count="1" selected="0">
            <x v="92"/>
          </reference>
          <reference field="14" count="1" selected="0">
            <x v="189"/>
          </reference>
          <reference field="18" count="1">
            <x v="0"/>
          </reference>
        </references>
      </pivotArea>
    </format>
    <format dxfId="1719">
      <pivotArea dataOnly="0" labelOnly="1" outline="0" fieldPosition="0">
        <references count="3">
          <reference field="11" count="1" selected="0">
            <x v="92"/>
          </reference>
          <reference field="14" count="1" selected="0">
            <x v="189"/>
          </reference>
          <reference field="18" count="1" defaultSubtotal="1">
            <x v="0"/>
          </reference>
        </references>
      </pivotArea>
    </format>
    <format dxfId="1718">
      <pivotArea dataOnly="0" labelOnly="1" outline="0" fieldPosition="0">
        <references count="3">
          <reference field="11" count="1" selected="0">
            <x v="93"/>
          </reference>
          <reference field="14" count="1" selected="0">
            <x v="451"/>
          </reference>
          <reference field="18" count="2">
            <x v="3"/>
            <x v="7"/>
          </reference>
        </references>
      </pivotArea>
    </format>
    <format dxfId="1717">
      <pivotArea dataOnly="0" labelOnly="1" outline="0" fieldPosition="0">
        <references count="3">
          <reference field="11" count="1" selected="0">
            <x v="93"/>
          </reference>
          <reference field="14" count="1" selected="0">
            <x v="451"/>
          </reference>
          <reference field="18" count="2" defaultSubtotal="1">
            <x v="3"/>
            <x v="7"/>
          </reference>
        </references>
      </pivotArea>
    </format>
    <format dxfId="1716">
      <pivotArea dataOnly="0" labelOnly="1" outline="0" fieldPosition="0">
        <references count="3">
          <reference field="11" count="1" selected="0">
            <x v="94"/>
          </reference>
          <reference field="14" count="1" selected="0">
            <x v="23"/>
          </reference>
          <reference field="18" count="1">
            <x v="3"/>
          </reference>
        </references>
      </pivotArea>
    </format>
    <format dxfId="1715">
      <pivotArea dataOnly="0" labelOnly="1" outline="0" fieldPosition="0">
        <references count="3">
          <reference field="11" count="1" selected="0">
            <x v="94"/>
          </reference>
          <reference field="14" count="1" selected="0">
            <x v="23"/>
          </reference>
          <reference field="18" count="1" defaultSubtotal="1">
            <x v="3"/>
          </reference>
        </references>
      </pivotArea>
    </format>
    <format dxfId="1714">
      <pivotArea dataOnly="0" labelOnly="1" outline="0" fieldPosition="0">
        <references count="3">
          <reference field="11" count="1" selected="0">
            <x v="95"/>
          </reference>
          <reference field="14" count="1" selected="0">
            <x v="200"/>
          </reference>
          <reference field="18" count="3">
            <x v="0"/>
            <x v="12"/>
            <x v="27"/>
          </reference>
        </references>
      </pivotArea>
    </format>
    <format dxfId="1713">
      <pivotArea dataOnly="0" labelOnly="1" outline="0" fieldPosition="0">
        <references count="3">
          <reference field="11" count="1" selected="0">
            <x v="95"/>
          </reference>
          <reference field="14" count="1" selected="0">
            <x v="200"/>
          </reference>
          <reference field="18" count="3" defaultSubtotal="1">
            <x v="0"/>
            <x v="12"/>
            <x v="27"/>
          </reference>
        </references>
      </pivotArea>
    </format>
    <format dxfId="1712">
      <pivotArea dataOnly="0" labelOnly="1" outline="0" fieldPosition="0">
        <references count="3">
          <reference field="11" count="1" selected="0">
            <x v="96"/>
          </reference>
          <reference field="14" count="1" selected="0">
            <x v="240"/>
          </reference>
          <reference field="18" count="1">
            <x v="6"/>
          </reference>
        </references>
      </pivotArea>
    </format>
    <format dxfId="1711">
      <pivotArea dataOnly="0" labelOnly="1" outline="0" fieldPosition="0">
        <references count="3">
          <reference field="11" count="1" selected="0">
            <x v="96"/>
          </reference>
          <reference field="14" count="1" selected="0">
            <x v="240"/>
          </reference>
          <reference field="18" count="1" defaultSubtotal="1">
            <x v="6"/>
          </reference>
        </references>
      </pivotArea>
    </format>
    <format dxfId="1710">
      <pivotArea dataOnly="0" labelOnly="1" outline="0" fieldPosition="0">
        <references count="3">
          <reference field="11" count="1" selected="0">
            <x v="97"/>
          </reference>
          <reference field="14" count="1" selected="0">
            <x v="268"/>
          </reference>
          <reference field="18" count="1">
            <x v="3"/>
          </reference>
        </references>
      </pivotArea>
    </format>
    <format dxfId="1709">
      <pivotArea dataOnly="0" labelOnly="1" outline="0" fieldPosition="0">
        <references count="3">
          <reference field="11" count="1" selected="0">
            <x v="97"/>
          </reference>
          <reference field="14" count="1" selected="0">
            <x v="268"/>
          </reference>
          <reference field="18" count="1" defaultSubtotal="1">
            <x v="3"/>
          </reference>
        </references>
      </pivotArea>
    </format>
    <format dxfId="1708">
      <pivotArea dataOnly="0" labelOnly="1" outline="0" fieldPosition="0">
        <references count="3">
          <reference field="11" count="1" selected="0">
            <x v="98"/>
          </reference>
          <reference field="14" count="1" selected="0">
            <x v="358"/>
          </reference>
          <reference field="18" count="1">
            <x v="14"/>
          </reference>
        </references>
      </pivotArea>
    </format>
    <format dxfId="1707">
      <pivotArea dataOnly="0" labelOnly="1" outline="0" fieldPosition="0">
        <references count="3">
          <reference field="11" count="1" selected="0">
            <x v="98"/>
          </reference>
          <reference field="14" count="1" selected="0">
            <x v="358"/>
          </reference>
          <reference field="18" count="1" defaultSubtotal="1">
            <x v="14"/>
          </reference>
        </references>
      </pivotArea>
    </format>
    <format dxfId="1706">
      <pivotArea dataOnly="0" labelOnly="1" outline="0" fieldPosition="0">
        <references count="3">
          <reference field="11" count="1" selected="0">
            <x v="99"/>
          </reference>
          <reference field="14" count="1" selected="0">
            <x v="454"/>
          </reference>
          <reference field="18" count="1">
            <x v="0"/>
          </reference>
        </references>
      </pivotArea>
    </format>
    <format dxfId="1705">
      <pivotArea dataOnly="0" labelOnly="1" outline="0" fieldPosition="0">
        <references count="3">
          <reference field="11" count="1" selected="0">
            <x v="99"/>
          </reference>
          <reference field="14" count="1" selected="0">
            <x v="454"/>
          </reference>
          <reference field="18" count="1" defaultSubtotal="1">
            <x v="0"/>
          </reference>
        </references>
      </pivotArea>
    </format>
    <format dxfId="1704">
      <pivotArea dataOnly="0" labelOnly="1" outline="0" fieldPosition="0">
        <references count="3">
          <reference field="11" count="1" selected="0">
            <x v="100"/>
          </reference>
          <reference field="14" count="1" selected="0">
            <x v="274"/>
          </reference>
          <reference field="18" count="1">
            <x v="0"/>
          </reference>
        </references>
      </pivotArea>
    </format>
    <format dxfId="1703">
      <pivotArea dataOnly="0" labelOnly="1" outline="0" fieldPosition="0">
        <references count="3">
          <reference field="11" count="1" selected="0">
            <x v="100"/>
          </reference>
          <reference field="14" count="1" selected="0">
            <x v="274"/>
          </reference>
          <reference field="18" count="1" defaultSubtotal="1">
            <x v="0"/>
          </reference>
        </references>
      </pivotArea>
    </format>
    <format dxfId="1702">
      <pivotArea dataOnly="0" labelOnly="1" outline="0" fieldPosition="0">
        <references count="3">
          <reference field="11" count="1" selected="0">
            <x v="101"/>
          </reference>
          <reference field="14" count="1" selected="0">
            <x v="303"/>
          </reference>
          <reference field="18" count="1">
            <x v="6"/>
          </reference>
        </references>
      </pivotArea>
    </format>
    <format dxfId="1701">
      <pivotArea dataOnly="0" labelOnly="1" outline="0" fieldPosition="0">
        <references count="3">
          <reference field="11" count="1" selected="0">
            <x v="101"/>
          </reference>
          <reference field="14" count="1" selected="0">
            <x v="303"/>
          </reference>
          <reference field="18" count="1" defaultSubtotal="1">
            <x v="6"/>
          </reference>
        </references>
      </pivotArea>
    </format>
    <format dxfId="1700">
      <pivotArea dataOnly="0" labelOnly="1" outline="0" fieldPosition="0">
        <references count="3">
          <reference field="11" count="1" selected="0">
            <x v="102"/>
          </reference>
          <reference field="14" count="1" selected="0">
            <x v="248"/>
          </reference>
          <reference field="18" count="1">
            <x v="3"/>
          </reference>
        </references>
      </pivotArea>
    </format>
    <format dxfId="1699">
      <pivotArea dataOnly="0" labelOnly="1" outline="0" fieldPosition="0">
        <references count="3">
          <reference field="11" count="1" selected="0">
            <x v="102"/>
          </reference>
          <reference field="14" count="1" selected="0">
            <x v="248"/>
          </reference>
          <reference field="18" count="1" defaultSubtotal="1">
            <x v="3"/>
          </reference>
        </references>
      </pivotArea>
    </format>
    <format dxfId="1698">
      <pivotArea dataOnly="0" labelOnly="1" outline="0" fieldPosition="0">
        <references count="3">
          <reference field="11" count="1" selected="0">
            <x v="103"/>
          </reference>
          <reference field="14" count="1" selected="0">
            <x v="48"/>
          </reference>
          <reference field="18" count="1">
            <x v="0"/>
          </reference>
        </references>
      </pivotArea>
    </format>
    <format dxfId="1697">
      <pivotArea dataOnly="0" labelOnly="1" outline="0" fieldPosition="0">
        <references count="3">
          <reference field="11" count="1" selected="0">
            <x v="103"/>
          </reference>
          <reference field="14" count="1" selected="0">
            <x v="48"/>
          </reference>
          <reference field="18" count="1" defaultSubtotal="1">
            <x v="0"/>
          </reference>
        </references>
      </pivotArea>
    </format>
    <format dxfId="1696">
      <pivotArea dataOnly="0" labelOnly="1" outline="0" fieldPosition="0">
        <references count="3">
          <reference field="11" count="1" selected="0">
            <x v="104"/>
          </reference>
          <reference field="14" count="1" selected="0">
            <x v="321"/>
          </reference>
          <reference field="18" count="1">
            <x v="2"/>
          </reference>
        </references>
      </pivotArea>
    </format>
    <format dxfId="1695">
      <pivotArea dataOnly="0" labelOnly="1" outline="0" fieldPosition="0">
        <references count="3">
          <reference field="11" count="1" selected="0">
            <x v="104"/>
          </reference>
          <reference field="14" count="1" selected="0">
            <x v="321"/>
          </reference>
          <reference field="18" count="1" defaultSubtotal="1">
            <x v="2"/>
          </reference>
        </references>
      </pivotArea>
    </format>
    <format dxfId="1694">
      <pivotArea dataOnly="0" labelOnly="1" outline="0" fieldPosition="0">
        <references count="3">
          <reference field="11" count="1" selected="0">
            <x v="105"/>
          </reference>
          <reference field="14" count="1" selected="0">
            <x v="320"/>
          </reference>
          <reference field="18" count="1">
            <x v="2"/>
          </reference>
        </references>
      </pivotArea>
    </format>
    <format dxfId="1693">
      <pivotArea dataOnly="0" labelOnly="1" outline="0" fieldPosition="0">
        <references count="3">
          <reference field="11" count="1" selected="0">
            <x v="105"/>
          </reference>
          <reference field="14" count="1" selected="0">
            <x v="320"/>
          </reference>
          <reference field="18" count="1" defaultSubtotal="1">
            <x v="2"/>
          </reference>
        </references>
      </pivotArea>
    </format>
    <format dxfId="1692">
      <pivotArea dataOnly="0" labelOnly="1" outline="0" fieldPosition="0">
        <references count="3">
          <reference field="11" count="1" selected="0">
            <x v="106"/>
          </reference>
          <reference field="14" count="1" selected="0">
            <x v="210"/>
          </reference>
          <reference field="18" count="1">
            <x v="0"/>
          </reference>
        </references>
      </pivotArea>
    </format>
    <format dxfId="1691">
      <pivotArea dataOnly="0" labelOnly="1" outline="0" fieldPosition="0">
        <references count="3">
          <reference field="11" count="1" selected="0">
            <x v="106"/>
          </reference>
          <reference field="14" count="1" selected="0">
            <x v="210"/>
          </reference>
          <reference field="18" count="1" defaultSubtotal="1">
            <x v="0"/>
          </reference>
        </references>
      </pivotArea>
    </format>
    <format dxfId="1690">
      <pivotArea dataOnly="0" labelOnly="1" outline="0" fieldPosition="0">
        <references count="3">
          <reference field="11" count="1" selected="0">
            <x v="107"/>
          </reference>
          <reference field="14" count="1" selected="0">
            <x v="220"/>
          </reference>
          <reference field="18" count="1">
            <x v="1"/>
          </reference>
        </references>
      </pivotArea>
    </format>
    <format dxfId="1689">
      <pivotArea dataOnly="0" labelOnly="1" outline="0" fieldPosition="0">
        <references count="3">
          <reference field="11" count="1" selected="0">
            <x v="107"/>
          </reference>
          <reference field="14" count="1" selected="0">
            <x v="220"/>
          </reference>
          <reference field="18" count="1" defaultSubtotal="1">
            <x v="1"/>
          </reference>
        </references>
      </pivotArea>
    </format>
    <format dxfId="1688">
      <pivotArea dataOnly="0" labelOnly="1" outline="0" fieldPosition="0">
        <references count="3">
          <reference field="11" count="1" selected="0">
            <x v="108"/>
          </reference>
          <reference field="14" count="1" selected="0">
            <x v="111"/>
          </reference>
          <reference field="18" count="1">
            <x v="0"/>
          </reference>
        </references>
      </pivotArea>
    </format>
    <format dxfId="1687">
      <pivotArea dataOnly="0" labelOnly="1" outline="0" fieldPosition="0">
        <references count="3">
          <reference field="11" count="1" selected="0">
            <x v="108"/>
          </reference>
          <reference field="14" count="1" selected="0">
            <x v="111"/>
          </reference>
          <reference field="18" count="1" defaultSubtotal="1">
            <x v="0"/>
          </reference>
        </references>
      </pivotArea>
    </format>
    <format dxfId="1686">
      <pivotArea dataOnly="0" labelOnly="1" outline="0" fieldPosition="0">
        <references count="3">
          <reference field="11" count="1" selected="0">
            <x v="109"/>
          </reference>
          <reference field="14" count="1" selected="0">
            <x v="194"/>
          </reference>
          <reference field="18" count="1">
            <x v="14"/>
          </reference>
        </references>
      </pivotArea>
    </format>
    <format dxfId="1685">
      <pivotArea dataOnly="0" labelOnly="1" outline="0" fieldPosition="0">
        <references count="3">
          <reference field="11" count="1" selected="0">
            <x v="109"/>
          </reference>
          <reference field="14" count="1" selected="0">
            <x v="194"/>
          </reference>
          <reference field="18" count="1" defaultSubtotal="1">
            <x v="14"/>
          </reference>
        </references>
      </pivotArea>
    </format>
    <format dxfId="1684">
      <pivotArea dataOnly="0" labelOnly="1" outline="0" fieldPosition="0">
        <references count="3">
          <reference field="11" count="1" selected="0">
            <x v="110"/>
          </reference>
          <reference field="14" count="1" selected="0">
            <x v="52"/>
          </reference>
          <reference field="18" count="1">
            <x v="0"/>
          </reference>
        </references>
      </pivotArea>
    </format>
    <format dxfId="1683">
      <pivotArea dataOnly="0" labelOnly="1" outline="0" fieldPosition="0">
        <references count="3">
          <reference field="11" count="1" selected="0">
            <x v="110"/>
          </reference>
          <reference field="14" count="1" selected="0">
            <x v="52"/>
          </reference>
          <reference field="18" count="1" defaultSubtotal="1">
            <x v="0"/>
          </reference>
        </references>
      </pivotArea>
    </format>
    <format dxfId="1682">
      <pivotArea dataOnly="0" labelOnly="1" outline="0" fieldPosition="0">
        <references count="3">
          <reference field="11" count="1" selected="0">
            <x v="111"/>
          </reference>
          <reference field="14" count="1" selected="0">
            <x v="229"/>
          </reference>
          <reference field="18" count="2">
            <x v="2"/>
            <x v="12"/>
          </reference>
        </references>
      </pivotArea>
    </format>
    <format dxfId="1681">
      <pivotArea dataOnly="0" labelOnly="1" outline="0" fieldPosition="0">
        <references count="3">
          <reference field="11" count="1" selected="0">
            <x v="111"/>
          </reference>
          <reference field="14" count="1" selected="0">
            <x v="229"/>
          </reference>
          <reference field="18" count="2" defaultSubtotal="1">
            <x v="2"/>
            <x v="12"/>
          </reference>
        </references>
      </pivotArea>
    </format>
    <format dxfId="1680">
      <pivotArea dataOnly="0" labelOnly="1" outline="0" fieldPosition="0">
        <references count="3">
          <reference field="11" count="1" selected="0">
            <x v="112"/>
          </reference>
          <reference field="14" count="1" selected="0">
            <x v="41"/>
          </reference>
          <reference field="18" count="2">
            <x v="0"/>
            <x v="2"/>
          </reference>
        </references>
      </pivotArea>
    </format>
    <format dxfId="1679">
      <pivotArea dataOnly="0" labelOnly="1" outline="0" fieldPosition="0">
        <references count="3">
          <reference field="11" count="1" selected="0">
            <x v="112"/>
          </reference>
          <reference field="14" count="1" selected="0">
            <x v="41"/>
          </reference>
          <reference field="18" count="2" defaultSubtotal="1">
            <x v="0"/>
            <x v="2"/>
          </reference>
        </references>
      </pivotArea>
    </format>
    <format dxfId="1678">
      <pivotArea dataOnly="0" labelOnly="1" outline="0" fieldPosition="0">
        <references count="3">
          <reference field="11" count="1" selected="0">
            <x v="113"/>
          </reference>
          <reference field="14" count="1" selected="0">
            <x v="40"/>
          </reference>
          <reference field="18" count="2">
            <x v="0"/>
            <x v="2"/>
          </reference>
        </references>
      </pivotArea>
    </format>
    <format dxfId="1677">
      <pivotArea dataOnly="0" labelOnly="1" outline="0" fieldPosition="0">
        <references count="3">
          <reference field="11" count="1" selected="0">
            <x v="113"/>
          </reference>
          <reference field="14" count="1" selected="0">
            <x v="40"/>
          </reference>
          <reference field="18" count="2" defaultSubtotal="1">
            <x v="0"/>
            <x v="2"/>
          </reference>
        </references>
      </pivotArea>
    </format>
    <format dxfId="1676">
      <pivotArea dataOnly="0" labelOnly="1" outline="0" fieldPosition="0">
        <references count="3">
          <reference field="11" count="1" selected="0">
            <x v="114"/>
          </reference>
          <reference field="14" count="1" selected="0">
            <x v="433"/>
          </reference>
          <reference field="18" count="1">
            <x v="2"/>
          </reference>
        </references>
      </pivotArea>
    </format>
    <format dxfId="1675">
      <pivotArea dataOnly="0" labelOnly="1" outline="0" fieldPosition="0">
        <references count="3">
          <reference field="11" count="1" selected="0">
            <x v="114"/>
          </reference>
          <reference field="14" count="1" selected="0">
            <x v="433"/>
          </reference>
          <reference field="18" count="1" defaultSubtotal="1">
            <x v="2"/>
          </reference>
        </references>
      </pivotArea>
    </format>
    <format dxfId="1674">
      <pivotArea dataOnly="0" labelOnly="1" outline="0" fieldPosition="0">
        <references count="3">
          <reference field="11" count="1" selected="0">
            <x v="115"/>
          </reference>
          <reference field="14" count="1" selected="0">
            <x v="470"/>
          </reference>
          <reference field="18" count="2">
            <x v="22"/>
            <x v="24"/>
          </reference>
        </references>
      </pivotArea>
    </format>
    <format dxfId="1673">
      <pivotArea dataOnly="0" labelOnly="1" outline="0" fieldPosition="0">
        <references count="3">
          <reference field="11" count="1" selected="0">
            <x v="115"/>
          </reference>
          <reference field="14" count="1" selected="0">
            <x v="470"/>
          </reference>
          <reference field="18" count="2" defaultSubtotal="1">
            <x v="22"/>
            <x v="24"/>
          </reference>
        </references>
      </pivotArea>
    </format>
    <format dxfId="1672">
      <pivotArea dataOnly="0" labelOnly="1" outline="0" fieldPosition="0">
        <references count="3">
          <reference field="11" count="1" selected="0">
            <x v="116"/>
          </reference>
          <reference field="14" count="1" selected="0">
            <x v="469"/>
          </reference>
          <reference field="18" count="1">
            <x v="2"/>
          </reference>
        </references>
      </pivotArea>
    </format>
    <format dxfId="1671">
      <pivotArea dataOnly="0" labelOnly="1" outline="0" fieldPosition="0">
        <references count="3">
          <reference field="11" count="1" selected="0">
            <x v="116"/>
          </reference>
          <reference field="14" count="1" selected="0">
            <x v="469"/>
          </reference>
          <reference field="18" count="1" defaultSubtotal="1">
            <x v="2"/>
          </reference>
        </references>
      </pivotArea>
    </format>
    <format dxfId="1670">
      <pivotArea dataOnly="0" labelOnly="1" outline="0" fieldPosition="0">
        <references count="3">
          <reference field="11" count="1" selected="0">
            <x v="117"/>
          </reference>
          <reference field="14" count="1" selected="0">
            <x v="472"/>
          </reference>
          <reference field="18" count="1">
            <x v="2"/>
          </reference>
        </references>
      </pivotArea>
    </format>
    <format dxfId="1669">
      <pivotArea dataOnly="0" labelOnly="1" outline="0" fieldPosition="0">
        <references count="3">
          <reference field="11" count="1" selected="0">
            <x v="117"/>
          </reference>
          <reference field="14" count="1" selected="0">
            <x v="472"/>
          </reference>
          <reference field="18" count="1" defaultSubtotal="1">
            <x v="2"/>
          </reference>
        </references>
      </pivotArea>
    </format>
    <format dxfId="1668">
      <pivotArea dataOnly="0" labelOnly="1" outline="0" fieldPosition="0">
        <references count="3">
          <reference field="11" count="1" selected="0">
            <x v="118"/>
          </reference>
          <reference field="14" count="1" selected="0">
            <x v="473"/>
          </reference>
          <reference field="18" count="1">
            <x v="2"/>
          </reference>
        </references>
      </pivotArea>
    </format>
    <format dxfId="1667">
      <pivotArea dataOnly="0" labelOnly="1" outline="0" fieldPosition="0">
        <references count="3">
          <reference field="11" count="1" selected="0">
            <x v="118"/>
          </reference>
          <reference field="14" count="1" selected="0">
            <x v="473"/>
          </reference>
          <reference field="18" count="1" defaultSubtotal="1">
            <x v="2"/>
          </reference>
        </references>
      </pivotArea>
    </format>
    <format dxfId="1666">
      <pivotArea dataOnly="0" labelOnly="1" outline="0" fieldPosition="0">
        <references count="3">
          <reference field="11" count="1" selected="0">
            <x v="119"/>
          </reference>
          <reference field="14" count="1" selected="0">
            <x v="475"/>
          </reference>
          <reference field="18" count="2">
            <x v="22"/>
            <x v="24"/>
          </reference>
        </references>
      </pivotArea>
    </format>
    <format dxfId="1665">
      <pivotArea dataOnly="0" labelOnly="1" outline="0" fieldPosition="0">
        <references count="3">
          <reference field="11" count="1" selected="0">
            <x v="119"/>
          </reference>
          <reference field="14" count="1" selected="0">
            <x v="475"/>
          </reference>
          <reference field="18" count="2" defaultSubtotal="1">
            <x v="22"/>
            <x v="24"/>
          </reference>
        </references>
      </pivotArea>
    </format>
    <format dxfId="1664">
      <pivotArea dataOnly="0" labelOnly="1" outline="0" fieldPosition="0">
        <references count="3">
          <reference field="11" count="1" selected="0">
            <x v="120"/>
          </reference>
          <reference field="14" count="1" selected="0">
            <x v="474"/>
          </reference>
          <reference field="18" count="2">
            <x v="22"/>
            <x v="24"/>
          </reference>
        </references>
      </pivotArea>
    </format>
    <format dxfId="1663">
      <pivotArea dataOnly="0" labelOnly="1" outline="0" fieldPosition="0">
        <references count="3">
          <reference field="11" count="1" selected="0">
            <x v="120"/>
          </reference>
          <reference field="14" count="1" selected="0">
            <x v="474"/>
          </reference>
          <reference field="18" count="2" defaultSubtotal="1">
            <x v="22"/>
            <x v="24"/>
          </reference>
        </references>
      </pivotArea>
    </format>
    <format dxfId="1662">
      <pivotArea dataOnly="0" labelOnly="1" outline="0" fieldPosition="0">
        <references count="3">
          <reference field="11" count="1" selected="0">
            <x v="121"/>
          </reference>
          <reference field="14" count="1" selected="0">
            <x v="477"/>
          </reference>
          <reference field="18" count="1">
            <x v="2"/>
          </reference>
        </references>
      </pivotArea>
    </format>
    <format dxfId="1661">
      <pivotArea dataOnly="0" labelOnly="1" outline="0" fieldPosition="0">
        <references count="3">
          <reference field="11" count="1" selected="0">
            <x v="121"/>
          </reference>
          <reference field="14" count="1" selected="0">
            <x v="477"/>
          </reference>
          <reference field="18" count="1" defaultSubtotal="1">
            <x v="2"/>
          </reference>
        </references>
      </pivotArea>
    </format>
    <format dxfId="1660">
      <pivotArea dataOnly="0" labelOnly="1" outline="0" fieldPosition="0">
        <references count="3">
          <reference field="11" count="1" selected="0">
            <x v="122"/>
          </reference>
          <reference field="14" count="1" selected="0">
            <x v="476"/>
          </reference>
          <reference field="18" count="1">
            <x v="2"/>
          </reference>
        </references>
      </pivotArea>
    </format>
    <format dxfId="1659">
      <pivotArea dataOnly="0" labelOnly="1" outline="0" fieldPosition="0">
        <references count="3">
          <reference field="11" count="1" selected="0">
            <x v="122"/>
          </reference>
          <reference field="14" count="1" selected="0">
            <x v="476"/>
          </reference>
          <reference field="18" count="1" defaultSubtotal="1">
            <x v="2"/>
          </reference>
        </references>
      </pivotArea>
    </format>
    <format dxfId="1658">
      <pivotArea dataOnly="0" labelOnly="1" outline="0" fieldPosition="0">
        <references count="3">
          <reference field="11" count="1" selected="0">
            <x v="123"/>
          </reference>
          <reference field="14" count="1" selected="0">
            <x v="478"/>
          </reference>
          <reference field="18" count="2">
            <x v="22"/>
            <x v="24"/>
          </reference>
        </references>
      </pivotArea>
    </format>
    <format dxfId="1657">
      <pivotArea dataOnly="0" labelOnly="1" outline="0" fieldPosition="0">
        <references count="3">
          <reference field="11" count="1" selected="0">
            <x v="123"/>
          </reference>
          <reference field="14" count="1" selected="0">
            <x v="478"/>
          </reference>
          <reference field="18" count="2" defaultSubtotal="1">
            <x v="22"/>
            <x v="24"/>
          </reference>
        </references>
      </pivotArea>
    </format>
    <format dxfId="1656">
      <pivotArea dataOnly="0" labelOnly="1" outline="0" fieldPosition="0">
        <references count="3">
          <reference field="11" count="1" selected="0">
            <x v="124"/>
          </reference>
          <reference field="14" count="1" selected="0">
            <x v="480"/>
          </reference>
          <reference field="18" count="2">
            <x v="22"/>
            <x v="24"/>
          </reference>
        </references>
      </pivotArea>
    </format>
    <format dxfId="1655">
      <pivotArea dataOnly="0" labelOnly="1" outline="0" fieldPosition="0">
        <references count="3">
          <reference field="11" count="1" selected="0">
            <x v="124"/>
          </reference>
          <reference field="14" count="1" selected="0">
            <x v="480"/>
          </reference>
          <reference field="18" count="2" defaultSubtotal="1">
            <x v="22"/>
            <x v="24"/>
          </reference>
        </references>
      </pivotArea>
    </format>
    <format dxfId="1654">
      <pivotArea dataOnly="0" labelOnly="1" outline="0" fieldPosition="0">
        <references count="3">
          <reference field="11" count="1" selected="0">
            <x v="125"/>
          </reference>
          <reference field="14" count="1" selected="0">
            <x v="479"/>
          </reference>
          <reference field="18" count="2">
            <x v="22"/>
            <x v="24"/>
          </reference>
        </references>
      </pivotArea>
    </format>
    <format dxfId="1653">
      <pivotArea dataOnly="0" labelOnly="1" outline="0" fieldPosition="0">
        <references count="3">
          <reference field="11" count="1" selected="0">
            <x v="125"/>
          </reference>
          <reference field="14" count="1" selected="0">
            <x v="479"/>
          </reference>
          <reference field="18" count="2" defaultSubtotal="1">
            <x v="22"/>
            <x v="24"/>
          </reference>
        </references>
      </pivotArea>
    </format>
    <format dxfId="1652">
      <pivotArea dataOnly="0" labelOnly="1" outline="0" fieldPosition="0">
        <references count="3">
          <reference field="11" count="1" selected="0">
            <x v="126"/>
          </reference>
          <reference field="14" count="1" selected="0">
            <x v="481"/>
          </reference>
          <reference field="18" count="2">
            <x v="22"/>
            <x v="24"/>
          </reference>
        </references>
      </pivotArea>
    </format>
    <format dxfId="1651">
      <pivotArea dataOnly="0" labelOnly="1" outline="0" fieldPosition="0">
        <references count="3">
          <reference field="11" count="1" selected="0">
            <x v="126"/>
          </reference>
          <reference field="14" count="1" selected="0">
            <x v="481"/>
          </reference>
          <reference field="18" count="2" defaultSubtotal="1">
            <x v="22"/>
            <x v="24"/>
          </reference>
        </references>
      </pivotArea>
    </format>
    <format dxfId="1650">
      <pivotArea dataOnly="0" labelOnly="1" outline="0" fieldPosition="0">
        <references count="3">
          <reference field="11" count="1" selected="0">
            <x v="127"/>
          </reference>
          <reference field="14" count="1" selected="0">
            <x v="483"/>
          </reference>
          <reference field="18" count="1">
            <x v="2"/>
          </reference>
        </references>
      </pivotArea>
    </format>
    <format dxfId="1649">
      <pivotArea dataOnly="0" labelOnly="1" outline="0" fieldPosition="0">
        <references count="3">
          <reference field="11" count="1" selected="0">
            <x v="127"/>
          </reference>
          <reference field="14" count="1" selected="0">
            <x v="483"/>
          </reference>
          <reference field="18" count="1" defaultSubtotal="1">
            <x v="2"/>
          </reference>
        </references>
      </pivotArea>
    </format>
    <format dxfId="1648">
      <pivotArea dataOnly="0" labelOnly="1" outline="0" fieldPosition="0">
        <references count="3">
          <reference field="11" count="1" selected="0">
            <x v="128"/>
          </reference>
          <reference field="14" count="1" selected="0">
            <x v="453"/>
          </reference>
          <reference field="18" count="1">
            <x v="0"/>
          </reference>
        </references>
      </pivotArea>
    </format>
    <format dxfId="1647">
      <pivotArea dataOnly="0" labelOnly="1" outline="0" fieldPosition="0">
        <references count="3">
          <reference field="11" count="1" selected="0">
            <x v="128"/>
          </reference>
          <reference field="14" count="1" selected="0">
            <x v="453"/>
          </reference>
          <reference field="18" count="1" defaultSubtotal="1">
            <x v="0"/>
          </reference>
        </references>
      </pivotArea>
    </format>
    <format dxfId="1646">
      <pivotArea dataOnly="0" labelOnly="1" outline="0" fieldPosition="0">
        <references count="3">
          <reference field="11" count="1" selected="0">
            <x v="129"/>
          </reference>
          <reference field="14" count="1" selected="0">
            <x v="391"/>
          </reference>
          <reference field="18" count="1">
            <x v="2"/>
          </reference>
        </references>
      </pivotArea>
    </format>
    <format dxfId="1645">
      <pivotArea dataOnly="0" labelOnly="1" outline="0" fieldPosition="0">
        <references count="3">
          <reference field="11" count="1" selected="0">
            <x v="129"/>
          </reference>
          <reference field="14" count="1" selected="0">
            <x v="391"/>
          </reference>
          <reference field="18" count="1" defaultSubtotal="1">
            <x v="2"/>
          </reference>
        </references>
      </pivotArea>
    </format>
    <format dxfId="1644">
      <pivotArea dataOnly="0" labelOnly="1" outline="0" fieldPosition="0">
        <references count="3">
          <reference field="11" count="1" selected="0">
            <x v="130"/>
          </reference>
          <reference field="14" count="1" selected="0">
            <x v="242"/>
          </reference>
          <reference field="18" count="1">
            <x v="2"/>
          </reference>
        </references>
      </pivotArea>
    </format>
    <format dxfId="1643">
      <pivotArea dataOnly="0" labelOnly="1" outline="0" fieldPosition="0">
        <references count="3">
          <reference field="11" count="1" selected="0">
            <x v="130"/>
          </reference>
          <reference field="14" count="1" selected="0">
            <x v="242"/>
          </reference>
          <reference field="18" count="1" defaultSubtotal="1">
            <x v="2"/>
          </reference>
        </references>
      </pivotArea>
    </format>
    <format dxfId="1642">
      <pivotArea dataOnly="0" labelOnly="1" outline="0" fieldPosition="0">
        <references count="3">
          <reference field="11" count="1" selected="0">
            <x v="131"/>
          </reference>
          <reference field="14" count="1" selected="0">
            <x v="33"/>
          </reference>
          <reference field="18" count="1">
            <x v="15"/>
          </reference>
        </references>
      </pivotArea>
    </format>
    <format dxfId="1641">
      <pivotArea dataOnly="0" labelOnly="1" outline="0" fieldPosition="0">
        <references count="3">
          <reference field="11" count="1" selected="0">
            <x v="131"/>
          </reference>
          <reference field="14" count="1" selected="0">
            <x v="33"/>
          </reference>
          <reference field="18" count="1" defaultSubtotal="1">
            <x v="15"/>
          </reference>
        </references>
      </pivotArea>
    </format>
    <format dxfId="1640">
      <pivotArea dataOnly="0" labelOnly="1" outline="0" fieldPosition="0">
        <references count="3">
          <reference field="11" count="1" selected="0">
            <x v="132"/>
          </reference>
          <reference field="14" count="1" selected="0">
            <x v="482"/>
          </reference>
          <reference field="18" count="1">
            <x v="2"/>
          </reference>
        </references>
      </pivotArea>
    </format>
    <format dxfId="1639">
      <pivotArea dataOnly="0" labelOnly="1" outline="0" fieldPosition="0">
        <references count="3">
          <reference field="11" count="1" selected="0">
            <x v="132"/>
          </reference>
          <reference field="14" count="1" selected="0">
            <x v="482"/>
          </reference>
          <reference field="18" count="1" defaultSubtotal="1">
            <x v="2"/>
          </reference>
        </references>
      </pivotArea>
    </format>
    <format dxfId="1638">
      <pivotArea dataOnly="0" labelOnly="1" outline="0" fieldPosition="0">
        <references count="3">
          <reference field="11" count="1" selected="0">
            <x v="133"/>
          </reference>
          <reference field="14" count="1" selected="0">
            <x v="266"/>
          </reference>
          <reference field="18" count="1">
            <x v="27"/>
          </reference>
        </references>
      </pivotArea>
    </format>
    <format dxfId="1637">
      <pivotArea dataOnly="0" labelOnly="1" outline="0" fieldPosition="0">
        <references count="3">
          <reference field="11" count="1" selected="0">
            <x v="133"/>
          </reference>
          <reference field="14" count="1" selected="0">
            <x v="266"/>
          </reference>
          <reference field="18" count="1" defaultSubtotal="1">
            <x v="27"/>
          </reference>
        </references>
      </pivotArea>
    </format>
    <format dxfId="1636">
      <pivotArea dataOnly="0" labelOnly="1" outline="0" fieldPosition="0">
        <references count="3">
          <reference field="11" count="1" selected="0">
            <x v="134"/>
          </reference>
          <reference field="14" count="1" selected="0">
            <x v="76"/>
          </reference>
          <reference field="18" count="1">
            <x v="16"/>
          </reference>
        </references>
      </pivotArea>
    </format>
    <format dxfId="1635">
      <pivotArea dataOnly="0" labelOnly="1" outline="0" fieldPosition="0">
        <references count="3">
          <reference field="11" count="1" selected="0">
            <x v="134"/>
          </reference>
          <reference field="14" count="1" selected="0">
            <x v="76"/>
          </reference>
          <reference field="18" count="1" defaultSubtotal="1">
            <x v="16"/>
          </reference>
        </references>
      </pivotArea>
    </format>
    <format dxfId="1634">
      <pivotArea dataOnly="0" labelOnly="1" outline="0" fieldPosition="0">
        <references count="3">
          <reference field="11" count="1" selected="0">
            <x v="135"/>
          </reference>
          <reference field="14" count="1" selected="0">
            <x v="332"/>
          </reference>
          <reference field="18" count="1">
            <x v="4"/>
          </reference>
        </references>
      </pivotArea>
    </format>
    <format dxfId="1633">
      <pivotArea dataOnly="0" labelOnly="1" outline="0" fieldPosition="0">
        <references count="3">
          <reference field="11" count="1" selected="0">
            <x v="135"/>
          </reference>
          <reference field="14" count="1" selected="0">
            <x v="332"/>
          </reference>
          <reference field="18" count="1" defaultSubtotal="1">
            <x v="4"/>
          </reference>
        </references>
      </pivotArea>
    </format>
    <format dxfId="1632">
      <pivotArea dataOnly="0" labelOnly="1" outline="0" fieldPosition="0">
        <references count="3">
          <reference field="11" count="1" selected="0">
            <x v="136"/>
          </reference>
          <reference field="14" count="1" selected="0">
            <x v="333"/>
          </reference>
          <reference field="18" count="1">
            <x v="24"/>
          </reference>
        </references>
      </pivotArea>
    </format>
    <format dxfId="1631">
      <pivotArea dataOnly="0" labelOnly="1" outline="0" fieldPosition="0">
        <references count="3">
          <reference field="11" count="1" selected="0">
            <x v="136"/>
          </reference>
          <reference field="14" count="1" selected="0">
            <x v="333"/>
          </reference>
          <reference field="18" count="1" defaultSubtotal="1">
            <x v="24"/>
          </reference>
        </references>
      </pivotArea>
    </format>
    <format dxfId="1630">
      <pivotArea dataOnly="0" labelOnly="1" outline="0" fieldPosition="0">
        <references count="3">
          <reference field="11" count="1" selected="0">
            <x v="137"/>
          </reference>
          <reference field="14" count="1" selected="0">
            <x v="11"/>
          </reference>
          <reference field="18" count="1">
            <x v="1"/>
          </reference>
        </references>
      </pivotArea>
    </format>
    <format dxfId="1629">
      <pivotArea dataOnly="0" labelOnly="1" outline="0" fieldPosition="0">
        <references count="3">
          <reference field="11" count="1" selected="0">
            <x v="137"/>
          </reference>
          <reference field="14" count="1" selected="0">
            <x v="11"/>
          </reference>
          <reference field="18" count="1" defaultSubtotal="1">
            <x v="1"/>
          </reference>
        </references>
      </pivotArea>
    </format>
    <format dxfId="1628">
      <pivotArea dataOnly="0" labelOnly="1" outline="0" fieldPosition="0">
        <references count="3">
          <reference field="11" count="1" selected="0">
            <x v="138"/>
          </reference>
          <reference field="14" count="1" selected="0">
            <x v="16"/>
          </reference>
          <reference field="18" count="2">
            <x v="12"/>
            <x v="20"/>
          </reference>
        </references>
      </pivotArea>
    </format>
    <format dxfId="1627">
      <pivotArea dataOnly="0" labelOnly="1" outline="0" fieldPosition="0">
        <references count="3">
          <reference field="11" count="1" selected="0">
            <x v="138"/>
          </reference>
          <reference field="14" count="1" selected="0">
            <x v="16"/>
          </reference>
          <reference field="18" count="2" defaultSubtotal="1">
            <x v="12"/>
            <x v="20"/>
          </reference>
        </references>
      </pivotArea>
    </format>
    <format dxfId="1626">
      <pivotArea dataOnly="0" labelOnly="1" outline="0" fieldPosition="0">
        <references count="3">
          <reference field="11" count="1" selected="0">
            <x v="139"/>
          </reference>
          <reference field="14" count="1" selected="0">
            <x v="361"/>
          </reference>
          <reference field="18" count="2">
            <x v="3"/>
            <x v="6"/>
          </reference>
        </references>
      </pivotArea>
    </format>
    <format dxfId="1625">
      <pivotArea dataOnly="0" labelOnly="1" outline="0" fieldPosition="0">
        <references count="3">
          <reference field="11" count="1" selected="0">
            <x v="139"/>
          </reference>
          <reference field="14" count="1" selected="0">
            <x v="361"/>
          </reference>
          <reference field="18" count="2" defaultSubtotal="1">
            <x v="3"/>
            <x v="6"/>
          </reference>
        </references>
      </pivotArea>
    </format>
    <format dxfId="1624">
      <pivotArea dataOnly="0" labelOnly="1" outline="0" fieldPosition="0">
        <references count="3">
          <reference field="11" count="1" selected="0">
            <x v="140"/>
          </reference>
          <reference field="14" count="1" selected="0">
            <x v="255"/>
          </reference>
          <reference field="18" count="1">
            <x v="16"/>
          </reference>
        </references>
      </pivotArea>
    </format>
    <format dxfId="1623">
      <pivotArea dataOnly="0" labelOnly="1" outline="0" fieldPosition="0">
        <references count="3">
          <reference field="11" count="1" selected="0">
            <x v="140"/>
          </reference>
          <reference field="14" count="1" selected="0">
            <x v="255"/>
          </reference>
          <reference field="18" count="1" defaultSubtotal="1">
            <x v="16"/>
          </reference>
        </references>
      </pivotArea>
    </format>
    <format dxfId="1622">
      <pivotArea dataOnly="0" labelOnly="1" outline="0" fieldPosition="0">
        <references count="3">
          <reference field="11" count="1" selected="0">
            <x v="141"/>
          </reference>
          <reference field="14" count="1" selected="0">
            <x v="252"/>
          </reference>
          <reference field="18" count="1">
            <x v="0"/>
          </reference>
        </references>
      </pivotArea>
    </format>
    <format dxfId="1621">
      <pivotArea dataOnly="0" labelOnly="1" outline="0" fieldPosition="0">
        <references count="3">
          <reference field="11" count="1" selected="0">
            <x v="141"/>
          </reference>
          <reference field="14" count="1" selected="0">
            <x v="252"/>
          </reference>
          <reference field="18" count="1" defaultSubtotal="1">
            <x v="0"/>
          </reference>
        </references>
      </pivotArea>
    </format>
    <format dxfId="1620">
      <pivotArea dataOnly="0" labelOnly="1" outline="0" fieldPosition="0">
        <references count="3">
          <reference field="11" count="1" selected="0">
            <x v="142"/>
          </reference>
          <reference field="14" count="1" selected="0">
            <x v="213"/>
          </reference>
          <reference field="18" count="1">
            <x v="14"/>
          </reference>
        </references>
      </pivotArea>
    </format>
    <format dxfId="1619">
      <pivotArea dataOnly="0" labelOnly="1" outline="0" fieldPosition="0">
        <references count="3">
          <reference field="11" count="1" selected="0">
            <x v="142"/>
          </reference>
          <reference field="14" count="1" selected="0">
            <x v="213"/>
          </reference>
          <reference field="18" count="1" defaultSubtotal="1">
            <x v="14"/>
          </reference>
        </references>
      </pivotArea>
    </format>
    <format dxfId="1618">
      <pivotArea dataOnly="0" labelOnly="1" outline="0" fieldPosition="0">
        <references count="3">
          <reference field="11" count="1" selected="0">
            <x v="143"/>
          </reference>
          <reference field="14" count="1" selected="0">
            <x v="326"/>
          </reference>
          <reference field="18" count="1">
            <x v="6"/>
          </reference>
        </references>
      </pivotArea>
    </format>
    <format dxfId="1617">
      <pivotArea dataOnly="0" labelOnly="1" outline="0" fieldPosition="0">
        <references count="3">
          <reference field="11" count="1" selected="0">
            <x v="143"/>
          </reference>
          <reference field="14" count="1" selected="0">
            <x v="326"/>
          </reference>
          <reference field="18" count="1" defaultSubtotal="1">
            <x v="6"/>
          </reference>
        </references>
      </pivotArea>
    </format>
    <format dxfId="1616">
      <pivotArea dataOnly="0" labelOnly="1" outline="0" fieldPosition="0">
        <references count="3">
          <reference field="11" count="1" selected="0">
            <x v="144"/>
          </reference>
          <reference field="14" count="1" selected="0">
            <x v="327"/>
          </reference>
          <reference field="18" count="1">
            <x v="6"/>
          </reference>
        </references>
      </pivotArea>
    </format>
    <format dxfId="1615">
      <pivotArea dataOnly="0" labelOnly="1" outline="0" fieldPosition="0">
        <references count="3">
          <reference field="11" count="1" selected="0">
            <x v="144"/>
          </reference>
          <reference field="14" count="1" selected="0">
            <x v="327"/>
          </reference>
          <reference field="18" count="1" defaultSubtotal="1">
            <x v="6"/>
          </reference>
        </references>
      </pivotArea>
    </format>
    <format dxfId="1614">
      <pivotArea dataOnly="0" labelOnly="1" outline="0" fieldPosition="0">
        <references count="3">
          <reference field="11" count="1" selected="0">
            <x v="145"/>
          </reference>
          <reference field="14" count="1" selected="0">
            <x v="329"/>
          </reference>
          <reference field="18" count="1">
            <x v="6"/>
          </reference>
        </references>
      </pivotArea>
    </format>
    <format dxfId="1613">
      <pivotArea dataOnly="0" labelOnly="1" outline="0" fieldPosition="0">
        <references count="3">
          <reference field="11" count="1" selected="0">
            <x v="145"/>
          </reference>
          <reference field="14" count="1" selected="0">
            <x v="329"/>
          </reference>
          <reference field="18" count="1" defaultSubtotal="1">
            <x v="6"/>
          </reference>
        </references>
      </pivotArea>
    </format>
    <format dxfId="1612">
      <pivotArea dataOnly="0" labelOnly="1" outline="0" fieldPosition="0">
        <references count="3">
          <reference field="11" count="1" selected="0">
            <x v="146"/>
          </reference>
          <reference field="14" count="1" selected="0">
            <x v="330"/>
          </reference>
          <reference field="18" count="1">
            <x v="6"/>
          </reference>
        </references>
      </pivotArea>
    </format>
    <format dxfId="1611">
      <pivotArea dataOnly="0" labelOnly="1" outline="0" fieldPosition="0">
        <references count="3">
          <reference field="11" count="1" selected="0">
            <x v="146"/>
          </reference>
          <reference field="14" count="1" selected="0">
            <x v="330"/>
          </reference>
          <reference field="18" count="1" defaultSubtotal="1">
            <x v="6"/>
          </reference>
        </references>
      </pivotArea>
    </format>
    <format dxfId="1610">
      <pivotArea dataOnly="0" labelOnly="1" outline="0" fieldPosition="0">
        <references count="3">
          <reference field="11" count="1" selected="0">
            <x v="147"/>
          </reference>
          <reference field="14" count="1" selected="0">
            <x v="328"/>
          </reference>
          <reference field="18" count="1">
            <x v="6"/>
          </reference>
        </references>
      </pivotArea>
    </format>
    <format dxfId="1609">
      <pivotArea dataOnly="0" labelOnly="1" outline="0" fieldPosition="0">
        <references count="3">
          <reference field="11" count="1" selected="0">
            <x v="147"/>
          </reference>
          <reference field="14" count="1" selected="0">
            <x v="328"/>
          </reference>
          <reference field="18" count="1" defaultSubtotal="1">
            <x v="6"/>
          </reference>
        </references>
      </pivotArea>
    </format>
    <format dxfId="1608">
      <pivotArea dataOnly="0" labelOnly="1" outline="0" fieldPosition="0">
        <references count="3">
          <reference field="11" count="1" selected="0">
            <x v="148"/>
          </reference>
          <reference field="14" count="1" selected="0">
            <x v="215"/>
          </reference>
          <reference field="18" count="1">
            <x v="14"/>
          </reference>
        </references>
      </pivotArea>
    </format>
    <format dxfId="1607">
      <pivotArea dataOnly="0" labelOnly="1" outline="0" fieldPosition="0">
        <references count="3">
          <reference field="11" count="1" selected="0">
            <x v="148"/>
          </reference>
          <reference field="14" count="1" selected="0">
            <x v="215"/>
          </reference>
          <reference field="18" count="1" defaultSubtotal="1">
            <x v="14"/>
          </reference>
        </references>
      </pivotArea>
    </format>
    <format dxfId="1606">
      <pivotArea dataOnly="0" labelOnly="1" outline="0" fieldPosition="0">
        <references count="3">
          <reference field="11" count="1" selected="0">
            <x v="149"/>
          </reference>
          <reference field="14" count="1" selected="0">
            <x v="461"/>
          </reference>
          <reference field="18" count="2">
            <x v="4"/>
            <x v="10"/>
          </reference>
        </references>
      </pivotArea>
    </format>
    <format dxfId="1605">
      <pivotArea dataOnly="0" labelOnly="1" outline="0" fieldPosition="0">
        <references count="3">
          <reference field="11" count="1" selected="0">
            <x v="149"/>
          </reference>
          <reference field="14" count="1" selected="0">
            <x v="461"/>
          </reference>
          <reference field="18" count="2" defaultSubtotal="1">
            <x v="4"/>
            <x v="10"/>
          </reference>
        </references>
      </pivotArea>
    </format>
    <format dxfId="1604">
      <pivotArea dataOnly="0" labelOnly="1" outline="0" fieldPosition="0">
        <references count="3">
          <reference field="11" count="1" selected="0">
            <x v="150"/>
          </reference>
          <reference field="14" count="1" selected="0">
            <x v="267"/>
          </reference>
          <reference field="18" count="1">
            <x v="3"/>
          </reference>
        </references>
      </pivotArea>
    </format>
    <format dxfId="1603">
      <pivotArea dataOnly="0" labelOnly="1" outline="0" fieldPosition="0">
        <references count="3">
          <reference field="11" count="1" selected="0">
            <x v="150"/>
          </reference>
          <reference field="14" count="1" selected="0">
            <x v="267"/>
          </reference>
          <reference field="18" count="1" defaultSubtotal="1">
            <x v="3"/>
          </reference>
        </references>
      </pivotArea>
    </format>
    <format dxfId="1602">
      <pivotArea dataOnly="0" labelOnly="1" outline="0" fieldPosition="0">
        <references count="3">
          <reference field="11" count="1" selected="0">
            <x v="151"/>
          </reference>
          <reference field="14" count="1" selected="0">
            <x v="392"/>
          </reference>
          <reference field="18" count="1">
            <x v="2"/>
          </reference>
        </references>
      </pivotArea>
    </format>
    <format dxfId="1601">
      <pivotArea dataOnly="0" labelOnly="1" outline="0" fieldPosition="0">
        <references count="3">
          <reference field="11" count="1" selected="0">
            <x v="151"/>
          </reference>
          <reference field="14" count="1" selected="0">
            <x v="392"/>
          </reference>
          <reference field="18" count="1" defaultSubtotal="1">
            <x v="2"/>
          </reference>
        </references>
      </pivotArea>
    </format>
    <format dxfId="1600">
      <pivotArea dataOnly="0" labelOnly="1" outline="0" fieldPosition="0">
        <references count="3">
          <reference field="11" count="1" selected="0">
            <x v="152"/>
          </reference>
          <reference field="14" count="1" selected="0">
            <x v="447"/>
          </reference>
          <reference field="18" count="1">
            <x v="19"/>
          </reference>
        </references>
      </pivotArea>
    </format>
    <format dxfId="1599">
      <pivotArea dataOnly="0" labelOnly="1" outline="0" fieldPosition="0">
        <references count="3">
          <reference field="11" count="1" selected="0">
            <x v="152"/>
          </reference>
          <reference field="14" count="1" selected="0">
            <x v="447"/>
          </reference>
          <reference field="18" count="1" defaultSubtotal="1">
            <x v="19"/>
          </reference>
        </references>
      </pivotArea>
    </format>
    <format dxfId="1598">
      <pivotArea dataOnly="0" labelOnly="1" outline="0" fieldPosition="0">
        <references count="3">
          <reference field="11" count="1" selected="0">
            <x v="153"/>
          </reference>
          <reference field="14" count="1" selected="0">
            <x v="177"/>
          </reference>
          <reference field="18" count="1">
            <x v="6"/>
          </reference>
        </references>
      </pivotArea>
    </format>
    <format dxfId="1597">
      <pivotArea dataOnly="0" labelOnly="1" outline="0" fieldPosition="0">
        <references count="3">
          <reference field="11" count="1" selected="0">
            <x v="153"/>
          </reference>
          <reference field="14" count="1" selected="0">
            <x v="177"/>
          </reference>
          <reference field="18" count="1" defaultSubtotal="1">
            <x v="6"/>
          </reference>
        </references>
      </pivotArea>
    </format>
    <format dxfId="1596">
      <pivotArea dataOnly="0" labelOnly="1" outline="0" fieldPosition="0">
        <references count="3">
          <reference field="11" count="1" selected="0">
            <x v="154"/>
          </reference>
          <reference field="14" count="1" selected="0">
            <x v="182"/>
          </reference>
          <reference field="18" count="1">
            <x v="1"/>
          </reference>
        </references>
      </pivotArea>
    </format>
    <format dxfId="1595">
      <pivotArea dataOnly="0" labelOnly="1" outline="0" fieldPosition="0">
        <references count="3">
          <reference field="11" count="1" selected="0">
            <x v="154"/>
          </reference>
          <reference field="14" count="1" selected="0">
            <x v="182"/>
          </reference>
          <reference field="18" count="1" defaultSubtotal="1">
            <x v="1"/>
          </reference>
        </references>
      </pivotArea>
    </format>
    <format dxfId="1594">
      <pivotArea dataOnly="0" labelOnly="1" outline="0" fieldPosition="0">
        <references count="3">
          <reference field="11" count="1" selected="0">
            <x v="155"/>
          </reference>
          <reference field="14" count="1" selected="0">
            <x v="105"/>
          </reference>
          <reference field="18" count="1">
            <x v="27"/>
          </reference>
        </references>
      </pivotArea>
    </format>
    <format dxfId="1593">
      <pivotArea dataOnly="0" labelOnly="1" outline="0" fieldPosition="0">
        <references count="3">
          <reference field="11" count="1" selected="0">
            <x v="155"/>
          </reference>
          <reference field="14" count="1" selected="0">
            <x v="105"/>
          </reference>
          <reference field="18" count="1" defaultSubtotal="1">
            <x v="27"/>
          </reference>
        </references>
      </pivotArea>
    </format>
    <format dxfId="1592">
      <pivotArea dataOnly="0" labelOnly="1" outline="0" fieldPosition="0">
        <references count="3">
          <reference field="11" count="1" selected="0">
            <x v="156"/>
          </reference>
          <reference field="14" count="1" selected="0">
            <x v="238"/>
          </reference>
          <reference field="18" count="1">
            <x v="12"/>
          </reference>
        </references>
      </pivotArea>
    </format>
    <format dxfId="1591">
      <pivotArea dataOnly="0" labelOnly="1" outline="0" fieldPosition="0">
        <references count="3">
          <reference field="11" count="1" selected="0">
            <x v="156"/>
          </reference>
          <reference field="14" count="1" selected="0">
            <x v="238"/>
          </reference>
          <reference field="18" count="1" defaultSubtotal="1">
            <x v="12"/>
          </reference>
        </references>
      </pivotArea>
    </format>
    <format dxfId="1590">
      <pivotArea dataOnly="0" labelOnly="1" outline="0" fieldPosition="0">
        <references count="3">
          <reference field="11" count="1" selected="0">
            <x v="157"/>
          </reference>
          <reference field="14" count="1" selected="0">
            <x v="395"/>
          </reference>
          <reference field="18" count="1">
            <x v="6"/>
          </reference>
        </references>
      </pivotArea>
    </format>
    <format dxfId="1589">
      <pivotArea dataOnly="0" labelOnly="1" outline="0" fieldPosition="0">
        <references count="3">
          <reference field="11" count="1" selected="0">
            <x v="157"/>
          </reference>
          <reference field="14" count="1" selected="0">
            <x v="395"/>
          </reference>
          <reference field="18" count="1" defaultSubtotal="1">
            <x v="6"/>
          </reference>
        </references>
      </pivotArea>
    </format>
    <format dxfId="1588">
      <pivotArea dataOnly="0" labelOnly="1" outline="0" fieldPosition="0">
        <references count="3">
          <reference field="11" count="1" selected="0">
            <x v="158"/>
          </reference>
          <reference field="14" count="1" selected="0">
            <x v="224"/>
          </reference>
          <reference field="18" count="2">
            <x v="4"/>
            <x v="12"/>
          </reference>
        </references>
      </pivotArea>
    </format>
    <format dxfId="1587">
      <pivotArea dataOnly="0" labelOnly="1" outline="0" fieldPosition="0">
        <references count="3">
          <reference field="11" count="1" selected="0">
            <x v="158"/>
          </reference>
          <reference field="14" count="1" selected="0">
            <x v="224"/>
          </reference>
          <reference field="18" count="2" defaultSubtotal="1">
            <x v="4"/>
            <x v="12"/>
          </reference>
        </references>
      </pivotArea>
    </format>
    <format dxfId="1586">
      <pivotArea dataOnly="0" labelOnly="1" outline="0" fieldPosition="0">
        <references count="3">
          <reference field="11" count="1" selected="0">
            <x v="159"/>
          </reference>
          <reference field="14" count="1" selected="0">
            <x v="218"/>
          </reference>
          <reference field="18" count="1">
            <x v="0"/>
          </reference>
        </references>
      </pivotArea>
    </format>
    <format dxfId="1585">
      <pivotArea dataOnly="0" labelOnly="1" outline="0" fieldPosition="0">
        <references count="3">
          <reference field="11" count="1" selected="0">
            <x v="159"/>
          </reference>
          <reference field="14" count="1" selected="0">
            <x v="218"/>
          </reference>
          <reference field="18" count="1" defaultSubtotal="1">
            <x v="0"/>
          </reference>
        </references>
      </pivotArea>
    </format>
    <format dxfId="1584">
      <pivotArea dataOnly="0" labelOnly="1" outline="0" fieldPosition="0">
        <references count="3">
          <reference field="11" count="1" selected="0">
            <x v="160"/>
          </reference>
          <reference field="14" count="1" selected="0">
            <x v="398"/>
          </reference>
          <reference field="18" count="1">
            <x v="14"/>
          </reference>
        </references>
      </pivotArea>
    </format>
    <format dxfId="1583">
      <pivotArea dataOnly="0" labelOnly="1" outline="0" fieldPosition="0">
        <references count="3">
          <reference field="11" count="1" selected="0">
            <x v="160"/>
          </reference>
          <reference field="14" count="1" selected="0">
            <x v="398"/>
          </reference>
          <reference field="18" count="1" defaultSubtotal="1">
            <x v="14"/>
          </reference>
        </references>
      </pivotArea>
    </format>
    <format dxfId="1582">
      <pivotArea dataOnly="0" labelOnly="1" outline="0" fieldPosition="0">
        <references count="3">
          <reference field="11" count="1" selected="0">
            <x v="161"/>
          </reference>
          <reference field="14" count="1" selected="0">
            <x v="117"/>
          </reference>
          <reference field="18" count="2">
            <x v="6"/>
            <x v="12"/>
          </reference>
        </references>
      </pivotArea>
    </format>
    <format dxfId="1581">
      <pivotArea dataOnly="0" labelOnly="1" outline="0" fieldPosition="0">
        <references count="3">
          <reference field="11" count="1" selected="0">
            <x v="161"/>
          </reference>
          <reference field="14" count="1" selected="0">
            <x v="117"/>
          </reference>
          <reference field="18" count="2" defaultSubtotal="1">
            <x v="6"/>
            <x v="12"/>
          </reference>
        </references>
      </pivotArea>
    </format>
    <format dxfId="1580">
      <pivotArea dataOnly="0" labelOnly="1" outline="0" fieldPosition="0">
        <references count="3">
          <reference field="11" count="1" selected="0">
            <x v="162"/>
          </reference>
          <reference field="14" count="1" selected="0">
            <x v="161"/>
          </reference>
          <reference field="18" count="1">
            <x v="2"/>
          </reference>
        </references>
      </pivotArea>
    </format>
    <format dxfId="1579">
      <pivotArea dataOnly="0" labelOnly="1" outline="0" fieldPosition="0">
        <references count="3">
          <reference field="11" count="1" selected="0">
            <x v="162"/>
          </reference>
          <reference field="14" count="1" selected="0">
            <x v="161"/>
          </reference>
          <reference field="18" count="1" defaultSubtotal="1">
            <x v="2"/>
          </reference>
        </references>
      </pivotArea>
    </format>
    <format dxfId="1578">
      <pivotArea dataOnly="0" labelOnly="1" outline="0" fieldPosition="0">
        <references count="3">
          <reference field="11" count="1" selected="0">
            <x v="163"/>
          </reference>
          <reference field="14" count="1" selected="0">
            <x v="234"/>
          </reference>
          <reference field="18" count="2">
            <x v="2"/>
            <x v="12"/>
          </reference>
        </references>
      </pivotArea>
    </format>
    <format dxfId="1577">
      <pivotArea dataOnly="0" labelOnly="1" outline="0" fieldPosition="0">
        <references count="3">
          <reference field="11" count="1" selected="0">
            <x v="163"/>
          </reference>
          <reference field="14" count="1" selected="0">
            <x v="234"/>
          </reference>
          <reference field="18" count="2" defaultSubtotal="1">
            <x v="2"/>
            <x v="12"/>
          </reference>
        </references>
      </pivotArea>
    </format>
    <format dxfId="1576">
      <pivotArea dataOnly="0" labelOnly="1" outline="0" fieldPosition="0">
        <references count="3">
          <reference field="11" count="1" selected="0">
            <x v="164"/>
          </reference>
          <reference field="14" count="1" selected="0">
            <x v="258"/>
          </reference>
          <reference field="18" count="1">
            <x v="6"/>
          </reference>
        </references>
      </pivotArea>
    </format>
    <format dxfId="1575">
      <pivotArea dataOnly="0" labelOnly="1" outline="0" fieldPosition="0">
        <references count="3">
          <reference field="11" count="1" selected="0">
            <x v="164"/>
          </reference>
          <reference field="14" count="1" selected="0">
            <x v="258"/>
          </reference>
          <reference field="18" count="1" defaultSubtotal="1">
            <x v="6"/>
          </reference>
        </references>
      </pivotArea>
    </format>
    <format dxfId="1574">
      <pivotArea dataOnly="0" labelOnly="1" outline="0" fieldPosition="0">
        <references count="3">
          <reference field="11" count="1" selected="0">
            <x v="165"/>
          </reference>
          <reference field="14" count="1" selected="0">
            <x v="206"/>
          </reference>
          <reference field="18" count="1">
            <x v="3"/>
          </reference>
        </references>
      </pivotArea>
    </format>
    <format dxfId="1573">
      <pivotArea dataOnly="0" labelOnly="1" outline="0" fieldPosition="0">
        <references count="3">
          <reference field="11" count="1" selected="0">
            <x v="165"/>
          </reference>
          <reference field="14" count="1" selected="0">
            <x v="206"/>
          </reference>
          <reference field="18" count="1" defaultSubtotal="1">
            <x v="3"/>
          </reference>
        </references>
      </pivotArea>
    </format>
    <format dxfId="1572">
      <pivotArea dataOnly="0" labelOnly="1" outline="0" fieldPosition="0">
        <references count="3">
          <reference field="11" count="1" selected="0">
            <x v="166"/>
          </reference>
          <reference field="14" count="1" selected="0">
            <x v="319"/>
          </reference>
          <reference field="18" count="2">
            <x v="2"/>
            <x v="14"/>
          </reference>
        </references>
      </pivotArea>
    </format>
    <format dxfId="1571">
      <pivotArea dataOnly="0" labelOnly="1" outline="0" fieldPosition="0">
        <references count="3">
          <reference field="11" count="1" selected="0">
            <x v="166"/>
          </reference>
          <reference field="14" count="1" selected="0">
            <x v="319"/>
          </reference>
          <reference field="18" count="2" defaultSubtotal="1">
            <x v="2"/>
            <x v="14"/>
          </reference>
        </references>
      </pivotArea>
    </format>
    <format dxfId="1570">
      <pivotArea dataOnly="0" labelOnly="1" outline="0" fieldPosition="0">
        <references count="3">
          <reference field="11" count="1" selected="0">
            <x v="167"/>
          </reference>
          <reference field="14" count="1" selected="0">
            <x v="66"/>
          </reference>
          <reference field="18" count="1">
            <x v="15"/>
          </reference>
        </references>
      </pivotArea>
    </format>
    <format dxfId="1569">
      <pivotArea dataOnly="0" labelOnly="1" outline="0" fieldPosition="0">
        <references count="3">
          <reference field="11" count="1" selected="0">
            <x v="167"/>
          </reference>
          <reference field="14" count="1" selected="0">
            <x v="66"/>
          </reference>
          <reference field="18" count="1" defaultSubtotal="1">
            <x v="15"/>
          </reference>
        </references>
      </pivotArea>
    </format>
    <format dxfId="1568">
      <pivotArea dataOnly="0" labelOnly="1" outline="0" fieldPosition="0">
        <references count="3">
          <reference field="11" count="1" selected="0">
            <x v="168"/>
          </reference>
          <reference field="14" count="1" selected="0">
            <x v="148"/>
          </reference>
          <reference field="18" count="1">
            <x v="2"/>
          </reference>
        </references>
      </pivotArea>
    </format>
    <format dxfId="1567">
      <pivotArea dataOnly="0" labelOnly="1" outline="0" fieldPosition="0">
        <references count="3">
          <reference field="11" count="1" selected="0">
            <x v="168"/>
          </reference>
          <reference field="14" count="1" selected="0">
            <x v="148"/>
          </reference>
          <reference field="18" count="1" defaultSubtotal="1">
            <x v="2"/>
          </reference>
        </references>
      </pivotArea>
    </format>
    <format dxfId="1566">
      <pivotArea dataOnly="0" labelOnly="1" outline="0" fieldPosition="0">
        <references count="3">
          <reference field="11" count="1" selected="0">
            <x v="169"/>
          </reference>
          <reference field="14" count="1" selected="0">
            <x v="192"/>
          </reference>
          <reference field="18" count="1">
            <x v="14"/>
          </reference>
        </references>
      </pivotArea>
    </format>
    <format dxfId="1565">
      <pivotArea dataOnly="0" labelOnly="1" outline="0" fieldPosition="0">
        <references count="3">
          <reference field="11" count="1" selected="0">
            <x v="169"/>
          </reference>
          <reference field="14" count="1" selected="0">
            <x v="192"/>
          </reference>
          <reference field="18" count="1" defaultSubtotal="1">
            <x v="14"/>
          </reference>
        </references>
      </pivotArea>
    </format>
    <format dxfId="1564">
      <pivotArea dataOnly="0" labelOnly="1" outline="0" fieldPosition="0">
        <references count="3">
          <reference field="11" count="1" selected="0">
            <x v="170"/>
          </reference>
          <reference field="14" count="1" selected="0">
            <x v="317"/>
          </reference>
          <reference field="18" count="1">
            <x v="14"/>
          </reference>
        </references>
      </pivotArea>
    </format>
    <format dxfId="1563">
      <pivotArea dataOnly="0" labelOnly="1" outline="0" fieldPosition="0">
        <references count="3">
          <reference field="11" count="1" selected="0">
            <x v="170"/>
          </reference>
          <reference field="14" count="1" selected="0">
            <x v="317"/>
          </reference>
          <reference field="18" count="1" defaultSubtotal="1">
            <x v="14"/>
          </reference>
        </references>
      </pivotArea>
    </format>
    <format dxfId="1562">
      <pivotArea dataOnly="0" labelOnly="1" outline="0" fieldPosition="0">
        <references count="3">
          <reference field="11" count="1" selected="0">
            <x v="171"/>
          </reference>
          <reference field="14" count="1" selected="0">
            <x v="350"/>
          </reference>
          <reference field="18" count="1">
            <x v="6"/>
          </reference>
        </references>
      </pivotArea>
    </format>
    <format dxfId="1561">
      <pivotArea dataOnly="0" labelOnly="1" outline="0" fieldPosition="0">
        <references count="3">
          <reference field="11" count="1" selected="0">
            <x v="171"/>
          </reference>
          <reference field="14" count="1" selected="0">
            <x v="350"/>
          </reference>
          <reference field="18" count="1" defaultSubtotal="1">
            <x v="6"/>
          </reference>
        </references>
      </pivotArea>
    </format>
    <format dxfId="1560">
      <pivotArea dataOnly="0" labelOnly="1" outline="0" fieldPosition="0">
        <references count="3">
          <reference field="11" count="1" selected="0">
            <x v="172"/>
          </reference>
          <reference field="14" count="1" selected="0">
            <x v="231"/>
          </reference>
          <reference field="18" count="1">
            <x v="12"/>
          </reference>
        </references>
      </pivotArea>
    </format>
    <format dxfId="1559">
      <pivotArea dataOnly="0" labelOnly="1" outline="0" fieldPosition="0">
        <references count="3">
          <reference field="11" count="1" selected="0">
            <x v="172"/>
          </reference>
          <reference field="14" count="1" selected="0">
            <x v="231"/>
          </reference>
          <reference field="18" count="1" defaultSubtotal="1">
            <x v="12"/>
          </reference>
        </references>
      </pivotArea>
    </format>
    <format dxfId="1558">
      <pivotArea dataOnly="0" labelOnly="1" outline="0" fieldPosition="0">
        <references count="3">
          <reference field="11" count="1" selected="0">
            <x v="173"/>
          </reference>
          <reference field="14" count="1" selected="0">
            <x v="174"/>
          </reference>
          <reference field="18" count="1">
            <x v="0"/>
          </reference>
        </references>
      </pivotArea>
    </format>
    <format dxfId="1557">
      <pivotArea dataOnly="0" labelOnly="1" outline="0" fieldPosition="0">
        <references count="3">
          <reference field="11" count="1" selected="0">
            <x v="173"/>
          </reference>
          <reference field="14" count="1" selected="0">
            <x v="174"/>
          </reference>
          <reference field="18" count="1" defaultSubtotal="1">
            <x v="0"/>
          </reference>
        </references>
      </pivotArea>
    </format>
    <format dxfId="1556">
      <pivotArea dataOnly="0" labelOnly="1" outline="0" fieldPosition="0">
        <references count="3">
          <reference field="11" count="1" selected="0">
            <x v="174"/>
          </reference>
          <reference field="14" count="1" selected="0">
            <x v="173"/>
          </reference>
          <reference field="18" count="1">
            <x v="0"/>
          </reference>
        </references>
      </pivotArea>
    </format>
    <format dxfId="1555">
      <pivotArea dataOnly="0" labelOnly="1" outline="0" fieldPosition="0">
        <references count="3">
          <reference field="11" count="1" selected="0">
            <x v="174"/>
          </reference>
          <reference field="14" count="1" selected="0">
            <x v="173"/>
          </reference>
          <reference field="18" count="1" defaultSubtotal="1">
            <x v="0"/>
          </reference>
        </references>
      </pivotArea>
    </format>
    <format dxfId="1554">
      <pivotArea dataOnly="0" labelOnly="1" outline="0" fieldPosition="0">
        <references count="3">
          <reference field="11" count="1" selected="0">
            <x v="175"/>
          </reference>
          <reference field="14" count="1" selected="0">
            <x v="471"/>
          </reference>
          <reference field="18" count="1">
            <x v="2"/>
          </reference>
        </references>
      </pivotArea>
    </format>
    <format dxfId="1553">
      <pivotArea dataOnly="0" labelOnly="1" outline="0" fieldPosition="0">
        <references count="3">
          <reference field="11" count="1" selected="0">
            <x v="175"/>
          </reference>
          <reference field="14" count="1" selected="0">
            <x v="471"/>
          </reference>
          <reference field="18" count="1" defaultSubtotal="1">
            <x v="2"/>
          </reference>
        </references>
      </pivotArea>
    </format>
    <format dxfId="1552">
      <pivotArea dataOnly="0" labelOnly="1" outline="0" fieldPosition="0">
        <references count="3">
          <reference field="11" count="1" selected="0">
            <x v="176"/>
          </reference>
          <reference field="14" count="1" selected="0">
            <x v="362"/>
          </reference>
          <reference field="18" count="2">
            <x v="3"/>
            <x v="6"/>
          </reference>
        </references>
      </pivotArea>
    </format>
    <format dxfId="1551">
      <pivotArea dataOnly="0" labelOnly="1" outline="0" fieldPosition="0">
        <references count="3">
          <reference field="11" count="1" selected="0">
            <x v="176"/>
          </reference>
          <reference field="14" count="1" selected="0">
            <x v="362"/>
          </reference>
          <reference field="18" count="2" defaultSubtotal="1">
            <x v="3"/>
            <x v="6"/>
          </reference>
        </references>
      </pivotArea>
    </format>
    <format dxfId="1550">
      <pivotArea dataOnly="0" labelOnly="1" outline="0" fieldPosition="0">
        <references count="3">
          <reference field="11" count="1" selected="0">
            <x v="177"/>
          </reference>
          <reference field="14" count="1" selected="0">
            <x v="279"/>
          </reference>
          <reference field="18" count="1">
            <x v="0"/>
          </reference>
        </references>
      </pivotArea>
    </format>
    <format dxfId="1549">
      <pivotArea dataOnly="0" labelOnly="1" outline="0" fieldPosition="0">
        <references count="3">
          <reference field="11" count="1" selected="0">
            <x v="177"/>
          </reference>
          <reference field="14" count="1" selected="0">
            <x v="279"/>
          </reference>
          <reference field="18" count="1" defaultSubtotal="1">
            <x v="0"/>
          </reference>
        </references>
      </pivotArea>
    </format>
    <format dxfId="1548">
      <pivotArea dataOnly="0" labelOnly="1" outline="0" fieldPosition="0">
        <references count="3">
          <reference field="11" count="1" selected="0">
            <x v="178"/>
          </reference>
          <reference field="14" count="1" selected="0">
            <x v="282"/>
          </reference>
          <reference field="18" count="1">
            <x v="0"/>
          </reference>
        </references>
      </pivotArea>
    </format>
    <format dxfId="1547">
      <pivotArea dataOnly="0" labelOnly="1" outline="0" fieldPosition="0">
        <references count="3">
          <reference field="11" count="1" selected="0">
            <x v="178"/>
          </reference>
          <reference field="14" count="1" selected="0">
            <x v="282"/>
          </reference>
          <reference field="18" count="1" defaultSubtotal="1">
            <x v="0"/>
          </reference>
        </references>
      </pivotArea>
    </format>
    <format dxfId="1546">
      <pivotArea dataOnly="0" labelOnly="1" outline="0" fieldPosition="0">
        <references count="3">
          <reference field="11" count="1" selected="0">
            <x v="179"/>
          </reference>
          <reference field="14" count="1" selected="0">
            <x v="276"/>
          </reference>
          <reference field="18" count="1">
            <x v="0"/>
          </reference>
        </references>
      </pivotArea>
    </format>
    <format dxfId="1545">
      <pivotArea dataOnly="0" labelOnly="1" outline="0" fieldPosition="0">
        <references count="3">
          <reference field="11" count="1" selected="0">
            <x v="179"/>
          </reference>
          <reference field="14" count="1" selected="0">
            <x v="276"/>
          </reference>
          <reference field="18" count="1" defaultSubtotal="1">
            <x v="0"/>
          </reference>
        </references>
      </pivotArea>
    </format>
    <format dxfId="1544">
      <pivotArea dataOnly="0" labelOnly="1" outline="0" fieldPosition="0">
        <references count="3">
          <reference field="11" count="1" selected="0">
            <x v="180"/>
          </reference>
          <reference field="14" count="1" selected="0">
            <x v="439"/>
          </reference>
          <reference field="18" count="1">
            <x v="19"/>
          </reference>
        </references>
      </pivotArea>
    </format>
    <format dxfId="1543">
      <pivotArea dataOnly="0" labelOnly="1" outline="0" fieldPosition="0">
        <references count="3">
          <reference field="11" count="1" selected="0">
            <x v="180"/>
          </reference>
          <reference field="14" count="1" selected="0">
            <x v="439"/>
          </reference>
          <reference field="18" count="1" defaultSubtotal="1">
            <x v="19"/>
          </reference>
        </references>
      </pivotArea>
    </format>
    <format dxfId="1542">
      <pivotArea dataOnly="0" labelOnly="1" outline="0" fieldPosition="0">
        <references count="3">
          <reference field="11" count="1" selected="0">
            <x v="181"/>
          </reference>
          <reference field="14" count="1" selected="0">
            <x v="281"/>
          </reference>
          <reference field="18" count="1">
            <x v="0"/>
          </reference>
        </references>
      </pivotArea>
    </format>
    <format dxfId="1541">
      <pivotArea dataOnly="0" labelOnly="1" outline="0" fieldPosition="0">
        <references count="3">
          <reference field="11" count="1" selected="0">
            <x v="181"/>
          </reference>
          <reference field="14" count="1" selected="0">
            <x v="281"/>
          </reference>
          <reference field="18" count="1" defaultSubtotal="1">
            <x v="0"/>
          </reference>
        </references>
      </pivotArea>
    </format>
    <format dxfId="1540">
      <pivotArea dataOnly="0" labelOnly="1" outline="0" fieldPosition="0">
        <references count="3">
          <reference field="11" count="1" selected="0">
            <x v="182"/>
          </reference>
          <reference field="14" count="1" selected="0">
            <x v="118"/>
          </reference>
          <reference field="18" count="1">
            <x v="6"/>
          </reference>
        </references>
      </pivotArea>
    </format>
    <format dxfId="1539">
      <pivotArea dataOnly="0" labelOnly="1" outline="0" fieldPosition="0">
        <references count="3">
          <reference field="11" count="1" selected="0">
            <x v="182"/>
          </reference>
          <reference field="14" count="1" selected="0">
            <x v="118"/>
          </reference>
          <reference field="18" count="1" defaultSubtotal="1">
            <x v="6"/>
          </reference>
        </references>
      </pivotArea>
    </format>
    <format dxfId="1538">
      <pivotArea dataOnly="0" labelOnly="1" outline="0" fieldPosition="0">
        <references count="3">
          <reference field="11" count="1" selected="0">
            <x v="183"/>
          </reference>
          <reference field="14" count="1" selected="0">
            <x v="386"/>
          </reference>
          <reference field="18" count="1">
            <x v="2"/>
          </reference>
        </references>
      </pivotArea>
    </format>
    <format dxfId="1537">
      <pivotArea dataOnly="0" labelOnly="1" outline="0" fieldPosition="0">
        <references count="3">
          <reference field="11" count="1" selected="0">
            <x v="183"/>
          </reference>
          <reference field="14" count="1" selected="0">
            <x v="386"/>
          </reference>
          <reference field="18" count="1" defaultSubtotal="1">
            <x v="2"/>
          </reference>
        </references>
      </pivotArea>
    </format>
    <format dxfId="1536">
      <pivotArea dataOnly="0" labelOnly="1" outline="0" fieldPosition="0">
        <references count="3">
          <reference field="11" count="1" selected="0">
            <x v="184"/>
          </reference>
          <reference field="14" count="1" selected="0">
            <x v="388"/>
          </reference>
          <reference field="18" count="1">
            <x v="2"/>
          </reference>
        </references>
      </pivotArea>
    </format>
    <format dxfId="1535">
      <pivotArea dataOnly="0" labelOnly="1" outline="0" fieldPosition="0">
        <references count="3">
          <reference field="11" count="1" selected="0">
            <x v="184"/>
          </reference>
          <reference field="14" count="1" selected="0">
            <x v="388"/>
          </reference>
          <reference field="18" count="1" defaultSubtotal="1">
            <x v="2"/>
          </reference>
        </references>
      </pivotArea>
    </format>
    <format dxfId="1534">
      <pivotArea dataOnly="0" labelOnly="1" outline="0" fieldPosition="0">
        <references count="3">
          <reference field="11" count="1" selected="0">
            <x v="185"/>
          </reference>
          <reference field="14" count="1" selected="0">
            <x v="387"/>
          </reference>
          <reference field="18" count="2">
            <x v="0"/>
            <x v="2"/>
          </reference>
        </references>
      </pivotArea>
    </format>
    <format dxfId="1533">
      <pivotArea dataOnly="0" labelOnly="1" outline="0" fieldPosition="0">
        <references count="3">
          <reference field="11" count="1" selected="0">
            <x v="185"/>
          </reference>
          <reference field="14" count="1" selected="0">
            <x v="387"/>
          </reference>
          <reference field="18" count="2" defaultSubtotal="1">
            <x v="0"/>
            <x v="2"/>
          </reference>
        </references>
      </pivotArea>
    </format>
    <format dxfId="1532">
      <pivotArea dataOnly="0" labelOnly="1" outline="0" fieldPosition="0">
        <references count="3">
          <reference field="11" count="1" selected="0">
            <x v="186"/>
          </reference>
          <reference field="14" count="1" selected="0">
            <x v="343"/>
          </reference>
          <reference field="18" count="1">
            <x v="1"/>
          </reference>
        </references>
      </pivotArea>
    </format>
    <format dxfId="1531">
      <pivotArea dataOnly="0" labelOnly="1" outline="0" fieldPosition="0">
        <references count="3">
          <reference field="11" count="1" selected="0">
            <x v="186"/>
          </reference>
          <reference field="14" count="1" selected="0">
            <x v="343"/>
          </reference>
          <reference field="18" count="1" defaultSubtotal="1">
            <x v="1"/>
          </reference>
        </references>
      </pivotArea>
    </format>
    <format dxfId="1530">
      <pivotArea dataOnly="0" labelOnly="1" outline="0" fieldPosition="0">
        <references count="3">
          <reference field="11" count="1" selected="0">
            <x v="187"/>
          </reference>
          <reference field="14" count="1" selected="0">
            <x v="249"/>
          </reference>
          <reference field="18" count="1">
            <x v="19"/>
          </reference>
        </references>
      </pivotArea>
    </format>
    <format dxfId="1529">
      <pivotArea dataOnly="0" labelOnly="1" outline="0" fieldPosition="0">
        <references count="3">
          <reference field="11" count="1" selected="0">
            <x v="187"/>
          </reference>
          <reference field="14" count="1" selected="0">
            <x v="249"/>
          </reference>
          <reference field="18" count="1" defaultSubtotal="1">
            <x v="19"/>
          </reference>
        </references>
      </pivotArea>
    </format>
    <format dxfId="1528">
      <pivotArea dataOnly="0" labelOnly="1" outline="0" fieldPosition="0">
        <references count="3">
          <reference field="11" count="1" selected="0">
            <x v="188"/>
          </reference>
          <reference field="14" count="1" selected="0">
            <x v="385"/>
          </reference>
          <reference field="18" count="1">
            <x v="2"/>
          </reference>
        </references>
      </pivotArea>
    </format>
    <format dxfId="1527">
      <pivotArea dataOnly="0" labelOnly="1" outline="0" fieldPosition="0">
        <references count="3">
          <reference field="11" count="1" selected="0">
            <x v="188"/>
          </reference>
          <reference field="14" count="1" selected="0">
            <x v="385"/>
          </reference>
          <reference field="18" count="1" defaultSubtotal="1">
            <x v="2"/>
          </reference>
        </references>
      </pivotArea>
    </format>
    <format dxfId="1526">
      <pivotArea dataOnly="0" labelOnly="1" outline="0" fieldPosition="0">
        <references count="3">
          <reference field="11" count="1" selected="0">
            <x v="189"/>
          </reference>
          <reference field="14" count="1" selected="0">
            <x v="184"/>
          </reference>
          <reference field="18" count="2">
            <x v="0"/>
            <x v="1"/>
          </reference>
        </references>
      </pivotArea>
    </format>
    <format dxfId="1525">
      <pivotArea dataOnly="0" labelOnly="1" outline="0" fieldPosition="0">
        <references count="3">
          <reference field="11" count="1" selected="0">
            <x v="189"/>
          </reference>
          <reference field="14" count="1" selected="0">
            <x v="184"/>
          </reference>
          <reference field="18" count="2" defaultSubtotal="1">
            <x v="0"/>
            <x v="1"/>
          </reference>
        </references>
      </pivotArea>
    </format>
    <format dxfId="1524">
      <pivotArea dataOnly="0" labelOnly="1" outline="0" fieldPosition="0">
        <references count="3">
          <reference field="11" count="1" selected="0">
            <x v="190"/>
          </reference>
          <reference field="14" count="1" selected="0">
            <x v="394"/>
          </reference>
          <reference field="18" count="2">
            <x v="0"/>
            <x v="2"/>
          </reference>
        </references>
      </pivotArea>
    </format>
    <format dxfId="1523">
      <pivotArea dataOnly="0" labelOnly="1" outline="0" fieldPosition="0">
        <references count="3">
          <reference field="11" count="1" selected="0">
            <x v="190"/>
          </reference>
          <reference field="14" count="1" selected="0">
            <x v="394"/>
          </reference>
          <reference field="18" count="2" defaultSubtotal="1">
            <x v="0"/>
            <x v="2"/>
          </reference>
        </references>
      </pivotArea>
    </format>
    <format dxfId="1522">
      <pivotArea dataOnly="0" labelOnly="1" outline="0" fieldPosition="0">
        <references count="3">
          <reference field="11" count="1" selected="0">
            <x v="191"/>
          </reference>
          <reference field="14" count="1" selected="0">
            <x v="103"/>
          </reference>
          <reference field="18" count="1">
            <x v="2"/>
          </reference>
        </references>
      </pivotArea>
    </format>
    <format dxfId="1521">
      <pivotArea dataOnly="0" labelOnly="1" outline="0" fieldPosition="0">
        <references count="3">
          <reference field="11" count="1" selected="0">
            <x v="191"/>
          </reference>
          <reference field="14" count="1" selected="0">
            <x v="103"/>
          </reference>
          <reference field="18" count="1" defaultSubtotal="1">
            <x v="2"/>
          </reference>
        </references>
      </pivotArea>
    </format>
    <format dxfId="1520">
      <pivotArea dataOnly="0" labelOnly="1" outline="0" fieldPosition="0">
        <references count="3">
          <reference field="11" count="1" selected="0">
            <x v="192"/>
          </reference>
          <reference field="14" count="1" selected="0">
            <x v="102"/>
          </reference>
          <reference field="18" count="1">
            <x v="2"/>
          </reference>
        </references>
      </pivotArea>
    </format>
    <format dxfId="1519">
      <pivotArea dataOnly="0" labelOnly="1" outline="0" fieldPosition="0">
        <references count="3">
          <reference field="11" count="1" selected="0">
            <x v="192"/>
          </reference>
          <reference field="14" count="1" selected="0">
            <x v="102"/>
          </reference>
          <reference field="18" count="1" defaultSubtotal="1">
            <x v="2"/>
          </reference>
        </references>
      </pivotArea>
    </format>
    <format dxfId="1518">
      <pivotArea dataOnly="0" labelOnly="1" outline="0" fieldPosition="0">
        <references count="3">
          <reference field="11" count="1" selected="0">
            <x v="193"/>
          </reference>
          <reference field="14" count="1" selected="0">
            <x v="14"/>
          </reference>
          <reference field="18" count="1">
            <x v="0"/>
          </reference>
        </references>
      </pivotArea>
    </format>
    <format dxfId="1517">
      <pivotArea dataOnly="0" labelOnly="1" outline="0" fieldPosition="0">
        <references count="3">
          <reference field="11" count="1" selected="0">
            <x v="193"/>
          </reference>
          <reference field="14" count="1" selected="0">
            <x v="14"/>
          </reference>
          <reference field="18" count="1" defaultSubtotal="1">
            <x v="0"/>
          </reference>
        </references>
      </pivotArea>
    </format>
    <format dxfId="1516">
      <pivotArea dataOnly="0" labelOnly="1" outline="0" fieldPosition="0">
        <references count="3">
          <reference field="11" count="1" selected="0">
            <x v="194"/>
          </reference>
          <reference field="14" count="1" selected="0">
            <x v="188"/>
          </reference>
          <reference field="18" count="1">
            <x v="0"/>
          </reference>
        </references>
      </pivotArea>
    </format>
    <format dxfId="1515">
      <pivotArea dataOnly="0" labelOnly="1" outline="0" fieldPosition="0">
        <references count="3">
          <reference field="11" count="1" selected="0">
            <x v="194"/>
          </reference>
          <reference field="14" count="1" selected="0">
            <x v="188"/>
          </reference>
          <reference field="18" count="1" defaultSubtotal="1">
            <x v="0"/>
          </reference>
        </references>
      </pivotArea>
    </format>
    <format dxfId="1514">
      <pivotArea dataOnly="0" labelOnly="1" outline="0" fieldPosition="0">
        <references count="3">
          <reference field="11" count="1" selected="0">
            <x v="195"/>
          </reference>
          <reference field="14" count="1" selected="0">
            <x v="396"/>
          </reference>
          <reference field="18" count="1">
            <x v="6"/>
          </reference>
        </references>
      </pivotArea>
    </format>
    <format dxfId="1513">
      <pivotArea dataOnly="0" labelOnly="1" outline="0" fieldPosition="0">
        <references count="3">
          <reference field="11" count="1" selected="0">
            <x v="195"/>
          </reference>
          <reference field="14" count="1" selected="0">
            <x v="396"/>
          </reference>
          <reference field="18" count="1" defaultSubtotal="1">
            <x v="6"/>
          </reference>
        </references>
      </pivotArea>
    </format>
    <format dxfId="1512">
      <pivotArea dataOnly="0" labelOnly="1" outline="0" fieldPosition="0">
        <references count="3">
          <reference field="11" count="1" selected="0">
            <x v="196"/>
          </reference>
          <reference field="14" count="1" selected="0">
            <x v="25"/>
          </reference>
          <reference field="18" count="1">
            <x v="5"/>
          </reference>
        </references>
      </pivotArea>
    </format>
    <format dxfId="1511">
      <pivotArea dataOnly="0" labelOnly="1" outline="0" fieldPosition="0">
        <references count="3">
          <reference field="11" count="1" selected="0">
            <x v="196"/>
          </reference>
          <reference field="14" count="1" selected="0">
            <x v="25"/>
          </reference>
          <reference field="18" count="1" defaultSubtotal="1">
            <x v="5"/>
          </reference>
        </references>
      </pivotArea>
    </format>
    <format dxfId="1510">
      <pivotArea dataOnly="0" labelOnly="1" outline="0" fieldPosition="0">
        <references count="3">
          <reference field="11" count="1" selected="0">
            <x v="197"/>
          </reference>
          <reference field="14" count="1" selected="0">
            <x v="26"/>
          </reference>
          <reference field="18" count="1">
            <x v="5"/>
          </reference>
        </references>
      </pivotArea>
    </format>
    <format dxfId="1509">
      <pivotArea dataOnly="0" labelOnly="1" outline="0" fieldPosition="0">
        <references count="3">
          <reference field="11" count="1" selected="0">
            <x v="197"/>
          </reference>
          <reference field="14" count="1" selected="0">
            <x v="26"/>
          </reference>
          <reference field="18" count="1" defaultSubtotal="1">
            <x v="5"/>
          </reference>
        </references>
      </pivotArea>
    </format>
    <format dxfId="1508">
      <pivotArea dataOnly="0" labelOnly="1" outline="0" fieldPosition="0">
        <references count="3">
          <reference field="11" count="1" selected="0">
            <x v="198"/>
          </reference>
          <reference field="14" count="1" selected="0">
            <x v="43"/>
          </reference>
          <reference field="18" count="1">
            <x v="27"/>
          </reference>
        </references>
      </pivotArea>
    </format>
    <format dxfId="1507">
      <pivotArea dataOnly="0" labelOnly="1" outline="0" fieldPosition="0">
        <references count="3">
          <reference field="11" count="1" selected="0">
            <x v="198"/>
          </reference>
          <reference field="14" count="1" selected="0">
            <x v="43"/>
          </reference>
          <reference field="18" count="1" defaultSubtotal="1">
            <x v="27"/>
          </reference>
        </references>
      </pivotArea>
    </format>
    <format dxfId="1506">
      <pivotArea dataOnly="0" labelOnly="1" outline="0" fieldPosition="0">
        <references count="3">
          <reference field="11" count="1" selected="0">
            <x v="199"/>
          </reference>
          <reference field="14" count="1" selected="0">
            <x v="113"/>
          </reference>
          <reference field="18" count="1">
            <x v="19"/>
          </reference>
        </references>
      </pivotArea>
    </format>
    <format dxfId="1505">
      <pivotArea dataOnly="0" labelOnly="1" outline="0" fieldPosition="0">
        <references count="3">
          <reference field="11" count="1" selected="0">
            <x v="199"/>
          </reference>
          <reference field="14" count="1" selected="0">
            <x v="113"/>
          </reference>
          <reference field="18" count="1" defaultSubtotal="1">
            <x v="19"/>
          </reference>
        </references>
      </pivotArea>
    </format>
    <format dxfId="1504">
      <pivotArea dataOnly="0" labelOnly="1" outline="0" fieldPosition="0">
        <references count="3">
          <reference field="11" count="1" selected="0">
            <x v="200"/>
          </reference>
          <reference field="14" count="1" selected="0">
            <x v="280"/>
          </reference>
          <reference field="18" count="1">
            <x v="0"/>
          </reference>
        </references>
      </pivotArea>
    </format>
    <format dxfId="1503">
      <pivotArea dataOnly="0" labelOnly="1" outline="0" fieldPosition="0">
        <references count="3">
          <reference field="11" count="1" selected="0">
            <x v="200"/>
          </reference>
          <reference field="14" count="1" selected="0">
            <x v="280"/>
          </reference>
          <reference field="18" count="1" defaultSubtotal="1">
            <x v="0"/>
          </reference>
        </references>
      </pivotArea>
    </format>
    <format dxfId="1502">
      <pivotArea dataOnly="0" labelOnly="1" outline="0" fieldPosition="0">
        <references count="3">
          <reference field="11" count="1" selected="0">
            <x v="201"/>
          </reference>
          <reference field="14" count="1" selected="0">
            <x v="305"/>
          </reference>
          <reference field="18" count="1">
            <x v="2"/>
          </reference>
        </references>
      </pivotArea>
    </format>
    <format dxfId="1501">
      <pivotArea dataOnly="0" labelOnly="1" outline="0" fieldPosition="0">
        <references count="3">
          <reference field="11" count="1" selected="0">
            <x v="201"/>
          </reference>
          <reference field="14" count="1" selected="0">
            <x v="305"/>
          </reference>
          <reference field="18" count="1" defaultSubtotal="1">
            <x v="2"/>
          </reference>
        </references>
      </pivotArea>
    </format>
    <format dxfId="1500">
      <pivotArea dataOnly="0" labelOnly="1" outline="0" fieldPosition="0">
        <references count="3">
          <reference field="11" count="1" selected="0">
            <x v="202"/>
          </reference>
          <reference field="14" count="1" selected="0">
            <x v="409"/>
          </reference>
          <reference field="18" count="1">
            <x v="2"/>
          </reference>
        </references>
      </pivotArea>
    </format>
    <format dxfId="1499">
      <pivotArea dataOnly="0" labelOnly="1" outline="0" fieldPosition="0">
        <references count="3">
          <reference field="11" count="1" selected="0">
            <x v="202"/>
          </reference>
          <reference field="14" count="1" selected="0">
            <x v="409"/>
          </reference>
          <reference field="18" count="1" defaultSubtotal="1">
            <x v="2"/>
          </reference>
        </references>
      </pivotArea>
    </format>
    <format dxfId="1498">
      <pivotArea dataOnly="0" labelOnly="1" outline="0" fieldPosition="0">
        <references count="3">
          <reference field="11" count="1" selected="0">
            <x v="203"/>
          </reference>
          <reference field="14" count="1" selected="0">
            <x v="28"/>
          </reference>
          <reference field="18" count="1">
            <x v="6"/>
          </reference>
        </references>
      </pivotArea>
    </format>
    <format dxfId="1497">
      <pivotArea dataOnly="0" labelOnly="1" outline="0" fieldPosition="0">
        <references count="3">
          <reference field="11" count="1" selected="0">
            <x v="203"/>
          </reference>
          <reference field="14" count="1" selected="0">
            <x v="28"/>
          </reference>
          <reference field="18" count="1" defaultSubtotal="1">
            <x v="6"/>
          </reference>
        </references>
      </pivotArea>
    </format>
    <format dxfId="1496">
      <pivotArea dataOnly="0" labelOnly="1" outline="0" fieldPosition="0">
        <references count="3">
          <reference field="11" count="1" selected="0">
            <x v="204"/>
          </reference>
          <reference field="14" count="1" selected="0">
            <x v="269"/>
          </reference>
          <reference field="18" count="2">
            <x v="2"/>
            <x v="3"/>
          </reference>
        </references>
      </pivotArea>
    </format>
    <format dxfId="1495">
      <pivotArea dataOnly="0" labelOnly="1" outline="0" fieldPosition="0">
        <references count="3">
          <reference field="11" count="1" selected="0">
            <x v="204"/>
          </reference>
          <reference field="14" count="1" selected="0">
            <x v="269"/>
          </reference>
          <reference field="18" count="2" defaultSubtotal="1">
            <x v="2"/>
            <x v="3"/>
          </reference>
        </references>
      </pivotArea>
    </format>
    <format dxfId="1494">
      <pivotArea dataOnly="0" labelOnly="1" outline="0" fieldPosition="0">
        <references count="3">
          <reference field="11" count="1" selected="0">
            <x v="205"/>
          </reference>
          <reference field="14" count="1" selected="0">
            <x v="185"/>
          </reference>
          <reference field="18" count="1">
            <x v="1"/>
          </reference>
        </references>
      </pivotArea>
    </format>
    <format dxfId="1493">
      <pivotArea dataOnly="0" labelOnly="1" outline="0" fieldPosition="0">
        <references count="3">
          <reference field="11" count="1" selected="0">
            <x v="205"/>
          </reference>
          <reference field="14" count="1" selected="0">
            <x v="185"/>
          </reference>
          <reference field="18" count="1" defaultSubtotal="1">
            <x v="1"/>
          </reference>
        </references>
      </pivotArea>
    </format>
    <format dxfId="1492">
      <pivotArea dataOnly="0" labelOnly="1" outline="0" fieldPosition="0">
        <references count="3">
          <reference field="11" count="1" selected="0">
            <x v="206"/>
          </reference>
          <reference field="14" count="1" selected="0">
            <x v="54"/>
          </reference>
          <reference field="18" count="1">
            <x v="2"/>
          </reference>
        </references>
      </pivotArea>
    </format>
    <format dxfId="1491">
      <pivotArea dataOnly="0" labelOnly="1" outline="0" fieldPosition="0">
        <references count="3">
          <reference field="11" count="1" selected="0">
            <x v="206"/>
          </reference>
          <reference field="14" count="1" selected="0">
            <x v="54"/>
          </reference>
          <reference field="18" count="1" defaultSubtotal="1">
            <x v="2"/>
          </reference>
        </references>
      </pivotArea>
    </format>
    <format dxfId="1490">
      <pivotArea dataOnly="0" labelOnly="1" outline="0" fieldPosition="0">
        <references count="3">
          <reference field="11" count="1" selected="0">
            <x v="207"/>
          </reference>
          <reference field="14" count="1" selected="0">
            <x v="356"/>
          </reference>
          <reference field="18" count="2">
            <x v="8"/>
            <x v="14"/>
          </reference>
        </references>
      </pivotArea>
    </format>
    <format dxfId="1489">
      <pivotArea dataOnly="0" labelOnly="1" outline="0" fieldPosition="0">
        <references count="3">
          <reference field="11" count="1" selected="0">
            <x v="207"/>
          </reference>
          <reference field="14" count="1" selected="0">
            <x v="356"/>
          </reference>
          <reference field="18" count="2" defaultSubtotal="1">
            <x v="8"/>
            <x v="14"/>
          </reference>
        </references>
      </pivotArea>
    </format>
    <format dxfId="1488">
      <pivotArea dataOnly="0" labelOnly="1" outline="0" fieldPosition="0">
        <references count="3">
          <reference field="11" count="1" selected="0">
            <x v="208"/>
          </reference>
          <reference field="14" count="1" selected="0">
            <x v="186"/>
          </reference>
          <reference field="18" count="2">
            <x v="0"/>
            <x v="7"/>
          </reference>
        </references>
      </pivotArea>
    </format>
    <format dxfId="1487">
      <pivotArea dataOnly="0" labelOnly="1" outline="0" fieldPosition="0">
        <references count="3">
          <reference field="11" count="1" selected="0">
            <x v="208"/>
          </reference>
          <reference field="14" count="1" selected="0">
            <x v="186"/>
          </reference>
          <reference field="18" count="2" defaultSubtotal="1">
            <x v="0"/>
            <x v="7"/>
          </reference>
        </references>
      </pivotArea>
    </format>
    <format dxfId="1486">
      <pivotArea dataOnly="0" labelOnly="1" outline="0" fieldPosition="0">
        <references count="3">
          <reference field="11" count="1" selected="0">
            <x v="209"/>
          </reference>
          <reference field="14" count="1" selected="0">
            <x v="37"/>
          </reference>
          <reference field="18" count="1">
            <x v="6"/>
          </reference>
        </references>
      </pivotArea>
    </format>
    <format dxfId="1485">
      <pivotArea dataOnly="0" labelOnly="1" outline="0" fieldPosition="0">
        <references count="3">
          <reference field="11" count="1" selected="0">
            <x v="209"/>
          </reference>
          <reference field="14" count="1" selected="0">
            <x v="37"/>
          </reference>
          <reference field="18" count="1" defaultSubtotal="1">
            <x v="6"/>
          </reference>
        </references>
      </pivotArea>
    </format>
    <format dxfId="1484">
      <pivotArea dataOnly="0" labelOnly="1" outline="0" fieldPosition="0">
        <references count="3">
          <reference field="11" count="1" selected="0">
            <x v="210"/>
          </reference>
          <reference field="14" count="1" selected="0">
            <x v="273"/>
          </reference>
          <reference field="18" count="1">
            <x v="0"/>
          </reference>
        </references>
      </pivotArea>
    </format>
    <format dxfId="1483">
      <pivotArea dataOnly="0" labelOnly="1" outline="0" fieldPosition="0">
        <references count="3">
          <reference field="11" count="1" selected="0">
            <x v="210"/>
          </reference>
          <reference field="14" count="1" selected="0">
            <x v="273"/>
          </reference>
          <reference field="18" count="1" defaultSubtotal="1">
            <x v="0"/>
          </reference>
        </references>
      </pivotArea>
    </format>
    <format dxfId="1482">
      <pivotArea dataOnly="0" labelOnly="1" outline="0" fieldPosition="0">
        <references count="3">
          <reference field="11" count="1" selected="0">
            <x v="211"/>
          </reference>
          <reference field="14" count="1" selected="0">
            <x v="142"/>
          </reference>
          <reference field="18" count="1">
            <x v="2"/>
          </reference>
        </references>
      </pivotArea>
    </format>
    <format dxfId="1481">
      <pivotArea dataOnly="0" labelOnly="1" outline="0" fieldPosition="0">
        <references count="3">
          <reference field="11" count="1" selected="0">
            <x v="211"/>
          </reference>
          <reference field="14" count="1" selected="0">
            <x v="142"/>
          </reference>
          <reference field="18" count="1" defaultSubtotal="1">
            <x v="2"/>
          </reference>
        </references>
      </pivotArea>
    </format>
    <format dxfId="1480">
      <pivotArea dataOnly="0" labelOnly="1" outline="0" fieldPosition="0">
        <references count="3">
          <reference field="11" count="1" selected="0">
            <x v="212"/>
          </reference>
          <reference field="14" count="1" selected="0">
            <x v="294"/>
          </reference>
          <reference field="18" count="1">
            <x v="1"/>
          </reference>
        </references>
      </pivotArea>
    </format>
    <format dxfId="1479">
      <pivotArea dataOnly="0" labelOnly="1" outline="0" fieldPosition="0">
        <references count="3">
          <reference field="11" count="1" selected="0">
            <x v="212"/>
          </reference>
          <reference field="14" count="1" selected="0">
            <x v="294"/>
          </reference>
          <reference field="18" count="1" defaultSubtotal="1">
            <x v="1"/>
          </reference>
        </references>
      </pivotArea>
    </format>
    <format dxfId="1478">
      <pivotArea dataOnly="0" labelOnly="1" outline="0" fieldPosition="0">
        <references count="3">
          <reference field="11" count="1" selected="0">
            <x v="213"/>
          </reference>
          <reference field="14" count="1" selected="0">
            <x v="5"/>
          </reference>
          <reference field="18" count="1">
            <x v="3"/>
          </reference>
        </references>
      </pivotArea>
    </format>
    <format dxfId="1477">
      <pivotArea dataOnly="0" labelOnly="1" outline="0" fieldPosition="0">
        <references count="3">
          <reference field="11" count="1" selected="0">
            <x v="213"/>
          </reference>
          <reference field="14" count="1" selected="0">
            <x v="5"/>
          </reference>
          <reference field="18" count="1" defaultSubtotal="1">
            <x v="3"/>
          </reference>
        </references>
      </pivotArea>
    </format>
    <format dxfId="1476">
      <pivotArea dataOnly="0" labelOnly="1" outline="0" fieldPosition="0">
        <references count="3">
          <reference field="11" count="1" selected="0">
            <x v="214"/>
          </reference>
          <reference field="14" count="1" selected="0">
            <x v="98"/>
          </reference>
          <reference field="18" count="4">
            <x v="1"/>
            <x v="2"/>
            <x v="12"/>
            <x v="27"/>
          </reference>
        </references>
      </pivotArea>
    </format>
    <format dxfId="1475">
      <pivotArea dataOnly="0" labelOnly="1" outline="0" fieldPosition="0">
        <references count="3">
          <reference field="11" count="1" selected="0">
            <x v="214"/>
          </reference>
          <reference field="14" count="1" selected="0">
            <x v="98"/>
          </reference>
          <reference field="18" count="4" defaultSubtotal="1">
            <x v="1"/>
            <x v="2"/>
            <x v="12"/>
            <x v="27"/>
          </reference>
        </references>
      </pivotArea>
    </format>
    <format dxfId="1474">
      <pivotArea dataOnly="0" labelOnly="1" outline="0" fieldPosition="0">
        <references count="3">
          <reference field="11" count="1" selected="0">
            <x v="215"/>
          </reference>
          <reference field="14" count="1" selected="0">
            <x v="158"/>
          </reference>
          <reference field="18" count="1">
            <x v="2"/>
          </reference>
        </references>
      </pivotArea>
    </format>
    <format dxfId="1473">
      <pivotArea dataOnly="0" labelOnly="1" outline="0" fieldPosition="0">
        <references count="3">
          <reference field="11" count="1" selected="0">
            <x v="215"/>
          </reference>
          <reference field="14" count="1" selected="0">
            <x v="158"/>
          </reference>
          <reference field="18" count="1" defaultSubtotal="1">
            <x v="2"/>
          </reference>
        </references>
      </pivotArea>
    </format>
    <format dxfId="1472">
      <pivotArea dataOnly="0" labelOnly="1" outline="0" fieldPosition="0">
        <references count="3">
          <reference field="11" count="1" selected="0">
            <x v="216"/>
          </reference>
          <reference field="14" count="1" selected="0">
            <x v="338"/>
          </reference>
          <reference field="18" count="1">
            <x v="2"/>
          </reference>
        </references>
      </pivotArea>
    </format>
    <format dxfId="1471">
      <pivotArea dataOnly="0" labelOnly="1" outline="0" fieldPosition="0">
        <references count="3">
          <reference field="11" count="1" selected="0">
            <x v="216"/>
          </reference>
          <reference field="14" count="1" selected="0">
            <x v="338"/>
          </reference>
          <reference field="18" count="1" defaultSubtotal="1">
            <x v="2"/>
          </reference>
        </references>
      </pivotArea>
    </format>
    <format dxfId="1470">
      <pivotArea dataOnly="0" labelOnly="1" outline="0" fieldPosition="0">
        <references count="3">
          <reference field="11" count="1" selected="0">
            <x v="217"/>
          </reference>
          <reference field="14" count="1" selected="0">
            <x v="438"/>
          </reference>
          <reference field="18" count="1">
            <x v="19"/>
          </reference>
        </references>
      </pivotArea>
    </format>
    <format dxfId="1469">
      <pivotArea dataOnly="0" labelOnly="1" outline="0" fieldPosition="0">
        <references count="3">
          <reference field="11" count="1" selected="0">
            <x v="217"/>
          </reference>
          <reference field="14" count="1" selected="0">
            <x v="438"/>
          </reference>
          <reference field="18" count="1" defaultSubtotal="1">
            <x v="19"/>
          </reference>
        </references>
      </pivotArea>
    </format>
    <format dxfId="1468">
      <pivotArea dataOnly="0" labelOnly="1" outline="0" fieldPosition="0">
        <references count="3">
          <reference field="11" count="1" selected="0">
            <x v="218"/>
          </reference>
          <reference field="14" count="1" selected="0">
            <x v="429"/>
          </reference>
          <reference field="18" count="1">
            <x v="19"/>
          </reference>
        </references>
      </pivotArea>
    </format>
    <format dxfId="1467">
      <pivotArea dataOnly="0" labelOnly="1" outline="0" fieldPosition="0">
        <references count="3">
          <reference field="11" count="1" selected="0">
            <x v="218"/>
          </reference>
          <reference field="14" count="1" selected="0">
            <x v="429"/>
          </reference>
          <reference field="18" count="1" defaultSubtotal="1">
            <x v="19"/>
          </reference>
        </references>
      </pivotArea>
    </format>
    <format dxfId="1466">
      <pivotArea dataOnly="0" labelOnly="1" outline="0" fieldPosition="0">
        <references count="3">
          <reference field="11" count="1" selected="0">
            <x v="219"/>
          </reference>
          <reference field="14" count="1" selected="0">
            <x v="431"/>
          </reference>
          <reference field="18" count="1">
            <x v="19"/>
          </reference>
        </references>
      </pivotArea>
    </format>
    <format dxfId="1465">
      <pivotArea dataOnly="0" labelOnly="1" outline="0" fieldPosition="0">
        <references count="3">
          <reference field="11" count="1" selected="0">
            <x v="219"/>
          </reference>
          <reference field="14" count="1" selected="0">
            <x v="431"/>
          </reference>
          <reference field="18" count="1" defaultSubtotal="1">
            <x v="19"/>
          </reference>
        </references>
      </pivotArea>
    </format>
    <format dxfId="1464">
      <pivotArea dataOnly="0" labelOnly="1" outline="0" fieldPosition="0">
        <references count="3">
          <reference field="11" count="1" selected="0">
            <x v="220"/>
          </reference>
          <reference field="14" count="1" selected="0">
            <x v="430"/>
          </reference>
          <reference field="18" count="1">
            <x v="19"/>
          </reference>
        </references>
      </pivotArea>
    </format>
    <format dxfId="1463">
      <pivotArea dataOnly="0" labelOnly="1" outline="0" fieldPosition="0">
        <references count="3">
          <reference field="11" count="1" selected="0">
            <x v="220"/>
          </reference>
          <reference field="14" count="1" selected="0">
            <x v="430"/>
          </reference>
          <reference field="18" count="1" defaultSubtotal="1">
            <x v="19"/>
          </reference>
        </references>
      </pivotArea>
    </format>
    <format dxfId="1462">
      <pivotArea dataOnly="0" labelOnly="1" outline="0" fieldPosition="0">
        <references count="3">
          <reference field="11" count="1" selected="0">
            <x v="221"/>
          </reference>
          <reference field="14" count="1" selected="0">
            <x v="427"/>
          </reference>
          <reference field="18" count="1">
            <x v="19"/>
          </reference>
        </references>
      </pivotArea>
    </format>
    <format dxfId="1461">
      <pivotArea dataOnly="0" labelOnly="1" outline="0" fieldPosition="0">
        <references count="3">
          <reference field="11" count="1" selected="0">
            <x v="221"/>
          </reference>
          <reference field="14" count="1" selected="0">
            <x v="427"/>
          </reference>
          <reference field="18" count="1" defaultSubtotal="1">
            <x v="19"/>
          </reference>
        </references>
      </pivotArea>
    </format>
    <format dxfId="1460">
      <pivotArea dataOnly="0" labelOnly="1" outline="0" fieldPosition="0">
        <references count="3">
          <reference field="11" count="1" selected="0">
            <x v="222"/>
          </reference>
          <reference field="14" count="1" selected="0">
            <x v="426"/>
          </reference>
          <reference field="18" count="1">
            <x v="19"/>
          </reference>
        </references>
      </pivotArea>
    </format>
    <format dxfId="1459">
      <pivotArea dataOnly="0" labelOnly="1" outline="0" fieldPosition="0">
        <references count="3">
          <reference field="11" count="1" selected="0">
            <x v="222"/>
          </reference>
          <reference field="14" count="1" selected="0">
            <x v="426"/>
          </reference>
          <reference field="18" count="1" defaultSubtotal="1">
            <x v="19"/>
          </reference>
        </references>
      </pivotArea>
    </format>
    <format dxfId="1458">
      <pivotArea dataOnly="0" labelOnly="1" outline="0" fieldPosition="0">
        <references count="3">
          <reference field="11" count="1" selected="0">
            <x v="223"/>
          </reference>
          <reference field="14" count="1" selected="0">
            <x v="416"/>
          </reference>
          <reference field="18" count="1">
            <x v="19"/>
          </reference>
        </references>
      </pivotArea>
    </format>
    <format dxfId="1457">
      <pivotArea dataOnly="0" labelOnly="1" outline="0" fieldPosition="0">
        <references count="3">
          <reference field="11" count="1" selected="0">
            <x v="223"/>
          </reference>
          <reference field="14" count="1" selected="0">
            <x v="416"/>
          </reference>
          <reference field="18" count="1" defaultSubtotal="1">
            <x v="19"/>
          </reference>
        </references>
      </pivotArea>
    </format>
    <format dxfId="1456">
      <pivotArea dataOnly="0" labelOnly="1" outline="0" fieldPosition="0">
        <references count="3">
          <reference field="11" count="1" selected="0">
            <x v="224"/>
          </reference>
          <reference field="14" count="1" selected="0">
            <x v="300"/>
          </reference>
          <reference field="18" count="1">
            <x v="6"/>
          </reference>
        </references>
      </pivotArea>
    </format>
    <format dxfId="1455">
      <pivotArea dataOnly="0" labelOnly="1" outline="0" fieldPosition="0">
        <references count="3">
          <reference field="11" count="1" selected="0">
            <x v="224"/>
          </reference>
          <reference field="14" count="1" selected="0">
            <x v="300"/>
          </reference>
          <reference field="18" count="1" defaultSubtotal="1">
            <x v="6"/>
          </reference>
        </references>
      </pivotArea>
    </format>
    <format dxfId="1454">
      <pivotArea dataOnly="0" labelOnly="1" outline="0" fieldPosition="0">
        <references count="3">
          <reference field="11" count="1" selected="0">
            <x v="225"/>
          </reference>
          <reference field="14" count="1" selected="0">
            <x v="97"/>
          </reference>
          <reference field="18" count="1">
            <x v="19"/>
          </reference>
        </references>
      </pivotArea>
    </format>
    <format dxfId="1453">
      <pivotArea dataOnly="0" labelOnly="1" outline="0" fieldPosition="0">
        <references count="3">
          <reference field="11" count="1" selected="0">
            <x v="225"/>
          </reference>
          <reference field="14" count="1" selected="0">
            <x v="97"/>
          </reference>
          <reference field="18" count="1" defaultSubtotal="1">
            <x v="19"/>
          </reference>
        </references>
      </pivotArea>
    </format>
    <format dxfId="1452">
      <pivotArea dataOnly="0" labelOnly="1" outline="0" fieldPosition="0">
        <references count="3">
          <reference field="11" count="1" selected="0">
            <x v="226"/>
          </reference>
          <reference field="14" count="1" selected="0">
            <x v="72"/>
          </reference>
          <reference field="18" count="1">
            <x v="19"/>
          </reference>
        </references>
      </pivotArea>
    </format>
    <format dxfId="1451">
      <pivotArea dataOnly="0" labelOnly="1" outline="0" fieldPosition="0">
        <references count="3">
          <reference field="11" count="1" selected="0">
            <x v="226"/>
          </reference>
          <reference field="14" count="1" selected="0">
            <x v="72"/>
          </reference>
          <reference field="18" count="1" defaultSubtotal="1">
            <x v="19"/>
          </reference>
        </references>
      </pivotArea>
    </format>
    <format dxfId="1450">
      <pivotArea dataOnly="0" labelOnly="1" outline="0" fieldPosition="0">
        <references count="3">
          <reference field="11" count="1" selected="0">
            <x v="227"/>
          </reference>
          <reference field="14" count="1" selected="0">
            <x v="420"/>
          </reference>
          <reference field="18" count="1">
            <x v="19"/>
          </reference>
        </references>
      </pivotArea>
    </format>
    <format dxfId="1449">
      <pivotArea dataOnly="0" labelOnly="1" outline="0" fieldPosition="0">
        <references count="3">
          <reference field="11" count="1" selected="0">
            <x v="227"/>
          </reference>
          <reference field="14" count="1" selected="0">
            <x v="420"/>
          </reference>
          <reference field="18" count="1" defaultSubtotal="1">
            <x v="19"/>
          </reference>
        </references>
      </pivotArea>
    </format>
    <format dxfId="1448">
      <pivotArea dataOnly="0" labelOnly="1" outline="0" fieldPosition="0">
        <references count="3">
          <reference field="11" count="1" selected="0">
            <x v="228"/>
          </reference>
          <reference field="14" count="1" selected="0">
            <x v="313"/>
          </reference>
          <reference field="18" count="1">
            <x v="19"/>
          </reference>
        </references>
      </pivotArea>
    </format>
    <format dxfId="1447">
      <pivotArea dataOnly="0" labelOnly="1" outline="0" fieldPosition="0">
        <references count="3">
          <reference field="11" count="1" selected="0">
            <x v="228"/>
          </reference>
          <reference field="14" count="1" selected="0">
            <x v="313"/>
          </reference>
          <reference field="18" count="1" defaultSubtotal="1">
            <x v="19"/>
          </reference>
        </references>
      </pivotArea>
    </format>
    <format dxfId="1446">
      <pivotArea dataOnly="0" labelOnly="1" outline="0" fieldPosition="0">
        <references count="3">
          <reference field="11" count="1" selected="0">
            <x v="229"/>
          </reference>
          <reference field="14" count="1" selected="0">
            <x v="307"/>
          </reference>
          <reference field="18" count="1">
            <x v="19"/>
          </reference>
        </references>
      </pivotArea>
    </format>
    <format dxfId="1445">
      <pivotArea dataOnly="0" labelOnly="1" outline="0" fieldPosition="0">
        <references count="3">
          <reference field="11" count="1" selected="0">
            <x v="229"/>
          </reference>
          <reference field="14" count="1" selected="0">
            <x v="307"/>
          </reference>
          <reference field="18" count="1" defaultSubtotal="1">
            <x v="19"/>
          </reference>
        </references>
      </pivotArea>
    </format>
    <format dxfId="1444">
      <pivotArea dataOnly="0" labelOnly="1" outline="0" fieldPosition="0">
        <references count="3">
          <reference field="11" count="1" selected="0">
            <x v="230"/>
          </reference>
          <reference field="14" count="1" selected="0">
            <x v="13"/>
          </reference>
          <reference field="18" count="1">
            <x v="19"/>
          </reference>
        </references>
      </pivotArea>
    </format>
    <format dxfId="1443">
      <pivotArea dataOnly="0" labelOnly="1" outline="0" fieldPosition="0">
        <references count="3">
          <reference field="11" count="1" selected="0">
            <x v="230"/>
          </reference>
          <reference field="14" count="1" selected="0">
            <x v="13"/>
          </reference>
          <reference field="18" count="1" defaultSubtotal="1">
            <x v="19"/>
          </reference>
        </references>
      </pivotArea>
    </format>
    <format dxfId="1442">
      <pivotArea dataOnly="0" labelOnly="1" outline="0" fieldPosition="0">
        <references count="3">
          <reference field="11" count="1" selected="0">
            <x v="231"/>
          </reference>
          <reference field="14" count="1" selected="0">
            <x v="96"/>
          </reference>
          <reference field="18" count="1">
            <x v="19"/>
          </reference>
        </references>
      </pivotArea>
    </format>
    <format dxfId="1441">
      <pivotArea dataOnly="0" labelOnly="1" outline="0" fieldPosition="0">
        <references count="3">
          <reference field="11" count="1" selected="0">
            <x v="231"/>
          </reference>
          <reference field="14" count="1" selected="0">
            <x v="96"/>
          </reference>
          <reference field="18" count="1" defaultSubtotal="1">
            <x v="19"/>
          </reference>
        </references>
      </pivotArea>
    </format>
    <format dxfId="1440">
      <pivotArea dataOnly="0" labelOnly="1" outline="0" fieldPosition="0">
        <references count="3">
          <reference field="11" count="1" selected="0">
            <x v="232"/>
          </reference>
          <reference field="14" count="1" selected="0">
            <x v="411"/>
          </reference>
          <reference field="18" count="1">
            <x v="19"/>
          </reference>
        </references>
      </pivotArea>
    </format>
    <format dxfId="1439">
      <pivotArea dataOnly="0" labelOnly="1" outline="0" fieldPosition="0">
        <references count="3">
          <reference field="11" count="1" selected="0">
            <x v="232"/>
          </reference>
          <reference field="14" count="1" selected="0">
            <x v="411"/>
          </reference>
          <reference field="18" count="1" defaultSubtotal="1">
            <x v="19"/>
          </reference>
        </references>
      </pivotArea>
    </format>
    <format dxfId="1438">
      <pivotArea dataOnly="0" labelOnly="1" outline="0" fieldPosition="0">
        <references count="3">
          <reference field="11" count="1" selected="0">
            <x v="233"/>
          </reference>
          <reference field="14" count="1" selected="0">
            <x v="449"/>
          </reference>
          <reference field="18" count="1">
            <x v="19"/>
          </reference>
        </references>
      </pivotArea>
    </format>
    <format dxfId="1437">
      <pivotArea dataOnly="0" labelOnly="1" outline="0" fieldPosition="0">
        <references count="3">
          <reference field="11" count="1" selected="0">
            <x v="233"/>
          </reference>
          <reference field="14" count="1" selected="0">
            <x v="449"/>
          </reference>
          <reference field="18" count="1" defaultSubtotal="1">
            <x v="19"/>
          </reference>
        </references>
      </pivotArea>
    </format>
    <format dxfId="1436">
      <pivotArea dataOnly="0" labelOnly="1" outline="0" fieldPosition="0">
        <references count="3">
          <reference field="11" count="1" selected="0">
            <x v="234"/>
          </reference>
          <reference field="14" count="1" selected="0">
            <x v="277"/>
          </reference>
          <reference field="18" count="1">
            <x v="0"/>
          </reference>
        </references>
      </pivotArea>
    </format>
    <format dxfId="1435">
      <pivotArea dataOnly="0" labelOnly="1" outline="0" fieldPosition="0">
        <references count="3">
          <reference field="11" count="1" selected="0">
            <x v="234"/>
          </reference>
          <reference field="14" count="1" selected="0">
            <x v="277"/>
          </reference>
          <reference field="18" count="1" defaultSubtotal="1">
            <x v="0"/>
          </reference>
        </references>
      </pivotArea>
    </format>
    <format dxfId="1434">
      <pivotArea dataOnly="0" labelOnly="1" outline="0" fieldPosition="0">
        <references count="3">
          <reference field="11" count="1" selected="0">
            <x v="235"/>
          </reference>
          <reference field="14" count="1" selected="0">
            <x v="272"/>
          </reference>
          <reference field="18" count="1">
            <x v="0"/>
          </reference>
        </references>
      </pivotArea>
    </format>
    <format dxfId="1433">
      <pivotArea dataOnly="0" labelOnly="1" outline="0" fieldPosition="0">
        <references count="3">
          <reference field="11" count="1" selected="0">
            <x v="235"/>
          </reference>
          <reference field="14" count="1" selected="0">
            <x v="272"/>
          </reference>
          <reference field="18" count="1" defaultSubtotal="1">
            <x v="0"/>
          </reference>
        </references>
      </pivotArea>
    </format>
    <format dxfId="1432">
      <pivotArea dataOnly="0" labelOnly="1" outline="0" fieldPosition="0">
        <references count="3">
          <reference field="11" count="1" selected="0">
            <x v="236"/>
          </reference>
          <reference field="14" count="1" selected="0">
            <x v="403"/>
          </reference>
          <reference field="18" count="2">
            <x v="0"/>
            <x v="2"/>
          </reference>
        </references>
      </pivotArea>
    </format>
    <format dxfId="1431">
      <pivotArea dataOnly="0" labelOnly="1" outline="0" fieldPosition="0">
        <references count="3">
          <reference field="11" count="1" selected="0">
            <x v="236"/>
          </reference>
          <reference field="14" count="1" selected="0">
            <x v="403"/>
          </reference>
          <reference field="18" count="2" defaultSubtotal="1">
            <x v="0"/>
            <x v="2"/>
          </reference>
        </references>
      </pivotArea>
    </format>
    <format dxfId="1430">
      <pivotArea dataOnly="0" labelOnly="1" outline="0" fieldPosition="0">
        <references count="3">
          <reference field="11" count="1" selected="0">
            <x v="237"/>
          </reference>
          <reference field="14" count="1" selected="0">
            <x v="377"/>
          </reference>
          <reference field="18" count="1">
            <x v="19"/>
          </reference>
        </references>
      </pivotArea>
    </format>
    <format dxfId="1429">
      <pivotArea dataOnly="0" labelOnly="1" outline="0" fieldPosition="0">
        <references count="3">
          <reference field="11" count="1" selected="0">
            <x v="237"/>
          </reference>
          <reference field="14" count="1" selected="0">
            <x v="377"/>
          </reference>
          <reference field="18" count="1" defaultSubtotal="1">
            <x v="19"/>
          </reference>
        </references>
      </pivotArea>
    </format>
    <format dxfId="1428">
      <pivotArea dataOnly="0" labelOnly="1" outline="0" fieldPosition="0">
        <references count="3">
          <reference field="11" count="1" selected="0">
            <x v="238"/>
          </reference>
          <reference field="14" count="1" selected="0">
            <x v="339"/>
          </reference>
          <reference field="18" count="1">
            <x v="0"/>
          </reference>
        </references>
      </pivotArea>
    </format>
    <format dxfId="1427">
      <pivotArea dataOnly="0" labelOnly="1" outline="0" fieldPosition="0">
        <references count="3">
          <reference field="11" count="1" selected="0">
            <x v="238"/>
          </reference>
          <reference field="14" count="1" selected="0">
            <x v="339"/>
          </reference>
          <reference field="18" count="1" defaultSubtotal="1">
            <x v="0"/>
          </reference>
        </references>
      </pivotArea>
    </format>
    <format dxfId="1426">
      <pivotArea dataOnly="0" labelOnly="1" outline="0" fieldPosition="0">
        <references count="3">
          <reference field="11" count="1" selected="0">
            <x v="239"/>
          </reference>
          <reference field="14" count="1" selected="0">
            <x v="61"/>
          </reference>
          <reference field="18" count="2">
            <x v="0"/>
            <x v="2"/>
          </reference>
        </references>
      </pivotArea>
    </format>
    <format dxfId="1425">
      <pivotArea dataOnly="0" labelOnly="1" outline="0" fieldPosition="0">
        <references count="3">
          <reference field="11" count="1" selected="0">
            <x v="239"/>
          </reference>
          <reference field="14" count="1" selected="0">
            <x v="61"/>
          </reference>
          <reference field="18" count="2" defaultSubtotal="1">
            <x v="0"/>
            <x v="2"/>
          </reference>
        </references>
      </pivotArea>
    </format>
    <format dxfId="1424">
      <pivotArea dataOnly="0" labelOnly="1" outline="0" fieldPosition="0">
        <references count="3">
          <reference field="11" count="1" selected="0">
            <x v="240"/>
          </reference>
          <reference field="14" count="1" selected="0">
            <x v="201"/>
          </reference>
          <reference field="18" count="1">
            <x v="7"/>
          </reference>
        </references>
      </pivotArea>
    </format>
    <format dxfId="1423">
      <pivotArea dataOnly="0" labelOnly="1" outline="0" fieldPosition="0">
        <references count="3">
          <reference field="11" count="1" selected="0">
            <x v="240"/>
          </reference>
          <reference field="14" count="1" selected="0">
            <x v="201"/>
          </reference>
          <reference field="18" count="1" defaultSubtotal="1">
            <x v="7"/>
          </reference>
        </references>
      </pivotArea>
    </format>
    <format dxfId="1422">
      <pivotArea dataOnly="0" labelOnly="1" outline="0" fieldPosition="0">
        <references count="3">
          <reference field="11" count="1" selected="0">
            <x v="241"/>
          </reference>
          <reference field="14" count="1" selected="0">
            <x v="262"/>
          </reference>
          <reference field="18" count="1">
            <x v="2"/>
          </reference>
        </references>
      </pivotArea>
    </format>
    <format dxfId="1421">
      <pivotArea dataOnly="0" labelOnly="1" outline="0" fieldPosition="0">
        <references count="3">
          <reference field="11" count="1" selected="0">
            <x v="241"/>
          </reference>
          <reference field="14" count="1" selected="0">
            <x v="262"/>
          </reference>
          <reference field="18" count="1" defaultSubtotal="1">
            <x v="2"/>
          </reference>
        </references>
      </pivotArea>
    </format>
    <format dxfId="1420">
      <pivotArea dataOnly="0" labelOnly="1" outline="0" fieldPosition="0">
        <references count="3">
          <reference field="11" count="1" selected="0">
            <x v="242"/>
          </reference>
          <reference field="14" count="1" selected="0">
            <x v="91"/>
          </reference>
          <reference field="18" count="1">
            <x v="3"/>
          </reference>
        </references>
      </pivotArea>
    </format>
    <format dxfId="1419">
      <pivotArea dataOnly="0" labelOnly="1" outline="0" fieldPosition="0">
        <references count="3">
          <reference field="11" count="1" selected="0">
            <x v="242"/>
          </reference>
          <reference field="14" count="1" selected="0">
            <x v="91"/>
          </reference>
          <reference field="18" count="1" defaultSubtotal="1">
            <x v="3"/>
          </reference>
        </references>
      </pivotArea>
    </format>
    <format dxfId="1418">
      <pivotArea dataOnly="0" labelOnly="1" outline="0" fieldPosition="0">
        <references count="3">
          <reference field="11" count="1" selected="0">
            <x v="243"/>
          </reference>
          <reference field="14" count="1" selected="0">
            <x v="264"/>
          </reference>
          <reference field="18" count="1">
            <x v="2"/>
          </reference>
        </references>
      </pivotArea>
    </format>
    <format dxfId="1417">
      <pivotArea dataOnly="0" labelOnly="1" outline="0" fieldPosition="0">
        <references count="3">
          <reference field="11" count="1" selected="0">
            <x v="243"/>
          </reference>
          <reference field="14" count="1" selected="0">
            <x v="264"/>
          </reference>
          <reference field="18" count="1" defaultSubtotal="1">
            <x v="2"/>
          </reference>
        </references>
      </pivotArea>
    </format>
    <format dxfId="1416">
      <pivotArea dataOnly="0" labelOnly="1" outline="0" fieldPosition="0">
        <references count="3">
          <reference field="11" count="1" selected="0">
            <x v="244"/>
          </reference>
          <reference field="14" count="1" selected="0">
            <x v="222"/>
          </reference>
          <reference field="18" count="1">
            <x v="2"/>
          </reference>
        </references>
      </pivotArea>
    </format>
    <format dxfId="1415">
      <pivotArea dataOnly="0" labelOnly="1" outline="0" fieldPosition="0">
        <references count="3">
          <reference field="11" count="1" selected="0">
            <x v="244"/>
          </reference>
          <reference field="14" count="1" selected="0">
            <x v="222"/>
          </reference>
          <reference field="18" count="1" defaultSubtotal="1">
            <x v="2"/>
          </reference>
        </references>
      </pivotArea>
    </format>
    <format dxfId="1414">
      <pivotArea dataOnly="0" labelOnly="1" outline="0" fieldPosition="0">
        <references count="3">
          <reference field="11" count="1" selected="0">
            <x v="245"/>
          </reference>
          <reference field="14" count="1" selected="0">
            <x v="131"/>
          </reference>
          <reference field="18" count="1">
            <x v="2"/>
          </reference>
        </references>
      </pivotArea>
    </format>
    <format dxfId="1413">
      <pivotArea dataOnly="0" labelOnly="1" outline="0" fieldPosition="0">
        <references count="3">
          <reference field="11" count="1" selected="0">
            <x v="245"/>
          </reference>
          <reference field="14" count="1" selected="0">
            <x v="131"/>
          </reference>
          <reference field="18" count="1" defaultSubtotal="1">
            <x v="2"/>
          </reference>
        </references>
      </pivotArea>
    </format>
    <format dxfId="1412">
      <pivotArea dataOnly="0" labelOnly="1" outline="0" fieldPosition="0">
        <references count="3">
          <reference field="11" count="1" selected="0">
            <x v="246"/>
          </reference>
          <reference field="14" count="1" selected="0">
            <x v="418"/>
          </reference>
          <reference field="18" count="1">
            <x v="2"/>
          </reference>
        </references>
      </pivotArea>
    </format>
    <format dxfId="1411">
      <pivotArea dataOnly="0" labelOnly="1" outline="0" fieldPosition="0">
        <references count="3">
          <reference field="11" count="1" selected="0">
            <x v="246"/>
          </reference>
          <reference field="14" count="1" selected="0">
            <x v="418"/>
          </reference>
          <reference field="18" count="1" defaultSubtotal="1">
            <x v="2"/>
          </reference>
        </references>
      </pivotArea>
    </format>
    <format dxfId="1410">
      <pivotArea dataOnly="0" labelOnly="1" outline="0" fieldPosition="0">
        <references count="3">
          <reference field="11" count="1" selected="0">
            <x v="247"/>
          </reference>
          <reference field="14" count="1" selected="0">
            <x v="406"/>
          </reference>
          <reference field="18" count="1">
            <x v="2"/>
          </reference>
        </references>
      </pivotArea>
    </format>
    <format dxfId="1409">
      <pivotArea dataOnly="0" labelOnly="1" outline="0" fieldPosition="0">
        <references count="3">
          <reference field="11" count="1" selected="0">
            <x v="247"/>
          </reference>
          <reference field="14" count="1" selected="0">
            <x v="406"/>
          </reference>
          <reference field="18" count="1" defaultSubtotal="1">
            <x v="2"/>
          </reference>
        </references>
      </pivotArea>
    </format>
    <format dxfId="1408">
      <pivotArea dataOnly="0" labelOnly="1" outline="0" fieldPosition="0">
        <references count="3">
          <reference field="11" count="1" selected="0">
            <x v="248"/>
          </reference>
          <reference field="14" count="1" selected="0">
            <x v="404"/>
          </reference>
          <reference field="18" count="1">
            <x v="2"/>
          </reference>
        </references>
      </pivotArea>
    </format>
    <format dxfId="1407">
      <pivotArea dataOnly="0" labelOnly="1" outline="0" fieldPosition="0">
        <references count="3">
          <reference field="11" count="1" selected="0">
            <x v="248"/>
          </reference>
          <reference field="14" count="1" selected="0">
            <x v="404"/>
          </reference>
          <reference field="18" count="1" defaultSubtotal="1">
            <x v="2"/>
          </reference>
        </references>
      </pivotArea>
    </format>
    <format dxfId="1406">
      <pivotArea dataOnly="0" labelOnly="1" outline="0" fieldPosition="0">
        <references count="3">
          <reference field="11" count="1" selected="0">
            <x v="249"/>
          </reference>
          <reference field="14" count="1" selected="0">
            <x v="402"/>
          </reference>
          <reference field="18" count="1">
            <x v="2"/>
          </reference>
        </references>
      </pivotArea>
    </format>
    <format dxfId="1405">
      <pivotArea dataOnly="0" labelOnly="1" outline="0" fieldPosition="0">
        <references count="3">
          <reference field="11" count="1" selected="0">
            <x v="249"/>
          </reference>
          <reference field="14" count="1" selected="0">
            <x v="402"/>
          </reference>
          <reference field="18" count="1" defaultSubtotal="1">
            <x v="2"/>
          </reference>
        </references>
      </pivotArea>
    </format>
    <format dxfId="1404">
      <pivotArea dataOnly="0" labelOnly="1" outline="0" fieldPosition="0">
        <references count="3">
          <reference field="11" count="1" selected="0">
            <x v="250"/>
          </reference>
          <reference field="14" count="1" selected="0">
            <x v="128"/>
          </reference>
          <reference field="18" count="1">
            <x v="2"/>
          </reference>
        </references>
      </pivotArea>
    </format>
    <format dxfId="1403">
      <pivotArea dataOnly="0" labelOnly="1" outline="0" fieldPosition="0">
        <references count="3">
          <reference field="11" count="1" selected="0">
            <x v="250"/>
          </reference>
          <reference field="14" count="1" selected="0">
            <x v="128"/>
          </reference>
          <reference field="18" count="1" defaultSubtotal="1">
            <x v="2"/>
          </reference>
        </references>
      </pivotArea>
    </format>
    <format dxfId="1402">
      <pivotArea dataOnly="0" labelOnly="1" outline="0" fieldPosition="0">
        <references count="3">
          <reference field="11" count="1" selected="0">
            <x v="251"/>
          </reference>
          <reference field="14" count="1" selected="0">
            <x v="405"/>
          </reference>
          <reference field="18" count="1">
            <x v="2"/>
          </reference>
        </references>
      </pivotArea>
    </format>
    <format dxfId="1401">
      <pivotArea dataOnly="0" labelOnly="1" outline="0" fieldPosition="0">
        <references count="3">
          <reference field="11" count="1" selected="0">
            <x v="251"/>
          </reference>
          <reference field="14" count="1" selected="0">
            <x v="405"/>
          </reference>
          <reference field="18" count="1" defaultSubtotal="1">
            <x v="2"/>
          </reference>
        </references>
      </pivotArea>
    </format>
    <format dxfId="1400">
      <pivotArea dataOnly="0" labelOnly="1" outline="0" fieldPosition="0">
        <references count="3">
          <reference field="11" count="1" selected="0">
            <x v="252"/>
          </reference>
          <reference field="14" count="1" selected="0">
            <x v="86"/>
          </reference>
          <reference field="18" count="1">
            <x v="1"/>
          </reference>
        </references>
      </pivotArea>
    </format>
    <format dxfId="1399">
      <pivotArea dataOnly="0" labelOnly="1" outline="0" fieldPosition="0">
        <references count="3">
          <reference field="11" count="1" selected="0">
            <x v="252"/>
          </reference>
          <reference field="14" count="1" selected="0">
            <x v="86"/>
          </reference>
          <reference field="18" count="1" defaultSubtotal="1">
            <x v="1"/>
          </reference>
        </references>
      </pivotArea>
    </format>
    <format dxfId="1398">
      <pivotArea dataOnly="0" labelOnly="1" outline="0" fieldPosition="0">
        <references count="3">
          <reference field="11" count="1" selected="0">
            <x v="253"/>
          </reference>
          <reference field="14" count="1" selected="0">
            <x v="136"/>
          </reference>
          <reference field="18" count="1">
            <x v="4"/>
          </reference>
        </references>
      </pivotArea>
    </format>
    <format dxfId="1397">
      <pivotArea dataOnly="0" labelOnly="1" outline="0" fieldPosition="0">
        <references count="3">
          <reference field="11" count="1" selected="0">
            <x v="253"/>
          </reference>
          <reference field="14" count="1" selected="0">
            <x v="136"/>
          </reference>
          <reference field="18" count="1" defaultSubtotal="1">
            <x v="4"/>
          </reference>
        </references>
      </pivotArea>
    </format>
    <format dxfId="1396">
      <pivotArea dataOnly="0" labelOnly="1" outline="0" fieldPosition="0">
        <references count="3">
          <reference field="11" count="1" selected="0">
            <x v="254"/>
          </reference>
          <reference field="14" count="1" selected="0">
            <x v="181"/>
          </reference>
          <reference field="18" count="1">
            <x v="14"/>
          </reference>
        </references>
      </pivotArea>
    </format>
    <format dxfId="1395">
      <pivotArea dataOnly="0" labelOnly="1" outline="0" fieldPosition="0">
        <references count="3">
          <reference field="11" count="1" selected="0">
            <x v="254"/>
          </reference>
          <reference field="14" count="1" selected="0">
            <x v="181"/>
          </reference>
          <reference field="18" count="1" defaultSubtotal="1">
            <x v="14"/>
          </reference>
        </references>
      </pivotArea>
    </format>
    <format dxfId="1394">
      <pivotArea dataOnly="0" labelOnly="1" outline="0" fieldPosition="0">
        <references count="3">
          <reference field="11" count="1" selected="0">
            <x v="255"/>
          </reference>
          <reference field="14" count="1" selected="0">
            <x v="263"/>
          </reference>
          <reference field="18" count="1">
            <x v="2"/>
          </reference>
        </references>
      </pivotArea>
    </format>
    <format dxfId="1393">
      <pivotArea dataOnly="0" labelOnly="1" outline="0" fieldPosition="0">
        <references count="3">
          <reference field="11" count="1" selected="0">
            <x v="255"/>
          </reference>
          <reference field="14" count="1" selected="0">
            <x v="263"/>
          </reference>
          <reference field="18" count="1" defaultSubtotal="1">
            <x v="2"/>
          </reference>
        </references>
      </pivotArea>
    </format>
    <format dxfId="1392">
      <pivotArea dataOnly="0" labelOnly="1" outline="0" fieldPosition="0">
        <references count="3">
          <reference field="11" count="1" selected="0">
            <x v="256"/>
          </reference>
          <reference field="14" count="1" selected="0">
            <x v="133"/>
          </reference>
          <reference field="18" count="1">
            <x v="2"/>
          </reference>
        </references>
      </pivotArea>
    </format>
    <format dxfId="1391">
      <pivotArea dataOnly="0" labelOnly="1" outline="0" fieldPosition="0">
        <references count="3">
          <reference field="11" count="1" selected="0">
            <x v="256"/>
          </reference>
          <reference field="14" count="1" selected="0">
            <x v="133"/>
          </reference>
          <reference field="18" count="1" defaultSubtotal="1">
            <x v="2"/>
          </reference>
        </references>
      </pivotArea>
    </format>
    <format dxfId="1390">
      <pivotArea dataOnly="0" labelOnly="1" outline="0" fieldPosition="0">
        <references count="3">
          <reference field="11" count="1" selected="0">
            <x v="257"/>
          </reference>
          <reference field="14" count="1" selected="0">
            <x v="187"/>
          </reference>
          <reference field="18" count="1">
            <x v="2"/>
          </reference>
        </references>
      </pivotArea>
    </format>
    <format dxfId="1389">
      <pivotArea dataOnly="0" labelOnly="1" outline="0" fieldPosition="0">
        <references count="3">
          <reference field="11" count="1" selected="0">
            <x v="257"/>
          </reference>
          <reference field="14" count="1" selected="0">
            <x v="187"/>
          </reference>
          <reference field="18" count="1" defaultSubtotal="1">
            <x v="2"/>
          </reference>
        </references>
      </pivotArea>
    </format>
    <format dxfId="1388">
      <pivotArea dataOnly="0" labelOnly="1" outline="0" fieldPosition="0">
        <references count="3">
          <reference field="11" count="1" selected="0">
            <x v="258"/>
          </reference>
          <reference field="14" count="1" selected="0">
            <x v="417"/>
          </reference>
          <reference field="18" count="1">
            <x v="0"/>
          </reference>
        </references>
      </pivotArea>
    </format>
    <format dxfId="1387">
      <pivotArea dataOnly="0" labelOnly="1" outline="0" fieldPosition="0">
        <references count="3">
          <reference field="11" count="1" selected="0">
            <x v="258"/>
          </reference>
          <reference field="14" count="1" selected="0">
            <x v="417"/>
          </reference>
          <reference field="18" count="1" defaultSubtotal="1">
            <x v="0"/>
          </reference>
        </references>
      </pivotArea>
    </format>
    <format dxfId="1386">
      <pivotArea dataOnly="0" labelOnly="1" outline="0" fieldPosition="0">
        <references count="3">
          <reference field="11" count="1" selected="0">
            <x v="259"/>
          </reference>
          <reference field="14" count="1" selected="0">
            <x v="371"/>
          </reference>
          <reference field="18" count="1">
            <x v="16"/>
          </reference>
        </references>
      </pivotArea>
    </format>
    <format dxfId="1385">
      <pivotArea dataOnly="0" labelOnly="1" outline="0" fieldPosition="0">
        <references count="3">
          <reference field="11" count="1" selected="0">
            <x v="259"/>
          </reference>
          <reference field="14" count="1" selected="0">
            <x v="371"/>
          </reference>
          <reference field="18" count="1" defaultSubtotal="1">
            <x v="16"/>
          </reference>
        </references>
      </pivotArea>
    </format>
    <format dxfId="1384">
      <pivotArea dataOnly="0" labelOnly="1" outline="0" fieldPosition="0">
        <references count="3">
          <reference field="11" count="1" selected="0">
            <x v="260"/>
          </reference>
          <reference field="14" count="1" selected="0">
            <x v="157"/>
          </reference>
          <reference field="18" count="1">
            <x v="2"/>
          </reference>
        </references>
      </pivotArea>
    </format>
    <format dxfId="1383">
      <pivotArea dataOnly="0" labelOnly="1" outline="0" fieldPosition="0">
        <references count="3">
          <reference field="11" count="1" selected="0">
            <x v="260"/>
          </reference>
          <reference field="14" count="1" selected="0">
            <x v="157"/>
          </reference>
          <reference field="18" count="1" defaultSubtotal="1">
            <x v="2"/>
          </reference>
        </references>
      </pivotArea>
    </format>
    <format dxfId="1382">
      <pivotArea dataOnly="0" labelOnly="1" outline="0" fieldPosition="0">
        <references count="3">
          <reference field="11" count="1" selected="0">
            <x v="261"/>
          </reference>
          <reference field="14" count="1" selected="0">
            <x v="223"/>
          </reference>
          <reference field="18" count="2">
            <x v="0"/>
            <x v="2"/>
          </reference>
        </references>
      </pivotArea>
    </format>
    <format dxfId="1381">
      <pivotArea dataOnly="0" labelOnly="1" outline="0" fieldPosition="0">
        <references count="3">
          <reference field="11" count="1" selected="0">
            <x v="261"/>
          </reference>
          <reference field="14" count="1" selected="0">
            <x v="223"/>
          </reference>
          <reference field="18" count="2" defaultSubtotal="1">
            <x v="0"/>
            <x v="2"/>
          </reference>
        </references>
      </pivotArea>
    </format>
    <format dxfId="1380">
      <pivotArea dataOnly="0" labelOnly="1" outline="0" fieldPosition="0">
        <references count="3">
          <reference field="11" count="1" selected="0">
            <x v="262"/>
          </reference>
          <reference field="14" count="1" selected="0">
            <x v="311"/>
          </reference>
          <reference field="18" count="1">
            <x v="19"/>
          </reference>
        </references>
      </pivotArea>
    </format>
    <format dxfId="1379">
      <pivotArea dataOnly="0" labelOnly="1" outline="0" fieldPosition="0">
        <references count="3">
          <reference field="11" count="1" selected="0">
            <x v="262"/>
          </reference>
          <reference field="14" count="1" selected="0">
            <x v="311"/>
          </reference>
          <reference field="18" count="1" defaultSubtotal="1">
            <x v="19"/>
          </reference>
        </references>
      </pivotArea>
    </format>
    <format dxfId="1378">
      <pivotArea dataOnly="0" labelOnly="1" outline="0" fieldPosition="0">
        <references count="3">
          <reference field="11" count="1" selected="0">
            <x v="263"/>
          </reference>
          <reference field="14" count="1" selected="0">
            <x v="114"/>
          </reference>
          <reference field="18" count="1">
            <x v="6"/>
          </reference>
        </references>
      </pivotArea>
    </format>
    <format dxfId="1377">
      <pivotArea dataOnly="0" labelOnly="1" outline="0" fieldPosition="0">
        <references count="3">
          <reference field="11" count="1" selected="0">
            <x v="263"/>
          </reference>
          <reference field="14" count="1" selected="0">
            <x v="114"/>
          </reference>
          <reference field="18" count="1" defaultSubtotal="1">
            <x v="6"/>
          </reference>
        </references>
      </pivotArea>
    </format>
    <format dxfId="1376">
      <pivotArea dataOnly="0" labelOnly="1" outline="0" fieldPosition="0">
        <references count="3">
          <reference field="11" count="1" selected="0">
            <x v="264"/>
          </reference>
          <reference field="14" count="1" selected="0">
            <x v="154"/>
          </reference>
          <reference field="18" count="1">
            <x v="2"/>
          </reference>
        </references>
      </pivotArea>
    </format>
    <format dxfId="1375">
      <pivotArea dataOnly="0" labelOnly="1" outline="0" fieldPosition="0">
        <references count="3">
          <reference field="11" count="1" selected="0">
            <x v="264"/>
          </reference>
          <reference field="14" count="1" selected="0">
            <x v="154"/>
          </reference>
          <reference field="18" count="1" defaultSubtotal="1">
            <x v="2"/>
          </reference>
        </references>
      </pivotArea>
    </format>
    <format dxfId="1374">
      <pivotArea dataOnly="0" labelOnly="1" outline="0" fieldPosition="0">
        <references count="3">
          <reference field="11" count="1" selected="0">
            <x v="265"/>
          </reference>
          <reference field="14" count="1" selected="0">
            <x v="166"/>
          </reference>
          <reference field="18" count="1">
            <x v="2"/>
          </reference>
        </references>
      </pivotArea>
    </format>
    <format dxfId="1373">
      <pivotArea dataOnly="0" labelOnly="1" outline="0" fieldPosition="0">
        <references count="3">
          <reference field="11" count="1" selected="0">
            <x v="265"/>
          </reference>
          <reference field="14" count="1" selected="0">
            <x v="166"/>
          </reference>
          <reference field="18" count="1" defaultSubtotal="1">
            <x v="2"/>
          </reference>
        </references>
      </pivotArea>
    </format>
    <format dxfId="1372">
      <pivotArea dataOnly="0" labelOnly="1" outline="0" fieldPosition="0">
        <references count="3">
          <reference field="11" count="1" selected="0">
            <x v="266"/>
          </reference>
          <reference field="14" count="1" selected="0">
            <x v="152"/>
          </reference>
          <reference field="18" count="1">
            <x v="2"/>
          </reference>
        </references>
      </pivotArea>
    </format>
    <format dxfId="1371">
      <pivotArea dataOnly="0" labelOnly="1" outline="0" fieldPosition="0">
        <references count="3">
          <reference field="11" count="1" selected="0">
            <x v="266"/>
          </reference>
          <reference field="14" count="1" selected="0">
            <x v="152"/>
          </reference>
          <reference field="18" count="1" defaultSubtotal="1">
            <x v="2"/>
          </reference>
        </references>
      </pivotArea>
    </format>
    <format dxfId="1370">
      <pivotArea dataOnly="0" labelOnly="1" outline="0" fieldPosition="0">
        <references count="3">
          <reference field="11" count="1" selected="0">
            <x v="267"/>
          </reference>
          <reference field="14" count="1" selected="0">
            <x v="374"/>
          </reference>
          <reference field="18" count="2">
            <x v="0"/>
            <x v="2"/>
          </reference>
        </references>
      </pivotArea>
    </format>
    <format dxfId="1369">
      <pivotArea dataOnly="0" labelOnly="1" outline="0" fieldPosition="0">
        <references count="3">
          <reference field="11" count="1" selected="0">
            <x v="267"/>
          </reference>
          <reference field="14" count="1" selected="0">
            <x v="374"/>
          </reference>
          <reference field="18" count="2" defaultSubtotal="1">
            <x v="0"/>
            <x v="2"/>
          </reference>
        </references>
      </pivotArea>
    </format>
    <format dxfId="1368">
      <pivotArea dataOnly="0" labelOnly="1" outline="0" fieldPosition="0">
        <references count="3">
          <reference field="11" count="1" selected="0">
            <x v="268"/>
          </reference>
          <reference field="14" count="1" selected="0">
            <x v="353"/>
          </reference>
          <reference field="18" count="1">
            <x v="2"/>
          </reference>
        </references>
      </pivotArea>
    </format>
    <format dxfId="1367">
      <pivotArea dataOnly="0" labelOnly="1" outline="0" fieldPosition="0">
        <references count="3">
          <reference field="11" count="1" selected="0">
            <x v="268"/>
          </reference>
          <reference field="14" count="1" selected="0">
            <x v="353"/>
          </reference>
          <reference field="18" count="1" defaultSubtotal="1">
            <x v="2"/>
          </reference>
        </references>
      </pivotArea>
    </format>
    <format dxfId="1366">
      <pivotArea dataOnly="0" labelOnly="1" outline="0" fieldPosition="0">
        <references count="3">
          <reference field="11" count="1" selected="0">
            <x v="269"/>
          </reference>
          <reference field="14" count="1" selected="0">
            <x v="124"/>
          </reference>
          <reference field="18" count="1">
            <x v="4"/>
          </reference>
        </references>
      </pivotArea>
    </format>
    <format dxfId="1365">
      <pivotArea dataOnly="0" labelOnly="1" outline="0" fieldPosition="0">
        <references count="3">
          <reference field="11" count="1" selected="0">
            <x v="269"/>
          </reference>
          <reference field="14" count="1" selected="0">
            <x v="124"/>
          </reference>
          <reference field="18" count="1" defaultSubtotal="1">
            <x v="4"/>
          </reference>
        </references>
      </pivotArea>
    </format>
    <format dxfId="1364">
      <pivotArea dataOnly="0" labelOnly="1" outline="0" fieldPosition="0">
        <references count="3">
          <reference field="11" count="1" selected="0">
            <x v="270"/>
          </reference>
          <reference field="14" count="1" selected="0">
            <x v="126"/>
          </reference>
          <reference field="18" count="1">
            <x v="2"/>
          </reference>
        </references>
      </pivotArea>
    </format>
    <format dxfId="1363">
      <pivotArea dataOnly="0" labelOnly="1" outline="0" fieldPosition="0">
        <references count="3">
          <reference field="11" count="1" selected="0">
            <x v="270"/>
          </reference>
          <reference field="14" count="1" selected="0">
            <x v="126"/>
          </reference>
          <reference field="18" count="1" defaultSubtotal="1">
            <x v="2"/>
          </reference>
        </references>
      </pivotArea>
    </format>
    <format dxfId="1362">
      <pivotArea dataOnly="0" labelOnly="1" outline="0" fieldPosition="0">
        <references count="3">
          <reference field="11" count="1" selected="0">
            <x v="271"/>
          </reference>
          <reference field="14" count="1" selected="0">
            <x v="239"/>
          </reference>
          <reference field="18" count="1">
            <x v="19"/>
          </reference>
        </references>
      </pivotArea>
    </format>
    <format dxfId="1361">
      <pivotArea dataOnly="0" labelOnly="1" outline="0" fieldPosition="0">
        <references count="3">
          <reference field="11" count="1" selected="0">
            <x v="271"/>
          </reference>
          <reference field="14" count="1" selected="0">
            <x v="239"/>
          </reference>
          <reference field="18" count="1" defaultSubtotal="1">
            <x v="19"/>
          </reference>
        </references>
      </pivotArea>
    </format>
    <format dxfId="1360">
      <pivotArea dataOnly="0" labelOnly="1" outline="0" fieldPosition="0">
        <references count="3">
          <reference field="11" count="1" selected="0">
            <x v="272"/>
          </reference>
          <reference field="14" count="1" selected="0">
            <x v="42"/>
          </reference>
          <reference field="18" count="1">
            <x v="2"/>
          </reference>
        </references>
      </pivotArea>
    </format>
    <format dxfId="1359">
      <pivotArea dataOnly="0" labelOnly="1" outline="0" fieldPosition="0">
        <references count="3">
          <reference field="11" count="1" selected="0">
            <x v="272"/>
          </reference>
          <reference field="14" count="1" selected="0">
            <x v="42"/>
          </reference>
          <reference field="18" count="1" defaultSubtotal="1">
            <x v="2"/>
          </reference>
        </references>
      </pivotArea>
    </format>
    <format dxfId="1358">
      <pivotArea dataOnly="0" labelOnly="1" outline="0" fieldPosition="0">
        <references count="3">
          <reference field="11" count="1" selected="0">
            <x v="273"/>
          </reference>
          <reference field="14" count="1" selected="0">
            <x v="342"/>
          </reference>
          <reference field="18" count="1">
            <x v="1"/>
          </reference>
        </references>
      </pivotArea>
    </format>
    <format dxfId="1357">
      <pivotArea dataOnly="0" labelOnly="1" outline="0" fieldPosition="0">
        <references count="3">
          <reference field="11" count="1" selected="0">
            <x v="273"/>
          </reference>
          <reference field="14" count="1" selected="0">
            <x v="342"/>
          </reference>
          <reference field="18" count="1" defaultSubtotal="1">
            <x v="1"/>
          </reference>
        </references>
      </pivotArea>
    </format>
    <format dxfId="1356">
      <pivotArea dataOnly="0" labelOnly="1" outline="0" fieldPosition="0">
        <references count="3">
          <reference field="11" count="1" selected="0">
            <x v="274"/>
          </reference>
          <reference field="14" count="1" selected="0">
            <x v="372"/>
          </reference>
          <reference field="18" count="1">
            <x v="15"/>
          </reference>
        </references>
      </pivotArea>
    </format>
    <format dxfId="1355">
      <pivotArea dataOnly="0" labelOnly="1" outline="0" fieldPosition="0">
        <references count="3">
          <reference field="11" count="1" selected="0">
            <x v="274"/>
          </reference>
          <reference field="14" count="1" selected="0">
            <x v="372"/>
          </reference>
          <reference field="18" count="1" defaultSubtotal="1">
            <x v="15"/>
          </reference>
        </references>
      </pivotArea>
    </format>
    <format dxfId="1354">
      <pivotArea dataOnly="0" labelOnly="1" outline="0" fieldPosition="0">
        <references count="3">
          <reference field="11" count="1" selected="0">
            <x v="275"/>
          </reference>
          <reference field="14" count="1" selected="0">
            <x v="51"/>
          </reference>
          <reference field="18" count="1">
            <x v="4"/>
          </reference>
        </references>
      </pivotArea>
    </format>
    <format dxfId="1353">
      <pivotArea dataOnly="0" labelOnly="1" outline="0" fieldPosition="0">
        <references count="3">
          <reference field="11" count="1" selected="0">
            <x v="275"/>
          </reference>
          <reference field="14" count="1" selected="0">
            <x v="51"/>
          </reference>
          <reference field="18" count="1" defaultSubtotal="1">
            <x v="4"/>
          </reference>
        </references>
      </pivotArea>
    </format>
    <format dxfId="1352">
      <pivotArea dataOnly="0" labelOnly="1" outline="0" fieldPosition="0">
        <references count="3">
          <reference field="11" count="1" selected="0">
            <x v="276"/>
          </reference>
          <reference field="14" count="1" selected="0">
            <x v="290"/>
          </reference>
          <reference field="18" count="1">
            <x v="0"/>
          </reference>
        </references>
      </pivotArea>
    </format>
    <format dxfId="1351">
      <pivotArea dataOnly="0" labelOnly="1" outline="0" fieldPosition="0">
        <references count="3">
          <reference field="11" count="1" selected="0">
            <x v="276"/>
          </reference>
          <reference field="14" count="1" selected="0">
            <x v="290"/>
          </reference>
          <reference field="18" count="1" defaultSubtotal="1">
            <x v="0"/>
          </reference>
        </references>
      </pivotArea>
    </format>
    <format dxfId="1350">
      <pivotArea dataOnly="0" labelOnly="1" outline="0" fieldPosition="0">
        <references count="3">
          <reference field="11" count="1" selected="0">
            <x v="277"/>
          </reference>
          <reference field="14" count="1" selected="0">
            <x v="180"/>
          </reference>
          <reference field="18" count="1">
            <x v="16"/>
          </reference>
        </references>
      </pivotArea>
    </format>
    <format dxfId="1349">
      <pivotArea dataOnly="0" labelOnly="1" outline="0" fieldPosition="0">
        <references count="3">
          <reference field="11" count="1" selected="0">
            <x v="277"/>
          </reference>
          <reference field="14" count="1" selected="0">
            <x v="180"/>
          </reference>
          <reference field="18" count="1" defaultSubtotal="1">
            <x v="16"/>
          </reference>
        </references>
      </pivotArea>
    </format>
    <format dxfId="1348">
      <pivotArea dataOnly="0" labelOnly="1" outline="0" fieldPosition="0">
        <references count="3">
          <reference field="11" count="1" selected="0">
            <x v="278"/>
          </reference>
          <reference field="14" count="1" selected="0">
            <x v="164"/>
          </reference>
          <reference field="18" count="1">
            <x v="2"/>
          </reference>
        </references>
      </pivotArea>
    </format>
    <format dxfId="1347">
      <pivotArea dataOnly="0" labelOnly="1" outline="0" fieldPosition="0">
        <references count="3">
          <reference field="11" count="1" selected="0">
            <x v="278"/>
          </reference>
          <reference field="14" count="1" selected="0">
            <x v="164"/>
          </reference>
          <reference field="18" count="1" defaultSubtotal="1">
            <x v="2"/>
          </reference>
        </references>
      </pivotArea>
    </format>
    <format dxfId="1346">
      <pivotArea dataOnly="0" labelOnly="1" outline="0" fieldPosition="0">
        <references count="3">
          <reference field="11" count="1" selected="0">
            <x v="279"/>
          </reference>
          <reference field="14" count="1" selected="0">
            <x v="153"/>
          </reference>
          <reference field="18" count="1">
            <x v="2"/>
          </reference>
        </references>
      </pivotArea>
    </format>
    <format dxfId="1345">
      <pivotArea dataOnly="0" labelOnly="1" outline="0" fieldPosition="0">
        <references count="3">
          <reference field="11" count="1" selected="0">
            <x v="279"/>
          </reference>
          <reference field="14" count="1" selected="0">
            <x v="153"/>
          </reference>
          <reference field="18" count="1" defaultSubtotal="1">
            <x v="2"/>
          </reference>
        </references>
      </pivotArea>
    </format>
    <format dxfId="1344">
      <pivotArea dataOnly="0" labelOnly="1" outline="0" fieldPosition="0">
        <references count="3">
          <reference field="11" count="1" selected="0">
            <x v="280"/>
          </reference>
          <reference field="14" count="1" selected="0">
            <x v="373"/>
          </reference>
          <reference field="18" count="2">
            <x v="1"/>
            <x v="11"/>
          </reference>
        </references>
      </pivotArea>
    </format>
    <format dxfId="1343">
      <pivotArea dataOnly="0" labelOnly="1" outline="0" fieldPosition="0">
        <references count="3">
          <reference field="11" count="1" selected="0">
            <x v="280"/>
          </reference>
          <reference field="14" count="1" selected="0">
            <x v="373"/>
          </reference>
          <reference field="18" count="2" defaultSubtotal="1">
            <x v="1"/>
            <x v="11"/>
          </reference>
        </references>
      </pivotArea>
    </format>
    <format dxfId="1342">
      <pivotArea dataOnly="0" labelOnly="1" outline="0" fieldPosition="0">
        <references count="3">
          <reference field="11" count="1" selected="0">
            <x v="281"/>
          </reference>
          <reference field="14" count="1" selected="0">
            <x v="165"/>
          </reference>
          <reference field="18" count="1">
            <x v="2"/>
          </reference>
        </references>
      </pivotArea>
    </format>
    <format dxfId="1341">
      <pivotArea dataOnly="0" labelOnly="1" outline="0" fieldPosition="0">
        <references count="3">
          <reference field="11" count="1" selected="0">
            <x v="281"/>
          </reference>
          <reference field="14" count="1" selected="0">
            <x v="165"/>
          </reference>
          <reference field="18" count="1" defaultSubtotal="1">
            <x v="2"/>
          </reference>
        </references>
      </pivotArea>
    </format>
    <format dxfId="1340">
      <pivotArea dataOnly="0" labelOnly="1" outline="0" fieldPosition="0">
        <references count="3">
          <reference field="11" count="1" selected="0">
            <x v="282"/>
          </reference>
          <reference field="14" count="1" selected="0">
            <x v="357"/>
          </reference>
          <reference field="18" count="1">
            <x v="0"/>
          </reference>
        </references>
      </pivotArea>
    </format>
    <format dxfId="1339">
      <pivotArea dataOnly="0" labelOnly="1" outline="0" fieldPosition="0">
        <references count="3">
          <reference field="11" count="1" selected="0">
            <x v="282"/>
          </reference>
          <reference field="14" count="1" selected="0">
            <x v="357"/>
          </reference>
          <reference field="18" count="1" defaultSubtotal="1">
            <x v="0"/>
          </reference>
        </references>
      </pivotArea>
    </format>
    <format dxfId="1338">
      <pivotArea dataOnly="0" labelOnly="1" outline="0" fieldPosition="0">
        <references count="3">
          <reference field="11" count="1" selected="0">
            <x v="283"/>
          </reference>
          <reference field="14" count="1" selected="0">
            <x v="162"/>
          </reference>
          <reference field="18" count="1">
            <x v="2"/>
          </reference>
        </references>
      </pivotArea>
    </format>
    <format dxfId="1337">
      <pivotArea dataOnly="0" labelOnly="1" outline="0" fieldPosition="0">
        <references count="3">
          <reference field="11" count="1" selected="0">
            <x v="283"/>
          </reference>
          <reference field="14" count="1" selected="0">
            <x v="162"/>
          </reference>
          <reference field="18" count="1" defaultSubtotal="1">
            <x v="2"/>
          </reference>
        </references>
      </pivotArea>
    </format>
    <format dxfId="1336">
      <pivotArea dataOnly="0" labelOnly="1" outline="0" fieldPosition="0">
        <references count="3">
          <reference field="11" count="1" selected="0">
            <x v="284"/>
          </reference>
          <reference field="14" count="1" selected="0">
            <x v="149"/>
          </reference>
          <reference field="18" count="1">
            <x v="14"/>
          </reference>
        </references>
      </pivotArea>
    </format>
    <format dxfId="1335">
      <pivotArea dataOnly="0" labelOnly="1" outline="0" fieldPosition="0">
        <references count="3">
          <reference field="11" count="1" selected="0">
            <x v="284"/>
          </reference>
          <reference field="14" count="1" selected="0">
            <x v="149"/>
          </reference>
          <reference field="18" count="1" defaultSubtotal="1">
            <x v="14"/>
          </reference>
        </references>
      </pivotArea>
    </format>
    <format dxfId="1334">
      <pivotArea dataOnly="0" labelOnly="1" outline="0" fieldPosition="0">
        <references count="3">
          <reference field="11" count="1" selected="0">
            <x v="285"/>
          </reference>
          <reference field="14" count="1" selected="0">
            <x v="365"/>
          </reference>
          <reference field="18" count="1">
            <x v="3"/>
          </reference>
        </references>
      </pivotArea>
    </format>
    <format dxfId="1333">
      <pivotArea dataOnly="0" labelOnly="1" outline="0" fieldPosition="0">
        <references count="3">
          <reference field="11" count="1" selected="0">
            <x v="285"/>
          </reference>
          <reference field="14" count="1" selected="0">
            <x v="365"/>
          </reference>
          <reference field="18" count="1" defaultSubtotal="1">
            <x v="3"/>
          </reference>
        </references>
      </pivotArea>
    </format>
    <format dxfId="1332">
      <pivotArea dataOnly="0" labelOnly="1" outline="0" fieldPosition="0">
        <references count="3">
          <reference field="11" count="1" selected="0">
            <x v="286"/>
          </reference>
          <reference field="14" count="1" selected="0">
            <x v="217"/>
          </reference>
          <reference field="18" count="1">
            <x v="14"/>
          </reference>
        </references>
      </pivotArea>
    </format>
    <format dxfId="1331">
      <pivotArea dataOnly="0" labelOnly="1" outline="0" fieldPosition="0">
        <references count="3">
          <reference field="11" count="1" selected="0">
            <x v="286"/>
          </reference>
          <reference field="14" count="1" selected="0">
            <x v="217"/>
          </reference>
          <reference field="18" count="1" defaultSubtotal="1">
            <x v="14"/>
          </reference>
        </references>
      </pivotArea>
    </format>
    <format dxfId="1330">
      <pivotArea dataOnly="0" labelOnly="1" outline="0" fieldPosition="0">
        <references count="3">
          <reference field="11" count="1" selected="0">
            <x v="287"/>
          </reference>
          <reference field="14" count="1" selected="0">
            <x v="197"/>
          </reference>
          <reference field="18" count="1">
            <x v="2"/>
          </reference>
        </references>
      </pivotArea>
    </format>
    <format dxfId="1329">
      <pivotArea dataOnly="0" labelOnly="1" outline="0" fieldPosition="0">
        <references count="3">
          <reference field="11" count="1" selected="0">
            <x v="287"/>
          </reference>
          <reference field="14" count="1" selected="0">
            <x v="197"/>
          </reference>
          <reference field="18" count="1" defaultSubtotal="1">
            <x v="2"/>
          </reference>
        </references>
      </pivotArea>
    </format>
    <format dxfId="1328">
      <pivotArea dataOnly="0" labelOnly="1" outline="0" fieldPosition="0">
        <references count="3">
          <reference field="11" count="1" selected="0">
            <x v="288"/>
          </reference>
          <reference field="14" count="1" selected="0">
            <x v="389"/>
          </reference>
          <reference field="18" count="1">
            <x v="2"/>
          </reference>
        </references>
      </pivotArea>
    </format>
    <format dxfId="1327">
      <pivotArea dataOnly="0" labelOnly="1" outline="0" fieldPosition="0">
        <references count="3">
          <reference field="11" count="1" selected="0">
            <x v="288"/>
          </reference>
          <reference field="14" count="1" selected="0">
            <x v="389"/>
          </reference>
          <reference field="18" count="1" defaultSubtotal="1">
            <x v="2"/>
          </reference>
        </references>
      </pivotArea>
    </format>
    <format dxfId="1326">
      <pivotArea dataOnly="0" labelOnly="1" outline="0" fieldPosition="0">
        <references count="3">
          <reference field="11" count="1" selected="0">
            <x v="289"/>
          </reference>
          <reference field="14" count="1" selected="0">
            <x v="171"/>
          </reference>
          <reference field="18" count="1">
            <x v="2"/>
          </reference>
        </references>
      </pivotArea>
    </format>
    <format dxfId="1325">
      <pivotArea dataOnly="0" labelOnly="1" outline="0" fieldPosition="0">
        <references count="3">
          <reference field="11" count="1" selected="0">
            <x v="289"/>
          </reference>
          <reference field="14" count="1" selected="0">
            <x v="171"/>
          </reference>
          <reference field="18" count="1" defaultSubtotal="1">
            <x v="2"/>
          </reference>
        </references>
      </pivotArea>
    </format>
    <format dxfId="1324">
      <pivotArea dataOnly="0" labelOnly="1" outline="0" fieldPosition="0">
        <references count="3">
          <reference field="11" count="1" selected="0">
            <x v="290"/>
          </reference>
          <reference field="14" count="1" selected="0">
            <x v="183"/>
          </reference>
          <reference field="18" count="2">
            <x v="3"/>
            <x v="6"/>
          </reference>
        </references>
      </pivotArea>
    </format>
    <format dxfId="1323">
      <pivotArea dataOnly="0" labelOnly="1" outline="0" fieldPosition="0">
        <references count="3">
          <reference field="11" count="1" selected="0">
            <x v="290"/>
          </reference>
          <reference field="14" count="1" selected="0">
            <x v="183"/>
          </reference>
          <reference field="18" count="2" defaultSubtotal="1">
            <x v="3"/>
            <x v="6"/>
          </reference>
        </references>
      </pivotArea>
    </format>
    <format dxfId="1322">
      <pivotArea dataOnly="0" labelOnly="1" outline="0" fieldPosition="0">
        <references count="3">
          <reference field="11" count="1" selected="0">
            <x v="291"/>
          </reference>
          <reference field="14" count="1" selected="0">
            <x v="3"/>
          </reference>
          <reference field="18" count="1">
            <x v="2"/>
          </reference>
        </references>
      </pivotArea>
    </format>
    <format dxfId="1321">
      <pivotArea dataOnly="0" labelOnly="1" outline="0" fieldPosition="0">
        <references count="3">
          <reference field="11" count="1" selected="0">
            <x v="291"/>
          </reference>
          <reference field="14" count="1" selected="0">
            <x v="3"/>
          </reference>
          <reference field="18" count="1" defaultSubtotal="1">
            <x v="2"/>
          </reference>
        </references>
      </pivotArea>
    </format>
    <format dxfId="1320">
      <pivotArea dataOnly="0" labelOnly="1" outline="0" fieldPosition="0">
        <references count="3">
          <reference field="11" count="1" selected="0">
            <x v="292"/>
          </reference>
          <reference field="14" count="1" selected="0">
            <x v="172"/>
          </reference>
          <reference field="18" count="1">
            <x v="2"/>
          </reference>
        </references>
      </pivotArea>
    </format>
    <format dxfId="1319">
      <pivotArea dataOnly="0" labelOnly="1" outline="0" fieldPosition="0">
        <references count="3">
          <reference field="11" count="1" selected="0">
            <x v="292"/>
          </reference>
          <reference field="14" count="1" selected="0">
            <x v="172"/>
          </reference>
          <reference field="18" count="1" defaultSubtotal="1">
            <x v="2"/>
          </reference>
        </references>
      </pivotArea>
    </format>
    <format dxfId="1318">
      <pivotArea dataOnly="0" labelOnly="1" outline="0" fieldPosition="0">
        <references count="3">
          <reference field="11" count="1" selected="0">
            <x v="293"/>
          </reference>
          <reference field="14" count="1" selected="0">
            <x v="168"/>
          </reference>
          <reference field="18" count="1">
            <x v="14"/>
          </reference>
        </references>
      </pivotArea>
    </format>
    <format dxfId="1317">
      <pivotArea dataOnly="0" labelOnly="1" outline="0" fieldPosition="0">
        <references count="3">
          <reference field="11" count="1" selected="0">
            <x v="293"/>
          </reference>
          <reference field="14" count="1" selected="0">
            <x v="168"/>
          </reference>
          <reference field="18" count="1" defaultSubtotal="1">
            <x v="14"/>
          </reference>
        </references>
      </pivotArea>
    </format>
    <format dxfId="1316">
      <pivotArea dataOnly="0" labelOnly="1" outline="0" fieldPosition="0">
        <references count="3">
          <reference field="11" count="1" selected="0">
            <x v="294"/>
          </reference>
          <reference field="14" count="1" selected="0">
            <x v="67"/>
          </reference>
          <reference field="18" count="1">
            <x v="0"/>
          </reference>
        </references>
      </pivotArea>
    </format>
    <format dxfId="1315">
      <pivotArea dataOnly="0" labelOnly="1" outline="0" fieldPosition="0">
        <references count="3">
          <reference field="11" count="1" selected="0">
            <x v="294"/>
          </reference>
          <reference field="14" count="1" selected="0">
            <x v="67"/>
          </reference>
          <reference field="18" count="1" defaultSubtotal="1">
            <x v="0"/>
          </reference>
        </references>
      </pivotArea>
    </format>
    <format dxfId="1314">
      <pivotArea dataOnly="0" labelOnly="1" outline="0" fieldPosition="0">
        <references count="3">
          <reference field="11" count="1" selected="0">
            <x v="295"/>
          </reference>
          <reference field="14" count="1" selected="0">
            <x v="64"/>
          </reference>
          <reference field="18" count="1">
            <x v="1"/>
          </reference>
        </references>
      </pivotArea>
    </format>
    <format dxfId="1313">
      <pivotArea dataOnly="0" labelOnly="1" outline="0" fieldPosition="0">
        <references count="3">
          <reference field="11" count="1" selected="0">
            <x v="295"/>
          </reference>
          <reference field="14" count="1" selected="0">
            <x v="64"/>
          </reference>
          <reference field="18" count="1" defaultSubtotal="1">
            <x v="1"/>
          </reference>
        </references>
      </pivotArea>
    </format>
    <format dxfId="1312">
      <pivotArea dataOnly="0" labelOnly="1" outline="0" fieldPosition="0">
        <references count="3">
          <reference field="11" count="1" selected="0">
            <x v="296"/>
          </reference>
          <reference field="14" count="1" selected="0">
            <x v="143"/>
          </reference>
          <reference field="18" count="1">
            <x v="3"/>
          </reference>
        </references>
      </pivotArea>
    </format>
    <format dxfId="1311">
      <pivotArea dataOnly="0" labelOnly="1" outline="0" fieldPosition="0">
        <references count="3">
          <reference field="11" count="1" selected="0">
            <x v="296"/>
          </reference>
          <reference field="14" count="1" selected="0">
            <x v="143"/>
          </reference>
          <reference field="18" count="1" defaultSubtotal="1">
            <x v="3"/>
          </reference>
        </references>
      </pivotArea>
    </format>
    <format dxfId="1310">
      <pivotArea dataOnly="0" labelOnly="1" outline="0" fieldPosition="0">
        <references count="3">
          <reference field="11" count="1" selected="0">
            <x v="297"/>
          </reference>
          <reference field="14" count="1" selected="0">
            <x v="34"/>
          </reference>
          <reference field="18" count="1">
            <x v="20"/>
          </reference>
        </references>
      </pivotArea>
    </format>
    <format dxfId="1309">
      <pivotArea dataOnly="0" labelOnly="1" outline="0" fieldPosition="0">
        <references count="3">
          <reference field="11" count="1" selected="0">
            <x v="297"/>
          </reference>
          <reference field="14" count="1" selected="0">
            <x v="34"/>
          </reference>
          <reference field="18" count="1" defaultSubtotal="1">
            <x v="20"/>
          </reference>
        </references>
      </pivotArea>
    </format>
    <format dxfId="1308">
      <pivotArea dataOnly="0" labelOnly="1" outline="0" fieldPosition="0">
        <references count="3">
          <reference field="11" count="1" selected="0">
            <x v="298"/>
          </reference>
          <reference field="14" count="1" selected="0">
            <x v="310"/>
          </reference>
          <reference field="18" count="1">
            <x v="19"/>
          </reference>
        </references>
      </pivotArea>
    </format>
    <format dxfId="1307">
      <pivotArea dataOnly="0" labelOnly="1" outline="0" fieldPosition="0">
        <references count="3">
          <reference field="11" count="1" selected="0">
            <x v="298"/>
          </reference>
          <reference field="14" count="1" selected="0">
            <x v="310"/>
          </reference>
          <reference field="18" count="1" defaultSubtotal="1">
            <x v="19"/>
          </reference>
        </references>
      </pivotArea>
    </format>
    <format dxfId="1306">
      <pivotArea dataOnly="0" labelOnly="1" outline="0" fieldPosition="0">
        <references count="3">
          <reference field="11" count="1" selected="0">
            <x v="299"/>
          </reference>
          <reference field="14" count="1" selected="0">
            <x v="129"/>
          </reference>
          <reference field="18" count="1">
            <x v="2"/>
          </reference>
        </references>
      </pivotArea>
    </format>
    <format dxfId="1305">
      <pivotArea dataOnly="0" labelOnly="1" outline="0" fieldPosition="0">
        <references count="3">
          <reference field="11" count="1" selected="0">
            <x v="299"/>
          </reference>
          <reference field="14" count="1" selected="0">
            <x v="129"/>
          </reference>
          <reference field="18" count="1" defaultSubtotal="1">
            <x v="2"/>
          </reference>
        </references>
      </pivotArea>
    </format>
    <format dxfId="1304">
      <pivotArea dataOnly="0" labelOnly="1" outline="0" fieldPosition="0">
        <references count="3">
          <reference field="11" count="1" selected="0">
            <x v="300"/>
          </reference>
          <reference field="14" count="1" selected="0">
            <x v="393"/>
          </reference>
          <reference field="18" count="1">
            <x v="2"/>
          </reference>
        </references>
      </pivotArea>
    </format>
    <format dxfId="1303">
      <pivotArea dataOnly="0" labelOnly="1" outline="0" fieldPosition="0">
        <references count="3">
          <reference field="11" count="1" selected="0">
            <x v="300"/>
          </reference>
          <reference field="14" count="1" selected="0">
            <x v="393"/>
          </reference>
          <reference field="18" count="1" defaultSubtotal="1">
            <x v="2"/>
          </reference>
        </references>
      </pivotArea>
    </format>
    <format dxfId="1302">
      <pivotArea dataOnly="0" labelOnly="1" outline="0" fieldPosition="0">
        <references count="3">
          <reference field="11" count="1" selected="0">
            <x v="301"/>
          </reference>
          <reference field="14" count="1" selected="0">
            <x v="100"/>
          </reference>
          <reference field="18" count="1">
            <x v="0"/>
          </reference>
        </references>
      </pivotArea>
    </format>
    <format dxfId="1301">
      <pivotArea dataOnly="0" labelOnly="1" outline="0" fieldPosition="0">
        <references count="3">
          <reference field="11" count="1" selected="0">
            <x v="301"/>
          </reference>
          <reference field="14" count="1" selected="0">
            <x v="100"/>
          </reference>
          <reference field="18" count="1" defaultSubtotal="1">
            <x v="0"/>
          </reference>
        </references>
      </pivotArea>
    </format>
    <format dxfId="1300">
      <pivotArea dataOnly="0" labelOnly="1" outline="0" fieldPosition="0">
        <references count="3">
          <reference field="11" count="1" selected="0">
            <x v="302"/>
          </reference>
          <reference field="14" count="1" selected="0">
            <x v="62"/>
          </reference>
          <reference field="18" count="2">
            <x v="0"/>
            <x v="2"/>
          </reference>
        </references>
      </pivotArea>
    </format>
    <format dxfId="1299">
      <pivotArea dataOnly="0" labelOnly="1" outline="0" fieldPosition="0">
        <references count="3">
          <reference field="11" count="1" selected="0">
            <x v="302"/>
          </reference>
          <reference field="14" count="1" selected="0">
            <x v="62"/>
          </reference>
          <reference field="18" count="2" defaultSubtotal="1">
            <x v="0"/>
            <x v="2"/>
          </reference>
        </references>
      </pivotArea>
    </format>
    <format dxfId="1298">
      <pivotArea dataOnly="0" labelOnly="1" outline="0" fieldPosition="0">
        <references count="3">
          <reference field="11" count="1" selected="0">
            <x v="303"/>
          </reference>
          <reference field="14" count="1" selected="0">
            <x v="122"/>
          </reference>
          <reference field="18" count="1">
            <x v="2"/>
          </reference>
        </references>
      </pivotArea>
    </format>
    <format dxfId="1297">
      <pivotArea dataOnly="0" labelOnly="1" outline="0" fieldPosition="0">
        <references count="3">
          <reference field="11" count="1" selected="0">
            <x v="303"/>
          </reference>
          <reference field="14" count="1" selected="0">
            <x v="122"/>
          </reference>
          <reference field="18" count="1" defaultSubtotal="1">
            <x v="2"/>
          </reference>
        </references>
      </pivotArea>
    </format>
    <format dxfId="1296">
      <pivotArea dataOnly="0" labelOnly="1" outline="0" fieldPosition="0">
        <references count="3">
          <reference field="11" count="1" selected="0">
            <x v="304"/>
          </reference>
          <reference field="14" count="1" selected="0">
            <x v="464"/>
          </reference>
          <reference field="18" count="2">
            <x v="0"/>
            <x v="2"/>
          </reference>
        </references>
      </pivotArea>
    </format>
    <format dxfId="1295">
      <pivotArea dataOnly="0" labelOnly="1" outline="0" fieldPosition="0">
        <references count="3">
          <reference field="11" count="1" selected="0">
            <x v="304"/>
          </reference>
          <reference field="14" count="1" selected="0">
            <x v="464"/>
          </reference>
          <reference field="18" count="2" defaultSubtotal="1">
            <x v="0"/>
            <x v="2"/>
          </reference>
        </references>
      </pivotArea>
    </format>
    <format dxfId="1294">
      <pivotArea dataOnly="0" labelOnly="1" outline="0" fieldPosition="0">
        <references count="3">
          <reference field="11" count="1" selected="0">
            <x v="305"/>
          </reference>
          <reference field="14" count="1" selected="0">
            <x v="121"/>
          </reference>
          <reference field="18" count="1">
            <x v="2"/>
          </reference>
        </references>
      </pivotArea>
    </format>
    <format dxfId="1293">
      <pivotArea dataOnly="0" labelOnly="1" outline="0" fieldPosition="0">
        <references count="3">
          <reference field="11" count="1" selected="0">
            <x v="305"/>
          </reference>
          <reference field="14" count="1" selected="0">
            <x v="121"/>
          </reference>
          <reference field="18" count="1" defaultSubtotal="1">
            <x v="2"/>
          </reference>
        </references>
      </pivotArea>
    </format>
    <format dxfId="1292">
      <pivotArea dataOnly="0" labelOnly="1" outline="0" fieldPosition="0">
        <references count="3">
          <reference field="11" count="1" selected="0">
            <x v="306"/>
          </reference>
          <reference field="14" count="1" selected="0">
            <x v="178"/>
          </reference>
          <reference field="18" count="1">
            <x v="6"/>
          </reference>
        </references>
      </pivotArea>
    </format>
    <format dxfId="1291">
      <pivotArea dataOnly="0" labelOnly="1" outline="0" fieldPosition="0">
        <references count="3">
          <reference field="11" count="1" selected="0">
            <x v="306"/>
          </reference>
          <reference field="14" count="1" selected="0">
            <x v="178"/>
          </reference>
          <reference field="18" count="1" defaultSubtotal="1">
            <x v="6"/>
          </reference>
        </references>
      </pivotArea>
    </format>
    <format dxfId="1290">
      <pivotArea dataOnly="0" labelOnly="1" outline="0" fieldPosition="0">
        <references count="3">
          <reference field="11" count="1" selected="0">
            <x v="307"/>
          </reference>
          <reference field="14" count="1" selected="0">
            <x v="120"/>
          </reference>
          <reference field="18" count="1">
            <x v="2"/>
          </reference>
        </references>
      </pivotArea>
    </format>
    <format dxfId="1289">
      <pivotArea dataOnly="0" labelOnly="1" outline="0" fieldPosition="0">
        <references count="3">
          <reference field="11" count="1" selected="0">
            <x v="307"/>
          </reference>
          <reference field="14" count="1" selected="0">
            <x v="120"/>
          </reference>
          <reference field="18" count="1" defaultSubtotal="1">
            <x v="2"/>
          </reference>
        </references>
      </pivotArea>
    </format>
    <format dxfId="1288">
      <pivotArea dataOnly="0" labelOnly="1" outline="0" fieldPosition="0">
        <references count="3">
          <reference field="11" count="1" selected="0">
            <x v="308"/>
          </reference>
          <reference field="14" count="1" selected="0">
            <x v="127"/>
          </reference>
          <reference field="18" count="3">
            <x v="0"/>
            <x v="2"/>
            <x v="12"/>
          </reference>
        </references>
      </pivotArea>
    </format>
    <format dxfId="1287">
      <pivotArea dataOnly="0" labelOnly="1" outline="0" fieldPosition="0">
        <references count="3">
          <reference field="11" count="1" selected="0">
            <x v="308"/>
          </reference>
          <reference field="14" count="1" selected="0">
            <x v="127"/>
          </reference>
          <reference field="18" count="3" defaultSubtotal="1">
            <x v="0"/>
            <x v="2"/>
            <x v="12"/>
          </reference>
        </references>
      </pivotArea>
    </format>
    <format dxfId="1286">
      <pivotArea dataOnly="0" labelOnly="1" outline="0" fieldPosition="0">
        <references count="3">
          <reference field="11" count="1" selected="0">
            <x v="309"/>
          </reference>
          <reference field="14" count="1" selected="0">
            <x v="316"/>
          </reference>
          <reference field="18" count="1">
            <x v="0"/>
          </reference>
        </references>
      </pivotArea>
    </format>
    <format dxfId="1285">
      <pivotArea dataOnly="0" labelOnly="1" outline="0" fieldPosition="0">
        <references count="3">
          <reference field="11" count="1" selected="0">
            <x v="309"/>
          </reference>
          <reference field="14" count="1" selected="0">
            <x v="316"/>
          </reference>
          <reference field="18" count="1" defaultSubtotal="1">
            <x v="0"/>
          </reference>
        </references>
      </pivotArea>
    </format>
    <format dxfId="1284">
      <pivotArea dataOnly="0" labelOnly="1" outline="0" fieldPosition="0">
        <references count="3">
          <reference field="11" count="1" selected="0">
            <x v="310"/>
          </reference>
          <reference field="14" count="1" selected="0">
            <x v="376"/>
          </reference>
          <reference field="18" count="1">
            <x v="2"/>
          </reference>
        </references>
      </pivotArea>
    </format>
    <format dxfId="1283">
      <pivotArea dataOnly="0" labelOnly="1" outline="0" fieldPosition="0">
        <references count="3">
          <reference field="11" count="1" selected="0">
            <x v="310"/>
          </reference>
          <reference field="14" count="1" selected="0">
            <x v="376"/>
          </reference>
          <reference field="18" count="1" defaultSubtotal="1">
            <x v="2"/>
          </reference>
        </references>
      </pivotArea>
    </format>
    <format dxfId="1282">
      <pivotArea dataOnly="0" labelOnly="1" outline="0" fieldPosition="0">
        <references count="3">
          <reference field="11" count="1" selected="0">
            <x v="311"/>
          </reference>
          <reference field="14" count="1" selected="0">
            <x v="302"/>
          </reference>
          <reference field="18" count="2">
            <x v="6"/>
            <x v="27"/>
          </reference>
        </references>
      </pivotArea>
    </format>
    <format dxfId="1281">
      <pivotArea dataOnly="0" labelOnly="1" outline="0" fieldPosition="0">
        <references count="3">
          <reference field="11" count="1" selected="0">
            <x v="311"/>
          </reference>
          <reference field="14" count="1" selected="0">
            <x v="302"/>
          </reference>
          <reference field="18" count="2" defaultSubtotal="1">
            <x v="6"/>
            <x v="27"/>
          </reference>
        </references>
      </pivotArea>
    </format>
    <format dxfId="1280">
      <pivotArea dataOnly="0" labelOnly="1" outline="0" fieldPosition="0">
        <references count="3">
          <reference field="11" count="1" selected="0">
            <x v="312"/>
          </reference>
          <reference field="14" count="1" selected="0">
            <x v="130"/>
          </reference>
          <reference field="18" count="2">
            <x v="0"/>
            <x v="14"/>
          </reference>
        </references>
      </pivotArea>
    </format>
    <format dxfId="1279">
      <pivotArea dataOnly="0" labelOnly="1" outline="0" fieldPosition="0">
        <references count="3">
          <reference field="11" count="1" selected="0">
            <x v="312"/>
          </reference>
          <reference field="14" count="1" selected="0">
            <x v="130"/>
          </reference>
          <reference field="18" count="2" defaultSubtotal="1">
            <x v="0"/>
            <x v="14"/>
          </reference>
        </references>
      </pivotArea>
    </format>
    <format dxfId="1278">
      <pivotArea dataOnly="0" labelOnly="1" outline="0" fieldPosition="0">
        <references count="3">
          <reference field="11" count="1" selected="0">
            <x v="313"/>
          </reference>
          <reference field="14" count="1" selected="0">
            <x v="123"/>
          </reference>
          <reference field="18" count="1">
            <x v="7"/>
          </reference>
        </references>
      </pivotArea>
    </format>
    <format dxfId="1277">
      <pivotArea dataOnly="0" labelOnly="1" outline="0" fieldPosition="0">
        <references count="3">
          <reference field="11" count="1" selected="0">
            <x v="313"/>
          </reference>
          <reference field="14" count="1" selected="0">
            <x v="123"/>
          </reference>
          <reference field="18" count="1" defaultSubtotal="1">
            <x v="7"/>
          </reference>
        </references>
      </pivotArea>
    </format>
    <format dxfId="1276">
      <pivotArea dataOnly="0" labelOnly="1" outline="0" fieldPosition="0">
        <references count="3">
          <reference field="11" count="1" selected="0">
            <x v="314"/>
          </reference>
          <reference field="14" count="1" selected="0">
            <x v="8"/>
          </reference>
          <reference field="18" count="1">
            <x v="2"/>
          </reference>
        </references>
      </pivotArea>
    </format>
    <format dxfId="1275">
      <pivotArea dataOnly="0" labelOnly="1" outline="0" fieldPosition="0">
        <references count="3">
          <reference field="11" count="1" selected="0">
            <x v="314"/>
          </reference>
          <reference field="14" count="1" selected="0">
            <x v="8"/>
          </reference>
          <reference field="18" count="1" defaultSubtotal="1">
            <x v="2"/>
          </reference>
        </references>
      </pivotArea>
    </format>
    <format dxfId="1274">
      <pivotArea dataOnly="0" labelOnly="1" outline="0" fieldPosition="0">
        <references count="3">
          <reference field="11" count="1" selected="0">
            <x v="315"/>
          </reference>
          <reference field="14" count="1" selected="0">
            <x v="247"/>
          </reference>
          <reference field="18" count="1">
            <x v="14"/>
          </reference>
        </references>
      </pivotArea>
    </format>
    <format dxfId="1273">
      <pivotArea dataOnly="0" labelOnly="1" outline="0" fieldPosition="0">
        <references count="3">
          <reference field="11" count="1" selected="0">
            <x v="315"/>
          </reference>
          <reference field="14" count="1" selected="0">
            <x v="247"/>
          </reference>
          <reference field="18" count="1" defaultSubtotal="1">
            <x v="14"/>
          </reference>
        </references>
      </pivotArea>
    </format>
    <format dxfId="1272">
      <pivotArea dataOnly="0" labelOnly="1" outline="0" fieldPosition="0">
        <references count="3">
          <reference field="11" count="1" selected="0">
            <x v="316"/>
          </reference>
          <reference field="14" count="1" selected="0">
            <x v="44"/>
          </reference>
          <reference field="18" count="1">
            <x v="0"/>
          </reference>
        </references>
      </pivotArea>
    </format>
    <format dxfId="1271">
      <pivotArea dataOnly="0" labelOnly="1" outline="0" fieldPosition="0">
        <references count="3">
          <reference field="11" count="1" selected="0">
            <x v="316"/>
          </reference>
          <reference field="14" count="1" selected="0">
            <x v="44"/>
          </reference>
          <reference field="18" count="1" defaultSubtotal="1">
            <x v="0"/>
          </reference>
        </references>
      </pivotArea>
    </format>
    <format dxfId="1270">
      <pivotArea dataOnly="0" labelOnly="1" outline="0" fieldPosition="0">
        <references count="3">
          <reference field="11" count="1" selected="0">
            <x v="317"/>
          </reference>
          <reference field="14" count="1" selected="0">
            <x v="70"/>
          </reference>
          <reference field="18" count="2">
            <x v="0"/>
            <x v="2"/>
          </reference>
        </references>
      </pivotArea>
    </format>
    <format dxfId="1269">
      <pivotArea dataOnly="0" labelOnly="1" outline="0" fieldPosition="0">
        <references count="3">
          <reference field="11" count="1" selected="0">
            <x v="317"/>
          </reference>
          <reference field="14" count="1" selected="0">
            <x v="70"/>
          </reference>
          <reference field="18" count="2" defaultSubtotal="1">
            <x v="0"/>
            <x v="2"/>
          </reference>
        </references>
      </pivotArea>
    </format>
    <format dxfId="1268">
      <pivotArea dataOnly="0" labelOnly="1" outline="0" fieldPosition="0">
        <references count="3">
          <reference field="11" count="1" selected="0">
            <x v="318"/>
          </reference>
          <reference field="14" count="1" selected="0">
            <x v="68"/>
          </reference>
          <reference field="18" count="2">
            <x v="0"/>
            <x v="2"/>
          </reference>
        </references>
      </pivotArea>
    </format>
    <format dxfId="1267">
      <pivotArea dataOnly="0" labelOnly="1" outline="0" fieldPosition="0">
        <references count="3">
          <reference field="11" count="1" selected="0">
            <x v="318"/>
          </reference>
          <reference field="14" count="1" selected="0">
            <x v="68"/>
          </reference>
          <reference field="18" count="2" defaultSubtotal="1">
            <x v="0"/>
            <x v="2"/>
          </reference>
        </references>
      </pivotArea>
    </format>
    <format dxfId="1266">
      <pivotArea dataOnly="0" labelOnly="1" outline="0" fieldPosition="0">
        <references count="3">
          <reference field="11" count="1" selected="0">
            <x v="319"/>
          </reference>
          <reference field="14" count="1" selected="0">
            <x v="69"/>
          </reference>
          <reference field="18" count="2">
            <x v="0"/>
            <x v="2"/>
          </reference>
        </references>
      </pivotArea>
    </format>
    <format dxfId="1265">
      <pivotArea dataOnly="0" labelOnly="1" outline="0" fieldPosition="0">
        <references count="3">
          <reference field="11" count="1" selected="0">
            <x v="319"/>
          </reference>
          <reference field="14" count="1" selected="0">
            <x v="69"/>
          </reference>
          <reference field="18" count="2" defaultSubtotal="1">
            <x v="0"/>
            <x v="2"/>
          </reference>
        </references>
      </pivotArea>
    </format>
    <format dxfId="1264">
      <pivotArea dataOnly="0" labelOnly="1" outline="0" fieldPosition="0">
        <references count="3">
          <reference field="11" count="1" selected="0">
            <x v="320"/>
          </reference>
          <reference field="14" count="1" selected="0">
            <x v="35"/>
          </reference>
          <reference field="18" count="1">
            <x v="1"/>
          </reference>
        </references>
      </pivotArea>
    </format>
    <format dxfId="1263">
      <pivotArea dataOnly="0" labelOnly="1" outline="0" fieldPosition="0">
        <references count="3">
          <reference field="11" count="1" selected="0">
            <x v="320"/>
          </reference>
          <reference field="14" count="1" selected="0">
            <x v="35"/>
          </reference>
          <reference field="18" count="1" defaultSubtotal="1">
            <x v="1"/>
          </reference>
        </references>
      </pivotArea>
    </format>
    <format dxfId="1262">
      <pivotArea dataOnly="0" labelOnly="1" outline="0" fieldPosition="0">
        <references count="3">
          <reference field="11" count="1" selected="0">
            <x v="321"/>
          </reference>
          <reference field="14" count="1" selected="0">
            <x v="456"/>
          </reference>
          <reference field="18" count="1">
            <x v="6"/>
          </reference>
        </references>
      </pivotArea>
    </format>
    <format dxfId="1261">
      <pivotArea dataOnly="0" labelOnly="1" outline="0" fieldPosition="0">
        <references count="3">
          <reference field="11" count="1" selected="0">
            <x v="321"/>
          </reference>
          <reference field="14" count="1" selected="0">
            <x v="456"/>
          </reference>
          <reference field="18" count="1" defaultSubtotal="1">
            <x v="6"/>
          </reference>
        </references>
      </pivotArea>
    </format>
    <format dxfId="1260">
      <pivotArea dataOnly="0" labelOnly="1" outline="0" fieldPosition="0">
        <references count="3">
          <reference field="11" count="1" selected="0">
            <x v="322"/>
          </reference>
          <reference field="14" count="1" selected="0">
            <x v="243"/>
          </reference>
          <reference field="18" count="1">
            <x v="6"/>
          </reference>
        </references>
      </pivotArea>
    </format>
    <format dxfId="1259">
      <pivotArea dataOnly="0" labelOnly="1" outline="0" fieldPosition="0">
        <references count="3">
          <reference field="11" count="1" selected="0">
            <x v="322"/>
          </reference>
          <reference field="14" count="1" selected="0">
            <x v="243"/>
          </reference>
          <reference field="18" count="1" defaultSubtotal="1">
            <x v="6"/>
          </reference>
        </references>
      </pivotArea>
    </format>
    <format dxfId="1258">
      <pivotArea dataOnly="0" labelOnly="1" outline="0" fieldPosition="0">
        <references count="3">
          <reference field="11" count="1" selected="0">
            <x v="323"/>
          </reference>
          <reference field="14" count="1" selected="0">
            <x v="428"/>
          </reference>
          <reference field="18" count="1">
            <x v="19"/>
          </reference>
        </references>
      </pivotArea>
    </format>
    <format dxfId="1257">
      <pivotArea dataOnly="0" labelOnly="1" outline="0" fieldPosition="0">
        <references count="3">
          <reference field="11" count="1" selected="0">
            <x v="323"/>
          </reference>
          <reference field="14" count="1" selected="0">
            <x v="428"/>
          </reference>
          <reference field="18" count="1" defaultSubtotal="1">
            <x v="19"/>
          </reference>
        </references>
      </pivotArea>
    </format>
    <format dxfId="1256">
      <pivotArea dataOnly="0" labelOnly="1" outline="0" fieldPosition="0">
        <references count="3">
          <reference field="11" count="1" selected="0">
            <x v="324"/>
          </reference>
          <reference field="14" count="1" selected="0">
            <x v="9"/>
          </reference>
          <reference field="18" count="2">
            <x v="0"/>
            <x v="2"/>
          </reference>
        </references>
      </pivotArea>
    </format>
    <format dxfId="1255">
      <pivotArea dataOnly="0" labelOnly="1" outline="0" fieldPosition="0">
        <references count="3">
          <reference field="11" count="1" selected="0">
            <x v="324"/>
          </reference>
          <reference field="14" count="1" selected="0">
            <x v="9"/>
          </reference>
          <reference field="18" count="2" defaultSubtotal="1">
            <x v="0"/>
            <x v="2"/>
          </reference>
        </references>
      </pivotArea>
    </format>
    <format dxfId="1254">
      <pivotArea dataOnly="0" labelOnly="1" outline="0" fieldPosition="0">
        <references count="3">
          <reference field="11" count="1" selected="0">
            <x v="325"/>
          </reference>
          <reference field="14" count="1" selected="0">
            <x v="225"/>
          </reference>
          <reference field="18" count="1">
            <x v="0"/>
          </reference>
        </references>
      </pivotArea>
    </format>
    <format dxfId="1253">
      <pivotArea dataOnly="0" labelOnly="1" outline="0" fieldPosition="0">
        <references count="3">
          <reference field="11" count="1" selected="0">
            <x v="325"/>
          </reference>
          <reference field="14" count="1" selected="0">
            <x v="225"/>
          </reference>
          <reference field="18" count="1" defaultSubtotal="1">
            <x v="0"/>
          </reference>
        </references>
      </pivotArea>
    </format>
    <format dxfId="1252">
      <pivotArea dataOnly="0" labelOnly="1" outline="0" fieldPosition="0">
        <references count="3">
          <reference field="11" count="1" selected="0">
            <x v="326"/>
          </reference>
          <reference field="14" count="1" selected="0">
            <x v="370"/>
          </reference>
          <reference field="18" count="1">
            <x v="2"/>
          </reference>
        </references>
      </pivotArea>
    </format>
    <format dxfId="1251">
      <pivotArea dataOnly="0" labelOnly="1" outline="0" fieldPosition="0">
        <references count="3">
          <reference field="11" count="1" selected="0">
            <x v="326"/>
          </reference>
          <reference field="14" count="1" selected="0">
            <x v="370"/>
          </reference>
          <reference field="18" count="1" defaultSubtotal="1">
            <x v="2"/>
          </reference>
        </references>
      </pivotArea>
    </format>
    <format dxfId="1250">
      <pivotArea dataOnly="0" labelOnly="1" outline="0" fieldPosition="0">
        <references count="3">
          <reference field="11" count="1" selected="0">
            <x v="327"/>
          </reference>
          <reference field="14" count="1" selected="0">
            <x v="60"/>
          </reference>
          <reference field="18" count="2">
            <x v="2"/>
            <x v="14"/>
          </reference>
        </references>
      </pivotArea>
    </format>
    <format dxfId="1249">
      <pivotArea dataOnly="0" labelOnly="1" outline="0" fieldPosition="0">
        <references count="3">
          <reference field="11" count="1" selected="0">
            <x v="327"/>
          </reference>
          <reference field="14" count="1" selected="0">
            <x v="60"/>
          </reference>
          <reference field="18" count="2" defaultSubtotal="1">
            <x v="2"/>
            <x v="14"/>
          </reference>
        </references>
      </pivotArea>
    </format>
    <format dxfId="1248">
      <pivotArea dataOnly="0" labelOnly="1" outline="0" fieldPosition="0">
        <references count="3">
          <reference field="11" count="1" selected="0">
            <x v="328"/>
          </reference>
          <reference field="14" count="1" selected="0">
            <x v="159"/>
          </reference>
          <reference field="18" count="1">
            <x v="2"/>
          </reference>
        </references>
      </pivotArea>
    </format>
    <format dxfId="1247">
      <pivotArea dataOnly="0" labelOnly="1" outline="0" fieldPosition="0">
        <references count="3">
          <reference field="11" count="1" selected="0">
            <x v="328"/>
          </reference>
          <reference field="14" count="1" selected="0">
            <x v="159"/>
          </reference>
          <reference field="18" count="1" defaultSubtotal="1">
            <x v="2"/>
          </reference>
        </references>
      </pivotArea>
    </format>
    <format dxfId="1246">
      <pivotArea dataOnly="0" labelOnly="1" outline="0" fieldPosition="0">
        <references count="3">
          <reference field="11" count="1" selected="0">
            <x v="329"/>
          </reference>
          <reference field="14" count="1" selected="0">
            <x v="134"/>
          </reference>
          <reference field="18" count="1">
            <x v="2"/>
          </reference>
        </references>
      </pivotArea>
    </format>
    <format dxfId="1245">
      <pivotArea dataOnly="0" labelOnly="1" outline="0" fieldPosition="0">
        <references count="3">
          <reference field="11" count="1" selected="0">
            <x v="329"/>
          </reference>
          <reference field="14" count="1" selected="0">
            <x v="134"/>
          </reference>
          <reference field="18" count="1" defaultSubtotal="1">
            <x v="2"/>
          </reference>
        </references>
      </pivotArea>
    </format>
    <format dxfId="1244">
      <pivotArea dataOnly="0" labelOnly="1" outline="0" fieldPosition="0">
        <references count="3">
          <reference field="11" count="1" selected="0">
            <x v="330"/>
          </reference>
          <reference field="14" count="1" selected="0">
            <x v="170"/>
          </reference>
          <reference field="18" count="1">
            <x v="2"/>
          </reference>
        </references>
      </pivotArea>
    </format>
    <format dxfId="1243">
      <pivotArea dataOnly="0" labelOnly="1" outline="0" fieldPosition="0">
        <references count="3">
          <reference field="11" count="1" selected="0">
            <x v="330"/>
          </reference>
          <reference field="14" count="1" selected="0">
            <x v="170"/>
          </reference>
          <reference field="18" count="1" defaultSubtotal="1">
            <x v="2"/>
          </reference>
        </references>
      </pivotArea>
    </format>
    <format dxfId="1242">
      <pivotArea dataOnly="0" labelOnly="1" outline="0" fieldPosition="0">
        <references count="3">
          <reference field="11" count="1" selected="0">
            <x v="331"/>
          </reference>
          <reference field="14" count="1" selected="0">
            <x v="132"/>
          </reference>
          <reference field="18" count="1">
            <x v="6"/>
          </reference>
        </references>
      </pivotArea>
    </format>
    <format dxfId="1241">
      <pivotArea dataOnly="0" labelOnly="1" outline="0" fieldPosition="0">
        <references count="3">
          <reference field="11" count="1" selected="0">
            <x v="331"/>
          </reference>
          <reference field="14" count="1" selected="0">
            <x v="132"/>
          </reference>
          <reference field="18" count="1" defaultSubtotal="1">
            <x v="6"/>
          </reference>
        </references>
      </pivotArea>
    </format>
    <format dxfId="1240">
      <pivotArea dataOnly="0" labelOnly="1" outline="0" fieldPosition="0">
        <references count="3">
          <reference field="11" count="1" selected="0">
            <x v="332"/>
          </reference>
          <reference field="14" count="1" selected="0">
            <x v="74"/>
          </reference>
          <reference field="18" count="2">
            <x v="16"/>
            <x v="21"/>
          </reference>
        </references>
      </pivotArea>
    </format>
    <format dxfId="1239">
      <pivotArea dataOnly="0" labelOnly="1" outline="0" fieldPosition="0">
        <references count="3">
          <reference field="11" count="1" selected="0">
            <x v="332"/>
          </reference>
          <reference field="14" count="1" selected="0">
            <x v="74"/>
          </reference>
          <reference field="18" count="2" defaultSubtotal="1">
            <x v="16"/>
            <x v="21"/>
          </reference>
        </references>
      </pivotArea>
    </format>
    <format dxfId="1238">
      <pivotArea dataOnly="0" labelOnly="1" outline="0" fieldPosition="0">
        <references count="3">
          <reference field="11" count="1" selected="0">
            <x v="333"/>
          </reference>
          <reference field="14" count="1" selected="0">
            <x v="202"/>
          </reference>
          <reference field="18" count="1">
            <x v="3"/>
          </reference>
        </references>
      </pivotArea>
    </format>
    <format dxfId="1237">
      <pivotArea dataOnly="0" labelOnly="1" outline="0" fieldPosition="0">
        <references count="3">
          <reference field="11" count="1" selected="0">
            <x v="333"/>
          </reference>
          <reference field="14" count="1" selected="0">
            <x v="202"/>
          </reference>
          <reference field="18" count="1" defaultSubtotal="1">
            <x v="3"/>
          </reference>
        </references>
      </pivotArea>
    </format>
    <format dxfId="1236">
      <pivotArea dataOnly="0" labelOnly="1" outline="0" fieldPosition="0">
        <references count="3">
          <reference field="11" count="1" selected="0">
            <x v="334"/>
          </reference>
          <reference field="14" count="1" selected="0">
            <x v="384"/>
          </reference>
          <reference field="18" count="2">
            <x v="0"/>
            <x v="2"/>
          </reference>
        </references>
      </pivotArea>
    </format>
    <format dxfId="1235">
      <pivotArea dataOnly="0" labelOnly="1" outline="0" fieldPosition="0">
        <references count="3">
          <reference field="11" count="1" selected="0">
            <x v="334"/>
          </reference>
          <reference field="14" count="1" selected="0">
            <x v="384"/>
          </reference>
          <reference field="18" count="2" defaultSubtotal="1">
            <x v="0"/>
            <x v="2"/>
          </reference>
        </references>
      </pivotArea>
    </format>
    <format dxfId="1234">
      <pivotArea dataOnly="0" labelOnly="1" outline="0" fieldPosition="0">
        <references count="3">
          <reference field="11" count="1" selected="0">
            <x v="335"/>
          </reference>
          <reference field="14" count="1" selected="0">
            <x v="309"/>
          </reference>
          <reference field="18" count="1">
            <x v="19"/>
          </reference>
        </references>
      </pivotArea>
    </format>
    <format dxfId="1233">
      <pivotArea dataOnly="0" labelOnly="1" outline="0" fieldPosition="0">
        <references count="3">
          <reference field="11" count="1" selected="0">
            <x v="335"/>
          </reference>
          <reference field="14" count="1" selected="0">
            <x v="309"/>
          </reference>
          <reference field="18" count="1" defaultSubtotal="1">
            <x v="19"/>
          </reference>
        </references>
      </pivotArea>
    </format>
    <format dxfId="1232">
      <pivotArea dataOnly="0" labelOnly="1" outline="0" fieldPosition="0">
        <references count="3">
          <reference field="11" count="1" selected="0">
            <x v="336"/>
          </reference>
          <reference field="14" count="1" selected="0">
            <x v="382"/>
          </reference>
          <reference field="18" count="1">
            <x v="3"/>
          </reference>
        </references>
      </pivotArea>
    </format>
    <format dxfId="1231">
      <pivotArea dataOnly="0" labelOnly="1" outline="0" fieldPosition="0">
        <references count="3">
          <reference field="11" count="1" selected="0">
            <x v="336"/>
          </reference>
          <reference field="14" count="1" selected="0">
            <x v="382"/>
          </reference>
          <reference field="18" count="1" defaultSubtotal="1">
            <x v="3"/>
          </reference>
        </references>
      </pivotArea>
    </format>
    <format dxfId="1230">
      <pivotArea dataOnly="0" labelOnly="1" outline="0" fieldPosition="0">
        <references count="3">
          <reference field="11" count="1" selected="0">
            <x v="337"/>
          </reference>
          <reference field="14" count="1" selected="0">
            <x v="71"/>
          </reference>
          <reference field="18" count="1">
            <x v="0"/>
          </reference>
        </references>
      </pivotArea>
    </format>
    <format dxfId="1229">
      <pivotArea dataOnly="0" labelOnly="1" outline="0" fieldPosition="0">
        <references count="3">
          <reference field="11" count="1" selected="0">
            <x v="337"/>
          </reference>
          <reference field="14" count="1" selected="0">
            <x v="71"/>
          </reference>
          <reference field="18" count="1" defaultSubtotal="1">
            <x v="0"/>
          </reference>
        </references>
      </pivotArea>
    </format>
    <format dxfId="1228">
      <pivotArea dataOnly="0" labelOnly="1" outline="0" fieldPosition="0">
        <references count="3">
          <reference field="11" count="1" selected="0">
            <x v="338"/>
          </reference>
          <reference field="14" count="1" selected="0">
            <x v="314"/>
          </reference>
          <reference field="18" count="1">
            <x v="19"/>
          </reference>
        </references>
      </pivotArea>
    </format>
    <format dxfId="1227">
      <pivotArea dataOnly="0" labelOnly="1" outline="0" fieldPosition="0">
        <references count="3">
          <reference field="11" count="1" selected="0">
            <x v="338"/>
          </reference>
          <reference field="14" count="1" selected="0">
            <x v="314"/>
          </reference>
          <reference field="18" count="1" defaultSubtotal="1">
            <x v="19"/>
          </reference>
        </references>
      </pivotArea>
    </format>
    <format dxfId="1226">
      <pivotArea dataOnly="0" labelOnly="1" outline="0" fieldPosition="0">
        <references count="3">
          <reference field="11" count="1" selected="0">
            <x v="339"/>
          </reference>
          <reference field="14" count="1" selected="0">
            <x v="160"/>
          </reference>
          <reference field="18" count="1">
            <x v="2"/>
          </reference>
        </references>
      </pivotArea>
    </format>
    <format dxfId="1225">
      <pivotArea dataOnly="0" labelOnly="1" outline="0" fieldPosition="0">
        <references count="3">
          <reference field="11" count="1" selected="0">
            <x v="339"/>
          </reference>
          <reference field="14" count="1" selected="0">
            <x v="160"/>
          </reference>
          <reference field="18" count="1" defaultSubtotal="1">
            <x v="2"/>
          </reference>
        </references>
      </pivotArea>
    </format>
    <format dxfId="1224">
      <pivotArea dataOnly="0" labelOnly="1" outline="0" fieldPosition="0">
        <references count="3">
          <reference field="11" count="1" selected="0">
            <x v="340"/>
          </reference>
          <reference field="14" count="1" selected="0">
            <x v="155"/>
          </reference>
          <reference field="18" count="1">
            <x v="2"/>
          </reference>
        </references>
      </pivotArea>
    </format>
    <format dxfId="1223">
      <pivotArea dataOnly="0" labelOnly="1" outline="0" fieldPosition="0">
        <references count="3">
          <reference field="11" count="1" selected="0">
            <x v="340"/>
          </reference>
          <reference field="14" count="1" selected="0">
            <x v="155"/>
          </reference>
          <reference field="18" count="1" defaultSubtotal="1">
            <x v="2"/>
          </reference>
        </references>
      </pivotArea>
    </format>
    <format dxfId="1222">
      <pivotArea dataOnly="0" labelOnly="1" outline="0" fieldPosition="0">
        <references count="3">
          <reference field="11" count="1" selected="0">
            <x v="341"/>
          </reference>
          <reference field="14" count="1" selected="0">
            <x v="163"/>
          </reference>
          <reference field="18" count="1">
            <x v="2"/>
          </reference>
        </references>
      </pivotArea>
    </format>
    <format dxfId="1221">
      <pivotArea dataOnly="0" labelOnly="1" outline="0" fieldPosition="0">
        <references count="3">
          <reference field="11" count="1" selected="0">
            <x v="341"/>
          </reference>
          <reference field="14" count="1" selected="0">
            <x v="163"/>
          </reference>
          <reference field="18" count="1" defaultSubtotal="1">
            <x v="2"/>
          </reference>
        </references>
      </pivotArea>
    </format>
    <format dxfId="1220">
      <pivotArea dataOnly="0" labelOnly="1" outline="0" fieldPosition="0">
        <references count="3">
          <reference field="11" count="1" selected="0">
            <x v="342"/>
          </reference>
          <reference field="14" count="1" selected="0">
            <x v="156"/>
          </reference>
          <reference field="18" count="1">
            <x v="2"/>
          </reference>
        </references>
      </pivotArea>
    </format>
    <format dxfId="1219">
      <pivotArea dataOnly="0" labelOnly="1" outline="0" fieldPosition="0">
        <references count="3">
          <reference field="11" count="1" selected="0">
            <x v="342"/>
          </reference>
          <reference field="14" count="1" selected="0">
            <x v="156"/>
          </reference>
          <reference field="18" count="1" defaultSubtotal="1">
            <x v="2"/>
          </reference>
        </references>
      </pivotArea>
    </format>
    <format dxfId="1218">
      <pivotArea dataOnly="0" labelOnly="1" outline="0" fieldPosition="0">
        <references count="3">
          <reference field="11" count="1" selected="0">
            <x v="343"/>
          </reference>
          <reference field="14" count="1" selected="0">
            <x v="293"/>
          </reference>
          <reference field="18" count="2">
            <x v="2"/>
            <x v="3"/>
          </reference>
        </references>
      </pivotArea>
    </format>
    <format dxfId="1217">
      <pivotArea dataOnly="0" labelOnly="1" outline="0" fieldPosition="0">
        <references count="3">
          <reference field="11" count="1" selected="0">
            <x v="343"/>
          </reference>
          <reference field="14" count="1" selected="0">
            <x v="293"/>
          </reference>
          <reference field="18" count="2" defaultSubtotal="1">
            <x v="2"/>
            <x v="3"/>
          </reference>
        </references>
      </pivotArea>
    </format>
    <format dxfId="1216">
      <pivotArea dataOnly="0" labelOnly="1" outline="0" fieldPosition="0">
        <references count="3">
          <reference field="11" count="1" selected="0">
            <x v="344"/>
          </reference>
          <reference field="14" count="1" selected="0">
            <x v="253"/>
          </reference>
          <reference field="18" count="1">
            <x v="0"/>
          </reference>
        </references>
      </pivotArea>
    </format>
    <format dxfId="1215">
      <pivotArea dataOnly="0" labelOnly="1" outline="0" fieldPosition="0">
        <references count="3">
          <reference field="11" count="1" selected="0">
            <x v="344"/>
          </reference>
          <reference field="14" count="1" selected="0">
            <x v="253"/>
          </reference>
          <reference field="18" count="1" defaultSubtotal="1">
            <x v="0"/>
          </reference>
        </references>
      </pivotArea>
    </format>
    <format dxfId="1214">
      <pivotArea dataOnly="0" labelOnly="1" outline="0" fieldPosition="0">
        <references count="3">
          <reference field="11" count="1" selected="0">
            <x v="345"/>
          </reference>
          <reference field="14" count="1" selected="0">
            <x v="209"/>
          </reference>
          <reference field="18" count="3">
            <x v="0"/>
            <x v="1"/>
            <x v="11"/>
          </reference>
        </references>
      </pivotArea>
    </format>
    <format dxfId="1213">
      <pivotArea dataOnly="0" labelOnly="1" outline="0" fieldPosition="0">
        <references count="3">
          <reference field="11" count="1" selected="0">
            <x v="345"/>
          </reference>
          <reference field="14" count="1" selected="0">
            <x v="209"/>
          </reference>
          <reference field="18" count="3" defaultSubtotal="1">
            <x v="0"/>
            <x v="1"/>
            <x v="11"/>
          </reference>
        </references>
      </pivotArea>
    </format>
    <format dxfId="1212">
      <pivotArea dataOnly="0" labelOnly="1" outline="0" fieldPosition="0">
        <references count="3">
          <reference field="11" count="1" selected="0">
            <x v="346"/>
          </reference>
          <reference field="14" count="1" selected="0">
            <x v="315"/>
          </reference>
          <reference field="18" count="1">
            <x v="3"/>
          </reference>
        </references>
      </pivotArea>
    </format>
    <format dxfId="1211">
      <pivotArea dataOnly="0" labelOnly="1" outline="0" fieldPosition="0">
        <references count="3">
          <reference field="11" count="1" selected="0">
            <x v="346"/>
          </reference>
          <reference field="14" count="1" selected="0">
            <x v="315"/>
          </reference>
          <reference field="18" count="1" defaultSubtotal="1">
            <x v="3"/>
          </reference>
        </references>
      </pivotArea>
    </format>
    <format dxfId="1210">
      <pivotArea dataOnly="0" labelOnly="1" outline="0" fieldPosition="0">
        <references count="3">
          <reference field="11" count="1" selected="0">
            <x v="347"/>
          </reference>
          <reference field="14" count="1" selected="0">
            <x v="257"/>
          </reference>
          <reference field="18" count="1">
            <x v="0"/>
          </reference>
        </references>
      </pivotArea>
    </format>
    <format dxfId="1209">
      <pivotArea dataOnly="0" labelOnly="1" outline="0" fieldPosition="0">
        <references count="3">
          <reference field="11" count="1" selected="0">
            <x v="347"/>
          </reference>
          <reference field="14" count="1" selected="0">
            <x v="257"/>
          </reference>
          <reference field="18" count="1" defaultSubtotal="1">
            <x v="0"/>
          </reference>
        </references>
      </pivotArea>
    </format>
    <format dxfId="1208">
      <pivotArea dataOnly="0" labelOnly="1" outline="0" fieldPosition="0">
        <references count="3">
          <reference field="11" count="1" selected="0">
            <x v="348"/>
          </reference>
          <reference field="14" count="1" selected="0">
            <x v="448"/>
          </reference>
          <reference field="18" count="1">
            <x v="19"/>
          </reference>
        </references>
      </pivotArea>
    </format>
    <format dxfId="1207">
      <pivotArea dataOnly="0" labelOnly="1" outline="0" fieldPosition="0">
        <references count="3">
          <reference field="11" count="1" selected="0">
            <x v="348"/>
          </reference>
          <reference field="14" count="1" selected="0">
            <x v="448"/>
          </reference>
          <reference field="18" count="1" defaultSubtotal="1">
            <x v="19"/>
          </reference>
        </references>
      </pivotArea>
    </format>
    <format dxfId="1206">
      <pivotArea dataOnly="0" labelOnly="1" outline="0" fieldPosition="0">
        <references count="3">
          <reference field="11" count="1" selected="0">
            <x v="349"/>
          </reference>
          <reference field="14" count="1" selected="0">
            <x v="331"/>
          </reference>
          <reference field="18" count="1">
            <x v="6"/>
          </reference>
        </references>
      </pivotArea>
    </format>
    <format dxfId="1205">
      <pivotArea dataOnly="0" labelOnly="1" outline="0" fieldPosition="0">
        <references count="3">
          <reference field="11" count="1" selected="0">
            <x v="349"/>
          </reference>
          <reference field="14" count="1" selected="0">
            <x v="331"/>
          </reference>
          <reference field="18" count="1" defaultSubtotal="1">
            <x v="6"/>
          </reference>
        </references>
      </pivotArea>
    </format>
    <format dxfId="1204">
      <pivotArea dataOnly="0" labelOnly="1" outline="0" fieldPosition="0">
        <references count="3">
          <reference field="11" count="1" selected="0">
            <x v="350"/>
          </reference>
          <reference field="14" count="1" selected="0">
            <x v="221"/>
          </reference>
          <reference field="18" count="1">
            <x v="6"/>
          </reference>
        </references>
      </pivotArea>
    </format>
    <format dxfId="1203">
      <pivotArea dataOnly="0" labelOnly="1" outline="0" fieldPosition="0">
        <references count="3">
          <reference field="11" count="1" selected="0">
            <x v="350"/>
          </reference>
          <reference field="14" count="1" selected="0">
            <x v="221"/>
          </reference>
          <reference field="18" count="1" defaultSubtotal="1">
            <x v="6"/>
          </reference>
        </references>
      </pivotArea>
    </format>
    <format dxfId="1202">
      <pivotArea dataOnly="0" labelOnly="1" outline="0" fieldPosition="0">
        <references count="3">
          <reference field="11" count="1" selected="0">
            <x v="351"/>
          </reference>
          <reference field="14" count="1" selected="0">
            <x v="199"/>
          </reference>
          <reference field="18" count="1">
            <x v="27"/>
          </reference>
        </references>
      </pivotArea>
    </format>
    <format dxfId="1201">
      <pivotArea dataOnly="0" labelOnly="1" outline="0" fieldPosition="0">
        <references count="3">
          <reference field="11" count="1" selected="0">
            <x v="351"/>
          </reference>
          <reference field="14" count="1" selected="0">
            <x v="199"/>
          </reference>
          <reference field="18" count="1" defaultSubtotal="1">
            <x v="27"/>
          </reference>
        </references>
      </pivotArea>
    </format>
    <format dxfId="1200">
      <pivotArea dataOnly="0" labelOnly="1" outline="0" fieldPosition="0">
        <references count="3">
          <reference field="11" count="1" selected="0">
            <x v="352"/>
          </reference>
          <reference field="14" count="1" selected="0">
            <x v="78"/>
          </reference>
          <reference field="18" count="1">
            <x v="1"/>
          </reference>
        </references>
      </pivotArea>
    </format>
    <format dxfId="1199">
      <pivotArea dataOnly="0" labelOnly="1" outline="0" fieldPosition="0">
        <references count="3">
          <reference field="11" count="1" selected="0">
            <x v="352"/>
          </reference>
          <reference field="14" count="1" selected="0">
            <x v="78"/>
          </reference>
          <reference field="18" count="1" defaultSubtotal="1">
            <x v="1"/>
          </reference>
        </references>
      </pivotArea>
    </format>
    <format dxfId="1198">
      <pivotArea dataOnly="0" labelOnly="1" outline="0" fieldPosition="0">
        <references count="3">
          <reference field="11" count="1" selected="0">
            <x v="353"/>
          </reference>
          <reference field="14" count="1" selected="0">
            <x v="18"/>
          </reference>
          <reference field="18" count="1">
            <x v="6"/>
          </reference>
        </references>
      </pivotArea>
    </format>
    <format dxfId="1197">
      <pivotArea dataOnly="0" labelOnly="1" outline="0" fieldPosition="0">
        <references count="3">
          <reference field="11" count="1" selected="0">
            <x v="353"/>
          </reference>
          <reference field="14" count="1" selected="0">
            <x v="18"/>
          </reference>
          <reference field="18" count="1" defaultSubtotal="1">
            <x v="6"/>
          </reference>
        </references>
      </pivotArea>
    </format>
    <format dxfId="1196">
      <pivotArea dataOnly="0" labelOnly="1" outline="0" fieldPosition="0">
        <references count="3">
          <reference field="11" count="1" selected="0">
            <x v="354"/>
          </reference>
          <reference field="14" count="1" selected="0">
            <x v="135"/>
          </reference>
          <reference field="18" count="1">
            <x v="6"/>
          </reference>
        </references>
      </pivotArea>
    </format>
    <format dxfId="1195">
      <pivotArea dataOnly="0" labelOnly="1" outline="0" fieldPosition="0">
        <references count="3">
          <reference field="11" count="1" selected="0">
            <x v="354"/>
          </reference>
          <reference field="14" count="1" selected="0">
            <x v="135"/>
          </reference>
          <reference field="18" count="1" defaultSubtotal="1">
            <x v="6"/>
          </reference>
        </references>
      </pivotArea>
    </format>
    <format dxfId="1194">
      <pivotArea dataOnly="0" labelOnly="1" outline="0" fieldPosition="0">
        <references count="3">
          <reference field="11" count="1" selected="0">
            <x v="355"/>
          </reference>
          <reference field="14" count="1" selected="0">
            <x v="296"/>
          </reference>
          <reference field="18" count="1">
            <x v="6"/>
          </reference>
        </references>
      </pivotArea>
    </format>
    <format dxfId="1193">
      <pivotArea dataOnly="0" labelOnly="1" outline="0" fieldPosition="0">
        <references count="3">
          <reference field="11" count="1" selected="0">
            <x v="355"/>
          </reference>
          <reference field="14" count="1" selected="0">
            <x v="296"/>
          </reference>
          <reference field="18" count="1" defaultSubtotal="1">
            <x v="6"/>
          </reference>
        </references>
      </pivotArea>
    </format>
    <format dxfId="1192">
      <pivotArea dataOnly="0" labelOnly="1" outline="0" fieldPosition="0">
        <references count="3">
          <reference field="11" count="1" selected="0">
            <x v="356"/>
          </reference>
          <reference field="14" count="1" selected="0">
            <x v="299"/>
          </reference>
          <reference field="18" count="1">
            <x v="6"/>
          </reference>
        </references>
      </pivotArea>
    </format>
    <format dxfId="1191">
      <pivotArea dataOnly="0" labelOnly="1" outline="0" fieldPosition="0">
        <references count="3">
          <reference field="11" count="1" selected="0">
            <x v="356"/>
          </reference>
          <reference field="14" count="1" selected="0">
            <x v="299"/>
          </reference>
          <reference field="18" count="1" defaultSubtotal="1">
            <x v="6"/>
          </reference>
        </references>
      </pivotArea>
    </format>
    <format dxfId="1190">
      <pivotArea dataOnly="0" labelOnly="1" outline="0" fieldPosition="0">
        <references count="3">
          <reference field="11" count="1" selected="0">
            <x v="357"/>
          </reference>
          <reference field="14" count="1" selected="0">
            <x v="298"/>
          </reference>
          <reference field="18" count="1">
            <x v="6"/>
          </reference>
        </references>
      </pivotArea>
    </format>
    <format dxfId="1189">
      <pivotArea dataOnly="0" labelOnly="1" outline="0" fieldPosition="0">
        <references count="3">
          <reference field="11" count="1" selected="0">
            <x v="357"/>
          </reference>
          <reference field="14" count="1" selected="0">
            <x v="298"/>
          </reference>
          <reference field="18" count="1" defaultSubtotal="1">
            <x v="6"/>
          </reference>
        </references>
      </pivotArea>
    </format>
    <format dxfId="1188">
      <pivotArea dataOnly="0" labelOnly="1" outline="0" fieldPosition="0">
        <references count="3">
          <reference field="11" count="1" selected="0">
            <x v="358"/>
          </reference>
          <reference field="14" count="1" selected="0">
            <x v="292"/>
          </reference>
          <reference field="18" count="1">
            <x v="3"/>
          </reference>
        </references>
      </pivotArea>
    </format>
    <format dxfId="1187">
      <pivotArea dataOnly="0" labelOnly="1" outline="0" fieldPosition="0">
        <references count="3">
          <reference field="11" count="1" selected="0">
            <x v="358"/>
          </reference>
          <reference field="14" count="1" selected="0">
            <x v="292"/>
          </reference>
          <reference field="18" count="1" defaultSubtotal="1">
            <x v="3"/>
          </reference>
        </references>
      </pivotArea>
    </format>
    <format dxfId="1186">
      <pivotArea dataOnly="0" labelOnly="1" outline="0" fieldPosition="0">
        <references count="3">
          <reference field="11" count="1" selected="0">
            <x v="359"/>
          </reference>
          <reference field="14" count="1" selected="0">
            <x v="39"/>
          </reference>
          <reference field="18" count="1">
            <x v="1"/>
          </reference>
        </references>
      </pivotArea>
    </format>
    <format dxfId="1185">
      <pivotArea dataOnly="0" labelOnly="1" outline="0" fieldPosition="0">
        <references count="3">
          <reference field="11" count="1" selected="0">
            <x v="359"/>
          </reference>
          <reference field="14" count="1" selected="0">
            <x v="39"/>
          </reference>
          <reference field="18" count="1" defaultSubtotal="1">
            <x v="1"/>
          </reference>
        </references>
      </pivotArea>
    </format>
    <format dxfId="1184">
      <pivotArea dataOnly="0" labelOnly="1" outline="0" fieldPosition="0">
        <references count="3">
          <reference field="11" count="1" selected="0">
            <x v="360"/>
          </reference>
          <reference field="14" count="1" selected="0">
            <x v="24"/>
          </reference>
          <reference field="18" count="1">
            <x v="5"/>
          </reference>
        </references>
      </pivotArea>
    </format>
    <format dxfId="1183">
      <pivotArea dataOnly="0" labelOnly="1" outline="0" fieldPosition="0">
        <references count="3">
          <reference field="11" count="1" selected="0">
            <x v="360"/>
          </reference>
          <reference field="14" count="1" selected="0">
            <x v="24"/>
          </reference>
          <reference field="18" count="1" defaultSubtotal="1">
            <x v="5"/>
          </reference>
        </references>
      </pivotArea>
    </format>
    <format dxfId="1182">
      <pivotArea dataOnly="0" labelOnly="1" outline="0" fieldPosition="0">
        <references count="3">
          <reference field="11" count="1" selected="0">
            <x v="361"/>
          </reference>
          <reference field="14" count="1" selected="0">
            <x v="352"/>
          </reference>
          <reference field="18" count="1">
            <x v="5"/>
          </reference>
        </references>
      </pivotArea>
    </format>
    <format dxfId="1181">
      <pivotArea dataOnly="0" labelOnly="1" outline="0" fieldPosition="0">
        <references count="3">
          <reference field="11" count="1" selected="0">
            <x v="361"/>
          </reference>
          <reference field="14" count="1" selected="0">
            <x v="352"/>
          </reference>
          <reference field="18" count="1" defaultSubtotal="1">
            <x v="5"/>
          </reference>
        </references>
      </pivotArea>
    </format>
    <format dxfId="1180">
      <pivotArea dataOnly="0" labelOnly="1" outline="0" fieldPosition="0">
        <references count="3">
          <reference field="11" count="1" selected="0">
            <x v="362"/>
          </reference>
          <reference field="14" count="1" selected="0">
            <x v="21"/>
          </reference>
          <reference field="18" count="1">
            <x v="6"/>
          </reference>
        </references>
      </pivotArea>
    </format>
    <format dxfId="1179">
      <pivotArea dataOnly="0" labelOnly="1" outline="0" fieldPosition="0">
        <references count="3">
          <reference field="11" count="1" selected="0">
            <x v="362"/>
          </reference>
          <reference field="14" count="1" selected="0">
            <x v="21"/>
          </reference>
          <reference field="18" count="1" defaultSubtotal="1">
            <x v="6"/>
          </reference>
        </references>
      </pivotArea>
    </format>
    <format dxfId="1178">
      <pivotArea dataOnly="0" labelOnly="1" outline="0" fieldPosition="0">
        <references count="3">
          <reference field="11" count="1" selected="0">
            <x v="363"/>
          </reference>
          <reference field="14" count="1" selected="0">
            <x v="6"/>
          </reference>
          <reference field="18" count="1">
            <x v="0"/>
          </reference>
        </references>
      </pivotArea>
    </format>
    <format dxfId="1177">
      <pivotArea dataOnly="0" labelOnly="1" outline="0" fieldPosition="0">
        <references count="3">
          <reference field="11" count="1" selected="0">
            <x v="363"/>
          </reference>
          <reference field="14" count="1" selected="0">
            <x v="6"/>
          </reference>
          <reference field="18" count="1" defaultSubtotal="1">
            <x v="0"/>
          </reference>
        </references>
      </pivotArea>
    </format>
    <format dxfId="1176">
      <pivotArea dataOnly="0" labelOnly="1" outline="0" fieldPosition="0">
        <references count="3">
          <reference field="11" count="1" selected="0">
            <x v="364"/>
          </reference>
          <reference field="14" count="1" selected="0">
            <x v="212"/>
          </reference>
          <reference field="18" count="1">
            <x v="14"/>
          </reference>
        </references>
      </pivotArea>
    </format>
    <format dxfId="1175">
      <pivotArea dataOnly="0" labelOnly="1" outline="0" fieldPosition="0">
        <references count="3">
          <reference field="11" count="1" selected="0">
            <x v="364"/>
          </reference>
          <reference field="14" count="1" selected="0">
            <x v="212"/>
          </reference>
          <reference field="18" count="1" defaultSubtotal="1">
            <x v="14"/>
          </reference>
        </references>
      </pivotArea>
    </format>
    <format dxfId="1174">
      <pivotArea dataOnly="0" labelOnly="1" outline="0" fieldPosition="0">
        <references count="3">
          <reference field="11" count="1" selected="0">
            <x v="365"/>
          </reference>
          <reference field="14" count="1" selected="0">
            <x v="284"/>
          </reference>
          <reference field="18" count="1">
            <x v="0"/>
          </reference>
        </references>
      </pivotArea>
    </format>
    <format dxfId="1173">
      <pivotArea dataOnly="0" labelOnly="1" outline="0" fieldPosition="0">
        <references count="3">
          <reference field="11" count="1" selected="0">
            <x v="365"/>
          </reference>
          <reference field="14" count="1" selected="0">
            <x v="284"/>
          </reference>
          <reference field="18" count="1" defaultSubtotal="1">
            <x v="0"/>
          </reference>
        </references>
      </pivotArea>
    </format>
    <format dxfId="1172">
      <pivotArea dataOnly="0" labelOnly="1" outline="0" fieldPosition="0">
        <references count="3">
          <reference field="11" count="1" selected="0">
            <x v="366"/>
          </reference>
          <reference field="14" count="1" selected="0">
            <x v="254"/>
          </reference>
          <reference field="18" count="1">
            <x v="0"/>
          </reference>
        </references>
      </pivotArea>
    </format>
    <format dxfId="1171">
      <pivotArea dataOnly="0" labelOnly="1" outline="0" fieldPosition="0">
        <references count="3">
          <reference field="11" count="1" selected="0">
            <x v="366"/>
          </reference>
          <reference field="14" count="1" selected="0">
            <x v="254"/>
          </reference>
          <reference field="18" count="1" defaultSubtotal="1">
            <x v="0"/>
          </reference>
        </references>
      </pivotArea>
    </format>
    <format dxfId="1170">
      <pivotArea dataOnly="0" labelOnly="1" outline="0" fieldPosition="0">
        <references count="3">
          <reference field="11" count="1" selected="0">
            <x v="367"/>
          </reference>
          <reference field="14" count="1" selected="0">
            <x v="457"/>
          </reference>
          <reference field="18" count="1">
            <x v="0"/>
          </reference>
        </references>
      </pivotArea>
    </format>
    <format dxfId="1169">
      <pivotArea dataOnly="0" labelOnly="1" outline="0" fieldPosition="0">
        <references count="3">
          <reference field="11" count="1" selected="0">
            <x v="367"/>
          </reference>
          <reference field="14" count="1" selected="0">
            <x v="457"/>
          </reference>
          <reference field="18" count="1" defaultSubtotal="1">
            <x v="0"/>
          </reference>
        </references>
      </pivotArea>
    </format>
    <format dxfId="1168">
      <pivotArea dataOnly="0" labelOnly="1" outline="0" fieldPosition="0">
        <references count="3">
          <reference field="11" count="1" selected="0">
            <x v="368"/>
          </reference>
          <reference field="14" count="1" selected="0">
            <x v="2"/>
          </reference>
          <reference field="18" count="1">
            <x v="19"/>
          </reference>
        </references>
      </pivotArea>
    </format>
    <format dxfId="1167">
      <pivotArea dataOnly="0" labelOnly="1" outline="0" fieldPosition="0">
        <references count="3">
          <reference field="11" count="1" selected="0">
            <x v="368"/>
          </reference>
          <reference field="14" count="1" selected="0">
            <x v="2"/>
          </reference>
          <reference field="18" count="1" defaultSubtotal="1">
            <x v="19"/>
          </reference>
        </references>
      </pivotArea>
    </format>
    <format dxfId="1166">
      <pivotArea dataOnly="0" labelOnly="1" outline="0" fieldPosition="0">
        <references count="3">
          <reference field="11" count="1" selected="0">
            <x v="369"/>
          </reference>
          <reference field="14" count="1" selected="0">
            <x v="147"/>
          </reference>
          <reference field="18" count="2">
            <x v="12"/>
            <x v="14"/>
          </reference>
        </references>
      </pivotArea>
    </format>
    <format dxfId="1165">
      <pivotArea dataOnly="0" labelOnly="1" outline="0" fieldPosition="0">
        <references count="3">
          <reference field="11" count="1" selected="0">
            <x v="369"/>
          </reference>
          <reference field="14" count="1" selected="0">
            <x v="147"/>
          </reference>
          <reference field="18" count="2" defaultSubtotal="1">
            <x v="12"/>
            <x v="14"/>
          </reference>
        </references>
      </pivotArea>
    </format>
    <format dxfId="1164">
      <pivotArea dataOnly="0" labelOnly="1" outline="0" fieldPosition="0">
        <references count="3">
          <reference field="11" count="1" selected="0">
            <x v="370"/>
          </reference>
          <reference field="14" count="1" selected="0">
            <x v="112"/>
          </reference>
          <reference field="18" count="1">
            <x v="19"/>
          </reference>
        </references>
      </pivotArea>
    </format>
    <format dxfId="1163">
      <pivotArea dataOnly="0" labelOnly="1" outline="0" fieldPosition="0">
        <references count="3">
          <reference field="11" count="1" selected="0">
            <x v="370"/>
          </reference>
          <reference field="14" count="1" selected="0">
            <x v="112"/>
          </reference>
          <reference field="18" count="1" defaultSubtotal="1">
            <x v="19"/>
          </reference>
        </references>
      </pivotArea>
    </format>
    <format dxfId="1162">
      <pivotArea dataOnly="0" labelOnly="1" outline="0" fieldPosition="0">
        <references count="3">
          <reference field="11" count="1" selected="0">
            <x v="371"/>
          </reference>
          <reference field="14" count="1" selected="0">
            <x v="81"/>
          </reference>
          <reference field="18" count="1">
            <x v="1"/>
          </reference>
        </references>
      </pivotArea>
    </format>
    <format dxfId="1161">
      <pivotArea dataOnly="0" labelOnly="1" outline="0" fieldPosition="0">
        <references count="3">
          <reference field="11" count="1" selected="0">
            <x v="371"/>
          </reference>
          <reference field="14" count="1" selected="0">
            <x v="81"/>
          </reference>
          <reference field="18" count="1" defaultSubtotal="1">
            <x v="1"/>
          </reference>
        </references>
      </pivotArea>
    </format>
    <format dxfId="1160">
      <pivotArea dataOnly="0" labelOnly="1" outline="0" fieldPosition="0">
        <references count="3">
          <reference field="11" count="1" selected="0">
            <x v="372"/>
          </reference>
          <reference field="14" count="1" selected="0">
            <x v="82"/>
          </reference>
          <reference field="18" count="1">
            <x v="1"/>
          </reference>
        </references>
      </pivotArea>
    </format>
    <format dxfId="1159">
      <pivotArea dataOnly="0" labelOnly="1" outline="0" fieldPosition="0">
        <references count="3">
          <reference field="11" count="1" selected="0">
            <x v="372"/>
          </reference>
          <reference field="14" count="1" selected="0">
            <x v="82"/>
          </reference>
          <reference field="18" count="1" defaultSubtotal="1">
            <x v="1"/>
          </reference>
        </references>
      </pivotArea>
    </format>
    <format dxfId="1158">
      <pivotArea dataOnly="0" labelOnly="1" outline="0" fieldPosition="0">
        <references count="3">
          <reference field="11" count="1" selected="0">
            <x v="373"/>
          </reference>
          <reference field="14" count="1" selected="0">
            <x v="85"/>
          </reference>
          <reference field="18" count="1">
            <x v="1"/>
          </reference>
        </references>
      </pivotArea>
    </format>
    <format dxfId="1157">
      <pivotArea dataOnly="0" labelOnly="1" outline="0" fieldPosition="0">
        <references count="3">
          <reference field="11" count="1" selected="0">
            <x v="373"/>
          </reference>
          <reference field="14" count="1" selected="0">
            <x v="85"/>
          </reference>
          <reference field="18" count="1" defaultSubtotal="1">
            <x v="1"/>
          </reference>
        </references>
      </pivotArea>
    </format>
    <format dxfId="1156">
      <pivotArea dataOnly="0" labelOnly="1" outline="0" fieldPosition="0">
        <references count="3">
          <reference field="11" count="1" selected="0">
            <x v="374"/>
          </reference>
          <reference field="14" count="1" selected="0">
            <x v="89"/>
          </reference>
          <reference field="18" count="1">
            <x v="1"/>
          </reference>
        </references>
      </pivotArea>
    </format>
    <format dxfId="1155">
      <pivotArea dataOnly="0" labelOnly="1" outline="0" fieldPosition="0">
        <references count="3">
          <reference field="11" count="1" selected="0">
            <x v="374"/>
          </reference>
          <reference field="14" count="1" selected="0">
            <x v="89"/>
          </reference>
          <reference field="18" count="1" defaultSubtotal="1">
            <x v="1"/>
          </reference>
        </references>
      </pivotArea>
    </format>
    <format dxfId="1154">
      <pivotArea dataOnly="0" labelOnly="1" outline="0" fieldPosition="0">
        <references count="3">
          <reference field="11" count="1" selected="0">
            <x v="375"/>
          </reference>
          <reference field="14" count="1" selected="0">
            <x v="88"/>
          </reference>
          <reference field="18" count="1">
            <x v="1"/>
          </reference>
        </references>
      </pivotArea>
    </format>
    <format dxfId="1153">
      <pivotArea dataOnly="0" labelOnly="1" outline="0" fieldPosition="0">
        <references count="3">
          <reference field="11" count="1" selected="0">
            <x v="375"/>
          </reference>
          <reference field="14" count="1" selected="0">
            <x v="88"/>
          </reference>
          <reference field="18" count="1" defaultSubtotal="1">
            <x v="1"/>
          </reference>
        </references>
      </pivotArea>
    </format>
    <format dxfId="1152">
      <pivotArea dataOnly="0" labelOnly="1" outline="0" fieldPosition="0">
        <references count="3">
          <reference field="11" count="1" selected="0">
            <x v="376"/>
          </reference>
          <reference field="14" count="1" selected="0">
            <x v="87"/>
          </reference>
          <reference field="18" count="1">
            <x v="1"/>
          </reference>
        </references>
      </pivotArea>
    </format>
    <format dxfId="1151">
      <pivotArea dataOnly="0" labelOnly="1" outline="0" fieldPosition="0">
        <references count="3">
          <reference field="11" count="1" selected="0">
            <x v="376"/>
          </reference>
          <reference field="14" count="1" selected="0">
            <x v="87"/>
          </reference>
          <reference field="18" count="1" defaultSubtotal="1">
            <x v="1"/>
          </reference>
        </references>
      </pivotArea>
    </format>
    <format dxfId="1150">
      <pivotArea dataOnly="0" labelOnly="1" outline="0" fieldPosition="0">
        <references count="3">
          <reference field="11" count="1" selected="0">
            <x v="377"/>
          </reference>
          <reference field="14" count="1" selected="0">
            <x v="79"/>
          </reference>
          <reference field="18" count="1">
            <x v="1"/>
          </reference>
        </references>
      </pivotArea>
    </format>
    <format dxfId="1149">
      <pivotArea dataOnly="0" labelOnly="1" outline="0" fieldPosition="0">
        <references count="3">
          <reference field="11" count="1" selected="0">
            <x v="377"/>
          </reference>
          <reference field="14" count="1" selected="0">
            <x v="79"/>
          </reference>
          <reference field="18" count="1" defaultSubtotal="1">
            <x v="1"/>
          </reference>
        </references>
      </pivotArea>
    </format>
    <format dxfId="1148">
      <pivotArea dataOnly="0" labelOnly="1" outline="0" fieldPosition="0">
        <references count="3">
          <reference field="11" count="1" selected="0">
            <x v="378"/>
          </reference>
          <reference field="14" count="1" selected="0">
            <x v="92"/>
          </reference>
          <reference field="18" count="1">
            <x v="1"/>
          </reference>
        </references>
      </pivotArea>
    </format>
    <format dxfId="1147">
      <pivotArea dataOnly="0" labelOnly="1" outline="0" fieldPosition="0">
        <references count="3">
          <reference field="11" count="1" selected="0">
            <x v="378"/>
          </reference>
          <reference field="14" count="1" selected="0">
            <x v="92"/>
          </reference>
          <reference field="18" count="1" defaultSubtotal="1">
            <x v="1"/>
          </reference>
        </references>
      </pivotArea>
    </format>
    <format dxfId="1146">
      <pivotArea dataOnly="0" labelOnly="1" outline="0" fieldPosition="0">
        <references count="3">
          <reference field="11" count="1" selected="0">
            <x v="379"/>
          </reference>
          <reference field="14" count="1" selected="0">
            <x v="145"/>
          </reference>
          <reference field="18" count="2">
            <x v="7"/>
            <x v="12"/>
          </reference>
        </references>
      </pivotArea>
    </format>
    <format dxfId="1145">
      <pivotArea dataOnly="0" labelOnly="1" outline="0" fieldPosition="0">
        <references count="3">
          <reference field="11" count="1" selected="0">
            <x v="379"/>
          </reference>
          <reference field="14" count="1" selected="0">
            <x v="145"/>
          </reference>
          <reference field="18" count="2" defaultSubtotal="1">
            <x v="7"/>
            <x v="12"/>
          </reference>
        </references>
      </pivotArea>
    </format>
    <format dxfId="1144">
      <pivotArea dataOnly="0" labelOnly="1" outline="0" fieldPosition="0">
        <references count="3">
          <reference field="11" count="1" selected="0">
            <x v="380"/>
          </reference>
          <reference field="14" count="1" selected="0">
            <x v="334"/>
          </reference>
          <reference field="18" count="1">
            <x v="1"/>
          </reference>
        </references>
      </pivotArea>
    </format>
    <format dxfId="1143">
      <pivotArea dataOnly="0" labelOnly="1" outline="0" fieldPosition="0">
        <references count="3">
          <reference field="11" count="1" selected="0">
            <x v="380"/>
          </reference>
          <reference field="14" count="1" selected="0">
            <x v="334"/>
          </reference>
          <reference field="18" count="1" defaultSubtotal="1">
            <x v="1"/>
          </reference>
        </references>
      </pivotArea>
    </format>
    <format dxfId="1142">
      <pivotArea dataOnly="0" labelOnly="1" outline="0" fieldPosition="0">
        <references count="3">
          <reference field="11" count="1" selected="0">
            <x v="381"/>
          </reference>
          <reference field="14" count="1" selected="0">
            <x v="399"/>
          </reference>
          <reference field="18" count="2">
            <x v="0"/>
            <x v="4"/>
          </reference>
        </references>
      </pivotArea>
    </format>
    <format dxfId="1141">
      <pivotArea dataOnly="0" labelOnly="1" outline="0" fieldPosition="0">
        <references count="3">
          <reference field="11" count="1" selected="0">
            <x v="381"/>
          </reference>
          <reference field="14" count="1" selected="0">
            <x v="399"/>
          </reference>
          <reference field="18" count="2" defaultSubtotal="1">
            <x v="0"/>
            <x v="4"/>
          </reference>
        </references>
      </pivotArea>
    </format>
    <format dxfId="1140">
      <pivotArea dataOnly="0" labelOnly="1" outline="0" fieldPosition="0">
        <references count="3">
          <reference field="11" count="1" selected="0">
            <x v="382"/>
          </reference>
          <reference field="14" count="1" selected="0">
            <x v="400"/>
          </reference>
          <reference field="18" count="1">
            <x v="25"/>
          </reference>
        </references>
      </pivotArea>
    </format>
    <format dxfId="1139">
      <pivotArea dataOnly="0" labelOnly="1" outline="0" fieldPosition="0">
        <references count="3">
          <reference field="11" count="1" selected="0">
            <x v="382"/>
          </reference>
          <reference field="14" count="1" selected="0">
            <x v="400"/>
          </reference>
          <reference field="18" count="1" defaultSubtotal="1">
            <x v="25"/>
          </reference>
        </references>
      </pivotArea>
    </format>
    <format dxfId="1138">
      <pivotArea dataOnly="0" labelOnly="1" outline="0" fieldPosition="0">
        <references count="3">
          <reference field="11" count="1" selected="0">
            <x v="383"/>
          </reference>
          <reference field="14" count="1" selected="0">
            <x v="364"/>
          </reference>
          <reference field="18" count="1">
            <x v="18"/>
          </reference>
        </references>
      </pivotArea>
    </format>
    <format dxfId="1137">
      <pivotArea dataOnly="0" labelOnly="1" outline="0" fieldPosition="0">
        <references count="3">
          <reference field="11" count="1" selected="0">
            <x v="383"/>
          </reference>
          <reference field="14" count="1" selected="0">
            <x v="364"/>
          </reference>
          <reference field="18" count="1" defaultSubtotal="1">
            <x v="18"/>
          </reference>
        </references>
      </pivotArea>
    </format>
    <format dxfId="1136">
      <pivotArea dataOnly="0" labelOnly="1" outline="0" fieldPosition="0">
        <references count="3">
          <reference field="11" count="1" selected="0">
            <x v="384"/>
          </reference>
          <reference field="14" count="1" selected="0">
            <x v="211"/>
          </reference>
          <reference field="18" count="1">
            <x v="0"/>
          </reference>
        </references>
      </pivotArea>
    </format>
    <format dxfId="1135">
      <pivotArea dataOnly="0" labelOnly="1" outline="0" fieldPosition="0">
        <references count="3">
          <reference field="11" count="1" selected="0">
            <x v="384"/>
          </reference>
          <reference field="14" count="1" selected="0">
            <x v="211"/>
          </reference>
          <reference field="18" count="1" defaultSubtotal="1">
            <x v="0"/>
          </reference>
        </references>
      </pivotArea>
    </format>
    <format dxfId="1134">
      <pivotArea dataOnly="0" labelOnly="1" outline="0" fieldPosition="0">
        <references count="3">
          <reference field="11" count="1" selected="0">
            <x v="385"/>
          </reference>
          <reference field="14" count="1" selected="0">
            <x v="7"/>
          </reference>
          <reference field="18" count="2">
            <x v="12"/>
            <x v="14"/>
          </reference>
        </references>
      </pivotArea>
    </format>
    <format dxfId="1133">
      <pivotArea dataOnly="0" labelOnly="1" outline="0" fieldPosition="0">
        <references count="3">
          <reference field="11" count="1" selected="0">
            <x v="385"/>
          </reference>
          <reference field="14" count="1" selected="0">
            <x v="7"/>
          </reference>
          <reference field="18" count="2" defaultSubtotal="1">
            <x v="12"/>
            <x v="14"/>
          </reference>
        </references>
      </pivotArea>
    </format>
    <format dxfId="1132">
      <pivotArea dataOnly="0" labelOnly="1" outline="0" fieldPosition="0">
        <references count="3">
          <reference field="11" count="1" selected="0">
            <x v="386"/>
          </reference>
          <reference field="14" count="1" selected="0">
            <x v="297"/>
          </reference>
          <reference field="18" count="1">
            <x v="6"/>
          </reference>
        </references>
      </pivotArea>
    </format>
    <format dxfId="1131">
      <pivotArea dataOnly="0" labelOnly="1" outline="0" fieldPosition="0">
        <references count="3">
          <reference field="11" count="1" selected="0">
            <x v="386"/>
          </reference>
          <reference field="14" count="1" selected="0">
            <x v="297"/>
          </reference>
          <reference field="18" count="1" defaultSubtotal="1">
            <x v="6"/>
          </reference>
        </references>
      </pivotArea>
    </format>
    <format dxfId="1130">
      <pivotArea dataOnly="0" labelOnly="1" outline="0" fieldPosition="0">
        <references count="3">
          <reference field="11" count="1" selected="0">
            <x v="387"/>
          </reference>
          <reference field="14" count="1" selected="0">
            <x v="408"/>
          </reference>
          <reference field="18" count="1">
            <x v="0"/>
          </reference>
        </references>
      </pivotArea>
    </format>
    <format dxfId="1129">
      <pivotArea dataOnly="0" labelOnly="1" outline="0" fieldPosition="0">
        <references count="3">
          <reference field="11" count="1" selected="0">
            <x v="387"/>
          </reference>
          <reference field="14" count="1" selected="0">
            <x v="408"/>
          </reference>
          <reference field="18" count="1" defaultSubtotal="1">
            <x v="0"/>
          </reference>
        </references>
      </pivotArea>
    </format>
    <format dxfId="1128">
      <pivotArea dataOnly="0" labelOnly="1" outline="0" fieldPosition="0">
        <references count="3">
          <reference field="11" count="1" selected="0">
            <x v="388"/>
          </reference>
          <reference field="14" count="1" selected="0">
            <x v="190"/>
          </reference>
          <reference field="18" count="1">
            <x v="0"/>
          </reference>
        </references>
      </pivotArea>
    </format>
    <format dxfId="1127">
      <pivotArea dataOnly="0" labelOnly="1" outline="0" fieldPosition="0">
        <references count="3">
          <reference field="11" count="1" selected="0">
            <x v="388"/>
          </reference>
          <reference field="14" count="1" selected="0">
            <x v="190"/>
          </reference>
          <reference field="18" count="1" defaultSubtotal="1">
            <x v="0"/>
          </reference>
        </references>
      </pivotArea>
    </format>
    <format dxfId="1126">
      <pivotArea dataOnly="0" labelOnly="1" outline="0" fieldPosition="0">
        <references count="3">
          <reference field="11" count="1" selected="0">
            <x v="389"/>
          </reference>
          <reference field="14" count="1" selected="0">
            <x v="140"/>
          </reference>
          <reference field="18" count="1">
            <x v="22"/>
          </reference>
        </references>
      </pivotArea>
    </format>
    <format dxfId="1125">
      <pivotArea dataOnly="0" labelOnly="1" outline="0" fieldPosition="0">
        <references count="3">
          <reference field="11" count="1" selected="0">
            <x v="389"/>
          </reference>
          <reference field="14" count="1" selected="0">
            <x v="140"/>
          </reference>
          <reference field="18" count="1" defaultSubtotal="1">
            <x v="22"/>
          </reference>
        </references>
      </pivotArea>
    </format>
    <format dxfId="1124">
      <pivotArea dataOnly="0" labelOnly="1" outline="0" fieldPosition="0">
        <references count="3">
          <reference field="11" count="1" selected="0">
            <x v="390"/>
          </reference>
          <reference field="14" count="1" selected="0">
            <x v="445"/>
          </reference>
          <reference field="18" count="1">
            <x v="19"/>
          </reference>
        </references>
      </pivotArea>
    </format>
    <format dxfId="1123">
      <pivotArea dataOnly="0" labelOnly="1" outline="0" fieldPosition="0">
        <references count="3">
          <reference field="11" count="1" selected="0">
            <x v="390"/>
          </reference>
          <reference field="14" count="1" selected="0">
            <x v="445"/>
          </reference>
          <reference field="18" count="1" defaultSubtotal="1">
            <x v="19"/>
          </reference>
        </references>
      </pivotArea>
    </format>
    <format dxfId="1122">
      <pivotArea dataOnly="0" labelOnly="1" outline="0" fieldPosition="0">
        <references count="3">
          <reference field="11" count="1" selected="0">
            <x v="391"/>
          </reference>
          <reference field="14" count="1" selected="0">
            <x v="422"/>
          </reference>
          <reference field="18" count="1">
            <x v="19"/>
          </reference>
        </references>
      </pivotArea>
    </format>
    <format dxfId="1121">
      <pivotArea dataOnly="0" labelOnly="1" outline="0" fieldPosition="0">
        <references count="3">
          <reference field="11" count="1" selected="0">
            <x v="391"/>
          </reference>
          <reference field="14" count="1" selected="0">
            <x v="422"/>
          </reference>
          <reference field="18" count="1" defaultSubtotal="1">
            <x v="19"/>
          </reference>
        </references>
      </pivotArea>
    </format>
    <format dxfId="1120">
      <pivotArea dataOnly="0" labelOnly="1" outline="0" fieldPosition="0">
        <references count="3">
          <reference field="11" count="1" selected="0">
            <x v="392"/>
          </reference>
          <reference field="14" count="1" selected="0">
            <x v="198"/>
          </reference>
          <reference field="18" count="1">
            <x v="4"/>
          </reference>
        </references>
      </pivotArea>
    </format>
    <format dxfId="1119">
      <pivotArea dataOnly="0" labelOnly="1" outline="0" fieldPosition="0">
        <references count="3">
          <reference field="11" count="1" selected="0">
            <x v="392"/>
          </reference>
          <reference field="14" count="1" selected="0">
            <x v="198"/>
          </reference>
          <reference field="18" count="1" defaultSubtotal="1">
            <x v="4"/>
          </reference>
        </references>
      </pivotArea>
    </format>
    <format dxfId="1118">
      <pivotArea dataOnly="0" labelOnly="1" outline="0" fieldPosition="0">
        <references count="3">
          <reference field="11" count="1" selected="0">
            <x v="393"/>
          </reference>
          <reference field="14" count="1" selected="0">
            <x v="205"/>
          </reference>
          <reference field="18" count="1">
            <x v="19"/>
          </reference>
        </references>
      </pivotArea>
    </format>
    <format dxfId="1117">
      <pivotArea dataOnly="0" labelOnly="1" outline="0" fieldPosition="0">
        <references count="3">
          <reference field="11" count="1" selected="0">
            <x v="393"/>
          </reference>
          <reference field="14" count="1" selected="0">
            <x v="205"/>
          </reference>
          <reference field="18" count="1" defaultSubtotal="1">
            <x v="19"/>
          </reference>
        </references>
      </pivotArea>
    </format>
    <format dxfId="1116">
      <pivotArea dataOnly="0" labelOnly="1" outline="0" fieldPosition="0">
        <references count="3">
          <reference field="11" count="1" selected="0">
            <x v="394"/>
          </reference>
          <reference field="14" count="1" selected="0">
            <x v="53"/>
          </reference>
          <reference field="18" count="2">
            <x v="12"/>
            <x v="14"/>
          </reference>
        </references>
      </pivotArea>
    </format>
    <format dxfId="1115">
      <pivotArea dataOnly="0" labelOnly="1" outline="0" fieldPosition="0">
        <references count="3">
          <reference field="11" count="1" selected="0">
            <x v="394"/>
          </reference>
          <reference field="14" count="1" selected="0">
            <x v="53"/>
          </reference>
          <reference field="18" count="2" defaultSubtotal="1">
            <x v="12"/>
            <x v="14"/>
          </reference>
        </references>
      </pivotArea>
    </format>
    <format dxfId="1114">
      <pivotArea dataOnly="0" labelOnly="1" outline="0" fieldPosition="0">
        <references count="3">
          <reference field="11" count="1" selected="0">
            <x v="395"/>
          </reference>
          <reference field="14" count="1" selected="0">
            <x v="245"/>
          </reference>
          <reference field="18" count="1">
            <x v="14"/>
          </reference>
        </references>
      </pivotArea>
    </format>
    <format dxfId="1113">
      <pivotArea dataOnly="0" labelOnly="1" outline="0" fieldPosition="0">
        <references count="3">
          <reference field="11" count="1" selected="0">
            <x v="395"/>
          </reference>
          <reference field="14" count="1" selected="0">
            <x v="245"/>
          </reference>
          <reference field="18" count="1" defaultSubtotal="1">
            <x v="14"/>
          </reference>
        </references>
      </pivotArea>
    </format>
    <format dxfId="1112">
      <pivotArea dataOnly="0" labelOnly="1" outline="0" fieldPosition="0">
        <references count="3">
          <reference field="11" count="1" selected="0">
            <x v="396"/>
          </reference>
          <reference field="14" count="1" selected="0">
            <x v="169"/>
          </reference>
          <reference field="18" count="1">
            <x v="14"/>
          </reference>
        </references>
      </pivotArea>
    </format>
    <format dxfId="1111">
      <pivotArea dataOnly="0" labelOnly="1" outline="0" fieldPosition="0">
        <references count="3">
          <reference field="11" count="1" selected="0">
            <x v="396"/>
          </reference>
          <reference field="14" count="1" selected="0">
            <x v="169"/>
          </reference>
          <reference field="18" count="1" defaultSubtotal="1">
            <x v="14"/>
          </reference>
        </references>
      </pivotArea>
    </format>
    <format dxfId="1110">
      <pivotArea dataOnly="0" labelOnly="1" outline="0" fieldPosition="0">
        <references count="3">
          <reference field="11" count="1" selected="0">
            <x v="397"/>
          </reference>
          <reference field="14" count="1" selected="0">
            <x v="167"/>
          </reference>
          <reference field="18" count="1">
            <x v="0"/>
          </reference>
        </references>
      </pivotArea>
    </format>
    <format dxfId="1109">
      <pivotArea dataOnly="0" labelOnly="1" outline="0" fieldPosition="0">
        <references count="3">
          <reference field="11" count="1" selected="0">
            <x v="397"/>
          </reference>
          <reference field="14" count="1" selected="0">
            <x v="167"/>
          </reference>
          <reference field="18" count="1" defaultSubtotal="1">
            <x v="0"/>
          </reference>
        </references>
      </pivotArea>
    </format>
    <format dxfId="1108">
      <pivotArea dataOnly="0" labelOnly="1" outline="0" fieldPosition="0">
        <references count="3">
          <reference field="11" count="1" selected="0">
            <x v="398"/>
          </reference>
          <reference field="14" count="1" selected="0">
            <x v="360"/>
          </reference>
          <reference field="18" count="1">
            <x v="1"/>
          </reference>
        </references>
      </pivotArea>
    </format>
    <format dxfId="1107">
      <pivotArea dataOnly="0" labelOnly="1" outline="0" fieldPosition="0">
        <references count="3">
          <reference field="11" count="1" selected="0">
            <x v="398"/>
          </reference>
          <reference field="14" count="1" selected="0">
            <x v="360"/>
          </reference>
          <reference field="18" count="1" defaultSubtotal="1">
            <x v="1"/>
          </reference>
        </references>
      </pivotArea>
    </format>
    <format dxfId="1106">
      <pivotArea dataOnly="0" labelOnly="1" outline="0" fieldPosition="0">
        <references count="3">
          <reference field="11" count="1" selected="0">
            <x v="399"/>
          </reference>
          <reference field="14" count="1" selected="0">
            <x v="95"/>
          </reference>
          <reference field="18" count="1">
            <x v="0"/>
          </reference>
        </references>
      </pivotArea>
    </format>
    <format dxfId="1105">
      <pivotArea dataOnly="0" labelOnly="1" outline="0" fieldPosition="0">
        <references count="3">
          <reference field="11" count="1" selected="0">
            <x v="399"/>
          </reference>
          <reference field="14" count="1" selected="0">
            <x v="95"/>
          </reference>
          <reference field="18" count="1" defaultSubtotal="1">
            <x v="0"/>
          </reference>
        </references>
      </pivotArea>
    </format>
    <format dxfId="1104">
      <pivotArea dataOnly="0" labelOnly="1" outline="0" fieldPosition="0">
        <references count="3">
          <reference field="11" count="1" selected="0">
            <x v="400"/>
          </reference>
          <reference field="14" count="1" selected="0">
            <x v="260"/>
          </reference>
          <reference field="18" count="1">
            <x v="0"/>
          </reference>
        </references>
      </pivotArea>
    </format>
    <format dxfId="1103">
      <pivotArea dataOnly="0" labelOnly="1" outline="0" fieldPosition="0">
        <references count="3">
          <reference field="11" count="1" selected="0">
            <x v="400"/>
          </reference>
          <reference field="14" count="1" selected="0">
            <x v="260"/>
          </reference>
          <reference field="18" count="1" defaultSubtotal="1">
            <x v="0"/>
          </reference>
        </references>
      </pivotArea>
    </format>
    <format dxfId="1102">
      <pivotArea dataOnly="0" labelOnly="1" outline="0" fieldPosition="0">
        <references count="3">
          <reference field="11" count="1" selected="0">
            <x v="401"/>
          </reference>
          <reference field="14" count="1" selected="0">
            <x v="75"/>
          </reference>
          <reference field="18" count="1">
            <x v="19"/>
          </reference>
        </references>
      </pivotArea>
    </format>
    <format dxfId="1101">
      <pivotArea dataOnly="0" labelOnly="1" outline="0" fieldPosition="0">
        <references count="3">
          <reference field="11" count="1" selected="0">
            <x v="401"/>
          </reference>
          <reference field="14" count="1" selected="0">
            <x v="75"/>
          </reference>
          <reference field="18" count="1" defaultSubtotal="1">
            <x v="19"/>
          </reference>
        </references>
      </pivotArea>
    </format>
    <format dxfId="1100">
      <pivotArea dataOnly="0" labelOnly="1" outline="0" fieldPosition="0">
        <references count="3">
          <reference field="11" count="1" selected="0">
            <x v="402"/>
          </reference>
          <reference field="14" count="1" selected="0">
            <x v="322"/>
          </reference>
          <reference field="18" count="1">
            <x v="3"/>
          </reference>
        </references>
      </pivotArea>
    </format>
    <format dxfId="1099">
      <pivotArea dataOnly="0" labelOnly="1" outline="0" fieldPosition="0">
        <references count="3">
          <reference field="11" count="1" selected="0">
            <x v="402"/>
          </reference>
          <reference field="14" count="1" selected="0">
            <x v="322"/>
          </reference>
          <reference field="18" count="1" defaultSubtotal="1">
            <x v="3"/>
          </reference>
        </references>
      </pivotArea>
    </format>
    <format dxfId="1098">
      <pivotArea dataOnly="0" labelOnly="1" outline="0" fieldPosition="0">
        <references count="3">
          <reference field="11" count="1" selected="0">
            <x v="403"/>
          </reference>
          <reference field="14" count="1" selected="0">
            <x v="146"/>
          </reference>
          <reference field="18" count="1">
            <x v="27"/>
          </reference>
        </references>
      </pivotArea>
    </format>
    <format dxfId="1097">
      <pivotArea dataOnly="0" labelOnly="1" outline="0" fieldPosition="0">
        <references count="3">
          <reference field="11" count="1" selected="0">
            <x v="403"/>
          </reference>
          <reference field="14" count="1" selected="0">
            <x v="146"/>
          </reference>
          <reference field="18" count="1" defaultSubtotal="1">
            <x v="27"/>
          </reference>
        </references>
      </pivotArea>
    </format>
    <format dxfId="1096">
      <pivotArea dataOnly="0" labelOnly="1" outline="0" fieldPosition="0">
        <references count="3">
          <reference field="11" count="1" selected="0">
            <x v="404"/>
          </reference>
          <reference field="14" count="1" selected="0">
            <x v="443"/>
          </reference>
          <reference field="18" count="2">
            <x v="11"/>
            <x v="19"/>
          </reference>
        </references>
      </pivotArea>
    </format>
    <format dxfId="1095">
      <pivotArea dataOnly="0" labelOnly="1" outline="0" fieldPosition="0">
        <references count="3">
          <reference field="11" count="1" selected="0">
            <x v="404"/>
          </reference>
          <reference field="14" count="1" selected="0">
            <x v="443"/>
          </reference>
          <reference field="18" count="2" defaultSubtotal="1">
            <x v="11"/>
            <x v="19"/>
          </reference>
        </references>
      </pivotArea>
    </format>
    <format dxfId="1094">
      <pivotArea dataOnly="0" labelOnly="1" outline="0" fieldPosition="0">
        <references count="3">
          <reference field="11" count="1" selected="0">
            <x v="405"/>
          </reference>
          <reference field="14" count="1" selected="0">
            <x v="359"/>
          </reference>
          <reference field="18" count="1">
            <x v="27"/>
          </reference>
        </references>
      </pivotArea>
    </format>
    <format dxfId="1093">
      <pivotArea dataOnly="0" labelOnly="1" outline="0" fieldPosition="0">
        <references count="3">
          <reference field="11" count="1" selected="0">
            <x v="405"/>
          </reference>
          <reference field="14" count="1" selected="0">
            <x v="359"/>
          </reference>
          <reference field="18" count="1" defaultSubtotal="1">
            <x v="27"/>
          </reference>
        </references>
      </pivotArea>
    </format>
    <format dxfId="1092">
      <pivotArea dataOnly="0" labelOnly="1" outline="0" fieldPosition="0">
        <references count="3">
          <reference field="11" count="1" selected="0">
            <x v="406"/>
          </reference>
          <reference field="14" count="1" selected="0">
            <x v="381"/>
          </reference>
          <reference field="18" count="1">
            <x v="0"/>
          </reference>
        </references>
      </pivotArea>
    </format>
    <format dxfId="1091">
      <pivotArea dataOnly="0" labelOnly="1" outline="0" fieldPosition="0">
        <references count="3">
          <reference field="11" count="1" selected="0">
            <x v="406"/>
          </reference>
          <reference field="14" count="1" selected="0">
            <x v="381"/>
          </reference>
          <reference field="18" count="1" defaultSubtotal="1">
            <x v="0"/>
          </reference>
        </references>
      </pivotArea>
    </format>
    <format dxfId="1090">
      <pivotArea dataOnly="0" labelOnly="1" outline="0" fieldPosition="0">
        <references count="3">
          <reference field="11" count="1" selected="0">
            <x v="407"/>
          </reference>
          <reference field="14" count="1" selected="0">
            <x v="65"/>
          </reference>
          <reference field="18" count="1">
            <x v="6"/>
          </reference>
        </references>
      </pivotArea>
    </format>
    <format dxfId="1089">
      <pivotArea dataOnly="0" labelOnly="1" outline="0" fieldPosition="0">
        <references count="3">
          <reference field="11" count="1" selected="0">
            <x v="407"/>
          </reference>
          <reference field="14" count="1" selected="0">
            <x v="65"/>
          </reference>
          <reference field="18" count="1" defaultSubtotal="1">
            <x v="6"/>
          </reference>
        </references>
      </pivotArea>
    </format>
    <format dxfId="1088">
      <pivotArea dataOnly="0" labelOnly="1" outline="0" fieldPosition="0">
        <references count="3">
          <reference field="11" count="1" selected="0">
            <x v="408"/>
          </reference>
          <reference field="14" count="1" selected="0">
            <x v="20"/>
          </reference>
          <reference field="18" count="1">
            <x v="3"/>
          </reference>
        </references>
      </pivotArea>
    </format>
    <format dxfId="1087">
      <pivotArea dataOnly="0" labelOnly="1" outline="0" fieldPosition="0">
        <references count="3">
          <reference field="11" count="1" selected="0">
            <x v="408"/>
          </reference>
          <reference field="14" count="1" selected="0">
            <x v="20"/>
          </reference>
          <reference field="18" count="1" defaultSubtotal="1">
            <x v="3"/>
          </reference>
        </references>
      </pivotArea>
    </format>
    <format dxfId="1086">
      <pivotArea dataOnly="0" labelOnly="1" outline="0" fieldPosition="0">
        <references count="3">
          <reference field="11" count="1" selected="0">
            <x v="409"/>
          </reference>
          <reference field="14" count="1" selected="0">
            <x v="175"/>
          </reference>
          <reference field="18" count="1">
            <x v="3"/>
          </reference>
        </references>
      </pivotArea>
    </format>
    <format dxfId="1085">
      <pivotArea dataOnly="0" labelOnly="1" outline="0" fieldPosition="0">
        <references count="3">
          <reference field="11" count="1" selected="0">
            <x v="409"/>
          </reference>
          <reference field="14" count="1" selected="0">
            <x v="175"/>
          </reference>
          <reference field="18" count="1" defaultSubtotal="1">
            <x v="3"/>
          </reference>
        </references>
      </pivotArea>
    </format>
    <format dxfId="1084">
      <pivotArea dataOnly="0" labelOnly="1" outline="0" fieldPosition="0">
        <references count="3">
          <reference field="11" count="1" selected="0">
            <x v="410"/>
          </reference>
          <reference field="14" count="1" selected="0">
            <x v="366"/>
          </reference>
          <reference field="18" count="1">
            <x v="3"/>
          </reference>
        </references>
      </pivotArea>
    </format>
    <format dxfId="1083">
      <pivotArea dataOnly="0" labelOnly="1" outline="0" fieldPosition="0">
        <references count="3">
          <reference field="11" count="1" selected="0">
            <x v="410"/>
          </reference>
          <reference field="14" count="1" selected="0">
            <x v="366"/>
          </reference>
          <reference field="18" count="1" defaultSubtotal="1">
            <x v="3"/>
          </reference>
        </references>
      </pivotArea>
    </format>
    <format dxfId="1082">
      <pivotArea dataOnly="0" labelOnly="1" outline="0" fieldPosition="0">
        <references count="3">
          <reference field="11" count="1" selected="0">
            <x v="411"/>
          </reference>
          <reference field="14" count="1" selected="0">
            <x v="204"/>
          </reference>
          <reference field="18" count="1">
            <x v="7"/>
          </reference>
        </references>
      </pivotArea>
    </format>
    <format dxfId="1081">
      <pivotArea dataOnly="0" labelOnly="1" outline="0" fieldPosition="0">
        <references count="3">
          <reference field="11" count="1" selected="0">
            <x v="411"/>
          </reference>
          <reference field="14" count="1" selected="0">
            <x v="204"/>
          </reference>
          <reference field="18" count="1" defaultSubtotal="1">
            <x v="7"/>
          </reference>
        </references>
      </pivotArea>
    </format>
    <format dxfId="1080">
      <pivotArea dataOnly="0" labelOnly="1" outline="0" fieldPosition="0">
        <references count="3">
          <reference field="11" count="1" selected="0">
            <x v="412"/>
          </reference>
          <reference field="14" count="1" selected="0">
            <x v="441"/>
          </reference>
          <reference field="18" count="1">
            <x v="19"/>
          </reference>
        </references>
      </pivotArea>
    </format>
    <format dxfId="1079">
      <pivotArea dataOnly="0" labelOnly="1" outline="0" fieldPosition="0">
        <references count="3">
          <reference field="11" count="1" selected="0">
            <x v="412"/>
          </reference>
          <reference field="14" count="1" selected="0">
            <x v="441"/>
          </reference>
          <reference field="18" count="1" defaultSubtotal="1">
            <x v="19"/>
          </reference>
        </references>
      </pivotArea>
    </format>
    <format dxfId="1078">
      <pivotArea dataOnly="0" labelOnly="1" outline="0" fieldPosition="0">
        <references count="3">
          <reference field="11" count="1" selected="0">
            <x v="413"/>
          </reference>
          <reference field="14" count="1" selected="0">
            <x v="73"/>
          </reference>
          <reference field="18" count="1">
            <x v="22"/>
          </reference>
        </references>
      </pivotArea>
    </format>
    <format dxfId="1077">
      <pivotArea dataOnly="0" labelOnly="1" outline="0" fieldPosition="0">
        <references count="3">
          <reference field="11" count="1" selected="0">
            <x v="413"/>
          </reference>
          <reference field="14" count="1" selected="0">
            <x v="73"/>
          </reference>
          <reference field="18" count="1" defaultSubtotal="1">
            <x v="22"/>
          </reference>
        </references>
      </pivotArea>
    </format>
    <format dxfId="1076">
      <pivotArea dataOnly="0" labelOnly="1" outline="0" fieldPosition="0">
        <references count="3">
          <reference field="11" count="1" selected="0">
            <x v="414"/>
          </reference>
          <reference field="14" count="1" selected="0">
            <x v="125"/>
          </reference>
          <reference field="18" count="1">
            <x v="14"/>
          </reference>
        </references>
      </pivotArea>
    </format>
    <format dxfId="1075">
      <pivotArea dataOnly="0" labelOnly="1" outline="0" fieldPosition="0">
        <references count="3">
          <reference field="11" count="1" selected="0">
            <x v="414"/>
          </reference>
          <reference field="14" count="1" selected="0">
            <x v="125"/>
          </reference>
          <reference field="18" count="1" defaultSubtotal="1">
            <x v="14"/>
          </reference>
        </references>
      </pivotArea>
    </format>
    <format dxfId="1074">
      <pivotArea dataOnly="0" labelOnly="1" outline="0" fieldPosition="0">
        <references count="3">
          <reference field="11" count="1" selected="0">
            <x v="415"/>
          </reference>
          <reference field="14" count="1" selected="0">
            <x v="324"/>
          </reference>
          <reference field="18" count="1">
            <x v="0"/>
          </reference>
        </references>
      </pivotArea>
    </format>
    <format dxfId="1073">
      <pivotArea dataOnly="0" labelOnly="1" outline="0" fieldPosition="0">
        <references count="3">
          <reference field="11" count="1" selected="0">
            <x v="415"/>
          </reference>
          <reference field="14" count="1" selected="0">
            <x v="324"/>
          </reference>
          <reference field="18" count="1" defaultSubtotal="1">
            <x v="0"/>
          </reference>
        </references>
      </pivotArea>
    </format>
    <format dxfId="1072">
      <pivotArea dataOnly="0" labelOnly="1" outline="0" fieldPosition="0">
        <references count="3">
          <reference field="11" count="1" selected="0">
            <x v="416"/>
          </reference>
          <reference field="14" count="1" selected="0">
            <x v="108"/>
          </reference>
          <reference field="18" count="1">
            <x v="0"/>
          </reference>
        </references>
      </pivotArea>
    </format>
    <format dxfId="1071">
      <pivotArea dataOnly="0" labelOnly="1" outline="0" fieldPosition="0">
        <references count="3">
          <reference field="11" count="1" selected="0">
            <x v="416"/>
          </reference>
          <reference field="14" count="1" selected="0">
            <x v="108"/>
          </reference>
          <reference field="18" count="1" defaultSubtotal="1">
            <x v="0"/>
          </reference>
        </references>
      </pivotArea>
    </format>
    <format dxfId="1070">
      <pivotArea dataOnly="0" labelOnly="1" outline="0" fieldPosition="0">
        <references count="3">
          <reference field="11" count="1" selected="0">
            <x v="417"/>
          </reference>
          <reference field="14" count="1" selected="0">
            <x v="109"/>
          </reference>
          <reference field="18" count="1">
            <x v="1"/>
          </reference>
        </references>
      </pivotArea>
    </format>
    <format dxfId="1069">
      <pivotArea dataOnly="0" labelOnly="1" outline="0" fieldPosition="0">
        <references count="3">
          <reference field="11" count="1" selected="0">
            <x v="417"/>
          </reference>
          <reference field="14" count="1" selected="0">
            <x v="109"/>
          </reference>
          <reference field="18" count="1" defaultSubtotal="1">
            <x v="1"/>
          </reference>
        </references>
      </pivotArea>
    </format>
    <format dxfId="1068">
      <pivotArea dataOnly="0" labelOnly="1" outline="0" fieldPosition="0">
        <references count="3">
          <reference field="11" count="1" selected="0">
            <x v="418"/>
          </reference>
          <reference field="14" count="1" selected="0">
            <x v="110"/>
          </reference>
          <reference field="18" count="2">
            <x v="3"/>
            <x v="9"/>
          </reference>
        </references>
      </pivotArea>
    </format>
    <format dxfId="1067">
      <pivotArea dataOnly="0" labelOnly="1" outline="0" fieldPosition="0">
        <references count="3">
          <reference field="11" count="1" selected="0">
            <x v="418"/>
          </reference>
          <reference field="14" count="1" selected="0">
            <x v="110"/>
          </reference>
          <reference field="18" count="2" defaultSubtotal="1">
            <x v="3"/>
            <x v="9"/>
          </reference>
        </references>
      </pivotArea>
    </format>
    <format dxfId="1066">
      <pivotArea dataOnly="0" labelOnly="1" outline="0" fieldPosition="0">
        <references count="3">
          <reference field="11" count="1" selected="0">
            <x v="419"/>
          </reference>
          <reference field="14" count="1" selected="0">
            <x v="107"/>
          </reference>
          <reference field="18" count="1">
            <x v="0"/>
          </reference>
        </references>
      </pivotArea>
    </format>
    <format dxfId="1065">
      <pivotArea dataOnly="0" labelOnly="1" outline="0" fieldPosition="0">
        <references count="3">
          <reference field="11" count="1" selected="0">
            <x v="419"/>
          </reference>
          <reference field="14" count="1" selected="0">
            <x v="107"/>
          </reference>
          <reference field="18" count="1" defaultSubtotal="1">
            <x v="0"/>
          </reference>
        </references>
      </pivotArea>
    </format>
    <format dxfId="1064">
      <pivotArea dataOnly="0" labelOnly="1" outline="0" fieldPosition="0">
        <references count="3">
          <reference field="11" count="1" selected="0">
            <x v="420"/>
          </reference>
          <reference field="14" count="1" selected="0">
            <x v="45"/>
          </reference>
          <reference field="18" count="1">
            <x v="0"/>
          </reference>
        </references>
      </pivotArea>
    </format>
    <format dxfId="1063">
      <pivotArea dataOnly="0" labelOnly="1" outline="0" fieldPosition="0">
        <references count="3">
          <reference field="11" count="1" selected="0">
            <x v="420"/>
          </reference>
          <reference field="14" count="1" selected="0">
            <x v="45"/>
          </reference>
          <reference field="18" count="1" defaultSubtotal="1">
            <x v="0"/>
          </reference>
        </references>
      </pivotArea>
    </format>
    <format dxfId="1062">
      <pivotArea dataOnly="0" labelOnly="1" outline="0" fieldPosition="0">
        <references count="3">
          <reference field="11" count="1" selected="0">
            <x v="421"/>
          </reference>
          <reference field="14" count="1" selected="0">
            <x v="287"/>
          </reference>
          <reference field="18" count="1">
            <x v="0"/>
          </reference>
        </references>
      </pivotArea>
    </format>
    <format dxfId="1061">
      <pivotArea dataOnly="0" labelOnly="1" outline="0" fieldPosition="0">
        <references count="3">
          <reference field="11" count="1" selected="0">
            <x v="421"/>
          </reference>
          <reference field="14" count="1" selected="0">
            <x v="287"/>
          </reference>
          <reference field="18" count="1" defaultSubtotal="1">
            <x v="0"/>
          </reference>
        </references>
      </pivotArea>
    </format>
    <format dxfId="1060">
      <pivotArea dataOnly="0" labelOnly="1" outline="0" fieldPosition="0">
        <references count="3">
          <reference field="11" count="1" selected="0">
            <x v="422"/>
          </reference>
          <reference field="14" count="1" selected="0">
            <x v="363"/>
          </reference>
          <reference field="18" count="2">
            <x v="16"/>
            <x v="18"/>
          </reference>
        </references>
      </pivotArea>
    </format>
    <format dxfId="1059">
      <pivotArea dataOnly="0" labelOnly="1" outline="0" fieldPosition="0">
        <references count="3">
          <reference field="11" count="1" selected="0">
            <x v="422"/>
          </reference>
          <reference field="14" count="1" selected="0">
            <x v="363"/>
          </reference>
          <reference field="18" count="2" defaultSubtotal="1">
            <x v="16"/>
            <x v="18"/>
          </reference>
        </references>
      </pivotArea>
    </format>
    <format dxfId="1058">
      <pivotArea dataOnly="0" labelOnly="1" outline="0" fieldPosition="0">
        <references count="3">
          <reference field="11" count="1" selected="0">
            <x v="423"/>
          </reference>
          <reference field="14" count="1" selected="0">
            <x v="259"/>
          </reference>
          <reference field="18" count="1">
            <x v="12"/>
          </reference>
        </references>
      </pivotArea>
    </format>
    <format dxfId="1057">
      <pivotArea dataOnly="0" labelOnly="1" outline="0" fieldPosition="0">
        <references count="3">
          <reference field="11" count="1" selected="0">
            <x v="423"/>
          </reference>
          <reference field="14" count="1" selected="0">
            <x v="259"/>
          </reference>
          <reference field="18" count="1" defaultSubtotal="1">
            <x v="12"/>
          </reference>
        </references>
      </pivotArea>
    </format>
    <format dxfId="1056">
      <pivotArea dataOnly="0" labelOnly="1" outline="0" fieldPosition="0">
        <references count="3">
          <reference field="11" count="1" selected="0">
            <x v="424"/>
          </reference>
          <reference field="14" count="1" selected="0">
            <x v="408"/>
          </reference>
          <reference field="18" count="1">
            <x v="0"/>
          </reference>
        </references>
      </pivotArea>
    </format>
    <format dxfId="1055">
      <pivotArea dataOnly="0" labelOnly="1" outline="0" fieldPosition="0">
        <references count="3">
          <reference field="11" count="1" selected="0">
            <x v="424"/>
          </reference>
          <reference field="14" count="1" selected="0">
            <x v="408"/>
          </reference>
          <reference field="18" count="1" defaultSubtotal="1">
            <x v="0"/>
          </reference>
        </references>
      </pivotArea>
    </format>
    <format dxfId="1054">
      <pivotArea dataOnly="0" labelOnly="1" outline="0" fieldPosition="0">
        <references count="3">
          <reference field="11" count="1" selected="0">
            <x v="425"/>
          </reference>
          <reference field="14" count="1" selected="0">
            <x v="289"/>
          </reference>
          <reference field="18" count="1">
            <x v="14"/>
          </reference>
        </references>
      </pivotArea>
    </format>
    <format dxfId="1053">
      <pivotArea dataOnly="0" labelOnly="1" outline="0" fieldPosition="0">
        <references count="3">
          <reference field="11" count="1" selected="0">
            <x v="425"/>
          </reference>
          <reference field="14" count="1" selected="0">
            <x v="289"/>
          </reference>
          <reference field="18" count="1" defaultSubtotal="1">
            <x v="14"/>
          </reference>
        </references>
      </pivotArea>
    </format>
    <format dxfId="1052">
      <pivotArea dataOnly="0" labelOnly="1" outline="0" fieldPosition="0">
        <references count="3">
          <reference field="11" count="1" selected="0">
            <x v="426"/>
          </reference>
          <reference field="14" count="1" selected="0">
            <x v="401"/>
          </reference>
          <reference field="18" count="1">
            <x v="0"/>
          </reference>
        </references>
      </pivotArea>
    </format>
    <format dxfId="1051">
      <pivotArea dataOnly="0" labelOnly="1" outline="0" fieldPosition="0">
        <references count="3">
          <reference field="11" count="1" selected="0">
            <x v="426"/>
          </reference>
          <reference field="14" count="1" selected="0">
            <x v="401"/>
          </reference>
          <reference field="18" count="1" defaultSubtotal="1">
            <x v="0"/>
          </reference>
        </references>
      </pivotArea>
    </format>
    <format dxfId="1050">
      <pivotArea dataOnly="0" labelOnly="1" outline="0" fieldPosition="0">
        <references count="3">
          <reference field="11" count="1" selected="0">
            <x v="427"/>
          </reference>
          <reference field="14" count="1" selected="0">
            <x v="407"/>
          </reference>
          <reference field="18" count="1">
            <x v="0"/>
          </reference>
        </references>
      </pivotArea>
    </format>
    <format dxfId="1049">
      <pivotArea dataOnly="0" labelOnly="1" outline="0" fieldPosition="0">
        <references count="3">
          <reference field="11" count="1" selected="0">
            <x v="427"/>
          </reference>
          <reference field="14" count="1" selected="0">
            <x v="407"/>
          </reference>
          <reference field="18" count="1" defaultSubtotal="1">
            <x v="0"/>
          </reference>
        </references>
      </pivotArea>
    </format>
    <format dxfId="1048">
      <pivotArea dataOnly="0" labelOnly="1" outline="0" fieldPosition="0">
        <references count="3">
          <reference field="11" count="1" selected="0">
            <x v="428"/>
          </reference>
          <reference field="14" count="1" selected="0">
            <x v="412"/>
          </reference>
          <reference field="18" count="1">
            <x v="0"/>
          </reference>
        </references>
      </pivotArea>
    </format>
    <format dxfId="1047">
      <pivotArea dataOnly="0" labelOnly="1" outline="0" fieldPosition="0">
        <references count="3">
          <reference field="11" count="1" selected="0">
            <x v="428"/>
          </reference>
          <reference field="14" count="1" selected="0">
            <x v="412"/>
          </reference>
          <reference field="18" count="1" defaultSubtotal="1">
            <x v="0"/>
          </reference>
        </references>
      </pivotArea>
    </format>
    <format dxfId="1046">
      <pivotArea dataOnly="0" labelOnly="1" outline="0" fieldPosition="0">
        <references count="3">
          <reference field="11" count="1" selected="0">
            <x v="429"/>
          </reference>
          <reference field="14" count="1" selected="0">
            <x v="421"/>
          </reference>
          <reference field="18" count="1">
            <x v="19"/>
          </reference>
        </references>
      </pivotArea>
    </format>
    <format dxfId="1045">
      <pivotArea dataOnly="0" labelOnly="1" outline="0" fieldPosition="0">
        <references count="3">
          <reference field="11" count="1" selected="0">
            <x v="429"/>
          </reference>
          <reference field="14" count="1" selected="0">
            <x v="421"/>
          </reference>
          <reference field="18" count="1" defaultSubtotal="1">
            <x v="19"/>
          </reference>
        </references>
      </pivotArea>
    </format>
    <format dxfId="1044">
      <pivotArea dataOnly="0" labelOnly="1" outline="0" fieldPosition="0">
        <references count="3">
          <reference field="11" count="1" selected="0">
            <x v="430"/>
          </reference>
          <reference field="14" count="1" selected="0">
            <x v="444"/>
          </reference>
          <reference field="18" count="1">
            <x v="19"/>
          </reference>
        </references>
      </pivotArea>
    </format>
    <format dxfId="1043">
      <pivotArea dataOnly="0" labelOnly="1" outline="0" fieldPosition="0">
        <references count="3">
          <reference field="11" count="1" selected="0">
            <x v="430"/>
          </reference>
          <reference field="14" count="1" selected="0">
            <x v="444"/>
          </reference>
          <reference field="18" count="1" defaultSubtotal="1">
            <x v="19"/>
          </reference>
        </references>
      </pivotArea>
    </format>
    <format dxfId="1042">
      <pivotArea dataOnly="0" labelOnly="1" outline="0" fieldPosition="0">
        <references count="3">
          <reference field="11" count="1" selected="0">
            <x v="431"/>
          </reference>
          <reference field="14" count="1" selected="0">
            <x v="191"/>
          </reference>
          <reference field="18" count="1">
            <x v="3"/>
          </reference>
        </references>
      </pivotArea>
    </format>
    <format dxfId="1041">
      <pivotArea dataOnly="0" labelOnly="1" outline="0" fieldPosition="0">
        <references count="3">
          <reference field="11" count="1" selected="0">
            <x v="431"/>
          </reference>
          <reference field="14" count="1" selected="0">
            <x v="191"/>
          </reference>
          <reference field="18" count="1" defaultSubtotal="1">
            <x v="3"/>
          </reference>
        </references>
      </pivotArea>
    </format>
    <format dxfId="1040">
      <pivotArea dataOnly="0" labelOnly="1" outline="0" fieldPosition="0">
        <references count="3">
          <reference field="11" count="1" selected="0">
            <x v="432"/>
          </reference>
          <reference field="14" count="1" selected="0">
            <x v="119"/>
          </reference>
          <reference field="18" count="2">
            <x v="12"/>
            <x v="14"/>
          </reference>
        </references>
      </pivotArea>
    </format>
    <format dxfId="1039">
      <pivotArea dataOnly="0" labelOnly="1" outline="0" fieldPosition="0">
        <references count="3">
          <reference field="11" count="1" selected="0">
            <x v="432"/>
          </reference>
          <reference field="14" count="1" selected="0">
            <x v="119"/>
          </reference>
          <reference field="18" count="2" defaultSubtotal="1">
            <x v="12"/>
            <x v="14"/>
          </reference>
        </references>
      </pivotArea>
    </format>
    <format dxfId="1038">
      <pivotArea dataOnly="0" labelOnly="1" outline="0" fieldPosition="0">
        <references count="3">
          <reference field="11" count="1" selected="0">
            <x v="433"/>
          </reference>
          <reference field="14" count="1" selected="0">
            <x v="80"/>
          </reference>
          <reference field="18" count="1">
            <x v="27"/>
          </reference>
        </references>
      </pivotArea>
    </format>
    <format dxfId="1037">
      <pivotArea dataOnly="0" labelOnly="1" outline="0" fieldPosition="0">
        <references count="3">
          <reference field="11" count="1" selected="0">
            <x v="433"/>
          </reference>
          <reference field="14" count="1" selected="0">
            <x v="80"/>
          </reference>
          <reference field="18" count="1" defaultSubtotal="1">
            <x v="27"/>
          </reference>
        </references>
      </pivotArea>
    </format>
    <format dxfId="1036">
      <pivotArea dataOnly="0" labelOnly="1" outline="0" fieldPosition="0">
        <references count="3">
          <reference field="11" count="1" selected="0">
            <x v="434"/>
          </reference>
          <reference field="14" count="1" selected="0">
            <x v="84"/>
          </reference>
          <reference field="18" count="2">
            <x v="0"/>
            <x v="27"/>
          </reference>
        </references>
      </pivotArea>
    </format>
    <format dxfId="1035">
      <pivotArea dataOnly="0" labelOnly="1" outline="0" fieldPosition="0">
        <references count="3">
          <reference field="11" count="1" selected="0">
            <x v="434"/>
          </reference>
          <reference field="14" count="1" selected="0">
            <x v="84"/>
          </reference>
          <reference field="18" count="2" defaultSubtotal="1">
            <x v="0"/>
            <x v="27"/>
          </reference>
        </references>
      </pivotArea>
    </format>
    <format dxfId="1034">
      <pivotArea dataOnly="0" labelOnly="1" outline="0" fieldPosition="0">
        <references count="3">
          <reference field="11" count="1" selected="0">
            <x v="435"/>
          </reference>
          <reference field="14" count="1" selected="0">
            <x v="236"/>
          </reference>
          <reference field="18" count="1">
            <x v="27"/>
          </reference>
        </references>
      </pivotArea>
    </format>
    <format dxfId="1033">
      <pivotArea dataOnly="0" labelOnly="1" outline="0" fieldPosition="0">
        <references count="3">
          <reference field="11" count="1" selected="0">
            <x v="435"/>
          </reference>
          <reference field="14" count="1" selected="0">
            <x v="236"/>
          </reference>
          <reference field="18" count="1" defaultSubtotal="1">
            <x v="27"/>
          </reference>
        </references>
      </pivotArea>
    </format>
    <format dxfId="1032">
      <pivotArea dataOnly="0" labelOnly="1" outline="0" fieldPosition="0">
        <references count="3">
          <reference field="11" count="1" selected="0">
            <x v="436"/>
          </reference>
          <reference field="14" count="1" selected="0">
            <x v="99"/>
          </reference>
          <reference field="18" count="1">
            <x v="1"/>
          </reference>
        </references>
      </pivotArea>
    </format>
    <format dxfId="1031">
      <pivotArea dataOnly="0" labelOnly="1" outline="0" fieldPosition="0">
        <references count="3">
          <reference field="11" count="1" selected="0">
            <x v="436"/>
          </reference>
          <reference field="14" count="1" selected="0">
            <x v="99"/>
          </reference>
          <reference field="18" count="1" defaultSubtotal="1">
            <x v="1"/>
          </reference>
        </references>
      </pivotArea>
    </format>
    <format dxfId="1030">
      <pivotArea dataOnly="0" labelOnly="1" outline="0" fieldPosition="0">
        <references count="3">
          <reference field="11" count="1" selected="0">
            <x v="437"/>
          </reference>
          <reference field="14" count="1" selected="0">
            <x v="246"/>
          </reference>
          <reference field="18" count="1">
            <x v="14"/>
          </reference>
        </references>
      </pivotArea>
    </format>
    <format dxfId="1029">
      <pivotArea dataOnly="0" labelOnly="1" outline="0" fieldPosition="0">
        <references count="3">
          <reference field="11" count="1" selected="0">
            <x v="437"/>
          </reference>
          <reference field="14" count="1" selected="0">
            <x v="246"/>
          </reference>
          <reference field="18" count="1" defaultSubtotal="1">
            <x v="14"/>
          </reference>
        </references>
      </pivotArea>
    </format>
    <format dxfId="1028">
      <pivotArea dataOnly="0" labelOnly="1" outline="0" fieldPosition="0">
        <references count="3">
          <reference field="11" count="1" selected="0">
            <x v="438"/>
          </reference>
          <reference field="14" count="1" selected="0">
            <x v="15"/>
          </reference>
          <reference field="18" count="2">
            <x v="8"/>
            <x v="14"/>
          </reference>
        </references>
      </pivotArea>
    </format>
    <format dxfId="1027">
      <pivotArea dataOnly="0" labelOnly="1" outline="0" fieldPosition="0">
        <references count="3">
          <reference field="11" count="1" selected="0">
            <x v="438"/>
          </reference>
          <reference field="14" count="1" selected="0">
            <x v="15"/>
          </reference>
          <reference field="18" count="2" defaultSubtotal="1">
            <x v="8"/>
            <x v="14"/>
          </reference>
        </references>
      </pivotArea>
    </format>
    <format dxfId="1026">
      <pivotArea dataOnly="0" labelOnly="1" outline="0" fieldPosition="0">
        <references count="3">
          <reference field="11" count="1" selected="0">
            <x v="439"/>
          </reference>
          <reference field="14" count="1" selected="0">
            <x v="446"/>
          </reference>
          <reference field="18" count="1">
            <x v="19"/>
          </reference>
        </references>
      </pivotArea>
    </format>
    <format dxfId="1025">
      <pivotArea dataOnly="0" labelOnly="1" outline="0" fieldPosition="0">
        <references count="3">
          <reference field="11" count="1" selected="0">
            <x v="439"/>
          </reference>
          <reference field="14" count="1" selected="0">
            <x v="446"/>
          </reference>
          <reference field="18" count="1" defaultSubtotal="1">
            <x v="19"/>
          </reference>
        </references>
      </pivotArea>
    </format>
    <format dxfId="1024">
      <pivotArea dataOnly="0" labelOnly="1" outline="0" fieldPosition="0">
        <references count="3">
          <reference field="11" count="1" selected="0">
            <x v="440"/>
          </reference>
          <reference field="14" count="1" selected="0">
            <x v="208"/>
          </reference>
          <reference field="18" count="1">
            <x v="27"/>
          </reference>
        </references>
      </pivotArea>
    </format>
    <format dxfId="1023">
      <pivotArea dataOnly="0" labelOnly="1" outline="0" fieldPosition="0">
        <references count="3">
          <reference field="11" count="1" selected="0">
            <x v="440"/>
          </reference>
          <reference field="14" count="1" selected="0">
            <x v="208"/>
          </reference>
          <reference field="18" count="1" defaultSubtotal="1">
            <x v="27"/>
          </reference>
        </references>
      </pivotArea>
    </format>
    <format dxfId="1022">
      <pivotArea dataOnly="0" labelOnly="1" outline="0" fieldPosition="0">
        <references count="3">
          <reference field="11" count="1" selected="0">
            <x v="441"/>
          </reference>
          <reference field="14" count="1" selected="0">
            <x v="30"/>
          </reference>
          <reference field="18" count="1">
            <x v="27"/>
          </reference>
        </references>
      </pivotArea>
    </format>
    <format dxfId="1021">
      <pivotArea dataOnly="0" labelOnly="1" outline="0" fieldPosition="0">
        <references count="3">
          <reference field="11" count="1" selected="0">
            <x v="441"/>
          </reference>
          <reference field="14" count="1" selected="0">
            <x v="30"/>
          </reference>
          <reference field="18" count="1" defaultSubtotal="1">
            <x v="27"/>
          </reference>
        </references>
      </pivotArea>
    </format>
    <format dxfId="1020">
      <pivotArea dataOnly="0" labelOnly="1" outline="0" fieldPosition="0">
        <references count="3">
          <reference field="11" count="1" selected="0">
            <x v="442"/>
          </reference>
          <reference field="14" count="1" selected="0">
            <x v="306"/>
          </reference>
          <reference field="18" count="1">
            <x v="27"/>
          </reference>
        </references>
      </pivotArea>
    </format>
    <format dxfId="1019">
      <pivotArea dataOnly="0" labelOnly="1" outline="0" fieldPosition="0">
        <references count="3">
          <reference field="11" count="1" selected="0">
            <x v="442"/>
          </reference>
          <reference field="14" count="1" selected="0">
            <x v="306"/>
          </reference>
          <reference field="18" count="1" defaultSubtotal="1">
            <x v="27"/>
          </reference>
        </references>
      </pivotArea>
    </format>
    <format dxfId="1018">
      <pivotArea dataOnly="0" labelOnly="1" outline="0" fieldPosition="0">
        <references count="3">
          <reference field="11" count="1" selected="0">
            <x v="443"/>
          </reference>
          <reference field="14" count="1" selected="0">
            <x v="432"/>
          </reference>
          <reference field="18" count="1">
            <x v="19"/>
          </reference>
        </references>
      </pivotArea>
    </format>
    <format dxfId="1017">
      <pivotArea dataOnly="0" labelOnly="1" outline="0" fieldPosition="0">
        <references count="3">
          <reference field="11" count="1" selected="0">
            <x v="443"/>
          </reference>
          <reference field="14" count="1" selected="0">
            <x v="432"/>
          </reference>
          <reference field="18" count="1" defaultSubtotal="1">
            <x v="19"/>
          </reference>
        </references>
      </pivotArea>
    </format>
    <format dxfId="1016">
      <pivotArea dataOnly="0" labelOnly="1" outline="0" fieldPosition="0">
        <references count="3">
          <reference field="11" count="1" selected="0">
            <x v="444"/>
          </reference>
          <reference field="14" count="1" selected="0">
            <x v="436"/>
          </reference>
          <reference field="18" count="1">
            <x v="19"/>
          </reference>
        </references>
      </pivotArea>
    </format>
    <format dxfId="1015">
      <pivotArea dataOnly="0" labelOnly="1" outline="0" fieldPosition="0">
        <references count="3">
          <reference field="11" count="1" selected="0">
            <x v="444"/>
          </reference>
          <reference field="14" count="1" selected="0">
            <x v="436"/>
          </reference>
          <reference field="18" count="1" defaultSubtotal="1">
            <x v="19"/>
          </reference>
        </references>
      </pivotArea>
    </format>
    <format dxfId="1014">
      <pivotArea dataOnly="0" labelOnly="1" outline="0" fieldPosition="0">
        <references count="3">
          <reference field="11" count="1" selected="0">
            <x v="445"/>
          </reference>
          <reference field="14" count="1" selected="0">
            <x v="437"/>
          </reference>
          <reference field="18" count="1">
            <x v="19"/>
          </reference>
        </references>
      </pivotArea>
    </format>
    <format dxfId="1013">
      <pivotArea dataOnly="0" labelOnly="1" outline="0" fieldPosition="0">
        <references count="3">
          <reference field="11" count="1" selected="0">
            <x v="445"/>
          </reference>
          <reference field="14" count="1" selected="0">
            <x v="437"/>
          </reference>
          <reference field="18" count="1" defaultSubtotal="1">
            <x v="19"/>
          </reference>
        </references>
      </pivotArea>
    </format>
    <format dxfId="1012">
      <pivotArea dataOnly="0" labelOnly="1" outline="0" fieldPosition="0">
        <references count="3">
          <reference field="11" count="1" selected="0">
            <x v="446"/>
          </reference>
          <reference field="14" count="1" selected="0">
            <x v="29"/>
          </reference>
          <reference field="18" count="1">
            <x v="19"/>
          </reference>
        </references>
      </pivotArea>
    </format>
    <format dxfId="1011">
      <pivotArea dataOnly="0" labelOnly="1" outline="0" fieldPosition="0">
        <references count="3">
          <reference field="11" count="1" selected="0">
            <x v="446"/>
          </reference>
          <reference field="14" count="1" selected="0">
            <x v="29"/>
          </reference>
          <reference field="18" count="1" defaultSubtotal="1">
            <x v="19"/>
          </reference>
        </references>
      </pivotArea>
    </format>
    <format dxfId="1010">
      <pivotArea dataOnly="0" labelOnly="1" outline="0" fieldPosition="0">
        <references count="3">
          <reference field="11" count="1" selected="0">
            <x v="447"/>
          </reference>
          <reference field="14" count="1" selected="0">
            <x v="57"/>
          </reference>
          <reference field="18" count="1">
            <x v="27"/>
          </reference>
        </references>
      </pivotArea>
    </format>
    <format dxfId="1009">
      <pivotArea dataOnly="0" labelOnly="1" outline="0" fieldPosition="0">
        <references count="3">
          <reference field="11" count="1" selected="0">
            <x v="447"/>
          </reference>
          <reference field="14" count="1" selected="0">
            <x v="57"/>
          </reference>
          <reference field="18" count="1" defaultSubtotal="1">
            <x v="27"/>
          </reference>
        </references>
      </pivotArea>
    </format>
    <format dxfId="1008">
      <pivotArea dataOnly="0" labelOnly="1" outline="0" fieldPosition="0">
        <references count="3">
          <reference field="11" count="1" selected="0">
            <x v="448"/>
          </reference>
          <reference field="14" count="1" selected="0">
            <x v="58"/>
          </reference>
          <reference field="18" count="1">
            <x v="27"/>
          </reference>
        </references>
      </pivotArea>
    </format>
    <format dxfId="1007">
      <pivotArea dataOnly="0" labelOnly="1" outline="0" fieldPosition="0">
        <references count="3">
          <reference field="11" count="1" selected="0">
            <x v="448"/>
          </reference>
          <reference field="14" count="1" selected="0">
            <x v="58"/>
          </reference>
          <reference field="18" count="1" defaultSubtotal="1">
            <x v="27"/>
          </reference>
        </references>
      </pivotArea>
    </format>
    <format dxfId="1006">
      <pivotArea dataOnly="0" labelOnly="1" outline="0" fieldPosition="0">
        <references count="3">
          <reference field="11" count="1" selected="0">
            <x v="449"/>
          </reference>
          <reference field="14" count="1" selected="0">
            <x v="10"/>
          </reference>
          <reference field="18" count="2">
            <x v="24"/>
            <x v="27"/>
          </reference>
        </references>
      </pivotArea>
    </format>
    <format dxfId="1005">
      <pivotArea dataOnly="0" labelOnly="1" outline="0" fieldPosition="0">
        <references count="3">
          <reference field="11" count="1" selected="0">
            <x v="449"/>
          </reference>
          <reference field="14" count="1" selected="0">
            <x v="10"/>
          </reference>
          <reference field="18" count="2" defaultSubtotal="1">
            <x v="24"/>
            <x v="27"/>
          </reference>
        </references>
      </pivotArea>
    </format>
    <format dxfId="1004">
      <pivotArea dataOnly="0" labelOnly="1" outline="0" fieldPosition="0">
        <references count="3">
          <reference field="11" count="1" selected="0">
            <x v="450"/>
          </reference>
          <reference field="14" count="1" selected="0">
            <x v="141"/>
          </reference>
          <reference field="18" count="2">
            <x v="0"/>
            <x v="27"/>
          </reference>
        </references>
      </pivotArea>
    </format>
    <format dxfId="1003">
      <pivotArea dataOnly="0" labelOnly="1" outline="0" fieldPosition="0">
        <references count="3">
          <reference field="11" count="1" selected="0">
            <x v="450"/>
          </reference>
          <reference field="14" count="1" selected="0">
            <x v="141"/>
          </reference>
          <reference field="18" count="2" defaultSubtotal="1">
            <x v="0"/>
            <x v="27"/>
          </reference>
        </references>
      </pivotArea>
    </format>
    <format dxfId="1002">
      <pivotArea dataOnly="0" labelOnly="1" outline="0" fieldPosition="0">
        <references count="3">
          <reference field="11" count="1" selected="0">
            <x v="451"/>
          </reference>
          <reference field="14" count="1" selected="0">
            <x v="101"/>
          </reference>
          <reference field="18" count="1">
            <x v="27"/>
          </reference>
        </references>
      </pivotArea>
    </format>
    <format dxfId="1001">
      <pivotArea dataOnly="0" labelOnly="1" outline="0" fieldPosition="0">
        <references count="3">
          <reference field="11" count="1" selected="0">
            <x v="451"/>
          </reference>
          <reference field="14" count="1" selected="0">
            <x v="101"/>
          </reference>
          <reference field="18" count="1" defaultSubtotal="1">
            <x v="27"/>
          </reference>
        </references>
      </pivotArea>
    </format>
    <format dxfId="1000">
      <pivotArea dataOnly="0" labelOnly="1" outline="0" fieldPosition="0">
        <references count="3">
          <reference field="11" count="1" selected="0">
            <x v="452"/>
          </reference>
          <reference field="14" count="1" selected="0">
            <x v="450"/>
          </reference>
          <reference field="18" count="1">
            <x v="19"/>
          </reference>
        </references>
      </pivotArea>
    </format>
    <format dxfId="999">
      <pivotArea dataOnly="0" labelOnly="1" outline="0" fieldPosition="0">
        <references count="3">
          <reference field="11" count="1" selected="0">
            <x v="452"/>
          </reference>
          <reference field="14" count="1" selected="0">
            <x v="450"/>
          </reference>
          <reference field="18" count="1" defaultSubtotal="1">
            <x v="19"/>
          </reference>
        </references>
      </pivotArea>
    </format>
    <format dxfId="998">
      <pivotArea dataOnly="0" labelOnly="1" outline="0" fieldPosition="0">
        <references count="3">
          <reference field="11" count="1" selected="0">
            <x v="453"/>
          </reference>
          <reference field="14" count="1" selected="0">
            <x v="144"/>
          </reference>
          <reference field="18" count="1">
            <x v="3"/>
          </reference>
        </references>
      </pivotArea>
    </format>
    <format dxfId="997">
      <pivotArea dataOnly="0" labelOnly="1" outline="0" fieldPosition="0">
        <references count="3">
          <reference field="11" count="1" selected="0">
            <x v="453"/>
          </reference>
          <reference field="14" count="1" selected="0">
            <x v="144"/>
          </reference>
          <reference field="18" count="1" defaultSubtotal="1">
            <x v="3"/>
          </reference>
        </references>
      </pivotArea>
    </format>
    <format dxfId="996">
      <pivotArea dataOnly="0" labelOnly="1" outline="0" fieldPosition="0">
        <references count="3">
          <reference field="11" count="1" selected="0">
            <x v="454"/>
          </reference>
          <reference field="14" count="1" selected="0">
            <x v="397"/>
          </reference>
          <reference field="18" count="1">
            <x v="3"/>
          </reference>
        </references>
      </pivotArea>
    </format>
    <format dxfId="995">
      <pivotArea dataOnly="0" labelOnly="1" outline="0" fieldPosition="0">
        <references count="3">
          <reference field="11" count="1" selected="0">
            <x v="454"/>
          </reference>
          <reference field="14" count="1" selected="0">
            <x v="397"/>
          </reference>
          <reference field="18" count="1" defaultSubtotal="1">
            <x v="3"/>
          </reference>
        </references>
      </pivotArea>
    </format>
    <format dxfId="994">
      <pivotArea dataOnly="0" labelOnly="1" outline="0" fieldPosition="0">
        <references count="3">
          <reference field="11" count="1" selected="0">
            <x v="455"/>
          </reference>
          <reference field="14" count="1" selected="0">
            <x v="390"/>
          </reference>
          <reference field="18" count="1">
            <x v="3"/>
          </reference>
        </references>
      </pivotArea>
    </format>
    <format dxfId="993">
      <pivotArea dataOnly="0" labelOnly="1" outline="0" fieldPosition="0">
        <references count="3">
          <reference field="11" count="1" selected="0">
            <x v="455"/>
          </reference>
          <reference field="14" count="1" selected="0">
            <x v="390"/>
          </reference>
          <reference field="18" count="1" defaultSubtotal="1">
            <x v="3"/>
          </reference>
        </references>
      </pivotArea>
    </format>
    <format dxfId="992">
      <pivotArea dataOnly="0" labelOnly="1" outline="0" fieldPosition="0">
        <references count="3">
          <reference field="11" count="1" selected="0">
            <x v="456"/>
          </reference>
          <reference field="14" count="1" selected="0">
            <x v="452"/>
          </reference>
          <reference field="18" count="1">
            <x v="3"/>
          </reference>
        </references>
      </pivotArea>
    </format>
    <format dxfId="991">
      <pivotArea dataOnly="0" labelOnly="1" outline="0" fieldPosition="0">
        <references count="3">
          <reference field="11" count="1" selected="0">
            <x v="456"/>
          </reference>
          <reference field="14" count="1" selected="0">
            <x v="452"/>
          </reference>
          <reference field="18" count="1" defaultSubtotal="1">
            <x v="3"/>
          </reference>
        </references>
      </pivotArea>
    </format>
    <format dxfId="990">
      <pivotArea dataOnly="0" labelOnly="1" outline="0" fieldPosition="0">
        <references count="3">
          <reference field="11" count="1" selected="0">
            <x v="457"/>
          </reference>
          <reference field="14" count="1" selected="0">
            <x v="12"/>
          </reference>
          <reference field="18" count="1">
            <x v="3"/>
          </reference>
        </references>
      </pivotArea>
    </format>
    <format dxfId="989">
      <pivotArea dataOnly="0" labelOnly="1" outline="0" fieldPosition="0">
        <references count="3">
          <reference field="11" count="1" selected="0">
            <x v="457"/>
          </reference>
          <reference field="14" count="1" selected="0">
            <x v="12"/>
          </reference>
          <reference field="18" count="1" defaultSubtotal="1">
            <x v="3"/>
          </reference>
        </references>
      </pivotArea>
    </format>
    <format dxfId="988">
      <pivotArea dataOnly="0" labelOnly="1" outline="0" fieldPosition="0">
        <references count="3">
          <reference field="11" count="1" selected="0">
            <x v="458"/>
          </reference>
          <reference field="14" count="1" selected="0">
            <x v="367"/>
          </reference>
          <reference field="18" count="1">
            <x v="3"/>
          </reference>
        </references>
      </pivotArea>
    </format>
    <format dxfId="987">
      <pivotArea dataOnly="0" labelOnly="1" outline="0" fieldPosition="0">
        <references count="3">
          <reference field="11" count="1" selected="0">
            <x v="458"/>
          </reference>
          <reference field="14" count="1" selected="0">
            <x v="367"/>
          </reference>
          <reference field="18" count="1" defaultSubtotal="1">
            <x v="3"/>
          </reference>
        </references>
      </pivotArea>
    </format>
    <format dxfId="986">
      <pivotArea dataOnly="0" labelOnly="1" outline="0" fieldPosition="0">
        <references count="3">
          <reference field="11" count="1" selected="0">
            <x v="459"/>
          </reference>
          <reference field="14" count="1" selected="0">
            <x v="368"/>
          </reference>
          <reference field="18" count="1">
            <x v="3"/>
          </reference>
        </references>
      </pivotArea>
    </format>
    <format dxfId="985">
      <pivotArea dataOnly="0" labelOnly="1" outline="0" fieldPosition="0">
        <references count="3">
          <reference field="11" count="1" selected="0">
            <x v="459"/>
          </reference>
          <reference field="14" count="1" selected="0">
            <x v="368"/>
          </reference>
          <reference field="18" count="1" defaultSubtotal="1">
            <x v="3"/>
          </reference>
        </references>
      </pivotArea>
    </format>
    <format dxfId="984">
      <pivotArea dataOnly="0" labelOnly="1" outline="0" fieldPosition="0">
        <references count="3">
          <reference field="11" count="1" selected="0">
            <x v="460"/>
          </reference>
          <reference field="14" count="1" selected="0">
            <x v="369"/>
          </reference>
          <reference field="18" count="1">
            <x v="3"/>
          </reference>
        </references>
      </pivotArea>
    </format>
    <format dxfId="983">
      <pivotArea dataOnly="0" labelOnly="1" outline="0" fieldPosition="0">
        <references count="3">
          <reference field="11" count="1" selected="0">
            <x v="460"/>
          </reference>
          <reference field="14" count="1" selected="0">
            <x v="369"/>
          </reference>
          <reference field="18" count="1" defaultSubtotal="1">
            <x v="3"/>
          </reference>
        </references>
      </pivotArea>
    </format>
    <format dxfId="982">
      <pivotArea dataOnly="0" labelOnly="1" outline="0" fieldPosition="0">
        <references count="3">
          <reference field="11" count="1" selected="0">
            <x v="461"/>
          </reference>
          <reference field="14" count="1" selected="0">
            <x v="301"/>
          </reference>
          <reference field="18" count="3">
            <x v="7"/>
            <x v="8"/>
            <x v="13"/>
          </reference>
        </references>
      </pivotArea>
    </format>
    <format dxfId="981">
      <pivotArea dataOnly="0" labelOnly="1" outline="0" fieldPosition="0">
        <references count="3">
          <reference field="11" count="1" selected="0">
            <x v="461"/>
          </reference>
          <reference field="14" count="1" selected="0">
            <x v="301"/>
          </reference>
          <reference field="18" count="3" defaultSubtotal="1">
            <x v="7"/>
            <x v="8"/>
            <x v="13"/>
          </reference>
        </references>
      </pivotArea>
    </format>
    <format dxfId="980">
      <pivotArea dataOnly="0" labelOnly="1" outline="0" fieldPosition="0">
        <references count="3">
          <reference field="11" count="1" selected="0">
            <x v="462"/>
          </reference>
          <reference field="14" count="1" selected="0">
            <x v="434"/>
          </reference>
          <reference field="18" count="1">
            <x v="19"/>
          </reference>
        </references>
      </pivotArea>
    </format>
    <format dxfId="979">
      <pivotArea dataOnly="0" labelOnly="1" outline="0" fieldPosition="0">
        <references count="3">
          <reference field="11" count="1" selected="0">
            <x v="462"/>
          </reference>
          <reference field="14" count="1" selected="0">
            <x v="434"/>
          </reference>
          <reference field="18" count="1" defaultSubtotal="1">
            <x v="19"/>
          </reference>
        </references>
      </pivotArea>
    </format>
    <format dxfId="978">
      <pivotArea dataOnly="0" labelOnly="1" outline="0" fieldPosition="0">
        <references count="3">
          <reference field="11" count="1" selected="0">
            <x v="463"/>
          </reference>
          <reference field="14" count="1" selected="0">
            <x v="440"/>
          </reference>
          <reference field="18" count="1">
            <x v="19"/>
          </reference>
        </references>
      </pivotArea>
    </format>
    <format dxfId="977">
      <pivotArea dataOnly="0" labelOnly="1" outline="0" fieldPosition="0">
        <references count="3">
          <reference field="11" count="1" selected="0">
            <x v="463"/>
          </reference>
          <reference field="14" count="1" selected="0">
            <x v="440"/>
          </reference>
          <reference field="18" count="1" defaultSubtotal="1">
            <x v="19"/>
          </reference>
        </references>
      </pivotArea>
    </format>
    <format dxfId="976">
      <pivotArea dataOnly="0" labelOnly="1" outline="0" fieldPosition="0">
        <references count="3">
          <reference field="11" count="1" selected="0">
            <x v="464"/>
          </reference>
          <reference field="14" count="1" selected="0">
            <x v="442"/>
          </reference>
          <reference field="18" count="1">
            <x v="19"/>
          </reference>
        </references>
      </pivotArea>
    </format>
    <format dxfId="975">
      <pivotArea dataOnly="0" labelOnly="1" outline="0" fieldPosition="0">
        <references count="3">
          <reference field="11" count="1" selected="0">
            <x v="464"/>
          </reference>
          <reference field="14" count="1" selected="0">
            <x v="442"/>
          </reference>
          <reference field="18" count="1" defaultSubtotal="1">
            <x v="19"/>
          </reference>
        </references>
      </pivotArea>
    </format>
    <format dxfId="974">
      <pivotArea dataOnly="0" labelOnly="1" outline="0" fieldPosition="0">
        <references count="3">
          <reference field="11" count="1" selected="0">
            <x v="465"/>
          </reference>
          <reference field="14" count="1" selected="0">
            <x v="355"/>
          </reference>
          <reference field="18" count="1">
            <x v="27"/>
          </reference>
        </references>
      </pivotArea>
    </format>
    <format dxfId="973">
      <pivotArea dataOnly="0" labelOnly="1" outline="0" fieldPosition="0">
        <references count="3">
          <reference field="11" count="1" selected="0">
            <x v="465"/>
          </reference>
          <reference field="14" count="1" selected="0">
            <x v="355"/>
          </reference>
          <reference field="18" count="1" defaultSubtotal="1">
            <x v="27"/>
          </reference>
        </references>
      </pivotArea>
    </format>
    <format dxfId="972">
      <pivotArea dataOnly="0" labelOnly="1" outline="0" fieldPosition="0">
        <references count="3">
          <reference field="11" count="1" selected="0">
            <x v="466"/>
          </reference>
          <reference field="14" count="1" selected="0">
            <x v="115"/>
          </reference>
          <reference field="18" count="1">
            <x v="27"/>
          </reference>
        </references>
      </pivotArea>
    </format>
    <format dxfId="971">
      <pivotArea dataOnly="0" labelOnly="1" outline="0" fieldPosition="0">
        <references count="3">
          <reference field="11" count="1" selected="0">
            <x v="466"/>
          </reference>
          <reference field="14" count="1" selected="0">
            <x v="115"/>
          </reference>
          <reference field="18" count="1" defaultSubtotal="1">
            <x v="27"/>
          </reference>
        </references>
      </pivotArea>
    </format>
    <format dxfId="970">
      <pivotArea dataOnly="0" labelOnly="1" outline="0" fieldPosition="0">
        <references count="3">
          <reference field="11" count="1" selected="0">
            <x v="467"/>
          </reference>
          <reference field="14" count="1" selected="0">
            <x v="270"/>
          </reference>
          <reference field="18" count="1">
            <x v="2"/>
          </reference>
        </references>
      </pivotArea>
    </format>
    <format dxfId="969">
      <pivotArea dataOnly="0" labelOnly="1" outline="0" fieldPosition="0">
        <references count="3">
          <reference field="11" count="1" selected="0">
            <x v="467"/>
          </reference>
          <reference field="14" count="1" selected="0">
            <x v="270"/>
          </reference>
          <reference field="18" count="1" defaultSubtotal="1">
            <x v="2"/>
          </reference>
        </references>
      </pivotArea>
    </format>
    <format dxfId="968">
      <pivotArea dataOnly="0" labelOnly="1" outline="0" fieldPosition="0">
        <references count="3">
          <reference field="11" count="1" selected="0">
            <x v="468"/>
          </reference>
          <reference field="14" count="1" selected="0">
            <x v="380"/>
          </reference>
          <reference field="18" count="1">
            <x v="6"/>
          </reference>
        </references>
      </pivotArea>
    </format>
    <format dxfId="967">
      <pivotArea dataOnly="0" labelOnly="1" outline="0" fieldPosition="0">
        <references count="3">
          <reference field="11" count="1" selected="0">
            <x v="468"/>
          </reference>
          <reference field="14" count="1" selected="0">
            <x v="380"/>
          </reference>
          <reference field="18" count="1" defaultSubtotal="1">
            <x v="6"/>
          </reference>
        </references>
      </pivotArea>
    </format>
    <format dxfId="966">
      <pivotArea dataOnly="0" labelOnly="1" outline="0" fieldPosition="0">
        <references count="3">
          <reference field="11" count="1" selected="0">
            <x v="469"/>
          </reference>
          <reference field="14" count="1" selected="0">
            <x v="291"/>
          </reference>
          <reference field="18" count="3">
            <x v="6"/>
            <x v="24"/>
            <x v="25"/>
          </reference>
        </references>
      </pivotArea>
    </format>
    <format dxfId="965">
      <pivotArea dataOnly="0" labelOnly="1" outline="0" fieldPosition="0">
        <references count="3">
          <reference field="11" count="1" selected="0">
            <x v="469"/>
          </reference>
          <reference field="14" count="1" selected="0">
            <x v="291"/>
          </reference>
          <reference field="18" count="3" defaultSubtotal="1">
            <x v="6"/>
            <x v="24"/>
            <x v="25"/>
          </reference>
        </references>
      </pivotArea>
    </format>
    <format dxfId="964">
      <pivotArea dataOnly="0" labelOnly="1" outline="0" fieldPosition="0">
        <references count="3">
          <reference field="11" count="1" selected="0">
            <x v="470"/>
          </reference>
          <reference field="14" count="1" selected="0">
            <x v="100"/>
          </reference>
          <reference field="18" count="1">
            <x v="0"/>
          </reference>
        </references>
      </pivotArea>
    </format>
    <format dxfId="963">
      <pivotArea dataOnly="0" labelOnly="1" outline="0" fieldPosition="0">
        <references count="3">
          <reference field="11" count="1" selected="0">
            <x v="470"/>
          </reference>
          <reference field="14" count="1" selected="0">
            <x v="100"/>
          </reference>
          <reference field="18" count="1" defaultSubtotal="1">
            <x v="0"/>
          </reference>
        </references>
      </pivotArea>
    </format>
    <format dxfId="962">
      <pivotArea dataOnly="0" labelOnly="1" outline="0" fieldPosition="0">
        <references count="3">
          <reference field="11" count="1" selected="0">
            <x v="471"/>
          </reference>
          <reference field="14" count="1" selected="0">
            <x v="295"/>
          </reference>
          <reference field="18" count="1">
            <x v="2"/>
          </reference>
        </references>
      </pivotArea>
    </format>
    <format dxfId="961">
      <pivotArea dataOnly="0" labelOnly="1" outline="0" fieldPosition="0">
        <references count="3">
          <reference field="11" count="1" selected="0">
            <x v="471"/>
          </reference>
          <reference field="14" count="1" selected="0">
            <x v="295"/>
          </reference>
          <reference field="18" count="1" defaultSubtotal="1">
            <x v="2"/>
          </reference>
        </references>
      </pivotArea>
    </format>
    <format dxfId="960">
      <pivotArea dataOnly="0" labelOnly="1" outline="0" fieldPosition="0">
        <references count="3">
          <reference field="11" count="1" selected="0">
            <x v="472"/>
          </reference>
          <reference field="14" count="1" selected="0">
            <x v="325"/>
          </reference>
          <reference field="18" count="1">
            <x v="6"/>
          </reference>
        </references>
      </pivotArea>
    </format>
    <format dxfId="959">
      <pivotArea dataOnly="0" labelOnly="1" outline="0" fieldPosition="0">
        <references count="3">
          <reference field="11" count="1" selected="0">
            <x v="472"/>
          </reference>
          <reference field="14" count="1" selected="0">
            <x v="325"/>
          </reference>
          <reference field="18" count="1" defaultSubtotal="1">
            <x v="6"/>
          </reference>
        </references>
      </pivotArea>
    </format>
    <format dxfId="958">
      <pivotArea dataOnly="0" labelOnly="1" outline="0" fieldPosition="0">
        <references count="3">
          <reference field="11" count="1" selected="0">
            <x v="473"/>
          </reference>
          <reference field="14" count="1" selected="0">
            <x v="425"/>
          </reference>
          <reference field="18" count="1">
            <x v="19"/>
          </reference>
        </references>
      </pivotArea>
    </format>
    <format dxfId="957">
      <pivotArea dataOnly="0" labelOnly="1" outline="0" fieldPosition="0">
        <references count="3">
          <reference field="11" count="1" selected="0">
            <x v="473"/>
          </reference>
          <reference field="14" count="1" selected="0">
            <x v="425"/>
          </reference>
          <reference field="18" count="1" defaultSubtotal="1">
            <x v="19"/>
          </reference>
        </references>
      </pivotArea>
    </format>
    <format dxfId="956">
      <pivotArea dataOnly="0" labelOnly="1" outline="0" fieldPosition="0">
        <references count="3">
          <reference field="11" count="1" selected="0">
            <x v="474"/>
          </reference>
          <reference field="14" count="1" selected="0">
            <x v="424"/>
          </reference>
          <reference field="18" count="1">
            <x v="19"/>
          </reference>
        </references>
      </pivotArea>
    </format>
    <format dxfId="955">
      <pivotArea dataOnly="0" labelOnly="1" outline="0" fieldPosition="0">
        <references count="3">
          <reference field="11" count="1" selected="0">
            <x v="474"/>
          </reference>
          <reference field="14" count="1" selected="0">
            <x v="424"/>
          </reference>
          <reference field="18" count="1" defaultSubtotal="1">
            <x v="19"/>
          </reference>
        </references>
      </pivotArea>
    </format>
    <format dxfId="954">
      <pivotArea dataOnly="0" labelOnly="1" outline="0" fieldPosition="0">
        <references count="3">
          <reference field="11" count="1" selected="0">
            <x v="475"/>
          </reference>
          <reference field="14" count="1" selected="0">
            <x v="435"/>
          </reference>
          <reference field="18" count="1">
            <x v="19"/>
          </reference>
        </references>
      </pivotArea>
    </format>
    <format dxfId="953">
      <pivotArea dataOnly="0" labelOnly="1" outline="0" fieldPosition="0">
        <references count="3">
          <reference field="11" count="1" selected="0">
            <x v="475"/>
          </reference>
          <reference field="14" count="1" selected="0">
            <x v="435"/>
          </reference>
          <reference field="18" count="1" defaultSubtotal="1">
            <x v="19"/>
          </reference>
        </references>
      </pivotArea>
    </format>
    <format dxfId="952">
      <pivotArea dataOnly="0" labelOnly="1" outline="0" fieldPosition="0">
        <references count="3">
          <reference field="11" count="1" selected="0">
            <x v="476"/>
          </reference>
          <reference field="14" count="1" selected="0">
            <x v="151"/>
          </reference>
          <reference field="18" count="1">
            <x v="0"/>
          </reference>
        </references>
      </pivotArea>
    </format>
    <format dxfId="951">
      <pivotArea dataOnly="0" labelOnly="1" outline="0" fieldPosition="0">
        <references count="3">
          <reference field="11" count="1" selected="0">
            <x v="476"/>
          </reference>
          <reference field="14" count="1" selected="0">
            <x v="151"/>
          </reference>
          <reference field="18" count="1" defaultSubtotal="1">
            <x v="0"/>
          </reference>
        </references>
      </pivotArea>
    </format>
    <format dxfId="950">
      <pivotArea dataOnly="0" labelOnly="1" outline="0" fieldPosition="0">
        <references count="3">
          <reference field="11" count="1" selected="0">
            <x v="477"/>
          </reference>
          <reference field="14" count="1" selected="0">
            <x v="419"/>
          </reference>
          <reference field="18" count="1">
            <x v="19"/>
          </reference>
        </references>
      </pivotArea>
    </format>
    <format dxfId="949">
      <pivotArea dataOnly="0" labelOnly="1" outline="0" fieldPosition="0">
        <references count="3">
          <reference field="11" count="1" selected="0">
            <x v="477"/>
          </reference>
          <reference field="14" count="1" selected="0">
            <x v="419"/>
          </reference>
          <reference field="18" count="1" defaultSubtotal="1">
            <x v="19"/>
          </reference>
        </references>
      </pivotArea>
    </format>
    <format dxfId="948">
      <pivotArea dataOnly="0" labelOnly="1" outline="0" fieldPosition="0">
        <references count="3">
          <reference field="11" count="1" selected="0">
            <x v="478"/>
          </reference>
          <reference field="14" count="1" selected="0">
            <x v="308"/>
          </reference>
          <reference field="18" count="1">
            <x v="19"/>
          </reference>
        </references>
      </pivotArea>
    </format>
    <format dxfId="947">
      <pivotArea dataOnly="0" labelOnly="1" outline="0" fieldPosition="0">
        <references count="3">
          <reference field="11" count="1" selected="0">
            <x v="478"/>
          </reference>
          <reference field="14" count="1" selected="0">
            <x v="308"/>
          </reference>
          <reference field="18" count="1" defaultSubtotal="1">
            <x v="19"/>
          </reference>
        </references>
      </pivotArea>
    </format>
    <format dxfId="946">
      <pivotArea dataOnly="0" labelOnly="1" outline="0" fieldPosition="0">
        <references count="3">
          <reference field="11" count="1" selected="0">
            <x v="479"/>
          </reference>
          <reference field="14" count="1" selected="0">
            <x v="312"/>
          </reference>
          <reference field="18" count="1">
            <x v="19"/>
          </reference>
        </references>
      </pivotArea>
    </format>
    <format dxfId="945">
      <pivotArea dataOnly="0" labelOnly="1" outline="0" fieldPosition="0">
        <references count="3">
          <reference field="11" count="1" selected="0">
            <x v="479"/>
          </reference>
          <reference field="14" count="1" selected="0">
            <x v="312"/>
          </reference>
          <reference field="18" count="1" defaultSubtotal="1">
            <x v="19"/>
          </reference>
        </references>
      </pivotArea>
    </format>
    <format dxfId="944">
      <pivotArea dataOnly="0" labelOnly="1" outline="0" fieldPosition="0">
        <references count="3">
          <reference field="11" count="1" selected="0">
            <x v="480"/>
          </reference>
          <reference field="14" count="1" selected="0">
            <x v="423"/>
          </reference>
          <reference field="18" count="1">
            <x v="19"/>
          </reference>
        </references>
      </pivotArea>
    </format>
    <format dxfId="943">
      <pivotArea dataOnly="0" labelOnly="1" outline="0" fieldPosition="0">
        <references count="3">
          <reference field="11" count="1" selected="0">
            <x v="480"/>
          </reference>
          <reference field="14" count="1" selected="0">
            <x v="423"/>
          </reference>
          <reference field="18" count="1" defaultSubtotal="1">
            <x v="19"/>
          </reference>
        </references>
      </pivotArea>
    </format>
    <format dxfId="942">
      <pivotArea dataOnly="0" labelOnly="1" outline="0" fieldPosition="0">
        <references count="3">
          <reference field="11" count="1" selected="0">
            <x v="481"/>
          </reference>
          <reference field="14" count="1" selected="0">
            <x v="455"/>
          </reference>
          <reference field="18" count="2">
            <x v="12"/>
            <x v="14"/>
          </reference>
        </references>
      </pivotArea>
    </format>
    <format dxfId="941">
      <pivotArea dataOnly="0" labelOnly="1" outline="0" fieldPosition="0">
        <references count="3">
          <reference field="11" count="1" selected="0">
            <x v="481"/>
          </reference>
          <reference field="14" count="1" selected="0">
            <x v="455"/>
          </reference>
          <reference field="18" count="2" defaultSubtotal="1">
            <x v="12"/>
            <x v="14"/>
          </reference>
        </references>
      </pivotArea>
    </format>
    <format dxfId="940">
      <pivotArea dataOnly="0" labelOnly="1" outline="0" fieldPosition="0">
        <references count="3">
          <reference field="11" count="1" selected="0">
            <x v="482"/>
          </reference>
          <reference field="14" count="1" selected="0">
            <x v="38"/>
          </reference>
          <reference field="18" count="2">
            <x v="12"/>
            <x v="14"/>
          </reference>
        </references>
      </pivotArea>
    </format>
    <format dxfId="939">
      <pivotArea dataOnly="0" labelOnly="1" outline="0" fieldPosition="0">
        <references count="3">
          <reference field="11" count="1" selected="0">
            <x v="482"/>
          </reference>
          <reference field="14" count="1" selected="0">
            <x v="38"/>
          </reference>
          <reference field="18" count="2" defaultSubtotal="1">
            <x v="12"/>
            <x v="14"/>
          </reference>
        </references>
      </pivotArea>
    </format>
    <format dxfId="938">
      <pivotArea dataOnly="0" labelOnly="1" outline="0" fieldPosition="0">
        <references count="3">
          <reference field="11" count="1" selected="0">
            <x v="483"/>
          </reference>
          <reference field="14" count="1" selected="0">
            <x v="207"/>
          </reference>
          <reference field="18" count="2">
            <x v="14"/>
            <x v="26"/>
          </reference>
        </references>
      </pivotArea>
    </format>
    <format dxfId="937">
      <pivotArea dataOnly="0" labelOnly="1" outline="0" fieldPosition="0">
        <references count="3">
          <reference field="11" count="1" selected="0">
            <x v="483"/>
          </reference>
          <reference field="14" count="1" selected="0">
            <x v="207"/>
          </reference>
          <reference field="18" count="2" defaultSubtotal="1">
            <x v="14"/>
            <x v="26"/>
          </reference>
        </references>
      </pivotArea>
    </format>
    <format dxfId="936">
      <pivotArea dataOnly="0" labelOnly="1" outline="0" fieldPosition="0">
        <references count="3">
          <reference field="11" count="1" selected="0">
            <x v="484"/>
          </reference>
          <reference field="14" count="1" selected="0">
            <x v="49"/>
          </reference>
          <reference field="18" count="2">
            <x v="14"/>
            <x v="26"/>
          </reference>
        </references>
      </pivotArea>
    </format>
    <format dxfId="935">
      <pivotArea dataOnly="0" labelOnly="1" outline="0" fieldPosition="0">
        <references count="3">
          <reference field="11" count="1" selected="0">
            <x v="484"/>
          </reference>
          <reference field="14" count="1" selected="0">
            <x v="49"/>
          </reference>
          <reference field="18" count="2" defaultSubtotal="1">
            <x v="14"/>
            <x v="26"/>
          </reference>
        </references>
      </pivotArea>
    </format>
    <format dxfId="934">
      <pivotArea dataOnly="0" labelOnly="1" outline="0" fieldPosition="0">
        <references count="3">
          <reference field="11" count="1" selected="0">
            <x v="485"/>
          </reference>
          <reference field="14" count="1" selected="0">
            <x v="49"/>
          </reference>
          <reference field="18" count="2">
            <x v="14"/>
            <x v="26"/>
          </reference>
        </references>
      </pivotArea>
    </format>
    <format dxfId="933">
      <pivotArea dataOnly="0" labelOnly="1" outline="0" fieldPosition="0">
        <references count="3">
          <reference field="11" count="1" selected="0">
            <x v="485"/>
          </reference>
          <reference field="14" count="1" selected="0">
            <x v="49"/>
          </reference>
          <reference field="18" count="2" defaultSubtotal="1">
            <x v="14"/>
            <x v="26"/>
          </reference>
        </references>
      </pivotArea>
    </format>
    <format dxfId="932">
      <pivotArea dataOnly="0" labelOnly="1" outline="0" fieldPosition="0">
        <references count="3">
          <reference field="11" count="1" selected="0">
            <x v="486"/>
          </reference>
          <reference field="14" count="1" selected="0">
            <x v="207"/>
          </reference>
          <reference field="18" count="2">
            <x v="14"/>
            <x v="26"/>
          </reference>
        </references>
      </pivotArea>
    </format>
    <format dxfId="931">
      <pivotArea dataOnly="0" labelOnly="1" outline="0" fieldPosition="0">
        <references count="3">
          <reference field="11" count="1" selected="0">
            <x v="486"/>
          </reference>
          <reference field="14" count="1" selected="0">
            <x v="207"/>
          </reference>
          <reference field="18" count="2" defaultSubtotal="1">
            <x v="14"/>
            <x v="26"/>
          </reference>
        </references>
      </pivotArea>
    </format>
    <format dxfId="930">
      <pivotArea dataOnly="0" labelOnly="1" outline="0" fieldPosition="0">
        <references count="3">
          <reference field="11" count="1" selected="0">
            <x v="487"/>
          </reference>
          <reference field="14" count="1" selected="0">
            <x v="32"/>
          </reference>
          <reference field="18" count="2">
            <x v="0"/>
            <x v="27"/>
          </reference>
        </references>
      </pivotArea>
    </format>
    <format dxfId="929">
      <pivotArea dataOnly="0" labelOnly="1" outline="0" fieldPosition="0">
        <references count="3">
          <reference field="11" count="1" selected="0">
            <x v="487"/>
          </reference>
          <reference field="14" count="1" selected="0">
            <x v="32"/>
          </reference>
          <reference field="18" count="2" defaultSubtotal="1">
            <x v="0"/>
            <x v="27"/>
          </reference>
        </references>
      </pivotArea>
    </format>
    <format dxfId="928">
      <pivotArea dataOnly="0" labelOnly="1" outline="0" fieldPosition="0">
        <references count="3">
          <reference field="11" count="1" selected="0">
            <x v="488"/>
          </reference>
          <reference field="14" count="1" selected="0">
            <x v="484"/>
          </reference>
          <reference field="18" count="1">
            <x v="28"/>
          </reference>
        </references>
      </pivotArea>
    </format>
    <format dxfId="927">
      <pivotArea dataOnly="0" labelOnly="1" outline="0" fieldPosition="0">
        <references count="3">
          <reference field="11" count="1" selected="0">
            <x v="488"/>
          </reference>
          <reference field="14" count="1" selected="0">
            <x v="484"/>
          </reference>
          <reference field="18" count="1" defaultSubtotal="1">
            <x v="28"/>
          </reference>
        </references>
      </pivotArea>
    </format>
    <format dxfId="926">
      <pivotArea dataOnly="0" labelOnly="1" outline="0" fieldPosition="0">
        <references count="4">
          <reference field="11" count="1" selected="0">
            <x v="0"/>
          </reference>
          <reference field="14" count="1" selected="0">
            <x v="90"/>
          </reference>
          <reference field="18" count="1" selected="0">
            <x v="0"/>
          </reference>
          <reference field="19" count="1">
            <x v="16"/>
          </reference>
        </references>
      </pivotArea>
    </format>
    <format dxfId="925">
      <pivotArea dataOnly="0" labelOnly="1" outline="0" fieldPosition="0">
        <references count="4">
          <reference field="11" count="1" selected="0">
            <x v="1"/>
          </reference>
          <reference field="14" count="1" selected="0">
            <x v="230"/>
          </reference>
          <reference field="18" count="1" selected="0">
            <x v="2"/>
          </reference>
          <reference field="19" count="1">
            <x v="22"/>
          </reference>
        </references>
      </pivotArea>
    </format>
    <format dxfId="924">
      <pivotArea dataOnly="0" labelOnly="1" outline="0" fieldPosition="0">
        <references count="4">
          <reference field="11" count="1" selected="0">
            <x v="1"/>
          </reference>
          <reference field="14" count="1" selected="0">
            <x v="230"/>
          </reference>
          <reference field="18" count="1" selected="0">
            <x v="3"/>
          </reference>
          <reference field="19" count="1">
            <x v="15"/>
          </reference>
        </references>
      </pivotArea>
    </format>
    <format dxfId="923">
      <pivotArea dataOnly="0" labelOnly="1" outline="0" fieldPosition="0">
        <references count="4">
          <reference field="11" count="1" selected="0">
            <x v="1"/>
          </reference>
          <reference field="14" count="1" selected="0">
            <x v="230"/>
          </reference>
          <reference field="18" count="1" selected="0">
            <x v="12"/>
          </reference>
          <reference field="19" count="1">
            <x v="13"/>
          </reference>
        </references>
      </pivotArea>
    </format>
    <format dxfId="922">
      <pivotArea dataOnly="0" labelOnly="1" outline="0" fieldPosition="0">
        <references count="4">
          <reference field="11" count="1" selected="0">
            <x v="2"/>
          </reference>
          <reference field="14" count="1" selected="0">
            <x v="226"/>
          </reference>
          <reference field="18" count="1" selected="0">
            <x v="7"/>
          </reference>
          <reference field="19" count="1">
            <x v="4"/>
          </reference>
        </references>
      </pivotArea>
    </format>
    <format dxfId="921">
      <pivotArea dataOnly="0" labelOnly="1" outline="0" fieldPosition="0">
        <references count="4">
          <reference field="11" count="1" selected="0">
            <x v="2"/>
          </reference>
          <reference field="14" count="1" selected="0">
            <x v="226"/>
          </reference>
          <reference field="18" count="1" selected="0">
            <x v="12"/>
          </reference>
          <reference field="19" count="1">
            <x v="13"/>
          </reference>
        </references>
      </pivotArea>
    </format>
    <format dxfId="920">
      <pivotArea dataOnly="0" labelOnly="1" outline="0" fieldPosition="0">
        <references count="4">
          <reference field="11" count="1" selected="0">
            <x v="3"/>
          </reference>
          <reference field="14" count="1" selected="0">
            <x v="31"/>
          </reference>
          <reference field="18" count="1" selected="0">
            <x v="7"/>
          </reference>
          <reference field="19" count="1">
            <x v="4"/>
          </reference>
        </references>
      </pivotArea>
    </format>
    <format dxfId="919">
      <pivotArea dataOnly="0" labelOnly="1" outline="0" fieldPosition="0">
        <references count="4">
          <reference field="11" count="1" selected="0">
            <x v="3"/>
          </reference>
          <reference field="14" count="1" selected="0">
            <x v="31"/>
          </reference>
          <reference field="18" count="1" selected="0">
            <x v="12"/>
          </reference>
          <reference field="19" count="1">
            <x v="13"/>
          </reference>
        </references>
      </pivotArea>
    </format>
    <format dxfId="918">
      <pivotArea dataOnly="0" labelOnly="1" outline="0" fieldPosition="0">
        <references count="4">
          <reference field="11" count="1" selected="0">
            <x v="4"/>
          </reference>
          <reference field="14" count="1" selected="0">
            <x v="233"/>
          </reference>
          <reference field="18" count="1" selected="0">
            <x v="7"/>
          </reference>
          <reference field="19" count="1">
            <x v="4"/>
          </reference>
        </references>
      </pivotArea>
    </format>
    <format dxfId="917">
      <pivotArea dataOnly="0" labelOnly="1" outline="0" fieldPosition="0">
        <references count="4">
          <reference field="11" count="1" selected="0">
            <x v="4"/>
          </reference>
          <reference field="14" count="1" selected="0">
            <x v="233"/>
          </reference>
          <reference field="18" count="1" selected="0">
            <x v="12"/>
          </reference>
          <reference field="19" count="1">
            <x v="13"/>
          </reference>
        </references>
      </pivotArea>
    </format>
    <format dxfId="916">
      <pivotArea dataOnly="0" labelOnly="1" outline="0" fieldPosition="0">
        <references count="4">
          <reference field="11" count="1" selected="0">
            <x v="5"/>
          </reference>
          <reference field="14" count="1" selected="0">
            <x v="232"/>
          </reference>
          <reference field="18" count="1" selected="0">
            <x v="2"/>
          </reference>
          <reference field="19" count="1">
            <x v="22"/>
          </reference>
        </references>
      </pivotArea>
    </format>
    <format dxfId="915">
      <pivotArea dataOnly="0" labelOnly="1" outline="0" fieldPosition="0">
        <references count="4">
          <reference field="11" count="1" selected="0">
            <x v="5"/>
          </reference>
          <reference field="14" count="1" selected="0">
            <x v="232"/>
          </reference>
          <reference field="18" count="1" selected="0">
            <x v="12"/>
          </reference>
          <reference field="19" count="1">
            <x v="13"/>
          </reference>
        </references>
      </pivotArea>
    </format>
    <format dxfId="914">
      <pivotArea dataOnly="0" labelOnly="1" outline="0" fieldPosition="0">
        <references count="4">
          <reference field="11" count="1" selected="0">
            <x v="6"/>
          </reference>
          <reference field="14" count="1" selected="0">
            <x v="19"/>
          </reference>
          <reference field="18" count="1" selected="0">
            <x v="3"/>
          </reference>
          <reference field="19" count="1">
            <x v="15"/>
          </reference>
        </references>
      </pivotArea>
    </format>
    <format dxfId="913">
      <pivotArea dataOnly="0" labelOnly="1" outline="0" fieldPosition="0">
        <references count="4">
          <reference field="11" count="1" selected="0">
            <x v="6"/>
          </reference>
          <reference field="14" count="1" selected="0">
            <x v="19"/>
          </reference>
          <reference field="18" count="1" selected="0">
            <x v="12"/>
          </reference>
          <reference field="19" count="1">
            <x v="13"/>
          </reference>
        </references>
      </pivotArea>
    </format>
    <format dxfId="912">
      <pivotArea dataOnly="0" labelOnly="1" outline="0" fieldPosition="0">
        <references count="4">
          <reference field="11" count="1" selected="0">
            <x v="7"/>
          </reference>
          <reference field="14" count="1" selected="0">
            <x v="351"/>
          </reference>
          <reference field="18" count="1" selected="0">
            <x v="27"/>
          </reference>
          <reference field="19" count="1">
            <x v="17"/>
          </reference>
        </references>
      </pivotArea>
    </format>
    <format dxfId="911">
      <pivotArea dataOnly="0" labelOnly="1" outline="0" fieldPosition="0">
        <references count="4">
          <reference field="11" count="1" selected="0">
            <x v="8"/>
          </reference>
          <reference field="14" count="1" selected="0">
            <x v="375"/>
          </reference>
          <reference field="18" count="1" selected="0">
            <x v="2"/>
          </reference>
          <reference field="19" count="1">
            <x v="22"/>
          </reference>
        </references>
      </pivotArea>
    </format>
    <format dxfId="910">
      <pivotArea dataOnly="0" labelOnly="1" outline="0" fieldPosition="0">
        <references count="4">
          <reference field="11" count="1" selected="0">
            <x v="9"/>
          </reference>
          <reference field="14" count="1" selected="0">
            <x v="50"/>
          </reference>
          <reference field="18" count="1" selected="0">
            <x v="15"/>
          </reference>
          <reference field="19" count="1">
            <x v="25"/>
          </reference>
        </references>
      </pivotArea>
    </format>
    <format dxfId="909">
      <pivotArea dataOnly="0" labelOnly="1" outline="0" fieldPosition="0">
        <references count="4">
          <reference field="11" count="1" selected="0">
            <x v="10"/>
          </reference>
          <reference field="14" count="1" selected="0">
            <x v="150"/>
          </reference>
          <reference field="18" count="1" selected="0">
            <x v="4"/>
          </reference>
          <reference field="19" count="1">
            <x v="10"/>
          </reference>
        </references>
      </pivotArea>
    </format>
    <format dxfId="908">
      <pivotArea dataOnly="0" labelOnly="1" outline="0" fieldPosition="0">
        <references count="4">
          <reference field="11" count="1" selected="0">
            <x v="11"/>
          </reference>
          <reference field="14" count="1" selected="0">
            <x v="265"/>
          </reference>
          <reference field="18" count="1" selected="0">
            <x v="1"/>
          </reference>
          <reference field="19" count="1">
            <x v="18"/>
          </reference>
        </references>
      </pivotArea>
    </format>
    <format dxfId="907">
      <pivotArea dataOnly="0" labelOnly="1" outline="0" fieldPosition="0">
        <references count="4">
          <reference field="11" count="1" selected="0">
            <x v="12"/>
          </reference>
          <reference field="14" count="1" selected="0">
            <x v="256"/>
          </reference>
          <reference field="18" count="1" selected="0">
            <x v="2"/>
          </reference>
          <reference field="19" count="1">
            <x v="22"/>
          </reference>
        </references>
      </pivotArea>
    </format>
    <format dxfId="906">
      <pivotArea dataOnly="0" labelOnly="1" outline="0" fieldPosition="0">
        <references count="4">
          <reference field="11" count="1" selected="0">
            <x v="13"/>
          </reference>
          <reference field="14" count="1" selected="0">
            <x v="304"/>
          </reference>
          <reference field="18" count="1" selected="0">
            <x v="2"/>
          </reference>
          <reference field="19" count="1">
            <x v="22"/>
          </reference>
        </references>
      </pivotArea>
    </format>
    <format dxfId="905">
      <pivotArea dataOnly="0" labelOnly="1" outline="0" fieldPosition="0">
        <references count="4">
          <reference field="11" count="1" selected="0">
            <x v="14"/>
          </reference>
          <reference field="14" count="1" selected="0">
            <x v="17"/>
          </reference>
          <reference field="18" count="1" selected="0">
            <x v="7"/>
          </reference>
          <reference field="19" count="1">
            <x v="4"/>
          </reference>
        </references>
      </pivotArea>
    </format>
    <format dxfId="904">
      <pivotArea dataOnly="0" labelOnly="1" outline="0" fieldPosition="0">
        <references count="4">
          <reference field="11" count="1" selected="0">
            <x v="14"/>
          </reference>
          <reference field="14" count="1" selected="0">
            <x v="17"/>
          </reference>
          <reference field="18" count="1" selected="0">
            <x v="12"/>
          </reference>
          <reference field="19" count="1">
            <x v="13"/>
          </reference>
        </references>
      </pivotArea>
    </format>
    <format dxfId="903">
      <pivotArea dataOnly="0" labelOnly="1" outline="0" fieldPosition="0">
        <references count="4">
          <reference field="11" count="1" selected="0">
            <x v="15"/>
          </reference>
          <reference field="14" count="1" selected="0">
            <x v="378"/>
          </reference>
          <reference field="18" count="1" selected="0">
            <x v="6"/>
          </reference>
          <reference field="19" count="1">
            <x v="23"/>
          </reference>
        </references>
      </pivotArea>
    </format>
    <format dxfId="902">
      <pivotArea dataOnly="0" labelOnly="1" outline="0" fieldPosition="0">
        <references count="4">
          <reference field="11" count="1" selected="0">
            <x v="16"/>
          </reference>
          <reference field="14" count="1" selected="0">
            <x v="286"/>
          </reference>
          <reference field="18" count="1" selected="0">
            <x v="0"/>
          </reference>
          <reference field="19" count="1">
            <x v="16"/>
          </reference>
        </references>
      </pivotArea>
    </format>
    <format dxfId="901">
      <pivotArea dataOnly="0" labelOnly="1" outline="0" fieldPosition="0">
        <references count="4">
          <reference field="11" count="1" selected="0">
            <x v="17"/>
          </reference>
          <reference field="14" count="1" selected="0">
            <x v="116"/>
          </reference>
          <reference field="18" count="1" selected="0">
            <x v="3"/>
          </reference>
          <reference field="19" count="1">
            <x v="15"/>
          </reference>
        </references>
      </pivotArea>
    </format>
    <format dxfId="900">
      <pivotArea dataOnly="0" labelOnly="1" outline="0" fieldPosition="0">
        <references count="4">
          <reference field="11" count="1" selected="0">
            <x v="18"/>
          </reference>
          <reference field="14" count="1" selected="0">
            <x v="176"/>
          </reference>
          <reference field="18" count="1" selected="0">
            <x v="6"/>
          </reference>
          <reference field="19" count="1">
            <x v="23"/>
          </reference>
        </references>
      </pivotArea>
    </format>
    <format dxfId="899">
      <pivotArea dataOnly="0" labelOnly="1" outline="0" fieldPosition="0">
        <references count="4">
          <reference field="11" count="1" selected="0">
            <x v="19"/>
          </reference>
          <reference field="14" count="1" selected="0">
            <x v="460"/>
          </reference>
          <reference field="18" count="1" selected="0">
            <x v="24"/>
          </reference>
          <reference field="19" count="1">
            <x v="7"/>
          </reference>
        </references>
      </pivotArea>
    </format>
    <format dxfId="898">
      <pivotArea dataOnly="0" labelOnly="1" outline="0" fieldPosition="0">
        <references count="4">
          <reference field="11" count="1" selected="0">
            <x v="19"/>
          </reference>
          <reference field="14" count="1" selected="0">
            <x v="460"/>
          </reference>
          <reference field="18" count="1" selected="0">
            <x v="27"/>
          </reference>
          <reference field="19" count="1">
            <x v="17"/>
          </reference>
        </references>
      </pivotArea>
    </format>
    <format dxfId="897">
      <pivotArea dataOnly="0" labelOnly="1" outline="0" fieldPosition="0">
        <references count="4">
          <reference field="11" count="1" selected="0">
            <x v="20"/>
          </reference>
          <reference field="14" count="1" selected="0">
            <x v="46"/>
          </reference>
          <reference field="18" count="1" selected="0">
            <x v="0"/>
          </reference>
          <reference field="19" count="1">
            <x v="16"/>
          </reference>
        </references>
      </pivotArea>
    </format>
    <format dxfId="896">
      <pivotArea dataOnly="0" labelOnly="1" outline="0" fieldPosition="0">
        <references count="4">
          <reference field="11" count="1" selected="0">
            <x v="21"/>
          </reference>
          <reference field="14" count="1" selected="0">
            <x v="347"/>
          </reference>
          <reference field="18" count="1" selected="0">
            <x v="6"/>
          </reference>
          <reference field="19" count="1">
            <x v="23"/>
          </reference>
        </references>
      </pivotArea>
    </format>
    <format dxfId="895">
      <pivotArea dataOnly="0" labelOnly="1" outline="0" fieldPosition="0">
        <references count="4">
          <reference field="11" count="1" selected="0">
            <x v="22"/>
          </reference>
          <reference field="14" count="1" selected="0">
            <x v="219"/>
          </reference>
          <reference field="18" count="1" selected="0">
            <x v="7"/>
          </reference>
          <reference field="19" count="1">
            <x v="4"/>
          </reference>
        </references>
      </pivotArea>
    </format>
    <format dxfId="894">
      <pivotArea dataOnly="0" labelOnly="1" outline="0" fieldPosition="0">
        <references count="4">
          <reference field="11" count="1" selected="0">
            <x v="22"/>
          </reference>
          <reference field="14" count="1" selected="0">
            <x v="219"/>
          </reference>
          <reference field="18" count="1" selected="0">
            <x v="12"/>
          </reference>
          <reference field="19" count="1">
            <x v="13"/>
          </reference>
        </references>
      </pivotArea>
    </format>
    <format dxfId="893">
      <pivotArea dataOnly="0" labelOnly="1" outline="0" fieldPosition="0">
        <references count="4">
          <reference field="11" count="1" selected="0">
            <x v="23"/>
          </reference>
          <reference field="14" count="1" selected="0">
            <x v="94"/>
          </reference>
          <reference field="18" count="1" selected="0">
            <x v="2"/>
          </reference>
          <reference field="19" count="1">
            <x v="22"/>
          </reference>
        </references>
      </pivotArea>
    </format>
    <format dxfId="892">
      <pivotArea dataOnly="0" labelOnly="1" outline="0" fieldPosition="0">
        <references count="4">
          <reference field="11" count="1" selected="0">
            <x v="24"/>
          </reference>
          <reference field="14" count="1" selected="0">
            <x v="93"/>
          </reference>
          <reference field="18" count="1" selected="0">
            <x v="2"/>
          </reference>
          <reference field="19" count="1">
            <x v="22"/>
          </reference>
        </references>
      </pivotArea>
    </format>
    <format dxfId="891">
      <pivotArea dataOnly="0" labelOnly="1" outline="0" fieldPosition="0">
        <references count="4">
          <reference field="11" count="1" selected="0">
            <x v="25"/>
          </reference>
          <reference field="14" count="1" selected="0">
            <x v="466"/>
          </reference>
          <reference field="18" count="1" selected="0">
            <x v="1"/>
          </reference>
          <reference field="19" count="1">
            <x v="18"/>
          </reference>
        </references>
      </pivotArea>
    </format>
    <format dxfId="890">
      <pivotArea dataOnly="0" labelOnly="1" outline="0" fieldPosition="0">
        <references count="4">
          <reference field="11" count="1" selected="0">
            <x v="26"/>
          </reference>
          <reference field="14" count="1" selected="0">
            <x v="55"/>
          </reference>
          <reference field="18" count="1" selected="0">
            <x v="0"/>
          </reference>
          <reference field="19" count="1">
            <x v="16"/>
          </reference>
        </references>
      </pivotArea>
    </format>
    <format dxfId="889">
      <pivotArea dataOnly="0" labelOnly="1" outline="0" fieldPosition="0">
        <references count="4">
          <reference field="11" count="1" selected="0">
            <x v="27"/>
          </reference>
          <reference field="14" count="1" selected="0">
            <x v="458"/>
          </reference>
          <reference field="18" count="1" selected="0">
            <x v="2"/>
          </reference>
          <reference field="19" count="1">
            <x v="22"/>
          </reference>
        </references>
      </pivotArea>
    </format>
    <format dxfId="888">
      <pivotArea dataOnly="0" labelOnly="1" outline="0" fieldPosition="0">
        <references count="4">
          <reference field="11" count="1" selected="0">
            <x v="28"/>
          </reference>
          <reference field="14" count="1" selected="0">
            <x v="179"/>
          </reference>
          <reference field="18" count="1" selected="0">
            <x v="2"/>
          </reference>
          <reference field="19" count="1">
            <x v="22"/>
          </reference>
        </references>
      </pivotArea>
    </format>
    <format dxfId="887">
      <pivotArea dataOnly="0" labelOnly="1" outline="0" fieldPosition="0">
        <references count="4">
          <reference field="11" count="1" selected="0">
            <x v="29"/>
          </reference>
          <reference field="14" count="1" selected="0">
            <x v="0"/>
          </reference>
          <reference field="18" count="1" selected="0">
            <x v="2"/>
          </reference>
          <reference field="19" count="1">
            <x v="22"/>
          </reference>
        </references>
      </pivotArea>
    </format>
    <format dxfId="886">
      <pivotArea dataOnly="0" labelOnly="1" outline="0" fieldPosition="0">
        <references count="4">
          <reference field="11" count="1" selected="0">
            <x v="30"/>
          </reference>
          <reference field="14" count="1" selected="0">
            <x v="1"/>
          </reference>
          <reference field="18" count="1" selected="0">
            <x v="2"/>
          </reference>
          <reference field="19" count="1">
            <x v="22"/>
          </reference>
        </references>
      </pivotArea>
    </format>
    <format dxfId="885">
      <pivotArea dataOnly="0" labelOnly="1" outline="0" fieldPosition="0">
        <references count="4">
          <reference field="11" count="1" selected="0">
            <x v="31"/>
          </reference>
          <reference field="14" count="1" selected="0">
            <x v="414"/>
          </reference>
          <reference field="18" count="1" selected="0">
            <x v="2"/>
          </reference>
          <reference field="19" count="1">
            <x v="22"/>
          </reference>
        </references>
      </pivotArea>
    </format>
    <format dxfId="884">
      <pivotArea dataOnly="0" labelOnly="1" outline="0" fieldPosition="0">
        <references count="4">
          <reference field="11" count="1" selected="0">
            <x v="32"/>
          </reference>
          <reference field="14" count="1" selected="0">
            <x v="36"/>
          </reference>
          <reference field="18" count="1" selected="0">
            <x v="6"/>
          </reference>
          <reference field="19" count="1">
            <x v="23"/>
          </reference>
        </references>
      </pivotArea>
    </format>
    <format dxfId="883">
      <pivotArea dataOnly="0" labelOnly="1" outline="0" fieldPosition="0">
        <references count="4">
          <reference field="11" count="1" selected="0">
            <x v="33"/>
          </reference>
          <reference field="14" count="1" selected="0">
            <x v="341"/>
          </reference>
          <reference field="18" count="1" selected="0">
            <x v="3"/>
          </reference>
          <reference field="19" count="1">
            <x v="15"/>
          </reference>
        </references>
      </pivotArea>
    </format>
    <format dxfId="882">
      <pivotArea dataOnly="0" labelOnly="1" outline="0" fieldPosition="0">
        <references count="4">
          <reference field="11" count="1" selected="0">
            <x v="34"/>
          </reference>
          <reference field="14" count="1" selected="0">
            <x v="340"/>
          </reference>
          <reference field="18" count="1" selected="0">
            <x v="3"/>
          </reference>
          <reference field="19" count="1">
            <x v="15"/>
          </reference>
        </references>
      </pivotArea>
    </format>
    <format dxfId="881">
      <pivotArea dataOnly="0" labelOnly="1" outline="0" fieldPosition="0">
        <references count="4">
          <reference field="11" count="1" selected="0">
            <x v="35"/>
          </reference>
          <reference field="14" count="1" selected="0">
            <x v="379"/>
          </reference>
          <reference field="18" count="1" selected="0">
            <x v="6"/>
          </reference>
          <reference field="19" count="1">
            <x v="23"/>
          </reference>
        </references>
      </pivotArea>
    </format>
    <format dxfId="880">
      <pivotArea dataOnly="0" labelOnly="1" outline="0" fieldPosition="0">
        <references count="4">
          <reference field="11" count="1" selected="0">
            <x v="36"/>
          </reference>
          <reference field="14" count="1" selected="0">
            <x v="349"/>
          </reference>
          <reference field="18" count="1" selected="0">
            <x v="6"/>
          </reference>
          <reference field="19" count="1">
            <x v="23"/>
          </reference>
        </references>
      </pivotArea>
    </format>
    <format dxfId="879">
      <pivotArea dataOnly="0" labelOnly="1" outline="0" fieldPosition="0">
        <references count="4">
          <reference field="11" count="1" selected="0">
            <x v="37"/>
          </reference>
          <reference field="14" count="1" selected="0">
            <x v="348"/>
          </reference>
          <reference field="18" count="1" selected="0">
            <x v="6"/>
          </reference>
          <reference field="19" count="1">
            <x v="23"/>
          </reference>
        </references>
      </pivotArea>
    </format>
    <format dxfId="878">
      <pivotArea dataOnly="0" labelOnly="1" outline="0" fieldPosition="0">
        <references count="4">
          <reference field="11" count="1" selected="0">
            <x v="38"/>
          </reference>
          <reference field="14" count="1" selected="0">
            <x v="346"/>
          </reference>
          <reference field="18" count="1" selected="0">
            <x v="6"/>
          </reference>
          <reference field="19" count="1">
            <x v="23"/>
          </reference>
        </references>
      </pivotArea>
    </format>
    <format dxfId="877">
      <pivotArea dataOnly="0" labelOnly="1" outline="0" fieldPosition="0">
        <references count="4">
          <reference field="11" count="1" selected="0">
            <x v="39"/>
          </reference>
          <reference field="14" count="1" selected="0">
            <x v="344"/>
          </reference>
          <reference field="18" count="1" selected="0">
            <x v="6"/>
          </reference>
          <reference field="19" count="1">
            <x v="23"/>
          </reference>
        </references>
      </pivotArea>
    </format>
    <format dxfId="876">
      <pivotArea dataOnly="0" labelOnly="1" outline="0" fieldPosition="0">
        <references count="4">
          <reference field="11" count="1" selected="0">
            <x v="40"/>
          </reference>
          <reference field="14" count="1" selected="0">
            <x v="345"/>
          </reference>
          <reference field="18" count="1" selected="0">
            <x v="6"/>
          </reference>
          <reference field="19" count="1">
            <x v="23"/>
          </reference>
        </references>
      </pivotArea>
    </format>
    <format dxfId="875">
      <pivotArea dataOnly="0" labelOnly="1" outline="0" fieldPosition="0">
        <references count="4">
          <reference field="11" count="1" selected="0">
            <x v="41"/>
          </reference>
          <reference field="14" count="1" selected="0">
            <x v="337"/>
          </reference>
          <reference field="18" count="1" selected="0">
            <x v="16"/>
          </reference>
          <reference field="19" count="1">
            <x v="24"/>
          </reference>
        </references>
      </pivotArea>
    </format>
    <format dxfId="874">
      <pivotArea dataOnly="0" labelOnly="1" outline="0" fieldPosition="0">
        <references count="4">
          <reference field="11" count="1" selected="0">
            <x v="42"/>
          </reference>
          <reference field="14" count="1" selected="0">
            <x v="59"/>
          </reference>
          <reference field="18" count="1" selected="0">
            <x v="4"/>
          </reference>
          <reference field="19" count="1">
            <x v="10"/>
          </reference>
        </references>
      </pivotArea>
    </format>
    <format dxfId="873">
      <pivotArea dataOnly="0" labelOnly="1" outline="0" fieldPosition="0">
        <references count="4">
          <reference field="11" count="1" selected="0">
            <x v="43"/>
          </reference>
          <reference field="14" count="1" selected="0">
            <x v="410"/>
          </reference>
          <reference field="18" count="1" selected="0">
            <x v="0"/>
          </reference>
          <reference field="19" count="1">
            <x v="16"/>
          </reference>
        </references>
      </pivotArea>
    </format>
    <format dxfId="872">
      <pivotArea dataOnly="0" labelOnly="1" outline="0" fieldPosition="0">
        <references count="4">
          <reference field="11" count="1" selected="0">
            <x v="43"/>
          </reference>
          <reference field="14" count="1" selected="0">
            <x v="410"/>
          </reference>
          <reference field="18" count="1" selected="0">
            <x v="14"/>
          </reference>
          <reference field="19" count="1">
            <x v="9"/>
          </reference>
        </references>
      </pivotArea>
    </format>
    <format dxfId="871">
      <pivotArea dataOnly="0" labelOnly="1" outline="0" fieldPosition="0">
        <references count="4">
          <reference field="11" count="1" selected="0">
            <x v="44"/>
          </reference>
          <reference field="14" count="1" selected="0">
            <x v="77"/>
          </reference>
          <reference field="18" count="1" selected="0">
            <x v="2"/>
          </reference>
          <reference field="19" count="1">
            <x v="22"/>
          </reference>
        </references>
      </pivotArea>
    </format>
    <format dxfId="870">
      <pivotArea dataOnly="0" labelOnly="1" outline="0" fieldPosition="0">
        <references count="4">
          <reference field="11" count="1" selected="0">
            <x v="44"/>
          </reference>
          <reference field="14" count="1" selected="0">
            <x v="77"/>
          </reference>
          <reference field="18" count="1" selected="0">
            <x v="22"/>
          </reference>
          <reference field="19" count="1">
            <x v="11"/>
          </reference>
        </references>
      </pivotArea>
    </format>
    <format dxfId="869">
      <pivotArea dataOnly="0" labelOnly="1" outline="0" fieldPosition="0">
        <references count="4">
          <reference field="11" count="1" selected="0">
            <x v="45"/>
          </reference>
          <reference field="14" count="1" selected="0">
            <x v="465"/>
          </reference>
          <reference field="18" count="1" selected="0">
            <x v="6"/>
          </reference>
          <reference field="19" count="1">
            <x v="23"/>
          </reference>
        </references>
      </pivotArea>
    </format>
    <format dxfId="868">
      <pivotArea dataOnly="0" labelOnly="1" outline="0" fieldPosition="0">
        <references count="4">
          <reference field="11" count="1" selected="0">
            <x v="46"/>
          </reference>
          <reference field="14" count="1" selected="0">
            <x v="250"/>
          </reference>
          <reference field="18" count="1" selected="0">
            <x v="2"/>
          </reference>
          <reference field="19" count="1">
            <x v="22"/>
          </reference>
        </references>
      </pivotArea>
    </format>
    <format dxfId="867">
      <pivotArea dataOnly="0" labelOnly="1" outline="0" fieldPosition="0">
        <references count="4">
          <reference field="11" count="1" selected="0">
            <x v="47"/>
          </reference>
          <reference field="14" count="1" selected="0">
            <x v="323"/>
          </reference>
          <reference field="18" count="1" selected="0">
            <x v="17"/>
          </reference>
          <reference field="19" count="1">
            <x v="0"/>
          </reference>
        </references>
      </pivotArea>
    </format>
    <format dxfId="866">
      <pivotArea dataOnly="0" labelOnly="1" outline="0" fieldPosition="0">
        <references count="4">
          <reference field="11" count="1" selected="0">
            <x v="48"/>
          </reference>
          <reference field="14" count="1" selected="0">
            <x v="244"/>
          </reference>
          <reference field="18" count="1" selected="0">
            <x v="6"/>
          </reference>
          <reference field="19" count="1">
            <x v="23"/>
          </reference>
        </references>
      </pivotArea>
    </format>
    <format dxfId="865">
      <pivotArea dataOnly="0" labelOnly="1" outline="0" fieldPosition="0">
        <references count="4">
          <reference field="11" count="1" selected="0">
            <x v="49"/>
          </reference>
          <reference field="14" count="1" selected="0">
            <x v="228"/>
          </reference>
          <reference field="18" count="1" selected="0">
            <x v="0"/>
          </reference>
          <reference field="19" count="1">
            <x v="16"/>
          </reference>
        </references>
      </pivotArea>
    </format>
    <format dxfId="864">
      <pivotArea dataOnly="0" labelOnly="1" outline="0" fieldPosition="0">
        <references count="4">
          <reference field="11" count="1" selected="0">
            <x v="49"/>
          </reference>
          <reference field="14" count="1" selected="0">
            <x v="228"/>
          </reference>
          <reference field="18" count="1" selected="0">
            <x v="2"/>
          </reference>
          <reference field="19" count="1">
            <x v="22"/>
          </reference>
        </references>
      </pivotArea>
    </format>
    <format dxfId="863">
      <pivotArea dataOnly="0" labelOnly="1" outline="0" fieldPosition="0">
        <references count="4">
          <reference field="11" count="1" selected="0">
            <x v="49"/>
          </reference>
          <reference field="14" count="1" selected="0">
            <x v="228"/>
          </reference>
          <reference field="18" count="1" selected="0">
            <x v="12"/>
          </reference>
          <reference field="19" count="1">
            <x v="13"/>
          </reference>
        </references>
      </pivotArea>
    </format>
    <format dxfId="862">
      <pivotArea dataOnly="0" labelOnly="1" outline="0" fieldPosition="0">
        <references count="4">
          <reference field="11" count="1" selected="0">
            <x v="50"/>
          </reference>
          <reference field="14" count="1" selected="0">
            <x v="318"/>
          </reference>
          <reference field="18" count="1" selected="0">
            <x v="6"/>
          </reference>
          <reference field="19" count="1">
            <x v="23"/>
          </reference>
        </references>
      </pivotArea>
    </format>
    <format dxfId="861">
      <pivotArea dataOnly="0" labelOnly="1" outline="0" fieldPosition="0">
        <references count="4">
          <reference field="11" count="1" selected="0">
            <x v="51"/>
          </reference>
          <reference field="14" count="1" selected="0">
            <x v="241"/>
          </reference>
          <reference field="18" count="1" selected="0">
            <x v="6"/>
          </reference>
          <reference field="19" count="1">
            <x v="23"/>
          </reference>
        </references>
      </pivotArea>
    </format>
    <format dxfId="860">
      <pivotArea dataOnly="0" labelOnly="1" outline="0" fieldPosition="0">
        <references count="4">
          <reference field="11" count="1" selected="0">
            <x v="52"/>
          </reference>
          <reference field="14" count="1" selected="0">
            <x v="413"/>
          </reference>
          <reference field="18" count="1" selected="0">
            <x v="6"/>
          </reference>
          <reference field="19" count="1">
            <x v="23"/>
          </reference>
        </references>
      </pivotArea>
    </format>
    <format dxfId="859">
      <pivotArea dataOnly="0" labelOnly="1" outline="0" fieldPosition="0">
        <references count="4">
          <reference field="11" count="1" selected="0">
            <x v="53"/>
          </reference>
          <reference field="14" count="1" selected="0">
            <x v="283"/>
          </reference>
          <reference field="18" count="1" selected="0">
            <x v="3"/>
          </reference>
          <reference field="19" count="1">
            <x v="15"/>
          </reference>
        </references>
      </pivotArea>
    </format>
    <format dxfId="858">
      <pivotArea dataOnly="0" labelOnly="1" outline="0" fieldPosition="0">
        <references count="4">
          <reference field="11" count="1" selected="0">
            <x v="54"/>
          </reference>
          <reference field="14" count="1" selected="0">
            <x v="278"/>
          </reference>
          <reference field="18" count="1" selected="0">
            <x v="0"/>
          </reference>
          <reference field="19" count="1">
            <x v="16"/>
          </reference>
        </references>
      </pivotArea>
    </format>
    <format dxfId="857">
      <pivotArea dataOnly="0" labelOnly="1" outline="0" fieldPosition="0">
        <references count="4">
          <reference field="11" count="1" selected="0">
            <x v="54"/>
          </reference>
          <reference field="14" count="1" selected="0">
            <x v="278"/>
          </reference>
          <reference field="18" count="1" selected="0">
            <x v="1"/>
          </reference>
          <reference field="19" count="1">
            <x v="18"/>
          </reference>
        </references>
      </pivotArea>
    </format>
    <format dxfId="856">
      <pivotArea dataOnly="0" labelOnly="1" outline="0" fieldPosition="0">
        <references count="4">
          <reference field="11" count="1" selected="0">
            <x v="55"/>
          </reference>
          <reference field="14" count="1" selected="0">
            <x v="275"/>
          </reference>
          <reference field="18" count="1" selected="0">
            <x v="0"/>
          </reference>
          <reference field="19" count="1">
            <x v="16"/>
          </reference>
        </references>
      </pivotArea>
    </format>
    <format dxfId="855">
      <pivotArea dataOnly="0" labelOnly="1" outline="0" fieldPosition="0">
        <references count="4">
          <reference field="11" count="1" selected="0">
            <x v="56"/>
          </reference>
          <reference field="14" count="1" selected="0">
            <x v="463"/>
          </reference>
          <reference field="18" count="1" selected="0">
            <x v="22"/>
          </reference>
          <reference field="19" count="1">
            <x v="11"/>
          </reference>
        </references>
      </pivotArea>
    </format>
    <format dxfId="854">
      <pivotArea dataOnly="0" labelOnly="1" outline="0" fieldPosition="0">
        <references count="4">
          <reference field="11" count="1" selected="0">
            <x v="56"/>
          </reference>
          <reference field="14" count="1" selected="0">
            <x v="463"/>
          </reference>
          <reference field="18" count="1" selected="0">
            <x v="23"/>
          </reference>
          <reference field="19" count="1">
            <x v="12"/>
          </reference>
        </references>
      </pivotArea>
    </format>
    <format dxfId="853">
      <pivotArea dataOnly="0" labelOnly="1" outline="0" fieldPosition="0">
        <references count="4">
          <reference field="11" count="1" selected="0">
            <x v="56"/>
          </reference>
          <reference field="14" count="1" selected="0">
            <x v="463"/>
          </reference>
          <reference field="18" count="1" selected="0">
            <x v="24"/>
          </reference>
          <reference field="19" count="1">
            <x v="7"/>
          </reference>
        </references>
      </pivotArea>
    </format>
    <format dxfId="852">
      <pivotArea dataOnly="0" labelOnly="1" outline="0" fieldPosition="0">
        <references count="4">
          <reference field="11" count="1" selected="0">
            <x v="57"/>
          </reference>
          <reference field="14" count="1" selected="0">
            <x v="462"/>
          </reference>
          <reference field="18" count="1" selected="0">
            <x v="22"/>
          </reference>
          <reference field="19" count="1">
            <x v="11"/>
          </reference>
        </references>
      </pivotArea>
    </format>
    <format dxfId="851">
      <pivotArea dataOnly="0" labelOnly="1" outline="0" fieldPosition="0">
        <references count="4">
          <reference field="11" count="1" selected="0">
            <x v="57"/>
          </reference>
          <reference field="14" count="1" selected="0">
            <x v="462"/>
          </reference>
          <reference field="18" count="1" selected="0">
            <x v="23"/>
          </reference>
          <reference field="19" count="1">
            <x v="12"/>
          </reference>
        </references>
      </pivotArea>
    </format>
    <format dxfId="850">
      <pivotArea dataOnly="0" labelOnly="1" outline="0" fieldPosition="0">
        <references count="4">
          <reference field="11" count="1" selected="0">
            <x v="57"/>
          </reference>
          <reference field="14" count="1" selected="0">
            <x v="462"/>
          </reference>
          <reference field="18" count="1" selected="0">
            <x v="24"/>
          </reference>
          <reference field="19" count="1">
            <x v="7"/>
          </reference>
        </references>
      </pivotArea>
    </format>
    <format dxfId="849">
      <pivotArea dataOnly="0" labelOnly="1" outline="0" fieldPosition="0">
        <references count="4">
          <reference field="11" count="1" selected="0">
            <x v="58"/>
          </reference>
          <reference field="14" count="1" selected="0">
            <x v="459"/>
          </reference>
          <reference field="18" count="1" selected="0">
            <x v="1"/>
          </reference>
          <reference field="19" count="1">
            <x v="18"/>
          </reference>
        </references>
      </pivotArea>
    </format>
    <format dxfId="848">
      <pivotArea dataOnly="0" labelOnly="1" outline="0" fieldPosition="0">
        <references count="4">
          <reference field="11" count="1" selected="0">
            <x v="59"/>
          </reference>
          <reference field="14" count="1" selected="0">
            <x v="271"/>
          </reference>
          <reference field="18" count="1" selected="0">
            <x v="3"/>
          </reference>
          <reference field="19" count="1">
            <x v="15"/>
          </reference>
        </references>
      </pivotArea>
    </format>
    <format dxfId="847">
      <pivotArea dataOnly="0" labelOnly="1" outline="0" fieldPosition="0">
        <references count="4">
          <reference field="11" count="1" selected="0">
            <x v="60"/>
          </reference>
          <reference field="14" count="1" selected="0">
            <x v="22"/>
          </reference>
          <reference field="18" count="1" selected="0">
            <x v="16"/>
          </reference>
          <reference field="19" count="1">
            <x v="24"/>
          </reference>
        </references>
      </pivotArea>
    </format>
    <format dxfId="846">
      <pivotArea dataOnly="0" labelOnly="1" outline="0" fieldPosition="0">
        <references count="4">
          <reference field="11" count="1" selected="0">
            <x v="61"/>
          </reference>
          <reference field="14" count="1" selected="0">
            <x v="354"/>
          </reference>
          <reference field="18" count="1" selected="0">
            <x v="6"/>
          </reference>
          <reference field="19" count="1">
            <x v="23"/>
          </reference>
        </references>
      </pivotArea>
    </format>
    <format dxfId="845">
      <pivotArea dataOnly="0" labelOnly="1" outline="0" fieldPosition="0">
        <references count="4">
          <reference field="11" count="1" selected="0">
            <x v="62"/>
          </reference>
          <reference field="14" count="1" selected="0">
            <x v="415"/>
          </reference>
          <reference field="18" count="1" selected="0">
            <x v="6"/>
          </reference>
          <reference field="19" count="1">
            <x v="23"/>
          </reference>
        </references>
      </pivotArea>
    </format>
    <format dxfId="844">
      <pivotArea dataOnly="0" labelOnly="1" outline="0" fieldPosition="0">
        <references count="4">
          <reference field="11" count="1" selected="0">
            <x v="63"/>
          </reference>
          <reference field="14" count="1" selected="0">
            <x v="227"/>
          </reference>
          <reference field="18" count="1" selected="0">
            <x v="0"/>
          </reference>
          <reference field="19" count="1">
            <x v="16"/>
          </reference>
        </references>
      </pivotArea>
    </format>
    <format dxfId="843">
      <pivotArea dataOnly="0" labelOnly="1" outline="0" fieldPosition="0">
        <references count="4">
          <reference field="11" count="1" selected="0">
            <x v="63"/>
          </reference>
          <reference field="14" count="1" selected="0">
            <x v="227"/>
          </reference>
          <reference field="18" count="1" selected="0">
            <x v="7"/>
          </reference>
          <reference field="19" count="1">
            <x v="4"/>
          </reference>
        </references>
      </pivotArea>
    </format>
    <format dxfId="842">
      <pivotArea dataOnly="0" labelOnly="1" outline="0" fieldPosition="0">
        <references count="4">
          <reference field="11" count="1" selected="0">
            <x v="63"/>
          </reference>
          <reference field="14" count="1" selected="0">
            <x v="227"/>
          </reference>
          <reference field="18" count="1" selected="0">
            <x v="11"/>
          </reference>
          <reference field="19" count="1">
            <x v="20"/>
          </reference>
        </references>
      </pivotArea>
    </format>
    <format dxfId="841">
      <pivotArea dataOnly="0" labelOnly="1" outline="0" fieldPosition="0">
        <references count="4">
          <reference field="11" count="1" selected="0">
            <x v="63"/>
          </reference>
          <reference field="14" count="1" selected="0">
            <x v="227"/>
          </reference>
          <reference field="18" count="1" selected="0">
            <x v="12"/>
          </reference>
          <reference field="19" count="1">
            <x v="13"/>
          </reference>
        </references>
      </pivotArea>
    </format>
    <format dxfId="840">
      <pivotArea dataOnly="0" labelOnly="1" outline="0" fieldPosition="0">
        <references count="4">
          <reference field="11" count="1" selected="0">
            <x v="64"/>
          </reference>
          <reference field="14" count="1" selected="0">
            <x v="261"/>
          </reference>
          <reference field="18" count="1" selected="0">
            <x v="12"/>
          </reference>
          <reference field="19" count="1">
            <x v="13"/>
          </reference>
        </references>
      </pivotArea>
    </format>
    <format dxfId="839">
      <pivotArea dataOnly="0" labelOnly="1" outline="0" fieldPosition="0">
        <references count="4">
          <reference field="11" count="1" selected="0">
            <x v="65"/>
          </reference>
          <reference field="14" count="1" selected="0">
            <x v="336"/>
          </reference>
          <reference field="18" count="1" selected="0">
            <x v="14"/>
          </reference>
          <reference field="19" count="1">
            <x v="9"/>
          </reference>
        </references>
      </pivotArea>
    </format>
    <format dxfId="838">
      <pivotArea dataOnly="0" labelOnly="1" outline="0" fieldPosition="0">
        <references count="4">
          <reference field="11" count="1" selected="0">
            <x v="66"/>
          </reference>
          <reference field="14" count="1" selected="0">
            <x v="63"/>
          </reference>
          <reference field="18" count="1" selected="0">
            <x v="3"/>
          </reference>
          <reference field="19" count="1">
            <x v="15"/>
          </reference>
        </references>
      </pivotArea>
    </format>
    <format dxfId="837">
      <pivotArea dataOnly="0" labelOnly="1" outline="0" fieldPosition="0">
        <references count="4">
          <reference field="11" count="1" selected="0">
            <x v="67"/>
          </reference>
          <reference field="14" count="1" selected="0">
            <x v="237"/>
          </reference>
          <reference field="18" count="1" selected="0">
            <x v="0"/>
          </reference>
          <reference field="19" count="1">
            <x v="16"/>
          </reference>
        </references>
      </pivotArea>
    </format>
    <format dxfId="836">
      <pivotArea dataOnly="0" labelOnly="1" outline="0" fieldPosition="0">
        <references count="4">
          <reference field="11" count="1" selected="0">
            <x v="67"/>
          </reference>
          <reference field="14" count="1" selected="0">
            <x v="237"/>
          </reference>
          <reference field="18" count="1" selected="0">
            <x v="2"/>
          </reference>
          <reference field="19" count="1">
            <x v="22"/>
          </reference>
        </references>
      </pivotArea>
    </format>
    <format dxfId="835">
      <pivotArea dataOnly="0" labelOnly="1" outline="0" fieldPosition="0">
        <references count="4">
          <reference field="11" count="1" selected="0">
            <x v="67"/>
          </reference>
          <reference field="14" count="1" selected="0">
            <x v="237"/>
          </reference>
          <reference field="18" count="1" selected="0">
            <x v="12"/>
          </reference>
          <reference field="19" count="1">
            <x v="13"/>
          </reference>
        </references>
      </pivotArea>
    </format>
    <format dxfId="834">
      <pivotArea dataOnly="0" labelOnly="1" outline="0" fieldPosition="0">
        <references count="4">
          <reference field="11" count="1" selected="0">
            <x v="68"/>
          </reference>
          <reference field="14" count="1" selected="0">
            <x v="138"/>
          </reference>
          <reference field="18" count="1" selected="0">
            <x v="22"/>
          </reference>
          <reference field="19" count="1">
            <x v="11"/>
          </reference>
        </references>
      </pivotArea>
    </format>
    <format dxfId="833">
      <pivotArea dataOnly="0" labelOnly="1" outline="0" fieldPosition="0">
        <references count="4">
          <reference field="11" count="1" selected="0">
            <x v="69"/>
          </reference>
          <reference field="14" count="1" selected="0">
            <x v="139"/>
          </reference>
          <reference field="18" count="1" selected="0">
            <x v="22"/>
          </reference>
          <reference field="19" count="1">
            <x v="11"/>
          </reference>
        </references>
      </pivotArea>
    </format>
    <format dxfId="832">
      <pivotArea dataOnly="0" labelOnly="1" outline="0" fieldPosition="0">
        <references count="4">
          <reference field="11" count="1" selected="0">
            <x v="70"/>
          </reference>
          <reference field="14" count="1" selected="0">
            <x v="137"/>
          </reference>
          <reference field="18" count="1" selected="0">
            <x v="22"/>
          </reference>
          <reference field="19" count="1">
            <x v="11"/>
          </reference>
        </references>
      </pivotArea>
    </format>
    <format dxfId="831">
      <pivotArea dataOnly="0" labelOnly="1" outline="0" fieldPosition="0">
        <references count="4">
          <reference field="11" count="1" selected="0">
            <x v="71"/>
          </reference>
          <reference field="14" count="1" selected="0">
            <x v="468"/>
          </reference>
          <reference field="18" count="1" selected="0">
            <x v="6"/>
          </reference>
          <reference field="19" count="1">
            <x v="23"/>
          </reference>
        </references>
      </pivotArea>
    </format>
    <format dxfId="830">
      <pivotArea dataOnly="0" labelOnly="1" outline="0" fieldPosition="0">
        <references count="4">
          <reference field="11" count="1" selected="0">
            <x v="72"/>
          </reference>
          <reference field="14" count="1" selected="0">
            <x v="83"/>
          </reference>
          <reference field="18" count="1" selected="0">
            <x v="1"/>
          </reference>
          <reference field="19" count="1">
            <x v="18"/>
          </reference>
        </references>
      </pivotArea>
    </format>
    <format dxfId="829">
      <pivotArea dataOnly="0" labelOnly="1" outline="0" fieldPosition="0">
        <references count="4">
          <reference field="11" count="1" selected="0">
            <x v="73"/>
          </reference>
          <reference field="14" count="1" selected="0">
            <x v="288"/>
          </reference>
          <reference field="18" count="1" selected="0">
            <x v="0"/>
          </reference>
          <reference field="19" count="1">
            <x v="16"/>
          </reference>
        </references>
      </pivotArea>
    </format>
    <format dxfId="828">
      <pivotArea dataOnly="0" labelOnly="1" outline="0" fieldPosition="0">
        <references count="4">
          <reference field="11" count="1" selected="0">
            <x v="74"/>
          </reference>
          <reference field="14" count="1" selected="0">
            <x v="235"/>
          </reference>
          <reference field="18" count="1" selected="0">
            <x v="3"/>
          </reference>
          <reference field="19" count="1">
            <x v="15"/>
          </reference>
        </references>
      </pivotArea>
    </format>
    <format dxfId="827">
      <pivotArea dataOnly="0" labelOnly="1" outline="0" fieldPosition="0">
        <references count="4">
          <reference field="11" count="1" selected="0">
            <x v="74"/>
          </reference>
          <reference field="14" count="1" selected="0">
            <x v="235"/>
          </reference>
          <reference field="18" count="1" selected="0">
            <x v="12"/>
          </reference>
          <reference field="19" count="1">
            <x v="13"/>
          </reference>
        </references>
      </pivotArea>
    </format>
    <format dxfId="826">
      <pivotArea dataOnly="0" labelOnly="1" outline="0" fieldPosition="0">
        <references count="4">
          <reference field="11" count="1" selected="0">
            <x v="75"/>
          </reference>
          <reference field="14" count="1" selected="0">
            <x v="285"/>
          </reference>
          <reference field="18" count="1" selected="0">
            <x v="0"/>
          </reference>
          <reference field="19" count="1">
            <x v="16"/>
          </reference>
        </references>
      </pivotArea>
    </format>
    <format dxfId="825">
      <pivotArea dataOnly="0" labelOnly="1" outline="0" fieldPosition="0">
        <references count="4">
          <reference field="11" count="1" selected="0">
            <x v="76"/>
          </reference>
          <reference field="14" count="1" selected="0">
            <x v="214"/>
          </reference>
          <reference field="18" count="1" selected="0">
            <x v="8"/>
          </reference>
          <reference field="19" count="1">
            <x v="5"/>
          </reference>
        </references>
      </pivotArea>
    </format>
    <format dxfId="824">
      <pivotArea dataOnly="0" labelOnly="1" outline="0" fieldPosition="0">
        <references count="4">
          <reference field="11" count="1" selected="0">
            <x v="76"/>
          </reference>
          <reference field="14" count="1" selected="0">
            <x v="214"/>
          </reference>
          <reference field="18" count="1" selected="0">
            <x v="14"/>
          </reference>
          <reference field="19" count="1">
            <x v="9"/>
          </reference>
        </references>
      </pivotArea>
    </format>
    <format dxfId="823">
      <pivotArea dataOnly="0" labelOnly="1" outline="0" fieldPosition="0">
        <references count="4">
          <reference field="11" count="1" selected="0">
            <x v="77"/>
          </reference>
          <reference field="14" count="1" selected="0">
            <x v="104"/>
          </reference>
          <reference field="18" count="1" selected="0">
            <x v="0"/>
          </reference>
          <reference field="19" count="1">
            <x v="16"/>
          </reference>
        </references>
      </pivotArea>
    </format>
    <format dxfId="822">
      <pivotArea dataOnly="0" labelOnly="1" outline="0" fieldPosition="0">
        <references count="4">
          <reference field="11" count="1" selected="0">
            <x v="78"/>
          </reference>
          <reference field="14" count="1" selected="0">
            <x v="195"/>
          </reference>
          <reference field="18" count="1" selected="0">
            <x v="14"/>
          </reference>
          <reference field="19" count="1">
            <x v="9"/>
          </reference>
        </references>
      </pivotArea>
    </format>
    <format dxfId="821">
      <pivotArea dataOnly="0" labelOnly="1" outline="0" fieldPosition="0">
        <references count="4">
          <reference field="11" count="1" selected="0">
            <x v="79"/>
          </reference>
          <reference field="14" count="1" selected="0">
            <x v="196"/>
          </reference>
          <reference field="18" count="1" selected="0">
            <x v="14"/>
          </reference>
          <reference field="19" count="1">
            <x v="9"/>
          </reference>
        </references>
      </pivotArea>
    </format>
    <format dxfId="820">
      <pivotArea dataOnly="0" labelOnly="1" outline="0" fieldPosition="0">
        <references count="4">
          <reference field="11" count="1" selected="0">
            <x v="80"/>
          </reference>
          <reference field="14" count="1" selected="0">
            <x v="467"/>
          </reference>
          <reference field="18" count="1" selected="0">
            <x v="2"/>
          </reference>
          <reference field="19" count="1">
            <x v="22"/>
          </reference>
        </references>
      </pivotArea>
    </format>
    <format dxfId="819">
      <pivotArea dataOnly="0" labelOnly="1" outline="0" fieldPosition="0">
        <references count="4">
          <reference field="11" count="1" selected="0">
            <x v="81"/>
          </reference>
          <reference field="14" count="1" selected="0">
            <x v="56"/>
          </reference>
          <reference field="18" count="1" selected="0">
            <x v="1"/>
          </reference>
          <reference field="19" count="1">
            <x v="18"/>
          </reference>
        </references>
      </pivotArea>
    </format>
    <format dxfId="818">
      <pivotArea dataOnly="0" labelOnly="1" outline="0" fieldPosition="0">
        <references count="4">
          <reference field="11" count="1" selected="0">
            <x v="82"/>
          </reference>
          <reference field="14" count="1" selected="0">
            <x v="106"/>
          </reference>
          <reference field="18" count="1" selected="0">
            <x v="27"/>
          </reference>
          <reference field="19" count="1">
            <x v="17"/>
          </reference>
        </references>
      </pivotArea>
    </format>
    <format dxfId="817">
      <pivotArea dataOnly="0" labelOnly="1" outline="0" fieldPosition="0">
        <references count="4">
          <reference field="11" count="1" selected="0">
            <x v="83"/>
          </reference>
          <reference field="14" count="1" selected="0">
            <x v="216"/>
          </reference>
          <reference field="18" count="1" selected="0">
            <x v="2"/>
          </reference>
          <reference field="19" count="1">
            <x v="22"/>
          </reference>
        </references>
      </pivotArea>
    </format>
    <format dxfId="816">
      <pivotArea dataOnly="0" labelOnly="1" outline="0" fieldPosition="0">
        <references count="4">
          <reference field="11" count="1" selected="0">
            <x v="84"/>
          </reference>
          <reference field="14" count="1" selected="0">
            <x v="47"/>
          </reference>
          <reference field="18" count="1" selected="0">
            <x v="0"/>
          </reference>
          <reference field="19" count="1">
            <x v="16"/>
          </reference>
        </references>
      </pivotArea>
    </format>
    <format dxfId="815">
      <pivotArea dataOnly="0" labelOnly="1" outline="0" fieldPosition="0">
        <references count="4">
          <reference field="11" count="1" selected="0">
            <x v="85"/>
          </reference>
          <reference field="14" count="1" selected="0">
            <x v="203"/>
          </reference>
          <reference field="18" count="1" selected="0">
            <x v="16"/>
          </reference>
          <reference field="19" count="1">
            <x v="24"/>
          </reference>
        </references>
      </pivotArea>
    </format>
    <format dxfId="814">
      <pivotArea dataOnly="0" labelOnly="1" outline="0" fieldPosition="0">
        <references count="4">
          <reference field="11" count="1" selected="0">
            <x v="86"/>
          </reference>
          <reference field="14" count="1" selected="0">
            <x v="383"/>
          </reference>
          <reference field="18" count="1" selected="0">
            <x v="4"/>
          </reference>
          <reference field="19" count="1">
            <x v="10"/>
          </reference>
        </references>
      </pivotArea>
    </format>
    <format dxfId="813">
      <pivotArea dataOnly="0" labelOnly="1" outline="0" fieldPosition="0">
        <references count="4">
          <reference field="11" count="1" selected="0">
            <x v="87"/>
          </reference>
          <reference field="14" count="1" selected="0">
            <x v="193"/>
          </reference>
          <reference field="18" count="1" selected="0">
            <x v="14"/>
          </reference>
          <reference field="19" count="1">
            <x v="9"/>
          </reference>
        </references>
      </pivotArea>
    </format>
    <format dxfId="812">
      <pivotArea dataOnly="0" labelOnly="1" outline="0" fieldPosition="0">
        <references count="4">
          <reference field="11" count="1" selected="0">
            <x v="88"/>
          </reference>
          <reference field="14" count="1" selected="0">
            <x v="4"/>
          </reference>
          <reference field="18" count="1" selected="0">
            <x v="4"/>
          </reference>
          <reference field="19" count="1">
            <x v="10"/>
          </reference>
        </references>
      </pivotArea>
    </format>
    <format dxfId="811">
      <pivotArea dataOnly="0" labelOnly="1" outline="0" fieldPosition="0">
        <references count="4">
          <reference field="11" count="1" selected="0">
            <x v="89"/>
          </reference>
          <reference field="14" count="1" selected="0">
            <x v="251"/>
          </reference>
          <reference field="18" count="1" selected="0">
            <x v="12"/>
          </reference>
          <reference field="19" count="1">
            <x v="13"/>
          </reference>
        </references>
      </pivotArea>
    </format>
    <format dxfId="810">
      <pivotArea dataOnly="0" labelOnly="1" outline="0" fieldPosition="0">
        <references count="4">
          <reference field="11" count="1" selected="0">
            <x v="89"/>
          </reference>
          <reference field="14" count="1" selected="0">
            <x v="251"/>
          </reference>
          <reference field="18" count="1" selected="0">
            <x v="27"/>
          </reference>
          <reference field="19" count="1">
            <x v="17"/>
          </reference>
        </references>
      </pivotArea>
    </format>
    <format dxfId="809">
      <pivotArea dataOnly="0" labelOnly="1" outline="0" fieldPosition="0">
        <references count="4">
          <reference field="11" count="1" selected="0">
            <x v="90"/>
          </reference>
          <reference field="14" count="1" selected="0">
            <x v="335"/>
          </reference>
          <reference field="18" count="1" selected="0">
            <x v="0"/>
          </reference>
          <reference field="19" count="1">
            <x v="16"/>
          </reference>
        </references>
      </pivotArea>
    </format>
    <format dxfId="808">
      <pivotArea dataOnly="0" labelOnly="1" outline="0" fieldPosition="0">
        <references count="4">
          <reference field="11" count="1" selected="0">
            <x v="90"/>
          </reference>
          <reference field="14" count="1" selected="0">
            <x v="335"/>
          </reference>
          <reference field="18" count="1" selected="0">
            <x v="1"/>
          </reference>
          <reference field="19" count="1">
            <x v="18"/>
          </reference>
        </references>
      </pivotArea>
    </format>
    <format dxfId="807">
      <pivotArea dataOnly="0" labelOnly="1" outline="0" fieldPosition="0">
        <references count="4">
          <reference field="11" count="1" selected="0">
            <x v="90"/>
          </reference>
          <reference field="14" count="1" selected="0">
            <x v="335"/>
          </reference>
          <reference field="18" count="1" selected="0">
            <x v="12"/>
          </reference>
          <reference field="19" count="1">
            <x v="13"/>
          </reference>
        </references>
      </pivotArea>
    </format>
    <format dxfId="806">
      <pivotArea dataOnly="0" labelOnly="1" outline="0" fieldPosition="0">
        <references count="4">
          <reference field="11" count="1" selected="0">
            <x v="90"/>
          </reference>
          <reference field="14" count="1" selected="0">
            <x v="335"/>
          </reference>
          <reference field="18" count="1" selected="0">
            <x v="13"/>
          </reference>
          <reference field="19" count="1">
            <x v="21"/>
          </reference>
        </references>
      </pivotArea>
    </format>
    <format dxfId="805">
      <pivotArea dataOnly="0" labelOnly="1" outline="0" fieldPosition="0">
        <references count="4">
          <reference field="11" count="1" selected="0">
            <x v="91"/>
          </reference>
          <reference field="14" count="1" selected="0">
            <x v="27"/>
          </reference>
          <reference field="18" count="1" selected="0">
            <x v="1"/>
          </reference>
          <reference field="19" count="1">
            <x v="18"/>
          </reference>
        </references>
      </pivotArea>
    </format>
    <format dxfId="804">
      <pivotArea dataOnly="0" labelOnly="1" outline="0" fieldPosition="0">
        <references count="4">
          <reference field="11" count="1" selected="0">
            <x v="92"/>
          </reference>
          <reference field="14" count="1" selected="0">
            <x v="189"/>
          </reference>
          <reference field="18" count="1" selected="0">
            <x v="0"/>
          </reference>
          <reference field="19" count="1">
            <x v="16"/>
          </reference>
        </references>
      </pivotArea>
    </format>
    <format dxfId="803">
      <pivotArea dataOnly="0" labelOnly="1" outline="0" fieldPosition="0">
        <references count="4">
          <reference field="11" count="1" selected="0">
            <x v="93"/>
          </reference>
          <reference field="14" count="1" selected="0">
            <x v="451"/>
          </reference>
          <reference field="18" count="1" selected="0">
            <x v="3"/>
          </reference>
          <reference field="19" count="1">
            <x v="15"/>
          </reference>
        </references>
      </pivotArea>
    </format>
    <format dxfId="802">
      <pivotArea dataOnly="0" labelOnly="1" outline="0" fieldPosition="0">
        <references count="4">
          <reference field="11" count="1" selected="0">
            <x v="93"/>
          </reference>
          <reference field="14" count="1" selected="0">
            <x v="451"/>
          </reference>
          <reference field="18" count="1" selected="0">
            <x v="7"/>
          </reference>
          <reference field="19" count="1">
            <x v="4"/>
          </reference>
        </references>
      </pivotArea>
    </format>
    <format dxfId="801">
      <pivotArea dataOnly="0" labelOnly="1" outline="0" fieldPosition="0">
        <references count="4">
          <reference field="11" count="1" selected="0">
            <x v="94"/>
          </reference>
          <reference field="14" count="1" selected="0">
            <x v="23"/>
          </reference>
          <reference field="18" count="1" selected="0">
            <x v="3"/>
          </reference>
          <reference field="19" count="1">
            <x v="15"/>
          </reference>
        </references>
      </pivotArea>
    </format>
    <format dxfId="800">
      <pivotArea dataOnly="0" labelOnly="1" outline="0" fieldPosition="0">
        <references count="4">
          <reference field="11" count="1" selected="0">
            <x v="95"/>
          </reference>
          <reference field="14" count="1" selected="0">
            <x v="200"/>
          </reference>
          <reference field="18" count="1" selected="0">
            <x v="0"/>
          </reference>
          <reference field="19" count="1">
            <x v="16"/>
          </reference>
        </references>
      </pivotArea>
    </format>
    <format dxfId="799">
      <pivotArea dataOnly="0" labelOnly="1" outline="0" fieldPosition="0">
        <references count="4">
          <reference field="11" count="1" selected="0">
            <x v="95"/>
          </reference>
          <reference field="14" count="1" selected="0">
            <x v="200"/>
          </reference>
          <reference field="18" count="1" selected="0">
            <x v="12"/>
          </reference>
          <reference field="19" count="1">
            <x v="13"/>
          </reference>
        </references>
      </pivotArea>
    </format>
    <format dxfId="798">
      <pivotArea dataOnly="0" labelOnly="1" outline="0" fieldPosition="0">
        <references count="4">
          <reference field="11" count="1" selected="0">
            <x v="95"/>
          </reference>
          <reference field="14" count="1" selected="0">
            <x v="200"/>
          </reference>
          <reference field="18" count="1" selected="0">
            <x v="27"/>
          </reference>
          <reference field="19" count="1">
            <x v="17"/>
          </reference>
        </references>
      </pivotArea>
    </format>
    <format dxfId="797">
      <pivotArea dataOnly="0" labelOnly="1" outline="0" fieldPosition="0">
        <references count="4">
          <reference field="11" count="1" selected="0">
            <x v="96"/>
          </reference>
          <reference field="14" count="1" selected="0">
            <x v="240"/>
          </reference>
          <reference field="18" count="1" selected="0">
            <x v="6"/>
          </reference>
          <reference field="19" count="1">
            <x v="23"/>
          </reference>
        </references>
      </pivotArea>
    </format>
    <format dxfId="796">
      <pivotArea dataOnly="0" labelOnly="1" outline="0" fieldPosition="0">
        <references count="4">
          <reference field="11" count="1" selected="0">
            <x v="97"/>
          </reference>
          <reference field="14" count="1" selected="0">
            <x v="268"/>
          </reference>
          <reference field="18" count="1" selected="0">
            <x v="3"/>
          </reference>
          <reference field="19" count="1">
            <x v="15"/>
          </reference>
        </references>
      </pivotArea>
    </format>
    <format dxfId="795">
      <pivotArea dataOnly="0" labelOnly="1" outline="0" fieldPosition="0">
        <references count="4">
          <reference field="11" count="1" selected="0">
            <x v="98"/>
          </reference>
          <reference field="14" count="1" selected="0">
            <x v="358"/>
          </reference>
          <reference field="18" count="1" selected="0">
            <x v="14"/>
          </reference>
          <reference field="19" count="1">
            <x v="9"/>
          </reference>
        </references>
      </pivotArea>
    </format>
    <format dxfId="794">
      <pivotArea dataOnly="0" labelOnly="1" outline="0" fieldPosition="0">
        <references count="4">
          <reference field="11" count="1" selected="0">
            <x v="99"/>
          </reference>
          <reference field="14" count="1" selected="0">
            <x v="454"/>
          </reference>
          <reference field="18" count="1" selected="0">
            <x v="0"/>
          </reference>
          <reference field="19" count="1">
            <x v="16"/>
          </reference>
        </references>
      </pivotArea>
    </format>
    <format dxfId="793">
      <pivotArea dataOnly="0" labelOnly="1" outline="0" fieldPosition="0">
        <references count="4">
          <reference field="11" count="1" selected="0">
            <x v="100"/>
          </reference>
          <reference field="14" count="1" selected="0">
            <x v="274"/>
          </reference>
          <reference field="18" count="1" selected="0">
            <x v="0"/>
          </reference>
          <reference field="19" count="1">
            <x v="16"/>
          </reference>
        </references>
      </pivotArea>
    </format>
    <format dxfId="792">
      <pivotArea dataOnly="0" labelOnly="1" outline="0" fieldPosition="0">
        <references count="4">
          <reference field="11" count="1" selected="0">
            <x v="101"/>
          </reference>
          <reference field="14" count="1" selected="0">
            <x v="303"/>
          </reference>
          <reference field="18" count="1" selected="0">
            <x v="6"/>
          </reference>
          <reference field="19" count="1">
            <x v="23"/>
          </reference>
        </references>
      </pivotArea>
    </format>
    <format dxfId="791">
      <pivotArea dataOnly="0" labelOnly="1" outline="0" fieldPosition="0">
        <references count="4">
          <reference field="11" count="1" selected="0">
            <x v="102"/>
          </reference>
          <reference field="14" count="1" selected="0">
            <x v="248"/>
          </reference>
          <reference field="18" count="1" selected="0">
            <x v="3"/>
          </reference>
          <reference field="19" count="1">
            <x v="15"/>
          </reference>
        </references>
      </pivotArea>
    </format>
    <format dxfId="790">
      <pivotArea dataOnly="0" labelOnly="1" outline="0" fieldPosition="0">
        <references count="4">
          <reference field="11" count="1" selected="0">
            <x v="103"/>
          </reference>
          <reference field="14" count="1" selected="0">
            <x v="48"/>
          </reference>
          <reference field="18" count="1" selected="0">
            <x v="0"/>
          </reference>
          <reference field="19" count="1">
            <x v="16"/>
          </reference>
        </references>
      </pivotArea>
    </format>
    <format dxfId="789">
      <pivotArea dataOnly="0" labelOnly="1" outline="0" fieldPosition="0">
        <references count="4">
          <reference field="11" count="1" selected="0">
            <x v="104"/>
          </reference>
          <reference field="14" count="1" selected="0">
            <x v="321"/>
          </reference>
          <reference field="18" count="1" selected="0">
            <x v="2"/>
          </reference>
          <reference field="19" count="1">
            <x v="22"/>
          </reference>
        </references>
      </pivotArea>
    </format>
    <format dxfId="788">
      <pivotArea dataOnly="0" labelOnly="1" outline="0" fieldPosition="0">
        <references count="4">
          <reference field="11" count="1" selected="0">
            <x v="105"/>
          </reference>
          <reference field="14" count="1" selected="0">
            <x v="320"/>
          </reference>
          <reference field="18" count="1" selected="0">
            <x v="2"/>
          </reference>
          <reference field="19" count="1">
            <x v="22"/>
          </reference>
        </references>
      </pivotArea>
    </format>
    <format dxfId="787">
      <pivotArea dataOnly="0" labelOnly="1" outline="0" fieldPosition="0">
        <references count="4">
          <reference field="11" count="1" selected="0">
            <x v="106"/>
          </reference>
          <reference field="14" count="1" selected="0">
            <x v="210"/>
          </reference>
          <reference field="18" count="1" selected="0">
            <x v="0"/>
          </reference>
          <reference field="19" count="1">
            <x v="16"/>
          </reference>
        </references>
      </pivotArea>
    </format>
    <format dxfId="786">
      <pivotArea dataOnly="0" labelOnly="1" outline="0" fieldPosition="0">
        <references count="4">
          <reference field="11" count="1" selected="0">
            <x v="107"/>
          </reference>
          <reference field="14" count="1" selected="0">
            <x v="220"/>
          </reference>
          <reference field="18" count="1" selected="0">
            <x v="1"/>
          </reference>
          <reference field="19" count="1">
            <x v="18"/>
          </reference>
        </references>
      </pivotArea>
    </format>
    <format dxfId="785">
      <pivotArea dataOnly="0" labelOnly="1" outline="0" fieldPosition="0">
        <references count="4">
          <reference field="11" count="1" selected="0">
            <x v="108"/>
          </reference>
          <reference field="14" count="1" selected="0">
            <x v="111"/>
          </reference>
          <reference field="18" count="1" selected="0">
            <x v="0"/>
          </reference>
          <reference field="19" count="1">
            <x v="16"/>
          </reference>
        </references>
      </pivotArea>
    </format>
    <format dxfId="784">
      <pivotArea dataOnly="0" labelOnly="1" outline="0" fieldPosition="0">
        <references count="4">
          <reference field="11" count="1" selected="0">
            <x v="109"/>
          </reference>
          <reference field="14" count="1" selected="0">
            <x v="194"/>
          </reference>
          <reference field="18" count="1" selected="0">
            <x v="14"/>
          </reference>
          <reference field="19" count="1">
            <x v="9"/>
          </reference>
        </references>
      </pivotArea>
    </format>
    <format dxfId="783">
      <pivotArea dataOnly="0" labelOnly="1" outline="0" fieldPosition="0">
        <references count="4">
          <reference field="11" count="1" selected="0">
            <x v="110"/>
          </reference>
          <reference field="14" count="1" selected="0">
            <x v="52"/>
          </reference>
          <reference field="18" count="1" selected="0">
            <x v="0"/>
          </reference>
          <reference field="19" count="1">
            <x v="16"/>
          </reference>
        </references>
      </pivotArea>
    </format>
    <format dxfId="782">
      <pivotArea dataOnly="0" labelOnly="1" outline="0" fieldPosition="0">
        <references count="4">
          <reference field="11" count="1" selected="0">
            <x v="111"/>
          </reference>
          <reference field="14" count="1" selected="0">
            <x v="229"/>
          </reference>
          <reference field="18" count="1" selected="0">
            <x v="2"/>
          </reference>
          <reference field="19" count="1">
            <x v="22"/>
          </reference>
        </references>
      </pivotArea>
    </format>
    <format dxfId="781">
      <pivotArea dataOnly="0" labelOnly="1" outline="0" fieldPosition="0">
        <references count="4">
          <reference field="11" count="1" selected="0">
            <x v="111"/>
          </reference>
          <reference field="14" count="1" selected="0">
            <x v="229"/>
          </reference>
          <reference field="18" count="1" selected="0">
            <x v="12"/>
          </reference>
          <reference field="19" count="1">
            <x v="13"/>
          </reference>
        </references>
      </pivotArea>
    </format>
    <format dxfId="780">
      <pivotArea dataOnly="0" labelOnly="1" outline="0" fieldPosition="0">
        <references count="4">
          <reference field="11" count="1" selected="0">
            <x v="112"/>
          </reference>
          <reference field="14" count="1" selected="0">
            <x v="41"/>
          </reference>
          <reference field="18" count="1" selected="0">
            <x v="0"/>
          </reference>
          <reference field="19" count="1">
            <x v="16"/>
          </reference>
        </references>
      </pivotArea>
    </format>
    <format dxfId="779">
      <pivotArea dataOnly="0" labelOnly="1" outline="0" fieldPosition="0">
        <references count="4">
          <reference field="11" count="1" selected="0">
            <x v="112"/>
          </reference>
          <reference field="14" count="1" selected="0">
            <x v="41"/>
          </reference>
          <reference field="18" count="1" selected="0">
            <x v="2"/>
          </reference>
          <reference field="19" count="1">
            <x v="22"/>
          </reference>
        </references>
      </pivotArea>
    </format>
    <format dxfId="778">
      <pivotArea dataOnly="0" labelOnly="1" outline="0" fieldPosition="0">
        <references count="4">
          <reference field="11" count="1" selected="0">
            <x v="113"/>
          </reference>
          <reference field="14" count="1" selected="0">
            <x v="40"/>
          </reference>
          <reference field="18" count="1" selected="0">
            <x v="0"/>
          </reference>
          <reference field="19" count="1">
            <x v="16"/>
          </reference>
        </references>
      </pivotArea>
    </format>
    <format dxfId="777">
      <pivotArea dataOnly="0" labelOnly="1" outline="0" fieldPosition="0">
        <references count="4">
          <reference field="11" count="1" selected="0">
            <x v="113"/>
          </reference>
          <reference field="14" count="1" selected="0">
            <x v="40"/>
          </reference>
          <reference field="18" count="1" selected="0">
            <x v="2"/>
          </reference>
          <reference field="19" count="1">
            <x v="22"/>
          </reference>
        </references>
      </pivotArea>
    </format>
    <format dxfId="776">
      <pivotArea dataOnly="0" labelOnly="1" outline="0" fieldPosition="0">
        <references count="4">
          <reference field="11" count="1" selected="0">
            <x v="114"/>
          </reference>
          <reference field="14" count="1" selected="0">
            <x v="433"/>
          </reference>
          <reference field="18" count="1" selected="0">
            <x v="2"/>
          </reference>
          <reference field="19" count="1">
            <x v="22"/>
          </reference>
        </references>
      </pivotArea>
    </format>
    <format dxfId="775">
      <pivotArea dataOnly="0" labelOnly="1" outline="0" fieldPosition="0">
        <references count="4">
          <reference field="11" count="1" selected="0">
            <x v="115"/>
          </reference>
          <reference field="14" count="1" selected="0">
            <x v="470"/>
          </reference>
          <reference field="18" count="1" selected="0">
            <x v="22"/>
          </reference>
          <reference field="19" count="1">
            <x v="11"/>
          </reference>
        </references>
      </pivotArea>
    </format>
    <format dxfId="774">
      <pivotArea dataOnly="0" labelOnly="1" outline="0" fieldPosition="0">
        <references count="4">
          <reference field="11" count="1" selected="0">
            <x v="115"/>
          </reference>
          <reference field="14" count="1" selected="0">
            <x v="470"/>
          </reference>
          <reference field="18" count="1" selected="0">
            <x v="24"/>
          </reference>
          <reference field="19" count="1">
            <x v="7"/>
          </reference>
        </references>
      </pivotArea>
    </format>
    <format dxfId="773">
      <pivotArea dataOnly="0" labelOnly="1" outline="0" fieldPosition="0">
        <references count="4">
          <reference field="11" count="1" selected="0">
            <x v="116"/>
          </reference>
          <reference field="14" count="1" selected="0">
            <x v="469"/>
          </reference>
          <reference field="18" count="1" selected="0">
            <x v="2"/>
          </reference>
          <reference field="19" count="1">
            <x v="22"/>
          </reference>
        </references>
      </pivotArea>
    </format>
    <format dxfId="772">
      <pivotArea dataOnly="0" labelOnly="1" outline="0" fieldPosition="0">
        <references count="4">
          <reference field="11" count="1" selected="0">
            <x v="117"/>
          </reference>
          <reference field="14" count="1" selected="0">
            <x v="472"/>
          </reference>
          <reference field="18" count="1" selected="0">
            <x v="2"/>
          </reference>
          <reference field="19" count="1">
            <x v="22"/>
          </reference>
        </references>
      </pivotArea>
    </format>
    <format dxfId="771">
      <pivotArea dataOnly="0" labelOnly="1" outline="0" fieldPosition="0">
        <references count="4">
          <reference field="11" count="1" selected="0">
            <x v="118"/>
          </reference>
          <reference field="14" count="1" selected="0">
            <x v="473"/>
          </reference>
          <reference field="18" count="1" selected="0">
            <x v="2"/>
          </reference>
          <reference field="19" count="1">
            <x v="22"/>
          </reference>
        </references>
      </pivotArea>
    </format>
    <format dxfId="770">
      <pivotArea dataOnly="0" labelOnly="1" outline="0" fieldPosition="0">
        <references count="4">
          <reference field="11" count="1" selected="0">
            <x v="119"/>
          </reference>
          <reference field="14" count="1" selected="0">
            <x v="475"/>
          </reference>
          <reference field="18" count="1" selected="0">
            <x v="22"/>
          </reference>
          <reference field="19" count="1">
            <x v="11"/>
          </reference>
        </references>
      </pivotArea>
    </format>
    <format dxfId="769">
      <pivotArea dataOnly="0" labelOnly="1" outline="0" fieldPosition="0">
        <references count="4">
          <reference field="11" count="1" selected="0">
            <x v="119"/>
          </reference>
          <reference field="14" count="1" selected="0">
            <x v="475"/>
          </reference>
          <reference field="18" count="1" selected="0">
            <x v="24"/>
          </reference>
          <reference field="19" count="1">
            <x v="7"/>
          </reference>
        </references>
      </pivotArea>
    </format>
    <format dxfId="768">
      <pivotArea dataOnly="0" labelOnly="1" outline="0" fieldPosition="0">
        <references count="4">
          <reference field="11" count="1" selected="0">
            <x v="120"/>
          </reference>
          <reference field="14" count="1" selected="0">
            <x v="474"/>
          </reference>
          <reference field="18" count="1" selected="0">
            <x v="22"/>
          </reference>
          <reference field="19" count="1">
            <x v="11"/>
          </reference>
        </references>
      </pivotArea>
    </format>
    <format dxfId="767">
      <pivotArea dataOnly="0" labelOnly="1" outline="0" fieldPosition="0">
        <references count="4">
          <reference field="11" count="1" selected="0">
            <x v="120"/>
          </reference>
          <reference field="14" count="1" selected="0">
            <x v="474"/>
          </reference>
          <reference field="18" count="1" selected="0">
            <x v="24"/>
          </reference>
          <reference field="19" count="1">
            <x v="7"/>
          </reference>
        </references>
      </pivotArea>
    </format>
    <format dxfId="766">
      <pivotArea dataOnly="0" labelOnly="1" outline="0" fieldPosition="0">
        <references count="4">
          <reference field="11" count="1" selected="0">
            <x v="121"/>
          </reference>
          <reference field="14" count="1" selected="0">
            <x v="477"/>
          </reference>
          <reference field="18" count="1" selected="0">
            <x v="2"/>
          </reference>
          <reference field="19" count="1">
            <x v="22"/>
          </reference>
        </references>
      </pivotArea>
    </format>
    <format dxfId="765">
      <pivotArea dataOnly="0" labelOnly="1" outline="0" fieldPosition="0">
        <references count="4">
          <reference field="11" count="1" selected="0">
            <x v="122"/>
          </reference>
          <reference field="14" count="1" selected="0">
            <x v="476"/>
          </reference>
          <reference field="18" count="1" selected="0">
            <x v="2"/>
          </reference>
          <reference field="19" count="1">
            <x v="22"/>
          </reference>
        </references>
      </pivotArea>
    </format>
    <format dxfId="764">
      <pivotArea dataOnly="0" labelOnly="1" outline="0" fieldPosition="0">
        <references count="4">
          <reference field="11" count="1" selected="0">
            <x v="123"/>
          </reference>
          <reference field="14" count="1" selected="0">
            <x v="478"/>
          </reference>
          <reference field="18" count="1" selected="0">
            <x v="22"/>
          </reference>
          <reference field="19" count="1">
            <x v="11"/>
          </reference>
        </references>
      </pivotArea>
    </format>
    <format dxfId="763">
      <pivotArea dataOnly="0" labelOnly="1" outline="0" fieldPosition="0">
        <references count="4">
          <reference field="11" count="1" selected="0">
            <x v="123"/>
          </reference>
          <reference field="14" count="1" selected="0">
            <x v="478"/>
          </reference>
          <reference field="18" count="1" selected="0">
            <x v="24"/>
          </reference>
          <reference field="19" count="1">
            <x v="7"/>
          </reference>
        </references>
      </pivotArea>
    </format>
    <format dxfId="762">
      <pivotArea dataOnly="0" labelOnly="1" outline="0" fieldPosition="0">
        <references count="4">
          <reference field="11" count="1" selected="0">
            <x v="124"/>
          </reference>
          <reference field="14" count="1" selected="0">
            <x v="480"/>
          </reference>
          <reference field="18" count="1" selected="0">
            <x v="22"/>
          </reference>
          <reference field="19" count="1">
            <x v="11"/>
          </reference>
        </references>
      </pivotArea>
    </format>
    <format dxfId="761">
      <pivotArea dataOnly="0" labelOnly="1" outline="0" fieldPosition="0">
        <references count="4">
          <reference field="11" count="1" selected="0">
            <x v="124"/>
          </reference>
          <reference field="14" count="1" selected="0">
            <x v="480"/>
          </reference>
          <reference field="18" count="1" selected="0">
            <x v="24"/>
          </reference>
          <reference field="19" count="1">
            <x v="7"/>
          </reference>
        </references>
      </pivotArea>
    </format>
    <format dxfId="760">
      <pivotArea dataOnly="0" labelOnly="1" outline="0" fieldPosition="0">
        <references count="4">
          <reference field="11" count="1" selected="0">
            <x v="125"/>
          </reference>
          <reference field="14" count="1" selected="0">
            <x v="479"/>
          </reference>
          <reference field="18" count="1" selected="0">
            <x v="22"/>
          </reference>
          <reference field="19" count="1">
            <x v="11"/>
          </reference>
        </references>
      </pivotArea>
    </format>
    <format dxfId="759">
      <pivotArea dataOnly="0" labelOnly="1" outline="0" fieldPosition="0">
        <references count="4">
          <reference field="11" count="1" selected="0">
            <x v="125"/>
          </reference>
          <reference field="14" count="1" selected="0">
            <x v="479"/>
          </reference>
          <reference field="18" count="1" selected="0">
            <x v="24"/>
          </reference>
          <reference field="19" count="1">
            <x v="7"/>
          </reference>
        </references>
      </pivotArea>
    </format>
    <format dxfId="758">
      <pivotArea dataOnly="0" labelOnly="1" outline="0" fieldPosition="0">
        <references count="4">
          <reference field="11" count="1" selected="0">
            <x v="126"/>
          </reference>
          <reference field="14" count="1" selected="0">
            <x v="481"/>
          </reference>
          <reference field="18" count="1" selected="0">
            <x v="22"/>
          </reference>
          <reference field="19" count="1">
            <x v="11"/>
          </reference>
        </references>
      </pivotArea>
    </format>
    <format dxfId="757">
      <pivotArea dataOnly="0" labelOnly="1" outline="0" fieldPosition="0">
        <references count="4">
          <reference field="11" count="1" selected="0">
            <x v="126"/>
          </reference>
          <reference field="14" count="1" selected="0">
            <x v="481"/>
          </reference>
          <reference field="18" count="1" selected="0">
            <x v="24"/>
          </reference>
          <reference field="19" count="1">
            <x v="7"/>
          </reference>
        </references>
      </pivotArea>
    </format>
    <format dxfId="756">
      <pivotArea dataOnly="0" labelOnly="1" outline="0" fieldPosition="0">
        <references count="4">
          <reference field="11" count="1" selected="0">
            <x v="127"/>
          </reference>
          <reference field="14" count="1" selected="0">
            <x v="483"/>
          </reference>
          <reference field="18" count="1" selected="0">
            <x v="2"/>
          </reference>
          <reference field="19" count="1">
            <x v="22"/>
          </reference>
        </references>
      </pivotArea>
    </format>
    <format dxfId="755">
      <pivotArea dataOnly="0" labelOnly="1" outline="0" fieldPosition="0">
        <references count="4">
          <reference field="11" count="1" selected="0">
            <x v="128"/>
          </reference>
          <reference field="14" count="1" selected="0">
            <x v="453"/>
          </reference>
          <reference field="18" count="1" selected="0">
            <x v="0"/>
          </reference>
          <reference field="19" count="1">
            <x v="16"/>
          </reference>
        </references>
      </pivotArea>
    </format>
    <format dxfId="754">
      <pivotArea dataOnly="0" labelOnly="1" outline="0" fieldPosition="0">
        <references count="4">
          <reference field="11" count="1" selected="0">
            <x v="129"/>
          </reference>
          <reference field="14" count="1" selected="0">
            <x v="391"/>
          </reference>
          <reference field="18" count="1" selected="0">
            <x v="2"/>
          </reference>
          <reference field="19" count="1">
            <x v="22"/>
          </reference>
        </references>
      </pivotArea>
    </format>
    <format dxfId="753">
      <pivotArea dataOnly="0" labelOnly="1" outline="0" fieldPosition="0">
        <references count="4">
          <reference field="11" count="1" selected="0">
            <x v="130"/>
          </reference>
          <reference field="14" count="1" selected="0">
            <x v="242"/>
          </reference>
          <reference field="18" count="1" selected="0">
            <x v="2"/>
          </reference>
          <reference field="19" count="1">
            <x v="22"/>
          </reference>
        </references>
      </pivotArea>
    </format>
    <format dxfId="752">
      <pivotArea dataOnly="0" labelOnly="1" outline="0" fieldPosition="0">
        <references count="4">
          <reference field="11" count="1" selected="0">
            <x v="131"/>
          </reference>
          <reference field="14" count="1" selected="0">
            <x v="33"/>
          </reference>
          <reference field="18" count="1" selected="0">
            <x v="15"/>
          </reference>
          <reference field="19" count="1">
            <x v="25"/>
          </reference>
        </references>
      </pivotArea>
    </format>
    <format dxfId="751">
      <pivotArea dataOnly="0" labelOnly="1" outline="0" fieldPosition="0">
        <references count="4">
          <reference field="11" count="1" selected="0">
            <x v="132"/>
          </reference>
          <reference field="14" count="1" selected="0">
            <x v="482"/>
          </reference>
          <reference field="18" count="1" selected="0">
            <x v="2"/>
          </reference>
          <reference field="19" count="1">
            <x v="22"/>
          </reference>
        </references>
      </pivotArea>
    </format>
    <format dxfId="750">
      <pivotArea dataOnly="0" labelOnly="1" outline="0" fieldPosition="0">
        <references count="4">
          <reference field="11" count="1" selected="0">
            <x v="133"/>
          </reference>
          <reference field="14" count="1" selected="0">
            <x v="266"/>
          </reference>
          <reference field="18" count="1" selected="0">
            <x v="27"/>
          </reference>
          <reference field="19" count="1">
            <x v="17"/>
          </reference>
        </references>
      </pivotArea>
    </format>
    <format dxfId="749">
      <pivotArea dataOnly="0" labelOnly="1" outline="0" fieldPosition="0">
        <references count="4">
          <reference field="11" count="1" selected="0">
            <x v="134"/>
          </reference>
          <reference field="14" count="1" selected="0">
            <x v="76"/>
          </reference>
          <reference field="18" count="1" selected="0">
            <x v="16"/>
          </reference>
          <reference field="19" count="1">
            <x v="24"/>
          </reference>
        </references>
      </pivotArea>
    </format>
    <format dxfId="748">
      <pivotArea dataOnly="0" labelOnly="1" outline="0" fieldPosition="0">
        <references count="4">
          <reference field="11" count="1" selected="0">
            <x v="135"/>
          </reference>
          <reference field="14" count="1" selected="0">
            <x v="332"/>
          </reference>
          <reference field="18" count="1" selected="0">
            <x v="4"/>
          </reference>
          <reference field="19" count="1">
            <x v="10"/>
          </reference>
        </references>
      </pivotArea>
    </format>
    <format dxfId="747">
      <pivotArea dataOnly="0" labelOnly="1" outline="0" fieldPosition="0">
        <references count="4">
          <reference field="11" count="1" selected="0">
            <x v="136"/>
          </reference>
          <reference field="14" count="1" selected="0">
            <x v="333"/>
          </reference>
          <reference field="18" count="1" selected="0">
            <x v="24"/>
          </reference>
          <reference field="19" count="1">
            <x v="7"/>
          </reference>
        </references>
      </pivotArea>
    </format>
    <format dxfId="746">
      <pivotArea dataOnly="0" labelOnly="1" outline="0" fieldPosition="0">
        <references count="4">
          <reference field="11" count="1" selected="0">
            <x v="137"/>
          </reference>
          <reference field="14" count="1" selected="0">
            <x v="11"/>
          </reference>
          <reference field="18" count="1" selected="0">
            <x v="1"/>
          </reference>
          <reference field="19" count="1">
            <x v="18"/>
          </reference>
        </references>
      </pivotArea>
    </format>
    <format dxfId="745">
      <pivotArea dataOnly="0" labelOnly="1" outline="0" fieldPosition="0">
        <references count="4">
          <reference field="11" count="1" selected="0">
            <x v="138"/>
          </reference>
          <reference field="14" count="1" selected="0">
            <x v="16"/>
          </reference>
          <reference field="18" count="1" selected="0">
            <x v="12"/>
          </reference>
          <reference field="19" count="1">
            <x v="13"/>
          </reference>
        </references>
      </pivotArea>
    </format>
    <format dxfId="744">
      <pivotArea dataOnly="0" labelOnly="1" outline="0" fieldPosition="0">
        <references count="4">
          <reference field="11" count="1" selected="0">
            <x v="138"/>
          </reference>
          <reference field="14" count="1" selected="0">
            <x v="16"/>
          </reference>
          <reference field="18" count="1" selected="0">
            <x v="20"/>
          </reference>
          <reference field="19" count="1">
            <x v="19"/>
          </reference>
        </references>
      </pivotArea>
    </format>
    <format dxfId="743">
      <pivotArea dataOnly="0" labelOnly="1" outline="0" fieldPosition="0">
        <references count="4">
          <reference field="11" count="1" selected="0">
            <x v="139"/>
          </reference>
          <reference field="14" count="1" selected="0">
            <x v="361"/>
          </reference>
          <reference field="18" count="1" selected="0">
            <x v="3"/>
          </reference>
          <reference field="19" count="1">
            <x v="15"/>
          </reference>
        </references>
      </pivotArea>
    </format>
    <format dxfId="742">
      <pivotArea dataOnly="0" labelOnly="1" outline="0" fieldPosition="0">
        <references count="4">
          <reference field="11" count="1" selected="0">
            <x v="139"/>
          </reference>
          <reference field="14" count="1" selected="0">
            <x v="361"/>
          </reference>
          <reference field="18" count="1" selected="0">
            <x v="6"/>
          </reference>
          <reference field="19" count="1">
            <x v="23"/>
          </reference>
        </references>
      </pivotArea>
    </format>
    <format dxfId="741">
      <pivotArea dataOnly="0" labelOnly="1" outline="0" fieldPosition="0">
        <references count="4">
          <reference field="11" count="1" selected="0">
            <x v="140"/>
          </reference>
          <reference field="14" count="1" selected="0">
            <x v="255"/>
          </reference>
          <reference field="18" count="1" selected="0">
            <x v="16"/>
          </reference>
          <reference field="19" count="1">
            <x v="24"/>
          </reference>
        </references>
      </pivotArea>
    </format>
    <format dxfId="740">
      <pivotArea dataOnly="0" labelOnly="1" outline="0" fieldPosition="0">
        <references count="4">
          <reference field="11" count="1" selected="0">
            <x v="141"/>
          </reference>
          <reference field="14" count="1" selected="0">
            <x v="252"/>
          </reference>
          <reference field="18" count="1" selected="0">
            <x v="0"/>
          </reference>
          <reference field="19" count="1">
            <x v="16"/>
          </reference>
        </references>
      </pivotArea>
    </format>
    <format dxfId="739">
      <pivotArea dataOnly="0" labelOnly="1" outline="0" fieldPosition="0">
        <references count="4">
          <reference field="11" count="1" selected="0">
            <x v="142"/>
          </reference>
          <reference field="14" count="1" selected="0">
            <x v="213"/>
          </reference>
          <reference field="18" count="1" selected="0">
            <x v="14"/>
          </reference>
          <reference field="19" count="1">
            <x v="9"/>
          </reference>
        </references>
      </pivotArea>
    </format>
    <format dxfId="738">
      <pivotArea dataOnly="0" labelOnly="1" outline="0" fieldPosition="0">
        <references count="4">
          <reference field="11" count="1" selected="0">
            <x v="143"/>
          </reference>
          <reference field="14" count="1" selected="0">
            <x v="326"/>
          </reference>
          <reference field="18" count="1" selected="0">
            <x v="6"/>
          </reference>
          <reference field="19" count="1">
            <x v="23"/>
          </reference>
        </references>
      </pivotArea>
    </format>
    <format dxfId="737">
      <pivotArea dataOnly="0" labelOnly="1" outline="0" fieldPosition="0">
        <references count="4">
          <reference field="11" count="1" selected="0">
            <x v="144"/>
          </reference>
          <reference field="14" count="1" selected="0">
            <x v="327"/>
          </reference>
          <reference field="18" count="1" selected="0">
            <x v="6"/>
          </reference>
          <reference field="19" count="1">
            <x v="23"/>
          </reference>
        </references>
      </pivotArea>
    </format>
    <format dxfId="736">
      <pivotArea dataOnly="0" labelOnly="1" outline="0" fieldPosition="0">
        <references count="4">
          <reference field="11" count="1" selected="0">
            <x v="145"/>
          </reference>
          <reference field="14" count="1" selected="0">
            <x v="329"/>
          </reference>
          <reference field="18" count="1" selected="0">
            <x v="6"/>
          </reference>
          <reference field="19" count="1">
            <x v="23"/>
          </reference>
        </references>
      </pivotArea>
    </format>
    <format dxfId="735">
      <pivotArea dataOnly="0" labelOnly="1" outline="0" fieldPosition="0">
        <references count="4">
          <reference field="11" count="1" selected="0">
            <x v="146"/>
          </reference>
          <reference field="14" count="1" selected="0">
            <x v="330"/>
          </reference>
          <reference field="18" count="1" selected="0">
            <x v="6"/>
          </reference>
          <reference field="19" count="1">
            <x v="23"/>
          </reference>
        </references>
      </pivotArea>
    </format>
    <format dxfId="734">
      <pivotArea dataOnly="0" labelOnly="1" outline="0" fieldPosition="0">
        <references count="4">
          <reference field="11" count="1" selected="0">
            <x v="147"/>
          </reference>
          <reference field="14" count="1" selected="0">
            <x v="328"/>
          </reference>
          <reference field="18" count="1" selected="0">
            <x v="6"/>
          </reference>
          <reference field="19" count="1">
            <x v="23"/>
          </reference>
        </references>
      </pivotArea>
    </format>
    <format dxfId="733">
      <pivotArea dataOnly="0" labelOnly="1" outline="0" fieldPosition="0">
        <references count="4">
          <reference field="11" count="1" selected="0">
            <x v="148"/>
          </reference>
          <reference field="14" count="1" selected="0">
            <x v="215"/>
          </reference>
          <reference field="18" count="1" selected="0">
            <x v="14"/>
          </reference>
          <reference field="19" count="1">
            <x v="9"/>
          </reference>
        </references>
      </pivotArea>
    </format>
    <format dxfId="732">
      <pivotArea dataOnly="0" labelOnly="1" outline="0" fieldPosition="0">
        <references count="4">
          <reference field="11" count="1" selected="0">
            <x v="149"/>
          </reference>
          <reference field="14" count="1" selected="0">
            <x v="461"/>
          </reference>
          <reference field="18" count="1" selected="0">
            <x v="4"/>
          </reference>
          <reference field="19" count="1">
            <x v="10"/>
          </reference>
        </references>
      </pivotArea>
    </format>
    <format dxfId="731">
      <pivotArea dataOnly="0" labelOnly="1" outline="0" fieldPosition="0">
        <references count="4">
          <reference field="11" count="1" selected="0">
            <x v="149"/>
          </reference>
          <reference field="14" count="1" selected="0">
            <x v="461"/>
          </reference>
          <reference field="18" count="1" selected="0">
            <x v="10"/>
          </reference>
          <reference field="19" count="1">
            <x v="8"/>
          </reference>
        </references>
      </pivotArea>
    </format>
    <format dxfId="730">
      <pivotArea dataOnly="0" labelOnly="1" outline="0" fieldPosition="0">
        <references count="4">
          <reference field="11" count="1" selected="0">
            <x v="150"/>
          </reference>
          <reference field="14" count="1" selected="0">
            <x v="267"/>
          </reference>
          <reference field="18" count="1" selected="0">
            <x v="3"/>
          </reference>
          <reference field="19" count="1">
            <x v="15"/>
          </reference>
        </references>
      </pivotArea>
    </format>
    <format dxfId="729">
      <pivotArea dataOnly="0" labelOnly="1" outline="0" fieldPosition="0">
        <references count="4">
          <reference field="11" count="1" selected="0">
            <x v="151"/>
          </reference>
          <reference field="14" count="1" selected="0">
            <x v="392"/>
          </reference>
          <reference field="18" count="1" selected="0">
            <x v="2"/>
          </reference>
          <reference field="19" count="1">
            <x v="22"/>
          </reference>
        </references>
      </pivotArea>
    </format>
    <format dxfId="728">
      <pivotArea dataOnly="0" labelOnly="1" outline="0" fieldPosition="0">
        <references count="4">
          <reference field="11" count="1" selected="0">
            <x v="152"/>
          </reference>
          <reference field="14" count="1" selected="0">
            <x v="447"/>
          </reference>
          <reference field="18" count="1" selected="0">
            <x v="19"/>
          </reference>
          <reference field="19" count="1">
            <x v="2"/>
          </reference>
        </references>
      </pivotArea>
    </format>
    <format dxfId="727">
      <pivotArea dataOnly="0" labelOnly="1" outline="0" fieldPosition="0">
        <references count="4">
          <reference field="11" count="1" selected="0">
            <x v="153"/>
          </reference>
          <reference field="14" count="1" selected="0">
            <x v="177"/>
          </reference>
          <reference field="18" count="1" selected="0">
            <x v="6"/>
          </reference>
          <reference field="19" count="1">
            <x v="23"/>
          </reference>
        </references>
      </pivotArea>
    </format>
    <format dxfId="726">
      <pivotArea dataOnly="0" labelOnly="1" outline="0" fieldPosition="0">
        <references count="4">
          <reference field="11" count="1" selected="0">
            <x v="154"/>
          </reference>
          <reference field="14" count="1" selected="0">
            <x v="182"/>
          </reference>
          <reference field="18" count="1" selected="0">
            <x v="1"/>
          </reference>
          <reference field="19" count="1">
            <x v="18"/>
          </reference>
        </references>
      </pivotArea>
    </format>
    <format dxfId="725">
      <pivotArea dataOnly="0" labelOnly="1" outline="0" fieldPosition="0">
        <references count="4">
          <reference field="11" count="1" selected="0">
            <x v="155"/>
          </reference>
          <reference field="14" count="1" selected="0">
            <x v="105"/>
          </reference>
          <reference field="18" count="1" selected="0">
            <x v="27"/>
          </reference>
          <reference field="19" count="1">
            <x v="17"/>
          </reference>
        </references>
      </pivotArea>
    </format>
    <format dxfId="724">
      <pivotArea dataOnly="0" labelOnly="1" outline="0" fieldPosition="0">
        <references count="4">
          <reference field="11" count="1" selected="0">
            <x v="156"/>
          </reference>
          <reference field="14" count="1" selected="0">
            <x v="238"/>
          </reference>
          <reference field="18" count="1" selected="0">
            <x v="12"/>
          </reference>
          <reference field="19" count="1">
            <x v="13"/>
          </reference>
        </references>
      </pivotArea>
    </format>
    <format dxfId="723">
      <pivotArea dataOnly="0" labelOnly="1" outline="0" fieldPosition="0">
        <references count="4">
          <reference field="11" count="1" selected="0">
            <x v="157"/>
          </reference>
          <reference field="14" count="1" selected="0">
            <x v="395"/>
          </reference>
          <reference field="18" count="1" selected="0">
            <x v="6"/>
          </reference>
          <reference field="19" count="1">
            <x v="23"/>
          </reference>
        </references>
      </pivotArea>
    </format>
    <format dxfId="722">
      <pivotArea dataOnly="0" labelOnly="1" outline="0" fieldPosition="0">
        <references count="4">
          <reference field="11" count="1" selected="0">
            <x v="158"/>
          </reference>
          <reference field="14" count="1" selected="0">
            <x v="224"/>
          </reference>
          <reference field="18" count="1" selected="0">
            <x v="4"/>
          </reference>
          <reference field="19" count="1">
            <x v="10"/>
          </reference>
        </references>
      </pivotArea>
    </format>
    <format dxfId="721">
      <pivotArea dataOnly="0" labelOnly="1" outline="0" fieldPosition="0">
        <references count="4">
          <reference field="11" count="1" selected="0">
            <x v="158"/>
          </reference>
          <reference field="14" count="1" selected="0">
            <x v="224"/>
          </reference>
          <reference field="18" count="1" selected="0">
            <x v="12"/>
          </reference>
          <reference field="19" count="1">
            <x v="13"/>
          </reference>
        </references>
      </pivotArea>
    </format>
    <format dxfId="720">
      <pivotArea dataOnly="0" labelOnly="1" outline="0" fieldPosition="0">
        <references count="4">
          <reference field="11" count="1" selected="0">
            <x v="159"/>
          </reference>
          <reference field="14" count="1" selected="0">
            <x v="218"/>
          </reference>
          <reference field="18" count="1" selected="0">
            <x v="0"/>
          </reference>
          <reference field="19" count="1">
            <x v="16"/>
          </reference>
        </references>
      </pivotArea>
    </format>
    <format dxfId="719">
      <pivotArea dataOnly="0" labelOnly="1" outline="0" fieldPosition="0">
        <references count="4">
          <reference field="11" count="1" selected="0">
            <x v="160"/>
          </reference>
          <reference field="14" count="1" selected="0">
            <x v="398"/>
          </reference>
          <reference field="18" count="1" selected="0">
            <x v="14"/>
          </reference>
          <reference field="19" count="1">
            <x v="9"/>
          </reference>
        </references>
      </pivotArea>
    </format>
    <format dxfId="718">
      <pivotArea dataOnly="0" labelOnly="1" outline="0" fieldPosition="0">
        <references count="4">
          <reference field="11" count="1" selected="0">
            <x v="161"/>
          </reference>
          <reference field="14" count="1" selected="0">
            <x v="117"/>
          </reference>
          <reference field="18" count="1" selected="0">
            <x v="6"/>
          </reference>
          <reference field="19" count="1">
            <x v="23"/>
          </reference>
        </references>
      </pivotArea>
    </format>
    <format dxfId="717">
      <pivotArea dataOnly="0" labelOnly="1" outline="0" fieldPosition="0">
        <references count="4">
          <reference field="11" count="1" selected="0">
            <x v="161"/>
          </reference>
          <reference field="14" count="1" selected="0">
            <x v="117"/>
          </reference>
          <reference field="18" count="1" selected="0">
            <x v="12"/>
          </reference>
          <reference field="19" count="1">
            <x v="13"/>
          </reference>
        </references>
      </pivotArea>
    </format>
    <format dxfId="716">
      <pivotArea dataOnly="0" labelOnly="1" outline="0" fieldPosition="0">
        <references count="4">
          <reference field="11" count="1" selected="0">
            <x v="162"/>
          </reference>
          <reference field="14" count="1" selected="0">
            <x v="161"/>
          </reference>
          <reference field="18" count="1" selected="0">
            <x v="2"/>
          </reference>
          <reference field="19" count="1">
            <x v="22"/>
          </reference>
        </references>
      </pivotArea>
    </format>
    <format dxfId="715">
      <pivotArea dataOnly="0" labelOnly="1" outline="0" fieldPosition="0">
        <references count="4">
          <reference field="11" count="1" selected="0">
            <x v="163"/>
          </reference>
          <reference field="14" count="1" selected="0">
            <x v="234"/>
          </reference>
          <reference field="18" count="1" selected="0">
            <x v="2"/>
          </reference>
          <reference field="19" count="1">
            <x v="22"/>
          </reference>
        </references>
      </pivotArea>
    </format>
    <format dxfId="714">
      <pivotArea dataOnly="0" labelOnly="1" outline="0" fieldPosition="0">
        <references count="4">
          <reference field="11" count="1" selected="0">
            <x v="163"/>
          </reference>
          <reference field="14" count="1" selected="0">
            <x v="234"/>
          </reference>
          <reference field="18" count="1" selected="0">
            <x v="12"/>
          </reference>
          <reference field="19" count="1">
            <x v="13"/>
          </reference>
        </references>
      </pivotArea>
    </format>
    <format dxfId="713">
      <pivotArea dataOnly="0" labelOnly="1" outline="0" fieldPosition="0">
        <references count="4">
          <reference field="11" count="1" selected="0">
            <x v="164"/>
          </reference>
          <reference field="14" count="1" selected="0">
            <x v="258"/>
          </reference>
          <reference field="18" count="1" selected="0">
            <x v="6"/>
          </reference>
          <reference field="19" count="1">
            <x v="23"/>
          </reference>
        </references>
      </pivotArea>
    </format>
    <format dxfId="712">
      <pivotArea dataOnly="0" labelOnly="1" outline="0" fieldPosition="0">
        <references count="4">
          <reference field="11" count="1" selected="0">
            <x v="165"/>
          </reference>
          <reference field="14" count="1" selected="0">
            <x v="206"/>
          </reference>
          <reference field="18" count="1" selected="0">
            <x v="3"/>
          </reference>
          <reference field="19" count="1">
            <x v="15"/>
          </reference>
        </references>
      </pivotArea>
    </format>
    <format dxfId="711">
      <pivotArea dataOnly="0" labelOnly="1" outline="0" fieldPosition="0">
        <references count="4">
          <reference field="11" count="1" selected="0">
            <x v="166"/>
          </reference>
          <reference field="14" count="1" selected="0">
            <x v="319"/>
          </reference>
          <reference field="18" count="1" selected="0">
            <x v="2"/>
          </reference>
          <reference field="19" count="1">
            <x v="22"/>
          </reference>
        </references>
      </pivotArea>
    </format>
    <format dxfId="710">
      <pivotArea dataOnly="0" labelOnly="1" outline="0" fieldPosition="0">
        <references count="4">
          <reference field="11" count="1" selected="0">
            <x v="166"/>
          </reference>
          <reference field="14" count="1" selected="0">
            <x v="319"/>
          </reference>
          <reference field="18" count="1" selected="0">
            <x v="14"/>
          </reference>
          <reference field="19" count="1">
            <x v="9"/>
          </reference>
        </references>
      </pivotArea>
    </format>
    <format dxfId="709">
      <pivotArea dataOnly="0" labelOnly="1" outline="0" fieldPosition="0">
        <references count="4">
          <reference field="11" count="1" selected="0">
            <x v="167"/>
          </reference>
          <reference field="14" count="1" selected="0">
            <x v="66"/>
          </reference>
          <reference field="18" count="1" selected="0">
            <x v="15"/>
          </reference>
          <reference field="19" count="1">
            <x v="25"/>
          </reference>
        </references>
      </pivotArea>
    </format>
    <format dxfId="708">
      <pivotArea dataOnly="0" labelOnly="1" outline="0" fieldPosition="0">
        <references count="4">
          <reference field="11" count="1" selected="0">
            <x v="168"/>
          </reference>
          <reference field="14" count="1" selected="0">
            <x v="148"/>
          </reference>
          <reference field="18" count="1" selected="0">
            <x v="2"/>
          </reference>
          <reference field="19" count="1">
            <x v="22"/>
          </reference>
        </references>
      </pivotArea>
    </format>
    <format dxfId="707">
      <pivotArea dataOnly="0" labelOnly="1" outline="0" fieldPosition="0">
        <references count="4">
          <reference field="11" count="1" selected="0">
            <x v="169"/>
          </reference>
          <reference field="14" count="1" selected="0">
            <x v="192"/>
          </reference>
          <reference field="18" count="1" selected="0">
            <x v="14"/>
          </reference>
          <reference field="19" count="1">
            <x v="9"/>
          </reference>
        </references>
      </pivotArea>
    </format>
    <format dxfId="706">
      <pivotArea dataOnly="0" labelOnly="1" outline="0" fieldPosition="0">
        <references count="4">
          <reference field="11" count="1" selected="0">
            <x v="170"/>
          </reference>
          <reference field="14" count="1" selected="0">
            <x v="317"/>
          </reference>
          <reference field="18" count="1" selected="0">
            <x v="14"/>
          </reference>
          <reference field="19" count="1">
            <x v="9"/>
          </reference>
        </references>
      </pivotArea>
    </format>
    <format dxfId="705">
      <pivotArea dataOnly="0" labelOnly="1" outline="0" fieldPosition="0">
        <references count="4">
          <reference field="11" count="1" selected="0">
            <x v="171"/>
          </reference>
          <reference field="14" count="1" selected="0">
            <x v="350"/>
          </reference>
          <reference field="18" count="1" selected="0">
            <x v="6"/>
          </reference>
          <reference field="19" count="1">
            <x v="23"/>
          </reference>
        </references>
      </pivotArea>
    </format>
    <format dxfId="704">
      <pivotArea dataOnly="0" labelOnly="1" outline="0" fieldPosition="0">
        <references count="4">
          <reference field="11" count="1" selected="0">
            <x v="172"/>
          </reference>
          <reference field="14" count="1" selected="0">
            <x v="231"/>
          </reference>
          <reference field="18" count="1" selected="0">
            <x v="12"/>
          </reference>
          <reference field="19" count="1">
            <x v="13"/>
          </reference>
        </references>
      </pivotArea>
    </format>
    <format dxfId="703">
      <pivotArea dataOnly="0" labelOnly="1" outline="0" fieldPosition="0">
        <references count="4">
          <reference field="11" count="1" selected="0">
            <x v="173"/>
          </reference>
          <reference field="14" count="1" selected="0">
            <x v="174"/>
          </reference>
          <reference field="18" count="1" selected="0">
            <x v="0"/>
          </reference>
          <reference field="19" count="1">
            <x v="16"/>
          </reference>
        </references>
      </pivotArea>
    </format>
    <format dxfId="702">
      <pivotArea dataOnly="0" labelOnly="1" outline="0" fieldPosition="0">
        <references count="4">
          <reference field="11" count="1" selected="0">
            <x v="174"/>
          </reference>
          <reference field="14" count="1" selected="0">
            <x v="173"/>
          </reference>
          <reference field="18" count="1" selected="0">
            <x v="0"/>
          </reference>
          <reference field="19" count="1">
            <x v="16"/>
          </reference>
        </references>
      </pivotArea>
    </format>
    <format dxfId="701">
      <pivotArea dataOnly="0" labelOnly="1" outline="0" fieldPosition="0">
        <references count="4">
          <reference field="11" count="1" selected="0">
            <x v="175"/>
          </reference>
          <reference field="14" count="1" selected="0">
            <x v="471"/>
          </reference>
          <reference field="18" count="1" selected="0">
            <x v="2"/>
          </reference>
          <reference field="19" count="1">
            <x v="22"/>
          </reference>
        </references>
      </pivotArea>
    </format>
    <format dxfId="700">
      <pivotArea dataOnly="0" labelOnly="1" outline="0" fieldPosition="0">
        <references count="4">
          <reference field="11" count="1" selected="0">
            <x v="176"/>
          </reference>
          <reference field="14" count="1" selected="0">
            <x v="362"/>
          </reference>
          <reference field="18" count="1" selected="0">
            <x v="3"/>
          </reference>
          <reference field="19" count="1">
            <x v="15"/>
          </reference>
        </references>
      </pivotArea>
    </format>
    <format dxfId="699">
      <pivotArea dataOnly="0" labelOnly="1" outline="0" fieldPosition="0">
        <references count="4">
          <reference field="11" count="1" selected="0">
            <x v="176"/>
          </reference>
          <reference field="14" count="1" selected="0">
            <x v="362"/>
          </reference>
          <reference field="18" count="1" selected="0">
            <x v="6"/>
          </reference>
          <reference field="19" count="1">
            <x v="23"/>
          </reference>
        </references>
      </pivotArea>
    </format>
    <format dxfId="698">
      <pivotArea dataOnly="0" labelOnly="1" outline="0" fieldPosition="0">
        <references count="4">
          <reference field="11" count="1" selected="0">
            <x v="177"/>
          </reference>
          <reference field="14" count="1" selected="0">
            <x v="279"/>
          </reference>
          <reference field="18" count="1" selected="0">
            <x v="0"/>
          </reference>
          <reference field="19" count="1">
            <x v="16"/>
          </reference>
        </references>
      </pivotArea>
    </format>
    <format dxfId="697">
      <pivotArea dataOnly="0" labelOnly="1" outline="0" fieldPosition="0">
        <references count="4">
          <reference field="11" count="1" selected="0">
            <x v="178"/>
          </reference>
          <reference field="14" count="1" selected="0">
            <x v="282"/>
          </reference>
          <reference field="18" count="1" selected="0">
            <x v="0"/>
          </reference>
          <reference field="19" count="1">
            <x v="16"/>
          </reference>
        </references>
      </pivotArea>
    </format>
    <format dxfId="696">
      <pivotArea dataOnly="0" labelOnly="1" outline="0" fieldPosition="0">
        <references count="4">
          <reference field="11" count="1" selected="0">
            <x v="179"/>
          </reference>
          <reference field="14" count="1" selected="0">
            <x v="276"/>
          </reference>
          <reference field="18" count="1" selected="0">
            <x v="0"/>
          </reference>
          <reference field="19" count="1">
            <x v="16"/>
          </reference>
        </references>
      </pivotArea>
    </format>
    <format dxfId="695">
      <pivotArea dataOnly="0" labelOnly="1" outline="0" fieldPosition="0">
        <references count="4">
          <reference field="11" count="1" selected="0">
            <x v="180"/>
          </reference>
          <reference field="14" count="1" selected="0">
            <x v="439"/>
          </reference>
          <reference field="18" count="1" selected="0">
            <x v="19"/>
          </reference>
          <reference field="19" count="1">
            <x v="2"/>
          </reference>
        </references>
      </pivotArea>
    </format>
    <format dxfId="694">
      <pivotArea dataOnly="0" labelOnly="1" outline="0" fieldPosition="0">
        <references count="4">
          <reference field="11" count="1" selected="0">
            <x v="181"/>
          </reference>
          <reference field="14" count="1" selected="0">
            <x v="281"/>
          </reference>
          <reference field="18" count="1" selected="0">
            <x v="0"/>
          </reference>
          <reference field="19" count="1">
            <x v="16"/>
          </reference>
        </references>
      </pivotArea>
    </format>
    <format dxfId="693">
      <pivotArea dataOnly="0" labelOnly="1" outline="0" fieldPosition="0">
        <references count="4">
          <reference field="11" count="1" selected="0">
            <x v="182"/>
          </reference>
          <reference field="14" count="1" selected="0">
            <x v="118"/>
          </reference>
          <reference field="18" count="1" selected="0">
            <x v="6"/>
          </reference>
          <reference field="19" count="1">
            <x v="23"/>
          </reference>
        </references>
      </pivotArea>
    </format>
    <format dxfId="692">
      <pivotArea dataOnly="0" labelOnly="1" outline="0" fieldPosition="0">
        <references count="4">
          <reference field="11" count="1" selected="0">
            <x v="183"/>
          </reference>
          <reference field="14" count="1" selected="0">
            <x v="386"/>
          </reference>
          <reference field="18" count="1" selected="0">
            <x v="2"/>
          </reference>
          <reference field="19" count="1">
            <x v="22"/>
          </reference>
        </references>
      </pivotArea>
    </format>
    <format dxfId="691">
      <pivotArea dataOnly="0" labelOnly="1" outline="0" fieldPosition="0">
        <references count="4">
          <reference field="11" count="1" selected="0">
            <x v="184"/>
          </reference>
          <reference field="14" count="1" selected="0">
            <x v="388"/>
          </reference>
          <reference field="18" count="1" selected="0">
            <x v="2"/>
          </reference>
          <reference field="19" count="1">
            <x v="22"/>
          </reference>
        </references>
      </pivotArea>
    </format>
    <format dxfId="690">
      <pivotArea dataOnly="0" labelOnly="1" outline="0" fieldPosition="0">
        <references count="4">
          <reference field="11" count="1" selected="0">
            <x v="185"/>
          </reference>
          <reference field="14" count="1" selected="0">
            <x v="387"/>
          </reference>
          <reference field="18" count="1" selected="0">
            <x v="0"/>
          </reference>
          <reference field="19" count="1">
            <x v="16"/>
          </reference>
        </references>
      </pivotArea>
    </format>
    <format dxfId="689">
      <pivotArea dataOnly="0" labelOnly="1" outline="0" fieldPosition="0">
        <references count="4">
          <reference field="11" count="1" selected="0">
            <x v="185"/>
          </reference>
          <reference field="14" count="1" selected="0">
            <x v="387"/>
          </reference>
          <reference field="18" count="1" selected="0">
            <x v="2"/>
          </reference>
          <reference field="19" count="1">
            <x v="22"/>
          </reference>
        </references>
      </pivotArea>
    </format>
    <format dxfId="688">
      <pivotArea dataOnly="0" labelOnly="1" outline="0" fieldPosition="0">
        <references count="4">
          <reference field="11" count="1" selected="0">
            <x v="186"/>
          </reference>
          <reference field="14" count="1" selected="0">
            <x v="343"/>
          </reference>
          <reference field="18" count="1" selected="0">
            <x v="1"/>
          </reference>
          <reference field="19" count="1">
            <x v="18"/>
          </reference>
        </references>
      </pivotArea>
    </format>
    <format dxfId="687">
      <pivotArea dataOnly="0" labelOnly="1" outline="0" fieldPosition="0">
        <references count="4">
          <reference field="11" count="1" selected="0">
            <x v="187"/>
          </reference>
          <reference field="14" count="1" selected="0">
            <x v="249"/>
          </reference>
          <reference field="18" count="1" selected="0">
            <x v="19"/>
          </reference>
          <reference field="19" count="1">
            <x v="2"/>
          </reference>
        </references>
      </pivotArea>
    </format>
    <format dxfId="686">
      <pivotArea dataOnly="0" labelOnly="1" outline="0" fieldPosition="0">
        <references count="4">
          <reference field="11" count="1" selected="0">
            <x v="188"/>
          </reference>
          <reference field="14" count="1" selected="0">
            <x v="385"/>
          </reference>
          <reference field="18" count="1" selected="0">
            <x v="2"/>
          </reference>
          <reference field="19" count="1">
            <x v="22"/>
          </reference>
        </references>
      </pivotArea>
    </format>
    <format dxfId="685">
      <pivotArea dataOnly="0" labelOnly="1" outline="0" fieldPosition="0">
        <references count="4">
          <reference field="11" count="1" selected="0">
            <x v="189"/>
          </reference>
          <reference field="14" count="1" selected="0">
            <x v="184"/>
          </reference>
          <reference field="18" count="1" selected="0">
            <x v="0"/>
          </reference>
          <reference field="19" count="1">
            <x v="16"/>
          </reference>
        </references>
      </pivotArea>
    </format>
    <format dxfId="684">
      <pivotArea dataOnly="0" labelOnly="1" outline="0" fieldPosition="0">
        <references count="4">
          <reference field="11" count="1" selected="0">
            <x v="189"/>
          </reference>
          <reference field="14" count="1" selected="0">
            <x v="184"/>
          </reference>
          <reference field="18" count="1" selected="0">
            <x v="1"/>
          </reference>
          <reference field="19" count="1">
            <x v="18"/>
          </reference>
        </references>
      </pivotArea>
    </format>
    <format dxfId="683">
      <pivotArea dataOnly="0" labelOnly="1" outline="0" fieldPosition="0">
        <references count="4">
          <reference field="11" count="1" selected="0">
            <x v="190"/>
          </reference>
          <reference field="14" count="1" selected="0">
            <x v="394"/>
          </reference>
          <reference field="18" count="1" selected="0">
            <x v="0"/>
          </reference>
          <reference field="19" count="1">
            <x v="16"/>
          </reference>
        </references>
      </pivotArea>
    </format>
    <format dxfId="682">
      <pivotArea dataOnly="0" labelOnly="1" outline="0" fieldPosition="0">
        <references count="4">
          <reference field="11" count="1" selected="0">
            <x v="190"/>
          </reference>
          <reference field="14" count="1" selected="0">
            <x v="394"/>
          </reference>
          <reference field="18" count="1" selected="0">
            <x v="2"/>
          </reference>
          <reference field="19" count="1">
            <x v="22"/>
          </reference>
        </references>
      </pivotArea>
    </format>
    <format dxfId="681">
      <pivotArea dataOnly="0" labelOnly="1" outline="0" fieldPosition="0">
        <references count="4">
          <reference field="11" count="1" selected="0">
            <x v="191"/>
          </reference>
          <reference field="14" count="1" selected="0">
            <x v="103"/>
          </reference>
          <reference field="18" count="1" selected="0">
            <x v="2"/>
          </reference>
          <reference field="19" count="1">
            <x v="22"/>
          </reference>
        </references>
      </pivotArea>
    </format>
    <format dxfId="680">
      <pivotArea dataOnly="0" labelOnly="1" outline="0" fieldPosition="0">
        <references count="4">
          <reference field="11" count="1" selected="0">
            <x v="192"/>
          </reference>
          <reference field="14" count="1" selected="0">
            <x v="102"/>
          </reference>
          <reference field="18" count="1" selected="0">
            <x v="2"/>
          </reference>
          <reference field="19" count="1">
            <x v="22"/>
          </reference>
        </references>
      </pivotArea>
    </format>
    <format dxfId="679">
      <pivotArea dataOnly="0" labelOnly="1" outline="0" fieldPosition="0">
        <references count="4">
          <reference field="11" count="1" selected="0">
            <x v="193"/>
          </reference>
          <reference field="14" count="1" selected="0">
            <x v="14"/>
          </reference>
          <reference field="18" count="1" selected="0">
            <x v="0"/>
          </reference>
          <reference field="19" count="1">
            <x v="16"/>
          </reference>
        </references>
      </pivotArea>
    </format>
    <format dxfId="678">
      <pivotArea dataOnly="0" labelOnly="1" outline="0" fieldPosition="0">
        <references count="4">
          <reference field="11" count="1" selected="0">
            <x v="194"/>
          </reference>
          <reference field="14" count="1" selected="0">
            <x v="188"/>
          </reference>
          <reference field="18" count="1" selected="0">
            <x v="0"/>
          </reference>
          <reference field="19" count="1">
            <x v="16"/>
          </reference>
        </references>
      </pivotArea>
    </format>
    <format dxfId="677">
      <pivotArea dataOnly="0" labelOnly="1" outline="0" fieldPosition="0">
        <references count="4">
          <reference field="11" count="1" selected="0">
            <x v="195"/>
          </reference>
          <reference field="14" count="1" selected="0">
            <x v="396"/>
          </reference>
          <reference field="18" count="1" selected="0">
            <x v="6"/>
          </reference>
          <reference field="19" count="1">
            <x v="23"/>
          </reference>
        </references>
      </pivotArea>
    </format>
    <format dxfId="676">
      <pivotArea dataOnly="0" labelOnly="1" outline="0" fieldPosition="0">
        <references count="4">
          <reference field="11" count="1" selected="0">
            <x v="196"/>
          </reference>
          <reference field="14" count="1" selected="0">
            <x v="25"/>
          </reference>
          <reference field="18" count="1" selected="0">
            <x v="5"/>
          </reference>
          <reference field="19" count="1">
            <x v="1"/>
          </reference>
        </references>
      </pivotArea>
    </format>
    <format dxfId="675">
      <pivotArea dataOnly="0" labelOnly="1" outline="0" fieldPosition="0">
        <references count="4">
          <reference field="11" count="1" selected="0">
            <x v="197"/>
          </reference>
          <reference field="14" count="1" selected="0">
            <x v="26"/>
          </reference>
          <reference field="18" count="1" selected="0">
            <x v="5"/>
          </reference>
          <reference field="19" count="1">
            <x v="1"/>
          </reference>
        </references>
      </pivotArea>
    </format>
    <format dxfId="674">
      <pivotArea dataOnly="0" labelOnly="1" outline="0" fieldPosition="0">
        <references count="4">
          <reference field="11" count="1" selected="0">
            <x v="198"/>
          </reference>
          <reference field="14" count="1" selected="0">
            <x v="43"/>
          </reference>
          <reference field="18" count="1" selected="0">
            <x v="27"/>
          </reference>
          <reference field="19" count="1">
            <x v="17"/>
          </reference>
        </references>
      </pivotArea>
    </format>
    <format dxfId="673">
      <pivotArea dataOnly="0" labelOnly="1" outline="0" fieldPosition="0">
        <references count="4">
          <reference field="11" count="1" selected="0">
            <x v="199"/>
          </reference>
          <reference field="14" count="1" selected="0">
            <x v="113"/>
          </reference>
          <reference field="18" count="1" selected="0">
            <x v="19"/>
          </reference>
          <reference field="19" count="1">
            <x v="2"/>
          </reference>
        </references>
      </pivotArea>
    </format>
    <format dxfId="672">
      <pivotArea dataOnly="0" labelOnly="1" outline="0" fieldPosition="0">
        <references count="4">
          <reference field="11" count="1" selected="0">
            <x v="200"/>
          </reference>
          <reference field="14" count="1" selected="0">
            <x v="280"/>
          </reference>
          <reference field="18" count="1" selected="0">
            <x v="0"/>
          </reference>
          <reference field="19" count="1">
            <x v="16"/>
          </reference>
        </references>
      </pivotArea>
    </format>
    <format dxfId="671">
      <pivotArea dataOnly="0" labelOnly="1" outline="0" fieldPosition="0">
        <references count="4">
          <reference field="11" count="1" selected="0">
            <x v="201"/>
          </reference>
          <reference field="14" count="1" selected="0">
            <x v="305"/>
          </reference>
          <reference field="18" count="1" selected="0">
            <x v="2"/>
          </reference>
          <reference field="19" count="1">
            <x v="22"/>
          </reference>
        </references>
      </pivotArea>
    </format>
    <format dxfId="670">
      <pivotArea dataOnly="0" labelOnly="1" outline="0" fieldPosition="0">
        <references count="4">
          <reference field="11" count="1" selected="0">
            <x v="202"/>
          </reference>
          <reference field="14" count="1" selected="0">
            <x v="409"/>
          </reference>
          <reference field="18" count="1" selected="0">
            <x v="2"/>
          </reference>
          <reference field="19" count="1">
            <x v="22"/>
          </reference>
        </references>
      </pivotArea>
    </format>
    <format dxfId="669">
      <pivotArea dataOnly="0" labelOnly="1" outline="0" fieldPosition="0">
        <references count="4">
          <reference field="11" count="1" selected="0">
            <x v="203"/>
          </reference>
          <reference field="14" count="1" selected="0">
            <x v="28"/>
          </reference>
          <reference field="18" count="1" selected="0">
            <x v="6"/>
          </reference>
          <reference field="19" count="1">
            <x v="23"/>
          </reference>
        </references>
      </pivotArea>
    </format>
    <format dxfId="668">
      <pivotArea dataOnly="0" labelOnly="1" outline="0" fieldPosition="0">
        <references count="4">
          <reference field="11" count="1" selected="0">
            <x v="204"/>
          </reference>
          <reference field="14" count="1" selected="0">
            <x v="269"/>
          </reference>
          <reference field="18" count="1" selected="0">
            <x v="2"/>
          </reference>
          <reference field="19" count="1">
            <x v="22"/>
          </reference>
        </references>
      </pivotArea>
    </format>
    <format dxfId="667">
      <pivotArea dataOnly="0" labelOnly="1" outline="0" fieldPosition="0">
        <references count="4">
          <reference field="11" count="1" selected="0">
            <x v="204"/>
          </reference>
          <reference field="14" count="1" selected="0">
            <x v="269"/>
          </reference>
          <reference field="18" count="1" selected="0">
            <x v="3"/>
          </reference>
          <reference field="19" count="1">
            <x v="15"/>
          </reference>
        </references>
      </pivotArea>
    </format>
    <format dxfId="666">
      <pivotArea dataOnly="0" labelOnly="1" outline="0" fieldPosition="0">
        <references count="4">
          <reference field="11" count="1" selected="0">
            <x v="205"/>
          </reference>
          <reference field="14" count="1" selected="0">
            <x v="185"/>
          </reference>
          <reference field="18" count="1" selected="0">
            <x v="1"/>
          </reference>
          <reference field="19" count="1">
            <x v="18"/>
          </reference>
        </references>
      </pivotArea>
    </format>
    <format dxfId="665">
      <pivotArea dataOnly="0" labelOnly="1" outline="0" fieldPosition="0">
        <references count="4">
          <reference field="11" count="1" selected="0">
            <x v="206"/>
          </reference>
          <reference field="14" count="1" selected="0">
            <x v="54"/>
          </reference>
          <reference field="18" count="1" selected="0">
            <x v="2"/>
          </reference>
          <reference field="19" count="1">
            <x v="22"/>
          </reference>
        </references>
      </pivotArea>
    </format>
    <format dxfId="664">
      <pivotArea dataOnly="0" labelOnly="1" outline="0" fieldPosition="0">
        <references count="4">
          <reference field="11" count="1" selected="0">
            <x v="207"/>
          </reference>
          <reference field="14" count="1" selected="0">
            <x v="356"/>
          </reference>
          <reference field="18" count="1" selected="0">
            <x v="8"/>
          </reference>
          <reference field="19" count="1">
            <x v="5"/>
          </reference>
        </references>
      </pivotArea>
    </format>
    <format dxfId="663">
      <pivotArea dataOnly="0" labelOnly="1" outline="0" fieldPosition="0">
        <references count="4">
          <reference field="11" count="1" selected="0">
            <x v="207"/>
          </reference>
          <reference field="14" count="1" selected="0">
            <x v="356"/>
          </reference>
          <reference field="18" count="1" selected="0">
            <x v="14"/>
          </reference>
          <reference field="19" count="1">
            <x v="9"/>
          </reference>
        </references>
      </pivotArea>
    </format>
    <format dxfId="662">
      <pivotArea dataOnly="0" labelOnly="1" outline="0" fieldPosition="0">
        <references count="4">
          <reference field="11" count="1" selected="0">
            <x v="208"/>
          </reference>
          <reference field="14" count="1" selected="0">
            <x v="186"/>
          </reference>
          <reference field="18" count="1" selected="0">
            <x v="0"/>
          </reference>
          <reference field="19" count="1">
            <x v="16"/>
          </reference>
        </references>
      </pivotArea>
    </format>
    <format dxfId="661">
      <pivotArea dataOnly="0" labelOnly="1" outline="0" fieldPosition="0">
        <references count="4">
          <reference field="11" count="1" selected="0">
            <x v="208"/>
          </reference>
          <reference field="14" count="1" selected="0">
            <x v="186"/>
          </reference>
          <reference field="18" count="1" selected="0">
            <x v="7"/>
          </reference>
          <reference field="19" count="1">
            <x v="4"/>
          </reference>
        </references>
      </pivotArea>
    </format>
    <format dxfId="660">
      <pivotArea dataOnly="0" labelOnly="1" outline="0" fieldPosition="0">
        <references count="4">
          <reference field="11" count="1" selected="0">
            <x v="209"/>
          </reference>
          <reference field="14" count="1" selected="0">
            <x v="37"/>
          </reference>
          <reference field="18" count="1" selected="0">
            <x v="6"/>
          </reference>
          <reference field="19" count="1">
            <x v="23"/>
          </reference>
        </references>
      </pivotArea>
    </format>
    <format dxfId="659">
      <pivotArea dataOnly="0" labelOnly="1" outline="0" fieldPosition="0">
        <references count="4">
          <reference field="11" count="1" selected="0">
            <x v="210"/>
          </reference>
          <reference field="14" count="1" selected="0">
            <x v="273"/>
          </reference>
          <reference field="18" count="1" selected="0">
            <x v="0"/>
          </reference>
          <reference field="19" count="1">
            <x v="16"/>
          </reference>
        </references>
      </pivotArea>
    </format>
    <format dxfId="658">
      <pivotArea dataOnly="0" labelOnly="1" outline="0" fieldPosition="0">
        <references count="4">
          <reference field="11" count="1" selected="0">
            <x v="211"/>
          </reference>
          <reference field="14" count="1" selected="0">
            <x v="142"/>
          </reference>
          <reference field="18" count="1" selected="0">
            <x v="2"/>
          </reference>
          <reference field="19" count="1">
            <x v="22"/>
          </reference>
        </references>
      </pivotArea>
    </format>
    <format dxfId="657">
      <pivotArea dataOnly="0" labelOnly="1" outline="0" fieldPosition="0">
        <references count="4">
          <reference field="11" count="1" selected="0">
            <x v="212"/>
          </reference>
          <reference field="14" count="1" selected="0">
            <x v="294"/>
          </reference>
          <reference field="18" count="1" selected="0">
            <x v="1"/>
          </reference>
          <reference field="19" count="1">
            <x v="18"/>
          </reference>
        </references>
      </pivotArea>
    </format>
    <format dxfId="656">
      <pivotArea dataOnly="0" labelOnly="1" outline="0" fieldPosition="0">
        <references count="4">
          <reference field="11" count="1" selected="0">
            <x v="213"/>
          </reference>
          <reference field="14" count="1" selected="0">
            <x v="5"/>
          </reference>
          <reference field="18" count="1" selected="0">
            <x v="3"/>
          </reference>
          <reference field="19" count="1">
            <x v="15"/>
          </reference>
        </references>
      </pivotArea>
    </format>
    <format dxfId="655">
      <pivotArea dataOnly="0" labelOnly="1" outline="0" fieldPosition="0">
        <references count="4">
          <reference field="11" count="1" selected="0">
            <x v="214"/>
          </reference>
          <reference field="14" count="1" selected="0">
            <x v="98"/>
          </reference>
          <reference field="18" count="1" selected="0">
            <x v="1"/>
          </reference>
          <reference field="19" count="1">
            <x v="18"/>
          </reference>
        </references>
      </pivotArea>
    </format>
    <format dxfId="654">
      <pivotArea dataOnly="0" labelOnly="1" outline="0" fieldPosition="0">
        <references count="4">
          <reference field="11" count="1" selected="0">
            <x v="214"/>
          </reference>
          <reference field="14" count="1" selected="0">
            <x v="98"/>
          </reference>
          <reference field="18" count="1" selected="0">
            <x v="2"/>
          </reference>
          <reference field="19" count="1">
            <x v="22"/>
          </reference>
        </references>
      </pivotArea>
    </format>
    <format dxfId="653">
      <pivotArea dataOnly="0" labelOnly="1" outline="0" fieldPosition="0">
        <references count="4">
          <reference field="11" count="1" selected="0">
            <x v="214"/>
          </reference>
          <reference field="14" count="1" selected="0">
            <x v="98"/>
          </reference>
          <reference field="18" count="1" selected="0">
            <x v="12"/>
          </reference>
          <reference field="19" count="1">
            <x v="13"/>
          </reference>
        </references>
      </pivotArea>
    </format>
    <format dxfId="652">
      <pivotArea dataOnly="0" labelOnly="1" outline="0" fieldPosition="0">
        <references count="4">
          <reference field="11" count="1" selected="0">
            <x v="214"/>
          </reference>
          <reference field="14" count="1" selected="0">
            <x v="98"/>
          </reference>
          <reference field="18" count="1" selected="0">
            <x v="27"/>
          </reference>
          <reference field="19" count="1">
            <x v="17"/>
          </reference>
        </references>
      </pivotArea>
    </format>
    <format dxfId="651">
      <pivotArea dataOnly="0" labelOnly="1" outline="0" fieldPosition="0">
        <references count="4">
          <reference field="11" count="1" selected="0">
            <x v="215"/>
          </reference>
          <reference field="14" count="1" selected="0">
            <x v="158"/>
          </reference>
          <reference field="18" count="1" selected="0">
            <x v="2"/>
          </reference>
          <reference field="19" count="1">
            <x v="22"/>
          </reference>
        </references>
      </pivotArea>
    </format>
    <format dxfId="650">
      <pivotArea dataOnly="0" labelOnly="1" outline="0" fieldPosition="0">
        <references count="4">
          <reference field="11" count="1" selected="0">
            <x v="216"/>
          </reference>
          <reference field="14" count="1" selected="0">
            <x v="338"/>
          </reference>
          <reference field="18" count="1" selected="0">
            <x v="2"/>
          </reference>
          <reference field="19" count="1">
            <x v="22"/>
          </reference>
        </references>
      </pivotArea>
    </format>
    <format dxfId="649">
      <pivotArea dataOnly="0" labelOnly="1" outline="0" fieldPosition="0">
        <references count="4">
          <reference field="11" count="1" selected="0">
            <x v="217"/>
          </reference>
          <reference field="14" count="1" selected="0">
            <x v="438"/>
          </reference>
          <reference field="18" count="1" selected="0">
            <x v="19"/>
          </reference>
          <reference field="19" count="1">
            <x v="2"/>
          </reference>
        </references>
      </pivotArea>
    </format>
    <format dxfId="648">
      <pivotArea dataOnly="0" labelOnly="1" outline="0" fieldPosition="0">
        <references count="4">
          <reference field="11" count="1" selected="0">
            <x v="218"/>
          </reference>
          <reference field="14" count="1" selected="0">
            <x v="429"/>
          </reference>
          <reference field="18" count="1" selected="0">
            <x v="19"/>
          </reference>
          <reference field="19" count="1">
            <x v="2"/>
          </reference>
        </references>
      </pivotArea>
    </format>
    <format dxfId="647">
      <pivotArea dataOnly="0" labelOnly="1" outline="0" fieldPosition="0">
        <references count="4">
          <reference field="11" count="1" selected="0">
            <x v="219"/>
          </reference>
          <reference field="14" count="1" selected="0">
            <x v="431"/>
          </reference>
          <reference field="18" count="1" selected="0">
            <x v="19"/>
          </reference>
          <reference field="19" count="1">
            <x v="2"/>
          </reference>
        </references>
      </pivotArea>
    </format>
    <format dxfId="646">
      <pivotArea dataOnly="0" labelOnly="1" outline="0" fieldPosition="0">
        <references count="4">
          <reference field="11" count="1" selected="0">
            <x v="220"/>
          </reference>
          <reference field="14" count="1" selected="0">
            <x v="430"/>
          </reference>
          <reference field="18" count="1" selected="0">
            <x v="19"/>
          </reference>
          <reference field="19" count="1">
            <x v="2"/>
          </reference>
        </references>
      </pivotArea>
    </format>
    <format dxfId="645">
      <pivotArea dataOnly="0" labelOnly="1" outline="0" fieldPosition="0">
        <references count="4">
          <reference field="11" count="1" selected="0">
            <x v="221"/>
          </reference>
          <reference field="14" count="1" selected="0">
            <x v="427"/>
          </reference>
          <reference field="18" count="1" selected="0">
            <x v="19"/>
          </reference>
          <reference field="19" count="1">
            <x v="2"/>
          </reference>
        </references>
      </pivotArea>
    </format>
    <format dxfId="644">
      <pivotArea dataOnly="0" labelOnly="1" outline="0" fieldPosition="0">
        <references count="4">
          <reference field="11" count="1" selected="0">
            <x v="222"/>
          </reference>
          <reference field="14" count="1" selected="0">
            <x v="426"/>
          </reference>
          <reference field="18" count="1" selected="0">
            <x v="19"/>
          </reference>
          <reference field="19" count="1">
            <x v="2"/>
          </reference>
        </references>
      </pivotArea>
    </format>
    <format dxfId="643">
      <pivotArea dataOnly="0" labelOnly="1" outline="0" fieldPosition="0">
        <references count="4">
          <reference field="11" count="1" selected="0">
            <x v="223"/>
          </reference>
          <reference field="14" count="1" selected="0">
            <x v="416"/>
          </reference>
          <reference field="18" count="1" selected="0">
            <x v="19"/>
          </reference>
          <reference field="19" count="1">
            <x v="2"/>
          </reference>
        </references>
      </pivotArea>
    </format>
    <format dxfId="642">
      <pivotArea dataOnly="0" labelOnly="1" outline="0" fieldPosition="0">
        <references count="4">
          <reference field="11" count="1" selected="0">
            <x v="224"/>
          </reference>
          <reference field="14" count="1" selected="0">
            <x v="300"/>
          </reference>
          <reference field="18" count="1" selected="0">
            <x v="6"/>
          </reference>
          <reference field="19" count="1">
            <x v="23"/>
          </reference>
        </references>
      </pivotArea>
    </format>
    <format dxfId="641">
      <pivotArea dataOnly="0" labelOnly="1" outline="0" fieldPosition="0">
        <references count="4">
          <reference field="11" count="1" selected="0">
            <x v="225"/>
          </reference>
          <reference field="14" count="1" selected="0">
            <x v="97"/>
          </reference>
          <reference field="18" count="1" selected="0">
            <x v="19"/>
          </reference>
          <reference field="19" count="1">
            <x v="2"/>
          </reference>
        </references>
      </pivotArea>
    </format>
    <format dxfId="640">
      <pivotArea dataOnly="0" labelOnly="1" outline="0" fieldPosition="0">
        <references count="4">
          <reference field="11" count="1" selected="0">
            <x v="226"/>
          </reference>
          <reference field="14" count="1" selected="0">
            <x v="72"/>
          </reference>
          <reference field="18" count="1" selected="0">
            <x v="19"/>
          </reference>
          <reference field="19" count="1">
            <x v="2"/>
          </reference>
        </references>
      </pivotArea>
    </format>
    <format dxfId="639">
      <pivotArea dataOnly="0" labelOnly="1" outline="0" fieldPosition="0">
        <references count="4">
          <reference field="11" count="1" selected="0">
            <x v="227"/>
          </reference>
          <reference field="14" count="1" selected="0">
            <x v="420"/>
          </reference>
          <reference field="18" count="1" selected="0">
            <x v="19"/>
          </reference>
          <reference field="19" count="1">
            <x v="2"/>
          </reference>
        </references>
      </pivotArea>
    </format>
    <format dxfId="638">
      <pivotArea dataOnly="0" labelOnly="1" outline="0" fieldPosition="0">
        <references count="4">
          <reference field="11" count="1" selected="0">
            <x v="228"/>
          </reference>
          <reference field="14" count="1" selected="0">
            <x v="313"/>
          </reference>
          <reference field="18" count="1" selected="0">
            <x v="19"/>
          </reference>
          <reference field="19" count="1">
            <x v="2"/>
          </reference>
        </references>
      </pivotArea>
    </format>
    <format dxfId="637">
      <pivotArea dataOnly="0" labelOnly="1" outline="0" fieldPosition="0">
        <references count="4">
          <reference field="11" count="1" selected="0">
            <x v="229"/>
          </reference>
          <reference field="14" count="1" selected="0">
            <x v="307"/>
          </reference>
          <reference field="18" count="1" selected="0">
            <x v="19"/>
          </reference>
          <reference field="19" count="1">
            <x v="2"/>
          </reference>
        </references>
      </pivotArea>
    </format>
    <format dxfId="636">
      <pivotArea dataOnly="0" labelOnly="1" outline="0" fieldPosition="0">
        <references count="4">
          <reference field="11" count="1" selected="0">
            <x v="230"/>
          </reference>
          <reference field="14" count="1" selected="0">
            <x v="13"/>
          </reference>
          <reference field="18" count="1" selected="0">
            <x v="19"/>
          </reference>
          <reference field="19" count="1">
            <x v="2"/>
          </reference>
        </references>
      </pivotArea>
    </format>
    <format dxfId="635">
      <pivotArea dataOnly="0" labelOnly="1" outline="0" fieldPosition="0">
        <references count="4">
          <reference field="11" count="1" selected="0">
            <x v="231"/>
          </reference>
          <reference field="14" count="1" selected="0">
            <x v="96"/>
          </reference>
          <reference field="18" count="1" selected="0">
            <x v="19"/>
          </reference>
          <reference field="19" count="1">
            <x v="2"/>
          </reference>
        </references>
      </pivotArea>
    </format>
    <format dxfId="634">
      <pivotArea dataOnly="0" labelOnly="1" outline="0" fieldPosition="0">
        <references count="4">
          <reference field="11" count="1" selected="0">
            <x v="232"/>
          </reference>
          <reference field="14" count="1" selected="0">
            <x v="411"/>
          </reference>
          <reference field="18" count="1" selected="0">
            <x v="19"/>
          </reference>
          <reference field="19" count="1">
            <x v="2"/>
          </reference>
        </references>
      </pivotArea>
    </format>
    <format dxfId="633">
      <pivotArea dataOnly="0" labelOnly="1" outline="0" fieldPosition="0">
        <references count="4">
          <reference field="11" count="1" selected="0">
            <x v="233"/>
          </reference>
          <reference field="14" count="1" selected="0">
            <x v="449"/>
          </reference>
          <reference field="18" count="1" selected="0">
            <x v="19"/>
          </reference>
          <reference field="19" count="1">
            <x v="2"/>
          </reference>
        </references>
      </pivotArea>
    </format>
    <format dxfId="632">
      <pivotArea dataOnly="0" labelOnly="1" outline="0" fieldPosition="0">
        <references count="4">
          <reference field="11" count="1" selected="0">
            <x v="234"/>
          </reference>
          <reference field="14" count="1" selected="0">
            <x v="277"/>
          </reference>
          <reference field="18" count="1" selected="0">
            <x v="0"/>
          </reference>
          <reference field="19" count="1">
            <x v="16"/>
          </reference>
        </references>
      </pivotArea>
    </format>
    <format dxfId="631">
      <pivotArea dataOnly="0" labelOnly="1" outline="0" fieldPosition="0">
        <references count="4">
          <reference field="11" count="1" selected="0">
            <x v="235"/>
          </reference>
          <reference field="14" count="1" selected="0">
            <x v="272"/>
          </reference>
          <reference field="18" count="1" selected="0">
            <x v="0"/>
          </reference>
          <reference field="19" count="1">
            <x v="16"/>
          </reference>
        </references>
      </pivotArea>
    </format>
    <format dxfId="630">
      <pivotArea dataOnly="0" labelOnly="1" outline="0" fieldPosition="0">
        <references count="4">
          <reference field="11" count="1" selected="0">
            <x v="236"/>
          </reference>
          <reference field="14" count="1" selected="0">
            <x v="403"/>
          </reference>
          <reference field="18" count="1" selected="0">
            <x v="0"/>
          </reference>
          <reference field="19" count="1">
            <x v="16"/>
          </reference>
        </references>
      </pivotArea>
    </format>
    <format dxfId="629">
      <pivotArea dataOnly="0" labelOnly="1" outline="0" fieldPosition="0">
        <references count="4">
          <reference field="11" count="1" selected="0">
            <x v="236"/>
          </reference>
          <reference field="14" count="1" selected="0">
            <x v="403"/>
          </reference>
          <reference field="18" count="1" selected="0">
            <x v="2"/>
          </reference>
          <reference field="19" count="1">
            <x v="22"/>
          </reference>
        </references>
      </pivotArea>
    </format>
    <format dxfId="628">
      <pivotArea dataOnly="0" labelOnly="1" outline="0" fieldPosition="0">
        <references count="4">
          <reference field="11" count="1" selected="0">
            <x v="237"/>
          </reference>
          <reference field="14" count="1" selected="0">
            <x v="377"/>
          </reference>
          <reference field="18" count="1" selected="0">
            <x v="19"/>
          </reference>
          <reference field="19" count="1">
            <x v="2"/>
          </reference>
        </references>
      </pivotArea>
    </format>
    <format dxfId="627">
      <pivotArea dataOnly="0" labelOnly="1" outline="0" fieldPosition="0">
        <references count="4">
          <reference field="11" count="1" selected="0">
            <x v="238"/>
          </reference>
          <reference field="14" count="1" selected="0">
            <x v="339"/>
          </reference>
          <reference field="18" count="1" selected="0">
            <x v="0"/>
          </reference>
          <reference field="19" count="1">
            <x v="16"/>
          </reference>
        </references>
      </pivotArea>
    </format>
    <format dxfId="626">
      <pivotArea dataOnly="0" labelOnly="1" outline="0" fieldPosition="0">
        <references count="4">
          <reference field="11" count="1" selected="0">
            <x v="239"/>
          </reference>
          <reference field="14" count="1" selected="0">
            <x v="61"/>
          </reference>
          <reference field="18" count="1" selected="0">
            <x v="0"/>
          </reference>
          <reference field="19" count="1">
            <x v="16"/>
          </reference>
        </references>
      </pivotArea>
    </format>
    <format dxfId="625">
      <pivotArea dataOnly="0" labelOnly="1" outline="0" fieldPosition="0">
        <references count="4">
          <reference field="11" count="1" selected="0">
            <x v="239"/>
          </reference>
          <reference field="14" count="1" selected="0">
            <x v="61"/>
          </reference>
          <reference field="18" count="1" selected="0">
            <x v="2"/>
          </reference>
          <reference field="19" count="1">
            <x v="22"/>
          </reference>
        </references>
      </pivotArea>
    </format>
    <format dxfId="624">
      <pivotArea dataOnly="0" labelOnly="1" outline="0" fieldPosition="0">
        <references count="4">
          <reference field="11" count="1" selected="0">
            <x v="240"/>
          </reference>
          <reference field="14" count="1" selected="0">
            <x v="201"/>
          </reference>
          <reference field="18" count="1" selected="0">
            <x v="7"/>
          </reference>
          <reference field="19" count="1">
            <x v="4"/>
          </reference>
        </references>
      </pivotArea>
    </format>
    <format dxfId="623">
      <pivotArea dataOnly="0" labelOnly="1" outline="0" fieldPosition="0">
        <references count="4">
          <reference field="11" count="1" selected="0">
            <x v="241"/>
          </reference>
          <reference field="14" count="1" selected="0">
            <x v="262"/>
          </reference>
          <reference field="18" count="1" selected="0">
            <x v="2"/>
          </reference>
          <reference field="19" count="1">
            <x v="22"/>
          </reference>
        </references>
      </pivotArea>
    </format>
    <format dxfId="622">
      <pivotArea dataOnly="0" labelOnly="1" outline="0" fieldPosition="0">
        <references count="4">
          <reference field="11" count="1" selected="0">
            <x v="242"/>
          </reference>
          <reference field="14" count="1" selected="0">
            <x v="91"/>
          </reference>
          <reference field="18" count="1" selected="0">
            <x v="3"/>
          </reference>
          <reference field="19" count="1">
            <x v="15"/>
          </reference>
        </references>
      </pivotArea>
    </format>
    <format dxfId="621">
      <pivotArea dataOnly="0" labelOnly="1" outline="0" fieldPosition="0">
        <references count="4">
          <reference field="11" count="1" selected="0">
            <x v="243"/>
          </reference>
          <reference field="14" count="1" selected="0">
            <x v="264"/>
          </reference>
          <reference field="18" count="1" selected="0">
            <x v="2"/>
          </reference>
          <reference field="19" count="1">
            <x v="22"/>
          </reference>
        </references>
      </pivotArea>
    </format>
    <format dxfId="620">
      <pivotArea dataOnly="0" labelOnly="1" outline="0" fieldPosition="0">
        <references count="4">
          <reference field="11" count="1" selected="0">
            <x v="244"/>
          </reference>
          <reference field="14" count="1" selected="0">
            <x v="222"/>
          </reference>
          <reference field="18" count="1" selected="0">
            <x v="2"/>
          </reference>
          <reference field="19" count="1">
            <x v="22"/>
          </reference>
        </references>
      </pivotArea>
    </format>
    <format dxfId="619">
      <pivotArea dataOnly="0" labelOnly="1" outline="0" fieldPosition="0">
        <references count="4">
          <reference field="11" count="1" selected="0">
            <x v="245"/>
          </reference>
          <reference field="14" count="1" selected="0">
            <x v="131"/>
          </reference>
          <reference field="18" count="1" selected="0">
            <x v="2"/>
          </reference>
          <reference field="19" count="1">
            <x v="22"/>
          </reference>
        </references>
      </pivotArea>
    </format>
    <format dxfId="618">
      <pivotArea dataOnly="0" labelOnly="1" outline="0" fieldPosition="0">
        <references count="4">
          <reference field="11" count="1" selected="0">
            <x v="246"/>
          </reference>
          <reference field="14" count="1" selected="0">
            <x v="418"/>
          </reference>
          <reference field="18" count="1" selected="0">
            <x v="2"/>
          </reference>
          <reference field="19" count="1">
            <x v="22"/>
          </reference>
        </references>
      </pivotArea>
    </format>
    <format dxfId="617">
      <pivotArea dataOnly="0" labelOnly="1" outline="0" fieldPosition="0">
        <references count="4">
          <reference field="11" count="1" selected="0">
            <x v="247"/>
          </reference>
          <reference field="14" count="1" selected="0">
            <x v="406"/>
          </reference>
          <reference field="18" count="1" selected="0">
            <x v="2"/>
          </reference>
          <reference field="19" count="1">
            <x v="22"/>
          </reference>
        </references>
      </pivotArea>
    </format>
    <format dxfId="616">
      <pivotArea dataOnly="0" labelOnly="1" outline="0" fieldPosition="0">
        <references count="4">
          <reference field="11" count="1" selected="0">
            <x v="248"/>
          </reference>
          <reference field="14" count="1" selected="0">
            <x v="404"/>
          </reference>
          <reference field="18" count="1" selected="0">
            <x v="2"/>
          </reference>
          <reference field="19" count="1">
            <x v="22"/>
          </reference>
        </references>
      </pivotArea>
    </format>
    <format dxfId="615">
      <pivotArea dataOnly="0" labelOnly="1" outline="0" fieldPosition="0">
        <references count="4">
          <reference field="11" count="1" selected="0">
            <x v="249"/>
          </reference>
          <reference field="14" count="1" selected="0">
            <x v="402"/>
          </reference>
          <reference field="18" count="1" selected="0">
            <x v="2"/>
          </reference>
          <reference field="19" count="1">
            <x v="22"/>
          </reference>
        </references>
      </pivotArea>
    </format>
    <format dxfId="614">
      <pivotArea dataOnly="0" labelOnly="1" outline="0" fieldPosition="0">
        <references count="4">
          <reference field="11" count="1" selected="0">
            <x v="250"/>
          </reference>
          <reference field="14" count="1" selected="0">
            <x v="128"/>
          </reference>
          <reference field="18" count="1" selected="0">
            <x v="2"/>
          </reference>
          <reference field="19" count="1">
            <x v="22"/>
          </reference>
        </references>
      </pivotArea>
    </format>
    <format dxfId="613">
      <pivotArea dataOnly="0" labelOnly="1" outline="0" fieldPosition="0">
        <references count="4">
          <reference field="11" count="1" selected="0">
            <x v="251"/>
          </reference>
          <reference field="14" count="1" selected="0">
            <x v="405"/>
          </reference>
          <reference field="18" count="1" selected="0">
            <x v="2"/>
          </reference>
          <reference field="19" count="1">
            <x v="22"/>
          </reference>
        </references>
      </pivotArea>
    </format>
    <format dxfId="612">
      <pivotArea dataOnly="0" labelOnly="1" outline="0" fieldPosition="0">
        <references count="4">
          <reference field="11" count="1" selected="0">
            <x v="252"/>
          </reference>
          <reference field="14" count="1" selected="0">
            <x v="86"/>
          </reference>
          <reference field="18" count="1" selected="0">
            <x v="1"/>
          </reference>
          <reference field="19" count="1">
            <x v="18"/>
          </reference>
        </references>
      </pivotArea>
    </format>
    <format dxfId="611">
      <pivotArea dataOnly="0" labelOnly="1" outline="0" fieldPosition="0">
        <references count="4">
          <reference field="11" count="1" selected="0">
            <x v="253"/>
          </reference>
          <reference field="14" count="1" selected="0">
            <x v="136"/>
          </reference>
          <reference field="18" count="1" selected="0">
            <x v="4"/>
          </reference>
          <reference field="19" count="1">
            <x v="10"/>
          </reference>
        </references>
      </pivotArea>
    </format>
    <format dxfId="610">
      <pivotArea dataOnly="0" labelOnly="1" outline="0" fieldPosition="0">
        <references count="4">
          <reference field="11" count="1" selected="0">
            <x v="254"/>
          </reference>
          <reference field="14" count="1" selected="0">
            <x v="181"/>
          </reference>
          <reference field="18" count="1" selected="0">
            <x v="14"/>
          </reference>
          <reference field="19" count="1">
            <x v="9"/>
          </reference>
        </references>
      </pivotArea>
    </format>
    <format dxfId="609">
      <pivotArea dataOnly="0" labelOnly="1" outline="0" fieldPosition="0">
        <references count="4">
          <reference field="11" count="1" selected="0">
            <x v="255"/>
          </reference>
          <reference field="14" count="1" selected="0">
            <x v="263"/>
          </reference>
          <reference field="18" count="1" selected="0">
            <x v="2"/>
          </reference>
          <reference field="19" count="1">
            <x v="22"/>
          </reference>
        </references>
      </pivotArea>
    </format>
    <format dxfId="608">
      <pivotArea dataOnly="0" labelOnly="1" outline="0" fieldPosition="0">
        <references count="4">
          <reference field="11" count="1" selected="0">
            <x v="256"/>
          </reference>
          <reference field="14" count="1" selected="0">
            <x v="133"/>
          </reference>
          <reference field="18" count="1" selected="0">
            <x v="2"/>
          </reference>
          <reference field="19" count="1">
            <x v="22"/>
          </reference>
        </references>
      </pivotArea>
    </format>
    <format dxfId="607">
      <pivotArea dataOnly="0" labelOnly="1" outline="0" fieldPosition="0">
        <references count="4">
          <reference field="11" count="1" selected="0">
            <x v="257"/>
          </reference>
          <reference field="14" count="1" selected="0">
            <x v="187"/>
          </reference>
          <reference field="18" count="1" selected="0">
            <x v="2"/>
          </reference>
          <reference field="19" count="1">
            <x v="22"/>
          </reference>
        </references>
      </pivotArea>
    </format>
    <format dxfId="606">
      <pivotArea dataOnly="0" labelOnly="1" outline="0" fieldPosition="0">
        <references count="4">
          <reference field="11" count="1" selected="0">
            <x v="258"/>
          </reference>
          <reference field="14" count="1" selected="0">
            <x v="417"/>
          </reference>
          <reference field="18" count="1" selected="0">
            <x v="0"/>
          </reference>
          <reference field="19" count="1">
            <x v="16"/>
          </reference>
        </references>
      </pivotArea>
    </format>
    <format dxfId="605">
      <pivotArea dataOnly="0" labelOnly="1" outline="0" fieldPosition="0">
        <references count="4">
          <reference field="11" count="1" selected="0">
            <x v="259"/>
          </reference>
          <reference field="14" count="1" selected="0">
            <x v="371"/>
          </reference>
          <reference field="18" count="1" selected="0">
            <x v="16"/>
          </reference>
          <reference field="19" count="1">
            <x v="24"/>
          </reference>
        </references>
      </pivotArea>
    </format>
    <format dxfId="604">
      <pivotArea dataOnly="0" labelOnly="1" outline="0" fieldPosition="0">
        <references count="4">
          <reference field="11" count="1" selected="0">
            <x v="260"/>
          </reference>
          <reference field="14" count="1" selected="0">
            <x v="157"/>
          </reference>
          <reference field="18" count="1" selected="0">
            <x v="2"/>
          </reference>
          <reference field="19" count="1">
            <x v="22"/>
          </reference>
        </references>
      </pivotArea>
    </format>
    <format dxfId="603">
      <pivotArea dataOnly="0" labelOnly="1" outline="0" fieldPosition="0">
        <references count="4">
          <reference field="11" count="1" selected="0">
            <x v="261"/>
          </reference>
          <reference field="14" count="1" selected="0">
            <x v="223"/>
          </reference>
          <reference field="18" count="1" selected="0">
            <x v="0"/>
          </reference>
          <reference field="19" count="1">
            <x v="16"/>
          </reference>
        </references>
      </pivotArea>
    </format>
    <format dxfId="602">
      <pivotArea dataOnly="0" labelOnly="1" outline="0" fieldPosition="0">
        <references count="4">
          <reference field="11" count="1" selected="0">
            <x v="261"/>
          </reference>
          <reference field="14" count="1" selected="0">
            <x v="223"/>
          </reference>
          <reference field="18" count="1" selected="0">
            <x v="2"/>
          </reference>
          <reference field="19" count="1">
            <x v="22"/>
          </reference>
        </references>
      </pivotArea>
    </format>
    <format dxfId="601">
      <pivotArea dataOnly="0" labelOnly="1" outline="0" fieldPosition="0">
        <references count="4">
          <reference field="11" count="1" selected="0">
            <x v="262"/>
          </reference>
          <reference field="14" count="1" selected="0">
            <x v="311"/>
          </reference>
          <reference field="18" count="1" selected="0">
            <x v="19"/>
          </reference>
          <reference field="19" count="1">
            <x v="2"/>
          </reference>
        </references>
      </pivotArea>
    </format>
    <format dxfId="600">
      <pivotArea dataOnly="0" labelOnly="1" outline="0" fieldPosition="0">
        <references count="4">
          <reference field="11" count="1" selected="0">
            <x v="263"/>
          </reference>
          <reference field="14" count="1" selected="0">
            <x v="114"/>
          </reference>
          <reference field="18" count="1" selected="0">
            <x v="6"/>
          </reference>
          <reference field="19" count="1">
            <x v="23"/>
          </reference>
        </references>
      </pivotArea>
    </format>
    <format dxfId="599">
      <pivotArea dataOnly="0" labelOnly="1" outline="0" fieldPosition="0">
        <references count="4">
          <reference field="11" count="1" selected="0">
            <x v="264"/>
          </reference>
          <reference field="14" count="1" selected="0">
            <x v="154"/>
          </reference>
          <reference field="18" count="1" selected="0">
            <x v="2"/>
          </reference>
          <reference field="19" count="1">
            <x v="22"/>
          </reference>
        </references>
      </pivotArea>
    </format>
    <format dxfId="598">
      <pivotArea dataOnly="0" labelOnly="1" outline="0" fieldPosition="0">
        <references count="4">
          <reference field="11" count="1" selected="0">
            <x v="265"/>
          </reference>
          <reference field="14" count="1" selected="0">
            <x v="166"/>
          </reference>
          <reference field="18" count="1" selected="0">
            <x v="2"/>
          </reference>
          <reference field="19" count="1">
            <x v="22"/>
          </reference>
        </references>
      </pivotArea>
    </format>
    <format dxfId="597">
      <pivotArea dataOnly="0" labelOnly="1" outline="0" fieldPosition="0">
        <references count="4">
          <reference field="11" count="1" selected="0">
            <x v="266"/>
          </reference>
          <reference field="14" count="1" selected="0">
            <x v="152"/>
          </reference>
          <reference field="18" count="1" selected="0">
            <x v="2"/>
          </reference>
          <reference field="19" count="1">
            <x v="22"/>
          </reference>
        </references>
      </pivotArea>
    </format>
    <format dxfId="596">
      <pivotArea dataOnly="0" labelOnly="1" outline="0" fieldPosition="0">
        <references count="4">
          <reference field="11" count="1" selected="0">
            <x v="267"/>
          </reference>
          <reference field="14" count="1" selected="0">
            <x v="374"/>
          </reference>
          <reference field="18" count="1" selected="0">
            <x v="0"/>
          </reference>
          <reference field="19" count="1">
            <x v="16"/>
          </reference>
        </references>
      </pivotArea>
    </format>
    <format dxfId="595">
      <pivotArea dataOnly="0" labelOnly="1" outline="0" fieldPosition="0">
        <references count="4">
          <reference field="11" count="1" selected="0">
            <x v="267"/>
          </reference>
          <reference field="14" count="1" selected="0">
            <x v="374"/>
          </reference>
          <reference field="18" count="1" selected="0">
            <x v="2"/>
          </reference>
          <reference field="19" count="1">
            <x v="22"/>
          </reference>
        </references>
      </pivotArea>
    </format>
    <format dxfId="594">
      <pivotArea dataOnly="0" labelOnly="1" outline="0" fieldPosition="0">
        <references count="4">
          <reference field="11" count="1" selected="0">
            <x v="268"/>
          </reference>
          <reference field="14" count="1" selected="0">
            <x v="353"/>
          </reference>
          <reference field="18" count="1" selected="0">
            <x v="2"/>
          </reference>
          <reference field="19" count="1">
            <x v="22"/>
          </reference>
        </references>
      </pivotArea>
    </format>
    <format dxfId="593">
      <pivotArea dataOnly="0" labelOnly="1" outline="0" fieldPosition="0">
        <references count="4">
          <reference field="11" count="1" selected="0">
            <x v="269"/>
          </reference>
          <reference field="14" count="1" selected="0">
            <x v="124"/>
          </reference>
          <reference field="18" count="1" selected="0">
            <x v="4"/>
          </reference>
          <reference field="19" count="1">
            <x v="10"/>
          </reference>
        </references>
      </pivotArea>
    </format>
    <format dxfId="592">
      <pivotArea dataOnly="0" labelOnly="1" outline="0" fieldPosition="0">
        <references count="4">
          <reference field="11" count="1" selected="0">
            <x v="270"/>
          </reference>
          <reference field="14" count="1" selected="0">
            <x v="126"/>
          </reference>
          <reference field="18" count="1" selected="0">
            <x v="2"/>
          </reference>
          <reference field="19" count="1">
            <x v="22"/>
          </reference>
        </references>
      </pivotArea>
    </format>
    <format dxfId="591">
      <pivotArea dataOnly="0" labelOnly="1" outline="0" fieldPosition="0">
        <references count="4">
          <reference field="11" count="1" selected="0">
            <x v="271"/>
          </reference>
          <reference field="14" count="1" selected="0">
            <x v="239"/>
          </reference>
          <reference field="18" count="1" selected="0">
            <x v="19"/>
          </reference>
          <reference field="19" count="1">
            <x v="2"/>
          </reference>
        </references>
      </pivotArea>
    </format>
    <format dxfId="590">
      <pivotArea dataOnly="0" labelOnly="1" outline="0" fieldPosition="0">
        <references count="4">
          <reference field="11" count="1" selected="0">
            <x v="272"/>
          </reference>
          <reference field="14" count="1" selected="0">
            <x v="42"/>
          </reference>
          <reference field="18" count="1" selected="0">
            <x v="2"/>
          </reference>
          <reference field="19" count="1">
            <x v="22"/>
          </reference>
        </references>
      </pivotArea>
    </format>
    <format dxfId="589">
      <pivotArea dataOnly="0" labelOnly="1" outline="0" fieldPosition="0">
        <references count="4">
          <reference field="11" count="1" selected="0">
            <x v="273"/>
          </reference>
          <reference field="14" count="1" selected="0">
            <x v="342"/>
          </reference>
          <reference field="18" count="1" selected="0">
            <x v="1"/>
          </reference>
          <reference field="19" count="1">
            <x v="18"/>
          </reference>
        </references>
      </pivotArea>
    </format>
    <format dxfId="588">
      <pivotArea dataOnly="0" labelOnly="1" outline="0" fieldPosition="0">
        <references count="4">
          <reference field="11" count="1" selected="0">
            <x v="274"/>
          </reference>
          <reference field="14" count="1" selected="0">
            <x v="372"/>
          </reference>
          <reference field="18" count="1" selected="0">
            <x v="15"/>
          </reference>
          <reference field="19" count="1">
            <x v="25"/>
          </reference>
        </references>
      </pivotArea>
    </format>
    <format dxfId="587">
      <pivotArea dataOnly="0" labelOnly="1" outline="0" fieldPosition="0">
        <references count="4">
          <reference field="11" count="1" selected="0">
            <x v="275"/>
          </reference>
          <reference field="14" count="1" selected="0">
            <x v="51"/>
          </reference>
          <reference field="18" count="1" selected="0">
            <x v="4"/>
          </reference>
          <reference field="19" count="1">
            <x v="10"/>
          </reference>
        </references>
      </pivotArea>
    </format>
    <format dxfId="586">
      <pivotArea dataOnly="0" labelOnly="1" outline="0" fieldPosition="0">
        <references count="4">
          <reference field="11" count="1" selected="0">
            <x v="276"/>
          </reference>
          <reference field="14" count="1" selected="0">
            <x v="290"/>
          </reference>
          <reference field="18" count="1" selected="0">
            <x v="0"/>
          </reference>
          <reference field="19" count="1">
            <x v="16"/>
          </reference>
        </references>
      </pivotArea>
    </format>
    <format dxfId="585">
      <pivotArea dataOnly="0" labelOnly="1" outline="0" fieldPosition="0">
        <references count="4">
          <reference field="11" count="1" selected="0">
            <x v="277"/>
          </reference>
          <reference field="14" count="1" selected="0">
            <x v="180"/>
          </reference>
          <reference field="18" count="1" selected="0">
            <x v="16"/>
          </reference>
          <reference field="19" count="1">
            <x v="24"/>
          </reference>
        </references>
      </pivotArea>
    </format>
    <format dxfId="584">
      <pivotArea dataOnly="0" labelOnly="1" outline="0" fieldPosition="0">
        <references count="4">
          <reference field="11" count="1" selected="0">
            <x v="278"/>
          </reference>
          <reference field="14" count="1" selected="0">
            <x v="164"/>
          </reference>
          <reference field="18" count="1" selected="0">
            <x v="2"/>
          </reference>
          <reference field="19" count="1">
            <x v="22"/>
          </reference>
        </references>
      </pivotArea>
    </format>
    <format dxfId="583">
      <pivotArea dataOnly="0" labelOnly="1" outline="0" fieldPosition="0">
        <references count="4">
          <reference field="11" count="1" selected="0">
            <x v="279"/>
          </reference>
          <reference field="14" count="1" selected="0">
            <x v="153"/>
          </reference>
          <reference field="18" count="1" selected="0">
            <x v="2"/>
          </reference>
          <reference field="19" count="1">
            <x v="22"/>
          </reference>
        </references>
      </pivotArea>
    </format>
    <format dxfId="582">
      <pivotArea dataOnly="0" labelOnly="1" outline="0" fieldPosition="0">
        <references count="4">
          <reference field="11" count="1" selected="0">
            <x v="280"/>
          </reference>
          <reference field="14" count="1" selected="0">
            <x v="373"/>
          </reference>
          <reference field="18" count="1" selected="0">
            <x v="1"/>
          </reference>
          <reference field="19" count="1">
            <x v="18"/>
          </reference>
        </references>
      </pivotArea>
    </format>
    <format dxfId="581">
      <pivotArea dataOnly="0" labelOnly="1" outline="0" fieldPosition="0">
        <references count="4">
          <reference field="11" count="1" selected="0">
            <x v="280"/>
          </reference>
          <reference field="14" count="1" selected="0">
            <x v="373"/>
          </reference>
          <reference field="18" count="1" selected="0">
            <x v="11"/>
          </reference>
          <reference field="19" count="1">
            <x v="20"/>
          </reference>
        </references>
      </pivotArea>
    </format>
    <format dxfId="580">
      <pivotArea dataOnly="0" labelOnly="1" outline="0" fieldPosition="0">
        <references count="4">
          <reference field="11" count="1" selected="0">
            <x v="281"/>
          </reference>
          <reference field="14" count="1" selected="0">
            <x v="165"/>
          </reference>
          <reference field="18" count="1" selected="0">
            <x v="2"/>
          </reference>
          <reference field="19" count="1">
            <x v="22"/>
          </reference>
        </references>
      </pivotArea>
    </format>
    <format dxfId="579">
      <pivotArea dataOnly="0" labelOnly="1" outline="0" fieldPosition="0">
        <references count="4">
          <reference field="11" count="1" selected="0">
            <x v="282"/>
          </reference>
          <reference field="14" count="1" selected="0">
            <x v="357"/>
          </reference>
          <reference field="18" count="1" selected="0">
            <x v="0"/>
          </reference>
          <reference field="19" count="1">
            <x v="16"/>
          </reference>
        </references>
      </pivotArea>
    </format>
    <format dxfId="578">
      <pivotArea dataOnly="0" labelOnly="1" outline="0" fieldPosition="0">
        <references count="4">
          <reference field="11" count="1" selected="0">
            <x v="283"/>
          </reference>
          <reference field="14" count="1" selected="0">
            <x v="162"/>
          </reference>
          <reference field="18" count="1" selected="0">
            <x v="2"/>
          </reference>
          <reference field="19" count="1">
            <x v="22"/>
          </reference>
        </references>
      </pivotArea>
    </format>
    <format dxfId="577">
      <pivotArea dataOnly="0" labelOnly="1" outline="0" fieldPosition="0">
        <references count="4">
          <reference field="11" count="1" selected="0">
            <x v="284"/>
          </reference>
          <reference field="14" count="1" selected="0">
            <x v="149"/>
          </reference>
          <reference field="18" count="1" selected="0">
            <x v="14"/>
          </reference>
          <reference field="19" count="1">
            <x v="9"/>
          </reference>
        </references>
      </pivotArea>
    </format>
    <format dxfId="576">
      <pivotArea dataOnly="0" labelOnly="1" outline="0" fieldPosition="0">
        <references count="4">
          <reference field="11" count="1" selected="0">
            <x v="285"/>
          </reference>
          <reference field="14" count="1" selected="0">
            <x v="365"/>
          </reference>
          <reference field="18" count="1" selected="0">
            <x v="3"/>
          </reference>
          <reference field="19" count="1">
            <x v="15"/>
          </reference>
        </references>
      </pivotArea>
    </format>
    <format dxfId="575">
      <pivotArea dataOnly="0" labelOnly="1" outline="0" fieldPosition="0">
        <references count="4">
          <reference field="11" count="1" selected="0">
            <x v="286"/>
          </reference>
          <reference field="14" count="1" selected="0">
            <x v="217"/>
          </reference>
          <reference field="18" count="1" selected="0">
            <x v="14"/>
          </reference>
          <reference field="19" count="1">
            <x v="9"/>
          </reference>
        </references>
      </pivotArea>
    </format>
    <format dxfId="574">
      <pivotArea dataOnly="0" labelOnly="1" outline="0" fieldPosition="0">
        <references count="4">
          <reference field="11" count="1" selected="0">
            <x v="287"/>
          </reference>
          <reference field="14" count="1" selected="0">
            <x v="197"/>
          </reference>
          <reference field="18" count="1" selected="0">
            <x v="2"/>
          </reference>
          <reference field="19" count="1">
            <x v="22"/>
          </reference>
        </references>
      </pivotArea>
    </format>
    <format dxfId="573">
      <pivotArea dataOnly="0" labelOnly="1" outline="0" fieldPosition="0">
        <references count="4">
          <reference field="11" count="1" selected="0">
            <x v="288"/>
          </reference>
          <reference field="14" count="1" selected="0">
            <x v="389"/>
          </reference>
          <reference field="18" count="1" selected="0">
            <x v="2"/>
          </reference>
          <reference field="19" count="1">
            <x v="22"/>
          </reference>
        </references>
      </pivotArea>
    </format>
    <format dxfId="572">
      <pivotArea dataOnly="0" labelOnly="1" outline="0" fieldPosition="0">
        <references count="4">
          <reference field="11" count="1" selected="0">
            <x v="289"/>
          </reference>
          <reference field="14" count="1" selected="0">
            <x v="171"/>
          </reference>
          <reference field="18" count="1" selected="0">
            <x v="2"/>
          </reference>
          <reference field="19" count="1">
            <x v="22"/>
          </reference>
        </references>
      </pivotArea>
    </format>
    <format dxfId="571">
      <pivotArea dataOnly="0" labelOnly="1" outline="0" fieldPosition="0">
        <references count="4">
          <reference field="11" count="1" selected="0">
            <x v="290"/>
          </reference>
          <reference field="14" count="1" selected="0">
            <x v="183"/>
          </reference>
          <reference field="18" count="1" selected="0">
            <x v="3"/>
          </reference>
          <reference field="19" count="1">
            <x v="15"/>
          </reference>
        </references>
      </pivotArea>
    </format>
    <format dxfId="570">
      <pivotArea dataOnly="0" labelOnly="1" outline="0" fieldPosition="0">
        <references count="4">
          <reference field="11" count="1" selected="0">
            <x v="290"/>
          </reference>
          <reference field="14" count="1" selected="0">
            <x v="183"/>
          </reference>
          <reference field="18" count="1" selected="0">
            <x v="6"/>
          </reference>
          <reference field="19" count="1">
            <x v="23"/>
          </reference>
        </references>
      </pivotArea>
    </format>
    <format dxfId="569">
      <pivotArea dataOnly="0" labelOnly="1" outline="0" fieldPosition="0">
        <references count="4">
          <reference field="11" count="1" selected="0">
            <x v="291"/>
          </reference>
          <reference field="14" count="1" selected="0">
            <x v="3"/>
          </reference>
          <reference field="18" count="1" selected="0">
            <x v="2"/>
          </reference>
          <reference field="19" count="1">
            <x v="22"/>
          </reference>
        </references>
      </pivotArea>
    </format>
    <format dxfId="568">
      <pivotArea dataOnly="0" labelOnly="1" outline="0" fieldPosition="0">
        <references count="4">
          <reference field="11" count="1" selected="0">
            <x v="292"/>
          </reference>
          <reference field="14" count="1" selected="0">
            <x v="172"/>
          </reference>
          <reference field="18" count="1" selected="0">
            <x v="2"/>
          </reference>
          <reference field="19" count="1">
            <x v="22"/>
          </reference>
        </references>
      </pivotArea>
    </format>
    <format dxfId="567">
      <pivotArea dataOnly="0" labelOnly="1" outline="0" fieldPosition="0">
        <references count="4">
          <reference field="11" count="1" selected="0">
            <x v="293"/>
          </reference>
          <reference field="14" count="1" selected="0">
            <x v="168"/>
          </reference>
          <reference field="18" count="1" selected="0">
            <x v="14"/>
          </reference>
          <reference field="19" count="1">
            <x v="9"/>
          </reference>
        </references>
      </pivotArea>
    </format>
    <format dxfId="566">
      <pivotArea dataOnly="0" labelOnly="1" outline="0" fieldPosition="0">
        <references count="4">
          <reference field="11" count="1" selected="0">
            <x v="294"/>
          </reference>
          <reference field="14" count="1" selected="0">
            <x v="67"/>
          </reference>
          <reference field="18" count="1" selected="0">
            <x v="0"/>
          </reference>
          <reference field="19" count="1">
            <x v="16"/>
          </reference>
        </references>
      </pivotArea>
    </format>
    <format dxfId="565">
      <pivotArea dataOnly="0" labelOnly="1" outline="0" fieldPosition="0">
        <references count="4">
          <reference field="11" count="1" selected="0">
            <x v="295"/>
          </reference>
          <reference field="14" count="1" selected="0">
            <x v="64"/>
          </reference>
          <reference field="18" count="1" selected="0">
            <x v="1"/>
          </reference>
          <reference field="19" count="1">
            <x v="18"/>
          </reference>
        </references>
      </pivotArea>
    </format>
    <format dxfId="564">
      <pivotArea dataOnly="0" labelOnly="1" outline="0" fieldPosition="0">
        <references count="4">
          <reference field="11" count="1" selected="0">
            <x v="296"/>
          </reference>
          <reference field="14" count="1" selected="0">
            <x v="143"/>
          </reference>
          <reference field="18" count="1" selected="0">
            <x v="3"/>
          </reference>
          <reference field="19" count="1">
            <x v="15"/>
          </reference>
        </references>
      </pivotArea>
    </format>
    <format dxfId="563">
      <pivotArea dataOnly="0" labelOnly="1" outline="0" fieldPosition="0">
        <references count="4">
          <reference field="11" count="1" selected="0">
            <x v="297"/>
          </reference>
          <reference field="14" count="1" selected="0">
            <x v="34"/>
          </reference>
          <reference field="18" count="1" selected="0">
            <x v="20"/>
          </reference>
          <reference field="19" count="1">
            <x v="19"/>
          </reference>
        </references>
      </pivotArea>
    </format>
    <format dxfId="562">
      <pivotArea dataOnly="0" labelOnly="1" outline="0" fieldPosition="0">
        <references count="4">
          <reference field="11" count="1" selected="0">
            <x v="298"/>
          </reference>
          <reference field="14" count="1" selected="0">
            <x v="310"/>
          </reference>
          <reference field="18" count="1" selected="0">
            <x v="19"/>
          </reference>
          <reference field="19" count="1">
            <x v="2"/>
          </reference>
        </references>
      </pivotArea>
    </format>
    <format dxfId="561">
      <pivotArea dataOnly="0" labelOnly="1" outline="0" fieldPosition="0">
        <references count="4">
          <reference field="11" count="1" selected="0">
            <x v="299"/>
          </reference>
          <reference field="14" count="1" selected="0">
            <x v="129"/>
          </reference>
          <reference field="18" count="1" selected="0">
            <x v="2"/>
          </reference>
          <reference field="19" count="1">
            <x v="22"/>
          </reference>
        </references>
      </pivotArea>
    </format>
    <format dxfId="560">
      <pivotArea dataOnly="0" labelOnly="1" outline="0" fieldPosition="0">
        <references count="4">
          <reference field="11" count="1" selected="0">
            <x v="300"/>
          </reference>
          <reference field="14" count="1" selected="0">
            <x v="393"/>
          </reference>
          <reference field="18" count="1" selected="0">
            <x v="2"/>
          </reference>
          <reference field="19" count="1">
            <x v="22"/>
          </reference>
        </references>
      </pivotArea>
    </format>
    <format dxfId="559">
      <pivotArea dataOnly="0" labelOnly="1" outline="0" fieldPosition="0">
        <references count="4">
          <reference field="11" count="1" selected="0">
            <x v="301"/>
          </reference>
          <reference field="14" count="1" selected="0">
            <x v="100"/>
          </reference>
          <reference field="18" count="1" selected="0">
            <x v="0"/>
          </reference>
          <reference field="19" count="1">
            <x v="16"/>
          </reference>
        </references>
      </pivotArea>
    </format>
    <format dxfId="558">
      <pivotArea dataOnly="0" labelOnly="1" outline="0" fieldPosition="0">
        <references count="4">
          <reference field="11" count="1" selected="0">
            <x v="302"/>
          </reference>
          <reference field="14" count="1" selected="0">
            <x v="62"/>
          </reference>
          <reference field="18" count="1" selected="0">
            <x v="0"/>
          </reference>
          <reference field="19" count="1">
            <x v="16"/>
          </reference>
        </references>
      </pivotArea>
    </format>
    <format dxfId="557">
      <pivotArea dataOnly="0" labelOnly="1" outline="0" fieldPosition="0">
        <references count="4">
          <reference field="11" count="1" selected="0">
            <x v="302"/>
          </reference>
          <reference field="14" count="1" selected="0">
            <x v="62"/>
          </reference>
          <reference field="18" count="1" selected="0">
            <x v="2"/>
          </reference>
          <reference field="19" count="1">
            <x v="22"/>
          </reference>
        </references>
      </pivotArea>
    </format>
    <format dxfId="556">
      <pivotArea dataOnly="0" labelOnly="1" outline="0" fieldPosition="0">
        <references count="4">
          <reference field="11" count="1" selected="0">
            <x v="303"/>
          </reference>
          <reference field="14" count="1" selected="0">
            <x v="122"/>
          </reference>
          <reference field="18" count="1" selected="0">
            <x v="2"/>
          </reference>
          <reference field="19" count="1">
            <x v="22"/>
          </reference>
        </references>
      </pivotArea>
    </format>
    <format dxfId="555">
      <pivotArea dataOnly="0" labelOnly="1" outline="0" fieldPosition="0">
        <references count="4">
          <reference field="11" count="1" selected="0">
            <x v="304"/>
          </reference>
          <reference field="14" count="1" selected="0">
            <x v="464"/>
          </reference>
          <reference field="18" count="1" selected="0">
            <x v="0"/>
          </reference>
          <reference field="19" count="1">
            <x v="16"/>
          </reference>
        </references>
      </pivotArea>
    </format>
    <format dxfId="554">
      <pivotArea dataOnly="0" labelOnly="1" outline="0" fieldPosition="0">
        <references count="4">
          <reference field="11" count="1" selected="0">
            <x v="304"/>
          </reference>
          <reference field="14" count="1" selected="0">
            <x v="464"/>
          </reference>
          <reference field="18" count="1" selected="0">
            <x v="2"/>
          </reference>
          <reference field="19" count="1">
            <x v="22"/>
          </reference>
        </references>
      </pivotArea>
    </format>
    <format dxfId="553">
      <pivotArea dataOnly="0" labelOnly="1" outline="0" fieldPosition="0">
        <references count="4">
          <reference field="11" count="1" selected="0">
            <x v="305"/>
          </reference>
          <reference field="14" count="1" selected="0">
            <x v="121"/>
          </reference>
          <reference field="18" count="1" selected="0">
            <x v="2"/>
          </reference>
          <reference field="19" count="1">
            <x v="22"/>
          </reference>
        </references>
      </pivotArea>
    </format>
    <format dxfId="552">
      <pivotArea dataOnly="0" labelOnly="1" outline="0" fieldPosition="0">
        <references count="4">
          <reference field="11" count="1" selected="0">
            <x v="306"/>
          </reference>
          <reference field="14" count="1" selected="0">
            <x v="178"/>
          </reference>
          <reference field="18" count="1" selected="0">
            <x v="6"/>
          </reference>
          <reference field="19" count="1">
            <x v="23"/>
          </reference>
        </references>
      </pivotArea>
    </format>
    <format dxfId="551">
      <pivotArea dataOnly="0" labelOnly="1" outline="0" fieldPosition="0">
        <references count="4">
          <reference field="11" count="1" selected="0">
            <x v="307"/>
          </reference>
          <reference field="14" count="1" selected="0">
            <x v="120"/>
          </reference>
          <reference field="18" count="1" selected="0">
            <x v="2"/>
          </reference>
          <reference field="19" count="1">
            <x v="22"/>
          </reference>
        </references>
      </pivotArea>
    </format>
    <format dxfId="550">
      <pivotArea dataOnly="0" labelOnly="1" outline="0" fieldPosition="0">
        <references count="4">
          <reference field="11" count="1" selected="0">
            <x v="308"/>
          </reference>
          <reference field="14" count="1" selected="0">
            <x v="127"/>
          </reference>
          <reference field="18" count="1" selected="0">
            <x v="0"/>
          </reference>
          <reference field="19" count="1">
            <x v="16"/>
          </reference>
        </references>
      </pivotArea>
    </format>
    <format dxfId="549">
      <pivotArea dataOnly="0" labelOnly="1" outline="0" fieldPosition="0">
        <references count="4">
          <reference field="11" count="1" selected="0">
            <x v="308"/>
          </reference>
          <reference field="14" count="1" selected="0">
            <x v="127"/>
          </reference>
          <reference field="18" count="1" selected="0">
            <x v="2"/>
          </reference>
          <reference field="19" count="1">
            <x v="22"/>
          </reference>
        </references>
      </pivotArea>
    </format>
    <format dxfId="548">
      <pivotArea dataOnly="0" labelOnly="1" outline="0" fieldPosition="0">
        <references count="4">
          <reference field="11" count="1" selected="0">
            <x v="308"/>
          </reference>
          <reference field="14" count="1" selected="0">
            <x v="127"/>
          </reference>
          <reference field="18" count="1" selected="0">
            <x v="12"/>
          </reference>
          <reference field="19" count="1">
            <x v="13"/>
          </reference>
        </references>
      </pivotArea>
    </format>
    <format dxfId="547">
      <pivotArea dataOnly="0" labelOnly="1" outline="0" fieldPosition="0">
        <references count="4">
          <reference field="11" count="1" selected="0">
            <x v="309"/>
          </reference>
          <reference field="14" count="1" selected="0">
            <x v="316"/>
          </reference>
          <reference field="18" count="1" selected="0">
            <x v="0"/>
          </reference>
          <reference field="19" count="1">
            <x v="16"/>
          </reference>
        </references>
      </pivotArea>
    </format>
    <format dxfId="546">
      <pivotArea dataOnly="0" labelOnly="1" outline="0" fieldPosition="0">
        <references count="4">
          <reference field="11" count="1" selected="0">
            <x v="310"/>
          </reference>
          <reference field="14" count="1" selected="0">
            <x v="376"/>
          </reference>
          <reference field="18" count="1" selected="0">
            <x v="2"/>
          </reference>
          <reference field="19" count="1">
            <x v="22"/>
          </reference>
        </references>
      </pivotArea>
    </format>
    <format dxfId="545">
      <pivotArea dataOnly="0" labelOnly="1" outline="0" fieldPosition="0">
        <references count="4">
          <reference field="11" count="1" selected="0">
            <x v="311"/>
          </reference>
          <reference field="14" count="1" selected="0">
            <x v="302"/>
          </reference>
          <reference field="18" count="1" selected="0">
            <x v="6"/>
          </reference>
          <reference field="19" count="1">
            <x v="23"/>
          </reference>
        </references>
      </pivotArea>
    </format>
    <format dxfId="544">
      <pivotArea dataOnly="0" labelOnly="1" outline="0" fieldPosition="0">
        <references count="4">
          <reference field="11" count="1" selected="0">
            <x v="311"/>
          </reference>
          <reference field="14" count="1" selected="0">
            <x v="302"/>
          </reference>
          <reference field="18" count="1" selected="0">
            <x v="27"/>
          </reference>
          <reference field="19" count="1">
            <x v="17"/>
          </reference>
        </references>
      </pivotArea>
    </format>
    <format dxfId="543">
      <pivotArea dataOnly="0" labelOnly="1" outline="0" fieldPosition="0">
        <references count="4">
          <reference field="11" count="1" selected="0">
            <x v="312"/>
          </reference>
          <reference field="14" count="1" selected="0">
            <x v="130"/>
          </reference>
          <reference field="18" count="1" selected="0">
            <x v="0"/>
          </reference>
          <reference field="19" count="1">
            <x v="16"/>
          </reference>
        </references>
      </pivotArea>
    </format>
    <format dxfId="542">
      <pivotArea dataOnly="0" labelOnly="1" outline="0" fieldPosition="0">
        <references count="4">
          <reference field="11" count="1" selected="0">
            <x v="312"/>
          </reference>
          <reference field="14" count="1" selected="0">
            <x v="130"/>
          </reference>
          <reference field="18" count="1" selected="0">
            <x v="14"/>
          </reference>
          <reference field="19" count="1">
            <x v="9"/>
          </reference>
        </references>
      </pivotArea>
    </format>
    <format dxfId="541">
      <pivotArea dataOnly="0" labelOnly="1" outline="0" fieldPosition="0">
        <references count="4">
          <reference field="11" count="1" selected="0">
            <x v="313"/>
          </reference>
          <reference field="14" count="1" selected="0">
            <x v="123"/>
          </reference>
          <reference field="18" count="1" selected="0">
            <x v="7"/>
          </reference>
          <reference field="19" count="1">
            <x v="4"/>
          </reference>
        </references>
      </pivotArea>
    </format>
    <format dxfId="540">
      <pivotArea dataOnly="0" labelOnly="1" outline="0" fieldPosition="0">
        <references count="4">
          <reference field="11" count="1" selected="0">
            <x v="314"/>
          </reference>
          <reference field="14" count="1" selected="0">
            <x v="8"/>
          </reference>
          <reference field="18" count="1" selected="0">
            <x v="2"/>
          </reference>
          <reference field="19" count="1">
            <x v="22"/>
          </reference>
        </references>
      </pivotArea>
    </format>
    <format dxfId="539">
      <pivotArea dataOnly="0" labelOnly="1" outline="0" fieldPosition="0">
        <references count="4">
          <reference field="11" count="1" selected="0">
            <x v="315"/>
          </reference>
          <reference field="14" count="1" selected="0">
            <x v="247"/>
          </reference>
          <reference field="18" count="1" selected="0">
            <x v="14"/>
          </reference>
          <reference field="19" count="1">
            <x v="9"/>
          </reference>
        </references>
      </pivotArea>
    </format>
    <format dxfId="538">
      <pivotArea dataOnly="0" labelOnly="1" outline="0" fieldPosition="0">
        <references count="4">
          <reference field="11" count="1" selected="0">
            <x v="316"/>
          </reference>
          <reference field="14" count="1" selected="0">
            <x v="44"/>
          </reference>
          <reference field="18" count="1" selected="0">
            <x v="0"/>
          </reference>
          <reference field="19" count="1">
            <x v="16"/>
          </reference>
        </references>
      </pivotArea>
    </format>
    <format dxfId="537">
      <pivotArea dataOnly="0" labelOnly="1" outline="0" fieldPosition="0">
        <references count="4">
          <reference field="11" count="1" selected="0">
            <x v="317"/>
          </reference>
          <reference field="14" count="1" selected="0">
            <x v="70"/>
          </reference>
          <reference field="18" count="1" selected="0">
            <x v="0"/>
          </reference>
          <reference field="19" count="1">
            <x v="16"/>
          </reference>
        </references>
      </pivotArea>
    </format>
    <format dxfId="536">
      <pivotArea dataOnly="0" labelOnly="1" outline="0" fieldPosition="0">
        <references count="4">
          <reference field="11" count="1" selected="0">
            <x v="317"/>
          </reference>
          <reference field="14" count="1" selected="0">
            <x v="70"/>
          </reference>
          <reference field="18" count="1" selected="0">
            <x v="2"/>
          </reference>
          <reference field="19" count="1">
            <x v="22"/>
          </reference>
        </references>
      </pivotArea>
    </format>
    <format dxfId="535">
      <pivotArea dataOnly="0" labelOnly="1" outline="0" fieldPosition="0">
        <references count="4">
          <reference field="11" count="1" selected="0">
            <x v="318"/>
          </reference>
          <reference field="14" count="1" selected="0">
            <x v="68"/>
          </reference>
          <reference field="18" count="1" selected="0">
            <x v="0"/>
          </reference>
          <reference field="19" count="1">
            <x v="16"/>
          </reference>
        </references>
      </pivotArea>
    </format>
    <format dxfId="534">
      <pivotArea dataOnly="0" labelOnly="1" outline="0" fieldPosition="0">
        <references count="4">
          <reference field="11" count="1" selected="0">
            <x v="318"/>
          </reference>
          <reference field="14" count="1" selected="0">
            <x v="68"/>
          </reference>
          <reference field="18" count="1" selected="0">
            <x v="2"/>
          </reference>
          <reference field="19" count="1">
            <x v="22"/>
          </reference>
        </references>
      </pivotArea>
    </format>
    <format dxfId="533">
      <pivotArea dataOnly="0" labelOnly="1" outline="0" fieldPosition="0">
        <references count="4">
          <reference field="11" count="1" selected="0">
            <x v="319"/>
          </reference>
          <reference field="14" count="1" selected="0">
            <x v="69"/>
          </reference>
          <reference field="18" count="1" selected="0">
            <x v="0"/>
          </reference>
          <reference field="19" count="1">
            <x v="16"/>
          </reference>
        </references>
      </pivotArea>
    </format>
    <format dxfId="532">
      <pivotArea dataOnly="0" labelOnly="1" outline="0" fieldPosition="0">
        <references count="4">
          <reference field="11" count="1" selected="0">
            <x v="319"/>
          </reference>
          <reference field="14" count="1" selected="0">
            <x v="69"/>
          </reference>
          <reference field="18" count="1" selected="0">
            <x v="2"/>
          </reference>
          <reference field="19" count="1">
            <x v="22"/>
          </reference>
        </references>
      </pivotArea>
    </format>
    <format dxfId="531">
      <pivotArea dataOnly="0" labelOnly="1" outline="0" fieldPosition="0">
        <references count="4">
          <reference field="11" count="1" selected="0">
            <x v="320"/>
          </reference>
          <reference field="14" count="1" selected="0">
            <x v="35"/>
          </reference>
          <reference field="18" count="1" selected="0">
            <x v="1"/>
          </reference>
          <reference field="19" count="1">
            <x v="18"/>
          </reference>
        </references>
      </pivotArea>
    </format>
    <format dxfId="530">
      <pivotArea dataOnly="0" labelOnly="1" outline="0" fieldPosition="0">
        <references count="4">
          <reference field="11" count="1" selected="0">
            <x v="321"/>
          </reference>
          <reference field="14" count="1" selected="0">
            <x v="456"/>
          </reference>
          <reference field="18" count="1" selected="0">
            <x v="6"/>
          </reference>
          <reference field="19" count="1">
            <x v="23"/>
          </reference>
        </references>
      </pivotArea>
    </format>
    <format dxfId="529">
      <pivotArea dataOnly="0" labelOnly="1" outline="0" fieldPosition="0">
        <references count="4">
          <reference field="11" count="1" selected="0">
            <x v="322"/>
          </reference>
          <reference field="14" count="1" selected="0">
            <x v="243"/>
          </reference>
          <reference field="18" count="1" selected="0">
            <x v="6"/>
          </reference>
          <reference field="19" count="1">
            <x v="23"/>
          </reference>
        </references>
      </pivotArea>
    </format>
    <format dxfId="528">
      <pivotArea dataOnly="0" labelOnly="1" outline="0" fieldPosition="0">
        <references count="4">
          <reference field="11" count="1" selected="0">
            <x v="323"/>
          </reference>
          <reference field="14" count="1" selected="0">
            <x v="428"/>
          </reference>
          <reference field="18" count="1" selected="0">
            <x v="19"/>
          </reference>
          <reference field="19" count="1">
            <x v="2"/>
          </reference>
        </references>
      </pivotArea>
    </format>
    <format dxfId="527">
      <pivotArea dataOnly="0" labelOnly="1" outline="0" fieldPosition="0">
        <references count="4">
          <reference field="11" count="1" selected="0">
            <x v="324"/>
          </reference>
          <reference field="14" count="1" selected="0">
            <x v="9"/>
          </reference>
          <reference field="18" count="1" selected="0">
            <x v="0"/>
          </reference>
          <reference field="19" count="1">
            <x v="16"/>
          </reference>
        </references>
      </pivotArea>
    </format>
    <format dxfId="526">
      <pivotArea dataOnly="0" labelOnly="1" outline="0" fieldPosition="0">
        <references count="4">
          <reference field="11" count="1" selected="0">
            <x v="324"/>
          </reference>
          <reference field="14" count="1" selected="0">
            <x v="9"/>
          </reference>
          <reference field="18" count="1" selected="0">
            <x v="2"/>
          </reference>
          <reference field="19" count="1">
            <x v="22"/>
          </reference>
        </references>
      </pivotArea>
    </format>
    <format dxfId="525">
      <pivotArea dataOnly="0" labelOnly="1" outline="0" fieldPosition="0">
        <references count="4">
          <reference field="11" count="1" selected="0">
            <x v="325"/>
          </reference>
          <reference field="14" count="1" selected="0">
            <x v="225"/>
          </reference>
          <reference field="18" count="1" selected="0">
            <x v="0"/>
          </reference>
          <reference field="19" count="1">
            <x v="16"/>
          </reference>
        </references>
      </pivotArea>
    </format>
    <format dxfId="524">
      <pivotArea dataOnly="0" labelOnly="1" outline="0" fieldPosition="0">
        <references count="4">
          <reference field="11" count="1" selected="0">
            <x v="326"/>
          </reference>
          <reference field="14" count="1" selected="0">
            <x v="370"/>
          </reference>
          <reference field="18" count="1" selected="0">
            <x v="2"/>
          </reference>
          <reference field="19" count="1">
            <x v="22"/>
          </reference>
        </references>
      </pivotArea>
    </format>
    <format dxfId="523">
      <pivotArea dataOnly="0" labelOnly="1" outline="0" fieldPosition="0">
        <references count="4">
          <reference field="11" count="1" selected="0">
            <x v="327"/>
          </reference>
          <reference field="14" count="1" selected="0">
            <x v="60"/>
          </reference>
          <reference field="18" count="1" selected="0">
            <x v="2"/>
          </reference>
          <reference field="19" count="1">
            <x v="22"/>
          </reference>
        </references>
      </pivotArea>
    </format>
    <format dxfId="522">
      <pivotArea dataOnly="0" labelOnly="1" outline="0" fieldPosition="0">
        <references count="4">
          <reference field="11" count="1" selected="0">
            <x v="327"/>
          </reference>
          <reference field="14" count="1" selected="0">
            <x v="60"/>
          </reference>
          <reference field="18" count="1" selected="0">
            <x v="14"/>
          </reference>
          <reference field="19" count="1">
            <x v="9"/>
          </reference>
        </references>
      </pivotArea>
    </format>
    <format dxfId="521">
      <pivotArea dataOnly="0" labelOnly="1" outline="0" fieldPosition="0">
        <references count="4">
          <reference field="11" count="1" selected="0">
            <x v="328"/>
          </reference>
          <reference field="14" count="1" selected="0">
            <x v="159"/>
          </reference>
          <reference field="18" count="1" selected="0">
            <x v="2"/>
          </reference>
          <reference field="19" count="1">
            <x v="22"/>
          </reference>
        </references>
      </pivotArea>
    </format>
    <format dxfId="520">
      <pivotArea dataOnly="0" labelOnly="1" outline="0" fieldPosition="0">
        <references count="4">
          <reference field="11" count="1" selected="0">
            <x v="329"/>
          </reference>
          <reference field="14" count="1" selected="0">
            <x v="134"/>
          </reference>
          <reference field="18" count="1" selected="0">
            <x v="2"/>
          </reference>
          <reference field="19" count="1">
            <x v="22"/>
          </reference>
        </references>
      </pivotArea>
    </format>
    <format dxfId="519">
      <pivotArea dataOnly="0" labelOnly="1" outline="0" fieldPosition="0">
        <references count="4">
          <reference field="11" count="1" selected="0">
            <x v="330"/>
          </reference>
          <reference field="14" count="1" selected="0">
            <x v="170"/>
          </reference>
          <reference field="18" count="1" selected="0">
            <x v="2"/>
          </reference>
          <reference field="19" count="1">
            <x v="22"/>
          </reference>
        </references>
      </pivotArea>
    </format>
    <format dxfId="518">
      <pivotArea dataOnly="0" labelOnly="1" outline="0" fieldPosition="0">
        <references count="4">
          <reference field="11" count="1" selected="0">
            <x v="331"/>
          </reference>
          <reference field="14" count="1" selected="0">
            <x v="132"/>
          </reference>
          <reference field="18" count="1" selected="0">
            <x v="6"/>
          </reference>
          <reference field="19" count="1">
            <x v="23"/>
          </reference>
        </references>
      </pivotArea>
    </format>
    <format dxfId="517">
      <pivotArea dataOnly="0" labelOnly="1" outline="0" fieldPosition="0">
        <references count="4">
          <reference field="11" count="1" selected="0">
            <x v="332"/>
          </reference>
          <reference field="14" count="1" selected="0">
            <x v="74"/>
          </reference>
          <reference field="18" count="1" selected="0">
            <x v="16"/>
          </reference>
          <reference field="19" count="1">
            <x v="24"/>
          </reference>
        </references>
      </pivotArea>
    </format>
    <format dxfId="516">
      <pivotArea dataOnly="0" labelOnly="1" outline="0" fieldPosition="0">
        <references count="4">
          <reference field="11" count="1" selected="0">
            <x v="332"/>
          </reference>
          <reference field="14" count="1" selected="0">
            <x v="74"/>
          </reference>
          <reference field="18" count="1" selected="0">
            <x v="21"/>
          </reference>
          <reference field="19" count="1">
            <x v="27"/>
          </reference>
        </references>
      </pivotArea>
    </format>
    <format dxfId="515">
      <pivotArea dataOnly="0" labelOnly="1" outline="0" fieldPosition="0">
        <references count="4">
          <reference field="11" count="1" selected="0">
            <x v="333"/>
          </reference>
          <reference field="14" count="1" selected="0">
            <x v="202"/>
          </reference>
          <reference field="18" count="1" selected="0">
            <x v="3"/>
          </reference>
          <reference field="19" count="1">
            <x v="15"/>
          </reference>
        </references>
      </pivotArea>
    </format>
    <format dxfId="514">
      <pivotArea dataOnly="0" labelOnly="1" outline="0" fieldPosition="0">
        <references count="4">
          <reference field="11" count="1" selected="0">
            <x v="334"/>
          </reference>
          <reference field="14" count="1" selected="0">
            <x v="384"/>
          </reference>
          <reference field="18" count="1" selected="0">
            <x v="0"/>
          </reference>
          <reference field="19" count="1">
            <x v="16"/>
          </reference>
        </references>
      </pivotArea>
    </format>
    <format dxfId="513">
      <pivotArea dataOnly="0" labelOnly="1" outline="0" fieldPosition="0">
        <references count="4">
          <reference field="11" count="1" selected="0">
            <x v="334"/>
          </reference>
          <reference field="14" count="1" selected="0">
            <x v="384"/>
          </reference>
          <reference field="18" count="1" selected="0">
            <x v="2"/>
          </reference>
          <reference field="19" count="1">
            <x v="22"/>
          </reference>
        </references>
      </pivotArea>
    </format>
    <format dxfId="512">
      <pivotArea dataOnly="0" labelOnly="1" outline="0" fieldPosition="0">
        <references count="4">
          <reference field="11" count="1" selected="0">
            <x v="335"/>
          </reference>
          <reference field="14" count="1" selected="0">
            <x v="309"/>
          </reference>
          <reference field="18" count="1" selected="0">
            <x v="19"/>
          </reference>
          <reference field="19" count="1">
            <x v="2"/>
          </reference>
        </references>
      </pivotArea>
    </format>
    <format dxfId="511">
      <pivotArea dataOnly="0" labelOnly="1" outline="0" fieldPosition="0">
        <references count="4">
          <reference field="11" count="1" selected="0">
            <x v="336"/>
          </reference>
          <reference field="14" count="1" selected="0">
            <x v="382"/>
          </reference>
          <reference field="18" count="1" selected="0">
            <x v="3"/>
          </reference>
          <reference field="19" count="1">
            <x v="15"/>
          </reference>
        </references>
      </pivotArea>
    </format>
    <format dxfId="510">
      <pivotArea dataOnly="0" labelOnly="1" outline="0" fieldPosition="0">
        <references count="4">
          <reference field="11" count="1" selected="0">
            <x v="337"/>
          </reference>
          <reference field="14" count="1" selected="0">
            <x v="71"/>
          </reference>
          <reference field="18" count="1" selected="0">
            <x v="0"/>
          </reference>
          <reference field="19" count="1">
            <x v="16"/>
          </reference>
        </references>
      </pivotArea>
    </format>
    <format dxfId="509">
      <pivotArea dataOnly="0" labelOnly="1" outline="0" fieldPosition="0">
        <references count="4">
          <reference field="11" count="1" selected="0">
            <x v="338"/>
          </reference>
          <reference field="14" count="1" selected="0">
            <x v="314"/>
          </reference>
          <reference field="18" count="1" selected="0">
            <x v="19"/>
          </reference>
          <reference field="19" count="1">
            <x v="2"/>
          </reference>
        </references>
      </pivotArea>
    </format>
    <format dxfId="508">
      <pivotArea dataOnly="0" labelOnly="1" outline="0" fieldPosition="0">
        <references count="4">
          <reference field="11" count="1" selected="0">
            <x v="339"/>
          </reference>
          <reference field="14" count="1" selected="0">
            <x v="160"/>
          </reference>
          <reference field="18" count="1" selected="0">
            <x v="2"/>
          </reference>
          <reference field="19" count="1">
            <x v="22"/>
          </reference>
        </references>
      </pivotArea>
    </format>
    <format dxfId="507">
      <pivotArea dataOnly="0" labelOnly="1" outline="0" fieldPosition="0">
        <references count="4">
          <reference field="11" count="1" selected="0">
            <x v="340"/>
          </reference>
          <reference field="14" count="1" selected="0">
            <x v="155"/>
          </reference>
          <reference field="18" count="1" selected="0">
            <x v="2"/>
          </reference>
          <reference field="19" count="1">
            <x v="22"/>
          </reference>
        </references>
      </pivotArea>
    </format>
    <format dxfId="506">
      <pivotArea dataOnly="0" labelOnly="1" outline="0" fieldPosition="0">
        <references count="4">
          <reference field="11" count="1" selected="0">
            <x v="341"/>
          </reference>
          <reference field="14" count="1" selected="0">
            <x v="163"/>
          </reference>
          <reference field="18" count="1" selected="0">
            <x v="2"/>
          </reference>
          <reference field="19" count="1">
            <x v="22"/>
          </reference>
        </references>
      </pivotArea>
    </format>
    <format dxfId="505">
      <pivotArea dataOnly="0" labelOnly="1" outline="0" fieldPosition="0">
        <references count="4">
          <reference field="11" count="1" selected="0">
            <x v="342"/>
          </reference>
          <reference field="14" count="1" selected="0">
            <x v="156"/>
          </reference>
          <reference field="18" count="1" selected="0">
            <x v="2"/>
          </reference>
          <reference field="19" count="1">
            <x v="22"/>
          </reference>
        </references>
      </pivotArea>
    </format>
    <format dxfId="504">
      <pivotArea dataOnly="0" labelOnly="1" outline="0" fieldPosition="0">
        <references count="4">
          <reference field="11" count="1" selected="0">
            <x v="343"/>
          </reference>
          <reference field="14" count="1" selected="0">
            <x v="293"/>
          </reference>
          <reference field="18" count="1" selected="0">
            <x v="2"/>
          </reference>
          <reference field="19" count="1">
            <x v="22"/>
          </reference>
        </references>
      </pivotArea>
    </format>
    <format dxfId="503">
      <pivotArea dataOnly="0" labelOnly="1" outline="0" fieldPosition="0">
        <references count="4">
          <reference field="11" count="1" selected="0">
            <x v="343"/>
          </reference>
          <reference field="14" count="1" selected="0">
            <x v="293"/>
          </reference>
          <reference field="18" count="1" selected="0">
            <x v="3"/>
          </reference>
          <reference field="19" count="1">
            <x v="15"/>
          </reference>
        </references>
      </pivotArea>
    </format>
    <format dxfId="502">
      <pivotArea dataOnly="0" labelOnly="1" outline="0" fieldPosition="0">
        <references count="4">
          <reference field="11" count="1" selected="0">
            <x v="344"/>
          </reference>
          <reference field="14" count="1" selected="0">
            <x v="253"/>
          </reference>
          <reference field="18" count="1" selected="0">
            <x v="0"/>
          </reference>
          <reference field="19" count="1">
            <x v="16"/>
          </reference>
        </references>
      </pivotArea>
    </format>
    <format dxfId="501">
      <pivotArea dataOnly="0" labelOnly="1" outline="0" fieldPosition="0">
        <references count="4">
          <reference field="11" count="1" selected="0">
            <x v="345"/>
          </reference>
          <reference field="14" count="1" selected="0">
            <x v="209"/>
          </reference>
          <reference field="18" count="1" selected="0">
            <x v="0"/>
          </reference>
          <reference field="19" count="1">
            <x v="16"/>
          </reference>
        </references>
      </pivotArea>
    </format>
    <format dxfId="500">
      <pivotArea dataOnly="0" labelOnly="1" outline="0" fieldPosition="0">
        <references count="4">
          <reference field="11" count="1" selected="0">
            <x v="345"/>
          </reference>
          <reference field="14" count="1" selected="0">
            <x v="209"/>
          </reference>
          <reference field="18" count="1" selected="0">
            <x v="1"/>
          </reference>
          <reference field="19" count="1">
            <x v="18"/>
          </reference>
        </references>
      </pivotArea>
    </format>
    <format dxfId="499">
      <pivotArea dataOnly="0" labelOnly="1" outline="0" fieldPosition="0">
        <references count="4">
          <reference field="11" count="1" selected="0">
            <x v="345"/>
          </reference>
          <reference field="14" count="1" selected="0">
            <x v="209"/>
          </reference>
          <reference field="18" count="1" selected="0">
            <x v="11"/>
          </reference>
          <reference field="19" count="1">
            <x v="20"/>
          </reference>
        </references>
      </pivotArea>
    </format>
    <format dxfId="498">
      <pivotArea dataOnly="0" labelOnly="1" outline="0" fieldPosition="0">
        <references count="4">
          <reference field="11" count="1" selected="0">
            <x v="346"/>
          </reference>
          <reference field="14" count="1" selected="0">
            <x v="315"/>
          </reference>
          <reference field="18" count="1" selected="0">
            <x v="3"/>
          </reference>
          <reference field="19" count="1">
            <x v="15"/>
          </reference>
        </references>
      </pivotArea>
    </format>
    <format dxfId="497">
      <pivotArea dataOnly="0" labelOnly="1" outline="0" fieldPosition="0">
        <references count="4">
          <reference field="11" count="1" selected="0">
            <x v="347"/>
          </reference>
          <reference field="14" count="1" selected="0">
            <x v="257"/>
          </reference>
          <reference field="18" count="1" selected="0">
            <x v="0"/>
          </reference>
          <reference field="19" count="1">
            <x v="16"/>
          </reference>
        </references>
      </pivotArea>
    </format>
    <format dxfId="496">
      <pivotArea dataOnly="0" labelOnly="1" outline="0" fieldPosition="0">
        <references count="4">
          <reference field="11" count="1" selected="0">
            <x v="348"/>
          </reference>
          <reference field="14" count="1" selected="0">
            <x v="448"/>
          </reference>
          <reference field="18" count="1" selected="0">
            <x v="19"/>
          </reference>
          <reference field="19" count="1">
            <x v="2"/>
          </reference>
        </references>
      </pivotArea>
    </format>
    <format dxfId="495">
      <pivotArea dataOnly="0" labelOnly="1" outline="0" fieldPosition="0">
        <references count="4">
          <reference field="11" count="1" selected="0">
            <x v="349"/>
          </reference>
          <reference field="14" count="1" selected="0">
            <x v="331"/>
          </reference>
          <reference field="18" count="1" selected="0">
            <x v="6"/>
          </reference>
          <reference field="19" count="1">
            <x v="23"/>
          </reference>
        </references>
      </pivotArea>
    </format>
    <format dxfId="494">
      <pivotArea dataOnly="0" labelOnly="1" outline="0" fieldPosition="0">
        <references count="4">
          <reference field="11" count="1" selected="0">
            <x v="350"/>
          </reference>
          <reference field="14" count="1" selected="0">
            <x v="221"/>
          </reference>
          <reference field="18" count="1" selected="0">
            <x v="6"/>
          </reference>
          <reference field="19" count="1">
            <x v="23"/>
          </reference>
        </references>
      </pivotArea>
    </format>
    <format dxfId="493">
      <pivotArea dataOnly="0" labelOnly="1" outline="0" fieldPosition="0">
        <references count="4">
          <reference field="11" count="1" selected="0">
            <x v="351"/>
          </reference>
          <reference field="14" count="1" selected="0">
            <x v="199"/>
          </reference>
          <reference field="18" count="1" selected="0">
            <x v="27"/>
          </reference>
          <reference field="19" count="1">
            <x v="17"/>
          </reference>
        </references>
      </pivotArea>
    </format>
    <format dxfId="492">
      <pivotArea dataOnly="0" labelOnly="1" outline="0" fieldPosition="0">
        <references count="4">
          <reference field="11" count="1" selected="0">
            <x v="352"/>
          </reference>
          <reference field="14" count="1" selected="0">
            <x v="78"/>
          </reference>
          <reference field="18" count="1" selected="0">
            <x v="1"/>
          </reference>
          <reference field="19" count="1">
            <x v="18"/>
          </reference>
        </references>
      </pivotArea>
    </format>
    <format dxfId="491">
      <pivotArea dataOnly="0" labelOnly="1" outline="0" fieldPosition="0">
        <references count="4">
          <reference field="11" count="1" selected="0">
            <x v="353"/>
          </reference>
          <reference field="14" count="1" selected="0">
            <x v="18"/>
          </reference>
          <reference field="18" count="1" selected="0">
            <x v="6"/>
          </reference>
          <reference field="19" count="1">
            <x v="23"/>
          </reference>
        </references>
      </pivotArea>
    </format>
    <format dxfId="490">
      <pivotArea dataOnly="0" labelOnly="1" outline="0" fieldPosition="0">
        <references count="4">
          <reference field="11" count="1" selected="0">
            <x v="354"/>
          </reference>
          <reference field="14" count="1" selected="0">
            <x v="135"/>
          </reference>
          <reference field="18" count="1" selected="0">
            <x v="6"/>
          </reference>
          <reference field="19" count="1">
            <x v="23"/>
          </reference>
        </references>
      </pivotArea>
    </format>
    <format dxfId="489">
      <pivotArea dataOnly="0" labelOnly="1" outline="0" fieldPosition="0">
        <references count="4">
          <reference field="11" count="1" selected="0">
            <x v="355"/>
          </reference>
          <reference field="14" count="1" selected="0">
            <x v="296"/>
          </reference>
          <reference field="18" count="1" selected="0">
            <x v="6"/>
          </reference>
          <reference field="19" count="1">
            <x v="23"/>
          </reference>
        </references>
      </pivotArea>
    </format>
    <format dxfId="488">
      <pivotArea dataOnly="0" labelOnly="1" outline="0" fieldPosition="0">
        <references count="4">
          <reference field="11" count="1" selected="0">
            <x v="356"/>
          </reference>
          <reference field="14" count="1" selected="0">
            <x v="299"/>
          </reference>
          <reference field="18" count="1" selected="0">
            <x v="6"/>
          </reference>
          <reference field="19" count="1">
            <x v="23"/>
          </reference>
        </references>
      </pivotArea>
    </format>
    <format dxfId="487">
      <pivotArea dataOnly="0" labelOnly="1" outline="0" fieldPosition="0">
        <references count="4">
          <reference field="11" count="1" selected="0">
            <x v="357"/>
          </reference>
          <reference field="14" count="1" selected="0">
            <x v="298"/>
          </reference>
          <reference field="18" count="1" selected="0">
            <x v="6"/>
          </reference>
          <reference field="19" count="1">
            <x v="23"/>
          </reference>
        </references>
      </pivotArea>
    </format>
    <format dxfId="486">
      <pivotArea dataOnly="0" labelOnly="1" outline="0" fieldPosition="0">
        <references count="4">
          <reference field="11" count="1" selected="0">
            <x v="358"/>
          </reference>
          <reference field="14" count="1" selected="0">
            <x v="292"/>
          </reference>
          <reference field="18" count="1" selected="0">
            <x v="3"/>
          </reference>
          <reference field="19" count="1">
            <x v="15"/>
          </reference>
        </references>
      </pivotArea>
    </format>
    <format dxfId="485">
      <pivotArea dataOnly="0" labelOnly="1" outline="0" fieldPosition="0">
        <references count="4">
          <reference field="11" count="1" selected="0">
            <x v="359"/>
          </reference>
          <reference field="14" count="1" selected="0">
            <x v="39"/>
          </reference>
          <reference field="18" count="1" selected="0">
            <x v="1"/>
          </reference>
          <reference field="19" count="1">
            <x v="18"/>
          </reference>
        </references>
      </pivotArea>
    </format>
    <format dxfId="484">
      <pivotArea dataOnly="0" labelOnly="1" outline="0" fieldPosition="0">
        <references count="4">
          <reference field="11" count="1" selected="0">
            <x v="360"/>
          </reference>
          <reference field="14" count="1" selected="0">
            <x v="24"/>
          </reference>
          <reference field="18" count="1" selected="0">
            <x v="5"/>
          </reference>
          <reference field="19" count="1">
            <x v="1"/>
          </reference>
        </references>
      </pivotArea>
    </format>
    <format dxfId="483">
      <pivotArea dataOnly="0" labelOnly="1" outline="0" fieldPosition="0">
        <references count="4">
          <reference field="11" count="1" selected="0">
            <x v="361"/>
          </reference>
          <reference field="14" count="1" selected="0">
            <x v="352"/>
          </reference>
          <reference field="18" count="1" selected="0">
            <x v="5"/>
          </reference>
          <reference field="19" count="1">
            <x v="1"/>
          </reference>
        </references>
      </pivotArea>
    </format>
    <format dxfId="482">
      <pivotArea dataOnly="0" labelOnly="1" outline="0" fieldPosition="0">
        <references count="4">
          <reference field="11" count="1" selected="0">
            <x v="362"/>
          </reference>
          <reference field="14" count="1" selected="0">
            <x v="21"/>
          </reference>
          <reference field="18" count="1" selected="0">
            <x v="6"/>
          </reference>
          <reference field="19" count="1">
            <x v="23"/>
          </reference>
        </references>
      </pivotArea>
    </format>
    <format dxfId="481">
      <pivotArea dataOnly="0" labelOnly="1" outline="0" fieldPosition="0">
        <references count="4">
          <reference field="11" count="1" selected="0">
            <x v="363"/>
          </reference>
          <reference field="14" count="1" selected="0">
            <x v="6"/>
          </reference>
          <reference field="18" count="1" selected="0">
            <x v="0"/>
          </reference>
          <reference field="19" count="1">
            <x v="16"/>
          </reference>
        </references>
      </pivotArea>
    </format>
    <format dxfId="480">
      <pivotArea dataOnly="0" labelOnly="1" outline="0" fieldPosition="0">
        <references count="4">
          <reference field="11" count="1" selected="0">
            <x v="364"/>
          </reference>
          <reference field="14" count="1" selected="0">
            <x v="212"/>
          </reference>
          <reference field="18" count="1" selected="0">
            <x v="14"/>
          </reference>
          <reference field="19" count="1">
            <x v="9"/>
          </reference>
        </references>
      </pivotArea>
    </format>
    <format dxfId="479">
      <pivotArea dataOnly="0" labelOnly="1" outline="0" fieldPosition="0">
        <references count="4">
          <reference field="11" count="1" selected="0">
            <x v="365"/>
          </reference>
          <reference field="14" count="1" selected="0">
            <x v="284"/>
          </reference>
          <reference field="18" count="1" selected="0">
            <x v="0"/>
          </reference>
          <reference field="19" count="1">
            <x v="16"/>
          </reference>
        </references>
      </pivotArea>
    </format>
    <format dxfId="478">
      <pivotArea dataOnly="0" labelOnly="1" outline="0" fieldPosition="0">
        <references count="4">
          <reference field="11" count="1" selected="0">
            <x v="366"/>
          </reference>
          <reference field="14" count="1" selected="0">
            <x v="254"/>
          </reference>
          <reference field="18" count="1" selected="0">
            <x v="0"/>
          </reference>
          <reference field="19" count="1">
            <x v="16"/>
          </reference>
        </references>
      </pivotArea>
    </format>
    <format dxfId="477">
      <pivotArea dataOnly="0" labelOnly="1" outline="0" fieldPosition="0">
        <references count="4">
          <reference field="11" count="1" selected="0">
            <x v="367"/>
          </reference>
          <reference field="14" count="1" selected="0">
            <x v="457"/>
          </reference>
          <reference field="18" count="1" selected="0">
            <x v="0"/>
          </reference>
          <reference field="19" count="1">
            <x v="16"/>
          </reference>
        </references>
      </pivotArea>
    </format>
    <format dxfId="476">
      <pivotArea dataOnly="0" labelOnly="1" outline="0" fieldPosition="0">
        <references count="4">
          <reference field="11" count="1" selected="0">
            <x v="368"/>
          </reference>
          <reference field="14" count="1" selected="0">
            <x v="2"/>
          </reference>
          <reference field="18" count="1" selected="0">
            <x v="19"/>
          </reference>
          <reference field="19" count="1">
            <x v="2"/>
          </reference>
        </references>
      </pivotArea>
    </format>
    <format dxfId="475">
      <pivotArea dataOnly="0" labelOnly="1" outline="0" fieldPosition="0">
        <references count="4">
          <reference field="11" count="1" selected="0">
            <x v="369"/>
          </reference>
          <reference field="14" count="1" selected="0">
            <x v="147"/>
          </reference>
          <reference field="18" count="1" selected="0">
            <x v="12"/>
          </reference>
          <reference field="19" count="1">
            <x v="13"/>
          </reference>
        </references>
      </pivotArea>
    </format>
    <format dxfId="474">
      <pivotArea dataOnly="0" labelOnly="1" outline="0" fieldPosition="0">
        <references count="4">
          <reference field="11" count="1" selected="0">
            <x v="369"/>
          </reference>
          <reference field="14" count="1" selected="0">
            <x v="147"/>
          </reference>
          <reference field="18" count="1" selected="0">
            <x v="14"/>
          </reference>
          <reference field="19" count="1">
            <x v="9"/>
          </reference>
        </references>
      </pivotArea>
    </format>
    <format dxfId="473">
      <pivotArea dataOnly="0" labelOnly="1" outline="0" fieldPosition="0">
        <references count="4">
          <reference field="11" count="1" selected="0">
            <x v="370"/>
          </reference>
          <reference field="14" count="1" selected="0">
            <x v="112"/>
          </reference>
          <reference field="18" count="1" selected="0">
            <x v="19"/>
          </reference>
          <reference field="19" count="1">
            <x v="2"/>
          </reference>
        </references>
      </pivotArea>
    </format>
    <format dxfId="472">
      <pivotArea dataOnly="0" labelOnly="1" outline="0" fieldPosition="0">
        <references count="4">
          <reference field="11" count="1" selected="0">
            <x v="371"/>
          </reference>
          <reference field="14" count="1" selected="0">
            <x v="81"/>
          </reference>
          <reference field="18" count="1" selected="0">
            <x v="1"/>
          </reference>
          <reference field="19" count="1">
            <x v="18"/>
          </reference>
        </references>
      </pivotArea>
    </format>
    <format dxfId="471">
      <pivotArea dataOnly="0" labelOnly="1" outline="0" fieldPosition="0">
        <references count="4">
          <reference field="11" count="1" selected="0">
            <x v="372"/>
          </reference>
          <reference field="14" count="1" selected="0">
            <x v="82"/>
          </reference>
          <reference field="18" count="1" selected="0">
            <x v="1"/>
          </reference>
          <reference field="19" count="1">
            <x v="18"/>
          </reference>
        </references>
      </pivotArea>
    </format>
    <format dxfId="470">
      <pivotArea dataOnly="0" labelOnly="1" outline="0" fieldPosition="0">
        <references count="4">
          <reference field="11" count="1" selected="0">
            <x v="373"/>
          </reference>
          <reference field="14" count="1" selected="0">
            <x v="85"/>
          </reference>
          <reference field="18" count="1" selected="0">
            <x v="1"/>
          </reference>
          <reference field="19" count="1">
            <x v="18"/>
          </reference>
        </references>
      </pivotArea>
    </format>
    <format dxfId="469">
      <pivotArea dataOnly="0" labelOnly="1" outline="0" fieldPosition="0">
        <references count="4">
          <reference field="11" count="1" selected="0">
            <x v="374"/>
          </reference>
          <reference field="14" count="1" selected="0">
            <x v="89"/>
          </reference>
          <reference field="18" count="1" selected="0">
            <x v="1"/>
          </reference>
          <reference field="19" count="1">
            <x v="18"/>
          </reference>
        </references>
      </pivotArea>
    </format>
    <format dxfId="468">
      <pivotArea dataOnly="0" labelOnly="1" outline="0" fieldPosition="0">
        <references count="4">
          <reference field="11" count="1" selected="0">
            <x v="375"/>
          </reference>
          <reference field="14" count="1" selected="0">
            <x v="88"/>
          </reference>
          <reference field="18" count="1" selected="0">
            <x v="1"/>
          </reference>
          <reference field="19" count="1">
            <x v="18"/>
          </reference>
        </references>
      </pivotArea>
    </format>
    <format dxfId="467">
      <pivotArea dataOnly="0" labelOnly="1" outline="0" fieldPosition="0">
        <references count="4">
          <reference field="11" count="1" selected="0">
            <x v="376"/>
          </reference>
          <reference field="14" count="1" selected="0">
            <x v="87"/>
          </reference>
          <reference field="18" count="1" selected="0">
            <x v="1"/>
          </reference>
          <reference field="19" count="1">
            <x v="18"/>
          </reference>
        </references>
      </pivotArea>
    </format>
    <format dxfId="466">
      <pivotArea dataOnly="0" labelOnly="1" outline="0" fieldPosition="0">
        <references count="4">
          <reference field="11" count="1" selected="0">
            <x v="377"/>
          </reference>
          <reference field="14" count="1" selected="0">
            <x v="79"/>
          </reference>
          <reference field="18" count="1" selected="0">
            <x v="1"/>
          </reference>
          <reference field="19" count="1">
            <x v="18"/>
          </reference>
        </references>
      </pivotArea>
    </format>
    <format dxfId="465">
      <pivotArea dataOnly="0" labelOnly="1" outline="0" fieldPosition="0">
        <references count="4">
          <reference field="11" count="1" selected="0">
            <x v="378"/>
          </reference>
          <reference field="14" count="1" selected="0">
            <x v="92"/>
          </reference>
          <reference field="18" count="1" selected="0">
            <x v="1"/>
          </reference>
          <reference field="19" count="1">
            <x v="18"/>
          </reference>
        </references>
      </pivotArea>
    </format>
    <format dxfId="464">
      <pivotArea dataOnly="0" labelOnly="1" outline="0" fieldPosition="0">
        <references count="4">
          <reference field="11" count="1" selected="0">
            <x v="379"/>
          </reference>
          <reference field="14" count="1" selected="0">
            <x v="145"/>
          </reference>
          <reference field="18" count="1" selected="0">
            <x v="7"/>
          </reference>
          <reference field="19" count="1">
            <x v="4"/>
          </reference>
        </references>
      </pivotArea>
    </format>
    <format dxfId="463">
      <pivotArea dataOnly="0" labelOnly="1" outline="0" fieldPosition="0">
        <references count="4">
          <reference field="11" count="1" selected="0">
            <x v="379"/>
          </reference>
          <reference field="14" count="1" selected="0">
            <x v="145"/>
          </reference>
          <reference field="18" count="1" selected="0">
            <x v="12"/>
          </reference>
          <reference field="19" count="1">
            <x v="13"/>
          </reference>
        </references>
      </pivotArea>
    </format>
    <format dxfId="462">
      <pivotArea dataOnly="0" labelOnly="1" outline="0" fieldPosition="0">
        <references count="4">
          <reference field="11" count="1" selected="0">
            <x v="380"/>
          </reference>
          <reference field="14" count="1" selected="0">
            <x v="334"/>
          </reference>
          <reference field="18" count="1" selected="0">
            <x v="1"/>
          </reference>
          <reference field="19" count="1">
            <x v="18"/>
          </reference>
        </references>
      </pivotArea>
    </format>
    <format dxfId="461">
      <pivotArea dataOnly="0" labelOnly="1" outline="0" fieldPosition="0">
        <references count="4">
          <reference field="11" count="1" selected="0">
            <x v="381"/>
          </reference>
          <reference field="14" count="1" selected="0">
            <x v="399"/>
          </reference>
          <reference field="18" count="1" selected="0">
            <x v="0"/>
          </reference>
          <reference field="19" count="1">
            <x v="16"/>
          </reference>
        </references>
      </pivotArea>
    </format>
    <format dxfId="460">
      <pivotArea dataOnly="0" labelOnly="1" outline="0" fieldPosition="0">
        <references count="4">
          <reference field="11" count="1" selected="0">
            <x v="381"/>
          </reference>
          <reference field="14" count="1" selected="0">
            <x v="399"/>
          </reference>
          <reference field="18" count="1" selected="0">
            <x v="4"/>
          </reference>
          <reference field="19" count="1">
            <x v="10"/>
          </reference>
        </references>
      </pivotArea>
    </format>
    <format dxfId="459">
      <pivotArea dataOnly="0" labelOnly="1" outline="0" fieldPosition="0">
        <references count="4">
          <reference field="11" count="1" selected="0">
            <x v="382"/>
          </reference>
          <reference field="14" count="1" selected="0">
            <x v="400"/>
          </reference>
          <reference field="18" count="1" selected="0">
            <x v="25"/>
          </reference>
          <reference field="19" count="1">
            <x v="14"/>
          </reference>
        </references>
      </pivotArea>
    </format>
    <format dxfId="458">
      <pivotArea dataOnly="0" labelOnly="1" outline="0" fieldPosition="0">
        <references count="4">
          <reference field="11" count="1" selected="0">
            <x v="383"/>
          </reference>
          <reference field="14" count="1" selected="0">
            <x v="364"/>
          </reference>
          <reference field="18" count="1" selected="0">
            <x v="18"/>
          </reference>
          <reference field="19" count="1">
            <x v="26"/>
          </reference>
        </references>
      </pivotArea>
    </format>
    <format dxfId="457">
      <pivotArea dataOnly="0" labelOnly="1" outline="0" fieldPosition="0">
        <references count="4">
          <reference field="11" count="1" selected="0">
            <x v="384"/>
          </reference>
          <reference field="14" count="1" selected="0">
            <x v="211"/>
          </reference>
          <reference field="18" count="1" selected="0">
            <x v="0"/>
          </reference>
          <reference field="19" count="1">
            <x v="16"/>
          </reference>
        </references>
      </pivotArea>
    </format>
    <format dxfId="456">
      <pivotArea dataOnly="0" labelOnly="1" outline="0" fieldPosition="0">
        <references count="4">
          <reference field="11" count="1" selected="0">
            <x v="385"/>
          </reference>
          <reference field="14" count="1" selected="0">
            <x v="7"/>
          </reference>
          <reference field="18" count="1" selected="0">
            <x v="12"/>
          </reference>
          <reference field="19" count="1">
            <x v="13"/>
          </reference>
        </references>
      </pivotArea>
    </format>
    <format dxfId="455">
      <pivotArea dataOnly="0" labelOnly="1" outline="0" fieldPosition="0">
        <references count="4">
          <reference field="11" count="1" selected="0">
            <x v="385"/>
          </reference>
          <reference field="14" count="1" selected="0">
            <x v="7"/>
          </reference>
          <reference field="18" count="1" selected="0">
            <x v="14"/>
          </reference>
          <reference field="19" count="1">
            <x v="9"/>
          </reference>
        </references>
      </pivotArea>
    </format>
    <format dxfId="454">
      <pivotArea dataOnly="0" labelOnly="1" outline="0" fieldPosition="0">
        <references count="4">
          <reference field="11" count="1" selected="0">
            <x v="386"/>
          </reference>
          <reference field="14" count="1" selected="0">
            <x v="297"/>
          </reference>
          <reference field="18" count="1" selected="0">
            <x v="6"/>
          </reference>
          <reference field="19" count="1">
            <x v="23"/>
          </reference>
        </references>
      </pivotArea>
    </format>
    <format dxfId="453">
      <pivotArea dataOnly="0" labelOnly="1" outline="0" fieldPosition="0">
        <references count="4">
          <reference field="11" count="1" selected="0">
            <x v="387"/>
          </reference>
          <reference field="14" count="1" selected="0">
            <x v="408"/>
          </reference>
          <reference field="18" count="1" selected="0">
            <x v="0"/>
          </reference>
          <reference field="19" count="1">
            <x v="16"/>
          </reference>
        </references>
      </pivotArea>
    </format>
    <format dxfId="452">
      <pivotArea dataOnly="0" labelOnly="1" outline="0" fieldPosition="0">
        <references count="4">
          <reference field="11" count="1" selected="0">
            <x v="388"/>
          </reference>
          <reference field="14" count="1" selected="0">
            <x v="190"/>
          </reference>
          <reference field="18" count="1" selected="0">
            <x v="0"/>
          </reference>
          <reference field="19" count="1">
            <x v="16"/>
          </reference>
        </references>
      </pivotArea>
    </format>
    <format dxfId="451">
      <pivotArea dataOnly="0" labelOnly="1" outline="0" fieldPosition="0">
        <references count="4">
          <reference field="11" count="1" selected="0">
            <x v="389"/>
          </reference>
          <reference field="14" count="1" selected="0">
            <x v="140"/>
          </reference>
          <reference field="18" count="1" selected="0">
            <x v="22"/>
          </reference>
          <reference field="19" count="1">
            <x v="11"/>
          </reference>
        </references>
      </pivotArea>
    </format>
    <format dxfId="450">
      <pivotArea dataOnly="0" labelOnly="1" outline="0" fieldPosition="0">
        <references count="4">
          <reference field="11" count="1" selected="0">
            <x v="390"/>
          </reference>
          <reference field="14" count="1" selected="0">
            <x v="445"/>
          </reference>
          <reference field="18" count="1" selected="0">
            <x v="19"/>
          </reference>
          <reference field="19" count="1">
            <x v="2"/>
          </reference>
        </references>
      </pivotArea>
    </format>
    <format dxfId="449">
      <pivotArea dataOnly="0" labelOnly="1" outline="0" fieldPosition="0">
        <references count="4">
          <reference field="11" count="1" selected="0">
            <x v="391"/>
          </reference>
          <reference field="14" count="1" selected="0">
            <x v="422"/>
          </reference>
          <reference field="18" count="1" selected="0">
            <x v="19"/>
          </reference>
          <reference field="19" count="1">
            <x v="2"/>
          </reference>
        </references>
      </pivotArea>
    </format>
    <format dxfId="448">
      <pivotArea dataOnly="0" labelOnly="1" outline="0" fieldPosition="0">
        <references count="4">
          <reference field="11" count="1" selected="0">
            <x v="392"/>
          </reference>
          <reference field="14" count="1" selected="0">
            <x v="198"/>
          </reference>
          <reference field="18" count="1" selected="0">
            <x v="4"/>
          </reference>
          <reference field="19" count="1">
            <x v="10"/>
          </reference>
        </references>
      </pivotArea>
    </format>
    <format dxfId="447">
      <pivotArea dataOnly="0" labelOnly="1" outline="0" fieldPosition="0">
        <references count="4">
          <reference field="11" count="1" selected="0">
            <x v="393"/>
          </reference>
          <reference field="14" count="1" selected="0">
            <x v="205"/>
          </reference>
          <reference field="18" count="1" selected="0">
            <x v="19"/>
          </reference>
          <reference field="19" count="1">
            <x v="2"/>
          </reference>
        </references>
      </pivotArea>
    </format>
    <format dxfId="446">
      <pivotArea dataOnly="0" labelOnly="1" outline="0" fieldPosition="0">
        <references count="4">
          <reference field="11" count="1" selected="0">
            <x v="394"/>
          </reference>
          <reference field="14" count="1" selected="0">
            <x v="53"/>
          </reference>
          <reference field="18" count="1" selected="0">
            <x v="12"/>
          </reference>
          <reference field="19" count="1">
            <x v="13"/>
          </reference>
        </references>
      </pivotArea>
    </format>
    <format dxfId="445">
      <pivotArea dataOnly="0" labelOnly="1" outline="0" fieldPosition="0">
        <references count="4">
          <reference field="11" count="1" selected="0">
            <x v="394"/>
          </reference>
          <reference field="14" count="1" selected="0">
            <x v="53"/>
          </reference>
          <reference field="18" count="1" selected="0">
            <x v="14"/>
          </reference>
          <reference field="19" count="1">
            <x v="9"/>
          </reference>
        </references>
      </pivotArea>
    </format>
    <format dxfId="444">
      <pivotArea dataOnly="0" labelOnly="1" outline="0" fieldPosition="0">
        <references count="4">
          <reference field="11" count="1" selected="0">
            <x v="395"/>
          </reference>
          <reference field="14" count="1" selected="0">
            <x v="245"/>
          </reference>
          <reference field="18" count="1" selected="0">
            <x v="14"/>
          </reference>
          <reference field="19" count="1">
            <x v="9"/>
          </reference>
        </references>
      </pivotArea>
    </format>
    <format dxfId="443">
      <pivotArea dataOnly="0" labelOnly="1" outline="0" fieldPosition="0">
        <references count="4">
          <reference field="11" count="1" selected="0">
            <x v="396"/>
          </reference>
          <reference field="14" count="1" selected="0">
            <x v="169"/>
          </reference>
          <reference field="18" count="1" selected="0">
            <x v="14"/>
          </reference>
          <reference field="19" count="1">
            <x v="9"/>
          </reference>
        </references>
      </pivotArea>
    </format>
    <format dxfId="442">
      <pivotArea dataOnly="0" labelOnly="1" outline="0" fieldPosition="0">
        <references count="4">
          <reference field="11" count="1" selected="0">
            <x v="397"/>
          </reference>
          <reference field="14" count="1" selected="0">
            <x v="167"/>
          </reference>
          <reference field="18" count="1" selected="0">
            <x v="0"/>
          </reference>
          <reference field="19" count="1">
            <x v="16"/>
          </reference>
        </references>
      </pivotArea>
    </format>
    <format dxfId="441">
      <pivotArea dataOnly="0" labelOnly="1" outline="0" fieldPosition="0">
        <references count="4">
          <reference field="11" count="1" selected="0">
            <x v="398"/>
          </reference>
          <reference field="14" count="1" selected="0">
            <x v="360"/>
          </reference>
          <reference field="18" count="1" selected="0">
            <x v="1"/>
          </reference>
          <reference field="19" count="1">
            <x v="18"/>
          </reference>
        </references>
      </pivotArea>
    </format>
    <format dxfId="440">
      <pivotArea dataOnly="0" labelOnly="1" outline="0" fieldPosition="0">
        <references count="4">
          <reference field="11" count="1" selected="0">
            <x v="399"/>
          </reference>
          <reference field="14" count="1" selected="0">
            <x v="95"/>
          </reference>
          <reference field="18" count="1" selected="0">
            <x v="0"/>
          </reference>
          <reference field="19" count="1">
            <x v="16"/>
          </reference>
        </references>
      </pivotArea>
    </format>
    <format dxfId="439">
      <pivotArea dataOnly="0" labelOnly="1" outline="0" fieldPosition="0">
        <references count="4">
          <reference field="11" count="1" selected="0">
            <x v="400"/>
          </reference>
          <reference field="14" count="1" selected="0">
            <x v="260"/>
          </reference>
          <reference field="18" count="1" selected="0">
            <x v="0"/>
          </reference>
          <reference field="19" count="1">
            <x v="16"/>
          </reference>
        </references>
      </pivotArea>
    </format>
    <format dxfId="438">
      <pivotArea dataOnly="0" labelOnly="1" outline="0" fieldPosition="0">
        <references count="4">
          <reference field="11" count="1" selected="0">
            <x v="401"/>
          </reference>
          <reference field="14" count="1" selected="0">
            <x v="75"/>
          </reference>
          <reference field="18" count="1" selected="0">
            <x v="19"/>
          </reference>
          <reference field="19" count="1">
            <x v="2"/>
          </reference>
        </references>
      </pivotArea>
    </format>
    <format dxfId="437">
      <pivotArea dataOnly="0" labelOnly="1" outline="0" fieldPosition="0">
        <references count="4">
          <reference field="11" count="1" selected="0">
            <x v="402"/>
          </reference>
          <reference field="14" count="1" selected="0">
            <x v="322"/>
          </reference>
          <reference field="18" count="1" selected="0">
            <x v="3"/>
          </reference>
          <reference field="19" count="1">
            <x v="15"/>
          </reference>
        </references>
      </pivotArea>
    </format>
    <format dxfId="436">
      <pivotArea dataOnly="0" labelOnly="1" outline="0" fieldPosition="0">
        <references count="4">
          <reference field="11" count="1" selected="0">
            <x v="403"/>
          </reference>
          <reference field="14" count="1" selected="0">
            <x v="146"/>
          </reference>
          <reference field="18" count="1" selected="0">
            <x v="27"/>
          </reference>
          <reference field="19" count="1">
            <x v="17"/>
          </reference>
        </references>
      </pivotArea>
    </format>
    <format dxfId="435">
      <pivotArea dataOnly="0" labelOnly="1" outline="0" fieldPosition="0">
        <references count="4">
          <reference field="11" count="1" selected="0">
            <x v="404"/>
          </reference>
          <reference field="14" count="1" selected="0">
            <x v="443"/>
          </reference>
          <reference field="18" count="1" selected="0">
            <x v="11"/>
          </reference>
          <reference field="19" count="1">
            <x v="20"/>
          </reference>
        </references>
      </pivotArea>
    </format>
    <format dxfId="434">
      <pivotArea dataOnly="0" labelOnly="1" outline="0" fieldPosition="0">
        <references count="4">
          <reference field="11" count="1" selected="0">
            <x v="404"/>
          </reference>
          <reference field="14" count="1" selected="0">
            <x v="443"/>
          </reference>
          <reference field="18" count="1" selected="0">
            <x v="19"/>
          </reference>
          <reference field="19" count="1">
            <x v="2"/>
          </reference>
        </references>
      </pivotArea>
    </format>
    <format dxfId="433">
      <pivotArea dataOnly="0" labelOnly="1" outline="0" fieldPosition="0">
        <references count="4">
          <reference field="11" count="1" selected="0">
            <x v="405"/>
          </reference>
          <reference field="14" count="1" selected="0">
            <x v="359"/>
          </reference>
          <reference field="18" count="1" selected="0">
            <x v="27"/>
          </reference>
          <reference field="19" count="1">
            <x v="17"/>
          </reference>
        </references>
      </pivotArea>
    </format>
    <format dxfId="432">
      <pivotArea dataOnly="0" labelOnly="1" outline="0" fieldPosition="0">
        <references count="4">
          <reference field="11" count="1" selected="0">
            <x v="406"/>
          </reference>
          <reference field="14" count="1" selected="0">
            <x v="381"/>
          </reference>
          <reference field="18" count="1" selected="0">
            <x v="0"/>
          </reference>
          <reference field="19" count="1">
            <x v="16"/>
          </reference>
        </references>
      </pivotArea>
    </format>
    <format dxfId="431">
      <pivotArea dataOnly="0" labelOnly="1" outline="0" fieldPosition="0">
        <references count="4">
          <reference field="11" count="1" selected="0">
            <x v="407"/>
          </reference>
          <reference field="14" count="1" selected="0">
            <x v="65"/>
          </reference>
          <reference field="18" count="1" selected="0">
            <x v="6"/>
          </reference>
          <reference field="19" count="1">
            <x v="23"/>
          </reference>
        </references>
      </pivotArea>
    </format>
    <format dxfId="430">
      <pivotArea dataOnly="0" labelOnly="1" outline="0" fieldPosition="0">
        <references count="4">
          <reference field="11" count="1" selected="0">
            <x v="408"/>
          </reference>
          <reference field="14" count="1" selected="0">
            <x v="20"/>
          </reference>
          <reference field="18" count="1" selected="0">
            <x v="3"/>
          </reference>
          <reference field="19" count="1">
            <x v="15"/>
          </reference>
        </references>
      </pivotArea>
    </format>
    <format dxfId="429">
      <pivotArea dataOnly="0" labelOnly="1" outline="0" fieldPosition="0">
        <references count="4">
          <reference field="11" count="1" selected="0">
            <x v="409"/>
          </reference>
          <reference field="14" count="1" selected="0">
            <x v="175"/>
          </reference>
          <reference field="18" count="1" selected="0">
            <x v="3"/>
          </reference>
          <reference field="19" count="1">
            <x v="15"/>
          </reference>
        </references>
      </pivotArea>
    </format>
    <format dxfId="428">
      <pivotArea dataOnly="0" labelOnly="1" outline="0" fieldPosition="0">
        <references count="4">
          <reference field="11" count="1" selected="0">
            <x v="410"/>
          </reference>
          <reference field="14" count="1" selected="0">
            <x v="366"/>
          </reference>
          <reference field="18" count="1" selected="0">
            <x v="3"/>
          </reference>
          <reference field="19" count="1">
            <x v="15"/>
          </reference>
        </references>
      </pivotArea>
    </format>
    <format dxfId="427">
      <pivotArea dataOnly="0" labelOnly="1" outline="0" fieldPosition="0">
        <references count="4">
          <reference field="11" count="1" selected="0">
            <x v="411"/>
          </reference>
          <reference field="14" count="1" selected="0">
            <x v="204"/>
          </reference>
          <reference field="18" count="1" selected="0">
            <x v="7"/>
          </reference>
          <reference field="19" count="1">
            <x v="4"/>
          </reference>
        </references>
      </pivotArea>
    </format>
    <format dxfId="426">
      <pivotArea dataOnly="0" labelOnly="1" outline="0" fieldPosition="0">
        <references count="4">
          <reference field="11" count="1" selected="0">
            <x v="412"/>
          </reference>
          <reference field="14" count="1" selected="0">
            <x v="441"/>
          </reference>
          <reference field="18" count="1" selected="0">
            <x v="19"/>
          </reference>
          <reference field="19" count="1">
            <x v="2"/>
          </reference>
        </references>
      </pivotArea>
    </format>
    <format dxfId="425">
      <pivotArea dataOnly="0" labelOnly="1" outline="0" fieldPosition="0">
        <references count="4">
          <reference field="11" count="1" selected="0">
            <x v="413"/>
          </reference>
          <reference field="14" count="1" selected="0">
            <x v="73"/>
          </reference>
          <reference field="18" count="1" selected="0">
            <x v="22"/>
          </reference>
          <reference field="19" count="1">
            <x v="11"/>
          </reference>
        </references>
      </pivotArea>
    </format>
    <format dxfId="424">
      <pivotArea dataOnly="0" labelOnly="1" outline="0" fieldPosition="0">
        <references count="4">
          <reference field="11" count="1" selected="0">
            <x v="414"/>
          </reference>
          <reference field="14" count="1" selected="0">
            <x v="125"/>
          </reference>
          <reference field="18" count="1" selected="0">
            <x v="14"/>
          </reference>
          <reference field="19" count="1">
            <x v="9"/>
          </reference>
        </references>
      </pivotArea>
    </format>
    <format dxfId="423">
      <pivotArea dataOnly="0" labelOnly="1" outline="0" fieldPosition="0">
        <references count="4">
          <reference field="11" count="1" selected="0">
            <x v="415"/>
          </reference>
          <reference field="14" count="1" selected="0">
            <x v="324"/>
          </reference>
          <reference field="18" count="1" selected="0">
            <x v="0"/>
          </reference>
          <reference field="19" count="1">
            <x v="16"/>
          </reference>
        </references>
      </pivotArea>
    </format>
    <format dxfId="422">
      <pivotArea dataOnly="0" labelOnly="1" outline="0" fieldPosition="0">
        <references count="4">
          <reference field="11" count="1" selected="0">
            <x v="416"/>
          </reference>
          <reference field="14" count="1" selected="0">
            <x v="108"/>
          </reference>
          <reference field="18" count="1" selected="0">
            <x v="0"/>
          </reference>
          <reference field="19" count="1">
            <x v="16"/>
          </reference>
        </references>
      </pivotArea>
    </format>
    <format dxfId="421">
      <pivotArea dataOnly="0" labelOnly="1" outline="0" fieldPosition="0">
        <references count="4">
          <reference field="11" count="1" selected="0">
            <x v="417"/>
          </reference>
          <reference field="14" count="1" selected="0">
            <x v="109"/>
          </reference>
          <reference field="18" count="1" selected="0">
            <x v="1"/>
          </reference>
          <reference field="19" count="1">
            <x v="18"/>
          </reference>
        </references>
      </pivotArea>
    </format>
    <format dxfId="420">
      <pivotArea dataOnly="0" labelOnly="1" outline="0" fieldPosition="0">
        <references count="4">
          <reference field="11" count="1" selected="0">
            <x v="418"/>
          </reference>
          <reference field="14" count="1" selected="0">
            <x v="110"/>
          </reference>
          <reference field="18" count="1" selected="0">
            <x v="3"/>
          </reference>
          <reference field="19" count="1">
            <x v="15"/>
          </reference>
        </references>
      </pivotArea>
    </format>
    <format dxfId="419">
      <pivotArea dataOnly="0" labelOnly="1" outline="0" fieldPosition="0">
        <references count="4">
          <reference field="11" count="1" selected="0">
            <x v="418"/>
          </reference>
          <reference field="14" count="1" selected="0">
            <x v="110"/>
          </reference>
          <reference field="18" count="1" selected="0">
            <x v="9"/>
          </reference>
          <reference field="19" count="1">
            <x v="6"/>
          </reference>
        </references>
      </pivotArea>
    </format>
    <format dxfId="418">
      <pivotArea dataOnly="0" labelOnly="1" outline="0" fieldPosition="0">
        <references count="4">
          <reference field="11" count="1" selected="0">
            <x v="419"/>
          </reference>
          <reference field="14" count="1" selected="0">
            <x v="107"/>
          </reference>
          <reference field="18" count="1" selected="0">
            <x v="0"/>
          </reference>
          <reference field="19" count="1">
            <x v="16"/>
          </reference>
        </references>
      </pivotArea>
    </format>
    <format dxfId="417">
      <pivotArea dataOnly="0" labelOnly="1" outline="0" fieldPosition="0">
        <references count="4">
          <reference field="11" count="1" selected="0">
            <x v="420"/>
          </reference>
          <reference field="14" count="1" selected="0">
            <x v="45"/>
          </reference>
          <reference field="18" count="1" selected="0">
            <x v="0"/>
          </reference>
          <reference field="19" count="1">
            <x v="16"/>
          </reference>
        </references>
      </pivotArea>
    </format>
    <format dxfId="416">
      <pivotArea dataOnly="0" labelOnly="1" outline="0" fieldPosition="0">
        <references count="4">
          <reference field="11" count="1" selected="0">
            <x v="421"/>
          </reference>
          <reference field="14" count="1" selected="0">
            <x v="287"/>
          </reference>
          <reference field="18" count="1" selected="0">
            <x v="0"/>
          </reference>
          <reference field="19" count="1">
            <x v="16"/>
          </reference>
        </references>
      </pivotArea>
    </format>
    <format dxfId="415">
      <pivotArea dataOnly="0" labelOnly="1" outline="0" fieldPosition="0">
        <references count="4">
          <reference field="11" count="1" selected="0">
            <x v="422"/>
          </reference>
          <reference field="14" count="1" selected="0">
            <x v="363"/>
          </reference>
          <reference field="18" count="1" selected="0">
            <x v="16"/>
          </reference>
          <reference field="19" count="1">
            <x v="24"/>
          </reference>
        </references>
      </pivotArea>
    </format>
    <format dxfId="414">
      <pivotArea dataOnly="0" labelOnly="1" outline="0" fieldPosition="0">
        <references count="4">
          <reference field="11" count="1" selected="0">
            <x v="422"/>
          </reference>
          <reference field="14" count="1" selected="0">
            <x v="363"/>
          </reference>
          <reference field="18" count="1" selected="0">
            <x v="18"/>
          </reference>
          <reference field="19" count="1">
            <x v="26"/>
          </reference>
        </references>
      </pivotArea>
    </format>
    <format dxfId="413">
      <pivotArea dataOnly="0" labelOnly="1" outline="0" fieldPosition="0">
        <references count="4">
          <reference field="11" count="1" selected="0">
            <x v="423"/>
          </reference>
          <reference field="14" count="1" selected="0">
            <x v="259"/>
          </reference>
          <reference field="18" count="1" selected="0">
            <x v="12"/>
          </reference>
          <reference field="19" count="1">
            <x v="13"/>
          </reference>
        </references>
      </pivotArea>
    </format>
    <format dxfId="412">
      <pivotArea dataOnly="0" labelOnly="1" outline="0" fieldPosition="0">
        <references count="4">
          <reference field="11" count="1" selected="0">
            <x v="424"/>
          </reference>
          <reference field="14" count="1" selected="0">
            <x v="408"/>
          </reference>
          <reference field="18" count="1" selected="0">
            <x v="0"/>
          </reference>
          <reference field="19" count="1">
            <x v="16"/>
          </reference>
        </references>
      </pivotArea>
    </format>
    <format dxfId="411">
      <pivotArea dataOnly="0" labelOnly="1" outline="0" fieldPosition="0">
        <references count="4">
          <reference field="11" count="1" selected="0">
            <x v="425"/>
          </reference>
          <reference field="14" count="1" selected="0">
            <x v="289"/>
          </reference>
          <reference field="18" count="1" selected="0">
            <x v="14"/>
          </reference>
          <reference field="19" count="1">
            <x v="9"/>
          </reference>
        </references>
      </pivotArea>
    </format>
    <format dxfId="410">
      <pivotArea dataOnly="0" labelOnly="1" outline="0" fieldPosition="0">
        <references count="4">
          <reference field="11" count="1" selected="0">
            <x v="426"/>
          </reference>
          <reference field="14" count="1" selected="0">
            <x v="401"/>
          </reference>
          <reference field="18" count="1" selected="0">
            <x v="0"/>
          </reference>
          <reference field="19" count="1">
            <x v="16"/>
          </reference>
        </references>
      </pivotArea>
    </format>
    <format dxfId="409">
      <pivotArea dataOnly="0" labelOnly="1" outline="0" fieldPosition="0">
        <references count="4">
          <reference field="11" count="1" selected="0">
            <x v="427"/>
          </reference>
          <reference field="14" count="1" selected="0">
            <x v="407"/>
          </reference>
          <reference field="18" count="1" selected="0">
            <x v="0"/>
          </reference>
          <reference field="19" count="1">
            <x v="16"/>
          </reference>
        </references>
      </pivotArea>
    </format>
    <format dxfId="408">
      <pivotArea dataOnly="0" labelOnly="1" outline="0" fieldPosition="0">
        <references count="4">
          <reference field="11" count="1" selected="0">
            <x v="428"/>
          </reference>
          <reference field="14" count="1" selected="0">
            <x v="412"/>
          </reference>
          <reference field="18" count="1" selected="0">
            <x v="0"/>
          </reference>
          <reference field="19" count="1">
            <x v="16"/>
          </reference>
        </references>
      </pivotArea>
    </format>
    <format dxfId="407">
      <pivotArea dataOnly="0" labelOnly="1" outline="0" fieldPosition="0">
        <references count="4">
          <reference field="11" count="1" selected="0">
            <x v="429"/>
          </reference>
          <reference field="14" count="1" selected="0">
            <x v="421"/>
          </reference>
          <reference field="18" count="1" selected="0">
            <x v="19"/>
          </reference>
          <reference field="19" count="1">
            <x v="2"/>
          </reference>
        </references>
      </pivotArea>
    </format>
    <format dxfId="406">
      <pivotArea dataOnly="0" labelOnly="1" outline="0" fieldPosition="0">
        <references count="4">
          <reference field="11" count="1" selected="0">
            <x v="430"/>
          </reference>
          <reference field="14" count="1" selected="0">
            <x v="444"/>
          </reference>
          <reference field="18" count="1" selected="0">
            <x v="19"/>
          </reference>
          <reference field="19" count="1">
            <x v="2"/>
          </reference>
        </references>
      </pivotArea>
    </format>
    <format dxfId="405">
      <pivotArea dataOnly="0" labelOnly="1" outline="0" fieldPosition="0">
        <references count="4">
          <reference field="11" count="1" selected="0">
            <x v="431"/>
          </reference>
          <reference field="14" count="1" selected="0">
            <x v="191"/>
          </reference>
          <reference field="18" count="1" selected="0">
            <x v="3"/>
          </reference>
          <reference field="19" count="1">
            <x v="15"/>
          </reference>
        </references>
      </pivotArea>
    </format>
    <format dxfId="404">
      <pivotArea dataOnly="0" labelOnly="1" outline="0" fieldPosition="0">
        <references count="4">
          <reference field="11" count="1" selected="0">
            <x v="432"/>
          </reference>
          <reference field="14" count="1" selected="0">
            <x v="119"/>
          </reference>
          <reference field="18" count="1" selected="0">
            <x v="12"/>
          </reference>
          <reference field="19" count="1">
            <x v="13"/>
          </reference>
        </references>
      </pivotArea>
    </format>
    <format dxfId="403">
      <pivotArea dataOnly="0" labelOnly="1" outline="0" fieldPosition="0">
        <references count="4">
          <reference field="11" count="1" selected="0">
            <x v="432"/>
          </reference>
          <reference field="14" count="1" selected="0">
            <x v="119"/>
          </reference>
          <reference field="18" count="1" selected="0">
            <x v="14"/>
          </reference>
          <reference field="19" count="1">
            <x v="9"/>
          </reference>
        </references>
      </pivotArea>
    </format>
    <format dxfId="402">
      <pivotArea dataOnly="0" labelOnly="1" outline="0" fieldPosition="0">
        <references count="4">
          <reference field="11" count="1" selected="0">
            <x v="433"/>
          </reference>
          <reference field="14" count="1" selected="0">
            <x v="80"/>
          </reference>
          <reference field="18" count="1" selected="0">
            <x v="27"/>
          </reference>
          <reference field="19" count="1">
            <x v="17"/>
          </reference>
        </references>
      </pivotArea>
    </format>
    <format dxfId="401">
      <pivotArea dataOnly="0" labelOnly="1" outline="0" fieldPosition="0">
        <references count="4">
          <reference field="11" count="1" selected="0">
            <x v="434"/>
          </reference>
          <reference field="14" count="1" selected="0">
            <x v="84"/>
          </reference>
          <reference field="18" count="1" selected="0">
            <x v="0"/>
          </reference>
          <reference field="19" count="1">
            <x v="16"/>
          </reference>
        </references>
      </pivotArea>
    </format>
    <format dxfId="400">
      <pivotArea dataOnly="0" labelOnly="1" outline="0" fieldPosition="0">
        <references count="4">
          <reference field="11" count="1" selected="0">
            <x v="434"/>
          </reference>
          <reference field="14" count="1" selected="0">
            <x v="84"/>
          </reference>
          <reference field="18" count="1" selected="0">
            <x v="27"/>
          </reference>
          <reference field="19" count="1">
            <x v="17"/>
          </reference>
        </references>
      </pivotArea>
    </format>
    <format dxfId="399">
      <pivotArea dataOnly="0" labelOnly="1" outline="0" fieldPosition="0">
        <references count="4">
          <reference field="11" count="1" selected="0">
            <x v="435"/>
          </reference>
          <reference field="14" count="1" selected="0">
            <x v="236"/>
          </reference>
          <reference field="18" count="1" selected="0">
            <x v="27"/>
          </reference>
          <reference field="19" count="1">
            <x v="17"/>
          </reference>
        </references>
      </pivotArea>
    </format>
    <format dxfId="398">
      <pivotArea dataOnly="0" labelOnly="1" outline="0" fieldPosition="0">
        <references count="4">
          <reference field="11" count="1" selected="0">
            <x v="436"/>
          </reference>
          <reference field="14" count="1" selected="0">
            <x v="99"/>
          </reference>
          <reference field="18" count="1" selected="0">
            <x v="1"/>
          </reference>
          <reference field="19" count="1">
            <x v="18"/>
          </reference>
        </references>
      </pivotArea>
    </format>
    <format dxfId="397">
      <pivotArea dataOnly="0" labelOnly="1" outline="0" fieldPosition="0">
        <references count="4">
          <reference field="11" count="1" selected="0">
            <x v="437"/>
          </reference>
          <reference field="14" count="1" selected="0">
            <x v="246"/>
          </reference>
          <reference field="18" count="1" selected="0">
            <x v="14"/>
          </reference>
          <reference field="19" count="1">
            <x v="9"/>
          </reference>
        </references>
      </pivotArea>
    </format>
    <format dxfId="396">
      <pivotArea dataOnly="0" labelOnly="1" outline="0" fieldPosition="0">
        <references count="4">
          <reference field="11" count="1" selected="0">
            <x v="438"/>
          </reference>
          <reference field="14" count="1" selected="0">
            <x v="15"/>
          </reference>
          <reference field="18" count="1" selected="0">
            <x v="8"/>
          </reference>
          <reference field="19" count="1">
            <x v="5"/>
          </reference>
        </references>
      </pivotArea>
    </format>
    <format dxfId="395">
      <pivotArea dataOnly="0" labelOnly="1" outline="0" fieldPosition="0">
        <references count="4">
          <reference field="11" count="1" selected="0">
            <x v="438"/>
          </reference>
          <reference field="14" count="1" selected="0">
            <x v="15"/>
          </reference>
          <reference field="18" count="1" selected="0">
            <x v="14"/>
          </reference>
          <reference field="19" count="1">
            <x v="9"/>
          </reference>
        </references>
      </pivotArea>
    </format>
    <format dxfId="394">
      <pivotArea dataOnly="0" labelOnly="1" outline="0" fieldPosition="0">
        <references count="4">
          <reference field="11" count="1" selected="0">
            <x v="439"/>
          </reference>
          <reference field="14" count="1" selected="0">
            <x v="446"/>
          </reference>
          <reference field="18" count="1" selected="0">
            <x v="19"/>
          </reference>
          <reference field="19" count="1">
            <x v="2"/>
          </reference>
        </references>
      </pivotArea>
    </format>
    <format dxfId="393">
      <pivotArea dataOnly="0" labelOnly="1" outline="0" fieldPosition="0">
        <references count="4">
          <reference field="11" count="1" selected="0">
            <x v="440"/>
          </reference>
          <reference field="14" count="1" selected="0">
            <x v="208"/>
          </reference>
          <reference field="18" count="1" selected="0">
            <x v="27"/>
          </reference>
          <reference field="19" count="1">
            <x v="17"/>
          </reference>
        </references>
      </pivotArea>
    </format>
    <format dxfId="392">
      <pivotArea dataOnly="0" labelOnly="1" outline="0" fieldPosition="0">
        <references count="4">
          <reference field="11" count="1" selected="0">
            <x v="441"/>
          </reference>
          <reference field="14" count="1" selected="0">
            <x v="30"/>
          </reference>
          <reference field="18" count="1" selected="0">
            <x v="27"/>
          </reference>
          <reference field="19" count="1">
            <x v="17"/>
          </reference>
        </references>
      </pivotArea>
    </format>
    <format dxfId="391">
      <pivotArea dataOnly="0" labelOnly="1" outline="0" fieldPosition="0">
        <references count="4">
          <reference field="11" count="1" selected="0">
            <x v="442"/>
          </reference>
          <reference field="14" count="1" selected="0">
            <x v="306"/>
          </reference>
          <reference field="18" count="1" selected="0">
            <x v="27"/>
          </reference>
          <reference field="19" count="1">
            <x v="17"/>
          </reference>
        </references>
      </pivotArea>
    </format>
    <format dxfId="390">
      <pivotArea dataOnly="0" labelOnly="1" outline="0" fieldPosition="0">
        <references count="4">
          <reference field="11" count="1" selected="0">
            <x v="443"/>
          </reference>
          <reference field="14" count="1" selected="0">
            <x v="432"/>
          </reference>
          <reference field="18" count="1" selected="0">
            <x v="19"/>
          </reference>
          <reference field="19" count="1">
            <x v="2"/>
          </reference>
        </references>
      </pivotArea>
    </format>
    <format dxfId="389">
      <pivotArea dataOnly="0" labelOnly="1" outline="0" fieldPosition="0">
        <references count="4">
          <reference field="11" count="1" selected="0">
            <x v="444"/>
          </reference>
          <reference field="14" count="1" selected="0">
            <x v="436"/>
          </reference>
          <reference field="18" count="1" selected="0">
            <x v="19"/>
          </reference>
          <reference field="19" count="1">
            <x v="2"/>
          </reference>
        </references>
      </pivotArea>
    </format>
    <format dxfId="388">
      <pivotArea dataOnly="0" labelOnly="1" outline="0" fieldPosition="0">
        <references count="4">
          <reference field="11" count="1" selected="0">
            <x v="445"/>
          </reference>
          <reference field="14" count="1" selected="0">
            <x v="437"/>
          </reference>
          <reference field="18" count="1" selected="0">
            <x v="19"/>
          </reference>
          <reference field="19" count="1">
            <x v="2"/>
          </reference>
        </references>
      </pivotArea>
    </format>
    <format dxfId="387">
      <pivotArea dataOnly="0" labelOnly="1" outline="0" fieldPosition="0">
        <references count="4">
          <reference field="11" count="1" selected="0">
            <x v="446"/>
          </reference>
          <reference field="14" count="1" selected="0">
            <x v="29"/>
          </reference>
          <reference field="18" count="1" selected="0">
            <x v="19"/>
          </reference>
          <reference field="19" count="1">
            <x v="2"/>
          </reference>
        </references>
      </pivotArea>
    </format>
    <format dxfId="386">
      <pivotArea dataOnly="0" labelOnly="1" outline="0" fieldPosition="0">
        <references count="4">
          <reference field="11" count="1" selected="0">
            <x v="447"/>
          </reference>
          <reference field="14" count="1" selected="0">
            <x v="57"/>
          </reference>
          <reference field="18" count="1" selected="0">
            <x v="27"/>
          </reference>
          <reference field="19" count="1">
            <x v="17"/>
          </reference>
        </references>
      </pivotArea>
    </format>
    <format dxfId="385">
      <pivotArea dataOnly="0" labelOnly="1" outline="0" fieldPosition="0">
        <references count="4">
          <reference field="11" count="1" selected="0">
            <x v="448"/>
          </reference>
          <reference field="14" count="1" selected="0">
            <x v="58"/>
          </reference>
          <reference field="18" count="1" selected="0">
            <x v="27"/>
          </reference>
          <reference field="19" count="1">
            <x v="17"/>
          </reference>
        </references>
      </pivotArea>
    </format>
    <format dxfId="384">
      <pivotArea dataOnly="0" labelOnly="1" outline="0" fieldPosition="0">
        <references count="4">
          <reference field="11" count="1" selected="0">
            <x v="449"/>
          </reference>
          <reference field="14" count="1" selected="0">
            <x v="10"/>
          </reference>
          <reference field="18" count="1" selected="0">
            <x v="24"/>
          </reference>
          <reference field="19" count="1">
            <x v="7"/>
          </reference>
        </references>
      </pivotArea>
    </format>
    <format dxfId="383">
      <pivotArea dataOnly="0" labelOnly="1" outline="0" fieldPosition="0">
        <references count="4">
          <reference field="11" count="1" selected="0">
            <x v="449"/>
          </reference>
          <reference field="14" count="1" selected="0">
            <x v="10"/>
          </reference>
          <reference field="18" count="1" selected="0">
            <x v="27"/>
          </reference>
          <reference field="19" count="1">
            <x v="17"/>
          </reference>
        </references>
      </pivotArea>
    </format>
    <format dxfId="382">
      <pivotArea dataOnly="0" labelOnly="1" outline="0" fieldPosition="0">
        <references count="4">
          <reference field="11" count="1" selected="0">
            <x v="450"/>
          </reference>
          <reference field="14" count="1" selected="0">
            <x v="141"/>
          </reference>
          <reference field="18" count="1" selected="0">
            <x v="0"/>
          </reference>
          <reference field="19" count="1">
            <x v="16"/>
          </reference>
        </references>
      </pivotArea>
    </format>
    <format dxfId="381">
      <pivotArea dataOnly="0" labelOnly="1" outline="0" fieldPosition="0">
        <references count="4">
          <reference field="11" count="1" selected="0">
            <x v="450"/>
          </reference>
          <reference field="14" count="1" selected="0">
            <x v="141"/>
          </reference>
          <reference field="18" count="1" selected="0">
            <x v="27"/>
          </reference>
          <reference field="19" count="1">
            <x v="17"/>
          </reference>
        </references>
      </pivotArea>
    </format>
    <format dxfId="380">
      <pivotArea dataOnly="0" labelOnly="1" outline="0" fieldPosition="0">
        <references count="4">
          <reference field="11" count="1" selected="0">
            <x v="451"/>
          </reference>
          <reference field="14" count="1" selected="0">
            <x v="101"/>
          </reference>
          <reference field="18" count="1" selected="0">
            <x v="27"/>
          </reference>
          <reference field="19" count="1">
            <x v="17"/>
          </reference>
        </references>
      </pivotArea>
    </format>
    <format dxfId="379">
      <pivotArea dataOnly="0" labelOnly="1" outline="0" fieldPosition="0">
        <references count="4">
          <reference field="11" count="1" selected="0">
            <x v="452"/>
          </reference>
          <reference field="14" count="1" selected="0">
            <x v="450"/>
          </reference>
          <reference field="18" count="1" selected="0">
            <x v="19"/>
          </reference>
          <reference field="19" count="1">
            <x v="2"/>
          </reference>
        </references>
      </pivotArea>
    </format>
    <format dxfId="378">
      <pivotArea dataOnly="0" labelOnly="1" outline="0" fieldPosition="0">
        <references count="4">
          <reference field="11" count="1" selected="0">
            <x v="453"/>
          </reference>
          <reference field="14" count="1" selected="0">
            <x v="144"/>
          </reference>
          <reference field="18" count="1" selected="0">
            <x v="3"/>
          </reference>
          <reference field="19" count="1">
            <x v="15"/>
          </reference>
        </references>
      </pivotArea>
    </format>
    <format dxfId="377">
      <pivotArea dataOnly="0" labelOnly="1" outline="0" fieldPosition="0">
        <references count="4">
          <reference field="11" count="1" selected="0">
            <x v="454"/>
          </reference>
          <reference field="14" count="1" selected="0">
            <x v="397"/>
          </reference>
          <reference field="18" count="1" selected="0">
            <x v="3"/>
          </reference>
          <reference field="19" count="1">
            <x v="15"/>
          </reference>
        </references>
      </pivotArea>
    </format>
    <format dxfId="376">
      <pivotArea dataOnly="0" labelOnly="1" outline="0" fieldPosition="0">
        <references count="4">
          <reference field="11" count="1" selected="0">
            <x v="455"/>
          </reference>
          <reference field="14" count="1" selected="0">
            <x v="390"/>
          </reference>
          <reference field="18" count="1" selected="0">
            <x v="3"/>
          </reference>
          <reference field="19" count="1">
            <x v="15"/>
          </reference>
        </references>
      </pivotArea>
    </format>
    <format dxfId="375">
      <pivotArea dataOnly="0" labelOnly="1" outline="0" fieldPosition="0">
        <references count="4">
          <reference field="11" count="1" selected="0">
            <x v="456"/>
          </reference>
          <reference field="14" count="1" selected="0">
            <x v="452"/>
          </reference>
          <reference field="18" count="1" selected="0">
            <x v="3"/>
          </reference>
          <reference field="19" count="1">
            <x v="15"/>
          </reference>
        </references>
      </pivotArea>
    </format>
    <format dxfId="374">
      <pivotArea dataOnly="0" labelOnly="1" outline="0" fieldPosition="0">
        <references count="4">
          <reference field="11" count="1" selected="0">
            <x v="457"/>
          </reference>
          <reference field="14" count="1" selected="0">
            <x v="12"/>
          </reference>
          <reference field="18" count="1" selected="0">
            <x v="3"/>
          </reference>
          <reference field="19" count="1">
            <x v="15"/>
          </reference>
        </references>
      </pivotArea>
    </format>
    <format dxfId="373">
      <pivotArea dataOnly="0" labelOnly="1" outline="0" fieldPosition="0">
        <references count="4">
          <reference field="11" count="1" selected="0">
            <x v="458"/>
          </reference>
          <reference field="14" count="1" selected="0">
            <x v="367"/>
          </reference>
          <reference field="18" count="1" selected="0">
            <x v="3"/>
          </reference>
          <reference field="19" count="1">
            <x v="15"/>
          </reference>
        </references>
      </pivotArea>
    </format>
    <format dxfId="372">
      <pivotArea dataOnly="0" labelOnly="1" outline="0" fieldPosition="0">
        <references count="4">
          <reference field="11" count="1" selected="0">
            <x v="459"/>
          </reference>
          <reference field="14" count="1" selected="0">
            <x v="368"/>
          </reference>
          <reference field="18" count="1" selected="0">
            <x v="3"/>
          </reference>
          <reference field="19" count="1">
            <x v="15"/>
          </reference>
        </references>
      </pivotArea>
    </format>
    <format dxfId="371">
      <pivotArea dataOnly="0" labelOnly="1" outline="0" fieldPosition="0">
        <references count="4">
          <reference field="11" count="1" selected="0">
            <x v="460"/>
          </reference>
          <reference field="14" count="1" selected="0">
            <x v="369"/>
          </reference>
          <reference field="18" count="1" selected="0">
            <x v="3"/>
          </reference>
          <reference field="19" count="1">
            <x v="15"/>
          </reference>
        </references>
      </pivotArea>
    </format>
    <format dxfId="370">
      <pivotArea dataOnly="0" labelOnly="1" outline="0" fieldPosition="0">
        <references count="4">
          <reference field="11" count="1" selected="0">
            <x v="461"/>
          </reference>
          <reference field="14" count="1" selected="0">
            <x v="301"/>
          </reference>
          <reference field="18" count="1" selected="0">
            <x v="7"/>
          </reference>
          <reference field="19" count="1">
            <x v="4"/>
          </reference>
        </references>
      </pivotArea>
    </format>
    <format dxfId="369">
      <pivotArea dataOnly="0" labelOnly="1" outline="0" fieldPosition="0">
        <references count="4">
          <reference field="11" count="1" selected="0">
            <x v="461"/>
          </reference>
          <reference field="14" count="1" selected="0">
            <x v="301"/>
          </reference>
          <reference field="18" count="1" selected="0">
            <x v="8"/>
          </reference>
          <reference field="19" count="1">
            <x v="5"/>
          </reference>
        </references>
      </pivotArea>
    </format>
    <format dxfId="368">
      <pivotArea dataOnly="0" labelOnly="1" outline="0" fieldPosition="0">
        <references count="4">
          <reference field="11" count="1" selected="0">
            <x v="461"/>
          </reference>
          <reference field="14" count="1" selected="0">
            <x v="301"/>
          </reference>
          <reference field="18" count="1" selected="0">
            <x v="13"/>
          </reference>
          <reference field="19" count="1">
            <x v="21"/>
          </reference>
        </references>
      </pivotArea>
    </format>
    <format dxfId="367">
      <pivotArea dataOnly="0" labelOnly="1" outline="0" fieldPosition="0">
        <references count="4">
          <reference field="11" count="1" selected="0">
            <x v="462"/>
          </reference>
          <reference field="14" count="1" selected="0">
            <x v="434"/>
          </reference>
          <reference field="18" count="1" selected="0">
            <x v="19"/>
          </reference>
          <reference field="19" count="1">
            <x v="2"/>
          </reference>
        </references>
      </pivotArea>
    </format>
    <format dxfId="366">
      <pivotArea dataOnly="0" labelOnly="1" outline="0" fieldPosition="0">
        <references count="4">
          <reference field="11" count="1" selected="0">
            <x v="463"/>
          </reference>
          <reference field="14" count="1" selected="0">
            <x v="440"/>
          </reference>
          <reference field="18" count="1" selected="0">
            <x v="19"/>
          </reference>
          <reference field="19" count="1">
            <x v="2"/>
          </reference>
        </references>
      </pivotArea>
    </format>
    <format dxfId="365">
      <pivotArea dataOnly="0" labelOnly="1" outline="0" fieldPosition="0">
        <references count="4">
          <reference field="11" count="1" selected="0">
            <x v="464"/>
          </reference>
          <reference field="14" count="1" selected="0">
            <x v="442"/>
          </reference>
          <reference field="18" count="1" selected="0">
            <x v="19"/>
          </reference>
          <reference field="19" count="1">
            <x v="2"/>
          </reference>
        </references>
      </pivotArea>
    </format>
    <format dxfId="364">
      <pivotArea dataOnly="0" labelOnly="1" outline="0" fieldPosition="0">
        <references count="4">
          <reference field="11" count="1" selected="0">
            <x v="465"/>
          </reference>
          <reference field="14" count="1" selected="0">
            <x v="355"/>
          </reference>
          <reference field="18" count="1" selected="0">
            <x v="27"/>
          </reference>
          <reference field="19" count="1">
            <x v="17"/>
          </reference>
        </references>
      </pivotArea>
    </format>
    <format dxfId="363">
      <pivotArea dataOnly="0" labelOnly="1" outline="0" fieldPosition="0">
        <references count="4">
          <reference field="11" count="1" selected="0">
            <x v="466"/>
          </reference>
          <reference field="14" count="1" selected="0">
            <x v="115"/>
          </reference>
          <reference field="18" count="1" selected="0">
            <x v="27"/>
          </reference>
          <reference field="19" count="1">
            <x v="17"/>
          </reference>
        </references>
      </pivotArea>
    </format>
    <format dxfId="362">
      <pivotArea dataOnly="0" labelOnly="1" outline="0" fieldPosition="0">
        <references count="4">
          <reference field="11" count="1" selected="0">
            <x v="467"/>
          </reference>
          <reference field="14" count="1" selected="0">
            <x v="270"/>
          </reference>
          <reference field="18" count="1" selected="0">
            <x v="2"/>
          </reference>
          <reference field="19" count="1">
            <x v="22"/>
          </reference>
        </references>
      </pivotArea>
    </format>
    <format dxfId="361">
      <pivotArea dataOnly="0" labelOnly="1" outline="0" fieldPosition="0">
        <references count="4">
          <reference field="11" count="1" selected="0">
            <x v="468"/>
          </reference>
          <reference field="14" count="1" selected="0">
            <x v="380"/>
          </reference>
          <reference field="18" count="1" selected="0">
            <x v="6"/>
          </reference>
          <reference field="19" count="1">
            <x v="23"/>
          </reference>
        </references>
      </pivotArea>
    </format>
    <format dxfId="360">
      <pivotArea dataOnly="0" labelOnly="1" outline="0" fieldPosition="0">
        <references count="4">
          <reference field="11" count="1" selected="0">
            <x v="469"/>
          </reference>
          <reference field="14" count="1" selected="0">
            <x v="291"/>
          </reference>
          <reference field="18" count="1" selected="0">
            <x v="6"/>
          </reference>
          <reference field="19" count="1">
            <x v="23"/>
          </reference>
        </references>
      </pivotArea>
    </format>
    <format dxfId="359">
      <pivotArea dataOnly="0" labelOnly="1" outline="0" fieldPosition="0">
        <references count="4">
          <reference field="11" count="1" selected="0">
            <x v="469"/>
          </reference>
          <reference field="14" count="1" selected="0">
            <x v="291"/>
          </reference>
          <reference field="18" count="1" selected="0">
            <x v="24"/>
          </reference>
          <reference field="19" count="1">
            <x v="7"/>
          </reference>
        </references>
      </pivotArea>
    </format>
    <format dxfId="358">
      <pivotArea dataOnly="0" labelOnly="1" outline="0" fieldPosition="0">
        <references count="4">
          <reference field="11" count="1" selected="0">
            <x v="469"/>
          </reference>
          <reference field="14" count="1" selected="0">
            <x v="291"/>
          </reference>
          <reference field="18" count="1" selected="0">
            <x v="25"/>
          </reference>
          <reference field="19" count="1">
            <x v="14"/>
          </reference>
        </references>
      </pivotArea>
    </format>
    <format dxfId="357">
      <pivotArea dataOnly="0" labelOnly="1" outline="0" fieldPosition="0">
        <references count="4">
          <reference field="11" count="1" selected="0">
            <x v="470"/>
          </reference>
          <reference field="14" count="1" selected="0">
            <x v="100"/>
          </reference>
          <reference field="18" count="1" selected="0">
            <x v="0"/>
          </reference>
          <reference field="19" count="1">
            <x v="16"/>
          </reference>
        </references>
      </pivotArea>
    </format>
    <format dxfId="356">
      <pivotArea dataOnly="0" labelOnly="1" outline="0" fieldPosition="0">
        <references count="4">
          <reference field="11" count="1" selected="0">
            <x v="471"/>
          </reference>
          <reference field="14" count="1" selected="0">
            <x v="295"/>
          </reference>
          <reference field="18" count="1" selected="0">
            <x v="2"/>
          </reference>
          <reference field="19" count="1">
            <x v="22"/>
          </reference>
        </references>
      </pivotArea>
    </format>
    <format dxfId="355">
      <pivotArea dataOnly="0" labelOnly="1" outline="0" fieldPosition="0">
        <references count="4">
          <reference field="11" count="1" selected="0">
            <x v="472"/>
          </reference>
          <reference field="14" count="1" selected="0">
            <x v="325"/>
          </reference>
          <reference field="18" count="1" selected="0">
            <x v="6"/>
          </reference>
          <reference field="19" count="1">
            <x v="23"/>
          </reference>
        </references>
      </pivotArea>
    </format>
    <format dxfId="354">
      <pivotArea dataOnly="0" labelOnly="1" outline="0" fieldPosition="0">
        <references count="4">
          <reference field="11" count="1" selected="0">
            <x v="473"/>
          </reference>
          <reference field="14" count="1" selected="0">
            <x v="425"/>
          </reference>
          <reference field="18" count="1" selected="0">
            <x v="19"/>
          </reference>
          <reference field="19" count="1">
            <x v="2"/>
          </reference>
        </references>
      </pivotArea>
    </format>
    <format dxfId="353">
      <pivotArea dataOnly="0" labelOnly="1" outline="0" fieldPosition="0">
        <references count="4">
          <reference field="11" count="1" selected="0">
            <x v="474"/>
          </reference>
          <reference field="14" count="1" selected="0">
            <x v="424"/>
          </reference>
          <reference field="18" count="1" selected="0">
            <x v="19"/>
          </reference>
          <reference field="19" count="1">
            <x v="2"/>
          </reference>
        </references>
      </pivotArea>
    </format>
    <format dxfId="352">
      <pivotArea dataOnly="0" labelOnly="1" outline="0" fieldPosition="0">
        <references count="4">
          <reference field="11" count="1" selected="0">
            <x v="475"/>
          </reference>
          <reference field="14" count="1" selected="0">
            <x v="435"/>
          </reference>
          <reference field="18" count="1" selected="0">
            <x v="19"/>
          </reference>
          <reference field="19" count="1">
            <x v="2"/>
          </reference>
        </references>
      </pivotArea>
    </format>
    <format dxfId="351">
      <pivotArea dataOnly="0" labelOnly="1" outline="0" fieldPosition="0">
        <references count="4">
          <reference field="11" count="1" selected="0">
            <x v="476"/>
          </reference>
          <reference field="14" count="1" selected="0">
            <x v="151"/>
          </reference>
          <reference field="18" count="1" selected="0">
            <x v="0"/>
          </reference>
          <reference field="19" count="1">
            <x v="16"/>
          </reference>
        </references>
      </pivotArea>
    </format>
    <format dxfId="350">
      <pivotArea dataOnly="0" labelOnly="1" outline="0" fieldPosition="0">
        <references count="4">
          <reference field="11" count="1" selected="0">
            <x v="477"/>
          </reference>
          <reference field="14" count="1" selected="0">
            <x v="419"/>
          </reference>
          <reference field="18" count="1" selected="0">
            <x v="19"/>
          </reference>
          <reference field="19" count="1">
            <x v="2"/>
          </reference>
        </references>
      </pivotArea>
    </format>
    <format dxfId="349">
      <pivotArea dataOnly="0" labelOnly="1" outline="0" fieldPosition="0">
        <references count="4">
          <reference field="11" count="1" selected="0">
            <x v="478"/>
          </reference>
          <reference field="14" count="1" selected="0">
            <x v="308"/>
          </reference>
          <reference field="18" count="1" selected="0">
            <x v="19"/>
          </reference>
          <reference field="19" count="1">
            <x v="2"/>
          </reference>
        </references>
      </pivotArea>
    </format>
    <format dxfId="348">
      <pivotArea dataOnly="0" labelOnly="1" outline="0" fieldPosition="0">
        <references count="4">
          <reference field="11" count="1" selected="0">
            <x v="479"/>
          </reference>
          <reference field="14" count="1" selected="0">
            <x v="312"/>
          </reference>
          <reference field="18" count="1" selected="0">
            <x v="19"/>
          </reference>
          <reference field="19" count="1">
            <x v="2"/>
          </reference>
        </references>
      </pivotArea>
    </format>
    <format dxfId="347">
      <pivotArea dataOnly="0" labelOnly="1" outline="0" fieldPosition="0">
        <references count="4">
          <reference field="11" count="1" selected="0">
            <x v="480"/>
          </reference>
          <reference field="14" count="1" selected="0">
            <x v="423"/>
          </reference>
          <reference field="18" count="1" selected="0">
            <x v="19"/>
          </reference>
          <reference field="19" count="1">
            <x v="2"/>
          </reference>
        </references>
      </pivotArea>
    </format>
    <format dxfId="346">
      <pivotArea dataOnly="0" labelOnly="1" outline="0" fieldPosition="0">
        <references count="4">
          <reference field="11" count="1" selected="0">
            <x v="481"/>
          </reference>
          <reference field="14" count="1" selected="0">
            <x v="455"/>
          </reference>
          <reference field="18" count="1" selected="0">
            <x v="12"/>
          </reference>
          <reference field="19" count="1">
            <x v="13"/>
          </reference>
        </references>
      </pivotArea>
    </format>
    <format dxfId="345">
      <pivotArea dataOnly="0" labelOnly="1" outline="0" fieldPosition="0">
        <references count="4">
          <reference field="11" count="1" selected="0">
            <x v="481"/>
          </reference>
          <reference field="14" count="1" selected="0">
            <x v="455"/>
          </reference>
          <reference field="18" count="1" selected="0">
            <x v="14"/>
          </reference>
          <reference field="19" count="1">
            <x v="9"/>
          </reference>
        </references>
      </pivotArea>
    </format>
    <format dxfId="344">
      <pivotArea dataOnly="0" labelOnly="1" outline="0" fieldPosition="0">
        <references count="4">
          <reference field="11" count="1" selected="0">
            <x v="482"/>
          </reference>
          <reference field="14" count="1" selected="0">
            <x v="38"/>
          </reference>
          <reference field="18" count="1" selected="0">
            <x v="12"/>
          </reference>
          <reference field="19" count="1">
            <x v="13"/>
          </reference>
        </references>
      </pivotArea>
    </format>
    <format dxfId="343">
      <pivotArea dataOnly="0" labelOnly="1" outline="0" fieldPosition="0">
        <references count="4">
          <reference field="11" count="1" selected="0">
            <x v="482"/>
          </reference>
          <reference field="14" count="1" selected="0">
            <x v="38"/>
          </reference>
          <reference field="18" count="1" selected="0">
            <x v="14"/>
          </reference>
          <reference field="19" count="1">
            <x v="9"/>
          </reference>
        </references>
      </pivotArea>
    </format>
    <format dxfId="342">
      <pivotArea dataOnly="0" labelOnly="1" outline="0" fieldPosition="0">
        <references count="4">
          <reference field="11" count="1" selected="0">
            <x v="483"/>
          </reference>
          <reference field="14" count="1" selected="0">
            <x v="207"/>
          </reference>
          <reference field="18" count="1" selected="0">
            <x v="14"/>
          </reference>
          <reference field="19" count="1">
            <x v="9"/>
          </reference>
        </references>
      </pivotArea>
    </format>
    <format dxfId="341">
      <pivotArea dataOnly="0" labelOnly="1" outline="0" fieldPosition="0">
        <references count="4">
          <reference field="11" count="1" selected="0">
            <x v="483"/>
          </reference>
          <reference field="14" count="1" selected="0">
            <x v="207"/>
          </reference>
          <reference field="18" count="1" selected="0">
            <x v="26"/>
          </reference>
          <reference field="19" count="1">
            <x v="3"/>
          </reference>
        </references>
      </pivotArea>
    </format>
    <format dxfId="340">
      <pivotArea dataOnly="0" labelOnly="1" outline="0" fieldPosition="0">
        <references count="4">
          <reference field="11" count="1" selected="0">
            <x v="484"/>
          </reference>
          <reference field="14" count="1" selected="0">
            <x v="49"/>
          </reference>
          <reference field="18" count="1" selected="0">
            <x v="14"/>
          </reference>
          <reference field="19" count="1">
            <x v="9"/>
          </reference>
        </references>
      </pivotArea>
    </format>
    <format dxfId="339">
      <pivotArea dataOnly="0" labelOnly="1" outline="0" fieldPosition="0">
        <references count="4">
          <reference field="11" count="1" selected="0">
            <x v="484"/>
          </reference>
          <reference field="14" count="1" selected="0">
            <x v="49"/>
          </reference>
          <reference field="18" count="1" selected="0">
            <x v="26"/>
          </reference>
          <reference field="19" count="1">
            <x v="3"/>
          </reference>
        </references>
      </pivotArea>
    </format>
    <format dxfId="338">
      <pivotArea dataOnly="0" labelOnly="1" outline="0" fieldPosition="0">
        <references count="4">
          <reference field="11" count="1" selected="0">
            <x v="485"/>
          </reference>
          <reference field="14" count="1" selected="0">
            <x v="49"/>
          </reference>
          <reference field="18" count="1" selected="0">
            <x v="14"/>
          </reference>
          <reference field="19" count="1">
            <x v="9"/>
          </reference>
        </references>
      </pivotArea>
    </format>
    <format dxfId="337">
      <pivotArea dataOnly="0" labelOnly="1" outline="0" fieldPosition="0">
        <references count="4">
          <reference field="11" count="1" selected="0">
            <x v="485"/>
          </reference>
          <reference field="14" count="1" selected="0">
            <x v="49"/>
          </reference>
          <reference field="18" count="1" selected="0">
            <x v="26"/>
          </reference>
          <reference field="19" count="1">
            <x v="3"/>
          </reference>
        </references>
      </pivotArea>
    </format>
    <format dxfId="336">
      <pivotArea dataOnly="0" labelOnly="1" outline="0" fieldPosition="0">
        <references count="4">
          <reference field="11" count="1" selected="0">
            <x v="486"/>
          </reference>
          <reference field="14" count="1" selected="0">
            <x v="207"/>
          </reference>
          <reference field="18" count="1" selected="0">
            <x v="14"/>
          </reference>
          <reference field="19" count="1">
            <x v="9"/>
          </reference>
        </references>
      </pivotArea>
    </format>
    <format dxfId="335">
      <pivotArea dataOnly="0" labelOnly="1" outline="0" fieldPosition="0">
        <references count="4">
          <reference field="11" count="1" selected="0">
            <x v="486"/>
          </reference>
          <reference field="14" count="1" selected="0">
            <x v="207"/>
          </reference>
          <reference field="18" count="1" selected="0">
            <x v="26"/>
          </reference>
          <reference field="19" count="1">
            <x v="3"/>
          </reference>
        </references>
      </pivotArea>
    </format>
    <format dxfId="334">
      <pivotArea dataOnly="0" labelOnly="1" outline="0" fieldPosition="0">
        <references count="4">
          <reference field="11" count="1" selected="0">
            <x v="487"/>
          </reference>
          <reference field="14" count="1" selected="0">
            <x v="32"/>
          </reference>
          <reference field="18" count="1" selected="0">
            <x v="0"/>
          </reference>
          <reference field="19" count="1">
            <x v="16"/>
          </reference>
        </references>
      </pivotArea>
    </format>
    <format dxfId="333">
      <pivotArea dataOnly="0" labelOnly="1" outline="0" fieldPosition="0">
        <references count="4">
          <reference field="11" count="1" selected="0">
            <x v="487"/>
          </reference>
          <reference field="14" count="1" selected="0">
            <x v="32"/>
          </reference>
          <reference field="18" count="1" selected="0">
            <x v="27"/>
          </reference>
          <reference field="19" count="1">
            <x v="17"/>
          </reference>
        </references>
      </pivotArea>
    </format>
    <format dxfId="332">
      <pivotArea dataOnly="0" labelOnly="1" outline="0" fieldPosition="0">
        <references count="4">
          <reference field="11" count="1" selected="0">
            <x v="488"/>
          </reference>
          <reference field="14" count="1" selected="0">
            <x v="484"/>
          </reference>
          <reference field="18" count="1" selected="0">
            <x v="28"/>
          </reference>
          <reference field="19" count="1">
            <x v="28"/>
          </reference>
        </references>
      </pivotArea>
    </format>
    <format dxfId="331">
      <pivotArea dataOnly="0" labelOnly="1" outline="0" fieldPosition="0">
        <references count="1">
          <reference field="4294967294" count="2">
            <x v="0"/>
            <x v="1"/>
          </reference>
        </references>
      </pivotArea>
    </format>
    <format dxfId="330">
      <pivotArea outline="0" fieldPosition="0">
        <references count="1">
          <reference field="4294967294" count="1">
            <x v="0"/>
          </reference>
        </references>
      </pivotArea>
    </format>
    <format dxfId="329">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0DED1B-9571-4EB2-9A62-6967DA8CDC25}" name="PivotTable3"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G110" firstHeaderRow="1" firstDataRow="1" firstDataCol="6"/>
  <pivotFields count="94">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9" outline="0" showAll="0"/>
    <pivotField compact="0" outline="0" showAll="0"/>
    <pivotField compact="0" outline="0" showAll="0"/>
    <pivotField compact="0" outline="0" showAll="0"/>
    <pivotField compact="0" outline="0" showAll="0"/>
    <pivotField axis="axisRow" compact="0" outline="0" showAll="0">
      <items count="35">
        <item x="2"/>
        <item x="21"/>
        <item x="1"/>
        <item x="27"/>
        <item x="32"/>
        <item x="18"/>
        <item x="4"/>
        <item x="7"/>
        <item x="26"/>
        <item x="6"/>
        <item x="19"/>
        <item x="33"/>
        <item x="29"/>
        <item x="3"/>
        <item x="20"/>
        <item x="23"/>
        <item x="25"/>
        <item x="15"/>
        <item x="8"/>
        <item x="31"/>
        <item x="14"/>
        <item x="22"/>
        <item x="16"/>
        <item x="12"/>
        <item x="5"/>
        <item x="11"/>
        <item x="0"/>
        <item x="10"/>
        <item x="13"/>
        <item x="17"/>
        <item x="24"/>
        <item x="9"/>
        <item x="30"/>
        <item x="28"/>
        <item t="default"/>
      </items>
    </pivotField>
    <pivotField compact="0" outline="0" showAll="0"/>
    <pivotField axis="axisRow" compact="0" outline="0" showAll="0" defaultSubtotal="0">
      <items count="34">
        <item x="15"/>
        <item x="19"/>
        <item x="21"/>
        <item x="10"/>
        <item x="2"/>
        <item x="23"/>
        <item x="5"/>
        <item x="1"/>
        <item x="7"/>
        <item x="13"/>
        <item x="17"/>
        <item x="25"/>
        <item x="6"/>
        <item x="18"/>
        <item x="30"/>
        <item x="32"/>
        <item x="31"/>
        <item x="14"/>
        <item x="8"/>
        <item x="27"/>
        <item x="9"/>
        <item x="12"/>
        <item x="33"/>
        <item x="16"/>
        <item x="3"/>
        <item x="22"/>
        <item x="11"/>
        <item x="28"/>
        <item x="20"/>
        <item x="4"/>
        <item x="29"/>
        <item x="0"/>
        <item x="24"/>
        <item x="26"/>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defaultSubtotal="0">
      <items count="18">
        <item x="5"/>
        <item x="0"/>
        <item x="2"/>
        <item x="12"/>
        <item x="16"/>
        <item x="15"/>
        <item x="7"/>
        <item x="14"/>
        <item x="8"/>
        <item x="13"/>
        <item x="6"/>
        <item x="17"/>
        <item x="4"/>
        <item x="1"/>
        <item x="9"/>
        <item x="10"/>
        <item x="3"/>
        <item x="11"/>
      </items>
    </pivotField>
    <pivotField axis="axisRow" compact="0" outline="0" showAll="0" defaultSubtotal="0">
      <items count="18">
        <item x="17"/>
        <item x="15"/>
        <item x="16"/>
        <item x="11"/>
        <item x="3"/>
        <item x="9"/>
        <item x="14"/>
        <item x="8"/>
        <item x="6"/>
        <item x="12"/>
        <item x="5"/>
        <item x="10"/>
        <item x="0"/>
        <item x="13"/>
        <item x="2"/>
        <item x="7"/>
        <item x="4"/>
        <item x="1"/>
      </items>
    </pivotField>
    <pivotField compact="0" outline="0" showAll="0"/>
    <pivotField compact="0" outline="0" showAll="0"/>
    <pivotField compact="0" outline="0" showAll="0"/>
    <pivotField compact="0" outline="0" showAll="0"/>
    <pivotField compact="0" outline="0" showAll="0"/>
    <pivotField compact="0" outline="0" showAll="0"/>
    <pivotField dataField="1" compact="0" numFmtId="3" outline="0" showAll="0"/>
    <pivotField compact="0" numFmtId="168" outline="0" showAll="0"/>
    <pivotField compact="0" numFmtId="168" outline="0" showAll="0"/>
    <pivotField compact="0" numFmtId="168" outline="0" showAll="0"/>
    <pivotField compact="0" numFmtId="168" outline="0" showAll="0"/>
    <pivotField compact="0" numFmtId="168" outline="0" showAll="0"/>
    <pivotField compact="0" numFmtId="168" outline="0" showAll="0"/>
    <pivotField compact="0" outline="0" showAll="0"/>
    <pivotField compact="0" numFmtId="3" outline="0" showAll="0"/>
    <pivotField compact="0" numFmtId="171" outline="0" showAll="0"/>
    <pivotField compact="0" numFmtId="171" outline="0" showAll="0"/>
    <pivotField compact="0" numFmtId="169" outline="0" showAll="0"/>
    <pivotField compact="0" numFmtId="169"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defaultSubtotal="0">
      <items count="48">
        <item x="36"/>
        <item x="2"/>
        <item x="12"/>
        <item x="0"/>
        <item x="10"/>
        <item x="19"/>
        <item x="47"/>
        <item x="27"/>
        <item x="28"/>
        <item x="13"/>
        <item x="20"/>
        <item x="4"/>
        <item x="29"/>
        <item x="38"/>
        <item x="43"/>
        <item x="33"/>
        <item x="5"/>
        <item x="25"/>
        <item x="45"/>
        <item x="1"/>
        <item x="26"/>
        <item x="31"/>
        <item x="30"/>
        <item x="32"/>
        <item x="15"/>
        <item x="34"/>
        <item x="39"/>
        <item x="21"/>
        <item x="22"/>
        <item x="11"/>
        <item x="40"/>
        <item x="8"/>
        <item x="6"/>
        <item x="7"/>
        <item x="44"/>
        <item x="9"/>
        <item x="14"/>
        <item x="16"/>
        <item x="18"/>
        <item x="35"/>
        <item x="41"/>
        <item x="17"/>
        <item x="42"/>
        <item x="3"/>
        <item x="46"/>
        <item x="37"/>
        <item x="24"/>
        <item x="2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3">
        <item x="35"/>
        <item x="32"/>
        <item x="38"/>
        <item x="2"/>
        <item x="24"/>
        <item x="27"/>
        <item x="11"/>
        <item x="20"/>
        <item x="34"/>
        <item x="25"/>
        <item x="26"/>
        <item x="14"/>
        <item x="28"/>
        <item x="41"/>
        <item x="0"/>
        <item x="15"/>
        <item x="17"/>
        <item x="7"/>
        <item x="1"/>
        <item x="37"/>
        <item x="6"/>
        <item x="4"/>
        <item x="31"/>
        <item x="9"/>
        <item x="13"/>
        <item x="30"/>
        <item x="10"/>
        <item x="18"/>
        <item x="23"/>
        <item x="12"/>
        <item x="33"/>
        <item x="5"/>
        <item x="21"/>
        <item x="39"/>
        <item x="8"/>
        <item x="36"/>
        <item x="29"/>
        <item x="19"/>
        <item x="16"/>
        <item x="22"/>
        <item x="40"/>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6">
    <field x="12"/>
    <field x="14"/>
    <field x="36"/>
    <field x="37"/>
    <field x="68"/>
    <field x="78"/>
  </rowFields>
  <rowItems count="107">
    <i>
      <x/>
      <x v="4"/>
      <x/>
      <x v="10"/>
      <x v="6"/>
      <x v="40"/>
    </i>
    <i r="2">
      <x v="2"/>
      <x v="14"/>
      <x v="1"/>
      <x v="3"/>
    </i>
    <i r="2">
      <x v="15"/>
      <x v="11"/>
      <x v="46"/>
      <x v="41"/>
    </i>
    <i t="default">
      <x/>
    </i>
    <i>
      <x v="1"/>
      <x v="2"/>
      <x v="3"/>
      <x v="9"/>
      <x v="47"/>
      <x v="41"/>
    </i>
    <i t="default">
      <x v="1"/>
    </i>
    <i>
      <x v="2"/>
      <x v="7"/>
      <x v="3"/>
      <x v="9"/>
      <x v="8"/>
      <x v="9"/>
    </i>
    <i r="2">
      <x v="9"/>
      <x v="13"/>
      <x v="12"/>
      <x v="10"/>
    </i>
    <i r="2">
      <x v="13"/>
      <x v="17"/>
      <x v="19"/>
      <x v="18"/>
    </i>
    <i r="4">
      <x v="31"/>
      <x v="23"/>
    </i>
    <i r="4">
      <x v="32"/>
      <x v="20"/>
    </i>
    <i r="4">
      <x v="33"/>
      <x v="41"/>
    </i>
    <i t="default">
      <x v="2"/>
    </i>
    <i>
      <x v="3"/>
      <x v="19"/>
      <x v="2"/>
      <x v="14"/>
      <x v="1"/>
      <x v="13"/>
    </i>
    <i r="2">
      <x v="3"/>
      <x v="9"/>
      <x v="25"/>
      <x v="31"/>
    </i>
    <i t="default">
      <x v="3"/>
    </i>
    <i>
      <x v="4"/>
      <x v="15"/>
      <x/>
      <x v="10"/>
      <x v="5"/>
      <x v="31"/>
    </i>
    <i r="2">
      <x v="2"/>
      <x v="14"/>
      <x v="1"/>
      <x v="2"/>
    </i>
    <i t="default">
      <x v="4"/>
    </i>
    <i>
      <x v="5"/>
      <x v="13"/>
      <x/>
      <x v="10"/>
      <x v="5"/>
      <x v="31"/>
    </i>
    <i t="default">
      <x v="5"/>
    </i>
    <i>
      <x v="6"/>
      <x v="29"/>
      <x v="2"/>
      <x v="14"/>
      <x v="1"/>
      <x v="1"/>
    </i>
    <i r="2">
      <x v="12"/>
      <x v="16"/>
      <x v="4"/>
      <x v="6"/>
    </i>
    <i r="4">
      <x v="11"/>
      <x v="21"/>
    </i>
    <i r="4">
      <x v="34"/>
      <x v="39"/>
    </i>
    <i t="default">
      <x v="6"/>
    </i>
    <i>
      <x v="7"/>
      <x v="8"/>
      <x v="2"/>
      <x v="14"/>
      <x v="1"/>
      <x v="34"/>
    </i>
    <i t="default">
      <x v="7"/>
    </i>
    <i>
      <x v="8"/>
      <x v="33"/>
      <x v="1"/>
      <x v="12"/>
      <x v="7"/>
      <x v="23"/>
    </i>
    <i t="default">
      <x v="8"/>
    </i>
    <i>
      <x v="9"/>
      <x v="12"/>
      <x v="2"/>
      <x v="14"/>
      <x v="1"/>
      <x v="17"/>
    </i>
    <i r="2">
      <x v="11"/>
      <x/>
      <x v="30"/>
      <x v="41"/>
    </i>
    <i t="default">
      <x v="9"/>
    </i>
    <i>
      <x v="10"/>
      <x v="1"/>
      <x v="2"/>
      <x v="14"/>
      <x v="27"/>
      <x v="32"/>
    </i>
    <i t="default">
      <x v="10"/>
    </i>
    <i>
      <x v="11"/>
      <x v="22"/>
      <x v="2"/>
      <x v="14"/>
      <x v="1"/>
      <x v="19"/>
    </i>
    <i t="default">
      <x v="11"/>
    </i>
    <i>
      <x v="12"/>
      <x v="30"/>
      <x v="2"/>
      <x v="14"/>
      <x v="1"/>
      <x/>
    </i>
    <i t="default">
      <x v="12"/>
    </i>
    <i>
      <x v="13"/>
      <x v="24"/>
      <x v="2"/>
      <x v="14"/>
      <x v="1"/>
      <x v="9"/>
    </i>
    <i r="2">
      <x v="5"/>
      <x v="1"/>
      <x/>
      <x v="8"/>
    </i>
    <i r="4">
      <x v="18"/>
      <x v="33"/>
    </i>
    <i r="2">
      <x v="16"/>
      <x v="4"/>
      <x v="43"/>
      <x v="41"/>
    </i>
    <i t="default">
      <x v="13"/>
    </i>
    <i>
      <x v="14"/>
      <x v="28"/>
      <x v="1"/>
      <x v="12"/>
      <x v="28"/>
      <x v="39"/>
    </i>
    <i t="default">
      <x v="14"/>
    </i>
    <i>
      <x v="15"/>
      <x v="5"/>
      <x v="10"/>
      <x v="8"/>
      <x v="17"/>
      <x v="28"/>
    </i>
    <i r="2">
      <x v="17"/>
      <x v="3"/>
      <x v="42"/>
      <x v="41"/>
    </i>
    <i t="default">
      <x v="15"/>
    </i>
    <i>
      <x v="16"/>
      <x v="11"/>
      <x v="2"/>
      <x v="14"/>
      <x v="1"/>
      <x v="4"/>
    </i>
    <i t="default">
      <x v="16"/>
    </i>
    <i>
      <x v="17"/>
      <x/>
      <x v="2"/>
      <x v="14"/>
      <x v="1"/>
      <x v="27"/>
    </i>
    <i r="2">
      <x v="17"/>
      <x v="3"/>
      <x v="41"/>
      <x v="41"/>
    </i>
    <i t="default">
      <x v="17"/>
    </i>
    <i>
      <x v="18"/>
      <x v="18"/>
      <x v="8"/>
      <x v="7"/>
      <x v="35"/>
      <x v="26"/>
    </i>
    <i r="2">
      <x v="10"/>
      <x v="8"/>
      <x v="35"/>
      <x v="26"/>
    </i>
    <i t="default">
      <x v="18"/>
    </i>
    <i>
      <x v="19"/>
      <x v="16"/>
      <x v="2"/>
      <x v="14"/>
      <x v="1"/>
      <x v="36"/>
    </i>
    <i t="default">
      <x v="19"/>
    </i>
    <i>
      <x v="20"/>
      <x v="17"/>
      <x v="3"/>
      <x v="9"/>
      <x v="23"/>
      <x v="25"/>
    </i>
    <i r="2">
      <x v="4"/>
      <x v="2"/>
      <x v="45"/>
      <x v="41"/>
    </i>
    <i r="2">
      <x v="15"/>
      <x v="11"/>
      <x v="37"/>
      <x v="27"/>
    </i>
    <i r="4">
      <x v="40"/>
      <x v="35"/>
    </i>
    <i r="5">
      <x v="39"/>
    </i>
    <i r="4">
      <x v="44"/>
      <x v="40"/>
    </i>
    <i t="default">
      <x v="20"/>
    </i>
    <i>
      <x v="21"/>
      <x v="25"/>
      <x v="2"/>
      <x v="14"/>
      <x v="1"/>
      <x v="31"/>
    </i>
    <i r="2">
      <x v="6"/>
      <x v="15"/>
      <x v="1"/>
      <x v="15"/>
    </i>
    <i t="default">
      <x v="21"/>
    </i>
    <i>
      <x v="22"/>
      <x v="23"/>
      <x v="2"/>
      <x v="14"/>
      <x v="1"/>
      <x v="15"/>
    </i>
    <i r="2">
      <x v="6"/>
      <x v="15"/>
      <x v="1"/>
      <x v="31"/>
    </i>
    <i t="default">
      <x v="22"/>
    </i>
    <i>
      <x v="23"/>
      <x v="21"/>
      <x v="2"/>
      <x v="14"/>
      <x v="1"/>
      <x v="31"/>
    </i>
    <i r="2">
      <x v="6"/>
      <x v="15"/>
      <x v="1"/>
      <x v="15"/>
    </i>
    <i t="default">
      <x v="23"/>
    </i>
    <i>
      <x v="24"/>
      <x v="6"/>
      <x/>
      <x v="10"/>
      <x v="10"/>
      <x v="7"/>
    </i>
    <i r="4">
      <x v="16"/>
      <x v="31"/>
    </i>
    <i r="2">
      <x v="6"/>
      <x v="15"/>
      <x v="1"/>
      <x v="5"/>
    </i>
    <i t="default">
      <x v="24"/>
    </i>
    <i>
      <x v="25"/>
      <x v="26"/>
      <x/>
      <x v="10"/>
      <x v="9"/>
      <x v="11"/>
    </i>
    <i r="4">
      <x v="21"/>
      <x v="36"/>
    </i>
    <i t="default">
      <x v="25"/>
    </i>
    <i>
      <x v="26"/>
      <x v="31"/>
      <x v="1"/>
      <x v="12"/>
      <x v="3"/>
      <x v="14"/>
    </i>
    <i t="default">
      <x v="26"/>
    </i>
    <i>
      <x v="27"/>
      <x v="3"/>
      <x v="2"/>
      <x v="14"/>
      <x v="2"/>
      <x v="24"/>
    </i>
    <i r="2">
      <x v="3"/>
      <x v="9"/>
      <x v="38"/>
      <x v="37"/>
    </i>
    <i t="default">
      <x v="27"/>
    </i>
    <i>
      <x v="28"/>
      <x v="9"/>
      <x v="7"/>
      <x v="6"/>
      <x v="15"/>
      <x v="22"/>
    </i>
    <i r="2">
      <x v="10"/>
      <x v="8"/>
      <x v="36"/>
      <x v="38"/>
    </i>
    <i r="2">
      <x v="14"/>
      <x v="5"/>
      <x v="36"/>
      <x v="38"/>
    </i>
    <i t="default">
      <x v="28"/>
    </i>
    <i>
      <x v="29"/>
      <x v="10"/>
      <x v="7"/>
      <x v="6"/>
      <x v="14"/>
      <x v="22"/>
    </i>
    <i r="2">
      <x v="10"/>
      <x v="8"/>
      <x v="36"/>
      <x v="38"/>
    </i>
    <i r="2">
      <x v="14"/>
      <x v="5"/>
      <x v="36"/>
      <x v="38"/>
    </i>
    <i t="default">
      <x v="29"/>
    </i>
    <i>
      <x v="30"/>
      <x v="32"/>
      <x/>
      <x v="10"/>
      <x v="13"/>
      <x v="10"/>
    </i>
    <i r="4">
      <x v="20"/>
      <x v="34"/>
    </i>
    <i t="default">
      <x v="30"/>
    </i>
    <i>
      <x v="31"/>
      <x v="20"/>
      <x v="1"/>
      <x v="12"/>
      <x v="22"/>
      <x v="12"/>
    </i>
    <i r="4">
      <x v="24"/>
      <x v="16"/>
    </i>
    <i r="4">
      <x v="29"/>
      <x v="29"/>
    </i>
    <i t="default">
      <x v="31"/>
    </i>
    <i>
      <x v="32"/>
      <x v="14"/>
      <x/>
      <x v="10"/>
      <x v="26"/>
      <x v="31"/>
    </i>
    <i t="default">
      <x v="32"/>
    </i>
    <i>
      <x v="33"/>
      <x v="27"/>
      <x v="15"/>
      <x v="11"/>
      <x v="39"/>
      <x v="30"/>
    </i>
    <i t="default">
      <x v="33"/>
    </i>
    <i t="grand">
      <x/>
    </i>
  </rowItems>
  <colItems count="1">
    <i/>
  </colItems>
  <dataFields count="1">
    <dataField name="Sum of Quantity" fld="44" baseField="0" baseItem="0" numFmtId="3"/>
  </dataFields>
  <formats count="329">
    <format dxfId="328">
      <pivotArea type="all" dataOnly="0" outline="0" fieldPosition="0"/>
    </format>
    <format dxfId="327">
      <pivotArea outline="0" collapsedLevelsAreSubtotals="1" fieldPosition="0"/>
    </format>
    <format dxfId="326">
      <pivotArea field="12" type="button" dataOnly="0" labelOnly="1" outline="0" axis="axisRow" fieldPosition="0"/>
    </format>
    <format dxfId="325">
      <pivotArea field="14" type="button" dataOnly="0" labelOnly="1" outline="0" axis="axisRow" fieldPosition="1"/>
    </format>
    <format dxfId="324">
      <pivotArea field="36" type="button" dataOnly="0" labelOnly="1" outline="0" axis="axisRow" fieldPosition="2"/>
    </format>
    <format dxfId="323">
      <pivotArea field="37" type="button" dataOnly="0" labelOnly="1" outline="0" axis="axisRow" fieldPosition="3"/>
    </format>
    <format dxfId="322">
      <pivotArea field="68" type="button" dataOnly="0" labelOnly="1" outline="0" axis="axisRow" fieldPosition="4"/>
    </format>
    <format dxfId="321">
      <pivotArea field="78" type="button" dataOnly="0" labelOnly="1" outline="0" axis="axisRow" fieldPosition="5"/>
    </format>
    <format dxfId="320">
      <pivotArea dataOnly="0" labelOnly="1" outline="0" fieldPosition="0">
        <references count="1">
          <reference field="12" count="25">
            <x v="0"/>
            <x v="1"/>
            <x v="2"/>
            <x v="3"/>
            <x v="4"/>
            <x v="5"/>
            <x v="6"/>
            <x v="7"/>
            <x v="8"/>
            <x v="9"/>
            <x v="10"/>
            <x v="11"/>
            <x v="12"/>
            <x v="13"/>
            <x v="14"/>
            <x v="15"/>
            <x v="16"/>
            <x v="17"/>
            <x v="18"/>
            <x v="19"/>
            <x v="20"/>
            <x v="21"/>
            <x v="22"/>
            <x v="23"/>
            <x v="24"/>
          </reference>
        </references>
      </pivotArea>
    </format>
    <format dxfId="319">
      <pivotArea dataOnly="0" labelOnly="1" outline="0" fieldPosition="0">
        <references count="1">
          <reference field="12" count="25" defaultSubtotal="1">
            <x v="0"/>
            <x v="1"/>
            <x v="2"/>
            <x v="3"/>
            <x v="4"/>
            <x v="5"/>
            <x v="6"/>
            <x v="7"/>
            <x v="8"/>
            <x v="9"/>
            <x v="10"/>
            <x v="11"/>
            <x v="12"/>
            <x v="13"/>
            <x v="14"/>
            <x v="15"/>
            <x v="16"/>
            <x v="17"/>
            <x v="18"/>
            <x v="19"/>
            <x v="20"/>
            <x v="21"/>
            <x v="22"/>
            <x v="23"/>
            <x v="24"/>
          </reference>
        </references>
      </pivotArea>
    </format>
    <format dxfId="318">
      <pivotArea dataOnly="0" labelOnly="1" outline="0" fieldPosition="0">
        <references count="1">
          <reference field="12" count="9">
            <x v="25"/>
            <x v="26"/>
            <x v="27"/>
            <x v="28"/>
            <x v="29"/>
            <x v="30"/>
            <x v="31"/>
            <x v="32"/>
            <x v="33"/>
          </reference>
        </references>
      </pivotArea>
    </format>
    <format dxfId="317">
      <pivotArea dataOnly="0" labelOnly="1" outline="0" fieldPosition="0">
        <references count="1">
          <reference field="12" count="9" defaultSubtotal="1">
            <x v="25"/>
            <x v="26"/>
            <x v="27"/>
            <x v="28"/>
            <x v="29"/>
            <x v="30"/>
            <x v="31"/>
            <x v="32"/>
            <x v="33"/>
          </reference>
        </references>
      </pivotArea>
    </format>
    <format dxfId="316">
      <pivotArea dataOnly="0" labelOnly="1" grandRow="1" outline="0" fieldPosition="0"/>
    </format>
    <format dxfId="315">
      <pivotArea dataOnly="0" labelOnly="1" outline="0" fieldPosition="0">
        <references count="2">
          <reference field="12" count="1" selected="0">
            <x v="0"/>
          </reference>
          <reference field="14" count="1">
            <x v="4"/>
          </reference>
        </references>
      </pivotArea>
    </format>
    <format dxfId="314">
      <pivotArea dataOnly="0" labelOnly="1" outline="0" fieldPosition="0">
        <references count="2">
          <reference field="12" count="1" selected="0">
            <x v="1"/>
          </reference>
          <reference field="14" count="1">
            <x v="2"/>
          </reference>
        </references>
      </pivotArea>
    </format>
    <format dxfId="313">
      <pivotArea dataOnly="0" labelOnly="1" outline="0" fieldPosition="0">
        <references count="2">
          <reference field="12" count="1" selected="0">
            <x v="2"/>
          </reference>
          <reference field="14" count="1">
            <x v="7"/>
          </reference>
        </references>
      </pivotArea>
    </format>
    <format dxfId="312">
      <pivotArea dataOnly="0" labelOnly="1" outline="0" fieldPosition="0">
        <references count="2">
          <reference field="12" count="1" selected="0">
            <x v="3"/>
          </reference>
          <reference field="14" count="1">
            <x v="19"/>
          </reference>
        </references>
      </pivotArea>
    </format>
    <format dxfId="311">
      <pivotArea dataOnly="0" labelOnly="1" outline="0" fieldPosition="0">
        <references count="2">
          <reference field="12" count="1" selected="0">
            <x v="4"/>
          </reference>
          <reference field="14" count="1">
            <x v="15"/>
          </reference>
        </references>
      </pivotArea>
    </format>
    <format dxfId="310">
      <pivotArea dataOnly="0" labelOnly="1" outline="0" fieldPosition="0">
        <references count="2">
          <reference field="12" count="1" selected="0">
            <x v="5"/>
          </reference>
          <reference field="14" count="1">
            <x v="13"/>
          </reference>
        </references>
      </pivotArea>
    </format>
    <format dxfId="309">
      <pivotArea dataOnly="0" labelOnly="1" outline="0" fieldPosition="0">
        <references count="2">
          <reference field="12" count="1" selected="0">
            <x v="6"/>
          </reference>
          <reference field="14" count="1">
            <x v="29"/>
          </reference>
        </references>
      </pivotArea>
    </format>
    <format dxfId="308">
      <pivotArea dataOnly="0" labelOnly="1" outline="0" fieldPosition="0">
        <references count="2">
          <reference field="12" count="1" selected="0">
            <x v="7"/>
          </reference>
          <reference field="14" count="1">
            <x v="8"/>
          </reference>
        </references>
      </pivotArea>
    </format>
    <format dxfId="307">
      <pivotArea dataOnly="0" labelOnly="1" outline="0" fieldPosition="0">
        <references count="2">
          <reference field="12" count="1" selected="0">
            <x v="8"/>
          </reference>
          <reference field="14" count="1">
            <x v="33"/>
          </reference>
        </references>
      </pivotArea>
    </format>
    <format dxfId="306">
      <pivotArea dataOnly="0" labelOnly="1" outline="0" fieldPosition="0">
        <references count="2">
          <reference field="12" count="1" selected="0">
            <x v="9"/>
          </reference>
          <reference field="14" count="1">
            <x v="12"/>
          </reference>
        </references>
      </pivotArea>
    </format>
    <format dxfId="305">
      <pivotArea dataOnly="0" labelOnly="1" outline="0" fieldPosition="0">
        <references count="2">
          <reference field="12" count="1" selected="0">
            <x v="10"/>
          </reference>
          <reference field="14" count="1">
            <x v="1"/>
          </reference>
        </references>
      </pivotArea>
    </format>
    <format dxfId="304">
      <pivotArea dataOnly="0" labelOnly="1" outline="0" fieldPosition="0">
        <references count="2">
          <reference field="12" count="1" selected="0">
            <x v="11"/>
          </reference>
          <reference field="14" count="1">
            <x v="22"/>
          </reference>
        </references>
      </pivotArea>
    </format>
    <format dxfId="303">
      <pivotArea dataOnly="0" labelOnly="1" outline="0" fieldPosition="0">
        <references count="2">
          <reference field="12" count="1" selected="0">
            <x v="12"/>
          </reference>
          <reference field="14" count="1">
            <x v="30"/>
          </reference>
        </references>
      </pivotArea>
    </format>
    <format dxfId="302">
      <pivotArea dataOnly="0" labelOnly="1" outline="0" fieldPosition="0">
        <references count="2">
          <reference field="12" count="1" selected="0">
            <x v="13"/>
          </reference>
          <reference field="14" count="1">
            <x v="24"/>
          </reference>
        </references>
      </pivotArea>
    </format>
    <format dxfId="301">
      <pivotArea dataOnly="0" labelOnly="1" outline="0" fieldPosition="0">
        <references count="2">
          <reference field="12" count="1" selected="0">
            <x v="14"/>
          </reference>
          <reference field="14" count="1">
            <x v="28"/>
          </reference>
        </references>
      </pivotArea>
    </format>
    <format dxfId="300">
      <pivotArea dataOnly="0" labelOnly="1" outline="0" fieldPosition="0">
        <references count="2">
          <reference field="12" count="1" selected="0">
            <x v="15"/>
          </reference>
          <reference field="14" count="1">
            <x v="5"/>
          </reference>
        </references>
      </pivotArea>
    </format>
    <format dxfId="299">
      <pivotArea dataOnly="0" labelOnly="1" outline="0" fieldPosition="0">
        <references count="2">
          <reference field="12" count="1" selected="0">
            <x v="16"/>
          </reference>
          <reference field="14" count="1">
            <x v="11"/>
          </reference>
        </references>
      </pivotArea>
    </format>
    <format dxfId="298">
      <pivotArea dataOnly="0" labelOnly="1" outline="0" fieldPosition="0">
        <references count="2">
          <reference field="12" count="1" selected="0">
            <x v="17"/>
          </reference>
          <reference field="14" count="1">
            <x v="0"/>
          </reference>
        </references>
      </pivotArea>
    </format>
    <format dxfId="297">
      <pivotArea dataOnly="0" labelOnly="1" outline="0" fieldPosition="0">
        <references count="2">
          <reference field="12" count="1" selected="0">
            <x v="18"/>
          </reference>
          <reference field="14" count="1">
            <x v="18"/>
          </reference>
        </references>
      </pivotArea>
    </format>
    <format dxfId="296">
      <pivotArea dataOnly="0" labelOnly="1" outline="0" fieldPosition="0">
        <references count="2">
          <reference field="12" count="1" selected="0">
            <x v="19"/>
          </reference>
          <reference field="14" count="1">
            <x v="16"/>
          </reference>
        </references>
      </pivotArea>
    </format>
    <format dxfId="295">
      <pivotArea dataOnly="0" labelOnly="1" outline="0" fieldPosition="0">
        <references count="2">
          <reference field="12" count="1" selected="0">
            <x v="20"/>
          </reference>
          <reference field="14" count="1">
            <x v="17"/>
          </reference>
        </references>
      </pivotArea>
    </format>
    <format dxfId="294">
      <pivotArea dataOnly="0" labelOnly="1" outline="0" fieldPosition="0">
        <references count="2">
          <reference field="12" count="1" selected="0">
            <x v="21"/>
          </reference>
          <reference field="14" count="1">
            <x v="25"/>
          </reference>
        </references>
      </pivotArea>
    </format>
    <format dxfId="293">
      <pivotArea dataOnly="0" labelOnly="1" outline="0" fieldPosition="0">
        <references count="2">
          <reference field="12" count="1" selected="0">
            <x v="22"/>
          </reference>
          <reference field="14" count="1">
            <x v="23"/>
          </reference>
        </references>
      </pivotArea>
    </format>
    <format dxfId="292">
      <pivotArea dataOnly="0" labelOnly="1" outline="0" fieldPosition="0">
        <references count="2">
          <reference field="12" count="1" selected="0">
            <x v="23"/>
          </reference>
          <reference field="14" count="1">
            <x v="21"/>
          </reference>
        </references>
      </pivotArea>
    </format>
    <format dxfId="291">
      <pivotArea dataOnly="0" labelOnly="1" outline="0" fieldPosition="0">
        <references count="2">
          <reference field="12" count="1" selected="0">
            <x v="24"/>
          </reference>
          <reference field="14" count="1">
            <x v="6"/>
          </reference>
        </references>
      </pivotArea>
    </format>
    <format dxfId="290">
      <pivotArea dataOnly="0" labelOnly="1" outline="0" fieldPosition="0">
        <references count="2">
          <reference field="12" count="1" selected="0">
            <x v="25"/>
          </reference>
          <reference field="14" count="1">
            <x v="26"/>
          </reference>
        </references>
      </pivotArea>
    </format>
    <format dxfId="289">
      <pivotArea dataOnly="0" labelOnly="1" outline="0" fieldPosition="0">
        <references count="2">
          <reference field="12" count="1" selected="0">
            <x v="26"/>
          </reference>
          <reference field="14" count="1">
            <x v="31"/>
          </reference>
        </references>
      </pivotArea>
    </format>
    <format dxfId="288">
      <pivotArea dataOnly="0" labelOnly="1" outline="0" fieldPosition="0">
        <references count="2">
          <reference field="12" count="1" selected="0">
            <x v="27"/>
          </reference>
          <reference field="14" count="1">
            <x v="3"/>
          </reference>
        </references>
      </pivotArea>
    </format>
    <format dxfId="287">
      <pivotArea dataOnly="0" labelOnly="1" outline="0" fieldPosition="0">
        <references count="2">
          <reference field="12" count="1" selected="0">
            <x v="28"/>
          </reference>
          <reference field="14" count="1">
            <x v="9"/>
          </reference>
        </references>
      </pivotArea>
    </format>
    <format dxfId="286">
      <pivotArea dataOnly="0" labelOnly="1" outline="0" fieldPosition="0">
        <references count="2">
          <reference field="12" count="1" selected="0">
            <x v="29"/>
          </reference>
          <reference field="14" count="1">
            <x v="10"/>
          </reference>
        </references>
      </pivotArea>
    </format>
    <format dxfId="285">
      <pivotArea dataOnly="0" labelOnly="1" outline="0" fieldPosition="0">
        <references count="2">
          <reference field="12" count="1" selected="0">
            <x v="30"/>
          </reference>
          <reference field="14" count="1">
            <x v="32"/>
          </reference>
        </references>
      </pivotArea>
    </format>
    <format dxfId="284">
      <pivotArea dataOnly="0" labelOnly="1" outline="0" fieldPosition="0">
        <references count="2">
          <reference field="12" count="1" selected="0">
            <x v="31"/>
          </reference>
          <reference field="14" count="1">
            <x v="20"/>
          </reference>
        </references>
      </pivotArea>
    </format>
    <format dxfId="283">
      <pivotArea dataOnly="0" labelOnly="1" outline="0" fieldPosition="0">
        <references count="2">
          <reference field="12" count="1" selected="0">
            <x v="32"/>
          </reference>
          <reference field="14" count="1">
            <x v="14"/>
          </reference>
        </references>
      </pivotArea>
    </format>
    <format dxfId="282">
      <pivotArea dataOnly="0" labelOnly="1" outline="0" fieldPosition="0">
        <references count="2">
          <reference field="12" count="1" selected="0">
            <x v="33"/>
          </reference>
          <reference field="14" count="1">
            <x v="27"/>
          </reference>
        </references>
      </pivotArea>
    </format>
    <format dxfId="281">
      <pivotArea dataOnly="0" labelOnly="1" outline="0" fieldPosition="0">
        <references count="3">
          <reference field="12" count="1" selected="0">
            <x v="0"/>
          </reference>
          <reference field="14" count="1" selected="0">
            <x v="4"/>
          </reference>
          <reference field="36" count="3">
            <x v="0"/>
            <x v="2"/>
            <x v="15"/>
          </reference>
        </references>
      </pivotArea>
    </format>
    <format dxfId="280">
      <pivotArea dataOnly="0" labelOnly="1" outline="0" fieldPosition="0">
        <references count="3">
          <reference field="12" count="1" selected="0">
            <x v="1"/>
          </reference>
          <reference field="14" count="1" selected="0">
            <x v="2"/>
          </reference>
          <reference field="36" count="1">
            <x v="3"/>
          </reference>
        </references>
      </pivotArea>
    </format>
    <format dxfId="279">
      <pivotArea dataOnly="0" labelOnly="1" outline="0" fieldPosition="0">
        <references count="3">
          <reference field="12" count="1" selected="0">
            <x v="2"/>
          </reference>
          <reference field="14" count="1" selected="0">
            <x v="7"/>
          </reference>
          <reference field="36" count="3">
            <x v="3"/>
            <x v="9"/>
            <x v="13"/>
          </reference>
        </references>
      </pivotArea>
    </format>
    <format dxfId="278">
      <pivotArea dataOnly="0" labelOnly="1" outline="0" fieldPosition="0">
        <references count="3">
          <reference field="12" count="1" selected="0">
            <x v="3"/>
          </reference>
          <reference field="14" count="1" selected="0">
            <x v="19"/>
          </reference>
          <reference field="36" count="2">
            <x v="2"/>
            <x v="3"/>
          </reference>
        </references>
      </pivotArea>
    </format>
    <format dxfId="277">
      <pivotArea dataOnly="0" labelOnly="1" outline="0" fieldPosition="0">
        <references count="3">
          <reference field="12" count="1" selected="0">
            <x v="4"/>
          </reference>
          <reference field="14" count="1" selected="0">
            <x v="15"/>
          </reference>
          <reference field="36" count="2">
            <x v="0"/>
            <x v="2"/>
          </reference>
        </references>
      </pivotArea>
    </format>
    <format dxfId="276">
      <pivotArea dataOnly="0" labelOnly="1" outline="0" fieldPosition="0">
        <references count="3">
          <reference field="12" count="1" selected="0">
            <x v="5"/>
          </reference>
          <reference field="14" count="1" selected="0">
            <x v="13"/>
          </reference>
          <reference field="36" count="1">
            <x v="0"/>
          </reference>
        </references>
      </pivotArea>
    </format>
    <format dxfId="275">
      <pivotArea dataOnly="0" labelOnly="1" outline="0" fieldPosition="0">
        <references count="3">
          <reference field="12" count="1" selected="0">
            <x v="6"/>
          </reference>
          <reference field="14" count="1" selected="0">
            <x v="29"/>
          </reference>
          <reference field="36" count="2">
            <x v="2"/>
            <x v="12"/>
          </reference>
        </references>
      </pivotArea>
    </format>
    <format dxfId="274">
      <pivotArea dataOnly="0" labelOnly="1" outline="0" fieldPosition="0">
        <references count="3">
          <reference field="12" count="1" selected="0">
            <x v="7"/>
          </reference>
          <reference field="14" count="1" selected="0">
            <x v="8"/>
          </reference>
          <reference field="36" count="1">
            <x v="2"/>
          </reference>
        </references>
      </pivotArea>
    </format>
    <format dxfId="273">
      <pivotArea dataOnly="0" labelOnly="1" outline="0" fieldPosition="0">
        <references count="3">
          <reference field="12" count="1" selected="0">
            <x v="8"/>
          </reference>
          <reference field="14" count="1" selected="0">
            <x v="33"/>
          </reference>
          <reference field="36" count="1">
            <x v="1"/>
          </reference>
        </references>
      </pivotArea>
    </format>
    <format dxfId="272">
      <pivotArea dataOnly="0" labelOnly="1" outline="0" fieldPosition="0">
        <references count="3">
          <reference field="12" count="1" selected="0">
            <x v="9"/>
          </reference>
          <reference field="14" count="1" selected="0">
            <x v="12"/>
          </reference>
          <reference field="36" count="2">
            <x v="2"/>
            <x v="11"/>
          </reference>
        </references>
      </pivotArea>
    </format>
    <format dxfId="271">
      <pivotArea dataOnly="0" labelOnly="1" outline="0" fieldPosition="0">
        <references count="3">
          <reference field="12" count="1" selected="0">
            <x v="10"/>
          </reference>
          <reference field="14" count="1" selected="0">
            <x v="1"/>
          </reference>
          <reference field="36" count="1">
            <x v="2"/>
          </reference>
        </references>
      </pivotArea>
    </format>
    <format dxfId="270">
      <pivotArea dataOnly="0" labelOnly="1" outline="0" fieldPosition="0">
        <references count="3">
          <reference field="12" count="1" selected="0">
            <x v="11"/>
          </reference>
          <reference field="14" count="1" selected="0">
            <x v="22"/>
          </reference>
          <reference field="36" count="1">
            <x v="2"/>
          </reference>
        </references>
      </pivotArea>
    </format>
    <format dxfId="269">
      <pivotArea dataOnly="0" labelOnly="1" outline="0" fieldPosition="0">
        <references count="3">
          <reference field="12" count="1" selected="0">
            <x v="12"/>
          </reference>
          <reference field="14" count="1" selected="0">
            <x v="30"/>
          </reference>
          <reference field="36" count="1">
            <x v="2"/>
          </reference>
        </references>
      </pivotArea>
    </format>
    <format dxfId="268">
      <pivotArea dataOnly="0" labelOnly="1" outline="0" fieldPosition="0">
        <references count="3">
          <reference field="12" count="1" selected="0">
            <x v="13"/>
          </reference>
          <reference field="14" count="1" selected="0">
            <x v="24"/>
          </reference>
          <reference field="36" count="3">
            <x v="2"/>
            <x v="5"/>
            <x v="16"/>
          </reference>
        </references>
      </pivotArea>
    </format>
    <format dxfId="267">
      <pivotArea dataOnly="0" labelOnly="1" outline="0" fieldPosition="0">
        <references count="3">
          <reference field="12" count="1" selected="0">
            <x v="14"/>
          </reference>
          <reference field="14" count="1" selected="0">
            <x v="28"/>
          </reference>
          <reference field="36" count="1">
            <x v="1"/>
          </reference>
        </references>
      </pivotArea>
    </format>
    <format dxfId="266">
      <pivotArea dataOnly="0" labelOnly="1" outline="0" fieldPosition="0">
        <references count="3">
          <reference field="12" count="1" selected="0">
            <x v="15"/>
          </reference>
          <reference field="14" count="1" selected="0">
            <x v="5"/>
          </reference>
          <reference field="36" count="2">
            <x v="10"/>
            <x v="17"/>
          </reference>
        </references>
      </pivotArea>
    </format>
    <format dxfId="265">
      <pivotArea dataOnly="0" labelOnly="1" outline="0" fieldPosition="0">
        <references count="3">
          <reference field="12" count="1" selected="0">
            <x v="16"/>
          </reference>
          <reference field="14" count="1" selected="0">
            <x v="11"/>
          </reference>
          <reference field="36" count="1">
            <x v="2"/>
          </reference>
        </references>
      </pivotArea>
    </format>
    <format dxfId="264">
      <pivotArea dataOnly="0" labelOnly="1" outline="0" fieldPosition="0">
        <references count="3">
          <reference field="12" count="1" selected="0">
            <x v="17"/>
          </reference>
          <reference field="14" count="1" selected="0">
            <x v="0"/>
          </reference>
          <reference field="36" count="2">
            <x v="2"/>
            <x v="17"/>
          </reference>
        </references>
      </pivotArea>
    </format>
    <format dxfId="263">
      <pivotArea dataOnly="0" labelOnly="1" outline="0" fieldPosition="0">
        <references count="3">
          <reference field="12" count="1" selected="0">
            <x v="18"/>
          </reference>
          <reference field="14" count="1" selected="0">
            <x v="18"/>
          </reference>
          <reference field="36" count="2">
            <x v="8"/>
            <x v="10"/>
          </reference>
        </references>
      </pivotArea>
    </format>
    <format dxfId="262">
      <pivotArea dataOnly="0" labelOnly="1" outline="0" fieldPosition="0">
        <references count="3">
          <reference field="12" count="1" selected="0">
            <x v="19"/>
          </reference>
          <reference field="14" count="1" selected="0">
            <x v="16"/>
          </reference>
          <reference field="36" count="1">
            <x v="2"/>
          </reference>
        </references>
      </pivotArea>
    </format>
    <format dxfId="261">
      <pivotArea dataOnly="0" labelOnly="1" outline="0" fieldPosition="0">
        <references count="3">
          <reference field="12" count="1" selected="0">
            <x v="20"/>
          </reference>
          <reference field="14" count="1" selected="0">
            <x v="17"/>
          </reference>
          <reference field="36" count="3">
            <x v="3"/>
            <x v="4"/>
            <x v="15"/>
          </reference>
        </references>
      </pivotArea>
    </format>
    <format dxfId="260">
      <pivotArea dataOnly="0" labelOnly="1" outline="0" fieldPosition="0">
        <references count="3">
          <reference field="12" count="1" selected="0">
            <x v="21"/>
          </reference>
          <reference field="14" count="1" selected="0">
            <x v="25"/>
          </reference>
          <reference field="36" count="2">
            <x v="2"/>
            <x v="6"/>
          </reference>
        </references>
      </pivotArea>
    </format>
    <format dxfId="259">
      <pivotArea dataOnly="0" labelOnly="1" outline="0" fieldPosition="0">
        <references count="3">
          <reference field="12" count="1" selected="0">
            <x v="22"/>
          </reference>
          <reference field="14" count="1" selected="0">
            <x v="23"/>
          </reference>
          <reference field="36" count="2">
            <x v="2"/>
            <x v="6"/>
          </reference>
        </references>
      </pivotArea>
    </format>
    <format dxfId="258">
      <pivotArea dataOnly="0" labelOnly="1" outline="0" fieldPosition="0">
        <references count="3">
          <reference field="12" count="1" selected="0">
            <x v="23"/>
          </reference>
          <reference field="14" count="1" selected="0">
            <x v="21"/>
          </reference>
          <reference field="36" count="2">
            <x v="2"/>
            <x v="6"/>
          </reference>
        </references>
      </pivotArea>
    </format>
    <format dxfId="257">
      <pivotArea dataOnly="0" labelOnly="1" outline="0" fieldPosition="0">
        <references count="3">
          <reference field="12" count="1" selected="0">
            <x v="24"/>
          </reference>
          <reference field="14" count="1" selected="0">
            <x v="6"/>
          </reference>
          <reference field="36" count="2">
            <x v="0"/>
            <x v="6"/>
          </reference>
        </references>
      </pivotArea>
    </format>
    <format dxfId="256">
      <pivotArea dataOnly="0" labelOnly="1" outline="0" fieldPosition="0">
        <references count="3">
          <reference field="12" count="1" selected="0">
            <x v="25"/>
          </reference>
          <reference field="14" count="1" selected="0">
            <x v="26"/>
          </reference>
          <reference field="36" count="1">
            <x v="0"/>
          </reference>
        </references>
      </pivotArea>
    </format>
    <format dxfId="255">
      <pivotArea dataOnly="0" labelOnly="1" outline="0" fieldPosition="0">
        <references count="3">
          <reference field="12" count="1" selected="0">
            <x v="26"/>
          </reference>
          <reference field="14" count="1" selected="0">
            <x v="31"/>
          </reference>
          <reference field="36" count="1">
            <x v="1"/>
          </reference>
        </references>
      </pivotArea>
    </format>
    <format dxfId="254">
      <pivotArea dataOnly="0" labelOnly="1" outline="0" fieldPosition="0">
        <references count="3">
          <reference field="12" count="1" selected="0">
            <x v="27"/>
          </reference>
          <reference field="14" count="1" selected="0">
            <x v="3"/>
          </reference>
          <reference field="36" count="2">
            <x v="2"/>
            <x v="3"/>
          </reference>
        </references>
      </pivotArea>
    </format>
    <format dxfId="253">
      <pivotArea dataOnly="0" labelOnly="1" outline="0" fieldPosition="0">
        <references count="3">
          <reference field="12" count="1" selected="0">
            <x v="28"/>
          </reference>
          <reference field="14" count="1" selected="0">
            <x v="9"/>
          </reference>
          <reference field="36" count="3">
            <x v="7"/>
            <x v="10"/>
            <x v="14"/>
          </reference>
        </references>
      </pivotArea>
    </format>
    <format dxfId="252">
      <pivotArea dataOnly="0" labelOnly="1" outline="0" fieldPosition="0">
        <references count="3">
          <reference field="12" count="1" selected="0">
            <x v="29"/>
          </reference>
          <reference field="14" count="1" selected="0">
            <x v="10"/>
          </reference>
          <reference field="36" count="3">
            <x v="7"/>
            <x v="10"/>
            <x v="14"/>
          </reference>
        </references>
      </pivotArea>
    </format>
    <format dxfId="251">
      <pivotArea dataOnly="0" labelOnly="1" outline="0" fieldPosition="0">
        <references count="3">
          <reference field="12" count="1" selected="0">
            <x v="30"/>
          </reference>
          <reference field="14" count="1" selected="0">
            <x v="32"/>
          </reference>
          <reference field="36" count="1">
            <x v="0"/>
          </reference>
        </references>
      </pivotArea>
    </format>
    <format dxfId="250">
      <pivotArea dataOnly="0" labelOnly="1" outline="0" fieldPosition="0">
        <references count="3">
          <reference field="12" count="1" selected="0">
            <x v="31"/>
          </reference>
          <reference field="14" count="1" selected="0">
            <x v="20"/>
          </reference>
          <reference field="36" count="1">
            <x v="1"/>
          </reference>
        </references>
      </pivotArea>
    </format>
    <format dxfId="249">
      <pivotArea dataOnly="0" labelOnly="1" outline="0" fieldPosition="0">
        <references count="3">
          <reference field="12" count="1" selected="0">
            <x v="32"/>
          </reference>
          <reference field="14" count="1" selected="0">
            <x v="14"/>
          </reference>
          <reference field="36" count="1">
            <x v="0"/>
          </reference>
        </references>
      </pivotArea>
    </format>
    <format dxfId="248">
      <pivotArea dataOnly="0" labelOnly="1" outline="0" fieldPosition="0">
        <references count="3">
          <reference field="12" count="1" selected="0">
            <x v="33"/>
          </reference>
          <reference field="14" count="1" selected="0">
            <x v="27"/>
          </reference>
          <reference field="36" count="1">
            <x v="15"/>
          </reference>
        </references>
      </pivotArea>
    </format>
    <format dxfId="247">
      <pivotArea dataOnly="0" labelOnly="1" outline="0" fieldPosition="0">
        <references count="4">
          <reference field="12" count="1" selected="0">
            <x v="0"/>
          </reference>
          <reference field="14" count="1" selected="0">
            <x v="4"/>
          </reference>
          <reference field="36" count="1" selected="0">
            <x v="0"/>
          </reference>
          <reference field="37" count="1">
            <x v="10"/>
          </reference>
        </references>
      </pivotArea>
    </format>
    <format dxfId="246">
      <pivotArea dataOnly="0" labelOnly="1" outline="0" fieldPosition="0">
        <references count="4">
          <reference field="12" count="1" selected="0">
            <x v="0"/>
          </reference>
          <reference field="14" count="1" selected="0">
            <x v="4"/>
          </reference>
          <reference field="36" count="1" selected="0">
            <x v="2"/>
          </reference>
          <reference field="37" count="1">
            <x v="14"/>
          </reference>
        </references>
      </pivotArea>
    </format>
    <format dxfId="245">
      <pivotArea dataOnly="0" labelOnly="1" outline="0" fieldPosition="0">
        <references count="4">
          <reference field="12" count="1" selected="0">
            <x v="0"/>
          </reference>
          <reference field="14" count="1" selected="0">
            <x v="4"/>
          </reference>
          <reference field="36" count="1" selected="0">
            <x v="15"/>
          </reference>
          <reference field="37" count="1">
            <x v="11"/>
          </reference>
        </references>
      </pivotArea>
    </format>
    <format dxfId="244">
      <pivotArea dataOnly="0" labelOnly="1" outline="0" fieldPosition="0">
        <references count="4">
          <reference field="12" count="1" selected="0">
            <x v="1"/>
          </reference>
          <reference field="14" count="1" selected="0">
            <x v="2"/>
          </reference>
          <reference field="36" count="1" selected="0">
            <x v="3"/>
          </reference>
          <reference field="37" count="1">
            <x v="9"/>
          </reference>
        </references>
      </pivotArea>
    </format>
    <format dxfId="243">
      <pivotArea dataOnly="0" labelOnly="1" outline="0" fieldPosition="0">
        <references count="4">
          <reference field="12" count="1" selected="0">
            <x v="2"/>
          </reference>
          <reference field="14" count="1" selected="0">
            <x v="7"/>
          </reference>
          <reference field="36" count="1" selected="0">
            <x v="3"/>
          </reference>
          <reference field="37" count="1">
            <x v="9"/>
          </reference>
        </references>
      </pivotArea>
    </format>
    <format dxfId="242">
      <pivotArea dataOnly="0" labelOnly="1" outline="0" fieldPosition="0">
        <references count="4">
          <reference field="12" count="1" selected="0">
            <x v="2"/>
          </reference>
          <reference field="14" count="1" selected="0">
            <x v="7"/>
          </reference>
          <reference field="36" count="1" selected="0">
            <x v="9"/>
          </reference>
          <reference field="37" count="1">
            <x v="13"/>
          </reference>
        </references>
      </pivotArea>
    </format>
    <format dxfId="241">
      <pivotArea dataOnly="0" labelOnly="1" outline="0" fieldPosition="0">
        <references count="4">
          <reference field="12" count="1" selected="0">
            <x v="2"/>
          </reference>
          <reference field="14" count="1" selected="0">
            <x v="7"/>
          </reference>
          <reference field="36" count="1" selected="0">
            <x v="13"/>
          </reference>
          <reference field="37" count="1">
            <x v="17"/>
          </reference>
        </references>
      </pivotArea>
    </format>
    <format dxfId="240">
      <pivotArea dataOnly="0" labelOnly="1" outline="0" fieldPosition="0">
        <references count="4">
          <reference field="12" count="1" selected="0">
            <x v="3"/>
          </reference>
          <reference field="14" count="1" selected="0">
            <x v="19"/>
          </reference>
          <reference field="36" count="1" selected="0">
            <x v="2"/>
          </reference>
          <reference field="37" count="1">
            <x v="14"/>
          </reference>
        </references>
      </pivotArea>
    </format>
    <format dxfId="239">
      <pivotArea dataOnly="0" labelOnly="1" outline="0" fieldPosition="0">
        <references count="4">
          <reference field="12" count="1" selected="0">
            <x v="3"/>
          </reference>
          <reference field="14" count="1" selected="0">
            <x v="19"/>
          </reference>
          <reference field="36" count="1" selected="0">
            <x v="3"/>
          </reference>
          <reference field="37" count="1">
            <x v="9"/>
          </reference>
        </references>
      </pivotArea>
    </format>
    <format dxfId="238">
      <pivotArea dataOnly="0" labelOnly="1" outline="0" fieldPosition="0">
        <references count="4">
          <reference field="12" count="1" selected="0">
            <x v="4"/>
          </reference>
          <reference field="14" count="1" selected="0">
            <x v="15"/>
          </reference>
          <reference field="36" count="1" selected="0">
            <x v="0"/>
          </reference>
          <reference field="37" count="1">
            <x v="10"/>
          </reference>
        </references>
      </pivotArea>
    </format>
    <format dxfId="237">
      <pivotArea dataOnly="0" labelOnly="1" outline="0" fieldPosition="0">
        <references count="4">
          <reference field="12" count="1" selected="0">
            <x v="4"/>
          </reference>
          <reference field="14" count="1" selected="0">
            <x v="15"/>
          </reference>
          <reference field="36" count="1" selected="0">
            <x v="2"/>
          </reference>
          <reference field="37" count="1">
            <x v="14"/>
          </reference>
        </references>
      </pivotArea>
    </format>
    <format dxfId="236">
      <pivotArea dataOnly="0" labelOnly="1" outline="0" fieldPosition="0">
        <references count="4">
          <reference field="12" count="1" selected="0">
            <x v="5"/>
          </reference>
          <reference field="14" count="1" selected="0">
            <x v="13"/>
          </reference>
          <reference field="36" count="1" selected="0">
            <x v="0"/>
          </reference>
          <reference field="37" count="1">
            <x v="10"/>
          </reference>
        </references>
      </pivotArea>
    </format>
    <format dxfId="235">
      <pivotArea dataOnly="0" labelOnly="1" outline="0" fieldPosition="0">
        <references count="4">
          <reference field="12" count="1" selected="0">
            <x v="6"/>
          </reference>
          <reference field="14" count="1" selected="0">
            <x v="29"/>
          </reference>
          <reference field="36" count="1" selected="0">
            <x v="2"/>
          </reference>
          <reference field="37" count="1">
            <x v="14"/>
          </reference>
        </references>
      </pivotArea>
    </format>
    <format dxfId="234">
      <pivotArea dataOnly="0" labelOnly="1" outline="0" fieldPosition="0">
        <references count="4">
          <reference field="12" count="1" selected="0">
            <x v="6"/>
          </reference>
          <reference field="14" count="1" selected="0">
            <x v="29"/>
          </reference>
          <reference field="36" count="1" selected="0">
            <x v="12"/>
          </reference>
          <reference field="37" count="1">
            <x v="16"/>
          </reference>
        </references>
      </pivotArea>
    </format>
    <format dxfId="233">
      <pivotArea dataOnly="0" labelOnly="1" outline="0" fieldPosition="0">
        <references count="4">
          <reference field="12" count="1" selected="0">
            <x v="7"/>
          </reference>
          <reference field="14" count="1" selected="0">
            <x v="8"/>
          </reference>
          <reference field="36" count="1" selected="0">
            <x v="2"/>
          </reference>
          <reference field="37" count="1">
            <x v="14"/>
          </reference>
        </references>
      </pivotArea>
    </format>
    <format dxfId="232">
      <pivotArea dataOnly="0" labelOnly="1" outline="0" fieldPosition="0">
        <references count="4">
          <reference field="12" count="1" selected="0">
            <x v="8"/>
          </reference>
          <reference field="14" count="1" selected="0">
            <x v="33"/>
          </reference>
          <reference field="36" count="1" selected="0">
            <x v="1"/>
          </reference>
          <reference field="37" count="1">
            <x v="12"/>
          </reference>
        </references>
      </pivotArea>
    </format>
    <format dxfId="231">
      <pivotArea dataOnly="0" labelOnly="1" outline="0" fieldPosition="0">
        <references count="4">
          <reference field="12" count="1" selected="0">
            <x v="9"/>
          </reference>
          <reference field="14" count="1" selected="0">
            <x v="12"/>
          </reference>
          <reference field="36" count="1" selected="0">
            <x v="2"/>
          </reference>
          <reference field="37" count="1">
            <x v="14"/>
          </reference>
        </references>
      </pivotArea>
    </format>
    <format dxfId="230">
      <pivotArea dataOnly="0" labelOnly="1" outline="0" fieldPosition="0">
        <references count="4">
          <reference field="12" count="1" selected="0">
            <x v="9"/>
          </reference>
          <reference field="14" count="1" selected="0">
            <x v="12"/>
          </reference>
          <reference field="36" count="1" selected="0">
            <x v="11"/>
          </reference>
          <reference field="37" count="1">
            <x v="0"/>
          </reference>
        </references>
      </pivotArea>
    </format>
    <format dxfId="229">
      <pivotArea dataOnly="0" labelOnly="1" outline="0" fieldPosition="0">
        <references count="4">
          <reference field="12" count="1" selected="0">
            <x v="10"/>
          </reference>
          <reference field="14" count="1" selected="0">
            <x v="1"/>
          </reference>
          <reference field="36" count="1" selected="0">
            <x v="2"/>
          </reference>
          <reference field="37" count="1">
            <x v="14"/>
          </reference>
        </references>
      </pivotArea>
    </format>
    <format dxfId="228">
      <pivotArea dataOnly="0" labelOnly="1" outline="0" fieldPosition="0">
        <references count="4">
          <reference field="12" count="1" selected="0">
            <x v="11"/>
          </reference>
          <reference field="14" count="1" selected="0">
            <x v="22"/>
          </reference>
          <reference field="36" count="1" selected="0">
            <x v="2"/>
          </reference>
          <reference field="37" count="1">
            <x v="14"/>
          </reference>
        </references>
      </pivotArea>
    </format>
    <format dxfId="227">
      <pivotArea dataOnly="0" labelOnly="1" outline="0" fieldPosition="0">
        <references count="4">
          <reference field="12" count="1" selected="0">
            <x v="12"/>
          </reference>
          <reference field="14" count="1" selected="0">
            <x v="30"/>
          </reference>
          <reference field="36" count="1" selected="0">
            <x v="2"/>
          </reference>
          <reference field="37" count="1">
            <x v="14"/>
          </reference>
        </references>
      </pivotArea>
    </format>
    <format dxfId="226">
      <pivotArea dataOnly="0" labelOnly="1" outline="0" fieldPosition="0">
        <references count="4">
          <reference field="12" count="1" selected="0">
            <x v="13"/>
          </reference>
          <reference field="14" count="1" selected="0">
            <x v="24"/>
          </reference>
          <reference field="36" count="1" selected="0">
            <x v="2"/>
          </reference>
          <reference field="37" count="1">
            <x v="14"/>
          </reference>
        </references>
      </pivotArea>
    </format>
    <format dxfId="225">
      <pivotArea dataOnly="0" labelOnly="1" outline="0" fieldPosition="0">
        <references count="4">
          <reference field="12" count="1" selected="0">
            <x v="13"/>
          </reference>
          <reference field="14" count="1" selected="0">
            <x v="24"/>
          </reference>
          <reference field="36" count="1" selected="0">
            <x v="5"/>
          </reference>
          <reference field="37" count="1">
            <x v="1"/>
          </reference>
        </references>
      </pivotArea>
    </format>
    <format dxfId="224">
      <pivotArea dataOnly="0" labelOnly="1" outline="0" fieldPosition="0">
        <references count="4">
          <reference field="12" count="1" selected="0">
            <x v="13"/>
          </reference>
          <reference field="14" count="1" selected="0">
            <x v="24"/>
          </reference>
          <reference field="36" count="1" selected="0">
            <x v="16"/>
          </reference>
          <reference field="37" count="1">
            <x v="4"/>
          </reference>
        </references>
      </pivotArea>
    </format>
    <format dxfId="223">
      <pivotArea dataOnly="0" labelOnly="1" outline="0" fieldPosition="0">
        <references count="4">
          <reference field="12" count="1" selected="0">
            <x v="14"/>
          </reference>
          <reference field="14" count="1" selected="0">
            <x v="28"/>
          </reference>
          <reference field="36" count="1" selected="0">
            <x v="1"/>
          </reference>
          <reference field="37" count="1">
            <x v="12"/>
          </reference>
        </references>
      </pivotArea>
    </format>
    <format dxfId="222">
      <pivotArea dataOnly="0" labelOnly="1" outline="0" fieldPosition="0">
        <references count="4">
          <reference field="12" count="1" selected="0">
            <x v="15"/>
          </reference>
          <reference field="14" count="1" selected="0">
            <x v="5"/>
          </reference>
          <reference field="36" count="1" selected="0">
            <x v="10"/>
          </reference>
          <reference field="37" count="1">
            <x v="8"/>
          </reference>
        </references>
      </pivotArea>
    </format>
    <format dxfId="221">
      <pivotArea dataOnly="0" labelOnly="1" outline="0" fieldPosition="0">
        <references count="4">
          <reference field="12" count="1" selected="0">
            <x v="15"/>
          </reference>
          <reference field="14" count="1" selected="0">
            <x v="5"/>
          </reference>
          <reference field="36" count="1" selected="0">
            <x v="17"/>
          </reference>
          <reference field="37" count="1">
            <x v="3"/>
          </reference>
        </references>
      </pivotArea>
    </format>
    <format dxfId="220">
      <pivotArea dataOnly="0" labelOnly="1" outline="0" fieldPosition="0">
        <references count="4">
          <reference field="12" count="1" selected="0">
            <x v="16"/>
          </reference>
          <reference field="14" count="1" selected="0">
            <x v="11"/>
          </reference>
          <reference field="36" count="1" selected="0">
            <x v="2"/>
          </reference>
          <reference field="37" count="1">
            <x v="14"/>
          </reference>
        </references>
      </pivotArea>
    </format>
    <format dxfId="219">
      <pivotArea dataOnly="0" labelOnly="1" outline="0" fieldPosition="0">
        <references count="4">
          <reference field="12" count="1" selected="0">
            <x v="17"/>
          </reference>
          <reference field="14" count="1" selected="0">
            <x v="0"/>
          </reference>
          <reference field="36" count="1" selected="0">
            <x v="2"/>
          </reference>
          <reference field="37" count="1">
            <x v="14"/>
          </reference>
        </references>
      </pivotArea>
    </format>
    <format dxfId="218">
      <pivotArea dataOnly="0" labelOnly="1" outline="0" fieldPosition="0">
        <references count="4">
          <reference field="12" count="1" selected="0">
            <x v="17"/>
          </reference>
          <reference field="14" count="1" selected="0">
            <x v="0"/>
          </reference>
          <reference field="36" count="1" selected="0">
            <x v="17"/>
          </reference>
          <reference field="37" count="1">
            <x v="3"/>
          </reference>
        </references>
      </pivotArea>
    </format>
    <format dxfId="217">
      <pivotArea dataOnly="0" labelOnly="1" outline="0" fieldPosition="0">
        <references count="4">
          <reference field="12" count="1" selected="0">
            <x v="18"/>
          </reference>
          <reference field="14" count="1" selected="0">
            <x v="18"/>
          </reference>
          <reference field="36" count="1" selected="0">
            <x v="8"/>
          </reference>
          <reference field="37" count="1">
            <x v="7"/>
          </reference>
        </references>
      </pivotArea>
    </format>
    <format dxfId="216">
      <pivotArea dataOnly="0" labelOnly="1" outline="0" fieldPosition="0">
        <references count="4">
          <reference field="12" count="1" selected="0">
            <x v="18"/>
          </reference>
          <reference field="14" count="1" selected="0">
            <x v="18"/>
          </reference>
          <reference field="36" count="1" selected="0">
            <x v="10"/>
          </reference>
          <reference field="37" count="1">
            <x v="8"/>
          </reference>
        </references>
      </pivotArea>
    </format>
    <format dxfId="215">
      <pivotArea dataOnly="0" labelOnly="1" outline="0" fieldPosition="0">
        <references count="4">
          <reference field="12" count="1" selected="0">
            <x v="19"/>
          </reference>
          <reference field="14" count="1" selected="0">
            <x v="16"/>
          </reference>
          <reference field="36" count="1" selected="0">
            <x v="2"/>
          </reference>
          <reference field="37" count="1">
            <x v="14"/>
          </reference>
        </references>
      </pivotArea>
    </format>
    <format dxfId="214">
      <pivotArea dataOnly="0" labelOnly="1" outline="0" fieldPosition="0">
        <references count="4">
          <reference field="12" count="1" selected="0">
            <x v="20"/>
          </reference>
          <reference field="14" count="1" selected="0">
            <x v="17"/>
          </reference>
          <reference field="36" count="1" selected="0">
            <x v="3"/>
          </reference>
          <reference field="37" count="1">
            <x v="9"/>
          </reference>
        </references>
      </pivotArea>
    </format>
    <format dxfId="213">
      <pivotArea dataOnly="0" labelOnly="1" outline="0" fieldPosition="0">
        <references count="4">
          <reference field="12" count="1" selected="0">
            <x v="20"/>
          </reference>
          <reference field="14" count="1" selected="0">
            <x v="17"/>
          </reference>
          <reference field="36" count="1" selected="0">
            <x v="4"/>
          </reference>
          <reference field="37" count="1">
            <x v="2"/>
          </reference>
        </references>
      </pivotArea>
    </format>
    <format dxfId="212">
      <pivotArea dataOnly="0" labelOnly="1" outline="0" fieldPosition="0">
        <references count="4">
          <reference field="12" count="1" selected="0">
            <x v="20"/>
          </reference>
          <reference field="14" count="1" selected="0">
            <x v="17"/>
          </reference>
          <reference field="36" count="1" selected="0">
            <x v="15"/>
          </reference>
          <reference field="37" count="1">
            <x v="11"/>
          </reference>
        </references>
      </pivotArea>
    </format>
    <format dxfId="211">
      <pivotArea dataOnly="0" labelOnly="1" outline="0" fieldPosition="0">
        <references count="4">
          <reference field="12" count="1" selected="0">
            <x v="21"/>
          </reference>
          <reference field="14" count="1" selected="0">
            <x v="25"/>
          </reference>
          <reference field="36" count="1" selected="0">
            <x v="2"/>
          </reference>
          <reference field="37" count="1">
            <x v="14"/>
          </reference>
        </references>
      </pivotArea>
    </format>
    <format dxfId="210">
      <pivotArea dataOnly="0" labelOnly="1" outline="0" fieldPosition="0">
        <references count="4">
          <reference field="12" count="1" selected="0">
            <x v="21"/>
          </reference>
          <reference field="14" count="1" selected="0">
            <x v="25"/>
          </reference>
          <reference field="36" count="1" selected="0">
            <x v="6"/>
          </reference>
          <reference field="37" count="1">
            <x v="15"/>
          </reference>
        </references>
      </pivotArea>
    </format>
    <format dxfId="209">
      <pivotArea dataOnly="0" labelOnly="1" outline="0" fieldPosition="0">
        <references count="4">
          <reference field="12" count="1" selected="0">
            <x v="22"/>
          </reference>
          <reference field="14" count="1" selected="0">
            <x v="23"/>
          </reference>
          <reference field="36" count="1" selected="0">
            <x v="2"/>
          </reference>
          <reference field="37" count="1">
            <x v="14"/>
          </reference>
        </references>
      </pivotArea>
    </format>
    <format dxfId="208">
      <pivotArea dataOnly="0" labelOnly="1" outline="0" fieldPosition="0">
        <references count="4">
          <reference field="12" count="1" selected="0">
            <x v="22"/>
          </reference>
          <reference field="14" count="1" selected="0">
            <x v="23"/>
          </reference>
          <reference field="36" count="1" selected="0">
            <x v="6"/>
          </reference>
          <reference field="37" count="1">
            <x v="15"/>
          </reference>
        </references>
      </pivotArea>
    </format>
    <format dxfId="207">
      <pivotArea dataOnly="0" labelOnly="1" outline="0" fieldPosition="0">
        <references count="4">
          <reference field="12" count="1" selected="0">
            <x v="23"/>
          </reference>
          <reference field="14" count="1" selected="0">
            <x v="21"/>
          </reference>
          <reference field="36" count="1" selected="0">
            <x v="2"/>
          </reference>
          <reference field="37" count="1">
            <x v="14"/>
          </reference>
        </references>
      </pivotArea>
    </format>
    <format dxfId="206">
      <pivotArea dataOnly="0" labelOnly="1" outline="0" fieldPosition="0">
        <references count="4">
          <reference field="12" count="1" selected="0">
            <x v="23"/>
          </reference>
          <reference field="14" count="1" selected="0">
            <x v="21"/>
          </reference>
          <reference field="36" count="1" selected="0">
            <x v="6"/>
          </reference>
          <reference field="37" count="1">
            <x v="15"/>
          </reference>
        </references>
      </pivotArea>
    </format>
    <format dxfId="205">
      <pivotArea dataOnly="0" labelOnly="1" outline="0" fieldPosition="0">
        <references count="4">
          <reference field="12" count="1" selected="0">
            <x v="24"/>
          </reference>
          <reference field="14" count="1" selected="0">
            <x v="6"/>
          </reference>
          <reference field="36" count="1" selected="0">
            <x v="0"/>
          </reference>
          <reference field="37" count="1">
            <x v="10"/>
          </reference>
        </references>
      </pivotArea>
    </format>
    <format dxfId="204">
      <pivotArea dataOnly="0" labelOnly="1" outline="0" fieldPosition="0">
        <references count="4">
          <reference field="12" count="1" selected="0">
            <x v="24"/>
          </reference>
          <reference field="14" count="1" selected="0">
            <x v="6"/>
          </reference>
          <reference field="36" count="1" selected="0">
            <x v="6"/>
          </reference>
          <reference field="37" count="1">
            <x v="15"/>
          </reference>
        </references>
      </pivotArea>
    </format>
    <format dxfId="203">
      <pivotArea dataOnly="0" labelOnly="1" outline="0" fieldPosition="0">
        <references count="4">
          <reference field="12" count="1" selected="0">
            <x v="25"/>
          </reference>
          <reference field="14" count="1" selected="0">
            <x v="26"/>
          </reference>
          <reference field="36" count="1" selected="0">
            <x v="0"/>
          </reference>
          <reference field="37" count="1">
            <x v="10"/>
          </reference>
        </references>
      </pivotArea>
    </format>
    <format dxfId="202">
      <pivotArea dataOnly="0" labelOnly="1" outline="0" fieldPosition="0">
        <references count="4">
          <reference field="12" count="1" selected="0">
            <x v="26"/>
          </reference>
          <reference field="14" count="1" selected="0">
            <x v="31"/>
          </reference>
          <reference field="36" count="1" selected="0">
            <x v="1"/>
          </reference>
          <reference field="37" count="1">
            <x v="12"/>
          </reference>
        </references>
      </pivotArea>
    </format>
    <format dxfId="201">
      <pivotArea dataOnly="0" labelOnly="1" outline="0" fieldPosition="0">
        <references count="4">
          <reference field="12" count="1" selected="0">
            <x v="27"/>
          </reference>
          <reference field="14" count="1" selected="0">
            <x v="3"/>
          </reference>
          <reference field="36" count="1" selected="0">
            <x v="2"/>
          </reference>
          <reference field="37" count="1">
            <x v="14"/>
          </reference>
        </references>
      </pivotArea>
    </format>
    <format dxfId="200">
      <pivotArea dataOnly="0" labelOnly="1" outline="0" fieldPosition="0">
        <references count="4">
          <reference field="12" count="1" selected="0">
            <x v="27"/>
          </reference>
          <reference field="14" count="1" selected="0">
            <x v="3"/>
          </reference>
          <reference field="36" count="1" selected="0">
            <x v="3"/>
          </reference>
          <reference field="37" count="1">
            <x v="9"/>
          </reference>
        </references>
      </pivotArea>
    </format>
    <format dxfId="199">
      <pivotArea dataOnly="0" labelOnly="1" outline="0" fieldPosition="0">
        <references count="4">
          <reference field="12" count="1" selected="0">
            <x v="28"/>
          </reference>
          <reference field="14" count="1" selected="0">
            <x v="9"/>
          </reference>
          <reference field="36" count="1" selected="0">
            <x v="7"/>
          </reference>
          <reference field="37" count="1">
            <x v="6"/>
          </reference>
        </references>
      </pivotArea>
    </format>
    <format dxfId="198">
      <pivotArea dataOnly="0" labelOnly="1" outline="0" fieldPosition="0">
        <references count="4">
          <reference field="12" count="1" selected="0">
            <x v="28"/>
          </reference>
          <reference field="14" count="1" selected="0">
            <x v="9"/>
          </reference>
          <reference field="36" count="1" selected="0">
            <x v="10"/>
          </reference>
          <reference field="37" count="1">
            <x v="8"/>
          </reference>
        </references>
      </pivotArea>
    </format>
    <format dxfId="197">
      <pivotArea dataOnly="0" labelOnly="1" outline="0" fieldPosition="0">
        <references count="4">
          <reference field="12" count="1" selected="0">
            <x v="28"/>
          </reference>
          <reference field="14" count="1" selected="0">
            <x v="9"/>
          </reference>
          <reference field="36" count="1" selected="0">
            <x v="14"/>
          </reference>
          <reference field="37" count="1">
            <x v="5"/>
          </reference>
        </references>
      </pivotArea>
    </format>
    <format dxfId="196">
      <pivotArea dataOnly="0" labelOnly="1" outline="0" fieldPosition="0">
        <references count="4">
          <reference field="12" count="1" selected="0">
            <x v="29"/>
          </reference>
          <reference field="14" count="1" selected="0">
            <x v="10"/>
          </reference>
          <reference field="36" count="1" selected="0">
            <x v="7"/>
          </reference>
          <reference field="37" count="1">
            <x v="6"/>
          </reference>
        </references>
      </pivotArea>
    </format>
    <format dxfId="195">
      <pivotArea dataOnly="0" labelOnly="1" outline="0" fieldPosition="0">
        <references count="4">
          <reference field="12" count="1" selected="0">
            <x v="29"/>
          </reference>
          <reference field="14" count="1" selected="0">
            <x v="10"/>
          </reference>
          <reference field="36" count="1" selected="0">
            <x v="10"/>
          </reference>
          <reference field="37" count="1">
            <x v="8"/>
          </reference>
        </references>
      </pivotArea>
    </format>
    <format dxfId="194">
      <pivotArea dataOnly="0" labelOnly="1" outline="0" fieldPosition="0">
        <references count="4">
          <reference field="12" count="1" selected="0">
            <x v="29"/>
          </reference>
          <reference field="14" count="1" selected="0">
            <x v="10"/>
          </reference>
          <reference field="36" count="1" selected="0">
            <x v="14"/>
          </reference>
          <reference field="37" count="1">
            <x v="5"/>
          </reference>
        </references>
      </pivotArea>
    </format>
    <format dxfId="193">
      <pivotArea dataOnly="0" labelOnly="1" outline="0" fieldPosition="0">
        <references count="4">
          <reference field="12" count="1" selected="0">
            <x v="30"/>
          </reference>
          <reference field="14" count="1" selected="0">
            <x v="32"/>
          </reference>
          <reference field="36" count="1" selected="0">
            <x v="0"/>
          </reference>
          <reference field="37" count="1">
            <x v="10"/>
          </reference>
        </references>
      </pivotArea>
    </format>
    <format dxfId="192">
      <pivotArea dataOnly="0" labelOnly="1" outline="0" fieldPosition="0">
        <references count="4">
          <reference field="12" count="1" selected="0">
            <x v="31"/>
          </reference>
          <reference field="14" count="1" selected="0">
            <x v="20"/>
          </reference>
          <reference field="36" count="1" selected="0">
            <x v="1"/>
          </reference>
          <reference field="37" count="1">
            <x v="12"/>
          </reference>
        </references>
      </pivotArea>
    </format>
    <format dxfId="191">
      <pivotArea dataOnly="0" labelOnly="1" outline="0" fieldPosition="0">
        <references count="4">
          <reference field="12" count="1" selected="0">
            <x v="32"/>
          </reference>
          <reference field="14" count="1" selected="0">
            <x v="14"/>
          </reference>
          <reference field="36" count="1" selected="0">
            <x v="0"/>
          </reference>
          <reference field="37" count="1">
            <x v="10"/>
          </reference>
        </references>
      </pivotArea>
    </format>
    <format dxfId="190">
      <pivotArea dataOnly="0" labelOnly="1" outline="0" fieldPosition="0">
        <references count="4">
          <reference field="12" count="1" selected="0">
            <x v="33"/>
          </reference>
          <reference field="14" count="1" selected="0">
            <x v="27"/>
          </reference>
          <reference field="36" count="1" selected="0">
            <x v="15"/>
          </reference>
          <reference field="37" count="1">
            <x v="11"/>
          </reference>
        </references>
      </pivotArea>
    </format>
    <format dxfId="189">
      <pivotArea dataOnly="0" labelOnly="1" outline="0" fieldPosition="0">
        <references count="5">
          <reference field="12" count="1" selected="0">
            <x v="0"/>
          </reference>
          <reference field="14" count="1" selected="0">
            <x v="4"/>
          </reference>
          <reference field="36" count="1" selected="0">
            <x v="0"/>
          </reference>
          <reference field="37" count="1" selected="0">
            <x v="10"/>
          </reference>
          <reference field="68" count="1">
            <x v="6"/>
          </reference>
        </references>
      </pivotArea>
    </format>
    <format dxfId="188">
      <pivotArea dataOnly="0" labelOnly="1" outline="0" fieldPosition="0">
        <references count="5">
          <reference field="12" count="1" selected="0">
            <x v="0"/>
          </reference>
          <reference field="14" count="1" selected="0">
            <x v="4"/>
          </reference>
          <reference field="36" count="1" selected="0">
            <x v="0"/>
          </reference>
          <reference field="37" count="1" selected="0">
            <x v="10"/>
          </reference>
          <reference field="68" count="1" defaultSubtotal="1">
            <x v="6"/>
          </reference>
        </references>
      </pivotArea>
    </format>
    <format dxfId="187">
      <pivotArea dataOnly="0" labelOnly="1" outline="0" fieldPosition="0">
        <references count="5">
          <reference field="12" count="1" selected="0">
            <x v="0"/>
          </reference>
          <reference field="14" count="1" selected="0">
            <x v="4"/>
          </reference>
          <reference field="36" count="1" selected="0">
            <x v="2"/>
          </reference>
          <reference field="37" count="1" selected="0">
            <x v="14"/>
          </reference>
          <reference field="68" count="1">
            <x v="1"/>
          </reference>
        </references>
      </pivotArea>
    </format>
    <format dxfId="186">
      <pivotArea dataOnly="0" labelOnly="1" outline="0" fieldPosition="0">
        <references count="5">
          <reference field="12" count="1" selected="0">
            <x v="0"/>
          </reference>
          <reference field="14" count="1" selected="0">
            <x v="4"/>
          </reference>
          <reference field="36" count="1" selected="0">
            <x v="2"/>
          </reference>
          <reference field="37" count="1" selected="0">
            <x v="14"/>
          </reference>
          <reference field="68" count="1" defaultSubtotal="1">
            <x v="1"/>
          </reference>
        </references>
      </pivotArea>
    </format>
    <format dxfId="185">
      <pivotArea dataOnly="0" labelOnly="1" outline="0" fieldPosition="0">
        <references count="5">
          <reference field="12" count="1" selected="0">
            <x v="0"/>
          </reference>
          <reference field="14" count="1" selected="0">
            <x v="4"/>
          </reference>
          <reference field="36" count="1" selected="0">
            <x v="15"/>
          </reference>
          <reference field="37" count="1" selected="0">
            <x v="11"/>
          </reference>
          <reference field="68" count="1">
            <x v="46"/>
          </reference>
        </references>
      </pivotArea>
    </format>
    <format dxfId="184">
      <pivotArea dataOnly="0" labelOnly="1" outline="0" fieldPosition="0">
        <references count="5">
          <reference field="12" count="1" selected="0">
            <x v="0"/>
          </reference>
          <reference field="14" count="1" selected="0">
            <x v="4"/>
          </reference>
          <reference field="36" count="1" selected="0">
            <x v="15"/>
          </reference>
          <reference field="37" count="1" selected="0">
            <x v="11"/>
          </reference>
          <reference field="68" count="1" defaultSubtotal="1">
            <x v="46"/>
          </reference>
        </references>
      </pivotArea>
    </format>
    <format dxfId="183">
      <pivotArea dataOnly="0" labelOnly="1" outline="0" fieldPosition="0">
        <references count="5">
          <reference field="12" count="1" selected="0">
            <x v="1"/>
          </reference>
          <reference field="14" count="1" selected="0">
            <x v="2"/>
          </reference>
          <reference field="36" count="1" selected="0">
            <x v="3"/>
          </reference>
          <reference field="37" count="1" selected="0">
            <x v="9"/>
          </reference>
          <reference field="68" count="1">
            <x v="47"/>
          </reference>
        </references>
      </pivotArea>
    </format>
    <format dxfId="182">
      <pivotArea dataOnly="0" labelOnly="1" outline="0" fieldPosition="0">
        <references count="5">
          <reference field="12" count="1" selected="0">
            <x v="1"/>
          </reference>
          <reference field="14" count="1" selected="0">
            <x v="2"/>
          </reference>
          <reference field="36" count="1" selected="0">
            <x v="3"/>
          </reference>
          <reference field="37" count="1" selected="0">
            <x v="9"/>
          </reference>
          <reference field="68" count="1" defaultSubtotal="1">
            <x v="47"/>
          </reference>
        </references>
      </pivotArea>
    </format>
    <format dxfId="181">
      <pivotArea dataOnly="0" labelOnly="1" outline="0" fieldPosition="0">
        <references count="5">
          <reference field="12" count="1" selected="0">
            <x v="2"/>
          </reference>
          <reference field="14" count="1" selected="0">
            <x v="7"/>
          </reference>
          <reference field="36" count="1" selected="0">
            <x v="3"/>
          </reference>
          <reference field="37" count="1" selected="0">
            <x v="9"/>
          </reference>
          <reference field="68" count="1">
            <x v="8"/>
          </reference>
        </references>
      </pivotArea>
    </format>
    <format dxfId="180">
      <pivotArea dataOnly="0" labelOnly="1" outline="0" fieldPosition="0">
        <references count="5">
          <reference field="12" count="1" selected="0">
            <x v="2"/>
          </reference>
          <reference field="14" count="1" selected="0">
            <x v="7"/>
          </reference>
          <reference field="36" count="1" selected="0">
            <x v="3"/>
          </reference>
          <reference field="37" count="1" selected="0">
            <x v="9"/>
          </reference>
          <reference field="68" count="1" defaultSubtotal="1">
            <x v="8"/>
          </reference>
        </references>
      </pivotArea>
    </format>
    <format dxfId="179">
      <pivotArea dataOnly="0" labelOnly="1" outline="0" fieldPosition="0">
        <references count="5">
          <reference field="12" count="1" selected="0">
            <x v="2"/>
          </reference>
          <reference field="14" count="1" selected="0">
            <x v="7"/>
          </reference>
          <reference field="36" count="1" selected="0">
            <x v="9"/>
          </reference>
          <reference field="37" count="1" selected="0">
            <x v="13"/>
          </reference>
          <reference field="68" count="1">
            <x v="12"/>
          </reference>
        </references>
      </pivotArea>
    </format>
    <format dxfId="178">
      <pivotArea dataOnly="0" labelOnly="1" outline="0" fieldPosition="0">
        <references count="5">
          <reference field="12" count="1" selected="0">
            <x v="2"/>
          </reference>
          <reference field="14" count="1" selected="0">
            <x v="7"/>
          </reference>
          <reference field="36" count="1" selected="0">
            <x v="9"/>
          </reference>
          <reference field="37" count="1" selected="0">
            <x v="13"/>
          </reference>
          <reference field="68" count="1" defaultSubtotal="1">
            <x v="12"/>
          </reference>
        </references>
      </pivotArea>
    </format>
    <format dxfId="177">
      <pivotArea dataOnly="0" labelOnly="1" outline="0" fieldPosition="0">
        <references count="5">
          <reference field="12" count="1" selected="0">
            <x v="2"/>
          </reference>
          <reference field="14" count="1" selected="0">
            <x v="7"/>
          </reference>
          <reference field="36" count="1" selected="0">
            <x v="13"/>
          </reference>
          <reference field="37" count="1" selected="0">
            <x v="17"/>
          </reference>
          <reference field="68" count="4">
            <x v="19"/>
            <x v="31"/>
            <x v="32"/>
            <x v="33"/>
          </reference>
        </references>
      </pivotArea>
    </format>
    <format dxfId="176">
      <pivotArea dataOnly="0" labelOnly="1" outline="0" fieldPosition="0">
        <references count="5">
          <reference field="12" count="1" selected="0">
            <x v="2"/>
          </reference>
          <reference field="14" count="1" selected="0">
            <x v="7"/>
          </reference>
          <reference field="36" count="1" selected="0">
            <x v="13"/>
          </reference>
          <reference field="37" count="1" selected="0">
            <x v="17"/>
          </reference>
          <reference field="68" count="4" defaultSubtotal="1">
            <x v="19"/>
            <x v="31"/>
            <x v="32"/>
            <x v="33"/>
          </reference>
        </references>
      </pivotArea>
    </format>
    <format dxfId="175">
      <pivotArea dataOnly="0" labelOnly="1" outline="0" fieldPosition="0">
        <references count="5">
          <reference field="12" count="1" selected="0">
            <x v="3"/>
          </reference>
          <reference field="14" count="1" selected="0">
            <x v="19"/>
          </reference>
          <reference field="36" count="1" selected="0">
            <x v="2"/>
          </reference>
          <reference field="37" count="1" selected="0">
            <x v="14"/>
          </reference>
          <reference field="68" count="1">
            <x v="1"/>
          </reference>
        </references>
      </pivotArea>
    </format>
    <format dxfId="174">
      <pivotArea dataOnly="0" labelOnly="1" outline="0" fieldPosition="0">
        <references count="5">
          <reference field="12" count="1" selected="0">
            <x v="3"/>
          </reference>
          <reference field="14" count="1" selected="0">
            <x v="19"/>
          </reference>
          <reference field="36" count="1" selected="0">
            <x v="2"/>
          </reference>
          <reference field="37" count="1" selected="0">
            <x v="14"/>
          </reference>
          <reference field="68" count="1" defaultSubtotal="1">
            <x v="1"/>
          </reference>
        </references>
      </pivotArea>
    </format>
    <format dxfId="173">
      <pivotArea dataOnly="0" labelOnly="1" outline="0" fieldPosition="0">
        <references count="5">
          <reference field="12" count="1" selected="0">
            <x v="3"/>
          </reference>
          <reference field="14" count="1" selected="0">
            <x v="19"/>
          </reference>
          <reference field="36" count="1" selected="0">
            <x v="3"/>
          </reference>
          <reference field="37" count="1" selected="0">
            <x v="9"/>
          </reference>
          <reference field="68" count="1">
            <x v="25"/>
          </reference>
        </references>
      </pivotArea>
    </format>
    <format dxfId="172">
      <pivotArea dataOnly="0" labelOnly="1" outline="0" fieldPosition="0">
        <references count="5">
          <reference field="12" count="1" selected="0">
            <x v="3"/>
          </reference>
          <reference field="14" count="1" selected="0">
            <x v="19"/>
          </reference>
          <reference field="36" count="1" selected="0">
            <x v="3"/>
          </reference>
          <reference field="37" count="1" selected="0">
            <x v="9"/>
          </reference>
          <reference field="68" count="1" defaultSubtotal="1">
            <x v="25"/>
          </reference>
        </references>
      </pivotArea>
    </format>
    <format dxfId="171">
      <pivotArea dataOnly="0" labelOnly="1" outline="0" fieldPosition="0">
        <references count="5">
          <reference field="12" count="1" selected="0">
            <x v="4"/>
          </reference>
          <reference field="14" count="1" selected="0">
            <x v="15"/>
          </reference>
          <reference field="36" count="1" selected="0">
            <x v="0"/>
          </reference>
          <reference field="37" count="1" selected="0">
            <x v="10"/>
          </reference>
          <reference field="68" count="1">
            <x v="5"/>
          </reference>
        </references>
      </pivotArea>
    </format>
    <format dxfId="170">
      <pivotArea dataOnly="0" labelOnly="1" outline="0" fieldPosition="0">
        <references count="5">
          <reference field="12" count="1" selected="0">
            <x v="4"/>
          </reference>
          <reference field="14" count="1" selected="0">
            <x v="15"/>
          </reference>
          <reference field="36" count="1" selected="0">
            <x v="0"/>
          </reference>
          <reference field="37" count="1" selected="0">
            <x v="10"/>
          </reference>
          <reference field="68" count="1" defaultSubtotal="1">
            <x v="5"/>
          </reference>
        </references>
      </pivotArea>
    </format>
    <format dxfId="169">
      <pivotArea dataOnly="0" labelOnly="1" outline="0" fieldPosition="0">
        <references count="5">
          <reference field="12" count="1" selected="0">
            <x v="4"/>
          </reference>
          <reference field="14" count="1" selected="0">
            <x v="15"/>
          </reference>
          <reference field="36" count="1" selected="0">
            <x v="2"/>
          </reference>
          <reference field="37" count="1" selected="0">
            <x v="14"/>
          </reference>
          <reference field="68" count="1">
            <x v="1"/>
          </reference>
        </references>
      </pivotArea>
    </format>
    <format dxfId="168">
      <pivotArea dataOnly="0" labelOnly="1" outline="0" fieldPosition="0">
        <references count="5">
          <reference field="12" count="1" selected="0">
            <x v="4"/>
          </reference>
          <reference field="14" count="1" selected="0">
            <x v="15"/>
          </reference>
          <reference field="36" count="1" selected="0">
            <x v="2"/>
          </reference>
          <reference field="37" count="1" selected="0">
            <x v="14"/>
          </reference>
          <reference field="68" count="1" defaultSubtotal="1">
            <x v="1"/>
          </reference>
        </references>
      </pivotArea>
    </format>
    <format dxfId="167">
      <pivotArea dataOnly="0" labelOnly="1" outline="0" fieldPosition="0">
        <references count="5">
          <reference field="12" count="1" selected="0">
            <x v="5"/>
          </reference>
          <reference field="14" count="1" selected="0">
            <x v="13"/>
          </reference>
          <reference field="36" count="1" selected="0">
            <x v="0"/>
          </reference>
          <reference field="37" count="1" selected="0">
            <x v="10"/>
          </reference>
          <reference field="68" count="1">
            <x v="5"/>
          </reference>
        </references>
      </pivotArea>
    </format>
    <format dxfId="166">
      <pivotArea dataOnly="0" labelOnly="1" outline="0" fieldPosition="0">
        <references count="5">
          <reference field="12" count="1" selected="0">
            <x v="5"/>
          </reference>
          <reference field="14" count="1" selected="0">
            <x v="13"/>
          </reference>
          <reference field="36" count="1" selected="0">
            <x v="0"/>
          </reference>
          <reference field="37" count="1" selected="0">
            <x v="10"/>
          </reference>
          <reference field="68" count="1" defaultSubtotal="1">
            <x v="5"/>
          </reference>
        </references>
      </pivotArea>
    </format>
    <format dxfId="165">
      <pivotArea dataOnly="0" labelOnly="1" outline="0" fieldPosition="0">
        <references count="5">
          <reference field="12" count="1" selected="0">
            <x v="6"/>
          </reference>
          <reference field="14" count="1" selected="0">
            <x v="29"/>
          </reference>
          <reference field="36" count="1" selected="0">
            <x v="2"/>
          </reference>
          <reference field="37" count="1" selected="0">
            <x v="14"/>
          </reference>
          <reference field="68" count="1">
            <x v="1"/>
          </reference>
        </references>
      </pivotArea>
    </format>
    <format dxfId="164">
      <pivotArea dataOnly="0" labelOnly="1" outline="0" fieldPosition="0">
        <references count="5">
          <reference field="12" count="1" selected="0">
            <x v="6"/>
          </reference>
          <reference field="14" count="1" selected="0">
            <x v="29"/>
          </reference>
          <reference field="36" count="1" selected="0">
            <x v="2"/>
          </reference>
          <reference field="37" count="1" selected="0">
            <x v="14"/>
          </reference>
          <reference field="68" count="1" defaultSubtotal="1">
            <x v="1"/>
          </reference>
        </references>
      </pivotArea>
    </format>
    <format dxfId="163">
      <pivotArea dataOnly="0" labelOnly="1" outline="0" fieldPosition="0">
        <references count="5">
          <reference field="12" count="1" selected="0">
            <x v="6"/>
          </reference>
          <reference field="14" count="1" selected="0">
            <x v="29"/>
          </reference>
          <reference field="36" count="1" selected="0">
            <x v="12"/>
          </reference>
          <reference field="37" count="1" selected="0">
            <x v="16"/>
          </reference>
          <reference field="68" count="3">
            <x v="4"/>
            <x v="11"/>
            <x v="34"/>
          </reference>
        </references>
      </pivotArea>
    </format>
    <format dxfId="162">
      <pivotArea dataOnly="0" labelOnly="1" outline="0" fieldPosition="0">
        <references count="5">
          <reference field="12" count="1" selected="0">
            <x v="6"/>
          </reference>
          <reference field="14" count="1" selected="0">
            <x v="29"/>
          </reference>
          <reference field="36" count="1" selected="0">
            <x v="12"/>
          </reference>
          <reference field="37" count="1" selected="0">
            <x v="16"/>
          </reference>
          <reference field="68" count="3" defaultSubtotal="1">
            <x v="4"/>
            <x v="11"/>
            <x v="34"/>
          </reference>
        </references>
      </pivotArea>
    </format>
    <format dxfId="161">
      <pivotArea dataOnly="0" labelOnly="1" outline="0" fieldPosition="0">
        <references count="5">
          <reference field="12" count="1" selected="0">
            <x v="7"/>
          </reference>
          <reference field="14" count="1" selected="0">
            <x v="8"/>
          </reference>
          <reference field="36" count="1" selected="0">
            <x v="2"/>
          </reference>
          <reference field="37" count="1" selected="0">
            <x v="14"/>
          </reference>
          <reference field="68" count="1">
            <x v="1"/>
          </reference>
        </references>
      </pivotArea>
    </format>
    <format dxfId="160">
      <pivotArea dataOnly="0" labelOnly="1" outline="0" fieldPosition="0">
        <references count="5">
          <reference field="12" count="1" selected="0">
            <x v="7"/>
          </reference>
          <reference field="14" count="1" selected="0">
            <x v="8"/>
          </reference>
          <reference field="36" count="1" selected="0">
            <x v="2"/>
          </reference>
          <reference field="37" count="1" selected="0">
            <x v="14"/>
          </reference>
          <reference field="68" count="1" defaultSubtotal="1">
            <x v="1"/>
          </reference>
        </references>
      </pivotArea>
    </format>
    <format dxfId="159">
      <pivotArea dataOnly="0" labelOnly="1" outline="0" fieldPosition="0">
        <references count="5">
          <reference field="12" count="1" selected="0">
            <x v="8"/>
          </reference>
          <reference field="14" count="1" selected="0">
            <x v="33"/>
          </reference>
          <reference field="36" count="1" selected="0">
            <x v="1"/>
          </reference>
          <reference field="37" count="1" selected="0">
            <x v="12"/>
          </reference>
          <reference field="68" count="1">
            <x v="7"/>
          </reference>
        </references>
      </pivotArea>
    </format>
    <format dxfId="158">
      <pivotArea dataOnly="0" labelOnly="1" outline="0" fieldPosition="0">
        <references count="5">
          <reference field="12" count="1" selected="0">
            <x v="8"/>
          </reference>
          <reference field="14" count="1" selected="0">
            <x v="33"/>
          </reference>
          <reference field="36" count="1" selected="0">
            <x v="1"/>
          </reference>
          <reference field="37" count="1" selected="0">
            <x v="12"/>
          </reference>
          <reference field="68" count="1" defaultSubtotal="1">
            <x v="7"/>
          </reference>
        </references>
      </pivotArea>
    </format>
    <format dxfId="157">
      <pivotArea dataOnly="0" labelOnly="1" outline="0" fieldPosition="0">
        <references count="5">
          <reference field="12" count="1" selected="0">
            <x v="9"/>
          </reference>
          <reference field="14" count="1" selected="0">
            <x v="12"/>
          </reference>
          <reference field="36" count="1" selected="0">
            <x v="2"/>
          </reference>
          <reference field="37" count="1" selected="0">
            <x v="14"/>
          </reference>
          <reference field="68" count="1">
            <x v="1"/>
          </reference>
        </references>
      </pivotArea>
    </format>
    <format dxfId="156">
      <pivotArea dataOnly="0" labelOnly="1" outline="0" fieldPosition="0">
        <references count="5">
          <reference field="12" count="1" selected="0">
            <x v="9"/>
          </reference>
          <reference field="14" count="1" selected="0">
            <x v="12"/>
          </reference>
          <reference field="36" count="1" selected="0">
            <x v="2"/>
          </reference>
          <reference field="37" count="1" selected="0">
            <x v="14"/>
          </reference>
          <reference field="68" count="1" defaultSubtotal="1">
            <x v="1"/>
          </reference>
        </references>
      </pivotArea>
    </format>
    <format dxfId="155">
      <pivotArea dataOnly="0" labelOnly="1" outline="0" fieldPosition="0">
        <references count="5">
          <reference field="12" count="1" selected="0">
            <x v="9"/>
          </reference>
          <reference field="14" count="1" selected="0">
            <x v="12"/>
          </reference>
          <reference field="36" count="1" selected="0">
            <x v="11"/>
          </reference>
          <reference field="37" count="1" selected="0">
            <x v="0"/>
          </reference>
          <reference field="68" count="1">
            <x v="30"/>
          </reference>
        </references>
      </pivotArea>
    </format>
    <format dxfId="154">
      <pivotArea dataOnly="0" labelOnly="1" outline="0" fieldPosition="0">
        <references count="5">
          <reference field="12" count="1" selected="0">
            <x v="9"/>
          </reference>
          <reference field="14" count="1" selected="0">
            <x v="12"/>
          </reference>
          <reference field="36" count="1" selected="0">
            <x v="11"/>
          </reference>
          <reference field="37" count="1" selected="0">
            <x v="0"/>
          </reference>
          <reference field="68" count="1" defaultSubtotal="1">
            <x v="30"/>
          </reference>
        </references>
      </pivotArea>
    </format>
    <format dxfId="153">
      <pivotArea dataOnly="0" labelOnly="1" outline="0" fieldPosition="0">
        <references count="5">
          <reference field="12" count="1" selected="0">
            <x v="10"/>
          </reference>
          <reference field="14" count="1" selected="0">
            <x v="1"/>
          </reference>
          <reference field="36" count="1" selected="0">
            <x v="2"/>
          </reference>
          <reference field="37" count="1" selected="0">
            <x v="14"/>
          </reference>
          <reference field="68" count="1">
            <x v="27"/>
          </reference>
        </references>
      </pivotArea>
    </format>
    <format dxfId="152">
      <pivotArea dataOnly="0" labelOnly="1" outline="0" fieldPosition="0">
        <references count="5">
          <reference field="12" count="1" selected="0">
            <x v="10"/>
          </reference>
          <reference field="14" count="1" selected="0">
            <x v="1"/>
          </reference>
          <reference field="36" count="1" selected="0">
            <x v="2"/>
          </reference>
          <reference field="37" count="1" selected="0">
            <x v="14"/>
          </reference>
          <reference field="68" count="1" defaultSubtotal="1">
            <x v="27"/>
          </reference>
        </references>
      </pivotArea>
    </format>
    <format dxfId="151">
      <pivotArea dataOnly="0" labelOnly="1" outline="0" fieldPosition="0">
        <references count="5">
          <reference field="12" count="1" selected="0">
            <x v="11"/>
          </reference>
          <reference field="14" count="1" selected="0">
            <x v="22"/>
          </reference>
          <reference field="36" count="1" selected="0">
            <x v="2"/>
          </reference>
          <reference field="37" count="1" selected="0">
            <x v="14"/>
          </reference>
          <reference field="68" count="1">
            <x v="1"/>
          </reference>
        </references>
      </pivotArea>
    </format>
    <format dxfId="150">
      <pivotArea dataOnly="0" labelOnly="1" outline="0" fieldPosition="0">
        <references count="5">
          <reference field="12" count="1" selected="0">
            <x v="11"/>
          </reference>
          <reference field="14" count="1" selected="0">
            <x v="22"/>
          </reference>
          <reference field="36" count="1" selected="0">
            <x v="2"/>
          </reference>
          <reference field="37" count="1" selected="0">
            <x v="14"/>
          </reference>
          <reference field="68" count="1" defaultSubtotal="1">
            <x v="1"/>
          </reference>
        </references>
      </pivotArea>
    </format>
    <format dxfId="149">
      <pivotArea dataOnly="0" labelOnly="1" outline="0" fieldPosition="0">
        <references count="5">
          <reference field="12" count="1" selected="0">
            <x v="12"/>
          </reference>
          <reference field="14" count="1" selected="0">
            <x v="30"/>
          </reference>
          <reference field="36" count="1" selected="0">
            <x v="2"/>
          </reference>
          <reference field="37" count="1" selected="0">
            <x v="14"/>
          </reference>
          <reference field="68" count="1">
            <x v="1"/>
          </reference>
        </references>
      </pivotArea>
    </format>
    <format dxfId="148">
      <pivotArea dataOnly="0" labelOnly="1" outline="0" fieldPosition="0">
        <references count="5">
          <reference field="12" count="1" selected="0">
            <x v="12"/>
          </reference>
          <reference field="14" count="1" selected="0">
            <x v="30"/>
          </reference>
          <reference field="36" count="1" selected="0">
            <x v="2"/>
          </reference>
          <reference field="37" count="1" selected="0">
            <x v="14"/>
          </reference>
          <reference field="68" count="1" defaultSubtotal="1">
            <x v="1"/>
          </reference>
        </references>
      </pivotArea>
    </format>
    <format dxfId="147">
      <pivotArea dataOnly="0" labelOnly="1" outline="0" fieldPosition="0">
        <references count="5">
          <reference field="12" count="1" selected="0">
            <x v="13"/>
          </reference>
          <reference field="14" count="1" selected="0">
            <x v="24"/>
          </reference>
          <reference field="36" count="1" selected="0">
            <x v="2"/>
          </reference>
          <reference field="37" count="1" selected="0">
            <x v="14"/>
          </reference>
          <reference field="68" count="1">
            <x v="1"/>
          </reference>
        </references>
      </pivotArea>
    </format>
    <format dxfId="146">
      <pivotArea dataOnly="0" labelOnly="1" outline="0" fieldPosition="0">
        <references count="5">
          <reference field="12" count="1" selected="0">
            <x v="13"/>
          </reference>
          <reference field="14" count="1" selected="0">
            <x v="24"/>
          </reference>
          <reference field="36" count="1" selected="0">
            <x v="2"/>
          </reference>
          <reference field="37" count="1" selected="0">
            <x v="14"/>
          </reference>
          <reference field="68" count="1" defaultSubtotal="1">
            <x v="1"/>
          </reference>
        </references>
      </pivotArea>
    </format>
    <format dxfId="145">
      <pivotArea dataOnly="0" labelOnly="1" outline="0" fieldPosition="0">
        <references count="5">
          <reference field="12" count="1" selected="0">
            <x v="13"/>
          </reference>
          <reference field="14" count="1" selected="0">
            <x v="24"/>
          </reference>
          <reference field="36" count="1" selected="0">
            <x v="5"/>
          </reference>
          <reference field="37" count="1" selected="0">
            <x v="1"/>
          </reference>
          <reference field="68" count="2">
            <x v="0"/>
            <x v="18"/>
          </reference>
        </references>
      </pivotArea>
    </format>
    <format dxfId="144">
      <pivotArea dataOnly="0" labelOnly="1" outline="0" fieldPosition="0">
        <references count="5">
          <reference field="12" count="1" selected="0">
            <x v="13"/>
          </reference>
          <reference field="14" count="1" selected="0">
            <x v="24"/>
          </reference>
          <reference field="36" count="1" selected="0">
            <x v="5"/>
          </reference>
          <reference field="37" count="1" selected="0">
            <x v="1"/>
          </reference>
          <reference field="68" count="2" defaultSubtotal="1">
            <x v="0"/>
            <x v="18"/>
          </reference>
        </references>
      </pivotArea>
    </format>
    <format dxfId="143">
      <pivotArea dataOnly="0" labelOnly="1" outline="0" fieldPosition="0">
        <references count="5">
          <reference field="12" count="1" selected="0">
            <x v="13"/>
          </reference>
          <reference field="14" count="1" selected="0">
            <x v="24"/>
          </reference>
          <reference field="36" count="1" selected="0">
            <x v="16"/>
          </reference>
          <reference field="37" count="1" selected="0">
            <x v="4"/>
          </reference>
          <reference field="68" count="1">
            <x v="43"/>
          </reference>
        </references>
      </pivotArea>
    </format>
    <format dxfId="142">
      <pivotArea dataOnly="0" labelOnly="1" outline="0" fieldPosition="0">
        <references count="5">
          <reference field="12" count="1" selected="0">
            <x v="13"/>
          </reference>
          <reference field="14" count="1" selected="0">
            <x v="24"/>
          </reference>
          <reference field="36" count="1" selected="0">
            <x v="16"/>
          </reference>
          <reference field="37" count="1" selected="0">
            <x v="4"/>
          </reference>
          <reference field="68" count="1" defaultSubtotal="1">
            <x v="43"/>
          </reference>
        </references>
      </pivotArea>
    </format>
    <format dxfId="141">
      <pivotArea dataOnly="0" labelOnly="1" outline="0" fieldPosition="0">
        <references count="5">
          <reference field="12" count="1" selected="0">
            <x v="14"/>
          </reference>
          <reference field="14" count="1" selected="0">
            <x v="28"/>
          </reference>
          <reference field="36" count="1" selected="0">
            <x v="1"/>
          </reference>
          <reference field="37" count="1" selected="0">
            <x v="12"/>
          </reference>
          <reference field="68" count="1">
            <x v="28"/>
          </reference>
        </references>
      </pivotArea>
    </format>
    <format dxfId="140">
      <pivotArea dataOnly="0" labelOnly="1" outline="0" fieldPosition="0">
        <references count="5">
          <reference field="12" count="1" selected="0">
            <x v="14"/>
          </reference>
          <reference field="14" count="1" selected="0">
            <x v="28"/>
          </reference>
          <reference field="36" count="1" selected="0">
            <x v="1"/>
          </reference>
          <reference field="37" count="1" selected="0">
            <x v="12"/>
          </reference>
          <reference field="68" count="1" defaultSubtotal="1">
            <x v="28"/>
          </reference>
        </references>
      </pivotArea>
    </format>
    <format dxfId="139">
      <pivotArea dataOnly="0" labelOnly="1" outline="0" fieldPosition="0">
        <references count="5">
          <reference field="12" count="1" selected="0">
            <x v="15"/>
          </reference>
          <reference field="14" count="1" selected="0">
            <x v="5"/>
          </reference>
          <reference field="36" count="1" selected="0">
            <x v="10"/>
          </reference>
          <reference field="37" count="1" selected="0">
            <x v="8"/>
          </reference>
          <reference field="68" count="1">
            <x v="17"/>
          </reference>
        </references>
      </pivotArea>
    </format>
    <format dxfId="138">
      <pivotArea dataOnly="0" labelOnly="1" outline="0" fieldPosition="0">
        <references count="5">
          <reference field="12" count="1" selected="0">
            <x v="15"/>
          </reference>
          <reference field="14" count="1" selected="0">
            <x v="5"/>
          </reference>
          <reference field="36" count="1" selected="0">
            <x v="10"/>
          </reference>
          <reference field="37" count="1" selected="0">
            <x v="8"/>
          </reference>
          <reference field="68" count="1" defaultSubtotal="1">
            <x v="17"/>
          </reference>
        </references>
      </pivotArea>
    </format>
    <format dxfId="137">
      <pivotArea dataOnly="0" labelOnly="1" outline="0" fieldPosition="0">
        <references count="5">
          <reference field="12" count="1" selected="0">
            <x v="15"/>
          </reference>
          <reference field="14" count="1" selected="0">
            <x v="5"/>
          </reference>
          <reference field="36" count="1" selected="0">
            <x v="17"/>
          </reference>
          <reference field="37" count="1" selected="0">
            <x v="3"/>
          </reference>
          <reference field="68" count="1">
            <x v="42"/>
          </reference>
        </references>
      </pivotArea>
    </format>
    <format dxfId="136">
      <pivotArea dataOnly="0" labelOnly="1" outline="0" fieldPosition="0">
        <references count="5">
          <reference field="12" count="1" selected="0">
            <x v="15"/>
          </reference>
          <reference field="14" count="1" selected="0">
            <x v="5"/>
          </reference>
          <reference field="36" count="1" selected="0">
            <x v="17"/>
          </reference>
          <reference field="37" count="1" selected="0">
            <x v="3"/>
          </reference>
          <reference field="68" count="1" defaultSubtotal="1">
            <x v="42"/>
          </reference>
        </references>
      </pivotArea>
    </format>
    <format dxfId="135">
      <pivotArea dataOnly="0" labelOnly="1" outline="0" fieldPosition="0">
        <references count="5">
          <reference field="12" count="1" selected="0">
            <x v="16"/>
          </reference>
          <reference field="14" count="1" selected="0">
            <x v="11"/>
          </reference>
          <reference field="36" count="1" selected="0">
            <x v="2"/>
          </reference>
          <reference field="37" count="1" selected="0">
            <x v="14"/>
          </reference>
          <reference field="68" count="1">
            <x v="1"/>
          </reference>
        </references>
      </pivotArea>
    </format>
    <format dxfId="134">
      <pivotArea dataOnly="0" labelOnly="1" outline="0" fieldPosition="0">
        <references count="5">
          <reference field="12" count="1" selected="0">
            <x v="16"/>
          </reference>
          <reference field="14" count="1" selected="0">
            <x v="11"/>
          </reference>
          <reference field="36" count="1" selected="0">
            <x v="2"/>
          </reference>
          <reference field="37" count="1" selected="0">
            <x v="14"/>
          </reference>
          <reference field="68" count="1" defaultSubtotal="1">
            <x v="1"/>
          </reference>
        </references>
      </pivotArea>
    </format>
    <format dxfId="133">
      <pivotArea dataOnly="0" labelOnly="1" outline="0" fieldPosition="0">
        <references count="5">
          <reference field="12" count="1" selected="0">
            <x v="17"/>
          </reference>
          <reference field="14" count="1" selected="0">
            <x v="0"/>
          </reference>
          <reference field="36" count="1" selected="0">
            <x v="2"/>
          </reference>
          <reference field="37" count="1" selected="0">
            <x v="14"/>
          </reference>
          <reference field="68" count="1">
            <x v="1"/>
          </reference>
        </references>
      </pivotArea>
    </format>
    <format dxfId="132">
      <pivotArea dataOnly="0" labelOnly="1" outline="0" fieldPosition="0">
        <references count="5">
          <reference field="12" count="1" selected="0">
            <x v="17"/>
          </reference>
          <reference field="14" count="1" selected="0">
            <x v="0"/>
          </reference>
          <reference field="36" count="1" selected="0">
            <x v="2"/>
          </reference>
          <reference field="37" count="1" selected="0">
            <x v="14"/>
          </reference>
          <reference field="68" count="1" defaultSubtotal="1">
            <x v="1"/>
          </reference>
        </references>
      </pivotArea>
    </format>
    <format dxfId="131">
      <pivotArea dataOnly="0" labelOnly="1" outline="0" fieldPosition="0">
        <references count="5">
          <reference field="12" count="1" selected="0">
            <x v="17"/>
          </reference>
          <reference field="14" count="1" selected="0">
            <x v="0"/>
          </reference>
          <reference field="36" count="1" selected="0">
            <x v="17"/>
          </reference>
          <reference field="37" count="1" selected="0">
            <x v="3"/>
          </reference>
          <reference field="68" count="1">
            <x v="41"/>
          </reference>
        </references>
      </pivotArea>
    </format>
    <format dxfId="130">
      <pivotArea dataOnly="0" labelOnly="1" outline="0" fieldPosition="0">
        <references count="5">
          <reference field="12" count="1" selected="0">
            <x v="17"/>
          </reference>
          <reference field="14" count="1" selected="0">
            <x v="0"/>
          </reference>
          <reference field="36" count="1" selected="0">
            <x v="17"/>
          </reference>
          <reference field="37" count="1" selected="0">
            <x v="3"/>
          </reference>
          <reference field="68" count="1" defaultSubtotal="1">
            <x v="41"/>
          </reference>
        </references>
      </pivotArea>
    </format>
    <format dxfId="129">
      <pivotArea dataOnly="0" labelOnly="1" outline="0" fieldPosition="0">
        <references count="5">
          <reference field="12" count="1" selected="0">
            <x v="18"/>
          </reference>
          <reference field="14" count="1" selected="0">
            <x v="18"/>
          </reference>
          <reference field="36" count="1" selected="0">
            <x v="8"/>
          </reference>
          <reference field="37" count="1" selected="0">
            <x v="7"/>
          </reference>
          <reference field="68" count="1">
            <x v="35"/>
          </reference>
        </references>
      </pivotArea>
    </format>
    <format dxfId="128">
      <pivotArea dataOnly="0" labelOnly="1" outline="0" fieldPosition="0">
        <references count="5">
          <reference field="12" count="1" selected="0">
            <x v="18"/>
          </reference>
          <reference field="14" count="1" selected="0">
            <x v="18"/>
          </reference>
          <reference field="36" count="1" selected="0">
            <x v="8"/>
          </reference>
          <reference field="37" count="1" selected="0">
            <x v="7"/>
          </reference>
          <reference field="68" count="1" defaultSubtotal="1">
            <x v="35"/>
          </reference>
        </references>
      </pivotArea>
    </format>
    <format dxfId="127">
      <pivotArea dataOnly="0" labelOnly="1" outline="0" fieldPosition="0">
        <references count="5">
          <reference field="12" count="1" selected="0">
            <x v="18"/>
          </reference>
          <reference field="14" count="1" selected="0">
            <x v="18"/>
          </reference>
          <reference field="36" count="1" selected="0">
            <x v="10"/>
          </reference>
          <reference field="37" count="1" selected="0">
            <x v="8"/>
          </reference>
          <reference field="68" count="1">
            <x v="35"/>
          </reference>
        </references>
      </pivotArea>
    </format>
    <format dxfId="126">
      <pivotArea dataOnly="0" labelOnly="1" outline="0" fieldPosition="0">
        <references count="5">
          <reference field="12" count="1" selected="0">
            <x v="18"/>
          </reference>
          <reference field="14" count="1" selected="0">
            <x v="18"/>
          </reference>
          <reference field="36" count="1" selected="0">
            <x v="10"/>
          </reference>
          <reference field="37" count="1" selected="0">
            <x v="8"/>
          </reference>
          <reference field="68" count="1" defaultSubtotal="1">
            <x v="35"/>
          </reference>
        </references>
      </pivotArea>
    </format>
    <format dxfId="125">
      <pivotArea dataOnly="0" labelOnly="1" outline="0" fieldPosition="0">
        <references count="5">
          <reference field="12" count="1" selected="0">
            <x v="19"/>
          </reference>
          <reference field="14" count="1" selected="0">
            <x v="16"/>
          </reference>
          <reference field="36" count="1" selected="0">
            <x v="2"/>
          </reference>
          <reference field="37" count="1" selected="0">
            <x v="14"/>
          </reference>
          <reference field="68" count="1">
            <x v="1"/>
          </reference>
        </references>
      </pivotArea>
    </format>
    <format dxfId="124">
      <pivotArea dataOnly="0" labelOnly="1" outline="0" fieldPosition="0">
        <references count="5">
          <reference field="12" count="1" selected="0">
            <x v="19"/>
          </reference>
          <reference field="14" count="1" selected="0">
            <x v="16"/>
          </reference>
          <reference field="36" count="1" selected="0">
            <x v="2"/>
          </reference>
          <reference field="37" count="1" selected="0">
            <x v="14"/>
          </reference>
          <reference field="68" count="1" defaultSubtotal="1">
            <x v="1"/>
          </reference>
        </references>
      </pivotArea>
    </format>
    <format dxfId="123">
      <pivotArea dataOnly="0" labelOnly="1" outline="0" fieldPosition="0">
        <references count="5">
          <reference field="12" count="1" selected="0">
            <x v="20"/>
          </reference>
          <reference field="14" count="1" selected="0">
            <x v="17"/>
          </reference>
          <reference field="36" count="1" selected="0">
            <x v="3"/>
          </reference>
          <reference field="37" count="1" selected="0">
            <x v="9"/>
          </reference>
          <reference field="68" count="1">
            <x v="23"/>
          </reference>
        </references>
      </pivotArea>
    </format>
    <format dxfId="122">
      <pivotArea dataOnly="0" labelOnly="1" outline="0" fieldPosition="0">
        <references count="5">
          <reference field="12" count="1" selected="0">
            <x v="20"/>
          </reference>
          <reference field="14" count="1" selected="0">
            <x v="17"/>
          </reference>
          <reference field="36" count="1" selected="0">
            <x v="3"/>
          </reference>
          <reference field="37" count="1" selected="0">
            <x v="9"/>
          </reference>
          <reference field="68" count="1" defaultSubtotal="1">
            <x v="23"/>
          </reference>
        </references>
      </pivotArea>
    </format>
    <format dxfId="121">
      <pivotArea dataOnly="0" labelOnly="1" outline="0" fieldPosition="0">
        <references count="5">
          <reference field="12" count="1" selected="0">
            <x v="20"/>
          </reference>
          <reference field="14" count="1" selected="0">
            <x v="17"/>
          </reference>
          <reference field="36" count="1" selected="0">
            <x v="4"/>
          </reference>
          <reference field="37" count="1" selected="0">
            <x v="2"/>
          </reference>
          <reference field="68" count="1">
            <x v="45"/>
          </reference>
        </references>
      </pivotArea>
    </format>
    <format dxfId="120">
      <pivotArea dataOnly="0" labelOnly="1" outline="0" fieldPosition="0">
        <references count="5">
          <reference field="12" count="1" selected="0">
            <x v="20"/>
          </reference>
          <reference field="14" count="1" selected="0">
            <x v="17"/>
          </reference>
          <reference field="36" count="1" selected="0">
            <x v="4"/>
          </reference>
          <reference field="37" count="1" selected="0">
            <x v="2"/>
          </reference>
          <reference field="68" count="1" defaultSubtotal="1">
            <x v="45"/>
          </reference>
        </references>
      </pivotArea>
    </format>
    <format dxfId="119">
      <pivotArea dataOnly="0" labelOnly="1" outline="0" fieldPosition="0">
        <references count="5">
          <reference field="12" count="1" selected="0">
            <x v="20"/>
          </reference>
          <reference field="14" count="1" selected="0">
            <x v="17"/>
          </reference>
          <reference field="36" count="1" selected="0">
            <x v="15"/>
          </reference>
          <reference field="37" count="1" selected="0">
            <x v="11"/>
          </reference>
          <reference field="68" count="3">
            <x v="37"/>
            <x v="40"/>
            <x v="44"/>
          </reference>
        </references>
      </pivotArea>
    </format>
    <format dxfId="118">
      <pivotArea dataOnly="0" labelOnly="1" outline="0" fieldPosition="0">
        <references count="5">
          <reference field="12" count="1" selected="0">
            <x v="20"/>
          </reference>
          <reference field="14" count="1" selected="0">
            <x v="17"/>
          </reference>
          <reference field="36" count="1" selected="0">
            <x v="15"/>
          </reference>
          <reference field="37" count="1" selected="0">
            <x v="11"/>
          </reference>
          <reference field="68" count="3" defaultSubtotal="1">
            <x v="37"/>
            <x v="40"/>
            <x v="44"/>
          </reference>
        </references>
      </pivotArea>
    </format>
    <format dxfId="117">
      <pivotArea dataOnly="0" labelOnly="1" outline="0" fieldPosition="0">
        <references count="5">
          <reference field="12" count="1" selected="0">
            <x v="21"/>
          </reference>
          <reference field="14" count="1" selected="0">
            <x v="25"/>
          </reference>
          <reference field="36" count="1" selected="0">
            <x v="2"/>
          </reference>
          <reference field="37" count="1" selected="0">
            <x v="14"/>
          </reference>
          <reference field="68" count="1">
            <x v="1"/>
          </reference>
        </references>
      </pivotArea>
    </format>
    <format dxfId="116">
      <pivotArea dataOnly="0" labelOnly="1" outline="0" fieldPosition="0">
        <references count="5">
          <reference field="12" count="1" selected="0">
            <x v="21"/>
          </reference>
          <reference field="14" count="1" selected="0">
            <x v="25"/>
          </reference>
          <reference field="36" count="1" selected="0">
            <x v="2"/>
          </reference>
          <reference field="37" count="1" selected="0">
            <x v="14"/>
          </reference>
          <reference field="68" count="1" defaultSubtotal="1">
            <x v="1"/>
          </reference>
        </references>
      </pivotArea>
    </format>
    <format dxfId="115">
      <pivotArea dataOnly="0" labelOnly="1" outline="0" fieldPosition="0">
        <references count="5">
          <reference field="12" count="1" selected="0">
            <x v="21"/>
          </reference>
          <reference field="14" count="1" selected="0">
            <x v="25"/>
          </reference>
          <reference field="36" count="1" selected="0">
            <x v="6"/>
          </reference>
          <reference field="37" count="1" selected="0">
            <x v="15"/>
          </reference>
          <reference field="68" count="1">
            <x v="1"/>
          </reference>
        </references>
      </pivotArea>
    </format>
    <format dxfId="114">
      <pivotArea dataOnly="0" labelOnly="1" outline="0" fieldPosition="0">
        <references count="5">
          <reference field="12" count="1" selected="0">
            <x v="21"/>
          </reference>
          <reference field="14" count="1" selected="0">
            <x v="25"/>
          </reference>
          <reference field="36" count="1" selected="0">
            <x v="6"/>
          </reference>
          <reference field="37" count="1" selected="0">
            <x v="15"/>
          </reference>
          <reference field="68" count="1" defaultSubtotal="1">
            <x v="1"/>
          </reference>
        </references>
      </pivotArea>
    </format>
    <format dxfId="113">
      <pivotArea dataOnly="0" labelOnly="1" outline="0" fieldPosition="0">
        <references count="5">
          <reference field="12" count="1" selected="0">
            <x v="22"/>
          </reference>
          <reference field="14" count="1" selected="0">
            <x v="23"/>
          </reference>
          <reference field="36" count="1" selected="0">
            <x v="2"/>
          </reference>
          <reference field="37" count="1" selected="0">
            <x v="14"/>
          </reference>
          <reference field="68" count="1">
            <x v="1"/>
          </reference>
        </references>
      </pivotArea>
    </format>
    <format dxfId="112">
      <pivotArea dataOnly="0" labelOnly="1" outline="0" fieldPosition="0">
        <references count="5">
          <reference field="12" count="1" selected="0">
            <x v="22"/>
          </reference>
          <reference field="14" count="1" selected="0">
            <x v="23"/>
          </reference>
          <reference field="36" count="1" selected="0">
            <x v="2"/>
          </reference>
          <reference field="37" count="1" selected="0">
            <x v="14"/>
          </reference>
          <reference field="68" count="1" defaultSubtotal="1">
            <x v="1"/>
          </reference>
        </references>
      </pivotArea>
    </format>
    <format dxfId="111">
      <pivotArea dataOnly="0" labelOnly="1" outline="0" fieldPosition="0">
        <references count="5">
          <reference field="12" count="1" selected="0">
            <x v="22"/>
          </reference>
          <reference field="14" count="1" selected="0">
            <x v="23"/>
          </reference>
          <reference field="36" count="1" selected="0">
            <x v="6"/>
          </reference>
          <reference field="37" count="1" selected="0">
            <x v="15"/>
          </reference>
          <reference field="68" count="1">
            <x v="1"/>
          </reference>
        </references>
      </pivotArea>
    </format>
    <format dxfId="110">
      <pivotArea dataOnly="0" labelOnly="1" outline="0" fieldPosition="0">
        <references count="5">
          <reference field="12" count="1" selected="0">
            <x v="22"/>
          </reference>
          <reference field="14" count="1" selected="0">
            <x v="23"/>
          </reference>
          <reference field="36" count="1" selected="0">
            <x v="6"/>
          </reference>
          <reference field="37" count="1" selected="0">
            <x v="15"/>
          </reference>
          <reference field="68" count="1" defaultSubtotal="1">
            <x v="1"/>
          </reference>
        </references>
      </pivotArea>
    </format>
    <format dxfId="109">
      <pivotArea dataOnly="0" labelOnly="1" outline="0" fieldPosition="0">
        <references count="5">
          <reference field="12" count="1" selected="0">
            <x v="23"/>
          </reference>
          <reference field="14" count="1" selected="0">
            <x v="21"/>
          </reference>
          <reference field="36" count="1" selected="0">
            <x v="2"/>
          </reference>
          <reference field="37" count="1" selected="0">
            <x v="14"/>
          </reference>
          <reference field="68" count="1">
            <x v="1"/>
          </reference>
        </references>
      </pivotArea>
    </format>
    <format dxfId="108">
      <pivotArea dataOnly="0" labelOnly="1" outline="0" fieldPosition="0">
        <references count="5">
          <reference field="12" count="1" selected="0">
            <x v="23"/>
          </reference>
          <reference field="14" count="1" selected="0">
            <x v="21"/>
          </reference>
          <reference field="36" count="1" selected="0">
            <x v="2"/>
          </reference>
          <reference field="37" count="1" selected="0">
            <x v="14"/>
          </reference>
          <reference field="68" count="1" defaultSubtotal="1">
            <x v="1"/>
          </reference>
        </references>
      </pivotArea>
    </format>
    <format dxfId="107">
      <pivotArea dataOnly="0" labelOnly="1" outline="0" fieldPosition="0">
        <references count="5">
          <reference field="12" count="1" selected="0">
            <x v="23"/>
          </reference>
          <reference field="14" count="1" selected="0">
            <x v="21"/>
          </reference>
          <reference field="36" count="1" selected="0">
            <x v="6"/>
          </reference>
          <reference field="37" count="1" selected="0">
            <x v="15"/>
          </reference>
          <reference field="68" count="1">
            <x v="1"/>
          </reference>
        </references>
      </pivotArea>
    </format>
    <format dxfId="106">
      <pivotArea dataOnly="0" labelOnly="1" outline="0" fieldPosition="0">
        <references count="5">
          <reference field="12" count="1" selected="0">
            <x v="23"/>
          </reference>
          <reference field="14" count="1" selected="0">
            <x v="21"/>
          </reference>
          <reference field="36" count="1" selected="0">
            <x v="6"/>
          </reference>
          <reference field="37" count="1" selected="0">
            <x v="15"/>
          </reference>
          <reference field="68" count="1" defaultSubtotal="1">
            <x v="1"/>
          </reference>
        </references>
      </pivotArea>
    </format>
    <format dxfId="105">
      <pivotArea dataOnly="0" labelOnly="1" outline="0" fieldPosition="0">
        <references count="5">
          <reference field="12" count="1" selected="0">
            <x v="24"/>
          </reference>
          <reference field="14" count="1" selected="0">
            <x v="6"/>
          </reference>
          <reference field="36" count="1" selected="0">
            <x v="0"/>
          </reference>
          <reference field="37" count="1" selected="0">
            <x v="10"/>
          </reference>
          <reference field="68" count="2">
            <x v="10"/>
            <x v="16"/>
          </reference>
        </references>
      </pivotArea>
    </format>
    <format dxfId="104">
      <pivotArea dataOnly="0" labelOnly="1" outline="0" fieldPosition="0">
        <references count="5">
          <reference field="12" count="1" selected="0">
            <x v="24"/>
          </reference>
          <reference field="14" count="1" selected="0">
            <x v="6"/>
          </reference>
          <reference field="36" count="1" selected="0">
            <x v="0"/>
          </reference>
          <reference field="37" count="1" selected="0">
            <x v="10"/>
          </reference>
          <reference field="68" count="2" defaultSubtotal="1">
            <x v="10"/>
            <x v="16"/>
          </reference>
        </references>
      </pivotArea>
    </format>
    <format dxfId="103">
      <pivotArea dataOnly="0" labelOnly="1" outline="0" fieldPosition="0">
        <references count="5">
          <reference field="12" count="1" selected="0">
            <x v="24"/>
          </reference>
          <reference field="14" count="1" selected="0">
            <x v="6"/>
          </reference>
          <reference field="36" count="1" selected="0">
            <x v="6"/>
          </reference>
          <reference field="37" count="1" selected="0">
            <x v="15"/>
          </reference>
          <reference field="68" count="1">
            <x v="1"/>
          </reference>
        </references>
      </pivotArea>
    </format>
    <format dxfId="102">
      <pivotArea dataOnly="0" labelOnly="1" outline="0" fieldPosition="0">
        <references count="5">
          <reference field="12" count="1" selected="0">
            <x v="24"/>
          </reference>
          <reference field="14" count="1" selected="0">
            <x v="6"/>
          </reference>
          <reference field="36" count="1" selected="0">
            <x v="6"/>
          </reference>
          <reference field="37" count="1" selected="0">
            <x v="15"/>
          </reference>
          <reference field="68" count="1" defaultSubtotal="1">
            <x v="1"/>
          </reference>
        </references>
      </pivotArea>
    </format>
    <format dxfId="101">
      <pivotArea dataOnly="0" labelOnly="1" outline="0" fieldPosition="0">
        <references count="5">
          <reference field="12" count="1" selected="0">
            <x v="25"/>
          </reference>
          <reference field="14" count="1" selected="0">
            <x v="26"/>
          </reference>
          <reference field="36" count="1" selected="0">
            <x v="0"/>
          </reference>
          <reference field="37" count="1" selected="0">
            <x v="10"/>
          </reference>
          <reference field="68" count="2">
            <x v="9"/>
            <x v="21"/>
          </reference>
        </references>
      </pivotArea>
    </format>
    <format dxfId="100">
      <pivotArea dataOnly="0" labelOnly="1" outline="0" fieldPosition="0">
        <references count="5">
          <reference field="12" count="1" selected="0">
            <x v="25"/>
          </reference>
          <reference field="14" count="1" selected="0">
            <x v="26"/>
          </reference>
          <reference field="36" count="1" selected="0">
            <x v="0"/>
          </reference>
          <reference field="37" count="1" selected="0">
            <x v="10"/>
          </reference>
          <reference field="68" count="2" defaultSubtotal="1">
            <x v="9"/>
            <x v="21"/>
          </reference>
        </references>
      </pivotArea>
    </format>
    <format dxfId="99">
      <pivotArea dataOnly="0" labelOnly="1" outline="0" fieldPosition="0">
        <references count="5">
          <reference field="12" count="1" selected="0">
            <x v="26"/>
          </reference>
          <reference field="14" count="1" selected="0">
            <x v="31"/>
          </reference>
          <reference field="36" count="1" selected="0">
            <x v="1"/>
          </reference>
          <reference field="37" count="1" selected="0">
            <x v="12"/>
          </reference>
          <reference field="68" count="1">
            <x v="3"/>
          </reference>
        </references>
      </pivotArea>
    </format>
    <format dxfId="98">
      <pivotArea dataOnly="0" labelOnly="1" outline="0" fieldPosition="0">
        <references count="5">
          <reference field="12" count="1" selected="0">
            <x v="26"/>
          </reference>
          <reference field="14" count="1" selected="0">
            <x v="31"/>
          </reference>
          <reference field="36" count="1" selected="0">
            <x v="1"/>
          </reference>
          <reference field="37" count="1" selected="0">
            <x v="12"/>
          </reference>
          <reference field="68" count="1" defaultSubtotal="1">
            <x v="3"/>
          </reference>
        </references>
      </pivotArea>
    </format>
    <format dxfId="97">
      <pivotArea dataOnly="0" labelOnly="1" outline="0" fieldPosition="0">
        <references count="5">
          <reference field="12" count="1" selected="0">
            <x v="27"/>
          </reference>
          <reference field="14" count="1" selected="0">
            <x v="3"/>
          </reference>
          <reference field="36" count="1" selected="0">
            <x v="2"/>
          </reference>
          <reference field="37" count="1" selected="0">
            <x v="14"/>
          </reference>
          <reference field="68" count="1">
            <x v="2"/>
          </reference>
        </references>
      </pivotArea>
    </format>
    <format dxfId="96">
      <pivotArea dataOnly="0" labelOnly="1" outline="0" fieldPosition="0">
        <references count="5">
          <reference field="12" count="1" selected="0">
            <x v="27"/>
          </reference>
          <reference field="14" count="1" selected="0">
            <x v="3"/>
          </reference>
          <reference field="36" count="1" selected="0">
            <x v="2"/>
          </reference>
          <reference field="37" count="1" selected="0">
            <x v="14"/>
          </reference>
          <reference field="68" count="1" defaultSubtotal="1">
            <x v="2"/>
          </reference>
        </references>
      </pivotArea>
    </format>
    <format dxfId="95">
      <pivotArea dataOnly="0" labelOnly="1" outline="0" fieldPosition="0">
        <references count="5">
          <reference field="12" count="1" selected="0">
            <x v="27"/>
          </reference>
          <reference field="14" count="1" selected="0">
            <x v="3"/>
          </reference>
          <reference field="36" count="1" selected="0">
            <x v="3"/>
          </reference>
          <reference field="37" count="1" selected="0">
            <x v="9"/>
          </reference>
          <reference field="68" count="1">
            <x v="38"/>
          </reference>
        </references>
      </pivotArea>
    </format>
    <format dxfId="94">
      <pivotArea dataOnly="0" labelOnly="1" outline="0" fieldPosition="0">
        <references count="5">
          <reference field="12" count="1" selected="0">
            <x v="27"/>
          </reference>
          <reference field="14" count="1" selected="0">
            <x v="3"/>
          </reference>
          <reference field="36" count="1" selected="0">
            <x v="3"/>
          </reference>
          <reference field="37" count="1" selected="0">
            <x v="9"/>
          </reference>
          <reference field="68" count="1" defaultSubtotal="1">
            <x v="38"/>
          </reference>
        </references>
      </pivotArea>
    </format>
    <format dxfId="93">
      <pivotArea dataOnly="0" labelOnly="1" outline="0" fieldPosition="0">
        <references count="5">
          <reference field="12" count="1" selected="0">
            <x v="28"/>
          </reference>
          <reference field="14" count="1" selected="0">
            <x v="9"/>
          </reference>
          <reference field="36" count="1" selected="0">
            <x v="7"/>
          </reference>
          <reference field="37" count="1" selected="0">
            <x v="6"/>
          </reference>
          <reference field="68" count="1">
            <x v="15"/>
          </reference>
        </references>
      </pivotArea>
    </format>
    <format dxfId="92">
      <pivotArea dataOnly="0" labelOnly="1" outline="0" fieldPosition="0">
        <references count="5">
          <reference field="12" count="1" selected="0">
            <x v="28"/>
          </reference>
          <reference field="14" count="1" selected="0">
            <x v="9"/>
          </reference>
          <reference field="36" count="1" selected="0">
            <x v="7"/>
          </reference>
          <reference field="37" count="1" selected="0">
            <x v="6"/>
          </reference>
          <reference field="68" count="1" defaultSubtotal="1">
            <x v="15"/>
          </reference>
        </references>
      </pivotArea>
    </format>
    <format dxfId="91">
      <pivotArea dataOnly="0" labelOnly="1" outline="0" fieldPosition="0">
        <references count="5">
          <reference field="12" count="1" selected="0">
            <x v="28"/>
          </reference>
          <reference field="14" count="1" selected="0">
            <x v="9"/>
          </reference>
          <reference field="36" count="1" selected="0">
            <x v="10"/>
          </reference>
          <reference field="37" count="1" selected="0">
            <x v="8"/>
          </reference>
          <reference field="68" count="1">
            <x v="36"/>
          </reference>
        </references>
      </pivotArea>
    </format>
    <format dxfId="90">
      <pivotArea dataOnly="0" labelOnly="1" outline="0" fieldPosition="0">
        <references count="5">
          <reference field="12" count="1" selected="0">
            <x v="28"/>
          </reference>
          <reference field="14" count="1" selected="0">
            <x v="9"/>
          </reference>
          <reference field="36" count="1" selected="0">
            <x v="10"/>
          </reference>
          <reference field="37" count="1" selected="0">
            <x v="8"/>
          </reference>
          <reference field="68" count="1" defaultSubtotal="1">
            <x v="36"/>
          </reference>
        </references>
      </pivotArea>
    </format>
    <format dxfId="89">
      <pivotArea dataOnly="0" labelOnly="1" outline="0" fieldPosition="0">
        <references count="5">
          <reference field="12" count="1" selected="0">
            <x v="28"/>
          </reference>
          <reference field="14" count="1" selected="0">
            <x v="9"/>
          </reference>
          <reference field="36" count="1" selected="0">
            <x v="14"/>
          </reference>
          <reference field="37" count="1" selected="0">
            <x v="5"/>
          </reference>
          <reference field="68" count="1">
            <x v="36"/>
          </reference>
        </references>
      </pivotArea>
    </format>
    <format dxfId="88">
      <pivotArea dataOnly="0" labelOnly="1" outline="0" fieldPosition="0">
        <references count="5">
          <reference field="12" count="1" selected="0">
            <x v="28"/>
          </reference>
          <reference field="14" count="1" selected="0">
            <x v="9"/>
          </reference>
          <reference field="36" count="1" selected="0">
            <x v="14"/>
          </reference>
          <reference field="37" count="1" selected="0">
            <x v="5"/>
          </reference>
          <reference field="68" count="1" defaultSubtotal="1">
            <x v="36"/>
          </reference>
        </references>
      </pivotArea>
    </format>
    <format dxfId="87">
      <pivotArea dataOnly="0" labelOnly="1" outline="0" fieldPosition="0">
        <references count="5">
          <reference field="12" count="1" selected="0">
            <x v="29"/>
          </reference>
          <reference field="14" count="1" selected="0">
            <x v="10"/>
          </reference>
          <reference field="36" count="1" selected="0">
            <x v="7"/>
          </reference>
          <reference field="37" count="1" selected="0">
            <x v="6"/>
          </reference>
          <reference field="68" count="1">
            <x v="14"/>
          </reference>
        </references>
      </pivotArea>
    </format>
    <format dxfId="86">
      <pivotArea dataOnly="0" labelOnly="1" outline="0" fieldPosition="0">
        <references count="5">
          <reference field="12" count="1" selected="0">
            <x v="29"/>
          </reference>
          <reference field="14" count="1" selected="0">
            <x v="10"/>
          </reference>
          <reference field="36" count="1" selected="0">
            <x v="7"/>
          </reference>
          <reference field="37" count="1" selected="0">
            <x v="6"/>
          </reference>
          <reference field="68" count="1" defaultSubtotal="1">
            <x v="14"/>
          </reference>
        </references>
      </pivotArea>
    </format>
    <format dxfId="85">
      <pivotArea dataOnly="0" labelOnly="1" outline="0" fieldPosition="0">
        <references count="5">
          <reference field="12" count="1" selected="0">
            <x v="29"/>
          </reference>
          <reference field="14" count="1" selected="0">
            <x v="10"/>
          </reference>
          <reference field="36" count="1" selected="0">
            <x v="10"/>
          </reference>
          <reference field="37" count="1" selected="0">
            <x v="8"/>
          </reference>
          <reference field="68" count="1">
            <x v="36"/>
          </reference>
        </references>
      </pivotArea>
    </format>
    <format dxfId="84">
      <pivotArea dataOnly="0" labelOnly="1" outline="0" fieldPosition="0">
        <references count="5">
          <reference field="12" count="1" selected="0">
            <x v="29"/>
          </reference>
          <reference field="14" count="1" selected="0">
            <x v="10"/>
          </reference>
          <reference field="36" count="1" selected="0">
            <x v="10"/>
          </reference>
          <reference field="37" count="1" selected="0">
            <x v="8"/>
          </reference>
          <reference field="68" count="1" defaultSubtotal="1">
            <x v="36"/>
          </reference>
        </references>
      </pivotArea>
    </format>
    <format dxfId="83">
      <pivotArea dataOnly="0" labelOnly="1" outline="0" fieldPosition="0">
        <references count="5">
          <reference field="12" count="1" selected="0">
            <x v="29"/>
          </reference>
          <reference field="14" count="1" selected="0">
            <x v="10"/>
          </reference>
          <reference field="36" count="1" selected="0">
            <x v="14"/>
          </reference>
          <reference field="37" count="1" selected="0">
            <x v="5"/>
          </reference>
          <reference field="68" count="1">
            <x v="36"/>
          </reference>
        </references>
      </pivotArea>
    </format>
    <format dxfId="82">
      <pivotArea dataOnly="0" labelOnly="1" outline="0" fieldPosition="0">
        <references count="5">
          <reference field="12" count="1" selected="0">
            <x v="29"/>
          </reference>
          <reference field="14" count="1" selected="0">
            <x v="10"/>
          </reference>
          <reference field="36" count="1" selected="0">
            <x v="14"/>
          </reference>
          <reference field="37" count="1" selected="0">
            <x v="5"/>
          </reference>
          <reference field="68" count="1" defaultSubtotal="1">
            <x v="36"/>
          </reference>
        </references>
      </pivotArea>
    </format>
    <format dxfId="81">
      <pivotArea dataOnly="0" labelOnly="1" outline="0" fieldPosition="0">
        <references count="5">
          <reference field="12" count="1" selected="0">
            <x v="30"/>
          </reference>
          <reference field="14" count="1" selected="0">
            <x v="32"/>
          </reference>
          <reference field="36" count="1" selected="0">
            <x v="0"/>
          </reference>
          <reference field="37" count="1" selected="0">
            <x v="10"/>
          </reference>
          <reference field="68" count="2">
            <x v="13"/>
            <x v="20"/>
          </reference>
        </references>
      </pivotArea>
    </format>
    <format dxfId="80">
      <pivotArea dataOnly="0" labelOnly="1" outline="0" fieldPosition="0">
        <references count="5">
          <reference field="12" count="1" selected="0">
            <x v="30"/>
          </reference>
          <reference field="14" count="1" selected="0">
            <x v="32"/>
          </reference>
          <reference field="36" count="1" selected="0">
            <x v="0"/>
          </reference>
          <reference field="37" count="1" selected="0">
            <x v="10"/>
          </reference>
          <reference field="68" count="2" defaultSubtotal="1">
            <x v="13"/>
            <x v="20"/>
          </reference>
        </references>
      </pivotArea>
    </format>
    <format dxfId="79">
      <pivotArea dataOnly="0" labelOnly="1" outline="0" fieldPosition="0">
        <references count="5">
          <reference field="12" count="1" selected="0">
            <x v="31"/>
          </reference>
          <reference field="14" count="1" selected="0">
            <x v="20"/>
          </reference>
          <reference field="36" count="1" selected="0">
            <x v="1"/>
          </reference>
          <reference field="37" count="1" selected="0">
            <x v="12"/>
          </reference>
          <reference field="68" count="3">
            <x v="22"/>
            <x v="24"/>
            <x v="29"/>
          </reference>
        </references>
      </pivotArea>
    </format>
    <format dxfId="78">
      <pivotArea dataOnly="0" labelOnly="1" outline="0" fieldPosition="0">
        <references count="5">
          <reference field="12" count="1" selected="0">
            <x v="31"/>
          </reference>
          <reference field="14" count="1" selected="0">
            <x v="20"/>
          </reference>
          <reference field="36" count="1" selected="0">
            <x v="1"/>
          </reference>
          <reference field="37" count="1" selected="0">
            <x v="12"/>
          </reference>
          <reference field="68" count="3" defaultSubtotal="1">
            <x v="22"/>
            <x v="24"/>
            <x v="29"/>
          </reference>
        </references>
      </pivotArea>
    </format>
    <format dxfId="77">
      <pivotArea dataOnly="0" labelOnly="1" outline="0" fieldPosition="0">
        <references count="5">
          <reference field="12" count="1" selected="0">
            <x v="32"/>
          </reference>
          <reference field="14" count="1" selected="0">
            <x v="14"/>
          </reference>
          <reference field="36" count="1" selected="0">
            <x v="0"/>
          </reference>
          <reference field="37" count="1" selected="0">
            <x v="10"/>
          </reference>
          <reference field="68" count="1">
            <x v="26"/>
          </reference>
        </references>
      </pivotArea>
    </format>
    <format dxfId="76">
      <pivotArea dataOnly="0" labelOnly="1" outline="0" fieldPosition="0">
        <references count="5">
          <reference field="12" count="1" selected="0">
            <x v="32"/>
          </reference>
          <reference field="14" count="1" selected="0">
            <x v="14"/>
          </reference>
          <reference field="36" count="1" selected="0">
            <x v="0"/>
          </reference>
          <reference field="37" count="1" selected="0">
            <x v="10"/>
          </reference>
          <reference field="68" count="1" defaultSubtotal="1">
            <x v="26"/>
          </reference>
        </references>
      </pivotArea>
    </format>
    <format dxfId="75">
      <pivotArea dataOnly="0" labelOnly="1" outline="0" fieldPosition="0">
        <references count="5">
          <reference field="12" count="1" selected="0">
            <x v="33"/>
          </reference>
          <reference field="14" count="1" selected="0">
            <x v="27"/>
          </reference>
          <reference field="36" count="1" selected="0">
            <x v="15"/>
          </reference>
          <reference field="37" count="1" selected="0">
            <x v="11"/>
          </reference>
          <reference field="68" count="1">
            <x v="39"/>
          </reference>
        </references>
      </pivotArea>
    </format>
    <format dxfId="74">
      <pivotArea dataOnly="0" labelOnly="1" outline="0" fieldPosition="0">
        <references count="5">
          <reference field="12" count="1" selected="0">
            <x v="33"/>
          </reference>
          <reference field="14" count="1" selected="0">
            <x v="27"/>
          </reference>
          <reference field="36" count="1" selected="0">
            <x v="15"/>
          </reference>
          <reference field="37" count="1" selected="0">
            <x v="11"/>
          </reference>
          <reference field="68" count="1" defaultSubtotal="1">
            <x v="39"/>
          </reference>
        </references>
      </pivotArea>
    </format>
    <format dxfId="73">
      <pivotArea dataOnly="0" labelOnly="1" outline="0" fieldPosition="0">
        <references count="6">
          <reference field="12" count="1" selected="0">
            <x v="0"/>
          </reference>
          <reference field="14" count="1" selected="0">
            <x v="4"/>
          </reference>
          <reference field="36" count="1" selected="0">
            <x v="0"/>
          </reference>
          <reference field="37" count="1" selected="0">
            <x v="10"/>
          </reference>
          <reference field="68" count="1" selected="0">
            <x v="6"/>
          </reference>
          <reference field="78" count="1">
            <x v="40"/>
          </reference>
        </references>
      </pivotArea>
    </format>
    <format dxfId="72">
      <pivotArea dataOnly="0" labelOnly="1" outline="0" fieldPosition="0">
        <references count="6">
          <reference field="12" count="1" selected="0">
            <x v="0"/>
          </reference>
          <reference field="14" count="1" selected="0">
            <x v="4"/>
          </reference>
          <reference field="36" count="1" selected="0">
            <x v="2"/>
          </reference>
          <reference field="37" count="1" selected="0">
            <x v="14"/>
          </reference>
          <reference field="68" count="1" selected="0">
            <x v="1"/>
          </reference>
          <reference field="78" count="1">
            <x v="3"/>
          </reference>
        </references>
      </pivotArea>
    </format>
    <format dxfId="71">
      <pivotArea dataOnly="0" labelOnly="1" outline="0" fieldPosition="0">
        <references count="6">
          <reference field="12" count="1" selected="0">
            <x v="0"/>
          </reference>
          <reference field="14" count="1" selected="0">
            <x v="4"/>
          </reference>
          <reference field="36" count="1" selected="0">
            <x v="15"/>
          </reference>
          <reference field="37" count="1" selected="0">
            <x v="11"/>
          </reference>
          <reference field="68" count="1" selected="0">
            <x v="46"/>
          </reference>
          <reference field="78" count="1">
            <x v="41"/>
          </reference>
        </references>
      </pivotArea>
    </format>
    <format dxfId="70">
      <pivotArea dataOnly="0" labelOnly="1" outline="0" fieldPosition="0">
        <references count="6">
          <reference field="12" count="1" selected="0">
            <x v="1"/>
          </reference>
          <reference field="14" count="1" selected="0">
            <x v="2"/>
          </reference>
          <reference field="36" count="1" selected="0">
            <x v="3"/>
          </reference>
          <reference field="37" count="1" selected="0">
            <x v="9"/>
          </reference>
          <reference field="68" count="1" selected="0">
            <x v="47"/>
          </reference>
          <reference field="78" count="1">
            <x v="41"/>
          </reference>
        </references>
      </pivotArea>
    </format>
    <format dxfId="69">
      <pivotArea dataOnly="0" labelOnly="1" outline="0" fieldPosition="0">
        <references count="6">
          <reference field="12" count="1" selected="0">
            <x v="2"/>
          </reference>
          <reference field="14" count="1" selected="0">
            <x v="7"/>
          </reference>
          <reference field="36" count="1" selected="0">
            <x v="3"/>
          </reference>
          <reference field="37" count="1" selected="0">
            <x v="9"/>
          </reference>
          <reference field="68" count="1" selected="0">
            <x v="8"/>
          </reference>
          <reference field="78" count="1">
            <x v="9"/>
          </reference>
        </references>
      </pivotArea>
    </format>
    <format dxfId="68">
      <pivotArea dataOnly="0" labelOnly="1" outline="0" fieldPosition="0">
        <references count="6">
          <reference field="12" count="1" selected="0">
            <x v="2"/>
          </reference>
          <reference field="14" count="1" selected="0">
            <x v="7"/>
          </reference>
          <reference field="36" count="1" selected="0">
            <x v="9"/>
          </reference>
          <reference field="37" count="1" selected="0">
            <x v="13"/>
          </reference>
          <reference field="68" count="1" selected="0">
            <x v="12"/>
          </reference>
          <reference field="78" count="1">
            <x v="10"/>
          </reference>
        </references>
      </pivotArea>
    </format>
    <format dxfId="67">
      <pivotArea dataOnly="0" labelOnly="1" outline="0" fieldPosition="0">
        <references count="6">
          <reference field="12" count="1" selected="0">
            <x v="2"/>
          </reference>
          <reference field="14" count="1" selected="0">
            <x v="7"/>
          </reference>
          <reference field="36" count="1" selected="0">
            <x v="13"/>
          </reference>
          <reference field="37" count="1" selected="0">
            <x v="17"/>
          </reference>
          <reference field="68" count="1" selected="0">
            <x v="19"/>
          </reference>
          <reference field="78" count="1">
            <x v="18"/>
          </reference>
        </references>
      </pivotArea>
    </format>
    <format dxfId="66">
      <pivotArea dataOnly="0" labelOnly="1" outline="0" fieldPosition="0">
        <references count="6">
          <reference field="12" count="1" selected="0">
            <x v="2"/>
          </reference>
          <reference field="14" count="1" selected="0">
            <x v="7"/>
          </reference>
          <reference field="36" count="1" selected="0">
            <x v="13"/>
          </reference>
          <reference field="37" count="1" selected="0">
            <x v="17"/>
          </reference>
          <reference field="68" count="1" selected="0">
            <x v="31"/>
          </reference>
          <reference field="78" count="1">
            <x v="23"/>
          </reference>
        </references>
      </pivotArea>
    </format>
    <format dxfId="65">
      <pivotArea dataOnly="0" labelOnly="1" outline="0" fieldPosition="0">
        <references count="6">
          <reference field="12" count="1" selected="0">
            <x v="2"/>
          </reference>
          <reference field="14" count="1" selected="0">
            <x v="7"/>
          </reference>
          <reference field="36" count="1" selected="0">
            <x v="13"/>
          </reference>
          <reference field="37" count="1" selected="0">
            <x v="17"/>
          </reference>
          <reference field="68" count="1" selected="0">
            <x v="32"/>
          </reference>
          <reference field="78" count="1">
            <x v="20"/>
          </reference>
        </references>
      </pivotArea>
    </format>
    <format dxfId="64">
      <pivotArea dataOnly="0" labelOnly="1" outline="0" fieldPosition="0">
        <references count="6">
          <reference field="12" count="1" selected="0">
            <x v="2"/>
          </reference>
          <reference field="14" count="1" selected="0">
            <x v="7"/>
          </reference>
          <reference field="36" count="1" selected="0">
            <x v="13"/>
          </reference>
          <reference field="37" count="1" selected="0">
            <x v="17"/>
          </reference>
          <reference field="68" count="1" selected="0">
            <x v="33"/>
          </reference>
          <reference field="78" count="1">
            <x v="41"/>
          </reference>
        </references>
      </pivotArea>
    </format>
    <format dxfId="63">
      <pivotArea dataOnly="0" labelOnly="1" outline="0" fieldPosition="0">
        <references count="6">
          <reference field="12" count="1" selected="0">
            <x v="3"/>
          </reference>
          <reference field="14" count="1" selected="0">
            <x v="19"/>
          </reference>
          <reference field="36" count="1" selected="0">
            <x v="2"/>
          </reference>
          <reference field="37" count="1" selected="0">
            <x v="14"/>
          </reference>
          <reference field="68" count="1" selected="0">
            <x v="1"/>
          </reference>
          <reference field="78" count="1">
            <x v="13"/>
          </reference>
        </references>
      </pivotArea>
    </format>
    <format dxfId="62">
      <pivotArea dataOnly="0" labelOnly="1" outline="0" fieldPosition="0">
        <references count="6">
          <reference field="12" count="1" selected="0">
            <x v="3"/>
          </reference>
          <reference field="14" count="1" selected="0">
            <x v="19"/>
          </reference>
          <reference field="36" count="1" selected="0">
            <x v="3"/>
          </reference>
          <reference field="37" count="1" selected="0">
            <x v="9"/>
          </reference>
          <reference field="68" count="1" selected="0">
            <x v="25"/>
          </reference>
          <reference field="78" count="1">
            <x v="31"/>
          </reference>
        </references>
      </pivotArea>
    </format>
    <format dxfId="61">
      <pivotArea dataOnly="0" labelOnly="1" outline="0" fieldPosition="0">
        <references count="6">
          <reference field="12" count="1" selected="0">
            <x v="4"/>
          </reference>
          <reference field="14" count="1" selected="0">
            <x v="15"/>
          </reference>
          <reference field="36" count="1" selected="0">
            <x v="0"/>
          </reference>
          <reference field="37" count="1" selected="0">
            <x v="10"/>
          </reference>
          <reference field="68" count="1" selected="0">
            <x v="5"/>
          </reference>
          <reference field="78" count="1">
            <x v="31"/>
          </reference>
        </references>
      </pivotArea>
    </format>
    <format dxfId="60">
      <pivotArea dataOnly="0" labelOnly="1" outline="0" fieldPosition="0">
        <references count="6">
          <reference field="12" count="1" selected="0">
            <x v="4"/>
          </reference>
          <reference field="14" count="1" selected="0">
            <x v="15"/>
          </reference>
          <reference field="36" count="1" selected="0">
            <x v="2"/>
          </reference>
          <reference field="37" count="1" selected="0">
            <x v="14"/>
          </reference>
          <reference field="68" count="1" selected="0">
            <x v="1"/>
          </reference>
          <reference field="78" count="1">
            <x v="2"/>
          </reference>
        </references>
      </pivotArea>
    </format>
    <format dxfId="59">
      <pivotArea dataOnly="0" labelOnly="1" outline="0" fieldPosition="0">
        <references count="6">
          <reference field="12" count="1" selected="0">
            <x v="5"/>
          </reference>
          <reference field="14" count="1" selected="0">
            <x v="13"/>
          </reference>
          <reference field="36" count="1" selected="0">
            <x v="0"/>
          </reference>
          <reference field="37" count="1" selected="0">
            <x v="10"/>
          </reference>
          <reference field="68" count="1" selected="0">
            <x v="5"/>
          </reference>
          <reference field="78" count="1">
            <x v="31"/>
          </reference>
        </references>
      </pivotArea>
    </format>
    <format dxfId="58">
      <pivotArea dataOnly="0" labelOnly="1" outline="0" fieldPosition="0">
        <references count="6">
          <reference field="12" count="1" selected="0">
            <x v="6"/>
          </reference>
          <reference field="14" count="1" selected="0">
            <x v="29"/>
          </reference>
          <reference field="36" count="1" selected="0">
            <x v="2"/>
          </reference>
          <reference field="37" count="1" selected="0">
            <x v="14"/>
          </reference>
          <reference field="68" count="1" selected="0">
            <x v="1"/>
          </reference>
          <reference field="78" count="1">
            <x v="1"/>
          </reference>
        </references>
      </pivotArea>
    </format>
    <format dxfId="57">
      <pivotArea dataOnly="0" labelOnly="1" outline="0" fieldPosition="0">
        <references count="6">
          <reference field="12" count="1" selected="0">
            <x v="6"/>
          </reference>
          <reference field="14" count="1" selected="0">
            <x v="29"/>
          </reference>
          <reference field="36" count="1" selected="0">
            <x v="12"/>
          </reference>
          <reference field="37" count="1" selected="0">
            <x v="16"/>
          </reference>
          <reference field="68" count="1" selected="0">
            <x v="4"/>
          </reference>
          <reference field="78" count="1">
            <x v="6"/>
          </reference>
        </references>
      </pivotArea>
    </format>
    <format dxfId="56">
      <pivotArea dataOnly="0" labelOnly="1" outline="0" fieldPosition="0">
        <references count="6">
          <reference field="12" count="1" selected="0">
            <x v="6"/>
          </reference>
          <reference field="14" count="1" selected="0">
            <x v="29"/>
          </reference>
          <reference field="36" count="1" selected="0">
            <x v="12"/>
          </reference>
          <reference field="37" count="1" selected="0">
            <x v="16"/>
          </reference>
          <reference field="68" count="1" selected="0">
            <x v="11"/>
          </reference>
          <reference field="78" count="1">
            <x v="21"/>
          </reference>
        </references>
      </pivotArea>
    </format>
    <format dxfId="55">
      <pivotArea dataOnly="0" labelOnly="1" outline="0" fieldPosition="0">
        <references count="6">
          <reference field="12" count="1" selected="0">
            <x v="6"/>
          </reference>
          <reference field="14" count="1" selected="0">
            <x v="29"/>
          </reference>
          <reference field="36" count="1" selected="0">
            <x v="12"/>
          </reference>
          <reference field="37" count="1" selected="0">
            <x v="16"/>
          </reference>
          <reference field="68" count="1" selected="0">
            <x v="34"/>
          </reference>
          <reference field="78" count="1">
            <x v="39"/>
          </reference>
        </references>
      </pivotArea>
    </format>
    <format dxfId="54">
      <pivotArea dataOnly="0" labelOnly="1" outline="0" fieldPosition="0">
        <references count="6">
          <reference field="12" count="1" selected="0">
            <x v="7"/>
          </reference>
          <reference field="14" count="1" selected="0">
            <x v="8"/>
          </reference>
          <reference field="36" count="1" selected="0">
            <x v="2"/>
          </reference>
          <reference field="37" count="1" selected="0">
            <x v="14"/>
          </reference>
          <reference field="68" count="1" selected="0">
            <x v="1"/>
          </reference>
          <reference field="78" count="1">
            <x v="34"/>
          </reference>
        </references>
      </pivotArea>
    </format>
    <format dxfId="53">
      <pivotArea dataOnly="0" labelOnly="1" outline="0" fieldPosition="0">
        <references count="6">
          <reference field="12" count="1" selected="0">
            <x v="8"/>
          </reference>
          <reference field="14" count="1" selected="0">
            <x v="33"/>
          </reference>
          <reference field="36" count="1" selected="0">
            <x v="1"/>
          </reference>
          <reference field="37" count="1" selected="0">
            <x v="12"/>
          </reference>
          <reference field="68" count="1" selected="0">
            <x v="7"/>
          </reference>
          <reference field="78" count="1">
            <x v="23"/>
          </reference>
        </references>
      </pivotArea>
    </format>
    <format dxfId="52">
      <pivotArea dataOnly="0" labelOnly="1" outline="0" fieldPosition="0">
        <references count="6">
          <reference field="12" count="1" selected="0">
            <x v="9"/>
          </reference>
          <reference field="14" count="1" selected="0">
            <x v="12"/>
          </reference>
          <reference field="36" count="1" selected="0">
            <x v="2"/>
          </reference>
          <reference field="37" count="1" selected="0">
            <x v="14"/>
          </reference>
          <reference field="68" count="1" selected="0">
            <x v="1"/>
          </reference>
          <reference field="78" count="1">
            <x v="17"/>
          </reference>
        </references>
      </pivotArea>
    </format>
    <format dxfId="51">
      <pivotArea dataOnly="0" labelOnly="1" outline="0" fieldPosition="0">
        <references count="6">
          <reference field="12" count="1" selected="0">
            <x v="9"/>
          </reference>
          <reference field="14" count="1" selected="0">
            <x v="12"/>
          </reference>
          <reference field="36" count="1" selected="0">
            <x v="11"/>
          </reference>
          <reference field="37" count="1" selected="0">
            <x v="0"/>
          </reference>
          <reference field="68" count="1" selected="0">
            <x v="30"/>
          </reference>
          <reference field="78" count="1">
            <x v="41"/>
          </reference>
        </references>
      </pivotArea>
    </format>
    <format dxfId="50">
      <pivotArea dataOnly="0" labelOnly="1" outline="0" fieldPosition="0">
        <references count="6">
          <reference field="12" count="1" selected="0">
            <x v="10"/>
          </reference>
          <reference field="14" count="1" selected="0">
            <x v="1"/>
          </reference>
          <reference field="36" count="1" selected="0">
            <x v="2"/>
          </reference>
          <reference field="37" count="1" selected="0">
            <x v="14"/>
          </reference>
          <reference field="68" count="1" selected="0">
            <x v="27"/>
          </reference>
          <reference field="78" count="1">
            <x v="32"/>
          </reference>
        </references>
      </pivotArea>
    </format>
    <format dxfId="49">
      <pivotArea dataOnly="0" labelOnly="1" outline="0" fieldPosition="0">
        <references count="6">
          <reference field="12" count="1" selected="0">
            <x v="11"/>
          </reference>
          <reference field="14" count="1" selected="0">
            <x v="22"/>
          </reference>
          <reference field="36" count="1" selected="0">
            <x v="2"/>
          </reference>
          <reference field="37" count="1" selected="0">
            <x v="14"/>
          </reference>
          <reference field="68" count="1" selected="0">
            <x v="1"/>
          </reference>
          <reference field="78" count="1">
            <x v="19"/>
          </reference>
        </references>
      </pivotArea>
    </format>
    <format dxfId="48">
      <pivotArea dataOnly="0" labelOnly="1" outline="0" fieldPosition="0">
        <references count="6">
          <reference field="12" count="1" selected="0">
            <x v="12"/>
          </reference>
          <reference field="14" count="1" selected="0">
            <x v="30"/>
          </reference>
          <reference field="36" count="1" selected="0">
            <x v="2"/>
          </reference>
          <reference field="37" count="1" selected="0">
            <x v="14"/>
          </reference>
          <reference field="68" count="1" selected="0">
            <x v="1"/>
          </reference>
          <reference field="78" count="1">
            <x v="0"/>
          </reference>
        </references>
      </pivotArea>
    </format>
    <format dxfId="47">
      <pivotArea dataOnly="0" labelOnly="1" outline="0" fieldPosition="0">
        <references count="6">
          <reference field="12" count="1" selected="0">
            <x v="13"/>
          </reference>
          <reference field="14" count="1" selected="0">
            <x v="24"/>
          </reference>
          <reference field="36" count="1" selected="0">
            <x v="2"/>
          </reference>
          <reference field="37" count="1" selected="0">
            <x v="14"/>
          </reference>
          <reference field="68" count="1" selected="0">
            <x v="1"/>
          </reference>
          <reference field="78" count="1">
            <x v="9"/>
          </reference>
        </references>
      </pivotArea>
    </format>
    <format dxfId="46">
      <pivotArea dataOnly="0" labelOnly="1" outline="0" fieldPosition="0">
        <references count="6">
          <reference field="12" count="1" selected="0">
            <x v="13"/>
          </reference>
          <reference field="14" count="1" selected="0">
            <x v="24"/>
          </reference>
          <reference field="36" count="1" selected="0">
            <x v="5"/>
          </reference>
          <reference field="37" count="1" selected="0">
            <x v="1"/>
          </reference>
          <reference field="68" count="1" selected="0">
            <x v="0"/>
          </reference>
          <reference field="78" count="1">
            <x v="8"/>
          </reference>
        </references>
      </pivotArea>
    </format>
    <format dxfId="45">
      <pivotArea dataOnly="0" labelOnly="1" outline="0" fieldPosition="0">
        <references count="6">
          <reference field="12" count="1" selected="0">
            <x v="13"/>
          </reference>
          <reference field="14" count="1" selected="0">
            <x v="24"/>
          </reference>
          <reference field="36" count="1" selected="0">
            <x v="5"/>
          </reference>
          <reference field="37" count="1" selected="0">
            <x v="1"/>
          </reference>
          <reference field="68" count="1" selected="0">
            <x v="18"/>
          </reference>
          <reference field="78" count="1">
            <x v="33"/>
          </reference>
        </references>
      </pivotArea>
    </format>
    <format dxfId="44">
      <pivotArea dataOnly="0" labelOnly="1" outline="0" fieldPosition="0">
        <references count="6">
          <reference field="12" count="1" selected="0">
            <x v="13"/>
          </reference>
          <reference field="14" count="1" selected="0">
            <x v="24"/>
          </reference>
          <reference field="36" count="1" selected="0">
            <x v="16"/>
          </reference>
          <reference field="37" count="1" selected="0">
            <x v="4"/>
          </reference>
          <reference field="68" count="1" selected="0">
            <x v="43"/>
          </reference>
          <reference field="78" count="1">
            <x v="41"/>
          </reference>
        </references>
      </pivotArea>
    </format>
    <format dxfId="43">
      <pivotArea dataOnly="0" labelOnly="1" outline="0" fieldPosition="0">
        <references count="6">
          <reference field="12" count="1" selected="0">
            <x v="14"/>
          </reference>
          <reference field="14" count="1" selected="0">
            <x v="28"/>
          </reference>
          <reference field="36" count="1" selected="0">
            <x v="1"/>
          </reference>
          <reference field="37" count="1" selected="0">
            <x v="12"/>
          </reference>
          <reference field="68" count="1" selected="0">
            <x v="28"/>
          </reference>
          <reference field="78" count="1">
            <x v="39"/>
          </reference>
        </references>
      </pivotArea>
    </format>
    <format dxfId="42">
      <pivotArea dataOnly="0" labelOnly="1" outline="0" fieldPosition="0">
        <references count="6">
          <reference field="12" count="1" selected="0">
            <x v="15"/>
          </reference>
          <reference field="14" count="1" selected="0">
            <x v="5"/>
          </reference>
          <reference field="36" count="1" selected="0">
            <x v="10"/>
          </reference>
          <reference field="37" count="1" selected="0">
            <x v="8"/>
          </reference>
          <reference field="68" count="1" selected="0">
            <x v="17"/>
          </reference>
          <reference field="78" count="1">
            <x v="28"/>
          </reference>
        </references>
      </pivotArea>
    </format>
    <format dxfId="41">
      <pivotArea dataOnly="0" labelOnly="1" outline="0" fieldPosition="0">
        <references count="6">
          <reference field="12" count="1" selected="0">
            <x v="15"/>
          </reference>
          <reference field="14" count="1" selected="0">
            <x v="5"/>
          </reference>
          <reference field="36" count="1" selected="0">
            <x v="17"/>
          </reference>
          <reference field="37" count="1" selected="0">
            <x v="3"/>
          </reference>
          <reference field="68" count="1" selected="0">
            <x v="42"/>
          </reference>
          <reference field="78" count="1">
            <x v="41"/>
          </reference>
        </references>
      </pivotArea>
    </format>
    <format dxfId="40">
      <pivotArea dataOnly="0" labelOnly="1" outline="0" fieldPosition="0">
        <references count="6">
          <reference field="12" count="1" selected="0">
            <x v="16"/>
          </reference>
          <reference field="14" count="1" selected="0">
            <x v="11"/>
          </reference>
          <reference field="36" count="1" selected="0">
            <x v="2"/>
          </reference>
          <reference field="37" count="1" selected="0">
            <x v="14"/>
          </reference>
          <reference field="68" count="1" selected="0">
            <x v="1"/>
          </reference>
          <reference field="78" count="1">
            <x v="4"/>
          </reference>
        </references>
      </pivotArea>
    </format>
    <format dxfId="39">
      <pivotArea dataOnly="0" labelOnly="1" outline="0" fieldPosition="0">
        <references count="6">
          <reference field="12" count="1" selected="0">
            <x v="17"/>
          </reference>
          <reference field="14" count="1" selected="0">
            <x v="0"/>
          </reference>
          <reference field="36" count="1" selected="0">
            <x v="2"/>
          </reference>
          <reference field="37" count="1" selected="0">
            <x v="14"/>
          </reference>
          <reference field="68" count="1" selected="0">
            <x v="1"/>
          </reference>
          <reference field="78" count="1">
            <x v="27"/>
          </reference>
        </references>
      </pivotArea>
    </format>
    <format dxfId="38">
      <pivotArea dataOnly="0" labelOnly="1" outline="0" fieldPosition="0">
        <references count="6">
          <reference field="12" count="1" selected="0">
            <x v="17"/>
          </reference>
          <reference field="14" count="1" selected="0">
            <x v="0"/>
          </reference>
          <reference field="36" count="1" selected="0">
            <x v="17"/>
          </reference>
          <reference field="37" count="1" selected="0">
            <x v="3"/>
          </reference>
          <reference field="68" count="1" selected="0">
            <x v="41"/>
          </reference>
          <reference field="78" count="1">
            <x v="41"/>
          </reference>
        </references>
      </pivotArea>
    </format>
    <format dxfId="37">
      <pivotArea dataOnly="0" labelOnly="1" outline="0" fieldPosition="0">
        <references count="6">
          <reference field="12" count="1" selected="0">
            <x v="18"/>
          </reference>
          <reference field="14" count="1" selected="0">
            <x v="18"/>
          </reference>
          <reference field="36" count="1" selected="0">
            <x v="8"/>
          </reference>
          <reference field="37" count="1" selected="0">
            <x v="7"/>
          </reference>
          <reference field="68" count="1" selected="0">
            <x v="35"/>
          </reference>
          <reference field="78" count="1">
            <x v="26"/>
          </reference>
        </references>
      </pivotArea>
    </format>
    <format dxfId="36">
      <pivotArea dataOnly="0" labelOnly="1" outline="0" fieldPosition="0">
        <references count="6">
          <reference field="12" count="1" selected="0">
            <x v="18"/>
          </reference>
          <reference field="14" count="1" selected="0">
            <x v="18"/>
          </reference>
          <reference field="36" count="1" selected="0">
            <x v="10"/>
          </reference>
          <reference field="37" count="1" selected="0">
            <x v="8"/>
          </reference>
          <reference field="68" count="1" selected="0">
            <x v="35"/>
          </reference>
          <reference field="78" count="1">
            <x v="26"/>
          </reference>
        </references>
      </pivotArea>
    </format>
    <format dxfId="35">
      <pivotArea dataOnly="0" labelOnly="1" outline="0" fieldPosition="0">
        <references count="6">
          <reference field="12" count="1" selected="0">
            <x v="19"/>
          </reference>
          <reference field="14" count="1" selected="0">
            <x v="16"/>
          </reference>
          <reference field="36" count="1" selected="0">
            <x v="2"/>
          </reference>
          <reference field="37" count="1" selected="0">
            <x v="14"/>
          </reference>
          <reference field="68" count="1" selected="0">
            <x v="1"/>
          </reference>
          <reference field="78" count="1">
            <x v="36"/>
          </reference>
        </references>
      </pivotArea>
    </format>
    <format dxfId="34">
      <pivotArea dataOnly="0" labelOnly="1" outline="0" fieldPosition="0">
        <references count="6">
          <reference field="12" count="1" selected="0">
            <x v="20"/>
          </reference>
          <reference field="14" count="1" selected="0">
            <x v="17"/>
          </reference>
          <reference field="36" count="1" selected="0">
            <x v="3"/>
          </reference>
          <reference field="37" count="1" selected="0">
            <x v="9"/>
          </reference>
          <reference field="68" count="1" selected="0">
            <x v="23"/>
          </reference>
          <reference field="78" count="1">
            <x v="25"/>
          </reference>
        </references>
      </pivotArea>
    </format>
    <format dxfId="33">
      <pivotArea dataOnly="0" labelOnly="1" outline="0" fieldPosition="0">
        <references count="6">
          <reference field="12" count="1" selected="0">
            <x v="20"/>
          </reference>
          <reference field="14" count="1" selected="0">
            <x v="17"/>
          </reference>
          <reference field="36" count="1" selected="0">
            <x v="4"/>
          </reference>
          <reference field="37" count="1" selected="0">
            <x v="2"/>
          </reference>
          <reference field="68" count="1" selected="0">
            <x v="45"/>
          </reference>
          <reference field="78" count="1">
            <x v="41"/>
          </reference>
        </references>
      </pivotArea>
    </format>
    <format dxfId="32">
      <pivotArea dataOnly="0" labelOnly="1" outline="0" fieldPosition="0">
        <references count="6">
          <reference field="12" count="1" selected="0">
            <x v="20"/>
          </reference>
          <reference field="14" count="1" selected="0">
            <x v="17"/>
          </reference>
          <reference field="36" count="1" selected="0">
            <x v="15"/>
          </reference>
          <reference field="37" count="1" selected="0">
            <x v="11"/>
          </reference>
          <reference field="68" count="1" selected="0">
            <x v="37"/>
          </reference>
          <reference field="78" count="1">
            <x v="27"/>
          </reference>
        </references>
      </pivotArea>
    </format>
    <format dxfId="31">
      <pivotArea dataOnly="0" labelOnly="1" outline="0" fieldPosition="0">
        <references count="6">
          <reference field="12" count="1" selected="0">
            <x v="20"/>
          </reference>
          <reference field="14" count="1" selected="0">
            <x v="17"/>
          </reference>
          <reference field="36" count="1" selected="0">
            <x v="15"/>
          </reference>
          <reference field="37" count="1" selected="0">
            <x v="11"/>
          </reference>
          <reference field="68" count="1" selected="0">
            <x v="40"/>
          </reference>
          <reference field="78" count="2">
            <x v="35"/>
            <x v="39"/>
          </reference>
        </references>
      </pivotArea>
    </format>
    <format dxfId="30">
      <pivotArea dataOnly="0" labelOnly="1" outline="0" fieldPosition="0">
        <references count="6">
          <reference field="12" count="1" selected="0">
            <x v="20"/>
          </reference>
          <reference field="14" count="1" selected="0">
            <x v="17"/>
          </reference>
          <reference field="36" count="1" selected="0">
            <x v="15"/>
          </reference>
          <reference field="37" count="1" selected="0">
            <x v="11"/>
          </reference>
          <reference field="68" count="1" selected="0">
            <x v="44"/>
          </reference>
          <reference field="78" count="1">
            <x v="40"/>
          </reference>
        </references>
      </pivotArea>
    </format>
    <format dxfId="29">
      <pivotArea dataOnly="0" labelOnly="1" outline="0" fieldPosition="0">
        <references count="6">
          <reference field="12" count="1" selected="0">
            <x v="21"/>
          </reference>
          <reference field="14" count="1" selected="0">
            <x v="25"/>
          </reference>
          <reference field="36" count="1" selected="0">
            <x v="2"/>
          </reference>
          <reference field="37" count="1" selected="0">
            <x v="14"/>
          </reference>
          <reference field="68" count="1" selected="0">
            <x v="1"/>
          </reference>
          <reference field="78" count="1">
            <x v="31"/>
          </reference>
        </references>
      </pivotArea>
    </format>
    <format dxfId="28">
      <pivotArea dataOnly="0" labelOnly="1" outline="0" fieldPosition="0">
        <references count="6">
          <reference field="12" count="1" selected="0">
            <x v="21"/>
          </reference>
          <reference field="14" count="1" selected="0">
            <x v="25"/>
          </reference>
          <reference field="36" count="1" selected="0">
            <x v="6"/>
          </reference>
          <reference field="37" count="1" selected="0">
            <x v="15"/>
          </reference>
          <reference field="68" count="1" selected="0">
            <x v="1"/>
          </reference>
          <reference field="78" count="1">
            <x v="15"/>
          </reference>
        </references>
      </pivotArea>
    </format>
    <format dxfId="27">
      <pivotArea dataOnly="0" labelOnly="1" outline="0" fieldPosition="0">
        <references count="6">
          <reference field="12" count="1" selected="0">
            <x v="22"/>
          </reference>
          <reference field="14" count="1" selected="0">
            <x v="23"/>
          </reference>
          <reference field="36" count="1" selected="0">
            <x v="2"/>
          </reference>
          <reference field="37" count="1" selected="0">
            <x v="14"/>
          </reference>
          <reference field="68" count="1" selected="0">
            <x v="1"/>
          </reference>
          <reference field="78" count="1">
            <x v="15"/>
          </reference>
        </references>
      </pivotArea>
    </format>
    <format dxfId="26">
      <pivotArea dataOnly="0" labelOnly="1" outline="0" fieldPosition="0">
        <references count="6">
          <reference field="12" count="1" selected="0">
            <x v="22"/>
          </reference>
          <reference field="14" count="1" selected="0">
            <x v="23"/>
          </reference>
          <reference field="36" count="1" selected="0">
            <x v="6"/>
          </reference>
          <reference field="37" count="1" selected="0">
            <x v="15"/>
          </reference>
          <reference field="68" count="1" selected="0">
            <x v="1"/>
          </reference>
          <reference field="78" count="1">
            <x v="31"/>
          </reference>
        </references>
      </pivotArea>
    </format>
    <format dxfId="25">
      <pivotArea dataOnly="0" labelOnly="1" outline="0" fieldPosition="0">
        <references count="6">
          <reference field="12" count="1" selected="0">
            <x v="23"/>
          </reference>
          <reference field="14" count="1" selected="0">
            <x v="21"/>
          </reference>
          <reference field="36" count="1" selected="0">
            <x v="2"/>
          </reference>
          <reference field="37" count="1" selected="0">
            <x v="14"/>
          </reference>
          <reference field="68" count="1" selected="0">
            <x v="1"/>
          </reference>
          <reference field="78" count="1">
            <x v="31"/>
          </reference>
        </references>
      </pivotArea>
    </format>
    <format dxfId="24">
      <pivotArea dataOnly="0" labelOnly="1" outline="0" fieldPosition="0">
        <references count="6">
          <reference field="12" count="1" selected="0">
            <x v="23"/>
          </reference>
          <reference field="14" count="1" selected="0">
            <x v="21"/>
          </reference>
          <reference field="36" count="1" selected="0">
            <x v="6"/>
          </reference>
          <reference field="37" count="1" selected="0">
            <x v="15"/>
          </reference>
          <reference field="68" count="1" selected="0">
            <x v="1"/>
          </reference>
          <reference field="78" count="1">
            <x v="15"/>
          </reference>
        </references>
      </pivotArea>
    </format>
    <format dxfId="23">
      <pivotArea dataOnly="0" labelOnly="1" outline="0" fieldPosition="0">
        <references count="6">
          <reference field="12" count="1" selected="0">
            <x v="24"/>
          </reference>
          <reference field="14" count="1" selected="0">
            <x v="6"/>
          </reference>
          <reference field="36" count="1" selected="0">
            <x v="0"/>
          </reference>
          <reference field="37" count="1" selected="0">
            <x v="10"/>
          </reference>
          <reference field="68" count="1" selected="0">
            <x v="10"/>
          </reference>
          <reference field="78" count="1">
            <x v="7"/>
          </reference>
        </references>
      </pivotArea>
    </format>
    <format dxfId="22">
      <pivotArea dataOnly="0" labelOnly="1" outline="0" fieldPosition="0">
        <references count="6">
          <reference field="12" count="1" selected="0">
            <x v="24"/>
          </reference>
          <reference field="14" count="1" selected="0">
            <x v="6"/>
          </reference>
          <reference field="36" count="1" selected="0">
            <x v="0"/>
          </reference>
          <reference field="37" count="1" selected="0">
            <x v="10"/>
          </reference>
          <reference field="68" count="1" selected="0">
            <x v="16"/>
          </reference>
          <reference field="78" count="1">
            <x v="31"/>
          </reference>
        </references>
      </pivotArea>
    </format>
    <format dxfId="21">
      <pivotArea dataOnly="0" labelOnly="1" outline="0" fieldPosition="0">
        <references count="6">
          <reference field="12" count="1" selected="0">
            <x v="24"/>
          </reference>
          <reference field="14" count="1" selected="0">
            <x v="6"/>
          </reference>
          <reference field="36" count="1" selected="0">
            <x v="6"/>
          </reference>
          <reference field="37" count="1" selected="0">
            <x v="15"/>
          </reference>
          <reference field="68" count="1" selected="0">
            <x v="1"/>
          </reference>
          <reference field="78" count="1">
            <x v="5"/>
          </reference>
        </references>
      </pivotArea>
    </format>
    <format dxfId="20">
      <pivotArea dataOnly="0" labelOnly="1" outline="0" fieldPosition="0">
        <references count="6">
          <reference field="12" count="1" selected="0">
            <x v="25"/>
          </reference>
          <reference field="14" count="1" selected="0">
            <x v="26"/>
          </reference>
          <reference field="36" count="1" selected="0">
            <x v="0"/>
          </reference>
          <reference field="37" count="1" selected="0">
            <x v="10"/>
          </reference>
          <reference field="68" count="1" selected="0">
            <x v="9"/>
          </reference>
          <reference field="78" count="1">
            <x v="11"/>
          </reference>
        </references>
      </pivotArea>
    </format>
    <format dxfId="19">
      <pivotArea dataOnly="0" labelOnly="1" outline="0" fieldPosition="0">
        <references count="6">
          <reference field="12" count="1" selected="0">
            <x v="25"/>
          </reference>
          <reference field="14" count="1" selected="0">
            <x v="26"/>
          </reference>
          <reference field="36" count="1" selected="0">
            <x v="0"/>
          </reference>
          <reference field="37" count="1" selected="0">
            <x v="10"/>
          </reference>
          <reference field="68" count="1" selected="0">
            <x v="21"/>
          </reference>
          <reference field="78" count="1">
            <x v="36"/>
          </reference>
        </references>
      </pivotArea>
    </format>
    <format dxfId="18">
      <pivotArea dataOnly="0" labelOnly="1" outline="0" fieldPosition="0">
        <references count="6">
          <reference field="12" count="1" selected="0">
            <x v="26"/>
          </reference>
          <reference field="14" count="1" selected="0">
            <x v="31"/>
          </reference>
          <reference field="36" count="1" selected="0">
            <x v="1"/>
          </reference>
          <reference field="37" count="1" selected="0">
            <x v="12"/>
          </reference>
          <reference field="68" count="1" selected="0">
            <x v="3"/>
          </reference>
          <reference field="78" count="1">
            <x v="14"/>
          </reference>
        </references>
      </pivotArea>
    </format>
    <format dxfId="17">
      <pivotArea dataOnly="0" labelOnly="1" outline="0" fieldPosition="0">
        <references count="6">
          <reference field="12" count="1" selected="0">
            <x v="27"/>
          </reference>
          <reference field="14" count="1" selected="0">
            <x v="3"/>
          </reference>
          <reference field="36" count="1" selected="0">
            <x v="2"/>
          </reference>
          <reference field="37" count="1" selected="0">
            <x v="14"/>
          </reference>
          <reference field="68" count="1" selected="0">
            <x v="2"/>
          </reference>
          <reference field="78" count="1">
            <x v="24"/>
          </reference>
        </references>
      </pivotArea>
    </format>
    <format dxfId="16">
      <pivotArea dataOnly="0" labelOnly="1" outline="0" fieldPosition="0">
        <references count="6">
          <reference field="12" count="1" selected="0">
            <x v="27"/>
          </reference>
          <reference field="14" count="1" selected="0">
            <x v="3"/>
          </reference>
          <reference field="36" count="1" selected="0">
            <x v="3"/>
          </reference>
          <reference field="37" count="1" selected="0">
            <x v="9"/>
          </reference>
          <reference field="68" count="1" selected="0">
            <x v="38"/>
          </reference>
          <reference field="78" count="1">
            <x v="37"/>
          </reference>
        </references>
      </pivotArea>
    </format>
    <format dxfId="15">
      <pivotArea dataOnly="0" labelOnly="1" outline="0" fieldPosition="0">
        <references count="6">
          <reference field="12" count="1" selected="0">
            <x v="28"/>
          </reference>
          <reference field="14" count="1" selected="0">
            <x v="9"/>
          </reference>
          <reference field="36" count="1" selected="0">
            <x v="7"/>
          </reference>
          <reference field="37" count="1" selected="0">
            <x v="6"/>
          </reference>
          <reference field="68" count="1" selected="0">
            <x v="15"/>
          </reference>
          <reference field="78" count="1">
            <x v="22"/>
          </reference>
        </references>
      </pivotArea>
    </format>
    <format dxfId="14">
      <pivotArea dataOnly="0" labelOnly="1" outline="0" fieldPosition="0">
        <references count="6">
          <reference field="12" count="1" selected="0">
            <x v="28"/>
          </reference>
          <reference field="14" count="1" selected="0">
            <x v="9"/>
          </reference>
          <reference field="36" count="1" selected="0">
            <x v="10"/>
          </reference>
          <reference field="37" count="1" selected="0">
            <x v="8"/>
          </reference>
          <reference field="68" count="1" selected="0">
            <x v="36"/>
          </reference>
          <reference field="78" count="1">
            <x v="38"/>
          </reference>
        </references>
      </pivotArea>
    </format>
    <format dxfId="13">
      <pivotArea dataOnly="0" labelOnly="1" outline="0" fieldPosition="0">
        <references count="6">
          <reference field="12" count="1" selected="0">
            <x v="28"/>
          </reference>
          <reference field="14" count="1" selected="0">
            <x v="9"/>
          </reference>
          <reference field="36" count="1" selected="0">
            <x v="14"/>
          </reference>
          <reference field="37" count="1" selected="0">
            <x v="5"/>
          </reference>
          <reference field="68" count="1" selected="0">
            <x v="36"/>
          </reference>
          <reference field="78" count="1">
            <x v="38"/>
          </reference>
        </references>
      </pivotArea>
    </format>
    <format dxfId="12">
      <pivotArea dataOnly="0" labelOnly="1" outline="0" fieldPosition="0">
        <references count="6">
          <reference field="12" count="1" selected="0">
            <x v="29"/>
          </reference>
          <reference field="14" count="1" selected="0">
            <x v="10"/>
          </reference>
          <reference field="36" count="1" selected="0">
            <x v="7"/>
          </reference>
          <reference field="37" count="1" selected="0">
            <x v="6"/>
          </reference>
          <reference field="68" count="1" selected="0">
            <x v="14"/>
          </reference>
          <reference field="78" count="1">
            <x v="22"/>
          </reference>
        </references>
      </pivotArea>
    </format>
    <format dxfId="11">
      <pivotArea dataOnly="0" labelOnly="1" outline="0" fieldPosition="0">
        <references count="6">
          <reference field="12" count="1" selected="0">
            <x v="29"/>
          </reference>
          <reference field="14" count="1" selected="0">
            <x v="10"/>
          </reference>
          <reference field="36" count="1" selected="0">
            <x v="10"/>
          </reference>
          <reference field="37" count="1" selected="0">
            <x v="8"/>
          </reference>
          <reference field="68" count="1" selected="0">
            <x v="36"/>
          </reference>
          <reference field="78" count="1">
            <x v="38"/>
          </reference>
        </references>
      </pivotArea>
    </format>
    <format dxfId="10">
      <pivotArea dataOnly="0" labelOnly="1" outline="0" fieldPosition="0">
        <references count="6">
          <reference field="12" count="1" selected="0">
            <x v="29"/>
          </reference>
          <reference field="14" count="1" selected="0">
            <x v="10"/>
          </reference>
          <reference field="36" count="1" selected="0">
            <x v="14"/>
          </reference>
          <reference field="37" count="1" selected="0">
            <x v="5"/>
          </reference>
          <reference field="68" count="1" selected="0">
            <x v="36"/>
          </reference>
          <reference field="78" count="1">
            <x v="38"/>
          </reference>
        </references>
      </pivotArea>
    </format>
    <format dxfId="9">
      <pivotArea dataOnly="0" labelOnly="1" outline="0" fieldPosition="0">
        <references count="6">
          <reference field="12" count="1" selected="0">
            <x v="30"/>
          </reference>
          <reference field="14" count="1" selected="0">
            <x v="32"/>
          </reference>
          <reference field="36" count="1" selected="0">
            <x v="0"/>
          </reference>
          <reference field="37" count="1" selected="0">
            <x v="10"/>
          </reference>
          <reference field="68" count="1" selected="0">
            <x v="13"/>
          </reference>
          <reference field="78" count="1">
            <x v="10"/>
          </reference>
        </references>
      </pivotArea>
    </format>
    <format dxfId="8">
      <pivotArea dataOnly="0" labelOnly="1" outline="0" fieldPosition="0">
        <references count="6">
          <reference field="12" count="1" selected="0">
            <x v="30"/>
          </reference>
          <reference field="14" count="1" selected="0">
            <x v="32"/>
          </reference>
          <reference field="36" count="1" selected="0">
            <x v="0"/>
          </reference>
          <reference field="37" count="1" selected="0">
            <x v="10"/>
          </reference>
          <reference field="68" count="1" selected="0">
            <x v="20"/>
          </reference>
          <reference field="78" count="1">
            <x v="34"/>
          </reference>
        </references>
      </pivotArea>
    </format>
    <format dxfId="7">
      <pivotArea dataOnly="0" labelOnly="1" outline="0" fieldPosition="0">
        <references count="6">
          <reference field="12" count="1" selected="0">
            <x v="31"/>
          </reference>
          <reference field="14" count="1" selected="0">
            <x v="20"/>
          </reference>
          <reference field="36" count="1" selected="0">
            <x v="1"/>
          </reference>
          <reference field="37" count="1" selected="0">
            <x v="12"/>
          </reference>
          <reference field="68" count="1" selected="0">
            <x v="22"/>
          </reference>
          <reference field="78" count="1">
            <x v="12"/>
          </reference>
        </references>
      </pivotArea>
    </format>
    <format dxfId="6">
      <pivotArea dataOnly="0" labelOnly="1" outline="0" fieldPosition="0">
        <references count="6">
          <reference field="12" count="1" selected="0">
            <x v="31"/>
          </reference>
          <reference field="14" count="1" selected="0">
            <x v="20"/>
          </reference>
          <reference field="36" count="1" selected="0">
            <x v="1"/>
          </reference>
          <reference field="37" count="1" selected="0">
            <x v="12"/>
          </reference>
          <reference field="68" count="1" selected="0">
            <x v="24"/>
          </reference>
          <reference field="78" count="1">
            <x v="16"/>
          </reference>
        </references>
      </pivotArea>
    </format>
    <format dxfId="5">
      <pivotArea dataOnly="0" labelOnly="1" outline="0" fieldPosition="0">
        <references count="6">
          <reference field="12" count="1" selected="0">
            <x v="31"/>
          </reference>
          <reference field="14" count="1" selected="0">
            <x v="20"/>
          </reference>
          <reference field="36" count="1" selected="0">
            <x v="1"/>
          </reference>
          <reference field="37" count="1" selected="0">
            <x v="12"/>
          </reference>
          <reference field="68" count="1" selected="0">
            <x v="29"/>
          </reference>
          <reference field="78" count="1">
            <x v="29"/>
          </reference>
        </references>
      </pivotArea>
    </format>
    <format dxfId="4">
      <pivotArea dataOnly="0" labelOnly="1" outline="0" fieldPosition="0">
        <references count="6">
          <reference field="12" count="1" selected="0">
            <x v="32"/>
          </reference>
          <reference field="14" count="1" selected="0">
            <x v="14"/>
          </reference>
          <reference field="36" count="1" selected="0">
            <x v="0"/>
          </reference>
          <reference field="37" count="1" selected="0">
            <x v="10"/>
          </reference>
          <reference field="68" count="1" selected="0">
            <x v="26"/>
          </reference>
          <reference field="78" count="1">
            <x v="31"/>
          </reference>
        </references>
      </pivotArea>
    </format>
    <format dxfId="3">
      <pivotArea dataOnly="0" labelOnly="1" outline="0" fieldPosition="0">
        <references count="6">
          <reference field="12" count="1" selected="0">
            <x v="33"/>
          </reference>
          <reference field="14" count="1" selected="0">
            <x v="27"/>
          </reference>
          <reference field="36" count="1" selected="0">
            <x v="15"/>
          </reference>
          <reference field="37" count="1" selected="0">
            <x v="11"/>
          </reference>
          <reference field="68" count="1" selected="0">
            <x v="39"/>
          </reference>
          <reference field="78" count="1">
            <x v="30"/>
          </reference>
        </references>
      </pivotArea>
    </format>
    <format dxfId="2">
      <pivotArea dataOnly="0" labelOnly="1" outline="0" axis="axisValues" fieldPosition="0"/>
    </format>
    <format dxfId="1">
      <pivotArea field="68" type="button" dataOnly="0" labelOnly="1" outline="0" axis="axisRow" fieldPosition="4"/>
    </format>
    <format dxfId="0">
      <pivotArea field="78" type="button" dataOnly="0" labelOnly="1" outline="0" axis="axisRow" fieldPosition="5"/>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610525-B9C5-419F-94E9-68087465E6F5}" name="Table1" displayName="Table1" ref="A3:Z4" totalsRowShown="0" headerRowDxfId="12416" headerRowBorderDxfId="12415" tableBorderDxfId="12414" totalsRowBorderDxfId="12413">
  <autoFilter ref="A3:Z4" xr:uid="{34610525-B9C5-419F-94E9-68087465E6F5}"/>
  <tableColumns count="26">
    <tableColumn id="1" xr3:uid="{FA5C6176-EDF8-44AA-B649-B8CAFCD3AA41}" name="Account" dataDxfId="12412"/>
    <tableColumn id="2" xr3:uid="{1257CB02-656D-4520-905B-38B5D369D5AE}" name="Customer_ID" dataDxfId="12411"/>
    <tableColumn id="3" xr3:uid="{F75E7169-F878-4145-9F3D-3EBB59C1799C}" name="External Billing ID" dataDxfId="12410"/>
    <tableColumn id="4" xr3:uid="{2D3EDA15-53C3-43D5-8F43-6CAEFC2995F6}" name="Total minutes" dataDxfId="12409"/>
    <tableColumn id="5" xr3:uid="{C17740AE-9139-4019-BA10-8F3CD47814E8}" name="Overages" dataDxfId="12408"/>
    <tableColumn id="6" xr3:uid="{942D61E9-DB55-4DF0-97CD-E8C2F83AA835}" name="Billing_amount" dataDxfId="12407"/>
    <tableColumn id="7" xr3:uid="{0D038C69-ACA4-447F-AEE7-0798663FD0DB}" name="CarWars Excl Overage" dataDxfId="12406"/>
    <tableColumn id="8" xr3:uid="{D4FA55A6-2F01-4F5C-8C6D-A9218C8F11BF}" name="CMF" dataDxfId="12405"/>
    <tableColumn id="9" xr3:uid="{A41949F8-6410-4258-A230-226AA975039E}" name="Ship to Name" dataDxfId="12404"/>
    <tableColumn id="10" xr3:uid="{BBE73BFB-6A86-423F-B5D7-A51325518427}" name="ANS Date" dataDxfId="12403"/>
    <tableColumn id="11" xr3:uid="{8DDD8308-B817-4352-9B54-95C0CFB7C185}" name="Install Date" dataDxfId="12402"/>
    <tableColumn id="12" xr3:uid="{38FCC4FB-F4B8-4185-93A6-061C2C079A02}" name="LSS Date" dataDxfId="12401"/>
    <tableColumn id="13" xr3:uid="{57C61DB6-4C6D-42A2-8C53-FBCBBD54F775}" name="Catalog Number" dataDxfId="12400"/>
    <tableColumn id="14" xr3:uid="{E38F5EA5-A648-4274-A4F6-0790D64FEEB7}" name="Catalog Description" dataDxfId="12399"/>
    <tableColumn id="15" xr3:uid="{2EA7F687-320E-43DC-B33D-E9DA55265C43}" name="CDK Billing" dataDxfId="12398"/>
    <tableColumn id="16" xr3:uid="{BA364395-34DC-4A8B-850C-49B66A36AD5E}" name="CDK Overages" dataDxfId="12397"/>
    <tableColumn id="17" xr3:uid="{F3E94F16-0D59-4FA4-BAC8-69B43C6AE99A}" name="CDK total Billing" dataDxfId="12396"/>
    <tableColumn id="18" xr3:uid="{A05A56A9-7995-4F71-901A-96D005336217}" name="Margin Excl Overage" dataDxfId="12395"/>
    <tableColumn id="19" xr3:uid="{35EC55CD-65F0-4D59-9BC1-3CCA1BFBE3F1}" name="Margin % Excl Overage" dataDxfId="12394"/>
    <tableColumn id="20" xr3:uid="{67D8A651-41D6-4CE0-8F86-316ABF155138}" name="Comment Group" dataDxfId="12393"/>
    <tableColumn id="21" xr3:uid="{BA6E3D21-17AB-4C22-850F-31859C662DCB}" name="CDK Package 1" dataDxfId="12392"/>
    <tableColumn id="22" xr3:uid="{7F1D0E9B-6F6F-4BD0-B276-6429C891E12C}" name="CDK Package 2" dataDxfId="12391"/>
    <tableColumn id="23" xr3:uid="{7926F90A-A115-4580-9471-8482A4FDD809}" name="CDK Package 3" dataDxfId="12390"/>
    <tableColumn id="24" xr3:uid="{741A6966-2419-417F-96C0-C4A602889364}" name="CallRevu Package 1" dataDxfId="12389"/>
    <tableColumn id="25" xr3:uid="{6525C703-1ACF-492D-AD6C-6E9240F22EC5}" name="CallRevu Package 2" dataDxfId="12388"/>
    <tableColumn id="26" xr3:uid="{10520FBB-D16A-4563-A448-E8665C3CDED4}" name="CallRevu Package 3" dataDxfId="1238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83564E-BAE0-41F1-94FB-860446750A32}" name="Table2" displayName="Table2" ref="A3:AB4" totalsRowShown="0" headerRowDxfId="10831" headerRowBorderDxfId="10830" tableBorderDxfId="10829" totalsRowBorderDxfId="10828">
  <autoFilter ref="A3:AB4" xr:uid="{6C83564E-BAE0-41F1-94FB-860446750A32}"/>
  <tableColumns count="28">
    <tableColumn id="1" xr3:uid="{F0424811-ADFC-453C-8A51-27B57491F9A2}" name="Business Unit Code" dataDxfId="10827"/>
    <tableColumn id="2" xr3:uid="{E9F20B3B-09A4-4681-A4F7-C0C4188DC25D}" name="Product Level 1 Description" dataDxfId="10826"/>
    <tableColumn id="3" xr3:uid="{BC82F9AF-F720-4139-989E-CBC04B2D0281}" name="Product Level 2 Description" dataDxfId="10825"/>
    <tableColumn id="4" xr3:uid="{18B38FBB-E53C-4C4C-9DB6-D28619F4D186}" name="Product Level 3 Description" dataDxfId="10824"/>
    <tableColumn id="5" xr3:uid="{3C6657D7-7067-4FDC-9540-8AE6D737FBD0}" name="Line of Business Code" dataDxfId="10823"/>
    <tableColumn id="6" xr3:uid="{8E9466B4-958D-44B9-BE89-907B2102BDD5}" name="Account Code" dataDxfId="10822"/>
    <tableColumn id="7" xr3:uid="{487D8962-0454-4DD0-9AAA-B17E6954CF76}" name="Primary (Y/N/NA)" dataDxfId="10821"/>
    <tableColumn id="8" xr3:uid="{9A5A7254-45B1-4CA7-BE2F-CB02B9D242AB}" name="Ship-To/Location State/Province" dataDxfId="10820"/>
    <tableColumn id="9" xr3:uid="{FB774124-BC49-4331-94B1-A8440FEFAAB4}" name="One Time Amount (U.S.)" dataDxfId="10819"/>
    <tableColumn id="10" xr3:uid="{4228EB30-5CE3-4E13-8A02-D386C87F2399}" name="Recurring Amount (U.S.)" dataDxfId="10818"/>
    <tableColumn id="11" xr3:uid="{CA8C0843-E21C-44A5-A1A2-088755E3D332}" name="Quantity" dataDxfId="10817"/>
    <tableColumn id="12" xr3:uid="{51FFB9E3-67D2-4A58-8FD4-4B5D8FD07E79}" name="CMF Number" dataDxfId="10816"/>
    <tableColumn id="13" xr3:uid="{8CD4640C-EB11-4C80-943F-0755263FBEEE}" name="On Carwars Inv" dataDxfId="10815"/>
    <tableColumn id="14" xr3:uid="{C8886C6C-3B0C-4B88-812F-720545077673}" name="On Heitrich/Victory" dataDxfId="10814"/>
    <tableColumn id="15" xr3:uid="{8B305D8C-4C6C-4645-8273-CF1CD1C1BA46}" name="Ship-To Name" dataDxfId="10813"/>
    <tableColumn id="16" xr3:uid="{A50FCDE5-50D6-447D-86A9-84A9EB28188A}" name="Transaction Type" dataDxfId="10812"/>
    <tableColumn id="17" xr3:uid="{20C585FE-E8B0-49A7-93E4-5E376EA25EDA}" name="Charge Reference" dataDxfId="10811"/>
    <tableColumn id="18" xr3:uid="{B02B5EE3-1F25-4C37-9282-C69378F0B519}" name="CDF Id" dataDxfId="10810"/>
    <tableColumn id="19" xr3:uid="{40D8B2D9-EA7A-44A2-8E5E-54167B49AFBD}" name="Catalog Number" dataDxfId="10809"/>
    <tableColumn id="20" xr3:uid="{E11643A0-77F0-4C49-BB4A-5408833EB19B}" name="Catalog Description" dataDxfId="10808"/>
    <tableColumn id="21" xr3:uid="{A7C3A9A3-0C03-451F-A3CB-6E527E8090D9}" name="Charge Type" dataDxfId="10807"/>
    <tableColumn id="22" xr3:uid="{11761686-502C-4629-B952-106AF1DCA38A}" name="Charge Type Description" dataDxfId="10806"/>
    <tableColumn id="23" xr3:uid="{4B817938-C585-474D-BBA5-F9B8AE2B79CE}" name="Invoice Fiscal Year" dataDxfId="10805"/>
    <tableColumn id="24" xr3:uid="{4AE00EC6-379C-43F6-84F2-CAF5539DD3D4}" name="Invoice Fiscal Month" dataDxfId="10804"/>
    <tableColumn id="25" xr3:uid="{69FBDC25-71CA-4DC7-B944-B9925F45CF00}" name="Rollup Level Code" dataDxfId="10803"/>
    <tableColumn id="26" xr3:uid="{B8F6D89E-6184-4439-9C0A-541841CF38D0}" name="Invoice Calendar Year" dataDxfId="10802"/>
    <tableColumn id="27" xr3:uid="{ABE3C633-ABFF-4D07-B094-E1BA384A4E89}" name="Invoice Month Name" dataDxfId="10801"/>
    <tableColumn id="28" xr3:uid="{40FB52F4-5C49-4D8B-BA3D-6F0D9EFF2AC6}" name="Primary / Secondary" dataDxfId="1080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M1" dT="2026-03-13T15:49:36.19" personId="{53769D3C-C97D-43B7-AFF5-E02F0484AC7D}" id="{49683B90-1AA3-4580-8ACB-9442892DCC31}">
    <text>calculated by Christine M</text>
  </threadedComment>
  <threadedComment ref="N1" dT="2026-03-13T15:49:45.39" personId="{53769D3C-C97D-43B7-AFF5-E02F0484AC7D}" id="{EE4FA7CE-5D9E-4056-9F03-E4D6711D61F7}">
    <text>calculated by Christine M</text>
  </threadedComment>
</ThreadedComment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E554D-3BEA-423F-B44E-821EE0ACF7BF}">
  <sheetPr filterMode="1">
    <tabColor theme="3"/>
  </sheetPr>
  <dimension ref="A1:Z385"/>
  <sheetViews>
    <sheetView workbookViewId="0">
      <pane ySplit="2" topLeftCell="A242" activePane="bottomLeft" state="frozen"/>
      <selection pane="bottomLeft" activeCell="H288" sqref="H288"/>
    </sheetView>
  </sheetViews>
  <sheetFormatPr defaultColWidth="9.1796875" defaultRowHeight="14.5" x14ac:dyDescent="0.35"/>
  <cols>
    <col min="1" max="1" width="40.54296875" style="6" customWidth="1"/>
    <col min="2" max="4" width="20.7265625" style="6" bestFit="1" customWidth="1"/>
    <col min="5" max="6" width="20.7265625" style="25" bestFit="1" customWidth="1"/>
    <col min="7" max="7" width="20.453125" style="6" bestFit="1" customWidth="1"/>
    <col min="8" max="8" width="23" style="6" bestFit="1" customWidth="1"/>
    <col min="9" max="9" width="55.81640625" style="6" bestFit="1" customWidth="1"/>
    <col min="10" max="12" width="26.7265625" style="20" bestFit="1" customWidth="1"/>
    <col min="13" max="13" width="26.7265625" style="6" bestFit="1" customWidth="1"/>
    <col min="14" max="14" width="60.26953125" style="6" customWidth="1"/>
    <col min="15" max="15" width="24.453125" style="25" bestFit="1" customWidth="1"/>
    <col min="16" max="16" width="14.81640625" style="25" customWidth="1"/>
    <col min="17" max="17" width="16.7265625" style="25" customWidth="1"/>
    <col min="18" max="18" width="19.26953125" style="6" customWidth="1"/>
    <col min="19" max="19" width="21.453125" style="6" customWidth="1"/>
    <col min="20" max="20" width="51.26953125" style="6" bestFit="1" customWidth="1"/>
    <col min="21" max="21" width="70.54296875" style="6" bestFit="1" customWidth="1"/>
    <col min="22" max="22" width="67" style="6" bestFit="1" customWidth="1"/>
    <col min="23" max="23" width="52.54296875" style="6" bestFit="1" customWidth="1"/>
    <col min="24" max="24" width="53.7265625" style="6" bestFit="1" customWidth="1"/>
    <col min="25" max="25" width="42.54296875" style="6" bestFit="1" customWidth="1"/>
    <col min="26" max="26" width="20.26953125" style="6" bestFit="1" customWidth="1"/>
    <col min="27" max="27" width="26" style="6" customWidth="1"/>
    <col min="28" max="16384" width="9.1796875" style="6"/>
  </cols>
  <sheetData>
    <row r="1" spans="1:26" x14ac:dyDescent="0.35">
      <c r="A1" s="39" t="s">
        <v>0</v>
      </c>
      <c r="B1" s="39" t="s">
        <v>0</v>
      </c>
      <c r="C1" s="39" t="s">
        <v>0</v>
      </c>
      <c r="D1" s="39" t="s">
        <v>0</v>
      </c>
      <c r="E1" s="39" t="s">
        <v>0</v>
      </c>
      <c r="F1" s="39" t="s">
        <v>0</v>
      </c>
      <c r="G1" s="39" t="s">
        <v>1</v>
      </c>
      <c r="H1" s="39" t="s">
        <v>2</v>
      </c>
      <c r="I1" s="39" t="s">
        <v>2</v>
      </c>
      <c r="J1" s="40" t="s">
        <v>3</v>
      </c>
      <c r="K1" s="40" t="s">
        <v>3</v>
      </c>
      <c r="L1" s="40" t="s">
        <v>3</v>
      </c>
      <c r="M1" s="40" t="s">
        <v>3</v>
      </c>
      <c r="N1" s="40" t="s">
        <v>3</v>
      </c>
      <c r="O1" s="41" t="s">
        <v>2</v>
      </c>
      <c r="P1" s="41" t="s">
        <v>2</v>
      </c>
      <c r="Q1" s="41" t="s">
        <v>1</v>
      </c>
      <c r="R1" s="41" t="s">
        <v>1</v>
      </c>
      <c r="S1" s="41" t="s">
        <v>1</v>
      </c>
      <c r="T1" s="39" t="s">
        <v>4</v>
      </c>
      <c r="U1" s="39" t="s">
        <v>5</v>
      </c>
      <c r="V1" s="39" t="s">
        <v>5</v>
      </c>
      <c r="W1" s="39" t="s">
        <v>5</v>
      </c>
      <c r="X1" s="39" t="s">
        <v>6</v>
      </c>
      <c r="Y1" s="39" t="s">
        <v>6</v>
      </c>
      <c r="Z1" s="39" t="s">
        <v>6</v>
      </c>
    </row>
    <row r="2" spans="1:26" s="4" customFormat="1" x14ac:dyDescent="0.35">
      <c r="A2" s="4" t="s">
        <v>7</v>
      </c>
      <c r="B2" s="4" t="s">
        <v>8</v>
      </c>
      <c r="C2" s="4" t="s">
        <v>9</v>
      </c>
      <c r="D2" s="4" t="s">
        <v>10</v>
      </c>
      <c r="E2" s="24" t="s">
        <v>11</v>
      </c>
      <c r="F2" s="24" t="s">
        <v>12</v>
      </c>
      <c r="G2" s="4" t="s">
        <v>13</v>
      </c>
      <c r="H2" s="36" t="s">
        <v>14</v>
      </c>
      <c r="I2" s="36" t="s">
        <v>15</v>
      </c>
      <c r="J2" s="37" t="s">
        <v>16</v>
      </c>
      <c r="K2" s="37" t="s">
        <v>17</v>
      </c>
      <c r="L2" s="37" t="s">
        <v>18</v>
      </c>
      <c r="M2" s="36" t="s">
        <v>19</v>
      </c>
      <c r="N2" s="36" t="s">
        <v>20</v>
      </c>
      <c r="O2" s="24" t="s">
        <v>21</v>
      </c>
      <c r="P2" s="24" t="s">
        <v>22</v>
      </c>
      <c r="Q2" s="24" t="s">
        <v>23</v>
      </c>
      <c r="R2" s="4" t="s">
        <v>24</v>
      </c>
      <c r="S2" s="4" t="s">
        <v>25</v>
      </c>
      <c r="T2" s="4" t="s">
        <v>26</v>
      </c>
      <c r="U2" s="4" t="s">
        <v>27</v>
      </c>
      <c r="V2" s="4" t="s">
        <v>28</v>
      </c>
      <c r="W2" s="4" t="s">
        <v>29</v>
      </c>
      <c r="X2" s="4" t="s">
        <v>30</v>
      </c>
      <c r="Y2" s="4" t="s">
        <v>31</v>
      </c>
      <c r="Z2" s="4" t="s">
        <v>32</v>
      </c>
    </row>
    <row r="3" spans="1:26" hidden="1" x14ac:dyDescent="0.35">
      <c r="A3" s="6" t="s">
        <v>33</v>
      </c>
      <c r="B3" s="6">
        <v>76195</v>
      </c>
      <c r="C3" s="6">
        <v>17223</v>
      </c>
      <c r="D3" s="47">
        <v>8351.73</v>
      </c>
      <c r="E3" s="25">
        <v>0</v>
      </c>
      <c r="F3" s="25">
        <v>1571.65</v>
      </c>
      <c r="G3" s="26">
        <f t="shared" ref="G3:G66" si="0">+F3-E3</f>
        <v>1571.65</v>
      </c>
      <c r="H3" s="6">
        <v>76143222</v>
      </c>
      <c r="I3" s="6" t="s">
        <v>34</v>
      </c>
      <c r="K3" s="20">
        <v>44707</v>
      </c>
      <c r="L3" s="20">
        <v>45808</v>
      </c>
      <c r="M3" s="6" t="s">
        <v>35</v>
      </c>
      <c r="N3" s="6" t="s">
        <v>36</v>
      </c>
      <c r="O3" s="25" t="e">
        <f>VLOOKUP(H3,'Billing CDK pivot'!A:C,3,FALSE)</f>
        <v>#N/A</v>
      </c>
      <c r="P3" s="25">
        <f>IFERROR(VLOOKUP(H3,'Billing CDK pivot (overages)'!A:F,6,FALSE),0)</f>
        <v>0</v>
      </c>
      <c r="Q3" s="25" t="e">
        <f t="shared" ref="Q3:Q66" si="1">+O3+P3</f>
        <v>#N/A</v>
      </c>
      <c r="R3" s="26" t="e">
        <f t="shared" ref="R3:R66" si="2">+O3-G3</f>
        <v>#N/A</v>
      </c>
      <c r="S3" s="48" t="e">
        <f t="shared" ref="S3:S66" si="3">+R3/O3</f>
        <v>#N/A</v>
      </c>
      <c r="T3" s="6" t="s">
        <v>37</v>
      </c>
      <c r="U3" s="6" t="e">
        <v>#N/A</v>
      </c>
      <c r="V3" s="6" t="e">
        <v>#N/A</v>
      </c>
      <c r="W3" s="6" t="e">
        <v>#N/A</v>
      </c>
      <c r="X3" s="6" t="s">
        <v>38</v>
      </c>
      <c r="Y3" s="6" t="s">
        <v>39</v>
      </c>
      <c r="Z3" s="6" t="s">
        <v>39</v>
      </c>
    </row>
    <row r="4" spans="1:26" hidden="1" x14ac:dyDescent="0.35">
      <c r="A4" s="6" t="s">
        <v>40</v>
      </c>
      <c r="B4" s="6">
        <v>92128</v>
      </c>
      <c r="C4" s="6">
        <v>18596</v>
      </c>
      <c r="D4" s="47">
        <v>9740.35</v>
      </c>
      <c r="E4" s="25">
        <v>0</v>
      </c>
      <c r="F4" s="25">
        <v>1581.65</v>
      </c>
      <c r="G4" s="26">
        <f t="shared" si="0"/>
        <v>1581.65</v>
      </c>
      <c r="H4" s="6">
        <v>76217678</v>
      </c>
      <c r="I4" s="6" t="s">
        <v>41</v>
      </c>
      <c r="K4" s="20">
        <v>45566</v>
      </c>
      <c r="L4" s="20">
        <v>45914</v>
      </c>
      <c r="M4" s="6" t="s">
        <v>42</v>
      </c>
      <c r="N4" s="6" t="s">
        <v>43</v>
      </c>
      <c r="O4" s="25" t="e">
        <f>VLOOKUP(H4,'Billing CDK pivot'!A:C,3,FALSE)</f>
        <v>#N/A</v>
      </c>
      <c r="P4" s="25">
        <f>IFERROR(VLOOKUP(H4,'Billing CDK pivot (overages)'!A:F,6,FALSE),0)</f>
        <v>0</v>
      </c>
      <c r="Q4" s="25" t="e">
        <f t="shared" si="1"/>
        <v>#N/A</v>
      </c>
      <c r="R4" s="26" t="e">
        <f t="shared" si="2"/>
        <v>#N/A</v>
      </c>
      <c r="S4" s="48" t="e">
        <f t="shared" si="3"/>
        <v>#N/A</v>
      </c>
      <c r="T4" s="6" t="s">
        <v>37</v>
      </c>
      <c r="U4" s="6" t="e">
        <v>#N/A</v>
      </c>
      <c r="V4" s="6" t="e">
        <v>#N/A</v>
      </c>
      <c r="W4" s="6" t="e">
        <v>#N/A</v>
      </c>
      <c r="X4" s="6" t="s">
        <v>38</v>
      </c>
      <c r="Y4" s="6" t="s">
        <v>44</v>
      </c>
      <c r="Z4" s="6" t="s">
        <v>39</v>
      </c>
    </row>
    <row r="5" spans="1:26" hidden="1" x14ac:dyDescent="0.35">
      <c r="A5" s="6" t="s">
        <v>45</v>
      </c>
      <c r="B5" s="6">
        <v>90338</v>
      </c>
      <c r="C5" s="6">
        <v>8230</v>
      </c>
      <c r="D5" s="47">
        <v>2477.75</v>
      </c>
      <c r="E5" s="25">
        <v>0</v>
      </c>
      <c r="F5" s="25">
        <v>264.14999999999998</v>
      </c>
      <c r="G5" s="26">
        <f t="shared" si="0"/>
        <v>264.14999999999998</v>
      </c>
      <c r="H5" s="6" t="s">
        <v>46</v>
      </c>
      <c r="I5" s="6" t="s">
        <v>47</v>
      </c>
      <c r="K5" s="20">
        <v>44053</v>
      </c>
      <c r="L5" s="20">
        <v>45961</v>
      </c>
      <c r="M5" s="6" t="s">
        <v>48</v>
      </c>
      <c r="N5" s="6" t="s">
        <v>49</v>
      </c>
      <c r="O5" s="25" t="e">
        <f>VLOOKUP(H5,'Billing CDK pivot'!A:C,3,FALSE)</f>
        <v>#N/A</v>
      </c>
      <c r="P5" s="25">
        <f>IFERROR(VLOOKUP(H5,'Billing CDK pivot (overages)'!A:F,6,FALSE),0)</f>
        <v>0</v>
      </c>
      <c r="Q5" s="25" t="e">
        <f t="shared" si="1"/>
        <v>#N/A</v>
      </c>
      <c r="R5" s="26" t="e">
        <f t="shared" si="2"/>
        <v>#N/A</v>
      </c>
      <c r="S5" s="48" t="e">
        <f t="shared" si="3"/>
        <v>#N/A</v>
      </c>
      <c r="T5" s="6" t="s">
        <v>37</v>
      </c>
      <c r="U5" s="6" t="e">
        <v>#N/A</v>
      </c>
      <c r="V5" s="6" t="e">
        <v>#N/A</v>
      </c>
      <c r="W5" s="6" t="e">
        <v>#N/A</v>
      </c>
      <c r="X5" s="6" t="s">
        <v>38</v>
      </c>
      <c r="Y5" s="6" t="s">
        <v>50</v>
      </c>
      <c r="Z5" s="6" t="s">
        <v>39</v>
      </c>
    </row>
    <row r="6" spans="1:26" hidden="1" x14ac:dyDescent="0.35">
      <c r="A6" s="6" t="s">
        <v>51</v>
      </c>
      <c r="B6" s="6">
        <v>93471</v>
      </c>
      <c r="C6" s="6">
        <v>10445</v>
      </c>
      <c r="D6" s="47">
        <v>0</v>
      </c>
      <c r="E6" s="25">
        <v>0</v>
      </c>
      <c r="F6" s="25">
        <v>1793.3000000000002</v>
      </c>
      <c r="G6" s="26">
        <f t="shared" si="0"/>
        <v>1793.3000000000002</v>
      </c>
      <c r="H6" s="6">
        <v>76003426</v>
      </c>
      <c r="I6" s="6" t="s">
        <v>52</v>
      </c>
      <c r="K6" s="20">
        <v>44053</v>
      </c>
      <c r="L6" s="20">
        <v>45961</v>
      </c>
      <c r="M6" s="6" t="s">
        <v>48</v>
      </c>
      <c r="N6" s="6" t="s">
        <v>49</v>
      </c>
      <c r="O6" s="25" t="e">
        <f>VLOOKUP(H6,'Billing CDK pivot'!A:C,3,FALSE)</f>
        <v>#N/A</v>
      </c>
      <c r="P6" s="25">
        <f>IFERROR(VLOOKUP(H6,'Billing CDK pivot (overages)'!A:F,6,FALSE),0)</f>
        <v>0</v>
      </c>
      <c r="Q6" s="25" t="e">
        <f t="shared" si="1"/>
        <v>#N/A</v>
      </c>
      <c r="R6" s="26" t="e">
        <f t="shared" si="2"/>
        <v>#N/A</v>
      </c>
      <c r="S6" s="48" t="e">
        <f t="shared" si="3"/>
        <v>#N/A</v>
      </c>
      <c r="T6" s="6" t="s">
        <v>37</v>
      </c>
      <c r="U6" s="6" t="e">
        <v>#N/A</v>
      </c>
      <c r="V6" s="6" t="e">
        <v>#N/A</v>
      </c>
      <c r="W6" s="6" t="e">
        <v>#N/A</v>
      </c>
      <c r="X6" s="6" t="s">
        <v>53</v>
      </c>
      <c r="Y6" s="6" t="s">
        <v>54</v>
      </c>
      <c r="Z6" s="6" t="s">
        <v>55</v>
      </c>
    </row>
    <row r="7" spans="1:26" hidden="1" x14ac:dyDescent="0.35">
      <c r="A7" s="6" t="s">
        <v>56</v>
      </c>
      <c r="B7" s="6">
        <v>116892</v>
      </c>
      <c r="C7" s="6">
        <v>6397</v>
      </c>
      <c r="D7" s="47">
        <v>52.02</v>
      </c>
      <c r="E7" s="25">
        <v>0</v>
      </c>
      <c r="F7" s="25">
        <v>1581.65</v>
      </c>
      <c r="G7" s="26">
        <f t="shared" si="0"/>
        <v>1581.65</v>
      </c>
      <c r="H7" s="6">
        <v>76062949</v>
      </c>
      <c r="I7" s="6" t="s">
        <v>57</v>
      </c>
      <c r="K7" s="20">
        <v>43862</v>
      </c>
      <c r="L7" s="20">
        <v>45869</v>
      </c>
      <c r="M7" s="6" t="e">
        <f>VLOOKUP(H7,'Billing CDK pivot'!A:C,3,FALSE)</f>
        <v>#N/A</v>
      </c>
      <c r="N7" s="6" t="e">
        <f>VLOOKUP(I7,'Billing CDK pivot'!B:D,3,FALSE)</f>
        <v>#N/A</v>
      </c>
      <c r="O7" s="25" t="e">
        <f>VLOOKUP(H7,'Billing CDK pivot'!A:C,3,FALSE)</f>
        <v>#N/A</v>
      </c>
      <c r="P7" s="25">
        <f>IFERROR(VLOOKUP(H7,'Billing CDK pivot (overages)'!A:F,6,FALSE),0)</f>
        <v>0</v>
      </c>
      <c r="Q7" s="25" t="e">
        <f t="shared" si="1"/>
        <v>#N/A</v>
      </c>
      <c r="R7" s="26" t="e">
        <f t="shared" si="2"/>
        <v>#N/A</v>
      </c>
      <c r="S7" s="48" t="e">
        <f t="shared" si="3"/>
        <v>#N/A</v>
      </c>
      <c r="T7" s="6" t="s">
        <v>37</v>
      </c>
      <c r="U7" s="6" t="e">
        <v>#N/A</v>
      </c>
      <c r="V7" s="6" t="e">
        <v>#N/A</v>
      </c>
      <c r="W7" s="6" t="e">
        <v>#N/A</v>
      </c>
      <c r="X7" s="6" t="s">
        <v>58</v>
      </c>
      <c r="Y7" s="6" t="s">
        <v>54</v>
      </c>
      <c r="Z7" s="6" t="s">
        <v>39</v>
      </c>
    </row>
    <row r="8" spans="1:26" hidden="1" x14ac:dyDescent="0.35">
      <c r="A8" s="6" t="s">
        <v>59</v>
      </c>
      <c r="B8" s="6">
        <v>86863</v>
      </c>
      <c r="C8" s="6">
        <v>18077</v>
      </c>
      <c r="D8" s="47">
        <v>4423.0200000000004</v>
      </c>
      <c r="E8" s="25">
        <v>29.19</v>
      </c>
      <c r="F8" s="25">
        <v>293.33999999999997</v>
      </c>
      <c r="G8" s="26">
        <f t="shared" si="0"/>
        <v>264.14999999999998</v>
      </c>
      <c r="H8" s="6">
        <v>76049589</v>
      </c>
      <c r="I8" s="6" t="s">
        <v>60</v>
      </c>
      <c r="K8" s="20">
        <v>44013</v>
      </c>
      <c r="L8" s="20">
        <v>45777</v>
      </c>
      <c r="M8" s="6" t="s">
        <v>48</v>
      </c>
      <c r="N8" s="6" t="s">
        <v>49</v>
      </c>
      <c r="O8" s="25" t="e">
        <f>VLOOKUP(H8,'Billing CDK pivot'!A:C,3,FALSE)</f>
        <v>#N/A</v>
      </c>
      <c r="P8" s="25">
        <f>IFERROR(VLOOKUP(H8,'Billing CDK pivot (overages)'!A:F,6,FALSE),0)</f>
        <v>0</v>
      </c>
      <c r="Q8" s="25" t="e">
        <f t="shared" si="1"/>
        <v>#N/A</v>
      </c>
      <c r="R8" s="26" t="e">
        <f t="shared" si="2"/>
        <v>#N/A</v>
      </c>
      <c r="S8" s="48" t="e">
        <f t="shared" si="3"/>
        <v>#N/A</v>
      </c>
      <c r="T8" s="6" t="s">
        <v>37</v>
      </c>
      <c r="U8" s="6" t="e">
        <v>#N/A</v>
      </c>
      <c r="V8" s="6" t="e">
        <v>#N/A</v>
      </c>
      <c r="W8" s="6" t="e">
        <v>#N/A</v>
      </c>
      <c r="X8" s="6" t="s">
        <v>38</v>
      </c>
      <c r="Y8" s="6" t="s">
        <v>50</v>
      </c>
      <c r="Z8" s="6" t="s">
        <v>39</v>
      </c>
    </row>
    <row r="9" spans="1:26" hidden="1" x14ac:dyDescent="0.35">
      <c r="A9" s="6" t="s">
        <v>61</v>
      </c>
      <c r="B9" s="6">
        <v>150401</v>
      </c>
      <c r="C9" s="6">
        <v>27069</v>
      </c>
      <c r="D9" s="47">
        <v>9933.82</v>
      </c>
      <c r="E9" s="25">
        <v>443.93</v>
      </c>
      <c r="F9" s="25">
        <v>708.08</v>
      </c>
      <c r="G9" s="26">
        <f t="shared" si="0"/>
        <v>264.15000000000003</v>
      </c>
      <c r="H9" s="6">
        <v>76230032</v>
      </c>
      <c r="I9" s="6" t="s">
        <v>62</v>
      </c>
      <c r="K9" s="20">
        <v>44663</v>
      </c>
      <c r="L9" s="20">
        <v>45777</v>
      </c>
      <c r="M9" s="6" t="s">
        <v>48</v>
      </c>
      <c r="N9" s="6" t="s">
        <v>49</v>
      </c>
      <c r="O9" s="25" t="e">
        <f>VLOOKUP(H9,'Billing CDK pivot'!A:C,3,FALSE)</f>
        <v>#N/A</v>
      </c>
      <c r="P9" s="25">
        <f>IFERROR(VLOOKUP(H9,'Billing CDK pivot (overages)'!A:F,6,FALSE),0)</f>
        <v>0</v>
      </c>
      <c r="Q9" s="25" t="e">
        <f t="shared" si="1"/>
        <v>#N/A</v>
      </c>
      <c r="R9" s="26" t="e">
        <f t="shared" si="2"/>
        <v>#N/A</v>
      </c>
      <c r="S9" s="48" t="e">
        <f t="shared" si="3"/>
        <v>#N/A</v>
      </c>
      <c r="T9" s="6" t="s">
        <v>37</v>
      </c>
      <c r="U9" s="6" t="e">
        <v>#N/A</v>
      </c>
      <c r="V9" s="6" t="e">
        <v>#N/A</v>
      </c>
      <c r="W9" s="6" t="e">
        <v>#N/A</v>
      </c>
      <c r="X9" s="6" t="s">
        <v>38</v>
      </c>
      <c r="Y9" s="6" t="s">
        <v>58</v>
      </c>
      <c r="Z9" s="6" t="s">
        <v>39</v>
      </c>
    </row>
    <row r="10" spans="1:26" hidden="1" x14ac:dyDescent="0.35">
      <c r="A10" s="6" t="s">
        <v>63</v>
      </c>
      <c r="B10" s="6">
        <v>86862</v>
      </c>
      <c r="C10" s="6">
        <v>18076</v>
      </c>
      <c r="D10" s="47">
        <v>4425.79</v>
      </c>
      <c r="E10" s="25">
        <v>29.38</v>
      </c>
      <c r="F10" s="25">
        <v>293.52999999999997</v>
      </c>
      <c r="G10" s="26">
        <f t="shared" si="0"/>
        <v>264.14999999999998</v>
      </c>
      <c r="H10" s="6">
        <v>76049571</v>
      </c>
      <c r="I10" s="6" t="s">
        <v>64</v>
      </c>
      <c r="K10" s="20">
        <v>44013</v>
      </c>
      <c r="L10" s="20">
        <v>45777</v>
      </c>
      <c r="M10" s="6" t="s">
        <v>48</v>
      </c>
      <c r="N10" s="6" t="s">
        <v>49</v>
      </c>
      <c r="O10" s="25" t="e">
        <f>VLOOKUP(H10,'Billing CDK pivot'!A:C,3,FALSE)</f>
        <v>#N/A</v>
      </c>
      <c r="P10" s="25">
        <f>IFERROR(VLOOKUP(H10,'Billing CDK pivot (overages)'!A:F,6,FALSE),0)</f>
        <v>0</v>
      </c>
      <c r="Q10" s="25" t="e">
        <f t="shared" si="1"/>
        <v>#N/A</v>
      </c>
      <c r="R10" s="26" t="e">
        <f t="shared" si="2"/>
        <v>#N/A</v>
      </c>
      <c r="S10" s="48" t="e">
        <f t="shared" si="3"/>
        <v>#N/A</v>
      </c>
      <c r="T10" s="6" t="s">
        <v>37</v>
      </c>
      <c r="U10" s="6" t="e">
        <v>#N/A</v>
      </c>
      <c r="V10" s="6" t="e">
        <v>#N/A</v>
      </c>
      <c r="W10" s="6" t="e">
        <v>#N/A</v>
      </c>
      <c r="X10" s="6" t="s">
        <v>38</v>
      </c>
      <c r="Y10" s="6" t="s">
        <v>50</v>
      </c>
      <c r="Z10" s="6" t="s">
        <v>39</v>
      </c>
    </row>
    <row r="11" spans="1:26" hidden="1" x14ac:dyDescent="0.35">
      <c r="A11" s="6" t="s">
        <v>65</v>
      </c>
      <c r="B11" s="6">
        <v>148843</v>
      </c>
      <c r="C11" s="6">
        <v>10786</v>
      </c>
      <c r="D11" s="47">
        <v>0</v>
      </c>
      <c r="E11" s="25">
        <v>0</v>
      </c>
      <c r="F11" s="25">
        <v>0</v>
      </c>
      <c r="G11" s="26">
        <f t="shared" si="0"/>
        <v>0</v>
      </c>
      <c r="H11" s="6">
        <v>76211594</v>
      </c>
      <c r="I11" s="6" t="s">
        <v>66</v>
      </c>
      <c r="K11" s="20">
        <v>45545</v>
      </c>
      <c r="L11" s="20">
        <v>45961</v>
      </c>
      <c r="M11" s="6" t="s">
        <v>67</v>
      </c>
      <c r="N11" s="6" t="s">
        <v>68</v>
      </c>
      <c r="O11" s="25" t="e">
        <f>VLOOKUP(H11,'Billing CDK pivot'!A:C,3,FALSE)</f>
        <v>#N/A</v>
      </c>
      <c r="P11" s="25">
        <f>IFERROR(VLOOKUP(H11,'Billing CDK pivot (overages)'!A:F,6,FALSE),0)</f>
        <v>0</v>
      </c>
      <c r="Q11" s="25" t="e">
        <f t="shared" si="1"/>
        <v>#N/A</v>
      </c>
      <c r="R11" s="26" t="e">
        <f t="shared" si="2"/>
        <v>#N/A</v>
      </c>
      <c r="S11" s="48" t="e">
        <f t="shared" si="3"/>
        <v>#N/A</v>
      </c>
      <c r="T11" s="6" t="s">
        <v>37</v>
      </c>
      <c r="U11" s="6" t="e">
        <v>#N/A</v>
      </c>
      <c r="V11" s="6" t="e">
        <v>#N/A</v>
      </c>
      <c r="W11" s="6" t="e">
        <v>#N/A</v>
      </c>
      <c r="X11" s="6" t="s">
        <v>69</v>
      </c>
      <c r="Y11" s="6" t="s">
        <v>39</v>
      </c>
      <c r="Z11" s="6" t="s">
        <v>39</v>
      </c>
    </row>
    <row r="12" spans="1:26" hidden="1" x14ac:dyDescent="0.35">
      <c r="A12" s="6" t="s">
        <v>70</v>
      </c>
      <c r="B12" s="6">
        <v>116785</v>
      </c>
      <c r="C12" s="6">
        <v>19638</v>
      </c>
      <c r="D12" s="47">
        <v>43</v>
      </c>
      <c r="E12" s="25">
        <v>0</v>
      </c>
      <c r="F12" s="25">
        <v>1571.65</v>
      </c>
      <c r="G12" s="26">
        <f t="shared" si="0"/>
        <v>1571.65</v>
      </c>
      <c r="H12" s="6">
        <v>76049550</v>
      </c>
      <c r="I12" s="6" t="s">
        <v>71</v>
      </c>
      <c r="K12" s="20">
        <v>44657</v>
      </c>
      <c r="L12" s="20">
        <v>45777</v>
      </c>
      <c r="M12" s="6" t="s">
        <v>42</v>
      </c>
      <c r="N12" s="6" t="s">
        <v>43</v>
      </c>
      <c r="O12" s="25" t="e">
        <f>VLOOKUP(H12,'Billing CDK pivot'!A:C,3,FALSE)</f>
        <v>#N/A</v>
      </c>
      <c r="P12" s="25">
        <f>IFERROR(VLOOKUP(H12,'Billing CDK pivot (overages)'!A:F,6,FALSE),0)</f>
        <v>0</v>
      </c>
      <c r="Q12" s="25" t="e">
        <f t="shared" si="1"/>
        <v>#N/A</v>
      </c>
      <c r="R12" s="26" t="e">
        <f t="shared" si="2"/>
        <v>#N/A</v>
      </c>
      <c r="S12" s="48" t="e">
        <f t="shared" si="3"/>
        <v>#N/A</v>
      </c>
      <c r="T12" s="6" t="s">
        <v>37</v>
      </c>
      <c r="U12" s="6" t="e">
        <v>#N/A</v>
      </c>
      <c r="V12" s="6" t="e">
        <v>#N/A</v>
      </c>
      <c r="W12" s="6" t="e">
        <v>#N/A</v>
      </c>
      <c r="X12" s="6" t="s">
        <v>38</v>
      </c>
      <c r="Y12" s="6" t="s">
        <v>39</v>
      </c>
      <c r="Z12" s="6" t="s">
        <v>39</v>
      </c>
    </row>
    <row r="13" spans="1:26" hidden="1" x14ac:dyDescent="0.35">
      <c r="A13" s="6" t="s">
        <v>72</v>
      </c>
      <c r="B13" s="6">
        <v>46377</v>
      </c>
      <c r="C13" s="6">
        <v>8725</v>
      </c>
      <c r="D13" s="47">
        <v>36</v>
      </c>
      <c r="E13" s="25">
        <v>0</v>
      </c>
      <c r="F13" s="25">
        <v>0</v>
      </c>
      <c r="G13" s="26">
        <f t="shared" si="0"/>
        <v>0</v>
      </c>
      <c r="H13" s="6">
        <v>76228629</v>
      </c>
      <c r="I13" s="6" t="s">
        <v>73</v>
      </c>
      <c r="K13" s="20">
        <v>44568</v>
      </c>
      <c r="L13" s="20">
        <v>45716</v>
      </c>
      <c r="M13" s="6" t="s">
        <v>74</v>
      </c>
      <c r="N13" s="6" t="s">
        <v>75</v>
      </c>
      <c r="O13" s="25" t="e">
        <f>VLOOKUP(H13,'Billing CDK pivot'!A:C,3,FALSE)</f>
        <v>#N/A</v>
      </c>
      <c r="P13" s="25">
        <f>IFERROR(VLOOKUP(H13,'Billing CDK pivot (overages)'!A:F,6,FALSE),0)</f>
        <v>0</v>
      </c>
      <c r="Q13" s="25" t="e">
        <f t="shared" si="1"/>
        <v>#N/A</v>
      </c>
      <c r="R13" s="26" t="e">
        <f t="shared" si="2"/>
        <v>#N/A</v>
      </c>
      <c r="S13" s="48" t="e">
        <f t="shared" si="3"/>
        <v>#N/A</v>
      </c>
      <c r="T13" s="6" t="s">
        <v>37</v>
      </c>
      <c r="U13" s="6" t="e">
        <v>#N/A</v>
      </c>
      <c r="V13" s="6" t="e">
        <v>#N/A</v>
      </c>
      <c r="W13" s="6" t="e">
        <v>#N/A</v>
      </c>
      <c r="X13" s="6" t="s">
        <v>38</v>
      </c>
      <c r="Y13" s="6" t="s">
        <v>39</v>
      </c>
      <c r="Z13" s="6" t="s">
        <v>39</v>
      </c>
    </row>
    <row r="14" spans="1:26" hidden="1" x14ac:dyDescent="0.35">
      <c r="A14" s="6" t="s">
        <v>76</v>
      </c>
      <c r="B14" s="6">
        <v>99628</v>
      </c>
      <c r="C14" s="6">
        <v>17155</v>
      </c>
      <c r="D14" s="47">
        <v>1264.3399999999999</v>
      </c>
      <c r="E14" s="25">
        <v>0</v>
      </c>
      <c r="F14" s="25">
        <v>264.14999999999998</v>
      </c>
      <c r="G14" s="26">
        <f t="shared" si="0"/>
        <v>264.14999999999998</v>
      </c>
      <c r="H14" s="6">
        <v>76211956</v>
      </c>
      <c r="I14" s="6" t="s">
        <v>77</v>
      </c>
      <c r="K14" s="20">
        <v>43862</v>
      </c>
      <c r="L14" s="20">
        <v>45777</v>
      </c>
      <c r="M14" s="6" t="s">
        <v>35</v>
      </c>
      <c r="N14" s="6" t="s">
        <v>36</v>
      </c>
      <c r="O14" s="25" t="e">
        <f>VLOOKUP(H14,'Billing CDK pivot'!A:C,3,FALSE)</f>
        <v>#N/A</v>
      </c>
      <c r="P14" s="25">
        <f>IFERROR(VLOOKUP(H14,'Billing CDK pivot (overages)'!A:F,6,FALSE),0)</f>
        <v>0</v>
      </c>
      <c r="Q14" s="25" t="e">
        <f t="shared" si="1"/>
        <v>#N/A</v>
      </c>
      <c r="R14" s="26" t="e">
        <f t="shared" si="2"/>
        <v>#N/A</v>
      </c>
      <c r="S14" s="48" t="e">
        <f t="shared" si="3"/>
        <v>#N/A</v>
      </c>
      <c r="T14" s="6" t="s">
        <v>37</v>
      </c>
      <c r="U14" s="6" t="e">
        <v>#N/A</v>
      </c>
      <c r="V14" s="6" t="e">
        <v>#N/A</v>
      </c>
      <c r="W14" s="6" t="e">
        <v>#N/A</v>
      </c>
      <c r="X14" s="6" t="s">
        <v>38</v>
      </c>
      <c r="Y14" s="6" t="s">
        <v>58</v>
      </c>
      <c r="Z14" s="6" t="s">
        <v>39</v>
      </c>
    </row>
    <row r="15" spans="1:26" hidden="1" x14ac:dyDescent="0.35">
      <c r="A15" s="6" t="s">
        <v>78</v>
      </c>
      <c r="B15" s="6">
        <v>99624</v>
      </c>
      <c r="C15" s="6">
        <v>4548</v>
      </c>
      <c r="D15" s="47">
        <v>42.65</v>
      </c>
      <c r="E15" s="25">
        <v>0</v>
      </c>
      <c r="F15" s="25">
        <v>139</v>
      </c>
      <c r="G15" s="26">
        <f t="shared" si="0"/>
        <v>139</v>
      </c>
      <c r="H15" s="6">
        <v>76211900</v>
      </c>
      <c r="I15" s="6" t="s">
        <v>79</v>
      </c>
      <c r="K15" s="20">
        <v>43862</v>
      </c>
      <c r="L15" s="20">
        <v>45777</v>
      </c>
      <c r="M15" s="6" t="s">
        <v>35</v>
      </c>
      <c r="N15" s="6" t="s">
        <v>36</v>
      </c>
      <c r="O15" s="25" t="e">
        <f>VLOOKUP(H15,'Billing CDK pivot'!A:C,3,FALSE)</f>
        <v>#N/A</v>
      </c>
      <c r="P15" s="25">
        <f>IFERROR(VLOOKUP(H15,'Billing CDK pivot (overages)'!A:F,6,FALSE),0)</f>
        <v>0</v>
      </c>
      <c r="Q15" s="25" t="e">
        <f t="shared" si="1"/>
        <v>#N/A</v>
      </c>
      <c r="R15" s="26" t="e">
        <f t="shared" si="2"/>
        <v>#N/A</v>
      </c>
      <c r="S15" s="48" t="e">
        <f t="shared" si="3"/>
        <v>#N/A</v>
      </c>
      <c r="T15" s="6" t="s">
        <v>37</v>
      </c>
      <c r="U15" s="6" t="e">
        <v>#N/A</v>
      </c>
      <c r="V15" s="6" t="e">
        <v>#N/A</v>
      </c>
      <c r="W15" s="6" t="e">
        <v>#N/A</v>
      </c>
      <c r="X15" s="6" t="s">
        <v>80</v>
      </c>
      <c r="Y15" s="6" t="s">
        <v>80</v>
      </c>
      <c r="Z15" s="6" t="s">
        <v>39</v>
      </c>
    </row>
    <row r="16" spans="1:26" hidden="1" x14ac:dyDescent="0.35">
      <c r="A16" s="6" t="s">
        <v>81</v>
      </c>
      <c r="B16" s="6">
        <v>142901</v>
      </c>
      <c r="C16" s="6">
        <v>23308</v>
      </c>
      <c r="D16" s="47">
        <v>0</v>
      </c>
      <c r="E16" s="25">
        <v>0</v>
      </c>
      <c r="F16" s="25">
        <v>254.15</v>
      </c>
      <c r="G16" s="26">
        <f t="shared" si="0"/>
        <v>254.15</v>
      </c>
      <c r="H16" s="6">
        <v>76215011</v>
      </c>
      <c r="I16" s="6" t="s">
        <v>82</v>
      </c>
      <c r="K16" s="20">
        <v>44118</v>
      </c>
      <c r="L16" s="20">
        <v>45900</v>
      </c>
      <c r="M16" s="6" t="s">
        <v>48</v>
      </c>
      <c r="N16" s="6" t="s">
        <v>49</v>
      </c>
      <c r="O16" s="25" t="e">
        <f>VLOOKUP(H16,'Billing CDK pivot'!A:C,3,FALSE)</f>
        <v>#N/A</v>
      </c>
      <c r="P16" s="25">
        <f>IFERROR(VLOOKUP(H16,'Billing CDK pivot (overages)'!A:F,6,FALSE),0)</f>
        <v>0</v>
      </c>
      <c r="Q16" s="25" t="e">
        <f t="shared" si="1"/>
        <v>#N/A</v>
      </c>
      <c r="R16" s="26" t="e">
        <f t="shared" si="2"/>
        <v>#N/A</v>
      </c>
      <c r="S16" s="48" t="e">
        <f t="shared" si="3"/>
        <v>#N/A</v>
      </c>
      <c r="T16" s="6" t="s">
        <v>37</v>
      </c>
      <c r="U16" s="6" t="e">
        <v>#N/A</v>
      </c>
      <c r="V16" s="6" t="e">
        <v>#N/A</v>
      </c>
      <c r="W16" s="6" t="e">
        <v>#N/A</v>
      </c>
      <c r="X16" s="6" t="s">
        <v>38</v>
      </c>
      <c r="Y16" s="6" t="s">
        <v>39</v>
      </c>
      <c r="Z16" s="6" t="s">
        <v>39</v>
      </c>
    </row>
    <row r="17" spans="1:26" hidden="1" x14ac:dyDescent="0.35">
      <c r="A17" s="6" t="s">
        <v>83</v>
      </c>
      <c r="B17" s="6">
        <v>154381</v>
      </c>
      <c r="C17" s="6">
        <v>9560</v>
      </c>
      <c r="D17" s="47">
        <v>2</v>
      </c>
      <c r="E17" s="25">
        <v>0</v>
      </c>
      <c r="F17" s="25">
        <v>434.15</v>
      </c>
      <c r="G17" s="26">
        <f t="shared" si="0"/>
        <v>434.15</v>
      </c>
      <c r="H17" s="6">
        <v>76171765</v>
      </c>
      <c r="I17" s="6" t="s">
        <v>84</v>
      </c>
      <c r="K17" s="20">
        <v>44958</v>
      </c>
      <c r="L17" s="20">
        <v>45930</v>
      </c>
      <c r="M17" s="6" t="s">
        <v>74</v>
      </c>
      <c r="N17" s="6" t="s">
        <v>75</v>
      </c>
      <c r="O17" s="25" t="e">
        <f>VLOOKUP(H17,'Billing CDK pivot'!A:C,3,FALSE)</f>
        <v>#N/A</v>
      </c>
      <c r="P17" s="25">
        <f>IFERROR(VLOOKUP(H17,'Billing CDK pivot (overages)'!A:F,6,FALSE),0)</f>
        <v>0</v>
      </c>
      <c r="Q17" s="25" t="e">
        <f t="shared" si="1"/>
        <v>#N/A</v>
      </c>
      <c r="R17" s="26" t="e">
        <f t="shared" si="2"/>
        <v>#N/A</v>
      </c>
      <c r="S17" s="48" t="e">
        <f t="shared" si="3"/>
        <v>#N/A</v>
      </c>
      <c r="T17" s="6" t="s">
        <v>37</v>
      </c>
      <c r="U17" s="6" t="e">
        <v>#N/A</v>
      </c>
      <c r="V17" s="6" t="e">
        <v>#N/A</v>
      </c>
      <c r="W17" s="6" t="e">
        <v>#N/A</v>
      </c>
      <c r="X17" s="6" t="s">
        <v>38</v>
      </c>
      <c r="Y17" s="6" t="s">
        <v>53</v>
      </c>
      <c r="Z17" s="6" t="s">
        <v>39</v>
      </c>
    </row>
    <row r="18" spans="1:26" hidden="1" x14ac:dyDescent="0.35">
      <c r="A18" s="6" t="s">
        <v>85</v>
      </c>
      <c r="B18" s="6">
        <v>59676</v>
      </c>
      <c r="C18" s="6">
        <v>11619</v>
      </c>
      <c r="D18" s="47">
        <v>11274.29</v>
      </c>
      <c r="E18" s="25">
        <v>449.14</v>
      </c>
      <c r="F18" s="25">
        <v>1298.1400000000001</v>
      </c>
      <c r="G18" s="26">
        <f t="shared" si="0"/>
        <v>849.00000000000011</v>
      </c>
      <c r="H18" s="6">
        <v>76055608</v>
      </c>
      <c r="I18" s="6" t="s">
        <v>86</v>
      </c>
      <c r="K18" s="20">
        <v>43965</v>
      </c>
      <c r="L18" s="20">
        <v>45930</v>
      </c>
      <c r="M18" s="6" t="s">
        <v>87</v>
      </c>
      <c r="N18" s="6" t="s">
        <v>88</v>
      </c>
      <c r="O18" s="25" t="e">
        <f>VLOOKUP(H18,'Billing CDK pivot'!A:C,3,FALSE)</f>
        <v>#N/A</v>
      </c>
      <c r="P18" s="25">
        <f>IFERROR(VLOOKUP(H18,'Billing CDK pivot (overages)'!A:F,6,FALSE),0)</f>
        <v>0</v>
      </c>
      <c r="Q18" s="25" t="e">
        <f t="shared" si="1"/>
        <v>#N/A</v>
      </c>
      <c r="R18" s="26" t="e">
        <f t="shared" si="2"/>
        <v>#N/A</v>
      </c>
      <c r="S18" s="48" t="e">
        <f t="shared" si="3"/>
        <v>#N/A</v>
      </c>
      <c r="T18" s="6" t="s">
        <v>37</v>
      </c>
      <c r="U18" s="6" t="e">
        <v>#N/A</v>
      </c>
      <c r="V18" s="6" t="e">
        <v>#N/A</v>
      </c>
      <c r="W18" s="6" t="e">
        <v>#N/A</v>
      </c>
      <c r="X18" s="6" t="s">
        <v>38</v>
      </c>
      <c r="Y18" s="6" t="s">
        <v>89</v>
      </c>
      <c r="Z18" s="6" t="s">
        <v>39</v>
      </c>
    </row>
    <row r="19" spans="1:26" hidden="1" x14ac:dyDescent="0.35">
      <c r="A19" s="6" t="s">
        <v>90</v>
      </c>
      <c r="B19" s="6">
        <v>145682</v>
      </c>
      <c r="C19" s="6">
        <v>25433</v>
      </c>
      <c r="D19" s="47">
        <v>0</v>
      </c>
      <c r="E19" s="25">
        <v>0</v>
      </c>
      <c r="F19" s="25">
        <v>254.15</v>
      </c>
      <c r="G19" s="26">
        <f t="shared" si="0"/>
        <v>254.15</v>
      </c>
      <c r="H19" s="6">
        <v>76224283</v>
      </c>
      <c r="I19" s="6" t="s">
        <v>91</v>
      </c>
      <c r="K19" s="20">
        <v>44305</v>
      </c>
      <c r="L19" s="20">
        <v>45869</v>
      </c>
      <c r="M19" s="6" t="s">
        <v>48</v>
      </c>
      <c r="N19" s="6" t="s">
        <v>49</v>
      </c>
      <c r="O19" s="25" t="e">
        <f>VLOOKUP(H19,'Billing CDK pivot'!A:C,3,FALSE)</f>
        <v>#N/A</v>
      </c>
      <c r="P19" s="25">
        <f>IFERROR(VLOOKUP(H19,'Billing CDK pivot (overages)'!A:F,6,FALSE),0)</f>
        <v>0</v>
      </c>
      <c r="Q19" s="25" t="e">
        <f t="shared" si="1"/>
        <v>#N/A</v>
      </c>
      <c r="R19" s="26" t="e">
        <f t="shared" si="2"/>
        <v>#N/A</v>
      </c>
      <c r="S19" s="48" t="e">
        <f t="shared" si="3"/>
        <v>#N/A</v>
      </c>
      <c r="T19" s="6" t="s">
        <v>37</v>
      </c>
      <c r="U19" s="6" t="e">
        <v>#N/A</v>
      </c>
      <c r="V19" s="6" t="e">
        <v>#N/A</v>
      </c>
      <c r="W19" s="6" t="e">
        <v>#N/A</v>
      </c>
      <c r="X19" s="6" t="s">
        <v>58</v>
      </c>
      <c r="Y19" s="6" t="s">
        <v>39</v>
      </c>
      <c r="Z19" s="6" t="s">
        <v>39</v>
      </c>
    </row>
    <row r="20" spans="1:26" hidden="1" x14ac:dyDescent="0.35">
      <c r="A20" s="6" t="s">
        <v>92</v>
      </c>
      <c r="B20" s="6">
        <v>97584</v>
      </c>
      <c r="C20" s="6">
        <v>18849</v>
      </c>
      <c r="D20" s="47">
        <v>8390.85</v>
      </c>
      <c r="E20" s="25">
        <v>61.47</v>
      </c>
      <c r="F20" s="25">
        <v>495.62</v>
      </c>
      <c r="G20" s="26">
        <f t="shared" si="0"/>
        <v>434.15</v>
      </c>
      <c r="H20" s="6">
        <v>76166962</v>
      </c>
      <c r="I20" s="6" t="s">
        <v>93</v>
      </c>
      <c r="K20" s="20">
        <v>43862</v>
      </c>
      <c r="L20" s="20">
        <v>43878</v>
      </c>
      <c r="M20" s="6" t="s">
        <v>35</v>
      </c>
      <c r="N20" s="6" t="s">
        <v>36</v>
      </c>
      <c r="O20" s="25" t="e">
        <f>VLOOKUP(H20,'Billing CDK pivot'!A:C,3,FALSE)</f>
        <v>#N/A</v>
      </c>
      <c r="P20" s="25">
        <f>IFERROR(VLOOKUP(H20,'Billing CDK pivot (overages)'!A:F,6,FALSE),0)</f>
        <v>0</v>
      </c>
      <c r="Q20" s="25" t="e">
        <f t="shared" si="1"/>
        <v>#N/A</v>
      </c>
      <c r="R20" s="26" t="e">
        <f t="shared" si="2"/>
        <v>#N/A</v>
      </c>
      <c r="S20" s="48" t="e">
        <f t="shared" si="3"/>
        <v>#N/A</v>
      </c>
      <c r="T20" s="49" t="s">
        <v>94</v>
      </c>
      <c r="U20" s="6" t="e">
        <v>#N/A</v>
      </c>
      <c r="V20" s="6" t="e">
        <v>#N/A</v>
      </c>
      <c r="W20" s="6" t="e">
        <v>#N/A</v>
      </c>
      <c r="X20" s="6" t="s">
        <v>38</v>
      </c>
      <c r="Y20" s="6" t="s">
        <v>53</v>
      </c>
      <c r="Z20" s="6" t="s">
        <v>39</v>
      </c>
    </row>
    <row r="21" spans="1:26" hidden="1" x14ac:dyDescent="0.35">
      <c r="A21" s="6" t="s">
        <v>95</v>
      </c>
      <c r="B21" s="6">
        <v>187780</v>
      </c>
      <c r="C21" s="6">
        <v>76201662</v>
      </c>
      <c r="D21" s="47">
        <v>4406.9799999999996</v>
      </c>
      <c r="E21" s="25">
        <v>0</v>
      </c>
      <c r="F21" s="25">
        <v>1653</v>
      </c>
      <c r="G21" s="26">
        <f t="shared" si="0"/>
        <v>1653</v>
      </c>
      <c r="H21" s="6">
        <v>76201662</v>
      </c>
      <c r="I21" s="6" t="s">
        <v>96</v>
      </c>
      <c r="K21" s="20">
        <v>45390</v>
      </c>
      <c r="L21" s="20">
        <v>45595</v>
      </c>
      <c r="M21" s="6" t="s">
        <v>97</v>
      </c>
      <c r="N21" s="6" t="s">
        <v>98</v>
      </c>
      <c r="O21" s="25" t="e">
        <f>VLOOKUP(H21,'Billing CDK pivot'!A:C,3,FALSE)</f>
        <v>#N/A</v>
      </c>
      <c r="P21" s="25">
        <f>IFERROR(VLOOKUP(H21,'Billing CDK pivot (overages)'!A:F,6,FALSE),0)</f>
        <v>0</v>
      </c>
      <c r="Q21" s="25" t="e">
        <f t="shared" si="1"/>
        <v>#N/A</v>
      </c>
      <c r="R21" s="26" t="e">
        <f t="shared" si="2"/>
        <v>#N/A</v>
      </c>
      <c r="S21" s="48" t="e">
        <f t="shared" si="3"/>
        <v>#N/A</v>
      </c>
      <c r="T21" s="6" t="s">
        <v>99</v>
      </c>
      <c r="U21" s="6" t="e">
        <v>#N/A</v>
      </c>
      <c r="V21" s="6" t="e">
        <v>#N/A</v>
      </c>
      <c r="W21" s="6" t="e">
        <v>#N/A</v>
      </c>
      <c r="X21" s="6" t="s">
        <v>58</v>
      </c>
      <c r="Y21" s="6" t="s">
        <v>100</v>
      </c>
      <c r="Z21" s="6" t="s">
        <v>101</v>
      </c>
    </row>
    <row r="22" spans="1:26" hidden="1" x14ac:dyDescent="0.35">
      <c r="A22" s="6" t="s">
        <v>102</v>
      </c>
      <c r="B22" s="6">
        <v>131763</v>
      </c>
      <c r="C22" s="6">
        <v>21795</v>
      </c>
      <c r="D22" s="47">
        <v>3176.66</v>
      </c>
      <c r="E22" s="25">
        <v>0</v>
      </c>
      <c r="F22" s="25">
        <v>264.14999999999998</v>
      </c>
      <c r="G22" s="26">
        <f t="shared" si="0"/>
        <v>264.14999999999998</v>
      </c>
      <c r="H22" s="6">
        <v>76165887</v>
      </c>
      <c r="I22" s="6" t="s">
        <v>103</v>
      </c>
      <c r="K22" s="20">
        <v>43862</v>
      </c>
      <c r="L22" s="20">
        <v>45322</v>
      </c>
      <c r="M22" s="6" t="s">
        <v>35</v>
      </c>
      <c r="N22" s="6" t="s">
        <v>36</v>
      </c>
      <c r="O22" s="25" t="e">
        <f>VLOOKUP(H22,'Billing CDK pivot'!A:C,3,FALSE)</f>
        <v>#N/A</v>
      </c>
      <c r="P22" s="25">
        <f>IFERROR(VLOOKUP(H22,'Billing CDK pivot (overages)'!A:F,6,FALSE),0)</f>
        <v>0</v>
      </c>
      <c r="Q22" s="25" t="e">
        <f t="shared" si="1"/>
        <v>#N/A</v>
      </c>
      <c r="R22" s="26" t="e">
        <f t="shared" si="2"/>
        <v>#N/A</v>
      </c>
      <c r="S22" s="48" t="e">
        <f t="shared" si="3"/>
        <v>#N/A</v>
      </c>
      <c r="T22" s="49" t="s">
        <v>104</v>
      </c>
      <c r="U22" s="6" t="e">
        <v>#N/A</v>
      </c>
      <c r="V22" s="6" t="e">
        <v>#N/A</v>
      </c>
      <c r="W22" s="6" t="e">
        <v>#N/A</v>
      </c>
      <c r="X22" s="6" t="s">
        <v>38</v>
      </c>
      <c r="Y22" s="6" t="s">
        <v>58</v>
      </c>
      <c r="Z22" s="6" t="s">
        <v>39</v>
      </c>
    </row>
    <row r="23" spans="1:26" hidden="1" x14ac:dyDescent="0.35">
      <c r="A23" s="6" t="s">
        <v>105</v>
      </c>
      <c r="B23" s="6">
        <v>141131</v>
      </c>
      <c r="C23" s="6">
        <v>15952</v>
      </c>
      <c r="D23" s="47">
        <v>1584.05</v>
      </c>
      <c r="E23" s="25">
        <v>0</v>
      </c>
      <c r="F23" s="25">
        <v>434.15</v>
      </c>
      <c r="G23" s="26">
        <f t="shared" si="0"/>
        <v>434.15</v>
      </c>
      <c r="H23" s="6">
        <v>76066612</v>
      </c>
      <c r="I23" s="6" t="s">
        <v>106</v>
      </c>
      <c r="K23" s="20">
        <v>44082</v>
      </c>
      <c r="L23" s="20">
        <v>45412</v>
      </c>
      <c r="M23" s="6" t="s">
        <v>74</v>
      </c>
      <c r="N23" s="6" t="s">
        <v>75</v>
      </c>
      <c r="O23" s="25" t="e">
        <f>VLOOKUP(H23,'Billing CDK pivot'!A:C,3,FALSE)</f>
        <v>#N/A</v>
      </c>
      <c r="P23" s="25">
        <f>IFERROR(VLOOKUP(H23,'Billing CDK pivot (overages)'!A:F,6,FALSE),0)</f>
        <v>0</v>
      </c>
      <c r="Q23" s="25" t="e">
        <f t="shared" si="1"/>
        <v>#N/A</v>
      </c>
      <c r="R23" s="26" t="e">
        <f t="shared" si="2"/>
        <v>#N/A</v>
      </c>
      <c r="S23" s="48" t="e">
        <f t="shared" si="3"/>
        <v>#N/A</v>
      </c>
      <c r="T23" s="49" t="s">
        <v>107</v>
      </c>
      <c r="U23" s="6" t="e">
        <v>#N/A</v>
      </c>
      <c r="V23" s="6" t="e">
        <v>#N/A</v>
      </c>
      <c r="W23" s="6" t="e">
        <v>#N/A</v>
      </c>
      <c r="X23" s="6" t="s">
        <v>108</v>
      </c>
      <c r="Y23" s="6" t="s">
        <v>53</v>
      </c>
      <c r="Z23" s="6" t="s">
        <v>39</v>
      </c>
    </row>
    <row r="24" spans="1:26" hidden="1" x14ac:dyDescent="0.35">
      <c r="A24" s="6" t="s">
        <v>109</v>
      </c>
      <c r="B24" s="6">
        <v>59246</v>
      </c>
      <c r="C24" s="6">
        <v>18577</v>
      </c>
      <c r="D24" s="47">
        <v>13420.63</v>
      </c>
      <c r="E24" s="25">
        <v>0</v>
      </c>
      <c r="F24" s="25">
        <v>1581.65</v>
      </c>
      <c r="G24" s="26">
        <f t="shared" si="0"/>
        <v>1581.65</v>
      </c>
      <c r="H24" s="6">
        <v>25181201</v>
      </c>
      <c r="I24" s="6" t="s">
        <v>110</v>
      </c>
      <c r="J24" s="20">
        <v>45526</v>
      </c>
      <c r="M24" s="6" t="s">
        <v>42</v>
      </c>
      <c r="N24" s="6" t="s">
        <v>43</v>
      </c>
      <c r="O24" s="25" t="e">
        <f>VLOOKUP(H24,'Billing CDK pivot'!A:C,3,FALSE)</f>
        <v>#N/A</v>
      </c>
      <c r="P24" s="25">
        <f>IFERROR(VLOOKUP(H24,'Billing CDK pivot (overages)'!A:F,6,FALSE),0)</f>
        <v>0</v>
      </c>
      <c r="Q24" s="25" t="e">
        <f t="shared" si="1"/>
        <v>#N/A</v>
      </c>
      <c r="R24" s="26" t="e">
        <f t="shared" si="2"/>
        <v>#N/A</v>
      </c>
      <c r="S24" s="48" t="e">
        <f t="shared" si="3"/>
        <v>#N/A</v>
      </c>
      <c r="T24" s="49" t="s">
        <v>111</v>
      </c>
      <c r="U24" s="6" t="e">
        <v>#N/A</v>
      </c>
      <c r="V24" s="6" t="e">
        <v>#N/A</v>
      </c>
      <c r="W24" s="6" t="e">
        <v>#N/A</v>
      </c>
      <c r="X24" s="6" t="s">
        <v>38</v>
      </c>
      <c r="Y24" s="6" t="s">
        <v>54</v>
      </c>
      <c r="Z24" s="6" t="s">
        <v>39</v>
      </c>
    </row>
    <row r="25" spans="1:26" hidden="1" x14ac:dyDescent="0.35">
      <c r="A25" s="6" t="s">
        <v>112</v>
      </c>
      <c r="B25" s="6">
        <v>119133</v>
      </c>
      <c r="C25" s="6">
        <v>4545</v>
      </c>
      <c r="D25" s="47">
        <v>6999.72</v>
      </c>
      <c r="E25" s="25">
        <v>0</v>
      </c>
      <c r="F25" s="25">
        <v>499</v>
      </c>
      <c r="G25" s="26">
        <f t="shared" si="0"/>
        <v>499</v>
      </c>
      <c r="H25" s="6">
        <v>76253988</v>
      </c>
      <c r="I25" s="6" t="s">
        <v>113</v>
      </c>
      <c r="M25" s="6" t="s">
        <v>35</v>
      </c>
      <c r="N25" s="6" t="s">
        <v>114</v>
      </c>
      <c r="O25" s="25" t="e">
        <f>VLOOKUP(H25,'Billing CDK pivot'!A:C,3,FALSE)</f>
        <v>#N/A</v>
      </c>
      <c r="P25" s="25">
        <f>IFERROR(VLOOKUP(H25,'Billing CDK pivot (overages)'!A:F,6,FALSE),0)</f>
        <v>0</v>
      </c>
      <c r="Q25" s="25" t="e">
        <f t="shared" si="1"/>
        <v>#N/A</v>
      </c>
      <c r="R25" s="26" t="e">
        <f t="shared" si="2"/>
        <v>#N/A</v>
      </c>
      <c r="S25" s="48" t="e">
        <f t="shared" si="3"/>
        <v>#N/A</v>
      </c>
      <c r="T25" s="49" t="s">
        <v>115</v>
      </c>
      <c r="U25" s="6" t="e">
        <v>#N/A</v>
      </c>
      <c r="V25" s="6" t="e">
        <v>#N/A</v>
      </c>
      <c r="W25" s="6" t="e">
        <v>#N/A</v>
      </c>
      <c r="X25" s="6" t="s">
        <v>38</v>
      </c>
      <c r="Y25" s="6" t="s">
        <v>116</v>
      </c>
      <c r="Z25" s="6" t="s">
        <v>39</v>
      </c>
    </row>
    <row r="26" spans="1:26" hidden="1" x14ac:dyDescent="0.35">
      <c r="A26" s="6" t="s">
        <v>117</v>
      </c>
      <c r="B26" s="6">
        <v>94617</v>
      </c>
      <c r="C26" s="6">
        <v>17989</v>
      </c>
      <c r="D26" s="47">
        <v>0.99</v>
      </c>
      <c r="E26" s="25">
        <v>0</v>
      </c>
      <c r="F26" s="25">
        <v>139</v>
      </c>
      <c r="G26" s="26">
        <f t="shared" si="0"/>
        <v>139</v>
      </c>
      <c r="H26" s="6">
        <v>76200288</v>
      </c>
      <c r="I26" s="6" t="s">
        <v>118</v>
      </c>
      <c r="K26" s="20">
        <v>43862</v>
      </c>
      <c r="L26" s="20">
        <v>45688</v>
      </c>
      <c r="M26" s="6" t="s">
        <v>35</v>
      </c>
      <c r="N26" s="6" t="s">
        <v>36</v>
      </c>
      <c r="O26" s="25" t="e">
        <f>VLOOKUP(H26,'Billing CDK pivot'!A:C,3,FALSE)</f>
        <v>#N/A</v>
      </c>
      <c r="P26" s="25">
        <f>IFERROR(VLOOKUP(H26,'Billing CDK pivot (overages)'!A:F,6,FALSE),0)</f>
        <v>0</v>
      </c>
      <c r="Q26" s="25" t="e">
        <f t="shared" si="1"/>
        <v>#N/A</v>
      </c>
      <c r="R26" s="26" t="e">
        <f t="shared" si="2"/>
        <v>#N/A</v>
      </c>
      <c r="S26" s="48" t="e">
        <f t="shared" si="3"/>
        <v>#N/A</v>
      </c>
      <c r="T26" s="6" t="s">
        <v>119</v>
      </c>
      <c r="U26" s="6" t="e">
        <v>#N/A</v>
      </c>
      <c r="V26" s="6" t="e">
        <v>#N/A</v>
      </c>
      <c r="W26" s="6" t="e">
        <v>#N/A</v>
      </c>
      <c r="X26" s="6" t="s">
        <v>38</v>
      </c>
      <c r="Y26" s="6" t="s">
        <v>80</v>
      </c>
      <c r="Z26" s="6" t="s">
        <v>39</v>
      </c>
    </row>
    <row r="27" spans="1:26" hidden="1" x14ac:dyDescent="0.35">
      <c r="A27" s="6" t="s">
        <v>120</v>
      </c>
      <c r="B27" s="6">
        <v>146561</v>
      </c>
      <c r="C27" s="6">
        <v>15230</v>
      </c>
      <c r="D27" s="47">
        <v>0</v>
      </c>
      <c r="E27" s="25">
        <v>0</v>
      </c>
      <c r="F27" s="25">
        <v>1284.1500000000001</v>
      </c>
      <c r="G27" s="26">
        <f t="shared" si="0"/>
        <v>1284.1500000000001</v>
      </c>
      <c r="H27" s="6">
        <v>76177675</v>
      </c>
      <c r="I27" s="6" t="s">
        <v>121</v>
      </c>
      <c r="K27" s="20">
        <v>44461</v>
      </c>
      <c r="L27" s="20">
        <v>45713</v>
      </c>
      <c r="M27" s="6" t="s">
        <v>97</v>
      </c>
      <c r="N27" s="6" t="s">
        <v>98</v>
      </c>
      <c r="O27" s="25" t="e">
        <f>VLOOKUP(H27,'Billing CDK pivot'!A:C,3,FALSE)</f>
        <v>#N/A</v>
      </c>
      <c r="P27" s="25">
        <f>IFERROR(VLOOKUP(H27,'Billing CDK pivot (overages)'!A:F,6,FALSE),0)</f>
        <v>0</v>
      </c>
      <c r="Q27" s="25" t="e">
        <f t="shared" si="1"/>
        <v>#N/A</v>
      </c>
      <c r="R27" s="26" t="e">
        <f t="shared" si="2"/>
        <v>#N/A</v>
      </c>
      <c r="S27" s="48" t="e">
        <f t="shared" si="3"/>
        <v>#N/A</v>
      </c>
      <c r="T27" s="6" t="s">
        <v>119</v>
      </c>
      <c r="U27" s="6" t="e">
        <v>#N/A</v>
      </c>
      <c r="V27" s="6" t="e">
        <v>#N/A</v>
      </c>
      <c r="W27" s="6" t="e">
        <v>#N/A</v>
      </c>
      <c r="X27" s="6" t="s">
        <v>38</v>
      </c>
      <c r="Y27" s="6" t="s">
        <v>69</v>
      </c>
      <c r="Z27" s="6" t="s">
        <v>39</v>
      </c>
    </row>
    <row r="28" spans="1:26" hidden="1" x14ac:dyDescent="0.35">
      <c r="A28" s="6" t="s">
        <v>122</v>
      </c>
      <c r="B28" s="6">
        <v>115609</v>
      </c>
      <c r="C28" s="6">
        <v>19515</v>
      </c>
      <c r="D28" s="47">
        <v>243.17</v>
      </c>
      <c r="E28" s="25">
        <v>0</v>
      </c>
      <c r="F28" s="25">
        <v>264.14999999999998</v>
      </c>
      <c r="G28" s="26">
        <f t="shared" si="0"/>
        <v>264.14999999999998</v>
      </c>
      <c r="H28" s="6">
        <v>76208041</v>
      </c>
      <c r="I28" s="6" t="s">
        <v>123</v>
      </c>
      <c r="K28" s="20">
        <v>43862</v>
      </c>
      <c r="L28" s="20">
        <v>45273</v>
      </c>
      <c r="M28" s="6" t="s">
        <v>35</v>
      </c>
      <c r="N28" s="6" t="s">
        <v>36</v>
      </c>
      <c r="O28" s="25" t="e">
        <f>VLOOKUP(H28,'Billing CDK pivot'!A:C,3,FALSE)</f>
        <v>#N/A</v>
      </c>
      <c r="P28" s="25">
        <f>IFERROR(VLOOKUP(H28,'Billing CDK pivot (overages)'!A:F,6,FALSE),0)</f>
        <v>0</v>
      </c>
      <c r="Q28" s="25" t="e">
        <f t="shared" si="1"/>
        <v>#N/A</v>
      </c>
      <c r="R28" s="26" t="e">
        <f t="shared" si="2"/>
        <v>#N/A</v>
      </c>
      <c r="S28" s="48" t="e">
        <f t="shared" si="3"/>
        <v>#N/A</v>
      </c>
      <c r="T28" s="6" t="s">
        <v>119</v>
      </c>
      <c r="U28" s="6" t="e">
        <v>#N/A</v>
      </c>
      <c r="V28" s="6" t="e">
        <v>#N/A</v>
      </c>
      <c r="W28" s="6" t="e">
        <v>#N/A</v>
      </c>
      <c r="X28" s="6" t="s">
        <v>38</v>
      </c>
      <c r="Y28" s="6" t="s">
        <v>58</v>
      </c>
      <c r="Z28" s="6" t="s">
        <v>39</v>
      </c>
    </row>
    <row r="29" spans="1:26" hidden="1" x14ac:dyDescent="0.35">
      <c r="A29" s="6" t="s">
        <v>124</v>
      </c>
      <c r="B29" s="6">
        <v>117484</v>
      </c>
      <c r="C29" s="6">
        <v>19910</v>
      </c>
      <c r="D29" s="47">
        <v>0</v>
      </c>
      <c r="E29" s="25">
        <v>0</v>
      </c>
      <c r="F29" s="25">
        <v>254.15</v>
      </c>
      <c r="G29" s="26">
        <f t="shared" si="0"/>
        <v>254.15</v>
      </c>
      <c r="H29" s="6">
        <v>76067593</v>
      </c>
      <c r="I29" s="6" t="s">
        <v>125</v>
      </c>
      <c r="K29" s="20">
        <v>43862</v>
      </c>
      <c r="L29" s="20">
        <v>45273</v>
      </c>
      <c r="M29" s="6" t="s">
        <v>35</v>
      </c>
      <c r="N29" s="6" t="s">
        <v>36</v>
      </c>
      <c r="O29" s="25" t="e">
        <f>VLOOKUP(H29,'Billing CDK pivot'!A:C,3,FALSE)</f>
        <v>#N/A</v>
      </c>
      <c r="P29" s="25">
        <f>IFERROR(VLOOKUP(H29,'Billing CDK pivot (overages)'!A:F,6,FALSE),0)</f>
        <v>0</v>
      </c>
      <c r="Q29" s="25" t="e">
        <f t="shared" si="1"/>
        <v>#N/A</v>
      </c>
      <c r="R29" s="26" t="e">
        <f t="shared" si="2"/>
        <v>#N/A</v>
      </c>
      <c r="S29" s="48" t="e">
        <f t="shared" si="3"/>
        <v>#N/A</v>
      </c>
      <c r="T29" s="6" t="s">
        <v>119</v>
      </c>
      <c r="U29" s="6" t="e">
        <v>#N/A</v>
      </c>
      <c r="V29" s="6" t="e">
        <v>#N/A</v>
      </c>
      <c r="W29" s="6" t="e">
        <v>#N/A</v>
      </c>
      <c r="X29" s="6" t="s">
        <v>38</v>
      </c>
      <c r="Y29" s="6" t="s">
        <v>39</v>
      </c>
      <c r="Z29" s="6" t="s">
        <v>39</v>
      </c>
    </row>
    <row r="30" spans="1:26" hidden="1" x14ac:dyDescent="0.35">
      <c r="A30" s="6" t="s">
        <v>126</v>
      </c>
      <c r="B30" s="6">
        <v>90442</v>
      </c>
      <c r="C30" s="6">
        <v>18231</v>
      </c>
      <c r="D30" s="47">
        <v>0</v>
      </c>
      <c r="E30" s="25">
        <v>0</v>
      </c>
      <c r="F30" s="25">
        <v>424.15</v>
      </c>
      <c r="G30" s="26">
        <f t="shared" si="0"/>
        <v>424.15</v>
      </c>
      <c r="H30" s="6">
        <v>76167994</v>
      </c>
      <c r="I30" s="6" t="s">
        <v>127</v>
      </c>
      <c r="K30" s="20">
        <v>43862</v>
      </c>
      <c r="L30" s="20">
        <v>44500</v>
      </c>
      <c r="M30" s="6" t="s">
        <v>35</v>
      </c>
      <c r="N30" s="6" t="s">
        <v>36</v>
      </c>
      <c r="O30" s="25" t="e">
        <f>VLOOKUP(H30,'Billing CDK pivot'!A:C,3,FALSE)</f>
        <v>#N/A</v>
      </c>
      <c r="P30" s="25">
        <f>IFERROR(VLOOKUP(H30,'Billing CDK pivot (overages)'!A:F,6,FALSE),0)</f>
        <v>0</v>
      </c>
      <c r="Q30" s="25" t="e">
        <f t="shared" si="1"/>
        <v>#N/A</v>
      </c>
      <c r="R30" s="26" t="e">
        <f t="shared" si="2"/>
        <v>#N/A</v>
      </c>
      <c r="S30" s="48" t="e">
        <f t="shared" si="3"/>
        <v>#N/A</v>
      </c>
      <c r="T30" s="6" t="s">
        <v>128</v>
      </c>
      <c r="U30" s="6" t="e">
        <v>#N/A</v>
      </c>
      <c r="V30" s="6" t="e">
        <v>#N/A</v>
      </c>
      <c r="W30" s="6" t="e">
        <v>#N/A</v>
      </c>
      <c r="X30" s="6" t="s">
        <v>38</v>
      </c>
      <c r="Y30" s="6" t="s">
        <v>39</v>
      </c>
      <c r="Z30" s="6" t="s">
        <v>39</v>
      </c>
    </row>
    <row r="31" spans="1:26" hidden="1" x14ac:dyDescent="0.35">
      <c r="A31" s="6" t="s">
        <v>129</v>
      </c>
      <c r="B31" s="6">
        <v>81644</v>
      </c>
      <c r="C31" s="6">
        <v>17721</v>
      </c>
      <c r="D31" s="47">
        <v>16020.29</v>
      </c>
      <c r="E31" s="25">
        <v>0</v>
      </c>
      <c r="F31" s="25">
        <v>1581.65</v>
      </c>
      <c r="G31" s="26">
        <f t="shared" si="0"/>
        <v>1581.65</v>
      </c>
      <c r="H31" s="6" t="s">
        <v>130</v>
      </c>
      <c r="I31" s="6" t="s">
        <v>131</v>
      </c>
      <c r="J31" s="6"/>
      <c r="K31" s="6"/>
      <c r="L31" s="6"/>
      <c r="M31" s="6" t="str">
        <f>VLOOKUP(H31,'Billing CDK pivot (by package)'!A:D,3,FALSE)</f>
        <v>4570060</v>
      </c>
      <c r="N31" s="6" t="str">
        <f>VLOOKUP(H31,'Billing CDK pivot (by package)'!A:D,4,FALSE)</f>
        <v>CRM OUTBOUND TELEPHONY TRACKING (NEW AND CONVERSION)</v>
      </c>
      <c r="O31" s="25" t="e">
        <f>VLOOKUP(H31,'Billing CDK pivot'!A:C,3,FALSE)</f>
        <v>#N/A</v>
      </c>
      <c r="P31" s="25">
        <f>IFERROR(VLOOKUP(H31,'Billing CDK pivot (overages)'!A:F,6,FALSE),0)</f>
        <v>0</v>
      </c>
      <c r="Q31" s="25" t="e">
        <f t="shared" si="1"/>
        <v>#N/A</v>
      </c>
      <c r="R31" s="26" t="e">
        <f t="shared" si="2"/>
        <v>#N/A</v>
      </c>
      <c r="S31" s="48" t="e">
        <f t="shared" si="3"/>
        <v>#N/A</v>
      </c>
      <c r="T31" s="49" t="s">
        <v>132</v>
      </c>
      <c r="U31" s="6" t="s">
        <v>133</v>
      </c>
      <c r="V31" s="6" t="s">
        <v>39</v>
      </c>
      <c r="W31" s="6" t="s">
        <v>39</v>
      </c>
      <c r="X31" s="6" t="s">
        <v>38</v>
      </c>
      <c r="Y31" s="6" t="s">
        <v>44</v>
      </c>
      <c r="Z31" s="6" t="s">
        <v>39</v>
      </c>
    </row>
    <row r="32" spans="1:26" hidden="1" x14ac:dyDescent="0.35">
      <c r="A32" s="6" t="s">
        <v>134</v>
      </c>
      <c r="B32" s="6">
        <v>61226</v>
      </c>
      <c r="C32" s="6">
        <v>16386</v>
      </c>
      <c r="D32" s="47">
        <v>13441.24</v>
      </c>
      <c r="E32" s="25">
        <v>426.58</v>
      </c>
      <c r="F32" s="25">
        <v>1295.73</v>
      </c>
      <c r="G32" s="26">
        <f t="shared" si="0"/>
        <v>869.15000000000009</v>
      </c>
      <c r="H32" s="6">
        <v>71039289</v>
      </c>
      <c r="I32" s="6" t="s">
        <v>135</v>
      </c>
      <c r="J32" s="6"/>
      <c r="K32" s="6"/>
      <c r="L32" s="6"/>
      <c r="M32" s="6" t="e">
        <f>VLOOKUP(H32,'Billing CDK pivot (by package)'!A:D,3,FALSE)</f>
        <v>#N/A</v>
      </c>
      <c r="N32" s="6" t="e">
        <f>VLOOKUP(H32,'Billing CDK pivot (by package)'!A:D,4,FALSE)</f>
        <v>#N/A</v>
      </c>
      <c r="O32" s="25" t="e">
        <f>VLOOKUP(H32,'Billing CDK pivot'!A:C,3,FALSE)</f>
        <v>#N/A</v>
      </c>
      <c r="P32" s="25">
        <f>IFERROR(VLOOKUP(H32,'Billing CDK pivot (overages)'!A:F,6,FALSE),0)</f>
        <v>0</v>
      </c>
      <c r="Q32" s="25" t="e">
        <f t="shared" si="1"/>
        <v>#N/A</v>
      </c>
      <c r="R32" s="26" t="e">
        <f t="shared" si="2"/>
        <v>#N/A</v>
      </c>
      <c r="S32" s="48" t="e">
        <f t="shared" si="3"/>
        <v>#N/A</v>
      </c>
      <c r="T32" s="49" t="s">
        <v>132</v>
      </c>
      <c r="U32" s="6" t="s">
        <v>136</v>
      </c>
      <c r="V32" s="6" t="s">
        <v>137</v>
      </c>
      <c r="W32" s="6" t="s">
        <v>39</v>
      </c>
      <c r="X32" s="6" t="s">
        <v>38</v>
      </c>
      <c r="Y32" s="6" t="s">
        <v>138</v>
      </c>
      <c r="Z32" s="6" t="s">
        <v>139</v>
      </c>
    </row>
    <row r="33" spans="1:26" hidden="1" x14ac:dyDescent="0.35">
      <c r="A33" s="6" t="s">
        <v>140</v>
      </c>
      <c r="B33" s="6">
        <v>154578</v>
      </c>
      <c r="C33" s="6">
        <v>27016</v>
      </c>
      <c r="D33" s="47">
        <v>14366.1</v>
      </c>
      <c r="E33" s="25">
        <v>0</v>
      </c>
      <c r="F33" s="25">
        <v>1581.65</v>
      </c>
      <c r="G33" s="26">
        <f t="shared" si="0"/>
        <v>1581.65</v>
      </c>
      <c r="H33" s="6">
        <v>76225899</v>
      </c>
      <c r="I33" s="6" t="s">
        <v>141</v>
      </c>
      <c r="J33" s="6"/>
      <c r="K33" s="6"/>
      <c r="L33" s="6"/>
      <c r="M33" s="6" t="e">
        <f>VLOOKUP(H33,'Billing CDK pivot (by package)'!A:D,3,FALSE)</f>
        <v>#N/A</v>
      </c>
      <c r="N33" s="6" t="e">
        <f>VLOOKUP(H33,'Billing CDK pivot (by package)'!A:D,4,FALSE)</f>
        <v>#N/A</v>
      </c>
      <c r="O33" s="25" t="e">
        <f>VLOOKUP(H33,'Billing CDK pivot'!A:C,3,FALSE)</f>
        <v>#N/A</v>
      </c>
      <c r="P33" s="25">
        <f>IFERROR(VLOOKUP(H33,'Billing CDK pivot (overages)'!A:F,6,FALSE),0)</f>
        <v>0</v>
      </c>
      <c r="Q33" s="25" t="e">
        <f t="shared" si="1"/>
        <v>#N/A</v>
      </c>
      <c r="R33" s="26" t="e">
        <f t="shared" si="2"/>
        <v>#N/A</v>
      </c>
      <c r="S33" s="48" t="e">
        <f t="shared" si="3"/>
        <v>#N/A</v>
      </c>
      <c r="T33" s="49" t="s">
        <v>132</v>
      </c>
      <c r="U33" s="6" t="s">
        <v>142</v>
      </c>
      <c r="V33" s="6" t="s">
        <v>39</v>
      </c>
      <c r="W33" s="6" t="s">
        <v>39</v>
      </c>
      <c r="X33" s="6" t="s">
        <v>143</v>
      </c>
      <c r="Y33" s="6" t="s">
        <v>54</v>
      </c>
      <c r="Z33" s="6" t="s">
        <v>39</v>
      </c>
    </row>
    <row r="34" spans="1:26" hidden="1" x14ac:dyDescent="0.35">
      <c r="A34" s="6" t="s">
        <v>144</v>
      </c>
      <c r="B34" s="6">
        <v>56397</v>
      </c>
      <c r="C34" s="6">
        <v>15949</v>
      </c>
      <c r="D34" s="47">
        <v>9173.52</v>
      </c>
      <c r="E34" s="25">
        <v>80.97</v>
      </c>
      <c r="F34" s="25">
        <v>525.12</v>
      </c>
      <c r="G34" s="26">
        <f t="shared" si="0"/>
        <v>444.15</v>
      </c>
      <c r="H34" s="6">
        <v>76066617</v>
      </c>
      <c r="I34" s="6" t="s">
        <v>145</v>
      </c>
      <c r="J34" s="6"/>
      <c r="K34" s="6"/>
      <c r="L34" s="6"/>
      <c r="M34" s="6" t="e">
        <f>VLOOKUP(H34,'Billing CDK pivot (by package)'!A:D,3,FALSE)</f>
        <v>#N/A</v>
      </c>
      <c r="N34" s="6" t="e">
        <f>VLOOKUP(H34,'Billing CDK pivot (by package)'!A:D,4,FALSE)</f>
        <v>#N/A</v>
      </c>
      <c r="O34" s="25" t="e">
        <f>VLOOKUP(H34,'Billing CDK pivot'!A:C,3,FALSE)</f>
        <v>#N/A</v>
      </c>
      <c r="P34" s="25">
        <f>IFERROR(VLOOKUP(H34,'Billing CDK pivot (overages)'!A:F,6,FALSE),0)</f>
        <v>0</v>
      </c>
      <c r="Q34" s="25" t="e">
        <f t="shared" si="1"/>
        <v>#N/A</v>
      </c>
      <c r="R34" s="26" t="e">
        <f t="shared" si="2"/>
        <v>#N/A</v>
      </c>
      <c r="S34" s="48" t="e">
        <f t="shared" si="3"/>
        <v>#N/A</v>
      </c>
      <c r="T34" s="49" t="s">
        <v>132</v>
      </c>
      <c r="U34" s="6" t="s">
        <v>146</v>
      </c>
      <c r="V34" s="6" t="s">
        <v>39</v>
      </c>
      <c r="W34" s="6" t="s">
        <v>39</v>
      </c>
      <c r="X34" s="6" t="s">
        <v>38</v>
      </c>
      <c r="Y34" s="6" t="s">
        <v>147</v>
      </c>
      <c r="Z34" s="6" t="s">
        <v>139</v>
      </c>
    </row>
    <row r="35" spans="1:26" hidden="1" x14ac:dyDescent="0.35">
      <c r="A35" s="6" t="s">
        <v>148</v>
      </c>
      <c r="B35" s="6">
        <v>56395</v>
      </c>
      <c r="C35" s="6">
        <v>15949</v>
      </c>
      <c r="D35" s="47">
        <v>1040.22</v>
      </c>
      <c r="E35" s="25">
        <v>0</v>
      </c>
      <c r="F35" s="25">
        <v>434.15</v>
      </c>
      <c r="G35" s="26">
        <f t="shared" si="0"/>
        <v>434.15</v>
      </c>
      <c r="H35" s="6">
        <v>76161145</v>
      </c>
      <c r="I35" s="6" t="s">
        <v>149</v>
      </c>
      <c r="J35" s="6"/>
      <c r="K35" s="6"/>
      <c r="L35" s="6"/>
      <c r="M35" s="6" t="e">
        <f>VLOOKUP(H35,'Billing CDK pivot (by package)'!A:D,3,FALSE)</f>
        <v>#N/A</v>
      </c>
      <c r="N35" s="6" t="e">
        <f>VLOOKUP(H35,'Billing CDK pivot (by package)'!A:D,4,FALSE)</f>
        <v>#N/A</v>
      </c>
      <c r="O35" s="25" t="e">
        <f>VLOOKUP(H35,'Billing CDK pivot'!A:C,3,FALSE)</f>
        <v>#N/A</v>
      </c>
      <c r="P35" s="25">
        <f>IFERROR(VLOOKUP(H35,'Billing CDK pivot (overages)'!A:F,6,FALSE),0)</f>
        <v>0</v>
      </c>
      <c r="Q35" s="25" t="e">
        <f t="shared" si="1"/>
        <v>#N/A</v>
      </c>
      <c r="R35" s="26" t="e">
        <f t="shared" si="2"/>
        <v>#N/A</v>
      </c>
      <c r="S35" s="48" t="e">
        <f t="shared" si="3"/>
        <v>#N/A</v>
      </c>
      <c r="T35" s="49" t="s">
        <v>132</v>
      </c>
      <c r="U35" s="6" t="s">
        <v>146</v>
      </c>
      <c r="V35" s="6" t="s">
        <v>39</v>
      </c>
      <c r="W35" s="6" t="s">
        <v>39</v>
      </c>
      <c r="X35" s="6" t="s">
        <v>38</v>
      </c>
      <c r="Y35" s="6" t="s">
        <v>147</v>
      </c>
      <c r="Z35" s="6" t="s">
        <v>39</v>
      </c>
    </row>
    <row r="36" spans="1:26" hidden="1" x14ac:dyDescent="0.35">
      <c r="A36" s="6" t="s">
        <v>150</v>
      </c>
      <c r="B36" s="6">
        <v>56403</v>
      </c>
      <c r="C36" s="6">
        <v>15949</v>
      </c>
      <c r="D36" s="47">
        <v>1760.72</v>
      </c>
      <c r="E36" s="25">
        <v>0</v>
      </c>
      <c r="F36" s="25">
        <v>434.15</v>
      </c>
      <c r="G36" s="26">
        <f t="shared" si="0"/>
        <v>434.15</v>
      </c>
      <c r="H36" s="6">
        <v>76069427</v>
      </c>
      <c r="I36" s="6" t="s">
        <v>151</v>
      </c>
      <c r="J36" s="6"/>
      <c r="K36" s="6"/>
      <c r="L36" s="6"/>
      <c r="M36" s="6" t="e">
        <f>VLOOKUP(H36,'Billing CDK pivot (by package)'!A:D,3,FALSE)</f>
        <v>#N/A</v>
      </c>
      <c r="N36" s="6" t="e">
        <f>VLOOKUP(H36,'Billing CDK pivot (by package)'!A:D,4,FALSE)</f>
        <v>#N/A</v>
      </c>
      <c r="O36" s="25" t="e">
        <f>VLOOKUP(H36,'Billing CDK pivot'!A:C,3,FALSE)</f>
        <v>#N/A</v>
      </c>
      <c r="P36" s="25">
        <f>IFERROR(VLOOKUP(H36,'Billing CDK pivot (overages)'!A:F,6,FALSE),0)</f>
        <v>0</v>
      </c>
      <c r="Q36" s="25" t="e">
        <f t="shared" si="1"/>
        <v>#N/A</v>
      </c>
      <c r="R36" s="26" t="e">
        <f t="shared" si="2"/>
        <v>#N/A</v>
      </c>
      <c r="S36" s="48" t="e">
        <f t="shared" si="3"/>
        <v>#N/A</v>
      </c>
      <c r="T36" s="49" t="s">
        <v>132</v>
      </c>
      <c r="U36" s="6" t="s">
        <v>146</v>
      </c>
      <c r="V36" s="6" t="s">
        <v>39</v>
      </c>
      <c r="W36" s="6" t="s">
        <v>39</v>
      </c>
      <c r="X36" s="6" t="s">
        <v>108</v>
      </c>
      <c r="Y36" s="6" t="s">
        <v>147</v>
      </c>
      <c r="Z36" s="6" t="s">
        <v>39</v>
      </c>
    </row>
    <row r="37" spans="1:26" hidden="1" x14ac:dyDescent="0.35">
      <c r="A37" s="6" t="s">
        <v>152</v>
      </c>
      <c r="B37" s="6">
        <v>61225</v>
      </c>
      <c r="C37" s="6">
        <v>16380</v>
      </c>
      <c r="D37" s="47">
        <v>8772.33</v>
      </c>
      <c r="E37" s="25">
        <v>0</v>
      </c>
      <c r="F37" s="25">
        <v>1581.65</v>
      </c>
      <c r="G37" s="26">
        <f t="shared" si="0"/>
        <v>1581.65</v>
      </c>
      <c r="H37" s="6" t="s">
        <v>153</v>
      </c>
      <c r="I37" s="6" t="s">
        <v>154</v>
      </c>
      <c r="J37" s="6"/>
      <c r="K37" s="6"/>
      <c r="L37" s="6"/>
      <c r="M37" s="6" t="str">
        <f>VLOOKUP(H37,'Billing CDK pivot (by package)'!A:D,3,FALSE)</f>
        <v>4571030</v>
      </c>
      <c r="N37" s="6" t="str">
        <f>VLOOKUP(H37,'Billing CDK pivot (by package)'!A:D,4,FALSE)</f>
        <v>CARWARS STARTER 5000</v>
      </c>
      <c r="O37" s="25" t="e">
        <f>VLOOKUP(H37,'Billing CDK pivot'!A:C,3,FALSE)</f>
        <v>#N/A</v>
      </c>
      <c r="P37" s="25">
        <f>IFERROR(VLOOKUP(H37,'Billing CDK pivot (overages)'!A:F,6,FALSE),0)</f>
        <v>0</v>
      </c>
      <c r="Q37" s="25" t="e">
        <f t="shared" si="1"/>
        <v>#N/A</v>
      </c>
      <c r="R37" s="26" t="e">
        <f t="shared" si="2"/>
        <v>#N/A</v>
      </c>
      <c r="S37" s="48" t="e">
        <f t="shared" si="3"/>
        <v>#N/A</v>
      </c>
      <c r="T37" s="49" t="s">
        <v>132</v>
      </c>
      <c r="U37" s="6" t="s">
        <v>155</v>
      </c>
      <c r="V37" s="6" t="s">
        <v>39</v>
      </c>
      <c r="W37" s="6" t="s">
        <v>39</v>
      </c>
      <c r="X37" s="6" t="s">
        <v>38</v>
      </c>
      <c r="Y37" s="6" t="s">
        <v>54</v>
      </c>
      <c r="Z37" s="6" t="s">
        <v>39</v>
      </c>
    </row>
    <row r="38" spans="1:26" hidden="1" x14ac:dyDescent="0.35">
      <c r="A38" s="6" t="s">
        <v>156</v>
      </c>
      <c r="B38" s="6">
        <v>61222</v>
      </c>
      <c r="C38" s="6">
        <v>16370</v>
      </c>
      <c r="D38" s="47">
        <v>3014.34</v>
      </c>
      <c r="E38" s="25">
        <v>0</v>
      </c>
      <c r="F38" s="25">
        <v>1581.65</v>
      </c>
      <c r="G38" s="26">
        <f t="shared" si="0"/>
        <v>1581.65</v>
      </c>
      <c r="H38" s="6">
        <v>76025122</v>
      </c>
      <c r="I38" s="6" t="s">
        <v>157</v>
      </c>
      <c r="J38" s="6"/>
      <c r="K38" s="6"/>
      <c r="L38" s="6"/>
      <c r="M38" s="6" t="e">
        <f>VLOOKUP(H38,'Billing CDK pivot (by package)'!A:D,3,FALSE)</f>
        <v>#N/A</v>
      </c>
      <c r="N38" s="6" t="e">
        <f>VLOOKUP(H38,'Billing CDK pivot (by package)'!A:D,4,FALSE)</f>
        <v>#N/A</v>
      </c>
      <c r="O38" s="25" t="e">
        <f>VLOOKUP(H38,'Billing CDK pivot'!A:C,3,FALSE)</f>
        <v>#N/A</v>
      </c>
      <c r="P38" s="25">
        <f>IFERROR(VLOOKUP(H38,'Billing CDK pivot (overages)'!A:F,6,FALSE),0)</f>
        <v>0</v>
      </c>
      <c r="Q38" s="25" t="e">
        <f t="shared" si="1"/>
        <v>#N/A</v>
      </c>
      <c r="R38" s="26" t="e">
        <f t="shared" si="2"/>
        <v>#N/A</v>
      </c>
      <c r="S38" s="48" t="e">
        <f t="shared" si="3"/>
        <v>#N/A</v>
      </c>
      <c r="T38" s="49" t="s">
        <v>132</v>
      </c>
      <c r="U38" s="6" t="s">
        <v>158</v>
      </c>
      <c r="V38" s="6" t="s">
        <v>155</v>
      </c>
      <c r="W38" s="6" t="s">
        <v>39</v>
      </c>
      <c r="X38" s="6" t="s">
        <v>38</v>
      </c>
      <c r="Y38" s="6" t="s">
        <v>54</v>
      </c>
      <c r="Z38" s="6" t="s">
        <v>39</v>
      </c>
    </row>
    <row r="39" spans="1:26" hidden="1" x14ac:dyDescent="0.35">
      <c r="A39" s="6" t="s">
        <v>159</v>
      </c>
      <c r="B39" s="6">
        <v>131769</v>
      </c>
      <c r="C39" s="6">
        <v>21831</v>
      </c>
      <c r="D39" s="47">
        <v>1393.76</v>
      </c>
      <c r="E39" s="25">
        <v>0</v>
      </c>
      <c r="F39" s="25">
        <v>434.15</v>
      </c>
      <c r="G39" s="26">
        <f t="shared" si="0"/>
        <v>434.15</v>
      </c>
      <c r="H39" s="6">
        <v>76162431</v>
      </c>
      <c r="I39" s="6" t="s">
        <v>160</v>
      </c>
      <c r="J39" s="6"/>
      <c r="K39" s="6"/>
      <c r="L39" s="6"/>
      <c r="M39" s="6" t="e">
        <f>VLOOKUP(H39,'Billing CDK pivot (by package)'!A:D,3,FALSE)</f>
        <v>#N/A</v>
      </c>
      <c r="N39" s="6" t="e">
        <f>VLOOKUP(H39,'Billing CDK pivot (by package)'!A:D,4,FALSE)</f>
        <v>#N/A</v>
      </c>
      <c r="O39" s="25" t="e">
        <f>VLOOKUP(H39,'Billing CDK pivot'!A:C,3,FALSE)</f>
        <v>#N/A</v>
      </c>
      <c r="P39" s="25">
        <f>IFERROR(VLOOKUP(H39,'Billing CDK pivot (overages)'!A:F,6,FALSE),0)</f>
        <v>0</v>
      </c>
      <c r="Q39" s="25" t="e">
        <f t="shared" si="1"/>
        <v>#N/A</v>
      </c>
      <c r="R39" s="26" t="e">
        <f t="shared" si="2"/>
        <v>#N/A</v>
      </c>
      <c r="S39" s="48" t="e">
        <f t="shared" si="3"/>
        <v>#N/A</v>
      </c>
      <c r="T39" s="49" t="s">
        <v>132</v>
      </c>
      <c r="U39" s="6" t="s">
        <v>161</v>
      </c>
      <c r="V39" s="6" t="s">
        <v>39</v>
      </c>
      <c r="W39" s="6" t="s">
        <v>39</v>
      </c>
      <c r="X39" s="6" t="s">
        <v>38</v>
      </c>
      <c r="Y39" s="6" t="s">
        <v>53</v>
      </c>
      <c r="Z39" s="6" t="s">
        <v>39</v>
      </c>
    </row>
    <row r="40" spans="1:26" hidden="1" x14ac:dyDescent="0.35">
      <c r="A40" s="6" t="s">
        <v>162</v>
      </c>
      <c r="B40" s="6">
        <v>61230</v>
      </c>
      <c r="C40" s="6">
        <v>16397</v>
      </c>
      <c r="D40" s="47">
        <v>2412.1799999999998</v>
      </c>
      <c r="E40" s="25">
        <v>0</v>
      </c>
      <c r="F40" s="25">
        <v>1581.65</v>
      </c>
      <c r="G40" s="26">
        <f t="shared" si="0"/>
        <v>1581.65</v>
      </c>
      <c r="H40" s="6">
        <v>76072454</v>
      </c>
      <c r="I40" s="6" t="s">
        <v>163</v>
      </c>
      <c r="J40" s="6"/>
      <c r="K40" s="6"/>
      <c r="L40" s="6"/>
      <c r="M40" s="6" t="e">
        <f>VLOOKUP(H40,'Billing CDK pivot (by package)'!A:D,3,FALSE)</f>
        <v>#N/A</v>
      </c>
      <c r="N40" s="6" t="e">
        <f>VLOOKUP(H40,'Billing CDK pivot (by package)'!A:D,4,FALSE)</f>
        <v>#N/A</v>
      </c>
      <c r="O40" s="25" t="e">
        <f>VLOOKUP(H40,'Billing CDK pivot'!A:C,3,FALSE)</f>
        <v>#N/A</v>
      </c>
      <c r="P40" s="25">
        <f>IFERROR(VLOOKUP(H40,'Billing CDK pivot (overages)'!A:F,6,FALSE),0)</f>
        <v>0</v>
      </c>
      <c r="Q40" s="25" t="e">
        <f t="shared" si="1"/>
        <v>#N/A</v>
      </c>
      <c r="R40" s="26" t="e">
        <f t="shared" si="2"/>
        <v>#N/A</v>
      </c>
      <c r="S40" s="48" t="e">
        <f t="shared" si="3"/>
        <v>#N/A</v>
      </c>
      <c r="T40" s="49" t="s">
        <v>132</v>
      </c>
      <c r="U40" s="6" t="s">
        <v>158</v>
      </c>
      <c r="V40" s="6" t="s">
        <v>164</v>
      </c>
      <c r="W40" s="6" t="s">
        <v>39</v>
      </c>
      <c r="X40" s="6" t="s">
        <v>38</v>
      </c>
      <c r="Y40" s="6" t="s">
        <v>54</v>
      </c>
      <c r="Z40" s="6" t="s">
        <v>39</v>
      </c>
    </row>
    <row r="41" spans="1:26" hidden="1" x14ac:dyDescent="0.35">
      <c r="A41" s="6" t="s">
        <v>165</v>
      </c>
      <c r="B41" s="6">
        <v>84497</v>
      </c>
      <c r="C41" s="6">
        <v>15961</v>
      </c>
      <c r="D41" s="47">
        <v>518.33000000000004</v>
      </c>
      <c r="E41" s="25">
        <v>0</v>
      </c>
      <c r="F41" s="25">
        <v>264.14999999999998</v>
      </c>
      <c r="G41" s="26">
        <f t="shared" si="0"/>
        <v>264.14999999999998</v>
      </c>
      <c r="H41" s="6">
        <v>76066648</v>
      </c>
      <c r="I41" s="6" t="s">
        <v>166</v>
      </c>
      <c r="J41" s="6"/>
      <c r="K41" s="6"/>
      <c r="L41" s="6"/>
      <c r="M41" s="6" t="e">
        <f>VLOOKUP(H41,'Billing CDK pivot (by package)'!A:D,3,FALSE)</f>
        <v>#N/A</v>
      </c>
      <c r="N41" s="6" t="e">
        <f>VLOOKUP(H41,'Billing CDK pivot (by package)'!A:D,4,FALSE)</f>
        <v>#N/A</v>
      </c>
      <c r="O41" s="25" t="e">
        <f>VLOOKUP(H41,'Billing CDK pivot'!A:C,3,FALSE)</f>
        <v>#N/A</v>
      </c>
      <c r="P41" s="25">
        <f>IFERROR(VLOOKUP(H41,'Billing CDK pivot (overages)'!A:F,6,FALSE),0)</f>
        <v>0</v>
      </c>
      <c r="Q41" s="25" t="e">
        <f t="shared" si="1"/>
        <v>#N/A</v>
      </c>
      <c r="R41" s="26" t="e">
        <f t="shared" si="2"/>
        <v>#N/A</v>
      </c>
      <c r="S41" s="48" t="e">
        <f t="shared" si="3"/>
        <v>#N/A</v>
      </c>
      <c r="T41" s="49" t="s">
        <v>132</v>
      </c>
      <c r="U41" s="6" t="s">
        <v>167</v>
      </c>
      <c r="V41" s="6" t="s">
        <v>39</v>
      </c>
      <c r="W41" s="6" t="s">
        <v>39</v>
      </c>
      <c r="X41" s="6" t="s">
        <v>108</v>
      </c>
      <c r="Y41" s="6" t="s">
        <v>58</v>
      </c>
      <c r="Z41" s="6" t="s">
        <v>39</v>
      </c>
    </row>
    <row r="42" spans="1:26" hidden="1" x14ac:dyDescent="0.35">
      <c r="A42" s="6" t="s">
        <v>168</v>
      </c>
      <c r="B42" s="6">
        <v>79241</v>
      </c>
      <c r="C42" s="6">
        <v>17536</v>
      </c>
      <c r="D42" s="47">
        <v>9824.7000000000007</v>
      </c>
      <c r="E42" s="25">
        <v>0</v>
      </c>
      <c r="F42" s="25">
        <v>1581.65</v>
      </c>
      <c r="G42" s="26">
        <f t="shared" si="0"/>
        <v>1581.65</v>
      </c>
      <c r="H42" s="6">
        <v>76212425</v>
      </c>
      <c r="I42" s="6" t="s">
        <v>169</v>
      </c>
      <c r="J42" s="6"/>
      <c r="K42" s="6"/>
      <c r="L42" s="6"/>
      <c r="M42" s="6" t="e">
        <f>VLOOKUP(H42,'Billing CDK pivot (by package)'!A:D,3,FALSE)</f>
        <v>#N/A</v>
      </c>
      <c r="N42" s="6" t="e">
        <f>VLOOKUP(H42,'Billing CDK pivot (by package)'!A:D,4,FALSE)</f>
        <v>#N/A</v>
      </c>
      <c r="O42" s="25" t="e">
        <f>VLOOKUP(H42,'Billing CDK pivot'!A:C,3,FALSE)</f>
        <v>#N/A</v>
      </c>
      <c r="P42" s="25">
        <f>IFERROR(VLOOKUP(H42,'Billing CDK pivot (overages)'!A:F,6,FALSE),0)</f>
        <v>0</v>
      </c>
      <c r="Q42" s="25" t="e">
        <f t="shared" si="1"/>
        <v>#N/A</v>
      </c>
      <c r="R42" s="26" t="e">
        <f t="shared" si="2"/>
        <v>#N/A</v>
      </c>
      <c r="S42" s="48" t="e">
        <f t="shared" si="3"/>
        <v>#N/A</v>
      </c>
      <c r="T42" s="49" t="s">
        <v>132</v>
      </c>
      <c r="U42" s="6" t="s">
        <v>170</v>
      </c>
      <c r="V42" s="6" t="s">
        <v>39</v>
      </c>
      <c r="W42" s="6" t="s">
        <v>39</v>
      </c>
      <c r="X42" s="6" t="s">
        <v>38</v>
      </c>
      <c r="Y42" s="6" t="s">
        <v>54</v>
      </c>
      <c r="Z42" s="6" t="s">
        <v>39</v>
      </c>
    </row>
    <row r="43" spans="1:26" hidden="1" x14ac:dyDescent="0.35">
      <c r="A43" s="6" t="s">
        <v>171</v>
      </c>
      <c r="B43" s="6">
        <v>115628</v>
      </c>
      <c r="C43" s="6">
        <v>19523</v>
      </c>
      <c r="D43" s="47">
        <v>6368.57</v>
      </c>
      <c r="E43" s="25">
        <v>0</v>
      </c>
      <c r="F43" s="25">
        <v>1581.65</v>
      </c>
      <c r="G43" s="26">
        <f t="shared" si="0"/>
        <v>1581.65</v>
      </c>
      <c r="H43" s="6">
        <v>76208075</v>
      </c>
      <c r="I43" s="6" t="s">
        <v>172</v>
      </c>
      <c r="J43" s="6"/>
      <c r="K43" s="6"/>
      <c r="L43" s="6"/>
      <c r="M43" s="6" t="e">
        <f>VLOOKUP(H43,'Billing CDK pivot (by package)'!A:D,3,FALSE)</f>
        <v>#N/A</v>
      </c>
      <c r="N43" s="6" t="e">
        <f>VLOOKUP(H43,'Billing CDK pivot (by package)'!A:D,4,FALSE)</f>
        <v>#N/A</v>
      </c>
      <c r="O43" s="25" t="e">
        <f>VLOOKUP(H43,'Billing CDK pivot'!A:C,3,FALSE)</f>
        <v>#N/A</v>
      </c>
      <c r="P43" s="25">
        <f>IFERROR(VLOOKUP(H43,'Billing CDK pivot (overages)'!A:F,6,FALSE),0)</f>
        <v>0</v>
      </c>
      <c r="Q43" s="25" t="e">
        <f t="shared" si="1"/>
        <v>#N/A</v>
      </c>
      <c r="R43" s="26" t="e">
        <f t="shared" si="2"/>
        <v>#N/A</v>
      </c>
      <c r="S43" s="48" t="e">
        <f t="shared" si="3"/>
        <v>#N/A</v>
      </c>
      <c r="T43" s="49" t="s">
        <v>132</v>
      </c>
      <c r="U43" s="6" t="s">
        <v>173</v>
      </c>
      <c r="V43" s="6" t="s">
        <v>39</v>
      </c>
      <c r="W43" s="6" t="s">
        <v>39</v>
      </c>
      <c r="X43" s="6" t="s">
        <v>38</v>
      </c>
      <c r="Y43" s="6" t="s">
        <v>54</v>
      </c>
      <c r="Z43" s="6" t="s">
        <v>39</v>
      </c>
    </row>
    <row r="44" spans="1:26" hidden="1" x14ac:dyDescent="0.35">
      <c r="A44" s="6" t="s">
        <v>174</v>
      </c>
      <c r="B44" s="6">
        <v>58253</v>
      </c>
      <c r="C44" s="6">
        <v>16166</v>
      </c>
      <c r="D44" s="47">
        <v>4579.92</v>
      </c>
      <c r="E44" s="25">
        <v>0</v>
      </c>
      <c r="F44" s="25">
        <v>1581.65</v>
      </c>
      <c r="G44" s="26">
        <f t="shared" si="0"/>
        <v>1581.65</v>
      </c>
      <c r="H44" s="6" t="s">
        <v>175</v>
      </c>
      <c r="I44" s="6" t="s">
        <v>176</v>
      </c>
      <c r="J44" s="6"/>
      <c r="K44" s="6"/>
      <c r="L44" s="6"/>
      <c r="M44" s="6" t="str">
        <f>VLOOKUP(H44,'Billing CDK pivot (by package)'!A:D,3,FALSE)</f>
        <v>4570122</v>
      </c>
      <c r="N44" s="6" t="str">
        <f>VLOOKUP(H44,'Billing CDK pivot (by package)'!A:D,4,FALSE)</f>
        <v>CARWARS ADVANCED SALES</v>
      </c>
      <c r="O44" s="25" t="e">
        <f>VLOOKUP(H44,'Billing CDK pivot'!A:C,3,FALSE)</f>
        <v>#N/A</v>
      </c>
      <c r="P44" s="25">
        <f>IFERROR(VLOOKUP(H44,'Billing CDK pivot (overages)'!A:F,6,FALSE),0)</f>
        <v>0</v>
      </c>
      <c r="Q44" s="25" t="e">
        <f t="shared" si="1"/>
        <v>#N/A</v>
      </c>
      <c r="R44" s="26" t="e">
        <f t="shared" si="2"/>
        <v>#N/A</v>
      </c>
      <c r="S44" s="48" t="e">
        <f t="shared" si="3"/>
        <v>#N/A</v>
      </c>
      <c r="T44" s="49" t="s">
        <v>132</v>
      </c>
      <c r="U44" s="6" t="s">
        <v>173</v>
      </c>
      <c r="V44" s="6" t="s">
        <v>158</v>
      </c>
      <c r="W44" s="6" t="s">
        <v>39</v>
      </c>
      <c r="X44" s="6" t="s">
        <v>38</v>
      </c>
      <c r="Y44" s="6" t="s">
        <v>54</v>
      </c>
      <c r="Z44" s="6" t="s">
        <v>39</v>
      </c>
    </row>
    <row r="45" spans="1:26" hidden="1" x14ac:dyDescent="0.35">
      <c r="A45" s="6" t="s">
        <v>177</v>
      </c>
      <c r="B45" s="6">
        <v>58245</v>
      </c>
      <c r="C45" s="6">
        <v>16167</v>
      </c>
      <c r="D45" s="47">
        <v>16121.39</v>
      </c>
      <c r="E45" s="25">
        <v>0</v>
      </c>
      <c r="F45" s="25">
        <v>1581.65</v>
      </c>
      <c r="G45" s="26">
        <f t="shared" si="0"/>
        <v>1581.65</v>
      </c>
      <c r="H45" s="6" t="s">
        <v>178</v>
      </c>
      <c r="I45" s="6" t="s">
        <v>179</v>
      </c>
      <c r="J45" s="6"/>
      <c r="K45" s="6"/>
      <c r="L45" s="6"/>
      <c r="M45" s="6" t="str">
        <f>VLOOKUP(H45,'Billing CDK pivot (by package)'!A:D,3,FALSE)</f>
        <v>4570122</v>
      </c>
      <c r="N45" s="6" t="str">
        <f>VLOOKUP(H45,'Billing CDK pivot (by package)'!A:D,4,FALSE)</f>
        <v>CARWARS ADVANCED SALES</v>
      </c>
      <c r="O45" s="25" t="e">
        <f>VLOOKUP(H45,'Billing CDK pivot'!A:C,3,FALSE)</f>
        <v>#N/A</v>
      </c>
      <c r="P45" s="25">
        <f>IFERROR(VLOOKUP(H45,'Billing CDK pivot (overages)'!A:F,6,FALSE),0)</f>
        <v>0</v>
      </c>
      <c r="Q45" s="25" t="e">
        <f t="shared" si="1"/>
        <v>#N/A</v>
      </c>
      <c r="R45" s="26" t="e">
        <f t="shared" si="2"/>
        <v>#N/A</v>
      </c>
      <c r="S45" s="48" t="e">
        <f t="shared" si="3"/>
        <v>#N/A</v>
      </c>
      <c r="T45" s="49" t="s">
        <v>132</v>
      </c>
      <c r="U45" s="6" t="s">
        <v>173</v>
      </c>
      <c r="V45" s="6" t="s">
        <v>158</v>
      </c>
      <c r="W45" s="6" t="s">
        <v>39</v>
      </c>
      <c r="X45" s="6" t="s">
        <v>38</v>
      </c>
      <c r="Y45" s="6" t="s">
        <v>54</v>
      </c>
      <c r="Z45" s="6" t="s">
        <v>39</v>
      </c>
    </row>
    <row r="46" spans="1:26" hidden="1" x14ac:dyDescent="0.35">
      <c r="A46" s="6" t="s">
        <v>180</v>
      </c>
      <c r="B46" s="6">
        <v>61223</v>
      </c>
      <c r="C46" s="6">
        <v>16372</v>
      </c>
      <c r="D46" s="47">
        <v>9131.4599999999991</v>
      </c>
      <c r="E46" s="25">
        <v>0</v>
      </c>
      <c r="F46" s="25">
        <v>1581.65</v>
      </c>
      <c r="G46" s="26">
        <f t="shared" si="0"/>
        <v>1581.65</v>
      </c>
      <c r="H46" s="6" t="s">
        <v>181</v>
      </c>
      <c r="I46" s="6" t="s">
        <v>182</v>
      </c>
      <c r="J46" s="6"/>
      <c r="K46" s="6"/>
      <c r="L46" s="6"/>
      <c r="M46" s="6" t="str">
        <f>VLOOKUP(H46,'Billing CDK pivot (by package)'!A:D,3,FALSE)</f>
        <v>4570122</v>
      </c>
      <c r="N46" s="6" t="str">
        <f>VLOOKUP(H46,'Billing CDK pivot (by package)'!A:D,4,FALSE)</f>
        <v>CARWARS ADVANCED SALES</v>
      </c>
      <c r="O46" s="25" t="e">
        <f>VLOOKUP(H46,'Billing CDK pivot'!A:C,3,FALSE)</f>
        <v>#N/A</v>
      </c>
      <c r="P46" s="25">
        <f>IFERROR(VLOOKUP(H46,'Billing CDK pivot (overages)'!A:F,6,FALSE),0)</f>
        <v>0</v>
      </c>
      <c r="Q46" s="25" t="e">
        <f t="shared" si="1"/>
        <v>#N/A</v>
      </c>
      <c r="R46" s="26" t="e">
        <f t="shared" si="2"/>
        <v>#N/A</v>
      </c>
      <c r="S46" s="48" t="e">
        <f t="shared" si="3"/>
        <v>#N/A</v>
      </c>
      <c r="T46" s="49" t="s">
        <v>132</v>
      </c>
      <c r="U46" s="6" t="s">
        <v>173</v>
      </c>
      <c r="V46" s="6" t="s">
        <v>158</v>
      </c>
      <c r="W46" s="6" t="s">
        <v>39</v>
      </c>
      <c r="X46" s="6" t="s">
        <v>38</v>
      </c>
      <c r="Y46" s="6" t="s">
        <v>54</v>
      </c>
      <c r="Z46" s="6" t="s">
        <v>39</v>
      </c>
    </row>
    <row r="47" spans="1:26" hidden="1" x14ac:dyDescent="0.35">
      <c r="A47" s="6" t="s">
        <v>183</v>
      </c>
      <c r="B47" s="6">
        <v>150508</v>
      </c>
      <c r="C47" s="6">
        <v>16169</v>
      </c>
      <c r="D47" s="47">
        <v>15069.56</v>
      </c>
      <c r="E47" s="25">
        <v>0</v>
      </c>
      <c r="F47" s="25">
        <v>1581.65</v>
      </c>
      <c r="G47" s="26">
        <f t="shared" si="0"/>
        <v>1581.65</v>
      </c>
      <c r="H47" s="6" t="s">
        <v>184</v>
      </c>
      <c r="I47" s="6" t="s">
        <v>185</v>
      </c>
      <c r="J47" s="6"/>
      <c r="K47" s="6"/>
      <c r="L47" s="6"/>
      <c r="M47" s="6" t="str">
        <f>VLOOKUP(H47,'Billing CDK pivot (by package)'!A:D,3,FALSE)</f>
        <v>4570122</v>
      </c>
      <c r="N47" s="6" t="str">
        <f>VLOOKUP(H47,'Billing CDK pivot (by package)'!A:D,4,FALSE)</f>
        <v>CARWARS ADVANCED SALES</v>
      </c>
      <c r="O47" s="25" t="e">
        <f>VLOOKUP(H47,'Billing CDK pivot'!A:C,3,FALSE)</f>
        <v>#N/A</v>
      </c>
      <c r="P47" s="25">
        <f>IFERROR(VLOOKUP(H47,'Billing CDK pivot (overages)'!A:F,6,FALSE),0)</f>
        <v>0</v>
      </c>
      <c r="Q47" s="25" t="e">
        <f t="shared" si="1"/>
        <v>#N/A</v>
      </c>
      <c r="R47" s="26" t="e">
        <f t="shared" si="2"/>
        <v>#N/A</v>
      </c>
      <c r="S47" s="48" t="e">
        <f t="shared" si="3"/>
        <v>#N/A</v>
      </c>
      <c r="T47" s="49" t="s">
        <v>132</v>
      </c>
      <c r="U47" s="6" t="s">
        <v>173</v>
      </c>
      <c r="V47" s="6" t="s">
        <v>158</v>
      </c>
      <c r="W47" s="6" t="s">
        <v>39</v>
      </c>
      <c r="X47" s="6" t="s">
        <v>38</v>
      </c>
      <c r="Y47" s="6" t="s">
        <v>54</v>
      </c>
      <c r="Z47" s="6" t="s">
        <v>39</v>
      </c>
    </row>
    <row r="48" spans="1:26" hidden="1" x14ac:dyDescent="0.35">
      <c r="A48" s="6" t="s">
        <v>186</v>
      </c>
      <c r="B48" s="6">
        <v>145647</v>
      </c>
      <c r="C48" s="6">
        <v>24702</v>
      </c>
      <c r="D48" s="47">
        <v>624.96</v>
      </c>
      <c r="E48" s="25">
        <v>0</v>
      </c>
      <c r="F48" s="25">
        <v>434.15</v>
      </c>
      <c r="G48" s="26">
        <f t="shared" si="0"/>
        <v>434.15</v>
      </c>
      <c r="H48" s="6">
        <v>76214101</v>
      </c>
      <c r="I48" s="6" t="s">
        <v>187</v>
      </c>
      <c r="J48" s="6"/>
      <c r="K48" s="6"/>
      <c r="L48" s="6"/>
      <c r="M48" s="6" t="e">
        <f>VLOOKUP(H48,'Billing CDK pivot (by package)'!A:D,3,FALSE)</f>
        <v>#N/A</v>
      </c>
      <c r="N48" s="6" t="e">
        <f>VLOOKUP(H48,'Billing CDK pivot (by package)'!A:D,4,FALSE)</f>
        <v>#N/A</v>
      </c>
      <c r="O48" s="25" t="e">
        <f>VLOOKUP(H48,'Billing CDK pivot'!A:C,3,FALSE)</f>
        <v>#N/A</v>
      </c>
      <c r="P48" s="25">
        <f>IFERROR(VLOOKUP(H48,'Billing CDK pivot (overages)'!A:F,6,FALSE),0)</f>
        <v>0</v>
      </c>
      <c r="Q48" s="25" t="e">
        <f t="shared" si="1"/>
        <v>#N/A</v>
      </c>
      <c r="R48" s="26" t="e">
        <f t="shared" si="2"/>
        <v>#N/A</v>
      </c>
      <c r="S48" s="48" t="e">
        <f t="shared" si="3"/>
        <v>#N/A</v>
      </c>
      <c r="T48" s="49" t="s">
        <v>132</v>
      </c>
      <c r="U48" s="6" t="s">
        <v>188</v>
      </c>
      <c r="V48" s="6" t="s">
        <v>39</v>
      </c>
      <c r="W48" s="6" t="s">
        <v>39</v>
      </c>
      <c r="X48" s="6" t="s">
        <v>38</v>
      </c>
      <c r="Y48" s="6" t="s">
        <v>53</v>
      </c>
      <c r="Z48" s="6" t="s">
        <v>39</v>
      </c>
    </row>
    <row r="49" spans="1:26" hidden="1" x14ac:dyDescent="0.35">
      <c r="A49" s="6" t="s">
        <v>189</v>
      </c>
      <c r="B49" s="6">
        <v>144285</v>
      </c>
      <c r="C49" s="6">
        <v>24706</v>
      </c>
      <c r="D49" s="47">
        <v>11163.04</v>
      </c>
      <c r="E49" s="25">
        <v>0</v>
      </c>
      <c r="F49" s="25">
        <v>1581.65</v>
      </c>
      <c r="G49" s="26">
        <f t="shared" si="0"/>
        <v>1581.65</v>
      </c>
      <c r="H49" s="6">
        <v>76152812</v>
      </c>
      <c r="I49" s="6" t="s">
        <v>190</v>
      </c>
      <c r="J49" s="6"/>
      <c r="K49" s="6"/>
      <c r="L49" s="6"/>
      <c r="M49" s="6" t="e">
        <f>VLOOKUP(H49,'Billing CDK pivot (by package)'!A:D,3,FALSE)</f>
        <v>#N/A</v>
      </c>
      <c r="N49" s="6" t="e">
        <f>VLOOKUP(H49,'Billing CDK pivot (by package)'!A:D,4,FALSE)</f>
        <v>#N/A</v>
      </c>
      <c r="O49" s="25" t="e">
        <f>VLOOKUP(H49,'Billing CDK pivot'!A:C,3,FALSE)</f>
        <v>#N/A</v>
      </c>
      <c r="P49" s="25">
        <f>IFERROR(VLOOKUP(H49,'Billing CDK pivot (overages)'!A:F,6,FALSE),0)</f>
        <v>0</v>
      </c>
      <c r="Q49" s="25" t="e">
        <f t="shared" si="1"/>
        <v>#N/A</v>
      </c>
      <c r="R49" s="26" t="e">
        <f t="shared" si="2"/>
        <v>#N/A</v>
      </c>
      <c r="S49" s="48" t="e">
        <f t="shared" si="3"/>
        <v>#N/A</v>
      </c>
      <c r="T49" s="49" t="s">
        <v>132</v>
      </c>
      <c r="U49" s="6" t="s">
        <v>191</v>
      </c>
      <c r="V49" s="6" t="s">
        <v>39</v>
      </c>
      <c r="W49" s="6" t="s">
        <v>39</v>
      </c>
      <c r="X49" s="6" t="s">
        <v>50</v>
      </c>
      <c r="Y49" s="6" t="s">
        <v>54</v>
      </c>
      <c r="Z49" s="6" t="s">
        <v>39</v>
      </c>
    </row>
    <row r="50" spans="1:26" hidden="1" x14ac:dyDescent="0.35">
      <c r="A50" s="6" t="s">
        <v>192</v>
      </c>
      <c r="B50" s="6">
        <v>138624</v>
      </c>
      <c r="C50" s="6">
        <v>18505</v>
      </c>
      <c r="D50" s="47">
        <v>12758.72</v>
      </c>
      <c r="E50" s="25">
        <v>0</v>
      </c>
      <c r="F50" s="25">
        <v>2005.65</v>
      </c>
      <c r="G50" s="26">
        <f t="shared" si="0"/>
        <v>2005.65</v>
      </c>
      <c r="H50" s="6">
        <v>76044726</v>
      </c>
      <c r="I50" s="6" t="s">
        <v>193</v>
      </c>
      <c r="J50" s="6"/>
      <c r="K50" s="6"/>
      <c r="L50" s="6"/>
      <c r="M50" s="6" t="e">
        <f>VLOOKUP(H50,'Billing CDK pivot (by package)'!A:D,3,FALSE)</f>
        <v>#N/A</v>
      </c>
      <c r="N50" s="6" t="e">
        <f>VLOOKUP(H50,'Billing CDK pivot (by package)'!A:D,4,FALSE)</f>
        <v>#N/A</v>
      </c>
      <c r="O50" s="25" t="e">
        <f>VLOOKUP(H50,'Billing CDK pivot'!A:C,3,FALSE)</f>
        <v>#N/A</v>
      </c>
      <c r="P50" s="25">
        <f>IFERROR(VLOOKUP(H50,'Billing CDK pivot (overages)'!A:F,6,FALSE),0)</f>
        <v>0</v>
      </c>
      <c r="Q50" s="25" t="e">
        <f t="shared" si="1"/>
        <v>#N/A</v>
      </c>
      <c r="R50" s="26" t="e">
        <f t="shared" si="2"/>
        <v>#N/A</v>
      </c>
      <c r="S50" s="48" t="e">
        <f t="shared" si="3"/>
        <v>#N/A</v>
      </c>
      <c r="T50" s="49" t="s">
        <v>132</v>
      </c>
      <c r="U50" s="6" t="s">
        <v>194</v>
      </c>
      <c r="V50" s="6" t="s">
        <v>39</v>
      </c>
      <c r="W50" s="6" t="s">
        <v>39</v>
      </c>
      <c r="X50" s="6" t="s">
        <v>38</v>
      </c>
      <c r="Y50" s="6" t="s">
        <v>54</v>
      </c>
      <c r="Z50" s="6" t="s">
        <v>195</v>
      </c>
    </row>
    <row r="51" spans="1:26" hidden="1" x14ac:dyDescent="0.35">
      <c r="A51" s="6" t="s">
        <v>196</v>
      </c>
      <c r="B51" s="6">
        <v>156791</v>
      </c>
      <c r="C51" s="6">
        <v>28946</v>
      </c>
      <c r="D51" s="47">
        <v>1905.45</v>
      </c>
      <c r="E51" s="25">
        <v>0</v>
      </c>
      <c r="F51" s="25">
        <v>424.15</v>
      </c>
      <c r="G51" s="26">
        <f t="shared" si="0"/>
        <v>424.15</v>
      </c>
      <c r="H51" s="6">
        <v>76002263</v>
      </c>
      <c r="I51" s="6" t="s">
        <v>197</v>
      </c>
      <c r="J51" s="6"/>
      <c r="K51" s="6"/>
      <c r="L51" s="6"/>
      <c r="M51" s="6" t="e">
        <f>VLOOKUP(H51,'Billing CDK pivot (by package)'!A:D,3,FALSE)</f>
        <v>#N/A</v>
      </c>
      <c r="N51" s="6" t="e">
        <f>VLOOKUP(H51,'Billing CDK pivot (by package)'!A:D,4,FALSE)</f>
        <v>#N/A</v>
      </c>
      <c r="O51" s="25" t="e">
        <f>VLOOKUP(H51,'Billing CDK pivot'!A:C,3,FALSE)</f>
        <v>#N/A</v>
      </c>
      <c r="P51" s="25">
        <f>IFERROR(VLOOKUP(H51,'Billing CDK pivot (overages)'!A:F,6,FALSE),0)</f>
        <v>0</v>
      </c>
      <c r="Q51" s="25" t="e">
        <f t="shared" si="1"/>
        <v>#N/A</v>
      </c>
      <c r="R51" s="26" t="e">
        <f t="shared" si="2"/>
        <v>#N/A</v>
      </c>
      <c r="S51" s="48" t="e">
        <f t="shared" si="3"/>
        <v>#N/A</v>
      </c>
      <c r="T51" s="49" t="s">
        <v>132</v>
      </c>
      <c r="U51" s="6" t="s">
        <v>198</v>
      </c>
      <c r="V51" s="6" t="s">
        <v>39</v>
      </c>
      <c r="W51" s="6" t="s">
        <v>39</v>
      </c>
      <c r="X51" s="6" t="s">
        <v>38</v>
      </c>
      <c r="Y51" s="6" t="s">
        <v>39</v>
      </c>
      <c r="Z51" s="6" t="s">
        <v>39</v>
      </c>
    </row>
    <row r="52" spans="1:26" hidden="1" x14ac:dyDescent="0.35">
      <c r="A52" s="6" t="s">
        <v>199</v>
      </c>
      <c r="B52" s="6">
        <v>140643</v>
      </c>
      <c r="C52" s="6">
        <v>23116</v>
      </c>
      <c r="D52" s="47">
        <v>5305.43</v>
      </c>
      <c r="E52" s="25">
        <v>124.57</v>
      </c>
      <c r="F52" s="25">
        <v>388.72</v>
      </c>
      <c r="G52" s="26">
        <f t="shared" si="0"/>
        <v>264.15000000000003</v>
      </c>
      <c r="H52" s="6">
        <v>76179995</v>
      </c>
      <c r="I52" s="6" t="s">
        <v>200</v>
      </c>
      <c r="J52" s="6"/>
      <c r="K52" s="6"/>
      <c r="L52" s="6"/>
      <c r="M52" s="6" t="e">
        <f>VLOOKUP(H52,'Billing CDK pivot (by package)'!A:D,3,FALSE)</f>
        <v>#N/A</v>
      </c>
      <c r="N52" s="6" t="e">
        <f>VLOOKUP(H52,'Billing CDK pivot (by package)'!A:D,4,FALSE)</f>
        <v>#N/A</v>
      </c>
      <c r="O52" s="25" t="e">
        <f>VLOOKUP(H52,'Billing CDK pivot'!A:C,3,FALSE)</f>
        <v>#N/A</v>
      </c>
      <c r="P52" s="25">
        <f>IFERROR(VLOOKUP(H52,'Billing CDK pivot (overages)'!A:F,6,FALSE),0)</f>
        <v>0</v>
      </c>
      <c r="Q52" s="25" t="e">
        <f t="shared" si="1"/>
        <v>#N/A</v>
      </c>
      <c r="R52" s="26" t="e">
        <f t="shared" si="2"/>
        <v>#N/A</v>
      </c>
      <c r="S52" s="48" t="e">
        <f t="shared" si="3"/>
        <v>#N/A</v>
      </c>
      <c r="T52" s="49" t="s">
        <v>132</v>
      </c>
      <c r="U52" s="6" t="s">
        <v>161</v>
      </c>
      <c r="V52" s="6" t="s">
        <v>39</v>
      </c>
      <c r="W52" s="6" t="s">
        <v>39</v>
      </c>
      <c r="X52" s="6" t="s">
        <v>38</v>
      </c>
      <c r="Y52" s="6" t="s">
        <v>58</v>
      </c>
      <c r="Z52" s="6" t="s">
        <v>39</v>
      </c>
    </row>
    <row r="53" spans="1:26" hidden="1" x14ac:dyDescent="0.35">
      <c r="A53" s="6" t="s">
        <v>201</v>
      </c>
      <c r="B53" s="6">
        <v>139748</v>
      </c>
      <c r="C53" s="6">
        <v>9273</v>
      </c>
      <c r="D53" s="47">
        <v>2041.07</v>
      </c>
      <c r="E53" s="25">
        <v>0</v>
      </c>
      <c r="F53" s="25">
        <v>264.14999999999998</v>
      </c>
      <c r="G53" s="26">
        <f t="shared" si="0"/>
        <v>264.14999999999998</v>
      </c>
      <c r="H53" s="6">
        <v>76203742</v>
      </c>
      <c r="I53" s="6" t="s">
        <v>202</v>
      </c>
      <c r="J53" s="6"/>
      <c r="K53" s="6"/>
      <c r="L53" s="6"/>
      <c r="M53" s="6" t="e">
        <f>VLOOKUP(H53,'Billing CDK pivot (by package)'!A:D,3,FALSE)</f>
        <v>#N/A</v>
      </c>
      <c r="N53" s="6" t="e">
        <f>VLOOKUP(H53,'Billing CDK pivot (by package)'!A:D,4,FALSE)</f>
        <v>#N/A</v>
      </c>
      <c r="O53" s="25" t="e">
        <f>VLOOKUP(H53,'Billing CDK pivot'!A:C,3,FALSE)</f>
        <v>#N/A</v>
      </c>
      <c r="P53" s="25">
        <f>IFERROR(VLOOKUP(H53,'Billing CDK pivot (overages)'!A:F,6,FALSE),0)</f>
        <v>0</v>
      </c>
      <c r="Q53" s="25" t="e">
        <f t="shared" si="1"/>
        <v>#N/A</v>
      </c>
      <c r="R53" s="26" t="e">
        <f t="shared" si="2"/>
        <v>#N/A</v>
      </c>
      <c r="S53" s="48" t="e">
        <f t="shared" si="3"/>
        <v>#N/A</v>
      </c>
      <c r="T53" s="49" t="s">
        <v>132</v>
      </c>
      <c r="U53" s="6" t="s">
        <v>161</v>
      </c>
      <c r="V53" s="6" t="s">
        <v>39</v>
      </c>
      <c r="W53" s="6" t="s">
        <v>39</v>
      </c>
      <c r="X53" s="6" t="s">
        <v>38</v>
      </c>
      <c r="Y53" s="6" t="s">
        <v>58</v>
      </c>
      <c r="Z53" s="6" t="s">
        <v>39</v>
      </c>
    </row>
    <row r="54" spans="1:26" hidden="1" x14ac:dyDescent="0.35">
      <c r="A54" s="6" t="s">
        <v>203</v>
      </c>
      <c r="B54" s="6">
        <v>144122</v>
      </c>
      <c r="C54" s="6">
        <v>19202</v>
      </c>
      <c r="D54" s="47">
        <v>733.39</v>
      </c>
      <c r="E54" s="25">
        <v>0</v>
      </c>
      <c r="F54" s="25">
        <v>264.14999999999998</v>
      </c>
      <c r="G54" s="26">
        <f t="shared" si="0"/>
        <v>264.14999999999998</v>
      </c>
      <c r="H54" s="6">
        <v>76190193</v>
      </c>
      <c r="I54" s="6" t="s">
        <v>204</v>
      </c>
      <c r="J54" s="6"/>
      <c r="K54" s="6"/>
      <c r="L54" s="6"/>
      <c r="M54" s="6" t="e">
        <f>VLOOKUP(H54,'Billing CDK pivot (by package)'!A:D,3,FALSE)</f>
        <v>#N/A</v>
      </c>
      <c r="N54" s="6" t="e">
        <f>VLOOKUP(H54,'Billing CDK pivot (by package)'!A:D,4,FALSE)</f>
        <v>#N/A</v>
      </c>
      <c r="O54" s="25" t="e">
        <f>VLOOKUP(H54,'Billing CDK pivot'!A:C,3,FALSE)</f>
        <v>#N/A</v>
      </c>
      <c r="P54" s="25">
        <f>IFERROR(VLOOKUP(H54,'Billing CDK pivot (overages)'!A:F,6,FALSE),0)</f>
        <v>0</v>
      </c>
      <c r="Q54" s="25" t="e">
        <f t="shared" si="1"/>
        <v>#N/A</v>
      </c>
      <c r="R54" s="26" t="e">
        <f t="shared" si="2"/>
        <v>#N/A</v>
      </c>
      <c r="S54" s="48" t="e">
        <f t="shared" si="3"/>
        <v>#N/A</v>
      </c>
      <c r="T54" s="49" t="s">
        <v>132</v>
      </c>
      <c r="U54" s="6" t="s">
        <v>161</v>
      </c>
      <c r="V54" s="6" t="s">
        <v>39</v>
      </c>
      <c r="W54" s="6" t="s">
        <v>39</v>
      </c>
      <c r="X54" s="6" t="s">
        <v>38</v>
      </c>
      <c r="Y54" s="6" t="s">
        <v>58</v>
      </c>
      <c r="Z54" s="6" t="s">
        <v>39</v>
      </c>
    </row>
    <row r="55" spans="1:26" hidden="1" x14ac:dyDescent="0.35">
      <c r="A55" s="6" t="s">
        <v>205</v>
      </c>
      <c r="B55" s="6">
        <v>138603</v>
      </c>
      <c r="C55" s="6">
        <v>22232</v>
      </c>
      <c r="D55" s="47">
        <v>5949.05</v>
      </c>
      <c r="E55" s="25">
        <v>168.98</v>
      </c>
      <c r="F55" s="25">
        <v>433.13</v>
      </c>
      <c r="G55" s="26">
        <f t="shared" si="0"/>
        <v>264.14999999999998</v>
      </c>
      <c r="H55" s="6">
        <v>76043216</v>
      </c>
      <c r="I55" s="6" t="s">
        <v>206</v>
      </c>
      <c r="J55" s="6"/>
      <c r="K55" s="6"/>
      <c r="L55" s="6"/>
      <c r="M55" s="6" t="e">
        <f>VLOOKUP(H55,'Billing CDK pivot (by package)'!A:D,3,FALSE)</f>
        <v>#N/A</v>
      </c>
      <c r="N55" s="6" t="e">
        <f>VLOOKUP(H55,'Billing CDK pivot (by package)'!A:D,4,FALSE)</f>
        <v>#N/A</v>
      </c>
      <c r="O55" s="25" t="e">
        <f>VLOOKUP(H55,'Billing CDK pivot'!A:C,3,FALSE)</f>
        <v>#N/A</v>
      </c>
      <c r="P55" s="25">
        <f>IFERROR(VLOOKUP(H55,'Billing CDK pivot (overages)'!A:F,6,FALSE),0)</f>
        <v>0</v>
      </c>
      <c r="Q55" s="25" t="e">
        <f t="shared" si="1"/>
        <v>#N/A</v>
      </c>
      <c r="R55" s="26" t="e">
        <f t="shared" si="2"/>
        <v>#N/A</v>
      </c>
      <c r="S55" s="48" t="e">
        <f t="shared" si="3"/>
        <v>#N/A</v>
      </c>
      <c r="T55" s="49" t="s">
        <v>132</v>
      </c>
      <c r="U55" s="6" t="s">
        <v>161</v>
      </c>
      <c r="V55" s="6" t="s">
        <v>39</v>
      </c>
      <c r="W55" s="6" t="s">
        <v>39</v>
      </c>
      <c r="X55" s="6" t="s">
        <v>207</v>
      </c>
      <c r="Y55" s="6" t="s">
        <v>58</v>
      </c>
      <c r="Z55" s="6" t="s">
        <v>39</v>
      </c>
    </row>
    <row r="56" spans="1:26" hidden="1" x14ac:dyDescent="0.35">
      <c r="A56" s="6" t="s">
        <v>208</v>
      </c>
      <c r="B56" s="6">
        <v>131694</v>
      </c>
      <c r="C56" s="6">
        <v>21728</v>
      </c>
      <c r="D56" s="47">
        <v>2550.33</v>
      </c>
      <c r="E56" s="25">
        <v>0</v>
      </c>
      <c r="F56" s="25">
        <v>264.14999999999998</v>
      </c>
      <c r="G56" s="26">
        <f t="shared" si="0"/>
        <v>264.14999999999998</v>
      </c>
      <c r="H56" s="6">
        <v>71043922</v>
      </c>
      <c r="I56" s="6" t="s">
        <v>209</v>
      </c>
      <c r="J56" s="6"/>
      <c r="K56" s="6"/>
      <c r="L56" s="6"/>
      <c r="M56" s="6" t="e">
        <f>VLOOKUP(H56,'Billing CDK pivot (by package)'!A:D,3,FALSE)</f>
        <v>#N/A</v>
      </c>
      <c r="N56" s="6" t="e">
        <f>VLOOKUP(H56,'Billing CDK pivot (by package)'!A:D,4,FALSE)</f>
        <v>#N/A</v>
      </c>
      <c r="O56" s="25" t="e">
        <f>VLOOKUP(H56,'Billing CDK pivot'!A:C,3,FALSE)</f>
        <v>#N/A</v>
      </c>
      <c r="P56" s="25">
        <f>IFERROR(VLOOKUP(H56,'Billing CDK pivot (overages)'!A:F,6,FALSE),0)</f>
        <v>0</v>
      </c>
      <c r="Q56" s="25" t="e">
        <f t="shared" si="1"/>
        <v>#N/A</v>
      </c>
      <c r="R56" s="26" t="e">
        <f t="shared" si="2"/>
        <v>#N/A</v>
      </c>
      <c r="S56" s="48" t="e">
        <f t="shared" si="3"/>
        <v>#N/A</v>
      </c>
      <c r="T56" s="49" t="s">
        <v>132</v>
      </c>
      <c r="U56" s="6" t="s">
        <v>161</v>
      </c>
      <c r="V56" s="6" t="s">
        <v>39</v>
      </c>
      <c r="W56" s="6" t="s">
        <v>39</v>
      </c>
      <c r="X56" s="6" t="s">
        <v>38</v>
      </c>
      <c r="Y56" s="6" t="s">
        <v>58</v>
      </c>
      <c r="Z56" s="6" t="s">
        <v>39</v>
      </c>
    </row>
    <row r="57" spans="1:26" hidden="1" x14ac:dyDescent="0.35">
      <c r="A57" s="6" t="s">
        <v>210</v>
      </c>
      <c r="B57" s="6">
        <v>131695</v>
      </c>
      <c r="C57" s="6">
        <v>21729</v>
      </c>
      <c r="D57" s="47">
        <v>1726.19</v>
      </c>
      <c r="E57" s="25">
        <v>0</v>
      </c>
      <c r="F57" s="25">
        <v>264.14999999999998</v>
      </c>
      <c r="G57" s="26">
        <f t="shared" si="0"/>
        <v>264.14999999999998</v>
      </c>
      <c r="H57" s="6">
        <v>76162462</v>
      </c>
      <c r="I57" s="6" t="s">
        <v>211</v>
      </c>
      <c r="J57" s="6"/>
      <c r="K57" s="6"/>
      <c r="L57" s="6"/>
      <c r="M57" s="6" t="e">
        <f>VLOOKUP(H57,'Billing CDK pivot (by package)'!A:D,3,FALSE)</f>
        <v>#N/A</v>
      </c>
      <c r="N57" s="6" t="e">
        <f>VLOOKUP(H57,'Billing CDK pivot (by package)'!A:D,4,FALSE)</f>
        <v>#N/A</v>
      </c>
      <c r="O57" s="25" t="e">
        <f>VLOOKUP(H57,'Billing CDK pivot'!A:C,3,FALSE)</f>
        <v>#N/A</v>
      </c>
      <c r="P57" s="25">
        <f>IFERROR(VLOOKUP(H57,'Billing CDK pivot (overages)'!A:F,6,FALSE),0)</f>
        <v>0</v>
      </c>
      <c r="Q57" s="25" t="e">
        <f t="shared" si="1"/>
        <v>#N/A</v>
      </c>
      <c r="R57" s="26" t="e">
        <f t="shared" si="2"/>
        <v>#N/A</v>
      </c>
      <c r="S57" s="48" t="e">
        <f t="shared" si="3"/>
        <v>#N/A</v>
      </c>
      <c r="T57" s="49" t="s">
        <v>132</v>
      </c>
      <c r="U57" s="6" t="s">
        <v>161</v>
      </c>
      <c r="V57" s="6" t="s">
        <v>39</v>
      </c>
      <c r="W57" s="6" t="s">
        <v>39</v>
      </c>
      <c r="X57" s="6" t="s">
        <v>38</v>
      </c>
      <c r="Y57" s="6" t="s">
        <v>58</v>
      </c>
      <c r="Z57" s="6" t="s">
        <v>39</v>
      </c>
    </row>
    <row r="58" spans="1:26" hidden="1" x14ac:dyDescent="0.35">
      <c r="A58" s="6" t="s">
        <v>212</v>
      </c>
      <c r="B58" s="6">
        <v>143944</v>
      </c>
      <c r="C58" s="6">
        <v>21588</v>
      </c>
      <c r="D58" s="47">
        <v>894.45</v>
      </c>
      <c r="E58" s="25">
        <v>0</v>
      </c>
      <c r="F58" s="25">
        <v>264.14999999999998</v>
      </c>
      <c r="G58" s="26">
        <f t="shared" si="0"/>
        <v>264.14999999999998</v>
      </c>
      <c r="H58" s="6">
        <v>76203700</v>
      </c>
      <c r="I58" s="6" t="s">
        <v>213</v>
      </c>
      <c r="J58" s="6"/>
      <c r="K58" s="6"/>
      <c r="L58" s="6"/>
      <c r="M58" s="6" t="e">
        <f>VLOOKUP(H58,'Billing CDK pivot (by package)'!A:D,3,FALSE)</f>
        <v>#N/A</v>
      </c>
      <c r="N58" s="6" t="e">
        <f>VLOOKUP(H58,'Billing CDK pivot (by package)'!A:D,4,FALSE)</f>
        <v>#N/A</v>
      </c>
      <c r="O58" s="25" t="e">
        <f>VLOOKUP(H58,'Billing CDK pivot'!A:C,3,FALSE)</f>
        <v>#N/A</v>
      </c>
      <c r="P58" s="25">
        <f>IFERROR(VLOOKUP(H58,'Billing CDK pivot (overages)'!A:F,6,FALSE),0)</f>
        <v>0</v>
      </c>
      <c r="Q58" s="25" t="e">
        <f t="shared" si="1"/>
        <v>#N/A</v>
      </c>
      <c r="R58" s="26" t="e">
        <f t="shared" si="2"/>
        <v>#N/A</v>
      </c>
      <c r="S58" s="48" t="e">
        <f t="shared" si="3"/>
        <v>#N/A</v>
      </c>
      <c r="T58" s="49" t="s">
        <v>132</v>
      </c>
      <c r="U58" s="6" t="s">
        <v>161</v>
      </c>
      <c r="V58" s="6" t="s">
        <v>39</v>
      </c>
      <c r="W58" s="6" t="s">
        <v>39</v>
      </c>
      <c r="X58" s="6" t="s">
        <v>38</v>
      </c>
      <c r="Y58" s="6" t="s">
        <v>58</v>
      </c>
      <c r="Z58" s="6" t="s">
        <v>39</v>
      </c>
    </row>
    <row r="59" spans="1:26" hidden="1" x14ac:dyDescent="0.35">
      <c r="A59" s="6" t="s">
        <v>214</v>
      </c>
      <c r="B59" s="6">
        <v>138480</v>
      </c>
      <c r="C59" s="6">
        <v>22230</v>
      </c>
      <c r="D59" s="47">
        <v>12233.14</v>
      </c>
      <c r="E59" s="25">
        <v>602.59</v>
      </c>
      <c r="F59" s="25">
        <v>866.74</v>
      </c>
      <c r="G59" s="26">
        <f t="shared" si="0"/>
        <v>264.14999999999998</v>
      </c>
      <c r="H59" s="6">
        <v>76162428</v>
      </c>
      <c r="I59" s="6" t="s">
        <v>215</v>
      </c>
      <c r="J59" s="6"/>
      <c r="K59" s="6"/>
      <c r="L59" s="6"/>
      <c r="M59" s="6" t="e">
        <f>VLOOKUP(H59,'Billing CDK pivot (by package)'!A:D,3,FALSE)</f>
        <v>#N/A</v>
      </c>
      <c r="N59" s="6" t="e">
        <f>VLOOKUP(H59,'Billing CDK pivot (by package)'!A:D,4,FALSE)</f>
        <v>#N/A</v>
      </c>
      <c r="O59" s="25" t="e">
        <f>VLOOKUP(H59,'Billing CDK pivot'!A:C,3,FALSE)</f>
        <v>#N/A</v>
      </c>
      <c r="P59" s="25">
        <f>IFERROR(VLOOKUP(H59,'Billing CDK pivot (overages)'!A:F,6,FALSE),0)</f>
        <v>0</v>
      </c>
      <c r="Q59" s="25" t="e">
        <f t="shared" si="1"/>
        <v>#N/A</v>
      </c>
      <c r="R59" s="26" t="e">
        <f t="shared" si="2"/>
        <v>#N/A</v>
      </c>
      <c r="S59" s="48" t="e">
        <f t="shared" si="3"/>
        <v>#N/A</v>
      </c>
      <c r="T59" s="49" t="s">
        <v>132</v>
      </c>
      <c r="U59" s="6" t="s">
        <v>161</v>
      </c>
      <c r="V59" s="6" t="s">
        <v>39</v>
      </c>
      <c r="W59" s="6" t="s">
        <v>39</v>
      </c>
      <c r="X59" s="6" t="s">
        <v>38</v>
      </c>
      <c r="Y59" s="6" t="s">
        <v>58</v>
      </c>
      <c r="Z59" s="6" t="s">
        <v>39</v>
      </c>
    </row>
    <row r="60" spans="1:26" hidden="1" x14ac:dyDescent="0.35">
      <c r="A60" s="6" t="s">
        <v>216</v>
      </c>
      <c r="B60" s="6">
        <v>131770</v>
      </c>
      <c r="C60" s="6">
        <v>21830</v>
      </c>
      <c r="D60" s="47">
        <v>4028.11</v>
      </c>
      <c r="E60" s="25">
        <v>36.44</v>
      </c>
      <c r="F60" s="25">
        <v>300.58999999999997</v>
      </c>
      <c r="G60" s="26">
        <f t="shared" si="0"/>
        <v>264.14999999999998</v>
      </c>
      <c r="H60" s="6">
        <v>71064573</v>
      </c>
      <c r="I60" s="6" t="s">
        <v>217</v>
      </c>
      <c r="J60" s="6"/>
      <c r="K60" s="6"/>
      <c r="L60" s="6"/>
      <c r="M60" s="6" t="e">
        <f>VLOOKUP(H60,'Billing CDK pivot (by package)'!A:D,3,FALSE)</f>
        <v>#N/A</v>
      </c>
      <c r="N60" s="6" t="e">
        <f>VLOOKUP(H60,'Billing CDK pivot (by package)'!A:D,4,FALSE)</f>
        <v>#N/A</v>
      </c>
      <c r="O60" s="25" t="e">
        <f>VLOOKUP(H60,'Billing CDK pivot'!A:C,3,FALSE)</f>
        <v>#N/A</v>
      </c>
      <c r="P60" s="25">
        <f>IFERROR(VLOOKUP(H60,'Billing CDK pivot (overages)'!A:F,6,FALSE),0)</f>
        <v>0</v>
      </c>
      <c r="Q60" s="25" t="e">
        <f t="shared" si="1"/>
        <v>#N/A</v>
      </c>
      <c r="R60" s="26" t="e">
        <f t="shared" si="2"/>
        <v>#N/A</v>
      </c>
      <c r="S60" s="48" t="e">
        <f t="shared" si="3"/>
        <v>#N/A</v>
      </c>
      <c r="T60" s="49" t="s">
        <v>132</v>
      </c>
      <c r="U60" s="6" t="s">
        <v>161</v>
      </c>
      <c r="V60" s="6" t="s">
        <v>39</v>
      </c>
      <c r="W60" s="6" t="s">
        <v>39</v>
      </c>
      <c r="X60" s="6" t="s">
        <v>38</v>
      </c>
      <c r="Y60" s="6" t="s">
        <v>58</v>
      </c>
      <c r="Z60" s="6" t="s">
        <v>39</v>
      </c>
    </row>
    <row r="61" spans="1:26" hidden="1" x14ac:dyDescent="0.35">
      <c r="A61" s="6" t="s">
        <v>218</v>
      </c>
      <c r="B61" s="6">
        <v>140642</v>
      </c>
      <c r="C61" s="6">
        <v>23115</v>
      </c>
      <c r="D61" s="47">
        <v>12096.9</v>
      </c>
      <c r="E61" s="25">
        <v>317.19</v>
      </c>
      <c r="F61" s="25">
        <v>751.34</v>
      </c>
      <c r="G61" s="26">
        <f t="shared" si="0"/>
        <v>434.15000000000003</v>
      </c>
      <c r="H61" s="6">
        <v>71043920</v>
      </c>
      <c r="I61" s="6" t="s">
        <v>219</v>
      </c>
      <c r="J61" s="6"/>
      <c r="K61" s="6"/>
      <c r="L61" s="6"/>
      <c r="M61" s="6" t="e">
        <f>VLOOKUP(H61,'Billing CDK pivot (by package)'!A:D,3,FALSE)</f>
        <v>#N/A</v>
      </c>
      <c r="N61" s="6" t="e">
        <f>VLOOKUP(H61,'Billing CDK pivot (by package)'!A:D,4,FALSE)</f>
        <v>#N/A</v>
      </c>
      <c r="O61" s="25" t="e">
        <f>VLOOKUP(H61,'Billing CDK pivot'!A:C,3,FALSE)</f>
        <v>#N/A</v>
      </c>
      <c r="P61" s="25">
        <f>IFERROR(VLOOKUP(H61,'Billing CDK pivot (overages)'!A:F,6,FALSE),0)</f>
        <v>0</v>
      </c>
      <c r="Q61" s="25" t="e">
        <f t="shared" si="1"/>
        <v>#N/A</v>
      </c>
      <c r="R61" s="26" t="e">
        <f t="shared" si="2"/>
        <v>#N/A</v>
      </c>
      <c r="S61" s="48" t="e">
        <f t="shared" si="3"/>
        <v>#N/A</v>
      </c>
      <c r="T61" s="49" t="s">
        <v>132</v>
      </c>
      <c r="U61" s="6" t="s">
        <v>220</v>
      </c>
      <c r="V61" s="6" t="s">
        <v>39</v>
      </c>
      <c r="W61" s="6" t="s">
        <v>39</v>
      </c>
      <c r="X61" s="6" t="s">
        <v>38</v>
      </c>
      <c r="Y61" s="6" t="s">
        <v>53</v>
      </c>
      <c r="Z61" s="6" t="s">
        <v>39</v>
      </c>
    </row>
    <row r="62" spans="1:26" hidden="1" x14ac:dyDescent="0.35">
      <c r="A62" s="6" t="s">
        <v>221</v>
      </c>
      <c r="B62" s="6">
        <v>120186</v>
      </c>
      <c r="C62" s="6">
        <v>21332</v>
      </c>
      <c r="D62" s="47">
        <v>1346.42</v>
      </c>
      <c r="E62" s="25">
        <v>0</v>
      </c>
      <c r="F62" s="25">
        <v>434.15</v>
      </c>
      <c r="G62" s="26">
        <f t="shared" si="0"/>
        <v>434.15</v>
      </c>
      <c r="H62" s="6">
        <v>76210935</v>
      </c>
      <c r="I62" s="6" t="s">
        <v>222</v>
      </c>
      <c r="J62" s="6"/>
      <c r="K62" s="6"/>
      <c r="L62" s="6"/>
      <c r="M62" s="6" t="e">
        <f>VLOOKUP(H62,'Billing CDK pivot (by package)'!A:D,3,FALSE)</f>
        <v>#N/A</v>
      </c>
      <c r="N62" s="6" t="e">
        <f>VLOOKUP(H62,'Billing CDK pivot (by package)'!A:D,4,FALSE)</f>
        <v>#N/A</v>
      </c>
      <c r="O62" s="25" t="e">
        <f>VLOOKUP(H62,'Billing CDK pivot'!A:C,3,FALSE)</f>
        <v>#N/A</v>
      </c>
      <c r="P62" s="25">
        <f>IFERROR(VLOOKUP(H62,'Billing CDK pivot (overages)'!A:F,6,FALSE),0)</f>
        <v>0</v>
      </c>
      <c r="Q62" s="25" t="e">
        <f t="shared" si="1"/>
        <v>#N/A</v>
      </c>
      <c r="R62" s="26" t="e">
        <f t="shared" si="2"/>
        <v>#N/A</v>
      </c>
      <c r="S62" s="48" t="e">
        <f t="shared" si="3"/>
        <v>#N/A</v>
      </c>
      <c r="T62" s="49" t="s">
        <v>132</v>
      </c>
      <c r="U62" s="6" t="s">
        <v>223</v>
      </c>
      <c r="V62" s="6" t="s">
        <v>39</v>
      </c>
      <c r="W62" s="6" t="s">
        <v>39</v>
      </c>
      <c r="X62" s="6" t="s">
        <v>38</v>
      </c>
      <c r="Y62" s="6" t="s">
        <v>53</v>
      </c>
      <c r="Z62" s="6" t="s">
        <v>39</v>
      </c>
    </row>
    <row r="63" spans="1:26" hidden="1" x14ac:dyDescent="0.35">
      <c r="A63" s="6" t="s">
        <v>224</v>
      </c>
      <c r="B63" s="6">
        <v>136865</v>
      </c>
      <c r="C63" s="6">
        <v>22158</v>
      </c>
      <c r="D63" s="47">
        <v>14083.53</v>
      </c>
      <c r="E63" s="25">
        <v>0</v>
      </c>
      <c r="F63" s="25">
        <v>1581.65</v>
      </c>
      <c r="G63" s="26">
        <f t="shared" si="0"/>
        <v>1581.65</v>
      </c>
      <c r="H63" s="6">
        <v>71047244</v>
      </c>
      <c r="I63" s="6" t="s">
        <v>225</v>
      </c>
      <c r="J63" s="6"/>
      <c r="K63" s="6"/>
      <c r="L63" s="6"/>
      <c r="M63" s="6" t="e">
        <f>VLOOKUP(H63,'Billing CDK pivot (by package)'!A:D,3,FALSE)</f>
        <v>#N/A</v>
      </c>
      <c r="N63" s="6" t="e">
        <f>VLOOKUP(H63,'Billing CDK pivot (by package)'!A:D,4,FALSE)</f>
        <v>#N/A</v>
      </c>
      <c r="O63" s="25" t="e">
        <f>VLOOKUP(H63,'Billing CDK pivot'!A:C,3,FALSE)</f>
        <v>#N/A</v>
      </c>
      <c r="P63" s="25">
        <f>IFERROR(VLOOKUP(H63,'Billing CDK pivot (overages)'!A:F,6,FALSE),0)</f>
        <v>0</v>
      </c>
      <c r="Q63" s="25" t="e">
        <f t="shared" si="1"/>
        <v>#N/A</v>
      </c>
      <c r="R63" s="26" t="e">
        <f t="shared" si="2"/>
        <v>#N/A</v>
      </c>
      <c r="S63" s="48" t="e">
        <f t="shared" si="3"/>
        <v>#N/A</v>
      </c>
      <c r="T63" s="49" t="s">
        <v>132</v>
      </c>
      <c r="U63" s="6" t="s">
        <v>226</v>
      </c>
      <c r="V63" s="6" t="s">
        <v>39</v>
      </c>
      <c r="W63" s="6" t="s">
        <v>39</v>
      </c>
      <c r="X63" s="6" t="s">
        <v>38</v>
      </c>
      <c r="Y63" s="6" t="s">
        <v>54</v>
      </c>
      <c r="Z63" s="6" t="s">
        <v>39</v>
      </c>
    </row>
    <row r="64" spans="1:26" hidden="1" x14ac:dyDescent="0.35">
      <c r="A64" s="6" t="s">
        <v>227</v>
      </c>
      <c r="B64" s="6">
        <v>139282</v>
      </c>
      <c r="C64" s="6">
        <v>22278</v>
      </c>
      <c r="D64" s="47">
        <v>24380.16</v>
      </c>
      <c r="E64" s="25">
        <v>0</v>
      </c>
      <c r="F64" s="25">
        <v>1581.65</v>
      </c>
      <c r="G64" s="26">
        <f t="shared" si="0"/>
        <v>1581.65</v>
      </c>
      <c r="H64" s="6">
        <v>71043919</v>
      </c>
      <c r="I64" s="6" t="s">
        <v>228</v>
      </c>
      <c r="J64" s="6"/>
      <c r="K64" s="6"/>
      <c r="L64" s="6"/>
      <c r="M64" s="6" t="e">
        <f>VLOOKUP(H64,'Billing CDK pivot (by package)'!A:D,3,FALSE)</f>
        <v>#N/A</v>
      </c>
      <c r="N64" s="6" t="e">
        <f>VLOOKUP(H64,'Billing CDK pivot (by package)'!A:D,4,FALSE)</f>
        <v>#N/A</v>
      </c>
      <c r="O64" s="25" t="e">
        <f>VLOOKUP(H64,'Billing CDK pivot'!A:C,3,FALSE)</f>
        <v>#N/A</v>
      </c>
      <c r="P64" s="25">
        <f>IFERROR(VLOOKUP(H64,'Billing CDK pivot (overages)'!A:F,6,FALSE),0)</f>
        <v>0</v>
      </c>
      <c r="Q64" s="25" t="e">
        <f t="shared" si="1"/>
        <v>#N/A</v>
      </c>
      <c r="R64" s="26" t="e">
        <f t="shared" si="2"/>
        <v>#N/A</v>
      </c>
      <c r="S64" s="48" t="e">
        <f t="shared" si="3"/>
        <v>#N/A</v>
      </c>
      <c r="T64" s="49" t="s">
        <v>132</v>
      </c>
      <c r="U64" s="6" t="s">
        <v>226</v>
      </c>
      <c r="V64" s="6" t="s">
        <v>39</v>
      </c>
      <c r="W64" s="6" t="s">
        <v>39</v>
      </c>
      <c r="X64" s="6" t="s">
        <v>38</v>
      </c>
      <c r="Y64" s="6" t="s">
        <v>54</v>
      </c>
      <c r="Z64" s="6" t="s">
        <v>39</v>
      </c>
    </row>
    <row r="65" spans="1:26" hidden="1" x14ac:dyDescent="0.35">
      <c r="A65" s="6" t="s">
        <v>229</v>
      </c>
      <c r="B65" s="6">
        <v>84739</v>
      </c>
      <c r="C65" s="6">
        <v>18059</v>
      </c>
      <c r="D65" s="47">
        <v>1292.6400000000001</v>
      </c>
      <c r="E65" s="25">
        <v>0</v>
      </c>
      <c r="F65" s="25">
        <v>434.15</v>
      </c>
      <c r="G65" s="26">
        <f t="shared" si="0"/>
        <v>434.15</v>
      </c>
      <c r="H65" s="6">
        <v>76071932</v>
      </c>
      <c r="I65" s="6" t="s">
        <v>230</v>
      </c>
      <c r="J65" s="6"/>
      <c r="K65" s="6"/>
      <c r="L65" s="6"/>
      <c r="M65" s="6" t="e">
        <f>VLOOKUP(H65,'Billing CDK pivot (by package)'!A:D,3,FALSE)</f>
        <v>#N/A</v>
      </c>
      <c r="N65" s="6" t="e">
        <f>VLOOKUP(H65,'Billing CDK pivot (by package)'!A:D,4,FALSE)</f>
        <v>#N/A</v>
      </c>
      <c r="O65" s="25" t="e">
        <f>VLOOKUP(H65,'Billing CDK pivot'!A:C,3,FALSE)</f>
        <v>#N/A</v>
      </c>
      <c r="P65" s="25">
        <f>IFERROR(VLOOKUP(H65,'Billing CDK pivot (overages)'!A:F,6,FALSE),0)</f>
        <v>0</v>
      </c>
      <c r="Q65" s="25" t="e">
        <f t="shared" si="1"/>
        <v>#N/A</v>
      </c>
      <c r="R65" s="26" t="e">
        <f t="shared" si="2"/>
        <v>#N/A</v>
      </c>
      <c r="S65" s="48" t="e">
        <f t="shared" si="3"/>
        <v>#N/A</v>
      </c>
      <c r="T65" s="49" t="s">
        <v>132</v>
      </c>
      <c r="U65" s="6" t="s">
        <v>231</v>
      </c>
      <c r="V65" s="6" t="s">
        <v>39</v>
      </c>
      <c r="W65" s="6" t="s">
        <v>39</v>
      </c>
      <c r="X65" s="6" t="s">
        <v>207</v>
      </c>
      <c r="Y65" s="6" t="s">
        <v>53</v>
      </c>
      <c r="Z65" s="6" t="s">
        <v>39</v>
      </c>
    </row>
    <row r="66" spans="1:26" hidden="1" x14ac:dyDescent="0.35">
      <c r="A66" s="6" t="s">
        <v>232</v>
      </c>
      <c r="B66" s="6">
        <v>147129</v>
      </c>
      <c r="C66" s="6">
        <v>9504</v>
      </c>
      <c r="D66" s="47">
        <v>2219.7800000000002</v>
      </c>
      <c r="E66" s="25">
        <v>0</v>
      </c>
      <c r="F66" s="25">
        <v>264.14999999999998</v>
      </c>
      <c r="G66" s="26">
        <f t="shared" si="0"/>
        <v>264.14999999999998</v>
      </c>
      <c r="H66" s="6">
        <v>76227241</v>
      </c>
      <c r="I66" s="6" t="s">
        <v>233</v>
      </c>
      <c r="J66" s="6"/>
      <c r="K66" s="6"/>
      <c r="L66" s="6"/>
      <c r="M66" s="6" t="e">
        <f>VLOOKUP(H66,'Billing CDK pivot (by package)'!A:D,3,FALSE)</f>
        <v>#N/A</v>
      </c>
      <c r="N66" s="6" t="e">
        <f>VLOOKUP(H66,'Billing CDK pivot (by package)'!A:D,4,FALSE)</f>
        <v>#N/A</v>
      </c>
      <c r="O66" s="25" t="e">
        <f>VLOOKUP(H66,'Billing CDK pivot'!A:C,3,FALSE)</f>
        <v>#N/A</v>
      </c>
      <c r="P66" s="25">
        <f>IFERROR(VLOOKUP(H66,'Billing CDK pivot (overages)'!A:F,6,FALSE),0)</f>
        <v>0</v>
      </c>
      <c r="Q66" s="25" t="e">
        <f t="shared" si="1"/>
        <v>#N/A</v>
      </c>
      <c r="R66" s="26" t="e">
        <f t="shared" si="2"/>
        <v>#N/A</v>
      </c>
      <c r="S66" s="48" t="e">
        <f t="shared" si="3"/>
        <v>#N/A</v>
      </c>
      <c r="T66" s="49" t="s">
        <v>132</v>
      </c>
      <c r="U66" s="6" t="s">
        <v>234</v>
      </c>
      <c r="V66" s="6" t="s">
        <v>39</v>
      </c>
      <c r="W66" s="6" t="s">
        <v>39</v>
      </c>
      <c r="X66" s="6" t="s">
        <v>38</v>
      </c>
      <c r="Y66" s="6" t="s">
        <v>58</v>
      </c>
      <c r="Z66" s="6" t="s">
        <v>39</v>
      </c>
    </row>
    <row r="67" spans="1:26" hidden="1" x14ac:dyDescent="0.35">
      <c r="A67" s="6" t="s">
        <v>235</v>
      </c>
      <c r="B67" s="6">
        <v>79044</v>
      </c>
      <c r="C67" s="6">
        <v>15653</v>
      </c>
      <c r="D67" s="47">
        <v>8188.13</v>
      </c>
      <c r="E67" s="25">
        <v>0</v>
      </c>
      <c r="F67" s="25">
        <v>1591.65</v>
      </c>
      <c r="G67" s="26">
        <f t="shared" ref="G67:G130" si="4">+F67-E67</f>
        <v>1591.65</v>
      </c>
      <c r="H67" s="6" t="s">
        <v>236</v>
      </c>
      <c r="I67" s="6" t="s">
        <v>237</v>
      </c>
      <c r="J67" s="6"/>
      <c r="K67" s="6"/>
      <c r="L67" s="6"/>
      <c r="M67" s="6" t="str">
        <f>VLOOKUP(H67,'Billing CDK pivot (by package)'!A:D,3,FALSE)</f>
        <v>4570062</v>
      </c>
      <c r="N67" s="6" t="str">
        <f>VLOOKUP(H67,'Billing CDK pivot (by package)'!A:D,4,FALSE)</f>
        <v>CARWARS PREMIUM SALES</v>
      </c>
      <c r="O67" s="25" t="e">
        <f>VLOOKUP(H67,'Billing CDK pivot'!A:C,3,FALSE)</f>
        <v>#N/A</v>
      </c>
      <c r="P67" s="25">
        <f>IFERROR(VLOOKUP(H67,'Billing CDK pivot (overages)'!A:F,6,FALSE),0)</f>
        <v>0</v>
      </c>
      <c r="Q67" s="25" t="e">
        <f t="shared" ref="Q67:Q130" si="5">+O67+P67</f>
        <v>#N/A</v>
      </c>
      <c r="R67" s="26" t="e">
        <f t="shared" ref="R67:R130" si="6">+O67-G67</f>
        <v>#N/A</v>
      </c>
      <c r="S67" s="48" t="e">
        <f t="shared" ref="S67:S130" si="7">+R67/O67</f>
        <v>#N/A</v>
      </c>
      <c r="T67" s="49" t="s">
        <v>132</v>
      </c>
      <c r="U67" s="6" t="s">
        <v>238</v>
      </c>
      <c r="V67" s="6" t="s">
        <v>39</v>
      </c>
      <c r="W67" s="6" t="s">
        <v>39</v>
      </c>
      <c r="X67" s="6" t="s">
        <v>38</v>
      </c>
      <c r="Y67" s="6" t="s">
        <v>44</v>
      </c>
      <c r="Z67" s="6" t="s">
        <v>139</v>
      </c>
    </row>
    <row r="68" spans="1:26" hidden="1" x14ac:dyDescent="0.35">
      <c r="A68" s="6" t="s">
        <v>239</v>
      </c>
      <c r="B68" s="6">
        <v>143783</v>
      </c>
      <c r="C68" s="6">
        <v>20698</v>
      </c>
      <c r="D68" s="47">
        <v>2158.0500000000002</v>
      </c>
      <c r="E68" s="25">
        <v>0</v>
      </c>
      <c r="F68" s="25">
        <v>264.14999999999998</v>
      </c>
      <c r="G68" s="26">
        <f t="shared" si="4"/>
        <v>264.14999999999998</v>
      </c>
      <c r="H68" s="6">
        <v>76039334</v>
      </c>
      <c r="I68" s="6" t="s">
        <v>240</v>
      </c>
      <c r="J68" s="6"/>
      <c r="K68" s="6"/>
      <c r="L68" s="6"/>
      <c r="M68" s="6" t="e">
        <f>VLOOKUP(H68,'Billing CDK pivot (by package)'!A:D,3,FALSE)</f>
        <v>#N/A</v>
      </c>
      <c r="N68" s="6" t="e">
        <f>VLOOKUP(H68,'Billing CDK pivot (by package)'!A:D,4,FALSE)</f>
        <v>#N/A</v>
      </c>
      <c r="O68" s="25" t="e">
        <f>VLOOKUP(H68,'Billing CDK pivot'!A:C,3,FALSE)</f>
        <v>#N/A</v>
      </c>
      <c r="P68" s="25">
        <f>IFERROR(VLOOKUP(H68,'Billing CDK pivot (overages)'!A:F,6,FALSE),0)</f>
        <v>0</v>
      </c>
      <c r="Q68" s="25" t="e">
        <f t="shared" si="5"/>
        <v>#N/A</v>
      </c>
      <c r="R68" s="26" t="e">
        <f t="shared" si="6"/>
        <v>#N/A</v>
      </c>
      <c r="S68" s="48" t="e">
        <f t="shared" si="7"/>
        <v>#N/A</v>
      </c>
      <c r="T68" s="49" t="s">
        <v>132</v>
      </c>
      <c r="U68" s="6" t="s">
        <v>241</v>
      </c>
      <c r="V68" s="6" t="s">
        <v>39</v>
      </c>
      <c r="W68" s="6" t="s">
        <v>39</v>
      </c>
      <c r="X68" s="6" t="s">
        <v>143</v>
      </c>
      <c r="Y68" s="6" t="s">
        <v>58</v>
      </c>
      <c r="Z68" s="6" t="s">
        <v>39</v>
      </c>
    </row>
    <row r="69" spans="1:26" hidden="1" x14ac:dyDescent="0.35">
      <c r="A69" s="6" t="s">
        <v>242</v>
      </c>
      <c r="B69" s="6">
        <v>125150</v>
      </c>
      <c r="C69" s="6">
        <v>18058</v>
      </c>
      <c r="D69" s="47">
        <v>3808.83</v>
      </c>
      <c r="E69" s="25">
        <v>0</v>
      </c>
      <c r="F69" s="25">
        <v>424.15</v>
      </c>
      <c r="G69" s="26">
        <f t="shared" si="4"/>
        <v>424.15</v>
      </c>
      <c r="H69" s="6">
        <v>76140120</v>
      </c>
      <c r="I69" s="6" t="s">
        <v>243</v>
      </c>
      <c r="J69" s="6"/>
      <c r="K69" s="6"/>
      <c r="L69" s="6"/>
      <c r="M69" s="6" t="e">
        <f>VLOOKUP(H69,'Billing CDK pivot (by package)'!A:D,3,FALSE)</f>
        <v>#N/A</v>
      </c>
      <c r="N69" s="6" t="e">
        <f>VLOOKUP(H69,'Billing CDK pivot (by package)'!A:D,4,FALSE)</f>
        <v>#N/A</v>
      </c>
      <c r="O69" s="25" t="e">
        <f>VLOOKUP(H69,'Billing CDK pivot'!A:C,3,FALSE)</f>
        <v>#N/A</v>
      </c>
      <c r="P69" s="25">
        <f>IFERROR(VLOOKUP(H69,'Billing CDK pivot (overages)'!A:F,6,FALSE),0)</f>
        <v>0</v>
      </c>
      <c r="Q69" s="25" t="e">
        <f t="shared" si="5"/>
        <v>#N/A</v>
      </c>
      <c r="R69" s="26" t="e">
        <f t="shared" si="6"/>
        <v>#N/A</v>
      </c>
      <c r="S69" s="48" t="e">
        <f t="shared" si="7"/>
        <v>#N/A</v>
      </c>
      <c r="T69" s="49" t="s">
        <v>132</v>
      </c>
      <c r="U69" s="6" t="s">
        <v>231</v>
      </c>
      <c r="V69" s="6" t="s">
        <v>39</v>
      </c>
      <c r="W69" s="6" t="s">
        <v>39</v>
      </c>
      <c r="X69" s="6" t="s">
        <v>44</v>
      </c>
      <c r="Y69" s="6" t="s">
        <v>39</v>
      </c>
      <c r="Z69" s="6" t="s">
        <v>39</v>
      </c>
    </row>
    <row r="70" spans="1:26" hidden="1" x14ac:dyDescent="0.35">
      <c r="A70" s="6" t="s">
        <v>244</v>
      </c>
      <c r="B70" s="6">
        <v>118912</v>
      </c>
      <c r="C70" s="6">
        <v>19810</v>
      </c>
      <c r="D70" s="47">
        <v>4486.8100000000004</v>
      </c>
      <c r="E70" s="25">
        <v>0</v>
      </c>
      <c r="F70" s="25">
        <v>598</v>
      </c>
      <c r="G70" s="26">
        <f t="shared" si="4"/>
        <v>598</v>
      </c>
      <c r="H70" s="6">
        <v>76209497</v>
      </c>
      <c r="I70" s="6" t="s">
        <v>245</v>
      </c>
      <c r="J70" s="6"/>
      <c r="K70" s="6"/>
      <c r="L70" s="6"/>
      <c r="M70" s="6" t="e">
        <f>VLOOKUP(H70,'Billing CDK pivot (by package)'!A:D,3,FALSE)</f>
        <v>#N/A</v>
      </c>
      <c r="N70" s="6" t="e">
        <f>VLOOKUP(H70,'Billing CDK pivot (by package)'!A:D,4,FALSE)</f>
        <v>#N/A</v>
      </c>
      <c r="O70" s="25" t="e">
        <f>VLOOKUP(H70,'Billing CDK pivot'!A:C,3,FALSE)</f>
        <v>#N/A</v>
      </c>
      <c r="P70" s="25">
        <f>IFERROR(VLOOKUP(H70,'Billing CDK pivot (overages)'!A:F,6,FALSE),0)</f>
        <v>0</v>
      </c>
      <c r="Q70" s="25" t="e">
        <f t="shared" si="5"/>
        <v>#N/A</v>
      </c>
      <c r="R70" s="26" t="e">
        <f t="shared" si="6"/>
        <v>#N/A</v>
      </c>
      <c r="S70" s="48" t="e">
        <f t="shared" si="7"/>
        <v>#N/A</v>
      </c>
      <c r="T70" s="49" t="s">
        <v>132</v>
      </c>
      <c r="U70" s="6" t="s">
        <v>246</v>
      </c>
      <c r="V70" s="6" t="s">
        <v>39</v>
      </c>
      <c r="W70" s="6" t="s">
        <v>39</v>
      </c>
      <c r="X70" s="6" t="s">
        <v>38</v>
      </c>
      <c r="Y70" s="6" t="s">
        <v>247</v>
      </c>
      <c r="Z70" s="6" t="s">
        <v>39</v>
      </c>
    </row>
    <row r="71" spans="1:26" hidden="1" x14ac:dyDescent="0.35">
      <c r="A71" s="6" t="s">
        <v>248</v>
      </c>
      <c r="B71" s="6">
        <v>87080</v>
      </c>
      <c r="C71" s="6">
        <v>15963</v>
      </c>
      <c r="D71" s="47">
        <v>244.35</v>
      </c>
      <c r="E71" s="25">
        <v>0</v>
      </c>
      <c r="F71" s="25">
        <v>254.15</v>
      </c>
      <c r="G71" s="26">
        <f t="shared" si="4"/>
        <v>254.15</v>
      </c>
      <c r="H71" s="6">
        <v>76066624</v>
      </c>
      <c r="I71" s="6" t="s">
        <v>249</v>
      </c>
      <c r="J71" s="6"/>
      <c r="K71" s="6"/>
      <c r="L71" s="6"/>
      <c r="M71" s="6" t="e">
        <f>VLOOKUP(H71,'Billing CDK pivot (by package)'!A:D,3,FALSE)</f>
        <v>#N/A</v>
      </c>
      <c r="N71" s="6" t="e">
        <f>VLOOKUP(H71,'Billing CDK pivot (by package)'!A:D,4,FALSE)</f>
        <v>#N/A</v>
      </c>
      <c r="O71" s="25" t="e">
        <f>VLOOKUP(H71,'Billing CDK pivot'!A:C,3,FALSE)</f>
        <v>#N/A</v>
      </c>
      <c r="P71" s="25">
        <f>IFERROR(VLOOKUP(H71,'Billing CDK pivot (overages)'!A:F,6,FALSE),0)</f>
        <v>0</v>
      </c>
      <c r="Q71" s="25" t="e">
        <f t="shared" si="5"/>
        <v>#N/A</v>
      </c>
      <c r="R71" s="26" t="e">
        <f t="shared" si="6"/>
        <v>#N/A</v>
      </c>
      <c r="S71" s="48" t="e">
        <f t="shared" si="7"/>
        <v>#N/A</v>
      </c>
      <c r="T71" s="49" t="s">
        <v>132</v>
      </c>
      <c r="U71" s="6" t="s">
        <v>250</v>
      </c>
      <c r="V71" s="6" t="s">
        <v>39</v>
      </c>
      <c r="W71" s="6" t="s">
        <v>39</v>
      </c>
      <c r="X71" s="6" t="s">
        <v>108</v>
      </c>
      <c r="Y71" s="6" t="s">
        <v>39</v>
      </c>
      <c r="Z71" s="6" t="s">
        <v>39</v>
      </c>
    </row>
    <row r="72" spans="1:26" hidden="1" x14ac:dyDescent="0.35">
      <c r="A72" s="6" t="s">
        <v>251</v>
      </c>
      <c r="B72" s="6">
        <v>87079</v>
      </c>
      <c r="C72" s="6">
        <v>15962</v>
      </c>
      <c r="D72" s="47">
        <v>326.63</v>
      </c>
      <c r="E72" s="25">
        <v>0</v>
      </c>
      <c r="F72" s="25">
        <v>254.15</v>
      </c>
      <c r="G72" s="26">
        <f t="shared" si="4"/>
        <v>254.15</v>
      </c>
      <c r="H72" s="6">
        <v>76066621</v>
      </c>
      <c r="I72" s="6" t="s">
        <v>252</v>
      </c>
      <c r="J72" s="6"/>
      <c r="K72" s="6"/>
      <c r="L72" s="6"/>
      <c r="M72" s="6" t="e">
        <f>VLOOKUP(H72,'Billing CDK pivot (by package)'!A:D,3,FALSE)</f>
        <v>#N/A</v>
      </c>
      <c r="N72" s="6" t="e">
        <f>VLOOKUP(H72,'Billing CDK pivot (by package)'!A:D,4,FALSE)</f>
        <v>#N/A</v>
      </c>
      <c r="O72" s="25" t="e">
        <f>VLOOKUP(H72,'Billing CDK pivot'!A:C,3,FALSE)</f>
        <v>#N/A</v>
      </c>
      <c r="P72" s="25">
        <f>IFERROR(VLOOKUP(H72,'Billing CDK pivot (overages)'!A:F,6,FALSE),0)</f>
        <v>0</v>
      </c>
      <c r="Q72" s="25" t="e">
        <f t="shared" si="5"/>
        <v>#N/A</v>
      </c>
      <c r="R72" s="26" t="e">
        <f t="shared" si="6"/>
        <v>#N/A</v>
      </c>
      <c r="S72" s="48" t="e">
        <f t="shared" si="7"/>
        <v>#N/A</v>
      </c>
      <c r="T72" s="49" t="s">
        <v>132</v>
      </c>
      <c r="U72" s="6" t="s">
        <v>250</v>
      </c>
      <c r="V72" s="6" t="s">
        <v>39</v>
      </c>
      <c r="W72" s="6" t="s">
        <v>39</v>
      </c>
      <c r="X72" s="6" t="s">
        <v>38</v>
      </c>
      <c r="Y72" s="6" t="s">
        <v>39</v>
      </c>
      <c r="Z72" s="6" t="s">
        <v>39</v>
      </c>
    </row>
    <row r="73" spans="1:26" hidden="1" x14ac:dyDescent="0.35">
      <c r="A73" s="6" t="s">
        <v>253</v>
      </c>
      <c r="B73" s="6">
        <v>156700</v>
      </c>
      <c r="C73" s="6">
        <v>28612</v>
      </c>
      <c r="D73" s="47">
        <v>29704.12</v>
      </c>
      <c r="E73" s="25">
        <v>0</v>
      </c>
      <c r="F73" s="25">
        <v>1601.65</v>
      </c>
      <c r="G73" s="26">
        <f t="shared" si="4"/>
        <v>1601.65</v>
      </c>
      <c r="H73" s="6">
        <v>76250870</v>
      </c>
      <c r="I73" s="6" t="s">
        <v>254</v>
      </c>
      <c r="J73" s="6"/>
      <c r="K73" s="6"/>
      <c r="L73" s="6"/>
      <c r="M73" s="6" t="e">
        <f>VLOOKUP(H73,'Billing CDK pivot (by package)'!A:D,3,FALSE)</f>
        <v>#N/A</v>
      </c>
      <c r="N73" s="6" t="e">
        <f>VLOOKUP(H73,'Billing CDK pivot (by package)'!A:D,4,FALSE)</f>
        <v>#N/A</v>
      </c>
      <c r="O73" s="25" t="e">
        <f>VLOOKUP(H73,'Billing CDK pivot'!A:C,3,FALSE)</f>
        <v>#N/A</v>
      </c>
      <c r="P73" s="25">
        <f>IFERROR(VLOOKUP(H73,'Billing CDK pivot (overages)'!A:F,6,FALSE),0)</f>
        <v>0</v>
      </c>
      <c r="Q73" s="25" t="e">
        <f t="shared" si="5"/>
        <v>#N/A</v>
      </c>
      <c r="R73" s="26" t="e">
        <f t="shared" si="6"/>
        <v>#N/A</v>
      </c>
      <c r="S73" s="48" t="e">
        <f t="shared" si="7"/>
        <v>#N/A</v>
      </c>
      <c r="T73" s="49" t="s">
        <v>132</v>
      </c>
      <c r="U73" s="6" t="s">
        <v>194</v>
      </c>
      <c r="V73" s="6" t="s">
        <v>39</v>
      </c>
      <c r="W73" s="6" t="s">
        <v>39</v>
      </c>
      <c r="X73" s="6" t="s">
        <v>38</v>
      </c>
      <c r="Y73" s="6" t="s">
        <v>54</v>
      </c>
      <c r="Z73" s="6" t="s">
        <v>255</v>
      </c>
    </row>
    <row r="74" spans="1:26" hidden="1" x14ac:dyDescent="0.35">
      <c r="A74" s="6" t="s">
        <v>256</v>
      </c>
      <c r="B74" s="6">
        <v>155859</v>
      </c>
      <c r="C74" s="6">
        <v>27874</v>
      </c>
      <c r="D74" s="47">
        <v>10395.36</v>
      </c>
      <c r="E74" s="25">
        <v>0</v>
      </c>
      <c r="F74" s="25">
        <v>1601.65</v>
      </c>
      <c r="G74" s="26">
        <f t="shared" si="4"/>
        <v>1601.65</v>
      </c>
      <c r="H74" s="6">
        <v>76250877</v>
      </c>
      <c r="I74" s="6" t="s">
        <v>257</v>
      </c>
      <c r="J74" s="6"/>
      <c r="K74" s="6"/>
      <c r="L74" s="6"/>
      <c r="M74" s="6" t="e">
        <f>VLOOKUP(H74,'Billing CDK pivot (by package)'!A:D,3,FALSE)</f>
        <v>#N/A</v>
      </c>
      <c r="N74" s="6" t="e">
        <f>VLOOKUP(H74,'Billing CDK pivot (by package)'!A:D,4,FALSE)</f>
        <v>#N/A</v>
      </c>
      <c r="O74" s="25" t="e">
        <f>VLOOKUP(H74,'Billing CDK pivot'!A:C,3,FALSE)</f>
        <v>#N/A</v>
      </c>
      <c r="P74" s="25">
        <f>IFERROR(VLOOKUP(H74,'Billing CDK pivot (overages)'!A:F,6,FALSE),0)</f>
        <v>0</v>
      </c>
      <c r="Q74" s="25" t="e">
        <f t="shared" si="5"/>
        <v>#N/A</v>
      </c>
      <c r="R74" s="26" t="e">
        <f t="shared" si="6"/>
        <v>#N/A</v>
      </c>
      <c r="S74" s="48" t="e">
        <f t="shared" si="7"/>
        <v>#N/A</v>
      </c>
      <c r="T74" s="49" t="s">
        <v>132</v>
      </c>
      <c r="U74" s="6" t="s">
        <v>194</v>
      </c>
      <c r="V74" s="6" t="s">
        <v>39</v>
      </c>
      <c r="W74" s="6" t="s">
        <v>39</v>
      </c>
      <c r="X74" s="6" t="s">
        <v>38</v>
      </c>
      <c r="Y74" s="6" t="s">
        <v>54</v>
      </c>
      <c r="Z74" s="6" t="s">
        <v>255</v>
      </c>
    </row>
    <row r="75" spans="1:26" hidden="1" x14ac:dyDescent="0.35">
      <c r="A75" s="6" t="s">
        <v>258</v>
      </c>
      <c r="B75" s="6">
        <v>155855</v>
      </c>
      <c r="C75" s="6">
        <v>27872</v>
      </c>
      <c r="D75" s="47">
        <v>9723.67</v>
      </c>
      <c r="E75" s="25">
        <v>0</v>
      </c>
      <c r="F75" s="25">
        <v>1601.65</v>
      </c>
      <c r="G75" s="26">
        <f t="shared" si="4"/>
        <v>1601.65</v>
      </c>
      <c r="H75" s="6">
        <v>76250879</v>
      </c>
      <c r="I75" s="6" t="s">
        <v>259</v>
      </c>
      <c r="J75" s="6"/>
      <c r="K75" s="6"/>
      <c r="L75" s="6"/>
      <c r="M75" s="6" t="e">
        <f>VLOOKUP(H75,'Billing CDK pivot (by package)'!A:D,3,FALSE)</f>
        <v>#N/A</v>
      </c>
      <c r="N75" s="6" t="e">
        <f>VLOOKUP(H75,'Billing CDK pivot (by package)'!A:D,4,FALSE)</f>
        <v>#N/A</v>
      </c>
      <c r="O75" s="25" t="e">
        <f>VLOOKUP(H75,'Billing CDK pivot'!A:C,3,FALSE)</f>
        <v>#N/A</v>
      </c>
      <c r="P75" s="25">
        <f>IFERROR(VLOOKUP(H75,'Billing CDK pivot (overages)'!A:F,6,FALSE),0)</f>
        <v>0</v>
      </c>
      <c r="Q75" s="25" t="e">
        <f t="shared" si="5"/>
        <v>#N/A</v>
      </c>
      <c r="R75" s="26" t="e">
        <f t="shared" si="6"/>
        <v>#N/A</v>
      </c>
      <c r="S75" s="48" t="e">
        <f t="shared" si="7"/>
        <v>#N/A</v>
      </c>
      <c r="T75" s="49" t="s">
        <v>132</v>
      </c>
      <c r="U75" s="6" t="s">
        <v>194</v>
      </c>
      <c r="V75" s="6" t="s">
        <v>39</v>
      </c>
      <c r="W75" s="6" t="s">
        <v>39</v>
      </c>
      <c r="X75" s="6" t="s">
        <v>38</v>
      </c>
      <c r="Y75" s="6" t="s">
        <v>54</v>
      </c>
      <c r="Z75" s="6" t="s">
        <v>255</v>
      </c>
    </row>
    <row r="76" spans="1:26" hidden="1" x14ac:dyDescent="0.35">
      <c r="A76" s="6" t="s">
        <v>260</v>
      </c>
      <c r="B76" s="6">
        <v>155857</v>
      </c>
      <c r="C76" s="6">
        <v>27873</v>
      </c>
      <c r="D76" s="47">
        <v>8614.89</v>
      </c>
      <c r="E76" s="25">
        <v>0</v>
      </c>
      <c r="F76" s="25">
        <v>1601.65</v>
      </c>
      <c r="G76" s="26">
        <f t="shared" si="4"/>
        <v>1601.65</v>
      </c>
      <c r="H76" s="6">
        <v>76250884</v>
      </c>
      <c r="I76" s="6" t="s">
        <v>261</v>
      </c>
      <c r="J76" s="6"/>
      <c r="K76" s="6"/>
      <c r="L76" s="6"/>
      <c r="M76" s="6" t="e">
        <f>VLOOKUP(H76,'Billing CDK pivot (by package)'!A:D,3,FALSE)</f>
        <v>#N/A</v>
      </c>
      <c r="N76" s="6" t="e">
        <f>VLOOKUP(H76,'Billing CDK pivot (by package)'!A:D,4,FALSE)</f>
        <v>#N/A</v>
      </c>
      <c r="O76" s="25" t="e">
        <f>VLOOKUP(H76,'Billing CDK pivot'!A:C,3,FALSE)</f>
        <v>#N/A</v>
      </c>
      <c r="P76" s="25">
        <f>IFERROR(VLOOKUP(H76,'Billing CDK pivot (overages)'!A:F,6,FALSE),0)</f>
        <v>0</v>
      </c>
      <c r="Q76" s="25" t="e">
        <f t="shared" si="5"/>
        <v>#N/A</v>
      </c>
      <c r="R76" s="26" t="e">
        <f t="shared" si="6"/>
        <v>#N/A</v>
      </c>
      <c r="S76" s="48" t="e">
        <f t="shared" si="7"/>
        <v>#N/A</v>
      </c>
      <c r="T76" s="49" t="s">
        <v>132</v>
      </c>
      <c r="U76" s="6" t="s">
        <v>194</v>
      </c>
      <c r="V76" s="6" t="s">
        <v>39</v>
      </c>
      <c r="W76" s="6" t="s">
        <v>39</v>
      </c>
      <c r="X76" s="6" t="s">
        <v>38</v>
      </c>
      <c r="Y76" s="6" t="s">
        <v>54</v>
      </c>
      <c r="Z76" s="6" t="s">
        <v>255</v>
      </c>
    </row>
    <row r="77" spans="1:26" hidden="1" x14ac:dyDescent="0.35">
      <c r="A77" s="6" t="s">
        <v>262</v>
      </c>
      <c r="B77" s="6">
        <v>138485</v>
      </c>
      <c r="C77" s="6">
        <v>22454</v>
      </c>
      <c r="D77" s="47">
        <v>18267.36</v>
      </c>
      <c r="E77" s="25">
        <v>0</v>
      </c>
      <c r="F77" s="25">
        <v>1581.65</v>
      </c>
      <c r="G77" s="26">
        <f t="shared" si="4"/>
        <v>1581.65</v>
      </c>
      <c r="H77" s="6">
        <v>76192405</v>
      </c>
      <c r="I77" s="6" t="s">
        <v>263</v>
      </c>
      <c r="J77" s="6"/>
      <c r="K77" s="6"/>
      <c r="L77" s="6"/>
      <c r="M77" s="6" t="e">
        <f>VLOOKUP(H77,'Billing CDK pivot (by package)'!A:D,3,FALSE)</f>
        <v>#N/A</v>
      </c>
      <c r="N77" s="6" t="e">
        <f>VLOOKUP(H77,'Billing CDK pivot (by package)'!A:D,4,FALSE)</f>
        <v>#N/A</v>
      </c>
      <c r="O77" s="25" t="e">
        <f>VLOOKUP(H77,'Billing CDK pivot'!A:C,3,FALSE)</f>
        <v>#N/A</v>
      </c>
      <c r="P77" s="25">
        <f>IFERROR(VLOOKUP(H77,'Billing CDK pivot (overages)'!A:F,6,FALSE),0)</f>
        <v>0</v>
      </c>
      <c r="Q77" s="25" t="e">
        <f t="shared" si="5"/>
        <v>#N/A</v>
      </c>
      <c r="R77" s="26" t="e">
        <f t="shared" si="6"/>
        <v>#N/A</v>
      </c>
      <c r="S77" s="48" t="e">
        <f t="shared" si="7"/>
        <v>#N/A</v>
      </c>
      <c r="T77" s="49" t="s">
        <v>132</v>
      </c>
      <c r="U77" s="6" t="s">
        <v>194</v>
      </c>
      <c r="V77" s="6" t="s">
        <v>39</v>
      </c>
      <c r="W77" s="6" t="s">
        <v>39</v>
      </c>
      <c r="X77" s="6" t="s">
        <v>38</v>
      </c>
      <c r="Y77" s="6" t="s">
        <v>54</v>
      </c>
      <c r="Z77" s="6" t="s">
        <v>39</v>
      </c>
    </row>
    <row r="78" spans="1:26" hidden="1" x14ac:dyDescent="0.35">
      <c r="A78" s="6" t="s">
        <v>264</v>
      </c>
      <c r="B78" s="6">
        <v>153774</v>
      </c>
      <c r="C78" s="6">
        <v>27795</v>
      </c>
      <c r="D78" s="47">
        <v>17073.86</v>
      </c>
      <c r="E78" s="25">
        <v>0</v>
      </c>
      <c r="F78" s="25">
        <v>1581.65</v>
      </c>
      <c r="G78" s="26">
        <f t="shared" si="4"/>
        <v>1581.65</v>
      </c>
      <c r="H78" s="6">
        <v>76250876</v>
      </c>
      <c r="I78" s="6" t="s">
        <v>265</v>
      </c>
      <c r="J78" s="6"/>
      <c r="K78" s="6"/>
      <c r="L78" s="6"/>
      <c r="M78" s="6" t="e">
        <f>VLOOKUP(H78,'Billing CDK pivot (by package)'!A:D,3,FALSE)</f>
        <v>#N/A</v>
      </c>
      <c r="N78" s="6" t="e">
        <f>VLOOKUP(H78,'Billing CDK pivot (by package)'!A:D,4,FALSE)</f>
        <v>#N/A</v>
      </c>
      <c r="O78" s="25" t="e">
        <f>VLOOKUP(H78,'Billing CDK pivot'!A:C,3,FALSE)</f>
        <v>#N/A</v>
      </c>
      <c r="P78" s="25">
        <f>IFERROR(VLOOKUP(H78,'Billing CDK pivot (overages)'!A:F,6,FALSE),0)</f>
        <v>0</v>
      </c>
      <c r="Q78" s="25" t="e">
        <f t="shared" si="5"/>
        <v>#N/A</v>
      </c>
      <c r="R78" s="26" t="e">
        <f t="shared" si="6"/>
        <v>#N/A</v>
      </c>
      <c r="S78" s="48" t="e">
        <f t="shared" si="7"/>
        <v>#N/A</v>
      </c>
      <c r="T78" s="49" t="s">
        <v>132</v>
      </c>
      <c r="U78" s="6" t="s">
        <v>194</v>
      </c>
      <c r="V78" s="6" t="s">
        <v>39</v>
      </c>
      <c r="W78" s="6" t="s">
        <v>39</v>
      </c>
      <c r="X78" s="6" t="s">
        <v>38</v>
      </c>
      <c r="Y78" s="6" t="s">
        <v>54</v>
      </c>
      <c r="Z78" s="6" t="s">
        <v>39</v>
      </c>
    </row>
    <row r="79" spans="1:26" hidden="1" x14ac:dyDescent="0.35">
      <c r="A79" s="6" t="s">
        <v>266</v>
      </c>
      <c r="B79" s="6">
        <v>76163</v>
      </c>
      <c r="C79" s="6">
        <v>6660</v>
      </c>
      <c r="D79" s="47">
        <v>14663.07</v>
      </c>
      <c r="E79" s="25">
        <v>0</v>
      </c>
      <c r="F79" s="25">
        <v>1581.65</v>
      </c>
      <c r="G79" s="26">
        <f t="shared" si="4"/>
        <v>1581.65</v>
      </c>
      <c r="H79" s="6">
        <v>76237651</v>
      </c>
      <c r="I79" s="6" t="s">
        <v>267</v>
      </c>
      <c r="J79" s="6"/>
      <c r="K79" s="6"/>
      <c r="L79" s="6"/>
      <c r="M79" s="6" t="e">
        <f>VLOOKUP(H79,'Billing CDK pivot (by package)'!A:D,3,FALSE)</f>
        <v>#N/A</v>
      </c>
      <c r="N79" s="6" t="e">
        <f>VLOOKUP(H79,'Billing CDK pivot (by package)'!A:D,4,FALSE)</f>
        <v>#N/A</v>
      </c>
      <c r="O79" s="25" t="e">
        <f>VLOOKUP(H79,'Billing CDK pivot'!A:C,3,FALSE)</f>
        <v>#N/A</v>
      </c>
      <c r="P79" s="25">
        <f>IFERROR(VLOOKUP(H79,'Billing CDK pivot (overages)'!A:F,6,FALSE),0)</f>
        <v>0</v>
      </c>
      <c r="Q79" s="25" t="e">
        <f t="shared" si="5"/>
        <v>#N/A</v>
      </c>
      <c r="R79" s="26" t="e">
        <f t="shared" si="6"/>
        <v>#N/A</v>
      </c>
      <c r="S79" s="48" t="e">
        <f t="shared" si="7"/>
        <v>#N/A</v>
      </c>
      <c r="T79" s="49" t="s">
        <v>132</v>
      </c>
      <c r="U79" s="6" t="s">
        <v>194</v>
      </c>
      <c r="V79" s="6" t="s">
        <v>39</v>
      </c>
      <c r="W79" s="6" t="s">
        <v>39</v>
      </c>
      <c r="X79" s="6" t="s">
        <v>38</v>
      </c>
      <c r="Y79" s="6" t="s">
        <v>54</v>
      </c>
      <c r="Z79" s="6" t="s">
        <v>39</v>
      </c>
    </row>
    <row r="80" spans="1:26" hidden="1" x14ac:dyDescent="0.35">
      <c r="A80" s="6" t="s">
        <v>268</v>
      </c>
      <c r="B80" s="6">
        <v>118740</v>
      </c>
      <c r="C80" s="6">
        <v>19659</v>
      </c>
      <c r="D80" s="47">
        <v>19836.939999999999</v>
      </c>
      <c r="E80" s="25">
        <v>0</v>
      </c>
      <c r="F80" s="25">
        <v>1581.65</v>
      </c>
      <c r="G80" s="26">
        <f t="shared" si="4"/>
        <v>1581.65</v>
      </c>
      <c r="H80" s="6">
        <v>76208273</v>
      </c>
      <c r="I80" s="6" t="s">
        <v>269</v>
      </c>
      <c r="J80" s="6"/>
      <c r="K80" s="6"/>
      <c r="L80" s="6"/>
      <c r="M80" s="6" t="e">
        <f>VLOOKUP(H80,'Billing CDK pivot (by package)'!A:D,3,FALSE)</f>
        <v>#N/A</v>
      </c>
      <c r="N80" s="6" t="e">
        <f>VLOOKUP(H80,'Billing CDK pivot (by package)'!A:D,4,FALSE)</f>
        <v>#N/A</v>
      </c>
      <c r="O80" s="25" t="e">
        <f>VLOOKUP(H80,'Billing CDK pivot'!A:C,3,FALSE)</f>
        <v>#N/A</v>
      </c>
      <c r="P80" s="25">
        <f>IFERROR(VLOOKUP(H80,'Billing CDK pivot (overages)'!A:F,6,FALSE),0)</f>
        <v>0</v>
      </c>
      <c r="Q80" s="25" t="e">
        <f t="shared" si="5"/>
        <v>#N/A</v>
      </c>
      <c r="R80" s="26" t="e">
        <f t="shared" si="6"/>
        <v>#N/A</v>
      </c>
      <c r="S80" s="48" t="e">
        <f t="shared" si="7"/>
        <v>#N/A</v>
      </c>
      <c r="T80" s="49" t="s">
        <v>132</v>
      </c>
      <c r="U80" s="6" t="s">
        <v>194</v>
      </c>
      <c r="V80" s="6" t="s">
        <v>39</v>
      </c>
      <c r="W80" s="6" t="s">
        <v>39</v>
      </c>
      <c r="X80" s="6" t="s">
        <v>38</v>
      </c>
      <c r="Y80" s="6" t="s">
        <v>54</v>
      </c>
      <c r="Z80" s="6" t="s">
        <v>39</v>
      </c>
    </row>
    <row r="81" spans="1:26" hidden="1" x14ac:dyDescent="0.35">
      <c r="A81" s="6" t="s">
        <v>270</v>
      </c>
      <c r="B81" s="6">
        <v>72226</v>
      </c>
      <c r="C81" s="6">
        <v>6605</v>
      </c>
      <c r="D81" s="47">
        <v>10838.75</v>
      </c>
      <c r="E81" s="25">
        <v>0</v>
      </c>
      <c r="F81" s="25">
        <v>1581.65</v>
      </c>
      <c r="G81" s="26">
        <f t="shared" si="4"/>
        <v>1581.65</v>
      </c>
      <c r="H81" s="6">
        <v>76237653</v>
      </c>
      <c r="I81" s="6" t="s">
        <v>271</v>
      </c>
      <c r="J81" s="6"/>
      <c r="K81" s="6"/>
      <c r="L81" s="6"/>
      <c r="M81" s="6" t="e">
        <f>VLOOKUP(H81,'Billing CDK pivot (by package)'!A:D,3,FALSE)</f>
        <v>#N/A</v>
      </c>
      <c r="N81" s="6" t="e">
        <f>VLOOKUP(H81,'Billing CDK pivot (by package)'!A:D,4,FALSE)</f>
        <v>#N/A</v>
      </c>
      <c r="O81" s="25" t="e">
        <f>VLOOKUP(H81,'Billing CDK pivot'!A:C,3,FALSE)</f>
        <v>#N/A</v>
      </c>
      <c r="P81" s="25">
        <f>IFERROR(VLOOKUP(H81,'Billing CDK pivot (overages)'!A:F,6,FALSE),0)</f>
        <v>0</v>
      </c>
      <c r="Q81" s="25" t="e">
        <f t="shared" si="5"/>
        <v>#N/A</v>
      </c>
      <c r="R81" s="26" t="e">
        <f t="shared" si="6"/>
        <v>#N/A</v>
      </c>
      <c r="S81" s="48" t="e">
        <f t="shared" si="7"/>
        <v>#N/A</v>
      </c>
      <c r="T81" s="49" t="s">
        <v>132</v>
      </c>
      <c r="U81" s="6" t="s">
        <v>194</v>
      </c>
      <c r="V81" s="6" t="s">
        <v>39</v>
      </c>
      <c r="W81" s="6" t="s">
        <v>39</v>
      </c>
      <c r="X81" s="6" t="s">
        <v>38</v>
      </c>
      <c r="Y81" s="6" t="s">
        <v>54</v>
      </c>
      <c r="Z81" s="6" t="s">
        <v>39</v>
      </c>
    </row>
    <row r="82" spans="1:26" hidden="1" x14ac:dyDescent="0.35">
      <c r="A82" s="6" t="s">
        <v>272</v>
      </c>
      <c r="B82" s="6">
        <v>99533</v>
      </c>
      <c r="C82" s="6">
        <v>19252</v>
      </c>
      <c r="D82" s="47">
        <v>8504.56</v>
      </c>
      <c r="E82" s="25">
        <v>0</v>
      </c>
      <c r="F82" s="25">
        <v>1581.65</v>
      </c>
      <c r="G82" s="26">
        <f t="shared" si="4"/>
        <v>1581.65</v>
      </c>
      <c r="H82" s="6">
        <v>76215888</v>
      </c>
      <c r="I82" s="6" t="s">
        <v>273</v>
      </c>
      <c r="J82" s="6"/>
      <c r="K82" s="6"/>
      <c r="L82" s="6"/>
      <c r="M82" s="6" t="e">
        <f>VLOOKUP(H82,'Billing CDK pivot (by package)'!A:D,3,FALSE)</f>
        <v>#N/A</v>
      </c>
      <c r="N82" s="6" t="e">
        <f>VLOOKUP(H82,'Billing CDK pivot (by package)'!A:D,4,FALSE)</f>
        <v>#N/A</v>
      </c>
      <c r="O82" s="25" t="e">
        <f>VLOOKUP(H82,'Billing CDK pivot'!A:C,3,FALSE)</f>
        <v>#N/A</v>
      </c>
      <c r="P82" s="25">
        <f>IFERROR(VLOOKUP(H82,'Billing CDK pivot (overages)'!A:F,6,FALSE),0)</f>
        <v>0</v>
      </c>
      <c r="Q82" s="25" t="e">
        <f t="shared" si="5"/>
        <v>#N/A</v>
      </c>
      <c r="R82" s="26" t="e">
        <f t="shared" si="6"/>
        <v>#N/A</v>
      </c>
      <c r="S82" s="48" t="e">
        <f t="shared" si="7"/>
        <v>#N/A</v>
      </c>
      <c r="T82" s="49" t="s">
        <v>132</v>
      </c>
      <c r="U82" s="6" t="s">
        <v>194</v>
      </c>
      <c r="V82" s="6" t="s">
        <v>39</v>
      </c>
      <c r="W82" s="6" t="s">
        <v>39</v>
      </c>
      <c r="X82" s="6" t="s">
        <v>38</v>
      </c>
      <c r="Y82" s="6" t="s">
        <v>54</v>
      </c>
      <c r="Z82" s="6" t="s">
        <v>39</v>
      </c>
    </row>
    <row r="83" spans="1:26" hidden="1" x14ac:dyDescent="0.35">
      <c r="A83" s="6" t="s">
        <v>274</v>
      </c>
      <c r="B83" s="6">
        <v>146893</v>
      </c>
      <c r="C83" s="6">
        <v>17936</v>
      </c>
      <c r="D83" s="47">
        <v>17120.669999999998</v>
      </c>
      <c r="E83" s="25">
        <v>0</v>
      </c>
      <c r="F83" s="25">
        <v>1581.65</v>
      </c>
      <c r="G83" s="26">
        <f t="shared" si="4"/>
        <v>1581.65</v>
      </c>
      <c r="H83" s="6">
        <v>76225896</v>
      </c>
      <c r="I83" s="6" t="s">
        <v>275</v>
      </c>
      <c r="J83" s="6"/>
      <c r="K83" s="6"/>
      <c r="L83" s="6"/>
      <c r="M83" s="6" t="e">
        <f>VLOOKUP(H83,'Billing CDK pivot (by package)'!A:D,3,FALSE)</f>
        <v>#N/A</v>
      </c>
      <c r="N83" s="6" t="e">
        <f>VLOOKUP(H83,'Billing CDK pivot (by package)'!A:D,4,FALSE)</f>
        <v>#N/A</v>
      </c>
      <c r="O83" s="25" t="e">
        <f>VLOOKUP(H83,'Billing CDK pivot'!A:C,3,FALSE)</f>
        <v>#N/A</v>
      </c>
      <c r="P83" s="25">
        <f>IFERROR(VLOOKUP(H83,'Billing CDK pivot (overages)'!A:F,6,FALSE),0)</f>
        <v>0</v>
      </c>
      <c r="Q83" s="25" t="e">
        <f t="shared" si="5"/>
        <v>#N/A</v>
      </c>
      <c r="R83" s="26" t="e">
        <f t="shared" si="6"/>
        <v>#N/A</v>
      </c>
      <c r="S83" s="48" t="e">
        <f t="shared" si="7"/>
        <v>#N/A</v>
      </c>
      <c r="T83" s="49" t="s">
        <v>132</v>
      </c>
      <c r="U83" s="6" t="s">
        <v>194</v>
      </c>
      <c r="V83" s="6" t="s">
        <v>39</v>
      </c>
      <c r="W83" s="6" t="s">
        <v>39</v>
      </c>
      <c r="X83" s="6" t="s">
        <v>38</v>
      </c>
      <c r="Y83" s="6" t="s">
        <v>54</v>
      </c>
      <c r="Z83" s="6" t="s">
        <v>39</v>
      </c>
    </row>
    <row r="84" spans="1:26" hidden="1" x14ac:dyDescent="0.35">
      <c r="A84" s="6" t="s">
        <v>276</v>
      </c>
      <c r="B84" s="6">
        <v>72659</v>
      </c>
      <c r="C84" s="6">
        <v>16266</v>
      </c>
      <c r="D84" s="47">
        <v>10870.28</v>
      </c>
      <c r="E84" s="25">
        <v>0</v>
      </c>
      <c r="F84" s="25">
        <v>1581.65</v>
      </c>
      <c r="G84" s="26">
        <f t="shared" si="4"/>
        <v>1581.65</v>
      </c>
      <c r="H84" s="6">
        <v>76212401</v>
      </c>
      <c r="I84" s="6" t="s">
        <v>277</v>
      </c>
      <c r="J84" s="6"/>
      <c r="K84" s="6"/>
      <c r="L84" s="6"/>
      <c r="M84" s="6" t="e">
        <f>VLOOKUP(H84,'Billing CDK pivot (by package)'!A:D,3,FALSE)</f>
        <v>#N/A</v>
      </c>
      <c r="N84" s="6" t="e">
        <f>VLOOKUP(H84,'Billing CDK pivot (by package)'!A:D,4,FALSE)</f>
        <v>#N/A</v>
      </c>
      <c r="O84" s="25" t="e">
        <f>VLOOKUP(H84,'Billing CDK pivot'!A:C,3,FALSE)</f>
        <v>#N/A</v>
      </c>
      <c r="P84" s="25">
        <f>IFERROR(VLOOKUP(H84,'Billing CDK pivot (overages)'!A:F,6,FALSE),0)</f>
        <v>0</v>
      </c>
      <c r="Q84" s="25" t="e">
        <f t="shared" si="5"/>
        <v>#N/A</v>
      </c>
      <c r="R84" s="26" t="e">
        <f t="shared" si="6"/>
        <v>#N/A</v>
      </c>
      <c r="S84" s="48" t="e">
        <f t="shared" si="7"/>
        <v>#N/A</v>
      </c>
      <c r="T84" s="49" t="s">
        <v>132</v>
      </c>
      <c r="U84" s="6" t="s">
        <v>194</v>
      </c>
      <c r="V84" s="6" t="s">
        <v>39</v>
      </c>
      <c r="W84" s="6" t="s">
        <v>39</v>
      </c>
      <c r="X84" s="6" t="s">
        <v>38</v>
      </c>
      <c r="Y84" s="6" t="s">
        <v>54</v>
      </c>
      <c r="Z84" s="6" t="s">
        <v>39</v>
      </c>
    </row>
    <row r="85" spans="1:26" hidden="1" x14ac:dyDescent="0.35">
      <c r="A85" s="6" t="s">
        <v>278</v>
      </c>
      <c r="B85" s="6">
        <v>155386</v>
      </c>
      <c r="C85" s="6">
        <v>17456</v>
      </c>
      <c r="D85" s="47">
        <v>10322.959999999999</v>
      </c>
      <c r="E85" s="25">
        <v>0</v>
      </c>
      <c r="F85" s="25">
        <v>1581.65</v>
      </c>
      <c r="G85" s="26">
        <f t="shared" si="4"/>
        <v>1581.65</v>
      </c>
      <c r="H85" s="6">
        <v>76236368</v>
      </c>
      <c r="I85" s="6" t="s">
        <v>279</v>
      </c>
      <c r="J85" s="6"/>
      <c r="K85" s="6"/>
      <c r="L85" s="6"/>
      <c r="M85" s="6" t="e">
        <f>VLOOKUP(H85,'Billing CDK pivot (by package)'!A:D,3,FALSE)</f>
        <v>#N/A</v>
      </c>
      <c r="N85" s="6" t="e">
        <f>VLOOKUP(H85,'Billing CDK pivot (by package)'!A:D,4,FALSE)</f>
        <v>#N/A</v>
      </c>
      <c r="O85" s="25" t="e">
        <f>VLOOKUP(H85,'Billing CDK pivot'!A:C,3,FALSE)</f>
        <v>#N/A</v>
      </c>
      <c r="P85" s="25">
        <f>IFERROR(VLOOKUP(H85,'Billing CDK pivot (overages)'!A:F,6,FALSE),0)</f>
        <v>0</v>
      </c>
      <c r="Q85" s="25" t="e">
        <f t="shared" si="5"/>
        <v>#N/A</v>
      </c>
      <c r="R85" s="26" t="e">
        <f t="shared" si="6"/>
        <v>#N/A</v>
      </c>
      <c r="S85" s="48" t="e">
        <f t="shared" si="7"/>
        <v>#N/A</v>
      </c>
      <c r="T85" s="49" t="s">
        <v>132</v>
      </c>
      <c r="U85" s="6" t="s">
        <v>194</v>
      </c>
      <c r="V85" s="6" t="s">
        <v>39</v>
      </c>
      <c r="W85" s="6" t="s">
        <v>39</v>
      </c>
      <c r="X85" s="6" t="s">
        <v>38</v>
      </c>
      <c r="Y85" s="6" t="s">
        <v>54</v>
      </c>
      <c r="Z85" s="6" t="s">
        <v>39</v>
      </c>
    </row>
    <row r="86" spans="1:26" hidden="1" x14ac:dyDescent="0.35">
      <c r="A86" s="6" t="s">
        <v>280</v>
      </c>
      <c r="B86" s="6">
        <v>92413</v>
      </c>
      <c r="C86" s="6">
        <v>9591</v>
      </c>
      <c r="D86" s="47">
        <v>14694.23</v>
      </c>
      <c r="E86" s="25">
        <v>0</v>
      </c>
      <c r="F86" s="25">
        <v>1581.65</v>
      </c>
      <c r="G86" s="26">
        <f t="shared" si="4"/>
        <v>1581.65</v>
      </c>
      <c r="H86" s="6">
        <v>76237654</v>
      </c>
      <c r="I86" s="6" t="s">
        <v>281</v>
      </c>
      <c r="J86" s="6"/>
      <c r="K86" s="6"/>
      <c r="L86" s="6"/>
      <c r="M86" s="6" t="e">
        <f>VLOOKUP(H86,'Billing CDK pivot (by package)'!A:D,3,FALSE)</f>
        <v>#N/A</v>
      </c>
      <c r="N86" s="6" t="e">
        <f>VLOOKUP(H86,'Billing CDK pivot (by package)'!A:D,4,FALSE)</f>
        <v>#N/A</v>
      </c>
      <c r="O86" s="25" t="e">
        <f>VLOOKUP(H86,'Billing CDK pivot'!A:C,3,FALSE)</f>
        <v>#N/A</v>
      </c>
      <c r="P86" s="25">
        <f>IFERROR(VLOOKUP(H86,'Billing CDK pivot (overages)'!A:F,6,FALSE),0)</f>
        <v>0</v>
      </c>
      <c r="Q86" s="25" t="e">
        <f t="shared" si="5"/>
        <v>#N/A</v>
      </c>
      <c r="R86" s="26" t="e">
        <f t="shared" si="6"/>
        <v>#N/A</v>
      </c>
      <c r="S86" s="48" t="e">
        <f t="shared" si="7"/>
        <v>#N/A</v>
      </c>
      <c r="T86" s="49" t="s">
        <v>132</v>
      </c>
      <c r="U86" s="6" t="s">
        <v>194</v>
      </c>
      <c r="V86" s="6" t="s">
        <v>39</v>
      </c>
      <c r="W86" s="6" t="s">
        <v>39</v>
      </c>
      <c r="X86" s="6" t="s">
        <v>38</v>
      </c>
      <c r="Y86" s="6" t="s">
        <v>54</v>
      </c>
      <c r="Z86" s="6" t="s">
        <v>39</v>
      </c>
    </row>
    <row r="87" spans="1:26" hidden="1" x14ac:dyDescent="0.35">
      <c r="A87" s="6" t="s">
        <v>282</v>
      </c>
      <c r="B87" s="6">
        <v>144005</v>
      </c>
      <c r="C87" s="6">
        <v>24621</v>
      </c>
      <c r="D87" s="47">
        <v>15677.9</v>
      </c>
      <c r="E87" s="25">
        <v>0</v>
      </c>
      <c r="F87" s="25">
        <v>1581.65</v>
      </c>
      <c r="G87" s="26">
        <f t="shared" si="4"/>
        <v>1581.65</v>
      </c>
      <c r="H87" s="6">
        <v>76250874</v>
      </c>
      <c r="I87" s="6" t="s">
        <v>283</v>
      </c>
      <c r="J87" s="6"/>
      <c r="K87" s="6"/>
      <c r="L87" s="6"/>
      <c r="M87" s="6" t="e">
        <f>VLOOKUP(H87,'Billing CDK pivot (by package)'!A:D,3,FALSE)</f>
        <v>#N/A</v>
      </c>
      <c r="N87" s="6" t="e">
        <f>VLOOKUP(H87,'Billing CDK pivot (by package)'!A:D,4,FALSE)</f>
        <v>#N/A</v>
      </c>
      <c r="O87" s="25" t="e">
        <f>VLOOKUP(H87,'Billing CDK pivot'!A:C,3,FALSE)</f>
        <v>#N/A</v>
      </c>
      <c r="P87" s="25">
        <f>IFERROR(VLOOKUP(H87,'Billing CDK pivot (overages)'!A:F,6,FALSE),0)</f>
        <v>0</v>
      </c>
      <c r="Q87" s="25" t="e">
        <f t="shared" si="5"/>
        <v>#N/A</v>
      </c>
      <c r="R87" s="26" t="e">
        <f t="shared" si="6"/>
        <v>#N/A</v>
      </c>
      <c r="S87" s="48" t="e">
        <f t="shared" si="7"/>
        <v>#N/A</v>
      </c>
      <c r="T87" s="49" t="s">
        <v>132</v>
      </c>
      <c r="U87" s="6" t="s">
        <v>194</v>
      </c>
      <c r="V87" s="6" t="s">
        <v>39</v>
      </c>
      <c r="W87" s="6" t="s">
        <v>39</v>
      </c>
      <c r="X87" s="6" t="s">
        <v>38</v>
      </c>
      <c r="Y87" s="6" t="s">
        <v>54</v>
      </c>
      <c r="Z87" s="6" t="s">
        <v>39</v>
      </c>
    </row>
    <row r="88" spans="1:26" hidden="1" x14ac:dyDescent="0.35">
      <c r="A88" s="6" t="s">
        <v>284</v>
      </c>
      <c r="B88" s="6">
        <v>154997</v>
      </c>
      <c r="C88" s="6">
        <v>28220</v>
      </c>
      <c r="D88" s="47">
        <v>8108.46</v>
      </c>
      <c r="E88" s="25">
        <v>0</v>
      </c>
      <c r="F88" s="25">
        <v>1581.65</v>
      </c>
      <c r="G88" s="26">
        <f t="shared" si="4"/>
        <v>1581.65</v>
      </c>
      <c r="H88" s="6">
        <v>76250872</v>
      </c>
      <c r="I88" s="6" t="s">
        <v>285</v>
      </c>
      <c r="J88" s="6"/>
      <c r="K88" s="6"/>
      <c r="L88" s="6"/>
      <c r="M88" s="6" t="e">
        <f>VLOOKUP(H88,'Billing CDK pivot (by package)'!A:D,3,FALSE)</f>
        <v>#N/A</v>
      </c>
      <c r="N88" s="6" t="e">
        <f>VLOOKUP(H88,'Billing CDK pivot (by package)'!A:D,4,FALSE)</f>
        <v>#N/A</v>
      </c>
      <c r="O88" s="25" t="e">
        <f>VLOOKUP(H88,'Billing CDK pivot'!A:C,3,FALSE)</f>
        <v>#N/A</v>
      </c>
      <c r="P88" s="25">
        <f>IFERROR(VLOOKUP(H88,'Billing CDK pivot (overages)'!A:F,6,FALSE),0)</f>
        <v>0</v>
      </c>
      <c r="Q88" s="25" t="e">
        <f t="shared" si="5"/>
        <v>#N/A</v>
      </c>
      <c r="R88" s="26" t="e">
        <f t="shared" si="6"/>
        <v>#N/A</v>
      </c>
      <c r="S88" s="48" t="e">
        <f t="shared" si="7"/>
        <v>#N/A</v>
      </c>
      <c r="T88" s="49" t="s">
        <v>132</v>
      </c>
      <c r="U88" s="6" t="s">
        <v>194</v>
      </c>
      <c r="V88" s="6" t="s">
        <v>39</v>
      </c>
      <c r="W88" s="6" t="s">
        <v>39</v>
      </c>
      <c r="X88" s="6" t="s">
        <v>38</v>
      </c>
      <c r="Y88" s="6" t="s">
        <v>54</v>
      </c>
      <c r="Z88" s="6" t="s">
        <v>39</v>
      </c>
    </row>
    <row r="89" spans="1:26" hidden="1" x14ac:dyDescent="0.35">
      <c r="A89" s="6" t="s">
        <v>286</v>
      </c>
      <c r="B89" s="6">
        <v>146894</v>
      </c>
      <c r="C89" s="6">
        <v>25647</v>
      </c>
      <c r="D89" s="47">
        <v>9778.3700000000008</v>
      </c>
      <c r="E89" s="25">
        <v>0</v>
      </c>
      <c r="F89" s="25">
        <v>1581.65</v>
      </c>
      <c r="G89" s="26">
        <f t="shared" si="4"/>
        <v>1581.65</v>
      </c>
      <c r="H89" s="6">
        <v>76250875</v>
      </c>
      <c r="I89" s="6" t="s">
        <v>287</v>
      </c>
      <c r="J89" s="6"/>
      <c r="K89" s="6"/>
      <c r="L89" s="6"/>
      <c r="M89" s="6" t="e">
        <f>VLOOKUP(H89,'Billing CDK pivot (by package)'!A:D,3,FALSE)</f>
        <v>#N/A</v>
      </c>
      <c r="N89" s="6" t="e">
        <f>VLOOKUP(H89,'Billing CDK pivot (by package)'!A:D,4,FALSE)</f>
        <v>#N/A</v>
      </c>
      <c r="O89" s="25" t="e">
        <f>VLOOKUP(H89,'Billing CDK pivot'!A:C,3,FALSE)</f>
        <v>#N/A</v>
      </c>
      <c r="P89" s="25">
        <f>IFERROR(VLOOKUP(H89,'Billing CDK pivot (overages)'!A:F,6,FALSE),0)</f>
        <v>0</v>
      </c>
      <c r="Q89" s="25" t="e">
        <f t="shared" si="5"/>
        <v>#N/A</v>
      </c>
      <c r="R89" s="26" t="e">
        <f t="shared" si="6"/>
        <v>#N/A</v>
      </c>
      <c r="S89" s="48" t="e">
        <f t="shared" si="7"/>
        <v>#N/A</v>
      </c>
      <c r="T89" s="49" t="s">
        <v>132</v>
      </c>
      <c r="U89" s="6" t="s">
        <v>194</v>
      </c>
      <c r="V89" s="6" t="s">
        <v>39</v>
      </c>
      <c r="W89" s="6" t="s">
        <v>39</v>
      </c>
      <c r="X89" s="6" t="s">
        <v>38</v>
      </c>
      <c r="Y89" s="6" t="s">
        <v>54</v>
      </c>
      <c r="Z89" s="6" t="s">
        <v>39</v>
      </c>
    </row>
    <row r="90" spans="1:26" hidden="1" x14ac:dyDescent="0.35">
      <c r="A90" s="6" t="s">
        <v>288</v>
      </c>
      <c r="B90" s="6">
        <v>90212</v>
      </c>
      <c r="C90" s="6" t="s">
        <v>289</v>
      </c>
      <c r="D90" s="47">
        <v>0</v>
      </c>
      <c r="E90" s="25">
        <v>0</v>
      </c>
      <c r="F90" s="25">
        <v>1571.65</v>
      </c>
      <c r="G90" s="26">
        <f t="shared" si="4"/>
        <v>1571.65</v>
      </c>
      <c r="H90" s="6">
        <v>76212138</v>
      </c>
      <c r="I90" s="6" t="s">
        <v>290</v>
      </c>
      <c r="J90" s="6"/>
      <c r="K90" s="6"/>
      <c r="L90" s="6"/>
      <c r="M90" s="6" t="e">
        <f>VLOOKUP(H90,'Billing CDK pivot (by package)'!A:D,3,FALSE)</f>
        <v>#N/A</v>
      </c>
      <c r="N90" s="6" t="e">
        <f>VLOOKUP(H90,'Billing CDK pivot (by package)'!A:D,4,FALSE)</f>
        <v>#N/A</v>
      </c>
      <c r="O90" s="25" t="e">
        <f>VLOOKUP(H90,'Billing CDK pivot'!A:C,3,FALSE)</f>
        <v>#N/A</v>
      </c>
      <c r="P90" s="25">
        <f>IFERROR(VLOOKUP(H90,'Billing CDK pivot (overages)'!A:F,6,FALSE),0)</f>
        <v>0</v>
      </c>
      <c r="Q90" s="25" t="e">
        <f t="shared" si="5"/>
        <v>#N/A</v>
      </c>
      <c r="R90" s="26" t="e">
        <f t="shared" si="6"/>
        <v>#N/A</v>
      </c>
      <c r="S90" s="48" t="e">
        <f t="shared" si="7"/>
        <v>#N/A</v>
      </c>
      <c r="T90" s="49" t="s">
        <v>132</v>
      </c>
      <c r="U90" s="6" t="s">
        <v>194</v>
      </c>
      <c r="V90" s="6" t="s">
        <v>39</v>
      </c>
      <c r="W90" s="6" t="s">
        <v>39</v>
      </c>
      <c r="X90" s="6" t="s">
        <v>38</v>
      </c>
      <c r="Y90" s="6" t="s">
        <v>39</v>
      </c>
      <c r="Z90" s="6" t="s">
        <v>39</v>
      </c>
    </row>
    <row r="91" spans="1:26" hidden="1" x14ac:dyDescent="0.35">
      <c r="A91" s="6" t="s">
        <v>291</v>
      </c>
      <c r="B91" s="6">
        <v>150176</v>
      </c>
      <c r="C91" s="6">
        <v>26261</v>
      </c>
      <c r="D91" s="47">
        <v>4850.0200000000004</v>
      </c>
      <c r="E91" s="25">
        <v>0</v>
      </c>
      <c r="F91" s="25">
        <v>1698</v>
      </c>
      <c r="G91" s="26">
        <f t="shared" si="4"/>
        <v>1698</v>
      </c>
      <c r="H91" s="6">
        <v>76226286</v>
      </c>
      <c r="I91" s="6" t="s">
        <v>292</v>
      </c>
      <c r="J91" s="6"/>
      <c r="K91" s="6"/>
      <c r="L91" s="6"/>
      <c r="M91" s="6" t="e">
        <f>VLOOKUP(H91,'Billing CDK pivot (by package)'!A:D,3,FALSE)</f>
        <v>#N/A</v>
      </c>
      <c r="N91" s="6" t="e">
        <f>VLOOKUP(H91,'Billing CDK pivot (by package)'!A:D,4,FALSE)</f>
        <v>#N/A</v>
      </c>
      <c r="O91" s="25" t="e">
        <f>VLOOKUP(H91,'Billing CDK pivot'!A:C,3,FALSE)</f>
        <v>#N/A</v>
      </c>
      <c r="P91" s="25">
        <f>IFERROR(VLOOKUP(H91,'Billing CDK pivot (overages)'!A:F,6,FALSE),0)</f>
        <v>0</v>
      </c>
      <c r="Q91" s="25" t="e">
        <f t="shared" si="5"/>
        <v>#N/A</v>
      </c>
      <c r="R91" s="26" t="e">
        <f t="shared" si="6"/>
        <v>#N/A</v>
      </c>
      <c r="S91" s="48" t="e">
        <f t="shared" si="7"/>
        <v>#N/A</v>
      </c>
      <c r="T91" s="49" t="s">
        <v>132</v>
      </c>
      <c r="U91" s="6" t="s">
        <v>293</v>
      </c>
      <c r="V91" s="6" t="s">
        <v>39</v>
      </c>
      <c r="W91" s="6" t="s">
        <v>39</v>
      </c>
      <c r="X91" s="6" t="s">
        <v>38</v>
      </c>
      <c r="Y91" s="6" t="s">
        <v>294</v>
      </c>
      <c r="Z91" s="6" t="s">
        <v>39</v>
      </c>
    </row>
    <row r="92" spans="1:26" hidden="1" x14ac:dyDescent="0.35">
      <c r="A92" s="6" t="s">
        <v>295</v>
      </c>
      <c r="B92" s="6">
        <v>140778</v>
      </c>
      <c r="C92" s="6">
        <v>23379</v>
      </c>
      <c r="D92" s="47">
        <v>8860.5499999999993</v>
      </c>
      <c r="E92" s="25">
        <v>0</v>
      </c>
      <c r="F92" s="25">
        <v>1581.65</v>
      </c>
      <c r="G92" s="26">
        <f t="shared" si="4"/>
        <v>1581.65</v>
      </c>
      <c r="H92" s="6">
        <v>25298851</v>
      </c>
      <c r="I92" s="6" t="s">
        <v>296</v>
      </c>
      <c r="J92" s="6"/>
      <c r="K92" s="6"/>
      <c r="L92" s="6"/>
      <c r="M92" s="6" t="e">
        <f>VLOOKUP(H92,'Billing CDK pivot (by package)'!A:D,3,FALSE)</f>
        <v>#N/A</v>
      </c>
      <c r="N92" s="6" t="e">
        <f>VLOOKUP(H92,'Billing CDK pivot (by package)'!A:D,4,FALSE)</f>
        <v>#N/A</v>
      </c>
      <c r="O92" s="25" t="e">
        <f>VLOOKUP(H92,'Billing CDK pivot'!A:C,3,FALSE)</f>
        <v>#N/A</v>
      </c>
      <c r="P92" s="25">
        <f>IFERROR(VLOOKUP(H92,'Billing CDK pivot (overages)'!A:F,6,FALSE),0)</f>
        <v>0</v>
      </c>
      <c r="Q92" s="25" t="e">
        <f t="shared" si="5"/>
        <v>#N/A</v>
      </c>
      <c r="R92" s="26" t="e">
        <f t="shared" si="6"/>
        <v>#N/A</v>
      </c>
      <c r="S92" s="48" t="e">
        <f t="shared" si="7"/>
        <v>#N/A</v>
      </c>
      <c r="T92" s="49" t="s">
        <v>132</v>
      </c>
      <c r="U92" s="6" t="s">
        <v>297</v>
      </c>
      <c r="V92" s="6" t="s">
        <v>39</v>
      </c>
      <c r="W92" s="6" t="s">
        <v>39</v>
      </c>
      <c r="X92" s="6" t="s">
        <v>298</v>
      </c>
      <c r="Y92" s="6" t="s">
        <v>54</v>
      </c>
      <c r="Z92" s="6" t="s">
        <v>39</v>
      </c>
    </row>
    <row r="93" spans="1:26" hidden="1" x14ac:dyDescent="0.35">
      <c r="A93" s="6" t="s">
        <v>299</v>
      </c>
      <c r="B93" s="6">
        <v>140777</v>
      </c>
      <c r="C93" s="6">
        <v>23370</v>
      </c>
      <c r="D93" s="47">
        <v>5850.92</v>
      </c>
      <c r="E93" s="25">
        <v>0</v>
      </c>
      <c r="F93" s="25">
        <v>1581.65</v>
      </c>
      <c r="G93" s="26">
        <f t="shared" si="4"/>
        <v>1581.65</v>
      </c>
      <c r="H93" s="6">
        <v>25298808</v>
      </c>
      <c r="I93" s="6" t="s">
        <v>300</v>
      </c>
      <c r="J93" s="6"/>
      <c r="K93" s="6"/>
      <c r="L93" s="6"/>
      <c r="M93" s="6" t="e">
        <f>VLOOKUP(H93,'Billing CDK pivot (by package)'!A:D,3,FALSE)</f>
        <v>#N/A</v>
      </c>
      <c r="N93" s="6" t="e">
        <f>VLOOKUP(H93,'Billing CDK pivot (by package)'!A:D,4,FALSE)</f>
        <v>#N/A</v>
      </c>
      <c r="O93" s="25" t="e">
        <f>VLOOKUP(H93,'Billing CDK pivot'!A:C,3,FALSE)</f>
        <v>#N/A</v>
      </c>
      <c r="P93" s="25">
        <f>IFERROR(VLOOKUP(H93,'Billing CDK pivot (overages)'!A:F,6,FALSE),0)</f>
        <v>0</v>
      </c>
      <c r="Q93" s="25" t="e">
        <f t="shared" si="5"/>
        <v>#N/A</v>
      </c>
      <c r="R93" s="26" t="e">
        <f t="shared" si="6"/>
        <v>#N/A</v>
      </c>
      <c r="S93" s="48" t="e">
        <f t="shared" si="7"/>
        <v>#N/A</v>
      </c>
      <c r="T93" s="49" t="s">
        <v>132</v>
      </c>
      <c r="U93" s="6" t="s">
        <v>297</v>
      </c>
      <c r="V93" s="6" t="s">
        <v>39</v>
      </c>
      <c r="W93" s="6" t="s">
        <v>39</v>
      </c>
      <c r="X93" s="6" t="s">
        <v>38</v>
      </c>
      <c r="Y93" s="6" t="s">
        <v>54</v>
      </c>
      <c r="Z93" s="6" t="s">
        <v>39</v>
      </c>
    </row>
    <row r="94" spans="1:26" hidden="1" x14ac:dyDescent="0.35">
      <c r="A94" s="6" t="s">
        <v>301</v>
      </c>
      <c r="B94" s="6">
        <v>143252</v>
      </c>
      <c r="C94" s="6">
        <v>17362</v>
      </c>
      <c r="D94" s="47">
        <v>17349.189999999999</v>
      </c>
      <c r="E94" s="25">
        <v>0</v>
      </c>
      <c r="F94" s="25">
        <v>1581.65</v>
      </c>
      <c r="G94" s="26">
        <f t="shared" si="4"/>
        <v>1581.65</v>
      </c>
      <c r="H94" s="6">
        <v>76220875</v>
      </c>
      <c r="I94" s="6" t="s">
        <v>302</v>
      </c>
      <c r="J94" s="6"/>
      <c r="K94" s="6"/>
      <c r="L94" s="6"/>
      <c r="M94" s="6" t="e">
        <f>VLOOKUP(H94,'Billing CDK pivot (by package)'!A:D,3,FALSE)</f>
        <v>#N/A</v>
      </c>
      <c r="N94" s="6" t="e">
        <f>VLOOKUP(H94,'Billing CDK pivot (by package)'!A:D,4,FALSE)</f>
        <v>#N/A</v>
      </c>
      <c r="O94" s="25" t="e">
        <f>VLOOKUP(H94,'Billing CDK pivot'!A:C,3,FALSE)</f>
        <v>#N/A</v>
      </c>
      <c r="P94" s="25">
        <f>IFERROR(VLOOKUP(H94,'Billing CDK pivot (overages)'!A:F,6,FALSE),0)</f>
        <v>0</v>
      </c>
      <c r="Q94" s="25" t="e">
        <f t="shared" si="5"/>
        <v>#N/A</v>
      </c>
      <c r="R94" s="26" t="e">
        <f t="shared" si="6"/>
        <v>#N/A</v>
      </c>
      <c r="S94" s="48" t="e">
        <f t="shared" si="7"/>
        <v>#N/A</v>
      </c>
      <c r="T94" s="49" t="s">
        <v>132</v>
      </c>
      <c r="U94" s="6" t="s">
        <v>303</v>
      </c>
      <c r="V94" s="6" t="s">
        <v>39</v>
      </c>
      <c r="W94" s="6" t="s">
        <v>39</v>
      </c>
      <c r="X94" s="6" t="s">
        <v>38</v>
      </c>
      <c r="Y94" s="6" t="s">
        <v>54</v>
      </c>
      <c r="Z94" s="6" t="s">
        <v>39</v>
      </c>
    </row>
    <row r="95" spans="1:26" hidden="1" x14ac:dyDescent="0.35">
      <c r="A95" s="6" t="s">
        <v>304</v>
      </c>
      <c r="B95" s="6">
        <v>90532</v>
      </c>
      <c r="C95" s="6">
        <v>9100</v>
      </c>
      <c r="D95" s="47">
        <v>4733.6000000000004</v>
      </c>
      <c r="E95" s="25">
        <v>0</v>
      </c>
      <c r="F95" s="25">
        <v>1284.1500000000001</v>
      </c>
      <c r="G95" s="26">
        <f t="shared" si="4"/>
        <v>1284.1500000000001</v>
      </c>
      <c r="H95" s="6">
        <v>71061710</v>
      </c>
      <c r="I95" s="6" t="s">
        <v>305</v>
      </c>
      <c r="J95" s="6"/>
      <c r="K95" s="6"/>
      <c r="L95" s="6"/>
      <c r="M95" s="6" t="e">
        <f>VLOOKUP(H95,'Billing CDK pivot (by package)'!A:D,3,FALSE)</f>
        <v>#N/A</v>
      </c>
      <c r="N95" s="6" t="e">
        <f>VLOOKUP(H95,'Billing CDK pivot (by package)'!A:D,4,FALSE)</f>
        <v>#N/A</v>
      </c>
      <c r="O95" s="25" t="e">
        <f>VLOOKUP(H95,'Billing CDK pivot'!A:C,3,FALSE)</f>
        <v>#N/A</v>
      </c>
      <c r="P95" s="25">
        <f>IFERROR(VLOOKUP(H95,'Billing CDK pivot (overages)'!A:F,6,FALSE),0)</f>
        <v>0</v>
      </c>
      <c r="Q95" s="25" t="e">
        <f t="shared" si="5"/>
        <v>#N/A</v>
      </c>
      <c r="R95" s="26" t="e">
        <f t="shared" si="6"/>
        <v>#N/A</v>
      </c>
      <c r="S95" s="48" t="e">
        <f t="shared" si="7"/>
        <v>#N/A</v>
      </c>
      <c r="T95" s="49" t="s">
        <v>132</v>
      </c>
      <c r="U95" s="6" t="s">
        <v>306</v>
      </c>
      <c r="V95" s="6" t="s">
        <v>39</v>
      </c>
      <c r="W95" s="6" t="s">
        <v>39</v>
      </c>
      <c r="X95" s="6" t="s">
        <v>38</v>
      </c>
      <c r="Y95" s="6" t="s">
        <v>69</v>
      </c>
      <c r="Z95" s="6" t="s">
        <v>39</v>
      </c>
    </row>
    <row r="96" spans="1:26" hidden="1" x14ac:dyDescent="0.35">
      <c r="A96" s="6" t="s">
        <v>307</v>
      </c>
      <c r="B96" s="6">
        <v>75178</v>
      </c>
      <c r="C96" s="6">
        <v>9104</v>
      </c>
      <c r="D96" s="47">
        <v>6648.22</v>
      </c>
      <c r="E96" s="25">
        <v>0</v>
      </c>
      <c r="F96" s="25">
        <v>1284.1500000000001</v>
      </c>
      <c r="G96" s="26">
        <f t="shared" si="4"/>
        <v>1284.1500000000001</v>
      </c>
      <c r="H96" s="6">
        <v>71061708</v>
      </c>
      <c r="I96" s="6" t="s">
        <v>308</v>
      </c>
      <c r="J96" s="6"/>
      <c r="K96" s="6"/>
      <c r="L96" s="6"/>
      <c r="M96" s="6" t="e">
        <f>VLOOKUP(H96,'Billing CDK pivot (by package)'!A:D,3,FALSE)</f>
        <v>#N/A</v>
      </c>
      <c r="N96" s="6" t="e">
        <f>VLOOKUP(H96,'Billing CDK pivot (by package)'!A:D,4,FALSE)</f>
        <v>#N/A</v>
      </c>
      <c r="O96" s="25" t="e">
        <f>VLOOKUP(H96,'Billing CDK pivot'!A:C,3,FALSE)</f>
        <v>#N/A</v>
      </c>
      <c r="P96" s="25">
        <f>IFERROR(VLOOKUP(H96,'Billing CDK pivot (overages)'!A:F,6,FALSE),0)</f>
        <v>0</v>
      </c>
      <c r="Q96" s="25" t="e">
        <f t="shared" si="5"/>
        <v>#N/A</v>
      </c>
      <c r="R96" s="26" t="e">
        <f t="shared" si="6"/>
        <v>#N/A</v>
      </c>
      <c r="S96" s="48" t="e">
        <f t="shared" si="7"/>
        <v>#N/A</v>
      </c>
      <c r="T96" s="49" t="s">
        <v>132</v>
      </c>
      <c r="U96" s="6" t="s">
        <v>306</v>
      </c>
      <c r="V96" s="6" t="s">
        <v>39</v>
      </c>
      <c r="W96" s="6" t="s">
        <v>39</v>
      </c>
      <c r="X96" s="6" t="s">
        <v>38</v>
      </c>
      <c r="Y96" s="6" t="s">
        <v>69</v>
      </c>
      <c r="Z96" s="6" t="s">
        <v>39</v>
      </c>
    </row>
    <row r="97" spans="1:26" hidden="1" x14ac:dyDescent="0.35">
      <c r="A97" s="6" t="s">
        <v>309</v>
      </c>
      <c r="B97" s="6">
        <v>186357</v>
      </c>
      <c r="C97" s="6">
        <v>29183</v>
      </c>
      <c r="D97" s="47">
        <v>5175.25</v>
      </c>
      <c r="E97" s="25">
        <v>0</v>
      </c>
      <c r="F97" s="25">
        <v>1284.1500000000001</v>
      </c>
      <c r="G97" s="26">
        <f t="shared" si="4"/>
        <v>1284.1500000000001</v>
      </c>
      <c r="H97" s="6">
        <v>76231359</v>
      </c>
      <c r="I97" s="6" t="s">
        <v>310</v>
      </c>
      <c r="J97" s="6"/>
      <c r="K97" s="6"/>
      <c r="L97" s="6"/>
      <c r="M97" s="6" t="e">
        <f>VLOOKUP(H97,'Billing CDK pivot (by package)'!A:D,3,FALSE)</f>
        <v>#N/A</v>
      </c>
      <c r="N97" s="6" t="e">
        <f>VLOOKUP(H97,'Billing CDK pivot (by package)'!A:D,4,FALSE)</f>
        <v>#N/A</v>
      </c>
      <c r="O97" s="25" t="e">
        <f>VLOOKUP(H97,'Billing CDK pivot'!A:C,3,FALSE)</f>
        <v>#N/A</v>
      </c>
      <c r="P97" s="25">
        <f>IFERROR(VLOOKUP(H97,'Billing CDK pivot (overages)'!A:F,6,FALSE),0)</f>
        <v>0</v>
      </c>
      <c r="Q97" s="25" t="e">
        <f t="shared" si="5"/>
        <v>#N/A</v>
      </c>
      <c r="R97" s="26" t="e">
        <f t="shared" si="6"/>
        <v>#N/A</v>
      </c>
      <c r="S97" s="48" t="e">
        <f t="shared" si="7"/>
        <v>#N/A</v>
      </c>
      <c r="T97" s="49" t="s">
        <v>132</v>
      </c>
      <c r="U97" s="6" t="s">
        <v>306</v>
      </c>
      <c r="V97" s="6" t="s">
        <v>39</v>
      </c>
      <c r="W97" s="6" t="s">
        <v>39</v>
      </c>
      <c r="X97" s="6" t="s">
        <v>38</v>
      </c>
      <c r="Y97" s="6" t="s">
        <v>69</v>
      </c>
      <c r="Z97" s="6" t="s">
        <v>39</v>
      </c>
    </row>
    <row r="98" spans="1:26" hidden="1" x14ac:dyDescent="0.35">
      <c r="A98" s="6" t="s">
        <v>311</v>
      </c>
      <c r="B98" s="6">
        <v>94337</v>
      </c>
      <c r="C98" s="6">
        <v>11739</v>
      </c>
      <c r="D98" s="47">
        <v>27424.03</v>
      </c>
      <c r="E98" s="25">
        <v>0</v>
      </c>
      <c r="F98" s="25">
        <v>1581.65</v>
      </c>
      <c r="G98" s="26">
        <f t="shared" si="4"/>
        <v>1581.65</v>
      </c>
      <c r="H98" s="6">
        <v>76212334</v>
      </c>
      <c r="I98" s="6" t="s">
        <v>312</v>
      </c>
      <c r="J98" s="6"/>
      <c r="K98" s="6"/>
      <c r="L98" s="6"/>
      <c r="M98" s="6" t="e">
        <f>VLOOKUP(H98,'Billing CDK pivot (by package)'!A:D,3,FALSE)</f>
        <v>#N/A</v>
      </c>
      <c r="N98" s="6" t="e">
        <f>VLOOKUP(H98,'Billing CDK pivot (by package)'!A:D,4,FALSE)</f>
        <v>#N/A</v>
      </c>
      <c r="O98" s="25" t="e">
        <f>VLOOKUP(H98,'Billing CDK pivot'!A:C,3,FALSE)</f>
        <v>#N/A</v>
      </c>
      <c r="P98" s="25">
        <f>IFERROR(VLOOKUP(H98,'Billing CDK pivot (overages)'!A:F,6,FALSE),0)</f>
        <v>0</v>
      </c>
      <c r="Q98" s="25" t="e">
        <f t="shared" si="5"/>
        <v>#N/A</v>
      </c>
      <c r="R98" s="26" t="e">
        <f t="shared" si="6"/>
        <v>#N/A</v>
      </c>
      <c r="S98" s="48" t="e">
        <f t="shared" si="7"/>
        <v>#N/A</v>
      </c>
      <c r="T98" s="49" t="s">
        <v>132</v>
      </c>
      <c r="U98" s="6" t="s">
        <v>194</v>
      </c>
      <c r="V98" s="6" t="s">
        <v>313</v>
      </c>
      <c r="W98" s="6" t="s">
        <v>39</v>
      </c>
      <c r="X98" s="6" t="s">
        <v>38</v>
      </c>
      <c r="Y98" s="6" t="s">
        <v>54</v>
      </c>
      <c r="Z98" s="6" t="s">
        <v>39</v>
      </c>
    </row>
    <row r="99" spans="1:26" hidden="1" x14ac:dyDescent="0.35">
      <c r="A99" s="6" t="s">
        <v>314</v>
      </c>
      <c r="B99" s="6">
        <v>98156</v>
      </c>
      <c r="C99" s="6">
        <v>5641</v>
      </c>
      <c r="D99" s="47">
        <v>18371.22</v>
      </c>
      <c r="E99" s="25">
        <v>0</v>
      </c>
      <c r="F99" s="25">
        <v>1581.65</v>
      </c>
      <c r="G99" s="26">
        <f t="shared" si="4"/>
        <v>1581.65</v>
      </c>
      <c r="H99" s="6">
        <v>76072668</v>
      </c>
      <c r="I99" s="6" t="s">
        <v>315</v>
      </c>
      <c r="J99" s="6"/>
      <c r="K99" s="6"/>
      <c r="L99" s="6"/>
      <c r="M99" s="6" t="e">
        <f>VLOOKUP(H99,'Billing CDK pivot (by package)'!A:D,3,FALSE)</f>
        <v>#N/A</v>
      </c>
      <c r="N99" s="6" t="e">
        <f>VLOOKUP(H99,'Billing CDK pivot (by package)'!A:D,4,FALSE)</f>
        <v>#N/A</v>
      </c>
      <c r="O99" s="25" t="e">
        <f>VLOOKUP(H99,'Billing CDK pivot'!A:C,3,FALSE)</f>
        <v>#N/A</v>
      </c>
      <c r="P99" s="25">
        <f>IFERROR(VLOOKUP(H99,'Billing CDK pivot (overages)'!A:F,6,FALSE),0)</f>
        <v>0</v>
      </c>
      <c r="Q99" s="25" t="e">
        <f t="shared" si="5"/>
        <v>#N/A</v>
      </c>
      <c r="R99" s="26" t="e">
        <f t="shared" si="6"/>
        <v>#N/A</v>
      </c>
      <c r="S99" s="48" t="e">
        <f t="shared" si="7"/>
        <v>#N/A</v>
      </c>
      <c r="T99" s="49" t="s">
        <v>132</v>
      </c>
      <c r="U99" s="6" t="s">
        <v>194</v>
      </c>
      <c r="V99" s="6" t="s">
        <v>313</v>
      </c>
      <c r="W99" s="6" t="s">
        <v>39</v>
      </c>
      <c r="X99" s="6" t="s">
        <v>38</v>
      </c>
      <c r="Y99" s="6" t="s">
        <v>54</v>
      </c>
      <c r="Z99" s="6" t="s">
        <v>39</v>
      </c>
    </row>
    <row r="100" spans="1:26" hidden="1" x14ac:dyDescent="0.35">
      <c r="A100" s="6" t="s">
        <v>316</v>
      </c>
      <c r="B100" s="6">
        <v>84176</v>
      </c>
      <c r="C100" s="6">
        <v>9141</v>
      </c>
      <c r="D100" s="47">
        <v>26264.33</v>
      </c>
      <c r="E100" s="25">
        <v>0</v>
      </c>
      <c r="F100" s="25">
        <v>1581.65</v>
      </c>
      <c r="G100" s="26">
        <f t="shared" si="4"/>
        <v>1581.65</v>
      </c>
      <c r="H100" s="6">
        <v>76161776</v>
      </c>
      <c r="I100" s="6" t="s">
        <v>317</v>
      </c>
      <c r="J100" s="6"/>
      <c r="K100" s="6"/>
      <c r="L100" s="6"/>
      <c r="M100" s="6" t="e">
        <f>VLOOKUP(H100,'Billing CDK pivot (by package)'!A:D,3,FALSE)</f>
        <v>#N/A</v>
      </c>
      <c r="N100" s="6" t="e">
        <f>VLOOKUP(H100,'Billing CDK pivot (by package)'!A:D,4,FALSE)</f>
        <v>#N/A</v>
      </c>
      <c r="O100" s="25" t="e">
        <f>VLOOKUP(H100,'Billing CDK pivot'!A:C,3,FALSE)</f>
        <v>#N/A</v>
      </c>
      <c r="P100" s="25">
        <f>IFERROR(VLOOKUP(H100,'Billing CDK pivot (overages)'!A:F,6,FALSE),0)</f>
        <v>0</v>
      </c>
      <c r="Q100" s="25" t="e">
        <f t="shared" si="5"/>
        <v>#N/A</v>
      </c>
      <c r="R100" s="26" t="e">
        <f t="shared" si="6"/>
        <v>#N/A</v>
      </c>
      <c r="S100" s="48" t="e">
        <f t="shared" si="7"/>
        <v>#N/A</v>
      </c>
      <c r="T100" s="49" t="s">
        <v>132</v>
      </c>
      <c r="U100" s="6" t="s">
        <v>194</v>
      </c>
      <c r="V100" s="6" t="s">
        <v>313</v>
      </c>
      <c r="W100" s="6" t="s">
        <v>39</v>
      </c>
      <c r="X100" s="6" t="s">
        <v>38</v>
      </c>
      <c r="Y100" s="6" t="s">
        <v>54</v>
      </c>
      <c r="Z100" s="6" t="s">
        <v>39</v>
      </c>
    </row>
    <row r="101" spans="1:26" hidden="1" x14ac:dyDescent="0.35">
      <c r="A101" s="6" t="s">
        <v>318</v>
      </c>
      <c r="B101" s="6">
        <v>92188</v>
      </c>
      <c r="C101" s="6">
        <v>18515</v>
      </c>
      <c r="D101" s="47">
        <v>11449.4</v>
      </c>
      <c r="E101" s="25">
        <v>272.51</v>
      </c>
      <c r="F101" s="25">
        <v>938.31</v>
      </c>
      <c r="G101" s="26">
        <f t="shared" si="4"/>
        <v>665.8</v>
      </c>
      <c r="H101" s="6">
        <v>76025871</v>
      </c>
      <c r="I101" s="6" t="s">
        <v>319</v>
      </c>
      <c r="J101" s="6"/>
      <c r="K101" s="6"/>
      <c r="L101" s="6"/>
      <c r="M101" s="6" t="e">
        <f>VLOOKUP(H101,'Billing CDK pivot (by package)'!A:D,3,FALSE)</f>
        <v>#N/A</v>
      </c>
      <c r="N101" s="6" t="e">
        <f>VLOOKUP(H101,'Billing CDK pivot (by package)'!A:D,4,FALSE)</f>
        <v>#N/A</v>
      </c>
      <c r="O101" s="25" t="e">
        <f>VLOOKUP(H101,'Billing CDK pivot'!A:C,3,FALSE)</f>
        <v>#N/A</v>
      </c>
      <c r="P101" s="25">
        <f>IFERROR(VLOOKUP(H101,'Billing CDK pivot (overages)'!A:F,6,FALSE),0)</f>
        <v>0</v>
      </c>
      <c r="Q101" s="25" t="e">
        <f t="shared" si="5"/>
        <v>#N/A</v>
      </c>
      <c r="R101" s="26" t="e">
        <f t="shared" si="6"/>
        <v>#N/A</v>
      </c>
      <c r="S101" s="48" t="e">
        <f t="shared" si="7"/>
        <v>#N/A</v>
      </c>
      <c r="T101" s="49" t="s">
        <v>132</v>
      </c>
      <c r="U101" s="6" t="s">
        <v>231</v>
      </c>
      <c r="V101" s="6" t="s">
        <v>320</v>
      </c>
      <c r="W101" s="6" t="s">
        <v>321</v>
      </c>
      <c r="X101" s="6" t="s">
        <v>38</v>
      </c>
      <c r="Y101" s="6" t="s">
        <v>53</v>
      </c>
      <c r="Z101" s="6" t="s">
        <v>55</v>
      </c>
    </row>
    <row r="102" spans="1:26" hidden="1" x14ac:dyDescent="0.35">
      <c r="A102" s="6" t="s">
        <v>322</v>
      </c>
      <c r="B102" s="6">
        <v>145665</v>
      </c>
      <c r="C102" s="6">
        <v>25374</v>
      </c>
      <c r="D102" s="47">
        <v>12246.32</v>
      </c>
      <c r="E102" s="25">
        <v>0</v>
      </c>
      <c r="F102" s="25">
        <v>1698</v>
      </c>
      <c r="G102" s="26">
        <f t="shared" si="4"/>
        <v>1698</v>
      </c>
      <c r="H102" s="6">
        <v>76075892</v>
      </c>
      <c r="I102" s="6" t="s">
        <v>323</v>
      </c>
      <c r="J102" s="6"/>
      <c r="K102" s="6"/>
      <c r="L102" s="6"/>
      <c r="M102" s="6" t="e">
        <f>VLOOKUP(H102,'Billing CDK pivot (by package)'!A:D,3,FALSE)</f>
        <v>#N/A</v>
      </c>
      <c r="N102" s="6" t="e">
        <f>VLOOKUP(H102,'Billing CDK pivot (by package)'!A:D,4,FALSE)</f>
        <v>#N/A</v>
      </c>
      <c r="O102" s="25" t="e">
        <f>VLOOKUP(H102,'Billing CDK pivot'!A:C,3,FALSE)</f>
        <v>#N/A</v>
      </c>
      <c r="P102" s="25">
        <f>IFERROR(VLOOKUP(H102,'Billing CDK pivot (overages)'!A:F,6,FALSE),0)</f>
        <v>0</v>
      </c>
      <c r="Q102" s="25" t="e">
        <f t="shared" si="5"/>
        <v>#N/A</v>
      </c>
      <c r="R102" s="26" t="e">
        <f t="shared" si="6"/>
        <v>#N/A</v>
      </c>
      <c r="S102" s="48" t="e">
        <f t="shared" si="7"/>
        <v>#N/A</v>
      </c>
      <c r="T102" s="49" t="s">
        <v>132</v>
      </c>
      <c r="U102" s="6" t="s">
        <v>324</v>
      </c>
      <c r="V102" s="6" t="s">
        <v>39</v>
      </c>
      <c r="W102" s="6" t="s">
        <v>39</v>
      </c>
      <c r="X102" s="6" t="s">
        <v>38</v>
      </c>
      <c r="Y102" s="6" t="s">
        <v>294</v>
      </c>
      <c r="Z102" s="6" t="s">
        <v>39</v>
      </c>
    </row>
    <row r="103" spans="1:26" hidden="1" x14ac:dyDescent="0.35">
      <c r="A103" s="6" t="s">
        <v>325</v>
      </c>
      <c r="B103" s="6">
        <v>145668</v>
      </c>
      <c r="C103" s="6">
        <v>25377</v>
      </c>
      <c r="D103" s="47">
        <v>6713.86</v>
      </c>
      <c r="E103" s="25">
        <v>0</v>
      </c>
      <c r="F103" s="25">
        <v>1698</v>
      </c>
      <c r="G103" s="26">
        <f t="shared" si="4"/>
        <v>1698</v>
      </c>
      <c r="H103" s="6">
        <v>76076425</v>
      </c>
      <c r="I103" s="6" t="s">
        <v>326</v>
      </c>
      <c r="J103" s="6"/>
      <c r="K103" s="6"/>
      <c r="L103" s="6"/>
      <c r="M103" s="6" t="e">
        <f>VLOOKUP(H103,'Billing CDK pivot (by package)'!A:D,3,FALSE)</f>
        <v>#N/A</v>
      </c>
      <c r="N103" s="6" t="e">
        <f>VLOOKUP(H103,'Billing CDK pivot (by package)'!A:D,4,FALSE)</f>
        <v>#N/A</v>
      </c>
      <c r="O103" s="25" t="e">
        <f>VLOOKUP(H103,'Billing CDK pivot'!A:C,3,FALSE)</f>
        <v>#N/A</v>
      </c>
      <c r="P103" s="25">
        <f>IFERROR(VLOOKUP(H103,'Billing CDK pivot (overages)'!A:F,6,FALSE),0)</f>
        <v>0</v>
      </c>
      <c r="Q103" s="25" t="e">
        <f t="shared" si="5"/>
        <v>#N/A</v>
      </c>
      <c r="R103" s="26" t="e">
        <f t="shared" si="6"/>
        <v>#N/A</v>
      </c>
      <c r="S103" s="48" t="e">
        <f t="shared" si="7"/>
        <v>#N/A</v>
      </c>
      <c r="T103" s="49" t="s">
        <v>132</v>
      </c>
      <c r="U103" s="6" t="s">
        <v>324</v>
      </c>
      <c r="V103" s="6" t="s">
        <v>39</v>
      </c>
      <c r="W103" s="6" t="s">
        <v>39</v>
      </c>
      <c r="X103" s="6" t="s">
        <v>38</v>
      </c>
      <c r="Y103" s="6" t="s">
        <v>294</v>
      </c>
      <c r="Z103" s="6" t="s">
        <v>39</v>
      </c>
    </row>
    <row r="104" spans="1:26" hidden="1" x14ac:dyDescent="0.35">
      <c r="A104" s="6" t="s">
        <v>327</v>
      </c>
      <c r="B104" s="6">
        <v>79668</v>
      </c>
      <c r="C104" s="6">
        <v>17662</v>
      </c>
      <c r="D104" s="47">
        <v>2844.43</v>
      </c>
      <c r="E104" s="25">
        <v>0</v>
      </c>
      <c r="F104" s="25">
        <v>254.15</v>
      </c>
      <c r="G104" s="26">
        <f t="shared" si="4"/>
        <v>254.15</v>
      </c>
      <c r="H104" s="6">
        <v>76212445</v>
      </c>
      <c r="I104" s="6" t="s">
        <v>328</v>
      </c>
      <c r="J104" s="6"/>
      <c r="K104" s="6"/>
      <c r="L104" s="6"/>
      <c r="M104" s="6" t="e">
        <f>VLOOKUP(H104,'Billing CDK pivot (by package)'!A:D,3,FALSE)</f>
        <v>#N/A</v>
      </c>
      <c r="N104" s="6" t="e">
        <f>VLOOKUP(H104,'Billing CDK pivot (by package)'!A:D,4,FALSE)</f>
        <v>#N/A</v>
      </c>
      <c r="O104" s="25" t="e">
        <f>VLOOKUP(H104,'Billing CDK pivot'!A:C,3,FALSE)</f>
        <v>#N/A</v>
      </c>
      <c r="P104" s="25">
        <f>IFERROR(VLOOKUP(H104,'Billing CDK pivot (overages)'!A:F,6,FALSE),0)</f>
        <v>0</v>
      </c>
      <c r="Q104" s="25" t="e">
        <f t="shared" si="5"/>
        <v>#N/A</v>
      </c>
      <c r="R104" s="26" t="e">
        <f t="shared" si="6"/>
        <v>#N/A</v>
      </c>
      <c r="S104" s="48" t="e">
        <f t="shared" si="7"/>
        <v>#N/A</v>
      </c>
      <c r="T104" s="49" t="s">
        <v>329</v>
      </c>
      <c r="U104" s="6" t="s">
        <v>330</v>
      </c>
      <c r="V104" s="6" t="s">
        <v>39</v>
      </c>
      <c r="W104" s="6" t="s">
        <v>39</v>
      </c>
      <c r="X104" s="6" t="s">
        <v>38</v>
      </c>
      <c r="Y104" s="6" t="s">
        <v>39</v>
      </c>
      <c r="Z104" s="6" t="s">
        <v>39</v>
      </c>
    </row>
    <row r="105" spans="1:26" hidden="1" x14ac:dyDescent="0.35">
      <c r="A105" s="6" t="s">
        <v>331</v>
      </c>
      <c r="B105" s="6">
        <v>188815</v>
      </c>
      <c r="C105" s="6">
        <v>8336</v>
      </c>
      <c r="D105" s="47">
        <v>1417.33</v>
      </c>
      <c r="E105" s="25">
        <v>0</v>
      </c>
      <c r="F105" s="25">
        <v>429</v>
      </c>
      <c r="G105" s="26">
        <f t="shared" si="4"/>
        <v>429</v>
      </c>
      <c r="H105" s="6" t="s">
        <v>332</v>
      </c>
      <c r="I105" s="6" t="s">
        <v>333</v>
      </c>
      <c r="J105" s="6"/>
      <c r="K105" s="6"/>
      <c r="L105" s="6"/>
      <c r="M105" s="6" t="str">
        <f>VLOOKUP(H105,'Billing CDK pivot (by package)'!A:D,3,FALSE)</f>
        <v>4570783</v>
      </c>
      <c r="N105" s="6" t="str">
        <f>VLOOKUP(H105,'Billing CDK pivot (by package)'!A:D,4,FALSE)</f>
        <v>CARWARS CARRIER REGISTRATION</v>
      </c>
      <c r="O105" s="25" t="e">
        <f>VLOOKUP(H105,'Billing CDK pivot'!A:C,3,FALSE)</f>
        <v>#N/A</v>
      </c>
      <c r="P105" s="25">
        <f>IFERROR(VLOOKUP(H105,'Billing CDK pivot (overages)'!A:F,6,FALSE),0)</f>
        <v>0</v>
      </c>
      <c r="Q105" s="25" t="e">
        <f t="shared" si="5"/>
        <v>#N/A</v>
      </c>
      <c r="R105" s="26" t="e">
        <f t="shared" si="6"/>
        <v>#N/A</v>
      </c>
      <c r="S105" s="48" t="e">
        <f t="shared" si="7"/>
        <v>#N/A</v>
      </c>
      <c r="T105" s="49" t="s">
        <v>334</v>
      </c>
      <c r="U105" s="6" t="s">
        <v>335</v>
      </c>
      <c r="V105" s="6" t="s">
        <v>336</v>
      </c>
      <c r="W105" s="6" t="s">
        <v>39</v>
      </c>
      <c r="X105" s="6" t="s">
        <v>53</v>
      </c>
      <c r="Y105" s="6" t="s">
        <v>337</v>
      </c>
      <c r="Z105" s="6" t="s">
        <v>39</v>
      </c>
    </row>
    <row r="106" spans="1:26" hidden="1" x14ac:dyDescent="0.35">
      <c r="A106" s="6" t="s">
        <v>338</v>
      </c>
      <c r="B106" s="6">
        <v>79245</v>
      </c>
      <c r="C106" s="6">
        <v>17563</v>
      </c>
      <c r="D106" s="47">
        <v>255.45</v>
      </c>
      <c r="E106" s="25">
        <v>0</v>
      </c>
      <c r="F106" s="25">
        <v>0</v>
      </c>
      <c r="G106" s="26">
        <f t="shared" si="4"/>
        <v>0</v>
      </c>
      <c r="H106" s="6">
        <v>76193826</v>
      </c>
      <c r="I106" s="6" t="s">
        <v>339</v>
      </c>
      <c r="K106" s="20">
        <v>43862</v>
      </c>
      <c r="L106" s="20">
        <v>44074</v>
      </c>
      <c r="M106" s="6" t="s">
        <v>35</v>
      </c>
      <c r="N106" s="6" t="s">
        <v>36</v>
      </c>
      <c r="O106" s="25" t="e">
        <f>VLOOKUP(H106,'Billing CDK pivot'!A:C,3,FALSE)</f>
        <v>#N/A</v>
      </c>
      <c r="P106" s="25">
        <f>IFERROR(VLOOKUP(H106,'Billing CDK pivot (overages)'!A:F,6,FALSE),0)</f>
        <v>0</v>
      </c>
      <c r="Q106" s="25" t="e">
        <f t="shared" si="5"/>
        <v>#N/A</v>
      </c>
      <c r="R106" s="26" t="e">
        <f t="shared" si="6"/>
        <v>#N/A</v>
      </c>
      <c r="S106" s="48" t="e">
        <f t="shared" si="7"/>
        <v>#N/A</v>
      </c>
      <c r="T106" s="49" t="s">
        <v>340</v>
      </c>
      <c r="U106" s="6" t="e">
        <v>#N/A</v>
      </c>
      <c r="V106" s="6" t="e">
        <v>#N/A</v>
      </c>
      <c r="W106" s="6" t="e">
        <v>#N/A</v>
      </c>
      <c r="X106" s="6" t="s">
        <v>38</v>
      </c>
      <c r="Y106" s="6" t="s">
        <v>39</v>
      </c>
      <c r="Z106" s="6" t="s">
        <v>39</v>
      </c>
    </row>
    <row r="107" spans="1:26" hidden="1" x14ac:dyDescent="0.35">
      <c r="A107" s="6" t="s">
        <v>341</v>
      </c>
      <c r="B107" s="6">
        <v>8012</v>
      </c>
      <c r="C107" s="6" t="s">
        <v>289</v>
      </c>
      <c r="D107" s="47">
        <v>4.67</v>
      </c>
      <c r="E107" s="25">
        <v>0</v>
      </c>
      <c r="F107" s="25">
        <v>0</v>
      </c>
      <c r="G107" s="26">
        <f t="shared" si="4"/>
        <v>0</v>
      </c>
      <c r="H107" s="6" t="e">
        <v>#N/A</v>
      </c>
      <c r="I107" s="6" t="e">
        <v>#N/A</v>
      </c>
      <c r="J107" s="6"/>
      <c r="K107" s="6"/>
      <c r="L107" s="6"/>
      <c r="M107" s="6" t="e">
        <f>VLOOKUP(H107,'Billing CDK pivot (by package)'!A:D,3,FALSE)</f>
        <v>#N/A</v>
      </c>
      <c r="N107" s="6" t="e">
        <f>VLOOKUP(H107,'Billing CDK pivot (by package)'!A:D,4,FALSE)</f>
        <v>#N/A</v>
      </c>
      <c r="O107" s="25" t="e">
        <f>VLOOKUP(H107,'Billing CDK pivot'!A:C,3,FALSE)</f>
        <v>#N/A</v>
      </c>
      <c r="P107" s="25">
        <f>IFERROR(VLOOKUP(H107,'Billing CDK pivot (overages)'!A:F,6,FALSE),0)</f>
        <v>0</v>
      </c>
      <c r="Q107" s="25" t="e">
        <f t="shared" si="5"/>
        <v>#N/A</v>
      </c>
      <c r="R107" s="26" t="e">
        <f t="shared" si="6"/>
        <v>#N/A</v>
      </c>
      <c r="S107" s="48" t="e">
        <f t="shared" si="7"/>
        <v>#N/A</v>
      </c>
      <c r="T107" s="6" t="s">
        <v>340</v>
      </c>
      <c r="U107" s="6" t="e">
        <v>#N/A</v>
      </c>
      <c r="V107" s="6" t="e">
        <v>#N/A</v>
      </c>
      <c r="W107" s="6" t="e">
        <v>#N/A</v>
      </c>
      <c r="X107" s="6" t="s">
        <v>50</v>
      </c>
      <c r="Y107" s="6" t="s">
        <v>39</v>
      </c>
      <c r="Z107" s="6" t="s">
        <v>39</v>
      </c>
    </row>
    <row r="108" spans="1:26" hidden="1" x14ac:dyDescent="0.35">
      <c r="A108" s="6" t="s">
        <v>342</v>
      </c>
      <c r="B108" s="6">
        <v>188955</v>
      </c>
      <c r="C108" s="6">
        <v>32347</v>
      </c>
      <c r="D108" s="47">
        <v>0</v>
      </c>
      <c r="E108" s="25">
        <v>0</v>
      </c>
      <c r="F108" s="25">
        <v>0</v>
      </c>
      <c r="G108" s="26">
        <f t="shared" si="4"/>
        <v>0</v>
      </c>
      <c r="H108" s="6" t="e">
        <v>#N/A</v>
      </c>
      <c r="I108" s="6" t="e">
        <v>#N/A</v>
      </c>
      <c r="J108" s="6"/>
      <c r="K108" s="6"/>
      <c r="L108" s="6"/>
      <c r="M108" s="6" t="e">
        <f>VLOOKUP(H108,'Billing CDK pivot (by package)'!A:D,3,FALSE)</f>
        <v>#N/A</v>
      </c>
      <c r="N108" s="6" t="e">
        <f>VLOOKUP(H108,'Billing CDK pivot (by package)'!A:D,4,FALSE)</f>
        <v>#N/A</v>
      </c>
      <c r="O108" s="25" t="e">
        <f>VLOOKUP(H108,'Billing CDK pivot'!A:C,3,FALSE)</f>
        <v>#N/A</v>
      </c>
      <c r="P108" s="25">
        <f>IFERROR(VLOOKUP(H108,'Billing CDK pivot (overages)'!A:F,6,FALSE),0)</f>
        <v>0</v>
      </c>
      <c r="Q108" s="25" t="e">
        <f t="shared" si="5"/>
        <v>#N/A</v>
      </c>
      <c r="R108" s="26" t="e">
        <f t="shared" si="6"/>
        <v>#N/A</v>
      </c>
      <c r="S108" s="48" t="e">
        <f t="shared" si="7"/>
        <v>#N/A</v>
      </c>
      <c r="T108" s="6" t="s">
        <v>340</v>
      </c>
      <c r="U108" s="6" t="e">
        <v>#N/A</v>
      </c>
      <c r="V108" s="6" t="e">
        <v>#N/A</v>
      </c>
      <c r="W108" s="6" t="e">
        <v>#N/A</v>
      </c>
      <c r="X108" s="6" t="s">
        <v>38</v>
      </c>
      <c r="Y108" s="6" t="s">
        <v>39</v>
      </c>
      <c r="Z108" s="6" t="s">
        <v>39</v>
      </c>
    </row>
    <row r="109" spans="1:26" hidden="1" x14ac:dyDescent="0.35">
      <c r="A109" s="6" t="s">
        <v>343</v>
      </c>
      <c r="B109" s="6">
        <v>159842</v>
      </c>
      <c r="C109" s="6">
        <v>29415</v>
      </c>
      <c r="D109" s="47">
        <v>0</v>
      </c>
      <c r="E109" s="25">
        <v>0</v>
      </c>
      <c r="F109" s="25">
        <v>0</v>
      </c>
      <c r="G109" s="26">
        <f t="shared" si="4"/>
        <v>0</v>
      </c>
      <c r="H109" s="6" t="e">
        <v>#N/A</v>
      </c>
      <c r="I109" s="6" t="e">
        <v>#N/A</v>
      </c>
      <c r="J109" s="6"/>
      <c r="K109" s="6"/>
      <c r="L109" s="6"/>
      <c r="M109" s="6" t="e">
        <f>VLOOKUP(H109,'Billing CDK pivot (by package)'!A:D,3,FALSE)</f>
        <v>#N/A</v>
      </c>
      <c r="N109" s="6" t="e">
        <f>VLOOKUP(H109,'Billing CDK pivot (by package)'!A:D,4,FALSE)</f>
        <v>#N/A</v>
      </c>
      <c r="O109" s="25" t="e">
        <f>VLOOKUP(H109,'Billing CDK pivot'!A:C,3,FALSE)</f>
        <v>#N/A</v>
      </c>
      <c r="P109" s="25">
        <f>IFERROR(VLOOKUP(H109,'Billing CDK pivot (overages)'!A:F,6,FALSE),0)</f>
        <v>0</v>
      </c>
      <c r="Q109" s="25" t="e">
        <f t="shared" si="5"/>
        <v>#N/A</v>
      </c>
      <c r="R109" s="26" t="e">
        <f t="shared" si="6"/>
        <v>#N/A</v>
      </c>
      <c r="S109" s="48" t="e">
        <f t="shared" si="7"/>
        <v>#N/A</v>
      </c>
      <c r="T109" s="49" t="s">
        <v>340</v>
      </c>
      <c r="U109" s="6" t="e">
        <v>#N/A</v>
      </c>
      <c r="V109" s="6" t="e">
        <v>#N/A</v>
      </c>
      <c r="W109" s="6" t="e">
        <v>#N/A</v>
      </c>
      <c r="X109" s="6" t="s">
        <v>38</v>
      </c>
      <c r="Y109" s="6" t="s">
        <v>39</v>
      </c>
      <c r="Z109" s="6" t="s">
        <v>39</v>
      </c>
    </row>
    <row r="110" spans="1:26" hidden="1" x14ac:dyDescent="0.35">
      <c r="A110" s="6" t="s">
        <v>344</v>
      </c>
      <c r="B110" s="6">
        <v>143336</v>
      </c>
      <c r="C110" s="6">
        <v>123456</v>
      </c>
      <c r="D110" s="47">
        <v>0</v>
      </c>
      <c r="E110" s="25">
        <v>0</v>
      </c>
      <c r="F110" s="25">
        <v>0</v>
      </c>
      <c r="G110" s="26">
        <f t="shared" si="4"/>
        <v>0</v>
      </c>
      <c r="H110" s="6" t="e">
        <v>#N/A</v>
      </c>
      <c r="I110" s="6" t="e">
        <v>#N/A</v>
      </c>
      <c r="J110" s="6"/>
      <c r="K110" s="6"/>
      <c r="L110" s="6"/>
      <c r="M110" s="6" t="e">
        <f>VLOOKUP(H110,'Billing CDK pivot (by package)'!A:D,3,FALSE)</f>
        <v>#N/A</v>
      </c>
      <c r="N110" s="6" t="e">
        <f>VLOOKUP(H110,'Billing CDK pivot (by package)'!A:D,4,FALSE)</f>
        <v>#N/A</v>
      </c>
      <c r="O110" s="25" t="e">
        <f>VLOOKUP(H110,'Billing CDK pivot'!A:C,3,FALSE)</f>
        <v>#N/A</v>
      </c>
      <c r="P110" s="25">
        <f>IFERROR(VLOOKUP(H110,'Billing CDK pivot (overages)'!A:F,6,FALSE),0)</f>
        <v>0</v>
      </c>
      <c r="Q110" s="25" t="e">
        <f t="shared" si="5"/>
        <v>#N/A</v>
      </c>
      <c r="R110" s="26" t="e">
        <f t="shared" si="6"/>
        <v>#N/A</v>
      </c>
      <c r="S110" s="48" t="e">
        <f t="shared" si="7"/>
        <v>#N/A</v>
      </c>
      <c r="T110" s="49" t="s">
        <v>340</v>
      </c>
      <c r="U110" s="6" t="e">
        <v>#N/A</v>
      </c>
      <c r="V110" s="6" t="e">
        <v>#N/A</v>
      </c>
      <c r="W110" s="6" t="e">
        <v>#N/A</v>
      </c>
      <c r="X110" s="6" t="s">
        <v>50</v>
      </c>
      <c r="Y110" s="6" t="s">
        <v>39</v>
      </c>
      <c r="Z110" s="6" t="s">
        <v>39</v>
      </c>
    </row>
    <row r="111" spans="1:26" hidden="1" x14ac:dyDescent="0.35">
      <c r="A111" s="6" t="s">
        <v>345</v>
      </c>
      <c r="B111" s="6">
        <v>187147</v>
      </c>
      <c r="C111" s="6">
        <v>4352</v>
      </c>
      <c r="D111" s="47">
        <v>0</v>
      </c>
      <c r="E111" s="25">
        <v>0</v>
      </c>
      <c r="F111" s="25">
        <v>0</v>
      </c>
      <c r="G111" s="26">
        <f t="shared" si="4"/>
        <v>0</v>
      </c>
      <c r="H111" s="6" t="e">
        <v>#N/A</v>
      </c>
      <c r="I111" s="6" t="e">
        <v>#N/A</v>
      </c>
      <c r="J111" s="6"/>
      <c r="K111" s="6"/>
      <c r="L111" s="6"/>
      <c r="M111" s="6" t="e">
        <f>VLOOKUP(H111,'Billing CDK pivot (by package)'!A:D,3,FALSE)</f>
        <v>#N/A</v>
      </c>
      <c r="N111" s="6" t="e">
        <f>VLOOKUP(H111,'Billing CDK pivot (by package)'!A:D,4,FALSE)</f>
        <v>#N/A</v>
      </c>
      <c r="O111" s="25" t="e">
        <f>VLOOKUP(H111,'Billing CDK pivot'!A:C,3,FALSE)</f>
        <v>#N/A</v>
      </c>
      <c r="P111" s="25">
        <f>IFERROR(VLOOKUP(H111,'Billing CDK pivot (overages)'!A:F,6,FALSE),0)</f>
        <v>0</v>
      </c>
      <c r="Q111" s="25" t="e">
        <f t="shared" si="5"/>
        <v>#N/A</v>
      </c>
      <c r="R111" s="26" t="e">
        <f t="shared" si="6"/>
        <v>#N/A</v>
      </c>
      <c r="S111" s="48" t="e">
        <f t="shared" si="7"/>
        <v>#N/A</v>
      </c>
      <c r="T111" s="49" t="s">
        <v>340</v>
      </c>
      <c r="U111" s="6" t="e">
        <v>#N/A</v>
      </c>
      <c r="V111" s="6" t="e">
        <v>#N/A</v>
      </c>
      <c r="W111" s="6" t="e">
        <v>#N/A</v>
      </c>
      <c r="X111" s="6" t="s">
        <v>38</v>
      </c>
      <c r="Y111" s="6" t="s">
        <v>39</v>
      </c>
      <c r="Z111" s="6" t="s">
        <v>39</v>
      </c>
    </row>
    <row r="112" spans="1:26" hidden="1" x14ac:dyDescent="0.35">
      <c r="A112" s="6" t="s">
        <v>346</v>
      </c>
      <c r="B112" s="6">
        <v>188644</v>
      </c>
      <c r="C112" s="6">
        <v>7792</v>
      </c>
      <c r="D112" s="47">
        <v>0</v>
      </c>
      <c r="E112" s="25">
        <v>0</v>
      </c>
      <c r="F112" s="25">
        <v>0</v>
      </c>
      <c r="G112" s="26">
        <f t="shared" si="4"/>
        <v>0</v>
      </c>
      <c r="H112" s="6" t="e">
        <v>#N/A</v>
      </c>
      <c r="I112" s="6" t="e">
        <v>#N/A</v>
      </c>
      <c r="J112" s="6"/>
      <c r="K112" s="6"/>
      <c r="L112" s="6"/>
      <c r="M112" s="6" t="e">
        <f>VLOOKUP(H112,'Billing CDK pivot (by package)'!A:D,3,FALSE)</f>
        <v>#N/A</v>
      </c>
      <c r="N112" s="6" t="e">
        <f>VLOOKUP(H112,'Billing CDK pivot (by package)'!A:D,4,FALSE)</f>
        <v>#N/A</v>
      </c>
      <c r="O112" s="25" t="e">
        <f>VLOOKUP(H112,'Billing CDK pivot'!A:C,3,FALSE)</f>
        <v>#N/A</v>
      </c>
      <c r="P112" s="25">
        <f>IFERROR(VLOOKUP(H112,'Billing CDK pivot (overages)'!A:F,6,FALSE),0)</f>
        <v>0</v>
      </c>
      <c r="Q112" s="25" t="e">
        <f t="shared" si="5"/>
        <v>#N/A</v>
      </c>
      <c r="R112" s="26" t="e">
        <f t="shared" si="6"/>
        <v>#N/A</v>
      </c>
      <c r="S112" s="48" t="e">
        <f t="shared" si="7"/>
        <v>#N/A</v>
      </c>
      <c r="T112" s="49" t="s">
        <v>340</v>
      </c>
      <c r="U112" s="6" t="e">
        <v>#N/A</v>
      </c>
      <c r="V112" s="6" t="e">
        <v>#N/A</v>
      </c>
      <c r="W112" s="6" t="e">
        <v>#N/A</v>
      </c>
      <c r="X112" s="6" t="s">
        <v>58</v>
      </c>
      <c r="Y112" s="6" t="s">
        <v>39</v>
      </c>
      <c r="Z112" s="6" t="s">
        <v>39</v>
      </c>
    </row>
    <row r="113" spans="1:26" hidden="1" x14ac:dyDescent="0.35">
      <c r="A113" s="6" t="s">
        <v>347</v>
      </c>
      <c r="B113" s="6">
        <v>188956</v>
      </c>
      <c r="C113" s="6">
        <v>25376</v>
      </c>
      <c r="D113" s="47">
        <v>0</v>
      </c>
      <c r="E113" s="25">
        <v>0</v>
      </c>
      <c r="F113" s="25">
        <v>0</v>
      </c>
      <c r="G113" s="26">
        <f t="shared" si="4"/>
        <v>0</v>
      </c>
      <c r="H113" s="6" t="e">
        <v>#N/A</v>
      </c>
      <c r="I113" s="6" t="e">
        <v>#N/A</v>
      </c>
      <c r="J113" s="6"/>
      <c r="K113" s="6"/>
      <c r="L113" s="6"/>
      <c r="M113" s="6" t="e">
        <f>VLOOKUP(H113,'Billing CDK pivot (by package)'!A:D,3,FALSE)</f>
        <v>#N/A</v>
      </c>
      <c r="N113" s="6" t="e">
        <f>VLOOKUP(H113,'Billing CDK pivot (by package)'!A:D,4,FALSE)</f>
        <v>#N/A</v>
      </c>
      <c r="O113" s="25" t="e">
        <f>VLOOKUP(H113,'Billing CDK pivot'!A:C,3,FALSE)</f>
        <v>#N/A</v>
      </c>
      <c r="P113" s="25">
        <f>IFERROR(VLOOKUP(H113,'Billing CDK pivot (overages)'!A:F,6,FALSE),0)</f>
        <v>0</v>
      </c>
      <c r="Q113" s="25" t="e">
        <f t="shared" si="5"/>
        <v>#N/A</v>
      </c>
      <c r="R113" s="26" t="e">
        <f t="shared" si="6"/>
        <v>#N/A</v>
      </c>
      <c r="S113" s="48" t="e">
        <f t="shared" si="7"/>
        <v>#N/A</v>
      </c>
      <c r="T113" s="6" t="s">
        <v>340</v>
      </c>
      <c r="U113" s="6" t="e">
        <v>#N/A</v>
      </c>
      <c r="V113" s="6" t="e">
        <v>#N/A</v>
      </c>
      <c r="W113" s="6" t="e">
        <v>#N/A</v>
      </c>
      <c r="X113" s="6" t="s">
        <v>348</v>
      </c>
      <c r="Y113" s="6" t="s">
        <v>39</v>
      </c>
      <c r="Z113" s="6" t="s">
        <v>39</v>
      </c>
    </row>
    <row r="114" spans="1:26" hidden="1" x14ac:dyDescent="0.35">
      <c r="A114" s="6" t="s">
        <v>349</v>
      </c>
      <c r="B114" s="6">
        <v>76985</v>
      </c>
      <c r="C114" s="6" t="s">
        <v>289</v>
      </c>
      <c r="D114" s="47">
        <v>0</v>
      </c>
      <c r="E114" s="25">
        <v>0</v>
      </c>
      <c r="F114" s="25">
        <v>0</v>
      </c>
      <c r="G114" s="26">
        <f t="shared" si="4"/>
        <v>0</v>
      </c>
      <c r="H114" s="6" t="e">
        <v>#N/A</v>
      </c>
      <c r="I114" s="6" t="e">
        <v>#N/A</v>
      </c>
      <c r="J114" s="6"/>
      <c r="K114" s="6"/>
      <c r="L114" s="6"/>
      <c r="M114" s="6" t="e">
        <f>VLOOKUP(H114,'Billing CDK pivot (by package)'!A:D,3,FALSE)</f>
        <v>#N/A</v>
      </c>
      <c r="N114" s="6" t="e">
        <f>VLOOKUP(H114,'Billing CDK pivot (by package)'!A:D,4,FALSE)</f>
        <v>#N/A</v>
      </c>
      <c r="O114" s="25" t="e">
        <f>VLOOKUP(H114,'Billing CDK pivot'!A:C,3,FALSE)</f>
        <v>#N/A</v>
      </c>
      <c r="P114" s="25">
        <f>IFERROR(VLOOKUP(H114,'Billing CDK pivot (overages)'!A:F,6,FALSE),0)</f>
        <v>0</v>
      </c>
      <c r="Q114" s="25" t="e">
        <f t="shared" si="5"/>
        <v>#N/A</v>
      </c>
      <c r="R114" s="26" t="e">
        <f t="shared" si="6"/>
        <v>#N/A</v>
      </c>
      <c r="S114" s="48" t="e">
        <f t="shared" si="7"/>
        <v>#N/A</v>
      </c>
      <c r="T114" s="6" t="s">
        <v>340</v>
      </c>
      <c r="U114" s="6" t="e">
        <v>#N/A</v>
      </c>
      <c r="V114" s="6" t="e">
        <v>#N/A</v>
      </c>
      <c r="W114" s="6" t="e">
        <v>#N/A</v>
      </c>
      <c r="X114" s="6" t="s">
        <v>143</v>
      </c>
      <c r="Y114" s="6" t="s">
        <v>39</v>
      </c>
      <c r="Z114" s="6" t="s">
        <v>39</v>
      </c>
    </row>
    <row r="115" spans="1:26" hidden="1" x14ac:dyDescent="0.35">
      <c r="A115" s="6" t="s">
        <v>350</v>
      </c>
      <c r="B115" s="6">
        <v>188933</v>
      </c>
      <c r="C115" s="6">
        <v>32327</v>
      </c>
      <c r="D115" s="47">
        <v>0</v>
      </c>
      <c r="E115" s="25">
        <v>0</v>
      </c>
      <c r="F115" s="25">
        <v>0</v>
      </c>
      <c r="G115" s="26">
        <f t="shared" si="4"/>
        <v>0</v>
      </c>
      <c r="H115" s="6" t="e">
        <v>#N/A</v>
      </c>
      <c r="I115" s="6" t="e">
        <v>#N/A</v>
      </c>
      <c r="J115" s="6"/>
      <c r="K115" s="6"/>
      <c r="L115" s="6"/>
      <c r="M115" s="6" t="e">
        <f>VLOOKUP(H115,'Billing CDK pivot (by package)'!A:D,3,FALSE)</f>
        <v>#N/A</v>
      </c>
      <c r="N115" s="6" t="e">
        <f>VLOOKUP(H115,'Billing CDK pivot (by package)'!A:D,4,FALSE)</f>
        <v>#N/A</v>
      </c>
      <c r="O115" s="25" t="e">
        <f>VLOOKUP(H115,'Billing CDK pivot'!A:C,3,FALSE)</f>
        <v>#N/A</v>
      </c>
      <c r="P115" s="25">
        <f>IFERROR(VLOOKUP(H115,'Billing CDK pivot (overages)'!A:F,6,FALSE),0)</f>
        <v>0</v>
      </c>
      <c r="Q115" s="25" t="e">
        <f t="shared" si="5"/>
        <v>#N/A</v>
      </c>
      <c r="R115" s="26" t="e">
        <f t="shared" si="6"/>
        <v>#N/A</v>
      </c>
      <c r="S115" s="48" t="e">
        <f t="shared" si="7"/>
        <v>#N/A</v>
      </c>
      <c r="T115" s="6" t="s">
        <v>340</v>
      </c>
      <c r="U115" s="6" t="e">
        <v>#N/A</v>
      </c>
      <c r="V115" s="6" t="e">
        <v>#N/A</v>
      </c>
      <c r="W115" s="6" t="e">
        <v>#N/A</v>
      </c>
      <c r="X115" s="6" t="s">
        <v>38</v>
      </c>
      <c r="Y115" s="6" t="s">
        <v>39</v>
      </c>
      <c r="Z115" s="6" t="s">
        <v>39</v>
      </c>
    </row>
    <row r="116" spans="1:26" hidden="1" x14ac:dyDescent="0.35">
      <c r="A116" s="6" t="s">
        <v>351</v>
      </c>
      <c r="B116" s="6">
        <v>187032</v>
      </c>
      <c r="C116" s="6" t="s">
        <v>289</v>
      </c>
      <c r="D116" s="47">
        <v>1664.29</v>
      </c>
      <c r="E116" s="25">
        <v>0</v>
      </c>
      <c r="F116" s="25">
        <v>0</v>
      </c>
      <c r="G116" s="26">
        <f t="shared" si="4"/>
        <v>0</v>
      </c>
      <c r="H116" s="6" t="e">
        <v>#N/A</v>
      </c>
      <c r="I116" s="6" t="e">
        <v>#N/A</v>
      </c>
      <c r="J116" s="6"/>
      <c r="K116" s="6"/>
      <c r="L116" s="6"/>
      <c r="M116" s="6" t="e">
        <f>VLOOKUP(H116,'Billing CDK pivot (by package)'!A:D,3,FALSE)</f>
        <v>#N/A</v>
      </c>
      <c r="N116" s="6" t="e">
        <f>VLOOKUP(H116,'Billing CDK pivot (by package)'!A:D,4,FALSE)</f>
        <v>#N/A</v>
      </c>
      <c r="O116" s="25" t="e">
        <f>VLOOKUP(H116,'Billing CDK pivot'!A:C,3,FALSE)</f>
        <v>#N/A</v>
      </c>
      <c r="P116" s="25">
        <f>IFERROR(VLOOKUP(H116,'Billing CDK pivot (overages)'!A:F,6,FALSE),0)</f>
        <v>0</v>
      </c>
      <c r="Q116" s="25" t="e">
        <f t="shared" si="5"/>
        <v>#N/A</v>
      </c>
      <c r="R116" s="26" t="e">
        <f t="shared" si="6"/>
        <v>#N/A</v>
      </c>
      <c r="S116" s="48" t="e">
        <f t="shared" si="7"/>
        <v>#N/A</v>
      </c>
      <c r="T116" s="6" t="s">
        <v>340</v>
      </c>
      <c r="U116" s="6" t="e">
        <v>#N/A</v>
      </c>
      <c r="V116" s="6" t="e">
        <v>#N/A</v>
      </c>
      <c r="W116" s="6" t="e">
        <v>#N/A</v>
      </c>
      <c r="X116" s="6" t="s">
        <v>143</v>
      </c>
      <c r="Y116" s="6" t="s">
        <v>143</v>
      </c>
      <c r="Z116" s="6" t="s">
        <v>39</v>
      </c>
    </row>
    <row r="117" spans="1:26" hidden="1" x14ac:dyDescent="0.35">
      <c r="B117" s="6">
        <v>188935</v>
      </c>
      <c r="C117" s="6">
        <v>32326</v>
      </c>
      <c r="D117" s="47">
        <v>0</v>
      </c>
      <c r="E117" s="25">
        <v>0</v>
      </c>
      <c r="F117" s="25">
        <v>0</v>
      </c>
      <c r="G117" s="26">
        <f t="shared" si="4"/>
        <v>0</v>
      </c>
      <c r="H117" s="6" t="e">
        <v>#N/A</v>
      </c>
      <c r="I117" s="6" t="e">
        <v>#N/A</v>
      </c>
      <c r="J117" s="6"/>
      <c r="K117" s="6"/>
      <c r="L117" s="6"/>
      <c r="M117" s="6" t="e">
        <f>VLOOKUP(H117,'Billing CDK pivot (by package)'!A:D,3,FALSE)</f>
        <v>#N/A</v>
      </c>
      <c r="N117" s="6" t="e">
        <f>VLOOKUP(H117,'Billing CDK pivot (by package)'!A:D,4,FALSE)</f>
        <v>#N/A</v>
      </c>
      <c r="O117" s="25" t="e">
        <f>VLOOKUP(H117,'Billing CDK pivot'!A:C,3,FALSE)</f>
        <v>#N/A</v>
      </c>
      <c r="P117" s="25">
        <f>IFERROR(VLOOKUP(H117,'Billing CDK pivot (overages)'!A:F,6,FALSE),0)</f>
        <v>0</v>
      </c>
      <c r="Q117" s="25" t="e">
        <f t="shared" si="5"/>
        <v>#N/A</v>
      </c>
      <c r="R117" s="26" t="e">
        <f t="shared" si="6"/>
        <v>#N/A</v>
      </c>
      <c r="S117" s="48" t="e">
        <f t="shared" si="7"/>
        <v>#N/A</v>
      </c>
      <c r="T117" s="6" t="s">
        <v>340</v>
      </c>
      <c r="U117" s="6" t="e">
        <v>#N/A</v>
      </c>
      <c r="V117" s="6" t="e">
        <v>#N/A</v>
      </c>
      <c r="W117" s="6" t="e">
        <v>#N/A</v>
      </c>
      <c r="X117" s="6" t="s">
        <v>50</v>
      </c>
      <c r="Y117" s="35">
        <v>0</v>
      </c>
      <c r="Z117" s="6" t="s">
        <v>352</v>
      </c>
    </row>
    <row r="118" spans="1:26" hidden="1" x14ac:dyDescent="0.35">
      <c r="A118" s="6" t="s">
        <v>353</v>
      </c>
      <c r="B118" s="6">
        <v>46251</v>
      </c>
      <c r="C118" s="6" t="s">
        <v>289</v>
      </c>
      <c r="D118" s="47">
        <v>2908.42</v>
      </c>
      <c r="E118" s="25">
        <v>0</v>
      </c>
      <c r="F118" s="25">
        <v>0</v>
      </c>
      <c r="G118" s="26">
        <f t="shared" si="4"/>
        <v>0</v>
      </c>
      <c r="H118" s="6" t="e">
        <v>#N/A</v>
      </c>
      <c r="I118" s="6" t="e">
        <v>#N/A</v>
      </c>
      <c r="J118" s="6"/>
      <c r="K118" s="6"/>
      <c r="L118" s="6"/>
      <c r="M118" s="6" t="e">
        <f>VLOOKUP(H118,'Billing CDK pivot (by package)'!A:D,3,FALSE)</f>
        <v>#N/A</v>
      </c>
      <c r="N118" s="6" t="e">
        <f>VLOOKUP(H118,'Billing CDK pivot (by package)'!A:D,4,FALSE)</f>
        <v>#N/A</v>
      </c>
      <c r="O118" s="25" t="e">
        <f>VLOOKUP(H118,'Billing CDK pivot'!A:C,3,FALSE)</f>
        <v>#N/A</v>
      </c>
      <c r="P118" s="25">
        <f>IFERROR(VLOOKUP(H118,'Billing CDK pivot (overages)'!A:F,6,FALSE),0)</f>
        <v>0</v>
      </c>
      <c r="Q118" s="25" t="e">
        <f t="shared" si="5"/>
        <v>#N/A</v>
      </c>
      <c r="R118" s="26" t="e">
        <f t="shared" si="6"/>
        <v>#N/A</v>
      </c>
      <c r="S118" s="48" t="e">
        <f t="shared" si="7"/>
        <v>#N/A</v>
      </c>
      <c r="T118" s="6" t="s">
        <v>340</v>
      </c>
      <c r="U118" s="6" t="e">
        <v>#N/A</v>
      </c>
      <c r="V118" s="6" t="e">
        <v>#N/A</v>
      </c>
      <c r="W118" s="6" t="e">
        <v>#N/A</v>
      </c>
      <c r="X118" s="6" t="s">
        <v>143</v>
      </c>
      <c r="Y118" s="6" t="s">
        <v>39</v>
      </c>
      <c r="Z118" s="6" t="s">
        <v>39</v>
      </c>
    </row>
    <row r="119" spans="1:26" hidden="1" x14ac:dyDescent="0.35">
      <c r="A119" s="6" t="s">
        <v>354</v>
      </c>
      <c r="B119" s="6">
        <v>188958</v>
      </c>
      <c r="C119" s="6">
        <v>32013</v>
      </c>
      <c r="D119" s="47">
        <v>333.98</v>
      </c>
      <c r="E119" s="25">
        <v>0</v>
      </c>
      <c r="F119" s="25">
        <v>0</v>
      </c>
      <c r="G119" s="26">
        <f t="shared" si="4"/>
        <v>0</v>
      </c>
      <c r="H119" s="6" t="e">
        <v>#N/A</v>
      </c>
      <c r="I119" s="6" t="e">
        <v>#N/A</v>
      </c>
      <c r="J119" s="6"/>
      <c r="K119" s="6"/>
      <c r="L119" s="6"/>
      <c r="M119" s="6" t="e">
        <f>VLOOKUP(H119,'Billing CDK pivot (by package)'!A:D,3,FALSE)</f>
        <v>#N/A</v>
      </c>
      <c r="N119" s="6" t="e">
        <f>VLOOKUP(H119,'Billing CDK pivot (by package)'!A:D,4,FALSE)</f>
        <v>#N/A</v>
      </c>
      <c r="O119" s="25" t="e">
        <f>VLOOKUP(H119,'Billing CDK pivot'!A:C,3,FALSE)</f>
        <v>#N/A</v>
      </c>
      <c r="P119" s="25">
        <f>IFERROR(VLOOKUP(H119,'Billing CDK pivot (overages)'!A:F,6,FALSE),0)</f>
        <v>0</v>
      </c>
      <c r="Q119" s="25" t="e">
        <f t="shared" si="5"/>
        <v>#N/A</v>
      </c>
      <c r="R119" s="26" t="e">
        <f t="shared" si="6"/>
        <v>#N/A</v>
      </c>
      <c r="S119" s="48" t="e">
        <f t="shared" si="7"/>
        <v>#N/A</v>
      </c>
      <c r="T119" s="49" t="s">
        <v>340</v>
      </c>
      <c r="U119" s="6" t="e">
        <v>#N/A</v>
      </c>
      <c r="V119" s="6" t="e">
        <v>#N/A</v>
      </c>
      <c r="W119" s="6" t="e">
        <v>#N/A</v>
      </c>
      <c r="X119" s="6" t="s">
        <v>147</v>
      </c>
      <c r="Y119" s="6" t="s">
        <v>39</v>
      </c>
      <c r="Z119" s="6" t="s">
        <v>39</v>
      </c>
    </row>
    <row r="120" spans="1:26" hidden="1" x14ac:dyDescent="0.35">
      <c r="A120" s="6" t="s">
        <v>355</v>
      </c>
      <c r="B120" s="6">
        <v>186595</v>
      </c>
      <c r="C120" s="6">
        <v>5407</v>
      </c>
      <c r="D120" s="47">
        <v>0</v>
      </c>
      <c r="E120" s="25">
        <v>0</v>
      </c>
      <c r="F120" s="25">
        <v>0</v>
      </c>
      <c r="G120" s="26">
        <f t="shared" si="4"/>
        <v>0</v>
      </c>
      <c r="H120" s="6" t="e">
        <v>#N/A</v>
      </c>
      <c r="I120" s="6" t="e">
        <v>#N/A</v>
      </c>
      <c r="J120" s="6"/>
      <c r="K120" s="6"/>
      <c r="L120" s="6"/>
      <c r="M120" s="6" t="e">
        <f>VLOOKUP(H120,'Billing CDK pivot (by package)'!A:D,3,FALSE)</f>
        <v>#N/A</v>
      </c>
      <c r="N120" s="6" t="e">
        <f>VLOOKUP(H120,'Billing CDK pivot (by package)'!A:D,4,FALSE)</f>
        <v>#N/A</v>
      </c>
      <c r="O120" s="25" t="e">
        <f>VLOOKUP(H120,'Billing CDK pivot'!A:C,3,FALSE)</f>
        <v>#N/A</v>
      </c>
      <c r="P120" s="25">
        <f>IFERROR(VLOOKUP(H120,'Billing CDK pivot (overages)'!A:F,6,FALSE),0)</f>
        <v>0</v>
      </c>
      <c r="Q120" s="25" t="e">
        <f t="shared" si="5"/>
        <v>#N/A</v>
      </c>
      <c r="R120" s="26" t="e">
        <f t="shared" si="6"/>
        <v>#N/A</v>
      </c>
      <c r="S120" s="48" t="e">
        <f t="shared" si="7"/>
        <v>#N/A</v>
      </c>
      <c r="T120" s="49" t="s">
        <v>340</v>
      </c>
      <c r="U120" s="6" t="e">
        <v>#N/A</v>
      </c>
      <c r="V120" s="6" t="e">
        <v>#N/A</v>
      </c>
      <c r="W120" s="6" t="e">
        <v>#N/A</v>
      </c>
      <c r="X120" s="6" t="s">
        <v>38</v>
      </c>
      <c r="Y120" s="6" t="s">
        <v>39</v>
      </c>
      <c r="Z120" s="6" t="s">
        <v>39</v>
      </c>
    </row>
    <row r="121" spans="1:26" hidden="1" x14ac:dyDescent="0.35">
      <c r="A121" s="6" t="s">
        <v>356</v>
      </c>
      <c r="B121" s="6">
        <v>188879</v>
      </c>
      <c r="C121" s="6">
        <v>32160</v>
      </c>
      <c r="D121" s="47">
        <v>11.34</v>
      </c>
      <c r="E121" s="25">
        <v>0</v>
      </c>
      <c r="F121" s="25">
        <v>0</v>
      </c>
      <c r="G121" s="26">
        <f t="shared" si="4"/>
        <v>0</v>
      </c>
      <c r="H121" s="6" t="e">
        <v>#N/A</v>
      </c>
      <c r="I121" s="6" t="e">
        <v>#N/A</v>
      </c>
      <c r="J121" s="6"/>
      <c r="K121" s="6"/>
      <c r="L121" s="6"/>
      <c r="M121" s="6" t="e">
        <f>VLOOKUP(H121,'Billing CDK pivot (by package)'!A:D,3,FALSE)</f>
        <v>#N/A</v>
      </c>
      <c r="N121" s="6" t="e">
        <f>VLOOKUP(H121,'Billing CDK pivot (by package)'!A:D,4,FALSE)</f>
        <v>#N/A</v>
      </c>
      <c r="O121" s="25" t="e">
        <f>VLOOKUP(H121,'Billing CDK pivot'!A:C,3,FALSE)</f>
        <v>#N/A</v>
      </c>
      <c r="P121" s="25">
        <f>IFERROR(VLOOKUP(H121,'Billing CDK pivot (overages)'!A:F,6,FALSE),0)</f>
        <v>0</v>
      </c>
      <c r="Q121" s="25" t="e">
        <f t="shared" si="5"/>
        <v>#N/A</v>
      </c>
      <c r="R121" s="26" t="e">
        <f t="shared" si="6"/>
        <v>#N/A</v>
      </c>
      <c r="S121" s="48" t="e">
        <f t="shared" si="7"/>
        <v>#N/A</v>
      </c>
      <c r="T121" s="49" t="s">
        <v>340</v>
      </c>
      <c r="U121" s="6" t="e">
        <v>#N/A</v>
      </c>
      <c r="V121" s="6" t="e">
        <v>#N/A</v>
      </c>
      <c r="W121" s="6" t="e">
        <v>#N/A</v>
      </c>
      <c r="X121" s="6" t="s">
        <v>58</v>
      </c>
      <c r="Y121" s="6" t="s">
        <v>39</v>
      </c>
      <c r="Z121" s="6" t="s">
        <v>39</v>
      </c>
    </row>
    <row r="122" spans="1:26" hidden="1" x14ac:dyDescent="0.35">
      <c r="A122" s="6" t="s">
        <v>357</v>
      </c>
      <c r="B122" s="6">
        <v>91217</v>
      </c>
      <c r="C122" s="6">
        <v>18160</v>
      </c>
      <c r="D122" s="47">
        <v>0</v>
      </c>
      <c r="E122" s="25">
        <v>0</v>
      </c>
      <c r="F122" s="25">
        <v>0</v>
      </c>
      <c r="G122" s="26">
        <f t="shared" si="4"/>
        <v>0</v>
      </c>
      <c r="H122" s="6">
        <v>76202140</v>
      </c>
      <c r="I122" s="6" t="s">
        <v>358</v>
      </c>
      <c r="J122" s="6"/>
      <c r="K122" s="6"/>
      <c r="L122" s="6"/>
      <c r="M122" s="6" t="e">
        <f>VLOOKUP(H122,'Billing CDK pivot (by package)'!A:D,3,FALSE)</f>
        <v>#N/A</v>
      </c>
      <c r="N122" s="6" t="e">
        <f>VLOOKUP(H122,'Billing CDK pivot (by package)'!A:D,4,FALSE)</f>
        <v>#N/A</v>
      </c>
      <c r="O122" s="25" t="e">
        <f>VLOOKUP(H122,'Billing CDK pivot'!A:C,3,FALSE)</f>
        <v>#N/A</v>
      </c>
      <c r="P122" s="25">
        <f>IFERROR(VLOOKUP(H122,'Billing CDK pivot (overages)'!A:F,6,FALSE),0)</f>
        <v>0</v>
      </c>
      <c r="Q122" s="25" t="e">
        <f t="shared" si="5"/>
        <v>#N/A</v>
      </c>
      <c r="R122" s="26" t="e">
        <f t="shared" si="6"/>
        <v>#N/A</v>
      </c>
      <c r="S122" s="48" t="e">
        <f t="shared" si="7"/>
        <v>#N/A</v>
      </c>
      <c r="T122" s="49" t="s">
        <v>359</v>
      </c>
      <c r="U122" s="6" t="s">
        <v>360</v>
      </c>
      <c r="V122" s="6" t="s">
        <v>39</v>
      </c>
      <c r="W122" s="6" t="s">
        <v>39</v>
      </c>
      <c r="X122" s="6" t="s">
        <v>361</v>
      </c>
      <c r="Y122" s="6" t="s">
        <v>39</v>
      </c>
      <c r="Z122" s="6" t="s">
        <v>39</v>
      </c>
    </row>
    <row r="123" spans="1:26" hidden="1" x14ac:dyDescent="0.35">
      <c r="A123" s="6" t="s">
        <v>362</v>
      </c>
      <c r="B123" s="6">
        <v>154756</v>
      </c>
      <c r="C123" s="6">
        <v>28303</v>
      </c>
      <c r="D123" s="47">
        <v>5.34</v>
      </c>
      <c r="E123" s="25">
        <v>0</v>
      </c>
      <c r="F123" s="25">
        <v>0</v>
      </c>
      <c r="G123" s="26">
        <f t="shared" si="4"/>
        <v>0</v>
      </c>
      <c r="H123" s="6">
        <v>76160666</v>
      </c>
      <c r="I123" s="6" t="s">
        <v>363</v>
      </c>
      <c r="J123" s="6"/>
      <c r="K123" s="6"/>
      <c r="L123" s="6"/>
      <c r="M123" s="6" t="e">
        <f>VLOOKUP(H123,'Billing CDK pivot (by package)'!A:D,3,FALSE)</f>
        <v>#N/A</v>
      </c>
      <c r="N123" s="6" t="e">
        <f>VLOOKUP(H123,'Billing CDK pivot (by package)'!A:D,4,FALSE)</f>
        <v>#N/A</v>
      </c>
      <c r="O123" s="25" t="e">
        <f>VLOOKUP(H123,'Billing CDK pivot'!A:C,3,FALSE)</f>
        <v>#N/A</v>
      </c>
      <c r="P123" s="25">
        <f>IFERROR(VLOOKUP(H123,'Billing CDK pivot (overages)'!A:F,6,FALSE),0)</f>
        <v>0</v>
      </c>
      <c r="Q123" s="25" t="e">
        <f t="shared" si="5"/>
        <v>#N/A</v>
      </c>
      <c r="R123" s="26" t="e">
        <f t="shared" si="6"/>
        <v>#N/A</v>
      </c>
      <c r="S123" s="48" t="e">
        <f t="shared" si="7"/>
        <v>#N/A</v>
      </c>
      <c r="T123" s="49" t="s">
        <v>359</v>
      </c>
      <c r="U123" s="6" t="s">
        <v>198</v>
      </c>
      <c r="V123" s="6" t="s">
        <v>39</v>
      </c>
      <c r="W123" s="6" t="s">
        <v>39</v>
      </c>
      <c r="X123" s="6" t="s">
        <v>38</v>
      </c>
      <c r="Y123" s="6" t="s">
        <v>39</v>
      </c>
      <c r="Z123" s="6" t="s">
        <v>39</v>
      </c>
    </row>
    <row r="124" spans="1:26" hidden="1" x14ac:dyDescent="0.35">
      <c r="A124" s="6" t="s">
        <v>364</v>
      </c>
      <c r="B124" s="6">
        <v>154755</v>
      </c>
      <c r="C124" s="6">
        <v>28305</v>
      </c>
      <c r="D124" s="47">
        <v>4.32</v>
      </c>
      <c r="E124" s="25">
        <v>0</v>
      </c>
      <c r="F124" s="25">
        <v>0</v>
      </c>
      <c r="G124" s="26">
        <f t="shared" si="4"/>
        <v>0</v>
      </c>
      <c r="H124" s="6">
        <v>76160664</v>
      </c>
      <c r="I124" s="6" t="s">
        <v>365</v>
      </c>
      <c r="J124" s="6"/>
      <c r="K124" s="6"/>
      <c r="L124" s="6"/>
      <c r="M124" s="6" t="e">
        <f>VLOOKUP(H124,'Billing CDK pivot (by package)'!A:D,3,FALSE)</f>
        <v>#N/A</v>
      </c>
      <c r="N124" s="6" t="e">
        <f>VLOOKUP(H124,'Billing CDK pivot (by package)'!A:D,4,FALSE)</f>
        <v>#N/A</v>
      </c>
      <c r="O124" s="25" t="e">
        <f>VLOOKUP(H124,'Billing CDK pivot'!A:C,3,FALSE)</f>
        <v>#N/A</v>
      </c>
      <c r="P124" s="25">
        <f>IFERROR(VLOOKUP(H124,'Billing CDK pivot (overages)'!A:F,6,FALSE),0)</f>
        <v>0</v>
      </c>
      <c r="Q124" s="25" t="e">
        <f t="shared" si="5"/>
        <v>#N/A</v>
      </c>
      <c r="R124" s="26" t="e">
        <f t="shared" si="6"/>
        <v>#N/A</v>
      </c>
      <c r="S124" s="48" t="e">
        <f t="shared" si="7"/>
        <v>#N/A</v>
      </c>
      <c r="T124" s="49" t="s">
        <v>359</v>
      </c>
      <c r="U124" s="6" t="s">
        <v>366</v>
      </c>
      <c r="V124" s="6" t="s">
        <v>39</v>
      </c>
      <c r="W124" s="6" t="s">
        <v>39</v>
      </c>
      <c r="X124" s="6" t="s">
        <v>298</v>
      </c>
      <c r="Y124" s="6" t="s">
        <v>39</v>
      </c>
      <c r="Z124" s="6" t="s">
        <v>39</v>
      </c>
    </row>
    <row r="125" spans="1:26" hidden="1" x14ac:dyDescent="0.35">
      <c r="A125" s="6" t="s">
        <v>367</v>
      </c>
      <c r="B125" s="6">
        <v>141760</v>
      </c>
      <c r="C125" s="6">
        <v>18422</v>
      </c>
      <c r="D125" s="47">
        <v>2</v>
      </c>
      <c r="E125" s="25">
        <v>0</v>
      </c>
      <c r="F125" s="25">
        <v>0</v>
      </c>
      <c r="G125" s="26">
        <f t="shared" si="4"/>
        <v>0</v>
      </c>
      <c r="H125" s="6">
        <v>76205217</v>
      </c>
      <c r="I125" s="6" t="s">
        <v>368</v>
      </c>
      <c r="J125" s="6"/>
      <c r="K125" s="6"/>
      <c r="L125" s="6"/>
      <c r="M125" s="6" t="e">
        <f>VLOOKUP(H125,'Billing CDK pivot (by package)'!A:D,3,FALSE)</f>
        <v>#N/A</v>
      </c>
      <c r="N125" s="6" t="e">
        <f>VLOOKUP(H125,'Billing CDK pivot (by package)'!A:D,4,FALSE)</f>
        <v>#N/A</v>
      </c>
      <c r="O125" s="25" t="e">
        <f>VLOOKUP(H125,'Billing CDK pivot'!A:C,3,FALSE)</f>
        <v>#N/A</v>
      </c>
      <c r="P125" s="25">
        <f>IFERROR(VLOOKUP(H125,'Billing CDK pivot (overages)'!A:F,6,FALSE),0)</f>
        <v>0</v>
      </c>
      <c r="Q125" s="25" t="e">
        <f t="shared" si="5"/>
        <v>#N/A</v>
      </c>
      <c r="R125" s="26" t="e">
        <f t="shared" si="6"/>
        <v>#N/A</v>
      </c>
      <c r="S125" s="48" t="e">
        <f t="shared" si="7"/>
        <v>#N/A</v>
      </c>
      <c r="T125" s="49" t="s">
        <v>359</v>
      </c>
      <c r="U125" s="6" t="s">
        <v>369</v>
      </c>
      <c r="V125" s="6" t="s">
        <v>39</v>
      </c>
      <c r="W125" s="6" t="s">
        <v>39</v>
      </c>
      <c r="X125" s="6" t="s">
        <v>38</v>
      </c>
      <c r="Y125" s="6" t="s">
        <v>39</v>
      </c>
      <c r="Z125" s="6" t="s">
        <v>39</v>
      </c>
    </row>
    <row r="126" spans="1:26" hidden="1" x14ac:dyDescent="0.35">
      <c r="A126" s="6" t="s">
        <v>370</v>
      </c>
      <c r="B126" s="6">
        <v>61934</v>
      </c>
      <c r="C126" s="6">
        <v>16480</v>
      </c>
      <c r="D126" s="47">
        <v>82.34</v>
      </c>
      <c r="E126" s="25">
        <v>0</v>
      </c>
      <c r="F126" s="25">
        <v>254.15</v>
      </c>
      <c r="G126" s="26">
        <f t="shared" si="4"/>
        <v>254.15</v>
      </c>
      <c r="H126" s="6" t="e">
        <v>#N/A</v>
      </c>
      <c r="I126" s="6" t="e">
        <v>#N/A</v>
      </c>
      <c r="J126" s="6"/>
      <c r="K126" s="6"/>
      <c r="L126" s="6"/>
      <c r="M126" s="6" t="e">
        <f>VLOOKUP(H126,'Billing CDK pivot (by package)'!A:D,3,FALSE)</f>
        <v>#N/A</v>
      </c>
      <c r="N126" s="6" t="e">
        <f>VLOOKUP(H126,'Billing CDK pivot (by package)'!A:D,4,FALSE)</f>
        <v>#N/A</v>
      </c>
      <c r="O126" s="25" t="e">
        <f>VLOOKUP(H126,'Billing CDK pivot'!A:C,3,FALSE)</f>
        <v>#N/A</v>
      </c>
      <c r="P126" s="25">
        <f>IFERROR(VLOOKUP(H126,'Billing CDK pivot (overages)'!A:F,6,FALSE),0)</f>
        <v>0</v>
      </c>
      <c r="Q126" s="25" t="e">
        <f t="shared" si="5"/>
        <v>#N/A</v>
      </c>
      <c r="R126" s="26" t="e">
        <f t="shared" si="6"/>
        <v>#N/A</v>
      </c>
      <c r="S126" s="48" t="e">
        <f t="shared" si="7"/>
        <v>#N/A</v>
      </c>
      <c r="T126" s="6" t="s">
        <v>371</v>
      </c>
      <c r="U126" s="6" t="e">
        <v>#N/A</v>
      </c>
      <c r="V126" s="6" t="e">
        <v>#N/A</v>
      </c>
      <c r="W126" s="6" t="e">
        <v>#N/A</v>
      </c>
      <c r="X126" s="6" t="s">
        <v>372</v>
      </c>
      <c r="Y126" s="6" t="s">
        <v>39</v>
      </c>
      <c r="Z126" s="6" t="s">
        <v>39</v>
      </c>
    </row>
    <row r="127" spans="1:26" hidden="1" x14ac:dyDescent="0.35">
      <c r="A127" s="6" t="s">
        <v>373</v>
      </c>
      <c r="B127" s="6">
        <v>97941</v>
      </c>
      <c r="C127" s="6" t="s">
        <v>289</v>
      </c>
      <c r="D127" s="47">
        <v>79.33</v>
      </c>
      <c r="E127" s="25">
        <v>0</v>
      </c>
      <c r="F127" s="25">
        <v>1304</v>
      </c>
      <c r="G127" s="26">
        <f t="shared" si="4"/>
        <v>1304</v>
      </c>
      <c r="H127" s="6" t="e">
        <v>#N/A</v>
      </c>
      <c r="I127" s="6" t="e">
        <v>#N/A</v>
      </c>
      <c r="J127" s="6"/>
      <c r="K127" s="6"/>
      <c r="L127" s="6"/>
      <c r="M127" s="6" t="e">
        <f>VLOOKUP(H127,'Billing CDK pivot (by package)'!A:D,3,FALSE)</f>
        <v>#N/A</v>
      </c>
      <c r="N127" s="6" t="e">
        <f>VLOOKUP(H127,'Billing CDK pivot (by package)'!A:D,4,FALSE)</f>
        <v>#N/A</v>
      </c>
      <c r="O127" s="25" t="e">
        <f>VLOOKUP(H127,'Billing CDK pivot'!A:C,3,FALSE)</f>
        <v>#N/A</v>
      </c>
      <c r="P127" s="25">
        <f>IFERROR(VLOOKUP(H127,'Billing CDK pivot (overages)'!A:F,6,FALSE),0)</f>
        <v>0</v>
      </c>
      <c r="Q127" s="25" t="e">
        <f t="shared" si="5"/>
        <v>#N/A</v>
      </c>
      <c r="R127" s="26" t="e">
        <f t="shared" si="6"/>
        <v>#N/A</v>
      </c>
      <c r="S127" s="48" t="e">
        <f t="shared" si="7"/>
        <v>#N/A</v>
      </c>
      <c r="T127" s="6" t="s">
        <v>371</v>
      </c>
      <c r="U127" s="6" t="e">
        <v>#N/A</v>
      </c>
      <c r="V127" s="6" t="e">
        <v>#N/A</v>
      </c>
      <c r="W127" s="6" t="e">
        <v>#N/A</v>
      </c>
      <c r="X127" s="6" t="s">
        <v>143</v>
      </c>
      <c r="Y127" s="6" t="s">
        <v>100</v>
      </c>
      <c r="Z127" s="6" t="s">
        <v>39</v>
      </c>
    </row>
    <row r="128" spans="1:26" hidden="1" x14ac:dyDescent="0.35">
      <c r="A128" s="6" t="s">
        <v>374</v>
      </c>
      <c r="B128" s="6">
        <v>99795</v>
      </c>
      <c r="C128" s="6">
        <v>4545</v>
      </c>
      <c r="D128" s="47">
        <v>1.34</v>
      </c>
      <c r="E128" s="25">
        <v>0</v>
      </c>
      <c r="F128" s="25">
        <v>129</v>
      </c>
      <c r="G128" s="26">
        <f t="shared" si="4"/>
        <v>129</v>
      </c>
      <c r="H128" s="6" t="e">
        <v>#N/A</v>
      </c>
      <c r="I128" s="6" t="e">
        <v>#N/A</v>
      </c>
      <c r="J128" s="6"/>
      <c r="K128" s="6"/>
      <c r="L128" s="6"/>
      <c r="M128" s="6" t="e">
        <f>VLOOKUP(H128,'Billing CDK pivot (by package)'!A:D,3,FALSE)</f>
        <v>#N/A</v>
      </c>
      <c r="N128" s="6" t="e">
        <f>VLOOKUP(H128,'Billing CDK pivot (by package)'!A:D,4,FALSE)</f>
        <v>#N/A</v>
      </c>
      <c r="O128" s="25" t="e">
        <f>VLOOKUP(H128,'Billing CDK pivot'!A:C,3,FALSE)</f>
        <v>#N/A</v>
      </c>
      <c r="P128" s="25">
        <f>IFERROR(VLOOKUP(H128,'Billing CDK pivot (overages)'!A:F,6,FALSE),0)</f>
        <v>0</v>
      </c>
      <c r="Q128" s="25" t="e">
        <f t="shared" si="5"/>
        <v>#N/A</v>
      </c>
      <c r="R128" s="26" t="e">
        <f t="shared" si="6"/>
        <v>#N/A</v>
      </c>
      <c r="S128" s="48" t="e">
        <f t="shared" si="7"/>
        <v>#N/A</v>
      </c>
      <c r="T128" s="6" t="s">
        <v>371</v>
      </c>
      <c r="U128" s="6" t="e">
        <v>#N/A</v>
      </c>
      <c r="V128" s="6" t="e">
        <v>#N/A</v>
      </c>
      <c r="W128" s="6" t="e">
        <v>#N/A</v>
      </c>
      <c r="X128" s="6" t="s">
        <v>38</v>
      </c>
      <c r="Y128" s="6" t="s">
        <v>39</v>
      </c>
      <c r="Z128" s="6" t="s">
        <v>39</v>
      </c>
    </row>
    <row r="129" spans="1:26" hidden="1" x14ac:dyDescent="0.35">
      <c r="A129" s="6" t="s">
        <v>375</v>
      </c>
      <c r="B129" s="6">
        <v>72057</v>
      </c>
      <c r="C129" s="6">
        <v>16585</v>
      </c>
      <c r="D129" s="47">
        <v>2190.39</v>
      </c>
      <c r="E129" s="25">
        <v>0</v>
      </c>
      <c r="F129" s="25">
        <v>254.15</v>
      </c>
      <c r="G129" s="26">
        <f t="shared" si="4"/>
        <v>254.15</v>
      </c>
      <c r="H129" s="6" t="e">
        <v>#N/A</v>
      </c>
      <c r="I129" s="6" t="e">
        <v>#N/A</v>
      </c>
      <c r="J129" s="6"/>
      <c r="K129" s="6"/>
      <c r="L129" s="6"/>
      <c r="M129" s="6" t="e">
        <f>VLOOKUP(H129,'Billing CDK pivot (by package)'!A:D,3,FALSE)</f>
        <v>#N/A</v>
      </c>
      <c r="N129" s="6" t="e">
        <f>VLOOKUP(H129,'Billing CDK pivot (by package)'!A:D,4,FALSE)</f>
        <v>#N/A</v>
      </c>
      <c r="O129" s="25" t="e">
        <f>VLOOKUP(H129,'Billing CDK pivot'!A:C,3,FALSE)</f>
        <v>#N/A</v>
      </c>
      <c r="P129" s="25">
        <f>IFERROR(VLOOKUP(H129,'Billing CDK pivot (overages)'!A:F,6,FALSE),0)</f>
        <v>0</v>
      </c>
      <c r="Q129" s="25" t="e">
        <f t="shared" si="5"/>
        <v>#N/A</v>
      </c>
      <c r="R129" s="26" t="e">
        <f t="shared" si="6"/>
        <v>#N/A</v>
      </c>
      <c r="S129" s="48" t="e">
        <f t="shared" si="7"/>
        <v>#N/A</v>
      </c>
      <c r="T129" s="6" t="s">
        <v>371</v>
      </c>
      <c r="U129" s="6" t="e">
        <v>#N/A</v>
      </c>
      <c r="V129" s="6" t="e">
        <v>#N/A</v>
      </c>
      <c r="W129" s="6" t="e">
        <v>#N/A</v>
      </c>
      <c r="X129" s="6" t="s">
        <v>58</v>
      </c>
      <c r="Y129" s="6" t="s">
        <v>39</v>
      </c>
      <c r="Z129" s="6" t="s">
        <v>39</v>
      </c>
    </row>
    <row r="130" spans="1:26" hidden="1" x14ac:dyDescent="0.35">
      <c r="A130" s="6" t="s">
        <v>376</v>
      </c>
      <c r="B130" s="6">
        <v>36446</v>
      </c>
      <c r="C130" s="6">
        <v>10556</v>
      </c>
      <c r="D130" s="47">
        <v>41.02</v>
      </c>
      <c r="E130" s="25">
        <v>0</v>
      </c>
      <c r="F130" s="25">
        <v>710</v>
      </c>
      <c r="G130" s="26">
        <f t="shared" si="4"/>
        <v>710</v>
      </c>
      <c r="H130" s="6">
        <v>76213993</v>
      </c>
      <c r="I130" s="6" t="e">
        <v>#N/A</v>
      </c>
      <c r="J130" s="6"/>
      <c r="K130" s="6"/>
      <c r="L130" s="6"/>
      <c r="M130" s="6" t="e">
        <f>VLOOKUP(H130,'Billing CDK pivot (by package)'!A:D,3,FALSE)</f>
        <v>#N/A</v>
      </c>
      <c r="N130" s="6" t="e">
        <f>VLOOKUP(H130,'Billing CDK pivot (by package)'!A:D,4,FALSE)</f>
        <v>#N/A</v>
      </c>
      <c r="O130" s="25" t="e">
        <f>VLOOKUP(H130,'Billing CDK pivot'!A:C,3,FALSE)</f>
        <v>#N/A</v>
      </c>
      <c r="P130" s="25">
        <f>IFERROR(VLOOKUP(H130,'Billing CDK pivot (overages)'!A:F,6,FALSE),0)</f>
        <v>0</v>
      </c>
      <c r="Q130" s="25" t="e">
        <f t="shared" si="5"/>
        <v>#N/A</v>
      </c>
      <c r="R130" s="26" t="e">
        <f t="shared" si="6"/>
        <v>#N/A</v>
      </c>
      <c r="S130" s="48" t="e">
        <f t="shared" si="7"/>
        <v>#N/A</v>
      </c>
      <c r="T130" s="49" t="s">
        <v>371</v>
      </c>
      <c r="U130" s="6" t="e">
        <v>#N/A</v>
      </c>
      <c r="V130" s="6" t="e">
        <v>#N/A</v>
      </c>
      <c r="W130" s="6" t="e">
        <v>#N/A</v>
      </c>
      <c r="X130" s="6" t="s">
        <v>143</v>
      </c>
      <c r="Y130" s="6" t="s">
        <v>39</v>
      </c>
      <c r="Z130" s="6" t="s">
        <v>39</v>
      </c>
    </row>
    <row r="131" spans="1:26" hidden="1" x14ac:dyDescent="0.35">
      <c r="A131" s="6" t="s">
        <v>377</v>
      </c>
      <c r="B131" s="6">
        <v>46371</v>
      </c>
      <c r="C131" s="6">
        <v>11519</v>
      </c>
      <c r="D131" s="47">
        <v>3112.69</v>
      </c>
      <c r="E131" s="25">
        <v>0</v>
      </c>
      <c r="F131" s="25">
        <v>139</v>
      </c>
      <c r="G131" s="26">
        <f t="shared" ref="G131:G194" si="8">+F131-E131</f>
        <v>139</v>
      </c>
      <c r="H131" s="6">
        <v>41002528</v>
      </c>
      <c r="I131" s="6" t="e">
        <v>#N/A</v>
      </c>
      <c r="J131" s="6"/>
      <c r="K131" s="6"/>
      <c r="L131" s="6"/>
      <c r="M131" s="6" t="e">
        <f>VLOOKUP(H131,'Billing CDK pivot (by package)'!A:D,3,FALSE)</f>
        <v>#N/A</v>
      </c>
      <c r="N131" s="6" t="e">
        <f>VLOOKUP(H131,'Billing CDK pivot (by package)'!A:D,4,FALSE)</f>
        <v>#N/A</v>
      </c>
      <c r="O131" s="25" t="e">
        <f>VLOOKUP(H131,'Billing CDK pivot'!A:C,3,FALSE)</f>
        <v>#N/A</v>
      </c>
      <c r="P131" s="25">
        <f>IFERROR(VLOOKUP(H131,'Billing CDK pivot (overages)'!A:F,6,FALSE),0)</f>
        <v>0</v>
      </c>
      <c r="Q131" s="25" t="e">
        <f t="shared" ref="Q131:Q194" si="9">+O131+P131</f>
        <v>#N/A</v>
      </c>
      <c r="R131" s="26" t="e">
        <f t="shared" ref="R131:R194" si="10">+O131-G131</f>
        <v>#N/A</v>
      </c>
      <c r="S131" s="48" t="e">
        <f t="shared" ref="S131:S194" si="11">+R131/O131</f>
        <v>#N/A</v>
      </c>
      <c r="T131" s="49" t="s">
        <v>371</v>
      </c>
      <c r="U131" s="6" t="e">
        <v>#N/A</v>
      </c>
      <c r="V131" s="6" t="e">
        <v>#N/A</v>
      </c>
      <c r="W131" s="6" t="e">
        <v>#N/A</v>
      </c>
      <c r="X131" s="6" t="s">
        <v>378</v>
      </c>
      <c r="Y131" s="6" t="s">
        <v>80</v>
      </c>
      <c r="Z131" s="6" t="s">
        <v>39</v>
      </c>
    </row>
    <row r="132" spans="1:26" hidden="1" x14ac:dyDescent="0.35">
      <c r="A132" s="6" t="s">
        <v>379</v>
      </c>
      <c r="B132" s="6">
        <v>46376</v>
      </c>
      <c r="C132" s="6">
        <v>15064</v>
      </c>
      <c r="D132" s="47">
        <v>4038.14</v>
      </c>
      <c r="E132" s="25">
        <v>0.76</v>
      </c>
      <c r="F132" s="25">
        <v>129.76</v>
      </c>
      <c r="G132" s="26">
        <f t="shared" si="8"/>
        <v>129</v>
      </c>
      <c r="H132" s="6">
        <v>76060185</v>
      </c>
      <c r="I132" s="6" t="e">
        <v>#N/A</v>
      </c>
      <c r="J132" s="6"/>
      <c r="K132" s="6"/>
      <c r="L132" s="6"/>
      <c r="M132" s="6" t="e">
        <f>VLOOKUP(H132,'Billing CDK pivot (by package)'!A:D,3,FALSE)</f>
        <v>#N/A</v>
      </c>
      <c r="N132" s="6" t="e">
        <f>VLOOKUP(H132,'Billing CDK pivot (by package)'!A:D,4,FALSE)</f>
        <v>#N/A</v>
      </c>
      <c r="O132" s="25" t="e">
        <f>VLOOKUP(H132,'Billing CDK pivot'!A:C,3,FALSE)</f>
        <v>#N/A</v>
      </c>
      <c r="P132" s="25">
        <f>IFERROR(VLOOKUP(H132,'Billing CDK pivot (overages)'!A:F,6,FALSE),0)</f>
        <v>0</v>
      </c>
      <c r="Q132" s="25" t="e">
        <f t="shared" si="9"/>
        <v>#N/A</v>
      </c>
      <c r="R132" s="26" t="e">
        <f t="shared" si="10"/>
        <v>#N/A</v>
      </c>
      <c r="S132" s="48" t="e">
        <f t="shared" si="11"/>
        <v>#N/A</v>
      </c>
      <c r="T132" s="49" t="s">
        <v>371</v>
      </c>
      <c r="U132" s="6" t="e">
        <v>#N/A</v>
      </c>
      <c r="V132" s="6" t="e">
        <v>#N/A</v>
      </c>
      <c r="W132" s="6" t="e">
        <v>#N/A</v>
      </c>
      <c r="X132" s="6" t="s">
        <v>38</v>
      </c>
      <c r="Y132" s="6" t="s">
        <v>39</v>
      </c>
      <c r="Z132" s="6" t="s">
        <v>39</v>
      </c>
    </row>
    <row r="133" spans="1:26" hidden="1" x14ac:dyDescent="0.35">
      <c r="A133" s="6" t="s">
        <v>380</v>
      </c>
      <c r="B133" s="6">
        <v>59903</v>
      </c>
      <c r="C133" s="6">
        <v>5252</v>
      </c>
      <c r="D133" s="47">
        <v>0.33</v>
      </c>
      <c r="E133" s="25">
        <v>0</v>
      </c>
      <c r="F133" s="25">
        <v>129</v>
      </c>
      <c r="G133" s="26">
        <f t="shared" si="8"/>
        <v>129</v>
      </c>
      <c r="H133" s="6">
        <v>76216678</v>
      </c>
      <c r="I133" s="6" t="e">
        <v>#N/A</v>
      </c>
      <c r="J133" s="6"/>
      <c r="K133" s="6"/>
      <c r="L133" s="6"/>
      <c r="M133" s="6" t="e">
        <f>VLOOKUP(H133,'Billing CDK pivot (by package)'!A:D,3,FALSE)</f>
        <v>#N/A</v>
      </c>
      <c r="N133" s="6" t="e">
        <f>VLOOKUP(H133,'Billing CDK pivot (by package)'!A:D,4,FALSE)</f>
        <v>#N/A</v>
      </c>
      <c r="O133" s="25" t="e">
        <f>VLOOKUP(H133,'Billing CDK pivot'!A:C,3,FALSE)</f>
        <v>#N/A</v>
      </c>
      <c r="P133" s="25">
        <f>IFERROR(VLOOKUP(H133,'Billing CDK pivot (overages)'!A:F,6,FALSE),0)</f>
        <v>0</v>
      </c>
      <c r="Q133" s="25" t="e">
        <f t="shared" si="9"/>
        <v>#N/A</v>
      </c>
      <c r="R133" s="26" t="e">
        <f t="shared" si="10"/>
        <v>#N/A</v>
      </c>
      <c r="S133" s="48" t="e">
        <f t="shared" si="11"/>
        <v>#N/A</v>
      </c>
      <c r="T133" s="49" t="s">
        <v>371</v>
      </c>
      <c r="U133" s="6" t="e">
        <v>#N/A</v>
      </c>
      <c r="V133" s="6" t="e">
        <v>#N/A</v>
      </c>
      <c r="W133" s="6" t="e">
        <v>#N/A</v>
      </c>
      <c r="X133" s="6" t="s">
        <v>38</v>
      </c>
      <c r="Y133" s="6" t="s">
        <v>39</v>
      </c>
      <c r="Z133" s="6" t="s">
        <v>39</v>
      </c>
    </row>
    <row r="134" spans="1:26" hidden="1" x14ac:dyDescent="0.35">
      <c r="A134" s="6" t="s">
        <v>381</v>
      </c>
      <c r="B134" s="6">
        <v>58680</v>
      </c>
      <c r="C134" s="6">
        <v>9472</v>
      </c>
      <c r="D134" s="47">
        <v>0</v>
      </c>
      <c r="E134" s="25">
        <v>0</v>
      </c>
      <c r="F134" s="25">
        <v>129</v>
      </c>
      <c r="G134" s="26">
        <f t="shared" si="8"/>
        <v>129</v>
      </c>
      <c r="H134" s="6">
        <v>76179736</v>
      </c>
      <c r="I134" s="6" t="e">
        <v>#N/A</v>
      </c>
      <c r="J134" s="6"/>
      <c r="K134" s="6"/>
      <c r="L134" s="6"/>
      <c r="M134" s="6" t="e">
        <f>VLOOKUP(H134,'Billing CDK pivot (by package)'!A:D,3,FALSE)</f>
        <v>#N/A</v>
      </c>
      <c r="N134" s="6" t="e">
        <f>VLOOKUP(H134,'Billing CDK pivot (by package)'!A:D,4,FALSE)</f>
        <v>#N/A</v>
      </c>
      <c r="O134" s="25" t="e">
        <f>VLOOKUP(H134,'Billing CDK pivot'!A:C,3,FALSE)</f>
        <v>#N/A</v>
      </c>
      <c r="P134" s="25">
        <f>IFERROR(VLOOKUP(H134,'Billing CDK pivot (overages)'!A:F,6,FALSE),0)</f>
        <v>0</v>
      </c>
      <c r="Q134" s="25" t="e">
        <f t="shared" si="9"/>
        <v>#N/A</v>
      </c>
      <c r="R134" s="26" t="e">
        <f t="shared" si="10"/>
        <v>#N/A</v>
      </c>
      <c r="S134" s="48" t="e">
        <f t="shared" si="11"/>
        <v>#N/A</v>
      </c>
      <c r="T134" s="49" t="s">
        <v>371</v>
      </c>
      <c r="U134" s="6" t="e">
        <v>#N/A</v>
      </c>
      <c r="V134" s="6" t="e">
        <v>#N/A</v>
      </c>
      <c r="W134" s="6" t="e">
        <v>#N/A</v>
      </c>
      <c r="X134" s="6" t="s">
        <v>80</v>
      </c>
      <c r="Y134" s="6" t="s">
        <v>39</v>
      </c>
      <c r="Z134" s="6" t="s">
        <v>39</v>
      </c>
    </row>
    <row r="135" spans="1:26" hidden="1" x14ac:dyDescent="0.35">
      <c r="A135" s="6" t="s">
        <v>382</v>
      </c>
      <c r="B135" s="6">
        <v>58685</v>
      </c>
      <c r="C135" s="6">
        <v>2432</v>
      </c>
      <c r="D135" s="47">
        <v>0</v>
      </c>
      <c r="E135" s="25">
        <v>0</v>
      </c>
      <c r="F135" s="25">
        <v>129</v>
      </c>
      <c r="G135" s="26">
        <f t="shared" si="8"/>
        <v>129</v>
      </c>
      <c r="H135" s="6">
        <v>76211699</v>
      </c>
      <c r="I135" s="6" t="e">
        <v>#N/A</v>
      </c>
      <c r="J135" s="6"/>
      <c r="K135" s="6"/>
      <c r="L135" s="6"/>
      <c r="M135" s="6" t="e">
        <f>VLOOKUP(H135,'Billing CDK pivot (by package)'!A:D,3,FALSE)</f>
        <v>#N/A</v>
      </c>
      <c r="N135" s="6" t="e">
        <f>VLOOKUP(H135,'Billing CDK pivot (by package)'!A:D,4,FALSE)</f>
        <v>#N/A</v>
      </c>
      <c r="O135" s="25" t="e">
        <f>VLOOKUP(H135,'Billing CDK pivot'!A:C,3,FALSE)</f>
        <v>#N/A</v>
      </c>
      <c r="P135" s="25">
        <f>IFERROR(VLOOKUP(H135,'Billing CDK pivot (overages)'!A:F,6,FALSE),0)</f>
        <v>0</v>
      </c>
      <c r="Q135" s="25" t="e">
        <f t="shared" si="9"/>
        <v>#N/A</v>
      </c>
      <c r="R135" s="26" t="e">
        <f t="shared" si="10"/>
        <v>#N/A</v>
      </c>
      <c r="S135" s="48" t="e">
        <f t="shared" si="11"/>
        <v>#N/A</v>
      </c>
      <c r="T135" s="49" t="s">
        <v>371</v>
      </c>
      <c r="U135" s="6" t="e">
        <v>#N/A</v>
      </c>
      <c r="V135" s="6" t="e">
        <v>#N/A</v>
      </c>
      <c r="W135" s="6" t="e">
        <v>#N/A</v>
      </c>
      <c r="X135" s="6" t="s">
        <v>80</v>
      </c>
      <c r="Y135" s="6" t="s">
        <v>39</v>
      </c>
      <c r="Z135" s="6" t="s">
        <v>39</v>
      </c>
    </row>
    <row r="136" spans="1:26" hidden="1" x14ac:dyDescent="0.35">
      <c r="A136" s="6" t="s">
        <v>383</v>
      </c>
      <c r="B136" s="6">
        <v>121132</v>
      </c>
      <c r="C136" s="6">
        <v>21229</v>
      </c>
      <c r="D136" s="47">
        <v>20.98</v>
      </c>
      <c r="E136" s="25">
        <v>0</v>
      </c>
      <c r="F136" s="25">
        <v>254.15</v>
      </c>
      <c r="G136" s="26">
        <f t="shared" si="8"/>
        <v>254.15</v>
      </c>
      <c r="H136" s="6">
        <v>76205924</v>
      </c>
      <c r="I136" s="6" t="e">
        <v>#N/A</v>
      </c>
      <c r="J136" s="6"/>
      <c r="K136" s="6"/>
      <c r="L136" s="6"/>
      <c r="M136" s="6" t="e">
        <f>VLOOKUP(H136,'Billing CDK pivot (by package)'!A:D,3,FALSE)</f>
        <v>#N/A</v>
      </c>
      <c r="N136" s="6" t="e">
        <f>VLOOKUP(H136,'Billing CDK pivot (by package)'!A:D,4,FALSE)</f>
        <v>#N/A</v>
      </c>
      <c r="O136" s="25" t="e">
        <f>VLOOKUP(H136,'Billing CDK pivot'!A:C,3,FALSE)</f>
        <v>#N/A</v>
      </c>
      <c r="P136" s="25">
        <f>IFERROR(VLOOKUP(H136,'Billing CDK pivot (overages)'!A:F,6,FALSE),0)</f>
        <v>0</v>
      </c>
      <c r="Q136" s="25" t="e">
        <f t="shared" si="9"/>
        <v>#N/A</v>
      </c>
      <c r="R136" s="26" t="e">
        <f t="shared" si="10"/>
        <v>#N/A</v>
      </c>
      <c r="S136" s="48" t="e">
        <f t="shared" si="11"/>
        <v>#N/A</v>
      </c>
      <c r="T136" s="49" t="s">
        <v>371</v>
      </c>
      <c r="U136" s="6" t="e">
        <v>#N/A</v>
      </c>
      <c r="V136" s="6" t="e">
        <v>#N/A</v>
      </c>
      <c r="W136" s="6" t="e">
        <v>#N/A</v>
      </c>
      <c r="X136" s="6" t="s">
        <v>80</v>
      </c>
      <c r="Y136" s="6" t="s">
        <v>39</v>
      </c>
      <c r="Z136" s="6" t="s">
        <v>39</v>
      </c>
    </row>
    <row r="137" spans="1:26" hidden="1" x14ac:dyDescent="0.35">
      <c r="A137" s="6" t="s">
        <v>384</v>
      </c>
      <c r="B137" s="6">
        <v>74101</v>
      </c>
      <c r="C137" s="6">
        <v>999999</v>
      </c>
      <c r="D137" s="47">
        <v>6518.42</v>
      </c>
      <c r="E137" s="25">
        <v>0</v>
      </c>
      <c r="F137" s="25">
        <v>551.11</v>
      </c>
      <c r="G137" s="26">
        <f t="shared" si="8"/>
        <v>551.11</v>
      </c>
      <c r="H137" s="6" t="e">
        <v>#N/A</v>
      </c>
      <c r="I137" s="6" t="e">
        <v>#N/A</v>
      </c>
      <c r="J137" s="6"/>
      <c r="K137" s="6"/>
      <c r="L137" s="6"/>
      <c r="M137" s="6" t="e">
        <f>VLOOKUP(H137,'Billing CDK pivot (by package)'!A:D,3,FALSE)</f>
        <v>#N/A</v>
      </c>
      <c r="N137" s="6" t="e">
        <f>VLOOKUP(H137,'Billing CDK pivot (by package)'!A:D,4,FALSE)</f>
        <v>#N/A</v>
      </c>
      <c r="O137" s="25" t="e">
        <f>VLOOKUP(H137,'Billing CDK pivot'!A:C,3,FALSE)</f>
        <v>#N/A</v>
      </c>
      <c r="P137" s="25">
        <f>IFERROR(VLOOKUP(H137,'Billing CDK pivot (overages)'!A:F,6,FALSE),0)</f>
        <v>0</v>
      </c>
      <c r="Q137" s="25" t="e">
        <f t="shared" si="9"/>
        <v>#N/A</v>
      </c>
      <c r="R137" s="26" t="e">
        <f t="shared" si="10"/>
        <v>#N/A</v>
      </c>
      <c r="S137" s="48" t="e">
        <f t="shared" si="11"/>
        <v>#N/A</v>
      </c>
      <c r="T137" s="49" t="s">
        <v>371</v>
      </c>
      <c r="U137" s="6" t="e">
        <v>#N/A</v>
      </c>
      <c r="V137" s="6" t="e">
        <v>#N/A</v>
      </c>
      <c r="W137" s="6" t="e">
        <v>#N/A</v>
      </c>
      <c r="X137" s="6" t="s">
        <v>38</v>
      </c>
      <c r="Y137" s="6" t="s">
        <v>39</v>
      </c>
      <c r="Z137" s="6" t="s">
        <v>39</v>
      </c>
    </row>
    <row r="138" spans="1:26" hidden="1" x14ac:dyDescent="0.35">
      <c r="A138" s="6" t="s">
        <v>385</v>
      </c>
      <c r="B138" s="6">
        <v>85622</v>
      </c>
      <c r="C138" s="6">
        <v>17914</v>
      </c>
      <c r="D138" s="47">
        <v>249.02</v>
      </c>
      <c r="E138" s="25">
        <v>0</v>
      </c>
      <c r="F138" s="25">
        <v>710</v>
      </c>
      <c r="G138" s="26">
        <f t="shared" si="8"/>
        <v>710</v>
      </c>
      <c r="H138" s="6" t="e">
        <v>#N/A</v>
      </c>
      <c r="I138" s="6" t="e">
        <v>#N/A</v>
      </c>
      <c r="J138" s="6"/>
      <c r="K138" s="6"/>
      <c r="L138" s="6"/>
      <c r="M138" s="6" t="e">
        <f>VLOOKUP(H138,'Billing CDK pivot (by package)'!A:D,3,FALSE)</f>
        <v>#N/A</v>
      </c>
      <c r="N138" s="6" t="e">
        <f>VLOOKUP(H138,'Billing CDK pivot (by package)'!A:D,4,FALSE)</f>
        <v>#N/A</v>
      </c>
      <c r="O138" s="25" t="e">
        <f>VLOOKUP(H138,'Billing CDK pivot'!A:C,3,FALSE)</f>
        <v>#N/A</v>
      </c>
      <c r="P138" s="25">
        <f>IFERROR(VLOOKUP(H138,'Billing CDK pivot (overages)'!A:F,6,FALSE),0)</f>
        <v>0</v>
      </c>
      <c r="Q138" s="25" t="e">
        <f t="shared" si="9"/>
        <v>#N/A</v>
      </c>
      <c r="R138" s="26" t="e">
        <f t="shared" si="10"/>
        <v>#N/A</v>
      </c>
      <c r="S138" s="48" t="e">
        <f t="shared" si="11"/>
        <v>#N/A</v>
      </c>
      <c r="T138" s="49" t="s">
        <v>371</v>
      </c>
      <c r="U138" s="6" t="e">
        <v>#N/A</v>
      </c>
      <c r="V138" s="6" t="e">
        <v>#N/A</v>
      </c>
      <c r="W138" s="6" t="e">
        <v>#N/A</v>
      </c>
      <c r="X138" s="6" t="s">
        <v>38</v>
      </c>
      <c r="Y138" s="6" t="s">
        <v>39</v>
      </c>
      <c r="Z138" s="6" t="s">
        <v>39</v>
      </c>
    </row>
    <row r="139" spans="1:26" hidden="1" x14ac:dyDescent="0.35">
      <c r="A139" s="6" t="s">
        <v>386</v>
      </c>
      <c r="B139" s="6">
        <v>153017</v>
      </c>
      <c r="C139" s="6">
        <v>27897</v>
      </c>
      <c r="D139" s="47">
        <v>6.63</v>
      </c>
      <c r="E139" s="25">
        <v>0</v>
      </c>
      <c r="F139" s="25">
        <v>264.14999999999998</v>
      </c>
      <c r="G139" s="26">
        <f t="shared" si="8"/>
        <v>264.14999999999998</v>
      </c>
      <c r="H139" s="6">
        <v>76233177</v>
      </c>
      <c r="I139" s="6" t="e">
        <v>#N/A</v>
      </c>
      <c r="J139" s="6"/>
      <c r="K139" s="6"/>
      <c r="L139" s="6"/>
      <c r="M139" s="6" t="e">
        <f>VLOOKUP(H139,'Billing CDK pivot (by package)'!A:D,3,FALSE)</f>
        <v>#N/A</v>
      </c>
      <c r="N139" s="6" t="e">
        <f>VLOOKUP(H139,'Billing CDK pivot (by package)'!A:D,4,FALSE)</f>
        <v>#N/A</v>
      </c>
      <c r="O139" s="25" t="e">
        <f>VLOOKUP(H139,'Billing CDK pivot'!A:C,3,FALSE)</f>
        <v>#N/A</v>
      </c>
      <c r="P139" s="25">
        <f>IFERROR(VLOOKUP(H139,'Billing CDK pivot (overages)'!A:F,6,FALSE),0)</f>
        <v>0</v>
      </c>
      <c r="Q139" s="25" t="e">
        <f t="shared" si="9"/>
        <v>#N/A</v>
      </c>
      <c r="R139" s="26" t="e">
        <f t="shared" si="10"/>
        <v>#N/A</v>
      </c>
      <c r="S139" s="48" t="e">
        <f t="shared" si="11"/>
        <v>#N/A</v>
      </c>
      <c r="T139" s="49" t="s">
        <v>371</v>
      </c>
      <c r="U139" s="6" t="e">
        <v>#N/A</v>
      </c>
      <c r="V139" s="6" t="e">
        <v>#N/A</v>
      </c>
      <c r="W139" s="6" t="e">
        <v>#N/A</v>
      </c>
      <c r="X139" s="6" t="s">
        <v>387</v>
      </c>
      <c r="Y139" s="6" t="s">
        <v>58</v>
      </c>
      <c r="Z139" s="6" t="s">
        <v>39</v>
      </c>
    </row>
    <row r="140" spans="1:26" hidden="1" x14ac:dyDescent="0.35">
      <c r="A140" s="6" t="s">
        <v>388</v>
      </c>
      <c r="B140" s="6">
        <v>77178</v>
      </c>
      <c r="C140" s="6">
        <v>16702</v>
      </c>
      <c r="D140" s="47">
        <v>522.63</v>
      </c>
      <c r="E140" s="25">
        <v>0</v>
      </c>
      <c r="F140" s="25">
        <v>254.15</v>
      </c>
      <c r="G140" s="26">
        <f t="shared" si="8"/>
        <v>254.15</v>
      </c>
      <c r="H140" s="6">
        <v>76214809</v>
      </c>
      <c r="I140" s="6" t="e">
        <v>#N/A</v>
      </c>
      <c r="J140" s="6"/>
      <c r="K140" s="6"/>
      <c r="L140" s="6"/>
      <c r="M140" s="6" t="e">
        <f>VLOOKUP(H140,'Billing CDK pivot (by package)'!A:D,3,FALSE)</f>
        <v>#N/A</v>
      </c>
      <c r="N140" s="6" t="e">
        <f>VLOOKUP(H140,'Billing CDK pivot (by package)'!A:D,4,FALSE)</f>
        <v>#N/A</v>
      </c>
      <c r="O140" s="25" t="e">
        <f>VLOOKUP(H140,'Billing CDK pivot'!A:C,3,FALSE)</f>
        <v>#N/A</v>
      </c>
      <c r="P140" s="25">
        <f>IFERROR(VLOOKUP(H140,'Billing CDK pivot (overages)'!A:F,6,FALSE),0)</f>
        <v>0</v>
      </c>
      <c r="Q140" s="25" t="e">
        <f t="shared" si="9"/>
        <v>#N/A</v>
      </c>
      <c r="R140" s="26" t="e">
        <f t="shared" si="10"/>
        <v>#N/A</v>
      </c>
      <c r="S140" s="48" t="e">
        <f t="shared" si="11"/>
        <v>#N/A</v>
      </c>
      <c r="T140" s="49" t="s">
        <v>371</v>
      </c>
      <c r="U140" s="6" t="e">
        <v>#N/A</v>
      </c>
      <c r="V140" s="6" t="e">
        <v>#N/A</v>
      </c>
      <c r="W140" s="6" t="e">
        <v>#N/A</v>
      </c>
      <c r="X140" s="6" t="s">
        <v>298</v>
      </c>
      <c r="Y140" s="6" t="s">
        <v>39</v>
      </c>
      <c r="Z140" s="6" t="s">
        <v>39</v>
      </c>
    </row>
    <row r="141" spans="1:26" hidden="1" x14ac:dyDescent="0.35">
      <c r="A141" s="6" t="s">
        <v>389</v>
      </c>
      <c r="B141" s="6">
        <v>138752</v>
      </c>
      <c r="C141" s="6" t="s">
        <v>289</v>
      </c>
      <c r="D141" s="47">
        <v>1451.06</v>
      </c>
      <c r="E141" s="25">
        <v>0</v>
      </c>
      <c r="F141" s="25">
        <v>264.14999999999998</v>
      </c>
      <c r="G141" s="26">
        <f t="shared" si="8"/>
        <v>264.14999999999998</v>
      </c>
      <c r="H141" s="6">
        <v>76213921</v>
      </c>
      <c r="I141" s="6" t="e">
        <v>#N/A</v>
      </c>
      <c r="J141" s="6"/>
      <c r="K141" s="6"/>
      <c r="L141" s="6"/>
      <c r="M141" s="6" t="e">
        <f>VLOOKUP(H141,'Billing CDK pivot (by package)'!A:D,3,FALSE)</f>
        <v>#N/A</v>
      </c>
      <c r="N141" s="6" t="e">
        <f>VLOOKUP(H141,'Billing CDK pivot (by package)'!A:D,4,FALSE)</f>
        <v>#N/A</v>
      </c>
      <c r="O141" s="25" t="e">
        <f>VLOOKUP(H141,'Billing CDK pivot'!A:C,3,FALSE)</f>
        <v>#N/A</v>
      </c>
      <c r="P141" s="25">
        <f>IFERROR(VLOOKUP(H141,'Billing CDK pivot (overages)'!A:F,6,FALSE),0)</f>
        <v>0</v>
      </c>
      <c r="Q141" s="25" t="e">
        <f t="shared" si="9"/>
        <v>#N/A</v>
      </c>
      <c r="R141" s="26" t="e">
        <f t="shared" si="10"/>
        <v>#N/A</v>
      </c>
      <c r="S141" s="48" t="e">
        <f t="shared" si="11"/>
        <v>#N/A</v>
      </c>
      <c r="T141" s="49" t="s">
        <v>371</v>
      </c>
      <c r="U141" s="6" t="e">
        <v>#N/A</v>
      </c>
      <c r="V141" s="6" t="e">
        <v>#N/A</v>
      </c>
      <c r="W141" s="6" t="e">
        <v>#N/A</v>
      </c>
      <c r="X141" s="6" t="s">
        <v>38</v>
      </c>
      <c r="Y141" s="6" t="s">
        <v>58</v>
      </c>
      <c r="Z141" s="6" t="s">
        <v>39</v>
      </c>
    </row>
    <row r="142" spans="1:26" hidden="1" x14ac:dyDescent="0.35">
      <c r="A142" s="6" t="s">
        <v>390</v>
      </c>
      <c r="B142" s="6">
        <v>77177</v>
      </c>
      <c r="C142" s="6">
        <v>17265</v>
      </c>
      <c r="D142" s="47">
        <v>0</v>
      </c>
      <c r="E142" s="25">
        <v>0</v>
      </c>
      <c r="F142" s="25">
        <v>129</v>
      </c>
      <c r="G142" s="26">
        <f t="shared" si="8"/>
        <v>129</v>
      </c>
      <c r="H142" s="6">
        <v>71047088</v>
      </c>
      <c r="I142" s="6" t="e">
        <v>#N/A</v>
      </c>
      <c r="J142" s="6"/>
      <c r="K142" s="6"/>
      <c r="L142" s="6"/>
      <c r="M142" s="6" t="e">
        <f>VLOOKUP(H142,'Billing CDK pivot (by package)'!A:D,3,FALSE)</f>
        <v>#N/A</v>
      </c>
      <c r="N142" s="6" t="e">
        <f>VLOOKUP(H142,'Billing CDK pivot (by package)'!A:D,4,FALSE)</f>
        <v>#N/A</v>
      </c>
      <c r="O142" s="25" t="e">
        <f>VLOOKUP(H142,'Billing CDK pivot'!A:C,3,FALSE)</f>
        <v>#N/A</v>
      </c>
      <c r="P142" s="25">
        <f>IFERROR(VLOOKUP(H142,'Billing CDK pivot (overages)'!A:F,6,FALSE),0)</f>
        <v>0</v>
      </c>
      <c r="Q142" s="25" t="e">
        <f t="shared" si="9"/>
        <v>#N/A</v>
      </c>
      <c r="R142" s="26" t="e">
        <f t="shared" si="10"/>
        <v>#N/A</v>
      </c>
      <c r="S142" s="48" t="e">
        <f t="shared" si="11"/>
        <v>#N/A</v>
      </c>
      <c r="T142" s="49" t="s">
        <v>371</v>
      </c>
      <c r="U142" s="6" t="e">
        <v>#N/A</v>
      </c>
      <c r="V142" s="6" t="e">
        <v>#N/A</v>
      </c>
      <c r="W142" s="6" t="e">
        <v>#N/A</v>
      </c>
      <c r="X142" s="6" t="s">
        <v>38</v>
      </c>
      <c r="Y142" s="6" t="s">
        <v>39</v>
      </c>
      <c r="Z142" s="6" t="s">
        <v>39</v>
      </c>
    </row>
    <row r="143" spans="1:26" hidden="1" x14ac:dyDescent="0.35">
      <c r="A143" s="6" t="s">
        <v>391</v>
      </c>
      <c r="B143" s="6">
        <v>83085</v>
      </c>
      <c r="C143" s="6">
        <v>17813</v>
      </c>
      <c r="D143" s="47">
        <v>0</v>
      </c>
      <c r="E143" s="25">
        <v>0</v>
      </c>
      <c r="F143" s="25">
        <v>254.15</v>
      </c>
      <c r="G143" s="26">
        <f t="shared" si="8"/>
        <v>254.15</v>
      </c>
      <c r="H143" s="6">
        <v>13496595</v>
      </c>
      <c r="I143" s="6" t="e">
        <v>#N/A</v>
      </c>
      <c r="J143" s="6"/>
      <c r="K143" s="6"/>
      <c r="L143" s="6"/>
      <c r="M143" s="6" t="e">
        <f>VLOOKUP(H143,'Billing CDK pivot (by package)'!A:D,3,FALSE)</f>
        <v>#N/A</v>
      </c>
      <c r="N143" s="6" t="e">
        <f>VLOOKUP(H143,'Billing CDK pivot (by package)'!A:D,4,FALSE)</f>
        <v>#N/A</v>
      </c>
      <c r="O143" s="25" t="e">
        <f>VLOOKUP(H143,'Billing CDK pivot'!A:C,3,FALSE)</f>
        <v>#N/A</v>
      </c>
      <c r="P143" s="25">
        <f>IFERROR(VLOOKUP(H143,'Billing CDK pivot (overages)'!A:F,6,FALSE),0)</f>
        <v>0</v>
      </c>
      <c r="Q143" s="25" t="e">
        <f t="shared" si="9"/>
        <v>#N/A</v>
      </c>
      <c r="R143" s="26" t="e">
        <f t="shared" si="10"/>
        <v>#N/A</v>
      </c>
      <c r="S143" s="48" t="e">
        <f t="shared" si="11"/>
        <v>#N/A</v>
      </c>
      <c r="T143" s="49" t="s">
        <v>371</v>
      </c>
      <c r="U143" s="6" t="e">
        <v>#N/A</v>
      </c>
      <c r="V143" s="6" t="e">
        <v>#N/A</v>
      </c>
      <c r="W143" s="6" t="e">
        <v>#N/A</v>
      </c>
      <c r="X143" s="6" t="s">
        <v>38</v>
      </c>
      <c r="Y143" s="6" t="s">
        <v>39</v>
      </c>
      <c r="Z143" s="6" t="s">
        <v>39</v>
      </c>
    </row>
    <row r="144" spans="1:26" hidden="1" x14ac:dyDescent="0.35">
      <c r="A144" s="6" t="s">
        <v>392</v>
      </c>
      <c r="B144" s="6">
        <v>104610</v>
      </c>
      <c r="C144" s="6">
        <v>19236</v>
      </c>
      <c r="D144" s="47">
        <v>5</v>
      </c>
      <c r="E144" s="25">
        <v>0</v>
      </c>
      <c r="F144" s="25">
        <v>254.15</v>
      </c>
      <c r="G144" s="26">
        <f t="shared" si="8"/>
        <v>254.15</v>
      </c>
      <c r="H144" s="6">
        <v>76208860</v>
      </c>
      <c r="I144" s="6" t="e">
        <v>#N/A</v>
      </c>
      <c r="J144" s="6"/>
      <c r="K144" s="6"/>
      <c r="L144" s="6"/>
      <c r="M144" s="6" t="e">
        <f>VLOOKUP(H144,'Billing CDK pivot (by package)'!A:D,3,FALSE)</f>
        <v>#N/A</v>
      </c>
      <c r="N144" s="6" t="e">
        <f>VLOOKUP(H144,'Billing CDK pivot (by package)'!A:D,4,FALSE)</f>
        <v>#N/A</v>
      </c>
      <c r="O144" s="25" t="e">
        <f>VLOOKUP(H144,'Billing CDK pivot'!A:C,3,FALSE)</f>
        <v>#N/A</v>
      </c>
      <c r="P144" s="25">
        <f>IFERROR(VLOOKUP(H144,'Billing CDK pivot (overages)'!A:F,6,FALSE),0)</f>
        <v>0</v>
      </c>
      <c r="Q144" s="25" t="e">
        <f t="shared" si="9"/>
        <v>#N/A</v>
      </c>
      <c r="R144" s="26" t="e">
        <f t="shared" si="10"/>
        <v>#N/A</v>
      </c>
      <c r="S144" s="48" t="e">
        <f t="shared" si="11"/>
        <v>#N/A</v>
      </c>
      <c r="T144" s="49" t="s">
        <v>371</v>
      </c>
      <c r="U144" s="6" t="e">
        <v>#N/A</v>
      </c>
      <c r="V144" s="6" t="e">
        <v>#N/A</v>
      </c>
      <c r="W144" s="6" t="e">
        <v>#N/A</v>
      </c>
      <c r="X144" s="6" t="s">
        <v>38</v>
      </c>
      <c r="Y144" s="6" t="s">
        <v>39</v>
      </c>
      <c r="Z144" s="6" t="s">
        <v>39</v>
      </c>
    </row>
    <row r="145" spans="1:26" hidden="1" x14ac:dyDescent="0.35">
      <c r="A145" s="6" t="s">
        <v>393</v>
      </c>
      <c r="B145" s="6">
        <v>145823</v>
      </c>
      <c r="C145" s="6">
        <v>25641</v>
      </c>
      <c r="D145" s="47">
        <v>183.65</v>
      </c>
      <c r="E145" s="25">
        <v>0</v>
      </c>
      <c r="F145" s="25">
        <v>424.15</v>
      </c>
      <c r="G145" s="26">
        <f t="shared" si="8"/>
        <v>424.15</v>
      </c>
      <c r="H145" s="6">
        <v>76226789</v>
      </c>
      <c r="I145" s="6" t="e">
        <v>#N/A</v>
      </c>
      <c r="J145" s="6"/>
      <c r="K145" s="6"/>
      <c r="L145" s="6"/>
      <c r="M145" s="6" t="e">
        <f>VLOOKUP(H145,'Billing CDK pivot (by package)'!A:D,3,FALSE)</f>
        <v>#N/A</v>
      </c>
      <c r="N145" s="6" t="e">
        <f>VLOOKUP(H145,'Billing CDK pivot (by package)'!A:D,4,FALSE)</f>
        <v>#N/A</v>
      </c>
      <c r="O145" s="25" t="e">
        <f>VLOOKUP(H145,'Billing CDK pivot'!A:C,3,FALSE)</f>
        <v>#N/A</v>
      </c>
      <c r="P145" s="25">
        <f>IFERROR(VLOOKUP(H145,'Billing CDK pivot (overages)'!A:F,6,FALSE),0)</f>
        <v>0</v>
      </c>
      <c r="Q145" s="25" t="e">
        <f t="shared" si="9"/>
        <v>#N/A</v>
      </c>
      <c r="R145" s="26" t="e">
        <f t="shared" si="10"/>
        <v>#N/A</v>
      </c>
      <c r="S145" s="48" t="e">
        <f t="shared" si="11"/>
        <v>#N/A</v>
      </c>
      <c r="T145" s="49" t="s">
        <v>371</v>
      </c>
      <c r="U145" s="6" t="e">
        <v>#N/A</v>
      </c>
      <c r="V145" s="6" t="e">
        <v>#N/A</v>
      </c>
      <c r="W145" s="6" t="e">
        <v>#N/A</v>
      </c>
      <c r="X145" s="6" t="s">
        <v>298</v>
      </c>
      <c r="Y145" s="6" t="s">
        <v>39</v>
      </c>
      <c r="Z145" s="6" t="s">
        <v>39</v>
      </c>
    </row>
    <row r="146" spans="1:26" hidden="1" x14ac:dyDescent="0.35">
      <c r="A146" s="6" t="s">
        <v>394</v>
      </c>
      <c r="B146" s="6">
        <v>72053</v>
      </c>
      <c r="C146" s="6">
        <v>16586</v>
      </c>
      <c r="D146" s="47">
        <v>46.01</v>
      </c>
      <c r="E146" s="25">
        <v>0</v>
      </c>
      <c r="F146" s="25">
        <v>254.15</v>
      </c>
      <c r="G146" s="26">
        <f t="shared" si="8"/>
        <v>254.15</v>
      </c>
      <c r="H146" s="6">
        <v>76024841</v>
      </c>
      <c r="I146" s="6" t="e">
        <v>#N/A</v>
      </c>
      <c r="J146" s="6"/>
      <c r="K146" s="6"/>
      <c r="L146" s="6"/>
      <c r="M146" s="6" t="e">
        <f>VLOOKUP(H146,'Billing CDK pivot (by package)'!A:D,3,FALSE)</f>
        <v>#N/A</v>
      </c>
      <c r="N146" s="6" t="e">
        <f>VLOOKUP(H146,'Billing CDK pivot (by package)'!A:D,4,FALSE)</f>
        <v>#N/A</v>
      </c>
      <c r="O146" s="25" t="e">
        <f>VLOOKUP(H146,'Billing CDK pivot'!A:C,3,FALSE)</f>
        <v>#N/A</v>
      </c>
      <c r="P146" s="25">
        <f>IFERROR(VLOOKUP(H146,'Billing CDK pivot (overages)'!A:F,6,FALSE),0)</f>
        <v>0</v>
      </c>
      <c r="Q146" s="25" t="e">
        <f t="shared" si="9"/>
        <v>#N/A</v>
      </c>
      <c r="R146" s="26" t="e">
        <f t="shared" si="10"/>
        <v>#N/A</v>
      </c>
      <c r="S146" s="48" t="e">
        <f t="shared" si="11"/>
        <v>#N/A</v>
      </c>
      <c r="T146" s="49" t="s">
        <v>371</v>
      </c>
      <c r="U146" s="6" t="e">
        <v>#N/A</v>
      </c>
      <c r="V146" s="6" t="e">
        <v>#N/A</v>
      </c>
      <c r="W146" s="6" t="e">
        <v>#N/A</v>
      </c>
      <c r="X146" s="6" t="s">
        <v>38</v>
      </c>
      <c r="Y146" s="6" t="s">
        <v>39</v>
      </c>
      <c r="Z146" s="6" t="s">
        <v>39</v>
      </c>
    </row>
    <row r="147" spans="1:26" hidden="1" x14ac:dyDescent="0.35">
      <c r="A147" s="6" t="s">
        <v>395</v>
      </c>
      <c r="B147" s="6">
        <v>83339</v>
      </c>
      <c r="C147" s="6">
        <v>11195</v>
      </c>
      <c r="D147" s="47">
        <v>3702.75</v>
      </c>
      <c r="E147" s="25">
        <v>0</v>
      </c>
      <c r="F147" s="25">
        <v>139</v>
      </c>
      <c r="G147" s="26">
        <f t="shared" si="8"/>
        <v>139</v>
      </c>
      <c r="H147" s="6">
        <v>76176104</v>
      </c>
      <c r="I147" s="6" t="e">
        <v>#N/A</v>
      </c>
      <c r="J147" s="6"/>
      <c r="K147" s="6"/>
      <c r="L147" s="6"/>
      <c r="M147" s="6" t="e">
        <f>VLOOKUP(H147,'Billing CDK pivot (by package)'!A:D,3,FALSE)</f>
        <v>#N/A</v>
      </c>
      <c r="N147" s="6" t="e">
        <f>VLOOKUP(H147,'Billing CDK pivot (by package)'!A:D,4,FALSE)</f>
        <v>#N/A</v>
      </c>
      <c r="O147" s="25" t="e">
        <f>VLOOKUP(H147,'Billing CDK pivot'!A:C,3,FALSE)</f>
        <v>#N/A</v>
      </c>
      <c r="P147" s="25">
        <f>IFERROR(VLOOKUP(H147,'Billing CDK pivot (overages)'!A:F,6,FALSE),0)</f>
        <v>0</v>
      </c>
      <c r="Q147" s="25" t="e">
        <f t="shared" si="9"/>
        <v>#N/A</v>
      </c>
      <c r="R147" s="26" t="e">
        <f t="shared" si="10"/>
        <v>#N/A</v>
      </c>
      <c r="S147" s="48" t="e">
        <f t="shared" si="11"/>
        <v>#N/A</v>
      </c>
      <c r="T147" s="49" t="s">
        <v>371</v>
      </c>
      <c r="U147" s="6" t="e">
        <v>#N/A</v>
      </c>
      <c r="V147" s="6" t="e">
        <v>#N/A</v>
      </c>
      <c r="W147" s="6" t="e">
        <v>#N/A</v>
      </c>
      <c r="X147" s="6" t="s">
        <v>38</v>
      </c>
      <c r="Y147" s="6" t="s">
        <v>80</v>
      </c>
      <c r="Z147" s="6" t="s">
        <v>39</v>
      </c>
    </row>
    <row r="148" spans="1:26" hidden="1" x14ac:dyDescent="0.35">
      <c r="A148" s="6" t="s">
        <v>396</v>
      </c>
      <c r="B148" s="6">
        <v>77184</v>
      </c>
      <c r="C148" s="6">
        <v>17386</v>
      </c>
      <c r="D148" s="47">
        <v>43.72</v>
      </c>
      <c r="E148" s="25">
        <v>0</v>
      </c>
      <c r="F148" s="25">
        <v>254.15</v>
      </c>
      <c r="G148" s="26">
        <f t="shared" si="8"/>
        <v>254.15</v>
      </c>
      <c r="H148" s="6">
        <v>76028194</v>
      </c>
      <c r="I148" s="6" t="e">
        <v>#N/A</v>
      </c>
      <c r="J148" s="6"/>
      <c r="K148" s="6"/>
      <c r="L148" s="6"/>
      <c r="M148" s="6" t="e">
        <f>VLOOKUP(H148,'Billing CDK pivot (by package)'!A:D,3,FALSE)</f>
        <v>#N/A</v>
      </c>
      <c r="N148" s="6" t="e">
        <f>VLOOKUP(H148,'Billing CDK pivot (by package)'!A:D,4,FALSE)</f>
        <v>#N/A</v>
      </c>
      <c r="O148" s="25" t="e">
        <f>VLOOKUP(H148,'Billing CDK pivot'!A:C,3,FALSE)</f>
        <v>#N/A</v>
      </c>
      <c r="P148" s="25">
        <f>IFERROR(VLOOKUP(H148,'Billing CDK pivot (overages)'!A:F,6,FALSE),0)</f>
        <v>0</v>
      </c>
      <c r="Q148" s="25" t="e">
        <f t="shared" si="9"/>
        <v>#N/A</v>
      </c>
      <c r="R148" s="26" t="e">
        <f t="shared" si="10"/>
        <v>#N/A</v>
      </c>
      <c r="S148" s="48" t="e">
        <f t="shared" si="11"/>
        <v>#N/A</v>
      </c>
      <c r="T148" s="49" t="s">
        <v>371</v>
      </c>
      <c r="U148" s="6" t="e">
        <v>#N/A</v>
      </c>
      <c r="V148" s="6" t="e">
        <v>#N/A</v>
      </c>
      <c r="W148" s="6" t="e">
        <v>#N/A</v>
      </c>
      <c r="X148" s="6" t="s">
        <v>58</v>
      </c>
      <c r="Y148" s="6" t="s">
        <v>39</v>
      </c>
      <c r="Z148" s="6" t="s">
        <v>39</v>
      </c>
    </row>
    <row r="149" spans="1:26" hidden="1" x14ac:dyDescent="0.35">
      <c r="A149" s="6" t="s">
        <v>397</v>
      </c>
      <c r="B149" s="6">
        <v>77166</v>
      </c>
      <c r="C149" s="6">
        <v>17384</v>
      </c>
      <c r="D149" s="47">
        <v>72.680000000000007</v>
      </c>
      <c r="E149" s="25">
        <v>0</v>
      </c>
      <c r="F149" s="25">
        <v>424.15</v>
      </c>
      <c r="G149" s="26">
        <f t="shared" si="8"/>
        <v>424.15</v>
      </c>
      <c r="H149" s="6">
        <v>76247573</v>
      </c>
      <c r="I149" s="6" t="e">
        <v>#N/A</v>
      </c>
      <c r="J149" s="6"/>
      <c r="K149" s="6"/>
      <c r="L149" s="6"/>
      <c r="M149" s="6" t="e">
        <f>VLOOKUP(H149,'Billing CDK pivot (by package)'!A:D,3,FALSE)</f>
        <v>#N/A</v>
      </c>
      <c r="N149" s="6" t="e">
        <f>VLOOKUP(H149,'Billing CDK pivot (by package)'!A:D,4,FALSE)</f>
        <v>#N/A</v>
      </c>
      <c r="O149" s="25" t="e">
        <f>VLOOKUP(H149,'Billing CDK pivot'!A:C,3,FALSE)</f>
        <v>#N/A</v>
      </c>
      <c r="P149" s="25">
        <f>IFERROR(VLOOKUP(H149,'Billing CDK pivot (overages)'!A:F,6,FALSE),0)</f>
        <v>0</v>
      </c>
      <c r="Q149" s="25" t="e">
        <f t="shared" si="9"/>
        <v>#N/A</v>
      </c>
      <c r="R149" s="26" t="e">
        <f t="shared" si="10"/>
        <v>#N/A</v>
      </c>
      <c r="S149" s="48" t="e">
        <f t="shared" si="11"/>
        <v>#N/A</v>
      </c>
      <c r="T149" s="49" t="s">
        <v>371</v>
      </c>
      <c r="U149" s="6" t="e">
        <v>#N/A</v>
      </c>
      <c r="V149" s="6" t="e">
        <v>#N/A</v>
      </c>
      <c r="W149" s="6" t="e">
        <v>#N/A</v>
      </c>
      <c r="X149" s="6" t="s">
        <v>38</v>
      </c>
      <c r="Y149" s="6" t="s">
        <v>39</v>
      </c>
      <c r="Z149" s="6" t="s">
        <v>39</v>
      </c>
    </row>
    <row r="150" spans="1:26" hidden="1" x14ac:dyDescent="0.35">
      <c r="A150" s="6" t="s">
        <v>398</v>
      </c>
      <c r="B150" s="6">
        <v>84669</v>
      </c>
      <c r="C150" s="6" t="s">
        <v>289</v>
      </c>
      <c r="D150" s="47">
        <v>857.55</v>
      </c>
      <c r="E150" s="25">
        <v>0</v>
      </c>
      <c r="F150" s="25">
        <v>2543.85</v>
      </c>
      <c r="G150" s="26">
        <f t="shared" si="8"/>
        <v>2543.85</v>
      </c>
      <c r="H150" s="6">
        <v>76243956</v>
      </c>
      <c r="I150" s="6" t="e">
        <v>#N/A</v>
      </c>
      <c r="J150" s="6"/>
      <c r="K150" s="6"/>
      <c r="L150" s="6"/>
      <c r="M150" s="6" t="e">
        <f>VLOOKUP(H150,'Billing CDK pivot (by package)'!A:D,3,FALSE)</f>
        <v>#N/A</v>
      </c>
      <c r="N150" s="6" t="e">
        <f>VLOOKUP(H150,'Billing CDK pivot (by package)'!A:D,4,FALSE)</f>
        <v>#N/A</v>
      </c>
      <c r="O150" s="25" t="e">
        <f>VLOOKUP(H150,'Billing CDK pivot'!A:C,3,FALSE)</f>
        <v>#N/A</v>
      </c>
      <c r="P150" s="25">
        <f>IFERROR(VLOOKUP(H150,'Billing CDK pivot (overages)'!A:F,6,FALSE),0)</f>
        <v>0</v>
      </c>
      <c r="Q150" s="25" t="e">
        <f t="shared" si="9"/>
        <v>#N/A</v>
      </c>
      <c r="R150" s="26" t="e">
        <f t="shared" si="10"/>
        <v>#N/A</v>
      </c>
      <c r="S150" s="48" t="e">
        <f t="shared" si="11"/>
        <v>#N/A</v>
      </c>
      <c r="T150" s="49" t="s">
        <v>371</v>
      </c>
      <c r="U150" s="6" t="e">
        <v>#N/A</v>
      </c>
      <c r="V150" s="6" t="e">
        <v>#N/A</v>
      </c>
      <c r="W150" s="6" t="e">
        <v>#N/A</v>
      </c>
      <c r="X150" s="6" t="s">
        <v>38</v>
      </c>
      <c r="Y150" s="6" t="s">
        <v>378</v>
      </c>
      <c r="Z150" s="6" t="s">
        <v>39</v>
      </c>
    </row>
    <row r="151" spans="1:26" hidden="1" x14ac:dyDescent="0.35">
      <c r="A151" s="6" t="s">
        <v>399</v>
      </c>
      <c r="B151" s="6">
        <v>91411</v>
      </c>
      <c r="C151" s="6">
        <v>7993</v>
      </c>
      <c r="D151" s="47">
        <v>14.33</v>
      </c>
      <c r="E151" s="25">
        <v>0</v>
      </c>
      <c r="F151" s="25">
        <v>254.15</v>
      </c>
      <c r="G151" s="26">
        <f t="shared" si="8"/>
        <v>254.15</v>
      </c>
      <c r="H151" s="6" t="e">
        <v>#N/A</v>
      </c>
      <c r="I151" s="6" t="e">
        <v>#N/A</v>
      </c>
      <c r="J151" s="6"/>
      <c r="K151" s="6"/>
      <c r="L151" s="6"/>
      <c r="M151" s="6" t="e">
        <f>VLOOKUP(H151,'Billing CDK pivot (by package)'!A:D,3,FALSE)</f>
        <v>#N/A</v>
      </c>
      <c r="N151" s="6" t="e">
        <f>VLOOKUP(H151,'Billing CDK pivot (by package)'!A:D,4,FALSE)</f>
        <v>#N/A</v>
      </c>
      <c r="O151" s="25" t="e">
        <f>VLOOKUP(H151,'Billing CDK pivot'!A:C,3,FALSE)</f>
        <v>#N/A</v>
      </c>
      <c r="P151" s="25">
        <f>IFERROR(VLOOKUP(H151,'Billing CDK pivot (overages)'!A:F,6,FALSE),0)</f>
        <v>0</v>
      </c>
      <c r="Q151" s="25" t="e">
        <f t="shared" si="9"/>
        <v>#N/A</v>
      </c>
      <c r="R151" s="26" t="e">
        <f t="shared" si="10"/>
        <v>#N/A</v>
      </c>
      <c r="S151" s="48" t="e">
        <f t="shared" si="11"/>
        <v>#N/A</v>
      </c>
      <c r="T151" s="49" t="s">
        <v>371</v>
      </c>
      <c r="U151" s="6" t="e">
        <v>#N/A</v>
      </c>
      <c r="V151" s="6" t="e">
        <v>#N/A</v>
      </c>
      <c r="W151" s="6" t="e">
        <v>#N/A</v>
      </c>
      <c r="X151" s="6" t="s">
        <v>147</v>
      </c>
      <c r="Y151" s="6" t="s">
        <v>39</v>
      </c>
      <c r="Z151" s="6" t="s">
        <v>39</v>
      </c>
    </row>
    <row r="152" spans="1:26" hidden="1" x14ac:dyDescent="0.35">
      <c r="A152" s="6" t="s">
        <v>400</v>
      </c>
      <c r="B152" s="6">
        <v>91848</v>
      </c>
      <c r="C152" s="6">
        <v>18468</v>
      </c>
      <c r="D152" s="47">
        <v>101.27</v>
      </c>
      <c r="E152" s="25">
        <v>0</v>
      </c>
      <c r="F152" s="25">
        <v>424.15</v>
      </c>
      <c r="G152" s="26">
        <f t="shared" si="8"/>
        <v>424.15</v>
      </c>
      <c r="H152" s="6">
        <v>76151748</v>
      </c>
      <c r="I152" s="6" t="e">
        <v>#N/A</v>
      </c>
      <c r="J152" s="6"/>
      <c r="K152" s="6"/>
      <c r="L152" s="6"/>
      <c r="M152" s="6" t="e">
        <f>VLOOKUP(H152,'Billing CDK pivot (by package)'!A:D,3,FALSE)</f>
        <v>#N/A</v>
      </c>
      <c r="N152" s="6" t="e">
        <f>VLOOKUP(H152,'Billing CDK pivot (by package)'!A:D,4,FALSE)</f>
        <v>#N/A</v>
      </c>
      <c r="O152" s="25" t="e">
        <f>VLOOKUP(H152,'Billing CDK pivot'!A:C,3,FALSE)</f>
        <v>#N/A</v>
      </c>
      <c r="P152" s="25">
        <f>IFERROR(VLOOKUP(H152,'Billing CDK pivot (overages)'!A:F,6,FALSE),0)</f>
        <v>0</v>
      </c>
      <c r="Q152" s="25" t="e">
        <f t="shared" si="9"/>
        <v>#N/A</v>
      </c>
      <c r="R152" s="26" t="e">
        <f t="shared" si="10"/>
        <v>#N/A</v>
      </c>
      <c r="S152" s="48" t="e">
        <f t="shared" si="11"/>
        <v>#N/A</v>
      </c>
      <c r="T152" s="49" t="s">
        <v>371</v>
      </c>
      <c r="U152" s="6" t="e">
        <v>#N/A</v>
      </c>
      <c r="V152" s="6" t="e">
        <v>#N/A</v>
      </c>
      <c r="W152" s="6" t="e">
        <v>#N/A</v>
      </c>
      <c r="X152" s="6" t="s">
        <v>38</v>
      </c>
      <c r="Y152" s="6" t="s">
        <v>39</v>
      </c>
      <c r="Z152" s="6" t="s">
        <v>39</v>
      </c>
    </row>
    <row r="153" spans="1:26" hidden="1" x14ac:dyDescent="0.35">
      <c r="A153" s="6" t="s">
        <v>401</v>
      </c>
      <c r="B153" s="6">
        <v>91849</v>
      </c>
      <c r="C153" s="6">
        <v>18469</v>
      </c>
      <c r="D153" s="47">
        <v>12.96</v>
      </c>
      <c r="E153" s="25">
        <v>0</v>
      </c>
      <c r="F153" s="25">
        <v>424.15</v>
      </c>
      <c r="G153" s="26">
        <f t="shared" si="8"/>
        <v>424.15</v>
      </c>
      <c r="H153" s="6">
        <v>76216892</v>
      </c>
      <c r="I153" s="6" t="e">
        <v>#N/A</v>
      </c>
      <c r="J153" s="6"/>
      <c r="K153" s="6"/>
      <c r="L153" s="6"/>
      <c r="M153" s="6" t="e">
        <f>VLOOKUP(H153,'Billing CDK pivot (by package)'!A:D,3,FALSE)</f>
        <v>#N/A</v>
      </c>
      <c r="N153" s="6" t="e">
        <f>VLOOKUP(H153,'Billing CDK pivot (by package)'!A:D,4,FALSE)</f>
        <v>#N/A</v>
      </c>
      <c r="O153" s="25" t="e">
        <f>VLOOKUP(H153,'Billing CDK pivot'!A:C,3,FALSE)</f>
        <v>#N/A</v>
      </c>
      <c r="P153" s="25">
        <f>IFERROR(VLOOKUP(H153,'Billing CDK pivot (overages)'!A:F,6,FALSE),0)</f>
        <v>0</v>
      </c>
      <c r="Q153" s="25" t="e">
        <f t="shared" si="9"/>
        <v>#N/A</v>
      </c>
      <c r="R153" s="26" t="e">
        <f t="shared" si="10"/>
        <v>#N/A</v>
      </c>
      <c r="S153" s="48" t="e">
        <f t="shared" si="11"/>
        <v>#N/A</v>
      </c>
      <c r="T153" s="49" t="s">
        <v>371</v>
      </c>
      <c r="U153" s="6" t="e">
        <v>#N/A</v>
      </c>
      <c r="V153" s="6" t="e">
        <v>#N/A</v>
      </c>
      <c r="W153" s="6" t="e">
        <v>#N/A</v>
      </c>
      <c r="X153" s="6" t="s">
        <v>53</v>
      </c>
      <c r="Y153" s="6" t="s">
        <v>39</v>
      </c>
      <c r="Z153" s="6" t="s">
        <v>39</v>
      </c>
    </row>
    <row r="154" spans="1:26" hidden="1" x14ac:dyDescent="0.35">
      <c r="A154" s="6" t="s">
        <v>402</v>
      </c>
      <c r="B154" s="6">
        <v>117422</v>
      </c>
      <c r="C154" s="6">
        <v>10519</v>
      </c>
      <c r="D154" s="47">
        <v>576.41</v>
      </c>
      <c r="E154" s="25">
        <v>0</v>
      </c>
      <c r="F154" s="25">
        <v>264.14999999999998</v>
      </c>
      <c r="G154" s="26">
        <f t="shared" si="8"/>
        <v>264.14999999999998</v>
      </c>
      <c r="H154" s="6">
        <v>76093254</v>
      </c>
      <c r="I154" s="6" t="e">
        <v>#N/A</v>
      </c>
      <c r="J154" s="6"/>
      <c r="K154" s="6"/>
      <c r="L154" s="6"/>
      <c r="M154" s="6" t="e">
        <f>VLOOKUP(H154,'Billing CDK pivot (by package)'!A:D,3,FALSE)</f>
        <v>#N/A</v>
      </c>
      <c r="N154" s="6" t="e">
        <f>VLOOKUP(H154,'Billing CDK pivot (by package)'!A:D,4,FALSE)</f>
        <v>#N/A</v>
      </c>
      <c r="O154" s="25" t="e">
        <f>VLOOKUP(H154,'Billing CDK pivot'!A:C,3,FALSE)</f>
        <v>#N/A</v>
      </c>
      <c r="P154" s="25">
        <f>IFERROR(VLOOKUP(H154,'Billing CDK pivot (overages)'!A:F,6,FALSE),0)</f>
        <v>0</v>
      </c>
      <c r="Q154" s="25" t="e">
        <f t="shared" si="9"/>
        <v>#N/A</v>
      </c>
      <c r="R154" s="26" t="e">
        <f t="shared" si="10"/>
        <v>#N/A</v>
      </c>
      <c r="S154" s="48" t="e">
        <f t="shared" si="11"/>
        <v>#N/A</v>
      </c>
      <c r="T154" s="49" t="s">
        <v>371</v>
      </c>
      <c r="U154" s="6" t="e">
        <v>#N/A</v>
      </c>
      <c r="V154" s="6" t="e">
        <v>#N/A</v>
      </c>
      <c r="W154" s="6" t="e">
        <v>#N/A</v>
      </c>
      <c r="X154" s="6" t="s">
        <v>38</v>
      </c>
      <c r="Y154" s="6" t="s">
        <v>58</v>
      </c>
      <c r="Z154" s="6" t="s">
        <v>39</v>
      </c>
    </row>
    <row r="155" spans="1:26" hidden="1" x14ac:dyDescent="0.35">
      <c r="A155" s="6" t="s">
        <v>403</v>
      </c>
      <c r="B155" s="6">
        <v>78609</v>
      </c>
      <c r="C155" s="6">
        <v>15331</v>
      </c>
      <c r="D155" s="47">
        <v>11.63</v>
      </c>
      <c r="E155" s="25">
        <v>0</v>
      </c>
      <c r="F155" s="25">
        <v>254.15</v>
      </c>
      <c r="G155" s="26">
        <f t="shared" si="8"/>
        <v>254.15</v>
      </c>
      <c r="H155" s="6">
        <v>76171629</v>
      </c>
      <c r="I155" s="6" t="e">
        <v>#N/A</v>
      </c>
      <c r="J155" s="6"/>
      <c r="K155" s="6"/>
      <c r="L155" s="6"/>
      <c r="M155" s="6" t="e">
        <f>VLOOKUP(H155,'Billing CDK pivot (by package)'!A:D,3,FALSE)</f>
        <v>#N/A</v>
      </c>
      <c r="N155" s="6" t="e">
        <f>VLOOKUP(H155,'Billing CDK pivot (by package)'!A:D,4,FALSE)</f>
        <v>#N/A</v>
      </c>
      <c r="O155" s="25" t="e">
        <f>VLOOKUP(H155,'Billing CDK pivot'!A:C,3,FALSE)</f>
        <v>#N/A</v>
      </c>
      <c r="P155" s="25">
        <f>IFERROR(VLOOKUP(H155,'Billing CDK pivot (overages)'!A:F,6,FALSE),0)</f>
        <v>0</v>
      </c>
      <c r="Q155" s="25" t="e">
        <f t="shared" si="9"/>
        <v>#N/A</v>
      </c>
      <c r="R155" s="26" t="e">
        <f t="shared" si="10"/>
        <v>#N/A</v>
      </c>
      <c r="S155" s="48" t="e">
        <f t="shared" si="11"/>
        <v>#N/A</v>
      </c>
      <c r="T155" s="49" t="s">
        <v>371</v>
      </c>
      <c r="U155" s="6" t="e">
        <v>#N/A</v>
      </c>
      <c r="V155" s="6" t="e">
        <v>#N/A</v>
      </c>
      <c r="W155" s="6" t="e">
        <v>#N/A</v>
      </c>
      <c r="X155" s="6" t="s">
        <v>38</v>
      </c>
      <c r="Y155" s="6" t="s">
        <v>39</v>
      </c>
      <c r="Z155" s="6" t="s">
        <v>39</v>
      </c>
    </row>
    <row r="156" spans="1:26" hidden="1" x14ac:dyDescent="0.35">
      <c r="A156" s="6" t="s">
        <v>404</v>
      </c>
      <c r="B156" s="6">
        <v>78604</v>
      </c>
      <c r="C156" s="6">
        <v>15334</v>
      </c>
      <c r="D156" s="47">
        <v>26.67</v>
      </c>
      <c r="E156" s="25">
        <v>0</v>
      </c>
      <c r="F156" s="25">
        <v>254.15</v>
      </c>
      <c r="G156" s="26">
        <f t="shared" si="8"/>
        <v>254.15</v>
      </c>
      <c r="H156" s="6">
        <v>76171631</v>
      </c>
      <c r="I156" s="6" t="e">
        <v>#N/A</v>
      </c>
      <c r="J156" s="6"/>
      <c r="K156" s="6"/>
      <c r="L156" s="6"/>
      <c r="M156" s="6" t="e">
        <f>VLOOKUP(H156,'Billing CDK pivot (by package)'!A:D,3,FALSE)</f>
        <v>#N/A</v>
      </c>
      <c r="N156" s="6" t="e">
        <f>VLOOKUP(H156,'Billing CDK pivot (by package)'!A:D,4,FALSE)</f>
        <v>#N/A</v>
      </c>
      <c r="O156" s="25" t="e">
        <f>VLOOKUP(H156,'Billing CDK pivot'!A:C,3,FALSE)</f>
        <v>#N/A</v>
      </c>
      <c r="P156" s="25">
        <f>IFERROR(VLOOKUP(H156,'Billing CDK pivot (overages)'!A:F,6,FALSE),0)</f>
        <v>0</v>
      </c>
      <c r="Q156" s="25" t="e">
        <f t="shared" si="9"/>
        <v>#N/A</v>
      </c>
      <c r="R156" s="26" t="e">
        <f t="shared" si="10"/>
        <v>#N/A</v>
      </c>
      <c r="S156" s="48" t="e">
        <f t="shared" si="11"/>
        <v>#N/A</v>
      </c>
      <c r="T156" s="49" t="s">
        <v>371</v>
      </c>
      <c r="U156" s="6" t="e">
        <v>#N/A</v>
      </c>
      <c r="V156" s="6" t="e">
        <v>#N/A</v>
      </c>
      <c r="W156" s="6" t="e">
        <v>#N/A</v>
      </c>
      <c r="X156" s="6" t="s">
        <v>50</v>
      </c>
      <c r="Y156" s="6" t="s">
        <v>39</v>
      </c>
      <c r="Z156" s="6" t="s">
        <v>39</v>
      </c>
    </row>
    <row r="157" spans="1:26" hidden="1" x14ac:dyDescent="0.35">
      <c r="A157" s="6" t="s">
        <v>405</v>
      </c>
      <c r="B157" s="6">
        <v>78606</v>
      </c>
      <c r="C157" s="6">
        <v>15333</v>
      </c>
      <c r="D157" s="47">
        <v>86.68</v>
      </c>
      <c r="E157" s="25">
        <v>0</v>
      </c>
      <c r="F157" s="25">
        <v>254.15</v>
      </c>
      <c r="G157" s="26">
        <f t="shared" si="8"/>
        <v>254.15</v>
      </c>
      <c r="H157" s="6">
        <v>76171630</v>
      </c>
      <c r="I157" s="6" t="e">
        <v>#N/A</v>
      </c>
      <c r="J157" s="6"/>
      <c r="K157" s="6"/>
      <c r="L157" s="6"/>
      <c r="M157" s="6" t="e">
        <f>VLOOKUP(H157,'Billing CDK pivot (by package)'!A:D,3,FALSE)</f>
        <v>#N/A</v>
      </c>
      <c r="N157" s="6" t="e">
        <f>VLOOKUP(H157,'Billing CDK pivot (by package)'!A:D,4,FALSE)</f>
        <v>#N/A</v>
      </c>
      <c r="O157" s="25" t="e">
        <f>VLOOKUP(H157,'Billing CDK pivot'!A:C,3,FALSE)</f>
        <v>#N/A</v>
      </c>
      <c r="P157" s="25">
        <f>IFERROR(VLOOKUP(H157,'Billing CDK pivot (overages)'!A:F,6,FALSE),0)</f>
        <v>0</v>
      </c>
      <c r="Q157" s="25" t="e">
        <f t="shared" si="9"/>
        <v>#N/A</v>
      </c>
      <c r="R157" s="26" t="e">
        <f t="shared" si="10"/>
        <v>#N/A</v>
      </c>
      <c r="S157" s="48" t="e">
        <f t="shared" si="11"/>
        <v>#N/A</v>
      </c>
      <c r="T157" s="49" t="s">
        <v>371</v>
      </c>
      <c r="U157" s="6" t="e">
        <v>#N/A</v>
      </c>
      <c r="V157" s="6" t="e">
        <v>#N/A</v>
      </c>
      <c r="W157" s="6" t="e">
        <v>#N/A</v>
      </c>
      <c r="X157" s="6" t="s">
        <v>50</v>
      </c>
      <c r="Y157" s="6" t="s">
        <v>39</v>
      </c>
      <c r="Z157" s="6" t="s">
        <v>39</v>
      </c>
    </row>
    <row r="158" spans="1:26" hidden="1" x14ac:dyDescent="0.35">
      <c r="A158" s="6" t="s">
        <v>406</v>
      </c>
      <c r="B158" s="6">
        <v>61232</v>
      </c>
      <c r="C158" s="6">
        <v>16395</v>
      </c>
      <c r="D158" s="47">
        <v>3785.22</v>
      </c>
      <c r="E158" s="25">
        <v>0</v>
      </c>
      <c r="F158" s="25">
        <v>1581.65</v>
      </c>
      <c r="G158" s="26">
        <f t="shared" si="8"/>
        <v>1581.65</v>
      </c>
      <c r="H158" s="6">
        <v>76160401</v>
      </c>
      <c r="I158" s="6" t="s">
        <v>407</v>
      </c>
      <c r="J158" s="6"/>
      <c r="K158" s="6"/>
      <c r="L158" s="6"/>
      <c r="M158" s="6" t="s">
        <v>408</v>
      </c>
      <c r="N158" s="6" t="s">
        <v>409</v>
      </c>
      <c r="O158" s="25" t="e">
        <f>VLOOKUP(H158,'Billing CDK pivot'!A:C,3,FALSE)</f>
        <v>#N/A</v>
      </c>
      <c r="P158" s="25">
        <f>IFERROR(VLOOKUP(H158,'Billing CDK pivot (overages)'!A:F,6,FALSE),0)</f>
        <v>0</v>
      </c>
      <c r="Q158" s="25" t="e">
        <f t="shared" si="9"/>
        <v>#N/A</v>
      </c>
      <c r="R158" s="26" t="e">
        <f t="shared" si="10"/>
        <v>#N/A</v>
      </c>
      <c r="S158" s="48" t="e">
        <f t="shared" si="11"/>
        <v>#N/A</v>
      </c>
      <c r="T158" s="6" t="s">
        <v>410</v>
      </c>
      <c r="U158" s="6" t="s">
        <v>158</v>
      </c>
      <c r="V158" s="6" t="s">
        <v>39</v>
      </c>
      <c r="W158" s="6" t="s">
        <v>39</v>
      </c>
      <c r="X158" s="6" t="s">
        <v>38</v>
      </c>
      <c r="Y158" s="6" t="s">
        <v>54</v>
      </c>
      <c r="Z158" s="6" t="s">
        <v>39</v>
      </c>
    </row>
    <row r="159" spans="1:26" hidden="1" x14ac:dyDescent="0.35">
      <c r="A159" s="6" t="s">
        <v>411</v>
      </c>
      <c r="B159" s="6">
        <v>58246</v>
      </c>
      <c r="C159" s="6">
        <v>16168</v>
      </c>
      <c r="D159" s="47">
        <v>7073.76</v>
      </c>
      <c r="E159" s="25">
        <v>0</v>
      </c>
      <c r="F159" s="25">
        <v>1581.65</v>
      </c>
      <c r="G159" s="26">
        <f t="shared" si="8"/>
        <v>1581.65</v>
      </c>
      <c r="H159" s="6">
        <v>71057131</v>
      </c>
      <c r="I159" s="6" t="s">
        <v>412</v>
      </c>
      <c r="J159" s="6"/>
      <c r="K159" s="6"/>
      <c r="L159" s="6"/>
      <c r="M159" s="6" t="s">
        <v>408</v>
      </c>
      <c r="N159" s="6" t="s">
        <v>409</v>
      </c>
      <c r="O159" s="25" t="e">
        <f>VLOOKUP(H159,'Billing CDK pivot'!A:C,3,FALSE)</f>
        <v>#N/A</v>
      </c>
      <c r="P159" s="25">
        <f>IFERROR(VLOOKUP(H159,'Billing CDK pivot (overages)'!A:F,6,FALSE),0)</f>
        <v>0</v>
      </c>
      <c r="Q159" s="25" t="e">
        <f t="shared" si="9"/>
        <v>#N/A</v>
      </c>
      <c r="R159" s="26" t="e">
        <f t="shared" si="10"/>
        <v>#N/A</v>
      </c>
      <c r="S159" s="48" t="e">
        <f t="shared" si="11"/>
        <v>#N/A</v>
      </c>
      <c r="T159" s="6" t="s">
        <v>410</v>
      </c>
      <c r="U159" s="6" t="s">
        <v>158</v>
      </c>
      <c r="V159" s="6" t="s">
        <v>39</v>
      </c>
      <c r="W159" s="6" t="s">
        <v>39</v>
      </c>
      <c r="X159" s="6" t="s">
        <v>38</v>
      </c>
      <c r="Y159" s="6" t="s">
        <v>54</v>
      </c>
      <c r="Z159" s="6" t="s">
        <v>39</v>
      </c>
    </row>
    <row r="160" spans="1:26" hidden="1" x14ac:dyDescent="0.35">
      <c r="A160" s="6" t="s">
        <v>413</v>
      </c>
      <c r="B160" s="6">
        <v>61231</v>
      </c>
      <c r="C160" s="6">
        <v>16396</v>
      </c>
      <c r="D160" s="47">
        <v>6564.12</v>
      </c>
      <c r="E160" s="25">
        <v>0</v>
      </c>
      <c r="F160" s="25">
        <v>1581.65</v>
      </c>
      <c r="G160" s="26">
        <f t="shared" si="8"/>
        <v>1581.65</v>
      </c>
      <c r="H160" s="6">
        <v>76142673</v>
      </c>
      <c r="I160" s="6" t="s">
        <v>414</v>
      </c>
      <c r="J160" s="6"/>
      <c r="K160" s="6"/>
      <c r="L160" s="6"/>
      <c r="M160" s="6" t="s">
        <v>408</v>
      </c>
      <c r="N160" s="6" t="s">
        <v>409</v>
      </c>
      <c r="O160" s="25" t="e">
        <f>VLOOKUP(H160,'Billing CDK pivot'!A:C,3,FALSE)</f>
        <v>#N/A</v>
      </c>
      <c r="P160" s="25">
        <f>IFERROR(VLOOKUP(H160,'Billing CDK pivot (overages)'!A:F,6,FALSE),0)</f>
        <v>0</v>
      </c>
      <c r="Q160" s="25" t="e">
        <f t="shared" si="9"/>
        <v>#N/A</v>
      </c>
      <c r="R160" s="26" t="e">
        <f t="shared" si="10"/>
        <v>#N/A</v>
      </c>
      <c r="S160" s="48" t="e">
        <f t="shared" si="11"/>
        <v>#N/A</v>
      </c>
      <c r="T160" s="6" t="s">
        <v>410</v>
      </c>
      <c r="U160" s="6" t="s">
        <v>158</v>
      </c>
      <c r="V160" s="6" t="s">
        <v>39</v>
      </c>
      <c r="W160" s="6" t="s">
        <v>39</v>
      </c>
      <c r="X160" s="6" t="s">
        <v>38</v>
      </c>
      <c r="Y160" s="6" t="s">
        <v>54</v>
      </c>
      <c r="Z160" s="6" t="s">
        <v>39</v>
      </c>
    </row>
    <row r="161" spans="1:26" hidden="1" x14ac:dyDescent="0.35">
      <c r="A161" s="6" t="s">
        <v>415</v>
      </c>
      <c r="B161" s="6">
        <v>99644</v>
      </c>
      <c r="C161" s="6">
        <v>9973</v>
      </c>
      <c r="D161" s="47">
        <v>6865.19</v>
      </c>
      <c r="E161" s="25">
        <v>232.2</v>
      </c>
      <c r="F161" s="25">
        <v>496.35</v>
      </c>
      <c r="G161" s="26">
        <f t="shared" si="8"/>
        <v>264.15000000000003</v>
      </c>
      <c r="H161" s="6">
        <v>76253993</v>
      </c>
      <c r="I161" s="6" t="s">
        <v>416</v>
      </c>
      <c r="M161" s="6" t="s">
        <v>48</v>
      </c>
      <c r="N161" s="6" t="s">
        <v>49</v>
      </c>
      <c r="O161" s="25" t="e">
        <f>VLOOKUP(H161,'Billing CDK pivot'!A:C,3,FALSE)</f>
        <v>#N/A</v>
      </c>
      <c r="P161" s="25">
        <f>IFERROR(VLOOKUP(H161,'Billing CDK pivot (overages)'!A:F,6,FALSE),0)</f>
        <v>0</v>
      </c>
      <c r="Q161" s="25" t="e">
        <f t="shared" si="9"/>
        <v>#N/A</v>
      </c>
      <c r="R161" s="26" t="e">
        <f t="shared" si="10"/>
        <v>#N/A</v>
      </c>
      <c r="S161" s="48" t="e">
        <f t="shared" si="11"/>
        <v>#N/A</v>
      </c>
      <c r="T161" s="49" t="s">
        <v>417</v>
      </c>
      <c r="U161" s="6" t="e">
        <v>#N/A</v>
      </c>
      <c r="V161" s="6" t="e">
        <v>#N/A</v>
      </c>
      <c r="W161" s="6" t="e">
        <v>#N/A</v>
      </c>
      <c r="X161" s="6" t="s">
        <v>418</v>
      </c>
      <c r="Y161" s="6" t="s">
        <v>58</v>
      </c>
      <c r="Z161" s="6" t="s">
        <v>39</v>
      </c>
    </row>
    <row r="162" spans="1:26" hidden="1" x14ac:dyDescent="0.35">
      <c r="A162" s="6" t="s">
        <v>419</v>
      </c>
      <c r="B162" s="6">
        <v>146053</v>
      </c>
      <c r="C162" s="6">
        <v>24505</v>
      </c>
      <c r="D162" s="47">
        <v>19140.18</v>
      </c>
      <c r="E162" s="25">
        <v>0</v>
      </c>
      <c r="F162" s="25">
        <v>1924</v>
      </c>
      <c r="G162" s="26">
        <f t="shared" si="8"/>
        <v>1924</v>
      </c>
      <c r="H162" s="6">
        <v>76257162</v>
      </c>
      <c r="I162" s="6" t="s">
        <v>420</v>
      </c>
      <c r="M162" s="6" t="s">
        <v>97</v>
      </c>
      <c r="N162" s="6" t="s">
        <v>98</v>
      </c>
      <c r="O162" s="25" t="e">
        <f>VLOOKUP(H162,'Billing CDK pivot'!A:C,3,FALSE)</f>
        <v>#N/A</v>
      </c>
      <c r="P162" s="25">
        <f>IFERROR(VLOOKUP(H162,'Billing CDK pivot (overages)'!A:F,6,FALSE),0)</f>
        <v>0</v>
      </c>
      <c r="Q162" s="25" t="e">
        <f t="shared" si="9"/>
        <v>#N/A</v>
      </c>
      <c r="R162" s="26" t="e">
        <f t="shared" si="10"/>
        <v>#N/A</v>
      </c>
      <c r="S162" s="48" t="e">
        <f t="shared" si="11"/>
        <v>#N/A</v>
      </c>
      <c r="T162" s="49" t="s">
        <v>417</v>
      </c>
      <c r="U162" s="6" t="e">
        <v>#N/A</v>
      </c>
      <c r="V162" s="6" t="e">
        <v>#N/A</v>
      </c>
      <c r="W162" s="6" t="e">
        <v>#N/A</v>
      </c>
      <c r="X162" s="6" t="s">
        <v>38</v>
      </c>
      <c r="Y162" s="6" t="s">
        <v>421</v>
      </c>
      <c r="Z162" s="6" t="s">
        <v>39</v>
      </c>
    </row>
    <row r="163" spans="1:26" hidden="1" x14ac:dyDescent="0.35">
      <c r="A163" s="6" t="s">
        <v>422</v>
      </c>
      <c r="B163" s="6">
        <v>146055</v>
      </c>
      <c r="C163" s="6">
        <v>24510</v>
      </c>
      <c r="D163" s="47">
        <v>16076.93</v>
      </c>
      <c r="E163" s="25">
        <v>0</v>
      </c>
      <c r="F163" s="25">
        <v>1924</v>
      </c>
      <c r="G163" s="26">
        <f t="shared" si="8"/>
        <v>1924</v>
      </c>
      <c r="H163" s="6">
        <v>76257159</v>
      </c>
      <c r="I163" s="6" t="s">
        <v>423</v>
      </c>
      <c r="M163" s="6" t="s">
        <v>97</v>
      </c>
      <c r="N163" s="6" t="s">
        <v>98</v>
      </c>
      <c r="O163" s="25" t="e">
        <f>VLOOKUP(H163,'Billing CDK pivot'!A:C,3,FALSE)</f>
        <v>#N/A</v>
      </c>
      <c r="P163" s="25">
        <f>IFERROR(VLOOKUP(H163,'Billing CDK pivot (overages)'!A:F,6,FALSE),0)</f>
        <v>0</v>
      </c>
      <c r="Q163" s="25" t="e">
        <f t="shared" si="9"/>
        <v>#N/A</v>
      </c>
      <c r="R163" s="26" t="e">
        <f t="shared" si="10"/>
        <v>#N/A</v>
      </c>
      <c r="S163" s="48" t="e">
        <f t="shared" si="11"/>
        <v>#N/A</v>
      </c>
      <c r="T163" s="49" t="s">
        <v>417</v>
      </c>
      <c r="U163" s="6" t="e">
        <v>#N/A</v>
      </c>
      <c r="V163" s="6" t="e">
        <v>#N/A</v>
      </c>
      <c r="W163" s="6" t="e">
        <v>#N/A</v>
      </c>
      <c r="X163" s="6" t="s">
        <v>38</v>
      </c>
      <c r="Y163" s="6" t="s">
        <v>421</v>
      </c>
      <c r="Z163" s="6" t="s">
        <v>39</v>
      </c>
    </row>
    <row r="164" spans="1:26" hidden="1" x14ac:dyDescent="0.35">
      <c r="A164" s="6" t="s">
        <v>424</v>
      </c>
      <c r="B164" s="6">
        <v>156704</v>
      </c>
      <c r="C164" s="6">
        <v>29001</v>
      </c>
      <c r="D164" s="47">
        <v>4272.51</v>
      </c>
      <c r="E164" s="25">
        <v>0</v>
      </c>
      <c r="F164" s="25">
        <v>434.15</v>
      </c>
      <c r="G164" s="26">
        <f t="shared" si="8"/>
        <v>434.15</v>
      </c>
      <c r="H164" s="6">
        <v>76252505</v>
      </c>
      <c r="I164" s="6" t="s">
        <v>425</v>
      </c>
      <c r="M164" s="6" t="s">
        <v>67</v>
      </c>
      <c r="N164" s="6" t="s">
        <v>68</v>
      </c>
      <c r="O164" s="25" t="e">
        <f>VLOOKUP(H164,'Billing CDK pivot'!A:C,3,FALSE)</f>
        <v>#N/A</v>
      </c>
      <c r="P164" s="25">
        <f>IFERROR(VLOOKUP(H164,'Billing CDK pivot (overages)'!A:F,6,FALSE),0)</f>
        <v>0</v>
      </c>
      <c r="Q164" s="25" t="e">
        <f t="shared" si="9"/>
        <v>#N/A</v>
      </c>
      <c r="R164" s="26" t="e">
        <f t="shared" si="10"/>
        <v>#N/A</v>
      </c>
      <c r="S164" s="48" t="e">
        <f t="shared" si="11"/>
        <v>#N/A</v>
      </c>
      <c r="T164" s="49" t="s">
        <v>417</v>
      </c>
      <c r="U164" s="6" t="e">
        <v>#N/A</v>
      </c>
      <c r="V164" s="6" t="e">
        <v>#N/A</v>
      </c>
      <c r="W164" s="6" t="e">
        <v>#N/A</v>
      </c>
      <c r="X164" s="6" t="s">
        <v>38</v>
      </c>
      <c r="Y164" s="6" t="s">
        <v>53</v>
      </c>
      <c r="Z164" s="6" t="s">
        <v>39</v>
      </c>
    </row>
    <row r="165" spans="1:26" hidden="1" x14ac:dyDescent="0.35">
      <c r="A165" s="6" t="s">
        <v>426</v>
      </c>
      <c r="B165" s="6">
        <v>84602</v>
      </c>
      <c r="C165" s="6" t="s">
        <v>427</v>
      </c>
      <c r="D165" s="47">
        <v>1140.56</v>
      </c>
      <c r="E165" s="25">
        <v>0</v>
      </c>
      <c r="F165" s="25">
        <v>264.14999999999998</v>
      </c>
      <c r="G165" s="26">
        <f t="shared" si="8"/>
        <v>264.14999999999998</v>
      </c>
      <c r="H165" s="6">
        <v>76213169</v>
      </c>
      <c r="I165" s="6" t="s">
        <v>428</v>
      </c>
      <c r="J165" s="6"/>
      <c r="K165" s="6"/>
      <c r="L165" s="6"/>
      <c r="M165" s="6" t="e">
        <f>VLOOKUP(H165,'Billing CDK pivot (by package)'!A:D,3,FALSE)</f>
        <v>#N/A</v>
      </c>
      <c r="N165" s="6" t="e">
        <f>VLOOKUP(H165,'Billing CDK pivot (by package)'!A:D,4,FALSE)</f>
        <v>#N/A</v>
      </c>
      <c r="O165" s="25" t="e">
        <f>VLOOKUP(H165,'Billing CDK pivot'!A:C,3,FALSE)</f>
        <v>#N/A</v>
      </c>
      <c r="P165" s="25">
        <f>IFERROR(VLOOKUP(H165,'Billing CDK pivot (overages)'!A:F,6,FALSE),0)</f>
        <v>0</v>
      </c>
      <c r="Q165" s="25" t="e">
        <f t="shared" si="9"/>
        <v>#N/A</v>
      </c>
      <c r="R165" s="26" t="e">
        <f t="shared" si="10"/>
        <v>#N/A</v>
      </c>
      <c r="S165" s="48" t="e">
        <f t="shared" si="11"/>
        <v>#N/A</v>
      </c>
      <c r="T165" s="49" t="s">
        <v>417</v>
      </c>
      <c r="U165" s="6" t="e">
        <v>#N/A</v>
      </c>
      <c r="V165" s="6" t="e">
        <v>#N/A</v>
      </c>
      <c r="W165" s="6" t="e">
        <v>#N/A</v>
      </c>
      <c r="X165" s="6" t="s">
        <v>38</v>
      </c>
      <c r="Y165" s="6" t="s">
        <v>50</v>
      </c>
      <c r="Z165" s="6" t="s">
        <v>39</v>
      </c>
    </row>
    <row r="166" spans="1:26" hidden="1" x14ac:dyDescent="0.35">
      <c r="A166" s="6" t="s">
        <v>429</v>
      </c>
      <c r="B166" s="6">
        <v>18040</v>
      </c>
      <c r="C166" s="6">
        <v>377649</v>
      </c>
      <c r="D166" s="47">
        <v>4290.18</v>
      </c>
      <c r="E166" s="25">
        <v>0</v>
      </c>
      <c r="F166" s="25">
        <v>869.15</v>
      </c>
      <c r="G166" s="26">
        <f t="shared" si="8"/>
        <v>869.15</v>
      </c>
      <c r="H166" s="6">
        <v>76229204</v>
      </c>
      <c r="I166" s="6" t="s">
        <v>430</v>
      </c>
      <c r="J166" s="6"/>
      <c r="K166" s="6"/>
      <c r="L166" s="6"/>
      <c r="M166" s="6" t="e">
        <f>VLOOKUP(H166,'Billing CDK pivot (by package)'!A:D,3,FALSE)</f>
        <v>#N/A</v>
      </c>
      <c r="N166" s="6" t="e">
        <f>VLOOKUP(H166,'Billing CDK pivot (by package)'!A:D,4,FALSE)</f>
        <v>#N/A</v>
      </c>
      <c r="O166" s="25" t="e">
        <f>VLOOKUP(H166,'Billing CDK pivot'!A:C,3,FALSE)</f>
        <v>#N/A</v>
      </c>
      <c r="P166" s="25">
        <f>IFERROR(VLOOKUP(H166,'Billing CDK pivot (overages)'!A:F,6,FALSE),0)</f>
        <v>0</v>
      </c>
      <c r="Q166" s="25" t="e">
        <f t="shared" si="9"/>
        <v>#N/A</v>
      </c>
      <c r="R166" s="26" t="e">
        <f t="shared" si="10"/>
        <v>#N/A</v>
      </c>
      <c r="S166" s="48" t="e">
        <f t="shared" si="11"/>
        <v>#N/A</v>
      </c>
      <c r="T166" s="49" t="s">
        <v>417</v>
      </c>
      <c r="U166" s="6" t="e">
        <v>#N/A</v>
      </c>
      <c r="V166" s="6" t="e">
        <v>#N/A</v>
      </c>
      <c r="W166" s="6" t="e">
        <v>#N/A</v>
      </c>
      <c r="X166" s="6" t="s">
        <v>38</v>
      </c>
      <c r="Y166" s="6" t="s">
        <v>138</v>
      </c>
      <c r="Z166" s="6" t="s">
        <v>39</v>
      </c>
    </row>
    <row r="167" spans="1:26" hidden="1" x14ac:dyDescent="0.35">
      <c r="A167" s="6" t="s">
        <v>431</v>
      </c>
      <c r="B167" s="6">
        <v>188195</v>
      </c>
      <c r="C167" s="6">
        <v>31841</v>
      </c>
      <c r="D167" s="47">
        <v>3280.93</v>
      </c>
      <c r="E167" s="25">
        <v>0</v>
      </c>
      <c r="F167" s="25">
        <v>429</v>
      </c>
      <c r="G167" s="26">
        <f t="shared" si="8"/>
        <v>429</v>
      </c>
      <c r="H167" s="6">
        <v>76243435</v>
      </c>
      <c r="I167" s="6" t="s">
        <v>432</v>
      </c>
      <c r="J167" s="6"/>
      <c r="K167" s="6"/>
      <c r="L167" s="6"/>
      <c r="M167" s="6" t="e">
        <f>VLOOKUP(H167,'Billing CDK pivot (by package)'!A:D,3,FALSE)</f>
        <v>#N/A</v>
      </c>
      <c r="N167" s="6" t="e">
        <f>VLOOKUP(H167,'Billing CDK pivot (by package)'!A:D,4,FALSE)</f>
        <v>#N/A</v>
      </c>
      <c r="O167" s="25" t="e">
        <f>VLOOKUP(H167,'Billing CDK pivot'!A:C,3,FALSE)</f>
        <v>#N/A</v>
      </c>
      <c r="P167" s="25">
        <f>IFERROR(VLOOKUP(H167,'Billing CDK pivot (overages)'!A:F,6,FALSE),0)</f>
        <v>0</v>
      </c>
      <c r="Q167" s="25" t="e">
        <f t="shared" si="9"/>
        <v>#N/A</v>
      </c>
      <c r="R167" s="26" t="e">
        <f t="shared" si="10"/>
        <v>#N/A</v>
      </c>
      <c r="S167" s="48" t="e">
        <f t="shared" si="11"/>
        <v>#N/A</v>
      </c>
      <c r="T167" s="49" t="s">
        <v>417</v>
      </c>
      <c r="U167" s="6" t="e">
        <v>#N/A</v>
      </c>
      <c r="V167" s="6" t="e">
        <v>#N/A</v>
      </c>
      <c r="W167" s="6" t="e">
        <v>#N/A</v>
      </c>
      <c r="X167" s="6" t="s">
        <v>38</v>
      </c>
      <c r="Y167" s="6" t="s">
        <v>337</v>
      </c>
      <c r="Z167" s="6" t="s">
        <v>39</v>
      </c>
    </row>
    <row r="168" spans="1:26" hidden="1" x14ac:dyDescent="0.35">
      <c r="A168" s="6" t="s">
        <v>433</v>
      </c>
      <c r="B168" s="6">
        <v>96473</v>
      </c>
      <c r="C168" s="6">
        <v>18864</v>
      </c>
      <c r="D168" s="47">
        <v>9316.81</v>
      </c>
      <c r="E168" s="25">
        <v>0</v>
      </c>
      <c r="F168" s="25">
        <v>1284.1500000000001</v>
      </c>
      <c r="G168" s="26">
        <f t="shared" si="8"/>
        <v>1284.1500000000001</v>
      </c>
      <c r="H168" s="6">
        <v>76211978</v>
      </c>
      <c r="I168" s="6" t="s">
        <v>434</v>
      </c>
      <c r="J168" s="6"/>
      <c r="K168" s="6"/>
      <c r="L168" s="6"/>
      <c r="M168" s="6" t="e">
        <f>VLOOKUP(H168,'Billing CDK pivot (by package)'!A:D,3,FALSE)</f>
        <v>#N/A</v>
      </c>
      <c r="N168" s="6" t="e">
        <f>VLOOKUP(H168,'Billing CDK pivot (by package)'!A:D,4,FALSE)</f>
        <v>#N/A</v>
      </c>
      <c r="O168" s="25" t="e">
        <f>VLOOKUP(H168,'Billing CDK pivot'!A:C,3,FALSE)</f>
        <v>#N/A</v>
      </c>
      <c r="P168" s="25">
        <f>IFERROR(VLOOKUP(H168,'Billing CDK pivot (overages)'!A:F,6,FALSE),0)</f>
        <v>0</v>
      </c>
      <c r="Q168" s="25" t="e">
        <f t="shared" si="9"/>
        <v>#N/A</v>
      </c>
      <c r="R168" s="26" t="e">
        <f t="shared" si="10"/>
        <v>#N/A</v>
      </c>
      <c r="S168" s="48" t="e">
        <f t="shared" si="11"/>
        <v>#N/A</v>
      </c>
      <c r="T168" s="49" t="s">
        <v>417</v>
      </c>
      <c r="U168" s="6" t="e">
        <v>#N/A</v>
      </c>
      <c r="V168" s="6" t="e">
        <v>#N/A</v>
      </c>
      <c r="W168" s="6" t="e">
        <v>#N/A</v>
      </c>
      <c r="X168" s="6" t="s">
        <v>80</v>
      </c>
      <c r="Y168" s="6" t="s">
        <v>69</v>
      </c>
      <c r="Z168" s="6" t="s">
        <v>39</v>
      </c>
    </row>
    <row r="169" spans="1:26" hidden="1" x14ac:dyDescent="0.35">
      <c r="A169" s="6" t="s">
        <v>435</v>
      </c>
      <c r="B169" s="6">
        <v>84596</v>
      </c>
      <c r="C169" s="6">
        <v>17024</v>
      </c>
      <c r="D169" s="47">
        <v>23.66</v>
      </c>
      <c r="E169" s="25">
        <v>0</v>
      </c>
      <c r="F169" s="25">
        <v>254.15</v>
      </c>
      <c r="G169" s="26">
        <f t="shared" si="8"/>
        <v>254.15</v>
      </c>
      <c r="H169" s="6">
        <v>76186932</v>
      </c>
      <c r="I169" s="6" t="s">
        <v>436</v>
      </c>
      <c r="J169" s="6"/>
      <c r="K169" s="6"/>
      <c r="L169" s="6"/>
      <c r="M169" s="6" t="e">
        <f>VLOOKUP(H169,'Billing CDK pivot (by package)'!A:D,3,FALSE)</f>
        <v>#N/A</v>
      </c>
      <c r="N169" s="6" t="e">
        <f>VLOOKUP(H169,'Billing CDK pivot (by package)'!A:D,4,FALSE)</f>
        <v>#N/A</v>
      </c>
      <c r="O169" s="25" t="e">
        <f>VLOOKUP(H169,'Billing CDK pivot'!A:C,3,FALSE)</f>
        <v>#N/A</v>
      </c>
      <c r="P169" s="25">
        <f>IFERROR(VLOOKUP(H169,'Billing CDK pivot (overages)'!A:F,6,FALSE),0)</f>
        <v>0</v>
      </c>
      <c r="Q169" s="25" t="e">
        <f t="shared" si="9"/>
        <v>#N/A</v>
      </c>
      <c r="R169" s="26" t="e">
        <f t="shared" si="10"/>
        <v>#N/A</v>
      </c>
      <c r="S169" s="48" t="e">
        <f t="shared" si="11"/>
        <v>#N/A</v>
      </c>
      <c r="T169" s="49" t="s">
        <v>417</v>
      </c>
      <c r="U169" s="6" t="e">
        <v>#N/A</v>
      </c>
      <c r="V169" s="6" t="e">
        <v>#N/A</v>
      </c>
      <c r="W169" s="6" t="e">
        <v>#N/A</v>
      </c>
      <c r="X169" s="6" t="s">
        <v>80</v>
      </c>
      <c r="Y169" s="6" t="s">
        <v>39</v>
      </c>
      <c r="Z169" s="6" t="s">
        <v>39</v>
      </c>
    </row>
    <row r="170" spans="1:26" hidden="1" x14ac:dyDescent="0.35">
      <c r="A170" s="6" t="s">
        <v>437</v>
      </c>
      <c r="B170" s="6">
        <v>146535</v>
      </c>
      <c r="C170" s="6">
        <v>25162</v>
      </c>
      <c r="D170" s="47">
        <v>3210.96</v>
      </c>
      <c r="E170" s="25">
        <v>0</v>
      </c>
      <c r="F170" s="25">
        <v>519.15</v>
      </c>
      <c r="G170" s="26">
        <f t="shared" si="8"/>
        <v>519.15</v>
      </c>
      <c r="H170" s="6">
        <v>76222868</v>
      </c>
      <c r="I170" s="6" t="s">
        <v>438</v>
      </c>
      <c r="J170" s="6"/>
      <c r="K170" s="6"/>
      <c r="L170" s="6"/>
      <c r="M170" s="6" t="e">
        <f>VLOOKUP(H170,'Billing CDK pivot (by package)'!A:D,3,FALSE)</f>
        <v>#N/A</v>
      </c>
      <c r="N170" s="6" t="e">
        <f>VLOOKUP(H170,'Billing CDK pivot (by package)'!A:D,4,FALSE)</f>
        <v>#N/A</v>
      </c>
      <c r="O170" s="25" t="e">
        <f>VLOOKUP(H170,'Billing CDK pivot'!A:C,3,FALSE)</f>
        <v>#N/A</v>
      </c>
      <c r="P170" s="25">
        <f>IFERROR(VLOOKUP(H170,'Billing CDK pivot (overages)'!A:F,6,FALSE),0)</f>
        <v>0</v>
      </c>
      <c r="Q170" s="25" t="e">
        <f t="shared" si="9"/>
        <v>#N/A</v>
      </c>
      <c r="R170" s="26" t="e">
        <f t="shared" si="10"/>
        <v>#N/A</v>
      </c>
      <c r="S170" s="48" t="e">
        <f t="shared" si="11"/>
        <v>#N/A</v>
      </c>
      <c r="T170" s="6" t="s">
        <v>417</v>
      </c>
      <c r="U170" s="6" t="e">
        <v>#N/A</v>
      </c>
      <c r="V170" s="6" t="e">
        <v>#N/A</v>
      </c>
      <c r="W170" s="6" t="e">
        <v>#N/A</v>
      </c>
      <c r="X170" s="6" t="s">
        <v>38</v>
      </c>
      <c r="Y170" s="6" t="s">
        <v>207</v>
      </c>
      <c r="Z170" s="6" t="s">
        <v>39</v>
      </c>
    </row>
    <row r="171" spans="1:26" hidden="1" x14ac:dyDescent="0.35">
      <c r="A171" s="6" t="s">
        <v>439</v>
      </c>
      <c r="B171" s="6">
        <v>188178</v>
      </c>
      <c r="C171" s="6">
        <v>13466</v>
      </c>
      <c r="D171" s="47">
        <v>1934.7</v>
      </c>
      <c r="E171" s="25">
        <v>0</v>
      </c>
      <c r="F171" s="25">
        <v>429</v>
      </c>
      <c r="G171" s="26">
        <f t="shared" si="8"/>
        <v>429</v>
      </c>
      <c r="H171" s="6">
        <v>76141328</v>
      </c>
      <c r="I171" s="6" t="s">
        <v>440</v>
      </c>
      <c r="J171" s="6"/>
      <c r="K171" s="6"/>
      <c r="L171" s="6"/>
      <c r="M171" s="6" t="e">
        <f>VLOOKUP(H171,'Billing CDK pivot (by package)'!A:D,3,FALSE)</f>
        <v>#N/A</v>
      </c>
      <c r="N171" s="6" t="e">
        <f>VLOOKUP(H171,'Billing CDK pivot (by package)'!A:D,4,FALSE)</f>
        <v>#N/A</v>
      </c>
      <c r="O171" s="25" t="e">
        <f>VLOOKUP(H171,'Billing CDK pivot'!A:C,3,FALSE)</f>
        <v>#N/A</v>
      </c>
      <c r="P171" s="25">
        <f>IFERROR(VLOOKUP(H171,'Billing CDK pivot (overages)'!A:F,6,FALSE),0)</f>
        <v>0</v>
      </c>
      <c r="Q171" s="25" t="e">
        <f t="shared" si="9"/>
        <v>#N/A</v>
      </c>
      <c r="R171" s="26" t="e">
        <f t="shared" si="10"/>
        <v>#N/A</v>
      </c>
      <c r="S171" s="48" t="e">
        <f t="shared" si="11"/>
        <v>#N/A</v>
      </c>
      <c r="T171" s="6" t="s">
        <v>417</v>
      </c>
      <c r="U171" s="6" t="e">
        <v>#N/A</v>
      </c>
      <c r="V171" s="6" t="e">
        <v>#N/A</v>
      </c>
      <c r="W171" s="6" t="e">
        <v>#N/A</v>
      </c>
      <c r="X171" s="6" t="s">
        <v>38</v>
      </c>
      <c r="Y171" s="6" t="s">
        <v>337</v>
      </c>
      <c r="Z171" s="6" t="s">
        <v>39</v>
      </c>
    </row>
    <row r="172" spans="1:26" hidden="1" x14ac:dyDescent="0.35">
      <c r="A172" s="6" t="s">
        <v>441</v>
      </c>
      <c r="B172" s="6">
        <v>188153</v>
      </c>
      <c r="C172" s="6">
        <v>30664</v>
      </c>
      <c r="D172" s="47">
        <v>2001.55</v>
      </c>
      <c r="E172" s="25">
        <v>0</v>
      </c>
      <c r="F172" s="25">
        <v>509.15</v>
      </c>
      <c r="G172" s="26">
        <f t="shared" si="8"/>
        <v>509.15</v>
      </c>
      <c r="H172" s="6">
        <v>76253402</v>
      </c>
      <c r="I172" s="6" t="s">
        <v>442</v>
      </c>
      <c r="J172" s="6"/>
      <c r="K172" s="6"/>
      <c r="L172" s="6"/>
      <c r="M172" s="6" t="e">
        <f>VLOOKUP(H172,'Billing CDK pivot (by package)'!A:D,3,FALSE)</f>
        <v>#N/A</v>
      </c>
      <c r="N172" s="6" t="e">
        <f>VLOOKUP(H172,'Billing CDK pivot (by package)'!A:D,4,FALSE)</f>
        <v>#N/A</v>
      </c>
      <c r="O172" s="25" t="e">
        <f>VLOOKUP(H172,'Billing CDK pivot'!A:C,3,FALSE)</f>
        <v>#N/A</v>
      </c>
      <c r="P172" s="25">
        <f>IFERROR(VLOOKUP(H172,'Billing CDK pivot (overages)'!A:F,6,FALSE),0)</f>
        <v>0</v>
      </c>
      <c r="Q172" s="25" t="e">
        <f t="shared" si="9"/>
        <v>#N/A</v>
      </c>
      <c r="R172" s="26" t="e">
        <f t="shared" si="10"/>
        <v>#N/A</v>
      </c>
      <c r="S172" s="48" t="e">
        <f t="shared" si="11"/>
        <v>#N/A</v>
      </c>
      <c r="T172" s="6" t="s">
        <v>417</v>
      </c>
      <c r="U172" s="6" t="e">
        <v>#N/A</v>
      </c>
      <c r="V172" s="6" t="e">
        <v>#N/A</v>
      </c>
      <c r="W172" s="6" t="e">
        <v>#N/A</v>
      </c>
      <c r="X172" s="6" t="s">
        <v>38</v>
      </c>
      <c r="Y172" s="6" t="s">
        <v>39</v>
      </c>
      <c r="Z172" s="6" t="s">
        <v>39</v>
      </c>
    </row>
    <row r="173" spans="1:26" hidden="1" x14ac:dyDescent="0.35">
      <c r="A173" s="6" t="s">
        <v>443</v>
      </c>
      <c r="B173" s="6">
        <v>188199</v>
      </c>
      <c r="C173" s="6">
        <v>24697</v>
      </c>
      <c r="D173" s="47">
        <v>489.28</v>
      </c>
      <c r="E173" s="25">
        <v>0</v>
      </c>
      <c r="F173" s="25">
        <v>429</v>
      </c>
      <c r="G173" s="26">
        <f t="shared" si="8"/>
        <v>429</v>
      </c>
      <c r="H173" s="6">
        <v>76070071</v>
      </c>
      <c r="I173" s="6" t="s">
        <v>444</v>
      </c>
      <c r="J173" s="6"/>
      <c r="K173" s="6"/>
      <c r="L173" s="6"/>
      <c r="M173" s="6" t="e">
        <f>VLOOKUP(H173,'Billing CDK pivot (by package)'!A:D,3,FALSE)</f>
        <v>#N/A</v>
      </c>
      <c r="N173" s="6" t="e">
        <f>VLOOKUP(H173,'Billing CDK pivot (by package)'!A:D,4,FALSE)</f>
        <v>#N/A</v>
      </c>
      <c r="O173" s="25" t="e">
        <f>VLOOKUP(H173,'Billing CDK pivot'!A:C,3,FALSE)</f>
        <v>#N/A</v>
      </c>
      <c r="P173" s="25">
        <f>IFERROR(VLOOKUP(H173,'Billing CDK pivot (overages)'!A:F,6,FALSE),0)</f>
        <v>0</v>
      </c>
      <c r="Q173" s="25" t="e">
        <f t="shared" si="9"/>
        <v>#N/A</v>
      </c>
      <c r="R173" s="26" t="e">
        <f t="shared" si="10"/>
        <v>#N/A</v>
      </c>
      <c r="S173" s="48" t="e">
        <f t="shared" si="11"/>
        <v>#N/A</v>
      </c>
      <c r="T173" s="6" t="s">
        <v>417</v>
      </c>
      <c r="U173" s="6" t="e">
        <v>#N/A</v>
      </c>
      <c r="V173" s="6" t="e">
        <v>#N/A</v>
      </c>
      <c r="W173" s="6" t="e">
        <v>#N/A</v>
      </c>
      <c r="X173" s="6" t="s">
        <v>38</v>
      </c>
      <c r="Y173" s="6" t="s">
        <v>337</v>
      </c>
      <c r="Z173" s="6" t="s">
        <v>39</v>
      </c>
    </row>
    <row r="174" spans="1:26" hidden="1" x14ac:dyDescent="0.35">
      <c r="A174" s="6" t="s">
        <v>445</v>
      </c>
      <c r="B174" s="6">
        <v>186132</v>
      </c>
      <c r="C174" s="6">
        <v>76232941</v>
      </c>
      <c r="D174" s="47">
        <v>1889.87</v>
      </c>
      <c r="E174" s="25">
        <v>0</v>
      </c>
      <c r="F174" s="25">
        <v>1284.1500000000001</v>
      </c>
      <c r="G174" s="26">
        <f t="shared" si="8"/>
        <v>1284.1500000000001</v>
      </c>
      <c r="H174" s="6">
        <v>76232941</v>
      </c>
      <c r="I174" s="6" t="s">
        <v>446</v>
      </c>
      <c r="J174" s="6"/>
      <c r="K174" s="6"/>
      <c r="L174" s="6"/>
      <c r="M174" s="6" t="e">
        <f>VLOOKUP(H174,'Billing CDK pivot (by package)'!A:D,3,FALSE)</f>
        <v>#N/A</v>
      </c>
      <c r="N174" s="6" t="e">
        <f>VLOOKUP(H174,'Billing CDK pivot (by package)'!A:D,4,FALSE)</f>
        <v>#N/A</v>
      </c>
      <c r="O174" s="25" t="e">
        <f>VLOOKUP(H174,'Billing CDK pivot'!A:C,3,FALSE)</f>
        <v>#N/A</v>
      </c>
      <c r="P174" s="25">
        <f>IFERROR(VLOOKUP(H174,'Billing CDK pivot (overages)'!A:F,6,FALSE),0)</f>
        <v>0</v>
      </c>
      <c r="Q174" s="25" t="e">
        <f t="shared" si="9"/>
        <v>#N/A</v>
      </c>
      <c r="R174" s="26" t="e">
        <f t="shared" si="10"/>
        <v>#N/A</v>
      </c>
      <c r="S174" s="48" t="e">
        <f t="shared" si="11"/>
        <v>#N/A</v>
      </c>
      <c r="T174" s="6" t="s">
        <v>417</v>
      </c>
      <c r="U174" s="6" t="e">
        <v>#N/A</v>
      </c>
      <c r="V174" s="6" t="e">
        <v>#N/A</v>
      </c>
      <c r="W174" s="6" t="e">
        <v>#N/A</v>
      </c>
      <c r="X174" s="6" t="s">
        <v>38</v>
      </c>
      <c r="Y174" s="6" t="s">
        <v>69</v>
      </c>
      <c r="Z174" s="6" t="s">
        <v>39</v>
      </c>
    </row>
    <row r="175" spans="1:26" hidden="1" x14ac:dyDescent="0.35">
      <c r="A175" s="6" t="s">
        <v>447</v>
      </c>
      <c r="B175" s="6">
        <v>186133</v>
      </c>
      <c r="C175" s="6">
        <v>76243311</v>
      </c>
      <c r="D175" s="47">
        <v>6293.54</v>
      </c>
      <c r="E175" s="25">
        <v>0</v>
      </c>
      <c r="F175" s="25">
        <v>1284.1500000000001</v>
      </c>
      <c r="G175" s="26">
        <f t="shared" si="8"/>
        <v>1284.1500000000001</v>
      </c>
      <c r="H175" s="6">
        <v>76243311</v>
      </c>
      <c r="I175" s="6" t="s">
        <v>448</v>
      </c>
      <c r="J175" s="6"/>
      <c r="K175" s="6"/>
      <c r="L175" s="6"/>
      <c r="M175" s="6" t="e">
        <f>VLOOKUP(H175,'Billing CDK pivot (by package)'!A:D,3,FALSE)</f>
        <v>#N/A</v>
      </c>
      <c r="N175" s="6" t="e">
        <f>VLOOKUP(H175,'Billing CDK pivot (by package)'!A:D,4,FALSE)</f>
        <v>#N/A</v>
      </c>
      <c r="O175" s="25" t="e">
        <f>VLOOKUP(H175,'Billing CDK pivot'!A:C,3,FALSE)</f>
        <v>#N/A</v>
      </c>
      <c r="P175" s="25">
        <f>IFERROR(VLOOKUP(H175,'Billing CDK pivot (overages)'!A:F,6,FALSE),0)</f>
        <v>0</v>
      </c>
      <c r="Q175" s="25" t="e">
        <f t="shared" si="9"/>
        <v>#N/A</v>
      </c>
      <c r="R175" s="26" t="e">
        <f t="shared" si="10"/>
        <v>#N/A</v>
      </c>
      <c r="S175" s="48" t="e">
        <f t="shared" si="11"/>
        <v>#N/A</v>
      </c>
      <c r="T175" s="6" t="s">
        <v>417</v>
      </c>
      <c r="U175" s="6" t="e">
        <v>#N/A</v>
      </c>
      <c r="V175" s="6" t="e">
        <v>#N/A</v>
      </c>
      <c r="W175" s="6" t="e">
        <v>#N/A</v>
      </c>
      <c r="X175" s="6" t="s">
        <v>38</v>
      </c>
      <c r="Y175" s="6" t="s">
        <v>69</v>
      </c>
      <c r="Z175" s="6" t="s">
        <v>39</v>
      </c>
    </row>
    <row r="176" spans="1:26" hidden="1" x14ac:dyDescent="0.35">
      <c r="A176" s="6" t="s">
        <v>449</v>
      </c>
      <c r="B176" s="6">
        <v>186134</v>
      </c>
      <c r="C176" s="6">
        <v>76228449</v>
      </c>
      <c r="D176" s="47">
        <v>499.87</v>
      </c>
      <c r="E176" s="25">
        <v>0</v>
      </c>
      <c r="F176" s="25">
        <v>1284.1500000000001</v>
      </c>
      <c r="G176" s="26">
        <f t="shared" si="8"/>
        <v>1284.1500000000001</v>
      </c>
      <c r="H176" s="6">
        <v>76228449</v>
      </c>
      <c r="I176" s="6" t="s">
        <v>450</v>
      </c>
      <c r="J176" s="6"/>
      <c r="K176" s="6"/>
      <c r="L176" s="6"/>
      <c r="M176" s="6" t="e">
        <f>VLOOKUP(H176,'Billing CDK pivot (by package)'!A:D,3,FALSE)</f>
        <v>#N/A</v>
      </c>
      <c r="N176" s="6" t="e">
        <f>VLOOKUP(H176,'Billing CDK pivot (by package)'!A:D,4,FALSE)</f>
        <v>#N/A</v>
      </c>
      <c r="O176" s="25" t="e">
        <f>VLOOKUP(H176,'Billing CDK pivot'!A:C,3,FALSE)</f>
        <v>#N/A</v>
      </c>
      <c r="P176" s="25">
        <f>IFERROR(VLOOKUP(H176,'Billing CDK pivot (overages)'!A:F,6,FALSE),0)</f>
        <v>0</v>
      </c>
      <c r="Q176" s="25" t="e">
        <f t="shared" si="9"/>
        <v>#N/A</v>
      </c>
      <c r="R176" s="26" t="e">
        <f t="shared" si="10"/>
        <v>#N/A</v>
      </c>
      <c r="S176" s="48" t="e">
        <f t="shared" si="11"/>
        <v>#N/A</v>
      </c>
      <c r="T176" s="6" t="s">
        <v>417</v>
      </c>
      <c r="U176" s="6" t="e">
        <v>#N/A</v>
      </c>
      <c r="V176" s="6" t="e">
        <v>#N/A</v>
      </c>
      <c r="W176" s="6" t="e">
        <v>#N/A</v>
      </c>
      <c r="X176" s="6" t="s">
        <v>38</v>
      </c>
      <c r="Y176" s="6" t="s">
        <v>69</v>
      </c>
      <c r="Z176" s="6" t="s">
        <v>39</v>
      </c>
    </row>
    <row r="177" spans="1:26" hidden="1" x14ac:dyDescent="0.35">
      <c r="A177" s="6" t="s">
        <v>451</v>
      </c>
      <c r="B177" s="6">
        <v>186130</v>
      </c>
      <c r="C177" s="6">
        <v>76230046</v>
      </c>
      <c r="D177" s="47">
        <v>1137.6500000000001</v>
      </c>
      <c r="E177" s="25">
        <v>0</v>
      </c>
      <c r="F177" s="25">
        <v>1284.1500000000001</v>
      </c>
      <c r="G177" s="26">
        <f t="shared" si="8"/>
        <v>1284.1500000000001</v>
      </c>
      <c r="H177" s="6">
        <v>76230046</v>
      </c>
      <c r="I177" s="6" t="s">
        <v>452</v>
      </c>
      <c r="J177" s="6"/>
      <c r="K177" s="6"/>
      <c r="L177" s="6"/>
      <c r="M177" s="6" t="e">
        <f>VLOOKUP(H177,'Billing CDK pivot (by package)'!A:D,3,FALSE)</f>
        <v>#N/A</v>
      </c>
      <c r="N177" s="6" t="e">
        <f>VLOOKUP(H177,'Billing CDK pivot (by package)'!A:D,4,FALSE)</f>
        <v>#N/A</v>
      </c>
      <c r="O177" s="25" t="e">
        <f>VLOOKUP(H177,'Billing CDK pivot'!A:C,3,FALSE)</f>
        <v>#N/A</v>
      </c>
      <c r="P177" s="25">
        <f>IFERROR(VLOOKUP(H177,'Billing CDK pivot (overages)'!A:F,6,FALSE),0)</f>
        <v>0</v>
      </c>
      <c r="Q177" s="25" t="e">
        <f t="shared" si="9"/>
        <v>#N/A</v>
      </c>
      <c r="R177" s="26" t="e">
        <f t="shared" si="10"/>
        <v>#N/A</v>
      </c>
      <c r="S177" s="48" t="e">
        <f t="shared" si="11"/>
        <v>#N/A</v>
      </c>
      <c r="T177" s="6" t="s">
        <v>417</v>
      </c>
      <c r="U177" s="6" t="e">
        <v>#N/A</v>
      </c>
      <c r="V177" s="6" t="e">
        <v>#N/A</v>
      </c>
      <c r="W177" s="6" t="e">
        <v>#N/A</v>
      </c>
      <c r="X177" s="6" t="s">
        <v>38</v>
      </c>
      <c r="Y177" s="6" t="s">
        <v>69</v>
      </c>
      <c r="Z177" s="6" t="s">
        <v>39</v>
      </c>
    </row>
    <row r="178" spans="1:26" hidden="1" x14ac:dyDescent="0.35">
      <c r="A178" s="6" t="s">
        <v>453</v>
      </c>
      <c r="B178" s="6">
        <v>57773</v>
      </c>
      <c r="C178" s="6">
        <v>15949</v>
      </c>
      <c r="D178" s="47">
        <v>623.21</v>
      </c>
      <c r="E178" s="25">
        <v>0</v>
      </c>
      <c r="F178" s="25">
        <v>1029</v>
      </c>
      <c r="G178" s="26">
        <f t="shared" si="8"/>
        <v>1029</v>
      </c>
      <c r="H178" s="6">
        <v>76066605</v>
      </c>
      <c r="I178" s="6" t="s">
        <v>454</v>
      </c>
      <c r="J178" s="6"/>
      <c r="K178" s="6"/>
      <c r="L178" s="6"/>
      <c r="M178" s="6" t="e">
        <f>VLOOKUP(H178,'Billing CDK pivot (by package)'!A:D,3,FALSE)</f>
        <v>#N/A</v>
      </c>
      <c r="N178" s="6" t="e">
        <f>VLOOKUP(H178,'Billing CDK pivot (by package)'!A:D,4,FALSE)</f>
        <v>#N/A</v>
      </c>
      <c r="O178" s="25" t="e">
        <f>VLOOKUP(H178,'Billing CDK pivot'!A:C,3,FALSE)</f>
        <v>#N/A</v>
      </c>
      <c r="P178" s="25">
        <f>IFERROR(VLOOKUP(H178,'Billing CDK pivot (overages)'!A:F,6,FALSE),0)</f>
        <v>0</v>
      </c>
      <c r="Q178" s="25" t="e">
        <f t="shared" si="9"/>
        <v>#N/A</v>
      </c>
      <c r="R178" s="26" t="e">
        <f t="shared" si="10"/>
        <v>#N/A</v>
      </c>
      <c r="S178" s="48" t="e">
        <f t="shared" si="11"/>
        <v>#N/A</v>
      </c>
      <c r="T178" s="6" t="s">
        <v>417</v>
      </c>
      <c r="U178" s="6" t="e">
        <v>#N/A</v>
      </c>
      <c r="V178" s="6" t="e">
        <v>#N/A</v>
      </c>
      <c r="W178" s="6" t="e">
        <v>#N/A</v>
      </c>
      <c r="X178" s="6" t="s">
        <v>38</v>
      </c>
      <c r="Y178" s="6" t="s">
        <v>108</v>
      </c>
      <c r="Z178" s="6" t="s">
        <v>39</v>
      </c>
    </row>
    <row r="179" spans="1:26" hidden="1" x14ac:dyDescent="0.35">
      <c r="A179" s="6" t="s">
        <v>455</v>
      </c>
      <c r="B179" s="6">
        <v>56399</v>
      </c>
      <c r="C179" s="6">
        <v>15949</v>
      </c>
      <c r="D179" s="47">
        <v>80.650000000000006</v>
      </c>
      <c r="E179" s="25">
        <v>0</v>
      </c>
      <c r="F179" s="25">
        <v>1019</v>
      </c>
      <c r="G179" s="26">
        <f t="shared" si="8"/>
        <v>1019</v>
      </c>
      <c r="H179" s="6">
        <v>76066646</v>
      </c>
      <c r="I179" s="6" t="s">
        <v>456</v>
      </c>
      <c r="J179" s="6"/>
      <c r="K179" s="6"/>
      <c r="L179" s="6"/>
      <c r="M179" s="6" t="e">
        <f>VLOOKUP(H179,'Billing CDK pivot (by package)'!A:D,3,FALSE)</f>
        <v>#N/A</v>
      </c>
      <c r="N179" s="6" t="e">
        <f>VLOOKUP(H179,'Billing CDK pivot (by package)'!A:D,4,FALSE)</f>
        <v>#N/A</v>
      </c>
      <c r="O179" s="25" t="e">
        <f>VLOOKUP(H179,'Billing CDK pivot'!A:C,3,FALSE)</f>
        <v>#N/A</v>
      </c>
      <c r="P179" s="25">
        <f>IFERROR(VLOOKUP(H179,'Billing CDK pivot (overages)'!A:F,6,FALSE),0)</f>
        <v>0</v>
      </c>
      <c r="Q179" s="25" t="e">
        <f t="shared" si="9"/>
        <v>#N/A</v>
      </c>
      <c r="R179" s="26" t="e">
        <f t="shared" si="10"/>
        <v>#N/A</v>
      </c>
      <c r="S179" s="48" t="e">
        <f t="shared" si="11"/>
        <v>#N/A</v>
      </c>
      <c r="T179" s="6" t="s">
        <v>417</v>
      </c>
      <c r="U179" s="6" t="e">
        <v>#N/A</v>
      </c>
      <c r="V179" s="6" t="e">
        <v>#N/A</v>
      </c>
      <c r="W179" s="6" t="e">
        <v>#N/A</v>
      </c>
      <c r="X179" s="6" t="s">
        <v>50</v>
      </c>
      <c r="Y179" s="6" t="s">
        <v>39</v>
      </c>
      <c r="Z179" s="6" t="s">
        <v>39</v>
      </c>
    </row>
    <row r="180" spans="1:26" hidden="1" x14ac:dyDescent="0.35">
      <c r="A180" s="6" t="s">
        <v>457</v>
      </c>
      <c r="B180" s="6">
        <v>91364</v>
      </c>
      <c r="C180" s="6" t="s">
        <v>458</v>
      </c>
      <c r="D180" s="47">
        <v>15560.38</v>
      </c>
      <c r="E180" s="25">
        <v>0</v>
      </c>
      <c r="F180" s="25">
        <v>1581.65</v>
      </c>
      <c r="G180" s="26">
        <f t="shared" si="8"/>
        <v>1581.65</v>
      </c>
      <c r="H180" s="6">
        <v>76219293</v>
      </c>
      <c r="I180" s="6" t="s">
        <v>459</v>
      </c>
      <c r="J180" s="6"/>
      <c r="K180" s="6"/>
      <c r="L180" s="6"/>
      <c r="M180" s="6" t="e">
        <f>VLOOKUP(H180,'Billing CDK pivot (by package)'!A:D,3,FALSE)</f>
        <v>#N/A</v>
      </c>
      <c r="N180" s="6" t="e">
        <f>VLOOKUP(H180,'Billing CDK pivot (by package)'!A:D,4,FALSE)</f>
        <v>#N/A</v>
      </c>
      <c r="O180" s="25" t="e">
        <f>VLOOKUP(H180,'Billing CDK pivot'!A:C,3,FALSE)</f>
        <v>#N/A</v>
      </c>
      <c r="P180" s="25">
        <f>IFERROR(VLOOKUP(H180,'Billing CDK pivot (overages)'!A:F,6,FALSE),0)</f>
        <v>0</v>
      </c>
      <c r="Q180" s="25" t="e">
        <f t="shared" si="9"/>
        <v>#N/A</v>
      </c>
      <c r="R180" s="26" t="e">
        <f t="shared" si="10"/>
        <v>#N/A</v>
      </c>
      <c r="S180" s="48" t="e">
        <f t="shared" si="11"/>
        <v>#N/A</v>
      </c>
      <c r="T180" s="6" t="s">
        <v>417</v>
      </c>
      <c r="U180" s="6" t="s">
        <v>460</v>
      </c>
      <c r="V180" s="6" t="s">
        <v>194</v>
      </c>
      <c r="W180" s="6" t="s">
        <v>39</v>
      </c>
      <c r="X180" s="6" t="s">
        <v>38</v>
      </c>
      <c r="Y180" s="6" t="s">
        <v>54</v>
      </c>
      <c r="Z180" s="6" t="s">
        <v>39</v>
      </c>
    </row>
    <row r="181" spans="1:26" hidden="1" x14ac:dyDescent="0.35">
      <c r="A181" s="6" t="s">
        <v>461</v>
      </c>
      <c r="B181" s="6">
        <v>118924</v>
      </c>
      <c r="C181" s="6">
        <v>19746</v>
      </c>
      <c r="D181" s="47">
        <v>41253.040000000001</v>
      </c>
      <c r="E181" s="25">
        <v>0</v>
      </c>
      <c r="F181" s="25">
        <v>2563.85</v>
      </c>
      <c r="G181" s="26">
        <f t="shared" si="8"/>
        <v>2563.85</v>
      </c>
      <c r="H181" s="6">
        <v>76213062</v>
      </c>
      <c r="I181" s="6" t="s">
        <v>462</v>
      </c>
      <c r="J181" s="6"/>
      <c r="K181" s="6"/>
      <c r="L181" s="6"/>
      <c r="M181" s="6" t="e">
        <f>VLOOKUP(H181,'Billing CDK pivot (by package)'!A:D,3,FALSE)</f>
        <v>#N/A</v>
      </c>
      <c r="N181" s="6" t="e">
        <f>VLOOKUP(H181,'Billing CDK pivot (by package)'!A:D,4,FALSE)</f>
        <v>#N/A</v>
      </c>
      <c r="O181" s="25" t="e">
        <f>VLOOKUP(H181,'Billing CDK pivot'!A:C,3,FALSE)</f>
        <v>#N/A</v>
      </c>
      <c r="P181" s="25">
        <f>IFERROR(VLOOKUP(H181,'Billing CDK pivot (overages)'!A:F,6,FALSE),0)</f>
        <v>0</v>
      </c>
      <c r="Q181" s="25" t="e">
        <f t="shared" si="9"/>
        <v>#N/A</v>
      </c>
      <c r="R181" s="26" t="e">
        <f t="shared" si="10"/>
        <v>#N/A</v>
      </c>
      <c r="S181" s="48" t="e">
        <f t="shared" si="11"/>
        <v>#N/A</v>
      </c>
      <c r="T181" s="6" t="s">
        <v>417</v>
      </c>
      <c r="U181" s="6" t="s">
        <v>463</v>
      </c>
      <c r="V181" s="6" t="s">
        <v>39</v>
      </c>
      <c r="W181" s="6" t="s">
        <v>39</v>
      </c>
      <c r="X181" s="6" t="s">
        <v>38</v>
      </c>
      <c r="Y181" s="6" t="s">
        <v>378</v>
      </c>
      <c r="Z181" s="6" t="s">
        <v>255</v>
      </c>
    </row>
    <row r="182" spans="1:26" hidden="1" x14ac:dyDescent="0.35">
      <c r="A182" s="6" t="s">
        <v>464</v>
      </c>
      <c r="B182" s="6">
        <v>118908</v>
      </c>
      <c r="C182" s="6">
        <v>19812</v>
      </c>
      <c r="D182" s="47">
        <v>2494.2399999999998</v>
      </c>
      <c r="E182" s="25">
        <v>0</v>
      </c>
      <c r="F182" s="25">
        <v>454.15</v>
      </c>
      <c r="G182" s="26">
        <f t="shared" si="8"/>
        <v>454.15</v>
      </c>
      <c r="H182" s="6">
        <v>76209490</v>
      </c>
      <c r="I182" s="6" t="s">
        <v>465</v>
      </c>
      <c r="J182" s="6"/>
      <c r="K182" s="6"/>
      <c r="L182" s="6"/>
      <c r="M182" s="6" t="e">
        <f>VLOOKUP(H182,'Billing CDK pivot (by package)'!A:D,3,FALSE)</f>
        <v>#N/A</v>
      </c>
      <c r="N182" s="6" t="e">
        <f>VLOOKUP(H182,'Billing CDK pivot (by package)'!A:D,4,FALSE)</f>
        <v>#N/A</v>
      </c>
      <c r="O182" s="25" t="e">
        <f>VLOOKUP(H182,'Billing CDK pivot'!A:C,3,FALSE)</f>
        <v>#N/A</v>
      </c>
      <c r="P182" s="25">
        <f>IFERROR(VLOOKUP(H182,'Billing CDK pivot (overages)'!A:F,6,FALSE),0)</f>
        <v>0</v>
      </c>
      <c r="Q182" s="25" t="e">
        <f t="shared" si="9"/>
        <v>#N/A</v>
      </c>
      <c r="R182" s="26" t="e">
        <f t="shared" si="10"/>
        <v>#N/A</v>
      </c>
      <c r="S182" s="48" t="e">
        <f t="shared" si="11"/>
        <v>#N/A</v>
      </c>
      <c r="T182" s="6" t="s">
        <v>417</v>
      </c>
      <c r="U182" s="6" t="s">
        <v>246</v>
      </c>
      <c r="V182" s="6" t="s">
        <v>39</v>
      </c>
      <c r="W182" s="6" t="s">
        <v>39</v>
      </c>
      <c r="X182" s="6" t="s">
        <v>38</v>
      </c>
      <c r="Y182" s="6" t="s">
        <v>53</v>
      </c>
      <c r="Z182" s="6" t="s">
        <v>255</v>
      </c>
    </row>
    <row r="183" spans="1:26" hidden="1" x14ac:dyDescent="0.35">
      <c r="A183" s="6" t="s">
        <v>466</v>
      </c>
      <c r="B183" s="6">
        <v>94552</v>
      </c>
      <c r="C183" s="6">
        <v>18817</v>
      </c>
      <c r="D183" s="47">
        <v>232.86</v>
      </c>
      <c r="E183" s="25">
        <v>0</v>
      </c>
      <c r="F183" s="25">
        <v>434.15</v>
      </c>
      <c r="G183" s="26">
        <f t="shared" si="8"/>
        <v>434.15</v>
      </c>
      <c r="H183" s="6">
        <v>76211482</v>
      </c>
      <c r="I183" s="6" t="s">
        <v>467</v>
      </c>
      <c r="J183" s="6"/>
      <c r="K183" s="6"/>
      <c r="L183" s="6"/>
      <c r="M183" s="6" t="e">
        <f>VLOOKUP(H183,'Billing CDK pivot (by package)'!A:D,3,FALSE)</f>
        <v>#N/A</v>
      </c>
      <c r="N183" s="6" t="e">
        <f>VLOOKUP(H183,'Billing CDK pivot (by package)'!A:D,4,FALSE)</f>
        <v>#N/A</v>
      </c>
      <c r="O183" s="25" t="e">
        <f>VLOOKUP(H183,'Billing CDK pivot'!A:C,3,FALSE)</f>
        <v>#N/A</v>
      </c>
      <c r="P183" s="25">
        <f>IFERROR(VLOOKUP(H183,'Billing CDK pivot (overages)'!A:F,6,FALSE),0)</f>
        <v>0</v>
      </c>
      <c r="Q183" s="25" t="e">
        <f t="shared" si="9"/>
        <v>#N/A</v>
      </c>
      <c r="R183" s="26" t="e">
        <f t="shared" si="10"/>
        <v>#N/A</v>
      </c>
      <c r="S183" s="48" t="e">
        <f t="shared" si="11"/>
        <v>#N/A</v>
      </c>
      <c r="T183" s="6" t="s">
        <v>417</v>
      </c>
      <c r="U183" s="6" t="s">
        <v>468</v>
      </c>
      <c r="V183" s="6" t="s">
        <v>39</v>
      </c>
      <c r="W183" s="6" t="s">
        <v>39</v>
      </c>
      <c r="X183" s="6" t="s">
        <v>38</v>
      </c>
      <c r="Y183" s="6" t="s">
        <v>53</v>
      </c>
      <c r="Z183" s="6" t="s">
        <v>39</v>
      </c>
    </row>
    <row r="184" spans="1:26" hidden="1" x14ac:dyDescent="0.35">
      <c r="A184" s="6" t="s">
        <v>469</v>
      </c>
      <c r="B184" s="6">
        <v>147556</v>
      </c>
      <c r="C184" s="6">
        <v>26427</v>
      </c>
      <c r="D184" s="47">
        <v>5634.21</v>
      </c>
      <c r="E184" s="25">
        <v>147.26</v>
      </c>
      <c r="F184" s="25">
        <v>411.41</v>
      </c>
      <c r="G184" s="26">
        <f t="shared" si="8"/>
        <v>264.15000000000003</v>
      </c>
      <c r="H184" s="6">
        <v>25078101</v>
      </c>
      <c r="I184" s="6" t="s">
        <v>470</v>
      </c>
      <c r="J184" s="6"/>
      <c r="K184" s="6"/>
      <c r="L184" s="6"/>
      <c r="M184" s="6" t="e">
        <f>VLOOKUP(H184,'Billing CDK pivot (by package)'!A:D,3,FALSE)</f>
        <v>#N/A</v>
      </c>
      <c r="N184" s="6" t="e">
        <f>VLOOKUP(H184,'Billing CDK pivot (by package)'!A:D,4,FALSE)</f>
        <v>#N/A</v>
      </c>
      <c r="O184" s="25" t="e">
        <f>VLOOKUP(H184,'Billing CDK pivot'!A:C,3,FALSE)</f>
        <v>#N/A</v>
      </c>
      <c r="P184" s="25">
        <f>IFERROR(VLOOKUP(H184,'Billing CDK pivot (overages)'!A:F,6,FALSE),0)</f>
        <v>0</v>
      </c>
      <c r="Q184" s="25" t="e">
        <f t="shared" si="9"/>
        <v>#N/A</v>
      </c>
      <c r="R184" s="26" t="e">
        <f t="shared" si="10"/>
        <v>#N/A</v>
      </c>
      <c r="S184" s="48" t="e">
        <f t="shared" si="11"/>
        <v>#N/A</v>
      </c>
      <c r="T184" s="6" t="s">
        <v>417</v>
      </c>
      <c r="U184" s="6" t="s">
        <v>471</v>
      </c>
      <c r="V184" s="6" t="s">
        <v>39</v>
      </c>
      <c r="W184" s="6" t="s">
        <v>39</v>
      </c>
      <c r="X184" s="6" t="s">
        <v>50</v>
      </c>
      <c r="Y184" s="6" t="s">
        <v>58</v>
      </c>
      <c r="Z184" s="6" t="s">
        <v>39</v>
      </c>
    </row>
    <row r="185" spans="1:26" hidden="1" x14ac:dyDescent="0.35">
      <c r="A185" s="6" t="s">
        <v>472</v>
      </c>
      <c r="B185" s="6">
        <v>62657</v>
      </c>
      <c r="C185" s="6">
        <v>16614</v>
      </c>
      <c r="D185" s="47">
        <v>37.67</v>
      </c>
      <c r="E185" s="25">
        <v>0</v>
      </c>
      <c r="F185" s="25">
        <v>264.14999999999998</v>
      </c>
      <c r="G185" s="26">
        <f t="shared" si="8"/>
        <v>264.14999999999998</v>
      </c>
      <c r="H185" s="6">
        <v>76177663</v>
      </c>
      <c r="I185" s="6" t="s">
        <v>473</v>
      </c>
      <c r="J185" s="6"/>
      <c r="K185" s="6"/>
      <c r="L185" s="6"/>
      <c r="M185" s="6" t="e">
        <f>VLOOKUP(H185,'Billing CDK pivot (by package)'!A:D,3,FALSE)</f>
        <v>#N/A</v>
      </c>
      <c r="N185" s="6" t="e">
        <f>VLOOKUP(H185,'Billing CDK pivot (by package)'!A:D,4,FALSE)</f>
        <v>#N/A</v>
      </c>
      <c r="O185" s="25" t="e">
        <f>VLOOKUP(H185,'Billing CDK pivot'!A:C,3,FALSE)</f>
        <v>#N/A</v>
      </c>
      <c r="P185" s="25">
        <f>IFERROR(VLOOKUP(H185,'Billing CDK pivot (overages)'!A:F,6,FALSE),0)</f>
        <v>0</v>
      </c>
      <c r="Q185" s="25" t="e">
        <f t="shared" si="9"/>
        <v>#N/A</v>
      </c>
      <c r="R185" s="26" t="e">
        <f t="shared" si="10"/>
        <v>#N/A</v>
      </c>
      <c r="S185" s="48" t="e">
        <f t="shared" si="11"/>
        <v>#N/A</v>
      </c>
      <c r="T185" s="6" t="s">
        <v>417</v>
      </c>
      <c r="U185" s="6" t="s">
        <v>471</v>
      </c>
      <c r="V185" s="6" t="s">
        <v>39</v>
      </c>
      <c r="W185" s="6" t="s">
        <v>39</v>
      </c>
      <c r="X185" s="6" t="s">
        <v>58</v>
      </c>
      <c r="Y185" s="6" t="s">
        <v>58</v>
      </c>
      <c r="Z185" s="6" t="s">
        <v>39</v>
      </c>
    </row>
    <row r="186" spans="1:26" hidden="1" x14ac:dyDescent="0.35">
      <c r="A186" s="6" t="s">
        <v>474</v>
      </c>
      <c r="B186" s="6">
        <v>149876</v>
      </c>
      <c r="C186" s="6">
        <v>27280</v>
      </c>
      <c r="D186" s="47">
        <v>13.35</v>
      </c>
      <c r="E186" s="25">
        <v>0</v>
      </c>
      <c r="F186" s="25">
        <v>264.14999999999998</v>
      </c>
      <c r="G186" s="26">
        <f t="shared" si="8"/>
        <v>264.14999999999998</v>
      </c>
      <c r="H186" s="6">
        <v>76226259</v>
      </c>
      <c r="I186" s="6" t="s">
        <v>475</v>
      </c>
      <c r="J186" s="6"/>
      <c r="K186" s="6"/>
      <c r="L186" s="6"/>
      <c r="M186" s="6" t="e">
        <f>VLOOKUP(H186,'Billing CDK pivot (by package)'!A:D,3,FALSE)</f>
        <v>#N/A</v>
      </c>
      <c r="N186" s="6" t="e">
        <f>VLOOKUP(H186,'Billing CDK pivot (by package)'!A:D,4,FALSE)</f>
        <v>#N/A</v>
      </c>
      <c r="O186" s="25" t="e">
        <f>VLOOKUP(H186,'Billing CDK pivot'!A:C,3,FALSE)</f>
        <v>#N/A</v>
      </c>
      <c r="P186" s="25">
        <f>IFERROR(VLOOKUP(H186,'Billing CDK pivot (overages)'!A:F,6,FALSE),0)</f>
        <v>0</v>
      </c>
      <c r="Q186" s="25" t="e">
        <f t="shared" si="9"/>
        <v>#N/A</v>
      </c>
      <c r="R186" s="26" t="e">
        <f t="shared" si="10"/>
        <v>#N/A</v>
      </c>
      <c r="S186" s="48" t="e">
        <f t="shared" si="11"/>
        <v>#N/A</v>
      </c>
      <c r="T186" s="6" t="s">
        <v>417</v>
      </c>
      <c r="U186" s="6" t="s">
        <v>471</v>
      </c>
      <c r="V186" s="6" t="s">
        <v>39</v>
      </c>
      <c r="W186" s="6" t="s">
        <v>39</v>
      </c>
      <c r="X186" s="6" t="s">
        <v>38</v>
      </c>
      <c r="Y186" s="6" t="s">
        <v>58</v>
      </c>
      <c r="Z186" s="6" t="s">
        <v>39</v>
      </c>
    </row>
    <row r="187" spans="1:26" hidden="1" x14ac:dyDescent="0.35">
      <c r="A187" s="6" t="s">
        <v>476</v>
      </c>
      <c r="B187" s="6">
        <v>84465</v>
      </c>
      <c r="C187" s="6">
        <v>18082</v>
      </c>
      <c r="D187" s="47">
        <v>1418.84</v>
      </c>
      <c r="E187" s="25">
        <v>0</v>
      </c>
      <c r="F187" s="25">
        <v>264.14999999999998</v>
      </c>
      <c r="G187" s="26">
        <f t="shared" si="8"/>
        <v>264.14999999999998</v>
      </c>
      <c r="H187" s="6">
        <v>76213867</v>
      </c>
      <c r="I187" s="6" t="s">
        <v>477</v>
      </c>
      <c r="J187" s="6"/>
      <c r="K187" s="6"/>
      <c r="L187" s="6"/>
      <c r="M187" s="6" t="e">
        <f>VLOOKUP(H187,'Billing CDK pivot (by package)'!A:D,3,FALSE)</f>
        <v>#N/A</v>
      </c>
      <c r="N187" s="6" t="e">
        <f>VLOOKUP(H187,'Billing CDK pivot (by package)'!A:D,4,FALSE)</f>
        <v>#N/A</v>
      </c>
      <c r="O187" s="25" t="e">
        <f>VLOOKUP(H187,'Billing CDK pivot'!A:C,3,FALSE)</f>
        <v>#N/A</v>
      </c>
      <c r="P187" s="25">
        <f>IFERROR(VLOOKUP(H187,'Billing CDK pivot (overages)'!A:F,6,FALSE),0)</f>
        <v>0</v>
      </c>
      <c r="Q187" s="25" t="e">
        <f t="shared" si="9"/>
        <v>#N/A</v>
      </c>
      <c r="R187" s="26" t="e">
        <f t="shared" si="10"/>
        <v>#N/A</v>
      </c>
      <c r="S187" s="48" t="e">
        <f t="shared" si="11"/>
        <v>#N/A</v>
      </c>
      <c r="T187" s="6" t="s">
        <v>417</v>
      </c>
      <c r="U187" s="6" t="s">
        <v>471</v>
      </c>
      <c r="V187" s="6" t="s">
        <v>330</v>
      </c>
      <c r="W187" s="6" t="s">
        <v>39</v>
      </c>
      <c r="X187" s="6" t="s">
        <v>38</v>
      </c>
      <c r="Y187" s="6" t="s">
        <v>58</v>
      </c>
      <c r="Z187" s="6" t="s">
        <v>39</v>
      </c>
    </row>
    <row r="188" spans="1:26" hidden="1" x14ac:dyDescent="0.35">
      <c r="A188" s="6" t="s">
        <v>478</v>
      </c>
      <c r="B188" s="6">
        <v>150041</v>
      </c>
      <c r="C188" s="6">
        <v>17995</v>
      </c>
      <c r="D188" s="47">
        <v>138.12</v>
      </c>
      <c r="E188" s="25">
        <v>0</v>
      </c>
      <c r="F188" s="25">
        <v>264.14999999999998</v>
      </c>
      <c r="G188" s="26">
        <f t="shared" si="8"/>
        <v>264.14999999999998</v>
      </c>
      <c r="H188" s="6">
        <v>76217130</v>
      </c>
      <c r="I188" s="6" t="s">
        <v>479</v>
      </c>
      <c r="J188" s="6"/>
      <c r="K188" s="6"/>
      <c r="L188" s="6"/>
      <c r="M188" s="6" t="e">
        <f>VLOOKUP(H188,'Billing CDK pivot (by package)'!A:D,3,FALSE)</f>
        <v>#N/A</v>
      </c>
      <c r="N188" s="6" t="e">
        <f>VLOOKUP(H188,'Billing CDK pivot (by package)'!A:D,4,FALSE)</f>
        <v>#N/A</v>
      </c>
      <c r="O188" s="25" t="e">
        <f>VLOOKUP(H188,'Billing CDK pivot'!A:C,3,FALSE)</f>
        <v>#N/A</v>
      </c>
      <c r="P188" s="25">
        <f>IFERROR(VLOOKUP(H188,'Billing CDK pivot (overages)'!A:F,6,FALSE),0)</f>
        <v>0</v>
      </c>
      <c r="Q188" s="25" t="e">
        <f t="shared" si="9"/>
        <v>#N/A</v>
      </c>
      <c r="R188" s="26" t="e">
        <f t="shared" si="10"/>
        <v>#N/A</v>
      </c>
      <c r="S188" s="48" t="e">
        <f t="shared" si="11"/>
        <v>#N/A</v>
      </c>
      <c r="T188" s="6" t="s">
        <v>417</v>
      </c>
      <c r="U188" s="6" t="s">
        <v>471</v>
      </c>
      <c r="V188" s="6" t="s">
        <v>39</v>
      </c>
      <c r="W188" s="6" t="s">
        <v>39</v>
      </c>
      <c r="X188" s="6" t="s">
        <v>38</v>
      </c>
      <c r="Y188" s="6" t="s">
        <v>58</v>
      </c>
      <c r="Z188" s="6" t="s">
        <v>39</v>
      </c>
    </row>
    <row r="189" spans="1:26" hidden="1" x14ac:dyDescent="0.35">
      <c r="A189" s="6" t="s">
        <v>480</v>
      </c>
      <c r="B189" s="6">
        <v>149960</v>
      </c>
      <c r="C189" s="6">
        <v>15685</v>
      </c>
      <c r="D189" s="47">
        <v>3685.36</v>
      </c>
      <c r="E189" s="25">
        <v>12.79</v>
      </c>
      <c r="F189" s="25">
        <v>276.94</v>
      </c>
      <c r="G189" s="26">
        <f t="shared" si="8"/>
        <v>264.14999999999998</v>
      </c>
      <c r="H189" s="6">
        <v>76055606</v>
      </c>
      <c r="I189" s="6" t="s">
        <v>481</v>
      </c>
      <c r="J189" s="6"/>
      <c r="K189" s="6"/>
      <c r="L189" s="6"/>
      <c r="M189" s="6" t="e">
        <f>VLOOKUP(H189,'Billing CDK pivot (by package)'!A:D,3,FALSE)</f>
        <v>#N/A</v>
      </c>
      <c r="N189" s="6" t="e">
        <f>VLOOKUP(H189,'Billing CDK pivot (by package)'!A:D,4,FALSE)</f>
        <v>#N/A</v>
      </c>
      <c r="O189" s="25" t="e">
        <f>VLOOKUP(H189,'Billing CDK pivot'!A:C,3,FALSE)</f>
        <v>#N/A</v>
      </c>
      <c r="P189" s="25">
        <f>IFERROR(VLOOKUP(H189,'Billing CDK pivot (overages)'!A:F,6,FALSE),0)</f>
        <v>0</v>
      </c>
      <c r="Q189" s="25" t="e">
        <f t="shared" si="9"/>
        <v>#N/A</v>
      </c>
      <c r="R189" s="26" t="e">
        <f t="shared" si="10"/>
        <v>#N/A</v>
      </c>
      <c r="S189" s="48" t="e">
        <f t="shared" si="11"/>
        <v>#N/A</v>
      </c>
      <c r="T189" s="6" t="s">
        <v>417</v>
      </c>
      <c r="U189" s="6" t="s">
        <v>471</v>
      </c>
      <c r="V189" s="6" t="s">
        <v>39</v>
      </c>
      <c r="W189" s="6" t="s">
        <v>39</v>
      </c>
      <c r="X189" s="6" t="s">
        <v>38</v>
      </c>
      <c r="Y189" s="6" t="s">
        <v>58</v>
      </c>
      <c r="Z189" s="6" t="s">
        <v>39</v>
      </c>
    </row>
    <row r="190" spans="1:26" hidden="1" x14ac:dyDescent="0.35">
      <c r="A190" s="6" t="s">
        <v>482</v>
      </c>
      <c r="B190" s="6">
        <v>82486</v>
      </c>
      <c r="C190" s="6">
        <v>17715</v>
      </c>
      <c r="D190" s="47">
        <v>17.64</v>
      </c>
      <c r="E190" s="25">
        <v>0</v>
      </c>
      <c r="F190" s="25">
        <v>264.14999999999998</v>
      </c>
      <c r="G190" s="26">
        <f t="shared" si="8"/>
        <v>264.14999999999998</v>
      </c>
      <c r="H190" s="6">
        <v>76212701</v>
      </c>
      <c r="I190" s="6" t="s">
        <v>483</v>
      </c>
      <c r="J190" s="6"/>
      <c r="K190" s="6"/>
      <c r="L190" s="6"/>
      <c r="M190" s="6" t="e">
        <f>VLOOKUP(H190,'Billing CDK pivot (by package)'!A:D,3,FALSE)</f>
        <v>#N/A</v>
      </c>
      <c r="N190" s="6" t="e">
        <f>VLOOKUP(H190,'Billing CDK pivot (by package)'!A:D,4,FALSE)</f>
        <v>#N/A</v>
      </c>
      <c r="O190" s="25" t="e">
        <f>VLOOKUP(H190,'Billing CDK pivot'!A:C,3,FALSE)</f>
        <v>#N/A</v>
      </c>
      <c r="P190" s="25">
        <f>IFERROR(VLOOKUP(H190,'Billing CDK pivot (overages)'!A:F,6,FALSE),0)</f>
        <v>0</v>
      </c>
      <c r="Q190" s="25" t="e">
        <f t="shared" si="9"/>
        <v>#N/A</v>
      </c>
      <c r="R190" s="26" t="e">
        <f t="shared" si="10"/>
        <v>#N/A</v>
      </c>
      <c r="S190" s="48" t="e">
        <f t="shared" si="11"/>
        <v>#N/A</v>
      </c>
      <c r="T190" s="6" t="s">
        <v>417</v>
      </c>
      <c r="U190" s="6" t="s">
        <v>460</v>
      </c>
      <c r="V190" s="6" t="s">
        <v>39</v>
      </c>
      <c r="W190" s="6" t="s">
        <v>39</v>
      </c>
      <c r="X190" s="6" t="s">
        <v>38</v>
      </c>
      <c r="Y190" s="6" t="s">
        <v>50</v>
      </c>
      <c r="Z190" s="6" t="s">
        <v>39</v>
      </c>
    </row>
    <row r="191" spans="1:26" hidden="1" x14ac:dyDescent="0.35">
      <c r="A191" s="6" t="s">
        <v>484</v>
      </c>
      <c r="B191" s="6">
        <v>150665</v>
      </c>
      <c r="C191" s="6">
        <v>27596</v>
      </c>
      <c r="D191" s="47">
        <v>2691.58</v>
      </c>
      <c r="E191" s="25">
        <v>0</v>
      </c>
      <c r="F191" s="25">
        <v>264.14999999999998</v>
      </c>
      <c r="G191" s="26">
        <f t="shared" si="8"/>
        <v>264.14999999999998</v>
      </c>
      <c r="H191" s="6">
        <v>76231018</v>
      </c>
      <c r="I191" s="6" t="s">
        <v>485</v>
      </c>
      <c r="J191" s="6"/>
      <c r="K191" s="6"/>
      <c r="L191" s="6"/>
      <c r="M191" s="6" t="e">
        <f>VLOOKUP(H191,'Billing CDK pivot (by package)'!A:D,3,FALSE)</f>
        <v>#N/A</v>
      </c>
      <c r="N191" s="6" t="e">
        <f>VLOOKUP(H191,'Billing CDK pivot (by package)'!A:D,4,FALSE)</f>
        <v>#N/A</v>
      </c>
      <c r="O191" s="25" t="e">
        <f>VLOOKUP(H191,'Billing CDK pivot'!A:C,3,FALSE)</f>
        <v>#N/A</v>
      </c>
      <c r="P191" s="25">
        <f>IFERROR(VLOOKUP(H191,'Billing CDK pivot (overages)'!A:F,6,FALSE),0)</f>
        <v>0</v>
      </c>
      <c r="Q191" s="25" t="e">
        <f t="shared" si="9"/>
        <v>#N/A</v>
      </c>
      <c r="R191" s="26" t="e">
        <f t="shared" si="10"/>
        <v>#N/A</v>
      </c>
      <c r="S191" s="48" t="e">
        <f t="shared" si="11"/>
        <v>#N/A</v>
      </c>
      <c r="T191" s="6" t="s">
        <v>417</v>
      </c>
      <c r="U191" s="6" t="s">
        <v>471</v>
      </c>
      <c r="V191" s="6" t="s">
        <v>39</v>
      </c>
      <c r="W191" s="6" t="s">
        <v>39</v>
      </c>
      <c r="X191" s="6" t="s">
        <v>38</v>
      </c>
      <c r="Y191" s="6" t="s">
        <v>58</v>
      </c>
      <c r="Z191" s="6" t="s">
        <v>39</v>
      </c>
    </row>
    <row r="192" spans="1:26" hidden="1" x14ac:dyDescent="0.35">
      <c r="A192" s="6" t="s">
        <v>486</v>
      </c>
      <c r="B192" s="6">
        <v>134212</v>
      </c>
      <c r="C192" s="6">
        <v>21055</v>
      </c>
      <c r="D192" s="47">
        <v>1510.68</v>
      </c>
      <c r="E192" s="25">
        <v>0</v>
      </c>
      <c r="F192" s="25">
        <v>264.14999999999998</v>
      </c>
      <c r="G192" s="26">
        <f t="shared" si="8"/>
        <v>264.14999999999998</v>
      </c>
      <c r="H192" s="6" t="s">
        <v>487</v>
      </c>
      <c r="I192" s="6" t="s">
        <v>488</v>
      </c>
      <c r="J192" s="6"/>
      <c r="K192" s="6"/>
      <c r="L192" s="6"/>
      <c r="M192" s="6" t="str">
        <f>VLOOKUP(H192,'Billing CDK pivot (by package)'!A:D,3,FALSE)</f>
        <v>4570009</v>
      </c>
      <c r="N192" s="6" t="str">
        <f>VLOOKUP(H192,'Billing CDK pivot (by package)'!A:D,4,FALSE)</f>
        <v>CARWARS STARTER 3500</v>
      </c>
      <c r="O192" s="25" t="e">
        <f>VLOOKUP(H192,'Billing CDK pivot'!A:C,3,FALSE)</f>
        <v>#N/A</v>
      </c>
      <c r="P192" s="25">
        <f>IFERROR(VLOOKUP(H192,'Billing CDK pivot (overages)'!A:F,6,FALSE),0)</f>
        <v>0</v>
      </c>
      <c r="Q192" s="25" t="e">
        <f t="shared" si="9"/>
        <v>#N/A</v>
      </c>
      <c r="R192" s="26" t="e">
        <f t="shared" si="10"/>
        <v>#N/A</v>
      </c>
      <c r="S192" s="48" t="e">
        <f t="shared" si="11"/>
        <v>#N/A</v>
      </c>
      <c r="T192" s="6" t="s">
        <v>417</v>
      </c>
      <c r="U192" s="6" t="s">
        <v>471</v>
      </c>
      <c r="V192" s="6" t="s">
        <v>39</v>
      </c>
      <c r="W192" s="6" t="s">
        <v>39</v>
      </c>
      <c r="X192" s="6" t="s">
        <v>38</v>
      </c>
      <c r="Y192" s="6" t="s">
        <v>58</v>
      </c>
      <c r="Z192" s="6" t="s">
        <v>39</v>
      </c>
    </row>
    <row r="193" spans="1:26" hidden="1" x14ac:dyDescent="0.35">
      <c r="A193" s="6" t="s">
        <v>489</v>
      </c>
      <c r="B193" s="6">
        <v>134214</v>
      </c>
      <c r="C193" s="6">
        <v>20587</v>
      </c>
      <c r="D193" s="47">
        <v>4459.16</v>
      </c>
      <c r="E193" s="25">
        <v>66.180000000000007</v>
      </c>
      <c r="F193" s="25">
        <v>330.33</v>
      </c>
      <c r="G193" s="26">
        <f t="shared" si="8"/>
        <v>264.14999999999998</v>
      </c>
      <c r="H193" s="6">
        <v>71063149</v>
      </c>
      <c r="I193" s="6" t="s">
        <v>490</v>
      </c>
      <c r="J193" s="6"/>
      <c r="K193" s="6"/>
      <c r="L193" s="6"/>
      <c r="M193" s="6" t="e">
        <f>VLOOKUP(H193,'Billing CDK pivot (by package)'!A:D,3,FALSE)</f>
        <v>#N/A</v>
      </c>
      <c r="N193" s="6" t="e">
        <f>VLOOKUP(H193,'Billing CDK pivot (by package)'!A:D,4,FALSE)</f>
        <v>#N/A</v>
      </c>
      <c r="O193" s="25" t="e">
        <f>VLOOKUP(H193,'Billing CDK pivot'!A:C,3,FALSE)</f>
        <v>#N/A</v>
      </c>
      <c r="P193" s="25">
        <f>IFERROR(VLOOKUP(H193,'Billing CDK pivot (overages)'!A:F,6,FALSE),0)</f>
        <v>0</v>
      </c>
      <c r="Q193" s="25" t="e">
        <f t="shared" si="9"/>
        <v>#N/A</v>
      </c>
      <c r="R193" s="26" t="e">
        <f t="shared" si="10"/>
        <v>#N/A</v>
      </c>
      <c r="S193" s="48" t="e">
        <f t="shared" si="11"/>
        <v>#N/A</v>
      </c>
      <c r="T193" s="6" t="s">
        <v>417</v>
      </c>
      <c r="U193" s="6" t="s">
        <v>471</v>
      </c>
      <c r="V193" s="6" t="s">
        <v>39</v>
      </c>
      <c r="W193" s="6" t="s">
        <v>39</v>
      </c>
      <c r="X193" s="6" t="s">
        <v>38</v>
      </c>
      <c r="Y193" s="6" t="s">
        <v>58</v>
      </c>
      <c r="Z193" s="6" t="s">
        <v>39</v>
      </c>
    </row>
    <row r="194" spans="1:26" hidden="1" x14ac:dyDescent="0.35">
      <c r="A194" s="6" t="s">
        <v>491</v>
      </c>
      <c r="B194" s="6">
        <v>153501</v>
      </c>
      <c r="C194" s="6">
        <v>27305</v>
      </c>
      <c r="D194" s="47">
        <v>10651.94</v>
      </c>
      <c r="E194" s="25">
        <v>493.48</v>
      </c>
      <c r="F194" s="25">
        <v>757.63</v>
      </c>
      <c r="G194" s="26">
        <f t="shared" si="8"/>
        <v>264.14999999999998</v>
      </c>
      <c r="H194" s="6">
        <v>76230963</v>
      </c>
      <c r="I194" s="6" t="s">
        <v>492</v>
      </c>
      <c r="J194" s="6"/>
      <c r="K194" s="6"/>
      <c r="L194" s="6"/>
      <c r="M194" s="6" t="e">
        <f>VLOOKUP(H194,'Billing CDK pivot (by package)'!A:D,3,FALSE)</f>
        <v>#N/A</v>
      </c>
      <c r="N194" s="6" t="e">
        <f>VLOOKUP(H194,'Billing CDK pivot (by package)'!A:D,4,FALSE)</f>
        <v>#N/A</v>
      </c>
      <c r="O194" s="25" t="e">
        <f>VLOOKUP(H194,'Billing CDK pivot'!A:C,3,FALSE)</f>
        <v>#N/A</v>
      </c>
      <c r="P194" s="25">
        <f>IFERROR(VLOOKUP(H194,'Billing CDK pivot (overages)'!A:F,6,FALSE),0)</f>
        <v>0</v>
      </c>
      <c r="Q194" s="25" t="e">
        <f t="shared" si="9"/>
        <v>#N/A</v>
      </c>
      <c r="R194" s="26" t="e">
        <f t="shared" si="10"/>
        <v>#N/A</v>
      </c>
      <c r="S194" s="48" t="e">
        <f t="shared" si="11"/>
        <v>#N/A</v>
      </c>
      <c r="T194" s="6" t="s">
        <v>417</v>
      </c>
      <c r="U194" s="6" t="s">
        <v>471</v>
      </c>
      <c r="V194" s="6" t="s">
        <v>39</v>
      </c>
      <c r="W194" s="6" t="s">
        <v>39</v>
      </c>
      <c r="X194" s="6" t="s">
        <v>38</v>
      </c>
      <c r="Y194" s="6" t="s">
        <v>58</v>
      </c>
      <c r="Z194" s="6" t="s">
        <v>39</v>
      </c>
    </row>
    <row r="195" spans="1:26" hidden="1" x14ac:dyDescent="0.35">
      <c r="A195" s="6" t="s">
        <v>493</v>
      </c>
      <c r="B195" s="6">
        <v>140775</v>
      </c>
      <c r="C195" s="6" t="s">
        <v>289</v>
      </c>
      <c r="D195" s="47">
        <v>2877.99</v>
      </c>
      <c r="E195" s="25">
        <v>0</v>
      </c>
      <c r="F195" s="25">
        <v>859.15</v>
      </c>
      <c r="G195" s="26">
        <f t="shared" ref="G195:G258" si="12">+F195-E195</f>
        <v>859.15</v>
      </c>
      <c r="H195" s="6">
        <v>41002552</v>
      </c>
      <c r="I195" s="6" t="s">
        <v>494</v>
      </c>
      <c r="J195" s="6"/>
      <c r="K195" s="6"/>
      <c r="L195" s="6"/>
      <c r="M195" s="6" t="e">
        <f>VLOOKUP(H195,'Billing CDK pivot (by package)'!A:D,3,FALSE)</f>
        <v>#N/A</v>
      </c>
      <c r="N195" s="6" t="e">
        <f>VLOOKUP(H195,'Billing CDK pivot (by package)'!A:D,4,FALSE)</f>
        <v>#N/A</v>
      </c>
      <c r="O195" s="25" t="e">
        <f>VLOOKUP(H195,'Billing CDK pivot'!A:C,3,FALSE)</f>
        <v>#N/A</v>
      </c>
      <c r="P195" s="25">
        <f>IFERROR(VLOOKUP(H195,'Billing CDK pivot (overages)'!A:F,6,FALSE),0)</f>
        <v>0</v>
      </c>
      <c r="Q195" s="25" t="e">
        <f t="shared" ref="Q195:Q258" si="13">+O195+P195</f>
        <v>#N/A</v>
      </c>
      <c r="R195" s="26" t="e">
        <f t="shared" ref="R195:R258" si="14">+O195-G195</f>
        <v>#N/A</v>
      </c>
      <c r="S195" s="48" t="e">
        <f t="shared" ref="S195:S258" si="15">+R195/O195</f>
        <v>#N/A</v>
      </c>
      <c r="T195" s="6" t="s">
        <v>417</v>
      </c>
      <c r="U195" s="6" t="s">
        <v>495</v>
      </c>
      <c r="V195" s="6" t="s">
        <v>39</v>
      </c>
      <c r="W195" s="6" t="s">
        <v>39</v>
      </c>
      <c r="X195" s="6" t="s">
        <v>58</v>
      </c>
      <c r="Y195" s="6" t="s">
        <v>138</v>
      </c>
      <c r="Z195" s="6" t="s">
        <v>39</v>
      </c>
    </row>
    <row r="196" spans="1:26" hidden="1" x14ac:dyDescent="0.35">
      <c r="A196" s="6" t="s">
        <v>496</v>
      </c>
      <c r="B196" s="6">
        <v>84459</v>
      </c>
      <c r="C196" s="6">
        <v>18079</v>
      </c>
      <c r="D196" s="47">
        <v>2455.5300000000002</v>
      </c>
      <c r="E196" s="25">
        <v>0</v>
      </c>
      <c r="F196" s="25">
        <v>1581.65</v>
      </c>
      <c r="G196" s="26">
        <f t="shared" si="12"/>
        <v>1581.65</v>
      </c>
      <c r="H196" s="6">
        <v>76155736</v>
      </c>
      <c r="I196" s="6" t="s">
        <v>497</v>
      </c>
      <c r="J196" s="6"/>
      <c r="K196" s="6"/>
      <c r="L196" s="6"/>
      <c r="M196" s="6" t="e">
        <f>VLOOKUP(H196,'Billing CDK pivot (by package)'!A:D,3,FALSE)</f>
        <v>#N/A</v>
      </c>
      <c r="N196" s="6" t="e">
        <f>VLOOKUP(H196,'Billing CDK pivot (by package)'!A:D,4,FALSE)</f>
        <v>#N/A</v>
      </c>
      <c r="O196" s="25" t="e">
        <f>VLOOKUP(H196,'Billing CDK pivot'!A:C,3,FALSE)</f>
        <v>#N/A</v>
      </c>
      <c r="P196" s="25">
        <f>IFERROR(VLOOKUP(H196,'Billing CDK pivot (overages)'!A:F,6,FALSE),0)</f>
        <v>0</v>
      </c>
      <c r="Q196" s="25" t="e">
        <f t="shared" si="13"/>
        <v>#N/A</v>
      </c>
      <c r="R196" s="26" t="e">
        <f t="shared" si="14"/>
        <v>#N/A</v>
      </c>
      <c r="S196" s="48" t="e">
        <f t="shared" si="15"/>
        <v>#N/A</v>
      </c>
      <c r="T196" s="6" t="s">
        <v>417</v>
      </c>
      <c r="U196" s="6" t="s">
        <v>498</v>
      </c>
      <c r="V196" s="6" t="s">
        <v>39</v>
      </c>
      <c r="W196" s="6" t="s">
        <v>39</v>
      </c>
      <c r="X196" s="6" t="s">
        <v>38</v>
      </c>
      <c r="Y196" s="6" t="s">
        <v>44</v>
      </c>
      <c r="Z196" s="6" t="s">
        <v>39</v>
      </c>
    </row>
    <row r="197" spans="1:26" hidden="1" x14ac:dyDescent="0.35">
      <c r="A197" s="6" t="s">
        <v>499</v>
      </c>
      <c r="B197" s="6">
        <v>138653</v>
      </c>
      <c r="C197" s="6">
        <v>22237</v>
      </c>
      <c r="D197" s="47">
        <v>4.32</v>
      </c>
      <c r="E197" s="25">
        <v>0</v>
      </c>
      <c r="F197" s="25">
        <v>2543.85</v>
      </c>
      <c r="G197" s="26">
        <f t="shared" si="12"/>
        <v>2543.85</v>
      </c>
      <c r="H197" s="6">
        <v>76067624</v>
      </c>
      <c r="I197" s="6" t="s">
        <v>500</v>
      </c>
      <c r="J197" s="6"/>
      <c r="K197" s="6"/>
      <c r="L197" s="6"/>
      <c r="M197" s="6" t="e">
        <f>VLOOKUP(H197,'Billing CDK pivot (by package)'!A:D,3,FALSE)</f>
        <v>#N/A</v>
      </c>
      <c r="N197" s="6" t="e">
        <f>VLOOKUP(H197,'Billing CDK pivot (by package)'!A:D,4,FALSE)</f>
        <v>#N/A</v>
      </c>
      <c r="O197" s="25" t="e">
        <f>VLOOKUP(H197,'Billing CDK pivot'!A:C,3,FALSE)</f>
        <v>#N/A</v>
      </c>
      <c r="P197" s="25">
        <f>IFERROR(VLOOKUP(H197,'Billing CDK pivot (overages)'!A:F,6,FALSE),0)</f>
        <v>0</v>
      </c>
      <c r="Q197" s="25" t="e">
        <f t="shared" si="13"/>
        <v>#N/A</v>
      </c>
      <c r="R197" s="26" t="e">
        <f t="shared" si="14"/>
        <v>#N/A</v>
      </c>
      <c r="S197" s="48" t="e">
        <f t="shared" si="15"/>
        <v>#N/A</v>
      </c>
      <c r="T197" s="6" t="s">
        <v>417</v>
      </c>
      <c r="U197" s="6" t="s">
        <v>501</v>
      </c>
      <c r="V197" s="6" t="s">
        <v>39</v>
      </c>
      <c r="W197" s="6" t="s">
        <v>39</v>
      </c>
      <c r="X197" s="6" t="s">
        <v>207</v>
      </c>
      <c r="Y197" s="6" t="s">
        <v>378</v>
      </c>
      <c r="Z197" s="6" t="s">
        <v>39</v>
      </c>
    </row>
    <row r="198" spans="1:26" hidden="1" x14ac:dyDescent="0.35">
      <c r="A198" s="6" t="s">
        <v>502</v>
      </c>
      <c r="B198" s="6">
        <v>149326</v>
      </c>
      <c r="C198" s="6">
        <v>26939</v>
      </c>
      <c r="D198" s="47">
        <v>460.01</v>
      </c>
      <c r="E198" s="25">
        <v>0</v>
      </c>
      <c r="F198" s="25">
        <v>434.15</v>
      </c>
      <c r="G198" s="26">
        <f t="shared" si="12"/>
        <v>434.15</v>
      </c>
      <c r="H198" s="6">
        <v>76015613</v>
      </c>
      <c r="I198" s="6" t="s">
        <v>503</v>
      </c>
      <c r="J198" s="6"/>
      <c r="K198" s="6"/>
      <c r="L198" s="6"/>
      <c r="M198" s="6" t="e">
        <f>VLOOKUP(H198,'Billing CDK pivot (by package)'!A:D,3,FALSE)</f>
        <v>#N/A</v>
      </c>
      <c r="N198" s="6" t="e">
        <f>VLOOKUP(H198,'Billing CDK pivot (by package)'!A:D,4,FALSE)</f>
        <v>#N/A</v>
      </c>
      <c r="O198" s="25" t="e">
        <f>VLOOKUP(H198,'Billing CDK pivot'!A:C,3,FALSE)</f>
        <v>#N/A</v>
      </c>
      <c r="P198" s="25">
        <f>IFERROR(VLOOKUP(H198,'Billing CDK pivot (overages)'!A:F,6,FALSE),0)</f>
        <v>0</v>
      </c>
      <c r="Q198" s="25" t="e">
        <f t="shared" si="13"/>
        <v>#N/A</v>
      </c>
      <c r="R198" s="26" t="e">
        <f t="shared" si="14"/>
        <v>#N/A</v>
      </c>
      <c r="S198" s="48" t="e">
        <f t="shared" si="15"/>
        <v>#N/A</v>
      </c>
      <c r="T198" s="6" t="s">
        <v>417</v>
      </c>
      <c r="U198" s="6" t="s">
        <v>142</v>
      </c>
      <c r="V198" s="6" t="s">
        <v>39</v>
      </c>
      <c r="W198" s="6" t="s">
        <v>39</v>
      </c>
      <c r="X198" s="6" t="s">
        <v>38</v>
      </c>
      <c r="Y198" s="6" t="s">
        <v>53</v>
      </c>
      <c r="Z198" s="6" t="s">
        <v>39</v>
      </c>
    </row>
    <row r="199" spans="1:26" hidden="1" x14ac:dyDescent="0.35">
      <c r="A199" s="6" t="s">
        <v>504</v>
      </c>
      <c r="B199" s="6">
        <v>149420</v>
      </c>
      <c r="C199" s="6">
        <v>26923</v>
      </c>
      <c r="D199" s="47">
        <v>2832.14</v>
      </c>
      <c r="E199" s="25">
        <v>0</v>
      </c>
      <c r="F199" s="25">
        <v>434.15</v>
      </c>
      <c r="G199" s="26">
        <f t="shared" si="12"/>
        <v>434.15</v>
      </c>
      <c r="H199" s="6">
        <v>76228640</v>
      </c>
      <c r="I199" s="6" t="s">
        <v>505</v>
      </c>
      <c r="J199" s="6"/>
      <c r="K199" s="6"/>
      <c r="L199" s="6"/>
      <c r="M199" s="6" t="e">
        <f>VLOOKUP(H199,'Billing CDK pivot (by package)'!A:D,3,FALSE)</f>
        <v>#N/A</v>
      </c>
      <c r="N199" s="6" t="e">
        <f>VLOOKUP(H199,'Billing CDK pivot (by package)'!A:D,4,FALSE)</f>
        <v>#N/A</v>
      </c>
      <c r="O199" s="25" t="e">
        <f>VLOOKUP(H199,'Billing CDK pivot'!A:C,3,FALSE)</f>
        <v>#N/A</v>
      </c>
      <c r="P199" s="25">
        <f>IFERROR(VLOOKUP(H199,'Billing CDK pivot (overages)'!A:F,6,FALSE),0)</f>
        <v>0</v>
      </c>
      <c r="Q199" s="25" t="e">
        <f t="shared" si="13"/>
        <v>#N/A</v>
      </c>
      <c r="R199" s="26" t="e">
        <f t="shared" si="14"/>
        <v>#N/A</v>
      </c>
      <c r="S199" s="48" t="e">
        <f t="shared" si="15"/>
        <v>#N/A</v>
      </c>
      <c r="T199" s="6" t="s">
        <v>417</v>
      </c>
      <c r="U199" s="6" t="s">
        <v>142</v>
      </c>
      <c r="V199" s="6" t="s">
        <v>39</v>
      </c>
      <c r="W199" s="6" t="s">
        <v>39</v>
      </c>
      <c r="X199" s="6" t="s">
        <v>38</v>
      </c>
      <c r="Y199" s="6" t="s">
        <v>53</v>
      </c>
      <c r="Z199" s="6" t="s">
        <v>39</v>
      </c>
    </row>
    <row r="200" spans="1:26" hidden="1" x14ac:dyDescent="0.35">
      <c r="A200" s="6" t="s">
        <v>506</v>
      </c>
      <c r="B200" s="6">
        <v>149425</v>
      </c>
      <c r="C200" s="6">
        <v>26926</v>
      </c>
      <c r="D200" s="47">
        <v>3513.73</v>
      </c>
      <c r="E200" s="25">
        <v>0</v>
      </c>
      <c r="F200" s="25">
        <v>434.15</v>
      </c>
      <c r="G200" s="26">
        <f t="shared" si="12"/>
        <v>434.15</v>
      </c>
      <c r="H200" s="6">
        <v>71063011</v>
      </c>
      <c r="I200" s="6" t="s">
        <v>507</v>
      </c>
      <c r="J200" s="6"/>
      <c r="K200" s="6"/>
      <c r="L200" s="6"/>
      <c r="M200" s="6" t="e">
        <f>VLOOKUP(H200,'Billing CDK pivot (by package)'!A:D,3,FALSE)</f>
        <v>#N/A</v>
      </c>
      <c r="N200" s="6" t="e">
        <f>VLOOKUP(H200,'Billing CDK pivot (by package)'!A:D,4,FALSE)</f>
        <v>#N/A</v>
      </c>
      <c r="O200" s="25" t="e">
        <f>VLOOKUP(H200,'Billing CDK pivot'!A:C,3,FALSE)</f>
        <v>#N/A</v>
      </c>
      <c r="P200" s="25">
        <f>IFERROR(VLOOKUP(H200,'Billing CDK pivot (overages)'!A:F,6,FALSE),0)</f>
        <v>0</v>
      </c>
      <c r="Q200" s="25" t="e">
        <f t="shared" si="13"/>
        <v>#N/A</v>
      </c>
      <c r="R200" s="26" t="e">
        <f t="shared" si="14"/>
        <v>#N/A</v>
      </c>
      <c r="S200" s="48" t="e">
        <f t="shared" si="15"/>
        <v>#N/A</v>
      </c>
      <c r="T200" s="6" t="s">
        <v>417</v>
      </c>
      <c r="U200" s="6" t="s">
        <v>142</v>
      </c>
      <c r="V200" s="6" t="s">
        <v>39</v>
      </c>
      <c r="W200" s="6" t="s">
        <v>39</v>
      </c>
      <c r="X200" s="6" t="s">
        <v>38</v>
      </c>
      <c r="Y200" s="6" t="s">
        <v>53</v>
      </c>
      <c r="Z200" s="6" t="s">
        <v>39</v>
      </c>
    </row>
    <row r="201" spans="1:26" hidden="1" x14ac:dyDescent="0.35">
      <c r="A201" s="6" t="s">
        <v>508</v>
      </c>
      <c r="B201" s="6">
        <v>149419</v>
      </c>
      <c r="C201" s="6">
        <v>26930</v>
      </c>
      <c r="D201" s="47">
        <v>4070.25</v>
      </c>
      <c r="E201" s="25">
        <v>0</v>
      </c>
      <c r="F201" s="25">
        <v>434.15</v>
      </c>
      <c r="G201" s="26">
        <f t="shared" si="12"/>
        <v>434.15</v>
      </c>
      <c r="H201" s="6">
        <v>76228618</v>
      </c>
      <c r="I201" s="6" t="s">
        <v>509</v>
      </c>
      <c r="J201" s="6"/>
      <c r="K201" s="6"/>
      <c r="L201" s="6"/>
      <c r="M201" s="6" t="e">
        <f>VLOOKUP(H201,'Billing CDK pivot (by package)'!A:D,3,FALSE)</f>
        <v>#N/A</v>
      </c>
      <c r="N201" s="6" t="e">
        <f>VLOOKUP(H201,'Billing CDK pivot (by package)'!A:D,4,FALSE)</f>
        <v>#N/A</v>
      </c>
      <c r="O201" s="25" t="e">
        <f>VLOOKUP(H201,'Billing CDK pivot'!A:C,3,FALSE)</f>
        <v>#N/A</v>
      </c>
      <c r="P201" s="25">
        <f>IFERROR(VLOOKUP(H201,'Billing CDK pivot (overages)'!A:F,6,FALSE),0)</f>
        <v>0</v>
      </c>
      <c r="Q201" s="25" t="e">
        <f t="shared" si="13"/>
        <v>#N/A</v>
      </c>
      <c r="R201" s="26" t="e">
        <f t="shared" si="14"/>
        <v>#N/A</v>
      </c>
      <c r="S201" s="48" t="e">
        <f t="shared" si="15"/>
        <v>#N/A</v>
      </c>
      <c r="T201" s="6" t="s">
        <v>417</v>
      </c>
      <c r="U201" s="6" t="s">
        <v>142</v>
      </c>
      <c r="V201" s="6" t="s">
        <v>39</v>
      </c>
      <c r="W201" s="6" t="s">
        <v>39</v>
      </c>
      <c r="X201" s="6" t="s">
        <v>38</v>
      </c>
      <c r="Y201" s="6" t="s">
        <v>53</v>
      </c>
      <c r="Z201" s="6" t="s">
        <v>39</v>
      </c>
    </row>
    <row r="202" spans="1:26" hidden="1" x14ac:dyDescent="0.35">
      <c r="A202" s="6" t="s">
        <v>510</v>
      </c>
      <c r="B202" s="6">
        <v>149421</v>
      </c>
      <c r="C202" s="6">
        <v>24151</v>
      </c>
      <c r="D202" s="47">
        <v>5053.22</v>
      </c>
      <c r="E202" s="25">
        <v>0</v>
      </c>
      <c r="F202" s="25">
        <v>434.15</v>
      </c>
      <c r="G202" s="26">
        <f t="shared" si="12"/>
        <v>434.15</v>
      </c>
      <c r="H202" s="6">
        <v>76209885</v>
      </c>
      <c r="I202" s="6" t="s">
        <v>511</v>
      </c>
      <c r="J202" s="6"/>
      <c r="K202" s="6"/>
      <c r="L202" s="6"/>
      <c r="M202" s="6" t="e">
        <f>VLOOKUP(H202,'Billing CDK pivot (by package)'!A:D,3,FALSE)</f>
        <v>#N/A</v>
      </c>
      <c r="N202" s="6" t="e">
        <f>VLOOKUP(H202,'Billing CDK pivot (by package)'!A:D,4,FALSE)</f>
        <v>#N/A</v>
      </c>
      <c r="O202" s="25" t="e">
        <f>VLOOKUP(H202,'Billing CDK pivot'!A:C,3,FALSE)</f>
        <v>#N/A</v>
      </c>
      <c r="P202" s="25">
        <f>IFERROR(VLOOKUP(H202,'Billing CDK pivot (overages)'!A:F,6,FALSE),0)</f>
        <v>0</v>
      </c>
      <c r="Q202" s="25" t="e">
        <f t="shared" si="13"/>
        <v>#N/A</v>
      </c>
      <c r="R202" s="26" t="e">
        <f t="shared" si="14"/>
        <v>#N/A</v>
      </c>
      <c r="S202" s="48" t="e">
        <f t="shared" si="15"/>
        <v>#N/A</v>
      </c>
      <c r="T202" s="6" t="s">
        <v>417</v>
      </c>
      <c r="U202" s="6" t="s">
        <v>142</v>
      </c>
      <c r="V202" s="6" t="s">
        <v>39</v>
      </c>
      <c r="W202" s="6" t="s">
        <v>39</v>
      </c>
      <c r="X202" s="6" t="s">
        <v>38</v>
      </c>
      <c r="Y202" s="6" t="s">
        <v>53</v>
      </c>
      <c r="Z202" s="6" t="s">
        <v>39</v>
      </c>
    </row>
    <row r="203" spans="1:26" hidden="1" x14ac:dyDescent="0.35">
      <c r="A203" s="6" t="s">
        <v>512</v>
      </c>
      <c r="B203" s="6">
        <v>149423</v>
      </c>
      <c r="C203" s="6">
        <v>26927</v>
      </c>
      <c r="D203" s="47">
        <v>4153.3</v>
      </c>
      <c r="E203" s="25">
        <v>0</v>
      </c>
      <c r="F203" s="25">
        <v>434.15</v>
      </c>
      <c r="G203" s="26">
        <f t="shared" si="12"/>
        <v>434.15</v>
      </c>
      <c r="H203" s="6">
        <v>76228628</v>
      </c>
      <c r="I203" s="6" t="s">
        <v>513</v>
      </c>
      <c r="J203" s="6"/>
      <c r="K203" s="6"/>
      <c r="L203" s="6"/>
      <c r="M203" s="6" t="e">
        <f>VLOOKUP(H203,'Billing CDK pivot (by package)'!A:D,3,FALSE)</f>
        <v>#N/A</v>
      </c>
      <c r="N203" s="6" t="e">
        <f>VLOOKUP(H203,'Billing CDK pivot (by package)'!A:D,4,FALSE)</f>
        <v>#N/A</v>
      </c>
      <c r="O203" s="25" t="e">
        <f>VLOOKUP(H203,'Billing CDK pivot'!A:C,3,FALSE)</f>
        <v>#N/A</v>
      </c>
      <c r="P203" s="25">
        <f>IFERROR(VLOOKUP(H203,'Billing CDK pivot (overages)'!A:F,6,FALSE),0)</f>
        <v>0</v>
      </c>
      <c r="Q203" s="25" t="e">
        <f t="shared" si="13"/>
        <v>#N/A</v>
      </c>
      <c r="R203" s="26" t="e">
        <f t="shared" si="14"/>
        <v>#N/A</v>
      </c>
      <c r="S203" s="48" t="e">
        <f t="shared" si="15"/>
        <v>#N/A</v>
      </c>
      <c r="T203" s="6" t="s">
        <v>417</v>
      </c>
      <c r="U203" s="6" t="s">
        <v>142</v>
      </c>
      <c r="V203" s="6" t="s">
        <v>39</v>
      </c>
      <c r="W203" s="6" t="s">
        <v>39</v>
      </c>
      <c r="X203" s="6" t="s">
        <v>38</v>
      </c>
      <c r="Y203" s="6" t="s">
        <v>53</v>
      </c>
      <c r="Z203" s="6" t="s">
        <v>39</v>
      </c>
    </row>
    <row r="204" spans="1:26" hidden="1" x14ac:dyDescent="0.35">
      <c r="A204" s="6" t="s">
        <v>514</v>
      </c>
      <c r="B204" s="6">
        <v>149424</v>
      </c>
      <c r="C204" s="6">
        <v>26925</v>
      </c>
      <c r="D204" s="47">
        <v>1013</v>
      </c>
      <c r="E204" s="25">
        <v>0</v>
      </c>
      <c r="F204" s="25">
        <v>434.15</v>
      </c>
      <c r="G204" s="26">
        <f t="shared" si="12"/>
        <v>434.15</v>
      </c>
      <c r="H204" s="6">
        <v>76228625</v>
      </c>
      <c r="I204" s="6" t="s">
        <v>515</v>
      </c>
      <c r="J204" s="6"/>
      <c r="K204" s="6"/>
      <c r="L204" s="6"/>
      <c r="M204" s="6" t="e">
        <f>VLOOKUP(H204,'Billing CDK pivot (by package)'!A:D,3,FALSE)</f>
        <v>#N/A</v>
      </c>
      <c r="N204" s="6" t="e">
        <f>VLOOKUP(H204,'Billing CDK pivot (by package)'!A:D,4,FALSE)</f>
        <v>#N/A</v>
      </c>
      <c r="O204" s="25" t="e">
        <f>VLOOKUP(H204,'Billing CDK pivot'!A:C,3,FALSE)</f>
        <v>#N/A</v>
      </c>
      <c r="P204" s="25">
        <f>IFERROR(VLOOKUP(H204,'Billing CDK pivot (overages)'!A:F,6,FALSE),0)</f>
        <v>0</v>
      </c>
      <c r="Q204" s="25" t="e">
        <f t="shared" si="13"/>
        <v>#N/A</v>
      </c>
      <c r="R204" s="26" t="e">
        <f t="shared" si="14"/>
        <v>#N/A</v>
      </c>
      <c r="S204" s="48" t="e">
        <f t="shared" si="15"/>
        <v>#N/A</v>
      </c>
      <c r="T204" s="6" t="s">
        <v>417</v>
      </c>
      <c r="U204" s="6" t="s">
        <v>142</v>
      </c>
      <c r="V204" s="6" t="s">
        <v>39</v>
      </c>
      <c r="W204" s="6" t="s">
        <v>39</v>
      </c>
      <c r="X204" s="6" t="s">
        <v>38</v>
      </c>
      <c r="Y204" s="6" t="s">
        <v>53</v>
      </c>
      <c r="Z204" s="6" t="s">
        <v>39</v>
      </c>
    </row>
    <row r="205" spans="1:26" hidden="1" x14ac:dyDescent="0.35">
      <c r="A205" s="6" t="s">
        <v>516</v>
      </c>
      <c r="B205" s="6">
        <v>149422</v>
      </c>
      <c r="C205" s="6">
        <v>26922</v>
      </c>
      <c r="D205" s="47">
        <v>3562.32</v>
      </c>
      <c r="E205" s="25">
        <v>0</v>
      </c>
      <c r="F205" s="25">
        <v>434.15</v>
      </c>
      <c r="G205" s="26">
        <f t="shared" si="12"/>
        <v>434.15</v>
      </c>
      <c r="H205" s="6">
        <v>76228624</v>
      </c>
      <c r="I205" s="6" t="s">
        <v>517</v>
      </c>
      <c r="J205" s="6"/>
      <c r="K205" s="6"/>
      <c r="L205" s="6"/>
      <c r="M205" s="6" t="e">
        <f>VLOOKUP(H205,'Billing CDK pivot (by package)'!A:D,3,FALSE)</f>
        <v>#N/A</v>
      </c>
      <c r="N205" s="6" t="e">
        <f>VLOOKUP(H205,'Billing CDK pivot (by package)'!A:D,4,FALSE)</f>
        <v>#N/A</v>
      </c>
      <c r="O205" s="25" t="e">
        <f>VLOOKUP(H205,'Billing CDK pivot'!A:C,3,FALSE)</f>
        <v>#N/A</v>
      </c>
      <c r="P205" s="25">
        <f>IFERROR(VLOOKUP(H205,'Billing CDK pivot (overages)'!A:F,6,FALSE),0)</f>
        <v>0</v>
      </c>
      <c r="Q205" s="25" t="e">
        <f t="shared" si="13"/>
        <v>#N/A</v>
      </c>
      <c r="R205" s="26" t="e">
        <f t="shared" si="14"/>
        <v>#N/A</v>
      </c>
      <c r="S205" s="48" t="e">
        <f t="shared" si="15"/>
        <v>#N/A</v>
      </c>
      <c r="T205" s="6" t="s">
        <v>417</v>
      </c>
      <c r="U205" s="6" t="s">
        <v>142</v>
      </c>
      <c r="V205" s="6" t="s">
        <v>39</v>
      </c>
      <c r="W205" s="6" t="s">
        <v>39</v>
      </c>
      <c r="X205" s="6" t="s">
        <v>38</v>
      </c>
      <c r="Y205" s="6" t="s">
        <v>53</v>
      </c>
      <c r="Z205" s="6" t="s">
        <v>39</v>
      </c>
    </row>
    <row r="206" spans="1:26" hidden="1" x14ac:dyDescent="0.35">
      <c r="A206" s="6" t="s">
        <v>518</v>
      </c>
      <c r="B206" s="6">
        <v>117573</v>
      </c>
      <c r="C206" s="6">
        <v>17302</v>
      </c>
      <c r="D206" s="47">
        <v>2554.66</v>
      </c>
      <c r="E206" s="25">
        <v>0</v>
      </c>
      <c r="F206" s="25">
        <v>434.15</v>
      </c>
      <c r="G206" s="26">
        <f t="shared" si="12"/>
        <v>434.15</v>
      </c>
      <c r="H206" s="6">
        <v>76211746</v>
      </c>
      <c r="I206" s="6" t="s">
        <v>519</v>
      </c>
      <c r="J206" s="6"/>
      <c r="K206" s="6"/>
      <c r="L206" s="6"/>
      <c r="M206" s="6" t="e">
        <f>VLOOKUP(H206,'Billing CDK pivot (by package)'!A:D,3,FALSE)</f>
        <v>#N/A</v>
      </c>
      <c r="N206" s="6" t="e">
        <f>VLOOKUP(H206,'Billing CDK pivot (by package)'!A:D,4,FALSE)</f>
        <v>#N/A</v>
      </c>
      <c r="O206" s="25" t="e">
        <f>VLOOKUP(H206,'Billing CDK pivot'!A:C,3,FALSE)</f>
        <v>#N/A</v>
      </c>
      <c r="P206" s="25">
        <f>IFERROR(VLOOKUP(H206,'Billing CDK pivot (overages)'!A:F,6,FALSE),0)</f>
        <v>0</v>
      </c>
      <c r="Q206" s="25" t="e">
        <f t="shared" si="13"/>
        <v>#N/A</v>
      </c>
      <c r="R206" s="26" t="e">
        <f t="shared" si="14"/>
        <v>#N/A</v>
      </c>
      <c r="S206" s="48" t="e">
        <f t="shared" si="15"/>
        <v>#N/A</v>
      </c>
      <c r="T206" s="6" t="s">
        <v>417</v>
      </c>
      <c r="U206" s="6" t="s">
        <v>246</v>
      </c>
      <c r="V206" s="6" t="s">
        <v>39</v>
      </c>
      <c r="W206" s="6" t="s">
        <v>39</v>
      </c>
      <c r="X206" s="6" t="s">
        <v>38</v>
      </c>
      <c r="Y206" s="6" t="s">
        <v>53</v>
      </c>
      <c r="Z206" s="6" t="s">
        <v>39</v>
      </c>
    </row>
    <row r="207" spans="1:26" hidden="1" x14ac:dyDescent="0.35">
      <c r="A207" s="6" t="s">
        <v>520</v>
      </c>
      <c r="B207" s="6">
        <v>118900</v>
      </c>
      <c r="C207" s="6">
        <v>19824</v>
      </c>
      <c r="D207" s="47">
        <v>3104.9</v>
      </c>
      <c r="E207" s="25">
        <v>0</v>
      </c>
      <c r="F207" s="25">
        <v>434.15</v>
      </c>
      <c r="G207" s="26">
        <f t="shared" si="12"/>
        <v>434.15</v>
      </c>
      <c r="H207" s="6">
        <v>76209452</v>
      </c>
      <c r="I207" s="6" t="s">
        <v>521</v>
      </c>
      <c r="J207" s="6"/>
      <c r="K207" s="6"/>
      <c r="L207" s="6"/>
      <c r="M207" s="6" t="e">
        <f>VLOOKUP(H207,'Billing CDK pivot (by package)'!A:D,3,FALSE)</f>
        <v>#N/A</v>
      </c>
      <c r="N207" s="6" t="e">
        <f>VLOOKUP(H207,'Billing CDK pivot (by package)'!A:D,4,FALSE)</f>
        <v>#N/A</v>
      </c>
      <c r="O207" s="25" t="e">
        <f>VLOOKUP(H207,'Billing CDK pivot'!A:C,3,FALSE)</f>
        <v>#N/A</v>
      </c>
      <c r="P207" s="25">
        <f>IFERROR(VLOOKUP(H207,'Billing CDK pivot (overages)'!A:F,6,FALSE),0)</f>
        <v>0</v>
      </c>
      <c r="Q207" s="25" t="e">
        <f t="shared" si="13"/>
        <v>#N/A</v>
      </c>
      <c r="R207" s="26" t="e">
        <f t="shared" si="14"/>
        <v>#N/A</v>
      </c>
      <c r="S207" s="48" t="e">
        <f t="shared" si="15"/>
        <v>#N/A</v>
      </c>
      <c r="T207" s="6" t="s">
        <v>417</v>
      </c>
      <c r="U207" s="6" t="s">
        <v>246</v>
      </c>
      <c r="V207" s="6" t="s">
        <v>39</v>
      </c>
      <c r="W207" s="6" t="s">
        <v>39</v>
      </c>
      <c r="X207" s="6" t="s">
        <v>38</v>
      </c>
      <c r="Y207" s="6" t="s">
        <v>53</v>
      </c>
      <c r="Z207" s="6" t="s">
        <v>39</v>
      </c>
    </row>
    <row r="208" spans="1:26" hidden="1" x14ac:dyDescent="0.35">
      <c r="A208" s="6" t="s">
        <v>522</v>
      </c>
      <c r="B208" s="6">
        <v>118917</v>
      </c>
      <c r="C208" s="6">
        <v>19804</v>
      </c>
      <c r="D208" s="47">
        <v>3775.14</v>
      </c>
      <c r="E208" s="25">
        <v>0</v>
      </c>
      <c r="F208" s="25">
        <v>434.15</v>
      </c>
      <c r="G208" s="26">
        <f t="shared" si="12"/>
        <v>434.15</v>
      </c>
      <c r="H208" s="6">
        <v>76203780</v>
      </c>
      <c r="I208" s="6" t="s">
        <v>523</v>
      </c>
      <c r="J208" s="6"/>
      <c r="K208" s="6"/>
      <c r="L208" s="6"/>
      <c r="M208" s="6" t="e">
        <f>VLOOKUP(H208,'Billing CDK pivot (by package)'!A:D,3,FALSE)</f>
        <v>#N/A</v>
      </c>
      <c r="N208" s="6" t="e">
        <f>VLOOKUP(H208,'Billing CDK pivot (by package)'!A:D,4,FALSE)</f>
        <v>#N/A</v>
      </c>
      <c r="O208" s="25" t="e">
        <f>VLOOKUP(H208,'Billing CDK pivot'!A:C,3,FALSE)</f>
        <v>#N/A</v>
      </c>
      <c r="P208" s="25">
        <f>IFERROR(VLOOKUP(H208,'Billing CDK pivot (overages)'!A:F,6,FALSE),0)</f>
        <v>0</v>
      </c>
      <c r="Q208" s="25" t="e">
        <f t="shared" si="13"/>
        <v>#N/A</v>
      </c>
      <c r="R208" s="26" t="e">
        <f t="shared" si="14"/>
        <v>#N/A</v>
      </c>
      <c r="S208" s="48" t="e">
        <f t="shared" si="15"/>
        <v>#N/A</v>
      </c>
      <c r="T208" s="6" t="s">
        <v>417</v>
      </c>
      <c r="U208" s="6" t="s">
        <v>246</v>
      </c>
      <c r="V208" s="6" t="s">
        <v>39</v>
      </c>
      <c r="W208" s="6" t="s">
        <v>39</v>
      </c>
      <c r="X208" s="6" t="s">
        <v>38</v>
      </c>
      <c r="Y208" s="6" t="s">
        <v>53</v>
      </c>
      <c r="Z208" s="6" t="s">
        <v>39</v>
      </c>
    </row>
    <row r="209" spans="1:26" hidden="1" x14ac:dyDescent="0.35">
      <c r="A209" s="6" t="s">
        <v>524</v>
      </c>
      <c r="B209" s="6">
        <v>118916</v>
      </c>
      <c r="C209" s="6">
        <v>19806</v>
      </c>
      <c r="D209" s="47">
        <v>5573.17</v>
      </c>
      <c r="E209" s="25">
        <v>0</v>
      </c>
      <c r="F209" s="25">
        <v>434.15</v>
      </c>
      <c r="G209" s="26">
        <f t="shared" si="12"/>
        <v>434.15</v>
      </c>
      <c r="H209" s="6">
        <v>76209494</v>
      </c>
      <c r="I209" s="6" t="s">
        <v>525</v>
      </c>
      <c r="J209" s="6"/>
      <c r="K209" s="6"/>
      <c r="L209" s="6"/>
      <c r="M209" s="6" t="e">
        <f>VLOOKUP(H209,'Billing CDK pivot (by package)'!A:D,3,FALSE)</f>
        <v>#N/A</v>
      </c>
      <c r="N209" s="6" t="e">
        <f>VLOOKUP(H209,'Billing CDK pivot (by package)'!A:D,4,FALSE)</f>
        <v>#N/A</v>
      </c>
      <c r="O209" s="25" t="e">
        <f>VLOOKUP(H209,'Billing CDK pivot'!A:C,3,FALSE)</f>
        <v>#N/A</v>
      </c>
      <c r="P209" s="25">
        <f>IFERROR(VLOOKUP(H209,'Billing CDK pivot (overages)'!A:F,6,FALSE),0)</f>
        <v>0</v>
      </c>
      <c r="Q209" s="25" t="e">
        <f t="shared" si="13"/>
        <v>#N/A</v>
      </c>
      <c r="R209" s="26" t="e">
        <f t="shared" si="14"/>
        <v>#N/A</v>
      </c>
      <c r="S209" s="48" t="e">
        <f t="shared" si="15"/>
        <v>#N/A</v>
      </c>
      <c r="T209" s="6" t="s">
        <v>417</v>
      </c>
      <c r="U209" s="6" t="s">
        <v>246</v>
      </c>
      <c r="V209" s="6" t="s">
        <v>39</v>
      </c>
      <c r="W209" s="6" t="s">
        <v>39</v>
      </c>
      <c r="X209" s="6" t="s">
        <v>38</v>
      </c>
      <c r="Y209" s="6" t="s">
        <v>53</v>
      </c>
      <c r="Z209" s="6" t="s">
        <v>39</v>
      </c>
    </row>
    <row r="210" spans="1:26" hidden="1" x14ac:dyDescent="0.35">
      <c r="A210" s="6" t="s">
        <v>526</v>
      </c>
      <c r="B210" s="6">
        <v>118914</v>
      </c>
      <c r="C210" s="6">
        <v>19808</v>
      </c>
      <c r="D210" s="47">
        <v>2103.7600000000002</v>
      </c>
      <c r="E210" s="25">
        <v>0</v>
      </c>
      <c r="F210" s="25">
        <v>434.15</v>
      </c>
      <c r="G210" s="26">
        <f t="shared" si="12"/>
        <v>434.15</v>
      </c>
      <c r="H210" s="6">
        <v>76209493</v>
      </c>
      <c r="I210" s="6" t="s">
        <v>527</v>
      </c>
      <c r="J210" s="6"/>
      <c r="K210" s="6"/>
      <c r="L210" s="6"/>
      <c r="M210" s="6" t="e">
        <f>VLOOKUP(H210,'Billing CDK pivot (by package)'!A:D,3,FALSE)</f>
        <v>#N/A</v>
      </c>
      <c r="N210" s="6" t="e">
        <f>VLOOKUP(H210,'Billing CDK pivot (by package)'!A:D,4,FALSE)</f>
        <v>#N/A</v>
      </c>
      <c r="O210" s="25" t="e">
        <f>VLOOKUP(H210,'Billing CDK pivot'!A:C,3,FALSE)</f>
        <v>#N/A</v>
      </c>
      <c r="P210" s="25">
        <f>IFERROR(VLOOKUP(H210,'Billing CDK pivot (overages)'!A:F,6,FALSE),0)</f>
        <v>0</v>
      </c>
      <c r="Q210" s="25" t="e">
        <f t="shared" si="13"/>
        <v>#N/A</v>
      </c>
      <c r="R210" s="26" t="e">
        <f t="shared" si="14"/>
        <v>#N/A</v>
      </c>
      <c r="S210" s="48" t="e">
        <f t="shared" si="15"/>
        <v>#N/A</v>
      </c>
      <c r="T210" s="6" t="s">
        <v>417</v>
      </c>
      <c r="U210" s="6" t="s">
        <v>246</v>
      </c>
      <c r="V210" s="6" t="s">
        <v>39</v>
      </c>
      <c r="W210" s="6" t="s">
        <v>39</v>
      </c>
      <c r="X210" s="6" t="s">
        <v>38</v>
      </c>
      <c r="Y210" s="6" t="s">
        <v>53</v>
      </c>
      <c r="Z210" s="6" t="s">
        <v>39</v>
      </c>
    </row>
    <row r="211" spans="1:26" hidden="1" x14ac:dyDescent="0.35">
      <c r="A211" s="6" t="s">
        <v>528</v>
      </c>
      <c r="B211" s="6">
        <v>118918</v>
      </c>
      <c r="C211" s="6">
        <v>19803</v>
      </c>
      <c r="D211" s="47">
        <v>2105.1999999999998</v>
      </c>
      <c r="E211" s="25">
        <v>0</v>
      </c>
      <c r="F211" s="25">
        <v>434.15</v>
      </c>
      <c r="G211" s="26">
        <f t="shared" si="12"/>
        <v>434.15</v>
      </c>
      <c r="H211" s="6">
        <v>76209498</v>
      </c>
      <c r="I211" s="6" t="s">
        <v>529</v>
      </c>
      <c r="J211" s="6"/>
      <c r="K211" s="6"/>
      <c r="L211" s="6"/>
      <c r="M211" s="6" t="e">
        <f>VLOOKUP(H211,'Billing CDK pivot (by package)'!A:D,3,FALSE)</f>
        <v>#N/A</v>
      </c>
      <c r="N211" s="6" t="e">
        <f>VLOOKUP(H211,'Billing CDK pivot (by package)'!A:D,4,FALSE)</f>
        <v>#N/A</v>
      </c>
      <c r="O211" s="25" t="e">
        <f>VLOOKUP(H211,'Billing CDK pivot'!A:C,3,FALSE)</f>
        <v>#N/A</v>
      </c>
      <c r="P211" s="25">
        <f>IFERROR(VLOOKUP(H211,'Billing CDK pivot (overages)'!A:F,6,FALSE),0)</f>
        <v>0</v>
      </c>
      <c r="Q211" s="25" t="e">
        <f t="shared" si="13"/>
        <v>#N/A</v>
      </c>
      <c r="R211" s="26" t="e">
        <f t="shared" si="14"/>
        <v>#N/A</v>
      </c>
      <c r="S211" s="48" t="e">
        <f t="shared" si="15"/>
        <v>#N/A</v>
      </c>
      <c r="T211" s="6" t="s">
        <v>417</v>
      </c>
      <c r="U211" s="6" t="s">
        <v>246</v>
      </c>
      <c r="V211" s="6" t="s">
        <v>39</v>
      </c>
      <c r="W211" s="6" t="s">
        <v>39</v>
      </c>
      <c r="X211" s="6" t="s">
        <v>38</v>
      </c>
      <c r="Y211" s="6" t="s">
        <v>53</v>
      </c>
      <c r="Z211" s="6" t="s">
        <v>39</v>
      </c>
    </row>
    <row r="212" spans="1:26" hidden="1" x14ac:dyDescent="0.35">
      <c r="A212" s="6" t="s">
        <v>530</v>
      </c>
      <c r="B212" s="6">
        <v>118915</v>
      </c>
      <c r="C212" s="6">
        <v>19807</v>
      </c>
      <c r="D212" s="47">
        <v>7289.06</v>
      </c>
      <c r="E212" s="25">
        <v>0</v>
      </c>
      <c r="F212" s="25">
        <v>434.15</v>
      </c>
      <c r="G212" s="26">
        <f t="shared" si="12"/>
        <v>434.15</v>
      </c>
      <c r="H212" s="6">
        <v>76209492</v>
      </c>
      <c r="I212" s="6" t="s">
        <v>531</v>
      </c>
      <c r="J212" s="6"/>
      <c r="K212" s="6"/>
      <c r="L212" s="6"/>
      <c r="M212" s="6" t="e">
        <f>VLOOKUP(H212,'Billing CDK pivot (by package)'!A:D,3,FALSE)</f>
        <v>#N/A</v>
      </c>
      <c r="N212" s="6" t="e">
        <f>VLOOKUP(H212,'Billing CDK pivot (by package)'!A:D,4,FALSE)</f>
        <v>#N/A</v>
      </c>
      <c r="O212" s="25" t="e">
        <f>VLOOKUP(H212,'Billing CDK pivot'!A:C,3,FALSE)</f>
        <v>#N/A</v>
      </c>
      <c r="P212" s="25">
        <f>IFERROR(VLOOKUP(H212,'Billing CDK pivot (overages)'!A:F,6,FALSE),0)</f>
        <v>0</v>
      </c>
      <c r="Q212" s="25" t="e">
        <f t="shared" si="13"/>
        <v>#N/A</v>
      </c>
      <c r="R212" s="26" t="e">
        <f t="shared" si="14"/>
        <v>#N/A</v>
      </c>
      <c r="S212" s="48" t="e">
        <f t="shared" si="15"/>
        <v>#N/A</v>
      </c>
      <c r="T212" s="6" t="s">
        <v>417</v>
      </c>
      <c r="U212" s="6" t="s">
        <v>246</v>
      </c>
      <c r="V212" s="6" t="s">
        <v>39</v>
      </c>
      <c r="W212" s="6" t="s">
        <v>39</v>
      </c>
      <c r="X212" s="6" t="s">
        <v>38</v>
      </c>
      <c r="Y212" s="6" t="s">
        <v>53</v>
      </c>
      <c r="Z212" s="6" t="s">
        <v>39</v>
      </c>
    </row>
    <row r="213" spans="1:26" hidden="1" x14ac:dyDescent="0.35">
      <c r="A213" s="6" t="s">
        <v>532</v>
      </c>
      <c r="B213" s="6">
        <v>118909</v>
      </c>
      <c r="C213" s="6">
        <v>19811</v>
      </c>
      <c r="D213" s="47">
        <v>4593.3900000000003</v>
      </c>
      <c r="E213" s="25">
        <v>0</v>
      </c>
      <c r="F213" s="25">
        <v>434.15</v>
      </c>
      <c r="G213" s="26">
        <f t="shared" si="12"/>
        <v>434.15</v>
      </c>
      <c r="H213" s="6">
        <v>76213002</v>
      </c>
      <c r="I213" s="6" t="s">
        <v>533</v>
      </c>
      <c r="J213" s="6"/>
      <c r="K213" s="6"/>
      <c r="L213" s="6"/>
      <c r="M213" s="6" t="e">
        <f>VLOOKUP(H213,'Billing CDK pivot (by package)'!A:D,3,FALSE)</f>
        <v>#N/A</v>
      </c>
      <c r="N213" s="6" t="e">
        <f>VLOOKUP(H213,'Billing CDK pivot (by package)'!A:D,4,FALSE)</f>
        <v>#N/A</v>
      </c>
      <c r="O213" s="25" t="e">
        <f>VLOOKUP(H213,'Billing CDK pivot'!A:C,3,FALSE)</f>
        <v>#N/A</v>
      </c>
      <c r="P213" s="25">
        <f>IFERROR(VLOOKUP(H213,'Billing CDK pivot (overages)'!A:F,6,FALSE),0)</f>
        <v>0</v>
      </c>
      <c r="Q213" s="25" t="e">
        <f t="shared" si="13"/>
        <v>#N/A</v>
      </c>
      <c r="R213" s="26" t="e">
        <f t="shared" si="14"/>
        <v>#N/A</v>
      </c>
      <c r="S213" s="48" t="e">
        <f t="shared" si="15"/>
        <v>#N/A</v>
      </c>
      <c r="T213" s="6" t="s">
        <v>417</v>
      </c>
      <c r="U213" s="6" t="s">
        <v>246</v>
      </c>
      <c r="V213" s="6" t="s">
        <v>39</v>
      </c>
      <c r="W213" s="6" t="s">
        <v>39</v>
      </c>
      <c r="X213" s="6" t="s">
        <v>38</v>
      </c>
      <c r="Y213" s="6" t="s">
        <v>53</v>
      </c>
      <c r="Z213" s="6" t="s">
        <v>39</v>
      </c>
    </row>
    <row r="214" spans="1:26" hidden="1" x14ac:dyDescent="0.35">
      <c r="A214" s="6" t="s">
        <v>534</v>
      </c>
      <c r="B214" s="6">
        <v>118923</v>
      </c>
      <c r="C214" s="6">
        <v>19749</v>
      </c>
      <c r="D214" s="47">
        <v>4349.97</v>
      </c>
      <c r="E214" s="25">
        <v>0</v>
      </c>
      <c r="F214" s="25">
        <v>434.15</v>
      </c>
      <c r="G214" s="26">
        <f t="shared" si="12"/>
        <v>434.15</v>
      </c>
      <c r="H214" s="6">
        <v>76212721</v>
      </c>
      <c r="I214" s="6" t="s">
        <v>535</v>
      </c>
      <c r="J214" s="6"/>
      <c r="K214" s="6"/>
      <c r="L214" s="6"/>
      <c r="M214" s="6" t="e">
        <f>VLOOKUP(H214,'Billing CDK pivot (by package)'!A:D,3,FALSE)</f>
        <v>#N/A</v>
      </c>
      <c r="N214" s="6" t="e">
        <f>VLOOKUP(H214,'Billing CDK pivot (by package)'!A:D,4,FALSE)</f>
        <v>#N/A</v>
      </c>
      <c r="O214" s="25" t="e">
        <f>VLOOKUP(H214,'Billing CDK pivot'!A:C,3,FALSE)</f>
        <v>#N/A</v>
      </c>
      <c r="P214" s="25">
        <f>IFERROR(VLOOKUP(H214,'Billing CDK pivot (overages)'!A:F,6,FALSE),0)</f>
        <v>0</v>
      </c>
      <c r="Q214" s="25" t="e">
        <f t="shared" si="13"/>
        <v>#N/A</v>
      </c>
      <c r="R214" s="26" t="e">
        <f t="shared" si="14"/>
        <v>#N/A</v>
      </c>
      <c r="S214" s="48" t="e">
        <f t="shared" si="15"/>
        <v>#N/A</v>
      </c>
      <c r="T214" s="6" t="s">
        <v>417</v>
      </c>
      <c r="U214" s="6" t="s">
        <v>246</v>
      </c>
      <c r="V214" s="6" t="s">
        <v>39</v>
      </c>
      <c r="W214" s="6" t="s">
        <v>39</v>
      </c>
      <c r="X214" s="6" t="s">
        <v>38</v>
      </c>
      <c r="Y214" s="6" t="s">
        <v>53</v>
      </c>
      <c r="Z214" s="6" t="s">
        <v>39</v>
      </c>
    </row>
    <row r="215" spans="1:26" hidden="1" x14ac:dyDescent="0.35">
      <c r="A215" s="6" t="s">
        <v>536</v>
      </c>
      <c r="B215" s="6">
        <v>118921</v>
      </c>
      <c r="C215" s="6">
        <v>19748</v>
      </c>
      <c r="D215" s="47">
        <v>8995.0499999999993</v>
      </c>
      <c r="E215" s="25">
        <v>103.16</v>
      </c>
      <c r="F215" s="25">
        <v>537.30999999999995</v>
      </c>
      <c r="G215" s="26">
        <f t="shared" si="12"/>
        <v>434.15</v>
      </c>
      <c r="H215" s="6">
        <v>76212720</v>
      </c>
      <c r="I215" s="6" t="s">
        <v>537</v>
      </c>
      <c r="J215" s="6"/>
      <c r="K215" s="6"/>
      <c r="L215" s="6"/>
      <c r="M215" s="6" t="e">
        <f>VLOOKUP(H215,'Billing CDK pivot (by package)'!A:D,3,FALSE)</f>
        <v>#N/A</v>
      </c>
      <c r="N215" s="6" t="e">
        <f>VLOOKUP(H215,'Billing CDK pivot (by package)'!A:D,4,FALSE)</f>
        <v>#N/A</v>
      </c>
      <c r="O215" s="25" t="e">
        <f>VLOOKUP(H215,'Billing CDK pivot'!A:C,3,FALSE)</f>
        <v>#N/A</v>
      </c>
      <c r="P215" s="25">
        <f>IFERROR(VLOOKUP(H215,'Billing CDK pivot (overages)'!A:F,6,FALSE),0)</f>
        <v>0</v>
      </c>
      <c r="Q215" s="25" t="e">
        <f t="shared" si="13"/>
        <v>#N/A</v>
      </c>
      <c r="R215" s="26" t="e">
        <f t="shared" si="14"/>
        <v>#N/A</v>
      </c>
      <c r="S215" s="48" t="e">
        <f t="shared" si="15"/>
        <v>#N/A</v>
      </c>
      <c r="T215" s="6" t="s">
        <v>417</v>
      </c>
      <c r="U215" s="6" t="s">
        <v>246</v>
      </c>
      <c r="V215" s="6" t="s">
        <v>39</v>
      </c>
      <c r="W215" s="6" t="s">
        <v>39</v>
      </c>
      <c r="X215" s="6" t="s">
        <v>38</v>
      </c>
      <c r="Y215" s="6" t="s">
        <v>53</v>
      </c>
      <c r="Z215" s="6" t="s">
        <v>39</v>
      </c>
    </row>
    <row r="216" spans="1:26" hidden="1" x14ac:dyDescent="0.35">
      <c r="A216" s="6" t="s">
        <v>538</v>
      </c>
      <c r="B216" s="6">
        <v>142809</v>
      </c>
      <c r="C216" s="6">
        <v>23503</v>
      </c>
      <c r="D216" s="47">
        <v>4395.91</v>
      </c>
      <c r="E216" s="25">
        <v>0</v>
      </c>
      <c r="F216" s="25">
        <v>434.15</v>
      </c>
      <c r="G216" s="26">
        <f t="shared" si="12"/>
        <v>434.15</v>
      </c>
      <c r="H216" s="6">
        <v>76051369</v>
      </c>
      <c r="I216" s="6" t="s">
        <v>539</v>
      </c>
      <c r="J216" s="6"/>
      <c r="K216" s="6"/>
      <c r="L216" s="6"/>
      <c r="M216" s="6" t="e">
        <f>VLOOKUP(H216,'Billing CDK pivot (by package)'!A:D,3,FALSE)</f>
        <v>#N/A</v>
      </c>
      <c r="N216" s="6" t="e">
        <f>VLOOKUP(H216,'Billing CDK pivot (by package)'!A:D,4,FALSE)</f>
        <v>#N/A</v>
      </c>
      <c r="O216" s="25" t="e">
        <f>VLOOKUP(H216,'Billing CDK pivot'!A:C,3,FALSE)</f>
        <v>#N/A</v>
      </c>
      <c r="P216" s="25">
        <f>IFERROR(VLOOKUP(H216,'Billing CDK pivot (overages)'!A:F,6,FALSE),0)</f>
        <v>0</v>
      </c>
      <c r="Q216" s="25" t="e">
        <f t="shared" si="13"/>
        <v>#N/A</v>
      </c>
      <c r="R216" s="26" t="e">
        <f t="shared" si="14"/>
        <v>#N/A</v>
      </c>
      <c r="S216" s="48" t="e">
        <f t="shared" si="15"/>
        <v>#N/A</v>
      </c>
      <c r="T216" s="6" t="s">
        <v>417</v>
      </c>
      <c r="U216" s="6" t="s">
        <v>142</v>
      </c>
      <c r="V216" s="6" t="s">
        <v>39</v>
      </c>
      <c r="W216" s="6" t="s">
        <v>39</v>
      </c>
      <c r="X216" s="6" t="s">
        <v>53</v>
      </c>
      <c r="Y216" s="6" t="s">
        <v>53</v>
      </c>
      <c r="Z216" s="6" t="s">
        <v>39</v>
      </c>
    </row>
    <row r="217" spans="1:26" hidden="1" x14ac:dyDescent="0.35">
      <c r="A217" s="6" t="s">
        <v>540</v>
      </c>
      <c r="B217" s="6">
        <v>142811</v>
      </c>
      <c r="C217" s="6">
        <v>23500</v>
      </c>
      <c r="D217" s="47">
        <v>505.37</v>
      </c>
      <c r="E217" s="25">
        <v>0</v>
      </c>
      <c r="F217" s="25">
        <v>434.15</v>
      </c>
      <c r="G217" s="26">
        <f t="shared" si="12"/>
        <v>434.15</v>
      </c>
      <c r="H217" s="6">
        <v>76184866</v>
      </c>
      <c r="I217" s="6" t="s">
        <v>541</v>
      </c>
      <c r="J217" s="6"/>
      <c r="K217" s="6"/>
      <c r="L217" s="6"/>
      <c r="M217" s="6" t="e">
        <f>VLOOKUP(H217,'Billing CDK pivot (by package)'!A:D,3,FALSE)</f>
        <v>#N/A</v>
      </c>
      <c r="N217" s="6" t="e">
        <f>VLOOKUP(H217,'Billing CDK pivot (by package)'!A:D,4,FALSE)</f>
        <v>#N/A</v>
      </c>
      <c r="O217" s="25" t="e">
        <f>VLOOKUP(H217,'Billing CDK pivot'!A:C,3,FALSE)</f>
        <v>#N/A</v>
      </c>
      <c r="P217" s="25">
        <f>IFERROR(VLOOKUP(H217,'Billing CDK pivot (overages)'!A:F,6,FALSE),0)</f>
        <v>0</v>
      </c>
      <c r="Q217" s="25" t="e">
        <f t="shared" si="13"/>
        <v>#N/A</v>
      </c>
      <c r="R217" s="26" t="e">
        <f t="shared" si="14"/>
        <v>#N/A</v>
      </c>
      <c r="S217" s="48" t="e">
        <f t="shared" si="15"/>
        <v>#N/A</v>
      </c>
      <c r="T217" s="6" t="s">
        <v>417</v>
      </c>
      <c r="U217" s="6" t="s">
        <v>142</v>
      </c>
      <c r="V217" s="6" t="s">
        <v>39</v>
      </c>
      <c r="W217" s="6" t="s">
        <v>39</v>
      </c>
      <c r="X217" s="6" t="s">
        <v>38</v>
      </c>
      <c r="Y217" s="6" t="s">
        <v>53</v>
      </c>
      <c r="Z217" s="6" t="s">
        <v>39</v>
      </c>
    </row>
    <row r="218" spans="1:26" hidden="1" x14ac:dyDescent="0.35">
      <c r="A218" s="6" t="s">
        <v>542</v>
      </c>
      <c r="B218" s="6">
        <v>159022</v>
      </c>
      <c r="C218" s="6">
        <v>29348</v>
      </c>
      <c r="D218" s="47">
        <v>442.87</v>
      </c>
      <c r="E218" s="25">
        <v>0</v>
      </c>
      <c r="F218" s="25">
        <v>434.15</v>
      </c>
      <c r="G218" s="26">
        <f t="shared" si="12"/>
        <v>434.15</v>
      </c>
      <c r="H218" s="6">
        <v>76192363</v>
      </c>
      <c r="I218" s="6" t="s">
        <v>543</v>
      </c>
      <c r="J218" s="6"/>
      <c r="K218" s="6"/>
      <c r="L218" s="6"/>
      <c r="M218" s="6" t="e">
        <f>VLOOKUP(H218,'Billing CDK pivot (by package)'!A:D,3,FALSE)</f>
        <v>#N/A</v>
      </c>
      <c r="N218" s="6" t="e">
        <f>VLOOKUP(H218,'Billing CDK pivot (by package)'!A:D,4,FALSE)</f>
        <v>#N/A</v>
      </c>
      <c r="O218" s="25" t="e">
        <f>VLOOKUP(H218,'Billing CDK pivot'!A:C,3,FALSE)</f>
        <v>#N/A</v>
      </c>
      <c r="P218" s="25">
        <f>IFERROR(VLOOKUP(H218,'Billing CDK pivot (overages)'!A:F,6,FALSE),0)</f>
        <v>0</v>
      </c>
      <c r="Q218" s="25" t="e">
        <f t="shared" si="13"/>
        <v>#N/A</v>
      </c>
      <c r="R218" s="26" t="e">
        <f t="shared" si="14"/>
        <v>#N/A</v>
      </c>
      <c r="S218" s="48" t="e">
        <f t="shared" si="15"/>
        <v>#N/A</v>
      </c>
      <c r="T218" s="6" t="s">
        <v>417</v>
      </c>
      <c r="U218" s="6" t="s">
        <v>142</v>
      </c>
      <c r="V218" s="6" t="s">
        <v>39</v>
      </c>
      <c r="W218" s="6" t="s">
        <v>39</v>
      </c>
      <c r="X218" s="6" t="s">
        <v>38</v>
      </c>
      <c r="Y218" s="6" t="s">
        <v>53</v>
      </c>
      <c r="Z218" s="6" t="s">
        <v>39</v>
      </c>
    </row>
    <row r="219" spans="1:26" hidden="1" x14ac:dyDescent="0.35">
      <c r="A219" s="6" t="s">
        <v>544</v>
      </c>
      <c r="B219" s="6">
        <v>159260</v>
      </c>
      <c r="C219" s="6">
        <v>13684</v>
      </c>
      <c r="D219" s="47">
        <v>3905.62</v>
      </c>
      <c r="E219" s="25">
        <v>0</v>
      </c>
      <c r="F219" s="25">
        <v>434.15</v>
      </c>
      <c r="G219" s="26">
        <f t="shared" si="12"/>
        <v>434.15</v>
      </c>
      <c r="H219" s="6">
        <v>76234357</v>
      </c>
      <c r="I219" s="6" t="s">
        <v>545</v>
      </c>
      <c r="J219" s="6"/>
      <c r="K219" s="6"/>
      <c r="L219" s="6"/>
      <c r="M219" s="6" t="e">
        <f>VLOOKUP(H219,'Billing CDK pivot (by package)'!A:D,3,FALSE)</f>
        <v>#N/A</v>
      </c>
      <c r="N219" s="6" t="e">
        <f>VLOOKUP(H219,'Billing CDK pivot (by package)'!A:D,4,FALSE)</f>
        <v>#N/A</v>
      </c>
      <c r="O219" s="25" t="e">
        <f>VLOOKUP(H219,'Billing CDK pivot'!A:C,3,FALSE)</f>
        <v>#N/A</v>
      </c>
      <c r="P219" s="25">
        <f>IFERROR(VLOOKUP(H219,'Billing CDK pivot (overages)'!A:F,6,FALSE),0)</f>
        <v>0</v>
      </c>
      <c r="Q219" s="25" t="e">
        <f t="shared" si="13"/>
        <v>#N/A</v>
      </c>
      <c r="R219" s="26" t="e">
        <f t="shared" si="14"/>
        <v>#N/A</v>
      </c>
      <c r="S219" s="48" t="e">
        <f t="shared" si="15"/>
        <v>#N/A</v>
      </c>
      <c r="T219" s="6" t="s">
        <v>417</v>
      </c>
      <c r="U219" s="6" t="s">
        <v>142</v>
      </c>
      <c r="V219" s="6" t="s">
        <v>39</v>
      </c>
      <c r="W219" s="6" t="s">
        <v>39</v>
      </c>
      <c r="X219" s="6" t="s">
        <v>38</v>
      </c>
      <c r="Y219" s="6" t="s">
        <v>53</v>
      </c>
      <c r="Z219" s="6" t="s">
        <v>39</v>
      </c>
    </row>
    <row r="220" spans="1:26" hidden="1" x14ac:dyDescent="0.35">
      <c r="A220" s="6" t="s">
        <v>546</v>
      </c>
      <c r="B220" s="6">
        <v>159261</v>
      </c>
      <c r="C220" s="6">
        <v>29484</v>
      </c>
      <c r="D220" s="47">
        <v>29.37</v>
      </c>
      <c r="E220" s="25">
        <v>0</v>
      </c>
      <c r="F220" s="25">
        <v>434.15</v>
      </c>
      <c r="G220" s="26">
        <f t="shared" si="12"/>
        <v>434.15</v>
      </c>
      <c r="H220" s="6">
        <v>25070101</v>
      </c>
      <c r="I220" s="6" t="s">
        <v>547</v>
      </c>
      <c r="J220" s="6"/>
      <c r="K220" s="6"/>
      <c r="L220" s="6"/>
      <c r="M220" s="6" t="e">
        <f>VLOOKUP(H220,'Billing CDK pivot (by package)'!A:D,3,FALSE)</f>
        <v>#N/A</v>
      </c>
      <c r="N220" s="6" t="e">
        <f>VLOOKUP(H220,'Billing CDK pivot (by package)'!A:D,4,FALSE)</f>
        <v>#N/A</v>
      </c>
      <c r="O220" s="25" t="e">
        <f>VLOOKUP(H220,'Billing CDK pivot'!A:C,3,FALSE)</f>
        <v>#N/A</v>
      </c>
      <c r="P220" s="25">
        <f>IFERROR(VLOOKUP(H220,'Billing CDK pivot (overages)'!A:F,6,FALSE),0)</f>
        <v>0</v>
      </c>
      <c r="Q220" s="25" t="e">
        <f t="shared" si="13"/>
        <v>#N/A</v>
      </c>
      <c r="R220" s="26" t="e">
        <f t="shared" si="14"/>
        <v>#N/A</v>
      </c>
      <c r="S220" s="48" t="e">
        <f t="shared" si="15"/>
        <v>#N/A</v>
      </c>
      <c r="T220" s="6" t="s">
        <v>417</v>
      </c>
      <c r="U220" s="6" t="s">
        <v>142</v>
      </c>
      <c r="V220" s="6" t="s">
        <v>39</v>
      </c>
      <c r="W220" s="6" t="s">
        <v>39</v>
      </c>
      <c r="X220" s="6" t="s">
        <v>38</v>
      </c>
      <c r="Y220" s="6" t="s">
        <v>53</v>
      </c>
      <c r="Z220" s="6" t="s">
        <v>39</v>
      </c>
    </row>
    <row r="221" spans="1:26" hidden="1" x14ac:dyDescent="0.35">
      <c r="A221" s="6" t="s">
        <v>548</v>
      </c>
      <c r="B221" s="6">
        <v>156783</v>
      </c>
      <c r="C221" s="6">
        <v>28998</v>
      </c>
      <c r="D221" s="47">
        <v>8005.94</v>
      </c>
      <c r="E221" s="25">
        <v>0</v>
      </c>
      <c r="F221" s="25">
        <v>1304.1500000000001</v>
      </c>
      <c r="G221" s="26">
        <f t="shared" si="12"/>
        <v>1304.1500000000001</v>
      </c>
      <c r="H221" s="6">
        <v>76238599</v>
      </c>
      <c r="I221" s="6" t="s">
        <v>549</v>
      </c>
      <c r="J221" s="6"/>
      <c r="K221" s="6"/>
      <c r="L221" s="6"/>
      <c r="M221" s="6" t="e">
        <f>VLOOKUP(H221,'Billing CDK pivot (by package)'!A:D,3,FALSE)</f>
        <v>#N/A</v>
      </c>
      <c r="N221" s="6" t="e">
        <f>VLOOKUP(H221,'Billing CDK pivot (by package)'!A:D,4,FALSE)</f>
        <v>#N/A</v>
      </c>
      <c r="O221" s="25" t="e">
        <f>VLOOKUP(H221,'Billing CDK pivot'!A:C,3,FALSE)</f>
        <v>#N/A</v>
      </c>
      <c r="P221" s="25">
        <f>IFERROR(VLOOKUP(H221,'Billing CDK pivot (overages)'!A:F,6,FALSE),0)</f>
        <v>0</v>
      </c>
      <c r="Q221" s="25" t="e">
        <f t="shared" si="13"/>
        <v>#N/A</v>
      </c>
      <c r="R221" s="26" t="e">
        <f t="shared" si="14"/>
        <v>#N/A</v>
      </c>
      <c r="S221" s="48" t="e">
        <f t="shared" si="15"/>
        <v>#N/A</v>
      </c>
      <c r="T221" s="6" t="s">
        <v>417</v>
      </c>
      <c r="U221" s="6" t="s">
        <v>293</v>
      </c>
      <c r="V221" s="6" t="s">
        <v>39</v>
      </c>
      <c r="W221" s="6" t="s">
        <v>39</v>
      </c>
      <c r="X221" s="6" t="s">
        <v>38</v>
      </c>
      <c r="Y221" s="6" t="s">
        <v>69</v>
      </c>
      <c r="Z221" s="6" t="s">
        <v>255</v>
      </c>
    </row>
    <row r="222" spans="1:26" hidden="1" x14ac:dyDescent="0.35">
      <c r="A222" s="6" t="s">
        <v>550</v>
      </c>
      <c r="B222" s="6">
        <v>99512</v>
      </c>
      <c r="C222" s="6" t="s">
        <v>289</v>
      </c>
      <c r="D222" s="47">
        <v>47.66</v>
      </c>
      <c r="E222" s="25">
        <v>0</v>
      </c>
      <c r="F222" s="25">
        <v>254.15</v>
      </c>
      <c r="G222" s="26">
        <f t="shared" si="12"/>
        <v>254.15</v>
      </c>
      <c r="H222" s="6">
        <v>76073734</v>
      </c>
      <c r="I222" s="6" t="s">
        <v>551</v>
      </c>
      <c r="J222" s="6"/>
      <c r="K222" s="6"/>
      <c r="L222" s="6"/>
      <c r="M222" s="6" t="e">
        <f>VLOOKUP(H222,'Billing CDK pivot (by package)'!A:D,3,FALSE)</f>
        <v>#N/A</v>
      </c>
      <c r="N222" s="6" t="e">
        <f>VLOOKUP(H222,'Billing CDK pivot (by package)'!A:D,4,FALSE)</f>
        <v>#N/A</v>
      </c>
      <c r="O222" s="25" t="e">
        <f>VLOOKUP(H222,'Billing CDK pivot'!A:C,3,FALSE)</f>
        <v>#N/A</v>
      </c>
      <c r="P222" s="25">
        <f>IFERROR(VLOOKUP(H222,'Billing CDK pivot (overages)'!A:F,6,FALSE),0)</f>
        <v>0</v>
      </c>
      <c r="Q222" s="25" t="e">
        <f t="shared" si="13"/>
        <v>#N/A</v>
      </c>
      <c r="R222" s="26" t="e">
        <f t="shared" si="14"/>
        <v>#N/A</v>
      </c>
      <c r="S222" s="48" t="e">
        <f t="shared" si="15"/>
        <v>#N/A</v>
      </c>
      <c r="T222" s="6" t="s">
        <v>417</v>
      </c>
      <c r="U222" s="6" t="s">
        <v>552</v>
      </c>
      <c r="V222" s="6" t="s">
        <v>39</v>
      </c>
      <c r="W222" s="6" t="s">
        <v>39</v>
      </c>
      <c r="X222" s="6" t="s">
        <v>58</v>
      </c>
      <c r="Y222" s="6" t="s">
        <v>39</v>
      </c>
      <c r="Z222" s="6" t="s">
        <v>39</v>
      </c>
    </row>
    <row r="223" spans="1:26" hidden="1" x14ac:dyDescent="0.35">
      <c r="A223" s="6" t="s">
        <v>553</v>
      </c>
      <c r="B223" s="6">
        <v>185318</v>
      </c>
      <c r="C223" s="6">
        <v>11341</v>
      </c>
      <c r="D223" s="47">
        <v>2149.7800000000002</v>
      </c>
      <c r="E223" s="25">
        <v>0</v>
      </c>
      <c r="F223" s="25">
        <v>519.15</v>
      </c>
      <c r="G223" s="26">
        <f t="shared" si="12"/>
        <v>519.15</v>
      </c>
      <c r="H223" s="6">
        <v>76246706</v>
      </c>
      <c r="I223" s="6" t="s">
        <v>554</v>
      </c>
      <c r="J223" s="6"/>
      <c r="K223" s="6"/>
      <c r="L223" s="6"/>
      <c r="M223" s="6" t="e">
        <f>VLOOKUP(H223,'Billing CDK pivot (by package)'!A:D,3,FALSE)</f>
        <v>#N/A</v>
      </c>
      <c r="N223" s="6" t="e">
        <f>VLOOKUP(H223,'Billing CDK pivot (by package)'!A:D,4,FALSE)</f>
        <v>#N/A</v>
      </c>
      <c r="O223" s="25" t="e">
        <f>VLOOKUP(H223,'Billing CDK pivot'!A:C,3,FALSE)</f>
        <v>#N/A</v>
      </c>
      <c r="P223" s="25">
        <f>IFERROR(VLOOKUP(H223,'Billing CDK pivot (overages)'!A:F,6,FALSE),0)</f>
        <v>0</v>
      </c>
      <c r="Q223" s="25" t="e">
        <f t="shared" si="13"/>
        <v>#N/A</v>
      </c>
      <c r="R223" s="26" t="e">
        <f t="shared" si="14"/>
        <v>#N/A</v>
      </c>
      <c r="S223" s="48" t="e">
        <f t="shared" si="15"/>
        <v>#N/A</v>
      </c>
      <c r="T223" s="6" t="s">
        <v>417</v>
      </c>
      <c r="U223" s="6" t="s">
        <v>155</v>
      </c>
      <c r="V223" s="6" t="s">
        <v>39</v>
      </c>
      <c r="W223" s="6" t="s">
        <v>39</v>
      </c>
      <c r="X223" s="6" t="s">
        <v>38</v>
      </c>
      <c r="Y223" s="6" t="s">
        <v>207</v>
      </c>
      <c r="Z223" s="6" t="s">
        <v>39</v>
      </c>
    </row>
    <row r="224" spans="1:26" hidden="1" x14ac:dyDescent="0.35">
      <c r="A224" s="6" t="s">
        <v>555</v>
      </c>
      <c r="B224" s="6">
        <v>177335</v>
      </c>
      <c r="C224" s="6">
        <v>29559</v>
      </c>
      <c r="D224" s="47">
        <v>1685.36</v>
      </c>
      <c r="E224" s="25">
        <v>0</v>
      </c>
      <c r="F224" s="25">
        <v>519.15</v>
      </c>
      <c r="G224" s="26">
        <f t="shared" si="12"/>
        <v>519.15</v>
      </c>
      <c r="H224" s="6">
        <v>76243351</v>
      </c>
      <c r="I224" s="6" t="s">
        <v>556</v>
      </c>
      <c r="J224" s="6"/>
      <c r="K224" s="6"/>
      <c r="L224" s="6"/>
      <c r="M224" s="6" t="e">
        <f>VLOOKUP(H224,'Billing CDK pivot (by package)'!A:D,3,FALSE)</f>
        <v>#N/A</v>
      </c>
      <c r="N224" s="6" t="e">
        <f>VLOOKUP(H224,'Billing CDK pivot (by package)'!A:D,4,FALSE)</f>
        <v>#N/A</v>
      </c>
      <c r="O224" s="25" t="e">
        <f>VLOOKUP(H224,'Billing CDK pivot'!A:C,3,FALSE)</f>
        <v>#N/A</v>
      </c>
      <c r="P224" s="25">
        <f>IFERROR(VLOOKUP(H224,'Billing CDK pivot (overages)'!A:F,6,FALSE),0)</f>
        <v>0</v>
      </c>
      <c r="Q224" s="25" t="e">
        <f t="shared" si="13"/>
        <v>#N/A</v>
      </c>
      <c r="R224" s="26" t="e">
        <f t="shared" si="14"/>
        <v>#N/A</v>
      </c>
      <c r="S224" s="48" t="e">
        <f t="shared" si="15"/>
        <v>#N/A</v>
      </c>
      <c r="T224" s="6" t="s">
        <v>417</v>
      </c>
      <c r="U224" s="6" t="s">
        <v>155</v>
      </c>
      <c r="V224" s="6" t="s">
        <v>39</v>
      </c>
      <c r="W224" s="6" t="s">
        <v>39</v>
      </c>
      <c r="X224" s="6" t="s">
        <v>38</v>
      </c>
      <c r="Y224" s="6" t="s">
        <v>207</v>
      </c>
      <c r="Z224" s="6" t="s">
        <v>39</v>
      </c>
    </row>
    <row r="225" spans="1:26" hidden="1" x14ac:dyDescent="0.35">
      <c r="A225" s="6" t="s">
        <v>557</v>
      </c>
      <c r="B225" s="6">
        <v>185319</v>
      </c>
      <c r="C225" s="6">
        <v>15443</v>
      </c>
      <c r="D225" s="47">
        <v>777.31</v>
      </c>
      <c r="E225" s="25">
        <v>0</v>
      </c>
      <c r="F225" s="25">
        <v>519.15</v>
      </c>
      <c r="G225" s="26">
        <f t="shared" si="12"/>
        <v>519.15</v>
      </c>
      <c r="H225" s="6">
        <v>76246708</v>
      </c>
      <c r="I225" s="6" t="s">
        <v>558</v>
      </c>
      <c r="J225" s="6"/>
      <c r="K225" s="6"/>
      <c r="L225" s="6"/>
      <c r="M225" s="6" t="e">
        <f>VLOOKUP(H225,'Billing CDK pivot (by package)'!A:D,3,FALSE)</f>
        <v>#N/A</v>
      </c>
      <c r="N225" s="6" t="e">
        <f>VLOOKUP(H225,'Billing CDK pivot (by package)'!A:D,4,FALSE)</f>
        <v>#N/A</v>
      </c>
      <c r="O225" s="25" t="e">
        <f>VLOOKUP(H225,'Billing CDK pivot'!A:C,3,FALSE)</f>
        <v>#N/A</v>
      </c>
      <c r="P225" s="25">
        <f>IFERROR(VLOOKUP(H225,'Billing CDK pivot (overages)'!A:F,6,FALSE),0)</f>
        <v>0</v>
      </c>
      <c r="Q225" s="25" t="e">
        <f t="shared" si="13"/>
        <v>#N/A</v>
      </c>
      <c r="R225" s="26" t="e">
        <f t="shared" si="14"/>
        <v>#N/A</v>
      </c>
      <c r="S225" s="48" t="e">
        <f t="shared" si="15"/>
        <v>#N/A</v>
      </c>
      <c r="T225" s="6" t="s">
        <v>417</v>
      </c>
      <c r="U225" s="6" t="s">
        <v>155</v>
      </c>
      <c r="V225" s="6" t="s">
        <v>39</v>
      </c>
      <c r="W225" s="6" t="s">
        <v>39</v>
      </c>
      <c r="X225" s="6" t="s">
        <v>38</v>
      </c>
      <c r="Y225" s="6" t="s">
        <v>207</v>
      </c>
      <c r="Z225" s="6" t="s">
        <v>39</v>
      </c>
    </row>
    <row r="226" spans="1:26" hidden="1" x14ac:dyDescent="0.35">
      <c r="A226" s="6" t="s">
        <v>559</v>
      </c>
      <c r="B226" s="6">
        <v>177338</v>
      </c>
      <c r="C226" s="6">
        <v>29561</v>
      </c>
      <c r="D226" s="47">
        <v>4878.8500000000004</v>
      </c>
      <c r="E226" s="25">
        <v>0</v>
      </c>
      <c r="F226" s="25">
        <v>519.15</v>
      </c>
      <c r="G226" s="26">
        <f t="shared" si="12"/>
        <v>519.15</v>
      </c>
      <c r="H226" s="6">
        <v>76243357</v>
      </c>
      <c r="I226" s="6" t="s">
        <v>560</v>
      </c>
      <c r="J226" s="6"/>
      <c r="K226" s="6"/>
      <c r="L226" s="6"/>
      <c r="M226" s="6" t="e">
        <f>VLOOKUP(H226,'Billing CDK pivot (by package)'!A:D,3,FALSE)</f>
        <v>#N/A</v>
      </c>
      <c r="N226" s="6" t="e">
        <f>VLOOKUP(H226,'Billing CDK pivot (by package)'!A:D,4,FALSE)</f>
        <v>#N/A</v>
      </c>
      <c r="O226" s="25" t="e">
        <f>VLOOKUP(H226,'Billing CDK pivot'!A:C,3,FALSE)</f>
        <v>#N/A</v>
      </c>
      <c r="P226" s="25">
        <f>IFERROR(VLOOKUP(H226,'Billing CDK pivot (overages)'!A:F,6,FALSE),0)</f>
        <v>0</v>
      </c>
      <c r="Q226" s="25" t="e">
        <f t="shared" si="13"/>
        <v>#N/A</v>
      </c>
      <c r="R226" s="26" t="e">
        <f t="shared" si="14"/>
        <v>#N/A</v>
      </c>
      <c r="S226" s="48" t="e">
        <f t="shared" si="15"/>
        <v>#N/A</v>
      </c>
      <c r="T226" s="6" t="s">
        <v>417</v>
      </c>
      <c r="U226" s="6" t="s">
        <v>155</v>
      </c>
      <c r="V226" s="6" t="s">
        <v>39</v>
      </c>
      <c r="W226" s="6" t="s">
        <v>39</v>
      </c>
      <c r="X226" s="6" t="s">
        <v>38</v>
      </c>
      <c r="Y226" s="6" t="s">
        <v>207</v>
      </c>
      <c r="Z226" s="6" t="s">
        <v>39</v>
      </c>
    </row>
    <row r="227" spans="1:26" hidden="1" x14ac:dyDescent="0.35">
      <c r="A227" s="6" t="s">
        <v>561</v>
      </c>
      <c r="B227" s="6">
        <v>186120</v>
      </c>
      <c r="C227" s="6">
        <v>30092</v>
      </c>
      <c r="D227" s="47">
        <v>7791.46</v>
      </c>
      <c r="E227" s="25">
        <v>251.23</v>
      </c>
      <c r="F227" s="25">
        <v>770.38</v>
      </c>
      <c r="G227" s="26">
        <f t="shared" si="12"/>
        <v>519.15</v>
      </c>
      <c r="H227" s="6">
        <v>76250477</v>
      </c>
      <c r="I227" s="6" t="s">
        <v>562</v>
      </c>
      <c r="J227" s="6"/>
      <c r="K227" s="6"/>
      <c r="L227" s="6"/>
      <c r="M227" s="6" t="e">
        <f>VLOOKUP(H227,'Billing CDK pivot (by package)'!A:D,3,FALSE)</f>
        <v>#N/A</v>
      </c>
      <c r="N227" s="6" t="e">
        <f>VLOOKUP(H227,'Billing CDK pivot (by package)'!A:D,4,FALSE)</f>
        <v>#N/A</v>
      </c>
      <c r="O227" s="25" t="e">
        <f>VLOOKUP(H227,'Billing CDK pivot'!A:C,3,FALSE)</f>
        <v>#N/A</v>
      </c>
      <c r="P227" s="25">
        <f>IFERROR(VLOOKUP(H227,'Billing CDK pivot (overages)'!A:F,6,FALSE),0)</f>
        <v>0</v>
      </c>
      <c r="Q227" s="25" t="e">
        <f t="shared" si="13"/>
        <v>#N/A</v>
      </c>
      <c r="R227" s="26" t="e">
        <f t="shared" si="14"/>
        <v>#N/A</v>
      </c>
      <c r="S227" s="48" t="e">
        <f t="shared" si="15"/>
        <v>#N/A</v>
      </c>
      <c r="T227" s="6" t="s">
        <v>417</v>
      </c>
      <c r="U227" s="6" t="s">
        <v>155</v>
      </c>
      <c r="V227" s="6" t="s">
        <v>39</v>
      </c>
      <c r="W227" s="6" t="s">
        <v>39</v>
      </c>
      <c r="X227" s="6" t="s">
        <v>38</v>
      </c>
      <c r="Y227" s="6" t="s">
        <v>207</v>
      </c>
      <c r="Z227" s="6" t="s">
        <v>39</v>
      </c>
    </row>
    <row r="228" spans="1:26" hidden="1" x14ac:dyDescent="0.35">
      <c r="A228" s="6" t="s">
        <v>563</v>
      </c>
      <c r="B228" s="6">
        <v>177300</v>
      </c>
      <c r="C228" s="6">
        <v>18362</v>
      </c>
      <c r="D228" s="47">
        <v>2789.79</v>
      </c>
      <c r="E228" s="25">
        <v>0</v>
      </c>
      <c r="F228" s="25">
        <v>519.15</v>
      </c>
      <c r="G228" s="26">
        <f t="shared" si="12"/>
        <v>519.15</v>
      </c>
      <c r="H228" s="6">
        <v>76236892</v>
      </c>
      <c r="I228" s="6" t="s">
        <v>564</v>
      </c>
      <c r="J228" s="6"/>
      <c r="K228" s="6"/>
      <c r="L228" s="6"/>
      <c r="M228" s="6" t="e">
        <f>VLOOKUP(H228,'Billing CDK pivot (by package)'!A:D,3,FALSE)</f>
        <v>#N/A</v>
      </c>
      <c r="N228" s="6" t="e">
        <f>VLOOKUP(H228,'Billing CDK pivot (by package)'!A:D,4,FALSE)</f>
        <v>#N/A</v>
      </c>
      <c r="O228" s="25" t="e">
        <f>VLOOKUP(H228,'Billing CDK pivot'!A:C,3,FALSE)</f>
        <v>#N/A</v>
      </c>
      <c r="P228" s="25">
        <f>IFERROR(VLOOKUP(H228,'Billing CDK pivot (overages)'!A:F,6,FALSE),0)</f>
        <v>0</v>
      </c>
      <c r="Q228" s="25" t="e">
        <f t="shared" si="13"/>
        <v>#N/A</v>
      </c>
      <c r="R228" s="26" t="e">
        <f t="shared" si="14"/>
        <v>#N/A</v>
      </c>
      <c r="S228" s="48" t="e">
        <f t="shared" si="15"/>
        <v>#N/A</v>
      </c>
      <c r="T228" s="6" t="s">
        <v>417</v>
      </c>
      <c r="U228" s="6" t="s">
        <v>155</v>
      </c>
      <c r="V228" s="6" t="s">
        <v>39</v>
      </c>
      <c r="W228" s="6" t="s">
        <v>39</v>
      </c>
      <c r="X228" s="6" t="s">
        <v>69</v>
      </c>
      <c r="Y228" s="6" t="s">
        <v>207</v>
      </c>
      <c r="Z228" s="6" t="s">
        <v>39</v>
      </c>
    </row>
    <row r="229" spans="1:26" hidden="1" x14ac:dyDescent="0.35">
      <c r="A229" s="6" t="s">
        <v>565</v>
      </c>
      <c r="B229" s="6">
        <v>149893</v>
      </c>
      <c r="C229" s="6">
        <v>24705</v>
      </c>
      <c r="D229" s="47">
        <v>8455.44</v>
      </c>
      <c r="E229" s="25">
        <v>65.930000000000007</v>
      </c>
      <c r="F229" s="25">
        <v>711.73</v>
      </c>
      <c r="G229" s="26">
        <f t="shared" si="12"/>
        <v>645.79999999999995</v>
      </c>
      <c r="H229" s="6">
        <v>76219965</v>
      </c>
      <c r="I229" s="6" t="s">
        <v>566</v>
      </c>
      <c r="J229" s="6"/>
      <c r="K229" s="6"/>
      <c r="L229" s="6"/>
      <c r="M229" s="6" t="e">
        <f>VLOOKUP(H229,'Billing CDK pivot (by package)'!A:D,3,FALSE)</f>
        <v>#N/A</v>
      </c>
      <c r="N229" s="6" t="e">
        <f>VLOOKUP(H229,'Billing CDK pivot (by package)'!A:D,4,FALSE)</f>
        <v>#N/A</v>
      </c>
      <c r="O229" s="25" t="e">
        <f>VLOOKUP(H229,'Billing CDK pivot'!A:C,3,FALSE)</f>
        <v>#N/A</v>
      </c>
      <c r="P229" s="25">
        <f>IFERROR(VLOOKUP(H229,'Billing CDK pivot (overages)'!A:F,6,FALSE),0)</f>
        <v>0</v>
      </c>
      <c r="Q229" s="25" t="e">
        <f t="shared" si="13"/>
        <v>#N/A</v>
      </c>
      <c r="R229" s="26" t="e">
        <f t="shared" si="14"/>
        <v>#N/A</v>
      </c>
      <c r="S229" s="48" t="e">
        <f t="shared" si="15"/>
        <v>#N/A</v>
      </c>
      <c r="T229" s="6" t="s">
        <v>417</v>
      </c>
      <c r="U229" s="6" t="s">
        <v>142</v>
      </c>
      <c r="V229" s="6" t="s">
        <v>567</v>
      </c>
      <c r="W229" s="6" t="s">
        <v>39</v>
      </c>
      <c r="X229" s="6" t="s">
        <v>38</v>
      </c>
      <c r="Y229" s="6" t="s">
        <v>53</v>
      </c>
      <c r="Z229" s="6" t="s">
        <v>55</v>
      </c>
    </row>
    <row r="230" spans="1:26" hidden="1" x14ac:dyDescent="0.35">
      <c r="A230" s="6" t="s">
        <v>568</v>
      </c>
      <c r="B230" s="6">
        <v>96887</v>
      </c>
      <c r="C230" s="6">
        <v>5906</v>
      </c>
      <c r="D230" s="47">
        <v>3078.02</v>
      </c>
      <c r="E230" s="25">
        <v>0</v>
      </c>
      <c r="F230" s="25">
        <v>645.79999999999995</v>
      </c>
      <c r="G230" s="26">
        <f t="shared" si="12"/>
        <v>645.79999999999995</v>
      </c>
      <c r="H230" s="6">
        <v>76211997</v>
      </c>
      <c r="I230" s="6" t="s">
        <v>569</v>
      </c>
      <c r="J230" s="6"/>
      <c r="K230" s="6"/>
      <c r="L230" s="6"/>
      <c r="M230" s="6" t="e">
        <f>VLOOKUP(H230,'Billing CDK pivot (by package)'!A:D,3,FALSE)</f>
        <v>#N/A</v>
      </c>
      <c r="N230" s="6" t="e">
        <f>VLOOKUP(H230,'Billing CDK pivot (by package)'!A:D,4,FALSE)</f>
        <v>#N/A</v>
      </c>
      <c r="O230" s="25" t="e">
        <f>VLOOKUP(H230,'Billing CDK pivot'!A:C,3,FALSE)</f>
        <v>#N/A</v>
      </c>
      <c r="P230" s="25">
        <f>IFERROR(VLOOKUP(H230,'Billing CDK pivot (overages)'!A:F,6,FALSE),0)</f>
        <v>0</v>
      </c>
      <c r="Q230" s="25" t="e">
        <f t="shared" si="13"/>
        <v>#N/A</v>
      </c>
      <c r="R230" s="26" t="e">
        <f t="shared" si="14"/>
        <v>#N/A</v>
      </c>
      <c r="S230" s="48" t="e">
        <f t="shared" si="15"/>
        <v>#N/A</v>
      </c>
      <c r="T230" s="6" t="s">
        <v>417</v>
      </c>
      <c r="U230" s="6" t="s">
        <v>142</v>
      </c>
      <c r="V230" s="6" t="s">
        <v>567</v>
      </c>
      <c r="W230" s="6" t="s">
        <v>39</v>
      </c>
      <c r="X230" s="6" t="s">
        <v>50</v>
      </c>
      <c r="Y230" s="6" t="s">
        <v>53</v>
      </c>
      <c r="Z230" s="6" t="s">
        <v>570</v>
      </c>
    </row>
    <row r="231" spans="1:26" hidden="1" x14ac:dyDescent="0.35">
      <c r="A231" s="6" t="s">
        <v>571</v>
      </c>
      <c r="B231" s="6">
        <v>61229</v>
      </c>
      <c r="C231" s="6">
        <v>16394</v>
      </c>
      <c r="D231" s="47">
        <v>2095.71</v>
      </c>
      <c r="E231" s="25">
        <v>0</v>
      </c>
      <c r="F231" s="25">
        <v>869.15</v>
      </c>
      <c r="G231" s="26">
        <f t="shared" si="12"/>
        <v>869.15</v>
      </c>
      <c r="H231" s="6" t="s">
        <v>572</v>
      </c>
      <c r="I231" s="6" t="s">
        <v>573</v>
      </c>
      <c r="J231" s="6"/>
      <c r="K231" s="6"/>
      <c r="L231" s="6"/>
      <c r="M231" s="6" t="str">
        <f>VLOOKUP(H231,'Billing CDK pivot (by package)'!A:D,3,FALSE)</f>
        <v>4570122</v>
      </c>
      <c r="N231" s="6" t="str">
        <f>VLOOKUP(H231,'Billing CDK pivot (by package)'!A:D,4,FALSE)</f>
        <v>CARWARS ADVANCED SALES</v>
      </c>
      <c r="O231" s="25" t="e">
        <f>VLOOKUP(H231,'Billing CDK pivot'!A:C,3,FALSE)</f>
        <v>#N/A</v>
      </c>
      <c r="P231" s="25">
        <f>IFERROR(VLOOKUP(H231,'Billing CDK pivot (overages)'!A:F,6,FALSE),0)</f>
        <v>0</v>
      </c>
      <c r="Q231" s="25" t="e">
        <f t="shared" si="13"/>
        <v>#N/A</v>
      </c>
      <c r="R231" s="26" t="e">
        <f t="shared" si="14"/>
        <v>#N/A</v>
      </c>
      <c r="S231" s="48" t="e">
        <f t="shared" si="15"/>
        <v>#N/A</v>
      </c>
      <c r="T231" s="6" t="s">
        <v>417</v>
      </c>
      <c r="U231" s="6" t="s">
        <v>173</v>
      </c>
      <c r="V231" s="6" t="s">
        <v>137</v>
      </c>
      <c r="W231" s="6" t="s">
        <v>39</v>
      </c>
      <c r="X231" s="6" t="s">
        <v>50</v>
      </c>
      <c r="Y231" s="6" t="s">
        <v>138</v>
      </c>
      <c r="Z231" s="6" t="s">
        <v>139</v>
      </c>
    </row>
    <row r="232" spans="1:26" hidden="1" x14ac:dyDescent="0.35">
      <c r="A232" s="6" t="s">
        <v>574</v>
      </c>
      <c r="B232" s="6">
        <v>118906</v>
      </c>
      <c r="C232" s="6">
        <v>19773</v>
      </c>
      <c r="D232" s="47">
        <v>3818.54</v>
      </c>
      <c r="E232" s="25">
        <v>0</v>
      </c>
      <c r="F232" s="25">
        <v>859.15</v>
      </c>
      <c r="G232" s="26">
        <f t="shared" si="12"/>
        <v>859.15</v>
      </c>
      <c r="H232" s="6">
        <v>76213067</v>
      </c>
      <c r="I232" s="6" t="s">
        <v>575</v>
      </c>
      <c r="J232" s="6"/>
      <c r="K232" s="6"/>
      <c r="L232" s="6"/>
      <c r="M232" s="6" t="e">
        <f>VLOOKUP(H232,'Billing CDK pivot (by package)'!A:D,3,FALSE)</f>
        <v>#N/A</v>
      </c>
      <c r="N232" s="6" t="e">
        <f>VLOOKUP(H232,'Billing CDK pivot (by package)'!A:D,4,FALSE)</f>
        <v>#N/A</v>
      </c>
      <c r="O232" s="25" t="e">
        <f>VLOOKUP(H232,'Billing CDK pivot'!A:C,3,FALSE)</f>
        <v>#N/A</v>
      </c>
      <c r="P232" s="25">
        <f>IFERROR(VLOOKUP(H232,'Billing CDK pivot (overages)'!A:F,6,FALSE),0)</f>
        <v>0</v>
      </c>
      <c r="Q232" s="25" t="e">
        <f t="shared" si="13"/>
        <v>#N/A</v>
      </c>
      <c r="R232" s="26" t="e">
        <f t="shared" si="14"/>
        <v>#N/A</v>
      </c>
      <c r="S232" s="48" t="e">
        <f t="shared" si="15"/>
        <v>#N/A</v>
      </c>
      <c r="T232" s="6" t="s">
        <v>417</v>
      </c>
      <c r="U232" s="6" t="s">
        <v>173</v>
      </c>
      <c r="V232" s="6" t="s">
        <v>39</v>
      </c>
      <c r="W232" s="6" t="s">
        <v>39</v>
      </c>
      <c r="X232" s="6" t="s">
        <v>38</v>
      </c>
      <c r="Y232" s="6" t="s">
        <v>138</v>
      </c>
      <c r="Z232" s="6" t="s">
        <v>39</v>
      </c>
    </row>
    <row r="233" spans="1:26" hidden="1" x14ac:dyDescent="0.35">
      <c r="A233" s="6" t="s">
        <v>576</v>
      </c>
      <c r="B233" s="6">
        <v>159190</v>
      </c>
      <c r="C233" s="6">
        <v>28942</v>
      </c>
      <c r="D233" s="47">
        <v>633.74</v>
      </c>
      <c r="E233" s="25">
        <v>0</v>
      </c>
      <c r="F233" s="25">
        <v>859.15</v>
      </c>
      <c r="G233" s="26">
        <f t="shared" si="12"/>
        <v>859.15</v>
      </c>
      <c r="H233" s="6">
        <v>76237872</v>
      </c>
      <c r="I233" s="6" t="s">
        <v>577</v>
      </c>
      <c r="J233" s="6"/>
      <c r="K233" s="6"/>
      <c r="L233" s="6"/>
      <c r="M233" s="6" t="e">
        <f>VLOOKUP(H233,'Billing CDK pivot (by package)'!A:D,3,FALSE)</f>
        <v>#N/A</v>
      </c>
      <c r="N233" s="6" t="e">
        <f>VLOOKUP(H233,'Billing CDK pivot (by package)'!A:D,4,FALSE)</f>
        <v>#N/A</v>
      </c>
      <c r="O233" s="25" t="e">
        <f>VLOOKUP(H233,'Billing CDK pivot'!A:C,3,FALSE)</f>
        <v>#N/A</v>
      </c>
      <c r="P233" s="25">
        <f>IFERROR(VLOOKUP(H233,'Billing CDK pivot (overages)'!A:F,6,FALSE),0)</f>
        <v>0</v>
      </c>
      <c r="Q233" s="25" t="e">
        <f t="shared" si="13"/>
        <v>#N/A</v>
      </c>
      <c r="R233" s="26" t="e">
        <f t="shared" si="14"/>
        <v>#N/A</v>
      </c>
      <c r="S233" s="48" t="e">
        <f t="shared" si="15"/>
        <v>#N/A</v>
      </c>
      <c r="T233" s="6" t="s">
        <v>417</v>
      </c>
      <c r="U233" s="6" t="s">
        <v>173</v>
      </c>
      <c r="V233" s="6" t="s">
        <v>39</v>
      </c>
      <c r="W233" s="6" t="s">
        <v>39</v>
      </c>
      <c r="X233" s="6" t="s">
        <v>38</v>
      </c>
      <c r="Y233" s="6" t="s">
        <v>138</v>
      </c>
      <c r="Z233" s="6" t="s">
        <v>39</v>
      </c>
    </row>
    <row r="234" spans="1:26" hidden="1" x14ac:dyDescent="0.35">
      <c r="A234" s="6" t="s">
        <v>578</v>
      </c>
      <c r="B234" s="6">
        <v>146876</v>
      </c>
      <c r="C234" s="6">
        <v>8209</v>
      </c>
      <c r="D234" s="47">
        <v>7719.1</v>
      </c>
      <c r="E234" s="25">
        <v>0</v>
      </c>
      <c r="F234" s="25">
        <v>1029</v>
      </c>
      <c r="G234" s="26">
        <f t="shared" si="12"/>
        <v>1029</v>
      </c>
      <c r="H234" s="6">
        <v>76238033</v>
      </c>
      <c r="I234" s="6" t="s">
        <v>579</v>
      </c>
      <c r="J234" s="6"/>
      <c r="K234" s="6"/>
      <c r="L234" s="6"/>
      <c r="M234" s="6" t="e">
        <f>VLOOKUP(H234,'Billing CDK pivot (by package)'!A:D,3,FALSE)</f>
        <v>#N/A</v>
      </c>
      <c r="N234" s="6" t="e">
        <f>VLOOKUP(H234,'Billing CDK pivot (by package)'!A:D,4,FALSE)</f>
        <v>#N/A</v>
      </c>
      <c r="O234" s="25" t="e">
        <f>VLOOKUP(H234,'Billing CDK pivot'!A:C,3,FALSE)</f>
        <v>#N/A</v>
      </c>
      <c r="P234" s="25">
        <f>IFERROR(VLOOKUP(H234,'Billing CDK pivot (overages)'!A:F,6,FALSE),0)</f>
        <v>0</v>
      </c>
      <c r="Q234" s="25" t="e">
        <f t="shared" si="13"/>
        <v>#N/A</v>
      </c>
      <c r="R234" s="26" t="e">
        <f t="shared" si="14"/>
        <v>#N/A</v>
      </c>
      <c r="S234" s="48" t="e">
        <f t="shared" si="15"/>
        <v>#N/A</v>
      </c>
      <c r="T234" s="6" t="s">
        <v>417</v>
      </c>
      <c r="U234" s="6" t="s">
        <v>306</v>
      </c>
      <c r="V234" s="6" t="s">
        <v>39</v>
      </c>
      <c r="W234" s="6" t="s">
        <v>39</v>
      </c>
      <c r="X234" s="6" t="s">
        <v>38</v>
      </c>
      <c r="Y234" s="6" t="s">
        <v>108</v>
      </c>
      <c r="Z234" s="6" t="s">
        <v>39</v>
      </c>
    </row>
    <row r="235" spans="1:26" hidden="1" x14ac:dyDescent="0.35">
      <c r="A235" s="6" t="s">
        <v>580</v>
      </c>
      <c r="B235" s="6">
        <v>90416</v>
      </c>
      <c r="C235" s="6">
        <v>9103</v>
      </c>
      <c r="D235" s="47">
        <v>9614.06</v>
      </c>
      <c r="E235" s="25">
        <v>0</v>
      </c>
      <c r="F235" s="25">
        <v>1029</v>
      </c>
      <c r="G235" s="26">
        <f t="shared" si="12"/>
        <v>1029</v>
      </c>
      <c r="H235" s="6">
        <v>71061706</v>
      </c>
      <c r="I235" s="6" t="s">
        <v>581</v>
      </c>
      <c r="J235" s="6"/>
      <c r="K235" s="6"/>
      <c r="L235" s="6"/>
      <c r="M235" s="6" t="e">
        <f>VLOOKUP(H235,'Billing CDK pivot (by package)'!A:D,3,FALSE)</f>
        <v>#N/A</v>
      </c>
      <c r="N235" s="6" t="e">
        <f>VLOOKUP(H235,'Billing CDK pivot (by package)'!A:D,4,FALSE)</f>
        <v>#N/A</v>
      </c>
      <c r="O235" s="25" t="e">
        <f>VLOOKUP(H235,'Billing CDK pivot'!A:C,3,FALSE)</f>
        <v>#N/A</v>
      </c>
      <c r="P235" s="25">
        <f>IFERROR(VLOOKUP(H235,'Billing CDK pivot (overages)'!A:F,6,FALSE),0)</f>
        <v>0</v>
      </c>
      <c r="Q235" s="25" t="e">
        <f t="shared" si="13"/>
        <v>#N/A</v>
      </c>
      <c r="R235" s="26" t="e">
        <f t="shared" si="14"/>
        <v>#N/A</v>
      </c>
      <c r="S235" s="48" t="e">
        <f t="shared" si="15"/>
        <v>#N/A</v>
      </c>
      <c r="T235" s="6" t="s">
        <v>417</v>
      </c>
      <c r="U235" s="6" t="s">
        <v>306</v>
      </c>
      <c r="V235" s="6" t="s">
        <v>39</v>
      </c>
      <c r="W235" s="6" t="s">
        <v>39</v>
      </c>
      <c r="X235" s="6" t="s">
        <v>38</v>
      </c>
      <c r="Y235" s="6" t="s">
        <v>108</v>
      </c>
      <c r="Z235" s="6" t="s">
        <v>39</v>
      </c>
    </row>
    <row r="236" spans="1:26" hidden="1" x14ac:dyDescent="0.35">
      <c r="A236" s="6" t="s">
        <v>582</v>
      </c>
      <c r="B236" s="6">
        <v>118922</v>
      </c>
      <c r="C236" s="6">
        <v>19750</v>
      </c>
      <c r="D236" s="47">
        <v>11938.02</v>
      </c>
      <c r="E236" s="25">
        <v>0</v>
      </c>
      <c r="F236" s="25">
        <v>1284.1500000000001</v>
      </c>
      <c r="G236" s="26">
        <f t="shared" si="12"/>
        <v>1284.1500000000001</v>
      </c>
      <c r="H236" s="6">
        <v>76213066</v>
      </c>
      <c r="I236" s="6" t="s">
        <v>583</v>
      </c>
      <c r="J236" s="6"/>
      <c r="K236" s="6"/>
      <c r="L236" s="6"/>
      <c r="M236" s="6" t="e">
        <f>VLOOKUP(H236,'Billing CDK pivot (by package)'!A:D,3,FALSE)</f>
        <v>#N/A</v>
      </c>
      <c r="N236" s="6" t="e">
        <f>VLOOKUP(H236,'Billing CDK pivot (by package)'!A:D,4,FALSE)</f>
        <v>#N/A</v>
      </c>
      <c r="O236" s="25" t="e">
        <f>VLOOKUP(H236,'Billing CDK pivot'!A:C,3,FALSE)</f>
        <v>#N/A</v>
      </c>
      <c r="P236" s="25">
        <f>IFERROR(VLOOKUP(H236,'Billing CDK pivot (overages)'!A:F,6,FALSE),0)</f>
        <v>0</v>
      </c>
      <c r="Q236" s="25" t="e">
        <f t="shared" si="13"/>
        <v>#N/A</v>
      </c>
      <c r="R236" s="26" t="e">
        <f t="shared" si="14"/>
        <v>#N/A</v>
      </c>
      <c r="S236" s="48" t="e">
        <f t="shared" si="15"/>
        <v>#N/A</v>
      </c>
      <c r="T236" s="6" t="s">
        <v>417</v>
      </c>
      <c r="U236" s="6" t="s">
        <v>293</v>
      </c>
      <c r="V236" s="6" t="s">
        <v>39</v>
      </c>
      <c r="W236" s="6" t="s">
        <v>39</v>
      </c>
      <c r="X236" s="6" t="s">
        <v>38</v>
      </c>
      <c r="Y236" s="6" t="s">
        <v>69</v>
      </c>
      <c r="Z236" s="6" t="s">
        <v>39</v>
      </c>
    </row>
    <row r="237" spans="1:26" hidden="1" x14ac:dyDescent="0.35">
      <c r="A237" s="6" t="s">
        <v>584</v>
      </c>
      <c r="B237" s="6">
        <v>108923</v>
      </c>
      <c r="C237" s="6">
        <v>16341</v>
      </c>
      <c r="D237" s="47">
        <v>7512.82</v>
      </c>
      <c r="E237" s="25">
        <v>0</v>
      </c>
      <c r="F237" s="25">
        <v>1284.1500000000001</v>
      </c>
      <c r="G237" s="26">
        <f t="shared" si="12"/>
        <v>1284.1500000000001</v>
      </c>
      <c r="H237" s="6">
        <v>76212103</v>
      </c>
      <c r="I237" s="6" t="s">
        <v>585</v>
      </c>
      <c r="J237" s="6"/>
      <c r="K237" s="6"/>
      <c r="L237" s="6"/>
      <c r="M237" s="6" t="e">
        <f>VLOOKUP(H237,'Billing CDK pivot (by package)'!A:D,3,FALSE)</f>
        <v>#N/A</v>
      </c>
      <c r="N237" s="6" t="e">
        <f>VLOOKUP(H237,'Billing CDK pivot (by package)'!A:D,4,FALSE)</f>
        <v>#N/A</v>
      </c>
      <c r="O237" s="25" t="e">
        <f>VLOOKUP(H237,'Billing CDK pivot'!A:C,3,FALSE)</f>
        <v>#N/A</v>
      </c>
      <c r="P237" s="25">
        <f>IFERROR(VLOOKUP(H237,'Billing CDK pivot (overages)'!A:F,6,FALSE),0)</f>
        <v>0</v>
      </c>
      <c r="Q237" s="25" t="e">
        <f t="shared" si="13"/>
        <v>#N/A</v>
      </c>
      <c r="R237" s="26" t="e">
        <f t="shared" si="14"/>
        <v>#N/A</v>
      </c>
      <c r="S237" s="48" t="e">
        <f t="shared" si="15"/>
        <v>#N/A</v>
      </c>
      <c r="T237" s="6" t="s">
        <v>417</v>
      </c>
      <c r="U237" s="6" t="s">
        <v>293</v>
      </c>
      <c r="V237" s="6" t="s">
        <v>39</v>
      </c>
      <c r="W237" s="6" t="s">
        <v>39</v>
      </c>
      <c r="X237" s="6" t="s">
        <v>38</v>
      </c>
      <c r="Y237" s="6" t="s">
        <v>69</v>
      </c>
      <c r="Z237" s="6" t="s">
        <v>39</v>
      </c>
    </row>
    <row r="238" spans="1:26" hidden="1" x14ac:dyDescent="0.35">
      <c r="A238" s="6" t="s">
        <v>586</v>
      </c>
      <c r="B238" s="6">
        <v>59090</v>
      </c>
      <c r="C238" s="6">
        <v>16303</v>
      </c>
      <c r="D238" s="47">
        <v>3597.68</v>
      </c>
      <c r="E238" s="25">
        <v>0</v>
      </c>
      <c r="F238" s="25">
        <v>1284.1500000000001</v>
      </c>
      <c r="G238" s="26">
        <f t="shared" si="12"/>
        <v>1284.1500000000001</v>
      </c>
      <c r="H238" s="6">
        <v>76212370</v>
      </c>
      <c r="I238" s="6" t="s">
        <v>587</v>
      </c>
      <c r="J238" s="6"/>
      <c r="K238" s="6"/>
      <c r="L238" s="6"/>
      <c r="M238" s="6" t="e">
        <f>VLOOKUP(H238,'Billing CDK pivot (by package)'!A:D,3,FALSE)</f>
        <v>#N/A</v>
      </c>
      <c r="N238" s="6" t="e">
        <f>VLOOKUP(H238,'Billing CDK pivot (by package)'!A:D,4,FALSE)</f>
        <v>#N/A</v>
      </c>
      <c r="O238" s="25" t="e">
        <f>VLOOKUP(H238,'Billing CDK pivot'!A:C,3,FALSE)</f>
        <v>#N/A</v>
      </c>
      <c r="P238" s="25">
        <f>IFERROR(VLOOKUP(H238,'Billing CDK pivot (overages)'!A:F,6,FALSE),0)</f>
        <v>0</v>
      </c>
      <c r="Q238" s="25" t="e">
        <f t="shared" si="13"/>
        <v>#N/A</v>
      </c>
      <c r="R238" s="26" t="e">
        <f t="shared" si="14"/>
        <v>#N/A</v>
      </c>
      <c r="S238" s="48" t="e">
        <f t="shared" si="15"/>
        <v>#N/A</v>
      </c>
      <c r="T238" s="6" t="s">
        <v>417</v>
      </c>
      <c r="U238" s="6" t="s">
        <v>293</v>
      </c>
      <c r="V238" s="6" t="s">
        <v>39</v>
      </c>
      <c r="W238" s="6" t="s">
        <v>39</v>
      </c>
      <c r="X238" s="6" t="s">
        <v>38</v>
      </c>
      <c r="Y238" s="6" t="s">
        <v>69</v>
      </c>
      <c r="Z238" s="6" t="s">
        <v>39</v>
      </c>
    </row>
    <row r="239" spans="1:26" hidden="1" x14ac:dyDescent="0.35">
      <c r="A239" s="6" t="s">
        <v>588</v>
      </c>
      <c r="B239" s="6">
        <v>154900</v>
      </c>
      <c r="C239" s="6">
        <v>28187</v>
      </c>
      <c r="D239" s="47">
        <v>7062.71</v>
      </c>
      <c r="E239" s="25">
        <v>0</v>
      </c>
      <c r="F239" s="25">
        <v>1284.1500000000001</v>
      </c>
      <c r="G239" s="26">
        <f t="shared" si="12"/>
        <v>1284.1500000000001</v>
      </c>
      <c r="H239" s="6">
        <v>76234209</v>
      </c>
      <c r="I239" s="6" t="s">
        <v>589</v>
      </c>
      <c r="J239" s="6"/>
      <c r="K239" s="6"/>
      <c r="L239" s="6"/>
      <c r="M239" s="6" t="e">
        <f>VLOOKUP(H239,'Billing CDK pivot (by package)'!A:D,3,FALSE)</f>
        <v>#N/A</v>
      </c>
      <c r="N239" s="6" t="e">
        <f>VLOOKUP(H239,'Billing CDK pivot (by package)'!A:D,4,FALSE)</f>
        <v>#N/A</v>
      </c>
      <c r="O239" s="25" t="e">
        <f>VLOOKUP(H239,'Billing CDK pivot'!A:C,3,FALSE)</f>
        <v>#N/A</v>
      </c>
      <c r="P239" s="25">
        <f>IFERROR(VLOOKUP(H239,'Billing CDK pivot (overages)'!A:F,6,FALSE),0)</f>
        <v>0</v>
      </c>
      <c r="Q239" s="25" t="e">
        <f t="shared" si="13"/>
        <v>#N/A</v>
      </c>
      <c r="R239" s="26" t="e">
        <f t="shared" si="14"/>
        <v>#N/A</v>
      </c>
      <c r="S239" s="48" t="e">
        <f t="shared" si="15"/>
        <v>#N/A</v>
      </c>
      <c r="T239" s="6" t="s">
        <v>417</v>
      </c>
      <c r="U239" s="6" t="s">
        <v>293</v>
      </c>
      <c r="V239" s="6" t="s">
        <v>39</v>
      </c>
      <c r="W239" s="6" t="s">
        <v>39</v>
      </c>
      <c r="X239" s="6" t="s">
        <v>38</v>
      </c>
      <c r="Y239" s="6" t="s">
        <v>69</v>
      </c>
      <c r="Z239" s="6" t="s">
        <v>39</v>
      </c>
    </row>
    <row r="240" spans="1:26" hidden="1" x14ac:dyDescent="0.35">
      <c r="A240" s="6" t="s">
        <v>590</v>
      </c>
      <c r="B240" s="6">
        <v>122660</v>
      </c>
      <c r="C240" s="6" t="s">
        <v>289</v>
      </c>
      <c r="D240" s="47">
        <v>5925.73</v>
      </c>
      <c r="E240" s="25">
        <v>0</v>
      </c>
      <c r="F240" s="25">
        <v>1284.1500000000001</v>
      </c>
      <c r="G240" s="26">
        <f t="shared" si="12"/>
        <v>1284.1500000000001</v>
      </c>
      <c r="H240" s="6">
        <v>76024834</v>
      </c>
      <c r="I240" s="6" t="s">
        <v>591</v>
      </c>
      <c r="J240" s="6"/>
      <c r="K240" s="6"/>
      <c r="L240" s="6"/>
      <c r="M240" s="6" t="e">
        <f>VLOOKUP(H240,'Billing CDK pivot (by package)'!A:D,3,FALSE)</f>
        <v>#N/A</v>
      </c>
      <c r="N240" s="6" t="e">
        <f>VLOOKUP(H240,'Billing CDK pivot (by package)'!A:D,4,FALSE)</f>
        <v>#N/A</v>
      </c>
      <c r="O240" s="25" t="e">
        <f>VLOOKUP(H240,'Billing CDK pivot'!A:C,3,FALSE)</f>
        <v>#N/A</v>
      </c>
      <c r="P240" s="25">
        <f>IFERROR(VLOOKUP(H240,'Billing CDK pivot (overages)'!A:F,6,FALSE),0)</f>
        <v>0</v>
      </c>
      <c r="Q240" s="25" t="e">
        <f t="shared" si="13"/>
        <v>#N/A</v>
      </c>
      <c r="R240" s="26" t="e">
        <f t="shared" si="14"/>
        <v>#N/A</v>
      </c>
      <c r="S240" s="48" t="e">
        <f t="shared" si="15"/>
        <v>#N/A</v>
      </c>
      <c r="T240" s="6" t="s">
        <v>417</v>
      </c>
      <c r="U240" s="6" t="s">
        <v>293</v>
      </c>
      <c r="V240" s="6" t="s">
        <v>39</v>
      </c>
      <c r="W240" s="6" t="s">
        <v>39</v>
      </c>
      <c r="X240" s="6" t="s">
        <v>38</v>
      </c>
      <c r="Y240" s="6" t="s">
        <v>69</v>
      </c>
      <c r="Z240" s="6" t="s">
        <v>39</v>
      </c>
    </row>
    <row r="241" spans="1:26" hidden="1" x14ac:dyDescent="0.35">
      <c r="A241" s="6" t="s">
        <v>592</v>
      </c>
      <c r="B241" s="6">
        <v>122661</v>
      </c>
      <c r="C241" s="6" t="s">
        <v>289</v>
      </c>
      <c r="D241" s="47">
        <v>5176.63</v>
      </c>
      <c r="E241" s="25">
        <v>0</v>
      </c>
      <c r="F241" s="25">
        <v>1284.1500000000001</v>
      </c>
      <c r="G241" s="26">
        <f t="shared" si="12"/>
        <v>1284.1500000000001</v>
      </c>
      <c r="H241" s="6">
        <v>76158989</v>
      </c>
      <c r="I241" s="6" t="s">
        <v>593</v>
      </c>
      <c r="J241" s="6"/>
      <c r="K241" s="6"/>
      <c r="L241" s="6"/>
      <c r="M241" s="6" t="e">
        <f>VLOOKUP(H241,'Billing CDK pivot (by package)'!A:D,3,FALSE)</f>
        <v>#N/A</v>
      </c>
      <c r="N241" s="6" t="e">
        <f>VLOOKUP(H241,'Billing CDK pivot (by package)'!A:D,4,FALSE)</f>
        <v>#N/A</v>
      </c>
      <c r="O241" s="25" t="e">
        <f>VLOOKUP(H241,'Billing CDK pivot'!A:C,3,FALSE)</f>
        <v>#N/A</v>
      </c>
      <c r="P241" s="25">
        <f>IFERROR(VLOOKUP(H241,'Billing CDK pivot (overages)'!A:F,6,FALSE),0)</f>
        <v>0</v>
      </c>
      <c r="Q241" s="25" t="e">
        <f t="shared" si="13"/>
        <v>#N/A</v>
      </c>
      <c r="R241" s="26" t="e">
        <f t="shared" si="14"/>
        <v>#N/A</v>
      </c>
      <c r="S241" s="48" t="e">
        <f t="shared" si="15"/>
        <v>#N/A</v>
      </c>
      <c r="T241" s="6" t="s">
        <v>417</v>
      </c>
      <c r="U241" s="6" t="s">
        <v>293</v>
      </c>
      <c r="V241" s="6" t="s">
        <v>39</v>
      </c>
      <c r="W241" s="6" t="s">
        <v>39</v>
      </c>
      <c r="X241" s="6" t="s">
        <v>38</v>
      </c>
      <c r="Y241" s="6" t="s">
        <v>69</v>
      </c>
      <c r="Z241" s="6" t="s">
        <v>39</v>
      </c>
    </row>
    <row r="242" spans="1:26" x14ac:dyDescent="0.35">
      <c r="A242" s="6" t="s">
        <v>594</v>
      </c>
      <c r="B242" s="6">
        <v>122662</v>
      </c>
      <c r="C242" s="6" t="s">
        <v>289</v>
      </c>
      <c r="D242" s="47">
        <v>7620.45</v>
      </c>
      <c r="E242" s="25">
        <v>0</v>
      </c>
      <c r="F242" s="25">
        <v>1284.1500000000001</v>
      </c>
      <c r="G242" s="26">
        <f t="shared" si="12"/>
        <v>1284.1500000000001</v>
      </c>
      <c r="H242" s="6">
        <v>76058883</v>
      </c>
      <c r="I242" s="6" t="s">
        <v>595</v>
      </c>
      <c r="J242" s="6"/>
      <c r="K242" s="6"/>
      <c r="L242" s="6"/>
      <c r="M242" s="6" t="e">
        <f>VLOOKUP(H242,'Billing CDK pivot (by package)'!A:D,3,FALSE)</f>
        <v>#N/A</v>
      </c>
      <c r="N242" s="6" t="e">
        <f>VLOOKUP(H242,'Billing CDK pivot (by package)'!A:D,4,FALSE)</f>
        <v>#N/A</v>
      </c>
      <c r="O242" s="25" t="e">
        <f>VLOOKUP(H242,'Billing CDK pivot'!A:C,3,FALSE)</f>
        <v>#N/A</v>
      </c>
      <c r="P242" s="25">
        <f>IFERROR(VLOOKUP(H242,'Billing CDK pivot (overages)'!A:F,6,FALSE),0)</f>
        <v>0</v>
      </c>
      <c r="Q242" s="25" t="e">
        <f t="shared" si="13"/>
        <v>#N/A</v>
      </c>
      <c r="R242" s="26" t="e">
        <f t="shared" si="14"/>
        <v>#N/A</v>
      </c>
      <c r="S242" s="48" t="e">
        <f t="shared" si="15"/>
        <v>#N/A</v>
      </c>
      <c r="T242" s="6" t="s">
        <v>417</v>
      </c>
      <c r="U242" s="6" t="s">
        <v>293</v>
      </c>
      <c r="V242" s="6" t="s">
        <v>39</v>
      </c>
      <c r="W242" s="6" t="s">
        <v>39</v>
      </c>
      <c r="X242" s="6" t="s">
        <v>38</v>
      </c>
      <c r="Y242" s="6" t="s">
        <v>69</v>
      </c>
      <c r="Z242" s="6" t="s">
        <v>39</v>
      </c>
    </row>
    <row r="243" spans="1:26" hidden="1" x14ac:dyDescent="0.35">
      <c r="A243" s="6" t="s">
        <v>596</v>
      </c>
      <c r="B243" s="6">
        <v>122663</v>
      </c>
      <c r="C243" s="6" t="s">
        <v>289</v>
      </c>
      <c r="D243" s="47">
        <v>1168.94</v>
      </c>
      <c r="E243" s="25">
        <v>0</v>
      </c>
      <c r="F243" s="25">
        <v>1284.1500000000001</v>
      </c>
      <c r="G243" s="26">
        <f t="shared" si="12"/>
        <v>1284.1500000000001</v>
      </c>
      <c r="H243" s="6">
        <v>76003331</v>
      </c>
      <c r="I243" s="6" t="s">
        <v>597</v>
      </c>
      <c r="J243" s="6"/>
      <c r="K243" s="6"/>
      <c r="L243" s="6"/>
      <c r="M243" s="6" t="e">
        <f>VLOOKUP(H243,'Billing CDK pivot (by package)'!A:D,3,FALSE)</f>
        <v>#N/A</v>
      </c>
      <c r="N243" s="6" t="e">
        <f>VLOOKUP(H243,'Billing CDK pivot (by package)'!A:D,4,FALSE)</f>
        <v>#N/A</v>
      </c>
      <c r="O243" s="25" t="e">
        <f>VLOOKUP(H243,'Billing CDK pivot'!A:C,3,FALSE)</f>
        <v>#N/A</v>
      </c>
      <c r="P243" s="25">
        <f>IFERROR(VLOOKUP(H243,'Billing CDK pivot (overages)'!A:F,6,FALSE),0)</f>
        <v>0</v>
      </c>
      <c r="Q243" s="25" t="e">
        <f t="shared" si="13"/>
        <v>#N/A</v>
      </c>
      <c r="R243" s="26" t="e">
        <f t="shared" si="14"/>
        <v>#N/A</v>
      </c>
      <c r="S243" s="48" t="e">
        <f t="shared" si="15"/>
        <v>#N/A</v>
      </c>
      <c r="T243" s="6" t="s">
        <v>417</v>
      </c>
      <c r="U243" s="6" t="s">
        <v>293</v>
      </c>
      <c r="V243" s="6" t="s">
        <v>39</v>
      </c>
      <c r="W243" s="6" t="s">
        <v>39</v>
      </c>
      <c r="X243" s="6" t="s">
        <v>38</v>
      </c>
      <c r="Y243" s="6" t="s">
        <v>69</v>
      </c>
      <c r="Z243" s="6" t="s">
        <v>39</v>
      </c>
    </row>
    <row r="244" spans="1:26" hidden="1" x14ac:dyDescent="0.35">
      <c r="A244" s="6" t="s">
        <v>598</v>
      </c>
      <c r="B244" s="6">
        <v>122664</v>
      </c>
      <c r="C244" s="6" t="s">
        <v>289</v>
      </c>
      <c r="D244" s="47">
        <v>6533.87</v>
      </c>
      <c r="E244" s="25">
        <v>0</v>
      </c>
      <c r="F244" s="25">
        <v>1284.1500000000001</v>
      </c>
      <c r="G244" s="26">
        <f t="shared" si="12"/>
        <v>1284.1500000000001</v>
      </c>
      <c r="H244" s="6">
        <v>76003345</v>
      </c>
      <c r="I244" s="6" t="s">
        <v>599</v>
      </c>
      <c r="J244" s="6"/>
      <c r="K244" s="6"/>
      <c r="L244" s="6"/>
      <c r="M244" s="6" t="e">
        <f>VLOOKUP(H244,'Billing CDK pivot (by package)'!A:D,3,FALSE)</f>
        <v>#N/A</v>
      </c>
      <c r="N244" s="6" t="e">
        <f>VLOOKUP(H244,'Billing CDK pivot (by package)'!A:D,4,FALSE)</f>
        <v>#N/A</v>
      </c>
      <c r="O244" s="25" t="e">
        <f>VLOOKUP(H244,'Billing CDK pivot'!A:C,3,FALSE)</f>
        <v>#N/A</v>
      </c>
      <c r="P244" s="25">
        <f>IFERROR(VLOOKUP(H244,'Billing CDK pivot (overages)'!A:F,6,FALSE),0)</f>
        <v>0</v>
      </c>
      <c r="Q244" s="25" t="e">
        <f t="shared" si="13"/>
        <v>#N/A</v>
      </c>
      <c r="R244" s="26" t="e">
        <f t="shared" si="14"/>
        <v>#N/A</v>
      </c>
      <c r="S244" s="48" t="e">
        <f t="shared" si="15"/>
        <v>#N/A</v>
      </c>
      <c r="T244" s="6" t="s">
        <v>417</v>
      </c>
      <c r="U244" s="6" t="s">
        <v>293</v>
      </c>
      <c r="V244" s="6" t="s">
        <v>39</v>
      </c>
      <c r="W244" s="6" t="s">
        <v>39</v>
      </c>
      <c r="X244" s="6" t="s">
        <v>38</v>
      </c>
      <c r="Y244" s="6" t="s">
        <v>69</v>
      </c>
      <c r="Z244" s="6" t="s">
        <v>39</v>
      </c>
    </row>
    <row r="245" spans="1:26" hidden="1" x14ac:dyDescent="0.35">
      <c r="A245" s="6" t="s">
        <v>600</v>
      </c>
      <c r="B245" s="6">
        <v>177879</v>
      </c>
      <c r="C245" s="6" t="s">
        <v>289</v>
      </c>
      <c r="D245" s="47">
        <v>4088.49</v>
      </c>
      <c r="E245" s="25">
        <v>0</v>
      </c>
      <c r="F245" s="25">
        <v>1284.1500000000001</v>
      </c>
      <c r="G245" s="26">
        <f t="shared" si="12"/>
        <v>1284.1500000000001</v>
      </c>
      <c r="H245" s="6">
        <v>76243828</v>
      </c>
      <c r="I245" s="6" t="s">
        <v>601</v>
      </c>
      <c r="J245" s="6"/>
      <c r="K245" s="6"/>
      <c r="L245" s="6"/>
      <c r="M245" s="6" t="e">
        <f>VLOOKUP(H245,'Billing CDK pivot (by package)'!A:D,3,FALSE)</f>
        <v>#N/A</v>
      </c>
      <c r="N245" s="6" t="e">
        <f>VLOOKUP(H245,'Billing CDK pivot (by package)'!A:D,4,FALSE)</f>
        <v>#N/A</v>
      </c>
      <c r="O245" s="25" t="e">
        <f>VLOOKUP(H245,'Billing CDK pivot'!A:C,3,FALSE)</f>
        <v>#N/A</v>
      </c>
      <c r="P245" s="25">
        <f>IFERROR(VLOOKUP(H245,'Billing CDK pivot (overages)'!A:F,6,FALSE),0)</f>
        <v>0</v>
      </c>
      <c r="Q245" s="25" t="e">
        <f t="shared" si="13"/>
        <v>#N/A</v>
      </c>
      <c r="R245" s="26" t="e">
        <f t="shared" si="14"/>
        <v>#N/A</v>
      </c>
      <c r="S245" s="48" t="e">
        <f t="shared" si="15"/>
        <v>#N/A</v>
      </c>
      <c r="T245" s="6" t="s">
        <v>417</v>
      </c>
      <c r="U245" s="6" t="s">
        <v>293</v>
      </c>
      <c r="V245" s="6" t="s">
        <v>39</v>
      </c>
      <c r="W245" s="6" t="s">
        <v>39</v>
      </c>
      <c r="X245" s="6" t="s">
        <v>53</v>
      </c>
      <c r="Y245" s="6" t="s">
        <v>69</v>
      </c>
      <c r="Z245" s="6" t="s">
        <v>39</v>
      </c>
    </row>
    <row r="246" spans="1:26" hidden="1" x14ac:dyDescent="0.35">
      <c r="A246" s="6" t="s">
        <v>602</v>
      </c>
      <c r="B246" s="6">
        <v>186481</v>
      </c>
      <c r="C246" s="6">
        <v>76213688</v>
      </c>
      <c r="D246" s="47">
        <v>8993.15</v>
      </c>
      <c r="E246" s="25">
        <v>0</v>
      </c>
      <c r="F246" s="25">
        <v>1284.1500000000001</v>
      </c>
      <c r="G246" s="26">
        <f t="shared" si="12"/>
        <v>1284.1500000000001</v>
      </c>
      <c r="H246" s="6">
        <v>76213688</v>
      </c>
      <c r="I246" s="6" t="s">
        <v>603</v>
      </c>
      <c r="J246" s="6"/>
      <c r="K246" s="6"/>
      <c r="L246" s="6"/>
      <c r="M246" s="6" t="e">
        <f>VLOOKUP(H246,'Billing CDK pivot (by package)'!A:D,3,FALSE)</f>
        <v>#N/A</v>
      </c>
      <c r="N246" s="6" t="e">
        <f>VLOOKUP(H246,'Billing CDK pivot (by package)'!A:D,4,FALSE)</f>
        <v>#N/A</v>
      </c>
      <c r="O246" s="25" t="e">
        <f>VLOOKUP(H246,'Billing CDK pivot'!A:C,3,FALSE)</f>
        <v>#N/A</v>
      </c>
      <c r="P246" s="25">
        <f>IFERROR(VLOOKUP(H246,'Billing CDK pivot (overages)'!A:F,6,FALSE),0)</f>
        <v>0</v>
      </c>
      <c r="Q246" s="25" t="e">
        <f t="shared" si="13"/>
        <v>#N/A</v>
      </c>
      <c r="R246" s="26" t="e">
        <f t="shared" si="14"/>
        <v>#N/A</v>
      </c>
      <c r="S246" s="48" t="e">
        <f t="shared" si="15"/>
        <v>#N/A</v>
      </c>
      <c r="T246" s="6" t="s">
        <v>417</v>
      </c>
      <c r="U246" s="6" t="s">
        <v>293</v>
      </c>
      <c r="V246" s="6" t="s">
        <v>39</v>
      </c>
      <c r="W246" s="6" t="s">
        <v>39</v>
      </c>
      <c r="X246" s="6" t="s">
        <v>143</v>
      </c>
      <c r="Y246" s="6" t="s">
        <v>69</v>
      </c>
      <c r="Z246" s="6" t="s">
        <v>39</v>
      </c>
    </row>
    <row r="247" spans="1:26" hidden="1" x14ac:dyDescent="0.35">
      <c r="A247" s="6" t="s">
        <v>604</v>
      </c>
      <c r="B247" s="6">
        <v>159517</v>
      </c>
      <c r="C247" s="6">
        <v>29204</v>
      </c>
      <c r="D247" s="47">
        <v>577.61</v>
      </c>
      <c r="E247" s="25">
        <v>0</v>
      </c>
      <c r="F247" s="25">
        <v>1284.1500000000001</v>
      </c>
      <c r="G247" s="26">
        <f t="shared" si="12"/>
        <v>1284.1500000000001</v>
      </c>
      <c r="H247" s="6">
        <v>76241289</v>
      </c>
      <c r="I247" s="6" t="s">
        <v>605</v>
      </c>
      <c r="J247" s="6"/>
      <c r="K247" s="6"/>
      <c r="L247" s="6"/>
      <c r="M247" s="6" t="e">
        <f>VLOOKUP(H247,'Billing CDK pivot (by package)'!A:D,3,FALSE)</f>
        <v>#N/A</v>
      </c>
      <c r="N247" s="6" t="e">
        <f>VLOOKUP(H247,'Billing CDK pivot (by package)'!A:D,4,FALSE)</f>
        <v>#N/A</v>
      </c>
      <c r="O247" s="25" t="e">
        <f>VLOOKUP(H247,'Billing CDK pivot'!A:C,3,FALSE)</f>
        <v>#N/A</v>
      </c>
      <c r="P247" s="25">
        <f>IFERROR(VLOOKUP(H247,'Billing CDK pivot (overages)'!A:F,6,FALSE),0)</f>
        <v>0</v>
      </c>
      <c r="Q247" s="25" t="e">
        <f t="shared" si="13"/>
        <v>#N/A</v>
      </c>
      <c r="R247" s="26" t="e">
        <f t="shared" si="14"/>
        <v>#N/A</v>
      </c>
      <c r="S247" s="48" t="e">
        <f t="shared" si="15"/>
        <v>#N/A</v>
      </c>
      <c r="T247" s="6" t="s">
        <v>417</v>
      </c>
      <c r="U247" s="6" t="s">
        <v>293</v>
      </c>
      <c r="V247" s="6" t="s">
        <v>39</v>
      </c>
      <c r="W247" s="6" t="s">
        <v>39</v>
      </c>
      <c r="X247" s="6" t="s">
        <v>38</v>
      </c>
      <c r="Y247" s="6" t="s">
        <v>69</v>
      </c>
      <c r="Z247" s="6" t="s">
        <v>39</v>
      </c>
    </row>
    <row r="248" spans="1:26" hidden="1" x14ac:dyDescent="0.35">
      <c r="A248" s="6" t="s">
        <v>606</v>
      </c>
      <c r="B248" s="6">
        <v>117481</v>
      </c>
      <c r="C248" s="6">
        <v>19614</v>
      </c>
      <c r="D248" s="47">
        <v>9646.32</v>
      </c>
      <c r="E248" s="25">
        <v>0</v>
      </c>
      <c r="F248" s="25">
        <v>1284.1500000000001</v>
      </c>
      <c r="G248" s="26">
        <f t="shared" si="12"/>
        <v>1284.1500000000001</v>
      </c>
      <c r="H248" s="6">
        <v>76145456</v>
      </c>
      <c r="I248" s="6" t="s">
        <v>607</v>
      </c>
      <c r="J248" s="6"/>
      <c r="K248" s="6"/>
      <c r="L248" s="6"/>
      <c r="M248" s="6" t="e">
        <f>VLOOKUP(H248,'Billing CDK pivot (by package)'!A:D,3,FALSE)</f>
        <v>#N/A</v>
      </c>
      <c r="N248" s="6" t="e">
        <f>VLOOKUP(H248,'Billing CDK pivot (by package)'!A:D,4,FALSE)</f>
        <v>#N/A</v>
      </c>
      <c r="O248" s="25" t="e">
        <f>VLOOKUP(H248,'Billing CDK pivot'!A:C,3,FALSE)</f>
        <v>#N/A</v>
      </c>
      <c r="P248" s="25">
        <f>IFERROR(VLOOKUP(H248,'Billing CDK pivot (overages)'!A:F,6,FALSE),0)</f>
        <v>0</v>
      </c>
      <c r="Q248" s="25" t="e">
        <f t="shared" si="13"/>
        <v>#N/A</v>
      </c>
      <c r="R248" s="26" t="e">
        <f t="shared" si="14"/>
        <v>#N/A</v>
      </c>
      <c r="S248" s="48" t="e">
        <f t="shared" si="15"/>
        <v>#N/A</v>
      </c>
      <c r="T248" s="6" t="s">
        <v>417</v>
      </c>
      <c r="U248" s="6" t="s">
        <v>293</v>
      </c>
      <c r="V248" s="6" t="s">
        <v>39</v>
      </c>
      <c r="W248" s="6" t="s">
        <v>39</v>
      </c>
      <c r="X248" s="6" t="s">
        <v>143</v>
      </c>
      <c r="Y248" s="6" t="s">
        <v>69</v>
      </c>
      <c r="Z248" s="6" t="s">
        <v>39</v>
      </c>
    </row>
    <row r="249" spans="1:26" hidden="1" x14ac:dyDescent="0.35">
      <c r="A249" s="6" t="s">
        <v>608</v>
      </c>
      <c r="B249" s="6">
        <v>135209</v>
      </c>
      <c r="C249" s="6">
        <v>16847</v>
      </c>
      <c r="D249" s="47">
        <v>13678.95</v>
      </c>
      <c r="E249" s="25">
        <v>92.08</v>
      </c>
      <c r="F249" s="25">
        <v>1376.23</v>
      </c>
      <c r="G249" s="26">
        <f t="shared" si="12"/>
        <v>1284.1500000000001</v>
      </c>
      <c r="H249" s="6">
        <v>52079901</v>
      </c>
      <c r="I249" s="6" t="s">
        <v>609</v>
      </c>
      <c r="J249" s="6"/>
      <c r="K249" s="6"/>
      <c r="L249" s="6"/>
      <c r="M249" s="6" t="e">
        <f>VLOOKUP(H249,'Billing CDK pivot (by package)'!A:D,3,FALSE)</f>
        <v>#N/A</v>
      </c>
      <c r="N249" s="6" t="e">
        <f>VLOOKUP(H249,'Billing CDK pivot (by package)'!A:D,4,FALSE)</f>
        <v>#N/A</v>
      </c>
      <c r="O249" s="25" t="e">
        <f>VLOOKUP(H249,'Billing CDK pivot'!A:C,3,FALSE)</f>
        <v>#N/A</v>
      </c>
      <c r="P249" s="25">
        <f>IFERROR(VLOOKUP(H249,'Billing CDK pivot (overages)'!A:F,6,FALSE),0)</f>
        <v>0</v>
      </c>
      <c r="Q249" s="25" t="e">
        <f t="shared" si="13"/>
        <v>#N/A</v>
      </c>
      <c r="R249" s="26" t="e">
        <f t="shared" si="14"/>
        <v>#N/A</v>
      </c>
      <c r="S249" s="48" t="e">
        <f t="shared" si="15"/>
        <v>#N/A</v>
      </c>
      <c r="T249" s="6" t="s">
        <v>417</v>
      </c>
      <c r="U249" s="6" t="s">
        <v>293</v>
      </c>
      <c r="V249" s="6" t="s">
        <v>39</v>
      </c>
      <c r="W249" s="6" t="s">
        <v>39</v>
      </c>
      <c r="X249" s="6" t="s">
        <v>38</v>
      </c>
      <c r="Y249" s="6" t="s">
        <v>69</v>
      </c>
      <c r="Z249" s="6" t="s">
        <v>39</v>
      </c>
    </row>
    <row r="250" spans="1:26" hidden="1" x14ac:dyDescent="0.35">
      <c r="A250" s="6" t="s">
        <v>610</v>
      </c>
      <c r="B250" s="6">
        <v>118913</v>
      </c>
      <c r="C250" s="6">
        <v>19809</v>
      </c>
      <c r="D250" s="47">
        <v>15565.79</v>
      </c>
      <c r="E250" s="25">
        <v>239.44</v>
      </c>
      <c r="F250" s="25">
        <v>1523.59</v>
      </c>
      <c r="G250" s="26">
        <f t="shared" si="12"/>
        <v>1284.1499999999999</v>
      </c>
      <c r="H250" s="6">
        <v>76158992</v>
      </c>
      <c r="I250" s="6" t="s">
        <v>611</v>
      </c>
      <c r="J250" s="6"/>
      <c r="K250" s="6"/>
      <c r="L250" s="6"/>
      <c r="M250" s="6" t="e">
        <f>VLOOKUP(H250,'Billing CDK pivot (by package)'!A:D,3,FALSE)</f>
        <v>#N/A</v>
      </c>
      <c r="N250" s="6" t="e">
        <f>VLOOKUP(H250,'Billing CDK pivot (by package)'!A:D,4,FALSE)</f>
        <v>#N/A</v>
      </c>
      <c r="O250" s="25" t="e">
        <f>VLOOKUP(H250,'Billing CDK pivot'!A:C,3,FALSE)</f>
        <v>#N/A</v>
      </c>
      <c r="P250" s="25">
        <f>IFERROR(VLOOKUP(H250,'Billing CDK pivot (overages)'!A:F,6,FALSE),0)</f>
        <v>0</v>
      </c>
      <c r="Q250" s="25" t="e">
        <f t="shared" si="13"/>
        <v>#N/A</v>
      </c>
      <c r="R250" s="26" t="e">
        <f t="shared" si="14"/>
        <v>#N/A</v>
      </c>
      <c r="S250" s="48" t="e">
        <f t="shared" si="15"/>
        <v>#N/A</v>
      </c>
      <c r="T250" s="6" t="s">
        <v>417</v>
      </c>
      <c r="U250" s="6" t="s">
        <v>293</v>
      </c>
      <c r="V250" s="6" t="s">
        <v>39</v>
      </c>
      <c r="W250" s="6" t="s">
        <v>39</v>
      </c>
      <c r="X250" s="6" t="s">
        <v>38</v>
      </c>
      <c r="Y250" s="6" t="s">
        <v>69</v>
      </c>
      <c r="Z250" s="6" t="s">
        <v>39</v>
      </c>
    </row>
    <row r="251" spans="1:26" hidden="1" x14ac:dyDescent="0.35">
      <c r="A251" s="6" t="s">
        <v>612</v>
      </c>
      <c r="B251" s="6">
        <v>159263</v>
      </c>
      <c r="C251" s="6">
        <v>437779</v>
      </c>
      <c r="D251" s="47">
        <v>18877.78</v>
      </c>
      <c r="E251" s="25">
        <v>0</v>
      </c>
      <c r="F251" s="25">
        <v>1581.65</v>
      </c>
      <c r="G251" s="26">
        <f t="shared" si="12"/>
        <v>1581.65</v>
      </c>
      <c r="H251" s="6">
        <v>76242141</v>
      </c>
      <c r="I251" s="6" t="s">
        <v>613</v>
      </c>
      <c r="J251" s="6"/>
      <c r="K251" s="6"/>
      <c r="L251" s="6"/>
      <c r="M251" s="6" t="e">
        <f>VLOOKUP(H251,'Billing CDK pivot (by package)'!A:D,3,FALSE)</f>
        <v>#N/A</v>
      </c>
      <c r="N251" s="6" t="e">
        <f>VLOOKUP(H251,'Billing CDK pivot (by package)'!A:D,4,FALSE)</f>
        <v>#N/A</v>
      </c>
      <c r="O251" s="25" t="e">
        <f>VLOOKUP(H251,'Billing CDK pivot'!A:C,3,FALSE)</f>
        <v>#N/A</v>
      </c>
      <c r="P251" s="25">
        <f>IFERROR(VLOOKUP(H251,'Billing CDK pivot (overages)'!A:F,6,FALSE),0)</f>
        <v>0</v>
      </c>
      <c r="Q251" s="25" t="e">
        <f t="shared" si="13"/>
        <v>#N/A</v>
      </c>
      <c r="R251" s="26" t="e">
        <f t="shared" si="14"/>
        <v>#N/A</v>
      </c>
      <c r="S251" s="48" t="e">
        <f t="shared" si="15"/>
        <v>#N/A</v>
      </c>
      <c r="T251" s="6" t="s">
        <v>417</v>
      </c>
      <c r="U251" s="6" t="s">
        <v>614</v>
      </c>
      <c r="V251" s="6" t="s">
        <v>39</v>
      </c>
      <c r="W251" s="6" t="s">
        <v>39</v>
      </c>
      <c r="X251" s="6" t="s">
        <v>38</v>
      </c>
      <c r="Y251" s="6" t="s">
        <v>54</v>
      </c>
      <c r="Z251" s="6" t="s">
        <v>39</v>
      </c>
    </row>
    <row r="252" spans="1:26" hidden="1" x14ac:dyDescent="0.35">
      <c r="A252" s="6" t="s">
        <v>615</v>
      </c>
      <c r="B252" s="6">
        <v>143996</v>
      </c>
      <c r="C252" s="6">
        <v>19613</v>
      </c>
      <c r="D252" s="47">
        <v>13428.5</v>
      </c>
      <c r="E252" s="25">
        <v>0</v>
      </c>
      <c r="F252" s="25">
        <v>2563.85</v>
      </c>
      <c r="G252" s="26">
        <f t="shared" si="12"/>
        <v>2563.85</v>
      </c>
      <c r="H252" s="6">
        <v>76144665</v>
      </c>
      <c r="I252" s="6" t="s">
        <v>616</v>
      </c>
      <c r="J252" s="6"/>
      <c r="K252" s="6"/>
      <c r="L252" s="6"/>
      <c r="M252" s="6" t="e">
        <f>VLOOKUP(H252,'Billing CDK pivot (by package)'!A:D,3,FALSE)</f>
        <v>#N/A</v>
      </c>
      <c r="N252" s="6" t="e">
        <f>VLOOKUP(H252,'Billing CDK pivot (by package)'!A:D,4,FALSE)</f>
        <v>#N/A</v>
      </c>
      <c r="O252" s="25" t="e">
        <f>VLOOKUP(H252,'Billing CDK pivot'!A:C,3,FALSE)</f>
        <v>#N/A</v>
      </c>
      <c r="P252" s="25">
        <f>IFERROR(VLOOKUP(H252,'Billing CDK pivot (overages)'!A:F,6,FALSE),0)</f>
        <v>0</v>
      </c>
      <c r="Q252" s="25" t="e">
        <f t="shared" si="13"/>
        <v>#N/A</v>
      </c>
      <c r="R252" s="26" t="e">
        <f t="shared" si="14"/>
        <v>#N/A</v>
      </c>
      <c r="S252" s="48" t="e">
        <f t="shared" si="15"/>
        <v>#N/A</v>
      </c>
      <c r="T252" s="6" t="s">
        <v>417</v>
      </c>
      <c r="U252" s="6" t="s">
        <v>617</v>
      </c>
      <c r="V252" s="6" t="s">
        <v>158</v>
      </c>
      <c r="W252" s="6" t="s">
        <v>39</v>
      </c>
      <c r="X252" s="6" t="s">
        <v>50</v>
      </c>
      <c r="Y252" s="6" t="s">
        <v>378</v>
      </c>
      <c r="Z252" s="6" t="s">
        <v>255</v>
      </c>
    </row>
    <row r="253" spans="1:26" hidden="1" x14ac:dyDescent="0.35">
      <c r="A253" s="6" t="s">
        <v>618</v>
      </c>
      <c r="B253" s="6">
        <v>154247</v>
      </c>
      <c r="C253" s="6">
        <v>468</v>
      </c>
      <c r="D253" s="47">
        <v>18325.189999999999</v>
      </c>
      <c r="E253" s="25">
        <v>0</v>
      </c>
      <c r="F253" s="25">
        <v>2543.85</v>
      </c>
      <c r="G253" s="26">
        <f t="shared" si="12"/>
        <v>2543.85</v>
      </c>
      <c r="H253" s="6">
        <v>76025044</v>
      </c>
      <c r="I253" s="6" t="s">
        <v>619</v>
      </c>
      <c r="J253" s="6"/>
      <c r="K253" s="6"/>
      <c r="L253" s="6"/>
      <c r="M253" s="6" t="e">
        <f>VLOOKUP(H253,'Billing CDK pivot (by package)'!A:D,3,FALSE)</f>
        <v>#N/A</v>
      </c>
      <c r="N253" s="6" t="e">
        <f>VLOOKUP(H253,'Billing CDK pivot (by package)'!A:D,4,FALSE)</f>
        <v>#N/A</v>
      </c>
      <c r="O253" s="25" t="e">
        <f>VLOOKUP(H253,'Billing CDK pivot'!A:C,3,FALSE)</f>
        <v>#N/A</v>
      </c>
      <c r="P253" s="25">
        <f>IFERROR(VLOOKUP(H253,'Billing CDK pivot (overages)'!A:F,6,FALSE),0)</f>
        <v>0</v>
      </c>
      <c r="Q253" s="25" t="e">
        <f t="shared" si="13"/>
        <v>#N/A</v>
      </c>
      <c r="R253" s="26" t="e">
        <f t="shared" si="14"/>
        <v>#N/A</v>
      </c>
      <c r="S253" s="48" t="e">
        <f t="shared" si="15"/>
        <v>#N/A</v>
      </c>
      <c r="T253" s="6" t="s">
        <v>417</v>
      </c>
      <c r="U253" s="6" t="s">
        <v>617</v>
      </c>
      <c r="V253" s="6" t="s">
        <v>39</v>
      </c>
      <c r="W253" s="6" t="s">
        <v>39</v>
      </c>
      <c r="X253" s="6" t="s">
        <v>38</v>
      </c>
      <c r="Y253" s="6" t="s">
        <v>378</v>
      </c>
      <c r="Z253" s="6" t="s">
        <v>39</v>
      </c>
    </row>
    <row r="254" spans="1:26" hidden="1" x14ac:dyDescent="0.35">
      <c r="A254" s="6" t="s">
        <v>620</v>
      </c>
      <c r="B254" s="6">
        <v>108920</v>
      </c>
      <c r="C254" s="6">
        <v>19322</v>
      </c>
      <c r="D254" s="47">
        <v>8650.1299999999992</v>
      </c>
      <c r="E254" s="25">
        <v>0</v>
      </c>
      <c r="F254" s="25">
        <v>2543.85</v>
      </c>
      <c r="G254" s="26">
        <f t="shared" si="12"/>
        <v>2543.85</v>
      </c>
      <c r="H254" s="6">
        <v>41741101</v>
      </c>
      <c r="I254" s="6" t="s">
        <v>621</v>
      </c>
      <c r="J254" s="6"/>
      <c r="K254" s="6"/>
      <c r="L254" s="6"/>
      <c r="M254" s="6" t="e">
        <f>VLOOKUP(H254,'Billing CDK pivot (by package)'!A:D,3,FALSE)</f>
        <v>#N/A</v>
      </c>
      <c r="N254" s="6" t="e">
        <f>VLOOKUP(H254,'Billing CDK pivot (by package)'!A:D,4,FALSE)</f>
        <v>#N/A</v>
      </c>
      <c r="O254" s="25" t="e">
        <f>VLOOKUP(H254,'Billing CDK pivot'!A:C,3,FALSE)</f>
        <v>#N/A</v>
      </c>
      <c r="P254" s="25">
        <f>IFERROR(VLOOKUP(H254,'Billing CDK pivot (overages)'!A:F,6,FALSE),0)</f>
        <v>0</v>
      </c>
      <c r="Q254" s="25" t="e">
        <f t="shared" si="13"/>
        <v>#N/A</v>
      </c>
      <c r="R254" s="26" t="e">
        <f t="shared" si="14"/>
        <v>#N/A</v>
      </c>
      <c r="S254" s="48" t="e">
        <f t="shared" si="15"/>
        <v>#N/A</v>
      </c>
      <c r="T254" s="6" t="s">
        <v>417</v>
      </c>
      <c r="U254" s="6" t="s">
        <v>617</v>
      </c>
      <c r="V254" s="6" t="s">
        <v>39</v>
      </c>
      <c r="W254" s="6" t="s">
        <v>39</v>
      </c>
      <c r="X254" s="6" t="s">
        <v>38</v>
      </c>
      <c r="Y254" s="6" t="s">
        <v>378</v>
      </c>
      <c r="Z254" s="6" t="s">
        <v>39</v>
      </c>
    </row>
    <row r="255" spans="1:26" hidden="1" x14ac:dyDescent="0.35">
      <c r="A255" s="6" t="s">
        <v>622</v>
      </c>
      <c r="B255" s="6">
        <v>84240</v>
      </c>
      <c r="C255" s="6" t="s">
        <v>289</v>
      </c>
      <c r="D255" s="47">
        <v>21950.17</v>
      </c>
      <c r="E255" s="25">
        <v>0</v>
      </c>
      <c r="F255" s="25">
        <v>2543.85</v>
      </c>
      <c r="G255" s="26">
        <f t="shared" si="12"/>
        <v>2543.85</v>
      </c>
      <c r="H255" s="6">
        <v>76211659</v>
      </c>
      <c r="I255" s="6" t="s">
        <v>623</v>
      </c>
      <c r="J255" s="6"/>
      <c r="K255" s="6"/>
      <c r="L255" s="6"/>
      <c r="M255" s="6" t="e">
        <f>VLOOKUP(H255,'Billing CDK pivot (by package)'!A:D,3,FALSE)</f>
        <v>#N/A</v>
      </c>
      <c r="N255" s="6" t="e">
        <f>VLOOKUP(H255,'Billing CDK pivot (by package)'!A:D,4,FALSE)</f>
        <v>#N/A</v>
      </c>
      <c r="O255" s="25" t="e">
        <f>VLOOKUP(H255,'Billing CDK pivot'!A:C,3,FALSE)</f>
        <v>#N/A</v>
      </c>
      <c r="P255" s="25">
        <f>IFERROR(VLOOKUP(H255,'Billing CDK pivot (overages)'!A:F,6,FALSE),0)</f>
        <v>0</v>
      </c>
      <c r="Q255" s="25" t="e">
        <f t="shared" si="13"/>
        <v>#N/A</v>
      </c>
      <c r="R255" s="26" t="e">
        <f t="shared" si="14"/>
        <v>#N/A</v>
      </c>
      <c r="S255" s="48" t="e">
        <f t="shared" si="15"/>
        <v>#N/A</v>
      </c>
      <c r="T255" s="6" t="s">
        <v>417</v>
      </c>
      <c r="U255" s="6" t="s">
        <v>617</v>
      </c>
      <c r="V255" s="6" t="s">
        <v>39</v>
      </c>
      <c r="W255" s="6" t="s">
        <v>39</v>
      </c>
      <c r="X255" s="6" t="s">
        <v>38</v>
      </c>
      <c r="Y255" s="6" t="s">
        <v>378</v>
      </c>
      <c r="Z255" s="6" t="s">
        <v>39</v>
      </c>
    </row>
    <row r="256" spans="1:26" hidden="1" x14ac:dyDescent="0.35">
      <c r="A256" s="6" t="s">
        <v>624</v>
      </c>
      <c r="B256" s="6">
        <v>153404</v>
      </c>
      <c r="C256" s="6">
        <v>27739</v>
      </c>
      <c r="D256" s="47">
        <v>2190.42</v>
      </c>
      <c r="E256" s="25">
        <v>0</v>
      </c>
      <c r="F256" s="25">
        <v>2543.85</v>
      </c>
      <c r="G256" s="26">
        <f t="shared" si="12"/>
        <v>2543.85</v>
      </c>
      <c r="H256" s="6">
        <v>76232569</v>
      </c>
      <c r="I256" s="6" t="s">
        <v>625</v>
      </c>
      <c r="J256" s="6"/>
      <c r="K256" s="6"/>
      <c r="L256" s="6"/>
      <c r="M256" s="6" t="e">
        <f>VLOOKUP(H256,'Billing CDK pivot (by package)'!A:D,3,FALSE)</f>
        <v>#N/A</v>
      </c>
      <c r="N256" s="6" t="e">
        <f>VLOOKUP(H256,'Billing CDK pivot (by package)'!A:D,4,FALSE)</f>
        <v>#N/A</v>
      </c>
      <c r="O256" s="25" t="e">
        <f>VLOOKUP(H256,'Billing CDK pivot'!A:C,3,FALSE)</f>
        <v>#N/A</v>
      </c>
      <c r="P256" s="25">
        <f>IFERROR(VLOOKUP(H256,'Billing CDK pivot (overages)'!A:F,6,FALSE),0)</f>
        <v>0</v>
      </c>
      <c r="Q256" s="25" t="e">
        <f t="shared" si="13"/>
        <v>#N/A</v>
      </c>
      <c r="R256" s="26" t="e">
        <f t="shared" si="14"/>
        <v>#N/A</v>
      </c>
      <c r="S256" s="48" t="e">
        <f t="shared" si="15"/>
        <v>#N/A</v>
      </c>
      <c r="T256" s="6" t="s">
        <v>417</v>
      </c>
      <c r="U256" s="6" t="s">
        <v>617</v>
      </c>
      <c r="V256" s="6" t="s">
        <v>39</v>
      </c>
      <c r="W256" s="6" t="s">
        <v>39</v>
      </c>
      <c r="X256" s="6" t="s">
        <v>50</v>
      </c>
      <c r="Y256" s="6" t="s">
        <v>378</v>
      </c>
      <c r="Z256" s="6" t="s">
        <v>39</v>
      </c>
    </row>
    <row r="257" spans="1:26" hidden="1" x14ac:dyDescent="0.35">
      <c r="A257" s="6" t="s">
        <v>626</v>
      </c>
      <c r="B257" s="6">
        <v>56404</v>
      </c>
      <c r="C257" s="6">
        <v>15949</v>
      </c>
      <c r="D257" s="47">
        <v>1336.39</v>
      </c>
      <c r="E257" s="25">
        <v>0</v>
      </c>
      <c r="F257" s="25">
        <v>1029</v>
      </c>
      <c r="G257" s="26">
        <f t="shared" si="12"/>
        <v>1029</v>
      </c>
      <c r="H257" s="6">
        <v>76066626</v>
      </c>
      <c r="I257" s="6" t="s">
        <v>627</v>
      </c>
      <c r="J257" s="6"/>
      <c r="K257" s="6"/>
      <c r="L257" s="6"/>
      <c r="M257" s="6" t="e">
        <f>VLOOKUP(H257,'Billing CDK pivot (by package)'!A:D,3,FALSE)</f>
        <v>#N/A</v>
      </c>
      <c r="N257" s="6" t="e">
        <f>VLOOKUP(H257,'Billing CDK pivot (by package)'!A:D,4,FALSE)</f>
        <v>#N/A</v>
      </c>
      <c r="O257" s="25" t="e">
        <f>VLOOKUP(H257,'Billing CDK pivot'!A:C,3,FALSE)</f>
        <v>#N/A</v>
      </c>
      <c r="P257" s="25">
        <f>IFERROR(VLOOKUP(H257,'Billing CDK pivot (overages)'!A:F,6,FALSE),0)</f>
        <v>0</v>
      </c>
      <c r="Q257" s="25" t="e">
        <f t="shared" si="13"/>
        <v>#N/A</v>
      </c>
      <c r="R257" s="26" t="e">
        <f t="shared" si="14"/>
        <v>#N/A</v>
      </c>
      <c r="S257" s="48" t="e">
        <f t="shared" si="15"/>
        <v>#N/A</v>
      </c>
      <c r="T257" s="6" t="s">
        <v>417</v>
      </c>
      <c r="U257" s="6" t="s">
        <v>306</v>
      </c>
      <c r="V257" s="6" t="s">
        <v>628</v>
      </c>
      <c r="W257" s="6" t="s">
        <v>39</v>
      </c>
      <c r="X257" s="6" t="s">
        <v>50</v>
      </c>
      <c r="Y257" s="6" t="s">
        <v>108</v>
      </c>
      <c r="Z257" s="6" t="s">
        <v>39</v>
      </c>
    </row>
    <row r="258" spans="1:26" hidden="1" x14ac:dyDescent="0.35">
      <c r="A258" s="6" t="s">
        <v>629</v>
      </c>
      <c r="B258" s="6">
        <v>90311</v>
      </c>
      <c r="C258" s="6">
        <v>18246</v>
      </c>
      <c r="D258" s="47">
        <v>5375.75</v>
      </c>
      <c r="E258" s="25">
        <v>33.82</v>
      </c>
      <c r="F258" s="25">
        <v>542.97</v>
      </c>
      <c r="G258" s="26">
        <f t="shared" si="12"/>
        <v>509.15000000000003</v>
      </c>
      <c r="H258" s="6">
        <v>91080015</v>
      </c>
      <c r="I258" s="6" t="s">
        <v>630</v>
      </c>
      <c r="J258" s="6"/>
      <c r="K258" s="6"/>
      <c r="L258" s="6"/>
      <c r="M258" s="6" t="e">
        <f>VLOOKUP(H258,'Billing CDK pivot (by package)'!A:D,3,FALSE)</f>
        <v>#N/A</v>
      </c>
      <c r="N258" s="6" t="e">
        <f>VLOOKUP(H258,'Billing CDK pivot (by package)'!A:D,4,FALSE)</f>
        <v>#N/A</v>
      </c>
      <c r="O258" s="25" t="e">
        <f>VLOOKUP(H258,'Billing CDK pivot'!A:C,3,FALSE)</f>
        <v>#N/A</v>
      </c>
      <c r="P258" s="25">
        <f>IFERROR(VLOOKUP(H258,'Billing CDK pivot (overages)'!A:F,6,FALSE),0)</f>
        <v>0</v>
      </c>
      <c r="Q258" s="25" t="e">
        <f t="shared" si="13"/>
        <v>#N/A</v>
      </c>
      <c r="R258" s="26" t="e">
        <f t="shared" si="14"/>
        <v>#N/A</v>
      </c>
      <c r="S258" s="48" t="e">
        <f t="shared" si="15"/>
        <v>#N/A</v>
      </c>
      <c r="T258" s="6" t="s">
        <v>417</v>
      </c>
      <c r="U258" s="6" t="s">
        <v>155</v>
      </c>
      <c r="V258" s="6" t="s">
        <v>39</v>
      </c>
      <c r="W258" s="6" t="s">
        <v>39</v>
      </c>
      <c r="X258" s="6" t="s">
        <v>38</v>
      </c>
      <c r="Y258" s="6" t="s">
        <v>39</v>
      </c>
      <c r="Z258" s="6" t="s">
        <v>39</v>
      </c>
    </row>
    <row r="259" spans="1:26" hidden="1" x14ac:dyDescent="0.35">
      <c r="A259" s="6" t="s">
        <v>631</v>
      </c>
      <c r="B259" s="6">
        <v>154308</v>
      </c>
      <c r="C259" s="6">
        <v>10632</v>
      </c>
      <c r="D259" s="47">
        <v>8722.3799999999992</v>
      </c>
      <c r="E259" s="25">
        <v>0</v>
      </c>
      <c r="F259" s="25">
        <v>1274.1500000000001</v>
      </c>
      <c r="G259" s="26">
        <f t="shared" ref="G259:G322" si="16">+F259-E259</f>
        <v>1274.1500000000001</v>
      </c>
      <c r="H259" s="6">
        <v>76233858</v>
      </c>
      <c r="I259" s="6" t="s">
        <v>632</v>
      </c>
      <c r="J259" s="6"/>
      <c r="K259" s="6"/>
      <c r="L259" s="6"/>
      <c r="M259" s="6" t="e">
        <f>VLOOKUP(H259,'Billing CDK pivot (by package)'!A:D,3,FALSE)</f>
        <v>#N/A</v>
      </c>
      <c r="N259" s="6" t="e">
        <f>VLOOKUP(H259,'Billing CDK pivot (by package)'!A:D,4,FALSE)</f>
        <v>#N/A</v>
      </c>
      <c r="O259" s="25" t="e">
        <f>VLOOKUP(H259,'Billing CDK pivot'!A:C,3,FALSE)</f>
        <v>#N/A</v>
      </c>
      <c r="P259" s="25">
        <f>IFERROR(VLOOKUP(H259,'Billing CDK pivot (overages)'!A:F,6,FALSE),0)</f>
        <v>0</v>
      </c>
      <c r="Q259" s="25" t="e">
        <f t="shared" ref="Q259:Q322" si="17">+O259+P259</f>
        <v>#N/A</v>
      </c>
      <c r="R259" s="26" t="e">
        <f t="shared" ref="R259:R322" si="18">+O259-G259</f>
        <v>#N/A</v>
      </c>
      <c r="S259" s="48" t="e">
        <f t="shared" ref="S259:S322" si="19">+R259/O259</f>
        <v>#N/A</v>
      </c>
      <c r="T259" s="6" t="s">
        <v>417</v>
      </c>
      <c r="U259" s="6" t="s">
        <v>293</v>
      </c>
      <c r="V259" s="6" t="s">
        <v>39</v>
      </c>
      <c r="W259" s="6" t="s">
        <v>39</v>
      </c>
      <c r="X259" s="6" t="s">
        <v>38</v>
      </c>
      <c r="Y259" s="6" t="s">
        <v>39</v>
      </c>
      <c r="Z259" s="6" t="s">
        <v>39</v>
      </c>
    </row>
    <row r="260" spans="1:26" hidden="1" x14ac:dyDescent="0.35">
      <c r="A260" s="6" t="s">
        <v>633</v>
      </c>
      <c r="B260" s="6">
        <v>135471</v>
      </c>
      <c r="C260" s="6">
        <v>20693</v>
      </c>
      <c r="D260" s="47">
        <v>7757.61</v>
      </c>
      <c r="E260" s="25">
        <v>0</v>
      </c>
      <c r="F260" s="25">
        <v>1274.1500000000001</v>
      </c>
      <c r="G260" s="26">
        <f t="shared" si="16"/>
        <v>1274.1500000000001</v>
      </c>
      <c r="H260" s="6">
        <v>76037927</v>
      </c>
      <c r="I260" s="6" t="s">
        <v>634</v>
      </c>
      <c r="J260" s="6"/>
      <c r="K260" s="6"/>
      <c r="L260" s="6"/>
      <c r="M260" s="6" t="e">
        <f>VLOOKUP(H260,'Billing CDK pivot (by package)'!A:D,3,FALSE)</f>
        <v>#N/A</v>
      </c>
      <c r="N260" s="6" t="e">
        <f>VLOOKUP(H260,'Billing CDK pivot (by package)'!A:D,4,FALSE)</f>
        <v>#N/A</v>
      </c>
      <c r="O260" s="25" t="e">
        <f>VLOOKUP(H260,'Billing CDK pivot'!A:C,3,FALSE)</f>
        <v>#N/A</v>
      </c>
      <c r="P260" s="25">
        <f>IFERROR(VLOOKUP(H260,'Billing CDK pivot (overages)'!A:F,6,FALSE),0)</f>
        <v>0</v>
      </c>
      <c r="Q260" s="25" t="e">
        <f t="shared" si="17"/>
        <v>#N/A</v>
      </c>
      <c r="R260" s="26" t="e">
        <f t="shared" si="18"/>
        <v>#N/A</v>
      </c>
      <c r="S260" s="48" t="e">
        <f t="shared" si="19"/>
        <v>#N/A</v>
      </c>
      <c r="T260" s="6" t="s">
        <v>417</v>
      </c>
      <c r="U260" s="6" t="s">
        <v>293</v>
      </c>
      <c r="V260" s="6" t="s">
        <v>39</v>
      </c>
      <c r="W260" s="6" t="s">
        <v>39</v>
      </c>
      <c r="X260" s="6" t="s">
        <v>38</v>
      </c>
      <c r="Y260" s="6" t="s">
        <v>39</v>
      </c>
      <c r="Z260" s="6" t="s">
        <v>39</v>
      </c>
    </row>
    <row r="261" spans="1:26" hidden="1" x14ac:dyDescent="0.35">
      <c r="A261" s="6" t="s">
        <v>635</v>
      </c>
      <c r="B261" s="6">
        <v>96547</v>
      </c>
      <c r="C261" s="6">
        <v>7862</v>
      </c>
      <c r="D261" s="47">
        <v>2965.1</v>
      </c>
      <c r="E261" s="25">
        <v>0</v>
      </c>
      <c r="F261" s="25">
        <v>1571.65</v>
      </c>
      <c r="G261" s="26">
        <f t="shared" si="16"/>
        <v>1571.65</v>
      </c>
      <c r="H261" s="6">
        <v>76030502</v>
      </c>
      <c r="I261" s="6" t="s">
        <v>636</v>
      </c>
      <c r="J261" s="6"/>
      <c r="K261" s="6"/>
      <c r="L261" s="6"/>
      <c r="M261" s="6" t="e">
        <f>VLOOKUP(H261,'Billing CDK pivot (by package)'!A:D,3,FALSE)</f>
        <v>#N/A</v>
      </c>
      <c r="N261" s="6" t="e">
        <f>VLOOKUP(H261,'Billing CDK pivot (by package)'!A:D,4,FALSE)</f>
        <v>#N/A</v>
      </c>
      <c r="O261" s="25" t="e">
        <f>VLOOKUP(H261,'Billing CDK pivot'!A:C,3,FALSE)</f>
        <v>#N/A</v>
      </c>
      <c r="P261" s="25">
        <f>IFERROR(VLOOKUP(H261,'Billing CDK pivot (overages)'!A:F,6,FALSE),0)</f>
        <v>0</v>
      </c>
      <c r="Q261" s="25" t="e">
        <f t="shared" si="17"/>
        <v>#N/A</v>
      </c>
      <c r="R261" s="26" t="e">
        <f t="shared" si="18"/>
        <v>#N/A</v>
      </c>
      <c r="S261" s="48" t="e">
        <f t="shared" si="19"/>
        <v>#N/A</v>
      </c>
      <c r="T261" s="6" t="s">
        <v>417</v>
      </c>
      <c r="U261" s="6" t="s">
        <v>614</v>
      </c>
      <c r="V261" s="6" t="s">
        <v>39</v>
      </c>
      <c r="W261" s="6" t="s">
        <v>39</v>
      </c>
      <c r="X261" s="6" t="s">
        <v>44</v>
      </c>
      <c r="Y261" s="6" t="s">
        <v>39</v>
      </c>
      <c r="Z261" s="6" t="s">
        <v>39</v>
      </c>
    </row>
    <row r="262" spans="1:26" hidden="1" x14ac:dyDescent="0.35">
      <c r="A262" s="6" t="s">
        <v>637</v>
      </c>
      <c r="B262" s="6">
        <v>62658</v>
      </c>
      <c r="C262" s="6">
        <v>16613</v>
      </c>
      <c r="D262" s="47">
        <v>1890.85</v>
      </c>
      <c r="E262" s="25">
        <v>0</v>
      </c>
      <c r="F262" s="25">
        <v>254.15</v>
      </c>
      <c r="G262" s="26">
        <f t="shared" si="16"/>
        <v>254.15</v>
      </c>
      <c r="H262" s="6">
        <v>76029030</v>
      </c>
      <c r="I262" s="6" t="s">
        <v>638</v>
      </c>
      <c r="J262" s="6"/>
      <c r="K262" s="6"/>
      <c r="L262" s="6"/>
      <c r="M262" s="6" t="e">
        <f>VLOOKUP(H262,'Billing CDK pivot (by package)'!A:D,3,FALSE)</f>
        <v>#N/A</v>
      </c>
      <c r="N262" s="6" t="e">
        <f>VLOOKUP(H262,'Billing CDK pivot (by package)'!A:D,4,FALSE)</f>
        <v>#N/A</v>
      </c>
      <c r="O262" s="25" t="e">
        <f>VLOOKUP(H262,'Billing CDK pivot'!A:C,3,FALSE)</f>
        <v>#N/A</v>
      </c>
      <c r="P262" s="25">
        <f>IFERROR(VLOOKUP(H262,'Billing CDK pivot (overages)'!A:F,6,FALSE),0)</f>
        <v>0</v>
      </c>
      <c r="Q262" s="25" t="e">
        <f t="shared" si="17"/>
        <v>#N/A</v>
      </c>
      <c r="R262" s="26" t="e">
        <f t="shared" si="18"/>
        <v>#N/A</v>
      </c>
      <c r="S262" s="48" t="e">
        <f t="shared" si="19"/>
        <v>#N/A</v>
      </c>
      <c r="T262" s="6" t="s">
        <v>417</v>
      </c>
      <c r="U262" s="6" t="s">
        <v>471</v>
      </c>
      <c r="V262" s="6" t="s">
        <v>39</v>
      </c>
      <c r="W262" s="6" t="s">
        <v>39</v>
      </c>
      <c r="X262" s="6" t="s">
        <v>143</v>
      </c>
      <c r="Y262" s="6" t="s">
        <v>39</v>
      </c>
      <c r="Z262" s="6" t="s">
        <v>39</v>
      </c>
    </row>
    <row r="263" spans="1:26" hidden="1" x14ac:dyDescent="0.35">
      <c r="A263" s="6" t="s">
        <v>639</v>
      </c>
      <c r="B263" s="6">
        <v>142302</v>
      </c>
      <c r="C263" s="6">
        <v>11013</v>
      </c>
      <c r="D263" s="47">
        <v>8.99</v>
      </c>
      <c r="E263" s="25">
        <v>0</v>
      </c>
      <c r="F263" s="25">
        <v>254.15</v>
      </c>
      <c r="G263" s="26">
        <f t="shared" si="16"/>
        <v>254.15</v>
      </c>
      <c r="H263" s="6">
        <v>76210975</v>
      </c>
      <c r="I263" s="6" t="s">
        <v>640</v>
      </c>
      <c r="J263" s="6"/>
      <c r="K263" s="6"/>
      <c r="L263" s="6"/>
      <c r="M263" s="6" t="e">
        <f>VLOOKUP(H263,'Billing CDK pivot (by package)'!A:D,3,FALSE)</f>
        <v>#N/A</v>
      </c>
      <c r="N263" s="6" t="e">
        <f>VLOOKUP(H263,'Billing CDK pivot (by package)'!A:D,4,FALSE)</f>
        <v>#N/A</v>
      </c>
      <c r="O263" s="25" t="e">
        <f>VLOOKUP(H263,'Billing CDK pivot'!A:C,3,FALSE)</f>
        <v>#N/A</v>
      </c>
      <c r="P263" s="25">
        <f>IFERROR(VLOOKUP(H263,'Billing CDK pivot (overages)'!A:F,6,FALSE),0)</f>
        <v>0</v>
      </c>
      <c r="Q263" s="25" t="e">
        <f t="shared" si="17"/>
        <v>#N/A</v>
      </c>
      <c r="R263" s="26" t="e">
        <f t="shared" si="18"/>
        <v>#N/A</v>
      </c>
      <c r="S263" s="48" t="e">
        <f t="shared" si="19"/>
        <v>#N/A</v>
      </c>
      <c r="T263" s="6" t="s">
        <v>417</v>
      </c>
      <c r="U263" s="6" t="s">
        <v>471</v>
      </c>
      <c r="V263" s="6" t="s">
        <v>39</v>
      </c>
      <c r="W263" s="6" t="s">
        <v>39</v>
      </c>
      <c r="X263" s="6" t="s">
        <v>38</v>
      </c>
      <c r="Y263" s="6" t="s">
        <v>39</v>
      </c>
      <c r="Z263" s="6" t="s">
        <v>39</v>
      </c>
    </row>
    <row r="264" spans="1:26" hidden="1" x14ac:dyDescent="0.35">
      <c r="A264" s="6" t="s">
        <v>641</v>
      </c>
      <c r="B264" s="6">
        <v>159539</v>
      </c>
      <c r="C264" s="6">
        <v>29582</v>
      </c>
      <c r="D264" s="47">
        <v>3026.4</v>
      </c>
      <c r="E264" s="25">
        <v>0</v>
      </c>
      <c r="F264" s="25">
        <v>424.15</v>
      </c>
      <c r="G264" s="26">
        <f t="shared" si="16"/>
        <v>424.15</v>
      </c>
      <c r="H264" s="6">
        <v>76243652</v>
      </c>
      <c r="I264" s="6" t="s">
        <v>642</v>
      </c>
      <c r="J264" s="6"/>
      <c r="K264" s="6"/>
      <c r="L264" s="6"/>
      <c r="M264" s="6" t="e">
        <f>VLOOKUP(H264,'Billing CDK pivot (by package)'!A:D,3,FALSE)</f>
        <v>#N/A</v>
      </c>
      <c r="N264" s="6" t="e">
        <f>VLOOKUP(H264,'Billing CDK pivot (by package)'!A:D,4,FALSE)</f>
        <v>#N/A</v>
      </c>
      <c r="O264" s="25" t="e">
        <f>VLOOKUP(H264,'Billing CDK pivot'!A:C,3,FALSE)</f>
        <v>#N/A</v>
      </c>
      <c r="P264" s="25">
        <f>IFERROR(VLOOKUP(H264,'Billing CDK pivot (overages)'!A:F,6,FALSE),0)</f>
        <v>0</v>
      </c>
      <c r="Q264" s="25" t="e">
        <f t="shared" si="17"/>
        <v>#N/A</v>
      </c>
      <c r="R264" s="26" t="e">
        <f t="shared" si="18"/>
        <v>#N/A</v>
      </c>
      <c r="S264" s="48" t="e">
        <f t="shared" si="19"/>
        <v>#N/A</v>
      </c>
      <c r="T264" s="6" t="s">
        <v>417</v>
      </c>
      <c r="U264" s="6" t="s">
        <v>142</v>
      </c>
      <c r="V264" s="6" t="s">
        <v>39</v>
      </c>
      <c r="W264" s="6" t="s">
        <v>39</v>
      </c>
      <c r="X264" s="6" t="s">
        <v>38</v>
      </c>
      <c r="Y264" s="6" t="s">
        <v>39</v>
      </c>
      <c r="Z264" s="6" t="s">
        <v>39</v>
      </c>
    </row>
    <row r="265" spans="1:26" hidden="1" x14ac:dyDescent="0.35">
      <c r="A265" s="6" t="s">
        <v>643</v>
      </c>
      <c r="B265" s="6">
        <v>61931</v>
      </c>
      <c r="C265" s="6">
        <v>16192</v>
      </c>
      <c r="D265" s="47">
        <v>2437.1999999999998</v>
      </c>
      <c r="E265" s="25">
        <v>0</v>
      </c>
      <c r="F265" s="25">
        <v>424.15</v>
      </c>
      <c r="G265" s="26">
        <f t="shared" si="16"/>
        <v>424.15</v>
      </c>
      <c r="H265" s="6">
        <v>71046613</v>
      </c>
      <c r="I265" s="6" t="s">
        <v>644</v>
      </c>
      <c r="J265" s="6"/>
      <c r="K265" s="6"/>
      <c r="L265" s="6"/>
      <c r="M265" s="6" t="e">
        <f>VLOOKUP(H265,'Billing CDK pivot (by package)'!A:D,3,FALSE)</f>
        <v>#N/A</v>
      </c>
      <c r="N265" s="6" t="e">
        <f>VLOOKUP(H265,'Billing CDK pivot (by package)'!A:D,4,FALSE)</f>
        <v>#N/A</v>
      </c>
      <c r="O265" s="25" t="e">
        <f>VLOOKUP(H265,'Billing CDK pivot'!A:C,3,FALSE)</f>
        <v>#N/A</v>
      </c>
      <c r="P265" s="25">
        <f>IFERROR(VLOOKUP(H265,'Billing CDK pivot (overages)'!A:F,6,FALSE),0)</f>
        <v>0</v>
      </c>
      <c r="Q265" s="25" t="e">
        <f t="shared" si="17"/>
        <v>#N/A</v>
      </c>
      <c r="R265" s="26" t="e">
        <f t="shared" si="18"/>
        <v>#N/A</v>
      </c>
      <c r="S265" s="48" t="e">
        <f t="shared" si="19"/>
        <v>#N/A</v>
      </c>
      <c r="T265" s="6" t="s">
        <v>417</v>
      </c>
      <c r="U265" s="6" t="s">
        <v>142</v>
      </c>
      <c r="V265" s="6" t="s">
        <v>39</v>
      </c>
      <c r="W265" s="6" t="s">
        <v>39</v>
      </c>
      <c r="X265" s="6" t="s">
        <v>38</v>
      </c>
      <c r="Y265" s="6" t="s">
        <v>39</v>
      </c>
      <c r="Z265" s="6" t="s">
        <v>39</v>
      </c>
    </row>
    <row r="266" spans="1:26" hidden="1" x14ac:dyDescent="0.35">
      <c r="A266" s="6" t="s">
        <v>645</v>
      </c>
      <c r="B266" s="6">
        <v>144287</v>
      </c>
      <c r="C266" s="6">
        <v>24709</v>
      </c>
      <c r="D266" s="47">
        <v>746.64</v>
      </c>
      <c r="E266" s="25">
        <v>0</v>
      </c>
      <c r="F266" s="25">
        <v>509.15</v>
      </c>
      <c r="G266" s="26">
        <f t="shared" si="16"/>
        <v>509.15</v>
      </c>
      <c r="H266" s="6">
        <v>76179715</v>
      </c>
      <c r="I266" s="6" t="s">
        <v>646</v>
      </c>
      <c r="J266" s="6"/>
      <c r="K266" s="6"/>
      <c r="L266" s="6"/>
      <c r="M266" s="6" t="e">
        <f>VLOOKUP(H266,'Billing CDK pivot (by package)'!A:D,3,FALSE)</f>
        <v>#N/A</v>
      </c>
      <c r="N266" s="6" t="e">
        <f>VLOOKUP(H266,'Billing CDK pivot (by package)'!A:D,4,FALSE)</f>
        <v>#N/A</v>
      </c>
      <c r="O266" s="25" t="e">
        <f>VLOOKUP(H266,'Billing CDK pivot'!A:C,3,FALSE)</f>
        <v>#N/A</v>
      </c>
      <c r="P266" s="25">
        <f>IFERROR(VLOOKUP(H266,'Billing CDK pivot (overages)'!A:F,6,FALSE),0)</f>
        <v>0</v>
      </c>
      <c r="Q266" s="25" t="e">
        <f t="shared" si="17"/>
        <v>#N/A</v>
      </c>
      <c r="R266" s="26" t="e">
        <f t="shared" si="18"/>
        <v>#N/A</v>
      </c>
      <c r="S266" s="48" t="e">
        <f t="shared" si="19"/>
        <v>#N/A</v>
      </c>
      <c r="T266" s="6" t="s">
        <v>417</v>
      </c>
      <c r="U266" s="6" t="s">
        <v>155</v>
      </c>
      <c r="V266" s="6" t="s">
        <v>39</v>
      </c>
      <c r="W266" s="6" t="s">
        <v>39</v>
      </c>
      <c r="X266" s="6" t="s">
        <v>387</v>
      </c>
      <c r="Y266" s="6" t="s">
        <v>39</v>
      </c>
      <c r="Z266" s="6" t="s">
        <v>39</v>
      </c>
    </row>
    <row r="267" spans="1:26" hidden="1" x14ac:dyDescent="0.35">
      <c r="A267" s="6" t="s">
        <v>647</v>
      </c>
      <c r="B267" s="6">
        <v>139216</v>
      </c>
      <c r="C267" s="6">
        <v>5118</v>
      </c>
      <c r="D267" s="47">
        <v>491.1</v>
      </c>
      <c r="E267" s="25">
        <v>0</v>
      </c>
      <c r="F267" s="25">
        <v>509.15</v>
      </c>
      <c r="G267" s="26">
        <f t="shared" si="16"/>
        <v>509.15</v>
      </c>
      <c r="H267" s="6">
        <v>76236371</v>
      </c>
      <c r="I267" s="6" t="s">
        <v>648</v>
      </c>
      <c r="J267" s="6"/>
      <c r="K267" s="6"/>
      <c r="L267" s="6"/>
      <c r="M267" s="6" t="e">
        <f>VLOOKUP(H267,'Billing CDK pivot (by package)'!A:D,3,FALSE)</f>
        <v>#N/A</v>
      </c>
      <c r="N267" s="6" t="e">
        <f>VLOOKUP(H267,'Billing CDK pivot (by package)'!A:D,4,FALSE)</f>
        <v>#N/A</v>
      </c>
      <c r="O267" s="25" t="e">
        <f>VLOOKUP(H267,'Billing CDK pivot'!A:C,3,FALSE)</f>
        <v>#N/A</v>
      </c>
      <c r="P267" s="25">
        <f>IFERROR(VLOOKUP(H267,'Billing CDK pivot (overages)'!A:F,6,FALSE),0)</f>
        <v>0</v>
      </c>
      <c r="Q267" s="25" t="e">
        <f t="shared" si="17"/>
        <v>#N/A</v>
      </c>
      <c r="R267" s="26" t="e">
        <f t="shared" si="18"/>
        <v>#N/A</v>
      </c>
      <c r="S267" s="48" t="e">
        <f t="shared" si="19"/>
        <v>#N/A</v>
      </c>
      <c r="T267" s="6" t="s">
        <v>417</v>
      </c>
      <c r="U267" s="6" t="s">
        <v>155</v>
      </c>
      <c r="V267" s="6" t="s">
        <v>39</v>
      </c>
      <c r="W267" s="6" t="s">
        <v>39</v>
      </c>
      <c r="X267" s="6" t="s">
        <v>255</v>
      </c>
      <c r="Y267" s="6" t="s">
        <v>39</v>
      </c>
      <c r="Z267" s="6" t="s">
        <v>39</v>
      </c>
    </row>
    <row r="268" spans="1:26" hidden="1" x14ac:dyDescent="0.35">
      <c r="A268" s="6" t="s">
        <v>649</v>
      </c>
      <c r="B268" s="6">
        <v>58252</v>
      </c>
      <c r="C268" s="6">
        <v>16165</v>
      </c>
      <c r="D268" s="47">
        <v>14578.12</v>
      </c>
      <c r="E268" s="25">
        <v>0</v>
      </c>
      <c r="F268" s="25">
        <v>1581.65</v>
      </c>
      <c r="G268" s="26">
        <f t="shared" si="16"/>
        <v>1581.65</v>
      </c>
      <c r="H268" s="6" t="s">
        <v>650</v>
      </c>
      <c r="I268" s="6" t="s">
        <v>651</v>
      </c>
      <c r="J268" s="6"/>
      <c r="K268" s="6"/>
      <c r="L268" s="6"/>
      <c r="M268" s="6" t="str">
        <f>VLOOKUP(H268,'Billing CDK pivot (by package)'!A:D,3,FALSE)</f>
        <v>4570062</v>
      </c>
      <c r="N268" s="6" t="str">
        <f>VLOOKUP(H268,'Billing CDK pivot (by package)'!A:D,4,FALSE)</f>
        <v>CARWARS PREMIUM SALES</v>
      </c>
      <c r="O268" s="25" t="e">
        <f>VLOOKUP(H268,'Billing CDK pivot'!A:C,3,FALSE)</f>
        <v>#N/A</v>
      </c>
      <c r="P268" s="25">
        <f>IFERROR(VLOOKUP(H268,'Billing CDK pivot (overages)'!A:F,6,FALSE),0)</f>
        <v>0</v>
      </c>
      <c r="Q268" s="25" t="e">
        <f t="shared" si="17"/>
        <v>#N/A</v>
      </c>
      <c r="R268" s="26" t="e">
        <f t="shared" si="18"/>
        <v>#N/A</v>
      </c>
      <c r="S268" s="48" t="e">
        <f t="shared" si="19"/>
        <v>#N/A</v>
      </c>
      <c r="T268" s="6" t="s">
        <v>417</v>
      </c>
      <c r="U268" s="6" t="s">
        <v>614</v>
      </c>
      <c r="V268" s="6" t="s">
        <v>158</v>
      </c>
      <c r="W268" s="6" t="s">
        <v>39</v>
      </c>
      <c r="X268" s="6" t="s">
        <v>38</v>
      </c>
      <c r="Y268" s="6" t="s">
        <v>54</v>
      </c>
      <c r="Z268" s="6" t="s">
        <v>39</v>
      </c>
    </row>
    <row r="269" spans="1:26" hidden="1" x14ac:dyDescent="0.35">
      <c r="A269" s="6" t="s">
        <v>652</v>
      </c>
      <c r="B269" s="6">
        <v>58248</v>
      </c>
      <c r="C269" s="6">
        <v>16163</v>
      </c>
      <c r="D269" s="47">
        <v>30481.3</v>
      </c>
      <c r="E269" s="25">
        <v>0</v>
      </c>
      <c r="F269" s="25">
        <v>1581.65</v>
      </c>
      <c r="G269" s="26">
        <f t="shared" si="16"/>
        <v>1581.65</v>
      </c>
      <c r="H269" s="6">
        <v>71063916</v>
      </c>
      <c r="I269" s="6" t="s">
        <v>653</v>
      </c>
      <c r="J269" s="6"/>
      <c r="K269" s="6"/>
      <c r="L269" s="6"/>
      <c r="M269" s="6" t="e">
        <f>VLOOKUP(H269,'Billing CDK pivot (by package)'!A:D,3,FALSE)</f>
        <v>#N/A</v>
      </c>
      <c r="N269" s="6" t="e">
        <f>VLOOKUP(H269,'Billing CDK pivot (by package)'!A:D,4,FALSE)</f>
        <v>#N/A</v>
      </c>
      <c r="O269" s="25" t="e">
        <f>VLOOKUP(H269,'Billing CDK pivot'!A:C,3,FALSE)</f>
        <v>#N/A</v>
      </c>
      <c r="P269" s="25">
        <f>IFERROR(VLOOKUP(H269,'Billing CDK pivot (overages)'!A:F,6,FALSE),0)</f>
        <v>0</v>
      </c>
      <c r="Q269" s="25" t="e">
        <f t="shared" si="17"/>
        <v>#N/A</v>
      </c>
      <c r="R269" s="26" t="e">
        <f t="shared" si="18"/>
        <v>#N/A</v>
      </c>
      <c r="S269" s="48" t="e">
        <f t="shared" si="19"/>
        <v>#N/A</v>
      </c>
      <c r="T269" s="6" t="s">
        <v>417</v>
      </c>
      <c r="U269" s="6" t="s">
        <v>614</v>
      </c>
      <c r="V269" s="6" t="s">
        <v>158</v>
      </c>
      <c r="W269" s="6" t="s">
        <v>39</v>
      </c>
      <c r="X269" s="6" t="s">
        <v>38</v>
      </c>
      <c r="Y269" s="6" t="s">
        <v>54</v>
      </c>
      <c r="Z269" s="6" t="s">
        <v>39</v>
      </c>
    </row>
    <row r="270" spans="1:26" hidden="1" x14ac:dyDescent="0.35">
      <c r="A270" s="6" t="s">
        <v>654</v>
      </c>
      <c r="B270" s="6">
        <v>56401</v>
      </c>
      <c r="C270" s="6">
        <v>15949</v>
      </c>
      <c r="D270" s="47">
        <v>223.34</v>
      </c>
      <c r="E270" s="25">
        <v>0</v>
      </c>
      <c r="F270" s="25">
        <v>1019</v>
      </c>
      <c r="G270" s="26">
        <f t="shared" si="16"/>
        <v>1019</v>
      </c>
      <c r="H270" s="6">
        <v>76066633</v>
      </c>
      <c r="I270" s="6" t="s">
        <v>655</v>
      </c>
      <c r="J270" s="6"/>
      <c r="K270" s="6"/>
      <c r="L270" s="6"/>
      <c r="M270" s="6" t="e">
        <f>VLOOKUP(H270,'Billing CDK pivot (by package)'!A:D,3,FALSE)</f>
        <v>#N/A</v>
      </c>
      <c r="N270" s="6" t="e">
        <f>VLOOKUP(H270,'Billing CDK pivot (by package)'!A:D,4,FALSE)</f>
        <v>#N/A</v>
      </c>
      <c r="O270" s="25" t="e">
        <f>VLOOKUP(H270,'Billing CDK pivot'!A:C,3,FALSE)</f>
        <v>#N/A</v>
      </c>
      <c r="P270" s="25">
        <f>IFERROR(VLOOKUP(H270,'Billing CDK pivot (overages)'!A:F,6,FALSE),0)</f>
        <v>0</v>
      </c>
      <c r="Q270" s="25" t="e">
        <f t="shared" si="17"/>
        <v>#N/A</v>
      </c>
      <c r="R270" s="26" t="e">
        <f t="shared" si="18"/>
        <v>#N/A</v>
      </c>
      <c r="S270" s="48" t="e">
        <f t="shared" si="19"/>
        <v>#N/A</v>
      </c>
      <c r="T270" s="6" t="s">
        <v>417</v>
      </c>
      <c r="U270" s="6" t="s">
        <v>306</v>
      </c>
      <c r="V270" s="6" t="s">
        <v>628</v>
      </c>
      <c r="W270" s="6" t="s">
        <v>39</v>
      </c>
      <c r="X270" s="6" t="s">
        <v>50</v>
      </c>
      <c r="Y270" s="6" t="s">
        <v>39</v>
      </c>
      <c r="Z270" s="6" t="s">
        <v>39</v>
      </c>
    </row>
    <row r="271" spans="1:26" hidden="1" x14ac:dyDescent="0.35">
      <c r="A271" s="6" t="s">
        <v>656</v>
      </c>
      <c r="B271" s="6">
        <v>57772</v>
      </c>
      <c r="C271" s="6">
        <v>15949</v>
      </c>
      <c r="D271" s="47">
        <v>2029.32</v>
      </c>
      <c r="E271" s="25">
        <v>0</v>
      </c>
      <c r="F271" s="25">
        <v>1019</v>
      </c>
      <c r="G271" s="26">
        <f t="shared" si="16"/>
        <v>1019</v>
      </c>
      <c r="H271" s="6">
        <v>76066622</v>
      </c>
      <c r="I271" s="6" t="s">
        <v>657</v>
      </c>
      <c r="J271" s="6"/>
      <c r="K271" s="6"/>
      <c r="L271" s="6"/>
      <c r="M271" s="6" t="e">
        <f>VLOOKUP(H271,'Billing CDK pivot (by package)'!A:D,3,FALSE)</f>
        <v>#N/A</v>
      </c>
      <c r="N271" s="6" t="e">
        <f>VLOOKUP(H271,'Billing CDK pivot (by package)'!A:D,4,FALSE)</f>
        <v>#N/A</v>
      </c>
      <c r="O271" s="25" t="e">
        <f>VLOOKUP(H271,'Billing CDK pivot'!A:C,3,FALSE)</f>
        <v>#N/A</v>
      </c>
      <c r="P271" s="25">
        <f>IFERROR(VLOOKUP(H271,'Billing CDK pivot (overages)'!A:F,6,FALSE),0)</f>
        <v>0</v>
      </c>
      <c r="Q271" s="25" t="e">
        <f t="shared" si="17"/>
        <v>#N/A</v>
      </c>
      <c r="R271" s="26" t="e">
        <f t="shared" si="18"/>
        <v>#N/A</v>
      </c>
      <c r="S271" s="48" t="e">
        <f t="shared" si="19"/>
        <v>#N/A</v>
      </c>
      <c r="T271" s="6" t="s">
        <v>417</v>
      </c>
      <c r="U271" s="6" t="s">
        <v>306</v>
      </c>
      <c r="V271" s="6" t="s">
        <v>628</v>
      </c>
      <c r="W271" s="6" t="s">
        <v>39</v>
      </c>
      <c r="X271" s="6" t="s">
        <v>50</v>
      </c>
      <c r="Y271" s="6" t="s">
        <v>39</v>
      </c>
      <c r="Z271" s="6" t="s">
        <v>39</v>
      </c>
    </row>
    <row r="272" spans="1:26" hidden="1" x14ac:dyDescent="0.35">
      <c r="A272" s="6" t="s">
        <v>658</v>
      </c>
      <c r="B272" s="6">
        <v>57771</v>
      </c>
      <c r="C272" s="6">
        <v>15949</v>
      </c>
      <c r="D272" s="47">
        <v>158.02000000000001</v>
      </c>
      <c r="E272" s="25">
        <v>0</v>
      </c>
      <c r="F272" s="25">
        <v>1019</v>
      </c>
      <c r="G272" s="26">
        <f t="shared" si="16"/>
        <v>1019</v>
      </c>
      <c r="H272" s="6">
        <v>76066638</v>
      </c>
      <c r="I272" s="6" t="s">
        <v>659</v>
      </c>
      <c r="J272" s="6"/>
      <c r="K272" s="6"/>
      <c r="L272" s="6"/>
      <c r="M272" s="6" t="e">
        <f>VLOOKUP(H272,'Billing CDK pivot (by package)'!A:D,3,FALSE)</f>
        <v>#N/A</v>
      </c>
      <c r="N272" s="6" t="e">
        <f>VLOOKUP(H272,'Billing CDK pivot (by package)'!A:D,4,FALSE)</f>
        <v>#N/A</v>
      </c>
      <c r="O272" s="25" t="e">
        <f>VLOOKUP(H272,'Billing CDK pivot'!A:C,3,FALSE)</f>
        <v>#N/A</v>
      </c>
      <c r="P272" s="25">
        <f>IFERROR(VLOOKUP(H272,'Billing CDK pivot (overages)'!A:F,6,FALSE),0)</f>
        <v>0</v>
      </c>
      <c r="Q272" s="25" t="e">
        <f t="shared" si="17"/>
        <v>#N/A</v>
      </c>
      <c r="R272" s="26" t="e">
        <f t="shared" si="18"/>
        <v>#N/A</v>
      </c>
      <c r="S272" s="48" t="e">
        <f t="shared" si="19"/>
        <v>#N/A</v>
      </c>
      <c r="T272" s="6" t="s">
        <v>417</v>
      </c>
      <c r="U272" s="6" t="s">
        <v>306</v>
      </c>
      <c r="V272" s="6" t="s">
        <v>628</v>
      </c>
      <c r="W272" s="6" t="s">
        <v>39</v>
      </c>
      <c r="X272" s="6" t="s">
        <v>38</v>
      </c>
      <c r="Y272" s="6" t="s">
        <v>39</v>
      </c>
      <c r="Z272" s="6" t="s">
        <v>39</v>
      </c>
    </row>
    <row r="273" spans="1:26" hidden="1" x14ac:dyDescent="0.35">
      <c r="A273" s="6" t="s">
        <v>660</v>
      </c>
      <c r="B273" s="6">
        <v>135211</v>
      </c>
      <c r="C273" s="6">
        <v>15308</v>
      </c>
      <c r="D273" s="47">
        <v>9606.64</v>
      </c>
      <c r="E273" s="25">
        <v>414.6</v>
      </c>
      <c r="F273" s="25">
        <v>933.75</v>
      </c>
      <c r="G273" s="26">
        <f t="shared" si="16"/>
        <v>519.15</v>
      </c>
      <c r="H273" s="6">
        <v>76031247</v>
      </c>
      <c r="I273" s="6" t="s">
        <v>661</v>
      </c>
      <c r="J273" s="6"/>
      <c r="K273" s="6"/>
      <c r="L273" s="6"/>
      <c r="M273" s="6" t="e">
        <f>VLOOKUP(H273,'Billing CDK pivot (by package)'!A:D,3,FALSE)</f>
        <v>#N/A</v>
      </c>
      <c r="N273" s="6" t="e">
        <f>VLOOKUP(H273,'Billing CDK pivot (by package)'!A:D,4,FALSE)</f>
        <v>#N/A</v>
      </c>
      <c r="O273" s="25" t="e">
        <f>VLOOKUP(H273,'Billing CDK pivot'!A:C,3,FALSE)</f>
        <v>#N/A</v>
      </c>
      <c r="P273" s="25">
        <f>IFERROR(VLOOKUP(H273,'Billing CDK pivot (overages)'!A:F,6,FALSE),0)</f>
        <v>0</v>
      </c>
      <c r="Q273" s="25" t="e">
        <f t="shared" si="17"/>
        <v>#N/A</v>
      </c>
      <c r="R273" s="26" t="e">
        <f t="shared" si="18"/>
        <v>#N/A</v>
      </c>
      <c r="S273" s="48" t="e">
        <f t="shared" si="19"/>
        <v>#N/A</v>
      </c>
      <c r="T273" s="6" t="s">
        <v>417</v>
      </c>
      <c r="U273" s="6" t="s">
        <v>158</v>
      </c>
      <c r="V273" s="6" t="s">
        <v>155</v>
      </c>
      <c r="W273" s="6" t="s">
        <v>39</v>
      </c>
      <c r="X273" s="6" t="s">
        <v>38</v>
      </c>
      <c r="Y273" s="6" t="s">
        <v>207</v>
      </c>
      <c r="Z273" s="6" t="s">
        <v>39</v>
      </c>
    </row>
    <row r="274" spans="1:26" hidden="1" x14ac:dyDescent="0.35">
      <c r="A274" s="6" t="s">
        <v>662</v>
      </c>
      <c r="B274" s="6">
        <v>187858</v>
      </c>
      <c r="C274" s="6">
        <v>30006</v>
      </c>
      <c r="D274" s="47">
        <v>3126.83</v>
      </c>
      <c r="E274" s="25">
        <v>0</v>
      </c>
      <c r="F274" s="25">
        <v>509.15</v>
      </c>
      <c r="G274" s="26">
        <f t="shared" si="16"/>
        <v>509.15</v>
      </c>
      <c r="H274" s="6">
        <v>76246712</v>
      </c>
      <c r="I274" s="6" t="s">
        <v>663</v>
      </c>
      <c r="J274" s="6"/>
      <c r="K274" s="6"/>
      <c r="L274" s="6"/>
      <c r="M274" s="6" t="e">
        <f>VLOOKUP(H274,'Billing CDK pivot (by package)'!A:D,3,FALSE)</f>
        <v>#N/A</v>
      </c>
      <c r="N274" s="6" t="e">
        <f>VLOOKUP(H274,'Billing CDK pivot (by package)'!A:D,4,FALSE)</f>
        <v>#N/A</v>
      </c>
      <c r="O274" s="25" t="e">
        <f>VLOOKUP(H274,'Billing CDK pivot'!A:C,3,FALSE)</f>
        <v>#N/A</v>
      </c>
      <c r="P274" s="25">
        <f>IFERROR(VLOOKUP(H274,'Billing CDK pivot (overages)'!A:F,6,FALSE),0)</f>
        <v>0</v>
      </c>
      <c r="Q274" s="25" t="e">
        <f t="shared" si="17"/>
        <v>#N/A</v>
      </c>
      <c r="R274" s="26" t="e">
        <f t="shared" si="18"/>
        <v>#N/A</v>
      </c>
      <c r="S274" s="48" t="e">
        <f t="shared" si="19"/>
        <v>#N/A</v>
      </c>
      <c r="T274" s="6" t="s">
        <v>417</v>
      </c>
      <c r="U274" s="6" t="s">
        <v>628</v>
      </c>
      <c r="V274" s="6" t="s">
        <v>155</v>
      </c>
      <c r="W274" s="6" t="s">
        <v>39</v>
      </c>
      <c r="X274" s="6" t="s">
        <v>38</v>
      </c>
      <c r="Y274" s="6" t="s">
        <v>39</v>
      </c>
      <c r="Z274" s="6" t="s">
        <v>39</v>
      </c>
    </row>
    <row r="275" spans="1:26" hidden="1" x14ac:dyDescent="0.35">
      <c r="A275" s="6" t="s">
        <v>664</v>
      </c>
      <c r="B275" s="6">
        <v>132558</v>
      </c>
      <c r="C275" s="6">
        <v>16879</v>
      </c>
      <c r="D275" s="47">
        <v>8645.8700000000008</v>
      </c>
      <c r="E275" s="25">
        <v>328.13</v>
      </c>
      <c r="F275" s="25">
        <v>1058.93</v>
      </c>
      <c r="G275" s="26">
        <f t="shared" si="16"/>
        <v>730.80000000000007</v>
      </c>
      <c r="H275" s="6">
        <v>76193819</v>
      </c>
      <c r="I275" s="6" t="s">
        <v>665</v>
      </c>
      <c r="J275" s="6"/>
      <c r="K275" s="6"/>
      <c r="L275" s="6"/>
      <c r="M275" s="6" t="e">
        <f>VLOOKUP(H275,'Billing CDK pivot (by package)'!A:D,3,FALSE)</f>
        <v>#N/A</v>
      </c>
      <c r="N275" s="6" t="e">
        <f>VLOOKUP(H275,'Billing CDK pivot (by package)'!A:D,4,FALSE)</f>
        <v>#N/A</v>
      </c>
      <c r="O275" s="25" t="e">
        <f>VLOOKUP(H275,'Billing CDK pivot'!A:C,3,FALSE)</f>
        <v>#N/A</v>
      </c>
      <c r="P275" s="25">
        <f>IFERROR(VLOOKUP(H275,'Billing CDK pivot (overages)'!A:F,6,FALSE),0)</f>
        <v>0</v>
      </c>
      <c r="Q275" s="25" t="e">
        <f t="shared" si="17"/>
        <v>#N/A</v>
      </c>
      <c r="R275" s="26" t="e">
        <f t="shared" si="18"/>
        <v>#N/A</v>
      </c>
      <c r="S275" s="48" t="e">
        <f t="shared" si="19"/>
        <v>#N/A</v>
      </c>
      <c r="T275" s="6" t="s">
        <v>417</v>
      </c>
      <c r="U275" s="6" t="s">
        <v>666</v>
      </c>
      <c r="V275" s="6" t="s">
        <v>158</v>
      </c>
      <c r="W275" s="6" t="s">
        <v>155</v>
      </c>
      <c r="X275" s="6" t="s">
        <v>38</v>
      </c>
      <c r="Y275" s="6" t="s">
        <v>207</v>
      </c>
      <c r="Z275" s="6" t="s">
        <v>55</v>
      </c>
    </row>
    <row r="276" spans="1:26" hidden="1" x14ac:dyDescent="0.35">
      <c r="A276" s="6" t="s">
        <v>667</v>
      </c>
      <c r="B276" s="6">
        <v>156703</v>
      </c>
      <c r="C276" s="6">
        <v>29023</v>
      </c>
      <c r="D276" s="47">
        <v>4685.8599999999997</v>
      </c>
      <c r="E276" s="25">
        <v>81.819999999999993</v>
      </c>
      <c r="F276" s="25">
        <v>345.97</v>
      </c>
      <c r="G276" s="26">
        <f t="shared" si="16"/>
        <v>264.15000000000003</v>
      </c>
      <c r="H276" s="6">
        <v>76240063</v>
      </c>
      <c r="I276" s="6" t="s">
        <v>668</v>
      </c>
      <c r="J276" s="6"/>
      <c r="K276" s="6"/>
      <c r="L276" s="6"/>
      <c r="M276" s="6" t="e">
        <f>VLOOKUP(H276,'Billing CDK pivot (by package)'!A:D,3,FALSE)</f>
        <v>#N/A</v>
      </c>
      <c r="N276" s="6" t="e">
        <f>VLOOKUP(H276,'Billing CDK pivot (by package)'!A:D,4,FALSE)</f>
        <v>#N/A</v>
      </c>
      <c r="O276" s="25" t="e">
        <f>VLOOKUP(H276,'Billing CDK pivot'!A:C,3,FALSE)</f>
        <v>#N/A</v>
      </c>
      <c r="P276" s="25">
        <f>IFERROR(VLOOKUP(H276,'Billing CDK pivot (overages)'!A:F,6,FALSE),0)</f>
        <v>0</v>
      </c>
      <c r="Q276" s="25" t="e">
        <f t="shared" si="17"/>
        <v>#N/A</v>
      </c>
      <c r="R276" s="26" t="e">
        <f t="shared" si="18"/>
        <v>#N/A</v>
      </c>
      <c r="S276" s="48" t="e">
        <f t="shared" si="19"/>
        <v>#N/A</v>
      </c>
      <c r="T276" s="6" t="s">
        <v>417</v>
      </c>
      <c r="U276" s="6" t="s">
        <v>198</v>
      </c>
      <c r="V276" s="6" t="s">
        <v>39</v>
      </c>
      <c r="W276" s="6" t="s">
        <v>39</v>
      </c>
      <c r="X276" s="6" t="s">
        <v>38</v>
      </c>
      <c r="Y276" s="6" t="s">
        <v>58</v>
      </c>
      <c r="Z276" s="6" t="s">
        <v>39</v>
      </c>
    </row>
    <row r="277" spans="1:26" hidden="1" x14ac:dyDescent="0.35">
      <c r="A277" s="6" t="s">
        <v>669</v>
      </c>
      <c r="B277" s="6">
        <v>158051</v>
      </c>
      <c r="C277" s="6">
        <v>29006</v>
      </c>
      <c r="D277" s="47">
        <v>5113.42</v>
      </c>
      <c r="E277" s="25">
        <v>111.33</v>
      </c>
      <c r="F277" s="25">
        <v>375.48</v>
      </c>
      <c r="G277" s="26">
        <f t="shared" si="16"/>
        <v>264.15000000000003</v>
      </c>
      <c r="H277" s="6">
        <v>76238610</v>
      </c>
      <c r="I277" s="6" t="s">
        <v>670</v>
      </c>
      <c r="J277" s="6"/>
      <c r="K277" s="6"/>
      <c r="L277" s="6"/>
      <c r="M277" s="6" t="e">
        <f>VLOOKUP(H277,'Billing CDK pivot (by package)'!A:D,3,FALSE)</f>
        <v>#N/A</v>
      </c>
      <c r="N277" s="6" t="e">
        <f>VLOOKUP(H277,'Billing CDK pivot (by package)'!A:D,4,FALSE)</f>
        <v>#N/A</v>
      </c>
      <c r="O277" s="25" t="e">
        <f>VLOOKUP(H277,'Billing CDK pivot'!A:C,3,FALSE)</f>
        <v>#N/A</v>
      </c>
      <c r="P277" s="25">
        <f>IFERROR(VLOOKUP(H277,'Billing CDK pivot (overages)'!A:F,6,FALSE),0)</f>
        <v>0</v>
      </c>
      <c r="Q277" s="25" t="e">
        <f t="shared" si="17"/>
        <v>#N/A</v>
      </c>
      <c r="R277" s="26" t="e">
        <f t="shared" si="18"/>
        <v>#N/A</v>
      </c>
      <c r="S277" s="48" t="e">
        <f t="shared" si="19"/>
        <v>#N/A</v>
      </c>
      <c r="T277" s="6" t="s">
        <v>417</v>
      </c>
      <c r="U277" s="6" t="s">
        <v>198</v>
      </c>
      <c r="V277" s="6" t="s">
        <v>39</v>
      </c>
      <c r="W277" s="6" t="s">
        <v>39</v>
      </c>
      <c r="X277" s="6" t="s">
        <v>143</v>
      </c>
      <c r="Y277" s="6" t="s">
        <v>58</v>
      </c>
      <c r="Z277" s="6" t="s">
        <v>39</v>
      </c>
    </row>
    <row r="278" spans="1:26" hidden="1" x14ac:dyDescent="0.35">
      <c r="A278" s="6" t="s">
        <v>671</v>
      </c>
      <c r="B278" s="6">
        <v>141461</v>
      </c>
      <c r="C278" s="6">
        <v>22159</v>
      </c>
      <c r="D278" s="47">
        <v>6171.14</v>
      </c>
      <c r="E278" s="25">
        <v>184.31</v>
      </c>
      <c r="F278" s="25">
        <v>448.46</v>
      </c>
      <c r="G278" s="26">
        <f t="shared" si="16"/>
        <v>264.14999999999998</v>
      </c>
      <c r="H278" s="6">
        <v>76213700</v>
      </c>
      <c r="I278" s="6" t="s">
        <v>672</v>
      </c>
      <c r="J278" s="6"/>
      <c r="K278" s="6"/>
      <c r="L278" s="6"/>
      <c r="M278" s="6" t="e">
        <f>VLOOKUP(H278,'Billing CDK pivot (by package)'!A:D,3,FALSE)</f>
        <v>#N/A</v>
      </c>
      <c r="N278" s="6" t="e">
        <f>VLOOKUP(H278,'Billing CDK pivot (by package)'!A:D,4,FALSE)</f>
        <v>#N/A</v>
      </c>
      <c r="O278" s="25" t="e">
        <f>VLOOKUP(H278,'Billing CDK pivot'!A:C,3,FALSE)</f>
        <v>#N/A</v>
      </c>
      <c r="P278" s="25">
        <f>IFERROR(VLOOKUP(H278,'Billing CDK pivot (overages)'!A:F,6,FALSE),0)</f>
        <v>0</v>
      </c>
      <c r="Q278" s="25" t="e">
        <f t="shared" si="17"/>
        <v>#N/A</v>
      </c>
      <c r="R278" s="26" t="e">
        <f t="shared" si="18"/>
        <v>#N/A</v>
      </c>
      <c r="S278" s="48" t="e">
        <f t="shared" si="19"/>
        <v>#N/A</v>
      </c>
      <c r="T278" s="6" t="s">
        <v>417</v>
      </c>
      <c r="U278" s="6" t="s">
        <v>198</v>
      </c>
      <c r="V278" s="6" t="s">
        <v>39</v>
      </c>
      <c r="W278" s="6" t="s">
        <v>39</v>
      </c>
      <c r="X278" s="6" t="s">
        <v>207</v>
      </c>
      <c r="Y278" s="6" t="s">
        <v>58</v>
      </c>
      <c r="Z278" s="6" t="s">
        <v>39</v>
      </c>
    </row>
    <row r="279" spans="1:26" hidden="1" x14ac:dyDescent="0.35">
      <c r="A279" s="6" t="s">
        <v>673</v>
      </c>
      <c r="B279" s="6">
        <v>74078</v>
      </c>
      <c r="C279" s="6">
        <v>5068</v>
      </c>
      <c r="D279" s="47">
        <v>4458.1899999999996</v>
      </c>
      <c r="E279" s="25">
        <v>31.62</v>
      </c>
      <c r="F279" s="25">
        <v>295.77</v>
      </c>
      <c r="G279" s="26">
        <f t="shared" si="16"/>
        <v>264.14999999999998</v>
      </c>
      <c r="H279" s="6">
        <v>76020588</v>
      </c>
      <c r="I279" s="6" t="s">
        <v>674</v>
      </c>
      <c r="J279" s="6"/>
      <c r="K279" s="6"/>
      <c r="L279" s="6"/>
      <c r="M279" s="6" t="e">
        <f>VLOOKUP(H279,'Billing CDK pivot (by package)'!A:D,3,FALSE)</f>
        <v>#N/A</v>
      </c>
      <c r="N279" s="6" t="e">
        <f>VLOOKUP(H279,'Billing CDK pivot (by package)'!A:D,4,FALSE)</f>
        <v>#N/A</v>
      </c>
      <c r="O279" s="25" t="e">
        <f>VLOOKUP(H279,'Billing CDK pivot'!A:C,3,FALSE)</f>
        <v>#N/A</v>
      </c>
      <c r="P279" s="25">
        <f>IFERROR(VLOOKUP(H279,'Billing CDK pivot (overages)'!A:F,6,FALSE),0)</f>
        <v>0</v>
      </c>
      <c r="Q279" s="25" t="e">
        <f t="shared" si="17"/>
        <v>#N/A</v>
      </c>
      <c r="R279" s="26" t="e">
        <f t="shared" si="18"/>
        <v>#N/A</v>
      </c>
      <c r="S279" s="48" t="e">
        <f t="shared" si="19"/>
        <v>#N/A</v>
      </c>
      <c r="T279" s="6" t="s">
        <v>417</v>
      </c>
      <c r="U279" s="6" t="s">
        <v>198</v>
      </c>
      <c r="V279" s="6" t="s">
        <v>39</v>
      </c>
      <c r="W279" s="6" t="s">
        <v>39</v>
      </c>
      <c r="X279" s="6" t="s">
        <v>38</v>
      </c>
      <c r="Y279" s="6" t="s">
        <v>50</v>
      </c>
      <c r="Z279" s="6" t="s">
        <v>39</v>
      </c>
    </row>
    <row r="280" spans="1:26" hidden="1" x14ac:dyDescent="0.35">
      <c r="A280" s="6" t="s">
        <v>675</v>
      </c>
      <c r="B280" s="6">
        <v>154901</v>
      </c>
      <c r="C280" s="6">
        <v>28188</v>
      </c>
      <c r="D280" s="47">
        <v>1211</v>
      </c>
      <c r="E280" s="25">
        <v>0</v>
      </c>
      <c r="F280" s="25">
        <v>264.14999999999998</v>
      </c>
      <c r="G280" s="26">
        <f t="shared" si="16"/>
        <v>264.14999999999998</v>
      </c>
      <c r="H280" s="6">
        <v>76234211</v>
      </c>
      <c r="I280" s="6" t="s">
        <v>676</v>
      </c>
      <c r="J280" s="6"/>
      <c r="K280" s="6"/>
      <c r="L280" s="6"/>
      <c r="M280" s="6" t="e">
        <f>VLOOKUP(H280,'Billing CDK pivot (by package)'!A:D,3,FALSE)</f>
        <v>#N/A</v>
      </c>
      <c r="N280" s="6" t="e">
        <f>VLOOKUP(H280,'Billing CDK pivot (by package)'!A:D,4,FALSE)</f>
        <v>#N/A</v>
      </c>
      <c r="O280" s="25" t="e">
        <f>VLOOKUP(H280,'Billing CDK pivot'!A:C,3,FALSE)</f>
        <v>#N/A</v>
      </c>
      <c r="P280" s="25">
        <f>IFERROR(VLOOKUP(H280,'Billing CDK pivot (overages)'!A:F,6,FALSE),0)</f>
        <v>0</v>
      </c>
      <c r="Q280" s="25" t="e">
        <f t="shared" si="17"/>
        <v>#N/A</v>
      </c>
      <c r="R280" s="26" t="e">
        <f t="shared" si="18"/>
        <v>#N/A</v>
      </c>
      <c r="S280" s="48" t="e">
        <f t="shared" si="19"/>
        <v>#N/A</v>
      </c>
      <c r="T280" s="6" t="s">
        <v>417</v>
      </c>
      <c r="U280" s="6" t="s">
        <v>198</v>
      </c>
      <c r="V280" s="6" t="s">
        <v>39</v>
      </c>
      <c r="W280" s="6" t="s">
        <v>39</v>
      </c>
      <c r="X280" s="6" t="s">
        <v>298</v>
      </c>
      <c r="Y280" s="6" t="s">
        <v>58</v>
      </c>
      <c r="Z280" s="6" t="s">
        <v>39</v>
      </c>
    </row>
    <row r="281" spans="1:26" hidden="1" x14ac:dyDescent="0.35">
      <c r="A281" s="6" t="s">
        <v>677</v>
      </c>
      <c r="B281" s="6">
        <v>154791</v>
      </c>
      <c r="C281" s="6">
        <v>28325</v>
      </c>
      <c r="D281" s="47">
        <v>119.95</v>
      </c>
      <c r="E281" s="25">
        <v>0</v>
      </c>
      <c r="F281" s="25">
        <v>264.14999999999998</v>
      </c>
      <c r="G281" s="26">
        <f t="shared" si="16"/>
        <v>264.14999999999998</v>
      </c>
      <c r="H281" s="6">
        <v>76235054</v>
      </c>
      <c r="I281" s="6" t="s">
        <v>678</v>
      </c>
      <c r="J281" s="6"/>
      <c r="K281" s="6"/>
      <c r="L281" s="6"/>
      <c r="M281" s="6" t="e">
        <f>VLOOKUP(H281,'Billing CDK pivot (by package)'!A:D,3,FALSE)</f>
        <v>#N/A</v>
      </c>
      <c r="N281" s="6" t="e">
        <f>VLOOKUP(H281,'Billing CDK pivot (by package)'!A:D,4,FALSE)</f>
        <v>#N/A</v>
      </c>
      <c r="O281" s="25" t="e">
        <f>VLOOKUP(H281,'Billing CDK pivot'!A:C,3,FALSE)</f>
        <v>#N/A</v>
      </c>
      <c r="P281" s="25">
        <f>IFERROR(VLOOKUP(H281,'Billing CDK pivot (overages)'!A:F,6,FALSE),0)</f>
        <v>0</v>
      </c>
      <c r="Q281" s="25" t="e">
        <f t="shared" si="17"/>
        <v>#N/A</v>
      </c>
      <c r="R281" s="26" t="e">
        <f t="shared" si="18"/>
        <v>#N/A</v>
      </c>
      <c r="S281" s="48" t="e">
        <f t="shared" si="19"/>
        <v>#N/A</v>
      </c>
      <c r="T281" s="6" t="s">
        <v>417</v>
      </c>
      <c r="U281" s="6" t="s">
        <v>198</v>
      </c>
      <c r="V281" s="6" t="s">
        <v>39</v>
      </c>
      <c r="W281" s="6" t="s">
        <v>39</v>
      </c>
      <c r="X281" s="6" t="s">
        <v>38</v>
      </c>
      <c r="Y281" s="6" t="s">
        <v>58</v>
      </c>
      <c r="Z281" s="6" t="s">
        <v>39</v>
      </c>
    </row>
    <row r="282" spans="1:26" hidden="1" x14ac:dyDescent="0.35">
      <c r="A282" s="6" t="s">
        <v>679</v>
      </c>
      <c r="B282" s="6">
        <v>158059</v>
      </c>
      <c r="C282" s="6">
        <v>29095</v>
      </c>
      <c r="D282" s="47">
        <v>326.5</v>
      </c>
      <c r="E282" s="25">
        <v>0</v>
      </c>
      <c r="F282" s="25">
        <v>264.14999999999998</v>
      </c>
      <c r="G282" s="26">
        <f t="shared" si="16"/>
        <v>264.14999999999998</v>
      </c>
      <c r="H282" s="6">
        <v>76240124</v>
      </c>
      <c r="I282" s="6" t="s">
        <v>680</v>
      </c>
      <c r="J282" s="6"/>
      <c r="K282" s="6"/>
      <c r="L282" s="6"/>
      <c r="M282" s="6" t="e">
        <f>VLOOKUP(H282,'Billing CDK pivot (by package)'!A:D,3,FALSE)</f>
        <v>#N/A</v>
      </c>
      <c r="N282" s="6" t="e">
        <f>VLOOKUP(H282,'Billing CDK pivot (by package)'!A:D,4,FALSE)</f>
        <v>#N/A</v>
      </c>
      <c r="O282" s="25" t="e">
        <f>VLOOKUP(H282,'Billing CDK pivot'!A:C,3,FALSE)</f>
        <v>#N/A</v>
      </c>
      <c r="P282" s="25">
        <f>IFERROR(VLOOKUP(H282,'Billing CDK pivot (overages)'!A:F,6,FALSE),0)</f>
        <v>0</v>
      </c>
      <c r="Q282" s="25" t="e">
        <f t="shared" si="17"/>
        <v>#N/A</v>
      </c>
      <c r="R282" s="26" t="e">
        <f t="shared" si="18"/>
        <v>#N/A</v>
      </c>
      <c r="S282" s="48" t="e">
        <f t="shared" si="19"/>
        <v>#N/A</v>
      </c>
      <c r="T282" s="6" t="s">
        <v>417</v>
      </c>
      <c r="U282" s="6" t="s">
        <v>198</v>
      </c>
      <c r="V282" s="6" t="s">
        <v>39</v>
      </c>
      <c r="W282" s="6" t="s">
        <v>39</v>
      </c>
      <c r="X282" s="6" t="s">
        <v>38</v>
      </c>
      <c r="Y282" s="6" t="s">
        <v>58</v>
      </c>
      <c r="Z282" s="6" t="s">
        <v>39</v>
      </c>
    </row>
    <row r="283" spans="1:26" hidden="1" x14ac:dyDescent="0.35">
      <c r="A283" s="6" t="s">
        <v>681</v>
      </c>
      <c r="B283" s="6">
        <v>160092</v>
      </c>
      <c r="C283" s="6">
        <v>29628</v>
      </c>
      <c r="D283" s="47">
        <v>97.64</v>
      </c>
      <c r="E283" s="25">
        <v>0</v>
      </c>
      <c r="F283" s="25">
        <v>264.14999999999998</v>
      </c>
      <c r="G283" s="26">
        <f t="shared" si="16"/>
        <v>264.14999999999998</v>
      </c>
      <c r="H283" s="6">
        <v>76241993</v>
      </c>
      <c r="I283" s="6" t="s">
        <v>682</v>
      </c>
      <c r="J283" s="6"/>
      <c r="K283" s="6"/>
      <c r="L283" s="6"/>
      <c r="M283" s="6" t="e">
        <f>VLOOKUP(H283,'Billing CDK pivot (by package)'!A:D,3,FALSE)</f>
        <v>#N/A</v>
      </c>
      <c r="N283" s="6" t="e">
        <f>VLOOKUP(H283,'Billing CDK pivot (by package)'!A:D,4,FALSE)</f>
        <v>#N/A</v>
      </c>
      <c r="O283" s="25" t="e">
        <f>VLOOKUP(H283,'Billing CDK pivot'!A:C,3,FALSE)</f>
        <v>#N/A</v>
      </c>
      <c r="P283" s="25">
        <f>IFERROR(VLOOKUP(H283,'Billing CDK pivot (overages)'!A:F,6,FALSE),0)</f>
        <v>0</v>
      </c>
      <c r="Q283" s="25" t="e">
        <f t="shared" si="17"/>
        <v>#N/A</v>
      </c>
      <c r="R283" s="26" t="e">
        <f t="shared" si="18"/>
        <v>#N/A</v>
      </c>
      <c r="S283" s="48" t="e">
        <f t="shared" si="19"/>
        <v>#N/A</v>
      </c>
      <c r="T283" s="6" t="s">
        <v>417</v>
      </c>
      <c r="U283" s="6" t="s">
        <v>198</v>
      </c>
      <c r="V283" s="6" t="s">
        <v>39</v>
      </c>
      <c r="W283" s="6" t="s">
        <v>39</v>
      </c>
      <c r="X283" s="6" t="s">
        <v>53</v>
      </c>
      <c r="Y283" s="6" t="s">
        <v>58</v>
      </c>
      <c r="Z283" s="6" t="s">
        <v>39</v>
      </c>
    </row>
    <row r="284" spans="1:26" hidden="1" x14ac:dyDescent="0.35">
      <c r="A284" s="6" t="s">
        <v>683</v>
      </c>
      <c r="B284" s="6">
        <v>160095</v>
      </c>
      <c r="C284" s="6">
        <v>29629</v>
      </c>
      <c r="D284" s="47">
        <v>25.31</v>
      </c>
      <c r="E284" s="25">
        <v>0</v>
      </c>
      <c r="F284" s="25">
        <v>264.14999999999998</v>
      </c>
      <c r="G284" s="26">
        <f t="shared" si="16"/>
        <v>264.14999999999998</v>
      </c>
      <c r="H284" s="6">
        <v>76241994</v>
      </c>
      <c r="I284" s="6" t="s">
        <v>684</v>
      </c>
      <c r="J284" s="6"/>
      <c r="K284" s="6"/>
      <c r="L284" s="6"/>
      <c r="M284" s="6" t="e">
        <f>VLOOKUP(H284,'Billing CDK pivot (by package)'!A:D,3,FALSE)</f>
        <v>#N/A</v>
      </c>
      <c r="N284" s="6" t="e">
        <f>VLOOKUP(H284,'Billing CDK pivot (by package)'!A:D,4,FALSE)</f>
        <v>#N/A</v>
      </c>
      <c r="O284" s="25" t="e">
        <f>VLOOKUP(H284,'Billing CDK pivot'!A:C,3,FALSE)</f>
        <v>#N/A</v>
      </c>
      <c r="P284" s="25">
        <f>IFERROR(VLOOKUP(H284,'Billing CDK pivot (overages)'!A:F,6,FALSE),0)</f>
        <v>0</v>
      </c>
      <c r="Q284" s="25" t="e">
        <f t="shared" si="17"/>
        <v>#N/A</v>
      </c>
      <c r="R284" s="26" t="e">
        <f t="shared" si="18"/>
        <v>#N/A</v>
      </c>
      <c r="S284" s="48" t="e">
        <f t="shared" si="19"/>
        <v>#N/A</v>
      </c>
      <c r="T284" s="6" t="s">
        <v>417</v>
      </c>
      <c r="U284" s="6" t="s">
        <v>198</v>
      </c>
      <c r="V284" s="6" t="s">
        <v>39</v>
      </c>
      <c r="W284" s="6" t="s">
        <v>39</v>
      </c>
      <c r="X284" s="6" t="s">
        <v>38</v>
      </c>
      <c r="Y284" s="6" t="s">
        <v>58</v>
      </c>
      <c r="Z284" s="6" t="s">
        <v>39</v>
      </c>
    </row>
    <row r="285" spans="1:26" hidden="1" x14ac:dyDescent="0.35">
      <c r="A285" s="6" t="s">
        <v>685</v>
      </c>
      <c r="B285" s="6">
        <v>160126</v>
      </c>
      <c r="C285" s="6">
        <v>29626</v>
      </c>
      <c r="D285" s="47">
        <v>435.58</v>
      </c>
      <c r="E285" s="25">
        <v>0</v>
      </c>
      <c r="F285" s="25">
        <v>264.14999999999998</v>
      </c>
      <c r="G285" s="26">
        <f t="shared" si="16"/>
        <v>264.14999999999998</v>
      </c>
      <c r="H285" s="6">
        <v>76241995</v>
      </c>
      <c r="I285" s="6" t="s">
        <v>686</v>
      </c>
      <c r="J285" s="6"/>
      <c r="K285" s="6"/>
      <c r="L285" s="6"/>
      <c r="M285" s="6" t="e">
        <f>VLOOKUP(H285,'Billing CDK pivot (by package)'!A:D,3,FALSE)</f>
        <v>#N/A</v>
      </c>
      <c r="N285" s="6" t="e">
        <f>VLOOKUP(H285,'Billing CDK pivot (by package)'!A:D,4,FALSE)</f>
        <v>#N/A</v>
      </c>
      <c r="O285" s="25" t="e">
        <f>VLOOKUP(H285,'Billing CDK pivot'!A:C,3,FALSE)</f>
        <v>#N/A</v>
      </c>
      <c r="P285" s="25">
        <f>IFERROR(VLOOKUP(H285,'Billing CDK pivot (overages)'!A:F,6,FALSE),0)</f>
        <v>0</v>
      </c>
      <c r="Q285" s="25" t="e">
        <f t="shared" si="17"/>
        <v>#N/A</v>
      </c>
      <c r="R285" s="26" t="e">
        <f t="shared" si="18"/>
        <v>#N/A</v>
      </c>
      <c r="S285" s="48" t="e">
        <f t="shared" si="19"/>
        <v>#N/A</v>
      </c>
      <c r="T285" s="6" t="s">
        <v>417</v>
      </c>
      <c r="U285" s="6" t="s">
        <v>198</v>
      </c>
      <c r="V285" s="6" t="s">
        <v>39</v>
      </c>
      <c r="W285" s="6" t="s">
        <v>39</v>
      </c>
      <c r="X285" s="6" t="s">
        <v>38</v>
      </c>
      <c r="Y285" s="6" t="s">
        <v>58</v>
      </c>
      <c r="Z285" s="6" t="s">
        <v>39</v>
      </c>
    </row>
    <row r="286" spans="1:26" hidden="1" x14ac:dyDescent="0.35">
      <c r="A286" s="6" t="s">
        <v>687</v>
      </c>
      <c r="B286" s="6">
        <v>119596</v>
      </c>
      <c r="C286" s="6">
        <v>19976</v>
      </c>
      <c r="D286" s="47">
        <v>507.2</v>
      </c>
      <c r="E286" s="25">
        <v>0</v>
      </c>
      <c r="F286" s="25">
        <v>849.15</v>
      </c>
      <c r="G286" s="26">
        <f t="shared" si="16"/>
        <v>849.15</v>
      </c>
      <c r="H286" s="6">
        <v>76210932</v>
      </c>
      <c r="I286" s="6" t="s">
        <v>688</v>
      </c>
      <c r="J286" s="6"/>
      <c r="K286" s="6"/>
      <c r="L286" s="6"/>
      <c r="M286" s="6" t="e">
        <f>VLOOKUP(H286,'Billing CDK pivot (by package)'!A:D,3,FALSE)</f>
        <v>#N/A</v>
      </c>
      <c r="N286" s="6" t="e">
        <f>VLOOKUP(H286,'Billing CDK pivot (by package)'!A:D,4,FALSE)</f>
        <v>#N/A</v>
      </c>
      <c r="O286" s="25" t="e">
        <f>VLOOKUP(H286,'Billing CDK pivot'!A:C,3,FALSE)</f>
        <v>#N/A</v>
      </c>
      <c r="P286" s="25">
        <f>IFERROR(VLOOKUP(H286,'Billing CDK pivot (overages)'!A:F,6,FALSE),0)</f>
        <v>0</v>
      </c>
      <c r="Q286" s="25" t="e">
        <f t="shared" si="17"/>
        <v>#N/A</v>
      </c>
      <c r="R286" s="26" t="e">
        <f t="shared" si="18"/>
        <v>#N/A</v>
      </c>
      <c r="S286" s="48" t="e">
        <f t="shared" si="19"/>
        <v>#N/A</v>
      </c>
      <c r="T286" s="6" t="s">
        <v>417</v>
      </c>
      <c r="U286" s="6" t="s">
        <v>689</v>
      </c>
      <c r="V286" s="6" t="s">
        <v>39</v>
      </c>
      <c r="W286" s="6" t="s">
        <v>39</v>
      </c>
      <c r="X286" s="6" t="s">
        <v>38</v>
      </c>
      <c r="Y286" s="6" t="s">
        <v>39</v>
      </c>
      <c r="Z286" s="6" t="s">
        <v>39</v>
      </c>
    </row>
    <row r="287" spans="1:26" hidden="1" x14ac:dyDescent="0.35">
      <c r="A287" s="6" t="s">
        <v>690</v>
      </c>
      <c r="B287" s="6">
        <v>119126</v>
      </c>
      <c r="C287" s="6">
        <v>19975</v>
      </c>
      <c r="D287" s="47">
        <v>751.96</v>
      </c>
      <c r="E287" s="25">
        <v>0</v>
      </c>
      <c r="F287" s="25">
        <v>849.15</v>
      </c>
      <c r="G287" s="26">
        <f t="shared" si="16"/>
        <v>849.15</v>
      </c>
      <c r="H287" s="6">
        <v>76214865</v>
      </c>
      <c r="I287" s="6" t="s">
        <v>691</v>
      </c>
      <c r="J287" s="6"/>
      <c r="K287" s="6"/>
      <c r="L287" s="6"/>
      <c r="M287" s="6" t="e">
        <f>VLOOKUP(H287,'Billing CDK pivot (by package)'!A:D,3,FALSE)</f>
        <v>#N/A</v>
      </c>
      <c r="N287" s="6" t="e">
        <f>VLOOKUP(H287,'Billing CDK pivot (by package)'!A:D,4,FALSE)</f>
        <v>#N/A</v>
      </c>
      <c r="O287" s="25" t="e">
        <f>VLOOKUP(H287,'Billing CDK pivot'!A:C,3,FALSE)</f>
        <v>#N/A</v>
      </c>
      <c r="P287" s="25">
        <f>IFERROR(VLOOKUP(H287,'Billing CDK pivot (overages)'!A:F,6,FALSE),0)</f>
        <v>0</v>
      </c>
      <c r="Q287" s="25" t="e">
        <f t="shared" si="17"/>
        <v>#N/A</v>
      </c>
      <c r="R287" s="26" t="e">
        <f t="shared" si="18"/>
        <v>#N/A</v>
      </c>
      <c r="S287" s="48" t="e">
        <f t="shared" si="19"/>
        <v>#N/A</v>
      </c>
      <c r="T287" s="6" t="s">
        <v>417</v>
      </c>
      <c r="U287" s="6" t="s">
        <v>689</v>
      </c>
      <c r="V287" s="6" t="s">
        <v>39</v>
      </c>
      <c r="W287" s="6" t="s">
        <v>39</v>
      </c>
      <c r="X287" s="6" t="s">
        <v>138</v>
      </c>
      <c r="Y287" s="6" t="s">
        <v>39</v>
      </c>
      <c r="Z287" s="6" t="s">
        <v>39</v>
      </c>
    </row>
    <row r="288" spans="1:26" hidden="1" x14ac:dyDescent="0.35">
      <c r="A288" s="6" t="s">
        <v>692</v>
      </c>
      <c r="B288" s="6">
        <v>156745</v>
      </c>
      <c r="C288" s="6">
        <v>3869</v>
      </c>
      <c r="D288" s="47">
        <v>3911.88</v>
      </c>
      <c r="E288" s="25">
        <v>0</v>
      </c>
      <c r="F288" s="25">
        <v>434.15</v>
      </c>
      <c r="G288" s="26">
        <f t="shared" si="16"/>
        <v>434.15</v>
      </c>
      <c r="H288" s="6">
        <v>76212374</v>
      </c>
      <c r="I288" s="6" t="s">
        <v>693</v>
      </c>
      <c r="J288" s="6"/>
      <c r="K288" s="6"/>
      <c r="L288" s="6"/>
      <c r="M288" s="6" t="e">
        <f>VLOOKUP(H288,'Billing CDK pivot (by package)'!A:D,3,FALSE)</f>
        <v>#N/A</v>
      </c>
      <c r="N288" s="6" t="e">
        <f>VLOOKUP(H288,'Billing CDK pivot (by package)'!A:D,4,FALSE)</f>
        <v>#N/A</v>
      </c>
      <c r="O288" s="25" t="e">
        <f>VLOOKUP(H288,'Billing CDK pivot'!A:C,3,FALSE)</f>
        <v>#N/A</v>
      </c>
      <c r="P288" s="25">
        <f>IFERROR(VLOOKUP(H288,'Billing CDK pivot (overages)'!A:F,6,FALSE),0)</f>
        <v>0</v>
      </c>
      <c r="Q288" s="25" t="e">
        <f t="shared" si="17"/>
        <v>#N/A</v>
      </c>
      <c r="R288" s="26" t="e">
        <f t="shared" si="18"/>
        <v>#N/A</v>
      </c>
      <c r="S288" s="48" t="e">
        <f t="shared" si="19"/>
        <v>#N/A</v>
      </c>
      <c r="T288" s="6" t="s">
        <v>417</v>
      </c>
      <c r="U288" s="6" t="s">
        <v>694</v>
      </c>
      <c r="V288" s="6" t="s">
        <v>39</v>
      </c>
      <c r="W288" s="6" t="s">
        <v>39</v>
      </c>
      <c r="X288" s="6" t="s">
        <v>38</v>
      </c>
      <c r="Y288" s="6" t="s">
        <v>53</v>
      </c>
      <c r="Z288" s="6" t="s">
        <v>39</v>
      </c>
    </row>
    <row r="289" spans="1:26" hidden="1" x14ac:dyDescent="0.35">
      <c r="A289" s="6" t="s">
        <v>695</v>
      </c>
      <c r="B289" s="6">
        <v>149415</v>
      </c>
      <c r="C289" s="6">
        <v>26928</v>
      </c>
      <c r="D289" s="47">
        <v>875.39</v>
      </c>
      <c r="E289" s="25">
        <v>0</v>
      </c>
      <c r="F289" s="25">
        <v>434.15</v>
      </c>
      <c r="G289" s="26">
        <f t="shared" si="16"/>
        <v>434.15</v>
      </c>
      <c r="H289" s="6">
        <v>76228615</v>
      </c>
      <c r="I289" s="6" t="s">
        <v>696</v>
      </c>
      <c r="J289" s="6"/>
      <c r="K289" s="6"/>
      <c r="L289" s="6"/>
      <c r="M289" s="6" t="e">
        <f>VLOOKUP(H289,'Billing CDK pivot (by package)'!A:D,3,FALSE)</f>
        <v>#N/A</v>
      </c>
      <c r="N289" s="6" t="e">
        <f>VLOOKUP(H289,'Billing CDK pivot (by package)'!A:D,4,FALSE)</f>
        <v>#N/A</v>
      </c>
      <c r="O289" s="25" t="e">
        <f>VLOOKUP(H289,'Billing CDK pivot'!A:C,3,FALSE)</f>
        <v>#N/A</v>
      </c>
      <c r="P289" s="25">
        <f>IFERROR(VLOOKUP(H289,'Billing CDK pivot (overages)'!A:F,6,FALSE),0)</f>
        <v>0</v>
      </c>
      <c r="Q289" s="25" t="e">
        <f t="shared" si="17"/>
        <v>#N/A</v>
      </c>
      <c r="R289" s="26" t="e">
        <f t="shared" si="18"/>
        <v>#N/A</v>
      </c>
      <c r="S289" s="48" t="e">
        <f t="shared" si="19"/>
        <v>#N/A</v>
      </c>
      <c r="T289" s="6" t="s">
        <v>417</v>
      </c>
      <c r="U289" s="6" t="s">
        <v>694</v>
      </c>
      <c r="V289" s="6" t="s">
        <v>39</v>
      </c>
      <c r="W289" s="6" t="s">
        <v>39</v>
      </c>
      <c r="X289" s="6" t="s">
        <v>38</v>
      </c>
      <c r="Y289" s="6" t="s">
        <v>53</v>
      </c>
      <c r="Z289" s="6" t="s">
        <v>39</v>
      </c>
    </row>
    <row r="290" spans="1:26" hidden="1" x14ac:dyDescent="0.35">
      <c r="A290" s="6" t="s">
        <v>697</v>
      </c>
      <c r="B290" s="6">
        <v>149418</v>
      </c>
      <c r="C290" s="6">
        <v>26929</v>
      </c>
      <c r="D290" s="47">
        <v>3174.74</v>
      </c>
      <c r="E290" s="25">
        <v>0</v>
      </c>
      <c r="F290" s="25">
        <v>434.15</v>
      </c>
      <c r="G290" s="26">
        <f t="shared" si="16"/>
        <v>434.15</v>
      </c>
      <c r="H290" s="6">
        <v>76228616</v>
      </c>
      <c r="I290" s="6" t="s">
        <v>698</v>
      </c>
      <c r="J290" s="6"/>
      <c r="K290" s="6"/>
      <c r="L290" s="6"/>
      <c r="M290" s="6" t="e">
        <f>VLOOKUP(H290,'Billing CDK pivot (by package)'!A:D,3,FALSE)</f>
        <v>#N/A</v>
      </c>
      <c r="N290" s="6" t="e">
        <f>VLOOKUP(H290,'Billing CDK pivot (by package)'!A:D,4,FALSE)</f>
        <v>#N/A</v>
      </c>
      <c r="O290" s="25" t="e">
        <f>VLOOKUP(H290,'Billing CDK pivot'!A:C,3,FALSE)</f>
        <v>#N/A</v>
      </c>
      <c r="P290" s="25">
        <f>IFERROR(VLOOKUP(H290,'Billing CDK pivot (overages)'!A:F,6,FALSE),0)</f>
        <v>0</v>
      </c>
      <c r="Q290" s="25" t="e">
        <f t="shared" si="17"/>
        <v>#N/A</v>
      </c>
      <c r="R290" s="26" t="e">
        <f t="shared" si="18"/>
        <v>#N/A</v>
      </c>
      <c r="S290" s="48" t="e">
        <f t="shared" si="19"/>
        <v>#N/A</v>
      </c>
      <c r="T290" s="6" t="s">
        <v>417</v>
      </c>
      <c r="U290" s="6" t="s">
        <v>694</v>
      </c>
      <c r="V290" s="6" t="s">
        <v>39</v>
      </c>
      <c r="W290" s="6" t="s">
        <v>39</v>
      </c>
      <c r="X290" s="6" t="s">
        <v>38</v>
      </c>
      <c r="Y290" s="6" t="s">
        <v>53</v>
      </c>
      <c r="Z290" s="6" t="s">
        <v>39</v>
      </c>
    </row>
    <row r="291" spans="1:26" hidden="1" x14ac:dyDescent="0.35">
      <c r="A291" s="6" t="s">
        <v>699</v>
      </c>
      <c r="B291" s="6">
        <v>149327</v>
      </c>
      <c r="C291" s="6">
        <v>26937</v>
      </c>
      <c r="D291" s="47">
        <v>627.71</v>
      </c>
      <c r="E291" s="25">
        <v>0</v>
      </c>
      <c r="F291" s="25">
        <v>434.15</v>
      </c>
      <c r="G291" s="26">
        <f t="shared" si="16"/>
        <v>434.15</v>
      </c>
      <c r="H291" s="6">
        <v>76229519</v>
      </c>
      <c r="I291" s="6" t="s">
        <v>700</v>
      </c>
      <c r="J291" s="6"/>
      <c r="K291" s="6"/>
      <c r="L291" s="6"/>
      <c r="M291" s="6" t="e">
        <f>VLOOKUP(H291,'Billing CDK pivot (by package)'!A:D,3,FALSE)</f>
        <v>#N/A</v>
      </c>
      <c r="N291" s="6" t="e">
        <f>VLOOKUP(H291,'Billing CDK pivot (by package)'!A:D,4,FALSE)</f>
        <v>#N/A</v>
      </c>
      <c r="O291" s="25" t="e">
        <f>VLOOKUP(H291,'Billing CDK pivot'!A:C,3,FALSE)</f>
        <v>#N/A</v>
      </c>
      <c r="P291" s="25">
        <f>IFERROR(VLOOKUP(H291,'Billing CDK pivot (overages)'!A:F,6,FALSE),0)</f>
        <v>0</v>
      </c>
      <c r="Q291" s="25" t="e">
        <f t="shared" si="17"/>
        <v>#N/A</v>
      </c>
      <c r="R291" s="26" t="e">
        <f t="shared" si="18"/>
        <v>#N/A</v>
      </c>
      <c r="S291" s="48" t="e">
        <f t="shared" si="19"/>
        <v>#N/A</v>
      </c>
      <c r="T291" s="6" t="s">
        <v>417</v>
      </c>
      <c r="U291" s="6" t="s">
        <v>694</v>
      </c>
      <c r="V291" s="6" t="s">
        <v>39</v>
      </c>
      <c r="W291" s="6" t="s">
        <v>39</v>
      </c>
      <c r="X291" s="6" t="s">
        <v>38</v>
      </c>
      <c r="Y291" s="6" t="s">
        <v>53</v>
      </c>
      <c r="Z291" s="6" t="s">
        <v>39</v>
      </c>
    </row>
    <row r="292" spans="1:26" hidden="1" x14ac:dyDescent="0.35">
      <c r="A292" s="6" t="s">
        <v>701</v>
      </c>
      <c r="B292" s="6">
        <v>153596</v>
      </c>
      <c r="C292" s="6">
        <v>18928</v>
      </c>
      <c r="D292" s="47">
        <v>383.62</v>
      </c>
      <c r="E292" s="25">
        <v>0</v>
      </c>
      <c r="F292" s="25">
        <v>434.15</v>
      </c>
      <c r="G292" s="26">
        <f t="shared" si="16"/>
        <v>434.15</v>
      </c>
      <c r="H292" s="6">
        <v>76211838</v>
      </c>
      <c r="I292" s="6" t="s">
        <v>702</v>
      </c>
      <c r="J292" s="6"/>
      <c r="K292" s="6"/>
      <c r="L292" s="6"/>
      <c r="M292" s="6" t="e">
        <f>VLOOKUP(H292,'Billing CDK pivot (by package)'!A:D,3,FALSE)</f>
        <v>#N/A</v>
      </c>
      <c r="N292" s="6" t="e">
        <f>VLOOKUP(H292,'Billing CDK pivot (by package)'!A:D,4,FALSE)</f>
        <v>#N/A</v>
      </c>
      <c r="O292" s="25" t="e">
        <f>VLOOKUP(H292,'Billing CDK pivot'!A:C,3,FALSE)</f>
        <v>#N/A</v>
      </c>
      <c r="P292" s="25">
        <f>IFERROR(VLOOKUP(H292,'Billing CDK pivot (overages)'!A:F,6,FALSE),0)</f>
        <v>0</v>
      </c>
      <c r="Q292" s="25" t="e">
        <f t="shared" si="17"/>
        <v>#N/A</v>
      </c>
      <c r="R292" s="26" t="e">
        <f t="shared" si="18"/>
        <v>#N/A</v>
      </c>
      <c r="S292" s="48" t="e">
        <f t="shared" si="19"/>
        <v>#N/A</v>
      </c>
      <c r="T292" s="6" t="s">
        <v>417</v>
      </c>
      <c r="U292" s="6" t="s">
        <v>694</v>
      </c>
      <c r="V292" s="6" t="s">
        <v>39</v>
      </c>
      <c r="W292" s="6" t="s">
        <v>39</v>
      </c>
      <c r="X292" s="6" t="s">
        <v>38</v>
      </c>
      <c r="Y292" s="6" t="s">
        <v>53</v>
      </c>
      <c r="Z292" s="6" t="s">
        <v>39</v>
      </c>
    </row>
    <row r="293" spans="1:26" hidden="1" x14ac:dyDescent="0.35">
      <c r="A293" s="6" t="s">
        <v>703</v>
      </c>
      <c r="B293" s="6">
        <v>153597</v>
      </c>
      <c r="C293" s="6">
        <v>19555</v>
      </c>
      <c r="D293" s="47">
        <v>380.05</v>
      </c>
      <c r="E293" s="25">
        <v>0</v>
      </c>
      <c r="F293" s="25">
        <v>434.15</v>
      </c>
      <c r="G293" s="26">
        <f t="shared" si="16"/>
        <v>434.15</v>
      </c>
      <c r="H293" s="6">
        <v>76168517</v>
      </c>
      <c r="I293" s="6" t="s">
        <v>704</v>
      </c>
      <c r="J293" s="6"/>
      <c r="K293" s="6"/>
      <c r="L293" s="6"/>
      <c r="M293" s="6" t="e">
        <f>VLOOKUP(H293,'Billing CDK pivot (by package)'!A:D,3,FALSE)</f>
        <v>#N/A</v>
      </c>
      <c r="N293" s="6" t="e">
        <f>VLOOKUP(H293,'Billing CDK pivot (by package)'!A:D,4,FALSE)</f>
        <v>#N/A</v>
      </c>
      <c r="O293" s="25" t="e">
        <f>VLOOKUP(H293,'Billing CDK pivot'!A:C,3,FALSE)</f>
        <v>#N/A</v>
      </c>
      <c r="P293" s="25">
        <f>IFERROR(VLOOKUP(H293,'Billing CDK pivot (overages)'!A:F,6,FALSE),0)</f>
        <v>0</v>
      </c>
      <c r="Q293" s="25" t="e">
        <f t="shared" si="17"/>
        <v>#N/A</v>
      </c>
      <c r="R293" s="26" t="e">
        <f t="shared" si="18"/>
        <v>#N/A</v>
      </c>
      <c r="S293" s="48" t="e">
        <f t="shared" si="19"/>
        <v>#N/A</v>
      </c>
      <c r="T293" s="6" t="s">
        <v>417</v>
      </c>
      <c r="U293" s="6" t="s">
        <v>694</v>
      </c>
      <c r="V293" s="6" t="s">
        <v>39</v>
      </c>
      <c r="W293" s="6" t="s">
        <v>39</v>
      </c>
      <c r="X293" s="6" t="s">
        <v>38</v>
      </c>
      <c r="Y293" s="6" t="s">
        <v>53</v>
      </c>
      <c r="Z293" s="6" t="s">
        <v>39</v>
      </c>
    </row>
    <row r="294" spans="1:26" hidden="1" x14ac:dyDescent="0.35">
      <c r="A294" s="6" t="s">
        <v>705</v>
      </c>
      <c r="B294" s="6">
        <v>144079</v>
      </c>
      <c r="C294" s="6">
        <v>2006</v>
      </c>
      <c r="D294" s="47">
        <v>2710.31</v>
      </c>
      <c r="E294" s="25">
        <v>0</v>
      </c>
      <c r="F294" s="25">
        <v>264.14999999999998</v>
      </c>
      <c r="G294" s="26">
        <f t="shared" si="16"/>
        <v>264.14999999999998</v>
      </c>
      <c r="H294" s="6">
        <v>76067136</v>
      </c>
      <c r="I294" s="6" t="s">
        <v>706</v>
      </c>
      <c r="J294" s="6"/>
      <c r="K294" s="6"/>
      <c r="L294" s="6"/>
      <c r="M294" s="6" t="e">
        <f>VLOOKUP(H294,'Billing CDK pivot (by package)'!A:D,3,FALSE)</f>
        <v>#N/A</v>
      </c>
      <c r="N294" s="6" t="e">
        <f>VLOOKUP(H294,'Billing CDK pivot (by package)'!A:D,4,FALSE)</f>
        <v>#N/A</v>
      </c>
      <c r="O294" s="25" t="e">
        <f>VLOOKUP(H294,'Billing CDK pivot'!A:C,3,FALSE)</f>
        <v>#N/A</v>
      </c>
      <c r="P294" s="25">
        <f>IFERROR(VLOOKUP(H294,'Billing CDK pivot (overages)'!A:F,6,FALSE),0)</f>
        <v>0</v>
      </c>
      <c r="Q294" s="25" t="e">
        <f t="shared" si="17"/>
        <v>#N/A</v>
      </c>
      <c r="R294" s="26" t="e">
        <f t="shared" si="18"/>
        <v>#N/A</v>
      </c>
      <c r="S294" s="48" t="e">
        <f t="shared" si="19"/>
        <v>#N/A</v>
      </c>
      <c r="T294" s="6" t="s">
        <v>417</v>
      </c>
      <c r="U294" s="6" t="s">
        <v>707</v>
      </c>
      <c r="V294" s="6" t="s">
        <v>39</v>
      </c>
      <c r="W294" s="6" t="s">
        <v>39</v>
      </c>
      <c r="X294" s="6" t="s">
        <v>38</v>
      </c>
      <c r="Y294" s="6" t="s">
        <v>58</v>
      </c>
      <c r="Z294" s="6" t="s">
        <v>39</v>
      </c>
    </row>
    <row r="295" spans="1:26" hidden="1" x14ac:dyDescent="0.35">
      <c r="A295" s="6" t="s">
        <v>708</v>
      </c>
      <c r="B295" s="6">
        <v>142723</v>
      </c>
      <c r="C295" s="6">
        <v>23288</v>
      </c>
      <c r="D295" s="47">
        <v>8178.1</v>
      </c>
      <c r="E295" s="25">
        <v>0</v>
      </c>
      <c r="F295" s="25">
        <v>1581.65</v>
      </c>
      <c r="G295" s="26">
        <f t="shared" si="16"/>
        <v>1581.65</v>
      </c>
      <c r="H295" s="6">
        <v>76090518</v>
      </c>
      <c r="I295" s="6" t="s">
        <v>709</v>
      </c>
      <c r="J295" s="6"/>
      <c r="K295" s="6"/>
      <c r="L295" s="6"/>
      <c r="M295" s="6" t="e">
        <f>VLOOKUP(H295,'Billing CDK pivot (by package)'!A:D,3,FALSE)</f>
        <v>#N/A</v>
      </c>
      <c r="N295" s="6" t="e">
        <f>VLOOKUP(H295,'Billing CDK pivot (by package)'!A:D,4,FALSE)</f>
        <v>#N/A</v>
      </c>
      <c r="O295" s="25" t="e">
        <f>VLOOKUP(H295,'Billing CDK pivot'!A:C,3,FALSE)</f>
        <v>#N/A</v>
      </c>
      <c r="P295" s="25">
        <f>IFERROR(VLOOKUP(H295,'Billing CDK pivot (overages)'!A:F,6,FALSE),0)</f>
        <v>0</v>
      </c>
      <c r="Q295" s="25" t="e">
        <f t="shared" si="17"/>
        <v>#N/A</v>
      </c>
      <c r="R295" s="26" t="e">
        <f t="shared" si="18"/>
        <v>#N/A</v>
      </c>
      <c r="S295" s="48" t="e">
        <f t="shared" si="19"/>
        <v>#N/A</v>
      </c>
      <c r="T295" s="6" t="s">
        <v>417</v>
      </c>
      <c r="U295" s="6" t="s">
        <v>710</v>
      </c>
      <c r="V295" s="6" t="s">
        <v>39</v>
      </c>
      <c r="W295" s="6" t="s">
        <v>39</v>
      </c>
      <c r="X295" s="6" t="s">
        <v>143</v>
      </c>
      <c r="Y295" s="6" t="s">
        <v>54</v>
      </c>
      <c r="Z295" s="6" t="s">
        <v>39</v>
      </c>
    </row>
    <row r="296" spans="1:26" hidden="1" x14ac:dyDescent="0.35">
      <c r="A296" s="6" t="s">
        <v>711</v>
      </c>
      <c r="B296" s="6">
        <v>142727</v>
      </c>
      <c r="C296" s="6">
        <v>23289</v>
      </c>
      <c r="D296" s="47">
        <v>5652.07</v>
      </c>
      <c r="E296" s="25">
        <v>0</v>
      </c>
      <c r="F296" s="25">
        <v>1581.65</v>
      </c>
      <c r="G296" s="26">
        <f t="shared" si="16"/>
        <v>1581.65</v>
      </c>
      <c r="H296" s="6">
        <v>76036962</v>
      </c>
      <c r="I296" s="6" t="s">
        <v>712</v>
      </c>
      <c r="J296" s="6"/>
      <c r="K296" s="6"/>
      <c r="L296" s="6"/>
      <c r="M296" s="6" t="e">
        <f>VLOOKUP(H296,'Billing CDK pivot (by package)'!A:D,3,FALSE)</f>
        <v>#N/A</v>
      </c>
      <c r="N296" s="6" t="e">
        <f>VLOOKUP(H296,'Billing CDK pivot (by package)'!A:D,4,FALSE)</f>
        <v>#N/A</v>
      </c>
      <c r="O296" s="25" t="e">
        <f>VLOOKUP(H296,'Billing CDK pivot'!A:C,3,FALSE)</f>
        <v>#N/A</v>
      </c>
      <c r="P296" s="25">
        <f>IFERROR(VLOOKUP(H296,'Billing CDK pivot (overages)'!A:F,6,FALSE),0)</f>
        <v>0</v>
      </c>
      <c r="Q296" s="25" t="e">
        <f t="shared" si="17"/>
        <v>#N/A</v>
      </c>
      <c r="R296" s="26" t="e">
        <f t="shared" si="18"/>
        <v>#N/A</v>
      </c>
      <c r="S296" s="48" t="e">
        <f t="shared" si="19"/>
        <v>#N/A</v>
      </c>
      <c r="T296" s="6" t="s">
        <v>417</v>
      </c>
      <c r="U296" s="6" t="s">
        <v>710</v>
      </c>
      <c r="V296" s="6" t="s">
        <v>39</v>
      </c>
      <c r="W296" s="6" t="s">
        <v>39</v>
      </c>
      <c r="X296" s="6" t="s">
        <v>38</v>
      </c>
      <c r="Y296" s="6" t="s">
        <v>54</v>
      </c>
      <c r="Z296" s="6" t="s">
        <v>39</v>
      </c>
    </row>
    <row r="297" spans="1:26" hidden="1" x14ac:dyDescent="0.35">
      <c r="A297" s="6" t="s">
        <v>713</v>
      </c>
      <c r="B297" s="6">
        <v>96592</v>
      </c>
      <c r="C297" s="6">
        <v>16781</v>
      </c>
      <c r="D297" s="47">
        <v>14547.04</v>
      </c>
      <c r="E297" s="25">
        <v>0</v>
      </c>
      <c r="F297" s="25">
        <v>2543.85</v>
      </c>
      <c r="G297" s="26">
        <f t="shared" si="16"/>
        <v>2543.85</v>
      </c>
      <c r="H297" s="6" t="s">
        <v>714</v>
      </c>
      <c r="I297" s="6" t="s">
        <v>715</v>
      </c>
      <c r="J297" s="6"/>
      <c r="K297" s="6"/>
      <c r="L297" s="6"/>
      <c r="M297" s="6" t="str">
        <f>VLOOKUP(H297,'Billing CDK pivot (by package)'!A:D,3,FALSE)</f>
        <v>4570064</v>
      </c>
      <c r="N297" s="6" t="str">
        <f>VLOOKUP(H297,'Billing CDK pivot (by package)'!A:D,4,FALSE)</f>
        <v>CARWARS ELITE LARGE</v>
      </c>
      <c r="O297" s="25" t="e">
        <f>VLOOKUP(H297,'Billing CDK pivot'!A:C,3,FALSE)</f>
        <v>#N/A</v>
      </c>
      <c r="P297" s="25">
        <f>IFERROR(VLOOKUP(H297,'Billing CDK pivot (overages)'!A:F,6,FALSE),0)</f>
        <v>0</v>
      </c>
      <c r="Q297" s="25" t="e">
        <f t="shared" si="17"/>
        <v>#N/A</v>
      </c>
      <c r="R297" s="26" t="e">
        <f t="shared" si="18"/>
        <v>#N/A</v>
      </c>
      <c r="S297" s="48" t="e">
        <f t="shared" si="19"/>
        <v>#N/A</v>
      </c>
      <c r="T297" s="6" t="s">
        <v>417</v>
      </c>
      <c r="U297" s="6" t="s">
        <v>716</v>
      </c>
      <c r="V297" s="6" t="s">
        <v>39</v>
      </c>
      <c r="W297" s="6" t="s">
        <v>39</v>
      </c>
      <c r="X297" s="6" t="s">
        <v>38</v>
      </c>
      <c r="Y297" s="6" t="s">
        <v>378</v>
      </c>
      <c r="Z297" s="6" t="s">
        <v>38</v>
      </c>
    </row>
    <row r="298" spans="1:26" hidden="1" x14ac:dyDescent="0.35">
      <c r="A298" s="6" t="s">
        <v>717</v>
      </c>
      <c r="B298" s="6">
        <v>116981</v>
      </c>
      <c r="C298" s="6">
        <v>18705</v>
      </c>
      <c r="D298" s="47">
        <v>0</v>
      </c>
      <c r="E298" s="25">
        <v>0</v>
      </c>
      <c r="F298" s="25">
        <v>254.15</v>
      </c>
      <c r="G298" s="26">
        <f t="shared" si="16"/>
        <v>254.15</v>
      </c>
      <c r="H298" s="6">
        <v>76180714</v>
      </c>
      <c r="I298" s="6" t="s">
        <v>718</v>
      </c>
      <c r="J298" s="6"/>
      <c r="K298" s="6"/>
      <c r="L298" s="6"/>
      <c r="M298" s="6" t="e">
        <f>VLOOKUP(H298,'Billing CDK pivot (by package)'!A:D,3,FALSE)</f>
        <v>#N/A</v>
      </c>
      <c r="N298" s="6" t="e">
        <f>VLOOKUP(H298,'Billing CDK pivot (by package)'!A:D,4,FALSE)</f>
        <v>#N/A</v>
      </c>
      <c r="O298" s="25" t="e">
        <f>VLOOKUP(H298,'Billing CDK pivot'!A:C,3,FALSE)</f>
        <v>#N/A</v>
      </c>
      <c r="P298" s="25">
        <f>IFERROR(VLOOKUP(H298,'Billing CDK pivot (overages)'!A:F,6,FALSE),0)</f>
        <v>0</v>
      </c>
      <c r="Q298" s="25" t="e">
        <f t="shared" si="17"/>
        <v>#N/A</v>
      </c>
      <c r="R298" s="26" t="e">
        <f t="shared" si="18"/>
        <v>#N/A</v>
      </c>
      <c r="S298" s="48" t="e">
        <f t="shared" si="19"/>
        <v>#N/A</v>
      </c>
      <c r="T298" s="6" t="s">
        <v>417</v>
      </c>
      <c r="U298" s="6" t="s">
        <v>719</v>
      </c>
      <c r="V298" s="6" t="s">
        <v>39</v>
      </c>
      <c r="W298" s="6" t="s">
        <v>39</v>
      </c>
      <c r="X298" s="6" t="s">
        <v>38</v>
      </c>
      <c r="Y298" s="6" t="s">
        <v>39</v>
      </c>
      <c r="Z298" s="6" t="s">
        <v>39</v>
      </c>
    </row>
    <row r="299" spans="1:26" hidden="1" x14ac:dyDescent="0.35">
      <c r="A299" s="6" t="s">
        <v>720</v>
      </c>
      <c r="B299" s="6">
        <v>79776</v>
      </c>
      <c r="C299" s="6">
        <v>17654</v>
      </c>
      <c r="D299" s="47">
        <v>18972.27</v>
      </c>
      <c r="E299" s="25">
        <v>0</v>
      </c>
      <c r="F299" s="25">
        <v>2533.85</v>
      </c>
      <c r="G299" s="26">
        <f t="shared" si="16"/>
        <v>2533.85</v>
      </c>
      <c r="H299" s="6">
        <v>76211920</v>
      </c>
      <c r="I299" s="6" t="s">
        <v>721</v>
      </c>
      <c r="J299" s="6"/>
      <c r="K299" s="6"/>
      <c r="L299" s="6"/>
      <c r="M299" s="6" t="e">
        <f>VLOOKUP(H299,'Billing CDK pivot (by package)'!A:D,3,FALSE)</f>
        <v>#N/A</v>
      </c>
      <c r="N299" s="6" t="e">
        <f>VLOOKUP(H299,'Billing CDK pivot (by package)'!A:D,4,FALSE)</f>
        <v>#N/A</v>
      </c>
      <c r="O299" s="25" t="e">
        <f>VLOOKUP(H299,'Billing CDK pivot'!A:C,3,FALSE)</f>
        <v>#N/A</v>
      </c>
      <c r="P299" s="25">
        <f>IFERROR(VLOOKUP(H299,'Billing CDK pivot (overages)'!A:F,6,FALSE),0)</f>
        <v>0</v>
      </c>
      <c r="Q299" s="25" t="e">
        <f t="shared" si="17"/>
        <v>#N/A</v>
      </c>
      <c r="R299" s="26" t="e">
        <f t="shared" si="18"/>
        <v>#N/A</v>
      </c>
      <c r="S299" s="48" t="e">
        <f t="shared" si="19"/>
        <v>#N/A</v>
      </c>
      <c r="T299" s="6" t="s">
        <v>417</v>
      </c>
      <c r="U299" s="6" t="s">
        <v>722</v>
      </c>
      <c r="V299" s="6" t="s">
        <v>39</v>
      </c>
      <c r="W299" s="6" t="s">
        <v>39</v>
      </c>
      <c r="X299" s="6" t="s">
        <v>38</v>
      </c>
      <c r="Y299" s="6" t="s">
        <v>39</v>
      </c>
      <c r="Z299" s="6" t="s">
        <v>39</v>
      </c>
    </row>
    <row r="300" spans="1:26" hidden="1" x14ac:dyDescent="0.35">
      <c r="A300" s="6" t="s">
        <v>723</v>
      </c>
      <c r="B300" s="6">
        <v>145649</v>
      </c>
      <c r="C300" s="6">
        <v>25474</v>
      </c>
      <c r="D300" s="47">
        <v>4253.05</v>
      </c>
      <c r="E300" s="25">
        <v>0</v>
      </c>
      <c r="F300" s="25">
        <v>434.15</v>
      </c>
      <c r="G300" s="26">
        <f t="shared" si="16"/>
        <v>434.15</v>
      </c>
      <c r="H300" s="6" t="s">
        <v>724</v>
      </c>
      <c r="I300" s="6" t="s">
        <v>725</v>
      </c>
      <c r="J300" s="6"/>
      <c r="K300" s="6"/>
      <c r="L300" s="6"/>
      <c r="M300" s="6" t="str">
        <f>VLOOKUP(H300,'Billing CDK pivot (by package)'!A:D,3,FALSE)</f>
        <v>4570058</v>
      </c>
      <c r="N300" s="6" t="str">
        <f>VLOOKUP(H300,'Billing CDK pivot (by package)'!A:D,4,FALSE)</f>
        <v>CARWARS STARTER 7500</v>
      </c>
      <c r="O300" s="25" t="e">
        <f>VLOOKUP(H300,'Billing CDK pivot'!A:C,3,FALSE)</f>
        <v>#N/A</v>
      </c>
      <c r="P300" s="25">
        <f>IFERROR(VLOOKUP(H300,'Billing CDK pivot (overages)'!A:F,6,FALSE),0)</f>
        <v>0</v>
      </c>
      <c r="Q300" s="25" t="e">
        <f t="shared" si="17"/>
        <v>#N/A</v>
      </c>
      <c r="R300" s="26" t="e">
        <f t="shared" si="18"/>
        <v>#N/A</v>
      </c>
      <c r="S300" s="48" t="e">
        <f t="shared" si="19"/>
        <v>#N/A</v>
      </c>
      <c r="T300" s="6" t="s">
        <v>417</v>
      </c>
      <c r="U300" s="6" t="s">
        <v>726</v>
      </c>
      <c r="V300" s="6" t="s">
        <v>39</v>
      </c>
      <c r="W300" s="6" t="s">
        <v>39</v>
      </c>
      <c r="X300" s="6" t="s">
        <v>58</v>
      </c>
      <c r="Y300" s="6" t="s">
        <v>53</v>
      </c>
      <c r="Z300" s="6" t="s">
        <v>39</v>
      </c>
    </row>
    <row r="301" spans="1:26" hidden="1" x14ac:dyDescent="0.35">
      <c r="A301" s="6" t="s">
        <v>727</v>
      </c>
      <c r="B301" s="6">
        <v>147873</v>
      </c>
      <c r="C301" s="6">
        <v>26623</v>
      </c>
      <c r="D301" s="47">
        <v>12309.71</v>
      </c>
      <c r="E301" s="25">
        <v>345.34</v>
      </c>
      <c r="F301" s="25">
        <v>1204.49</v>
      </c>
      <c r="G301" s="26">
        <f t="shared" si="16"/>
        <v>859.15000000000009</v>
      </c>
      <c r="H301" s="6">
        <v>76187302</v>
      </c>
      <c r="I301" s="6" t="s">
        <v>728</v>
      </c>
      <c r="J301" s="6"/>
      <c r="K301" s="6"/>
      <c r="L301" s="6"/>
      <c r="M301" s="6" t="e">
        <f>VLOOKUP(H301,'Billing CDK pivot (by package)'!A:D,3,FALSE)</f>
        <v>#N/A</v>
      </c>
      <c r="N301" s="6" t="e">
        <f>VLOOKUP(H301,'Billing CDK pivot (by package)'!A:D,4,FALSE)</f>
        <v>#N/A</v>
      </c>
      <c r="O301" s="25" t="e">
        <f>VLOOKUP(H301,'Billing CDK pivot'!A:C,3,FALSE)</f>
        <v>#N/A</v>
      </c>
      <c r="P301" s="25">
        <f>IFERROR(VLOOKUP(H301,'Billing CDK pivot (overages)'!A:F,6,FALSE),0)</f>
        <v>0</v>
      </c>
      <c r="Q301" s="25" t="e">
        <f t="shared" si="17"/>
        <v>#N/A</v>
      </c>
      <c r="R301" s="26" t="e">
        <f t="shared" si="18"/>
        <v>#N/A</v>
      </c>
      <c r="S301" s="48" t="e">
        <f t="shared" si="19"/>
        <v>#N/A</v>
      </c>
      <c r="T301" s="6" t="s">
        <v>417</v>
      </c>
      <c r="U301" s="6" t="s">
        <v>729</v>
      </c>
      <c r="V301" s="6" t="s">
        <v>39</v>
      </c>
      <c r="W301" s="6" t="s">
        <v>39</v>
      </c>
      <c r="X301" s="6" t="s">
        <v>53</v>
      </c>
      <c r="Y301" s="6" t="s">
        <v>138</v>
      </c>
      <c r="Z301" s="6" t="s">
        <v>39</v>
      </c>
    </row>
    <row r="302" spans="1:26" hidden="1" x14ac:dyDescent="0.35">
      <c r="A302" s="6" t="s">
        <v>730</v>
      </c>
      <c r="B302" s="6">
        <v>58247</v>
      </c>
      <c r="C302" s="6">
        <v>16164</v>
      </c>
      <c r="D302" s="47">
        <v>9868.43</v>
      </c>
      <c r="E302" s="25">
        <v>0</v>
      </c>
      <c r="F302" s="25">
        <v>1700.65</v>
      </c>
      <c r="G302" s="26">
        <f t="shared" si="16"/>
        <v>1700.65</v>
      </c>
      <c r="H302" s="6" t="s">
        <v>731</v>
      </c>
      <c r="I302" s="6" t="s">
        <v>732</v>
      </c>
      <c r="J302" s="6"/>
      <c r="K302" s="6"/>
      <c r="L302" s="6"/>
      <c r="M302" s="6" t="str">
        <f>VLOOKUP(H302,'Billing CDK pivot (by package)'!A:D,3,FALSE)</f>
        <v>4570060</v>
      </c>
      <c r="N302" s="6" t="str">
        <f>VLOOKUP(H302,'Billing CDK pivot (by package)'!A:D,4,FALSE)</f>
        <v>CRM OUTBOUND TELEPHONY TRACKING (NEW AND CONVERSION)</v>
      </c>
      <c r="O302" s="25" t="e">
        <f>VLOOKUP(H302,'Billing CDK pivot'!A:C,3,FALSE)</f>
        <v>#N/A</v>
      </c>
      <c r="P302" s="25">
        <f>IFERROR(VLOOKUP(H302,'Billing CDK pivot (overages)'!A:F,6,FALSE),0)</f>
        <v>0</v>
      </c>
      <c r="Q302" s="25" t="e">
        <f t="shared" si="17"/>
        <v>#N/A</v>
      </c>
      <c r="R302" s="26" t="e">
        <f t="shared" si="18"/>
        <v>#N/A</v>
      </c>
      <c r="S302" s="48" t="e">
        <f t="shared" si="19"/>
        <v>#N/A</v>
      </c>
      <c r="T302" s="6" t="s">
        <v>417</v>
      </c>
      <c r="U302" s="6" t="s">
        <v>733</v>
      </c>
      <c r="V302" s="6" t="s">
        <v>614</v>
      </c>
      <c r="W302" s="6" t="s">
        <v>137</v>
      </c>
      <c r="X302" s="6" t="s">
        <v>38</v>
      </c>
      <c r="Y302" s="6" t="s">
        <v>54</v>
      </c>
      <c r="Z302" s="6" t="s">
        <v>734</v>
      </c>
    </row>
    <row r="303" spans="1:26" hidden="1" x14ac:dyDescent="0.35">
      <c r="A303" s="6" t="s">
        <v>735</v>
      </c>
      <c r="B303" s="6">
        <v>91135</v>
      </c>
      <c r="C303" s="6">
        <v>17928</v>
      </c>
      <c r="D303" s="47">
        <v>10599.24</v>
      </c>
      <c r="E303" s="25">
        <v>0</v>
      </c>
      <c r="F303" s="25">
        <v>1581.65</v>
      </c>
      <c r="G303" s="26">
        <f t="shared" si="16"/>
        <v>1581.65</v>
      </c>
      <c r="H303" s="6">
        <v>76029454</v>
      </c>
      <c r="I303" s="6" t="s">
        <v>736</v>
      </c>
      <c r="J303" s="6"/>
      <c r="K303" s="6"/>
      <c r="L303" s="6"/>
      <c r="M303" s="6" t="e">
        <f>VLOOKUP(H303,'Billing CDK pivot (by package)'!A:D,3,FALSE)</f>
        <v>#N/A</v>
      </c>
      <c r="N303" s="6" t="e">
        <f>VLOOKUP(H303,'Billing CDK pivot (by package)'!A:D,4,FALSE)</f>
        <v>#N/A</v>
      </c>
      <c r="O303" s="25" t="e">
        <f>VLOOKUP(H303,'Billing CDK pivot'!A:C,3,FALSE)</f>
        <v>#N/A</v>
      </c>
      <c r="P303" s="25">
        <f>IFERROR(VLOOKUP(H303,'Billing CDK pivot (overages)'!A:F,6,FALSE),0)</f>
        <v>0</v>
      </c>
      <c r="Q303" s="25" t="e">
        <f t="shared" si="17"/>
        <v>#N/A</v>
      </c>
      <c r="R303" s="26" t="e">
        <f t="shared" si="18"/>
        <v>#N/A</v>
      </c>
      <c r="S303" s="48" t="e">
        <f t="shared" si="19"/>
        <v>#N/A</v>
      </c>
      <c r="T303" s="6" t="s">
        <v>417</v>
      </c>
      <c r="U303" s="6" t="s">
        <v>737</v>
      </c>
      <c r="V303" s="6" t="s">
        <v>173</v>
      </c>
      <c r="W303" s="6" t="s">
        <v>39</v>
      </c>
      <c r="X303" s="6" t="s">
        <v>50</v>
      </c>
      <c r="Y303" s="6" t="s">
        <v>54</v>
      </c>
      <c r="Z303" s="6" t="s">
        <v>39</v>
      </c>
    </row>
    <row r="304" spans="1:26" hidden="1" x14ac:dyDescent="0.35">
      <c r="A304" s="6" t="s">
        <v>738</v>
      </c>
      <c r="B304" s="6">
        <v>147445</v>
      </c>
      <c r="C304" s="6">
        <v>10429</v>
      </c>
      <c r="D304" s="47">
        <v>6183.13</v>
      </c>
      <c r="E304" s="25">
        <v>0</v>
      </c>
      <c r="F304" s="25">
        <v>2543.85</v>
      </c>
      <c r="G304" s="26">
        <f t="shared" si="16"/>
        <v>2543.85</v>
      </c>
      <c r="H304" s="6">
        <v>76022930</v>
      </c>
      <c r="I304" s="6" t="s">
        <v>739</v>
      </c>
      <c r="J304" s="6"/>
      <c r="K304" s="6"/>
      <c r="L304" s="6"/>
      <c r="M304" s="6" t="e">
        <f>VLOOKUP(H304,'Billing CDK pivot (by package)'!A:D,3,FALSE)</f>
        <v>#N/A</v>
      </c>
      <c r="N304" s="6" t="e">
        <f>VLOOKUP(H304,'Billing CDK pivot (by package)'!A:D,4,FALSE)</f>
        <v>#N/A</v>
      </c>
      <c r="O304" s="25" t="e">
        <f>VLOOKUP(H304,'Billing CDK pivot'!A:C,3,FALSE)</f>
        <v>#N/A</v>
      </c>
      <c r="P304" s="25">
        <f>IFERROR(VLOOKUP(H304,'Billing CDK pivot (overages)'!A:F,6,FALSE),0)</f>
        <v>0</v>
      </c>
      <c r="Q304" s="25" t="e">
        <f t="shared" si="17"/>
        <v>#N/A</v>
      </c>
      <c r="R304" s="26" t="e">
        <f t="shared" si="18"/>
        <v>#N/A</v>
      </c>
      <c r="S304" s="48" t="e">
        <f t="shared" si="19"/>
        <v>#N/A</v>
      </c>
      <c r="T304" s="6" t="s">
        <v>417</v>
      </c>
      <c r="U304" s="6" t="s">
        <v>740</v>
      </c>
      <c r="V304" s="6" t="s">
        <v>39</v>
      </c>
      <c r="W304" s="6" t="s">
        <v>39</v>
      </c>
      <c r="X304" s="6" t="s">
        <v>50</v>
      </c>
      <c r="Y304" s="6" t="s">
        <v>378</v>
      </c>
      <c r="Z304" s="6" t="s">
        <v>39</v>
      </c>
    </row>
    <row r="305" spans="1:26" hidden="1" x14ac:dyDescent="0.35">
      <c r="A305" s="6" t="s">
        <v>741</v>
      </c>
      <c r="B305" s="6">
        <v>144080</v>
      </c>
      <c r="C305" s="6">
        <v>6706</v>
      </c>
      <c r="D305" s="47">
        <v>10107.959999999999</v>
      </c>
      <c r="E305" s="25">
        <v>455.95</v>
      </c>
      <c r="F305" s="25">
        <v>710.1</v>
      </c>
      <c r="G305" s="26">
        <f t="shared" si="16"/>
        <v>254.15000000000003</v>
      </c>
      <c r="H305" s="6">
        <v>76145408</v>
      </c>
      <c r="I305" s="6" t="s">
        <v>742</v>
      </c>
      <c r="J305" s="6"/>
      <c r="K305" s="6"/>
      <c r="L305" s="6"/>
      <c r="M305" s="6" t="e">
        <f>VLOOKUP(H305,'Billing CDK pivot (by package)'!A:D,3,FALSE)</f>
        <v>#N/A</v>
      </c>
      <c r="N305" s="6" t="e">
        <f>VLOOKUP(H305,'Billing CDK pivot (by package)'!A:D,4,FALSE)</f>
        <v>#N/A</v>
      </c>
      <c r="O305" s="25" t="e">
        <f>VLOOKUP(H305,'Billing CDK pivot'!A:C,3,FALSE)</f>
        <v>#N/A</v>
      </c>
      <c r="P305" s="25">
        <f>IFERROR(VLOOKUP(H305,'Billing CDK pivot (overages)'!A:F,6,FALSE),0)</f>
        <v>0</v>
      </c>
      <c r="Q305" s="25" t="e">
        <f t="shared" si="17"/>
        <v>#N/A</v>
      </c>
      <c r="R305" s="26" t="e">
        <f t="shared" si="18"/>
        <v>#N/A</v>
      </c>
      <c r="S305" s="48" t="e">
        <f t="shared" si="19"/>
        <v>#N/A</v>
      </c>
      <c r="T305" s="6" t="s">
        <v>417</v>
      </c>
      <c r="U305" s="6" t="s">
        <v>707</v>
      </c>
      <c r="V305" s="6" t="s">
        <v>39</v>
      </c>
      <c r="W305" s="6" t="s">
        <v>39</v>
      </c>
      <c r="X305" s="6" t="s">
        <v>69</v>
      </c>
      <c r="Y305" s="6" t="s">
        <v>39</v>
      </c>
      <c r="Z305" s="6" t="s">
        <v>39</v>
      </c>
    </row>
    <row r="306" spans="1:26" hidden="1" x14ac:dyDescent="0.35">
      <c r="A306" s="6" t="s">
        <v>743</v>
      </c>
      <c r="B306" s="6">
        <v>145760</v>
      </c>
      <c r="C306" s="6">
        <v>4698</v>
      </c>
      <c r="D306" s="47">
        <v>1923.63</v>
      </c>
      <c r="E306" s="25">
        <v>0</v>
      </c>
      <c r="F306" s="25">
        <v>254.15</v>
      </c>
      <c r="G306" s="26">
        <f t="shared" si="16"/>
        <v>254.15</v>
      </c>
      <c r="H306" s="6" t="s">
        <v>744</v>
      </c>
      <c r="I306" s="6" t="s">
        <v>745</v>
      </c>
      <c r="J306" s="6"/>
      <c r="K306" s="6"/>
      <c r="L306" s="6"/>
      <c r="M306" s="6" t="str">
        <f>VLOOKUP(H306,'Billing CDK pivot (by package)'!A:D,3,FALSE)</f>
        <v>4570009</v>
      </c>
      <c r="N306" s="6" t="str">
        <f>VLOOKUP(H306,'Billing CDK pivot (by package)'!A:D,4,FALSE)</f>
        <v>CARWARS STARTER 3500</v>
      </c>
      <c r="O306" s="25" t="e">
        <f>VLOOKUP(H306,'Billing CDK pivot'!A:C,3,FALSE)</f>
        <v>#N/A</v>
      </c>
      <c r="P306" s="25">
        <f>IFERROR(VLOOKUP(H306,'Billing CDK pivot (overages)'!A:F,6,FALSE),0)</f>
        <v>0</v>
      </c>
      <c r="Q306" s="25" t="e">
        <f t="shared" si="17"/>
        <v>#N/A</v>
      </c>
      <c r="R306" s="26" t="e">
        <f t="shared" si="18"/>
        <v>#N/A</v>
      </c>
      <c r="S306" s="48" t="e">
        <f t="shared" si="19"/>
        <v>#N/A</v>
      </c>
      <c r="T306" s="6" t="s">
        <v>417</v>
      </c>
      <c r="U306" s="6" t="s">
        <v>707</v>
      </c>
      <c r="V306" s="6" t="s">
        <v>39</v>
      </c>
      <c r="W306" s="6" t="s">
        <v>39</v>
      </c>
      <c r="X306" s="6" t="s">
        <v>38</v>
      </c>
      <c r="Y306" s="6" t="s">
        <v>39</v>
      </c>
      <c r="Z306" s="6" t="s">
        <v>39</v>
      </c>
    </row>
    <row r="307" spans="1:26" hidden="1" x14ac:dyDescent="0.35">
      <c r="A307" s="6" t="s">
        <v>746</v>
      </c>
      <c r="B307" s="6">
        <v>139339</v>
      </c>
      <c r="C307" s="6">
        <v>6972</v>
      </c>
      <c r="D307" s="47">
        <v>6288.09</v>
      </c>
      <c r="E307" s="25">
        <v>192.38</v>
      </c>
      <c r="F307" s="25">
        <v>446.53</v>
      </c>
      <c r="G307" s="26">
        <f t="shared" si="16"/>
        <v>254.14999999999998</v>
      </c>
      <c r="H307" s="6">
        <v>76219520</v>
      </c>
      <c r="I307" s="6" t="s">
        <v>747</v>
      </c>
      <c r="J307" s="6"/>
      <c r="K307" s="6"/>
      <c r="L307" s="6"/>
      <c r="M307" s="6" t="e">
        <f>VLOOKUP(H307,'Billing CDK pivot (by package)'!A:D,3,FALSE)</f>
        <v>#N/A</v>
      </c>
      <c r="N307" s="6" t="e">
        <f>VLOOKUP(H307,'Billing CDK pivot (by package)'!A:D,4,FALSE)</f>
        <v>#N/A</v>
      </c>
      <c r="O307" s="25" t="e">
        <f>VLOOKUP(H307,'Billing CDK pivot'!A:C,3,FALSE)</f>
        <v>#N/A</v>
      </c>
      <c r="P307" s="25">
        <f>IFERROR(VLOOKUP(H307,'Billing CDK pivot (overages)'!A:F,6,FALSE),0)</f>
        <v>0</v>
      </c>
      <c r="Q307" s="25" t="e">
        <f t="shared" si="17"/>
        <v>#N/A</v>
      </c>
      <c r="R307" s="26" t="e">
        <f t="shared" si="18"/>
        <v>#N/A</v>
      </c>
      <c r="S307" s="48" t="e">
        <f t="shared" si="19"/>
        <v>#N/A</v>
      </c>
      <c r="T307" s="6" t="s">
        <v>417</v>
      </c>
      <c r="U307" s="6" t="s">
        <v>707</v>
      </c>
      <c r="V307" s="6" t="s">
        <v>39</v>
      </c>
      <c r="W307" s="6" t="s">
        <v>39</v>
      </c>
      <c r="X307" s="6" t="s">
        <v>58</v>
      </c>
      <c r="Y307" s="6" t="s">
        <v>39</v>
      </c>
      <c r="Z307" s="6" t="s">
        <v>39</v>
      </c>
    </row>
    <row r="308" spans="1:26" hidden="1" x14ac:dyDescent="0.35">
      <c r="A308" s="6" t="s">
        <v>748</v>
      </c>
      <c r="B308" s="6">
        <v>76551</v>
      </c>
      <c r="C308" s="6">
        <v>9737</v>
      </c>
      <c r="D308" s="47">
        <v>66464.31</v>
      </c>
      <c r="E308" s="25">
        <v>1182.1400000000001</v>
      </c>
      <c r="F308" s="25">
        <v>3725.99</v>
      </c>
      <c r="G308" s="26">
        <f t="shared" si="16"/>
        <v>2543.8499999999995</v>
      </c>
      <c r="H308" s="6">
        <v>76229614</v>
      </c>
      <c r="I308" s="6" t="s">
        <v>749</v>
      </c>
      <c r="J308" s="6"/>
      <c r="K308" s="6"/>
      <c r="L308" s="6"/>
      <c r="M308" s="6" t="e">
        <f>VLOOKUP(H308,'Billing CDK pivot (by package)'!A:D,3,FALSE)</f>
        <v>#N/A</v>
      </c>
      <c r="N308" s="6" t="e">
        <f>VLOOKUP(H308,'Billing CDK pivot (by package)'!A:D,4,FALSE)</f>
        <v>#N/A</v>
      </c>
      <c r="O308" s="25" t="e">
        <f>VLOOKUP(H308,'Billing CDK pivot'!A:C,3,FALSE)</f>
        <v>#N/A</v>
      </c>
      <c r="P308" s="25">
        <f>IFERROR(VLOOKUP(H308,'Billing CDK pivot (overages)'!A:F,6,FALSE),0)</f>
        <v>0</v>
      </c>
      <c r="Q308" s="25" t="e">
        <f t="shared" si="17"/>
        <v>#N/A</v>
      </c>
      <c r="R308" s="26" t="e">
        <f t="shared" si="18"/>
        <v>#N/A</v>
      </c>
      <c r="S308" s="48" t="e">
        <f t="shared" si="19"/>
        <v>#N/A</v>
      </c>
      <c r="T308" s="6" t="s">
        <v>417</v>
      </c>
      <c r="U308" s="6" t="s">
        <v>750</v>
      </c>
      <c r="V308" s="6" t="s">
        <v>39</v>
      </c>
      <c r="W308" s="6" t="s">
        <v>39</v>
      </c>
      <c r="X308" s="6" t="s">
        <v>38</v>
      </c>
      <c r="Y308" s="6" t="s">
        <v>378</v>
      </c>
      <c r="Z308" s="6" t="s">
        <v>39</v>
      </c>
    </row>
    <row r="309" spans="1:26" hidden="1" x14ac:dyDescent="0.35">
      <c r="A309" s="6" t="s">
        <v>751</v>
      </c>
      <c r="B309" s="6">
        <v>154845</v>
      </c>
      <c r="C309" s="6">
        <v>28328</v>
      </c>
      <c r="D309" s="47">
        <v>8426.2000000000007</v>
      </c>
      <c r="E309" s="25">
        <v>339.91</v>
      </c>
      <c r="F309" s="25">
        <v>604.05999999999995</v>
      </c>
      <c r="G309" s="26">
        <f t="shared" si="16"/>
        <v>264.14999999999992</v>
      </c>
      <c r="H309" s="6">
        <v>76235053</v>
      </c>
      <c r="I309" s="6" t="s">
        <v>752</v>
      </c>
      <c r="J309" s="6"/>
      <c r="K309" s="6"/>
      <c r="L309" s="6"/>
      <c r="M309" s="6" t="e">
        <f>VLOOKUP(H309,'Billing CDK pivot (by package)'!A:D,3,FALSE)</f>
        <v>#N/A</v>
      </c>
      <c r="N309" s="6" t="e">
        <f>VLOOKUP(H309,'Billing CDK pivot (by package)'!A:D,4,FALSE)</f>
        <v>#N/A</v>
      </c>
      <c r="O309" s="25" t="e">
        <f>VLOOKUP(H309,'Billing CDK pivot'!A:C,3,FALSE)</f>
        <v>#N/A</v>
      </c>
      <c r="P309" s="25">
        <f>IFERROR(VLOOKUP(H309,'Billing CDK pivot (overages)'!A:F,6,FALSE),0)</f>
        <v>0</v>
      </c>
      <c r="Q309" s="25" t="e">
        <f t="shared" si="17"/>
        <v>#N/A</v>
      </c>
      <c r="R309" s="26" t="e">
        <f t="shared" si="18"/>
        <v>#N/A</v>
      </c>
      <c r="S309" s="48" t="e">
        <f t="shared" si="19"/>
        <v>#N/A</v>
      </c>
      <c r="T309" s="6" t="s">
        <v>417</v>
      </c>
      <c r="U309" s="6" t="s">
        <v>366</v>
      </c>
      <c r="V309" s="6" t="s">
        <v>39</v>
      </c>
      <c r="W309" s="6" t="s">
        <v>39</v>
      </c>
      <c r="X309" s="6" t="s">
        <v>143</v>
      </c>
      <c r="Y309" s="6" t="s">
        <v>58</v>
      </c>
      <c r="Z309" s="6" t="s">
        <v>39</v>
      </c>
    </row>
    <row r="310" spans="1:26" hidden="1" x14ac:dyDescent="0.35">
      <c r="A310" s="6" t="s">
        <v>753</v>
      </c>
      <c r="B310" s="6">
        <v>93881</v>
      </c>
      <c r="C310" s="6">
        <v>18655</v>
      </c>
      <c r="D310" s="47">
        <v>691.39</v>
      </c>
      <c r="E310" s="25">
        <v>0</v>
      </c>
      <c r="F310" s="25">
        <v>264.14999999999998</v>
      </c>
      <c r="G310" s="26">
        <f t="shared" si="16"/>
        <v>264.14999999999998</v>
      </c>
      <c r="H310" s="6">
        <v>76191233</v>
      </c>
      <c r="I310" s="6" t="s">
        <v>754</v>
      </c>
      <c r="J310" s="6"/>
      <c r="K310" s="6"/>
      <c r="L310" s="6"/>
      <c r="M310" s="6" t="e">
        <f>VLOOKUP(H310,'Billing CDK pivot (by package)'!A:D,3,FALSE)</f>
        <v>#N/A</v>
      </c>
      <c r="N310" s="6" t="e">
        <f>VLOOKUP(H310,'Billing CDK pivot (by package)'!A:D,4,FALSE)</f>
        <v>#N/A</v>
      </c>
      <c r="O310" s="25" t="e">
        <f>VLOOKUP(H310,'Billing CDK pivot'!A:C,3,FALSE)</f>
        <v>#N/A</v>
      </c>
      <c r="P310" s="25">
        <f>IFERROR(VLOOKUP(H310,'Billing CDK pivot (overages)'!A:F,6,FALSE),0)</f>
        <v>0</v>
      </c>
      <c r="Q310" s="25" t="e">
        <f t="shared" si="17"/>
        <v>#N/A</v>
      </c>
      <c r="R310" s="26" t="e">
        <f t="shared" si="18"/>
        <v>#N/A</v>
      </c>
      <c r="S310" s="48" t="e">
        <f t="shared" si="19"/>
        <v>#N/A</v>
      </c>
      <c r="T310" s="6" t="s">
        <v>417</v>
      </c>
      <c r="U310" s="6" t="s">
        <v>755</v>
      </c>
      <c r="V310" s="6" t="s">
        <v>39</v>
      </c>
      <c r="W310" s="6" t="s">
        <v>39</v>
      </c>
      <c r="X310" s="6" t="s">
        <v>80</v>
      </c>
      <c r="Y310" s="6" t="s">
        <v>50</v>
      </c>
      <c r="Z310" s="6" t="s">
        <v>39</v>
      </c>
    </row>
    <row r="311" spans="1:26" hidden="1" x14ac:dyDescent="0.35">
      <c r="A311" s="6" t="s">
        <v>756</v>
      </c>
      <c r="B311" s="6">
        <v>74464</v>
      </c>
      <c r="C311" s="6">
        <v>16765</v>
      </c>
      <c r="D311" s="47">
        <v>24179.119999999999</v>
      </c>
      <c r="E311" s="25">
        <v>0</v>
      </c>
      <c r="F311" s="25">
        <v>1581.65</v>
      </c>
      <c r="G311" s="26">
        <f t="shared" si="16"/>
        <v>1581.65</v>
      </c>
      <c r="H311" s="6">
        <v>76183681</v>
      </c>
      <c r="I311" s="6" t="s">
        <v>757</v>
      </c>
      <c r="J311" s="6"/>
      <c r="K311" s="6"/>
      <c r="L311" s="6"/>
      <c r="M311" s="6" t="e">
        <f>VLOOKUP(H311,'Billing CDK pivot (by package)'!A:D,3,FALSE)</f>
        <v>#N/A</v>
      </c>
      <c r="N311" s="6" t="e">
        <f>VLOOKUP(H311,'Billing CDK pivot (by package)'!A:D,4,FALSE)</f>
        <v>#N/A</v>
      </c>
      <c r="O311" s="25" t="e">
        <f>VLOOKUP(H311,'Billing CDK pivot'!A:C,3,FALSE)</f>
        <v>#N/A</v>
      </c>
      <c r="P311" s="25">
        <f>IFERROR(VLOOKUP(H311,'Billing CDK pivot (overages)'!A:F,6,FALSE),0)</f>
        <v>0</v>
      </c>
      <c r="Q311" s="25" t="e">
        <f t="shared" si="17"/>
        <v>#N/A</v>
      </c>
      <c r="R311" s="26" t="e">
        <f t="shared" si="18"/>
        <v>#N/A</v>
      </c>
      <c r="S311" s="48" t="e">
        <f t="shared" si="19"/>
        <v>#N/A</v>
      </c>
      <c r="T311" s="6" t="s">
        <v>417</v>
      </c>
      <c r="U311" s="6" t="s">
        <v>136</v>
      </c>
      <c r="V311" s="6" t="s">
        <v>614</v>
      </c>
      <c r="W311" s="6" t="s">
        <v>39</v>
      </c>
      <c r="X311" s="6" t="s">
        <v>38</v>
      </c>
      <c r="Y311" s="6" t="s">
        <v>54</v>
      </c>
      <c r="Z311" s="6" t="s">
        <v>39</v>
      </c>
    </row>
    <row r="312" spans="1:26" hidden="1" x14ac:dyDescent="0.35">
      <c r="A312" s="6" t="s">
        <v>758</v>
      </c>
      <c r="B312" s="6">
        <v>85476</v>
      </c>
      <c r="C312" s="6">
        <v>18017</v>
      </c>
      <c r="D312" s="47">
        <v>14934.04</v>
      </c>
      <c r="E312" s="25">
        <v>478.45</v>
      </c>
      <c r="F312" s="25">
        <v>912.6</v>
      </c>
      <c r="G312" s="26">
        <f t="shared" si="16"/>
        <v>434.15000000000003</v>
      </c>
      <c r="H312" s="6">
        <v>76174589</v>
      </c>
      <c r="I312" s="6" t="s">
        <v>759</v>
      </c>
      <c r="J312" s="6"/>
      <c r="K312" s="6"/>
      <c r="L312" s="6"/>
      <c r="M312" s="6" t="e">
        <f>VLOOKUP(H312,'Billing CDK pivot (by package)'!A:D,3,FALSE)</f>
        <v>#N/A</v>
      </c>
      <c r="N312" s="6" t="e">
        <f>VLOOKUP(H312,'Billing CDK pivot (by package)'!A:D,4,FALSE)</f>
        <v>#N/A</v>
      </c>
      <c r="O312" s="25" t="e">
        <f>VLOOKUP(H312,'Billing CDK pivot'!A:C,3,FALSE)</f>
        <v>#N/A</v>
      </c>
      <c r="P312" s="25">
        <f>IFERROR(VLOOKUP(H312,'Billing CDK pivot (overages)'!A:F,6,FALSE),0)</f>
        <v>0</v>
      </c>
      <c r="Q312" s="25" t="e">
        <f t="shared" si="17"/>
        <v>#N/A</v>
      </c>
      <c r="R312" s="26" t="e">
        <f t="shared" si="18"/>
        <v>#N/A</v>
      </c>
      <c r="S312" s="48" t="e">
        <f t="shared" si="19"/>
        <v>#N/A</v>
      </c>
      <c r="T312" s="6" t="s">
        <v>417</v>
      </c>
      <c r="U312" s="6" t="s">
        <v>760</v>
      </c>
      <c r="V312" s="6" t="s">
        <v>39</v>
      </c>
      <c r="W312" s="6" t="s">
        <v>39</v>
      </c>
      <c r="X312" s="6" t="s">
        <v>50</v>
      </c>
      <c r="Y312" s="6" t="s">
        <v>147</v>
      </c>
      <c r="Z312" s="6" t="s">
        <v>39</v>
      </c>
    </row>
    <row r="313" spans="1:26" hidden="1" x14ac:dyDescent="0.35">
      <c r="A313" s="6" t="s">
        <v>761</v>
      </c>
      <c r="B313" s="6">
        <v>84504</v>
      </c>
      <c r="C313" s="6">
        <v>18080</v>
      </c>
      <c r="D313" s="47">
        <v>1571.65</v>
      </c>
      <c r="E313" s="25">
        <v>0</v>
      </c>
      <c r="F313" s="25">
        <v>264.14999999999998</v>
      </c>
      <c r="G313" s="26">
        <f t="shared" si="16"/>
        <v>264.14999999999998</v>
      </c>
      <c r="H313" s="6">
        <v>76212373</v>
      </c>
      <c r="I313" s="6" t="s">
        <v>762</v>
      </c>
      <c r="J313" s="6"/>
      <c r="K313" s="6"/>
      <c r="L313" s="6"/>
      <c r="M313" s="6" t="e">
        <f>VLOOKUP(H313,'Billing CDK pivot (by package)'!A:D,3,FALSE)</f>
        <v>#N/A</v>
      </c>
      <c r="N313" s="6" t="e">
        <f>VLOOKUP(H313,'Billing CDK pivot (by package)'!A:D,4,FALSE)</f>
        <v>#N/A</v>
      </c>
      <c r="O313" s="25" t="e">
        <f>VLOOKUP(H313,'Billing CDK pivot'!A:C,3,FALSE)</f>
        <v>#N/A</v>
      </c>
      <c r="P313" s="25">
        <f>IFERROR(VLOOKUP(H313,'Billing CDK pivot (overages)'!A:F,6,FALSE),0)</f>
        <v>0</v>
      </c>
      <c r="Q313" s="25" t="e">
        <f t="shared" si="17"/>
        <v>#N/A</v>
      </c>
      <c r="R313" s="26" t="e">
        <f t="shared" si="18"/>
        <v>#N/A</v>
      </c>
      <c r="S313" s="48" t="e">
        <f t="shared" si="19"/>
        <v>#N/A</v>
      </c>
      <c r="T313" s="6" t="s">
        <v>417</v>
      </c>
      <c r="U313" s="6" t="s">
        <v>763</v>
      </c>
      <c r="V313" s="6" t="s">
        <v>39</v>
      </c>
      <c r="W313" s="6" t="s">
        <v>39</v>
      </c>
      <c r="X313" s="6" t="s">
        <v>38</v>
      </c>
      <c r="Y313" s="6" t="s">
        <v>58</v>
      </c>
      <c r="Z313" s="6" t="s">
        <v>39</v>
      </c>
    </row>
    <row r="314" spans="1:26" hidden="1" x14ac:dyDescent="0.35">
      <c r="A314" s="6" t="s">
        <v>764</v>
      </c>
      <c r="B314" s="6">
        <v>84503</v>
      </c>
      <c r="C314" s="6">
        <v>18081</v>
      </c>
      <c r="D314" s="47">
        <v>1525.89</v>
      </c>
      <c r="E314" s="25">
        <v>0</v>
      </c>
      <c r="F314" s="25">
        <v>264.14999999999998</v>
      </c>
      <c r="G314" s="26">
        <f t="shared" si="16"/>
        <v>264.14999999999998</v>
      </c>
      <c r="H314" s="6">
        <v>76213850</v>
      </c>
      <c r="I314" s="6" t="s">
        <v>765</v>
      </c>
      <c r="J314" s="6"/>
      <c r="K314" s="6"/>
      <c r="L314" s="6"/>
      <c r="M314" s="6" t="e">
        <f>VLOOKUP(H314,'Billing CDK pivot (by package)'!A:D,3,FALSE)</f>
        <v>#N/A</v>
      </c>
      <c r="N314" s="6" t="e">
        <f>VLOOKUP(H314,'Billing CDK pivot (by package)'!A:D,4,FALSE)</f>
        <v>#N/A</v>
      </c>
      <c r="O314" s="25" t="e">
        <f>VLOOKUP(H314,'Billing CDK pivot'!A:C,3,FALSE)</f>
        <v>#N/A</v>
      </c>
      <c r="P314" s="25">
        <f>IFERROR(VLOOKUP(H314,'Billing CDK pivot (overages)'!A:F,6,FALSE),0)</f>
        <v>0</v>
      </c>
      <c r="Q314" s="25" t="e">
        <f t="shared" si="17"/>
        <v>#N/A</v>
      </c>
      <c r="R314" s="26" t="e">
        <f t="shared" si="18"/>
        <v>#N/A</v>
      </c>
      <c r="S314" s="48" t="e">
        <f t="shared" si="19"/>
        <v>#N/A</v>
      </c>
      <c r="T314" s="6" t="s">
        <v>417</v>
      </c>
      <c r="U314" s="6" t="s">
        <v>763</v>
      </c>
      <c r="V314" s="6" t="s">
        <v>330</v>
      </c>
      <c r="W314" s="6" t="s">
        <v>39</v>
      </c>
      <c r="X314" s="6" t="s">
        <v>38</v>
      </c>
      <c r="Y314" s="6" t="s">
        <v>58</v>
      </c>
      <c r="Z314" s="6" t="s">
        <v>39</v>
      </c>
    </row>
    <row r="315" spans="1:26" hidden="1" x14ac:dyDescent="0.35">
      <c r="A315" s="6" t="s">
        <v>766</v>
      </c>
      <c r="B315" s="6">
        <v>84506</v>
      </c>
      <c r="C315" s="6">
        <v>18083</v>
      </c>
      <c r="D315" s="47">
        <v>2205.35</v>
      </c>
      <c r="E315" s="25">
        <v>0</v>
      </c>
      <c r="F315" s="25">
        <v>264.14999999999998</v>
      </c>
      <c r="G315" s="26">
        <f t="shared" si="16"/>
        <v>264.14999999999998</v>
      </c>
      <c r="H315" s="6">
        <v>76213848</v>
      </c>
      <c r="I315" s="6" t="s">
        <v>767</v>
      </c>
      <c r="J315" s="6"/>
      <c r="K315" s="6"/>
      <c r="L315" s="6"/>
      <c r="M315" s="6" t="e">
        <f>VLOOKUP(H315,'Billing CDK pivot (by package)'!A:D,3,FALSE)</f>
        <v>#N/A</v>
      </c>
      <c r="N315" s="6" t="e">
        <f>VLOOKUP(H315,'Billing CDK pivot (by package)'!A:D,4,FALSE)</f>
        <v>#N/A</v>
      </c>
      <c r="O315" s="25" t="e">
        <f>VLOOKUP(H315,'Billing CDK pivot'!A:C,3,FALSE)</f>
        <v>#N/A</v>
      </c>
      <c r="P315" s="25">
        <f>IFERROR(VLOOKUP(H315,'Billing CDK pivot (overages)'!A:F,6,FALSE),0)</f>
        <v>0</v>
      </c>
      <c r="Q315" s="25" t="e">
        <f t="shared" si="17"/>
        <v>#N/A</v>
      </c>
      <c r="R315" s="26" t="e">
        <f t="shared" si="18"/>
        <v>#N/A</v>
      </c>
      <c r="S315" s="48" t="e">
        <f t="shared" si="19"/>
        <v>#N/A</v>
      </c>
      <c r="T315" s="6" t="s">
        <v>417</v>
      </c>
      <c r="U315" s="6" t="s">
        <v>763</v>
      </c>
      <c r="V315" s="6" t="s">
        <v>330</v>
      </c>
      <c r="W315" s="6" t="s">
        <v>39</v>
      </c>
      <c r="X315" s="6" t="s">
        <v>38</v>
      </c>
      <c r="Y315" s="6" t="s">
        <v>58</v>
      </c>
      <c r="Z315" s="6" t="s">
        <v>39</v>
      </c>
    </row>
    <row r="316" spans="1:26" hidden="1" x14ac:dyDescent="0.35">
      <c r="A316" s="6" t="s">
        <v>768</v>
      </c>
      <c r="B316" s="6">
        <v>139747</v>
      </c>
      <c r="C316" s="6">
        <v>5616</v>
      </c>
      <c r="D316" s="47">
        <v>15.32</v>
      </c>
      <c r="E316" s="25">
        <v>0</v>
      </c>
      <c r="F316" s="25">
        <v>264.14999999999998</v>
      </c>
      <c r="G316" s="26">
        <f t="shared" si="16"/>
        <v>264.14999999999998</v>
      </c>
      <c r="H316" s="6">
        <v>76212077</v>
      </c>
      <c r="I316" s="6" t="s">
        <v>769</v>
      </c>
      <c r="J316" s="6"/>
      <c r="K316" s="6"/>
      <c r="L316" s="6"/>
      <c r="M316" s="6" t="e">
        <f>VLOOKUP(H316,'Billing CDK pivot (by package)'!A:D,3,FALSE)</f>
        <v>#N/A</v>
      </c>
      <c r="N316" s="6" t="e">
        <f>VLOOKUP(H316,'Billing CDK pivot (by package)'!A:D,4,FALSE)</f>
        <v>#N/A</v>
      </c>
      <c r="O316" s="25" t="e">
        <f>VLOOKUP(H316,'Billing CDK pivot'!A:C,3,FALSE)</f>
        <v>#N/A</v>
      </c>
      <c r="P316" s="25">
        <f>IFERROR(VLOOKUP(H316,'Billing CDK pivot (overages)'!A:F,6,FALSE),0)</f>
        <v>0</v>
      </c>
      <c r="Q316" s="25" t="e">
        <f t="shared" si="17"/>
        <v>#N/A</v>
      </c>
      <c r="R316" s="26" t="e">
        <f t="shared" si="18"/>
        <v>#N/A</v>
      </c>
      <c r="S316" s="48" t="e">
        <f t="shared" si="19"/>
        <v>#N/A</v>
      </c>
      <c r="T316" s="6" t="s">
        <v>417</v>
      </c>
      <c r="U316" s="6" t="s">
        <v>763</v>
      </c>
      <c r="V316" s="6" t="s">
        <v>39</v>
      </c>
      <c r="W316" s="6" t="s">
        <v>39</v>
      </c>
      <c r="X316" s="6" t="s">
        <v>38</v>
      </c>
      <c r="Y316" s="6" t="s">
        <v>58</v>
      </c>
      <c r="Z316" s="6" t="s">
        <v>39</v>
      </c>
    </row>
    <row r="317" spans="1:26" hidden="1" x14ac:dyDescent="0.35">
      <c r="A317" s="6" t="s">
        <v>770</v>
      </c>
      <c r="B317" s="6">
        <v>76538</v>
      </c>
      <c r="C317" s="6">
        <v>10382</v>
      </c>
      <c r="D317" s="47">
        <v>371.97</v>
      </c>
      <c r="E317" s="25">
        <v>0</v>
      </c>
      <c r="F317" s="25">
        <v>254.15</v>
      </c>
      <c r="G317" s="26">
        <f t="shared" si="16"/>
        <v>254.15</v>
      </c>
      <c r="H317" s="6">
        <v>76014409</v>
      </c>
      <c r="I317" s="6" t="s">
        <v>771</v>
      </c>
      <c r="J317" s="6"/>
      <c r="K317" s="6"/>
      <c r="L317" s="6"/>
      <c r="M317" s="6" t="e">
        <f>VLOOKUP(H317,'Billing CDK pivot (by package)'!A:D,3,FALSE)</f>
        <v>#N/A</v>
      </c>
      <c r="N317" s="6" t="e">
        <f>VLOOKUP(H317,'Billing CDK pivot (by package)'!A:D,4,FALSE)</f>
        <v>#N/A</v>
      </c>
      <c r="O317" s="25" t="e">
        <f>VLOOKUP(H317,'Billing CDK pivot'!A:C,3,FALSE)</f>
        <v>#N/A</v>
      </c>
      <c r="P317" s="25">
        <f>IFERROR(VLOOKUP(H317,'Billing CDK pivot (overages)'!A:F,6,FALSE),0)</f>
        <v>0</v>
      </c>
      <c r="Q317" s="25" t="e">
        <f t="shared" si="17"/>
        <v>#N/A</v>
      </c>
      <c r="R317" s="26" t="e">
        <f t="shared" si="18"/>
        <v>#N/A</v>
      </c>
      <c r="S317" s="48" t="e">
        <f t="shared" si="19"/>
        <v>#N/A</v>
      </c>
      <c r="T317" s="6" t="s">
        <v>417</v>
      </c>
      <c r="U317" s="6" t="s">
        <v>223</v>
      </c>
      <c r="V317" s="6" t="s">
        <v>39</v>
      </c>
      <c r="W317" s="6" t="s">
        <v>39</v>
      </c>
      <c r="X317" s="6" t="s">
        <v>38</v>
      </c>
      <c r="Y317" s="6" t="s">
        <v>39</v>
      </c>
      <c r="Z317" s="6" t="s">
        <v>39</v>
      </c>
    </row>
    <row r="318" spans="1:26" hidden="1" x14ac:dyDescent="0.35">
      <c r="A318" s="6" t="s">
        <v>772</v>
      </c>
      <c r="B318" s="6">
        <v>134332</v>
      </c>
      <c r="C318" s="6">
        <v>16067</v>
      </c>
      <c r="D318" s="47">
        <v>0.66</v>
      </c>
      <c r="E318" s="25">
        <v>0</v>
      </c>
      <c r="F318" s="25">
        <v>254.15</v>
      </c>
      <c r="G318" s="26">
        <f t="shared" si="16"/>
        <v>254.15</v>
      </c>
      <c r="H318" s="6">
        <v>76073874</v>
      </c>
      <c r="I318" s="6" t="s">
        <v>773</v>
      </c>
      <c r="J318" s="6"/>
      <c r="K318" s="6"/>
      <c r="L318" s="6"/>
      <c r="M318" s="6" t="e">
        <f>VLOOKUP(H318,'Billing CDK pivot (by package)'!A:D,3,FALSE)</f>
        <v>#N/A</v>
      </c>
      <c r="N318" s="6" t="e">
        <f>VLOOKUP(H318,'Billing CDK pivot (by package)'!A:D,4,FALSE)</f>
        <v>#N/A</v>
      </c>
      <c r="O318" s="25" t="e">
        <f>VLOOKUP(H318,'Billing CDK pivot'!A:C,3,FALSE)</f>
        <v>#N/A</v>
      </c>
      <c r="P318" s="25">
        <f>IFERROR(VLOOKUP(H318,'Billing CDK pivot (overages)'!A:F,6,FALSE),0)</f>
        <v>0</v>
      </c>
      <c r="Q318" s="25" t="e">
        <f t="shared" si="17"/>
        <v>#N/A</v>
      </c>
      <c r="R318" s="26" t="e">
        <f t="shared" si="18"/>
        <v>#N/A</v>
      </c>
      <c r="S318" s="48" t="e">
        <f t="shared" si="19"/>
        <v>#N/A</v>
      </c>
      <c r="T318" s="6" t="s">
        <v>417</v>
      </c>
      <c r="U318" s="6" t="s">
        <v>774</v>
      </c>
      <c r="V318" s="6" t="s">
        <v>39</v>
      </c>
      <c r="W318" s="6" t="s">
        <v>39</v>
      </c>
      <c r="X318" s="6" t="s">
        <v>50</v>
      </c>
      <c r="Y318" s="6" t="s">
        <v>39</v>
      </c>
      <c r="Z318" s="6" t="s">
        <v>39</v>
      </c>
    </row>
    <row r="319" spans="1:26" hidden="1" x14ac:dyDescent="0.35">
      <c r="A319" s="6" t="s">
        <v>775</v>
      </c>
      <c r="B319" s="6">
        <v>142323</v>
      </c>
      <c r="C319" s="6">
        <v>22425</v>
      </c>
      <c r="D319" s="47">
        <v>679.89</v>
      </c>
      <c r="E319" s="25">
        <v>0</v>
      </c>
      <c r="F319" s="25">
        <v>434.15</v>
      </c>
      <c r="G319" s="26">
        <f t="shared" si="16"/>
        <v>434.15</v>
      </c>
      <c r="H319" s="6">
        <v>76025950</v>
      </c>
      <c r="I319" s="6" t="s">
        <v>776</v>
      </c>
      <c r="J319" s="6"/>
      <c r="K319" s="6"/>
      <c r="L319" s="6"/>
      <c r="M319" s="6" t="e">
        <f>VLOOKUP(H319,'Billing CDK pivot (by package)'!A:D,3,FALSE)</f>
        <v>#N/A</v>
      </c>
      <c r="N319" s="6" t="e">
        <f>VLOOKUP(H319,'Billing CDK pivot (by package)'!A:D,4,FALSE)</f>
        <v>#N/A</v>
      </c>
      <c r="O319" s="25" t="e">
        <f>VLOOKUP(H319,'Billing CDK pivot'!A:C,3,FALSE)</f>
        <v>#N/A</v>
      </c>
      <c r="P319" s="25">
        <f>IFERROR(VLOOKUP(H319,'Billing CDK pivot (overages)'!A:F,6,FALSE),0)</f>
        <v>0</v>
      </c>
      <c r="Q319" s="25" t="e">
        <f t="shared" si="17"/>
        <v>#N/A</v>
      </c>
      <c r="R319" s="26" t="e">
        <f t="shared" si="18"/>
        <v>#N/A</v>
      </c>
      <c r="S319" s="48" t="e">
        <f t="shared" si="19"/>
        <v>#N/A</v>
      </c>
      <c r="T319" s="6" t="s">
        <v>417</v>
      </c>
      <c r="U319" s="6" t="s">
        <v>777</v>
      </c>
      <c r="V319" s="6" t="s">
        <v>39</v>
      </c>
      <c r="W319" s="6" t="s">
        <v>39</v>
      </c>
      <c r="X319" s="6" t="s">
        <v>44</v>
      </c>
      <c r="Y319" s="6" t="s">
        <v>53</v>
      </c>
      <c r="Z319" s="6" t="s">
        <v>39</v>
      </c>
    </row>
    <row r="320" spans="1:26" hidden="1" x14ac:dyDescent="0.35">
      <c r="A320" s="6" t="s">
        <v>778</v>
      </c>
      <c r="B320" s="6">
        <v>77683</v>
      </c>
      <c r="C320" s="6">
        <v>11003</v>
      </c>
      <c r="D320" s="47">
        <v>6935.99</v>
      </c>
      <c r="E320" s="25">
        <v>0</v>
      </c>
      <c r="F320" s="25">
        <v>434.15</v>
      </c>
      <c r="G320" s="26">
        <f t="shared" si="16"/>
        <v>434.15</v>
      </c>
      <c r="H320" s="6" t="s">
        <v>779</v>
      </c>
      <c r="I320" s="6" t="s">
        <v>780</v>
      </c>
      <c r="J320" s="6"/>
      <c r="K320" s="6"/>
      <c r="L320" s="6"/>
      <c r="M320" s="6" t="str">
        <f>VLOOKUP(H320,'Billing CDK pivot (by package)'!A:D,3,FALSE)</f>
        <v>4570060</v>
      </c>
      <c r="N320" s="6" t="str">
        <f>VLOOKUP(H320,'Billing CDK pivot (by package)'!A:D,4,FALSE)</f>
        <v>CRM OUTBOUND TELEPHONY TRACKING (NEW AND CONVERSION)</v>
      </c>
      <c r="O320" s="25" t="e">
        <f>VLOOKUP(H320,'Billing CDK pivot'!A:C,3,FALSE)</f>
        <v>#N/A</v>
      </c>
      <c r="P320" s="25">
        <f>IFERROR(VLOOKUP(H320,'Billing CDK pivot (overages)'!A:F,6,FALSE),0)</f>
        <v>0</v>
      </c>
      <c r="Q320" s="25" t="e">
        <f t="shared" si="17"/>
        <v>#N/A</v>
      </c>
      <c r="R320" s="26" t="e">
        <f t="shared" si="18"/>
        <v>#N/A</v>
      </c>
      <c r="S320" s="48" t="e">
        <f t="shared" si="19"/>
        <v>#N/A</v>
      </c>
      <c r="T320" s="6" t="s">
        <v>417</v>
      </c>
      <c r="U320" s="6" t="s">
        <v>781</v>
      </c>
      <c r="V320" s="6" t="s">
        <v>39</v>
      </c>
      <c r="W320" s="6" t="s">
        <v>39</v>
      </c>
      <c r="X320" s="6" t="s">
        <v>50</v>
      </c>
      <c r="Y320" s="6" t="s">
        <v>147</v>
      </c>
      <c r="Z320" s="6" t="s">
        <v>39</v>
      </c>
    </row>
    <row r="321" spans="1:26" hidden="1" x14ac:dyDescent="0.35">
      <c r="A321" s="6" t="s">
        <v>782</v>
      </c>
      <c r="B321" s="6">
        <v>79117</v>
      </c>
      <c r="C321" s="6">
        <v>17537</v>
      </c>
      <c r="D321" s="47">
        <v>12216.95</v>
      </c>
      <c r="E321" s="25">
        <v>329.34</v>
      </c>
      <c r="F321" s="25">
        <v>1069.3399999999999</v>
      </c>
      <c r="G321" s="26">
        <f t="shared" si="16"/>
        <v>740</v>
      </c>
      <c r="H321" s="6">
        <v>76213059</v>
      </c>
      <c r="I321" s="6" t="s">
        <v>783</v>
      </c>
      <c r="J321" s="6"/>
      <c r="K321" s="6"/>
      <c r="L321" s="6"/>
      <c r="M321" s="6" t="e">
        <f>VLOOKUP(H321,'Billing CDK pivot (by package)'!A:D,3,FALSE)</f>
        <v>#N/A</v>
      </c>
      <c r="N321" s="6" t="e">
        <f>VLOOKUP(H321,'Billing CDK pivot (by package)'!A:D,4,FALSE)</f>
        <v>#N/A</v>
      </c>
      <c r="O321" s="25" t="e">
        <f>VLOOKUP(H321,'Billing CDK pivot'!A:C,3,FALSE)</f>
        <v>#N/A</v>
      </c>
      <c r="P321" s="25">
        <f>IFERROR(VLOOKUP(H321,'Billing CDK pivot (overages)'!A:F,6,FALSE),0)</f>
        <v>0</v>
      </c>
      <c r="Q321" s="25" t="e">
        <f t="shared" si="17"/>
        <v>#N/A</v>
      </c>
      <c r="R321" s="26" t="e">
        <f t="shared" si="18"/>
        <v>#N/A</v>
      </c>
      <c r="S321" s="48" t="e">
        <f t="shared" si="19"/>
        <v>#N/A</v>
      </c>
      <c r="T321" s="6" t="s">
        <v>417</v>
      </c>
      <c r="U321" s="6" t="s">
        <v>170</v>
      </c>
      <c r="V321" s="6" t="s">
        <v>158</v>
      </c>
      <c r="W321" s="6" t="s">
        <v>39</v>
      </c>
      <c r="X321" s="6" t="s">
        <v>38</v>
      </c>
      <c r="Y321" s="6" t="s">
        <v>387</v>
      </c>
      <c r="Z321" s="6" t="s">
        <v>255</v>
      </c>
    </row>
    <row r="322" spans="1:26" hidden="1" x14ac:dyDescent="0.35">
      <c r="A322" s="6" t="s">
        <v>784</v>
      </c>
      <c r="B322" s="6">
        <v>146974</v>
      </c>
      <c r="C322" s="6">
        <v>8323</v>
      </c>
      <c r="D322" s="47">
        <v>135.66999999999999</v>
      </c>
      <c r="E322" s="25">
        <v>0</v>
      </c>
      <c r="F322" s="25">
        <v>1274.1500000000001</v>
      </c>
      <c r="G322" s="26">
        <f t="shared" si="16"/>
        <v>1274.1500000000001</v>
      </c>
      <c r="H322" s="6">
        <v>76212200</v>
      </c>
      <c r="I322" s="6" t="s">
        <v>785</v>
      </c>
      <c r="J322" s="6"/>
      <c r="K322" s="6"/>
      <c r="L322" s="6"/>
      <c r="M322" s="6" t="e">
        <f>VLOOKUP(H322,'Billing CDK pivot (by package)'!A:D,3,FALSE)</f>
        <v>#N/A</v>
      </c>
      <c r="N322" s="6" t="e">
        <f>VLOOKUP(H322,'Billing CDK pivot (by package)'!A:D,4,FALSE)</f>
        <v>#N/A</v>
      </c>
      <c r="O322" s="25" t="e">
        <f>VLOOKUP(H322,'Billing CDK pivot'!A:C,3,FALSE)</f>
        <v>#N/A</v>
      </c>
      <c r="P322" s="25">
        <f>IFERROR(VLOOKUP(H322,'Billing CDK pivot (overages)'!A:F,6,FALSE),0)</f>
        <v>0</v>
      </c>
      <c r="Q322" s="25" t="e">
        <f t="shared" si="17"/>
        <v>#N/A</v>
      </c>
      <c r="R322" s="26" t="e">
        <f t="shared" si="18"/>
        <v>#N/A</v>
      </c>
      <c r="S322" s="48" t="e">
        <f t="shared" si="19"/>
        <v>#N/A</v>
      </c>
      <c r="T322" s="6" t="s">
        <v>417</v>
      </c>
      <c r="U322" s="6" t="s">
        <v>786</v>
      </c>
      <c r="V322" s="6" t="s">
        <v>39</v>
      </c>
      <c r="W322" s="6" t="s">
        <v>39</v>
      </c>
      <c r="X322" s="6" t="s">
        <v>38</v>
      </c>
      <c r="Y322" s="6" t="s">
        <v>39</v>
      </c>
      <c r="Z322" s="6" t="s">
        <v>39</v>
      </c>
    </row>
    <row r="323" spans="1:26" hidden="1" x14ac:dyDescent="0.35">
      <c r="A323" s="6" t="s">
        <v>787</v>
      </c>
      <c r="B323" s="6">
        <v>91496</v>
      </c>
      <c r="C323" s="6">
        <v>17409</v>
      </c>
      <c r="D323" s="47">
        <v>2822.58</v>
      </c>
      <c r="E323" s="25">
        <v>0</v>
      </c>
      <c r="F323" s="25">
        <v>424.15</v>
      </c>
      <c r="G323" s="26">
        <f t="shared" ref="G323:G385" si="20">+F323-E323</f>
        <v>424.15</v>
      </c>
      <c r="H323" s="6" t="s">
        <v>788</v>
      </c>
      <c r="I323" s="6" t="s">
        <v>789</v>
      </c>
      <c r="J323" s="6"/>
      <c r="K323" s="6"/>
      <c r="L323" s="6"/>
      <c r="M323" s="6" t="str">
        <f>VLOOKUP(H323,'Billing CDK pivot (by package)'!A:D,3,FALSE)</f>
        <v>4570060</v>
      </c>
      <c r="N323" s="6" t="str">
        <f>VLOOKUP(H323,'Billing CDK pivot (by package)'!A:D,4,FALSE)</f>
        <v>CRM OUTBOUND TELEPHONY TRACKING (NEW AND CONVERSION)</v>
      </c>
      <c r="O323" s="25" t="e">
        <f>VLOOKUP(H323,'Billing CDK pivot'!A:C,3,FALSE)</f>
        <v>#N/A</v>
      </c>
      <c r="P323" s="25">
        <f>IFERROR(VLOOKUP(H323,'Billing CDK pivot (overages)'!A:F,6,FALSE),0)</f>
        <v>0</v>
      </c>
      <c r="Q323" s="25" t="e">
        <f t="shared" ref="Q323:Q385" si="21">+O323+P323</f>
        <v>#N/A</v>
      </c>
      <c r="R323" s="26" t="e">
        <f t="shared" ref="R323:R385" si="22">+O323-G323</f>
        <v>#N/A</v>
      </c>
      <c r="S323" s="48" t="e">
        <f t="shared" ref="S323:S385" si="23">+R323/O323</f>
        <v>#N/A</v>
      </c>
      <c r="T323" s="6" t="s">
        <v>417</v>
      </c>
      <c r="U323" s="6" t="s">
        <v>781</v>
      </c>
      <c r="V323" s="6" t="s">
        <v>39</v>
      </c>
      <c r="W323" s="6" t="s">
        <v>39</v>
      </c>
      <c r="X323" s="6" t="s">
        <v>50</v>
      </c>
      <c r="Y323" s="6" t="s">
        <v>39</v>
      </c>
      <c r="Z323" s="6" t="s">
        <v>39</v>
      </c>
    </row>
    <row r="324" spans="1:26" hidden="1" x14ac:dyDescent="0.35">
      <c r="A324" s="6" t="s">
        <v>790</v>
      </c>
      <c r="B324" s="6">
        <v>144127</v>
      </c>
      <c r="C324" s="6">
        <v>24727</v>
      </c>
      <c r="D324" s="47">
        <v>189.32</v>
      </c>
      <c r="E324" s="25">
        <v>0</v>
      </c>
      <c r="F324" s="25">
        <v>254.15</v>
      </c>
      <c r="G324" s="26">
        <f t="shared" si="20"/>
        <v>254.15</v>
      </c>
      <c r="H324" s="6">
        <v>76220881</v>
      </c>
      <c r="I324" s="6" t="s">
        <v>791</v>
      </c>
      <c r="J324" s="6"/>
      <c r="K324" s="6"/>
      <c r="L324" s="6"/>
      <c r="M324" s="6" t="e">
        <f>VLOOKUP(H324,'Billing CDK pivot (by package)'!A:D,3,FALSE)</f>
        <v>#N/A</v>
      </c>
      <c r="N324" s="6" t="e">
        <f>VLOOKUP(H324,'Billing CDK pivot (by package)'!A:D,4,FALSE)</f>
        <v>#N/A</v>
      </c>
      <c r="O324" s="25" t="e">
        <f>VLOOKUP(H324,'Billing CDK pivot'!A:C,3,FALSE)</f>
        <v>#N/A</v>
      </c>
      <c r="P324" s="25">
        <f>IFERROR(VLOOKUP(H324,'Billing CDK pivot (overages)'!A:F,6,FALSE),0)</f>
        <v>0</v>
      </c>
      <c r="Q324" s="25" t="e">
        <f t="shared" si="21"/>
        <v>#N/A</v>
      </c>
      <c r="R324" s="26" t="e">
        <f t="shared" si="22"/>
        <v>#N/A</v>
      </c>
      <c r="S324" s="48" t="e">
        <f t="shared" si="23"/>
        <v>#N/A</v>
      </c>
      <c r="T324" s="6" t="s">
        <v>417</v>
      </c>
      <c r="U324" s="6" t="s">
        <v>763</v>
      </c>
      <c r="V324" s="6" t="s">
        <v>39</v>
      </c>
      <c r="W324" s="6" t="s">
        <v>39</v>
      </c>
      <c r="X324" s="6" t="s">
        <v>38</v>
      </c>
      <c r="Y324" s="6" t="s">
        <v>39</v>
      </c>
      <c r="Z324" s="6" t="s">
        <v>39</v>
      </c>
    </row>
    <row r="325" spans="1:26" hidden="1" x14ac:dyDescent="0.35">
      <c r="A325" s="6" t="s">
        <v>792</v>
      </c>
      <c r="B325" s="6">
        <v>61123</v>
      </c>
      <c r="C325" s="6">
        <v>7279</v>
      </c>
      <c r="D325" s="47">
        <v>5108.68</v>
      </c>
      <c r="E325" s="25">
        <v>76.5</v>
      </c>
      <c r="F325" s="25">
        <v>340.65</v>
      </c>
      <c r="G325" s="26">
        <f t="shared" si="20"/>
        <v>264.14999999999998</v>
      </c>
      <c r="H325" s="6">
        <v>76065772</v>
      </c>
      <c r="I325" s="6" t="s">
        <v>793</v>
      </c>
      <c r="J325" s="6"/>
      <c r="K325" s="6"/>
      <c r="L325" s="6"/>
      <c r="M325" s="6" t="e">
        <f>VLOOKUP(H325,'Billing CDK pivot (by package)'!A:D,3,FALSE)</f>
        <v>#N/A</v>
      </c>
      <c r="N325" s="6" t="e">
        <f>VLOOKUP(H325,'Billing CDK pivot (by package)'!A:D,4,FALSE)</f>
        <v>#N/A</v>
      </c>
      <c r="O325" s="25" t="e">
        <f>VLOOKUP(H325,'Billing CDK pivot'!A:C,3,FALSE)</f>
        <v>#N/A</v>
      </c>
      <c r="P325" s="25">
        <f>IFERROR(VLOOKUP(H325,'Billing CDK pivot (overages)'!A:F,6,FALSE),0)</f>
        <v>0</v>
      </c>
      <c r="Q325" s="25" t="e">
        <f t="shared" si="21"/>
        <v>#N/A</v>
      </c>
      <c r="R325" s="26" t="e">
        <f t="shared" si="22"/>
        <v>#N/A</v>
      </c>
      <c r="S325" s="48" t="e">
        <f t="shared" si="23"/>
        <v>#N/A</v>
      </c>
      <c r="T325" s="6" t="s">
        <v>417</v>
      </c>
      <c r="U325" s="6" t="s">
        <v>794</v>
      </c>
      <c r="V325" s="6" t="s">
        <v>39</v>
      </c>
      <c r="W325" s="6" t="s">
        <v>39</v>
      </c>
      <c r="X325" s="6" t="s">
        <v>38</v>
      </c>
      <c r="Y325" s="6" t="s">
        <v>50</v>
      </c>
      <c r="Z325" s="6" t="s">
        <v>39</v>
      </c>
    </row>
    <row r="326" spans="1:26" hidden="1" x14ac:dyDescent="0.35">
      <c r="A326" s="6" t="s">
        <v>795</v>
      </c>
      <c r="B326" s="6">
        <v>117610</v>
      </c>
      <c r="C326" s="6">
        <v>19948</v>
      </c>
      <c r="D326" s="47">
        <v>3759.46</v>
      </c>
      <c r="E326" s="25">
        <v>17.899999999999999</v>
      </c>
      <c r="F326" s="25">
        <v>282.05</v>
      </c>
      <c r="G326" s="26">
        <f t="shared" si="20"/>
        <v>264.15000000000003</v>
      </c>
      <c r="H326" s="6">
        <v>76215893</v>
      </c>
      <c r="I326" s="6" t="s">
        <v>796</v>
      </c>
      <c r="J326" s="6"/>
      <c r="K326" s="6"/>
      <c r="L326" s="6"/>
      <c r="M326" s="6" t="e">
        <f>VLOOKUP(H326,'Billing CDK pivot (by package)'!A:D,3,FALSE)</f>
        <v>#N/A</v>
      </c>
      <c r="N326" s="6" t="e">
        <f>VLOOKUP(H326,'Billing CDK pivot (by package)'!A:D,4,FALSE)</f>
        <v>#N/A</v>
      </c>
      <c r="O326" s="25" t="e">
        <f>VLOOKUP(H326,'Billing CDK pivot'!A:C,3,FALSE)</f>
        <v>#N/A</v>
      </c>
      <c r="P326" s="25">
        <f>IFERROR(VLOOKUP(H326,'Billing CDK pivot (overages)'!A:F,6,FALSE),0)</f>
        <v>0</v>
      </c>
      <c r="Q326" s="25" t="e">
        <f t="shared" si="21"/>
        <v>#N/A</v>
      </c>
      <c r="R326" s="26" t="e">
        <f t="shared" si="22"/>
        <v>#N/A</v>
      </c>
      <c r="S326" s="48" t="e">
        <f t="shared" si="23"/>
        <v>#N/A</v>
      </c>
      <c r="T326" s="6" t="s">
        <v>417</v>
      </c>
      <c r="U326" s="6" t="s">
        <v>797</v>
      </c>
      <c r="V326" s="6" t="s">
        <v>39</v>
      </c>
      <c r="W326" s="6" t="s">
        <v>39</v>
      </c>
      <c r="X326" s="6" t="s">
        <v>38</v>
      </c>
      <c r="Y326" s="6" t="s">
        <v>58</v>
      </c>
      <c r="Z326" s="6" t="s">
        <v>39</v>
      </c>
    </row>
    <row r="327" spans="1:26" hidden="1" x14ac:dyDescent="0.35">
      <c r="A327" s="6" t="s">
        <v>798</v>
      </c>
      <c r="B327" s="6">
        <v>97583</v>
      </c>
      <c r="C327" s="6">
        <v>18845</v>
      </c>
      <c r="D327" s="47">
        <v>5953.88</v>
      </c>
      <c r="E327" s="25">
        <v>134.82</v>
      </c>
      <c r="F327" s="25">
        <v>398.97</v>
      </c>
      <c r="G327" s="26">
        <f t="shared" si="20"/>
        <v>264.15000000000003</v>
      </c>
      <c r="H327" s="6">
        <v>76166940</v>
      </c>
      <c r="I327" s="6" t="s">
        <v>799</v>
      </c>
      <c r="J327" s="6"/>
      <c r="K327" s="6"/>
      <c r="L327" s="6"/>
      <c r="M327" s="6" t="e">
        <f>VLOOKUP(H327,'Billing CDK pivot (by package)'!A:D,3,FALSE)</f>
        <v>#N/A</v>
      </c>
      <c r="N327" s="6" t="e">
        <f>VLOOKUP(H327,'Billing CDK pivot (by package)'!A:D,4,FALSE)</f>
        <v>#N/A</v>
      </c>
      <c r="O327" s="25" t="e">
        <f>VLOOKUP(H327,'Billing CDK pivot'!A:C,3,FALSE)</f>
        <v>#N/A</v>
      </c>
      <c r="P327" s="25">
        <f>IFERROR(VLOOKUP(H327,'Billing CDK pivot (overages)'!A:F,6,FALSE),0)</f>
        <v>0</v>
      </c>
      <c r="Q327" s="25" t="e">
        <f t="shared" si="21"/>
        <v>#N/A</v>
      </c>
      <c r="R327" s="26" t="e">
        <f t="shared" si="22"/>
        <v>#N/A</v>
      </c>
      <c r="S327" s="48" t="e">
        <f t="shared" si="23"/>
        <v>#N/A</v>
      </c>
      <c r="T327" s="6" t="s">
        <v>417</v>
      </c>
      <c r="U327" s="6" t="s">
        <v>797</v>
      </c>
      <c r="V327" s="6" t="s">
        <v>39</v>
      </c>
      <c r="W327" s="6" t="s">
        <v>39</v>
      </c>
      <c r="X327" s="6" t="s">
        <v>38</v>
      </c>
      <c r="Y327" s="6" t="s">
        <v>50</v>
      </c>
      <c r="Z327" s="6" t="s">
        <v>39</v>
      </c>
    </row>
    <row r="328" spans="1:26" hidden="1" x14ac:dyDescent="0.35">
      <c r="A328" s="6" t="s">
        <v>800</v>
      </c>
      <c r="B328" s="6">
        <v>97582</v>
      </c>
      <c r="C328" s="6">
        <v>18860</v>
      </c>
      <c r="D328" s="47">
        <v>4674.26</v>
      </c>
      <c r="E328" s="25">
        <v>46.52</v>
      </c>
      <c r="F328" s="25">
        <v>310.67</v>
      </c>
      <c r="G328" s="26">
        <f t="shared" si="20"/>
        <v>264.15000000000003</v>
      </c>
      <c r="H328" s="6">
        <v>76166930</v>
      </c>
      <c r="I328" s="6" t="s">
        <v>801</v>
      </c>
      <c r="J328" s="6"/>
      <c r="K328" s="6"/>
      <c r="L328" s="6"/>
      <c r="M328" s="6" t="e">
        <f>VLOOKUP(H328,'Billing CDK pivot (by package)'!A:D,3,FALSE)</f>
        <v>#N/A</v>
      </c>
      <c r="N328" s="6" t="e">
        <f>VLOOKUP(H328,'Billing CDK pivot (by package)'!A:D,4,FALSE)</f>
        <v>#N/A</v>
      </c>
      <c r="O328" s="25" t="e">
        <f>VLOOKUP(H328,'Billing CDK pivot'!A:C,3,FALSE)</f>
        <v>#N/A</v>
      </c>
      <c r="P328" s="25">
        <f>IFERROR(VLOOKUP(H328,'Billing CDK pivot (overages)'!A:F,6,FALSE),0)</f>
        <v>0</v>
      </c>
      <c r="Q328" s="25" t="e">
        <f t="shared" si="21"/>
        <v>#N/A</v>
      </c>
      <c r="R328" s="26" t="e">
        <f t="shared" si="22"/>
        <v>#N/A</v>
      </c>
      <c r="S328" s="48" t="e">
        <f t="shared" si="23"/>
        <v>#N/A</v>
      </c>
      <c r="T328" s="6" t="s">
        <v>417</v>
      </c>
      <c r="U328" s="6" t="s">
        <v>797</v>
      </c>
      <c r="V328" s="6" t="s">
        <v>39</v>
      </c>
      <c r="W328" s="6" t="s">
        <v>39</v>
      </c>
      <c r="X328" s="6" t="s">
        <v>38</v>
      </c>
      <c r="Y328" s="6" t="s">
        <v>50</v>
      </c>
      <c r="Z328" s="6" t="s">
        <v>39</v>
      </c>
    </row>
    <row r="329" spans="1:26" hidden="1" x14ac:dyDescent="0.35">
      <c r="A329" s="6" t="s">
        <v>802</v>
      </c>
      <c r="B329" s="6">
        <v>61125</v>
      </c>
      <c r="C329" s="6">
        <v>16270</v>
      </c>
      <c r="D329" s="47">
        <v>2834.74</v>
      </c>
      <c r="E329" s="25">
        <v>0</v>
      </c>
      <c r="F329" s="25">
        <v>264.14999999999998</v>
      </c>
      <c r="G329" s="26">
        <f t="shared" si="20"/>
        <v>264.14999999999998</v>
      </c>
      <c r="H329" s="6">
        <v>76065770</v>
      </c>
      <c r="I329" s="6" t="s">
        <v>803</v>
      </c>
      <c r="J329" s="6"/>
      <c r="K329" s="6"/>
      <c r="L329" s="6"/>
      <c r="M329" s="6" t="e">
        <f>VLOOKUP(H329,'Billing CDK pivot (by package)'!A:D,3,FALSE)</f>
        <v>#N/A</v>
      </c>
      <c r="N329" s="6" t="e">
        <f>VLOOKUP(H329,'Billing CDK pivot (by package)'!A:D,4,FALSE)</f>
        <v>#N/A</v>
      </c>
      <c r="O329" s="25" t="e">
        <f>VLOOKUP(H329,'Billing CDK pivot'!A:C,3,FALSE)</f>
        <v>#N/A</v>
      </c>
      <c r="P329" s="25">
        <f>IFERROR(VLOOKUP(H329,'Billing CDK pivot (overages)'!A:F,6,FALSE),0)</f>
        <v>0</v>
      </c>
      <c r="Q329" s="25" t="e">
        <f t="shared" si="21"/>
        <v>#N/A</v>
      </c>
      <c r="R329" s="26" t="e">
        <f t="shared" si="22"/>
        <v>#N/A</v>
      </c>
      <c r="S329" s="48" t="e">
        <f t="shared" si="23"/>
        <v>#N/A</v>
      </c>
      <c r="T329" s="6" t="s">
        <v>417</v>
      </c>
      <c r="U329" s="6" t="s">
        <v>797</v>
      </c>
      <c r="V329" s="6" t="s">
        <v>39</v>
      </c>
      <c r="W329" s="6" t="s">
        <v>39</v>
      </c>
      <c r="X329" s="6" t="s">
        <v>38</v>
      </c>
      <c r="Y329" s="6" t="s">
        <v>50</v>
      </c>
      <c r="Z329" s="6" t="s">
        <v>39</v>
      </c>
    </row>
    <row r="330" spans="1:26" hidden="1" x14ac:dyDescent="0.35">
      <c r="A330" s="6" t="s">
        <v>804</v>
      </c>
      <c r="B330" s="6">
        <v>144423</v>
      </c>
      <c r="C330" s="6">
        <v>19607</v>
      </c>
      <c r="D330" s="47">
        <v>1104.6099999999999</v>
      </c>
      <c r="E330" s="25">
        <v>0</v>
      </c>
      <c r="F330" s="25">
        <v>264.14999999999998</v>
      </c>
      <c r="G330" s="26">
        <f t="shared" si="20"/>
        <v>264.14999999999998</v>
      </c>
      <c r="H330" s="6">
        <v>76214615</v>
      </c>
      <c r="I330" s="6" t="s">
        <v>805</v>
      </c>
      <c r="J330" s="6"/>
      <c r="K330" s="6"/>
      <c r="L330" s="6"/>
      <c r="M330" s="6" t="e">
        <f>VLOOKUP(H330,'Billing CDK pivot (by package)'!A:D,3,FALSE)</f>
        <v>#N/A</v>
      </c>
      <c r="N330" s="6" t="e">
        <f>VLOOKUP(H330,'Billing CDK pivot (by package)'!A:D,4,FALSE)</f>
        <v>#N/A</v>
      </c>
      <c r="O330" s="25" t="e">
        <f>VLOOKUP(H330,'Billing CDK pivot'!A:C,3,FALSE)</f>
        <v>#N/A</v>
      </c>
      <c r="P330" s="25">
        <f>IFERROR(VLOOKUP(H330,'Billing CDK pivot (overages)'!A:F,6,FALSE),0)</f>
        <v>0</v>
      </c>
      <c r="Q330" s="25" t="e">
        <f t="shared" si="21"/>
        <v>#N/A</v>
      </c>
      <c r="R330" s="26" t="e">
        <f t="shared" si="22"/>
        <v>#N/A</v>
      </c>
      <c r="S330" s="48" t="e">
        <f t="shared" si="23"/>
        <v>#N/A</v>
      </c>
      <c r="T330" s="6" t="s">
        <v>417</v>
      </c>
      <c r="U330" s="6" t="s">
        <v>806</v>
      </c>
      <c r="V330" s="6" t="s">
        <v>39</v>
      </c>
      <c r="W330" s="6" t="s">
        <v>39</v>
      </c>
      <c r="X330" s="6" t="s">
        <v>38</v>
      </c>
      <c r="Y330" s="6" t="s">
        <v>58</v>
      </c>
      <c r="Z330" s="6" t="s">
        <v>39</v>
      </c>
    </row>
    <row r="331" spans="1:26" hidden="1" x14ac:dyDescent="0.35">
      <c r="A331" s="6" t="s">
        <v>807</v>
      </c>
      <c r="B331" s="6">
        <v>97592</v>
      </c>
      <c r="C331" s="6">
        <v>18847</v>
      </c>
      <c r="D331" s="47">
        <v>3453.03</v>
      </c>
      <c r="E331" s="25">
        <v>0</v>
      </c>
      <c r="F331" s="25">
        <v>264.14999999999998</v>
      </c>
      <c r="G331" s="26">
        <f t="shared" si="20"/>
        <v>264.14999999999998</v>
      </c>
      <c r="H331" s="6">
        <v>76170037</v>
      </c>
      <c r="I331" s="6" t="s">
        <v>808</v>
      </c>
      <c r="J331" s="6"/>
      <c r="K331" s="6"/>
      <c r="L331" s="6"/>
      <c r="M331" s="6" t="e">
        <f>VLOOKUP(H331,'Billing CDK pivot (by package)'!A:D,3,FALSE)</f>
        <v>#N/A</v>
      </c>
      <c r="N331" s="6" t="e">
        <f>VLOOKUP(H331,'Billing CDK pivot (by package)'!A:D,4,FALSE)</f>
        <v>#N/A</v>
      </c>
      <c r="O331" s="25" t="e">
        <f>VLOOKUP(H331,'Billing CDK pivot'!A:C,3,FALSE)</f>
        <v>#N/A</v>
      </c>
      <c r="P331" s="25">
        <f>IFERROR(VLOOKUP(H331,'Billing CDK pivot (overages)'!A:F,6,FALSE),0)</f>
        <v>0</v>
      </c>
      <c r="Q331" s="25" t="e">
        <f t="shared" si="21"/>
        <v>#N/A</v>
      </c>
      <c r="R331" s="26" t="e">
        <f t="shared" si="22"/>
        <v>#N/A</v>
      </c>
      <c r="S331" s="48" t="e">
        <f t="shared" si="23"/>
        <v>#N/A</v>
      </c>
      <c r="T331" s="6" t="s">
        <v>417</v>
      </c>
      <c r="U331" s="6" t="s">
        <v>797</v>
      </c>
      <c r="V331" s="6" t="s">
        <v>39</v>
      </c>
      <c r="W331" s="6" t="s">
        <v>39</v>
      </c>
      <c r="X331" s="6" t="s">
        <v>38</v>
      </c>
      <c r="Y331" s="6" t="s">
        <v>50</v>
      </c>
      <c r="Z331" s="6" t="s">
        <v>39</v>
      </c>
    </row>
    <row r="332" spans="1:26" hidden="1" x14ac:dyDescent="0.35">
      <c r="A332" s="6" t="s">
        <v>809</v>
      </c>
      <c r="B332" s="6">
        <v>97580</v>
      </c>
      <c r="C332" s="6">
        <v>18855</v>
      </c>
      <c r="D332" s="47">
        <v>3100.06</v>
      </c>
      <c r="E332" s="25">
        <v>0</v>
      </c>
      <c r="F332" s="25">
        <v>264.14999999999998</v>
      </c>
      <c r="G332" s="26">
        <f t="shared" si="20"/>
        <v>264.14999999999998</v>
      </c>
      <c r="H332" s="6">
        <v>76166889</v>
      </c>
      <c r="I332" s="6" t="s">
        <v>810</v>
      </c>
      <c r="J332" s="6"/>
      <c r="K332" s="6"/>
      <c r="L332" s="6"/>
      <c r="M332" s="6" t="e">
        <f>VLOOKUP(H332,'Billing CDK pivot (by package)'!A:D,3,FALSE)</f>
        <v>#N/A</v>
      </c>
      <c r="N332" s="6" t="e">
        <f>VLOOKUP(H332,'Billing CDK pivot (by package)'!A:D,4,FALSE)</f>
        <v>#N/A</v>
      </c>
      <c r="O332" s="25" t="e">
        <f>VLOOKUP(H332,'Billing CDK pivot'!A:C,3,FALSE)</f>
        <v>#N/A</v>
      </c>
      <c r="P332" s="25">
        <f>IFERROR(VLOOKUP(H332,'Billing CDK pivot (overages)'!A:F,6,FALSE),0)</f>
        <v>0</v>
      </c>
      <c r="Q332" s="25" t="e">
        <f t="shared" si="21"/>
        <v>#N/A</v>
      </c>
      <c r="R332" s="26" t="e">
        <f t="shared" si="22"/>
        <v>#N/A</v>
      </c>
      <c r="S332" s="48" t="e">
        <f t="shared" si="23"/>
        <v>#N/A</v>
      </c>
      <c r="T332" s="6" t="s">
        <v>417</v>
      </c>
      <c r="U332" s="6" t="s">
        <v>797</v>
      </c>
      <c r="V332" s="6" t="s">
        <v>39</v>
      </c>
      <c r="W332" s="6" t="s">
        <v>39</v>
      </c>
      <c r="X332" s="6" t="s">
        <v>38</v>
      </c>
      <c r="Y332" s="6" t="s">
        <v>50</v>
      </c>
      <c r="Z332" s="6" t="s">
        <v>39</v>
      </c>
    </row>
    <row r="333" spans="1:26" hidden="1" x14ac:dyDescent="0.35">
      <c r="A333" s="6" t="s">
        <v>811</v>
      </c>
      <c r="B333" s="6">
        <v>108921</v>
      </c>
      <c r="C333" s="6">
        <v>19319</v>
      </c>
      <c r="D333" s="47">
        <v>0</v>
      </c>
      <c r="E333" s="25">
        <v>0</v>
      </c>
      <c r="F333" s="25">
        <v>264.14999999999998</v>
      </c>
      <c r="G333" s="26">
        <f t="shared" si="20"/>
        <v>264.14999999999998</v>
      </c>
      <c r="H333" s="6">
        <v>76205667</v>
      </c>
      <c r="I333" s="6" t="s">
        <v>812</v>
      </c>
      <c r="J333" s="6"/>
      <c r="K333" s="6"/>
      <c r="L333" s="6"/>
      <c r="M333" s="6" t="e">
        <f>VLOOKUP(H333,'Billing CDK pivot (by package)'!A:D,3,FALSE)</f>
        <v>#N/A</v>
      </c>
      <c r="N333" s="6" t="e">
        <f>VLOOKUP(H333,'Billing CDK pivot (by package)'!A:D,4,FALSE)</f>
        <v>#N/A</v>
      </c>
      <c r="O333" s="25" t="e">
        <f>VLOOKUP(H333,'Billing CDK pivot'!A:C,3,FALSE)</f>
        <v>#N/A</v>
      </c>
      <c r="P333" s="25">
        <f>IFERROR(VLOOKUP(H333,'Billing CDK pivot (overages)'!A:F,6,FALSE),0)</f>
        <v>0</v>
      </c>
      <c r="Q333" s="25" t="e">
        <f t="shared" si="21"/>
        <v>#N/A</v>
      </c>
      <c r="R333" s="26" t="e">
        <f t="shared" si="22"/>
        <v>#N/A</v>
      </c>
      <c r="S333" s="48" t="e">
        <f t="shared" si="23"/>
        <v>#N/A</v>
      </c>
      <c r="T333" s="6" t="s">
        <v>417</v>
      </c>
      <c r="U333" s="6" t="s">
        <v>813</v>
      </c>
      <c r="V333" s="6" t="s">
        <v>39</v>
      </c>
      <c r="W333" s="6" t="s">
        <v>39</v>
      </c>
      <c r="X333" s="6" t="s">
        <v>38</v>
      </c>
      <c r="Y333" s="6" t="s">
        <v>50</v>
      </c>
      <c r="Z333" s="6" t="s">
        <v>39</v>
      </c>
    </row>
    <row r="334" spans="1:26" hidden="1" x14ac:dyDescent="0.35">
      <c r="A334" s="6" t="s">
        <v>814</v>
      </c>
      <c r="B334" s="6">
        <v>108918</v>
      </c>
      <c r="C334" s="6">
        <v>19295</v>
      </c>
      <c r="D334" s="47">
        <v>0</v>
      </c>
      <c r="E334" s="25">
        <v>0</v>
      </c>
      <c r="F334" s="25">
        <v>264.14999999999998</v>
      </c>
      <c r="G334" s="26">
        <f t="shared" si="20"/>
        <v>264.14999999999998</v>
      </c>
      <c r="H334" s="6">
        <v>76212679</v>
      </c>
      <c r="I334" s="6" t="s">
        <v>815</v>
      </c>
      <c r="J334" s="6"/>
      <c r="K334" s="6"/>
      <c r="L334" s="6"/>
      <c r="M334" s="6" t="e">
        <f>VLOOKUP(H334,'Billing CDK pivot (by package)'!A:D,3,FALSE)</f>
        <v>#N/A</v>
      </c>
      <c r="N334" s="6" t="e">
        <f>VLOOKUP(H334,'Billing CDK pivot (by package)'!A:D,4,FALSE)</f>
        <v>#N/A</v>
      </c>
      <c r="O334" s="25" t="e">
        <f>VLOOKUP(H334,'Billing CDK pivot'!A:C,3,FALSE)</f>
        <v>#N/A</v>
      </c>
      <c r="P334" s="25">
        <f>IFERROR(VLOOKUP(H334,'Billing CDK pivot (overages)'!A:F,6,FALSE),0)</f>
        <v>0</v>
      </c>
      <c r="Q334" s="25" t="e">
        <f t="shared" si="21"/>
        <v>#N/A</v>
      </c>
      <c r="R334" s="26" t="e">
        <f t="shared" si="22"/>
        <v>#N/A</v>
      </c>
      <c r="S334" s="48" t="e">
        <f t="shared" si="23"/>
        <v>#N/A</v>
      </c>
      <c r="T334" s="6" t="s">
        <v>417</v>
      </c>
      <c r="U334" s="6" t="s">
        <v>813</v>
      </c>
      <c r="V334" s="6" t="s">
        <v>39</v>
      </c>
      <c r="W334" s="6" t="s">
        <v>39</v>
      </c>
      <c r="X334" s="6" t="s">
        <v>38</v>
      </c>
      <c r="Y334" s="6" t="s">
        <v>50</v>
      </c>
      <c r="Z334" s="6" t="s">
        <v>39</v>
      </c>
    </row>
    <row r="335" spans="1:26" hidden="1" x14ac:dyDescent="0.35">
      <c r="A335" s="6" t="s">
        <v>816</v>
      </c>
      <c r="B335" s="6">
        <v>78776</v>
      </c>
      <c r="C335" s="6">
        <v>17383</v>
      </c>
      <c r="D335" s="47">
        <v>1838.2</v>
      </c>
      <c r="E335" s="25">
        <v>0</v>
      </c>
      <c r="F335" s="25">
        <v>264.14999999999998</v>
      </c>
      <c r="G335" s="26">
        <f t="shared" si="20"/>
        <v>264.14999999999998</v>
      </c>
      <c r="H335" s="6">
        <v>76048070</v>
      </c>
      <c r="I335" s="6" t="s">
        <v>817</v>
      </c>
      <c r="J335" s="6"/>
      <c r="K335" s="6"/>
      <c r="L335" s="6"/>
      <c r="M335" s="6" t="e">
        <f>VLOOKUP(H335,'Billing CDK pivot (by package)'!A:D,3,FALSE)</f>
        <v>#N/A</v>
      </c>
      <c r="N335" s="6" t="e">
        <f>VLOOKUP(H335,'Billing CDK pivot (by package)'!A:D,4,FALSE)</f>
        <v>#N/A</v>
      </c>
      <c r="O335" s="25" t="e">
        <f>VLOOKUP(H335,'Billing CDK pivot'!A:C,3,FALSE)</f>
        <v>#N/A</v>
      </c>
      <c r="P335" s="25">
        <f>IFERROR(VLOOKUP(H335,'Billing CDK pivot (overages)'!A:F,6,FALSE),0)</f>
        <v>0</v>
      </c>
      <c r="Q335" s="25" t="e">
        <f t="shared" si="21"/>
        <v>#N/A</v>
      </c>
      <c r="R335" s="26" t="e">
        <f t="shared" si="22"/>
        <v>#N/A</v>
      </c>
      <c r="S335" s="48" t="e">
        <f t="shared" si="23"/>
        <v>#N/A</v>
      </c>
      <c r="T335" s="6" t="s">
        <v>417</v>
      </c>
      <c r="U335" s="6" t="s">
        <v>813</v>
      </c>
      <c r="V335" s="6" t="s">
        <v>39</v>
      </c>
      <c r="W335" s="6" t="s">
        <v>39</v>
      </c>
      <c r="X335" s="6" t="s">
        <v>38</v>
      </c>
      <c r="Y335" s="6" t="s">
        <v>50</v>
      </c>
      <c r="Z335" s="6" t="s">
        <v>39</v>
      </c>
    </row>
    <row r="336" spans="1:26" hidden="1" x14ac:dyDescent="0.35">
      <c r="A336" s="6" t="s">
        <v>818</v>
      </c>
      <c r="B336" s="6">
        <v>90204</v>
      </c>
      <c r="C336" s="6">
        <v>11174</v>
      </c>
      <c r="D336" s="47">
        <v>4150.71</v>
      </c>
      <c r="E336" s="25">
        <v>0</v>
      </c>
      <c r="F336" s="25">
        <v>434.15</v>
      </c>
      <c r="G336" s="26">
        <f t="shared" si="20"/>
        <v>434.15</v>
      </c>
      <c r="H336" s="6">
        <v>76214654</v>
      </c>
      <c r="I336" s="6" t="s">
        <v>819</v>
      </c>
      <c r="J336" s="6"/>
      <c r="K336" s="6"/>
      <c r="L336" s="6"/>
      <c r="M336" s="6" t="e">
        <f>VLOOKUP(H336,'Billing CDK pivot (by package)'!A:D,3,FALSE)</f>
        <v>#N/A</v>
      </c>
      <c r="N336" s="6" t="e">
        <f>VLOOKUP(H336,'Billing CDK pivot (by package)'!A:D,4,FALSE)</f>
        <v>#N/A</v>
      </c>
      <c r="O336" s="25" t="e">
        <f>VLOOKUP(H336,'Billing CDK pivot'!A:C,3,FALSE)</f>
        <v>#N/A</v>
      </c>
      <c r="P336" s="25">
        <f>IFERROR(VLOOKUP(H336,'Billing CDK pivot (overages)'!A:F,6,FALSE),0)</f>
        <v>0</v>
      </c>
      <c r="Q336" s="25" t="e">
        <f t="shared" si="21"/>
        <v>#N/A</v>
      </c>
      <c r="R336" s="26" t="e">
        <f t="shared" si="22"/>
        <v>#N/A</v>
      </c>
      <c r="S336" s="48" t="e">
        <f t="shared" si="23"/>
        <v>#N/A</v>
      </c>
      <c r="T336" s="6" t="s">
        <v>417</v>
      </c>
      <c r="U336" s="6" t="s">
        <v>820</v>
      </c>
      <c r="V336" s="6" t="s">
        <v>39</v>
      </c>
      <c r="W336" s="6" t="s">
        <v>39</v>
      </c>
      <c r="X336" s="6" t="s">
        <v>38</v>
      </c>
      <c r="Y336" s="6" t="s">
        <v>147</v>
      </c>
      <c r="Z336" s="6" t="s">
        <v>39</v>
      </c>
    </row>
    <row r="337" spans="1:26" hidden="1" x14ac:dyDescent="0.35">
      <c r="A337" s="6" t="s">
        <v>821</v>
      </c>
      <c r="B337" s="6">
        <v>187881</v>
      </c>
      <c r="C337" s="6">
        <v>71043923</v>
      </c>
      <c r="D337" s="47">
        <v>8826.08</v>
      </c>
      <c r="E337" s="25">
        <v>157.80000000000001</v>
      </c>
      <c r="F337" s="25">
        <v>1285.8</v>
      </c>
      <c r="G337" s="26">
        <f t="shared" si="20"/>
        <v>1128</v>
      </c>
      <c r="H337" s="6">
        <v>71043923</v>
      </c>
      <c r="I337" s="6" t="s">
        <v>822</v>
      </c>
      <c r="J337" s="6"/>
      <c r="K337" s="6"/>
      <c r="L337" s="6"/>
      <c r="M337" s="6" t="e">
        <f>VLOOKUP(H337,'Billing CDK pivot (by package)'!A:D,3,FALSE)</f>
        <v>#N/A</v>
      </c>
      <c r="N337" s="6" t="e">
        <f>VLOOKUP(H337,'Billing CDK pivot (by package)'!A:D,4,FALSE)</f>
        <v>#N/A</v>
      </c>
      <c r="O337" s="25" t="e">
        <f>VLOOKUP(H337,'Billing CDK pivot'!A:C,3,FALSE)</f>
        <v>#N/A</v>
      </c>
      <c r="P337" s="25">
        <f>IFERROR(VLOOKUP(H337,'Billing CDK pivot (overages)'!A:F,6,FALSE),0)</f>
        <v>0</v>
      </c>
      <c r="Q337" s="25" t="e">
        <f t="shared" si="21"/>
        <v>#N/A</v>
      </c>
      <c r="R337" s="26" t="e">
        <f t="shared" si="22"/>
        <v>#N/A</v>
      </c>
      <c r="S337" s="48" t="e">
        <f t="shared" si="23"/>
        <v>#N/A</v>
      </c>
      <c r="T337" s="6" t="s">
        <v>417</v>
      </c>
      <c r="U337" s="6" t="s">
        <v>306</v>
      </c>
      <c r="V337" s="6" t="s">
        <v>823</v>
      </c>
      <c r="W337" s="6" t="s">
        <v>628</v>
      </c>
      <c r="X337" s="6" t="s">
        <v>38</v>
      </c>
      <c r="Y337" s="6" t="s">
        <v>824</v>
      </c>
      <c r="Z337" s="6" t="s">
        <v>39</v>
      </c>
    </row>
    <row r="338" spans="1:26" hidden="1" x14ac:dyDescent="0.35">
      <c r="A338" s="6" t="s">
        <v>825</v>
      </c>
      <c r="B338" s="6">
        <v>187880</v>
      </c>
      <c r="C338" s="6">
        <v>71043924</v>
      </c>
      <c r="D338" s="47">
        <v>5332.44</v>
      </c>
      <c r="E338" s="25">
        <v>0</v>
      </c>
      <c r="F338" s="25">
        <v>1128</v>
      </c>
      <c r="G338" s="26">
        <f t="shared" si="20"/>
        <v>1128</v>
      </c>
      <c r="H338" s="6">
        <v>71043924</v>
      </c>
      <c r="I338" s="6" t="s">
        <v>826</v>
      </c>
      <c r="J338" s="6"/>
      <c r="K338" s="6"/>
      <c r="L338" s="6"/>
      <c r="M338" s="6" t="e">
        <f>VLOOKUP(H338,'Billing CDK pivot (by package)'!A:D,3,FALSE)</f>
        <v>#N/A</v>
      </c>
      <c r="N338" s="6" t="e">
        <f>VLOOKUP(H338,'Billing CDK pivot (by package)'!A:D,4,FALSE)</f>
        <v>#N/A</v>
      </c>
      <c r="O338" s="25" t="e">
        <f>VLOOKUP(H338,'Billing CDK pivot'!A:C,3,FALSE)</f>
        <v>#N/A</v>
      </c>
      <c r="P338" s="25">
        <f>IFERROR(VLOOKUP(H338,'Billing CDK pivot (overages)'!A:F,6,FALSE),0)</f>
        <v>0</v>
      </c>
      <c r="Q338" s="25" t="e">
        <f t="shared" si="21"/>
        <v>#N/A</v>
      </c>
      <c r="R338" s="26" t="e">
        <f t="shared" si="22"/>
        <v>#N/A</v>
      </c>
      <c r="S338" s="48" t="e">
        <f t="shared" si="23"/>
        <v>#N/A</v>
      </c>
      <c r="T338" s="6" t="s">
        <v>417</v>
      </c>
      <c r="U338" s="6" t="s">
        <v>306</v>
      </c>
      <c r="V338" s="6" t="s">
        <v>823</v>
      </c>
      <c r="W338" s="6" t="s">
        <v>628</v>
      </c>
      <c r="X338" s="6" t="s">
        <v>38</v>
      </c>
      <c r="Y338" s="6" t="s">
        <v>824</v>
      </c>
      <c r="Z338" s="6" t="s">
        <v>39</v>
      </c>
    </row>
    <row r="339" spans="1:26" hidden="1" x14ac:dyDescent="0.35">
      <c r="A339" s="6" t="s">
        <v>827</v>
      </c>
      <c r="B339" s="6">
        <v>78775</v>
      </c>
      <c r="C339" s="6">
        <v>17380</v>
      </c>
      <c r="D339" s="47">
        <v>7220.55</v>
      </c>
      <c r="E339" s="25">
        <v>0</v>
      </c>
      <c r="F339" s="25">
        <v>434.15</v>
      </c>
      <c r="G339" s="26">
        <f t="shared" si="20"/>
        <v>434.15</v>
      </c>
      <c r="H339" s="6">
        <v>76048072</v>
      </c>
      <c r="I339" s="6" t="s">
        <v>828</v>
      </c>
      <c r="J339" s="6"/>
      <c r="K339" s="6"/>
      <c r="L339" s="6"/>
      <c r="M339" s="6" t="e">
        <f>VLOOKUP(H339,'Billing CDK pivot (by package)'!A:D,3,FALSE)</f>
        <v>#N/A</v>
      </c>
      <c r="N339" s="6" t="e">
        <f>VLOOKUP(H339,'Billing CDK pivot (by package)'!A:D,4,FALSE)</f>
        <v>#N/A</v>
      </c>
      <c r="O339" s="25" t="e">
        <f>VLOOKUP(H339,'Billing CDK pivot'!A:C,3,FALSE)</f>
        <v>#N/A</v>
      </c>
      <c r="P339" s="25">
        <f>IFERROR(VLOOKUP(H339,'Billing CDK pivot (overages)'!A:F,6,FALSE),0)</f>
        <v>0</v>
      </c>
      <c r="Q339" s="25" t="e">
        <f t="shared" si="21"/>
        <v>#N/A</v>
      </c>
      <c r="R339" s="26" t="e">
        <f t="shared" si="22"/>
        <v>#N/A</v>
      </c>
      <c r="S339" s="48" t="e">
        <f t="shared" si="23"/>
        <v>#N/A</v>
      </c>
      <c r="T339" s="6" t="s">
        <v>417</v>
      </c>
      <c r="U339" s="6" t="s">
        <v>829</v>
      </c>
      <c r="V339" s="6" t="s">
        <v>39</v>
      </c>
      <c r="W339" s="6" t="s">
        <v>39</v>
      </c>
      <c r="X339" s="6" t="s">
        <v>50</v>
      </c>
      <c r="Y339" s="6" t="s">
        <v>147</v>
      </c>
      <c r="Z339" s="6" t="s">
        <v>39</v>
      </c>
    </row>
    <row r="340" spans="1:26" hidden="1" x14ac:dyDescent="0.35">
      <c r="A340" s="6" t="s">
        <v>830</v>
      </c>
      <c r="B340" s="6">
        <v>91436</v>
      </c>
      <c r="C340" s="6">
        <v>18454</v>
      </c>
      <c r="D340" s="47">
        <v>8641.2199999999993</v>
      </c>
      <c r="E340" s="25">
        <v>44.24</v>
      </c>
      <c r="F340" s="25">
        <v>478.39</v>
      </c>
      <c r="G340" s="26">
        <f t="shared" si="20"/>
        <v>434.15</v>
      </c>
      <c r="H340" s="6">
        <v>76181075</v>
      </c>
      <c r="I340" s="6" t="s">
        <v>831</v>
      </c>
      <c r="J340" s="6"/>
      <c r="K340" s="6"/>
      <c r="L340" s="6"/>
      <c r="M340" s="6" t="e">
        <f>VLOOKUP(H340,'Billing CDK pivot (by package)'!A:D,3,FALSE)</f>
        <v>#N/A</v>
      </c>
      <c r="N340" s="6" t="e">
        <f>VLOOKUP(H340,'Billing CDK pivot (by package)'!A:D,4,FALSE)</f>
        <v>#N/A</v>
      </c>
      <c r="O340" s="25" t="e">
        <f>VLOOKUP(H340,'Billing CDK pivot'!A:C,3,FALSE)</f>
        <v>#N/A</v>
      </c>
      <c r="P340" s="25">
        <f>IFERROR(VLOOKUP(H340,'Billing CDK pivot (overages)'!A:F,6,FALSE),0)</f>
        <v>0</v>
      </c>
      <c r="Q340" s="25" t="e">
        <f t="shared" si="21"/>
        <v>#N/A</v>
      </c>
      <c r="R340" s="26" t="e">
        <f t="shared" si="22"/>
        <v>#N/A</v>
      </c>
      <c r="S340" s="48" t="e">
        <f t="shared" si="23"/>
        <v>#N/A</v>
      </c>
      <c r="T340" s="6" t="s">
        <v>417</v>
      </c>
      <c r="U340" s="6" t="s">
        <v>829</v>
      </c>
      <c r="V340" s="6" t="s">
        <v>39</v>
      </c>
      <c r="W340" s="6" t="s">
        <v>39</v>
      </c>
      <c r="X340" s="6" t="s">
        <v>38</v>
      </c>
      <c r="Y340" s="6" t="s">
        <v>147</v>
      </c>
      <c r="Z340" s="6" t="s">
        <v>39</v>
      </c>
    </row>
    <row r="341" spans="1:26" hidden="1" x14ac:dyDescent="0.35">
      <c r="A341" s="6" t="s">
        <v>832</v>
      </c>
      <c r="B341" s="6">
        <v>177336</v>
      </c>
      <c r="C341" s="6">
        <v>29810</v>
      </c>
      <c r="D341" s="47">
        <v>1878.39</v>
      </c>
      <c r="E341" s="25">
        <v>0</v>
      </c>
      <c r="F341" s="25">
        <v>264.14999999999998</v>
      </c>
      <c r="G341" s="26">
        <f t="shared" si="20"/>
        <v>264.14999999999998</v>
      </c>
      <c r="H341" s="6">
        <v>76245201</v>
      </c>
      <c r="I341" s="6" t="s">
        <v>833</v>
      </c>
      <c r="J341" s="6"/>
      <c r="K341" s="6"/>
      <c r="L341" s="6"/>
      <c r="M341" s="6" t="e">
        <f>VLOOKUP(H341,'Billing CDK pivot (by package)'!A:D,3,FALSE)</f>
        <v>#N/A</v>
      </c>
      <c r="N341" s="6" t="e">
        <f>VLOOKUP(H341,'Billing CDK pivot (by package)'!A:D,4,FALSE)</f>
        <v>#N/A</v>
      </c>
      <c r="O341" s="25" t="e">
        <f>VLOOKUP(H341,'Billing CDK pivot'!A:C,3,FALSE)</f>
        <v>#N/A</v>
      </c>
      <c r="P341" s="25">
        <f>IFERROR(VLOOKUP(H341,'Billing CDK pivot (overages)'!A:F,6,FALSE),0)</f>
        <v>0</v>
      </c>
      <c r="Q341" s="25" t="e">
        <f t="shared" si="21"/>
        <v>#N/A</v>
      </c>
      <c r="R341" s="26" t="e">
        <f t="shared" si="22"/>
        <v>#N/A</v>
      </c>
      <c r="S341" s="48" t="e">
        <f t="shared" si="23"/>
        <v>#N/A</v>
      </c>
      <c r="T341" s="49" t="s">
        <v>834</v>
      </c>
      <c r="U341" s="6" t="e">
        <v>#N/A</v>
      </c>
      <c r="V341" s="6" t="e">
        <v>#N/A</v>
      </c>
      <c r="W341" s="6" t="e">
        <v>#N/A</v>
      </c>
      <c r="X341" s="6" t="s">
        <v>108</v>
      </c>
      <c r="Y341" s="6" t="s">
        <v>58</v>
      </c>
      <c r="Z341" s="6" t="s">
        <v>39</v>
      </c>
    </row>
    <row r="342" spans="1:26" hidden="1" x14ac:dyDescent="0.35">
      <c r="A342" s="6" t="s">
        <v>835</v>
      </c>
      <c r="B342" s="6">
        <v>177337</v>
      </c>
      <c r="C342" s="6">
        <v>29809</v>
      </c>
      <c r="D342" s="47">
        <v>268.94</v>
      </c>
      <c r="E342" s="25">
        <v>0</v>
      </c>
      <c r="F342" s="25">
        <v>264.14999999999998</v>
      </c>
      <c r="G342" s="26">
        <f t="shared" si="20"/>
        <v>264.14999999999998</v>
      </c>
      <c r="H342" s="6">
        <v>76245198</v>
      </c>
      <c r="I342" s="6" t="s">
        <v>836</v>
      </c>
      <c r="J342" s="6"/>
      <c r="K342" s="6"/>
      <c r="L342" s="6"/>
      <c r="M342" s="6" t="e">
        <f>VLOOKUP(H342,'Billing CDK pivot (by package)'!A:D,3,FALSE)</f>
        <v>#N/A</v>
      </c>
      <c r="N342" s="6" t="e">
        <f>VLOOKUP(H342,'Billing CDK pivot (by package)'!A:D,4,FALSE)</f>
        <v>#N/A</v>
      </c>
      <c r="O342" s="25" t="e">
        <f>VLOOKUP(H342,'Billing CDK pivot'!A:C,3,FALSE)</f>
        <v>#N/A</v>
      </c>
      <c r="P342" s="25">
        <f>IFERROR(VLOOKUP(H342,'Billing CDK pivot (overages)'!A:F,6,FALSE),0)</f>
        <v>0</v>
      </c>
      <c r="Q342" s="25" t="e">
        <f t="shared" si="21"/>
        <v>#N/A</v>
      </c>
      <c r="R342" s="26" t="e">
        <f t="shared" si="22"/>
        <v>#N/A</v>
      </c>
      <c r="S342" s="48" t="e">
        <f t="shared" si="23"/>
        <v>#N/A</v>
      </c>
      <c r="T342" s="49" t="s">
        <v>834</v>
      </c>
      <c r="U342" s="6" t="e">
        <v>#N/A</v>
      </c>
      <c r="V342" s="6" t="e">
        <v>#N/A</v>
      </c>
      <c r="W342" s="6" t="e">
        <v>#N/A</v>
      </c>
      <c r="X342" s="6" t="s">
        <v>38</v>
      </c>
      <c r="Y342" s="6" t="s">
        <v>58</v>
      </c>
      <c r="Z342" s="6" t="s">
        <v>39</v>
      </c>
    </row>
    <row r="343" spans="1:26" hidden="1" x14ac:dyDescent="0.35">
      <c r="A343" s="6" t="s">
        <v>837</v>
      </c>
      <c r="B343" s="6">
        <v>156684</v>
      </c>
      <c r="C343" s="6" t="s">
        <v>289</v>
      </c>
      <c r="D343" s="47">
        <v>3899.66</v>
      </c>
      <c r="E343" s="25">
        <v>0</v>
      </c>
      <c r="F343" s="25">
        <v>1653</v>
      </c>
      <c r="G343" s="26">
        <f t="shared" si="20"/>
        <v>1653</v>
      </c>
      <c r="H343" s="6">
        <v>76071533</v>
      </c>
      <c r="I343" s="6" t="s">
        <v>838</v>
      </c>
      <c r="J343" s="6"/>
      <c r="K343" s="6"/>
      <c r="L343" s="6"/>
      <c r="M343" s="6" t="e">
        <f>VLOOKUP(H343,'Billing CDK pivot (by package)'!A:D,3,FALSE)</f>
        <v>#N/A</v>
      </c>
      <c r="N343" s="6" t="e">
        <f>VLOOKUP(H343,'Billing CDK pivot (by package)'!A:D,4,FALSE)</f>
        <v>#N/A</v>
      </c>
      <c r="O343" s="25" t="e">
        <f>VLOOKUP(H343,'Billing CDK pivot'!A:C,3,FALSE)</f>
        <v>#N/A</v>
      </c>
      <c r="P343" s="25">
        <f>IFERROR(VLOOKUP(H343,'Billing CDK pivot (overages)'!A:F,6,FALSE),0)</f>
        <v>0</v>
      </c>
      <c r="Q343" s="25" t="e">
        <f t="shared" si="21"/>
        <v>#N/A</v>
      </c>
      <c r="R343" s="26" t="e">
        <f t="shared" si="22"/>
        <v>#N/A</v>
      </c>
      <c r="S343" s="48" t="e">
        <f t="shared" si="23"/>
        <v>#N/A</v>
      </c>
      <c r="T343" s="49" t="s">
        <v>834</v>
      </c>
      <c r="U343" s="6" t="e">
        <v>#N/A</v>
      </c>
      <c r="V343" s="6" t="e">
        <v>#N/A</v>
      </c>
      <c r="W343" s="6" t="e">
        <v>#N/A</v>
      </c>
      <c r="X343" s="6" t="s">
        <v>38</v>
      </c>
      <c r="Y343" s="6" t="s">
        <v>100</v>
      </c>
      <c r="Z343" s="6" t="s">
        <v>101</v>
      </c>
    </row>
    <row r="344" spans="1:26" hidden="1" x14ac:dyDescent="0.35">
      <c r="A344" s="6" t="s">
        <v>839</v>
      </c>
      <c r="B344" s="6">
        <v>188774</v>
      </c>
      <c r="C344" s="6">
        <v>32051</v>
      </c>
      <c r="D344" s="47">
        <v>493.73</v>
      </c>
      <c r="E344" s="25">
        <v>0</v>
      </c>
      <c r="F344" s="25">
        <v>1029</v>
      </c>
      <c r="G344" s="26">
        <f t="shared" si="20"/>
        <v>1029</v>
      </c>
      <c r="H344" s="6">
        <v>76256842</v>
      </c>
      <c r="I344" s="6" t="s">
        <v>840</v>
      </c>
      <c r="J344" s="6"/>
      <c r="K344" s="6"/>
      <c r="L344" s="6"/>
      <c r="M344" s="6" t="e">
        <f>VLOOKUP(H344,'Billing CDK pivot (by package)'!A:D,3,FALSE)</f>
        <v>#N/A</v>
      </c>
      <c r="N344" s="6" t="e">
        <f>VLOOKUP(H344,'Billing CDK pivot (by package)'!A:D,4,FALSE)</f>
        <v>#N/A</v>
      </c>
      <c r="O344" s="25" t="e">
        <f>VLOOKUP(H344,'Billing CDK pivot'!A:C,3,FALSE)</f>
        <v>#N/A</v>
      </c>
      <c r="P344" s="25">
        <f>IFERROR(VLOOKUP(H344,'Billing CDK pivot (overages)'!A:F,6,FALSE),0)</f>
        <v>0</v>
      </c>
      <c r="Q344" s="25" t="e">
        <f t="shared" si="21"/>
        <v>#N/A</v>
      </c>
      <c r="R344" s="26" t="e">
        <f t="shared" si="22"/>
        <v>#N/A</v>
      </c>
      <c r="S344" s="48" t="e">
        <f t="shared" si="23"/>
        <v>#N/A</v>
      </c>
      <c r="T344" s="49" t="s">
        <v>834</v>
      </c>
      <c r="U344" s="6" t="e">
        <v>#N/A</v>
      </c>
      <c r="V344" s="6" t="e">
        <v>#N/A</v>
      </c>
      <c r="W344" s="6" t="e">
        <v>#N/A</v>
      </c>
      <c r="X344" s="6" t="s">
        <v>38</v>
      </c>
      <c r="Y344" s="6" t="s">
        <v>108</v>
      </c>
      <c r="Z344" s="6" t="s">
        <v>39</v>
      </c>
    </row>
    <row r="345" spans="1:26" hidden="1" x14ac:dyDescent="0.35">
      <c r="A345" s="6" t="s">
        <v>841</v>
      </c>
      <c r="B345" s="6">
        <v>188726</v>
      </c>
      <c r="C345" s="6">
        <v>32050</v>
      </c>
      <c r="D345" s="47">
        <v>2635.59</v>
      </c>
      <c r="E345" s="25">
        <v>0</v>
      </c>
      <c r="F345" s="25">
        <v>1029</v>
      </c>
      <c r="G345" s="26">
        <f t="shared" si="20"/>
        <v>1029</v>
      </c>
      <c r="H345" s="6">
        <v>76256834</v>
      </c>
      <c r="I345" s="6" t="s">
        <v>842</v>
      </c>
      <c r="J345" s="6"/>
      <c r="K345" s="6"/>
      <c r="L345" s="6"/>
      <c r="M345" s="6" t="e">
        <f>VLOOKUP(H345,'Billing CDK pivot (by package)'!A:D,3,FALSE)</f>
        <v>#N/A</v>
      </c>
      <c r="N345" s="6" t="e">
        <f>VLOOKUP(H345,'Billing CDK pivot (by package)'!A:D,4,FALSE)</f>
        <v>#N/A</v>
      </c>
      <c r="O345" s="25" t="e">
        <f>VLOOKUP(H345,'Billing CDK pivot'!A:C,3,FALSE)</f>
        <v>#N/A</v>
      </c>
      <c r="P345" s="25">
        <f>IFERROR(VLOOKUP(H345,'Billing CDK pivot (overages)'!A:F,6,FALSE),0)</f>
        <v>0</v>
      </c>
      <c r="Q345" s="25" t="e">
        <f t="shared" si="21"/>
        <v>#N/A</v>
      </c>
      <c r="R345" s="26" t="e">
        <f t="shared" si="22"/>
        <v>#N/A</v>
      </c>
      <c r="S345" s="48" t="e">
        <f t="shared" si="23"/>
        <v>#N/A</v>
      </c>
      <c r="T345" s="49" t="s">
        <v>834</v>
      </c>
      <c r="U345" s="6" t="e">
        <v>#N/A</v>
      </c>
      <c r="V345" s="6" t="e">
        <v>#N/A</v>
      </c>
      <c r="W345" s="6" t="e">
        <v>#N/A</v>
      </c>
      <c r="X345" s="6" t="s">
        <v>38</v>
      </c>
      <c r="Y345" s="6" t="s">
        <v>108</v>
      </c>
      <c r="Z345" s="6" t="s">
        <v>39</v>
      </c>
    </row>
    <row r="346" spans="1:26" hidden="1" x14ac:dyDescent="0.35">
      <c r="A346" s="6" t="s">
        <v>843</v>
      </c>
      <c r="B346" s="6">
        <v>141208</v>
      </c>
      <c r="C346" s="6">
        <v>23551</v>
      </c>
      <c r="D346" s="47">
        <v>3181.17</v>
      </c>
      <c r="E346" s="25">
        <v>0</v>
      </c>
      <c r="F346" s="25">
        <v>434.15</v>
      </c>
      <c r="G346" s="26">
        <f t="shared" si="20"/>
        <v>434.15</v>
      </c>
      <c r="H346" s="6">
        <v>76229657</v>
      </c>
      <c r="I346" s="6" t="s">
        <v>844</v>
      </c>
      <c r="K346" s="20">
        <v>43955</v>
      </c>
      <c r="L346" s="20">
        <v>44724</v>
      </c>
      <c r="M346" s="6" t="s">
        <v>74</v>
      </c>
      <c r="N346" s="6" t="s">
        <v>75</v>
      </c>
      <c r="O346" s="25" t="e">
        <f>VLOOKUP(H346,'Billing CDK pivot'!A:C,3,FALSE)</f>
        <v>#N/A</v>
      </c>
      <c r="P346" s="25">
        <f>IFERROR(VLOOKUP(H346,'Billing CDK pivot (overages)'!A:F,6,FALSE),0)</f>
        <v>0</v>
      </c>
      <c r="Q346" s="25" t="e">
        <f t="shared" si="21"/>
        <v>#N/A</v>
      </c>
      <c r="R346" s="26" t="e">
        <f t="shared" si="22"/>
        <v>#N/A</v>
      </c>
      <c r="S346" s="48" t="e">
        <f t="shared" si="23"/>
        <v>#N/A</v>
      </c>
      <c r="T346" s="49" t="s">
        <v>834</v>
      </c>
      <c r="U346" s="6" t="e">
        <v>#N/A</v>
      </c>
      <c r="V346" s="6" t="e">
        <v>#N/A</v>
      </c>
      <c r="W346" s="6" t="e">
        <v>#N/A</v>
      </c>
      <c r="X346" s="6" t="s">
        <v>38</v>
      </c>
      <c r="Y346" s="6" t="s">
        <v>53</v>
      </c>
      <c r="Z346" s="6" t="s">
        <v>39</v>
      </c>
    </row>
    <row r="347" spans="1:26" hidden="1" x14ac:dyDescent="0.35">
      <c r="A347" s="6" t="s">
        <v>845</v>
      </c>
      <c r="B347" s="6">
        <v>62672</v>
      </c>
      <c r="C347" s="6">
        <v>9944</v>
      </c>
      <c r="D347" s="47">
        <v>8582.85</v>
      </c>
      <c r="E347" s="25">
        <v>0</v>
      </c>
      <c r="F347" s="25">
        <v>1039</v>
      </c>
      <c r="G347" s="26">
        <f t="shared" si="20"/>
        <v>1039</v>
      </c>
      <c r="H347" s="6">
        <v>71058098</v>
      </c>
      <c r="I347" s="6" t="s">
        <v>846</v>
      </c>
      <c r="J347" s="6"/>
      <c r="K347" s="6"/>
      <c r="L347" s="6"/>
      <c r="M347" s="6" t="e">
        <f>VLOOKUP(H347,'Billing CDK pivot (by package)'!A:D,3,FALSE)</f>
        <v>#N/A</v>
      </c>
      <c r="N347" s="6" t="e">
        <f>VLOOKUP(H347,'Billing CDK pivot (by package)'!A:D,4,FALSE)</f>
        <v>#N/A</v>
      </c>
      <c r="O347" s="25" t="e">
        <f>VLOOKUP(H347,'Billing CDK pivot'!A:C,3,FALSE)</f>
        <v>#N/A</v>
      </c>
      <c r="P347" s="25">
        <f>IFERROR(VLOOKUP(H347,'Billing CDK pivot (overages)'!A:F,6,FALSE),0)</f>
        <v>0</v>
      </c>
      <c r="Q347" s="25" t="e">
        <f t="shared" si="21"/>
        <v>#N/A</v>
      </c>
      <c r="R347" s="26" t="e">
        <f t="shared" si="22"/>
        <v>#N/A</v>
      </c>
      <c r="S347" s="48" t="e">
        <f t="shared" si="23"/>
        <v>#N/A</v>
      </c>
      <c r="T347" s="6" t="s">
        <v>834</v>
      </c>
      <c r="U347" s="6" t="s">
        <v>293</v>
      </c>
      <c r="V347" s="6" t="s">
        <v>39</v>
      </c>
      <c r="W347" s="6" t="s">
        <v>39</v>
      </c>
      <c r="X347" s="6" t="s">
        <v>38</v>
      </c>
      <c r="Y347" s="6" t="s">
        <v>108</v>
      </c>
      <c r="Z347" s="6" t="s">
        <v>139</v>
      </c>
    </row>
    <row r="348" spans="1:26" hidden="1" x14ac:dyDescent="0.35">
      <c r="A348" s="6" t="s">
        <v>847</v>
      </c>
      <c r="B348" s="6">
        <v>56252</v>
      </c>
      <c r="C348" s="6">
        <v>15775</v>
      </c>
      <c r="D348" s="47">
        <v>67953.679999999993</v>
      </c>
      <c r="E348" s="25">
        <v>0</v>
      </c>
      <c r="F348" s="25">
        <v>3437</v>
      </c>
      <c r="G348" s="26">
        <f t="shared" si="20"/>
        <v>3437</v>
      </c>
      <c r="H348" s="6">
        <v>76076583</v>
      </c>
      <c r="I348" s="6" t="s">
        <v>848</v>
      </c>
      <c r="J348" s="6"/>
      <c r="K348" s="6"/>
      <c r="L348" s="6"/>
      <c r="M348" s="6" t="e">
        <f>VLOOKUP(H348,'Billing CDK pivot (by package)'!A:D,3,FALSE)</f>
        <v>#N/A</v>
      </c>
      <c r="N348" s="6" t="e">
        <f>VLOOKUP(H348,'Billing CDK pivot (by package)'!A:D,4,FALSE)</f>
        <v>#N/A</v>
      </c>
      <c r="O348" s="25" t="e">
        <f>VLOOKUP(H348,'Billing CDK pivot'!A:C,3,FALSE)</f>
        <v>#N/A</v>
      </c>
      <c r="P348" s="25">
        <f>IFERROR(VLOOKUP(H348,'Billing CDK pivot (overages)'!A:F,6,FALSE),0)</f>
        <v>0</v>
      </c>
      <c r="Q348" s="25" t="e">
        <f t="shared" si="21"/>
        <v>#N/A</v>
      </c>
      <c r="R348" s="26" t="e">
        <f t="shared" si="22"/>
        <v>#N/A</v>
      </c>
      <c r="S348" s="48" t="e">
        <f t="shared" si="23"/>
        <v>#N/A</v>
      </c>
      <c r="T348" s="6" t="s">
        <v>834</v>
      </c>
      <c r="U348" s="6" t="s">
        <v>617</v>
      </c>
      <c r="V348" s="6" t="s">
        <v>849</v>
      </c>
      <c r="W348" s="6" t="s">
        <v>39</v>
      </c>
      <c r="X348" s="6" t="s">
        <v>38</v>
      </c>
      <c r="Y348" s="6" t="s">
        <v>850</v>
      </c>
      <c r="Z348" s="6" t="s">
        <v>39</v>
      </c>
    </row>
    <row r="349" spans="1:26" hidden="1" x14ac:dyDescent="0.35">
      <c r="A349" s="6" t="s">
        <v>851</v>
      </c>
      <c r="B349" s="6">
        <v>73576</v>
      </c>
      <c r="C349" s="6">
        <v>16761</v>
      </c>
      <c r="D349" s="47">
        <v>3208.86</v>
      </c>
      <c r="E349" s="25">
        <v>0</v>
      </c>
      <c r="F349" s="25">
        <v>720</v>
      </c>
      <c r="G349" s="26">
        <f t="shared" si="20"/>
        <v>720</v>
      </c>
      <c r="H349" s="6">
        <v>76156785</v>
      </c>
      <c r="I349" s="6" t="s">
        <v>852</v>
      </c>
      <c r="J349" s="6"/>
      <c r="K349" s="6"/>
      <c r="L349" s="6"/>
      <c r="M349" s="6" t="e">
        <f>VLOOKUP(H349,'Billing CDK pivot (by package)'!A:D,3,FALSE)</f>
        <v>#N/A</v>
      </c>
      <c r="N349" s="6" t="e">
        <f>VLOOKUP(H349,'Billing CDK pivot (by package)'!A:D,4,FALSE)</f>
        <v>#N/A</v>
      </c>
      <c r="O349" s="25" t="e">
        <f>VLOOKUP(H349,'Billing CDK pivot'!A:C,3,FALSE)</f>
        <v>#N/A</v>
      </c>
      <c r="P349" s="25">
        <f>IFERROR(VLOOKUP(H349,'Billing CDK pivot (overages)'!A:F,6,FALSE),0)</f>
        <v>0</v>
      </c>
      <c r="Q349" s="25" t="e">
        <f t="shared" si="21"/>
        <v>#N/A</v>
      </c>
      <c r="R349" s="26" t="e">
        <f t="shared" si="22"/>
        <v>#N/A</v>
      </c>
      <c r="S349" s="48" t="e">
        <f t="shared" si="23"/>
        <v>#N/A</v>
      </c>
      <c r="T349" s="6" t="s">
        <v>834</v>
      </c>
      <c r="U349" s="6" t="s">
        <v>853</v>
      </c>
      <c r="V349" s="6" t="s">
        <v>39</v>
      </c>
      <c r="W349" s="6" t="s">
        <v>39</v>
      </c>
      <c r="X349" s="6" t="s">
        <v>207</v>
      </c>
      <c r="Y349" s="6" t="s">
        <v>387</v>
      </c>
      <c r="Z349" s="6" t="s">
        <v>39</v>
      </c>
    </row>
    <row r="350" spans="1:26" hidden="1" x14ac:dyDescent="0.35">
      <c r="A350" s="6" t="s">
        <v>854</v>
      </c>
      <c r="B350" s="6">
        <v>36440</v>
      </c>
      <c r="C350" s="6" t="s">
        <v>855</v>
      </c>
      <c r="D350" s="47">
        <v>16135.7</v>
      </c>
      <c r="E350" s="25">
        <v>0</v>
      </c>
      <c r="F350" s="25">
        <v>1581.65</v>
      </c>
      <c r="G350" s="26">
        <f t="shared" si="20"/>
        <v>1581.65</v>
      </c>
      <c r="H350" s="6">
        <v>71058869</v>
      </c>
      <c r="I350" s="6" t="s">
        <v>856</v>
      </c>
      <c r="J350" s="6"/>
      <c r="K350" s="6"/>
      <c r="L350" s="6"/>
      <c r="M350" s="6" t="e">
        <f>VLOOKUP(H350,'Billing CDK pivot (by package)'!A:D,3,FALSE)</f>
        <v>#N/A</v>
      </c>
      <c r="N350" s="6" t="e">
        <f>VLOOKUP(H350,'Billing CDK pivot (by package)'!A:D,4,FALSE)</f>
        <v>#N/A</v>
      </c>
      <c r="O350" s="25" t="e">
        <f>VLOOKUP(H350,'Billing CDK pivot'!A:C,3,FALSE)</f>
        <v>#N/A</v>
      </c>
      <c r="P350" s="25">
        <f>IFERROR(VLOOKUP(H350,'Billing CDK pivot (overages)'!A:F,6,FALSE),0)</f>
        <v>0</v>
      </c>
      <c r="Q350" s="25" t="e">
        <f t="shared" si="21"/>
        <v>#N/A</v>
      </c>
      <c r="R350" s="26" t="e">
        <f t="shared" si="22"/>
        <v>#N/A</v>
      </c>
      <c r="S350" s="48" t="e">
        <f t="shared" si="23"/>
        <v>#N/A</v>
      </c>
      <c r="T350" s="6" t="s">
        <v>834</v>
      </c>
      <c r="U350" s="6" t="s">
        <v>857</v>
      </c>
      <c r="V350" s="6" t="s">
        <v>39</v>
      </c>
      <c r="W350" s="6" t="s">
        <v>39</v>
      </c>
      <c r="X350" s="6" t="s">
        <v>38</v>
      </c>
      <c r="Y350" s="6" t="s">
        <v>54</v>
      </c>
      <c r="Z350" s="6" t="s">
        <v>39</v>
      </c>
    </row>
    <row r="351" spans="1:26" hidden="1" x14ac:dyDescent="0.35">
      <c r="A351" s="6" t="s">
        <v>858</v>
      </c>
      <c r="B351" s="6">
        <v>83171</v>
      </c>
      <c r="C351" s="6">
        <v>8604</v>
      </c>
      <c r="D351" s="47">
        <v>31481.439999999999</v>
      </c>
      <c r="E351" s="25">
        <v>0</v>
      </c>
      <c r="F351" s="25">
        <v>2005.8000000000002</v>
      </c>
      <c r="G351" s="26">
        <f t="shared" si="20"/>
        <v>2005.8000000000002</v>
      </c>
      <c r="H351" s="6">
        <v>76067575</v>
      </c>
      <c r="I351" s="6" t="s">
        <v>859</v>
      </c>
      <c r="J351" s="6"/>
      <c r="K351" s="6"/>
      <c r="L351" s="6"/>
      <c r="M351" s="6" t="e">
        <f>VLOOKUP(H351,'Billing CDK pivot (by package)'!A:D,3,FALSE)</f>
        <v>#N/A</v>
      </c>
      <c r="N351" s="6" t="e">
        <f>VLOOKUP(H351,'Billing CDK pivot (by package)'!A:D,4,FALSE)</f>
        <v>#N/A</v>
      </c>
      <c r="O351" s="25" t="e">
        <f>VLOOKUP(H351,'Billing CDK pivot'!A:C,3,FALSE)</f>
        <v>#N/A</v>
      </c>
      <c r="P351" s="25">
        <f>IFERROR(VLOOKUP(H351,'Billing CDK pivot (overages)'!A:F,6,FALSE),0)</f>
        <v>0</v>
      </c>
      <c r="Q351" s="25" t="e">
        <f t="shared" si="21"/>
        <v>#N/A</v>
      </c>
      <c r="R351" s="26" t="e">
        <f t="shared" si="22"/>
        <v>#N/A</v>
      </c>
      <c r="S351" s="48" t="e">
        <f t="shared" si="23"/>
        <v>#N/A</v>
      </c>
      <c r="T351" s="6" t="s">
        <v>834</v>
      </c>
      <c r="U351" s="6" t="s">
        <v>860</v>
      </c>
      <c r="V351" s="6" t="s">
        <v>39</v>
      </c>
      <c r="W351" s="6" t="s">
        <v>39</v>
      </c>
      <c r="X351" s="6" t="s">
        <v>50</v>
      </c>
      <c r="Y351" s="6" t="s">
        <v>44</v>
      </c>
      <c r="Z351" s="6" t="s">
        <v>861</v>
      </c>
    </row>
    <row r="352" spans="1:26" hidden="1" x14ac:dyDescent="0.35">
      <c r="A352" s="6" t="s">
        <v>862</v>
      </c>
      <c r="B352" s="6">
        <v>78445</v>
      </c>
      <c r="C352" s="6">
        <v>10064</v>
      </c>
      <c r="D352" s="47">
        <v>8485.2900000000009</v>
      </c>
      <c r="E352" s="25">
        <v>0</v>
      </c>
      <c r="F352" s="25">
        <v>2005.8000000000002</v>
      </c>
      <c r="G352" s="26">
        <f t="shared" si="20"/>
        <v>2005.8000000000002</v>
      </c>
      <c r="H352" s="6">
        <v>76212246</v>
      </c>
      <c r="I352" s="6" t="s">
        <v>863</v>
      </c>
      <c r="J352" s="6"/>
      <c r="K352" s="6"/>
      <c r="L352" s="6"/>
      <c r="M352" s="6" t="e">
        <f>VLOOKUP(H352,'Billing CDK pivot (by package)'!A:D,3,FALSE)</f>
        <v>#N/A</v>
      </c>
      <c r="N352" s="6" t="e">
        <f>VLOOKUP(H352,'Billing CDK pivot (by package)'!A:D,4,FALSE)</f>
        <v>#N/A</v>
      </c>
      <c r="O352" s="25" t="e">
        <f>VLOOKUP(H352,'Billing CDK pivot'!A:C,3,FALSE)</f>
        <v>#N/A</v>
      </c>
      <c r="P352" s="25">
        <f>IFERROR(VLOOKUP(H352,'Billing CDK pivot (overages)'!A:F,6,FALSE),0)</f>
        <v>0</v>
      </c>
      <c r="Q352" s="25" t="e">
        <f t="shared" si="21"/>
        <v>#N/A</v>
      </c>
      <c r="R352" s="26" t="e">
        <f t="shared" si="22"/>
        <v>#N/A</v>
      </c>
      <c r="S352" s="48" t="e">
        <f t="shared" si="23"/>
        <v>#N/A</v>
      </c>
      <c r="T352" s="6" t="s">
        <v>834</v>
      </c>
      <c r="U352" s="6" t="s">
        <v>864</v>
      </c>
      <c r="V352" s="6" t="s">
        <v>39</v>
      </c>
      <c r="W352" s="6" t="s">
        <v>39</v>
      </c>
      <c r="X352" s="6" t="s">
        <v>38</v>
      </c>
      <c r="Y352" s="6" t="s">
        <v>44</v>
      </c>
      <c r="Z352" s="6" t="s">
        <v>865</v>
      </c>
    </row>
    <row r="353" spans="1:26" hidden="1" x14ac:dyDescent="0.35">
      <c r="A353" s="6" t="s">
        <v>866</v>
      </c>
      <c r="B353" s="6">
        <v>138536</v>
      </c>
      <c r="C353" s="6">
        <v>16121</v>
      </c>
      <c r="D353" s="47">
        <v>32703.23</v>
      </c>
      <c r="E353" s="25">
        <v>0</v>
      </c>
      <c r="F353" s="25">
        <v>2543.85</v>
      </c>
      <c r="G353" s="26">
        <f t="shared" si="20"/>
        <v>2543.85</v>
      </c>
      <c r="H353" s="6">
        <v>76210024</v>
      </c>
      <c r="I353" s="6" t="s">
        <v>867</v>
      </c>
      <c r="J353" s="6"/>
      <c r="K353" s="6"/>
      <c r="L353" s="6"/>
      <c r="M353" s="6" t="e">
        <f>VLOOKUP(H353,'Billing CDK pivot (by package)'!A:D,3,FALSE)</f>
        <v>#N/A</v>
      </c>
      <c r="N353" s="6" t="e">
        <f>VLOOKUP(H353,'Billing CDK pivot (by package)'!A:D,4,FALSE)</f>
        <v>#N/A</v>
      </c>
      <c r="O353" s="25" t="e">
        <f>VLOOKUP(H353,'Billing CDK pivot'!A:C,3,FALSE)</f>
        <v>#N/A</v>
      </c>
      <c r="P353" s="25">
        <f>IFERROR(VLOOKUP(H353,'Billing CDK pivot (overages)'!A:F,6,FALSE),0)</f>
        <v>0</v>
      </c>
      <c r="Q353" s="25" t="e">
        <f t="shared" si="21"/>
        <v>#N/A</v>
      </c>
      <c r="R353" s="26" t="e">
        <f t="shared" si="22"/>
        <v>#N/A</v>
      </c>
      <c r="S353" s="48" t="e">
        <f t="shared" si="23"/>
        <v>#N/A</v>
      </c>
      <c r="T353" s="6" t="s">
        <v>834</v>
      </c>
      <c r="U353" s="6" t="s">
        <v>868</v>
      </c>
      <c r="V353" s="6" t="s">
        <v>39</v>
      </c>
      <c r="W353" s="6" t="s">
        <v>39</v>
      </c>
      <c r="X353" s="6" t="s">
        <v>138</v>
      </c>
      <c r="Y353" s="6" t="s">
        <v>378</v>
      </c>
      <c r="Z353" s="6" t="s">
        <v>39</v>
      </c>
    </row>
    <row r="354" spans="1:26" hidden="1" x14ac:dyDescent="0.35">
      <c r="A354" s="6" t="s">
        <v>869</v>
      </c>
      <c r="B354" s="6">
        <v>108919</v>
      </c>
      <c r="C354" s="6">
        <v>19326</v>
      </c>
      <c r="D354" s="47">
        <v>1352.5</v>
      </c>
      <c r="E354" s="25">
        <v>0</v>
      </c>
      <c r="F354" s="25">
        <v>1284.1500000000001</v>
      </c>
      <c r="G354" s="26">
        <f t="shared" si="20"/>
        <v>1284.1500000000001</v>
      </c>
      <c r="H354" s="6">
        <v>76214799</v>
      </c>
      <c r="I354" s="6" t="s">
        <v>870</v>
      </c>
      <c r="J354" s="6"/>
      <c r="K354" s="6"/>
      <c r="L354" s="6"/>
      <c r="M354" s="6" t="e">
        <f>VLOOKUP(H354,'Billing CDK pivot (by package)'!A:D,3,FALSE)</f>
        <v>#N/A</v>
      </c>
      <c r="N354" s="6" t="e">
        <f>VLOOKUP(H354,'Billing CDK pivot (by package)'!A:D,4,FALSE)</f>
        <v>#N/A</v>
      </c>
      <c r="O354" s="25" t="e">
        <f>VLOOKUP(H354,'Billing CDK pivot'!A:C,3,FALSE)</f>
        <v>#N/A</v>
      </c>
      <c r="P354" s="25">
        <f>IFERROR(VLOOKUP(H354,'Billing CDK pivot (overages)'!A:F,6,FALSE),0)</f>
        <v>0</v>
      </c>
      <c r="Q354" s="25" t="e">
        <f t="shared" si="21"/>
        <v>#N/A</v>
      </c>
      <c r="R354" s="26" t="e">
        <f t="shared" si="22"/>
        <v>#N/A</v>
      </c>
      <c r="S354" s="48" t="e">
        <f t="shared" si="23"/>
        <v>#N/A</v>
      </c>
      <c r="T354" s="6" t="s">
        <v>834</v>
      </c>
      <c r="U354" s="6" t="s">
        <v>813</v>
      </c>
      <c r="V354" s="6" t="s">
        <v>293</v>
      </c>
      <c r="W354" s="6" t="s">
        <v>39</v>
      </c>
      <c r="X354" s="6" t="s">
        <v>38</v>
      </c>
      <c r="Y354" s="6" t="s">
        <v>69</v>
      </c>
      <c r="Z354" s="6" t="s">
        <v>39</v>
      </c>
    </row>
    <row r="355" spans="1:26" hidden="1" x14ac:dyDescent="0.35">
      <c r="A355" s="6" t="s">
        <v>871</v>
      </c>
      <c r="B355" s="6">
        <v>76664</v>
      </c>
      <c r="C355" s="6">
        <v>17313</v>
      </c>
      <c r="D355" s="47">
        <v>10.98</v>
      </c>
      <c r="E355" s="25">
        <v>0</v>
      </c>
      <c r="F355" s="25">
        <v>254.15</v>
      </c>
      <c r="G355" s="26">
        <f t="shared" si="20"/>
        <v>254.15</v>
      </c>
      <c r="H355" s="6">
        <v>76065926</v>
      </c>
      <c r="I355" s="6" t="s">
        <v>872</v>
      </c>
      <c r="J355" s="6"/>
      <c r="K355" s="6"/>
      <c r="L355" s="6"/>
      <c r="M355" s="6" t="e">
        <f>VLOOKUP(H355,'Billing CDK pivot (by package)'!A:D,3,FALSE)</f>
        <v>#N/A</v>
      </c>
      <c r="N355" s="6" t="e">
        <f>VLOOKUP(H355,'Billing CDK pivot (by package)'!A:D,4,FALSE)</f>
        <v>#N/A</v>
      </c>
      <c r="O355" s="25" t="e">
        <f>VLOOKUP(H355,'Billing CDK pivot'!A:C,3,FALSE)</f>
        <v>#N/A</v>
      </c>
      <c r="P355" s="25">
        <f>IFERROR(VLOOKUP(H355,'Billing CDK pivot (overages)'!A:F,6,FALSE),0)</f>
        <v>0</v>
      </c>
      <c r="Q355" s="25" t="e">
        <f t="shared" si="21"/>
        <v>#N/A</v>
      </c>
      <c r="R355" s="26" t="e">
        <f t="shared" si="22"/>
        <v>#N/A</v>
      </c>
      <c r="S355" s="48" t="e">
        <f t="shared" si="23"/>
        <v>#N/A</v>
      </c>
      <c r="T355" s="6" t="s">
        <v>834</v>
      </c>
      <c r="U355" s="6" t="s">
        <v>794</v>
      </c>
      <c r="V355" s="6" t="s">
        <v>39</v>
      </c>
      <c r="W355" s="6" t="s">
        <v>39</v>
      </c>
      <c r="X355" s="6" t="s">
        <v>143</v>
      </c>
      <c r="Y355" s="6" t="s">
        <v>39</v>
      </c>
      <c r="Z355" s="6" t="s">
        <v>39</v>
      </c>
    </row>
    <row r="356" spans="1:26" hidden="1" x14ac:dyDescent="0.35">
      <c r="A356" s="6" t="s">
        <v>873</v>
      </c>
      <c r="B356" s="6">
        <v>96884</v>
      </c>
      <c r="C356" s="6">
        <v>17138</v>
      </c>
      <c r="D356" s="47">
        <v>5959.22</v>
      </c>
      <c r="E356" s="25">
        <v>135.19</v>
      </c>
      <c r="F356" s="25">
        <v>389.34</v>
      </c>
      <c r="G356" s="26">
        <f t="shared" si="20"/>
        <v>254.14999999999998</v>
      </c>
      <c r="H356" s="6">
        <v>76211637</v>
      </c>
      <c r="I356" s="6" t="s">
        <v>874</v>
      </c>
      <c r="J356" s="6"/>
      <c r="K356" s="6"/>
      <c r="L356" s="6"/>
      <c r="M356" s="6" t="e">
        <f>VLOOKUP(H356,'Billing CDK pivot (by package)'!A:D,3,FALSE)</f>
        <v>#N/A</v>
      </c>
      <c r="N356" s="6" t="e">
        <f>VLOOKUP(H356,'Billing CDK pivot (by package)'!A:D,4,FALSE)</f>
        <v>#N/A</v>
      </c>
      <c r="O356" s="25" t="e">
        <f>VLOOKUP(H356,'Billing CDK pivot'!A:C,3,FALSE)</f>
        <v>#N/A</v>
      </c>
      <c r="P356" s="25">
        <f>IFERROR(VLOOKUP(H356,'Billing CDK pivot (overages)'!A:F,6,FALSE),0)</f>
        <v>0</v>
      </c>
      <c r="Q356" s="25" t="e">
        <f t="shared" si="21"/>
        <v>#N/A</v>
      </c>
      <c r="R356" s="26" t="e">
        <f t="shared" si="22"/>
        <v>#N/A</v>
      </c>
      <c r="S356" s="48" t="e">
        <f t="shared" si="23"/>
        <v>#N/A</v>
      </c>
      <c r="T356" s="6" t="s">
        <v>834</v>
      </c>
      <c r="U356" s="6" t="s">
        <v>794</v>
      </c>
      <c r="V356" s="6" t="s">
        <v>39</v>
      </c>
      <c r="W356" s="6" t="s">
        <v>39</v>
      </c>
      <c r="X356" s="6" t="s">
        <v>38</v>
      </c>
      <c r="Y356" s="6" t="s">
        <v>39</v>
      </c>
      <c r="Z356" s="6" t="s">
        <v>39</v>
      </c>
    </row>
    <row r="357" spans="1:26" hidden="1" x14ac:dyDescent="0.35">
      <c r="A357" s="6" t="s">
        <v>875</v>
      </c>
      <c r="B357" s="6">
        <v>92437</v>
      </c>
      <c r="C357" s="6">
        <v>18665</v>
      </c>
      <c r="D357" s="47">
        <v>4167.6400000000003</v>
      </c>
      <c r="E357" s="25">
        <v>11.57</v>
      </c>
      <c r="F357" s="25">
        <v>265.72000000000003</v>
      </c>
      <c r="G357" s="26">
        <f t="shared" si="20"/>
        <v>254.15000000000003</v>
      </c>
      <c r="H357" s="6">
        <v>76211528</v>
      </c>
      <c r="I357" s="6" t="s">
        <v>876</v>
      </c>
      <c r="J357" s="6"/>
      <c r="K357" s="6"/>
      <c r="L357" s="6"/>
      <c r="M357" s="6" t="e">
        <f>VLOOKUP(H357,'Billing CDK pivot (by package)'!A:D,3,FALSE)</f>
        <v>#N/A</v>
      </c>
      <c r="N357" s="6" t="e">
        <f>VLOOKUP(H357,'Billing CDK pivot (by package)'!A:D,4,FALSE)</f>
        <v>#N/A</v>
      </c>
      <c r="O357" s="25" t="e">
        <f>VLOOKUP(H357,'Billing CDK pivot'!A:C,3,FALSE)</f>
        <v>#N/A</v>
      </c>
      <c r="P357" s="25">
        <f>IFERROR(VLOOKUP(H357,'Billing CDK pivot (overages)'!A:F,6,FALSE),0)</f>
        <v>0</v>
      </c>
      <c r="Q357" s="25" t="e">
        <f t="shared" si="21"/>
        <v>#N/A</v>
      </c>
      <c r="R357" s="26" t="e">
        <f t="shared" si="22"/>
        <v>#N/A</v>
      </c>
      <c r="S357" s="48" t="e">
        <f t="shared" si="23"/>
        <v>#N/A</v>
      </c>
      <c r="T357" s="6" t="s">
        <v>834</v>
      </c>
      <c r="U357" s="6" t="s">
        <v>797</v>
      </c>
      <c r="V357" s="6" t="s">
        <v>39</v>
      </c>
      <c r="W357" s="6" t="s">
        <v>39</v>
      </c>
      <c r="X357" s="6" t="s">
        <v>58</v>
      </c>
      <c r="Y357" s="6" t="s">
        <v>39</v>
      </c>
      <c r="Z357" s="6" t="s">
        <v>39</v>
      </c>
    </row>
    <row r="358" spans="1:26" hidden="1" x14ac:dyDescent="0.35">
      <c r="A358" s="6" t="s">
        <v>877</v>
      </c>
      <c r="B358" s="6">
        <v>61126</v>
      </c>
      <c r="C358" s="6">
        <v>16271</v>
      </c>
      <c r="D358" s="47">
        <v>266.63</v>
      </c>
      <c r="E358" s="25">
        <v>0</v>
      </c>
      <c r="F358" s="25">
        <v>254.15</v>
      </c>
      <c r="G358" s="26">
        <f t="shared" si="20"/>
        <v>254.15</v>
      </c>
      <c r="H358" s="6">
        <v>76211762</v>
      </c>
      <c r="I358" s="6" t="s">
        <v>878</v>
      </c>
      <c r="J358" s="6"/>
      <c r="K358" s="6"/>
      <c r="L358" s="6"/>
      <c r="M358" s="6" t="e">
        <f>VLOOKUP(H358,'Billing CDK pivot (by package)'!A:D,3,FALSE)</f>
        <v>#N/A</v>
      </c>
      <c r="N358" s="6" t="e">
        <f>VLOOKUP(H358,'Billing CDK pivot (by package)'!A:D,4,FALSE)</f>
        <v>#N/A</v>
      </c>
      <c r="O358" s="25" t="e">
        <f>VLOOKUP(H358,'Billing CDK pivot'!A:C,3,FALSE)</f>
        <v>#N/A</v>
      </c>
      <c r="P358" s="25">
        <f>IFERROR(VLOOKUP(H358,'Billing CDK pivot (overages)'!A:F,6,FALSE),0)</f>
        <v>0</v>
      </c>
      <c r="Q358" s="25" t="e">
        <f t="shared" si="21"/>
        <v>#N/A</v>
      </c>
      <c r="R358" s="26" t="e">
        <f t="shared" si="22"/>
        <v>#N/A</v>
      </c>
      <c r="S358" s="48" t="e">
        <f t="shared" si="23"/>
        <v>#N/A</v>
      </c>
      <c r="T358" s="6" t="s">
        <v>834</v>
      </c>
      <c r="U358" s="6" t="s">
        <v>797</v>
      </c>
      <c r="V358" s="6" t="s">
        <v>39</v>
      </c>
      <c r="W358" s="6" t="s">
        <v>39</v>
      </c>
      <c r="X358" s="6" t="s">
        <v>38</v>
      </c>
      <c r="Y358" s="6" t="s">
        <v>39</v>
      </c>
      <c r="Z358" s="6" t="s">
        <v>39</v>
      </c>
    </row>
    <row r="359" spans="1:26" hidden="1" x14ac:dyDescent="0.35">
      <c r="A359" s="6" t="s">
        <v>879</v>
      </c>
      <c r="B359" s="6">
        <v>121695</v>
      </c>
      <c r="C359" s="6">
        <v>21212</v>
      </c>
      <c r="D359" s="47">
        <v>71.98</v>
      </c>
      <c r="E359" s="25">
        <v>0</v>
      </c>
      <c r="F359" s="25">
        <v>254.15</v>
      </c>
      <c r="G359" s="26">
        <f t="shared" si="20"/>
        <v>254.15</v>
      </c>
      <c r="H359" s="6">
        <v>76208343</v>
      </c>
      <c r="I359" s="6" t="s">
        <v>880</v>
      </c>
      <c r="J359" s="6"/>
      <c r="K359" s="6"/>
      <c r="L359" s="6"/>
      <c r="M359" s="6" t="e">
        <f>VLOOKUP(H359,'Billing CDK pivot (by package)'!A:D,3,FALSE)</f>
        <v>#N/A</v>
      </c>
      <c r="N359" s="6" t="e">
        <f>VLOOKUP(H359,'Billing CDK pivot (by package)'!A:D,4,FALSE)</f>
        <v>#N/A</v>
      </c>
      <c r="O359" s="25" t="e">
        <f>VLOOKUP(H359,'Billing CDK pivot'!A:C,3,FALSE)</f>
        <v>#N/A</v>
      </c>
      <c r="P359" s="25">
        <f>IFERROR(VLOOKUP(H359,'Billing CDK pivot (overages)'!A:F,6,FALSE),0)</f>
        <v>0</v>
      </c>
      <c r="Q359" s="25" t="e">
        <f t="shared" si="21"/>
        <v>#N/A</v>
      </c>
      <c r="R359" s="26" t="e">
        <f t="shared" si="22"/>
        <v>#N/A</v>
      </c>
      <c r="S359" s="48" t="e">
        <f t="shared" si="23"/>
        <v>#N/A</v>
      </c>
      <c r="T359" s="6" t="s">
        <v>834</v>
      </c>
      <c r="U359" s="6" t="s">
        <v>797</v>
      </c>
      <c r="V359" s="6" t="s">
        <v>39</v>
      </c>
      <c r="W359" s="6" t="s">
        <v>39</v>
      </c>
      <c r="X359" s="6" t="s">
        <v>54</v>
      </c>
      <c r="Y359" s="6" t="s">
        <v>39</v>
      </c>
      <c r="Z359" s="6" t="s">
        <v>39</v>
      </c>
    </row>
    <row r="360" spans="1:26" hidden="1" x14ac:dyDescent="0.35">
      <c r="A360" s="6" t="s">
        <v>881</v>
      </c>
      <c r="B360" s="6">
        <v>185463</v>
      </c>
      <c r="C360" s="6">
        <v>29715</v>
      </c>
      <c r="D360" s="47">
        <v>3608.44</v>
      </c>
      <c r="E360" s="25">
        <v>0</v>
      </c>
      <c r="F360" s="25">
        <v>1698</v>
      </c>
      <c r="G360" s="26">
        <f t="shared" si="20"/>
        <v>1698</v>
      </c>
      <c r="H360" s="6">
        <v>76244702</v>
      </c>
      <c r="I360" s="6" t="s">
        <v>882</v>
      </c>
      <c r="J360" s="6"/>
      <c r="K360" s="6"/>
      <c r="L360" s="6"/>
      <c r="M360" s="6" t="e">
        <f>VLOOKUP(H360,'Billing CDK pivot (by package)'!A:D,3,FALSE)</f>
        <v>#N/A</v>
      </c>
      <c r="N360" s="6" t="e">
        <f>VLOOKUP(H360,'Billing CDK pivot (by package)'!A:D,4,FALSE)</f>
        <v>#N/A</v>
      </c>
      <c r="O360" s="25" t="e">
        <f>VLOOKUP(H360,'Billing CDK pivot'!A:C,3,FALSE)</f>
        <v>#N/A</v>
      </c>
      <c r="P360" s="25">
        <f>IFERROR(VLOOKUP(H360,'Billing CDK pivot (overages)'!A:F,6,FALSE),0)</f>
        <v>0</v>
      </c>
      <c r="Q360" s="25" t="e">
        <f t="shared" si="21"/>
        <v>#N/A</v>
      </c>
      <c r="R360" s="26" t="e">
        <f t="shared" si="22"/>
        <v>#N/A</v>
      </c>
      <c r="S360" s="48" t="e">
        <f t="shared" si="23"/>
        <v>#N/A</v>
      </c>
      <c r="T360" s="6" t="s">
        <v>834</v>
      </c>
      <c r="U360" s="6" t="s">
        <v>883</v>
      </c>
      <c r="V360" s="6" t="s">
        <v>293</v>
      </c>
      <c r="W360" s="6" t="s">
        <v>39</v>
      </c>
      <c r="X360" s="6" t="s">
        <v>38</v>
      </c>
      <c r="Y360" s="6" t="s">
        <v>294</v>
      </c>
      <c r="Z360" s="6" t="s">
        <v>39</v>
      </c>
    </row>
    <row r="361" spans="1:26" hidden="1" x14ac:dyDescent="0.35">
      <c r="A361" s="6" t="s">
        <v>884</v>
      </c>
      <c r="B361" s="6">
        <v>159077</v>
      </c>
      <c r="C361" s="6">
        <v>19633</v>
      </c>
      <c r="D361" s="47">
        <v>10768.08</v>
      </c>
      <c r="E361" s="25">
        <v>0</v>
      </c>
      <c r="F361" s="25">
        <v>1698</v>
      </c>
      <c r="G361" s="26">
        <f t="shared" si="20"/>
        <v>1698</v>
      </c>
      <c r="H361" s="6">
        <v>76186951</v>
      </c>
      <c r="I361" s="6" t="s">
        <v>885</v>
      </c>
      <c r="J361" s="6"/>
      <c r="K361" s="6"/>
      <c r="L361" s="6"/>
      <c r="M361" s="6" t="e">
        <f>VLOOKUP(H361,'Billing CDK pivot (by package)'!A:D,3,FALSE)</f>
        <v>#N/A</v>
      </c>
      <c r="N361" s="6" t="e">
        <f>VLOOKUP(H361,'Billing CDK pivot (by package)'!A:D,4,FALSE)</f>
        <v>#N/A</v>
      </c>
      <c r="O361" s="25" t="e">
        <f>VLOOKUP(H361,'Billing CDK pivot'!A:C,3,FALSE)</f>
        <v>#N/A</v>
      </c>
      <c r="P361" s="25">
        <f>IFERROR(VLOOKUP(H361,'Billing CDK pivot (overages)'!A:F,6,FALSE),0)</f>
        <v>0</v>
      </c>
      <c r="Q361" s="25" t="e">
        <f t="shared" si="21"/>
        <v>#N/A</v>
      </c>
      <c r="R361" s="26" t="e">
        <f t="shared" si="22"/>
        <v>#N/A</v>
      </c>
      <c r="S361" s="48" t="e">
        <f t="shared" si="23"/>
        <v>#N/A</v>
      </c>
      <c r="T361" s="6" t="s">
        <v>834</v>
      </c>
      <c r="U361" s="6" t="s">
        <v>883</v>
      </c>
      <c r="V361" s="6" t="s">
        <v>293</v>
      </c>
      <c r="W361" s="6" t="s">
        <v>39</v>
      </c>
      <c r="X361" s="6" t="s">
        <v>38</v>
      </c>
      <c r="Y361" s="6" t="s">
        <v>294</v>
      </c>
      <c r="Z361" s="6" t="s">
        <v>39</v>
      </c>
    </row>
    <row r="362" spans="1:26" hidden="1" x14ac:dyDescent="0.35">
      <c r="A362" s="6" t="s">
        <v>886</v>
      </c>
      <c r="B362" s="6">
        <v>119044</v>
      </c>
      <c r="C362" s="6">
        <v>21218</v>
      </c>
      <c r="D362" s="47">
        <v>10318.92</v>
      </c>
      <c r="E362" s="25">
        <v>0</v>
      </c>
      <c r="F362" s="25">
        <v>1284.1500000000001</v>
      </c>
      <c r="G362" s="26">
        <f t="shared" si="20"/>
        <v>1284.1500000000001</v>
      </c>
      <c r="H362" s="6">
        <v>76210608</v>
      </c>
      <c r="I362" s="6" t="s">
        <v>887</v>
      </c>
      <c r="J362" s="6"/>
      <c r="K362" s="6"/>
      <c r="L362" s="6"/>
      <c r="M362" s="6" t="e">
        <f>VLOOKUP(H362,'Billing CDK pivot (by package)'!A:D,3,FALSE)</f>
        <v>#N/A</v>
      </c>
      <c r="N362" s="6" t="e">
        <f>VLOOKUP(H362,'Billing CDK pivot (by package)'!A:D,4,FALSE)</f>
        <v>#N/A</v>
      </c>
      <c r="O362" s="25" t="e">
        <f>VLOOKUP(H362,'Billing CDK pivot'!A:C,3,FALSE)</f>
        <v>#N/A</v>
      </c>
      <c r="P362" s="25">
        <f>IFERROR(VLOOKUP(H362,'Billing CDK pivot (overages)'!A:F,6,FALSE),0)</f>
        <v>0</v>
      </c>
      <c r="Q362" s="25" t="e">
        <f t="shared" si="21"/>
        <v>#N/A</v>
      </c>
      <c r="R362" s="26" t="e">
        <f t="shared" si="22"/>
        <v>#N/A</v>
      </c>
      <c r="S362" s="48" t="e">
        <f t="shared" si="23"/>
        <v>#N/A</v>
      </c>
      <c r="T362" s="6" t="s">
        <v>834</v>
      </c>
      <c r="U362" s="6" t="s">
        <v>888</v>
      </c>
      <c r="V362" s="6" t="s">
        <v>39</v>
      </c>
      <c r="W362" s="6" t="s">
        <v>39</v>
      </c>
      <c r="X362" s="6" t="s">
        <v>38</v>
      </c>
      <c r="Y362" s="6" t="s">
        <v>69</v>
      </c>
      <c r="Z362" s="6" t="s">
        <v>39</v>
      </c>
    </row>
    <row r="363" spans="1:26" hidden="1" x14ac:dyDescent="0.35">
      <c r="A363" s="6" t="s">
        <v>889</v>
      </c>
      <c r="B363" s="6">
        <v>81817</v>
      </c>
      <c r="C363" s="6">
        <v>17668</v>
      </c>
      <c r="D363" s="47">
        <v>3608.17</v>
      </c>
      <c r="E363" s="25">
        <v>0</v>
      </c>
      <c r="F363" s="25">
        <v>1284.1500000000001</v>
      </c>
      <c r="G363" s="26">
        <f t="shared" si="20"/>
        <v>1284.1500000000001</v>
      </c>
      <c r="H363" s="6">
        <v>76153470</v>
      </c>
      <c r="I363" s="6" t="s">
        <v>890</v>
      </c>
      <c r="J363" s="6"/>
      <c r="K363" s="6"/>
      <c r="L363" s="6"/>
      <c r="M363" s="6" t="e">
        <f>VLOOKUP(H363,'Billing CDK pivot (by package)'!A:D,3,FALSE)</f>
        <v>#N/A</v>
      </c>
      <c r="N363" s="6" t="e">
        <f>VLOOKUP(H363,'Billing CDK pivot (by package)'!A:D,4,FALSE)</f>
        <v>#N/A</v>
      </c>
      <c r="O363" s="25" t="e">
        <f>VLOOKUP(H363,'Billing CDK pivot'!A:C,3,FALSE)</f>
        <v>#N/A</v>
      </c>
      <c r="P363" s="25">
        <f>IFERROR(VLOOKUP(H363,'Billing CDK pivot (overages)'!A:F,6,FALSE),0)</f>
        <v>0</v>
      </c>
      <c r="Q363" s="25" t="e">
        <f t="shared" si="21"/>
        <v>#N/A</v>
      </c>
      <c r="R363" s="26" t="e">
        <f t="shared" si="22"/>
        <v>#N/A</v>
      </c>
      <c r="S363" s="48" t="e">
        <f t="shared" si="23"/>
        <v>#N/A</v>
      </c>
      <c r="T363" s="6" t="s">
        <v>834</v>
      </c>
      <c r="U363" s="6" t="s">
        <v>891</v>
      </c>
      <c r="V363" s="6" t="s">
        <v>293</v>
      </c>
      <c r="W363" s="6" t="s">
        <v>39</v>
      </c>
      <c r="X363" s="6" t="s">
        <v>38</v>
      </c>
      <c r="Y363" s="6" t="s">
        <v>69</v>
      </c>
      <c r="Z363" s="6" t="s">
        <v>39</v>
      </c>
    </row>
    <row r="364" spans="1:26" hidden="1" x14ac:dyDescent="0.35">
      <c r="A364" s="6" t="s">
        <v>892</v>
      </c>
      <c r="B364" s="6">
        <v>61219</v>
      </c>
      <c r="C364" s="6">
        <v>16369</v>
      </c>
      <c r="D364" s="47">
        <v>6213.33</v>
      </c>
      <c r="E364" s="25">
        <v>0</v>
      </c>
      <c r="F364" s="25">
        <v>839</v>
      </c>
      <c r="G364" s="26">
        <f t="shared" si="20"/>
        <v>839</v>
      </c>
      <c r="H364" s="6" t="s">
        <v>893</v>
      </c>
      <c r="I364" s="6" t="s">
        <v>894</v>
      </c>
      <c r="J364" s="6"/>
      <c r="K364" s="6"/>
      <c r="L364" s="6"/>
      <c r="M364" s="6" t="str">
        <f>VLOOKUP(H364,'Billing CDK pivot (by package)'!A:D,3,FALSE)</f>
        <v>4570060</v>
      </c>
      <c r="N364" s="6" t="str">
        <f>VLOOKUP(H364,'Billing CDK pivot (by package)'!A:D,4,FALSE)</f>
        <v>CRM OUTBOUND TELEPHONY TRACKING (NEW AND CONVERSION)</v>
      </c>
      <c r="O364" s="25" t="e">
        <f>VLOOKUP(H364,'Billing CDK pivot'!A:C,3,FALSE)</f>
        <v>#N/A</v>
      </c>
      <c r="P364" s="25">
        <f>IFERROR(VLOOKUP(H364,'Billing CDK pivot (overages)'!A:F,6,FALSE),0)</f>
        <v>0</v>
      </c>
      <c r="Q364" s="25" t="e">
        <f t="shared" si="21"/>
        <v>#N/A</v>
      </c>
      <c r="R364" s="26" t="e">
        <f t="shared" si="22"/>
        <v>#N/A</v>
      </c>
      <c r="S364" s="48" t="e">
        <f t="shared" si="23"/>
        <v>#N/A</v>
      </c>
      <c r="T364" s="6" t="s">
        <v>834</v>
      </c>
      <c r="U364" s="6" t="s">
        <v>895</v>
      </c>
      <c r="V364" s="6" t="s">
        <v>137</v>
      </c>
      <c r="W364" s="6" t="s">
        <v>39</v>
      </c>
      <c r="X364" s="6" t="s">
        <v>38</v>
      </c>
      <c r="Y364" s="6" t="s">
        <v>387</v>
      </c>
      <c r="Z364" s="6" t="s">
        <v>734</v>
      </c>
    </row>
    <row r="365" spans="1:26" hidden="1" x14ac:dyDescent="0.35">
      <c r="A365" s="6" t="s">
        <v>896</v>
      </c>
      <c r="B365" s="6">
        <v>58251</v>
      </c>
      <c r="C365" s="6">
        <v>16171</v>
      </c>
      <c r="D365" s="47">
        <v>7494.86</v>
      </c>
      <c r="E365" s="25">
        <v>0</v>
      </c>
      <c r="F365" s="25">
        <v>839</v>
      </c>
      <c r="G365" s="26">
        <f t="shared" si="20"/>
        <v>839</v>
      </c>
      <c r="H365" s="6">
        <v>76150081</v>
      </c>
      <c r="I365" s="6" t="s">
        <v>897</v>
      </c>
      <c r="J365" s="6"/>
      <c r="K365" s="6"/>
      <c r="L365" s="6"/>
      <c r="M365" s="6" t="e">
        <f>VLOOKUP(H365,'Billing CDK pivot (by package)'!A:D,3,FALSE)</f>
        <v>#N/A</v>
      </c>
      <c r="N365" s="6" t="e">
        <f>VLOOKUP(H365,'Billing CDK pivot (by package)'!A:D,4,FALSE)</f>
        <v>#N/A</v>
      </c>
      <c r="O365" s="25" t="e">
        <f>VLOOKUP(H365,'Billing CDK pivot'!A:C,3,FALSE)</f>
        <v>#N/A</v>
      </c>
      <c r="P365" s="25">
        <f>IFERROR(VLOOKUP(H365,'Billing CDK pivot (overages)'!A:F,6,FALSE),0)</f>
        <v>0</v>
      </c>
      <c r="Q365" s="25" t="e">
        <f t="shared" si="21"/>
        <v>#N/A</v>
      </c>
      <c r="R365" s="26" t="e">
        <f t="shared" si="22"/>
        <v>#N/A</v>
      </c>
      <c r="S365" s="48" t="e">
        <f t="shared" si="23"/>
        <v>#N/A</v>
      </c>
      <c r="T365" s="6" t="s">
        <v>834</v>
      </c>
      <c r="U365" s="6" t="s">
        <v>895</v>
      </c>
      <c r="V365" s="6" t="s">
        <v>137</v>
      </c>
      <c r="W365" s="6" t="s">
        <v>39</v>
      </c>
      <c r="X365" s="6" t="s">
        <v>38</v>
      </c>
      <c r="Y365" s="6" t="s">
        <v>387</v>
      </c>
      <c r="Z365" s="6" t="s">
        <v>734</v>
      </c>
    </row>
    <row r="366" spans="1:26" hidden="1" x14ac:dyDescent="0.35">
      <c r="A366" s="6" t="s">
        <v>898</v>
      </c>
      <c r="B366" s="6">
        <v>141757</v>
      </c>
      <c r="C366" s="6">
        <v>17782</v>
      </c>
      <c r="D366" s="47">
        <v>3171.09</v>
      </c>
      <c r="E366" s="25">
        <v>0</v>
      </c>
      <c r="F366" s="25">
        <v>848</v>
      </c>
      <c r="G366" s="26">
        <f t="shared" si="20"/>
        <v>848</v>
      </c>
      <c r="H366" s="6">
        <v>76213065</v>
      </c>
      <c r="I366" s="6" t="s">
        <v>899</v>
      </c>
      <c r="J366" s="6"/>
      <c r="K366" s="6"/>
      <c r="L366" s="6"/>
      <c r="M366" s="6" t="e">
        <f>VLOOKUP(H366,'Billing CDK pivot (by package)'!A:D,3,FALSE)</f>
        <v>#N/A</v>
      </c>
      <c r="N366" s="6" t="e">
        <f>VLOOKUP(H366,'Billing CDK pivot (by package)'!A:D,4,FALSE)</f>
        <v>#N/A</v>
      </c>
      <c r="O366" s="25" t="e">
        <f>VLOOKUP(H366,'Billing CDK pivot'!A:C,3,FALSE)</f>
        <v>#N/A</v>
      </c>
      <c r="P366" s="25">
        <f>IFERROR(VLOOKUP(H366,'Billing CDK pivot (overages)'!A:F,6,FALSE),0)</f>
        <v>0</v>
      </c>
      <c r="Q366" s="25" t="e">
        <f t="shared" si="21"/>
        <v>#N/A</v>
      </c>
      <c r="R366" s="26" t="e">
        <f t="shared" si="22"/>
        <v>#N/A</v>
      </c>
      <c r="S366" s="48" t="e">
        <f t="shared" si="23"/>
        <v>#N/A</v>
      </c>
      <c r="T366" s="6" t="s">
        <v>834</v>
      </c>
      <c r="U366" s="6" t="s">
        <v>313</v>
      </c>
      <c r="V366" s="6" t="s">
        <v>900</v>
      </c>
      <c r="W366" s="6" t="s">
        <v>39</v>
      </c>
      <c r="X366" s="6" t="s">
        <v>38</v>
      </c>
      <c r="Y366" s="6" t="s">
        <v>901</v>
      </c>
      <c r="Z366" s="6" t="s">
        <v>39</v>
      </c>
    </row>
    <row r="367" spans="1:26" hidden="1" x14ac:dyDescent="0.35">
      <c r="A367" s="6" t="s">
        <v>902</v>
      </c>
      <c r="B367" s="6">
        <v>61224</v>
      </c>
      <c r="C367" s="6">
        <v>16381</v>
      </c>
      <c r="D367" s="47">
        <v>4345.6099999999997</v>
      </c>
      <c r="E367" s="25">
        <v>26.99</v>
      </c>
      <c r="F367" s="25">
        <v>675.99</v>
      </c>
      <c r="G367" s="26">
        <f t="shared" si="20"/>
        <v>649</v>
      </c>
      <c r="H367" s="6">
        <v>71057013</v>
      </c>
      <c r="I367" s="6" t="s">
        <v>903</v>
      </c>
      <c r="J367" s="6"/>
      <c r="K367" s="6"/>
      <c r="L367" s="6"/>
      <c r="M367" s="6" t="e">
        <f>VLOOKUP(H367,'Billing CDK pivot (by package)'!A:D,3,FALSE)</f>
        <v>#N/A</v>
      </c>
      <c r="N367" s="6" t="e">
        <f>VLOOKUP(H367,'Billing CDK pivot (by package)'!A:D,4,FALSE)</f>
        <v>#N/A</v>
      </c>
      <c r="O367" s="25" t="e">
        <f>VLOOKUP(H367,'Billing CDK pivot'!A:C,3,FALSE)</f>
        <v>#N/A</v>
      </c>
      <c r="P367" s="25">
        <f>IFERROR(VLOOKUP(H367,'Billing CDK pivot (overages)'!A:F,6,FALSE),0)</f>
        <v>0</v>
      </c>
      <c r="Q367" s="25" t="e">
        <f t="shared" si="21"/>
        <v>#N/A</v>
      </c>
      <c r="R367" s="26" t="e">
        <f t="shared" si="22"/>
        <v>#N/A</v>
      </c>
      <c r="S367" s="48" t="e">
        <f t="shared" si="23"/>
        <v>#N/A</v>
      </c>
      <c r="T367" s="6" t="s">
        <v>834</v>
      </c>
      <c r="U367" s="6" t="s">
        <v>904</v>
      </c>
      <c r="V367" s="6" t="s">
        <v>567</v>
      </c>
      <c r="W367" s="6" t="s">
        <v>137</v>
      </c>
      <c r="X367" s="6" t="s">
        <v>38</v>
      </c>
      <c r="Y367" s="6" t="s">
        <v>905</v>
      </c>
      <c r="Z367" s="6" t="s">
        <v>139</v>
      </c>
    </row>
    <row r="368" spans="1:26" hidden="1" x14ac:dyDescent="0.35">
      <c r="A368" s="6" t="s">
        <v>906</v>
      </c>
      <c r="B368" s="6">
        <v>145131</v>
      </c>
      <c r="C368" s="6">
        <v>25216</v>
      </c>
      <c r="D368" s="47">
        <v>10421.280000000001</v>
      </c>
      <c r="E368" s="25">
        <v>0</v>
      </c>
      <c r="F368" s="25">
        <v>1647</v>
      </c>
      <c r="G368" s="26">
        <f t="shared" si="20"/>
        <v>1647</v>
      </c>
      <c r="H368" s="6">
        <v>76251019</v>
      </c>
      <c r="I368" s="6" t="s">
        <v>907</v>
      </c>
      <c r="J368" s="6"/>
      <c r="K368" s="6"/>
      <c r="L368" s="6"/>
      <c r="M368" s="6" t="e">
        <f>VLOOKUP(H368,'Billing CDK pivot (by package)'!A:D,3,FALSE)</f>
        <v>#N/A</v>
      </c>
      <c r="N368" s="6" t="e">
        <f>VLOOKUP(H368,'Billing CDK pivot (by package)'!A:D,4,FALSE)</f>
        <v>#N/A</v>
      </c>
      <c r="O368" s="25" t="e">
        <f>VLOOKUP(H368,'Billing CDK pivot'!A:C,3,FALSE)</f>
        <v>#N/A</v>
      </c>
      <c r="P368" s="25">
        <f>IFERROR(VLOOKUP(H368,'Billing CDK pivot (overages)'!A:F,6,FALSE),0)</f>
        <v>0</v>
      </c>
      <c r="Q368" s="25" t="e">
        <f t="shared" si="21"/>
        <v>#N/A</v>
      </c>
      <c r="R368" s="26" t="e">
        <f t="shared" si="22"/>
        <v>#N/A</v>
      </c>
      <c r="S368" s="48" t="e">
        <f t="shared" si="23"/>
        <v>#N/A</v>
      </c>
      <c r="T368" s="6" t="s">
        <v>834</v>
      </c>
      <c r="U368" s="6" t="s">
        <v>908</v>
      </c>
      <c r="V368" s="6" t="s">
        <v>909</v>
      </c>
      <c r="W368" s="6" t="s">
        <v>910</v>
      </c>
      <c r="X368" s="6" t="s">
        <v>38</v>
      </c>
      <c r="Y368" s="6" t="s">
        <v>911</v>
      </c>
      <c r="Z368" s="6" t="s">
        <v>912</v>
      </c>
    </row>
    <row r="369" spans="1:26" hidden="1" x14ac:dyDescent="0.35">
      <c r="A369" s="6" t="s">
        <v>913</v>
      </c>
      <c r="B369" s="6">
        <v>61221</v>
      </c>
      <c r="C369" s="6">
        <v>3934</v>
      </c>
      <c r="D369" s="47">
        <v>2102.37</v>
      </c>
      <c r="E369" s="25">
        <v>0</v>
      </c>
      <c r="F369" s="25">
        <v>649</v>
      </c>
      <c r="G369" s="26">
        <f t="shared" si="20"/>
        <v>649</v>
      </c>
      <c r="H369" s="6">
        <v>76061826</v>
      </c>
      <c r="I369" s="6" t="s">
        <v>914</v>
      </c>
      <c r="J369" s="6"/>
      <c r="K369" s="6"/>
      <c r="L369" s="6"/>
      <c r="M369" s="6" t="e">
        <f>VLOOKUP(H369,'Billing CDK pivot (by package)'!A:D,3,FALSE)</f>
        <v>#N/A</v>
      </c>
      <c r="N369" s="6" t="e">
        <f>VLOOKUP(H369,'Billing CDK pivot (by package)'!A:D,4,FALSE)</f>
        <v>#N/A</v>
      </c>
      <c r="O369" s="25" t="e">
        <f>VLOOKUP(H369,'Billing CDK pivot'!A:C,3,FALSE)</f>
        <v>#N/A</v>
      </c>
      <c r="P369" s="25">
        <f>IFERROR(VLOOKUP(H369,'Billing CDK pivot (overages)'!A:F,6,FALSE),0)</f>
        <v>0</v>
      </c>
      <c r="Q369" s="25" t="e">
        <f t="shared" si="21"/>
        <v>#N/A</v>
      </c>
      <c r="R369" s="26" t="e">
        <f t="shared" si="22"/>
        <v>#N/A</v>
      </c>
      <c r="S369" s="48" t="e">
        <f t="shared" si="23"/>
        <v>#N/A</v>
      </c>
      <c r="T369" s="6" t="s">
        <v>834</v>
      </c>
      <c r="U369" s="6" t="s">
        <v>915</v>
      </c>
      <c r="V369" s="6" t="s">
        <v>137</v>
      </c>
      <c r="W369" s="6" t="s">
        <v>39</v>
      </c>
      <c r="X369" s="6" t="s">
        <v>38</v>
      </c>
      <c r="Y369" s="6" t="s">
        <v>916</v>
      </c>
      <c r="Z369" s="6" t="s">
        <v>734</v>
      </c>
    </row>
    <row r="370" spans="1:26" hidden="1" x14ac:dyDescent="0.35">
      <c r="A370" s="6" t="s">
        <v>917</v>
      </c>
      <c r="B370" s="6">
        <v>61228</v>
      </c>
      <c r="C370" s="6">
        <v>16388</v>
      </c>
      <c r="D370" s="47">
        <v>4422.4399999999996</v>
      </c>
      <c r="E370" s="25">
        <v>32.99</v>
      </c>
      <c r="F370" s="25">
        <v>681.99</v>
      </c>
      <c r="G370" s="26">
        <f t="shared" si="20"/>
        <v>649</v>
      </c>
      <c r="H370" s="6">
        <v>71060891</v>
      </c>
      <c r="I370" s="6" t="s">
        <v>918</v>
      </c>
      <c r="J370" s="6"/>
      <c r="K370" s="6"/>
      <c r="L370" s="6"/>
      <c r="M370" s="6" t="e">
        <f>VLOOKUP(H370,'Billing CDK pivot (by package)'!A:D,3,FALSE)</f>
        <v>#N/A</v>
      </c>
      <c r="N370" s="6" t="e">
        <f>VLOOKUP(H370,'Billing CDK pivot (by package)'!A:D,4,FALSE)</f>
        <v>#N/A</v>
      </c>
      <c r="O370" s="25" t="e">
        <f>VLOOKUP(H370,'Billing CDK pivot'!A:C,3,FALSE)</f>
        <v>#N/A</v>
      </c>
      <c r="P370" s="25">
        <f>IFERROR(VLOOKUP(H370,'Billing CDK pivot (overages)'!A:F,6,FALSE),0)</f>
        <v>0</v>
      </c>
      <c r="Q370" s="25" t="e">
        <f t="shared" si="21"/>
        <v>#N/A</v>
      </c>
      <c r="R370" s="26" t="e">
        <f t="shared" si="22"/>
        <v>#N/A</v>
      </c>
      <c r="S370" s="48" t="e">
        <f t="shared" si="23"/>
        <v>#N/A</v>
      </c>
      <c r="T370" s="6" t="s">
        <v>834</v>
      </c>
      <c r="U370" s="6" t="s">
        <v>915</v>
      </c>
      <c r="V370" s="6" t="s">
        <v>137</v>
      </c>
      <c r="W370" s="6" t="s">
        <v>39</v>
      </c>
      <c r="X370" s="6" t="s">
        <v>38</v>
      </c>
      <c r="Y370" s="6" t="s">
        <v>916</v>
      </c>
      <c r="Z370" s="6" t="s">
        <v>734</v>
      </c>
    </row>
    <row r="371" spans="1:26" hidden="1" x14ac:dyDescent="0.35">
      <c r="A371" s="6" t="s">
        <v>919</v>
      </c>
      <c r="B371" s="6">
        <v>43384</v>
      </c>
      <c r="C371" s="6">
        <v>7409</v>
      </c>
      <c r="D371" s="47">
        <v>23726.95</v>
      </c>
      <c r="E371" s="25">
        <v>0</v>
      </c>
      <c r="F371" s="25">
        <v>481</v>
      </c>
      <c r="G371" s="26">
        <f t="shared" si="20"/>
        <v>481</v>
      </c>
      <c r="H371" s="6">
        <v>76212418</v>
      </c>
      <c r="I371" s="6" t="s">
        <v>920</v>
      </c>
      <c r="J371" s="6"/>
      <c r="K371" s="6"/>
      <c r="L371" s="6"/>
      <c r="M371" s="6" t="e">
        <f>VLOOKUP(H371,'Billing CDK pivot (by package)'!A:D,3,FALSE)</f>
        <v>#N/A</v>
      </c>
      <c r="N371" s="6" t="e">
        <f>VLOOKUP(H371,'Billing CDK pivot (by package)'!A:D,4,FALSE)</f>
        <v>#N/A</v>
      </c>
      <c r="O371" s="25" t="e">
        <f>VLOOKUP(H371,'Billing CDK pivot'!A:C,3,FALSE)</f>
        <v>#N/A</v>
      </c>
      <c r="P371" s="25">
        <f>IFERROR(VLOOKUP(H371,'Billing CDK pivot (overages)'!A:F,6,FALSE),0)</f>
        <v>0</v>
      </c>
      <c r="Q371" s="25" t="e">
        <f t="shared" si="21"/>
        <v>#N/A</v>
      </c>
      <c r="R371" s="26" t="e">
        <f t="shared" si="22"/>
        <v>#N/A</v>
      </c>
      <c r="S371" s="48" t="e">
        <f t="shared" si="23"/>
        <v>#N/A</v>
      </c>
      <c r="T371" s="6" t="s">
        <v>834</v>
      </c>
      <c r="U371" s="6" t="s">
        <v>164</v>
      </c>
      <c r="V371" s="6" t="s">
        <v>39</v>
      </c>
      <c r="W371" s="6" t="s">
        <v>39</v>
      </c>
      <c r="X371" s="6" t="s">
        <v>147</v>
      </c>
      <c r="Y371" s="6" t="s">
        <v>921</v>
      </c>
      <c r="Z371" s="6" t="s">
        <v>39</v>
      </c>
    </row>
    <row r="372" spans="1:26" hidden="1" x14ac:dyDescent="0.35">
      <c r="A372" s="6" t="s">
        <v>922</v>
      </c>
      <c r="B372" s="6">
        <v>143527</v>
      </c>
      <c r="C372" s="6">
        <v>23501</v>
      </c>
      <c r="D372" s="47">
        <v>14842.95</v>
      </c>
      <c r="E372" s="25">
        <v>0</v>
      </c>
      <c r="F372" s="25">
        <v>598</v>
      </c>
      <c r="G372" s="26">
        <f t="shared" si="20"/>
        <v>598</v>
      </c>
      <c r="H372" s="6">
        <v>76171120</v>
      </c>
      <c r="I372" s="6" t="s">
        <v>923</v>
      </c>
      <c r="J372" s="6"/>
      <c r="K372" s="6"/>
      <c r="L372" s="6"/>
      <c r="M372" s="6" t="e">
        <f>VLOOKUP(H372,'Billing CDK pivot (by package)'!A:D,3,FALSE)</f>
        <v>#N/A</v>
      </c>
      <c r="N372" s="6" t="e">
        <f>VLOOKUP(H372,'Billing CDK pivot (by package)'!A:D,4,FALSE)</f>
        <v>#N/A</v>
      </c>
      <c r="O372" s="25" t="e">
        <f>VLOOKUP(H372,'Billing CDK pivot'!A:C,3,FALSE)</f>
        <v>#N/A</v>
      </c>
      <c r="P372" s="25">
        <f>IFERROR(VLOOKUP(H372,'Billing CDK pivot (overages)'!A:F,6,FALSE),0)</f>
        <v>0</v>
      </c>
      <c r="Q372" s="25" t="e">
        <f t="shared" si="21"/>
        <v>#N/A</v>
      </c>
      <c r="R372" s="26" t="e">
        <f t="shared" si="22"/>
        <v>#N/A</v>
      </c>
      <c r="S372" s="48" t="e">
        <f t="shared" si="23"/>
        <v>#N/A</v>
      </c>
      <c r="T372" s="6" t="s">
        <v>834</v>
      </c>
      <c r="U372" s="6" t="s">
        <v>924</v>
      </c>
      <c r="V372" s="6" t="s">
        <v>39</v>
      </c>
      <c r="W372" s="6" t="s">
        <v>39</v>
      </c>
      <c r="X372" s="6" t="s">
        <v>38</v>
      </c>
      <c r="Y372" s="6" t="s">
        <v>247</v>
      </c>
      <c r="Z372" s="6" t="s">
        <v>39</v>
      </c>
    </row>
    <row r="373" spans="1:26" hidden="1" x14ac:dyDescent="0.35">
      <c r="A373" s="6" t="s">
        <v>925</v>
      </c>
      <c r="B373" s="6">
        <v>87081</v>
      </c>
      <c r="C373" s="6">
        <v>15964</v>
      </c>
      <c r="D373" s="47">
        <v>363.02</v>
      </c>
      <c r="E373" s="25">
        <v>0</v>
      </c>
      <c r="F373" s="25">
        <v>254.15</v>
      </c>
      <c r="G373" s="26">
        <f t="shared" si="20"/>
        <v>254.15</v>
      </c>
      <c r="H373" s="6">
        <v>76066619</v>
      </c>
      <c r="I373" s="6" t="s">
        <v>926</v>
      </c>
      <c r="J373" s="6"/>
      <c r="K373" s="6"/>
      <c r="L373" s="6"/>
      <c r="M373" s="6" t="e">
        <f>VLOOKUP(H373,'Billing CDK pivot (by package)'!A:D,3,FALSE)</f>
        <v>#N/A</v>
      </c>
      <c r="N373" s="6" t="e">
        <f>VLOOKUP(H373,'Billing CDK pivot (by package)'!A:D,4,FALSE)</f>
        <v>#N/A</v>
      </c>
      <c r="O373" s="25" t="e">
        <f>VLOOKUP(H373,'Billing CDK pivot'!A:C,3,FALSE)</f>
        <v>#N/A</v>
      </c>
      <c r="P373" s="25">
        <f>IFERROR(VLOOKUP(H373,'Billing CDK pivot (overages)'!A:F,6,FALSE),0)</f>
        <v>0</v>
      </c>
      <c r="Q373" s="25" t="e">
        <f t="shared" si="21"/>
        <v>#N/A</v>
      </c>
      <c r="R373" s="26" t="e">
        <f t="shared" si="22"/>
        <v>#N/A</v>
      </c>
      <c r="S373" s="48" t="e">
        <f t="shared" si="23"/>
        <v>#N/A</v>
      </c>
      <c r="T373" s="6" t="s">
        <v>834</v>
      </c>
      <c r="U373" s="6" t="s">
        <v>927</v>
      </c>
      <c r="V373" s="6" t="s">
        <v>39</v>
      </c>
      <c r="W373" s="6" t="s">
        <v>39</v>
      </c>
      <c r="X373" s="6" t="s">
        <v>38</v>
      </c>
      <c r="Y373" s="6" t="s">
        <v>39</v>
      </c>
      <c r="Z373" s="6" t="s">
        <v>39</v>
      </c>
    </row>
    <row r="374" spans="1:26" hidden="1" x14ac:dyDescent="0.35">
      <c r="A374" s="6" t="s">
        <v>928</v>
      </c>
      <c r="B374" s="6">
        <v>42452</v>
      </c>
      <c r="C374" s="6">
        <v>11238</v>
      </c>
      <c r="D374" s="47">
        <v>1564.71</v>
      </c>
      <c r="E374" s="25">
        <v>0</v>
      </c>
      <c r="F374" s="25">
        <v>129</v>
      </c>
      <c r="G374" s="26">
        <f t="shared" si="20"/>
        <v>129</v>
      </c>
      <c r="H374" s="6">
        <v>76176067</v>
      </c>
      <c r="I374" s="6" t="s">
        <v>929</v>
      </c>
      <c r="J374" s="6"/>
      <c r="K374" s="6"/>
      <c r="L374" s="6"/>
      <c r="M374" s="6" t="e">
        <f>VLOOKUP(H374,'Billing CDK pivot (by package)'!A:D,3,FALSE)</f>
        <v>#N/A</v>
      </c>
      <c r="N374" s="6" t="e">
        <f>VLOOKUP(H374,'Billing CDK pivot (by package)'!A:D,4,FALSE)</f>
        <v>#N/A</v>
      </c>
      <c r="O374" s="25" t="e">
        <f>VLOOKUP(H374,'Billing CDK pivot'!A:C,3,FALSE)</f>
        <v>#N/A</v>
      </c>
      <c r="P374" s="25">
        <f>IFERROR(VLOOKUP(H374,'Billing CDK pivot (overages)'!A:F,6,FALSE),0)</f>
        <v>0</v>
      </c>
      <c r="Q374" s="25" t="e">
        <f t="shared" si="21"/>
        <v>#N/A</v>
      </c>
      <c r="R374" s="26" t="e">
        <f t="shared" si="22"/>
        <v>#N/A</v>
      </c>
      <c r="S374" s="48" t="e">
        <f t="shared" si="23"/>
        <v>#N/A</v>
      </c>
      <c r="T374" s="6" t="s">
        <v>834</v>
      </c>
      <c r="U374" s="6" t="s">
        <v>930</v>
      </c>
      <c r="V374" s="6" t="s">
        <v>39</v>
      </c>
      <c r="W374" s="6" t="s">
        <v>39</v>
      </c>
      <c r="X374" s="6" t="s">
        <v>38</v>
      </c>
      <c r="Y374" s="6" t="s">
        <v>39</v>
      </c>
      <c r="Z374" s="6" t="s">
        <v>39</v>
      </c>
    </row>
    <row r="375" spans="1:26" hidden="1" x14ac:dyDescent="0.35">
      <c r="A375" s="6" t="s">
        <v>931</v>
      </c>
      <c r="B375" s="6">
        <v>149427</v>
      </c>
      <c r="C375" s="6">
        <v>26921</v>
      </c>
      <c r="D375" s="47">
        <v>9286.66</v>
      </c>
      <c r="E375" s="25">
        <v>0</v>
      </c>
      <c r="F375" s="25">
        <v>598</v>
      </c>
      <c r="G375" s="26">
        <f t="shared" si="20"/>
        <v>598</v>
      </c>
      <c r="H375" s="6">
        <v>76223210</v>
      </c>
      <c r="I375" s="6" t="s">
        <v>932</v>
      </c>
      <c r="J375" s="6"/>
      <c r="K375" s="6"/>
      <c r="L375" s="6"/>
      <c r="M375" s="6" t="e">
        <f>VLOOKUP(H375,'Billing CDK pivot (by package)'!A:D,3,FALSE)</f>
        <v>#N/A</v>
      </c>
      <c r="N375" s="6" t="e">
        <f>VLOOKUP(H375,'Billing CDK pivot (by package)'!A:D,4,FALSE)</f>
        <v>#N/A</v>
      </c>
      <c r="O375" s="25" t="e">
        <f>VLOOKUP(H375,'Billing CDK pivot'!A:C,3,FALSE)</f>
        <v>#N/A</v>
      </c>
      <c r="P375" s="25">
        <f>IFERROR(VLOOKUP(H375,'Billing CDK pivot (overages)'!A:F,6,FALSE),0)</f>
        <v>0</v>
      </c>
      <c r="Q375" s="25" t="e">
        <f t="shared" si="21"/>
        <v>#N/A</v>
      </c>
      <c r="R375" s="26" t="e">
        <f t="shared" si="22"/>
        <v>#N/A</v>
      </c>
      <c r="S375" s="48" t="e">
        <f t="shared" si="23"/>
        <v>#N/A</v>
      </c>
      <c r="T375" s="6" t="s">
        <v>834</v>
      </c>
      <c r="U375" s="6" t="s">
        <v>933</v>
      </c>
      <c r="V375" s="6" t="s">
        <v>39</v>
      </c>
      <c r="W375" s="6" t="s">
        <v>39</v>
      </c>
      <c r="X375" s="6" t="s">
        <v>38</v>
      </c>
      <c r="Y375" s="6" t="s">
        <v>247</v>
      </c>
      <c r="Z375" s="6" t="s">
        <v>39</v>
      </c>
    </row>
    <row r="376" spans="1:26" hidden="1" x14ac:dyDescent="0.35">
      <c r="A376" s="6" t="s">
        <v>934</v>
      </c>
      <c r="B376" s="6">
        <v>99534</v>
      </c>
      <c r="C376" s="6">
        <v>19240</v>
      </c>
      <c r="D376" s="47">
        <v>6415.46</v>
      </c>
      <c r="E376" s="25">
        <v>48.31</v>
      </c>
      <c r="F376" s="25">
        <v>187.31</v>
      </c>
      <c r="G376" s="26">
        <f t="shared" si="20"/>
        <v>139</v>
      </c>
      <c r="H376" s="6">
        <v>76214539</v>
      </c>
      <c r="I376" s="6" t="s">
        <v>935</v>
      </c>
      <c r="J376" s="6"/>
      <c r="K376" s="6"/>
      <c r="L376" s="6"/>
      <c r="M376" s="6" t="e">
        <f>VLOOKUP(H376,'Billing CDK pivot (by package)'!A:D,3,FALSE)</f>
        <v>#N/A</v>
      </c>
      <c r="N376" s="6" t="e">
        <f>VLOOKUP(H376,'Billing CDK pivot (by package)'!A:D,4,FALSE)</f>
        <v>#N/A</v>
      </c>
      <c r="O376" s="25" t="e">
        <f>VLOOKUP(H376,'Billing CDK pivot'!A:C,3,FALSE)</f>
        <v>#N/A</v>
      </c>
      <c r="P376" s="25">
        <f>IFERROR(VLOOKUP(H376,'Billing CDK pivot (overages)'!A:F,6,FALSE),0)</f>
        <v>0</v>
      </c>
      <c r="Q376" s="25" t="e">
        <f t="shared" si="21"/>
        <v>#N/A</v>
      </c>
      <c r="R376" s="26" t="e">
        <f t="shared" si="22"/>
        <v>#N/A</v>
      </c>
      <c r="S376" s="48" t="e">
        <f t="shared" si="23"/>
        <v>#N/A</v>
      </c>
      <c r="T376" s="6" t="s">
        <v>834</v>
      </c>
      <c r="U376" s="6" t="s">
        <v>936</v>
      </c>
      <c r="V376" s="6" t="s">
        <v>39</v>
      </c>
      <c r="W376" s="6" t="s">
        <v>39</v>
      </c>
      <c r="X376" s="6" t="s">
        <v>38</v>
      </c>
      <c r="Y376" s="6" t="s">
        <v>80</v>
      </c>
      <c r="Z376" s="6" t="s">
        <v>39</v>
      </c>
    </row>
    <row r="377" spans="1:26" hidden="1" x14ac:dyDescent="0.35">
      <c r="A377" s="6" t="s">
        <v>937</v>
      </c>
      <c r="B377" s="6">
        <v>145666</v>
      </c>
      <c r="C377" s="6">
        <v>25376</v>
      </c>
      <c r="D377" s="47">
        <v>10397.799999999999</v>
      </c>
      <c r="E377" s="25">
        <v>0</v>
      </c>
      <c r="F377" s="25">
        <v>1284.1500000000001</v>
      </c>
      <c r="G377" s="26">
        <f t="shared" si="20"/>
        <v>1284.1500000000001</v>
      </c>
      <c r="H377" s="6">
        <v>76001666</v>
      </c>
      <c r="I377" s="6" t="s">
        <v>938</v>
      </c>
      <c r="J377" s="6"/>
      <c r="K377" s="6"/>
      <c r="L377" s="6"/>
      <c r="M377" s="6" t="e">
        <f>VLOOKUP(H377,'Billing CDK pivot (by package)'!A:D,3,FALSE)</f>
        <v>#N/A</v>
      </c>
      <c r="N377" s="6" t="e">
        <f>VLOOKUP(H377,'Billing CDK pivot (by package)'!A:D,4,FALSE)</f>
        <v>#N/A</v>
      </c>
      <c r="O377" s="25" t="e">
        <f>VLOOKUP(H377,'Billing CDK pivot'!A:C,3,FALSE)</f>
        <v>#N/A</v>
      </c>
      <c r="P377" s="25">
        <f>IFERROR(VLOOKUP(H377,'Billing CDK pivot (overages)'!A:F,6,FALSE),0)</f>
        <v>0</v>
      </c>
      <c r="Q377" s="25" t="e">
        <f t="shared" si="21"/>
        <v>#N/A</v>
      </c>
      <c r="R377" s="26" t="e">
        <f t="shared" si="22"/>
        <v>#N/A</v>
      </c>
      <c r="S377" s="48" t="e">
        <f t="shared" si="23"/>
        <v>#N/A</v>
      </c>
      <c r="T377" s="6" t="s">
        <v>834</v>
      </c>
      <c r="U377" s="6" t="s">
        <v>883</v>
      </c>
      <c r="V377" s="6" t="s">
        <v>293</v>
      </c>
      <c r="W377" s="6" t="s">
        <v>39</v>
      </c>
      <c r="X377" s="6" t="s">
        <v>38</v>
      </c>
      <c r="Y377" s="6" t="s">
        <v>69</v>
      </c>
      <c r="Z377" s="6" t="s">
        <v>39</v>
      </c>
    </row>
    <row r="378" spans="1:26" hidden="1" x14ac:dyDescent="0.35">
      <c r="A378" s="6" t="s">
        <v>939</v>
      </c>
      <c r="B378" s="6">
        <v>99695</v>
      </c>
      <c r="C378" s="6">
        <v>17450</v>
      </c>
      <c r="D378" s="47">
        <v>3170.77</v>
      </c>
      <c r="E378" s="25">
        <v>0</v>
      </c>
      <c r="F378" s="25">
        <v>1019</v>
      </c>
      <c r="G378" s="26">
        <f t="shared" si="20"/>
        <v>1019</v>
      </c>
      <c r="H378" s="6">
        <v>52198501</v>
      </c>
      <c r="I378" s="6" t="s">
        <v>940</v>
      </c>
      <c r="J378" s="6"/>
      <c r="K378" s="6"/>
      <c r="L378" s="6"/>
      <c r="M378" s="6" t="e">
        <f>VLOOKUP(H378,'Billing CDK pivot (by package)'!A:D,3,FALSE)</f>
        <v>#N/A</v>
      </c>
      <c r="N378" s="6" t="e">
        <f>VLOOKUP(H378,'Billing CDK pivot (by package)'!A:D,4,FALSE)</f>
        <v>#N/A</v>
      </c>
      <c r="O378" s="25" t="e">
        <f>VLOOKUP(H378,'Billing CDK pivot'!A:C,3,FALSE)</f>
        <v>#N/A</v>
      </c>
      <c r="P378" s="25">
        <f>IFERROR(VLOOKUP(H378,'Billing CDK pivot (overages)'!A:F,6,FALSE),0)</f>
        <v>0</v>
      </c>
      <c r="Q378" s="25" t="e">
        <f t="shared" si="21"/>
        <v>#N/A</v>
      </c>
      <c r="R378" s="26" t="e">
        <f t="shared" si="22"/>
        <v>#N/A</v>
      </c>
      <c r="S378" s="48" t="e">
        <f t="shared" si="23"/>
        <v>#N/A</v>
      </c>
      <c r="T378" s="6" t="s">
        <v>834</v>
      </c>
      <c r="U378" s="6" t="s">
        <v>941</v>
      </c>
      <c r="V378" s="6" t="s">
        <v>306</v>
      </c>
      <c r="W378" s="6" t="s">
        <v>39</v>
      </c>
      <c r="X378" s="6" t="s">
        <v>58</v>
      </c>
      <c r="Y378" s="6" t="s">
        <v>39</v>
      </c>
      <c r="Z378" s="6" t="s">
        <v>39</v>
      </c>
    </row>
    <row r="379" spans="1:26" hidden="1" x14ac:dyDescent="0.35">
      <c r="A379" s="6" t="s">
        <v>942</v>
      </c>
      <c r="B379" s="6">
        <v>50391</v>
      </c>
      <c r="C379" s="6">
        <v>15178</v>
      </c>
      <c r="D379" s="47">
        <v>4384.01</v>
      </c>
      <c r="E379" s="25">
        <v>7.68</v>
      </c>
      <c r="F379" s="25">
        <v>146.68</v>
      </c>
      <c r="G379" s="26">
        <f t="shared" si="20"/>
        <v>139</v>
      </c>
      <c r="H379" s="6">
        <v>76045170</v>
      </c>
      <c r="I379" s="6" t="s">
        <v>943</v>
      </c>
      <c r="J379" s="6"/>
      <c r="K379" s="6"/>
      <c r="L379" s="6"/>
      <c r="M379" s="6" t="e">
        <f>VLOOKUP(H379,'Billing CDK pivot (by package)'!A:D,3,FALSE)</f>
        <v>#N/A</v>
      </c>
      <c r="N379" s="6" t="e">
        <f>VLOOKUP(H379,'Billing CDK pivot (by package)'!A:D,4,FALSE)</f>
        <v>#N/A</v>
      </c>
      <c r="O379" s="25" t="e">
        <f>VLOOKUP(H379,'Billing CDK pivot'!A:C,3,FALSE)</f>
        <v>#N/A</v>
      </c>
      <c r="P379" s="25">
        <f>IFERROR(VLOOKUP(H379,'Billing CDK pivot (overages)'!A:F,6,FALSE),0)</f>
        <v>0</v>
      </c>
      <c r="Q379" s="25" t="e">
        <f t="shared" si="21"/>
        <v>#N/A</v>
      </c>
      <c r="R379" s="26" t="e">
        <f t="shared" si="22"/>
        <v>#N/A</v>
      </c>
      <c r="S379" s="48" t="e">
        <f t="shared" si="23"/>
        <v>#N/A</v>
      </c>
      <c r="T379" s="6" t="s">
        <v>834</v>
      </c>
      <c r="U379" s="6" t="s">
        <v>198</v>
      </c>
      <c r="V379" s="6" t="s">
        <v>39</v>
      </c>
      <c r="W379" s="6" t="s">
        <v>39</v>
      </c>
      <c r="X379" s="6" t="s">
        <v>38</v>
      </c>
      <c r="Y379" s="6" t="s">
        <v>80</v>
      </c>
      <c r="Z379" s="6" t="s">
        <v>39</v>
      </c>
    </row>
    <row r="380" spans="1:26" hidden="1" x14ac:dyDescent="0.35">
      <c r="A380" s="6" t="s">
        <v>944</v>
      </c>
      <c r="B380" s="6">
        <v>118920</v>
      </c>
      <c r="C380" s="6">
        <v>19770</v>
      </c>
      <c r="D380" s="47">
        <v>3843.79</v>
      </c>
      <c r="E380" s="25">
        <v>0</v>
      </c>
      <c r="F380" s="25">
        <v>434.15</v>
      </c>
      <c r="G380" s="26">
        <f t="shared" si="20"/>
        <v>434.15</v>
      </c>
      <c r="H380" s="6">
        <v>76209484</v>
      </c>
      <c r="I380" s="6" t="s">
        <v>945</v>
      </c>
      <c r="J380" s="6"/>
      <c r="K380" s="6"/>
      <c r="L380" s="6"/>
      <c r="M380" s="6" t="e">
        <f>VLOOKUP(H380,'Billing CDK pivot (by package)'!A:D,3,FALSE)</f>
        <v>#N/A</v>
      </c>
      <c r="N380" s="6" t="e">
        <f>VLOOKUP(H380,'Billing CDK pivot (by package)'!A:D,4,FALSE)</f>
        <v>#N/A</v>
      </c>
      <c r="O380" s="25" t="e">
        <f>VLOOKUP(H380,'Billing CDK pivot'!A:C,3,FALSE)</f>
        <v>#N/A</v>
      </c>
      <c r="P380" s="25">
        <f>IFERROR(VLOOKUP(H380,'Billing CDK pivot (overages)'!A:F,6,FALSE),0)</f>
        <v>0</v>
      </c>
      <c r="Q380" s="25" t="e">
        <f t="shared" si="21"/>
        <v>#N/A</v>
      </c>
      <c r="R380" s="26" t="e">
        <f t="shared" si="22"/>
        <v>#N/A</v>
      </c>
      <c r="S380" s="48" t="e">
        <f t="shared" si="23"/>
        <v>#N/A</v>
      </c>
      <c r="T380" s="6" t="s">
        <v>834</v>
      </c>
      <c r="U380" s="6" t="s">
        <v>946</v>
      </c>
      <c r="V380" s="6" t="s">
        <v>39</v>
      </c>
      <c r="W380" s="6" t="s">
        <v>39</v>
      </c>
      <c r="X380" s="6" t="s">
        <v>361</v>
      </c>
      <c r="Y380" s="6" t="s">
        <v>53</v>
      </c>
      <c r="Z380" s="6" t="s">
        <v>39</v>
      </c>
    </row>
    <row r="381" spans="1:26" hidden="1" x14ac:dyDescent="0.35">
      <c r="A381" s="6" t="s">
        <v>947</v>
      </c>
      <c r="B381" s="6">
        <v>143374</v>
      </c>
      <c r="C381" s="6">
        <v>24083</v>
      </c>
      <c r="D381" s="47">
        <v>1227.92</v>
      </c>
      <c r="E381" s="25">
        <v>0</v>
      </c>
      <c r="F381" s="25">
        <v>254.15</v>
      </c>
      <c r="G381" s="26">
        <f t="shared" si="20"/>
        <v>254.15</v>
      </c>
      <c r="H381" s="6">
        <v>76016573</v>
      </c>
      <c r="I381" s="6" t="s">
        <v>948</v>
      </c>
      <c r="J381" s="6"/>
      <c r="K381" s="6"/>
      <c r="L381" s="6"/>
      <c r="M381" s="6" t="e">
        <f>VLOOKUP(H381,'Billing CDK pivot (by package)'!A:D,3,FALSE)</f>
        <v>#N/A</v>
      </c>
      <c r="N381" s="6" t="e">
        <f>VLOOKUP(H381,'Billing CDK pivot (by package)'!A:D,4,FALSE)</f>
        <v>#N/A</v>
      </c>
      <c r="O381" s="25" t="e">
        <f>VLOOKUP(H381,'Billing CDK pivot'!A:C,3,FALSE)</f>
        <v>#N/A</v>
      </c>
      <c r="P381" s="25">
        <f>IFERROR(VLOOKUP(H381,'Billing CDK pivot (overages)'!A:F,6,FALSE),0)</f>
        <v>0</v>
      </c>
      <c r="Q381" s="25" t="e">
        <f t="shared" si="21"/>
        <v>#N/A</v>
      </c>
      <c r="R381" s="26" t="e">
        <f t="shared" si="22"/>
        <v>#N/A</v>
      </c>
      <c r="S381" s="48" t="e">
        <f t="shared" si="23"/>
        <v>#N/A</v>
      </c>
      <c r="T381" s="6" t="s">
        <v>834</v>
      </c>
      <c r="U381" s="6" t="s">
        <v>155</v>
      </c>
      <c r="V381" s="6" t="s">
        <v>39</v>
      </c>
      <c r="W381" s="6" t="s">
        <v>39</v>
      </c>
      <c r="X381" s="6" t="s">
        <v>38</v>
      </c>
      <c r="Y381" s="6" t="s">
        <v>39</v>
      </c>
      <c r="Z381" s="6" t="s">
        <v>39</v>
      </c>
    </row>
    <row r="382" spans="1:26" hidden="1" x14ac:dyDescent="0.35">
      <c r="A382" s="6" t="s">
        <v>949</v>
      </c>
      <c r="B382" s="6">
        <v>87076</v>
      </c>
      <c r="C382" s="6">
        <v>15958</v>
      </c>
      <c r="D382" s="47">
        <v>924.87</v>
      </c>
      <c r="E382" s="25">
        <v>0</v>
      </c>
      <c r="F382" s="25">
        <v>499</v>
      </c>
      <c r="G382" s="26">
        <f t="shared" si="20"/>
        <v>499</v>
      </c>
      <c r="H382" s="6">
        <v>76066623</v>
      </c>
      <c r="I382" s="6" t="s">
        <v>950</v>
      </c>
      <c r="J382" s="6"/>
      <c r="K382" s="6"/>
      <c r="L382" s="6"/>
      <c r="M382" s="6" t="e">
        <f>VLOOKUP(H382,'Billing CDK pivot (by package)'!A:D,3,FALSE)</f>
        <v>#N/A</v>
      </c>
      <c r="N382" s="6" t="e">
        <f>VLOOKUP(H382,'Billing CDK pivot (by package)'!A:D,4,FALSE)</f>
        <v>#N/A</v>
      </c>
      <c r="O382" s="25" t="e">
        <f>VLOOKUP(H382,'Billing CDK pivot'!A:C,3,FALSE)</f>
        <v>#N/A</v>
      </c>
      <c r="P382" s="25">
        <f>IFERROR(VLOOKUP(H382,'Billing CDK pivot (overages)'!A:F,6,FALSE),0)</f>
        <v>0</v>
      </c>
      <c r="Q382" s="25" t="e">
        <f t="shared" si="21"/>
        <v>#N/A</v>
      </c>
      <c r="R382" s="26" t="e">
        <f t="shared" si="22"/>
        <v>#N/A</v>
      </c>
      <c r="S382" s="48" t="e">
        <f t="shared" si="23"/>
        <v>#N/A</v>
      </c>
      <c r="T382" s="6" t="s">
        <v>834</v>
      </c>
      <c r="U382" s="6" t="s">
        <v>306</v>
      </c>
      <c r="V382" s="6" t="s">
        <v>628</v>
      </c>
      <c r="W382" s="6" t="s">
        <v>39</v>
      </c>
      <c r="X382" s="6" t="s">
        <v>38</v>
      </c>
      <c r="Y382" s="6" t="s">
        <v>116</v>
      </c>
      <c r="Z382" s="6" t="s">
        <v>39</v>
      </c>
    </row>
    <row r="383" spans="1:26" hidden="1" x14ac:dyDescent="0.35">
      <c r="A383" s="6" t="s">
        <v>951</v>
      </c>
      <c r="B383" s="6">
        <v>77807</v>
      </c>
      <c r="C383" s="6">
        <v>7742</v>
      </c>
      <c r="D383" s="47">
        <v>21.22</v>
      </c>
      <c r="E383" s="25">
        <v>0</v>
      </c>
      <c r="F383" s="25">
        <v>254.15</v>
      </c>
      <c r="G383" s="26">
        <f t="shared" si="20"/>
        <v>254.15</v>
      </c>
      <c r="H383" s="6">
        <v>76212236</v>
      </c>
      <c r="I383" s="6" t="s">
        <v>952</v>
      </c>
      <c r="J383" s="6"/>
      <c r="K383" s="6"/>
      <c r="L383" s="6"/>
      <c r="M383" s="6" t="e">
        <f>VLOOKUP(H383,'Billing CDK pivot (by package)'!A:D,3,FALSE)</f>
        <v>#N/A</v>
      </c>
      <c r="N383" s="6" t="e">
        <f>VLOOKUP(H383,'Billing CDK pivot (by package)'!A:D,4,FALSE)</f>
        <v>#N/A</v>
      </c>
      <c r="O383" s="25" t="e">
        <f>VLOOKUP(H383,'Billing CDK pivot'!A:C,3,FALSE)</f>
        <v>#N/A</v>
      </c>
      <c r="P383" s="25">
        <f>IFERROR(VLOOKUP(H383,'Billing CDK pivot (overages)'!A:F,6,FALSE),0)</f>
        <v>0</v>
      </c>
      <c r="Q383" s="25" t="e">
        <f t="shared" si="21"/>
        <v>#N/A</v>
      </c>
      <c r="R383" s="26" t="e">
        <f t="shared" si="22"/>
        <v>#N/A</v>
      </c>
      <c r="S383" s="48" t="e">
        <f t="shared" si="23"/>
        <v>#N/A</v>
      </c>
      <c r="T383" s="6" t="s">
        <v>834</v>
      </c>
      <c r="U383" s="6" t="s">
        <v>829</v>
      </c>
      <c r="V383" s="6" t="s">
        <v>39</v>
      </c>
      <c r="W383" s="6" t="s">
        <v>39</v>
      </c>
      <c r="X383" s="6" t="s">
        <v>50</v>
      </c>
      <c r="Y383" s="6" t="s">
        <v>39</v>
      </c>
      <c r="Z383" s="6" t="s">
        <v>39</v>
      </c>
    </row>
    <row r="384" spans="1:26" hidden="1" x14ac:dyDescent="0.35">
      <c r="A384" s="6" t="s">
        <v>953</v>
      </c>
      <c r="B384" s="6">
        <v>96883</v>
      </c>
      <c r="C384" s="6">
        <v>17114</v>
      </c>
      <c r="D384" s="47">
        <v>917.21</v>
      </c>
      <c r="E384" s="25">
        <v>0</v>
      </c>
      <c r="F384" s="25">
        <v>254.15</v>
      </c>
      <c r="G384" s="26">
        <f t="shared" si="20"/>
        <v>254.15</v>
      </c>
      <c r="H384" s="6">
        <v>76211875</v>
      </c>
      <c r="I384" s="6" t="s">
        <v>954</v>
      </c>
      <c r="J384" s="6"/>
      <c r="K384" s="6"/>
      <c r="L384" s="6"/>
      <c r="M384" s="6" t="e">
        <f>VLOOKUP(H384,'Billing CDK pivot (by package)'!A:D,3,FALSE)</f>
        <v>#N/A</v>
      </c>
      <c r="N384" s="6" t="e">
        <f>VLOOKUP(H384,'Billing CDK pivot (by package)'!A:D,4,FALSE)</f>
        <v>#N/A</v>
      </c>
      <c r="O384" s="25" t="e">
        <f>VLOOKUP(H384,'Billing CDK pivot'!A:C,3,FALSE)</f>
        <v>#N/A</v>
      </c>
      <c r="P384" s="25">
        <f>IFERROR(VLOOKUP(H384,'Billing CDK pivot (overages)'!A:F,6,FALSE),0)</f>
        <v>0</v>
      </c>
      <c r="Q384" s="25" t="e">
        <f t="shared" si="21"/>
        <v>#N/A</v>
      </c>
      <c r="R384" s="26" t="e">
        <f t="shared" si="22"/>
        <v>#N/A</v>
      </c>
      <c r="S384" s="48" t="e">
        <f t="shared" si="23"/>
        <v>#N/A</v>
      </c>
      <c r="T384" s="6" t="s">
        <v>834</v>
      </c>
      <c r="U384" s="6" t="s">
        <v>955</v>
      </c>
      <c r="V384" s="6" t="s">
        <v>39</v>
      </c>
      <c r="W384" s="6" t="s">
        <v>39</v>
      </c>
      <c r="X384" s="6" t="s">
        <v>38</v>
      </c>
      <c r="Y384" s="6" t="s">
        <v>39</v>
      </c>
      <c r="Z384" s="6" t="s">
        <v>39</v>
      </c>
    </row>
    <row r="385" spans="1:26" hidden="1" x14ac:dyDescent="0.35">
      <c r="A385" s="6" t="s">
        <v>956</v>
      </c>
      <c r="B385" s="6">
        <v>116893</v>
      </c>
      <c r="C385" s="6">
        <v>11012</v>
      </c>
      <c r="D385" s="47">
        <v>464.45</v>
      </c>
      <c r="E385" s="25">
        <v>0</v>
      </c>
      <c r="F385" s="25">
        <v>10</v>
      </c>
      <c r="G385" s="26">
        <f t="shared" si="20"/>
        <v>10</v>
      </c>
      <c r="H385" s="6">
        <v>76145782</v>
      </c>
      <c r="I385" s="6" t="s">
        <v>957</v>
      </c>
      <c r="J385" s="6"/>
      <c r="K385" s="6"/>
      <c r="L385" s="6"/>
      <c r="M385" s="6" t="e">
        <f>VLOOKUP(H385,'Billing CDK pivot (by package)'!A:D,3,FALSE)</f>
        <v>#N/A</v>
      </c>
      <c r="N385" s="6" t="e">
        <f>VLOOKUP(H385,'Billing CDK pivot (by package)'!A:D,4,FALSE)</f>
        <v>#N/A</v>
      </c>
      <c r="O385" s="25" t="e">
        <f>VLOOKUP(H385,'Billing CDK pivot'!A:C,3,FALSE)</f>
        <v>#N/A</v>
      </c>
      <c r="P385" s="25">
        <f>IFERROR(VLOOKUP(H385,'Billing CDK pivot (overages)'!A:F,6,FALSE),0)</f>
        <v>0</v>
      </c>
      <c r="Q385" s="25" t="e">
        <f t="shared" si="21"/>
        <v>#N/A</v>
      </c>
      <c r="R385" s="26" t="e">
        <f t="shared" si="22"/>
        <v>#N/A</v>
      </c>
      <c r="S385" s="48" t="e">
        <f t="shared" si="23"/>
        <v>#N/A</v>
      </c>
      <c r="T385" s="6" t="s">
        <v>834</v>
      </c>
      <c r="U385" s="6" t="s">
        <v>958</v>
      </c>
      <c r="V385" s="6" t="s">
        <v>959</v>
      </c>
      <c r="W385" s="6" t="s">
        <v>39</v>
      </c>
      <c r="X385" s="6" t="s">
        <v>361</v>
      </c>
      <c r="Y385" s="6" t="s">
        <v>38</v>
      </c>
      <c r="Z385" s="6" t="s">
        <v>39</v>
      </c>
    </row>
  </sheetData>
  <autoFilter ref="A2:AA385" xr:uid="{750E554D-3BEA-423F-B44E-821EE0ACF7BF}">
    <filterColumn colId="7">
      <filters>
        <filter val="76058883"/>
      </filters>
    </filterColumn>
  </autoFilter>
  <sortState xmlns:xlrd2="http://schemas.microsoft.com/office/spreadsheetml/2017/richdata2" ref="A3:Z385">
    <sortCondition ref="T3:T385"/>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0D5D2-6285-473D-81BF-6A902BB11B93}">
  <sheetPr>
    <tabColor theme="3"/>
  </sheetPr>
  <dimension ref="A1:L78"/>
  <sheetViews>
    <sheetView workbookViewId="0">
      <pane ySplit="2" topLeftCell="A9" activePane="bottomLeft" state="frozen"/>
      <selection pane="bottomLeft" activeCell="L1" sqref="L1"/>
    </sheetView>
  </sheetViews>
  <sheetFormatPr defaultColWidth="9.1796875" defaultRowHeight="14.5" x14ac:dyDescent="0.35"/>
  <cols>
    <col min="1" max="1" width="38" style="6" bestFit="1" customWidth="1"/>
    <col min="2" max="2" width="12.453125" style="6" bestFit="1" customWidth="1"/>
    <col min="3" max="3" width="16.7265625" style="6" bestFit="1" customWidth="1"/>
    <col min="4" max="4" width="9" style="6" bestFit="1" customWidth="1"/>
    <col min="5" max="5" width="39.453125" style="6" bestFit="1" customWidth="1"/>
    <col min="6" max="6" width="10.81640625" style="20" bestFit="1" customWidth="1"/>
    <col min="7" max="7" width="9.7265625" style="20" bestFit="1" customWidth="1"/>
    <col min="8" max="8" width="60.26953125" style="6" bestFit="1" customWidth="1"/>
    <col min="9" max="9" width="15.26953125" style="6" bestFit="1" customWidth="1"/>
    <col min="10" max="10" width="12.453125" style="6" bestFit="1" customWidth="1"/>
    <col min="11" max="11" width="9" style="6" bestFit="1" customWidth="1"/>
    <col min="12" max="12" width="24.26953125" style="6" bestFit="1" customWidth="1"/>
    <col min="13" max="16384" width="9.1796875" style="6"/>
  </cols>
  <sheetData>
    <row r="1" spans="1:12" x14ac:dyDescent="0.35">
      <c r="A1" s="65" t="s">
        <v>960</v>
      </c>
      <c r="B1" s="65"/>
      <c r="C1" s="65"/>
      <c r="D1" s="65" t="s">
        <v>961</v>
      </c>
      <c r="E1" s="65"/>
      <c r="F1" s="65"/>
      <c r="G1" s="65"/>
      <c r="H1" s="65"/>
      <c r="I1" s="38" t="s">
        <v>962</v>
      </c>
      <c r="J1" s="38" t="s">
        <v>6</v>
      </c>
      <c r="K1" s="38" t="s">
        <v>6</v>
      </c>
      <c r="L1" s="38" t="s">
        <v>4</v>
      </c>
    </row>
    <row r="2" spans="1:12" x14ac:dyDescent="0.35">
      <c r="A2" s="27" t="s">
        <v>7</v>
      </c>
      <c r="B2" s="27" t="s">
        <v>8</v>
      </c>
      <c r="C2" s="27" t="s">
        <v>9</v>
      </c>
      <c r="D2" s="27" t="s">
        <v>14</v>
      </c>
      <c r="E2" s="27" t="s">
        <v>963</v>
      </c>
      <c r="F2" s="28" t="s">
        <v>17</v>
      </c>
      <c r="G2" s="28" t="s">
        <v>18</v>
      </c>
      <c r="H2" s="28" t="s">
        <v>19</v>
      </c>
      <c r="I2" s="28" t="s">
        <v>964</v>
      </c>
      <c r="J2" s="28" t="s">
        <v>965</v>
      </c>
      <c r="K2" s="28" t="s">
        <v>966</v>
      </c>
      <c r="L2" s="29" t="s">
        <v>967</v>
      </c>
    </row>
    <row r="3" spans="1:12" x14ac:dyDescent="0.35">
      <c r="A3" s="42" t="s">
        <v>968</v>
      </c>
      <c r="B3" s="42">
        <v>188878</v>
      </c>
      <c r="C3" s="42">
        <v>32166</v>
      </c>
      <c r="D3" s="43" t="s">
        <v>969</v>
      </c>
      <c r="E3" s="42" t="s">
        <v>970</v>
      </c>
      <c r="F3" s="44">
        <v>45978</v>
      </c>
      <c r="G3" s="44"/>
      <c r="H3" s="42" t="s">
        <v>971</v>
      </c>
      <c r="I3" s="45" t="e">
        <f>VLOOKUP(D3,'Billing CDK pivot'!A:C,3,FALSE)</f>
        <v>#N/A</v>
      </c>
      <c r="J3" s="42"/>
      <c r="K3" s="45">
        <v>731.91272727272724</v>
      </c>
      <c r="L3" s="42" t="s">
        <v>972</v>
      </c>
    </row>
    <row r="4" spans="1:12" x14ac:dyDescent="0.35">
      <c r="A4" s="42" t="s">
        <v>973</v>
      </c>
      <c r="B4" s="42">
        <v>143170</v>
      </c>
      <c r="C4" s="42">
        <v>9448</v>
      </c>
      <c r="D4" s="43" t="s">
        <v>974</v>
      </c>
      <c r="E4" s="42" t="s">
        <v>975</v>
      </c>
      <c r="F4" s="44">
        <v>44230</v>
      </c>
      <c r="G4" s="44">
        <v>45810</v>
      </c>
      <c r="H4" s="42" t="s">
        <v>971</v>
      </c>
      <c r="I4" s="45" t="e">
        <f>VLOOKUP(D4,'Billing CDK pivot'!A:C,3,FALSE)</f>
        <v>#N/A</v>
      </c>
      <c r="J4" s="42"/>
      <c r="K4" s="45">
        <v>731.91272727272724</v>
      </c>
      <c r="L4" s="42" t="s">
        <v>976</v>
      </c>
    </row>
    <row r="5" spans="1:12" x14ac:dyDescent="0.35">
      <c r="A5" s="42" t="s">
        <v>977</v>
      </c>
      <c r="B5" s="42">
        <v>187886</v>
      </c>
      <c r="C5" s="42">
        <v>30697</v>
      </c>
      <c r="D5" s="46" t="s">
        <v>978</v>
      </c>
      <c r="E5" s="42" t="s">
        <v>979</v>
      </c>
      <c r="F5" s="44">
        <v>44230</v>
      </c>
      <c r="G5" s="44">
        <v>45169</v>
      </c>
      <c r="H5" s="42" t="s">
        <v>971</v>
      </c>
      <c r="I5" s="45" t="e">
        <f>VLOOKUP(D5,'Billing CDK pivot'!A:C,3,FALSE)</f>
        <v>#N/A</v>
      </c>
      <c r="J5" s="42"/>
      <c r="K5" s="45">
        <v>731.91272727272724</v>
      </c>
      <c r="L5" s="42" t="s">
        <v>976</v>
      </c>
    </row>
    <row r="6" spans="1:12" x14ac:dyDescent="0.35">
      <c r="A6" s="42" t="s">
        <v>980</v>
      </c>
      <c r="B6" s="42">
        <v>59103</v>
      </c>
      <c r="C6" s="42">
        <v>16318</v>
      </c>
      <c r="D6" s="46">
        <v>76243306</v>
      </c>
      <c r="E6" s="42" t="s">
        <v>981</v>
      </c>
      <c r="F6" s="44"/>
      <c r="G6" s="44"/>
      <c r="H6" s="42" t="e">
        <f>VLOOKUP(D6,'Billing CDK pivot (by package)'!A:D,4,FALSE)</f>
        <v>#N/A</v>
      </c>
      <c r="I6" s="45" t="e">
        <f>VLOOKUP(D6,'Billing CDK pivot'!A:C,3,FALSE)</f>
        <v>#N/A</v>
      </c>
      <c r="J6" s="42"/>
      <c r="K6" s="45">
        <v>185</v>
      </c>
      <c r="L6" s="42" t="s">
        <v>982</v>
      </c>
    </row>
    <row r="7" spans="1:12" x14ac:dyDescent="0.35">
      <c r="A7" s="6" t="s">
        <v>983</v>
      </c>
      <c r="B7" s="6">
        <v>136870</v>
      </c>
      <c r="D7" s="50" t="s">
        <v>984</v>
      </c>
      <c r="E7" s="6" t="s">
        <v>985</v>
      </c>
      <c r="H7" s="6" t="str">
        <f>VLOOKUP(D7,'Billing CDK pivot (by package)'!A:D,4,FALSE)</f>
        <v>CAR WARS CUSTOM PACKAGE--VICTORY AUTO</v>
      </c>
      <c r="I7" s="11" t="e">
        <f>VLOOKUP(D7,'Billing CDK pivot'!A:C,3,FALSE)</f>
        <v>#N/A</v>
      </c>
      <c r="K7" s="11">
        <v>731.91272727272724</v>
      </c>
      <c r="L7" s="49" t="s">
        <v>986</v>
      </c>
    </row>
    <row r="8" spans="1:12" x14ac:dyDescent="0.35">
      <c r="A8" s="6" t="s">
        <v>987</v>
      </c>
      <c r="B8" s="6">
        <v>143054</v>
      </c>
      <c r="C8" s="6">
        <v>7314</v>
      </c>
      <c r="D8" s="50" t="s">
        <v>988</v>
      </c>
      <c r="E8" s="6" t="s">
        <v>989</v>
      </c>
      <c r="H8" s="6" t="str">
        <f>VLOOKUP(D8,'Billing CDK pivot (by package)'!A:D,4,FALSE)</f>
        <v>CAR WARS CUSTOM PACKAGE--VICTORY AUTO</v>
      </c>
      <c r="I8" s="11" t="e">
        <f>VLOOKUP(D8,'Billing CDK pivot'!A:C,3,FALSE)</f>
        <v>#N/A</v>
      </c>
      <c r="K8" s="11">
        <v>731.91272727272724</v>
      </c>
      <c r="L8" s="49" t="s">
        <v>986</v>
      </c>
    </row>
    <row r="9" spans="1:12" x14ac:dyDescent="0.35">
      <c r="A9" s="6" t="s">
        <v>990</v>
      </c>
      <c r="B9" s="6">
        <v>177594</v>
      </c>
      <c r="C9" s="6">
        <v>29917</v>
      </c>
      <c r="D9" s="50" t="s">
        <v>991</v>
      </c>
      <c r="E9" s="6" t="s">
        <v>992</v>
      </c>
      <c r="H9" s="6" t="str">
        <f>VLOOKUP(D9,'Billing CDK pivot (by package)'!A:D,4,FALSE)</f>
        <v>CAR WARS CUSTOM PACKAGE--VICTORY AUTO</v>
      </c>
      <c r="I9" s="11" t="e">
        <f>VLOOKUP(D9,'Billing CDK pivot'!A:C,3,FALSE)</f>
        <v>#N/A</v>
      </c>
      <c r="K9" s="11">
        <v>731.91272727272724</v>
      </c>
      <c r="L9" s="49" t="s">
        <v>986</v>
      </c>
    </row>
    <row r="10" spans="1:12" x14ac:dyDescent="0.35">
      <c r="A10" s="6" t="s">
        <v>993</v>
      </c>
      <c r="B10" s="6">
        <v>143053</v>
      </c>
      <c r="C10" s="6">
        <v>24233</v>
      </c>
      <c r="D10" s="50" t="s">
        <v>994</v>
      </c>
      <c r="E10" s="6" t="s">
        <v>995</v>
      </c>
      <c r="H10" s="6" t="str">
        <f>VLOOKUP(D10,'Billing CDK pivot (by package)'!A:D,4,FALSE)</f>
        <v>CAR WARS CUSTOM PACKAGE--VICTORY AUTO</v>
      </c>
      <c r="I10" s="11" t="e">
        <f>VLOOKUP(D10,'Billing CDK pivot'!A:C,3,FALSE)</f>
        <v>#N/A</v>
      </c>
      <c r="K10" s="11">
        <v>731.91272727272724</v>
      </c>
      <c r="L10" s="49" t="s">
        <v>986</v>
      </c>
    </row>
    <row r="11" spans="1:12" x14ac:dyDescent="0.35">
      <c r="A11" s="6" t="s">
        <v>996</v>
      </c>
      <c r="B11" s="6">
        <v>143165</v>
      </c>
      <c r="C11" s="6">
        <v>2590</v>
      </c>
      <c r="D11" s="50" t="s">
        <v>997</v>
      </c>
      <c r="E11" s="6" t="s">
        <v>998</v>
      </c>
      <c r="H11" s="6" t="str">
        <f>VLOOKUP(D11,'Billing CDK pivot (by package)'!A:D,4,FALSE)</f>
        <v>CAR WARS CUSTOM PACKAGE--VICTORY AUTO</v>
      </c>
      <c r="I11" s="11" t="e">
        <f>VLOOKUP(D11,'Billing CDK pivot'!A:C,3,FALSE)</f>
        <v>#N/A</v>
      </c>
      <c r="K11" s="11">
        <v>731.91272727272724</v>
      </c>
      <c r="L11" s="49" t="s">
        <v>986</v>
      </c>
    </row>
    <row r="12" spans="1:12" x14ac:dyDescent="0.35">
      <c r="A12" s="6" t="s">
        <v>999</v>
      </c>
      <c r="B12" s="6">
        <v>154889</v>
      </c>
      <c r="C12" s="6">
        <v>22473</v>
      </c>
      <c r="D12" s="50" t="s">
        <v>1000</v>
      </c>
      <c r="E12" s="6" t="s">
        <v>1001</v>
      </c>
      <c r="H12" s="6" t="str">
        <f>VLOOKUP(D12,'Billing CDK pivot (by package)'!A:D,4,FALSE)</f>
        <v>CAR WARS CUSTOM PACKAGE--VICTORY AUTO</v>
      </c>
      <c r="I12" s="11" t="e">
        <f>VLOOKUP(D12,'Billing CDK pivot'!A:C,3,FALSE)</f>
        <v>#N/A</v>
      </c>
      <c r="K12" s="11">
        <v>731.91272727272724</v>
      </c>
      <c r="L12" s="49" t="s">
        <v>986</v>
      </c>
    </row>
    <row r="13" spans="1:12" x14ac:dyDescent="0.35">
      <c r="A13" s="6" t="s">
        <v>1002</v>
      </c>
      <c r="B13" s="6">
        <v>143046</v>
      </c>
      <c r="C13" s="6">
        <v>2217</v>
      </c>
      <c r="D13" s="50" t="s">
        <v>1003</v>
      </c>
      <c r="E13" s="6" t="s">
        <v>1004</v>
      </c>
      <c r="H13" s="6" t="str">
        <f>VLOOKUP(D13,'Billing CDK pivot (by package)'!A:D,4,FALSE)</f>
        <v>CAR WARS CUSTOM PACKAGE--VICTORY AUTO</v>
      </c>
      <c r="I13" s="11" t="e">
        <f>VLOOKUP(D13,'Billing CDK pivot'!A:C,3,FALSE)</f>
        <v>#N/A</v>
      </c>
      <c r="K13" s="11">
        <v>731.91272727272724</v>
      </c>
      <c r="L13" s="49" t="s">
        <v>986</v>
      </c>
    </row>
    <row r="14" spans="1:12" x14ac:dyDescent="0.35">
      <c r="A14" s="6" t="s">
        <v>1005</v>
      </c>
      <c r="B14" s="6">
        <v>143071</v>
      </c>
      <c r="C14" s="6">
        <v>9917</v>
      </c>
      <c r="D14" s="50" t="s">
        <v>1006</v>
      </c>
      <c r="E14" s="6" t="s">
        <v>1007</v>
      </c>
      <c r="H14" s="6" t="str">
        <f>VLOOKUP(D14,'Billing CDK pivot (by package)'!A:D,4,FALSE)</f>
        <v>CAR WARS CUSTOM PACKAGE--VICTORY AUTO</v>
      </c>
      <c r="I14" s="11" t="e">
        <f>VLOOKUP(D14,'Billing CDK pivot'!A:C,3,FALSE)</f>
        <v>#N/A</v>
      </c>
      <c r="K14" s="11">
        <v>731.91272727272724</v>
      </c>
      <c r="L14" s="49" t="s">
        <v>986</v>
      </c>
    </row>
    <row r="15" spans="1:12" x14ac:dyDescent="0.35">
      <c r="A15" s="6" t="s">
        <v>1008</v>
      </c>
      <c r="B15" s="6">
        <v>143062</v>
      </c>
      <c r="C15" s="6">
        <v>11370</v>
      </c>
      <c r="D15" s="50" t="s">
        <v>1009</v>
      </c>
      <c r="E15" s="6" t="s">
        <v>1010</v>
      </c>
      <c r="H15" s="6" t="str">
        <f>VLOOKUP(D15,'Billing CDK pivot (by package)'!A:D,4,FALSE)</f>
        <v>CAR WARS CUSTOM PACKAGE--VICTORY AUTO</v>
      </c>
      <c r="I15" s="11" t="e">
        <f>VLOOKUP(D15,'Billing CDK pivot'!A:C,3,FALSE)</f>
        <v>#N/A</v>
      </c>
      <c r="K15" s="11">
        <v>731.91272727272724</v>
      </c>
      <c r="L15" s="49" t="s">
        <v>986</v>
      </c>
    </row>
    <row r="16" spans="1:12" x14ac:dyDescent="0.35">
      <c r="A16" s="6" t="s">
        <v>1011</v>
      </c>
      <c r="B16" s="6">
        <v>153483</v>
      </c>
      <c r="D16" s="50" t="s">
        <v>1012</v>
      </c>
      <c r="E16" s="6" t="s">
        <v>1013</v>
      </c>
      <c r="H16" s="6" t="str">
        <f>VLOOKUP(D16,'Billing CDK pivot (by package)'!A:D,4,FALSE)</f>
        <v>CAR WARS CUSTOM PACKAGE--VICTORY AUTO</v>
      </c>
      <c r="I16" s="11" t="e">
        <f>VLOOKUP(D16,'Billing CDK pivot'!A:C,3,FALSE)</f>
        <v>#N/A</v>
      </c>
      <c r="K16" s="11">
        <v>731.91272727272724</v>
      </c>
      <c r="L16" s="49" t="s">
        <v>986</v>
      </c>
    </row>
    <row r="17" spans="1:12" x14ac:dyDescent="0.35">
      <c r="A17" s="6" t="s">
        <v>1014</v>
      </c>
      <c r="B17" s="6">
        <v>143173</v>
      </c>
      <c r="C17" s="6">
        <v>3334</v>
      </c>
      <c r="D17" s="50" t="s">
        <v>1015</v>
      </c>
      <c r="E17" s="6" t="s">
        <v>1016</v>
      </c>
      <c r="H17" s="6" t="str">
        <f>VLOOKUP(D17,'Billing CDK pivot (by package)'!A:D,4,FALSE)</f>
        <v>CAR WARS CUSTOM PACKAGE--VICTORY AUTO</v>
      </c>
      <c r="I17" s="11" t="e">
        <f>VLOOKUP(D17,'Billing CDK pivot'!A:C,3,FALSE)</f>
        <v>#N/A</v>
      </c>
      <c r="K17" s="11">
        <v>731.91272727272724</v>
      </c>
      <c r="L17" s="49" t="s">
        <v>986</v>
      </c>
    </row>
    <row r="18" spans="1:12" x14ac:dyDescent="0.35">
      <c r="A18" s="6" t="s">
        <v>1017</v>
      </c>
      <c r="B18" s="6">
        <v>143060</v>
      </c>
      <c r="C18" s="6">
        <v>2631</v>
      </c>
      <c r="D18" s="50" t="s">
        <v>1018</v>
      </c>
      <c r="E18" s="6" t="s">
        <v>1019</v>
      </c>
      <c r="H18" s="6" t="str">
        <f>VLOOKUP(D18,'Billing CDK pivot (by package)'!A:D,4,FALSE)</f>
        <v>CAR WARS CUSTOM PACKAGE--VICTORY AUTO</v>
      </c>
      <c r="I18" s="11" t="e">
        <f>VLOOKUP(D18,'Billing CDK pivot'!A:C,3,FALSE)</f>
        <v>#N/A</v>
      </c>
      <c r="K18" s="11">
        <v>731.91272727272724</v>
      </c>
      <c r="L18" s="49" t="s">
        <v>986</v>
      </c>
    </row>
    <row r="19" spans="1:12" x14ac:dyDescent="0.35">
      <c r="A19" s="6" t="s">
        <v>1020</v>
      </c>
      <c r="B19" s="6">
        <v>143174</v>
      </c>
      <c r="C19" s="6">
        <v>19709</v>
      </c>
      <c r="D19" s="50" t="s">
        <v>1021</v>
      </c>
      <c r="E19" s="6" t="s">
        <v>1022</v>
      </c>
      <c r="H19" s="6" t="str">
        <f>VLOOKUP(D19,'Billing CDK pivot (by package)'!A:D,4,FALSE)</f>
        <v>CAR WARS CUSTOM PACKAGE--VICTORY AUTO</v>
      </c>
      <c r="I19" s="11" t="e">
        <f>VLOOKUP(D19,'Billing CDK pivot'!A:C,3,FALSE)</f>
        <v>#N/A</v>
      </c>
      <c r="K19" s="11">
        <v>731.91272727272724</v>
      </c>
      <c r="L19" s="49" t="s">
        <v>986</v>
      </c>
    </row>
    <row r="20" spans="1:12" x14ac:dyDescent="0.35">
      <c r="A20" s="6" t="s">
        <v>1023</v>
      </c>
      <c r="B20" s="6">
        <v>143175</v>
      </c>
      <c r="C20" s="6">
        <v>2229</v>
      </c>
      <c r="D20" s="50" t="s">
        <v>1024</v>
      </c>
      <c r="E20" s="6" t="s">
        <v>1025</v>
      </c>
      <c r="H20" s="6" t="str">
        <f>VLOOKUP(D20,'Billing CDK pivot (by package)'!A:D,4,FALSE)</f>
        <v>CAR WARS CUSTOM PACKAGE--VICTORY AUTO</v>
      </c>
      <c r="I20" s="11" t="e">
        <f>VLOOKUP(D20,'Billing CDK pivot'!A:C,3,FALSE)</f>
        <v>#N/A</v>
      </c>
      <c r="K20" s="11">
        <v>731.91272727272724</v>
      </c>
      <c r="L20" s="49" t="s">
        <v>986</v>
      </c>
    </row>
    <row r="21" spans="1:12" x14ac:dyDescent="0.35">
      <c r="A21" s="6" t="s">
        <v>1026</v>
      </c>
      <c r="B21" s="6">
        <v>143178</v>
      </c>
      <c r="C21" s="6">
        <v>2226</v>
      </c>
      <c r="D21" s="50" t="s">
        <v>1027</v>
      </c>
      <c r="E21" s="6" t="s">
        <v>1028</v>
      </c>
      <c r="H21" s="6" t="str">
        <f>VLOOKUP(D21,'Billing CDK pivot (by package)'!A:D,4,FALSE)</f>
        <v>CAR WARS CUSTOM PACKAGE--VICTORY AUTO</v>
      </c>
      <c r="I21" s="11" t="e">
        <f>VLOOKUP(D21,'Billing CDK pivot'!A:C,3,FALSE)</f>
        <v>#N/A</v>
      </c>
      <c r="K21" s="11">
        <v>731.91272727272724</v>
      </c>
      <c r="L21" s="49" t="s">
        <v>986</v>
      </c>
    </row>
    <row r="22" spans="1:12" x14ac:dyDescent="0.35">
      <c r="A22" s="6" t="s">
        <v>1029</v>
      </c>
      <c r="B22" s="6">
        <v>153318</v>
      </c>
      <c r="D22" s="50" t="s">
        <v>1030</v>
      </c>
      <c r="E22" s="6" t="s">
        <v>1031</v>
      </c>
      <c r="H22" s="6" t="str">
        <f>VLOOKUP(D22,'Billing CDK pivot (by package)'!A:D,4,FALSE)</f>
        <v>CAR WARS CUSTOM PACKAGE--VICTORY AUTO</v>
      </c>
      <c r="I22" s="11" t="e">
        <f>VLOOKUP(D22,'Billing CDK pivot'!A:C,3,FALSE)</f>
        <v>#N/A</v>
      </c>
      <c r="K22" s="11">
        <v>731.91272727272724</v>
      </c>
      <c r="L22" s="49" t="s">
        <v>986</v>
      </c>
    </row>
    <row r="23" spans="1:12" x14ac:dyDescent="0.35">
      <c r="A23" s="6" t="s">
        <v>1032</v>
      </c>
      <c r="B23" s="6">
        <v>143063</v>
      </c>
      <c r="C23" s="6">
        <v>17614</v>
      </c>
      <c r="D23" s="50" t="s">
        <v>1033</v>
      </c>
      <c r="E23" s="6" t="s">
        <v>1034</v>
      </c>
      <c r="H23" s="6" t="str">
        <f>VLOOKUP(D23,'Billing CDK pivot (by package)'!A:D,4,FALSE)</f>
        <v>CAR WARS CUSTOM PACKAGE--VICTORY AUTO</v>
      </c>
      <c r="I23" s="11" t="e">
        <f>VLOOKUP(D23,'Billing CDK pivot'!A:C,3,FALSE)</f>
        <v>#N/A</v>
      </c>
      <c r="K23" s="11">
        <v>731.91272727272724</v>
      </c>
      <c r="L23" s="49" t="s">
        <v>986</v>
      </c>
    </row>
    <row r="24" spans="1:12" x14ac:dyDescent="0.35">
      <c r="A24" s="6" t="s">
        <v>1035</v>
      </c>
      <c r="B24" s="6">
        <v>143073</v>
      </c>
      <c r="C24" s="6">
        <v>9982</v>
      </c>
      <c r="D24" s="50" t="s">
        <v>1036</v>
      </c>
      <c r="E24" s="6" t="s">
        <v>1037</v>
      </c>
      <c r="H24" s="6" t="str">
        <f>VLOOKUP(D24,'Billing CDK pivot (by package)'!A:D,4,FALSE)</f>
        <v>CAR WARS CUSTOM PACKAGE--VICTORY AUTO</v>
      </c>
      <c r="I24" s="11" t="e">
        <f>VLOOKUP(D24,'Billing CDK pivot'!A:C,3,FALSE)</f>
        <v>#N/A</v>
      </c>
      <c r="K24" s="11">
        <v>731.91272727272724</v>
      </c>
      <c r="L24" s="49" t="s">
        <v>986</v>
      </c>
    </row>
    <row r="25" spans="1:12" x14ac:dyDescent="0.35">
      <c r="A25" s="6" t="s">
        <v>1038</v>
      </c>
      <c r="B25" s="6">
        <v>143064</v>
      </c>
      <c r="C25" s="6">
        <v>1032</v>
      </c>
      <c r="D25" s="50" t="s">
        <v>1039</v>
      </c>
      <c r="E25" s="6" t="s">
        <v>1040</v>
      </c>
      <c r="H25" s="6" t="str">
        <f>VLOOKUP(D25,'Billing CDK pivot (by package)'!A:D,4,FALSE)</f>
        <v>CAR WARS CUSTOM PACKAGE--VICTORY AUTO</v>
      </c>
      <c r="I25" s="11" t="e">
        <f>VLOOKUP(D25,'Billing CDK pivot'!A:C,3,FALSE)</f>
        <v>#N/A</v>
      </c>
      <c r="K25" s="11">
        <v>731.91272727272724</v>
      </c>
      <c r="L25" s="49" t="s">
        <v>986</v>
      </c>
    </row>
    <row r="26" spans="1:12" x14ac:dyDescent="0.35">
      <c r="A26" s="6" t="s">
        <v>1041</v>
      </c>
      <c r="B26" s="6">
        <v>143181</v>
      </c>
      <c r="C26" s="6">
        <v>2739</v>
      </c>
      <c r="D26" s="50" t="s">
        <v>1042</v>
      </c>
      <c r="E26" s="6" t="s">
        <v>1043</v>
      </c>
      <c r="H26" s="6" t="str">
        <f>VLOOKUP(D26,'Billing CDK pivot (by package)'!A:D,4,FALSE)</f>
        <v>CAR WARS CUSTOM PACKAGE--VICTORY AUTO</v>
      </c>
      <c r="I26" s="11" t="e">
        <f>VLOOKUP(D26,'Billing CDK pivot'!A:C,3,FALSE)</f>
        <v>#N/A</v>
      </c>
      <c r="K26" s="11">
        <v>731.91272727272724</v>
      </c>
      <c r="L26" s="49" t="s">
        <v>986</v>
      </c>
    </row>
    <row r="27" spans="1:12" x14ac:dyDescent="0.35">
      <c r="A27" s="6" t="s">
        <v>1044</v>
      </c>
      <c r="B27" s="6">
        <v>143167</v>
      </c>
      <c r="C27" s="6">
        <v>5331</v>
      </c>
      <c r="D27" s="50" t="s">
        <v>1045</v>
      </c>
      <c r="E27" s="6" t="s">
        <v>1046</v>
      </c>
      <c r="H27" s="6" t="str">
        <f>VLOOKUP(D27,'Billing CDK pivot (by package)'!A:D,4,FALSE)</f>
        <v>CAR WARS CUSTOM PACKAGE--VICTORY AUTO</v>
      </c>
      <c r="I27" s="11" t="e">
        <f>VLOOKUP(D27,'Billing CDK pivot'!A:C,3,FALSE)</f>
        <v>#N/A</v>
      </c>
      <c r="K27" s="11">
        <v>731.91272727272724</v>
      </c>
      <c r="L27" s="49" t="s">
        <v>986</v>
      </c>
    </row>
    <row r="28" spans="1:12" x14ac:dyDescent="0.35">
      <c r="A28" s="6" t="s">
        <v>1047</v>
      </c>
      <c r="B28" s="6">
        <v>188256</v>
      </c>
      <c r="C28" s="6">
        <v>31836</v>
      </c>
      <c r="D28" s="6" t="s">
        <v>1048</v>
      </c>
      <c r="E28" s="6" t="s">
        <v>1049</v>
      </c>
      <c r="H28" s="6" t="str">
        <f>VLOOKUP(D28,'Billing CDK pivot (by package)'!A:D,4,FALSE)</f>
        <v>CAR WARS CUSTOM PACKAGE--VICTORY AUTO</v>
      </c>
      <c r="I28" s="11" t="e">
        <f>VLOOKUP(D28,'Billing CDK pivot'!A:C,3,FALSE)</f>
        <v>#N/A</v>
      </c>
      <c r="K28" s="11">
        <v>731.91272727272724</v>
      </c>
      <c r="L28" s="49" t="s">
        <v>986</v>
      </c>
    </row>
    <row r="29" spans="1:12" x14ac:dyDescent="0.35">
      <c r="A29" s="6" t="s">
        <v>1050</v>
      </c>
      <c r="B29" s="6">
        <v>143055</v>
      </c>
      <c r="C29" s="6">
        <v>16820</v>
      </c>
      <c r="D29" s="50" t="s">
        <v>1051</v>
      </c>
      <c r="E29" s="6" t="s">
        <v>1052</v>
      </c>
      <c r="H29" s="6" t="s">
        <v>971</v>
      </c>
      <c r="I29" s="11" t="e">
        <f>VLOOKUP(D29,'Billing CDK pivot'!A:C,3,FALSE)</f>
        <v>#N/A</v>
      </c>
      <c r="K29" s="11">
        <v>731.91272727272724</v>
      </c>
      <c r="L29" s="49" t="s">
        <v>986</v>
      </c>
    </row>
    <row r="30" spans="1:12" x14ac:dyDescent="0.35">
      <c r="A30" s="6" t="s">
        <v>1053</v>
      </c>
      <c r="B30" s="6">
        <v>143168</v>
      </c>
      <c r="C30" s="6">
        <v>17105</v>
      </c>
      <c r="D30" s="50" t="s">
        <v>1054</v>
      </c>
      <c r="E30" s="6" t="s">
        <v>1055</v>
      </c>
      <c r="H30" s="6" t="s">
        <v>971</v>
      </c>
      <c r="I30" s="11" t="e">
        <f>VLOOKUP(D30,'Billing CDK pivot'!A:C,3,FALSE)</f>
        <v>#N/A</v>
      </c>
      <c r="K30" s="11">
        <v>731.91272727272724</v>
      </c>
      <c r="L30" s="49" t="s">
        <v>986</v>
      </c>
    </row>
    <row r="31" spans="1:12" x14ac:dyDescent="0.35">
      <c r="A31" s="6" t="s">
        <v>1056</v>
      </c>
      <c r="B31" s="6">
        <v>143057</v>
      </c>
      <c r="C31" s="6">
        <v>13780</v>
      </c>
      <c r="D31" s="50" t="s">
        <v>1057</v>
      </c>
      <c r="E31" s="6" t="s">
        <v>1058</v>
      </c>
      <c r="H31" s="6" t="s">
        <v>971</v>
      </c>
      <c r="I31" s="11" t="e">
        <f>VLOOKUP(D31,'Billing CDK pivot'!A:C,3,FALSE)</f>
        <v>#N/A</v>
      </c>
      <c r="K31" s="11">
        <v>731.91272727272724</v>
      </c>
      <c r="L31" s="49" t="s">
        <v>986</v>
      </c>
    </row>
    <row r="32" spans="1:12" x14ac:dyDescent="0.35">
      <c r="A32" s="6" t="s">
        <v>1059</v>
      </c>
      <c r="B32" s="6">
        <v>143171</v>
      </c>
      <c r="C32" s="6">
        <v>16461</v>
      </c>
      <c r="D32" s="50" t="s">
        <v>1060</v>
      </c>
      <c r="E32" s="6" t="s">
        <v>1061</v>
      </c>
      <c r="H32" s="6" t="s">
        <v>971</v>
      </c>
      <c r="I32" s="11" t="e">
        <f>VLOOKUP(D32,'Billing CDK pivot'!A:C,3,FALSE)</f>
        <v>#N/A</v>
      </c>
      <c r="K32" s="11">
        <v>731.91272727272724</v>
      </c>
      <c r="L32" s="49" t="s">
        <v>986</v>
      </c>
    </row>
    <row r="33" spans="1:12" x14ac:dyDescent="0.35">
      <c r="A33" s="6" t="s">
        <v>1062</v>
      </c>
      <c r="B33" s="6">
        <v>143182</v>
      </c>
      <c r="C33" s="6">
        <v>24244</v>
      </c>
      <c r="D33" s="50" t="s">
        <v>1063</v>
      </c>
      <c r="E33" s="6" t="s">
        <v>1064</v>
      </c>
      <c r="H33" s="6" t="s">
        <v>971</v>
      </c>
      <c r="I33" s="11" t="e">
        <f>VLOOKUP(D33,'Billing CDK pivot'!A:C,3,FALSE)</f>
        <v>#N/A</v>
      </c>
      <c r="K33" s="11">
        <v>731.91272727272724</v>
      </c>
      <c r="L33" s="49" t="s">
        <v>986</v>
      </c>
    </row>
    <row r="34" spans="1:12" x14ac:dyDescent="0.35">
      <c r="A34" s="6" t="s">
        <v>1065</v>
      </c>
      <c r="B34" s="6">
        <v>143059</v>
      </c>
      <c r="C34" s="6">
        <v>15809</v>
      </c>
      <c r="D34" s="50" t="s">
        <v>1066</v>
      </c>
      <c r="E34" s="6" t="s">
        <v>1067</v>
      </c>
      <c r="H34" s="6" t="s">
        <v>971</v>
      </c>
      <c r="I34" s="11" t="e">
        <f>VLOOKUP(D34,'Billing CDK pivot'!A:C,3,FALSE)</f>
        <v>#N/A</v>
      </c>
      <c r="K34" s="11">
        <v>731.91272727272724</v>
      </c>
      <c r="L34" s="49" t="s">
        <v>986</v>
      </c>
    </row>
    <row r="35" spans="1:12" x14ac:dyDescent="0.35">
      <c r="A35" s="6" t="s">
        <v>1068</v>
      </c>
      <c r="B35" s="6">
        <v>143172</v>
      </c>
      <c r="C35" s="6">
        <v>15136</v>
      </c>
      <c r="D35" s="50" t="s">
        <v>1069</v>
      </c>
      <c r="E35" s="6" t="s">
        <v>1070</v>
      </c>
      <c r="H35" s="6" t="s">
        <v>971</v>
      </c>
      <c r="I35" s="11" t="e">
        <f>VLOOKUP(D35,'Billing CDK pivot'!A:C,3,FALSE)</f>
        <v>#N/A</v>
      </c>
      <c r="K35" s="11">
        <v>731.91272727272724</v>
      </c>
      <c r="L35" s="49" t="s">
        <v>986</v>
      </c>
    </row>
    <row r="36" spans="1:12" x14ac:dyDescent="0.35">
      <c r="A36" s="6" t="s">
        <v>1071</v>
      </c>
      <c r="B36" s="6">
        <v>143185</v>
      </c>
      <c r="C36" s="6">
        <v>2221</v>
      </c>
      <c r="D36" s="50" t="s">
        <v>1072</v>
      </c>
      <c r="E36" s="6" t="s">
        <v>1073</v>
      </c>
      <c r="H36" s="6" t="s">
        <v>971</v>
      </c>
      <c r="I36" s="11" t="e">
        <f>VLOOKUP(D36,'Billing CDK pivot'!A:C,3,FALSE)</f>
        <v>#N/A</v>
      </c>
      <c r="K36" s="11">
        <v>731.91272727272724</v>
      </c>
      <c r="L36" s="49" t="s">
        <v>986</v>
      </c>
    </row>
    <row r="37" spans="1:12" x14ac:dyDescent="0.35">
      <c r="A37" s="6" t="s">
        <v>1074</v>
      </c>
      <c r="B37" s="6">
        <v>143611</v>
      </c>
      <c r="C37" s="6">
        <v>24390</v>
      </c>
      <c r="D37" s="50" t="s">
        <v>1075</v>
      </c>
      <c r="E37" s="6" t="s">
        <v>1076</v>
      </c>
      <c r="H37" s="6" t="s">
        <v>971</v>
      </c>
      <c r="I37" s="11" t="e">
        <f>VLOOKUP(D37,'Billing CDK pivot'!A:C,3,FALSE)</f>
        <v>#N/A</v>
      </c>
      <c r="K37" s="11">
        <v>731.91272727272724</v>
      </c>
      <c r="L37" s="49" t="s">
        <v>986</v>
      </c>
    </row>
    <row r="38" spans="1:12" x14ac:dyDescent="0.35">
      <c r="A38" s="6" t="s">
        <v>1077</v>
      </c>
      <c r="B38" s="6">
        <v>143186</v>
      </c>
      <c r="C38" s="6">
        <v>17613</v>
      </c>
      <c r="D38" s="50" t="s">
        <v>1078</v>
      </c>
      <c r="E38" s="6" t="s">
        <v>1079</v>
      </c>
      <c r="H38" s="6" t="s">
        <v>971</v>
      </c>
      <c r="I38" s="11" t="e">
        <f>VLOOKUP(D38,'Billing CDK pivot'!A:C,3,FALSE)</f>
        <v>#N/A</v>
      </c>
      <c r="K38" s="11">
        <v>731.91272727272724</v>
      </c>
      <c r="L38" s="49" t="s">
        <v>986</v>
      </c>
    </row>
    <row r="39" spans="1:12" x14ac:dyDescent="0.35">
      <c r="A39" s="6" t="s">
        <v>1080</v>
      </c>
      <c r="B39" s="6">
        <v>143049</v>
      </c>
      <c r="C39" s="6">
        <v>8335</v>
      </c>
      <c r="D39" s="50" t="s">
        <v>1081</v>
      </c>
      <c r="E39" s="6" t="s">
        <v>1082</v>
      </c>
      <c r="H39" s="6" t="s">
        <v>971</v>
      </c>
      <c r="I39" s="11" t="e">
        <f>VLOOKUP(D39,'Billing CDK pivot'!A:C,3,FALSE)</f>
        <v>#N/A</v>
      </c>
      <c r="K39" s="11">
        <v>731.91272727272724</v>
      </c>
      <c r="L39" s="49" t="s">
        <v>986</v>
      </c>
    </row>
    <row r="40" spans="1:12" x14ac:dyDescent="0.35">
      <c r="A40" s="6" t="s">
        <v>1083</v>
      </c>
      <c r="B40" s="6">
        <v>159095</v>
      </c>
      <c r="C40" s="6">
        <v>29415</v>
      </c>
      <c r="D40" s="50" t="s">
        <v>1084</v>
      </c>
      <c r="E40" s="6" t="s">
        <v>1085</v>
      </c>
      <c r="H40" s="6" t="s">
        <v>971</v>
      </c>
      <c r="I40" s="11" t="e">
        <f>VLOOKUP(D40,'Billing CDK pivot'!A:C,3,FALSE)</f>
        <v>#N/A</v>
      </c>
      <c r="K40" s="11">
        <v>731.91272727272724</v>
      </c>
      <c r="L40" s="49" t="s">
        <v>986</v>
      </c>
    </row>
    <row r="41" spans="1:12" x14ac:dyDescent="0.35">
      <c r="A41" s="6" t="s">
        <v>1086</v>
      </c>
      <c r="B41" s="6">
        <v>150749</v>
      </c>
      <c r="D41" s="50" t="s">
        <v>1087</v>
      </c>
      <c r="E41" s="6" t="s">
        <v>1088</v>
      </c>
      <c r="H41" s="6" t="str">
        <f>VLOOKUP(D41,'Billing CDK pivot (by package)'!A:D,4,FALSE)</f>
        <v>CAR WARS CUSTOM PACKAGE--VICTORY AUTO</v>
      </c>
      <c r="I41" s="11" t="e">
        <f>VLOOKUP(D41,'Billing CDK pivot'!A:C,3,FALSE)</f>
        <v>#N/A</v>
      </c>
      <c r="K41" s="11">
        <v>731.91272727272724</v>
      </c>
      <c r="L41" s="49" t="s">
        <v>986</v>
      </c>
    </row>
    <row r="42" spans="1:12" x14ac:dyDescent="0.35">
      <c r="A42" s="49" t="s">
        <v>1089</v>
      </c>
      <c r="B42" s="6">
        <v>188574</v>
      </c>
      <c r="C42" s="6">
        <v>32012</v>
      </c>
      <c r="D42" s="30" t="s">
        <v>1090</v>
      </c>
      <c r="E42" s="6" t="s">
        <v>1091</v>
      </c>
      <c r="H42" s="6" t="str">
        <f>VLOOKUP(D42,'Billing CDK pivot (by package)'!A:D,4,FALSE)</f>
        <v>CAR WARS CUSTOM PACKAGE--VICTORY AUTO</v>
      </c>
      <c r="I42" s="11" t="e">
        <f>VLOOKUP(D42,'Billing CDK pivot'!A:C,3,FALSE)</f>
        <v>#N/A</v>
      </c>
      <c r="K42" s="11">
        <v>731.91272727272724</v>
      </c>
      <c r="L42" s="49" t="s">
        <v>986</v>
      </c>
    </row>
    <row r="43" spans="1:12" x14ac:dyDescent="0.35">
      <c r="A43" s="49" t="s">
        <v>1092</v>
      </c>
      <c r="B43" s="6">
        <v>187887</v>
      </c>
      <c r="C43" s="6">
        <v>30696</v>
      </c>
      <c r="D43" s="30" t="s">
        <v>1093</v>
      </c>
      <c r="E43" s="6" t="s">
        <v>1094</v>
      </c>
      <c r="H43" s="6" t="str">
        <f>VLOOKUP(D43,'Billing CDK pivot (by package)'!A:D,4,FALSE)</f>
        <v>CAR WARS CUSTOM PACKAGE--VICTORY AUTO</v>
      </c>
      <c r="I43" s="11" t="e">
        <f>VLOOKUP(D43,'Billing CDK pivot'!A:C,3,FALSE)</f>
        <v>#N/A</v>
      </c>
      <c r="K43" s="11">
        <v>731.91272727272724</v>
      </c>
      <c r="L43" s="49" t="s">
        <v>986</v>
      </c>
    </row>
    <row r="44" spans="1:12" x14ac:dyDescent="0.35">
      <c r="A44" s="49" t="s">
        <v>1095</v>
      </c>
      <c r="B44" s="6">
        <v>187884</v>
      </c>
      <c r="C44" s="6">
        <v>30698</v>
      </c>
      <c r="D44" s="30" t="s">
        <v>1096</v>
      </c>
      <c r="E44" s="6" t="s">
        <v>1097</v>
      </c>
      <c r="H44" s="6" t="str">
        <f>VLOOKUP(D44,'Billing CDK pivot (by package)'!A:D,4,FALSE)</f>
        <v>CAR WARS CUSTOM PACKAGE--VICTORY AUTO</v>
      </c>
      <c r="I44" s="11" t="e">
        <f>VLOOKUP(D44,'Billing CDK pivot'!A:C,3,FALSE)</f>
        <v>#N/A</v>
      </c>
      <c r="K44" s="11">
        <v>731.91272727272724</v>
      </c>
      <c r="L44" s="49" t="s">
        <v>986</v>
      </c>
    </row>
    <row r="45" spans="1:12" x14ac:dyDescent="0.35">
      <c r="A45" s="6" t="s">
        <v>1098</v>
      </c>
      <c r="B45" s="6">
        <v>143177</v>
      </c>
      <c r="C45" s="6">
        <v>7807</v>
      </c>
      <c r="D45" s="50" t="s">
        <v>1099</v>
      </c>
      <c r="E45" s="6" t="s">
        <v>1100</v>
      </c>
      <c r="H45" s="6" t="str">
        <f>VLOOKUP(D45,'Billing CDK pivot (by package)'!A:D,4,FALSE)</f>
        <v>CAR WARS CUSTOM PACKAGE--VICTORY AUTO</v>
      </c>
      <c r="I45" s="11" t="e">
        <f>VLOOKUP(D45,'Billing CDK pivot'!A:C,3,FALSE)</f>
        <v>#N/A</v>
      </c>
      <c r="K45" s="11">
        <v>731.91272727272724</v>
      </c>
      <c r="L45" s="49" t="s">
        <v>986</v>
      </c>
    </row>
    <row r="46" spans="1:12" x14ac:dyDescent="0.35">
      <c r="A46" s="6" t="s">
        <v>1101</v>
      </c>
      <c r="B46" s="6">
        <v>177565</v>
      </c>
      <c r="C46" s="6">
        <v>29857</v>
      </c>
      <c r="D46" s="50" t="s">
        <v>1102</v>
      </c>
      <c r="E46" s="6" t="s">
        <v>1103</v>
      </c>
      <c r="H46" s="6" t="str">
        <f>VLOOKUP(D46,'Billing CDK pivot (by package)'!A:D,4,FALSE)</f>
        <v>CAR WARS CUSTOM PACKAGE--VICTORY AUTO</v>
      </c>
      <c r="I46" s="11" t="e">
        <f>VLOOKUP(D46,'Billing CDK pivot'!A:C,3,FALSE)</f>
        <v>#N/A</v>
      </c>
      <c r="K46" s="11">
        <v>731.91272727272724</v>
      </c>
      <c r="L46" s="49" t="s">
        <v>986</v>
      </c>
    </row>
    <row r="47" spans="1:12" x14ac:dyDescent="0.35">
      <c r="A47" s="6" t="s">
        <v>1104</v>
      </c>
      <c r="B47" s="6">
        <v>186347</v>
      </c>
      <c r="C47" s="6">
        <v>30226</v>
      </c>
      <c r="D47" s="50" t="s">
        <v>1105</v>
      </c>
      <c r="E47" s="6" t="s">
        <v>1106</v>
      </c>
      <c r="H47" s="6" t="str">
        <f>VLOOKUP(D47,'Billing CDK pivot (by package)'!A:D,4,FALSE)</f>
        <v>CAR WARS CUSTOM PACKAGE--VICTORY AUTO</v>
      </c>
      <c r="I47" s="11" t="e">
        <f>VLOOKUP(D47,'Billing CDK pivot'!A:C,3,FALSE)</f>
        <v>#N/A</v>
      </c>
      <c r="K47" s="11">
        <v>731.91272727272724</v>
      </c>
      <c r="L47" s="49" t="s">
        <v>986</v>
      </c>
    </row>
    <row r="48" spans="1:12" x14ac:dyDescent="0.35">
      <c r="A48" s="49" t="s">
        <v>1107</v>
      </c>
      <c r="B48" s="6">
        <v>187885</v>
      </c>
      <c r="C48" s="6">
        <v>30699</v>
      </c>
      <c r="D48" s="30" t="s">
        <v>1108</v>
      </c>
      <c r="E48" s="6" t="s">
        <v>1109</v>
      </c>
      <c r="H48" s="6" t="str">
        <f>VLOOKUP(D48,'Billing CDK pivot (by package)'!A:D,4,FALSE)</f>
        <v>CAR WARS CUSTOM PACKAGE--VICTORY AUTO</v>
      </c>
      <c r="I48" s="11" t="e">
        <f>VLOOKUP(D48,'Billing CDK pivot'!A:C,3,FALSE)</f>
        <v>#N/A</v>
      </c>
      <c r="K48" s="11">
        <v>731.91272727272724</v>
      </c>
      <c r="L48" s="49" t="s">
        <v>986</v>
      </c>
    </row>
    <row r="49" spans="1:12" x14ac:dyDescent="0.35">
      <c r="A49" s="6" t="s">
        <v>1110</v>
      </c>
      <c r="B49" s="6">
        <v>177593</v>
      </c>
      <c r="C49" s="6">
        <v>8833</v>
      </c>
      <c r="D49" s="50" t="s">
        <v>1111</v>
      </c>
      <c r="E49" s="6" t="s">
        <v>1112</v>
      </c>
      <c r="H49" s="6" t="str">
        <f>VLOOKUP(D49,'Billing CDK pivot (by package)'!A:D,4,FALSE)</f>
        <v>CAR WARS CUSTOM PACKAGE--VICTORY AUTO</v>
      </c>
      <c r="I49" s="11" t="e">
        <f>VLOOKUP(D49,'Billing CDK pivot'!A:C,3,FALSE)</f>
        <v>#N/A</v>
      </c>
      <c r="K49" s="11">
        <v>731.91272727272724</v>
      </c>
      <c r="L49" s="49" t="s">
        <v>986</v>
      </c>
    </row>
    <row r="50" spans="1:12" x14ac:dyDescent="0.35">
      <c r="A50" s="6" t="s">
        <v>1113</v>
      </c>
      <c r="B50" s="6">
        <v>177592</v>
      </c>
      <c r="C50" s="6">
        <v>29898</v>
      </c>
      <c r="D50" s="50" t="s">
        <v>1114</v>
      </c>
      <c r="E50" s="6" t="s">
        <v>1115</v>
      </c>
      <c r="H50" s="6" t="str">
        <f>VLOOKUP(D50,'Billing CDK pivot (by package)'!A:D,4,FALSE)</f>
        <v>CAR WARS CUSTOM PACKAGE--VICTORY AUTO</v>
      </c>
      <c r="I50" s="11" t="e">
        <f>VLOOKUP(D50,'Billing CDK pivot'!A:C,3,FALSE)</f>
        <v>#N/A</v>
      </c>
      <c r="K50" s="11">
        <v>731.91272727272724</v>
      </c>
      <c r="L50" s="49" t="s">
        <v>986</v>
      </c>
    </row>
    <row r="51" spans="1:12" x14ac:dyDescent="0.35">
      <c r="A51" s="6" t="s">
        <v>1116</v>
      </c>
      <c r="B51" s="6">
        <v>186505</v>
      </c>
      <c r="C51" s="6">
        <v>30363</v>
      </c>
      <c r="D51" s="50" t="s">
        <v>1117</v>
      </c>
      <c r="E51" s="6" t="s">
        <v>1118</v>
      </c>
      <c r="H51" s="6" t="str">
        <f>VLOOKUP(D51,'Billing CDK pivot (by package)'!A:D,4,FALSE)</f>
        <v>CAR WARS CUSTOM PACKAGE--VICTORY AUTO</v>
      </c>
      <c r="I51" s="11" t="e">
        <f>VLOOKUP(D51,'Billing CDK pivot'!A:C,3,FALSE)</f>
        <v>#N/A</v>
      </c>
      <c r="K51" s="11">
        <v>731.91272727272724</v>
      </c>
      <c r="L51" s="49" t="s">
        <v>986</v>
      </c>
    </row>
    <row r="52" spans="1:12" x14ac:dyDescent="0.35">
      <c r="A52" s="6" t="s">
        <v>1119</v>
      </c>
      <c r="B52" s="6">
        <v>156789</v>
      </c>
      <c r="C52" s="6">
        <v>28983</v>
      </c>
      <c r="D52" s="50" t="s">
        <v>1120</v>
      </c>
      <c r="E52" s="6" t="s">
        <v>1121</v>
      </c>
      <c r="H52" s="6" t="str">
        <f>VLOOKUP(D52,'Billing CDK pivot (by package)'!A:D,4,FALSE)</f>
        <v>CAR WARS CUSTOM PACKAGE--VICTORY AUTO</v>
      </c>
      <c r="I52" s="11" t="e">
        <f>VLOOKUP(D52,'Billing CDK pivot'!A:C,3,FALSE)</f>
        <v>#N/A</v>
      </c>
      <c r="K52" s="11">
        <v>731.91272727272724</v>
      </c>
      <c r="L52" s="49" t="s">
        <v>986</v>
      </c>
    </row>
    <row r="53" spans="1:12" x14ac:dyDescent="0.35">
      <c r="A53" s="6" t="s">
        <v>1122</v>
      </c>
      <c r="B53" s="6">
        <v>186504</v>
      </c>
      <c r="C53" s="6">
        <v>30362</v>
      </c>
      <c r="D53" s="50" t="s">
        <v>1123</v>
      </c>
      <c r="E53" s="6" t="s">
        <v>1124</v>
      </c>
      <c r="H53" s="6" t="str">
        <f>VLOOKUP(D53,'Billing CDK pivot (by package)'!A:D,4,FALSE)</f>
        <v>CAR WARS CUSTOM PACKAGE--VICTORY AUTO</v>
      </c>
      <c r="I53" s="11" t="e">
        <f>VLOOKUP(D53,'Billing CDK pivot'!A:C,3,FALSE)</f>
        <v>#N/A</v>
      </c>
      <c r="K53" s="11">
        <v>731.91272727272724</v>
      </c>
      <c r="L53" s="49" t="s">
        <v>986</v>
      </c>
    </row>
    <row r="54" spans="1:12" x14ac:dyDescent="0.35">
      <c r="A54" s="49" t="s">
        <v>1125</v>
      </c>
      <c r="B54" s="6">
        <v>156225</v>
      </c>
      <c r="C54" s="6">
        <v>28673</v>
      </c>
      <c r="D54" s="50" t="s">
        <v>1126</v>
      </c>
      <c r="E54" s="6" t="s">
        <v>1127</v>
      </c>
      <c r="H54" s="6" t="str">
        <f>VLOOKUP(D54,'Billing CDK pivot (by package)'!A:D,4,FALSE)</f>
        <v>CARWARS TEXTING (STARTER/ADVANCED)</v>
      </c>
      <c r="I54" s="11" t="e">
        <f>VLOOKUP(D54,'Billing CDK pivot'!A:C,3,FALSE)</f>
        <v>#N/A</v>
      </c>
      <c r="K54" s="11">
        <v>731.91272727272724</v>
      </c>
      <c r="L54" s="49" t="s">
        <v>986</v>
      </c>
    </row>
    <row r="55" spans="1:12" x14ac:dyDescent="0.35">
      <c r="A55" s="49" t="s">
        <v>1128</v>
      </c>
      <c r="B55" s="6">
        <v>159094</v>
      </c>
      <c r="C55" s="6">
        <v>29414</v>
      </c>
      <c r="D55" s="50" t="s">
        <v>1129</v>
      </c>
      <c r="E55" s="6" t="s">
        <v>1130</v>
      </c>
      <c r="H55" s="6" t="str">
        <f>VLOOKUP(D55,'Billing CDK pivot (by package)'!A:D,4,FALSE)</f>
        <v>CAR WARS CUSTOM PACKAGE--VICTORY AUTO</v>
      </c>
      <c r="I55" s="11" t="e">
        <f>VLOOKUP(D55,'Billing CDK pivot'!A:C,3,FALSE)</f>
        <v>#N/A</v>
      </c>
      <c r="K55" s="11">
        <v>731.91272727272724</v>
      </c>
      <c r="L55" s="49" t="s">
        <v>986</v>
      </c>
    </row>
    <row r="56" spans="1:12" x14ac:dyDescent="0.35">
      <c r="A56" s="49" t="s">
        <v>1131</v>
      </c>
      <c r="B56" s="6">
        <v>150750</v>
      </c>
      <c r="D56" s="50" t="s">
        <v>1132</v>
      </c>
      <c r="E56" s="6" t="s">
        <v>1133</v>
      </c>
      <c r="H56" s="6" t="str">
        <f>VLOOKUP(D56,'Billing CDK pivot (by package)'!A:D,4,FALSE)</f>
        <v>CAR WARS CUSTOM PACKAGE--VICTORY AUTO</v>
      </c>
      <c r="I56" s="11" t="e">
        <f>VLOOKUP(D56,'Billing CDK pivot'!A:C,3,FALSE)</f>
        <v>#N/A</v>
      </c>
      <c r="K56" s="11">
        <v>731.91272727272724</v>
      </c>
      <c r="L56" s="49" t="s">
        <v>986</v>
      </c>
    </row>
    <row r="57" spans="1:12" x14ac:dyDescent="0.35">
      <c r="A57" s="49" t="s">
        <v>1134</v>
      </c>
      <c r="B57" s="6">
        <v>177327</v>
      </c>
      <c r="C57" s="6">
        <v>29759</v>
      </c>
      <c r="D57" s="50" t="s">
        <v>1135</v>
      </c>
      <c r="E57" s="6" t="s">
        <v>1136</v>
      </c>
      <c r="H57" s="6" t="str">
        <f>VLOOKUP(D57,'Billing CDK pivot (by package)'!A:D,4,FALSE)</f>
        <v>CAR WARS CUSTOM PACKAGE--VICTORY AUTO</v>
      </c>
      <c r="I57" s="11" t="e">
        <f>VLOOKUP(D57,'Billing CDK pivot'!A:C,3,FALSE)</f>
        <v>#N/A</v>
      </c>
      <c r="K57" s="11">
        <v>731.91272727272724</v>
      </c>
      <c r="L57" s="49" t="s">
        <v>986</v>
      </c>
    </row>
    <row r="58" spans="1:12" x14ac:dyDescent="0.35">
      <c r="A58" s="49" t="s">
        <v>1137</v>
      </c>
      <c r="B58" s="6">
        <v>186083</v>
      </c>
      <c r="C58" s="6">
        <v>30123</v>
      </c>
      <c r="D58" s="50" t="s">
        <v>1138</v>
      </c>
      <c r="E58" s="6" t="s">
        <v>1139</v>
      </c>
      <c r="H58" s="6" t="str">
        <f>VLOOKUP(D58,'Billing CDK pivot (by package)'!A:D,4,FALSE)</f>
        <v>CAR WARS CUSTOM PACKAGE--VICTORY AUTO</v>
      </c>
      <c r="I58" s="11" t="e">
        <f>VLOOKUP(D58,'Billing CDK pivot'!A:C,3,FALSE)</f>
        <v>#N/A</v>
      </c>
      <c r="K58" s="11">
        <v>731.91272727272724</v>
      </c>
      <c r="L58" s="49" t="s">
        <v>986</v>
      </c>
    </row>
    <row r="59" spans="1:12" x14ac:dyDescent="0.35">
      <c r="A59" s="6" t="s">
        <v>1140</v>
      </c>
      <c r="B59" s="6">
        <v>59112</v>
      </c>
      <c r="C59" s="6">
        <v>16310</v>
      </c>
      <c r="D59" s="50" t="s">
        <v>1141</v>
      </c>
      <c r="E59" s="6" t="s">
        <v>1142</v>
      </c>
      <c r="H59" s="6" t="str">
        <f>VLOOKUP(D59,'Billing CDK pivot (by package)'!A:D,4,FALSE)</f>
        <v>CRM OUTBOUND TELEPHONY TRACKING (NEW AND CONVERSION)</v>
      </c>
      <c r="I59" s="11" t="e">
        <f>VLOOKUP(D59,'Billing CDK pivot'!A:C,3,FALSE)</f>
        <v>#N/A</v>
      </c>
      <c r="K59" s="11">
        <v>185</v>
      </c>
      <c r="L59" s="49" t="s">
        <v>986</v>
      </c>
    </row>
    <row r="60" spans="1:12" x14ac:dyDescent="0.35">
      <c r="A60" s="6" t="s">
        <v>1143</v>
      </c>
      <c r="B60" s="6">
        <v>59102</v>
      </c>
      <c r="C60" s="6">
        <v>16317</v>
      </c>
      <c r="D60" s="50" t="s">
        <v>1144</v>
      </c>
      <c r="E60" s="6" t="s">
        <v>1145</v>
      </c>
      <c r="H60" s="6" t="str">
        <f>VLOOKUP(D60,'Billing CDK pivot (by package)'!A:D,4,FALSE)</f>
        <v>CRM OUTBOUND TELEPHONY TRACKING (NEW AND CONVERSION)</v>
      </c>
      <c r="I60" s="11" t="e">
        <f>VLOOKUP(D60,'Billing CDK pivot'!A:C,3,FALSE)</f>
        <v>#N/A</v>
      </c>
      <c r="K60" s="11">
        <v>185</v>
      </c>
      <c r="L60" s="49" t="s">
        <v>986</v>
      </c>
    </row>
    <row r="61" spans="1:12" x14ac:dyDescent="0.35">
      <c r="A61" s="6" t="s">
        <v>1146</v>
      </c>
      <c r="B61" s="6">
        <v>72916</v>
      </c>
      <c r="C61" s="31" t="s">
        <v>1147</v>
      </c>
      <c r="D61" s="50" t="s">
        <v>1148</v>
      </c>
      <c r="E61" s="6" t="s">
        <v>1149</v>
      </c>
      <c r="H61" s="6" t="str">
        <f>VLOOKUP(D61,'Billing CDK pivot (by package)'!A:D,4,FALSE)</f>
        <v>CRM OUTBOUND TELEPHONY TRACKING (NEW AND CONVERSION)</v>
      </c>
      <c r="I61" s="11" t="e">
        <f>VLOOKUP(D61,'Billing CDK pivot'!A:C,3,FALSE)</f>
        <v>#N/A</v>
      </c>
      <c r="K61" s="11">
        <v>185</v>
      </c>
      <c r="L61" s="49" t="s">
        <v>986</v>
      </c>
    </row>
    <row r="62" spans="1:12" x14ac:dyDescent="0.35">
      <c r="A62" s="6" t="s">
        <v>1150</v>
      </c>
      <c r="B62" s="6">
        <v>59095</v>
      </c>
      <c r="C62" s="6">
        <v>16307</v>
      </c>
      <c r="D62" s="50" t="s">
        <v>1151</v>
      </c>
      <c r="E62" s="6" t="s">
        <v>1152</v>
      </c>
      <c r="H62" s="6" t="str">
        <f>VLOOKUP(D62,'Billing CDK pivot (by package)'!A:D,4,FALSE)</f>
        <v>CRM OUTBOUND TELEPHONY TRACKING (NEW AND CONVERSION)</v>
      </c>
      <c r="I62" s="11" t="e">
        <f>VLOOKUP(D62,'Billing CDK pivot'!A:C,3,FALSE)</f>
        <v>#N/A</v>
      </c>
      <c r="K62" s="11">
        <v>185</v>
      </c>
      <c r="L62" s="49" t="s">
        <v>986</v>
      </c>
    </row>
    <row r="63" spans="1:12" x14ac:dyDescent="0.35">
      <c r="A63" s="6" t="s">
        <v>1153</v>
      </c>
      <c r="B63" s="6">
        <v>59101</v>
      </c>
      <c r="C63" s="6">
        <v>16316</v>
      </c>
      <c r="D63" s="50" t="s">
        <v>1154</v>
      </c>
      <c r="E63" s="6" t="s">
        <v>1155</v>
      </c>
      <c r="H63" s="6" t="str">
        <f>VLOOKUP(D63,'Billing CDK pivot (by package)'!A:D,4,FALSE)</f>
        <v>CRM OUTBOUND TELEPHONY TRACKING (NEW AND CONVERSION)</v>
      </c>
      <c r="I63" s="11" t="e">
        <f>VLOOKUP(D63,'Billing CDK pivot'!A:C,3,FALSE)</f>
        <v>#N/A</v>
      </c>
      <c r="K63" s="11">
        <v>185</v>
      </c>
      <c r="L63" s="49" t="s">
        <v>986</v>
      </c>
    </row>
    <row r="64" spans="1:12" x14ac:dyDescent="0.35">
      <c r="A64" s="23" t="s">
        <v>1156</v>
      </c>
      <c r="B64" s="6">
        <v>59097</v>
      </c>
      <c r="C64" s="6">
        <v>16312</v>
      </c>
      <c r="D64" s="51" t="s">
        <v>1144</v>
      </c>
      <c r="E64" s="6" t="s">
        <v>1145</v>
      </c>
      <c r="G64" s="52"/>
      <c r="H64" s="6" t="str">
        <f>VLOOKUP(D64,'Billing CDK pivot (by package)'!A:D,4,FALSE)</f>
        <v>CRM OUTBOUND TELEPHONY TRACKING (NEW AND CONVERSION)</v>
      </c>
      <c r="I64" s="11" t="e">
        <f>VLOOKUP(D64,'Billing CDK pivot'!A:C,3,FALSE)</f>
        <v>#N/A</v>
      </c>
      <c r="K64" s="11">
        <v>185</v>
      </c>
      <c r="L64" s="49" t="s">
        <v>986</v>
      </c>
    </row>
    <row r="65" spans="1:12" x14ac:dyDescent="0.35">
      <c r="A65" s="6" t="s">
        <v>1157</v>
      </c>
      <c r="B65" s="6">
        <v>59098</v>
      </c>
      <c r="C65" s="6">
        <v>16313</v>
      </c>
      <c r="D65" s="50" t="s">
        <v>1158</v>
      </c>
      <c r="E65" s="6" t="s">
        <v>1159</v>
      </c>
      <c r="G65" s="52"/>
      <c r="H65" s="6" t="str">
        <f>VLOOKUP(D65,'Billing CDK pivot (by package)'!A:D,4,FALSE)</f>
        <v>CRM OUTBOUND TELEPHONY TRACKING (NEW AND CONVERSION)</v>
      </c>
      <c r="I65" s="11" t="e">
        <f>VLOOKUP(D65,'Billing CDK pivot'!A:C,3,FALSE)</f>
        <v>#N/A</v>
      </c>
      <c r="K65" s="11">
        <v>185</v>
      </c>
      <c r="L65" s="49" t="s">
        <v>986</v>
      </c>
    </row>
    <row r="66" spans="1:12" x14ac:dyDescent="0.35">
      <c r="A66" s="6" t="s">
        <v>1160</v>
      </c>
      <c r="B66" s="6">
        <v>92363</v>
      </c>
      <c r="C66" s="6">
        <v>18572</v>
      </c>
      <c r="D66" s="50" t="s">
        <v>1161</v>
      </c>
      <c r="E66" s="6" t="s">
        <v>1162</v>
      </c>
      <c r="H66" s="6" t="str">
        <f>VLOOKUP(D66,'Billing CDK pivot (by package)'!A:D,4,FALSE)</f>
        <v>CRM OUTBOUND TELEPHONY TRACKING (NEW AND CONVERSION)</v>
      </c>
      <c r="I66" s="11" t="e">
        <f>VLOOKUP(D66,'Billing CDK pivot'!A:C,3,FALSE)</f>
        <v>#N/A</v>
      </c>
      <c r="K66" s="11">
        <v>185</v>
      </c>
      <c r="L66" s="49" t="s">
        <v>986</v>
      </c>
    </row>
    <row r="67" spans="1:12" x14ac:dyDescent="0.35">
      <c r="A67" s="6" t="s">
        <v>1163</v>
      </c>
      <c r="B67" s="6">
        <v>139187</v>
      </c>
      <c r="D67" s="50" t="s">
        <v>1164</v>
      </c>
      <c r="E67" s="6" t="s">
        <v>1165</v>
      </c>
      <c r="H67" s="6" t="str">
        <f>VLOOKUP(D67,'Billing CDK pivot (by package)'!A:D,4,FALSE)</f>
        <v>CRM OUTBOUND TELEPHONY TRACKING (NEW AND CONVERSION)</v>
      </c>
      <c r="I67" s="11" t="e">
        <f>VLOOKUP(D67,'Billing CDK pivot'!A:C,3,FALSE)</f>
        <v>#N/A</v>
      </c>
      <c r="K67" s="11">
        <v>185</v>
      </c>
      <c r="L67" s="49" t="s">
        <v>986</v>
      </c>
    </row>
    <row r="68" spans="1:12" x14ac:dyDescent="0.35">
      <c r="A68" s="6" t="s">
        <v>1166</v>
      </c>
      <c r="B68" s="6">
        <v>59111</v>
      </c>
      <c r="C68" s="6">
        <v>16311</v>
      </c>
      <c r="D68" s="50" t="s">
        <v>1167</v>
      </c>
      <c r="E68" s="6" t="s">
        <v>1168</v>
      </c>
      <c r="H68" s="6" t="str">
        <f>VLOOKUP(D68,'Billing CDK pivot (by package)'!A:D,4,FALSE)</f>
        <v>CRM OUTBOUND TELEPHONY TRACKING (NEW AND CONVERSION)</v>
      </c>
      <c r="I68" s="11" t="e">
        <f>VLOOKUP(D68,'Billing CDK pivot'!A:C,3,FALSE)</f>
        <v>#N/A</v>
      </c>
      <c r="K68" s="11">
        <v>185</v>
      </c>
      <c r="L68" s="49" t="s">
        <v>986</v>
      </c>
    </row>
    <row r="69" spans="1:12" x14ac:dyDescent="0.35">
      <c r="A69" s="6" t="s">
        <v>1169</v>
      </c>
      <c r="B69" s="6">
        <v>59093</v>
      </c>
      <c r="C69" s="6">
        <v>16306</v>
      </c>
      <c r="D69" s="50" t="s">
        <v>1170</v>
      </c>
      <c r="E69" s="6" t="s">
        <v>1171</v>
      </c>
      <c r="H69" s="6" t="str">
        <f>VLOOKUP(D69,'Billing CDK pivot (by package)'!A:D,4,FALSE)</f>
        <v>CRM OUTBOUND TELEPHONY TRACKING (NEW AND CONVERSION)</v>
      </c>
      <c r="I69" s="11" t="e">
        <f>VLOOKUP(D69,'Billing CDK pivot'!A:C,3,FALSE)</f>
        <v>#N/A</v>
      </c>
      <c r="K69" s="11">
        <v>185</v>
      </c>
      <c r="L69" s="49" t="s">
        <v>986</v>
      </c>
    </row>
    <row r="70" spans="1:12" x14ac:dyDescent="0.35">
      <c r="A70" s="6" t="s">
        <v>1172</v>
      </c>
      <c r="B70" s="6">
        <v>59099</v>
      </c>
      <c r="C70" s="6">
        <v>16314</v>
      </c>
      <c r="D70" s="50" t="s">
        <v>1173</v>
      </c>
      <c r="E70" s="6" t="s">
        <v>1174</v>
      </c>
      <c r="H70" s="6" t="str">
        <f>VLOOKUP(D70,'Billing CDK pivot (by package)'!A:D,4,FALSE)</f>
        <v>CRM OUTBOUND TELEPHONY TRACKING (NEW AND CONVERSION)</v>
      </c>
      <c r="I70" s="11" t="e">
        <f>VLOOKUP(D70,'Billing CDK pivot'!A:C,3,FALSE)</f>
        <v>#N/A</v>
      </c>
      <c r="K70" s="11">
        <v>185</v>
      </c>
      <c r="L70" s="49" t="s">
        <v>986</v>
      </c>
    </row>
    <row r="71" spans="1:12" x14ac:dyDescent="0.35">
      <c r="A71" s="6" t="s">
        <v>1175</v>
      </c>
      <c r="B71" s="6">
        <v>140696</v>
      </c>
      <c r="D71" s="50" t="s">
        <v>1176</v>
      </c>
      <c r="E71" s="6" t="s">
        <v>1177</v>
      </c>
      <c r="H71" s="6" t="str">
        <f>VLOOKUP(D71,'Billing CDK pivot (by package)'!A:D,4,FALSE)</f>
        <v>CRM OUTBOUND TELEPHONY TRACKING (NEW AND CONVERSION)</v>
      </c>
      <c r="I71" s="11" t="e">
        <f>VLOOKUP(D71,'Billing CDK pivot'!A:C,3,FALSE)</f>
        <v>#N/A</v>
      </c>
      <c r="K71" s="11">
        <v>185</v>
      </c>
      <c r="L71" s="49" t="s">
        <v>986</v>
      </c>
    </row>
    <row r="72" spans="1:12" x14ac:dyDescent="0.35">
      <c r="A72" s="6" t="s">
        <v>1178</v>
      </c>
      <c r="B72" s="6">
        <v>59096</v>
      </c>
      <c r="C72" s="6">
        <v>16308</v>
      </c>
      <c r="D72" s="50" t="s">
        <v>1179</v>
      </c>
      <c r="E72" s="6" t="s">
        <v>1180</v>
      </c>
      <c r="H72" s="6" t="str">
        <f>VLOOKUP(D72,'Billing CDK pivot (by package)'!A:D,4,FALSE)</f>
        <v>CRM OUTBOUND TELEPHONY TRACKING (NEW AND CONVERSION)</v>
      </c>
      <c r="I72" s="11" t="e">
        <f>VLOOKUP(D72,'Billing CDK pivot'!A:C,3,FALSE)</f>
        <v>#N/A</v>
      </c>
      <c r="K72" s="11">
        <v>185</v>
      </c>
      <c r="L72" s="49" t="s">
        <v>986</v>
      </c>
    </row>
    <row r="73" spans="1:12" x14ac:dyDescent="0.35">
      <c r="A73" s="6" t="s">
        <v>1181</v>
      </c>
      <c r="B73" s="6">
        <v>59100</v>
      </c>
      <c r="C73" s="6">
        <v>16315</v>
      </c>
      <c r="D73" s="50" t="s">
        <v>1182</v>
      </c>
      <c r="E73" s="6" t="s">
        <v>1183</v>
      </c>
      <c r="H73" s="6" t="str">
        <f>VLOOKUP(D73,'Billing CDK pivot (by package)'!A:D,4,FALSE)</f>
        <v>CRM OUTBOUND TELEPHONY TRACKING (NEW AND CONVERSION)</v>
      </c>
      <c r="I73" s="11" t="e">
        <f>VLOOKUP(D73,'Billing CDK pivot'!A:C,3,FALSE)</f>
        <v>#N/A</v>
      </c>
      <c r="K73" s="11">
        <v>185</v>
      </c>
      <c r="L73" s="49" t="s">
        <v>986</v>
      </c>
    </row>
    <row r="74" spans="1:12" x14ac:dyDescent="0.35">
      <c r="A74" s="6" t="s">
        <v>1184</v>
      </c>
      <c r="B74" s="6">
        <v>59094</v>
      </c>
      <c r="C74" s="6">
        <v>16309</v>
      </c>
      <c r="D74" s="50" t="s">
        <v>1185</v>
      </c>
      <c r="E74" s="6" t="s">
        <v>1186</v>
      </c>
      <c r="H74" s="6" t="str">
        <f>VLOOKUP(D74,'Billing CDK pivot (by package)'!A:D,4,FALSE)</f>
        <v>CRM OUTBOUND TELEPHONY TRACKING (NEW AND CONVERSION)</v>
      </c>
      <c r="I74" s="11" t="e">
        <f>VLOOKUP(D74,'Billing CDK pivot'!A:C,3,FALSE)</f>
        <v>#N/A</v>
      </c>
      <c r="K74" s="11">
        <v>185</v>
      </c>
      <c r="L74" s="49" t="s">
        <v>986</v>
      </c>
    </row>
    <row r="75" spans="1:12" x14ac:dyDescent="0.35">
      <c r="A75" s="6" t="s">
        <v>1187</v>
      </c>
      <c r="B75" s="6">
        <v>92394</v>
      </c>
      <c r="C75" s="6">
        <v>18571</v>
      </c>
      <c r="D75" s="50" t="s">
        <v>1188</v>
      </c>
      <c r="E75" s="6" t="s">
        <v>1189</v>
      </c>
      <c r="H75" s="6" t="str">
        <f>VLOOKUP(D75,'Billing CDK pivot (by package)'!A:D,4,FALSE)</f>
        <v>CRM OUTBOUND TELEPHONY TRACKING (NEW AND CONVERSION)</v>
      </c>
      <c r="I75" s="11" t="e">
        <f>VLOOKUP(D75,'Billing CDK pivot'!A:C,3,FALSE)</f>
        <v>#N/A</v>
      </c>
      <c r="K75" s="11">
        <v>185</v>
      </c>
      <c r="L75" s="49" t="s">
        <v>986</v>
      </c>
    </row>
    <row r="76" spans="1:12" x14ac:dyDescent="0.35">
      <c r="A76" s="6" t="s">
        <v>1190</v>
      </c>
      <c r="B76" s="6">
        <v>59092</v>
      </c>
      <c r="C76" s="6">
        <v>16305</v>
      </c>
      <c r="D76" s="50" t="s">
        <v>1191</v>
      </c>
      <c r="E76" s="6" t="s">
        <v>1192</v>
      </c>
      <c r="H76" s="6" t="str">
        <f>VLOOKUP(D76,'Billing CDK pivot (by package)'!A:D,4,FALSE)</f>
        <v>CRM OUTBOUND TELEPHONY TRACKING (NEW AND CONVERSION)</v>
      </c>
      <c r="I76" s="11" t="e">
        <f>VLOOKUP(D76,'Billing CDK pivot'!A:C,3,FALSE)</f>
        <v>#N/A</v>
      </c>
      <c r="K76" s="11">
        <v>185</v>
      </c>
      <c r="L76" s="49" t="s">
        <v>986</v>
      </c>
    </row>
    <row r="77" spans="1:12" x14ac:dyDescent="0.35">
      <c r="A77" s="6" t="s">
        <v>1193</v>
      </c>
      <c r="B77" s="6">
        <v>59091</v>
      </c>
      <c r="C77" s="6">
        <v>16304</v>
      </c>
      <c r="D77" s="50" t="s">
        <v>1194</v>
      </c>
      <c r="E77" s="6" t="s">
        <v>1195</v>
      </c>
      <c r="H77" s="6" t="str">
        <f>VLOOKUP(D77,'Billing CDK pivot (by package)'!A:D,4,FALSE)</f>
        <v>CRM OUTBOUND TELEPHONY TRACKING (NEW AND CONVERSION)</v>
      </c>
      <c r="I77" s="11" t="e">
        <f>VLOOKUP(D77,'Billing CDK pivot'!A:C,3,FALSE)</f>
        <v>#N/A</v>
      </c>
      <c r="K77" s="11">
        <v>185</v>
      </c>
      <c r="L77" s="49" t="s">
        <v>986</v>
      </c>
    </row>
    <row r="78" spans="1:12" x14ac:dyDescent="0.35">
      <c r="D78" s="30"/>
    </row>
  </sheetData>
  <autoFilter ref="A2:L77" xr:uid="{CA90D5D2-6285-473D-81BF-6A902BB11B93}"/>
  <sortState xmlns:xlrd2="http://schemas.microsoft.com/office/spreadsheetml/2017/richdata2" ref="A3:L84">
    <sortCondition ref="L3:L84"/>
  </sortState>
  <mergeCells count="2">
    <mergeCell ref="A1:C1"/>
    <mergeCell ref="D1:H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533AF-C541-427D-BD38-D603E97F9F2A}">
  <dimension ref="A1:Z4"/>
  <sheetViews>
    <sheetView topLeftCell="B3" workbookViewId="0">
      <selection activeCell="H4" sqref="H4"/>
    </sheetView>
  </sheetViews>
  <sheetFormatPr defaultRowHeight="12.5" x14ac:dyDescent="0.25"/>
  <cols>
    <col min="1" max="1" width="10.81640625" bestFit="1" customWidth="1"/>
    <col min="2" max="7" width="11.453125" bestFit="1" customWidth="1"/>
    <col min="9" max="26" width="11.453125" bestFit="1" customWidth="1"/>
  </cols>
  <sheetData>
    <row r="1" spans="1:26" ht="91" x14ac:dyDescent="0.3">
      <c r="A1" s="60" t="s">
        <v>1196</v>
      </c>
    </row>
    <row r="3" spans="1:26" ht="37.5" x14ac:dyDescent="0.25">
      <c r="A3" s="54" t="s">
        <v>7</v>
      </c>
      <c r="B3" s="55" t="s">
        <v>8</v>
      </c>
      <c r="C3" s="55" t="s">
        <v>9</v>
      </c>
      <c r="D3" s="55" t="s">
        <v>10</v>
      </c>
      <c r="E3" s="55" t="s">
        <v>11</v>
      </c>
      <c r="F3" s="55" t="s">
        <v>12</v>
      </c>
      <c r="G3" s="55" t="s">
        <v>13</v>
      </c>
      <c r="H3" s="55" t="s">
        <v>14</v>
      </c>
      <c r="I3" s="55" t="s">
        <v>15</v>
      </c>
      <c r="J3" s="55" t="s">
        <v>16</v>
      </c>
      <c r="K3" s="55" t="s">
        <v>17</v>
      </c>
      <c r="L3" s="55" t="s">
        <v>18</v>
      </c>
      <c r="M3" s="55" t="s">
        <v>19</v>
      </c>
      <c r="N3" s="55" t="s">
        <v>20</v>
      </c>
      <c r="O3" s="55" t="s">
        <v>21</v>
      </c>
      <c r="P3" s="55" t="s">
        <v>22</v>
      </c>
      <c r="Q3" s="55" t="s">
        <v>23</v>
      </c>
      <c r="R3" s="55" t="s">
        <v>24</v>
      </c>
      <c r="S3" s="55" t="s">
        <v>25</v>
      </c>
      <c r="T3" s="55" t="s">
        <v>26</v>
      </c>
      <c r="U3" s="55" t="s">
        <v>27</v>
      </c>
      <c r="V3" s="55" t="s">
        <v>28</v>
      </c>
      <c r="W3" s="55" t="s">
        <v>29</v>
      </c>
      <c r="X3" s="55" t="s">
        <v>30</v>
      </c>
      <c r="Y3" s="55" t="s">
        <v>31</v>
      </c>
      <c r="Z3" s="56" t="s">
        <v>32</v>
      </c>
    </row>
    <row r="4" spans="1:26" ht="100" x14ac:dyDescent="0.25">
      <c r="A4" s="57" t="s">
        <v>327</v>
      </c>
      <c r="B4" s="58">
        <v>79668</v>
      </c>
      <c r="C4" s="58">
        <v>17662</v>
      </c>
      <c r="D4" s="58">
        <v>2844.43</v>
      </c>
      <c r="E4" s="58">
        <v>0</v>
      </c>
      <c r="F4" s="58">
        <v>254.15</v>
      </c>
      <c r="G4" s="58">
        <v>254.15</v>
      </c>
      <c r="H4" s="58">
        <v>76212445</v>
      </c>
      <c r="I4" s="58" t="s">
        <v>328</v>
      </c>
      <c r="J4" s="58"/>
      <c r="K4" s="58"/>
      <c r="L4" s="58"/>
      <c r="M4" s="58" t="s">
        <v>35</v>
      </c>
      <c r="N4" s="58" t="s">
        <v>36</v>
      </c>
      <c r="O4" s="58">
        <v>0</v>
      </c>
      <c r="P4" s="58">
        <v>0</v>
      </c>
      <c r="Q4" s="58">
        <v>0</v>
      </c>
      <c r="R4" s="58">
        <v>-254.15</v>
      </c>
      <c r="S4" s="58" t="e">
        <v>#DIV/0!</v>
      </c>
      <c r="T4" s="58" t="s">
        <v>329</v>
      </c>
      <c r="U4" s="58" t="s">
        <v>330</v>
      </c>
      <c r="V4" s="58" t="s">
        <v>39</v>
      </c>
      <c r="W4" s="58" t="s">
        <v>39</v>
      </c>
      <c r="X4" s="58" t="s">
        <v>38</v>
      </c>
      <c r="Y4" s="58" t="s">
        <v>39</v>
      </c>
      <c r="Z4" s="59" t="s">
        <v>39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92276-615A-4305-BD5F-AE930240B35E}">
  <dimension ref="A3:D24"/>
  <sheetViews>
    <sheetView tabSelected="1" topLeftCell="A6" workbookViewId="0">
      <selection activeCell="A12" sqref="A12:A13"/>
    </sheetView>
  </sheetViews>
  <sheetFormatPr defaultColWidth="16.54296875" defaultRowHeight="14.5" x14ac:dyDescent="0.35"/>
  <cols>
    <col min="1" max="1" width="45.453125" style="6" bestFit="1" customWidth="1"/>
    <col min="2" max="2" width="16.54296875" style="6"/>
    <col min="3" max="3" width="13.1796875" style="6" bestFit="1" customWidth="1"/>
    <col min="4" max="4" width="112.26953125" style="6" customWidth="1"/>
    <col min="5" max="16384" width="16.54296875" style="6"/>
  </cols>
  <sheetData>
    <row r="3" spans="1:4" ht="26" x14ac:dyDescent="0.35">
      <c r="A3" s="32" t="s">
        <v>1197</v>
      </c>
      <c r="B3" t="s">
        <v>1198</v>
      </c>
      <c r="C3" t="s">
        <v>1199</v>
      </c>
      <c r="D3" s="62" t="s">
        <v>2988</v>
      </c>
    </row>
    <row r="4" spans="1:4" ht="43.5" x14ac:dyDescent="0.35">
      <c r="A4" s="64" t="s">
        <v>37</v>
      </c>
      <c r="B4" s="64">
        <v>17</v>
      </c>
      <c r="C4" s="64">
        <v>12302.739999999998</v>
      </c>
      <c r="D4" s="63" t="s">
        <v>2989</v>
      </c>
    </row>
    <row r="5" spans="1:4" x14ac:dyDescent="0.35">
      <c r="A5" s="64" t="s">
        <v>94</v>
      </c>
      <c r="B5" s="64">
        <v>1</v>
      </c>
      <c r="C5" s="64">
        <v>495.62</v>
      </c>
      <c r="D5" s="61" t="s">
        <v>2990</v>
      </c>
    </row>
    <row r="6" spans="1:4" ht="29" x14ac:dyDescent="0.35">
      <c r="A6" s="64" t="s">
        <v>99</v>
      </c>
      <c r="B6" s="64">
        <v>1</v>
      </c>
      <c r="C6" s="64">
        <v>1653</v>
      </c>
      <c r="D6" s="63" t="s">
        <v>2994</v>
      </c>
    </row>
    <row r="7" spans="1:4" ht="29" x14ac:dyDescent="0.35">
      <c r="A7" s="64" t="s">
        <v>104</v>
      </c>
      <c r="B7" s="64">
        <v>1</v>
      </c>
      <c r="C7" s="64">
        <v>264.14999999999998</v>
      </c>
      <c r="D7" s="63" t="s">
        <v>2994</v>
      </c>
    </row>
    <row r="8" spans="1:4" ht="43.5" x14ac:dyDescent="0.35">
      <c r="A8" s="64" t="s">
        <v>107</v>
      </c>
      <c r="B8" s="64">
        <v>1</v>
      </c>
      <c r="C8" s="64">
        <v>434.15</v>
      </c>
      <c r="D8" s="63" t="s">
        <v>2993</v>
      </c>
    </row>
    <row r="9" spans="1:4" ht="43.5" x14ac:dyDescent="0.35">
      <c r="A9" s="64" t="s">
        <v>111</v>
      </c>
      <c r="B9" s="64">
        <v>1</v>
      </c>
      <c r="C9" s="64">
        <v>1581.65</v>
      </c>
      <c r="D9" s="63" t="s">
        <v>2993</v>
      </c>
    </row>
    <row r="10" spans="1:4" ht="29" x14ac:dyDescent="0.35">
      <c r="A10" s="64" t="s">
        <v>119</v>
      </c>
      <c r="B10" s="64">
        <v>4</v>
      </c>
      <c r="C10" s="64">
        <v>1941.4500000000003</v>
      </c>
      <c r="D10" s="63" t="s">
        <v>2991</v>
      </c>
    </row>
    <row r="11" spans="1:4" ht="29" x14ac:dyDescent="0.35">
      <c r="A11" s="64" t="s">
        <v>128</v>
      </c>
      <c r="B11" s="64">
        <v>1</v>
      </c>
      <c r="C11" s="64">
        <v>424.15</v>
      </c>
      <c r="D11" s="63" t="s">
        <v>2991</v>
      </c>
    </row>
    <row r="12" spans="1:4" x14ac:dyDescent="0.35">
      <c r="A12" s="64" t="s">
        <v>132</v>
      </c>
      <c r="B12" s="64">
        <v>73</v>
      </c>
      <c r="C12" s="64">
        <v>84888.83</v>
      </c>
      <c r="D12" s="63" t="s">
        <v>2992</v>
      </c>
    </row>
    <row r="13" spans="1:4" ht="29" x14ac:dyDescent="0.35">
      <c r="A13" s="64" t="s">
        <v>334</v>
      </c>
      <c r="B13" s="64">
        <v>1</v>
      </c>
      <c r="C13" s="64">
        <v>429</v>
      </c>
      <c r="D13" s="63" t="s">
        <v>2999</v>
      </c>
    </row>
    <row r="14" spans="1:4" x14ac:dyDescent="0.35">
      <c r="A14" s="64" t="s">
        <v>1200</v>
      </c>
      <c r="B14" s="64">
        <v>1</v>
      </c>
      <c r="C14" s="64">
        <v>0</v>
      </c>
      <c r="D14" s="61" t="s">
        <v>3000</v>
      </c>
    </row>
    <row r="15" spans="1:4" x14ac:dyDescent="0.35">
      <c r="A15" s="64" t="s">
        <v>340</v>
      </c>
      <c r="B15" s="64">
        <v>14</v>
      </c>
      <c r="C15" s="64">
        <v>0</v>
      </c>
      <c r="D15" s="61" t="s">
        <v>3000</v>
      </c>
    </row>
    <row r="16" spans="1:4" x14ac:dyDescent="0.35">
      <c r="A16" s="64" t="s">
        <v>1201</v>
      </c>
      <c r="B16" s="64">
        <v>4</v>
      </c>
      <c r="C16" s="64">
        <v>0</v>
      </c>
      <c r="D16" s="61" t="s">
        <v>3000</v>
      </c>
    </row>
    <row r="17" spans="1:4" ht="58" x14ac:dyDescent="0.35">
      <c r="A17" s="64" t="s">
        <v>371</v>
      </c>
      <c r="B17" s="64">
        <v>32</v>
      </c>
      <c r="C17" s="64">
        <v>12410.569999999994</v>
      </c>
      <c r="D17" s="63" t="s">
        <v>3001</v>
      </c>
    </row>
    <row r="18" spans="1:4" x14ac:dyDescent="0.35">
      <c r="A18" s="64" t="s">
        <v>410</v>
      </c>
      <c r="B18" s="64">
        <v>3</v>
      </c>
      <c r="C18" s="64">
        <v>4744.9500000000007</v>
      </c>
      <c r="D18" s="61" t="s">
        <v>2998</v>
      </c>
    </row>
    <row r="19" spans="1:4" x14ac:dyDescent="0.35">
      <c r="A19" s="64" t="s">
        <v>417</v>
      </c>
      <c r="B19" s="64">
        <v>180</v>
      </c>
      <c r="C19" s="64">
        <v>146787.41999999978</v>
      </c>
      <c r="D19" s="61" t="s">
        <v>2995</v>
      </c>
    </row>
    <row r="20" spans="1:4" x14ac:dyDescent="0.35">
      <c r="A20" s="64" t="s">
        <v>834</v>
      </c>
      <c r="B20" s="64">
        <v>45</v>
      </c>
      <c r="C20" s="64">
        <v>39255.380000000019</v>
      </c>
      <c r="D20" s="61" t="s">
        <v>2995</v>
      </c>
    </row>
    <row r="21" spans="1:4" x14ac:dyDescent="0.35">
      <c r="A21" s="64" t="s">
        <v>115</v>
      </c>
      <c r="B21" s="64">
        <v>1</v>
      </c>
      <c r="C21" s="64">
        <v>499</v>
      </c>
      <c r="D21" s="61" t="s">
        <v>2996</v>
      </c>
    </row>
    <row r="22" spans="1:4" x14ac:dyDescent="0.35">
      <c r="A22" s="64" t="s">
        <v>289</v>
      </c>
      <c r="B22" s="64"/>
      <c r="C22" s="64"/>
    </row>
    <row r="23" spans="1:4" x14ac:dyDescent="0.35">
      <c r="A23" s="64" t="s">
        <v>329</v>
      </c>
      <c r="B23" s="64">
        <v>1</v>
      </c>
      <c r="C23" s="64">
        <v>254.15</v>
      </c>
      <c r="D23" s="61" t="s">
        <v>2997</v>
      </c>
    </row>
    <row r="24" spans="1:4" x14ac:dyDescent="0.35">
      <c r="A24" s="33" t="s">
        <v>1202</v>
      </c>
      <c r="B24">
        <v>382</v>
      </c>
      <c r="C24">
        <v>308366.20999999961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638ED-EF35-4E25-A195-9EC6385B0D7D}">
  <dimension ref="A1:M722"/>
  <sheetViews>
    <sheetView topLeftCell="C1" workbookViewId="0">
      <pane ySplit="1" topLeftCell="A34" activePane="bottomLeft" state="frozen"/>
      <selection pane="bottomLeft" activeCell="G237" sqref="G237:G240"/>
    </sheetView>
  </sheetViews>
  <sheetFormatPr defaultColWidth="9.1796875" defaultRowHeight="14.5" x14ac:dyDescent="0.35"/>
  <cols>
    <col min="1" max="1" width="54.26953125" style="1" bestFit="1" customWidth="1"/>
    <col min="2" max="2" width="11.7265625" style="1" bestFit="1" customWidth="1"/>
    <col min="3" max="3" width="15.81640625" style="1" bestFit="1" customWidth="1"/>
    <col min="4" max="4" width="12.81640625" style="1" bestFit="1" customWidth="1"/>
    <col min="5" max="5" width="23.54296875" style="1" bestFit="1" customWidth="1"/>
    <col min="6" max="6" width="12.1796875" style="1" bestFit="1" customWidth="1"/>
    <col min="7" max="7" width="9.26953125" style="8" bestFit="1" customWidth="1"/>
    <col min="8" max="8" width="15.1796875" style="1" bestFit="1" customWidth="1"/>
    <col min="9" max="9" width="16.7265625" style="1" bestFit="1" customWidth="1"/>
    <col min="10" max="10" width="17.7265625" style="1" bestFit="1" customWidth="1"/>
    <col min="11" max="11" width="56.1796875" style="1" bestFit="1" customWidth="1"/>
    <col min="12" max="13" width="13.26953125" style="3" bestFit="1" customWidth="1"/>
    <col min="14" max="16384" width="9.1796875" style="6"/>
  </cols>
  <sheetData>
    <row r="1" spans="1:13" s="4" customFormat="1" x14ac:dyDescent="0.35">
      <c r="A1" s="1" t="s">
        <v>7</v>
      </c>
      <c r="B1" s="1" t="s">
        <v>8</v>
      </c>
      <c r="C1" s="1" t="s">
        <v>9</v>
      </c>
      <c r="D1" s="1" t="s">
        <v>1203</v>
      </c>
      <c r="E1" s="1" t="s">
        <v>1204</v>
      </c>
      <c r="F1" s="1" t="s">
        <v>1205</v>
      </c>
      <c r="G1" s="2" t="s">
        <v>11</v>
      </c>
      <c r="H1" s="1" t="s">
        <v>1206</v>
      </c>
      <c r="I1" s="1" t="s">
        <v>1207</v>
      </c>
      <c r="J1" s="1" t="s">
        <v>1208</v>
      </c>
      <c r="K1" s="1" t="s">
        <v>1209</v>
      </c>
      <c r="L1" s="3" t="s">
        <v>12</v>
      </c>
      <c r="M1" s="3" t="s">
        <v>1210</v>
      </c>
    </row>
    <row r="2" spans="1:13" x14ac:dyDescent="0.35">
      <c r="A2" s="1" t="s">
        <v>1211</v>
      </c>
      <c r="B2" s="1">
        <v>61934</v>
      </c>
      <c r="C2" s="1">
        <v>16480</v>
      </c>
      <c r="D2" s="1">
        <v>16</v>
      </c>
      <c r="E2" s="1">
        <v>0</v>
      </c>
      <c r="F2" s="1">
        <v>82.34</v>
      </c>
      <c r="G2" s="5"/>
      <c r="H2" s="1">
        <v>82.34</v>
      </c>
      <c r="I2" s="1">
        <v>0</v>
      </c>
      <c r="J2" s="1">
        <v>0</v>
      </c>
      <c r="K2" s="1" t="s">
        <v>1212</v>
      </c>
      <c r="L2" s="3">
        <v>254.15</v>
      </c>
      <c r="M2" s="3">
        <f t="shared" ref="M2:M65" si="0">+L2-G2</f>
        <v>254.15</v>
      </c>
    </row>
    <row r="3" spans="1:13" x14ac:dyDescent="0.35">
      <c r="A3" s="1" t="s">
        <v>1213</v>
      </c>
      <c r="B3" s="1">
        <v>8012</v>
      </c>
      <c r="D3" s="1">
        <v>2</v>
      </c>
      <c r="E3" s="1">
        <v>0</v>
      </c>
      <c r="F3" s="1">
        <v>4.67</v>
      </c>
      <c r="G3" s="5"/>
      <c r="H3" s="1">
        <v>4.67</v>
      </c>
      <c r="I3" s="1">
        <v>0</v>
      </c>
      <c r="J3" s="1">
        <v>0</v>
      </c>
      <c r="K3" s="1" t="s">
        <v>1214</v>
      </c>
      <c r="L3" s="3">
        <v>0</v>
      </c>
      <c r="M3" s="3">
        <f t="shared" si="0"/>
        <v>0</v>
      </c>
    </row>
    <row r="4" spans="1:13" x14ac:dyDescent="0.35">
      <c r="A4" s="1" t="s">
        <v>1215</v>
      </c>
      <c r="B4" s="1">
        <v>62658</v>
      </c>
      <c r="C4" s="1">
        <v>16613</v>
      </c>
      <c r="D4" s="1">
        <v>21</v>
      </c>
      <c r="E4" s="1">
        <v>0</v>
      </c>
      <c r="F4" s="1">
        <v>1890.85</v>
      </c>
      <c r="G4" s="5"/>
      <c r="H4" s="1">
        <v>1890.85</v>
      </c>
      <c r="I4" s="1">
        <v>0</v>
      </c>
      <c r="J4" s="1">
        <v>0</v>
      </c>
      <c r="K4" s="1" t="s">
        <v>1216</v>
      </c>
      <c r="L4" s="3">
        <v>254.15</v>
      </c>
      <c r="M4" s="3">
        <f t="shared" si="0"/>
        <v>254.15</v>
      </c>
    </row>
    <row r="5" spans="1:13" x14ac:dyDescent="0.35">
      <c r="A5" s="1" t="s">
        <v>472</v>
      </c>
      <c r="B5" s="1">
        <v>62657</v>
      </c>
      <c r="C5" s="1">
        <v>16614</v>
      </c>
      <c r="D5" s="1">
        <v>19</v>
      </c>
      <c r="E5" s="1">
        <v>0</v>
      </c>
      <c r="F5" s="1">
        <v>37.67</v>
      </c>
      <c r="G5" s="5"/>
      <c r="H5" s="1">
        <v>37.67</v>
      </c>
      <c r="I5" s="1">
        <v>0</v>
      </c>
      <c r="J5" s="1">
        <v>0</v>
      </c>
      <c r="K5" s="1" t="s">
        <v>1216</v>
      </c>
      <c r="L5" s="3">
        <v>254.15</v>
      </c>
      <c r="M5" s="3">
        <f t="shared" si="0"/>
        <v>254.15</v>
      </c>
    </row>
    <row r="6" spans="1:13" x14ac:dyDescent="0.35">
      <c r="A6" s="1" t="s">
        <v>472</v>
      </c>
      <c r="B6" s="1">
        <v>62657</v>
      </c>
      <c r="C6" s="1">
        <v>16614</v>
      </c>
      <c r="D6" s="1" t="s">
        <v>1217</v>
      </c>
      <c r="E6" s="1" t="s">
        <v>1217</v>
      </c>
      <c r="F6" s="1" t="s">
        <v>1217</v>
      </c>
      <c r="G6" s="5"/>
      <c r="H6" s="1" t="s">
        <v>1217</v>
      </c>
      <c r="I6" s="1" t="s">
        <v>1217</v>
      </c>
      <c r="J6" s="1" t="s">
        <v>1217</v>
      </c>
      <c r="K6" s="1" t="s">
        <v>1218</v>
      </c>
      <c r="L6" s="3">
        <v>10</v>
      </c>
      <c r="M6" s="3">
        <f t="shared" si="0"/>
        <v>10</v>
      </c>
    </row>
    <row r="7" spans="1:13" x14ac:dyDescent="0.35">
      <c r="A7" s="1" t="s">
        <v>1219</v>
      </c>
      <c r="B7" s="1">
        <v>154247</v>
      </c>
      <c r="C7" s="1">
        <v>468</v>
      </c>
      <c r="D7" s="1">
        <v>84</v>
      </c>
      <c r="E7" s="1">
        <v>0</v>
      </c>
      <c r="F7" s="1">
        <v>18325.189999999999</v>
      </c>
      <c r="G7" s="5"/>
      <c r="H7" s="1">
        <v>1395.62</v>
      </c>
      <c r="I7" s="1">
        <v>16929.57</v>
      </c>
      <c r="J7" s="1">
        <v>14001.79</v>
      </c>
      <c r="K7" s="1" t="s">
        <v>1220</v>
      </c>
      <c r="L7" s="3">
        <v>2533.85</v>
      </c>
      <c r="M7" s="3">
        <f t="shared" si="0"/>
        <v>2533.85</v>
      </c>
    </row>
    <row r="8" spans="1:13" x14ac:dyDescent="0.35">
      <c r="A8" s="1" t="s">
        <v>1219</v>
      </c>
      <c r="B8" s="1">
        <v>154247</v>
      </c>
      <c r="C8" s="1">
        <v>468</v>
      </c>
      <c r="D8" s="1" t="s">
        <v>1217</v>
      </c>
      <c r="E8" s="1" t="s">
        <v>1217</v>
      </c>
      <c r="F8" s="1" t="s">
        <v>1217</v>
      </c>
      <c r="G8" s="5"/>
      <c r="H8" s="1" t="s">
        <v>1217</v>
      </c>
      <c r="I8" s="1" t="s">
        <v>1217</v>
      </c>
      <c r="J8" s="1" t="s">
        <v>1217</v>
      </c>
      <c r="K8" s="1" t="s">
        <v>1218</v>
      </c>
      <c r="L8" s="3">
        <v>10</v>
      </c>
      <c r="M8" s="3">
        <f t="shared" si="0"/>
        <v>10</v>
      </c>
    </row>
    <row r="9" spans="1:13" x14ac:dyDescent="0.35">
      <c r="A9" s="1" t="s">
        <v>474</v>
      </c>
      <c r="B9" s="1">
        <v>149876</v>
      </c>
      <c r="C9" s="1">
        <v>27280</v>
      </c>
      <c r="D9" s="1">
        <v>11</v>
      </c>
      <c r="E9" s="1">
        <v>0</v>
      </c>
      <c r="F9" s="1">
        <v>13.35</v>
      </c>
      <c r="G9" s="5"/>
      <c r="H9" s="1">
        <v>13.35</v>
      </c>
      <c r="I9" s="1">
        <v>0</v>
      </c>
      <c r="J9" s="1">
        <v>0</v>
      </c>
      <c r="K9" s="1" t="s">
        <v>1216</v>
      </c>
      <c r="L9" s="3">
        <v>254.15</v>
      </c>
      <c r="M9" s="3">
        <f t="shared" si="0"/>
        <v>254.15</v>
      </c>
    </row>
    <row r="10" spans="1:13" x14ac:dyDescent="0.35">
      <c r="A10" s="1" t="s">
        <v>474</v>
      </c>
      <c r="B10" s="1">
        <v>149876</v>
      </c>
      <c r="C10" s="1">
        <v>27280</v>
      </c>
      <c r="D10" s="1" t="s">
        <v>1217</v>
      </c>
      <c r="E10" s="1" t="s">
        <v>1217</v>
      </c>
      <c r="F10" s="1" t="s">
        <v>1217</v>
      </c>
      <c r="G10" s="5"/>
      <c r="H10" s="1" t="s">
        <v>1217</v>
      </c>
      <c r="I10" s="1" t="s">
        <v>1217</v>
      </c>
      <c r="J10" s="1" t="s">
        <v>1217</v>
      </c>
      <c r="K10" s="1" t="s">
        <v>1218</v>
      </c>
      <c r="L10" s="3">
        <v>10</v>
      </c>
      <c r="M10" s="3">
        <f t="shared" si="0"/>
        <v>10</v>
      </c>
    </row>
    <row r="11" spans="1:13" x14ac:dyDescent="0.35">
      <c r="A11" s="1" t="s">
        <v>426</v>
      </c>
      <c r="B11" s="1">
        <v>84602</v>
      </c>
      <c r="C11" s="1" t="s">
        <v>427</v>
      </c>
      <c r="D11" s="1">
        <v>34</v>
      </c>
      <c r="E11" s="1">
        <v>0</v>
      </c>
      <c r="F11" s="1">
        <v>1140.56</v>
      </c>
      <c r="G11" s="5"/>
      <c r="H11" s="1">
        <v>102.95</v>
      </c>
      <c r="I11" s="1">
        <v>1037.6099999999999</v>
      </c>
      <c r="J11" s="1">
        <v>0</v>
      </c>
      <c r="K11" s="1" t="s">
        <v>1212</v>
      </c>
      <c r="L11" s="3">
        <v>254.15</v>
      </c>
      <c r="M11" s="3">
        <f t="shared" si="0"/>
        <v>254.15</v>
      </c>
    </row>
    <row r="12" spans="1:13" x14ac:dyDescent="0.35">
      <c r="A12" s="1" t="s">
        <v>426</v>
      </c>
      <c r="B12" s="1">
        <v>84602</v>
      </c>
      <c r="C12" s="1" t="s">
        <v>427</v>
      </c>
      <c r="D12" s="1" t="s">
        <v>1217</v>
      </c>
      <c r="E12" s="1" t="s">
        <v>1217</v>
      </c>
      <c r="F12" s="1" t="s">
        <v>1217</v>
      </c>
      <c r="G12" s="5"/>
      <c r="H12" s="1" t="s">
        <v>1217</v>
      </c>
      <c r="I12" s="1" t="s">
        <v>1217</v>
      </c>
      <c r="J12" s="1" t="s">
        <v>1217</v>
      </c>
      <c r="K12" s="1" t="s">
        <v>1218</v>
      </c>
      <c r="L12" s="3">
        <v>10</v>
      </c>
      <c r="M12" s="3">
        <f t="shared" si="0"/>
        <v>10</v>
      </c>
    </row>
    <row r="13" spans="1:13" x14ac:dyDescent="0.35">
      <c r="A13" s="1" t="s">
        <v>342</v>
      </c>
      <c r="B13" s="1">
        <v>188955</v>
      </c>
      <c r="C13" s="1">
        <v>32347</v>
      </c>
      <c r="D13" s="1">
        <v>0</v>
      </c>
      <c r="E13" s="1">
        <v>0</v>
      </c>
      <c r="F13" s="1">
        <v>0</v>
      </c>
      <c r="G13" s="5"/>
      <c r="H13" s="1">
        <v>0</v>
      </c>
      <c r="I13" s="1">
        <v>0</v>
      </c>
      <c r="J13" s="1">
        <v>0</v>
      </c>
      <c r="K13" s="1" t="s">
        <v>1214</v>
      </c>
      <c r="L13" s="3">
        <v>0</v>
      </c>
      <c r="M13" s="3">
        <f t="shared" si="0"/>
        <v>0</v>
      </c>
    </row>
    <row r="14" spans="1:13" x14ac:dyDescent="0.35">
      <c r="A14" s="1" t="s">
        <v>373</v>
      </c>
      <c r="B14" s="1">
        <v>97941</v>
      </c>
      <c r="D14" s="1">
        <v>50</v>
      </c>
      <c r="E14" s="1">
        <v>0</v>
      </c>
      <c r="F14" s="1">
        <v>79.33</v>
      </c>
      <c r="G14" s="5"/>
      <c r="H14" s="1">
        <v>16.66</v>
      </c>
      <c r="I14" s="1">
        <v>62.67</v>
      </c>
      <c r="J14" s="1">
        <v>72.02</v>
      </c>
      <c r="K14" s="1" t="s">
        <v>1221</v>
      </c>
      <c r="L14" s="3">
        <v>1294</v>
      </c>
      <c r="M14" s="3">
        <f t="shared" si="0"/>
        <v>1294</v>
      </c>
    </row>
    <row r="15" spans="1:13" x14ac:dyDescent="0.35">
      <c r="A15" s="1" t="s">
        <v>373</v>
      </c>
      <c r="B15" s="1">
        <v>97941</v>
      </c>
      <c r="D15" s="1" t="s">
        <v>1217</v>
      </c>
      <c r="E15" s="1" t="s">
        <v>1217</v>
      </c>
      <c r="F15" s="1" t="s">
        <v>1217</v>
      </c>
      <c r="G15" s="5"/>
      <c r="H15" s="1" t="s">
        <v>1217</v>
      </c>
      <c r="I15" s="1" t="s">
        <v>1217</v>
      </c>
      <c r="J15" s="1" t="s">
        <v>1217</v>
      </c>
      <c r="K15" s="1" t="s">
        <v>1218</v>
      </c>
      <c r="L15" s="3">
        <v>10</v>
      </c>
      <c r="M15" s="3">
        <f t="shared" si="0"/>
        <v>10</v>
      </c>
    </row>
    <row r="16" spans="1:13" x14ac:dyDescent="0.35">
      <c r="A16" s="1" t="s">
        <v>934</v>
      </c>
      <c r="B16" s="1">
        <v>99534</v>
      </c>
      <c r="C16" s="1">
        <v>19240</v>
      </c>
      <c r="D16" s="1">
        <v>3</v>
      </c>
      <c r="E16" s="1">
        <v>0</v>
      </c>
      <c r="F16" s="1">
        <v>6415.46</v>
      </c>
      <c r="G16" s="5">
        <v>48.31</v>
      </c>
      <c r="H16" s="1">
        <v>523.99</v>
      </c>
      <c r="I16" s="1">
        <v>5891.47</v>
      </c>
      <c r="J16" s="1">
        <v>0</v>
      </c>
      <c r="K16" s="1" t="s">
        <v>1222</v>
      </c>
      <c r="L16" s="3">
        <v>177.31</v>
      </c>
      <c r="M16" s="3">
        <f t="shared" si="0"/>
        <v>129</v>
      </c>
    </row>
    <row r="17" spans="1:13" x14ac:dyDescent="0.35">
      <c r="A17" s="1" t="s">
        <v>934</v>
      </c>
      <c r="B17" s="1">
        <v>99534</v>
      </c>
      <c r="C17" s="1">
        <v>19240</v>
      </c>
      <c r="D17" s="1" t="s">
        <v>1217</v>
      </c>
      <c r="E17" s="1" t="s">
        <v>1217</v>
      </c>
      <c r="F17" s="1" t="s">
        <v>1217</v>
      </c>
      <c r="G17" s="5"/>
      <c r="H17" s="1" t="s">
        <v>1217</v>
      </c>
      <c r="I17" s="1" t="s">
        <v>1217</v>
      </c>
      <c r="J17" s="1" t="s">
        <v>1217</v>
      </c>
      <c r="K17" s="1" t="s">
        <v>1218</v>
      </c>
      <c r="L17" s="3">
        <v>10</v>
      </c>
      <c r="M17" s="3">
        <f t="shared" si="0"/>
        <v>10</v>
      </c>
    </row>
    <row r="18" spans="1:13" x14ac:dyDescent="0.35">
      <c r="A18" s="1" t="s">
        <v>662</v>
      </c>
      <c r="B18" s="1">
        <v>187858</v>
      </c>
      <c r="C18" s="1">
        <v>30006</v>
      </c>
      <c r="D18" s="1">
        <v>12</v>
      </c>
      <c r="E18" s="1">
        <v>0</v>
      </c>
      <c r="F18" s="1">
        <v>3126.83</v>
      </c>
      <c r="G18" s="5"/>
      <c r="H18" s="1">
        <v>626.69000000000005</v>
      </c>
      <c r="I18" s="1">
        <v>2500.14</v>
      </c>
      <c r="J18" s="1">
        <v>0</v>
      </c>
      <c r="K18" s="1" t="s">
        <v>1223</v>
      </c>
      <c r="L18" s="3">
        <v>509.15</v>
      </c>
      <c r="M18" s="3">
        <f t="shared" si="0"/>
        <v>509.15</v>
      </c>
    </row>
    <row r="19" spans="1:13" x14ac:dyDescent="0.35">
      <c r="A19" s="1" t="s">
        <v>229</v>
      </c>
      <c r="B19" s="1">
        <v>84739</v>
      </c>
      <c r="C19" s="1">
        <v>18059</v>
      </c>
      <c r="D19" s="1">
        <v>10</v>
      </c>
      <c r="E19" s="1">
        <v>0</v>
      </c>
      <c r="F19" s="1">
        <v>1292.6400000000001</v>
      </c>
      <c r="G19" s="5"/>
      <c r="H19" s="1">
        <v>278.72000000000003</v>
      </c>
      <c r="I19" s="1">
        <v>1013.92</v>
      </c>
      <c r="J19" s="1">
        <v>0</v>
      </c>
      <c r="K19" s="1" t="s">
        <v>1224</v>
      </c>
      <c r="L19" s="3">
        <v>424.15</v>
      </c>
      <c r="M19" s="3">
        <f t="shared" si="0"/>
        <v>424.15</v>
      </c>
    </row>
    <row r="20" spans="1:13" x14ac:dyDescent="0.35">
      <c r="A20" s="1" t="s">
        <v>229</v>
      </c>
      <c r="B20" s="1">
        <v>84739</v>
      </c>
      <c r="C20" s="1">
        <v>18059</v>
      </c>
      <c r="D20" s="1" t="s">
        <v>1217</v>
      </c>
      <c r="E20" s="1" t="s">
        <v>1217</v>
      </c>
      <c r="F20" s="1" t="s">
        <v>1217</v>
      </c>
      <c r="G20" s="5"/>
      <c r="H20" s="1" t="s">
        <v>1217</v>
      </c>
      <c r="I20" s="1" t="s">
        <v>1217</v>
      </c>
      <c r="J20" s="1" t="s">
        <v>1217</v>
      </c>
      <c r="K20" s="1" t="s">
        <v>1218</v>
      </c>
      <c r="L20" s="3">
        <v>10</v>
      </c>
      <c r="M20" s="3">
        <f t="shared" si="0"/>
        <v>10</v>
      </c>
    </row>
    <row r="21" spans="1:13" x14ac:dyDescent="0.35">
      <c r="A21" s="1" t="s">
        <v>881</v>
      </c>
      <c r="B21" s="1">
        <v>185463</v>
      </c>
      <c r="C21" s="1">
        <v>29715</v>
      </c>
      <c r="D21" s="1">
        <v>53</v>
      </c>
      <c r="E21" s="1">
        <v>0</v>
      </c>
      <c r="F21" s="1">
        <v>3608.44</v>
      </c>
      <c r="G21" s="5"/>
      <c r="H21" s="1">
        <v>2979.4</v>
      </c>
      <c r="I21" s="1">
        <v>629.04</v>
      </c>
      <c r="J21" s="1">
        <v>2283.2800000000002</v>
      </c>
      <c r="K21" s="1" t="s">
        <v>1225</v>
      </c>
      <c r="L21" s="3">
        <v>1688</v>
      </c>
      <c r="M21" s="3">
        <f t="shared" si="0"/>
        <v>1688</v>
      </c>
    </row>
    <row r="22" spans="1:13" x14ac:dyDescent="0.35">
      <c r="A22" s="1" t="s">
        <v>881</v>
      </c>
      <c r="B22" s="1">
        <v>185463</v>
      </c>
      <c r="C22" s="1">
        <v>29715</v>
      </c>
      <c r="D22" s="1" t="s">
        <v>1217</v>
      </c>
      <c r="E22" s="1" t="s">
        <v>1217</v>
      </c>
      <c r="F22" s="1" t="s">
        <v>1217</v>
      </c>
      <c r="G22" s="5"/>
      <c r="H22" s="1" t="s">
        <v>1217</v>
      </c>
      <c r="I22" s="1" t="s">
        <v>1217</v>
      </c>
      <c r="J22" s="1" t="s">
        <v>1217</v>
      </c>
      <c r="K22" s="1" t="s">
        <v>1218</v>
      </c>
      <c r="L22" s="3">
        <v>10</v>
      </c>
      <c r="M22" s="3">
        <f t="shared" si="0"/>
        <v>10</v>
      </c>
    </row>
    <row r="23" spans="1:13" x14ac:dyDescent="0.35">
      <c r="A23" s="1" t="s">
        <v>33</v>
      </c>
      <c r="B23" s="1">
        <v>76195</v>
      </c>
      <c r="C23" s="1">
        <v>17223</v>
      </c>
      <c r="D23" s="1">
        <v>82</v>
      </c>
      <c r="E23" s="1">
        <v>0</v>
      </c>
      <c r="F23" s="1">
        <v>8351.73</v>
      </c>
      <c r="G23" s="5"/>
      <c r="H23" s="1">
        <v>8351.73</v>
      </c>
      <c r="I23" s="1">
        <v>0</v>
      </c>
      <c r="J23" s="1">
        <v>1596.02</v>
      </c>
      <c r="K23" s="1" t="s">
        <v>1226</v>
      </c>
      <c r="L23" s="3">
        <v>1571.65</v>
      </c>
      <c r="M23" s="3">
        <f t="shared" si="0"/>
        <v>1571.65</v>
      </c>
    </row>
    <row r="24" spans="1:13" x14ac:dyDescent="0.35">
      <c r="A24" s="1" t="s">
        <v>635</v>
      </c>
      <c r="B24" s="1">
        <v>96547</v>
      </c>
      <c r="C24" s="1">
        <v>7862</v>
      </c>
      <c r="D24" s="1">
        <v>37</v>
      </c>
      <c r="E24" s="1">
        <v>0</v>
      </c>
      <c r="F24" s="1">
        <v>2965.1</v>
      </c>
      <c r="G24" s="5"/>
      <c r="H24" s="1">
        <v>2894.11</v>
      </c>
      <c r="I24" s="1">
        <v>70.989999999999995</v>
      </c>
      <c r="J24" s="1">
        <v>645.70000000000005</v>
      </c>
      <c r="K24" s="1" t="s">
        <v>1226</v>
      </c>
      <c r="L24" s="3">
        <v>1571.65</v>
      </c>
      <c r="M24" s="3">
        <f t="shared" si="0"/>
        <v>1571.65</v>
      </c>
    </row>
    <row r="25" spans="1:13" x14ac:dyDescent="0.35">
      <c r="A25" s="1" t="s">
        <v>775</v>
      </c>
      <c r="B25" s="1">
        <v>142323</v>
      </c>
      <c r="C25" s="1">
        <v>22425</v>
      </c>
      <c r="D25" s="1">
        <v>14</v>
      </c>
      <c r="E25" s="1">
        <v>0</v>
      </c>
      <c r="F25" s="1">
        <v>679.89</v>
      </c>
      <c r="G25" s="5"/>
      <c r="H25" s="1">
        <v>77.33</v>
      </c>
      <c r="I25" s="1">
        <v>602.55999999999995</v>
      </c>
      <c r="J25" s="1">
        <v>0</v>
      </c>
      <c r="K25" s="1" t="s">
        <v>1224</v>
      </c>
      <c r="L25" s="3">
        <v>424.15</v>
      </c>
      <c r="M25" s="3">
        <f t="shared" si="0"/>
        <v>424.15</v>
      </c>
    </row>
    <row r="26" spans="1:13" x14ac:dyDescent="0.35">
      <c r="A26" s="1" t="s">
        <v>775</v>
      </c>
      <c r="B26" s="1">
        <v>142323</v>
      </c>
      <c r="C26" s="1">
        <v>22425</v>
      </c>
      <c r="D26" s="1" t="s">
        <v>1217</v>
      </c>
      <c r="E26" s="1" t="s">
        <v>1217</v>
      </c>
      <c r="F26" s="1" t="s">
        <v>1217</v>
      </c>
      <c r="G26" s="5"/>
      <c r="H26" s="1" t="s">
        <v>1217</v>
      </c>
      <c r="I26" s="1" t="s">
        <v>1217</v>
      </c>
      <c r="J26" s="1" t="s">
        <v>1217</v>
      </c>
      <c r="K26" s="1" t="s">
        <v>1218</v>
      </c>
      <c r="L26" s="3">
        <v>10</v>
      </c>
      <c r="M26" s="3">
        <f t="shared" si="0"/>
        <v>10</v>
      </c>
    </row>
    <row r="27" spans="1:13" x14ac:dyDescent="0.35">
      <c r="A27" s="1" t="s">
        <v>756</v>
      </c>
      <c r="B27" s="1">
        <v>74464</v>
      </c>
      <c r="C27" s="1">
        <v>16765</v>
      </c>
      <c r="D27" s="1">
        <v>129</v>
      </c>
      <c r="E27" s="1">
        <v>0</v>
      </c>
      <c r="F27" s="1">
        <v>24179.119999999999</v>
      </c>
      <c r="G27" s="5"/>
      <c r="H27" s="1">
        <v>18067.14</v>
      </c>
      <c r="I27" s="1">
        <v>6111.98</v>
      </c>
      <c r="J27" s="1">
        <v>6130.54</v>
      </c>
      <c r="K27" s="1" t="s">
        <v>1227</v>
      </c>
      <c r="L27" s="3">
        <v>1571.65</v>
      </c>
      <c r="M27" s="3">
        <f t="shared" si="0"/>
        <v>1571.65</v>
      </c>
    </row>
    <row r="28" spans="1:13" x14ac:dyDescent="0.35">
      <c r="A28" s="1" t="s">
        <v>756</v>
      </c>
      <c r="B28" s="1">
        <v>74464</v>
      </c>
      <c r="C28" s="1">
        <v>16765</v>
      </c>
      <c r="D28" s="1" t="s">
        <v>1217</v>
      </c>
      <c r="E28" s="1" t="s">
        <v>1217</v>
      </c>
      <c r="F28" s="1" t="s">
        <v>1217</v>
      </c>
      <c r="G28" s="5"/>
      <c r="H28" s="1" t="s">
        <v>1217</v>
      </c>
      <c r="I28" s="1" t="s">
        <v>1217</v>
      </c>
      <c r="J28" s="1" t="s">
        <v>1217</v>
      </c>
      <c r="K28" s="1" t="s">
        <v>1218</v>
      </c>
      <c r="L28" s="3">
        <v>10</v>
      </c>
      <c r="M28" s="3">
        <f t="shared" si="0"/>
        <v>10</v>
      </c>
    </row>
    <row r="29" spans="1:13" x14ac:dyDescent="0.35">
      <c r="A29" s="1" t="s">
        <v>109</v>
      </c>
      <c r="B29" s="1">
        <v>59246</v>
      </c>
      <c r="C29" s="1">
        <v>18577</v>
      </c>
      <c r="D29" s="1">
        <v>17</v>
      </c>
      <c r="E29" s="1">
        <v>0</v>
      </c>
      <c r="F29" s="1">
        <v>13420.63</v>
      </c>
      <c r="G29" s="5"/>
      <c r="H29" s="1">
        <v>7548.65</v>
      </c>
      <c r="I29" s="1">
        <v>5871.98</v>
      </c>
      <c r="J29" s="1">
        <v>5617.04</v>
      </c>
      <c r="K29" s="1" t="s">
        <v>1227</v>
      </c>
      <c r="L29" s="3">
        <v>1571.65</v>
      </c>
      <c r="M29" s="3">
        <f t="shared" si="0"/>
        <v>1571.65</v>
      </c>
    </row>
    <row r="30" spans="1:13" x14ac:dyDescent="0.35">
      <c r="A30" s="1" t="s">
        <v>109</v>
      </c>
      <c r="B30" s="1">
        <v>59246</v>
      </c>
      <c r="C30" s="1">
        <v>18577</v>
      </c>
      <c r="D30" s="1" t="s">
        <v>1217</v>
      </c>
      <c r="E30" s="1" t="s">
        <v>1217</v>
      </c>
      <c r="F30" s="1" t="s">
        <v>1217</v>
      </c>
      <c r="G30" s="5"/>
      <c r="H30" s="1" t="s">
        <v>1217</v>
      </c>
      <c r="I30" s="1" t="s">
        <v>1217</v>
      </c>
      <c r="J30" s="1" t="s">
        <v>1217</v>
      </c>
      <c r="K30" s="1" t="s">
        <v>1218</v>
      </c>
      <c r="L30" s="3">
        <v>10</v>
      </c>
      <c r="M30" s="3">
        <f t="shared" si="0"/>
        <v>10</v>
      </c>
    </row>
    <row r="31" spans="1:13" x14ac:dyDescent="0.35">
      <c r="A31" s="1" t="s">
        <v>40</v>
      </c>
      <c r="B31" s="1">
        <v>92128</v>
      </c>
      <c r="C31" s="1">
        <v>18596</v>
      </c>
      <c r="D31" s="1">
        <v>76</v>
      </c>
      <c r="E31" s="1">
        <v>0</v>
      </c>
      <c r="F31" s="1">
        <v>9740.35</v>
      </c>
      <c r="G31" s="5"/>
      <c r="H31" s="1">
        <v>5682.62</v>
      </c>
      <c r="I31" s="1">
        <v>4057.73</v>
      </c>
      <c r="J31" s="1">
        <v>8870.65</v>
      </c>
      <c r="K31" s="1" t="s">
        <v>1226</v>
      </c>
      <c r="L31" s="3">
        <v>1571.65</v>
      </c>
      <c r="M31" s="3">
        <f t="shared" si="0"/>
        <v>1571.65</v>
      </c>
    </row>
    <row r="32" spans="1:13" x14ac:dyDescent="0.35">
      <c r="A32" s="1" t="s">
        <v>40</v>
      </c>
      <c r="B32" s="1">
        <v>92128</v>
      </c>
      <c r="C32" s="1">
        <v>18596</v>
      </c>
      <c r="D32" s="1" t="s">
        <v>1217</v>
      </c>
      <c r="E32" s="1" t="s">
        <v>1217</v>
      </c>
      <c r="F32" s="1" t="s">
        <v>1217</v>
      </c>
      <c r="G32" s="5"/>
      <c r="H32" s="1" t="s">
        <v>1217</v>
      </c>
      <c r="I32" s="1" t="s">
        <v>1217</v>
      </c>
      <c r="J32" s="1" t="s">
        <v>1217</v>
      </c>
      <c r="K32" s="1" t="s">
        <v>1218</v>
      </c>
      <c r="L32" s="3">
        <v>10</v>
      </c>
      <c r="M32" s="3">
        <f t="shared" si="0"/>
        <v>10</v>
      </c>
    </row>
    <row r="33" spans="1:13" x14ac:dyDescent="0.35">
      <c r="A33" s="1" t="s">
        <v>629</v>
      </c>
      <c r="B33" s="1">
        <v>90311</v>
      </c>
      <c r="C33" s="1">
        <v>18246</v>
      </c>
      <c r="D33" s="1">
        <v>45</v>
      </c>
      <c r="E33" s="1">
        <v>0</v>
      </c>
      <c r="F33" s="1">
        <v>5375.75</v>
      </c>
      <c r="G33" s="5">
        <v>33.82</v>
      </c>
      <c r="H33" s="1">
        <v>255.14</v>
      </c>
      <c r="I33" s="1">
        <v>5120.6099999999997</v>
      </c>
      <c r="J33" s="1">
        <v>0</v>
      </c>
      <c r="K33" s="1" t="s">
        <v>1223</v>
      </c>
      <c r="L33" s="3">
        <v>542.97</v>
      </c>
      <c r="M33" s="3">
        <f t="shared" si="0"/>
        <v>509.15000000000003</v>
      </c>
    </row>
    <row r="34" spans="1:13" x14ac:dyDescent="0.35">
      <c r="A34" s="1" t="s">
        <v>499</v>
      </c>
      <c r="B34" s="1">
        <v>138653</v>
      </c>
      <c r="C34" s="1">
        <v>22237</v>
      </c>
      <c r="D34" s="1">
        <v>73</v>
      </c>
      <c r="E34" s="1">
        <v>0</v>
      </c>
      <c r="F34" s="1">
        <v>4.32</v>
      </c>
      <c r="G34" s="5"/>
      <c r="H34" s="1">
        <v>0.67</v>
      </c>
      <c r="I34" s="1">
        <v>3.65</v>
      </c>
      <c r="J34" s="1">
        <v>0</v>
      </c>
      <c r="K34" s="1" t="s">
        <v>1220</v>
      </c>
      <c r="L34" s="3">
        <v>2533.85</v>
      </c>
      <c r="M34" s="3">
        <f t="shared" si="0"/>
        <v>2533.85</v>
      </c>
    </row>
    <row r="35" spans="1:13" x14ac:dyDescent="0.35">
      <c r="A35" s="1" t="s">
        <v>499</v>
      </c>
      <c r="B35" s="1">
        <v>138653</v>
      </c>
      <c r="C35" s="1">
        <v>22237</v>
      </c>
      <c r="D35" s="1" t="s">
        <v>1217</v>
      </c>
      <c r="E35" s="1" t="s">
        <v>1217</v>
      </c>
      <c r="F35" s="1" t="s">
        <v>1217</v>
      </c>
      <c r="G35" s="5"/>
      <c r="H35" s="1" t="s">
        <v>1217</v>
      </c>
      <c r="I35" s="1" t="s">
        <v>1217</v>
      </c>
      <c r="J35" s="1" t="s">
        <v>1217</v>
      </c>
      <c r="K35" s="1" t="s">
        <v>1218</v>
      </c>
      <c r="L35" s="3">
        <v>10</v>
      </c>
      <c r="M35" s="3">
        <f t="shared" si="0"/>
        <v>10</v>
      </c>
    </row>
    <row r="36" spans="1:13" x14ac:dyDescent="0.35">
      <c r="A36" s="1" t="s">
        <v>343</v>
      </c>
      <c r="B36" s="1">
        <v>159842</v>
      </c>
      <c r="C36" s="1">
        <v>29415</v>
      </c>
      <c r="D36" s="1">
        <v>0</v>
      </c>
      <c r="E36" s="1">
        <v>0</v>
      </c>
      <c r="F36" s="1">
        <v>0</v>
      </c>
      <c r="G36" s="5"/>
      <c r="H36" s="1">
        <v>0</v>
      </c>
      <c r="I36" s="1">
        <v>0</v>
      </c>
      <c r="J36" s="1">
        <v>0</v>
      </c>
      <c r="K36" s="1" t="s">
        <v>1214</v>
      </c>
      <c r="L36" s="3">
        <v>0</v>
      </c>
      <c r="M36" s="3">
        <f t="shared" si="0"/>
        <v>0</v>
      </c>
    </row>
    <row r="37" spans="1:13" x14ac:dyDescent="0.35">
      <c r="A37" s="1" t="s">
        <v>140</v>
      </c>
      <c r="B37" s="1">
        <v>154578</v>
      </c>
      <c r="C37" s="1">
        <v>27016</v>
      </c>
      <c r="D37" s="1">
        <v>54</v>
      </c>
      <c r="E37" s="1">
        <v>0</v>
      </c>
      <c r="F37" s="1">
        <v>14366.1</v>
      </c>
      <c r="G37" s="5"/>
      <c r="H37" s="1">
        <v>4792.49</v>
      </c>
      <c r="I37" s="1">
        <v>9573.61</v>
      </c>
      <c r="J37" s="1">
        <v>12831.22</v>
      </c>
      <c r="K37" s="1" t="s">
        <v>1227</v>
      </c>
      <c r="L37" s="3">
        <v>1571.65</v>
      </c>
      <c r="M37" s="3">
        <f t="shared" si="0"/>
        <v>1571.65</v>
      </c>
    </row>
    <row r="38" spans="1:13" x14ac:dyDescent="0.35">
      <c r="A38" s="1" t="s">
        <v>140</v>
      </c>
      <c r="B38" s="1">
        <v>154578</v>
      </c>
      <c r="C38" s="1">
        <v>27016</v>
      </c>
      <c r="D38" s="1" t="s">
        <v>1217</v>
      </c>
      <c r="E38" s="1" t="s">
        <v>1217</v>
      </c>
      <c r="F38" s="1" t="s">
        <v>1217</v>
      </c>
      <c r="G38" s="5"/>
      <c r="H38" s="1" t="s">
        <v>1217</v>
      </c>
      <c r="I38" s="1" t="s">
        <v>1217</v>
      </c>
      <c r="J38" s="1" t="s">
        <v>1217</v>
      </c>
      <c r="K38" s="1" t="s">
        <v>1218</v>
      </c>
      <c r="L38" s="3">
        <v>10</v>
      </c>
      <c r="M38" s="3">
        <f t="shared" si="0"/>
        <v>10</v>
      </c>
    </row>
    <row r="39" spans="1:13" x14ac:dyDescent="0.35">
      <c r="A39" s="1" t="s">
        <v>792</v>
      </c>
      <c r="B39" s="1">
        <v>61123</v>
      </c>
      <c r="C39" s="1">
        <v>7279</v>
      </c>
      <c r="D39" s="1">
        <v>30</v>
      </c>
      <c r="E39" s="1">
        <v>0</v>
      </c>
      <c r="F39" s="1">
        <v>5108.68</v>
      </c>
      <c r="G39" s="5">
        <v>76.5</v>
      </c>
      <c r="H39" s="1">
        <v>3173.73</v>
      </c>
      <c r="I39" s="1">
        <v>1934.95</v>
      </c>
      <c r="J39" s="1">
        <v>0</v>
      </c>
      <c r="K39" s="1" t="s">
        <v>1212</v>
      </c>
      <c r="L39" s="3">
        <v>330.65</v>
      </c>
      <c r="M39" s="3">
        <f t="shared" si="0"/>
        <v>254.14999999999998</v>
      </c>
    </row>
    <row r="40" spans="1:13" x14ac:dyDescent="0.35">
      <c r="A40" s="1" t="s">
        <v>792</v>
      </c>
      <c r="B40" s="1">
        <v>61123</v>
      </c>
      <c r="C40" s="1">
        <v>7279</v>
      </c>
      <c r="D40" s="1" t="s">
        <v>1217</v>
      </c>
      <c r="E40" s="1" t="s">
        <v>1217</v>
      </c>
      <c r="F40" s="1" t="s">
        <v>1217</v>
      </c>
      <c r="G40" s="5"/>
      <c r="H40" s="1" t="s">
        <v>1217</v>
      </c>
      <c r="I40" s="1" t="s">
        <v>1217</v>
      </c>
      <c r="J40" s="1" t="s">
        <v>1217</v>
      </c>
      <c r="K40" s="1" t="s">
        <v>1218</v>
      </c>
      <c r="L40" s="3">
        <v>10</v>
      </c>
      <c r="M40" s="3">
        <f t="shared" si="0"/>
        <v>10</v>
      </c>
    </row>
    <row r="41" spans="1:13" x14ac:dyDescent="0.35">
      <c r="A41" s="1" t="s">
        <v>802</v>
      </c>
      <c r="B41" s="1">
        <v>61125</v>
      </c>
      <c r="C41" s="1">
        <v>16270</v>
      </c>
      <c r="D41" s="1">
        <v>24</v>
      </c>
      <c r="E41" s="1">
        <v>0</v>
      </c>
      <c r="F41" s="1">
        <v>2834.74</v>
      </c>
      <c r="G41" s="5"/>
      <c r="H41" s="1">
        <v>1272.55</v>
      </c>
      <c r="I41" s="1">
        <v>1562.19</v>
      </c>
      <c r="J41" s="1">
        <v>0</v>
      </c>
      <c r="K41" s="1" t="s">
        <v>1212</v>
      </c>
      <c r="L41" s="3">
        <v>254.15</v>
      </c>
      <c r="M41" s="3">
        <f t="shared" si="0"/>
        <v>254.15</v>
      </c>
    </row>
    <row r="42" spans="1:13" x14ac:dyDescent="0.35">
      <c r="A42" s="1" t="s">
        <v>802</v>
      </c>
      <c r="B42" s="1">
        <v>61125</v>
      </c>
      <c r="C42" s="1">
        <v>16270</v>
      </c>
      <c r="D42" s="1" t="s">
        <v>1217</v>
      </c>
      <c r="E42" s="1" t="s">
        <v>1217</v>
      </c>
      <c r="F42" s="1" t="s">
        <v>1217</v>
      </c>
      <c r="G42" s="5"/>
      <c r="H42" s="1" t="s">
        <v>1217</v>
      </c>
      <c r="I42" s="1" t="s">
        <v>1217</v>
      </c>
      <c r="J42" s="1" t="s">
        <v>1217</v>
      </c>
      <c r="K42" s="1" t="s">
        <v>1218</v>
      </c>
      <c r="L42" s="3">
        <v>10</v>
      </c>
      <c r="M42" s="3">
        <f t="shared" si="0"/>
        <v>10</v>
      </c>
    </row>
    <row r="43" spans="1:13" x14ac:dyDescent="0.35">
      <c r="A43" s="1" t="s">
        <v>877</v>
      </c>
      <c r="B43" s="1">
        <v>61126</v>
      </c>
      <c r="C43" s="1">
        <v>16271</v>
      </c>
      <c r="D43" s="1">
        <v>25</v>
      </c>
      <c r="E43" s="1">
        <v>0</v>
      </c>
      <c r="F43" s="1">
        <v>266.63</v>
      </c>
      <c r="G43" s="5"/>
      <c r="H43" s="1">
        <v>125.99</v>
      </c>
      <c r="I43" s="1">
        <v>140.63999999999999</v>
      </c>
      <c r="J43" s="1">
        <v>0</v>
      </c>
      <c r="K43" s="1" t="s">
        <v>1212</v>
      </c>
      <c r="L43" s="3">
        <v>254.15</v>
      </c>
      <c r="M43" s="3">
        <f t="shared" si="0"/>
        <v>254.15</v>
      </c>
    </row>
    <row r="44" spans="1:13" x14ac:dyDescent="0.35">
      <c r="A44" s="1" t="s">
        <v>344</v>
      </c>
      <c r="B44" s="1">
        <v>143336</v>
      </c>
      <c r="C44" s="1">
        <v>123456</v>
      </c>
      <c r="D44" s="1">
        <v>2</v>
      </c>
      <c r="E44" s="1">
        <v>0</v>
      </c>
      <c r="F44" s="1">
        <v>0</v>
      </c>
      <c r="G44" s="5"/>
      <c r="H44" s="1">
        <v>0</v>
      </c>
      <c r="I44" s="1">
        <v>0</v>
      </c>
      <c r="J44" s="1">
        <v>0</v>
      </c>
      <c r="K44" s="1" t="s">
        <v>1214</v>
      </c>
      <c r="L44" s="3">
        <v>0</v>
      </c>
      <c r="M44" s="3">
        <f t="shared" si="0"/>
        <v>0</v>
      </c>
    </row>
    <row r="45" spans="1:13" x14ac:dyDescent="0.35">
      <c r="A45" s="1" t="s">
        <v>376</v>
      </c>
      <c r="B45" s="1">
        <v>36446</v>
      </c>
      <c r="C45" s="1">
        <v>10556</v>
      </c>
      <c r="D45" s="1">
        <v>15</v>
      </c>
      <c r="E45" s="1">
        <v>0</v>
      </c>
      <c r="F45" s="1">
        <v>41.02</v>
      </c>
      <c r="G45" s="5"/>
      <c r="H45" s="1">
        <v>41.02</v>
      </c>
      <c r="I45" s="1">
        <v>0</v>
      </c>
      <c r="J45" s="1">
        <v>40.69</v>
      </c>
      <c r="K45" s="1" t="s">
        <v>1228</v>
      </c>
      <c r="L45" s="3">
        <v>710</v>
      </c>
      <c r="M45" s="3">
        <f t="shared" si="0"/>
        <v>710</v>
      </c>
    </row>
    <row r="46" spans="1:13" x14ac:dyDescent="0.35">
      <c r="A46" s="1" t="s">
        <v>645</v>
      </c>
      <c r="B46" s="1">
        <v>144287</v>
      </c>
      <c r="C46" s="1">
        <v>24709</v>
      </c>
      <c r="D46" s="1">
        <v>15</v>
      </c>
      <c r="E46" s="1">
        <v>0</v>
      </c>
      <c r="F46" s="1">
        <v>746.64</v>
      </c>
      <c r="G46" s="5"/>
      <c r="H46" s="1">
        <v>746.31</v>
      </c>
      <c r="I46" s="1">
        <v>0.33</v>
      </c>
      <c r="J46" s="1">
        <v>0</v>
      </c>
      <c r="K46" s="1" t="s">
        <v>1223</v>
      </c>
      <c r="L46" s="3">
        <v>509.15</v>
      </c>
      <c r="M46" s="3">
        <f t="shared" si="0"/>
        <v>509.15</v>
      </c>
    </row>
    <row r="47" spans="1:13" x14ac:dyDescent="0.35">
      <c r="A47" s="1" t="s">
        <v>671</v>
      </c>
      <c r="B47" s="1">
        <v>141461</v>
      </c>
      <c r="C47" s="1">
        <v>22159</v>
      </c>
      <c r="D47" s="1">
        <v>11</v>
      </c>
      <c r="E47" s="1">
        <v>0</v>
      </c>
      <c r="F47" s="1">
        <v>6171.14</v>
      </c>
      <c r="G47" s="5">
        <v>184.31</v>
      </c>
      <c r="H47" s="1">
        <v>1777.18</v>
      </c>
      <c r="I47" s="1">
        <v>4393.96</v>
      </c>
      <c r="J47" s="1">
        <v>0</v>
      </c>
      <c r="K47" s="1" t="s">
        <v>1216</v>
      </c>
      <c r="L47" s="3">
        <v>438.46</v>
      </c>
      <c r="M47" s="3">
        <f t="shared" si="0"/>
        <v>254.14999999999998</v>
      </c>
    </row>
    <row r="48" spans="1:13" x14ac:dyDescent="0.35">
      <c r="A48" s="1" t="s">
        <v>671</v>
      </c>
      <c r="B48" s="1">
        <v>141461</v>
      </c>
      <c r="C48" s="1">
        <v>22159</v>
      </c>
      <c r="D48" s="1" t="s">
        <v>1217</v>
      </c>
      <c r="E48" s="1" t="s">
        <v>1217</v>
      </c>
      <c r="F48" s="1" t="s">
        <v>1217</v>
      </c>
      <c r="G48" s="5"/>
      <c r="H48" s="1" t="s">
        <v>1217</v>
      </c>
      <c r="I48" s="1" t="s">
        <v>1217</v>
      </c>
      <c r="J48" s="1" t="s">
        <v>1217</v>
      </c>
      <c r="K48" s="1" t="s">
        <v>1218</v>
      </c>
      <c r="L48" s="3">
        <v>10</v>
      </c>
      <c r="M48" s="3">
        <f t="shared" si="0"/>
        <v>10</v>
      </c>
    </row>
    <row r="49" spans="1:13" x14ac:dyDescent="0.35">
      <c r="A49" s="1" t="s">
        <v>667</v>
      </c>
      <c r="B49" s="1">
        <v>156703</v>
      </c>
      <c r="C49" s="1">
        <v>29023</v>
      </c>
      <c r="D49" s="1">
        <v>10</v>
      </c>
      <c r="E49" s="1">
        <v>0</v>
      </c>
      <c r="F49" s="1">
        <v>4685.8599999999997</v>
      </c>
      <c r="G49" s="5">
        <v>81.819999999999993</v>
      </c>
      <c r="H49" s="1">
        <v>777.91</v>
      </c>
      <c r="I49" s="1">
        <v>3907.95</v>
      </c>
      <c r="J49" s="1">
        <v>0</v>
      </c>
      <c r="K49" s="1" t="s">
        <v>1216</v>
      </c>
      <c r="L49" s="3">
        <v>335.97</v>
      </c>
      <c r="M49" s="3">
        <f t="shared" si="0"/>
        <v>254.15000000000003</v>
      </c>
    </row>
    <row r="50" spans="1:13" x14ac:dyDescent="0.35">
      <c r="A50" s="1" t="s">
        <v>667</v>
      </c>
      <c r="B50" s="1">
        <v>156703</v>
      </c>
      <c r="C50" s="1">
        <v>29023</v>
      </c>
      <c r="D50" s="1" t="s">
        <v>1217</v>
      </c>
      <c r="E50" s="1" t="s">
        <v>1217</v>
      </c>
      <c r="F50" s="1" t="s">
        <v>1217</v>
      </c>
      <c r="G50" s="5"/>
      <c r="H50" s="1" t="s">
        <v>1217</v>
      </c>
      <c r="I50" s="1" t="s">
        <v>1217</v>
      </c>
      <c r="J50" s="1" t="s">
        <v>1217</v>
      </c>
      <c r="K50" s="1" t="s">
        <v>1218</v>
      </c>
      <c r="L50" s="3">
        <v>10</v>
      </c>
      <c r="M50" s="3">
        <f t="shared" si="0"/>
        <v>10</v>
      </c>
    </row>
    <row r="51" spans="1:13" x14ac:dyDescent="0.35">
      <c r="A51" s="1" t="s">
        <v>673</v>
      </c>
      <c r="B51" s="1">
        <v>74078</v>
      </c>
      <c r="C51" s="1">
        <v>5068</v>
      </c>
      <c r="D51" s="1">
        <v>14</v>
      </c>
      <c r="E51" s="1">
        <v>0</v>
      </c>
      <c r="F51" s="1">
        <v>4458.1899999999996</v>
      </c>
      <c r="G51" s="5">
        <v>31.62</v>
      </c>
      <c r="H51" s="1">
        <v>2637.44</v>
      </c>
      <c r="I51" s="1">
        <v>1820.75</v>
      </c>
      <c r="J51" s="1">
        <v>0</v>
      </c>
      <c r="K51" s="1" t="s">
        <v>1212</v>
      </c>
      <c r="L51" s="3">
        <v>285.77</v>
      </c>
      <c r="M51" s="3">
        <f t="shared" si="0"/>
        <v>254.14999999999998</v>
      </c>
    </row>
    <row r="52" spans="1:13" x14ac:dyDescent="0.35">
      <c r="A52" s="1" t="s">
        <v>673</v>
      </c>
      <c r="B52" s="1">
        <v>74078</v>
      </c>
      <c r="C52" s="1">
        <v>5068</v>
      </c>
      <c r="D52" s="1" t="s">
        <v>1217</v>
      </c>
      <c r="E52" s="1" t="s">
        <v>1217</v>
      </c>
      <c r="F52" s="1" t="s">
        <v>1217</v>
      </c>
      <c r="G52" s="5"/>
      <c r="H52" s="1" t="s">
        <v>1217</v>
      </c>
      <c r="I52" s="1" t="s">
        <v>1217</v>
      </c>
      <c r="J52" s="1" t="s">
        <v>1217</v>
      </c>
      <c r="K52" s="1" t="s">
        <v>1218</v>
      </c>
      <c r="L52" s="3">
        <v>10</v>
      </c>
      <c r="M52" s="3">
        <f t="shared" si="0"/>
        <v>10</v>
      </c>
    </row>
    <row r="53" spans="1:13" x14ac:dyDescent="0.35">
      <c r="A53" s="1" t="s">
        <v>942</v>
      </c>
      <c r="B53" s="1">
        <v>50391</v>
      </c>
      <c r="C53" s="1">
        <v>15178</v>
      </c>
      <c r="D53" s="1">
        <v>2</v>
      </c>
      <c r="E53" s="1">
        <v>0</v>
      </c>
      <c r="F53" s="1">
        <v>4384.01</v>
      </c>
      <c r="G53" s="5">
        <v>7.68</v>
      </c>
      <c r="H53" s="1">
        <v>323.89</v>
      </c>
      <c r="I53" s="1">
        <v>4060.12</v>
      </c>
      <c r="J53" s="1">
        <v>0</v>
      </c>
      <c r="K53" s="1" t="s">
        <v>1222</v>
      </c>
      <c r="L53" s="3">
        <v>136.68</v>
      </c>
      <c r="M53" s="3">
        <f t="shared" si="0"/>
        <v>129</v>
      </c>
    </row>
    <row r="54" spans="1:13" x14ac:dyDescent="0.35">
      <c r="A54" s="1" t="s">
        <v>942</v>
      </c>
      <c r="B54" s="1">
        <v>50391</v>
      </c>
      <c r="C54" s="1">
        <v>15178</v>
      </c>
      <c r="D54" s="1" t="s">
        <v>1217</v>
      </c>
      <c r="E54" s="1" t="s">
        <v>1217</v>
      </c>
      <c r="F54" s="1" t="s">
        <v>1217</v>
      </c>
      <c r="G54" s="5"/>
      <c r="H54" s="1" t="s">
        <v>1217</v>
      </c>
      <c r="I54" s="1" t="s">
        <v>1217</v>
      </c>
      <c r="J54" s="1" t="s">
        <v>1217</v>
      </c>
      <c r="K54" s="1" t="s">
        <v>1218</v>
      </c>
      <c r="L54" s="3">
        <v>10</v>
      </c>
      <c r="M54" s="3">
        <f t="shared" si="0"/>
        <v>10</v>
      </c>
    </row>
    <row r="55" spans="1:13" x14ac:dyDescent="0.35">
      <c r="A55" s="1" t="s">
        <v>45</v>
      </c>
      <c r="B55" s="1">
        <v>90338</v>
      </c>
      <c r="C55" s="1">
        <v>8230</v>
      </c>
      <c r="D55" s="1">
        <v>19</v>
      </c>
      <c r="E55" s="1">
        <v>0</v>
      </c>
      <c r="F55" s="1">
        <v>2477.75</v>
      </c>
      <c r="G55" s="5"/>
      <c r="H55" s="1">
        <v>267.36</v>
      </c>
      <c r="I55" s="1">
        <v>2210.39</v>
      </c>
      <c r="J55" s="1">
        <v>0</v>
      </c>
      <c r="K55" s="1" t="s">
        <v>1212</v>
      </c>
      <c r="L55" s="3">
        <v>254.15</v>
      </c>
      <c r="M55" s="3">
        <f t="shared" si="0"/>
        <v>254.15</v>
      </c>
    </row>
    <row r="56" spans="1:13" x14ac:dyDescent="0.35">
      <c r="A56" s="1" t="s">
        <v>45</v>
      </c>
      <c r="B56" s="1">
        <v>90338</v>
      </c>
      <c r="C56" s="1">
        <v>8230</v>
      </c>
      <c r="D56" s="1" t="s">
        <v>1217</v>
      </c>
      <c r="E56" s="1" t="s">
        <v>1217</v>
      </c>
      <c r="F56" s="1" t="s">
        <v>1217</v>
      </c>
      <c r="G56" s="5"/>
      <c r="H56" s="1" t="s">
        <v>1217</v>
      </c>
      <c r="I56" s="1" t="s">
        <v>1217</v>
      </c>
      <c r="J56" s="1" t="s">
        <v>1217</v>
      </c>
      <c r="K56" s="1" t="s">
        <v>1218</v>
      </c>
      <c r="L56" s="3">
        <v>10</v>
      </c>
      <c r="M56" s="3">
        <f t="shared" si="0"/>
        <v>10</v>
      </c>
    </row>
    <row r="57" spans="1:13" x14ac:dyDescent="0.35">
      <c r="A57" s="1" t="s">
        <v>720</v>
      </c>
      <c r="B57" s="1">
        <v>79776</v>
      </c>
      <c r="C57" s="1">
        <v>17654</v>
      </c>
      <c r="D57" s="1">
        <v>53</v>
      </c>
      <c r="E57" s="1">
        <v>0</v>
      </c>
      <c r="F57" s="1">
        <v>18972.27</v>
      </c>
      <c r="G57" s="5"/>
      <c r="H57" s="1">
        <v>13251.63</v>
      </c>
      <c r="I57" s="1">
        <v>5720.64</v>
      </c>
      <c r="J57" s="1">
        <v>6623.52</v>
      </c>
      <c r="K57" s="1" t="s">
        <v>1220</v>
      </c>
      <c r="L57" s="3">
        <v>2533.85</v>
      </c>
      <c r="M57" s="3">
        <f t="shared" si="0"/>
        <v>2533.85</v>
      </c>
    </row>
    <row r="58" spans="1:13" x14ac:dyDescent="0.35">
      <c r="A58" s="1" t="s">
        <v>377</v>
      </c>
      <c r="B58" s="1">
        <v>46371</v>
      </c>
      <c r="C58" s="1">
        <v>11519</v>
      </c>
      <c r="D58" s="1">
        <v>2</v>
      </c>
      <c r="E58" s="1">
        <v>0</v>
      </c>
      <c r="F58" s="1">
        <v>3112.69</v>
      </c>
      <c r="G58" s="5"/>
      <c r="H58" s="1">
        <v>0</v>
      </c>
      <c r="I58" s="1">
        <v>3112.69</v>
      </c>
      <c r="J58" s="1">
        <v>0</v>
      </c>
      <c r="K58" s="1" t="s">
        <v>1222</v>
      </c>
      <c r="L58" s="3">
        <v>129</v>
      </c>
      <c r="M58" s="3">
        <f t="shared" si="0"/>
        <v>129</v>
      </c>
    </row>
    <row r="59" spans="1:13" x14ac:dyDescent="0.35">
      <c r="A59" s="1" t="s">
        <v>377</v>
      </c>
      <c r="B59" s="1">
        <v>46371</v>
      </c>
      <c r="C59" s="1">
        <v>11519</v>
      </c>
      <c r="D59" s="1" t="s">
        <v>1217</v>
      </c>
      <c r="E59" s="1" t="s">
        <v>1217</v>
      </c>
      <c r="F59" s="1" t="s">
        <v>1217</v>
      </c>
      <c r="G59" s="5"/>
      <c r="H59" s="1" t="s">
        <v>1217</v>
      </c>
      <c r="I59" s="1" t="s">
        <v>1217</v>
      </c>
      <c r="J59" s="1" t="s">
        <v>1217</v>
      </c>
      <c r="K59" s="1" t="s">
        <v>1218</v>
      </c>
      <c r="L59" s="3">
        <v>10</v>
      </c>
      <c r="M59" s="3">
        <f t="shared" si="0"/>
        <v>10</v>
      </c>
    </row>
    <row r="60" spans="1:13" x14ac:dyDescent="0.35">
      <c r="A60" s="1" t="s">
        <v>379</v>
      </c>
      <c r="B60" s="1">
        <v>46376</v>
      </c>
      <c r="C60" s="1">
        <v>15064</v>
      </c>
      <c r="D60" s="1">
        <v>2</v>
      </c>
      <c r="E60" s="1">
        <v>0</v>
      </c>
      <c r="F60" s="1">
        <v>4038.14</v>
      </c>
      <c r="G60" s="5">
        <v>0.76</v>
      </c>
      <c r="H60" s="1">
        <v>296.83999999999997</v>
      </c>
      <c r="I60" s="1">
        <v>3741.3</v>
      </c>
      <c r="J60" s="1">
        <v>0</v>
      </c>
      <c r="K60" s="1" t="s">
        <v>1222</v>
      </c>
      <c r="L60" s="3">
        <v>129.76</v>
      </c>
      <c r="M60" s="3">
        <f t="shared" si="0"/>
        <v>129</v>
      </c>
    </row>
    <row r="61" spans="1:13" x14ac:dyDescent="0.35">
      <c r="A61" s="1" t="s">
        <v>435</v>
      </c>
      <c r="B61" s="1">
        <v>84596</v>
      </c>
      <c r="C61" s="1">
        <v>17024</v>
      </c>
      <c r="D61" s="1">
        <v>4</v>
      </c>
      <c r="E61" s="1">
        <v>0</v>
      </c>
      <c r="F61" s="1">
        <v>23.66</v>
      </c>
      <c r="G61" s="5"/>
      <c r="H61" s="1">
        <v>22.66</v>
      </c>
      <c r="I61" s="1">
        <v>1</v>
      </c>
      <c r="J61" s="1">
        <v>0</v>
      </c>
      <c r="K61" s="1" t="s">
        <v>1212</v>
      </c>
      <c r="L61" s="3">
        <v>254.15</v>
      </c>
      <c r="M61" s="3">
        <f t="shared" si="0"/>
        <v>254.15</v>
      </c>
    </row>
    <row r="62" spans="1:13" x14ac:dyDescent="0.35">
      <c r="A62" s="1" t="s">
        <v>469</v>
      </c>
      <c r="B62" s="1">
        <v>147556</v>
      </c>
      <c r="C62" s="1">
        <v>26427</v>
      </c>
      <c r="D62" s="1">
        <v>14</v>
      </c>
      <c r="E62" s="1">
        <v>0</v>
      </c>
      <c r="F62" s="1">
        <v>5634.21</v>
      </c>
      <c r="G62" s="5">
        <v>147.26</v>
      </c>
      <c r="H62" s="1">
        <v>26.05</v>
      </c>
      <c r="I62" s="1">
        <v>5608.16</v>
      </c>
      <c r="J62" s="1">
        <v>0</v>
      </c>
      <c r="K62" s="1" t="s">
        <v>1216</v>
      </c>
      <c r="L62" s="3">
        <v>401.41</v>
      </c>
      <c r="M62" s="3">
        <f t="shared" si="0"/>
        <v>254.15000000000003</v>
      </c>
    </row>
    <row r="63" spans="1:13" x14ac:dyDescent="0.35">
      <c r="A63" s="1" t="s">
        <v>469</v>
      </c>
      <c r="B63" s="1">
        <v>147556</v>
      </c>
      <c r="C63" s="1">
        <v>26427</v>
      </c>
      <c r="D63" s="1" t="s">
        <v>1217</v>
      </c>
      <c r="E63" s="1" t="s">
        <v>1217</v>
      </c>
      <c r="F63" s="1" t="s">
        <v>1217</v>
      </c>
      <c r="G63" s="5"/>
      <c r="H63" s="1" t="s">
        <v>1217</v>
      </c>
      <c r="I63" s="1" t="s">
        <v>1217</v>
      </c>
      <c r="J63" s="1" t="s">
        <v>1217</v>
      </c>
      <c r="K63" s="1" t="s">
        <v>1218</v>
      </c>
      <c r="L63" s="3">
        <v>10</v>
      </c>
      <c r="M63" s="3">
        <f t="shared" si="0"/>
        <v>10</v>
      </c>
    </row>
    <row r="64" spans="1:13" x14ac:dyDescent="0.35">
      <c r="A64" s="1" t="s">
        <v>502</v>
      </c>
      <c r="B64" s="1">
        <v>149326</v>
      </c>
      <c r="C64" s="1">
        <v>26939</v>
      </c>
      <c r="D64" s="1">
        <v>5</v>
      </c>
      <c r="E64" s="1">
        <v>0</v>
      </c>
      <c r="F64" s="1">
        <v>460.01</v>
      </c>
      <c r="G64" s="5"/>
      <c r="H64" s="1">
        <v>35.68</v>
      </c>
      <c r="I64" s="1">
        <v>424.33</v>
      </c>
      <c r="J64" s="1">
        <v>0</v>
      </c>
      <c r="K64" s="1" t="s">
        <v>1224</v>
      </c>
      <c r="L64" s="3">
        <v>424.15</v>
      </c>
      <c r="M64" s="3">
        <f t="shared" si="0"/>
        <v>424.15</v>
      </c>
    </row>
    <row r="65" spans="1:13" x14ac:dyDescent="0.35">
      <c r="A65" s="1" t="s">
        <v>502</v>
      </c>
      <c r="B65" s="1">
        <v>149326</v>
      </c>
      <c r="C65" s="1">
        <v>26939</v>
      </c>
      <c r="D65" s="1" t="s">
        <v>1217</v>
      </c>
      <c r="E65" s="1" t="s">
        <v>1217</v>
      </c>
      <c r="F65" s="1" t="s">
        <v>1217</v>
      </c>
      <c r="G65" s="5"/>
      <c r="H65" s="1" t="s">
        <v>1217</v>
      </c>
      <c r="I65" s="1" t="s">
        <v>1217</v>
      </c>
      <c r="J65" s="1" t="s">
        <v>1217</v>
      </c>
      <c r="K65" s="1" t="s">
        <v>1218</v>
      </c>
      <c r="L65" s="3">
        <v>10</v>
      </c>
      <c r="M65" s="3">
        <f t="shared" si="0"/>
        <v>10</v>
      </c>
    </row>
    <row r="66" spans="1:13" x14ac:dyDescent="0.35">
      <c r="A66" s="1" t="s">
        <v>345</v>
      </c>
      <c r="B66" s="1">
        <v>187147</v>
      </c>
      <c r="C66" s="1">
        <v>4352</v>
      </c>
      <c r="D66" s="1">
        <v>0</v>
      </c>
      <c r="E66" s="1">
        <v>0</v>
      </c>
      <c r="F66" s="1">
        <v>0</v>
      </c>
      <c r="G66" s="5"/>
      <c r="H66" s="1">
        <v>0</v>
      </c>
      <c r="I66" s="1">
        <v>0</v>
      </c>
      <c r="J66" s="1">
        <v>0</v>
      </c>
      <c r="K66" s="1" t="s">
        <v>1214</v>
      </c>
      <c r="L66" s="3">
        <v>0</v>
      </c>
      <c r="M66" s="3">
        <f t="shared" ref="M66:M129" si="1">+L66-G66</f>
        <v>0</v>
      </c>
    </row>
    <row r="67" spans="1:13" x14ac:dyDescent="0.35">
      <c r="A67" s="1" t="s">
        <v>239</v>
      </c>
      <c r="B67" s="1">
        <v>143783</v>
      </c>
      <c r="C67" s="1">
        <v>20698</v>
      </c>
      <c r="D67" s="1">
        <v>12</v>
      </c>
      <c r="E67" s="1">
        <v>0</v>
      </c>
      <c r="F67" s="1">
        <v>2158.0500000000002</v>
      </c>
      <c r="G67" s="5"/>
      <c r="H67" s="1">
        <v>1700.68</v>
      </c>
      <c r="I67" s="1">
        <v>457.37</v>
      </c>
      <c r="J67" s="1">
        <v>0</v>
      </c>
      <c r="K67" s="1" t="s">
        <v>1216</v>
      </c>
      <c r="L67" s="3">
        <v>254.15</v>
      </c>
      <c r="M67" s="3">
        <f t="shared" si="1"/>
        <v>254.15</v>
      </c>
    </row>
    <row r="68" spans="1:13" x14ac:dyDescent="0.35">
      <c r="A68" s="1" t="s">
        <v>239</v>
      </c>
      <c r="B68" s="1">
        <v>143783</v>
      </c>
      <c r="C68" s="1">
        <v>20698</v>
      </c>
      <c r="D68" s="1" t="s">
        <v>1217</v>
      </c>
      <c r="E68" s="1" t="s">
        <v>1217</v>
      </c>
      <c r="F68" s="1" t="s">
        <v>1217</v>
      </c>
      <c r="G68" s="5"/>
      <c r="H68" s="1" t="s">
        <v>1217</v>
      </c>
      <c r="I68" s="1" t="s">
        <v>1217</v>
      </c>
      <c r="J68" s="1" t="s">
        <v>1217</v>
      </c>
      <c r="K68" s="1" t="s">
        <v>1218</v>
      </c>
      <c r="L68" s="3">
        <v>10</v>
      </c>
      <c r="M68" s="3">
        <f t="shared" si="1"/>
        <v>10</v>
      </c>
    </row>
    <row r="69" spans="1:13" x14ac:dyDescent="0.35">
      <c r="A69" s="1" t="s">
        <v>620</v>
      </c>
      <c r="B69" s="1">
        <v>108920</v>
      </c>
      <c r="C69" s="1">
        <v>19322</v>
      </c>
      <c r="D69" s="1">
        <v>86</v>
      </c>
      <c r="E69" s="1">
        <v>0</v>
      </c>
      <c r="F69" s="1">
        <v>8650.1299999999992</v>
      </c>
      <c r="G69" s="5"/>
      <c r="H69" s="1">
        <v>891.16</v>
      </c>
      <c r="I69" s="1">
        <v>7758.97</v>
      </c>
      <c r="J69" s="1">
        <v>7087.85</v>
      </c>
      <c r="K69" s="1" t="s">
        <v>1220</v>
      </c>
      <c r="L69" s="3">
        <v>2533.85</v>
      </c>
      <c r="M69" s="3">
        <f t="shared" si="1"/>
        <v>2533.85</v>
      </c>
    </row>
    <row r="70" spans="1:13" x14ac:dyDescent="0.35">
      <c r="A70" s="1" t="s">
        <v>620</v>
      </c>
      <c r="B70" s="1">
        <v>108920</v>
      </c>
      <c r="C70" s="1">
        <v>19322</v>
      </c>
      <c r="D70" s="1" t="s">
        <v>1217</v>
      </c>
      <c r="E70" s="1" t="s">
        <v>1217</v>
      </c>
      <c r="F70" s="1" t="s">
        <v>1217</v>
      </c>
      <c r="G70" s="5"/>
      <c r="H70" s="1" t="s">
        <v>1217</v>
      </c>
      <c r="I70" s="1" t="s">
        <v>1217</v>
      </c>
      <c r="J70" s="1" t="s">
        <v>1217</v>
      </c>
      <c r="K70" s="1" t="s">
        <v>1218</v>
      </c>
      <c r="L70" s="3">
        <v>10</v>
      </c>
      <c r="M70" s="3">
        <f t="shared" si="1"/>
        <v>10</v>
      </c>
    </row>
    <row r="71" spans="1:13" x14ac:dyDescent="0.35">
      <c r="A71" s="1" t="s">
        <v>869</v>
      </c>
      <c r="B71" s="1">
        <v>108919</v>
      </c>
      <c r="C71" s="1">
        <v>19326</v>
      </c>
      <c r="D71" s="1">
        <v>32</v>
      </c>
      <c r="E71" s="1">
        <v>0</v>
      </c>
      <c r="F71" s="1">
        <v>1352.5</v>
      </c>
      <c r="G71" s="5"/>
      <c r="H71" s="1">
        <v>236.6</v>
      </c>
      <c r="I71" s="1">
        <v>1115.9000000000001</v>
      </c>
      <c r="J71" s="1">
        <v>1287.2</v>
      </c>
      <c r="K71" s="1" t="s">
        <v>1229</v>
      </c>
      <c r="L71" s="3">
        <v>1274.1500000000001</v>
      </c>
      <c r="M71" s="3">
        <f t="shared" si="1"/>
        <v>1274.1500000000001</v>
      </c>
    </row>
    <row r="72" spans="1:13" x14ac:dyDescent="0.35">
      <c r="A72" s="1" t="s">
        <v>869</v>
      </c>
      <c r="B72" s="1">
        <v>108919</v>
      </c>
      <c r="C72" s="1">
        <v>19326</v>
      </c>
      <c r="D72" s="1" t="s">
        <v>1217</v>
      </c>
      <c r="E72" s="1" t="s">
        <v>1217</v>
      </c>
      <c r="F72" s="1" t="s">
        <v>1217</v>
      </c>
      <c r="G72" s="5"/>
      <c r="H72" s="1" t="s">
        <v>1217</v>
      </c>
      <c r="I72" s="1" t="s">
        <v>1217</v>
      </c>
      <c r="J72" s="1" t="s">
        <v>1217</v>
      </c>
      <c r="K72" s="1" t="s">
        <v>1218</v>
      </c>
      <c r="L72" s="3">
        <v>10</v>
      </c>
      <c r="M72" s="3">
        <f t="shared" si="1"/>
        <v>10</v>
      </c>
    </row>
    <row r="73" spans="1:13" x14ac:dyDescent="0.35">
      <c r="A73" s="1" t="s">
        <v>811</v>
      </c>
      <c r="B73" s="1">
        <v>108921</v>
      </c>
      <c r="C73" s="1">
        <v>19319</v>
      </c>
      <c r="D73" s="1">
        <v>15</v>
      </c>
      <c r="E73" s="1">
        <v>0</v>
      </c>
      <c r="F73" s="1">
        <v>0</v>
      </c>
      <c r="G73" s="5"/>
      <c r="H73" s="1">
        <v>0</v>
      </c>
      <c r="I73" s="1">
        <v>0</v>
      </c>
      <c r="J73" s="1">
        <v>0</v>
      </c>
      <c r="K73" s="1" t="s">
        <v>1212</v>
      </c>
      <c r="L73" s="3">
        <v>254.15</v>
      </c>
      <c r="M73" s="3">
        <f t="shared" si="1"/>
        <v>254.15</v>
      </c>
    </row>
    <row r="74" spans="1:13" x14ac:dyDescent="0.35">
      <c r="A74" s="1" t="s">
        <v>811</v>
      </c>
      <c r="B74" s="1">
        <v>108921</v>
      </c>
      <c r="C74" s="1">
        <v>19319</v>
      </c>
      <c r="D74" s="1" t="s">
        <v>1217</v>
      </c>
      <c r="E74" s="1" t="s">
        <v>1217</v>
      </c>
      <c r="F74" s="1" t="s">
        <v>1217</v>
      </c>
      <c r="G74" s="5"/>
      <c r="H74" s="1" t="s">
        <v>1217</v>
      </c>
      <c r="I74" s="1" t="s">
        <v>1217</v>
      </c>
      <c r="J74" s="1" t="s">
        <v>1217</v>
      </c>
      <c r="K74" s="1" t="s">
        <v>1218</v>
      </c>
      <c r="L74" s="3">
        <v>10</v>
      </c>
      <c r="M74" s="3">
        <f t="shared" si="1"/>
        <v>10</v>
      </c>
    </row>
    <row r="75" spans="1:13" x14ac:dyDescent="0.35">
      <c r="A75" s="1" t="s">
        <v>814</v>
      </c>
      <c r="B75" s="1">
        <v>108918</v>
      </c>
      <c r="C75" s="1">
        <v>19295</v>
      </c>
      <c r="D75" s="1">
        <v>14</v>
      </c>
      <c r="E75" s="1">
        <v>0</v>
      </c>
      <c r="F75" s="1">
        <v>0</v>
      </c>
      <c r="G75" s="5"/>
      <c r="H75" s="1">
        <v>0</v>
      </c>
      <c r="I75" s="1">
        <v>0</v>
      </c>
      <c r="J75" s="1">
        <v>0</v>
      </c>
      <c r="K75" s="1" t="s">
        <v>1212</v>
      </c>
      <c r="L75" s="3">
        <v>254.15</v>
      </c>
      <c r="M75" s="3">
        <f t="shared" si="1"/>
        <v>254.15</v>
      </c>
    </row>
    <row r="76" spans="1:13" x14ac:dyDescent="0.35">
      <c r="A76" s="1" t="s">
        <v>814</v>
      </c>
      <c r="B76" s="1">
        <v>108918</v>
      </c>
      <c r="C76" s="1">
        <v>19295</v>
      </c>
      <c r="D76" s="1" t="s">
        <v>1217</v>
      </c>
      <c r="E76" s="1" t="s">
        <v>1217</v>
      </c>
      <c r="F76" s="1" t="s">
        <v>1217</v>
      </c>
      <c r="G76" s="5"/>
      <c r="H76" s="1" t="s">
        <v>1217</v>
      </c>
      <c r="I76" s="1" t="s">
        <v>1217</v>
      </c>
      <c r="J76" s="1" t="s">
        <v>1217</v>
      </c>
      <c r="K76" s="1" t="s">
        <v>1218</v>
      </c>
      <c r="L76" s="3">
        <v>10</v>
      </c>
      <c r="M76" s="3">
        <f t="shared" si="1"/>
        <v>10</v>
      </c>
    </row>
    <row r="77" spans="1:13" x14ac:dyDescent="0.35">
      <c r="A77" s="1" t="s">
        <v>854</v>
      </c>
      <c r="B77" s="1">
        <v>36440</v>
      </c>
      <c r="C77" s="1" t="s">
        <v>1230</v>
      </c>
      <c r="D77" s="1">
        <v>248</v>
      </c>
      <c r="E77" s="1">
        <v>0</v>
      </c>
      <c r="F77" s="1">
        <v>16135.7</v>
      </c>
      <c r="G77" s="5"/>
      <c r="H77" s="1">
        <v>955.16</v>
      </c>
      <c r="I77" s="1">
        <v>15180.54</v>
      </c>
      <c r="J77" s="1">
        <v>13083.84</v>
      </c>
      <c r="K77" s="1" t="s">
        <v>1227</v>
      </c>
      <c r="L77" s="3">
        <v>1571.65</v>
      </c>
      <c r="M77" s="3">
        <f t="shared" si="1"/>
        <v>1571.65</v>
      </c>
    </row>
    <row r="78" spans="1:13" x14ac:dyDescent="0.35">
      <c r="A78" s="1" t="s">
        <v>854</v>
      </c>
      <c r="B78" s="1">
        <v>36440</v>
      </c>
      <c r="C78" s="1" t="s">
        <v>1230</v>
      </c>
      <c r="D78" s="1" t="s">
        <v>1217</v>
      </c>
      <c r="E78" s="1" t="s">
        <v>1217</v>
      </c>
      <c r="F78" s="1" t="s">
        <v>1217</v>
      </c>
      <c r="G78" s="5"/>
      <c r="H78" s="1" t="s">
        <v>1217</v>
      </c>
      <c r="I78" s="1" t="s">
        <v>1217</v>
      </c>
      <c r="J78" s="1" t="s">
        <v>1217</v>
      </c>
      <c r="K78" s="1" t="s">
        <v>1218</v>
      </c>
      <c r="L78" s="3">
        <v>10</v>
      </c>
      <c r="M78" s="3">
        <f t="shared" si="1"/>
        <v>10</v>
      </c>
    </row>
    <row r="79" spans="1:13" x14ac:dyDescent="0.35">
      <c r="A79" s="1" t="s">
        <v>692</v>
      </c>
      <c r="B79" s="1">
        <v>156745</v>
      </c>
      <c r="C79" s="1">
        <v>3869</v>
      </c>
      <c r="D79" s="1">
        <v>10</v>
      </c>
      <c r="E79" s="1">
        <v>0</v>
      </c>
      <c r="F79" s="1">
        <v>3911.88</v>
      </c>
      <c r="G79" s="5"/>
      <c r="H79" s="1">
        <v>287.2</v>
      </c>
      <c r="I79" s="1">
        <v>3624.68</v>
      </c>
      <c r="J79" s="1">
        <v>0</v>
      </c>
      <c r="K79" s="1" t="s">
        <v>1224</v>
      </c>
      <c r="L79" s="3">
        <v>424.15</v>
      </c>
      <c r="M79" s="3">
        <f t="shared" si="1"/>
        <v>424.15</v>
      </c>
    </row>
    <row r="80" spans="1:13" x14ac:dyDescent="0.35">
      <c r="A80" s="1" t="s">
        <v>692</v>
      </c>
      <c r="B80" s="1">
        <v>156745</v>
      </c>
      <c r="C80" s="1">
        <v>3869</v>
      </c>
      <c r="D80" s="1" t="s">
        <v>1217</v>
      </c>
      <c r="E80" s="1" t="s">
        <v>1217</v>
      </c>
      <c r="F80" s="1" t="s">
        <v>1217</v>
      </c>
      <c r="G80" s="5"/>
      <c r="H80" s="1" t="s">
        <v>1217</v>
      </c>
      <c r="I80" s="1" t="s">
        <v>1217</v>
      </c>
      <c r="J80" s="1" t="s">
        <v>1217</v>
      </c>
      <c r="K80" s="1" t="s">
        <v>1218</v>
      </c>
      <c r="L80" s="3">
        <v>10</v>
      </c>
      <c r="M80" s="3">
        <f t="shared" si="1"/>
        <v>10</v>
      </c>
    </row>
    <row r="81" spans="1:13" x14ac:dyDescent="0.35">
      <c r="A81" s="1" t="s">
        <v>496</v>
      </c>
      <c r="B81" s="1">
        <v>84459</v>
      </c>
      <c r="C81" s="1">
        <v>18079</v>
      </c>
      <c r="D81" s="1">
        <v>42</v>
      </c>
      <c r="E81" s="1">
        <v>1</v>
      </c>
      <c r="F81" s="1">
        <v>2455.5300000000002</v>
      </c>
      <c r="G81" s="5"/>
      <c r="H81" s="1">
        <v>1590.05</v>
      </c>
      <c r="I81" s="1">
        <v>865.48</v>
      </c>
      <c r="J81" s="1">
        <v>1747.53</v>
      </c>
      <c r="K81" s="1" t="s">
        <v>1226</v>
      </c>
      <c r="L81" s="3">
        <v>1571.65</v>
      </c>
      <c r="M81" s="3">
        <f t="shared" si="1"/>
        <v>1571.65</v>
      </c>
    </row>
    <row r="82" spans="1:13" x14ac:dyDescent="0.35">
      <c r="A82" s="1" t="s">
        <v>496</v>
      </c>
      <c r="B82" s="1">
        <v>84459</v>
      </c>
      <c r="C82" s="1">
        <v>18079</v>
      </c>
      <c r="D82" s="1" t="s">
        <v>1217</v>
      </c>
      <c r="E82" s="1" t="s">
        <v>1217</v>
      </c>
      <c r="F82" s="1" t="s">
        <v>1217</v>
      </c>
      <c r="G82" s="5"/>
      <c r="H82" s="1" t="s">
        <v>1217</v>
      </c>
      <c r="I82" s="1" t="s">
        <v>1217</v>
      </c>
      <c r="J82" s="1" t="s">
        <v>1217</v>
      </c>
      <c r="K82" s="1" t="s">
        <v>1218</v>
      </c>
      <c r="L82" s="3">
        <v>10</v>
      </c>
      <c r="M82" s="3">
        <f t="shared" si="1"/>
        <v>10</v>
      </c>
    </row>
    <row r="83" spans="1:13" x14ac:dyDescent="0.35">
      <c r="A83" s="1" t="s">
        <v>761</v>
      </c>
      <c r="B83" s="1">
        <v>84504</v>
      </c>
      <c r="C83" s="1">
        <v>18080</v>
      </c>
      <c r="D83" s="1">
        <v>33</v>
      </c>
      <c r="E83" s="1">
        <v>2</v>
      </c>
      <c r="F83" s="1">
        <v>1571.65</v>
      </c>
      <c r="G83" s="5"/>
      <c r="H83" s="1">
        <v>215.29</v>
      </c>
      <c r="I83" s="1">
        <v>1356.36</v>
      </c>
      <c r="J83" s="1">
        <v>0</v>
      </c>
      <c r="K83" s="1" t="s">
        <v>1216</v>
      </c>
      <c r="L83" s="3">
        <v>254.15</v>
      </c>
      <c r="M83" s="3">
        <f t="shared" si="1"/>
        <v>254.15</v>
      </c>
    </row>
    <row r="84" spans="1:13" x14ac:dyDescent="0.35">
      <c r="A84" s="1" t="s">
        <v>761</v>
      </c>
      <c r="B84" s="1">
        <v>84504</v>
      </c>
      <c r="C84" s="1">
        <v>18080</v>
      </c>
      <c r="D84" s="1" t="s">
        <v>1217</v>
      </c>
      <c r="E84" s="1" t="s">
        <v>1217</v>
      </c>
      <c r="F84" s="1" t="s">
        <v>1217</v>
      </c>
      <c r="G84" s="5"/>
      <c r="H84" s="1" t="s">
        <v>1217</v>
      </c>
      <c r="I84" s="1" t="s">
        <v>1217</v>
      </c>
      <c r="J84" s="1" t="s">
        <v>1217</v>
      </c>
      <c r="K84" s="1" t="s">
        <v>1218</v>
      </c>
      <c r="L84" s="3">
        <v>10</v>
      </c>
      <c r="M84" s="3">
        <f t="shared" si="1"/>
        <v>10</v>
      </c>
    </row>
    <row r="85" spans="1:13" x14ac:dyDescent="0.35">
      <c r="A85" s="1" t="s">
        <v>764</v>
      </c>
      <c r="B85" s="1">
        <v>84503</v>
      </c>
      <c r="C85" s="1">
        <v>18081</v>
      </c>
      <c r="D85" s="1">
        <v>50</v>
      </c>
      <c r="E85" s="1">
        <v>1</v>
      </c>
      <c r="F85" s="1">
        <v>1525.89</v>
      </c>
      <c r="G85" s="5"/>
      <c r="H85" s="1">
        <v>573.36</v>
      </c>
      <c r="I85" s="1">
        <v>952.53</v>
      </c>
      <c r="J85" s="1">
        <v>0</v>
      </c>
      <c r="K85" s="1" t="s">
        <v>1216</v>
      </c>
      <c r="L85" s="3">
        <v>254.15</v>
      </c>
      <c r="M85" s="3">
        <f t="shared" si="1"/>
        <v>254.15</v>
      </c>
    </row>
    <row r="86" spans="1:13" x14ac:dyDescent="0.35">
      <c r="A86" s="1" t="s">
        <v>764</v>
      </c>
      <c r="B86" s="1">
        <v>84503</v>
      </c>
      <c r="C86" s="1">
        <v>18081</v>
      </c>
      <c r="D86" s="1" t="s">
        <v>1217</v>
      </c>
      <c r="E86" s="1" t="s">
        <v>1217</v>
      </c>
      <c r="F86" s="1" t="s">
        <v>1217</v>
      </c>
      <c r="G86" s="5"/>
      <c r="H86" s="1" t="s">
        <v>1217</v>
      </c>
      <c r="I86" s="1" t="s">
        <v>1217</v>
      </c>
      <c r="J86" s="1" t="s">
        <v>1217</v>
      </c>
      <c r="K86" s="1" t="s">
        <v>1218</v>
      </c>
      <c r="L86" s="3">
        <v>10</v>
      </c>
      <c r="M86" s="3">
        <f t="shared" si="1"/>
        <v>10</v>
      </c>
    </row>
    <row r="87" spans="1:13" x14ac:dyDescent="0.35">
      <c r="A87" s="1" t="s">
        <v>476</v>
      </c>
      <c r="B87" s="1">
        <v>84465</v>
      </c>
      <c r="C87" s="1">
        <v>18082</v>
      </c>
      <c r="D87" s="1">
        <v>72</v>
      </c>
      <c r="E87" s="1">
        <v>1</v>
      </c>
      <c r="F87" s="1">
        <v>1418.84</v>
      </c>
      <c r="G87" s="5"/>
      <c r="H87" s="1">
        <v>617.17999999999995</v>
      </c>
      <c r="I87" s="1">
        <v>801.66</v>
      </c>
      <c r="J87" s="1">
        <v>0</v>
      </c>
      <c r="K87" s="1" t="s">
        <v>1216</v>
      </c>
      <c r="L87" s="3">
        <v>254.15</v>
      </c>
      <c r="M87" s="3">
        <f t="shared" si="1"/>
        <v>254.15</v>
      </c>
    </row>
    <row r="88" spans="1:13" x14ac:dyDescent="0.35">
      <c r="A88" s="1" t="s">
        <v>476</v>
      </c>
      <c r="B88" s="1">
        <v>84465</v>
      </c>
      <c r="C88" s="1">
        <v>18082</v>
      </c>
      <c r="D88" s="1" t="s">
        <v>1217</v>
      </c>
      <c r="E88" s="1" t="s">
        <v>1217</v>
      </c>
      <c r="F88" s="1" t="s">
        <v>1217</v>
      </c>
      <c r="G88" s="5"/>
      <c r="H88" s="1" t="s">
        <v>1217</v>
      </c>
      <c r="I88" s="1" t="s">
        <v>1217</v>
      </c>
      <c r="J88" s="1" t="s">
        <v>1217</v>
      </c>
      <c r="K88" s="1" t="s">
        <v>1218</v>
      </c>
      <c r="L88" s="3">
        <v>10</v>
      </c>
      <c r="M88" s="3">
        <f t="shared" si="1"/>
        <v>10</v>
      </c>
    </row>
    <row r="89" spans="1:13" x14ac:dyDescent="0.35">
      <c r="A89" s="1" t="s">
        <v>766</v>
      </c>
      <c r="B89" s="1">
        <v>84506</v>
      </c>
      <c r="C89" s="1">
        <v>18083</v>
      </c>
      <c r="D89" s="1">
        <v>28</v>
      </c>
      <c r="E89" s="1">
        <v>1</v>
      </c>
      <c r="F89" s="1">
        <v>2205.35</v>
      </c>
      <c r="G89" s="5"/>
      <c r="H89" s="1">
        <v>1569.59</v>
      </c>
      <c r="I89" s="1">
        <v>635.76</v>
      </c>
      <c r="J89" s="1">
        <v>0</v>
      </c>
      <c r="K89" s="1" t="s">
        <v>1216</v>
      </c>
      <c r="L89" s="3">
        <v>254.15</v>
      </c>
      <c r="M89" s="3">
        <f t="shared" si="1"/>
        <v>254.15</v>
      </c>
    </row>
    <row r="90" spans="1:13" x14ac:dyDescent="0.35">
      <c r="A90" s="1" t="s">
        <v>766</v>
      </c>
      <c r="B90" s="1">
        <v>84506</v>
      </c>
      <c r="C90" s="1">
        <v>18083</v>
      </c>
      <c r="D90" s="1" t="s">
        <v>1217</v>
      </c>
      <c r="E90" s="1" t="s">
        <v>1217</v>
      </c>
      <c r="F90" s="1" t="s">
        <v>1217</v>
      </c>
      <c r="G90" s="5"/>
      <c r="H90" s="1" t="s">
        <v>1217</v>
      </c>
      <c r="I90" s="1" t="s">
        <v>1217</v>
      </c>
      <c r="J90" s="1" t="s">
        <v>1217</v>
      </c>
      <c r="K90" s="1" t="s">
        <v>1218</v>
      </c>
      <c r="L90" s="3">
        <v>10</v>
      </c>
      <c r="M90" s="3">
        <f t="shared" si="1"/>
        <v>10</v>
      </c>
    </row>
    <row r="91" spans="1:13" x14ac:dyDescent="0.35">
      <c r="A91" s="1" t="s">
        <v>478</v>
      </c>
      <c r="B91" s="1">
        <v>150041</v>
      </c>
      <c r="C91" s="1">
        <v>17995</v>
      </c>
      <c r="D91" s="1">
        <v>3</v>
      </c>
      <c r="E91" s="1">
        <v>0</v>
      </c>
      <c r="F91" s="1">
        <v>138.12</v>
      </c>
      <c r="G91" s="5"/>
      <c r="H91" s="1">
        <v>2.3199999999999998</v>
      </c>
      <c r="I91" s="1">
        <v>135.80000000000001</v>
      </c>
      <c r="J91" s="1">
        <v>0</v>
      </c>
      <c r="K91" s="1" t="s">
        <v>1216</v>
      </c>
      <c r="L91" s="3">
        <v>254.15</v>
      </c>
      <c r="M91" s="3">
        <f t="shared" si="1"/>
        <v>254.15</v>
      </c>
    </row>
    <row r="92" spans="1:13" x14ac:dyDescent="0.35">
      <c r="A92" s="1" t="s">
        <v>478</v>
      </c>
      <c r="B92" s="1">
        <v>150041</v>
      </c>
      <c r="C92" s="1">
        <v>17995</v>
      </c>
      <c r="D92" s="1" t="s">
        <v>1217</v>
      </c>
      <c r="E92" s="1" t="s">
        <v>1217</v>
      </c>
      <c r="F92" s="1" t="s">
        <v>1217</v>
      </c>
      <c r="G92" s="5"/>
      <c r="H92" s="1" t="s">
        <v>1217</v>
      </c>
      <c r="I92" s="1" t="s">
        <v>1217</v>
      </c>
      <c r="J92" s="1" t="s">
        <v>1217</v>
      </c>
      <c r="K92" s="1" t="s">
        <v>1218</v>
      </c>
      <c r="L92" s="3">
        <v>10</v>
      </c>
      <c r="M92" s="3">
        <f t="shared" si="1"/>
        <v>10</v>
      </c>
    </row>
    <row r="93" spans="1:13" x14ac:dyDescent="0.35">
      <c r="A93" s="1" t="s">
        <v>578</v>
      </c>
      <c r="B93" s="1">
        <v>146876</v>
      </c>
      <c r="C93" s="1">
        <v>8209</v>
      </c>
      <c r="D93" s="1">
        <v>23</v>
      </c>
      <c r="E93" s="1">
        <v>0</v>
      </c>
      <c r="F93" s="1">
        <v>7719.1</v>
      </c>
      <c r="G93" s="5"/>
      <c r="H93" s="1">
        <v>4159.09</v>
      </c>
      <c r="I93" s="1">
        <v>3560.01</v>
      </c>
      <c r="J93" s="1">
        <v>7140.73</v>
      </c>
      <c r="K93" s="1" t="s">
        <v>1231</v>
      </c>
      <c r="L93" s="3">
        <v>1019</v>
      </c>
      <c r="M93" s="3">
        <f t="shared" si="1"/>
        <v>1019</v>
      </c>
    </row>
    <row r="94" spans="1:13" x14ac:dyDescent="0.35">
      <c r="A94" s="1" t="s">
        <v>578</v>
      </c>
      <c r="B94" s="1">
        <v>146876</v>
      </c>
      <c r="C94" s="1">
        <v>8209</v>
      </c>
      <c r="D94" s="1" t="s">
        <v>1217</v>
      </c>
      <c r="E94" s="1" t="s">
        <v>1217</v>
      </c>
      <c r="F94" s="1" t="s">
        <v>1217</v>
      </c>
      <c r="G94" s="5"/>
      <c r="H94" s="1" t="s">
        <v>1217</v>
      </c>
      <c r="I94" s="1" t="s">
        <v>1217</v>
      </c>
      <c r="J94" s="1" t="s">
        <v>1217</v>
      </c>
      <c r="K94" s="1" t="s">
        <v>1218</v>
      </c>
      <c r="L94" s="3">
        <v>10</v>
      </c>
      <c r="M94" s="3">
        <f t="shared" si="1"/>
        <v>10</v>
      </c>
    </row>
    <row r="95" spans="1:13" x14ac:dyDescent="0.35">
      <c r="A95" s="1" t="s">
        <v>380</v>
      </c>
      <c r="B95" s="1">
        <v>59903</v>
      </c>
      <c r="C95" s="1">
        <v>5252</v>
      </c>
      <c r="D95" s="1">
        <v>2</v>
      </c>
      <c r="E95" s="1">
        <v>0</v>
      </c>
      <c r="F95" s="1">
        <v>0.33</v>
      </c>
      <c r="G95" s="5"/>
      <c r="H95" s="1">
        <v>0</v>
      </c>
      <c r="I95" s="1">
        <v>0.33</v>
      </c>
      <c r="J95" s="1">
        <v>0</v>
      </c>
      <c r="K95" s="1" t="s">
        <v>1222</v>
      </c>
      <c r="L95" s="3">
        <v>129</v>
      </c>
      <c r="M95" s="3">
        <f t="shared" si="1"/>
        <v>129</v>
      </c>
    </row>
    <row r="96" spans="1:13" x14ac:dyDescent="0.35">
      <c r="A96" s="1" t="s">
        <v>381</v>
      </c>
      <c r="B96" s="1">
        <v>58680</v>
      </c>
      <c r="C96" s="1">
        <v>9472</v>
      </c>
      <c r="D96" s="1">
        <v>2</v>
      </c>
      <c r="E96" s="1">
        <v>0</v>
      </c>
      <c r="F96" s="1">
        <v>0</v>
      </c>
      <c r="G96" s="5"/>
      <c r="H96" s="1">
        <v>0</v>
      </c>
      <c r="I96" s="1">
        <v>0</v>
      </c>
      <c r="J96" s="1">
        <v>0</v>
      </c>
      <c r="K96" s="1" t="s">
        <v>1222</v>
      </c>
      <c r="L96" s="3">
        <v>129</v>
      </c>
      <c r="M96" s="3">
        <f t="shared" si="1"/>
        <v>129</v>
      </c>
    </row>
    <row r="97" spans="1:13" x14ac:dyDescent="0.35">
      <c r="A97" s="1" t="s">
        <v>382</v>
      </c>
      <c r="B97" s="1">
        <v>58685</v>
      </c>
      <c r="C97" s="1">
        <v>2432</v>
      </c>
      <c r="D97" s="1">
        <v>2</v>
      </c>
      <c r="E97" s="1">
        <v>0</v>
      </c>
      <c r="F97" s="1">
        <v>0</v>
      </c>
      <c r="G97" s="5"/>
      <c r="H97" s="1">
        <v>0</v>
      </c>
      <c r="I97" s="1">
        <v>0</v>
      </c>
      <c r="J97" s="1">
        <v>0</v>
      </c>
      <c r="K97" s="1" t="s">
        <v>1222</v>
      </c>
      <c r="L97" s="3">
        <v>129</v>
      </c>
      <c r="M97" s="3">
        <f t="shared" si="1"/>
        <v>129</v>
      </c>
    </row>
    <row r="98" spans="1:13" x14ac:dyDescent="0.35">
      <c r="A98" s="1" t="s">
        <v>383</v>
      </c>
      <c r="B98" s="1">
        <v>121132</v>
      </c>
      <c r="C98" s="1">
        <v>21229</v>
      </c>
      <c r="D98" s="1">
        <v>8</v>
      </c>
      <c r="E98" s="1">
        <v>0</v>
      </c>
      <c r="F98" s="1">
        <v>20.98</v>
      </c>
      <c r="G98" s="5"/>
      <c r="H98" s="1">
        <v>19.329999999999998</v>
      </c>
      <c r="I98" s="1">
        <v>1.65</v>
      </c>
      <c r="J98" s="1">
        <v>0</v>
      </c>
      <c r="K98" s="1" t="s">
        <v>1216</v>
      </c>
      <c r="L98" s="3">
        <v>254.15</v>
      </c>
      <c r="M98" s="3">
        <f t="shared" si="1"/>
        <v>254.15</v>
      </c>
    </row>
    <row r="99" spans="1:13" x14ac:dyDescent="0.35">
      <c r="A99" s="1" t="s">
        <v>939</v>
      </c>
      <c r="B99" s="1">
        <v>99695</v>
      </c>
      <c r="C99" s="1">
        <v>17450</v>
      </c>
      <c r="D99" s="1">
        <v>45</v>
      </c>
      <c r="E99" s="1">
        <v>0</v>
      </c>
      <c r="F99" s="1">
        <v>3170.77</v>
      </c>
      <c r="G99" s="5"/>
      <c r="H99" s="1">
        <v>260.47000000000003</v>
      </c>
      <c r="I99" s="1">
        <v>2910.3</v>
      </c>
      <c r="J99" s="1">
        <v>2820.42</v>
      </c>
      <c r="K99" s="1" t="s">
        <v>1231</v>
      </c>
      <c r="L99" s="3">
        <v>1019</v>
      </c>
      <c r="M99" s="3">
        <f t="shared" si="1"/>
        <v>1019</v>
      </c>
    </row>
    <row r="100" spans="1:13" x14ac:dyDescent="0.35">
      <c r="A100" s="1" t="s">
        <v>1232</v>
      </c>
      <c r="B100" s="1">
        <v>177336</v>
      </c>
      <c r="C100" s="1">
        <v>29810</v>
      </c>
      <c r="D100" s="1">
        <v>12</v>
      </c>
      <c r="E100" s="1">
        <v>0</v>
      </c>
      <c r="F100" s="1">
        <v>1878.39</v>
      </c>
      <c r="G100" s="5"/>
      <c r="H100" s="1">
        <v>1741.07</v>
      </c>
      <c r="I100" s="1">
        <v>137.32</v>
      </c>
      <c r="J100" s="1">
        <v>0</v>
      </c>
      <c r="K100" s="1" t="s">
        <v>1216</v>
      </c>
      <c r="L100" s="3">
        <v>254.15</v>
      </c>
      <c r="M100" s="3">
        <f t="shared" si="1"/>
        <v>254.15</v>
      </c>
    </row>
    <row r="101" spans="1:13" x14ac:dyDescent="0.35">
      <c r="A101" s="1" t="s">
        <v>1232</v>
      </c>
      <c r="B101" s="1">
        <v>177336</v>
      </c>
      <c r="C101" s="1">
        <v>29810</v>
      </c>
      <c r="D101" s="1" t="s">
        <v>1217</v>
      </c>
      <c r="E101" s="1" t="s">
        <v>1217</v>
      </c>
      <c r="F101" s="1" t="s">
        <v>1217</v>
      </c>
      <c r="G101" s="5"/>
      <c r="H101" s="1" t="s">
        <v>1217</v>
      </c>
      <c r="I101" s="1" t="s">
        <v>1217</v>
      </c>
      <c r="J101" s="1" t="s">
        <v>1217</v>
      </c>
      <c r="K101" s="1" t="s">
        <v>1218</v>
      </c>
      <c r="L101" s="3">
        <v>10</v>
      </c>
      <c r="M101" s="3">
        <f t="shared" si="1"/>
        <v>10</v>
      </c>
    </row>
    <row r="102" spans="1:13" x14ac:dyDescent="0.35">
      <c r="A102" s="1" t="s">
        <v>931</v>
      </c>
      <c r="B102" s="1">
        <v>149427</v>
      </c>
      <c r="C102" s="1">
        <v>26921</v>
      </c>
      <c r="D102" s="1">
        <v>30</v>
      </c>
      <c r="E102" s="1">
        <v>0</v>
      </c>
      <c r="F102" s="1">
        <v>9286.66</v>
      </c>
      <c r="G102" s="5"/>
      <c r="H102" s="1">
        <v>4207.18</v>
      </c>
      <c r="I102" s="1">
        <v>5079.4799999999996</v>
      </c>
      <c r="J102" s="1">
        <v>0</v>
      </c>
      <c r="K102" s="1" t="s">
        <v>1233</v>
      </c>
      <c r="L102" s="3">
        <v>588</v>
      </c>
      <c r="M102" s="3">
        <f t="shared" si="1"/>
        <v>588</v>
      </c>
    </row>
    <row r="103" spans="1:13" x14ac:dyDescent="0.35">
      <c r="A103" s="1" t="s">
        <v>931</v>
      </c>
      <c r="B103" s="1">
        <v>149427</v>
      </c>
      <c r="C103" s="1">
        <v>26921</v>
      </c>
      <c r="D103" s="1" t="s">
        <v>1217</v>
      </c>
      <c r="E103" s="1" t="s">
        <v>1217</v>
      </c>
      <c r="F103" s="1" t="s">
        <v>1217</v>
      </c>
      <c r="G103" s="5"/>
      <c r="H103" s="1" t="s">
        <v>1217</v>
      </c>
      <c r="I103" s="1" t="s">
        <v>1217</v>
      </c>
      <c r="J103" s="1" t="s">
        <v>1217</v>
      </c>
      <c r="K103" s="1" t="s">
        <v>1218</v>
      </c>
      <c r="L103" s="3">
        <v>10</v>
      </c>
      <c r="M103" s="3">
        <f t="shared" si="1"/>
        <v>10</v>
      </c>
    </row>
    <row r="104" spans="1:13" x14ac:dyDescent="0.35">
      <c r="A104" s="1" t="s">
        <v>553</v>
      </c>
      <c r="B104" s="1">
        <v>185318</v>
      </c>
      <c r="C104" s="1">
        <v>11341</v>
      </c>
      <c r="D104" s="1">
        <v>17</v>
      </c>
      <c r="E104" s="1">
        <v>0</v>
      </c>
      <c r="F104" s="1">
        <v>2149.7800000000002</v>
      </c>
      <c r="G104" s="5"/>
      <c r="H104" s="1">
        <v>1802.54</v>
      </c>
      <c r="I104" s="1">
        <v>347.24</v>
      </c>
      <c r="J104" s="1">
        <v>0</v>
      </c>
      <c r="K104" s="1" t="s">
        <v>1223</v>
      </c>
      <c r="L104" s="3">
        <v>509.15</v>
      </c>
      <c r="M104" s="3">
        <f t="shared" si="1"/>
        <v>509.15</v>
      </c>
    </row>
    <row r="105" spans="1:13" x14ac:dyDescent="0.35">
      <c r="A105" s="1" t="s">
        <v>553</v>
      </c>
      <c r="B105" s="1">
        <v>185318</v>
      </c>
      <c r="C105" s="1">
        <v>11341</v>
      </c>
      <c r="D105" s="1" t="s">
        <v>1217</v>
      </c>
      <c r="E105" s="1" t="s">
        <v>1217</v>
      </c>
      <c r="F105" s="1" t="s">
        <v>1217</v>
      </c>
      <c r="G105" s="5"/>
      <c r="H105" s="1" t="s">
        <v>1217</v>
      </c>
      <c r="I105" s="1" t="s">
        <v>1217</v>
      </c>
      <c r="J105" s="1" t="s">
        <v>1217</v>
      </c>
      <c r="K105" s="1" t="s">
        <v>1218</v>
      </c>
      <c r="L105" s="3">
        <v>10</v>
      </c>
      <c r="M105" s="3">
        <f t="shared" si="1"/>
        <v>10</v>
      </c>
    </row>
    <row r="106" spans="1:13" x14ac:dyDescent="0.35">
      <c r="A106" s="1" t="s">
        <v>1234</v>
      </c>
      <c r="B106" s="1">
        <v>149420</v>
      </c>
      <c r="C106" s="1">
        <v>26923</v>
      </c>
      <c r="D106" s="1">
        <v>20</v>
      </c>
      <c r="E106" s="1">
        <v>0</v>
      </c>
      <c r="F106" s="1">
        <v>2832.14</v>
      </c>
      <c r="G106" s="5"/>
      <c r="H106" s="1">
        <v>2415.85</v>
      </c>
      <c r="I106" s="1">
        <v>416.29</v>
      </c>
      <c r="J106" s="1">
        <v>0</v>
      </c>
      <c r="K106" s="1" t="s">
        <v>1224</v>
      </c>
      <c r="L106" s="3">
        <v>424.15</v>
      </c>
      <c r="M106" s="3">
        <f t="shared" si="1"/>
        <v>424.15</v>
      </c>
    </row>
    <row r="107" spans="1:13" x14ac:dyDescent="0.35">
      <c r="A107" s="1" t="s">
        <v>1234</v>
      </c>
      <c r="B107" s="1">
        <v>149420</v>
      </c>
      <c r="C107" s="1">
        <v>26923</v>
      </c>
      <c r="D107" s="1" t="s">
        <v>1217</v>
      </c>
      <c r="E107" s="1" t="s">
        <v>1217</v>
      </c>
      <c r="F107" s="1" t="s">
        <v>1217</v>
      </c>
      <c r="G107" s="5"/>
      <c r="H107" s="1" t="s">
        <v>1217</v>
      </c>
      <c r="I107" s="1" t="s">
        <v>1217</v>
      </c>
      <c r="J107" s="1" t="s">
        <v>1217</v>
      </c>
      <c r="K107" s="1" t="s">
        <v>1218</v>
      </c>
      <c r="L107" s="3">
        <v>10</v>
      </c>
      <c r="M107" s="3">
        <f t="shared" si="1"/>
        <v>10</v>
      </c>
    </row>
    <row r="108" spans="1:13" x14ac:dyDescent="0.35">
      <c r="A108" s="1" t="s">
        <v>555</v>
      </c>
      <c r="B108" s="1">
        <v>177335</v>
      </c>
      <c r="C108" s="1">
        <v>29559</v>
      </c>
      <c r="D108" s="1">
        <v>13</v>
      </c>
      <c r="E108" s="1">
        <v>0</v>
      </c>
      <c r="F108" s="1">
        <v>1685.36</v>
      </c>
      <c r="G108" s="5"/>
      <c r="H108" s="1">
        <v>1598.69</v>
      </c>
      <c r="I108" s="1">
        <v>86.67</v>
      </c>
      <c r="J108" s="1">
        <v>0</v>
      </c>
      <c r="K108" s="1" t="s">
        <v>1223</v>
      </c>
      <c r="L108" s="3">
        <v>509.15</v>
      </c>
      <c r="M108" s="3">
        <f t="shared" si="1"/>
        <v>509.15</v>
      </c>
    </row>
    <row r="109" spans="1:13" x14ac:dyDescent="0.35">
      <c r="A109" s="1" t="s">
        <v>555</v>
      </c>
      <c r="B109" s="1">
        <v>177335</v>
      </c>
      <c r="C109" s="1">
        <v>29559</v>
      </c>
      <c r="D109" s="1" t="s">
        <v>1217</v>
      </c>
      <c r="E109" s="1" t="s">
        <v>1217</v>
      </c>
      <c r="F109" s="1" t="s">
        <v>1217</v>
      </c>
      <c r="G109" s="5"/>
      <c r="H109" s="1" t="s">
        <v>1217</v>
      </c>
      <c r="I109" s="1" t="s">
        <v>1217</v>
      </c>
      <c r="J109" s="1" t="s">
        <v>1217</v>
      </c>
      <c r="K109" s="1" t="s">
        <v>1218</v>
      </c>
      <c r="L109" s="3">
        <v>10</v>
      </c>
      <c r="M109" s="3">
        <f t="shared" si="1"/>
        <v>10</v>
      </c>
    </row>
    <row r="110" spans="1:13" x14ac:dyDescent="0.35">
      <c r="A110" s="1" t="s">
        <v>695</v>
      </c>
      <c r="B110" s="1">
        <v>149415</v>
      </c>
      <c r="C110" s="1">
        <v>26928</v>
      </c>
      <c r="D110" s="1">
        <v>20</v>
      </c>
      <c r="E110" s="1">
        <v>0</v>
      </c>
      <c r="F110" s="1">
        <v>875.39</v>
      </c>
      <c r="G110" s="5"/>
      <c r="H110" s="1">
        <v>827.4</v>
      </c>
      <c r="I110" s="1">
        <v>47.99</v>
      </c>
      <c r="J110" s="1">
        <v>0</v>
      </c>
      <c r="K110" s="1" t="s">
        <v>1224</v>
      </c>
      <c r="L110" s="3">
        <v>424.15</v>
      </c>
      <c r="M110" s="3">
        <f t="shared" si="1"/>
        <v>424.15</v>
      </c>
    </row>
    <row r="111" spans="1:13" x14ac:dyDescent="0.35">
      <c r="A111" s="1" t="s">
        <v>695</v>
      </c>
      <c r="B111" s="1">
        <v>149415</v>
      </c>
      <c r="C111" s="1">
        <v>26928</v>
      </c>
      <c r="D111" s="1" t="s">
        <v>1217</v>
      </c>
      <c r="E111" s="1" t="s">
        <v>1217</v>
      </c>
      <c r="F111" s="1" t="s">
        <v>1217</v>
      </c>
      <c r="G111" s="5"/>
      <c r="H111" s="1" t="s">
        <v>1217</v>
      </c>
      <c r="I111" s="1" t="s">
        <v>1217</v>
      </c>
      <c r="J111" s="1" t="s">
        <v>1217</v>
      </c>
      <c r="K111" s="1" t="s">
        <v>1218</v>
      </c>
      <c r="L111" s="3">
        <v>10</v>
      </c>
      <c r="M111" s="3">
        <f t="shared" si="1"/>
        <v>10</v>
      </c>
    </row>
    <row r="112" spans="1:13" x14ac:dyDescent="0.35">
      <c r="A112" s="1" t="s">
        <v>697</v>
      </c>
      <c r="B112" s="1">
        <v>149418</v>
      </c>
      <c r="C112" s="1">
        <v>26929</v>
      </c>
      <c r="D112" s="1">
        <v>20</v>
      </c>
      <c r="E112" s="1">
        <v>0</v>
      </c>
      <c r="F112" s="1">
        <v>3174.74</v>
      </c>
      <c r="G112" s="5"/>
      <c r="H112" s="1">
        <v>3174.41</v>
      </c>
      <c r="I112" s="1">
        <v>0.33</v>
      </c>
      <c r="J112" s="1">
        <v>0</v>
      </c>
      <c r="K112" s="1" t="s">
        <v>1224</v>
      </c>
      <c r="L112" s="3">
        <v>424.15</v>
      </c>
      <c r="M112" s="3">
        <f t="shared" si="1"/>
        <v>424.15</v>
      </c>
    </row>
    <row r="113" spans="1:13" x14ac:dyDescent="0.35">
      <c r="A113" s="1" t="s">
        <v>697</v>
      </c>
      <c r="B113" s="1">
        <v>149418</v>
      </c>
      <c r="C113" s="1">
        <v>26929</v>
      </c>
      <c r="D113" s="1" t="s">
        <v>1217</v>
      </c>
      <c r="E113" s="1" t="s">
        <v>1217</v>
      </c>
      <c r="F113" s="1" t="s">
        <v>1217</v>
      </c>
      <c r="G113" s="5"/>
      <c r="H113" s="1" t="s">
        <v>1217</v>
      </c>
      <c r="I113" s="1" t="s">
        <v>1217</v>
      </c>
      <c r="J113" s="1" t="s">
        <v>1217</v>
      </c>
      <c r="K113" s="1" t="s">
        <v>1218</v>
      </c>
      <c r="L113" s="3">
        <v>10</v>
      </c>
      <c r="M113" s="3">
        <f t="shared" si="1"/>
        <v>10</v>
      </c>
    </row>
    <row r="114" spans="1:13" x14ac:dyDescent="0.35">
      <c r="A114" s="1" t="s">
        <v>506</v>
      </c>
      <c r="B114" s="1">
        <v>149425</v>
      </c>
      <c r="C114" s="1">
        <v>26926</v>
      </c>
      <c r="D114" s="1">
        <v>20</v>
      </c>
      <c r="E114" s="1">
        <v>0</v>
      </c>
      <c r="F114" s="1">
        <v>3513.73</v>
      </c>
      <c r="G114" s="5"/>
      <c r="H114" s="1">
        <v>3451.73</v>
      </c>
      <c r="I114" s="1">
        <v>62</v>
      </c>
      <c r="J114" s="1">
        <v>0</v>
      </c>
      <c r="K114" s="1" t="s">
        <v>1224</v>
      </c>
      <c r="L114" s="3">
        <v>424.15</v>
      </c>
      <c r="M114" s="3">
        <f t="shared" si="1"/>
        <v>424.15</v>
      </c>
    </row>
    <row r="115" spans="1:13" x14ac:dyDescent="0.35">
      <c r="A115" s="1" t="s">
        <v>506</v>
      </c>
      <c r="B115" s="1">
        <v>149425</v>
      </c>
      <c r="C115" s="1">
        <v>26926</v>
      </c>
      <c r="D115" s="1" t="s">
        <v>1217</v>
      </c>
      <c r="E115" s="1" t="s">
        <v>1217</v>
      </c>
      <c r="F115" s="1" t="s">
        <v>1217</v>
      </c>
      <c r="G115" s="5"/>
      <c r="H115" s="1" t="s">
        <v>1217</v>
      </c>
      <c r="I115" s="1" t="s">
        <v>1217</v>
      </c>
      <c r="J115" s="1" t="s">
        <v>1217</v>
      </c>
      <c r="K115" s="1" t="s">
        <v>1218</v>
      </c>
      <c r="L115" s="3">
        <v>10</v>
      </c>
      <c r="M115" s="3">
        <f t="shared" si="1"/>
        <v>10</v>
      </c>
    </row>
    <row r="116" spans="1:13" x14ac:dyDescent="0.35">
      <c r="A116" s="1" t="s">
        <v>557</v>
      </c>
      <c r="B116" s="1">
        <v>185319</v>
      </c>
      <c r="C116" s="1">
        <v>15443</v>
      </c>
      <c r="D116" s="1">
        <v>17</v>
      </c>
      <c r="E116" s="1">
        <v>0</v>
      </c>
      <c r="F116" s="1">
        <v>777.31</v>
      </c>
      <c r="G116" s="5"/>
      <c r="H116" s="1">
        <v>608.28</v>
      </c>
      <c r="I116" s="1">
        <v>169.03</v>
      </c>
      <c r="J116" s="1">
        <v>0</v>
      </c>
      <c r="K116" s="1" t="s">
        <v>1223</v>
      </c>
      <c r="L116" s="3">
        <v>509.15</v>
      </c>
      <c r="M116" s="3">
        <f t="shared" si="1"/>
        <v>509.15</v>
      </c>
    </row>
    <row r="117" spans="1:13" x14ac:dyDescent="0.35">
      <c r="A117" s="1" t="s">
        <v>557</v>
      </c>
      <c r="B117" s="1">
        <v>185319</v>
      </c>
      <c r="C117" s="1">
        <v>15443</v>
      </c>
      <c r="D117" s="1" t="s">
        <v>1217</v>
      </c>
      <c r="E117" s="1" t="s">
        <v>1217</v>
      </c>
      <c r="F117" s="1" t="s">
        <v>1217</v>
      </c>
      <c r="G117" s="5"/>
      <c r="H117" s="1" t="s">
        <v>1217</v>
      </c>
      <c r="I117" s="1" t="s">
        <v>1217</v>
      </c>
      <c r="J117" s="1" t="s">
        <v>1217</v>
      </c>
      <c r="K117" s="1" t="s">
        <v>1218</v>
      </c>
      <c r="L117" s="3">
        <v>10</v>
      </c>
      <c r="M117" s="3">
        <f t="shared" si="1"/>
        <v>10</v>
      </c>
    </row>
    <row r="118" spans="1:13" x14ac:dyDescent="0.35">
      <c r="A118" s="1" t="s">
        <v>559</v>
      </c>
      <c r="B118" s="1">
        <v>177338</v>
      </c>
      <c r="C118" s="1">
        <v>29561</v>
      </c>
      <c r="D118" s="1">
        <v>12</v>
      </c>
      <c r="E118" s="1">
        <v>0</v>
      </c>
      <c r="F118" s="1">
        <v>4878.8500000000004</v>
      </c>
      <c r="G118" s="5"/>
      <c r="H118" s="1">
        <v>1364.05</v>
      </c>
      <c r="I118" s="1">
        <v>3514.8</v>
      </c>
      <c r="J118" s="1">
        <v>0</v>
      </c>
      <c r="K118" s="1" t="s">
        <v>1223</v>
      </c>
      <c r="L118" s="3">
        <v>509.15</v>
      </c>
      <c r="M118" s="3">
        <f t="shared" si="1"/>
        <v>509.15</v>
      </c>
    </row>
    <row r="119" spans="1:13" x14ac:dyDescent="0.35">
      <c r="A119" s="1" t="s">
        <v>559</v>
      </c>
      <c r="B119" s="1">
        <v>177338</v>
      </c>
      <c r="C119" s="1">
        <v>29561</v>
      </c>
      <c r="D119" s="1" t="s">
        <v>1217</v>
      </c>
      <c r="E119" s="1" t="s">
        <v>1217</v>
      </c>
      <c r="F119" s="1" t="s">
        <v>1217</v>
      </c>
      <c r="G119" s="5"/>
      <c r="H119" s="1" t="s">
        <v>1217</v>
      </c>
      <c r="I119" s="1" t="s">
        <v>1217</v>
      </c>
      <c r="J119" s="1" t="s">
        <v>1217</v>
      </c>
      <c r="K119" s="1" t="s">
        <v>1218</v>
      </c>
      <c r="L119" s="3">
        <v>10</v>
      </c>
      <c r="M119" s="3">
        <f t="shared" si="1"/>
        <v>10</v>
      </c>
    </row>
    <row r="120" spans="1:13" x14ac:dyDescent="0.35">
      <c r="A120" s="1" t="s">
        <v>508</v>
      </c>
      <c r="B120" s="1">
        <v>149419</v>
      </c>
      <c r="C120" s="1">
        <v>26930</v>
      </c>
      <c r="D120" s="1">
        <v>20</v>
      </c>
      <c r="E120" s="1">
        <v>0</v>
      </c>
      <c r="F120" s="1">
        <v>4070.25</v>
      </c>
      <c r="G120" s="5"/>
      <c r="H120" s="1">
        <v>3958.61</v>
      </c>
      <c r="I120" s="1">
        <v>111.64</v>
      </c>
      <c r="J120" s="1">
        <v>0</v>
      </c>
      <c r="K120" s="1" t="s">
        <v>1224</v>
      </c>
      <c r="L120" s="3">
        <v>424.15</v>
      </c>
      <c r="M120" s="3">
        <f t="shared" si="1"/>
        <v>424.15</v>
      </c>
    </row>
    <row r="121" spans="1:13" x14ac:dyDescent="0.35">
      <c r="A121" s="1" t="s">
        <v>508</v>
      </c>
      <c r="B121" s="1">
        <v>149419</v>
      </c>
      <c r="C121" s="1">
        <v>26930</v>
      </c>
      <c r="D121" s="1" t="s">
        <v>1217</v>
      </c>
      <c r="E121" s="1" t="s">
        <v>1217</v>
      </c>
      <c r="F121" s="1" t="s">
        <v>1217</v>
      </c>
      <c r="G121" s="5"/>
      <c r="H121" s="1" t="s">
        <v>1217</v>
      </c>
      <c r="I121" s="1" t="s">
        <v>1217</v>
      </c>
      <c r="J121" s="1" t="s">
        <v>1217</v>
      </c>
      <c r="K121" s="1" t="s">
        <v>1218</v>
      </c>
      <c r="L121" s="3">
        <v>10</v>
      </c>
      <c r="M121" s="3">
        <f t="shared" si="1"/>
        <v>10</v>
      </c>
    </row>
    <row r="122" spans="1:13" x14ac:dyDescent="0.35">
      <c r="A122" s="1" t="s">
        <v>1235</v>
      </c>
      <c r="B122" s="1">
        <v>149421</v>
      </c>
      <c r="C122" s="1">
        <v>24151</v>
      </c>
      <c r="D122" s="1">
        <v>20</v>
      </c>
      <c r="E122" s="1">
        <v>0</v>
      </c>
      <c r="F122" s="1">
        <v>5053.22</v>
      </c>
      <c r="G122" s="5"/>
      <c r="H122" s="1">
        <v>5044.55</v>
      </c>
      <c r="I122" s="1">
        <v>8.67</v>
      </c>
      <c r="J122" s="1">
        <v>0</v>
      </c>
      <c r="K122" s="1" t="s">
        <v>1224</v>
      </c>
      <c r="L122" s="3">
        <v>424.15</v>
      </c>
      <c r="M122" s="3">
        <f t="shared" si="1"/>
        <v>424.15</v>
      </c>
    </row>
    <row r="123" spans="1:13" x14ac:dyDescent="0.35">
      <c r="A123" s="1" t="s">
        <v>1235</v>
      </c>
      <c r="B123" s="1">
        <v>149421</v>
      </c>
      <c r="C123" s="1">
        <v>24151</v>
      </c>
      <c r="D123" s="1" t="s">
        <v>1217</v>
      </c>
      <c r="E123" s="1" t="s">
        <v>1217</v>
      </c>
      <c r="F123" s="1" t="s">
        <v>1217</v>
      </c>
      <c r="G123" s="5"/>
      <c r="H123" s="1" t="s">
        <v>1217</v>
      </c>
      <c r="I123" s="1" t="s">
        <v>1217</v>
      </c>
      <c r="J123" s="1" t="s">
        <v>1217</v>
      </c>
      <c r="K123" s="1" t="s">
        <v>1218</v>
      </c>
      <c r="L123" s="3">
        <v>10</v>
      </c>
      <c r="M123" s="3">
        <f t="shared" si="1"/>
        <v>10</v>
      </c>
    </row>
    <row r="124" spans="1:13" x14ac:dyDescent="0.35">
      <c r="A124" s="1" t="s">
        <v>512</v>
      </c>
      <c r="B124" s="1">
        <v>149423</v>
      </c>
      <c r="C124" s="1">
        <v>26927</v>
      </c>
      <c r="D124" s="1">
        <v>23</v>
      </c>
      <c r="E124" s="1">
        <v>0</v>
      </c>
      <c r="F124" s="1">
        <v>4153.3</v>
      </c>
      <c r="G124" s="5"/>
      <c r="H124" s="1">
        <v>3346.64</v>
      </c>
      <c r="I124" s="1">
        <v>806.66</v>
      </c>
      <c r="J124" s="1">
        <v>0</v>
      </c>
      <c r="K124" s="1" t="s">
        <v>1224</v>
      </c>
      <c r="L124" s="3">
        <v>424.15</v>
      </c>
      <c r="M124" s="3">
        <f t="shared" si="1"/>
        <v>424.15</v>
      </c>
    </row>
    <row r="125" spans="1:13" x14ac:dyDescent="0.35">
      <c r="A125" s="1" t="s">
        <v>512</v>
      </c>
      <c r="B125" s="1">
        <v>149423</v>
      </c>
      <c r="C125" s="1">
        <v>26927</v>
      </c>
      <c r="D125" s="1" t="s">
        <v>1217</v>
      </c>
      <c r="E125" s="1" t="s">
        <v>1217</v>
      </c>
      <c r="F125" s="1" t="s">
        <v>1217</v>
      </c>
      <c r="G125" s="5"/>
      <c r="H125" s="1" t="s">
        <v>1217</v>
      </c>
      <c r="I125" s="1" t="s">
        <v>1217</v>
      </c>
      <c r="J125" s="1" t="s">
        <v>1217</v>
      </c>
      <c r="K125" s="1" t="s">
        <v>1218</v>
      </c>
      <c r="L125" s="3">
        <v>10</v>
      </c>
      <c r="M125" s="3">
        <f t="shared" si="1"/>
        <v>10</v>
      </c>
    </row>
    <row r="126" spans="1:13" x14ac:dyDescent="0.35">
      <c r="A126" s="1" t="s">
        <v>835</v>
      </c>
      <c r="B126" s="1">
        <v>177337</v>
      </c>
      <c r="C126" s="1">
        <v>29809</v>
      </c>
      <c r="D126" s="1">
        <v>12</v>
      </c>
      <c r="E126" s="1">
        <v>0</v>
      </c>
      <c r="F126" s="1">
        <v>268.94</v>
      </c>
      <c r="G126" s="5"/>
      <c r="H126" s="1">
        <v>213.64</v>
      </c>
      <c r="I126" s="1">
        <v>55.3</v>
      </c>
      <c r="J126" s="1">
        <v>0</v>
      </c>
      <c r="K126" s="1" t="s">
        <v>1216</v>
      </c>
      <c r="L126" s="3">
        <v>254.15</v>
      </c>
      <c r="M126" s="3">
        <f t="shared" si="1"/>
        <v>254.15</v>
      </c>
    </row>
    <row r="127" spans="1:13" x14ac:dyDescent="0.35">
      <c r="A127" s="1" t="s">
        <v>835</v>
      </c>
      <c r="B127" s="1">
        <v>177337</v>
      </c>
      <c r="C127" s="1">
        <v>29809</v>
      </c>
      <c r="D127" s="1" t="s">
        <v>1217</v>
      </c>
      <c r="E127" s="1" t="s">
        <v>1217</v>
      </c>
      <c r="F127" s="1" t="s">
        <v>1217</v>
      </c>
      <c r="G127" s="5"/>
      <c r="H127" s="1" t="s">
        <v>1217</v>
      </c>
      <c r="I127" s="1" t="s">
        <v>1217</v>
      </c>
      <c r="J127" s="1" t="s">
        <v>1217</v>
      </c>
      <c r="K127" s="1" t="s">
        <v>1218</v>
      </c>
      <c r="L127" s="3">
        <v>10</v>
      </c>
      <c r="M127" s="3">
        <f t="shared" si="1"/>
        <v>10</v>
      </c>
    </row>
    <row r="128" spans="1:13" x14ac:dyDescent="0.35">
      <c r="A128" s="1" t="s">
        <v>514</v>
      </c>
      <c r="B128" s="1">
        <v>149424</v>
      </c>
      <c r="C128" s="1">
        <v>26925</v>
      </c>
      <c r="D128" s="1">
        <v>20</v>
      </c>
      <c r="E128" s="1">
        <v>0</v>
      </c>
      <c r="F128" s="1">
        <v>1013</v>
      </c>
      <c r="G128" s="5"/>
      <c r="H128" s="1">
        <v>1011</v>
      </c>
      <c r="I128" s="1">
        <v>2</v>
      </c>
      <c r="J128" s="1">
        <v>0</v>
      </c>
      <c r="K128" s="1" t="s">
        <v>1224</v>
      </c>
      <c r="L128" s="3">
        <v>424.15</v>
      </c>
      <c r="M128" s="3">
        <f t="shared" si="1"/>
        <v>424.15</v>
      </c>
    </row>
    <row r="129" spans="1:13" x14ac:dyDescent="0.35">
      <c r="A129" s="1" t="s">
        <v>514</v>
      </c>
      <c r="B129" s="1">
        <v>149424</v>
      </c>
      <c r="C129" s="1">
        <v>26925</v>
      </c>
      <c r="D129" s="1" t="s">
        <v>1217</v>
      </c>
      <c r="E129" s="1" t="s">
        <v>1217</v>
      </c>
      <c r="F129" s="1" t="s">
        <v>1217</v>
      </c>
      <c r="G129" s="5"/>
      <c r="H129" s="1" t="s">
        <v>1217</v>
      </c>
      <c r="I129" s="1" t="s">
        <v>1217</v>
      </c>
      <c r="J129" s="1" t="s">
        <v>1217</v>
      </c>
      <c r="K129" s="1" t="s">
        <v>1218</v>
      </c>
      <c r="L129" s="3">
        <v>10</v>
      </c>
      <c r="M129" s="3">
        <f t="shared" si="1"/>
        <v>10</v>
      </c>
    </row>
    <row r="130" spans="1:13" x14ac:dyDescent="0.35">
      <c r="A130" s="1" t="s">
        <v>516</v>
      </c>
      <c r="B130" s="1">
        <v>149422</v>
      </c>
      <c r="C130" s="1">
        <v>26922</v>
      </c>
      <c r="D130" s="1">
        <v>20</v>
      </c>
      <c r="E130" s="1">
        <v>0</v>
      </c>
      <c r="F130" s="1">
        <v>3562.32</v>
      </c>
      <c r="G130" s="5"/>
      <c r="H130" s="1">
        <v>3526.67</v>
      </c>
      <c r="I130" s="1">
        <v>35.65</v>
      </c>
      <c r="J130" s="1">
        <v>0</v>
      </c>
      <c r="K130" s="1" t="s">
        <v>1224</v>
      </c>
      <c r="L130" s="3">
        <v>424.15</v>
      </c>
      <c r="M130" s="3">
        <f t="shared" ref="M130:M193" si="2">+L130-G130</f>
        <v>424.15</v>
      </c>
    </row>
    <row r="131" spans="1:13" x14ac:dyDescent="0.35">
      <c r="A131" s="1" t="s">
        <v>516</v>
      </c>
      <c r="B131" s="1">
        <v>149422</v>
      </c>
      <c r="C131" s="1">
        <v>26922</v>
      </c>
      <c r="D131" s="1" t="s">
        <v>1217</v>
      </c>
      <c r="E131" s="1" t="s">
        <v>1217</v>
      </c>
      <c r="F131" s="1" t="s">
        <v>1217</v>
      </c>
      <c r="G131" s="5"/>
      <c r="H131" s="1" t="s">
        <v>1217</v>
      </c>
      <c r="I131" s="1" t="s">
        <v>1217</v>
      </c>
      <c r="J131" s="1" t="s">
        <v>1217</v>
      </c>
      <c r="K131" s="1" t="s">
        <v>1218</v>
      </c>
      <c r="L131" s="3">
        <v>10</v>
      </c>
      <c r="M131" s="3">
        <f t="shared" si="2"/>
        <v>10</v>
      </c>
    </row>
    <row r="132" spans="1:13" x14ac:dyDescent="0.35">
      <c r="A132" s="1" t="s">
        <v>743</v>
      </c>
      <c r="B132" s="1">
        <v>145760</v>
      </c>
      <c r="C132" s="1">
        <v>4698</v>
      </c>
      <c r="D132" s="1">
        <v>13</v>
      </c>
      <c r="E132" s="1">
        <v>0</v>
      </c>
      <c r="F132" s="1">
        <v>1923.63</v>
      </c>
      <c r="G132" s="5"/>
      <c r="H132" s="1">
        <v>143.91</v>
      </c>
      <c r="I132" s="1">
        <v>1779.72</v>
      </c>
      <c r="J132" s="1">
        <v>0</v>
      </c>
      <c r="K132" s="1" t="s">
        <v>1216</v>
      </c>
      <c r="L132" s="3">
        <v>254.15</v>
      </c>
      <c r="M132" s="3">
        <f t="shared" si="2"/>
        <v>254.15</v>
      </c>
    </row>
    <row r="133" spans="1:13" x14ac:dyDescent="0.35">
      <c r="A133" s="1" t="s">
        <v>346</v>
      </c>
      <c r="B133" s="1">
        <v>188644</v>
      </c>
      <c r="C133" s="1">
        <v>7792</v>
      </c>
      <c r="D133" s="1">
        <v>0</v>
      </c>
      <c r="E133" s="1">
        <v>0</v>
      </c>
      <c r="F133" s="1">
        <v>0</v>
      </c>
      <c r="G133" s="5"/>
      <c r="H133" s="1">
        <v>0</v>
      </c>
      <c r="I133" s="1">
        <v>0</v>
      </c>
      <c r="J133" s="1">
        <v>0</v>
      </c>
      <c r="K133" s="1" t="s">
        <v>1214</v>
      </c>
      <c r="L133" s="3">
        <v>0</v>
      </c>
      <c r="M133" s="3">
        <f t="shared" si="2"/>
        <v>0</v>
      </c>
    </row>
    <row r="134" spans="1:13" x14ac:dyDescent="0.35">
      <c r="A134" s="1" t="s">
        <v>751</v>
      </c>
      <c r="B134" s="1">
        <v>154845</v>
      </c>
      <c r="C134" s="1">
        <v>28328</v>
      </c>
      <c r="D134" s="1">
        <v>11</v>
      </c>
      <c r="E134" s="1">
        <v>0</v>
      </c>
      <c r="F134" s="1">
        <v>8426.2000000000007</v>
      </c>
      <c r="G134" s="5">
        <v>339.91</v>
      </c>
      <c r="H134" s="1">
        <v>3270.87</v>
      </c>
      <c r="I134" s="1">
        <v>5155.33</v>
      </c>
      <c r="J134" s="1">
        <v>0</v>
      </c>
      <c r="K134" s="1" t="s">
        <v>1216</v>
      </c>
      <c r="L134" s="3">
        <v>594.05999999999995</v>
      </c>
      <c r="M134" s="3">
        <f t="shared" si="2"/>
        <v>254.14999999999992</v>
      </c>
    </row>
    <row r="135" spans="1:13" x14ac:dyDescent="0.35">
      <c r="A135" s="1" t="s">
        <v>751</v>
      </c>
      <c r="B135" s="1">
        <v>154845</v>
      </c>
      <c r="C135" s="1">
        <v>28328</v>
      </c>
      <c r="D135" s="1" t="s">
        <v>1217</v>
      </c>
      <c r="E135" s="1" t="s">
        <v>1217</v>
      </c>
      <c r="F135" s="1" t="s">
        <v>1217</v>
      </c>
      <c r="G135" s="5"/>
      <c r="H135" s="1" t="s">
        <v>1217</v>
      </c>
      <c r="I135" s="1" t="s">
        <v>1217</v>
      </c>
      <c r="J135" s="1" t="s">
        <v>1217</v>
      </c>
      <c r="K135" s="1" t="s">
        <v>1218</v>
      </c>
      <c r="L135" s="3">
        <v>10</v>
      </c>
      <c r="M135" s="3">
        <f t="shared" si="2"/>
        <v>10</v>
      </c>
    </row>
    <row r="136" spans="1:13" x14ac:dyDescent="0.35">
      <c r="A136" s="1" t="s">
        <v>664</v>
      </c>
      <c r="B136" s="1">
        <v>132558</v>
      </c>
      <c r="C136" s="1">
        <v>16879</v>
      </c>
      <c r="D136" s="1">
        <v>45</v>
      </c>
      <c r="E136" s="1">
        <v>0</v>
      </c>
      <c r="F136" s="1">
        <v>8645.8700000000008</v>
      </c>
      <c r="G136" s="5">
        <v>328.13</v>
      </c>
      <c r="H136" s="1">
        <v>6961.37</v>
      </c>
      <c r="I136" s="1">
        <v>1684.5</v>
      </c>
      <c r="J136" s="1">
        <v>0</v>
      </c>
      <c r="K136" s="1" t="s">
        <v>1223</v>
      </c>
      <c r="L136" s="3">
        <v>837.28</v>
      </c>
      <c r="M136" s="3">
        <f t="shared" si="2"/>
        <v>509.15</v>
      </c>
    </row>
    <row r="137" spans="1:13" x14ac:dyDescent="0.35">
      <c r="A137" s="1" t="s">
        <v>664</v>
      </c>
      <c r="B137" s="1">
        <v>132558</v>
      </c>
      <c r="C137" s="1">
        <v>16879</v>
      </c>
      <c r="D137" s="1" t="s">
        <v>1217</v>
      </c>
      <c r="E137" s="1" t="s">
        <v>1217</v>
      </c>
      <c r="F137" s="1" t="s">
        <v>1217</v>
      </c>
      <c r="G137" s="5"/>
      <c r="H137" s="1" t="s">
        <v>1217</v>
      </c>
      <c r="I137" s="1" t="s">
        <v>1217</v>
      </c>
      <c r="J137" s="1" t="s">
        <v>1217</v>
      </c>
      <c r="K137" s="1" t="s">
        <v>1236</v>
      </c>
      <c r="L137" s="3">
        <v>211.65</v>
      </c>
      <c r="M137" s="3">
        <f t="shared" si="2"/>
        <v>211.65</v>
      </c>
    </row>
    <row r="138" spans="1:13" x14ac:dyDescent="0.35">
      <c r="A138" s="1" t="s">
        <v>664</v>
      </c>
      <c r="B138" s="1">
        <v>132558</v>
      </c>
      <c r="C138" s="1">
        <v>16879</v>
      </c>
      <c r="D138" s="1" t="s">
        <v>1217</v>
      </c>
      <c r="E138" s="1" t="s">
        <v>1217</v>
      </c>
      <c r="F138" s="1" t="s">
        <v>1217</v>
      </c>
      <c r="G138" s="5"/>
      <c r="H138" s="1" t="s">
        <v>1217</v>
      </c>
      <c r="I138" s="1" t="s">
        <v>1217</v>
      </c>
      <c r="J138" s="1" t="s">
        <v>1217</v>
      </c>
      <c r="K138" s="1" t="s">
        <v>1218</v>
      </c>
      <c r="L138" s="3">
        <v>10</v>
      </c>
      <c r="M138" s="3">
        <f t="shared" si="2"/>
        <v>10</v>
      </c>
    </row>
    <row r="139" spans="1:13" x14ac:dyDescent="0.35">
      <c r="A139" s="1" t="s">
        <v>437</v>
      </c>
      <c r="B139" s="1">
        <v>146535</v>
      </c>
      <c r="C139" s="1">
        <v>25162</v>
      </c>
      <c r="D139" s="1">
        <v>13</v>
      </c>
      <c r="E139" s="1">
        <v>0</v>
      </c>
      <c r="F139" s="1">
        <v>3210.96</v>
      </c>
      <c r="G139" s="5"/>
      <c r="H139" s="1">
        <v>2718.76</v>
      </c>
      <c r="I139" s="1">
        <v>492.2</v>
      </c>
      <c r="J139" s="1">
        <v>0</v>
      </c>
      <c r="K139" s="1" t="s">
        <v>1223</v>
      </c>
      <c r="L139" s="3">
        <v>509.15</v>
      </c>
      <c r="M139" s="3">
        <f t="shared" si="2"/>
        <v>509.15</v>
      </c>
    </row>
    <row r="140" spans="1:13" x14ac:dyDescent="0.35">
      <c r="A140" s="1" t="s">
        <v>437</v>
      </c>
      <c r="B140" s="1">
        <v>146535</v>
      </c>
      <c r="C140" s="1">
        <v>25162</v>
      </c>
      <c r="D140" s="1" t="s">
        <v>1217</v>
      </c>
      <c r="E140" s="1" t="s">
        <v>1217</v>
      </c>
      <c r="F140" s="1" t="s">
        <v>1217</v>
      </c>
      <c r="G140" s="5"/>
      <c r="H140" s="1" t="s">
        <v>1217</v>
      </c>
      <c r="I140" s="1" t="s">
        <v>1217</v>
      </c>
      <c r="J140" s="1" t="s">
        <v>1217</v>
      </c>
      <c r="K140" s="1" t="s">
        <v>1218</v>
      </c>
      <c r="L140" s="3">
        <v>10</v>
      </c>
      <c r="M140" s="3">
        <f t="shared" si="2"/>
        <v>10</v>
      </c>
    </row>
    <row r="141" spans="1:13" x14ac:dyDescent="0.35">
      <c r="A141" s="1" t="s">
        <v>660</v>
      </c>
      <c r="B141" s="1">
        <v>135211</v>
      </c>
      <c r="C141" s="1">
        <v>15308</v>
      </c>
      <c r="D141" s="1">
        <v>28</v>
      </c>
      <c r="E141" s="1">
        <v>0</v>
      </c>
      <c r="F141" s="1">
        <v>9606.64</v>
      </c>
      <c r="G141" s="5">
        <v>414.6</v>
      </c>
      <c r="H141" s="1">
        <v>5564.02</v>
      </c>
      <c r="I141" s="1">
        <v>4042.62</v>
      </c>
      <c r="J141" s="1">
        <v>0</v>
      </c>
      <c r="K141" s="1" t="s">
        <v>1223</v>
      </c>
      <c r="L141" s="3">
        <v>923.75</v>
      </c>
      <c r="M141" s="3">
        <f t="shared" si="2"/>
        <v>509.15</v>
      </c>
    </row>
    <row r="142" spans="1:13" x14ac:dyDescent="0.35">
      <c r="A142" s="1" t="s">
        <v>660</v>
      </c>
      <c r="B142" s="1">
        <v>135211</v>
      </c>
      <c r="C142" s="1">
        <v>15308</v>
      </c>
      <c r="D142" s="1" t="s">
        <v>1217</v>
      </c>
      <c r="E142" s="1" t="s">
        <v>1217</v>
      </c>
      <c r="F142" s="1" t="s">
        <v>1217</v>
      </c>
      <c r="G142" s="5"/>
      <c r="H142" s="1" t="s">
        <v>1217</v>
      </c>
      <c r="I142" s="1" t="s">
        <v>1217</v>
      </c>
      <c r="J142" s="1" t="s">
        <v>1217</v>
      </c>
      <c r="K142" s="1" t="s">
        <v>1218</v>
      </c>
      <c r="L142" s="3">
        <v>10</v>
      </c>
      <c r="M142" s="3">
        <f t="shared" si="2"/>
        <v>10</v>
      </c>
    </row>
    <row r="143" spans="1:13" x14ac:dyDescent="0.35">
      <c r="A143" s="1" t="s">
        <v>384</v>
      </c>
      <c r="B143" s="1">
        <v>74101</v>
      </c>
      <c r="C143" s="1">
        <v>999999</v>
      </c>
      <c r="D143" s="1">
        <v>80</v>
      </c>
      <c r="E143" s="1">
        <v>0</v>
      </c>
      <c r="F143" s="1">
        <v>6518.42</v>
      </c>
      <c r="G143" s="5"/>
      <c r="H143" s="1">
        <v>6518.42</v>
      </c>
      <c r="I143" s="1">
        <v>0</v>
      </c>
      <c r="J143" s="1">
        <v>0</v>
      </c>
      <c r="K143" s="1" t="s">
        <v>1237</v>
      </c>
      <c r="L143" s="3">
        <v>551.11</v>
      </c>
      <c r="M143" s="3">
        <f t="shared" si="2"/>
        <v>551.11</v>
      </c>
    </row>
    <row r="144" spans="1:13" x14ac:dyDescent="0.35">
      <c r="A144" s="1" t="s">
        <v>415</v>
      </c>
      <c r="B144" s="1">
        <v>99644</v>
      </c>
      <c r="C144" s="1">
        <v>9973</v>
      </c>
      <c r="D144" s="1">
        <v>19</v>
      </c>
      <c r="E144" s="1">
        <v>0</v>
      </c>
      <c r="F144" s="1">
        <v>6865.19</v>
      </c>
      <c r="G144" s="5">
        <v>232.2</v>
      </c>
      <c r="H144" s="1">
        <v>5402.28</v>
      </c>
      <c r="I144" s="1">
        <v>1462.91</v>
      </c>
      <c r="J144" s="1">
        <v>0</v>
      </c>
      <c r="K144" s="1" t="s">
        <v>1216</v>
      </c>
      <c r="L144" s="3">
        <v>486.35</v>
      </c>
      <c r="M144" s="3">
        <f t="shared" si="2"/>
        <v>254.15000000000003</v>
      </c>
    </row>
    <row r="145" spans="1:13" x14ac:dyDescent="0.35">
      <c r="A145" s="1" t="s">
        <v>415</v>
      </c>
      <c r="B145" s="1">
        <v>99644</v>
      </c>
      <c r="C145" s="1">
        <v>9973</v>
      </c>
      <c r="D145" s="1" t="s">
        <v>1217</v>
      </c>
      <c r="E145" s="1" t="s">
        <v>1217</v>
      </c>
      <c r="F145" s="1" t="s">
        <v>1217</v>
      </c>
      <c r="G145" s="5"/>
      <c r="H145" s="1" t="s">
        <v>1217</v>
      </c>
      <c r="I145" s="1" t="s">
        <v>1217</v>
      </c>
      <c r="J145" s="1" t="s">
        <v>1217</v>
      </c>
      <c r="K145" s="1" t="s">
        <v>1218</v>
      </c>
      <c r="L145" s="3">
        <v>10</v>
      </c>
      <c r="M145" s="3">
        <f t="shared" si="2"/>
        <v>10</v>
      </c>
    </row>
    <row r="146" spans="1:13" x14ac:dyDescent="0.35">
      <c r="A146" s="1" t="s">
        <v>196</v>
      </c>
      <c r="B146" s="1">
        <v>156791</v>
      </c>
      <c r="C146" s="1">
        <v>28946</v>
      </c>
      <c r="D146" s="1">
        <v>16</v>
      </c>
      <c r="E146" s="1">
        <v>0</v>
      </c>
      <c r="F146" s="1">
        <v>1905.45</v>
      </c>
      <c r="G146" s="5"/>
      <c r="H146" s="1">
        <v>1904.78</v>
      </c>
      <c r="I146" s="1">
        <v>0.67</v>
      </c>
      <c r="J146" s="1">
        <v>0</v>
      </c>
      <c r="K146" s="1" t="s">
        <v>1224</v>
      </c>
      <c r="L146" s="3">
        <v>424.15</v>
      </c>
      <c r="M146" s="3">
        <f t="shared" si="2"/>
        <v>424.15</v>
      </c>
    </row>
    <row r="147" spans="1:13" x14ac:dyDescent="0.35">
      <c r="A147" s="1" t="s">
        <v>51</v>
      </c>
      <c r="B147" s="1">
        <v>93471</v>
      </c>
      <c r="C147" s="1">
        <v>10445</v>
      </c>
      <c r="D147" s="1">
        <v>65</v>
      </c>
      <c r="E147" s="1">
        <v>0</v>
      </c>
      <c r="F147" s="1">
        <v>0</v>
      </c>
      <c r="G147" s="5"/>
      <c r="H147" s="1">
        <v>0</v>
      </c>
      <c r="I147" s="1">
        <v>0</v>
      </c>
      <c r="J147" s="1">
        <v>0</v>
      </c>
      <c r="K147" s="1" t="s">
        <v>1227</v>
      </c>
      <c r="L147" s="3">
        <v>1571.65</v>
      </c>
      <c r="M147" s="3">
        <f t="shared" si="2"/>
        <v>1571.65</v>
      </c>
    </row>
    <row r="148" spans="1:13" x14ac:dyDescent="0.35">
      <c r="A148" s="1" t="s">
        <v>51</v>
      </c>
      <c r="B148" s="1">
        <v>93471</v>
      </c>
      <c r="C148" s="1">
        <v>10445</v>
      </c>
      <c r="D148" s="1" t="s">
        <v>1217</v>
      </c>
      <c r="E148" s="1" t="s">
        <v>1217</v>
      </c>
      <c r="F148" s="1" t="s">
        <v>1217</v>
      </c>
      <c r="G148" s="5"/>
      <c r="H148" s="1" t="s">
        <v>1217</v>
      </c>
      <c r="I148" s="1" t="s">
        <v>1217</v>
      </c>
      <c r="J148" s="1" t="s">
        <v>1217</v>
      </c>
      <c r="K148" s="1" t="s">
        <v>1236</v>
      </c>
      <c r="L148" s="3">
        <v>211.65</v>
      </c>
      <c r="M148" s="3">
        <f t="shared" si="2"/>
        <v>211.65</v>
      </c>
    </row>
    <row r="149" spans="1:13" x14ac:dyDescent="0.35">
      <c r="A149" s="1" t="s">
        <v>51</v>
      </c>
      <c r="B149" s="1">
        <v>93471</v>
      </c>
      <c r="C149" s="1">
        <v>10445</v>
      </c>
      <c r="D149" s="1" t="s">
        <v>1217</v>
      </c>
      <c r="E149" s="1" t="s">
        <v>1217</v>
      </c>
      <c r="F149" s="1" t="s">
        <v>1217</v>
      </c>
      <c r="G149" s="5"/>
      <c r="H149" s="1" t="s">
        <v>1217</v>
      </c>
      <c r="I149" s="1" t="s">
        <v>1217</v>
      </c>
      <c r="J149" s="1" t="s">
        <v>1217</v>
      </c>
      <c r="K149" s="1" t="s">
        <v>1218</v>
      </c>
      <c r="L149" s="3">
        <v>10</v>
      </c>
      <c r="M149" s="3">
        <f t="shared" si="2"/>
        <v>10</v>
      </c>
    </row>
    <row r="150" spans="1:13" x14ac:dyDescent="0.35">
      <c r="A150" s="1" t="s">
        <v>439</v>
      </c>
      <c r="B150" s="1">
        <v>188178</v>
      </c>
      <c r="C150" s="1">
        <v>13466</v>
      </c>
      <c r="D150" s="1">
        <v>20</v>
      </c>
      <c r="E150" s="1">
        <v>0</v>
      </c>
      <c r="F150" s="1">
        <v>1934.7</v>
      </c>
      <c r="G150" s="5"/>
      <c r="H150" s="1">
        <v>350.63</v>
      </c>
      <c r="I150" s="1">
        <v>1584.07</v>
      </c>
      <c r="J150" s="1">
        <v>0</v>
      </c>
      <c r="K150" s="1" t="s">
        <v>1238</v>
      </c>
      <c r="L150" s="3">
        <v>419</v>
      </c>
      <c r="M150" s="3">
        <f t="shared" si="2"/>
        <v>419</v>
      </c>
    </row>
    <row r="151" spans="1:13" x14ac:dyDescent="0.35">
      <c r="A151" s="1" t="s">
        <v>439</v>
      </c>
      <c r="B151" s="1">
        <v>188178</v>
      </c>
      <c r="C151" s="1">
        <v>13466</v>
      </c>
      <c r="D151" s="1" t="s">
        <v>1217</v>
      </c>
      <c r="E151" s="1" t="s">
        <v>1217</v>
      </c>
      <c r="F151" s="1" t="s">
        <v>1217</v>
      </c>
      <c r="G151" s="5"/>
      <c r="H151" s="1" t="s">
        <v>1217</v>
      </c>
      <c r="I151" s="1" t="s">
        <v>1217</v>
      </c>
      <c r="J151" s="1" t="s">
        <v>1217</v>
      </c>
      <c r="K151" s="1" t="s">
        <v>1218</v>
      </c>
      <c r="L151" s="3">
        <v>10</v>
      </c>
      <c r="M151" s="3">
        <f t="shared" si="2"/>
        <v>10</v>
      </c>
    </row>
    <row r="152" spans="1:13" x14ac:dyDescent="0.35">
      <c r="A152" s="1" t="s">
        <v>889</v>
      </c>
      <c r="B152" s="1">
        <v>81817</v>
      </c>
      <c r="C152" s="1">
        <v>17668</v>
      </c>
      <c r="D152" s="1">
        <v>102</v>
      </c>
      <c r="E152" s="1">
        <v>0</v>
      </c>
      <c r="F152" s="1">
        <v>3608.17</v>
      </c>
      <c r="G152" s="5"/>
      <c r="H152" s="1">
        <v>1541.12</v>
      </c>
      <c r="I152" s="1">
        <v>2067.0500000000002</v>
      </c>
      <c r="J152" s="1">
        <v>2006.62</v>
      </c>
      <c r="K152" s="1" t="s">
        <v>1229</v>
      </c>
      <c r="L152" s="3">
        <v>1274.1500000000001</v>
      </c>
      <c r="M152" s="3">
        <f t="shared" si="2"/>
        <v>1274.1500000000001</v>
      </c>
    </row>
    <row r="153" spans="1:13" x14ac:dyDescent="0.35">
      <c r="A153" s="1" t="s">
        <v>889</v>
      </c>
      <c r="B153" s="1">
        <v>81817</v>
      </c>
      <c r="C153" s="1">
        <v>17668</v>
      </c>
      <c r="D153" s="1" t="s">
        <v>1217</v>
      </c>
      <c r="E153" s="1" t="s">
        <v>1217</v>
      </c>
      <c r="F153" s="1" t="s">
        <v>1217</v>
      </c>
      <c r="G153" s="5"/>
      <c r="H153" s="1" t="s">
        <v>1217</v>
      </c>
      <c r="I153" s="1" t="s">
        <v>1217</v>
      </c>
      <c r="J153" s="1" t="s">
        <v>1217</v>
      </c>
      <c r="K153" s="1" t="s">
        <v>1218</v>
      </c>
      <c r="L153" s="3">
        <v>10</v>
      </c>
      <c r="M153" s="3">
        <f t="shared" si="2"/>
        <v>10</v>
      </c>
    </row>
    <row r="154" spans="1:13" x14ac:dyDescent="0.35">
      <c r="A154" s="1" t="s">
        <v>947</v>
      </c>
      <c r="B154" s="1">
        <v>143374</v>
      </c>
      <c r="C154" s="1">
        <v>24083</v>
      </c>
      <c r="D154" s="1">
        <v>18</v>
      </c>
      <c r="E154" s="1">
        <v>0</v>
      </c>
      <c r="F154" s="1">
        <v>1227.92</v>
      </c>
      <c r="G154" s="5"/>
      <c r="H154" s="1">
        <v>1227.92</v>
      </c>
      <c r="I154" s="1">
        <v>0</v>
      </c>
      <c r="J154" s="1">
        <v>0</v>
      </c>
      <c r="K154" s="1" t="s">
        <v>1216</v>
      </c>
      <c r="L154" s="3">
        <v>254.15</v>
      </c>
      <c r="M154" s="3">
        <f t="shared" si="2"/>
        <v>254.15</v>
      </c>
    </row>
    <row r="155" spans="1:13" x14ac:dyDescent="0.35">
      <c r="A155" s="1" t="s">
        <v>56</v>
      </c>
      <c r="B155" s="1">
        <v>116892</v>
      </c>
      <c r="C155" s="1">
        <v>6397</v>
      </c>
      <c r="D155" s="1">
        <v>562</v>
      </c>
      <c r="E155" s="1">
        <v>1</v>
      </c>
      <c r="F155" s="1">
        <v>52.02</v>
      </c>
      <c r="G155" s="5"/>
      <c r="H155" s="1">
        <v>52.02</v>
      </c>
      <c r="I155" s="1">
        <v>0</v>
      </c>
      <c r="J155" s="1">
        <v>2</v>
      </c>
      <c r="K155" s="1" t="s">
        <v>1227</v>
      </c>
      <c r="L155" s="3">
        <v>1571.65</v>
      </c>
      <c r="M155" s="3">
        <f t="shared" si="2"/>
        <v>1571.65</v>
      </c>
    </row>
    <row r="156" spans="1:13" x14ac:dyDescent="0.35">
      <c r="A156" s="1" t="s">
        <v>56</v>
      </c>
      <c r="B156" s="1">
        <v>116892</v>
      </c>
      <c r="C156" s="1">
        <v>6397</v>
      </c>
      <c r="D156" s="1" t="s">
        <v>1217</v>
      </c>
      <c r="E156" s="1" t="s">
        <v>1217</v>
      </c>
      <c r="F156" s="1" t="s">
        <v>1217</v>
      </c>
      <c r="G156" s="5"/>
      <c r="H156" s="1" t="s">
        <v>1217</v>
      </c>
      <c r="I156" s="1" t="s">
        <v>1217</v>
      </c>
      <c r="J156" s="1" t="s">
        <v>1217</v>
      </c>
      <c r="K156" s="1" t="s">
        <v>1218</v>
      </c>
      <c r="L156" s="3">
        <v>10</v>
      </c>
      <c r="M156" s="3">
        <f t="shared" si="2"/>
        <v>10</v>
      </c>
    </row>
    <row r="157" spans="1:13" x14ac:dyDescent="0.35">
      <c r="A157" s="1" t="s">
        <v>480</v>
      </c>
      <c r="B157" s="1">
        <v>149960</v>
      </c>
      <c r="C157" s="1">
        <v>15685</v>
      </c>
      <c r="D157" s="1">
        <v>14</v>
      </c>
      <c r="E157" s="1">
        <v>0</v>
      </c>
      <c r="F157" s="1">
        <v>3685.36</v>
      </c>
      <c r="G157" s="5">
        <v>12.79</v>
      </c>
      <c r="H157" s="1">
        <v>3615.08</v>
      </c>
      <c r="I157" s="1">
        <v>70.28</v>
      </c>
      <c r="J157" s="1">
        <v>0</v>
      </c>
      <c r="K157" s="1" t="s">
        <v>1216</v>
      </c>
      <c r="L157" s="3">
        <v>266.94</v>
      </c>
      <c r="M157" s="3">
        <f t="shared" si="2"/>
        <v>254.15</v>
      </c>
    </row>
    <row r="158" spans="1:13" x14ac:dyDescent="0.35">
      <c r="A158" s="1" t="s">
        <v>480</v>
      </c>
      <c r="B158" s="1">
        <v>149960</v>
      </c>
      <c r="C158" s="1">
        <v>15685</v>
      </c>
      <c r="D158" s="1" t="s">
        <v>1217</v>
      </c>
      <c r="E158" s="1" t="s">
        <v>1217</v>
      </c>
      <c r="F158" s="1" t="s">
        <v>1217</v>
      </c>
      <c r="G158" s="5"/>
      <c r="H158" s="1" t="s">
        <v>1217</v>
      </c>
      <c r="I158" s="1" t="s">
        <v>1217</v>
      </c>
      <c r="J158" s="1" t="s">
        <v>1217</v>
      </c>
      <c r="K158" s="1" t="s">
        <v>1218</v>
      </c>
      <c r="L158" s="3">
        <v>10</v>
      </c>
      <c r="M158" s="3">
        <f t="shared" si="2"/>
        <v>10</v>
      </c>
    </row>
    <row r="159" spans="1:13" x14ac:dyDescent="0.35">
      <c r="A159" s="1" t="s">
        <v>419</v>
      </c>
      <c r="B159" s="1">
        <v>146053</v>
      </c>
      <c r="C159" s="1">
        <v>24505</v>
      </c>
      <c r="D159" s="1">
        <v>55</v>
      </c>
      <c r="E159" s="1">
        <v>0</v>
      </c>
      <c r="F159" s="1">
        <v>19140.18</v>
      </c>
      <c r="G159" s="5"/>
      <c r="H159" s="1">
        <v>17690.849999999999</v>
      </c>
      <c r="I159" s="1">
        <v>1449.33</v>
      </c>
      <c r="J159" s="1">
        <v>17961.2</v>
      </c>
      <c r="K159" s="1" t="s">
        <v>1239</v>
      </c>
      <c r="L159" s="3">
        <v>1914</v>
      </c>
      <c r="M159" s="3">
        <f t="shared" si="2"/>
        <v>1914</v>
      </c>
    </row>
    <row r="160" spans="1:13" x14ac:dyDescent="0.35">
      <c r="A160" s="1" t="s">
        <v>419</v>
      </c>
      <c r="B160" s="1">
        <v>146053</v>
      </c>
      <c r="C160" s="1">
        <v>24505</v>
      </c>
      <c r="D160" s="1" t="s">
        <v>1217</v>
      </c>
      <c r="E160" s="1" t="s">
        <v>1217</v>
      </c>
      <c r="F160" s="1" t="s">
        <v>1217</v>
      </c>
      <c r="G160" s="5"/>
      <c r="H160" s="1" t="s">
        <v>1217</v>
      </c>
      <c r="I160" s="1" t="s">
        <v>1217</v>
      </c>
      <c r="J160" s="1" t="s">
        <v>1217</v>
      </c>
      <c r="K160" s="1" t="s">
        <v>1218</v>
      </c>
      <c r="L160" s="3">
        <v>10</v>
      </c>
      <c r="M160" s="3">
        <f t="shared" si="2"/>
        <v>10</v>
      </c>
    </row>
    <row r="161" spans="1:13" x14ac:dyDescent="0.35">
      <c r="A161" s="1" t="s">
        <v>422</v>
      </c>
      <c r="B161" s="1">
        <v>146055</v>
      </c>
      <c r="C161" s="1">
        <v>24510</v>
      </c>
      <c r="D161" s="1">
        <v>36</v>
      </c>
      <c r="E161" s="1">
        <v>0</v>
      </c>
      <c r="F161" s="1">
        <v>16076.93</v>
      </c>
      <c r="G161" s="5"/>
      <c r="H161" s="1">
        <v>12592.25</v>
      </c>
      <c r="I161" s="1">
        <v>3484.68</v>
      </c>
      <c r="J161" s="1">
        <v>14800.67</v>
      </c>
      <c r="K161" s="1" t="s">
        <v>1239</v>
      </c>
      <c r="L161" s="3">
        <v>1914</v>
      </c>
      <c r="M161" s="3">
        <f t="shared" si="2"/>
        <v>1914</v>
      </c>
    </row>
    <row r="162" spans="1:13" x14ac:dyDescent="0.35">
      <c r="A162" s="1" t="s">
        <v>422</v>
      </c>
      <c r="B162" s="1">
        <v>146055</v>
      </c>
      <c r="C162" s="1">
        <v>24510</v>
      </c>
      <c r="D162" s="1" t="s">
        <v>1217</v>
      </c>
      <c r="E162" s="1" t="s">
        <v>1217</v>
      </c>
      <c r="F162" s="1" t="s">
        <v>1217</v>
      </c>
      <c r="G162" s="5"/>
      <c r="H162" s="1" t="s">
        <v>1217</v>
      </c>
      <c r="I162" s="1" t="s">
        <v>1217</v>
      </c>
      <c r="J162" s="1" t="s">
        <v>1217</v>
      </c>
      <c r="K162" s="1" t="s">
        <v>1218</v>
      </c>
      <c r="L162" s="3">
        <v>10</v>
      </c>
      <c r="M162" s="3">
        <f t="shared" si="2"/>
        <v>10</v>
      </c>
    </row>
    <row r="163" spans="1:13" x14ac:dyDescent="0.35">
      <c r="A163" s="1" t="s">
        <v>385</v>
      </c>
      <c r="B163" s="1">
        <v>85622</v>
      </c>
      <c r="C163" s="1">
        <v>17914</v>
      </c>
      <c r="D163" s="1">
        <v>20</v>
      </c>
      <c r="E163" s="1">
        <v>0</v>
      </c>
      <c r="F163" s="1">
        <v>249.02</v>
      </c>
      <c r="G163" s="5"/>
      <c r="H163" s="1">
        <v>248.69</v>
      </c>
      <c r="I163" s="1">
        <v>0.33</v>
      </c>
      <c r="J163" s="1">
        <v>241.35</v>
      </c>
      <c r="K163" s="1" t="s">
        <v>1228</v>
      </c>
      <c r="L163" s="3">
        <v>710</v>
      </c>
      <c r="M163" s="3">
        <f t="shared" si="2"/>
        <v>710</v>
      </c>
    </row>
    <row r="164" spans="1:13" x14ac:dyDescent="0.35">
      <c r="A164" s="1" t="s">
        <v>386</v>
      </c>
      <c r="B164" s="1">
        <v>153017</v>
      </c>
      <c r="C164" s="1">
        <v>27897</v>
      </c>
      <c r="D164" s="1">
        <v>8</v>
      </c>
      <c r="E164" s="1">
        <v>0</v>
      </c>
      <c r="F164" s="1">
        <v>6.63</v>
      </c>
      <c r="G164" s="5"/>
      <c r="H164" s="1">
        <v>4.32</v>
      </c>
      <c r="I164" s="1">
        <v>2.31</v>
      </c>
      <c r="J164" s="1">
        <v>0</v>
      </c>
      <c r="K164" s="1" t="s">
        <v>1216</v>
      </c>
      <c r="L164" s="3">
        <v>254.15</v>
      </c>
      <c r="M164" s="3">
        <f t="shared" si="2"/>
        <v>254.15</v>
      </c>
    </row>
    <row r="165" spans="1:13" x14ac:dyDescent="0.35">
      <c r="A165" s="1" t="s">
        <v>386</v>
      </c>
      <c r="B165" s="1">
        <v>153017</v>
      </c>
      <c r="C165" s="1">
        <v>27897</v>
      </c>
      <c r="D165" s="1" t="s">
        <v>1217</v>
      </c>
      <c r="E165" s="1" t="s">
        <v>1217</v>
      </c>
      <c r="F165" s="1" t="s">
        <v>1217</v>
      </c>
      <c r="G165" s="5"/>
      <c r="H165" s="1" t="s">
        <v>1217</v>
      </c>
      <c r="I165" s="1" t="s">
        <v>1217</v>
      </c>
      <c r="J165" s="1" t="s">
        <v>1217</v>
      </c>
      <c r="K165" s="1" t="s">
        <v>1218</v>
      </c>
      <c r="L165" s="3">
        <v>10</v>
      </c>
      <c r="M165" s="3">
        <f t="shared" si="2"/>
        <v>10</v>
      </c>
    </row>
    <row r="166" spans="1:13" x14ac:dyDescent="0.35">
      <c r="A166" s="1" t="s">
        <v>235</v>
      </c>
      <c r="B166" s="1">
        <v>79044</v>
      </c>
      <c r="C166" s="1">
        <v>15653</v>
      </c>
      <c r="D166" s="1">
        <v>212</v>
      </c>
      <c r="E166" s="1">
        <v>1</v>
      </c>
      <c r="F166" s="1">
        <v>8188.13</v>
      </c>
      <c r="G166" s="5"/>
      <c r="H166" s="1">
        <v>8187.13</v>
      </c>
      <c r="I166" s="1">
        <v>1</v>
      </c>
      <c r="J166" s="1">
        <v>0</v>
      </c>
      <c r="K166" s="1" t="s">
        <v>1226</v>
      </c>
      <c r="L166" s="3">
        <v>1571.65</v>
      </c>
      <c r="M166" s="3">
        <f t="shared" si="2"/>
        <v>1571.65</v>
      </c>
    </row>
    <row r="167" spans="1:13" x14ac:dyDescent="0.35">
      <c r="A167" s="1" t="s">
        <v>235</v>
      </c>
      <c r="B167" s="1">
        <v>79044</v>
      </c>
      <c r="C167" s="1">
        <v>15653</v>
      </c>
      <c r="D167" s="1" t="s">
        <v>1217</v>
      </c>
      <c r="E167" s="1" t="s">
        <v>1217</v>
      </c>
      <c r="F167" s="1" t="s">
        <v>1217</v>
      </c>
      <c r="G167" s="5"/>
      <c r="H167" s="1" t="s">
        <v>1217</v>
      </c>
      <c r="I167" s="1" t="s">
        <v>1217</v>
      </c>
      <c r="J167" s="1" t="s">
        <v>1217</v>
      </c>
      <c r="K167" s="1" t="s">
        <v>1240</v>
      </c>
      <c r="L167" s="3">
        <v>10</v>
      </c>
      <c r="M167" s="3">
        <f t="shared" si="2"/>
        <v>10</v>
      </c>
    </row>
    <row r="168" spans="1:13" x14ac:dyDescent="0.35">
      <c r="A168" s="1" t="s">
        <v>235</v>
      </c>
      <c r="B168" s="1">
        <v>79044</v>
      </c>
      <c r="C168" s="1">
        <v>15653</v>
      </c>
      <c r="D168" s="1" t="s">
        <v>1217</v>
      </c>
      <c r="E168" s="1" t="s">
        <v>1217</v>
      </c>
      <c r="F168" s="1" t="s">
        <v>1217</v>
      </c>
      <c r="G168" s="5"/>
      <c r="H168" s="1" t="s">
        <v>1217</v>
      </c>
      <c r="I168" s="1" t="s">
        <v>1217</v>
      </c>
      <c r="J168" s="1" t="s">
        <v>1217</v>
      </c>
      <c r="K168" s="1" t="s">
        <v>1218</v>
      </c>
      <c r="L168" s="3">
        <v>10</v>
      </c>
      <c r="M168" s="3">
        <f t="shared" si="2"/>
        <v>10</v>
      </c>
    </row>
    <row r="169" spans="1:13" x14ac:dyDescent="0.35">
      <c r="A169" s="1" t="s">
        <v>338</v>
      </c>
      <c r="B169" s="1">
        <v>79245</v>
      </c>
      <c r="C169" s="1">
        <v>17563</v>
      </c>
      <c r="D169" s="1">
        <v>16</v>
      </c>
      <c r="E169" s="1">
        <v>0</v>
      </c>
      <c r="F169" s="1">
        <v>255.45</v>
      </c>
      <c r="G169" s="5"/>
      <c r="H169" s="1">
        <v>71.09</v>
      </c>
      <c r="I169" s="1">
        <v>184.36</v>
      </c>
      <c r="J169" s="1">
        <v>0</v>
      </c>
      <c r="K169" s="1" t="s">
        <v>1241</v>
      </c>
      <c r="L169" s="3">
        <v>0</v>
      </c>
      <c r="M169" s="3">
        <f t="shared" si="2"/>
        <v>0</v>
      </c>
    </row>
    <row r="170" spans="1:13" x14ac:dyDescent="0.35">
      <c r="A170" s="1" t="s">
        <v>956</v>
      </c>
      <c r="B170" s="1">
        <v>116893</v>
      </c>
      <c r="C170" s="1">
        <v>11012</v>
      </c>
      <c r="D170" s="1" t="s">
        <v>1217</v>
      </c>
      <c r="E170" s="1" t="s">
        <v>1217</v>
      </c>
      <c r="F170" s="1" t="s">
        <v>1217</v>
      </c>
      <c r="G170" s="5"/>
      <c r="H170" s="1" t="s">
        <v>1217</v>
      </c>
      <c r="I170" s="1" t="s">
        <v>1217</v>
      </c>
      <c r="J170" s="1" t="s">
        <v>1217</v>
      </c>
      <c r="K170" s="1" t="s">
        <v>1218</v>
      </c>
      <c r="L170" s="3">
        <v>10</v>
      </c>
      <c r="M170" s="3">
        <f t="shared" si="2"/>
        <v>10</v>
      </c>
    </row>
    <row r="171" spans="1:13" x14ac:dyDescent="0.35">
      <c r="A171" s="1" t="s">
        <v>956</v>
      </c>
      <c r="B171" s="1">
        <v>116893</v>
      </c>
      <c r="C171" s="1">
        <v>11012</v>
      </c>
      <c r="D171" s="1">
        <v>46</v>
      </c>
      <c r="E171" s="1">
        <v>0</v>
      </c>
      <c r="F171" s="1">
        <v>464.45</v>
      </c>
      <c r="G171" s="5"/>
      <c r="H171" s="1">
        <v>91.29</v>
      </c>
      <c r="I171" s="1">
        <v>373.16</v>
      </c>
      <c r="J171" s="1">
        <v>376.53</v>
      </c>
      <c r="K171" s="1" t="s">
        <v>1241</v>
      </c>
      <c r="L171" s="3">
        <v>0</v>
      </c>
      <c r="M171" s="3">
        <f t="shared" si="2"/>
        <v>0</v>
      </c>
    </row>
    <row r="172" spans="1:13" x14ac:dyDescent="0.35">
      <c r="A172" s="1" t="s">
        <v>944</v>
      </c>
      <c r="B172" s="1">
        <v>118920</v>
      </c>
      <c r="C172" s="1">
        <v>19770</v>
      </c>
      <c r="D172" s="1">
        <v>22</v>
      </c>
      <c r="E172" s="1">
        <v>0</v>
      </c>
      <c r="F172" s="1">
        <v>3843.79</v>
      </c>
      <c r="G172" s="5"/>
      <c r="H172" s="1">
        <v>2097.36</v>
      </c>
      <c r="I172" s="1">
        <v>1746.43</v>
      </c>
      <c r="J172" s="1">
        <v>0</v>
      </c>
      <c r="K172" s="1" t="s">
        <v>1224</v>
      </c>
      <c r="L172" s="3">
        <v>424.15</v>
      </c>
      <c r="M172" s="3">
        <f t="shared" si="2"/>
        <v>424.15</v>
      </c>
    </row>
    <row r="173" spans="1:13" x14ac:dyDescent="0.35">
      <c r="A173" s="1" t="s">
        <v>944</v>
      </c>
      <c r="B173" s="1">
        <v>118920</v>
      </c>
      <c r="C173" s="1">
        <v>19770</v>
      </c>
      <c r="D173" s="1" t="s">
        <v>1217</v>
      </c>
      <c r="E173" s="1" t="s">
        <v>1217</v>
      </c>
      <c r="F173" s="1" t="s">
        <v>1217</v>
      </c>
      <c r="G173" s="5"/>
      <c r="H173" s="1" t="s">
        <v>1217</v>
      </c>
      <c r="I173" s="1" t="s">
        <v>1217</v>
      </c>
      <c r="J173" s="1" t="s">
        <v>1217</v>
      </c>
      <c r="K173" s="1" t="s">
        <v>1218</v>
      </c>
      <c r="L173" s="3">
        <v>10</v>
      </c>
      <c r="M173" s="3">
        <f t="shared" si="2"/>
        <v>10</v>
      </c>
    </row>
    <row r="174" spans="1:13" x14ac:dyDescent="0.35">
      <c r="A174" s="1" t="s">
        <v>574</v>
      </c>
      <c r="B174" s="1">
        <v>118906</v>
      </c>
      <c r="C174" s="1">
        <v>19773</v>
      </c>
      <c r="D174" s="1">
        <v>16</v>
      </c>
      <c r="E174" s="1">
        <v>0</v>
      </c>
      <c r="F174" s="1">
        <v>3818.54</v>
      </c>
      <c r="G174" s="5"/>
      <c r="H174" s="1">
        <v>1650.3</v>
      </c>
      <c r="I174" s="1">
        <v>2168.2399999999998</v>
      </c>
      <c r="J174" s="1">
        <v>3272.07</v>
      </c>
      <c r="K174" s="1" t="s">
        <v>1242</v>
      </c>
      <c r="L174" s="3">
        <v>849.15</v>
      </c>
      <c r="M174" s="3">
        <f t="shared" si="2"/>
        <v>849.15</v>
      </c>
    </row>
    <row r="175" spans="1:13" x14ac:dyDescent="0.35">
      <c r="A175" s="1" t="s">
        <v>574</v>
      </c>
      <c r="B175" s="1">
        <v>118906</v>
      </c>
      <c r="C175" s="1">
        <v>19773</v>
      </c>
      <c r="D175" s="1" t="s">
        <v>1217</v>
      </c>
      <c r="E175" s="1" t="s">
        <v>1217</v>
      </c>
      <c r="F175" s="1" t="s">
        <v>1217</v>
      </c>
      <c r="G175" s="5"/>
      <c r="H175" s="1" t="s">
        <v>1217</v>
      </c>
      <c r="I175" s="1" t="s">
        <v>1217</v>
      </c>
      <c r="J175" s="1" t="s">
        <v>1217</v>
      </c>
      <c r="K175" s="1" t="s">
        <v>1218</v>
      </c>
      <c r="L175" s="3">
        <v>10</v>
      </c>
      <c r="M175" s="3">
        <f t="shared" si="2"/>
        <v>10</v>
      </c>
    </row>
    <row r="176" spans="1:13" x14ac:dyDescent="0.35">
      <c r="A176" s="1" t="s">
        <v>482</v>
      </c>
      <c r="B176" s="1">
        <v>82486</v>
      </c>
      <c r="C176" s="1">
        <v>17715</v>
      </c>
      <c r="D176" s="1">
        <v>29</v>
      </c>
      <c r="E176" s="1">
        <v>0</v>
      </c>
      <c r="F176" s="1">
        <v>17.64</v>
      </c>
      <c r="G176" s="5"/>
      <c r="H176" s="1">
        <v>11.35</v>
      </c>
      <c r="I176" s="1">
        <v>6.29</v>
      </c>
      <c r="J176" s="1">
        <v>0</v>
      </c>
      <c r="K176" s="1" t="s">
        <v>1212</v>
      </c>
      <c r="L176" s="3">
        <v>254.15</v>
      </c>
      <c r="M176" s="3">
        <f t="shared" si="2"/>
        <v>254.15</v>
      </c>
    </row>
    <row r="177" spans="1:13" x14ac:dyDescent="0.35">
      <c r="A177" s="1" t="s">
        <v>482</v>
      </c>
      <c r="B177" s="1">
        <v>82486</v>
      </c>
      <c r="C177" s="1">
        <v>17715</v>
      </c>
      <c r="D177" s="1" t="s">
        <v>1217</v>
      </c>
      <c r="E177" s="1" t="s">
        <v>1217</v>
      </c>
      <c r="F177" s="1" t="s">
        <v>1217</v>
      </c>
      <c r="G177" s="5"/>
      <c r="H177" s="1" t="s">
        <v>1217</v>
      </c>
      <c r="I177" s="1" t="s">
        <v>1217</v>
      </c>
      <c r="J177" s="1" t="s">
        <v>1217</v>
      </c>
      <c r="K177" s="1" t="s">
        <v>1218</v>
      </c>
      <c r="L177" s="3">
        <v>10</v>
      </c>
      <c r="M177" s="3">
        <f t="shared" si="2"/>
        <v>10</v>
      </c>
    </row>
    <row r="178" spans="1:13" x14ac:dyDescent="0.35">
      <c r="A178" s="1" t="s">
        <v>622</v>
      </c>
      <c r="B178" s="1">
        <v>84240</v>
      </c>
      <c r="D178" s="1">
        <v>335</v>
      </c>
      <c r="E178" s="1">
        <v>0</v>
      </c>
      <c r="F178" s="1">
        <v>21950.17</v>
      </c>
      <c r="G178" s="5"/>
      <c r="H178" s="1">
        <v>5319.21</v>
      </c>
      <c r="I178" s="1">
        <v>16630.96</v>
      </c>
      <c r="J178" s="1">
        <v>14719.62</v>
      </c>
      <c r="K178" s="1" t="s">
        <v>1220</v>
      </c>
      <c r="L178" s="3">
        <v>2533.85</v>
      </c>
      <c r="M178" s="3">
        <f t="shared" si="2"/>
        <v>2533.85</v>
      </c>
    </row>
    <row r="179" spans="1:13" x14ac:dyDescent="0.35">
      <c r="A179" s="1" t="s">
        <v>622</v>
      </c>
      <c r="B179" s="1">
        <v>84240</v>
      </c>
      <c r="D179" s="1" t="s">
        <v>1217</v>
      </c>
      <c r="E179" s="1" t="s">
        <v>1217</v>
      </c>
      <c r="F179" s="1" t="s">
        <v>1217</v>
      </c>
      <c r="G179" s="5"/>
      <c r="H179" s="1" t="s">
        <v>1217</v>
      </c>
      <c r="I179" s="1" t="s">
        <v>1217</v>
      </c>
      <c r="J179" s="1" t="s">
        <v>1217</v>
      </c>
      <c r="K179" s="1" t="s">
        <v>1218</v>
      </c>
      <c r="L179" s="3">
        <v>10</v>
      </c>
      <c r="M179" s="3">
        <f t="shared" si="2"/>
        <v>10</v>
      </c>
    </row>
    <row r="180" spans="1:13" x14ac:dyDescent="0.35">
      <c r="A180" s="1" t="s">
        <v>518</v>
      </c>
      <c r="B180" s="1">
        <v>117573</v>
      </c>
      <c r="C180" s="1">
        <v>17302</v>
      </c>
      <c r="D180" s="1">
        <v>26</v>
      </c>
      <c r="E180" s="1">
        <v>0</v>
      </c>
      <c r="F180" s="1">
        <v>2554.66</v>
      </c>
      <c r="G180" s="5"/>
      <c r="H180" s="1">
        <v>742.63</v>
      </c>
      <c r="I180" s="1">
        <v>1812.03</v>
      </c>
      <c r="J180" s="1">
        <v>0</v>
      </c>
      <c r="K180" s="1" t="s">
        <v>1224</v>
      </c>
      <c r="L180" s="3">
        <v>424.15</v>
      </c>
      <c r="M180" s="3">
        <f t="shared" si="2"/>
        <v>424.15</v>
      </c>
    </row>
    <row r="181" spans="1:13" x14ac:dyDescent="0.35">
      <c r="A181" s="1" t="s">
        <v>518</v>
      </c>
      <c r="B181" s="1">
        <v>117573</v>
      </c>
      <c r="C181" s="1">
        <v>17302</v>
      </c>
      <c r="D181" s="1" t="s">
        <v>1217</v>
      </c>
      <c r="E181" s="1" t="s">
        <v>1217</v>
      </c>
      <c r="F181" s="1" t="s">
        <v>1217</v>
      </c>
      <c r="G181" s="5"/>
      <c r="H181" s="1" t="s">
        <v>1217</v>
      </c>
      <c r="I181" s="1" t="s">
        <v>1217</v>
      </c>
      <c r="J181" s="1" t="s">
        <v>1217</v>
      </c>
      <c r="K181" s="1" t="s">
        <v>1218</v>
      </c>
      <c r="L181" s="3">
        <v>10</v>
      </c>
      <c r="M181" s="3">
        <f t="shared" si="2"/>
        <v>10</v>
      </c>
    </row>
    <row r="182" spans="1:13" x14ac:dyDescent="0.35">
      <c r="A182" s="1" t="s">
        <v>782</v>
      </c>
      <c r="B182" s="1">
        <v>79117</v>
      </c>
      <c r="C182" s="1">
        <v>17537</v>
      </c>
      <c r="D182" s="1">
        <v>32</v>
      </c>
      <c r="E182" s="1">
        <v>0</v>
      </c>
      <c r="F182" s="1">
        <v>12216.95</v>
      </c>
      <c r="G182" s="5">
        <v>329.34</v>
      </c>
      <c r="H182" s="1">
        <v>5069.07</v>
      </c>
      <c r="I182" s="1">
        <v>7147.88</v>
      </c>
      <c r="J182" s="1">
        <v>10783.52</v>
      </c>
      <c r="K182" s="1" t="s">
        <v>1228</v>
      </c>
      <c r="L182" s="3">
        <v>1039.3399999999999</v>
      </c>
      <c r="M182" s="3">
        <f t="shared" si="2"/>
        <v>710</v>
      </c>
    </row>
    <row r="183" spans="1:13" x14ac:dyDescent="0.35">
      <c r="A183" s="1" t="s">
        <v>782</v>
      </c>
      <c r="B183" s="1">
        <v>79117</v>
      </c>
      <c r="C183" s="1">
        <v>17537</v>
      </c>
      <c r="D183" s="1" t="s">
        <v>1217</v>
      </c>
      <c r="E183" s="1" t="s">
        <v>1217</v>
      </c>
      <c r="F183" s="1" t="s">
        <v>1217</v>
      </c>
      <c r="G183" s="5"/>
      <c r="H183" s="1" t="s">
        <v>1217</v>
      </c>
      <c r="I183" s="1" t="s">
        <v>1217</v>
      </c>
      <c r="J183" s="1" t="s">
        <v>1217</v>
      </c>
      <c r="K183" s="1" t="s">
        <v>1243</v>
      </c>
      <c r="L183" s="3">
        <v>20</v>
      </c>
      <c r="M183" s="3">
        <f t="shared" si="2"/>
        <v>20</v>
      </c>
    </row>
    <row r="184" spans="1:13" x14ac:dyDescent="0.35">
      <c r="A184" s="1" t="s">
        <v>782</v>
      </c>
      <c r="B184" s="1">
        <v>79117</v>
      </c>
      <c r="C184" s="1">
        <v>17537</v>
      </c>
      <c r="D184" s="1" t="s">
        <v>1217</v>
      </c>
      <c r="E184" s="1" t="s">
        <v>1217</v>
      </c>
      <c r="F184" s="1" t="s">
        <v>1217</v>
      </c>
      <c r="G184" s="5"/>
      <c r="H184" s="1" t="s">
        <v>1217</v>
      </c>
      <c r="I184" s="1" t="s">
        <v>1217</v>
      </c>
      <c r="J184" s="1" t="s">
        <v>1217</v>
      </c>
      <c r="K184" s="1" t="s">
        <v>1218</v>
      </c>
      <c r="L184" s="3">
        <v>10</v>
      </c>
      <c r="M184" s="3">
        <f t="shared" si="2"/>
        <v>10</v>
      </c>
    </row>
    <row r="185" spans="1:13" x14ac:dyDescent="0.35">
      <c r="A185" s="1" t="s">
        <v>168</v>
      </c>
      <c r="B185" s="1">
        <v>79241</v>
      </c>
      <c r="C185" s="1">
        <v>17536</v>
      </c>
      <c r="D185" s="1">
        <v>34</v>
      </c>
      <c r="E185" s="1">
        <v>0</v>
      </c>
      <c r="F185" s="1">
        <v>9824.7000000000007</v>
      </c>
      <c r="G185" s="5"/>
      <c r="H185" s="1">
        <v>7448.3</v>
      </c>
      <c r="I185" s="1">
        <v>2376.4</v>
      </c>
      <c r="J185" s="1">
        <v>9576.52</v>
      </c>
      <c r="K185" s="1" t="s">
        <v>1227</v>
      </c>
      <c r="L185" s="3">
        <v>1571.65</v>
      </c>
      <c r="M185" s="3">
        <f t="shared" si="2"/>
        <v>1571.65</v>
      </c>
    </row>
    <row r="186" spans="1:13" x14ac:dyDescent="0.35">
      <c r="A186" s="1" t="s">
        <v>168</v>
      </c>
      <c r="B186" s="1">
        <v>79241</v>
      </c>
      <c r="C186" s="1">
        <v>17536</v>
      </c>
      <c r="D186" s="1" t="s">
        <v>1217</v>
      </c>
      <c r="E186" s="1" t="s">
        <v>1217</v>
      </c>
      <c r="F186" s="1" t="s">
        <v>1217</v>
      </c>
      <c r="G186" s="5"/>
      <c r="H186" s="1" t="s">
        <v>1217</v>
      </c>
      <c r="I186" s="1" t="s">
        <v>1217</v>
      </c>
      <c r="J186" s="1" t="s">
        <v>1217</v>
      </c>
      <c r="K186" s="1" t="s">
        <v>1218</v>
      </c>
      <c r="L186" s="3">
        <v>10</v>
      </c>
      <c r="M186" s="3">
        <f t="shared" si="2"/>
        <v>10</v>
      </c>
    </row>
    <row r="187" spans="1:13" x14ac:dyDescent="0.35">
      <c r="A187" s="1" t="s">
        <v>582</v>
      </c>
      <c r="B187" s="1">
        <v>118922</v>
      </c>
      <c r="C187" s="1">
        <v>19750</v>
      </c>
      <c r="D187" s="1">
        <v>235</v>
      </c>
      <c r="E187" s="1">
        <v>0</v>
      </c>
      <c r="F187" s="1">
        <v>11938.02</v>
      </c>
      <c r="G187" s="5"/>
      <c r="H187" s="1">
        <v>4523.6000000000004</v>
      </c>
      <c r="I187" s="1">
        <v>7414.42</v>
      </c>
      <c r="J187" s="1">
        <v>10752.68</v>
      </c>
      <c r="K187" s="1" t="s">
        <v>1229</v>
      </c>
      <c r="L187" s="3">
        <v>1274.1500000000001</v>
      </c>
      <c r="M187" s="3">
        <f t="shared" si="2"/>
        <v>1274.1500000000001</v>
      </c>
    </row>
    <row r="188" spans="1:13" x14ac:dyDescent="0.35">
      <c r="A188" s="1" t="s">
        <v>582</v>
      </c>
      <c r="B188" s="1">
        <v>118922</v>
      </c>
      <c r="C188" s="1">
        <v>19750</v>
      </c>
      <c r="D188" s="1" t="s">
        <v>1217</v>
      </c>
      <c r="E188" s="1" t="s">
        <v>1217</v>
      </c>
      <c r="F188" s="1" t="s">
        <v>1217</v>
      </c>
      <c r="G188" s="5"/>
      <c r="H188" s="1" t="s">
        <v>1217</v>
      </c>
      <c r="I188" s="1" t="s">
        <v>1217</v>
      </c>
      <c r="J188" s="1" t="s">
        <v>1217</v>
      </c>
      <c r="K188" s="1" t="s">
        <v>1218</v>
      </c>
      <c r="L188" s="3">
        <v>10</v>
      </c>
      <c r="M188" s="3">
        <f t="shared" si="2"/>
        <v>10</v>
      </c>
    </row>
    <row r="189" spans="1:13" x14ac:dyDescent="0.35">
      <c r="A189" s="1" t="s">
        <v>1244</v>
      </c>
      <c r="B189" s="1">
        <v>156783</v>
      </c>
      <c r="C189" s="1">
        <v>28998</v>
      </c>
      <c r="D189" s="1">
        <v>25</v>
      </c>
      <c r="E189" s="1">
        <v>0</v>
      </c>
      <c r="F189" s="1">
        <v>8005.94</v>
      </c>
      <c r="G189" s="5"/>
      <c r="H189" s="1">
        <v>782.7</v>
      </c>
      <c r="I189" s="1">
        <v>7223.24</v>
      </c>
      <c r="J189" s="1">
        <v>6879.91</v>
      </c>
      <c r="K189" s="1" t="s">
        <v>1229</v>
      </c>
      <c r="L189" s="3">
        <v>1274.1500000000001</v>
      </c>
      <c r="M189" s="3">
        <f t="shared" si="2"/>
        <v>1274.1500000000001</v>
      </c>
    </row>
    <row r="190" spans="1:13" x14ac:dyDescent="0.35">
      <c r="A190" s="1" t="s">
        <v>1244</v>
      </c>
      <c r="B190" s="1">
        <v>156783</v>
      </c>
      <c r="C190" s="1">
        <v>28998</v>
      </c>
      <c r="D190" s="1" t="s">
        <v>1217</v>
      </c>
      <c r="E190" s="1" t="s">
        <v>1217</v>
      </c>
      <c r="F190" s="1" t="s">
        <v>1217</v>
      </c>
      <c r="G190" s="5"/>
      <c r="H190" s="1" t="s">
        <v>1217</v>
      </c>
      <c r="I190" s="1" t="s">
        <v>1217</v>
      </c>
      <c r="J190" s="1" t="s">
        <v>1217</v>
      </c>
      <c r="K190" s="1" t="s">
        <v>1243</v>
      </c>
      <c r="L190" s="3">
        <v>20</v>
      </c>
      <c r="M190" s="3">
        <f t="shared" si="2"/>
        <v>20</v>
      </c>
    </row>
    <row r="191" spans="1:13" x14ac:dyDescent="0.35">
      <c r="A191" s="1" t="s">
        <v>1244</v>
      </c>
      <c r="B191" s="1">
        <v>156783</v>
      </c>
      <c r="C191" s="1">
        <v>28998</v>
      </c>
      <c r="D191" s="1" t="s">
        <v>1217</v>
      </c>
      <c r="E191" s="1" t="s">
        <v>1217</v>
      </c>
      <c r="F191" s="1" t="s">
        <v>1217</v>
      </c>
      <c r="G191" s="5"/>
      <c r="H191" s="1" t="s">
        <v>1217</v>
      </c>
      <c r="I191" s="1" t="s">
        <v>1217</v>
      </c>
      <c r="J191" s="1" t="s">
        <v>1217</v>
      </c>
      <c r="K191" s="1" t="s">
        <v>1218</v>
      </c>
      <c r="L191" s="3">
        <v>10</v>
      </c>
      <c r="M191" s="3">
        <f t="shared" si="2"/>
        <v>10</v>
      </c>
    </row>
    <row r="192" spans="1:13" x14ac:dyDescent="0.35">
      <c r="A192" s="1" t="s">
        <v>520</v>
      </c>
      <c r="B192" s="1">
        <v>118900</v>
      </c>
      <c r="C192" s="1">
        <v>19824</v>
      </c>
      <c r="D192" s="1">
        <v>23</v>
      </c>
      <c r="E192" s="1">
        <v>0</v>
      </c>
      <c r="F192" s="1">
        <v>3104.9</v>
      </c>
      <c r="G192" s="5"/>
      <c r="H192" s="1">
        <v>414.9</v>
      </c>
      <c r="I192" s="1">
        <v>2690</v>
      </c>
      <c r="J192" s="1">
        <v>0</v>
      </c>
      <c r="K192" s="1" t="s">
        <v>1224</v>
      </c>
      <c r="L192" s="3">
        <v>424.15</v>
      </c>
      <c r="M192" s="3">
        <f t="shared" si="2"/>
        <v>424.15</v>
      </c>
    </row>
    <row r="193" spans="1:13" x14ac:dyDescent="0.35">
      <c r="A193" s="1" t="s">
        <v>520</v>
      </c>
      <c r="B193" s="1">
        <v>118900</v>
      </c>
      <c r="C193" s="1">
        <v>19824</v>
      </c>
      <c r="D193" s="1" t="s">
        <v>1217</v>
      </c>
      <c r="E193" s="1" t="s">
        <v>1217</v>
      </c>
      <c r="F193" s="1" t="s">
        <v>1217</v>
      </c>
      <c r="G193" s="5"/>
      <c r="H193" s="1" t="s">
        <v>1217</v>
      </c>
      <c r="I193" s="1" t="s">
        <v>1217</v>
      </c>
      <c r="J193" s="1" t="s">
        <v>1217</v>
      </c>
      <c r="K193" s="1" t="s">
        <v>1218</v>
      </c>
      <c r="L193" s="3">
        <v>10</v>
      </c>
      <c r="M193" s="3">
        <f t="shared" si="2"/>
        <v>10</v>
      </c>
    </row>
    <row r="194" spans="1:13" x14ac:dyDescent="0.35">
      <c r="A194" s="1" t="s">
        <v>898</v>
      </c>
      <c r="B194" s="1">
        <v>141757</v>
      </c>
      <c r="C194" s="1">
        <v>17782</v>
      </c>
      <c r="D194" s="1">
        <v>15</v>
      </c>
      <c r="E194" s="1">
        <v>0</v>
      </c>
      <c r="F194" s="1">
        <v>3171.09</v>
      </c>
      <c r="G194" s="5"/>
      <c r="H194" s="1">
        <v>2101.39</v>
      </c>
      <c r="I194" s="1">
        <v>1069.7</v>
      </c>
      <c r="J194" s="1">
        <v>0</v>
      </c>
      <c r="K194" s="1" t="s">
        <v>1245</v>
      </c>
      <c r="L194" s="3">
        <v>838</v>
      </c>
      <c r="M194" s="3">
        <f t="shared" ref="M194:M257" si="3">+L194-G194</f>
        <v>838</v>
      </c>
    </row>
    <row r="195" spans="1:13" x14ac:dyDescent="0.35">
      <c r="A195" s="1" t="s">
        <v>898</v>
      </c>
      <c r="B195" s="1">
        <v>141757</v>
      </c>
      <c r="C195" s="1">
        <v>17782</v>
      </c>
      <c r="D195" s="1" t="s">
        <v>1217</v>
      </c>
      <c r="E195" s="1" t="s">
        <v>1217</v>
      </c>
      <c r="F195" s="1" t="s">
        <v>1217</v>
      </c>
      <c r="G195" s="5"/>
      <c r="H195" s="1" t="s">
        <v>1217</v>
      </c>
      <c r="I195" s="1" t="s">
        <v>1217</v>
      </c>
      <c r="J195" s="1" t="s">
        <v>1217</v>
      </c>
      <c r="K195" s="1" t="s">
        <v>1218</v>
      </c>
      <c r="L195" s="3">
        <v>10</v>
      </c>
      <c r="M195" s="3">
        <f t="shared" si="3"/>
        <v>10</v>
      </c>
    </row>
    <row r="196" spans="1:13" x14ac:dyDescent="0.35">
      <c r="A196" s="1" t="s">
        <v>610</v>
      </c>
      <c r="B196" s="1">
        <v>118913</v>
      </c>
      <c r="C196" s="1">
        <v>19809</v>
      </c>
      <c r="D196" s="1">
        <v>220</v>
      </c>
      <c r="E196" s="1">
        <v>0</v>
      </c>
      <c r="F196" s="1">
        <v>15565.79</v>
      </c>
      <c r="G196" s="5">
        <v>239.44</v>
      </c>
      <c r="H196" s="1">
        <v>10086.15</v>
      </c>
      <c r="I196" s="1">
        <v>5479.64</v>
      </c>
      <c r="J196" s="1">
        <v>14949.95</v>
      </c>
      <c r="K196" s="1" t="s">
        <v>1229</v>
      </c>
      <c r="L196" s="3">
        <v>1513.59</v>
      </c>
      <c r="M196" s="3">
        <f t="shared" si="3"/>
        <v>1274.1499999999999</v>
      </c>
    </row>
    <row r="197" spans="1:13" x14ac:dyDescent="0.35">
      <c r="A197" s="1" t="s">
        <v>610</v>
      </c>
      <c r="B197" s="1">
        <v>118913</v>
      </c>
      <c r="C197" s="1">
        <v>19809</v>
      </c>
      <c r="D197" s="1" t="s">
        <v>1217</v>
      </c>
      <c r="E197" s="1" t="s">
        <v>1217</v>
      </c>
      <c r="F197" s="1" t="s">
        <v>1217</v>
      </c>
      <c r="G197" s="5"/>
      <c r="H197" s="1" t="s">
        <v>1217</v>
      </c>
      <c r="I197" s="1" t="s">
        <v>1217</v>
      </c>
      <c r="J197" s="1" t="s">
        <v>1217</v>
      </c>
      <c r="K197" s="1" t="s">
        <v>1218</v>
      </c>
      <c r="L197" s="3">
        <v>10</v>
      </c>
      <c r="M197" s="3">
        <f t="shared" si="3"/>
        <v>10</v>
      </c>
    </row>
    <row r="198" spans="1:13" x14ac:dyDescent="0.35">
      <c r="A198" s="1" t="s">
        <v>244</v>
      </c>
      <c r="B198" s="1">
        <v>118912</v>
      </c>
      <c r="C198" s="1">
        <v>19810</v>
      </c>
      <c r="D198" s="1">
        <v>17</v>
      </c>
      <c r="E198" s="1">
        <v>0</v>
      </c>
      <c r="F198" s="1">
        <v>4486.8100000000004</v>
      </c>
      <c r="G198" s="5"/>
      <c r="H198" s="1">
        <v>1028.29</v>
      </c>
      <c r="I198" s="1">
        <v>3458.52</v>
      </c>
      <c r="J198" s="1">
        <v>0</v>
      </c>
      <c r="K198" s="1" t="s">
        <v>1233</v>
      </c>
      <c r="L198" s="3">
        <v>588</v>
      </c>
      <c r="M198" s="3">
        <f t="shared" si="3"/>
        <v>588</v>
      </c>
    </row>
    <row r="199" spans="1:13" x14ac:dyDescent="0.35">
      <c r="A199" s="1" t="s">
        <v>244</v>
      </c>
      <c r="B199" s="1">
        <v>118912</v>
      </c>
      <c r="C199" s="1">
        <v>19810</v>
      </c>
      <c r="D199" s="1" t="s">
        <v>1217</v>
      </c>
      <c r="E199" s="1" t="s">
        <v>1217</v>
      </c>
      <c r="F199" s="1" t="s">
        <v>1217</v>
      </c>
      <c r="G199" s="5"/>
      <c r="H199" s="1" t="s">
        <v>1217</v>
      </c>
      <c r="I199" s="1" t="s">
        <v>1217</v>
      </c>
      <c r="J199" s="1" t="s">
        <v>1217</v>
      </c>
      <c r="K199" s="1" t="s">
        <v>1218</v>
      </c>
      <c r="L199" s="3">
        <v>10</v>
      </c>
      <c r="M199" s="3">
        <f t="shared" si="3"/>
        <v>10</v>
      </c>
    </row>
    <row r="200" spans="1:13" x14ac:dyDescent="0.35">
      <c r="A200" s="1" t="s">
        <v>461</v>
      </c>
      <c r="B200" s="1">
        <v>118924</v>
      </c>
      <c r="C200" s="1">
        <v>19746</v>
      </c>
      <c r="D200" s="1">
        <v>82</v>
      </c>
      <c r="E200" s="1">
        <v>0</v>
      </c>
      <c r="F200" s="1">
        <v>41253.040000000001</v>
      </c>
      <c r="G200" s="5"/>
      <c r="H200" s="1">
        <v>16911.669999999998</v>
      </c>
      <c r="I200" s="1">
        <v>24341.37</v>
      </c>
      <c r="J200" s="1">
        <v>30941.42</v>
      </c>
      <c r="K200" s="1" t="s">
        <v>1220</v>
      </c>
      <c r="L200" s="3">
        <v>2533.85</v>
      </c>
      <c r="M200" s="3">
        <f t="shared" si="3"/>
        <v>2533.85</v>
      </c>
    </row>
    <row r="201" spans="1:13" x14ac:dyDescent="0.35">
      <c r="A201" s="1" t="s">
        <v>461</v>
      </c>
      <c r="B201" s="1">
        <v>118924</v>
      </c>
      <c r="C201" s="1">
        <v>19746</v>
      </c>
      <c r="D201" s="1" t="s">
        <v>1217</v>
      </c>
      <c r="E201" s="1" t="s">
        <v>1217</v>
      </c>
      <c r="F201" s="1" t="s">
        <v>1217</v>
      </c>
      <c r="G201" s="5"/>
      <c r="H201" s="1" t="s">
        <v>1217</v>
      </c>
      <c r="I201" s="1" t="s">
        <v>1217</v>
      </c>
      <c r="J201" s="1" t="s">
        <v>1217</v>
      </c>
      <c r="K201" s="1" t="s">
        <v>1243</v>
      </c>
      <c r="L201" s="3">
        <v>20</v>
      </c>
      <c r="M201" s="3">
        <f t="shared" si="3"/>
        <v>20</v>
      </c>
    </row>
    <row r="202" spans="1:13" x14ac:dyDescent="0.35">
      <c r="A202" s="1" t="s">
        <v>461</v>
      </c>
      <c r="B202" s="1">
        <v>118924</v>
      </c>
      <c r="C202" s="1">
        <v>19746</v>
      </c>
      <c r="D202" s="1" t="s">
        <v>1217</v>
      </c>
      <c r="E202" s="1" t="s">
        <v>1217</v>
      </c>
      <c r="F202" s="1" t="s">
        <v>1217</v>
      </c>
      <c r="G202" s="5"/>
      <c r="H202" s="1" t="s">
        <v>1217</v>
      </c>
      <c r="I202" s="1" t="s">
        <v>1217</v>
      </c>
      <c r="J202" s="1" t="s">
        <v>1217</v>
      </c>
      <c r="K202" s="1" t="s">
        <v>1218</v>
      </c>
      <c r="L202" s="3">
        <v>10</v>
      </c>
      <c r="M202" s="3">
        <f t="shared" si="3"/>
        <v>10</v>
      </c>
    </row>
    <row r="203" spans="1:13" x14ac:dyDescent="0.35">
      <c r="A203" s="1" t="s">
        <v>522</v>
      </c>
      <c r="B203" s="1">
        <v>118917</v>
      </c>
      <c r="C203" s="1">
        <v>19804</v>
      </c>
      <c r="D203" s="1">
        <v>73</v>
      </c>
      <c r="E203" s="1">
        <v>0</v>
      </c>
      <c r="F203" s="1">
        <v>3775.14</v>
      </c>
      <c r="G203" s="5"/>
      <c r="H203" s="1">
        <v>626.22</v>
      </c>
      <c r="I203" s="1">
        <v>3148.92</v>
      </c>
      <c r="J203" s="1">
        <v>0</v>
      </c>
      <c r="K203" s="1" t="s">
        <v>1224</v>
      </c>
      <c r="L203" s="3">
        <v>424.15</v>
      </c>
      <c r="M203" s="3">
        <f t="shared" si="3"/>
        <v>424.15</v>
      </c>
    </row>
    <row r="204" spans="1:13" x14ac:dyDescent="0.35">
      <c r="A204" s="1" t="s">
        <v>522</v>
      </c>
      <c r="B204" s="1">
        <v>118917</v>
      </c>
      <c r="C204" s="1">
        <v>19804</v>
      </c>
      <c r="D204" s="1" t="s">
        <v>1217</v>
      </c>
      <c r="E204" s="1" t="s">
        <v>1217</v>
      </c>
      <c r="F204" s="1" t="s">
        <v>1217</v>
      </c>
      <c r="G204" s="5"/>
      <c r="H204" s="1" t="s">
        <v>1217</v>
      </c>
      <c r="I204" s="1" t="s">
        <v>1217</v>
      </c>
      <c r="J204" s="1" t="s">
        <v>1217</v>
      </c>
      <c r="K204" s="1" t="s">
        <v>1218</v>
      </c>
      <c r="L204" s="3">
        <v>10</v>
      </c>
      <c r="M204" s="3">
        <f t="shared" si="3"/>
        <v>10</v>
      </c>
    </row>
    <row r="205" spans="1:13" x14ac:dyDescent="0.35">
      <c r="A205" s="1" t="s">
        <v>524</v>
      </c>
      <c r="B205" s="1">
        <v>118916</v>
      </c>
      <c r="C205" s="1">
        <v>19806</v>
      </c>
      <c r="D205" s="1">
        <v>62</v>
      </c>
      <c r="E205" s="1">
        <v>0</v>
      </c>
      <c r="F205" s="1">
        <v>5573.17</v>
      </c>
      <c r="G205" s="5"/>
      <c r="H205" s="1">
        <v>3329.95</v>
      </c>
      <c r="I205" s="1">
        <v>2243.2199999999998</v>
      </c>
      <c r="J205" s="1">
        <v>0</v>
      </c>
      <c r="K205" s="1" t="s">
        <v>1224</v>
      </c>
      <c r="L205" s="3">
        <v>424.15</v>
      </c>
      <c r="M205" s="3">
        <f t="shared" si="3"/>
        <v>424.15</v>
      </c>
    </row>
    <row r="206" spans="1:13" x14ac:dyDescent="0.35">
      <c r="A206" s="1" t="s">
        <v>524</v>
      </c>
      <c r="B206" s="1">
        <v>118916</v>
      </c>
      <c r="C206" s="1">
        <v>19806</v>
      </c>
      <c r="D206" s="1" t="s">
        <v>1217</v>
      </c>
      <c r="E206" s="1" t="s">
        <v>1217</v>
      </c>
      <c r="F206" s="1" t="s">
        <v>1217</v>
      </c>
      <c r="G206" s="5"/>
      <c r="H206" s="1" t="s">
        <v>1217</v>
      </c>
      <c r="I206" s="1" t="s">
        <v>1217</v>
      </c>
      <c r="J206" s="1" t="s">
        <v>1217</v>
      </c>
      <c r="K206" s="1" t="s">
        <v>1218</v>
      </c>
      <c r="L206" s="3">
        <v>10</v>
      </c>
      <c r="M206" s="3">
        <f t="shared" si="3"/>
        <v>10</v>
      </c>
    </row>
    <row r="207" spans="1:13" x14ac:dyDescent="0.35">
      <c r="A207" s="1" t="s">
        <v>526</v>
      </c>
      <c r="B207" s="1">
        <v>118914</v>
      </c>
      <c r="C207" s="1">
        <v>19808</v>
      </c>
      <c r="D207" s="1">
        <v>75</v>
      </c>
      <c r="E207" s="1">
        <v>0</v>
      </c>
      <c r="F207" s="1">
        <v>2103.7600000000002</v>
      </c>
      <c r="G207" s="5"/>
      <c r="H207" s="1">
        <v>502.46</v>
      </c>
      <c r="I207" s="1">
        <v>1601.3</v>
      </c>
      <c r="J207" s="1">
        <v>0</v>
      </c>
      <c r="K207" s="1" t="s">
        <v>1224</v>
      </c>
      <c r="L207" s="3">
        <v>424.15</v>
      </c>
      <c r="M207" s="3">
        <f t="shared" si="3"/>
        <v>424.15</v>
      </c>
    </row>
    <row r="208" spans="1:13" x14ac:dyDescent="0.35">
      <c r="A208" s="1" t="s">
        <v>526</v>
      </c>
      <c r="B208" s="1">
        <v>118914</v>
      </c>
      <c r="C208" s="1">
        <v>19808</v>
      </c>
      <c r="D208" s="1" t="s">
        <v>1217</v>
      </c>
      <c r="E208" s="1" t="s">
        <v>1217</v>
      </c>
      <c r="F208" s="1" t="s">
        <v>1217</v>
      </c>
      <c r="G208" s="5"/>
      <c r="H208" s="1" t="s">
        <v>1217</v>
      </c>
      <c r="I208" s="1" t="s">
        <v>1217</v>
      </c>
      <c r="J208" s="1" t="s">
        <v>1217</v>
      </c>
      <c r="K208" s="1" t="s">
        <v>1218</v>
      </c>
      <c r="L208" s="3">
        <v>10</v>
      </c>
      <c r="M208" s="3">
        <f t="shared" si="3"/>
        <v>10</v>
      </c>
    </row>
    <row r="209" spans="1:13" x14ac:dyDescent="0.35">
      <c r="A209" s="1" t="s">
        <v>528</v>
      </c>
      <c r="B209" s="1">
        <v>118918</v>
      </c>
      <c r="C209" s="1">
        <v>19803</v>
      </c>
      <c r="D209" s="1">
        <v>55</v>
      </c>
      <c r="E209" s="1">
        <v>0</v>
      </c>
      <c r="F209" s="1">
        <v>2105.1999999999998</v>
      </c>
      <c r="G209" s="5"/>
      <c r="H209" s="1">
        <v>464.64</v>
      </c>
      <c r="I209" s="1">
        <v>1640.56</v>
      </c>
      <c r="J209" s="1">
        <v>0</v>
      </c>
      <c r="K209" s="1" t="s">
        <v>1224</v>
      </c>
      <c r="L209" s="3">
        <v>424.15</v>
      </c>
      <c r="M209" s="3">
        <f t="shared" si="3"/>
        <v>424.15</v>
      </c>
    </row>
    <row r="210" spans="1:13" x14ac:dyDescent="0.35">
      <c r="A210" s="1" t="s">
        <v>528</v>
      </c>
      <c r="B210" s="1">
        <v>118918</v>
      </c>
      <c r="C210" s="1">
        <v>19803</v>
      </c>
      <c r="D210" s="1" t="s">
        <v>1217</v>
      </c>
      <c r="E210" s="1" t="s">
        <v>1217</v>
      </c>
      <c r="F210" s="1" t="s">
        <v>1217</v>
      </c>
      <c r="G210" s="5"/>
      <c r="H210" s="1" t="s">
        <v>1217</v>
      </c>
      <c r="I210" s="1" t="s">
        <v>1217</v>
      </c>
      <c r="J210" s="1" t="s">
        <v>1217</v>
      </c>
      <c r="K210" s="1" t="s">
        <v>1218</v>
      </c>
      <c r="L210" s="3">
        <v>10</v>
      </c>
      <c r="M210" s="3">
        <f t="shared" si="3"/>
        <v>10</v>
      </c>
    </row>
    <row r="211" spans="1:13" x14ac:dyDescent="0.35">
      <c r="A211" s="1" t="s">
        <v>530</v>
      </c>
      <c r="B211" s="1">
        <v>118915</v>
      </c>
      <c r="C211" s="1">
        <v>19807</v>
      </c>
      <c r="D211" s="1">
        <v>84</v>
      </c>
      <c r="E211" s="1">
        <v>0</v>
      </c>
      <c r="F211" s="1">
        <v>7289.06</v>
      </c>
      <c r="G211" s="5"/>
      <c r="H211" s="1">
        <v>3875.69</v>
      </c>
      <c r="I211" s="1">
        <v>3413.37</v>
      </c>
      <c r="J211" s="1">
        <v>0</v>
      </c>
      <c r="K211" s="1" t="s">
        <v>1224</v>
      </c>
      <c r="L211" s="3">
        <v>424.15</v>
      </c>
      <c r="M211" s="3">
        <f t="shared" si="3"/>
        <v>424.15</v>
      </c>
    </row>
    <row r="212" spans="1:13" x14ac:dyDescent="0.35">
      <c r="A212" s="1" t="s">
        <v>530</v>
      </c>
      <c r="B212" s="1">
        <v>118915</v>
      </c>
      <c r="C212" s="1">
        <v>19807</v>
      </c>
      <c r="D212" s="1" t="s">
        <v>1217</v>
      </c>
      <c r="E212" s="1" t="s">
        <v>1217</v>
      </c>
      <c r="F212" s="1" t="s">
        <v>1217</v>
      </c>
      <c r="G212" s="5"/>
      <c r="H212" s="1" t="s">
        <v>1217</v>
      </c>
      <c r="I212" s="1" t="s">
        <v>1217</v>
      </c>
      <c r="J212" s="1" t="s">
        <v>1217</v>
      </c>
      <c r="K212" s="1" t="s">
        <v>1218</v>
      </c>
      <c r="L212" s="3">
        <v>10</v>
      </c>
      <c r="M212" s="3">
        <f t="shared" si="3"/>
        <v>10</v>
      </c>
    </row>
    <row r="213" spans="1:13" x14ac:dyDescent="0.35">
      <c r="A213" s="1" t="s">
        <v>532</v>
      </c>
      <c r="B213" s="1">
        <v>118909</v>
      </c>
      <c r="C213" s="1">
        <v>19811</v>
      </c>
      <c r="D213" s="1">
        <v>16</v>
      </c>
      <c r="E213" s="1">
        <v>0</v>
      </c>
      <c r="F213" s="1">
        <v>4593.3900000000003</v>
      </c>
      <c r="G213" s="5"/>
      <c r="H213" s="1">
        <v>3000.09</v>
      </c>
      <c r="I213" s="1">
        <v>1593.3</v>
      </c>
      <c r="J213" s="1">
        <v>0</v>
      </c>
      <c r="K213" s="1" t="s">
        <v>1224</v>
      </c>
      <c r="L213" s="3">
        <v>424.15</v>
      </c>
      <c r="M213" s="3">
        <f t="shared" si="3"/>
        <v>424.15</v>
      </c>
    </row>
    <row r="214" spans="1:13" x14ac:dyDescent="0.35">
      <c r="A214" s="1" t="s">
        <v>532</v>
      </c>
      <c r="B214" s="1">
        <v>118909</v>
      </c>
      <c r="C214" s="1">
        <v>19811</v>
      </c>
      <c r="D214" s="1" t="s">
        <v>1217</v>
      </c>
      <c r="E214" s="1" t="s">
        <v>1217</v>
      </c>
      <c r="F214" s="1" t="s">
        <v>1217</v>
      </c>
      <c r="G214" s="5"/>
      <c r="H214" s="1" t="s">
        <v>1217</v>
      </c>
      <c r="I214" s="1" t="s">
        <v>1217</v>
      </c>
      <c r="J214" s="1" t="s">
        <v>1217</v>
      </c>
      <c r="K214" s="1" t="s">
        <v>1218</v>
      </c>
      <c r="L214" s="3">
        <v>10</v>
      </c>
      <c r="M214" s="3">
        <f t="shared" si="3"/>
        <v>10</v>
      </c>
    </row>
    <row r="215" spans="1:13" x14ac:dyDescent="0.35">
      <c r="A215" s="1" t="s">
        <v>534</v>
      </c>
      <c r="B215" s="1">
        <v>118923</v>
      </c>
      <c r="C215" s="1">
        <v>19749</v>
      </c>
      <c r="D215" s="1">
        <v>17</v>
      </c>
      <c r="E215" s="1">
        <v>0</v>
      </c>
      <c r="F215" s="1">
        <v>4349.97</v>
      </c>
      <c r="G215" s="5"/>
      <c r="H215" s="1">
        <v>793.59</v>
      </c>
      <c r="I215" s="1">
        <v>3556.38</v>
      </c>
      <c r="J215" s="1">
        <v>0</v>
      </c>
      <c r="K215" s="1" t="s">
        <v>1224</v>
      </c>
      <c r="L215" s="3">
        <v>424.15</v>
      </c>
      <c r="M215" s="3">
        <f t="shared" si="3"/>
        <v>424.15</v>
      </c>
    </row>
    <row r="216" spans="1:13" x14ac:dyDescent="0.35">
      <c r="A216" s="1" t="s">
        <v>534</v>
      </c>
      <c r="B216" s="1">
        <v>118923</v>
      </c>
      <c r="C216" s="1">
        <v>19749</v>
      </c>
      <c r="D216" s="1" t="s">
        <v>1217</v>
      </c>
      <c r="E216" s="1" t="s">
        <v>1217</v>
      </c>
      <c r="F216" s="1" t="s">
        <v>1217</v>
      </c>
      <c r="G216" s="5"/>
      <c r="H216" s="1" t="s">
        <v>1217</v>
      </c>
      <c r="I216" s="1" t="s">
        <v>1217</v>
      </c>
      <c r="J216" s="1" t="s">
        <v>1217</v>
      </c>
      <c r="K216" s="1" t="s">
        <v>1218</v>
      </c>
      <c r="L216" s="3">
        <v>10</v>
      </c>
      <c r="M216" s="3">
        <f t="shared" si="3"/>
        <v>10</v>
      </c>
    </row>
    <row r="217" spans="1:13" x14ac:dyDescent="0.35">
      <c r="A217" s="1" t="s">
        <v>464</v>
      </c>
      <c r="B217" s="1">
        <v>118908</v>
      </c>
      <c r="C217" s="1">
        <v>19812</v>
      </c>
      <c r="D217" s="1">
        <v>20</v>
      </c>
      <c r="E217" s="1">
        <v>0</v>
      </c>
      <c r="F217" s="1">
        <v>2494.2399999999998</v>
      </c>
      <c r="G217" s="5"/>
      <c r="H217" s="1">
        <v>307.16000000000003</v>
      </c>
      <c r="I217" s="1">
        <v>2187.08</v>
      </c>
      <c r="J217" s="1">
        <v>0</v>
      </c>
      <c r="K217" s="1" t="s">
        <v>1224</v>
      </c>
      <c r="L217" s="3">
        <v>424.15</v>
      </c>
      <c r="M217" s="3">
        <f t="shared" si="3"/>
        <v>424.15</v>
      </c>
    </row>
    <row r="218" spans="1:13" x14ac:dyDescent="0.35">
      <c r="A218" s="1" t="s">
        <v>464</v>
      </c>
      <c r="B218" s="1">
        <v>118908</v>
      </c>
      <c r="C218" s="1">
        <v>19812</v>
      </c>
      <c r="D218" s="1" t="s">
        <v>1217</v>
      </c>
      <c r="E218" s="1" t="s">
        <v>1217</v>
      </c>
      <c r="F218" s="1" t="s">
        <v>1217</v>
      </c>
      <c r="G218" s="5"/>
      <c r="H218" s="1" t="s">
        <v>1217</v>
      </c>
      <c r="I218" s="1" t="s">
        <v>1217</v>
      </c>
      <c r="J218" s="1" t="s">
        <v>1217</v>
      </c>
      <c r="K218" s="1" t="s">
        <v>1243</v>
      </c>
      <c r="L218" s="3">
        <v>20</v>
      </c>
      <c r="M218" s="3">
        <f t="shared" si="3"/>
        <v>20</v>
      </c>
    </row>
    <row r="219" spans="1:13" x14ac:dyDescent="0.35">
      <c r="A219" s="1" t="s">
        <v>464</v>
      </c>
      <c r="B219" s="1">
        <v>118908</v>
      </c>
      <c r="C219" s="1">
        <v>19812</v>
      </c>
      <c r="D219" s="1" t="s">
        <v>1217</v>
      </c>
      <c r="E219" s="1" t="s">
        <v>1217</v>
      </c>
      <c r="F219" s="1" t="s">
        <v>1217</v>
      </c>
      <c r="G219" s="5"/>
      <c r="H219" s="1" t="s">
        <v>1217</v>
      </c>
      <c r="I219" s="1" t="s">
        <v>1217</v>
      </c>
      <c r="J219" s="1" t="s">
        <v>1217</v>
      </c>
      <c r="K219" s="1" t="s">
        <v>1218</v>
      </c>
      <c r="L219" s="3">
        <v>10</v>
      </c>
      <c r="M219" s="3">
        <f t="shared" si="3"/>
        <v>10</v>
      </c>
    </row>
    <row r="220" spans="1:13" x14ac:dyDescent="0.35">
      <c r="A220" s="1" t="s">
        <v>536</v>
      </c>
      <c r="B220" s="1">
        <v>118921</v>
      </c>
      <c r="C220" s="1">
        <v>19748</v>
      </c>
      <c r="D220" s="1">
        <v>17</v>
      </c>
      <c r="E220" s="1">
        <v>0</v>
      </c>
      <c r="F220" s="1">
        <v>8995.0499999999993</v>
      </c>
      <c r="G220" s="5">
        <v>103.16</v>
      </c>
      <c r="H220" s="1">
        <v>5468.61</v>
      </c>
      <c r="I220" s="1">
        <v>3526.44</v>
      </c>
      <c r="J220" s="1">
        <v>0</v>
      </c>
      <c r="K220" s="1" t="s">
        <v>1224</v>
      </c>
      <c r="L220" s="3">
        <v>527.30999999999995</v>
      </c>
      <c r="M220" s="3">
        <f t="shared" si="3"/>
        <v>424.15</v>
      </c>
    </row>
    <row r="221" spans="1:13" x14ac:dyDescent="0.35">
      <c r="A221" s="1" t="s">
        <v>536</v>
      </c>
      <c r="B221" s="1">
        <v>118921</v>
      </c>
      <c r="C221" s="1">
        <v>19748</v>
      </c>
      <c r="D221" s="1" t="s">
        <v>1217</v>
      </c>
      <c r="E221" s="1" t="s">
        <v>1217</v>
      </c>
      <c r="F221" s="1" t="s">
        <v>1217</v>
      </c>
      <c r="G221" s="5"/>
      <c r="H221" s="1" t="s">
        <v>1217</v>
      </c>
      <c r="I221" s="1" t="s">
        <v>1217</v>
      </c>
      <c r="J221" s="1" t="s">
        <v>1217</v>
      </c>
      <c r="K221" s="1" t="s">
        <v>1218</v>
      </c>
      <c r="L221" s="3">
        <v>10</v>
      </c>
      <c r="M221" s="3">
        <f t="shared" si="3"/>
        <v>10</v>
      </c>
    </row>
    <row r="222" spans="1:13" x14ac:dyDescent="0.35">
      <c r="A222" s="1" t="s">
        <v>687</v>
      </c>
      <c r="B222" s="1">
        <v>119596</v>
      </c>
      <c r="C222" s="1">
        <v>19976</v>
      </c>
      <c r="D222" s="1">
        <v>96</v>
      </c>
      <c r="E222" s="1">
        <v>0</v>
      </c>
      <c r="F222" s="1">
        <v>507.2</v>
      </c>
      <c r="G222" s="5"/>
      <c r="H222" s="1">
        <v>67.64</v>
      </c>
      <c r="I222" s="1">
        <v>439.56</v>
      </c>
      <c r="J222" s="1">
        <v>429.33</v>
      </c>
      <c r="K222" s="1" t="s">
        <v>1242</v>
      </c>
      <c r="L222" s="3">
        <v>849.15</v>
      </c>
      <c r="M222" s="3">
        <f t="shared" si="3"/>
        <v>849.15</v>
      </c>
    </row>
    <row r="223" spans="1:13" x14ac:dyDescent="0.35">
      <c r="A223" s="1" t="s">
        <v>690</v>
      </c>
      <c r="B223" s="1">
        <v>119126</v>
      </c>
      <c r="C223" s="1">
        <v>19975</v>
      </c>
      <c r="D223" s="1">
        <v>77</v>
      </c>
      <c r="E223" s="1">
        <v>0</v>
      </c>
      <c r="F223" s="1">
        <v>751.96</v>
      </c>
      <c r="G223" s="5"/>
      <c r="H223" s="1">
        <v>284.66000000000003</v>
      </c>
      <c r="I223" s="1">
        <v>467.3</v>
      </c>
      <c r="J223" s="1">
        <v>473.29</v>
      </c>
      <c r="K223" s="1" t="s">
        <v>1242</v>
      </c>
      <c r="L223" s="3">
        <v>849.15</v>
      </c>
      <c r="M223" s="3">
        <f t="shared" si="3"/>
        <v>849.15</v>
      </c>
    </row>
    <row r="224" spans="1:13" x14ac:dyDescent="0.35">
      <c r="A224" s="1" t="s">
        <v>866</v>
      </c>
      <c r="B224" s="1">
        <v>138536</v>
      </c>
      <c r="C224" s="1">
        <v>16121</v>
      </c>
      <c r="D224" s="1">
        <v>221</v>
      </c>
      <c r="E224" s="1">
        <v>1</v>
      </c>
      <c r="F224" s="1">
        <v>32703.23</v>
      </c>
      <c r="G224" s="5"/>
      <c r="H224" s="1">
        <v>25056.47</v>
      </c>
      <c r="I224" s="1">
        <v>7646.76</v>
      </c>
      <c r="J224" s="1">
        <v>21069.72</v>
      </c>
      <c r="K224" s="1" t="s">
        <v>1220</v>
      </c>
      <c r="L224" s="3">
        <v>2533.85</v>
      </c>
      <c r="M224" s="3">
        <f t="shared" si="3"/>
        <v>2533.85</v>
      </c>
    </row>
    <row r="225" spans="1:13" x14ac:dyDescent="0.35">
      <c r="A225" s="1" t="s">
        <v>866</v>
      </c>
      <c r="B225" s="1">
        <v>138536</v>
      </c>
      <c r="C225" s="1">
        <v>16121</v>
      </c>
      <c r="D225" s="1" t="s">
        <v>1217</v>
      </c>
      <c r="E225" s="1" t="s">
        <v>1217</v>
      </c>
      <c r="F225" s="1" t="s">
        <v>1217</v>
      </c>
      <c r="G225" s="5"/>
      <c r="H225" s="1" t="s">
        <v>1217</v>
      </c>
      <c r="I225" s="1" t="s">
        <v>1217</v>
      </c>
      <c r="J225" s="1" t="s">
        <v>1217</v>
      </c>
      <c r="K225" s="1" t="s">
        <v>1218</v>
      </c>
      <c r="L225" s="3">
        <v>10</v>
      </c>
      <c r="M225" s="3">
        <f t="shared" si="3"/>
        <v>10</v>
      </c>
    </row>
    <row r="226" spans="1:13" x14ac:dyDescent="0.35">
      <c r="A226" s="1" t="s">
        <v>580</v>
      </c>
      <c r="B226" s="1">
        <v>90416</v>
      </c>
      <c r="C226" s="1">
        <v>9103</v>
      </c>
      <c r="D226" s="1">
        <v>143</v>
      </c>
      <c r="E226" s="1">
        <v>0</v>
      </c>
      <c r="F226" s="1">
        <v>9614.06</v>
      </c>
      <c r="G226" s="5"/>
      <c r="H226" s="1">
        <v>4872.4399999999996</v>
      </c>
      <c r="I226" s="1">
        <v>4741.62</v>
      </c>
      <c r="J226" s="1">
        <v>7940.6</v>
      </c>
      <c r="K226" s="1" t="s">
        <v>1231</v>
      </c>
      <c r="L226" s="3">
        <v>1019</v>
      </c>
      <c r="M226" s="3">
        <f t="shared" si="3"/>
        <v>1019</v>
      </c>
    </row>
    <row r="227" spans="1:13" x14ac:dyDescent="0.35">
      <c r="A227" s="1" t="s">
        <v>580</v>
      </c>
      <c r="B227" s="1">
        <v>90416</v>
      </c>
      <c r="C227" s="1">
        <v>9103</v>
      </c>
      <c r="D227" s="1" t="s">
        <v>1217</v>
      </c>
      <c r="E227" s="1" t="s">
        <v>1217</v>
      </c>
      <c r="F227" s="1" t="s">
        <v>1217</v>
      </c>
      <c r="G227" s="5"/>
      <c r="H227" s="1" t="s">
        <v>1217</v>
      </c>
      <c r="I227" s="1" t="s">
        <v>1217</v>
      </c>
      <c r="J227" s="1" t="s">
        <v>1217</v>
      </c>
      <c r="K227" s="1" t="s">
        <v>1218</v>
      </c>
      <c r="L227" s="3">
        <v>10</v>
      </c>
      <c r="M227" s="3">
        <f t="shared" si="3"/>
        <v>10</v>
      </c>
    </row>
    <row r="228" spans="1:13" x14ac:dyDescent="0.35">
      <c r="A228" s="1" t="s">
        <v>304</v>
      </c>
      <c r="B228" s="1">
        <v>90532</v>
      </c>
      <c r="C228" s="1">
        <v>9100</v>
      </c>
      <c r="D228" s="1">
        <v>59</v>
      </c>
      <c r="E228" s="1">
        <v>0</v>
      </c>
      <c r="F228" s="1">
        <v>4733.6000000000004</v>
      </c>
      <c r="G228" s="5"/>
      <c r="H228" s="1">
        <v>2764.7</v>
      </c>
      <c r="I228" s="1">
        <v>1968.9</v>
      </c>
      <c r="J228" s="1">
        <v>4016.98</v>
      </c>
      <c r="K228" s="1" t="s">
        <v>1229</v>
      </c>
      <c r="L228" s="3">
        <v>1274.1500000000001</v>
      </c>
      <c r="M228" s="3">
        <f t="shared" si="3"/>
        <v>1274.1500000000001</v>
      </c>
    </row>
    <row r="229" spans="1:13" x14ac:dyDescent="0.35">
      <c r="A229" s="1" t="s">
        <v>304</v>
      </c>
      <c r="B229" s="1">
        <v>90532</v>
      </c>
      <c r="C229" s="1">
        <v>9100</v>
      </c>
      <c r="D229" s="1" t="s">
        <v>1217</v>
      </c>
      <c r="E229" s="1" t="s">
        <v>1217</v>
      </c>
      <c r="F229" s="1" t="s">
        <v>1217</v>
      </c>
      <c r="G229" s="5"/>
      <c r="H229" s="1" t="s">
        <v>1217</v>
      </c>
      <c r="I229" s="1" t="s">
        <v>1217</v>
      </c>
      <c r="J229" s="1" t="s">
        <v>1217</v>
      </c>
      <c r="K229" s="1" t="s">
        <v>1218</v>
      </c>
      <c r="L229" s="3">
        <v>10</v>
      </c>
      <c r="M229" s="3">
        <f t="shared" si="3"/>
        <v>10</v>
      </c>
    </row>
    <row r="230" spans="1:13" x14ac:dyDescent="0.35">
      <c r="A230" s="1" t="s">
        <v>307</v>
      </c>
      <c r="B230" s="1">
        <v>75178</v>
      </c>
      <c r="C230" s="1">
        <v>9104</v>
      </c>
      <c r="D230" s="1">
        <v>27</v>
      </c>
      <c r="E230" s="1">
        <v>0</v>
      </c>
      <c r="F230" s="1">
        <v>6648.22</v>
      </c>
      <c r="G230" s="5"/>
      <c r="H230" s="1">
        <v>2377.35</v>
      </c>
      <c r="I230" s="1">
        <v>4270.87</v>
      </c>
      <c r="J230" s="1">
        <v>5386.73</v>
      </c>
      <c r="K230" s="1" t="s">
        <v>1229</v>
      </c>
      <c r="L230" s="3">
        <v>1274.1500000000001</v>
      </c>
      <c r="M230" s="3">
        <f t="shared" si="3"/>
        <v>1274.1500000000001</v>
      </c>
    </row>
    <row r="231" spans="1:13" x14ac:dyDescent="0.35">
      <c r="A231" s="1" t="s">
        <v>307</v>
      </c>
      <c r="B231" s="1">
        <v>75178</v>
      </c>
      <c r="C231" s="1">
        <v>9104</v>
      </c>
      <c r="D231" s="1" t="s">
        <v>1217</v>
      </c>
      <c r="E231" s="1" t="s">
        <v>1217</v>
      </c>
      <c r="F231" s="1" t="s">
        <v>1217</v>
      </c>
      <c r="G231" s="5"/>
      <c r="H231" s="1" t="s">
        <v>1217</v>
      </c>
      <c r="I231" s="1" t="s">
        <v>1217</v>
      </c>
      <c r="J231" s="1" t="s">
        <v>1217</v>
      </c>
      <c r="K231" s="1" t="s">
        <v>1218</v>
      </c>
      <c r="L231" s="3">
        <v>10</v>
      </c>
      <c r="M231" s="3">
        <f t="shared" si="3"/>
        <v>10</v>
      </c>
    </row>
    <row r="232" spans="1:13" x14ac:dyDescent="0.35">
      <c r="A232" s="1" t="s">
        <v>309</v>
      </c>
      <c r="B232" s="1">
        <v>186357</v>
      </c>
      <c r="C232" s="1">
        <v>29183</v>
      </c>
      <c r="D232" s="1">
        <v>35</v>
      </c>
      <c r="E232" s="1">
        <v>0</v>
      </c>
      <c r="F232" s="1">
        <v>5175.25</v>
      </c>
      <c r="G232" s="5"/>
      <c r="H232" s="1">
        <v>1467.48</v>
      </c>
      <c r="I232" s="1">
        <v>3707.77</v>
      </c>
      <c r="J232" s="1">
        <v>4700.28</v>
      </c>
      <c r="K232" s="1" t="s">
        <v>1229</v>
      </c>
      <c r="L232" s="3">
        <v>1274.1500000000001</v>
      </c>
      <c r="M232" s="3">
        <f t="shared" si="3"/>
        <v>1274.1500000000001</v>
      </c>
    </row>
    <row r="233" spans="1:13" x14ac:dyDescent="0.35">
      <c r="A233" s="1" t="s">
        <v>309</v>
      </c>
      <c r="B233" s="1">
        <v>186357</v>
      </c>
      <c r="C233" s="1">
        <v>29183</v>
      </c>
      <c r="D233" s="1" t="s">
        <v>1217</v>
      </c>
      <c r="E233" s="1" t="s">
        <v>1217</v>
      </c>
      <c r="F233" s="1" t="s">
        <v>1217</v>
      </c>
      <c r="G233" s="5"/>
      <c r="H233" s="1" t="s">
        <v>1217</v>
      </c>
      <c r="I233" s="1" t="s">
        <v>1217</v>
      </c>
      <c r="J233" s="1" t="s">
        <v>1217</v>
      </c>
      <c r="K233" s="1" t="s">
        <v>1218</v>
      </c>
      <c r="L233" s="3">
        <v>10</v>
      </c>
      <c r="M233" s="3">
        <f t="shared" si="3"/>
        <v>10</v>
      </c>
    </row>
    <row r="234" spans="1:13" x14ac:dyDescent="0.35">
      <c r="A234" s="1" t="s">
        <v>117</v>
      </c>
      <c r="B234" s="1">
        <v>94617</v>
      </c>
      <c r="C234" s="1">
        <v>17989</v>
      </c>
      <c r="D234" s="1">
        <v>1</v>
      </c>
      <c r="E234" s="1">
        <v>0</v>
      </c>
      <c r="F234" s="1">
        <v>0.99</v>
      </c>
      <c r="G234" s="5"/>
      <c r="H234" s="1">
        <v>0</v>
      </c>
      <c r="I234" s="1">
        <v>0.99</v>
      </c>
      <c r="J234" s="1">
        <v>0</v>
      </c>
      <c r="K234" s="1" t="s">
        <v>1222</v>
      </c>
      <c r="L234" s="3">
        <v>129</v>
      </c>
      <c r="M234" s="3">
        <f t="shared" si="3"/>
        <v>129</v>
      </c>
    </row>
    <row r="235" spans="1:13" x14ac:dyDescent="0.35">
      <c r="A235" s="1" t="s">
        <v>117</v>
      </c>
      <c r="B235" s="1">
        <v>94617</v>
      </c>
      <c r="C235" s="1">
        <v>17989</v>
      </c>
      <c r="D235" s="1" t="s">
        <v>1217</v>
      </c>
      <c r="E235" s="1" t="s">
        <v>1217</v>
      </c>
      <c r="F235" s="1" t="s">
        <v>1217</v>
      </c>
      <c r="G235" s="5"/>
      <c r="H235" s="1" t="s">
        <v>1217</v>
      </c>
      <c r="I235" s="1" t="s">
        <v>1217</v>
      </c>
      <c r="J235" s="1" t="s">
        <v>1217</v>
      </c>
      <c r="K235" s="1" t="s">
        <v>1218</v>
      </c>
      <c r="L235" s="3">
        <v>10</v>
      </c>
      <c r="M235" s="3">
        <f t="shared" si="3"/>
        <v>10</v>
      </c>
    </row>
    <row r="236" spans="1:13" x14ac:dyDescent="0.35">
      <c r="A236" s="1" t="s">
        <v>120</v>
      </c>
      <c r="B236" s="1">
        <v>146561</v>
      </c>
      <c r="C236" s="1">
        <v>15230</v>
      </c>
      <c r="D236" s="1">
        <v>0</v>
      </c>
      <c r="E236" s="1">
        <v>0</v>
      </c>
      <c r="F236" s="1">
        <v>0</v>
      </c>
      <c r="G236" s="5"/>
      <c r="H236" s="1">
        <v>0</v>
      </c>
      <c r="I236" s="1">
        <v>0</v>
      </c>
      <c r="J236" s="1">
        <v>0</v>
      </c>
      <c r="K236" s="1" t="s">
        <v>1229</v>
      </c>
      <c r="L236" s="3">
        <v>1274.1500000000001</v>
      </c>
      <c r="M236" s="3">
        <f t="shared" si="3"/>
        <v>1274.1500000000001</v>
      </c>
    </row>
    <row r="237" spans="1:13" x14ac:dyDescent="0.35">
      <c r="A237" s="1" t="s">
        <v>120</v>
      </c>
      <c r="B237" s="1">
        <v>146561</v>
      </c>
      <c r="C237" s="1">
        <v>15230</v>
      </c>
      <c r="D237" s="1" t="s">
        <v>1217</v>
      </c>
      <c r="E237" s="1" t="s">
        <v>1217</v>
      </c>
      <c r="F237" s="1" t="s">
        <v>1217</v>
      </c>
      <c r="G237" s="5"/>
      <c r="H237" s="1" t="s">
        <v>1217</v>
      </c>
      <c r="I237" s="1" t="s">
        <v>1217</v>
      </c>
      <c r="J237" s="1" t="s">
        <v>1217</v>
      </c>
      <c r="K237" s="1" t="s">
        <v>1218</v>
      </c>
      <c r="L237" s="3">
        <v>10</v>
      </c>
      <c r="M237" s="3">
        <f t="shared" si="3"/>
        <v>10</v>
      </c>
    </row>
    <row r="238" spans="1:13" x14ac:dyDescent="0.35">
      <c r="A238" s="1" t="s">
        <v>561</v>
      </c>
      <c r="B238" s="1">
        <v>186120</v>
      </c>
      <c r="C238" s="1">
        <v>30092</v>
      </c>
      <c r="D238" s="1">
        <v>12</v>
      </c>
      <c r="E238" s="1">
        <v>0</v>
      </c>
      <c r="F238" s="1">
        <v>7791.46</v>
      </c>
      <c r="G238" s="5">
        <v>251.23</v>
      </c>
      <c r="H238" s="1">
        <v>818.16</v>
      </c>
      <c r="I238" s="1">
        <v>6973.3</v>
      </c>
      <c r="J238" s="1">
        <v>0</v>
      </c>
      <c r="K238" s="1" t="s">
        <v>1223</v>
      </c>
      <c r="L238" s="3">
        <v>760.38</v>
      </c>
      <c r="M238" s="3">
        <f t="shared" si="3"/>
        <v>509.15</v>
      </c>
    </row>
    <row r="239" spans="1:13" x14ac:dyDescent="0.35">
      <c r="A239" s="1" t="s">
        <v>561</v>
      </c>
      <c r="B239" s="1">
        <v>186120</v>
      </c>
      <c r="C239" s="1">
        <v>30092</v>
      </c>
      <c r="D239" s="1" t="s">
        <v>1217</v>
      </c>
      <c r="E239" s="1" t="s">
        <v>1217</v>
      </c>
      <c r="F239" s="1" t="s">
        <v>1217</v>
      </c>
      <c r="G239" s="5"/>
      <c r="H239" s="1" t="s">
        <v>1217</v>
      </c>
      <c r="I239" s="1" t="s">
        <v>1217</v>
      </c>
      <c r="J239" s="1" t="s">
        <v>1217</v>
      </c>
      <c r="K239" s="1" t="s">
        <v>1218</v>
      </c>
      <c r="L239" s="3">
        <v>10</v>
      </c>
      <c r="M239" s="3">
        <f t="shared" si="3"/>
        <v>10</v>
      </c>
    </row>
    <row r="240" spans="1:13" x14ac:dyDescent="0.35">
      <c r="A240" s="1" t="s">
        <v>374</v>
      </c>
      <c r="B240" s="1">
        <v>99795</v>
      </c>
      <c r="C240" s="1">
        <v>4545</v>
      </c>
      <c r="D240" s="1">
        <v>2</v>
      </c>
      <c r="E240" s="1">
        <v>0</v>
      </c>
      <c r="F240" s="1">
        <v>1.34</v>
      </c>
      <c r="G240" s="5"/>
      <c r="H240" s="1">
        <v>1.34</v>
      </c>
      <c r="I240" s="1">
        <v>0</v>
      </c>
      <c r="J240" s="1">
        <v>0</v>
      </c>
      <c r="K240" s="1" t="s">
        <v>1222</v>
      </c>
      <c r="L240" s="3">
        <v>129</v>
      </c>
      <c r="M240" s="3">
        <f t="shared" si="3"/>
        <v>129</v>
      </c>
    </row>
    <row r="241" spans="1:13" x14ac:dyDescent="0.35">
      <c r="A241" s="1" t="s">
        <v>753</v>
      </c>
      <c r="B241" s="1">
        <v>93881</v>
      </c>
      <c r="C241" s="1">
        <v>18655</v>
      </c>
      <c r="D241" s="1">
        <v>10</v>
      </c>
      <c r="E241" s="1">
        <v>0</v>
      </c>
      <c r="F241" s="1">
        <v>691.39</v>
      </c>
      <c r="G241" s="5"/>
      <c r="H241" s="1">
        <v>82.66</v>
      </c>
      <c r="I241" s="1">
        <v>608.73</v>
      </c>
      <c r="J241" s="1">
        <v>0</v>
      </c>
      <c r="K241" s="1" t="s">
        <v>1212</v>
      </c>
      <c r="L241" s="3">
        <v>254.15</v>
      </c>
      <c r="M241" s="3">
        <f t="shared" si="3"/>
        <v>254.15</v>
      </c>
    </row>
    <row r="242" spans="1:13" x14ac:dyDescent="0.35">
      <c r="A242" s="1" t="s">
        <v>753</v>
      </c>
      <c r="B242" s="1">
        <v>93881</v>
      </c>
      <c r="C242" s="1">
        <v>18655</v>
      </c>
      <c r="D242" s="1" t="s">
        <v>1217</v>
      </c>
      <c r="E242" s="1" t="s">
        <v>1217</v>
      </c>
      <c r="F242" s="1" t="s">
        <v>1217</v>
      </c>
      <c r="G242" s="5"/>
      <c r="H242" s="1" t="s">
        <v>1217</v>
      </c>
      <c r="I242" s="1" t="s">
        <v>1217</v>
      </c>
      <c r="J242" s="1" t="s">
        <v>1217</v>
      </c>
      <c r="K242" s="1" t="s">
        <v>1218</v>
      </c>
      <c r="L242" s="3">
        <v>10</v>
      </c>
      <c r="M242" s="3">
        <f t="shared" si="3"/>
        <v>10</v>
      </c>
    </row>
    <row r="243" spans="1:13" x14ac:dyDescent="0.35">
      <c r="A243" s="1" t="s">
        <v>1246</v>
      </c>
      <c r="B243" s="1">
        <v>18040</v>
      </c>
      <c r="C243" s="1">
        <v>377649</v>
      </c>
      <c r="D243" s="1">
        <v>27</v>
      </c>
      <c r="E243" s="1">
        <v>0</v>
      </c>
      <c r="F243" s="1">
        <v>4290.18</v>
      </c>
      <c r="G243" s="5"/>
      <c r="H243" s="1">
        <v>1873.3</v>
      </c>
      <c r="I243" s="1">
        <v>2416.88</v>
      </c>
      <c r="J243" s="1">
        <v>3653.9</v>
      </c>
      <c r="K243" s="1" t="s">
        <v>1242</v>
      </c>
      <c r="L243" s="3">
        <v>849.15</v>
      </c>
      <c r="M243" s="3">
        <f t="shared" si="3"/>
        <v>849.15</v>
      </c>
    </row>
    <row r="244" spans="1:13" x14ac:dyDescent="0.35">
      <c r="A244" s="1" t="s">
        <v>1246</v>
      </c>
      <c r="B244" s="1">
        <v>18040</v>
      </c>
      <c r="C244" s="1">
        <v>377649</v>
      </c>
      <c r="D244" s="1" t="s">
        <v>1217</v>
      </c>
      <c r="E244" s="1" t="s">
        <v>1217</v>
      </c>
      <c r="F244" s="1" t="s">
        <v>1217</v>
      </c>
      <c r="G244" s="5"/>
      <c r="H244" s="1" t="s">
        <v>1217</v>
      </c>
      <c r="I244" s="1" t="s">
        <v>1217</v>
      </c>
      <c r="J244" s="1" t="s">
        <v>1217</v>
      </c>
      <c r="K244" s="1" t="s">
        <v>1243</v>
      </c>
      <c r="L244" s="3">
        <v>20</v>
      </c>
      <c r="M244" s="3">
        <f t="shared" si="3"/>
        <v>20</v>
      </c>
    </row>
    <row r="245" spans="1:13" x14ac:dyDescent="0.35">
      <c r="A245" s="1" t="s">
        <v>647</v>
      </c>
      <c r="B245" s="1">
        <v>139216</v>
      </c>
      <c r="C245" s="1">
        <v>5118</v>
      </c>
      <c r="D245" s="1">
        <v>13</v>
      </c>
      <c r="E245" s="1">
        <v>0</v>
      </c>
      <c r="F245" s="1">
        <v>491.1</v>
      </c>
      <c r="G245" s="5"/>
      <c r="H245" s="1">
        <v>49.31</v>
      </c>
      <c r="I245" s="1">
        <v>441.79</v>
      </c>
      <c r="J245" s="1">
        <v>0</v>
      </c>
      <c r="K245" s="1" t="s">
        <v>1223</v>
      </c>
      <c r="L245" s="3">
        <v>509.15</v>
      </c>
      <c r="M245" s="3">
        <f t="shared" si="3"/>
        <v>509.15</v>
      </c>
    </row>
    <row r="246" spans="1:13" x14ac:dyDescent="0.35">
      <c r="A246" s="1" t="s">
        <v>851</v>
      </c>
      <c r="B246" s="1">
        <v>73576</v>
      </c>
      <c r="C246" s="1">
        <v>16761</v>
      </c>
      <c r="D246" s="1">
        <v>12</v>
      </c>
      <c r="E246" s="1">
        <v>0</v>
      </c>
      <c r="F246" s="1">
        <v>3208.86</v>
      </c>
      <c r="G246" s="5"/>
      <c r="H246" s="1">
        <v>2295.46</v>
      </c>
      <c r="I246" s="1">
        <v>913.4</v>
      </c>
      <c r="J246" s="1">
        <v>2998.21</v>
      </c>
      <c r="K246" s="1" t="s">
        <v>1228</v>
      </c>
      <c r="L246" s="3">
        <v>710</v>
      </c>
      <c r="M246" s="3">
        <f t="shared" si="3"/>
        <v>710</v>
      </c>
    </row>
    <row r="247" spans="1:13" x14ac:dyDescent="0.35">
      <c r="A247" s="1" t="s">
        <v>851</v>
      </c>
      <c r="B247" s="1">
        <v>73576</v>
      </c>
      <c r="C247" s="1">
        <v>16761</v>
      </c>
      <c r="D247" s="1" t="s">
        <v>1217</v>
      </c>
      <c r="E247" s="1" t="s">
        <v>1217</v>
      </c>
      <c r="F247" s="1" t="s">
        <v>1217</v>
      </c>
      <c r="G247" s="5"/>
      <c r="H247" s="1" t="s">
        <v>1217</v>
      </c>
      <c r="I247" s="1" t="s">
        <v>1217</v>
      </c>
      <c r="J247" s="1" t="s">
        <v>1217</v>
      </c>
      <c r="K247" s="1" t="s">
        <v>1218</v>
      </c>
      <c r="L247" s="3">
        <v>10</v>
      </c>
      <c r="M247" s="3">
        <f t="shared" si="3"/>
        <v>10</v>
      </c>
    </row>
    <row r="248" spans="1:13" x14ac:dyDescent="0.35">
      <c r="A248" s="1" t="s">
        <v>584</v>
      </c>
      <c r="B248" s="1">
        <v>108923</v>
      </c>
      <c r="C248" s="1">
        <v>16341</v>
      </c>
      <c r="D248" s="1">
        <v>40</v>
      </c>
      <c r="E248" s="1">
        <v>0</v>
      </c>
      <c r="F248" s="1">
        <v>7512.82</v>
      </c>
      <c r="G248" s="5"/>
      <c r="H248" s="1">
        <v>5457.06</v>
      </c>
      <c r="I248" s="1">
        <v>2055.7600000000002</v>
      </c>
      <c r="J248" s="1">
        <v>2026.79</v>
      </c>
      <c r="K248" s="1" t="s">
        <v>1229</v>
      </c>
      <c r="L248" s="3">
        <v>1274.1500000000001</v>
      </c>
      <c r="M248" s="3">
        <f t="shared" si="3"/>
        <v>1274.1500000000001</v>
      </c>
    </row>
    <row r="249" spans="1:13" x14ac:dyDescent="0.35">
      <c r="A249" s="1" t="s">
        <v>584</v>
      </c>
      <c r="B249" s="1">
        <v>108923</v>
      </c>
      <c r="C249" s="1">
        <v>16341</v>
      </c>
      <c r="D249" s="1" t="s">
        <v>1217</v>
      </c>
      <c r="E249" s="1" t="s">
        <v>1217</v>
      </c>
      <c r="F249" s="1" t="s">
        <v>1217</v>
      </c>
      <c r="G249" s="5"/>
      <c r="H249" s="1" t="s">
        <v>1217</v>
      </c>
      <c r="I249" s="1" t="s">
        <v>1217</v>
      </c>
      <c r="J249" s="1" t="s">
        <v>1217</v>
      </c>
      <c r="K249" s="1" t="s">
        <v>1218</v>
      </c>
      <c r="L249" s="3">
        <v>10</v>
      </c>
      <c r="M249" s="3">
        <f t="shared" si="3"/>
        <v>10</v>
      </c>
    </row>
    <row r="250" spans="1:13" x14ac:dyDescent="0.35">
      <c r="A250" s="1" t="s">
        <v>713</v>
      </c>
      <c r="B250" s="1">
        <v>96592</v>
      </c>
      <c r="C250" s="1">
        <v>16781</v>
      </c>
      <c r="D250" s="1">
        <v>59</v>
      </c>
      <c r="E250" s="1">
        <v>1</v>
      </c>
      <c r="F250" s="1">
        <v>14547.04</v>
      </c>
      <c r="G250" s="5"/>
      <c r="H250" s="1">
        <v>7681.53</v>
      </c>
      <c r="I250" s="1">
        <v>6865.51</v>
      </c>
      <c r="J250" s="1">
        <v>9897.32</v>
      </c>
      <c r="K250" s="1" t="s">
        <v>1220</v>
      </c>
      <c r="L250" s="3">
        <v>2533.85</v>
      </c>
      <c r="M250" s="3">
        <f t="shared" si="3"/>
        <v>2533.85</v>
      </c>
    </row>
    <row r="251" spans="1:13" x14ac:dyDescent="0.35">
      <c r="A251" s="1" t="s">
        <v>713</v>
      </c>
      <c r="B251" s="1">
        <v>96592</v>
      </c>
      <c r="C251" s="1">
        <v>16781</v>
      </c>
      <c r="D251" s="1" t="s">
        <v>1217</v>
      </c>
      <c r="E251" s="1" t="s">
        <v>1217</v>
      </c>
      <c r="F251" s="1" t="s">
        <v>1217</v>
      </c>
      <c r="G251" s="5"/>
      <c r="H251" s="1" t="s">
        <v>1217</v>
      </c>
      <c r="I251" s="1" t="s">
        <v>1217</v>
      </c>
      <c r="J251" s="1" t="s">
        <v>1217</v>
      </c>
      <c r="K251" s="1" t="s">
        <v>1218</v>
      </c>
      <c r="L251" s="3">
        <v>10</v>
      </c>
      <c r="M251" s="3">
        <f t="shared" si="3"/>
        <v>10</v>
      </c>
    </row>
    <row r="252" spans="1:13" x14ac:dyDescent="0.35">
      <c r="A252" s="1" t="s">
        <v>713</v>
      </c>
      <c r="B252" s="1">
        <v>96592</v>
      </c>
      <c r="C252" s="1">
        <v>16781</v>
      </c>
      <c r="D252" s="1" t="s">
        <v>1217</v>
      </c>
      <c r="E252" s="1" t="s">
        <v>1217</v>
      </c>
      <c r="F252" s="1" t="s">
        <v>1217</v>
      </c>
      <c r="G252" s="5"/>
      <c r="H252" s="1" t="s">
        <v>1217</v>
      </c>
      <c r="I252" s="1" t="s">
        <v>1217</v>
      </c>
      <c r="J252" s="1" t="s">
        <v>1217</v>
      </c>
      <c r="K252" s="1" t="s">
        <v>1247</v>
      </c>
      <c r="L252" s="3">
        <v>0</v>
      </c>
      <c r="M252" s="3">
        <f t="shared" si="3"/>
        <v>0</v>
      </c>
    </row>
    <row r="253" spans="1:13" x14ac:dyDescent="0.35">
      <c r="A253" s="1" t="s">
        <v>347</v>
      </c>
      <c r="B253" s="1">
        <v>188956</v>
      </c>
      <c r="C253" s="1">
        <v>25376</v>
      </c>
      <c r="D253" s="1">
        <v>0</v>
      </c>
      <c r="E253" s="1">
        <v>0</v>
      </c>
      <c r="F253" s="1">
        <v>0</v>
      </c>
      <c r="G253" s="5"/>
      <c r="H253" s="1">
        <v>0</v>
      </c>
      <c r="I253" s="1">
        <v>0</v>
      </c>
      <c r="J253" s="1">
        <v>0</v>
      </c>
      <c r="K253" s="1" t="s">
        <v>1214</v>
      </c>
      <c r="L253" s="3">
        <v>0</v>
      </c>
      <c r="M253" s="3">
        <f t="shared" si="3"/>
        <v>0</v>
      </c>
    </row>
    <row r="254" spans="1:13" x14ac:dyDescent="0.35">
      <c r="A254" s="1" t="s">
        <v>349</v>
      </c>
      <c r="B254" s="1">
        <v>76985</v>
      </c>
      <c r="D254" s="1">
        <v>0</v>
      </c>
      <c r="E254" s="1">
        <v>0</v>
      </c>
      <c r="F254" s="1">
        <v>0</v>
      </c>
      <c r="G254" s="5"/>
      <c r="H254" s="1">
        <v>0</v>
      </c>
      <c r="I254" s="1">
        <v>0</v>
      </c>
      <c r="J254" s="1">
        <v>0</v>
      </c>
      <c r="K254" s="1" t="s">
        <v>1248</v>
      </c>
      <c r="L254" s="3">
        <v>0</v>
      </c>
      <c r="M254" s="3">
        <f t="shared" si="3"/>
        <v>0</v>
      </c>
    </row>
    <row r="255" spans="1:13" x14ac:dyDescent="0.35">
      <c r="A255" s="1" t="s">
        <v>675</v>
      </c>
      <c r="B255" s="1">
        <v>154901</v>
      </c>
      <c r="C255" s="1">
        <v>28188</v>
      </c>
      <c r="D255" s="1">
        <v>5</v>
      </c>
      <c r="E255" s="1">
        <v>0</v>
      </c>
      <c r="F255" s="1">
        <v>1211</v>
      </c>
      <c r="G255" s="5"/>
      <c r="H255" s="1">
        <v>827.77</v>
      </c>
      <c r="I255" s="1">
        <v>383.23</v>
      </c>
      <c r="J255" s="1">
        <v>0</v>
      </c>
      <c r="K255" s="1" t="s">
        <v>1216</v>
      </c>
      <c r="L255" s="3">
        <v>254.15</v>
      </c>
      <c r="M255" s="3">
        <f t="shared" si="3"/>
        <v>254.15</v>
      </c>
    </row>
    <row r="256" spans="1:13" x14ac:dyDescent="0.35">
      <c r="A256" s="1" t="s">
        <v>675</v>
      </c>
      <c r="B256" s="1">
        <v>154901</v>
      </c>
      <c r="C256" s="1">
        <v>28188</v>
      </c>
      <c r="D256" s="1" t="s">
        <v>1217</v>
      </c>
      <c r="E256" s="1" t="s">
        <v>1217</v>
      </c>
      <c r="F256" s="1" t="s">
        <v>1217</v>
      </c>
      <c r="G256" s="5"/>
      <c r="H256" s="1" t="s">
        <v>1217</v>
      </c>
      <c r="I256" s="1" t="s">
        <v>1217</v>
      </c>
      <c r="J256" s="1" t="s">
        <v>1217</v>
      </c>
      <c r="K256" s="1" t="s">
        <v>1218</v>
      </c>
      <c r="L256" s="3">
        <v>10</v>
      </c>
      <c r="M256" s="3">
        <f t="shared" si="3"/>
        <v>10</v>
      </c>
    </row>
    <row r="257" spans="1:13" x14ac:dyDescent="0.35">
      <c r="A257" s="1" t="s">
        <v>586</v>
      </c>
      <c r="B257" s="1">
        <v>59090</v>
      </c>
      <c r="C257" s="1">
        <v>16303</v>
      </c>
      <c r="D257" s="1">
        <v>45</v>
      </c>
      <c r="E257" s="1">
        <v>1</v>
      </c>
      <c r="F257" s="1">
        <v>3597.68</v>
      </c>
      <c r="G257" s="5"/>
      <c r="H257" s="1">
        <v>1514.99</v>
      </c>
      <c r="I257" s="1">
        <v>2082.69</v>
      </c>
      <c r="J257" s="1">
        <v>2322.58</v>
      </c>
      <c r="K257" s="1" t="s">
        <v>1229</v>
      </c>
      <c r="L257" s="3">
        <v>1274.1500000000001</v>
      </c>
      <c r="M257" s="3">
        <f t="shared" si="3"/>
        <v>1274.1500000000001</v>
      </c>
    </row>
    <row r="258" spans="1:13" x14ac:dyDescent="0.35">
      <c r="A258" s="1" t="s">
        <v>586</v>
      </c>
      <c r="B258" s="1">
        <v>59090</v>
      </c>
      <c r="C258" s="1">
        <v>16303</v>
      </c>
      <c r="D258" s="1" t="s">
        <v>1217</v>
      </c>
      <c r="E258" s="1" t="s">
        <v>1217</v>
      </c>
      <c r="F258" s="1" t="s">
        <v>1217</v>
      </c>
      <c r="G258" s="5"/>
      <c r="H258" s="1" t="s">
        <v>1217</v>
      </c>
      <c r="I258" s="1" t="s">
        <v>1217</v>
      </c>
      <c r="J258" s="1" t="s">
        <v>1217</v>
      </c>
      <c r="K258" s="1" t="s">
        <v>1218</v>
      </c>
      <c r="L258" s="3">
        <v>10</v>
      </c>
      <c r="M258" s="3">
        <f t="shared" ref="M258:M321" si="4">+L258-G258</f>
        <v>10</v>
      </c>
    </row>
    <row r="259" spans="1:13" x14ac:dyDescent="0.35">
      <c r="A259" s="1" t="s">
        <v>588</v>
      </c>
      <c r="B259" s="1">
        <v>154900</v>
      </c>
      <c r="C259" s="1">
        <v>28187</v>
      </c>
      <c r="D259" s="1">
        <v>24</v>
      </c>
      <c r="E259" s="1">
        <v>0</v>
      </c>
      <c r="F259" s="1">
        <v>7062.71</v>
      </c>
      <c r="G259" s="5"/>
      <c r="H259" s="1">
        <v>3448.1</v>
      </c>
      <c r="I259" s="1">
        <v>3614.61</v>
      </c>
      <c r="J259" s="1">
        <v>5805.99</v>
      </c>
      <c r="K259" s="1" t="s">
        <v>1229</v>
      </c>
      <c r="L259" s="3">
        <v>1274.1500000000001</v>
      </c>
      <c r="M259" s="3">
        <f t="shared" si="4"/>
        <v>1274.1500000000001</v>
      </c>
    </row>
    <row r="260" spans="1:13" x14ac:dyDescent="0.35">
      <c r="A260" s="1" t="s">
        <v>588</v>
      </c>
      <c r="B260" s="1">
        <v>154900</v>
      </c>
      <c r="C260" s="1">
        <v>28187</v>
      </c>
      <c r="D260" s="1" t="s">
        <v>1217</v>
      </c>
      <c r="E260" s="1" t="s">
        <v>1217</v>
      </c>
      <c r="F260" s="1" t="s">
        <v>1217</v>
      </c>
      <c r="G260" s="5"/>
      <c r="H260" s="1" t="s">
        <v>1217</v>
      </c>
      <c r="I260" s="1" t="s">
        <v>1217</v>
      </c>
      <c r="J260" s="1" t="s">
        <v>1217</v>
      </c>
      <c r="K260" s="1" t="s">
        <v>1218</v>
      </c>
      <c r="L260" s="3">
        <v>10</v>
      </c>
      <c r="M260" s="3">
        <f t="shared" si="4"/>
        <v>10</v>
      </c>
    </row>
    <row r="261" spans="1:13" x14ac:dyDescent="0.35">
      <c r="A261" s="1" t="s">
        <v>362</v>
      </c>
      <c r="B261" s="1">
        <v>154756</v>
      </c>
      <c r="C261" s="1">
        <v>28303</v>
      </c>
      <c r="D261" s="1">
        <v>8</v>
      </c>
      <c r="E261" s="1">
        <v>0</v>
      </c>
      <c r="F261" s="1">
        <v>5.34</v>
      </c>
      <c r="G261" s="5"/>
      <c r="H261" s="1">
        <v>5.34</v>
      </c>
      <c r="I261" s="1">
        <v>0</v>
      </c>
      <c r="J261" s="1">
        <v>0</v>
      </c>
      <c r="K261" s="1" t="s">
        <v>1248</v>
      </c>
      <c r="L261" s="3">
        <v>0</v>
      </c>
      <c r="M261" s="3">
        <f t="shared" si="4"/>
        <v>0</v>
      </c>
    </row>
    <row r="262" spans="1:13" x14ac:dyDescent="0.35">
      <c r="A262" s="1" t="s">
        <v>364</v>
      </c>
      <c r="B262" s="1">
        <v>154755</v>
      </c>
      <c r="C262" s="1">
        <v>28305</v>
      </c>
      <c r="D262" s="1">
        <v>12</v>
      </c>
      <c r="E262" s="1">
        <v>0</v>
      </c>
      <c r="F262" s="1">
        <v>4.32</v>
      </c>
      <c r="G262" s="5"/>
      <c r="H262" s="1">
        <v>4.32</v>
      </c>
      <c r="I262" s="1">
        <v>0</v>
      </c>
      <c r="J262" s="1">
        <v>0</v>
      </c>
      <c r="K262" s="1" t="s">
        <v>1248</v>
      </c>
      <c r="L262" s="3">
        <v>0</v>
      </c>
      <c r="M262" s="3">
        <f t="shared" si="4"/>
        <v>0</v>
      </c>
    </row>
    <row r="263" spans="1:13" x14ac:dyDescent="0.35">
      <c r="A263" s="1" t="s">
        <v>388</v>
      </c>
      <c r="B263" s="1">
        <v>77178</v>
      </c>
      <c r="C263" s="1">
        <v>16702</v>
      </c>
      <c r="D263" s="1">
        <v>8</v>
      </c>
      <c r="E263" s="1">
        <v>0</v>
      </c>
      <c r="F263" s="1">
        <v>522.63</v>
      </c>
      <c r="G263" s="5"/>
      <c r="H263" s="1">
        <v>2</v>
      </c>
      <c r="I263" s="1">
        <v>520.63</v>
      </c>
      <c r="J263" s="1">
        <v>0</v>
      </c>
      <c r="K263" s="1" t="s">
        <v>1212</v>
      </c>
      <c r="L263" s="3">
        <v>254.15</v>
      </c>
      <c r="M263" s="3">
        <f t="shared" si="4"/>
        <v>254.15</v>
      </c>
    </row>
    <row r="264" spans="1:13" x14ac:dyDescent="0.35">
      <c r="A264" s="1" t="s">
        <v>571</v>
      </c>
      <c r="B264" s="1">
        <v>61229</v>
      </c>
      <c r="C264" s="1">
        <v>16394</v>
      </c>
      <c r="D264" s="1">
        <v>41</v>
      </c>
      <c r="E264" s="1">
        <v>0</v>
      </c>
      <c r="F264" s="1">
        <v>2095.71</v>
      </c>
      <c r="G264" s="5"/>
      <c r="H264" s="1">
        <v>338.02</v>
      </c>
      <c r="I264" s="1">
        <v>1757.69</v>
      </c>
      <c r="J264" s="1">
        <v>1918.29</v>
      </c>
      <c r="K264" s="1" t="s">
        <v>1242</v>
      </c>
      <c r="L264" s="3">
        <v>849.15</v>
      </c>
      <c r="M264" s="3">
        <f t="shared" si="4"/>
        <v>849.15</v>
      </c>
    </row>
    <row r="265" spans="1:13" x14ac:dyDescent="0.35">
      <c r="A265" s="1" t="s">
        <v>571</v>
      </c>
      <c r="B265" s="1">
        <v>61229</v>
      </c>
      <c r="C265" s="1">
        <v>16394</v>
      </c>
      <c r="D265" s="1" t="s">
        <v>1217</v>
      </c>
      <c r="E265" s="1" t="s">
        <v>1217</v>
      </c>
      <c r="F265" s="1" t="s">
        <v>1217</v>
      </c>
      <c r="G265" s="5"/>
      <c r="H265" s="1" t="s">
        <v>1217</v>
      </c>
      <c r="I265" s="1" t="s">
        <v>1217</v>
      </c>
      <c r="J265" s="1" t="s">
        <v>1217</v>
      </c>
      <c r="K265" s="1" t="s">
        <v>1240</v>
      </c>
      <c r="L265" s="3">
        <v>10</v>
      </c>
      <c r="M265" s="3">
        <f t="shared" si="4"/>
        <v>10</v>
      </c>
    </row>
    <row r="266" spans="1:13" x14ac:dyDescent="0.35">
      <c r="A266" s="1" t="s">
        <v>571</v>
      </c>
      <c r="B266" s="1">
        <v>61229</v>
      </c>
      <c r="C266" s="1">
        <v>16394</v>
      </c>
      <c r="D266" s="1" t="s">
        <v>1217</v>
      </c>
      <c r="E266" s="1" t="s">
        <v>1217</v>
      </c>
      <c r="F266" s="1" t="s">
        <v>1217</v>
      </c>
      <c r="G266" s="5"/>
      <c r="H266" s="1" t="s">
        <v>1217</v>
      </c>
      <c r="I266" s="1" t="s">
        <v>1217</v>
      </c>
      <c r="J266" s="1" t="s">
        <v>1217</v>
      </c>
      <c r="K266" s="1" t="s">
        <v>1218</v>
      </c>
      <c r="L266" s="3">
        <v>10</v>
      </c>
      <c r="M266" s="3">
        <f t="shared" si="4"/>
        <v>10</v>
      </c>
    </row>
    <row r="267" spans="1:13" x14ac:dyDescent="0.35">
      <c r="A267" s="1" t="s">
        <v>389</v>
      </c>
      <c r="B267" s="1">
        <v>138752</v>
      </c>
      <c r="D267" s="1">
        <v>13</v>
      </c>
      <c r="E267" s="1">
        <v>0</v>
      </c>
      <c r="F267" s="1">
        <v>1451.06</v>
      </c>
      <c r="G267" s="5"/>
      <c r="H267" s="1">
        <v>1167.48</v>
      </c>
      <c r="I267" s="1">
        <v>283.58</v>
      </c>
      <c r="J267" s="1">
        <v>0</v>
      </c>
      <c r="K267" s="1" t="s">
        <v>1216</v>
      </c>
      <c r="L267" s="3">
        <v>254.15</v>
      </c>
      <c r="M267" s="3">
        <f t="shared" si="4"/>
        <v>254.15</v>
      </c>
    </row>
    <row r="268" spans="1:13" x14ac:dyDescent="0.35">
      <c r="A268" s="1" t="s">
        <v>389</v>
      </c>
      <c r="B268" s="1">
        <v>138752</v>
      </c>
      <c r="D268" s="1" t="s">
        <v>1217</v>
      </c>
      <c r="E268" s="1" t="s">
        <v>1217</v>
      </c>
      <c r="F268" s="1" t="s">
        <v>1217</v>
      </c>
      <c r="G268" s="5"/>
      <c r="H268" s="1" t="s">
        <v>1217</v>
      </c>
      <c r="I268" s="1" t="s">
        <v>1217</v>
      </c>
      <c r="J268" s="1" t="s">
        <v>1217</v>
      </c>
      <c r="K268" s="1" t="s">
        <v>1218</v>
      </c>
      <c r="L268" s="3">
        <v>10</v>
      </c>
      <c r="M268" s="3">
        <f t="shared" si="4"/>
        <v>10</v>
      </c>
    </row>
    <row r="269" spans="1:13" x14ac:dyDescent="0.35">
      <c r="A269" s="1" t="s">
        <v>902</v>
      </c>
      <c r="B269" s="1">
        <v>61224</v>
      </c>
      <c r="C269" s="1">
        <v>16381</v>
      </c>
      <c r="D269" s="1">
        <v>46</v>
      </c>
      <c r="E269" s="1">
        <v>0</v>
      </c>
      <c r="F269" s="1">
        <v>4345.6099999999997</v>
      </c>
      <c r="G269" s="5">
        <v>26.99</v>
      </c>
      <c r="H269" s="1">
        <v>1434.23</v>
      </c>
      <c r="I269" s="1">
        <v>2911.38</v>
      </c>
      <c r="J269" s="1">
        <v>3216.82</v>
      </c>
      <c r="K269" s="1" t="s">
        <v>1249</v>
      </c>
      <c r="L269" s="3">
        <v>655.99</v>
      </c>
      <c r="M269" s="3">
        <f t="shared" si="4"/>
        <v>629</v>
      </c>
    </row>
    <row r="270" spans="1:13" x14ac:dyDescent="0.35">
      <c r="A270" s="1" t="s">
        <v>902</v>
      </c>
      <c r="B270" s="1">
        <v>61224</v>
      </c>
      <c r="C270" s="1">
        <v>16381</v>
      </c>
      <c r="D270" s="1" t="s">
        <v>1217</v>
      </c>
      <c r="E270" s="1" t="s">
        <v>1217</v>
      </c>
      <c r="F270" s="1" t="s">
        <v>1217</v>
      </c>
      <c r="G270" s="5"/>
      <c r="H270" s="1" t="s">
        <v>1217</v>
      </c>
      <c r="I270" s="1" t="s">
        <v>1217</v>
      </c>
      <c r="J270" s="1" t="s">
        <v>1217</v>
      </c>
      <c r="K270" s="1" t="s">
        <v>1240</v>
      </c>
      <c r="L270" s="3">
        <v>10</v>
      </c>
      <c r="M270" s="3">
        <f t="shared" si="4"/>
        <v>10</v>
      </c>
    </row>
    <row r="271" spans="1:13" x14ac:dyDescent="0.35">
      <c r="A271" s="1" t="s">
        <v>902</v>
      </c>
      <c r="B271" s="1">
        <v>61224</v>
      </c>
      <c r="C271" s="1">
        <v>16381</v>
      </c>
      <c r="D271" s="1" t="s">
        <v>1217</v>
      </c>
      <c r="E271" s="1" t="s">
        <v>1217</v>
      </c>
      <c r="F271" s="1" t="s">
        <v>1217</v>
      </c>
      <c r="G271" s="5"/>
      <c r="H271" s="1" t="s">
        <v>1217</v>
      </c>
      <c r="I271" s="1" t="s">
        <v>1217</v>
      </c>
      <c r="J271" s="1" t="s">
        <v>1217</v>
      </c>
      <c r="K271" s="1" t="s">
        <v>1218</v>
      </c>
      <c r="L271" s="3">
        <v>10</v>
      </c>
      <c r="M271" s="3">
        <f t="shared" si="4"/>
        <v>10</v>
      </c>
    </row>
    <row r="272" spans="1:13" x14ac:dyDescent="0.35">
      <c r="A272" s="1" t="s">
        <v>162</v>
      </c>
      <c r="B272" s="1">
        <v>61230</v>
      </c>
      <c r="C272" s="1">
        <v>16397</v>
      </c>
      <c r="D272" s="1">
        <v>20</v>
      </c>
      <c r="E272" s="1">
        <v>0</v>
      </c>
      <c r="F272" s="1">
        <v>2412.1799999999998</v>
      </c>
      <c r="G272" s="5"/>
      <c r="H272" s="1">
        <v>372.76</v>
      </c>
      <c r="I272" s="1">
        <v>2039.42</v>
      </c>
      <c r="J272" s="1">
        <v>2291.42</v>
      </c>
      <c r="K272" s="1" t="s">
        <v>1227</v>
      </c>
      <c r="L272" s="3">
        <v>1571.65</v>
      </c>
      <c r="M272" s="3">
        <f t="shared" si="4"/>
        <v>1571.65</v>
      </c>
    </row>
    <row r="273" spans="1:13" x14ac:dyDescent="0.35">
      <c r="A273" s="1" t="s">
        <v>162</v>
      </c>
      <c r="B273" s="1">
        <v>61230</v>
      </c>
      <c r="C273" s="1">
        <v>16397</v>
      </c>
      <c r="D273" s="1" t="s">
        <v>1217</v>
      </c>
      <c r="E273" s="1" t="s">
        <v>1217</v>
      </c>
      <c r="F273" s="1" t="s">
        <v>1217</v>
      </c>
      <c r="G273" s="5"/>
      <c r="H273" s="1" t="s">
        <v>1217</v>
      </c>
      <c r="I273" s="1" t="s">
        <v>1217</v>
      </c>
      <c r="J273" s="1" t="s">
        <v>1217</v>
      </c>
      <c r="K273" s="1" t="s">
        <v>1218</v>
      </c>
      <c r="L273" s="3">
        <v>10</v>
      </c>
      <c r="M273" s="3">
        <f t="shared" si="4"/>
        <v>10</v>
      </c>
    </row>
    <row r="274" spans="1:13" x14ac:dyDescent="0.35">
      <c r="A274" s="1" t="s">
        <v>174</v>
      </c>
      <c r="B274" s="1">
        <v>58253</v>
      </c>
      <c r="C274" s="1">
        <v>16166</v>
      </c>
      <c r="D274" s="1">
        <v>86</v>
      </c>
      <c r="E274" s="1">
        <v>0</v>
      </c>
      <c r="F274" s="1">
        <v>4579.92</v>
      </c>
      <c r="G274" s="5"/>
      <c r="H274" s="1">
        <v>1850.18</v>
      </c>
      <c r="I274" s="1">
        <v>2729.74</v>
      </c>
      <c r="J274" s="1">
        <v>4148.8500000000004</v>
      </c>
      <c r="K274" s="1" t="s">
        <v>1227</v>
      </c>
      <c r="L274" s="3">
        <v>1571.65</v>
      </c>
      <c r="M274" s="3">
        <f t="shared" si="4"/>
        <v>1571.65</v>
      </c>
    </row>
    <row r="275" spans="1:13" x14ac:dyDescent="0.35">
      <c r="A275" s="1" t="s">
        <v>174</v>
      </c>
      <c r="B275" s="1">
        <v>58253</v>
      </c>
      <c r="C275" s="1">
        <v>16166</v>
      </c>
      <c r="D275" s="1" t="s">
        <v>1217</v>
      </c>
      <c r="E275" s="1" t="s">
        <v>1217</v>
      </c>
      <c r="F275" s="1" t="s">
        <v>1217</v>
      </c>
      <c r="G275" s="5"/>
      <c r="H275" s="1" t="s">
        <v>1217</v>
      </c>
      <c r="I275" s="1" t="s">
        <v>1217</v>
      </c>
      <c r="J275" s="1" t="s">
        <v>1217</v>
      </c>
      <c r="K275" s="1" t="s">
        <v>1218</v>
      </c>
      <c r="L275" s="3">
        <v>10</v>
      </c>
      <c r="M275" s="3">
        <f t="shared" si="4"/>
        <v>10</v>
      </c>
    </row>
    <row r="276" spans="1:13" x14ac:dyDescent="0.35">
      <c r="A276" s="1" t="s">
        <v>649</v>
      </c>
      <c r="B276" s="1">
        <v>58252</v>
      </c>
      <c r="C276" s="1">
        <v>16165</v>
      </c>
      <c r="D276" s="1">
        <v>34</v>
      </c>
      <c r="E276" s="1">
        <v>0</v>
      </c>
      <c r="F276" s="1">
        <v>14578.12</v>
      </c>
      <c r="G276" s="5"/>
      <c r="H276" s="1">
        <v>8047.34</v>
      </c>
      <c r="I276" s="1">
        <v>6530.78</v>
      </c>
      <c r="J276" s="1">
        <v>14069.87</v>
      </c>
      <c r="K276" s="1" t="s">
        <v>1227</v>
      </c>
      <c r="L276" s="3">
        <v>1571.65</v>
      </c>
      <c r="M276" s="3">
        <f t="shared" si="4"/>
        <v>1571.65</v>
      </c>
    </row>
    <row r="277" spans="1:13" x14ac:dyDescent="0.35">
      <c r="A277" s="1" t="s">
        <v>649</v>
      </c>
      <c r="B277" s="1">
        <v>58252</v>
      </c>
      <c r="C277" s="1">
        <v>16165</v>
      </c>
      <c r="D277" s="1" t="s">
        <v>1217</v>
      </c>
      <c r="E277" s="1" t="s">
        <v>1217</v>
      </c>
      <c r="F277" s="1" t="s">
        <v>1217</v>
      </c>
      <c r="G277" s="5"/>
      <c r="H277" s="1" t="s">
        <v>1217</v>
      </c>
      <c r="I277" s="1" t="s">
        <v>1217</v>
      </c>
      <c r="J277" s="1" t="s">
        <v>1217</v>
      </c>
      <c r="K277" s="1" t="s">
        <v>1218</v>
      </c>
      <c r="L277" s="3">
        <v>10</v>
      </c>
      <c r="M277" s="3">
        <f t="shared" si="4"/>
        <v>10</v>
      </c>
    </row>
    <row r="278" spans="1:13" x14ac:dyDescent="0.35">
      <c r="A278" s="1" t="s">
        <v>134</v>
      </c>
      <c r="B278" s="1">
        <v>61226</v>
      </c>
      <c r="C278" s="1">
        <v>16386</v>
      </c>
      <c r="D278" s="1">
        <v>28</v>
      </c>
      <c r="E278" s="1">
        <v>0</v>
      </c>
      <c r="F278" s="1">
        <v>13441.24</v>
      </c>
      <c r="G278" s="5">
        <v>426.58</v>
      </c>
      <c r="H278" s="1">
        <v>1413.33</v>
      </c>
      <c r="I278" s="1">
        <v>12027.91</v>
      </c>
      <c r="J278" s="1">
        <v>12409.79</v>
      </c>
      <c r="K278" s="1" t="s">
        <v>1242</v>
      </c>
      <c r="L278" s="3">
        <v>1275.73</v>
      </c>
      <c r="M278" s="3">
        <f t="shared" si="4"/>
        <v>849.15000000000009</v>
      </c>
    </row>
    <row r="279" spans="1:13" x14ac:dyDescent="0.35">
      <c r="A279" s="1" t="s">
        <v>134</v>
      </c>
      <c r="B279" s="1">
        <v>61226</v>
      </c>
      <c r="C279" s="1">
        <v>16386</v>
      </c>
      <c r="D279" s="1" t="s">
        <v>1217</v>
      </c>
      <c r="E279" s="1" t="s">
        <v>1217</v>
      </c>
      <c r="F279" s="1" t="s">
        <v>1217</v>
      </c>
      <c r="G279" s="5"/>
      <c r="H279" s="1" t="s">
        <v>1217</v>
      </c>
      <c r="I279" s="1" t="s">
        <v>1217</v>
      </c>
      <c r="J279" s="1" t="s">
        <v>1217</v>
      </c>
      <c r="K279" s="1" t="s">
        <v>1240</v>
      </c>
      <c r="L279" s="3">
        <v>10</v>
      </c>
      <c r="M279" s="3">
        <f t="shared" si="4"/>
        <v>10</v>
      </c>
    </row>
    <row r="280" spans="1:13" x14ac:dyDescent="0.35">
      <c r="A280" s="1" t="s">
        <v>134</v>
      </c>
      <c r="B280" s="1">
        <v>61226</v>
      </c>
      <c r="C280" s="1">
        <v>16386</v>
      </c>
      <c r="D280" s="1" t="s">
        <v>1217</v>
      </c>
      <c r="E280" s="1" t="s">
        <v>1217</v>
      </c>
      <c r="F280" s="1" t="s">
        <v>1217</v>
      </c>
      <c r="G280" s="5"/>
      <c r="H280" s="1" t="s">
        <v>1217</v>
      </c>
      <c r="I280" s="1" t="s">
        <v>1217</v>
      </c>
      <c r="J280" s="1" t="s">
        <v>1217</v>
      </c>
      <c r="K280" s="1" t="s">
        <v>1218</v>
      </c>
      <c r="L280" s="3">
        <v>10</v>
      </c>
      <c r="M280" s="3">
        <f t="shared" si="4"/>
        <v>10</v>
      </c>
    </row>
    <row r="281" spans="1:13" x14ac:dyDescent="0.35">
      <c r="A281" s="1" t="s">
        <v>177</v>
      </c>
      <c r="B281" s="1">
        <v>58245</v>
      </c>
      <c r="C281" s="1">
        <v>16167</v>
      </c>
      <c r="D281" s="1">
        <v>23</v>
      </c>
      <c r="E281" s="1">
        <v>0</v>
      </c>
      <c r="F281" s="1">
        <v>16121.39</v>
      </c>
      <c r="G281" s="5"/>
      <c r="H281" s="1">
        <v>13645.19</v>
      </c>
      <c r="I281" s="1">
        <v>2476.1999999999998</v>
      </c>
      <c r="J281" s="1">
        <v>15175.07</v>
      </c>
      <c r="K281" s="1" t="s">
        <v>1227</v>
      </c>
      <c r="L281" s="3">
        <v>1571.65</v>
      </c>
      <c r="M281" s="3">
        <f t="shared" si="4"/>
        <v>1571.65</v>
      </c>
    </row>
    <row r="282" spans="1:13" x14ac:dyDescent="0.35">
      <c r="A282" s="1" t="s">
        <v>177</v>
      </c>
      <c r="B282" s="1">
        <v>58245</v>
      </c>
      <c r="C282" s="1">
        <v>16167</v>
      </c>
      <c r="D282" s="1" t="s">
        <v>1217</v>
      </c>
      <c r="E282" s="1" t="s">
        <v>1217</v>
      </c>
      <c r="F282" s="1" t="s">
        <v>1217</v>
      </c>
      <c r="G282" s="5"/>
      <c r="H282" s="1" t="s">
        <v>1217</v>
      </c>
      <c r="I282" s="1" t="s">
        <v>1217</v>
      </c>
      <c r="J282" s="1" t="s">
        <v>1217</v>
      </c>
      <c r="K282" s="1" t="s">
        <v>1218</v>
      </c>
      <c r="L282" s="3">
        <v>10</v>
      </c>
      <c r="M282" s="3">
        <f t="shared" si="4"/>
        <v>10</v>
      </c>
    </row>
    <row r="283" spans="1:13" x14ac:dyDescent="0.35">
      <c r="A283" s="1" t="s">
        <v>913</v>
      </c>
      <c r="B283" s="1">
        <v>61221</v>
      </c>
      <c r="C283" s="1">
        <v>3934</v>
      </c>
      <c r="D283" s="1">
        <v>22</v>
      </c>
      <c r="E283" s="1">
        <v>0</v>
      </c>
      <c r="F283" s="1">
        <v>2102.37</v>
      </c>
      <c r="G283" s="5"/>
      <c r="H283" s="1">
        <v>349.27</v>
      </c>
      <c r="I283" s="1">
        <v>1753.1</v>
      </c>
      <c r="J283" s="1">
        <v>1929.6</v>
      </c>
      <c r="K283" s="1" t="s">
        <v>1250</v>
      </c>
      <c r="L283" s="3">
        <v>520</v>
      </c>
      <c r="M283" s="3">
        <f t="shared" si="4"/>
        <v>520</v>
      </c>
    </row>
    <row r="284" spans="1:13" x14ac:dyDescent="0.35">
      <c r="A284" s="1" t="s">
        <v>913</v>
      </c>
      <c r="B284" s="1">
        <v>61221</v>
      </c>
      <c r="C284" s="1">
        <v>3934</v>
      </c>
      <c r="D284" s="1" t="s">
        <v>1217</v>
      </c>
      <c r="E284" s="1" t="s">
        <v>1217</v>
      </c>
      <c r="F284" s="1" t="s">
        <v>1217</v>
      </c>
      <c r="G284" s="5"/>
      <c r="H284" s="1" t="s">
        <v>1217</v>
      </c>
      <c r="I284" s="1" t="s">
        <v>1217</v>
      </c>
      <c r="J284" s="1" t="s">
        <v>1217</v>
      </c>
      <c r="K284" s="1" t="s">
        <v>1251</v>
      </c>
      <c r="L284" s="3">
        <v>109</v>
      </c>
      <c r="M284" s="3">
        <f t="shared" si="4"/>
        <v>109</v>
      </c>
    </row>
    <row r="285" spans="1:13" x14ac:dyDescent="0.35">
      <c r="A285" s="1" t="s">
        <v>913</v>
      </c>
      <c r="B285" s="1">
        <v>61221</v>
      </c>
      <c r="C285" s="1">
        <v>3934</v>
      </c>
      <c r="D285" s="1" t="s">
        <v>1217</v>
      </c>
      <c r="E285" s="1" t="s">
        <v>1217</v>
      </c>
      <c r="F285" s="1" t="s">
        <v>1217</v>
      </c>
      <c r="G285" s="5"/>
      <c r="H285" s="1" t="s">
        <v>1217</v>
      </c>
      <c r="I285" s="1" t="s">
        <v>1217</v>
      </c>
      <c r="J285" s="1" t="s">
        <v>1217</v>
      </c>
      <c r="K285" s="1" t="s">
        <v>1240</v>
      </c>
      <c r="L285" s="3">
        <v>10</v>
      </c>
      <c r="M285" s="3">
        <f t="shared" si="4"/>
        <v>10</v>
      </c>
    </row>
    <row r="286" spans="1:13" x14ac:dyDescent="0.35">
      <c r="A286" s="1" t="s">
        <v>913</v>
      </c>
      <c r="B286" s="1">
        <v>61221</v>
      </c>
      <c r="C286" s="1">
        <v>3934</v>
      </c>
      <c r="D286" s="1" t="s">
        <v>1217</v>
      </c>
      <c r="E286" s="1" t="s">
        <v>1217</v>
      </c>
      <c r="F286" s="1" t="s">
        <v>1217</v>
      </c>
      <c r="G286" s="5"/>
      <c r="H286" s="1" t="s">
        <v>1217</v>
      </c>
      <c r="I286" s="1" t="s">
        <v>1217</v>
      </c>
      <c r="J286" s="1" t="s">
        <v>1217</v>
      </c>
      <c r="K286" s="1" t="s">
        <v>1218</v>
      </c>
      <c r="L286" s="3">
        <v>10</v>
      </c>
      <c r="M286" s="3">
        <f t="shared" si="4"/>
        <v>10</v>
      </c>
    </row>
    <row r="287" spans="1:13" x14ac:dyDescent="0.35">
      <c r="A287" s="1" t="s">
        <v>730</v>
      </c>
      <c r="B287" s="1">
        <v>58247</v>
      </c>
      <c r="C287" s="1">
        <v>16164</v>
      </c>
      <c r="D287" s="1">
        <v>23</v>
      </c>
      <c r="E287" s="1">
        <v>0</v>
      </c>
      <c r="F287" s="1">
        <v>9868.43</v>
      </c>
      <c r="G287" s="5"/>
      <c r="H287" s="1">
        <v>2389.7199999999998</v>
      </c>
      <c r="I287" s="1">
        <v>7478.71</v>
      </c>
      <c r="J287" s="1">
        <v>8672.7800000000007</v>
      </c>
      <c r="K287" s="1" t="s">
        <v>1227</v>
      </c>
      <c r="L287" s="3">
        <v>1571.65</v>
      </c>
      <c r="M287" s="3">
        <f t="shared" si="4"/>
        <v>1571.65</v>
      </c>
    </row>
    <row r="288" spans="1:13" x14ac:dyDescent="0.35">
      <c r="A288" s="1" t="s">
        <v>730</v>
      </c>
      <c r="B288" s="1">
        <v>58247</v>
      </c>
      <c r="C288" s="1">
        <v>16164</v>
      </c>
      <c r="D288" s="1" t="s">
        <v>1217</v>
      </c>
      <c r="E288" s="1" t="s">
        <v>1217</v>
      </c>
      <c r="F288" s="1" t="s">
        <v>1217</v>
      </c>
      <c r="G288" s="5"/>
      <c r="H288" s="1" t="s">
        <v>1217</v>
      </c>
      <c r="I288" s="1" t="s">
        <v>1217</v>
      </c>
      <c r="J288" s="1" t="s">
        <v>1217</v>
      </c>
      <c r="K288" s="1" t="s">
        <v>1251</v>
      </c>
      <c r="L288" s="3">
        <v>109</v>
      </c>
      <c r="M288" s="3">
        <f t="shared" si="4"/>
        <v>109</v>
      </c>
    </row>
    <row r="289" spans="1:13" x14ac:dyDescent="0.35">
      <c r="A289" s="1" t="s">
        <v>730</v>
      </c>
      <c r="B289" s="1">
        <v>58247</v>
      </c>
      <c r="C289" s="1">
        <v>16164</v>
      </c>
      <c r="D289" s="1" t="s">
        <v>1217</v>
      </c>
      <c r="E289" s="1" t="s">
        <v>1217</v>
      </c>
      <c r="F289" s="1" t="s">
        <v>1217</v>
      </c>
      <c r="G289" s="5"/>
      <c r="H289" s="1" t="s">
        <v>1217</v>
      </c>
      <c r="I289" s="1" t="s">
        <v>1217</v>
      </c>
      <c r="J289" s="1" t="s">
        <v>1217</v>
      </c>
      <c r="K289" s="1" t="s">
        <v>1240</v>
      </c>
      <c r="L289" s="3">
        <v>10</v>
      </c>
      <c r="M289" s="3">
        <f t="shared" si="4"/>
        <v>10</v>
      </c>
    </row>
    <row r="290" spans="1:13" x14ac:dyDescent="0.35">
      <c r="A290" s="1" t="s">
        <v>730</v>
      </c>
      <c r="B290" s="1">
        <v>58247</v>
      </c>
      <c r="C290" s="1">
        <v>16164</v>
      </c>
      <c r="D290" s="1" t="s">
        <v>1217</v>
      </c>
      <c r="E290" s="1" t="s">
        <v>1217</v>
      </c>
      <c r="F290" s="1" t="s">
        <v>1217</v>
      </c>
      <c r="G290" s="5"/>
      <c r="H290" s="1" t="s">
        <v>1217</v>
      </c>
      <c r="I290" s="1" t="s">
        <v>1217</v>
      </c>
      <c r="J290" s="1" t="s">
        <v>1217</v>
      </c>
      <c r="K290" s="1" t="s">
        <v>1218</v>
      </c>
      <c r="L290" s="3">
        <v>10</v>
      </c>
      <c r="M290" s="3">
        <f t="shared" si="4"/>
        <v>10</v>
      </c>
    </row>
    <row r="291" spans="1:13" x14ac:dyDescent="0.35">
      <c r="A291" s="1" t="s">
        <v>406</v>
      </c>
      <c r="B291" s="1">
        <v>61232</v>
      </c>
      <c r="C291" s="1">
        <v>16395</v>
      </c>
      <c r="D291" s="1">
        <v>95</v>
      </c>
      <c r="E291" s="1">
        <v>0</v>
      </c>
      <c r="F291" s="1">
        <v>3785.22</v>
      </c>
      <c r="G291" s="5"/>
      <c r="H291" s="1">
        <v>464.61</v>
      </c>
      <c r="I291" s="1">
        <v>3320.61</v>
      </c>
      <c r="J291" s="1">
        <v>1804.77</v>
      </c>
      <c r="K291" s="1" t="s">
        <v>1227</v>
      </c>
      <c r="L291" s="3">
        <v>1571.65</v>
      </c>
      <c r="M291" s="3">
        <f t="shared" si="4"/>
        <v>1571.65</v>
      </c>
    </row>
    <row r="292" spans="1:13" x14ac:dyDescent="0.35">
      <c r="A292" s="1" t="s">
        <v>406</v>
      </c>
      <c r="B292" s="1">
        <v>61232</v>
      </c>
      <c r="C292" s="1">
        <v>16395</v>
      </c>
      <c r="D292" s="1" t="s">
        <v>1217</v>
      </c>
      <c r="E292" s="1" t="s">
        <v>1217</v>
      </c>
      <c r="F292" s="1" t="s">
        <v>1217</v>
      </c>
      <c r="G292" s="5"/>
      <c r="H292" s="1" t="s">
        <v>1217</v>
      </c>
      <c r="I292" s="1" t="s">
        <v>1217</v>
      </c>
      <c r="J292" s="1" t="s">
        <v>1217</v>
      </c>
      <c r="K292" s="1" t="s">
        <v>1218</v>
      </c>
      <c r="L292" s="3">
        <v>10</v>
      </c>
      <c r="M292" s="3">
        <f t="shared" si="4"/>
        <v>10</v>
      </c>
    </row>
    <row r="293" spans="1:13" x14ac:dyDescent="0.35">
      <c r="A293" s="1" t="s">
        <v>171</v>
      </c>
      <c r="B293" s="1">
        <v>115628</v>
      </c>
      <c r="C293" s="1">
        <v>19523</v>
      </c>
      <c r="D293" s="1">
        <v>44</v>
      </c>
      <c r="E293" s="1">
        <v>0</v>
      </c>
      <c r="F293" s="1">
        <v>6368.57</v>
      </c>
      <c r="G293" s="5"/>
      <c r="H293" s="1">
        <v>2317.1799999999998</v>
      </c>
      <c r="I293" s="1">
        <v>4051.39</v>
      </c>
      <c r="J293" s="1">
        <v>5295.45</v>
      </c>
      <c r="K293" s="1" t="s">
        <v>1227</v>
      </c>
      <c r="L293" s="3">
        <v>1571.65</v>
      </c>
      <c r="M293" s="3">
        <f t="shared" si="4"/>
        <v>1571.65</v>
      </c>
    </row>
    <row r="294" spans="1:13" x14ac:dyDescent="0.35">
      <c r="A294" s="1" t="s">
        <v>171</v>
      </c>
      <c r="B294" s="1">
        <v>115628</v>
      </c>
      <c r="C294" s="1">
        <v>19523</v>
      </c>
      <c r="D294" s="1" t="s">
        <v>1217</v>
      </c>
      <c r="E294" s="1" t="s">
        <v>1217</v>
      </c>
      <c r="F294" s="1" t="s">
        <v>1217</v>
      </c>
      <c r="G294" s="5"/>
      <c r="H294" s="1" t="s">
        <v>1217</v>
      </c>
      <c r="I294" s="1" t="s">
        <v>1217</v>
      </c>
      <c r="J294" s="1" t="s">
        <v>1217</v>
      </c>
      <c r="K294" s="1" t="s">
        <v>1218</v>
      </c>
      <c r="L294" s="3">
        <v>10</v>
      </c>
      <c r="M294" s="3">
        <f t="shared" si="4"/>
        <v>10</v>
      </c>
    </row>
    <row r="295" spans="1:13" x14ac:dyDescent="0.35">
      <c r="A295" s="1" t="s">
        <v>180</v>
      </c>
      <c r="B295" s="1">
        <v>61223</v>
      </c>
      <c r="C295" s="1">
        <v>16372</v>
      </c>
      <c r="D295" s="1">
        <v>36</v>
      </c>
      <c r="E295" s="1">
        <v>0</v>
      </c>
      <c r="F295" s="1">
        <v>9131.4599999999991</v>
      </c>
      <c r="G295" s="5"/>
      <c r="H295" s="1">
        <v>6129.16</v>
      </c>
      <c r="I295" s="1">
        <v>3002.3</v>
      </c>
      <c r="J295" s="1">
        <v>7946.4</v>
      </c>
      <c r="K295" s="1" t="s">
        <v>1227</v>
      </c>
      <c r="L295" s="3">
        <v>1571.65</v>
      </c>
      <c r="M295" s="3">
        <f t="shared" si="4"/>
        <v>1571.65</v>
      </c>
    </row>
    <row r="296" spans="1:13" x14ac:dyDescent="0.35">
      <c r="A296" s="1" t="s">
        <v>180</v>
      </c>
      <c r="B296" s="1">
        <v>61223</v>
      </c>
      <c r="C296" s="1">
        <v>16372</v>
      </c>
      <c r="D296" s="1" t="s">
        <v>1217</v>
      </c>
      <c r="E296" s="1" t="s">
        <v>1217</v>
      </c>
      <c r="F296" s="1" t="s">
        <v>1217</v>
      </c>
      <c r="G296" s="5"/>
      <c r="H296" s="1" t="s">
        <v>1217</v>
      </c>
      <c r="I296" s="1" t="s">
        <v>1217</v>
      </c>
      <c r="J296" s="1" t="s">
        <v>1217</v>
      </c>
      <c r="K296" s="1" t="s">
        <v>1218</v>
      </c>
      <c r="L296" s="3">
        <v>10</v>
      </c>
      <c r="M296" s="3">
        <f t="shared" si="4"/>
        <v>10</v>
      </c>
    </row>
    <row r="297" spans="1:13" x14ac:dyDescent="0.35">
      <c r="A297" s="1" t="s">
        <v>892</v>
      </c>
      <c r="B297" s="1">
        <v>61219</v>
      </c>
      <c r="C297" s="1">
        <v>16369</v>
      </c>
      <c r="D297" s="1">
        <v>30</v>
      </c>
      <c r="E297" s="1">
        <v>0</v>
      </c>
      <c r="F297" s="1">
        <v>6213.33</v>
      </c>
      <c r="G297" s="5"/>
      <c r="H297" s="1">
        <v>3021.8</v>
      </c>
      <c r="I297" s="1">
        <v>3191.53</v>
      </c>
      <c r="J297" s="1">
        <v>5575.97</v>
      </c>
      <c r="K297" s="1" t="s">
        <v>1228</v>
      </c>
      <c r="L297" s="3">
        <v>710</v>
      </c>
      <c r="M297" s="3">
        <f t="shared" si="4"/>
        <v>710</v>
      </c>
    </row>
    <row r="298" spans="1:13" x14ac:dyDescent="0.35">
      <c r="A298" s="1" t="s">
        <v>892</v>
      </c>
      <c r="B298" s="1">
        <v>61219</v>
      </c>
      <c r="C298" s="1">
        <v>16369</v>
      </c>
      <c r="D298" s="1" t="s">
        <v>1217</v>
      </c>
      <c r="E298" s="1" t="s">
        <v>1217</v>
      </c>
      <c r="F298" s="1" t="s">
        <v>1217</v>
      </c>
      <c r="G298" s="5"/>
      <c r="H298" s="1" t="s">
        <v>1217</v>
      </c>
      <c r="I298" s="1" t="s">
        <v>1217</v>
      </c>
      <c r="J298" s="1" t="s">
        <v>1217</v>
      </c>
      <c r="K298" s="1" t="s">
        <v>1251</v>
      </c>
      <c r="L298" s="3">
        <v>109</v>
      </c>
      <c r="M298" s="3">
        <f t="shared" si="4"/>
        <v>109</v>
      </c>
    </row>
    <row r="299" spans="1:13" x14ac:dyDescent="0.35">
      <c r="A299" s="1" t="s">
        <v>892</v>
      </c>
      <c r="B299" s="1">
        <v>61219</v>
      </c>
      <c r="C299" s="1">
        <v>16369</v>
      </c>
      <c r="D299" s="1" t="s">
        <v>1217</v>
      </c>
      <c r="E299" s="1" t="s">
        <v>1217</v>
      </c>
      <c r="F299" s="1" t="s">
        <v>1217</v>
      </c>
      <c r="G299" s="5"/>
      <c r="H299" s="1" t="s">
        <v>1217</v>
      </c>
      <c r="I299" s="1" t="s">
        <v>1217</v>
      </c>
      <c r="J299" s="1" t="s">
        <v>1217</v>
      </c>
      <c r="K299" s="1" t="s">
        <v>1240</v>
      </c>
      <c r="L299" s="3">
        <v>10</v>
      </c>
      <c r="M299" s="3">
        <f t="shared" si="4"/>
        <v>10</v>
      </c>
    </row>
    <row r="300" spans="1:13" x14ac:dyDescent="0.35">
      <c r="A300" s="1" t="s">
        <v>892</v>
      </c>
      <c r="B300" s="1">
        <v>61219</v>
      </c>
      <c r="C300" s="1">
        <v>16369</v>
      </c>
      <c r="D300" s="1" t="s">
        <v>1217</v>
      </c>
      <c r="E300" s="1" t="s">
        <v>1217</v>
      </c>
      <c r="F300" s="1" t="s">
        <v>1217</v>
      </c>
      <c r="G300" s="5"/>
      <c r="H300" s="1" t="s">
        <v>1217</v>
      </c>
      <c r="I300" s="1" t="s">
        <v>1217</v>
      </c>
      <c r="J300" s="1" t="s">
        <v>1217</v>
      </c>
      <c r="K300" s="1" t="s">
        <v>1218</v>
      </c>
      <c r="L300" s="3">
        <v>10</v>
      </c>
      <c r="M300" s="3">
        <f t="shared" si="4"/>
        <v>10</v>
      </c>
    </row>
    <row r="301" spans="1:13" x14ac:dyDescent="0.35">
      <c r="A301" s="1" t="s">
        <v>156</v>
      </c>
      <c r="B301" s="1">
        <v>61222</v>
      </c>
      <c r="C301" s="1">
        <v>16370</v>
      </c>
      <c r="D301" s="1">
        <v>27</v>
      </c>
      <c r="E301" s="1">
        <v>0</v>
      </c>
      <c r="F301" s="1">
        <v>3014.34</v>
      </c>
      <c r="G301" s="5"/>
      <c r="H301" s="1">
        <v>2023.99</v>
      </c>
      <c r="I301" s="1">
        <v>990.35</v>
      </c>
      <c r="J301" s="1">
        <v>2831.33</v>
      </c>
      <c r="K301" s="1" t="s">
        <v>1227</v>
      </c>
      <c r="L301" s="3">
        <v>1571.65</v>
      </c>
      <c r="M301" s="3">
        <f t="shared" si="4"/>
        <v>1571.65</v>
      </c>
    </row>
    <row r="302" spans="1:13" x14ac:dyDescent="0.35">
      <c r="A302" s="1" t="s">
        <v>156</v>
      </c>
      <c r="B302" s="1">
        <v>61222</v>
      </c>
      <c r="C302" s="1">
        <v>16370</v>
      </c>
      <c r="D302" s="1" t="s">
        <v>1217</v>
      </c>
      <c r="E302" s="1" t="s">
        <v>1217</v>
      </c>
      <c r="F302" s="1" t="s">
        <v>1217</v>
      </c>
      <c r="G302" s="5"/>
      <c r="H302" s="1" t="s">
        <v>1217</v>
      </c>
      <c r="I302" s="1" t="s">
        <v>1217</v>
      </c>
      <c r="J302" s="1" t="s">
        <v>1217</v>
      </c>
      <c r="K302" s="1" t="s">
        <v>1218</v>
      </c>
      <c r="L302" s="3">
        <v>10</v>
      </c>
      <c r="M302" s="3">
        <f t="shared" si="4"/>
        <v>10</v>
      </c>
    </row>
    <row r="303" spans="1:13" x14ac:dyDescent="0.35">
      <c r="A303" s="1" t="s">
        <v>411</v>
      </c>
      <c r="B303" s="1">
        <v>58246</v>
      </c>
      <c r="C303" s="1">
        <v>16168</v>
      </c>
      <c r="D303" s="1">
        <v>16</v>
      </c>
      <c r="E303" s="1">
        <v>0</v>
      </c>
      <c r="F303" s="1">
        <v>7073.76</v>
      </c>
      <c r="G303" s="5"/>
      <c r="H303" s="1">
        <v>4401.47</v>
      </c>
      <c r="I303" s="1">
        <v>2672.29</v>
      </c>
      <c r="J303" s="1">
        <v>6799.88</v>
      </c>
      <c r="K303" s="1" t="s">
        <v>1227</v>
      </c>
      <c r="L303" s="3">
        <v>1571.65</v>
      </c>
      <c r="M303" s="3">
        <f t="shared" si="4"/>
        <v>1571.65</v>
      </c>
    </row>
    <row r="304" spans="1:13" x14ac:dyDescent="0.35">
      <c r="A304" s="1" t="s">
        <v>411</v>
      </c>
      <c r="B304" s="1">
        <v>58246</v>
      </c>
      <c r="C304" s="1">
        <v>16168</v>
      </c>
      <c r="D304" s="1" t="s">
        <v>1217</v>
      </c>
      <c r="E304" s="1" t="s">
        <v>1217</v>
      </c>
      <c r="F304" s="1" t="s">
        <v>1217</v>
      </c>
      <c r="G304" s="5"/>
      <c r="H304" s="1" t="s">
        <v>1217</v>
      </c>
      <c r="I304" s="1" t="s">
        <v>1217</v>
      </c>
      <c r="J304" s="1" t="s">
        <v>1217</v>
      </c>
      <c r="K304" s="1" t="s">
        <v>1218</v>
      </c>
      <c r="L304" s="3">
        <v>10</v>
      </c>
      <c r="M304" s="3">
        <f t="shared" si="4"/>
        <v>10</v>
      </c>
    </row>
    <row r="305" spans="1:13" x14ac:dyDescent="0.35">
      <c r="A305" s="1" t="s">
        <v>183</v>
      </c>
      <c r="B305" s="1">
        <v>150508</v>
      </c>
      <c r="C305" s="1">
        <v>16169</v>
      </c>
      <c r="D305" s="1">
        <v>31</v>
      </c>
      <c r="E305" s="1">
        <v>0</v>
      </c>
      <c r="F305" s="1">
        <v>15069.56</v>
      </c>
      <c r="G305" s="5"/>
      <c r="H305" s="1">
        <v>10942.66</v>
      </c>
      <c r="I305" s="1">
        <v>4126.8999999999996</v>
      </c>
      <c r="J305" s="1">
        <v>14687.94</v>
      </c>
      <c r="K305" s="1" t="s">
        <v>1227</v>
      </c>
      <c r="L305" s="3">
        <v>1571.65</v>
      </c>
      <c r="M305" s="3">
        <f t="shared" si="4"/>
        <v>1571.65</v>
      </c>
    </row>
    <row r="306" spans="1:13" x14ac:dyDescent="0.35">
      <c r="A306" s="1" t="s">
        <v>183</v>
      </c>
      <c r="B306" s="1">
        <v>150508</v>
      </c>
      <c r="C306" s="1">
        <v>16169</v>
      </c>
      <c r="D306" s="1" t="s">
        <v>1217</v>
      </c>
      <c r="E306" s="1" t="s">
        <v>1217</v>
      </c>
      <c r="F306" s="1" t="s">
        <v>1217</v>
      </c>
      <c r="G306" s="5"/>
      <c r="H306" s="1" t="s">
        <v>1217</v>
      </c>
      <c r="I306" s="1" t="s">
        <v>1217</v>
      </c>
      <c r="J306" s="1" t="s">
        <v>1217</v>
      </c>
      <c r="K306" s="1" t="s">
        <v>1218</v>
      </c>
      <c r="L306" s="3">
        <v>10</v>
      </c>
      <c r="M306" s="3">
        <f t="shared" si="4"/>
        <v>10</v>
      </c>
    </row>
    <row r="307" spans="1:13" x14ac:dyDescent="0.35">
      <c r="A307" s="1" t="s">
        <v>896</v>
      </c>
      <c r="B307" s="1">
        <v>58251</v>
      </c>
      <c r="C307" s="1">
        <v>16171</v>
      </c>
      <c r="D307" s="1">
        <v>18</v>
      </c>
      <c r="E307" s="1">
        <v>0</v>
      </c>
      <c r="F307" s="1">
        <v>7494.86</v>
      </c>
      <c r="G307" s="5"/>
      <c r="H307" s="1">
        <v>2056.13</v>
      </c>
      <c r="I307" s="1">
        <v>5438.73</v>
      </c>
      <c r="J307" s="1">
        <v>5592.89</v>
      </c>
      <c r="K307" s="1" t="s">
        <v>1228</v>
      </c>
      <c r="L307" s="3">
        <v>710</v>
      </c>
      <c r="M307" s="3">
        <f t="shared" si="4"/>
        <v>710</v>
      </c>
    </row>
    <row r="308" spans="1:13" x14ac:dyDescent="0.35">
      <c r="A308" s="1" t="s">
        <v>896</v>
      </c>
      <c r="B308" s="1">
        <v>58251</v>
      </c>
      <c r="C308" s="1">
        <v>16171</v>
      </c>
      <c r="D308" s="1" t="s">
        <v>1217</v>
      </c>
      <c r="E308" s="1" t="s">
        <v>1217</v>
      </c>
      <c r="F308" s="1" t="s">
        <v>1217</v>
      </c>
      <c r="G308" s="5"/>
      <c r="H308" s="1" t="s">
        <v>1217</v>
      </c>
      <c r="I308" s="1" t="s">
        <v>1217</v>
      </c>
      <c r="J308" s="1" t="s">
        <v>1217</v>
      </c>
      <c r="K308" s="1" t="s">
        <v>1251</v>
      </c>
      <c r="L308" s="3">
        <v>109</v>
      </c>
      <c r="M308" s="3">
        <f t="shared" si="4"/>
        <v>109</v>
      </c>
    </row>
    <row r="309" spans="1:13" x14ac:dyDescent="0.35">
      <c r="A309" s="1" t="s">
        <v>896</v>
      </c>
      <c r="B309" s="1">
        <v>58251</v>
      </c>
      <c r="C309" s="1">
        <v>16171</v>
      </c>
      <c r="D309" s="1" t="s">
        <v>1217</v>
      </c>
      <c r="E309" s="1" t="s">
        <v>1217</v>
      </c>
      <c r="F309" s="1" t="s">
        <v>1217</v>
      </c>
      <c r="G309" s="5"/>
      <c r="H309" s="1" t="s">
        <v>1217</v>
      </c>
      <c r="I309" s="1" t="s">
        <v>1217</v>
      </c>
      <c r="J309" s="1" t="s">
        <v>1217</v>
      </c>
      <c r="K309" s="1" t="s">
        <v>1240</v>
      </c>
      <c r="L309" s="3">
        <v>10</v>
      </c>
      <c r="M309" s="3">
        <f t="shared" si="4"/>
        <v>10</v>
      </c>
    </row>
    <row r="310" spans="1:13" x14ac:dyDescent="0.35">
      <c r="A310" s="1" t="s">
        <v>896</v>
      </c>
      <c r="B310" s="1">
        <v>58251</v>
      </c>
      <c r="C310" s="1">
        <v>16171</v>
      </c>
      <c r="D310" s="1" t="s">
        <v>1217</v>
      </c>
      <c r="E310" s="1" t="s">
        <v>1217</v>
      </c>
      <c r="F310" s="1" t="s">
        <v>1217</v>
      </c>
      <c r="G310" s="5"/>
      <c r="H310" s="1" t="s">
        <v>1217</v>
      </c>
      <c r="I310" s="1" t="s">
        <v>1217</v>
      </c>
      <c r="J310" s="1" t="s">
        <v>1217</v>
      </c>
      <c r="K310" s="1" t="s">
        <v>1218</v>
      </c>
      <c r="L310" s="3">
        <v>10</v>
      </c>
      <c r="M310" s="3">
        <f t="shared" si="4"/>
        <v>10</v>
      </c>
    </row>
    <row r="311" spans="1:13" x14ac:dyDescent="0.35">
      <c r="A311" s="1" t="s">
        <v>152</v>
      </c>
      <c r="B311" s="1">
        <v>61225</v>
      </c>
      <c r="C311" s="1">
        <v>16380</v>
      </c>
      <c r="D311" s="1">
        <v>30</v>
      </c>
      <c r="E311" s="1">
        <v>0</v>
      </c>
      <c r="F311" s="1">
        <v>8772.33</v>
      </c>
      <c r="G311" s="5"/>
      <c r="H311" s="1">
        <v>5098.68</v>
      </c>
      <c r="I311" s="1">
        <v>3673.65</v>
      </c>
      <c r="J311" s="1">
        <v>5790.07</v>
      </c>
      <c r="K311" s="1" t="s">
        <v>1227</v>
      </c>
      <c r="L311" s="3">
        <v>1571.65</v>
      </c>
      <c r="M311" s="3">
        <f t="shared" si="4"/>
        <v>1571.65</v>
      </c>
    </row>
    <row r="312" spans="1:13" x14ac:dyDescent="0.35">
      <c r="A312" s="1" t="s">
        <v>152</v>
      </c>
      <c r="B312" s="1">
        <v>61225</v>
      </c>
      <c r="C312" s="1">
        <v>16380</v>
      </c>
      <c r="D312" s="1" t="s">
        <v>1217</v>
      </c>
      <c r="E312" s="1" t="s">
        <v>1217</v>
      </c>
      <c r="F312" s="1" t="s">
        <v>1217</v>
      </c>
      <c r="G312" s="5"/>
      <c r="H312" s="1" t="s">
        <v>1217</v>
      </c>
      <c r="I312" s="1" t="s">
        <v>1217</v>
      </c>
      <c r="J312" s="1" t="s">
        <v>1217</v>
      </c>
      <c r="K312" s="1" t="s">
        <v>1218</v>
      </c>
      <c r="L312" s="3">
        <v>10</v>
      </c>
      <c r="M312" s="3">
        <f t="shared" si="4"/>
        <v>10</v>
      </c>
    </row>
    <row r="313" spans="1:13" x14ac:dyDescent="0.35">
      <c r="A313" s="1" t="s">
        <v>652</v>
      </c>
      <c r="B313" s="1">
        <v>58248</v>
      </c>
      <c r="C313" s="1">
        <v>16163</v>
      </c>
      <c r="D313" s="1">
        <v>46</v>
      </c>
      <c r="E313" s="1">
        <v>0</v>
      </c>
      <c r="F313" s="1">
        <v>30481.3</v>
      </c>
      <c r="G313" s="5"/>
      <c r="H313" s="1">
        <v>20493.02</v>
      </c>
      <c r="I313" s="1">
        <v>9988.2800000000007</v>
      </c>
      <c r="J313" s="1">
        <v>27041.73</v>
      </c>
      <c r="K313" s="1" t="s">
        <v>1227</v>
      </c>
      <c r="L313" s="3">
        <v>1571.65</v>
      </c>
      <c r="M313" s="3">
        <f t="shared" si="4"/>
        <v>1571.65</v>
      </c>
    </row>
    <row r="314" spans="1:13" x14ac:dyDescent="0.35">
      <c r="A314" s="1" t="s">
        <v>652</v>
      </c>
      <c r="B314" s="1">
        <v>58248</v>
      </c>
      <c r="C314" s="1">
        <v>16163</v>
      </c>
      <c r="D314" s="1" t="s">
        <v>1217</v>
      </c>
      <c r="E314" s="1" t="s">
        <v>1217</v>
      </c>
      <c r="F314" s="1" t="s">
        <v>1217</v>
      </c>
      <c r="G314" s="5"/>
      <c r="H314" s="1" t="s">
        <v>1217</v>
      </c>
      <c r="I314" s="1" t="s">
        <v>1217</v>
      </c>
      <c r="J314" s="1" t="s">
        <v>1217</v>
      </c>
      <c r="K314" s="1" t="s">
        <v>1218</v>
      </c>
      <c r="L314" s="3">
        <v>10</v>
      </c>
      <c r="M314" s="3">
        <f t="shared" si="4"/>
        <v>10</v>
      </c>
    </row>
    <row r="315" spans="1:13" x14ac:dyDescent="0.35">
      <c r="A315" s="1" t="s">
        <v>431</v>
      </c>
      <c r="B315" s="1">
        <v>188195</v>
      </c>
      <c r="C315" s="1">
        <v>31841</v>
      </c>
      <c r="D315" s="1">
        <v>43</v>
      </c>
      <c r="E315" s="1">
        <v>0</v>
      </c>
      <c r="F315" s="1">
        <v>3280.93</v>
      </c>
      <c r="G315" s="5"/>
      <c r="H315" s="1">
        <v>1917.42</v>
      </c>
      <c r="I315" s="1">
        <v>1363.51</v>
      </c>
      <c r="J315" s="1">
        <v>0</v>
      </c>
      <c r="K315" s="1" t="s">
        <v>1238</v>
      </c>
      <c r="L315" s="3">
        <v>419</v>
      </c>
      <c r="M315" s="3">
        <f t="shared" si="4"/>
        <v>419</v>
      </c>
    </row>
    <row r="316" spans="1:13" x14ac:dyDescent="0.35">
      <c r="A316" s="1" t="s">
        <v>431</v>
      </c>
      <c r="B316" s="1">
        <v>188195</v>
      </c>
      <c r="C316" s="1">
        <v>31841</v>
      </c>
      <c r="D316" s="1" t="s">
        <v>1217</v>
      </c>
      <c r="E316" s="1" t="s">
        <v>1217</v>
      </c>
      <c r="F316" s="1" t="s">
        <v>1217</v>
      </c>
      <c r="G316" s="5"/>
      <c r="H316" s="1" t="s">
        <v>1217</v>
      </c>
      <c r="I316" s="1" t="s">
        <v>1217</v>
      </c>
      <c r="J316" s="1" t="s">
        <v>1217</v>
      </c>
      <c r="K316" s="1" t="s">
        <v>1218</v>
      </c>
      <c r="L316" s="3">
        <v>10</v>
      </c>
      <c r="M316" s="3">
        <f t="shared" si="4"/>
        <v>10</v>
      </c>
    </row>
    <row r="317" spans="1:13" x14ac:dyDescent="0.35">
      <c r="A317" s="1" t="s">
        <v>917</v>
      </c>
      <c r="B317" s="1">
        <v>61228</v>
      </c>
      <c r="C317" s="1">
        <v>16388</v>
      </c>
      <c r="D317" s="1">
        <v>54</v>
      </c>
      <c r="E317" s="1">
        <v>0</v>
      </c>
      <c r="F317" s="1">
        <v>4422.4399999999996</v>
      </c>
      <c r="G317" s="5">
        <v>32.99</v>
      </c>
      <c r="H317" s="1">
        <v>1195.18</v>
      </c>
      <c r="I317" s="1">
        <v>3227.26</v>
      </c>
      <c r="J317" s="1">
        <v>3148.82</v>
      </c>
      <c r="K317" s="1" t="s">
        <v>1250</v>
      </c>
      <c r="L317" s="3">
        <v>552.99</v>
      </c>
      <c r="M317" s="3">
        <f t="shared" si="4"/>
        <v>520</v>
      </c>
    </row>
    <row r="318" spans="1:13" x14ac:dyDescent="0.35">
      <c r="A318" s="1" t="s">
        <v>917</v>
      </c>
      <c r="B318" s="1">
        <v>61228</v>
      </c>
      <c r="C318" s="1">
        <v>16388</v>
      </c>
      <c r="D318" s="1" t="s">
        <v>1217</v>
      </c>
      <c r="E318" s="1" t="s">
        <v>1217</v>
      </c>
      <c r="F318" s="1" t="s">
        <v>1217</v>
      </c>
      <c r="G318" s="5"/>
      <c r="H318" s="1" t="s">
        <v>1217</v>
      </c>
      <c r="I318" s="1" t="s">
        <v>1217</v>
      </c>
      <c r="J318" s="1" t="s">
        <v>1217</v>
      </c>
      <c r="K318" s="1" t="s">
        <v>1251</v>
      </c>
      <c r="L318" s="3">
        <v>109</v>
      </c>
      <c r="M318" s="3">
        <f t="shared" si="4"/>
        <v>109</v>
      </c>
    </row>
    <row r="319" spans="1:13" x14ac:dyDescent="0.35">
      <c r="A319" s="1" t="s">
        <v>917</v>
      </c>
      <c r="B319" s="1">
        <v>61228</v>
      </c>
      <c r="C319" s="1">
        <v>16388</v>
      </c>
      <c r="D319" s="1" t="s">
        <v>1217</v>
      </c>
      <c r="E319" s="1" t="s">
        <v>1217</v>
      </c>
      <c r="F319" s="1" t="s">
        <v>1217</v>
      </c>
      <c r="G319" s="5"/>
      <c r="H319" s="1" t="s">
        <v>1217</v>
      </c>
      <c r="I319" s="1" t="s">
        <v>1217</v>
      </c>
      <c r="J319" s="1" t="s">
        <v>1217</v>
      </c>
      <c r="K319" s="1" t="s">
        <v>1240</v>
      </c>
      <c r="L319" s="3">
        <v>10</v>
      </c>
      <c r="M319" s="3">
        <f t="shared" si="4"/>
        <v>10</v>
      </c>
    </row>
    <row r="320" spans="1:13" x14ac:dyDescent="0.35">
      <c r="A320" s="1" t="s">
        <v>917</v>
      </c>
      <c r="B320" s="1">
        <v>61228</v>
      </c>
      <c r="C320" s="1">
        <v>16388</v>
      </c>
      <c r="D320" s="1" t="s">
        <v>1217</v>
      </c>
      <c r="E320" s="1" t="s">
        <v>1217</v>
      </c>
      <c r="F320" s="1" t="s">
        <v>1217</v>
      </c>
      <c r="G320" s="5"/>
      <c r="H320" s="1" t="s">
        <v>1217</v>
      </c>
      <c r="I320" s="1" t="s">
        <v>1217</v>
      </c>
      <c r="J320" s="1" t="s">
        <v>1217</v>
      </c>
      <c r="K320" s="1" t="s">
        <v>1218</v>
      </c>
      <c r="L320" s="3">
        <v>10</v>
      </c>
      <c r="M320" s="3">
        <f t="shared" si="4"/>
        <v>10</v>
      </c>
    </row>
    <row r="321" spans="1:13" x14ac:dyDescent="0.35">
      <c r="A321" s="1" t="s">
        <v>413</v>
      </c>
      <c r="B321" s="1">
        <v>61231</v>
      </c>
      <c r="C321" s="1">
        <v>16396</v>
      </c>
      <c r="D321" s="1">
        <v>39</v>
      </c>
      <c r="E321" s="1">
        <v>0</v>
      </c>
      <c r="F321" s="1">
        <v>6564.12</v>
      </c>
      <c r="G321" s="5"/>
      <c r="H321" s="1">
        <v>2749.75</v>
      </c>
      <c r="I321" s="1">
        <v>3814.37</v>
      </c>
      <c r="J321" s="1">
        <v>6135.31</v>
      </c>
      <c r="K321" s="1" t="s">
        <v>1227</v>
      </c>
      <c r="L321" s="3">
        <v>1571.65</v>
      </c>
      <c r="M321" s="3">
        <f t="shared" si="4"/>
        <v>1571.65</v>
      </c>
    </row>
    <row r="322" spans="1:13" x14ac:dyDescent="0.35">
      <c r="A322" s="1" t="s">
        <v>413</v>
      </c>
      <c r="B322" s="1">
        <v>61231</v>
      </c>
      <c r="C322" s="1">
        <v>16396</v>
      </c>
      <c r="D322" s="1" t="s">
        <v>1217</v>
      </c>
      <c r="E322" s="1" t="s">
        <v>1217</v>
      </c>
      <c r="F322" s="1" t="s">
        <v>1217</v>
      </c>
      <c r="G322" s="5"/>
      <c r="H322" s="1" t="s">
        <v>1217</v>
      </c>
      <c r="I322" s="1" t="s">
        <v>1217</v>
      </c>
      <c r="J322" s="1" t="s">
        <v>1217</v>
      </c>
      <c r="K322" s="1" t="s">
        <v>1218</v>
      </c>
      <c r="L322" s="3">
        <v>10</v>
      </c>
      <c r="M322" s="3">
        <f t="shared" ref="M322:M385" si="5">+L322-G322</f>
        <v>10</v>
      </c>
    </row>
    <row r="323" spans="1:13" x14ac:dyDescent="0.35">
      <c r="A323" s="1" t="s">
        <v>390</v>
      </c>
      <c r="B323" s="1">
        <v>77177</v>
      </c>
      <c r="C323" s="1">
        <v>17265</v>
      </c>
      <c r="D323" s="1">
        <v>2</v>
      </c>
      <c r="E323" s="1">
        <v>0</v>
      </c>
      <c r="F323" s="1">
        <v>0</v>
      </c>
      <c r="G323" s="5"/>
      <c r="H323" s="1">
        <v>0</v>
      </c>
      <c r="I323" s="1">
        <v>0</v>
      </c>
      <c r="J323" s="1">
        <v>0</v>
      </c>
      <c r="K323" s="1" t="s">
        <v>1222</v>
      </c>
      <c r="L323" s="3">
        <v>129</v>
      </c>
      <c r="M323" s="3">
        <f t="shared" si="5"/>
        <v>129</v>
      </c>
    </row>
    <row r="324" spans="1:13" x14ac:dyDescent="0.35">
      <c r="A324" s="1" t="s">
        <v>433</v>
      </c>
      <c r="B324" s="1">
        <v>96473</v>
      </c>
      <c r="C324" s="1">
        <v>18864</v>
      </c>
      <c r="D324" s="1">
        <v>74</v>
      </c>
      <c r="E324" s="1">
        <v>2</v>
      </c>
      <c r="F324" s="1">
        <v>9316.81</v>
      </c>
      <c r="G324" s="5"/>
      <c r="H324" s="1">
        <v>5616.92</v>
      </c>
      <c r="I324" s="1">
        <v>3699.89</v>
      </c>
      <c r="J324" s="1">
        <v>6805.57</v>
      </c>
      <c r="K324" s="1" t="s">
        <v>1229</v>
      </c>
      <c r="L324" s="3">
        <v>1274.1500000000001</v>
      </c>
      <c r="M324" s="3">
        <f t="shared" si="5"/>
        <v>1274.1500000000001</v>
      </c>
    </row>
    <row r="325" spans="1:13" x14ac:dyDescent="0.35">
      <c r="A325" s="1" t="s">
        <v>433</v>
      </c>
      <c r="B325" s="1">
        <v>96473</v>
      </c>
      <c r="C325" s="1">
        <v>18864</v>
      </c>
      <c r="D325" s="1" t="s">
        <v>1217</v>
      </c>
      <c r="E325" s="1" t="s">
        <v>1217</v>
      </c>
      <c r="F325" s="1" t="s">
        <v>1217</v>
      </c>
      <c r="G325" s="5"/>
      <c r="H325" s="1" t="s">
        <v>1217</v>
      </c>
      <c r="I325" s="1" t="s">
        <v>1217</v>
      </c>
      <c r="J325" s="1" t="s">
        <v>1217</v>
      </c>
      <c r="K325" s="1" t="s">
        <v>1218</v>
      </c>
      <c r="L325" s="3">
        <v>10</v>
      </c>
      <c r="M325" s="3">
        <f t="shared" si="5"/>
        <v>10</v>
      </c>
    </row>
    <row r="326" spans="1:13" x14ac:dyDescent="0.35">
      <c r="A326" s="1" t="s">
        <v>886</v>
      </c>
      <c r="B326" s="1">
        <v>119044</v>
      </c>
      <c r="C326" s="1">
        <v>21218</v>
      </c>
      <c r="D326" s="1">
        <v>61</v>
      </c>
      <c r="E326" s="1">
        <v>2</v>
      </c>
      <c r="F326" s="1">
        <v>10318.92</v>
      </c>
      <c r="G326" s="5"/>
      <c r="H326" s="1">
        <v>5499.39</v>
      </c>
      <c r="I326" s="1">
        <v>4819.53</v>
      </c>
      <c r="J326" s="1">
        <v>8345.06</v>
      </c>
      <c r="K326" s="1" t="s">
        <v>1229</v>
      </c>
      <c r="L326" s="3">
        <v>1274.1500000000001</v>
      </c>
      <c r="M326" s="3">
        <f t="shared" si="5"/>
        <v>1274.1500000000001</v>
      </c>
    </row>
    <row r="327" spans="1:13" x14ac:dyDescent="0.35">
      <c r="A327" s="1" t="s">
        <v>886</v>
      </c>
      <c r="B327" s="1">
        <v>119044</v>
      </c>
      <c r="C327" s="1">
        <v>21218</v>
      </c>
      <c r="D327" s="1" t="s">
        <v>1217</v>
      </c>
      <c r="E327" s="1" t="s">
        <v>1217</v>
      </c>
      <c r="F327" s="1" t="s">
        <v>1217</v>
      </c>
      <c r="G327" s="5"/>
      <c r="H327" s="1" t="s">
        <v>1217</v>
      </c>
      <c r="I327" s="1" t="s">
        <v>1217</v>
      </c>
      <c r="J327" s="1" t="s">
        <v>1217</v>
      </c>
      <c r="K327" s="1" t="s">
        <v>1218</v>
      </c>
      <c r="L327" s="3">
        <v>10</v>
      </c>
      <c r="M327" s="3">
        <f t="shared" si="5"/>
        <v>10</v>
      </c>
    </row>
    <row r="328" spans="1:13" x14ac:dyDescent="0.35">
      <c r="A328" s="1" t="s">
        <v>288</v>
      </c>
      <c r="B328" s="1">
        <v>90212</v>
      </c>
      <c r="D328" s="1">
        <v>0</v>
      </c>
      <c r="E328" s="1">
        <v>0</v>
      </c>
      <c r="F328" s="1">
        <v>0</v>
      </c>
      <c r="G328" s="5"/>
      <c r="H328" s="1">
        <v>0</v>
      </c>
      <c r="I328" s="1">
        <v>0</v>
      </c>
      <c r="J328" s="1">
        <v>0</v>
      </c>
      <c r="K328" s="1" t="s">
        <v>1226</v>
      </c>
      <c r="L328" s="3">
        <v>1571.65</v>
      </c>
      <c r="M328" s="3">
        <f t="shared" si="5"/>
        <v>1571.65</v>
      </c>
    </row>
    <row r="329" spans="1:13" x14ac:dyDescent="0.35">
      <c r="A329" s="1" t="s">
        <v>242</v>
      </c>
      <c r="B329" s="1">
        <v>125150</v>
      </c>
      <c r="C329" s="1">
        <v>18058</v>
      </c>
      <c r="D329" s="1">
        <v>20</v>
      </c>
      <c r="E329" s="1">
        <v>0</v>
      </c>
      <c r="F329" s="1">
        <v>3808.83</v>
      </c>
      <c r="G329" s="5"/>
      <c r="H329" s="1">
        <v>452.85</v>
      </c>
      <c r="I329" s="1">
        <v>3355.98</v>
      </c>
      <c r="J329" s="1">
        <v>0</v>
      </c>
      <c r="K329" s="1" t="s">
        <v>1224</v>
      </c>
      <c r="L329" s="3">
        <v>424.15</v>
      </c>
      <c r="M329" s="3">
        <f t="shared" si="5"/>
        <v>424.15</v>
      </c>
    </row>
    <row r="330" spans="1:13" x14ac:dyDescent="0.35">
      <c r="A330" s="1" t="s">
        <v>538</v>
      </c>
      <c r="B330" s="1">
        <v>142809</v>
      </c>
      <c r="C330" s="1">
        <v>23503</v>
      </c>
      <c r="D330" s="1">
        <v>17</v>
      </c>
      <c r="E330" s="1">
        <v>0</v>
      </c>
      <c r="F330" s="1">
        <v>4395.91</v>
      </c>
      <c r="G330" s="5"/>
      <c r="H330" s="1">
        <v>4395.91</v>
      </c>
      <c r="I330" s="1">
        <v>0</v>
      </c>
      <c r="J330" s="1">
        <v>0</v>
      </c>
      <c r="K330" s="1" t="s">
        <v>1224</v>
      </c>
      <c r="L330" s="3">
        <v>424.15</v>
      </c>
      <c r="M330" s="3">
        <f t="shared" si="5"/>
        <v>424.15</v>
      </c>
    </row>
    <row r="331" spans="1:13" x14ac:dyDescent="0.35">
      <c r="A331" s="1" t="s">
        <v>538</v>
      </c>
      <c r="B331" s="1">
        <v>142809</v>
      </c>
      <c r="C331" s="1">
        <v>23503</v>
      </c>
      <c r="D331" s="1" t="s">
        <v>1217</v>
      </c>
      <c r="E331" s="1" t="s">
        <v>1217</v>
      </c>
      <c r="F331" s="1" t="s">
        <v>1217</v>
      </c>
      <c r="G331" s="5"/>
      <c r="H331" s="1" t="s">
        <v>1217</v>
      </c>
      <c r="I331" s="1" t="s">
        <v>1217</v>
      </c>
      <c r="J331" s="1" t="s">
        <v>1217</v>
      </c>
      <c r="K331" s="1" t="s">
        <v>1218</v>
      </c>
      <c r="L331" s="3">
        <v>10</v>
      </c>
      <c r="M331" s="3">
        <f t="shared" si="5"/>
        <v>10</v>
      </c>
    </row>
    <row r="332" spans="1:13" x14ac:dyDescent="0.35">
      <c r="A332" s="1" t="s">
        <v>922</v>
      </c>
      <c r="B332" s="1">
        <v>143527</v>
      </c>
      <c r="C332" s="1">
        <v>23501</v>
      </c>
      <c r="D332" s="1">
        <v>15</v>
      </c>
      <c r="E332" s="1">
        <v>0</v>
      </c>
      <c r="F332" s="1">
        <v>14842.95</v>
      </c>
      <c r="G332" s="5"/>
      <c r="H332" s="1">
        <v>9378.3700000000008</v>
      </c>
      <c r="I332" s="1">
        <v>5464.58</v>
      </c>
      <c r="J332" s="1">
        <v>0</v>
      </c>
      <c r="K332" s="1" t="s">
        <v>1233</v>
      </c>
      <c r="L332" s="3">
        <v>588</v>
      </c>
      <c r="M332" s="3">
        <f t="shared" si="5"/>
        <v>588</v>
      </c>
    </row>
    <row r="333" spans="1:13" x14ac:dyDescent="0.35">
      <c r="A333" s="1" t="s">
        <v>922</v>
      </c>
      <c r="B333" s="1">
        <v>143527</v>
      </c>
      <c r="C333" s="1">
        <v>23501</v>
      </c>
      <c r="D333" s="1" t="s">
        <v>1217</v>
      </c>
      <c r="E333" s="1" t="s">
        <v>1217</v>
      </c>
      <c r="F333" s="1" t="s">
        <v>1217</v>
      </c>
      <c r="G333" s="5"/>
      <c r="H333" s="1" t="s">
        <v>1217</v>
      </c>
      <c r="I333" s="1" t="s">
        <v>1217</v>
      </c>
      <c r="J333" s="1" t="s">
        <v>1217</v>
      </c>
      <c r="K333" s="1" t="s">
        <v>1218</v>
      </c>
      <c r="L333" s="3">
        <v>10</v>
      </c>
      <c r="M333" s="3">
        <f t="shared" si="5"/>
        <v>10</v>
      </c>
    </row>
    <row r="334" spans="1:13" x14ac:dyDescent="0.35">
      <c r="A334" s="1" t="s">
        <v>540</v>
      </c>
      <c r="B334" s="1">
        <v>142811</v>
      </c>
      <c r="C334" s="1">
        <v>23500</v>
      </c>
      <c r="D334" s="1">
        <v>14</v>
      </c>
      <c r="E334" s="1">
        <v>0</v>
      </c>
      <c r="F334" s="1">
        <v>505.37</v>
      </c>
      <c r="G334" s="5"/>
      <c r="H334" s="1">
        <v>360.06</v>
      </c>
      <c r="I334" s="1">
        <v>145.31</v>
      </c>
      <c r="J334" s="1">
        <v>0</v>
      </c>
      <c r="K334" s="1" t="s">
        <v>1224</v>
      </c>
      <c r="L334" s="3">
        <v>424.15</v>
      </c>
      <c r="M334" s="3">
        <f t="shared" si="5"/>
        <v>424.15</v>
      </c>
    </row>
    <row r="335" spans="1:13" x14ac:dyDescent="0.35">
      <c r="A335" s="1" t="s">
        <v>540</v>
      </c>
      <c r="B335" s="1">
        <v>142811</v>
      </c>
      <c r="C335" s="1">
        <v>23500</v>
      </c>
      <c r="D335" s="1" t="s">
        <v>1217</v>
      </c>
      <c r="E335" s="1" t="s">
        <v>1217</v>
      </c>
      <c r="F335" s="1" t="s">
        <v>1217</v>
      </c>
      <c r="G335" s="5"/>
      <c r="H335" s="1" t="s">
        <v>1217</v>
      </c>
      <c r="I335" s="1" t="s">
        <v>1217</v>
      </c>
      <c r="J335" s="1" t="s">
        <v>1217</v>
      </c>
      <c r="K335" s="1" t="s">
        <v>1218</v>
      </c>
      <c r="L335" s="3">
        <v>10</v>
      </c>
      <c r="M335" s="3">
        <f t="shared" si="5"/>
        <v>10</v>
      </c>
    </row>
    <row r="336" spans="1:13" x14ac:dyDescent="0.35">
      <c r="A336" s="1" t="s">
        <v>221</v>
      </c>
      <c r="B336" s="1">
        <v>120186</v>
      </c>
      <c r="C336" s="1">
        <v>21332</v>
      </c>
      <c r="D336" s="1">
        <v>16</v>
      </c>
      <c r="E336" s="1">
        <v>0</v>
      </c>
      <c r="F336" s="1">
        <v>1346.42</v>
      </c>
      <c r="G336" s="5"/>
      <c r="H336" s="1">
        <v>130.62</v>
      </c>
      <c r="I336" s="1">
        <v>1215.8</v>
      </c>
      <c r="J336" s="1">
        <v>0</v>
      </c>
      <c r="K336" s="1" t="s">
        <v>1224</v>
      </c>
      <c r="L336" s="3">
        <v>424.15</v>
      </c>
      <c r="M336" s="3">
        <f t="shared" si="5"/>
        <v>424.15</v>
      </c>
    </row>
    <row r="337" spans="1:13" x14ac:dyDescent="0.35">
      <c r="A337" s="1" t="s">
        <v>221</v>
      </c>
      <c r="B337" s="1">
        <v>120186</v>
      </c>
      <c r="C337" s="1">
        <v>21332</v>
      </c>
      <c r="D337" s="1" t="s">
        <v>1217</v>
      </c>
      <c r="E337" s="1" t="s">
        <v>1217</v>
      </c>
      <c r="F337" s="1" t="s">
        <v>1217</v>
      </c>
      <c r="G337" s="5"/>
      <c r="H337" s="1" t="s">
        <v>1217</v>
      </c>
      <c r="I337" s="1" t="s">
        <v>1217</v>
      </c>
      <c r="J337" s="1" t="s">
        <v>1217</v>
      </c>
      <c r="K337" s="1" t="s">
        <v>1218</v>
      </c>
      <c r="L337" s="3">
        <v>10</v>
      </c>
      <c r="M337" s="3">
        <f t="shared" si="5"/>
        <v>10</v>
      </c>
    </row>
    <row r="338" spans="1:13" x14ac:dyDescent="0.35">
      <c r="A338" s="1" t="s">
        <v>122</v>
      </c>
      <c r="B338" s="1">
        <v>115609</v>
      </c>
      <c r="C338" s="1">
        <v>19515</v>
      </c>
      <c r="D338" s="1">
        <v>16</v>
      </c>
      <c r="E338" s="1">
        <v>0</v>
      </c>
      <c r="F338" s="1">
        <v>243.17</v>
      </c>
      <c r="G338" s="5"/>
      <c r="H338" s="1">
        <v>243.17</v>
      </c>
      <c r="I338" s="1">
        <v>0</v>
      </c>
      <c r="J338" s="1">
        <v>0</v>
      </c>
      <c r="K338" s="1" t="s">
        <v>1216</v>
      </c>
      <c r="L338" s="3">
        <v>254.15</v>
      </c>
      <c r="M338" s="3">
        <f t="shared" si="5"/>
        <v>254.15</v>
      </c>
    </row>
    <row r="339" spans="1:13" x14ac:dyDescent="0.35">
      <c r="A339" s="1" t="s">
        <v>122</v>
      </c>
      <c r="B339" s="1">
        <v>115609</v>
      </c>
      <c r="C339" s="1">
        <v>19515</v>
      </c>
      <c r="D339" s="1" t="s">
        <v>1217</v>
      </c>
      <c r="E339" s="1" t="s">
        <v>1217</v>
      </c>
      <c r="F339" s="1" t="s">
        <v>1217</v>
      </c>
      <c r="G339" s="5"/>
      <c r="H339" s="1" t="s">
        <v>1217</v>
      </c>
      <c r="I339" s="1" t="s">
        <v>1217</v>
      </c>
      <c r="J339" s="1" t="s">
        <v>1217</v>
      </c>
      <c r="K339" s="1" t="s">
        <v>1218</v>
      </c>
      <c r="L339" s="3">
        <v>10</v>
      </c>
      <c r="M339" s="3">
        <f t="shared" si="5"/>
        <v>10</v>
      </c>
    </row>
    <row r="340" spans="1:13" x14ac:dyDescent="0.35">
      <c r="A340" s="1" t="s">
        <v>484</v>
      </c>
      <c r="B340" s="1">
        <v>150665</v>
      </c>
      <c r="C340" s="1">
        <v>27596</v>
      </c>
      <c r="D340" s="1">
        <v>17</v>
      </c>
      <c r="E340" s="1">
        <v>0</v>
      </c>
      <c r="F340" s="1">
        <v>2691.58</v>
      </c>
      <c r="G340" s="5"/>
      <c r="H340" s="1">
        <v>187.57</v>
      </c>
      <c r="I340" s="1">
        <v>2504.0100000000002</v>
      </c>
      <c r="J340" s="1">
        <v>0</v>
      </c>
      <c r="K340" s="1" t="s">
        <v>1216</v>
      </c>
      <c r="L340" s="3">
        <v>254.15</v>
      </c>
      <c r="M340" s="3">
        <f t="shared" si="5"/>
        <v>254.15</v>
      </c>
    </row>
    <row r="341" spans="1:13" x14ac:dyDescent="0.35">
      <c r="A341" s="1" t="s">
        <v>484</v>
      </c>
      <c r="B341" s="1">
        <v>150665</v>
      </c>
      <c r="C341" s="1">
        <v>27596</v>
      </c>
      <c r="D341" s="1" t="s">
        <v>1217</v>
      </c>
      <c r="E341" s="1" t="s">
        <v>1217</v>
      </c>
      <c r="F341" s="1" t="s">
        <v>1217</v>
      </c>
      <c r="G341" s="5"/>
      <c r="H341" s="1" t="s">
        <v>1217</v>
      </c>
      <c r="I341" s="1" t="s">
        <v>1217</v>
      </c>
      <c r="J341" s="1" t="s">
        <v>1217</v>
      </c>
      <c r="K341" s="1" t="s">
        <v>1218</v>
      </c>
      <c r="L341" s="3">
        <v>10</v>
      </c>
      <c r="M341" s="3">
        <f t="shared" si="5"/>
        <v>10</v>
      </c>
    </row>
    <row r="342" spans="1:13" x14ac:dyDescent="0.35">
      <c r="A342" s="1" t="s">
        <v>590</v>
      </c>
      <c r="B342" s="1">
        <v>122660</v>
      </c>
      <c r="D342" s="1">
        <v>53</v>
      </c>
      <c r="E342" s="1">
        <v>0</v>
      </c>
      <c r="F342" s="1">
        <v>5925.73</v>
      </c>
      <c r="G342" s="5"/>
      <c r="H342" s="1">
        <v>874.17</v>
      </c>
      <c r="I342" s="1">
        <v>5051.5600000000004</v>
      </c>
      <c r="J342" s="1">
        <v>4340.16</v>
      </c>
      <c r="K342" s="1" t="s">
        <v>1229</v>
      </c>
      <c r="L342" s="3">
        <v>1274.1500000000001</v>
      </c>
      <c r="M342" s="3">
        <f t="shared" si="5"/>
        <v>1274.1500000000001</v>
      </c>
    </row>
    <row r="343" spans="1:13" x14ac:dyDescent="0.35">
      <c r="A343" s="1" t="s">
        <v>590</v>
      </c>
      <c r="B343" s="1">
        <v>122660</v>
      </c>
      <c r="D343" s="1" t="s">
        <v>1217</v>
      </c>
      <c r="E343" s="1" t="s">
        <v>1217</v>
      </c>
      <c r="F343" s="1" t="s">
        <v>1217</v>
      </c>
      <c r="G343" s="5"/>
      <c r="H343" s="1" t="s">
        <v>1217</v>
      </c>
      <c r="I343" s="1" t="s">
        <v>1217</v>
      </c>
      <c r="J343" s="1" t="s">
        <v>1217</v>
      </c>
      <c r="K343" s="1" t="s">
        <v>1218</v>
      </c>
      <c r="L343" s="3">
        <v>10</v>
      </c>
      <c r="M343" s="3">
        <f t="shared" si="5"/>
        <v>10</v>
      </c>
    </row>
    <row r="344" spans="1:13" x14ac:dyDescent="0.35">
      <c r="A344" s="1" t="s">
        <v>592</v>
      </c>
      <c r="B344" s="1">
        <v>122661</v>
      </c>
      <c r="D344" s="1">
        <v>90</v>
      </c>
      <c r="E344" s="1">
        <v>0</v>
      </c>
      <c r="F344" s="1">
        <v>5176.63</v>
      </c>
      <c r="G344" s="5"/>
      <c r="H344" s="1">
        <v>701.76</v>
      </c>
      <c r="I344" s="1">
        <v>4474.87</v>
      </c>
      <c r="J344" s="1">
        <v>4337.3500000000004</v>
      </c>
      <c r="K344" s="1" t="s">
        <v>1229</v>
      </c>
      <c r="L344" s="3">
        <v>1274.1500000000001</v>
      </c>
      <c r="M344" s="3">
        <f t="shared" si="5"/>
        <v>1274.1500000000001</v>
      </c>
    </row>
    <row r="345" spans="1:13" x14ac:dyDescent="0.35">
      <c r="A345" s="1" t="s">
        <v>592</v>
      </c>
      <c r="B345" s="1">
        <v>122661</v>
      </c>
      <c r="D345" s="1" t="s">
        <v>1217</v>
      </c>
      <c r="E345" s="1" t="s">
        <v>1217</v>
      </c>
      <c r="F345" s="1" t="s">
        <v>1217</v>
      </c>
      <c r="G345" s="5"/>
      <c r="H345" s="1" t="s">
        <v>1217</v>
      </c>
      <c r="I345" s="1" t="s">
        <v>1217</v>
      </c>
      <c r="J345" s="1" t="s">
        <v>1217</v>
      </c>
      <c r="K345" s="1" t="s">
        <v>1218</v>
      </c>
      <c r="L345" s="3">
        <v>10</v>
      </c>
      <c r="M345" s="3">
        <f t="shared" si="5"/>
        <v>10</v>
      </c>
    </row>
    <row r="346" spans="1:13" x14ac:dyDescent="0.35">
      <c r="A346" s="1" t="s">
        <v>594</v>
      </c>
      <c r="B346" s="1">
        <v>122662</v>
      </c>
      <c r="D346" s="1">
        <v>126</v>
      </c>
      <c r="E346" s="1">
        <v>0</v>
      </c>
      <c r="F346" s="1">
        <v>7620.45</v>
      </c>
      <c r="G346" s="5"/>
      <c r="H346" s="1">
        <v>1573.49</v>
      </c>
      <c r="I346" s="1">
        <v>6046.96</v>
      </c>
      <c r="J346" s="1">
        <v>6019.94</v>
      </c>
      <c r="K346" s="1" t="s">
        <v>1229</v>
      </c>
      <c r="L346" s="3">
        <v>1274.1500000000001</v>
      </c>
      <c r="M346" s="3">
        <f t="shared" si="5"/>
        <v>1274.1500000000001</v>
      </c>
    </row>
    <row r="347" spans="1:13" x14ac:dyDescent="0.35">
      <c r="A347" s="1" t="s">
        <v>594</v>
      </c>
      <c r="B347" s="1">
        <v>122662</v>
      </c>
      <c r="D347" s="1" t="s">
        <v>1217</v>
      </c>
      <c r="E347" s="1" t="s">
        <v>1217</v>
      </c>
      <c r="F347" s="1" t="s">
        <v>1217</v>
      </c>
      <c r="G347" s="5"/>
      <c r="H347" s="1" t="s">
        <v>1217</v>
      </c>
      <c r="I347" s="1" t="s">
        <v>1217</v>
      </c>
      <c r="J347" s="1" t="s">
        <v>1217</v>
      </c>
      <c r="K347" s="1" t="s">
        <v>1218</v>
      </c>
      <c r="L347" s="3">
        <v>10</v>
      </c>
      <c r="M347" s="3">
        <f t="shared" si="5"/>
        <v>10</v>
      </c>
    </row>
    <row r="348" spans="1:13" x14ac:dyDescent="0.35">
      <c r="A348" s="1" t="s">
        <v>596</v>
      </c>
      <c r="B348" s="1">
        <v>122663</v>
      </c>
      <c r="D348" s="1">
        <v>68</v>
      </c>
      <c r="E348" s="1">
        <v>0</v>
      </c>
      <c r="F348" s="1">
        <v>1168.94</v>
      </c>
      <c r="G348" s="5"/>
      <c r="H348" s="1">
        <v>854.61</v>
      </c>
      <c r="I348" s="1">
        <v>314.33</v>
      </c>
      <c r="J348" s="1">
        <v>1009.07</v>
      </c>
      <c r="K348" s="1" t="s">
        <v>1229</v>
      </c>
      <c r="L348" s="3">
        <v>1274.1500000000001</v>
      </c>
      <c r="M348" s="3">
        <f t="shared" si="5"/>
        <v>1274.1500000000001</v>
      </c>
    </row>
    <row r="349" spans="1:13" x14ac:dyDescent="0.35">
      <c r="A349" s="1" t="s">
        <v>596</v>
      </c>
      <c r="B349" s="1">
        <v>122663</v>
      </c>
      <c r="D349" s="1" t="s">
        <v>1217</v>
      </c>
      <c r="E349" s="1" t="s">
        <v>1217</v>
      </c>
      <c r="F349" s="1" t="s">
        <v>1217</v>
      </c>
      <c r="G349" s="5"/>
      <c r="H349" s="1" t="s">
        <v>1217</v>
      </c>
      <c r="I349" s="1" t="s">
        <v>1217</v>
      </c>
      <c r="J349" s="1" t="s">
        <v>1217</v>
      </c>
      <c r="K349" s="1" t="s">
        <v>1218</v>
      </c>
      <c r="L349" s="3">
        <v>10</v>
      </c>
      <c r="M349" s="3">
        <f t="shared" si="5"/>
        <v>10</v>
      </c>
    </row>
    <row r="350" spans="1:13" x14ac:dyDescent="0.35">
      <c r="A350" s="1" t="s">
        <v>598</v>
      </c>
      <c r="B350" s="1">
        <v>122664</v>
      </c>
      <c r="D350" s="1">
        <v>109</v>
      </c>
      <c r="E350" s="1">
        <v>0</v>
      </c>
      <c r="F350" s="1">
        <v>6533.87</v>
      </c>
      <c r="G350" s="5"/>
      <c r="H350" s="1">
        <v>4075.05</v>
      </c>
      <c r="I350" s="1">
        <v>2458.8200000000002</v>
      </c>
      <c r="J350" s="1">
        <v>2952.8</v>
      </c>
      <c r="K350" s="1" t="s">
        <v>1229</v>
      </c>
      <c r="L350" s="3">
        <v>1274.1500000000001</v>
      </c>
      <c r="M350" s="3">
        <f t="shared" si="5"/>
        <v>1274.1500000000001</v>
      </c>
    </row>
    <row r="351" spans="1:13" x14ac:dyDescent="0.35">
      <c r="A351" s="1" t="s">
        <v>598</v>
      </c>
      <c r="B351" s="1">
        <v>122664</v>
      </c>
      <c r="D351" s="1" t="s">
        <v>1217</v>
      </c>
      <c r="E351" s="1" t="s">
        <v>1217</v>
      </c>
      <c r="F351" s="1" t="s">
        <v>1217</v>
      </c>
      <c r="G351" s="5"/>
      <c r="H351" s="1" t="s">
        <v>1217</v>
      </c>
      <c r="I351" s="1" t="s">
        <v>1217</v>
      </c>
      <c r="J351" s="1" t="s">
        <v>1217</v>
      </c>
      <c r="K351" s="1" t="s">
        <v>1218</v>
      </c>
      <c r="L351" s="3">
        <v>10</v>
      </c>
      <c r="M351" s="3">
        <f t="shared" si="5"/>
        <v>10</v>
      </c>
    </row>
    <row r="352" spans="1:13" x14ac:dyDescent="0.35">
      <c r="A352" s="1" t="s">
        <v>391</v>
      </c>
      <c r="B352" s="1">
        <v>83085</v>
      </c>
      <c r="C352" s="1">
        <v>17813</v>
      </c>
      <c r="D352" s="1">
        <v>31</v>
      </c>
      <c r="E352" s="1">
        <v>0</v>
      </c>
      <c r="F352" s="1">
        <v>0</v>
      </c>
      <c r="G352" s="5"/>
      <c r="H352" s="1">
        <v>0</v>
      </c>
      <c r="I352" s="1">
        <v>0</v>
      </c>
      <c r="J352" s="1">
        <v>0</v>
      </c>
      <c r="K352" s="1" t="s">
        <v>1212</v>
      </c>
      <c r="L352" s="3">
        <v>254.15</v>
      </c>
      <c r="M352" s="3">
        <f t="shared" si="5"/>
        <v>254.15</v>
      </c>
    </row>
    <row r="353" spans="1:13" x14ac:dyDescent="0.35">
      <c r="A353" s="1" t="s">
        <v>951</v>
      </c>
      <c r="B353" s="1">
        <v>77807</v>
      </c>
      <c r="C353" s="1">
        <v>7742</v>
      </c>
      <c r="D353" s="1">
        <v>35</v>
      </c>
      <c r="E353" s="1">
        <v>0</v>
      </c>
      <c r="F353" s="1">
        <v>21.22</v>
      </c>
      <c r="G353" s="5"/>
      <c r="H353" s="1">
        <v>21.22</v>
      </c>
      <c r="I353" s="1">
        <v>0</v>
      </c>
      <c r="J353" s="1">
        <v>0</v>
      </c>
      <c r="K353" s="1" t="s">
        <v>1212</v>
      </c>
      <c r="L353" s="3">
        <v>254.15</v>
      </c>
      <c r="M353" s="3">
        <f t="shared" si="5"/>
        <v>254.15</v>
      </c>
    </row>
    <row r="354" spans="1:13" x14ac:dyDescent="0.35">
      <c r="A354" s="1" t="s">
        <v>1252</v>
      </c>
      <c r="B354" s="1">
        <v>153404</v>
      </c>
      <c r="C354" s="1">
        <v>27739</v>
      </c>
      <c r="D354" s="1">
        <v>70</v>
      </c>
      <c r="E354" s="1">
        <v>0</v>
      </c>
      <c r="F354" s="1">
        <v>2190.42</v>
      </c>
      <c r="G354" s="5"/>
      <c r="H354" s="1">
        <v>1865.11</v>
      </c>
      <c r="I354" s="1">
        <v>325.31</v>
      </c>
      <c r="J354" s="1">
        <v>1577.63</v>
      </c>
      <c r="K354" s="1" t="s">
        <v>1220</v>
      </c>
      <c r="L354" s="3">
        <v>2533.85</v>
      </c>
      <c r="M354" s="3">
        <f t="shared" si="5"/>
        <v>2533.85</v>
      </c>
    </row>
    <row r="355" spans="1:13" x14ac:dyDescent="0.35">
      <c r="A355" s="1" t="s">
        <v>1252</v>
      </c>
      <c r="B355" s="1">
        <v>153404</v>
      </c>
      <c r="C355" s="1">
        <v>27739</v>
      </c>
      <c r="D355" s="1" t="s">
        <v>1217</v>
      </c>
      <c r="E355" s="1" t="s">
        <v>1217</v>
      </c>
      <c r="F355" s="1" t="s">
        <v>1217</v>
      </c>
      <c r="G355" s="5"/>
      <c r="H355" s="1" t="s">
        <v>1217</v>
      </c>
      <c r="I355" s="1" t="s">
        <v>1217</v>
      </c>
      <c r="J355" s="1" t="s">
        <v>1217</v>
      </c>
      <c r="K355" s="1" t="s">
        <v>1218</v>
      </c>
      <c r="L355" s="3">
        <v>10</v>
      </c>
      <c r="M355" s="3">
        <f t="shared" si="5"/>
        <v>10</v>
      </c>
    </row>
    <row r="356" spans="1:13" x14ac:dyDescent="0.35">
      <c r="A356" s="1" t="s">
        <v>576</v>
      </c>
      <c r="B356" s="1">
        <v>159190</v>
      </c>
      <c r="C356" s="1">
        <v>28942</v>
      </c>
      <c r="D356" s="1">
        <v>23</v>
      </c>
      <c r="E356" s="1">
        <v>0</v>
      </c>
      <c r="F356" s="1">
        <v>633.74</v>
      </c>
      <c r="G356" s="5"/>
      <c r="H356" s="1">
        <v>160.99</v>
      </c>
      <c r="I356" s="1">
        <v>472.75</v>
      </c>
      <c r="J356" s="1">
        <v>565.70000000000005</v>
      </c>
      <c r="K356" s="1" t="s">
        <v>1242</v>
      </c>
      <c r="L356" s="3">
        <v>849.15</v>
      </c>
      <c r="M356" s="3">
        <f t="shared" si="5"/>
        <v>849.15</v>
      </c>
    </row>
    <row r="357" spans="1:13" x14ac:dyDescent="0.35">
      <c r="A357" s="1" t="s">
        <v>576</v>
      </c>
      <c r="B357" s="1">
        <v>159190</v>
      </c>
      <c r="C357" s="1">
        <v>28942</v>
      </c>
      <c r="D357" s="1" t="s">
        <v>1217</v>
      </c>
      <c r="E357" s="1" t="s">
        <v>1217</v>
      </c>
      <c r="F357" s="1" t="s">
        <v>1217</v>
      </c>
      <c r="G357" s="5"/>
      <c r="H357" s="1" t="s">
        <v>1217</v>
      </c>
      <c r="I357" s="1" t="s">
        <v>1217</v>
      </c>
      <c r="J357" s="1" t="s">
        <v>1217</v>
      </c>
      <c r="K357" s="1" t="s">
        <v>1218</v>
      </c>
      <c r="L357" s="3">
        <v>10</v>
      </c>
      <c r="M357" s="3">
        <f t="shared" si="5"/>
        <v>10</v>
      </c>
    </row>
    <row r="358" spans="1:13" x14ac:dyDescent="0.35">
      <c r="A358" s="1" t="s">
        <v>1253</v>
      </c>
      <c r="B358" s="1">
        <v>159263</v>
      </c>
      <c r="C358" s="1">
        <v>437779</v>
      </c>
      <c r="D358" s="1">
        <v>15</v>
      </c>
      <c r="E358" s="1">
        <v>0</v>
      </c>
      <c r="F358" s="1">
        <v>18877.78</v>
      </c>
      <c r="G358" s="5"/>
      <c r="H358" s="1">
        <v>11328.67</v>
      </c>
      <c r="I358" s="1">
        <v>7549.11</v>
      </c>
      <c r="J358" s="1">
        <v>16992.36</v>
      </c>
      <c r="K358" s="1" t="s">
        <v>1227</v>
      </c>
      <c r="L358" s="3">
        <v>1571.65</v>
      </c>
      <c r="M358" s="3">
        <f t="shared" si="5"/>
        <v>1571.65</v>
      </c>
    </row>
    <row r="359" spans="1:13" x14ac:dyDescent="0.35">
      <c r="A359" s="1" t="s">
        <v>1253</v>
      </c>
      <c r="B359" s="1">
        <v>159263</v>
      </c>
      <c r="C359" s="1">
        <v>437779</v>
      </c>
      <c r="D359" s="1" t="s">
        <v>1217</v>
      </c>
      <c r="E359" s="1" t="s">
        <v>1217</v>
      </c>
      <c r="F359" s="1" t="s">
        <v>1217</v>
      </c>
      <c r="G359" s="5"/>
      <c r="H359" s="1" t="s">
        <v>1217</v>
      </c>
      <c r="I359" s="1" t="s">
        <v>1217</v>
      </c>
      <c r="J359" s="1" t="s">
        <v>1217</v>
      </c>
      <c r="K359" s="1" t="s">
        <v>1218</v>
      </c>
      <c r="L359" s="3">
        <v>10</v>
      </c>
      <c r="M359" s="3">
        <f t="shared" si="5"/>
        <v>10</v>
      </c>
    </row>
    <row r="360" spans="1:13" x14ac:dyDescent="0.35">
      <c r="A360" s="1" t="s">
        <v>641</v>
      </c>
      <c r="B360" s="1">
        <v>159539</v>
      </c>
      <c r="C360" s="1">
        <v>29582</v>
      </c>
      <c r="D360" s="1">
        <v>25</v>
      </c>
      <c r="E360" s="1">
        <v>0</v>
      </c>
      <c r="F360" s="1">
        <v>3026.4</v>
      </c>
      <c r="G360" s="5"/>
      <c r="H360" s="1">
        <v>3026.4</v>
      </c>
      <c r="I360" s="1">
        <v>0</v>
      </c>
      <c r="J360" s="1">
        <v>0</v>
      </c>
      <c r="K360" s="1" t="s">
        <v>1224</v>
      </c>
      <c r="L360" s="3">
        <v>424.15</v>
      </c>
      <c r="M360" s="3">
        <f t="shared" si="5"/>
        <v>424.15</v>
      </c>
    </row>
    <row r="361" spans="1:13" x14ac:dyDescent="0.35">
      <c r="A361" s="1" t="s">
        <v>727</v>
      </c>
      <c r="B361" s="1">
        <v>147873</v>
      </c>
      <c r="C361" s="1">
        <v>26623</v>
      </c>
      <c r="D361" s="1">
        <v>62</v>
      </c>
      <c r="E361" s="1">
        <v>0</v>
      </c>
      <c r="F361" s="1">
        <v>12309.71</v>
      </c>
      <c r="G361" s="5">
        <v>345.34</v>
      </c>
      <c r="H361" s="1">
        <v>4232.25</v>
      </c>
      <c r="I361" s="1">
        <v>8077.46</v>
      </c>
      <c r="J361" s="1">
        <v>10389.66</v>
      </c>
      <c r="K361" s="1" t="s">
        <v>1242</v>
      </c>
      <c r="L361" s="3">
        <v>1194.49</v>
      </c>
      <c r="M361" s="3">
        <f t="shared" si="5"/>
        <v>849.15000000000009</v>
      </c>
    </row>
    <row r="362" spans="1:13" x14ac:dyDescent="0.35">
      <c r="A362" s="1" t="s">
        <v>727</v>
      </c>
      <c r="B362" s="1">
        <v>147873</v>
      </c>
      <c r="C362" s="1">
        <v>26623</v>
      </c>
      <c r="D362" s="1" t="s">
        <v>1217</v>
      </c>
      <c r="E362" s="1" t="s">
        <v>1217</v>
      </c>
      <c r="F362" s="1" t="s">
        <v>1217</v>
      </c>
      <c r="G362" s="5"/>
      <c r="H362" s="1" t="s">
        <v>1217</v>
      </c>
      <c r="I362" s="1" t="s">
        <v>1217</v>
      </c>
      <c r="J362" s="1" t="s">
        <v>1217</v>
      </c>
      <c r="K362" s="1" t="s">
        <v>1218</v>
      </c>
      <c r="L362" s="3">
        <v>10</v>
      </c>
      <c r="M362" s="3">
        <f t="shared" si="5"/>
        <v>10</v>
      </c>
    </row>
    <row r="363" spans="1:13" x14ac:dyDescent="0.35">
      <c r="A363" s="1" t="s">
        <v>124</v>
      </c>
      <c r="B363" s="1">
        <v>117484</v>
      </c>
      <c r="C363" s="1">
        <v>19910</v>
      </c>
      <c r="D363" s="1">
        <v>0</v>
      </c>
      <c r="E363" s="1">
        <v>0</v>
      </c>
      <c r="F363" s="1">
        <v>0</v>
      </c>
      <c r="G363" s="5"/>
      <c r="H363" s="1">
        <v>0</v>
      </c>
      <c r="I363" s="1">
        <v>0</v>
      </c>
      <c r="J363" s="1">
        <v>0</v>
      </c>
      <c r="K363" s="1" t="s">
        <v>1216</v>
      </c>
      <c r="L363" s="3">
        <v>254.15</v>
      </c>
      <c r="M363" s="3">
        <f t="shared" si="5"/>
        <v>254.15</v>
      </c>
    </row>
    <row r="364" spans="1:13" x14ac:dyDescent="0.35">
      <c r="A364" s="1" t="s">
        <v>375</v>
      </c>
      <c r="B364" s="1">
        <v>72057</v>
      </c>
      <c r="C364" s="1">
        <v>16585</v>
      </c>
      <c r="D364" s="1">
        <v>15</v>
      </c>
      <c r="E364" s="1">
        <v>0</v>
      </c>
      <c r="F364" s="1">
        <v>2190.39</v>
      </c>
      <c r="G364" s="5"/>
      <c r="H364" s="1">
        <v>2190.39</v>
      </c>
      <c r="I364" s="1">
        <v>0</v>
      </c>
      <c r="J364" s="1">
        <v>0</v>
      </c>
      <c r="K364" s="1" t="s">
        <v>1212</v>
      </c>
      <c r="L364" s="3">
        <v>254.15</v>
      </c>
      <c r="M364" s="3">
        <f t="shared" si="5"/>
        <v>254.15</v>
      </c>
    </row>
    <row r="365" spans="1:13" x14ac:dyDescent="0.35">
      <c r="A365" s="1" t="s">
        <v>189</v>
      </c>
      <c r="B365" s="1">
        <v>144285</v>
      </c>
      <c r="C365" s="1">
        <v>24706</v>
      </c>
      <c r="D365" s="1">
        <v>163</v>
      </c>
      <c r="E365" s="1">
        <v>0</v>
      </c>
      <c r="F365" s="1">
        <v>11163.04</v>
      </c>
      <c r="G365" s="5"/>
      <c r="H365" s="1">
        <v>8177.16</v>
      </c>
      <c r="I365" s="1">
        <v>2985.88</v>
      </c>
      <c r="J365" s="1">
        <v>3448.55</v>
      </c>
      <c r="K365" s="1" t="s">
        <v>1227</v>
      </c>
      <c r="L365" s="3">
        <v>1571.65</v>
      </c>
      <c r="M365" s="3">
        <f t="shared" si="5"/>
        <v>1571.65</v>
      </c>
    </row>
    <row r="366" spans="1:13" x14ac:dyDescent="0.35">
      <c r="A366" s="1" t="s">
        <v>189</v>
      </c>
      <c r="B366" s="1">
        <v>144285</v>
      </c>
      <c r="C366" s="1">
        <v>24706</v>
      </c>
      <c r="D366" s="1" t="s">
        <v>1217</v>
      </c>
      <c r="E366" s="1" t="s">
        <v>1217</v>
      </c>
      <c r="F366" s="1" t="s">
        <v>1217</v>
      </c>
      <c r="G366" s="5"/>
      <c r="H366" s="1" t="s">
        <v>1217</v>
      </c>
      <c r="I366" s="1" t="s">
        <v>1217</v>
      </c>
      <c r="J366" s="1" t="s">
        <v>1217</v>
      </c>
      <c r="K366" s="1" t="s">
        <v>1218</v>
      </c>
      <c r="L366" s="3">
        <v>10</v>
      </c>
      <c r="M366" s="3">
        <f t="shared" si="5"/>
        <v>10</v>
      </c>
    </row>
    <row r="367" spans="1:13" x14ac:dyDescent="0.35">
      <c r="A367" s="1" t="s">
        <v>565</v>
      </c>
      <c r="B367" s="1">
        <v>149893</v>
      </c>
      <c r="C367" s="1">
        <v>24705</v>
      </c>
      <c r="D367" s="1">
        <v>36</v>
      </c>
      <c r="E367" s="1">
        <v>0</v>
      </c>
      <c r="F367" s="1">
        <v>8455.44</v>
      </c>
      <c r="G367" s="5">
        <v>65.930000000000007</v>
      </c>
      <c r="H367" s="1">
        <v>2855.22</v>
      </c>
      <c r="I367" s="1">
        <v>5600.22</v>
      </c>
      <c r="J367" s="1">
        <v>0</v>
      </c>
      <c r="K367" s="1" t="s">
        <v>1224</v>
      </c>
      <c r="L367" s="3">
        <v>490.08</v>
      </c>
      <c r="M367" s="3">
        <f t="shared" si="5"/>
        <v>424.15</v>
      </c>
    </row>
    <row r="368" spans="1:13" x14ac:dyDescent="0.35">
      <c r="A368" s="1" t="s">
        <v>565</v>
      </c>
      <c r="B368" s="1">
        <v>149893</v>
      </c>
      <c r="C368" s="1">
        <v>24705</v>
      </c>
      <c r="D368" s="1" t="s">
        <v>1217</v>
      </c>
      <c r="E368" s="1" t="s">
        <v>1217</v>
      </c>
      <c r="F368" s="1" t="s">
        <v>1217</v>
      </c>
      <c r="G368" s="5"/>
      <c r="H368" s="1" t="s">
        <v>1217</v>
      </c>
      <c r="I368" s="1" t="s">
        <v>1217</v>
      </c>
      <c r="J368" s="1" t="s">
        <v>1217</v>
      </c>
      <c r="K368" s="1" t="s">
        <v>1236</v>
      </c>
      <c r="L368" s="3">
        <v>211.65</v>
      </c>
      <c r="M368" s="3">
        <f t="shared" si="5"/>
        <v>211.65</v>
      </c>
    </row>
    <row r="369" spans="1:13" x14ac:dyDescent="0.35">
      <c r="A369" s="1" t="s">
        <v>565</v>
      </c>
      <c r="B369" s="1">
        <v>149893</v>
      </c>
      <c r="C369" s="1">
        <v>24705</v>
      </c>
      <c r="D369" s="1" t="s">
        <v>1217</v>
      </c>
      <c r="E369" s="1" t="s">
        <v>1217</v>
      </c>
      <c r="F369" s="1" t="s">
        <v>1217</v>
      </c>
      <c r="G369" s="5"/>
      <c r="H369" s="1" t="s">
        <v>1217</v>
      </c>
      <c r="I369" s="1" t="s">
        <v>1217</v>
      </c>
      <c r="J369" s="1" t="s">
        <v>1217</v>
      </c>
      <c r="K369" s="1" t="s">
        <v>1218</v>
      </c>
      <c r="L369" s="3">
        <v>10</v>
      </c>
      <c r="M369" s="3">
        <f t="shared" si="5"/>
        <v>10</v>
      </c>
    </row>
    <row r="370" spans="1:13" x14ac:dyDescent="0.35">
      <c r="A370" s="1" t="s">
        <v>59</v>
      </c>
      <c r="B370" s="1">
        <v>86863</v>
      </c>
      <c r="C370" s="1">
        <v>18077</v>
      </c>
      <c r="D370" s="1">
        <v>10</v>
      </c>
      <c r="E370" s="1">
        <v>0</v>
      </c>
      <c r="F370" s="1">
        <v>4423.0200000000004</v>
      </c>
      <c r="G370" s="5">
        <v>29.19</v>
      </c>
      <c r="H370" s="1">
        <v>2333.14</v>
      </c>
      <c r="I370" s="1">
        <v>2089.88</v>
      </c>
      <c r="J370" s="1">
        <v>0</v>
      </c>
      <c r="K370" s="1" t="s">
        <v>1212</v>
      </c>
      <c r="L370" s="3">
        <v>283.33999999999997</v>
      </c>
      <c r="M370" s="3">
        <f t="shared" si="5"/>
        <v>254.14999999999998</v>
      </c>
    </row>
    <row r="371" spans="1:13" x14ac:dyDescent="0.35">
      <c r="A371" s="1" t="s">
        <v>59</v>
      </c>
      <c r="B371" s="1">
        <v>86863</v>
      </c>
      <c r="C371" s="1">
        <v>18077</v>
      </c>
      <c r="D371" s="1" t="s">
        <v>1217</v>
      </c>
      <c r="E371" s="1" t="s">
        <v>1217</v>
      </c>
      <c r="F371" s="1" t="s">
        <v>1217</v>
      </c>
      <c r="G371" s="5"/>
      <c r="H371" s="1" t="s">
        <v>1217</v>
      </c>
      <c r="I371" s="1" t="s">
        <v>1217</v>
      </c>
      <c r="J371" s="1" t="s">
        <v>1217</v>
      </c>
      <c r="K371" s="1" t="s">
        <v>1218</v>
      </c>
      <c r="L371" s="3">
        <v>10</v>
      </c>
      <c r="M371" s="3">
        <f t="shared" si="5"/>
        <v>10</v>
      </c>
    </row>
    <row r="372" spans="1:13" x14ac:dyDescent="0.35">
      <c r="A372" s="1" t="s">
        <v>61</v>
      </c>
      <c r="B372" s="1">
        <v>150401</v>
      </c>
      <c r="C372" s="1">
        <v>27069</v>
      </c>
      <c r="D372" s="1">
        <v>8</v>
      </c>
      <c r="E372" s="1">
        <v>0</v>
      </c>
      <c r="F372" s="1">
        <v>9933.82</v>
      </c>
      <c r="G372" s="5">
        <v>443.93</v>
      </c>
      <c r="H372" s="1">
        <v>6393.94</v>
      </c>
      <c r="I372" s="1">
        <v>3539.88</v>
      </c>
      <c r="J372" s="1">
        <v>0</v>
      </c>
      <c r="K372" s="1" t="s">
        <v>1216</v>
      </c>
      <c r="L372" s="3">
        <v>698.08</v>
      </c>
      <c r="M372" s="3">
        <f t="shared" si="5"/>
        <v>254.15000000000003</v>
      </c>
    </row>
    <row r="373" spans="1:13" x14ac:dyDescent="0.35">
      <c r="A373" s="1" t="s">
        <v>61</v>
      </c>
      <c r="B373" s="1">
        <v>150401</v>
      </c>
      <c r="C373" s="1">
        <v>27069</v>
      </c>
      <c r="D373" s="1" t="s">
        <v>1217</v>
      </c>
      <c r="E373" s="1" t="s">
        <v>1217</v>
      </c>
      <c r="F373" s="1" t="s">
        <v>1217</v>
      </c>
      <c r="G373" s="5"/>
      <c r="H373" s="1" t="s">
        <v>1217</v>
      </c>
      <c r="I373" s="1" t="s">
        <v>1217</v>
      </c>
      <c r="J373" s="1" t="s">
        <v>1217</v>
      </c>
      <c r="K373" s="1" t="s">
        <v>1218</v>
      </c>
      <c r="L373" s="3">
        <v>10</v>
      </c>
      <c r="M373" s="3">
        <f t="shared" si="5"/>
        <v>10</v>
      </c>
    </row>
    <row r="374" spans="1:13" x14ac:dyDescent="0.35">
      <c r="A374" s="1" t="s">
        <v>63</v>
      </c>
      <c r="B374" s="1">
        <v>86862</v>
      </c>
      <c r="C374" s="1">
        <v>18076</v>
      </c>
      <c r="D374" s="1">
        <v>10</v>
      </c>
      <c r="E374" s="1">
        <v>0</v>
      </c>
      <c r="F374" s="1">
        <v>4425.79</v>
      </c>
      <c r="G374" s="5">
        <v>29.38</v>
      </c>
      <c r="H374" s="1">
        <v>459.3</v>
      </c>
      <c r="I374" s="1">
        <v>3966.49</v>
      </c>
      <c r="J374" s="1">
        <v>0</v>
      </c>
      <c r="K374" s="1" t="s">
        <v>1212</v>
      </c>
      <c r="L374" s="3">
        <v>283.52999999999997</v>
      </c>
      <c r="M374" s="3">
        <f t="shared" si="5"/>
        <v>254.14999999999998</v>
      </c>
    </row>
    <row r="375" spans="1:13" x14ac:dyDescent="0.35">
      <c r="A375" s="1" t="s">
        <v>63</v>
      </c>
      <c r="B375" s="1">
        <v>86862</v>
      </c>
      <c r="C375" s="1">
        <v>18076</v>
      </c>
      <c r="D375" s="1" t="s">
        <v>1217</v>
      </c>
      <c r="E375" s="1" t="s">
        <v>1217</v>
      </c>
      <c r="F375" s="1" t="s">
        <v>1217</v>
      </c>
      <c r="G375" s="5"/>
      <c r="H375" s="1" t="s">
        <v>1217</v>
      </c>
      <c r="I375" s="1" t="s">
        <v>1217</v>
      </c>
      <c r="J375" s="1" t="s">
        <v>1217</v>
      </c>
      <c r="K375" s="1" t="s">
        <v>1218</v>
      </c>
      <c r="L375" s="3">
        <v>10</v>
      </c>
      <c r="M375" s="3">
        <f t="shared" si="5"/>
        <v>10</v>
      </c>
    </row>
    <row r="376" spans="1:13" x14ac:dyDescent="0.35">
      <c r="A376" s="1" t="s">
        <v>748</v>
      </c>
      <c r="B376" s="1">
        <v>76551</v>
      </c>
      <c r="C376" s="1">
        <v>9737</v>
      </c>
      <c r="D376" s="1">
        <v>157</v>
      </c>
      <c r="E376" s="1">
        <v>0</v>
      </c>
      <c r="F376" s="1">
        <v>66464.31</v>
      </c>
      <c r="G376" s="5">
        <v>1182.1400000000001</v>
      </c>
      <c r="H376" s="1">
        <v>25393.71</v>
      </c>
      <c r="I376" s="1">
        <v>41070.6</v>
      </c>
      <c r="J376" s="1">
        <v>49277.47</v>
      </c>
      <c r="K376" s="1" t="s">
        <v>1220</v>
      </c>
      <c r="L376" s="3">
        <v>3715.99</v>
      </c>
      <c r="M376" s="3">
        <f t="shared" si="5"/>
        <v>2533.8499999999995</v>
      </c>
    </row>
    <row r="377" spans="1:13" x14ac:dyDescent="0.35">
      <c r="A377" s="1" t="s">
        <v>748</v>
      </c>
      <c r="B377" s="1">
        <v>76551</v>
      </c>
      <c r="C377" s="1">
        <v>9737</v>
      </c>
      <c r="D377" s="1" t="s">
        <v>1217</v>
      </c>
      <c r="E377" s="1" t="s">
        <v>1217</v>
      </c>
      <c r="F377" s="1" t="s">
        <v>1217</v>
      </c>
      <c r="G377" s="5"/>
      <c r="H377" s="1" t="s">
        <v>1217</v>
      </c>
      <c r="I377" s="1" t="s">
        <v>1217</v>
      </c>
      <c r="J377" s="1" t="s">
        <v>1217</v>
      </c>
      <c r="K377" s="1" t="s">
        <v>1218</v>
      </c>
      <c r="L377" s="3">
        <v>10</v>
      </c>
      <c r="M377" s="3">
        <f t="shared" si="5"/>
        <v>10</v>
      </c>
    </row>
    <row r="378" spans="1:13" x14ac:dyDescent="0.35">
      <c r="A378" s="1" t="s">
        <v>291</v>
      </c>
      <c r="B378" s="1">
        <v>150176</v>
      </c>
      <c r="C378" s="1">
        <v>26261</v>
      </c>
      <c r="D378" s="1">
        <v>55</v>
      </c>
      <c r="E378" s="1">
        <v>0</v>
      </c>
      <c r="F378" s="1">
        <v>4850.0200000000004</v>
      </c>
      <c r="G378" s="5"/>
      <c r="H378" s="1">
        <v>582.55999999999995</v>
      </c>
      <c r="I378" s="1">
        <v>4267.46</v>
      </c>
      <c r="J378" s="1">
        <v>3375.9</v>
      </c>
      <c r="K378" s="1" t="s">
        <v>1225</v>
      </c>
      <c r="L378" s="3">
        <v>1688</v>
      </c>
      <c r="M378" s="3">
        <f t="shared" si="5"/>
        <v>1688</v>
      </c>
    </row>
    <row r="379" spans="1:13" x14ac:dyDescent="0.35">
      <c r="A379" s="1" t="s">
        <v>291</v>
      </c>
      <c r="B379" s="1">
        <v>150176</v>
      </c>
      <c r="C379" s="1">
        <v>26261</v>
      </c>
      <c r="D379" s="1" t="s">
        <v>1217</v>
      </c>
      <c r="E379" s="1" t="s">
        <v>1217</v>
      </c>
      <c r="F379" s="1" t="s">
        <v>1217</v>
      </c>
      <c r="G379" s="5"/>
      <c r="H379" s="1" t="s">
        <v>1217</v>
      </c>
      <c r="I379" s="1" t="s">
        <v>1217</v>
      </c>
      <c r="J379" s="1" t="s">
        <v>1217</v>
      </c>
      <c r="K379" s="1" t="s">
        <v>1218</v>
      </c>
      <c r="L379" s="3">
        <v>10</v>
      </c>
      <c r="M379" s="3">
        <f t="shared" si="5"/>
        <v>10</v>
      </c>
    </row>
    <row r="380" spans="1:13" x14ac:dyDescent="0.35">
      <c r="A380" s="1" t="s">
        <v>322</v>
      </c>
      <c r="B380" s="1">
        <v>145665</v>
      </c>
      <c r="C380" s="1">
        <v>25374</v>
      </c>
      <c r="D380" s="1">
        <v>212</v>
      </c>
      <c r="E380" s="1">
        <v>0</v>
      </c>
      <c r="F380" s="1">
        <v>12246.32</v>
      </c>
      <c r="G380" s="5"/>
      <c r="H380" s="1">
        <v>7074.25</v>
      </c>
      <c r="I380" s="1">
        <v>5172.07</v>
      </c>
      <c r="J380" s="1">
        <v>9041.84</v>
      </c>
      <c r="K380" s="1" t="s">
        <v>1225</v>
      </c>
      <c r="L380" s="3">
        <v>1688</v>
      </c>
      <c r="M380" s="3">
        <f t="shared" si="5"/>
        <v>1688</v>
      </c>
    </row>
    <row r="381" spans="1:13" x14ac:dyDescent="0.35">
      <c r="A381" s="1" t="s">
        <v>322</v>
      </c>
      <c r="B381" s="1">
        <v>145665</v>
      </c>
      <c r="C381" s="1">
        <v>25374</v>
      </c>
      <c r="D381" s="1" t="s">
        <v>1217</v>
      </c>
      <c r="E381" s="1" t="s">
        <v>1217</v>
      </c>
      <c r="F381" s="1" t="s">
        <v>1217</v>
      </c>
      <c r="G381" s="5"/>
      <c r="H381" s="1" t="s">
        <v>1217</v>
      </c>
      <c r="I381" s="1" t="s">
        <v>1217</v>
      </c>
      <c r="J381" s="1" t="s">
        <v>1217</v>
      </c>
      <c r="K381" s="1" t="s">
        <v>1218</v>
      </c>
      <c r="L381" s="3">
        <v>10</v>
      </c>
      <c r="M381" s="3">
        <f t="shared" si="5"/>
        <v>10</v>
      </c>
    </row>
    <row r="382" spans="1:13" x14ac:dyDescent="0.35">
      <c r="A382" s="1" t="s">
        <v>937</v>
      </c>
      <c r="B382" s="1">
        <v>145666</v>
      </c>
      <c r="C382" s="1">
        <v>25376</v>
      </c>
      <c r="D382" s="1">
        <v>243</v>
      </c>
      <c r="E382" s="1">
        <v>1</v>
      </c>
      <c r="F382" s="1">
        <v>10397.799999999999</v>
      </c>
      <c r="G382" s="5"/>
      <c r="H382" s="1">
        <v>4930.32</v>
      </c>
      <c r="I382" s="1">
        <v>5467.48</v>
      </c>
      <c r="J382" s="1">
        <v>4197.45</v>
      </c>
      <c r="K382" s="1" t="s">
        <v>1229</v>
      </c>
      <c r="L382" s="3">
        <v>1274.1500000000001</v>
      </c>
      <c r="M382" s="3">
        <f t="shared" si="5"/>
        <v>1274.1500000000001</v>
      </c>
    </row>
    <row r="383" spans="1:13" x14ac:dyDescent="0.35">
      <c r="A383" s="1" t="s">
        <v>937</v>
      </c>
      <c r="B383" s="1">
        <v>145666</v>
      </c>
      <c r="C383" s="1">
        <v>25376</v>
      </c>
      <c r="D383" s="1" t="s">
        <v>1217</v>
      </c>
      <c r="E383" s="1" t="s">
        <v>1217</v>
      </c>
      <c r="F383" s="1" t="s">
        <v>1217</v>
      </c>
      <c r="G383" s="5"/>
      <c r="H383" s="1" t="s">
        <v>1217</v>
      </c>
      <c r="I383" s="1" t="s">
        <v>1217</v>
      </c>
      <c r="J383" s="1" t="s">
        <v>1217</v>
      </c>
      <c r="K383" s="1" t="s">
        <v>1218</v>
      </c>
      <c r="L383" s="3">
        <v>10</v>
      </c>
      <c r="M383" s="3">
        <f t="shared" si="5"/>
        <v>10</v>
      </c>
    </row>
    <row r="384" spans="1:13" x14ac:dyDescent="0.35">
      <c r="A384" s="1" t="s">
        <v>325</v>
      </c>
      <c r="B384" s="1">
        <v>145668</v>
      </c>
      <c r="C384" s="1">
        <v>25377</v>
      </c>
      <c r="D384" s="1">
        <v>118</v>
      </c>
      <c r="E384" s="1">
        <v>1</v>
      </c>
      <c r="F384" s="1">
        <v>6713.86</v>
      </c>
      <c r="G384" s="5"/>
      <c r="H384" s="1">
        <v>427.48</v>
      </c>
      <c r="I384" s="1">
        <v>6286.38</v>
      </c>
      <c r="J384" s="1">
        <v>5729.11</v>
      </c>
      <c r="K384" s="1" t="s">
        <v>1225</v>
      </c>
      <c r="L384" s="3">
        <v>1688</v>
      </c>
      <c r="M384" s="3">
        <f t="shared" si="5"/>
        <v>1688</v>
      </c>
    </row>
    <row r="385" spans="1:13" x14ac:dyDescent="0.35">
      <c r="A385" s="1" t="s">
        <v>325</v>
      </c>
      <c r="B385" s="1">
        <v>145668</v>
      </c>
      <c r="C385" s="1">
        <v>25377</v>
      </c>
      <c r="D385" s="1" t="s">
        <v>1217</v>
      </c>
      <c r="E385" s="1" t="s">
        <v>1217</v>
      </c>
      <c r="F385" s="1" t="s">
        <v>1217</v>
      </c>
      <c r="G385" s="5"/>
      <c r="H385" s="1" t="s">
        <v>1217</v>
      </c>
      <c r="I385" s="1" t="s">
        <v>1217</v>
      </c>
      <c r="J385" s="1" t="s">
        <v>1217</v>
      </c>
      <c r="K385" s="1" t="s">
        <v>1218</v>
      </c>
      <c r="L385" s="3">
        <v>10</v>
      </c>
      <c r="M385" s="3">
        <f t="shared" si="5"/>
        <v>10</v>
      </c>
    </row>
    <row r="386" spans="1:13" x14ac:dyDescent="0.35">
      <c r="A386" s="1" t="s">
        <v>784</v>
      </c>
      <c r="B386" s="1">
        <v>146974</v>
      </c>
      <c r="C386" s="1">
        <v>8323</v>
      </c>
      <c r="D386" s="1">
        <v>14</v>
      </c>
      <c r="E386" s="1">
        <v>0</v>
      </c>
      <c r="F386" s="1">
        <v>135.66999999999999</v>
      </c>
      <c r="G386" s="5"/>
      <c r="H386" s="1">
        <v>49.04</v>
      </c>
      <c r="I386" s="1">
        <v>86.63</v>
      </c>
      <c r="J386" s="1">
        <v>129.69999999999999</v>
      </c>
      <c r="K386" s="1" t="s">
        <v>1229</v>
      </c>
      <c r="L386" s="3">
        <v>1274.1500000000001</v>
      </c>
      <c r="M386" s="3">
        <f t="shared" ref="M386:M449" si="6">+L386-G386</f>
        <v>1274.1500000000001</v>
      </c>
    </row>
    <row r="387" spans="1:13" x14ac:dyDescent="0.35">
      <c r="A387" s="1" t="s">
        <v>741</v>
      </c>
      <c r="B387" s="1">
        <v>144080</v>
      </c>
      <c r="C387" s="1">
        <v>6706</v>
      </c>
      <c r="D387" s="1">
        <v>13</v>
      </c>
      <c r="E387" s="1">
        <v>0</v>
      </c>
      <c r="F387" s="1">
        <v>10107.959999999999</v>
      </c>
      <c r="G387" s="5">
        <v>455.95</v>
      </c>
      <c r="H387" s="1">
        <v>10104.99</v>
      </c>
      <c r="I387" s="1">
        <v>2.97</v>
      </c>
      <c r="J387" s="1">
        <v>0</v>
      </c>
      <c r="K387" s="1" t="s">
        <v>1216</v>
      </c>
      <c r="L387" s="3">
        <v>710.1</v>
      </c>
      <c r="M387" s="3">
        <f t="shared" si="6"/>
        <v>254.15000000000003</v>
      </c>
    </row>
    <row r="388" spans="1:13" x14ac:dyDescent="0.35">
      <c r="A388" s="1" t="s">
        <v>875</v>
      </c>
      <c r="B388" s="1">
        <v>92437</v>
      </c>
      <c r="C388" s="1">
        <v>18665</v>
      </c>
      <c r="D388" s="1">
        <v>22</v>
      </c>
      <c r="E388" s="1">
        <v>0</v>
      </c>
      <c r="F388" s="1">
        <v>4167.6400000000003</v>
      </c>
      <c r="G388" s="5">
        <v>11.57</v>
      </c>
      <c r="H388" s="1">
        <v>3897.64</v>
      </c>
      <c r="I388" s="1">
        <v>270</v>
      </c>
      <c r="J388" s="1">
        <v>0</v>
      </c>
      <c r="K388" s="1" t="s">
        <v>1212</v>
      </c>
      <c r="L388" s="3">
        <v>265.72000000000003</v>
      </c>
      <c r="M388" s="3">
        <f t="shared" si="6"/>
        <v>254.15000000000003</v>
      </c>
    </row>
    <row r="389" spans="1:13" x14ac:dyDescent="0.35">
      <c r="A389" s="1" t="s">
        <v>615</v>
      </c>
      <c r="B389" s="1">
        <v>143996</v>
      </c>
      <c r="C389" s="1">
        <v>19613</v>
      </c>
      <c r="D389" s="1">
        <v>37</v>
      </c>
      <c r="E389" s="1">
        <v>0</v>
      </c>
      <c r="F389" s="1">
        <v>13428.5</v>
      </c>
      <c r="G389" s="5"/>
      <c r="H389" s="1">
        <v>9135.93</v>
      </c>
      <c r="I389" s="1">
        <v>4292.57</v>
      </c>
      <c r="J389" s="1">
        <v>10035.33</v>
      </c>
      <c r="K389" s="1" t="s">
        <v>1220</v>
      </c>
      <c r="L389" s="3">
        <v>2533.85</v>
      </c>
      <c r="M389" s="3">
        <f t="shared" si="6"/>
        <v>2533.85</v>
      </c>
    </row>
    <row r="390" spans="1:13" x14ac:dyDescent="0.35">
      <c r="A390" s="1" t="s">
        <v>615</v>
      </c>
      <c r="B390" s="1">
        <v>143996</v>
      </c>
      <c r="C390" s="1">
        <v>19613</v>
      </c>
      <c r="D390" s="1" t="s">
        <v>1217</v>
      </c>
      <c r="E390" s="1" t="s">
        <v>1217</v>
      </c>
      <c r="F390" s="1" t="s">
        <v>1217</v>
      </c>
      <c r="G390" s="5"/>
      <c r="H390" s="1" t="s">
        <v>1217</v>
      </c>
      <c r="I390" s="1" t="s">
        <v>1217</v>
      </c>
      <c r="J390" s="1" t="s">
        <v>1217</v>
      </c>
      <c r="K390" s="1" t="s">
        <v>1243</v>
      </c>
      <c r="L390" s="3">
        <v>20</v>
      </c>
      <c r="M390" s="3">
        <f t="shared" si="6"/>
        <v>20</v>
      </c>
    </row>
    <row r="391" spans="1:13" x14ac:dyDescent="0.35">
      <c r="A391" s="1" t="s">
        <v>615</v>
      </c>
      <c r="B391" s="1">
        <v>143996</v>
      </c>
      <c r="C391" s="1">
        <v>19613</v>
      </c>
      <c r="D391" s="1" t="s">
        <v>1217</v>
      </c>
      <c r="E391" s="1" t="s">
        <v>1217</v>
      </c>
      <c r="F391" s="1" t="s">
        <v>1217</v>
      </c>
      <c r="G391" s="5"/>
      <c r="H391" s="1" t="s">
        <v>1217</v>
      </c>
      <c r="I391" s="1" t="s">
        <v>1217</v>
      </c>
      <c r="J391" s="1" t="s">
        <v>1217</v>
      </c>
      <c r="K391" s="1" t="s">
        <v>1218</v>
      </c>
      <c r="L391" s="3">
        <v>10</v>
      </c>
      <c r="M391" s="3">
        <f t="shared" si="6"/>
        <v>10</v>
      </c>
    </row>
    <row r="392" spans="1:13" x14ac:dyDescent="0.35">
      <c r="A392" s="1" t="s">
        <v>804</v>
      </c>
      <c r="B392" s="1">
        <v>144423</v>
      </c>
      <c r="C392" s="1">
        <v>19607</v>
      </c>
      <c r="D392" s="1">
        <v>20</v>
      </c>
      <c r="E392" s="1">
        <v>1</v>
      </c>
      <c r="F392" s="1">
        <v>1104.6099999999999</v>
      </c>
      <c r="G392" s="5"/>
      <c r="H392" s="1">
        <v>408.91</v>
      </c>
      <c r="I392" s="1">
        <v>695.7</v>
      </c>
      <c r="J392" s="1">
        <v>0</v>
      </c>
      <c r="K392" s="1" t="s">
        <v>1216</v>
      </c>
      <c r="L392" s="3">
        <v>254.15</v>
      </c>
      <c r="M392" s="3">
        <f t="shared" si="6"/>
        <v>254.15</v>
      </c>
    </row>
    <row r="393" spans="1:13" x14ac:dyDescent="0.35">
      <c r="A393" s="1" t="s">
        <v>804</v>
      </c>
      <c r="B393" s="1">
        <v>144423</v>
      </c>
      <c r="C393" s="1">
        <v>19607</v>
      </c>
      <c r="D393" s="1" t="s">
        <v>1217</v>
      </c>
      <c r="E393" s="1" t="s">
        <v>1217</v>
      </c>
      <c r="F393" s="1" t="s">
        <v>1217</v>
      </c>
      <c r="G393" s="5"/>
      <c r="H393" s="1" t="s">
        <v>1217</v>
      </c>
      <c r="I393" s="1" t="s">
        <v>1217</v>
      </c>
      <c r="J393" s="1" t="s">
        <v>1217</v>
      </c>
      <c r="K393" s="1" t="s">
        <v>1218</v>
      </c>
      <c r="L393" s="3">
        <v>10</v>
      </c>
      <c r="M393" s="3">
        <f t="shared" si="6"/>
        <v>10</v>
      </c>
    </row>
    <row r="394" spans="1:13" x14ac:dyDescent="0.35">
      <c r="A394" s="1" t="s">
        <v>392</v>
      </c>
      <c r="B394" s="1">
        <v>104610</v>
      </c>
      <c r="C394" s="1">
        <v>19236</v>
      </c>
      <c r="D394" s="1">
        <v>17</v>
      </c>
      <c r="E394" s="1">
        <v>0</v>
      </c>
      <c r="F394" s="1">
        <v>5</v>
      </c>
      <c r="G394" s="5"/>
      <c r="H394" s="1">
        <v>5</v>
      </c>
      <c r="I394" s="1">
        <v>0</v>
      </c>
      <c r="J394" s="1">
        <v>0</v>
      </c>
      <c r="K394" s="1" t="s">
        <v>1212</v>
      </c>
      <c r="L394" s="3">
        <v>254.15</v>
      </c>
      <c r="M394" s="3">
        <f t="shared" si="6"/>
        <v>254.15</v>
      </c>
    </row>
    <row r="395" spans="1:13" x14ac:dyDescent="0.35">
      <c r="A395" s="1" t="s">
        <v>858</v>
      </c>
      <c r="B395" s="1">
        <v>83171</v>
      </c>
      <c r="C395" s="1">
        <v>8604</v>
      </c>
      <c r="D395" s="1">
        <v>103</v>
      </c>
      <c r="E395" s="1">
        <v>0</v>
      </c>
      <c r="F395" s="1">
        <v>31481.439999999999</v>
      </c>
      <c r="G395" s="5"/>
      <c r="H395" s="1">
        <v>15390.65</v>
      </c>
      <c r="I395" s="1">
        <v>16090.79</v>
      </c>
      <c r="J395" s="1">
        <v>16556.490000000002</v>
      </c>
      <c r="K395" s="1" t="s">
        <v>1226</v>
      </c>
      <c r="L395" s="3">
        <v>1571.65</v>
      </c>
      <c r="M395" s="3">
        <f t="shared" si="6"/>
        <v>1571.65</v>
      </c>
    </row>
    <row r="396" spans="1:13" x14ac:dyDescent="0.35">
      <c r="A396" s="1" t="s">
        <v>858</v>
      </c>
      <c r="B396" s="1">
        <v>83171</v>
      </c>
      <c r="C396" s="1">
        <v>8604</v>
      </c>
      <c r="D396" s="1" t="s">
        <v>1217</v>
      </c>
      <c r="E396" s="1" t="s">
        <v>1217</v>
      </c>
      <c r="F396" s="1" t="s">
        <v>1217</v>
      </c>
      <c r="G396" s="5"/>
      <c r="H396" s="1" t="s">
        <v>1217</v>
      </c>
      <c r="I396" s="1" t="s">
        <v>1217</v>
      </c>
      <c r="J396" s="1" t="s">
        <v>1217</v>
      </c>
      <c r="K396" s="1" t="s">
        <v>1254</v>
      </c>
      <c r="L396" s="3">
        <v>424.15</v>
      </c>
      <c r="M396" s="3">
        <f t="shared" si="6"/>
        <v>424.15</v>
      </c>
    </row>
    <row r="397" spans="1:13" x14ac:dyDescent="0.35">
      <c r="A397" s="1" t="s">
        <v>858</v>
      </c>
      <c r="B397" s="1">
        <v>83171</v>
      </c>
      <c r="C397" s="1">
        <v>8604</v>
      </c>
      <c r="D397" s="1" t="s">
        <v>1217</v>
      </c>
      <c r="E397" s="1" t="s">
        <v>1217</v>
      </c>
      <c r="F397" s="1" t="s">
        <v>1217</v>
      </c>
      <c r="G397" s="5"/>
      <c r="H397" s="1" t="s">
        <v>1217</v>
      </c>
      <c r="I397" s="1" t="s">
        <v>1217</v>
      </c>
      <c r="J397" s="1" t="s">
        <v>1217</v>
      </c>
      <c r="K397" s="1" t="s">
        <v>1218</v>
      </c>
      <c r="L397" s="3">
        <v>10</v>
      </c>
      <c r="M397" s="3">
        <f t="shared" si="6"/>
        <v>10</v>
      </c>
    </row>
    <row r="398" spans="1:13" x14ac:dyDescent="0.35">
      <c r="A398" s="1" t="s">
        <v>631</v>
      </c>
      <c r="B398" s="1">
        <v>154308</v>
      </c>
      <c r="C398" s="1">
        <v>10632</v>
      </c>
      <c r="D398" s="1">
        <v>83</v>
      </c>
      <c r="E398" s="1">
        <v>0</v>
      </c>
      <c r="F398" s="1">
        <v>8722.3799999999992</v>
      </c>
      <c r="G398" s="5"/>
      <c r="H398" s="1">
        <v>7188.68</v>
      </c>
      <c r="I398" s="1">
        <v>1533.7</v>
      </c>
      <c r="J398" s="1">
        <v>5571.23</v>
      </c>
      <c r="K398" s="1" t="s">
        <v>1229</v>
      </c>
      <c r="L398" s="3">
        <v>1274.1500000000001</v>
      </c>
      <c r="M398" s="3">
        <f t="shared" si="6"/>
        <v>1274.1500000000001</v>
      </c>
    </row>
    <row r="399" spans="1:13" x14ac:dyDescent="0.35">
      <c r="A399" s="1" t="s">
        <v>65</v>
      </c>
      <c r="B399" s="1">
        <v>148843</v>
      </c>
      <c r="C399" s="1">
        <v>10786</v>
      </c>
      <c r="D399" s="1">
        <v>16</v>
      </c>
      <c r="E399" s="1">
        <v>0</v>
      </c>
      <c r="F399" s="1">
        <v>0</v>
      </c>
      <c r="G399" s="5"/>
      <c r="H399" s="1">
        <v>0</v>
      </c>
      <c r="I399" s="1">
        <v>0</v>
      </c>
      <c r="J399" s="1">
        <v>0</v>
      </c>
      <c r="K399" s="1" t="s">
        <v>1248</v>
      </c>
      <c r="L399" s="3">
        <v>0</v>
      </c>
      <c r="M399" s="3">
        <f t="shared" si="6"/>
        <v>0</v>
      </c>
    </row>
    <row r="400" spans="1:13" x14ac:dyDescent="0.35">
      <c r="A400" s="1" t="s">
        <v>393</v>
      </c>
      <c r="B400" s="1">
        <v>145823</v>
      </c>
      <c r="C400" s="1">
        <v>25641</v>
      </c>
      <c r="D400" s="1">
        <v>23</v>
      </c>
      <c r="E400" s="1">
        <v>0</v>
      </c>
      <c r="F400" s="1">
        <v>183.65</v>
      </c>
      <c r="G400" s="5"/>
      <c r="H400" s="1">
        <v>9.66</v>
      </c>
      <c r="I400" s="1">
        <v>173.99</v>
      </c>
      <c r="J400" s="1">
        <v>0</v>
      </c>
      <c r="K400" s="1" t="s">
        <v>1224</v>
      </c>
      <c r="L400" s="3">
        <v>424.15</v>
      </c>
      <c r="M400" s="3">
        <f t="shared" si="6"/>
        <v>424.15</v>
      </c>
    </row>
    <row r="401" spans="1:13" x14ac:dyDescent="0.35">
      <c r="A401" s="1" t="s">
        <v>600</v>
      </c>
      <c r="B401" s="1">
        <v>177879</v>
      </c>
      <c r="D401" s="1">
        <v>58</v>
      </c>
      <c r="E401" s="1">
        <v>1</v>
      </c>
      <c r="F401" s="1">
        <v>4088.49</v>
      </c>
      <c r="G401" s="5"/>
      <c r="H401" s="1">
        <v>2662.58</v>
      </c>
      <c r="I401" s="1">
        <v>1425.91</v>
      </c>
      <c r="J401" s="1">
        <v>3576.02</v>
      </c>
      <c r="K401" s="1" t="s">
        <v>1229</v>
      </c>
      <c r="L401" s="3">
        <v>1274.1500000000001</v>
      </c>
      <c r="M401" s="3">
        <f t="shared" si="6"/>
        <v>1274.1500000000001</v>
      </c>
    </row>
    <row r="402" spans="1:13" x14ac:dyDescent="0.35">
      <c r="A402" s="1" t="s">
        <v>600</v>
      </c>
      <c r="B402" s="1">
        <v>177879</v>
      </c>
      <c r="D402" s="1" t="s">
        <v>1217</v>
      </c>
      <c r="E402" s="1" t="s">
        <v>1217</v>
      </c>
      <c r="F402" s="1" t="s">
        <v>1217</v>
      </c>
      <c r="G402" s="5"/>
      <c r="H402" s="1" t="s">
        <v>1217</v>
      </c>
      <c r="I402" s="1" t="s">
        <v>1217</v>
      </c>
      <c r="J402" s="1" t="s">
        <v>1217</v>
      </c>
      <c r="K402" s="1" t="s">
        <v>1218</v>
      </c>
      <c r="L402" s="3">
        <v>10</v>
      </c>
      <c r="M402" s="3">
        <f t="shared" si="6"/>
        <v>10</v>
      </c>
    </row>
    <row r="403" spans="1:13" x14ac:dyDescent="0.35">
      <c r="A403" s="1" t="s">
        <v>350</v>
      </c>
      <c r="B403" s="1">
        <v>188933</v>
      </c>
      <c r="C403" s="1">
        <v>32327</v>
      </c>
      <c r="D403" s="1">
        <v>0</v>
      </c>
      <c r="E403" s="1">
        <v>0</v>
      </c>
      <c r="F403" s="1">
        <v>0</v>
      </c>
      <c r="G403" s="5"/>
      <c r="H403" s="1">
        <v>0</v>
      </c>
      <c r="I403" s="1">
        <v>0</v>
      </c>
      <c r="J403" s="1">
        <v>0</v>
      </c>
      <c r="K403" s="1" t="s">
        <v>1214</v>
      </c>
      <c r="L403" s="3">
        <v>0</v>
      </c>
      <c r="M403" s="3">
        <f t="shared" si="6"/>
        <v>0</v>
      </c>
    </row>
    <row r="404" spans="1:13" x14ac:dyDescent="0.35">
      <c r="A404" s="1" t="s">
        <v>351</v>
      </c>
      <c r="B404" s="1">
        <v>187032</v>
      </c>
      <c r="D404" s="1">
        <v>19</v>
      </c>
      <c r="E404" s="1">
        <v>0</v>
      </c>
      <c r="F404" s="1">
        <v>1664.29</v>
      </c>
      <c r="G404" s="5"/>
      <c r="H404" s="1">
        <v>1664.29</v>
      </c>
      <c r="I404" s="1">
        <v>0</v>
      </c>
      <c r="J404" s="1">
        <v>1556.41</v>
      </c>
      <c r="K404" s="1" t="s">
        <v>1214</v>
      </c>
      <c r="L404" s="3">
        <v>0</v>
      </c>
      <c r="M404" s="3">
        <f t="shared" si="6"/>
        <v>0</v>
      </c>
    </row>
    <row r="405" spans="1:13" x14ac:dyDescent="0.35">
      <c r="A405" s="1" t="s">
        <v>351</v>
      </c>
      <c r="B405" s="1">
        <v>188935</v>
      </c>
      <c r="C405" s="1">
        <v>32326</v>
      </c>
      <c r="D405" s="1">
        <v>0</v>
      </c>
      <c r="E405" s="1">
        <v>0</v>
      </c>
      <c r="F405" s="1">
        <v>0</v>
      </c>
      <c r="G405" s="5"/>
      <c r="H405" s="1">
        <v>0</v>
      </c>
      <c r="I405" s="1">
        <v>0</v>
      </c>
      <c r="J405" s="1">
        <v>0</v>
      </c>
      <c r="K405" s="1" t="s">
        <v>1214</v>
      </c>
      <c r="L405" s="3">
        <v>0</v>
      </c>
      <c r="M405" s="3">
        <f t="shared" si="6"/>
        <v>0</v>
      </c>
    </row>
    <row r="406" spans="1:13" x14ac:dyDescent="0.35">
      <c r="A406" s="1" t="s">
        <v>353</v>
      </c>
      <c r="B406" s="1">
        <v>46251</v>
      </c>
      <c r="D406" s="1">
        <v>15</v>
      </c>
      <c r="E406" s="1">
        <v>0</v>
      </c>
      <c r="F406" s="1">
        <v>2908.42</v>
      </c>
      <c r="G406" s="5"/>
      <c r="H406" s="1">
        <v>387.23</v>
      </c>
      <c r="I406" s="1">
        <v>2521.19</v>
      </c>
      <c r="J406" s="1">
        <v>2423.3200000000002</v>
      </c>
      <c r="K406" s="1" t="s">
        <v>1214</v>
      </c>
      <c r="L406" s="3">
        <v>0</v>
      </c>
      <c r="M406" s="3">
        <f t="shared" si="6"/>
        <v>0</v>
      </c>
    </row>
    <row r="407" spans="1:13" x14ac:dyDescent="0.35">
      <c r="A407" s="1" t="s">
        <v>602</v>
      </c>
      <c r="B407" s="1">
        <v>186481</v>
      </c>
      <c r="C407" s="1">
        <v>76213688</v>
      </c>
      <c r="D407" s="1">
        <v>29</v>
      </c>
      <c r="E407" s="1">
        <v>0</v>
      </c>
      <c r="F407" s="1">
        <v>8993.15</v>
      </c>
      <c r="G407" s="5"/>
      <c r="H407" s="1">
        <v>658.4</v>
      </c>
      <c r="I407" s="1">
        <v>8334.75</v>
      </c>
      <c r="J407" s="1">
        <v>8176.84</v>
      </c>
      <c r="K407" s="1" t="s">
        <v>1229</v>
      </c>
      <c r="L407" s="3">
        <v>1274.1500000000001</v>
      </c>
      <c r="M407" s="3">
        <f t="shared" si="6"/>
        <v>1274.1500000000001</v>
      </c>
    </row>
    <row r="408" spans="1:13" x14ac:dyDescent="0.35">
      <c r="A408" s="1" t="s">
        <v>602</v>
      </c>
      <c r="B408" s="1">
        <v>186481</v>
      </c>
      <c r="C408" s="1">
        <v>76213688</v>
      </c>
      <c r="D408" s="1" t="s">
        <v>1217</v>
      </c>
      <c r="E408" s="1" t="s">
        <v>1217</v>
      </c>
      <c r="F408" s="1" t="s">
        <v>1217</v>
      </c>
      <c r="G408" s="5"/>
      <c r="H408" s="1" t="s">
        <v>1217</v>
      </c>
      <c r="I408" s="1" t="s">
        <v>1217</v>
      </c>
      <c r="J408" s="1" t="s">
        <v>1217</v>
      </c>
      <c r="K408" s="1" t="s">
        <v>1218</v>
      </c>
      <c r="L408" s="3">
        <v>10</v>
      </c>
      <c r="M408" s="3">
        <f t="shared" si="6"/>
        <v>10</v>
      </c>
    </row>
    <row r="409" spans="1:13" x14ac:dyDescent="0.35">
      <c r="A409" s="1" t="s">
        <v>394</v>
      </c>
      <c r="B409" s="1">
        <v>72053</v>
      </c>
      <c r="C409" s="1">
        <v>16586</v>
      </c>
      <c r="D409" s="1">
        <v>12</v>
      </c>
      <c r="E409" s="1">
        <v>0</v>
      </c>
      <c r="F409" s="1">
        <v>46.01</v>
      </c>
      <c r="G409" s="5"/>
      <c r="H409" s="1">
        <v>46.01</v>
      </c>
      <c r="I409" s="1">
        <v>0</v>
      </c>
      <c r="J409" s="1">
        <v>0</v>
      </c>
      <c r="K409" s="1" t="s">
        <v>1212</v>
      </c>
      <c r="L409" s="3">
        <v>254.15</v>
      </c>
      <c r="M409" s="3">
        <f t="shared" si="6"/>
        <v>254.15</v>
      </c>
    </row>
    <row r="410" spans="1:13" x14ac:dyDescent="0.35">
      <c r="A410" s="1" t="s">
        <v>772</v>
      </c>
      <c r="B410" s="1">
        <v>134332</v>
      </c>
      <c r="C410" s="1">
        <v>16067</v>
      </c>
      <c r="D410" s="1">
        <v>15</v>
      </c>
      <c r="E410" s="1">
        <v>0</v>
      </c>
      <c r="F410" s="1">
        <v>0.66</v>
      </c>
      <c r="G410" s="5"/>
      <c r="H410" s="1">
        <v>0.66</v>
      </c>
      <c r="I410" s="1">
        <v>0</v>
      </c>
      <c r="J410" s="1">
        <v>0</v>
      </c>
      <c r="K410" s="1" t="s">
        <v>1216</v>
      </c>
      <c r="L410" s="3">
        <v>254.15</v>
      </c>
      <c r="M410" s="3">
        <f t="shared" si="6"/>
        <v>254.15</v>
      </c>
    </row>
    <row r="411" spans="1:13" x14ac:dyDescent="0.35">
      <c r="A411" s="1" t="s">
        <v>746</v>
      </c>
      <c r="B411" s="1">
        <v>139339</v>
      </c>
      <c r="C411" s="1">
        <v>6972</v>
      </c>
      <c r="D411" s="1">
        <v>15</v>
      </c>
      <c r="E411" s="1">
        <v>0</v>
      </c>
      <c r="F411" s="1">
        <v>6288.09</v>
      </c>
      <c r="G411" s="5">
        <v>192.38</v>
      </c>
      <c r="H411" s="1">
        <v>390.07</v>
      </c>
      <c r="I411" s="1">
        <v>5898.02</v>
      </c>
      <c r="J411" s="1">
        <v>0</v>
      </c>
      <c r="K411" s="1" t="s">
        <v>1216</v>
      </c>
      <c r="L411" s="3">
        <v>446.53</v>
      </c>
      <c r="M411" s="3">
        <f t="shared" si="6"/>
        <v>254.14999999999998</v>
      </c>
    </row>
    <row r="412" spans="1:13" x14ac:dyDescent="0.35">
      <c r="A412" s="1" t="s">
        <v>550</v>
      </c>
      <c r="B412" s="1">
        <v>99512</v>
      </c>
      <c r="D412" s="1">
        <v>12</v>
      </c>
      <c r="E412" s="1">
        <v>0</v>
      </c>
      <c r="F412" s="1">
        <v>47.66</v>
      </c>
      <c r="G412" s="5"/>
      <c r="H412" s="1">
        <v>47.66</v>
      </c>
      <c r="I412" s="1">
        <v>0</v>
      </c>
      <c r="J412" s="1">
        <v>0</v>
      </c>
      <c r="K412" s="1" t="s">
        <v>1212</v>
      </c>
      <c r="L412" s="3">
        <v>254.15</v>
      </c>
      <c r="M412" s="3">
        <f t="shared" si="6"/>
        <v>254.15</v>
      </c>
    </row>
    <row r="413" spans="1:13" x14ac:dyDescent="0.35">
      <c r="A413" s="1" t="s">
        <v>778</v>
      </c>
      <c r="B413" s="1">
        <v>77683</v>
      </c>
      <c r="C413" s="1">
        <v>11003</v>
      </c>
      <c r="D413" s="1">
        <v>136</v>
      </c>
      <c r="E413" s="1">
        <v>0</v>
      </c>
      <c r="F413" s="1">
        <v>6935.99</v>
      </c>
      <c r="G413" s="5"/>
      <c r="H413" s="1">
        <v>992.3</v>
      </c>
      <c r="I413" s="1">
        <v>5943.69</v>
      </c>
      <c r="J413" s="1">
        <v>0</v>
      </c>
      <c r="K413" s="1" t="s">
        <v>1255</v>
      </c>
      <c r="L413" s="3">
        <v>424.15</v>
      </c>
      <c r="M413" s="3">
        <f t="shared" si="6"/>
        <v>424.15</v>
      </c>
    </row>
    <row r="414" spans="1:13" x14ac:dyDescent="0.35">
      <c r="A414" s="1" t="s">
        <v>778</v>
      </c>
      <c r="B414" s="1">
        <v>77683</v>
      </c>
      <c r="C414" s="1">
        <v>11003</v>
      </c>
      <c r="D414" s="1" t="s">
        <v>1217</v>
      </c>
      <c r="E414" s="1" t="s">
        <v>1217</v>
      </c>
      <c r="F414" s="1" t="s">
        <v>1217</v>
      </c>
      <c r="G414" s="5"/>
      <c r="H414" s="1" t="s">
        <v>1217</v>
      </c>
      <c r="I414" s="1" t="s">
        <v>1217</v>
      </c>
      <c r="J414" s="1" t="s">
        <v>1217</v>
      </c>
      <c r="K414" s="1" t="s">
        <v>1218</v>
      </c>
      <c r="L414" s="3">
        <v>10</v>
      </c>
      <c r="M414" s="3">
        <f t="shared" si="6"/>
        <v>10</v>
      </c>
    </row>
    <row r="415" spans="1:13" x14ac:dyDescent="0.35">
      <c r="A415" s="1" t="s">
        <v>790</v>
      </c>
      <c r="B415" s="1">
        <v>144127</v>
      </c>
      <c r="C415" s="1">
        <v>24727</v>
      </c>
      <c r="D415" s="1">
        <v>12</v>
      </c>
      <c r="E415" s="1">
        <v>0</v>
      </c>
      <c r="F415" s="1">
        <v>189.32</v>
      </c>
      <c r="G415" s="5"/>
      <c r="H415" s="1">
        <v>35.659999999999997</v>
      </c>
      <c r="I415" s="1">
        <v>153.66</v>
      </c>
      <c r="J415" s="1">
        <v>0</v>
      </c>
      <c r="K415" s="1" t="s">
        <v>1216</v>
      </c>
      <c r="L415" s="3">
        <v>254.15</v>
      </c>
      <c r="M415" s="3">
        <f t="shared" si="6"/>
        <v>254.15</v>
      </c>
    </row>
    <row r="416" spans="1:13" x14ac:dyDescent="0.35">
      <c r="A416" s="1" t="s">
        <v>95</v>
      </c>
      <c r="B416" s="1">
        <v>187780</v>
      </c>
      <c r="C416" s="1">
        <v>76201662</v>
      </c>
      <c r="D416" s="1">
        <v>36</v>
      </c>
      <c r="E416" s="1">
        <v>0</v>
      </c>
      <c r="F416" s="1">
        <v>4406.9799999999996</v>
      </c>
      <c r="G416" s="5"/>
      <c r="H416" s="1">
        <v>441.32</v>
      </c>
      <c r="I416" s="1">
        <v>3965.66</v>
      </c>
      <c r="J416" s="1">
        <v>3526.8</v>
      </c>
      <c r="K416" s="1" t="s">
        <v>1221</v>
      </c>
      <c r="L416" s="3">
        <v>1294</v>
      </c>
      <c r="M416" s="3">
        <f t="shared" si="6"/>
        <v>1294</v>
      </c>
    </row>
    <row r="417" spans="1:13" x14ac:dyDescent="0.35">
      <c r="A417" s="1" t="s">
        <v>95</v>
      </c>
      <c r="B417" s="1">
        <v>187780</v>
      </c>
      <c r="C417" s="1">
        <v>76201662</v>
      </c>
      <c r="D417" s="1" t="s">
        <v>1217</v>
      </c>
      <c r="E417" s="1" t="s">
        <v>1217</v>
      </c>
      <c r="F417" s="1" t="s">
        <v>1217</v>
      </c>
      <c r="G417" s="5"/>
      <c r="H417" s="1" t="s">
        <v>1217</v>
      </c>
      <c r="I417" s="1" t="s">
        <v>1217</v>
      </c>
      <c r="J417" s="1" t="s">
        <v>1217</v>
      </c>
      <c r="K417" s="1" t="s">
        <v>1256</v>
      </c>
      <c r="L417" s="3">
        <v>349</v>
      </c>
      <c r="M417" s="3">
        <f t="shared" si="6"/>
        <v>349</v>
      </c>
    </row>
    <row r="418" spans="1:13" x14ac:dyDescent="0.35">
      <c r="A418" s="1" t="s">
        <v>95</v>
      </c>
      <c r="B418" s="1">
        <v>187780</v>
      </c>
      <c r="C418" s="1">
        <v>76201662</v>
      </c>
      <c r="D418" s="1" t="s">
        <v>1217</v>
      </c>
      <c r="E418" s="1" t="s">
        <v>1217</v>
      </c>
      <c r="F418" s="1" t="s">
        <v>1217</v>
      </c>
      <c r="G418" s="5"/>
      <c r="H418" s="1" t="s">
        <v>1217</v>
      </c>
      <c r="I418" s="1" t="s">
        <v>1217</v>
      </c>
      <c r="J418" s="1" t="s">
        <v>1217</v>
      </c>
      <c r="K418" s="1" t="s">
        <v>1218</v>
      </c>
      <c r="L418" s="3">
        <v>10</v>
      </c>
      <c r="M418" s="3">
        <f t="shared" si="6"/>
        <v>10</v>
      </c>
    </row>
    <row r="419" spans="1:13" x14ac:dyDescent="0.35">
      <c r="A419" s="1" t="s">
        <v>677</v>
      </c>
      <c r="B419" s="1">
        <v>154791</v>
      </c>
      <c r="C419" s="1">
        <v>28325</v>
      </c>
      <c r="D419" s="1">
        <v>16</v>
      </c>
      <c r="E419" s="1">
        <v>0</v>
      </c>
      <c r="F419" s="1">
        <v>119.95</v>
      </c>
      <c r="G419" s="5"/>
      <c r="H419" s="1">
        <v>41.96</v>
      </c>
      <c r="I419" s="1">
        <v>77.989999999999995</v>
      </c>
      <c r="J419" s="1">
        <v>0</v>
      </c>
      <c r="K419" s="1" t="s">
        <v>1216</v>
      </c>
      <c r="L419" s="3">
        <v>254.15</v>
      </c>
      <c r="M419" s="3">
        <f t="shared" si="6"/>
        <v>254.15</v>
      </c>
    </row>
    <row r="420" spans="1:13" x14ac:dyDescent="0.35">
      <c r="A420" s="1" t="s">
        <v>677</v>
      </c>
      <c r="B420" s="1">
        <v>154791</v>
      </c>
      <c r="C420" s="1">
        <v>28325</v>
      </c>
      <c r="D420" s="1" t="s">
        <v>1217</v>
      </c>
      <c r="E420" s="1" t="s">
        <v>1217</v>
      </c>
      <c r="F420" s="1" t="s">
        <v>1217</v>
      </c>
      <c r="G420" s="5"/>
      <c r="H420" s="1" t="s">
        <v>1217</v>
      </c>
      <c r="I420" s="1" t="s">
        <v>1217</v>
      </c>
      <c r="J420" s="1" t="s">
        <v>1217</v>
      </c>
      <c r="K420" s="1" t="s">
        <v>1218</v>
      </c>
      <c r="L420" s="3">
        <v>10</v>
      </c>
      <c r="M420" s="3">
        <f t="shared" si="6"/>
        <v>10</v>
      </c>
    </row>
    <row r="421" spans="1:13" x14ac:dyDescent="0.35">
      <c r="A421" s="1" t="s">
        <v>70</v>
      </c>
      <c r="B421" s="1">
        <v>116785</v>
      </c>
      <c r="C421" s="1">
        <v>19638</v>
      </c>
      <c r="D421" s="1">
        <v>27</v>
      </c>
      <c r="E421" s="1">
        <v>0</v>
      </c>
      <c r="F421" s="1">
        <v>43</v>
      </c>
      <c r="G421" s="5"/>
      <c r="H421" s="1">
        <v>43</v>
      </c>
      <c r="I421" s="1">
        <v>0</v>
      </c>
      <c r="J421" s="1">
        <v>43</v>
      </c>
      <c r="K421" s="1" t="s">
        <v>1227</v>
      </c>
      <c r="L421" s="3">
        <v>1571.65</v>
      </c>
      <c r="M421" s="3">
        <f t="shared" si="6"/>
        <v>1571.65</v>
      </c>
    </row>
    <row r="422" spans="1:13" x14ac:dyDescent="0.35">
      <c r="A422" s="1" t="s">
        <v>879</v>
      </c>
      <c r="B422" s="1">
        <v>121695</v>
      </c>
      <c r="C422" s="1">
        <v>21212</v>
      </c>
      <c r="D422" s="1">
        <v>19</v>
      </c>
      <c r="E422" s="1">
        <v>0</v>
      </c>
      <c r="F422" s="1">
        <v>71.98</v>
      </c>
      <c r="G422" s="5"/>
      <c r="H422" s="1">
        <v>36.979999999999997</v>
      </c>
      <c r="I422" s="1">
        <v>35</v>
      </c>
      <c r="J422" s="1">
        <v>0</v>
      </c>
      <c r="K422" s="1" t="s">
        <v>1216</v>
      </c>
      <c r="L422" s="3">
        <v>254.15</v>
      </c>
      <c r="M422" s="3">
        <f t="shared" si="6"/>
        <v>254.15</v>
      </c>
    </row>
    <row r="423" spans="1:13" x14ac:dyDescent="0.35">
      <c r="A423" s="1" t="s">
        <v>723</v>
      </c>
      <c r="B423" s="1">
        <v>145649</v>
      </c>
      <c r="C423" s="1">
        <v>25474</v>
      </c>
      <c r="D423" s="1">
        <v>14</v>
      </c>
      <c r="E423" s="1">
        <v>0</v>
      </c>
      <c r="F423" s="1">
        <v>4253.05</v>
      </c>
      <c r="G423" s="5"/>
      <c r="H423" s="1">
        <v>244.91</v>
      </c>
      <c r="I423" s="1">
        <v>4008.14</v>
      </c>
      <c r="J423" s="1">
        <v>0</v>
      </c>
      <c r="K423" s="1" t="s">
        <v>1224</v>
      </c>
      <c r="L423" s="3">
        <v>424.15</v>
      </c>
      <c r="M423" s="3">
        <f t="shared" si="6"/>
        <v>424.15</v>
      </c>
    </row>
    <row r="424" spans="1:13" x14ac:dyDescent="0.35">
      <c r="A424" s="1" t="s">
        <v>723</v>
      </c>
      <c r="B424" s="1">
        <v>145649</v>
      </c>
      <c r="C424" s="1">
        <v>25474</v>
      </c>
      <c r="D424" s="1" t="s">
        <v>1217</v>
      </c>
      <c r="E424" s="1" t="s">
        <v>1217</v>
      </c>
      <c r="F424" s="1" t="s">
        <v>1217</v>
      </c>
      <c r="G424" s="5"/>
      <c r="H424" s="1" t="s">
        <v>1217</v>
      </c>
      <c r="I424" s="1" t="s">
        <v>1217</v>
      </c>
      <c r="J424" s="1" t="s">
        <v>1217</v>
      </c>
      <c r="K424" s="1" t="s">
        <v>1218</v>
      </c>
      <c r="L424" s="3">
        <v>10</v>
      </c>
      <c r="M424" s="3">
        <f t="shared" si="6"/>
        <v>10</v>
      </c>
    </row>
    <row r="425" spans="1:13" x14ac:dyDescent="0.35">
      <c r="A425" s="1" t="s">
        <v>1257</v>
      </c>
      <c r="B425" s="1">
        <v>46377</v>
      </c>
      <c r="C425" s="1">
        <v>8725</v>
      </c>
      <c r="D425" s="1">
        <v>3</v>
      </c>
      <c r="E425" s="1">
        <v>0</v>
      </c>
      <c r="F425" s="1">
        <v>36</v>
      </c>
      <c r="G425" s="5"/>
      <c r="H425" s="1">
        <v>31</v>
      </c>
      <c r="I425" s="1">
        <v>5</v>
      </c>
      <c r="J425" s="1">
        <v>31</v>
      </c>
      <c r="K425" s="1" t="s">
        <v>1214</v>
      </c>
      <c r="L425" s="3">
        <v>0</v>
      </c>
      <c r="M425" s="3">
        <f t="shared" si="6"/>
        <v>0</v>
      </c>
    </row>
    <row r="426" spans="1:13" x14ac:dyDescent="0.35">
      <c r="A426" s="1" t="s">
        <v>708</v>
      </c>
      <c r="B426" s="1">
        <v>142723</v>
      </c>
      <c r="C426" s="1">
        <v>23288</v>
      </c>
      <c r="D426" s="1">
        <v>117</v>
      </c>
      <c r="E426" s="1">
        <v>0</v>
      </c>
      <c r="F426" s="1">
        <v>8178.1</v>
      </c>
      <c r="G426" s="5"/>
      <c r="H426" s="1">
        <v>7535.79</v>
      </c>
      <c r="I426" s="1">
        <v>642.30999999999995</v>
      </c>
      <c r="J426" s="1">
        <v>7001.96</v>
      </c>
      <c r="K426" s="1" t="s">
        <v>1227</v>
      </c>
      <c r="L426" s="3">
        <v>1571.65</v>
      </c>
      <c r="M426" s="3">
        <f t="shared" si="6"/>
        <v>1571.65</v>
      </c>
    </row>
    <row r="427" spans="1:13" x14ac:dyDescent="0.35">
      <c r="A427" s="1" t="s">
        <v>708</v>
      </c>
      <c r="B427" s="1">
        <v>142723</v>
      </c>
      <c r="C427" s="1">
        <v>23288</v>
      </c>
      <c r="D427" s="1" t="s">
        <v>1217</v>
      </c>
      <c r="E427" s="1" t="s">
        <v>1217</v>
      </c>
      <c r="F427" s="1" t="s">
        <v>1217</v>
      </c>
      <c r="G427" s="5"/>
      <c r="H427" s="1" t="s">
        <v>1217</v>
      </c>
      <c r="I427" s="1" t="s">
        <v>1217</v>
      </c>
      <c r="J427" s="1" t="s">
        <v>1217</v>
      </c>
      <c r="K427" s="1" t="s">
        <v>1218</v>
      </c>
      <c r="L427" s="3">
        <v>10</v>
      </c>
      <c r="M427" s="3">
        <f t="shared" si="6"/>
        <v>10</v>
      </c>
    </row>
    <row r="428" spans="1:13" x14ac:dyDescent="0.35">
      <c r="A428" s="1" t="s">
        <v>711</v>
      </c>
      <c r="B428" s="1">
        <v>142727</v>
      </c>
      <c r="C428" s="1">
        <v>23289</v>
      </c>
      <c r="D428" s="1">
        <v>155</v>
      </c>
      <c r="E428" s="1">
        <v>0</v>
      </c>
      <c r="F428" s="1">
        <v>5652.07</v>
      </c>
      <c r="G428" s="5"/>
      <c r="H428" s="1">
        <v>4047.58</v>
      </c>
      <c r="I428" s="1">
        <v>1604.49</v>
      </c>
      <c r="J428" s="1">
        <v>2700.94</v>
      </c>
      <c r="K428" s="1" t="s">
        <v>1227</v>
      </c>
      <c r="L428" s="3">
        <v>1571.65</v>
      </c>
      <c r="M428" s="3">
        <f t="shared" si="6"/>
        <v>1571.65</v>
      </c>
    </row>
    <row r="429" spans="1:13" x14ac:dyDescent="0.35">
      <c r="A429" s="1" t="s">
        <v>711</v>
      </c>
      <c r="B429" s="1">
        <v>142727</v>
      </c>
      <c r="C429" s="1">
        <v>23289</v>
      </c>
      <c r="D429" s="1" t="s">
        <v>1217</v>
      </c>
      <c r="E429" s="1" t="s">
        <v>1217</v>
      </c>
      <c r="F429" s="1" t="s">
        <v>1217</v>
      </c>
      <c r="G429" s="5"/>
      <c r="H429" s="1" t="s">
        <v>1217</v>
      </c>
      <c r="I429" s="1" t="s">
        <v>1217</v>
      </c>
      <c r="J429" s="1" t="s">
        <v>1217</v>
      </c>
      <c r="K429" s="1" t="s">
        <v>1218</v>
      </c>
      <c r="L429" s="3">
        <v>10</v>
      </c>
      <c r="M429" s="3">
        <f t="shared" si="6"/>
        <v>10</v>
      </c>
    </row>
    <row r="430" spans="1:13" x14ac:dyDescent="0.35">
      <c r="A430" s="1" t="s">
        <v>76</v>
      </c>
      <c r="B430" s="1">
        <v>99628</v>
      </c>
      <c r="C430" s="1">
        <v>17155</v>
      </c>
      <c r="D430" s="1">
        <v>18</v>
      </c>
      <c r="E430" s="1">
        <v>0</v>
      </c>
      <c r="F430" s="1">
        <v>1264.3399999999999</v>
      </c>
      <c r="G430" s="5"/>
      <c r="H430" s="1">
        <v>1257.02</v>
      </c>
      <c r="I430" s="1">
        <v>7.32</v>
      </c>
      <c r="J430" s="1">
        <v>0</v>
      </c>
      <c r="K430" s="1" t="s">
        <v>1216</v>
      </c>
      <c r="L430" s="3">
        <v>254.15</v>
      </c>
      <c r="M430" s="3">
        <f t="shared" si="6"/>
        <v>254.15</v>
      </c>
    </row>
    <row r="431" spans="1:13" x14ac:dyDescent="0.35">
      <c r="A431" s="1" t="s">
        <v>76</v>
      </c>
      <c r="B431" s="1">
        <v>99628</v>
      </c>
      <c r="C431" s="1">
        <v>17155</v>
      </c>
      <c r="D431" s="1" t="s">
        <v>1217</v>
      </c>
      <c r="E431" s="1" t="s">
        <v>1217</v>
      </c>
      <c r="F431" s="1" t="s">
        <v>1217</v>
      </c>
      <c r="G431" s="5"/>
      <c r="H431" s="1" t="s">
        <v>1217</v>
      </c>
      <c r="I431" s="1" t="s">
        <v>1217</v>
      </c>
      <c r="J431" s="1" t="s">
        <v>1217</v>
      </c>
      <c r="K431" s="1" t="s">
        <v>1218</v>
      </c>
      <c r="L431" s="3">
        <v>10</v>
      </c>
      <c r="M431" s="3">
        <f t="shared" si="6"/>
        <v>10</v>
      </c>
    </row>
    <row r="432" spans="1:13" x14ac:dyDescent="0.35">
      <c r="A432" s="1" t="s">
        <v>224</v>
      </c>
      <c r="B432" s="1">
        <v>136865</v>
      </c>
      <c r="C432" s="1">
        <v>22158</v>
      </c>
      <c r="D432" s="1">
        <v>85</v>
      </c>
      <c r="E432" s="1">
        <v>0</v>
      </c>
      <c r="F432" s="1">
        <v>14083.53</v>
      </c>
      <c r="G432" s="5"/>
      <c r="H432" s="1">
        <v>9439.83</v>
      </c>
      <c r="I432" s="1">
        <v>4643.7</v>
      </c>
      <c r="J432" s="1">
        <v>7227.35</v>
      </c>
      <c r="K432" s="1" t="s">
        <v>1227</v>
      </c>
      <c r="L432" s="3">
        <v>1571.65</v>
      </c>
      <c r="M432" s="3">
        <f t="shared" si="6"/>
        <v>1571.65</v>
      </c>
    </row>
    <row r="433" spans="1:13" x14ac:dyDescent="0.35">
      <c r="A433" s="1" t="s">
        <v>224</v>
      </c>
      <c r="B433" s="1">
        <v>136865</v>
      </c>
      <c r="C433" s="1">
        <v>22158</v>
      </c>
      <c r="D433" s="1" t="s">
        <v>1217</v>
      </c>
      <c r="E433" s="1" t="s">
        <v>1217</v>
      </c>
      <c r="F433" s="1" t="s">
        <v>1217</v>
      </c>
      <c r="G433" s="5"/>
      <c r="H433" s="1" t="s">
        <v>1217</v>
      </c>
      <c r="I433" s="1" t="s">
        <v>1217</v>
      </c>
      <c r="J433" s="1" t="s">
        <v>1217</v>
      </c>
      <c r="K433" s="1" t="s">
        <v>1218</v>
      </c>
      <c r="L433" s="3">
        <v>10</v>
      </c>
      <c r="M433" s="3">
        <f t="shared" si="6"/>
        <v>10</v>
      </c>
    </row>
    <row r="434" spans="1:13" x14ac:dyDescent="0.35">
      <c r="A434" s="1" t="s">
        <v>201</v>
      </c>
      <c r="B434" s="1">
        <v>139748</v>
      </c>
      <c r="C434" s="1">
        <v>9273</v>
      </c>
      <c r="D434" s="1">
        <v>22</v>
      </c>
      <c r="E434" s="1">
        <v>0</v>
      </c>
      <c r="F434" s="1">
        <v>2041.07</v>
      </c>
      <c r="G434" s="5"/>
      <c r="H434" s="1">
        <v>350.57</v>
      </c>
      <c r="I434" s="1">
        <v>1690.5</v>
      </c>
      <c r="J434" s="1">
        <v>0</v>
      </c>
      <c r="K434" s="1" t="s">
        <v>1216</v>
      </c>
      <c r="L434" s="3">
        <v>254.15</v>
      </c>
      <c r="M434" s="3">
        <f t="shared" si="6"/>
        <v>254.15</v>
      </c>
    </row>
    <row r="435" spans="1:13" x14ac:dyDescent="0.35">
      <c r="A435" s="1" t="s">
        <v>201</v>
      </c>
      <c r="B435" s="1">
        <v>139748</v>
      </c>
      <c r="C435" s="1">
        <v>9273</v>
      </c>
      <c r="D435" s="1" t="s">
        <v>1217</v>
      </c>
      <c r="E435" s="1" t="s">
        <v>1217</v>
      </c>
      <c r="F435" s="1" t="s">
        <v>1217</v>
      </c>
      <c r="G435" s="5"/>
      <c r="H435" s="1" t="s">
        <v>1217</v>
      </c>
      <c r="I435" s="1" t="s">
        <v>1217</v>
      </c>
      <c r="J435" s="1" t="s">
        <v>1217</v>
      </c>
      <c r="K435" s="1" t="s">
        <v>1218</v>
      </c>
      <c r="L435" s="3">
        <v>10</v>
      </c>
      <c r="M435" s="3">
        <f t="shared" si="6"/>
        <v>10</v>
      </c>
    </row>
    <row r="436" spans="1:13" x14ac:dyDescent="0.35">
      <c r="A436" s="1" t="s">
        <v>203</v>
      </c>
      <c r="B436" s="1">
        <v>144122</v>
      </c>
      <c r="C436" s="1">
        <v>19202</v>
      </c>
      <c r="D436" s="1">
        <v>6</v>
      </c>
      <c r="E436" s="1">
        <v>0</v>
      </c>
      <c r="F436" s="1">
        <v>733.39</v>
      </c>
      <c r="G436" s="5"/>
      <c r="H436" s="1">
        <v>52.02</v>
      </c>
      <c r="I436" s="1">
        <v>681.37</v>
      </c>
      <c r="J436" s="1">
        <v>0</v>
      </c>
      <c r="K436" s="1" t="s">
        <v>1216</v>
      </c>
      <c r="L436" s="3">
        <v>254.15</v>
      </c>
      <c r="M436" s="3">
        <f t="shared" si="6"/>
        <v>254.15</v>
      </c>
    </row>
    <row r="437" spans="1:13" x14ac:dyDescent="0.35">
      <c r="A437" s="1" t="s">
        <v>203</v>
      </c>
      <c r="B437" s="1">
        <v>144122</v>
      </c>
      <c r="C437" s="1">
        <v>19202</v>
      </c>
      <c r="D437" s="1" t="s">
        <v>1217</v>
      </c>
      <c r="E437" s="1" t="s">
        <v>1217</v>
      </c>
      <c r="F437" s="1" t="s">
        <v>1217</v>
      </c>
      <c r="G437" s="5"/>
      <c r="H437" s="1" t="s">
        <v>1217</v>
      </c>
      <c r="I437" s="1" t="s">
        <v>1217</v>
      </c>
      <c r="J437" s="1" t="s">
        <v>1217</v>
      </c>
      <c r="K437" s="1" t="s">
        <v>1218</v>
      </c>
      <c r="L437" s="3">
        <v>10</v>
      </c>
      <c r="M437" s="3">
        <f t="shared" si="6"/>
        <v>10</v>
      </c>
    </row>
    <row r="438" spans="1:13" x14ac:dyDescent="0.35">
      <c r="A438" s="1" t="s">
        <v>441</v>
      </c>
      <c r="B438" s="1">
        <v>188153</v>
      </c>
      <c r="C438" s="1">
        <v>30664</v>
      </c>
      <c r="D438" s="1">
        <v>3</v>
      </c>
      <c r="E438" s="1">
        <v>0</v>
      </c>
      <c r="F438" s="1">
        <v>2001.55</v>
      </c>
      <c r="G438" s="5"/>
      <c r="H438" s="1">
        <v>201.76</v>
      </c>
      <c r="I438" s="1">
        <v>1799.79</v>
      </c>
      <c r="J438" s="1">
        <v>0</v>
      </c>
      <c r="K438" s="1" t="s">
        <v>1223</v>
      </c>
      <c r="L438" s="3">
        <v>509.15</v>
      </c>
      <c r="M438" s="3">
        <f t="shared" si="6"/>
        <v>509.15</v>
      </c>
    </row>
    <row r="439" spans="1:13" x14ac:dyDescent="0.35">
      <c r="A439" s="1" t="s">
        <v>205</v>
      </c>
      <c r="B439" s="1">
        <v>138603</v>
      </c>
      <c r="C439" s="1">
        <v>22232</v>
      </c>
      <c r="D439" s="1">
        <v>29</v>
      </c>
      <c r="E439" s="1">
        <v>0</v>
      </c>
      <c r="F439" s="1">
        <v>5949.05</v>
      </c>
      <c r="G439" s="5">
        <v>168.98</v>
      </c>
      <c r="H439" s="1">
        <v>2789.36</v>
      </c>
      <c r="I439" s="1">
        <v>3159.69</v>
      </c>
      <c r="J439" s="1">
        <v>0</v>
      </c>
      <c r="K439" s="1" t="s">
        <v>1216</v>
      </c>
      <c r="L439" s="3">
        <v>423.13</v>
      </c>
      <c r="M439" s="3">
        <f t="shared" si="6"/>
        <v>254.15</v>
      </c>
    </row>
    <row r="440" spans="1:13" x14ac:dyDescent="0.35">
      <c r="A440" s="1" t="s">
        <v>205</v>
      </c>
      <c r="B440" s="1">
        <v>138603</v>
      </c>
      <c r="C440" s="1">
        <v>22232</v>
      </c>
      <c r="D440" s="1" t="s">
        <v>1217</v>
      </c>
      <c r="E440" s="1" t="s">
        <v>1217</v>
      </c>
      <c r="F440" s="1" t="s">
        <v>1217</v>
      </c>
      <c r="G440" s="5"/>
      <c r="H440" s="1" t="s">
        <v>1217</v>
      </c>
      <c r="I440" s="1" t="s">
        <v>1217</v>
      </c>
      <c r="J440" s="1" t="s">
        <v>1217</v>
      </c>
      <c r="K440" s="1" t="s">
        <v>1218</v>
      </c>
      <c r="L440" s="3">
        <v>10</v>
      </c>
      <c r="M440" s="3">
        <f t="shared" si="6"/>
        <v>10</v>
      </c>
    </row>
    <row r="441" spans="1:13" x14ac:dyDescent="0.35">
      <c r="A441" s="1" t="s">
        <v>208</v>
      </c>
      <c r="B441" s="1">
        <v>131694</v>
      </c>
      <c r="C441" s="1">
        <v>21728</v>
      </c>
      <c r="D441" s="1">
        <v>18</v>
      </c>
      <c r="E441" s="1">
        <v>0</v>
      </c>
      <c r="F441" s="1">
        <v>2550.33</v>
      </c>
      <c r="G441" s="5"/>
      <c r="H441" s="1">
        <v>464.89</v>
      </c>
      <c r="I441" s="1">
        <v>2085.44</v>
      </c>
      <c r="J441" s="1">
        <v>0</v>
      </c>
      <c r="K441" s="1" t="s">
        <v>1216</v>
      </c>
      <c r="L441" s="3">
        <v>254.15</v>
      </c>
      <c r="M441" s="3">
        <f t="shared" si="6"/>
        <v>254.15</v>
      </c>
    </row>
    <row r="442" spans="1:13" x14ac:dyDescent="0.35">
      <c r="A442" s="1" t="s">
        <v>208</v>
      </c>
      <c r="B442" s="1">
        <v>131694</v>
      </c>
      <c r="C442" s="1">
        <v>21728</v>
      </c>
      <c r="D442" s="1" t="s">
        <v>1217</v>
      </c>
      <c r="E442" s="1" t="s">
        <v>1217</v>
      </c>
      <c r="F442" s="1" t="s">
        <v>1217</v>
      </c>
      <c r="G442" s="5"/>
      <c r="H442" s="1" t="s">
        <v>1217</v>
      </c>
      <c r="I442" s="1" t="s">
        <v>1217</v>
      </c>
      <c r="J442" s="1" t="s">
        <v>1217</v>
      </c>
      <c r="K442" s="1" t="s">
        <v>1218</v>
      </c>
      <c r="L442" s="3">
        <v>10</v>
      </c>
      <c r="M442" s="3">
        <f t="shared" si="6"/>
        <v>10</v>
      </c>
    </row>
    <row r="443" spans="1:13" x14ac:dyDescent="0.35">
      <c r="A443" s="1" t="s">
        <v>210</v>
      </c>
      <c r="B443" s="1">
        <v>131695</v>
      </c>
      <c r="C443" s="1">
        <v>21729</v>
      </c>
      <c r="D443" s="1">
        <v>18</v>
      </c>
      <c r="E443" s="1">
        <v>0</v>
      </c>
      <c r="F443" s="1">
        <v>1726.19</v>
      </c>
      <c r="G443" s="5"/>
      <c r="H443" s="1">
        <v>310.01</v>
      </c>
      <c r="I443" s="1">
        <v>1416.18</v>
      </c>
      <c r="J443" s="1">
        <v>0</v>
      </c>
      <c r="K443" s="1" t="s">
        <v>1216</v>
      </c>
      <c r="L443" s="3">
        <v>254.15</v>
      </c>
      <c r="M443" s="3">
        <f t="shared" si="6"/>
        <v>254.15</v>
      </c>
    </row>
    <row r="444" spans="1:13" x14ac:dyDescent="0.35">
      <c r="A444" s="1" t="s">
        <v>210</v>
      </c>
      <c r="B444" s="1">
        <v>131695</v>
      </c>
      <c r="C444" s="1">
        <v>21729</v>
      </c>
      <c r="D444" s="1" t="s">
        <v>1217</v>
      </c>
      <c r="E444" s="1" t="s">
        <v>1217</v>
      </c>
      <c r="F444" s="1" t="s">
        <v>1217</v>
      </c>
      <c r="G444" s="5"/>
      <c r="H444" s="1" t="s">
        <v>1217</v>
      </c>
      <c r="I444" s="1" t="s">
        <v>1217</v>
      </c>
      <c r="J444" s="1" t="s">
        <v>1217</v>
      </c>
      <c r="K444" s="1" t="s">
        <v>1218</v>
      </c>
      <c r="L444" s="3">
        <v>10</v>
      </c>
      <c r="M444" s="3">
        <f t="shared" si="6"/>
        <v>10</v>
      </c>
    </row>
    <row r="445" spans="1:13" x14ac:dyDescent="0.35">
      <c r="A445" s="1" t="s">
        <v>212</v>
      </c>
      <c r="B445" s="1">
        <v>143944</v>
      </c>
      <c r="C445" s="1">
        <v>21588</v>
      </c>
      <c r="D445" s="1">
        <v>10</v>
      </c>
      <c r="E445" s="1">
        <v>0</v>
      </c>
      <c r="F445" s="1">
        <v>894.45</v>
      </c>
      <c r="G445" s="5"/>
      <c r="H445" s="1">
        <v>209.64</v>
      </c>
      <c r="I445" s="1">
        <v>684.81</v>
      </c>
      <c r="J445" s="1">
        <v>0</v>
      </c>
      <c r="K445" s="1" t="s">
        <v>1216</v>
      </c>
      <c r="L445" s="3">
        <v>254.15</v>
      </c>
      <c r="M445" s="3">
        <f t="shared" si="6"/>
        <v>254.15</v>
      </c>
    </row>
    <row r="446" spans="1:13" x14ac:dyDescent="0.35">
      <c r="A446" s="1" t="s">
        <v>212</v>
      </c>
      <c r="B446" s="1">
        <v>143944</v>
      </c>
      <c r="C446" s="1">
        <v>21588</v>
      </c>
      <c r="D446" s="1" t="s">
        <v>1217</v>
      </c>
      <c r="E446" s="1" t="s">
        <v>1217</v>
      </c>
      <c r="F446" s="1" t="s">
        <v>1217</v>
      </c>
      <c r="G446" s="5"/>
      <c r="H446" s="1" t="s">
        <v>1217</v>
      </c>
      <c r="I446" s="1" t="s">
        <v>1217</v>
      </c>
      <c r="J446" s="1" t="s">
        <v>1217</v>
      </c>
      <c r="K446" s="1" t="s">
        <v>1218</v>
      </c>
      <c r="L446" s="3">
        <v>10</v>
      </c>
      <c r="M446" s="3">
        <f t="shared" si="6"/>
        <v>10</v>
      </c>
    </row>
    <row r="447" spans="1:13" x14ac:dyDescent="0.35">
      <c r="A447" s="1" t="s">
        <v>214</v>
      </c>
      <c r="B447" s="1">
        <v>138480</v>
      </c>
      <c r="C447" s="1">
        <v>22230</v>
      </c>
      <c r="D447" s="1">
        <v>43</v>
      </c>
      <c r="E447" s="1">
        <v>0</v>
      </c>
      <c r="F447" s="1">
        <v>12233.14</v>
      </c>
      <c r="G447" s="5">
        <v>602.59</v>
      </c>
      <c r="H447" s="1">
        <v>10038.280000000001</v>
      </c>
      <c r="I447" s="1">
        <v>2194.86</v>
      </c>
      <c r="J447" s="1">
        <v>0</v>
      </c>
      <c r="K447" s="1" t="s">
        <v>1216</v>
      </c>
      <c r="L447" s="3">
        <v>856.74</v>
      </c>
      <c r="M447" s="3">
        <f t="shared" si="6"/>
        <v>254.14999999999998</v>
      </c>
    </row>
    <row r="448" spans="1:13" x14ac:dyDescent="0.35">
      <c r="A448" s="1" t="s">
        <v>214</v>
      </c>
      <c r="B448" s="1">
        <v>138480</v>
      </c>
      <c r="C448" s="1">
        <v>22230</v>
      </c>
      <c r="D448" s="1" t="s">
        <v>1217</v>
      </c>
      <c r="E448" s="1" t="s">
        <v>1217</v>
      </c>
      <c r="F448" s="1" t="s">
        <v>1217</v>
      </c>
      <c r="G448" s="5"/>
      <c r="H448" s="1" t="s">
        <v>1217</v>
      </c>
      <c r="I448" s="1" t="s">
        <v>1217</v>
      </c>
      <c r="J448" s="1" t="s">
        <v>1217</v>
      </c>
      <c r="K448" s="1" t="s">
        <v>1218</v>
      </c>
      <c r="L448" s="3">
        <v>10</v>
      </c>
      <c r="M448" s="3">
        <f t="shared" si="6"/>
        <v>10</v>
      </c>
    </row>
    <row r="449" spans="1:13" x14ac:dyDescent="0.35">
      <c r="A449" s="1" t="s">
        <v>199</v>
      </c>
      <c r="B449" s="1">
        <v>140643</v>
      </c>
      <c r="C449" s="1">
        <v>23116</v>
      </c>
      <c r="D449" s="1">
        <v>30</v>
      </c>
      <c r="E449" s="1">
        <v>0</v>
      </c>
      <c r="F449" s="1">
        <v>5305.43</v>
      </c>
      <c r="G449" s="5">
        <v>124.57</v>
      </c>
      <c r="H449" s="1">
        <v>557.89</v>
      </c>
      <c r="I449" s="1">
        <v>4747.54</v>
      </c>
      <c r="J449" s="1">
        <v>0</v>
      </c>
      <c r="K449" s="1" t="s">
        <v>1216</v>
      </c>
      <c r="L449" s="3">
        <v>378.72</v>
      </c>
      <c r="M449" s="3">
        <f t="shared" si="6"/>
        <v>254.15000000000003</v>
      </c>
    </row>
    <row r="450" spans="1:13" x14ac:dyDescent="0.35">
      <c r="A450" s="1" t="s">
        <v>199</v>
      </c>
      <c r="B450" s="1">
        <v>140643</v>
      </c>
      <c r="C450" s="1">
        <v>23116</v>
      </c>
      <c r="D450" s="1" t="s">
        <v>1217</v>
      </c>
      <c r="E450" s="1" t="s">
        <v>1217</v>
      </c>
      <c r="F450" s="1" t="s">
        <v>1217</v>
      </c>
      <c r="G450" s="5"/>
      <c r="H450" s="1" t="s">
        <v>1217</v>
      </c>
      <c r="I450" s="1" t="s">
        <v>1217</v>
      </c>
      <c r="J450" s="1" t="s">
        <v>1217</v>
      </c>
      <c r="K450" s="1" t="s">
        <v>1218</v>
      </c>
      <c r="L450" s="3">
        <v>10</v>
      </c>
      <c r="M450" s="3">
        <f t="shared" ref="M450:M513" si="7">+L450-G450</f>
        <v>10</v>
      </c>
    </row>
    <row r="451" spans="1:13" x14ac:dyDescent="0.35">
      <c r="A451" s="1" t="s">
        <v>102</v>
      </c>
      <c r="B451" s="1">
        <v>131763</v>
      </c>
      <c r="C451" s="1">
        <v>21795</v>
      </c>
      <c r="D451" s="1">
        <v>22</v>
      </c>
      <c r="E451" s="1">
        <v>0</v>
      </c>
      <c r="F451" s="1">
        <v>3176.66</v>
      </c>
      <c r="G451" s="5"/>
      <c r="H451" s="1">
        <v>691.57</v>
      </c>
      <c r="I451" s="1">
        <v>2485.09</v>
      </c>
      <c r="J451" s="1">
        <v>0</v>
      </c>
      <c r="K451" s="1" t="s">
        <v>1216</v>
      </c>
      <c r="L451" s="3">
        <v>254.15</v>
      </c>
      <c r="M451" s="3">
        <f t="shared" si="7"/>
        <v>254.15</v>
      </c>
    </row>
    <row r="452" spans="1:13" x14ac:dyDescent="0.35">
      <c r="A452" s="1" t="s">
        <v>102</v>
      </c>
      <c r="B452" s="1">
        <v>131763</v>
      </c>
      <c r="C452" s="1">
        <v>21795</v>
      </c>
      <c r="D452" s="1" t="s">
        <v>1217</v>
      </c>
      <c r="E452" s="1" t="s">
        <v>1217</v>
      </c>
      <c r="F452" s="1" t="s">
        <v>1217</v>
      </c>
      <c r="G452" s="5"/>
      <c r="H452" s="1" t="s">
        <v>1217</v>
      </c>
      <c r="I452" s="1" t="s">
        <v>1217</v>
      </c>
      <c r="J452" s="1" t="s">
        <v>1217</v>
      </c>
      <c r="K452" s="1" t="s">
        <v>1218</v>
      </c>
      <c r="L452" s="3">
        <v>10</v>
      </c>
      <c r="M452" s="3">
        <f t="shared" si="7"/>
        <v>10</v>
      </c>
    </row>
    <row r="453" spans="1:13" x14ac:dyDescent="0.35">
      <c r="A453" s="1" t="s">
        <v>218</v>
      </c>
      <c r="B453" s="1">
        <v>140642</v>
      </c>
      <c r="C453" s="1">
        <v>23115</v>
      </c>
      <c r="D453" s="1">
        <v>33</v>
      </c>
      <c r="E453" s="1">
        <v>0</v>
      </c>
      <c r="F453" s="1">
        <v>12096.9</v>
      </c>
      <c r="G453" s="5">
        <v>317.19</v>
      </c>
      <c r="H453" s="1">
        <v>6497.41</v>
      </c>
      <c r="I453" s="1">
        <v>5599.49</v>
      </c>
      <c r="J453" s="1">
        <v>0</v>
      </c>
      <c r="K453" s="1" t="s">
        <v>1224</v>
      </c>
      <c r="L453" s="3">
        <v>741.34</v>
      </c>
      <c r="M453" s="3">
        <f t="shared" si="7"/>
        <v>424.15000000000003</v>
      </c>
    </row>
    <row r="454" spans="1:13" x14ac:dyDescent="0.35">
      <c r="A454" s="1" t="s">
        <v>218</v>
      </c>
      <c r="B454" s="1">
        <v>140642</v>
      </c>
      <c r="C454" s="1">
        <v>23115</v>
      </c>
      <c r="D454" s="1" t="s">
        <v>1217</v>
      </c>
      <c r="E454" s="1" t="s">
        <v>1217</v>
      </c>
      <c r="F454" s="1" t="s">
        <v>1217</v>
      </c>
      <c r="G454" s="5"/>
      <c r="H454" s="1" t="s">
        <v>1217</v>
      </c>
      <c r="I454" s="1" t="s">
        <v>1217</v>
      </c>
      <c r="J454" s="1" t="s">
        <v>1217</v>
      </c>
      <c r="K454" s="1" t="s">
        <v>1218</v>
      </c>
      <c r="L454" s="3">
        <v>10</v>
      </c>
      <c r="M454" s="3">
        <f t="shared" si="7"/>
        <v>10</v>
      </c>
    </row>
    <row r="455" spans="1:13" x14ac:dyDescent="0.35">
      <c r="A455" s="1" t="s">
        <v>159</v>
      </c>
      <c r="B455" s="1">
        <v>131769</v>
      </c>
      <c r="C455" s="1">
        <v>21831</v>
      </c>
      <c r="D455" s="1">
        <v>26</v>
      </c>
      <c r="E455" s="1">
        <v>0</v>
      </c>
      <c r="F455" s="1">
        <v>1393.76</v>
      </c>
      <c r="G455" s="5"/>
      <c r="H455" s="1">
        <v>232.71</v>
      </c>
      <c r="I455" s="1">
        <v>1161.05</v>
      </c>
      <c r="J455" s="1">
        <v>0</v>
      </c>
      <c r="K455" s="1" t="s">
        <v>1224</v>
      </c>
      <c r="L455" s="3">
        <v>424.15</v>
      </c>
      <c r="M455" s="3">
        <f t="shared" si="7"/>
        <v>424.15</v>
      </c>
    </row>
    <row r="456" spans="1:13" x14ac:dyDescent="0.35">
      <c r="A456" s="1" t="s">
        <v>159</v>
      </c>
      <c r="B456" s="1">
        <v>131769</v>
      </c>
      <c r="C456" s="1">
        <v>21831</v>
      </c>
      <c r="D456" s="1" t="s">
        <v>1217</v>
      </c>
      <c r="E456" s="1" t="s">
        <v>1217</v>
      </c>
      <c r="F456" s="1" t="s">
        <v>1217</v>
      </c>
      <c r="G456" s="5"/>
      <c r="H456" s="1" t="s">
        <v>1217</v>
      </c>
      <c r="I456" s="1" t="s">
        <v>1217</v>
      </c>
      <c r="J456" s="1" t="s">
        <v>1217</v>
      </c>
      <c r="K456" s="1" t="s">
        <v>1218</v>
      </c>
      <c r="L456" s="3">
        <v>10</v>
      </c>
      <c r="M456" s="3">
        <f t="shared" si="7"/>
        <v>10</v>
      </c>
    </row>
    <row r="457" spans="1:13" x14ac:dyDescent="0.35">
      <c r="A457" s="1" t="s">
        <v>232</v>
      </c>
      <c r="B457" s="1">
        <v>147129</v>
      </c>
      <c r="C457" s="1">
        <v>9504</v>
      </c>
      <c r="D457" s="1">
        <v>10</v>
      </c>
      <c r="E457" s="1">
        <v>0</v>
      </c>
      <c r="F457" s="1">
        <v>2219.7800000000002</v>
      </c>
      <c r="G457" s="5"/>
      <c r="H457" s="1">
        <v>347.96</v>
      </c>
      <c r="I457" s="1">
        <v>1871.82</v>
      </c>
      <c r="J457" s="1">
        <v>0</v>
      </c>
      <c r="K457" s="1" t="s">
        <v>1216</v>
      </c>
      <c r="L457" s="3">
        <v>254.15</v>
      </c>
      <c r="M457" s="3">
        <f t="shared" si="7"/>
        <v>254.15</v>
      </c>
    </row>
    <row r="458" spans="1:13" x14ac:dyDescent="0.35">
      <c r="A458" s="1" t="s">
        <v>232</v>
      </c>
      <c r="B458" s="1">
        <v>147129</v>
      </c>
      <c r="C458" s="1">
        <v>9504</v>
      </c>
      <c r="D458" s="1" t="s">
        <v>1217</v>
      </c>
      <c r="E458" s="1" t="s">
        <v>1217</v>
      </c>
      <c r="F458" s="1" t="s">
        <v>1217</v>
      </c>
      <c r="G458" s="5"/>
      <c r="H458" s="1" t="s">
        <v>1217</v>
      </c>
      <c r="I458" s="1" t="s">
        <v>1217</v>
      </c>
      <c r="J458" s="1" t="s">
        <v>1217</v>
      </c>
      <c r="K458" s="1" t="s">
        <v>1218</v>
      </c>
      <c r="L458" s="3">
        <v>10</v>
      </c>
      <c r="M458" s="3">
        <f t="shared" si="7"/>
        <v>10</v>
      </c>
    </row>
    <row r="459" spans="1:13" x14ac:dyDescent="0.35">
      <c r="A459" s="1" t="s">
        <v>216</v>
      </c>
      <c r="B459" s="1">
        <v>131770</v>
      </c>
      <c r="C459" s="1">
        <v>21830</v>
      </c>
      <c r="D459" s="1">
        <v>24</v>
      </c>
      <c r="E459" s="1">
        <v>0</v>
      </c>
      <c r="F459" s="1">
        <v>4028.11</v>
      </c>
      <c r="G459" s="5">
        <v>36.44</v>
      </c>
      <c r="H459" s="1">
        <v>2659.34</v>
      </c>
      <c r="I459" s="1">
        <v>1368.77</v>
      </c>
      <c r="J459" s="1">
        <v>0</v>
      </c>
      <c r="K459" s="1" t="s">
        <v>1216</v>
      </c>
      <c r="L459" s="3">
        <v>290.58999999999997</v>
      </c>
      <c r="M459" s="3">
        <f t="shared" si="7"/>
        <v>254.14999999999998</v>
      </c>
    </row>
    <row r="460" spans="1:13" x14ac:dyDescent="0.35">
      <c r="A460" s="1" t="s">
        <v>216</v>
      </c>
      <c r="B460" s="1">
        <v>131770</v>
      </c>
      <c r="C460" s="1">
        <v>21830</v>
      </c>
      <c r="D460" s="1" t="s">
        <v>1217</v>
      </c>
      <c r="E460" s="1" t="s">
        <v>1217</v>
      </c>
      <c r="F460" s="1" t="s">
        <v>1217</v>
      </c>
      <c r="G460" s="5"/>
      <c r="H460" s="1" t="s">
        <v>1217</v>
      </c>
      <c r="I460" s="1" t="s">
        <v>1217</v>
      </c>
      <c r="J460" s="1" t="s">
        <v>1217</v>
      </c>
      <c r="K460" s="1" t="s">
        <v>1218</v>
      </c>
      <c r="L460" s="3">
        <v>10</v>
      </c>
      <c r="M460" s="3">
        <f t="shared" si="7"/>
        <v>10</v>
      </c>
    </row>
    <row r="461" spans="1:13" x14ac:dyDescent="0.35">
      <c r="A461" s="1" t="s">
        <v>227</v>
      </c>
      <c r="B461" s="1">
        <v>139282</v>
      </c>
      <c r="C461" s="1">
        <v>22278</v>
      </c>
      <c r="D461" s="1">
        <v>57</v>
      </c>
      <c r="E461" s="1">
        <v>0</v>
      </c>
      <c r="F461" s="1">
        <v>24380.16</v>
      </c>
      <c r="G461" s="5"/>
      <c r="H461" s="1">
        <v>13864.45</v>
      </c>
      <c r="I461" s="1">
        <v>10515.71</v>
      </c>
      <c r="J461" s="1">
        <v>19428.43</v>
      </c>
      <c r="K461" s="1" t="s">
        <v>1227</v>
      </c>
      <c r="L461" s="3">
        <v>1571.65</v>
      </c>
      <c r="M461" s="3">
        <f t="shared" si="7"/>
        <v>1571.65</v>
      </c>
    </row>
    <row r="462" spans="1:13" x14ac:dyDescent="0.35">
      <c r="A462" s="1" t="s">
        <v>227</v>
      </c>
      <c r="B462" s="1">
        <v>139282</v>
      </c>
      <c r="C462" s="1">
        <v>22278</v>
      </c>
      <c r="D462" s="1" t="s">
        <v>1217</v>
      </c>
      <c r="E462" s="1" t="s">
        <v>1217</v>
      </c>
      <c r="F462" s="1" t="s">
        <v>1217</v>
      </c>
      <c r="G462" s="5"/>
      <c r="H462" s="1" t="s">
        <v>1217</v>
      </c>
      <c r="I462" s="1" t="s">
        <v>1217</v>
      </c>
      <c r="J462" s="1" t="s">
        <v>1217</v>
      </c>
      <c r="K462" s="1" t="s">
        <v>1218</v>
      </c>
      <c r="L462" s="3">
        <v>10</v>
      </c>
      <c r="M462" s="3">
        <f t="shared" si="7"/>
        <v>10</v>
      </c>
    </row>
    <row r="463" spans="1:13" x14ac:dyDescent="0.35">
      <c r="A463" s="1" t="s">
        <v>486</v>
      </c>
      <c r="B463" s="1">
        <v>134212</v>
      </c>
      <c r="C463" s="1">
        <v>21055</v>
      </c>
      <c r="D463" s="1">
        <v>12</v>
      </c>
      <c r="E463" s="1">
        <v>0</v>
      </c>
      <c r="F463" s="1">
        <v>1510.68</v>
      </c>
      <c r="G463" s="5"/>
      <c r="H463" s="1">
        <v>4.33</v>
      </c>
      <c r="I463" s="1">
        <v>1506.35</v>
      </c>
      <c r="J463" s="1">
        <v>0</v>
      </c>
      <c r="K463" s="1" t="s">
        <v>1216</v>
      </c>
      <c r="L463" s="3">
        <v>254.15</v>
      </c>
      <c r="M463" s="3">
        <f t="shared" si="7"/>
        <v>254.15</v>
      </c>
    </row>
    <row r="464" spans="1:13" x14ac:dyDescent="0.35">
      <c r="A464" s="1" t="s">
        <v>486</v>
      </c>
      <c r="B464" s="1">
        <v>134212</v>
      </c>
      <c r="C464" s="1">
        <v>21055</v>
      </c>
      <c r="D464" s="1" t="s">
        <v>1217</v>
      </c>
      <c r="E464" s="1" t="s">
        <v>1217</v>
      </c>
      <c r="F464" s="1" t="s">
        <v>1217</v>
      </c>
      <c r="G464" s="5"/>
      <c r="H464" s="1" t="s">
        <v>1217</v>
      </c>
      <c r="I464" s="1" t="s">
        <v>1217</v>
      </c>
      <c r="J464" s="1" t="s">
        <v>1217</v>
      </c>
      <c r="K464" s="1" t="s">
        <v>1218</v>
      </c>
      <c r="L464" s="3">
        <v>10</v>
      </c>
      <c r="M464" s="3">
        <f t="shared" si="7"/>
        <v>10</v>
      </c>
    </row>
    <row r="465" spans="1:13" x14ac:dyDescent="0.35">
      <c r="A465" s="1" t="s">
        <v>679</v>
      </c>
      <c r="B465" s="1">
        <v>158059</v>
      </c>
      <c r="C465" s="1">
        <v>29095</v>
      </c>
      <c r="D465" s="1">
        <v>9</v>
      </c>
      <c r="E465" s="1">
        <v>0</v>
      </c>
      <c r="F465" s="1">
        <v>326.5</v>
      </c>
      <c r="G465" s="5"/>
      <c r="H465" s="1">
        <v>0</v>
      </c>
      <c r="I465" s="1">
        <v>326.5</v>
      </c>
      <c r="J465" s="1">
        <v>0</v>
      </c>
      <c r="K465" s="1" t="s">
        <v>1216</v>
      </c>
      <c r="L465" s="3">
        <v>254.15</v>
      </c>
      <c r="M465" s="3">
        <f t="shared" si="7"/>
        <v>254.15</v>
      </c>
    </row>
    <row r="466" spans="1:13" x14ac:dyDescent="0.35">
      <c r="A466" s="1" t="s">
        <v>679</v>
      </c>
      <c r="B466" s="1">
        <v>158059</v>
      </c>
      <c r="C466" s="1">
        <v>29095</v>
      </c>
      <c r="D466" s="1" t="s">
        <v>1217</v>
      </c>
      <c r="E466" s="1" t="s">
        <v>1217</v>
      </c>
      <c r="F466" s="1" t="s">
        <v>1217</v>
      </c>
      <c r="G466" s="5"/>
      <c r="H466" s="1" t="s">
        <v>1217</v>
      </c>
      <c r="I466" s="1" t="s">
        <v>1217</v>
      </c>
      <c r="J466" s="1" t="s">
        <v>1217</v>
      </c>
      <c r="K466" s="1" t="s">
        <v>1218</v>
      </c>
      <c r="L466" s="3">
        <v>10</v>
      </c>
      <c r="M466" s="3">
        <f t="shared" si="7"/>
        <v>10</v>
      </c>
    </row>
    <row r="467" spans="1:13" x14ac:dyDescent="0.35">
      <c r="A467" s="1" t="s">
        <v>489</v>
      </c>
      <c r="B467" s="1">
        <v>134214</v>
      </c>
      <c r="C467" s="1">
        <v>20587</v>
      </c>
      <c r="D467" s="1">
        <v>12</v>
      </c>
      <c r="E467" s="1">
        <v>0</v>
      </c>
      <c r="F467" s="1">
        <v>4459.16</v>
      </c>
      <c r="G467" s="5">
        <v>66.180000000000007</v>
      </c>
      <c r="H467" s="1">
        <v>9.67</v>
      </c>
      <c r="I467" s="1">
        <v>4449.49</v>
      </c>
      <c r="J467" s="1">
        <v>0</v>
      </c>
      <c r="K467" s="1" t="s">
        <v>1216</v>
      </c>
      <c r="L467" s="3">
        <v>320.33</v>
      </c>
      <c r="M467" s="3">
        <f t="shared" si="7"/>
        <v>254.14999999999998</v>
      </c>
    </row>
    <row r="468" spans="1:13" x14ac:dyDescent="0.35">
      <c r="A468" s="1" t="s">
        <v>489</v>
      </c>
      <c r="B468" s="1">
        <v>134214</v>
      </c>
      <c r="C468" s="1">
        <v>20587</v>
      </c>
      <c r="D468" s="1" t="s">
        <v>1217</v>
      </c>
      <c r="E468" s="1" t="s">
        <v>1217</v>
      </c>
      <c r="F468" s="1" t="s">
        <v>1217</v>
      </c>
      <c r="G468" s="5"/>
      <c r="H468" s="1" t="s">
        <v>1217</v>
      </c>
      <c r="I468" s="1" t="s">
        <v>1217</v>
      </c>
      <c r="J468" s="1" t="s">
        <v>1217</v>
      </c>
      <c r="K468" s="1" t="s">
        <v>1218</v>
      </c>
      <c r="L468" s="3">
        <v>10</v>
      </c>
      <c r="M468" s="3">
        <f t="shared" si="7"/>
        <v>10</v>
      </c>
    </row>
    <row r="469" spans="1:13" x14ac:dyDescent="0.35">
      <c r="A469" s="1" t="s">
        <v>604</v>
      </c>
      <c r="B469" s="1">
        <v>159517</v>
      </c>
      <c r="C469" s="1">
        <v>29204</v>
      </c>
      <c r="D469" s="1">
        <v>28</v>
      </c>
      <c r="E469" s="1">
        <v>0</v>
      </c>
      <c r="F469" s="1">
        <v>577.61</v>
      </c>
      <c r="G469" s="5"/>
      <c r="H469" s="1">
        <v>351.72</v>
      </c>
      <c r="I469" s="1">
        <v>225.89</v>
      </c>
      <c r="J469" s="1">
        <v>239.57</v>
      </c>
      <c r="K469" s="1" t="s">
        <v>1229</v>
      </c>
      <c r="L469" s="3">
        <v>1274.1500000000001</v>
      </c>
      <c r="M469" s="3">
        <f t="shared" si="7"/>
        <v>1274.1500000000001</v>
      </c>
    </row>
    <row r="470" spans="1:13" x14ac:dyDescent="0.35">
      <c r="A470" s="1" t="s">
        <v>604</v>
      </c>
      <c r="B470" s="1">
        <v>159517</v>
      </c>
      <c r="C470" s="1">
        <v>29204</v>
      </c>
      <c r="D470" s="1" t="s">
        <v>1217</v>
      </c>
      <c r="E470" s="1" t="s">
        <v>1217</v>
      </c>
      <c r="F470" s="1" t="s">
        <v>1217</v>
      </c>
      <c r="G470" s="5"/>
      <c r="H470" s="1" t="s">
        <v>1217</v>
      </c>
      <c r="I470" s="1" t="s">
        <v>1217</v>
      </c>
      <c r="J470" s="1" t="s">
        <v>1217</v>
      </c>
      <c r="K470" s="1" t="s">
        <v>1218</v>
      </c>
      <c r="L470" s="3">
        <v>10</v>
      </c>
      <c r="M470" s="3">
        <f t="shared" si="7"/>
        <v>10</v>
      </c>
    </row>
    <row r="471" spans="1:13" x14ac:dyDescent="0.35">
      <c r="A471" s="1" t="s">
        <v>112</v>
      </c>
      <c r="B471" s="1">
        <v>119133</v>
      </c>
      <c r="C471" s="1">
        <v>4545</v>
      </c>
      <c r="D471" s="1">
        <v>28</v>
      </c>
      <c r="E471" s="1">
        <v>0</v>
      </c>
      <c r="F471" s="1">
        <v>6999.72</v>
      </c>
      <c r="G471" s="5"/>
      <c r="H471" s="1">
        <v>4486.6000000000004</v>
      </c>
      <c r="I471" s="1">
        <v>2513.12</v>
      </c>
      <c r="J471" s="1">
        <v>6523.78</v>
      </c>
      <c r="K471" s="1" t="s">
        <v>1258</v>
      </c>
      <c r="L471" s="3">
        <v>489</v>
      </c>
      <c r="M471" s="3">
        <f t="shared" si="7"/>
        <v>489</v>
      </c>
    </row>
    <row r="472" spans="1:13" x14ac:dyDescent="0.35">
      <c r="A472" s="1" t="s">
        <v>112</v>
      </c>
      <c r="B472" s="1">
        <v>119133</v>
      </c>
      <c r="C472" s="1">
        <v>4545</v>
      </c>
      <c r="D472" s="1" t="s">
        <v>1217</v>
      </c>
      <c r="E472" s="1" t="s">
        <v>1217</v>
      </c>
      <c r="F472" s="1" t="s">
        <v>1217</v>
      </c>
      <c r="G472" s="5"/>
      <c r="H472" s="1" t="s">
        <v>1217</v>
      </c>
      <c r="I472" s="1" t="s">
        <v>1217</v>
      </c>
      <c r="J472" s="1" t="s">
        <v>1217</v>
      </c>
      <c r="K472" s="1" t="s">
        <v>1218</v>
      </c>
      <c r="L472" s="3">
        <v>10</v>
      </c>
      <c r="M472" s="3">
        <f t="shared" si="7"/>
        <v>10</v>
      </c>
    </row>
    <row r="473" spans="1:13" x14ac:dyDescent="0.35">
      <c r="A473" s="1" t="s">
        <v>542</v>
      </c>
      <c r="B473" s="1">
        <v>159022</v>
      </c>
      <c r="C473" s="1">
        <v>29348</v>
      </c>
      <c r="D473" s="1">
        <v>27</v>
      </c>
      <c r="E473" s="1">
        <v>0</v>
      </c>
      <c r="F473" s="1">
        <v>442.87</v>
      </c>
      <c r="G473" s="5"/>
      <c r="H473" s="1">
        <v>52.31</v>
      </c>
      <c r="I473" s="1">
        <v>390.56</v>
      </c>
      <c r="J473" s="1">
        <v>0</v>
      </c>
      <c r="K473" s="1" t="s">
        <v>1224</v>
      </c>
      <c r="L473" s="3">
        <v>424.15</v>
      </c>
      <c r="M473" s="3">
        <f t="shared" si="7"/>
        <v>424.15</v>
      </c>
    </row>
    <row r="474" spans="1:13" x14ac:dyDescent="0.35">
      <c r="A474" s="1" t="s">
        <v>542</v>
      </c>
      <c r="B474" s="1">
        <v>159022</v>
      </c>
      <c r="C474" s="1">
        <v>29348</v>
      </c>
      <c r="D474" s="1" t="s">
        <v>1217</v>
      </c>
      <c r="E474" s="1" t="s">
        <v>1217</v>
      </c>
      <c r="F474" s="1" t="s">
        <v>1217</v>
      </c>
      <c r="G474" s="5"/>
      <c r="H474" s="1" t="s">
        <v>1217</v>
      </c>
      <c r="I474" s="1" t="s">
        <v>1217</v>
      </c>
      <c r="J474" s="1" t="s">
        <v>1217</v>
      </c>
      <c r="K474" s="1" t="s">
        <v>1218</v>
      </c>
      <c r="L474" s="3">
        <v>10</v>
      </c>
      <c r="M474" s="3">
        <f t="shared" si="7"/>
        <v>10</v>
      </c>
    </row>
    <row r="475" spans="1:13" x14ac:dyDescent="0.35">
      <c r="A475" s="1" t="s">
        <v>126</v>
      </c>
      <c r="B475" s="1">
        <v>90442</v>
      </c>
      <c r="C475" s="1">
        <v>18231</v>
      </c>
      <c r="D475" s="1">
        <v>5</v>
      </c>
      <c r="E475" s="1">
        <v>0</v>
      </c>
      <c r="F475" s="1">
        <v>0</v>
      </c>
      <c r="G475" s="5"/>
      <c r="H475" s="1">
        <v>0</v>
      </c>
      <c r="I475" s="1">
        <v>0</v>
      </c>
      <c r="J475" s="1">
        <v>0</v>
      </c>
      <c r="K475" s="1" t="s">
        <v>1255</v>
      </c>
      <c r="L475" s="3">
        <v>424.15</v>
      </c>
      <c r="M475" s="3">
        <f t="shared" si="7"/>
        <v>424.15</v>
      </c>
    </row>
    <row r="476" spans="1:13" x14ac:dyDescent="0.35">
      <c r="A476" s="1" t="s">
        <v>919</v>
      </c>
      <c r="B476" s="1">
        <v>43384</v>
      </c>
      <c r="C476" s="1">
        <v>7409</v>
      </c>
      <c r="D476" s="1">
        <v>1</v>
      </c>
      <c r="E476" s="1">
        <v>0</v>
      </c>
      <c r="F476" s="1">
        <v>23726.95</v>
      </c>
      <c r="G476" s="5"/>
      <c r="H476" s="1">
        <v>12679.73</v>
      </c>
      <c r="I476" s="1">
        <v>11047.22</v>
      </c>
      <c r="J476" s="1">
        <v>0</v>
      </c>
      <c r="K476" s="1" t="s">
        <v>1259</v>
      </c>
      <c r="L476" s="3">
        <v>471</v>
      </c>
      <c r="M476" s="3">
        <f t="shared" si="7"/>
        <v>471</v>
      </c>
    </row>
    <row r="477" spans="1:13" x14ac:dyDescent="0.35">
      <c r="A477" s="1" t="s">
        <v>919</v>
      </c>
      <c r="B477" s="1">
        <v>43384</v>
      </c>
      <c r="C477" s="1">
        <v>7409</v>
      </c>
      <c r="D477" s="1" t="s">
        <v>1217</v>
      </c>
      <c r="E477" s="1" t="s">
        <v>1217</v>
      </c>
      <c r="F477" s="1" t="s">
        <v>1217</v>
      </c>
      <c r="G477" s="5"/>
      <c r="H477" s="1" t="s">
        <v>1217</v>
      </c>
      <c r="I477" s="1" t="s">
        <v>1217</v>
      </c>
      <c r="J477" s="1" t="s">
        <v>1217</v>
      </c>
      <c r="K477" s="1" t="s">
        <v>1218</v>
      </c>
      <c r="L477" s="3">
        <v>10</v>
      </c>
      <c r="M477" s="3">
        <f t="shared" si="7"/>
        <v>10</v>
      </c>
    </row>
    <row r="478" spans="1:13" x14ac:dyDescent="0.35">
      <c r="A478" s="1" t="s">
        <v>395</v>
      </c>
      <c r="B478" s="1">
        <v>83339</v>
      </c>
      <c r="C478" s="1">
        <v>11195</v>
      </c>
      <c r="D478" s="1">
        <v>18</v>
      </c>
      <c r="E478" s="1">
        <v>0</v>
      </c>
      <c r="F478" s="1">
        <v>3702.75</v>
      </c>
      <c r="G478" s="5"/>
      <c r="H478" s="1">
        <v>18.36</v>
      </c>
      <c r="I478" s="1">
        <v>3684.39</v>
      </c>
      <c r="J478" s="1">
        <v>0</v>
      </c>
      <c r="K478" s="1" t="s">
        <v>1222</v>
      </c>
      <c r="L478" s="3">
        <v>129</v>
      </c>
      <c r="M478" s="3">
        <f t="shared" si="7"/>
        <v>129</v>
      </c>
    </row>
    <row r="479" spans="1:13" x14ac:dyDescent="0.35">
      <c r="A479" s="1" t="s">
        <v>395</v>
      </c>
      <c r="B479" s="1">
        <v>83339</v>
      </c>
      <c r="C479" s="1">
        <v>11195</v>
      </c>
      <c r="D479" s="1" t="s">
        <v>1217</v>
      </c>
      <c r="E479" s="1" t="s">
        <v>1217</v>
      </c>
      <c r="F479" s="1" t="s">
        <v>1217</v>
      </c>
      <c r="G479" s="5"/>
      <c r="H479" s="1" t="s">
        <v>1217</v>
      </c>
      <c r="I479" s="1" t="s">
        <v>1217</v>
      </c>
      <c r="J479" s="1" t="s">
        <v>1217</v>
      </c>
      <c r="K479" s="1" t="s">
        <v>1218</v>
      </c>
      <c r="L479" s="3">
        <v>10</v>
      </c>
      <c r="M479" s="3">
        <f t="shared" si="7"/>
        <v>10</v>
      </c>
    </row>
    <row r="480" spans="1:13" x14ac:dyDescent="0.35">
      <c r="A480" s="1" t="s">
        <v>928</v>
      </c>
      <c r="B480" s="1">
        <v>42452</v>
      </c>
      <c r="C480" s="1">
        <v>11238</v>
      </c>
      <c r="D480" s="1">
        <v>1</v>
      </c>
      <c r="E480" s="1">
        <v>0</v>
      </c>
      <c r="F480" s="1">
        <v>1564.71</v>
      </c>
      <c r="G480" s="5"/>
      <c r="H480" s="1">
        <v>0</v>
      </c>
      <c r="I480" s="1">
        <v>1564.71</v>
      </c>
      <c r="J480" s="1">
        <v>1462.54</v>
      </c>
      <c r="K480" s="1" t="s">
        <v>1222</v>
      </c>
      <c r="L480" s="3">
        <v>129</v>
      </c>
      <c r="M480" s="3">
        <f t="shared" si="7"/>
        <v>129</v>
      </c>
    </row>
    <row r="481" spans="1:13" x14ac:dyDescent="0.35">
      <c r="A481" s="1" t="s">
        <v>78</v>
      </c>
      <c r="B481" s="1">
        <v>99624</v>
      </c>
      <c r="C481" s="1">
        <v>4548</v>
      </c>
      <c r="D481" s="1">
        <v>2</v>
      </c>
      <c r="E481" s="1">
        <v>0</v>
      </c>
      <c r="F481" s="1">
        <v>42.65</v>
      </c>
      <c r="G481" s="5"/>
      <c r="H481" s="1">
        <v>9.66</v>
      </c>
      <c r="I481" s="1">
        <v>32.99</v>
      </c>
      <c r="J481" s="1">
        <v>0</v>
      </c>
      <c r="K481" s="1" t="s">
        <v>1222</v>
      </c>
      <c r="L481" s="3">
        <v>129</v>
      </c>
      <c r="M481" s="3">
        <f t="shared" si="7"/>
        <v>129</v>
      </c>
    </row>
    <row r="482" spans="1:13" x14ac:dyDescent="0.35">
      <c r="A482" s="1" t="s">
        <v>78</v>
      </c>
      <c r="B482" s="1">
        <v>99624</v>
      </c>
      <c r="C482" s="1">
        <v>4548</v>
      </c>
      <c r="D482" s="1" t="s">
        <v>1217</v>
      </c>
      <c r="E482" s="1" t="s">
        <v>1217</v>
      </c>
      <c r="F482" s="1" t="s">
        <v>1217</v>
      </c>
      <c r="G482" s="5"/>
      <c r="H482" s="1" t="s">
        <v>1217</v>
      </c>
      <c r="I482" s="1" t="s">
        <v>1217</v>
      </c>
      <c r="J482" s="1" t="s">
        <v>1217</v>
      </c>
      <c r="K482" s="1" t="s">
        <v>1218</v>
      </c>
      <c r="L482" s="3">
        <v>10</v>
      </c>
      <c r="M482" s="3">
        <f t="shared" si="7"/>
        <v>10</v>
      </c>
    </row>
    <row r="483" spans="1:13" x14ac:dyDescent="0.35">
      <c r="A483" s="1" t="s">
        <v>906</v>
      </c>
      <c r="B483" s="1">
        <v>145131</v>
      </c>
      <c r="C483" s="1">
        <v>25216</v>
      </c>
      <c r="D483" s="1">
        <v>128</v>
      </c>
      <c r="E483" s="1">
        <v>0</v>
      </c>
      <c r="F483" s="1">
        <v>10421.280000000001</v>
      </c>
      <c r="G483" s="5"/>
      <c r="H483" s="1">
        <v>7530.21</v>
      </c>
      <c r="I483" s="1">
        <v>2891.07</v>
      </c>
      <c r="J483" s="1">
        <v>5537.51</v>
      </c>
      <c r="K483" s="1" t="s">
        <v>1260</v>
      </c>
      <c r="L483" s="3">
        <v>1338</v>
      </c>
      <c r="M483" s="3">
        <f t="shared" si="7"/>
        <v>1338</v>
      </c>
    </row>
    <row r="484" spans="1:13" x14ac:dyDescent="0.35">
      <c r="A484" s="1" t="s">
        <v>906</v>
      </c>
      <c r="B484" s="1">
        <v>145131</v>
      </c>
      <c r="C484" s="1">
        <v>25216</v>
      </c>
      <c r="D484" s="1" t="s">
        <v>1217</v>
      </c>
      <c r="E484" s="1" t="s">
        <v>1217</v>
      </c>
      <c r="F484" s="1" t="s">
        <v>1217</v>
      </c>
      <c r="G484" s="5"/>
      <c r="H484" s="1" t="s">
        <v>1217</v>
      </c>
      <c r="I484" s="1" t="s">
        <v>1217</v>
      </c>
      <c r="J484" s="1" t="s">
        <v>1217</v>
      </c>
      <c r="K484" s="1" t="s">
        <v>1261</v>
      </c>
      <c r="L484" s="3">
        <v>299</v>
      </c>
      <c r="M484" s="3">
        <f t="shared" si="7"/>
        <v>299</v>
      </c>
    </row>
    <row r="485" spans="1:13" x14ac:dyDescent="0.35">
      <c r="A485" s="1" t="s">
        <v>906</v>
      </c>
      <c r="B485" s="1">
        <v>145131</v>
      </c>
      <c r="C485" s="1">
        <v>25216</v>
      </c>
      <c r="D485" s="1" t="s">
        <v>1217</v>
      </c>
      <c r="E485" s="1" t="s">
        <v>1217</v>
      </c>
      <c r="F485" s="1" t="s">
        <v>1217</v>
      </c>
      <c r="G485" s="5"/>
      <c r="H485" s="1" t="s">
        <v>1217</v>
      </c>
      <c r="I485" s="1" t="s">
        <v>1217</v>
      </c>
      <c r="J485" s="1" t="s">
        <v>1217</v>
      </c>
      <c r="K485" s="1" t="s">
        <v>1218</v>
      </c>
      <c r="L485" s="3">
        <v>10</v>
      </c>
      <c r="M485" s="3">
        <f t="shared" si="7"/>
        <v>10</v>
      </c>
    </row>
    <row r="486" spans="1:13" x14ac:dyDescent="0.35">
      <c r="A486" s="1" t="s">
        <v>443</v>
      </c>
      <c r="B486" s="1">
        <v>188199</v>
      </c>
      <c r="C486" s="1">
        <v>24697</v>
      </c>
      <c r="D486" s="1">
        <v>11</v>
      </c>
      <c r="E486" s="1">
        <v>0</v>
      </c>
      <c r="F486" s="1">
        <v>489.28</v>
      </c>
      <c r="G486" s="5"/>
      <c r="H486" s="1">
        <v>171.96</v>
      </c>
      <c r="I486" s="1">
        <v>317.32</v>
      </c>
      <c r="J486" s="1">
        <v>0</v>
      </c>
      <c r="K486" s="1" t="s">
        <v>1238</v>
      </c>
      <c r="L486" s="3">
        <v>419</v>
      </c>
      <c r="M486" s="3">
        <f t="shared" si="7"/>
        <v>419</v>
      </c>
    </row>
    <row r="487" spans="1:13" x14ac:dyDescent="0.35">
      <c r="A487" s="1" t="s">
        <v>443</v>
      </c>
      <c r="B487" s="1">
        <v>188199</v>
      </c>
      <c r="C487" s="1">
        <v>24697</v>
      </c>
      <c r="D487" s="1" t="s">
        <v>1217</v>
      </c>
      <c r="E487" s="1" t="s">
        <v>1217</v>
      </c>
      <c r="F487" s="1" t="s">
        <v>1217</v>
      </c>
      <c r="G487" s="5"/>
      <c r="H487" s="1" t="s">
        <v>1217</v>
      </c>
      <c r="I487" s="1" t="s">
        <v>1217</v>
      </c>
      <c r="J487" s="1" t="s">
        <v>1217</v>
      </c>
      <c r="K487" s="1" t="s">
        <v>1218</v>
      </c>
      <c r="L487" s="3">
        <v>10</v>
      </c>
      <c r="M487" s="3">
        <f t="shared" si="7"/>
        <v>10</v>
      </c>
    </row>
    <row r="488" spans="1:13" x14ac:dyDescent="0.35">
      <c r="A488" s="1" t="s">
        <v>129</v>
      </c>
      <c r="B488" s="1">
        <v>81644</v>
      </c>
      <c r="C488" s="1">
        <v>17721</v>
      </c>
      <c r="D488" s="1">
        <v>107</v>
      </c>
      <c r="E488" s="1">
        <v>1</v>
      </c>
      <c r="F488" s="1">
        <v>16020.29</v>
      </c>
      <c r="G488" s="5"/>
      <c r="H488" s="1">
        <v>10061.379999999999</v>
      </c>
      <c r="I488" s="1">
        <v>5958.91</v>
      </c>
      <c r="J488" s="1">
        <v>7471.27</v>
      </c>
      <c r="K488" s="1" t="s">
        <v>1226</v>
      </c>
      <c r="L488" s="3">
        <v>1571.65</v>
      </c>
      <c r="M488" s="3">
        <f t="shared" si="7"/>
        <v>1571.65</v>
      </c>
    </row>
    <row r="489" spans="1:13" x14ac:dyDescent="0.35">
      <c r="A489" s="1" t="s">
        <v>129</v>
      </c>
      <c r="B489" s="1">
        <v>81644</v>
      </c>
      <c r="C489" s="1">
        <v>17721</v>
      </c>
      <c r="D489" s="1" t="s">
        <v>1217</v>
      </c>
      <c r="E489" s="1" t="s">
        <v>1217</v>
      </c>
      <c r="F489" s="1" t="s">
        <v>1217</v>
      </c>
      <c r="G489" s="5"/>
      <c r="H489" s="1" t="s">
        <v>1217</v>
      </c>
      <c r="I489" s="1" t="s">
        <v>1217</v>
      </c>
      <c r="J489" s="1" t="s">
        <v>1217</v>
      </c>
      <c r="K489" s="1" t="s">
        <v>1218</v>
      </c>
      <c r="L489" s="3">
        <v>10</v>
      </c>
      <c r="M489" s="3">
        <f t="shared" si="7"/>
        <v>10</v>
      </c>
    </row>
    <row r="490" spans="1:13" x14ac:dyDescent="0.35">
      <c r="A490" s="1" t="s">
        <v>717</v>
      </c>
      <c r="B490" s="1">
        <v>116981</v>
      </c>
      <c r="C490" s="1">
        <v>18705</v>
      </c>
      <c r="D490" s="1">
        <v>12</v>
      </c>
      <c r="E490" s="1">
        <v>0</v>
      </c>
      <c r="F490" s="1">
        <v>0</v>
      </c>
      <c r="G490" s="5"/>
      <c r="H490" s="1">
        <v>0</v>
      </c>
      <c r="I490" s="1">
        <v>0</v>
      </c>
      <c r="J490" s="1">
        <v>0</v>
      </c>
      <c r="K490" s="1" t="s">
        <v>1216</v>
      </c>
      <c r="L490" s="3">
        <v>254.15</v>
      </c>
      <c r="M490" s="3">
        <f t="shared" si="7"/>
        <v>254.15</v>
      </c>
    </row>
    <row r="491" spans="1:13" x14ac:dyDescent="0.35">
      <c r="A491" s="1" t="s">
        <v>396</v>
      </c>
      <c r="B491" s="1">
        <v>77184</v>
      </c>
      <c r="C491" s="1">
        <v>17386</v>
      </c>
      <c r="D491" s="1">
        <v>9</v>
      </c>
      <c r="E491" s="1">
        <v>0</v>
      </c>
      <c r="F491" s="1">
        <v>43.72</v>
      </c>
      <c r="G491" s="5"/>
      <c r="H491" s="1">
        <v>43.72</v>
      </c>
      <c r="I491" s="1">
        <v>0</v>
      </c>
      <c r="J491" s="1">
        <v>0</v>
      </c>
      <c r="K491" s="1" t="s">
        <v>1212</v>
      </c>
      <c r="L491" s="3">
        <v>254.15</v>
      </c>
      <c r="M491" s="3">
        <f t="shared" si="7"/>
        <v>254.15</v>
      </c>
    </row>
    <row r="492" spans="1:13" x14ac:dyDescent="0.35">
      <c r="A492" s="1" t="s">
        <v>827</v>
      </c>
      <c r="B492" s="1">
        <v>78775</v>
      </c>
      <c r="C492" s="1">
        <v>17380</v>
      </c>
      <c r="D492" s="1">
        <v>23</v>
      </c>
      <c r="E492" s="1">
        <v>0</v>
      </c>
      <c r="F492" s="1">
        <v>7220.55</v>
      </c>
      <c r="G492" s="5"/>
      <c r="H492" s="1">
        <v>708.22</v>
      </c>
      <c r="I492" s="1">
        <v>6512.33</v>
      </c>
      <c r="J492" s="1">
        <v>0</v>
      </c>
      <c r="K492" s="1" t="s">
        <v>1255</v>
      </c>
      <c r="L492" s="3">
        <v>424.15</v>
      </c>
      <c r="M492" s="3">
        <f t="shared" si="7"/>
        <v>424.15</v>
      </c>
    </row>
    <row r="493" spans="1:13" x14ac:dyDescent="0.35">
      <c r="A493" s="1" t="s">
        <v>827</v>
      </c>
      <c r="B493" s="1">
        <v>78775</v>
      </c>
      <c r="C493" s="1">
        <v>17380</v>
      </c>
      <c r="D493" s="1" t="s">
        <v>1217</v>
      </c>
      <c r="E493" s="1" t="s">
        <v>1217</v>
      </c>
      <c r="F493" s="1" t="s">
        <v>1217</v>
      </c>
      <c r="G493" s="5"/>
      <c r="H493" s="1" t="s">
        <v>1217</v>
      </c>
      <c r="I493" s="1" t="s">
        <v>1217</v>
      </c>
      <c r="J493" s="1" t="s">
        <v>1217</v>
      </c>
      <c r="K493" s="1" t="s">
        <v>1218</v>
      </c>
      <c r="L493" s="3">
        <v>10</v>
      </c>
      <c r="M493" s="3">
        <f t="shared" si="7"/>
        <v>10</v>
      </c>
    </row>
    <row r="494" spans="1:13" x14ac:dyDescent="0.35">
      <c r="A494" s="1" t="s">
        <v>816</v>
      </c>
      <c r="B494" s="1">
        <v>78776</v>
      </c>
      <c r="C494" s="1">
        <v>17383</v>
      </c>
      <c r="D494" s="1">
        <v>24</v>
      </c>
      <c r="E494" s="1">
        <v>0</v>
      </c>
      <c r="F494" s="1">
        <v>1838.2</v>
      </c>
      <c r="G494" s="5"/>
      <c r="H494" s="1">
        <v>280.36</v>
      </c>
      <c r="I494" s="1">
        <v>1557.84</v>
      </c>
      <c r="J494" s="1">
        <v>0</v>
      </c>
      <c r="K494" s="1" t="s">
        <v>1212</v>
      </c>
      <c r="L494" s="3">
        <v>254.15</v>
      </c>
      <c r="M494" s="3">
        <f t="shared" si="7"/>
        <v>254.15</v>
      </c>
    </row>
    <row r="495" spans="1:13" x14ac:dyDescent="0.35">
      <c r="A495" s="1" t="s">
        <v>816</v>
      </c>
      <c r="B495" s="1">
        <v>78776</v>
      </c>
      <c r="C495" s="1">
        <v>17383</v>
      </c>
      <c r="D495" s="1" t="s">
        <v>1217</v>
      </c>
      <c r="E495" s="1" t="s">
        <v>1217</v>
      </c>
      <c r="F495" s="1" t="s">
        <v>1217</v>
      </c>
      <c r="G495" s="5"/>
      <c r="H495" s="1" t="s">
        <v>1217</v>
      </c>
      <c r="I495" s="1" t="s">
        <v>1217</v>
      </c>
      <c r="J495" s="1" t="s">
        <v>1217</v>
      </c>
      <c r="K495" s="1" t="s">
        <v>1218</v>
      </c>
      <c r="L495" s="3">
        <v>10</v>
      </c>
      <c r="M495" s="3">
        <f t="shared" si="7"/>
        <v>10</v>
      </c>
    </row>
    <row r="496" spans="1:13" x14ac:dyDescent="0.35">
      <c r="A496" s="1" t="s">
        <v>397</v>
      </c>
      <c r="B496" s="1">
        <v>77166</v>
      </c>
      <c r="C496" s="1">
        <v>17384</v>
      </c>
      <c r="D496" s="1">
        <v>8</v>
      </c>
      <c r="E496" s="1">
        <v>0</v>
      </c>
      <c r="F496" s="1">
        <v>72.680000000000007</v>
      </c>
      <c r="G496" s="5"/>
      <c r="H496" s="1">
        <v>72.680000000000007</v>
      </c>
      <c r="I496" s="1">
        <v>0</v>
      </c>
      <c r="J496" s="1">
        <v>0</v>
      </c>
      <c r="K496" s="1" t="s">
        <v>1255</v>
      </c>
      <c r="L496" s="3">
        <v>424.15</v>
      </c>
      <c r="M496" s="3">
        <f t="shared" si="7"/>
        <v>424.15</v>
      </c>
    </row>
    <row r="497" spans="1:13" x14ac:dyDescent="0.35">
      <c r="A497" s="1" t="s">
        <v>354</v>
      </c>
      <c r="B497" s="1">
        <v>188958</v>
      </c>
      <c r="C497" s="1">
        <v>32013</v>
      </c>
      <c r="D497" s="1">
        <v>40</v>
      </c>
      <c r="E497" s="1">
        <v>0</v>
      </c>
      <c r="F497" s="1">
        <v>333.98</v>
      </c>
      <c r="G497" s="5"/>
      <c r="H497" s="1">
        <v>97.32</v>
      </c>
      <c r="I497" s="1">
        <v>236.66</v>
      </c>
      <c r="J497" s="1">
        <v>304.99</v>
      </c>
      <c r="K497" s="1" t="s">
        <v>1214</v>
      </c>
      <c r="L497" s="3">
        <v>0</v>
      </c>
      <c r="M497" s="3">
        <f t="shared" si="7"/>
        <v>0</v>
      </c>
    </row>
    <row r="498" spans="1:13" x14ac:dyDescent="0.35">
      <c r="A498" s="1" t="s">
        <v>1262</v>
      </c>
      <c r="B498" s="1">
        <v>158051</v>
      </c>
      <c r="C498" s="1">
        <v>29006</v>
      </c>
      <c r="D498" s="1">
        <v>11</v>
      </c>
      <c r="E498" s="1">
        <v>0</v>
      </c>
      <c r="F498" s="1">
        <v>5113.42</v>
      </c>
      <c r="G498" s="5">
        <v>111.33</v>
      </c>
      <c r="H498" s="1">
        <v>680.59</v>
      </c>
      <c r="I498" s="1">
        <v>4432.83</v>
      </c>
      <c r="J498" s="1">
        <v>0</v>
      </c>
      <c r="K498" s="1" t="s">
        <v>1216</v>
      </c>
      <c r="L498" s="3">
        <v>365.48</v>
      </c>
      <c r="M498" s="3">
        <f t="shared" si="7"/>
        <v>254.15000000000003</v>
      </c>
    </row>
    <row r="499" spans="1:13" x14ac:dyDescent="0.35">
      <c r="A499" s="1" t="s">
        <v>1262</v>
      </c>
      <c r="B499" s="1">
        <v>158051</v>
      </c>
      <c r="C499" s="1">
        <v>29006</v>
      </c>
      <c r="D499" s="1" t="s">
        <v>1217</v>
      </c>
      <c r="E499" s="1" t="s">
        <v>1217</v>
      </c>
      <c r="F499" s="1" t="s">
        <v>1217</v>
      </c>
      <c r="G499" s="5"/>
      <c r="H499" s="1" t="s">
        <v>1217</v>
      </c>
      <c r="I499" s="1" t="s">
        <v>1217</v>
      </c>
      <c r="J499" s="1" t="s">
        <v>1217</v>
      </c>
      <c r="K499" s="1" t="s">
        <v>1218</v>
      </c>
      <c r="L499" s="3">
        <v>10</v>
      </c>
      <c r="M499" s="3">
        <f t="shared" si="7"/>
        <v>10</v>
      </c>
    </row>
    <row r="500" spans="1:13" x14ac:dyDescent="0.35">
      <c r="A500" s="1" t="s">
        <v>837</v>
      </c>
      <c r="B500" s="1">
        <v>156684</v>
      </c>
      <c r="D500" s="1">
        <v>39</v>
      </c>
      <c r="E500" s="1">
        <v>0</v>
      </c>
      <c r="F500" s="1">
        <v>3899.66</v>
      </c>
      <c r="G500" s="5"/>
      <c r="H500" s="1">
        <v>3455.4</v>
      </c>
      <c r="I500" s="1">
        <v>444.26</v>
      </c>
      <c r="J500" s="1">
        <v>3675.37</v>
      </c>
      <c r="K500" s="1" t="s">
        <v>1221</v>
      </c>
      <c r="L500" s="3">
        <v>1294</v>
      </c>
      <c r="M500" s="3">
        <f t="shared" si="7"/>
        <v>1294</v>
      </c>
    </row>
    <row r="501" spans="1:13" x14ac:dyDescent="0.35">
      <c r="A501" s="1" t="s">
        <v>837</v>
      </c>
      <c r="B501" s="1">
        <v>156684</v>
      </c>
      <c r="D501" s="1" t="s">
        <v>1217</v>
      </c>
      <c r="E501" s="1" t="s">
        <v>1217</v>
      </c>
      <c r="F501" s="1" t="s">
        <v>1217</v>
      </c>
      <c r="G501" s="5"/>
      <c r="H501" s="1" t="s">
        <v>1217</v>
      </c>
      <c r="I501" s="1" t="s">
        <v>1217</v>
      </c>
      <c r="J501" s="1" t="s">
        <v>1217</v>
      </c>
      <c r="K501" s="1" t="s">
        <v>1256</v>
      </c>
      <c r="L501" s="3">
        <v>349</v>
      </c>
      <c r="M501" s="3">
        <f t="shared" si="7"/>
        <v>349</v>
      </c>
    </row>
    <row r="502" spans="1:13" x14ac:dyDescent="0.35">
      <c r="A502" s="1" t="s">
        <v>837</v>
      </c>
      <c r="B502" s="1">
        <v>156684</v>
      </c>
      <c r="D502" s="1" t="s">
        <v>1217</v>
      </c>
      <c r="E502" s="1" t="s">
        <v>1217</v>
      </c>
      <c r="F502" s="1" t="s">
        <v>1217</v>
      </c>
      <c r="G502" s="5"/>
      <c r="H502" s="1" t="s">
        <v>1217</v>
      </c>
      <c r="I502" s="1" t="s">
        <v>1217</v>
      </c>
      <c r="J502" s="1" t="s">
        <v>1217</v>
      </c>
      <c r="K502" s="1" t="s">
        <v>1218</v>
      </c>
      <c r="L502" s="3">
        <v>10</v>
      </c>
      <c r="M502" s="3">
        <f t="shared" si="7"/>
        <v>10</v>
      </c>
    </row>
    <row r="503" spans="1:13" x14ac:dyDescent="0.35">
      <c r="A503" s="1" t="s">
        <v>699</v>
      </c>
      <c r="B503" s="1">
        <v>149327</v>
      </c>
      <c r="C503" s="1">
        <v>26937</v>
      </c>
      <c r="D503" s="1">
        <v>5</v>
      </c>
      <c r="E503" s="1">
        <v>0</v>
      </c>
      <c r="F503" s="1">
        <v>627.71</v>
      </c>
      <c r="G503" s="5"/>
      <c r="H503" s="1">
        <v>627.71</v>
      </c>
      <c r="I503" s="1">
        <v>0</v>
      </c>
      <c r="J503" s="1">
        <v>0</v>
      </c>
      <c r="K503" s="1" t="s">
        <v>1224</v>
      </c>
      <c r="L503" s="3">
        <v>424.15</v>
      </c>
      <c r="M503" s="3">
        <f t="shared" si="7"/>
        <v>424.15</v>
      </c>
    </row>
    <row r="504" spans="1:13" x14ac:dyDescent="0.35">
      <c r="A504" s="1" t="s">
        <v>699</v>
      </c>
      <c r="B504" s="1">
        <v>149327</v>
      </c>
      <c r="C504" s="1">
        <v>26937</v>
      </c>
      <c r="D504" s="1" t="s">
        <v>1217</v>
      </c>
      <c r="E504" s="1" t="s">
        <v>1217</v>
      </c>
      <c r="F504" s="1" t="s">
        <v>1217</v>
      </c>
      <c r="G504" s="5"/>
      <c r="H504" s="1" t="s">
        <v>1217</v>
      </c>
      <c r="I504" s="1" t="s">
        <v>1217</v>
      </c>
      <c r="J504" s="1" t="s">
        <v>1217</v>
      </c>
      <c r="K504" s="1" t="s">
        <v>1218</v>
      </c>
      <c r="L504" s="3">
        <v>10</v>
      </c>
      <c r="M504" s="3">
        <f t="shared" si="7"/>
        <v>10</v>
      </c>
    </row>
    <row r="505" spans="1:13" x14ac:dyDescent="0.35">
      <c r="A505" s="1" t="s">
        <v>318</v>
      </c>
      <c r="B505" s="1">
        <v>92188</v>
      </c>
      <c r="C505" s="1">
        <v>18515</v>
      </c>
      <c r="D505" s="1">
        <v>33</v>
      </c>
      <c r="E505" s="1">
        <v>0</v>
      </c>
      <c r="F505" s="1">
        <v>11449.4</v>
      </c>
      <c r="G505" s="5">
        <v>272.51</v>
      </c>
      <c r="H505" s="1">
        <v>5449.26</v>
      </c>
      <c r="I505" s="1">
        <v>6000.14</v>
      </c>
      <c r="J505" s="1">
        <v>0</v>
      </c>
      <c r="K505" s="1" t="s">
        <v>1224</v>
      </c>
      <c r="L505" s="3">
        <v>696.66</v>
      </c>
      <c r="M505" s="3">
        <f t="shared" si="7"/>
        <v>424.15</v>
      </c>
    </row>
    <row r="506" spans="1:13" x14ac:dyDescent="0.35">
      <c r="A506" s="1" t="s">
        <v>318</v>
      </c>
      <c r="B506" s="1">
        <v>92188</v>
      </c>
      <c r="C506" s="1">
        <v>18515</v>
      </c>
      <c r="D506" s="1" t="s">
        <v>1217</v>
      </c>
      <c r="E506" s="1" t="s">
        <v>1217</v>
      </c>
      <c r="F506" s="1" t="s">
        <v>1217</v>
      </c>
      <c r="G506" s="5"/>
      <c r="H506" s="1" t="s">
        <v>1217</v>
      </c>
      <c r="I506" s="1" t="s">
        <v>1217</v>
      </c>
      <c r="J506" s="1" t="s">
        <v>1217</v>
      </c>
      <c r="K506" s="1" t="s">
        <v>1236</v>
      </c>
      <c r="L506" s="3">
        <v>211.65</v>
      </c>
      <c r="M506" s="3">
        <f t="shared" si="7"/>
        <v>211.65</v>
      </c>
    </row>
    <row r="507" spans="1:13" x14ac:dyDescent="0.35">
      <c r="A507" s="1" t="s">
        <v>318</v>
      </c>
      <c r="B507" s="1">
        <v>92188</v>
      </c>
      <c r="C507" s="1">
        <v>18515</v>
      </c>
      <c r="D507" s="1" t="s">
        <v>1217</v>
      </c>
      <c r="E507" s="1" t="s">
        <v>1217</v>
      </c>
      <c r="F507" s="1" t="s">
        <v>1217</v>
      </c>
      <c r="G507" s="5"/>
      <c r="H507" s="1" t="s">
        <v>1217</v>
      </c>
      <c r="I507" s="1" t="s">
        <v>1217</v>
      </c>
      <c r="J507" s="1" t="s">
        <v>1217</v>
      </c>
      <c r="K507" s="1" t="s">
        <v>1243</v>
      </c>
      <c r="L507" s="3">
        <v>20</v>
      </c>
      <c r="M507" s="3">
        <f t="shared" si="7"/>
        <v>20</v>
      </c>
    </row>
    <row r="508" spans="1:13" x14ac:dyDescent="0.35">
      <c r="A508" s="1" t="s">
        <v>318</v>
      </c>
      <c r="B508" s="1">
        <v>92188</v>
      </c>
      <c r="C508" s="1">
        <v>18515</v>
      </c>
      <c r="D508" s="1" t="s">
        <v>1217</v>
      </c>
      <c r="E508" s="1" t="s">
        <v>1217</v>
      </c>
      <c r="F508" s="1" t="s">
        <v>1217</v>
      </c>
      <c r="G508" s="5"/>
      <c r="H508" s="1" t="s">
        <v>1217</v>
      </c>
      <c r="I508" s="1" t="s">
        <v>1217</v>
      </c>
      <c r="J508" s="1" t="s">
        <v>1217</v>
      </c>
      <c r="K508" s="1" t="s">
        <v>1218</v>
      </c>
      <c r="L508" s="3">
        <v>10</v>
      </c>
      <c r="M508" s="3">
        <f t="shared" si="7"/>
        <v>10</v>
      </c>
    </row>
    <row r="509" spans="1:13" x14ac:dyDescent="0.35">
      <c r="A509" s="1" t="s">
        <v>845</v>
      </c>
      <c r="B509" s="1">
        <v>62672</v>
      </c>
      <c r="C509" s="1">
        <v>9944</v>
      </c>
      <c r="D509" s="1">
        <v>71</v>
      </c>
      <c r="E509" s="1">
        <v>0</v>
      </c>
      <c r="F509" s="1">
        <v>8582.85</v>
      </c>
      <c r="G509" s="5"/>
      <c r="H509" s="1">
        <v>3205.66</v>
      </c>
      <c r="I509" s="1">
        <v>5377.19</v>
      </c>
      <c r="J509" s="1">
        <v>6454.63</v>
      </c>
      <c r="K509" s="1" t="s">
        <v>1231</v>
      </c>
      <c r="L509" s="3">
        <v>1019</v>
      </c>
      <c r="M509" s="3">
        <f t="shared" si="7"/>
        <v>1019</v>
      </c>
    </row>
    <row r="510" spans="1:13" x14ac:dyDescent="0.35">
      <c r="A510" s="1" t="s">
        <v>845</v>
      </c>
      <c r="B510" s="1">
        <v>62672</v>
      </c>
      <c r="C510" s="1">
        <v>9944</v>
      </c>
      <c r="D510" s="1" t="s">
        <v>1217</v>
      </c>
      <c r="E510" s="1" t="s">
        <v>1217</v>
      </c>
      <c r="F510" s="1" t="s">
        <v>1217</v>
      </c>
      <c r="G510" s="5"/>
      <c r="H510" s="1" t="s">
        <v>1217</v>
      </c>
      <c r="I510" s="1" t="s">
        <v>1217</v>
      </c>
      <c r="J510" s="1" t="s">
        <v>1217</v>
      </c>
      <c r="K510" s="1" t="s">
        <v>1240</v>
      </c>
      <c r="L510" s="3">
        <v>10</v>
      </c>
      <c r="M510" s="3">
        <f t="shared" si="7"/>
        <v>10</v>
      </c>
    </row>
    <row r="511" spans="1:13" x14ac:dyDescent="0.35">
      <c r="A511" s="1" t="s">
        <v>845</v>
      </c>
      <c r="B511" s="1">
        <v>62672</v>
      </c>
      <c r="C511" s="1">
        <v>9944</v>
      </c>
      <c r="D511" s="1" t="s">
        <v>1217</v>
      </c>
      <c r="E511" s="1" t="s">
        <v>1217</v>
      </c>
      <c r="F511" s="1" t="s">
        <v>1217</v>
      </c>
      <c r="G511" s="5"/>
      <c r="H511" s="1" t="s">
        <v>1217</v>
      </c>
      <c r="I511" s="1" t="s">
        <v>1217</v>
      </c>
      <c r="J511" s="1" t="s">
        <v>1217</v>
      </c>
      <c r="K511" s="1" t="s">
        <v>1218</v>
      </c>
      <c r="L511" s="3">
        <v>10</v>
      </c>
      <c r="M511" s="3">
        <f t="shared" si="7"/>
        <v>10</v>
      </c>
    </row>
    <row r="512" spans="1:13" x14ac:dyDescent="0.35">
      <c r="A512" s="1" t="s">
        <v>81</v>
      </c>
      <c r="B512" s="1">
        <v>142901</v>
      </c>
      <c r="C512" s="1">
        <v>23308</v>
      </c>
      <c r="D512" s="1">
        <v>2</v>
      </c>
      <c r="E512" s="1">
        <v>0</v>
      </c>
      <c r="F512" s="1">
        <v>0</v>
      </c>
      <c r="G512" s="5"/>
      <c r="H512" s="1">
        <v>0</v>
      </c>
      <c r="I512" s="1">
        <v>0</v>
      </c>
      <c r="J512" s="1">
        <v>0</v>
      </c>
      <c r="K512" s="1" t="s">
        <v>1216</v>
      </c>
      <c r="L512" s="3">
        <v>254.15</v>
      </c>
      <c r="M512" s="3">
        <f t="shared" si="7"/>
        <v>254.15</v>
      </c>
    </row>
    <row r="513" spans="1:13" x14ac:dyDescent="0.35">
      <c r="A513" s="1" t="s">
        <v>493</v>
      </c>
      <c r="B513" s="1">
        <v>140775</v>
      </c>
      <c r="D513" s="1">
        <v>45</v>
      </c>
      <c r="E513" s="1">
        <v>1</v>
      </c>
      <c r="F513" s="1">
        <v>2877.99</v>
      </c>
      <c r="G513" s="5"/>
      <c r="H513" s="1">
        <v>523.79</v>
      </c>
      <c r="I513" s="1">
        <v>2354.1999999999998</v>
      </c>
      <c r="J513" s="1">
        <v>2582.39</v>
      </c>
      <c r="K513" s="1" t="s">
        <v>1242</v>
      </c>
      <c r="L513" s="3">
        <v>849.15</v>
      </c>
      <c r="M513" s="3">
        <f t="shared" si="7"/>
        <v>849.15</v>
      </c>
    </row>
    <row r="514" spans="1:13" x14ac:dyDescent="0.35">
      <c r="A514" s="1" t="s">
        <v>493</v>
      </c>
      <c r="B514" s="1">
        <v>140775</v>
      </c>
      <c r="D514" s="1" t="s">
        <v>1217</v>
      </c>
      <c r="E514" s="1" t="s">
        <v>1217</v>
      </c>
      <c r="F514" s="1" t="s">
        <v>1217</v>
      </c>
      <c r="G514" s="5"/>
      <c r="H514" s="1" t="s">
        <v>1217</v>
      </c>
      <c r="I514" s="1" t="s">
        <v>1217</v>
      </c>
      <c r="J514" s="1" t="s">
        <v>1217</v>
      </c>
      <c r="K514" s="1" t="s">
        <v>1218</v>
      </c>
      <c r="L514" s="3">
        <v>10</v>
      </c>
      <c r="M514" s="3">
        <f t="shared" ref="M514:M577" si="8">+L514-G514</f>
        <v>10</v>
      </c>
    </row>
    <row r="515" spans="1:13" x14ac:dyDescent="0.35">
      <c r="A515" s="1" t="s">
        <v>367</v>
      </c>
      <c r="B515" s="1">
        <v>141760</v>
      </c>
      <c r="C515" s="1">
        <v>18422</v>
      </c>
      <c r="D515" s="1">
        <v>1</v>
      </c>
      <c r="E515" s="1">
        <v>0</v>
      </c>
      <c r="F515" s="1">
        <v>2</v>
      </c>
      <c r="G515" s="5"/>
      <c r="H515" s="1">
        <v>2</v>
      </c>
      <c r="I515" s="1">
        <v>0</v>
      </c>
      <c r="J515" s="1">
        <v>0</v>
      </c>
      <c r="K515" s="1" t="s">
        <v>1241</v>
      </c>
      <c r="L515" s="3">
        <v>0</v>
      </c>
      <c r="M515" s="3">
        <f t="shared" si="8"/>
        <v>0</v>
      </c>
    </row>
    <row r="516" spans="1:13" x14ac:dyDescent="0.35">
      <c r="A516" s="1" t="s">
        <v>357</v>
      </c>
      <c r="B516" s="1">
        <v>91217</v>
      </c>
      <c r="C516" s="1">
        <v>18160</v>
      </c>
      <c r="D516" s="1">
        <v>0</v>
      </c>
      <c r="E516" s="1">
        <v>0</v>
      </c>
      <c r="F516" s="1">
        <v>0</v>
      </c>
      <c r="G516" s="5"/>
      <c r="H516" s="1">
        <v>0</v>
      </c>
      <c r="I516" s="1">
        <v>0</v>
      </c>
      <c r="J516" s="1">
        <v>0</v>
      </c>
      <c r="K516" s="1" t="s">
        <v>1248</v>
      </c>
      <c r="L516" s="3">
        <v>0</v>
      </c>
      <c r="M516" s="3">
        <f t="shared" si="8"/>
        <v>0</v>
      </c>
    </row>
    <row r="517" spans="1:13" x14ac:dyDescent="0.35">
      <c r="A517" s="1" t="s">
        <v>295</v>
      </c>
      <c r="B517" s="1">
        <v>140778</v>
      </c>
      <c r="C517" s="1">
        <v>23379</v>
      </c>
      <c r="D517" s="1">
        <v>32</v>
      </c>
      <c r="E517" s="1">
        <v>1</v>
      </c>
      <c r="F517" s="1">
        <v>8860.5499999999993</v>
      </c>
      <c r="G517" s="5"/>
      <c r="H517" s="1">
        <v>2593.75</v>
      </c>
      <c r="I517" s="1">
        <v>6266.8</v>
      </c>
      <c r="J517" s="1">
        <v>7187.43</v>
      </c>
      <c r="K517" s="1" t="s">
        <v>1227</v>
      </c>
      <c r="L517" s="3">
        <v>1571.65</v>
      </c>
      <c r="M517" s="3">
        <f t="shared" si="8"/>
        <v>1571.65</v>
      </c>
    </row>
    <row r="518" spans="1:13" x14ac:dyDescent="0.35">
      <c r="A518" s="1" t="s">
        <v>295</v>
      </c>
      <c r="B518" s="1">
        <v>140778</v>
      </c>
      <c r="C518" s="1">
        <v>23379</v>
      </c>
      <c r="D518" s="1" t="s">
        <v>1217</v>
      </c>
      <c r="E518" s="1" t="s">
        <v>1217</v>
      </c>
      <c r="F518" s="1" t="s">
        <v>1217</v>
      </c>
      <c r="G518" s="5"/>
      <c r="H518" s="1" t="s">
        <v>1217</v>
      </c>
      <c r="I518" s="1" t="s">
        <v>1217</v>
      </c>
      <c r="J518" s="1" t="s">
        <v>1217</v>
      </c>
      <c r="K518" s="1" t="s">
        <v>1218</v>
      </c>
      <c r="L518" s="3">
        <v>10</v>
      </c>
      <c r="M518" s="3">
        <f t="shared" si="8"/>
        <v>10</v>
      </c>
    </row>
    <row r="519" spans="1:13" x14ac:dyDescent="0.35">
      <c r="A519" s="1" t="s">
        <v>299</v>
      </c>
      <c r="B519" s="1">
        <v>140777</v>
      </c>
      <c r="C519" s="1">
        <v>23370</v>
      </c>
      <c r="D519" s="1">
        <v>39</v>
      </c>
      <c r="E519" s="1">
        <v>1</v>
      </c>
      <c r="F519" s="1">
        <v>5850.92</v>
      </c>
      <c r="G519" s="5"/>
      <c r="H519" s="1">
        <v>2740.8</v>
      </c>
      <c r="I519" s="1">
        <v>3110.12</v>
      </c>
      <c r="J519" s="1">
        <v>3939.8</v>
      </c>
      <c r="K519" s="1" t="s">
        <v>1227</v>
      </c>
      <c r="L519" s="3">
        <v>1571.65</v>
      </c>
      <c r="M519" s="3">
        <f t="shared" si="8"/>
        <v>1571.65</v>
      </c>
    </row>
    <row r="520" spans="1:13" x14ac:dyDescent="0.35">
      <c r="A520" s="1" t="s">
        <v>299</v>
      </c>
      <c r="B520" s="1">
        <v>140777</v>
      </c>
      <c r="C520" s="1">
        <v>23370</v>
      </c>
      <c r="D520" s="1" t="s">
        <v>1217</v>
      </c>
      <c r="E520" s="1" t="s">
        <v>1217</v>
      </c>
      <c r="F520" s="1" t="s">
        <v>1217</v>
      </c>
      <c r="G520" s="5"/>
      <c r="H520" s="1" t="s">
        <v>1217</v>
      </c>
      <c r="I520" s="1" t="s">
        <v>1217</v>
      </c>
      <c r="J520" s="1" t="s">
        <v>1217</v>
      </c>
      <c r="K520" s="1" t="s">
        <v>1218</v>
      </c>
      <c r="L520" s="3">
        <v>10</v>
      </c>
      <c r="M520" s="3">
        <f t="shared" si="8"/>
        <v>10</v>
      </c>
    </row>
    <row r="521" spans="1:13" x14ac:dyDescent="0.35">
      <c r="A521" s="1" t="s">
        <v>701</v>
      </c>
      <c r="B521" s="1">
        <v>153596</v>
      </c>
      <c r="C521" s="1">
        <v>18928</v>
      </c>
      <c r="D521" s="1">
        <v>12</v>
      </c>
      <c r="E521" s="1">
        <v>0</v>
      </c>
      <c r="F521" s="1">
        <v>383.62</v>
      </c>
      <c r="G521" s="5"/>
      <c r="H521" s="1">
        <v>149.36000000000001</v>
      </c>
      <c r="I521" s="1">
        <v>234.26</v>
      </c>
      <c r="J521" s="1">
        <v>0</v>
      </c>
      <c r="K521" s="1" t="s">
        <v>1224</v>
      </c>
      <c r="L521" s="3">
        <v>424.15</v>
      </c>
      <c r="M521" s="3">
        <f t="shared" si="8"/>
        <v>424.15</v>
      </c>
    </row>
    <row r="522" spans="1:13" x14ac:dyDescent="0.35">
      <c r="A522" s="1" t="s">
        <v>701</v>
      </c>
      <c r="B522" s="1">
        <v>153596</v>
      </c>
      <c r="C522" s="1">
        <v>18928</v>
      </c>
      <c r="D522" s="1" t="s">
        <v>1217</v>
      </c>
      <c r="E522" s="1" t="s">
        <v>1217</v>
      </c>
      <c r="F522" s="1" t="s">
        <v>1217</v>
      </c>
      <c r="G522" s="5"/>
      <c r="H522" s="1" t="s">
        <v>1217</v>
      </c>
      <c r="I522" s="1" t="s">
        <v>1217</v>
      </c>
      <c r="J522" s="1" t="s">
        <v>1217</v>
      </c>
      <c r="K522" s="1" t="s">
        <v>1218</v>
      </c>
      <c r="L522" s="3">
        <v>10</v>
      </c>
      <c r="M522" s="3">
        <f t="shared" si="8"/>
        <v>10</v>
      </c>
    </row>
    <row r="523" spans="1:13" x14ac:dyDescent="0.35">
      <c r="A523" s="1" t="s">
        <v>703</v>
      </c>
      <c r="B523" s="1">
        <v>153597</v>
      </c>
      <c r="C523" s="1">
        <v>19555</v>
      </c>
      <c r="D523" s="1">
        <v>16</v>
      </c>
      <c r="E523" s="1">
        <v>0</v>
      </c>
      <c r="F523" s="1">
        <v>380.05</v>
      </c>
      <c r="G523" s="5"/>
      <c r="H523" s="1">
        <v>189.05</v>
      </c>
      <c r="I523" s="1">
        <v>191</v>
      </c>
      <c r="J523" s="1">
        <v>0</v>
      </c>
      <c r="K523" s="1" t="s">
        <v>1224</v>
      </c>
      <c r="L523" s="3">
        <v>424.15</v>
      </c>
      <c r="M523" s="3">
        <f t="shared" si="8"/>
        <v>424.15</v>
      </c>
    </row>
    <row r="524" spans="1:13" x14ac:dyDescent="0.35">
      <c r="A524" s="1" t="s">
        <v>703</v>
      </c>
      <c r="B524" s="1">
        <v>153597</v>
      </c>
      <c r="C524" s="1">
        <v>19555</v>
      </c>
      <c r="D524" s="1" t="s">
        <v>1217</v>
      </c>
      <c r="E524" s="1" t="s">
        <v>1217</v>
      </c>
      <c r="F524" s="1" t="s">
        <v>1217</v>
      </c>
      <c r="G524" s="5"/>
      <c r="H524" s="1" t="s">
        <v>1217</v>
      </c>
      <c r="I524" s="1" t="s">
        <v>1217</v>
      </c>
      <c r="J524" s="1" t="s">
        <v>1217</v>
      </c>
      <c r="K524" s="1" t="s">
        <v>1218</v>
      </c>
      <c r="L524" s="3">
        <v>10</v>
      </c>
      <c r="M524" s="3">
        <f t="shared" si="8"/>
        <v>10</v>
      </c>
    </row>
    <row r="525" spans="1:13" x14ac:dyDescent="0.35">
      <c r="A525" s="1" t="s">
        <v>424</v>
      </c>
      <c r="B525" s="1">
        <v>156704</v>
      </c>
      <c r="C525" s="1">
        <v>29001</v>
      </c>
      <c r="D525" s="1">
        <v>11</v>
      </c>
      <c r="E525" s="1">
        <v>0</v>
      </c>
      <c r="F525" s="1">
        <v>4272.51</v>
      </c>
      <c r="G525" s="5"/>
      <c r="H525" s="1">
        <v>3994.27</v>
      </c>
      <c r="I525" s="1">
        <v>278.24</v>
      </c>
      <c r="J525" s="1">
        <v>0</v>
      </c>
      <c r="K525" s="1" t="s">
        <v>1224</v>
      </c>
      <c r="L525" s="3">
        <v>424.15</v>
      </c>
      <c r="M525" s="3">
        <f t="shared" si="8"/>
        <v>424.15</v>
      </c>
    </row>
    <row r="526" spans="1:13" x14ac:dyDescent="0.35">
      <c r="A526" s="1" t="s">
        <v>424</v>
      </c>
      <c r="B526" s="1">
        <v>156704</v>
      </c>
      <c r="C526" s="1">
        <v>29001</v>
      </c>
      <c r="D526" s="1" t="s">
        <v>1217</v>
      </c>
      <c r="E526" s="1" t="s">
        <v>1217</v>
      </c>
      <c r="F526" s="1" t="s">
        <v>1217</v>
      </c>
      <c r="G526" s="5"/>
      <c r="H526" s="1" t="s">
        <v>1217</v>
      </c>
      <c r="I526" s="1" t="s">
        <v>1217</v>
      </c>
      <c r="J526" s="1" t="s">
        <v>1217</v>
      </c>
      <c r="K526" s="1" t="s">
        <v>1218</v>
      </c>
      <c r="L526" s="3">
        <v>10</v>
      </c>
      <c r="M526" s="3">
        <f t="shared" si="8"/>
        <v>10</v>
      </c>
    </row>
    <row r="527" spans="1:13" x14ac:dyDescent="0.35">
      <c r="A527" s="1" t="s">
        <v>884</v>
      </c>
      <c r="B527" s="1">
        <v>159077</v>
      </c>
      <c r="C527" s="1">
        <v>19633</v>
      </c>
      <c r="D527" s="1">
        <v>62</v>
      </c>
      <c r="E527" s="1">
        <v>1</v>
      </c>
      <c r="F527" s="1">
        <v>10768.08</v>
      </c>
      <c r="G527" s="5"/>
      <c r="H527" s="1">
        <v>2760.3</v>
      </c>
      <c r="I527" s="1">
        <v>8007.78</v>
      </c>
      <c r="J527" s="1">
        <v>8568.86</v>
      </c>
      <c r="K527" s="1" t="s">
        <v>1225</v>
      </c>
      <c r="L527" s="3">
        <v>1688</v>
      </c>
      <c r="M527" s="3">
        <f t="shared" si="8"/>
        <v>1688</v>
      </c>
    </row>
    <row r="528" spans="1:13" x14ac:dyDescent="0.35">
      <c r="A528" s="1" t="s">
        <v>884</v>
      </c>
      <c r="B528" s="1">
        <v>159077</v>
      </c>
      <c r="C528" s="1">
        <v>19633</v>
      </c>
      <c r="D528" s="1" t="s">
        <v>1217</v>
      </c>
      <c r="E528" s="1" t="s">
        <v>1217</v>
      </c>
      <c r="F528" s="1" t="s">
        <v>1217</v>
      </c>
      <c r="G528" s="5"/>
      <c r="H528" s="1" t="s">
        <v>1217</v>
      </c>
      <c r="I528" s="1" t="s">
        <v>1217</v>
      </c>
      <c r="J528" s="1" t="s">
        <v>1217</v>
      </c>
      <c r="K528" s="1" t="s">
        <v>1218</v>
      </c>
      <c r="L528" s="3">
        <v>10</v>
      </c>
      <c r="M528" s="3">
        <f t="shared" si="8"/>
        <v>10</v>
      </c>
    </row>
    <row r="529" spans="1:13" x14ac:dyDescent="0.35">
      <c r="A529" s="1" t="s">
        <v>768</v>
      </c>
      <c r="B529" s="1">
        <v>139747</v>
      </c>
      <c r="C529" s="1">
        <v>5616</v>
      </c>
      <c r="D529" s="1">
        <v>2</v>
      </c>
      <c r="E529" s="1">
        <v>0</v>
      </c>
      <c r="F529" s="1">
        <v>15.32</v>
      </c>
      <c r="G529" s="5"/>
      <c r="H529" s="1">
        <v>2.67</v>
      </c>
      <c r="I529" s="1">
        <v>12.65</v>
      </c>
      <c r="J529" s="1">
        <v>0</v>
      </c>
      <c r="K529" s="1" t="s">
        <v>1216</v>
      </c>
      <c r="L529" s="3">
        <v>254.15</v>
      </c>
      <c r="M529" s="3">
        <f t="shared" si="8"/>
        <v>254.15</v>
      </c>
    </row>
    <row r="530" spans="1:13" x14ac:dyDescent="0.35">
      <c r="A530" s="1" t="s">
        <v>768</v>
      </c>
      <c r="B530" s="1">
        <v>139747</v>
      </c>
      <c r="C530" s="1">
        <v>5616</v>
      </c>
      <c r="D530" s="1" t="s">
        <v>1217</v>
      </c>
      <c r="E530" s="1" t="s">
        <v>1217</v>
      </c>
      <c r="F530" s="1" t="s">
        <v>1217</v>
      </c>
      <c r="G530" s="5"/>
      <c r="H530" s="1" t="s">
        <v>1217</v>
      </c>
      <c r="I530" s="1" t="s">
        <v>1217</v>
      </c>
      <c r="J530" s="1" t="s">
        <v>1217</v>
      </c>
      <c r="K530" s="1" t="s">
        <v>1218</v>
      </c>
      <c r="L530" s="3">
        <v>10</v>
      </c>
      <c r="M530" s="3">
        <f t="shared" si="8"/>
        <v>10</v>
      </c>
    </row>
    <row r="531" spans="1:13" x14ac:dyDescent="0.35">
      <c r="A531" s="1" t="s">
        <v>633</v>
      </c>
      <c r="B531" s="1">
        <v>135471</v>
      </c>
      <c r="C531" s="1">
        <v>20693</v>
      </c>
      <c r="D531" s="1">
        <v>39</v>
      </c>
      <c r="E531" s="1">
        <v>0</v>
      </c>
      <c r="F531" s="1">
        <v>7757.61</v>
      </c>
      <c r="G531" s="5"/>
      <c r="H531" s="1">
        <v>4602.88</v>
      </c>
      <c r="I531" s="1">
        <v>3154.73</v>
      </c>
      <c r="J531" s="1">
        <v>5859.82</v>
      </c>
      <c r="K531" s="1" t="s">
        <v>1229</v>
      </c>
      <c r="L531" s="3">
        <v>1274.1500000000001</v>
      </c>
      <c r="M531" s="3">
        <f t="shared" si="8"/>
        <v>1274.1500000000001</v>
      </c>
    </row>
    <row r="532" spans="1:13" x14ac:dyDescent="0.35">
      <c r="A532" s="1" t="s">
        <v>563</v>
      </c>
      <c r="B532" s="1">
        <v>177300</v>
      </c>
      <c r="C532" s="1">
        <v>18362</v>
      </c>
      <c r="D532" s="1">
        <v>12</v>
      </c>
      <c r="E532" s="1">
        <v>0</v>
      </c>
      <c r="F532" s="1">
        <v>2789.79</v>
      </c>
      <c r="G532" s="5"/>
      <c r="H532" s="1">
        <v>928.08</v>
      </c>
      <c r="I532" s="1">
        <v>1861.71</v>
      </c>
      <c r="J532" s="1">
        <v>0</v>
      </c>
      <c r="K532" s="1" t="s">
        <v>1223</v>
      </c>
      <c r="L532" s="3">
        <v>509.15</v>
      </c>
      <c r="M532" s="3">
        <f t="shared" si="8"/>
        <v>509.15</v>
      </c>
    </row>
    <row r="533" spans="1:13" x14ac:dyDescent="0.35">
      <c r="A533" s="1" t="s">
        <v>563</v>
      </c>
      <c r="B533" s="1">
        <v>177300</v>
      </c>
      <c r="C533" s="1">
        <v>18362</v>
      </c>
      <c r="D533" s="1" t="s">
        <v>1217</v>
      </c>
      <c r="E533" s="1" t="s">
        <v>1217</v>
      </c>
      <c r="F533" s="1" t="s">
        <v>1217</v>
      </c>
      <c r="G533" s="5"/>
      <c r="H533" s="1" t="s">
        <v>1217</v>
      </c>
      <c r="I533" s="1" t="s">
        <v>1217</v>
      </c>
      <c r="J533" s="1" t="s">
        <v>1217</v>
      </c>
      <c r="K533" s="1" t="s">
        <v>1218</v>
      </c>
      <c r="L533" s="3">
        <v>10</v>
      </c>
      <c r="M533" s="3">
        <f t="shared" si="8"/>
        <v>10</v>
      </c>
    </row>
    <row r="534" spans="1:13" x14ac:dyDescent="0.35">
      <c r="A534" s="1" t="s">
        <v>544</v>
      </c>
      <c r="B534" s="1">
        <v>159260</v>
      </c>
      <c r="C534" s="1">
        <v>13684</v>
      </c>
      <c r="D534" s="1">
        <v>19</v>
      </c>
      <c r="E534" s="1">
        <v>0</v>
      </c>
      <c r="F534" s="1">
        <v>3905.62</v>
      </c>
      <c r="G534" s="5"/>
      <c r="H534" s="1">
        <v>2476.7800000000002</v>
      </c>
      <c r="I534" s="1">
        <v>1428.84</v>
      </c>
      <c r="J534" s="1">
        <v>0</v>
      </c>
      <c r="K534" s="1" t="s">
        <v>1224</v>
      </c>
      <c r="L534" s="3">
        <v>424.15</v>
      </c>
      <c r="M534" s="3">
        <f t="shared" si="8"/>
        <v>424.15</v>
      </c>
    </row>
    <row r="535" spans="1:13" x14ac:dyDescent="0.35">
      <c r="A535" s="1" t="s">
        <v>544</v>
      </c>
      <c r="B535" s="1">
        <v>159260</v>
      </c>
      <c r="C535" s="1">
        <v>13684</v>
      </c>
      <c r="D535" s="1" t="s">
        <v>1217</v>
      </c>
      <c r="E535" s="1" t="s">
        <v>1217</v>
      </c>
      <c r="F535" s="1" t="s">
        <v>1217</v>
      </c>
      <c r="G535" s="5"/>
      <c r="H535" s="1" t="s">
        <v>1217</v>
      </c>
      <c r="I535" s="1" t="s">
        <v>1217</v>
      </c>
      <c r="J535" s="1" t="s">
        <v>1217</v>
      </c>
      <c r="K535" s="1" t="s">
        <v>1218</v>
      </c>
      <c r="L535" s="3">
        <v>10</v>
      </c>
      <c r="M535" s="3">
        <f t="shared" si="8"/>
        <v>10</v>
      </c>
    </row>
    <row r="536" spans="1:13" x14ac:dyDescent="0.35">
      <c r="A536" s="1" t="s">
        <v>83</v>
      </c>
      <c r="B536" s="1">
        <v>154381</v>
      </c>
      <c r="C536" s="1">
        <v>9560</v>
      </c>
      <c r="D536" s="1">
        <v>4</v>
      </c>
      <c r="E536" s="1">
        <v>0</v>
      </c>
      <c r="F536" s="1">
        <v>2</v>
      </c>
      <c r="G536" s="5"/>
      <c r="H536" s="1">
        <v>0.33</v>
      </c>
      <c r="I536" s="1">
        <v>1.67</v>
      </c>
      <c r="J536" s="1">
        <v>0</v>
      </c>
      <c r="K536" s="1" t="s">
        <v>1224</v>
      </c>
      <c r="L536" s="3">
        <v>424.15</v>
      </c>
      <c r="M536" s="3">
        <f t="shared" si="8"/>
        <v>424.15</v>
      </c>
    </row>
    <row r="537" spans="1:13" x14ac:dyDescent="0.35">
      <c r="A537" s="1" t="s">
        <v>83</v>
      </c>
      <c r="B537" s="1">
        <v>154381</v>
      </c>
      <c r="C537" s="1">
        <v>9560</v>
      </c>
      <c r="D537" s="1" t="s">
        <v>1217</v>
      </c>
      <c r="E537" s="1" t="s">
        <v>1217</v>
      </c>
      <c r="F537" s="1" t="s">
        <v>1217</v>
      </c>
      <c r="G537" s="5"/>
      <c r="H537" s="1" t="s">
        <v>1217</v>
      </c>
      <c r="I537" s="1" t="s">
        <v>1217</v>
      </c>
      <c r="J537" s="1" t="s">
        <v>1217</v>
      </c>
      <c r="K537" s="1" t="s">
        <v>1218</v>
      </c>
      <c r="L537" s="3">
        <v>10</v>
      </c>
      <c r="M537" s="3">
        <f t="shared" si="8"/>
        <v>10</v>
      </c>
    </row>
    <row r="538" spans="1:13" x14ac:dyDescent="0.35">
      <c r="A538" s="1" t="s">
        <v>818</v>
      </c>
      <c r="B538" s="1">
        <v>90204</v>
      </c>
      <c r="C538" s="1">
        <v>11174</v>
      </c>
      <c r="D538" s="1">
        <v>28</v>
      </c>
      <c r="E538" s="1">
        <v>0</v>
      </c>
      <c r="F538" s="1">
        <v>4150.71</v>
      </c>
      <c r="G538" s="5"/>
      <c r="H538" s="1">
        <v>3519.49</v>
      </c>
      <c r="I538" s="1">
        <v>631.22</v>
      </c>
      <c r="J538" s="1">
        <v>0</v>
      </c>
      <c r="K538" s="1" t="s">
        <v>1255</v>
      </c>
      <c r="L538" s="3">
        <v>424.15</v>
      </c>
      <c r="M538" s="3">
        <f t="shared" si="8"/>
        <v>424.15</v>
      </c>
    </row>
    <row r="539" spans="1:13" x14ac:dyDescent="0.35">
      <c r="A539" s="1" t="s">
        <v>818</v>
      </c>
      <c r="B539" s="1">
        <v>90204</v>
      </c>
      <c r="C539" s="1">
        <v>11174</v>
      </c>
      <c r="D539" s="1" t="s">
        <v>1217</v>
      </c>
      <c r="E539" s="1" t="s">
        <v>1217</v>
      </c>
      <c r="F539" s="1" t="s">
        <v>1217</v>
      </c>
      <c r="G539" s="5"/>
      <c r="H539" s="1" t="s">
        <v>1217</v>
      </c>
      <c r="I539" s="1" t="s">
        <v>1217</v>
      </c>
      <c r="J539" s="1" t="s">
        <v>1217</v>
      </c>
      <c r="K539" s="1" t="s">
        <v>1218</v>
      </c>
      <c r="L539" s="3">
        <v>10</v>
      </c>
      <c r="M539" s="3">
        <f t="shared" si="8"/>
        <v>10</v>
      </c>
    </row>
    <row r="540" spans="1:13" x14ac:dyDescent="0.35">
      <c r="A540" s="1" t="s">
        <v>466</v>
      </c>
      <c r="B540" s="1">
        <v>94552</v>
      </c>
      <c r="C540" s="1">
        <v>18817</v>
      </c>
      <c r="D540" s="1">
        <v>15</v>
      </c>
      <c r="E540" s="1">
        <v>0</v>
      </c>
      <c r="F540" s="1">
        <v>232.86</v>
      </c>
      <c r="G540" s="5"/>
      <c r="H540" s="1">
        <v>136.22999999999999</v>
      </c>
      <c r="I540" s="1">
        <v>96.63</v>
      </c>
      <c r="J540" s="1">
        <v>0</v>
      </c>
      <c r="K540" s="1" t="s">
        <v>1224</v>
      </c>
      <c r="L540" s="3">
        <v>424.15</v>
      </c>
      <c r="M540" s="3">
        <f t="shared" si="8"/>
        <v>424.15</v>
      </c>
    </row>
    <row r="541" spans="1:13" x14ac:dyDescent="0.35">
      <c r="A541" s="1" t="s">
        <v>466</v>
      </c>
      <c r="B541" s="1">
        <v>94552</v>
      </c>
      <c r="C541" s="1">
        <v>18817</v>
      </c>
      <c r="D541" s="1" t="s">
        <v>1217</v>
      </c>
      <c r="E541" s="1" t="s">
        <v>1217</v>
      </c>
      <c r="F541" s="1" t="s">
        <v>1217</v>
      </c>
      <c r="G541" s="5"/>
      <c r="H541" s="1" t="s">
        <v>1217</v>
      </c>
      <c r="I541" s="1" t="s">
        <v>1217</v>
      </c>
      <c r="J541" s="1" t="s">
        <v>1217</v>
      </c>
      <c r="K541" s="1" t="s">
        <v>1218</v>
      </c>
      <c r="L541" s="3">
        <v>10</v>
      </c>
      <c r="M541" s="3">
        <f t="shared" si="8"/>
        <v>10</v>
      </c>
    </row>
    <row r="542" spans="1:13" x14ac:dyDescent="0.35">
      <c r="A542" s="1" t="s">
        <v>85</v>
      </c>
      <c r="B542" s="1">
        <v>59676</v>
      </c>
      <c r="C542" s="1">
        <v>11619</v>
      </c>
      <c r="D542" s="1">
        <v>137</v>
      </c>
      <c r="E542" s="1">
        <v>0</v>
      </c>
      <c r="F542" s="1">
        <v>11274.29</v>
      </c>
      <c r="G542" s="5">
        <v>449.14</v>
      </c>
      <c r="H542" s="1">
        <v>8988.01</v>
      </c>
      <c r="I542" s="1">
        <v>2286.2800000000002</v>
      </c>
      <c r="J542" s="1">
        <v>3382.12</v>
      </c>
      <c r="K542" s="1" t="s">
        <v>1263</v>
      </c>
      <c r="L542" s="3">
        <v>1288.1400000000001</v>
      </c>
      <c r="M542" s="3">
        <f t="shared" si="8"/>
        <v>839.00000000000011</v>
      </c>
    </row>
    <row r="543" spans="1:13" x14ac:dyDescent="0.35">
      <c r="A543" s="1" t="s">
        <v>85</v>
      </c>
      <c r="B543" s="1">
        <v>59676</v>
      </c>
      <c r="C543" s="1">
        <v>11619</v>
      </c>
      <c r="D543" s="1" t="s">
        <v>1217</v>
      </c>
      <c r="E543" s="1" t="s">
        <v>1217</v>
      </c>
      <c r="F543" s="1" t="s">
        <v>1217</v>
      </c>
      <c r="G543" s="5"/>
      <c r="H543" s="1" t="s">
        <v>1217</v>
      </c>
      <c r="I543" s="1" t="s">
        <v>1217</v>
      </c>
      <c r="J543" s="1" t="s">
        <v>1217</v>
      </c>
      <c r="K543" s="1" t="s">
        <v>1218</v>
      </c>
      <c r="L543" s="3">
        <v>10</v>
      </c>
      <c r="M543" s="3">
        <f t="shared" si="8"/>
        <v>10</v>
      </c>
    </row>
    <row r="544" spans="1:13" x14ac:dyDescent="0.35">
      <c r="A544" s="1" t="s">
        <v>398</v>
      </c>
      <c r="B544" s="1">
        <v>84669</v>
      </c>
      <c r="D544" s="1">
        <v>42</v>
      </c>
      <c r="E544" s="1">
        <v>1</v>
      </c>
      <c r="F544" s="1">
        <v>857.55</v>
      </c>
      <c r="G544" s="5"/>
      <c r="H544" s="1">
        <v>857.22</v>
      </c>
      <c r="I544" s="1">
        <v>0.33</v>
      </c>
      <c r="J544" s="1">
        <v>649.97</v>
      </c>
      <c r="K544" s="1" t="s">
        <v>1220</v>
      </c>
      <c r="L544" s="3">
        <v>2533.85</v>
      </c>
      <c r="M544" s="3">
        <f t="shared" si="8"/>
        <v>2533.85</v>
      </c>
    </row>
    <row r="545" spans="1:13" x14ac:dyDescent="0.35">
      <c r="A545" s="1" t="s">
        <v>398</v>
      </c>
      <c r="B545" s="1">
        <v>84669</v>
      </c>
      <c r="D545" s="1" t="s">
        <v>1217</v>
      </c>
      <c r="E545" s="1" t="s">
        <v>1217</v>
      </c>
      <c r="F545" s="1" t="s">
        <v>1217</v>
      </c>
      <c r="G545" s="5"/>
      <c r="H545" s="1" t="s">
        <v>1217</v>
      </c>
      <c r="I545" s="1" t="s">
        <v>1217</v>
      </c>
      <c r="J545" s="1" t="s">
        <v>1217</v>
      </c>
      <c r="K545" s="1" t="s">
        <v>1218</v>
      </c>
      <c r="L545" s="3">
        <v>10</v>
      </c>
      <c r="M545" s="3">
        <f t="shared" si="8"/>
        <v>10</v>
      </c>
    </row>
    <row r="546" spans="1:13" x14ac:dyDescent="0.35">
      <c r="A546" s="1" t="s">
        <v>953</v>
      </c>
      <c r="B546" s="1">
        <v>96883</v>
      </c>
      <c r="C546" s="1">
        <v>17114</v>
      </c>
      <c r="D546" s="1">
        <v>11</v>
      </c>
      <c r="E546" s="1">
        <v>0</v>
      </c>
      <c r="F546" s="1">
        <v>917.21</v>
      </c>
      <c r="G546" s="5"/>
      <c r="H546" s="1">
        <v>204.92</v>
      </c>
      <c r="I546" s="1">
        <v>712.29</v>
      </c>
      <c r="J546" s="1">
        <v>727.44</v>
      </c>
      <c r="K546" s="1" t="s">
        <v>1212</v>
      </c>
      <c r="L546" s="3">
        <v>254.15</v>
      </c>
      <c r="M546" s="3">
        <f t="shared" si="8"/>
        <v>254.15</v>
      </c>
    </row>
    <row r="547" spans="1:13" x14ac:dyDescent="0.35">
      <c r="A547" s="1" t="s">
        <v>568</v>
      </c>
      <c r="B547" s="1">
        <v>96887</v>
      </c>
      <c r="C547" s="1">
        <v>5906</v>
      </c>
      <c r="D547" s="1">
        <v>42</v>
      </c>
      <c r="E547" s="1">
        <v>0</v>
      </c>
      <c r="F547" s="1">
        <v>3078.02</v>
      </c>
      <c r="G547" s="5"/>
      <c r="H547" s="1">
        <v>1397.54</v>
      </c>
      <c r="I547" s="1">
        <v>1680.48</v>
      </c>
      <c r="J547" s="1">
        <v>0</v>
      </c>
      <c r="K547" s="1" t="s">
        <v>1224</v>
      </c>
      <c r="L547" s="3">
        <v>424.15</v>
      </c>
      <c r="M547" s="3">
        <f t="shared" si="8"/>
        <v>424.15</v>
      </c>
    </row>
    <row r="548" spans="1:13" x14ac:dyDescent="0.35">
      <c r="A548" s="1" t="s">
        <v>568</v>
      </c>
      <c r="B548" s="1">
        <v>96887</v>
      </c>
      <c r="C548" s="1">
        <v>5906</v>
      </c>
      <c r="D548" s="1" t="s">
        <v>1217</v>
      </c>
      <c r="E548" s="1" t="s">
        <v>1217</v>
      </c>
      <c r="F548" s="1" t="s">
        <v>1217</v>
      </c>
      <c r="G548" s="5"/>
      <c r="H548" s="1" t="s">
        <v>1217</v>
      </c>
      <c r="I548" s="1" t="s">
        <v>1217</v>
      </c>
      <c r="J548" s="1" t="s">
        <v>1217</v>
      </c>
      <c r="K548" s="1" t="s">
        <v>1264</v>
      </c>
      <c r="L548" s="3">
        <v>211.65</v>
      </c>
      <c r="M548" s="3">
        <f t="shared" si="8"/>
        <v>211.65</v>
      </c>
    </row>
    <row r="549" spans="1:13" x14ac:dyDescent="0.35">
      <c r="A549" s="1" t="s">
        <v>568</v>
      </c>
      <c r="B549" s="1">
        <v>96887</v>
      </c>
      <c r="C549" s="1">
        <v>5906</v>
      </c>
      <c r="D549" s="1" t="s">
        <v>1217</v>
      </c>
      <c r="E549" s="1" t="s">
        <v>1217</v>
      </c>
      <c r="F549" s="1" t="s">
        <v>1217</v>
      </c>
      <c r="G549" s="5"/>
      <c r="H549" s="1" t="s">
        <v>1217</v>
      </c>
      <c r="I549" s="1" t="s">
        <v>1217</v>
      </c>
      <c r="J549" s="1" t="s">
        <v>1217</v>
      </c>
      <c r="K549" s="1" t="s">
        <v>1218</v>
      </c>
      <c r="L549" s="3">
        <v>10</v>
      </c>
      <c r="M549" s="3">
        <f t="shared" si="8"/>
        <v>10</v>
      </c>
    </row>
    <row r="550" spans="1:13" x14ac:dyDescent="0.35">
      <c r="A550" s="1" t="s">
        <v>873</v>
      </c>
      <c r="B550" s="1">
        <v>96884</v>
      </c>
      <c r="C550" s="1">
        <v>17138</v>
      </c>
      <c r="D550" s="1">
        <v>7</v>
      </c>
      <c r="E550" s="1">
        <v>0</v>
      </c>
      <c r="F550" s="1">
        <v>5959.22</v>
      </c>
      <c r="G550" s="5">
        <v>135.19</v>
      </c>
      <c r="H550" s="1">
        <v>5453.56</v>
      </c>
      <c r="I550" s="1">
        <v>505.66</v>
      </c>
      <c r="J550" s="1">
        <v>0</v>
      </c>
      <c r="K550" s="1" t="s">
        <v>1212</v>
      </c>
      <c r="L550" s="3">
        <v>389.34</v>
      </c>
      <c r="M550" s="3">
        <f t="shared" si="8"/>
        <v>254.14999999999998</v>
      </c>
    </row>
    <row r="551" spans="1:13" x14ac:dyDescent="0.35">
      <c r="A551" s="1" t="s">
        <v>787</v>
      </c>
      <c r="B551" s="1">
        <v>91496</v>
      </c>
      <c r="C551" s="1">
        <v>17409</v>
      </c>
      <c r="D551" s="1">
        <v>10</v>
      </c>
      <c r="E551" s="1">
        <v>0</v>
      </c>
      <c r="F551" s="1">
        <v>2822.58</v>
      </c>
      <c r="G551" s="5"/>
      <c r="H551" s="1">
        <v>2752.23</v>
      </c>
      <c r="I551" s="1">
        <v>70.349999999999994</v>
      </c>
      <c r="J551" s="1">
        <v>0</v>
      </c>
      <c r="K551" s="1" t="s">
        <v>1255</v>
      </c>
      <c r="L551" s="3">
        <v>424.15</v>
      </c>
      <c r="M551" s="3">
        <f t="shared" si="8"/>
        <v>424.15</v>
      </c>
    </row>
    <row r="552" spans="1:13" x14ac:dyDescent="0.35">
      <c r="A552" s="1" t="s">
        <v>399</v>
      </c>
      <c r="B552" s="1">
        <v>91411</v>
      </c>
      <c r="C552" s="1">
        <v>7993</v>
      </c>
      <c r="D552" s="1">
        <v>13</v>
      </c>
      <c r="E552" s="1">
        <v>0</v>
      </c>
      <c r="F552" s="1">
        <v>14.33</v>
      </c>
      <c r="G552" s="5"/>
      <c r="H552" s="1">
        <v>14.33</v>
      </c>
      <c r="I552" s="1">
        <v>0</v>
      </c>
      <c r="J552" s="1">
        <v>0</v>
      </c>
      <c r="K552" s="1" t="s">
        <v>1212</v>
      </c>
      <c r="L552" s="3">
        <v>254.15</v>
      </c>
      <c r="M552" s="3">
        <f t="shared" si="8"/>
        <v>254.15</v>
      </c>
    </row>
    <row r="553" spans="1:13" x14ac:dyDescent="0.35">
      <c r="A553" s="1" t="s">
        <v>738</v>
      </c>
      <c r="B553" s="1">
        <v>147445</v>
      </c>
      <c r="C553" s="1">
        <v>10429</v>
      </c>
      <c r="D553" s="1">
        <v>78</v>
      </c>
      <c r="E553" s="1">
        <v>0</v>
      </c>
      <c r="F553" s="1">
        <v>6183.13</v>
      </c>
      <c r="G553" s="5"/>
      <c r="H553" s="1">
        <v>6161.47</v>
      </c>
      <c r="I553" s="1">
        <v>21.66</v>
      </c>
      <c r="J553" s="1">
        <v>3981</v>
      </c>
      <c r="K553" s="1" t="s">
        <v>1220</v>
      </c>
      <c r="L553" s="3">
        <v>2533.85</v>
      </c>
      <c r="M553" s="3">
        <f t="shared" si="8"/>
        <v>2533.85</v>
      </c>
    </row>
    <row r="554" spans="1:13" x14ac:dyDescent="0.35">
      <c r="A554" s="1" t="s">
        <v>738</v>
      </c>
      <c r="B554" s="1">
        <v>147445</v>
      </c>
      <c r="C554" s="1">
        <v>10429</v>
      </c>
      <c r="D554" s="1" t="s">
        <v>1217</v>
      </c>
      <c r="E554" s="1" t="s">
        <v>1217</v>
      </c>
      <c r="F554" s="1" t="s">
        <v>1217</v>
      </c>
      <c r="G554" s="5"/>
      <c r="H554" s="1" t="s">
        <v>1217</v>
      </c>
      <c r="I554" s="1" t="s">
        <v>1217</v>
      </c>
      <c r="J554" s="1" t="s">
        <v>1217</v>
      </c>
      <c r="K554" s="1" t="s">
        <v>1218</v>
      </c>
      <c r="L554" s="3">
        <v>10</v>
      </c>
      <c r="M554" s="3">
        <f t="shared" si="8"/>
        <v>10</v>
      </c>
    </row>
    <row r="555" spans="1:13" x14ac:dyDescent="0.35">
      <c r="A555" s="1" t="s">
        <v>807</v>
      </c>
      <c r="B555" s="1">
        <v>97592</v>
      </c>
      <c r="C555" s="1">
        <v>18847</v>
      </c>
      <c r="D555" s="1">
        <v>73</v>
      </c>
      <c r="E555" s="1">
        <v>0</v>
      </c>
      <c r="F555" s="1">
        <v>3453.03</v>
      </c>
      <c r="G555" s="5"/>
      <c r="H555" s="1">
        <v>537.5</v>
      </c>
      <c r="I555" s="1">
        <v>2915.53</v>
      </c>
      <c r="J555" s="1">
        <v>0</v>
      </c>
      <c r="K555" s="1" t="s">
        <v>1212</v>
      </c>
      <c r="L555" s="3">
        <v>254.15</v>
      </c>
      <c r="M555" s="3">
        <f t="shared" si="8"/>
        <v>254.15</v>
      </c>
    </row>
    <row r="556" spans="1:13" x14ac:dyDescent="0.35">
      <c r="A556" s="1" t="s">
        <v>807</v>
      </c>
      <c r="B556" s="1">
        <v>97592</v>
      </c>
      <c r="C556" s="1">
        <v>18847</v>
      </c>
      <c r="D556" s="1" t="s">
        <v>1217</v>
      </c>
      <c r="E556" s="1" t="s">
        <v>1217</v>
      </c>
      <c r="F556" s="1" t="s">
        <v>1217</v>
      </c>
      <c r="G556" s="5"/>
      <c r="H556" s="1" t="s">
        <v>1217</v>
      </c>
      <c r="I556" s="1" t="s">
        <v>1217</v>
      </c>
      <c r="J556" s="1" t="s">
        <v>1217</v>
      </c>
      <c r="K556" s="1" t="s">
        <v>1218</v>
      </c>
      <c r="L556" s="3">
        <v>10</v>
      </c>
      <c r="M556" s="3">
        <f t="shared" si="8"/>
        <v>10</v>
      </c>
    </row>
    <row r="557" spans="1:13" x14ac:dyDescent="0.35">
      <c r="A557" s="1" t="s">
        <v>795</v>
      </c>
      <c r="B557" s="1">
        <v>117610</v>
      </c>
      <c r="C557" s="1">
        <v>19948</v>
      </c>
      <c r="D557" s="1">
        <v>70</v>
      </c>
      <c r="E557" s="1">
        <v>0</v>
      </c>
      <c r="F557" s="1">
        <v>3759.46</v>
      </c>
      <c r="G557" s="5">
        <v>17.899999999999999</v>
      </c>
      <c r="H557" s="1">
        <v>2615.27</v>
      </c>
      <c r="I557" s="1">
        <v>1144.19</v>
      </c>
      <c r="J557" s="1">
        <v>0</v>
      </c>
      <c r="K557" s="1" t="s">
        <v>1216</v>
      </c>
      <c r="L557" s="3">
        <v>272.05</v>
      </c>
      <c r="M557" s="3">
        <f t="shared" si="8"/>
        <v>254.15</v>
      </c>
    </row>
    <row r="558" spans="1:13" x14ac:dyDescent="0.35">
      <c r="A558" s="1" t="s">
        <v>795</v>
      </c>
      <c r="B558" s="1">
        <v>117610</v>
      </c>
      <c r="C558" s="1">
        <v>19948</v>
      </c>
      <c r="D558" s="1" t="s">
        <v>1217</v>
      </c>
      <c r="E558" s="1" t="s">
        <v>1217</v>
      </c>
      <c r="F558" s="1" t="s">
        <v>1217</v>
      </c>
      <c r="G558" s="5"/>
      <c r="H558" s="1" t="s">
        <v>1217</v>
      </c>
      <c r="I558" s="1" t="s">
        <v>1217</v>
      </c>
      <c r="J558" s="1" t="s">
        <v>1217</v>
      </c>
      <c r="K558" s="1" t="s">
        <v>1218</v>
      </c>
      <c r="L558" s="3">
        <v>10</v>
      </c>
      <c r="M558" s="3">
        <f t="shared" si="8"/>
        <v>10</v>
      </c>
    </row>
    <row r="559" spans="1:13" x14ac:dyDescent="0.35">
      <c r="A559" s="1" t="s">
        <v>798</v>
      </c>
      <c r="B559" s="1">
        <v>97583</v>
      </c>
      <c r="C559" s="1">
        <v>18845</v>
      </c>
      <c r="D559" s="1">
        <v>81</v>
      </c>
      <c r="E559" s="1">
        <v>0</v>
      </c>
      <c r="F559" s="1">
        <v>5953.88</v>
      </c>
      <c r="G559" s="5">
        <v>134.82</v>
      </c>
      <c r="H559" s="1">
        <v>1269.6099999999999</v>
      </c>
      <c r="I559" s="1">
        <v>4684.2700000000004</v>
      </c>
      <c r="J559" s="1">
        <v>0</v>
      </c>
      <c r="K559" s="1" t="s">
        <v>1212</v>
      </c>
      <c r="L559" s="3">
        <v>388.97</v>
      </c>
      <c r="M559" s="3">
        <f t="shared" si="8"/>
        <v>254.15000000000003</v>
      </c>
    </row>
    <row r="560" spans="1:13" x14ac:dyDescent="0.35">
      <c r="A560" s="1" t="s">
        <v>798</v>
      </c>
      <c r="B560" s="1">
        <v>97583</v>
      </c>
      <c r="C560" s="1">
        <v>18845</v>
      </c>
      <c r="D560" s="1" t="s">
        <v>1217</v>
      </c>
      <c r="E560" s="1" t="s">
        <v>1217</v>
      </c>
      <c r="F560" s="1" t="s">
        <v>1217</v>
      </c>
      <c r="G560" s="5"/>
      <c r="H560" s="1" t="s">
        <v>1217</v>
      </c>
      <c r="I560" s="1" t="s">
        <v>1217</v>
      </c>
      <c r="J560" s="1" t="s">
        <v>1217</v>
      </c>
      <c r="K560" s="1" t="s">
        <v>1218</v>
      </c>
      <c r="L560" s="3">
        <v>10</v>
      </c>
      <c r="M560" s="3">
        <f t="shared" si="8"/>
        <v>10</v>
      </c>
    </row>
    <row r="561" spans="1:13" x14ac:dyDescent="0.35">
      <c r="A561" s="1" t="s">
        <v>809</v>
      </c>
      <c r="B561" s="1">
        <v>97580</v>
      </c>
      <c r="C561" s="1">
        <v>18855</v>
      </c>
      <c r="D561" s="1">
        <v>83</v>
      </c>
      <c r="E561" s="1">
        <v>0</v>
      </c>
      <c r="F561" s="1">
        <v>3100.06</v>
      </c>
      <c r="G561" s="5"/>
      <c r="H561" s="1">
        <v>990.87</v>
      </c>
      <c r="I561" s="1">
        <v>2109.19</v>
      </c>
      <c r="J561" s="1">
        <v>0</v>
      </c>
      <c r="K561" s="1" t="s">
        <v>1212</v>
      </c>
      <c r="L561" s="3">
        <v>254.15</v>
      </c>
      <c r="M561" s="3">
        <f t="shared" si="8"/>
        <v>254.15</v>
      </c>
    </row>
    <row r="562" spans="1:13" x14ac:dyDescent="0.35">
      <c r="A562" s="1" t="s">
        <v>809</v>
      </c>
      <c r="B562" s="1">
        <v>97580</v>
      </c>
      <c r="C562" s="1">
        <v>18855</v>
      </c>
      <c r="D562" s="1" t="s">
        <v>1217</v>
      </c>
      <c r="E562" s="1" t="s">
        <v>1217</v>
      </c>
      <c r="F562" s="1" t="s">
        <v>1217</v>
      </c>
      <c r="G562" s="5"/>
      <c r="H562" s="1" t="s">
        <v>1217</v>
      </c>
      <c r="I562" s="1" t="s">
        <v>1217</v>
      </c>
      <c r="J562" s="1" t="s">
        <v>1217</v>
      </c>
      <c r="K562" s="1" t="s">
        <v>1218</v>
      </c>
      <c r="L562" s="3">
        <v>10</v>
      </c>
      <c r="M562" s="3">
        <f t="shared" si="8"/>
        <v>10</v>
      </c>
    </row>
    <row r="563" spans="1:13" x14ac:dyDescent="0.35">
      <c r="A563" s="1" t="s">
        <v>800</v>
      </c>
      <c r="B563" s="1">
        <v>97582</v>
      </c>
      <c r="C563" s="1">
        <v>18860</v>
      </c>
      <c r="D563" s="1">
        <v>149</v>
      </c>
      <c r="E563" s="1">
        <v>0</v>
      </c>
      <c r="F563" s="1">
        <v>4674.26</v>
      </c>
      <c r="G563" s="5">
        <v>46.52</v>
      </c>
      <c r="H563" s="1">
        <v>2527.29</v>
      </c>
      <c r="I563" s="1">
        <v>2146.9699999999998</v>
      </c>
      <c r="J563" s="1">
        <v>0</v>
      </c>
      <c r="K563" s="1" t="s">
        <v>1212</v>
      </c>
      <c r="L563" s="3">
        <v>300.67</v>
      </c>
      <c r="M563" s="3">
        <f t="shared" si="8"/>
        <v>254.15</v>
      </c>
    </row>
    <row r="564" spans="1:13" x14ac:dyDescent="0.35">
      <c r="A564" s="1" t="s">
        <v>800</v>
      </c>
      <c r="B564" s="1">
        <v>97582</v>
      </c>
      <c r="C564" s="1">
        <v>18860</v>
      </c>
      <c r="D564" s="1" t="s">
        <v>1217</v>
      </c>
      <c r="E564" s="1" t="s">
        <v>1217</v>
      </c>
      <c r="F564" s="1" t="s">
        <v>1217</v>
      </c>
      <c r="G564" s="5"/>
      <c r="H564" s="1" t="s">
        <v>1217</v>
      </c>
      <c r="I564" s="1" t="s">
        <v>1217</v>
      </c>
      <c r="J564" s="1" t="s">
        <v>1217</v>
      </c>
      <c r="K564" s="1" t="s">
        <v>1218</v>
      </c>
      <c r="L564" s="3">
        <v>10</v>
      </c>
      <c r="M564" s="3">
        <f t="shared" si="8"/>
        <v>10</v>
      </c>
    </row>
    <row r="565" spans="1:13" x14ac:dyDescent="0.35">
      <c r="A565" s="1" t="s">
        <v>92</v>
      </c>
      <c r="B565" s="1">
        <v>97584</v>
      </c>
      <c r="C565" s="1">
        <v>18849</v>
      </c>
      <c r="D565" s="1">
        <v>60</v>
      </c>
      <c r="E565" s="1">
        <v>1</v>
      </c>
      <c r="F565" s="1">
        <v>8390.85</v>
      </c>
      <c r="G565" s="5">
        <v>61.47</v>
      </c>
      <c r="H565" s="1">
        <v>4053.64</v>
      </c>
      <c r="I565" s="1">
        <v>4337.21</v>
      </c>
      <c r="J565" s="1">
        <v>0</v>
      </c>
      <c r="K565" s="1" t="s">
        <v>1224</v>
      </c>
      <c r="L565" s="3">
        <v>485.62</v>
      </c>
      <c r="M565" s="3">
        <f t="shared" si="8"/>
        <v>424.15</v>
      </c>
    </row>
    <row r="566" spans="1:13" x14ac:dyDescent="0.35">
      <c r="A566" s="1" t="s">
        <v>92</v>
      </c>
      <c r="B566" s="1">
        <v>97584</v>
      </c>
      <c r="C566" s="1">
        <v>18849</v>
      </c>
      <c r="D566" s="1" t="s">
        <v>1217</v>
      </c>
      <c r="E566" s="1" t="s">
        <v>1217</v>
      </c>
      <c r="F566" s="1" t="s">
        <v>1217</v>
      </c>
      <c r="G566" s="5"/>
      <c r="H566" s="1" t="s">
        <v>1217</v>
      </c>
      <c r="I566" s="1" t="s">
        <v>1217</v>
      </c>
      <c r="J566" s="1" t="s">
        <v>1217</v>
      </c>
      <c r="K566" s="1" t="s">
        <v>1218</v>
      </c>
      <c r="L566" s="3">
        <v>10</v>
      </c>
      <c r="M566" s="3">
        <f t="shared" si="8"/>
        <v>10</v>
      </c>
    </row>
    <row r="567" spans="1:13" x14ac:dyDescent="0.35">
      <c r="A567" s="1" t="s">
        <v>862</v>
      </c>
      <c r="B567" s="1">
        <v>78445</v>
      </c>
      <c r="C567" s="1">
        <v>10064</v>
      </c>
      <c r="D567" s="1">
        <v>32</v>
      </c>
      <c r="E567" s="1">
        <v>0</v>
      </c>
      <c r="F567" s="1">
        <v>8485.2900000000009</v>
      </c>
      <c r="G567" s="5"/>
      <c r="H567" s="1">
        <v>917.84</v>
      </c>
      <c r="I567" s="1">
        <v>7567.45</v>
      </c>
      <c r="J567" s="1">
        <v>7274.74</v>
      </c>
      <c r="K567" s="1" t="s">
        <v>1226</v>
      </c>
      <c r="L567" s="3">
        <v>1571.65</v>
      </c>
      <c r="M567" s="3">
        <f t="shared" si="8"/>
        <v>1571.65</v>
      </c>
    </row>
    <row r="568" spans="1:13" x14ac:dyDescent="0.35">
      <c r="A568" s="1" t="s">
        <v>862</v>
      </c>
      <c r="B568" s="1">
        <v>78445</v>
      </c>
      <c r="C568" s="1">
        <v>10064</v>
      </c>
      <c r="D568" s="1" t="s">
        <v>1217</v>
      </c>
      <c r="E568" s="1" t="s">
        <v>1217</v>
      </c>
      <c r="F568" s="1" t="s">
        <v>1217</v>
      </c>
      <c r="G568" s="5"/>
      <c r="H568" s="1" t="s">
        <v>1217</v>
      </c>
      <c r="I568" s="1" t="s">
        <v>1217</v>
      </c>
      <c r="J568" s="1" t="s">
        <v>1217</v>
      </c>
      <c r="K568" s="1" t="s">
        <v>1265</v>
      </c>
      <c r="L568" s="3">
        <v>424.15</v>
      </c>
      <c r="M568" s="3">
        <f t="shared" si="8"/>
        <v>424.15</v>
      </c>
    </row>
    <row r="569" spans="1:13" x14ac:dyDescent="0.35">
      <c r="A569" s="1" t="s">
        <v>862</v>
      </c>
      <c r="B569" s="1">
        <v>78445</v>
      </c>
      <c r="C569" s="1">
        <v>10064</v>
      </c>
      <c r="D569" s="1" t="s">
        <v>1217</v>
      </c>
      <c r="E569" s="1" t="s">
        <v>1217</v>
      </c>
      <c r="F569" s="1" t="s">
        <v>1217</v>
      </c>
      <c r="G569" s="5"/>
      <c r="H569" s="1" t="s">
        <v>1217</v>
      </c>
      <c r="I569" s="1" t="s">
        <v>1217</v>
      </c>
      <c r="J569" s="1" t="s">
        <v>1217</v>
      </c>
      <c r="K569" s="1" t="s">
        <v>1218</v>
      </c>
      <c r="L569" s="3">
        <v>10</v>
      </c>
      <c r="M569" s="3">
        <f t="shared" si="8"/>
        <v>10</v>
      </c>
    </row>
    <row r="570" spans="1:13" x14ac:dyDescent="0.35">
      <c r="A570" s="1" t="s">
        <v>327</v>
      </c>
      <c r="B570" s="1">
        <v>79668</v>
      </c>
      <c r="C570" s="1">
        <v>17662</v>
      </c>
      <c r="D570" s="1">
        <v>17</v>
      </c>
      <c r="E570" s="1">
        <v>0</v>
      </c>
      <c r="F570" s="1">
        <v>2844.43</v>
      </c>
      <c r="G570" s="5"/>
      <c r="H570" s="1">
        <v>835.61</v>
      </c>
      <c r="I570" s="1">
        <v>2008.82</v>
      </c>
      <c r="J570" s="1">
        <v>0</v>
      </c>
      <c r="K570" s="1" t="s">
        <v>1212</v>
      </c>
      <c r="L570" s="3">
        <v>254.15</v>
      </c>
      <c r="M570" s="3">
        <f t="shared" si="8"/>
        <v>254.15</v>
      </c>
    </row>
    <row r="571" spans="1:13" x14ac:dyDescent="0.35">
      <c r="A571" s="1" t="s">
        <v>758</v>
      </c>
      <c r="B571" s="1">
        <v>85476</v>
      </c>
      <c r="C571" s="1">
        <v>18017</v>
      </c>
      <c r="D571" s="1">
        <v>39</v>
      </c>
      <c r="E571" s="1">
        <v>0</v>
      </c>
      <c r="F571" s="1">
        <v>14934.04</v>
      </c>
      <c r="G571" s="5">
        <v>478.45</v>
      </c>
      <c r="H571" s="1">
        <v>3437.87</v>
      </c>
      <c r="I571" s="1">
        <v>11496.17</v>
      </c>
      <c r="J571" s="1">
        <v>0</v>
      </c>
      <c r="K571" s="1" t="s">
        <v>1255</v>
      </c>
      <c r="L571" s="3">
        <v>902.6</v>
      </c>
      <c r="M571" s="3">
        <f t="shared" si="8"/>
        <v>424.15000000000003</v>
      </c>
    </row>
    <row r="572" spans="1:13" x14ac:dyDescent="0.35">
      <c r="A572" s="1" t="s">
        <v>758</v>
      </c>
      <c r="B572" s="1">
        <v>85476</v>
      </c>
      <c r="C572" s="1">
        <v>18017</v>
      </c>
      <c r="D572" s="1" t="s">
        <v>1217</v>
      </c>
      <c r="E572" s="1" t="s">
        <v>1217</v>
      </c>
      <c r="F572" s="1" t="s">
        <v>1217</v>
      </c>
      <c r="G572" s="5"/>
      <c r="H572" s="1" t="s">
        <v>1217</v>
      </c>
      <c r="I572" s="1" t="s">
        <v>1217</v>
      </c>
      <c r="J572" s="1" t="s">
        <v>1217</v>
      </c>
      <c r="K572" s="1" t="s">
        <v>1218</v>
      </c>
      <c r="L572" s="3">
        <v>10</v>
      </c>
      <c r="M572" s="3">
        <f t="shared" si="8"/>
        <v>10</v>
      </c>
    </row>
    <row r="573" spans="1:13" x14ac:dyDescent="0.35">
      <c r="A573" s="1" t="s">
        <v>355</v>
      </c>
      <c r="B573" s="1">
        <v>186595</v>
      </c>
      <c r="C573" s="1">
        <v>5407</v>
      </c>
      <c r="D573" s="1">
        <v>0</v>
      </c>
      <c r="E573" s="1">
        <v>0</v>
      </c>
      <c r="F573" s="1">
        <v>0</v>
      </c>
      <c r="G573" s="5"/>
      <c r="H573" s="1">
        <v>0</v>
      </c>
      <c r="I573" s="1">
        <v>0</v>
      </c>
      <c r="J573" s="1">
        <v>0</v>
      </c>
      <c r="K573" s="1" t="s">
        <v>1214</v>
      </c>
      <c r="L573" s="3">
        <v>0</v>
      </c>
      <c r="M573" s="3">
        <f t="shared" si="8"/>
        <v>0</v>
      </c>
    </row>
    <row r="574" spans="1:13" x14ac:dyDescent="0.35">
      <c r="A574" s="1" t="s">
        <v>606</v>
      </c>
      <c r="B574" s="1">
        <v>117481</v>
      </c>
      <c r="C574" s="1">
        <v>19614</v>
      </c>
      <c r="D574" s="1">
        <v>70</v>
      </c>
      <c r="E574" s="1">
        <v>0</v>
      </c>
      <c r="F574" s="1">
        <v>9646.32</v>
      </c>
      <c r="G574" s="5"/>
      <c r="H574" s="1">
        <v>4321.6000000000004</v>
      </c>
      <c r="I574" s="1">
        <v>5324.72</v>
      </c>
      <c r="J574" s="1">
        <v>9083.09</v>
      </c>
      <c r="K574" s="1" t="s">
        <v>1229</v>
      </c>
      <c r="L574" s="3">
        <v>1274.1500000000001</v>
      </c>
      <c r="M574" s="3">
        <f t="shared" si="8"/>
        <v>1274.1500000000001</v>
      </c>
    </row>
    <row r="575" spans="1:13" x14ac:dyDescent="0.35">
      <c r="A575" s="1" t="s">
        <v>606</v>
      </c>
      <c r="B575" s="1">
        <v>117481</v>
      </c>
      <c r="C575" s="1">
        <v>19614</v>
      </c>
      <c r="D575" s="1" t="s">
        <v>1217</v>
      </c>
      <c r="E575" s="1" t="s">
        <v>1217</v>
      </c>
      <c r="F575" s="1" t="s">
        <v>1217</v>
      </c>
      <c r="G575" s="5"/>
      <c r="H575" s="1" t="s">
        <v>1217</v>
      </c>
      <c r="I575" s="1" t="s">
        <v>1217</v>
      </c>
      <c r="J575" s="1" t="s">
        <v>1217</v>
      </c>
      <c r="K575" s="1" t="s">
        <v>1218</v>
      </c>
      <c r="L575" s="3">
        <v>10</v>
      </c>
      <c r="M575" s="3">
        <f t="shared" si="8"/>
        <v>10</v>
      </c>
    </row>
    <row r="576" spans="1:13" x14ac:dyDescent="0.35">
      <c r="A576" s="1" t="s">
        <v>400</v>
      </c>
      <c r="B576" s="1">
        <v>91848</v>
      </c>
      <c r="C576" s="1">
        <v>18468</v>
      </c>
      <c r="D576" s="1">
        <v>64</v>
      </c>
      <c r="E576" s="1">
        <v>0</v>
      </c>
      <c r="F576" s="1">
        <v>101.27</v>
      </c>
      <c r="G576" s="5"/>
      <c r="H576" s="1">
        <v>101.27</v>
      </c>
      <c r="I576" s="1">
        <v>0</v>
      </c>
      <c r="J576" s="1">
        <v>0</v>
      </c>
      <c r="K576" s="1" t="s">
        <v>1224</v>
      </c>
      <c r="L576" s="3">
        <v>424.15</v>
      </c>
      <c r="M576" s="3">
        <f t="shared" si="8"/>
        <v>424.15</v>
      </c>
    </row>
    <row r="577" spans="1:13" x14ac:dyDescent="0.35">
      <c r="A577" s="1" t="s">
        <v>401</v>
      </c>
      <c r="B577" s="1">
        <v>91849</v>
      </c>
      <c r="C577" s="1">
        <v>18469</v>
      </c>
      <c r="D577" s="1">
        <v>20</v>
      </c>
      <c r="E577" s="1">
        <v>0</v>
      </c>
      <c r="F577" s="1">
        <v>12.96</v>
      </c>
      <c r="G577" s="5"/>
      <c r="H577" s="1">
        <v>12.96</v>
      </c>
      <c r="I577" s="1">
        <v>0</v>
      </c>
      <c r="J577" s="1">
        <v>0</v>
      </c>
      <c r="K577" s="1" t="s">
        <v>1224</v>
      </c>
      <c r="L577" s="3">
        <v>424.15</v>
      </c>
      <c r="M577" s="3">
        <f t="shared" si="8"/>
        <v>424.15</v>
      </c>
    </row>
    <row r="578" spans="1:13" x14ac:dyDescent="0.35">
      <c r="A578" s="1" t="s">
        <v>681</v>
      </c>
      <c r="B578" s="1">
        <v>160092</v>
      </c>
      <c r="C578" s="1">
        <v>29628</v>
      </c>
      <c r="D578" s="1">
        <v>22</v>
      </c>
      <c r="E578" s="1">
        <v>0</v>
      </c>
      <c r="F578" s="1">
        <v>97.64</v>
      </c>
      <c r="G578" s="5"/>
      <c r="H578" s="1">
        <v>2.3199999999999998</v>
      </c>
      <c r="I578" s="1">
        <v>95.32</v>
      </c>
      <c r="J578" s="1">
        <v>0</v>
      </c>
      <c r="K578" s="1" t="s">
        <v>1216</v>
      </c>
      <c r="L578" s="3">
        <v>254.15</v>
      </c>
      <c r="M578" s="3">
        <f t="shared" ref="M578:M641" si="9">+L578-G578</f>
        <v>254.15</v>
      </c>
    </row>
    <row r="579" spans="1:13" x14ac:dyDescent="0.35">
      <c r="A579" s="1" t="s">
        <v>681</v>
      </c>
      <c r="B579" s="1">
        <v>160092</v>
      </c>
      <c r="C579" s="1">
        <v>29628</v>
      </c>
      <c r="D579" s="1" t="s">
        <v>1217</v>
      </c>
      <c r="E579" s="1" t="s">
        <v>1217</v>
      </c>
      <c r="F579" s="1" t="s">
        <v>1217</v>
      </c>
      <c r="G579" s="5"/>
      <c r="H579" s="1" t="s">
        <v>1217</v>
      </c>
      <c r="I579" s="1" t="s">
        <v>1217</v>
      </c>
      <c r="J579" s="1" t="s">
        <v>1217</v>
      </c>
      <c r="K579" s="1" t="s">
        <v>1218</v>
      </c>
      <c r="L579" s="3">
        <v>10</v>
      </c>
      <c r="M579" s="3">
        <f t="shared" si="9"/>
        <v>10</v>
      </c>
    </row>
    <row r="580" spans="1:13" x14ac:dyDescent="0.35">
      <c r="A580" s="1" t="s">
        <v>683</v>
      </c>
      <c r="B580" s="1">
        <v>160095</v>
      </c>
      <c r="C580" s="1">
        <v>29629</v>
      </c>
      <c r="D580" s="1">
        <v>12</v>
      </c>
      <c r="E580" s="1">
        <v>0</v>
      </c>
      <c r="F580" s="1">
        <v>25.31</v>
      </c>
      <c r="G580" s="5"/>
      <c r="H580" s="1">
        <v>12.33</v>
      </c>
      <c r="I580" s="1">
        <v>12.98</v>
      </c>
      <c r="J580" s="1">
        <v>0</v>
      </c>
      <c r="K580" s="1" t="s">
        <v>1216</v>
      </c>
      <c r="L580" s="3">
        <v>254.15</v>
      </c>
      <c r="M580" s="3">
        <f t="shared" si="9"/>
        <v>254.15</v>
      </c>
    </row>
    <row r="581" spans="1:13" x14ac:dyDescent="0.35">
      <c r="A581" s="1" t="s">
        <v>683</v>
      </c>
      <c r="B581" s="1">
        <v>160095</v>
      </c>
      <c r="C581" s="1">
        <v>29629</v>
      </c>
      <c r="D581" s="1" t="s">
        <v>1217</v>
      </c>
      <c r="E581" s="1" t="s">
        <v>1217</v>
      </c>
      <c r="F581" s="1" t="s">
        <v>1217</v>
      </c>
      <c r="G581" s="5"/>
      <c r="H581" s="1" t="s">
        <v>1217</v>
      </c>
      <c r="I581" s="1" t="s">
        <v>1217</v>
      </c>
      <c r="J581" s="1" t="s">
        <v>1217</v>
      </c>
      <c r="K581" s="1" t="s">
        <v>1218</v>
      </c>
      <c r="L581" s="3">
        <v>10</v>
      </c>
      <c r="M581" s="3">
        <f t="shared" si="9"/>
        <v>10</v>
      </c>
    </row>
    <row r="582" spans="1:13" x14ac:dyDescent="0.35">
      <c r="A582" s="1" t="s">
        <v>491</v>
      </c>
      <c r="B582" s="1">
        <v>153501</v>
      </c>
      <c r="C582" s="1">
        <v>27305</v>
      </c>
      <c r="D582" s="1">
        <v>19</v>
      </c>
      <c r="E582" s="1">
        <v>0</v>
      </c>
      <c r="F582" s="1">
        <v>10651.94</v>
      </c>
      <c r="G582" s="5">
        <v>493.48</v>
      </c>
      <c r="H582" s="1">
        <v>7574.73</v>
      </c>
      <c r="I582" s="1">
        <v>3077.21</v>
      </c>
      <c r="J582" s="1">
        <v>0</v>
      </c>
      <c r="K582" s="1" t="s">
        <v>1216</v>
      </c>
      <c r="L582" s="3">
        <v>747.63</v>
      </c>
      <c r="M582" s="3">
        <f t="shared" si="9"/>
        <v>254.14999999999998</v>
      </c>
    </row>
    <row r="583" spans="1:13" x14ac:dyDescent="0.35">
      <c r="A583" s="1" t="s">
        <v>491</v>
      </c>
      <c r="B583" s="1">
        <v>153501</v>
      </c>
      <c r="C583" s="1">
        <v>27305</v>
      </c>
      <c r="D583" s="1" t="s">
        <v>1217</v>
      </c>
      <c r="E583" s="1" t="s">
        <v>1217</v>
      </c>
      <c r="F583" s="1" t="s">
        <v>1217</v>
      </c>
      <c r="G583" s="5"/>
      <c r="H583" s="1" t="s">
        <v>1217</v>
      </c>
      <c r="I583" s="1" t="s">
        <v>1217</v>
      </c>
      <c r="J583" s="1" t="s">
        <v>1217</v>
      </c>
      <c r="K583" s="1" t="s">
        <v>1218</v>
      </c>
      <c r="L583" s="3">
        <v>10</v>
      </c>
      <c r="M583" s="3">
        <f t="shared" si="9"/>
        <v>10</v>
      </c>
    </row>
    <row r="584" spans="1:13" x14ac:dyDescent="0.35">
      <c r="A584" s="1" t="s">
        <v>830</v>
      </c>
      <c r="B584" s="1">
        <v>91436</v>
      </c>
      <c r="C584" s="1">
        <v>18454</v>
      </c>
      <c r="D584" s="1">
        <v>19</v>
      </c>
      <c r="E584" s="1">
        <v>0</v>
      </c>
      <c r="F584" s="1">
        <v>8641.2199999999993</v>
      </c>
      <c r="G584" s="5">
        <v>44.24</v>
      </c>
      <c r="H584" s="1">
        <v>720.52</v>
      </c>
      <c r="I584" s="1">
        <v>7920.7</v>
      </c>
      <c r="J584" s="1">
        <v>0</v>
      </c>
      <c r="K584" s="1" t="s">
        <v>1255</v>
      </c>
      <c r="L584" s="3">
        <v>468.39</v>
      </c>
      <c r="M584" s="3">
        <f t="shared" si="9"/>
        <v>424.15</v>
      </c>
    </row>
    <row r="585" spans="1:13" x14ac:dyDescent="0.35">
      <c r="A585" s="1" t="s">
        <v>830</v>
      </c>
      <c r="B585" s="1">
        <v>91436</v>
      </c>
      <c r="C585" s="1">
        <v>18454</v>
      </c>
      <c r="D585" s="1" t="s">
        <v>1217</v>
      </c>
      <c r="E585" s="1" t="s">
        <v>1217</v>
      </c>
      <c r="F585" s="1" t="s">
        <v>1217</v>
      </c>
      <c r="G585" s="5"/>
      <c r="H585" s="1" t="s">
        <v>1217</v>
      </c>
      <c r="I585" s="1" t="s">
        <v>1217</v>
      </c>
      <c r="J585" s="1" t="s">
        <v>1217</v>
      </c>
      <c r="K585" s="1" t="s">
        <v>1218</v>
      </c>
      <c r="L585" s="3">
        <v>10</v>
      </c>
      <c r="M585" s="3">
        <f t="shared" si="9"/>
        <v>10</v>
      </c>
    </row>
    <row r="586" spans="1:13" x14ac:dyDescent="0.35">
      <c r="A586" s="1" t="s">
        <v>839</v>
      </c>
      <c r="B586" s="1">
        <v>188774</v>
      </c>
      <c r="C586" s="1">
        <v>32051</v>
      </c>
      <c r="D586" s="1">
        <v>25</v>
      </c>
      <c r="E586" s="1">
        <v>0</v>
      </c>
      <c r="F586" s="1">
        <v>493.73</v>
      </c>
      <c r="G586" s="5"/>
      <c r="H586" s="1">
        <v>428.69</v>
      </c>
      <c r="I586" s="1">
        <v>65.040000000000006</v>
      </c>
      <c r="J586" s="1">
        <v>483.09</v>
      </c>
      <c r="K586" s="1" t="s">
        <v>1231</v>
      </c>
      <c r="L586" s="3">
        <v>1019</v>
      </c>
      <c r="M586" s="3">
        <f t="shared" si="9"/>
        <v>1019</v>
      </c>
    </row>
    <row r="587" spans="1:13" x14ac:dyDescent="0.35">
      <c r="A587" s="1" t="s">
        <v>839</v>
      </c>
      <c r="B587" s="1">
        <v>188774</v>
      </c>
      <c r="C587" s="1">
        <v>32051</v>
      </c>
      <c r="D587" s="1" t="s">
        <v>1217</v>
      </c>
      <c r="E587" s="1" t="s">
        <v>1217</v>
      </c>
      <c r="F587" s="1" t="s">
        <v>1217</v>
      </c>
      <c r="G587" s="5"/>
      <c r="H587" s="1" t="s">
        <v>1217</v>
      </c>
      <c r="I587" s="1" t="s">
        <v>1217</v>
      </c>
      <c r="J587" s="1" t="s">
        <v>1217</v>
      </c>
      <c r="K587" s="1" t="s">
        <v>1218</v>
      </c>
      <c r="L587" s="3">
        <v>10</v>
      </c>
      <c r="M587" s="3">
        <f t="shared" si="9"/>
        <v>10</v>
      </c>
    </row>
    <row r="588" spans="1:13" x14ac:dyDescent="0.35">
      <c r="A588" s="1" t="s">
        <v>445</v>
      </c>
      <c r="B588" s="1">
        <v>186132</v>
      </c>
      <c r="C588" s="1">
        <v>76232941</v>
      </c>
      <c r="D588" s="1">
        <v>50</v>
      </c>
      <c r="E588" s="1">
        <v>0</v>
      </c>
      <c r="F588" s="1">
        <v>1889.87</v>
      </c>
      <c r="G588" s="5"/>
      <c r="H588" s="1">
        <v>825.97</v>
      </c>
      <c r="I588" s="1">
        <v>1063.9000000000001</v>
      </c>
      <c r="J588" s="1">
        <v>1788.65</v>
      </c>
      <c r="K588" s="1" t="s">
        <v>1229</v>
      </c>
      <c r="L588" s="3">
        <v>1274.1500000000001</v>
      </c>
      <c r="M588" s="3">
        <f t="shared" si="9"/>
        <v>1274.1500000000001</v>
      </c>
    </row>
    <row r="589" spans="1:13" x14ac:dyDescent="0.35">
      <c r="A589" s="1" t="s">
        <v>445</v>
      </c>
      <c r="B589" s="1">
        <v>186132</v>
      </c>
      <c r="C589" s="1">
        <v>76232941</v>
      </c>
      <c r="D589" s="1" t="s">
        <v>1217</v>
      </c>
      <c r="E589" s="1" t="s">
        <v>1217</v>
      </c>
      <c r="F589" s="1" t="s">
        <v>1217</v>
      </c>
      <c r="G589" s="5"/>
      <c r="H589" s="1" t="s">
        <v>1217</v>
      </c>
      <c r="I589" s="1" t="s">
        <v>1217</v>
      </c>
      <c r="J589" s="1" t="s">
        <v>1217</v>
      </c>
      <c r="K589" s="1" t="s">
        <v>1218</v>
      </c>
      <c r="L589" s="3">
        <v>10</v>
      </c>
      <c r="M589" s="3">
        <f t="shared" si="9"/>
        <v>10</v>
      </c>
    </row>
    <row r="590" spans="1:13" x14ac:dyDescent="0.35">
      <c r="A590" s="1" t="s">
        <v>447</v>
      </c>
      <c r="B590" s="1">
        <v>186133</v>
      </c>
      <c r="C590" s="1">
        <v>76243311</v>
      </c>
      <c r="D590" s="1">
        <v>41</v>
      </c>
      <c r="E590" s="1">
        <v>0</v>
      </c>
      <c r="F590" s="1">
        <v>6293.54</v>
      </c>
      <c r="G590" s="5"/>
      <c r="H590" s="1">
        <v>2519.1</v>
      </c>
      <c r="I590" s="1">
        <v>3774.44</v>
      </c>
      <c r="J590" s="1">
        <v>5921.53</v>
      </c>
      <c r="K590" s="1" t="s">
        <v>1229</v>
      </c>
      <c r="L590" s="3">
        <v>1274.1500000000001</v>
      </c>
      <c r="M590" s="3">
        <f t="shared" si="9"/>
        <v>1274.1500000000001</v>
      </c>
    </row>
    <row r="591" spans="1:13" x14ac:dyDescent="0.35">
      <c r="A591" s="1" t="s">
        <v>447</v>
      </c>
      <c r="B591" s="1">
        <v>186133</v>
      </c>
      <c r="C591" s="1">
        <v>76243311</v>
      </c>
      <c r="D591" s="1" t="s">
        <v>1217</v>
      </c>
      <c r="E591" s="1" t="s">
        <v>1217</v>
      </c>
      <c r="F591" s="1" t="s">
        <v>1217</v>
      </c>
      <c r="G591" s="5"/>
      <c r="H591" s="1" t="s">
        <v>1217</v>
      </c>
      <c r="I591" s="1" t="s">
        <v>1217</v>
      </c>
      <c r="J591" s="1" t="s">
        <v>1217</v>
      </c>
      <c r="K591" s="1" t="s">
        <v>1218</v>
      </c>
      <c r="L591" s="3">
        <v>10</v>
      </c>
      <c r="M591" s="3">
        <f t="shared" si="9"/>
        <v>10</v>
      </c>
    </row>
    <row r="592" spans="1:13" x14ac:dyDescent="0.35">
      <c r="A592" s="1" t="s">
        <v>449</v>
      </c>
      <c r="B592" s="1">
        <v>186134</v>
      </c>
      <c r="C592" s="1">
        <v>76228449</v>
      </c>
      <c r="D592" s="1">
        <v>39</v>
      </c>
      <c r="E592" s="1">
        <v>0</v>
      </c>
      <c r="F592" s="1">
        <v>499.87</v>
      </c>
      <c r="G592" s="5"/>
      <c r="H592" s="1">
        <v>431.86</v>
      </c>
      <c r="I592" s="1">
        <v>68.010000000000005</v>
      </c>
      <c r="J592" s="1">
        <v>479.97</v>
      </c>
      <c r="K592" s="1" t="s">
        <v>1229</v>
      </c>
      <c r="L592" s="3">
        <v>1274.1500000000001</v>
      </c>
      <c r="M592" s="3">
        <f t="shared" si="9"/>
        <v>1274.1500000000001</v>
      </c>
    </row>
    <row r="593" spans="1:13" x14ac:dyDescent="0.35">
      <c r="A593" s="1" t="s">
        <v>449</v>
      </c>
      <c r="B593" s="1">
        <v>186134</v>
      </c>
      <c r="C593" s="1">
        <v>76228449</v>
      </c>
      <c r="D593" s="1" t="s">
        <v>1217</v>
      </c>
      <c r="E593" s="1" t="s">
        <v>1217</v>
      </c>
      <c r="F593" s="1" t="s">
        <v>1217</v>
      </c>
      <c r="G593" s="5"/>
      <c r="H593" s="1" t="s">
        <v>1217</v>
      </c>
      <c r="I593" s="1" t="s">
        <v>1217</v>
      </c>
      <c r="J593" s="1" t="s">
        <v>1217</v>
      </c>
      <c r="K593" s="1" t="s">
        <v>1218</v>
      </c>
      <c r="L593" s="3">
        <v>10</v>
      </c>
      <c r="M593" s="3">
        <f t="shared" si="9"/>
        <v>10</v>
      </c>
    </row>
    <row r="594" spans="1:13" x14ac:dyDescent="0.35">
      <c r="A594" s="1" t="s">
        <v>1266</v>
      </c>
      <c r="B594" s="1">
        <v>188726</v>
      </c>
      <c r="C594" s="1">
        <v>32050</v>
      </c>
      <c r="D594" s="1">
        <v>26</v>
      </c>
      <c r="E594" s="1">
        <v>0</v>
      </c>
      <c r="F594" s="1">
        <v>2635.59</v>
      </c>
      <c r="G594" s="5"/>
      <c r="H594" s="1">
        <v>864.96</v>
      </c>
      <c r="I594" s="1">
        <v>1770.63</v>
      </c>
      <c r="J594" s="1">
        <v>2229.1999999999998</v>
      </c>
      <c r="K594" s="1" t="s">
        <v>1231</v>
      </c>
      <c r="L594" s="3">
        <v>1019</v>
      </c>
      <c r="M594" s="3">
        <f t="shared" si="9"/>
        <v>1019</v>
      </c>
    </row>
    <row r="595" spans="1:13" x14ac:dyDescent="0.35">
      <c r="A595" s="1" t="s">
        <v>1266</v>
      </c>
      <c r="B595" s="1">
        <v>188726</v>
      </c>
      <c r="C595" s="1">
        <v>32050</v>
      </c>
      <c r="D595" s="1" t="s">
        <v>1217</v>
      </c>
      <c r="E595" s="1" t="s">
        <v>1217</v>
      </c>
      <c r="F595" s="1" t="s">
        <v>1217</v>
      </c>
      <c r="G595" s="5"/>
      <c r="H595" s="1" t="s">
        <v>1217</v>
      </c>
      <c r="I595" s="1" t="s">
        <v>1217</v>
      </c>
      <c r="J595" s="1" t="s">
        <v>1217</v>
      </c>
      <c r="K595" s="1" t="s">
        <v>1218</v>
      </c>
      <c r="L595" s="3">
        <v>10</v>
      </c>
      <c r="M595" s="3">
        <f t="shared" si="9"/>
        <v>10</v>
      </c>
    </row>
    <row r="596" spans="1:13" x14ac:dyDescent="0.35">
      <c r="A596" s="1" t="s">
        <v>451</v>
      </c>
      <c r="B596" s="1">
        <v>186130</v>
      </c>
      <c r="C596" s="1">
        <v>76230046</v>
      </c>
      <c r="D596" s="1">
        <v>34</v>
      </c>
      <c r="E596" s="1">
        <v>0</v>
      </c>
      <c r="F596" s="1">
        <v>1137.6500000000001</v>
      </c>
      <c r="G596" s="5"/>
      <c r="H596" s="1">
        <v>524.35</v>
      </c>
      <c r="I596" s="1">
        <v>613.29999999999995</v>
      </c>
      <c r="J596" s="1">
        <v>1109.33</v>
      </c>
      <c r="K596" s="1" t="s">
        <v>1229</v>
      </c>
      <c r="L596" s="3">
        <v>1274.1500000000001</v>
      </c>
      <c r="M596" s="3">
        <f t="shared" si="9"/>
        <v>1274.1500000000001</v>
      </c>
    </row>
    <row r="597" spans="1:13" x14ac:dyDescent="0.35">
      <c r="A597" s="1" t="s">
        <v>451</v>
      </c>
      <c r="B597" s="1">
        <v>186130</v>
      </c>
      <c r="C597" s="1">
        <v>76230046</v>
      </c>
      <c r="D597" s="1" t="s">
        <v>1217</v>
      </c>
      <c r="E597" s="1" t="s">
        <v>1217</v>
      </c>
      <c r="F597" s="1" t="s">
        <v>1217</v>
      </c>
      <c r="G597" s="5"/>
      <c r="H597" s="1" t="s">
        <v>1217</v>
      </c>
      <c r="I597" s="1" t="s">
        <v>1217</v>
      </c>
      <c r="J597" s="1" t="s">
        <v>1217</v>
      </c>
      <c r="K597" s="1" t="s">
        <v>1218</v>
      </c>
      <c r="L597" s="3">
        <v>10</v>
      </c>
      <c r="M597" s="3">
        <f t="shared" si="9"/>
        <v>10</v>
      </c>
    </row>
    <row r="598" spans="1:13" x14ac:dyDescent="0.35">
      <c r="A598" s="1" t="s">
        <v>262</v>
      </c>
      <c r="B598" s="1">
        <v>138485</v>
      </c>
      <c r="C598" s="1">
        <v>22454</v>
      </c>
      <c r="D598" s="1">
        <v>37</v>
      </c>
      <c r="E598" s="1">
        <v>0</v>
      </c>
      <c r="F598" s="1">
        <v>18267.36</v>
      </c>
      <c r="G598" s="5"/>
      <c r="H598" s="1">
        <v>9599.34</v>
      </c>
      <c r="I598" s="1">
        <v>8668.02</v>
      </c>
      <c r="J598" s="1">
        <v>8544.74</v>
      </c>
      <c r="K598" s="1" t="s">
        <v>1227</v>
      </c>
      <c r="L598" s="3">
        <v>1571.65</v>
      </c>
      <c r="M598" s="3">
        <f t="shared" si="9"/>
        <v>1571.65</v>
      </c>
    </row>
    <row r="599" spans="1:13" x14ac:dyDescent="0.35">
      <c r="A599" s="1" t="s">
        <v>262</v>
      </c>
      <c r="B599" s="1">
        <v>138485</v>
      </c>
      <c r="C599" s="1">
        <v>22454</v>
      </c>
      <c r="D599" s="1" t="s">
        <v>1217</v>
      </c>
      <c r="E599" s="1" t="s">
        <v>1217</v>
      </c>
      <c r="F599" s="1" t="s">
        <v>1217</v>
      </c>
      <c r="G599" s="5"/>
      <c r="H599" s="1" t="s">
        <v>1217</v>
      </c>
      <c r="I599" s="1" t="s">
        <v>1217</v>
      </c>
      <c r="J599" s="1" t="s">
        <v>1217</v>
      </c>
      <c r="K599" s="1" t="s">
        <v>1218</v>
      </c>
      <c r="L599" s="3">
        <v>10</v>
      </c>
      <c r="M599" s="3">
        <f t="shared" si="9"/>
        <v>10</v>
      </c>
    </row>
    <row r="600" spans="1:13" x14ac:dyDescent="0.35">
      <c r="A600" s="1" t="s">
        <v>264</v>
      </c>
      <c r="B600" s="1">
        <v>153774</v>
      </c>
      <c r="C600" s="1">
        <v>27795</v>
      </c>
      <c r="D600" s="1">
        <v>39</v>
      </c>
      <c r="E600" s="1">
        <v>0</v>
      </c>
      <c r="F600" s="1">
        <v>17073.86</v>
      </c>
      <c r="G600" s="5"/>
      <c r="H600" s="1">
        <v>6655.97</v>
      </c>
      <c r="I600" s="1">
        <v>10417.89</v>
      </c>
      <c r="J600" s="1">
        <v>10871.58</v>
      </c>
      <c r="K600" s="1" t="s">
        <v>1227</v>
      </c>
      <c r="L600" s="3">
        <v>1571.65</v>
      </c>
      <c r="M600" s="3">
        <f t="shared" si="9"/>
        <v>1571.65</v>
      </c>
    </row>
    <row r="601" spans="1:13" x14ac:dyDescent="0.35">
      <c r="A601" s="1" t="s">
        <v>264</v>
      </c>
      <c r="B601" s="1">
        <v>153774</v>
      </c>
      <c r="C601" s="1">
        <v>27795</v>
      </c>
      <c r="D601" s="1" t="s">
        <v>1217</v>
      </c>
      <c r="E601" s="1" t="s">
        <v>1217</v>
      </c>
      <c r="F601" s="1" t="s">
        <v>1217</v>
      </c>
      <c r="G601" s="5"/>
      <c r="H601" s="1" t="s">
        <v>1217</v>
      </c>
      <c r="I601" s="1" t="s">
        <v>1217</v>
      </c>
      <c r="J601" s="1" t="s">
        <v>1217</v>
      </c>
      <c r="K601" s="1" t="s">
        <v>1218</v>
      </c>
      <c r="L601" s="3">
        <v>10</v>
      </c>
      <c r="M601" s="3">
        <f t="shared" si="9"/>
        <v>10</v>
      </c>
    </row>
    <row r="602" spans="1:13" x14ac:dyDescent="0.35">
      <c r="A602" s="1" t="s">
        <v>266</v>
      </c>
      <c r="B602" s="1">
        <v>76163</v>
      </c>
      <c r="C602" s="1">
        <v>6660</v>
      </c>
      <c r="D602" s="1">
        <v>38</v>
      </c>
      <c r="E602" s="1">
        <v>0</v>
      </c>
      <c r="F602" s="1">
        <v>14663.07</v>
      </c>
      <c r="G602" s="5"/>
      <c r="H602" s="1">
        <v>5816.89</v>
      </c>
      <c r="I602" s="1">
        <v>8846.18</v>
      </c>
      <c r="J602" s="1">
        <v>8102.59</v>
      </c>
      <c r="K602" s="1" t="s">
        <v>1227</v>
      </c>
      <c r="L602" s="3">
        <v>1571.65</v>
      </c>
      <c r="M602" s="3">
        <f t="shared" si="9"/>
        <v>1571.65</v>
      </c>
    </row>
    <row r="603" spans="1:13" x14ac:dyDescent="0.35">
      <c r="A603" s="1" t="s">
        <v>266</v>
      </c>
      <c r="B603" s="1">
        <v>76163</v>
      </c>
      <c r="C603" s="1">
        <v>6660</v>
      </c>
      <c r="D603" s="1" t="s">
        <v>1217</v>
      </c>
      <c r="E603" s="1" t="s">
        <v>1217</v>
      </c>
      <c r="F603" s="1" t="s">
        <v>1217</v>
      </c>
      <c r="G603" s="5"/>
      <c r="H603" s="1" t="s">
        <v>1217</v>
      </c>
      <c r="I603" s="1" t="s">
        <v>1217</v>
      </c>
      <c r="J603" s="1" t="s">
        <v>1217</v>
      </c>
      <c r="K603" s="1" t="s">
        <v>1218</v>
      </c>
      <c r="L603" s="3">
        <v>10</v>
      </c>
      <c r="M603" s="3">
        <f t="shared" si="9"/>
        <v>10</v>
      </c>
    </row>
    <row r="604" spans="1:13" x14ac:dyDescent="0.35">
      <c r="A604" s="1" t="s">
        <v>268</v>
      </c>
      <c r="B604" s="1">
        <v>118740</v>
      </c>
      <c r="C604" s="1">
        <v>19659</v>
      </c>
      <c r="D604" s="1">
        <v>35</v>
      </c>
      <c r="E604" s="1">
        <v>1</v>
      </c>
      <c r="F604" s="1">
        <v>19836.939999999999</v>
      </c>
      <c r="G604" s="5"/>
      <c r="H604" s="1">
        <v>8850.7199999999993</v>
      </c>
      <c r="I604" s="1">
        <v>10986.22</v>
      </c>
      <c r="J604" s="1">
        <v>12476.34</v>
      </c>
      <c r="K604" s="1" t="s">
        <v>1227</v>
      </c>
      <c r="L604" s="3">
        <v>1571.65</v>
      </c>
      <c r="M604" s="3">
        <f t="shared" si="9"/>
        <v>1571.65</v>
      </c>
    </row>
    <row r="605" spans="1:13" x14ac:dyDescent="0.35">
      <c r="A605" s="1" t="s">
        <v>268</v>
      </c>
      <c r="B605" s="1">
        <v>118740</v>
      </c>
      <c r="C605" s="1">
        <v>19659</v>
      </c>
      <c r="D605" s="1" t="s">
        <v>1217</v>
      </c>
      <c r="E605" s="1" t="s">
        <v>1217</v>
      </c>
      <c r="F605" s="1" t="s">
        <v>1217</v>
      </c>
      <c r="G605" s="5"/>
      <c r="H605" s="1" t="s">
        <v>1217</v>
      </c>
      <c r="I605" s="1" t="s">
        <v>1217</v>
      </c>
      <c r="J605" s="1" t="s">
        <v>1217</v>
      </c>
      <c r="K605" s="1" t="s">
        <v>1218</v>
      </c>
      <c r="L605" s="3">
        <v>10</v>
      </c>
      <c r="M605" s="3">
        <f t="shared" si="9"/>
        <v>10</v>
      </c>
    </row>
    <row r="606" spans="1:13" x14ac:dyDescent="0.35">
      <c r="A606" s="1" t="s">
        <v>253</v>
      </c>
      <c r="B606" s="1">
        <v>156700</v>
      </c>
      <c r="C606" s="1">
        <v>28612</v>
      </c>
      <c r="D606" s="1">
        <v>78</v>
      </c>
      <c r="E606" s="1">
        <v>0</v>
      </c>
      <c r="F606" s="1">
        <v>29704.12</v>
      </c>
      <c r="G606" s="5"/>
      <c r="H606" s="1">
        <v>13648.75</v>
      </c>
      <c r="I606" s="1">
        <v>16055.37</v>
      </c>
      <c r="J606" s="1">
        <v>17170.03</v>
      </c>
      <c r="K606" s="1" t="s">
        <v>1227</v>
      </c>
      <c r="L606" s="3">
        <v>1571.65</v>
      </c>
      <c r="M606" s="3">
        <f t="shared" si="9"/>
        <v>1571.65</v>
      </c>
    </row>
    <row r="607" spans="1:13" x14ac:dyDescent="0.35">
      <c r="A607" s="1" t="s">
        <v>253</v>
      </c>
      <c r="B607" s="1">
        <v>156700</v>
      </c>
      <c r="C607" s="1">
        <v>28612</v>
      </c>
      <c r="D607" s="1" t="s">
        <v>1217</v>
      </c>
      <c r="E607" s="1" t="s">
        <v>1217</v>
      </c>
      <c r="F607" s="1" t="s">
        <v>1217</v>
      </c>
      <c r="G607" s="5"/>
      <c r="H607" s="1" t="s">
        <v>1217</v>
      </c>
      <c r="I607" s="1" t="s">
        <v>1217</v>
      </c>
      <c r="J607" s="1" t="s">
        <v>1217</v>
      </c>
      <c r="K607" s="1" t="s">
        <v>1243</v>
      </c>
      <c r="L607" s="3">
        <v>20</v>
      </c>
      <c r="M607" s="3">
        <f t="shared" si="9"/>
        <v>20</v>
      </c>
    </row>
    <row r="608" spans="1:13" x14ac:dyDescent="0.35">
      <c r="A608" s="1" t="s">
        <v>253</v>
      </c>
      <c r="B608" s="1">
        <v>156700</v>
      </c>
      <c r="C608" s="1">
        <v>28612</v>
      </c>
      <c r="D608" s="1" t="s">
        <v>1217</v>
      </c>
      <c r="E608" s="1" t="s">
        <v>1217</v>
      </c>
      <c r="F608" s="1" t="s">
        <v>1217</v>
      </c>
      <c r="G608" s="5"/>
      <c r="H608" s="1" t="s">
        <v>1217</v>
      </c>
      <c r="I608" s="1" t="s">
        <v>1217</v>
      </c>
      <c r="J608" s="1" t="s">
        <v>1217</v>
      </c>
      <c r="K608" s="1" t="s">
        <v>1218</v>
      </c>
      <c r="L608" s="3">
        <v>10</v>
      </c>
      <c r="M608" s="3">
        <f t="shared" si="9"/>
        <v>10</v>
      </c>
    </row>
    <row r="609" spans="1:13" x14ac:dyDescent="0.35">
      <c r="A609" s="1" t="s">
        <v>270</v>
      </c>
      <c r="B609" s="1">
        <v>72226</v>
      </c>
      <c r="C609" s="1">
        <v>6605</v>
      </c>
      <c r="D609" s="1">
        <v>36</v>
      </c>
      <c r="E609" s="1">
        <v>1</v>
      </c>
      <c r="F609" s="1">
        <v>10838.75</v>
      </c>
      <c r="G609" s="5"/>
      <c r="H609" s="1">
        <v>4834.47</v>
      </c>
      <c r="I609" s="1">
        <v>6004.28</v>
      </c>
      <c r="J609" s="1">
        <v>6271.31</v>
      </c>
      <c r="K609" s="1" t="s">
        <v>1227</v>
      </c>
      <c r="L609" s="3">
        <v>1571.65</v>
      </c>
      <c r="M609" s="3">
        <f t="shared" si="9"/>
        <v>1571.65</v>
      </c>
    </row>
    <row r="610" spans="1:13" x14ac:dyDescent="0.35">
      <c r="A610" s="1" t="s">
        <v>270</v>
      </c>
      <c r="B610" s="1">
        <v>72226</v>
      </c>
      <c r="C610" s="1">
        <v>6605</v>
      </c>
      <c r="D610" s="1" t="s">
        <v>1217</v>
      </c>
      <c r="E610" s="1" t="s">
        <v>1217</v>
      </c>
      <c r="F610" s="1" t="s">
        <v>1217</v>
      </c>
      <c r="G610" s="5"/>
      <c r="H610" s="1" t="s">
        <v>1217</v>
      </c>
      <c r="I610" s="1" t="s">
        <v>1217</v>
      </c>
      <c r="J610" s="1" t="s">
        <v>1217</v>
      </c>
      <c r="K610" s="1" t="s">
        <v>1218</v>
      </c>
      <c r="L610" s="3">
        <v>10</v>
      </c>
      <c r="M610" s="3">
        <f t="shared" si="9"/>
        <v>10</v>
      </c>
    </row>
    <row r="611" spans="1:13" x14ac:dyDescent="0.35">
      <c r="A611" s="1" t="s">
        <v>311</v>
      </c>
      <c r="B611" s="1">
        <v>94337</v>
      </c>
      <c r="C611" s="1">
        <v>11739</v>
      </c>
      <c r="D611" s="1">
        <v>36</v>
      </c>
      <c r="E611" s="1">
        <v>0</v>
      </c>
      <c r="F611" s="1">
        <v>27424.03</v>
      </c>
      <c r="G611" s="5"/>
      <c r="H611" s="1">
        <v>13181.12</v>
      </c>
      <c r="I611" s="1">
        <v>14242.91</v>
      </c>
      <c r="J611" s="1">
        <v>15361.92</v>
      </c>
      <c r="K611" s="1" t="s">
        <v>1227</v>
      </c>
      <c r="L611" s="3">
        <v>1571.65</v>
      </c>
      <c r="M611" s="3">
        <f t="shared" si="9"/>
        <v>1571.65</v>
      </c>
    </row>
    <row r="612" spans="1:13" x14ac:dyDescent="0.35">
      <c r="A612" s="1" t="s">
        <v>311</v>
      </c>
      <c r="B612" s="1">
        <v>94337</v>
      </c>
      <c r="C612" s="1">
        <v>11739</v>
      </c>
      <c r="D612" s="1" t="s">
        <v>1217</v>
      </c>
      <c r="E612" s="1" t="s">
        <v>1217</v>
      </c>
      <c r="F612" s="1" t="s">
        <v>1217</v>
      </c>
      <c r="G612" s="5"/>
      <c r="H612" s="1" t="s">
        <v>1217</v>
      </c>
      <c r="I612" s="1" t="s">
        <v>1217</v>
      </c>
      <c r="J612" s="1" t="s">
        <v>1217</v>
      </c>
      <c r="K612" s="1" t="s">
        <v>1218</v>
      </c>
      <c r="L612" s="3">
        <v>10</v>
      </c>
      <c r="M612" s="3">
        <f t="shared" si="9"/>
        <v>10</v>
      </c>
    </row>
    <row r="613" spans="1:13" x14ac:dyDescent="0.35">
      <c r="A613" s="1" t="s">
        <v>272</v>
      </c>
      <c r="B613" s="1">
        <v>99533</v>
      </c>
      <c r="C613" s="1">
        <v>19252</v>
      </c>
      <c r="D613" s="1">
        <v>34</v>
      </c>
      <c r="E613" s="1">
        <v>0</v>
      </c>
      <c r="F613" s="1">
        <v>8504.56</v>
      </c>
      <c r="G613" s="5"/>
      <c r="H613" s="1">
        <v>4175.0200000000004</v>
      </c>
      <c r="I613" s="1">
        <v>4329.54</v>
      </c>
      <c r="J613" s="1">
        <v>4599.88</v>
      </c>
      <c r="K613" s="1" t="s">
        <v>1227</v>
      </c>
      <c r="L613" s="3">
        <v>1571.65</v>
      </c>
      <c r="M613" s="3">
        <f t="shared" si="9"/>
        <v>1571.65</v>
      </c>
    </row>
    <row r="614" spans="1:13" x14ac:dyDescent="0.35">
      <c r="A614" s="1" t="s">
        <v>272</v>
      </c>
      <c r="B614" s="1">
        <v>99533</v>
      </c>
      <c r="C614" s="1">
        <v>19252</v>
      </c>
      <c r="D614" s="1" t="s">
        <v>1217</v>
      </c>
      <c r="E614" s="1" t="s">
        <v>1217</v>
      </c>
      <c r="F614" s="1" t="s">
        <v>1217</v>
      </c>
      <c r="G614" s="5"/>
      <c r="H614" s="1" t="s">
        <v>1217</v>
      </c>
      <c r="I614" s="1" t="s">
        <v>1217</v>
      </c>
      <c r="J614" s="1" t="s">
        <v>1217</v>
      </c>
      <c r="K614" s="1" t="s">
        <v>1218</v>
      </c>
      <c r="L614" s="3">
        <v>10</v>
      </c>
      <c r="M614" s="3">
        <f t="shared" si="9"/>
        <v>10</v>
      </c>
    </row>
    <row r="615" spans="1:13" x14ac:dyDescent="0.35">
      <c r="A615" s="1" t="s">
        <v>192</v>
      </c>
      <c r="B615" s="1">
        <v>138624</v>
      </c>
      <c r="C615" s="1">
        <v>18505</v>
      </c>
      <c r="D615" s="1">
        <v>7</v>
      </c>
      <c r="E615" s="1">
        <v>0</v>
      </c>
      <c r="F615" s="1">
        <v>12758.72</v>
      </c>
      <c r="G615" s="5"/>
      <c r="H615" s="1">
        <v>4565.09</v>
      </c>
      <c r="I615" s="1">
        <v>8193.6299999999992</v>
      </c>
      <c r="J615" s="1">
        <v>6999.43</v>
      </c>
      <c r="K615" s="1" t="s">
        <v>1227</v>
      </c>
      <c r="L615" s="3">
        <v>1571.65</v>
      </c>
      <c r="M615" s="3">
        <f t="shared" si="9"/>
        <v>1571.65</v>
      </c>
    </row>
    <row r="616" spans="1:13" x14ac:dyDescent="0.35">
      <c r="A616" s="1" t="s">
        <v>192</v>
      </c>
      <c r="B616" s="1">
        <v>138624</v>
      </c>
      <c r="C616" s="1">
        <v>18505</v>
      </c>
      <c r="D616" s="1" t="s">
        <v>1217</v>
      </c>
      <c r="E616" s="1" t="s">
        <v>1217</v>
      </c>
      <c r="F616" s="1" t="s">
        <v>1217</v>
      </c>
      <c r="G616" s="5"/>
      <c r="H616" s="1" t="s">
        <v>1217</v>
      </c>
      <c r="I616" s="1" t="s">
        <v>1217</v>
      </c>
      <c r="J616" s="1" t="s">
        <v>1217</v>
      </c>
      <c r="K616" s="1" t="s">
        <v>1267</v>
      </c>
      <c r="L616" s="3">
        <v>424</v>
      </c>
      <c r="M616" s="3">
        <f t="shared" si="9"/>
        <v>424</v>
      </c>
    </row>
    <row r="617" spans="1:13" x14ac:dyDescent="0.35">
      <c r="A617" s="1" t="s">
        <v>192</v>
      </c>
      <c r="B617" s="1">
        <v>138624</v>
      </c>
      <c r="C617" s="1">
        <v>18505</v>
      </c>
      <c r="D617" s="1" t="s">
        <v>1217</v>
      </c>
      <c r="E617" s="1" t="s">
        <v>1217</v>
      </c>
      <c r="F617" s="1" t="s">
        <v>1217</v>
      </c>
      <c r="G617" s="5"/>
      <c r="H617" s="1" t="s">
        <v>1217</v>
      </c>
      <c r="I617" s="1" t="s">
        <v>1217</v>
      </c>
      <c r="J617" s="1" t="s">
        <v>1217</v>
      </c>
      <c r="K617" s="1" t="s">
        <v>1218</v>
      </c>
      <c r="L617" s="3">
        <v>10</v>
      </c>
      <c r="M617" s="3">
        <f t="shared" si="9"/>
        <v>10</v>
      </c>
    </row>
    <row r="618" spans="1:13" x14ac:dyDescent="0.35">
      <c r="A618" s="1" t="s">
        <v>274</v>
      </c>
      <c r="B618" s="1">
        <v>146893</v>
      </c>
      <c r="C618" s="1">
        <v>17936</v>
      </c>
      <c r="D618" s="1">
        <v>18</v>
      </c>
      <c r="E618" s="1">
        <v>0</v>
      </c>
      <c r="F618" s="1">
        <v>17120.669999999998</v>
      </c>
      <c r="G618" s="5"/>
      <c r="H618" s="1">
        <v>6080.7</v>
      </c>
      <c r="I618" s="1">
        <v>11039.97</v>
      </c>
      <c r="J618" s="1">
        <v>9717.01</v>
      </c>
      <c r="K618" s="1" t="s">
        <v>1227</v>
      </c>
      <c r="L618" s="3">
        <v>1571.65</v>
      </c>
      <c r="M618" s="3">
        <f t="shared" si="9"/>
        <v>1571.65</v>
      </c>
    </row>
    <row r="619" spans="1:13" x14ac:dyDescent="0.35">
      <c r="A619" s="1" t="s">
        <v>274</v>
      </c>
      <c r="B619" s="1">
        <v>146893</v>
      </c>
      <c r="C619" s="1">
        <v>17936</v>
      </c>
      <c r="D619" s="1" t="s">
        <v>1217</v>
      </c>
      <c r="E619" s="1" t="s">
        <v>1217</v>
      </c>
      <c r="F619" s="1" t="s">
        <v>1217</v>
      </c>
      <c r="G619" s="5"/>
      <c r="H619" s="1" t="s">
        <v>1217</v>
      </c>
      <c r="I619" s="1" t="s">
        <v>1217</v>
      </c>
      <c r="J619" s="1" t="s">
        <v>1217</v>
      </c>
      <c r="K619" s="1" t="s">
        <v>1218</v>
      </c>
      <c r="L619" s="3">
        <v>10</v>
      </c>
      <c r="M619" s="3">
        <f t="shared" si="9"/>
        <v>10</v>
      </c>
    </row>
    <row r="620" spans="1:13" x14ac:dyDescent="0.35">
      <c r="A620" s="1" t="s">
        <v>457</v>
      </c>
      <c r="B620" s="1">
        <v>91364</v>
      </c>
      <c r="C620" s="1" t="s">
        <v>458</v>
      </c>
      <c r="D620" s="1">
        <v>16</v>
      </c>
      <c r="E620" s="1">
        <v>1</v>
      </c>
      <c r="F620" s="1">
        <v>15560.38</v>
      </c>
      <c r="G620" s="5"/>
      <c r="H620" s="1">
        <v>5340.62</v>
      </c>
      <c r="I620" s="1">
        <v>10219.76</v>
      </c>
      <c r="J620" s="1">
        <v>9583.7199999999993</v>
      </c>
      <c r="K620" s="1" t="s">
        <v>1227</v>
      </c>
      <c r="L620" s="3">
        <v>1571.65</v>
      </c>
      <c r="M620" s="3">
        <f t="shared" si="9"/>
        <v>1571.65</v>
      </c>
    </row>
    <row r="621" spans="1:13" x14ac:dyDescent="0.35">
      <c r="A621" s="1" t="s">
        <v>457</v>
      </c>
      <c r="B621" s="1">
        <v>91364</v>
      </c>
      <c r="C621" s="1" t="s">
        <v>458</v>
      </c>
      <c r="D621" s="1" t="s">
        <v>1217</v>
      </c>
      <c r="E621" s="1" t="s">
        <v>1217</v>
      </c>
      <c r="F621" s="1" t="s">
        <v>1217</v>
      </c>
      <c r="G621" s="5"/>
      <c r="H621" s="1" t="s">
        <v>1217</v>
      </c>
      <c r="I621" s="1" t="s">
        <v>1217</v>
      </c>
      <c r="J621" s="1" t="s">
        <v>1217</v>
      </c>
      <c r="K621" s="1" t="s">
        <v>1218</v>
      </c>
      <c r="L621" s="3">
        <v>10</v>
      </c>
      <c r="M621" s="3">
        <f t="shared" si="9"/>
        <v>10</v>
      </c>
    </row>
    <row r="622" spans="1:13" x14ac:dyDescent="0.35">
      <c r="A622" s="1" t="s">
        <v>301</v>
      </c>
      <c r="B622" s="1">
        <v>143252</v>
      </c>
      <c r="C622" s="1">
        <v>17362</v>
      </c>
      <c r="D622" s="1">
        <v>38</v>
      </c>
      <c r="E622" s="1">
        <v>0</v>
      </c>
      <c r="F622" s="1">
        <v>17349.189999999999</v>
      </c>
      <c r="G622" s="5"/>
      <c r="H622" s="1">
        <v>7192.12</v>
      </c>
      <c r="I622" s="1">
        <v>10157.07</v>
      </c>
      <c r="J622" s="1">
        <v>9498.2000000000007</v>
      </c>
      <c r="K622" s="1" t="s">
        <v>1227</v>
      </c>
      <c r="L622" s="3">
        <v>1571.65</v>
      </c>
      <c r="M622" s="3">
        <f t="shared" si="9"/>
        <v>1571.65</v>
      </c>
    </row>
    <row r="623" spans="1:13" x14ac:dyDescent="0.35">
      <c r="A623" s="1" t="s">
        <v>301</v>
      </c>
      <c r="B623" s="1">
        <v>143252</v>
      </c>
      <c r="C623" s="1">
        <v>17362</v>
      </c>
      <c r="D623" s="1" t="s">
        <v>1217</v>
      </c>
      <c r="E623" s="1" t="s">
        <v>1217</v>
      </c>
      <c r="F623" s="1" t="s">
        <v>1217</v>
      </c>
      <c r="G623" s="5"/>
      <c r="H623" s="1" t="s">
        <v>1217</v>
      </c>
      <c r="I623" s="1" t="s">
        <v>1217</v>
      </c>
      <c r="J623" s="1" t="s">
        <v>1217</v>
      </c>
      <c r="K623" s="1" t="s">
        <v>1218</v>
      </c>
      <c r="L623" s="3">
        <v>10</v>
      </c>
      <c r="M623" s="3">
        <f t="shared" si="9"/>
        <v>10</v>
      </c>
    </row>
    <row r="624" spans="1:13" x14ac:dyDescent="0.35">
      <c r="A624" s="1" t="s">
        <v>276</v>
      </c>
      <c r="B624" s="1">
        <v>72659</v>
      </c>
      <c r="C624" s="1">
        <v>16266</v>
      </c>
      <c r="D624" s="1">
        <v>37</v>
      </c>
      <c r="E624" s="1">
        <v>0</v>
      </c>
      <c r="F624" s="1">
        <v>10870.28</v>
      </c>
      <c r="G624" s="5"/>
      <c r="H624" s="1">
        <v>7431.46</v>
      </c>
      <c r="I624" s="1">
        <v>3438.82</v>
      </c>
      <c r="J624" s="1">
        <v>3863.9</v>
      </c>
      <c r="K624" s="1" t="s">
        <v>1227</v>
      </c>
      <c r="L624" s="3">
        <v>1571.65</v>
      </c>
      <c r="M624" s="3">
        <f t="shared" si="9"/>
        <v>1571.65</v>
      </c>
    </row>
    <row r="625" spans="1:13" x14ac:dyDescent="0.35">
      <c r="A625" s="1" t="s">
        <v>276</v>
      </c>
      <c r="B625" s="1">
        <v>72659</v>
      </c>
      <c r="C625" s="1">
        <v>16266</v>
      </c>
      <c r="D625" s="1" t="s">
        <v>1217</v>
      </c>
      <c r="E625" s="1" t="s">
        <v>1217</v>
      </c>
      <c r="F625" s="1" t="s">
        <v>1217</v>
      </c>
      <c r="G625" s="5"/>
      <c r="H625" s="1" t="s">
        <v>1217</v>
      </c>
      <c r="I625" s="1" t="s">
        <v>1217</v>
      </c>
      <c r="J625" s="1" t="s">
        <v>1217</v>
      </c>
      <c r="K625" s="1" t="s">
        <v>1218</v>
      </c>
      <c r="L625" s="3">
        <v>10</v>
      </c>
      <c r="M625" s="3">
        <f t="shared" si="9"/>
        <v>10</v>
      </c>
    </row>
    <row r="626" spans="1:13" x14ac:dyDescent="0.35">
      <c r="A626" s="1" t="s">
        <v>278</v>
      </c>
      <c r="B626" s="1">
        <v>155386</v>
      </c>
      <c r="C626" s="1">
        <v>17456</v>
      </c>
      <c r="D626" s="1">
        <v>36</v>
      </c>
      <c r="E626" s="1">
        <v>0</v>
      </c>
      <c r="F626" s="1">
        <v>10322.959999999999</v>
      </c>
      <c r="G626" s="5"/>
      <c r="H626" s="1">
        <v>4493.79</v>
      </c>
      <c r="I626" s="1">
        <v>5829.17</v>
      </c>
      <c r="J626" s="1">
        <v>5615.83</v>
      </c>
      <c r="K626" s="1" t="s">
        <v>1227</v>
      </c>
      <c r="L626" s="3">
        <v>1571.65</v>
      </c>
      <c r="M626" s="3">
        <f t="shared" si="9"/>
        <v>1571.65</v>
      </c>
    </row>
    <row r="627" spans="1:13" x14ac:dyDescent="0.35">
      <c r="A627" s="1" t="s">
        <v>278</v>
      </c>
      <c r="B627" s="1">
        <v>155386</v>
      </c>
      <c r="C627" s="1">
        <v>17456</v>
      </c>
      <c r="D627" s="1" t="s">
        <v>1217</v>
      </c>
      <c r="E627" s="1" t="s">
        <v>1217</v>
      </c>
      <c r="F627" s="1" t="s">
        <v>1217</v>
      </c>
      <c r="G627" s="5"/>
      <c r="H627" s="1" t="s">
        <v>1217</v>
      </c>
      <c r="I627" s="1" t="s">
        <v>1217</v>
      </c>
      <c r="J627" s="1" t="s">
        <v>1217</v>
      </c>
      <c r="K627" s="1" t="s">
        <v>1218</v>
      </c>
      <c r="L627" s="3">
        <v>10</v>
      </c>
      <c r="M627" s="3">
        <f t="shared" si="9"/>
        <v>10</v>
      </c>
    </row>
    <row r="628" spans="1:13" x14ac:dyDescent="0.35">
      <c r="A628" s="1" t="s">
        <v>314</v>
      </c>
      <c r="B628" s="1">
        <v>98156</v>
      </c>
      <c r="C628" s="1">
        <v>5641</v>
      </c>
      <c r="D628" s="1">
        <v>7</v>
      </c>
      <c r="E628" s="1">
        <v>0</v>
      </c>
      <c r="F628" s="1">
        <v>18371.22</v>
      </c>
      <c r="G628" s="5"/>
      <c r="H628" s="1">
        <v>7414.64</v>
      </c>
      <c r="I628" s="1">
        <v>10956.58</v>
      </c>
      <c r="J628" s="1">
        <v>10962.65</v>
      </c>
      <c r="K628" s="1" t="s">
        <v>1227</v>
      </c>
      <c r="L628" s="3">
        <v>1571.65</v>
      </c>
      <c r="M628" s="3">
        <f t="shared" si="9"/>
        <v>1571.65</v>
      </c>
    </row>
    <row r="629" spans="1:13" x14ac:dyDescent="0.35">
      <c r="A629" s="1" t="s">
        <v>314</v>
      </c>
      <c r="B629" s="1">
        <v>98156</v>
      </c>
      <c r="C629" s="1">
        <v>5641</v>
      </c>
      <c r="D629" s="1" t="s">
        <v>1217</v>
      </c>
      <c r="E629" s="1" t="s">
        <v>1217</v>
      </c>
      <c r="F629" s="1" t="s">
        <v>1217</v>
      </c>
      <c r="G629" s="5"/>
      <c r="H629" s="1" t="s">
        <v>1217</v>
      </c>
      <c r="I629" s="1" t="s">
        <v>1217</v>
      </c>
      <c r="J629" s="1" t="s">
        <v>1217</v>
      </c>
      <c r="K629" s="1" t="s">
        <v>1218</v>
      </c>
      <c r="L629" s="3">
        <v>10</v>
      </c>
      <c r="M629" s="3">
        <f t="shared" si="9"/>
        <v>10</v>
      </c>
    </row>
    <row r="630" spans="1:13" x14ac:dyDescent="0.35">
      <c r="A630" s="1" t="s">
        <v>316</v>
      </c>
      <c r="B630" s="1">
        <v>84176</v>
      </c>
      <c r="C630" s="1">
        <v>9141</v>
      </c>
      <c r="D630" s="1">
        <v>39</v>
      </c>
      <c r="E630" s="1">
        <v>0</v>
      </c>
      <c r="F630" s="1">
        <v>26264.33</v>
      </c>
      <c r="G630" s="5"/>
      <c r="H630" s="1">
        <v>14550.14</v>
      </c>
      <c r="I630" s="1">
        <v>11714.19</v>
      </c>
      <c r="J630" s="1">
        <v>11481.38</v>
      </c>
      <c r="K630" s="1" t="s">
        <v>1227</v>
      </c>
      <c r="L630" s="3">
        <v>1571.65</v>
      </c>
      <c r="M630" s="3">
        <f t="shared" si="9"/>
        <v>1571.65</v>
      </c>
    </row>
    <row r="631" spans="1:13" x14ac:dyDescent="0.35">
      <c r="A631" s="1" t="s">
        <v>316</v>
      </c>
      <c r="B631" s="1">
        <v>84176</v>
      </c>
      <c r="C631" s="1">
        <v>9141</v>
      </c>
      <c r="D631" s="1" t="s">
        <v>1217</v>
      </c>
      <c r="E631" s="1" t="s">
        <v>1217</v>
      </c>
      <c r="F631" s="1" t="s">
        <v>1217</v>
      </c>
      <c r="G631" s="5"/>
      <c r="H631" s="1" t="s">
        <v>1217</v>
      </c>
      <c r="I631" s="1" t="s">
        <v>1217</v>
      </c>
      <c r="J631" s="1" t="s">
        <v>1217</v>
      </c>
      <c r="K631" s="1" t="s">
        <v>1218</v>
      </c>
      <c r="L631" s="3">
        <v>10</v>
      </c>
      <c r="M631" s="3">
        <f t="shared" si="9"/>
        <v>10</v>
      </c>
    </row>
    <row r="632" spans="1:13" x14ac:dyDescent="0.35">
      <c r="A632" s="1" t="s">
        <v>280</v>
      </c>
      <c r="B632" s="1">
        <v>92413</v>
      </c>
      <c r="C632" s="1">
        <v>9591</v>
      </c>
      <c r="D632" s="1">
        <v>32</v>
      </c>
      <c r="E632" s="1">
        <v>0</v>
      </c>
      <c r="F632" s="1">
        <v>14694.23</v>
      </c>
      <c r="G632" s="5"/>
      <c r="H632" s="1">
        <v>7391.22</v>
      </c>
      <c r="I632" s="1">
        <v>7303.01</v>
      </c>
      <c r="J632" s="1">
        <v>8228.34</v>
      </c>
      <c r="K632" s="1" t="s">
        <v>1227</v>
      </c>
      <c r="L632" s="3">
        <v>1571.65</v>
      </c>
      <c r="M632" s="3">
        <f t="shared" si="9"/>
        <v>1571.65</v>
      </c>
    </row>
    <row r="633" spans="1:13" x14ac:dyDescent="0.35">
      <c r="A633" s="1" t="s">
        <v>280</v>
      </c>
      <c r="B633" s="1">
        <v>92413</v>
      </c>
      <c r="C633" s="1">
        <v>9591</v>
      </c>
      <c r="D633" s="1" t="s">
        <v>1217</v>
      </c>
      <c r="E633" s="1" t="s">
        <v>1217</v>
      </c>
      <c r="F633" s="1" t="s">
        <v>1217</v>
      </c>
      <c r="G633" s="5"/>
      <c r="H633" s="1" t="s">
        <v>1217</v>
      </c>
      <c r="I633" s="1" t="s">
        <v>1217</v>
      </c>
      <c r="J633" s="1" t="s">
        <v>1217</v>
      </c>
      <c r="K633" s="1" t="s">
        <v>1218</v>
      </c>
      <c r="L633" s="3">
        <v>10</v>
      </c>
      <c r="M633" s="3">
        <f t="shared" si="9"/>
        <v>10</v>
      </c>
    </row>
    <row r="634" spans="1:13" x14ac:dyDescent="0.35">
      <c r="A634" s="1" t="s">
        <v>1268</v>
      </c>
      <c r="B634" s="1">
        <v>155859</v>
      </c>
      <c r="C634" s="1">
        <v>27874</v>
      </c>
      <c r="D634" s="1">
        <v>34</v>
      </c>
      <c r="E634" s="1">
        <v>0</v>
      </c>
      <c r="F634" s="1">
        <v>10395.36</v>
      </c>
      <c r="G634" s="5"/>
      <c r="H634" s="1">
        <v>6859.53</v>
      </c>
      <c r="I634" s="1">
        <v>3535.83</v>
      </c>
      <c r="J634" s="1">
        <v>5071.26</v>
      </c>
      <c r="K634" s="1" t="s">
        <v>1227</v>
      </c>
      <c r="L634" s="3">
        <v>1571.65</v>
      </c>
      <c r="M634" s="3">
        <f t="shared" si="9"/>
        <v>1571.65</v>
      </c>
    </row>
    <row r="635" spans="1:13" x14ac:dyDescent="0.35">
      <c r="A635" s="1" t="s">
        <v>1268</v>
      </c>
      <c r="B635" s="1">
        <v>155859</v>
      </c>
      <c r="C635" s="1">
        <v>27874</v>
      </c>
      <c r="D635" s="1" t="s">
        <v>1217</v>
      </c>
      <c r="E635" s="1" t="s">
        <v>1217</v>
      </c>
      <c r="F635" s="1" t="s">
        <v>1217</v>
      </c>
      <c r="G635" s="5"/>
      <c r="H635" s="1" t="s">
        <v>1217</v>
      </c>
      <c r="I635" s="1" t="s">
        <v>1217</v>
      </c>
      <c r="J635" s="1" t="s">
        <v>1217</v>
      </c>
      <c r="K635" s="1" t="s">
        <v>1243</v>
      </c>
      <c r="L635" s="3">
        <v>20</v>
      </c>
      <c r="M635" s="3">
        <f t="shared" si="9"/>
        <v>20</v>
      </c>
    </row>
    <row r="636" spans="1:13" x14ac:dyDescent="0.35">
      <c r="A636" s="1" t="s">
        <v>1268</v>
      </c>
      <c r="B636" s="1">
        <v>155859</v>
      </c>
      <c r="C636" s="1">
        <v>27874</v>
      </c>
      <c r="D636" s="1" t="s">
        <v>1217</v>
      </c>
      <c r="E636" s="1" t="s">
        <v>1217</v>
      </c>
      <c r="F636" s="1" t="s">
        <v>1217</v>
      </c>
      <c r="G636" s="5"/>
      <c r="H636" s="1" t="s">
        <v>1217</v>
      </c>
      <c r="I636" s="1" t="s">
        <v>1217</v>
      </c>
      <c r="J636" s="1" t="s">
        <v>1217</v>
      </c>
      <c r="K636" s="1" t="s">
        <v>1218</v>
      </c>
      <c r="L636" s="3">
        <v>10</v>
      </c>
      <c r="M636" s="3">
        <f t="shared" si="9"/>
        <v>10</v>
      </c>
    </row>
    <row r="637" spans="1:13" x14ac:dyDescent="0.35">
      <c r="A637" s="1" t="s">
        <v>1269</v>
      </c>
      <c r="B637" s="1">
        <v>155855</v>
      </c>
      <c r="C637" s="1">
        <v>27872</v>
      </c>
      <c r="D637" s="1">
        <v>34</v>
      </c>
      <c r="E637" s="1">
        <v>0</v>
      </c>
      <c r="F637" s="1">
        <v>9723.67</v>
      </c>
      <c r="G637" s="5"/>
      <c r="H637" s="1">
        <v>5330.73</v>
      </c>
      <c r="I637" s="1">
        <v>4392.9399999999996</v>
      </c>
      <c r="J637" s="1">
        <v>5488.31</v>
      </c>
      <c r="K637" s="1" t="s">
        <v>1227</v>
      </c>
      <c r="L637" s="3">
        <v>1571.65</v>
      </c>
      <c r="M637" s="3">
        <f t="shared" si="9"/>
        <v>1571.65</v>
      </c>
    </row>
    <row r="638" spans="1:13" x14ac:dyDescent="0.35">
      <c r="A638" s="1" t="s">
        <v>1269</v>
      </c>
      <c r="B638" s="1">
        <v>155855</v>
      </c>
      <c r="C638" s="1">
        <v>27872</v>
      </c>
      <c r="D638" s="1" t="s">
        <v>1217</v>
      </c>
      <c r="E638" s="1" t="s">
        <v>1217</v>
      </c>
      <c r="F638" s="1" t="s">
        <v>1217</v>
      </c>
      <c r="G638" s="5"/>
      <c r="H638" s="1" t="s">
        <v>1217</v>
      </c>
      <c r="I638" s="1" t="s">
        <v>1217</v>
      </c>
      <c r="J638" s="1" t="s">
        <v>1217</v>
      </c>
      <c r="K638" s="1" t="s">
        <v>1243</v>
      </c>
      <c r="L638" s="3">
        <v>20</v>
      </c>
      <c r="M638" s="3">
        <f t="shared" si="9"/>
        <v>20</v>
      </c>
    </row>
    <row r="639" spans="1:13" x14ac:dyDescent="0.35">
      <c r="A639" s="1" t="s">
        <v>1269</v>
      </c>
      <c r="B639" s="1">
        <v>155855</v>
      </c>
      <c r="C639" s="1">
        <v>27872</v>
      </c>
      <c r="D639" s="1" t="s">
        <v>1217</v>
      </c>
      <c r="E639" s="1" t="s">
        <v>1217</v>
      </c>
      <c r="F639" s="1" t="s">
        <v>1217</v>
      </c>
      <c r="G639" s="5"/>
      <c r="H639" s="1" t="s">
        <v>1217</v>
      </c>
      <c r="I639" s="1" t="s">
        <v>1217</v>
      </c>
      <c r="J639" s="1" t="s">
        <v>1217</v>
      </c>
      <c r="K639" s="1" t="s">
        <v>1218</v>
      </c>
      <c r="L639" s="3">
        <v>10</v>
      </c>
      <c r="M639" s="3">
        <f t="shared" si="9"/>
        <v>10</v>
      </c>
    </row>
    <row r="640" spans="1:13" x14ac:dyDescent="0.35">
      <c r="A640" s="1" t="s">
        <v>1270</v>
      </c>
      <c r="B640" s="1">
        <v>155857</v>
      </c>
      <c r="C640" s="1">
        <v>27873</v>
      </c>
      <c r="D640" s="1">
        <v>37</v>
      </c>
      <c r="E640" s="1">
        <v>0</v>
      </c>
      <c r="F640" s="1">
        <v>8614.89</v>
      </c>
      <c r="G640" s="5"/>
      <c r="H640" s="1">
        <v>5709.85</v>
      </c>
      <c r="I640" s="1">
        <v>2905.04</v>
      </c>
      <c r="J640" s="1">
        <v>3704.89</v>
      </c>
      <c r="K640" s="1" t="s">
        <v>1227</v>
      </c>
      <c r="L640" s="3">
        <v>1571.65</v>
      </c>
      <c r="M640" s="3">
        <f t="shared" si="9"/>
        <v>1571.65</v>
      </c>
    </row>
    <row r="641" spans="1:13" x14ac:dyDescent="0.35">
      <c r="A641" s="1" t="s">
        <v>1270</v>
      </c>
      <c r="B641" s="1">
        <v>155857</v>
      </c>
      <c r="C641" s="1">
        <v>27873</v>
      </c>
      <c r="D641" s="1" t="s">
        <v>1217</v>
      </c>
      <c r="E641" s="1" t="s">
        <v>1217</v>
      </c>
      <c r="F641" s="1" t="s">
        <v>1217</v>
      </c>
      <c r="G641" s="5"/>
      <c r="H641" s="1" t="s">
        <v>1217</v>
      </c>
      <c r="I641" s="1" t="s">
        <v>1217</v>
      </c>
      <c r="J641" s="1" t="s">
        <v>1217</v>
      </c>
      <c r="K641" s="1" t="s">
        <v>1243</v>
      </c>
      <c r="L641" s="3">
        <v>20</v>
      </c>
      <c r="M641" s="3">
        <f t="shared" si="9"/>
        <v>20</v>
      </c>
    </row>
    <row r="642" spans="1:13" x14ac:dyDescent="0.35">
      <c r="A642" s="1" t="s">
        <v>1270</v>
      </c>
      <c r="B642" s="1">
        <v>155857</v>
      </c>
      <c r="C642" s="1">
        <v>27873</v>
      </c>
      <c r="D642" s="1" t="s">
        <v>1217</v>
      </c>
      <c r="E642" s="1" t="s">
        <v>1217</v>
      </c>
      <c r="F642" s="1" t="s">
        <v>1217</v>
      </c>
      <c r="G642" s="5"/>
      <c r="H642" s="1" t="s">
        <v>1217</v>
      </c>
      <c r="I642" s="1" t="s">
        <v>1217</v>
      </c>
      <c r="J642" s="1" t="s">
        <v>1217</v>
      </c>
      <c r="K642" s="1" t="s">
        <v>1218</v>
      </c>
      <c r="L642" s="3">
        <v>10</v>
      </c>
      <c r="M642" s="3">
        <f t="shared" ref="M642:M705" si="10">+L642-G642</f>
        <v>10</v>
      </c>
    </row>
    <row r="643" spans="1:13" x14ac:dyDescent="0.35">
      <c r="A643" s="1" t="s">
        <v>282</v>
      </c>
      <c r="B643" s="1">
        <v>144005</v>
      </c>
      <c r="C643" s="1">
        <v>24621</v>
      </c>
      <c r="D643" s="1">
        <v>79</v>
      </c>
      <c r="E643" s="1">
        <v>0</v>
      </c>
      <c r="F643" s="1">
        <v>15677.9</v>
      </c>
      <c r="G643" s="5"/>
      <c r="H643" s="1">
        <v>6239.13</v>
      </c>
      <c r="I643" s="1">
        <v>9438.77</v>
      </c>
      <c r="J643" s="1">
        <v>9683.35</v>
      </c>
      <c r="K643" s="1" t="s">
        <v>1227</v>
      </c>
      <c r="L643" s="3">
        <v>1571.65</v>
      </c>
      <c r="M643" s="3">
        <f t="shared" si="10"/>
        <v>1571.65</v>
      </c>
    </row>
    <row r="644" spans="1:13" x14ac:dyDescent="0.35">
      <c r="A644" s="1" t="s">
        <v>282</v>
      </c>
      <c r="B644" s="1">
        <v>144005</v>
      </c>
      <c r="C644" s="1">
        <v>24621</v>
      </c>
      <c r="D644" s="1" t="s">
        <v>1217</v>
      </c>
      <c r="E644" s="1" t="s">
        <v>1217</v>
      </c>
      <c r="F644" s="1" t="s">
        <v>1217</v>
      </c>
      <c r="G644" s="5"/>
      <c r="H644" s="1" t="s">
        <v>1217</v>
      </c>
      <c r="I644" s="1" t="s">
        <v>1217</v>
      </c>
      <c r="J644" s="1" t="s">
        <v>1217</v>
      </c>
      <c r="K644" s="1" t="s">
        <v>1218</v>
      </c>
      <c r="L644" s="3">
        <v>10</v>
      </c>
      <c r="M644" s="3">
        <f t="shared" si="10"/>
        <v>10</v>
      </c>
    </row>
    <row r="645" spans="1:13" x14ac:dyDescent="0.35">
      <c r="A645" s="1" t="s">
        <v>284</v>
      </c>
      <c r="B645" s="1">
        <v>154997</v>
      </c>
      <c r="C645" s="1">
        <v>28220</v>
      </c>
      <c r="D645" s="1">
        <v>36</v>
      </c>
      <c r="E645" s="1">
        <v>0</v>
      </c>
      <c r="F645" s="1">
        <v>8108.46</v>
      </c>
      <c r="G645" s="5"/>
      <c r="H645" s="1">
        <v>4096.67</v>
      </c>
      <c r="I645" s="1">
        <v>4011.79</v>
      </c>
      <c r="J645" s="1">
        <v>4431.8</v>
      </c>
      <c r="K645" s="1" t="s">
        <v>1227</v>
      </c>
      <c r="L645" s="3">
        <v>1571.65</v>
      </c>
      <c r="M645" s="3">
        <f t="shared" si="10"/>
        <v>1571.65</v>
      </c>
    </row>
    <row r="646" spans="1:13" x14ac:dyDescent="0.35">
      <c r="A646" s="1" t="s">
        <v>284</v>
      </c>
      <c r="B646" s="1">
        <v>154997</v>
      </c>
      <c r="C646" s="1">
        <v>28220</v>
      </c>
      <c r="D646" s="1" t="s">
        <v>1217</v>
      </c>
      <c r="E646" s="1" t="s">
        <v>1217</v>
      </c>
      <c r="F646" s="1" t="s">
        <v>1217</v>
      </c>
      <c r="G646" s="5"/>
      <c r="H646" s="1" t="s">
        <v>1217</v>
      </c>
      <c r="I646" s="1" t="s">
        <v>1217</v>
      </c>
      <c r="J646" s="1" t="s">
        <v>1217</v>
      </c>
      <c r="K646" s="1" t="s">
        <v>1218</v>
      </c>
      <c r="L646" s="3">
        <v>10</v>
      </c>
      <c r="M646" s="3">
        <f t="shared" si="10"/>
        <v>10</v>
      </c>
    </row>
    <row r="647" spans="1:13" x14ac:dyDescent="0.35">
      <c r="A647" s="1" t="s">
        <v>286</v>
      </c>
      <c r="B647" s="1">
        <v>146894</v>
      </c>
      <c r="C647" s="1">
        <v>25647</v>
      </c>
      <c r="D647" s="1">
        <v>59</v>
      </c>
      <c r="E647" s="1">
        <v>0</v>
      </c>
      <c r="F647" s="1">
        <v>9778.3700000000008</v>
      </c>
      <c r="G647" s="5"/>
      <c r="H647" s="1">
        <v>4736.07</v>
      </c>
      <c r="I647" s="1">
        <v>5042.3</v>
      </c>
      <c r="J647" s="1">
        <v>4951.59</v>
      </c>
      <c r="K647" s="1" t="s">
        <v>1227</v>
      </c>
      <c r="L647" s="3">
        <v>1571.65</v>
      </c>
      <c r="M647" s="3">
        <f t="shared" si="10"/>
        <v>1571.65</v>
      </c>
    </row>
    <row r="648" spans="1:13" x14ac:dyDescent="0.35">
      <c r="A648" s="1" t="s">
        <v>286</v>
      </c>
      <c r="B648" s="1">
        <v>146894</v>
      </c>
      <c r="C648" s="1">
        <v>25647</v>
      </c>
      <c r="D648" s="1" t="s">
        <v>1217</v>
      </c>
      <c r="E648" s="1" t="s">
        <v>1217</v>
      </c>
      <c r="F648" s="1" t="s">
        <v>1217</v>
      </c>
      <c r="G648" s="5"/>
      <c r="H648" s="1" t="s">
        <v>1217</v>
      </c>
      <c r="I648" s="1" t="s">
        <v>1217</v>
      </c>
      <c r="J648" s="1" t="s">
        <v>1217</v>
      </c>
      <c r="K648" s="1" t="s">
        <v>1218</v>
      </c>
      <c r="L648" s="3">
        <v>10</v>
      </c>
      <c r="M648" s="3">
        <f t="shared" si="10"/>
        <v>10</v>
      </c>
    </row>
    <row r="649" spans="1:13" x14ac:dyDescent="0.35">
      <c r="A649" s="1" t="s">
        <v>608</v>
      </c>
      <c r="B649" s="1">
        <v>135209</v>
      </c>
      <c r="C649" s="1">
        <v>16847</v>
      </c>
      <c r="D649" s="1">
        <v>177</v>
      </c>
      <c r="E649" s="1">
        <v>0</v>
      </c>
      <c r="F649" s="1">
        <v>13678.95</v>
      </c>
      <c r="G649" s="5">
        <v>92.08</v>
      </c>
      <c r="H649" s="1">
        <v>7705.05</v>
      </c>
      <c r="I649" s="1">
        <v>5973.9</v>
      </c>
      <c r="J649" s="1">
        <v>6671.06</v>
      </c>
      <c r="K649" s="1" t="s">
        <v>1229</v>
      </c>
      <c r="L649" s="3">
        <v>1366.23</v>
      </c>
      <c r="M649" s="3">
        <f t="shared" si="10"/>
        <v>1274.1500000000001</v>
      </c>
    </row>
    <row r="650" spans="1:13" x14ac:dyDescent="0.35">
      <c r="A650" s="1" t="s">
        <v>608</v>
      </c>
      <c r="B650" s="1">
        <v>135209</v>
      </c>
      <c r="C650" s="1">
        <v>16847</v>
      </c>
      <c r="D650" s="1" t="s">
        <v>1217</v>
      </c>
      <c r="E650" s="1" t="s">
        <v>1217</v>
      </c>
      <c r="F650" s="1" t="s">
        <v>1217</v>
      </c>
      <c r="G650" s="5"/>
      <c r="H650" s="1" t="s">
        <v>1217</v>
      </c>
      <c r="I650" s="1" t="s">
        <v>1217</v>
      </c>
      <c r="J650" s="1" t="s">
        <v>1217</v>
      </c>
      <c r="K650" s="1" t="s">
        <v>1218</v>
      </c>
      <c r="L650" s="3">
        <v>10</v>
      </c>
      <c r="M650" s="3">
        <f t="shared" si="10"/>
        <v>10</v>
      </c>
    </row>
    <row r="651" spans="1:13" x14ac:dyDescent="0.35">
      <c r="A651" s="1" t="s">
        <v>685</v>
      </c>
      <c r="B651" s="1">
        <v>160126</v>
      </c>
      <c r="C651" s="1">
        <v>29626</v>
      </c>
      <c r="D651" s="1">
        <v>10</v>
      </c>
      <c r="E651" s="1">
        <v>0</v>
      </c>
      <c r="F651" s="1">
        <v>435.58</v>
      </c>
      <c r="G651" s="5"/>
      <c r="H651" s="1">
        <v>339.28</v>
      </c>
      <c r="I651" s="1">
        <v>96.3</v>
      </c>
      <c r="J651" s="1">
        <v>0</v>
      </c>
      <c r="K651" s="1" t="s">
        <v>1216</v>
      </c>
      <c r="L651" s="3">
        <v>254.15</v>
      </c>
      <c r="M651" s="3">
        <f t="shared" si="10"/>
        <v>254.15</v>
      </c>
    </row>
    <row r="652" spans="1:13" x14ac:dyDescent="0.35">
      <c r="A652" s="1" t="s">
        <v>685</v>
      </c>
      <c r="B652" s="1">
        <v>160126</v>
      </c>
      <c r="C652" s="1">
        <v>29626</v>
      </c>
      <c r="D652" s="1" t="s">
        <v>1217</v>
      </c>
      <c r="E652" s="1" t="s">
        <v>1217</v>
      </c>
      <c r="F652" s="1" t="s">
        <v>1217</v>
      </c>
      <c r="G652" s="5"/>
      <c r="H652" s="1" t="s">
        <v>1217</v>
      </c>
      <c r="I652" s="1" t="s">
        <v>1217</v>
      </c>
      <c r="J652" s="1" t="s">
        <v>1217</v>
      </c>
      <c r="K652" s="1" t="s">
        <v>1218</v>
      </c>
      <c r="L652" s="3">
        <v>10</v>
      </c>
      <c r="M652" s="3">
        <f t="shared" si="10"/>
        <v>10</v>
      </c>
    </row>
    <row r="653" spans="1:13" x14ac:dyDescent="0.35">
      <c r="A653" s="1" t="s">
        <v>186</v>
      </c>
      <c r="B653" s="1">
        <v>145647</v>
      </c>
      <c r="C653" s="1">
        <v>24702</v>
      </c>
      <c r="D653" s="1">
        <v>16</v>
      </c>
      <c r="E653" s="1">
        <v>0</v>
      </c>
      <c r="F653" s="1">
        <v>624.96</v>
      </c>
      <c r="G653" s="5"/>
      <c r="H653" s="1">
        <v>596.96</v>
      </c>
      <c r="I653" s="1">
        <v>28</v>
      </c>
      <c r="J653" s="1">
        <v>0</v>
      </c>
      <c r="K653" s="1" t="s">
        <v>1224</v>
      </c>
      <c r="L653" s="3">
        <v>424.15</v>
      </c>
      <c r="M653" s="3">
        <f t="shared" si="10"/>
        <v>424.15</v>
      </c>
    </row>
    <row r="654" spans="1:13" x14ac:dyDescent="0.35">
      <c r="A654" s="1" t="s">
        <v>186</v>
      </c>
      <c r="B654" s="1">
        <v>145647</v>
      </c>
      <c r="C654" s="1">
        <v>24702</v>
      </c>
      <c r="D654" s="1" t="s">
        <v>1217</v>
      </c>
      <c r="E654" s="1" t="s">
        <v>1217</v>
      </c>
      <c r="F654" s="1" t="s">
        <v>1217</v>
      </c>
      <c r="G654" s="5"/>
      <c r="H654" s="1" t="s">
        <v>1217</v>
      </c>
      <c r="I654" s="1" t="s">
        <v>1217</v>
      </c>
      <c r="J654" s="1" t="s">
        <v>1217</v>
      </c>
      <c r="K654" s="1" t="s">
        <v>1218</v>
      </c>
      <c r="L654" s="3">
        <v>10</v>
      </c>
      <c r="M654" s="3">
        <f t="shared" si="10"/>
        <v>10</v>
      </c>
    </row>
    <row r="655" spans="1:13" x14ac:dyDescent="0.35">
      <c r="A655" s="1" t="s">
        <v>843</v>
      </c>
      <c r="B655" s="1">
        <v>141208</v>
      </c>
      <c r="C655" s="1">
        <v>23551</v>
      </c>
      <c r="D655" s="1">
        <v>19</v>
      </c>
      <c r="E655" s="1">
        <v>0</v>
      </c>
      <c r="F655" s="1">
        <v>3181.17</v>
      </c>
      <c r="G655" s="5"/>
      <c r="H655" s="1">
        <v>568.34</v>
      </c>
      <c r="I655" s="1">
        <v>2612.83</v>
      </c>
      <c r="J655" s="1">
        <v>0</v>
      </c>
      <c r="K655" s="1" t="s">
        <v>1224</v>
      </c>
      <c r="L655" s="3">
        <v>424.15</v>
      </c>
      <c r="M655" s="3">
        <f t="shared" si="10"/>
        <v>424.15</v>
      </c>
    </row>
    <row r="656" spans="1:13" x14ac:dyDescent="0.35">
      <c r="A656" s="1" t="s">
        <v>843</v>
      </c>
      <c r="B656" s="1">
        <v>141208</v>
      </c>
      <c r="C656" s="1">
        <v>23551</v>
      </c>
      <c r="D656" s="1" t="s">
        <v>1217</v>
      </c>
      <c r="E656" s="1" t="s">
        <v>1217</v>
      </c>
      <c r="F656" s="1" t="s">
        <v>1217</v>
      </c>
      <c r="G656" s="5"/>
      <c r="H656" s="1" t="s">
        <v>1217</v>
      </c>
      <c r="I656" s="1" t="s">
        <v>1217</v>
      </c>
      <c r="J656" s="1" t="s">
        <v>1217</v>
      </c>
      <c r="K656" s="1" t="s">
        <v>1218</v>
      </c>
      <c r="L656" s="3">
        <v>10</v>
      </c>
      <c r="M656" s="3">
        <f t="shared" si="10"/>
        <v>10</v>
      </c>
    </row>
    <row r="657" spans="1:13" x14ac:dyDescent="0.35">
      <c r="A657" s="1" t="s">
        <v>639</v>
      </c>
      <c r="B657" s="1">
        <v>142302</v>
      </c>
      <c r="C657" s="1">
        <v>11013</v>
      </c>
      <c r="D657" s="1">
        <v>31</v>
      </c>
      <c r="E657" s="1">
        <v>0</v>
      </c>
      <c r="F657" s="1">
        <v>8.99</v>
      </c>
      <c r="G657" s="5"/>
      <c r="H657" s="1">
        <v>0.66</v>
      </c>
      <c r="I657" s="1">
        <v>8.33</v>
      </c>
      <c r="J657" s="1">
        <v>0</v>
      </c>
      <c r="K657" s="1" t="s">
        <v>1216</v>
      </c>
      <c r="L657" s="3">
        <v>254.15</v>
      </c>
      <c r="M657" s="3">
        <f t="shared" si="10"/>
        <v>254.15</v>
      </c>
    </row>
    <row r="658" spans="1:13" x14ac:dyDescent="0.35">
      <c r="A658" s="1" t="s">
        <v>90</v>
      </c>
      <c r="B658" s="1">
        <v>145682</v>
      </c>
      <c r="C658" s="1">
        <v>25433</v>
      </c>
      <c r="D658" s="1">
        <v>8</v>
      </c>
      <c r="E658" s="1">
        <v>0</v>
      </c>
      <c r="F658" s="1">
        <v>0</v>
      </c>
      <c r="G658" s="5"/>
      <c r="H658" s="1">
        <v>0</v>
      </c>
      <c r="I658" s="1">
        <v>0</v>
      </c>
      <c r="J658" s="1">
        <v>0</v>
      </c>
      <c r="K658" s="1" t="s">
        <v>1216</v>
      </c>
      <c r="L658" s="3">
        <v>254.15</v>
      </c>
      <c r="M658" s="3">
        <f t="shared" si="10"/>
        <v>254.15</v>
      </c>
    </row>
    <row r="659" spans="1:13" x14ac:dyDescent="0.35">
      <c r="A659" s="1" t="s">
        <v>356</v>
      </c>
      <c r="B659" s="1">
        <v>188879</v>
      </c>
      <c r="C659" s="1">
        <v>32160</v>
      </c>
      <c r="D659" s="1">
        <v>12</v>
      </c>
      <c r="E659" s="1">
        <v>0</v>
      </c>
      <c r="F659" s="1">
        <v>11.34</v>
      </c>
      <c r="G659" s="5"/>
      <c r="H659" s="1">
        <v>11.34</v>
      </c>
      <c r="I659" s="1">
        <v>0</v>
      </c>
      <c r="J659" s="1">
        <v>6.35</v>
      </c>
      <c r="K659" s="1" t="s">
        <v>1214</v>
      </c>
      <c r="L659" s="3">
        <v>0</v>
      </c>
      <c r="M659" s="3">
        <f t="shared" si="10"/>
        <v>0</v>
      </c>
    </row>
    <row r="660" spans="1:13" x14ac:dyDescent="0.35">
      <c r="A660" s="1" t="s">
        <v>871</v>
      </c>
      <c r="B660" s="1">
        <v>76664</v>
      </c>
      <c r="C660" s="1">
        <v>17313</v>
      </c>
      <c r="D660" s="1">
        <v>11</v>
      </c>
      <c r="E660" s="1">
        <v>0</v>
      </c>
      <c r="F660" s="1">
        <v>10.98</v>
      </c>
      <c r="G660" s="5"/>
      <c r="H660" s="1">
        <v>10.98</v>
      </c>
      <c r="I660" s="1">
        <v>0</v>
      </c>
      <c r="J660" s="1">
        <v>0</v>
      </c>
      <c r="K660" s="1" t="s">
        <v>1212</v>
      </c>
      <c r="L660" s="3">
        <v>254.15</v>
      </c>
      <c r="M660" s="3">
        <f t="shared" si="10"/>
        <v>254.15</v>
      </c>
    </row>
    <row r="661" spans="1:13" x14ac:dyDescent="0.35">
      <c r="A661" s="1" t="s">
        <v>735</v>
      </c>
      <c r="B661" s="1">
        <v>91135</v>
      </c>
      <c r="C661" s="1">
        <v>17928</v>
      </c>
      <c r="D661" s="1">
        <v>57</v>
      </c>
      <c r="E661" s="1">
        <v>0</v>
      </c>
      <c r="F661" s="1">
        <v>10599.24</v>
      </c>
      <c r="G661" s="5"/>
      <c r="H661" s="1">
        <v>10174.290000000001</v>
      </c>
      <c r="I661" s="1">
        <v>424.95</v>
      </c>
      <c r="J661" s="1">
        <v>1655.01</v>
      </c>
      <c r="K661" s="1" t="s">
        <v>1227</v>
      </c>
      <c r="L661" s="3">
        <v>1571.65</v>
      </c>
      <c r="M661" s="3">
        <f t="shared" si="10"/>
        <v>1571.65</v>
      </c>
    </row>
    <row r="662" spans="1:13" x14ac:dyDescent="0.35">
      <c r="A662" s="1" t="s">
        <v>735</v>
      </c>
      <c r="B662" s="1">
        <v>91135</v>
      </c>
      <c r="C662" s="1">
        <v>17928</v>
      </c>
      <c r="D662" s="1" t="s">
        <v>1217</v>
      </c>
      <c r="E662" s="1" t="s">
        <v>1217</v>
      </c>
      <c r="F662" s="1" t="s">
        <v>1217</v>
      </c>
      <c r="G662" s="5"/>
      <c r="H662" s="1" t="s">
        <v>1217</v>
      </c>
      <c r="I662" s="1" t="s">
        <v>1217</v>
      </c>
      <c r="J662" s="1" t="s">
        <v>1217</v>
      </c>
      <c r="K662" s="1" t="s">
        <v>1218</v>
      </c>
      <c r="L662" s="3">
        <v>10</v>
      </c>
      <c r="M662" s="3">
        <f t="shared" si="10"/>
        <v>10</v>
      </c>
    </row>
    <row r="663" spans="1:13" x14ac:dyDescent="0.35">
      <c r="A663" s="1" t="s">
        <v>402</v>
      </c>
      <c r="B663" s="1">
        <v>117422</v>
      </c>
      <c r="C663" s="1">
        <v>10519</v>
      </c>
      <c r="D663" s="1">
        <v>18</v>
      </c>
      <c r="E663" s="1">
        <v>0</v>
      </c>
      <c r="F663" s="1">
        <v>576.41</v>
      </c>
      <c r="G663" s="5"/>
      <c r="H663" s="1">
        <v>576.41</v>
      </c>
      <c r="I663" s="1">
        <v>0</v>
      </c>
      <c r="J663" s="1">
        <v>0</v>
      </c>
      <c r="K663" s="1" t="s">
        <v>1216</v>
      </c>
      <c r="L663" s="3">
        <v>254.15</v>
      </c>
      <c r="M663" s="3">
        <f t="shared" si="10"/>
        <v>254.15</v>
      </c>
    </row>
    <row r="664" spans="1:13" x14ac:dyDescent="0.35">
      <c r="A664" s="1" t="s">
        <v>402</v>
      </c>
      <c r="B664" s="1">
        <v>117422</v>
      </c>
      <c r="C664" s="1">
        <v>10519</v>
      </c>
      <c r="D664" s="1" t="s">
        <v>1217</v>
      </c>
      <c r="E664" s="1" t="s">
        <v>1217</v>
      </c>
      <c r="F664" s="1" t="s">
        <v>1217</v>
      </c>
      <c r="G664" s="5"/>
      <c r="H664" s="1" t="s">
        <v>1217</v>
      </c>
      <c r="I664" s="1" t="s">
        <v>1217</v>
      </c>
      <c r="J664" s="1" t="s">
        <v>1217</v>
      </c>
      <c r="K664" s="1" t="s">
        <v>1218</v>
      </c>
      <c r="L664" s="3">
        <v>10</v>
      </c>
      <c r="M664" s="3">
        <f t="shared" si="10"/>
        <v>10</v>
      </c>
    </row>
    <row r="665" spans="1:13" x14ac:dyDescent="0.35">
      <c r="A665" s="1" t="s">
        <v>705</v>
      </c>
      <c r="B665" s="1">
        <v>144079</v>
      </c>
      <c r="C665" s="1">
        <v>2006</v>
      </c>
      <c r="D665" s="1">
        <v>14</v>
      </c>
      <c r="E665" s="1">
        <v>0</v>
      </c>
      <c r="F665" s="1">
        <v>2710.31</v>
      </c>
      <c r="G665" s="5"/>
      <c r="H665" s="1">
        <v>1160.93</v>
      </c>
      <c r="I665" s="1">
        <v>1549.38</v>
      </c>
      <c r="J665" s="1">
        <v>0</v>
      </c>
      <c r="K665" s="1" t="s">
        <v>1216</v>
      </c>
      <c r="L665" s="3">
        <v>254.15</v>
      </c>
      <c r="M665" s="3">
        <f t="shared" si="10"/>
        <v>254.15</v>
      </c>
    </row>
    <row r="666" spans="1:13" x14ac:dyDescent="0.35">
      <c r="A666" s="1" t="s">
        <v>705</v>
      </c>
      <c r="B666" s="1">
        <v>144079</v>
      </c>
      <c r="C666" s="1">
        <v>2006</v>
      </c>
      <c r="D666" s="1" t="s">
        <v>1217</v>
      </c>
      <c r="E666" s="1" t="s">
        <v>1217</v>
      </c>
      <c r="F666" s="1" t="s">
        <v>1217</v>
      </c>
      <c r="G666" s="5"/>
      <c r="H666" s="1" t="s">
        <v>1217</v>
      </c>
      <c r="I666" s="1" t="s">
        <v>1217</v>
      </c>
      <c r="J666" s="1" t="s">
        <v>1217</v>
      </c>
      <c r="K666" s="1" t="s">
        <v>1218</v>
      </c>
      <c r="L666" s="3">
        <v>10</v>
      </c>
      <c r="M666" s="3">
        <f t="shared" si="10"/>
        <v>10</v>
      </c>
    </row>
    <row r="667" spans="1:13" x14ac:dyDescent="0.35">
      <c r="A667" s="1" t="s">
        <v>643</v>
      </c>
      <c r="B667" s="1">
        <v>61931</v>
      </c>
      <c r="C667" s="1">
        <v>16192</v>
      </c>
      <c r="D667" s="1">
        <v>19</v>
      </c>
      <c r="E667" s="1">
        <v>0</v>
      </c>
      <c r="F667" s="1">
        <v>2437.1999999999998</v>
      </c>
      <c r="G667" s="5"/>
      <c r="H667" s="1">
        <v>722.91</v>
      </c>
      <c r="I667" s="1">
        <v>1714.29</v>
      </c>
      <c r="J667" s="1">
        <v>0</v>
      </c>
      <c r="K667" s="1" t="s">
        <v>1224</v>
      </c>
      <c r="L667" s="3">
        <v>424.15</v>
      </c>
      <c r="M667" s="3">
        <f t="shared" si="10"/>
        <v>424.15</v>
      </c>
    </row>
    <row r="668" spans="1:13" x14ac:dyDescent="0.35">
      <c r="A668" s="1" t="s">
        <v>331</v>
      </c>
      <c r="B668" s="1">
        <v>188815</v>
      </c>
      <c r="C668" s="1">
        <v>8336</v>
      </c>
      <c r="D668" s="1">
        <v>10</v>
      </c>
      <c r="E668" s="1">
        <v>0</v>
      </c>
      <c r="F668" s="1">
        <v>1417.33</v>
      </c>
      <c r="G668" s="5"/>
      <c r="H668" s="1">
        <v>131.36000000000001</v>
      </c>
      <c r="I668" s="1">
        <v>1285.97</v>
      </c>
      <c r="J668" s="1">
        <v>0</v>
      </c>
      <c r="K668" s="1" t="s">
        <v>1238</v>
      </c>
      <c r="L668" s="3">
        <v>419</v>
      </c>
      <c r="M668" s="3">
        <f t="shared" si="10"/>
        <v>419</v>
      </c>
    </row>
    <row r="669" spans="1:13" x14ac:dyDescent="0.35">
      <c r="A669" s="1" t="s">
        <v>331</v>
      </c>
      <c r="B669" s="1">
        <v>188815</v>
      </c>
      <c r="C669" s="1">
        <v>8336</v>
      </c>
      <c r="D669" s="1" t="s">
        <v>1217</v>
      </c>
      <c r="E669" s="1" t="s">
        <v>1217</v>
      </c>
      <c r="F669" s="1" t="s">
        <v>1217</v>
      </c>
      <c r="G669" s="5"/>
      <c r="H669" s="1" t="s">
        <v>1217</v>
      </c>
      <c r="I669" s="1" t="s">
        <v>1217</v>
      </c>
      <c r="J669" s="1" t="s">
        <v>1217</v>
      </c>
      <c r="K669" s="1" t="s">
        <v>1218</v>
      </c>
      <c r="L669" s="3">
        <v>10</v>
      </c>
      <c r="M669" s="3">
        <f t="shared" si="10"/>
        <v>10</v>
      </c>
    </row>
    <row r="670" spans="1:13" x14ac:dyDescent="0.35">
      <c r="A670" s="1" t="s">
        <v>847</v>
      </c>
      <c r="B670" s="1">
        <v>56252</v>
      </c>
      <c r="C670" s="1">
        <v>15775</v>
      </c>
      <c r="D670" s="1">
        <v>97</v>
      </c>
      <c r="E670" s="1">
        <v>0</v>
      </c>
      <c r="F670" s="1">
        <v>67953.679999999993</v>
      </c>
      <c r="G670" s="5"/>
      <c r="H670" s="1">
        <v>43840.15</v>
      </c>
      <c r="I670" s="1">
        <v>24113.53</v>
      </c>
      <c r="J670" s="1">
        <v>53844.67</v>
      </c>
      <c r="K670" s="1" t="s">
        <v>1271</v>
      </c>
      <c r="L670" s="3">
        <v>3427</v>
      </c>
      <c r="M670" s="3">
        <f t="shared" si="10"/>
        <v>3427</v>
      </c>
    </row>
    <row r="671" spans="1:13" x14ac:dyDescent="0.35">
      <c r="A671" s="1" t="s">
        <v>847</v>
      </c>
      <c r="B671" s="1">
        <v>56252</v>
      </c>
      <c r="C671" s="1">
        <v>15775</v>
      </c>
      <c r="D671" s="1" t="s">
        <v>1217</v>
      </c>
      <c r="E671" s="1" t="s">
        <v>1217</v>
      </c>
      <c r="F671" s="1" t="s">
        <v>1217</v>
      </c>
      <c r="G671" s="5"/>
      <c r="H671" s="1" t="s">
        <v>1217</v>
      </c>
      <c r="I671" s="1" t="s">
        <v>1217</v>
      </c>
      <c r="J671" s="1" t="s">
        <v>1217</v>
      </c>
      <c r="K671" s="1" t="s">
        <v>1218</v>
      </c>
      <c r="L671" s="3">
        <v>10</v>
      </c>
      <c r="M671" s="3">
        <f t="shared" si="10"/>
        <v>10</v>
      </c>
    </row>
    <row r="672" spans="1:13" x14ac:dyDescent="0.35">
      <c r="A672" s="1" t="s">
        <v>821</v>
      </c>
      <c r="B672" s="1">
        <v>187881</v>
      </c>
      <c r="C672" s="1">
        <v>71043923</v>
      </c>
      <c r="D672" s="1">
        <v>12</v>
      </c>
      <c r="E672" s="1">
        <v>0</v>
      </c>
      <c r="F672" s="1">
        <v>8826.08</v>
      </c>
      <c r="G672" s="5">
        <v>157.80000000000001</v>
      </c>
      <c r="H672" s="1">
        <v>4686.7299999999996</v>
      </c>
      <c r="I672" s="1">
        <v>4139.3500000000004</v>
      </c>
      <c r="J672" s="1">
        <v>6787.54</v>
      </c>
      <c r="K672" s="1" t="s">
        <v>1272</v>
      </c>
      <c r="L672" s="3">
        <v>1275.8</v>
      </c>
      <c r="M672" s="3">
        <f t="shared" si="10"/>
        <v>1118</v>
      </c>
    </row>
    <row r="673" spans="1:13" x14ac:dyDescent="0.35">
      <c r="A673" s="1" t="s">
        <v>821</v>
      </c>
      <c r="B673" s="1">
        <v>187881</v>
      </c>
      <c r="C673" s="1">
        <v>71043923</v>
      </c>
      <c r="D673" s="1" t="s">
        <v>1217</v>
      </c>
      <c r="E673" s="1" t="s">
        <v>1217</v>
      </c>
      <c r="F673" s="1" t="s">
        <v>1217</v>
      </c>
      <c r="G673" s="5"/>
      <c r="H673" s="1" t="s">
        <v>1217</v>
      </c>
      <c r="I673" s="1" t="s">
        <v>1217</v>
      </c>
      <c r="J673" s="1" t="s">
        <v>1217</v>
      </c>
      <c r="K673" s="1" t="s">
        <v>1218</v>
      </c>
      <c r="L673" s="3">
        <v>10</v>
      </c>
      <c r="M673" s="3">
        <f t="shared" si="10"/>
        <v>10</v>
      </c>
    </row>
    <row r="674" spans="1:13" x14ac:dyDescent="0.35">
      <c r="A674" s="1" t="s">
        <v>825</v>
      </c>
      <c r="B674" s="1">
        <v>187880</v>
      </c>
      <c r="C674" s="1">
        <v>71043924</v>
      </c>
      <c r="D674" s="1">
        <v>26</v>
      </c>
      <c r="E674" s="1">
        <v>0</v>
      </c>
      <c r="F674" s="1">
        <v>5332.44</v>
      </c>
      <c r="G674" s="5"/>
      <c r="H674" s="1">
        <v>2899.76</v>
      </c>
      <c r="I674" s="1">
        <v>2432.6799999999998</v>
      </c>
      <c r="J674" s="1">
        <v>4165.1099999999997</v>
      </c>
      <c r="K674" s="1" t="s">
        <v>1272</v>
      </c>
      <c r="L674" s="3">
        <v>1118</v>
      </c>
      <c r="M674" s="3">
        <f t="shared" si="10"/>
        <v>1118</v>
      </c>
    </row>
    <row r="675" spans="1:13" x14ac:dyDescent="0.35">
      <c r="A675" s="1" t="s">
        <v>825</v>
      </c>
      <c r="B675" s="1">
        <v>187880</v>
      </c>
      <c r="C675" s="1">
        <v>71043924</v>
      </c>
      <c r="D675" s="1" t="s">
        <v>1217</v>
      </c>
      <c r="E675" s="1" t="s">
        <v>1217</v>
      </c>
      <c r="F675" s="1" t="s">
        <v>1217</v>
      </c>
      <c r="G675" s="5"/>
      <c r="H675" s="1" t="s">
        <v>1217</v>
      </c>
      <c r="I675" s="1" t="s">
        <v>1217</v>
      </c>
      <c r="J675" s="1" t="s">
        <v>1217</v>
      </c>
      <c r="K675" s="1" t="s">
        <v>1218</v>
      </c>
      <c r="L675" s="3">
        <v>10</v>
      </c>
      <c r="M675" s="3">
        <f t="shared" si="10"/>
        <v>10</v>
      </c>
    </row>
    <row r="676" spans="1:13" x14ac:dyDescent="0.35">
      <c r="A676" s="1" t="s">
        <v>546</v>
      </c>
      <c r="B676" s="1">
        <v>159261</v>
      </c>
      <c r="C676" s="1">
        <v>29484</v>
      </c>
      <c r="D676" s="1">
        <v>14</v>
      </c>
      <c r="E676" s="1">
        <v>0</v>
      </c>
      <c r="F676" s="1">
        <v>29.37</v>
      </c>
      <c r="G676" s="5"/>
      <c r="H676" s="1">
        <v>3.67</v>
      </c>
      <c r="I676" s="1">
        <v>25.7</v>
      </c>
      <c r="J676" s="1">
        <v>0</v>
      </c>
      <c r="K676" s="1" t="s">
        <v>1224</v>
      </c>
      <c r="L676" s="3">
        <v>424.15</v>
      </c>
      <c r="M676" s="3">
        <f t="shared" si="10"/>
        <v>424.15</v>
      </c>
    </row>
    <row r="677" spans="1:13" x14ac:dyDescent="0.35">
      <c r="A677" s="1" t="s">
        <v>546</v>
      </c>
      <c r="B677" s="1">
        <v>159261</v>
      </c>
      <c r="C677" s="1">
        <v>29484</v>
      </c>
      <c r="D677" s="1" t="s">
        <v>1217</v>
      </c>
      <c r="E677" s="1" t="s">
        <v>1217</v>
      </c>
      <c r="F677" s="1" t="s">
        <v>1217</v>
      </c>
      <c r="G677" s="5"/>
      <c r="H677" s="1" t="s">
        <v>1217</v>
      </c>
      <c r="I677" s="1" t="s">
        <v>1217</v>
      </c>
      <c r="J677" s="1" t="s">
        <v>1217</v>
      </c>
      <c r="K677" s="1" t="s">
        <v>1218</v>
      </c>
      <c r="L677" s="3">
        <v>10</v>
      </c>
      <c r="M677" s="3">
        <f t="shared" si="10"/>
        <v>10</v>
      </c>
    </row>
    <row r="678" spans="1:13" x14ac:dyDescent="0.35">
      <c r="A678" s="1" t="s">
        <v>770</v>
      </c>
      <c r="B678" s="1">
        <v>76538</v>
      </c>
      <c r="C678" s="1">
        <v>10382</v>
      </c>
      <c r="D678" s="1">
        <v>9</v>
      </c>
      <c r="E678" s="1">
        <v>0</v>
      </c>
      <c r="F678" s="1">
        <v>371.97</v>
      </c>
      <c r="G678" s="5"/>
      <c r="H678" s="1">
        <v>369.99</v>
      </c>
      <c r="I678" s="1">
        <v>1.98</v>
      </c>
      <c r="J678" s="1">
        <v>0</v>
      </c>
      <c r="K678" s="1" t="s">
        <v>1212</v>
      </c>
      <c r="L678" s="3">
        <v>254.15</v>
      </c>
      <c r="M678" s="3">
        <f t="shared" si="10"/>
        <v>254.15</v>
      </c>
    </row>
    <row r="679" spans="1:13" x14ac:dyDescent="0.35">
      <c r="A679" s="1" t="s">
        <v>654</v>
      </c>
      <c r="B679" s="1">
        <v>56401</v>
      </c>
      <c r="C679" s="1">
        <v>15949</v>
      </c>
      <c r="D679" s="1">
        <v>48</v>
      </c>
      <c r="E679" s="1">
        <v>0</v>
      </c>
      <c r="F679" s="1">
        <v>223.34</v>
      </c>
      <c r="G679" s="5"/>
      <c r="H679" s="1">
        <v>133.65</v>
      </c>
      <c r="I679" s="1">
        <v>89.69</v>
      </c>
      <c r="J679" s="1">
        <v>210.04</v>
      </c>
      <c r="K679" s="1" t="s">
        <v>1231</v>
      </c>
      <c r="L679" s="3">
        <v>1019</v>
      </c>
      <c r="M679" s="3">
        <f t="shared" si="10"/>
        <v>1019</v>
      </c>
    </row>
    <row r="680" spans="1:13" x14ac:dyDescent="0.35">
      <c r="A680" s="1" t="s">
        <v>105</v>
      </c>
      <c r="B680" s="1">
        <v>141131</v>
      </c>
      <c r="C680" s="1">
        <v>15952</v>
      </c>
      <c r="D680" s="1">
        <v>19</v>
      </c>
      <c r="E680" s="1">
        <v>0</v>
      </c>
      <c r="F680" s="1">
        <v>1584.05</v>
      </c>
      <c r="G680" s="5"/>
      <c r="H680" s="1">
        <v>1062.5</v>
      </c>
      <c r="I680" s="1">
        <v>521.54999999999995</v>
      </c>
      <c r="J680" s="1">
        <v>0</v>
      </c>
      <c r="K680" s="1" t="s">
        <v>1224</v>
      </c>
      <c r="L680" s="3">
        <v>424.15</v>
      </c>
      <c r="M680" s="3">
        <f t="shared" si="10"/>
        <v>424.15</v>
      </c>
    </row>
    <row r="681" spans="1:13" x14ac:dyDescent="0.35">
      <c r="A681" s="1" t="s">
        <v>105</v>
      </c>
      <c r="B681" s="1">
        <v>141131</v>
      </c>
      <c r="C681" s="1">
        <v>15952</v>
      </c>
      <c r="D681" s="1" t="s">
        <v>1217</v>
      </c>
      <c r="E681" s="1" t="s">
        <v>1217</v>
      </c>
      <c r="F681" s="1" t="s">
        <v>1217</v>
      </c>
      <c r="G681" s="5"/>
      <c r="H681" s="1" t="s">
        <v>1217</v>
      </c>
      <c r="I681" s="1" t="s">
        <v>1217</v>
      </c>
      <c r="J681" s="1" t="s">
        <v>1217</v>
      </c>
      <c r="K681" s="1" t="s">
        <v>1218</v>
      </c>
      <c r="L681" s="3">
        <v>10</v>
      </c>
      <c r="M681" s="3">
        <f t="shared" si="10"/>
        <v>10</v>
      </c>
    </row>
    <row r="682" spans="1:13" x14ac:dyDescent="0.35">
      <c r="A682" s="1" t="s">
        <v>144</v>
      </c>
      <c r="B682" s="1">
        <v>56397</v>
      </c>
      <c r="C682" s="1">
        <v>15949</v>
      </c>
      <c r="D682" s="1">
        <v>17</v>
      </c>
      <c r="E682" s="1">
        <v>0</v>
      </c>
      <c r="F682" s="1">
        <v>9173.52</v>
      </c>
      <c r="G682" s="5">
        <v>80.97</v>
      </c>
      <c r="H682" s="1">
        <v>5995.12</v>
      </c>
      <c r="I682" s="1">
        <v>3178.4</v>
      </c>
      <c r="J682" s="1">
        <v>0</v>
      </c>
      <c r="K682" s="1" t="s">
        <v>1255</v>
      </c>
      <c r="L682" s="3">
        <v>505.12</v>
      </c>
      <c r="M682" s="3">
        <f t="shared" si="10"/>
        <v>424.15</v>
      </c>
    </row>
    <row r="683" spans="1:13" x14ac:dyDescent="0.35">
      <c r="A683" s="1" t="s">
        <v>144</v>
      </c>
      <c r="B683" s="1">
        <v>56397</v>
      </c>
      <c r="C683" s="1">
        <v>15949</v>
      </c>
      <c r="D683" s="1" t="s">
        <v>1217</v>
      </c>
      <c r="E683" s="1" t="s">
        <v>1217</v>
      </c>
      <c r="F683" s="1" t="s">
        <v>1217</v>
      </c>
      <c r="G683" s="5"/>
      <c r="H683" s="1" t="s">
        <v>1217</v>
      </c>
      <c r="I683" s="1" t="s">
        <v>1217</v>
      </c>
      <c r="J683" s="1" t="s">
        <v>1217</v>
      </c>
      <c r="K683" s="1" t="s">
        <v>1240</v>
      </c>
      <c r="L683" s="3">
        <v>10</v>
      </c>
      <c r="M683" s="3">
        <f t="shared" si="10"/>
        <v>10</v>
      </c>
    </row>
    <row r="684" spans="1:13" x14ac:dyDescent="0.35">
      <c r="A684" s="1" t="s">
        <v>144</v>
      </c>
      <c r="B684" s="1">
        <v>56397</v>
      </c>
      <c r="C684" s="1">
        <v>15949</v>
      </c>
      <c r="D684" s="1" t="s">
        <v>1217</v>
      </c>
      <c r="E684" s="1" t="s">
        <v>1217</v>
      </c>
      <c r="F684" s="1" t="s">
        <v>1217</v>
      </c>
      <c r="G684" s="5"/>
      <c r="H684" s="1" t="s">
        <v>1217</v>
      </c>
      <c r="I684" s="1" t="s">
        <v>1217</v>
      </c>
      <c r="J684" s="1" t="s">
        <v>1217</v>
      </c>
      <c r="K684" s="1" t="s">
        <v>1218</v>
      </c>
      <c r="L684" s="3">
        <v>10</v>
      </c>
      <c r="M684" s="3">
        <f t="shared" si="10"/>
        <v>10</v>
      </c>
    </row>
    <row r="685" spans="1:13" x14ac:dyDescent="0.35">
      <c r="A685" s="1" t="s">
        <v>453</v>
      </c>
      <c r="B685" s="1">
        <v>57773</v>
      </c>
      <c r="C685" s="1">
        <v>15949</v>
      </c>
      <c r="D685" s="1">
        <v>30</v>
      </c>
      <c r="E685" s="1">
        <v>0</v>
      </c>
      <c r="F685" s="1">
        <v>623.21</v>
      </c>
      <c r="G685" s="5"/>
      <c r="H685" s="1">
        <v>17.260000000000002</v>
      </c>
      <c r="I685" s="1">
        <v>605.95000000000005</v>
      </c>
      <c r="J685" s="1">
        <v>615.23</v>
      </c>
      <c r="K685" s="1" t="s">
        <v>1231</v>
      </c>
      <c r="L685" s="3">
        <v>1019</v>
      </c>
      <c r="M685" s="3">
        <f t="shared" si="10"/>
        <v>1019</v>
      </c>
    </row>
    <row r="686" spans="1:13" x14ac:dyDescent="0.35">
      <c r="A686" s="1" t="s">
        <v>453</v>
      </c>
      <c r="B686" s="1">
        <v>57773</v>
      </c>
      <c r="C686" s="1">
        <v>15949</v>
      </c>
      <c r="D686" s="1" t="s">
        <v>1217</v>
      </c>
      <c r="E686" s="1" t="s">
        <v>1217</v>
      </c>
      <c r="F686" s="1" t="s">
        <v>1217</v>
      </c>
      <c r="G686" s="5"/>
      <c r="H686" s="1" t="s">
        <v>1217</v>
      </c>
      <c r="I686" s="1" t="s">
        <v>1217</v>
      </c>
      <c r="J686" s="1" t="s">
        <v>1217</v>
      </c>
      <c r="K686" s="1" t="s">
        <v>1218</v>
      </c>
      <c r="L686" s="3">
        <v>10</v>
      </c>
      <c r="M686" s="3">
        <f t="shared" si="10"/>
        <v>10</v>
      </c>
    </row>
    <row r="687" spans="1:13" x14ac:dyDescent="0.35">
      <c r="A687" s="1" t="s">
        <v>148</v>
      </c>
      <c r="B687" s="1">
        <v>56395</v>
      </c>
      <c r="C687" s="1">
        <v>15949</v>
      </c>
      <c r="D687" s="1">
        <v>15</v>
      </c>
      <c r="E687" s="1">
        <v>0</v>
      </c>
      <c r="F687" s="1">
        <v>1040.22</v>
      </c>
      <c r="G687" s="5"/>
      <c r="H687" s="1">
        <v>5.67</v>
      </c>
      <c r="I687" s="1">
        <v>1034.55</v>
      </c>
      <c r="J687" s="1">
        <v>0</v>
      </c>
      <c r="K687" s="1" t="s">
        <v>1255</v>
      </c>
      <c r="L687" s="3">
        <v>424.15</v>
      </c>
      <c r="M687" s="3">
        <f t="shared" si="10"/>
        <v>424.15</v>
      </c>
    </row>
    <row r="688" spans="1:13" x14ac:dyDescent="0.35">
      <c r="A688" s="1" t="s">
        <v>148</v>
      </c>
      <c r="B688" s="1">
        <v>56395</v>
      </c>
      <c r="C688" s="1">
        <v>15949</v>
      </c>
      <c r="D688" s="1" t="s">
        <v>1217</v>
      </c>
      <c r="E688" s="1" t="s">
        <v>1217</v>
      </c>
      <c r="F688" s="1" t="s">
        <v>1217</v>
      </c>
      <c r="G688" s="5"/>
      <c r="H688" s="1" t="s">
        <v>1217</v>
      </c>
      <c r="I688" s="1" t="s">
        <v>1217</v>
      </c>
      <c r="J688" s="1" t="s">
        <v>1217</v>
      </c>
      <c r="K688" s="1" t="s">
        <v>1218</v>
      </c>
      <c r="L688" s="3">
        <v>10</v>
      </c>
      <c r="M688" s="3">
        <f t="shared" si="10"/>
        <v>10</v>
      </c>
    </row>
    <row r="689" spans="1:13" x14ac:dyDescent="0.35">
      <c r="A689" s="1" t="s">
        <v>949</v>
      </c>
      <c r="B689" s="1">
        <v>87076</v>
      </c>
      <c r="C689" s="1">
        <v>15958</v>
      </c>
      <c r="D689" s="1">
        <v>25</v>
      </c>
      <c r="E689" s="1">
        <v>0</v>
      </c>
      <c r="F689" s="1">
        <v>924.87</v>
      </c>
      <c r="G689" s="5"/>
      <c r="H689" s="1">
        <v>322.27</v>
      </c>
      <c r="I689" s="1">
        <v>602.6</v>
      </c>
      <c r="J689" s="1">
        <v>909.9</v>
      </c>
      <c r="K689" s="1" t="s">
        <v>1258</v>
      </c>
      <c r="L689" s="3">
        <v>489</v>
      </c>
      <c r="M689" s="3">
        <f t="shared" si="10"/>
        <v>489</v>
      </c>
    </row>
    <row r="690" spans="1:13" x14ac:dyDescent="0.35">
      <c r="A690" s="1" t="s">
        <v>949</v>
      </c>
      <c r="B690" s="1">
        <v>87076</v>
      </c>
      <c r="C690" s="1">
        <v>15958</v>
      </c>
      <c r="D690" s="1" t="s">
        <v>1217</v>
      </c>
      <c r="E690" s="1" t="s">
        <v>1217</v>
      </c>
      <c r="F690" s="1" t="s">
        <v>1217</v>
      </c>
      <c r="G690" s="5"/>
      <c r="H690" s="1" t="s">
        <v>1217</v>
      </c>
      <c r="I690" s="1" t="s">
        <v>1217</v>
      </c>
      <c r="J690" s="1" t="s">
        <v>1217</v>
      </c>
      <c r="K690" s="1" t="s">
        <v>1218</v>
      </c>
      <c r="L690" s="3">
        <v>10</v>
      </c>
      <c r="M690" s="3">
        <f t="shared" si="10"/>
        <v>10</v>
      </c>
    </row>
    <row r="691" spans="1:13" x14ac:dyDescent="0.35">
      <c r="A691" s="1" t="s">
        <v>925</v>
      </c>
      <c r="B691" s="1">
        <v>87081</v>
      </c>
      <c r="C691" s="1">
        <v>15964</v>
      </c>
      <c r="D691" s="1">
        <v>17</v>
      </c>
      <c r="E691" s="1">
        <v>0</v>
      </c>
      <c r="F691" s="1">
        <v>363.02</v>
      </c>
      <c r="G691" s="5"/>
      <c r="H691" s="1">
        <v>24.99</v>
      </c>
      <c r="I691" s="1">
        <v>338.03</v>
      </c>
      <c r="J691" s="1">
        <v>0</v>
      </c>
      <c r="K691" s="1" t="s">
        <v>1212</v>
      </c>
      <c r="L691" s="3">
        <v>254.15</v>
      </c>
      <c r="M691" s="3">
        <f t="shared" si="10"/>
        <v>254.15</v>
      </c>
    </row>
    <row r="692" spans="1:13" x14ac:dyDescent="0.35">
      <c r="A692" s="1" t="s">
        <v>656</v>
      </c>
      <c r="B692" s="1">
        <v>57772</v>
      </c>
      <c r="C692" s="1">
        <v>15949</v>
      </c>
      <c r="D692" s="1">
        <v>23</v>
      </c>
      <c r="E692" s="1">
        <v>0</v>
      </c>
      <c r="F692" s="1">
        <v>2029.32</v>
      </c>
      <c r="G692" s="5"/>
      <c r="H692" s="1">
        <v>169.68</v>
      </c>
      <c r="I692" s="1">
        <v>1859.64</v>
      </c>
      <c r="J692" s="1">
        <v>1947.61</v>
      </c>
      <c r="K692" s="1" t="s">
        <v>1231</v>
      </c>
      <c r="L692" s="3">
        <v>1019</v>
      </c>
      <c r="M692" s="3">
        <f t="shared" si="10"/>
        <v>1019</v>
      </c>
    </row>
    <row r="693" spans="1:13" x14ac:dyDescent="0.35">
      <c r="A693" s="1" t="s">
        <v>248</v>
      </c>
      <c r="B693" s="1">
        <v>87080</v>
      </c>
      <c r="C693" s="1">
        <v>15963</v>
      </c>
      <c r="D693" s="1">
        <v>17</v>
      </c>
      <c r="E693" s="1">
        <v>0</v>
      </c>
      <c r="F693" s="1">
        <v>244.35</v>
      </c>
      <c r="G693" s="5"/>
      <c r="H693" s="1">
        <v>1.33</v>
      </c>
      <c r="I693" s="1">
        <v>243.02</v>
      </c>
      <c r="J693" s="1">
        <v>0</v>
      </c>
      <c r="K693" s="1" t="s">
        <v>1212</v>
      </c>
      <c r="L693" s="3">
        <v>254.15</v>
      </c>
      <c r="M693" s="3">
        <f t="shared" si="10"/>
        <v>254.15</v>
      </c>
    </row>
    <row r="694" spans="1:13" x14ac:dyDescent="0.35">
      <c r="A694" s="1" t="s">
        <v>626</v>
      </c>
      <c r="B694" s="1">
        <v>56404</v>
      </c>
      <c r="C694" s="1">
        <v>15949</v>
      </c>
      <c r="D694" s="1">
        <v>18</v>
      </c>
      <c r="E694" s="1">
        <v>0</v>
      </c>
      <c r="F694" s="1">
        <v>1336.39</v>
      </c>
      <c r="G694" s="5"/>
      <c r="H694" s="1">
        <v>4.66</v>
      </c>
      <c r="I694" s="1">
        <v>1331.73</v>
      </c>
      <c r="J694" s="1">
        <v>1292.1199999999999</v>
      </c>
      <c r="K694" s="1" t="s">
        <v>1231</v>
      </c>
      <c r="L694" s="3">
        <v>1019</v>
      </c>
      <c r="M694" s="3">
        <f t="shared" si="10"/>
        <v>1019</v>
      </c>
    </row>
    <row r="695" spans="1:13" x14ac:dyDescent="0.35">
      <c r="A695" s="1" t="s">
        <v>626</v>
      </c>
      <c r="B695" s="1">
        <v>56404</v>
      </c>
      <c r="C695" s="1">
        <v>15949</v>
      </c>
      <c r="D695" s="1" t="s">
        <v>1217</v>
      </c>
      <c r="E695" s="1" t="s">
        <v>1217</v>
      </c>
      <c r="F695" s="1" t="s">
        <v>1217</v>
      </c>
      <c r="G695" s="5"/>
      <c r="H695" s="1" t="s">
        <v>1217</v>
      </c>
      <c r="I695" s="1" t="s">
        <v>1217</v>
      </c>
      <c r="J695" s="1" t="s">
        <v>1217</v>
      </c>
      <c r="K695" s="1" t="s">
        <v>1218</v>
      </c>
      <c r="L695" s="3">
        <v>10</v>
      </c>
      <c r="M695" s="3">
        <f t="shared" si="10"/>
        <v>10</v>
      </c>
    </row>
    <row r="696" spans="1:13" x14ac:dyDescent="0.35">
      <c r="A696" s="1" t="s">
        <v>658</v>
      </c>
      <c r="B696" s="1">
        <v>57771</v>
      </c>
      <c r="C696" s="1">
        <v>15949</v>
      </c>
      <c r="D696" s="1">
        <v>21</v>
      </c>
      <c r="E696" s="1">
        <v>0</v>
      </c>
      <c r="F696" s="1">
        <v>158.02000000000001</v>
      </c>
      <c r="G696" s="5"/>
      <c r="H696" s="1">
        <v>0.67</v>
      </c>
      <c r="I696" s="1">
        <v>157.35</v>
      </c>
      <c r="J696" s="1">
        <v>156.69</v>
      </c>
      <c r="K696" s="1" t="s">
        <v>1231</v>
      </c>
      <c r="L696" s="3">
        <v>1019</v>
      </c>
      <c r="M696" s="3">
        <f t="shared" si="10"/>
        <v>1019</v>
      </c>
    </row>
    <row r="697" spans="1:13" x14ac:dyDescent="0.35">
      <c r="A697" s="1" t="s">
        <v>150</v>
      </c>
      <c r="B697" s="1">
        <v>56403</v>
      </c>
      <c r="C697" s="1">
        <v>15949</v>
      </c>
      <c r="D697" s="1">
        <v>13</v>
      </c>
      <c r="E697" s="1">
        <v>0</v>
      </c>
      <c r="F697" s="1">
        <v>1760.72</v>
      </c>
      <c r="G697" s="5"/>
      <c r="H697" s="1">
        <v>1117.04</v>
      </c>
      <c r="I697" s="1">
        <v>643.67999999999995</v>
      </c>
      <c r="J697" s="1">
        <v>0</v>
      </c>
      <c r="K697" s="1" t="s">
        <v>1255</v>
      </c>
      <c r="L697" s="3">
        <v>424.15</v>
      </c>
      <c r="M697" s="3">
        <f t="shared" si="10"/>
        <v>424.15</v>
      </c>
    </row>
    <row r="698" spans="1:13" x14ac:dyDescent="0.35">
      <c r="A698" s="1" t="s">
        <v>150</v>
      </c>
      <c r="B698" s="1">
        <v>56403</v>
      </c>
      <c r="C698" s="1">
        <v>15949</v>
      </c>
      <c r="D698" s="1" t="s">
        <v>1217</v>
      </c>
      <c r="E698" s="1" t="s">
        <v>1217</v>
      </c>
      <c r="F698" s="1" t="s">
        <v>1217</v>
      </c>
      <c r="G698" s="5"/>
      <c r="H698" s="1" t="s">
        <v>1217</v>
      </c>
      <c r="I698" s="1" t="s">
        <v>1217</v>
      </c>
      <c r="J698" s="1" t="s">
        <v>1217</v>
      </c>
      <c r="K698" s="1" t="s">
        <v>1218</v>
      </c>
      <c r="L698" s="3">
        <v>10</v>
      </c>
      <c r="M698" s="3">
        <f t="shared" si="10"/>
        <v>10</v>
      </c>
    </row>
    <row r="699" spans="1:13" x14ac:dyDescent="0.35">
      <c r="A699" s="1" t="s">
        <v>251</v>
      </c>
      <c r="B699" s="1">
        <v>87079</v>
      </c>
      <c r="C699" s="1">
        <v>15962</v>
      </c>
      <c r="D699" s="1">
        <v>17</v>
      </c>
      <c r="E699" s="1">
        <v>0</v>
      </c>
      <c r="F699" s="1">
        <v>326.63</v>
      </c>
      <c r="G699" s="5"/>
      <c r="H699" s="1">
        <v>0.67</v>
      </c>
      <c r="I699" s="1">
        <v>325.95999999999998</v>
      </c>
      <c r="J699" s="1">
        <v>0</v>
      </c>
      <c r="K699" s="1" t="s">
        <v>1212</v>
      </c>
      <c r="L699" s="3">
        <v>254.15</v>
      </c>
      <c r="M699" s="3">
        <f t="shared" si="10"/>
        <v>254.15</v>
      </c>
    </row>
    <row r="700" spans="1:13" x14ac:dyDescent="0.35">
      <c r="A700" s="1" t="s">
        <v>455</v>
      </c>
      <c r="B700" s="1">
        <v>56399</v>
      </c>
      <c r="C700" s="1">
        <v>15949</v>
      </c>
      <c r="D700" s="1">
        <v>57</v>
      </c>
      <c r="E700" s="1">
        <v>0</v>
      </c>
      <c r="F700" s="1">
        <v>80.650000000000006</v>
      </c>
      <c r="G700" s="5"/>
      <c r="H700" s="1">
        <v>9.65</v>
      </c>
      <c r="I700" s="1">
        <v>71</v>
      </c>
      <c r="J700" s="1">
        <v>72</v>
      </c>
      <c r="K700" s="1" t="s">
        <v>1231</v>
      </c>
      <c r="L700" s="3">
        <v>1019</v>
      </c>
      <c r="M700" s="3">
        <f t="shared" si="10"/>
        <v>1019</v>
      </c>
    </row>
    <row r="701" spans="1:13" x14ac:dyDescent="0.35">
      <c r="A701" s="1" t="s">
        <v>165</v>
      </c>
      <c r="B701" s="1">
        <v>84497</v>
      </c>
      <c r="C701" s="1">
        <v>15961</v>
      </c>
      <c r="D701" s="1">
        <v>19</v>
      </c>
      <c r="E701" s="1">
        <v>0</v>
      </c>
      <c r="F701" s="1">
        <v>518.33000000000004</v>
      </c>
      <c r="G701" s="5"/>
      <c r="H701" s="1">
        <v>491</v>
      </c>
      <c r="I701" s="1">
        <v>27.33</v>
      </c>
      <c r="J701" s="1">
        <v>0</v>
      </c>
      <c r="K701" s="1" t="s">
        <v>1216</v>
      </c>
      <c r="L701" s="3">
        <v>254.15</v>
      </c>
      <c r="M701" s="3">
        <f t="shared" si="10"/>
        <v>254.15</v>
      </c>
    </row>
    <row r="702" spans="1:13" x14ac:dyDescent="0.35">
      <c r="A702" s="1" t="s">
        <v>165</v>
      </c>
      <c r="B702" s="1">
        <v>84497</v>
      </c>
      <c r="C702" s="1">
        <v>15961</v>
      </c>
      <c r="D702" s="1" t="s">
        <v>1217</v>
      </c>
      <c r="E702" s="1" t="s">
        <v>1217</v>
      </c>
      <c r="F702" s="1" t="s">
        <v>1217</v>
      </c>
      <c r="G702" s="5"/>
      <c r="H702" s="1" t="s">
        <v>1217</v>
      </c>
      <c r="I702" s="1" t="s">
        <v>1217</v>
      </c>
      <c r="J702" s="1" t="s">
        <v>1217</v>
      </c>
      <c r="K702" s="1" t="s">
        <v>1218</v>
      </c>
      <c r="L702" s="3">
        <v>10</v>
      </c>
      <c r="M702" s="3">
        <f t="shared" si="10"/>
        <v>10</v>
      </c>
    </row>
    <row r="703" spans="1:13" x14ac:dyDescent="0.35">
      <c r="A703" s="1" t="s">
        <v>403</v>
      </c>
      <c r="B703" s="1">
        <v>78609</v>
      </c>
      <c r="C703" s="1">
        <v>15331</v>
      </c>
      <c r="D703" s="1">
        <v>13</v>
      </c>
      <c r="E703" s="1">
        <v>0</v>
      </c>
      <c r="F703" s="1">
        <v>11.63</v>
      </c>
      <c r="G703" s="5"/>
      <c r="H703" s="1">
        <v>10.97</v>
      </c>
      <c r="I703" s="1">
        <v>0.66</v>
      </c>
      <c r="J703" s="1">
        <v>0</v>
      </c>
      <c r="K703" s="1" t="s">
        <v>1212</v>
      </c>
      <c r="L703" s="3">
        <v>254.15</v>
      </c>
      <c r="M703" s="3">
        <f t="shared" si="10"/>
        <v>254.15</v>
      </c>
    </row>
    <row r="704" spans="1:13" x14ac:dyDescent="0.35">
      <c r="A704" s="1" t="s">
        <v>404</v>
      </c>
      <c r="B704" s="1">
        <v>78604</v>
      </c>
      <c r="C704" s="1">
        <v>15334</v>
      </c>
      <c r="D704" s="1">
        <v>11</v>
      </c>
      <c r="E704" s="1">
        <v>0</v>
      </c>
      <c r="F704" s="1">
        <v>26.67</v>
      </c>
      <c r="G704" s="5"/>
      <c r="H704" s="1">
        <v>26.67</v>
      </c>
      <c r="I704" s="1">
        <v>0</v>
      </c>
      <c r="J704" s="1">
        <v>0</v>
      </c>
      <c r="K704" s="1" t="s">
        <v>1212</v>
      </c>
      <c r="L704" s="3">
        <v>254.15</v>
      </c>
      <c r="M704" s="3">
        <f t="shared" si="10"/>
        <v>254.15</v>
      </c>
    </row>
    <row r="705" spans="1:13" x14ac:dyDescent="0.35">
      <c r="A705" s="1" t="s">
        <v>405</v>
      </c>
      <c r="B705" s="1">
        <v>78606</v>
      </c>
      <c r="C705" s="1">
        <v>15333</v>
      </c>
      <c r="D705" s="1">
        <v>13</v>
      </c>
      <c r="E705" s="1">
        <v>0</v>
      </c>
      <c r="F705" s="1">
        <v>86.68</v>
      </c>
      <c r="G705" s="5"/>
      <c r="H705" s="1">
        <v>86.68</v>
      </c>
      <c r="I705" s="1">
        <v>0</v>
      </c>
      <c r="J705" s="1">
        <v>0</v>
      </c>
      <c r="K705" s="1" t="s">
        <v>1212</v>
      </c>
      <c r="L705" s="3">
        <v>254.15</v>
      </c>
      <c r="M705" s="3">
        <f t="shared" si="10"/>
        <v>254.15</v>
      </c>
    </row>
    <row r="706" spans="1:13" x14ac:dyDescent="0.35">
      <c r="G706" s="5">
        <f>SUM(G2:G705)</f>
        <v>9997.0999999999967</v>
      </c>
    </row>
    <row r="707" spans="1:13" x14ac:dyDescent="0.35">
      <c r="G707" s="5"/>
    </row>
    <row r="708" spans="1:13" x14ac:dyDescent="0.35">
      <c r="G708" s="5"/>
    </row>
    <row r="709" spans="1:13" x14ac:dyDescent="0.35">
      <c r="G709" s="5"/>
    </row>
    <row r="710" spans="1:13" x14ac:dyDescent="0.35">
      <c r="G710" s="5"/>
    </row>
    <row r="711" spans="1:13" x14ac:dyDescent="0.35">
      <c r="G711" s="5"/>
    </row>
    <row r="712" spans="1:13" x14ac:dyDescent="0.35">
      <c r="G712" s="5"/>
    </row>
    <row r="713" spans="1:13" x14ac:dyDescent="0.35">
      <c r="G713" s="5"/>
    </row>
    <row r="714" spans="1:13" x14ac:dyDescent="0.35">
      <c r="G714" s="5"/>
    </row>
    <row r="715" spans="1:13" x14ac:dyDescent="0.35">
      <c r="G715" s="5"/>
    </row>
    <row r="716" spans="1:13" x14ac:dyDescent="0.35">
      <c r="G716" s="5"/>
    </row>
    <row r="717" spans="1:13" x14ac:dyDescent="0.35">
      <c r="G717" s="5"/>
    </row>
    <row r="718" spans="1:13" x14ac:dyDescent="0.35">
      <c r="G718" s="5"/>
    </row>
    <row r="719" spans="1:13" x14ac:dyDescent="0.35">
      <c r="G719" s="5"/>
    </row>
    <row r="720" spans="1:13" x14ac:dyDescent="0.35">
      <c r="G720" s="5"/>
    </row>
    <row r="721" spans="7:7" x14ac:dyDescent="0.35">
      <c r="G721" s="5"/>
    </row>
    <row r="722" spans="7:7" x14ac:dyDescent="0.35">
      <c r="G722" s="7"/>
    </row>
  </sheetData>
  <autoFilter ref="A1:L706" xr:uid="{49A638ED-EF35-4E25-A195-9EC6385B0D7D}"/>
  <sortState xmlns:xlrd2="http://schemas.microsoft.com/office/spreadsheetml/2017/richdata2" ref="A2:M722">
    <sortCondition ref="A2:A722"/>
    <sortCondition descending="1" ref="M2:M722"/>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15660-CE55-44B3-A458-6276EE7E5C47}">
  <dimension ref="A3:F388"/>
  <sheetViews>
    <sheetView topLeftCell="C1" workbookViewId="0">
      <selection activeCell="J18" sqref="J18"/>
    </sheetView>
  </sheetViews>
  <sheetFormatPr defaultColWidth="9.1796875" defaultRowHeight="14.5" x14ac:dyDescent="0.35"/>
  <cols>
    <col min="1" max="1" width="61.1796875" style="6" bestFit="1" customWidth="1"/>
    <col min="2" max="2" width="14.7265625" style="6" bestFit="1" customWidth="1"/>
    <col min="3" max="3" width="19.453125" style="6" bestFit="1" customWidth="1"/>
    <col min="4" max="4" width="19.81640625" style="6" bestFit="1" customWidth="1"/>
    <col min="5" max="5" width="16.26953125" style="6" bestFit="1" customWidth="1"/>
    <col min="6" max="6" width="21.54296875" style="6" bestFit="1" customWidth="1"/>
    <col min="7" max="16384" width="9.1796875" style="6"/>
  </cols>
  <sheetData>
    <row r="3" spans="1:6" x14ac:dyDescent="0.35">
      <c r="A3" s="9" t="s">
        <v>7</v>
      </c>
      <c r="B3" s="9" t="s">
        <v>8</v>
      </c>
      <c r="C3" s="9" t="s">
        <v>9</v>
      </c>
      <c r="D3" s="10" t="s">
        <v>1273</v>
      </c>
      <c r="E3" s="10" t="s">
        <v>1274</v>
      </c>
      <c r="F3" s="10" t="s">
        <v>1199</v>
      </c>
    </row>
    <row r="4" spans="1:6" x14ac:dyDescent="0.35">
      <c r="A4" s="10" t="s">
        <v>1211</v>
      </c>
      <c r="B4" s="10">
        <v>61934</v>
      </c>
      <c r="C4" s="10">
        <v>16480</v>
      </c>
      <c r="D4" s="10">
        <v>82.34</v>
      </c>
      <c r="E4" s="10">
        <v>0</v>
      </c>
      <c r="F4" s="10">
        <v>254.15</v>
      </c>
    </row>
    <row r="5" spans="1:6" x14ac:dyDescent="0.35">
      <c r="A5" s="10" t="s">
        <v>1213</v>
      </c>
      <c r="B5" s="10">
        <v>8012</v>
      </c>
      <c r="C5" s="10" t="s">
        <v>289</v>
      </c>
      <c r="D5" s="10">
        <v>4.67</v>
      </c>
      <c r="E5" s="10">
        <v>0</v>
      </c>
      <c r="F5" s="10">
        <v>0</v>
      </c>
    </row>
    <row r="6" spans="1:6" x14ac:dyDescent="0.35">
      <c r="A6" s="10" t="s">
        <v>1215</v>
      </c>
      <c r="B6" s="10">
        <v>62658</v>
      </c>
      <c r="C6" s="10">
        <v>16613</v>
      </c>
      <c r="D6" s="10">
        <v>1890.85</v>
      </c>
      <c r="E6" s="10">
        <v>0</v>
      </c>
      <c r="F6" s="10">
        <v>254.15</v>
      </c>
    </row>
    <row r="7" spans="1:6" x14ac:dyDescent="0.35">
      <c r="A7" s="10" t="s">
        <v>472</v>
      </c>
      <c r="B7" s="10">
        <v>62657</v>
      </c>
      <c r="C7" s="10">
        <v>16614</v>
      </c>
      <c r="D7" s="10">
        <v>37.67</v>
      </c>
      <c r="E7" s="10">
        <v>0</v>
      </c>
      <c r="F7" s="10">
        <v>264.14999999999998</v>
      </c>
    </row>
    <row r="8" spans="1:6" x14ac:dyDescent="0.35">
      <c r="A8" s="10" t="s">
        <v>1219</v>
      </c>
      <c r="B8" s="10">
        <v>154247</v>
      </c>
      <c r="C8" s="10">
        <v>468</v>
      </c>
      <c r="D8" s="10">
        <v>18325.189999999999</v>
      </c>
      <c r="E8" s="10">
        <v>0</v>
      </c>
      <c r="F8" s="10">
        <v>2543.85</v>
      </c>
    </row>
    <row r="9" spans="1:6" x14ac:dyDescent="0.35">
      <c r="A9" s="10" t="s">
        <v>474</v>
      </c>
      <c r="B9" s="10">
        <v>149876</v>
      </c>
      <c r="C9" s="10">
        <v>27280</v>
      </c>
      <c r="D9" s="10">
        <v>13.35</v>
      </c>
      <c r="E9" s="10">
        <v>0</v>
      </c>
      <c r="F9" s="10">
        <v>264.14999999999998</v>
      </c>
    </row>
    <row r="10" spans="1:6" x14ac:dyDescent="0.35">
      <c r="A10" s="10" t="s">
        <v>426</v>
      </c>
      <c r="B10" s="10">
        <v>84602</v>
      </c>
      <c r="C10" s="10" t="s">
        <v>427</v>
      </c>
      <c r="D10" s="10">
        <v>1140.56</v>
      </c>
      <c r="E10" s="10">
        <v>0</v>
      </c>
      <c r="F10" s="10">
        <v>264.14999999999998</v>
      </c>
    </row>
    <row r="11" spans="1:6" x14ac:dyDescent="0.35">
      <c r="A11" s="10" t="s">
        <v>342</v>
      </c>
      <c r="B11" s="10">
        <v>188955</v>
      </c>
      <c r="C11" s="10">
        <v>32347</v>
      </c>
      <c r="D11" s="10">
        <v>0</v>
      </c>
      <c r="E11" s="10">
        <v>0</v>
      </c>
      <c r="F11" s="10">
        <v>0</v>
      </c>
    </row>
    <row r="12" spans="1:6" x14ac:dyDescent="0.35">
      <c r="A12" s="10" t="s">
        <v>373</v>
      </c>
      <c r="B12" s="10">
        <v>97941</v>
      </c>
      <c r="C12" s="10" t="s">
        <v>289</v>
      </c>
      <c r="D12" s="10">
        <v>79.33</v>
      </c>
      <c r="E12" s="10">
        <v>0</v>
      </c>
      <c r="F12" s="10">
        <v>1304</v>
      </c>
    </row>
    <row r="13" spans="1:6" x14ac:dyDescent="0.35">
      <c r="A13" s="10" t="s">
        <v>934</v>
      </c>
      <c r="B13" s="10">
        <v>99534</v>
      </c>
      <c r="C13" s="10">
        <v>19240</v>
      </c>
      <c r="D13" s="10">
        <v>6415.46</v>
      </c>
      <c r="E13" s="10">
        <v>48.31</v>
      </c>
      <c r="F13" s="10">
        <v>187.31</v>
      </c>
    </row>
    <row r="14" spans="1:6" x14ac:dyDescent="0.35">
      <c r="A14" s="10" t="s">
        <v>662</v>
      </c>
      <c r="B14" s="10">
        <v>187858</v>
      </c>
      <c r="C14" s="10">
        <v>30006</v>
      </c>
      <c r="D14" s="10">
        <v>3126.83</v>
      </c>
      <c r="E14" s="10">
        <v>0</v>
      </c>
      <c r="F14" s="10">
        <v>509.15</v>
      </c>
    </row>
    <row r="15" spans="1:6" x14ac:dyDescent="0.35">
      <c r="A15" s="10" t="s">
        <v>229</v>
      </c>
      <c r="B15" s="10">
        <v>84739</v>
      </c>
      <c r="C15" s="10">
        <v>18059</v>
      </c>
      <c r="D15" s="10">
        <v>1292.6400000000001</v>
      </c>
      <c r="E15" s="10">
        <v>0</v>
      </c>
      <c r="F15" s="10">
        <v>434.15</v>
      </c>
    </row>
    <row r="16" spans="1:6" x14ac:dyDescent="0.35">
      <c r="A16" s="10" t="s">
        <v>881</v>
      </c>
      <c r="B16" s="10">
        <v>185463</v>
      </c>
      <c r="C16" s="10">
        <v>29715</v>
      </c>
      <c r="D16" s="10">
        <v>3608.44</v>
      </c>
      <c r="E16" s="10">
        <v>0</v>
      </c>
      <c r="F16" s="10">
        <v>1698</v>
      </c>
    </row>
    <row r="17" spans="1:6" x14ac:dyDescent="0.35">
      <c r="A17" s="10" t="s">
        <v>33</v>
      </c>
      <c r="B17" s="10">
        <v>76195</v>
      </c>
      <c r="C17" s="10">
        <v>17223</v>
      </c>
      <c r="D17" s="10">
        <v>8351.73</v>
      </c>
      <c r="E17" s="10">
        <v>0</v>
      </c>
      <c r="F17" s="10">
        <v>1571.65</v>
      </c>
    </row>
    <row r="18" spans="1:6" x14ac:dyDescent="0.35">
      <c r="A18" s="10" t="s">
        <v>635</v>
      </c>
      <c r="B18" s="10">
        <v>96547</v>
      </c>
      <c r="C18" s="10">
        <v>7862</v>
      </c>
      <c r="D18" s="10">
        <v>2965.1</v>
      </c>
      <c r="E18" s="10">
        <v>0</v>
      </c>
      <c r="F18" s="10">
        <v>1571.65</v>
      </c>
    </row>
    <row r="19" spans="1:6" x14ac:dyDescent="0.35">
      <c r="A19" s="10" t="s">
        <v>775</v>
      </c>
      <c r="B19" s="10">
        <v>142323</v>
      </c>
      <c r="C19" s="10">
        <v>22425</v>
      </c>
      <c r="D19" s="10">
        <v>679.89</v>
      </c>
      <c r="E19" s="10">
        <v>0</v>
      </c>
      <c r="F19" s="10">
        <v>434.15</v>
      </c>
    </row>
    <row r="20" spans="1:6" x14ac:dyDescent="0.35">
      <c r="A20" s="10" t="s">
        <v>756</v>
      </c>
      <c r="B20" s="10">
        <v>74464</v>
      </c>
      <c r="C20" s="10">
        <v>16765</v>
      </c>
      <c r="D20" s="10">
        <v>24179.119999999999</v>
      </c>
      <c r="E20" s="10">
        <v>0</v>
      </c>
      <c r="F20" s="10">
        <v>1581.65</v>
      </c>
    </row>
    <row r="21" spans="1:6" x14ac:dyDescent="0.35">
      <c r="A21" s="10" t="s">
        <v>109</v>
      </c>
      <c r="B21" s="10">
        <v>59246</v>
      </c>
      <c r="C21" s="10">
        <v>18577</v>
      </c>
      <c r="D21" s="10">
        <v>13420.63</v>
      </c>
      <c r="E21" s="10">
        <v>0</v>
      </c>
      <c r="F21" s="10">
        <v>1581.65</v>
      </c>
    </row>
    <row r="22" spans="1:6" x14ac:dyDescent="0.35">
      <c r="A22" s="10" t="s">
        <v>40</v>
      </c>
      <c r="B22" s="10">
        <v>92128</v>
      </c>
      <c r="C22" s="10">
        <v>18596</v>
      </c>
      <c r="D22" s="10">
        <v>9740.35</v>
      </c>
      <c r="E22" s="10">
        <v>0</v>
      </c>
      <c r="F22" s="10">
        <v>1581.65</v>
      </c>
    </row>
    <row r="23" spans="1:6" x14ac:dyDescent="0.35">
      <c r="A23" s="10" t="s">
        <v>629</v>
      </c>
      <c r="B23" s="10">
        <v>90311</v>
      </c>
      <c r="C23" s="10">
        <v>18246</v>
      </c>
      <c r="D23" s="10">
        <v>5375.75</v>
      </c>
      <c r="E23" s="10">
        <v>33.82</v>
      </c>
      <c r="F23" s="10">
        <v>542.97</v>
      </c>
    </row>
    <row r="24" spans="1:6" x14ac:dyDescent="0.35">
      <c r="A24" s="10" t="s">
        <v>499</v>
      </c>
      <c r="B24" s="10">
        <v>138653</v>
      </c>
      <c r="C24" s="10">
        <v>22237</v>
      </c>
      <c r="D24" s="10">
        <v>4.32</v>
      </c>
      <c r="E24" s="10">
        <v>0</v>
      </c>
      <c r="F24" s="10">
        <v>2543.85</v>
      </c>
    </row>
    <row r="25" spans="1:6" x14ac:dyDescent="0.35">
      <c r="A25" s="10" t="s">
        <v>343</v>
      </c>
      <c r="B25" s="10">
        <v>159842</v>
      </c>
      <c r="C25" s="10">
        <v>29415</v>
      </c>
      <c r="D25" s="10">
        <v>0</v>
      </c>
      <c r="E25" s="10">
        <v>0</v>
      </c>
      <c r="F25" s="10">
        <v>0</v>
      </c>
    </row>
    <row r="26" spans="1:6" x14ac:dyDescent="0.35">
      <c r="A26" s="10" t="s">
        <v>140</v>
      </c>
      <c r="B26" s="10">
        <v>154578</v>
      </c>
      <c r="C26" s="10">
        <v>27016</v>
      </c>
      <c r="D26" s="10">
        <v>14366.1</v>
      </c>
      <c r="E26" s="10">
        <v>0</v>
      </c>
      <c r="F26" s="10">
        <v>1581.65</v>
      </c>
    </row>
    <row r="27" spans="1:6" x14ac:dyDescent="0.35">
      <c r="A27" s="10" t="s">
        <v>792</v>
      </c>
      <c r="B27" s="10">
        <v>61123</v>
      </c>
      <c r="C27" s="10">
        <v>7279</v>
      </c>
      <c r="D27" s="10">
        <v>5108.68</v>
      </c>
      <c r="E27" s="10">
        <v>76.5</v>
      </c>
      <c r="F27" s="10">
        <v>340.65</v>
      </c>
    </row>
    <row r="28" spans="1:6" x14ac:dyDescent="0.35">
      <c r="A28" s="10" t="s">
        <v>802</v>
      </c>
      <c r="B28" s="10">
        <v>61125</v>
      </c>
      <c r="C28" s="10">
        <v>16270</v>
      </c>
      <c r="D28" s="10">
        <v>2834.74</v>
      </c>
      <c r="E28" s="10">
        <v>0</v>
      </c>
      <c r="F28" s="10">
        <v>264.14999999999998</v>
      </c>
    </row>
    <row r="29" spans="1:6" x14ac:dyDescent="0.35">
      <c r="A29" s="10" t="s">
        <v>877</v>
      </c>
      <c r="B29" s="10">
        <v>61126</v>
      </c>
      <c r="C29" s="10">
        <v>16271</v>
      </c>
      <c r="D29" s="10">
        <v>266.63</v>
      </c>
      <c r="E29" s="10">
        <v>0</v>
      </c>
      <c r="F29" s="10">
        <v>254.15</v>
      </c>
    </row>
    <row r="30" spans="1:6" x14ac:dyDescent="0.35">
      <c r="A30" s="10" t="s">
        <v>344</v>
      </c>
      <c r="B30" s="10">
        <v>143336</v>
      </c>
      <c r="C30" s="10">
        <v>123456</v>
      </c>
      <c r="D30" s="10">
        <v>0</v>
      </c>
      <c r="E30" s="10">
        <v>0</v>
      </c>
      <c r="F30" s="10">
        <v>0</v>
      </c>
    </row>
    <row r="31" spans="1:6" x14ac:dyDescent="0.35">
      <c r="A31" s="10" t="s">
        <v>376</v>
      </c>
      <c r="B31" s="10">
        <v>36446</v>
      </c>
      <c r="C31" s="10">
        <v>10556</v>
      </c>
      <c r="D31" s="10">
        <v>41.02</v>
      </c>
      <c r="E31" s="10">
        <v>0</v>
      </c>
      <c r="F31" s="10">
        <v>710</v>
      </c>
    </row>
    <row r="32" spans="1:6" x14ac:dyDescent="0.35">
      <c r="A32" s="10" t="s">
        <v>645</v>
      </c>
      <c r="B32" s="10">
        <v>144287</v>
      </c>
      <c r="C32" s="10">
        <v>24709</v>
      </c>
      <c r="D32" s="10">
        <v>746.64</v>
      </c>
      <c r="E32" s="10">
        <v>0</v>
      </c>
      <c r="F32" s="10">
        <v>509.15</v>
      </c>
    </row>
    <row r="33" spans="1:6" x14ac:dyDescent="0.35">
      <c r="A33" s="10" t="s">
        <v>671</v>
      </c>
      <c r="B33" s="10">
        <v>141461</v>
      </c>
      <c r="C33" s="10">
        <v>22159</v>
      </c>
      <c r="D33" s="10">
        <v>6171.14</v>
      </c>
      <c r="E33" s="10">
        <v>184.31</v>
      </c>
      <c r="F33" s="10">
        <v>448.46</v>
      </c>
    </row>
    <row r="34" spans="1:6" x14ac:dyDescent="0.35">
      <c r="A34" s="10" t="s">
        <v>667</v>
      </c>
      <c r="B34" s="10">
        <v>156703</v>
      </c>
      <c r="C34" s="10">
        <v>29023</v>
      </c>
      <c r="D34" s="10">
        <v>4685.8599999999997</v>
      </c>
      <c r="E34" s="10">
        <v>81.819999999999993</v>
      </c>
      <c r="F34" s="10">
        <v>345.97</v>
      </c>
    </row>
    <row r="35" spans="1:6" x14ac:dyDescent="0.35">
      <c r="A35" s="10" t="s">
        <v>673</v>
      </c>
      <c r="B35" s="10">
        <v>74078</v>
      </c>
      <c r="C35" s="10">
        <v>5068</v>
      </c>
      <c r="D35" s="10">
        <v>4458.1899999999996</v>
      </c>
      <c r="E35" s="10">
        <v>31.62</v>
      </c>
      <c r="F35" s="10">
        <v>295.77</v>
      </c>
    </row>
    <row r="36" spans="1:6" x14ac:dyDescent="0.35">
      <c r="A36" s="10" t="s">
        <v>942</v>
      </c>
      <c r="B36" s="10">
        <v>50391</v>
      </c>
      <c r="C36" s="10">
        <v>15178</v>
      </c>
      <c r="D36" s="10">
        <v>4384.01</v>
      </c>
      <c r="E36" s="10">
        <v>7.68</v>
      </c>
      <c r="F36" s="10">
        <v>146.68</v>
      </c>
    </row>
    <row r="37" spans="1:6" x14ac:dyDescent="0.35">
      <c r="A37" s="10" t="s">
        <v>45</v>
      </c>
      <c r="B37" s="10">
        <v>90338</v>
      </c>
      <c r="C37" s="10">
        <v>8230</v>
      </c>
      <c r="D37" s="10">
        <v>2477.75</v>
      </c>
      <c r="E37" s="10">
        <v>0</v>
      </c>
      <c r="F37" s="10">
        <v>264.14999999999998</v>
      </c>
    </row>
    <row r="38" spans="1:6" x14ac:dyDescent="0.35">
      <c r="A38" s="10" t="s">
        <v>720</v>
      </c>
      <c r="B38" s="10">
        <v>79776</v>
      </c>
      <c r="C38" s="10">
        <v>17654</v>
      </c>
      <c r="D38" s="10">
        <v>18972.27</v>
      </c>
      <c r="E38" s="10">
        <v>0</v>
      </c>
      <c r="F38" s="10">
        <v>2533.85</v>
      </c>
    </row>
    <row r="39" spans="1:6" x14ac:dyDescent="0.35">
      <c r="A39" s="10" t="s">
        <v>377</v>
      </c>
      <c r="B39" s="10">
        <v>46371</v>
      </c>
      <c r="C39" s="10">
        <v>11519</v>
      </c>
      <c r="D39" s="10">
        <v>3112.69</v>
      </c>
      <c r="E39" s="10">
        <v>0</v>
      </c>
      <c r="F39" s="10">
        <v>139</v>
      </c>
    </row>
    <row r="40" spans="1:6" x14ac:dyDescent="0.35">
      <c r="A40" s="10" t="s">
        <v>379</v>
      </c>
      <c r="B40" s="10">
        <v>46376</v>
      </c>
      <c r="C40" s="10">
        <v>15064</v>
      </c>
      <c r="D40" s="10">
        <v>4038.14</v>
      </c>
      <c r="E40" s="10">
        <v>0.76</v>
      </c>
      <c r="F40" s="10">
        <v>129.76</v>
      </c>
    </row>
    <row r="41" spans="1:6" x14ac:dyDescent="0.35">
      <c r="A41" s="10" t="s">
        <v>435</v>
      </c>
      <c r="B41" s="10">
        <v>84596</v>
      </c>
      <c r="C41" s="10">
        <v>17024</v>
      </c>
      <c r="D41" s="10">
        <v>23.66</v>
      </c>
      <c r="E41" s="10">
        <v>0</v>
      </c>
      <c r="F41" s="10">
        <v>254.15</v>
      </c>
    </row>
    <row r="42" spans="1:6" x14ac:dyDescent="0.35">
      <c r="A42" s="10" t="s">
        <v>469</v>
      </c>
      <c r="B42" s="10">
        <v>147556</v>
      </c>
      <c r="C42" s="10">
        <v>26427</v>
      </c>
      <c r="D42" s="10">
        <v>5634.21</v>
      </c>
      <c r="E42" s="10">
        <v>147.26</v>
      </c>
      <c r="F42" s="10">
        <v>411.41</v>
      </c>
    </row>
    <row r="43" spans="1:6" x14ac:dyDescent="0.35">
      <c r="A43" s="10" t="s">
        <v>502</v>
      </c>
      <c r="B43" s="10">
        <v>149326</v>
      </c>
      <c r="C43" s="10">
        <v>26939</v>
      </c>
      <c r="D43" s="10">
        <v>460.01</v>
      </c>
      <c r="E43" s="10">
        <v>0</v>
      </c>
      <c r="F43" s="10">
        <v>434.15</v>
      </c>
    </row>
    <row r="44" spans="1:6" x14ac:dyDescent="0.35">
      <c r="A44" s="10" t="s">
        <v>345</v>
      </c>
      <c r="B44" s="10">
        <v>187147</v>
      </c>
      <c r="C44" s="10">
        <v>4352</v>
      </c>
      <c r="D44" s="10">
        <v>0</v>
      </c>
      <c r="E44" s="10">
        <v>0</v>
      </c>
      <c r="F44" s="10">
        <v>0</v>
      </c>
    </row>
    <row r="45" spans="1:6" x14ac:dyDescent="0.35">
      <c r="A45" s="10" t="s">
        <v>239</v>
      </c>
      <c r="B45" s="10">
        <v>143783</v>
      </c>
      <c r="C45" s="10">
        <v>20698</v>
      </c>
      <c r="D45" s="10">
        <v>2158.0500000000002</v>
      </c>
      <c r="E45" s="10">
        <v>0</v>
      </c>
      <c r="F45" s="10">
        <v>264.14999999999998</v>
      </c>
    </row>
    <row r="46" spans="1:6" x14ac:dyDescent="0.35">
      <c r="A46" s="10" t="s">
        <v>620</v>
      </c>
      <c r="B46" s="10">
        <v>108920</v>
      </c>
      <c r="C46" s="10">
        <v>19322</v>
      </c>
      <c r="D46" s="10">
        <v>8650.1299999999992</v>
      </c>
      <c r="E46" s="10">
        <v>0</v>
      </c>
      <c r="F46" s="10">
        <v>2543.85</v>
      </c>
    </row>
    <row r="47" spans="1:6" x14ac:dyDescent="0.35">
      <c r="A47" s="10" t="s">
        <v>869</v>
      </c>
      <c r="B47" s="10">
        <v>108919</v>
      </c>
      <c r="C47" s="10">
        <v>19326</v>
      </c>
      <c r="D47" s="10">
        <v>1352.5</v>
      </c>
      <c r="E47" s="10">
        <v>0</v>
      </c>
      <c r="F47" s="10">
        <v>1284.1500000000001</v>
      </c>
    </row>
    <row r="48" spans="1:6" x14ac:dyDescent="0.35">
      <c r="A48" s="10" t="s">
        <v>811</v>
      </c>
      <c r="B48" s="10">
        <v>108921</v>
      </c>
      <c r="C48" s="10">
        <v>19319</v>
      </c>
      <c r="D48" s="10">
        <v>0</v>
      </c>
      <c r="E48" s="10">
        <v>0</v>
      </c>
      <c r="F48" s="10">
        <v>264.14999999999998</v>
      </c>
    </row>
    <row r="49" spans="1:6" x14ac:dyDescent="0.35">
      <c r="A49" s="10" t="s">
        <v>814</v>
      </c>
      <c r="B49" s="10">
        <v>108918</v>
      </c>
      <c r="C49" s="10">
        <v>19295</v>
      </c>
      <c r="D49" s="10">
        <v>0</v>
      </c>
      <c r="E49" s="10">
        <v>0</v>
      </c>
      <c r="F49" s="10">
        <v>264.14999999999998</v>
      </c>
    </row>
    <row r="50" spans="1:6" x14ac:dyDescent="0.35">
      <c r="A50" s="10" t="s">
        <v>854</v>
      </c>
      <c r="B50" s="10">
        <v>36440</v>
      </c>
      <c r="C50" s="10" t="s">
        <v>1230</v>
      </c>
      <c r="D50" s="10">
        <v>16135.7</v>
      </c>
      <c r="E50" s="10">
        <v>0</v>
      </c>
      <c r="F50" s="10">
        <v>1581.65</v>
      </c>
    </row>
    <row r="51" spans="1:6" x14ac:dyDescent="0.35">
      <c r="A51" s="10" t="s">
        <v>692</v>
      </c>
      <c r="B51" s="10">
        <v>156745</v>
      </c>
      <c r="C51" s="10">
        <v>3869</v>
      </c>
      <c r="D51" s="10">
        <v>3911.88</v>
      </c>
      <c r="E51" s="10">
        <v>0</v>
      </c>
      <c r="F51" s="10">
        <v>434.15</v>
      </c>
    </row>
    <row r="52" spans="1:6" x14ac:dyDescent="0.35">
      <c r="A52" s="10" t="s">
        <v>496</v>
      </c>
      <c r="B52" s="10">
        <v>84459</v>
      </c>
      <c r="C52" s="10">
        <v>18079</v>
      </c>
      <c r="D52" s="10">
        <v>2455.5300000000002</v>
      </c>
      <c r="E52" s="10">
        <v>0</v>
      </c>
      <c r="F52" s="10">
        <v>1581.65</v>
      </c>
    </row>
    <row r="53" spans="1:6" x14ac:dyDescent="0.35">
      <c r="A53" s="10" t="s">
        <v>761</v>
      </c>
      <c r="B53" s="10">
        <v>84504</v>
      </c>
      <c r="C53" s="10">
        <v>18080</v>
      </c>
      <c r="D53" s="10">
        <v>1571.65</v>
      </c>
      <c r="E53" s="10">
        <v>0</v>
      </c>
      <c r="F53" s="10">
        <v>264.14999999999998</v>
      </c>
    </row>
    <row r="54" spans="1:6" x14ac:dyDescent="0.35">
      <c r="A54" s="10" t="s">
        <v>764</v>
      </c>
      <c r="B54" s="10">
        <v>84503</v>
      </c>
      <c r="C54" s="10">
        <v>18081</v>
      </c>
      <c r="D54" s="10">
        <v>1525.89</v>
      </c>
      <c r="E54" s="10">
        <v>0</v>
      </c>
      <c r="F54" s="10">
        <v>264.14999999999998</v>
      </c>
    </row>
    <row r="55" spans="1:6" x14ac:dyDescent="0.35">
      <c r="A55" s="10" t="s">
        <v>476</v>
      </c>
      <c r="B55" s="10">
        <v>84465</v>
      </c>
      <c r="C55" s="10">
        <v>18082</v>
      </c>
      <c r="D55" s="10">
        <v>1418.84</v>
      </c>
      <c r="E55" s="10">
        <v>0</v>
      </c>
      <c r="F55" s="10">
        <v>264.14999999999998</v>
      </c>
    </row>
    <row r="56" spans="1:6" x14ac:dyDescent="0.35">
      <c r="A56" s="10" t="s">
        <v>766</v>
      </c>
      <c r="B56" s="10">
        <v>84506</v>
      </c>
      <c r="C56" s="10">
        <v>18083</v>
      </c>
      <c r="D56" s="10">
        <v>2205.35</v>
      </c>
      <c r="E56" s="10">
        <v>0</v>
      </c>
      <c r="F56" s="10">
        <v>264.14999999999998</v>
      </c>
    </row>
    <row r="57" spans="1:6" x14ac:dyDescent="0.35">
      <c r="A57" s="10" t="s">
        <v>478</v>
      </c>
      <c r="B57" s="10">
        <v>150041</v>
      </c>
      <c r="C57" s="10">
        <v>17995</v>
      </c>
      <c r="D57" s="10">
        <v>138.12</v>
      </c>
      <c r="E57" s="10">
        <v>0</v>
      </c>
      <c r="F57" s="10">
        <v>264.14999999999998</v>
      </c>
    </row>
    <row r="58" spans="1:6" x14ac:dyDescent="0.35">
      <c r="A58" s="10" t="s">
        <v>578</v>
      </c>
      <c r="B58" s="10">
        <v>146876</v>
      </c>
      <c r="C58" s="10">
        <v>8209</v>
      </c>
      <c r="D58" s="10">
        <v>7719.1</v>
      </c>
      <c r="E58" s="10">
        <v>0</v>
      </c>
      <c r="F58" s="10">
        <v>1029</v>
      </c>
    </row>
    <row r="59" spans="1:6" x14ac:dyDescent="0.35">
      <c r="A59" s="10" t="s">
        <v>380</v>
      </c>
      <c r="B59" s="10">
        <v>59903</v>
      </c>
      <c r="C59" s="10">
        <v>5252</v>
      </c>
      <c r="D59" s="10">
        <v>0.33</v>
      </c>
      <c r="E59" s="10">
        <v>0</v>
      </c>
      <c r="F59" s="10">
        <v>129</v>
      </c>
    </row>
    <row r="60" spans="1:6" x14ac:dyDescent="0.35">
      <c r="A60" s="10" t="s">
        <v>381</v>
      </c>
      <c r="B60" s="10">
        <v>58680</v>
      </c>
      <c r="C60" s="10">
        <v>9472</v>
      </c>
      <c r="D60" s="10">
        <v>0</v>
      </c>
      <c r="E60" s="10">
        <v>0</v>
      </c>
      <c r="F60" s="10">
        <v>129</v>
      </c>
    </row>
    <row r="61" spans="1:6" x14ac:dyDescent="0.35">
      <c r="A61" s="10" t="s">
        <v>382</v>
      </c>
      <c r="B61" s="10">
        <v>58685</v>
      </c>
      <c r="C61" s="10">
        <v>2432</v>
      </c>
      <c r="D61" s="10">
        <v>0</v>
      </c>
      <c r="E61" s="10">
        <v>0</v>
      </c>
      <c r="F61" s="10">
        <v>129</v>
      </c>
    </row>
    <row r="62" spans="1:6" x14ac:dyDescent="0.35">
      <c r="A62" s="10" t="s">
        <v>383</v>
      </c>
      <c r="B62" s="10">
        <v>121132</v>
      </c>
      <c r="C62" s="10">
        <v>21229</v>
      </c>
      <c r="D62" s="10">
        <v>20.98</v>
      </c>
      <c r="E62" s="10">
        <v>0</v>
      </c>
      <c r="F62" s="10">
        <v>254.15</v>
      </c>
    </row>
    <row r="63" spans="1:6" x14ac:dyDescent="0.35">
      <c r="A63" s="10" t="s">
        <v>939</v>
      </c>
      <c r="B63" s="10">
        <v>99695</v>
      </c>
      <c r="C63" s="10">
        <v>17450</v>
      </c>
      <c r="D63" s="10">
        <v>3170.77</v>
      </c>
      <c r="E63" s="10">
        <v>0</v>
      </c>
      <c r="F63" s="10">
        <v>1019</v>
      </c>
    </row>
    <row r="64" spans="1:6" x14ac:dyDescent="0.35">
      <c r="A64" s="10" t="s">
        <v>1232</v>
      </c>
      <c r="B64" s="10">
        <v>177336</v>
      </c>
      <c r="C64" s="10">
        <v>29810</v>
      </c>
      <c r="D64" s="10">
        <v>1878.39</v>
      </c>
      <c r="E64" s="10">
        <v>0</v>
      </c>
      <c r="F64" s="10">
        <v>264.14999999999998</v>
      </c>
    </row>
    <row r="65" spans="1:6" x14ac:dyDescent="0.35">
      <c r="A65" s="10" t="s">
        <v>931</v>
      </c>
      <c r="B65" s="10">
        <v>149427</v>
      </c>
      <c r="C65" s="10">
        <v>26921</v>
      </c>
      <c r="D65" s="10">
        <v>9286.66</v>
      </c>
      <c r="E65" s="10">
        <v>0</v>
      </c>
      <c r="F65" s="10">
        <v>598</v>
      </c>
    </row>
    <row r="66" spans="1:6" x14ac:dyDescent="0.35">
      <c r="A66" s="10" t="s">
        <v>553</v>
      </c>
      <c r="B66" s="10">
        <v>185318</v>
      </c>
      <c r="C66" s="10">
        <v>11341</v>
      </c>
      <c r="D66" s="10">
        <v>2149.7800000000002</v>
      </c>
      <c r="E66" s="10">
        <v>0</v>
      </c>
      <c r="F66" s="10">
        <v>519.15</v>
      </c>
    </row>
    <row r="67" spans="1:6" x14ac:dyDescent="0.35">
      <c r="A67" s="10" t="s">
        <v>1234</v>
      </c>
      <c r="B67" s="10">
        <v>149420</v>
      </c>
      <c r="C67" s="10">
        <v>26923</v>
      </c>
      <c r="D67" s="10">
        <v>2832.14</v>
      </c>
      <c r="E67" s="10">
        <v>0</v>
      </c>
      <c r="F67" s="10">
        <v>434.15</v>
      </c>
    </row>
    <row r="68" spans="1:6" x14ac:dyDescent="0.35">
      <c r="A68" s="10" t="s">
        <v>555</v>
      </c>
      <c r="B68" s="10">
        <v>177335</v>
      </c>
      <c r="C68" s="10">
        <v>29559</v>
      </c>
      <c r="D68" s="10">
        <v>1685.36</v>
      </c>
      <c r="E68" s="10">
        <v>0</v>
      </c>
      <c r="F68" s="10">
        <v>519.15</v>
      </c>
    </row>
    <row r="69" spans="1:6" x14ac:dyDescent="0.35">
      <c r="A69" s="10" t="s">
        <v>695</v>
      </c>
      <c r="B69" s="10">
        <v>149415</v>
      </c>
      <c r="C69" s="10">
        <v>26928</v>
      </c>
      <c r="D69" s="10">
        <v>875.39</v>
      </c>
      <c r="E69" s="10">
        <v>0</v>
      </c>
      <c r="F69" s="10">
        <v>434.15</v>
      </c>
    </row>
    <row r="70" spans="1:6" x14ac:dyDescent="0.35">
      <c r="A70" s="10" t="s">
        <v>697</v>
      </c>
      <c r="B70" s="10">
        <v>149418</v>
      </c>
      <c r="C70" s="10">
        <v>26929</v>
      </c>
      <c r="D70" s="10">
        <v>3174.74</v>
      </c>
      <c r="E70" s="10">
        <v>0</v>
      </c>
      <c r="F70" s="10">
        <v>434.15</v>
      </c>
    </row>
    <row r="71" spans="1:6" x14ac:dyDescent="0.35">
      <c r="A71" s="10" t="s">
        <v>506</v>
      </c>
      <c r="B71" s="10">
        <v>149425</v>
      </c>
      <c r="C71" s="10">
        <v>26926</v>
      </c>
      <c r="D71" s="10">
        <v>3513.73</v>
      </c>
      <c r="E71" s="10">
        <v>0</v>
      </c>
      <c r="F71" s="10">
        <v>434.15</v>
      </c>
    </row>
    <row r="72" spans="1:6" x14ac:dyDescent="0.35">
      <c r="A72" s="10" t="s">
        <v>557</v>
      </c>
      <c r="B72" s="10">
        <v>185319</v>
      </c>
      <c r="C72" s="10">
        <v>15443</v>
      </c>
      <c r="D72" s="10">
        <v>777.31</v>
      </c>
      <c r="E72" s="10">
        <v>0</v>
      </c>
      <c r="F72" s="10">
        <v>519.15</v>
      </c>
    </row>
    <row r="73" spans="1:6" x14ac:dyDescent="0.35">
      <c r="A73" s="10" t="s">
        <v>559</v>
      </c>
      <c r="B73" s="10">
        <v>177338</v>
      </c>
      <c r="C73" s="10">
        <v>29561</v>
      </c>
      <c r="D73" s="10">
        <v>4878.8500000000004</v>
      </c>
      <c r="E73" s="10">
        <v>0</v>
      </c>
      <c r="F73" s="10">
        <v>519.15</v>
      </c>
    </row>
    <row r="74" spans="1:6" x14ac:dyDescent="0.35">
      <c r="A74" s="10" t="s">
        <v>508</v>
      </c>
      <c r="B74" s="10">
        <v>149419</v>
      </c>
      <c r="C74" s="10">
        <v>26930</v>
      </c>
      <c r="D74" s="10">
        <v>4070.25</v>
      </c>
      <c r="E74" s="10">
        <v>0</v>
      </c>
      <c r="F74" s="10">
        <v>434.15</v>
      </c>
    </row>
    <row r="75" spans="1:6" x14ac:dyDescent="0.35">
      <c r="A75" s="10" t="s">
        <v>1235</v>
      </c>
      <c r="B75" s="10">
        <v>149421</v>
      </c>
      <c r="C75" s="10">
        <v>24151</v>
      </c>
      <c r="D75" s="10">
        <v>5053.22</v>
      </c>
      <c r="E75" s="10">
        <v>0</v>
      </c>
      <c r="F75" s="10">
        <v>434.15</v>
      </c>
    </row>
    <row r="76" spans="1:6" x14ac:dyDescent="0.35">
      <c r="A76" s="10" t="s">
        <v>512</v>
      </c>
      <c r="B76" s="10">
        <v>149423</v>
      </c>
      <c r="C76" s="10">
        <v>26927</v>
      </c>
      <c r="D76" s="10">
        <v>4153.3</v>
      </c>
      <c r="E76" s="10">
        <v>0</v>
      </c>
      <c r="F76" s="10">
        <v>434.15</v>
      </c>
    </row>
    <row r="77" spans="1:6" x14ac:dyDescent="0.35">
      <c r="A77" s="10" t="s">
        <v>835</v>
      </c>
      <c r="B77" s="10">
        <v>177337</v>
      </c>
      <c r="C77" s="10">
        <v>29809</v>
      </c>
      <c r="D77" s="10">
        <v>268.94</v>
      </c>
      <c r="E77" s="10">
        <v>0</v>
      </c>
      <c r="F77" s="10">
        <v>264.14999999999998</v>
      </c>
    </row>
    <row r="78" spans="1:6" x14ac:dyDescent="0.35">
      <c r="A78" s="10" t="s">
        <v>514</v>
      </c>
      <c r="B78" s="10">
        <v>149424</v>
      </c>
      <c r="C78" s="10">
        <v>26925</v>
      </c>
      <c r="D78" s="10">
        <v>1013</v>
      </c>
      <c r="E78" s="10">
        <v>0</v>
      </c>
      <c r="F78" s="10">
        <v>434.15</v>
      </c>
    </row>
    <row r="79" spans="1:6" x14ac:dyDescent="0.35">
      <c r="A79" s="10" t="s">
        <v>516</v>
      </c>
      <c r="B79" s="10">
        <v>149422</v>
      </c>
      <c r="C79" s="10">
        <v>26922</v>
      </c>
      <c r="D79" s="10">
        <v>3562.32</v>
      </c>
      <c r="E79" s="10">
        <v>0</v>
      </c>
      <c r="F79" s="10">
        <v>434.15</v>
      </c>
    </row>
    <row r="80" spans="1:6" x14ac:dyDescent="0.35">
      <c r="A80" s="10" t="s">
        <v>743</v>
      </c>
      <c r="B80" s="10">
        <v>145760</v>
      </c>
      <c r="C80" s="10">
        <v>4698</v>
      </c>
      <c r="D80" s="10">
        <v>1923.63</v>
      </c>
      <c r="E80" s="10">
        <v>0</v>
      </c>
      <c r="F80" s="10">
        <v>254.15</v>
      </c>
    </row>
    <row r="81" spans="1:6" x14ac:dyDescent="0.35">
      <c r="A81" s="10" t="s">
        <v>346</v>
      </c>
      <c r="B81" s="10">
        <v>188644</v>
      </c>
      <c r="C81" s="10">
        <v>7792</v>
      </c>
      <c r="D81" s="10">
        <v>0</v>
      </c>
      <c r="E81" s="10">
        <v>0</v>
      </c>
      <c r="F81" s="10">
        <v>0</v>
      </c>
    </row>
    <row r="82" spans="1:6" x14ac:dyDescent="0.35">
      <c r="A82" s="10" t="s">
        <v>751</v>
      </c>
      <c r="B82" s="10">
        <v>154845</v>
      </c>
      <c r="C82" s="10">
        <v>28328</v>
      </c>
      <c r="D82" s="10">
        <v>8426.2000000000007</v>
      </c>
      <c r="E82" s="10">
        <v>339.91</v>
      </c>
      <c r="F82" s="10">
        <v>604.05999999999995</v>
      </c>
    </row>
    <row r="83" spans="1:6" x14ac:dyDescent="0.35">
      <c r="A83" s="10" t="s">
        <v>664</v>
      </c>
      <c r="B83" s="10">
        <v>132558</v>
      </c>
      <c r="C83" s="10">
        <v>16879</v>
      </c>
      <c r="D83" s="10">
        <v>8645.8700000000008</v>
      </c>
      <c r="E83" s="10">
        <v>328.13</v>
      </c>
      <c r="F83" s="10">
        <v>1058.93</v>
      </c>
    </row>
    <row r="84" spans="1:6" x14ac:dyDescent="0.35">
      <c r="A84" s="10" t="s">
        <v>437</v>
      </c>
      <c r="B84" s="10">
        <v>146535</v>
      </c>
      <c r="C84" s="10">
        <v>25162</v>
      </c>
      <c r="D84" s="10">
        <v>3210.96</v>
      </c>
      <c r="E84" s="10">
        <v>0</v>
      </c>
      <c r="F84" s="10">
        <v>519.15</v>
      </c>
    </row>
    <row r="85" spans="1:6" x14ac:dyDescent="0.35">
      <c r="A85" s="10" t="s">
        <v>660</v>
      </c>
      <c r="B85" s="10">
        <v>135211</v>
      </c>
      <c r="C85" s="10">
        <v>15308</v>
      </c>
      <c r="D85" s="10">
        <v>9606.64</v>
      </c>
      <c r="E85" s="10">
        <v>414.6</v>
      </c>
      <c r="F85" s="10">
        <v>933.75</v>
      </c>
    </row>
    <row r="86" spans="1:6" x14ac:dyDescent="0.35">
      <c r="A86" s="10" t="s">
        <v>384</v>
      </c>
      <c r="B86" s="10">
        <v>74101</v>
      </c>
      <c r="C86" s="10">
        <v>999999</v>
      </c>
      <c r="D86" s="10">
        <v>6518.42</v>
      </c>
      <c r="E86" s="10">
        <v>0</v>
      </c>
      <c r="F86" s="10">
        <v>551.11</v>
      </c>
    </row>
    <row r="87" spans="1:6" x14ac:dyDescent="0.35">
      <c r="A87" s="10" t="s">
        <v>415</v>
      </c>
      <c r="B87" s="10">
        <v>99644</v>
      </c>
      <c r="C87" s="10">
        <v>9973</v>
      </c>
      <c r="D87" s="10">
        <v>6865.19</v>
      </c>
      <c r="E87" s="10">
        <v>232.2</v>
      </c>
      <c r="F87" s="10">
        <v>496.35</v>
      </c>
    </row>
    <row r="88" spans="1:6" x14ac:dyDescent="0.35">
      <c r="A88" s="10" t="s">
        <v>196</v>
      </c>
      <c r="B88" s="10">
        <v>156791</v>
      </c>
      <c r="C88" s="10">
        <v>28946</v>
      </c>
      <c r="D88" s="10">
        <v>1905.45</v>
      </c>
      <c r="E88" s="10">
        <v>0</v>
      </c>
      <c r="F88" s="10">
        <v>424.15</v>
      </c>
    </row>
    <row r="89" spans="1:6" x14ac:dyDescent="0.35">
      <c r="A89" s="10" t="s">
        <v>51</v>
      </c>
      <c r="B89" s="10">
        <v>93471</v>
      </c>
      <c r="C89" s="10">
        <v>10445</v>
      </c>
      <c r="D89" s="10">
        <v>0</v>
      </c>
      <c r="E89" s="10">
        <v>0</v>
      </c>
      <c r="F89" s="10">
        <v>1793.3000000000002</v>
      </c>
    </row>
    <row r="90" spans="1:6" x14ac:dyDescent="0.35">
      <c r="A90" s="10" t="s">
        <v>439</v>
      </c>
      <c r="B90" s="10">
        <v>188178</v>
      </c>
      <c r="C90" s="10">
        <v>13466</v>
      </c>
      <c r="D90" s="10">
        <v>1934.7</v>
      </c>
      <c r="E90" s="10">
        <v>0</v>
      </c>
      <c r="F90" s="10">
        <v>429</v>
      </c>
    </row>
    <row r="91" spans="1:6" x14ac:dyDescent="0.35">
      <c r="A91" s="10" t="s">
        <v>889</v>
      </c>
      <c r="B91" s="10">
        <v>81817</v>
      </c>
      <c r="C91" s="10">
        <v>17668</v>
      </c>
      <c r="D91" s="10">
        <v>3608.17</v>
      </c>
      <c r="E91" s="10">
        <v>0</v>
      </c>
      <c r="F91" s="10">
        <v>1284.1500000000001</v>
      </c>
    </row>
    <row r="92" spans="1:6" x14ac:dyDescent="0.35">
      <c r="A92" s="10" t="s">
        <v>947</v>
      </c>
      <c r="B92" s="10">
        <v>143374</v>
      </c>
      <c r="C92" s="10">
        <v>24083</v>
      </c>
      <c r="D92" s="10">
        <v>1227.92</v>
      </c>
      <c r="E92" s="10">
        <v>0</v>
      </c>
      <c r="F92" s="10">
        <v>254.15</v>
      </c>
    </row>
    <row r="93" spans="1:6" x14ac:dyDescent="0.35">
      <c r="A93" s="10" t="s">
        <v>56</v>
      </c>
      <c r="B93" s="10">
        <v>116892</v>
      </c>
      <c r="C93" s="10">
        <v>6397</v>
      </c>
      <c r="D93" s="10">
        <v>52.02</v>
      </c>
      <c r="E93" s="10">
        <v>0</v>
      </c>
      <c r="F93" s="10">
        <v>1581.65</v>
      </c>
    </row>
    <row r="94" spans="1:6" x14ac:dyDescent="0.35">
      <c r="A94" s="10" t="s">
        <v>480</v>
      </c>
      <c r="B94" s="10">
        <v>149960</v>
      </c>
      <c r="C94" s="10">
        <v>15685</v>
      </c>
      <c r="D94" s="10">
        <v>3685.36</v>
      </c>
      <c r="E94" s="10">
        <v>12.79</v>
      </c>
      <c r="F94" s="10">
        <v>276.94</v>
      </c>
    </row>
    <row r="95" spans="1:6" x14ac:dyDescent="0.35">
      <c r="A95" s="10" t="s">
        <v>419</v>
      </c>
      <c r="B95" s="10">
        <v>146053</v>
      </c>
      <c r="C95" s="10">
        <v>24505</v>
      </c>
      <c r="D95" s="10">
        <v>19140.18</v>
      </c>
      <c r="E95" s="10">
        <v>0</v>
      </c>
      <c r="F95" s="10">
        <v>1924</v>
      </c>
    </row>
    <row r="96" spans="1:6" x14ac:dyDescent="0.35">
      <c r="A96" s="10" t="s">
        <v>422</v>
      </c>
      <c r="B96" s="10">
        <v>146055</v>
      </c>
      <c r="C96" s="10">
        <v>24510</v>
      </c>
      <c r="D96" s="10">
        <v>16076.93</v>
      </c>
      <c r="E96" s="10">
        <v>0</v>
      </c>
      <c r="F96" s="10">
        <v>1924</v>
      </c>
    </row>
    <row r="97" spans="1:6" x14ac:dyDescent="0.35">
      <c r="A97" s="10" t="s">
        <v>385</v>
      </c>
      <c r="B97" s="10">
        <v>85622</v>
      </c>
      <c r="C97" s="10">
        <v>17914</v>
      </c>
      <c r="D97" s="10">
        <v>249.02</v>
      </c>
      <c r="E97" s="10">
        <v>0</v>
      </c>
      <c r="F97" s="10">
        <v>710</v>
      </c>
    </row>
    <row r="98" spans="1:6" x14ac:dyDescent="0.35">
      <c r="A98" s="10" t="s">
        <v>386</v>
      </c>
      <c r="B98" s="10">
        <v>153017</v>
      </c>
      <c r="C98" s="10">
        <v>27897</v>
      </c>
      <c r="D98" s="10">
        <v>6.63</v>
      </c>
      <c r="E98" s="10">
        <v>0</v>
      </c>
      <c r="F98" s="10">
        <v>264.14999999999998</v>
      </c>
    </row>
    <row r="99" spans="1:6" x14ac:dyDescent="0.35">
      <c r="A99" s="10" t="s">
        <v>235</v>
      </c>
      <c r="B99" s="10">
        <v>79044</v>
      </c>
      <c r="C99" s="10">
        <v>15653</v>
      </c>
      <c r="D99" s="10">
        <v>8188.13</v>
      </c>
      <c r="E99" s="10">
        <v>0</v>
      </c>
      <c r="F99" s="10">
        <v>1591.65</v>
      </c>
    </row>
    <row r="100" spans="1:6" x14ac:dyDescent="0.35">
      <c r="A100" s="10" t="s">
        <v>338</v>
      </c>
      <c r="B100" s="10">
        <v>79245</v>
      </c>
      <c r="C100" s="10">
        <v>17563</v>
      </c>
      <c r="D100" s="10">
        <v>255.45</v>
      </c>
      <c r="E100" s="10">
        <v>0</v>
      </c>
      <c r="F100" s="10">
        <v>0</v>
      </c>
    </row>
    <row r="101" spans="1:6" x14ac:dyDescent="0.35">
      <c r="A101" s="10" t="s">
        <v>956</v>
      </c>
      <c r="B101" s="10">
        <v>116893</v>
      </c>
      <c r="C101" s="10">
        <v>11012</v>
      </c>
      <c r="D101" s="10">
        <v>464.45</v>
      </c>
      <c r="E101" s="10">
        <v>0</v>
      </c>
      <c r="F101" s="10">
        <v>10</v>
      </c>
    </row>
    <row r="102" spans="1:6" x14ac:dyDescent="0.35">
      <c r="A102" s="10" t="s">
        <v>944</v>
      </c>
      <c r="B102" s="10">
        <v>118920</v>
      </c>
      <c r="C102" s="10">
        <v>19770</v>
      </c>
      <c r="D102" s="10">
        <v>3843.79</v>
      </c>
      <c r="E102" s="10">
        <v>0</v>
      </c>
      <c r="F102" s="10">
        <v>434.15</v>
      </c>
    </row>
    <row r="103" spans="1:6" x14ac:dyDescent="0.35">
      <c r="A103" s="10" t="s">
        <v>574</v>
      </c>
      <c r="B103" s="10">
        <v>118906</v>
      </c>
      <c r="C103" s="10">
        <v>19773</v>
      </c>
      <c r="D103" s="10">
        <v>3818.54</v>
      </c>
      <c r="E103" s="10">
        <v>0</v>
      </c>
      <c r="F103" s="10">
        <v>859.15</v>
      </c>
    </row>
    <row r="104" spans="1:6" x14ac:dyDescent="0.35">
      <c r="A104" s="10" t="s">
        <v>482</v>
      </c>
      <c r="B104" s="10">
        <v>82486</v>
      </c>
      <c r="C104" s="10">
        <v>17715</v>
      </c>
      <c r="D104" s="10">
        <v>17.64</v>
      </c>
      <c r="E104" s="10">
        <v>0</v>
      </c>
      <c r="F104" s="10">
        <v>264.14999999999998</v>
      </c>
    </row>
    <row r="105" spans="1:6" x14ac:dyDescent="0.35">
      <c r="A105" s="10" t="s">
        <v>622</v>
      </c>
      <c r="B105" s="10">
        <v>84240</v>
      </c>
      <c r="C105" s="10" t="s">
        <v>289</v>
      </c>
      <c r="D105" s="10">
        <v>21950.17</v>
      </c>
      <c r="E105" s="10">
        <v>0</v>
      </c>
      <c r="F105" s="10">
        <v>2543.85</v>
      </c>
    </row>
    <row r="106" spans="1:6" x14ac:dyDescent="0.35">
      <c r="A106" s="10" t="s">
        <v>518</v>
      </c>
      <c r="B106" s="10">
        <v>117573</v>
      </c>
      <c r="C106" s="10">
        <v>17302</v>
      </c>
      <c r="D106" s="10">
        <v>2554.66</v>
      </c>
      <c r="E106" s="10">
        <v>0</v>
      </c>
      <c r="F106" s="10">
        <v>434.15</v>
      </c>
    </row>
    <row r="107" spans="1:6" x14ac:dyDescent="0.35">
      <c r="A107" s="10" t="s">
        <v>782</v>
      </c>
      <c r="B107" s="10">
        <v>79117</v>
      </c>
      <c r="C107" s="10">
        <v>17537</v>
      </c>
      <c r="D107" s="10">
        <v>12216.95</v>
      </c>
      <c r="E107" s="10">
        <v>329.34</v>
      </c>
      <c r="F107" s="10">
        <v>1069.3399999999999</v>
      </c>
    </row>
    <row r="108" spans="1:6" x14ac:dyDescent="0.35">
      <c r="A108" s="10" t="s">
        <v>168</v>
      </c>
      <c r="B108" s="10">
        <v>79241</v>
      </c>
      <c r="C108" s="10">
        <v>17536</v>
      </c>
      <c r="D108" s="10">
        <v>9824.7000000000007</v>
      </c>
      <c r="E108" s="10">
        <v>0</v>
      </c>
      <c r="F108" s="10">
        <v>1581.65</v>
      </c>
    </row>
    <row r="109" spans="1:6" x14ac:dyDescent="0.35">
      <c r="A109" s="10" t="s">
        <v>582</v>
      </c>
      <c r="B109" s="10">
        <v>118922</v>
      </c>
      <c r="C109" s="10">
        <v>19750</v>
      </c>
      <c r="D109" s="10">
        <v>11938.02</v>
      </c>
      <c r="E109" s="10">
        <v>0</v>
      </c>
      <c r="F109" s="10">
        <v>1284.1500000000001</v>
      </c>
    </row>
    <row r="110" spans="1:6" x14ac:dyDescent="0.35">
      <c r="A110" s="10" t="s">
        <v>1244</v>
      </c>
      <c r="B110" s="10">
        <v>156783</v>
      </c>
      <c r="C110" s="10">
        <v>28998</v>
      </c>
      <c r="D110" s="10">
        <v>8005.94</v>
      </c>
      <c r="E110" s="10">
        <v>0</v>
      </c>
      <c r="F110" s="10">
        <v>1304.1500000000001</v>
      </c>
    </row>
    <row r="111" spans="1:6" x14ac:dyDescent="0.35">
      <c r="A111" s="10" t="s">
        <v>520</v>
      </c>
      <c r="B111" s="10">
        <v>118900</v>
      </c>
      <c r="C111" s="10">
        <v>19824</v>
      </c>
      <c r="D111" s="10">
        <v>3104.9</v>
      </c>
      <c r="E111" s="10">
        <v>0</v>
      </c>
      <c r="F111" s="10">
        <v>434.15</v>
      </c>
    </row>
    <row r="112" spans="1:6" x14ac:dyDescent="0.35">
      <c r="A112" s="10" t="s">
        <v>898</v>
      </c>
      <c r="B112" s="10">
        <v>141757</v>
      </c>
      <c r="C112" s="10">
        <v>17782</v>
      </c>
      <c r="D112" s="10">
        <v>3171.09</v>
      </c>
      <c r="E112" s="10">
        <v>0</v>
      </c>
      <c r="F112" s="10">
        <v>848</v>
      </c>
    </row>
    <row r="113" spans="1:6" x14ac:dyDescent="0.35">
      <c r="A113" s="10" t="s">
        <v>610</v>
      </c>
      <c r="B113" s="10">
        <v>118913</v>
      </c>
      <c r="C113" s="10">
        <v>19809</v>
      </c>
      <c r="D113" s="10">
        <v>15565.79</v>
      </c>
      <c r="E113" s="10">
        <v>239.44</v>
      </c>
      <c r="F113" s="10">
        <v>1523.59</v>
      </c>
    </row>
    <row r="114" spans="1:6" x14ac:dyDescent="0.35">
      <c r="A114" s="10" t="s">
        <v>244</v>
      </c>
      <c r="B114" s="10">
        <v>118912</v>
      </c>
      <c r="C114" s="10">
        <v>19810</v>
      </c>
      <c r="D114" s="10">
        <v>4486.8100000000004</v>
      </c>
      <c r="E114" s="10">
        <v>0</v>
      </c>
      <c r="F114" s="10">
        <v>598</v>
      </c>
    </row>
    <row r="115" spans="1:6" x14ac:dyDescent="0.35">
      <c r="A115" s="10" t="s">
        <v>461</v>
      </c>
      <c r="B115" s="10">
        <v>118924</v>
      </c>
      <c r="C115" s="10">
        <v>19746</v>
      </c>
      <c r="D115" s="10">
        <v>41253.040000000001</v>
      </c>
      <c r="E115" s="10">
        <v>0</v>
      </c>
      <c r="F115" s="10">
        <v>2563.85</v>
      </c>
    </row>
    <row r="116" spans="1:6" x14ac:dyDescent="0.35">
      <c r="A116" s="10" t="s">
        <v>522</v>
      </c>
      <c r="B116" s="10">
        <v>118917</v>
      </c>
      <c r="C116" s="10">
        <v>19804</v>
      </c>
      <c r="D116" s="10">
        <v>3775.14</v>
      </c>
      <c r="E116" s="10">
        <v>0</v>
      </c>
      <c r="F116" s="10">
        <v>434.15</v>
      </c>
    </row>
    <row r="117" spans="1:6" x14ac:dyDescent="0.35">
      <c r="A117" s="10" t="s">
        <v>524</v>
      </c>
      <c r="B117" s="10">
        <v>118916</v>
      </c>
      <c r="C117" s="10">
        <v>19806</v>
      </c>
      <c r="D117" s="10">
        <v>5573.17</v>
      </c>
      <c r="E117" s="10">
        <v>0</v>
      </c>
      <c r="F117" s="10">
        <v>434.15</v>
      </c>
    </row>
    <row r="118" spans="1:6" x14ac:dyDescent="0.35">
      <c r="A118" s="10" t="s">
        <v>526</v>
      </c>
      <c r="B118" s="10">
        <v>118914</v>
      </c>
      <c r="C118" s="10">
        <v>19808</v>
      </c>
      <c r="D118" s="10">
        <v>2103.7600000000002</v>
      </c>
      <c r="E118" s="10">
        <v>0</v>
      </c>
      <c r="F118" s="10">
        <v>434.15</v>
      </c>
    </row>
    <row r="119" spans="1:6" x14ac:dyDescent="0.35">
      <c r="A119" s="10" t="s">
        <v>528</v>
      </c>
      <c r="B119" s="10">
        <v>118918</v>
      </c>
      <c r="C119" s="10">
        <v>19803</v>
      </c>
      <c r="D119" s="10">
        <v>2105.1999999999998</v>
      </c>
      <c r="E119" s="10">
        <v>0</v>
      </c>
      <c r="F119" s="10">
        <v>434.15</v>
      </c>
    </row>
    <row r="120" spans="1:6" x14ac:dyDescent="0.35">
      <c r="A120" s="10" t="s">
        <v>530</v>
      </c>
      <c r="B120" s="10">
        <v>118915</v>
      </c>
      <c r="C120" s="10">
        <v>19807</v>
      </c>
      <c r="D120" s="10">
        <v>7289.06</v>
      </c>
      <c r="E120" s="10">
        <v>0</v>
      </c>
      <c r="F120" s="10">
        <v>434.15</v>
      </c>
    </row>
    <row r="121" spans="1:6" x14ac:dyDescent="0.35">
      <c r="A121" s="10" t="s">
        <v>532</v>
      </c>
      <c r="B121" s="10">
        <v>118909</v>
      </c>
      <c r="C121" s="10">
        <v>19811</v>
      </c>
      <c r="D121" s="10">
        <v>4593.3900000000003</v>
      </c>
      <c r="E121" s="10">
        <v>0</v>
      </c>
      <c r="F121" s="10">
        <v>434.15</v>
      </c>
    </row>
    <row r="122" spans="1:6" x14ac:dyDescent="0.35">
      <c r="A122" s="10" t="s">
        <v>534</v>
      </c>
      <c r="B122" s="10">
        <v>118923</v>
      </c>
      <c r="C122" s="10">
        <v>19749</v>
      </c>
      <c r="D122" s="10">
        <v>4349.97</v>
      </c>
      <c r="E122" s="10">
        <v>0</v>
      </c>
      <c r="F122" s="10">
        <v>434.15</v>
      </c>
    </row>
    <row r="123" spans="1:6" x14ac:dyDescent="0.35">
      <c r="A123" s="10" t="s">
        <v>464</v>
      </c>
      <c r="B123" s="10">
        <v>118908</v>
      </c>
      <c r="C123" s="10">
        <v>19812</v>
      </c>
      <c r="D123" s="10">
        <v>2494.2399999999998</v>
      </c>
      <c r="E123" s="10">
        <v>0</v>
      </c>
      <c r="F123" s="10">
        <v>454.15</v>
      </c>
    </row>
    <row r="124" spans="1:6" x14ac:dyDescent="0.35">
      <c r="A124" s="10" t="s">
        <v>536</v>
      </c>
      <c r="B124" s="10">
        <v>118921</v>
      </c>
      <c r="C124" s="10">
        <v>19748</v>
      </c>
      <c r="D124" s="10">
        <v>8995.0499999999993</v>
      </c>
      <c r="E124" s="10">
        <v>103.16</v>
      </c>
      <c r="F124" s="10">
        <v>537.30999999999995</v>
      </c>
    </row>
    <row r="125" spans="1:6" x14ac:dyDescent="0.35">
      <c r="A125" s="10" t="s">
        <v>687</v>
      </c>
      <c r="B125" s="10">
        <v>119596</v>
      </c>
      <c r="C125" s="10">
        <v>19976</v>
      </c>
      <c r="D125" s="10">
        <v>507.2</v>
      </c>
      <c r="E125" s="10">
        <v>0</v>
      </c>
      <c r="F125" s="10">
        <v>849.15</v>
      </c>
    </row>
    <row r="126" spans="1:6" x14ac:dyDescent="0.35">
      <c r="A126" s="10" t="s">
        <v>690</v>
      </c>
      <c r="B126" s="10">
        <v>119126</v>
      </c>
      <c r="C126" s="10">
        <v>19975</v>
      </c>
      <c r="D126" s="10">
        <v>751.96</v>
      </c>
      <c r="E126" s="10">
        <v>0</v>
      </c>
      <c r="F126" s="10">
        <v>849.15</v>
      </c>
    </row>
    <row r="127" spans="1:6" x14ac:dyDescent="0.35">
      <c r="A127" s="10" t="s">
        <v>866</v>
      </c>
      <c r="B127" s="10">
        <v>138536</v>
      </c>
      <c r="C127" s="10">
        <v>16121</v>
      </c>
      <c r="D127" s="10">
        <v>32703.23</v>
      </c>
      <c r="E127" s="10">
        <v>0</v>
      </c>
      <c r="F127" s="10">
        <v>2543.85</v>
      </c>
    </row>
    <row r="128" spans="1:6" x14ac:dyDescent="0.35">
      <c r="A128" s="10" t="s">
        <v>580</v>
      </c>
      <c r="B128" s="10">
        <v>90416</v>
      </c>
      <c r="C128" s="10">
        <v>9103</v>
      </c>
      <c r="D128" s="10">
        <v>9614.06</v>
      </c>
      <c r="E128" s="10">
        <v>0</v>
      </c>
      <c r="F128" s="10">
        <v>1029</v>
      </c>
    </row>
    <row r="129" spans="1:6" x14ac:dyDescent="0.35">
      <c r="A129" s="10" t="s">
        <v>304</v>
      </c>
      <c r="B129" s="10">
        <v>90532</v>
      </c>
      <c r="C129" s="10">
        <v>9100</v>
      </c>
      <c r="D129" s="10">
        <v>4733.6000000000004</v>
      </c>
      <c r="E129" s="10">
        <v>0</v>
      </c>
      <c r="F129" s="10">
        <v>1284.1500000000001</v>
      </c>
    </row>
    <row r="130" spans="1:6" x14ac:dyDescent="0.35">
      <c r="A130" s="10" t="s">
        <v>307</v>
      </c>
      <c r="B130" s="10">
        <v>75178</v>
      </c>
      <c r="C130" s="10">
        <v>9104</v>
      </c>
      <c r="D130" s="10">
        <v>6648.22</v>
      </c>
      <c r="E130" s="10">
        <v>0</v>
      </c>
      <c r="F130" s="10">
        <v>1284.1500000000001</v>
      </c>
    </row>
    <row r="131" spans="1:6" x14ac:dyDescent="0.35">
      <c r="A131" s="10" t="s">
        <v>309</v>
      </c>
      <c r="B131" s="10">
        <v>186357</v>
      </c>
      <c r="C131" s="10">
        <v>29183</v>
      </c>
      <c r="D131" s="10">
        <v>5175.25</v>
      </c>
      <c r="E131" s="10">
        <v>0</v>
      </c>
      <c r="F131" s="10">
        <v>1284.1500000000001</v>
      </c>
    </row>
    <row r="132" spans="1:6" x14ac:dyDescent="0.35">
      <c r="A132" s="10" t="s">
        <v>117</v>
      </c>
      <c r="B132" s="10">
        <v>94617</v>
      </c>
      <c r="C132" s="10">
        <v>17989</v>
      </c>
      <c r="D132" s="10">
        <v>0.99</v>
      </c>
      <c r="E132" s="10">
        <v>0</v>
      </c>
      <c r="F132" s="10">
        <v>139</v>
      </c>
    </row>
    <row r="133" spans="1:6" x14ac:dyDescent="0.35">
      <c r="A133" s="10" t="s">
        <v>120</v>
      </c>
      <c r="B133" s="10">
        <v>146561</v>
      </c>
      <c r="C133" s="10">
        <v>15230</v>
      </c>
      <c r="D133" s="10">
        <v>0</v>
      </c>
      <c r="E133" s="10">
        <v>0</v>
      </c>
      <c r="F133" s="10">
        <v>1284.1500000000001</v>
      </c>
    </row>
    <row r="134" spans="1:6" x14ac:dyDescent="0.35">
      <c r="A134" s="10" t="s">
        <v>561</v>
      </c>
      <c r="B134" s="10">
        <v>186120</v>
      </c>
      <c r="C134" s="10">
        <v>30092</v>
      </c>
      <c r="D134" s="10">
        <v>7791.46</v>
      </c>
      <c r="E134" s="10">
        <v>251.23</v>
      </c>
      <c r="F134" s="10">
        <v>770.38</v>
      </c>
    </row>
    <row r="135" spans="1:6" x14ac:dyDescent="0.35">
      <c r="A135" s="10" t="s">
        <v>374</v>
      </c>
      <c r="B135" s="10">
        <v>99795</v>
      </c>
      <c r="C135" s="10">
        <v>4545</v>
      </c>
      <c r="D135" s="10">
        <v>1.34</v>
      </c>
      <c r="E135" s="10">
        <v>0</v>
      </c>
      <c r="F135" s="10">
        <v>129</v>
      </c>
    </row>
    <row r="136" spans="1:6" x14ac:dyDescent="0.35">
      <c r="A136" s="10" t="s">
        <v>753</v>
      </c>
      <c r="B136" s="10">
        <v>93881</v>
      </c>
      <c r="C136" s="10">
        <v>18655</v>
      </c>
      <c r="D136" s="10">
        <v>691.39</v>
      </c>
      <c r="E136" s="10">
        <v>0</v>
      </c>
      <c r="F136" s="10">
        <v>264.14999999999998</v>
      </c>
    </row>
    <row r="137" spans="1:6" x14ac:dyDescent="0.35">
      <c r="A137" s="10" t="s">
        <v>1246</v>
      </c>
      <c r="B137" s="10">
        <v>18040</v>
      </c>
      <c r="C137" s="10">
        <v>377649</v>
      </c>
      <c r="D137" s="10">
        <v>4290.18</v>
      </c>
      <c r="E137" s="10">
        <v>0</v>
      </c>
      <c r="F137" s="10">
        <v>869.15</v>
      </c>
    </row>
    <row r="138" spans="1:6" x14ac:dyDescent="0.35">
      <c r="A138" s="10" t="s">
        <v>647</v>
      </c>
      <c r="B138" s="10">
        <v>139216</v>
      </c>
      <c r="C138" s="10">
        <v>5118</v>
      </c>
      <c r="D138" s="10">
        <v>491.1</v>
      </c>
      <c r="E138" s="10">
        <v>0</v>
      </c>
      <c r="F138" s="10">
        <v>509.15</v>
      </c>
    </row>
    <row r="139" spans="1:6" x14ac:dyDescent="0.35">
      <c r="A139" s="10" t="s">
        <v>851</v>
      </c>
      <c r="B139" s="10">
        <v>73576</v>
      </c>
      <c r="C139" s="10">
        <v>16761</v>
      </c>
      <c r="D139" s="10">
        <v>3208.86</v>
      </c>
      <c r="E139" s="10">
        <v>0</v>
      </c>
      <c r="F139" s="10">
        <v>720</v>
      </c>
    </row>
    <row r="140" spans="1:6" x14ac:dyDescent="0.35">
      <c r="A140" s="10" t="s">
        <v>584</v>
      </c>
      <c r="B140" s="10">
        <v>108923</v>
      </c>
      <c r="C140" s="10">
        <v>16341</v>
      </c>
      <c r="D140" s="10">
        <v>7512.82</v>
      </c>
      <c r="E140" s="10">
        <v>0</v>
      </c>
      <c r="F140" s="10">
        <v>1284.1500000000001</v>
      </c>
    </row>
    <row r="141" spans="1:6" x14ac:dyDescent="0.35">
      <c r="A141" s="10" t="s">
        <v>713</v>
      </c>
      <c r="B141" s="10">
        <v>96592</v>
      </c>
      <c r="C141" s="10">
        <v>16781</v>
      </c>
      <c r="D141" s="10">
        <v>14547.04</v>
      </c>
      <c r="E141" s="10">
        <v>0</v>
      </c>
      <c r="F141" s="10">
        <v>2543.85</v>
      </c>
    </row>
    <row r="142" spans="1:6" x14ac:dyDescent="0.35">
      <c r="A142" s="10" t="s">
        <v>347</v>
      </c>
      <c r="B142" s="10">
        <v>188956</v>
      </c>
      <c r="C142" s="10">
        <v>25376</v>
      </c>
      <c r="D142" s="10">
        <v>0</v>
      </c>
      <c r="E142" s="10">
        <v>0</v>
      </c>
      <c r="F142" s="10">
        <v>0</v>
      </c>
    </row>
    <row r="143" spans="1:6" x14ac:dyDescent="0.35">
      <c r="A143" s="10" t="s">
        <v>349</v>
      </c>
      <c r="B143" s="10">
        <v>76985</v>
      </c>
      <c r="C143" s="10" t="s">
        <v>289</v>
      </c>
      <c r="D143" s="10">
        <v>0</v>
      </c>
      <c r="E143" s="10">
        <v>0</v>
      </c>
      <c r="F143" s="10">
        <v>0</v>
      </c>
    </row>
    <row r="144" spans="1:6" x14ac:dyDescent="0.35">
      <c r="A144" s="10" t="s">
        <v>675</v>
      </c>
      <c r="B144" s="10">
        <v>154901</v>
      </c>
      <c r="C144" s="10">
        <v>28188</v>
      </c>
      <c r="D144" s="10">
        <v>1211</v>
      </c>
      <c r="E144" s="10">
        <v>0</v>
      </c>
      <c r="F144" s="10">
        <v>264.14999999999998</v>
      </c>
    </row>
    <row r="145" spans="1:6" x14ac:dyDescent="0.35">
      <c r="A145" s="10" t="s">
        <v>586</v>
      </c>
      <c r="B145" s="10">
        <v>59090</v>
      </c>
      <c r="C145" s="10">
        <v>16303</v>
      </c>
      <c r="D145" s="10">
        <v>3597.68</v>
      </c>
      <c r="E145" s="10">
        <v>0</v>
      </c>
      <c r="F145" s="10">
        <v>1284.1500000000001</v>
      </c>
    </row>
    <row r="146" spans="1:6" x14ac:dyDescent="0.35">
      <c r="A146" s="10" t="s">
        <v>588</v>
      </c>
      <c r="B146" s="10">
        <v>154900</v>
      </c>
      <c r="C146" s="10">
        <v>28187</v>
      </c>
      <c r="D146" s="10">
        <v>7062.71</v>
      </c>
      <c r="E146" s="10">
        <v>0</v>
      </c>
      <c r="F146" s="10">
        <v>1284.1500000000001</v>
      </c>
    </row>
    <row r="147" spans="1:6" x14ac:dyDescent="0.35">
      <c r="A147" s="10" t="s">
        <v>362</v>
      </c>
      <c r="B147" s="10">
        <v>154756</v>
      </c>
      <c r="C147" s="10">
        <v>28303</v>
      </c>
      <c r="D147" s="10">
        <v>5.34</v>
      </c>
      <c r="E147" s="10">
        <v>0</v>
      </c>
      <c r="F147" s="10">
        <v>0</v>
      </c>
    </row>
    <row r="148" spans="1:6" x14ac:dyDescent="0.35">
      <c r="A148" s="10" t="s">
        <v>364</v>
      </c>
      <c r="B148" s="10">
        <v>154755</v>
      </c>
      <c r="C148" s="10">
        <v>28305</v>
      </c>
      <c r="D148" s="10">
        <v>4.32</v>
      </c>
      <c r="E148" s="10">
        <v>0</v>
      </c>
      <c r="F148" s="10">
        <v>0</v>
      </c>
    </row>
    <row r="149" spans="1:6" x14ac:dyDescent="0.35">
      <c r="A149" s="10" t="s">
        <v>388</v>
      </c>
      <c r="B149" s="10">
        <v>77178</v>
      </c>
      <c r="C149" s="10">
        <v>16702</v>
      </c>
      <c r="D149" s="10">
        <v>522.63</v>
      </c>
      <c r="E149" s="10">
        <v>0</v>
      </c>
      <c r="F149" s="10">
        <v>254.15</v>
      </c>
    </row>
    <row r="150" spans="1:6" x14ac:dyDescent="0.35">
      <c r="A150" s="10" t="s">
        <v>571</v>
      </c>
      <c r="B150" s="10">
        <v>61229</v>
      </c>
      <c r="C150" s="10">
        <v>16394</v>
      </c>
      <c r="D150" s="10">
        <v>2095.71</v>
      </c>
      <c r="E150" s="10">
        <v>0</v>
      </c>
      <c r="F150" s="10">
        <v>869.15</v>
      </c>
    </row>
    <row r="151" spans="1:6" x14ac:dyDescent="0.35">
      <c r="A151" s="10" t="s">
        <v>389</v>
      </c>
      <c r="B151" s="10">
        <v>138752</v>
      </c>
      <c r="C151" s="10" t="s">
        <v>289</v>
      </c>
      <c r="D151" s="10">
        <v>1451.06</v>
      </c>
      <c r="E151" s="10">
        <v>0</v>
      </c>
      <c r="F151" s="10">
        <v>264.14999999999998</v>
      </c>
    </row>
    <row r="152" spans="1:6" x14ac:dyDescent="0.35">
      <c r="A152" s="10" t="s">
        <v>902</v>
      </c>
      <c r="B152" s="10">
        <v>61224</v>
      </c>
      <c r="C152" s="10">
        <v>16381</v>
      </c>
      <c r="D152" s="10">
        <v>4345.6099999999997</v>
      </c>
      <c r="E152" s="10">
        <v>26.99</v>
      </c>
      <c r="F152" s="10">
        <v>675.99</v>
      </c>
    </row>
    <row r="153" spans="1:6" x14ac:dyDescent="0.35">
      <c r="A153" s="10" t="s">
        <v>162</v>
      </c>
      <c r="B153" s="10">
        <v>61230</v>
      </c>
      <c r="C153" s="10">
        <v>16397</v>
      </c>
      <c r="D153" s="10">
        <v>2412.1799999999998</v>
      </c>
      <c r="E153" s="10">
        <v>0</v>
      </c>
      <c r="F153" s="10">
        <v>1581.65</v>
      </c>
    </row>
    <row r="154" spans="1:6" x14ac:dyDescent="0.35">
      <c r="A154" s="10" t="s">
        <v>174</v>
      </c>
      <c r="B154" s="10">
        <v>58253</v>
      </c>
      <c r="C154" s="10">
        <v>16166</v>
      </c>
      <c r="D154" s="10">
        <v>4579.92</v>
      </c>
      <c r="E154" s="10">
        <v>0</v>
      </c>
      <c r="F154" s="10">
        <v>1581.65</v>
      </c>
    </row>
    <row r="155" spans="1:6" x14ac:dyDescent="0.35">
      <c r="A155" s="10" t="s">
        <v>649</v>
      </c>
      <c r="B155" s="10">
        <v>58252</v>
      </c>
      <c r="C155" s="10">
        <v>16165</v>
      </c>
      <c r="D155" s="10">
        <v>14578.12</v>
      </c>
      <c r="E155" s="10">
        <v>0</v>
      </c>
      <c r="F155" s="10">
        <v>1581.65</v>
      </c>
    </row>
    <row r="156" spans="1:6" x14ac:dyDescent="0.35">
      <c r="A156" s="10" t="s">
        <v>134</v>
      </c>
      <c r="B156" s="10">
        <v>61226</v>
      </c>
      <c r="C156" s="10">
        <v>16386</v>
      </c>
      <c r="D156" s="10">
        <v>13441.24</v>
      </c>
      <c r="E156" s="10">
        <v>426.58</v>
      </c>
      <c r="F156" s="10">
        <v>1295.73</v>
      </c>
    </row>
    <row r="157" spans="1:6" x14ac:dyDescent="0.35">
      <c r="A157" s="10" t="s">
        <v>177</v>
      </c>
      <c r="B157" s="10">
        <v>58245</v>
      </c>
      <c r="C157" s="10">
        <v>16167</v>
      </c>
      <c r="D157" s="10">
        <v>16121.39</v>
      </c>
      <c r="E157" s="10">
        <v>0</v>
      </c>
      <c r="F157" s="10">
        <v>1581.65</v>
      </c>
    </row>
    <row r="158" spans="1:6" x14ac:dyDescent="0.35">
      <c r="A158" s="10" t="s">
        <v>913</v>
      </c>
      <c r="B158" s="10">
        <v>61221</v>
      </c>
      <c r="C158" s="10">
        <v>3934</v>
      </c>
      <c r="D158" s="10">
        <v>2102.37</v>
      </c>
      <c r="E158" s="10">
        <v>0</v>
      </c>
      <c r="F158" s="10">
        <v>649</v>
      </c>
    </row>
    <row r="159" spans="1:6" x14ac:dyDescent="0.35">
      <c r="A159" s="10" t="s">
        <v>730</v>
      </c>
      <c r="B159" s="10">
        <v>58247</v>
      </c>
      <c r="C159" s="10">
        <v>16164</v>
      </c>
      <c r="D159" s="10">
        <v>9868.43</v>
      </c>
      <c r="E159" s="10">
        <v>0</v>
      </c>
      <c r="F159" s="10">
        <v>1700.65</v>
      </c>
    </row>
    <row r="160" spans="1:6" x14ac:dyDescent="0.35">
      <c r="A160" s="10" t="s">
        <v>406</v>
      </c>
      <c r="B160" s="10">
        <v>61232</v>
      </c>
      <c r="C160" s="10">
        <v>16395</v>
      </c>
      <c r="D160" s="10">
        <v>3785.22</v>
      </c>
      <c r="E160" s="10">
        <v>0</v>
      </c>
      <c r="F160" s="10">
        <v>1581.65</v>
      </c>
    </row>
    <row r="161" spans="1:6" x14ac:dyDescent="0.35">
      <c r="A161" s="10" t="s">
        <v>171</v>
      </c>
      <c r="B161" s="10">
        <v>115628</v>
      </c>
      <c r="C161" s="10">
        <v>19523</v>
      </c>
      <c r="D161" s="10">
        <v>6368.57</v>
      </c>
      <c r="E161" s="10">
        <v>0</v>
      </c>
      <c r="F161" s="10">
        <v>1581.65</v>
      </c>
    </row>
    <row r="162" spans="1:6" x14ac:dyDescent="0.35">
      <c r="A162" s="10" t="s">
        <v>180</v>
      </c>
      <c r="B162" s="10">
        <v>61223</v>
      </c>
      <c r="C162" s="10">
        <v>16372</v>
      </c>
      <c r="D162" s="10">
        <v>9131.4599999999991</v>
      </c>
      <c r="E162" s="10">
        <v>0</v>
      </c>
      <c r="F162" s="10">
        <v>1581.65</v>
      </c>
    </row>
    <row r="163" spans="1:6" x14ac:dyDescent="0.35">
      <c r="A163" s="10" t="s">
        <v>892</v>
      </c>
      <c r="B163" s="10">
        <v>61219</v>
      </c>
      <c r="C163" s="10">
        <v>16369</v>
      </c>
      <c r="D163" s="10">
        <v>6213.33</v>
      </c>
      <c r="E163" s="10">
        <v>0</v>
      </c>
      <c r="F163" s="10">
        <v>839</v>
      </c>
    </row>
    <row r="164" spans="1:6" x14ac:dyDescent="0.35">
      <c r="A164" s="10" t="s">
        <v>156</v>
      </c>
      <c r="B164" s="10">
        <v>61222</v>
      </c>
      <c r="C164" s="10">
        <v>16370</v>
      </c>
      <c r="D164" s="10">
        <v>3014.34</v>
      </c>
      <c r="E164" s="10">
        <v>0</v>
      </c>
      <c r="F164" s="10">
        <v>1581.65</v>
      </c>
    </row>
    <row r="165" spans="1:6" x14ac:dyDescent="0.35">
      <c r="A165" s="10" t="s">
        <v>411</v>
      </c>
      <c r="B165" s="10">
        <v>58246</v>
      </c>
      <c r="C165" s="10">
        <v>16168</v>
      </c>
      <c r="D165" s="10">
        <v>7073.76</v>
      </c>
      <c r="E165" s="10">
        <v>0</v>
      </c>
      <c r="F165" s="10">
        <v>1581.65</v>
      </c>
    </row>
    <row r="166" spans="1:6" x14ac:dyDescent="0.35">
      <c r="A166" s="10" t="s">
        <v>183</v>
      </c>
      <c r="B166" s="10">
        <v>150508</v>
      </c>
      <c r="C166" s="10">
        <v>16169</v>
      </c>
      <c r="D166" s="10">
        <v>15069.56</v>
      </c>
      <c r="E166" s="10">
        <v>0</v>
      </c>
      <c r="F166" s="10">
        <v>1581.65</v>
      </c>
    </row>
    <row r="167" spans="1:6" x14ac:dyDescent="0.35">
      <c r="A167" s="10" t="s">
        <v>896</v>
      </c>
      <c r="B167" s="10">
        <v>58251</v>
      </c>
      <c r="C167" s="10">
        <v>16171</v>
      </c>
      <c r="D167" s="10">
        <v>7494.86</v>
      </c>
      <c r="E167" s="10">
        <v>0</v>
      </c>
      <c r="F167" s="10">
        <v>839</v>
      </c>
    </row>
    <row r="168" spans="1:6" x14ac:dyDescent="0.35">
      <c r="A168" s="10" t="s">
        <v>152</v>
      </c>
      <c r="B168" s="10">
        <v>61225</v>
      </c>
      <c r="C168" s="10">
        <v>16380</v>
      </c>
      <c r="D168" s="10">
        <v>8772.33</v>
      </c>
      <c r="E168" s="10">
        <v>0</v>
      </c>
      <c r="F168" s="10">
        <v>1581.65</v>
      </c>
    </row>
    <row r="169" spans="1:6" x14ac:dyDescent="0.35">
      <c r="A169" s="10" t="s">
        <v>652</v>
      </c>
      <c r="B169" s="10">
        <v>58248</v>
      </c>
      <c r="C169" s="10">
        <v>16163</v>
      </c>
      <c r="D169" s="10">
        <v>30481.3</v>
      </c>
      <c r="E169" s="10">
        <v>0</v>
      </c>
      <c r="F169" s="10">
        <v>1581.65</v>
      </c>
    </row>
    <row r="170" spans="1:6" x14ac:dyDescent="0.35">
      <c r="A170" s="10" t="s">
        <v>431</v>
      </c>
      <c r="B170" s="10">
        <v>188195</v>
      </c>
      <c r="C170" s="10">
        <v>31841</v>
      </c>
      <c r="D170" s="10">
        <v>3280.93</v>
      </c>
      <c r="E170" s="10">
        <v>0</v>
      </c>
      <c r="F170" s="10">
        <v>429</v>
      </c>
    </row>
    <row r="171" spans="1:6" x14ac:dyDescent="0.35">
      <c r="A171" s="10" t="s">
        <v>917</v>
      </c>
      <c r="B171" s="10">
        <v>61228</v>
      </c>
      <c r="C171" s="10">
        <v>16388</v>
      </c>
      <c r="D171" s="10">
        <v>4422.4399999999996</v>
      </c>
      <c r="E171" s="10">
        <v>32.99</v>
      </c>
      <c r="F171" s="10">
        <v>681.99</v>
      </c>
    </row>
    <row r="172" spans="1:6" x14ac:dyDescent="0.35">
      <c r="A172" s="10" t="s">
        <v>413</v>
      </c>
      <c r="B172" s="10">
        <v>61231</v>
      </c>
      <c r="C172" s="10">
        <v>16396</v>
      </c>
      <c r="D172" s="10">
        <v>6564.12</v>
      </c>
      <c r="E172" s="10">
        <v>0</v>
      </c>
      <c r="F172" s="10">
        <v>1581.65</v>
      </c>
    </row>
    <row r="173" spans="1:6" x14ac:dyDescent="0.35">
      <c r="A173" s="10" t="s">
        <v>390</v>
      </c>
      <c r="B173" s="10">
        <v>77177</v>
      </c>
      <c r="C173" s="10">
        <v>17265</v>
      </c>
      <c r="D173" s="10">
        <v>0</v>
      </c>
      <c r="E173" s="10">
        <v>0</v>
      </c>
      <c r="F173" s="10">
        <v>129</v>
      </c>
    </row>
    <row r="174" spans="1:6" x14ac:dyDescent="0.35">
      <c r="A174" s="10" t="s">
        <v>433</v>
      </c>
      <c r="B174" s="10">
        <v>96473</v>
      </c>
      <c r="C174" s="10">
        <v>18864</v>
      </c>
      <c r="D174" s="10">
        <v>9316.81</v>
      </c>
      <c r="E174" s="10">
        <v>0</v>
      </c>
      <c r="F174" s="10">
        <v>1284.1500000000001</v>
      </c>
    </row>
    <row r="175" spans="1:6" x14ac:dyDescent="0.35">
      <c r="A175" s="10" t="s">
        <v>886</v>
      </c>
      <c r="B175" s="10">
        <v>119044</v>
      </c>
      <c r="C175" s="10">
        <v>21218</v>
      </c>
      <c r="D175" s="10">
        <v>10318.92</v>
      </c>
      <c r="E175" s="10">
        <v>0</v>
      </c>
      <c r="F175" s="10">
        <v>1284.1500000000001</v>
      </c>
    </row>
    <row r="176" spans="1:6" x14ac:dyDescent="0.35">
      <c r="A176" s="10" t="s">
        <v>288</v>
      </c>
      <c r="B176" s="10">
        <v>90212</v>
      </c>
      <c r="C176" s="10" t="s">
        <v>289</v>
      </c>
      <c r="D176" s="10">
        <v>0</v>
      </c>
      <c r="E176" s="10">
        <v>0</v>
      </c>
      <c r="F176" s="10">
        <v>1571.65</v>
      </c>
    </row>
    <row r="177" spans="1:6" x14ac:dyDescent="0.35">
      <c r="A177" s="10" t="s">
        <v>242</v>
      </c>
      <c r="B177" s="10">
        <v>125150</v>
      </c>
      <c r="C177" s="10">
        <v>18058</v>
      </c>
      <c r="D177" s="10">
        <v>3808.83</v>
      </c>
      <c r="E177" s="10">
        <v>0</v>
      </c>
      <c r="F177" s="10">
        <v>424.15</v>
      </c>
    </row>
    <row r="178" spans="1:6" x14ac:dyDescent="0.35">
      <c r="A178" s="10" t="s">
        <v>538</v>
      </c>
      <c r="B178" s="10">
        <v>142809</v>
      </c>
      <c r="C178" s="10">
        <v>23503</v>
      </c>
      <c r="D178" s="10">
        <v>4395.91</v>
      </c>
      <c r="E178" s="10">
        <v>0</v>
      </c>
      <c r="F178" s="10">
        <v>434.15</v>
      </c>
    </row>
    <row r="179" spans="1:6" x14ac:dyDescent="0.35">
      <c r="A179" s="10" t="s">
        <v>922</v>
      </c>
      <c r="B179" s="10">
        <v>143527</v>
      </c>
      <c r="C179" s="10">
        <v>23501</v>
      </c>
      <c r="D179" s="10">
        <v>14842.95</v>
      </c>
      <c r="E179" s="10">
        <v>0</v>
      </c>
      <c r="F179" s="10">
        <v>598</v>
      </c>
    </row>
    <row r="180" spans="1:6" x14ac:dyDescent="0.35">
      <c r="A180" s="10" t="s">
        <v>540</v>
      </c>
      <c r="B180" s="10">
        <v>142811</v>
      </c>
      <c r="C180" s="10">
        <v>23500</v>
      </c>
      <c r="D180" s="10">
        <v>505.37</v>
      </c>
      <c r="E180" s="10">
        <v>0</v>
      </c>
      <c r="F180" s="10">
        <v>434.15</v>
      </c>
    </row>
    <row r="181" spans="1:6" x14ac:dyDescent="0.35">
      <c r="A181" s="10" t="s">
        <v>221</v>
      </c>
      <c r="B181" s="10">
        <v>120186</v>
      </c>
      <c r="C181" s="10">
        <v>21332</v>
      </c>
      <c r="D181" s="10">
        <v>1346.42</v>
      </c>
      <c r="E181" s="10">
        <v>0</v>
      </c>
      <c r="F181" s="10">
        <v>434.15</v>
      </c>
    </row>
    <row r="182" spans="1:6" x14ac:dyDescent="0.35">
      <c r="A182" s="10" t="s">
        <v>122</v>
      </c>
      <c r="B182" s="10">
        <v>115609</v>
      </c>
      <c r="C182" s="10">
        <v>19515</v>
      </c>
      <c r="D182" s="10">
        <v>243.17</v>
      </c>
      <c r="E182" s="10">
        <v>0</v>
      </c>
      <c r="F182" s="10">
        <v>264.14999999999998</v>
      </c>
    </row>
    <row r="183" spans="1:6" x14ac:dyDescent="0.35">
      <c r="A183" s="10" t="s">
        <v>484</v>
      </c>
      <c r="B183" s="10">
        <v>150665</v>
      </c>
      <c r="C183" s="10">
        <v>27596</v>
      </c>
      <c r="D183" s="10">
        <v>2691.58</v>
      </c>
      <c r="E183" s="10">
        <v>0</v>
      </c>
      <c r="F183" s="10">
        <v>264.14999999999998</v>
      </c>
    </row>
    <row r="184" spans="1:6" x14ac:dyDescent="0.35">
      <c r="A184" s="10" t="s">
        <v>590</v>
      </c>
      <c r="B184" s="10">
        <v>122660</v>
      </c>
      <c r="C184" s="10" t="s">
        <v>289</v>
      </c>
      <c r="D184" s="10">
        <v>5925.73</v>
      </c>
      <c r="E184" s="10">
        <v>0</v>
      </c>
      <c r="F184" s="10">
        <v>1284.1500000000001</v>
      </c>
    </row>
    <row r="185" spans="1:6" x14ac:dyDescent="0.35">
      <c r="A185" s="10" t="s">
        <v>592</v>
      </c>
      <c r="B185" s="10">
        <v>122661</v>
      </c>
      <c r="C185" s="10" t="s">
        <v>289</v>
      </c>
      <c r="D185" s="10">
        <v>5176.63</v>
      </c>
      <c r="E185" s="10">
        <v>0</v>
      </c>
      <c r="F185" s="10">
        <v>1284.1500000000001</v>
      </c>
    </row>
    <row r="186" spans="1:6" x14ac:dyDescent="0.35">
      <c r="A186" s="10" t="s">
        <v>594</v>
      </c>
      <c r="B186" s="10">
        <v>122662</v>
      </c>
      <c r="C186" s="10" t="s">
        <v>289</v>
      </c>
      <c r="D186" s="10">
        <v>7620.45</v>
      </c>
      <c r="E186" s="10">
        <v>0</v>
      </c>
      <c r="F186" s="10">
        <v>1284.1500000000001</v>
      </c>
    </row>
    <row r="187" spans="1:6" x14ac:dyDescent="0.35">
      <c r="A187" s="10" t="s">
        <v>596</v>
      </c>
      <c r="B187" s="10">
        <v>122663</v>
      </c>
      <c r="C187" s="10" t="s">
        <v>289</v>
      </c>
      <c r="D187" s="10">
        <v>1168.94</v>
      </c>
      <c r="E187" s="10">
        <v>0</v>
      </c>
      <c r="F187" s="10">
        <v>1284.1500000000001</v>
      </c>
    </row>
    <row r="188" spans="1:6" x14ac:dyDescent="0.35">
      <c r="A188" s="10" t="s">
        <v>598</v>
      </c>
      <c r="B188" s="10">
        <v>122664</v>
      </c>
      <c r="C188" s="10" t="s">
        <v>289</v>
      </c>
      <c r="D188" s="10">
        <v>6533.87</v>
      </c>
      <c r="E188" s="10">
        <v>0</v>
      </c>
      <c r="F188" s="10">
        <v>1284.1500000000001</v>
      </c>
    </row>
    <row r="189" spans="1:6" x14ac:dyDescent="0.35">
      <c r="A189" s="10" t="s">
        <v>391</v>
      </c>
      <c r="B189" s="10">
        <v>83085</v>
      </c>
      <c r="C189" s="10">
        <v>17813</v>
      </c>
      <c r="D189" s="10">
        <v>0</v>
      </c>
      <c r="E189" s="10">
        <v>0</v>
      </c>
      <c r="F189" s="10">
        <v>254.15</v>
      </c>
    </row>
    <row r="190" spans="1:6" x14ac:dyDescent="0.35">
      <c r="A190" s="10" t="s">
        <v>951</v>
      </c>
      <c r="B190" s="10">
        <v>77807</v>
      </c>
      <c r="C190" s="10">
        <v>7742</v>
      </c>
      <c r="D190" s="10">
        <v>21.22</v>
      </c>
      <c r="E190" s="10">
        <v>0</v>
      </c>
      <c r="F190" s="10">
        <v>254.15</v>
      </c>
    </row>
    <row r="191" spans="1:6" x14ac:dyDescent="0.35">
      <c r="A191" s="10" t="s">
        <v>1252</v>
      </c>
      <c r="B191" s="10">
        <v>153404</v>
      </c>
      <c r="C191" s="10">
        <v>27739</v>
      </c>
      <c r="D191" s="10">
        <v>2190.42</v>
      </c>
      <c r="E191" s="10">
        <v>0</v>
      </c>
      <c r="F191" s="10">
        <v>2543.85</v>
      </c>
    </row>
    <row r="192" spans="1:6" x14ac:dyDescent="0.35">
      <c r="A192" s="10" t="s">
        <v>576</v>
      </c>
      <c r="B192" s="10">
        <v>159190</v>
      </c>
      <c r="C192" s="10">
        <v>28942</v>
      </c>
      <c r="D192" s="10">
        <v>633.74</v>
      </c>
      <c r="E192" s="10">
        <v>0</v>
      </c>
      <c r="F192" s="10">
        <v>859.15</v>
      </c>
    </row>
    <row r="193" spans="1:6" x14ac:dyDescent="0.35">
      <c r="A193" s="10" t="s">
        <v>1253</v>
      </c>
      <c r="B193" s="10">
        <v>159263</v>
      </c>
      <c r="C193" s="10">
        <v>437779</v>
      </c>
      <c r="D193" s="10">
        <v>18877.78</v>
      </c>
      <c r="E193" s="10">
        <v>0</v>
      </c>
      <c r="F193" s="10">
        <v>1581.65</v>
      </c>
    </row>
    <row r="194" spans="1:6" x14ac:dyDescent="0.35">
      <c r="A194" s="10" t="s">
        <v>641</v>
      </c>
      <c r="B194" s="10">
        <v>159539</v>
      </c>
      <c r="C194" s="10">
        <v>29582</v>
      </c>
      <c r="D194" s="10">
        <v>3026.4</v>
      </c>
      <c r="E194" s="10">
        <v>0</v>
      </c>
      <c r="F194" s="10">
        <v>424.15</v>
      </c>
    </row>
    <row r="195" spans="1:6" x14ac:dyDescent="0.35">
      <c r="A195" s="10" t="s">
        <v>727</v>
      </c>
      <c r="B195" s="10">
        <v>147873</v>
      </c>
      <c r="C195" s="10">
        <v>26623</v>
      </c>
      <c r="D195" s="10">
        <v>12309.71</v>
      </c>
      <c r="E195" s="10">
        <v>345.34</v>
      </c>
      <c r="F195" s="10">
        <v>1204.49</v>
      </c>
    </row>
    <row r="196" spans="1:6" x14ac:dyDescent="0.35">
      <c r="A196" s="10" t="s">
        <v>124</v>
      </c>
      <c r="B196" s="10">
        <v>117484</v>
      </c>
      <c r="C196" s="10">
        <v>19910</v>
      </c>
      <c r="D196" s="10">
        <v>0</v>
      </c>
      <c r="E196" s="10">
        <v>0</v>
      </c>
      <c r="F196" s="10">
        <v>254.15</v>
      </c>
    </row>
    <row r="197" spans="1:6" x14ac:dyDescent="0.35">
      <c r="A197" s="10" t="s">
        <v>375</v>
      </c>
      <c r="B197" s="10">
        <v>72057</v>
      </c>
      <c r="C197" s="10">
        <v>16585</v>
      </c>
      <c r="D197" s="10">
        <v>2190.39</v>
      </c>
      <c r="E197" s="10">
        <v>0</v>
      </c>
      <c r="F197" s="10">
        <v>254.15</v>
      </c>
    </row>
    <row r="198" spans="1:6" x14ac:dyDescent="0.35">
      <c r="A198" s="10" t="s">
        <v>189</v>
      </c>
      <c r="B198" s="10">
        <v>144285</v>
      </c>
      <c r="C198" s="10">
        <v>24706</v>
      </c>
      <c r="D198" s="10">
        <v>11163.04</v>
      </c>
      <c r="E198" s="10">
        <v>0</v>
      </c>
      <c r="F198" s="10">
        <v>1581.65</v>
      </c>
    </row>
    <row r="199" spans="1:6" x14ac:dyDescent="0.35">
      <c r="A199" s="10" t="s">
        <v>565</v>
      </c>
      <c r="B199" s="10">
        <v>149893</v>
      </c>
      <c r="C199" s="10">
        <v>24705</v>
      </c>
      <c r="D199" s="10">
        <v>8455.44</v>
      </c>
      <c r="E199" s="10">
        <v>65.930000000000007</v>
      </c>
      <c r="F199" s="10">
        <v>711.73</v>
      </c>
    </row>
    <row r="200" spans="1:6" x14ac:dyDescent="0.35">
      <c r="A200" s="10" t="s">
        <v>59</v>
      </c>
      <c r="B200" s="10">
        <v>86863</v>
      </c>
      <c r="C200" s="10">
        <v>18077</v>
      </c>
      <c r="D200" s="10">
        <v>4423.0200000000004</v>
      </c>
      <c r="E200" s="10">
        <v>29.19</v>
      </c>
      <c r="F200" s="10">
        <v>293.33999999999997</v>
      </c>
    </row>
    <row r="201" spans="1:6" x14ac:dyDescent="0.35">
      <c r="A201" s="10" t="s">
        <v>61</v>
      </c>
      <c r="B201" s="10">
        <v>150401</v>
      </c>
      <c r="C201" s="10">
        <v>27069</v>
      </c>
      <c r="D201" s="10">
        <v>9933.82</v>
      </c>
      <c r="E201" s="10">
        <v>443.93</v>
      </c>
      <c r="F201" s="10">
        <v>708.08</v>
      </c>
    </row>
    <row r="202" spans="1:6" x14ac:dyDescent="0.35">
      <c r="A202" s="10" t="s">
        <v>63</v>
      </c>
      <c r="B202" s="10">
        <v>86862</v>
      </c>
      <c r="C202" s="10">
        <v>18076</v>
      </c>
      <c r="D202" s="10">
        <v>4425.79</v>
      </c>
      <c r="E202" s="10">
        <v>29.38</v>
      </c>
      <c r="F202" s="10">
        <v>293.52999999999997</v>
      </c>
    </row>
    <row r="203" spans="1:6" x14ac:dyDescent="0.35">
      <c r="A203" s="10" t="s">
        <v>748</v>
      </c>
      <c r="B203" s="10">
        <v>76551</v>
      </c>
      <c r="C203" s="10">
        <v>9737</v>
      </c>
      <c r="D203" s="10">
        <v>66464.31</v>
      </c>
      <c r="E203" s="10">
        <v>1182.1400000000001</v>
      </c>
      <c r="F203" s="10">
        <v>3725.99</v>
      </c>
    </row>
    <row r="204" spans="1:6" x14ac:dyDescent="0.35">
      <c r="A204" s="10" t="s">
        <v>291</v>
      </c>
      <c r="B204" s="10">
        <v>150176</v>
      </c>
      <c r="C204" s="10">
        <v>26261</v>
      </c>
      <c r="D204" s="10">
        <v>4850.0200000000004</v>
      </c>
      <c r="E204" s="10">
        <v>0</v>
      </c>
      <c r="F204" s="10">
        <v>1698</v>
      </c>
    </row>
    <row r="205" spans="1:6" x14ac:dyDescent="0.35">
      <c r="A205" s="10" t="s">
        <v>322</v>
      </c>
      <c r="B205" s="10">
        <v>145665</v>
      </c>
      <c r="C205" s="10">
        <v>25374</v>
      </c>
      <c r="D205" s="10">
        <v>12246.32</v>
      </c>
      <c r="E205" s="10">
        <v>0</v>
      </c>
      <c r="F205" s="10">
        <v>1698</v>
      </c>
    </row>
    <row r="206" spans="1:6" x14ac:dyDescent="0.35">
      <c r="A206" s="10" t="s">
        <v>937</v>
      </c>
      <c r="B206" s="10">
        <v>145666</v>
      </c>
      <c r="C206" s="10">
        <v>25376</v>
      </c>
      <c r="D206" s="10">
        <v>10397.799999999999</v>
      </c>
      <c r="E206" s="10">
        <v>0</v>
      </c>
      <c r="F206" s="10">
        <v>1284.1500000000001</v>
      </c>
    </row>
    <row r="207" spans="1:6" x14ac:dyDescent="0.35">
      <c r="A207" s="10" t="s">
        <v>325</v>
      </c>
      <c r="B207" s="10">
        <v>145668</v>
      </c>
      <c r="C207" s="10">
        <v>25377</v>
      </c>
      <c r="D207" s="10">
        <v>6713.86</v>
      </c>
      <c r="E207" s="10">
        <v>0</v>
      </c>
      <c r="F207" s="10">
        <v>1698</v>
      </c>
    </row>
    <row r="208" spans="1:6" x14ac:dyDescent="0.35">
      <c r="A208" s="10" t="s">
        <v>784</v>
      </c>
      <c r="B208" s="10">
        <v>146974</v>
      </c>
      <c r="C208" s="10">
        <v>8323</v>
      </c>
      <c r="D208" s="10">
        <v>135.66999999999999</v>
      </c>
      <c r="E208" s="10">
        <v>0</v>
      </c>
      <c r="F208" s="10">
        <v>1274.1500000000001</v>
      </c>
    </row>
    <row r="209" spans="1:6" x14ac:dyDescent="0.35">
      <c r="A209" s="10" t="s">
        <v>741</v>
      </c>
      <c r="B209" s="10">
        <v>144080</v>
      </c>
      <c r="C209" s="10">
        <v>6706</v>
      </c>
      <c r="D209" s="10">
        <v>10107.959999999999</v>
      </c>
      <c r="E209" s="10">
        <v>455.95</v>
      </c>
      <c r="F209" s="10">
        <v>710.1</v>
      </c>
    </row>
    <row r="210" spans="1:6" x14ac:dyDescent="0.35">
      <c r="A210" s="10" t="s">
        <v>875</v>
      </c>
      <c r="B210" s="10">
        <v>92437</v>
      </c>
      <c r="C210" s="10">
        <v>18665</v>
      </c>
      <c r="D210" s="10">
        <v>4167.6400000000003</v>
      </c>
      <c r="E210" s="10">
        <v>11.57</v>
      </c>
      <c r="F210" s="10">
        <v>265.72000000000003</v>
      </c>
    </row>
    <row r="211" spans="1:6" x14ac:dyDescent="0.35">
      <c r="A211" s="10" t="s">
        <v>615</v>
      </c>
      <c r="B211" s="10">
        <v>143996</v>
      </c>
      <c r="C211" s="10">
        <v>19613</v>
      </c>
      <c r="D211" s="10">
        <v>13428.5</v>
      </c>
      <c r="E211" s="10">
        <v>0</v>
      </c>
      <c r="F211" s="10">
        <v>2563.85</v>
      </c>
    </row>
    <row r="212" spans="1:6" x14ac:dyDescent="0.35">
      <c r="A212" s="10" t="s">
        <v>804</v>
      </c>
      <c r="B212" s="10">
        <v>144423</v>
      </c>
      <c r="C212" s="10">
        <v>19607</v>
      </c>
      <c r="D212" s="10">
        <v>1104.6099999999999</v>
      </c>
      <c r="E212" s="10">
        <v>0</v>
      </c>
      <c r="F212" s="10">
        <v>264.14999999999998</v>
      </c>
    </row>
    <row r="213" spans="1:6" x14ac:dyDescent="0.35">
      <c r="A213" s="10" t="s">
        <v>392</v>
      </c>
      <c r="B213" s="10">
        <v>104610</v>
      </c>
      <c r="C213" s="10">
        <v>19236</v>
      </c>
      <c r="D213" s="10">
        <v>5</v>
      </c>
      <c r="E213" s="10">
        <v>0</v>
      </c>
      <c r="F213" s="10">
        <v>254.15</v>
      </c>
    </row>
    <row r="214" spans="1:6" x14ac:dyDescent="0.35">
      <c r="A214" s="10" t="s">
        <v>858</v>
      </c>
      <c r="B214" s="10">
        <v>83171</v>
      </c>
      <c r="C214" s="10">
        <v>8604</v>
      </c>
      <c r="D214" s="10">
        <v>31481.439999999999</v>
      </c>
      <c r="E214" s="10">
        <v>0</v>
      </c>
      <c r="F214" s="10">
        <v>2005.8000000000002</v>
      </c>
    </row>
    <row r="215" spans="1:6" x14ac:dyDescent="0.35">
      <c r="A215" s="10" t="s">
        <v>631</v>
      </c>
      <c r="B215" s="10">
        <v>154308</v>
      </c>
      <c r="C215" s="10">
        <v>10632</v>
      </c>
      <c r="D215" s="10">
        <v>8722.3799999999992</v>
      </c>
      <c r="E215" s="10">
        <v>0</v>
      </c>
      <c r="F215" s="10">
        <v>1274.1500000000001</v>
      </c>
    </row>
    <row r="216" spans="1:6" x14ac:dyDescent="0.35">
      <c r="A216" s="10" t="s">
        <v>65</v>
      </c>
      <c r="B216" s="10">
        <v>148843</v>
      </c>
      <c r="C216" s="10">
        <v>10786</v>
      </c>
      <c r="D216" s="10">
        <v>0</v>
      </c>
      <c r="E216" s="10">
        <v>0</v>
      </c>
      <c r="F216" s="10">
        <v>0</v>
      </c>
    </row>
    <row r="217" spans="1:6" x14ac:dyDescent="0.35">
      <c r="A217" s="10" t="s">
        <v>393</v>
      </c>
      <c r="B217" s="10">
        <v>145823</v>
      </c>
      <c r="C217" s="10">
        <v>25641</v>
      </c>
      <c r="D217" s="10">
        <v>183.65</v>
      </c>
      <c r="E217" s="10">
        <v>0</v>
      </c>
      <c r="F217" s="10">
        <v>424.15</v>
      </c>
    </row>
    <row r="218" spans="1:6" x14ac:dyDescent="0.35">
      <c r="A218" s="10" t="s">
        <v>600</v>
      </c>
      <c r="B218" s="10">
        <v>177879</v>
      </c>
      <c r="C218" s="10" t="s">
        <v>289</v>
      </c>
      <c r="D218" s="10">
        <v>4088.49</v>
      </c>
      <c r="E218" s="10">
        <v>0</v>
      </c>
      <c r="F218" s="10">
        <v>1284.1500000000001</v>
      </c>
    </row>
    <row r="219" spans="1:6" x14ac:dyDescent="0.35">
      <c r="A219" s="10" t="s">
        <v>350</v>
      </c>
      <c r="B219" s="10">
        <v>188933</v>
      </c>
      <c r="C219" s="10">
        <v>32327</v>
      </c>
      <c r="D219" s="10">
        <v>0</v>
      </c>
      <c r="E219" s="10">
        <v>0</v>
      </c>
      <c r="F219" s="10">
        <v>0</v>
      </c>
    </row>
    <row r="220" spans="1:6" x14ac:dyDescent="0.35">
      <c r="A220" s="10" t="s">
        <v>351</v>
      </c>
      <c r="B220" s="10">
        <v>187032</v>
      </c>
      <c r="C220" s="10" t="s">
        <v>289</v>
      </c>
      <c r="D220" s="10">
        <v>1664.29</v>
      </c>
      <c r="E220" s="10">
        <v>0</v>
      </c>
      <c r="F220" s="10">
        <v>0</v>
      </c>
    </row>
    <row r="221" spans="1:6" x14ac:dyDescent="0.35">
      <c r="A221" s="10"/>
      <c r="B221" s="10">
        <v>188935</v>
      </c>
      <c r="C221" s="10">
        <v>32326</v>
      </c>
      <c r="D221" s="10">
        <v>0</v>
      </c>
      <c r="E221" s="10">
        <v>0</v>
      </c>
      <c r="F221" s="10">
        <v>0</v>
      </c>
    </row>
    <row r="222" spans="1:6" x14ac:dyDescent="0.35">
      <c r="A222" s="10" t="s">
        <v>353</v>
      </c>
      <c r="B222" s="10">
        <v>46251</v>
      </c>
      <c r="C222" s="10" t="s">
        <v>289</v>
      </c>
      <c r="D222" s="10">
        <v>2908.42</v>
      </c>
      <c r="E222" s="10">
        <v>0</v>
      </c>
      <c r="F222" s="10">
        <v>0</v>
      </c>
    </row>
    <row r="223" spans="1:6" x14ac:dyDescent="0.35">
      <c r="A223" s="10" t="s">
        <v>602</v>
      </c>
      <c r="B223" s="10">
        <v>186481</v>
      </c>
      <c r="C223" s="10">
        <v>76213688</v>
      </c>
      <c r="D223" s="10">
        <v>8993.15</v>
      </c>
      <c r="E223" s="10">
        <v>0</v>
      </c>
      <c r="F223" s="10">
        <v>1284.1500000000001</v>
      </c>
    </row>
    <row r="224" spans="1:6" x14ac:dyDescent="0.35">
      <c r="A224" s="10" t="s">
        <v>394</v>
      </c>
      <c r="B224" s="10">
        <v>72053</v>
      </c>
      <c r="C224" s="10">
        <v>16586</v>
      </c>
      <c r="D224" s="10">
        <v>46.01</v>
      </c>
      <c r="E224" s="10">
        <v>0</v>
      </c>
      <c r="F224" s="10">
        <v>254.15</v>
      </c>
    </row>
    <row r="225" spans="1:6" x14ac:dyDescent="0.35">
      <c r="A225" s="10" t="s">
        <v>772</v>
      </c>
      <c r="B225" s="10">
        <v>134332</v>
      </c>
      <c r="C225" s="10">
        <v>16067</v>
      </c>
      <c r="D225" s="10">
        <v>0.66</v>
      </c>
      <c r="E225" s="10">
        <v>0</v>
      </c>
      <c r="F225" s="10">
        <v>254.15</v>
      </c>
    </row>
    <row r="226" spans="1:6" x14ac:dyDescent="0.35">
      <c r="A226" s="10" t="s">
        <v>746</v>
      </c>
      <c r="B226" s="10">
        <v>139339</v>
      </c>
      <c r="C226" s="10">
        <v>6972</v>
      </c>
      <c r="D226" s="10">
        <v>6288.09</v>
      </c>
      <c r="E226" s="10">
        <v>192.38</v>
      </c>
      <c r="F226" s="10">
        <v>446.53</v>
      </c>
    </row>
    <row r="227" spans="1:6" x14ac:dyDescent="0.35">
      <c r="A227" s="10" t="s">
        <v>550</v>
      </c>
      <c r="B227" s="10">
        <v>99512</v>
      </c>
      <c r="C227" s="10" t="s">
        <v>289</v>
      </c>
      <c r="D227" s="10">
        <v>47.66</v>
      </c>
      <c r="E227" s="10">
        <v>0</v>
      </c>
      <c r="F227" s="10">
        <v>254.15</v>
      </c>
    </row>
    <row r="228" spans="1:6" x14ac:dyDescent="0.35">
      <c r="A228" s="10" t="s">
        <v>778</v>
      </c>
      <c r="B228" s="10">
        <v>77683</v>
      </c>
      <c r="C228" s="10">
        <v>11003</v>
      </c>
      <c r="D228" s="10">
        <v>6935.99</v>
      </c>
      <c r="E228" s="10">
        <v>0</v>
      </c>
      <c r="F228" s="10">
        <v>434.15</v>
      </c>
    </row>
    <row r="229" spans="1:6" x14ac:dyDescent="0.35">
      <c r="A229" s="10" t="s">
        <v>790</v>
      </c>
      <c r="B229" s="10">
        <v>144127</v>
      </c>
      <c r="C229" s="10">
        <v>24727</v>
      </c>
      <c r="D229" s="10">
        <v>189.32</v>
      </c>
      <c r="E229" s="10">
        <v>0</v>
      </c>
      <c r="F229" s="10">
        <v>254.15</v>
      </c>
    </row>
    <row r="230" spans="1:6" x14ac:dyDescent="0.35">
      <c r="A230" s="10" t="s">
        <v>95</v>
      </c>
      <c r="B230" s="10">
        <v>187780</v>
      </c>
      <c r="C230" s="10">
        <v>76201662</v>
      </c>
      <c r="D230" s="10">
        <v>4406.9799999999996</v>
      </c>
      <c r="E230" s="10">
        <v>0</v>
      </c>
      <c r="F230" s="10">
        <v>1653</v>
      </c>
    </row>
    <row r="231" spans="1:6" x14ac:dyDescent="0.35">
      <c r="A231" s="10" t="s">
        <v>677</v>
      </c>
      <c r="B231" s="10">
        <v>154791</v>
      </c>
      <c r="C231" s="10">
        <v>28325</v>
      </c>
      <c r="D231" s="10">
        <v>119.95</v>
      </c>
      <c r="E231" s="10">
        <v>0</v>
      </c>
      <c r="F231" s="10">
        <v>264.14999999999998</v>
      </c>
    </row>
    <row r="232" spans="1:6" x14ac:dyDescent="0.35">
      <c r="A232" s="10" t="s">
        <v>70</v>
      </c>
      <c r="B232" s="10">
        <v>116785</v>
      </c>
      <c r="C232" s="10">
        <v>19638</v>
      </c>
      <c r="D232" s="10">
        <v>43</v>
      </c>
      <c r="E232" s="10">
        <v>0</v>
      </c>
      <c r="F232" s="10">
        <v>1571.65</v>
      </c>
    </row>
    <row r="233" spans="1:6" x14ac:dyDescent="0.35">
      <c r="A233" s="10" t="s">
        <v>879</v>
      </c>
      <c r="B233" s="10">
        <v>121695</v>
      </c>
      <c r="C233" s="10">
        <v>21212</v>
      </c>
      <c r="D233" s="10">
        <v>71.98</v>
      </c>
      <c r="E233" s="10">
        <v>0</v>
      </c>
      <c r="F233" s="10">
        <v>254.15</v>
      </c>
    </row>
    <row r="234" spans="1:6" x14ac:dyDescent="0.35">
      <c r="A234" s="10" t="s">
        <v>723</v>
      </c>
      <c r="B234" s="10">
        <v>145649</v>
      </c>
      <c r="C234" s="10">
        <v>25474</v>
      </c>
      <c r="D234" s="10">
        <v>4253.05</v>
      </c>
      <c r="E234" s="10">
        <v>0</v>
      </c>
      <c r="F234" s="10">
        <v>434.15</v>
      </c>
    </row>
    <row r="235" spans="1:6" x14ac:dyDescent="0.35">
      <c r="A235" s="10" t="s">
        <v>1257</v>
      </c>
      <c r="B235" s="10">
        <v>46377</v>
      </c>
      <c r="C235" s="10">
        <v>8725</v>
      </c>
      <c r="D235" s="10">
        <v>36</v>
      </c>
      <c r="E235" s="10">
        <v>0</v>
      </c>
      <c r="F235" s="10">
        <v>0</v>
      </c>
    </row>
    <row r="236" spans="1:6" x14ac:dyDescent="0.35">
      <c r="A236" s="10" t="s">
        <v>708</v>
      </c>
      <c r="B236" s="10">
        <v>142723</v>
      </c>
      <c r="C236" s="10">
        <v>23288</v>
      </c>
      <c r="D236" s="10">
        <v>8178.1</v>
      </c>
      <c r="E236" s="10">
        <v>0</v>
      </c>
      <c r="F236" s="10">
        <v>1581.65</v>
      </c>
    </row>
    <row r="237" spans="1:6" x14ac:dyDescent="0.35">
      <c r="A237" s="10" t="s">
        <v>711</v>
      </c>
      <c r="B237" s="10">
        <v>142727</v>
      </c>
      <c r="C237" s="10">
        <v>23289</v>
      </c>
      <c r="D237" s="10">
        <v>5652.07</v>
      </c>
      <c r="E237" s="10">
        <v>0</v>
      </c>
      <c r="F237" s="10">
        <v>1581.65</v>
      </c>
    </row>
    <row r="238" spans="1:6" x14ac:dyDescent="0.35">
      <c r="A238" s="10" t="s">
        <v>76</v>
      </c>
      <c r="B238" s="10">
        <v>99628</v>
      </c>
      <c r="C238" s="10">
        <v>17155</v>
      </c>
      <c r="D238" s="10">
        <v>1264.3399999999999</v>
      </c>
      <c r="E238" s="10">
        <v>0</v>
      </c>
      <c r="F238" s="10">
        <v>264.14999999999998</v>
      </c>
    </row>
    <row r="239" spans="1:6" x14ac:dyDescent="0.35">
      <c r="A239" s="10" t="s">
        <v>224</v>
      </c>
      <c r="B239" s="10">
        <v>136865</v>
      </c>
      <c r="C239" s="10">
        <v>22158</v>
      </c>
      <c r="D239" s="10">
        <v>14083.53</v>
      </c>
      <c r="E239" s="10">
        <v>0</v>
      </c>
      <c r="F239" s="10">
        <v>1581.65</v>
      </c>
    </row>
    <row r="240" spans="1:6" x14ac:dyDescent="0.35">
      <c r="A240" s="10" t="s">
        <v>201</v>
      </c>
      <c r="B240" s="10">
        <v>139748</v>
      </c>
      <c r="C240" s="10">
        <v>9273</v>
      </c>
      <c r="D240" s="10">
        <v>2041.07</v>
      </c>
      <c r="E240" s="10">
        <v>0</v>
      </c>
      <c r="F240" s="10">
        <v>264.14999999999998</v>
      </c>
    </row>
    <row r="241" spans="1:6" x14ac:dyDescent="0.35">
      <c r="A241" s="10" t="s">
        <v>203</v>
      </c>
      <c r="B241" s="10">
        <v>144122</v>
      </c>
      <c r="C241" s="10">
        <v>19202</v>
      </c>
      <c r="D241" s="10">
        <v>733.39</v>
      </c>
      <c r="E241" s="10">
        <v>0</v>
      </c>
      <c r="F241" s="10">
        <v>264.14999999999998</v>
      </c>
    </row>
    <row r="242" spans="1:6" x14ac:dyDescent="0.35">
      <c r="A242" s="10" t="s">
        <v>441</v>
      </c>
      <c r="B242" s="10">
        <v>188153</v>
      </c>
      <c r="C242" s="10">
        <v>30664</v>
      </c>
      <c r="D242" s="10">
        <v>2001.55</v>
      </c>
      <c r="E242" s="10">
        <v>0</v>
      </c>
      <c r="F242" s="10">
        <v>509.15</v>
      </c>
    </row>
    <row r="243" spans="1:6" x14ac:dyDescent="0.35">
      <c r="A243" s="10" t="s">
        <v>205</v>
      </c>
      <c r="B243" s="10">
        <v>138603</v>
      </c>
      <c r="C243" s="10">
        <v>22232</v>
      </c>
      <c r="D243" s="10">
        <v>5949.05</v>
      </c>
      <c r="E243" s="10">
        <v>168.98</v>
      </c>
      <c r="F243" s="10">
        <v>433.13</v>
      </c>
    </row>
    <row r="244" spans="1:6" x14ac:dyDescent="0.35">
      <c r="A244" s="10" t="s">
        <v>208</v>
      </c>
      <c r="B244" s="10">
        <v>131694</v>
      </c>
      <c r="C244" s="10">
        <v>21728</v>
      </c>
      <c r="D244" s="10">
        <v>2550.33</v>
      </c>
      <c r="E244" s="10">
        <v>0</v>
      </c>
      <c r="F244" s="10">
        <v>264.14999999999998</v>
      </c>
    </row>
    <row r="245" spans="1:6" x14ac:dyDescent="0.35">
      <c r="A245" s="10" t="s">
        <v>210</v>
      </c>
      <c r="B245" s="10">
        <v>131695</v>
      </c>
      <c r="C245" s="10">
        <v>21729</v>
      </c>
      <c r="D245" s="10">
        <v>1726.19</v>
      </c>
      <c r="E245" s="10">
        <v>0</v>
      </c>
      <c r="F245" s="10">
        <v>264.14999999999998</v>
      </c>
    </row>
    <row r="246" spans="1:6" x14ac:dyDescent="0.35">
      <c r="A246" s="10" t="s">
        <v>212</v>
      </c>
      <c r="B246" s="10">
        <v>143944</v>
      </c>
      <c r="C246" s="10">
        <v>21588</v>
      </c>
      <c r="D246" s="10">
        <v>894.45</v>
      </c>
      <c r="E246" s="10">
        <v>0</v>
      </c>
      <c r="F246" s="10">
        <v>264.14999999999998</v>
      </c>
    </row>
    <row r="247" spans="1:6" x14ac:dyDescent="0.35">
      <c r="A247" s="10" t="s">
        <v>214</v>
      </c>
      <c r="B247" s="10">
        <v>138480</v>
      </c>
      <c r="C247" s="10">
        <v>22230</v>
      </c>
      <c r="D247" s="10">
        <v>12233.14</v>
      </c>
      <c r="E247" s="10">
        <v>602.59</v>
      </c>
      <c r="F247" s="10">
        <v>866.74</v>
      </c>
    </row>
    <row r="248" spans="1:6" x14ac:dyDescent="0.35">
      <c r="A248" s="10" t="s">
        <v>199</v>
      </c>
      <c r="B248" s="10">
        <v>140643</v>
      </c>
      <c r="C248" s="10">
        <v>23116</v>
      </c>
      <c r="D248" s="10">
        <v>5305.43</v>
      </c>
      <c r="E248" s="10">
        <v>124.57</v>
      </c>
      <c r="F248" s="10">
        <v>388.72</v>
      </c>
    </row>
    <row r="249" spans="1:6" x14ac:dyDescent="0.35">
      <c r="A249" s="10" t="s">
        <v>102</v>
      </c>
      <c r="B249" s="10">
        <v>131763</v>
      </c>
      <c r="C249" s="10">
        <v>21795</v>
      </c>
      <c r="D249" s="10">
        <v>3176.66</v>
      </c>
      <c r="E249" s="10">
        <v>0</v>
      </c>
      <c r="F249" s="10">
        <v>264.14999999999998</v>
      </c>
    </row>
    <row r="250" spans="1:6" x14ac:dyDescent="0.35">
      <c r="A250" s="10" t="s">
        <v>218</v>
      </c>
      <c r="B250" s="10">
        <v>140642</v>
      </c>
      <c r="C250" s="10">
        <v>23115</v>
      </c>
      <c r="D250" s="10">
        <v>12096.9</v>
      </c>
      <c r="E250" s="10">
        <v>317.19</v>
      </c>
      <c r="F250" s="10">
        <v>751.34</v>
      </c>
    </row>
    <row r="251" spans="1:6" x14ac:dyDescent="0.35">
      <c r="A251" s="10" t="s">
        <v>159</v>
      </c>
      <c r="B251" s="10">
        <v>131769</v>
      </c>
      <c r="C251" s="10">
        <v>21831</v>
      </c>
      <c r="D251" s="10">
        <v>1393.76</v>
      </c>
      <c r="E251" s="10">
        <v>0</v>
      </c>
      <c r="F251" s="10">
        <v>434.15</v>
      </c>
    </row>
    <row r="252" spans="1:6" x14ac:dyDescent="0.35">
      <c r="A252" s="10" t="s">
        <v>232</v>
      </c>
      <c r="B252" s="10">
        <v>147129</v>
      </c>
      <c r="C252" s="10">
        <v>9504</v>
      </c>
      <c r="D252" s="10">
        <v>2219.7800000000002</v>
      </c>
      <c r="E252" s="10">
        <v>0</v>
      </c>
      <c r="F252" s="10">
        <v>264.14999999999998</v>
      </c>
    </row>
    <row r="253" spans="1:6" x14ac:dyDescent="0.35">
      <c r="A253" s="10" t="s">
        <v>216</v>
      </c>
      <c r="B253" s="10">
        <v>131770</v>
      </c>
      <c r="C253" s="10">
        <v>21830</v>
      </c>
      <c r="D253" s="10">
        <v>4028.11</v>
      </c>
      <c r="E253" s="10">
        <v>36.44</v>
      </c>
      <c r="F253" s="10">
        <v>300.58999999999997</v>
      </c>
    </row>
    <row r="254" spans="1:6" x14ac:dyDescent="0.35">
      <c r="A254" s="10" t="s">
        <v>227</v>
      </c>
      <c r="B254" s="10">
        <v>139282</v>
      </c>
      <c r="C254" s="10">
        <v>22278</v>
      </c>
      <c r="D254" s="10">
        <v>24380.16</v>
      </c>
      <c r="E254" s="10">
        <v>0</v>
      </c>
      <c r="F254" s="10">
        <v>1581.65</v>
      </c>
    </row>
    <row r="255" spans="1:6" x14ac:dyDescent="0.35">
      <c r="A255" s="10" t="s">
        <v>486</v>
      </c>
      <c r="B255" s="10">
        <v>134212</v>
      </c>
      <c r="C255" s="10">
        <v>21055</v>
      </c>
      <c r="D255" s="10">
        <v>1510.68</v>
      </c>
      <c r="E255" s="10">
        <v>0</v>
      </c>
      <c r="F255" s="10">
        <v>264.14999999999998</v>
      </c>
    </row>
    <row r="256" spans="1:6" x14ac:dyDescent="0.35">
      <c r="A256" s="10" t="s">
        <v>679</v>
      </c>
      <c r="B256" s="10">
        <v>158059</v>
      </c>
      <c r="C256" s="10">
        <v>29095</v>
      </c>
      <c r="D256" s="10">
        <v>326.5</v>
      </c>
      <c r="E256" s="10">
        <v>0</v>
      </c>
      <c r="F256" s="10">
        <v>264.14999999999998</v>
      </c>
    </row>
    <row r="257" spans="1:6" x14ac:dyDescent="0.35">
      <c r="A257" s="10" t="s">
        <v>489</v>
      </c>
      <c r="B257" s="10">
        <v>134214</v>
      </c>
      <c r="C257" s="10">
        <v>20587</v>
      </c>
      <c r="D257" s="10">
        <v>4459.16</v>
      </c>
      <c r="E257" s="10">
        <v>66.180000000000007</v>
      </c>
      <c r="F257" s="10">
        <v>330.33</v>
      </c>
    </row>
    <row r="258" spans="1:6" x14ac:dyDescent="0.35">
      <c r="A258" s="10" t="s">
        <v>604</v>
      </c>
      <c r="B258" s="10">
        <v>159517</v>
      </c>
      <c r="C258" s="10">
        <v>29204</v>
      </c>
      <c r="D258" s="10">
        <v>577.61</v>
      </c>
      <c r="E258" s="10">
        <v>0</v>
      </c>
      <c r="F258" s="10">
        <v>1284.1500000000001</v>
      </c>
    </row>
    <row r="259" spans="1:6" x14ac:dyDescent="0.35">
      <c r="A259" s="10" t="s">
        <v>112</v>
      </c>
      <c r="B259" s="10">
        <v>119133</v>
      </c>
      <c r="C259" s="10">
        <v>4545</v>
      </c>
      <c r="D259" s="10">
        <v>6999.72</v>
      </c>
      <c r="E259" s="10">
        <v>0</v>
      </c>
      <c r="F259" s="10">
        <v>499</v>
      </c>
    </row>
    <row r="260" spans="1:6" x14ac:dyDescent="0.35">
      <c r="A260" s="10" t="s">
        <v>542</v>
      </c>
      <c r="B260" s="10">
        <v>159022</v>
      </c>
      <c r="C260" s="10">
        <v>29348</v>
      </c>
      <c r="D260" s="10">
        <v>442.87</v>
      </c>
      <c r="E260" s="10">
        <v>0</v>
      </c>
      <c r="F260" s="10">
        <v>434.15</v>
      </c>
    </row>
    <row r="261" spans="1:6" x14ac:dyDescent="0.35">
      <c r="A261" s="10" t="s">
        <v>126</v>
      </c>
      <c r="B261" s="10">
        <v>90442</v>
      </c>
      <c r="C261" s="10">
        <v>18231</v>
      </c>
      <c r="D261" s="10">
        <v>0</v>
      </c>
      <c r="E261" s="10">
        <v>0</v>
      </c>
      <c r="F261" s="10">
        <v>424.15</v>
      </c>
    </row>
    <row r="262" spans="1:6" x14ac:dyDescent="0.35">
      <c r="A262" s="10" t="s">
        <v>919</v>
      </c>
      <c r="B262" s="10">
        <v>43384</v>
      </c>
      <c r="C262" s="10">
        <v>7409</v>
      </c>
      <c r="D262" s="10">
        <v>23726.95</v>
      </c>
      <c r="E262" s="10">
        <v>0</v>
      </c>
      <c r="F262" s="10">
        <v>481</v>
      </c>
    </row>
    <row r="263" spans="1:6" x14ac:dyDescent="0.35">
      <c r="A263" s="10" t="s">
        <v>395</v>
      </c>
      <c r="B263" s="10">
        <v>83339</v>
      </c>
      <c r="C263" s="10">
        <v>11195</v>
      </c>
      <c r="D263" s="10">
        <v>3702.75</v>
      </c>
      <c r="E263" s="10">
        <v>0</v>
      </c>
      <c r="F263" s="10">
        <v>139</v>
      </c>
    </row>
    <row r="264" spans="1:6" x14ac:dyDescent="0.35">
      <c r="A264" s="10" t="s">
        <v>928</v>
      </c>
      <c r="B264" s="10">
        <v>42452</v>
      </c>
      <c r="C264" s="10">
        <v>11238</v>
      </c>
      <c r="D264" s="10">
        <v>1564.71</v>
      </c>
      <c r="E264" s="10">
        <v>0</v>
      </c>
      <c r="F264" s="10">
        <v>129</v>
      </c>
    </row>
    <row r="265" spans="1:6" x14ac:dyDescent="0.35">
      <c r="A265" s="10" t="s">
        <v>78</v>
      </c>
      <c r="B265" s="10">
        <v>99624</v>
      </c>
      <c r="C265" s="10">
        <v>4548</v>
      </c>
      <c r="D265" s="10">
        <v>42.65</v>
      </c>
      <c r="E265" s="10">
        <v>0</v>
      </c>
      <c r="F265" s="10">
        <v>139</v>
      </c>
    </row>
    <row r="266" spans="1:6" x14ac:dyDescent="0.35">
      <c r="A266" s="10" t="s">
        <v>906</v>
      </c>
      <c r="B266" s="10">
        <v>145131</v>
      </c>
      <c r="C266" s="10">
        <v>25216</v>
      </c>
      <c r="D266" s="10">
        <v>10421.280000000001</v>
      </c>
      <c r="E266" s="10">
        <v>0</v>
      </c>
      <c r="F266" s="10">
        <v>1647</v>
      </c>
    </row>
    <row r="267" spans="1:6" x14ac:dyDescent="0.35">
      <c r="A267" s="10" t="s">
        <v>443</v>
      </c>
      <c r="B267" s="10">
        <v>188199</v>
      </c>
      <c r="C267" s="10">
        <v>24697</v>
      </c>
      <c r="D267" s="10">
        <v>489.28</v>
      </c>
      <c r="E267" s="10">
        <v>0</v>
      </c>
      <c r="F267" s="10">
        <v>429</v>
      </c>
    </row>
    <row r="268" spans="1:6" x14ac:dyDescent="0.35">
      <c r="A268" s="10" t="s">
        <v>129</v>
      </c>
      <c r="B268" s="10">
        <v>81644</v>
      </c>
      <c r="C268" s="10">
        <v>17721</v>
      </c>
      <c r="D268" s="10">
        <v>16020.29</v>
      </c>
      <c r="E268" s="10">
        <v>0</v>
      </c>
      <c r="F268" s="10">
        <v>1581.65</v>
      </c>
    </row>
    <row r="269" spans="1:6" x14ac:dyDescent="0.35">
      <c r="A269" s="10" t="s">
        <v>717</v>
      </c>
      <c r="B269" s="10">
        <v>116981</v>
      </c>
      <c r="C269" s="10">
        <v>18705</v>
      </c>
      <c r="D269" s="10">
        <v>0</v>
      </c>
      <c r="E269" s="10">
        <v>0</v>
      </c>
      <c r="F269" s="10">
        <v>254.15</v>
      </c>
    </row>
    <row r="270" spans="1:6" x14ac:dyDescent="0.35">
      <c r="A270" s="10" t="s">
        <v>396</v>
      </c>
      <c r="B270" s="10">
        <v>77184</v>
      </c>
      <c r="C270" s="10">
        <v>17386</v>
      </c>
      <c r="D270" s="10">
        <v>43.72</v>
      </c>
      <c r="E270" s="10">
        <v>0</v>
      </c>
      <c r="F270" s="10">
        <v>254.15</v>
      </c>
    </row>
    <row r="271" spans="1:6" x14ac:dyDescent="0.35">
      <c r="A271" s="10" t="s">
        <v>827</v>
      </c>
      <c r="B271" s="10">
        <v>78775</v>
      </c>
      <c r="C271" s="10">
        <v>17380</v>
      </c>
      <c r="D271" s="10">
        <v>7220.55</v>
      </c>
      <c r="E271" s="10">
        <v>0</v>
      </c>
      <c r="F271" s="10">
        <v>434.15</v>
      </c>
    </row>
    <row r="272" spans="1:6" x14ac:dyDescent="0.35">
      <c r="A272" s="10" t="s">
        <v>816</v>
      </c>
      <c r="B272" s="10">
        <v>78776</v>
      </c>
      <c r="C272" s="10">
        <v>17383</v>
      </c>
      <c r="D272" s="10">
        <v>1838.2</v>
      </c>
      <c r="E272" s="10">
        <v>0</v>
      </c>
      <c r="F272" s="10">
        <v>264.14999999999998</v>
      </c>
    </row>
    <row r="273" spans="1:6" x14ac:dyDescent="0.35">
      <c r="A273" s="10" t="s">
        <v>397</v>
      </c>
      <c r="B273" s="10">
        <v>77166</v>
      </c>
      <c r="C273" s="10">
        <v>17384</v>
      </c>
      <c r="D273" s="10">
        <v>72.680000000000007</v>
      </c>
      <c r="E273" s="10">
        <v>0</v>
      </c>
      <c r="F273" s="10">
        <v>424.15</v>
      </c>
    </row>
    <row r="274" spans="1:6" x14ac:dyDescent="0.35">
      <c r="A274" s="10" t="s">
        <v>354</v>
      </c>
      <c r="B274" s="10">
        <v>188958</v>
      </c>
      <c r="C274" s="10">
        <v>32013</v>
      </c>
      <c r="D274" s="10">
        <v>333.98</v>
      </c>
      <c r="E274" s="10">
        <v>0</v>
      </c>
      <c r="F274" s="10">
        <v>0</v>
      </c>
    </row>
    <row r="275" spans="1:6" x14ac:dyDescent="0.35">
      <c r="A275" s="10" t="s">
        <v>1262</v>
      </c>
      <c r="B275" s="10">
        <v>158051</v>
      </c>
      <c r="C275" s="10">
        <v>29006</v>
      </c>
      <c r="D275" s="10">
        <v>5113.42</v>
      </c>
      <c r="E275" s="10">
        <v>111.33</v>
      </c>
      <c r="F275" s="10">
        <v>375.48</v>
      </c>
    </row>
    <row r="276" spans="1:6" x14ac:dyDescent="0.35">
      <c r="A276" s="10" t="s">
        <v>837</v>
      </c>
      <c r="B276" s="10">
        <v>156684</v>
      </c>
      <c r="C276" s="10" t="s">
        <v>289</v>
      </c>
      <c r="D276" s="10">
        <v>3899.66</v>
      </c>
      <c r="E276" s="10">
        <v>0</v>
      </c>
      <c r="F276" s="10">
        <v>1653</v>
      </c>
    </row>
    <row r="277" spans="1:6" x14ac:dyDescent="0.35">
      <c r="A277" s="10" t="s">
        <v>699</v>
      </c>
      <c r="B277" s="10">
        <v>149327</v>
      </c>
      <c r="C277" s="10">
        <v>26937</v>
      </c>
      <c r="D277" s="10">
        <v>627.71</v>
      </c>
      <c r="E277" s="10">
        <v>0</v>
      </c>
      <c r="F277" s="10">
        <v>434.15</v>
      </c>
    </row>
    <row r="278" spans="1:6" x14ac:dyDescent="0.35">
      <c r="A278" s="10" t="s">
        <v>318</v>
      </c>
      <c r="B278" s="10">
        <v>92188</v>
      </c>
      <c r="C278" s="10">
        <v>18515</v>
      </c>
      <c r="D278" s="10">
        <v>11449.4</v>
      </c>
      <c r="E278" s="10">
        <v>272.51</v>
      </c>
      <c r="F278" s="10">
        <v>938.31</v>
      </c>
    </row>
    <row r="279" spans="1:6" x14ac:dyDescent="0.35">
      <c r="A279" s="10" t="s">
        <v>845</v>
      </c>
      <c r="B279" s="10">
        <v>62672</v>
      </c>
      <c r="C279" s="10">
        <v>9944</v>
      </c>
      <c r="D279" s="10">
        <v>8582.85</v>
      </c>
      <c r="E279" s="10">
        <v>0</v>
      </c>
      <c r="F279" s="10">
        <v>1039</v>
      </c>
    </row>
    <row r="280" spans="1:6" x14ac:dyDescent="0.35">
      <c r="A280" s="10" t="s">
        <v>81</v>
      </c>
      <c r="B280" s="10">
        <v>142901</v>
      </c>
      <c r="C280" s="10">
        <v>23308</v>
      </c>
      <c r="D280" s="10">
        <v>0</v>
      </c>
      <c r="E280" s="10">
        <v>0</v>
      </c>
      <c r="F280" s="10">
        <v>254.15</v>
      </c>
    </row>
    <row r="281" spans="1:6" x14ac:dyDescent="0.35">
      <c r="A281" s="10" t="s">
        <v>493</v>
      </c>
      <c r="B281" s="10">
        <v>140775</v>
      </c>
      <c r="C281" s="10" t="s">
        <v>289</v>
      </c>
      <c r="D281" s="10">
        <v>2877.99</v>
      </c>
      <c r="E281" s="10">
        <v>0</v>
      </c>
      <c r="F281" s="10">
        <v>859.15</v>
      </c>
    </row>
    <row r="282" spans="1:6" x14ac:dyDescent="0.35">
      <c r="A282" s="10" t="s">
        <v>367</v>
      </c>
      <c r="B282" s="10">
        <v>141760</v>
      </c>
      <c r="C282" s="10">
        <v>18422</v>
      </c>
      <c r="D282" s="10">
        <v>2</v>
      </c>
      <c r="E282" s="10">
        <v>0</v>
      </c>
      <c r="F282" s="10">
        <v>0</v>
      </c>
    </row>
    <row r="283" spans="1:6" x14ac:dyDescent="0.35">
      <c r="A283" s="10" t="s">
        <v>357</v>
      </c>
      <c r="B283" s="10">
        <v>91217</v>
      </c>
      <c r="C283" s="10">
        <v>18160</v>
      </c>
      <c r="D283" s="10">
        <v>0</v>
      </c>
      <c r="E283" s="10">
        <v>0</v>
      </c>
      <c r="F283" s="10">
        <v>0</v>
      </c>
    </row>
    <row r="284" spans="1:6" x14ac:dyDescent="0.35">
      <c r="A284" s="10" t="s">
        <v>295</v>
      </c>
      <c r="B284" s="10">
        <v>140778</v>
      </c>
      <c r="C284" s="10">
        <v>23379</v>
      </c>
      <c r="D284" s="10">
        <v>8860.5499999999993</v>
      </c>
      <c r="E284" s="10">
        <v>0</v>
      </c>
      <c r="F284" s="10">
        <v>1581.65</v>
      </c>
    </row>
    <row r="285" spans="1:6" x14ac:dyDescent="0.35">
      <c r="A285" s="10" t="s">
        <v>299</v>
      </c>
      <c r="B285" s="10">
        <v>140777</v>
      </c>
      <c r="C285" s="10">
        <v>23370</v>
      </c>
      <c r="D285" s="10">
        <v>5850.92</v>
      </c>
      <c r="E285" s="10">
        <v>0</v>
      </c>
      <c r="F285" s="10">
        <v>1581.65</v>
      </c>
    </row>
    <row r="286" spans="1:6" x14ac:dyDescent="0.35">
      <c r="A286" s="10" t="s">
        <v>701</v>
      </c>
      <c r="B286" s="10">
        <v>153596</v>
      </c>
      <c r="C286" s="10">
        <v>18928</v>
      </c>
      <c r="D286" s="10">
        <v>383.62</v>
      </c>
      <c r="E286" s="10">
        <v>0</v>
      </c>
      <c r="F286" s="10">
        <v>434.15</v>
      </c>
    </row>
    <row r="287" spans="1:6" x14ac:dyDescent="0.35">
      <c r="A287" s="10" t="s">
        <v>703</v>
      </c>
      <c r="B287" s="10">
        <v>153597</v>
      </c>
      <c r="C287" s="10">
        <v>19555</v>
      </c>
      <c r="D287" s="10">
        <v>380.05</v>
      </c>
      <c r="E287" s="10">
        <v>0</v>
      </c>
      <c r="F287" s="10">
        <v>434.15</v>
      </c>
    </row>
    <row r="288" spans="1:6" x14ac:dyDescent="0.35">
      <c r="A288" s="10" t="s">
        <v>424</v>
      </c>
      <c r="B288" s="10">
        <v>156704</v>
      </c>
      <c r="C288" s="10">
        <v>29001</v>
      </c>
      <c r="D288" s="10">
        <v>4272.51</v>
      </c>
      <c r="E288" s="10">
        <v>0</v>
      </c>
      <c r="F288" s="10">
        <v>434.15</v>
      </c>
    </row>
    <row r="289" spans="1:6" x14ac:dyDescent="0.35">
      <c r="A289" s="10" t="s">
        <v>884</v>
      </c>
      <c r="B289" s="10">
        <v>159077</v>
      </c>
      <c r="C289" s="10">
        <v>19633</v>
      </c>
      <c r="D289" s="10">
        <v>10768.08</v>
      </c>
      <c r="E289" s="10">
        <v>0</v>
      </c>
      <c r="F289" s="10">
        <v>1698</v>
      </c>
    </row>
    <row r="290" spans="1:6" x14ac:dyDescent="0.35">
      <c r="A290" s="10" t="s">
        <v>768</v>
      </c>
      <c r="B290" s="10">
        <v>139747</v>
      </c>
      <c r="C290" s="10">
        <v>5616</v>
      </c>
      <c r="D290" s="10">
        <v>15.32</v>
      </c>
      <c r="E290" s="10">
        <v>0</v>
      </c>
      <c r="F290" s="10">
        <v>264.14999999999998</v>
      </c>
    </row>
    <row r="291" spans="1:6" x14ac:dyDescent="0.35">
      <c r="A291" s="10" t="s">
        <v>633</v>
      </c>
      <c r="B291" s="10">
        <v>135471</v>
      </c>
      <c r="C291" s="10">
        <v>20693</v>
      </c>
      <c r="D291" s="10">
        <v>7757.61</v>
      </c>
      <c r="E291" s="10">
        <v>0</v>
      </c>
      <c r="F291" s="10">
        <v>1274.1500000000001</v>
      </c>
    </row>
    <row r="292" spans="1:6" x14ac:dyDescent="0.35">
      <c r="A292" s="10" t="s">
        <v>563</v>
      </c>
      <c r="B292" s="10">
        <v>177300</v>
      </c>
      <c r="C292" s="10">
        <v>18362</v>
      </c>
      <c r="D292" s="10">
        <v>2789.79</v>
      </c>
      <c r="E292" s="10">
        <v>0</v>
      </c>
      <c r="F292" s="10">
        <v>519.15</v>
      </c>
    </row>
    <row r="293" spans="1:6" x14ac:dyDescent="0.35">
      <c r="A293" s="10" t="s">
        <v>544</v>
      </c>
      <c r="B293" s="10">
        <v>159260</v>
      </c>
      <c r="C293" s="10">
        <v>13684</v>
      </c>
      <c r="D293" s="10">
        <v>3905.62</v>
      </c>
      <c r="E293" s="10">
        <v>0</v>
      </c>
      <c r="F293" s="10">
        <v>434.15</v>
      </c>
    </row>
    <row r="294" spans="1:6" x14ac:dyDescent="0.35">
      <c r="A294" s="10" t="s">
        <v>83</v>
      </c>
      <c r="B294" s="10">
        <v>154381</v>
      </c>
      <c r="C294" s="10">
        <v>9560</v>
      </c>
      <c r="D294" s="10">
        <v>2</v>
      </c>
      <c r="E294" s="10">
        <v>0</v>
      </c>
      <c r="F294" s="10">
        <v>434.15</v>
      </c>
    </row>
    <row r="295" spans="1:6" x14ac:dyDescent="0.35">
      <c r="A295" s="10" t="s">
        <v>818</v>
      </c>
      <c r="B295" s="10">
        <v>90204</v>
      </c>
      <c r="C295" s="10">
        <v>11174</v>
      </c>
      <c r="D295" s="10">
        <v>4150.71</v>
      </c>
      <c r="E295" s="10">
        <v>0</v>
      </c>
      <c r="F295" s="10">
        <v>434.15</v>
      </c>
    </row>
    <row r="296" spans="1:6" x14ac:dyDescent="0.35">
      <c r="A296" s="10" t="s">
        <v>466</v>
      </c>
      <c r="B296" s="10">
        <v>94552</v>
      </c>
      <c r="C296" s="10">
        <v>18817</v>
      </c>
      <c r="D296" s="10">
        <v>232.86</v>
      </c>
      <c r="E296" s="10">
        <v>0</v>
      </c>
      <c r="F296" s="10">
        <v>434.15</v>
      </c>
    </row>
    <row r="297" spans="1:6" x14ac:dyDescent="0.35">
      <c r="A297" s="10" t="s">
        <v>85</v>
      </c>
      <c r="B297" s="10">
        <v>59676</v>
      </c>
      <c r="C297" s="10">
        <v>11619</v>
      </c>
      <c r="D297" s="10">
        <v>11274.29</v>
      </c>
      <c r="E297" s="10">
        <v>449.14</v>
      </c>
      <c r="F297" s="10">
        <v>1298.1400000000001</v>
      </c>
    </row>
    <row r="298" spans="1:6" x14ac:dyDescent="0.35">
      <c r="A298" s="10" t="s">
        <v>398</v>
      </c>
      <c r="B298" s="10">
        <v>84669</v>
      </c>
      <c r="C298" s="10" t="s">
        <v>289</v>
      </c>
      <c r="D298" s="10">
        <v>857.55</v>
      </c>
      <c r="E298" s="10">
        <v>0</v>
      </c>
      <c r="F298" s="10">
        <v>2543.85</v>
      </c>
    </row>
    <row r="299" spans="1:6" x14ac:dyDescent="0.35">
      <c r="A299" s="10" t="s">
        <v>953</v>
      </c>
      <c r="B299" s="10">
        <v>96883</v>
      </c>
      <c r="C299" s="10">
        <v>17114</v>
      </c>
      <c r="D299" s="10">
        <v>917.21</v>
      </c>
      <c r="E299" s="10">
        <v>0</v>
      </c>
      <c r="F299" s="10">
        <v>254.15</v>
      </c>
    </row>
    <row r="300" spans="1:6" x14ac:dyDescent="0.35">
      <c r="A300" s="10" t="s">
        <v>568</v>
      </c>
      <c r="B300" s="10">
        <v>96887</v>
      </c>
      <c r="C300" s="10">
        <v>5906</v>
      </c>
      <c r="D300" s="10">
        <v>3078.02</v>
      </c>
      <c r="E300" s="10">
        <v>0</v>
      </c>
      <c r="F300" s="10">
        <v>645.79999999999995</v>
      </c>
    </row>
    <row r="301" spans="1:6" x14ac:dyDescent="0.35">
      <c r="A301" s="10" t="s">
        <v>873</v>
      </c>
      <c r="B301" s="10">
        <v>96884</v>
      </c>
      <c r="C301" s="10">
        <v>17138</v>
      </c>
      <c r="D301" s="10">
        <v>5959.22</v>
      </c>
      <c r="E301" s="10">
        <v>135.19</v>
      </c>
      <c r="F301" s="10">
        <v>389.34</v>
      </c>
    </row>
    <row r="302" spans="1:6" x14ac:dyDescent="0.35">
      <c r="A302" s="10" t="s">
        <v>787</v>
      </c>
      <c r="B302" s="10">
        <v>91496</v>
      </c>
      <c r="C302" s="10">
        <v>17409</v>
      </c>
      <c r="D302" s="10">
        <v>2822.58</v>
      </c>
      <c r="E302" s="10">
        <v>0</v>
      </c>
      <c r="F302" s="10">
        <v>424.15</v>
      </c>
    </row>
    <row r="303" spans="1:6" x14ac:dyDescent="0.35">
      <c r="A303" s="10" t="s">
        <v>399</v>
      </c>
      <c r="B303" s="10">
        <v>91411</v>
      </c>
      <c r="C303" s="10">
        <v>7993</v>
      </c>
      <c r="D303" s="10">
        <v>14.33</v>
      </c>
      <c r="E303" s="10">
        <v>0</v>
      </c>
      <c r="F303" s="10">
        <v>254.15</v>
      </c>
    </row>
    <row r="304" spans="1:6" x14ac:dyDescent="0.35">
      <c r="A304" s="10" t="s">
        <v>738</v>
      </c>
      <c r="B304" s="10">
        <v>147445</v>
      </c>
      <c r="C304" s="10">
        <v>10429</v>
      </c>
      <c r="D304" s="10">
        <v>6183.13</v>
      </c>
      <c r="E304" s="10">
        <v>0</v>
      </c>
      <c r="F304" s="10">
        <v>2543.85</v>
      </c>
    </row>
    <row r="305" spans="1:6" x14ac:dyDescent="0.35">
      <c r="A305" s="10" t="s">
        <v>807</v>
      </c>
      <c r="B305" s="10">
        <v>97592</v>
      </c>
      <c r="C305" s="10">
        <v>18847</v>
      </c>
      <c r="D305" s="10">
        <v>3453.03</v>
      </c>
      <c r="E305" s="10">
        <v>0</v>
      </c>
      <c r="F305" s="10">
        <v>264.14999999999998</v>
      </c>
    </row>
    <row r="306" spans="1:6" x14ac:dyDescent="0.35">
      <c r="A306" s="10" t="s">
        <v>795</v>
      </c>
      <c r="B306" s="10">
        <v>117610</v>
      </c>
      <c r="C306" s="10">
        <v>19948</v>
      </c>
      <c r="D306" s="10">
        <v>3759.46</v>
      </c>
      <c r="E306" s="10">
        <v>17.899999999999999</v>
      </c>
      <c r="F306" s="10">
        <v>282.05</v>
      </c>
    </row>
    <row r="307" spans="1:6" x14ac:dyDescent="0.35">
      <c r="A307" s="10" t="s">
        <v>798</v>
      </c>
      <c r="B307" s="10">
        <v>97583</v>
      </c>
      <c r="C307" s="10">
        <v>18845</v>
      </c>
      <c r="D307" s="10">
        <v>5953.88</v>
      </c>
      <c r="E307" s="10">
        <v>134.82</v>
      </c>
      <c r="F307" s="10">
        <v>398.97</v>
      </c>
    </row>
    <row r="308" spans="1:6" x14ac:dyDescent="0.35">
      <c r="A308" s="10" t="s">
        <v>809</v>
      </c>
      <c r="B308" s="10">
        <v>97580</v>
      </c>
      <c r="C308" s="10">
        <v>18855</v>
      </c>
      <c r="D308" s="10">
        <v>3100.06</v>
      </c>
      <c r="E308" s="10">
        <v>0</v>
      </c>
      <c r="F308" s="10">
        <v>264.14999999999998</v>
      </c>
    </row>
    <row r="309" spans="1:6" x14ac:dyDescent="0.35">
      <c r="A309" s="10" t="s">
        <v>800</v>
      </c>
      <c r="B309" s="10">
        <v>97582</v>
      </c>
      <c r="C309" s="10">
        <v>18860</v>
      </c>
      <c r="D309" s="10">
        <v>4674.26</v>
      </c>
      <c r="E309" s="10">
        <v>46.52</v>
      </c>
      <c r="F309" s="10">
        <v>310.67</v>
      </c>
    </row>
    <row r="310" spans="1:6" x14ac:dyDescent="0.35">
      <c r="A310" s="10" t="s">
        <v>92</v>
      </c>
      <c r="B310" s="10">
        <v>97584</v>
      </c>
      <c r="C310" s="10">
        <v>18849</v>
      </c>
      <c r="D310" s="10">
        <v>8390.85</v>
      </c>
      <c r="E310" s="10">
        <v>61.47</v>
      </c>
      <c r="F310" s="10">
        <v>495.62</v>
      </c>
    </row>
    <row r="311" spans="1:6" x14ac:dyDescent="0.35">
      <c r="A311" s="10" t="s">
        <v>862</v>
      </c>
      <c r="B311" s="10">
        <v>78445</v>
      </c>
      <c r="C311" s="10">
        <v>10064</v>
      </c>
      <c r="D311" s="10">
        <v>8485.2900000000009</v>
      </c>
      <c r="E311" s="10">
        <v>0</v>
      </c>
      <c r="F311" s="10">
        <v>2005.8000000000002</v>
      </c>
    </row>
    <row r="312" spans="1:6" x14ac:dyDescent="0.35">
      <c r="A312" s="10" t="s">
        <v>327</v>
      </c>
      <c r="B312" s="10">
        <v>79668</v>
      </c>
      <c r="C312" s="10">
        <v>17662</v>
      </c>
      <c r="D312" s="10">
        <v>2844.43</v>
      </c>
      <c r="E312" s="10">
        <v>0</v>
      </c>
      <c r="F312" s="10">
        <v>254.15</v>
      </c>
    </row>
    <row r="313" spans="1:6" x14ac:dyDescent="0.35">
      <c r="A313" s="10" t="s">
        <v>758</v>
      </c>
      <c r="B313" s="10">
        <v>85476</v>
      </c>
      <c r="C313" s="10">
        <v>18017</v>
      </c>
      <c r="D313" s="10">
        <v>14934.04</v>
      </c>
      <c r="E313" s="10">
        <v>478.45</v>
      </c>
      <c r="F313" s="10">
        <v>912.6</v>
      </c>
    </row>
    <row r="314" spans="1:6" x14ac:dyDescent="0.35">
      <c r="A314" s="10" t="s">
        <v>355</v>
      </c>
      <c r="B314" s="10">
        <v>186595</v>
      </c>
      <c r="C314" s="10">
        <v>5407</v>
      </c>
      <c r="D314" s="10">
        <v>0</v>
      </c>
      <c r="E314" s="10">
        <v>0</v>
      </c>
      <c r="F314" s="10">
        <v>0</v>
      </c>
    </row>
    <row r="315" spans="1:6" x14ac:dyDescent="0.35">
      <c r="A315" s="10" t="s">
        <v>606</v>
      </c>
      <c r="B315" s="10">
        <v>117481</v>
      </c>
      <c r="C315" s="10">
        <v>19614</v>
      </c>
      <c r="D315" s="10">
        <v>9646.32</v>
      </c>
      <c r="E315" s="10">
        <v>0</v>
      </c>
      <c r="F315" s="10">
        <v>1284.1500000000001</v>
      </c>
    </row>
    <row r="316" spans="1:6" x14ac:dyDescent="0.35">
      <c r="A316" s="10" t="s">
        <v>400</v>
      </c>
      <c r="B316" s="10">
        <v>91848</v>
      </c>
      <c r="C316" s="10">
        <v>18468</v>
      </c>
      <c r="D316" s="10">
        <v>101.27</v>
      </c>
      <c r="E316" s="10">
        <v>0</v>
      </c>
      <c r="F316" s="10">
        <v>424.15</v>
      </c>
    </row>
    <row r="317" spans="1:6" x14ac:dyDescent="0.35">
      <c r="A317" s="10" t="s">
        <v>401</v>
      </c>
      <c r="B317" s="10">
        <v>91849</v>
      </c>
      <c r="C317" s="10">
        <v>18469</v>
      </c>
      <c r="D317" s="10">
        <v>12.96</v>
      </c>
      <c r="E317" s="10">
        <v>0</v>
      </c>
      <c r="F317" s="10">
        <v>424.15</v>
      </c>
    </row>
    <row r="318" spans="1:6" x14ac:dyDescent="0.35">
      <c r="A318" s="10" t="s">
        <v>681</v>
      </c>
      <c r="B318" s="10">
        <v>160092</v>
      </c>
      <c r="C318" s="10">
        <v>29628</v>
      </c>
      <c r="D318" s="10">
        <v>97.64</v>
      </c>
      <c r="E318" s="10">
        <v>0</v>
      </c>
      <c r="F318" s="10">
        <v>264.14999999999998</v>
      </c>
    </row>
    <row r="319" spans="1:6" x14ac:dyDescent="0.35">
      <c r="A319" s="10" t="s">
        <v>683</v>
      </c>
      <c r="B319" s="10">
        <v>160095</v>
      </c>
      <c r="C319" s="10">
        <v>29629</v>
      </c>
      <c r="D319" s="10">
        <v>25.31</v>
      </c>
      <c r="E319" s="10">
        <v>0</v>
      </c>
      <c r="F319" s="10">
        <v>264.14999999999998</v>
      </c>
    </row>
    <row r="320" spans="1:6" x14ac:dyDescent="0.35">
      <c r="A320" s="10" t="s">
        <v>491</v>
      </c>
      <c r="B320" s="10">
        <v>153501</v>
      </c>
      <c r="C320" s="10">
        <v>27305</v>
      </c>
      <c r="D320" s="10">
        <v>10651.94</v>
      </c>
      <c r="E320" s="10">
        <v>493.48</v>
      </c>
      <c r="F320" s="10">
        <v>757.63</v>
      </c>
    </row>
    <row r="321" spans="1:6" x14ac:dyDescent="0.35">
      <c r="A321" s="10" t="s">
        <v>830</v>
      </c>
      <c r="B321" s="10">
        <v>91436</v>
      </c>
      <c r="C321" s="10">
        <v>18454</v>
      </c>
      <c r="D321" s="10">
        <v>8641.2199999999993</v>
      </c>
      <c r="E321" s="10">
        <v>44.24</v>
      </c>
      <c r="F321" s="10">
        <v>478.39</v>
      </c>
    </row>
    <row r="322" spans="1:6" x14ac:dyDescent="0.35">
      <c r="A322" s="10" t="s">
        <v>839</v>
      </c>
      <c r="B322" s="10">
        <v>188774</v>
      </c>
      <c r="C322" s="10">
        <v>32051</v>
      </c>
      <c r="D322" s="10">
        <v>493.73</v>
      </c>
      <c r="E322" s="10">
        <v>0</v>
      </c>
      <c r="F322" s="10">
        <v>1029</v>
      </c>
    </row>
    <row r="323" spans="1:6" x14ac:dyDescent="0.35">
      <c r="A323" s="10" t="s">
        <v>445</v>
      </c>
      <c r="B323" s="10">
        <v>186132</v>
      </c>
      <c r="C323" s="10">
        <v>76232941</v>
      </c>
      <c r="D323" s="10">
        <v>1889.87</v>
      </c>
      <c r="E323" s="10">
        <v>0</v>
      </c>
      <c r="F323" s="10">
        <v>1284.1500000000001</v>
      </c>
    </row>
    <row r="324" spans="1:6" x14ac:dyDescent="0.35">
      <c r="A324" s="10" t="s">
        <v>447</v>
      </c>
      <c r="B324" s="10">
        <v>186133</v>
      </c>
      <c r="C324" s="10">
        <v>76243311</v>
      </c>
      <c r="D324" s="10">
        <v>6293.54</v>
      </c>
      <c r="E324" s="10">
        <v>0</v>
      </c>
      <c r="F324" s="10">
        <v>1284.1500000000001</v>
      </c>
    </row>
    <row r="325" spans="1:6" x14ac:dyDescent="0.35">
      <c r="A325" s="10" t="s">
        <v>449</v>
      </c>
      <c r="B325" s="10">
        <v>186134</v>
      </c>
      <c r="C325" s="10">
        <v>76228449</v>
      </c>
      <c r="D325" s="10">
        <v>499.87</v>
      </c>
      <c r="E325" s="10">
        <v>0</v>
      </c>
      <c r="F325" s="10">
        <v>1284.1500000000001</v>
      </c>
    </row>
    <row r="326" spans="1:6" x14ac:dyDescent="0.35">
      <c r="A326" s="10" t="s">
        <v>1266</v>
      </c>
      <c r="B326" s="10">
        <v>188726</v>
      </c>
      <c r="C326" s="10">
        <v>32050</v>
      </c>
      <c r="D326" s="10">
        <v>2635.59</v>
      </c>
      <c r="E326" s="10">
        <v>0</v>
      </c>
      <c r="F326" s="10">
        <v>1029</v>
      </c>
    </row>
    <row r="327" spans="1:6" x14ac:dyDescent="0.35">
      <c r="A327" s="10" t="s">
        <v>451</v>
      </c>
      <c r="B327" s="10">
        <v>186130</v>
      </c>
      <c r="C327" s="10">
        <v>76230046</v>
      </c>
      <c r="D327" s="10">
        <v>1137.6500000000001</v>
      </c>
      <c r="E327" s="10">
        <v>0</v>
      </c>
      <c r="F327" s="10">
        <v>1284.1500000000001</v>
      </c>
    </row>
    <row r="328" spans="1:6" x14ac:dyDescent="0.35">
      <c r="A328" s="10" t="s">
        <v>262</v>
      </c>
      <c r="B328" s="10">
        <v>138485</v>
      </c>
      <c r="C328" s="10">
        <v>22454</v>
      </c>
      <c r="D328" s="10">
        <v>18267.36</v>
      </c>
      <c r="E328" s="10">
        <v>0</v>
      </c>
      <c r="F328" s="10">
        <v>1581.65</v>
      </c>
    </row>
    <row r="329" spans="1:6" x14ac:dyDescent="0.35">
      <c r="A329" s="10" t="s">
        <v>264</v>
      </c>
      <c r="B329" s="10">
        <v>153774</v>
      </c>
      <c r="C329" s="10">
        <v>27795</v>
      </c>
      <c r="D329" s="10">
        <v>17073.86</v>
      </c>
      <c r="E329" s="10">
        <v>0</v>
      </c>
      <c r="F329" s="10">
        <v>1581.65</v>
      </c>
    </row>
    <row r="330" spans="1:6" x14ac:dyDescent="0.35">
      <c r="A330" s="10" t="s">
        <v>266</v>
      </c>
      <c r="B330" s="10">
        <v>76163</v>
      </c>
      <c r="C330" s="10">
        <v>6660</v>
      </c>
      <c r="D330" s="10">
        <v>14663.07</v>
      </c>
      <c r="E330" s="10">
        <v>0</v>
      </c>
      <c r="F330" s="10">
        <v>1581.65</v>
      </c>
    </row>
    <row r="331" spans="1:6" x14ac:dyDescent="0.35">
      <c r="A331" s="10" t="s">
        <v>268</v>
      </c>
      <c r="B331" s="10">
        <v>118740</v>
      </c>
      <c r="C331" s="10">
        <v>19659</v>
      </c>
      <c r="D331" s="10">
        <v>19836.939999999999</v>
      </c>
      <c r="E331" s="10">
        <v>0</v>
      </c>
      <c r="F331" s="10">
        <v>1581.65</v>
      </c>
    </row>
    <row r="332" spans="1:6" x14ac:dyDescent="0.35">
      <c r="A332" s="10" t="s">
        <v>253</v>
      </c>
      <c r="B332" s="10">
        <v>156700</v>
      </c>
      <c r="C332" s="10">
        <v>28612</v>
      </c>
      <c r="D332" s="10">
        <v>29704.12</v>
      </c>
      <c r="E332" s="10">
        <v>0</v>
      </c>
      <c r="F332" s="10">
        <v>1601.65</v>
      </c>
    </row>
    <row r="333" spans="1:6" x14ac:dyDescent="0.35">
      <c r="A333" s="10" t="s">
        <v>270</v>
      </c>
      <c r="B333" s="10">
        <v>72226</v>
      </c>
      <c r="C333" s="10">
        <v>6605</v>
      </c>
      <c r="D333" s="10">
        <v>10838.75</v>
      </c>
      <c r="E333" s="10">
        <v>0</v>
      </c>
      <c r="F333" s="10">
        <v>1581.65</v>
      </c>
    </row>
    <row r="334" spans="1:6" x14ac:dyDescent="0.35">
      <c r="A334" s="10" t="s">
        <v>311</v>
      </c>
      <c r="B334" s="10">
        <v>94337</v>
      </c>
      <c r="C334" s="10">
        <v>11739</v>
      </c>
      <c r="D334" s="10">
        <v>27424.03</v>
      </c>
      <c r="E334" s="10">
        <v>0</v>
      </c>
      <c r="F334" s="10">
        <v>1581.65</v>
      </c>
    </row>
    <row r="335" spans="1:6" x14ac:dyDescent="0.35">
      <c r="A335" s="10" t="s">
        <v>272</v>
      </c>
      <c r="B335" s="10">
        <v>99533</v>
      </c>
      <c r="C335" s="10">
        <v>19252</v>
      </c>
      <c r="D335" s="10">
        <v>8504.56</v>
      </c>
      <c r="E335" s="10">
        <v>0</v>
      </c>
      <c r="F335" s="10">
        <v>1581.65</v>
      </c>
    </row>
    <row r="336" spans="1:6" x14ac:dyDescent="0.35">
      <c r="A336" s="10" t="s">
        <v>192</v>
      </c>
      <c r="B336" s="10">
        <v>138624</v>
      </c>
      <c r="C336" s="10">
        <v>18505</v>
      </c>
      <c r="D336" s="10">
        <v>12758.72</v>
      </c>
      <c r="E336" s="10">
        <v>0</v>
      </c>
      <c r="F336" s="10">
        <v>2005.65</v>
      </c>
    </row>
    <row r="337" spans="1:6" x14ac:dyDescent="0.35">
      <c r="A337" s="10" t="s">
        <v>274</v>
      </c>
      <c r="B337" s="10">
        <v>146893</v>
      </c>
      <c r="C337" s="10">
        <v>17936</v>
      </c>
      <c r="D337" s="10">
        <v>17120.669999999998</v>
      </c>
      <c r="E337" s="10">
        <v>0</v>
      </c>
      <c r="F337" s="10">
        <v>1581.65</v>
      </c>
    </row>
    <row r="338" spans="1:6" x14ac:dyDescent="0.35">
      <c r="A338" s="10" t="s">
        <v>457</v>
      </c>
      <c r="B338" s="10">
        <v>91364</v>
      </c>
      <c r="C338" s="10" t="s">
        <v>458</v>
      </c>
      <c r="D338" s="10">
        <v>15560.38</v>
      </c>
      <c r="E338" s="10">
        <v>0</v>
      </c>
      <c r="F338" s="10">
        <v>1581.65</v>
      </c>
    </row>
    <row r="339" spans="1:6" x14ac:dyDescent="0.35">
      <c r="A339" s="10" t="s">
        <v>301</v>
      </c>
      <c r="B339" s="10">
        <v>143252</v>
      </c>
      <c r="C339" s="10">
        <v>17362</v>
      </c>
      <c r="D339" s="10">
        <v>17349.189999999999</v>
      </c>
      <c r="E339" s="10">
        <v>0</v>
      </c>
      <c r="F339" s="10">
        <v>1581.65</v>
      </c>
    </row>
    <row r="340" spans="1:6" x14ac:dyDescent="0.35">
      <c r="A340" s="10" t="s">
        <v>276</v>
      </c>
      <c r="B340" s="10">
        <v>72659</v>
      </c>
      <c r="C340" s="10">
        <v>16266</v>
      </c>
      <c r="D340" s="10">
        <v>10870.28</v>
      </c>
      <c r="E340" s="10">
        <v>0</v>
      </c>
      <c r="F340" s="10">
        <v>1581.65</v>
      </c>
    </row>
    <row r="341" spans="1:6" x14ac:dyDescent="0.35">
      <c r="A341" s="10" t="s">
        <v>278</v>
      </c>
      <c r="B341" s="10">
        <v>155386</v>
      </c>
      <c r="C341" s="10">
        <v>17456</v>
      </c>
      <c r="D341" s="10">
        <v>10322.959999999999</v>
      </c>
      <c r="E341" s="10">
        <v>0</v>
      </c>
      <c r="F341" s="10">
        <v>1581.65</v>
      </c>
    </row>
    <row r="342" spans="1:6" x14ac:dyDescent="0.35">
      <c r="A342" s="10" t="s">
        <v>314</v>
      </c>
      <c r="B342" s="10">
        <v>98156</v>
      </c>
      <c r="C342" s="10">
        <v>5641</v>
      </c>
      <c r="D342" s="10">
        <v>18371.22</v>
      </c>
      <c r="E342" s="10">
        <v>0</v>
      </c>
      <c r="F342" s="10">
        <v>1581.65</v>
      </c>
    </row>
    <row r="343" spans="1:6" x14ac:dyDescent="0.35">
      <c r="A343" s="10" t="s">
        <v>316</v>
      </c>
      <c r="B343" s="10">
        <v>84176</v>
      </c>
      <c r="C343" s="10">
        <v>9141</v>
      </c>
      <c r="D343" s="10">
        <v>26264.33</v>
      </c>
      <c r="E343" s="10">
        <v>0</v>
      </c>
      <c r="F343" s="10">
        <v>1581.65</v>
      </c>
    </row>
    <row r="344" spans="1:6" x14ac:dyDescent="0.35">
      <c r="A344" s="10" t="s">
        <v>280</v>
      </c>
      <c r="B344" s="10">
        <v>92413</v>
      </c>
      <c r="C344" s="10">
        <v>9591</v>
      </c>
      <c r="D344" s="10">
        <v>14694.23</v>
      </c>
      <c r="E344" s="10">
        <v>0</v>
      </c>
      <c r="F344" s="10">
        <v>1581.65</v>
      </c>
    </row>
    <row r="345" spans="1:6" x14ac:dyDescent="0.35">
      <c r="A345" s="10" t="s">
        <v>1268</v>
      </c>
      <c r="B345" s="10">
        <v>155859</v>
      </c>
      <c r="C345" s="10">
        <v>27874</v>
      </c>
      <c r="D345" s="10">
        <v>10395.36</v>
      </c>
      <c r="E345" s="10">
        <v>0</v>
      </c>
      <c r="F345" s="10">
        <v>1601.65</v>
      </c>
    </row>
    <row r="346" spans="1:6" x14ac:dyDescent="0.35">
      <c r="A346" s="10" t="s">
        <v>1269</v>
      </c>
      <c r="B346" s="10">
        <v>155855</v>
      </c>
      <c r="C346" s="10">
        <v>27872</v>
      </c>
      <c r="D346" s="10">
        <v>9723.67</v>
      </c>
      <c r="E346" s="10">
        <v>0</v>
      </c>
      <c r="F346" s="10">
        <v>1601.65</v>
      </c>
    </row>
    <row r="347" spans="1:6" x14ac:dyDescent="0.35">
      <c r="A347" s="10" t="s">
        <v>1270</v>
      </c>
      <c r="B347" s="10">
        <v>155857</v>
      </c>
      <c r="C347" s="10">
        <v>27873</v>
      </c>
      <c r="D347" s="10">
        <v>8614.89</v>
      </c>
      <c r="E347" s="10">
        <v>0</v>
      </c>
      <c r="F347" s="10">
        <v>1601.65</v>
      </c>
    </row>
    <row r="348" spans="1:6" x14ac:dyDescent="0.35">
      <c r="A348" s="10" t="s">
        <v>282</v>
      </c>
      <c r="B348" s="10">
        <v>144005</v>
      </c>
      <c r="C348" s="10">
        <v>24621</v>
      </c>
      <c r="D348" s="10">
        <v>15677.9</v>
      </c>
      <c r="E348" s="10">
        <v>0</v>
      </c>
      <c r="F348" s="10">
        <v>1581.65</v>
      </c>
    </row>
    <row r="349" spans="1:6" x14ac:dyDescent="0.35">
      <c r="A349" s="10" t="s">
        <v>284</v>
      </c>
      <c r="B349" s="10">
        <v>154997</v>
      </c>
      <c r="C349" s="10">
        <v>28220</v>
      </c>
      <c r="D349" s="10">
        <v>8108.46</v>
      </c>
      <c r="E349" s="10">
        <v>0</v>
      </c>
      <c r="F349" s="10">
        <v>1581.65</v>
      </c>
    </row>
    <row r="350" spans="1:6" x14ac:dyDescent="0.35">
      <c r="A350" s="10" t="s">
        <v>286</v>
      </c>
      <c r="B350" s="10">
        <v>146894</v>
      </c>
      <c r="C350" s="10">
        <v>25647</v>
      </c>
      <c r="D350" s="10">
        <v>9778.3700000000008</v>
      </c>
      <c r="E350" s="10">
        <v>0</v>
      </c>
      <c r="F350" s="10">
        <v>1581.65</v>
      </c>
    </row>
    <row r="351" spans="1:6" x14ac:dyDescent="0.35">
      <c r="A351" s="10" t="s">
        <v>608</v>
      </c>
      <c r="B351" s="10">
        <v>135209</v>
      </c>
      <c r="C351" s="10">
        <v>16847</v>
      </c>
      <c r="D351" s="10">
        <v>13678.95</v>
      </c>
      <c r="E351" s="10">
        <v>92.08</v>
      </c>
      <c r="F351" s="10">
        <v>1376.23</v>
      </c>
    </row>
    <row r="352" spans="1:6" x14ac:dyDescent="0.35">
      <c r="A352" s="10" t="s">
        <v>685</v>
      </c>
      <c r="B352" s="10">
        <v>160126</v>
      </c>
      <c r="C352" s="10">
        <v>29626</v>
      </c>
      <c r="D352" s="10">
        <v>435.58</v>
      </c>
      <c r="E352" s="10">
        <v>0</v>
      </c>
      <c r="F352" s="10">
        <v>264.14999999999998</v>
      </c>
    </row>
    <row r="353" spans="1:6" x14ac:dyDescent="0.35">
      <c r="A353" s="10" t="s">
        <v>186</v>
      </c>
      <c r="B353" s="10">
        <v>145647</v>
      </c>
      <c r="C353" s="10">
        <v>24702</v>
      </c>
      <c r="D353" s="10">
        <v>624.96</v>
      </c>
      <c r="E353" s="10">
        <v>0</v>
      </c>
      <c r="F353" s="10">
        <v>434.15</v>
      </c>
    </row>
    <row r="354" spans="1:6" x14ac:dyDescent="0.35">
      <c r="A354" s="10" t="s">
        <v>843</v>
      </c>
      <c r="B354" s="10">
        <v>141208</v>
      </c>
      <c r="C354" s="10">
        <v>23551</v>
      </c>
      <c r="D354" s="10">
        <v>3181.17</v>
      </c>
      <c r="E354" s="10">
        <v>0</v>
      </c>
      <c r="F354" s="10">
        <v>434.15</v>
      </c>
    </row>
    <row r="355" spans="1:6" x14ac:dyDescent="0.35">
      <c r="A355" s="10" t="s">
        <v>639</v>
      </c>
      <c r="B355" s="10">
        <v>142302</v>
      </c>
      <c r="C355" s="10">
        <v>11013</v>
      </c>
      <c r="D355" s="10">
        <v>8.99</v>
      </c>
      <c r="E355" s="10">
        <v>0</v>
      </c>
      <c r="F355" s="10">
        <v>254.15</v>
      </c>
    </row>
    <row r="356" spans="1:6" x14ac:dyDescent="0.35">
      <c r="A356" s="10" t="s">
        <v>90</v>
      </c>
      <c r="B356" s="10">
        <v>145682</v>
      </c>
      <c r="C356" s="10">
        <v>25433</v>
      </c>
      <c r="D356" s="10">
        <v>0</v>
      </c>
      <c r="E356" s="10">
        <v>0</v>
      </c>
      <c r="F356" s="10">
        <v>254.15</v>
      </c>
    </row>
    <row r="357" spans="1:6" x14ac:dyDescent="0.35">
      <c r="A357" s="10" t="s">
        <v>356</v>
      </c>
      <c r="B357" s="10">
        <v>188879</v>
      </c>
      <c r="C357" s="10">
        <v>32160</v>
      </c>
      <c r="D357" s="10">
        <v>11.34</v>
      </c>
      <c r="E357" s="10">
        <v>0</v>
      </c>
      <c r="F357" s="10">
        <v>0</v>
      </c>
    </row>
    <row r="358" spans="1:6" x14ac:dyDescent="0.35">
      <c r="A358" s="10" t="s">
        <v>871</v>
      </c>
      <c r="B358" s="10">
        <v>76664</v>
      </c>
      <c r="C358" s="10">
        <v>17313</v>
      </c>
      <c r="D358" s="10">
        <v>10.98</v>
      </c>
      <c r="E358" s="10">
        <v>0</v>
      </c>
      <c r="F358" s="10">
        <v>254.15</v>
      </c>
    </row>
    <row r="359" spans="1:6" x14ac:dyDescent="0.35">
      <c r="A359" s="10" t="s">
        <v>735</v>
      </c>
      <c r="B359" s="10">
        <v>91135</v>
      </c>
      <c r="C359" s="10">
        <v>17928</v>
      </c>
      <c r="D359" s="10">
        <v>10599.24</v>
      </c>
      <c r="E359" s="10">
        <v>0</v>
      </c>
      <c r="F359" s="10">
        <v>1581.65</v>
      </c>
    </row>
    <row r="360" spans="1:6" x14ac:dyDescent="0.35">
      <c r="A360" s="10" t="s">
        <v>402</v>
      </c>
      <c r="B360" s="10">
        <v>117422</v>
      </c>
      <c r="C360" s="10">
        <v>10519</v>
      </c>
      <c r="D360" s="10">
        <v>576.41</v>
      </c>
      <c r="E360" s="10">
        <v>0</v>
      </c>
      <c r="F360" s="10">
        <v>264.14999999999998</v>
      </c>
    </row>
    <row r="361" spans="1:6" x14ac:dyDescent="0.35">
      <c r="A361" s="10" t="s">
        <v>705</v>
      </c>
      <c r="B361" s="10">
        <v>144079</v>
      </c>
      <c r="C361" s="10">
        <v>2006</v>
      </c>
      <c r="D361" s="10">
        <v>2710.31</v>
      </c>
      <c r="E361" s="10">
        <v>0</v>
      </c>
      <c r="F361" s="10">
        <v>264.14999999999998</v>
      </c>
    </row>
    <row r="362" spans="1:6" x14ac:dyDescent="0.35">
      <c r="A362" s="10" t="s">
        <v>643</v>
      </c>
      <c r="B362" s="10">
        <v>61931</v>
      </c>
      <c r="C362" s="10">
        <v>16192</v>
      </c>
      <c r="D362" s="10">
        <v>2437.1999999999998</v>
      </c>
      <c r="E362" s="10">
        <v>0</v>
      </c>
      <c r="F362" s="10">
        <v>424.15</v>
      </c>
    </row>
    <row r="363" spans="1:6" x14ac:dyDescent="0.35">
      <c r="A363" s="10" t="s">
        <v>331</v>
      </c>
      <c r="B363" s="10">
        <v>188815</v>
      </c>
      <c r="C363" s="10">
        <v>8336</v>
      </c>
      <c r="D363" s="10">
        <v>1417.33</v>
      </c>
      <c r="E363" s="10">
        <v>0</v>
      </c>
      <c r="F363" s="10">
        <v>429</v>
      </c>
    </row>
    <row r="364" spans="1:6" x14ac:dyDescent="0.35">
      <c r="A364" s="10" t="s">
        <v>847</v>
      </c>
      <c r="B364" s="10">
        <v>56252</v>
      </c>
      <c r="C364" s="10">
        <v>15775</v>
      </c>
      <c r="D364" s="10">
        <v>67953.679999999993</v>
      </c>
      <c r="E364" s="10">
        <v>0</v>
      </c>
      <c r="F364" s="10">
        <v>3437</v>
      </c>
    </row>
    <row r="365" spans="1:6" x14ac:dyDescent="0.35">
      <c r="A365" s="10" t="s">
        <v>821</v>
      </c>
      <c r="B365" s="10">
        <v>187881</v>
      </c>
      <c r="C365" s="10">
        <v>71043923</v>
      </c>
      <c r="D365" s="10">
        <v>8826.08</v>
      </c>
      <c r="E365" s="10">
        <v>157.80000000000001</v>
      </c>
      <c r="F365" s="10">
        <v>1285.8</v>
      </c>
    </row>
    <row r="366" spans="1:6" x14ac:dyDescent="0.35">
      <c r="A366" s="10" t="s">
        <v>825</v>
      </c>
      <c r="B366" s="10">
        <v>187880</v>
      </c>
      <c r="C366" s="10">
        <v>71043924</v>
      </c>
      <c r="D366" s="10">
        <v>5332.44</v>
      </c>
      <c r="E366" s="10">
        <v>0</v>
      </c>
      <c r="F366" s="10">
        <v>1128</v>
      </c>
    </row>
    <row r="367" spans="1:6" x14ac:dyDescent="0.35">
      <c r="A367" s="10" t="s">
        <v>546</v>
      </c>
      <c r="B367" s="10">
        <v>159261</v>
      </c>
      <c r="C367" s="10">
        <v>29484</v>
      </c>
      <c r="D367" s="10">
        <v>29.37</v>
      </c>
      <c r="E367" s="10">
        <v>0</v>
      </c>
      <c r="F367" s="10">
        <v>434.15</v>
      </c>
    </row>
    <row r="368" spans="1:6" x14ac:dyDescent="0.35">
      <c r="A368" s="10" t="s">
        <v>770</v>
      </c>
      <c r="B368" s="10">
        <v>76538</v>
      </c>
      <c r="C368" s="10">
        <v>10382</v>
      </c>
      <c r="D368" s="10">
        <v>371.97</v>
      </c>
      <c r="E368" s="10">
        <v>0</v>
      </c>
      <c r="F368" s="10">
        <v>254.15</v>
      </c>
    </row>
    <row r="369" spans="1:6" x14ac:dyDescent="0.35">
      <c r="A369" s="10" t="s">
        <v>654</v>
      </c>
      <c r="B369" s="10">
        <v>56401</v>
      </c>
      <c r="C369" s="10">
        <v>15949</v>
      </c>
      <c r="D369" s="10">
        <v>223.34</v>
      </c>
      <c r="E369" s="10">
        <v>0</v>
      </c>
      <c r="F369" s="10">
        <v>1019</v>
      </c>
    </row>
    <row r="370" spans="1:6" x14ac:dyDescent="0.35">
      <c r="A370" s="10" t="s">
        <v>105</v>
      </c>
      <c r="B370" s="10">
        <v>141131</v>
      </c>
      <c r="C370" s="10">
        <v>15952</v>
      </c>
      <c r="D370" s="10">
        <v>1584.05</v>
      </c>
      <c r="E370" s="10">
        <v>0</v>
      </c>
      <c r="F370" s="10">
        <v>434.15</v>
      </c>
    </row>
    <row r="371" spans="1:6" x14ac:dyDescent="0.35">
      <c r="A371" s="10" t="s">
        <v>144</v>
      </c>
      <c r="B371" s="10">
        <v>56397</v>
      </c>
      <c r="C371" s="10">
        <v>15949</v>
      </c>
      <c r="D371" s="10">
        <v>9173.52</v>
      </c>
      <c r="E371" s="10">
        <v>80.97</v>
      </c>
      <c r="F371" s="10">
        <v>525.12</v>
      </c>
    </row>
    <row r="372" spans="1:6" x14ac:dyDescent="0.35">
      <c r="A372" s="10" t="s">
        <v>453</v>
      </c>
      <c r="B372" s="10">
        <v>57773</v>
      </c>
      <c r="C372" s="10">
        <v>15949</v>
      </c>
      <c r="D372" s="10">
        <v>623.21</v>
      </c>
      <c r="E372" s="10">
        <v>0</v>
      </c>
      <c r="F372" s="10">
        <v>1029</v>
      </c>
    </row>
    <row r="373" spans="1:6" x14ac:dyDescent="0.35">
      <c r="A373" s="10" t="s">
        <v>148</v>
      </c>
      <c r="B373" s="10">
        <v>56395</v>
      </c>
      <c r="C373" s="10">
        <v>15949</v>
      </c>
      <c r="D373" s="10">
        <v>1040.22</v>
      </c>
      <c r="E373" s="10">
        <v>0</v>
      </c>
      <c r="F373" s="10">
        <v>434.15</v>
      </c>
    </row>
    <row r="374" spans="1:6" x14ac:dyDescent="0.35">
      <c r="A374" s="10" t="s">
        <v>949</v>
      </c>
      <c r="B374" s="10">
        <v>87076</v>
      </c>
      <c r="C374" s="10">
        <v>15958</v>
      </c>
      <c r="D374" s="10">
        <v>924.87</v>
      </c>
      <c r="E374" s="10">
        <v>0</v>
      </c>
      <c r="F374" s="10">
        <v>499</v>
      </c>
    </row>
    <row r="375" spans="1:6" x14ac:dyDescent="0.35">
      <c r="A375" s="10" t="s">
        <v>925</v>
      </c>
      <c r="B375" s="10">
        <v>87081</v>
      </c>
      <c r="C375" s="10">
        <v>15964</v>
      </c>
      <c r="D375" s="10">
        <v>363.02</v>
      </c>
      <c r="E375" s="10">
        <v>0</v>
      </c>
      <c r="F375" s="10">
        <v>254.15</v>
      </c>
    </row>
    <row r="376" spans="1:6" x14ac:dyDescent="0.35">
      <c r="A376" s="10" t="s">
        <v>656</v>
      </c>
      <c r="B376" s="10">
        <v>57772</v>
      </c>
      <c r="C376" s="10">
        <v>15949</v>
      </c>
      <c r="D376" s="10">
        <v>2029.32</v>
      </c>
      <c r="E376" s="10">
        <v>0</v>
      </c>
      <c r="F376" s="10">
        <v>1019</v>
      </c>
    </row>
    <row r="377" spans="1:6" x14ac:dyDescent="0.35">
      <c r="A377" s="10" t="s">
        <v>248</v>
      </c>
      <c r="B377" s="10">
        <v>87080</v>
      </c>
      <c r="C377" s="10">
        <v>15963</v>
      </c>
      <c r="D377" s="10">
        <v>244.35</v>
      </c>
      <c r="E377" s="10">
        <v>0</v>
      </c>
      <c r="F377" s="10">
        <v>254.15</v>
      </c>
    </row>
    <row r="378" spans="1:6" x14ac:dyDescent="0.35">
      <c r="A378" s="10" t="s">
        <v>626</v>
      </c>
      <c r="B378" s="10">
        <v>56404</v>
      </c>
      <c r="C378" s="10">
        <v>15949</v>
      </c>
      <c r="D378" s="10">
        <v>1336.39</v>
      </c>
      <c r="E378" s="10">
        <v>0</v>
      </c>
      <c r="F378" s="10">
        <v>1029</v>
      </c>
    </row>
    <row r="379" spans="1:6" x14ac:dyDescent="0.35">
      <c r="A379" s="10" t="s">
        <v>658</v>
      </c>
      <c r="B379" s="10">
        <v>57771</v>
      </c>
      <c r="C379" s="10">
        <v>15949</v>
      </c>
      <c r="D379" s="10">
        <v>158.02000000000001</v>
      </c>
      <c r="E379" s="10">
        <v>0</v>
      </c>
      <c r="F379" s="10">
        <v>1019</v>
      </c>
    </row>
    <row r="380" spans="1:6" x14ac:dyDescent="0.35">
      <c r="A380" s="10" t="s">
        <v>150</v>
      </c>
      <c r="B380" s="10">
        <v>56403</v>
      </c>
      <c r="C380" s="10">
        <v>15949</v>
      </c>
      <c r="D380" s="10">
        <v>1760.72</v>
      </c>
      <c r="E380" s="10">
        <v>0</v>
      </c>
      <c r="F380" s="10">
        <v>434.15</v>
      </c>
    </row>
    <row r="381" spans="1:6" x14ac:dyDescent="0.35">
      <c r="A381" s="10" t="s">
        <v>251</v>
      </c>
      <c r="B381" s="10">
        <v>87079</v>
      </c>
      <c r="C381" s="10">
        <v>15962</v>
      </c>
      <c r="D381" s="10">
        <v>326.63</v>
      </c>
      <c r="E381" s="10">
        <v>0</v>
      </c>
      <c r="F381" s="10">
        <v>254.15</v>
      </c>
    </row>
    <row r="382" spans="1:6" x14ac:dyDescent="0.35">
      <c r="A382" s="10" t="s">
        <v>455</v>
      </c>
      <c r="B382" s="10">
        <v>56399</v>
      </c>
      <c r="C382" s="10">
        <v>15949</v>
      </c>
      <c r="D382" s="10">
        <v>80.650000000000006</v>
      </c>
      <c r="E382" s="10">
        <v>0</v>
      </c>
      <c r="F382" s="10">
        <v>1019</v>
      </c>
    </row>
    <row r="383" spans="1:6" x14ac:dyDescent="0.35">
      <c r="A383" s="10" t="s">
        <v>165</v>
      </c>
      <c r="B383" s="10">
        <v>84497</v>
      </c>
      <c r="C383" s="10">
        <v>15961</v>
      </c>
      <c r="D383" s="10">
        <v>518.33000000000004</v>
      </c>
      <c r="E383" s="10">
        <v>0</v>
      </c>
      <c r="F383" s="10">
        <v>264.14999999999998</v>
      </c>
    </row>
    <row r="384" spans="1:6" x14ac:dyDescent="0.35">
      <c r="A384" s="10" t="s">
        <v>403</v>
      </c>
      <c r="B384" s="10">
        <v>78609</v>
      </c>
      <c r="C384" s="10">
        <v>15331</v>
      </c>
      <c r="D384" s="10">
        <v>11.63</v>
      </c>
      <c r="E384" s="10">
        <v>0</v>
      </c>
      <c r="F384" s="10">
        <v>254.15</v>
      </c>
    </row>
    <row r="385" spans="1:6" x14ac:dyDescent="0.35">
      <c r="A385" s="10" t="s">
        <v>404</v>
      </c>
      <c r="B385" s="10">
        <v>78604</v>
      </c>
      <c r="C385" s="10">
        <v>15334</v>
      </c>
      <c r="D385" s="10">
        <v>26.67</v>
      </c>
      <c r="E385" s="10">
        <v>0</v>
      </c>
      <c r="F385" s="10">
        <v>254.15</v>
      </c>
    </row>
    <row r="386" spans="1:6" x14ac:dyDescent="0.35">
      <c r="A386" s="10" t="s">
        <v>405</v>
      </c>
      <c r="B386" s="10">
        <v>78606</v>
      </c>
      <c r="C386" s="10">
        <v>15333</v>
      </c>
      <c r="D386" s="10">
        <v>86.68</v>
      </c>
      <c r="E386" s="10">
        <v>0</v>
      </c>
      <c r="F386" s="10">
        <v>254.15</v>
      </c>
    </row>
    <row r="387" spans="1:6" x14ac:dyDescent="0.35">
      <c r="A387" s="10" t="s">
        <v>289</v>
      </c>
      <c r="B387" s="10" t="s">
        <v>289</v>
      </c>
      <c r="C387" s="10" t="s">
        <v>289</v>
      </c>
      <c r="D387" s="10"/>
      <c r="E387" s="10">
        <v>9997.0999999999967</v>
      </c>
      <c r="F387" s="10"/>
    </row>
    <row r="388" spans="1:6" x14ac:dyDescent="0.35">
      <c r="A388" s="10" t="s">
        <v>1202</v>
      </c>
      <c r="B388" s="10"/>
      <c r="C388" s="10"/>
      <c r="D388" s="10">
        <v>2111629.4200000009</v>
      </c>
      <c r="E388" s="10">
        <v>19994.199999999993</v>
      </c>
      <c r="F388" s="10">
        <v>308366.21000000002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116CE-FEAA-4441-9F24-80B72CC24D16}">
  <dimension ref="A1:AB4"/>
  <sheetViews>
    <sheetView workbookViewId="0"/>
  </sheetViews>
  <sheetFormatPr defaultRowHeight="12.5" x14ac:dyDescent="0.25"/>
  <cols>
    <col min="1" max="10" width="11.453125" bestFit="1" customWidth="1"/>
    <col min="11" max="11" width="11" bestFit="1" customWidth="1"/>
    <col min="12" max="17" width="11.453125" bestFit="1" customWidth="1"/>
    <col min="18" max="18" width="9.453125" bestFit="1" customWidth="1"/>
    <col min="19" max="28" width="11.453125" bestFit="1" customWidth="1"/>
  </cols>
  <sheetData>
    <row r="1" spans="1:28" ht="338" x14ac:dyDescent="0.3">
      <c r="A1" s="60" t="s">
        <v>1275</v>
      </c>
    </row>
    <row r="3" spans="1:28" ht="52" x14ac:dyDescent="0.3">
      <c r="A3" s="54" t="s">
        <v>1276</v>
      </c>
      <c r="B3" s="55" t="s">
        <v>1277</v>
      </c>
      <c r="C3" s="55" t="s">
        <v>1278</v>
      </c>
      <c r="D3" s="55" t="s">
        <v>1279</v>
      </c>
      <c r="E3" s="55" t="s">
        <v>1280</v>
      </c>
      <c r="F3" s="55" t="s">
        <v>1281</v>
      </c>
      <c r="G3" s="55" t="s">
        <v>1282</v>
      </c>
      <c r="H3" s="55" t="s">
        <v>1283</v>
      </c>
      <c r="I3" s="55" t="s">
        <v>1284</v>
      </c>
      <c r="J3" s="55" t="s">
        <v>1285</v>
      </c>
      <c r="K3" s="55" t="s">
        <v>1286</v>
      </c>
      <c r="L3" s="55" t="s">
        <v>1287</v>
      </c>
      <c r="M3" s="55" t="s">
        <v>1288</v>
      </c>
      <c r="N3" s="55" t="s">
        <v>1289</v>
      </c>
      <c r="O3" s="55" t="s">
        <v>1290</v>
      </c>
      <c r="P3" s="55" t="s">
        <v>1291</v>
      </c>
      <c r="Q3" s="55" t="s">
        <v>1292</v>
      </c>
      <c r="R3" s="55" t="s">
        <v>1293</v>
      </c>
      <c r="S3" s="55" t="s">
        <v>19</v>
      </c>
      <c r="T3" s="55" t="s">
        <v>20</v>
      </c>
      <c r="U3" s="55" t="s">
        <v>1294</v>
      </c>
      <c r="V3" s="55" t="s">
        <v>1295</v>
      </c>
      <c r="W3" s="55" t="s">
        <v>1296</v>
      </c>
      <c r="X3" s="55" t="s">
        <v>1297</v>
      </c>
      <c r="Y3" s="55" t="s">
        <v>1298</v>
      </c>
      <c r="Z3" s="55" t="s">
        <v>1299</v>
      </c>
      <c r="AA3" s="55" t="s">
        <v>1300</v>
      </c>
      <c r="AB3" s="56" t="s">
        <v>1301</v>
      </c>
    </row>
    <row r="4" spans="1:28" ht="100" x14ac:dyDescent="0.25">
      <c r="A4" s="57" t="s">
        <v>1302</v>
      </c>
      <c r="B4" s="58" t="s">
        <v>1303</v>
      </c>
      <c r="C4" s="58" t="s">
        <v>1304</v>
      </c>
      <c r="D4" s="58" t="s">
        <v>1305</v>
      </c>
      <c r="E4" s="58" t="s">
        <v>1306</v>
      </c>
      <c r="F4" s="58" t="s">
        <v>1307</v>
      </c>
      <c r="G4" s="58" t="s">
        <v>1308</v>
      </c>
      <c r="H4" s="58" t="s">
        <v>1309</v>
      </c>
      <c r="I4" s="58">
        <v>0</v>
      </c>
      <c r="J4" s="58">
        <v>0</v>
      </c>
      <c r="K4" s="58">
        <v>1</v>
      </c>
      <c r="L4" s="58" t="s">
        <v>1310</v>
      </c>
      <c r="M4" s="58" t="s">
        <v>1310</v>
      </c>
      <c r="N4" s="58" t="e">
        <v>#N/A</v>
      </c>
      <c r="O4" s="58" t="s">
        <v>328</v>
      </c>
      <c r="P4" s="58" t="s">
        <v>1311</v>
      </c>
      <c r="Q4" s="58" t="s">
        <v>1312</v>
      </c>
      <c r="R4" s="58" t="s">
        <v>1312</v>
      </c>
      <c r="S4" s="58" t="s">
        <v>35</v>
      </c>
      <c r="T4" s="58" t="s">
        <v>36</v>
      </c>
      <c r="U4" s="58" t="s">
        <v>1313</v>
      </c>
      <c r="V4" s="58" t="s">
        <v>1314</v>
      </c>
      <c r="W4" s="58">
        <v>2025</v>
      </c>
      <c r="X4" s="58">
        <v>11</v>
      </c>
      <c r="Y4" s="58" t="s">
        <v>1315</v>
      </c>
      <c r="Z4" s="58">
        <v>2025</v>
      </c>
      <c r="AA4" s="58" t="s">
        <v>1316</v>
      </c>
      <c r="AB4" s="59" t="s">
        <v>1317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2C650-D3ED-42A3-BD78-EA7C33E665E8}">
  <dimension ref="A1:C483"/>
  <sheetViews>
    <sheetView workbookViewId="0">
      <pane xSplit="2" ySplit="5" topLeftCell="E8" activePane="bottomRight" state="frozen"/>
      <selection pane="topRight" activeCell="C1" sqref="C1"/>
      <selection pane="bottomLeft" activeCell="A6" sqref="A6"/>
      <selection pane="bottomRight" activeCell="C6" sqref="C6"/>
    </sheetView>
  </sheetViews>
  <sheetFormatPr defaultColWidth="9.1796875" defaultRowHeight="14.5" x14ac:dyDescent="0.35"/>
  <cols>
    <col min="1" max="1" width="15" style="6" bestFit="1" customWidth="1"/>
    <col min="2" max="2" width="40.54296875" style="6" bestFit="1" customWidth="1"/>
    <col min="3" max="3" width="30.26953125" style="11" bestFit="1" customWidth="1"/>
    <col min="4" max="6" width="30.54296875" style="6" bestFit="1" customWidth="1"/>
    <col min="7" max="16384" width="9.1796875" style="6"/>
  </cols>
  <sheetData>
    <row r="1" spans="1:3" x14ac:dyDescent="0.35">
      <c r="A1" s="18" t="s">
        <v>1292</v>
      </c>
      <c r="B1" s="1" t="s">
        <v>1318</v>
      </c>
    </row>
    <row r="2" spans="1:3" x14ac:dyDescent="0.35">
      <c r="A2" s="18" t="s">
        <v>19</v>
      </c>
      <c r="B2" s="1" t="s">
        <v>1319</v>
      </c>
    </row>
    <row r="3" spans="1:3" x14ac:dyDescent="0.35">
      <c r="A3" s="18" t="s">
        <v>20</v>
      </c>
      <c r="B3" s="1" t="s">
        <v>1319</v>
      </c>
    </row>
    <row r="5" spans="1:3" x14ac:dyDescent="0.35">
      <c r="A5" s="18" t="s">
        <v>1287</v>
      </c>
      <c r="B5" s="18" t="s">
        <v>1290</v>
      </c>
      <c r="C5" s="1" t="s">
        <v>1320</v>
      </c>
    </row>
    <row r="6" spans="1:3" x14ac:dyDescent="0.35">
      <c r="A6" s="1" t="s">
        <v>1310</v>
      </c>
      <c r="B6" s="1" t="s">
        <v>328</v>
      </c>
      <c r="C6" s="19">
        <v>0</v>
      </c>
    </row>
    <row r="7" spans="1:3" x14ac:dyDescent="0.35">
      <c r="A7" s="1" t="s">
        <v>1202</v>
      </c>
      <c r="B7" s="1"/>
      <c r="C7" s="19">
        <v>0</v>
      </c>
    </row>
    <row r="8" spans="1:3" x14ac:dyDescent="0.35">
      <c r="A8"/>
      <c r="B8"/>
      <c r="C8"/>
    </row>
    <row r="9" spans="1:3" x14ac:dyDescent="0.35">
      <c r="A9"/>
      <c r="B9"/>
      <c r="C9"/>
    </row>
    <row r="10" spans="1:3" x14ac:dyDescent="0.35">
      <c r="A10"/>
      <c r="B10"/>
      <c r="C10"/>
    </row>
    <row r="11" spans="1:3" x14ac:dyDescent="0.35">
      <c r="A11"/>
      <c r="B11"/>
      <c r="C11"/>
    </row>
    <row r="12" spans="1:3" x14ac:dyDescent="0.35">
      <c r="A12"/>
      <c r="B12"/>
      <c r="C12"/>
    </row>
    <row r="13" spans="1:3" x14ac:dyDescent="0.35">
      <c r="A13"/>
      <c r="B13"/>
      <c r="C13"/>
    </row>
    <row r="14" spans="1:3" x14ac:dyDescent="0.35">
      <c r="A14"/>
      <c r="B14"/>
      <c r="C14"/>
    </row>
    <row r="15" spans="1:3" x14ac:dyDescent="0.35">
      <c r="A15"/>
      <c r="B15"/>
      <c r="C15"/>
    </row>
    <row r="16" spans="1:3" x14ac:dyDescent="0.35">
      <c r="A16"/>
      <c r="B16"/>
      <c r="C16"/>
    </row>
    <row r="17" spans="1:3" x14ac:dyDescent="0.35">
      <c r="A17"/>
      <c r="B17"/>
      <c r="C17"/>
    </row>
    <row r="18" spans="1:3" x14ac:dyDescent="0.35">
      <c r="A18"/>
      <c r="B18"/>
      <c r="C18"/>
    </row>
    <row r="19" spans="1:3" x14ac:dyDescent="0.35">
      <c r="A19"/>
      <c r="B19"/>
      <c r="C19"/>
    </row>
    <row r="20" spans="1:3" x14ac:dyDescent="0.35">
      <c r="A20"/>
      <c r="B20"/>
      <c r="C20"/>
    </row>
    <row r="21" spans="1:3" x14ac:dyDescent="0.35">
      <c r="A21"/>
      <c r="B21"/>
      <c r="C21"/>
    </row>
    <row r="22" spans="1:3" x14ac:dyDescent="0.35">
      <c r="A22"/>
      <c r="B22"/>
      <c r="C22"/>
    </row>
    <row r="23" spans="1:3" x14ac:dyDescent="0.35">
      <c r="A23"/>
      <c r="B23"/>
      <c r="C23"/>
    </row>
    <row r="24" spans="1:3" x14ac:dyDescent="0.35">
      <c r="A24"/>
      <c r="B24"/>
      <c r="C24"/>
    </row>
    <row r="25" spans="1:3" x14ac:dyDescent="0.35">
      <c r="A25"/>
      <c r="B25"/>
      <c r="C25"/>
    </row>
    <row r="26" spans="1:3" x14ac:dyDescent="0.35">
      <c r="A26"/>
      <c r="B26"/>
      <c r="C26"/>
    </row>
    <row r="27" spans="1:3" x14ac:dyDescent="0.35">
      <c r="A27"/>
      <c r="B27"/>
      <c r="C27"/>
    </row>
    <row r="28" spans="1:3" x14ac:dyDescent="0.35">
      <c r="A28"/>
      <c r="B28"/>
      <c r="C28"/>
    </row>
    <row r="29" spans="1:3" x14ac:dyDescent="0.35">
      <c r="A29"/>
      <c r="B29"/>
      <c r="C29"/>
    </row>
    <row r="30" spans="1:3" x14ac:dyDescent="0.35">
      <c r="A30"/>
      <c r="B30"/>
      <c r="C30"/>
    </row>
    <row r="31" spans="1:3" x14ac:dyDescent="0.35">
      <c r="A31"/>
      <c r="B31"/>
      <c r="C31"/>
    </row>
    <row r="32" spans="1:3" x14ac:dyDescent="0.35">
      <c r="A32"/>
      <c r="B32"/>
      <c r="C32"/>
    </row>
    <row r="33" spans="1:3" x14ac:dyDescent="0.35">
      <c r="A33"/>
      <c r="B33"/>
      <c r="C33"/>
    </row>
    <row r="34" spans="1:3" x14ac:dyDescent="0.35">
      <c r="A34"/>
      <c r="B34"/>
      <c r="C34"/>
    </row>
    <row r="35" spans="1:3" x14ac:dyDescent="0.35">
      <c r="A35"/>
      <c r="B35"/>
      <c r="C35"/>
    </row>
    <row r="36" spans="1:3" x14ac:dyDescent="0.35">
      <c r="A36"/>
      <c r="B36"/>
      <c r="C36"/>
    </row>
    <row r="37" spans="1:3" x14ac:dyDescent="0.35">
      <c r="A37"/>
      <c r="B37"/>
      <c r="C37"/>
    </row>
    <row r="38" spans="1:3" x14ac:dyDescent="0.35">
      <c r="A38"/>
      <c r="B38"/>
      <c r="C38"/>
    </row>
    <row r="39" spans="1:3" x14ac:dyDescent="0.35">
      <c r="A39"/>
      <c r="B39"/>
      <c r="C39"/>
    </row>
    <row r="40" spans="1:3" x14ac:dyDescent="0.35">
      <c r="A40"/>
      <c r="B40"/>
      <c r="C40"/>
    </row>
    <row r="41" spans="1:3" x14ac:dyDescent="0.35">
      <c r="A41"/>
      <c r="B41"/>
      <c r="C41"/>
    </row>
    <row r="42" spans="1:3" x14ac:dyDescent="0.35">
      <c r="A42"/>
      <c r="B42"/>
      <c r="C42"/>
    </row>
    <row r="43" spans="1:3" x14ac:dyDescent="0.35">
      <c r="A43"/>
      <c r="B43"/>
      <c r="C43"/>
    </row>
    <row r="44" spans="1:3" x14ac:dyDescent="0.35">
      <c r="A44"/>
      <c r="B44"/>
      <c r="C44"/>
    </row>
    <row r="45" spans="1:3" x14ac:dyDescent="0.35">
      <c r="A45"/>
      <c r="B45"/>
      <c r="C45"/>
    </row>
    <row r="46" spans="1:3" x14ac:dyDescent="0.35">
      <c r="A46"/>
      <c r="B46"/>
      <c r="C46"/>
    </row>
    <row r="47" spans="1:3" x14ac:dyDescent="0.35">
      <c r="A47"/>
      <c r="B47"/>
      <c r="C47"/>
    </row>
    <row r="48" spans="1:3" x14ac:dyDescent="0.35">
      <c r="A48"/>
      <c r="B48"/>
      <c r="C48"/>
    </row>
    <row r="49" spans="1:3" x14ac:dyDescent="0.35">
      <c r="A49"/>
      <c r="B49"/>
      <c r="C49"/>
    </row>
    <row r="50" spans="1:3" x14ac:dyDescent="0.35">
      <c r="A50"/>
      <c r="B50"/>
      <c r="C50"/>
    </row>
    <row r="51" spans="1:3" x14ac:dyDescent="0.35">
      <c r="A51"/>
      <c r="B51"/>
      <c r="C51"/>
    </row>
    <row r="52" spans="1:3" x14ac:dyDescent="0.35">
      <c r="A52"/>
      <c r="B52"/>
      <c r="C52"/>
    </row>
    <row r="53" spans="1:3" x14ac:dyDescent="0.35">
      <c r="A53"/>
      <c r="B53"/>
      <c r="C53"/>
    </row>
    <row r="54" spans="1:3" x14ac:dyDescent="0.35">
      <c r="A54"/>
      <c r="B54"/>
      <c r="C54"/>
    </row>
    <row r="55" spans="1:3" x14ac:dyDescent="0.35">
      <c r="A55"/>
      <c r="B55"/>
      <c r="C55"/>
    </row>
    <row r="56" spans="1:3" x14ac:dyDescent="0.35">
      <c r="A56"/>
      <c r="B56"/>
      <c r="C56"/>
    </row>
    <row r="57" spans="1:3" x14ac:dyDescent="0.35">
      <c r="A57"/>
      <c r="B57"/>
      <c r="C57"/>
    </row>
    <row r="58" spans="1:3" x14ac:dyDescent="0.35">
      <c r="A58"/>
      <c r="B58"/>
      <c r="C58"/>
    </row>
    <row r="59" spans="1:3" x14ac:dyDescent="0.35">
      <c r="A59"/>
      <c r="B59"/>
      <c r="C59"/>
    </row>
    <row r="60" spans="1:3" x14ac:dyDescent="0.35">
      <c r="A60"/>
      <c r="B60"/>
      <c r="C60"/>
    </row>
    <row r="61" spans="1:3" x14ac:dyDescent="0.35">
      <c r="A61"/>
      <c r="B61"/>
      <c r="C61"/>
    </row>
    <row r="62" spans="1:3" x14ac:dyDescent="0.35">
      <c r="A62"/>
      <c r="B62"/>
      <c r="C62"/>
    </row>
    <row r="63" spans="1:3" x14ac:dyDescent="0.35">
      <c r="A63"/>
      <c r="B63"/>
      <c r="C63"/>
    </row>
    <row r="64" spans="1:3" x14ac:dyDescent="0.35">
      <c r="A64"/>
      <c r="B64"/>
      <c r="C64"/>
    </row>
    <row r="65" spans="1:3" x14ac:dyDescent="0.35">
      <c r="A65"/>
      <c r="B65"/>
      <c r="C65"/>
    </row>
    <row r="66" spans="1:3" x14ac:dyDescent="0.35">
      <c r="A66"/>
      <c r="B66"/>
      <c r="C66"/>
    </row>
    <row r="67" spans="1:3" x14ac:dyDescent="0.35">
      <c r="A67"/>
      <c r="B67"/>
      <c r="C67"/>
    </row>
    <row r="68" spans="1:3" x14ac:dyDescent="0.35">
      <c r="A68"/>
      <c r="B68"/>
      <c r="C68"/>
    </row>
    <row r="69" spans="1:3" x14ac:dyDescent="0.35">
      <c r="A69"/>
      <c r="B69"/>
      <c r="C69"/>
    </row>
    <row r="70" spans="1:3" x14ac:dyDescent="0.35">
      <c r="A70"/>
      <c r="B70"/>
      <c r="C70"/>
    </row>
    <row r="71" spans="1:3" x14ac:dyDescent="0.35">
      <c r="A71"/>
      <c r="B71"/>
      <c r="C71"/>
    </row>
    <row r="72" spans="1:3" x14ac:dyDescent="0.35">
      <c r="A72"/>
      <c r="B72"/>
      <c r="C72"/>
    </row>
    <row r="73" spans="1:3" x14ac:dyDescent="0.35">
      <c r="A73"/>
      <c r="B73"/>
      <c r="C73"/>
    </row>
    <row r="74" spans="1:3" x14ac:dyDescent="0.35">
      <c r="A74"/>
      <c r="B74"/>
      <c r="C74"/>
    </row>
    <row r="75" spans="1:3" x14ac:dyDescent="0.35">
      <c r="A75"/>
      <c r="B75"/>
      <c r="C75"/>
    </row>
    <row r="76" spans="1:3" x14ac:dyDescent="0.35">
      <c r="A76"/>
      <c r="B76"/>
      <c r="C76"/>
    </row>
    <row r="77" spans="1:3" x14ac:dyDescent="0.35">
      <c r="A77"/>
      <c r="B77"/>
      <c r="C77"/>
    </row>
    <row r="78" spans="1:3" x14ac:dyDescent="0.35">
      <c r="A78"/>
      <c r="B78"/>
      <c r="C78"/>
    </row>
    <row r="79" spans="1:3" x14ac:dyDescent="0.35">
      <c r="A79"/>
      <c r="B79"/>
      <c r="C79"/>
    </row>
    <row r="80" spans="1:3" x14ac:dyDescent="0.35">
      <c r="A80"/>
      <c r="B80"/>
      <c r="C80"/>
    </row>
    <row r="81" spans="1:3" x14ac:dyDescent="0.35">
      <c r="A81"/>
      <c r="B81"/>
      <c r="C81"/>
    </row>
    <row r="82" spans="1:3" x14ac:dyDescent="0.35">
      <c r="A82"/>
      <c r="B82"/>
      <c r="C82"/>
    </row>
    <row r="83" spans="1:3" x14ac:dyDescent="0.35">
      <c r="A83"/>
      <c r="B83"/>
      <c r="C83"/>
    </row>
    <row r="84" spans="1:3" x14ac:dyDescent="0.35">
      <c r="A84"/>
      <c r="B84"/>
      <c r="C84"/>
    </row>
    <row r="85" spans="1:3" x14ac:dyDescent="0.35">
      <c r="A85"/>
      <c r="B85"/>
      <c r="C85"/>
    </row>
    <row r="86" spans="1:3" x14ac:dyDescent="0.35">
      <c r="A86"/>
      <c r="B86"/>
      <c r="C86"/>
    </row>
    <row r="87" spans="1:3" x14ac:dyDescent="0.35">
      <c r="A87"/>
      <c r="B87"/>
      <c r="C87"/>
    </row>
    <row r="88" spans="1:3" x14ac:dyDescent="0.35">
      <c r="A88"/>
      <c r="B88"/>
      <c r="C88"/>
    </row>
    <row r="89" spans="1:3" x14ac:dyDescent="0.35">
      <c r="A89"/>
      <c r="B89"/>
      <c r="C89"/>
    </row>
    <row r="90" spans="1:3" x14ac:dyDescent="0.35">
      <c r="A90"/>
      <c r="B90"/>
      <c r="C90"/>
    </row>
    <row r="91" spans="1:3" x14ac:dyDescent="0.35">
      <c r="A91"/>
      <c r="B91"/>
      <c r="C91"/>
    </row>
    <row r="92" spans="1:3" x14ac:dyDescent="0.35">
      <c r="A92"/>
      <c r="B92"/>
      <c r="C92"/>
    </row>
    <row r="93" spans="1:3" x14ac:dyDescent="0.35">
      <c r="A93"/>
      <c r="B93"/>
      <c r="C93"/>
    </row>
    <row r="94" spans="1:3" x14ac:dyDescent="0.35">
      <c r="A94"/>
      <c r="B94"/>
      <c r="C94"/>
    </row>
    <row r="95" spans="1:3" x14ac:dyDescent="0.35">
      <c r="A95"/>
      <c r="B95"/>
      <c r="C95"/>
    </row>
    <row r="96" spans="1:3" x14ac:dyDescent="0.35">
      <c r="A96"/>
      <c r="B96"/>
      <c r="C96"/>
    </row>
    <row r="97" spans="1:3" x14ac:dyDescent="0.35">
      <c r="A97"/>
      <c r="B97"/>
      <c r="C97"/>
    </row>
    <row r="98" spans="1:3" x14ac:dyDescent="0.35">
      <c r="A98"/>
      <c r="B98"/>
      <c r="C98"/>
    </row>
    <row r="99" spans="1:3" x14ac:dyDescent="0.35">
      <c r="A99"/>
      <c r="B99"/>
      <c r="C99"/>
    </row>
    <row r="100" spans="1:3" x14ac:dyDescent="0.35">
      <c r="A100"/>
      <c r="B100"/>
      <c r="C100"/>
    </row>
    <row r="101" spans="1:3" x14ac:dyDescent="0.35">
      <c r="A101"/>
      <c r="B101"/>
      <c r="C101"/>
    </row>
    <row r="102" spans="1:3" x14ac:dyDescent="0.35">
      <c r="A102"/>
      <c r="B102"/>
      <c r="C102"/>
    </row>
    <row r="103" spans="1:3" x14ac:dyDescent="0.35">
      <c r="A103"/>
      <c r="B103"/>
      <c r="C103"/>
    </row>
    <row r="104" spans="1:3" x14ac:dyDescent="0.35">
      <c r="A104"/>
      <c r="B104"/>
      <c r="C104"/>
    </row>
    <row r="105" spans="1:3" x14ac:dyDescent="0.35">
      <c r="A105"/>
      <c r="B105"/>
      <c r="C105"/>
    </row>
    <row r="106" spans="1:3" x14ac:dyDescent="0.35">
      <c r="A106"/>
      <c r="B106"/>
      <c r="C106"/>
    </row>
    <row r="107" spans="1:3" x14ac:dyDescent="0.35">
      <c r="A107"/>
      <c r="B107"/>
      <c r="C107"/>
    </row>
    <row r="108" spans="1:3" x14ac:dyDescent="0.35">
      <c r="A108"/>
      <c r="B108"/>
      <c r="C108"/>
    </row>
    <row r="109" spans="1:3" x14ac:dyDescent="0.35">
      <c r="A109"/>
      <c r="B109"/>
      <c r="C109"/>
    </row>
    <row r="110" spans="1:3" x14ac:dyDescent="0.35">
      <c r="A110"/>
      <c r="B110"/>
      <c r="C110"/>
    </row>
    <row r="111" spans="1:3" x14ac:dyDescent="0.35">
      <c r="A111"/>
      <c r="B111"/>
      <c r="C111"/>
    </row>
    <row r="112" spans="1:3" x14ac:dyDescent="0.35">
      <c r="A112"/>
      <c r="B112"/>
      <c r="C112"/>
    </row>
    <row r="113" spans="1:3" x14ac:dyDescent="0.35">
      <c r="A113"/>
      <c r="B113"/>
      <c r="C113"/>
    </row>
    <row r="114" spans="1:3" x14ac:dyDescent="0.35">
      <c r="A114"/>
      <c r="B114"/>
      <c r="C114"/>
    </row>
    <row r="115" spans="1:3" x14ac:dyDescent="0.35">
      <c r="A115"/>
      <c r="B115"/>
      <c r="C115"/>
    </row>
    <row r="116" spans="1:3" x14ac:dyDescent="0.35">
      <c r="A116"/>
      <c r="B116"/>
      <c r="C116"/>
    </row>
    <row r="117" spans="1:3" x14ac:dyDescent="0.35">
      <c r="A117"/>
      <c r="B117"/>
      <c r="C117"/>
    </row>
    <row r="118" spans="1:3" x14ac:dyDescent="0.35">
      <c r="A118"/>
      <c r="B118"/>
      <c r="C118"/>
    </row>
    <row r="119" spans="1:3" x14ac:dyDescent="0.35">
      <c r="A119"/>
      <c r="B119"/>
      <c r="C119"/>
    </row>
    <row r="120" spans="1:3" x14ac:dyDescent="0.35">
      <c r="A120"/>
      <c r="B120"/>
      <c r="C120"/>
    </row>
    <row r="121" spans="1:3" x14ac:dyDescent="0.35">
      <c r="A121"/>
      <c r="B121"/>
      <c r="C121"/>
    </row>
    <row r="122" spans="1:3" x14ac:dyDescent="0.35">
      <c r="A122"/>
      <c r="B122"/>
      <c r="C122"/>
    </row>
    <row r="123" spans="1:3" x14ac:dyDescent="0.35">
      <c r="A123"/>
      <c r="B123"/>
      <c r="C123"/>
    </row>
    <row r="124" spans="1:3" x14ac:dyDescent="0.35">
      <c r="A124"/>
      <c r="B124"/>
      <c r="C124"/>
    </row>
    <row r="125" spans="1:3" x14ac:dyDescent="0.35">
      <c r="A125"/>
      <c r="B125"/>
      <c r="C125"/>
    </row>
    <row r="126" spans="1:3" x14ac:dyDescent="0.35">
      <c r="A126"/>
      <c r="B126"/>
      <c r="C126"/>
    </row>
    <row r="127" spans="1:3" x14ac:dyDescent="0.35">
      <c r="A127"/>
      <c r="B127"/>
      <c r="C127"/>
    </row>
    <row r="128" spans="1:3" x14ac:dyDescent="0.35">
      <c r="A128"/>
      <c r="B128"/>
      <c r="C128"/>
    </row>
    <row r="129" spans="1:3" x14ac:dyDescent="0.35">
      <c r="A129"/>
      <c r="B129"/>
      <c r="C129"/>
    </row>
    <row r="130" spans="1:3" x14ac:dyDescent="0.35">
      <c r="A130"/>
      <c r="B130"/>
      <c r="C130"/>
    </row>
    <row r="131" spans="1:3" x14ac:dyDescent="0.35">
      <c r="A131"/>
      <c r="B131"/>
      <c r="C131"/>
    </row>
    <row r="132" spans="1:3" x14ac:dyDescent="0.35">
      <c r="A132"/>
      <c r="B132"/>
      <c r="C132"/>
    </row>
    <row r="133" spans="1:3" x14ac:dyDescent="0.35">
      <c r="A133"/>
      <c r="B133"/>
      <c r="C133"/>
    </row>
    <row r="134" spans="1:3" x14ac:dyDescent="0.35">
      <c r="A134"/>
      <c r="B134"/>
      <c r="C134"/>
    </row>
    <row r="135" spans="1:3" x14ac:dyDescent="0.35">
      <c r="A135"/>
      <c r="B135"/>
      <c r="C135"/>
    </row>
    <row r="136" spans="1:3" x14ac:dyDescent="0.35">
      <c r="A136"/>
      <c r="B136"/>
      <c r="C136"/>
    </row>
    <row r="137" spans="1:3" x14ac:dyDescent="0.35">
      <c r="A137"/>
      <c r="B137"/>
      <c r="C137"/>
    </row>
    <row r="138" spans="1:3" x14ac:dyDescent="0.35">
      <c r="A138"/>
      <c r="B138"/>
      <c r="C138"/>
    </row>
    <row r="139" spans="1:3" x14ac:dyDescent="0.35">
      <c r="A139"/>
      <c r="B139"/>
      <c r="C139"/>
    </row>
    <row r="140" spans="1:3" x14ac:dyDescent="0.35">
      <c r="A140"/>
      <c r="B140"/>
      <c r="C140"/>
    </row>
    <row r="141" spans="1:3" x14ac:dyDescent="0.35">
      <c r="A141"/>
      <c r="B141"/>
      <c r="C141"/>
    </row>
    <row r="142" spans="1:3" x14ac:dyDescent="0.35">
      <c r="A142"/>
      <c r="B142"/>
      <c r="C142"/>
    </row>
    <row r="143" spans="1:3" x14ac:dyDescent="0.35">
      <c r="A143"/>
      <c r="B143"/>
      <c r="C143"/>
    </row>
    <row r="144" spans="1:3" x14ac:dyDescent="0.35">
      <c r="A144"/>
      <c r="B144"/>
      <c r="C144"/>
    </row>
    <row r="145" spans="1:3" x14ac:dyDescent="0.35">
      <c r="A145"/>
      <c r="B145"/>
      <c r="C145"/>
    </row>
    <row r="146" spans="1:3" x14ac:dyDescent="0.35">
      <c r="A146"/>
      <c r="B146"/>
      <c r="C146"/>
    </row>
    <row r="147" spans="1:3" x14ac:dyDescent="0.35">
      <c r="A147"/>
      <c r="B147"/>
      <c r="C147"/>
    </row>
    <row r="148" spans="1:3" x14ac:dyDescent="0.35">
      <c r="A148"/>
      <c r="B148"/>
      <c r="C148"/>
    </row>
    <row r="149" spans="1:3" x14ac:dyDescent="0.35">
      <c r="A149"/>
      <c r="B149"/>
      <c r="C149"/>
    </row>
    <row r="150" spans="1:3" x14ac:dyDescent="0.35">
      <c r="A150"/>
      <c r="B150"/>
      <c r="C150"/>
    </row>
    <row r="151" spans="1:3" x14ac:dyDescent="0.35">
      <c r="A151"/>
      <c r="B151"/>
      <c r="C151"/>
    </row>
    <row r="152" spans="1:3" x14ac:dyDescent="0.35">
      <c r="A152"/>
      <c r="B152"/>
      <c r="C152"/>
    </row>
    <row r="153" spans="1:3" x14ac:dyDescent="0.35">
      <c r="A153"/>
      <c r="B153"/>
      <c r="C153"/>
    </row>
    <row r="154" spans="1:3" x14ac:dyDescent="0.35">
      <c r="A154"/>
      <c r="B154"/>
      <c r="C154"/>
    </row>
    <row r="155" spans="1:3" x14ac:dyDescent="0.35">
      <c r="A155"/>
      <c r="B155"/>
      <c r="C155"/>
    </row>
    <row r="156" spans="1:3" x14ac:dyDescent="0.35">
      <c r="A156"/>
      <c r="B156"/>
      <c r="C156"/>
    </row>
    <row r="157" spans="1:3" x14ac:dyDescent="0.35">
      <c r="A157"/>
      <c r="B157"/>
      <c r="C157"/>
    </row>
    <row r="158" spans="1:3" x14ac:dyDescent="0.35">
      <c r="A158"/>
      <c r="B158"/>
      <c r="C158"/>
    </row>
    <row r="159" spans="1:3" x14ac:dyDescent="0.35">
      <c r="A159"/>
      <c r="B159"/>
      <c r="C159"/>
    </row>
    <row r="160" spans="1:3" x14ac:dyDescent="0.35">
      <c r="A160"/>
      <c r="B160"/>
      <c r="C160"/>
    </row>
    <row r="161" spans="1:3" x14ac:dyDescent="0.35">
      <c r="A161"/>
      <c r="B161"/>
      <c r="C161"/>
    </row>
    <row r="162" spans="1:3" x14ac:dyDescent="0.35">
      <c r="A162"/>
      <c r="B162"/>
      <c r="C162"/>
    </row>
    <row r="163" spans="1:3" x14ac:dyDescent="0.35">
      <c r="A163"/>
      <c r="B163"/>
      <c r="C163"/>
    </row>
    <row r="164" spans="1:3" x14ac:dyDescent="0.35">
      <c r="A164"/>
      <c r="B164"/>
      <c r="C164"/>
    </row>
    <row r="165" spans="1:3" x14ac:dyDescent="0.35">
      <c r="A165"/>
      <c r="B165"/>
      <c r="C165"/>
    </row>
    <row r="166" spans="1:3" x14ac:dyDescent="0.35">
      <c r="A166"/>
      <c r="B166"/>
      <c r="C166"/>
    </row>
    <row r="167" spans="1:3" x14ac:dyDescent="0.35">
      <c r="A167"/>
      <c r="B167"/>
      <c r="C167"/>
    </row>
    <row r="168" spans="1:3" x14ac:dyDescent="0.35">
      <c r="A168"/>
      <c r="B168"/>
      <c r="C168"/>
    </row>
    <row r="169" spans="1:3" x14ac:dyDescent="0.35">
      <c r="A169"/>
      <c r="B169"/>
      <c r="C169"/>
    </row>
    <row r="170" spans="1:3" x14ac:dyDescent="0.35">
      <c r="A170"/>
      <c r="B170"/>
      <c r="C170"/>
    </row>
    <row r="171" spans="1:3" x14ac:dyDescent="0.35">
      <c r="A171"/>
      <c r="B171"/>
      <c r="C171"/>
    </row>
    <row r="172" spans="1:3" x14ac:dyDescent="0.35">
      <c r="A172"/>
      <c r="B172"/>
      <c r="C172"/>
    </row>
    <row r="173" spans="1:3" x14ac:dyDescent="0.35">
      <c r="A173"/>
      <c r="B173"/>
      <c r="C173"/>
    </row>
    <row r="174" spans="1:3" x14ac:dyDescent="0.35">
      <c r="A174"/>
      <c r="B174"/>
      <c r="C174"/>
    </row>
    <row r="175" spans="1:3" x14ac:dyDescent="0.35">
      <c r="A175"/>
      <c r="B175"/>
      <c r="C175"/>
    </row>
    <row r="176" spans="1:3" x14ac:dyDescent="0.35">
      <c r="A176"/>
      <c r="B176"/>
      <c r="C176"/>
    </row>
    <row r="177" spans="1:3" x14ac:dyDescent="0.35">
      <c r="A177"/>
      <c r="B177"/>
      <c r="C177"/>
    </row>
    <row r="178" spans="1:3" x14ac:dyDescent="0.35">
      <c r="A178"/>
      <c r="B178"/>
      <c r="C178"/>
    </row>
    <row r="179" spans="1:3" x14ac:dyDescent="0.35">
      <c r="A179"/>
      <c r="B179"/>
      <c r="C179"/>
    </row>
    <row r="180" spans="1:3" x14ac:dyDescent="0.35">
      <c r="A180"/>
      <c r="B180"/>
      <c r="C180"/>
    </row>
    <row r="181" spans="1:3" x14ac:dyDescent="0.35">
      <c r="A181"/>
      <c r="B181"/>
      <c r="C181"/>
    </row>
    <row r="182" spans="1:3" x14ac:dyDescent="0.35">
      <c r="A182"/>
      <c r="B182"/>
      <c r="C182"/>
    </row>
    <row r="183" spans="1:3" x14ac:dyDescent="0.35">
      <c r="A183"/>
      <c r="B183"/>
      <c r="C183"/>
    </row>
    <row r="184" spans="1:3" x14ac:dyDescent="0.35">
      <c r="A184"/>
      <c r="B184"/>
      <c r="C184"/>
    </row>
    <row r="185" spans="1:3" x14ac:dyDescent="0.35">
      <c r="A185"/>
      <c r="B185"/>
      <c r="C185"/>
    </row>
    <row r="186" spans="1:3" x14ac:dyDescent="0.35">
      <c r="A186"/>
      <c r="B186"/>
      <c r="C186"/>
    </row>
    <row r="187" spans="1:3" x14ac:dyDescent="0.35">
      <c r="A187"/>
      <c r="B187"/>
      <c r="C187"/>
    </row>
    <row r="188" spans="1:3" x14ac:dyDescent="0.35">
      <c r="A188"/>
      <c r="B188"/>
      <c r="C188"/>
    </row>
    <row r="189" spans="1:3" x14ac:dyDescent="0.35">
      <c r="A189"/>
      <c r="B189"/>
      <c r="C189"/>
    </row>
    <row r="190" spans="1:3" x14ac:dyDescent="0.35">
      <c r="A190"/>
      <c r="B190"/>
      <c r="C190"/>
    </row>
    <row r="191" spans="1:3" x14ac:dyDescent="0.35">
      <c r="A191"/>
      <c r="B191"/>
      <c r="C191"/>
    </row>
    <row r="192" spans="1:3" x14ac:dyDescent="0.35">
      <c r="A192"/>
      <c r="B192"/>
      <c r="C192"/>
    </row>
    <row r="193" spans="1:3" x14ac:dyDescent="0.35">
      <c r="A193"/>
      <c r="B193"/>
      <c r="C193"/>
    </row>
    <row r="194" spans="1:3" x14ac:dyDescent="0.35">
      <c r="A194"/>
      <c r="B194"/>
      <c r="C194"/>
    </row>
    <row r="195" spans="1:3" x14ac:dyDescent="0.35">
      <c r="A195"/>
      <c r="B195"/>
      <c r="C195"/>
    </row>
    <row r="196" spans="1:3" x14ac:dyDescent="0.35">
      <c r="A196"/>
      <c r="B196"/>
      <c r="C196"/>
    </row>
    <row r="197" spans="1:3" x14ac:dyDescent="0.35">
      <c r="A197"/>
      <c r="B197"/>
      <c r="C197"/>
    </row>
    <row r="198" spans="1:3" x14ac:dyDescent="0.35">
      <c r="A198"/>
      <c r="B198"/>
      <c r="C198"/>
    </row>
    <row r="199" spans="1:3" x14ac:dyDescent="0.35">
      <c r="A199"/>
      <c r="B199"/>
      <c r="C199"/>
    </row>
    <row r="200" spans="1:3" x14ac:dyDescent="0.35">
      <c r="A200"/>
      <c r="B200"/>
      <c r="C200"/>
    </row>
    <row r="201" spans="1:3" x14ac:dyDescent="0.35">
      <c r="A201"/>
      <c r="B201"/>
      <c r="C201"/>
    </row>
    <row r="202" spans="1:3" x14ac:dyDescent="0.35">
      <c r="A202"/>
      <c r="B202"/>
      <c r="C202"/>
    </row>
    <row r="203" spans="1:3" x14ac:dyDescent="0.35">
      <c r="A203"/>
      <c r="B203"/>
      <c r="C203"/>
    </row>
    <row r="204" spans="1:3" x14ac:dyDescent="0.35">
      <c r="A204"/>
      <c r="B204"/>
      <c r="C204"/>
    </row>
    <row r="205" spans="1:3" x14ac:dyDescent="0.35">
      <c r="A205"/>
      <c r="B205"/>
      <c r="C205"/>
    </row>
    <row r="206" spans="1:3" x14ac:dyDescent="0.35">
      <c r="A206"/>
      <c r="B206"/>
      <c r="C206"/>
    </row>
    <row r="207" spans="1:3" x14ac:dyDescent="0.35">
      <c r="A207"/>
      <c r="B207"/>
      <c r="C207"/>
    </row>
    <row r="208" spans="1:3" x14ac:dyDescent="0.35">
      <c r="A208"/>
      <c r="B208"/>
      <c r="C208"/>
    </row>
    <row r="209" spans="1:3" x14ac:dyDescent="0.35">
      <c r="A209"/>
      <c r="B209"/>
      <c r="C209"/>
    </row>
    <row r="210" spans="1:3" x14ac:dyDescent="0.35">
      <c r="A210"/>
      <c r="B210"/>
      <c r="C210"/>
    </row>
    <row r="211" spans="1:3" x14ac:dyDescent="0.35">
      <c r="A211"/>
      <c r="B211"/>
      <c r="C211"/>
    </row>
    <row r="212" spans="1:3" x14ac:dyDescent="0.35">
      <c r="A212"/>
      <c r="B212"/>
      <c r="C212"/>
    </row>
    <row r="213" spans="1:3" x14ac:dyDescent="0.35">
      <c r="A213"/>
      <c r="B213"/>
      <c r="C213"/>
    </row>
    <row r="214" spans="1:3" x14ac:dyDescent="0.35">
      <c r="A214"/>
      <c r="B214"/>
      <c r="C214"/>
    </row>
    <row r="215" spans="1:3" x14ac:dyDescent="0.35">
      <c r="A215"/>
      <c r="B215"/>
      <c r="C215"/>
    </row>
    <row r="216" spans="1:3" x14ac:dyDescent="0.35">
      <c r="A216"/>
      <c r="B216"/>
      <c r="C216"/>
    </row>
    <row r="217" spans="1:3" x14ac:dyDescent="0.35">
      <c r="A217"/>
      <c r="B217"/>
      <c r="C217"/>
    </row>
    <row r="218" spans="1:3" x14ac:dyDescent="0.35">
      <c r="A218"/>
      <c r="B218"/>
      <c r="C218"/>
    </row>
    <row r="219" spans="1:3" x14ac:dyDescent="0.35">
      <c r="A219"/>
      <c r="B219"/>
      <c r="C219"/>
    </row>
    <row r="220" spans="1:3" x14ac:dyDescent="0.35">
      <c r="A220"/>
      <c r="B220"/>
      <c r="C220"/>
    </row>
    <row r="221" spans="1:3" x14ac:dyDescent="0.35">
      <c r="A221"/>
      <c r="B221"/>
      <c r="C221"/>
    </row>
    <row r="222" spans="1:3" x14ac:dyDescent="0.35">
      <c r="A222"/>
      <c r="B222"/>
      <c r="C222"/>
    </row>
    <row r="223" spans="1:3" x14ac:dyDescent="0.35">
      <c r="A223"/>
      <c r="B223"/>
      <c r="C223"/>
    </row>
    <row r="224" spans="1:3" x14ac:dyDescent="0.35">
      <c r="A224"/>
      <c r="B224"/>
      <c r="C224"/>
    </row>
    <row r="225" spans="1:3" x14ac:dyDescent="0.35">
      <c r="A225"/>
      <c r="B225"/>
      <c r="C225"/>
    </row>
    <row r="226" spans="1:3" x14ac:dyDescent="0.35">
      <c r="A226"/>
      <c r="B226"/>
      <c r="C226"/>
    </row>
    <row r="227" spans="1:3" x14ac:dyDescent="0.35">
      <c r="A227"/>
      <c r="B227"/>
      <c r="C227"/>
    </row>
    <row r="228" spans="1:3" x14ac:dyDescent="0.35">
      <c r="A228"/>
      <c r="B228"/>
      <c r="C228"/>
    </row>
    <row r="229" spans="1:3" x14ac:dyDescent="0.35">
      <c r="A229"/>
      <c r="B229"/>
      <c r="C229"/>
    </row>
    <row r="230" spans="1:3" x14ac:dyDescent="0.35">
      <c r="A230"/>
      <c r="B230"/>
      <c r="C230"/>
    </row>
    <row r="231" spans="1:3" x14ac:dyDescent="0.35">
      <c r="A231"/>
      <c r="B231"/>
      <c r="C231"/>
    </row>
    <row r="232" spans="1:3" x14ac:dyDescent="0.35">
      <c r="A232"/>
      <c r="B232"/>
      <c r="C232"/>
    </row>
    <row r="233" spans="1:3" x14ac:dyDescent="0.35">
      <c r="A233"/>
      <c r="B233"/>
      <c r="C233"/>
    </row>
    <row r="234" spans="1:3" x14ac:dyDescent="0.35">
      <c r="A234"/>
      <c r="B234"/>
      <c r="C234"/>
    </row>
    <row r="235" spans="1:3" x14ac:dyDescent="0.35">
      <c r="A235"/>
      <c r="B235"/>
      <c r="C235"/>
    </row>
    <row r="236" spans="1:3" x14ac:dyDescent="0.35">
      <c r="A236"/>
      <c r="B236"/>
      <c r="C236"/>
    </row>
    <row r="237" spans="1:3" x14ac:dyDescent="0.35">
      <c r="A237"/>
      <c r="B237"/>
      <c r="C237"/>
    </row>
    <row r="238" spans="1:3" x14ac:dyDescent="0.35">
      <c r="A238"/>
      <c r="B238"/>
      <c r="C238"/>
    </row>
    <row r="239" spans="1:3" x14ac:dyDescent="0.35">
      <c r="A239"/>
      <c r="B239"/>
      <c r="C239"/>
    </row>
    <row r="240" spans="1:3" x14ac:dyDescent="0.35">
      <c r="A240"/>
      <c r="B240"/>
      <c r="C240"/>
    </row>
    <row r="241" spans="1:3" x14ac:dyDescent="0.35">
      <c r="A241"/>
      <c r="B241"/>
      <c r="C241"/>
    </row>
    <row r="242" spans="1:3" x14ac:dyDescent="0.35">
      <c r="A242"/>
      <c r="B242"/>
      <c r="C242"/>
    </row>
    <row r="243" spans="1:3" x14ac:dyDescent="0.35">
      <c r="A243"/>
      <c r="B243"/>
      <c r="C243"/>
    </row>
    <row r="244" spans="1:3" x14ac:dyDescent="0.35">
      <c r="A244"/>
      <c r="B244"/>
      <c r="C244"/>
    </row>
    <row r="245" spans="1:3" x14ac:dyDescent="0.35">
      <c r="A245"/>
      <c r="B245"/>
      <c r="C245"/>
    </row>
    <row r="246" spans="1:3" x14ac:dyDescent="0.35">
      <c r="A246"/>
      <c r="B246"/>
      <c r="C246"/>
    </row>
    <row r="247" spans="1:3" x14ac:dyDescent="0.35">
      <c r="A247"/>
      <c r="B247"/>
      <c r="C247"/>
    </row>
    <row r="248" spans="1:3" x14ac:dyDescent="0.35">
      <c r="A248"/>
      <c r="B248"/>
      <c r="C248"/>
    </row>
    <row r="249" spans="1:3" x14ac:dyDescent="0.35">
      <c r="A249"/>
      <c r="B249"/>
      <c r="C249"/>
    </row>
    <row r="250" spans="1:3" x14ac:dyDescent="0.35">
      <c r="A250"/>
      <c r="B250"/>
      <c r="C250"/>
    </row>
    <row r="251" spans="1:3" x14ac:dyDescent="0.35">
      <c r="A251"/>
      <c r="B251"/>
      <c r="C251"/>
    </row>
    <row r="252" spans="1:3" x14ac:dyDescent="0.35">
      <c r="A252"/>
      <c r="B252"/>
      <c r="C252"/>
    </row>
    <row r="253" spans="1:3" x14ac:dyDescent="0.35">
      <c r="A253"/>
      <c r="B253"/>
      <c r="C253"/>
    </row>
    <row r="254" spans="1:3" x14ac:dyDescent="0.35">
      <c r="A254"/>
      <c r="B254"/>
      <c r="C254"/>
    </row>
    <row r="255" spans="1:3" x14ac:dyDescent="0.35">
      <c r="A255"/>
      <c r="B255"/>
      <c r="C255"/>
    </row>
    <row r="256" spans="1:3" x14ac:dyDescent="0.35">
      <c r="A256"/>
      <c r="B256"/>
      <c r="C256"/>
    </row>
    <row r="257" spans="1:3" x14ac:dyDescent="0.35">
      <c r="A257"/>
      <c r="B257"/>
      <c r="C257"/>
    </row>
    <row r="258" spans="1:3" x14ac:dyDescent="0.35">
      <c r="A258"/>
      <c r="B258"/>
      <c r="C258"/>
    </row>
    <row r="259" spans="1:3" x14ac:dyDescent="0.35">
      <c r="A259"/>
      <c r="B259"/>
      <c r="C259"/>
    </row>
    <row r="260" spans="1:3" x14ac:dyDescent="0.35">
      <c r="A260"/>
      <c r="B260"/>
      <c r="C260"/>
    </row>
    <row r="261" spans="1:3" x14ac:dyDescent="0.35">
      <c r="A261"/>
      <c r="B261"/>
      <c r="C261"/>
    </row>
    <row r="262" spans="1:3" x14ac:dyDescent="0.35">
      <c r="A262"/>
      <c r="B262"/>
      <c r="C262"/>
    </row>
    <row r="263" spans="1:3" x14ac:dyDescent="0.35">
      <c r="A263"/>
      <c r="B263"/>
      <c r="C263"/>
    </row>
    <row r="264" spans="1:3" x14ac:dyDescent="0.35">
      <c r="A264"/>
      <c r="B264"/>
      <c r="C264"/>
    </row>
    <row r="265" spans="1:3" x14ac:dyDescent="0.35">
      <c r="A265"/>
      <c r="B265"/>
      <c r="C265"/>
    </row>
    <row r="266" spans="1:3" x14ac:dyDescent="0.35">
      <c r="A266"/>
      <c r="B266"/>
      <c r="C266"/>
    </row>
    <row r="267" spans="1:3" x14ac:dyDescent="0.35">
      <c r="A267"/>
      <c r="B267"/>
      <c r="C267"/>
    </row>
    <row r="268" spans="1:3" x14ac:dyDescent="0.35">
      <c r="A268"/>
      <c r="B268"/>
      <c r="C268"/>
    </row>
    <row r="269" spans="1:3" x14ac:dyDescent="0.35">
      <c r="A269"/>
      <c r="B269"/>
      <c r="C269"/>
    </row>
    <row r="270" spans="1:3" x14ac:dyDescent="0.35">
      <c r="A270"/>
      <c r="B270"/>
      <c r="C270"/>
    </row>
    <row r="271" spans="1:3" x14ac:dyDescent="0.35">
      <c r="A271"/>
      <c r="B271"/>
      <c r="C271"/>
    </row>
    <row r="272" spans="1:3" x14ac:dyDescent="0.35">
      <c r="A272"/>
      <c r="B272"/>
      <c r="C272"/>
    </row>
    <row r="273" spans="1:3" x14ac:dyDescent="0.35">
      <c r="A273"/>
      <c r="B273"/>
      <c r="C273"/>
    </row>
    <row r="274" spans="1:3" x14ac:dyDescent="0.35">
      <c r="A274"/>
      <c r="B274"/>
      <c r="C274"/>
    </row>
    <row r="275" spans="1:3" x14ac:dyDescent="0.35">
      <c r="A275"/>
      <c r="B275"/>
      <c r="C275"/>
    </row>
    <row r="276" spans="1:3" x14ac:dyDescent="0.35">
      <c r="A276"/>
      <c r="B276"/>
      <c r="C276"/>
    </row>
    <row r="277" spans="1:3" x14ac:dyDescent="0.35">
      <c r="A277"/>
      <c r="B277"/>
      <c r="C277"/>
    </row>
    <row r="278" spans="1:3" x14ac:dyDescent="0.35">
      <c r="A278"/>
      <c r="B278"/>
      <c r="C278"/>
    </row>
    <row r="279" spans="1:3" x14ac:dyDescent="0.35">
      <c r="A279"/>
      <c r="B279"/>
      <c r="C279"/>
    </row>
    <row r="280" spans="1:3" x14ac:dyDescent="0.35">
      <c r="A280"/>
      <c r="B280"/>
      <c r="C280"/>
    </row>
    <row r="281" spans="1:3" x14ac:dyDescent="0.35">
      <c r="A281"/>
      <c r="B281"/>
      <c r="C281"/>
    </row>
    <row r="282" spans="1:3" x14ac:dyDescent="0.35">
      <c r="A282"/>
      <c r="B282"/>
      <c r="C282"/>
    </row>
    <row r="283" spans="1:3" x14ac:dyDescent="0.35">
      <c r="A283"/>
      <c r="B283"/>
      <c r="C283"/>
    </row>
    <row r="284" spans="1:3" x14ac:dyDescent="0.35">
      <c r="A284"/>
      <c r="B284"/>
      <c r="C284"/>
    </row>
    <row r="285" spans="1:3" x14ac:dyDescent="0.35">
      <c r="A285"/>
      <c r="B285"/>
      <c r="C285"/>
    </row>
    <row r="286" spans="1:3" x14ac:dyDescent="0.35">
      <c r="A286"/>
      <c r="B286"/>
      <c r="C286"/>
    </row>
    <row r="287" spans="1:3" x14ac:dyDescent="0.35">
      <c r="A287"/>
      <c r="B287"/>
      <c r="C287"/>
    </row>
    <row r="288" spans="1:3" x14ac:dyDescent="0.35">
      <c r="A288"/>
      <c r="B288"/>
      <c r="C288"/>
    </row>
    <row r="289" spans="1:3" x14ac:dyDescent="0.35">
      <c r="A289"/>
      <c r="B289"/>
      <c r="C289"/>
    </row>
    <row r="290" spans="1:3" x14ac:dyDescent="0.35">
      <c r="A290"/>
      <c r="B290"/>
      <c r="C290"/>
    </row>
    <row r="291" spans="1:3" x14ac:dyDescent="0.35">
      <c r="A291"/>
      <c r="B291"/>
      <c r="C291"/>
    </row>
    <row r="292" spans="1:3" x14ac:dyDescent="0.35">
      <c r="A292"/>
      <c r="B292"/>
      <c r="C292"/>
    </row>
    <row r="293" spans="1:3" x14ac:dyDescent="0.35">
      <c r="A293"/>
      <c r="B293"/>
      <c r="C293"/>
    </row>
    <row r="294" spans="1:3" x14ac:dyDescent="0.35">
      <c r="A294"/>
      <c r="B294"/>
      <c r="C294"/>
    </row>
    <row r="295" spans="1:3" x14ac:dyDescent="0.35">
      <c r="A295"/>
      <c r="B295"/>
      <c r="C295"/>
    </row>
    <row r="296" spans="1:3" x14ac:dyDescent="0.35">
      <c r="A296"/>
      <c r="B296"/>
      <c r="C296"/>
    </row>
    <row r="297" spans="1:3" x14ac:dyDescent="0.35">
      <c r="A297"/>
      <c r="B297"/>
      <c r="C297"/>
    </row>
    <row r="298" spans="1:3" x14ac:dyDescent="0.35">
      <c r="A298"/>
      <c r="B298"/>
      <c r="C298"/>
    </row>
    <row r="299" spans="1:3" x14ac:dyDescent="0.35">
      <c r="A299"/>
      <c r="B299"/>
      <c r="C299"/>
    </row>
    <row r="300" spans="1:3" x14ac:dyDescent="0.35">
      <c r="A300"/>
      <c r="B300"/>
      <c r="C300"/>
    </row>
    <row r="301" spans="1:3" x14ac:dyDescent="0.35">
      <c r="A301"/>
      <c r="B301"/>
      <c r="C301"/>
    </row>
    <row r="302" spans="1:3" x14ac:dyDescent="0.35">
      <c r="A302"/>
      <c r="B302"/>
      <c r="C302"/>
    </row>
    <row r="303" spans="1:3" x14ac:dyDescent="0.35">
      <c r="A303"/>
      <c r="B303"/>
      <c r="C303"/>
    </row>
    <row r="304" spans="1:3" x14ac:dyDescent="0.35">
      <c r="A304"/>
      <c r="B304"/>
      <c r="C304"/>
    </row>
    <row r="305" spans="1:3" x14ac:dyDescent="0.35">
      <c r="A305"/>
      <c r="B305"/>
      <c r="C305"/>
    </row>
    <row r="306" spans="1:3" x14ac:dyDescent="0.35">
      <c r="A306"/>
      <c r="B306"/>
      <c r="C306"/>
    </row>
    <row r="307" spans="1:3" x14ac:dyDescent="0.35">
      <c r="A307"/>
      <c r="B307"/>
      <c r="C307"/>
    </row>
    <row r="308" spans="1:3" x14ac:dyDescent="0.35">
      <c r="A308"/>
      <c r="B308"/>
      <c r="C308"/>
    </row>
    <row r="309" spans="1:3" x14ac:dyDescent="0.35">
      <c r="A309"/>
      <c r="B309"/>
      <c r="C309"/>
    </row>
    <row r="310" spans="1:3" x14ac:dyDescent="0.35">
      <c r="A310"/>
      <c r="B310"/>
      <c r="C310"/>
    </row>
    <row r="311" spans="1:3" x14ac:dyDescent="0.35">
      <c r="A311"/>
      <c r="B311"/>
      <c r="C311"/>
    </row>
    <row r="312" spans="1:3" x14ac:dyDescent="0.35">
      <c r="A312"/>
      <c r="B312"/>
      <c r="C312"/>
    </row>
    <row r="313" spans="1:3" x14ac:dyDescent="0.35">
      <c r="A313"/>
      <c r="B313"/>
      <c r="C313"/>
    </row>
    <row r="314" spans="1:3" x14ac:dyDescent="0.35">
      <c r="A314"/>
      <c r="B314"/>
      <c r="C314"/>
    </row>
    <row r="315" spans="1:3" x14ac:dyDescent="0.35">
      <c r="A315"/>
      <c r="B315"/>
      <c r="C315"/>
    </row>
    <row r="316" spans="1:3" x14ac:dyDescent="0.35">
      <c r="A316"/>
      <c r="B316"/>
      <c r="C316"/>
    </row>
    <row r="317" spans="1:3" x14ac:dyDescent="0.35">
      <c r="A317"/>
      <c r="B317"/>
      <c r="C317"/>
    </row>
    <row r="318" spans="1:3" x14ac:dyDescent="0.35">
      <c r="A318"/>
      <c r="B318"/>
      <c r="C318"/>
    </row>
    <row r="319" spans="1:3" x14ac:dyDescent="0.35">
      <c r="A319"/>
      <c r="B319"/>
      <c r="C319"/>
    </row>
    <row r="320" spans="1:3" x14ac:dyDescent="0.35">
      <c r="A320"/>
      <c r="B320"/>
      <c r="C320"/>
    </row>
    <row r="321" spans="1:3" x14ac:dyDescent="0.35">
      <c r="A321"/>
      <c r="B321"/>
      <c r="C321"/>
    </row>
    <row r="322" spans="1:3" x14ac:dyDescent="0.35">
      <c r="A322"/>
      <c r="B322"/>
      <c r="C322"/>
    </row>
    <row r="323" spans="1:3" x14ac:dyDescent="0.35">
      <c r="A323"/>
      <c r="B323"/>
      <c r="C323"/>
    </row>
    <row r="324" spans="1:3" x14ac:dyDescent="0.35">
      <c r="A324"/>
      <c r="B324"/>
      <c r="C324"/>
    </row>
    <row r="325" spans="1:3" x14ac:dyDescent="0.35">
      <c r="A325"/>
      <c r="B325"/>
      <c r="C325"/>
    </row>
    <row r="326" spans="1:3" x14ac:dyDescent="0.35">
      <c r="A326"/>
      <c r="B326"/>
      <c r="C326"/>
    </row>
    <row r="327" spans="1:3" x14ac:dyDescent="0.35">
      <c r="A327"/>
      <c r="B327"/>
      <c r="C327"/>
    </row>
    <row r="328" spans="1:3" x14ac:dyDescent="0.35">
      <c r="A328"/>
      <c r="B328"/>
      <c r="C328"/>
    </row>
    <row r="329" spans="1:3" x14ac:dyDescent="0.35">
      <c r="A329"/>
      <c r="B329"/>
      <c r="C329"/>
    </row>
    <row r="330" spans="1:3" x14ac:dyDescent="0.35">
      <c r="A330"/>
      <c r="B330"/>
      <c r="C330"/>
    </row>
    <row r="331" spans="1:3" x14ac:dyDescent="0.35">
      <c r="A331"/>
      <c r="B331"/>
      <c r="C331"/>
    </row>
    <row r="332" spans="1:3" x14ac:dyDescent="0.35">
      <c r="A332"/>
      <c r="B332"/>
      <c r="C332"/>
    </row>
    <row r="333" spans="1:3" x14ac:dyDescent="0.35">
      <c r="A333"/>
      <c r="B333"/>
      <c r="C333"/>
    </row>
    <row r="334" spans="1:3" x14ac:dyDescent="0.35">
      <c r="A334"/>
      <c r="B334"/>
      <c r="C334"/>
    </row>
    <row r="335" spans="1:3" x14ac:dyDescent="0.35">
      <c r="A335"/>
      <c r="B335"/>
      <c r="C335"/>
    </row>
    <row r="336" spans="1:3" x14ac:dyDescent="0.35">
      <c r="A336"/>
      <c r="B336"/>
      <c r="C336"/>
    </row>
    <row r="337" spans="1:3" x14ac:dyDescent="0.35">
      <c r="A337"/>
      <c r="B337"/>
      <c r="C337"/>
    </row>
    <row r="338" spans="1:3" x14ac:dyDescent="0.35">
      <c r="A338"/>
      <c r="B338"/>
      <c r="C338"/>
    </row>
    <row r="339" spans="1:3" x14ac:dyDescent="0.35">
      <c r="A339"/>
      <c r="B339"/>
      <c r="C339"/>
    </row>
    <row r="340" spans="1:3" x14ac:dyDescent="0.35">
      <c r="A340"/>
      <c r="B340"/>
      <c r="C340"/>
    </row>
    <row r="341" spans="1:3" x14ac:dyDescent="0.35">
      <c r="A341"/>
      <c r="B341"/>
      <c r="C341"/>
    </row>
    <row r="342" spans="1:3" x14ac:dyDescent="0.35">
      <c r="A342"/>
      <c r="B342"/>
      <c r="C342"/>
    </row>
    <row r="343" spans="1:3" x14ac:dyDescent="0.35">
      <c r="A343"/>
      <c r="B343"/>
      <c r="C343"/>
    </row>
    <row r="344" spans="1:3" x14ac:dyDescent="0.35">
      <c r="A344"/>
      <c r="B344"/>
      <c r="C344"/>
    </row>
    <row r="345" spans="1:3" x14ac:dyDescent="0.35">
      <c r="A345"/>
      <c r="B345"/>
      <c r="C345"/>
    </row>
    <row r="346" spans="1:3" x14ac:dyDescent="0.35">
      <c r="A346"/>
      <c r="B346"/>
      <c r="C346"/>
    </row>
    <row r="347" spans="1:3" x14ac:dyDescent="0.35">
      <c r="A347"/>
      <c r="B347"/>
      <c r="C347"/>
    </row>
    <row r="348" spans="1:3" x14ac:dyDescent="0.35">
      <c r="A348"/>
      <c r="B348"/>
      <c r="C348"/>
    </row>
    <row r="349" spans="1:3" x14ac:dyDescent="0.35">
      <c r="A349"/>
      <c r="B349"/>
      <c r="C349"/>
    </row>
    <row r="350" spans="1:3" x14ac:dyDescent="0.35">
      <c r="A350"/>
      <c r="B350"/>
      <c r="C350"/>
    </row>
    <row r="351" spans="1:3" x14ac:dyDescent="0.35">
      <c r="A351"/>
      <c r="B351"/>
      <c r="C351"/>
    </row>
    <row r="352" spans="1:3" x14ac:dyDescent="0.35">
      <c r="A352"/>
      <c r="B352"/>
      <c r="C352"/>
    </row>
    <row r="353" spans="1:3" x14ac:dyDescent="0.35">
      <c r="A353"/>
      <c r="B353"/>
      <c r="C353"/>
    </row>
    <row r="354" spans="1:3" x14ac:dyDescent="0.35">
      <c r="A354"/>
      <c r="B354"/>
      <c r="C354"/>
    </row>
    <row r="355" spans="1:3" x14ac:dyDescent="0.35">
      <c r="A355"/>
      <c r="B355"/>
      <c r="C355"/>
    </row>
    <row r="356" spans="1:3" x14ac:dyDescent="0.35">
      <c r="A356"/>
      <c r="B356"/>
      <c r="C356"/>
    </row>
    <row r="357" spans="1:3" x14ac:dyDescent="0.35">
      <c r="A357"/>
      <c r="B357"/>
      <c r="C357"/>
    </row>
    <row r="358" spans="1:3" x14ac:dyDescent="0.35">
      <c r="A358"/>
      <c r="B358"/>
      <c r="C358"/>
    </row>
    <row r="359" spans="1:3" x14ac:dyDescent="0.35">
      <c r="A359"/>
      <c r="B359"/>
      <c r="C359"/>
    </row>
    <row r="360" spans="1:3" x14ac:dyDescent="0.35">
      <c r="A360"/>
      <c r="B360"/>
      <c r="C360"/>
    </row>
    <row r="361" spans="1:3" x14ac:dyDescent="0.35">
      <c r="A361"/>
      <c r="B361"/>
      <c r="C361"/>
    </row>
    <row r="362" spans="1:3" x14ac:dyDescent="0.35">
      <c r="A362"/>
      <c r="B362"/>
      <c r="C362"/>
    </row>
    <row r="363" spans="1:3" x14ac:dyDescent="0.35">
      <c r="A363"/>
      <c r="B363"/>
      <c r="C363"/>
    </row>
    <row r="364" spans="1:3" x14ac:dyDescent="0.35">
      <c r="A364"/>
      <c r="B364"/>
      <c r="C364"/>
    </row>
    <row r="365" spans="1:3" x14ac:dyDescent="0.35">
      <c r="A365"/>
      <c r="B365"/>
      <c r="C365"/>
    </row>
    <row r="366" spans="1:3" x14ac:dyDescent="0.35">
      <c r="A366"/>
      <c r="B366"/>
      <c r="C366"/>
    </row>
    <row r="367" spans="1:3" x14ac:dyDescent="0.35">
      <c r="A367"/>
      <c r="B367"/>
      <c r="C367"/>
    </row>
    <row r="368" spans="1:3" x14ac:dyDescent="0.35">
      <c r="A368"/>
      <c r="B368"/>
      <c r="C368"/>
    </row>
    <row r="369" spans="1:3" x14ac:dyDescent="0.35">
      <c r="A369"/>
      <c r="B369"/>
      <c r="C369"/>
    </row>
    <row r="370" spans="1:3" x14ac:dyDescent="0.35">
      <c r="A370"/>
      <c r="B370"/>
      <c r="C370"/>
    </row>
    <row r="371" spans="1:3" x14ac:dyDescent="0.35">
      <c r="A371"/>
      <c r="B371"/>
      <c r="C371"/>
    </row>
    <row r="372" spans="1:3" x14ac:dyDescent="0.35">
      <c r="A372"/>
      <c r="B372"/>
      <c r="C372"/>
    </row>
    <row r="373" spans="1:3" x14ac:dyDescent="0.35">
      <c r="A373"/>
      <c r="B373"/>
      <c r="C373"/>
    </row>
    <row r="374" spans="1:3" x14ac:dyDescent="0.35">
      <c r="A374"/>
      <c r="B374"/>
      <c r="C374"/>
    </row>
    <row r="375" spans="1:3" x14ac:dyDescent="0.35">
      <c r="A375"/>
      <c r="B375"/>
      <c r="C375"/>
    </row>
    <row r="376" spans="1:3" x14ac:dyDescent="0.35">
      <c r="A376"/>
      <c r="B376"/>
      <c r="C376"/>
    </row>
    <row r="377" spans="1:3" x14ac:dyDescent="0.35">
      <c r="A377"/>
      <c r="B377"/>
      <c r="C377"/>
    </row>
    <row r="378" spans="1:3" x14ac:dyDescent="0.35">
      <c r="A378"/>
      <c r="B378"/>
      <c r="C378"/>
    </row>
    <row r="379" spans="1:3" x14ac:dyDescent="0.35">
      <c r="A379"/>
      <c r="B379"/>
      <c r="C379"/>
    </row>
    <row r="380" spans="1:3" x14ac:dyDescent="0.35">
      <c r="A380"/>
      <c r="B380"/>
      <c r="C380"/>
    </row>
    <row r="381" spans="1:3" x14ac:dyDescent="0.35">
      <c r="A381"/>
      <c r="B381"/>
      <c r="C381"/>
    </row>
    <row r="382" spans="1:3" x14ac:dyDescent="0.35">
      <c r="A382"/>
      <c r="B382"/>
      <c r="C382"/>
    </row>
    <row r="383" spans="1:3" x14ac:dyDescent="0.35">
      <c r="A383"/>
      <c r="B383"/>
      <c r="C383"/>
    </row>
    <row r="384" spans="1:3" x14ac:dyDescent="0.35">
      <c r="A384"/>
      <c r="B384"/>
      <c r="C384"/>
    </row>
    <row r="385" spans="1:3" x14ac:dyDescent="0.35">
      <c r="A385"/>
      <c r="B385"/>
      <c r="C385"/>
    </row>
    <row r="386" spans="1:3" x14ac:dyDescent="0.35">
      <c r="A386"/>
      <c r="B386"/>
      <c r="C386"/>
    </row>
    <row r="387" spans="1:3" x14ac:dyDescent="0.35">
      <c r="A387"/>
      <c r="B387"/>
      <c r="C387"/>
    </row>
    <row r="388" spans="1:3" x14ac:dyDescent="0.35">
      <c r="A388"/>
      <c r="B388"/>
      <c r="C388"/>
    </row>
    <row r="389" spans="1:3" x14ac:dyDescent="0.35">
      <c r="A389"/>
      <c r="B389"/>
      <c r="C389"/>
    </row>
    <row r="390" spans="1:3" x14ac:dyDescent="0.35">
      <c r="A390"/>
      <c r="B390"/>
      <c r="C390"/>
    </row>
    <row r="391" spans="1:3" x14ac:dyDescent="0.35">
      <c r="A391"/>
      <c r="B391"/>
      <c r="C391"/>
    </row>
    <row r="392" spans="1:3" x14ac:dyDescent="0.35">
      <c r="A392"/>
      <c r="B392"/>
      <c r="C392"/>
    </row>
    <row r="393" spans="1:3" x14ac:dyDescent="0.35">
      <c r="A393"/>
      <c r="B393"/>
      <c r="C393"/>
    </row>
    <row r="394" spans="1:3" x14ac:dyDescent="0.35">
      <c r="A394"/>
      <c r="B394"/>
      <c r="C394"/>
    </row>
    <row r="395" spans="1:3" x14ac:dyDescent="0.35">
      <c r="A395"/>
      <c r="B395"/>
      <c r="C395"/>
    </row>
    <row r="396" spans="1:3" x14ac:dyDescent="0.35">
      <c r="A396"/>
      <c r="B396"/>
      <c r="C396"/>
    </row>
    <row r="397" spans="1:3" x14ac:dyDescent="0.35">
      <c r="A397"/>
      <c r="B397"/>
      <c r="C397"/>
    </row>
    <row r="398" spans="1:3" x14ac:dyDescent="0.35">
      <c r="A398"/>
      <c r="B398"/>
      <c r="C398"/>
    </row>
    <row r="399" spans="1:3" x14ac:dyDescent="0.35">
      <c r="A399"/>
      <c r="B399"/>
      <c r="C399"/>
    </row>
    <row r="400" spans="1:3" x14ac:dyDescent="0.35">
      <c r="A400"/>
      <c r="B400"/>
      <c r="C400"/>
    </row>
    <row r="401" spans="1:3" x14ac:dyDescent="0.35">
      <c r="A401"/>
      <c r="B401"/>
      <c r="C401"/>
    </row>
    <row r="402" spans="1:3" x14ac:dyDescent="0.35">
      <c r="A402"/>
      <c r="B402"/>
      <c r="C402"/>
    </row>
    <row r="403" spans="1:3" x14ac:dyDescent="0.35">
      <c r="A403"/>
      <c r="B403"/>
      <c r="C403"/>
    </row>
    <row r="404" spans="1:3" x14ac:dyDescent="0.35">
      <c r="A404"/>
      <c r="B404"/>
      <c r="C404"/>
    </row>
    <row r="405" spans="1:3" x14ac:dyDescent="0.35">
      <c r="A405"/>
      <c r="B405"/>
      <c r="C405"/>
    </row>
    <row r="406" spans="1:3" x14ac:dyDescent="0.35">
      <c r="A406"/>
      <c r="B406"/>
      <c r="C406"/>
    </row>
    <row r="407" spans="1:3" x14ac:dyDescent="0.35">
      <c r="A407"/>
      <c r="B407"/>
      <c r="C407"/>
    </row>
    <row r="408" spans="1:3" x14ac:dyDescent="0.35">
      <c r="A408"/>
      <c r="B408"/>
      <c r="C408"/>
    </row>
    <row r="409" spans="1:3" x14ac:dyDescent="0.35">
      <c r="A409"/>
      <c r="B409"/>
      <c r="C409"/>
    </row>
    <row r="410" spans="1:3" x14ac:dyDescent="0.35">
      <c r="A410"/>
      <c r="B410"/>
      <c r="C410"/>
    </row>
    <row r="411" spans="1:3" x14ac:dyDescent="0.35">
      <c r="A411"/>
      <c r="B411"/>
      <c r="C411"/>
    </row>
    <row r="412" spans="1:3" x14ac:dyDescent="0.35">
      <c r="A412"/>
      <c r="B412"/>
      <c r="C412"/>
    </row>
    <row r="413" spans="1:3" x14ac:dyDescent="0.35">
      <c r="A413"/>
      <c r="B413"/>
      <c r="C413"/>
    </row>
    <row r="414" spans="1:3" x14ac:dyDescent="0.35">
      <c r="A414"/>
      <c r="B414"/>
      <c r="C414"/>
    </row>
    <row r="415" spans="1:3" x14ac:dyDescent="0.35">
      <c r="A415"/>
      <c r="B415"/>
      <c r="C415"/>
    </row>
    <row r="416" spans="1:3" x14ac:dyDescent="0.35">
      <c r="A416"/>
      <c r="B416"/>
      <c r="C416"/>
    </row>
    <row r="417" spans="1:3" x14ac:dyDescent="0.35">
      <c r="A417"/>
      <c r="B417"/>
      <c r="C417"/>
    </row>
    <row r="418" spans="1:3" x14ac:dyDescent="0.35">
      <c r="A418"/>
      <c r="B418"/>
      <c r="C418"/>
    </row>
    <row r="419" spans="1:3" x14ac:dyDescent="0.35">
      <c r="A419"/>
      <c r="B419"/>
      <c r="C419"/>
    </row>
    <row r="420" spans="1:3" x14ac:dyDescent="0.35">
      <c r="A420"/>
      <c r="B420"/>
      <c r="C420"/>
    </row>
    <row r="421" spans="1:3" x14ac:dyDescent="0.35">
      <c r="A421"/>
      <c r="B421"/>
      <c r="C421"/>
    </row>
    <row r="422" spans="1:3" x14ac:dyDescent="0.35">
      <c r="A422"/>
      <c r="B422"/>
      <c r="C422"/>
    </row>
    <row r="423" spans="1:3" x14ac:dyDescent="0.35">
      <c r="A423"/>
      <c r="B423"/>
      <c r="C423"/>
    </row>
    <row r="424" spans="1:3" x14ac:dyDescent="0.35">
      <c r="A424"/>
      <c r="B424"/>
      <c r="C424"/>
    </row>
    <row r="425" spans="1:3" x14ac:dyDescent="0.35">
      <c r="A425"/>
      <c r="B425"/>
      <c r="C425"/>
    </row>
    <row r="426" spans="1:3" x14ac:dyDescent="0.35">
      <c r="A426"/>
      <c r="B426"/>
      <c r="C426"/>
    </row>
    <row r="427" spans="1:3" x14ac:dyDescent="0.35">
      <c r="A427"/>
      <c r="B427"/>
      <c r="C427"/>
    </row>
    <row r="428" spans="1:3" x14ac:dyDescent="0.35">
      <c r="A428"/>
      <c r="B428"/>
      <c r="C428"/>
    </row>
    <row r="429" spans="1:3" x14ac:dyDescent="0.35">
      <c r="A429"/>
      <c r="B429"/>
      <c r="C429"/>
    </row>
    <row r="430" spans="1:3" x14ac:dyDescent="0.35">
      <c r="A430"/>
      <c r="B430"/>
      <c r="C430"/>
    </row>
    <row r="431" spans="1:3" x14ac:dyDescent="0.35">
      <c r="A431"/>
      <c r="B431"/>
      <c r="C431"/>
    </row>
    <row r="432" spans="1:3" x14ac:dyDescent="0.35">
      <c r="A432"/>
      <c r="B432"/>
      <c r="C432"/>
    </row>
    <row r="433" spans="1:3" x14ac:dyDescent="0.35">
      <c r="A433"/>
      <c r="B433"/>
      <c r="C433"/>
    </row>
    <row r="434" spans="1:3" x14ac:dyDescent="0.35">
      <c r="A434"/>
      <c r="B434"/>
      <c r="C434"/>
    </row>
    <row r="435" spans="1:3" x14ac:dyDescent="0.35">
      <c r="A435"/>
      <c r="B435"/>
      <c r="C435"/>
    </row>
    <row r="436" spans="1:3" x14ac:dyDescent="0.35">
      <c r="A436"/>
      <c r="B436"/>
      <c r="C436"/>
    </row>
    <row r="437" spans="1:3" x14ac:dyDescent="0.35">
      <c r="A437"/>
      <c r="B437"/>
      <c r="C437"/>
    </row>
    <row r="438" spans="1:3" x14ac:dyDescent="0.35">
      <c r="A438"/>
      <c r="B438"/>
      <c r="C438"/>
    </row>
    <row r="439" spans="1:3" x14ac:dyDescent="0.35">
      <c r="A439"/>
      <c r="B439"/>
      <c r="C439"/>
    </row>
    <row r="440" spans="1:3" x14ac:dyDescent="0.35">
      <c r="A440"/>
      <c r="B440"/>
      <c r="C440"/>
    </row>
    <row r="441" spans="1:3" x14ac:dyDescent="0.35">
      <c r="A441"/>
      <c r="B441"/>
      <c r="C441"/>
    </row>
    <row r="442" spans="1:3" x14ac:dyDescent="0.35">
      <c r="A442"/>
      <c r="B442"/>
      <c r="C442"/>
    </row>
    <row r="443" spans="1:3" x14ac:dyDescent="0.35">
      <c r="A443"/>
      <c r="B443"/>
      <c r="C443"/>
    </row>
    <row r="444" spans="1:3" x14ac:dyDescent="0.35">
      <c r="A444"/>
      <c r="B444"/>
      <c r="C444"/>
    </row>
    <row r="445" spans="1:3" x14ac:dyDescent="0.35">
      <c r="A445"/>
      <c r="B445"/>
      <c r="C445"/>
    </row>
    <row r="446" spans="1:3" x14ac:dyDescent="0.35">
      <c r="A446"/>
      <c r="B446"/>
      <c r="C446"/>
    </row>
    <row r="447" spans="1:3" x14ac:dyDescent="0.35">
      <c r="A447"/>
      <c r="B447"/>
      <c r="C447"/>
    </row>
    <row r="448" spans="1:3" x14ac:dyDescent="0.35">
      <c r="A448"/>
      <c r="B448"/>
      <c r="C448"/>
    </row>
    <row r="449" spans="1:3" x14ac:dyDescent="0.35">
      <c r="A449"/>
      <c r="B449"/>
      <c r="C449"/>
    </row>
    <row r="450" spans="1:3" x14ac:dyDescent="0.35">
      <c r="A450"/>
      <c r="B450"/>
      <c r="C450"/>
    </row>
    <row r="451" spans="1:3" x14ac:dyDescent="0.35">
      <c r="A451"/>
      <c r="B451"/>
      <c r="C451"/>
    </row>
    <row r="452" spans="1:3" x14ac:dyDescent="0.35">
      <c r="A452"/>
      <c r="B452"/>
      <c r="C452"/>
    </row>
    <row r="453" spans="1:3" x14ac:dyDescent="0.35">
      <c r="A453"/>
      <c r="B453"/>
      <c r="C453"/>
    </row>
    <row r="454" spans="1:3" x14ac:dyDescent="0.35">
      <c r="A454"/>
      <c r="B454"/>
      <c r="C454"/>
    </row>
    <row r="455" spans="1:3" x14ac:dyDescent="0.35">
      <c r="A455"/>
      <c r="B455"/>
      <c r="C455"/>
    </row>
    <row r="456" spans="1:3" x14ac:dyDescent="0.35">
      <c r="A456"/>
      <c r="B456"/>
      <c r="C456"/>
    </row>
    <row r="457" spans="1:3" x14ac:dyDescent="0.35">
      <c r="A457"/>
      <c r="B457"/>
      <c r="C457"/>
    </row>
    <row r="458" spans="1:3" x14ac:dyDescent="0.35">
      <c r="A458"/>
      <c r="B458"/>
      <c r="C458"/>
    </row>
    <row r="459" spans="1:3" x14ac:dyDescent="0.35">
      <c r="A459"/>
      <c r="B459"/>
      <c r="C459"/>
    </row>
    <row r="460" spans="1:3" x14ac:dyDescent="0.35">
      <c r="A460"/>
      <c r="B460"/>
      <c r="C460"/>
    </row>
    <row r="461" spans="1:3" x14ac:dyDescent="0.35">
      <c r="A461"/>
      <c r="B461"/>
      <c r="C461"/>
    </row>
    <row r="462" spans="1:3" x14ac:dyDescent="0.35">
      <c r="A462"/>
      <c r="B462"/>
      <c r="C462"/>
    </row>
    <row r="463" spans="1:3" x14ac:dyDescent="0.35">
      <c r="A463"/>
      <c r="B463"/>
      <c r="C463"/>
    </row>
    <row r="464" spans="1:3" x14ac:dyDescent="0.35">
      <c r="A464"/>
      <c r="B464"/>
      <c r="C464"/>
    </row>
    <row r="465" spans="1:3" x14ac:dyDescent="0.35">
      <c r="A465"/>
      <c r="B465"/>
      <c r="C465"/>
    </row>
    <row r="466" spans="1:3" x14ac:dyDescent="0.35">
      <c r="A466"/>
      <c r="B466"/>
      <c r="C466"/>
    </row>
    <row r="467" spans="1:3" x14ac:dyDescent="0.35">
      <c r="A467"/>
      <c r="B467"/>
      <c r="C467"/>
    </row>
    <row r="468" spans="1:3" x14ac:dyDescent="0.35">
      <c r="A468"/>
      <c r="B468"/>
      <c r="C468"/>
    </row>
    <row r="469" spans="1:3" x14ac:dyDescent="0.35">
      <c r="A469"/>
      <c r="B469"/>
      <c r="C469"/>
    </row>
    <row r="470" spans="1:3" x14ac:dyDescent="0.35">
      <c r="A470"/>
      <c r="B470"/>
      <c r="C470"/>
    </row>
    <row r="471" spans="1:3" x14ac:dyDescent="0.35">
      <c r="A471"/>
      <c r="B471"/>
      <c r="C471"/>
    </row>
    <row r="472" spans="1:3" x14ac:dyDescent="0.35">
      <c r="A472"/>
      <c r="B472"/>
      <c r="C472"/>
    </row>
    <row r="473" spans="1:3" x14ac:dyDescent="0.35">
      <c r="A473"/>
      <c r="B473"/>
      <c r="C473"/>
    </row>
    <row r="474" spans="1:3" x14ac:dyDescent="0.35">
      <c r="A474"/>
      <c r="B474"/>
      <c r="C474"/>
    </row>
    <row r="475" spans="1:3" x14ac:dyDescent="0.35">
      <c r="A475"/>
      <c r="B475"/>
      <c r="C475"/>
    </row>
    <row r="476" spans="1:3" x14ac:dyDescent="0.35">
      <c r="A476"/>
      <c r="B476"/>
      <c r="C476"/>
    </row>
    <row r="477" spans="1:3" x14ac:dyDescent="0.35">
      <c r="A477"/>
      <c r="B477"/>
      <c r="C477"/>
    </row>
    <row r="478" spans="1:3" x14ac:dyDescent="0.35">
      <c r="A478"/>
      <c r="B478"/>
      <c r="C478"/>
    </row>
    <row r="479" spans="1:3" x14ac:dyDescent="0.35">
      <c r="A479"/>
      <c r="B479"/>
      <c r="C479"/>
    </row>
    <row r="480" spans="1:3" x14ac:dyDescent="0.35">
      <c r="A480"/>
      <c r="B480"/>
      <c r="C480"/>
    </row>
    <row r="481" spans="1:3" x14ac:dyDescent="0.35">
      <c r="A481"/>
      <c r="B481"/>
      <c r="C481"/>
    </row>
    <row r="482" spans="1:3" x14ac:dyDescent="0.35">
      <c r="A482"/>
      <c r="B482"/>
      <c r="C482"/>
    </row>
    <row r="483" spans="1:3" x14ac:dyDescent="0.35">
      <c r="A483"/>
      <c r="B483"/>
      <c r="C48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3A545-3588-42DC-BFEA-EA43EE901ACF}">
  <dimension ref="A1:F107"/>
  <sheetViews>
    <sheetView workbookViewId="0">
      <pane xSplit="4" ySplit="4" topLeftCell="E5" activePane="bottomRight" state="frozen"/>
      <selection pane="topRight" activeCell="E1" sqref="E1"/>
      <selection pane="bottomLeft" activeCell="A5" sqref="A5"/>
      <selection pane="bottomRight" activeCell="A14" sqref="A14:XFD14"/>
    </sheetView>
  </sheetViews>
  <sheetFormatPr defaultColWidth="9.1796875" defaultRowHeight="14.5" x14ac:dyDescent="0.35"/>
  <cols>
    <col min="1" max="1" width="15" style="6" bestFit="1" customWidth="1"/>
    <col min="2" max="2" width="59.26953125" style="6" bestFit="1" customWidth="1"/>
    <col min="3" max="3" width="10.26953125" style="6" bestFit="1" customWidth="1"/>
    <col min="4" max="4" width="83.26953125" style="6" bestFit="1" customWidth="1"/>
    <col min="5" max="5" width="29.7265625" style="6" bestFit="1" customWidth="1"/>
    <col min="6" max="6" width="30.54296875" style="6" bestFit="1" customWidth="1"/>
    <col min="7" max="16384" width="9.1796875" style="6"/>
  </cols>
  <sheetData>
    <row r="1" spans="1:6" x14ac:dyDescent="0.35">
      <c r="A1" s="18" t="s">
        <v>1292</v>
      </c>
      <c r="B1" s="1" t="s">
        <v>1318</v>
      </c>
    </row>
    <row r="2" spans="1:6" x14ac:dyDescent="0.35">
      <c r="A2" s="18" t="s">
        <v>1288</v>
      </c>
      <c r="B2" s="1" t="s">
        <v>1321</v>
      </c>
    </row>
    <row r="4" spans="1:6" x14ac:dyDescent="0.35">
      <c r="A4" s="18" t="s">
        <v>1287</v>
      </c>
      <c r="B4" s="18" t="s">
        <v>1290</v>
      </c>
      <c r="C4" s="18" t="s">
        <v>19</v>
      </c>
      <c r="D4" s="18" t="s">
        <v>20</v>
      </c>
      <c r="E4" s="34" t="s">
        <v>1320</v>
      </c>
      <c r="F4" s="1" t="s">
        <v>1322</v>
      </c>
    </row>
    <row r="5" spans="1:6" x14ac:dyDescent="0.35">
      <c r="A5" s="1" t="s">
        <v>1323</v>
      </c>
      <c r="B5" s="1" t="s">
        <v>1324</v>
      </c>
      <c r="C5" s="1" t="s">
        <v>1325</v>
      </c>
      <c r="D5" s="1" t="s">
        <v>1326</v>
      </c>
      <c r="E5" s="19">
        <v>293.02</v>
      </c>
      <c r="F5" s="19">
        <v>0</v>
      </c>
    </row>
    <row r="6" spans="1:6" x14ac:dyDescent="0.35">
      <c r="A6" s="1" t="s">
        <v>1327</v>
      </c>
      <c r="B6" s="1" t="s">
        <v>1328</v>
      </c>
      <c r="C6" s="1" t="s">
        <v>1329</v>
      </c>
      <c r="D6" s="1" t="s">
        <v>1330</v>
      </c>
      <c r="E6" s="19">
        <v>112</v>
      </c>
      <c r="F6" s="19">
        <v>0</v>
      </c>
    </row>
    <row r="7" spans="1:6" x14ac:dyDescent="0.35">
      <c r="A7" s="1" t="s">
        <v>1331</v>
      </c>
      <c r="B7" s="1" t="s">
        <v>1332</v>
      </c>
      <c r="C7" s="1" t="s">
        <v>1329</v>
      </c>
      <c r="D7" s="1" t="s">
        <v>1330</v>
      </c>
      <c r="E7" s="19">
        <v>147.46</v>
      </c>
      <c r="F7" s="19">
        <v>0</v>
      </c>
    </row>
    <row r="8" spans="1:6" x14ac:dyDescent="0.35">
      <c r="A8" s="1" t="s">
        <v>1333</v>
      </c>
      <c r="B8" s="1" t="s">
        <v>1334</v>
      </c>
      <c r="C8" s="1" t="s">
        <v>1329</v>
      </c>
      <c r="D8" s="1" t="s">
        <v>1330</v>
      </c>
      <c r="E8" s="19">
        <v>65.459999999999994</v>
      </c>
      <c r="F8" s="19">
        <v>0</v>
      </c>
    </row>
    <row r="9" spans="1:6" x14ac:dyDescent="0.35">
      <c r="A9" s="1" t="s">
        <v>1335</v>
      </c>
      <c r="B9" s="1" t="s">
        <v>1336</v>
      </c>
      <c r="C9" s="1" t="s">
        <v>35</v>
      </c>
      <c r="D9" s="1" t="s">
        <v>36</v>
      </c>
      <c r="E9" s="19">
        <v>0</v>
      </c>
      <c r="F9" s="19">
        <v>0</v>
      </c>
    </row>
    <row r="10" spans="1:6" x14ac:dyDescent="0.35">
      <c r="A10" s="1" t="s">
        <v>1337</v>
      </c>
      <c r="B10" s="1" t="s">
        <v>1338</v>
      </c>
      <c r="C10" s="1" t="s">
        <v>35</v>
      </c>
      <c r="D10" s="1" t="s">
        <v>36</v>
      </c>
      <c r="E10" s="19">
        <v>0</v>
      </c>
      <c r="F10" s="19">
        <v>0</v>
      </c>
    </row>
    <row r="11" spans="1:6" x14ac:dyDescent="0.35">
      <c r="A11" s="1" t="s">
        <v>1339</v>
      </c>
      <c r="B11" s="1" t="s">
        <v>1340</v>
      </c>
      <c r="C11" s="1" t="s">
        <v>35</v>
      </c>
      <c r="D11" s="1" t="s">
        <v>36</v>
      </c>
      <c r="E11" s="19">
        <v>476.05</v>
      </c>
      <c r="F11" s="19">
        <v>0</v>
      </c>
    </row>
    <row r="12" spans="1:6" x14ac:dyDescent="0.35">
      <c r="A12" s="1" t="s">
        <v>1341</v>
      </c>
      <c r="B12" s="1" t="s">
        <v>1342</v>
      </c>
      <c r="C12" s="1" t="s">
        <v>35</v>
      </c>
      <c r="D12" s="1" t="s">
        <v>36</v>
      </c>
      <c r="E12" s="19">
        <v>476.05</v>
      </c>
      <c r="F12" s="19">
        <v>0</v>
      </c>
    </row>
    <row r="13" spans="1:6" x14ac:dyDescent="0.35">
      <c r="A13" s="1" t="s">
        <v>1343</v>
      </c>
      <c r="B13" s="1" t="s">
        <v>1344</v>
      </c>
      <c r="C13" s="1" t="s">
        <v>35</v>
      </c>
      <c r="D13" s="1" t="s">
        <v>36</v>
      </c>
      <c r="E13" s="19">
        <v>476.05</v>
      </c>
      <c r="F13" s="19">
        <v>0</v>
      </c>
    </row>
    <row r="14" spans="1:6" x14ac:dyDescent="0.35">
      <c r="A14" s="1" t="s">
        <v>1345</v>
      </c>
      <c r="B14" s="1" t="s">
        <v>1346</v>
      </c>
      <c r="C14" s="1" t="s">
        <v>35</v>
      </c>
      <c r="D14" s="1" t="s">
        <v>36</v>
      </c>
      <c r="E14" s="19">
        <v>476.05</v>
      </c>
      <c r="F14" s="19">
        <v>0</v>
      </c>
    </row>
    <row r="15" spans="1:6" x14ac:dyDescent="0.35">
      <c r="A15" s="1" t="s">
        <v>1347</v>
      </c>
      <c r="B15" s="1" t="s">
        <v>1348</v>
      </c>
      <c r="C15" s="1" t="s">
        <v>35</v>
      </c>
      <c r="D15" s="1" t="s">
        <v>36</v>
      </c>
      <c r="E15" s="19">
        <v>476.05</v>
      </c>
      <c r="F15" s="19">
        <v>0</v>
      </c>
    </row>
    <row r="16" spans="1:6" x14ac:dyDescent="0.35">
      <c r="A16" s="1" t="s">
        <v>1349</v>
      </c>
      <c r="B16" s="1" t="s">
        <v>1350</v>
      </c>
      <c r="C16" s="1" t="s">
        <v>1329</v>
      </c>
      <c r="D16" s="1" t="s">
        <v>1330</v>
      </c>
      <c r="E16" s="19">
        <v>105</v>
      </c>
      <c r="F16" s="19">
        <v>0</v>
      </c>
    </row>
    <row r="17" spans="1:6" x14ac:dyDescent="0.35">
      <c r="A17" s="1" t="s">
        <v>1351</v>
      </c>
      <c r="B17" s="1" t="s">
        <v>1352</v>
      </c>
      <c r="C17" s="1" t="s">
        <v>1329</v>
      </c>
      <c r="D17" s="1" t="s">
        <v>1330</v>
      </c>
      <c r="E17" s="19">
        <v>0</v>
      </c>
      <c r="F17" s="19">
        <v>0</v>
      </c>
    </row>
    <row r="18" spans="1:6" x14ac:dyDescent="0.35">
      <c r="A18" s="1" t="s">
        <v>1353</v>
      </c>
      <c r="B18" s="1" t="s">
        <v>1354</v>
      </c>
      <c r="C18" s="1" t="s">
        <v>1329</v>
      </c>
      <c r="D18" s="1" t="s">
        <v>1330</v>
      </c>
      <c r="E18" s="19">
        <v>65.459999999999994</v>
      </c>
      <c r="F18" s="19">
        <v>0</v>
      </c>
    </row>
    <row r="19" spans="1:6" x14ac:dyDescent="0.35">
      <c r="A19" s="1" t="s">
        <v>1355</v>
      </c>
      <c r="B19" s="1" t="s">
        <v>1356</v>
      </c>
      <c r="C19" s="1" t="s">
        <v>1329</v>
      </c>
      <c r="D19" s="1" t="s">
        <v>1330</v>
      </c>
      <c r="E19" s="19">
        <v>65.459999999999994</v>
      </c>
      <c r="F19" s="19">
        <v>0</v>
      </c>
    </row>
    <row r="20" spans="1:6" x14ac:dyDescent="0.35">
      <c r="A20" s="1" t="s">
        <v>1357</v>
      </c>
      <c r="B20" s="1" t="s">
        <v>1358</v>
      </c>
      <c r="C20" s="1" t="s">
        <v>1329</v>
      </c>
      <c r="D20" s="1" t="s">
        <v>1330</v>
      </c>
      <c r="E20" s="19">
        <v>65.459999999999994</v>
      </c>
      <c r="F20" s="19">
        <v>0</v>
      </c>
    </row>
    <row r="21" spans="1:6" x14ac:dyDescent="0.35">
      <c r="A21" s="1" t="s">
        <v>1359</v>
      </c>
      <c r="B21" s="1" t="s">
        <v>1360</v>
      </c>
      <c r="C21" s="1" t="s">
        <v>1329</v>
      </c>
      <c r="D21" s="1" t="s">
        <v>1330</v>
      </c>
      <c r="E21" s="19">
        <v>65.459999999999994</v>
      </c>
      <c r="F21" s="19">
        <v>0</v>
      </c>
    </row>
    <row r="22" spans="1:6" x14ac:dyDescent="0.35">
      <c r="A22" s="1" t="s">
        <v>1361</v>
      </c>
      <c r="B22" s="1" t="s">
        <v>1362</v>
      </c>
      <c r="C22" s="1" t="s">
        <v>1329</v>
      </c>
      <c r="D22" s="1" t="s">
        <v>1330</v>
      </c>
      <c r="E22" s="19">
        <v>65.459999999999994</v>
      </c>
      <c r="F22" s="19">
        <v>0</v>
      </c>
    </row>
    <row r="23" spans="1:6" x14ac:dyDescent="0.35">
      <c r="A23" s="1" t="s">
        <v>1363</v>
      </c>
      <c r="B23" s="1" t="s">
        <v>1364</v>
      </c>
      <c r="C23" s="1" t="s">
        <v>1329</v>
      </c>
      <c r="D23" s="1" t="s">
        <v>1330</v>
      </c>
      <c r="E23" s="19">
        <v>122.13</v>
      </c>
      <c r="F23" s="19">
        <v>0</v>
      </c>
    </row>
    <row r="24" spans="1:6" x14ac:dyDescent="0.35">
      <c r="A24" s="1" t="s">
        <v>1365</v>
      </c>
      <c r="B24" s="1" t="s">
        <v>1366</v>
      </c>
      <c r="C24" s="1" t="s">
        <v>35</v>
      </c>
      <c r="D24" s="1" t="s">
        <v>36</v>
      </c>
      <c r="E24" s="19">
        <v>371.36</v>
      </c>
      <c r="F24" s="19">
        <v>0</v>
      </c>
    </row>
    <row r="25" spans="1:6" x14ac:dyDescent="0.35">
      <c r="A25" s="1" t="s">
        <v>1367</v>
      </c>
      <c r="B25" s="1" t="s">
        <v>1368</v>
      </c>
      <c r="C25" s="1" t="s">
        <v>1369</v>
      </c>
      <c r="D25" s="1" t="s">
        <v>1370</v>
      </c>
      <c r="E25" s="19">
        <v>370.2</v>
      </c>
      <c r="F25" s="19">
        <v>0</v>
      </c>
    </row>
    <row r="26" spans="1:6" x14ac:dyDescent="0.35">
      <c r="A26" s="1" t="s">
        <v>1371</v>
      </c>
      <c r="B26" s="1" t="s">
        <v>1372</v>
      </c>
      <c r="C26" s="1" t="s">
        <v>1329</v>
      </c>
      <c r="D26" s="1" t="s">
        <v>1330</v>
      </c>
      <c r="E26" s="19">
        <v>103</v>
      </c>
      <c r="F26" s="19">
        <v>0</v>
      </c>
    </row>
    <row r="27" spans="1:6" x14ac:dyDescent="0.35">
      <c r="A27" s="1" t="s">
        <v>1373</v>
      </c>
      <c r="B27" s="1" t="s">
        <v>1374</v>
      </c>
      <c r="C27" s="1" t="s">
        <v>1329</v>
      </c>
      <c r="D27" s="1" t="s">
        <v>1330</v>
      </c>
      <c r="E27" s="19">
        <v>0</v>
      </c>
      <c r="F27" s="19">
        <v>0</v>
      </c>
    </row>
    <row r="28" spans="1:6" x14ac:dyDescent="0.35">
      <c r="A28" s="1" t="s">
        <v>1375</v>
      </c>
      <c r="B28" s="1" t="s">
        <v>1376</v>
      </c>
      <c r="C28" s="1" t="s">
        <v>1329</v>
      </c>
      <c r="D28" s="1" t="s">
        <v>1330</v>
      </c>
      <c r="E28" s="19">
        <v>0</v>
      </c>
      <c r="F28" s="19">
        <v>0</v>
      </c>
    </row>
    <row r="29" spans="1:6" x14ac:dyDescent="0.35">
      <c r="A29" s="1" t="s">
        <v>1377</v>
      </c>
      <c r="B29" s="1" t="s">
        <v>1378</v>
      </c>
      <c r="C29" s="1" t="s">
        <v>1329</v>
      </c>
      <c r="D29" s="1" t="s">
        <v>1330</v>
      </c>
      <c r="E29" s="19">
        <v>0</v>
      </c>
      <c r="F29" s="19">
        <v>0</v>
      </c>
    </row>
    <row r="30" spans="1:6" x14ac:dyDescent="0.35">
      <c r="A30" s="1" t="s">
        <v>1379</v>
      </c>
      <c r="B30" s="1" t="s">
        <v>1380</v>
      </c>
      <c r="C30" s="1" t="s">
        <v>87</v>
      </c>
      <c r="D30" s="1" t="s">
        <v>88</v>
      </c>
      <c r="E30" s="19">
        <v>1420.02</v>
      </c>
      <c r="F30" s="19">
        <v>0</v>
      </c>
    </row>
    <row r="31" spans="1:6" x14ac:dyDescent="0.35">
      <c r="A31" s="1" t="s">
        <v>1381</v>
      </c>
      <c r="B31" s="1" t="s">
        <v>1382</v>
      </c>
      <c r="C31" s="1" t="s">
        <v>1329</v>
      </c>
      <c r="D31" s="1" t="s">
        <v>1330</v>
      </c>
      <c r="E31" s="19">
        <v>0</v>
      </c>
      <c r="F31" s="19">
        <v>0</v>
      </c>
    </row>
    <row r="32" spans="1:6" x14ac:dyDescent="0.35">
      <c r="A32" s="1" t="s">
        <v>1383</v>
      </c>
      <c r="B32" s="1" t="s">
        <v>1384</v>
      </c>
      <c r="C32" s="1" t="s">
        <v>1329</v>
      </c>
      <c r="D32" s="1" t="s">
        <v>1330</v>
      </c>
      <c r="E32" s="19">
        <v>0</v>
      </c>
      <c r="F32" s="19">
        <v>0</v>
      </c>
    </row>
    <row r="33" spans="1:6" x14ac:dyDescent="0.35">
      <c r="A33" s="1" t="s">
        <v>1385</v>
      </c>
      <c r="B33" s="1" t="s">
        <v>1386</v>
      </c>
      <c r="C33" s="1" t="s">
        <v>1329</v>
      </c>
      <c r="D33" s="1" t="s">
        <v>1330</v>
      </c>
      <c r="E33" s="19">
        <v>111.29</v>
      </c>
      <c r="F33" s="19">
        <v>0</v>
      </c>
    </row>
    <row r="34" spans="1:6" x14ac:dyDescent="0.35">
      <c r="A34" s="1" t="s">
        <v>1387</v>
      </c>
      <c r="B34" s="1" t="s">
        <v>1388</v>
      </c>
      <c r="C34" s="1" t="s">
        <v>35</v>
      </c>
      <c r="D34" s="1" t="s">
        <v>36</v>
      </c>
      <c r="E34" s="19">
        <v>299</v>
      </c>
      <c r="F34" s="19">
        <v>0</v>
      </c>
    </row>
    <row r="35" spans="1:6" x14ac:dyDescent="0.35">
      <c r="A35" s="1" t="s">
        <v>1389</v>
      </c>
      <c r="B35" s="1" t="s">
        <v>1390</v>
      </c>
      <c r="C35" s="1" t="s">
        <v>87</v>
      </c>
      <c r="D35" s="1" t="s">
        <v>88</v>
      </c>
      <c r="E35" s="19">
        <v>783.02</v>
      </c>
      <c r="F35" s="19">
        <v>0</v>
      </c>
    </row>
    <row r="36" spans="1:6" x14ac:dyDescent="0.35">
      <c r="A36" s="1" t="s">
        <v>1391</v>
      </c>
      <c r="B36" s="1" t="s">
        <v>1392</v>
      </c>
      <c r="C36" s="1" t="s">
        <v>1329</v>
      </c>
      <c r="D36" s="1" t="s">
        <v>1330</v>
      </c>
      <c r="E36" s="19">
        <v>113.4</v>
      </c>
      <c r="F36" s="19">
        <v>0</v>
      </c>
    </row>
    <row r="37" spans="1:6" x14ac:dyDescent="0.35">
      <c r="A37" s="1" t="s">
        <v>1393</v>
      </c>
      <c r="B37" s="1" t="s">
        <v>1394</v>
      </c>
      <c r="C37" s="1" t="s">
        <v>1329</v>
      </c>
      <c r="D37" s="1" t="s">
        <v>1330</v>
      </c>
      <c r="E37" s="19">
        <v>111.29</v>
      </c>
      <c r="F37" s="19">
        <v>0</v>
      </c>
    </row>
    <row r="38" spans="1:6" x14ac:dyDescent="0.35">
      <c r="A38" s="1" t="s">
        <v>1395</v>
      </c>
      <c r="B38" s="1" t="s">
        <v>1396</v>
      </c>
      <c r="C38" s="1" t="s">
        <v>35</v>
      </c>
      <c r="D38" s="1" t="s">
        <v>36</v>
      </c>
      <c r="E38" s="19">
        <v>134.55000000000001</v>
      </c>
      <c r="F38" s="19">
        <v>0</v>
      </c>
    </row>
    <row r="39" spans="1:6" x14ac:dyDescent="0.35">
      <c r="A39" s="1" t="s">
        <v>1397</v>
      </c>
      <c r="B39" s="1" t="s">
        <v>1398</v>
      </c>
      <c r="C39" s="1" t="s">
        <v>35</v>
      </c>
      <c r="D39" s="1" t="s">
        <v>36</v>
      </c>
      <c r="E39" s="19">
        <v>199</v>
      </c>
      <c r="F39" s="19">
        <v>0</v>
      </c>
    </row>
    <row r="40" spans="1:6" x14ac:dyDescent="0.35">
      <c r="A40" s="1" t="s">
        <v>1399</v>
      </c>
      <c r="B40" s="1" t="s">
        <v>1400</v>
      </c>
      <c r="C40" s="1" t="s">
        <v>87</v>
      </c>
      <c r="D40" s="1" t="s">
        <v>88</v>
      </c>
      <c r="E40" s="19">
        <v>195.02</v>
      </c>
      <c r="F40" s="19">
        <v>0</v>
      </c>
    </row>
    <row r="41" spans="1:6" x14ac:dyDescent="0.35">
      <c r="A41" s="1" t="s">
        <v>1401</v>
      </c>
      <c r="B41" s="1" t="s">
        <v>1402</v>
      </c>
      <c r="C41" s="1" t="s">
        <v>1403</v>
      </c>
      <c r="D41" s="1" t="s">
        <v>1404</v>
      </c>
      <c r="E41" s="19">
        <v>10</v>
      </c>
      <c r="F41" s="19">
        <v>0</v>
      </c>
    </row>
    <row r="42" spans="1:6" x14ac:dyDescent="0.35">
      <c r="A42" s="1" t="s">
        <v>1405</v>
      </c>
      <c r="B42" s="1" t="s">
        <v>1406</v>
      </c>
      <c r="C42" s="1" t="s">
        <v>1329</v>
      </c>
      <c r="D42" s="1" t="s">
        <v>1330</v>
      </c>
      <c r="E42" s="19">
        <v>104</v>
      </c>
      <c r="F42" s="19">
        <v>0</v>
      </c>
    </row>
    <row r="43" spans="1:6" x14ac:dyDescent="0.35">
      <c r="A43" s="1" t="s">
        <v>1407</v>
      </c>
      <c r="B43" s="1" t="s">
        <v>1408</v>
      </c>
      <c r="C43" s="1" t="s">
        <v>1329</v>
      </c>
      <c r="D43" s="1" t="s">
        <v>1330</v>
      </c>
      <c r="E43" s="19">
        <v>104</v>
      </c>
      <c r="F43" s="19">
        <v>0</v>
      </c>
    </row>
    <row r="44" spans="1:6" x14ac:dyDescent="0.35">
      <c r="A44" s="1" t="s">
        <v>1409</v>
      </c>
      <c r="B44" s="1" t="s">
        <v>1410</v>
      </c>
      <c r="C44" s="1" t="s">
        <v>1329</v>
      </c>
      <c r="D44" s="1" t="s">
        <v>1330</v>
      </c>
      <c r="E44" s="19">
        <v>104</v>
      </c>
      <c r="F44" s="19">
        <v>0</v>
      </c>
    </row>
    <row r="45" spans="1:6" x14ac:dyDescent="0.35">
      <c r="A45" s="1" t="s">
        <v>1411</v>
      </c>
      <c r="B45" s="1" t="s">
        <v>1412</v>
      </c>
      <c r="C45" s="1" t="s">
        <v>1329</v>
      </c>
      <c r="D45" s="1" t="s">
        <v>1330</v>
      </c>
      <c r="E45" s="19">
        <v>104</v>
      </c>
      <c r="F45" s="19">
        <v>0</v>
      </c>
    </row>
    <row r="46" spans="1:6" x14ac:dyDescent="0.35">
      <c r="A46" s="1" t="s">
        <v>1413</v>
      </c>
      <c r="B46" s="1" t="s">
        <v>1414</v>
      </c>
      <c r="C46" s="1" t="s">
        <v>1329</v>
      </c>
      <c r="D46" s="1" t="s">
        <v>1330</v>
      </c>
      <c r="E46" s="19">
        <v>104</v>
      </c>
      <c r="F46" s="19">
        <v>0</v>
      </c>
    </row>
    <row r="47" spans="1:6" x14ac:dyDescent="0.35">
      <c r="A47" s="1" t="s">
        <v>1415</v>
      </c>
      <c r="B47" s="1" t="s">
        <v>1416</v>
      </c>
      <c r="C47" s="1" t="s">
        <v>35</v>
      </c>
      <c r="D47" s="1" t="s">
        <v>36</v>
      </c>
      <c r="E47" s="19">
        <v>211.04</v>
      </c>
      <c r="F47" s="19">
        <v>0</v>
      </c>
    </row>
    <row r="48" spans="1:6" x14ac:dyDescent="0.35">
      <c r="A48" s="1" t="s">
        <v>1417</v>
      </c>
      <c r="B48" s="1" t="s">
        <v>1418</v>
      </c>
      <c r="C48" s="1" t="s">
        <v>1329</v>
      </c>
      <c r="D48" s="1" t="s">
        <v>1330</v>
      </c>
      <c r="E48" s="19">
        <v>65.459999999999994</v>
      </c>
      <c r="F48" s="19">
        <v>0</v>
      </c>
    </row>
    <row r="49" spans="1:6" x14ac:dyDescent="0.35">
      <c r="A49" s="1" t="s">
        <v>1419</v>
      </c>
      <c r="B49" s="1" t="s">
        <v>1420</v>
      </c>
      <c r="C49" s="1" t="s">
        <v>1329</v>
      </c>
      <c r="D49" s="1" t="s">
        <v>1330</v>
      </c>
      <c r="E49" s="19">
        <v>0</v>
      </c>
      <c r="F49" s="19">
        <v>0</v>
      </c>
    </row>
    <row r="50" spans="1:6" x14ac:dyDescent="0.35">
      <c r="A50" s="1" t="s">
        <v>1421</v>
      </c>
      <c r="B50" s="1" t="s">
        <v>1422</v>
      </c>
      <c r="C50" s="1" t="s">
        <v>1329</v>
      </c>
      <c r="D50" s="1" t="s">
        <v>1330</v>
      </c>
      <c r="E50" s="19">
        <v>0</v>
      </c>
      <c r="F50" s="19">
        <v>0</v>
      </c>
    </row>
    <row r="51" spans="1:6" x14ac:dyDescent="0.35">
      <c r="A51" s="1" t="s">
        <v>1423</v>
      </c>
      <c r="B51" s="1" t="s">
        <v>1424</v>
      </c>
      <c r="C51" s="1" t="s">
        <v>1329</v>
      </c>
      <c r="D51" s="1" t="s">
        <v>1330</v>
      </c>
      <c r="E51" s="19">
        <v>65.459999999999994</v>
      </c>
      <c r="F51" s="19">
        <v>0</v>
      </c>
    </row>
    <row r="52" spans="1:6" x14ac:dyDescent="0.35">
      <c r="A52" s="1" t="s">
        <v>1425</v>
      </c>
      <c r="B52" s="1" t="s">
        <v>1426</v>
      </c>
      <c r="C52" s="1" t="s">
        <v>1329</v>
      </c>
      <c r="D52" s="1" t="s">
        <v>1330</v>
      </c>
      <c r="E52" s="19">
        <v>70.349999999999994</v>
      </c>
      <c r="F52" s="19">
        <v>0</v>
      </c>
    </row>
    <row r="53" spans="1:6" x14ac:dyDescent="0.35">
      <c r="A53" s="1" t="s">
        <v>1427</v>
      </c>
      <c r="B53" s="1" t="s">
        <v>1428</v>
      </c>
      <c r="C53" s="1" t="s">
        <v>35</v>
      </c>
      <c r="D53" s="1" t="s">
        <v>36</v>
      </c>
      <c r="E53" s="19">
        <v>221.32</v>
      </c>
      <c r="F53" s="19">
        <v>0</v>
      </c>
    </row>
    <row r="54" spans="1:6" x14ac:dyDescent="0.35">
      <c r="A54" s="1" t="s">
        <v>1429</v>
      </c>
      <c r="B54" s="1" t="s">
        <v>1430</v>
      </c>
      <c r="C54" s="1" t="s">
        <v>1329</v>
      </c>
      <c r="D54" s="1" t="s">
        <v>1330</v>
      </c>
      <c r="E54" s="19">
        <v>0</v>
      </c>
      <c r="F54" s="19">
        <v>0</v>
      </c>
    </row>
    <row r="55" spans="1:6" x14ac:dyDescent="0.35">
      <c r="A55" s="1" t="s">
        <v>1431</v>
      </c>
      <c r="B55" s="1" t="s">
        <v>1432</v>
      </c>
      <c r="C55" s="1" t="s">
        <v>1433</v>
      </c>
      <c r="D55" s="1" t="s">
        <v>1434</v>
      </c>
      <c r="E55" s="19">
        <v>78.489999999999995</v>
      </c>
      <c r="F55" s="19">
        <v>0</v>
      </c>
    </row>
    <row r="56" spans="1:6" x14ac:dyDescent="0.35">
      <c r="A56" s="1" t="s">
        <v>1435</v>
      </c>
      <c r="B56" s="1" t="s">
        <v>1436</v>
      </c>
      <c r="C56" s="1" t="s">
        <v>1433</v>
      </c>
      <c r="D56" s="1" t="s">
        <v>1434</v>
      </c>
      <c r="E56" s="19">
        <v>77.959999999999994</v>
      </c>
      <c r="F56" s="19">
        <v>0</v>
      </c>
    </row>
    <row r="57" spans="1:6" x14ac:dyDescent="0.35">
      <c r="A57" s="1" t="s">
        <v>1437</v>
      </c>
      <c r="B57" s="1" t="s">
        <v>1438</v>
      </c>
      <c r="C57" s="1" t="s">
        <v>1329</v>
      </c>
      <c r="D57" s="1" t="s">
        <v>1330</v>
      </c>
      <c r="E57" s="19">
        <v>147.46</v>
      </c>
      <c r="F57" s="19">
        <v>0</v>
      </c>
    </row>
    <row r="58" spans="1:6" x14ac:dyDescent="0.35">
      <c r="A58" s="1" t="s">
        <v>1439</v>
      </c>
      <c r="B58" s="1" t="s">
        <v>1440</v>
      </c>
      <c r="C58" s="1" t="s">
        <v>1329</v>
      </c>
      <c r="D58" s="1" t="s">
        <v>1330</v>
      </c>
      <c r="E58" s="19">
        <v>68.25</v>
      </c>
      <c r="F58" s="19">
        <v>0</v>
      </c>
    </row>
    <row r="59" spans="1:6" x14ac:dyDescent="0.35">
      <c r="A59" s="1" t="s">
        <v>1441</v>
      </c>
      <c r="B59" s="1" t="s">
        <v>1442</v>
      </c>
      <c r="C59" s="1" t="s">
        <v>1329</v>
      </c>
      <c r="D59" s="1" t="s">
        <v>1330</v>
      </c>
      <c r="E59" s="19">
        <v>124.2</v>
      </c>
      <c r="F59" s="19">
        <v>0</v>
      </c>
    </row>
    <row r="60" spans="1:6" x14ac:dyDescent="0.35">
      <c r="A60" s="1" t="s">
        <v>1443</v>
      </c>
      <c r="B60" s="1" t="s">
        <v>1444</v>
      </c>
      <c r="C60" s="1" t="s">
        <v>35</v>
      </c>
      <c r="D60" s="1" t="s">
        <v>36</v>
      </c>
      <c r="E60" s="19">
        <v>1177.28</v>
      </c>
      <c r="F60" s="19">
        <v>0</v>
      </c>
    </row>
    <row r="61" spans="1:6" x14ac:dyDescent="0.35">
      <c r="A61" s="1" t="s">
        <v>1445</v>
      </c>
      <c r="B61" s="1" t="s">
        <v>1446</v>
      </c>
      <c r="C61" s="1" t="s">
        <v>35</v>
      </c>
      <c r="D61" s="1" t="s">
        <v>36</v>
      </c>
      <c r="E61" s="19">
        <v>241.25</v>
      </c>
      <c r="F61" s="19">
        <v>0</v>
      </c>
    </row>
    <row r="62" spans="1:6" x14ac:dyDescent="0.35">
      <c r="A62" s="1" t="s">
        <v>1447</v>
      </c>
      <c r="B62" s="1" t="s">
        <v>1448</v>
      </c>
      <c r="C62" s="1" t="s">
        <v>1329</v>
      </c>
      <c r="D62" s="1" t="s">
        <v>1330</v>
      </c>
      <c r="E62" s="19">
        <v>124.2</v>
      </c>
      <c r="F62" s="19">
        <v>0</v>
      </c>
    </row>
    <row r="63" spans="1:6" x14ac:dyDescent="0.35">
      <c r="A63" s="1" t="s">
        <v>1449</v>
      </c>
      <c r="B63" s="1" t="s">
        <v>1450</v>
      </c>
      <c r="C63" s="1" t="s">
        <v>35</v>
      </c>
      <c r="D63" s="1" t="s">
        <v>36</v>
      </c>
      <c r="E63" s="19">
        <v>241.25</v>
      </c>
      <c r="F63" s="19">
        <v>0</v>
      </c>
    </row>
    <row r="64" spans="1:6" x14ac:dyDescent="0.35">
      <c r="A64" s="1" t="s">
        <v>1451</v>
      </c>
      <c r="B64" s="1" t="s">
        <v>1452</v>
      </c>
      <c r="C64" s="1" t="s">
        <v>35</v>
      </c>
      <c r="D64" s="1" t="s">
        <v>36</v>
      </c>
      <c r="E64" s="19">
        <v>445.73</v>
      </c>
      <c r="F64" s="19">
        <v>0</v>
      </c>
    </row>
    <row r="65" spans="1:6" x14ac:dyDescent="0.35">
      <c r="A65" s="1" t="s">
        <v>1453</v>
      </c>
      <c r="B65" s="1" t="s">
        <v>1454</v>
      </c>
      <c r="C65" s="1" t="s">
        <v>1329</v>
      </c>
      <c r="D65" s="1" t="s">
        <v>1330</v>
      </c>
      <c r="E65" s="19">
        <v>0</v>
      </c>
      <c r="F65" s="19">
        <v>0</v>
      </c>
    </row>
    <row r="66" spans="1:6" x14ac:dyDescent="0.35">
      <c r="A66" s="1" t="s">
        <v>1455</v>
      </c>
      <c r="B66" s="1" t="s">
        <v>1456</v>
      </c>
      <c r="C66" s="1" t="s">
        <v>1329</v>
      </c>
      <c r="D66" s="1" t="s">
        <v>1330</v>
      </c>
      <c r="E66" s="19">
        <v>0</v>
      </c>
      <c r="F66" s="19">
        <v>0</v>
      </c>
    </row>
    <row r="67" spans="1:6" x14ac:dyDescent="0.35">
      <c r="A67" s="1" t="s">
        <v>1457</v>
      </c>
      <c r="B67" s="1" t="s">
        <v>1458</v>
      </c>
      <c r="C67" s="1" t="s">
        <v>1329</v>
      </c>
      <c r="D67" s="1" t="s">
        <v>1330</v>
      </c>
      <c r="E67" s="19">
        <v>0</v>
      </c>
      <c r="F67" s="19">
        <v>0</v>
      </c>
    </row>
    <row r="68" spans="1:6" x14ac:dyDescent="0.35">
      <c r="A68" s="1" t="s">
        <v>1459</v>
      </c>
      <c r="B68" s="1" t="s">
        <v>1460</v>
      </c>
      <c r="C68" s="1" t="s">
        <v>1329</v>
      </c>
      <c r="D68" s="1" t="s">
        <v>1330</v>
      </c>
      <c r="E68" s="19">
        <v>0</v>
      </c>
      <c r="F68" s="19">
        <v>0</v>
      </c>
    </row>
    <row r="69" spans="1:6" x14ac:dyDescent="0.35">
      <c r="A69" s="1" t="s">
        <v>1461</v>
      </c>
      <c r="B69" s="1" t="s">
        <v>1462</v>
      </c>
      <c r="C69" s="1" t="s">
        <v>87</v>
      </c>
      <c r="D69" s="1" t="s">
        <v>88</v>
      </c>
      <c r="E69" s="19">
        <v>1469.02</v>
      </c>
      <c r="F69" s="19">
        <v>0</v>
      </c>
    </row>
    <row r="70" spans="1:6" x14ac:dyDescent="0.35">
      <c r="A70" s="1"/>
      <c r="B70" s="1"/>
      <c r="C70" s="1" t="s">
        <v>1463</v>
      </c>
      <c r="D70" s="1" t="s">
        <v>1464</v>
      </c>
      <c r="E70" s="19">
        <v>734.49</v>
      </c>
      <c r="F70" s="19">
        <v>0</v>
      </c>
    </row>
    <row r="71" spans="1:6" x14ac:dyDescent="0.35">
      <c r="A71" s="1" t="s">
        <v>1465</v>
      </c>
      <c r="B71" s="1" t="s">
        <v>1466</v>
      </c>
      <c r="C71" s="1" t="s">
        <v>42</v>
      </c>
      <c r="D71" s="1" t="s">
        <v>43</v>
      </c>
      <c r="E71" s="19">
        <v>1904.47</v>
      </c>
      <c r="F71" s="19">
        <v>0</v>
      </c>
    </row>
    <row r="72" spans="1:6" x14ac:dyDescent="0.35">
      <c r="A72" s="1" t="s">
        <v>1467</v>
      </c>
      <c r="B72" s="1" t="s">
        <v>1468</v>
      </c>
      <c r="C72" s="1" t="s">
        <v>1329</v>
      </c>
      <c r="D72" s="1" t="s">
        <v>1330</v>
      </c>
      <c r="E72" s="19">
        <v>104</v>
      </c>
      <c r="F72" s="19">
        <v>0</v>
      </c>
    </row>
    <row r="73" spans="1:6" x14ac:dyDescent="0.35">
      <c r="A73" s="1" t="s">
        <v>1469</v>
      </c>
      <c r="B73" s="1" t="s">
        <v>1470</v>
      </c>
      <c r="C73" s="1" t="s">
        <v>1329</v>
      </c>
      <c r="D73" s="1" t="s">
        <v>1330</v>
      </c>
      <c r="E73" s="19">
        <v>104</v>
      </c>
      <c r="F73" s="19">
        <v>0</v>
      </c>
    </row>
    <row r="74" spans="1:6" x14ac:dyDescent="0.35">
      <c r="A74" s="1" t="s">
        <v>1471</v>
      </c>
      <c r="B74" s="1" t="s">
        <v>1472</v>
      </c>
      <c r="C74" s="1" t="s">
        <v>1329</v>
      </c>
      <c r="D74" s="1" t="s">
        <v>1330</v>
      </c>
      <c r="E74" s="19">
        <v>82.95</v>
      </c>
      <c r="F74" s="19">
        <v>0</v>
      </c>
    </row>
    <row r="75" spans="1:6" x14ac:dyDescent="0.35">
      <c r="A75" s="1" t="s">
        <v>1473</v>
      </c>
      <c r="B75" s="1" t="s">
        <v>1474</v>
      </c>
      <c r="C75" s="1" t="s">
        <v>1329</v>
      </c>
      <c r="D75" s="1" t="s">
        <v>1330</v>
      </c>
      <c r="E75" s="19">
        <v>123.81</v>
      </c>
      <c r="F75" s="19">
        <v>0</v>
      </c>
    </row>
    <row r="76" spans="1:6" x14ac:dyDescent="0.35">
      <c r="A76" s="1" t="s">
        <v>1475</v>
      </c>
      <c r="B76" s="1" t="s">
        <v>1476</v>
      </c>
      <c r="C76" s="1" t="s">
        <v>1329</v>
      </c>
      <c r="D76" s="1" t="s">
        <v>1330</v>
      </c>
      <c r="E76" s="19">
        <v>124.14</v>
      </c>
      <c r="F76" s="19">
        <v>0</v>
      </c>
    </row>
    <row r="77" spans="1:6" x14ac:dyDescent="0.35">
      <c r="A77" s="1" t="s">
        <v>1477</v>
      </c>
      <c r="B77" s="1" t="s">
        <v>1478</v>
      </c>
      <c r="C77" s="1" t="s">
        <v>1329</v>
      </c>
      <c r="D77" s="1" t="s">
        <v>1330</v>
      </c>
      <c r="E77" s="19">
        <v>124.14</v>
      </c>
      <c r="F77" s="19">
        <v>0</v>
      </c>
    </row>
    <row r="78" spans="1:6" x14ac:dyDescent="0.35">
      <c r="A78" s="1" t="s">
        <v>1479</v>
      </c>
      <c r="B78" s="1" t="s">
        <v>1480</v>
      </c>
      <c r="C78" s="1" t="s">
        <v>1329</v>
      </c>
      <c r="D78" s="1" t="s">
        <v>1330</v>
      </c>
      <c r="E78" s="19">
        <v>105.94</v>
      </c>
      <c r="F78" s="19">
        <v>0</v>
      </c>
    </row>
    <row r="79" spans="1:6" x14ac:dyDescent="0.35">
      <c r="A79" s="1" t="s">
        <v>1481</v>
      </c>
      <c r="B79" s="1" t="s">
        <v>1482</v>
      </c>
      <c r="C79" s="1" t="s">
        <v>1433</v>
      </c>
      <c r="D79" s="1" t="s">
        <v>1434</v>
      </c>
      <c r="E79" s="19">
        <v>87.59</v>
      </c>
      <c r="F79" s="19">
        <v>0</v>
      </c>
    </row>
    <row r="80" spans="1:6" x14ac:dyDescent="0.35">
      <c r="A80" s="1" t="s">
        <v>1483</v>
      </c>
      <c r="B80" s="1" t="s">
        <v>1484</v>
      </c>
      <c r="C80" s="1" t="s">
        <v>1433</v>
      </c>
      <c r="D80" s="1" t="s">
        <v>1434</v>
      </c>
      <c r="E80" s="19">
        <v>87.59</v>
      </c>
      <c r="F80" s="19">
        <v>0</v>
      </c>
    </row>
    <row r="81" spans="1:6" x14ac:dyDescent="0.35">
      <c r="A81" s="1" t="s">
        <v>1485</v>
      </c>
      <c r="B81" s="1" t="s">
        <v>1486</v>
      </c>
      <c r="C81" s="1" t="s">
        <v>1329</v>
      </c>
      <c r="D81" s="1" t="s">
        <v>1330</v>
      </c>
      <c r="E81" s="19">
        <v>0</v>
      </c>
      <c r="F81" s="19">
        <v>0</v>
      </c>
    </row>
    <row r="82" spans="1:6" x14ac:dyDescent="0.35">
      <c r="A82" s="1" t="s">
        <v>1487</v>
      </c>
      <c r="B82" s="1" t="s">
        <v>1488</v>
      </c>
      <c r="C82" s="1" t="s">
        <v>48</v>
      </c>
      <c r="D82" s="1" t="s">
        <v>49</v>
      </c>
      <c r="E82" s="19">
        <v>322.92</v>
      </c>
      <c r="F82" s="19">
        <v>0</v>
      </c>
    </row>
    <row r="83" spans="1:6" x14ac:dyDescent="0.35">
      <c r="A83" s="1" t="s">
        <v>1489</v>
      </c>
      <c r="B83" s="1" t="s">
        <v>1490</v>
      </c>
      <c r="C83" s="1" t="s">
        <v>48</v>
      </c>
      <c r="D83" s="1" t="s">
        <v>49</v>
      </c>
      <c r="E83" s="19">
        <v>319.95</v>
      </c>
      <c r="F83" s="19">
        <v>0</v>
      </c>
    </row>
    <row r="84" spans="1:6" x14ac:dyDescent="0.35">
      <c r="A84" s="1" t="s">
        <v>1491</v>
      </c>
      <c r="B84" s="1" t="s">
        <v>1492</v>
      </c>
      <c r="C84" s="1" t="s">
        <v>74</v>
      </c>
      <c r="D84" s="1" t="s">
        <v>75</v>
      </c>
      <c r="E84" s="19">
        <v>499</v>
      </c>
      <c r="F84" s="19">
        <v>0</v>
      </c>
    </row>
    <row r="85" spans="1:6" x14ac:dyDescent="0.35">
      <c r="A85" s="1" t="s">
        <v>1493</v>
      </c>
      <c r="B85" s="1" t="s">
        <v>1494</v>
      </c>
      <c r="C85" s="1" t="s">
        <v>1495</v>
      </c>
      <c r="D85" s="1" t="s">
        <v>1496</v>
      </c>
      <c r="E85" s="19">
        <v>366.45</v>
      </c>
      <c r="F85" s="19">
        <v>0</v>
      </c>
    </row>
    <row r="86" spans="1:6" x14ac:dyDescent="0.35">
      <c r="A86" s="1" t="s">
        <v>1497</v>
      </c>
      <c r="B86" s="1" t="s">
        <v>1498</v>
      </c>
      <c r="C86" s="1" t="s">
        <v>1329</v>
      </c>
      <c r="D86" s="1" t="s">
        <v>1330</v>
      </c>
      <c r="E86" s="19">
        <v>105.66</v>
      </c>
      <c r="F86" s="19">
        <v>0</v>
      </c>
    </row>
    <row r="87" spans="1:6" x14ac:dyDescent="0.35">
      <c r="A87" s="1" t="s">
        <v>1499</v>
      </c>
      <c r="B87" s="1" t="s">
        <v>1500</v>
      </c>
      <c r="C87" s="1" t="s">
        <v>1329</v>
      </c>
      <c r="D87" s="1" t="s">
        <v>1330</v>
      </c>
      <c r="E87" s="19">
        <v>0</v>
      </c>
      <c r="F87" s="19">
        <v>0</v>
      </c>
    </row>
    <row r="88" spans="1:6" x14ac:dyDescent="0.35">
      <c r="A88" s="1" t="s">
        <v>1501</v>
      </c>
      <c r="B88" s="1" t="s">
        <v>1502</v>
      </c>
      <c r="C88" s="1" t="s">
        <v>48</v>
      </c>
      <c r="D88" s="1" t="s">
        <v>49</v>
      </c>
      <c r="E88" s="19">
        <v>319</v>
      </c>
      <c r="F88" s="19">
        <v>0</v>
      </c>
    </row>
    <row r="89" spans="1:6" x14ac:dyDescent="0.35">
      <c r="A89" s="1" t="s">
        <v>1503</v>
      </c>
      <c r="B89" s="1" t="s">
        <v>1504</v>
      </c>
      <c r="C89" s="1" t="s">
        <v>74</v>
      </c>
      <c r="D89" s="1" t="s">
        <v>75</v>
      </c>
      <c r="E89" s="19">
        <v>526.45000000000005</v>
      </c>
      <c r="F89" s="19">
        <v>0</v>
      </c>
    </row>
    <row r="90" spans="1:6" x14ac:dyDescent="0.35">
      <c r="A90" s="1" t="s">
        <v>1505</v>
      </c>
      <c r="B90" s="1" t="s">
        <v>1506</v>
      </c>
      <c r="C90" s="1" t="s">
        <v>42</v>
      </c>
      <c r="D90" s="1" t="s">
        <v>43</v>
      </c>
      <c r="E90" s="19">
        <v>1849</v>
      </c>
      <c r="F90" s="19">
        <v>0</v>
      </c>
    </row>
    <row r="91" spans="1:6" x14ac:dyDescent="0.35">
      <c r="A91" s="1"/>
      <c r="B91" s="1"/>
      <c r="C91" s="1" t="s">
        <v>1507</v>
      </c>
      <c r="D91" s="1" t="s">
        <v>1508</v>
      </c>
      <c r="E91" s="19">
        <v>995</v>
      </c>
      <c r="F91" s="19">
        <v>0</v>
      </c>
    </row>
    <row r="92" spans="1:6" x14ac:dyDescent="0.35">
      <c r="A92" s="1" t="s">
        <v>1509</v>
      </c>
      <c r="B92" s="1" t="s">
        <v>1510</v>
      </c>
      <c r="C92" s="1" t="s">
        <v>48</v>
      </c>
      <c r="D92" s="1" t="s">
        <v>49</v>
      </c>
      <c r="E92" s="19">
        <v>319</v>
      </c>
      <c r="F92" s="19">
        <v>0</v>
      </c>
    </row>
    <row r="93" spans="1:6" x14ac:dyDescent="0.35">
      <c r="A93" s="1" t="s">
        <v>1511</v>
      </c>
      <c r="B93" s="1" t="s">
        <v>1512</v>
      </c>
      <c r="C93" s="1" t="s">
        <v>87</v>
      </c>
      <c r="D93" s="1" t="s">
        <v>88</v>
      </c>
      <c r="E93" s="19">
        <v>1066.24</v>
      </c>
      <c r="F93" s="19">
        <v>0</v>
      </c>
    </row>
    <row r="94" spans="1:6" x14ac:dyDescent="0.35">
      <c r="A94" s="1"/>
      <c r="B94" s="1"/>
      <c r="C94" s="1" t="s">
        <v>1495</v>
      </c>
      <c r="D94" s="1" t="s">
        <v>1496</v>
      </c>
      <c r="E94" s="19">
        <v>366.45</v>
      </c>
      <c r="F94" s="19">
        <v>0</v>
      </c>
    </row>
    <row r="95" spans="1:6" x14ac:dyDescent="0.35">
      <c r="A95" s="1" t="s">
        <v>1513</v>
      </c>
      <c r="B95" s="1" t="s">
        <v>1514</v>
      </c>
      <c r="C95" s="1" t="s">
        <v>408</v>
      </c>
      <c r="D95" s="1" t="s">
        <v>409</v>
      </c>
      <c r="E95" s="19">
        <v>20</v>
      </c>
      <c r="F95" s="19">
        <v>0</v>
      </c>
    </row>
    <row r="96" spans="1:6" x14ac:dyDescent="0.35">
      <c r="A96" s="1" t="s">
        <v>1515</v>
      </c>
      <c r="B96" s="1" t="s">
        <v>1516</v>
      </c>
      <c r="C96" s="1" t="s">
        <v>67</v>
      </c>
      <c r="D96" s="1" t="s">
        <v>68</v>
      </c>
      <c r="E96" s="19">
        <v>599</v>
      </c>
      <c r="F96" s="19">
        <v>0</v>
      </c>
    </row>
    <row r="97" spans="1:6" x14ac:dyDescent="0.35">
      <c r="A97" s="1" t="s">
        <v>1517</v>
      </c>
      <c r="B97" s="1" t="s">
        <v>1518</v>
      </c>
      <c r="C97" s="1" t="s">
        <v>67</v>
      </c>
      <c r="D97" s="1" t="s">
        <v>68</v>
      </c>
      <c r="E97" s="19">
        <v>599</v>
      </c>
      <c r="F97" s="19">
        <v>0</v>
      </c>
    </row>
    <row r="98" spans="1:6" x14ac:dyDescent="0.35">
      <c r="A98" s="1" t="s">
        <v>1519</v>
      </c>
      <c r="B98" s="1" t="s">
        <v>77</v>
      </c>
      <c r="C98" s="1" t="s">
        <v>35</v>
      </c>
      <c r="D98" s="1" t="s">
        <v>36</v>
      </c>
      <c r="E98" s="19">
        <v>320.08</v>
      </c>
      <c r="F98" s="19">
        <v>0</v>
      </c>
    </row>
    <row r="99" spans="1:6" x14ac:dyDescent="0.35">
      <c r="A99" s="1" t="s">
        <v>1520</v>
      </c>
      <c r="B99" s="1" t="s">
        <v>1521</v>
      </c>
      <c r="C99" s="1" t="s">
        <v>1329</v>
      </c>
      <c r="D99" s="1" t="s">
        <v>1330</v>
      </c>
      <c r="E99" s="19">
        <v>74.94</v>
      </c>
      <c r="F99" s="19">
        <v>0</v>
      </c>
    </row>
    <row r="100" spans="1:6" x14ac:dyDescent="0.35">
      <c r="A100" s="1" t="s">
        <v>1522</v>
      </c>
      <c r="B100" s="1" t="s">
        <v>79</v>
      </c>
      <c r="C100" s="1" t="s">
        <v>35</v>
      </c>
      <c r="D100" s="1" t="s">
        <v>36</v>
      </c>
      <c r="E100" s="19">
        <v>213.03</v>
      </c>
      <c r="F100" s="19">
        <v>0</v>
      </c>
    </row>
    <row r="101" spans="1:6" x14ac:dyDescent="0.35">
      <c r="A101" s="1" t="s">
        <v>1523</v>
      </c>
      <c r="B101" s="1" t="s">
        <v>1524</v>
      </c>
      <c r="C101" s="1" t="s">
        <v>1329</v>
      </c>
      <c r="D101" s="1" t="s">
        <v>1330</v>
      </c>
      <c r="E101" s="19">
        <v>74.94</v>
      </c>
      <c r="F101" s="19">
        <v>0</v>
      </c>
    </row>
    <row r="102" spans="1:6" x14ac:dyDescent="0.35">
      <c r="A102" s="1" t="s">
        <v>1525</v>
      </c>
      <c r="B102" s="1" t="s">
        <v>975</v>
      </c>
      <c r="C102" s="1" t="s">
        <v>1526</v>
      </c>
      <c r="D102" s="1" t="s">
        <v>971</v>
      </c>
      <c r="E102" s="19">
        <v>1053.45</v>
      </c>
      <c r="F102" s="19">
        <v>0</v>
      </c>
    </row>
    <row r="103" spans="1:6" x14ac:dyDescent="0.35">
      <c r="A103" s="1" t="s">
        <v>1527</v>
      </c>
      <c r="B103" s="1" t="s">
        <v>420</v>
      </c>
      <c r="C103" s="1" t="s">
        <v>97</v>
      </c>
      <c r="D103" s="1" t="s">
        <v>98</v>
      </c>
      <c r="E103" s="19">
        <v>1499</v>
      </c>
      <c r="F103" s="19">
        <v>0</v>
      </c>
    </row>
    <row r="104" spans="1:6" x14ac:dyDescent="0.35">
      <c r="A104" s="1"/>
      <c r="B104" s="1"/>
      <c r="C104" s="1" t="s">
        <v>1528</v>
      </c>
      <c r="D104" s="1" t="s">
        <v>1529</v>
      </c>
      <c r="E104" s="19">
        <v>999</v>
      </c>
      <c r="F104" s="19">
        <v>0</v>
      </c>
    </row>
    <row r="105" spans="1:6" x14ac:dyDescent="0.35">
      <c r="A105" s="1" t="s">
        <v>1530</v>
      </c>
      <c r="B105" s="1" t="s">
        <v>423</v>
      </c>
      <c r="C105" s="1" t="s">
        <v>97</v>
      </c>
      <c r="D105" s="1" t="s">
        <v>98</v>
      </c>
      <c r="E105" s="19">
        <v>1499</v>
      </c>
      <c r="F105" s="19">
        <v>0</v>
      </c>
    </row>
    <row r="106" spans="1:6" x14ac:dyDescent="0.35">
      <c r="A106" s="1"/>
      <c r="B106" s="1"/>
      <c r="C106" s="1" t="s">
        <v>1528</v>
      </c>
      <c r="D106" s="1" t="s">
        <v>1529</v>
      </c>
      <c r="E106" s="19">
        <v>999</v>
      </c>
      <c r="F106" s="19">
        <v>0</v>
      </c>
    </row>
    <row r="107" spans="1:6" x14ac:dyDescent="0.35">
      <c r="A107" s="1" t="s">
        <v>1202</v>
      </c>
      <c r="B107" s="1"/>
      <c r="C107" s="1"/>
      <c r="D107" s="1"/>
      <c r="E107" s="19">
        <v>31711.17</v>
      </c>
      <c r="F107" s="19">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E2FEC-DD7C-4C84-ACC6-CD3C54829770}">
  <dimension ref="A1:CP74"/>
  <sheetViews>
    <sheetView topLeftCell="W1" zoomScale="115" zoomScaleNormal="115" workbookViewId="0">
      <selection activeCell="J1" sqref="J1"/>
    </sheetView>
  </sheetViews>
  <sheetFormatPr defaultColWidth="9.1796875" defaultRowHeight="14.5" x14ac:dyDescent="0.35"/>
  <cols>
    <col min="1" max="16384" width="9.1796875" style="6"/>
  </cols>
  <sheetData>
    <row r="1" spans="1:94" s="1" customFormat="1" ht="13" thickBot="1" x14ac:dyDescent="0.3">
      <c r="A1" s="12" t="s">
        <v>1531</v>
      </c>
      <c r="B1" s="12" t="s">
        <v>1532</v>
      </c>
      <c r="C1" s="12" t="s">
        <v>1533</v>
      </c>
      <c r="D1" s="12" t="s">
        <v>1534</v>
      </c>
      <c r="E1" s="12" t="s">
        <v>1535</v>
      </c>
      <c r="F1" s="12" t="s">
        <v>1536</v>
      </c>
      <c r="G1" s="12" t="s">
        <v>1537</v>
      </c>
      <c r="H1" s="12" t="s">
        <v>1538</v>
      </c>
      <c r="I1" s="12" t="s">
        <v>1539</v>
      </c>
      <c r="J1" s="12" t="s">
        <v>1540</v>
      </c>
      <c r="K1" s="12" t="s">
        <v>1541</v>
      </c>
      <c r="L1" s="12" t="s">
        <v>1542</v>
      </c>
      <c r="M1" s="12" t="s">
        <v>1287</v>
      </c>
      <c r="N1" s="12" t="s">
        <v>1543</v>
      </c>
      <c r="O1" s="12" t="s">
        <v>1290</v>
      </c>
      <c r="P1" s="12" t="s">
        <v>1544</v>
      </c>
      <c r="Q1" s="12" t="s">
        <v>1545</v>
      </c>
      <c r="R1" s="12" t="s">
        <v>1546</v>
      </c>
      <c r="S1" s="12" t="s">
        <v>1547</v>
      </c>
      <c r="T1" s="12" t="s">
        <v>1548</v>
      </c>
      <c r="U1" s="12" t="s">
        <v>1549</v>
      </c>
      <c r="V1" s="12" t="s">
        <v>1550</v>
      </c>
      <c r="W1" s="12" t="s">
        <v>1551</v>
      </c>
      <c r="X1" s="12" t="s">
        <v>1552</v>
      </c>
      <c r="Y1" s="12" t="s">
        <v>1553</v>
      </c>
      <c r="Z1" s="12" t="s">
        <v>1554</v>
      </c>
      <c r="AA1" s="12" t="s">
        <v>1555</v>
      </c>
      <c r="AB1" s="12" t="s">
        <v>1556</v>
      </c>
      <c r="AC1" s="12" t="s">
        <v>1557</v>
      </c>
      <c r="AD1" s="12" t="s">
        <v>1276</v>
      </c>
      <c r="AE1" s="12" t="s">
        <v>1558</v>
      </c>
      <c r="AF1" s="12" t="s">
        <v>1559</v>
      </c>
      <c r="AG1" s="12" t="s">
        <v>1560</v>
      </c>
      <c r="AH1" s="12" t="s">
        <v>1561</v>
      </c>
      <c r="AI1" s="12" t="s">
        <v>1562</v>
      </c>
      <c r="AJ1" s="12" t="s">
        <v>1563</v>
      </c>
      <c r="AK1" s="12" t="s">
        <v>19</v>
      </c>
      <c r="AL1" s="12" t="s">
        <v>20</v>
      </c>
      <c r="AM1" s="12" t="s">
        <v>1564</v>
      </c>
      <c r="AN1" s="12" t="s">
        <v>1277</v>
      </c>
      <c r="AO1" s="12" t="s">
        <v>1278</v>
      </c>
      <c r="AP1" s="12" t="s">
        <v>1565</v>
      </c>
      <c r="AQ1" s="12" t="s">
        <v>1566</v>
      </c>
      <c r="AR1" s="12" t="s">
        <v>1282</v>
      </c>
      <c r="AS1" s="12" t="s">
        <v>1286</v>
      </c>
      <c r="AT1" s="12" t="s">
        <v>1567</v>
      </c>
      <c r="AU1" s="12" t="s">
        <v>1568</v>
      </c>
      <c r="AV1" s="12" t="s">
        <v>1569</v>
      </c>
      <c r="AW1" s="12" t="s">
        <v>1570</v>
      </c>
      <c r="AX1" s="12" t="s">
        <v>1571</v>
      </c>
      <c r="AY1" s="12" t="s">
        <v>1572</v>
      </c>
      <c r="AZ1" s="12" t="s">
        <v>1573</v>
      </c>
      <c r="BA1" s="12" t="s">
        <v>1574</v>
      </c>
      <c r="BB1" s="12" t="s">
        <v>1575</v>
      </c>
      <c r="BC1" s="12" t="s">
        <v>1576</v>
      </c>
      <c r="BD1" s="12" t="s">
        <v>1577</v>
      </c>
      <c r="BE1" s="12" t="s">
        <v>1578</v>
      </c>
      <c r="BF1" s="12" t="s">
        <v>16</v>
      </c>
      <c r="BG1" s="12" t="s">
        <v>1579</v>
      </c>
      <c r="BH1" s="12" t="s">
        <v>1580</v>
      </c>
      <c r="BI1" s="12" t="s">
        <v>1581</v>
      </c>
      <c r="BJ1" s="12" t="s">
        <v>1582</v>
      </c>
      <c r="BK1" s="12" t="s">
        <v>1583</v>
      </c>
      <c r="BL1" s="12" t="s">
        <v>1584</v>
      </c>
      <c r="BM1" s="12" t="s">
        <v>1585</v>
      </c>
      <c r="BN1" s="12" t="s">
        <v>1586</v>
      </c>
      <c r="BO1" s="12" t="s">
        <v>1587</v>
      </c>
      <c r="BP1" s="12" t="s">
        <v>1588</v>
      </c>
      <c r="BQ1" s="12" t="s">
        <v>1589</v>
      </c>
      <c r="BR1" s="12" t="s">
        <v>1590</v>
      </c>
      <c r="BS1" s="12" t="s">
        <v>1591</v>
      </c>
      <c r="BT1" s="12" t="s">
        <v>1592</v>
      </c>
      <c r="BU1" s="12" t="s">
        <v>1593</v>
      </c>
      <c r="BV1" s="12" t="s">
        <v>1594</v>
      </c>
      <c r="BW1" s="12" t="s">
        <v>1595</v>
      </c>
      <c r="BX1" s="12" t="s">
        <v>1596</v>
      </c>
      <c r="BY1" s="12" t="s">
        <v>1597</v>
      </c>
      <c r="BZ1" s="12" t="s">
        <v>1598</v>
      </c>
      <c r="CA1" s="12" t="s">
        <v>1599</v>
      </c>
      <c r="CB1" s="12" t="s">
        <v>1600</v>
      </c>
      <c r="CC1" s="12" t="s">
        <v>1601</v>
      </c>
      <c r="CD1" s="12" t="s">
        <v>1602</v>
      </c>
      <c r="CE1" s="12" t="s">
        <v>1603</v>
      </c>
      <c r="CF1" s="12" t="s">
        <v>1604</v>
      </c>
      <c r="CG1" s="12" t="s">
        <v>1605</v>
      </c>
      <c r="CH1" s="12" t="s">
        <v>1606</v>
      </c>
      <c r="CI1" s="12" t="s">
        <v>1607</v>
      </c>
      <c r="CJ1" s="12" t="s">
        <v>1608</v>
      </c>
      <c r="CK1" s="12" t="s">
        <v>1609</v>
      </c>
      <c r="CL1" s="12" t="s">
        <v>1610</v>
      </c>
      <c r="CM1" s="12" t="s">
        <v>1611</v>
      </c>
      <c r="CN1" s="12" t="s">
        <v>1612</v>
      </c>
      <c r="CO1" s="12" t="s">
        <v>1613</v>
      </c>
      <c r="CP1" s="12" t="s">
        <v>1614</v>
      </c>
    </row>
    <row r="2" spans="1:94" s="1" customFormat="1" ht="13" thickBot="1" x14ac:dyDescent="0.3">
      <c r="A2" s="13" t="s">
        <v>1615</v>
      </c>
      <c r="B2" s="16"/>
      <c r="C2" s="16"/>
      <c r="D2" s="13" t="s">
        <v>1616</v>
      </c>
      <c r="E2" s="13" t="s">
        <v>1617</v>
      </c>
      <c r="F2" s="13" t="s">
        <v>1618</v>
      </c>
      <c r="G2" s="13" t="s">
        <v>1619</v>
      </c>
      <c r="H2" s="17">
        <v>12</v>
      </c>
      <c r="I2" s="16"/>
      <c r="J2" s="16"/>
      <c r="K2" s="13" t="s">
        <v>1308</v>
      </c>
      <c r="L2" s="13" t="s">
        <v>1308</v>
      </c>
      <c r="M2" s="13" t="s">
        <v>1620</v>
      </c>
      <c r="N2" s="13" t="s">
        <v>1621</v>
      </c>
      <c r="O2" s="13" t="s">
        <v>1622</v>
      </c>
      <c r="P2" s="13" t="s">
        <v>976</v>
      </c>
      <c r="Q2" s="13" t="s">
        <v>1623</v>
      </c>
      <c r="R2" s="13" t="s">
        <v>1624</v>
      </c>
      <c r="S2" s="16"/>
      <c r="T2" s="16"/>
      <c r="U2" s="13" t="s">
        <v>1625</v>
      </c>
      <c r="V2" s="13" t="s">
        <v>1622</v>
      </c>
      <c r="W2" s="13" t="s">
        <v>1626</v>
      </c>
      <c r="X2" s="13" t="s">
        <v>1622</v>
      </c>
      <c r="Y2" s="13" t="s">
        <v>1619</v>
      </c>
      <c r="Z2" s="13" t="s">
        <v>1620</v>
      </c>
      <c r="AA2" s="13" t="s">
        <v>1622</v>
      </c>
      <c r="AB2" s="16"/>
      <c r="AC2" s="13" t="s">
        <v>1622</v>
      </c>
      <c r="AD2" s="13" t="s">
        <v>1627</v>
      </c>
      <c r="AE2" s="13" t="s">
        <v>1628</v>
      </c>
      <c r="AF2" s="13" t="s">
        <v>1629</v>
      </c>
      <c r="AG2" s="13" t="s">
        <v>1630</v>
      </c>
      <c r="AH2" s="13" t="s">
        <v>1631</v>
      </c>
      <c r="AI2" s="13" t="s">
        <v>1632</v>
      </c>
      <c r="AJ2" s="13" t="s">
        <v>1633</v>
      </c>
      <c r="AK2" s="13" t="s">
        <v>74</v>
      </c>
      <c r="AL2" s="13" t="s">
        <v>75</v>
      </c>
      <c r="AM2" s="13" t="s">
        <v>1634</v>
      </c>
      <c r="AN2" s="13" t="s">
        <v>1303</v>
      </c>
      <c r="AO2" s="13" t="s">
        <v>1304</v>
      </c>
      <c r="AP2" s="13" t="s">
        <v>1635</v>
      </c>
      <c r="AQ2" s="16"/>
      <c r="AR2" s="13" t="s">
        <v>1308</v>
      </c>
      <c r="AS2" s="15">
        <v>1</v>
      </c>
      <c r="AT2" s="14">
        <v>0</v>
      </c>
      <c r="AU2" s="14">
        <v>0</v>
      </c>
      <c r="AV2" s="14">
        <v>0</v>
      </c>
      <c r="AW2" s="14">
        <v>0</v>
      </c>
      <c r="AX2" s="14">
        <v>499</v>
      </c>
      <c r="AY2" s="14">
        <v>499</v>
      </c>
      <c r="AZ2" s="15">
        <v>5988</v>
      </c>
      <c r="BA2" s="15">
        <v>0</v>
      </c>
      <c r="BB2" s="21">
        <v>44726</v>
      </c>
      <c r="BC2" s="21">
        <v>43916</v>
      </c>
      <c r="BD2" s="17">
        <v>2020</v>
      </c>
      <c r="BE2" s="17">
        <v>9</v>
      </c>
      <c r="BF2" s="16"/>
      <c r="BG2" s="16"/>
      <c r="BH2" s="16"/>
      <c r="BI2" s="13" t="s">
        <v>1308</v>
      </c>
      <c r="BJ2" s="16"/>
      <c r="BK2" s="16"/>
      <c r="BL2" s="16"/>
      <c r="BM2" s="16"/>
      <c r="BN2" s="16"/>
      <c r="BO2" s="16"/>
      <c r="BP2" s="16"/>
      <c r="BQ2" s="21">
        <v>43955</v>
      </c>
      <c r="BR2" s="17">
        <v>2020</v>
      </c>
      <c r="BS2" s="17">
        <v>11</v>
      </c>
      <c r="BT2" s="17">
        <v>2026</v>
      </c>
      <c r="BU2" s="17">
        <v>11</v>
      </c>
      <c r="BV2" s="21">
        <v>43955</v>
      </c>
      <c r="BW2" s="17">
        <v>2020</v>
      </c>
      <c r="BX2" s="17">
        <v>10</v>
      </c>
      <c r="BY2" s="17">
        <v>2020</v>
      </c>
      <c r="BZ2" s="17">
        <v>11</v>
      </c>
      <c r="CA2" s="21">
        <v>44724</v>
      </c>
      <c r="CB2" s="17">
        <v>2022</v>
      </c>
      <c r="CC2" s="17">
        <v>12</v>
      </c>
      <c r="CD2" s="13" t="s">
        <v>1636</v>
      </c>
      <c r="CE2" s="13" t="s">
        <v>1637</v>
      </c>
      <c r="CF2" s="13" t="s">
        <v>1308</v>
      </c>
      <c r="CG2" s="13" t="s">
        <v>1638</v>
      </c>
      <c r="CH2" s="13" t="s">
        <v>1639</v>
      </c>
      <c r="CI2" s="13" t="s">
        <v>1640</v>
      </c>
      <c r="CJ2" s="13" t="s">
        <v>1641</v>
      </c>
      <c r="CK2" s="13" t="s">
        <v>1642</v>
      </c>
      <c r="CL2" s="13" t="s">
        <v>1643</v>
      </c>
      <c r="CM2" s="13" t="s">
        <v>1644</v>
      </c>
      <c r="CN2" s="13" t="s">
        <v>1645</v>
      </c>
      <c r="CO2" s="16"/>
      <c r="CP2" s="16"/>
    </row>
    <row r="3" spans="1:94" s="1" customFormat="1" ht="13" thickBot="1" x14ac:dyDescent="0.3">
      <c r="A3" s="13" t="s">
        <v>1646</v>
      </c>
      <c r="B3" s="13" t="s">
        <v>42</v>
      </c>
      <c r="C3" s="13" t="s">
        <v>43</v>
      </c>
      <c r="D3" s="13" t="s">
        <v>1616</v>
      </c>
      <c r="E3" s="13" t="s">
        <v>1617</v>
      </c>
      <c r="F3" s="13" t="s">
        <v>1618</v>
      </c>
      <c r="G3" s="13" t="s">
        <v>1619</v>
      </c>
      <c r="H3" s="17">
        <v>3</v>
      </c>
      <c r="I3" s="16"/>
      <c r="J3" s="16"/>
      <c r="K3" s="13" t="s">
        <v>1308</v>
      </c>
      <c r="L3" s="13" t="s">
        <v>1308</v>
      </c>
      <c r="M3" s="13" t="s">
        <v>1647</v>
      </c>
      <c r="N3" s="13" t="s">
        <v>1648</v>
      </c>
      <c r="O3" s="13" t="s">
        <v>52</v>
      </c>
      <c r="P3" s="13" t="s">
        <v>976</v>
      </c>
      <c r="Q3" s="13" t="s">
        <v>1649</v>
      </c>
      <c r="R3" s="13" t="s">
        <v>1650</v>
      </c>
      <c r="S3" s="13" t="s">
        <v>1651</v>
      </c>
      <c r="T3" s="16"/>
      <c r="U3" s="13" t="s">
        <v>1652</v>
      </c>
      <c r="V3" s="13" t="s">
        <v>1653</v>
      </c>
      <c r="W3" s="13" t="s">
        <v>1654</v>
      </c>
      <c r="X3" s="13" t="s">
        <v>1653</v>
      </c>
      <c r="Y3" s="13" t="s">
        <v>1619</v>
      </c>
      <c r="Z3" s="13" t="s">
        <v>1647</v>
      </c>
      <c r="AA3" s="13" t="s">
        <v>52</v>
      </c>
      <c r="AB3" s="16"/>
      <c r="AC3" s="13" t="s">
        <v>52</v>
      </c>
      <c r="AD3" s="13" t="s">
        <v>1627</v>
      </c>
      <c r="AE3" s="13" t="s">
        <v>1628</v>
      </c>
      <c r="AF3" s="13" t="s">
        <v>1629</v>
      </c>
      <c r="AG3" s="13" t="s">
        <v>1655</v>
      </c>
      <c r="AH3" s="13" t="s">
        <v>1656</v>
      </c>
      <c r="AI3" s="13" t="s">
        <v>1657</v>
      </c>
      <c r="AJ3" s="13" t="s">
        <v>1633</v>
      </c>
      <c r="AK3" s="13" t="s">
        <v>1658</v>
      </c>
      <c r="AL3" s="13" t="s">
        <v>1659</v>
      </c>
      <c r="AM3" s="13" t="s">
        <v>1634</v>
      </c>
      <c r="AN3" s="13" t="s">
        <v>1303</v>
      </c>
      <c r="AO3" s="13" t="s">
        <v>1304</v>
      </c>
      <c r="AP3" s="13" t="s">
        <v>1635</v>
      </c>
      <c r="AQ3" s="16"/>
      <c r="AR3" s="13" t="s">
        <v>1308</v>
      </c>
      <c r="AS3" s="15">
        <v>1</v>
      </c>
      <c r="AT3" s="14">
        <v>0</v>
      </c>
      <c r="AU3" s="14">
        <v>0</v>
      </c>
      <c r="AV3" s="14">
        <v>0</v>
      </c>
      <c r="AW3" s="14">
        <v>0</v>
      </c>
      <c r="AX3" s="14">
        <v>1995</v>
      </c>
      <c r="AY3" s="14">
        <v>1995</v>
      </c>
      <c r="AZ3" s="22">
        <v>4426.08</v>
      </c>
      <c r="BA3" s="15">
        <v>0</v>
      </c>
      <c r="BB3" s="21">
        <v>45279</v>
      </c>
      <c r="BC3" s="21">
        <v>44472</v>
      </c>
      <c r="BD3" s="17">
        <v>2022</v>
      </c>
      <c r="BE3" s="17">
        <v>3</v>
      </c>
      <c r="BF3" s="16"/>
      <c r="BG3" s="16"/>
      <c r="BH3" s="16"/>
      <c r="BI3" s="13" t="s">
        <v>1308</v>
      </c>
      <c r="BJ3" s="16"/>
      <c r="BK3" s="16"/>
      <c r="BL3" s="16"/>
      <c r="BM3" s="16"/>
      <c r="BN3" s="16"/>
      <c r="BO3" s="16"/>
      <c r="BP3" s="16"/>
      <c r="BQ3" s="21">
        <v>44501</v>
      </c>
      <c r="BR3" s="17">
        <v>2022</v>
      </c>
      <c r="BS3" s="17">
        <v>5</v>
      </c>
      <c r="BT3" s="17">
        <v>2026</v>
      </c>
      <c r="BU3" s="17">
        <v>5</v>
      </c>
      <c r="BV3" s="21">
        <v>44523</v>
      </c>
      <c r="BW3" s="17">
        <v>2022</v>
      </c>
      <c r="BX3" s="17">
        <v>5</v>
      </c>
      <c r="BY3" s="17">
        <v>2022</v>
      </c>
      <c r="BZ3" s="17">
        <v>6</v>
      </c>
      <c r="CA3" s="21">
        <v>45278</v>
      </c>
      <c r="CB3" s="17">
        <v>2023</v>
      </c>
      <c r="CC3" s="17">
        <v>12</v>
      </c>
      <c r="CD3" s="13" t="s">
        <v>1636</v>
      </c>
      <c r="CE3" s="13" t="s">
        <v>1637</v>
      </c>
      <c r="CF3" s="13" t="s">
        <v>1308</v>
      </c>
      <c r="CG3" s="13" t="s">
        <v>1638</v>
      </c>
      <c r="CH3" s="13" t="s">
        <v>1639</v>
      </c>
      <c r="CI3" s="13" t="s">
        <v>1640</v>
      </c>
      <c r="CJ3" s="13" t="s">
        <v>1641</v>
      </c>
      <c r="CK3" s="13" t="s">
        <v>1642</v>
      </c>
      <c r="CL3" s="13" t="s">
        <v>1643</v>
      </c>
      <c r="CM3" s="13" t="s">
        <v>1644</v>
      </c>
      <c r="CN3" s="13" t="s">
        <v>1645</v>
      </c>
      <c r="CO3" s="16"/>
      <c r="CP3" s="16"/>
    </row>
    <row r="4" spans="1:94" s="1" customFormat="1" ht="13" thickBot="1" x14ac:dyDescent="0.3">
      <c r="A4" s="13" t="s">
        <v>1660</v>
      </c>
      <c r="B4" s="16"/>
      <c r="C4" s="16"/>
      <c r="D4" s="13" t="s">
        <v>1616</v>
      </c>
      <c r="E4" s="13" t="s">
        <v>1617</v>
      </c>
      <c r="F4" s="13" t="s">
        <v>1618</v>
      </c>
      <c r="G4" s="13" t="s">
        <v>1619</v>
      </c>
      <c r="H4" s="17">
        <v>1</v>
      </c>
      <c r="I4" s="16"/>
      <c r="J4" s="16"/>
      <c r="K4" s="13" t="s">
        <v>1661</v>
      </c>
      <c r="L4" s="13" t="s">
        <v>1308</v>
      </c>
      <c r="M4" s="13" t="s">
        <v>46</v>
      </c>
      <c r="N4" s="13" t="s">
        <v>1662</v>
      </c>
      <c r="O4" s="13" t="s">
        <v>47</v>
      </c>
      <c r="P4" s="13" t="s">
        <v>976</v>
      </c>
      <c r="Q4" s="13" t="s">
        <v>1623</v>
      </c>
      <c r="R4" s="13" t="s">
        <v>1663</v>
      </c>
      <c r="S4" s="16"/>
      <c r="T4" s="16"/>
      <c r="U4" s="13" t="s">
        <v>1664</v>
      </c>
      <c r="V4" s="13" t="s">
        <v>47</v>
      </c>
      <c r="W4" s="13" t="s">
        <v>1665</v>
      </c>
      <c r="X4" s="13" t="s">
        <v>47</v>
      </c>
      <c r="Y4" s="13" t="s">
        <v>1619</v>
      </c>
      <c r="Z4" s="13" t="s">
        <v>46</v>
      </c>
      <c r="AA4" s="13" t="s">
        <v>47</v>
      </c>
      <c r="AB4" s="16"/>
      <c r="AC4" s="13" t="s">
        <v>47</v>
      </c>
      <c r="AD4" s="13" t="s">
        <v>1627</v>
      </c>
      <c r="AE4" s="13" t="s">
        <v>1628</v>
      </c>
      <c r="AF4" s="13" t="s">
        <v>1629</v>
      </c>
      <c r="AG4" s="13" t="s">
        <v>1666</v>
      </c>
      <c r="AH4" s="13" t="s">
        <v>1631</v>
      </c>
      <c r="AI4" s="13" t="s">
        <v>1632</v>
      </c>
      <c r="AJ4" s="13" t="s">
        <v>1633</v>
      </c>
      <c r="AK4" s="13" t="s">
        <v>35</v>
      </c>
      <c r="AL4" s="13" t="s">
        <v>36</v>
      </c>
      <c r="AM4" s="13" t="s">
        <v>1634</v>
      </c>
      <c r="AN4" s="13" t="s">
        <v>1303</v>
      </c>
      <c r="AO4" s="13" t="s">
        <v>1304</v>
      </c>
      <c r="AP4" s="13" t="s">
        <v>1635</v>
      </c>
      <c r="AQ4" s="16"/>
      <c r="AR4" s="13" t="s">
        <v>1308</v>
      </c>
      <c r="AS4" s="15">
        <v>1</v>
      </c>
      <c r="AT4" s="14">
        <v>0</v>
      </c>
      <c r="AU4" s="14">
        <v>0</v>
      </c>
      <c r="AV4" s="14">
        <v>0</v>
      </c>
      <c r="AW4" s="14">
        <v>0</v>
      </c>
      <c r="AX4" s="14">
        <v>195</v>
      </c>
      <c r="AY4" s="14">
        <v>359</v>
      </c>
      <c r="AZ4" s="15">
        <v>0</v>
      </c>
      <c r="BA4" s="15">
        <v>0</v>
      </c>
      <c r="BB4" s="21">
        <v>44054</v>
      </c>
      <c r="BC4" s="21">
        <v>43849</v>
      </c>
      <c r="BD4" s="17">
        <v>2020</v>
      </c>
      <c r="BE4" s="17">
        <v>7</v>
      </c>
      <c r="BF4" s="16"/>
      <c r="BG4" s="16"/>
      <c r="BH4" s="16"/>
      <c r="BI4" s="13" t="s">
        <v>1308</v>
      </c>
      <c r="BJ4" s="16"/>
      <c r="BK4" s="16"/>
      <c r="BL4" s="16"/>
      <c r="BM4" s="16"/>
      <c r="BN4" s="16"/>
      <c r="BO4" s="16"/>
      <c r="BP4" s="16"/>
      <c r="BQ4" s="21">
        <v>43862</v>
      </c>
      <c r="BR4" s="17">
        <v>2020</v>
      </c>
      <c r="BS4" s="17">
        <v>7</v>
      </c>
      <c r="BT4" s="17">
        <v>2026</v>
      </c>
      <c r="BU4" s="17">
        <v>8</v>
      </c>
      <c r="BV4" s="16"/>
      <c r="BW4" s="16"/>
      <c r="BX4" s="16"/>
      <c r="BY4" s="16"/>
      <c r="BZ4" s="16"/>
      <c r="CA4" s="21">
        <v>44052</v>
      </c>
      <c r="CB4" s="17">
        <v>2021</v>
      </c>
      <c r="CC4" s="17">
        <v>2</v>
      </c>
      <c r="CD4" s="13" t="s">
        <v>1636</v>
      </c>
      <c r="CE4" s="13" t="s">
        <v>1637</v>
      </c>
      <c r="CF4" s="13" t="s">
        <v>1308</v>
      </c>
      <c r="CG4" s="13" t="s">
        <v>1638</v>
      </c>
      <c r="CH4" s="13" t="s">
        <v>1639</v>
      </c>
      <c r="CI4" s="13" t="s">
        <v>1640</v>
      </c>
      <c r="CJ4" s="13" t="s">
        <v>1641</v>
      </c>
      <c r="CK4" s="13" t="s">
        <v>1642</v>
      </c>
      <c r="CL4" s="13" t="s">
        <v>1643</v>
      </c>
      <c r="CM4" s="13" t="s">
        <v>1644</v>
      </c>
      <c r="CN4" s="13" t="s">
        <v>1645</v>
      </c>
      <c r="CO4" s="16"/>
      <c r="CP4" s="16"/>
    </row>
    <row r="5" spans="1:94" s="1" customFormat="1" ht="13" thickBot="1" x14ac:dyDescent="0.3">
      <c r="A5" s="13" t="s">
        <v>1667</v>
      </c>
      <c r="B5" s="13" t="s">
        <v>1668</v>
      </c>
      <c r="C5" s="13" t="s">
        <v>1669</v>
      </c>
      <c r="D5" s="13" t="s">
        <v>1616</v>
      </c>
      <c r="E5" s="13" t="s">
        <v>1670</v>
      </c>
      <c r="F5" s="13" t="s">
        <v>1618</v>
      </c>
      <c r="G5" s="13" t="s">
        <v>1619</v>
      </c>
      <c r="H5" s="17">
        <v>12</v>
      </c>
      <c r="I5" s="16"/>
      <c r="J5" s="13" t="s">
        <v>1671</v>
      </c>
      <c r="K5" s="13" t="s">
        <v>1308</v>
      </c>
      <c r="L5" s="13" t="s">
        <v>1308</v>
      </c>
      <c r="M5" s="13" t="s">
        <v>1671</v>
      </c>
      <c r="N5" s="13" t="s">
        <v>1672</v>
      </c>
      <c r="O5" s="13" t="s">
        <v>127</v>
      </c>
      <c r="P5" s="13" t="s">
        <v>1673</v>
      </c>
      <c r="Q5" s="13" t="s">
        <v>1649</v>
      </c>
      <c r="R5" s="16"/>
      <c r="S5" s="13" t="s">
        <v>1674</v>
      </c>
      <c r="T5" s="16"/>
      <c r="U5" s="13" t="s">
        <v>1675</v>
      </c>
      <c r="V5" s="13" t="s">
        <v>1676</v>
      </c>
      <c r="W5" s="13" t="s">
        <v>1677</v>
      </c>
      <c r="X5" s="13" t="s">
        <v>127</v>
      </c>
      <c r="Y5" s="13" t="s">
        <v>1619</v>
      </c>
      <c r="Z5" s="13" t="s">
        <v>1671</v>
      </c>
      <c r="AA5" s="13" t="s">
        <v>127</v>
      </c>
      <c r="AB5" s="16"/>
      <c r="AC5" s="13" t="s">
        <v>127</v>
      </c>
      <c r="AD5" s="13" t="s">
        <v>1678</v>
      </c>
      <c r="AE5" s="13" t="s">
        <v>1679</v>
      </c>
      <c r="AF5" s="13" t="s">
        <v>1629</v>
      </c>
      <c r="AG5" s="13" t="s">
        <v>1680</v>
      </c>
      <c r="AH5" s="13" t="s">
        <v>1681</v>
      </c>
      <c r="AI5" s="13" t="s">
        <v>1682</v>
      </c>
      <c r="AJ5" s="13" t="s">
        <v>1633</v>
      </c>
      <c r="AK5" s="13" t="s">
        <v>1683</v>
      </c>
      <c r="AL5" s="13" t="s">
        <v>1684</v>
      </c>
      <c r="AM5" s="13" t="s">
        <v>1634</v>
      </c>
      <c r="AN5" s="13" t="s">
        <v>1303</v>
      </c>
      <c r="AO5" s="13" t="s">
        <v>1304</v>
      </c>
      <c r="AP5" s="13" t="s">
        <v>1635</v>
      </c>
      <c r="AQ5" s="16"/>
      <c r="AR5" s="13" t="s">
        <v>1308</v>
      </c>
      <c r="AS5" s="15">
        <v>1</v>
      </c>
      <c r="AT5" s="14">
        <v>0</v>
      </c>
      <c r="AU5" s="14">
        <v>0</v>
      </c>
      <c r="AV5" s="14">
        <v>0</v>
      </c>
      <c r="AW5" s="14">
        <v>0</v>
      </c>
      <c r="AX5" s="14">
        <v>599</v>
      </c>
      <c r="AY5" s="14">
        <v>599</v>
      </c>
      <c r="AZ5" s="15">
        <v>0</v>
      </c>
      <c r="BA5" s="15">
        <v>0</v>
      </c>
      <c r="BB5" s="21">
        <v>45869</v>
      </c>
      <c r="BC5" s="21">
        <v>45744</v>
      </c>
      <c r="BD5" s="17">
        <v>2025</v>
      </c>
      <c r="BE5" s="17">
        <v>3</v>
      </c>
      <c r="BF5" s="16"/>
      <c r="BG5" s="16"/>
      <c r="BH5" s="16"/>
      <c r="BI5" s="13" t="s">
        <v>1308</v>
      </c>
      <c r="BJ5" s="16"/>
      <c r="BK5" s="16"/>
      <c r="BL5" s="16"/>
      <c r="BM5" s="16"/>
      <c r="BN5" s="16"/>
      <c r="BO5" s="16"/>
      <c r="BP5" s="16"/>
      <c r="BQ5" s="21">
        <v>45869</v>
      </c>
      <c r="BR5" s="17">
        <v>2025</v>
      </c>
      <c r="BS5" s="17">
        <v>7</v>
      </c>
      <c r="BT5" s="17">
        <v>2026</v>
      </c>
      <c r="BU5" s="17">
        <v>8</v>
      </c>
      <c r="BV5" s="21">
        <v>45869</v>
      </c>
      <c r="BW5" s="17">
        <v>2025</v>
      </c>
      <c r="BX5" s="17">
        <v>7</v>
      </c>
      <c r="BY5" s="17">
        <v>2025</v>
      </c>
      <c r="BZ5" s="17">
        <v>8</v>
      </c>
      <c r="CA5" s="16"/>
      <c r="CB5" s="16"/>
      <c r="CC5" s="16"/>
      <c r="CD5" s="16"/>
      <c r="CE5" s="16"/>
      <c r="CF5" s="16"/>
      <c r="CG5" s="16"/>
      <c r="CH5" s="16"/>
      <c r="CI5" s="16"/>
      <c r="CJ5" s="16"/>
      <c r="CK5" s="16"/>
      <c r="CL5" s="16"/>
      <c r="CM5" s="16"/>
      <c r="CN5" s="16"/>
      <c r="CO5" s="16"/>
      <c r="CP5" s="16"/>
    </row>
    <row r="6" spans="1:94" s="1" customFormat="1" ht="13" thickBot="1" x14ac:dyDescent="0.3">
      <c r="A6" s="13" t="s">
        <v>1685</v>
      </c>
      <c r="B6" s="13" t="s">
        <v>87</v>
      </c>
      <c r="C6" s="13" t="s">
        <v>88</v>
      </c>
      <c r="D6" s="13" t="s">
        <v>1616</v>
      </c>
      <c r="E6" s="13" t="s">
        <v>1670</v>
      </c>
      <c r="F6" s="13" t="s">
        <v>1618</v>
      </c>
      <c r="G6" s="13" t="s">
        <v>1619</v>
      </c>
      <c r="H6" s="17">
        <v>6</v>
      </c>
      <c r="I6" s="16"/>
      <c r="J6" s="16"/>
      <c r="K6" s="13" t="s">
        <v>1308</v>
      </c>
      <c r="L6" s="13" t="s">
        <v>1308</v>
      </c>
      <c r="M6" s="13" t="s">
        <v>1686</v>
      </c>
      <c r="N6" s="13" t="s">
        <v>1687</v>
      </c>
      <c r="O6" s="13" t="s">
        <v>86</v>
      </c>
      <c r="P6" s="13" t="s">
        <v>976</v>
      </c>
      <c r="Q6" s="13" t="s">
        <v>1649</v>
      </c>
      <c r="R6" s="13" t="s">
        <v>1688</v>
      </c>
      <c r="S6" s="13" t="s">
        <v>1689</v>
      </c>
      <c r="T6" s="16"/>
      <c r="U6" s="13" t="s">
        <v>1690</v>
      </c>
      <c r="V6" s="13" t="s">
        <v>1691</v>
      </c>
      <c r="W6" s="13" t="s">
        <v>1692</v>
      </c>
      <c r="X6" s="13" t="s">
        <v>86</v>
      </c>
      <c r="Y6" s="13" t="s">
        <v>1619</v>
      </c>
      <c r="Z6" s="13" t="s">
        <v>1693</v>
      </c>
      <c r="AA6" s="13" t="s">
        <v>1694</v>
      </c>
      <c r="AB6" s="16"/>
      <c r="AC6" s="13" t="s">
        <v>1694</v>
      </c>
      <c r="AD6" s="13" t="s">
        <v>1678</v>
      </c>
      <c r="AE6" s="13" t="s">
        <v>1679</v>
      </c>
      <c r="AF6" s="13" t="s">
        <v>1629</v>
      </c>
      <c r="AG6" s="13" t="s">
        <v>1695</v>
      </c>
      <c r="AH6" s="13" t="s">
        <v>1696</v>
      </c>
      <c r="AI6" s="13" t="s">
        <v>1697</v>
      </c>
      <c r="AJ6" s="13" t="s">
        <v>1633</v>
      </c>
      <c r="AK6" s="13" t="s">
        <v>87</v>
      </c>
      <c r="AL6" s="13" t="s">
        <v>88</v>
      </c>
      <c r="AM6" s="13" t="s">
        <v>1634</v>
      </c>
      <c r="AN6" s="13" t="s">
        <v>1303</v>
      </c>
      <c r="AO6" s="13" t="s">
        <v>1304</v>
      </c>
      <c r="AP6" s="13" t="s">
        <v>1635</v>
      </c>
      <c r="AQ6" s="16"/>
      <c r="AR6" s="13" t="s">
        <v>1308</v>
      </c>
      <c r="AS6" s="15">
        <v>1</v>
      </c>
      <c r="AT6" s="14">
        <v>0</v>
      </c>
      <c r="AU6" s="14">
        <v>0</v>
      </c>
      <c r="AV6" s="14">
        <v>0</v>
      </c>
      <c r="AW6" s="14">
        <v>0</v>
      </c>
      <c r="AX6" s="14">
        <v>0</v>
      </c>
      <c r="AY6" s="14">
        <v>2981</v>
      </c>
      <c r="AZ6" s="15">
        <v>6792</v>
      </c>
      <c r="BA6" s="15">
        <v>0</v>
      </c>
      <c r="BB6" s="21">
        <v>45385</v>
      </c>
      <c r="BC6" s="21">
        <v>44245</v>
      </c>
      <c r="BD6" s="17">
        <v>2021</v>
      </c>
      <c r="BE6" s="17">
        <v>8</v>
      </c>
      <c r="BF6" s="16"/>
      <c r="BG6" s="16"/>
      <c r="BH6" s="16"/>
      <c r="BI6" s="13" t="s">
        <v>1308</v>
      </c>
      <c r="BJ6" s="16"/>
      <c r="BK6" s="16"/>
      <c r="BL6" s="16"/>
      <c r="BM6" s="16"/>
      <c r="BN6" s="16"/>
      <c r="BO6" s="16"/>
      <c r="BP6" s="16"/>
      <c r="BQ6" s="21">
        <v>44251</v>
      </c>
      <c r="BR6" s="17">
        <v>2021</v>
      </c>
      <c r="BS6" s="17">
        <v>8</v>
      </c>
      <c r="BT6" s="17">
        <v>2026</v>
      </c>
      <c r="BU6" s="17">
        <v>9</v>
      </c>
      <c r="BV6" s="16"/>
      <c r="BW6" s="16"/>
      <c r="BX6" s="16"/>
      <c r="BY6" s="16"/>
      <c r="BZ6" s="16"/>
      <c r="CA6" s="21">
        <v>45384</v>
      </c>
      <c r="CB6" s="17">
        <v>2024</v>
      </c>
      <c r="CC6" s="17">
        <v>4</v>
      </c>
      <c r="CD6" s="13" t="s">
        <v>1636</v>
      </c>
      <c r="CE6" s="13" t="s">
        <v>1637</v>
      </c>
      <c r="CF6" s="13" t="s">
        <v>1308</v>
      </c>
      <c r="CG6" s="13" t="s">
        <v>1638</v>
      </c>
      <c r="CH6" s="13" t="s">
        <v>1639</v>
      </c>
      <c r="CI6" s="13" t="s">
        <v>1640</v>
      </c>
      <c r="CJ6" s="13" t="s">
        <v>1641</v>
      </c>
      <c r="CK6" s="13" t="s">
        <v>1642</v>
      </c>
      <c r="CL6" s="13" t="s">
        <v>1643</v>
      </c>
      <c r="CM6" s="13" t="s">
        <v>1644</v>
      </c>
      <c r="CN6" s="13" t="s">
        <v>1645</v>
      </c>
      <c r="CO6" s="16"/>
      <c r="CP6" s="16"/>
    </row>
    <row r="7" spans="1:94" s="1" customFormat="1" ht="13" thickBot="1" x14ac:dyDescent="0.3">
      <c r="A7" s="13" t="s">
        <v>1698</v>
      </c>
      <c r="B7" s="16"/>
      <c r="C7" s="16"/>
      <c r="D7" s="13" t="s">
        <v>1699</v>
      </c>
      <c r="E7" s="13" t="s">
        <v>1700</v>
      </c>
      <c r="F7" s="13" t="s">
        <v>1699</v>
      </c>
      <c r="G7" s="13" t="s">
        <v>1701</v>
      </c>
      <c r="H7" s="17">
        <v>1</v>
      </c>
      <c r="I7" s="16"/>
      <c r="J7" s="16"/>
      <c r="K7" s="13" t="s">
        <v>1308</v>
      </c>
      <c r="L7" s="13" t="s">
        <v>1308</v>
      </c>
      <c r="M7" s="13" t="s">
        <v>1702</v>
      </c>
      <c r="N7" s="13" t="s">
        <v>1703</v>
      </c>
      <c r="O7" s="13" t="s">
        <v>416</v>
      </c>
      <c r="P7" s="13" t="s">
        <v>976</v>
      </c>
      <c r="Q7" s="13" t="s">
        <v>1623</v>
      </c>
      <c r="R7" s="13" t="s">
        <v>1704</v>
      </c>
      <c r="S7" s="16"/>
      <c r="T7" s="16"/>
      <c r="U7" s="13" t="s">
        <v>1705</v>
      </c>
      <c r="V7" s="13" t="s">
        <v>416</v>
      </c>
      <c r="W7" s="13" t="s">
        <v>1706</v>
      </c>
      <c r="X7" s="13" t="s">
        <v>416</v>
      </c>
      <c r="Y7" s="13" t="s">
        <v>1701</v>
      </c>
      <c r="Z7" s="13" t="s">
        <v>1702</v>
      </c>
      <c r="AA7" s="13" t="s">
        <v>416</v>
      </c>
      <c r="AB7" s="16"/>
      <c r="AC7" s="13" t="s">
        <v>416</v>
      </c>
      <c r="AD7" s="13" t="s">
        <v>1678</v>
      </c>
      <c r="AE7" s="13" t="s">
        <v>1679</v>
      </c>
      <c r="AF7" s="13" t="s">
        <v>1629</v>
      </c>
      <c r="AG7" s="13" t="s">
        <v>1707</v>
      </c>
      <c r="AH7" s="13" t="s">
        <v>1708</v>
      </c>
      <c r="AI7" s="13" t="s">
        <v>1682</v>
      </c>
      <c r="AJ7" s="13" t="s">
        <v>1633</v>
      </c>
      <c r="AK7" s="13" t="s">
        <v>48</v>
      </c>
      <c r="AL7" s="13" t="s">
        <v>49</v>
      </c>
      <c r="AM7" s="13" t="s">
        <v>1634</v>
      </c>
      <c r="AN7" s="13" t="s">
        <v>1303</v>
      </c>
      <c r="AO7" s="13" t="s">
        <v>1304</v>
      </c>
      <c r="AP7" s="13" t="s">
        <v>1635</v>
      </c>
      <c r="AQ7" s="16"/>
      <c r="AR7" s="13" t="s">
        <v>1308</v>
      </c>
      <c r="AS7" s="15">
        <v>1</v>
      </c>
      <c r="AT7" s="14">
        <v>0</v>
      </c>
      <c r="AU7" s="14">
        <v>0</v>
      </c>
      <c r="AV7" s="14">
        <v>0</v>
      </c>
      <c r="AW7" s="14">
        <v>0</v>
      </c>
      <c r="AX7" s="14">
        <v>299</v>
      </c>
      <c r="AY7" s="14">
        <v>299</v>
      </c>
      <c r="AZ7" s="15">
        <v>1794</v>
      </c>
      <c r="BA7" s="15">
        <v>0</v>
      </c>
      <c r="BB7" s="21">
        <v>45778</v>
      </c>
      <c r="BC7" s="21">
        <v>44343</v>
      </c>
      <c r="BD7" s="17">
        <v>2021</v>
      </c>
      <c r="BE7" s="17">
        <v>11</v>
      </c>
      <c r="BF7" s="16"/>
      <c r="BG7" s="16"/>
      <c r="BH7" s="16"/>
      <c r="BI7" s="13" t="s">
        <v>1308</v>
      </c>
      <c r="BJ7" s="16"/>
      <c r="BK7" s="16"/>
      <c r="BL7" s="16"/>
      <c r="BM7" s="16"/>
      <c r="BN7" s="16"/>
      <c r="BO7" s="16"/>
      <c r="BP7" s="16"/>
      <c r="BQ7" s="21">
        <v>44363</v>
      </c>
      <c r="BR7" s="17">
        <v>2021</v>
      </c>
      <c r="BS7" s="17">
        <v>12</v>
      </c>
      <c r="BT7" s="17">
        <v>2026</v>
      </c>
      <c r="BU7" s="17">
        <v>1</v>
      </c>
      <c r="BV7" s="16"/>
      <c r="BW7" s="16"/>
      <c r="BX7" s="16"/>
      <c r="BY7" s="16"/>
      <c r="BZ7" s="16"/>
      <c r="CA7" s="21">
        <v>45777</v>
      </c>
      <c r="CB7" s="17">
        <v>2025</v>
      </c>
      <c r="CC7" s="17">
        <v>4</v>
      </c>
      <c r="CD7" s="13" t="s">
        <v>1636</v>
      </c>
      <c r="CE7" s="13" t="s">
        <v>1637</v>
      </c>
      <c r="CF7" s="13" t="s">
        <v>1308</v>
      </c>
      <c r="CG7" s="13" t="s">
        <v>1638</v>
      </c>
      <c r="CH7" s="13" t="s">
        <v>1639</v>
      </c>
      <c r="CI7" s="13" t="s">
        <v>1640</v>
      </c>
      <c r="CJ7" s="13" t="s">
        <v>1641</v>
      </c>
      <c r="CK7" s="13" t="s">
        <v>1642</v>
      </c>
      <c r="CL7" s="13" t="s">
        <v>1643</v>
      </c>
      <c r="CM7" s="13" t="s">
        <v>1644</v>
      </c>
      <c r="CN7" s="13" t="s">
        <v>1645</v>
      </c>
      <c r="CO7" s="16"/>
      <c r="CP7" s="16"/>
    </row>
    <row r="8" spans="1:94" s="1" customFormat="1" ht="13" thickBot="1" x14ac:dyDescent="0.3">
      <c r="A8" s="13" t="s">
        <v>1709</v>
      </c>
      <c r="B8" s="16"/>
      <c r="C8" s="16"/>
      <c r="D8" s="13" t="s">
        <v>1616</v>
      </c>
      <c r="E8" s="13" t="s">
        <v>1617</v>
      </c>
      <c r="F8" s="13" t="s">
        <v>1618</v>
      </c>
      <c r="G8" s="13" t="s">
        <v>1619</v>
      </c>
      <c r="H8" s="17">
        <v>1</v>
      </c>
      <c r="I8" s="16"/>
      <c r="J8" s="16"/>
      <c r="K8" s="13" t="s">
        <v>1308</v>
      </c>
      <c r="L8" s="13" t="s">
        <v>1308</v>
      </c>
      <c r="M8" s="13" t="s">
        <v>1647</v>
      </c>
      <c r="N8" s="13" t="s">
        <v>1648</v>
      </c>
      <c r="O8" s="13" t="s">
        <v>52</v>
      </c>
      <c r="P8" s="13" t="s">
        <v>976</v>
      </c>
      <c r="Q8" s="13" t="s">
        <v>1623</v>
      </c>
      <c r="R8" s="13" t="s">
        <v>1710</v>
      </c>
      <c r="S8" s="16"/>
      <c r="T8" s="16"/>
      <c r="U8" s="13" t="s">
        <v>1652</v>
      </c>
      <c r="V8" s="13" t="s">
        <v>1653</v>
      </c>
      <c r="W8" s="13" t="s">
        <v>1654</v>
      </c>
      <c r="X8" s="13" t="s">
        <v>1653</v>
      </c>
      <c r="Y8" s="13" t="s">
        <v>1619</v>
      </c>
      <c r="Z8" s="13" t="s">
        <v>1647</v>
      </c>
      <c r="AA8" s="13" t="s">
        <v>52</v>
      </c>
      <c r="AB8" s="16"/>
      <c r="AC8" s="13" t="s">
        <v>52</v>
      </c>
      <c r="AD8" s="13" t="s">
        <v>1627</v>
      </c>
      <c r="AE8" s="13" t="s">
        <v>1628</v>
      </c>
      <c r="AF8" s="13" t="s">
        <v>1629</v>
      </c>
      <c r="AG8" s="13" t="s">
        <v>1655</v>
      </c>
      <c r="AH8" s="13" t="s">
        <v>1656</v>
      </c>
      <c r="AI8" s="13" t="s">
        <v>1657</v>
      </c>
      <c r="AJ8" s="13" t="s">
        <v>1633</v>
      </c>
      <c r="AK8" s="13" t="s">
        <v>1658</v>
      </c>
      <c r="AL8" s="13" t="s">
        <v>1659</v>
      </c>
      <c r="AM8" s="13" t="s">
        <v>1634</v>
      </c>
      <c r="AN8" s="13" t="s">
        <v>1303</v>
      </c>
      <c r="AO8" s="13" t="s">
        <v>1304</v>
      </c>
      <c r="AP8" s="13" t="s">
        <v>1635</v>
      </c>
      <c r="AQ8" s="16"/>
      <c r="AR8" s="13" t="s">
        <v>1308</v>
      </c>
      <c r="AS8" s="15">
        <v>1</v>
      </c>
      <c r="AT8" s="14">
        <v>0</v>
      </c>
      <c r="AU8" s="14">
        <v>0</v>
      </c>
      <c r="AV8" s="14">
        <v>0</v>
      </c>
      <c r="AW8" s="14">
        <v>0</v>
      </c>
      <c r="AX8" s="14">
        <v>1995</v>
      </c>
      <c r="AY8" s="14">
        <v>2267.36</v>
      </c>
      <c r="AZ8" s="22">
        <v>13604.16</v>
      </c>
      <c r="BA8" s="15">
        <v>0</v>
      </c>
      <c r="BB8" s="21">
        <v>45352</v>
      </c>
      <c r="BC8" s="21">
        <v>45316</v>
      </c>
      <c r="BD8" s="17">
        <v>2024</v>
      </c>
      <c r="BE8" s="17">
        <v>1</v>
      </c>
      <c r="BF8" s="16"/>
      <c r="BG8" s="16"/>
      <c r="BH8" s="16"/>
      <c r="BI8" s="13" t="s">
        <v>1308</v>
      </c>
      <c r="BJ8" s="16"/>
      <c r="BK8" s="16"/>
      <c r="BL8" s="16"/>
      <c r="BM8" s="16"/>
      <c r="BN8" s="16"/>
      <c r="BO8" s="16"/>
      <c r="BP8" s="16"/>
      <c r="BQ8" s="21">
        <v>45299</v>
      </c>
      <c r="BR8" s="17">
        <v>2024</v>
      </c>
      <c r="BS8" s="17">
        <v>1</v>
      </c>
      <c r="BT8" s="17">
        <v>2026</v>
      </c>
      <c r="BU8" s="17">
        <v>1</v>
      </c>
      <c r="BV8" s="16"/>
      <c r="BW8" s="16"/>
      <c r="BX8" s="16"/>
      <c r="BY8" s="16"/>
      <c r="BZ8" s="16"/>
      <c r="CA8" s="21">
        <v>45347</v>
      </c>
      <c r="CB8" s="17">
        <v>2024</v>
      </c>
      <c r="CC8" s="17">
        <v>2</v>
      </c>
      <c r="CD8" s="13" t="s">
        <v>1636</v>
      </c>
      <c r="CE8" s="13" t="s">
        <v>1637</v>
      </c>
      <c r="CF8" s="13" t="s">
        <v>1308</v>
      </c>
      <c r="CG8" s="13" t="s">
        <v>1638</v>
      </c>
      <c r="CH8" s="13" t="s">
        <v>1639</v>
      </c>
      <c r="CI8" s="13" t="s">
        <v>1640</v>
      </c>
      <c r="CJ8" s="13" t="s">
        <v>1641</v>
      </c>
      <c r="CK8" s="13" t="s">
        <v>1642</v>
      </c>
      <c r="CL8" s="13" t="s">
        <v>1643</v>
      </c>
      <c r="CM8" s="13" t="s">
        <v>1644</v>
      </c>
      <c r="CN8" s="13" t="s">
        <v>1645</v>
      </c>
      <c r="CO8" s="16"/>
      <c r="CP8" s="16"/>
    </row>
    <row r="9" spans="1:94" s="1" customFormat="1" ht="13" thickBot="1" x14ac:dyDescent="0.3">
      <c r="A9" s="13" t="s">
        <v>1710</v>
      </c>
      <c r="B9" s="13" t="s">
        <v>1658</v>
      </c>
      <c r="C9" s="13" t="s">
        <v>1659</v>
      </c>
      <c r="D9" s="13" t="s">
        <v>1616</v>
      </c>
      <c r="E9" s="13" t="s">
        <v>1617</v>
      </c>
      <c r="F9" s="13" t="s">
        <v>1618</v>
      </c>
      <c r="G9" s="13" t="s">
        <v>1619</v>
      </c>
      <c r="H9" s="17">
        <v>1</v>
      </c>
      <c r="I9" s="16"/>
      <c r="J9" s="13" t="s">
        <v>1647</v>
      </c>
      <c r="K9" s="13" t="s">
        <v>1308</v>
      </c>
      <c r="L9" s="13" t="s">
        <v>1308</v>
      </c>
      <c r="M9" s="13" t="s">
        <v>1647</v>
      </c>
      <c r="N9" s="13" t="s">
        <v>1648</v>
      </c>
      <c r="O9" s="13" t="s">
        <v>52</v>
      </c>
      <c r="P9" s="13" t="s">
        <v>1673</v>
      </c>
      <c r="Q9" s="13" t="s">
        <v>1649</v>
      </c>
      <c r="R9" s="16"/>
      <c r="S9" s="13" t="s">
        <v>1709</v>
      </c>
      <c r="T9" s="16"/>
      <c r="U9" s="13" t="s">
        <v>1652</v>
      </c>
      <c r="V9" s="13" t="s">
        <v>1653</v>
      </c>
      <c r="W9" s="13" t="s">
        <v>1654</v>
      </c>
      <c r="X9" s="13" t="s">
        <v>1653</v>
      </c>
      <c r="Y9" s="13" t="s">
        <v>1619</v>
      </c>
      <c r="Z9" s="13" t="s">
        <v>1647</v>
      </c>
      <c r="AA9" s="13" t="s">
        <v>52</v>
      </c>
      <c r="AB9" s="16"/>
      <c r="AC9" s="13" t="s">
        <v>52</v>
      </c>
      <c r="AD9" s="13" t="s">
        <v>1627</v>
      </c>
      <c r="AE9" s="13" t="s">
        <v>1628</v>
      </c>
      <c r="AF9" s="13" t="s">
        <v>1629</v>
      </c>
      <c r="AG9" s="13" t="s">
        <v>1655</v>
      </c>
      <c r="AH9" s="13" t="s">
        <v>1656</v>
      </c>
      <c r="AI9" s="13" t="s">
        <v>1657</v>
      </c>
      <c r="AJ9" s="13" t="s">
        <v>1633</v>
      </c>
      <c r="AK9" s="13" t="s">
        <v>1658</v>
      </c>
      <c r="AL9" s="13" t="s">
        <v>1659</v>
      </c>
      <c r="AM9" s="13" t="s">
        <v>1634</v>
      </c>
      <c r="AN9" s="13" t="s">
        <v>1303</v>
      </c>
      <c r="AO9" s="13" t="s">
        <v>1304</v>
      </c>
      <c r="AP9" s="13" t="s">
        <v>1635</v>
      </c>
      <c r="AQ9" s="16"/>
      <c r="AR9" s="13" t="s">
        <v>1308</v>
      </c>
      <c r="AS9" s="15">
        <v>1</v>
      </c>
      <c r="AT9" s="14">
        <v>0</v>
      </c>
      <c r="AU9" s="14">
        <v>0</v>
      </c>
      <c r="AV9" s="14">
        <v>0</v>
      </c>
      <c r="AW9" s="14">
        <v>0</v>
      </c>
      <c r="AX9" s="14">
        <v>1995</v>
      </c>
      <c r="AY9" s="14">
        <v>1995</v>
      </c>
      <c r="AZ9" s="22">
        <v>-1634.16</v>
      </c>
      <c r="BA9" s="15">
        <v>0</v>
      </c>
      <c r="BB9" s="21">
        <v>45352</v>
      </c>
      <c r="BC9" s="21">
        <v>45321</v>
      </c>
      <c r="BD9" s="17">
        <v>2024</v>
      </c>
      <c r="BE9" s="17">
        <v>1</v>
      </c>
      <c r="BF9" s="16"/>
      <c r="BG9" s="16"/>
      <c r="BH9" s="16"/>
      <c r="BI9" s="13" t="s">
        <v>1308</v>
      </c>
      <c r="BJ9" s="16"/>
      <c r="BK9" s="16"/>
      <c r="BL9" s="16"/>
      <c r="BM9" s="16"/>
      <c r="BN9" s="16"/>
      <c r="BO9" s="16"/>
      <c r="BP9" s="16"/>
      <c r="BQ9" s="21">
        <v>45348</v>
      </c>
      <c r="BR9" s="17">
        <v>2024</v>
      </c>
      <c r="BS9" s="17">
        <v>2</v>
      </c>
      <c r="BT9" s="17">
        <v>2026</v>
      </c>
      <c r="BU9" s="17">
        <v>3</v>
      </c>
      <c r="BV9" s="21">
        <v>45348</v>
      </c>
      <c r="BW9" s="17">
        <v>2024</v>
      </c>
      <c r="BX9" s="17">
        <v>2</v>
      </c>
      <c r="BY9" s="17">
        <v>2024</v>
      </c>
      <c r="BZ9" s="17">
        <v>3</v>
      </c>
      <c r="CA9" s="16"/>
      <c r="CB9" s="16"/>
      <c r="CC9" s="16"/>
      <c r="CD9" s="16"/>
      <c r="CE9" s="16"/>
      <c r="CF9" s="16"/>
      <c r="CG9" s="16"/>
      <c r="CH9" s="16"/>
      <c r="CI9" s="16"/>
      <c r="CJ9" s="16"/>
      <c r="CK9" s="16"/>
      <c r="CL9" s="16"/>
      <c r="CM9" s="16"/>
      <c r="CN9" s="16"/>
      <c r="CO9" s="16"/>
      <c r="CP9" s="16"/>
    </row>
    <row r="10" spans="1:94" s="1" customFormat="1" ht="13" thickBot="1" x14ac:dyDescent="0.3">
      <c r="A10" s="13" t="s">
        <v>1711</v>
      </c>
      <c r="B10" s="16"/>
      <c r="C10" s="16"/>
      <c r="D10" s="13" t="s">
        <v>1616</v>
      </c>
      <c r="E10" s="13" t="s">
        <v>1617</v>
      </c>
      <c r="F10" s="13" t="s">
        <v>1618</v>
      </c>
      <c r="G10" s="13" t="s">
        <v>1619</v>
      </c>
      <c r="H10" s="17">
        <v>1</v>
      </c>
      <c r="I10" s="16"/>
      <c r="J10" s="16"/>
      <c r="K10" s="13" t="s">
        <v>1661</v>
      </c>
      <c r="L10" s="13" t="s">
        <v>1308</v>
      </c>
      <c r="M10" s="13" t="s">
        <v>1712</v>
      </c>
      <c r="N10" s="13" t="s">
        <v>1713</v>
      </c>
      <c r="O10" s="13" t="s">
        <v>125</v>
      </c>
      <c r="P10" s="13" t="s">
        <v>976</v>
      </c>
      <c r="Q10" s="13" t="s">
        <v>1623</v>
      </c>
      <c r="R10" s="13" t="s">
        <v>1714</v>
      </c>
      <c r="S10" s="16"/>
      <c r="T10" s="16"/>
      <c r="U10" s="13" t="s">
        <v>1715</v>
      </c>
      <c r="V10" s="13" t="s">
        <v>125</v>
      </c>
      <c r="W10" s="13" t="s">
        <v>1716</v>
      </c>
      <c r="X10" s="13" t="s">
        <v>125</v>
      </c>
      <c r="Y10" s="13" t="s">
        <v>1619</v>
      </c>
      <c r="Z10" s="13" t="s">
        <v>1712</v>
      </c>
      <c r="AA10" s="13" t="s">
        <v>125</v>
      </c>
      <c r="AB10" s="16"/>
      <c r="AC10" s="13" t="s">
        <v>125</v>
      </c>
      <c r="AD10" s="13" t="s">
        <v>1627</v>
      </c>
      <c r="AE10" s="13" t="s">
        <v>1628</v>
      </c>
      <c r="AF10" s="13" t="s">
        <v>1629</v>
      </c>
      <c r="AG10" s="13" t="s">
        <v>1717</v>
      </c>
      <c r="AH10" s="13" t="s">
        <v>1718</v>
      </c>
      <c r="AI10" s="13" t="s">
        <v>1719</v>
      </c>
      <c r="AJ10" s="13" t="s">
        <v>1633</v>
      </c>
      <c r="AK10" s="13" t="s">
        <v>35</v>
      </c>
      <c r="AL10" s="13" t="s">
        <v>36</v>
      </c>
      <c r="AM10" s="13" t="s">
        <v>1634</v>
      </c>
      <c r="AN10" s="13" t="s">
        <v>1303</v>
      </c>
      <c r="AO10" s="13" t="s">
        <v>1304</v>
      </c>
      <c r="AP10" s="13" t="s">
        <v>1635</v>
      </c>
      <c r="AQ10" s="16"/>
      <c r="AR10" s="13" t="s">
        <v>1308</v>
      </c>
      <c r="AS10" s="15">
        <v>1</v>
      </c>
      <c r="AT10" s="14">
        <v>0</v>
      </c>
      <c r="AU10" s="14">
        <v>0</v>
      </c>
      <c r="AV10" s="14">
        <v>0</v>
      </c>
      <c r="AW10" s="14">
        <v>0</v>
      </c>
      <c r="AX10" s="14">
        <v>195</v>
      </c>
      <c r="AY10" s="14">
        <v>299</v>
      </c>
      <c r="AZ10" s="15">
        <v>0</v>
      </c>
      <c r="BA10" s="15">
        <v>0</v>
      </c>
      <c r="BB10" s="21">
        <v>45274</v>
      </c>
      <c r="BC10" s="21">
        <v>43848</v>
      </c>
      <c r="BD10" s="17">
        <v>2020</v>
      </c>
      <c r="BE10" s="17">
        <v>7</v>
      </c>
      <c r="BF10" s="16"/>
      <c r="BG10" s="16"/>
      <c r="BH10" s="16"/>
      <c r="BI10" s="13" t="s">
        <v>1308</v>
      </c>
      <c r="BJ10" s="16"/>
      <c r="BK10" s="16"/>
      <c r="BL10" s="16"/>
      <c r="BM10" s="16"/>
      <c r="BN10" s="16"/>
      <c r="BO10" s="16"/>
      <c r="BP10" s="16"/>
      <c r="BQ10" s="21">
        <v>43862</v>
      </c>
      <c r="BR10" s="17">
        <v>2020</v>
      </c>
      <c r="BS10" s="17">
        <v>7</v>
      </c>
      <c r="BT10" s="17">
        <v>2026</v>
      </c>
      <c r="BU10" s="17">
        <v>8</v>
      </c>
      <c r="BV10" s="16"/>
      <c r="BW10" s="16"/>
      <c r="BX10" s="16"/>
      <c r="BY10" s="16"/>
      <c r="BZ10" s="16"/>
      <c r="CA10" s="21">
        <v>45273</v>
      </c>
      <c r="CB10" s="17">
        <v>2023</v>
      </c>
      <c r="CC10" s="17">
        <v>12</v>
      </c>
      <c r="CD10" s="13" t="s">
        <v>1636</v>
      </c>
      <c r="CE10" s="13" t="s">
        <v>1637</v>
      </c>
      <c r="CF10" s="13" t="s">
        <v>1308</v>
      </c>
      <c r="CG10" s="13" t="s">
        <v>1638</v>
      </c>
      <c r="CH10" s="13" t="s">
        <v>1639</v>
      </c>
      <c r="CI10" s="13" t="s">
        <v>1640</v>
      </c>
      <c r="CJ10" s="13" t="s">
        <v>1641</v>
      </c>
      <c r="CK10" s="13" t="s">
        <v>1642</v>
      </c>
      <c r="CL10" s="13" t="s">
        <v>1643</v>
      </c>
      <c r="CM10" s="13" t="s">
        <v>1644</v>
      </c>
      <c r="CN10" s="13" t="s">
        <v>1645</v>
      </c>
      <c r="CO10" s="16"/>
      <c r="CP10" s="16"/>
    </row>
    <row r="11" spans="1:94" s="1" customFormat="1" ht="13" thickBot="1" x14ac:dyDescent="0.3">
      <c r="A11" s="13" t="s">
        <v>1720</v>
      </c>
      <c r="B11" s="16"/>
      <c r="C11" s="16"/>
      <c r="D11" s="13" t="s">
        <v>1616</v>
      </c>
      <c r="E11" s="13" t="s">
        <v>1617</v>
      </c>
      <c r="F11" s="13" t="s">
        <v>1618</v>
      </c>
      <c r="G11" s="13" t="s">
        <v>1619</v>
      </c>
      <c r="H11" s="17">
        <v>38</v>
      </c>
      <c r="I11" s="16"/>
      <c r="J11" s="16"/>
      <c r="K11" s="13" t="s">
        <v>1308</v>
      </c>
      <c r="L11" s="13" t="s">
        <v>1308</v>
      </c>
      <c r="M11" s="13" t="s">
        <v>1721</v>
      </c>
      <c r="N11" s="16"/>
      <c r="O11" s="13" t="s">
        <v>57</v>
      </c>
      <c r="P11" s="13" t="s">
        <v>976</v>
      </c>
      <c r="Q11" s="13" t="s">
        <v>1623</v>
      </c>
      <c r="R11" s="16"/>
      <c r="S11" s="16"/>
      <c r="T11" s="16"/>
      <c r="U11" s="13" t="s">
        <v>1722</v>
      </c>
      <c r="V11" s="13" t="s">
        <v>57</v>
      </c>
      <c r="W11" s="13" t="s">
        <v>1723</v>
      </c>
      <c r="X11" s="13" t="s">
        <v>57</v>
      </c>
      <c r="Y11" s="13" t="s">
        <v>1619</v>
      </c>
      <c r="Z11" s="13" t="s">
        <v>1721</v>
      </c>
      <c r="AA11" s="13" t="s">
        <v>57</v>
      </c>
      <c r="AB11" s="16"/>
      <c r="AC11" s="13" t="s">
        <v>57</v>
      </c>
      <c r="AD11" s="13" t="s">
        <v>1724</v>
      </c>
      <c r="AE11" s="13" t="s">
        <v>1725</v>
      </c>
      <c r="AF11" s="13" t="s">
        <v>1629</v>
      </c>
      <c r="AG11" s="13" t="s">
        <v>1726</v>
      </c>
      <c r="AH11" s="13" t="s">
        <v>1727</v>
      </c>
      <c r="AI11" s="13" t="s">
        <v>1728</v>
      </c>
      <c r="AJ11" s="13" t="s">
        <v>1633</v>
      </c>
      <c r="AK11" s="13" t="s">
        <v>35</v>
      </c>
      <c r="AL11" s="13" t="s">
        <v>36</v>
      </c>
      <c r="AM11" s="13" t="s">
        <v>1634</v>
      </c>
      <c r="AN11" s="13" t="s">
        <v>1303</v>
      </c>
      <c r="AO11" s="13" t="s">
        <v>1304</v>
      </c>
      <c r="AP11" s="13" t="s">
        <v>1635</v>
      </c>
      <c r="AQ11" s="16"/>
      <c r="AR11" s="13" t="s">
        <v>1308</v>
      </c>
      <c r="AS11" s="15">
        <v>1</v>
      </c>
      <c r="AT11" s="14">
        <v>0</v>
      </c>
      <c r="AU11" s="14">
        <v>0</v>
      </c>
      <c r="AV11" s="14">
        <v>0</v>
      </c>
      <c r="AW11" s="14">
        <v>0</v>
      </c>
      <c r="AX11" s="14">
        <v>195</v>
      </c>
      <c r="AY11" s="14">
        <v>1849</v>
      </c>
      <c r="AZ11" s="15">
        <v>0</v>
      </c>
      <c r="BA11" s="15">
        <v>0</v>
      </c>
      <c r="BB11" s="21">
        <v>45881</v>
      </c>
      <c r="BC11" s="21">
        <v>43848</v>
      </c>
      <c r="BD11" s="17">
        <v>2020</v>
      </c>
      <c r="BE11" s="17">
        <v>7</v>
      </c>
      <c r="BF11" s="16"/>
      <c r="BG11" s="16"/>
      <c r="BH11" s="16"/>
      <c r="BI11" s="13" t="s">
        <v>1308</v>
      </c>
      <c r="BJ11" s="16"/>
      <c r="BK11" s="16"/>
      <c r="BL11" s="16"/>
      <c r="BM11" s="16"/>
      <c r="BN11" s="16"/>
      <c r="BO11" s="16"/>
      <c r="BP11" s="16"/>
      <c r="BQ11" s="21">
        <v>43862</v>
      </c>
      <c r="BR11" s="17">
        <v>2020</v>
      </c>
      <c r="BS11" s="17">
        <v>7</v>
      </c>
      <c r="BT11" s="17">
        <v>2026</v>
      </c>
      <c r="BU11" s="17">
        <v>8</v>
      </c>
      <c r="BV11" s="16"/>
      <c r="BW11" s="16"/>
      <c r="BX11" s="16"/>
      <c r="BY11" s="16"/>
      <c r="BZ11" s="16"/>
      <c r="CA11" s="21">
        <v>45869</v>
      </c>
      <c r="CB11" s="17">
        <v>2025</v>
      </c>
      <c r="CC11" s="17">
        <v>8</v>
      </c>
      <c r="CD11" s="13" t="s">
        <v>1729</v>
      </c>
      <c r="CE11" s="13" t="s">
        <v>1730</v>
      </c>
      <c r="CF11" s="13" t="s">
        <v>1308</v>
      </c>
      <c r="CG11" s="13" t="s">
        <v>1731</v>
      </c>
      <c r="CH11" s="13" t="s">
        <v>1732</v>
      </c>
      <c r="CI11" s="13" t="s">
        <v>1733</v>
      </c>
      <c r="CJ11" s="13" t="s">
        <v>1734</v>
      </c>
      <c r="CK11" s="13" t="s">
        <v>1735</v>
      </c>
      <c r="CL11" s="13" t="s">
        <v>1736</v>
      </c>
      <c r="CM11" s="13" t="s">
        <v>4</v>
      </c>
      <c r="CN11" s="16"/>
      <c r="CO11" s="16"/>
      <c r="CP11" s="16"/>
    </row>
    <row r="12" spans="1:94" s="1" customFormat="1" ht="13" thickBot="1" x14ac:dyDescent="0.3">
      <c r="A12" s="13" t="s">
        <v>1650</v>
      </c>
      <c r="B12" s="13" t="s">
        <v>1658</v>
      </c>
      <c r="C12" s="13" t="s">
        <v>1659</v>
      </c>
      <c r="D12" s="13" t="s">
        <v>1616</v>
      </c>
      <c r="E12" s="13" t="s">
        <v>1617</v>
      </c>
      <c r="F12" s="13" t="s">
        <v>1618</v>
      </c>
      <c r="G12" s="13" t="s">
        <v>1619</v>
      </c>
      <c r="H12" s="17">
        <v>1</v>
      </c>
      <c r="I12" s="16"/>
      <c r="J12" s="16"/>
      <c r="K12" s="13" t="s">
        <v>1308</v>
      </c>
      <c r="L12" s="13" t="s">
        <v>1308</v>
      </c>
      <c r="M12" s="13" t="s">
        <v>1647</v>
      </c>
      <c r="N12" s="13" t="s">
        <v>1648</v>
      </c>
      <c r="O12" s="13" t="s">
        <v>52</v>
      </c>
      <c r="P12" s="13" t="s">
        <v>976</v>
      </c>
      <c r="Q12" s="13" t="s">
        <v>1737</v>
      </c>
      <c r="R12" s="16"/>
      <c r="S12" s="13" t="s">
        <v>1646</v>
      </c>
      <c r="T12" s="16"/>
      <c r="U12" s="13" t="s">
        <v>1652</v>
      </c>
      <c r="V12" s="13" t="s">
        <v>1653</v>
      </c>
      <c r="W12" s="13" t="s">
        <v>1654</v>
      </c>
      <c r="X12" s="13" t="s">
        <v>1653</v>
      </c>
      <c r="Y12" s="13" t="s">
        <v>1619</v>
      </c>
      <c r="Z12" s="13" t="s">
        <v>1647</v>
      </c>
      <c r="AA12" s="13" t="s">
        <v>52</v>
      </c>
      <c r="AB12" s="16"/>
      <c r="AC12" s="13" t="s">
        <v>52</v>
      </c>
      <c r="AD12" s="13" t="s">
        <v>1627</v>
      </c>
      <c r="AE12" s="13" t="s">
        <v>1628</v>
      </c>
      <c r="AF12" s="13" t="s">
        <v>1629</v>
      </c>
      <c r="AG12" s="13" t="s">
        <v>1655</v>
      </c>
      <c r="AH12" s="13" t="s">
        <v>1656</v>
      </c>
      <c r="AI12" s="13" t="s">
        <v>1657</v>
      </c>
      <c r="AJ12" s="13" t="s">
        <v>1633</v>
      </c>
      <c r="AK12" s="13" t="s">
        <v>1658</v>
      </c>
      <c r="AL12" s="13" t="s">
        <v>1659</v>
      </c>
      <c r="AM12" s="13" t="s">
        <v>1634</v>
      </c>
      <c r="AN12" s="13" t="s">
        <v>1303</v>
      </c>
      <c r="AO12" s="13" t="s">
        <v>1304</v>
      </c>
      <c r="AP12" s="13" t="s">
        <v>1635</v>
      </c>
      <c r="AQ12" s="16"/>
      <c r="AR12" s="13" t="s">
        <v>1308</v>
      </c>
      <c r="AS12" s="15">
        <v>1</v>
      </c>
      <c r="AT12" s="14">
        <v>0</v>
      </c>
      <c r="AU12" s="14">
        <v>0</v>
      </c>
      <c r="AV12" s="14">
        <v>0</v>
      </c>
      <c r="AW12" s="14">
        <v>0</v>
      </c>
      <c r="AX12" s="14">
        <v>1995</v>
      </c>
      <c r="AY12" s="14">
        <v>1995</v>
      </c>
      <c r="AZ12" s="15">
        <v>0</v>
      </c>
      <c r="BA12" s="15">
        <v>0</v>
      </c>
      <c r="BB12" s="21">
        <v>45414</v>
      </c>
      <c r="BC12" s="21">
        <v>45274</v>
      </c>
      <c r="BD12" s="17">
        <v>2023</v>
      </c>
      <c r="BE12" s="17">
        <v>12</v>
      </c>
      <c r="BF12" s="16"/>
      <c r="BG12" s="16"/>
      <c r="BH12" s="16"/>
      <c r="BI12" s="13" t="s">
        <v>1308</v>
      </c>
      <c r="BJ12" s="16"/>
      <c r="BK12" s="16"/>
      <c r="BL12" s="16"/>
      <c r="BM12" s="16"/>
      <c r="BN12" s="16"/>
      <c r="BO12" s="16"/>
      <c r="BP12" s="16"/>
      <c r="BQ12" s="21">
        <v>45279</v>
      </c>
      <c r="BR12" s="17">
        <v>2023</v>
      </c>
      <c r="BS12" s="17">
        <v>12</v>
      </c>
      <c r="BT12" s="17">
        <v>2026</v>
      </c>
      <c r="BU12" s="17">
        <v>1</v>
      </c>
      <c r="BV12" s="16"/>
      <c r="BW12" s="16"/>
      <c r="BX12" s="16"/>
      <c r="BY12" s="16"/>
      <c r="BZ12" s="16"/>
      <c r="CA12" s="21">
        <v>45412</v>
      </c>
      <c r="CB12" s="17">
        <v>2024</v>
      </c>
      <c r="CC12" s="17">
        <v>5</v>
      </c>
      <c r="CD12" s="13" t="s">
        <v>1738</v>
      </c>
      <c r="CE12" s="13" t="s">
        <v>1739</v>
      </c>
      <c r="CF12" s="13" t="s">
        <v>1661</v>
      </c>
      <c r="CG12" s="13" t="s">
        <v>1740</v>
      </c>
      <c r="CH12" s="13" t="s">
        <v>1741</v>
      </c>
      <c r="CI12" s="13" t="s">
        <v>1742</v>
      </c>
      <c r="CJ12" s="13" t="s">
        <v>1743</v>
      </c>
      <c r="CK12" s="13" t="s">
        <v>1735</v>
      </c>
      <c r="CL12" s="13" t="s">
        <v>1736</v>
      </c>
      <c r="CM12" s="13" t="s">
        <v>1744</v>
      </c>
      <c r="CN12" s="16"/>
      <c r="CO12" s="16"/>
      <c r="CP12" s="16"/>
    </row>
    <row r="13" spans="1:94" s="1" customFormat="1" ht="13" thickBot="1" x14ac:dyDescent="0.3">
      <c r="A13" s="13" t="s">
        <v>1745</v>
      </c>
      <c r="B13" s="16"/>
      <c r="C13" s="16"/>
      <c r="D13" s="13" t="s">
        <v>1616</v>
      </c>
      <c r="E13" s="13" t="s">
        <v>1617</v>
      </c>
      <c r="F13" s="13" t="s">
        <v>1618</v>
      </c>
      <c r="G13" s="13" t="s">
        <v>1619</v>
      </c>
      <c r="H13" s="17">
        <v>6</v>
      </c>
      <c r="I13" s="16"/>
      <c r="J13" s="16"/>
      <c r="K13" s="13" t="s">
        <v>1308</v>
      </c>
      <c r="L13" s="13" t="s">
        <v>1308</v>
      </c>
      <c r="M13" s="13" t="s">
        <v>1746</v>
      </c>
      <c r="N13" s="13" t="s">
        <v>1747</v>
      </c>
      <c r="O13" s="13" t="s">
        <v>96</v>
      </c>
      <c r="P13" s="13" t="s">
        <v>976</v>
      </c>
      <c r="Q13" s="13" t="s">
        <v>1623</v>
      </c>
      <c r="R13" s="16"/>
      <c r="S13" s="16"/>
      <c r="T13" s="16"/>
      <c r="U13" s="13" t="s">
        <v>1748</v>
      </c>
      <c r="V13" s="13" t="s">
        <v>96</v>
      </c>
      <c r="W13" s="13" t="s">
        <v>1749</v>
      </c>
      <c r="X13" s="13" t="s">
        <v>96</v>
      </c>
      <c r="Y13" s="13" t="s">
        <v>1619</v>
      </c>
      <c r="Z13" s="13" t="s">
        <v>1746</v>
      </c>
      <c r="AA13" s="13" t="s">
        <v>96</v>
      </c>
      <c r="AB13" s="16"/>
      <c r="AC13" s="13" t="s">
        <v>96</v>
      </c>
      <c r="AD13" s="13" t="s">
        <v>1678</v>
      </c>
      <c r="AE13" s="13" t="s">
        <v>1679</v>
      </c>
      <c r="AF13" s="13" t="s">
        <v>1629</v>
      </c>
      <c r="AG13" s="13" t="s">
        <v>1750</v>
      </c>
      <c r="AH13" s="13" t="s">
        <v>1751</v>
      </c>
      <c r="AI13" s="13" t="s">
        <v>1752</v>
      </c>
      <c r="AJ13" s="13" t="s">
        <v>1633</v>
      </c>
      <c r="AK13" s="13" t="s">
        <v>97</v>
      </c>
      <c r="AL13" s="13" t="s">
        <v>98</v>
      </c>
      <c r="AM13" s="13" t="s">
        <v>1634</v>
      </c>
      <c r="AN13" s="13" t="s">
        <v>1303</v>
      </c>
      <c r="AO13" s="13" t="s">
        <v>1304</v>
      </c>
      <c r="AP13" s="13" t="s">
        <v>1635</v>
      </c>
      <c r="AQ13" s="16"/>
      <c r="AR13" s="13" t="s">
        <v>1308</v>
      </c>
      <c r="AS13" s="15">
        <v>1</v>
      </c>
      <c r="AT13" s="14">
        <v>0</v>
      </c>
      <c r="AU13" s="14">
        <v>0</v>
      </c>
      <c r="AV13" s="14">
        <v>0</v>
      </c>
      <c r="AW13" s="14">
        <v>0</v>
      </c>
      <c r="AX13" s="14">
        <v>1499</v>
      </c>
      <c r="AY13" s="14">
        <v>1499</v>
      </c>
      <c r="AZ13" s="15">
        <v>8994</v>
      </c>
      <c r="BA13" s="15">
        <v>0</v>
      </c>
      <c r="BB13" s="21">
        <v>45595</v>
      </c>
      <c r="BC13" s="21">
        <v>45371</v>
      </c>
      <c r="BD13" s="17">
        <v>2024</v>
      </c>
      <c r="BE13" s="17">
        <v>3</v>
      </c>
      <c r="BF13" s="16"/>
      <c r="BG13" s="16"/>
      <c r="BH13" s="16"/>
      <c r="BI13" s="13" t="s">
        <v>1308</v>
      </c>
      <c r="BJ13" s="16"/>
      <c r="BK13" s="16"/>
      <c r="BL13" s="16"/>
      <c r="BM13" s="16"/>
      <c r="BN13" s="16"/>
      <c r="BO13" s="16"/>
      <c r="BP13" s="16"/>
      <c r="BQ13" s="21">
        <v>45390</v>
      </c>
      <c r="BR13" s="17">
        <v>2024</v>
      </c>
      <c r="BS13" s="17">
        <v>4</v>
      </c>
      <c r="BT13" s="17">
        <v>2026</v>
      </c>
      <c r="BU13" s="17">
        <v>4</v>
      </c>
      <c r="BV13" s="16"/>
      <c r="BW13" s="16"/>
      <c r="BX13" s="16"/>
      <c r="BY13" s="16"/>
      <c r="BZ13" s="16"/>
      <c r="CA13" s="21">
        <v>45595</v>
      </c>
      <c r="CB13" s="17">
        <v>2024</v>
      </c>
      <c r="CC13" s="17">
        <v>10</v>
      </c>
      <c r="CD13" s="13" t="s">
        <v>1753</v>
      </c>
      <c r="CE13" s="13" t="s">
        <v>1754</v>
      </c>
      <c r="CF13" s="13" t="s">
        <v>1308</v>
      </c>
      <c r="CG13" s="13" t="s">
        <v>1731</v>
      </c>
      <c r="CH13" s="13" t="s">
        <v>1732</v>
      </c>
      <c r="CI13" s="13" t="s">
        <v>1733</v>
      </c>
      <c r="CJ13" s="13" t="s">
        <v>1734</v>
      </c>
      <c r="CK13" s="13" t="s">
        <v>1735</v>
      </c>
      <c r="CL13" s="13" t="s">
        <v>1736</v>
      </c>
      <c r="CM13" s="13" t="s">
        <v>1744</v>
      </c>
      <c r="CN13" s="16"/>
      <c r="CO13" s="16"/>
      <c r="CP13" s="16"/>
    </row>
    <row r="14" spans="1:94" s="1" customFormat="1" ht="13" thickBot="1" x14ac:dyDescent="0.3">
      <c r="A14" s="13" t="s">
        <v>1689</v>
      </c>
      <c r="B14" s="16"/>
      <c r="C14" s="16"/>
      <c r="D14" s="13" t="s">
        <v>1616</v>
      </c>
      <c r="E14" s="13" t="s">
        <v>1670</v>
      </c>
      <c r="F14" s="13" t="s">
        <v>1618</v>
      </c>
      <c r="G14" s="13" t="s">
        <v>1619</v>
      </c>
      <c r="H14" s="17">
        <v>1</v>
      </c>
      <c r="I14" s="16"/>
      <c r="J14" s="16"/>
      <c r="K14" s="13" t="s">
        <v>1308</v>
      </c>
      <c r="L14" s="13" t="s">
        <v>1308</v>
      </c>
      <c r="M14" s="13" t="s">
        <v>1686</v>
      </c>
      <c r="N14" s="13" t="s">
        <v>1687</v>
      </c>
      <c r="O14" s="13" t="s">
        <v>86</v>
      </c>
      <c r="P14" s="13" t="s">
        <v>976</v>
      </c>
      <c r="Q14" s="13" t="s">
        <v>1623</v>
      </c>
      <c r="R14" s="13" t="s">
        <v>1685</v>
      </c>
      <c r="S14" s="16"/>
      <c r="T14" s="16"/>
      <c r="U14" s="13" t="s">
        <v>1690</v>
      </c>
      <c r="V14" s="13" t="s">
        <v>1691</v>
      </c>
      <c r="W14" s="13" t="s">
        <v>1692</v>
      </c>
      <c r="X14" s="13" t="s">
        <v>86</v>
      </c>
      <c r="Y14" s="13" t="s">
        <v>1619</v>
      </c>
      <c r="Z14" s="13" t="s">
        <v>1693</v>
      </c>
      <c r="AA14" s="13" t="s">
        <v>1694</v>
      </c>
      <c r="AB14" s="16"/>
      <c r="AC14" s="13" t="s">
        <v>1694</v>
      </c>
      <c r="AD14" s="13" t="s">
        <v>1678</v>
      </c>
      <c r="AE14" s="13" t="s">
        <v>1679</v>
      </c>
      <c r="AF14" s="13" t="s">
        <v>1629</v>
      </c>
      <c r="AG14" s="13" t="s">
        <v>1695</v>
      </c>
      <c r="AH14" s="13" t="s">
        <v>1696</v>
      </c>
      <c r="AI14" s="13" t="s">
        <v>1697</v>
      </c>
      <c r="AJ14" s="13" t="s">
        <v>1633</v>
      </c>
      <c r="AK14" s="13" t="s">
        <v>87</v>
      </c>
      <c r="AL14" s="13" t="s">
        <v>88</v>
      </c>
      <c r="AM14" s="13" t="s">
        <v>1634</v>
      </c>
      <c r="AN14" s="13" t="s">
        <v>1303</v>
      </c>
      <c r="AO14" s="13" t="s">
        <v>1304</v>
      </c>
      <c r="AP14" s="13" t="s">
        <v>1635</v>
      </c>
      <c r="AQ14" s="16"/>
      <c r="AR14" s="13" t="s">
        <v>1308</v>
      </c>
      <c r="AS14" s="15">
        <v>1</v>
      </c>
      <c r="AT14" s="14">
        <v>0</v>
      </c>
      <c r="AU14" s="14">
        <v>0</v>
      </c>
      <c r="AV14" s="14">
        <v>0</v>
      </c>
      <c r="AW14" s="14">
        <v>0</v>
      </c>
      <c r="AX14" s="14">
        <v>0</v>
      </c>
      <c r="AY14" s="14">
        <v>1849</v>
      </c>
      <c r="AZ14" s="15">
        <v>11094</v>
      </c>
      <c r="BA14" s="15">
        <v>0</v>
      </c>
      <c r="BB14" s="21">
        <v>44251</v>
      </c>
      <c r="BC14" s="21">
        <v>43929</v>
      </c>
      <c r="BD14" s="17">
        <v>2020</v>
      </c>
      <c r="BE14" s="17">
        <v>10</v>
      </c>
      <c r="BF14" s="16"/>
      <c r="BG14" s="16"/>
      <c r="BH14" s="16"/>
      <c r="BI14" s="13" t="s">
        <v>1308</v>
      </c>
      <c r="BJ14" s="16"/>
      <c r="BK14" s="16"/>
      <c r="BL14" s="16"/>
      <c r="BM14" s="16"/>
      <c r="BN14" s="16"/>
      <c r="BO14" s="16"/>
      <c r="BP14" s="16"/>
      <c r="BQ14" s="21">
        <v>43965</v>
      </c>
      <c r="BR14" s="17">
        <v>2020</v>
      </c>
      <c r="BS14" s="17">
        <v>12</v>
      </c>
      <c r="BT14" s="17">
        <v>2026</v>
      </c>
      <c r="BU14" s="17">
        <v>12</v>
      </c>
      <c r="BV14" s="16"/>
      <c r="BW14" s="16"/>
      <c r="BX14" s="16"/>
      <c r="BY14" s="16"/>
      <c r="BZ14" s="16"/>
      <c r="CA14" s="21">
        <v>44250</v>
      </c>
      <c r="CB14" s="17">
        <v>2021</v>
      </c>
      <c r="CC14" s="17">
        <v>8</v>
      </c>
      <c r="CD14" s="13" t="s">
        <v>1636</v>
      </c>
      <c r="CE14" s="13" t="s">
        <v>1637</v>
      </c>
      <c r="CF14" s="13" t="s">
        <v>1308</v>
      </c>
      <c r="CG14" s="13" t="s">
        <v>1638</v>
      </c>
      <c r="CH14" s="13" t="s">
        <v>1639</v>
      </c>
      <c r="CI14" s="13" t="s">
        <v>1640</v>
      </c>
      <c r="CJ14" s="13" t="s">
        <v>1641</v>
      </c>
      <c r="CK14" s="13" t="s">
        <v>1642</v>
      </c>
      <c r="CL14" s="13" t="s">
        <v>1643</v>
      </c>
      <c r="CM14" s="13" t="s">
        <v>1644</v>
      </c>
      <c r="CN14" s="13" t="s">
        <v>1645</v>
      </c>
      <c r="CO14" s="16"/>
      <c r="CP14" s="16"/>
    </row>
    <row r="15" spans="1:94" s="1" customFormat="1" ht="13" thickBot="1" x14ac:dyDescent="0.3">
      <c r="A15" s="13" t="s">
        <v>1755</v>
      </c>
      <c r="B15" s="13" t="s">
        <v>74</v>
      </c>
      <c r="C15" s="13" t="s">
        <v>75</v>
      </c>
      <c r="D15" s="13" t="s">
        <v>1616</v>
      </c>
      <c r="E15" s="13" t="s">
        <v>1756</v>
      </c>
      <c r="F15" s="13" t="s">
        <v>1618</v>
      </c>
      <c r="G15" s="13" t="s">
        <v>1619</v>
      </c>
      <c r="H15" s="17">
        <v>60</v>
      </c>
      <c r="I15" s="16"/>
      <c r="J15" s="16"/>
      <c r="K15" s="13" t="s">
        <v>1308</v>
      </c>
      <c r="L15" s="13" t="s">
        <v>1308</v>
      </c>
      <c r="M15" s="13" t="s">
        <v>1757</v>
      </c>
      <c r="N15" s="13" t="s">
        <v>1758</v>
      </c>
      <c r="O15" s="13" t="s">
        <v>73</v>
      </c>
      <c r="P15" s="13" t="s">
        <v>976</v>
      </c>
      <c r="Q15" s="13" t="s">
        <v>1737</v>
      </c>
      <c r="R15" s="16"/>
      <c r="S15" s="13" t="s">
        <v>1759</v>
      </c>
      <c r="T15" s="16"/>
      <c r="U15" s="13" t="s">
        <v>1760</v>
      </c>
      <c r="V15" s="13" t="s">
        <v>1761</v>
      </c>
      <c r="W15" s="13" t="s">
        <v>1762</v>
      </c>
      <c r="X15" s="13" t="s">
        <v>73</v>
      </c>
      <c r="Y15" s="13" t="s">
        <v>1619</v>
      </c>
      <c r="Z15" s="13" t="s">
        <v>1757</v>
      </c>
      <c r="AA15" s="13" t="s">
        <v>73</v>
      </c>
      <c r="AB15" s="16"/>
      <c r="AC15" s="13" t="s">
        <v>73</v>
      </c>
      <c r="AD15" s="13" t="s">
        <v>1627</v>
      </c>
      <c r="AE15" s="13" t="s">
        <v>1628</v>
      </c>
      <c r="AF15" s="13" t="s">
        <v>1629</v>
      </c>
      <c r="AG15" s="13" t="s">
        <v>1763</v>
      </c>
      <c r="AH15" s="13" t="s">
        <v>1764</v>
      </c>
      <c r="AI15" s="13" t="s">
        <v>1765</v>
      </c>
      <c r="AJ15" s="13" t="s">
        <v>1633</v>
      </c>
      <c r="AK15" s="13" t="s">
        <v>74</v>
      </c>
      <c r="AL15" s="13" t="s">
        <v>75</v>
      </c>
      <c r="AM15" s="13" t="s">
        <v>1634</v>
      </c>
      <c r="AN15" s="13" t="s">
        <v>1303</v>
      </c>
      <c r="AO15" s="13" t="s">
        <v>1304</v>
      </c>
      <c r="AP15" s="13" t="s">
        <v>1635</v>
      </c>
      <c r="AQ15" s="16"/>
      <c r="AR15" s="13" t="s">
        <v>1308</v>
      </c>
      <c r="AS15" s="15">
        <v>1</v>
      </c>
      <c r="AT15" s="14">
        <v>0</v>
      </c>
      <c r="AU15" s="14">
        <v>0</v>
      </c>
      <c r="AV15" s="14">
        <v>0</v>
      </c>
      <c r="AW15" s="14">
        <v>0</v>
      </c>
      <c r="AX15" s="14">
        <v>499</v>
      </c>
      <c r="AY15" s="14">
        <v>499</v>
      </c>
      <c r="AZ15" s="15">
        <v>0</v>
      </c>
      <c r="BA15" s="15">
        <v>0</v>
      </c>
      <c r="BB15" s="21">
        <v>45716</v>
      </c>
      <c r="BC15" s="21">
        <v>45091</v>
      </c>
      <c r="BD15" s="17">
        <v>2023</v>
      </c>
      <c r="BE15" s="17">
        <v>6</v>
      </c>
      <c r="BF15" s="16"/>
      <c r="BG15" s="16"/>
      <c r="BH15" s="16"/>
      <c r="BI15" s="13" t="s">
        <v>1308</v>
      </c>
      <c r="BJ15" s="16"/>
      <c r="BK15" s="16"/>
      <c r="BL15" s="16"/>
      <c r="BM15" s="16"/>
      <c r="BN15" s="16"/>
      <c r="BO15" s="16"/>
      <c r="BP15" s="16"/>
      <c r="BQ15" s="21">
        <v>45090</v>
      </c>
      <c r="BR15" s="17">
        <v>2023</v>
      </c>
      <c r="BS15" s="17">
        <v>6</v>
      </c>
      <c r="BT15" s="17">
        <v>2026</v>
      </c>
      <c r="BU15" s="17">
        <v>6</v>
      </c>
      <c r="BV15" s="16"/>
      <c r="BW15" s="16"/>
      <c r="BX15" s="16"/>
      <c r="BY15" s="16"/>
      <c r="BZ15" s="16"/>
      <c r="CA15" s="21">
        <v>45716</v>
      </c>
      <c r="CB15" s="17">
        <v>2025</v>
      </c>
      <c r="CC15" s="17">
        <v>2</v>
      </c>
      <c r="CD15" s="13" t="s">
        <v>1766</v>
      </c>
      <c r="CE15" s="13" t="s">
        <v>1767</v>
      </c>
      <c r="CF15" s="13" t="s">
        <v>1308</v>
      </c>
      <c r="CG15" s="13" t="s">
        <v>1731</v>
      </c>
      <c r="CH15" s="13" t="s">
        <v>1732</v>
      </c>
      <c r="CI15" s="13" t="s">
        <v>1733</v>
      </c>
      <c r="CJ15" s="13" t="s">
        <v>1734</v>
      </c>
      <c r="CK15" s="13" t="s">
        <v>1735</v>
      </c>
      <c r="CL15" s="13" t="s">
        <v>1736</v>
      </c>
      <c r="CM15" s="13" t="s">
        <v>4</v>
      </c>
      <c r="CN15" s="16"/>
      <c r="CO15" s="16"/>
      <c r="CP15" s="16"/>
    </row>
    <row r="16" spans="1:94" s="1" customFormat="1" ht="13" thickBot="1" x14ac:dyDescent="0.3">
      <c r="A16" s="13" t="s">
        <v>1768</v>
      </c>
      <c r="B16" s="16"/>
      <c r="C16" s="16"/>
      <c r="D16" s="13" t="s">
        <v>1616</v>
      </c>
      <c r="E16" s="13" t="s">
        <v>1670</v>
      </c>
      <c r="F16" s="13" t="s">
        <v>1618</v>
      </c>
      <c r="G16" s="13" t="s">
        <v>1619</v>
      </c>
      <c r="H16" s="17">
        <v>1</v>
      </c>
      <c r="I16" s="16"/>
      <c r="J16" s="16"/>
      <c r="K16" s="13" t="s">
        <v>1308</v>
      </c>
      <c r="L16" s="13" t="s">
        <v>1308</v>
      </c>
      <c r="M16" s="13" t="s">
        <v>1769</v>
      </c>
      <c r="N16" s="13" t="s">
        <v>1770</v>
      </c>
      <c r="O16" s="13" t="s">
        <v>41</v>
      </c>
      <c r="P16" s="13" t="s">
        <v>976</v>
      </c>
      <c r="Q16" s="13" t="s">
        <v>1623</v>
      </c>
      <c r="R16" s="13" t="s">
        <v>1771</v>
      </c>
      <c r="S16" s="16"/>
      <c r="T16" s="16"/>
      <c r="U16" s="13" t="s">
        <v>1772</v>
      </c>
      <c r="V16" s="13" t="s">
        <v>1773</v>
      </c>
      <c r="W16" s="13" t="s">
        <v>1774</v>
      </c>
      <c r="X16" s="13" t="s">
        <v>41</v>
      </c>
      <c r="Y16" s="13" t="s">
        <v>1619</v>
      </c>
      <c r="Z16" s="13" t="s">
        <v>1769</v>
      </c>
      <c r="AA16" s="13" t="s">
        <v>41</v>
      </c>
      <c r="AB16" s="16"/>
      <c r="AC16" s="13" t="s">
        <v>41</v>
      </c>
      <c r="AD16" s="13" t="s">
        <v>1627</v>
      </c>
      <c r="AE16" s="13" t="s">
        <v>1628</v>
      </c>
      <c r="AF16" s="13" t="s">
        <v>1629</v>
      </c>
      <c r="AG16" s="13" t="s">
        <v>1775</v>
      </c>
      <c r="AH16" s="13" t="s">
        <v>1776</v>
      </c>
      <c r="AI16" s="13" t="s">
        <v>1777</v>
      </c>
      <c r="AJ16" s="13" t="s">
        <v>1633</v>
      </c>
      <c r="AK16" s="13" t="s">
        <v>35</v>
      </c>
      <c r="AL16" s="13" t="s">
        <v>36</v>
      </c>
      <c r="AM16" s="13" t="s">
        <v>1634</v>
      </c>
      <c r="AN16" s="13" t="s">
        <v>1303</v>
      </c>
      <c r="AO16" s="13" t="s">
        <v>1304</v>
      </c>
      <c r="AP16" s="13" t="s">
        <v>1635</v>
      </c>
      <c r="AQ16" s="16"/>
      <c r="AR16" s="13" t="s">
        <v>1308</v>
      </c>
      <c r="AS16" s="15">
        <v>1</v>
      </c>
      <c r="AT16" s="14">
        <v>0</v>
      </c>
      <c r="AU16" s="14">
        <v>0</v>
      </c>
      <c r="AV16" s="14">
        <v>0</v>
      </c>
      <c r="AW16" s="14">
        <v>0</v>
      </c>
      <c r="AX16" s="14">
        <v>195</v>
      </c>
      <c r="AY16" s="14">
        <v>1849</v>
      </c>
      <c r="AZ16" s="15">
        <v>0</v>
      </c>
      <c r="BA16" s="15">
        <v>0</v>
      </c>
      <c r="BB16" s="21">
        <v>45544</v>
      </c>
      <c r="BC16" s="21">
        <v>43922</v>
      </c>
      <c r="BD16" s="17">
        <v>2020</v>
      </c>
      <c r="BE16" s="17">
        <v>9</v>
      </c>
      <c r="BF16" s="16"/>
      <c r="BG16" s="16"/>
      <c r="BH16" s="16"/>
      <c r="BI16" s="13" t="s">
        <v>1308</v>
      </c>
      <c r="BJ16" s="16"/>
      <c r="BK16" s="16"/>
      <c r="BL16" s="16"/>
      <c r="BM16" s="16"/>
      <c r="BN16" s="16"/>
      <c r="BO16" s="16"/>
      <c r="BP16" s="16"/>
      <c r="BQ16" s="21">
        <v>43922</v>
      </c>
      <c r="BR16" s="17">
        <v>2020</v>
      </c>
      <c r="BS16" s="17">
        <v>9</v>
      </c>
      <c r="BT16" s="17">
        <v>2026</v>
      </c>
      <c r="BU16" s="17">
        <v>10</v>
      </c>
      <c r="BV16" s="16"/>
      <c r="BW16" s="16"/>
      <c r="BX16" s="16"/>
      <c r="BY16" s="16"/>
      <c r="BZ16" s="16"/>
      <c r="CA16" s="21">
        <v>45535</v>
      </c>
      <c r="CB16" s="17">
        <v>2024</v>
      </c>
      <c r="CC16" s="17">
        <v>9</v>
      </c>
      <c r="CD16" s="13" t="s">
        <v>1778</v>
      </c>
      <c r="CE16" s="13" t="s">
        <v>1639</v>
      </c>
      <c r="CF16" s="13" t="s">
        <v>1308</v>
      </c>
      <c r="CG16" s="13" t="s">
        <v>1638</v>
      </c>
      <c r="CH16" s="13" t="s">
        <v>1639</v>
      </c>
      <c r="CI16" s="13" t="s">
        <v>1640</v>
      </c>
      <c r="CJ16" s="13" t="s">
        <v>1641</v>
      </c>
      <c r="CK16" s="13" t="s">
        <v>1735</v>
      </c>
      <c r="CL16" s="13" t="s">
        <v>1736</v>
      </c>
      <c r="CM16" s="13" t="s">
        <v>1644</v>
      </c>
      <c r="CN16" s="13" t="s">
        <v>1645</v>
      </c>
      <c r="CO16" s="16"/>
      <c r="CP16" s="16"/>
    </row>
    <row r="17" spans="1:94" s="1" customFormat="1" ht="13" thickBot="1" x14ac:dyDescent="0.3">
      <c r="A17" s="13" t="s">
        <v>1779</v>
      </c>
      <c r="B17" s="16"/>
      <c r="C17" s="16"/>
      <c r="D17" s="13" t="s">
        <v>1616</v>
      </c>
      <c r="E17" s="13" t="s">
        <v>1756</v>
      </c>
      <c r="F17" s="13" t="s">
        <v>1618</v>
      </c>
      <c r="G17" s="13" t="s">
        <v>1619</v>
      </c>
      <c r="H17" s="17">
        <v>12</v>
      </c>
      <c r="I17" s="16"/>
      <c r="J17" s="16"/>
      <c r="K17" s="13" t="s">
        <v>1308</v>
      </c>
      <c r="L17" s="13" t="s">
        <v>1308</v>
      </c>
      <c r="M17" s="13" t="s">
        <v>1780</v>
      </c>
      <c r="N17" s="13" t="s">
        <v>1781</v>
      </c>
      <c r="O17" s="13" t="s">
        <v>82</v>
      </c>
      <c r="P17" s="13" t="s">
        <v>976</v>
      </c>
      <c r="Q17" s="13" t="s">
        <v>1623</v>
      </c>
      <c r="R17" s="13" t="s">
        <v>1782</v>
      </c>
      <c r="S17" s="16"/>
      <c r="T17" s="16"/>
      <c r="U17" s="13" t="s">
        <v>1783</v>
      </c>
      <c r="V17" s="13" t="s">
        <v>1784</v>
      </c>
      <c r="W17" s="13" t="s">
        <v>1785</v>
      </c>
      <c r="X17" s="13" t="s">
        <v>82</v>
      </c>
      <c r="Y17" s="13" t="s">
        <v>1619</v>
      </c>
      <c r="Z17" s="13" t="s">
        <v>1780</v>
      </c>
      <c r="AA17" s="13" t="s">
        <v>82</v>
      </c>
      <c r="AB17" s="16"/>
      <c r="AC17" s="13" t="s">
        <v>82</v>
      </c>
      <c r="AD17" s="13" t="s">
        <v>1627</v>
      </c>
      <c r="AE17" s="13" t="s">
        <v>1628</v>
      </c>
      <c r="AF17" s="13" t="s">
        <v>1629</v>
      </c>
      <c r="AG17" s="13" t="s">
        <v>1786</v>
      </c>
      <c r="AH17" s="13" t="s">
        <v>1787</v>
      </c>
      <c r="AI17" s="13" t="s">
        <v>1719</v>
      </c>
      <c r="AJ17" s="13" t="s">
        <v>1633</v>
      </c>
      <c r="AK17" s="13" t="s">
        <v>48</v>
      </c>
      <c r="AL17" s="13" t="s">
        <v>49</v>
      </c>
      <c r="AM17" s="13" t="s">
        <v>1634</v>
      </c>
      <c r="AN17" s="13" t="s">
        <v>1303</v>
      </c>
      <c r="AO17" s="13" t="s">
        <v>1304</v>
      </c>
      <c r="AP17" s="13" t="s">
        <v>1635</v>
      </c>
      <c r="AQ17" s="16"/>
      <c r="AR17" s="13" t="s">
        <v>1308</v>
      </c>
      <c r="AS17" s="15">
        <v>1</v>
      </c>
      <c r="AT17" s="14">
        <v>0</v>
      </c>
      <c r="AU17" s="14">
        <v>0</v>
      </c>
      <c r="AV17" s="14">
        <v>0</v>
      </c>
      <c r="AW17" s="14">
        <v>0</v>
      </c>
      <c r="AX17" s="14">
        <v>299</v>
      </c>
      <c r="AY17" s="14">
        <v>299</v>
      </c>
      <c r="AZ17" s="15">
        <v>3588</v>
      </c>
      <c r="BA17" s="15">
        <v>0</v>
      </c>
      <c r="BB17" s="21">
        <v>44537</v>
      </c>
      <c r="BC17" s="21">
        <v>44091</v>
      </c>
      <c r="BD17" s="17">
        <v>2021</v>
      </c>
      <c r="BE17" s="17">
        <v>3</v>
      </c>
      <c r="BF17" s="16"/>
      <c r="BG17" s="16"/>
      <c r="BH17" s="16"/>
      <c r="BI17" s="13" t="s">
        <v>1308</v>
      </c>
      <c r="BJ17" s="16"/>
      <c r="BK17" s="16"/>
      <c r="BL17" s="16"/>
      <c r="BM17" s="16"/>
      <c r="BN17" s="16"/>
      <c r="BO17" s="16"/>
      <c r="BP17" s="16"/>
      <c r="BQ17" s="21">
        <v>44118</v>
      </c>
      <c r="BR17" s="17">
        <v>2021</v>
      </c>
      <c r="BS17" s="17">
        <v>4</v>
      </c>
      <c r="BT17" s="17">
        <v>2026</v>
      </c>
      <c r="BU17" s="17">
        <v>4</v>
      </c>
      <c r="BV17" s="21">
        <v>44147</v>
      </c>
      <c r="BW17" s="17">
        <v>2021</v>
      </c>
      <c r="BX17" s="17">
        <v>5</v>
      </c>
      <c r="BY17" s="17">
        <v>2021</v>
      </c>
      <c r="BZ17" s="17">
        <v>5</v>
      </c>
      <c r="CA17" s="21">
        <v>44536</v>
      </c>
      <c r="CB17" s="17">
        <v>2022</v>
      </c>
      <c r="CC17" s="17">
        <v>6</v>
      </c>
      <c r="CD17" s="13" t="s">
        <v>1636</v>
      </c>
      <c r="CE17" s="13" t="s">
        <v>1637</v>
      </c>
      <c r="CF17" s="13" t="s">
        <v>1308</v>
      </c>
      <c r="CG17" s="13" t="s">
        <v>1638</v>
      </c>
      <c r="CH17" s="13" t="s">
        <v>1639</v>
      </c>
      <c r="CI17" s="13" t="s">
        <v>1640</v>
      </c>
      <c r="CJ17" s="13" t="s">
        <v>1641</v>
      </c>
      <c r="CK17" s="13" t="s">
        <v>1642</v>
      </c>
      <c r="CL17" s="13" t="s">
        <v>1643</v>
      </c>
      <c r="CM17" s="13" t="s">
        <v>1644</v>
      </c>
      <c r="CN17" s="13" t="s">
        <v>1645</v>
      </c>
      <c r="CO17" s="16"/>
      <c r="CP17" s="16"/>
    </row>
    <row r="18" spans="1:94" s="1" customFormat="1" ht="13" thickBot="1" x14ac:dyDescent="0.3">
      <c r="A18" s="13" t="s">
        <v>1788</v>
      </c>
      <c r="B18" s="16"/>
      <c r="C18" s="16"/>
      <c r="D18" s="13" t="s">
        <v>1699</v>
      </c>
      <c r="E18" s="13" t="s">
        <v>1700</v>
      </c>
      <c r="F18" s="13" t="s">
        <v>1699</v>
      </c>
      <c r="G18" s="13" t="s">
        <v>1701</v>
      </c>
      <c r="H18" s="17">
        <v>1</v>
      </c>
      <c r="I18" s="16"/>
      <c r="J18" s="16"/>
      <c r="K18" s="13" t="s">
        <v>1308</v>
      </c>
      <c r="L18" s="13" t="s">
        <v>1308</v>
      </c>
      <c r="M18" s="13" t="s">
        <v>1789</v>
      </c>
      <c r="N18" s="13" t="s">
        <v>1790</v>
      </c>
      <c r="O18" s="13" t="s">
        <v>77</v>
      </c>
      <c r="P18" s="13" t="s">
        <v>976</v>
      </c>
      <c r="Q18" s="13" t="s">
        <v>1623</v>
      </c>
      <c r="R18" s="16"/>
      <c r="S18" s="16"/>
      <c r="T18" s="16"/>
      <c r="U18" s="13" t="s">
        <v>1791</v>
      </c>
      <c r="V18" s="13" t="s">
        <v>77</v>
      </c>
      <c r="W18" s="13" t="s">
        <v>1792</v>
      </c>
      <c r="X18" s="13" t="s">
        <v>77</v>
      </c>
      <c r="Y18" s="13" t="s">
        <v>1701</v>
      </c>
      <c r="Z18" s="13" t="s">
        <v>1789</v>
      </c>
      <c r="AA18" s="13" t="s">
        <v>77</v>
      </c>
      <c r="AB18" s="16"/>
      <c r="AC18" s="13" t="s">
        <v>77</v>
      </c>
      <c r="AD18" s="13" t="s">
        <v>1678</v>
      </c>
      <c r="AE18" s="13" t="s">
        <v>1679</v>
      </c>
      <c r="AF18" s="13" t="s">
        <v>1629</v>
      </c>
      <c r="AG18" s="13" t="s">
        <v>1793</v>
      </c>
      <c r="AH18" s="13" t="s">
        <v>1794</v>
      </c>
      <c r="AI18" s="13" t="s">
        <v>1752</v>
      </c>
      <c r="AJ18" s="13" t="s">
        <v>1633</v>
      </c>
      <c r="AK18" s="13" t="s">
        <v>1329</v>
      </c>
      <c r="AL18" s="13" t="s">
        <v>1330</v>
      </c>
      <c r="AM18" s="13" t="s">
        <v>1634</v>
      </c>
      <c r="AN18" s="13" t="s">
        <v>1303</v>
      </c>
      <c r="AO18" s="13" t="s">
        <v>1304</v>
      </c>
      <c r="AP18" s="13" t="s">
        <v>1635</v>
      </c>
      <c r="AQ18" s="16"/>
      <c r="AR18" s="13" t="s">
        <v>1308</v>
      </c>
      <c r="AS18" s="15">
        <v>1</v>
      </c>
      <c r="AT18" s="14">
        <v>0</v>
      </c>
      <c r="AU18" s="14">
        <v>0</v>
      </c>
      <c r="AV18" s="14">
        <v>0</v>
      </c>
      <c r="AW18" s="14">
        <v>0</v>
      </c>
      <c r="AX18" s="14">
        <v>100</v>
      </c>
      <c r="AY18" s="14">
        <v>70</v>
      </c>
      <c r="AZ18" s="15">
        <v>0</v>
      </c>
      <c r="BA18" s="15">
        <v>0</v>
      </c>
      <c r="BB18" s="21">
        <v>45036</v>
      </c>
      <c r="BC18" s="21">
        <v>43848</v>
      </c>
      <c r="BD18" s="17">
        <v>2020</v>
      </c>
      <c r="BE18" s="17">
        <v>7</v>
      </c>
      <c r="BF18" s="16"/>
      <c r="BG18" s="16"/>
      <c r="BH18" s="16"/>
      <c r="BI18" s="13" t="s">
        <v>1308</v>
      </c>
      <c r="BJ18" s="16"/>
      <c r="BK18" s="16"/>
      <c r="BL18" s="16"/>
      <c r="BM18" s="16"/>
      <c r="BN18" s="16"/>
      <c r="BO18" s="16"/>
      <c r="BP18" s="16"/>
      <c r="BQ18" s="21">
        <v>43862</v>
      </c>
      <c r="BR18" s="17">
        <v>2020</v>
      </c>
      <c r="BS18" s="17">
        <v>7</v>
      </c>
      <c r="BT18" s="17">
        <v>2026</v>
      </c>
      <c r="BU18" s="17">
        <v>8</v>
      </c>
      <c r="BV18" s="16"/>
      <c r="BW18" s="16"/>
      <c r="BX18" s="16"/>
      <c r="BY18" s="16"/>
      <c r="BZ18" s="16"/>
      <c r="CA18" s="21">
        <v>45036</v>
      </c>
      <c r="CB18" s="17">
        <v>2023</v>
      </c>
      <c r="CC18" s="17">
        <v>4</v>
      </c>
      <c r="CD18" s="13" t="s">
        <v>1795</v>
      </c>
      <c r="CE18" s="13" t="s">
        <v>1796</v>
      </c>
      <c r="CF18" s="13" t="s">
        <v>1308</v>
      </c>
      <c r="CG18" s="13" t="s">
        <v>1731</v>
      </c>
      <c r="CH18" s="13" t="s">
        <v>1732</v>
      </c>
      <c r="CI18" s="13" t="s">
        <v>1733</v>
      </c>
      <c r="CJ18" s="13" t="s">
        <v>1734</v>
      </c>
      <c r="CK18" s="13" t="s">
        <v>1735</v>
      </c>
      <c r="CL18" s="13" t="s">
        <v>1736</v>
      </c>
      <c r="CM18" s="13" t="s">
        <v>1744</v>
      </c>
      <c r="CN18" s="16"/>
      <c r="CO18" s="16"/>
      <c r="CP18" s="16"/>
    </row>
    <row r="19" spans="1:94" s="1" customFormat="1" ht="13" thickBot="1" x14ac:dyDescent="0.3">
      <c r="A19" s="13" t="s">
        <v>1797</v>
      </c>
      <c r="B19" s="16"/>
      <c r="C19" s="16"/>
      <c r="D19" s="13" t="s">
        <v>1616</v>
      </c>
      <c r="E19" s="13" t="s">
        <v>1617</v>
      </c>
      <c r="F19" s="13" t="s">
        <v>1618</v>
      </c>
      <c r="G19" s="13" t="s">
        <v>1619</v>
      </c>
      <c r="H19" s="17">
        <v>6</v>
      </c>
      <c r="I19" s="16"/>
      <c r="J19" s="16"/>
      <c r="K19" s="13" t="s">
        <v>1308</v>
      </c>
      <c r="L19" s="13" t="s">
        <v>1308</v>
      </c>
      <c r="M19" s="13" t="s">
        <v>1746</v>
      </c>
      <c r="N19" s="13" t="s">
        <v>1747</v>
      </c>
      <c r="O19" s="13" t="s">
        <v>96</v>
      </c>
      <c r="P19" s="13" t="s">
        <v>976</v>
      </c>
      <c r="Q19" s="13" t="s">
        <v>1623</v>
      </c>
      <c r="R19" s="16"/>
      <c r="S19" s="16"/>
      <c r="T19" s="16"/>
      <c r="U19" s="13" t="s">
        <v>1748</v>
      </c>
      <c r="V19" s="13" t="s">
        <v>96</v>
      </c>
      <c r="W19" s="13" t="s">
        <v>1749</v>
      </c>
      <c r="X19" s="13" t="s">
        <v>96</v>
      </c>
      <c r="Y19" s="13" t="s">
        <v>1619</v>
      </c>
      <c r="Z19" s="13" t="s">
        <v>1746</v>
      </c>
      <c r="AA19" s="13" t="s">
        <v>96</v>
      </c>
      <c r="AB19" s="16"/>
      <c r="AC19" s="13" t="s">
        <v>96</v>
      </c>
      <c r="AD19" s="13" t="s">
        <v>1678</v>
      </c>
      <c r="AE19" s="13" t="s">
        <v>1679</v>
      </c>
      <c r="AF19" s="13" t="s">
        <v>1629</v>
      </c>
      <c r="AG19" s="13" t="s">
        <v>1750</v>
      </c>
      <c r="AH19" s="13" t="s">
        <v>1751</v>
      </c>
      <c r="AI19" s="13" t="s">
        <v>1752</v>
      </c>
      <c r="AJ19" s="13" t="s">
        <v>1633</v>
      </c>
      <c r="AK19" s="13" t="s">
        <v>1798</v>
      </c>
      <c r="AL19" s="13" t="s">
        <v>1799</v>
      </c>
      <c r="AM19" s="13" t="s">
        <v>1634</v>
      </c>
      <c r="AN19" s="13" t="s">
        <v>1303</v>
      </c>
      <c r="AO19" s="13" t="s">
        <v>1304</v>
      </c>
      <c r="AP19" s="13" t="s">
        <v>1635</v>
      </c>
      <c r="AQ19" s="16"/>
      <c r="AR19" s="13" t="s">
        <v>1308</v>
      </c>
      <c r="AS19" s="15">
        <v>1</v>
      </c>
      <c r="AT19" s="14">
        <v>0</v>
      </c>
      <c r="AU19" s="14">
        <v>0</v>
      </c>
      <c r="AV19" s="14">
        <v>0</v>
      </c>
      <c r="AW19" s="14">
        <v>0</v>
      </c>
      <c r="AX19" s="14">
        <v>999</v>
      </c>
      <c r="AY19" s="14">
        <v>999</v>
      </c>
      <c r="AZ19" s="15">
        <v>5994</v>
      </c>
      <c r="BA19" s="15">
        <v>0</v>
      </c>
      <c r="BB19" s="21">
        <v>45595</v>
      </c>
      <c r="BC19" s="21">
        <v>45371</v>
      </c>
      <c r="BD19" s="17">
        <v>2024</v>
      </c>
      <c r="BE19" s="17">
        <v>3</v>
      </c>
      <c r="BF19" s="16"/>
      <c r="BG19" s="16"/>
      <c r="BH19" s="16"/>
      <c r="BI19" s="13" t="s">
        <v>1308</v>
      </c>
      <c r="BJ19" s="16"/>
      <c r="BK19" s="16"/>
      <c r="BL19" s="16"/>
      <c r="BM19" s="16"/>
      <c r="BN19" s="16"/>
      <c r="BO19" s="16"/>
      <c r="BP19" s="16"/>
      <c r="BQ19" s="21">
        <v>45390</v>
      </c>
      <c r="BR19" s="17">
        <v>2024</v>
      </c>
      <c r="BS19" s="17">
        <v>4</v>
      </c>
      <c r="BT19" s="17">
        <v>2026</v>
      </c>
      <c r="BU19" s="17">
        <v>4</v>
      </c>
      <c r="BV19" s="16"/>
      <c r="BW19" s="16"/>
      <c r="BX19" s="16"/>
      <c r="BY19" s="16"/>
      <c r="BZ19" s="16"/>
      <c r="CA19" s="21">
        <v>45595</v>
      </c>
      <c r="CB19" s="17">
        <v>2024</v>
      </c>
      <c r="CC19" s="17">
        <v>10</v>
      </c>
      <c r="CD19" s="13" t="s">
        <v>1753</v>
      </c>
      <c r="CE19" s="13" t="s">
        <v>1754</v>
      </c>
      <c r="CF19" s="13" t="s">
        <v>1308</v>
      </c>
      <c r="CG19" s="13" t="s">
        <v>1731</v>
      </c>
      <c r="CH19" s="13" t="s">
        <v>1732</v>
      </c>
      <c r="CI19" s="13" t="s">
        <v>1733</v>
      </c>
      <c r="CJ19" s="13" t="s">
        <v>1734</v>
      </c>
      <c r="CK19" s="13" t="s">
        <v>1735</v>
      </c>
      <c r="CL19" s="13" t="s">
        <v>1736</v>
      </c>
      <c r="CM19" s="13" t="s">
        <v>1744</v>
      </c>
      <c r="CN19" s="16"/>
      <c r="CO19" s="16"/>
      <c r="CP19" s="16"/>
    </row>
    <row r="20" spans="1:94" s="1" customFormat="1" ht="13" thickBot="1" x14ac:dyDescent="0.3">
      <c r="A20" s="13" t="s">
        <v>1800</v>
      </c>
      <c r="B20" s="16"/>
      <c r="C20" s="16"/>
      <c r="D20" s="13" t="s">
        <v>1616</v>
      </c>
      <c r="E20" s="13" t="s">
        <v>1801</v>
      </c>
      <c r="F20" s="13" t="s">
        <v>1618</v>
      </c>
      <c r="G20" s="13" t="s">
        <v>1619</v>
      </c>
      <c r="H20" s="17">
        <v>12</v>
      </c>
      <c r="I20" s="16"/>
      <c r="J20" s="16"/>
      <c r="K20" s="13" t="s">
        <v>1308</v>
      </c>
      <c r="L20" s="13" t="s">
        <v>1308</v>
      </c>
      <c r="M20" s="13" t="s">
        <v>1802</v>
      </c>
      <c r="N20" s="16"/>
      <c r="O20" s="13" t="s">
        <v>1803</v>
      </c>
      <c r="P20" s="13" t="s">
        <v>976</v>
      </c>
      <c r="Q20" s="13" t="s">
        <v>1623</v>
      </c>
      <c r="R20" s="13" t="s">
        <v>1804</v>
      </c>
      <c r="S20" s="16"/>
      <c r="T20" s="16"/>
      <c r="U20" s="13" t="s">
        <v>1805</v>
      </c>
      <c r="V20" s="13" t="s">
        <v>1806</v>
      </c>
      <c r="W20" s="13" t="s">
        <v>1807</v>
      </c>
      <c r="X20" s="13" t="s">
        <v>1803</v>
      </c>
      <c r="Y20" s="13" t="s">
        <v>1619</v>
      </c>
      <c r="Z20" s="13" t="s">
        <v>1802</v>
      </c>
      <c r="AA20" s="13" t="s">
        <v>1803</v>
      </c>
      <c r="AB20" s="16"/>
      <c r="AC20" s="13" t="s">
        <v>1803</v>
      </c>
      <c r="AD20" s="13" t="s">
        <v>1678</v>
      </c>
      <c r="AE20" s="13" t="s">
        <v>1679</v>
      </c>
      <c r="AF20" s="13" t="s">
        <v>1629</v>
      </c>
      <c r="AG20" s="13" t="s">
        <v>1808</v>
      </c>
      <c r="AH20" s="13" t="s">
        <v>1809</v>
      </c>
      <c r="AI20" s="13" t="s">
        <v>1682</v>
      </c>
      <c r="AJ20" s="13" t="s">
        <v>1633</v>
      </c>
      <c r="AK20" s="13" t="s">
        <v>1528</v>
      </c>
      <c r="AL20" s="13" t="s">
        <v>1529</v>
      </c>
      <c r="AM20" s="13" t="s">
        <v>1634</v>
      </c>
      <c r="AN20" s="13" t="s">
        <v>1303</v>
      </c>
      <c r="AO20" s="13" t="s">
        <v>1304</v>
      </c>
      <c r="AP20" s="13" t="s">
        <v>1635</v>
      </c>
      <c r="AQ20" s="16"/>
      <c r="AR20" s="13" t="s">
        <v>1308</v>
      </c>
      <c r="AS20" s="15">
        <v>1</v>
      </c>
      <c r="AT20" s="14">
        <v>0</v>
      </c>
      <c r="AU20" s="14">
        <v>0</v>
      </c>
      <c r="AV20" s="14">
        <v>0</v>
      </c>
      <c r="AW20" s="14">
        <v>0</v>
      </c>
      <c r="AX20" s="14">
        <v>999</v>
      </c>
      <c r="AY20" s="14">
        <v>999</v>
      </c>
      <c r="AZ20" s="15">
        <v>11988</v>
      </c>
      <c r="BA20" s="15">
        <v>0</v>
      </c>
      <c r="BB20" s="21">
        <v>45925</v>
      </c>
      <c r="BC20" s="21">
        <v>45373</v>
      </c>
      <c r="BD20" s="17">
        <v>2024</v>
      </c>
      <c r="BE20" s="17">
        <v>3</v>
      </c>
      <c r="BF20" s="16"/>
      <c r="BG20" s="16"/>
      <c r="BH20" s="16"/>
      <c r="BI20" s="13" t="s">
        <v>1308</v>
      </c>
      <c r="BJ20" s="16"/>
      <c r="BK20" s="16"/>
      <c r="BL20" s="16"/>
      <c r="BM20" s="16"/>
      <c r="BN20" s="16"/>
      <c r="BO20" s="16"/>
      <c r="BP20" s="16"/>
      <c r="BQ20" s="21">
        <v>45400</v>
      </c>
      <c r="BR20" s="17">
        <v>2024</v>
      </c>
      <c r="BS20" s="17">
        <v>4</v>
      </c>
      <c r="BT20" s="17">
        <v>2026</v>
      </c>
      <c r="BU20" s="17">
        <v>5</v>
      </c>
      <c r="BV20" s="21">
        <v>45400</v>
      </c>
      <c r="BW20" s="17">
        <v>2024</v>
      </c>
      <c r="BX20" s="17">
        <v>4</v>
      </c>
      <c r="BY20" s="17">
        <v>2024</v>
      </c>
      <c r="BZ20" s="17">
        <v>5</v>
      </c>
      <c r="CA20" s="21">
        <v>45924</v>
      </c>
      <c r="CB20" s="17">
        <v>2025</v>
      </c>
      <c r="CC20" s="17">
        <v>9</v>
      </c>
      <c r="CD20" s="13" t="s">
        <v>1636</v>
      </c>
      <c r="CE20" s="13" t="s">
        <v>1637</v>
      </c>
      <c r="CF20" s="13" t="s">
        <v>1308</v>
      </c>
      <c r="CG20" s="13" t="s">
        <v>1638</v>
      </c>
      <c r="CH20" s="13" t="s">
        <v>1639</v>
      </c>
      <c r="CI20" s="13" t="s">
        <v>1640</v>
      </c>
      <c r="CJ20" s="13" t="s">
        <v>1641</v>
      </c>
      <c r="CK20" s="13" t="s">
        <v>1642</v>
      </c>
      <c r="CL20" s="13" t="s">
        <v>1643</v>
      </c>
      <c r="CM20" s="13" t="s">
        <v>1644</v>
      </c>
      <c r="CN20" s="13" t="s">
        <v>1645</v>
      </c>
      <c r="CO20" s="16"/>
      <c r="CP20" s="16"/>
    </row>
    <row r="21" spans="1:94" s="1" customFormat="1" ht="13" thickBot="1" x14ac:dyDescent="0.3">
      <c r="A21" s="13" t="s">
        <v>1759</v>
      </c>
      <c r="B21" s="13" t="s">
        <v>74</v>
      </c>
      <c r="C21" s="13" t="s">
        <v>75</v>
      </c>
      <c r="D21" s="13" t="s">
        <v>1616</v>
      </c>
      <c r="E21" s="13" t="s">
        <v>1756</v>
      </c>
      <c r="F21" s="13" t="s">
        <v>1618</v>
      </c>
      <c r="G21" s="13" t="s">
        <v>1619</v>
      </c>
      <c r="H21" s="17">
        <v>60</v>
      </c>
      <c r="I21" s="16"/>
      <c r="J21" s="16"/>
      <c r="K21" s="13" t="s">
        <v>1308</v>
      </c>
      <c r="L21" s="13" t="s">
        <v>1308</v>
      </c>
      <c r="M21" s="13" t="s">
        <v>1757</v>
      </c>
      <c r="N21" s="13" t="s">
        <v>1758</v>
      </c>
      <c r="O21" s="13" t="s">
        <v>73</v>
      </c>
      <c r="P21" s="13" t="s">
        <v>976</v>
      </c>
      <c r="Q21" s="13" t="s">
        <v>1737</v>
      </c>
      <c r="R21" s="13" t="s">
        <v>1755</v>
      </c>
      <c r="S21" s="13" t="s">
        <v>1810</v>
      </c>
      <c r="T21" s="16"/>
      <c r="U21" s="13" t="s">
        <v>1760</v>
      </c>
      <c r="V21" s="13" t="s">
        <v>1761</v>
      </c>
      <c r="W21" s="13" t="s">
        <v>1762</v>
      </c>
      <c r="X21" s="13" t="s">
        <v>73</v>
      </c>
      <c r="Y21" s="13" t="s">
        <v>1619</v>
      </c>
      <c r="Z21" s="13" t="s">
        <v>1811</v>
      </c>
      <c r="AA21" s="13" t="s">
        <v>1812</v>
      </c>
      <c r="AB21" s="16"/>
      <c r="AC21" s="13" t="s">
        <v>1812</v>
      </c>
      <c r="AD21" s="13" t="s">
        <v>1627</v>
      </c>
      <c r="AE21" s="13" t="s">
        <v>1628</v>
      </c>
      <c r="AF21" s="13" t="s">
        <v>1629</v>
      </c>
      <c r="AG21" s="13" t="s">
        <v>1763</v>
      </c>
      <c r="AH21" s="13" t="s">
        <v>1764</v>
      </c>
      <c r="AI21" s="13" t="s">
        <v>1765</v>
      </c>
      <c r="AJ21" s="13" t="s">
        <v>1633</v>
      </c>
      <c r="AK21" s="13" t="s">
        <v>74</v>
      </c>
      <c r="AL21" s="13" t="s">
        <v>75</v>
      </c>
      <c r="AM21" s="13" t="s">
        <v>1634</v>
      </c>
      <c r="AN21" s="13" t="s">
        <v>1303</v>
      </c>
      <c r="AO21" s="13" t="s">
        <v>1304</v>
      </c>
      <c r="AP21" s="13" t="s">
        <v>1635</v>
      </c>
      <c r="AQ21" s="16"/>
      <c r="AR21" s="13" t="s">
        <v>1308</v>
      </c>
      <c r="AS21" s="15">
        <v>1</v>
      </c>
      <c r="AT21" s="14">
        <v>0</v>
      </c>
      <c r="AU21" s="14">
        <v>0</v>
      </c>
      <c r="AV21" s="14">
        <v>0</v>
      </c>
      <c r="AW21" s="14">
        <v>0</v>
      </c>
      <c r="AX21" s="14">
        <v>499</v>
      </c>
      <c r="AY21" s="14">
        <v>499</v>
      </c>
      <c r="AZ21" s="15">
        <v>0</v>
      </c>
      <c r="BA21" s="15">
        <v>0</v>
      </c>
      <c r="BB21" s="21">
        <v>45098</v>
      </c>
      <c r="BC21" s="21">
        <v>44566</v>
      </c>
      <c r="BD21" s="17">
        <v>2022</v>
      </c>
      <c r="BE21" s="17">
        <v>6</v>
      </c>
      <c r="BF21" s="16"/>
      <c r="BG21" s="16"/>
      <c r="BH21" s="16"/>
      <c r="BI21" s="13" t="s">
        <v>1308</v>
      </c>
      <c r="BJ21" s="16"/>
      <c r="BK21" s="16"/>
      <c r="BL21" s="16"/>
      <c r="BM21" s="16"/>
      <c r="BN21" s="16"/>
      <c r="BO21" s="16"/>
      <c r="BP21" s="16"/>
      <c r="BQ21" s="21">
        <v>44586</v>
      </c>
      <c r="BR21" s="17">
        <v>2022</v>
      </c>
      <c r="BS21" s="17">
        <v>7</v>
      </c>
      <c r="BT21" s="17">
        <v>2026</v>
      </c>
      <c r="BU21" s="17">
        <v>8</v>
      </c>
      <c r="BV21" s="16"/>
      <c r="BW21" s="16"/>
      <c r="BX21" s="16"/>
      <c r="BY21" s="16"/>
      <c r="BZ21" s="16"/>
      <c r="CA21" s="21">
        <v>45089</v>
      </c>
      <c r="CB21" s="17">
        <v>2023</v>
      </c>
      <c r="CC21" s="17">
        <v>6</v>
      </c>
      <c r="CD21" s="13" t="s">
        <v>1636</v>
      </c>
      <c r="CE21" s="13" t="s">
        <v>1637</v>
      </c>
      <c r="CF21" s="13" t="s">
        <v>1308</v>
      </c>
      <c r="CG21" s="13" t="s">
        <v>1638</v>
      </c>
      <c r="CH21" s="13" t="s">
        <v>1639</v>
      </c>
      <c r="CI21" s="13" t="s">
        <v>1640</v>
      </c>
      <c r="CJ21" s="13" t="s">
        <v>1641</v>
      </c>
      <c r="CK21" s="13" t="s">
        <v>1642</v>
      </c>
      <c r="CL21" s="13" t="s">
        <v>1643</v>
      </c>
      <c r="CM21" s="13" t="s">
        <v>1644</v>
      </c>
      <c r="CN21" s="13" t="s">
        <v>1645</v>
      </c>
      <c r="CO21" s="16"/>
      <c r="CP21" s="16"/>
    </row>
    <row r="22" spans="1:94" s="1" customFormat="1" ht="13" thickBot="1" x14ac:dyDescent="0.3">
      <c r="A22" s="13" t="s">
        <v>1813</v>
      </c>
      <c r="B22" s="13" t="s">
        <v>42</v>
      </c>
      <c r="C22" s="13" t="s">
        <v>43</v>
      </c>
      <c r="D22" s="13" t="s">
        <v>1616</v>
      </c>
      <c r="E22" s="13" t="s">
        <v>1670</v>
      </c>
      <c r="F22" s="13" t="s">
        <v>1618</v>
      </c>
      <c r="G22" s="13" t="s">
        <v>1619</v>
      </c>
      <c r="H22" s="17">
        <v>12</v>
      </c>
      <c r="I22" s="16"/>
      <c r="J22" s="16"/>
      <c r="K22" s="13" t="s">
        <v>1308</v>
      </c>
      <c r="L22" s="13" t="s">
        <v>1308</v>
      </c>
      <c r="M22" s="13" t="s">
        <v>1814</v>
      </c>
      <c r="N22" s="13" t="s">
        <v>1815</v>
      </c>
      <c r="O22" s="13" t="s">
        <v>66</v>
      </c>
      <c r="P22" s="13" t="s">
        <v>976</v>
      </c>
      <c r="Q22" s="13" t="s">
        <v>1649</v>
      </c>
      <c r="R22" s="16"/>
      <c r="S22" s="13" t="s">
        <v>1816</v>
      </c>
      <c r="T22" s="16"/>
      <c r="U22" s="13" t="s">
        <v>1817</v>
      </c>
      <c r="V22" s="13" t="s">
        <v>1818</v>
      </c>
      <c r="W22" s="13" t="s">
        <v>1819</v>
      </c>
      <c r="X22" s="13" t="s">
        <v>66</v>
      </c>
      <c r="Y22" s="13" t="s">
        <v>1619</v>
      </c>
      <c r="Z22" s="13" t="s">
        <v>1814</v>
      </c>
      <c r="AA22" s="13" t="s">
        <v>66</v>
      </c>
      <c r="AB22" s="16"/>
      <c r="AC22" s="13" t="s">
        <v>66</v>
      </c>
      <c r="AD22" s="13" t="s">
        <v>1678</v>
      </c>
      <c r="AE22" s="13" t="s">
        <v>1679</v>
      </c>
      <c r="AF22" s="13" t="s">
        <v>1629</v>
      </c>
      <c r="AG22" s="13" t="s">
        <v>1820</v>
      </c>
      <c r="AH22" s="13" t="s">
        <v>1821</v>
      </c>
      <c r="AI22" s="13" t="s">
        <v>1682</v>
      </c>
      <c r="AJ22" s="13" t="s">
        <v>1633</v>
      </c>
      <c r="AK22" s="13" t="s">
        <v>67</v>
      </c>
      <c r="AL22" s="13" t="s">
        <v>68</v>
      </c>
      <c r="AM22" s="13" t="s">
        <v>1634</v>
      </c>
      <c r="AN22" s="13" t="s">
        <v>1303</v>
      </c>
      <c r="AO22" s="13" t="s">
        <v>1304</v>
      </c>
      <c r="AP22" s="13" t="s">
        <v>1635</v>
      </c>
      <c r="AQ22" s="16"/>
      <c r="AR22" s="13" t="s">
        <v>1308</v>
      </c>
      <c r="AS22" s="15">
        <v>1</v>
      </c>
      <c r="AT22" s="14">
        <v>0</v>
      </c>
      <c r="AU22" s="14">
        <v>0</v>
      </c>
      <c r="AV22" s="14">
        <v>0</v>
      </c>
      <c r="AW22" s="14">
        <v>0</v>
      </c>
      <c r="AX22" s="14">
        <v>599</v>
      </c>
      <c r="AY22" s="14">
        <v>599</v>
      </c>
      <c r="AZ22" s="15">
        <v>0</v>
      </c>
      <c r="BA22" s="15">
        <v>0</v>
      </c>
      <c r="BB22" s="21">
        <v>45688</v>
      </c>
      <c r="BC22" s="21">
        <v>45541</v>
      </c>
      <c r="BD22" s="17">
        <v>2024</v>
      </c>
      <c r="BE22" s="17">
        <v>9</v>
      </c>
      <c r="BF22" s="16"/>
      <c r="BG22" s="16"/>
      <c r="BH22" s="16"/>
      <c r="BI22" s="13" t="s">
        <v>1308</v>
      </c>
      <c r="BJ22" s="16"/>
      <c r="BK22" s="16"/>
      <c r="BL22" s="16"/>
      <c r="BM22" s="16"/>
      <c r="BN22" s="16"/>
      <c r="BO22" s="16"/>
      <c r="BP22" s="16"/>
      <c r="BQ22" s="21">
        <v>45545</v>
      </c>
      <c r="BR22" s="17">
        <v>2024</v>
      </c>
      <c r="BS22" s="17">
        <v>9</v>
      </c>
      <c r="BT22" s="17">
        <v>2026</v>
      </c>
      <c r="BU22" s="17">
        <v>9</v>
      </c>
      <c r="BV22" s="16"/>
      <c r="BW22" s="16"/>
      <c r="BX22" s="16"/>
      <c r="BY22" s="16"/>
      <c r="BZ22" s="16"/>
      <c r="CA22" s="21">
        <v>45688</v>
      </c>
      <c r="CB22" s="17">
        <v>2025</v>
      </c>
      <c r="CC22" s="17">
        <v>1</v>
      </c>
      <c r="CD22" s="13" t="s">
        <v>1795</v>
      </c>
      <c r="CE22" s="13" t="s">
        <v>1796</v>
      </c>
      <c r="CF22" s="13" t="s">
        <v>1308</v>
      </c>
      <c r="CG22" s="13" t="s">
        <v>1731</v>
      </c>
      <c r="CH22" s="13" t="s">
        <v>1732</v>
      </c>
      <c r="CI22" s="13" t="s">
        <v>1733</v>
      </c>
      <c r="CJ22" s="13" t="s">
        <v>1734</v>
      </c>
      <c r="CK22" s="13" t="s">
        <v>1735</v>
      </c>
      <c r="CL22" s="13" t="s">
        <v>1736</v>
      </c>
      <c r="CM22" s="13" t="s">
        <v>1744</v>
      </c>
      <c r="CN22" s="16"/>
      <c r="CO22" s="16"/>
      <c r="CP22" s="16"/>
    </row>
    <row r="23" spans="1:94" s="1" customFormat="1" ht="13" thickBot="1" x14ac:dyDescent="0.3">
      <c r="A23" s="13" t="s">
        <v>1822</v>
      </c>
      <c r="B23" s="16"/>
      <c r="C23" s="16"/>
      <c r="D23" s="13" t="s">
        <v>1616</v>
      </c>
      <c r="E23" s="13" t="s">
        <v>1670</v>
      </c>
      <c r="F23" s="13" t="s">
        <v>1618</v>
      </c>
      <c r="G23" s="13" t="s">
        <v>1619</v>
      </c>
      <c r="H23" s="17">
        <v>12</v>
      </c>
      <c r="I23" s="16"/>
      <c r="J23" s="16"/>
      <c r="K23" s="13" t="s">
        <v>1308</v>
      </c>
      <c r="L23" s="13" t="s">
        <v>1308</v>
      </c>
      <c r="M23" s="13" t="s">
        <v>1814</v>
      </c>
      <c r="N23" s="13" t="s">
        <v>1815</v>
      </c>
      <c r="O23" s="13" t="s">
        <v>66</v>
      </c>
      <c r="P23" s="13" t="s">
        <v>976</v>
      </c>
      <c r="Q23" s="13" t="s">
        <v>1623</v>
      </c>
      <c r="R23" s="16"/>
      <c r="S23" s="16"/>
      <c r="T23" s="16"/>
      <c r="U23" s="13" t="s">
        <v>1817</v>
      </c>
      <c r="V23" s="13" t="s">
        <v>1818</v>
      </c>
      <c r="W23" s="13" t="s">
        <v>1819</v>
      </c>
      <c r="X23" s="13" t="s">
        <v>66</v>
      </c>
      <c r="Y23" s="13" t="s">
        <v>1619</v>
      </c>
      <c r="Z23" s="13" t="s">
        <v>1814</v>
      </c>
      <c r="AA23" s="13" t="s">
        <v>66</v>
      </c>
      <c r="AB23" s="16"/>
      <c r="AC23" s="13" t="s">
        <v>66</v>
      </c>
      <c r="AD23" s="13" t="s">
        <v>1678</v>
      </c>
      <c r="AE23" s="13" t="s">
        <v>1679</v>
      </c>
      <c r="AF23" s="13" t="s">
        <v>1629</v>
      </c>
      <c r="AG23" s="13" t="s">
        <v>1820</v>
      </c>
      <c r="AH23" s="13" t="s">
        <v>1821</v>
      </c>
      <c r="AI23" s="13" t="s">
        <v>1682</v>
      </c>
      <c r="AJ23" s="13" t="s">
        <v>1633</v>
      </c>
      <c r="AK23" s="13" t="s">
        <v>67</v>
      </c>
      <c r="AL23" s="13" t="s">
        <v>68</v>
      </c>
      <c r="AM23" s="13" t="s">
        <v>1634</v>
      </c>
      <c r="AN23" s="13" t="s">
        <v>1303</v>
      </c>
      <c r="AO23" s="13" t="s">
        <v>1304</v>
      </c>
      <c r="AP23" s="13" t="s">
        <v>1635</v>
      </c>
      <c r="AQ23" s="16"/>
      <c r="AR23" s="13" t="s">
        <v>1308</v>
      </c>
      <c r="AS23" s="15">
        <v>1</v>
      </c>
      <c r="AT23" s="14">
        <v>0</v>
      </c>
      <c r="AU23" s="14">
        <v>0</v>
      </c>
      <c r="AV23" s="14">
        <v>0</v>
      </c>
      <c r="AW23" s="14">
        <v>0</v>
      </c>
      <c r="AX23" s="14">
        <v>599</v>
      </c>
      <c r="AY23" s="14">
        <v>599</v>
      </c>
      <c r="AZ23" s="15">
        <v>7188</v>
      </c>
      <c r="BA23" s="15">
        <v>0</v>
      </c>
      <c r="BB23" s="21">
        <v>45688</v>
      </c>
      <c r="BC23" s="21">
        <v>45541</v>
      </c>
      <c r="BD23" s="17">
        <v>2024</v>
      </c>
      <c r="BE23" s="17">
        <v>9</v>
      </c>
      <c r="BF23" s="16"/>
      <c r="BG23" s="16"/>
      <c r="BH23" s="16"/>
      <c r="BI23" s="13" t="s">
        <v>1308</v>
      </c>
      <c r="BJ23" s="16"/>
      <c r="BK23" s="16"/>
      <c r="BL23" s="16"/>
      <c r="BM23" s="16"/>
      <c r="BN23" s="16"/>
      <c r="BO23" s="16"/>
      <c r="BP23" s="16"/>
      <c r="BQ23" s="21">
        <v>45545</v>
      </c>
      <c r="BR23" s="17">
        <v>2024</v>
      </c>
      <c r="BS23" s="17">
        <v>9</v>
      </c>
      <c r="BT23" s="17">
        <v>2026</v>
      </c>
      <c r="BU23" s="17">
        <v>9</v>
      </c>
      <c r="BV23" s="16"/>
      <c r="BW23" s="16"/>
      <c r="BX23" s="16"/>
      <c r="BY23" s="16"/>
      <c r="BZ23" s="16"/>
      <c r="CA23" s="21">
        <v>45688</v>
      </c>
      <c r="CB23" s="17">
        <v>2025</v>
      </c>
      <c r="CC23" s="17">
        <v>1</v>
      </c>
      <c r="CD23" s="13" t="s">
        <v>1795</v>
      </c>
      <c r="CE23" s="13" t="s">
        <v>1796</v>
      </c>
      <c r="CF23" s="13" t="s">
        <v>1308</v>
      </c>
      <c r="CG23" s="13" t="s">
        <v>1731</v>
      </c>
      <c r="CH23" s="13" t="s">
        <v>1732</v>
      </c>
      <c r="CI23" s="13" t="s">
        <v>1733</v>
      </c>
      <c r="CJ23" s="13" t="s">
        <v>1734</v>
      </c>
      <c r="CK23" s="13" t="s">
        <v>1735</v>
      </c>
      <c r="CL23" s="13" t="s">
        <v>1736</v>
      </c>
      <c r="CM23" s="13" t="s">
        <v>1744</v>
      </c>
      <c r="CN23" s="16"/>
      <c r="CO23" s="16"/>
      <c r="CP23" s="16"/>
    </row>
    <row r="24" spans="1:94" s="1" customFormat="1" ht="13" thickBot="1" x14ac:dyDescent="0.3">
      <c r="A24" s="13" t="s">
        <v>1823</v>
      </c>
      <c r="B24" s="16"/>
      <c r="C24" s="16"/>
      <c r="D24" s="13" t="s">
        <v>1616</v>
      </c>
      <c r="E24" s="13" t="s">
        <v>1756</v>
      </c>
      <c r="F24" s="13" t="s">
        <v>1618</v>
      </c>
      <c r="G24" s="13" t="s">
        <v>1619</v>
      </c>
      <c r="H24" s="17">
        <v>60</v>
      </c>
      <c r="I24" s="16"/>
      <c r="J24" s="13" t="s">
        <v>1824</v>
      </c>
      <c r="K24" s="13" t="s">
        <v>1308</v>
      </c>
      <c r="L24" s="13" t="s">
        <v>1308</v>
      </c>
      <c r="M24" s="13" t="s">
        <v>1824</v>
      </c>
      <c r="N24" s="16"/>
      <c r="O24" s="13" t="s">
        <v>118</v>
      </c>
      <c r="P24" s="13" t="s">
        <v>1673</v>
      </c>
      <c r="Q24" s="13" t="s">
        <v>1623</v>
      </c>
      <c r="R24" s="16"/>
      <c r="S24" s="16"/>
      <c r="T24" s="16"/>
      <c r="U24" s="13" t="s">
        <v>1825</v>
      </c>
      <c r="V24" s="13" t="s">
        <v>1826</v>
      </c>
      <c r="W24" s="13" t="s">
        <v>1827</v>
      </c>
      <c r="X24" s="13" t="s">
        <v>118</v>
      </c>
      <c r="Y24" s="13" t="s">
        <v>1619</v>
      </c>
      <c r="Z24" s="13" t="s">
        <v>1828</v>
      </c>
      <c r="AA24" s="13" t="s">
        <v>1829</v>
      </c>
      <c r="AB24" s="16"/>
      <c r="AC24" s="13" t="s">
        <v>1829</v>
      </c>
      <c r="AD24" s="13" t="s">
        <v>1678</v>
      </c>
      <c r="AE24" s="13" t="s">
        <v>1679</v>
      </c>
      <c r="AF24" s="13" t="s">
        <v>1629</v>
      </c>
      <c r="AG24" s="13" t="s">
        <v>1830</v>
      </c>
      <c r="AH24" s="13" t="s">
        <v>1831</v>
      </c>
      <c r="AI24" s="13" t="s">
        <v>1682</v>
      </c>
      <c r="AJ24" s="13" t="s">
        <v>1633</v>
      </c>
      <c r="AK24" s="13" t="s">
        <v>1832</v>
      </c>
      <c r="AL24" s="13" t="s">
        <v>1833</v>
      </c>
      <c r="AM24" s="13" t="s">
        <v>1634</v>
      </c>
      <c r="AN24" s="13" t="s">
        <v>1303</v>
      </c>
      <c r="AO24" s="13" t="s">
        <v>1304</v>
      </c>
      <c r="AP24" s="13" t="s">
        <v>1635</v>
      </c>
      <c r="AQ24" s="16"/>
      <c r="AR24" s="13" t="s">
        <v>1308</v>
      </c>
      <c r="AS24" s="15">
        <v>1</v>
      </c>
      <c r="AT24" s="14">
        <v>0</v>
      </c>
      <c r="AU24" s="14">
        <v>0</v>
      </c>
      <c r="AV24" s="14">
        <v>0</v>
      </c>
      <c r="AW24" s="14">
        <v>0</v>
      </c>
      <c r="AX24" s="14">
        <v>1199</v>
      </c>
      <c r="AY24" s="14">
        <v>1199</v>
      </c>
      <c r="AZ24" s="15">
        <v>14388</v>
      </c>
      <c r="BA24" s="15">
        <v>0</v>
      </c>
      <c r="BB24" s="21">
        <v>45701</v>
      </c>
      <c r="BC24" s="21">
        <v>45588</v>
      </c>
      <c r="BD24" s="17">
        <v>2024</v>
      </c>
      <c r="BE24" s="17">
        <v>10</v>
      </c>
      <c r="BF24" s="16"/>
      <c r="BG24" s="16"/>
      <c r="BH24" s="16"/>
      <c r="BI24" s="13" t="s">
        <v>1308</v>
      </c>
      <c r="BJ24" s="16"/>
      <c r="BK24" s="16"/>
      <c r="BL24" s="16"/>
      <c r="BM24" s="16"/>
      <c r="BN24" s="16"/>
      <c r="BO24" s="16"/>
      <c r="BP24" s="16"/>
      <c r="BQ24" s="21">
        <v>45701</v>
      </c>
      <c r="BR24" s="17">
        <v>2025</v>
      </c>
      <c r="BS24" s="17">
        <v>2</v>
      </c>
      <c r="BT24" s="17">
        <v>2026</v>
      </c>
      <c r="BU24" s="17">
        <v>3</v>
      </c>
      <c r="BV24" s="16"/>
      <c r="BW24" s="16"/>
      <c r="BX24" s="16"/>
      <c r="BY24" s="16"/>
      <c r="BZ24" s="16"/>
      <c r="CA24" s="16"/>
      <c r="CB24" s="16"/>
      <c r="CC24" s="16"/>
      <c r="CD24" s="16"/>
      <c r="CE24" s="16"/>
      <c r="CF24" s="16"/>
      <c r="CG24" s="16"/>
      <c r="CH24" s="16"/>
      <c r="CI24" s="16"/>
      <c r="CJ24" s="16"/>
      <c r="CK24" s="16"/>
      <c r="CL24" s="16"/>
      <c r="CM24" s="16"/>
      <c r="CN24" s="16"/>
      <c r="CO24" s="16"/>
      <c r="CP24" s="16"/>
    </row>
    <row r="25" spans="1:94" s="1" customFormat="1" ht="13" thickBot="1" x14ac:dyDescent="0.3">
      <c r="A25" s="13" t="s">
        <v>1834</v>
      </c>
      <c r="B25" s="16"/>
      <c r="C25" s="16"/>
      <c r="D25" s="13" t="s">
        <v>1699</v>
      </c>
      <c r="E25" s="13" t="s">
        <v>1700</v>
      </c>
      <c r="F25" s="13" t="s">
        <v>1699</v>
      </c>
      <c r="G25" s="13" t="s">
        <v>1701</v>
      </c>
      <c r="H25" s="17">
        <v>1</v>
      </c>
      <c r="I25" s="16"/>
      <c r="J25" s="16"/>
      <c r="K25" s="13" t="s">
        <v>1308</v>
      </c>
      <c r="L25" s="13" t="s">
        <v>1308</v>
      </c>
      <c r="M25" s="13" t="s">
        <v>1835</v>
      </c>
      <c r="N25" s="13" t="s">
        <v>1836</v>
      </c>
      <c r="O25" s="13" t="s">
        <v>1837</v>
      </c>
      <c r="P25" s="13" t="s">
        <v>976</v>
      </c>
      <c r="Q25" s="13" t="s">
        <v>1623</v>
      </c>
      <c r="R25" s="16"/>
      <c r="S25" s="16"/>
      <c r="T25" s="16"/>
      <c r="U25" s="13" t="s">
        <v>1838</v>
      </c>
      <c r="V25" s="13" t="s">
        <v>113</v>
      </c>
      <c r="W25" s="13" t="s">
        <v>1839</v>
      </c>
      <c r="X25" s="13" t="s">
        <v>113</v>
      </c>
      <c r="Y25" s="13" t="s">
        <v>1701</v>
      </c>
      <c r="Z25" s="13" t="s">
        <v>1835</v>
      </c>
      <c r="AA25" s="13" t="s">
        <v>1837</v>
      </c>
      <c r="AB25" s="16"/>
      <c r="AC25" s="13" t="s">
        <v>1837</v>
      </c>
      <c r="AD25" s="13" t="s">
        <v>1678</v>
      </c>
      <c r="AE25" s="13" t="s">
        <v>1679</v>
      </c>
      <c r="AF25" s="13" t="s">
        <v>1629</v>
      </c>
      <c r="AG25" s="13" t="s">
        <v>1840</v>
      </c>
      <c r="AH25" s="13" t="s">
        <v>1841</v>
      </c>
      <c r="AI25" s="13" t="s">
        <v>1842</v>
      </c>
      <c r="AJ25" s="13" t="s">
        <v>1633</v>
      </c>
      <c r="AK25" s="13" t="s">
        <v>35</v>
      </c>
      <c r="AL25" s="13" t="s">
        <v>36</v>
      </c>
      <c r="AM25" s="13" t="s">
        <v>1634</v>
      </c>
      <c r="AN25" s="13" t="s">
        <v>1303</v>
      </c>
      <c r="AO25" s="13" t="s">
        <v>1304</v>
      </c>
      <c r="AP25" s="13" t="s">
        <v>1635</v>
      </c>
      <c r="AQ25" s="16"/>
      <c r="AR25" s="13" t="s">
        <v>1308</v>
      </c>
      <c r="AS25" s="15">
        <v>1</v>
      </c>
      <c r="AT25" s="14">
        <v>0</v>
      </c>
      <c r="AU25" s="14">
        <v>0</v>
      </c>
      <c r="AV25" s="14">
        <v>0</v>
      </c>
      <c r="AW25" s="14">
        <v>0</v>
      </c>
      <c r="AX25" s="14">
        <v>195</v>
      </c>
      <c r="AY25" s="14">
        <v>499</v>
      </c>
      <c r="AZ25" s="15">
        <v>0</v>
      </c>
      <c r="BA25" s="15">
        <v>0</v>
      </c>
      <c r="BB25" s="21">
        <v>45036</v>
      </c>
      <c r="BC25" s="21">
        <v>43848</v>
      </c>
      <c r="BD25" s="17">
        <v>2020</v>
      </c>
      <c r="BE25" s="17">
        <v>7</v>
      </c>
      <c r="BF25" s="16"/>
      <c r="BG25" s="16"/>
      <c r="BH25" s="16"/>
      <c r="BI25" s="13" t="s">
        <v>1308</v>
      </c>
      <c r="BJ25" s="16"/>
      <c r="BK25" s="16"/>
      <c r="BL25" s="16"/>
      <c r="BM25" s="16"/>
      <c r="BN25" s="16"/>
      <c r="BO25" s="16"/>
      <c r="BP25" s="16"/>
      <c r="BQ25" s="21">
        <v>43862</v>
      </c>
      <c r="BR25" s="17">
        <v>2020</v>
      </c>
      <c r="BS25" s="17">
        <v>7</v>
      </c>
      <c r="BT25" s="17">
        <v>2026</v>
      </c>
      <c r="BU25" s="17">
        <v>8</v>
      </c>
      <c r="BV25" s="16"/>
      <c r="BW25" s="16"/>
      <c r="BX25" s="16"/>
      <c r="BY25" s="16"/>
      <c r="BZ25" s="16"/>
      <c r="CA25" s="21">
        <v>45036</v>
      </c>
      <c r="CB25" s="17">
        <v>2023</v>
      </c>
      <c r="CC25" s="17">
        <v>4</v>
      </c>
      <c r="CD25" s="13" t="s">
        <v>1795</v>
      </c>
      <c r="CE25" s="13" t="s">
        <v>1796</v>
      </c>
      <c r="CF25" s="13" t="s">
        <v>1308</v>
      </c>
      <c r="CG25" s="13" t="s">
        <v>1731</v>
      </c>
      <c r="CH25" s="13" t="s">
        <v>1732</v>
      </c>
      <c r="CI25" s="13" t="s">
        <v>1733</v>
      </c>
      <c r="CJ25" s="13" t="s">
        <v>1734</v>
      </c>
      <c r="CK25" s="13" t="s">
        <v>1735</v>
      </c>
      <c r="CL25" s="13" t="s">
        <v>1736</v>
      </c>
      <c r="CM25" s="13" t="s">
        <v>1744</v>
      </c>
      <c r="CN25" s="16"/>
      <c r="CO25" s="16"/>
      <c r="CP25" s="16"/>
    </row>
    <row r="26" spans="1:94" s="1" customFormat="1" ht="13" thickBot="1" x14ac:dyDescent="0.3">
      <c r="A26" s="13" t="s">
        <v>1771</v>
      </c>
      <c r="B26" s="13" t="s">
        <v>35</v>
      </c>
      <c r="C26" s="13" t="s">
        <v>36</v>
      </c>
      <c r="D26" s="13" t="s">
        <v>1616</v>
      </c>
      <c r="E26" s="13" t="s">
        <v>1670</v>
      </c>
      <c r="F26" s="13" t="s">
        <v>1618</v>
      </c>
      <c r="G26" s="13" t="s">
        <v>1619</v>
      </c>
      <c r="H26" s="17">
        <v>66</v>
      </c>
      <c r="I26" s="16"/>
      <c r="J26" s="16"/>
      <c r="K26" s="13" t="s">
        <v>1308</v>
      </c>
      <c r="L26" s="13" t="s">
        <v>1308</v>
      </c>
      <c r="M26" s="13" t="s">
        <v>1769</v>
      </c>
      <c r="N26" s="13" t="s">
        <v>1770</v>
      </c>
      <c r="O26" s="13" t="s">
        <v>41</v>
      </c>
      <c r="P26" s="13" t="s">
        <v>976</v>
      </c>
      <c r="Q26" s="13" t="s">
        <v>1649</v>
      </c>
      <c r="R26" s="13" t="s">
        <v>1843</v>
      </c>
      <c r="S26" s="13" t="s">
        <v>1768</v>
      </c>
      <c r="T26" s="16"/>
      <c r="U26" s="13" t="s">
        <v>1772</v>
      </c>
      <c r="V26" s="13" t="s">
        <v>1773</v>
      </c>
      <c r="W26" s="13" t="s">
        <v>1774</v>
      </c>
      <c r="X26" s="13" t="s">
        <v>41</v>
      </c>
      <c r="Y26" s="13" t="s">
        <v>1619</v>
      </c>
      <c r="Z26" s="13" t="s">
        <v>1769</v>
      </c>
      <c r="AA26" s="13" t="s">
        <v>41</v>
      </c>
      <c r="AB26" s="16"/>
      <c r="AC26" s="13" t="s">
        <v>41</v>
      </c>
      <c r="AD26" s="13" t="s">
        <v>1627</v>
      </c>
      <c r="AE26" s="13" t="s">
        <v>1628</v>
      </c>
      <c r="AF26" s="13" t="s">
        <v>1629</v>
      </c>
      <c r="AG26" s="13" t="s">
        <v>1775</v>
      </c>
      <c r="AH26" s="13" t="s">
        <v>1776</v>
      </c>
      <c r="AI26" s="13" t="s">
        <v>1777</v>
      </c>
      <c r="AJ26" s="13" t="s">
        <v>1633</v>
      </c>
      <c r="AK26" s="13" t="s">
        <v>42</v>
      </c>
      <c r="AL26" s="13" t="s">
        <v>43</v>
      </c>
      <c r="AM26" s="13" t="s">
        <v>1634</v>
      </c>
      <c r="AN26" s="13" t="s">
        <v>1303</v>
      </c>
      <c r="AO26" s="13" t="s">
        <v>1304</v>
      </c>
      <c r="AP26" s="13" t="s">
        <v>1635</v>
      </c>
      <c r="AQ26" s="16"/>
      <c r="AR26" s="13" t="s">
        <v>1308</v>
      </c>
      <c r="AS26" s="15">
        <v>1</v>
      </c>
      <c r="AT26" s="14">
        <v>0</v>
      </c>
      <c r="AU26" s="14">
        <v>0</v>
      </c>
      <c r="AV26" s="14">
        <v>0</v>
      </c>
      <c r="AW26" s="14">
        <v>0</v>
      </c>
      <c r="AX26" s="14">
        <v>1849</v>
      </c>
      <c r="AY26" s="14">
        <v>1849</v>
      </c>
      <c r="AZ26" s="22">
        <v>-3811.92</v>
      </c>
      <c r="BA26" s="15">
        <v>0</v>
      </c>
      <c r="BB26" s="21">
        <v>45915</v>
      </c>
      <c r="BC26" s="21">
        <v>45530</v>
      </c>
      <c r="BD26" s="17">
        <v>2024</v>
      </c>
      <c r="BE26" s="17">
        <v>8</v>
      </c>
      <c r="BF26" s="16"/>
      <c r="BG26" s="16"/>
      <c r="BH26" s="16"/>
      <c r="BI26" s="13" t="s">
        <v>1308</v>
      </c>
      <c r="BJ26" s="16"/>
      <c r="BK26" s="16"/>
      <c r="BL26" s="16"/>
      <c r="BM26" s="16"/>
      <c r="BN26" s="16"/>
      <c r="BO26" s="16"/>
      <c r="BP26" s="16"/>
      <c r="BQ26" s="21">
        <v>45566</v>
      </c>
      <c r="BR26" s="17">
        <v>2024</v>
      </c>
      <c r="BS26" s="17">
        <v>10</v>
      </c>
      <c r="BT26" s="17">
        <v>2026</v>
      </c>
      <c r="BU26" s="17">
        <v>10</v>
      </c>
      <c r="BV26" s="16"/>
      <c r="BW26" s="16"/>
      <c r="BX26" s="16"/>
      <c r="BY26" s="16"/>
      <c r="BZ26" s="16"/>
      <c r="CA26" s="21">
        <v>45914</v>
      </c>
      <c r="CB26" s="17">
        <v>2025</v>
      </c>
      <c r="CC26" s="17">
        <v>9</v>
      </c>
      <c r="CD26" s="13" t="s">
        <v>1636</v>
      </c>
      <c r="CE26" s="13" t="s">
        <v>1637</v>
      </c>
      <c r="CF26" s="13" t="s">
        <v>1308</v>
      </c>
      <c r="CG26" s="13" t="s">
        <v>1638</v>
      </c>
      <c r="CH26" s="13" t="s">
        <v>1639</v>
      </c>
      <c r="CI26" s="13" t="s">
        <v>1640</v>
      </c>
      <c r="CJ26" s="13" t="s">
        <v>1641</v>
      </c>
      <c r="CK26" s="13" t="s">
        <v>1642</v>
      </c>
      <c r="CL26" s="13" t="s">
        <v>1643</v>
      </c>
      <c r="CM26" s="13" t="s">
        <v>1644</v>
      </c>
      <c r="CN26" s="13" t="s">
        <v>1645</v>
      </c>
      <c r="CO26" s="16"/>
      <c r="CP26" s="16"/>
    </row>
    <row r="27" spans="1:94" s="1" customFormat="1" ht="13" thickBot="1" x14ac:dyDescent="0.3">
      <c r="A27" s="13" t="s">
        <v>1844</v>
      </c>
      <c r="B27" s="16"/>
      <c r="C27" s="16"/>
      <c r="D27" s="13" t="s">
        <v>1616</v>
      </c>
      <c r="E27" s="13" t="s">
        <v>1801</v>
      </c>
      <c r="F27" s="13" t="s">
        <v>1618</v>
      </c>
      <c r="G27" s="13" t="s">
        <v>1619</v>
      </c>
      <c r="H27" s="17">
        <v>12</v>
      </c>
      <c r="I27" s="16"/>
      <c r="J27" s="16"/>
      <c r="K27" s="13" t="s">
        <v>1308</v>
      </c>
      <c r="L27" s="13" t="s">
        <v>1308</v>
      </c>
      <c r="M27" s="13" t="s">
        <v>1845</v>
      </c>
      <c r="N27" s="16"/>
      <c r="O27" s="13" t="s">
        <v>1846</v>
      </c>
      <c r="P27" s="13" t="s">
        <v>976</v>
      </c>
      <c r="Q27" s="13" t="s">
        <v>1623</v>
      </c>
      <c r="R27" s="13" t="s">
        <v>1847</v>
      </c>
      <c r="S27" s="16"/>
      <c r="T27" s="16"/>
      <c r="U27" s="13" t="s">
        <v>1805</v>
      </c>
      <c r="V27" s="13" t="s">
        <v>1806</v>
      </c>
      <c r="W27" s="13" t="s">
        <v>1848</v>
      </c>
      <c r="X27" s="13" t="s">
        <v>1846</v>
      </c>
      <c r="Y27" s="13" t="s">
        <v>1619</v>
      </c>
      <c r="Z27" s="13" t="s">
        <v>1845</v>
      </c>
      <c r="AA27" s="13" t="s">
        <v>1846</v>
      </c>
      <c r="AB27" s="16"/>
      <c r="AC27" s="13" t="s">
        <v>1846</v>
      </c>
      <c r="AD27" s="13" t="s">
        <v>1678</v>
      </c>
      <c r="AE27" s="13" t="s">
        <v>1679</v>
      </c>
      <c r="AF27" s="13" t="s">
        <v>1629</v>
      </c>
      <c r="AG27" s="13" t="s">
        <v>1849</v>
      </c>
      <c r="AH27" s="13" t="s">
        <v>1809</v>
      </c>
      <c r="AI27" s="13" t="s">
        <v>1682</v>
      </c>
      <c r="AJ27" s="13" t="s">
        <v>1633</v>
      </c>
      <c r="AK27" s="13" t="s">
        <v>1528</v>
      </c>
      <c r="AL27" s="13" t="s">
        <v>1529</v>
      </c>
      <c r="AM27" s="13" t="s">
        <v>1634</v>
      </c>
      <c r="AN27" s="13" t="s">
        <v>1303</v>
      </c>
      <c r="AO27" s="13" t="s">
        <v>1304</v>
      </c>
      <c r="AP27" s="13" t="s">
        <v>1635</v>
      </c>
      <c r="AQ27" s="16"/>
      <c r="AR27" s="13" t="s">
        <v>1308</v>
      </c>
      <c r="AS27" s="15">
        <v>1</v>
      </c>
      <c r="AT27" s="14">
        <v>0</v>
      </c>
      <c r="AU27" s="14">
        <v>0</v>
      </c>
      <c r="AV27" s="14">
        <v>0</v>
      </c>
      <c r="AW27" s="14">
        <v>0</v>
      </c>
      <c r="AX27" s="14">
        <v>999</v>
      </c>
      <c r="AY27" s="14">
        <v>999</v>
      </c>
      <c r="AZ27" s="15">
        <v>11988</v>
      </c>
      <c r="BA27" s="15">
        <v>0</v>
      </c>
      <c r="BB27" s="21">
        <v>45925</v>
      </c>
      <c r="BC27" s="21">
        <v>45373</v>
      </c>
      <c r="BD27" s="17">
        <v>2024</v>
      </c>
      <c r="BE27" s="17">
        <v>3</v>
      </c>
      <c r="BF27" s="16"/>
      <c r="BG27" s="16"/>
      <c r="BH27" s="16"/>
      <c r="BI27" s="13" t="s">
        <v>1308</v>
      </c>
      <c r="BJ27" s="16"/>
      <c r="BK27" s="16"/>
      <c r="BL27" s="16"/>
      <c r="BM27" s="16"/>
      <c r="BN27" s="16"/>
      <c r="BO27" s="16"/>
      <c r="BP27" s="16"/>
      <c r="BQ27" s="21">
        <v>45400</v>
      </c>
      <c r="BR27" s="17">
        <v>2024</v>
      </c>
      <c r="BS27" s="17">
        <v>4</v>
      </c>
      <c r="BT27" s="17">
        <v>2026</v>
      </c>
      <c r="BU27" s="17">
        <v>5</v>
      </c>
      <c r="BV27" s="21">
        <v>45400</v>
      </c>
      <c r="BW27" s="17">
        <v>2024</v>
      </c>
      <c r="BX27" s="17">
        <v>4</v>
      </c>
      <c r="BY27" s="17">
        <v>2024</v>
      </c>
      <c r="BZ27" s="17">
        <v>5</v>
      </c>
      <c r="CA27" s="21">
        <v>45924</v>
      </c>
      <c r="CB27" s="17">
        <v>2025</v>
      </c>
      <c r="CC27" s="17">
        <v>9</v>
      </c>
      <c r="CD27" s="13" t="s">
        <v>1636</v>
      </c>
      <c r="CE27" s="13" t="s">
        <v>1637</v>
      </c>
      <c r="CF27" s="13" t="s">
        <v>1308</v>
      </c>
      <c r="CG27" s="13" t="s">
        <v>1638</v>
      </c>
      <c r="CH27" s="13" t="s">
        <v>1639</v>
      </c>
      <c r="CI27" s="13" t="s">
        <v>1640</v>
      </c>
      <c r="CJ27" s="13" t="s">
        <v>1641</v>
      </c>
      <c r="CK27" s="13" t="s">
        <v>1642</v>
      </c>
      <c r="CL27" s="13" t="s">
        <v>1643</v>
      </c>
      <c r="CM27" s="13" t="s">
        <v>1644</v>
      </c>
      <c r="CN27" s="13" t="s">
        <v>1645</v>
      </c>
      <c r="CO27" s="16"/>
      <c r="CP27" s="16"/>
    </row>
    <row r="28" spans="1:94" s="1" customFormat="1" ht="13" thickBot="1" x14ac:dyDescent="0.3">
      <c r="A28" s="13" t="s">
        <v>1850</v>
      </c>
      <c r="B28" s="16"/>
      <c r="C28" s="16"/>
      <c r="D28" s="13" t="s">
        <v>1616</v>
      </c>
      <c r="E28" s="13" t="s">
        <v>1801</v>
      </c>
      <c r="F28" s="13" t="s">
        <v>1618</v>
      </c>
      <c r="G28" s="13" t="s">
        <v>1619</v>
      </c>
      <c r="H28" s="17">
        <v>60</v>
      </c>
      <c r="I28" s="16"/>
      <c r="J28" s="16"/>
      <c r="K28" s="13" t="s">
        <v>1308</v>
      </c>
      <c r="L28" s="13" t="s">
        <v>1308</v>
      </c>
      <c r="M28" s="13" t="s">
        <v>1851</v>
      </c>
      <c r="N28" s="13" t="s">
        <v>1852</v>
      </c>
      <c r="O28" s="13" t="s">
        <v>60</v>
      </c>
      <c r="P28" s="13" t="s">
        <v>976</v>
      </c>
      <c r="Q28" s="13" t="s">
        <v>1623</v>
      </c>
      <c r="R28" s="16"/>
      <c r="S28" s="16"/>
      <c r="T28" s="16"/>
      <c r="U28" s="13" t="s">
        <v>1853</v>
      </c>
      <c r="V28" s="13" t="s">
        <v>1854</v>
      </c>
      <c r="W28" s="13" t="s">
        <v>1855</v>
      </c>
      <c r="X28" s="13" t="s">
        <v>60</v>
      </c>
      <c r="Y28" s="13" t="s">
        <v>1619</v>
      </c>
      <c r="Z28" s="13" t="s">
        <v>1851</v>
      </c>
      <c r="AA28" s="13" t="s">
        <v>60</v>
      </c>
      <c r="AB28" s="16"/>
      <c r="AC28" s="13" t="s">
        <v>60</v>
      </c>
      <c r="AD28" s="13" t="s">
        <v>1627</v>
      </c>
      <c r="AE28" s="13" t="s">
        <v>1628</v>
      </c>
      <c r="AF28" s="13" t="s">
        <v>1629</v>
      </c>
      <c r="AG28" s="13" t="s">
        <v>1856</v>
      </c>
      <c r="AH28" s="13" t="s">
        <v>1857</v>
      </c>
      <c r="AI28" s="13" t="s">
        <v>1777</v>
      </c>
      <c r="AJ28" s="13" t="s">
        <v>1633</v>
      </c>
      <c r="AK28" s="13" t="s">
        <v>48</v>
      </c>
      <c r="AL28" s="13" t="s">
        <v>49</v>
      </c>
      <c r="AM28" s="13" t="s">
        <v>1634</v>
      </c>
      <c r="AN28" s="13" t="s">
        <v>1303</v>
      </c>
      <c r="AO28" s="13" t="s">
        <v>1304</v>
      </c>
      <c r="AP28" s="13" t="s">
        <v>1635</v>
      </c>
      <c r="AQ28" s="16"/>
      <c r="AR28" s="13" t="s">
        <v>1308</v>
      </c>
      <c r="AS28" s="15">
        <v>1</v>
      </c>
      <c r="AT28" s="14">
        <v>0</v>
      </c>
      <c r="AU28" s="14">
        <v>0</v>
      </c>
      <c r="AV28" s="14">
        <v>0</v>
      </c>
      <c r="AW28" s="14">
        <v>0</v>
      </c>
      <c r="AX28" s="14">
        <v>299</v>
      </c>
      <c r="AY28" s="14">
        <v>299</v>
      </c>
      <c r="AZ28" s="15">
        <v>3588</v>
      </c>
      <c r="BA28" s="15">
        <v>0</v>
      </c>
      <c r="BB28" s="21">
        <v>45789</v>
      </c>
      <c r="BC28" s="21">
        <v>44033</v>
      </c>
      <c r="BD28" s="17">
        <v>2021</v>
      </c>
      <c r="BE28" s="17">
        <v>1</v>
      </c>
      <c r="BF28" s="16"/>
      <c r="BG28" s="16"/>
      <c r="BH28" s="16"/>
      <c r="BI28" s="13" t="s">
        <v>1308</v>
      </c>
      <c r="BJ28" s="16"/>
      <c r="BK28" s="16"/>
      <c r="BL28" s="16"/>
      <c r="BM28" s="16"/>
      <c r="BN28" s="16"/>
      <c r="BO28" s="16"/>
      <c r="BP28" s="16"/>
      <c r="BQ28" s="21">
        <v>44013</v>
      </c>
      <c r="BR28" s="17">
        <v>2021</v>
      </c>
      <c r="BS28" s="17">
        <v>1</v>
      </c>
      <c r="BT28" s="17">
        <v>2026</v>
      </c>
      <c r="BU28" s="17">
        <v>1</v>
      </c>
      <c r="BV28" s="16"/>
      <c r="BW28" s="16"/>
      <c r="BX28" s="16"/>
      <c r="BY28" s="16"/>
      <c r="BZ28" s="16"/>
      <c r="CA28" s="21">
        <v>45777</v>
      </c>
      <c r="CB28" s="17">
        <v>2025</v>
      </c>
      <c r="CC28" s="17">
        <v>5</v>
      </c>
      <c r="CD28" s="13" t="s">
        <v>1766</v>
      </c>
      <c r="CE28" s="13" t="s">
        <v>1767</v>
      </c>
      <c r="CF28" s="13" t="s">
        <v>1308</v>
      </c>
      <c r="CG28" s="13" t="s">
        <v>1731</v>
      </c>
      <c r="CH28" s="13" t="s">
        <v>1732</v>
      </c>
      <c r="CI28" s="13" t="s">
        <v>1733</v>
      </c>
      <c r="CJ28" s="13" t="s">
        <v>1734</v>
      </c>
      <c r="CK28" s="13" t="s">
        <v>1735</v>
      </c>
      <c r="CL28" s="13" t="s">
        <v>1736</v>
      </c>
      <c r="CM28" s="13" t="s">
        <v>4</v>
      </c>
      <c r="CN28" s="16"/>
      <c r="CO28" s="16"/>
      <c r="CP28" s="16"/>
    </row>
    <row r="29" spans="1:94" s="1" customFormat="1" ht="13" thickBot="1" x14ac:dyDescent="0.3">
      <c r="A29" s="13" t="s">
        <v>1858</v>
      </c>
      <c r="B29" s="13" t="s">
        <v>1329</v>
      </c>
      <c r="C29" s="13" t="s">
        <v>1330</v>
      </c>
      <c r="D29" s="13" t="s">
        <v>1699</v>
      </c>
      <c r="E29" s="13" t="s">
        <v>1700</v>
      </c>
      <c r="F29" s="13" t="s">
        <v>1699</v>
      </c>
      <c r="G29" s="13" t="s">
        <v>1701</v>
      </c>
      <c r="H29" s="17">
        <v>1</v>
      </c>
      <c r="I29" s="16"/>
      <c r="J29" s="16"/>
      <c r="K29" s="13" t="s">
        <v>1308</v>
      </c>
      <c r="L29" s="13" t="s">
        <v>1308</v>
      </c>
      <c r="M29" s="13" t="s">
        <v>1702</v>
      </c>
      <c r="N29" s="13" t="s">
        <v>1703</v>
      </c>
      <c r="O29" s="13" t="s">
        <v>416</v>
      </c>
      <c r="P29" s="13" t="s">
        <v>976</v>
      </c>
      <c r="Q29" s="13" t="s">
        <v>1649</v>
      </c>
      <c r="R29" s="16"/>
      <c r="S29" s="13" t="s">
        <v>1859</v>
      </c>
      <c r="T29" s="16"/>
      <c r="U29" s="13" t="s">
        <v>1705</v>
      </c>
      <c r="V29" s="13" t="s">
        <v>416</v>
      </c>
      <c r="W29" s="13" t="s">
        <v>1706</v>
      </c>
      <c r="X29" s="13" t="s">
        <v>416</v>
      </c>
      <c r="Y29" s="13" t="s">
        <v>1701</v>
      </c>
      <c r="Z29" s="13" t="s">
        <v>1702</v>
      </c>
      <c r="AA29" s="13" t="s">
        <v>416</v>
      </c>
      <c r="AB29" s="16"/>
      <c r="AC29" s="13" t="s">
        <v>416</v>
      </c>
      <c r="AD29" s="13" t="s">
        <v>1678</v>
      </c>
      <c r="AE29" s="13" t="s">
        <v>1679</v>
      </c>
      <c r="AF29" s="13" t="s">
        <v>1629</v>
      </c>
      <c r="AG29" s="13" t="s">
        <v>1707</v>
      </c>
      <c r="AH29" s="13" t="s">
        <v>1708</v>
      </c>
      <c r="AI29" s="13" t="s">
        <v>1682</v>
      </c>
      <c r="AJ29" s="13" t="s">
        <v>1633</v>
      </c>
      <c r="AK29" s="13" t="s">
        <v>48</v>
      </c>
      <c r="AL29" s="13" t="s">
        <v>49</v>
      </c>
      <c r="AM29" s="13" t="s">
        <v>1634</v>
      </c>
      <c r="AN29" s="13" t="s">
        <v>1303</v>
      </c>
      <c r="AO29" s="13" t="s">
        <v>1304</v>
      </c>
      <c r="AP29" s="13" t="s">
        <v>1635</v>
      </c>
      <c r="AQ29" s="16"/>
      <c r="AR29" s="13" t="s">
        <v>1308</v>
      </c>
      <c r="AS29" s="15">
        <v>1</v>
      </c>
      <c r="AT29" s="14">
        <v>0</v>
      </c>
      <c r="AU29" s="14">
        <v>0</v>
      </c>
      <c r="AV29" s="14">
        <v>0</v>
      </c>
      <c r="AW29" s="14">
        <v>0</v>
      </c>
      <c r="AX29" s="14">
        <v>299</v>
      </c>
      <c r="AY29" s="14">
        <v>299</v>
      </c>
      <c r="AZ29" s="15">
        <v>1374</v>
      </c>
      <c r="BA29" s="15">
        <v>0</v>
      </c>
      <c r="BB29" s="21">
        <v>44329</v>
      </c>
      <c r="BC29" s="21">
        <v>44161</v>
      </c>
      <c r="BD29" s="17">
        <v>2021</v>
      </c>
      <c r="BE29" s="17">
        <v>5</v>
      </c>
      <c r="BF29" s="16"/>
      <c r="BG29" s="16"/>
      <c r="BH29" s="16"/>
      <c r="BI29" s="13" t="s">
        <v>1308</v>
      </c>
      <c r="BJ29" s="16"/>
      <c r="BK29" s="16"/>
      <c r="BL29" s="16"/>
      <c r="BM29" s="16"/>
      <c r="BN29" s="16"/>
      <c r="BO29" s="16"/>
      <c r="BP29" s="16"/>
      <c r="BQ29" s="21">
        <v>44239</v>
      </c>
      <c r="BR29" s="17">
        <v>2021</v>
      </c>
      <c r="BS29" s="17">
        <v>8</v>
      </c>
      <c r="BT29" s="17">
        <v>2026</v>
      </c>
      <c r="BU29" s="17">
        <v>9</v>
      </c>
      <c r="BV29" s="16"/>
      <c r="BW29" s="16"/>
      <c r="BX29" s="16"/>
      <c r="BY29" s="16"/>
      <c r="BZ29" s="16"/>
      <c r="CA29" s="21">
        <v>44316</v>
      </c>
      <c r="CB29" s="17">
        <v>2021</v>
      </c>
      <c r="CC29" s="17">
        <v>11</v>
      </c>
      <c r="CD29" s="13" t="s">
        <v>1766</v>
      </c>
      <c r="CE29" s="13" t="s">
        <v>1767</v>
      </c>
      <c r="CF29" s="13" t="s">
        <v>1308</v>
      </c>
      <c r="CG29" s="13" t="s">
        <v>1731</v>
      </c>
      <c r="CH29" s="13" t="s">
        <v>1732</v>
      </c>
      <c r="CI29" s="13" t="s">
        <v>1733</v>
      </c>
      <c r="CJ29" s="13" t="s">
        <v>1734</v>
      </c>
      <c r="CK29" s="13" t="s">
        <v>1735</v>
      </c>
      <c r="CL29" s="13" t="s">
        <v>1736</v>
      </c>
      <c r="CM29" s="13" t="s">
        <v>4</v>
      </c>
      <c r="CN29" s="16"/>
      <c r="CO29" s="16"/>
      <c r="CP29" s="16"/>
    </row>
    <row r="30" spans="1:94" s="1" customFormat="1" ht="13" thickBot="1" x14ac:dyDescent="0.3">
      <c r="A30" s="13" t="s">
        <v>1860</v>
      </c>
      <c r="B30" s="13" t="s">
        <v>35</v>
      </c>
      <c r="C30" s="13" t="s">
        <v>36</v>
      </c>
      <c r="D30" s="13" t="s">
        <v>1616</v>
      </c>
      <c r="E30" s="13" t="s">
        <v>1756</v>
      </c>
      <c r="F30" s="13" t="s">
        <v>1618</v>
      </c>
      <c r="G30" s="13" t="s">
        <v>1619</v>
      </c>
      <c r="H30" s="17">
        <v>1</v>
      </c>
      <c r="I30" s="16"/>
      <c r="J30" s="16"/>
      <c r="K30" s="13" t="s">
        <v>1308</v>
      </c>
      <c r="L30" s="13" t="s">
        <v>1308</v>
      </c>
      <c r="M30" s="13" t="s">
        <v>1861</v>
      </c>
      <c r="N30" s="13" t="s">
        <v>1862</v>
      </c>
      <c r="O30" s="13" t="s">
        <v>34</v>
      </c>
      <c r="P30" s="13" t="s">
        <v>976</v>
      </c>
      <c r="Q30" s="13" t="s">
        <v>1649</v>
      </c>
      <c r="R30" s="16"/>
      <c r="S30" s="13" t="s">
        <v>1863</v>
      </c>
      <c r="T30" s="16"/>
      <c r="U30" s="13" t="s">
        <v>1864</v>
      </c>
      <c r="V30" s="13" t="s">
        <v>1865</v>
      </c>
      <c r="W30" s="13" t="s">
        <v>1866</v>
      </c>
      <c r="X30" s="13" t="s">
        <v>34</v>
      </c>
      <c r="Y30" s="13" t="s">
        <v>1619</v>
      </c>
      <c r="Z30" s="13" t="s">
        <v>1861</v>
      </c>
      <c r="AA30" s="13" t="s">
        <v>34</v>
      </c>
      <c r="AB30" s="16"/>
      <c r="AC30" s="13" t="s">
        <v>34</v>
      </c>
      <c r="AD30" s="13" t="s">
        <v>1627</v>
      </c>
      <c r="AE30" s="13" t="s">
        <v>1628</v>
      </c>
      <c r="AF30" s="13" t="s">
        <v>1629</v>
      </c>
      <c r="AG30" s="13" t="s">
        <v>1867</v>
      </c>
      <c r="AH30" s="13" t="s">
        <v>1868</v>
      </c>
      <c r="AI30" s="13" t="s">
        <v>1765</v>
      </c>
      <c r="AJ30" s="13" t="s">
        <v>1633</v>
      </c>
      <c r="AK30" s="13" t="s">
        <v>35</v>
      </c>
      <c r="AL30" s="13" t="s">
        <v>36</v>
      </c>
      <c r="AM30" s="13" t="s">
        <v>1634</v>
      </c>
      <c r="AN30" s="13" t="s">
        <v>1303</v>
      </c>
      <c r="AO30" s="13" t="s">
        <v>1304</v>
      </c>
      <c r="AP30" s="13" t="s">
        <v>1635</v>
      </c>
      <c r="AQ30" s="16"/>
      <c r="AR30" s="13" t="s">
        <v>1308</v>
      </c>
      <c r="AS30" s="15">
        <v>1</v>
      </c>
      <c r="AT30" s="14">
        <v>0</v>
      </c>
      <c r="AU30" s="14">
        <v>0</v>
      </c>
      <c r="AV30" s="14">
        <v>0</v>
      </c>
      <c r="AW30" s="14">
        <v>0</v>
      </c>
      <c r="AX30" s="14">
        <v>195</v>
      </c>
      <c r="AY30" s="14">
        <v>1849</v>
      </c>
      <c r="AZ30" s="15">
        <v>0</v>
      </c>
      <c r="BA30" s="15">
        <v>0</v>
      </c>
      <c r="BB30" s="21">
        <v>45810</v>
      </c>
      <c r="BC30" s="21">
        <v>44705</v>
      </c>
      <c r="BD30" s="17">
        <v>2022</v>
      </c>
      <c r="BE30" s="17">
        <v>11</v>
      </c>
      <c r="BF30" s="16"/>
      <c r="BG30" s="16"/>
      <c r="BH30" s="16"/>
      <c r="BI30" s="13" t="s">
        <v>1308</v>
      </c>
      <c r="BJ30" s="16"/>
      <c r="BK30" s="16"/>
      <c r="BL30" s="16"/>
      <c r="BM30" s="16"/>
      <c r="BN30" s="16"/>
      <c r="BO30" s="16"/>
      <c r="BP30" s="16"/>
      <c r="BQ30" s="21">
        <v>44707</v>
      </c>
      <c r="BR30" s="17">
        <v>2022</v>
      </c>
      <c r="BS30" s="17">
        <v>11</v>
      </c>
      <c r="BT30" s="17">
        <v>2026</v>
      </c>
      <c r="BU30" s="17">
        <v>12</v>
      </c>
      <c r="BV30" s="16"/>
      <c r="BW30" s="16"/>
      <c r="BX30" s="16"/>
      <c r="BY30" s="16"/>
      <c r="BZ30" s="16"/>
      <c r="CA30" s="21">
        <v>45808</v>
      </c>
      <c r="CB30" s="17">
        <v>2025</v>
      </c>
      <c r="CC30" s="17">
        <v>5</v>
      </c>
      <c r="CD30" s="13" t="s">
        <v>1778</v>
      </c>
      <c r="CE30" s="13" t="s">
        <v>1639</v>
      </c>
      <c r="CF30" s="13" t="s">
        <v>1308</v>
      </c>
      <c r="CG30" s="13" t="s">
        <v>1638</v>
      </c>
      <c r="CH30" s="13" t="s">
        <v>1639</v>
      </c>
      <c r="CI30" s="13" t="s">
        <v>1640</v>
      </c>
      <c r="CJ30" s="13" t="s">
        <v>1641</v>
      </c>
      <c r="CK30" s="13" t="s">
        <v>1735</v>
      </c>
      <c r="CL30" s="13" t="s">
        <v>1736</v>
      </c>
      <c r="CM30" s="13" t="s">
        <v>1644</v>
      </c>
      <c r="CN30" s="13" t="s">
        <v>1645</v>
      </c>
      <c r="CO30" s="16"/>
      <c r="CP30" s="16"/>
    </row>
    <row r="31" spans="1:94" s="1" customFormat="1" ht="13" thickBot="1" x14ac:dyDescent="0.3">
      <c r="A31" s="13" t="s">
        <v>1869</v>
      </c>
      <c r="B31" s="13" t="s">
        <v>1870</v>
      </c>
      <c r="C31" s="13" t="s">
        <v>1871</v>
      </c>
      <c r="D31" s="13" t="s">
        <v>1616</v>
      </c>
      <c r="E31" s="13" t="s">
        <v>1801</v>
      </c>
      <c r="F31" s="13" t="s">
        <v>1618</v>
      </c>
      <c r="G31" s="13" t="s">
        <v>1619</v>
      </c>
      <c r="H31" s="17">
        <v>12</v>
      </c>
      <c r="I31" s="16"/>
      <c r="J31" s="16"/>
      <c r="K31" s="13" t="s">
        <v>1308</v>
      </c>
      <c r="L31" s="13" t="s">
        <v>1308</v>
      </c>
      <c r="M31" s="13" t="s">
        <v>1802</v>
      </c>
      <c r="N31" s="16"/>
      <c r="O31" s="13" t="s">
        <v>1803</v>
      </c>
      <c r="P31" s="13" t="s">
        <v>976</v>
      </c>
      <c r="Q31" s="13" t="s">
        <v>1649</v>
      </c>
      <c r="R31" s="13" t="s">
        <v>1872</v>
      </c>
      <c r="S31" s="13" t="s">
        <v>1873</v>
      </c>
      <c r="T31" s="16"/>
      <c r="U31" s="13" t="s">
        <v>1805</v>
      </c>
      <c r="V31" s="13" t="s">
        <v>1806</v>
      </c>
      <c r="W31" s="13" t="s">
        <v>1807</v>
      </c>
      <c r="X31" s="13" t="s">
        <v>1803</v>
      </c>
      <c r="Y31" s="13" t="s">
        <v>1619</v>
      </c>
      <c r="Z31" s="13" t="s">
        <v>1802</v>
      </c>
      <c r="AA31" s="13" t="s">
        <v>1803</v>
      </c>
      <c r="AB31" s="16"/>
      <c r="AC31" s="13" t="s">
        <v>1803</v>
      </c>
      <c r="AD31" s="13" t="s">
        <v>1678</v>
      </c>
      <c r="AE31" s="13" t="s">
        <v>1679</v>
      </c>
      <c r="AF31" s="13" t="s">
        <v>1629</v>
      </c>
      <c r="AG31" s="13" t="s">
        <v>1808</v>
      </c>
      <c r="AH31" s="13" t="s">
        <v>1809</v>
      </c>
      <c r="AI31" s="13" t="s">
        <v>1682</v>
      </c>
      <c r="AJ31" s="13" t="s">
        <v>1633</v>
      </c>
      <c r="AK31" s="13" t="s">
        <v>97</v>
      </c>
      <c r="AL31" s="13" t="s">
        <v>98</v>
      </c>
      <c r="AM31" s="13" t="s">
        <v>1634</v>
      </c>
      <c r="AN31" s="13" t="s">
        <v>1303</v>
      </c>
      <c r="AO31" s="13" t="s">
        <v>1304</v>
      </c>
      <c r="AP31" s="13" t="s">
        <v>1635</v>
      </c>
      <c r="AQ31" s="16"/>
      <c r="AR31" s="13" t="s">
        <v>1308</v>
      </c>
      <c r="AS31" s="15">
        <v>1</v>
      </c>
      <c r="AT31" s="14">
        <v>0</v>
      </c>
      <c r="AU31" s="14">
        <v>0</v>
      </c>
      <c r="AV31" s="14">
        <v>0</v>
      </c>
      <c r="AW31" s="14">
        <v>0</v>
      </c>
      <c r="AX31" s="14">
        <v>1499</v>
      </c>
      <c r="AY31" s="14">
        <v>1499</v>
      </c>
      <c r="AZ31" s="15">
        <v>6000</v>
      </c>
      <c r="BA31" s="15">
        <v>0</v>
      </c>
      <c r="BB31" s="21">
        <v>45925</v>
      </c>
      <c r="BC31" s="21">
        <v>45373</v>
      </c>
      <c r="BD31" s="17">
        <v>2024</v>
      </c>
      <c r="BE31" s="17">
        <v>3</v>
      </c>
      <c r="BF31" s="16"/>
      <c r="BG31" s="16"/>
      <c r="BH31" s="16"/>
      <c r="BI31" s="13" t="s">
        <v>1308</v>
      </c>
      <c r="BJ31" s="16"/>
      <c r="BK31" s="16"/>
      <c r="BL31" s="16"/>
      <c r="BM31" s="16"/>
      <c r="BN31" s="16"/>
      <c r="BO31" s="16"/>
      <c r="BP31" s="16"/>
      <c r="BQ31" s="21">
        <v>45400</v>
      </c>
      <c r="BR31" s="17">
        <v>2024</v>
      </c>
      <c r="BS31" s="17">
        <v>4</v>
      </c>
      <c r="BT31" s="17">
        <v>2026</v>
      </c>
      <c r="BU31" s="17">
        <v>5</v>
      </c>
      <c r="BV31" s="21">
        <v>45400</v>
      </c>
      <c r="BW31" s="17">
        <v>2024</v>
      </c>
      <c r="BX31" s="17">
        <v>4</v>
      </c>
      <c r="BY31" s="17">
        <v>2024</v>
      </c>
      <c r="BZ31" s="17">
        <v>5</v>
      </c>
      <c r="CA31" s="21">
        <v>45924</v>
      </c>
      <c r="CB31" s="17">
        <v>2025</v>
      </c>
      <c r="CC31" s="17">
        <v>9</v>
      </c>
      <c r="CD31" s="13" t="s">
        <v>1636</v>
      </c>
      <c r="CE31" s="13" t="s">
        <v>1637</v>
      </c>
      <c r="CF31" s="13" t="s">
        <v>1308</v>
      </c>
      <c r="CG31" s="13" t="s">
        <v>1638</v>
      </c>
      <c r="CH31" s="13" t="s">
        <v>1639</v>
      </c>
      <c r="CI31" s="13" t="s">
        <v>1640</v>
      </c>
      <c r="CJ31" s="13" t="s">
        <v>1641</v>
      </c>
      <c r="CK31" s="13" t="s">
        <v>1642</v>
      </c>
      <c r="CL31" s="13" t="s">
        <v>1643</v>
      </c>
      <c r="CM31" s="13" t="s">
        <v>1644</v>
      </c>
      <c r="CN31" s="13" t="s">
        <v>1645</v>
      </c>
      <c r="CO31" s="16"/>
      <c r="CP31" s="16"/>
    </row>
    <row r="32" spans="1:94" s="1" customFormat="1" ht="13" thickBot="1" x14ac:dyDescent="0.3">
      <c r="A32" s="13" t="s">
        <v>1874</v>
      </c>
      <c r="B32" s="16"/>
      <c r="C32" s="16"/>
      <c r="D32" s="13" t="s">
        <v>1616</v>
      </c>
      <c r="E32" s="13" t="s">
        <v>1801</v>
      </c>
      <c r="F32" s="13" t="s">
        <v>1618</v>
      </c>
      <c r="G32" s="13" t="s">
        <v>1619</v>
      </c>
      <c r="H32" s="17">
        <v>12</v>
      </c>
      <c r="I32" s="16"/>
      <c r="J32" s="16"/>
      <c r="K32" s="13" t="s">
        <v>1308</v>
      </c>
      <c r="L32" s="13" t="s">
        <v>1308</v>
      </c>
      <c r="M32" s="13" t="s">
        <v>1875</v>
      </c>
      <c r="N32" s="16"/>
      <c r="O32" s="13" t="s">
        <v>84</v>
      </c>
      <c r="P32" s="13" t="s">
        <v>976</v>
      </c>
      <c r="Q32" s="13" t="s">
        <v>1623</v>
      </c>
      <c r="R32" s="13" t="s">
        <v>1876</v>
      </c>
      <c r="S32" s="16"/>
      <c r="T32" s="16"/>
      <c r="U32" s="13" t="s">
        <v>1877</v>
      </c>
      <c r="V32" s="13" t="s">
        <v>1878</v>
      </c>
      <c r="W32" s="13" t="s">
        <v>1879</v>
      </c>
      <c r="X32" s="13" t="s">
        <v>84</v>
      </c>
      <c r="Y32" s="13" t="s">
        <v>1619</v>
      </c>
      <c r="Z32" s="13" t="s">
        <v>1875</v>
      </c>
      <c r="AA32" s="13" t="s">
        <v>84</v>
      </c>
      <c r="AB32" s="16"/>
      <c r="AC32" s="13" t="s">
        <v>84</v>
      </c>
      <c r="AD32" s="13" t="s">
        <v>1627</v>
      </c>
      <c r="AE32" s="13" t="s">
        <v>1628</v>
      </c>
      <c r="AF32" s="13" t="s">
        <v>1629</v>
      </c>
      <c r="AG32" s="13" t="s">
        <v>1880</v>
      </c>
      <c r="AH32" s="13" t="s">
        <v>1881</v>
      </c>
      <c r="AI32" s="13" t="s">
        <v>1632</v>
      </c>
      <c r="AJ32" s="13" t="s">
        <v>1633</v>
      </c>
      <c r="AK32" s="13" t="s">
        <v>74</v>
      </c>
      <c r="AL32" s="13" t="s">
        <v>75</v>
      </c>
      <c r="AM32" s="13" t="s">
        <v>1634</v>
      </c>
      <c r="AN32" s="13" t="s">
        <v>1303</v>
      </c>
      <c r="AO32" s="13" t="s">
        <v>1304</v>
      </c>
      <c r="AP32" s="13" t="s">
        <v>1635</v>
      </c>
      <c r="AQ32" s="16"/>
      <c r="AR32" s="13" t="s">
        <v>1308</v>
      </c>
      <c r="AS32" s="15">
        <v>1</v>
      </c>
      <c r="AT32" s="14">
        <v>0</v>
      </c>
      <c r="AU32" s="14">
        <v>0</v>
      </c>
      <c r="AV32" s="14">
        <v>0</v>
      </c>
      <c r="AW32" s="14">
        <v>0</v>
      </c>
      <c r="AX32" s="14">
        <v>499</v>
      </c>
      <c r="AY32" s="14">
        <v>499</v>
      </c>
      <c r="AZ32" s="15">
        <v>5988</v>
      </c>
      <c r="BA32" s="15">
        <v>0</v>
      </c>
      <c r="BB32" s="21">
        <v>45932</v>
      </c>
      <c r="BC32" s="21">
        <v>44869</v>
      </c>
      <c r="BD32" s="17">
        <v>2022</v>
      </c>
      <c r="BE32" s="17">
        <v>17</v>
      </c>
      <c r="BF32" s="16"/>
      <c r="BG32" s="16"/>
      <c r="BH32" s="16"/>
      <c r="BI32" s="13" t="s">
        <v>1308</v>
      </c>
      <c r="BJ32" s="16"/>
      <c r="BK32" s="16"/>
      <c r="BL32" s="16"/>
      <c r="BM32" s="16"/>
      <c r="BN32" s="16"/>
      <c r="BO32" s="16"/>
      <c r="BP32" s="16"/>
      <c r="BQ32" s="21">
        <v>44958</v>
      </c>
      <c r="BR32" s="17">
        <v>2023</v>
      </c>
      <c r="BS32" s="17">
        <v>2</v>
      </c>
      <c r="BT32" s="17">
        <v>2026</v>
      </c>
      <c r="BU32" s="17">
        <v>2</v>
      </c>
      <c r="BV32" s="21">
        <v>44958</v>
      </c>
      <c r="BW32" s="17">
        <v>2023</v>
      </c>
      <c r="BX32" s="17">
        <v>1</v>
      </c>
      <c r="BY32" s="17">
        <v>2023</v>
      </c>
      <c r="BZ32" s="17">
        <v>2</v>
      </c>
      <c r="CA32" s="21">
        <v>45930</v>
      </c>
      <c r="CB32" s="17">
        <v>2025</v>
      </c>
      <c r="CC32" s="17">
        <v>10</v>
      </c>
      <c r="CD32" s="13" t="s">
        <v>1636</v>
      </c>
      <c r="CE32" s="13" t="s">
        <v>1637</v>
      </c>
      <c r="CF32" s="13" t="s">
        <v>1308</v>
      </c>
      <c r="CG32" s="13" t="s">
        <v>1638</v>
      </c>
      <c r="CH32" s="13" t="s">
        <v>1639</v>
      </c>
      <c r="CI32" s="13" t="s">
        <v>1640</v>
      </c>
      <c r="CJ32" s="13" t="s">
        <v>1641</v>
      </c>
      <c r="CK32" s="13" t="s">
        <v>1642</v>
      </c>
      <c r="CL32" s="13" t="s">
        <v>1643</v>
      </c>
      <c r="CM32" s="13" t="s">
        <v>1644</v>
      </c>
      <c r="CN32" s="13" t="s">
        <v>1645</v>
      </c>
      <c r="CO32" s="16"/>
      <c r="CP32" s="16"/>
    </row>
    <row r="33" spans="1:94" s="1" customFormat="1" ht="13" thickBot="1" x14ac:dyDescent="0.3">
      <c r="A33" s="13" t="s">
        <v>1882</v>
      </c>
      <c r="B33" s="16"/>
      <c r="C33" s="16"/>
      <c r="D33" s="13" t="s">
        <v>1616</v>
      </c>
      <c r="E33" s="13" t="s">
        <v>1670</v>
      </c>
      <c r="F33" s="13" t="s">
        <v>1618</v>
      </c>
      <c r="G33" s="13" t="s">
        <v>1619</v>
      </c>
      <c r="H33" s="17">
        <v>66</v>
      </c>
      <c r="I33" s="16"/>
      <c r="J33" s="16"/>
      <c r="K33" s="13" t="s">
        <v>1661</v>
      </c>
      <c r="L33" s="13" t="s">
        <v>1308</v>
      </c>
      <c r="M33" s="13" t="s">
        <v>1883</v>
      </c>
      <c r="N33" s="13" t="s">
        <v>1884</v>
      </c>
      <c r="O33" s="13" t="s">
        <v>110</v>
      </c>
      <c r="P33" s="13" t="s">
        <v>1885</v>
      </c>
      <c r="Q33" s="13" t="s">
        <v>1623</v>
      </c>
      <c r="R33" s="16"/>
      <c r="S33" s="16"/>
      <c r="T33" s="16"/>
      <c r="U33" s="13" t="s">
        <v>1772</v>
      </c>
      <c r="V33" s="13" t="s">
        <v>1773</v>
      </c>
      <c r="W33" s="13" t="s">
        <v>1883</v>
      </c>
      <c r="X33" s="13" t="s">
        <v>110</v>
      </c>
      <c r="Y33" s="13" t="s">
        <v>1619</v>
      </c>
      <c r="Z33" s="13" t="s">
        <v>1883</v>
      </c>
      <c r="AA33" s="13" t="s">
        <v>110</v>
      </c>
      <c r="AB33" s="16"/>
      <c r="AC33" s="13" t="s">
        <v>110</v>
      </c>
      <c r="AD33" s="13" t="s">
        <v>1627</v>
      </c>
      <c r="AE33" s="13" t="s">
        <v>1628</v>
      </c>
      <c r="AF33" s="13" t="s">
        <v>1629</v>
      </c>
      <c r="AG33" s="13" t="s">
        <v>1886</v>
      </c>
      <c r="AH33" s="13" t="s">
        <v>1776</v>
      </c>
      <c r="AI33" s="13" t="s">
        <v>1777</v>
      </c>
      <c r="AJ33" s="13" t="s">
        <v>1633</v>
      </c>
      <c r="AK33" s="13" t="s">
        <v>42</v>
      </c>
      <c r="AL33" s="13" t="s">
        <v>43</v>
      </c>
      <c r="AM33" s="13" t="s">
        <v>1634</v>
      </c>
      <c r="AN33" s="13" t="s">
        <v>1303</v>
      </c>
      <c r="AO33" s="13" t="s">
        <v>1304</v>
      </c>
      <c r="AP33" s="13" t="s">
        <v>1635</v>
      </c>
      <c r="AQ33" s="16"/>
      <c r="AR33" s="13" t="s">
        <v>1308</v>
      </c>
      <c r="AS33" s="15">
        <v>1</v>
      </c>
      <c r="AT33" s="14">
        <v>0</v>
      </c>
      <c r="AU33" s="14">
        <v>0</v>
      </c>
      <c r="AV33" s="14">
        <v>0</v>
      </c>
      <c r="AW33" s="14">
        <v>0</v>
      </c>
      <c r="AX33" s="14">
        <v>1849</v>
      </c>
      <c r="AY33" s="14">
        <v>1849</v>
      </c>
      <c r="AZ33" s="15">
        <v>22188</v>
      </c>
      <c r="BA33" s="15">
        <v>4</v>
      </c>
      <c r="BB33" s="21">
        <v>45526.544722220002</v>
      </c>
      <c r="BC33" s="21">
        <v>45525</v>
      </c>
      <c r="BD33" s="17">
        <v>2024</v>
      </c>
      <c r="BE33" s="17">
        <v>8</v>
      </c>
      <c r="BF33" s="21">
        <v>45526</v>
      </c>
      <c r="BG33" s="17">
        <v>2024</v>
      </c>
      <c r="BH33" s="17">
        <v>8</v>
      </c>
      <c r="BI33" s="13" t="s">
        <v>1308</v>
      </c>
      <c r="BJ33" s="16"/>
      <c r="BK33" s="16"/>
      <c r="BL33" s="16"/>
      <c r="BM33" s="16"/>
      <c r="BN33" s="16"/>
      <c r="BO33" s="16"/>
      <c r="BP33" s="16"/>
      <c r="BQ33" s="16"/>
      <c r="BR33" s="16"/>
      <c r="BS33" s="16"/>
      <c r="BT33" s="16"/>
      <c r="BU33" s="16"/>
      <c r="BV33" s="16"/>
      <c r="BW33" s="16"/>
      <c r="BX33" s="16"/>
      <c r="BY33" s="16"/>
      <c r="BZ33" s="16"/>
      <c r="CA33" s="16"/>
      <c r="CB33" s="16"/>
      <c r="CC33" s="16"/>
      <c r="CD33" s="13" t="s">
        <v>1738</v>
      </c>
      <c r="CE33" s="13" t="s">
        <v>1739</v>
      </c>
      <c r="CF33" s="13" t="s">
        <v>1661</v>
      </c>
      <c r="CG33" s="13" t="s">
        <v>1740</v>
      </c>
      <c r="CH33" s="13" t="s">
        <v>1741</v>
      </c>
      <c r="CI33" s="13" t="s">
        <v>1742</v>
      </c>
      <c r="CJ33" s="13" t="s">
        <v>1743</v>
      </c>
      <c r="CK33" s="13" t="s">
        <v>1887</v>
      </c>
      <c r="CL33" s="13" t="s">
        <v>1888</v>
      </c>
      <c r="CM33" s="13" t="s">
        <v>1744</v>
      </c>
      <c r="CN33" s="16"/>
      <c r="CO33" s="16"/>
      <c r="CP33" s="16"/>
    </row>
    <row r="34" spans="1:94" s="1" customFormat="1" ht="13" thickBot="1" x14ac:dyDescent="0.3">
      <c r="A34" s="13" t="s">
        <v>1889</v>
      </c>
      <c r="B34" s="13" t="s">
        <v>48</v>
      </c>
      <c r="C34" s="13" t="s">
        <v>49</v>
      </c>
      <c r="D34" s="13" t="s">
        <v>1616</v>
      </c>
      <c r="E34" s="13" t="s">
        <v>1617</v>
      </c>
      <c r="F34" s="13" t="s">
        <v>1618</v>
      </c>
      <c r="G34" s="13" t="s">
        <v>1619</v>
      </c>
      <c r="H34" s="17">
        <v>24</v>
      </c>
      <c r="I34" s="16"/>
      <c r="J34" s="13" t="s">
        <v>46</v>
      </c>
      <c r="K34" s="13" t="s">
        <v>1661</v>
      </c>
      <c r="L34" s="13" t="s">
        <v>1308</v>
      </c>
      <c r="M34" s="13" t="s">
        <v>46</v>
      </c>
      <c r="N34" s="13" t="s">
        <v>1662</v>
      </c>
      <c r="O34" s="13" t="s">
        <v>47</v>
      </c>
      <c r="P34" s="13" t="s">
        <v>1673</v>
      </c>
      <c r="Q34" s="13" t="s">
        <v>1649</v>
      </c>
      <c r="R34" s="16"/>
      <c r="S34" s="13" t="s">
        <v>1663</v>
      </c>
      <c r="T34" s="16"/>
      <c r="U34" s="13" t="s">
        <v>1664</v>
      </c>
      <c r="V34" s="13" t="s">
        <v>47</v>
      </c>
      <c r="W34" s="13" t="s">
        <v>1665</v>
      </c>
      <c r="X34" s="13" t="s">
        <v>47</v>
      </c>
      <c r="Y34" s="13" t="s">
        <v>1619</v>
      </c>
      <c r="Z34" s="13" t="s">
        <v>46</v>
      </c>
      <c r="AA34" s="13" t="s">
        <v>47</v>
      </c>
      <c r="AB34" s="16"/>
      <c r="AC34" s="13" t="s">
        <v>47</v>
      </c>
      <c r="AD34" s="13" t="s">
        <v>1627</v>
      </c>
      <c r="AE34" s="13" t="s">
        <v>1628</v>
      </c>
      <c r="AF34" s="13" t="s">
        <v>1629</v>
      </c>
      <c r="AG34" s="13" t="s">
        <v>1666</v>
      </c>
      <c r="AH34" s="13" t="s">
        <v>1631</v>
      </c>
      <c r="AI34" s="13" t="s">
        <v>1632</v>
      </c>
      <c r="AJ34" s="13" t="s">
        <v>1633</v>
      </c>
      <c r="AK34" s="13" t="s">
        <v>67</v>
      </c>
      <c r="AL34" s="13" t="s">
        <v>68</v>
      </c>
      <c r="AM34" s="13" t="s">
        <v>1634</v>
      </c>
      <c r="AN34" s="13" t="s">
        <v>1303</v>
      </c>
      <c r="AO34" s="13" t="s">
        <v>1304</v>
      </c>
      <c r="AP34" s="13" t="s">
        <v>1635</v>
      </c>
      <c r="AQ34" s="16"/>
      <c r="AR34" s="13" t="s">
        <v>1308</v>
      </c>
      <c r="AS34" s="15">
        <v>1</v>
      </c>
      <c r="AT34" s="14">
        <v>0</v>
      </c>
      <c r="AU34" s="14">
        <v>0</v>
      </c>
      <c r="AV34" s="14">
        <v>0</v>
      </c>
      <c r="AW34" s="14">
        <v>0</v>
      </c>
      <c r="AX34" s="14">
        <v>599</v>
      </c>
      <c r="AY34" s="14">
        <v>599</v>
      </c>
      <c r="AZ34" s="22">
        <v>4519.2</v>
      </c>
      <c r="BA34" s="15">
        <v>0</v>
      </c>
      <c r="BB34" s="21">
        <v>45980</v>
      </c>
      <c r="BC34" s="21">
        <v>45931</v>
      </c>
      <c r="BD34" s="17">
        <v>2025</v>
      </c>
      <c r="BE34" s="17">
        <v>9</v>
      </c>
      <c r="BF34" s="16"/>
      <c r="BG34" s="16"/>
      <c r="BH34" s="16"/>
      <c r="BI34" s="13" t="s">
        <v>1308</v>
      </c>
      <c r="BJ34" s="16"/>
      <c r="BK34" s="16"/>
      <c r="BL34" s="16"/>
      <c r="BM34" s="16"/>
      <c r="BN34" s="16"/>
      <c r="BO34" s="16"/>
      <c r="BP34" s="16"/>
      <c r="BQ34" s="21">
        <v>45980</v>
      </c>
      <c r="BR34" s="17">
        <v>2025</v>
      </c>
      <c r="BS34" s="17">
        <v>11</v>
      </c>
      <c r="BT34" s="17">
        <v>2026</v>
      </c>
      <c r="BU34" s="17">
        <v>12</v>
      </c>
      <c r="BV34" s="21">
        <v>45980</v>
      </c>
      <c r="BW34" s="17">
        <v>2025</v>
      </c>
      <c r="BX34" s="17">
        <v>11</v>
      </c>
      <c r="BY34" s="17">
        <v>2025</v>
      </c>
      <c r="BZ34" s="17">
        <v>12</v>
      </c>
      <c r="CA34" s="16"/>
      <c r="CB34" s="16"/>
      <c r="CC34" s="16"/>
      <c r="CD34" s="16"/>
      <c r="CE34" s="16"/>
      <c r="CF34" s="16"/>
      <c r="CG34" s="16"/>
      <c r="CH34" s="16"/>
      <c r="CI34" s="16"/>
      <c r="CJ34" s="16"/>
      <c r="CK34" s="16"/>
      <c r="CL34" s="16"/>
      <c r="CM34" s="16"/>
      <c r="CN34" s="16"/>
      <c r="CO34" s="16"/>
      <c r="CP34" s="16"/>
    </row>
    <row r="35" spans="1:94" s="1" customFormat="1" ht="13" thickBot="1" x14ac:dyDescent="0.3">
      <c r="A35" s="13" t="s">
        <v>1890</v>
      </c>
      <c r="B35" s="16"/>
      <c r="C35" s="16"/>
      <c r="D35" s="13" t="s">
        <v>1699</v>
      </c>
      <c r="E35" s="13" t="s">
        <v>1700</v>
      </c>
      <c r="F35" s="13" t="s">
        <v>1699</v>
      </c>
      <c r="G35" s="13" t="s">
        <v>1701</v>
      </c>
      <c r="H35" s="17">
        <v>1</v>
      </c>
      <c r="I35" s="16"/>
      <c r="J35" s="16"/>
      <c r="K35" s="13" t="s">
        <v>1308</v>
      </c>
      <c r="L35" s="13" t="s">
        <v>1308</v>
      </c>
      <c r="M35" s="13" t="s">
        <v>1891</v>
      </c>
      <c r="N35" s="13" t="s">
        <v>1892</v>
      </c>
      <c r="O35" s="13" t="s">
        <v>79</v>
      </c>
      <c r="P35" s="13" t="s">
        <v>976</v>
      </c>
      <c r="Q35" s="13" t="s">
        <v>1623</v>
      </c>
      <c r="R35" s="16"/>
      <c r="S35" s="16"/>
      <c r="T35" s="16"/>
      <c r="U35" s="13" t="s">
        <v>1893</v>
      </c>
      <c r="V35" s="13" t="s">
        <v>79</v>
      </c>
      <c r="W35" s="13" t="s">
        <v>1894</v>
      </c>
      <c r="X35" s="13" t="s">
        <v>79</v>
      </c>
      <c r="Y35" s="13" t="s">
        <v>1701</v>
      </c>
      <c r="Z35" s="13" t="s">
        <v>1891</v>
      </c>
      <c r="AA35" s="13" t="s">
        <v>79</v>
      </c>
      <c r="AB35" s="16"/>
      <c r="AC35" s="13" t="s">
        <v>79</v>
      </c>
      <c r="AD35" s="13" t="s">
        <v>1678</v>
      </c>
      <c r="AE35" s="13" t="s">
        <v>1679</v>
      </c>
      <c r="AF35" s="13" t="s">
        <v>1629</v>
      </c>
      <c r="AG35" s="13" t="s">
        <v>1895</v>
      </c>
      <c r="AH35" s="13" t="s">
        <v>1896</v>
      </c>
      <c r="AI35" s="13" t="s">
        <v>1897</v>
      </c>
      <c r="AJ35" s="13" t="s">
        <v>1633</v>
      </c>
      <c r="AK35" s="13" t="s">
        <v>1329</v>
      </c>
      <c r="AL35" s="13" t="s">
        <v>1330</v>
      </c>
      <c r="AM35" s="13" t="s">
        <v>1634</v>
      </c>
      <c r="AN35" s="13" t="s">
        <v>1303</v>
      </c>
      <c r="AO35" s="13" t="s">
        <v>1304</v>
      </c>
      <c r="AP35" s="13" t="s">
        <v>1635</v>
      </c>
      <c r="AQ35" s="16"/>
      <c r="AR35" s="13" t="s">
        <v>1308</v>
      </c>
      <c r="AS35" s="15">
        <v>1</v>
      </c>
      <c r="AT35" s="14">
        <v>0</v>
      </c>
      <c r="AU35" s="14">
        <v>0</v>
      </c>
      <c r="AV35" s="14">
        <v>0</v>
      </c>
      <c r="AW35" s="14">
        <v>0</v>
      </c>
      <c r="AX35" s="14">
        <v>100</v>
      </c>
      <c r="AY35" s="14">
        <v>70</v>
      </c>
      <c r="AZ35" s="15">
        <v>0</v>
      </c>
      <c r="BA35" s="15">
        <v>0</v>
      </c>
      <c r="BB35" s="21">
        <v>45036</v>
      </c>
      <c r="BC35" s="21">
        <v>43848</v>
      </c>
      <c r="BD35" s="17">
        <v>2020</v>
      </c>
      <c r="BE35" s="17">
        <v>7</v>
      </c>
      <c r="BF35" s="16"/>
      <c r="BG35" s="16"/>
      <c r="BH35" s="16"/>
      <c r="BI35" s="13" t="s">
        <v>1308</v>
      </c>
      <c r="BJ35" s="16"/>
      <c r="BK35" s="16"/>
      <c r="BL35" s="16"/>
      <c r="BM35" s="16"/>
      <c r="BN35" s="16"/>
      <c r="BO35" s="16"/>
      <c r="BP35" s="16"/>
      <c r="BQ35" s="21">
        <v>43862</v>
      </c>
      <c r="BR35" s="17">
        <v>2020</v>
      </c>
      <c r="BS35" s="17">
        <v>7</v>
      </c>
      <c r="BT35" s="17">
        <v>2026</v>
      </c>
      <c r="BU35" s="17">
        <v>8</v>
      </c>
      <c r="BV35" s="16"/>
      <c r="BW35" s="16"/>
      <c r="BX35" s="16"/>
      <c r="BY35" s="16"/>
      <c r="BZ35" s="16"/>
      <c r="CA35" s="21">
        <v>45036</v>
      </c>
      <c r="CB35" s="17">
        <v>2023</v>
      </c>
      <c r="CC35" s="17">
        <v>4</v>
      </c>
      <c r="CD35" s="13" t="s">
        <v>1795</v>
      </c>
      <c r="CE35" s="13" t="s">
        <v>1796</v>
      </c>
      <c r="CF35" s="13" t="s">
        <v>1308</v>
      </c>
      <c r="CG35" s="13" t="s">
        <v>1731</v>
      </c>
      <c r="CH35" s="13" t="s">
        <v>1732</v>
      </c>
      <c r="CI35" s="13" t="s">
        <v>1733</v>
      </c>
      <c r="CJ35" s="13" t="s">
        <v>1734</v>
      </c>
      <c r="CK35" s="13" t="s">
        <v>1735</v>
      </c>
      <c r="CL35" s="13" t="s">
        <v>1736</v>
      </c>
      <c r="CM35" s="13" t="s">
        <v>1744</v>
      </c>
      <c r="CN35" s="16"/>
      <c r="CO35" s="16"/>
      <c r="CP35" s="16"/>
    </row>
    <row r="36" spans="1:94" s="1" customFormat="1" ht="13" thickBot="1" x14ac:dyDescent="0.3">
      <c r="A36" s="13" t="s">
        <v>1898</v>
      </c>
      <c r="B36" s="16"/>
      <c r="C36" s="16"/>
      <c r="D36" s="13" t="s">
        <v>1616</v>
      </c>
      <c r="E36" s="13" t="s">
        <v>1756</v>
      </c>
      <c r="F36" s="13" t="s">
        <v>1618</v>
      </c>
      <c r="G36" s="13" t="s">
        <v>1619</v>
      </c>
      <c r="H36" s="17">
        <v>12</v>
      </c>
      <c r="I36" s="16"/>
      <c r="J36" s="16"/>
      <c r="K36" s="13" t="s">
        <v>1308</v>
      </c>
      <c r="L36" s="13" t="s">
        <v>1308</v>
      </c>
      <c r="M36" s="13" t="s">
        <v>1899</v>
      </c>
      <c r="N36" s="13" t="s">
        <v>1900</v>
      </c>
      <c r="O36" s="13" t="s">
        <v>121</v>
      </c>
      <c r="P36" s="13" t="s">
        <v>976</v>
      </c>
      <c r="Q36" s="13" t="s">
        <v>1623</v>
      </c>
      <c r="R36" s="13" t="s">
        <v>1901</v>
      </c>
      <c r="S36" s="16"/>
      <c r="T36" s="16"/>
      <c r="U36" s="13" t="s">
        <v>1825</v>
      </c>
      <c r="V36" s="13" t="s">
        <v>1826</v>
      </c>
      <c r="W36" s="13" t="s">
        <v>1902</v>
      </c>
      <c r="X36" s="13" t="s">
        <v>121</v>
      </c>
      <c r="Y36" s="13" t="s">
        <v>1619</v>
      </c>
      <c r="Z36" s="13" t="s">
        <v>1828</v>
      </c>
      <c r="AA36" s="13" t="s">
        <v>1829</v>
      </c>
      <c r="AB36" s="16"/>
      <c r="AC36" s="13" t="s">
        <v>121</v>
      </c>
      <c r="AD36" s="13" t="s">
        <v>1678</v>
      </c>
      <c r="AE36" s="13" t="s">
        <v>1679</v>
      </c>
      <c r="AF36" s="13" t="s">
        <v>1629</v>
      </c>
      <c r="AG36" s="13" t="s">
        <v>1903</v>
      </c>
      <c r="AH36" s="13" t="s">
        <v>1904</v>
      </c>
      <c r="AI36" s="13" t="s">
        <v>1682</v>
      </c>
      <c r="AJ36" s="13" t="s">
        <v>1633</v>
      </c>
      <c r="AK36" s="13" t="s">
        <v>97</v>
      </c>
      <c r="AL36" s="13" t="s">
        <v>98</v>
      </c>
      <c r="AM36" s="13" t="s">
        <v>1634</v>
      </c>
      <c r="AN36" s="13" t="s">
        <v>1303</v>
      </c>
      <c r="AO36" s="13" t="s">
        <v>1304</v>
      </c>
      <c r="AP36" s="13" t="s">
        <v>1635</v>
      </c>
      <c r="AQ36" s="16"/>
      <c r="AR36" s="13" t="s">
        <v>1308</v>
      </c>
      <c r="AS36" s="15">
        <v>1</v>
      </c>
      <c r="AT36" s="14">
        <v>0</v>
      </c>
      <c r="AU36" s="14">
        <v>0</v>
      </c>
      <c r="AV36" s="14">
        <v>0</v>
      </c>
      <c r="AW36" s="14">
        <v>0</v>
      </c>
      <c r="AX36" s="14">
        <v>1499</v>
      </c>
      <c r="AY36" s="14">
        <v>1499</v>
      </c>
      <c r="AZ36" s="15">
        <v>17988</v>
      </c>
      <c r="BA36" s="15">
        <v>0</v>
      </c>
      <c r="BB36" s="21">
        <v>45714</v>
      </c>
      <c r="BC36" s="21">
        <v>44377</v>
      </c>
      <c r="BD36" s="17">
        <v>2021</v>
      </c>
      <c r="BE36" s="17">
        <v>12</v>
      </c>
      <c r="BF36" s="16"/>
      <c r="BG36" s="16"/>
      <c r="BH36" s="16"/>
      <c r="BI36" s="13" t="s">
        <v>1308</v>
      </c>
      <c r="BJ36" s="16"/>
      <c r="BK36" s="16"/>
      <c r="BL36" s="16"/>
      <c r="BM36" s="16"/>
      <c r="BN36" s="16"/>
      <c r="BO36" s="16"/>
      <c r="BP36" s="16"/>
      <c r="BQ36" s="21">
        <v>44461</v>
      </c>
      <c r="BR36" s="17">
        <v>2022</v>
      </c>
      <c r="BS36" s="17">
        <v>3</v>
      </c>
      <c r="BT36" s="17">
        <v>2026</v>
      </c>
      <c r="BU36" s="17">
        <v>4</v>
      </c>
      <c r="BV36" s="21">
        <v>44456</v>
      </c>
      <c r="BW36" s="17">
        <v>2022</v>
      </c>
      <c r="BX36" s="17">
        <v>3</v>
      </c>
      <c r="BY36" s="17">
        <v>2022</v>
      </c>
      <c r="BZ36" s="17">
        <v>4</v>
      </c>
      <c r="CA36" s="21">
        <v>45713</v>
      </c>
      <c r="CB36" s="17">
        <v>2025</v>
      </c>
      <c r="CC36" s="17">
        <v>2</v>
      </c>
      <c r="CD36" s="13" t="s">
        <v>1636</v>
      </c>
      <c r="CE36" s="13" t="s">
        <v>1637</v>
      </c>
      <c r="CF36" s="13" t="s">
        <v>1308</v>
      </c>
      <c r="CG36" s="13" t="s">
        <v>1638</v>
      </c>
      <c r="CH36" s="13" t="s">
        <v>1639</v>
      </c>
      <c r="CI36" s="13" t="s">
        <v>1640</v>
      </c>
      <c r="CJ36" s="13" t="s">
        <v>1641</v>
      </c>
      <c r="CK36" s="13" t="s">
        <v>1642</v>
      </c>
      <c r="CL36" s="13" t="s">
        <v>1643</v>
      </c>
      <c r="CM36" s="13" t="s">
        <v>1644</v>
      </c>
      <c r="CN36" s="13" t="s">
        <v>1645</v>
      </c>
      <c r="CO36" s="16"/>
      <c r="CP36" s="16"/>
    </row>
    <row r="37" spans="1:94" s="1" customFormat="1" ht="13" thickBot="1" x14ac:dyDescent="0.3">
      <c r="A37" s="13" t="s">
        <v>1905</v>
      </c>
      <c r="B37" s="13" t="s">
        <v>48</v>
      </c>
      <c r="C37" s="13" t="s">
        <v>49</v>
      </c>
      <c r="D37" s="13" t="s">
        <v>1616</v>
      </c>
      <c r="E37" s="13" t="s">
        <v>1801</v>
      </c>
      <c r="F37" s="13" t="s">
        <v>1906</v>
      </c>
      <c r="G37" s="13" t="s">
        <v>1907</v>
      </c>
      <c r="H37" s="17">
        <v>60</v>
      </c>
      <c r="I37" s="16"/>
      <c r="J37" s="16"/>
      <c r="K37" s="13" t="s">
        <v>1308</v>
      </c>
      <c r="L37" s="13" t="s">
        <v>1308</v>
      </c>
      <c r="M37" s="13" t="s">
        <v>1908</v>
      </c>
      <c r="N37" s="13" t="s">
        <v>1909</v>
      </c>
      <c r="O37" s="13" t="s">
        <v>91</v>
      </c>
      <c r="P37" s="13" t="s">
        <v>976</v>
      </c>
      <c r="Q37" s="13" t="s">
        <v>1737</v>
      </c>
      <c r="R37" s="16"/>
      <c r="S37" s="13" t="s">
        <v>1910</v>
      </c>
      <c r="T37" s="16"/>
      <c r="U37" s="13" t="s">
        <v>1911</v>
      </c>
      <c r="V37" s="13" t="s">
        <v>1912</v>
      </c>
      <c r="W37" s="13" t="s">
        <v>1913</v>
      </c>
      <c r="X37" s="13" t="s">
        <v>1912</v>
      </c>
      <c r="Y37" s="13" t="s">
        <v>1907</v>
      </c>
      <c r="Z37" s="13" t="s">
        <v>1908</v>
      </c>
      <c r="AA37" s="13" t="s">
        <v>91</v>
      </c>
      <c r="AB37" s="16"/>
      <c r="AC37" s="13" t="s">
        <v>91</v>
      </c>
      <c r="AD37" s="13" t="s">
        <v>1678</v>
      </c>
      <c r="AE37" s="13" t="s">
        <v>1679</v>
      </c>
      <c r="AF37" s="13" t="s">
        <v>1629</v>
      </c>
      <c r="AG37" s="13" t="s">
        <v>1914</v>
      </c>
      <c r="AH37" s="13" t="s">
        <v>1915</v>
      </c>
      <c r="AI37" s="13" t="s">
        <v>1916</v>
      </c>
      <c r="AJ37" s="13" t="s">
        <v>1633</v>
      </c>
      <c r="AK37" s="13" t="s">
        <v>48</v>
      </c>
      <c r="AL37" s="13" t="s">
        <v>49</v>
      </c>
      <c r="AM37" s="13" t="s">
        <v>1634</v>
      </c>
      <c r="AN37" s="13" t="s">
        <v>1303</v>
      </c>
      <c r="AO37" s="13" t="s">
        <v>1304</v>
      </c>
      <c r="AP37" s="13" t="s">
        <v>1635</v>
      </c>
      <c r="AQ37" s="16"/>
      <c r="AR37" s="13" t="s">
        <v>1308</v>
      </c>
      <c r="AS37" s="15">
        <v>1</v>
      </c>
      <c r="AT37" s="14">
        <v>0</v>
      </c>
      <c r="AU37" s="14">
        <v>0</v>
      </c>
      <c r="AV37" s="14">
        <v>0</v>
      </c>
      <c r="AW37" s="14">
        <v>0</v>
      </c>
      <c r="AX37" s="14">
        <v>299</v>
      </c>
      <c r="AY37" s="14">
        <v>262</v>
      </c>
      <c r="AZ37" s="15">
        <v>0</v>
      </c>
      <c r="BA37" s="15">
        <v>0</v>
      </c>
      <c r="BB37" s="21">
        <v>45881</v>
      </c>
      <c r="BC37" s="21">
        <v>44524</v>
      </c>
      <c r="BD37" s="17">
        <v>2022</v>
      </c>
      <c r="BE37" s="17">
        <v>5</v>
      </c>
      <c r="BF37" s="16"/>
      <c r="BG37" s="16"/>
      <c r="BH37" s="16"/>
      <c r="BI37" s="13" t="s">
        <v>1308</v>
      </c>
      <c r="BJ37" s="16"/>
      <c r="BK37" s="16"/>
      <c r="BL37" s="16"/>
      <c r="BM37" s="16"/>
      <c r="BN37" s="16"/>
      <c r="BO37" s="16"/>
      <c r="BP37" s="16"/>
      <c r="BQ37" s="21">
        <v>44531</v>
      </c>
      <c r="BR37" s="17">
        <v>2022</v>
      </c>
      <c r="BS37" s="17">
        <v>5</v>
      </c>
      <c r="BT37" s="17">
        <v>2026</v>
      </c>
      <c r="BU37" s="17">
        <v>6</v>
      </c>
      <c r="BV37" s="21">
        <v>44531</v>
      </c>
      <c r="BW37" s="17">
        <v>2022</v>
      </c>
      <c r="BX37" s="17">
        <v>5</v>
      </c>
      <c r="BY37" s="17">
        <v>2022</v>
      </c>
      <c r="BZ37" s="17">
        <v>6</v>
      </c>
      <c r="CA37" s="21">
        <v>45869</v>
      </c>
      <c r="CB37" s="17">
        <v>2025</v>
      </c>
      <c r="CC37" s="17">
        <v>8</v>
      </c>
      <c r="CD37" s="13" t="s">
        <v>1778</v>
      </c>
      <c r="CE37" s="13" t="s">
        <v>1639</v>
      </c>
      <c r="CF37" s="13" t="s">
        <v>1308</v>
      </c>
      <c r="CG37" s="13" t="s">
        <v>1638</v>
      </c>
      <c r="CH37" s="13" t="s">
        <v>1639</v>
      </c>
      <c r="CI37" s="13" t="s">
        <v>1640</v>
      </c>
      <c r="CJ37" s="13" t="s">
        <v>1641</v>
      </c>
      <c r="CK37" s="13" t="s">
        <v>1735</v>
      </c>
      <c r="CL37" s="13" t="s">
        <v>1736</v>
      </c>
      <c r="CM37" s="13" t="s">
        <v>1644</v>
      </c>
      <c r="CN37" s="13" t="s">
        <v>1645</v>
      </c>
      <c r="CO37" s="16"/>
      <c r="CP37" s="16"/>
    </row>
    <row r="38" spans="1:94" s="1" customFormat="1" ht="13" thickBot="1" x14ac:dyDescent="0.3">
      <c r="A38" s="13" t="s">
        <v>1917</v>
      </c>
      <c r="B38" s="16"/>
      <c r="C38" s="16"/>
      <c r="D38" s="13" t="s">
        <v>1616</v>
      </c>
      <c r="E38" s="13" t="s">
        <v>1670</v>
      </c>
      <c r="F38" s="13" t="s">
        <v>1618</v>
      </c>
      <c r="G38" s="13" t="s">
        <v>1619</v>
      </c>
      <c r="H38" s="17">
        <v>1</v>
      </c>
      <c r="I38" s="16"/>
      <c r="J38" s="16"/>
      <c r="K38" s="13" t="s">
        <v>1308</v>
      </c>
      <c r="L38" s="13" t="s">
        <v>1308</v>
      </c>
      <c r="M38" s="13" t="s">
        <v>1918</v>
      </c>
      <c r="N38" s="13" t="s">
        <v>1919</v>
      </c>
      <c r="O38" s="13" t="s">
        <v>339</v>
      </c>
      <c r="P38" s="13" t="s">
        <v>976</v>
      </c>
      <c r="Q38" s="13" t="s">
        <v>1623</v>
      </c>
      <c r="R38" s="16"/>
      <c r="S38" s="16"/>
      <c r="T38" s="16"/>
      <c r="U38" s="13" t="s">
        <v>1920</v>
      </c>
      <c r="V38" s="13" t="s">
        <v>1921</v>
      </c>
      <c r="W38" s="13" t="s">
        <v>1922</v>
      </c>
      <c r="X38" s="13" t="s">
        <v>339</v>
      </c>
      <c r="Y38" s="13" t="s">
        <v>1619</v>
      </c>
      <c r="Z38" s="13" t="s">
        <v>1918</v>
      </c>
      <c r="AA38" s="13" t="s">
        <v>339</v>
      </c>
      <c r="AB38" s="16"/>
      <c r="AC38" s="13" t="s">
        <v>339</v>
      </c>
      <c r="AD38" s="13" t="s">
        <v>1627</v>
      </c>
      <c r="AE38" s="13" t="s">
        <v>1628</v>
      </c>
      <c r="AF38" s="13" t="s">
        <v>1629</v>
      </c>
      <c r="AG38" s="13" t="s">
        <v>1923</v>
      </c>
      <c r="AH38" s="13" t="s">
        <v>1924</v>
      </c>
      <c r="AI38" s="13" t="s">
        <v>1765</v>
      </c>
      <c r="AJ38" s="13" t="s">
        <v>1633</v>
      </c>
      <c r="AK38" s="13" t="s">
        <v>35</v>
      </c>
      <c r="AL38" s="13" t="s">
        <v>36</v>
      </c>
      <c r="AM38" s="13" t="s">
        <v>1634</v>
      </c>
      <c r="AN38" s="13" t="s">
        <v>1303</v>
      </c>
      <c r="AO38" s="13" t="s">
        <v>1304</v>
      </c>
      <c r="AP38" s="13" t="s">
        <v>1635</v>
      </c>
      <c r="AQ38" s="16"/>
      <c r="AR38" s="13" t="s">
        <v>1308</v>
      </c>
      <c r="AS38" s="15">
        <v>1</v>
      </c>
      <c r="AT38" s="14">
        <v>0</v>
      </c>
      <c r="AU38" s="14">
        <v>0</v>
      </c>
      <c r="AV38" s="14">
        <v>0</v>
      </c>
      <c r="AW38" s="14">
        <v>0</v>
      </c>
      <c r="AX38" s="14">
        <v>195</v>
      </c>
      <c r="AY38" s="14">
        <v>995</v>
      </c>
      <c r="AZ38" s="15">
        <v>0</v>
      </c>
      <c r="BA38" s="15">
        <v>0</v>
      </c>
      <c r="BB38" s="21">
        <v>44074</v>
      </c>
      <c r="BC38" s="21">
        <v>43849</v>
      </c>
      <c r="BD38" s="17">
        <v>2020</v>
      </c>
      <c r="BE38" s="17">
        <v>7</v>
      </c>
      <c r="BF38" s="16"/>
      <c r="BG38" s="16"/>
      <c r="BH38" s="16"/>
      <c r="BI38" s="13" t="s">
        <v>1308</v>
      </c>
      <c r="BJ38" s="16"/>
      <c r="BK38" s="16"/>
      <c r="BL38" s="16"/>
      <c r="BM38" s="16"/>
      <c r="BN38" s="16"/>
      <c r="BO38" s="16"/>
      <c r="BP38" s="16"/>
      <c r="BQ38" s="21">
        <v>43862</v>
      </c>
      <c r="BR38" s="17">
        <v>2020</v>
      </c>
      <c r="BS38" s="17">
        <v>7</v>
      </c>
      <c r="BT38" s="17">
        <v>2026</v>
      </c>
      <c r="BU38" s="17">
        <v>8</v>
      </c>
      <c r="BV38" s="16"/>
      <c r="BW38" s="16"/>
      <c r="BX38" s="16"/>
      <c r="BY38" s="16"/>
      <c r="BZ38" s="16"/>
      <c r="CA38" s="21">
        <v>44074</v>
      </c>
      <c r="CB38" s="17">
        <v>2021</v>
      </c>
      <c r="CC38" s="17">
        <v>2</v>
      </c>
      <c r="CD38" s="13" t="s">
        <v>1738</v>
      </c>
      <c r="CE38" s="13" t="s">
        <v>1739</v>
      </c>
      <c r="CF38" s="13" t="s">
        <v>1661</v>
      </c>
      <c r="CG38" s="13" t="s">
        <v>1740</v>
      </c>
      <c r="CH38" s="13" t="s">
        <v>1741</v>
      </c>
      <c r="CI38" s="13" t="s">
        <v>1742</v>
      </c>
      <c r="CJ38" s="13" t="s">
        <v>1743</v>
      </c>
      <c r="CK38" s="13" t="s">
        <v>1735</v>
      </c>
      <c r="CL38" s="13" t="s">
        <v>1736</v>
      </c>
      <c r="CM38" s="13" t="s">
        <v>1744</v>
      </c>
      <c r="CN38" s="16"/>
      <c r="CO38" s="16"/>
      <c r="CP38" s="16"/>
    </row>
    <row r="39" spans="1:94" s="1" customFormat="1" ht="13" thickBot="1" x14ac:dyDescent="0.3">
      <c r="A39" s="13" t="s">
        <v>1925</v>
      </c>
      <c r="B39" s="16"/>
      <c r="C39" s="16"/>
      <c r="D39" s="13" t="s">
        <v>1699</v>
      </c>
      <c r="E39" s="13" t="s">
        <v>1700</v>
      </c>
      <c r="F39" s="13" t="s">
        <v>1699</v>
      </c>
      <c r="G39" s="13" t="s">
        <v>1701</v>
      </c>
      <c r="H39" s="17">
        <v>1</v>
      </c>
      <c r="I39" s="16"/>
      <c r="J39" s="16"/>
      <c r="K39" s="13" t="s">
        <v>1308</v>
      </c>
      <c r="L39" s="13" t="s">
        <v>1308</v>
      </c>
      <c r="M39" s="13" t="s">
        <v>1891</v>
      </c>
      <c r="N39" s="13" t="s">
        <v>1892</v>
      </c>
      <c r="O39" s="13" t="s">
        <v>79</v>
      </c>
      <c r="P39" s="13" t="s">
        <v>976</v>
      </c>
      <c r="Q39" s="13" t="s">
        <v>1623</v>
      </c>
      <c r="R39" s="13" t="s">
        <v>1926</v>
      </c>
      <c r="S39" s="16"/>
      <c r="T39" s="16"/>
      <c r="U39" s="13" t="s">
        <v>1893</v>
      </c>
      <c r="V39" s="13" t="s">
        <v>79</v>
      </c>
      <c r="W39" s="13" t="s">
        <v>1894</v>
      </c>
      <c r="X39" s="13" t="s">
        <v>79</v>
      </c>
      <c r="Y39" s="13" t="s">
        <v>1701</v>
      </c>
      <c r="Z39" s="13" t="s">
        <v>1891</v>
      </c>
      <c r="AA39" s="13" t="s">
        <v>79</v>
      </c>
      <c r="AB39" s="16"/>
      <c r="AC39" s="13" t="s">
        <v>79</v>
      </c>
      <c r="AD39" s="13" t="s">
        <v>1678</v>
      </c>
      <c r="AE39" s="13" t="s">
        <v>1679</v>
      </c>
      <c r="AF39" s="13" t="s">
        <v>1629</v>
      </c>
      <c r="AG39" s="13" t="s">
        <v>1895</v>
      </c>
      <c r="AH39" s="13" t="s">
        <v>1896</v>
      </c>
      <c r="AI39" s="13" t="s">
        <v>1897</v>
      </c>
      <c r="AJ39" s="13" t="s">
        <v>1633</v>
      </c>
      <c r="AK39" s="13" t="s">
        <v>35</v>
      </c>
      <c r="AL39" s="13" t="s">
        <v>36</v>
      </c>
      <c r="AM39" s="13" t="s">
        <v>1634</v>
      </c>
      <c r="AN39" s="13" t="s">
        <v>1303</v>
      </c>
      <c r="AO39" s="13" t="s">
        <v>1304</v>
      </c>
      <c r="AP39" s="13" t="s">
        <v>1635</v>
      </c>
      <c r="AQ39" s="16"/>
      <c r="AR39" s="13" t="s">
        <v>1308</v>
      </c>
      <c r="AS39" s="15">
        <v>1</v>
      </c>
      <c r="AT39" s="14">
        <v>0</v>
      </c>
      <c r="AU39" s="14">
        <v>0</v>
      </c>
      <c r="AV39" s="14">
        <v>0</v>
      </c>
      <c r="AW39" s="14">
        <v>0</v>
      </c>
      <c r="AX39" s="14">
        <v>195</v>
      </c>
      <c r="AY39" s="14">
        <v>199</v>
      </c>
      <c r="AZ39" s="15">
        <v>0</v>
      </c>
      <c r="BA39" s="15">
        <v>0</v>
      </c>
      <c r="BB39" s="21">
        <v>45778</v>
      </c>
      <c r="BC39" s="21">
        <v>43848</v>
      </c>
      <c r="BD39" s="17">
        <v>2020</v>
      </c>
      <c r="BE39" s="17">
        <v>7</v>
      </c>
      <c r="BF39" s="16"/>
      <c r="BG39" s="16"/>
      <c r="BH39" s="16"/>
      <c r="BI39" s="13" t="s">
        <v>1308</v>
      </c>
      <c r="BJ39" s="16"/>
      <c r="BK39" s="16"/>
      <c r="BL39" s="16"/>
      <c r="BM39" s="16"/>
      <c r="BN39" s="16"/>
      <c r="BO39" s="16"/>
      <c r="BP39" s="16"/>
      <c r="BQ39" s="21">
        <v>43862</v>
      </c>
      <c r="BR39" s="17">
        <v>2020</v>
      </c>
      <c r="BS39" s="17">
        <v>7</v>
      </c>
      <c r="BT39" s="17">
        <v>2026</v>
      </c>
      <c r="BU39" s="17">
        <v>8</v>
      </c>
      <c r="BV39" s="16"/>
      <c r="BW39" s="16"/>
      <c r="BX39" s="16"/>
      <c r="BY39" s="16"/>
      <c r="BZ39" s="16"/>
      <c r="CA39" s="21">
        <v>45777</v>
      </c>
      <c r="CB39" s="17">
        <v>2025</v>
      </c>
      <c r="CC39" s="17">
        <v>4</v>
      </c>
      <c r="CD39" s="13" t="s">
        <v>1636</v>
      </c>
      <c r="CE39" s="13" t="s">
        <v>1637</v>
      </c>
      <c r="CF39" s="13" t="s">
        <v>1308</v>
      </c>
      <c r="CG39" s="13" t="s">
        <v>1638</v>
      </c>
      <c r="CH39" s="13" t="s">
        <v>1639</v>
      </c>
      <c r="CI39" s="13" t="s">
        <v>1640</v>
      </c>
      <c r="CJ39" s="13" t="s">
        <v>1641</v>
      </c>
      <c r="CK39" s="13" t="s">
        <v>1642</v>
      </c>
      <c r="CL39" s="13" t="s">
        <v>1643</v>
      </c>
      <c r="CM39" s="13" t="s">
        <v>1644</v>
      </c>
      <c r="CN39" s="13" t="s">
        <v>1645</v>
      </c>
      <c r="CO39" s="16"/>
      <c r="CP39" s="16"/>
    </row>
    <row r="40" spans="1:94" s="1" customFormat="1" ht="13" thickBot="1" x14ac:dyDescent="0.3">
      <c r="A40" s="13" t="s">
        <v>1927</v>
      </c>
      <c r="B40" s="16"/>
      <c r="C40" s="16"/>
      <c r="D40" s="13" t="s">
        <v>1616</v>
      </c>
      <c r="E40" s="13" t="s">
        <v>1756</v>
      </c>
      <c r="F40" s="13" t="s">
        <v>1618</v>
      </c>
      <c r="G40" s="13" t="s">
        <v>1619</v>
      </c>
      <c r="H40" s="17">
        <v>1</v>
      </c>
      <c r="I40" s="16"/>
      <c r="J40" s="16"/>
      <c r="K40" s="13" t="s">
        <v>1308</v>
      </c>
      <c r="L40" s="13" t="s">
        <v>1308</v>
      </c>
      <c r="M40" s="13" t="s">
        <v>1928</v>
      </c>
      <c r="N40" s="13" t="s">
        <v>1929</v>
      </c>
      <c r="O40" s="13" t="s">
        <v>106</v>
      </c>
      <c r="P40" s="13" t="s">
        <v>976</v>
      </c>
      <c r="Q40" s="13" t="s">
        <v>1623</v>
      </c>
      <c r="R40" s="16"/>
      <c r="S40" s="16"/>
      <c r="T40" s="16"/>
      <c r="U40" s="13" t="s">
        <v>1930</v>
      </c>
      <c r="V40" s="13" t="s">
        <v>1931</v>
      </c>
      <c r="W40" s="13" t="s">
        <v>1932</v>
      </c>
      <c r="X40" s="13" t="s">
        <v>1933</v>
      </c>
      <c r="Y40" s="13" t="s">
        <v>1619</v>
      </c>
      <c r="Z40" s="13" t="s">
        <v>1934</v>
      </c>
      <c r="AA40" s="13" t="s">
        <v>454</v>
      </c>
      <c r="AB40" s="16"/>
      <c r="AC40" s="13" t="s">
        <v>454</v>
      </c>
      <c r="AD40" s="13" t="s">
        <v>1678</v>
      </c>
      <c r="AE40" s="13" t="s">
        <v>1679</v>
      </c>
      <c r="AF40" s="13" t="s">
        <v>1629</v>
      </c>
      <c r="AG40" s="13" t="s">
        <v>1935</v>
      </c>
      <c r="AH40" s="13" t="s">
        <v>1936</v>
      </c>
      <c r="AI40" s="13" t="s">
        <v>1937</v>
      </c>
      <c r="AJ40" s="13" t="s">
        <v>1633</v>
      </c>
      <c r="AK40" s="13" t="s">
        <v>74</v>
      </c>
      <c r="AL40" s="13" t="s">
        <v>75</v>
      </c>
      <c r="AM40" s="13" t="s">
        <v>1634</v>
      </c>
      <c r="AN40" s="13" t="s">
        <v>1303</v>
      </c>
      <c r="AO40" s="13" t="s">
        <v>1304</v>
      </c>
      <c r="AP40" s="13" t="s">
        <v>1635</v>
      </c>
      <c r="AQ40" s="16"/>
      <c r="AR40" s="13" t="s">
        <v>1308</v>
      </c>
      <c r="AS40" s="15">
        <v>1</v>
      </c>
      <c r="AT40" s="14">
        <v>0</v>
      </c>
      <c r="AU40" s="14">
        <v>0</v>
      </c>
      <c r="AV40" s="14">
        <v>0</v>
      </c>
      <c r="AW40" s="14">
        <v>0</v>
      </c>
      <c r="AX40" s="14">
        <v>499</v>
      </c>
      <c r="AY40" s="14">
        <v>499</v>
      </c>
      <c r="AZ40" s="15">
        <v>2994</v>
      </c>
      <c r="BA40" s="15">
        <v>0</v>
      </c>
      <c r="BB40" s="21">
        <v>45420</v>
      </c>
      <c r="BC40" s="21">
        <v>43910</v>
      </c>
      <c r="BD40" s="17">
        <v>2020</v>
      </c>
      <c r="BE40" s="17">
        <v>9</v>
      </c>
      <c r="BF40" s="16"/>
      <c r="BG40" s="16"/>
      <c r="BH40" s="16"/>
      <c r="BI40" s="13" t="s">
        <v>1308</v>
      </c>
      <c r="BJ40" s="16"/>
      <c r="BK40" s="16"/>
      <c r="BL40" s="16"/>
      <c r="BM40" s="16"/>
      <c r="BN40" s="16"/>
      <c r="BO40" s="16"/>
      <c r="BP40" s="16"/>
      <c r="BQ40" s="21">
        <v>44082</v>
      </c>
      <c r="BR40" s="17">
        <v>2021</v>
      </c>
      <c r="BS40" s="17">
        <v>4</v>
      </c>
      <c r="BT40" s="17">
        <v>2026</v>
      </c>
      <c r="BU40" s="17">
        <v>3</v>
      </c>
      <c r="BV40" s="16"/>
      <c r="BW40" s="16"/>
      <c r="BX40" s="16"/>
      <c r="BY40" s="16"/>
      <c r="BZ40" s="16"/>
      <c r="CA40" s="21">
        <v>45412</v>
      </c>
      <c r="CB40" s="17">
        <v>2024</v>
      </c>
      <c r="CC40" s="17">
        <v>5</v>
      </c>
      <c r="CD40" s="13" t="s">
        <v>1795</v>
      </c>
      <c r="CE40" s="13" t="s">
        <v>1796</v>
      </c>
      <c r="CF40" s="13" t="s">
        <v>1308</v>
      </c>
      <c r="CG40" s="13" t="s">
        <v>1731</v>
      </c>
      <c r="CH40" s="13" t="s">
        <v>1732</v>
      </c>
      <c r="CI40" s="13" t="s">
        <v>1733</v>
      </c>
      <c r="CJ40" s="13" t="s">
        <v>1734</v>
      </c>
      <c r="CK40" s="13" t="s">
        <v>1735</v>
      </c>
      <c r="CL40" s="13" t="s">
        <v>1736</v>
      </c>
      <c r="CM40" s="13" t="s">
        <v>1744</v>
      </c>
      <c r="CN40" s="16"/>
      <c r="CO40" s="16"/>
      <c r="CP40" s="16"/>
    </row>
    <row r="41" spans="1:94" s="1" customFormat="1" ht="13" thickBot="1" x14ac:dyDescent="0.3">
      <c r="A41" s="13" t="s">
        <v>1651</v>
      </c>
      <c r="B41" s="13" t="s">
        <v>42</v>
      </c>
      <c r="C41" s="13" t="s">
        <v>43</v>
      </c>
      <c r="D41" s="13" t="s">
        <v>1616</v>
      </c>
      <c r="E41" s="13" t="s">
        <v>1617</v>
      </c>
      <c r="F41" s="13" t="s">
        <v>1618</v>
      </c>
      <c r="G41" s="13" t="s">
        <v>1619</v>
      </c>
      <c r="H41" s="17">
        <v>36</v>
      </c>
      <c r="I41" s="16"/>
      <c r="J41" s="16"/>
      <c r="K41" s="13" t="s">
        <v>1308</v>
      </c>
      <c r="L41" s="13" t="s">
        <v>1308</v>
      </c>
      <c r="M41" s="13" t="s">
        <v>1647</v>
      </c>
      <c r="N41" s="13" t="s">
        <v>1648</v>
      </c>
      <c r="O41" s="13" t="s">
        <v>52</v>
      </c>
      <c r="P41" s="13" t="s">
        <v>976</v>
      </c>
      <c r="Q41" s="13" t="s">
        <v>1737</v>
      </c>
      <c r="R41" s="13" t="s">
        <v>1646</v>
      </c>
      <c r="S41" s="13" t="s">
        <v>1938</v>
      </c>
      <c r="T41" s="16"/>
      <c r="U41" s="13" t="s">
        <v>1652</v>
      </c>
      <c r="V41" s="13" t="s">
        <v>1653</v>
      </c>
      <c r="W41" s="13" t="s">
        <v>1654</v>
      </c>
      <c r="X41" s="13" t="s">
        <v>1653</v>
      </c>
      <c r="Y41" s="13" t="s">
        <v>1619</v>
      </c>
      <c r="Z41" s="13" t="s">
        <v>1647</v>
      </c>
      <c r="AA41" s="13" t="s">
        <v>52</v>
      </c>
      <c r="AB41" s="16"/>
      <c r="AC41" s="13" t="s">
        <v>52</v>
      </c>
      <c r="AD41" s="13" t="s">
        <v>1627</v>
      </c>
      <c r="AE41" s="13" t="s">
        <v>1628</v>
      </c>
      <c r="AF41" s="13" t="s">
        <v>1629</v>
      </c>
      <c r="AG41" s="13" t="s">
        <v>1655</v>
      </c>
      <c r="AH41" s="13" t="s">
        <v>1656</v>
      </c>
      <c r="AI41" s="13" t="s">
        <v>1657</v>
      </c>
      <c r="AJ41" s="13" t="s">
        <v>1633</v>
      </c>
      <c r="AK41" s="13" t="s">
        <v>42</v>
      </c>
      <c r="AL41" s="13" t="s">
        <v>43</v>
      </c>
      <c r="AM41" s="13" t="s">
        <v>1634</v>
      </c>
      <c r="AN41" s="13" t="s">
        <v>1303</v>
      </c>
      <c r="AO41" s="13" t="s">
        <v>1304</v>
      </c>
      <c r="AP41" s="13" t="s">
        <v>1635</v>
      </c>
      <c r="AQ41" s="16"/>
      <c r="AR41" s="13" t="s">
        <v>1308</v>
      </c>
      <c r="AS41" s="15">
        <v>1</v>
      </c>
      <c r="AT41" s="14">
        <v>0</v>
      </c>
      <c r="AU41" s="14">
        <v>0</v>
      </c>
      <c r="AV41" s="14">
        <v>0</v>
      </c>
      <c r="AW41" s="14">
        <v>0</v>
      </c>
      <c r="AX41" s="14">
        <v>1849</v>
      </c>
      <c r="AY41" s="14">
        <v>1849</v>
      </c>
      <c r="AZ41" s="15">
        <v>0</v>
      </c>
      <c r="BA41" s="15">
        <v>0</v>
      </c>
      <c r="BB41" s="21">
        <v>44522</v>
      </c>
      <c r="BC41" s="21">
        <v>44118</v>
      </c>
      <c r="BD41" s="17">
        <v>2021</v>
      </c>
      <c r="BE41" s="17">
        <v>4</v>
      </c>
      <c r="BF41" s="16"/>
      <c r="BG41" s="16"/>
      <c r="BH41" s="16"/>
      <c r="BI41" s="13" t="s">
        <v>1308</v>
      </c>
      <c r="BJ41" s="16"/>
      <c r="BK41" s="16"/>
      <c r="BL41" s="16"/>
      <c r="BM41" s="16"/>
      <c r="BN41" s="16"/>
      <c r="BO41" s="16"/>
      <c r="BP41" s="16"/>
      <c r="BQ41" s="21">
        <v>44105</v>
      </c>
      <c r="BR41" s="17">
        <v>2021</v>
      </c>
      <c r="BS41" s="17">
        <v>4</v>
      </c>
      <c r="BT41" s="17">
        <v>2026</v>
      </c>
      <c r="BU41" s="17">
        <v>4</v>
      </c>
      <c r="BV41" s="16"/>
      <c r="BW41" s="16"/>
      <c r="BX41" s="16"/>
      <c r="BY41" s="16"/>
      <c r="BZ41" s="16"/>
      <c r="CA41" s="21">
        <v>44500</v>
      </c>
      <c r="CB41" s="17">
        <v>2022</v>
      </c>
      <c r="CC41" s="17">
        <v>5</v>
      </c>
      <c r="CD41" s="13" t="s">
        <v>1636</v>
      </c>
      <c r="CE41" s="13" t="s">
        <v>1637</v>
      </c>
      <c r="CF41" s="13" t="s">
        <v>1308</v>
      </c>
      <c r="CG41" s="13" t="s">
        <v>1638</v>
      </c>
      <c r="CH41" s="13" t="s">
        <v>1639</v>
      </c>
      <c r="CI41" s="13" t="s">
        <v>1640</v>
      </c>
      <c r="CJ41" s="13" t="s">
        <v>1641</v>
      </c>
      <c r="CK41" s="13" t="s">
        <v>1642</v>
      </c>
      <c r="CL41" s="13" t="s">
        <v>1643</v>
      </c>
      <c r="CM41" s="13" t="s">
        <v>1644</v>
      </c>
      <c r="CN41" s="13" t="s">
        <v>1645</v>
      </c>
      <c r="CO41" s="16"/>
      <c r="CP41" s="16"/>
    </row>
    <row r="42" spans="1:94" s="1" customFormat="1" ht="13" thickBot="1" x14ac:dyDescent="0.3">
      <c r="A42" s="13" t="s">
        <v>1939</v>
      </c>
      <c r="B42" s="16"/>
      <c r="C42" s="16"/>
      <c r="D42" s="13" t="s">
        <v>1616</v>
      </c>
      <c r="E42" s="13" t="s">
        <v>1617</v>
      </c>
      <c r="F42" s="13" t="s">
        <v>1618</v>
      </c>
      <c r="G42" s="13" t="s">
        <v>1619</v>
      </c>
      <c r="H42" s="17">
        <v>12</v>
      </c>
      <c r="I42" s="16"/>
      <c r="J42" s="16"/>
      <c r="K42" s="13" t="s">
        <v>1308</v>
      </c>
      <c r="L42" s="13" t="s">
        <v>1308</v>
      </c>
      <c r="M42" s="13" t="s">
        <v>1647</v>
      </c>
      <c r="N42" s="13" t="s">
        <v>1648</v>
      </c>
      <c r="O42" s="13" t="s">
        <v>52</v>
      </c>
      <c r="P42" s="13" t="s">
        <v>976</v>
      </c>
      <c r="Q42" s="13" t="s">
        <v>1623</v>
      </c>
      <c r="R42" s="16"/>
      <c r="S42" s="16"/>
      <c r="T42" s="16"/>
      <c r="U42" s="13" t="s">
        <v>1652</v>
      </c>
      <c r="V42" s="13" t="s">
        <v>1653</v>
      </c>
      <c r="W42" s="13" t="s">
        <v>1654</v>
      </c>
      <c r="X42" s="13" t="s">
        <v>1653</v>
      </c>
      <c r="Y42" s="13" t="s">
        <v>1619</v>
      </c>
      <c r="Z42" s="13" t="s">
        <v>1647</v>
      </c>
      <c r="AA42" s="13" t="s">
        <v>52</v>
      </c>
      <c r="AB42" s="16"/>
      <c r="AC42" s="13" t="s">
        <v>52</v>
      </c>
      <c r="AD42" s="13" t="s">
        <v>1627</v>
      </c>
      <c r="AE42" s="13" t="s">
        <v>1628</v>
      </c>
      <c r="AF42" s="13" t="s">
        <v>1629</v>
      </c>
      <c r="AG42" s="13" t="s">
        <v>1655</v>
      </c>
      <c r="AH42" s="13" t="s">
        <v>1656</v>
      </c>
      <c r="AI42" s="13" t="s">
        <v>1657</v>
      </c>
      <c r="AJ42" s="13" t="s">
        <v>1633</v>
      </c>
      <c r="AK42" s="13" t="s">
        <v>1940</v>
      </c>
      <c r="AL42" s="13" t="s">
        <v>1941</v>
      </c>
      <c r="AM42" s="13" t="s">
        <v>1634</v>
      </c>
      <c r="AN42" s="13" t="s">
        <v>1303</v>
      </c>
      <c r="AO42" s="13" t="s">
        <v>1304</v>
      </c>
      <c r="AP42" s="13" t="s">
        <v>1635</v>
      </c>
      <c r="AQ42" s="16"/>
      <c r="AR42" s="13" t="s">
        <v>1308</v>
      </c>
      <c r="AS42" s="15">
        <v>1</v>
      </c>
      <c r="AT42" s="14">
        <v>0</v>
      </c>
      <c r="AU42" s="14">
        <v>0</v>
      </c>
      <c r="AV42" s="14">
        <v>0</v>
      </c>
      <c r="AW42" s="14">
        <v>0</v>
      </c>
      <c r="AX42" s="14">
        <v>499</v>
      </c>
      <c r="AY42" s="14">
        <v>499</v>
      </c>
      <c r="AZ42" s="15">
        <v>5988</v>
      </c>
      <c r="BA42" s="15">
        <v>0</v>
      </c>
      <c r="BB42" s="21">
        <v>44530</v>
      </c>
      <c r="BC42" s="21">
        <v>44292</v>
      </c>
      <c r="BD42" s="17">
        <v>2021</v>
      </c>
      <c r="BE42" s="17">
        <v>10</v>
      </c>
      <c r="BF42" s="16"/>
      <c r="BG42" s="16"/>
      <c r="BH42" s="16"/>
      <c r="BI42" s="13" t="s">
        <v>1308</v>
      </c>
      <c r="BJ42" s="16"/>
      <c r="BK42" s="16"/>
      <c r="BL42" s="16"/>
      <c r="BM42" s="16"/>
      <c r="BN42" s="16"/>
      <c r="BO42" s="16"/>
      <c r="BP42" s="16"/>
      <c r="BQ42" s="21">
        <v>44298</v>
      </c>
      <c r="BR42" s="17">
        <v>2021</v>
      </c>
      <c r="BS42" s="17">
        <v>10</v>
      </c>
      <c r="BT42" s="17">
        <v>2026</v>
      </c>
      <c r="BU42" s="17">
        <v>10</v>
      </c>
      <c r="BV42" s="21">
        <v>44298</v>
      </c>
      <c r="BW42" s="17">
        <v>2021</v>
      </c>
      <c r="BX42" s="17">
        <v>10</v>
      </c>
      <c r="BY42" s="17">
        <v>2021</v>
      </c>
      <c r="BZ42" s="17">
        <v>10</v>
      </c>
      <c r="CA42" s="21">
        <v>44530</v>
      </c>
      <c r="CB42" s="17">
        <v>2022</v>
      </c>
      <c r="CC42" s="17">
        <v>5</v>
      </c>
      <c r="CD42" s="13" t="s">
        <v>1766</v>
      </c>
      <c r="CE42" s="13" t="s">
        <v>1767</v>
      </c>
      <c r="CF42" s="13" t="s">
        <v>1308</v>
      </c>
      <c r="CG42" s="13" t="s">
        <v>1731</v>
      </c>
      <c r="CH42" s="13" t="s">
        <v>1732</v>
      </c>
      <c r="CI42" s="13" t="s">
        <v>1733</v>
      </c>
      <c r="CJ42" s="13" t="s">
        <v>1734</v>
      </c>
      <c r="CK42" s="13" t="s">
        <v>1735</v>
      </c>
      <c r="CL42" s="13" t="s">
        <v>1736</v>
      </c>
      <c r="CM42" s="13" t="s">
        <v>4</v>
      </c>
      <c r="CN42" s="16"/>
      <c r="CO42" s="16"/>
      <c r="CP42" s="16"/>
    </row>
    <row r="43" spans="1:94" s="1" customFormat="1" ht="13" thickBot="1" x14ac:dyDescent="0.3">
      <c r="A43" s="13" t="s">
        <v>1859</v>
      </c>
      <c r="B43" s="16"/>
      <c r="C43" s="16"/>
      <c r="D43" s="13" t="s">
        <v>1699</v>
      </c>
      <c r="E43" s="13" t="s">
        <v>1700</v>
      </c>
      <c r="F43" s="13" t="s">
        <v>1699</v>
      </c>
      <c r="G43" s="13" t="s">
        <v>1701</v>
      </c>
      <c r="H43" s="17">
        <v>1</v>
      </c>
      <c r="I43" s="16"/>
      <c r="J43" s="16"/>
      <c r="K43" s="13" t="s">
        <v>1308</v>
      </c>
      <c r="L43" s="13" t="s">
        <v>1308</v>
      </c>
      <c r="M43" s="13" t="s">
        <v>1702</v>
      </c>
      <c r="N43" s="13" t="s">
        <v>1703</v>
      </c>
      <c r="O43" s="13" t="s">
        <v>416</v>
      </c>
      <c r="P43" s="13" t="s">
        <v>976</v>
      </c>
      <c r="Q43" s="13" t="s">
        <v>1623</v>
      </c>
      <c r="R43" s="13" t="s">
        <v>1858</v>
      </c>
      <c r="S43" s="16"/>
      <c r="T43" s="16"/>
      <c r="U43" s="13" t="s">
        <v>1705</v>
      </c>
      <c r="V43" s="13" t="s">
        <v>416</v>
      </c>
      <c r="W43" s="13" t="s">
        <v>1706</v>
      </c>
      <c r="X43" s="13" t="s">
        <v>416</v>
      </c>
      <c r="Y43" s="13" t="s">
        <v>1701</v>
      </c>
      <c r="Z43" s="13" t="s">
        <v>1702</v>
      </c>
      <c r="AA43" s="13" t="s">
        <v>416</v>
      </c>
      <c r="AB43" s="16"/>
      <c r="AC43" s="13" t="s">
        <v>416</v>
      </c>
      <c r="AD43" s="13" t="s">
        <v>1678</v>
      </c>
      <c r="AE43" s="13" t="s">
        <v>1679</v>
      </c>
      <c r="AF43" s="13" t="s">
        <v>1629</v>
      </c>
      <c r="AG43" s="13" t="s">
        <v>1707</v>
      </c>
      <c r="AH43" s="13" t="s">
        <v>1708</v>
      </c>
      <c r="AI43" s="13" t="s">
        <v>1682</v>
      </c>
      <c r="AJ43" s="13" t="s">
        <v>1633</v>
      </c>
      <c r="AK43" s="13" t="s">
        <v>1329</v>
      </c>
      <c r="AL43" s="13" t="s">
        <v>1330</v>
      </c>
      <c r="AM43" s="13" t="s">
        <v>1634</v>
      </c>
      <c r="AN43" s="13" t="s">
        <v>1303</v>
      </c>
      <c r="AO43" s="13" t="s">
        <v>1304</v>
      </c>
      <c r="AP43" s="13" t="s">
        <v>1635</v>
      </c>
      <c r="AQ43" s="16"/>
      <c r="AR43" s="13" t="s">
        <v>1308</v>
      </c>
      <c r="AS43" s="15">
        <v>1</v>
      </c>
      <c r="AT43" s="14">
        <v>0</v>
      </c>
      <c r="AU43" s="14">
        <v>0</v>
      </c>
      <c r="AV43" s="14">
        <v>0</v>
      </c>
      <c r="AW43" s="14">
        <v>0</v>
      </c>
      <c r="AX43" s="14">
        <v>100</v>
      </c>
      <c r="AY43" s="14">
        <v>70</v>
      </c>
      <c r="AZ43" s="15">
        <v>0</v>
      </c>
      <c r="BA43" s="15">
        <v>0</v>
      </c>
      <c r="BB43" s="21">
        <v>44239</v>
      </c>
      <c r="BC43" s="21">
        <v>43848</v>
      </c>
      <c r="BD43" s="17">
        <v>2020</v>
      </c>
      <c r="BE43" s="17">
        <v>7</v>
      </c>
      <c r="BF43" s="16"/>
      <c r="BG43" s="16"/>
      <c r="BH43" s="16"/>
      <c r="BI43" s="13" t="s">
        <v>1308</v>
      </c>
      <c r="BJ43" s="16"/>
      <c r="BK43" s="16"/>
      <c r="BL43" s="16"/>
      <c r="BM43" s="16"/>
      <c r="BN43" s="16"/>
      <c r="BO43" s="16"/>
      <c r="BP43" s="16"/>
      <c r="BQ43" s="21">
        <v>43862</v>
      </c>
      <c r="BR43" s="17">
        <v>2020</v>
      </c>
      <c r="BS43" s="17">
        <v>7</v>
      </c>
      <c r="BT43" s="17">
        <v>2026</v>
      </c>
      <c r="BU43" s="17">
        <v>8</v>
      </c>
      <c r="BV43" s="16"/>
      <c r="BW43" s="16"/>
      <c r="BX43" s="16"/>
      <c r="BY43" s="16"/>
      <c r="BZ43" s="16"/>
      <c r="CA43" s="21">
        <v>44238</v>
      </c>
      <c r="CB43" s="17">
        <v>2021</v>
      </c>
      <c r="CC43" s="17">
        <v>8</v>
      </c>
      <c r="CD43" s="13" t="s">
        <v>1636</v>
      </c>
      <c r="CE43" s="13" t="s">
        <v>1637</v>
      </c>
      <c r="CF43" s="13" t="s">
        <v>1308</v>
      </c>
      <c r="CG43" s="13" t="s">
        <v>1638</v>
      </c>
      <c r="CH43" s="13" t="s">
        <v>1639</v>
      </c>
      <c r="CI43" s="13" t="s">
        <v>1640</v>
      </c>
      <c r="CJ43" s="13" t="s">
        <v>1641</v>
      </c>
      <c r="CK43" s="13" t="s">
        <v>1642</v>
      </c>
      <c r="CL43" s="13" t="s">
        <v>1643</v>
      </c>
      <c r="CM43" s="13" t="s">
        <v>1644</v>
      </c>
      <c r="CN43" s="13" t="s">
        <v>1645</v>
      </c>
      <c r="CO43" s="16"/>
      <c r="CP43" s="16"/>
    </row>
    <row r="44" spans="1:94" s="1" customFormat="1" ht="13" thickBot="1" x14ac:dyDescent="0.3">
      <c r="A44" s="13" t="s">
        <v>1810</v>
      </c>
      <c r="B44" s="16"/>
      <c r="C44" s="16"/>
      <c r="D44" s="13" t="s">
        <v>1616</v>
      </c>
      <c r="E44" s="13" t="s">
        <v>1756</v>
      </c>
      <c r="F44" s="13" t="s">
        <v>1618</v>
      </c>
      <c r="G44" s="13" t="s">
        <v>1619</v>
      </c>
      <c r="H44" s="17">
        <v>36</v>
      </c>
      <c r="I44" s="16"/>
      <c r="J44" s="16"/>
      <c r="K44" s="13" t="s">
        <v>1308</v>
      </c>
      <c r="L44" s="13" t="s">
        <v>1308</v>
      </c>
      <c r="M44" s="13" t="s">
        <v>1757</v>
      </c>
      <c r="N44" s="16"/>
      <c r="O44" s="13" t="s">
        <v>73</v>
      </c>
      <c r="P44" s="13" t="s">
        <v>976</v>
      </c>
      <c r="Q44" s="13" t="s">
        <v>1623</v>
      </c>
      <c r="R44" s="13" t="s">
        <v>1759</v>
      </c>
      <c r="S44" s="16"/>
      <c r="T44" s="16"/>
      <c r="U44" s="13" t="s">
        <v>1760</v>
      </c>
      <c r="V44" s="13" t="s">
        <v>1761</v>
      </c>
      <c r="W44" s="13" t="s">
        <v>1762</v>
      </c>
      <c r="X44" s="13" t="s">
        <v>73</v>
      </c>
      <c r="Y44" s="13" t="s">
        <v>1619</v>
      </c>
      <c r="Z44" s="13" t="s">
        <v>1811</v>
      </c>
      <c r="AA44" s="13" t="s">
        <v>1812</v>
      </c>
      <c r="AB44" s="16"/>
      <c r="AC44" s="13" t="s">
        <v>1812</v>
      </c>
      <c r="AD44" s="13" t="s">
        <v>1627</v>
      </c>
      <c r="AE44" s="13" t="s">
        <v>1628</v>
      </c>
      <c r="AF44" s="13" t="s">
        <v>1629</v>
      </c>
      <c r="AG44" s="13" t="s">
        <v>1763</v>
      </c>
      <c r="AH44" s="13" t="s">
        <v>1764</v>
      </c>
      <c r="AI44" s="13" t="s">
        <v>1765</v>
      </c>
      <c r="AJ44" s="13" t="s">
        <v>1633</v>
      </c>
      <c r="AK44" s="13" t="s">
        <v>74</v>
      </c>
      <c r="AL44" s="13" t="s">
        <v>75</v>
      </c>
      <c r="AM44" s="13" t="s">
        <v>1634</v>
      </c>
      <c r="AN44" s="13" t="s">
        <v>1303</v>
      </c>
      <c r="AO44" s="13" t="s">
        <v>1304</v>
      </c>
      <c r="AP44" s="13" t="s">
        <v>1635</v>
      </c>
      <c r="AQ44" s="16"/>
      <c r="AR44" s="13" t="s">
        <v>1308</v>
      </c>
      <c r="AS44" s="15">
        <v>1</v>
      </c>
      <c r="AT44" s="14">
        <v>0</v>
      </c>
      <c r="AU44" s="14">
        <v>0</v>
      </c>
      <c r="AV44" s="14">
        <v>0</v>
      </c>
      <c r="AW44" s="14">
        <v>0</v>
      </c>
      <c r="AX44" s="14">
        <v>499</v>
      </c>
      <c r="AY44" s="14">
        <v>499</v>
      </c>
      <c r="AZ44" s="15">
        <v>5988</v>
      </c>
      <c r="BA44" s="15">
        <v>0</v>
      </c>
      <c r="BB44" s="21">
        <v>44586</v>
      </c>
      <c r="BC44" s="21">
        <v>44484</v>
      </c>
      <c r="BD44" s="17">
        <v>2022</v>
      </c>
      <c r="BE44" s="17">
        <v>4</v>
      </c>
      <c r="BF44" s="16"/>
      <c r="BG44" s="16"/>
      <c r="BH44" s="16"/>
      <c r="BI44" s="13" t="s">
        <v>1308</v>
      </c>
      <c r="BJ44" s="16"/>
      <c r="BK44" s="16"/>
      <c r="BL44" s="16"/>
      <c r="BM44" s="16"/>
      <c r="BN44" s="16"/>
      <c r="BO44" s="16"/>
      <c r="BP44" s="16"/>
      <c r="BQ44" s="21">
        <v>44568</v>
      </c>
      <c r="BR44" s="17">
        <v>2022</v>
      </c>
      <c r="BS44" s="17">
        <v>7</v>
      </c>
      <c r="BT44" s="17">
        <v>2026</v>
      </c>
      <c r="BU44" s="17">
        <v>7</v>
      </c>
      <c r="BV44" s="21">
        <v>44501</v>
      </c>
      <c r="BW44" s="17">
        <v>2022</v>
      </c>
      <c r="BX44" s="17">
        <v>4</v>
      </c>
      <c r="BY44" s="17">
        <v>2022</v>
      </c>
      <c r="BZ44" s="17">
        <v>5</v>
      </c>
      <c r="CA44" s="21">
        <v>44585</v>
      </c>
      <c r="CB44" s="17">
        <v>2022</v>
      </c>
      <c r="CC44" s="17">
        <v>7</v>
      </c>
      <c r="CD44" s="13" t="s">
        <v>1636</v>
      </c>
      <c r="CE44" s="13" t="s">
        <v>1637</v>
      </c>
      <c r="CF44" s="13" t="s">
        <v>1308</v>
      </c>
      <c r="CG44" s="13" t="s">
        <v>1638</v>
      </c>
      <c r="CH44" s="13" t="s">
        <v>1639</v>
      </c>
      <c r="CI44" s="13" t="s">
        <v>1640</v>
      </c>
      <c r="CJ44" s="13" t="s">
        <v>1641</v>
      </c>
      <c r="CK44" s="13" t="s">
        <v>1642</v>
      </c>
      <c r="CL44" s="13" t="s">
        <v>1643</v>
      </c>
      <c r="CM44" s="13" t="s">
        <v>1644</v>
      </c>
      <c r="CN44" s="13" t="s">
        <v>1645</v>
      </c>
      <c r="CO44" s="16"/>
      <c r="CP44" s="16"/>
    </row>
    <row r="45" spans="1:94" s="1" customFormat="1" ht="13" thickBot="1" x14ac:dyDescent="0.3">
      <c r="A45" s="13" t="s">
        <v>1782</v>
      </c>
      <c r="B45" s="13" t="s">
        <v>48</v>
      </c>
      <c r="C45" s="13" t="s">
        <v>49</v>
      </c>
      <c r="D45" s="13" t="s">
        <v>1616</v>
      </c>
      <c r="E45" s="13" t="s">
        <v>1756</v>
      </c>
      <c r="F45" s="13" t="s">
        <v>1618</v>
      </c>
      <c r="G45" s="13" t="s">
        <v>1619</v>
      </c>
      <c r="H45" s="17">
        <v>45</v>
      </c>
      <c r="I45" s="16"/>
      <c r="J45" s="16"/>
      <c r="K45" s="13" t="s">
        <v>1308</v>
      </c>
      <c r="L45" s="13" t="s">
        <v>1308</v>
      </c>
      <c r="M45" s="13" t="s">
        <v>1780</v>
      </c>
      <c r="N45" s="13" t="s">
        <v>1781</v>
      </c>
      <c r="O45" s="13" t="s">
        <v>82</v>
      </c>
      <c r="P45" s="13" t="s">
        <v>976</v>
      </c>
      <c r="Q45" s="13" t="s">
        <v>1737</v>
      </c>
      <c r="R45" s="16"/>
      <c r="S45" s="13" t="s">
        <v>1779</v>
      </c>
      <c r="T45" s="16"/>
      <c r="U45" s="13" t="s">
        <v>1783</v>
      </c>
      <c r="V45" s="13" t="s">
        <v>1784</v>
      </c>
      <c r="W45" s="13" t="s">
        <v>1785</v>
      </c>
      <c r="X45" s="13" t="s">
        <v>82</v>
      </c>
      <c r="Y45" s="13" t="s">
        <v>1619</v>
      </c>
      <c r="Z45" s="13" t="s">
        <v>1780</v>
      </c>
      <c r="AA45" s="13" t="s">
        <v>82</v>
      </c>
      <c r="AB45" s="16"/>
      <c r="AC45" s="13" t="s">
        <v>82</v>
      </c>
      <c r="AD45" s="13" t="s">
        <v>1627</v>
      </c>
      <c r="AE45" s="13" t="s">
        <v>1628</v>
      </c>
      <c r="AF45" s="13" t="s">
        <v>1629</v>
      </c>
      <c r="AG45" s="13" t="s">
        <v>1786</v>
      </c>
      <c r="AH45" s="13" t="s">
        <v>1787</v>
      </c>
      <c r="AI45" s="13" t="s">
        <v>1719</v>
      </c>
      <c r="AJ45" s="13" t="s">
        <v>1633</v>
      </c>
      <c r="AK45" s="13" t="s">
        <v>48</v>
      </c>
      <c r="AL45" s="13" t="s">
        <v>49</v>
      </c>
      <c r="AM45" s="13" t="s">
        <v>1634</v>
      </c>
      <c r="AN45" s="13" t="s">
        <v>1303</v>
      </c>
      <c r="AO45" s="13" t="s">
        <v>1304</v>
      </c>
      <c r="AP45" s="13" t="s">
        <v>1635</v>
      </c>
      <c r="AQ45" s="16"/>
      <c r="AR45" s="13" t="s">
        <v>1308</v>
      </c>
      <c r="AS45" s="15">
        <v>1</v>
      </c>
      <c r="AT45" s="14">
        <v>0</v>
      </c>
      <c r="AU45" s="14">
        <v>0</v>
      </c>
      <c r="AV45" s="14">
        <v>0</v>
      </c>
      <c r="AW45" s="14">
        <v>0</v>
      </c>
      <c r="AX45" s="14">
        <v>299</v>
      </c>
      <c r="AY45" s="14">
        <v>299</v>
      </c>
      <c r="AZ45" s="15">
        <v>0</v>
      </c>
      <c r="BA45" s="15">
        <v>0</v>
      </c>
      <c r="BB45" s="21">
        <v>45915</v>
      </c>
      <c r="BC45" s="21">
        <v>44533</v>
      </c>
      <c r="BD45" s="17">
        <v>2022</v>
      </c>
      <c r="BE45" s="17">
        <v>5</v>
      </c>
      <c r="BF45" s="16"/>
      <c r="BG45" s="16"/>
      <c r="BH45" s="16"/>
      <c r="BI45" s="13" t="s">
        <v>1308</v>
      </c>
      <c r="BJ45" s="16"/>
      <c r="BK45" s="16"/>
      <c r="BL45" s="16"/>
      <c r="BM45" s="16"/>
      <c r="BN45" s="16"/>
      <c r="BO45" s="16"/>
      <c r="BP45" s="16"/>
      <c r="BQ45" s="21">
        <v>44537</v>
      </c>
      <c r="BR45" s="17">
        <v>2022</v>
      </c>
      <c r="BS45" s="17">
        <v>6</v>
      </c>
      <c r="BT45" s="17">
        <v>2026</v>
      </c>
      <c r="BU45" s="17">
        <v>6</v>
      </c>
      <c r="BV45" s="16"/>
      <c r="BW45" s="16"/>
      <c r="BX45" s="16"/>
      <c r="BY45" s="16"/>
      <c r="BZ45" s="16"/>
      <c r="CA45" s="21">
        <v>45900</v>
      </c>
      <c r="CB45" s="17">
        <v>2025</v>
      </c>
      <c r="CC45" s="17">
        <v>9</v>
      </c>
      <c r="CD45" s="13" t="s">
        <v>1942</v>
      </c>
      <c r="CE45" s="13" t="s">
        <v>1943</v>
      </c>
      <c r="CF45" s="13" t="s">
        <v>1308</v>
      </c>
      <c r="CG45" s="13" t="s">
        <v>1638</v>
      </c>
      <c r="CH45" s="13" t="s">
        <v>1639</v>
      </c>
      <c r="CI45" s="13" t="s">
        <v>1640</v>
      </c>
      <c r="CJ45" s="13" t="s">
        <v>1641</v>
      </c>
      <c r="CK45" s="13" t="s">
        <v>1735</v>
      </c>
      <c r="CL45" s="13" t="s">
        <v>1736</v>
      </c>
      <c r="CM45" s="13" t="s">
        <v>1644</v>
      </c>
      <c r="CN45" s="13" t="s">
        <v>1645</v>
      </c>
      <c r="CO45" s="16"/>
      <c r="CP45" s="16"/>
    </row>
    <row r="46" spans="1:94" s="1" customFormat="1" ht="13" thickBot="1" x14ac:dyDescent="0.3">
      <c r="A46" s="13" t="s">
        <v>1816</v>
      </c>
      <c r="B46" s="16"/>
      <c r="C46" s="16"/>
      <c r="D46" s="13" t="s">
        <v>1616</v>
      </c>
      <c r="E46" s="13" t="s">
        <v>1670</v>
      </c>
      <c r="F46" s="13" t="s">
        <v>1618</v>
      </c>
      <c r="G46" s="13" t="s">
        <v>1619</v>
      </c>
      <c r="H46" s="17">
        <v>12</v>
      </c>
      <c r="I46" s="16"/>
      <c r="J46" s="16"/>
      <c r="K46" s="13" t="s">
        <v>1308</v>
      </c>
      <c r="L46" s="13" t="s">
        <v>1308</v>
      </c>
      <c r="M46" s="13" t="s">
        <v>1814</v>
      </c>
      <c r="N46" s="13" t="s">
        <v>1815</v>
      </c>
      <c r="O46" s="13" t="s">
        <v>66</v>
      </c>
      <c r="P46" s="13" t="s">
        <v>976</v>
      </c>
      <c r="Q46" s="13" t="s">
        <v>1623</v>
      </c>
      <c r="R46" s="13" t="s">
        <v>1813</v>
      </c>
      <c r="S46" s="16"/>
      <c r="T46" s="16"/>
      <c r="U46" s="13" t="s">
        <v>1817</v>
      </c>
      <c r="V46" s="13" t="s">
        <v>1818</v>
      </c>
      <c r="W46" s="13" t="s">
        <v>1819</v>
      </c>
      <c r="X46" s="13" t="s">
        <v>66</v>
      </c>
      <c r="Y46" s="13" t="s">
        <v>1619</v>
      </c>
      <c r="Z46" s="13" t="s">
        <v>1814</v>
      </c>
      <c r="AA46" s="13" t="s">
        <v>66</v>
      </c>
      <c r="AB46" s="16"/>
      <c r="AC46" s="13" t="s">
        <v>66</v>
      </c>
      <c r="AD46" s="13" t="s">
        <v>1678</v>
      </c>
      <c r="AE46" s="13" t="s">
        <v>1679</v>
      </c>
      <c r="AF46" s="13" t="s">
        <v>1629</v>
      </c>
      <c r="AG46" s="13" t="s">
        <v>1820</v>
      </c>
      <c r="AH46" s="13" t="s">
        <v>1821</v>
      </c>
      <c r="AI46" s="13" t="s">
        <v>1682</v>
      </c>
      <c r="AJ46" s="13" t="s">
        <v>1633</v>
      </c>
      <c r="AK46" s="13" t="s">
        <v>42</v>
      </c>
      <c r="AL46" s="13" t="s">
        <v>43</v>
      </c>
      <c r="AM46" s="13" t="s">
        <v>1634</v>
      </c>
      <c r="AN46" s="13" t="s">
        <v>1303</v>
      </c>
      <c r="AO46" s="13" t="s">
        <v>1304</v>
      </c>
      <c r="AP46" s="13" t="s">
        <v>1635</v>
      </c>
      <c r="AQ46" s="16"/>
      <c r="AR46" s="13" t="s">
        <v>1308</v>
      </c>
      <c r="AS46" s="15">
        <v>1</v>
      </c>
      <c r="AT46" s="14">
        <v>0</v>
      </c>
      <c r="AU46" s="14">
        <v>0</v>
      </c>
      <c r="AV46" s="14">
        <v>0</v>
      </c>
      <c r="AW46" s="14">
        <v>0</v>
      </c>
      <c r="AX46" s="14">
        <v>1849</v>
      </c>
      <c r="AY46" s="14">
        <v>1849</v>
      </c>
      <c r="AZ46" s="15">
        <v>22188</v>
      </c>
      <c r="BA46" s="15">
        <v>0</v>
      </c>
      <c r="BB46" s="21">
        <v>45545</v>
      </c>
      <c r="BC46" s="21">
        <v>44545</v>
      </c>
      <c r="BD46" s="17">
        <v>2022</v>
      </c>
      <c r="BE46" s="17">
        <v>6</v>
      </c>
      <c r="BF46" s="16"/>
      <c r="BG46" s="16"/>
      <c r="BH46" s="16"/>
      <c r="BI46" s="13" t="s">
        <v>1308</v>
      </c>
      <c r="BJ46" s="16"/>
      <c r="BK46" s="16"/>
      <c r="BL46" s="16"/>
      <c r="BM46" s="16"/>
      <c r="BN46" s="16"/>
      <c r="BO46" s="16"/>
      <c r="BP46" s="16"/>
      <c r="BQ46" s="21">
        <v>44571</v>
      </c>
      <c r="BR46" s="17">
        <v>2022</v>
      </c>
      <c r="BS46" s="17">
        <v>7</v>
      </c>
      <c r="BT46" s="17">
        <v>2026</v>
      </c>
      <c r="BU46" s="17">
        <v>7</v>
      </c>
      <c r="BV46" s="21">
        <v>44587</v>
      </c>
      <c r="BW46" s="17">
        <v>2022</v>
      </c>
      <c r="BX46" s="17">
        <v>7</v>
      </c>
      <c r="BY46" s="17">
        <v>2022</v>
      </c>
      <c r="BZ46" s="17">
        <v>8</v>
      </c>
      <c r="CA46" s="21">
        <v>45544</v>
      </c>
      <c r="CB46" s="17">
        <v>2024</v>
      </c>
      <c r="CC46" s="17">
        <v>9</v>
      </c>
      <c r="CD46" s="13" t="s">
        <v>1636</v>
      </c>
      <c r="CE46" s="13" t="s">
        <v>1637</v>
      </c>
      <c r="CF46" s="13" t="s">
        <v>1308</v>
      </c>
      <c r="CG46" s="13" t="s">
        <v>1638</v>
      </c>
      <c r="CH46" s="13" t="s">
        <v>1639</v>
      </c>
      <c r="CI46" s="13" t="s">
        <v>1640</v>
      </c>
      <c r="CJ46" s="13" t="s">
        <v>1641</v>
      </c>
      <c r="CK46" s="13" t="s">
        <v>1642</v>
      </c>
      <c r="CL46" s="13" t="s">
        <v>1643</v>
      </c>
      <c r="CM46" s="13" t="s">
        <v>1644</v>
      </c>
      <c r="CN46" s="13" t="s">
        <v>1645</v>
      </c>
      <c r="CO46" s="16"/>
      <c r="CP46" s="16"/>
    </row>
    <row r="47" spans="1:94" s="1" customFormat="1" ht="13" thickBot="1" x14ac:dyDescent="0.3">
      <c r="A47" s="13" t="s">
        <v>1944</v>
      </c>
      <c r="B47" s="16"/>
      <c r="C47" s="16"/>
      <c r="D47" s="13" t="s">
        <v>1616</v>
      </c>
      <c r="E47" s="13" t="s">
        <v>1670</v>
      </c>
      <c r="F47" s="13" t="s">
        <v>1618</v>
      </c>
      <c r="G47" s="13" t="s">
        <v>1619</v>
      </c>
      <c r="H47" s="17">
        <v>1</v>
      </c>
      <c r="I47" s="16"/>
      <c r="J47" s="16"/>
      <c r="K47" s="13" t="s">
        <v>1308</v>
      </c>
      <c r="L47" s="13" t="s">
        <v>1308</v>
      </c>
      <c r="M47" s="13" t="s">
        <v>1671</v>
      </c>
      <c r="N47" s="13" t="s">
        <v>1672</v>
      </c>
      <c r="O47" s="13" t="s">
        <v>127</v>
      </c>
      <c r="P47" s="13" t="s">
        <v>976</v>
      </c>
      <c r="Q47" s="13" t="s">
        <v>1623</v>
      </c>
      <c r="R47" s="16"/>
      <c r="S47" s="16"/>
      <c r="T47" s="16"/>
      <c r="U47" s="13" t="s">
        <v>1675</v>
      </c>
      <c r="V47" s="13" t="s">
        <v>1676</v>
      </c>
      <c r="W47" s="13" t="s">
        <v>1677</v>
      </c>
      <c r="X47" s="13" t="s">
        <v>127</v>
      </c>
      <c r="Y47" s="13" t="s">
        <v>1619</v>
      </c>
      <c r="Z47" s="13" t="s">
        <v>1671</v>
      </c>
      <c r="AA47" s="13" t="s">
        <v>127</v>
      </c>
      <c r="AB47" s="16"/>
      <c r="AC47" s="13" t="s">
        <v>127</v>
      </c>
      <c r="AD47" s="13" t="s">
        <v>1678</v>
      </c>
      <c r="AE47" s="13" t="s">
        <v>1679</v>
      </c>
      <c r="AF47" s="13" t="s">
        <v>1629</v>
      </c>
      <c r="AG47" s="13" t="s">
        <v>1680</v>
      </c>
      <c r="AH47" s="13" t="s">
        <v>1681</v>
      </c>
      <c r="AI47" s="13" t="s">
        <v>1682</v>
      </c>
      <c r="AJ47" s="13" t="s">
        <v>1633</v>
      </c>
      <c r="AK47" s="13" t="s">
        <v>35</v>
      </c>
      <c r="AL47" s="13" t="s">
        <v>36</v>
      </c>
      <c r="AM47" s="13" t="s">
        <v>1634</v>
      </c>
      <c r="AN47" s="13" t="s">
        <v>1303</v>
      </c>
      <c r="AO47" s="13" t="s">
        <v>1304</v>
      </c>
      <c r="AP47" s="13" t="s">
        <v>1635</v>
      </c>
      <c r="AQ47" s="16"/>
      <c r="AR47" s="13" t="s">
        <v>1308</v>
      </c>
      <c r="AS47" s="15">
        <v>1</v>
      </c>
      <c r="AT47" s="14">
        <v>0</v>
      </c>
      <c r="AU47" s="14">
        <v>0</v>
      </c>
      <c r="AV47" s="14">
        <v>0</v>
      </c>
      <c r="AW47" s="14">
        <v>0</v>
      </c>
      <c r="AX47" s="14">
        <v>195</v>
      </c>
      <c r="AY47" s="14">
        <v>499</v>
      </c>
      <c r="AZ47" s="15">
        <v>0</v>
      </c>
      <c r="BA47" s="15">
        <v>0</v>
      </c>
      <c r="BB47" s="21">
        <v>44500</v>
      </c>
      <c r="BC47" s="21">
        <v>43848</v>
      </c>
      <c r="BD47" s="17">
        <v>2020</v>
      </c>
      <c r="BE47" s="17">
        <v>7</v>
      </c>
      <c r="BF47" s="16"/>
      <c r="BG47" s="16"/>
      <c r="BH47" s="16"/>
      <c r="BI47" s="13" t="s">
        <v>1308</v>
      </c>
      <c r="BJ47" s="16"/>
      <c r="BK47" s="16"/>
      <c r="BL47" s="16"/>
      <c r="BM47" s="16"/>
      <c r="BN47" s="16"/>
      <c r="BO47" s="16"/>
      <c r="BP47" s="16"/>
      <c r="BQ47" s="21">
        <v>43862</v>
      </c>
      <c r="BR47" s="17">
        <v>2020</v>
      </c>
      <c r="BS47" s="17">
        <v>7</v>
      </c>
      <c r="BT47" s="17">
        <v>2026</v>
      </c>
      <c r="BU47" s="17">
        <v>8</v>
      </c>
      <c r="BV47" s="16"/>
      <c r="BW47" s="16"/>
      <c r="BX47" s="16"/>
      <c r="BY47" s="16"/>
      <c r="BZ47" s="16"/>
      <c r="CA47" s="21">
        <v>44500</v>
      </c>
      <c r="CB47" s="17">
        <v>2022</v>
      </c>
      <c r="CC47" s="17">
        <v>4</v>
      </c>
      <c r="CD47" s="13" t="s">
        <v>1778</v>
      </c>
      <c r="CE47" s="13" t="s">
        <v>1639</v>
      </c>
      <c r="CF47" s="13" t="s">
        <v>1308</v>
      </c>
      <c r="CG47" s="13" t="s">
        <v>1638</v>
      </c>
      <c r="CH47" s="13" t="s">
        <v>1639</v>
      </c>
      <c r="CI47" s="13" t="s">
        <v>1640</v>
      </c>
      <c r="CJ47" s="13" t="s">
        <v>1641</v>
      </c>
      <c r="CK47" s="13" t="s">
        <v>1735</v>
      </c>
      <c r="CL47" s="13" t="s">
        <v>1736</v>
      </c>
      <c r="CM47" s="13" t="s">
        <v>1644</v>
      </c>
      <c r="CN47" s="13" t="s">
        <v>1645</v>
      </c>
      <c r="CO47" s="16"/>
      <c r="CP47" s="16"/>
    </row>
    <row r="48" spans="1:94" s="1" customFormat="1" ht="13" thickBot="1" x14ac:dyDescent="0.3">
      <c r="A48" s="13" t="s">
        <v>1873</v>
      </c>
      <c r="B48" s="16"/>
      <c r="C48" s="16"/>
      <c r="D48" s="13" t="s">
        <v>1616</v>
      </c>
      <c r="E48" s="13" t="s">
        <v>1801</v>
      </c>
      <c r="F48" s="13" t="s">
        <v>1618</v>
      </c>
      <c r="G48" s="13" t="s">
        <v>1619</v>
      </c>
      <c r="H48" s="17">
        <v>12</v>
      </c>
      <c r="I48" s="16"/>
      <c r="J48" s="16"/>
      <c r="K48" s="13" t="s">
        <v>1308</v>
      </c>
      <c r="L48" s="13" t="s">
        <v>1308</v>
      </c>
      <c r="M48" s="13" t="s">
        <v>1802</v>
      </c>
      <c r="N48" s="16"/>
      <c r="O48" s="13" t="s">
        <v>1803</v>
      </c>
      <c r="P48" s="13" t="s">
        <v>976</v>
      </c>
      <c r="Q48" s="13" t="s">
        <v>1623</v>
      </c>
      <c r="R48" s="13" t="s">
        <v>1869</v>
      </c>
      <c r="S48" s="16"/>
      <c r="T48" s="16"/>
      <c r="U48" s="13" t="s">
        <v>1805</v>
      </c>
      <c r="V48" s="13" t="s">
        <v>1806</v>
      </c>
      <c r="W48" s="13" t="s">
        <v>1807</v>
      </c>
      <c r="X48" s="13" t="s">
        <v>1803</v>
      </c>
      <c r="Y48" s="13" t="s">
        <v>1619</v>
      </c>
      <c r="Z48" s="13" t="s">
        <v>1802</v>
      </c>
      <c r="AA48" s="13" t="s">
        <v>1803</v>
      </c>
      <c r="AB48" s="16"/>
      <c r="AC48" s="13" t="s">
        <v>1803</v>
      </c>
      <c r="AD48" s="13" t="s">
        <v>1678</v>
      </c>
      <c r="AE48" s="13" t="s">
        <v>1679</v>
      </c>
      <c r="AF48" s="13" t="s">
        <v>1629</v>
      </c>
      <c r="AG48" s="13" t="s">
        <v>1808</v>
      </c>
      <c r="AH48" s="13" t="s">
        <v>1809</v>
      </c>
      <c r="AI48" s="13" t="s">
        <v>1682</v>
      </c>
      <c r="AJ48" s="13" t="s">
        <v>1633</v>
      </c>
      <c r="AK48" s="13" t="s">
        <v>1870</v>
      </c>
      <c r="AL48" s="13" t="s">
        <v>1871</v>
      </c>
      <c r="AM48" s="13" t="s">
        <v>1634</v>
      </c>
      <c r="AN48" s="13" t="s">
        <v>1303</v>
      </c>
      <c r="AO48" s="13" t="s">
        <v>1304</v>
      </c>
      <c r="AP48" s="13" t="s">
        <v>1635</v>
      </c>
      <c r="AQ48" s="16"/>
      <c r="AR48" s="13" t="s">
        <v>1308</v>
      </c>
      <c r="AS48" s="15">
        <v>1</v>
      </c>
      <c r="AT48" s="14">
        <v>0</v>
      </c>
      <c r="AU48" s="14">
        <v>0</v>
      </c>
      <c r="AV48" s="14">
        <v>0</v>
      </c>
      <c r="AW48" s="14">
        <v>0</v>
      </c>
      <c r="AX48" s="14">
        <v>999</v>
      </c>
      <c r="AY48" s="14">
        <v>999</v>
      </c>
      <c r="AZ48" s="15">
        <v>11988</v>
      </c>
      <c r="BA48" s="15">
        <v>0</v>
      </c>
      <c r="BB48" s="21">
        <v>45401</v>
      </c>
      <c r="BC48" s="21">
        <v>44329</v>
      </c>
      <c r="BD48" s="17">
        <v>2021</v>
      </c>
      <c r="BE48" s="17">
        <v>11</v>
      </c>
      <c r="BF48" s="16"/>
      <c r="BG48" s="16"/>
      <c r="BH48" s="16"/>
      <c r="BI48" s="13" t="s">
        <v>1308</v>
      </c>
      <c r="BJ48" s="16"/>
      <c r="BK48" s="16"/>
      <c r="BL48" s="16"/>
      <c r="BM48" s="16"/>
      <c r="BN48" s="16"/>
      <c r="BO48" s="16"/>
      <c r="BP48" s="16"/>
      <c r="BQ48" s="21">
        <v>44356</v>
      </c>
      <c r="BR48" s="17">
        <v>2021</v>
      </c>
      <c r="BS48" s="17">
        <v>12</v>
      </c>
      <c r="BT48" s="17">
        <v>2026</v>
      </c>
      <c r="BU48" s="17">
        <v>12</v>
      </c>
      <c r="BV48" s="21">
        <v>44354</v>
      </c>
      <c r="BW48" s="17">
        <v>2021</v>
      </c>
      <c r="BX48" s="17">
        <v>12</v>
      </c>
      <c r="BY48" s="17">
        <v>2021</v>
      </c>
      <c r="BZ48" s="17">
        <v>12</v>
      </c>
      <c r="CA48" s="21">
        <v>45399</v>
      </c>
      <c r="CB48" s="17">
        <v>2024</v>
      </c>
      <c r="CC48" s="17">
        <v>4</v>
      </c>
      <c r="CD48" s="13" t="s">
        <v>1636</v>
      </c>
      <c r="CE48" s="13" t="s">
        <v>1637</v>
      </c>
      <c r="CF48" s="13" t="s">
        <v>1308</v>
      </c>
      <c r="CG48" s="13" t="s">
        <v>1638</v>
      </c>
      <c r="CH48" s="13" t="s">
        <v>1639</v>
      </c>
      <c r="CI48" s="13" t="s">
        <v>1640</v>
      </c>
      <c r="CJ48" s="13" t="s">
        <v>1641</v>
      </c>
      <c r="CK48" s="13" t="s">
        <v>1642</v>
      </c>
      <c r="CL48" s="13" t="s">
        <v>1643</v>
      </c>
      <c r="CM48" s="13" t="s">
        <v>1644</v>
      </c>
      <c r="CN48" s="13" t="s">
        <v>1645</v>
      </c>
      <c r="CO48" s="16"/>
      <c r="CP48" s="16"/>
    </row>
    <row r="49" spans="1:94" s="1" customFormat="1" ht="13" thickBot="1" x14ac:dyDescent="0.3">
      <c r="A49" s="13" t="s">
        <v>1945</v>
      </c>
      <c r="B49" s="16"/>
      <c r="C49" s="16"/>
      <c r="D49" s="13" t="s">
        <v>1699</v>
      </c>
      <c r="E49" s="13" t="s">
        <v>1700</v>
      </c>
      <c r="F49" s="13" t="s">
        <v>1699</v>
      </c>
      <c r="G49" s="13" t="s">
        <v>1701</v>
      </c>
      <c r="H49" s="17">
        <v>1</v>
      </c>
      <c r="I49" s="16"/>
      <c r="J49" s="16"/>
      <c r="K49" s="13" t="s">
        <v>1308</v>
      </c>
      <c r="L49" s="13" t="s">
        <v>1308</v>
      </c>
      <c r="M49" s="13" t="s">
        <v>1835</v>
      </c>
      <c r="N49" s="13" t="s">
        <v>1836</v>
      </c>
      <c r="O49" s="13" t="s">
        <v>1837</v>
      </c>
      <c r="P49" s="13" t="s">
        <v>976</v>
      </c>
      <c r="Q49" s="13" t="s">
        <v>1623</v>
      </c>
      <c r="R49" s="13" t="s">
        <v>1946</v>
      </c>
      <c r="S49" s="16"/>
      <c r="T49" s="16"/>
      <c r="U49" s="13" t="s">
        <v>1838</v>
      </c>
      <c r="V49" s="13" t="s">
        <v>113</v>
      </c>
      <c r="W49" s="13" t="s">
        <v>1839</v>
      </c>
      <c r="X49" s="13" t="s">
        <v>113</v>
      </c>
      <c r="Y49" s="13" t="s">
        <v>1701</v>
      </c>
      <c r="Z49" s="13" t="s">
        <v>1835</v>
      </c>
      <c r="AA49" s="13" t="s">
        <v>1837</v>
      </c>
      <c r="AB49" s="16"/>
      <c r="AC49" s="13" t="s">
        <v>1837</v>
      </c>
      <c r="AD49" s="13" t="s">
        <v>1678</v>
      </c>
      <c r="AE49" s="13" t="s">
        <v>1679</v>
      </c>
      <c r="AF49" s="13" t="s">
        <v>1629</v>
      </c>
      <c r="AG49" s="13" t="s">
        <v>1840</v>
      </c>
      <c r="AH49" s="13" t="s">
        <v>1841</v>
      </c>
      <c r="AI49" s="13" t="s">
        <v>1842</v>
      </c>
      <c r="AJ49" s="13" t="s">
        <v>1633</v>
      </c>
      <c r="AK49" s="13" t="s">
        <v>1329</v>
      </c>
      <c r="AL49" s="13" t="s">
        <v>1330</v>
      </c>
      <c r="AM49" s="13" t="s">
        <v>1634</v>
      </c>
      <c r="AN49" s="13" t="s">
        <v>1303</v>
      </c>
      <c r="AO49" s="13" t="s">
        <v>1304</v>
      </c>
      <c r="AP49" s="13" t="s">
        <v>1635</v>
      </c>
      <c r="AQ49" s="16"/>
      <c r="AR49" s="13" t="s">
        <v>1308</v>
      </c>
      <c r="AS49" s="15">
        <v>1</v>
      </c>
      <c r="AT49" s="14">
        <v>0</v>
      </c>
      <c r="AU49" s="14">
        <v>0</v>
      </c>
      <c r="AV49" s="14">
        <v>0</v>
      </c>
      <c r="AW49" s="14">
        <v>0</v>
      </c>
      <c r="AX49" s="14">
        <v>100</v>
      </c>
      <c r="AY49" s="14">
        <v>70</v>
      </c>
      <c r="AZ49" s="15">
        <v>0</v>
      </c>
      <c r="BA49" s="15">
        <v>0</v>
      </c>
      <c r="BB49" s="21">
        <v>45778</v>
      </c>
      <c r="BC49" s="21">
        <v>43848</v>
      </c>
      <c r="BD49" s="17">
        <v>2020</v>
      </c>
      <c r="BE49" s="17">
        <v>7</v>
      </c>
      <c r="BF49" s="16"/>
      <c r="BG49" s="16"/>
      <c r="BH49" s="16"/>
      <c r="BI49" s="13" t="s">
        <v>1308</v>
      </c>
      <c r="BJ49" s="16"/>
      <c r="BK49" s="16"/>
      <c r="BL49" s="16"/>
      <c r="BM49" s="16"/>
      <c r="BN49" s="16"/>
      <c r="BO49" s="16"/>
      <c r="BP49" s="16"/>
      <c r="BQ49" s="21">
        <v>43862</v>
      </c>
      <c r="BR49" s="17">
        <v>2020</v>
      </c>
      <c r="BS49" s="17">
        <v>7</v>
      </c>
      <c r="BT49" s="17">
        <v>2026</v>
      </c>
      <c r="BU49" s="17">
        <v>8</v>
      </c>
      <c r="BV49" s="16"/>
      <c r="BW49" s="16"/>
      <c r="BX49" s="16"/>
      <c r="BY49" s="16"/>
      <c r="BZ49" s="16"/>
      <c r="CA49" s="21">
        <v>45777</v>
      </c>
      <c r="CB49" s="17">
        <v>2025</v>
      </c>
      <c r="CC49" s="17">
        <v>4</v>
      </c>
      <c r="CD49" s="13" t="s">
        <v>1636</v>
      </c>
      <c r="CE49" s="13" t="s">
        <v>1637</v>
      </c>
      <c r="CF49" s="13" t="s">
        <v>1308</v>
      </c>
      <c r="CG49" s="13" t="s">
        <v>1638</v>
      </c>
      <c r="CH49" s="13" t="s">
        <v>1639</v>
      </c>
      <c r="CI49" s="13" t="s">
        <v>1640</v>
      </c>
      <c r="CJ49" s="13" t="s">
        <v>1641</v>
      </c>
      <c r="CK49" s="13" t="s">
        <v>1642</v>
      </c>
      <c r="CL49" s="13" t="s">
        <v>1643</v>
      </c>
      <c r="CM49" s="13" t="s">
        <v>1644</v>
      </c>
      <c r="CN49" s="13" t="s">
        <v>1645</v>
      </c>
      <c r="CO49" s="16"/>
      <c r="CP49" s="16"/>
    </row>
    <row r="50" spans="1:94" s="1" customFormat="1" ht="13" thickBot="1" x14ac:dyDescent="0.3">
      <c r="A50" s="13" t="s">
        <v>1947</v>
      </c>
      <c r="B50" s="16"/>
      <c r="C50" s="16"/>
      <c r="D50" s="13" t="s">
        <v>1616</v>
      </c>
      <c r="E50" s="13" t="s">
        <v>1670</v>
      </c>
      <c r="F50" s="13" t="s">
        <v>1618</v>
      </c>
      <c r="G50" s="13" t="s">
        <v>1619</v>
      </c>
      <c r="H50" s="17">
        <v>1</v>
      </c>
      <c r="I50" s="16"/>
      <c r="J50" s="16"/>
      <c r="K50" s="13" t="s">
        <v>1308</v>
      </c>
      <c r="L50" s="13" t="s">
        <v>1308</v>
      </c>
      <c r="M50" s="13" t="s">
        <v>1686</v>
      </c>
      <c r="N50" s="13" t="s">
        <v>1687</v>
      </c>
      <c r="O50" s="13" t="s">
        <v>86</v>
      </c>
      <c r="P50" s="13" t="s">
        <v>976</v>
      </c>
      <c r="Q50" s="13" t="s">
        <v>1623</v>
      </c>
      <c r="R50" s="16"/>
      <c r="S50" s="16"/>
      <c r="T50" s="16"/>
      <c r="U50" s="13" t="s">
        <v>1690</v>
      </c>
      <c r="V50" s="13" t="s">
        <v>1691</v>
      </c>
      <c r="W50" s="13" t="s">
        <v>1692</v>
      </c>
      <c r="X50" s="13" t="s">
        <v>86</v>
      </c>
      <c r="Y50" s="13" t="s">
        <v>1619</v>
      </c>
      <c r="Z50" s="13" t="s">
        <v>1686</v>
      </c>
      <c r="AA50" s="13" t="s">
        <v>86</v>
      </c>
      <c r="AB50" s="16"/>
      <c r="AC50" s="13" t="s">
        <v>86</v>
      </c>
      <c r="AD50" s="13" t="s">
        <v>1678</v>
      </c>
      <c r="AE50" s="13" t="s">
        <v>1679</v>
      </c>
      <c r="AF50" s="13" t="s">
        <v>1629</v>
      </c>
      <c r="AG50" s="13" t="s">
        <v>1695</v>
      </c>
      <c r="AH50" s="13" t="s">
        <v>1696</v>
      </c>
      <c r="AI50" s="13" t="s">
        <v>1697</v>
      </c>
      <c r="AJ50" s="13" t="s">
        <v>1633</v>
      </c>
      <c r="AK50" s="13" t="s">
        <v>35</v>
      </c>
      <c r="AL50" s="13" t="s">
        <v>36</v>
      </c>
      <c r="AM50" s="13" t="s">
        <v>1634</v>
      </c>
      <c r="AN50" s="13" t="s">
        <v>1303</v>
      </c>
      <c r="AO50" s="13" t="s">
        <v>1304</v>
      </c>
      <c r="AP50" s="13" t="s">
        <v>1635</v>
      </c>
      <c r="AQ50" s="16"/>
      <c r="AR50" s="13" t="s">
        <v>1308</v>
      </c>
      <c r="AS50" s="15">
        <v>1</v>
      </c>
      <c r="AT50" s="14">
        <v>0</v>
      </c>
      <c r="AU50" s="14">
        <v>0</v>
      </c>
      <c r="AV50" s="14">
        <v>0</v>
      </c>
      <c r="AW50" s="14">
        <v>0</v>
      </c>
      <c r="AX50" s="14">
        <v>195</v>
      </c>
      <c r="AY50" s="14">
        <v>995</v>
      </c>
      <c r="AZ50" s="15">
        <v>0</v>
      </c>
      <c r="BA50" s="15">
        <v>0</v>
      </c>
      <c r="BB50" s="21">
        <v>43951</v>
      </c>
      <c r="BC50" s="21">
        <v>43849</v>
      </c>
      <c r="BD50" s="17">
        <v>2020</v>
      </c>
      <c r="BE50" s="17">
        <v>7</v>
      </c>
      <c r="BF50" s="16"/>
      <c r="BG50" s="16"/>
      <c r="BH50" s="16"/>
      <c r="BI50" s="13" t="s">
        <v>1308</v>
      </c>
      <c r="BJ50" s="16"/>
      <c r="BK50" s="16"/>
      <c r="BL50" s="16"/>
      <c r="BM50" s="16"/>
      <c r="BN50" s="16"/>
      <c r="BO50" s="16"/>
      <c r="BP50" s="16"/>
      <c r="BQ50" s="21">
        <v>43862</v>
      </c>
      <c r="BR50" s="17">
        <v>2020</v>
      </c>
      <c r="BS50" s="17">
        <v>7</v>
      </c>
      <c r="BT50" s="17">
        <v>2026</v>
      </c>
      <c r="BU50" s="17">
        <v>8</v>
      </c>
      <c r="BV50" s="16"/>
      <c r="BW50" s="16"/>
      <c r="BX50" s="16"/>
      <c r="BY50" s="16"/>
      <c r="BZ50" s="16"/>
      <c r="CA50" s="21">
        <v>43951</v>
      </c>
      <c r="CB50" s="17">
        <v>2020</v>
      </c>
      <c r="CC50" s="17">
        <v>10</v>
      </c>
      <c r="CD50" s="13" t="s">
        <v>1766</v>
      </c>
      <c r="CE50" s="13" t="s">
        <v>1767</v>
      </c>
      <c r="CF50" s="13" t="s">
        <v>1308</v>
      </c>
      <c r="CG50" s="13" t="s">
        <v>1731</v>
      </c>
      <c r="CH50" s="13" t="s">
        <v>1732</v>
      </c>
      <c r="CI50" s="13" t="s">
        <v>1733</v>
      </c>
      <c r="CJ50" s="13" t="s">
        <v>1734</v>
      </c>
      <c r="CK50" s="13" t="s">
        <v>1735</v>
      </c>
      <c r="CL50" s="13" t="s">
        <v>1736</v>
      </c>
      <c r="CM50" s="13" t="s">
        <v>4</v>
      </c>
      <c r="CN50" s="16"/>
      <c r="CO50" s="16"/>
      <c r="CP50" s="16"/>
    </row>
    <row r="51" spans="1:94" s="1" customFormat="1" ht="13" thickBot="1" x14ac:dyDescent="0.3">
      <c r="A51" s="13" t="s">
        <v>1948</v>
      </c>
      <c r="B51" s="16"/>
      <c r="C51" s="16"/>
      <c r="D51" s="13" t="s">
        <v>1616</v>
      </c>
      <c r="E51" s="13" t="s">
        <v>1617</v>
      </c>
      <c r="F51" s="13" t="s">
        <v>1618</v>
      </c>
      <c r="G51" s="13" t="s">
        <v>1619</v>
      </c>
      <c r="H51" s="17">
        <v>60</v>
      </c>
      <c r="I51" s="16"/>
      <c r="J51" s="16"/>
      <c r="K51" s="13" t="s">
        <v>1661</v>
      </c>
      <c r="L51" s="13" t="s">
        <v>1308</v>
      </c>
      <c r="M51" s="13" t="s">
        <v>1949</v>
      </c>
      <c r="N51" s="13" t="s">
        <v>1950</v>
      </c>
      <c r="O51" s="13" t="s">
        <v>71</v>
      </c>
      <c r="P51" s="13" t="s">
        <v>976</v>
      </c>
      <c r="Q51" s="13" t="s">
        <v>1623</v>
      </c>
      <c r="R51" s="16"/>
      <c r="S51" s="16"/>
      <c r="T51" s="16"/>
      <c r="U51" s="13" t="s">
        <v>1951</v>
      </c>
      <c r="V51" s="13" t="s">
        <v>1952</v>
      </c>
      <c r="W51" s="13" t="s">
        <v>1953</v>
      </c>
      <c r="X51" s="13" t="s">
        <v>71</v>
      </c>
      <c r="Y51" s="13" t="s">
        <v>1619</v>
      </c>
      <c r="Z51" s="13" t="s">
        <v>1949</v>
      </c>
      <c r="AA51" s="13" t="s">
        <v>71</v>
      </c>
      <c r="AB51" s="16"/>
      <c r="AC51" s="13" t="s">
        <v>71</v>
      </c>
      <c r="AD51" s="13" t="s">
        <v>1678</v>
      </c>
      <c r="AE51" s="13" t="s">
        <v>1679</v>
      </c>
      <c r="AF51" s="13" t="s">
        <v>1629</v>
      </c>
      <c r="AG51" s="13" t="s">
        <v>1954</v>
      </c>
      <c r="AH51" s="13" t="s">
        <v>1955</v>
      </c>
      <c r="AI51" s="13" t="s">
        <v>1956</v>
      </c>
      <c r="AJ51" s="13" t="s">
        <v>1633</v>
      </c>
      <c r="AK51" s="13" t="s">
        <v>42</v>
      </c>
      <c r="AL51" s="13" t="s">
        <v>43</v>
      </c>
      <c r="AM51" s="13" t="s">
        <v>1634</v>
      </c>
      <c r="AN51" s="13" t="s">
        <v>1303</v>
      </c>
      <c r="AO51" s="13" t="s">
        <v>1304</v>
      </c>
      <c r="AP51" s="13" t="s">
        <v>1635</v>
      </c>
      <c r="AQ51" s="16"/>
      <c r="AR51" s="13" t="s">
        <v>1308</v>
      </c>
      <c r="AS51" s="15">
        <v>1</v>
      </c>
      <c r="AT51" s="14">
        <v>0</v>
      </c>
      <c r="AU51" s="14">
        <v>0</v>
      </c>
      <c r="AV51" s="14">
        <v>0</v>
      </c>
      <c r="AW51" s="14">
        <v>0</v>
      </c>
      <c r="AX51" s="14">
        <v>1849</v>
      </c>
      <c r="AY51" s="14">
        <v>1849</v>
      </c>
      <c r="AZ51" s="15">
        <v>22188</v>
      </c>
      <c r="BA51" s="15">
        <v>0</v>
      </c>
      <c r="BB51" s="21">
        <v>45777</v>
      </c>
      <c r="BC51" s="21">
        <v>44655</v>
      </c>
      <c r="BD51" s="17">
        <v>2022</v>
      </c>
      <c r="BE51" s="17">
        <v>9</v>
      </c>
      <c r="BF51" s="16"/>
      <c r="BG51" s="16"/>
      <c r="BH51" s="16"/>
      <c r="BI51" s="13" t="s">
        <v>1308</v>
      </c>
      <c r="BJ51" s="16"/>
      <c r="BK51" s="16"/>
      <c r="BL51" s="16"/>
      <c r="BM51" s="16"/>
      <c r="BN51" s="16"/>
      <c r="BO51" s="16"/>
      <c r="BP51" s="16"/>
      <c r="BQ51" s="21">
        <v>44657</v>
      </c>
      <c r="BR51" s="17">
        <v>2022</v>
      </c>
      <c r="BS51" s="17">
        <v>10</v>
      </c>
      <c r="BT51" s="17">
        <v>2026</v>
      </c>
      <c r="BU51" s="17">
        <v>10</v>
      </c>
      <c r="BV51" s="21">
        <v>44657</v>
      </c>
      <c r="BW51" s="17">
        <v>2022</v>
      </c>
      <c r="BX51" s="17">
        <v>10</v>
      </c>
      <c r="BY51" s="17">
        <v>2022</v>
      </c>
      <c r="BZ51" s="17">
        <v>10</v>
      </c>
      <c r="CA51" s="21">
        <v>45777</v>
      </c>
      <c r="CB51" s="17">
        <v>2025</v>
      </c>
      <c r="CC51" s="17">
        <v>4</v>
      </c>
      <c r="CD51" s="13" t="s">
        <v>1766</v>
      </c>
      <c r="CE51" s="13" t="s">
        <v>1767</v>
      </c>
      <c r="CF51" s="13" t="s">
        <v>1308</v>
      </c>
      <c r="CG51" s="13" t="s">
        <v>1957</v>
      </c>
      <c r="CH51" s="13" t="s">
        <v>1958</v>
      </c>
      <c r="CI51" s="13" t="s">
        <v>1959</v>
      </c>
      <c r="CJ51" s="13" t="s">
        <v>1960</v>
      </c>
      <c r="CK51" s="13" t="s">
        <v>1735</v>
      </c>
      <c r="CL51" s="13" t="s">
        <v>1736</v>
      </c>
      <c r="CM51" s="13" t="s">
        <v>1961</v>
      </c>
      <c r="CN51" s="13" t="s">
        <v>1962</v>
      </c>
      <c r="CO51" s="16"/>
      <c r="CP51" s="16"/>
    </row>
    <row r="52" spans="1:94" s="1" customFormat="1" ht="13" thickBot="1" x14ac:dyDescent="0.3">
      <c r="A52" s="13" t="s">
        <v>1963</v>
      </c>
      <c r="B52" s="16"/>
      <c r="C52" s="16"/>
      <c r="D52" s="13" t="s">
        <v>1699</v>
      </c>
      <c r="E52" s="13" t="s">
        <v>1700</v>
      </c>
      <c r="F52" s="13" t="s">
        <v>1699</v>
      </c>
      <c r="G52" s="13" t="s">
        <v>1701</v>
      </c>
      <c r="H52" s="17">
        <v>1</v>
      </c>
      <c r="I52" s="16"/>
      <c r="J52" s="16"/>
      <c r="K52" s="13" t="s">
        <v>1308</v>
      </c>
      <c r="L52" s="13" t="s">
        <v>1308</v>
      </c>
      <c r="M52" s="13" t="s">
        <v>1789</v>
      </c>
      <c r="N52" s="13" t="s">
        <v>1790</v>
      </c>
      <c r="O52" s="13" t="s">
        <v>77</v>
      </c>
      <c r="P52" s="13" t="s">
        <v>976</v>
      </c>
      <c r="Q52" s="13" t="s">
        <v>1623</v>
      </c>
      <c r="R52" s="13" t="s">
        <v>1964</v>
      </c>
      <c r="S52" s="16"/>
      <c r="T52" s="16"/>
      <c r="U52" s="13" t="s">
        <v>1791</v>
      </c>
      <c r="V52" s="13" t="s">
        <v>77</v>
      </c>
      <c r="W52" s="13" t="s">
        <v>1792</v>
      </c>
      <c r="X52" s="13" t="s">
        <v>77</v>
      </c>
      <c r="Y52" s="13" t="s">
        <v>1701</v>
      </c>
      <c r="Z52" s="13" t="s">
        <v>1789</v>
      </c>
      <c r="AA52" s="13" t="s">
        <v>77</v>
      </c>
      <c r="AB52" s="16"/>
      <c r="AC52" s="13" t="s">
        <v>77</v>
      </c>
      <c r="AD52" s="13" t="s">
        <v>1678</v>
      </c>
      <c r="AE52" s="13" t="s">
        <v>1679</v>
      </c>
      <c r="AF52" s="13" t="s">
        <v>1629</v>
      </c>
      <c r="AG52" s="13" t="s">
        <v>1793</v>
      </c>
      <c r="AH52" s="13" t="s">
        <v>1794</v>
      </c>
      <c r="AI52" s="13" t="s">
        <v>1752</v>
      </c>
      <c r="AJ52" s="13" t="s">
        <v>1633</v>
      </c>
      <c r="AK52" s="13" t="s">
        <v>35</v>
      </c>
      <c r="AL52" s="13" t="s">
        <v>36</v>
      </c>
      <c r="AM52" s="13" t="s">
        <v>1634</v>
      </c>
      <c r="AN52" s="13" t="s">
        <v>1303</v>
      </c>
      <c r="AO52" s="13" t="s">
        <v>1304</v>
      </c>
      <c r="AP52" s="13" t="s">
        <v>1635</v>
      </c>
      <c r="AQ52" s="16"/>
      <c r="AR52" s="13" t="s">
        <v>1308</v>
      </c>
      <c r="AS52" s="15">
        <v>1</v>
      </c>
      <c r="AT52" s="14">
        <v>0</v>
      </c>
      <c r="AU52" s="14">
        <v>0</v>
      </c>
      <c r="AV52" s="14">
        <v>0</v>
      </c>
      <c r="AW52" s="14">
        <v>0</v>
      </c>
      <c r="AX52" s="14">
        <v>195</v>
      </c>
      <c r="AY52" s="14">
        <v>299</v>
      </c>
      <c r="AZ52" s="15">
        <v>0</v>
      </c>
      <c r="BA52" s="15">
        <v>0</v>
      </c>
      <c r="BB52" s="21">
        <v>45778</v>
      </c>
      <c r="BC52" s="21">
        <v>43848</v>
      </c>
      <c r="BD52" s="17">
        <v>2020</v>
      </c>
      <c r="BE52" s="17">
        <v>7</v>
      </c>
      <c r="BF52" s="16"/>
      <c r="BG52" s="16"/>
      <c r="BH52" s="16"/>
      <c r="BI52" s="13" t="s">
        <v>1308</v>
      </c>
      <c r="BJ52" s="16"/>
      <c r="BK52" s="16"/>
      <c r="BL52" s="16"/>
      <c r="BM52" s="16"/>
      <c r="BN52" s="16"/>
      <c r="BO52" s="16"/>
      <c r="BP52" s="16"/>
      <c r="BQ52" s="21">
        <v>43862</v>
      </c>
      <c r="BR52" s="17">
        <v>2020</v>
      </c>
      <c r="BS52" s="17">
        <v>7</v>
      </c>
      <c r="BT52" s="17">
        <v>2026</v>
      </c>
      <c r="BU52" s="17">
        <v>8</v>
      </c>
      <c r="BV52" s="16"/>
      <c r="BW52" s="16"/>
      <c r="BX52" s="16"/>
      <c r="BY52" s="16"/>
      <c r="BZ52" s="16"/>
      <c r="CA52" s="21">
        <v>45777</v>
      </c>
      <c r="CB52" s="17">
        <v>2025</v>
      </c>
      <c r="CC52" s="17">
        <v>4</v>
      </c>
      <c r="CD52" s="13" t="s">
        <v>1636</v>
      </c>
      <c r="CE52" s="13" t="s">
        <v>1637</v>
      </c>
      <c r="CF52" s="13" t="s">
        <v>1308</v>
      </c>
      <c r="CG52" s="13" t="s">
        <v>1638</v>
      </c>
      <c r="CH52" s="13" t="s">
        <v>1639</v>
      </c>
      <c r="CI52" s="13" t="s">
        <v>1640</v>
      </c>
      <c r="CJ52" s="13" t="s">
        <v>1641</v>
      </c>
      <c r="CK52" s="13" t="s">
        <v>1642</v>
      </c>
      <c r="CL52" s="13" t="s">
        <v>1643</v>
      </c>
      <c r="CM52" s="13" t="s">
        <v>1644</v>
      </c>
      <c r="CN52" s="13" t="s">
        <v>1645</v>
      </c>
      <c r="CO52" s="16"/>
      <c r="CP52" s="16"/>
    </row>
    <row r="53" spans="1:94" s="1" customFormat="1" ht="13" thickBot="1" x14ac:dyDescent="0.3">
      <c r="A53" s="13" t="s">
        <v>1965</v>
      </c>
      <c r="B53" s="13" t="s">
        <v>74</v>
      </c>
      <c r="C53" s="13" t="s">
        <v>75</v>
      </c>
      <c r="D53" s="13" t="s">
        <v>1616</v>
      </c>
      <c r="E53" s="13" t="s">
        <v>1617</v>
      </c>
      <c r="F53" s="13" t="s">
        <v>1618</v>
      </c>
      <c r="G53" s="13" t="s">
        <v>1619</v>
      </c>
      <c r="H53" s="17">
        <v>12</v>
      </c>
      <c r="I53" s="16"/>
      <c r="J53" s="16"/>
      <c r="K53" s="13" t="s">
        <v>1308</v>
      </c>
      <c r="L53" s="13" t="s">
        <v>1308</v>
      </c>
      <c r="M53" s="13" t="s">
        <v>1966</v>
      </c>
      <c r="N53" s="16"/>
      <c r="O53" s="13" t="s">
        <v>425</v>
      </c>
      <c r="P53" s="13" t="s">
        <v>976</v>
      </c>
      <c r="Q53" s="13" t="s">
        <v>1649</v>
      </c>
      <c r="R53" s="13" t="s">
        <v>1967</v>
      </c>
      <c r="S53" s="13" t="s">
        <v>1968</v>
      </c>
      <c r="T53" s="16"/>
      <c r="U53" s="13" t="s">
        <v>1969</v>
      </c>
      <c r="V53" s="13" t="s">
        <v>1970</v>
      </c>
      <c r="W53" s="13" t="s">
        <v>1971</v>
      </c>
      <c r="X53" s="13" t="s">
        <v>425</v>
      </c>
      <c r="Y53" s="13" t="s">
        <v>1619</v>
      </c>
      <c r="Z53" s="13" t="s">
        <v>1966</v>
      </c>
      <c r="AA53" s="13" t="s">
        <v>425</v>
      </c>
      <c r="AB53" s="16"/>
      <c r="AC53" s="13" t="s">
        <v>425</v>
      </c>
      <c r="AD53" s="13" t="s">
        <v>1627</v>
      </c>
      <c r="AE53" s="13" t="s">
        <v>1628</v>
      </c>
      <c r="AF53" s="13" t="s">
        <v>1629</v>
      </c>
      <c r="AG53" s="13" t="s">
        <v>1972</v>
      </c>
      <c r="AH53" s="13" t="s">
        <v>1973</v>
      </c>
      <c r="AI53" s="13" t="s">
        <v>1974</v>
      </c>
      <c r="AJ53" s="13" t="s">
        <v>1633</v>
      </c>
      <c r="AK53" s="13" t="s">
        <v>67</v>
      </c>
      <c r="AL53" s="13" t="s">
        <v>68</v>
      </c>
      <c r="AM53" s="13" t="s">
        <v>1634</v>
      </c>
      <c r="AN53" s="13" t="s">
        <v>1303</v>
      </c>
      <c r="AO53" s="13" t="s">
        <v>1304</v>
      </c>
      <c r="AP53" s="13" t="s">
        <v>1635</v>
      </c>
      <c r="AQ53" s="16"/>
      <c r="AR53" s="13" t="s">
        <v>1308</v>
      </c>
      <c r="AS53" s="15">
        <v>1</v>
      </c>
      <c r="AT53" s="14">
        <v>0</v>
      </c>
      <c r="AU53" s="14">
        <v>0</v>
      </c>
      <c r="AV53" s="14">
        <v>0</v>
      </c>
      <c r="AW53" s="14">
        <v>0</v>
      </c>
      <c r="AX53" s="14">
        <v>599</v>
      </c>
      <c r="AY53" s="14">
        <v>599</v>
      </c>
      <c r="AZ53" s="22">
        <v>2875.2</v>
      </c>
      <c r="BA53" s="15">
        <v>0</v>
      </c>
      <c r="BB53" s="21">
        <v>45742</v>
      </c>
      <c r="BC53" s="21">
        <v>45639</v>
      </c>
      <c r="BD53" s="17">
        <v>2024</v>
      </c>
      <c r="BE53" s="17">
        <v>12</v>
      </c>
      <c r="BF53" s="16"/>
      <c r="BG53" s="16"/>
      <c r="BH53" s="16"/>
      <c r="BI53" s="13" t="s">
        <v>1308</v>
      </c>
      <c r="BJ53" s="16"/>
      <c r="BK53" s="16"/>
      <c r="BL53" s="16"/>
      <c r="BM53" s="16"/>
      <c r="BN53" s="16"/>
      <c r="BO53" s="16"/>
      <c r="BP53" s="16"/>
      <c r="BQ53" s="21">
        <v>45642</v>
      </c>
      <c r="BR53" s="17">
        <v>2024</v>
      </c>
      <c r="BS53" s="17">
        <v>12</v>
      </c>
      <c r="BT53" s="17">
        <v>2026</v>
      </c>
      <c r="BU53" s="17">
        <v>1</v>
      </c>
      <c r="BV53" s="21">
        <v>45705</v>
      </c>
      <c r="BW53" s="17">
        <v>2025</v>
      </c>
      <c r="BX53" s="17">
        <v>2</v>
      </c>
      <c r="BY53" s="17">
        <v>2025</v>
      </c>
      <c r="BZ53" s="17">
        <v>3</v>
      </c>
      <c r="CA53" s="21">
        <v>45740</v>
      </c>
      <c r="CB53" s="17">
        <v>2025</v>
      </c>
      <c r="CC53" s="17">
        <v>3</v>
      </c>
      <c r="CD53" s="13" t="s">
        <v>1636</v>
      </c>
      <c r="CE53" s="13" t="s">
        <v>1637</v>
      </c>
      <c r="CF53" s="13" t="s">
        <v>1308</v>
      </c>
      <c r="CG53" s="13" t="s">
        <v>1638</v>
      </c>
      <c r="CH53" s="13" t="s">
        <v>1639</v>
      </c>
      <c r="CI53" s="13" t="s">
        <v>1640</v>
      </c>
      <c r="CJ53" s="13" t="s">
        <v>1641</v>
      </c>
      <c r="CK53" s="13" t="s">
        <v>1642</v>
      </c>
      <c r="CL53" s="13" t="s">
        <v>1643</v>
      </c>
      <c r="CM53" s="13" t="s">
        <v>1644</v>
      </c>
      <c r="CN53" s="13" t="s">
        <v>1645</v>
      </c>
      <c r="CO53" s="16"/>
      <c r="CP53" s="16"/>
    </row>
    <row r="54" spans="1:94" s="1" customFormat="1" ht="13" thickBot="1" x14ac:dyDescent="0.3">
      <c r="A54" s="13" t="s">
        <v>1975</v>
      </c>
      <c r="B54" s="16"/>
      <c r="C54" s="16"/>
      <c r="D54" s="13" t="s">
        <v>1616</v>
      </c>
      <c r="E54" s="13" t="s">
        <v>1670</v>
      </c>
      <c r="F54" s="13" t="s">
        <v>1618</v>
      </c>
      <c r="G54" s="13" t="s">
        <v>1619</v>
      </c>
      <c r="H54" s="17">
        <v>1</v>
      </c>
      <c r="I54" s="16"/>
      <c r="J54" s="16"/>
      <c r="K54" s="13" t="s">
        <v>1308</v>
      </c>
      <c r="L54" s="13" t="s">
        <v>1308</v>
      </c>
      <c r="M54" s="13" t="s">
        <v>1671</v>
      </c>
      <c r="N54" s="13" t="s">
        <v>1672</v>
      </c>
      <c r="O54" s="13" t="s">
        <v>127</v>
      </c>
      <c r="P54" s="13" t="s">
        <v>976</v>
      </c>
      <c r="Q54" s="13" t="s">
        <v>1623</v>
      </c>
      <c r="R54" s="13" t="s">
        <v>1674</v>
      </c>
      <c r="S54" s="16"/>
      <c r="T54" s="16"/>
      <c r="U54" s="13" t="s">
        <v>1675</v>
      </c>
      <c r="V54" s="13" t="s">
        <v>1676</v>
      </c>
      <c r="W54" s="13" t="s">
        <v>1677</v>
      </c>
      <c r="X54" s="13" t="s">
        <v>127</v>
      </c>
      <c r="Y54" s="13" t="s">
        <v>1619</v>
      </c>
      <c r="Z54" s="13" t="s">
        <v>1671</v>
      </c>
      <c r="AA54" s="13" t="s">
        <v>127</v>
      </c>
      <c r="AB54" s="16"/>
      <c r="AC54" s="13" t="s">
        <v>127</v>
      </c>
      <c r="AD54" s="13" t="s">
        <v>1678</v>
      </c>
      <c r="AE54" s="13" t="s">
        <v>1679</v>
      </c>
      <c r="AF54" s="13" t="s">
        <v>1629</v>
      </c>
      <c r="AG54" s="13" t="s">
        <v>1680</v>
      </c>
      <c r="AH54" s="13" t="s">
        <v>1681</v>
      </c>
      <c r="AI54" s="13" t="s">
        <v>1682</v>
      </c>
      <c r="AJ54" s="13" t="s">
        <v>1633</v>
      </c>
      <c r="AK54" s="13" t="s">
        <v>1668</v>
      </c>
      <c r="AL54" s="13" t="s">
        <v>1669</v>
      </c>
      <c r="AM54" s="13" t="s">
        <v>1634</v>
      </c>
      <c r="AN54" s="13" t="s">
        <v>1303</v>
      </c>
      <c r="AO54" s="13" t="s">
        <v>1304</v>
      </c>
      <c r="AP54" s="13" t="s">
        <v>1635</v>
      </c>
      <c r="AQ54" s="16"/>
      <c r="AR54" s="13" t="s">
        <v>1308</v>
      </c>
      <c r="AS54" s="15">
        <v>1</v>
      </c>
      <c r="AT54" s="14">
        <v>0</v>
      </c>
      <c r="AU54" s="14">
        <v>0</v>
      </c>
      <c r="AV54" s="14">
        <v>0</v>
      </c>
      <c r="AW54" s="14">
        <v>0</v>
      </c>
      <c r="AX54" s="14">
        <v>1394</v>
      </c>
      <c r="AY54" s="14">
        <v>1394</v>
      </c>
      <c r="AZ54" s="15">
        <v>0</v>
      </c>
      <c r="BA54" s="15">
        <v>0</v>
      </c>
      <c r="BB54" s="21">
        <v>44484</v>
      </c>
      <c r="BC54" s="21">
        <v>43676</v>
      </c>
      <c r="BD54" s="17">
        <v>2020</v>
      </c>
      <c r="BE54" s="17">
        <v>1</v>
      </c>
      <c r="BF54" s="16"/>
      <c r="BG54" s="16"/>
      <c r="BH54" s="16"/>
      <c r="BI54" s="13" t="s">
        <v>1308</v>
      </c>
      <c r="BJ54" s="16"/>
      <c r="BK54" s="16"/>
      <c r="BL54" s="16"/>
      <c r="BM54" s="16"/>
      <c r="BN54" s="16"/>
      <c r="BO54" s="16"/>
      <c r="BP54" s="16"/>
      <c r="BQ54" s="21">
        <v>43724</v>
      </c>
      <c r="BR54" s="17">
        <v>2020</v>
      </c>
      <c r="BS54" s="17">
        <v>4</v>
      </c>
      <c r="BT54" s="17">
        <v>2026</v>
      </c>
      <c r="BU54" s="17">
        <v>4</v>
      </c>
      <c r="BV54" s="21">
        <v>43663</v>
      </c>
      <c r="BW54" s="17">
        <v>2020</v>
      </c>
      <c r="BX54" s="17">
        <v>1</v>
      </c>
      <c r="BY54" s="17">
        <v>2020</v>
      </c>
      <c r="BZ54" s="17">
        <v>2</v>
      </c>
      <c r="CA54" s="21">
        <v>44472</v>
      </c>
      <c r="CB54" s="17">
        <v>2022</v>
      </c>
      <c r="CC54" s="17">
        <v>4</v>
      </c>
      <c r="CD54" s="13" t="s">
        <v>1636</v>
      </c>
      <c r="CE54" s="13" t="s">
        <v>1637</v>
      </c>
      <c r="CF54" s="13" t="s">
        <v>1308</v>
      </c>
      <c r="CG54" s="13" t="s">
        <v>1638</v>
      </c>
      <c r="CH54" s="13" t="s">
        <v>1639</v>
      </c>
      <c r="CI54" s="13" t="s">
        <v>1640</v>
      </c>
      <c r="CJ54" s="13" t="s">
        <v>1641</v>
      </c>
      <c r="CK54" s="13" t="s">
        <v>1642</v>
      </c>
      <c r="CL54" s="13" t="s">
        <v>1643</v>
      </c>
      <c r="CM54" s="13" t="s">
        <v>1644</v>
      </c>
      <c r="CN54" s="13" t="s">
        <v>1645</v>
      </c>
      <c r="CO54" s="16"/>
      <c r="CP54" s="16"/>
    </row>
    <row r="55" spans="1:94" s="1" customFormat="1" ht="13" thickBot="1" x14ac:dyDescent="0.3">
      <c r="A55" s="13" t="s">
        <v>1976</v>
      </c>
      <c r="B55" s="16"/>
      <c r="C55" s="16"/>
      <c r="D55" s="13" t="s">
        <v>1616</v>
      </c>
      <c r="E55" s="13" t="s">
        <v>1670</v>
      </c>
      <c r="F55" s="13" t="s">
        <v>1618</v>
      </c>
      <c r="G55" s="13" t="s">
        <v>1619</v>
      </c>
      <c r="H55" s="17">
        <v>12</v>
      </c>
      <c r="I55" s="16"/>
      <c r="J55" s="13" t="s">
        <v>1814</v>
      </c>
      <c r="K55" s="13" t="s">
        <v>1308</v>
      </c>
      <c r="L55" s="13" t="s">
        <v>1308</v>
      </c>
      <c r="M55" s="13" t="s">
        <v>1814</v>
      </c>
      <c r="N55" s="13" t="s">
        <v>1815</v>
      </c>
      <c r="O55" s="13" t="s">
        <v>66</v>
      </c>
      <c r="P55" s="13" t="s">
        <v>1673</v>
      </c>
      <c r="Q55" s="13" t="s">
        <v>1623</v>
      </c>
      <c r="R55" s="16"/>
      <c r="S55" s="16"/>
      <c r="T55" s="16"/>
      <c r="U55" s="13" t="s">
        <v>1817</v>
      </c>
      <c r="V55" s="13" t="s">
        <v>1818</v>
      </c>
      <c r="W55" s="13" t="s">
        <v>1819</v>
      </c>
      <c r="X55" s="13" t="s">
        <v>66</v>
      </c>
      <c r="Y55" s="13" t="s">
        <v>1619</v>
      </c>
      <c r="Z55" s="13" t="s">
        <v>1814</v>
      </c>
      <c r="AA55" s="13" t="s">
        <v>66</v>
      </c>
      <c r="AB55" s="16"/>
      <c r="AC55" s="13" t="s">
        <v>66</v>
      </c>
      <c r="AD55" s="13" t="s">
        <v>1678</v>
      </c>
      <c r="AE55" s="13" t="s">
        <v>1679</v>
      </c>
      <c r="AF55" s="13" t="s">
        <v>1629</v>
      </c>
      <c r="AG55" s="13" t="s">
        <v>1820</v>
      </c>
      <c r="AH55" s="13" t="s">
        <v>1821</v>
      </c>
      <c r="AI55" s="13" t="s">
        <v>1682</v>
      </c>
      <c r="AJ55" s="13" t="s">
        <v>1633</v>
      </c>
      <c r="AK55" s="13" t="s">
        <v>1977</v>
      </c>
      <c r="AL55" s="13" t="s">
        <v>1978</v>
      </c>
      <c r="AM55" s="13" t="s">
        <v>1634</v>
      </c>
      <c r="AN55" s="13" t="s">
        <v>1303</v>
      </c>
      <c r="AO55" s="13" t="s">
        <v>1304</v>
      </c>
      <c r="AP55" s="13" t="s">
        <v>1635</v>
      </c>
      <c r="AQ55" s="16"/>
      <c r="AR55" s="13" t="s">
        <v>1308</v>
      </c>
      <c r="AS55" s="15">
        <v>1</v>
      </c>
      <c r="AT55" s="14">
        <v>0</v>
      </c>
      <c r="AU55" s="14">
        <v>0</v>
      </c>
      <c r="AV55" s="14">
        <v>0</v>
      </c>
      <c r="AW55" s="14">
        <v>0</v>
      </c>
      <c r="AX55" s="14">
        <v>299</v>
      </c>
      <c r="AY55" s="14">
        <v>299</v>
      </c>
      <c r="AZ55" s="15">
        <v>3588</v>
      </c>
      <c r="BA55" s="15">
        <v>0</v>
      </c>
      <c r="BB55" s="21">
        <v>45973</v>
      </c>
      <c r="BC55" s="21">
        <v>45968</v>
      </c>
      <c r="BD55" s="17">
        <v>2025</v>
      </c>
      <c r="BE55" s="17">
        <v>11</v>
      </c>
      <c r="BF55" s="16"/>
      <c r="BG55" s="16"/>
      <c r="BH55" s="16"/>
      <c r="BI55" s="13" t="s">
        <v>1308</v>
      </c>
      <c r="BJ55" s="16"/>
      <c r="BK55" s="16"/>
      <c r="BL55" s="16"/>
      <c r="BM55" s="16"/>
      <c r="BN55" s="16"/>
      <c r="BO55" s="16"/>
      <c r="BP55" s="16"/>
      <c r="BQ55" s="21">
        <v>45973</v>
      </c>
      <c r="BR55" s="17">
        <v>2025</v>
      </c>
      <c r="BS55" s="17">
        <v>11</v>
      </c>
      <c r="BT55" s="17">
        <v>2026</v>
      </c>
      <c r="BU55" s="17">
        <v>11</v>
      </c>
      <c r="BV55" s="21">
        <v>45973</v>
      </c>
      <c r="BW55" s="17">
        <v>2025</v>
      </c>
      <c r="BX55" s="17">
        <v>11</v>
      </c>
      <c r="BY55" s="17">
        <v>2025</v>
      </c>
      <c r="BZ55" s="17">
        <v>11</v>
      </c>
      <c r="CA55" s="16"/>
      <c r="CB55" s="16"/>
      <c r="CC55" s="16"/>
      <c r="CD55" s="16"/>
      <c r="CE55" s="16"/>
      <c r="CF55" s="16"/>
      <c r="CG55" s="16"/>
      <c r="CH55" s="16"/>
      <c r="CI55" s="16"/>
      <c r="CJ55" s="16"/>
      <c r="CK55" s="16"/>
      <c r="CL55" s="16"/>
      <c r="CM55" s="16"/>
      <c r="CN55" s="16"/>
      <c r="CO55" s="16"/>
      <c r="CP55" s="16"/>
    </row>
    <row r="56" spans="1:94" s="1" customFormat="1" ht="13" thickBot="1" x14ac:dyDescent="0.3">
      <c r="A56" s="13" t="s">
        <v>1910</v>
      </c>
      <c r="B56" s="16"/>
      <c r="C56" s="16"/>
      <c r="D56" s="13" t="s">
        <v>1616</v>
      </c>
      <c r="E56" s="13" t="s">
        <v>1801</v>
      </c>
      <c r="F56" s="13" t="s">
        <v>1906</v>
      </c>
      <c r="G56" s="13" t="s">
        <v>1907</v>
      </c>
      <c r="H56" s="17">
        <v>36</v>
      </c>
      <c r="I56" s="16"/>
      <c r="J56" s="16"/>
      <c r="K56" s="13" t="s">
        <v>1308</v>
      </c>
      <c r="L56" s="13" t="s">
        <v>1308</v>
      </c>
      <c r="M56" s="13" t="s">
        <v>1908</v>
      </c>
      <c r="N56" s="13" t="s">
        <v>1909</v>
      </c>
      <c r="O56" s="13" t="s">
        <v>91</v>
      </c>
      <c r="P56" s="13" t="s">
        <v>976</v>
      </c>
      <c r="Q56" s="13" t="s">
        <v>1623</v>
      </c>
      <c r="R56" s="13" t="s">
        <v>1905</v>
      </c>
      <c r="S56" s="16"/>
      <c r="T56" s="16"/>
      <c r="U56" s="13" t="s">
        <v>1911</v>
      </c>
      <c r="V56" s="13" t="s">
        <v>1912</v>
      </c>
      <c r="W56" s="13" t="s">
        <v>1913</v>
      </c>
      <c r="X56" s="13" t="s">
        <v>1912</v>
      </c>
      <c r="Y56" s="13" t="s">
        <v>1907</v>
      </c>
      <c r="Z56" s="13" t="s">
        <v>1908</v>
      </c>
      <c r="AA56" s="13" t="s">
        <v>91</v>
      </c>
      <c r="AB56" s="16"/>
      <c r="AC56" s="13" t="s">
        <v>91</v>
      </c>
      <c r="AD56" s="13" t="s">
        <v>1678</v>
      </c>
      <c r="AE56" s="13" t="s">
        <v>1679</v>
      </c>
      <c r="AF56" s="13" t="s">
        <v>1629</v>
      </c>
      <c r="AG56" s="13" t="s">
        <v>1914</v>
      </c>
      <c r="AH56" s="13" t="s">
        <v>1915</v>
      </c>
      <c r="AI56" s="13" t="s">
        <v>1916</v>
      </c>
      <c r="AJ56" s="13" t="s">
        <v>1633</v>
      </c>
      <c r="AK56" s="13" t="s">
        <v>48</v>
      </c>
      <c r="AL56" s="13" t="s">
        <v>49</v>
      </c>
      <c r="AM56" s="13" t="s">
        <v>1634</v>
      </c>
      <c r="AN56" s="13" t="s">
        <v>1303</v>
      </c>
      <c r="AO56" s="13" t="s">
        <v>1304</v>
      </c>
      <c r="AP56" s="13" t="s">
        <v>1635</v>
      </c>
      <c r="AQ56" s="16"/>
      <c r="AR56" s="13" t="s">
        <v>1308</v>
      </c>
      <c r="AS56" s="15">
        <v>1</v>
      </c>
      <c r="AT56" s="14">
        <v>0</v>
      </c>
      <c r="AU56" s="14">
        <v>0</v>
      </c>
      <c r="AV56" s="14">
        <v>0</v>
      </c>
      <c r="AW56" s="14">
        <v>0</v>
      </c>
      <c r="AX56" s="14">
        <v>299</v>
      </c>
      <c r="AY56" s="14">
        <v>262</v>
      </c>
      <c r="AZ56" s="15">
        <v>3144</v>
      </c>
      <c r="BA56" s="15">
        <v>0</v>
      </c>
      <c r="BB56" s="21">
        <v>44531</v>
      </c>
      <c r="BC56" s="21">
        <v>44263</v>
      </c>
      <c r="BD56" s="17">
        <v>2021</v>
      </c>
      <c r="BE56" s="17">
        <v>9</v>
      </c>
      <c r="BF56" s="16"/>
      <c r="BG56" s="16"/>
      <c r="BH56" s="16"/>
      <c r="BI56" s="13" t="s">
        <v>1308</v>
      </c>
      <c r="BJ56" s="16"/>
      <c r="BK56" s="16"/>
      <c r="BL56" s="16"/>
      <c r="BM56" s="16"/>
      <c r="BN56" s="16"/>
      <c r="BO56" s="16"/>
      <c r="BP56" s="16"/>
      <c r="BQ56" s="21">
        <v>44305</v>
      </c>
      <c r="BR56" s="17">
        <v>2021</v>
      </c>
      <c r="BS56" s="17">
        <v>10</v>
      </c>
      <c r="BT56" s="17">
        <v>2026</v>
      </c>
      <c r="BU56" s="17">
        <v>11</v>
      </c>
      <c r="BV56" s="16"/>
      <c r="BW56" s="16"/>
      <c r="BX56" s="16"/>
      <c r="BY56" s="16"/>
      <c r="BZ56" s="16"/>
      <c r="CA56" s="21">
        <v>44530</v>
      </c>
      <c r="CB56" s="17">
        <v>2022</v>
      </c>
      <c r="CC56" s="17">
        <v>5</v>
      </c>
      <c r="CD56" s="13" t="s">
        <v>1636</v>
      </c>
      <c r="CE56" s="13" t="s">
        <v>1637</v>
      </c>
      <c r="CF56" s="13" t="s">
        <v>1308</v>
      </c>
      <c r="CG56" s="13" t="s">
        <v>1638</v>
      </c>
      <c r="CH56" s="13" t="s">
        <v>1639</v>
      </c>
      <c r="CI56" s="13" t="s">
        <v>1640</v>
      </c>
      <c r="CJ56" s="13" t="s">
        <v>1641</v>
      </c>
      <c r="CK56" s="13" t="s">
        <v>1642</v>
      </c>
      <c r="CL56" s="13" t="s">
        <v>1643</v>
      </c>
      <c r="CM56" s="13" t="s">
        <v>1644</v>
      </c>
      <c r="CN56" s="13" t="s">
        <v>1645</v>
      </c>
      <c r="CO56" s="16"/>
      <c r="CP56" s="16"/>
    </row>
    <row r="57" spans="1:94" s="1" customFormat="1" ht="13" thickBot="1" x14ac:dyDescent="0.3">
      <c r="A57" s="13" t="s">
        <v>1979</v>
      </c>
      <c r="B57" s="13" t="s">
        <v>1870</v>
      </c>
      <c r="C57" s="13" t="s">
        <v>1871</v>
      </c>
      <c r="D57" s="13" t="s">
        <v>1616</v>
      </c>
      <c r="E57" s="13" t="s">
        <v>1801</v>
      </c>
      <c r="F57" s="13" t="s">
        <v>1618</v>
      </c>
      <c r="G57" s="13" t="s">
        <v>1619</v>
      </c>
      <c r="H57" s="17">
        <v>12</v>
      </c>
      <c r="I57" s="16"/>
      <c r="J57" s="16"/>
      <c r="K57" s="13" t="s">
        <v>1308</v>
      </c>
      <c r="L57" s="13" t="s">
        <v>1308</v>
      </c>
      <c r="M57" s="13" t="s">
        <v>1845</v>
      </c>
      <c r="N57" s="16"/>
      <c r="O57" s="13" t="s">
        <v>1846</v>
      </c>
      <c r="P57" s="13" t="s">
        <v>976</v>
      </c>
      <c r="Q57" s="13" t="s">
        <v>1649</v>
      </c>
      <c r="R57" s="13" t="s">
        <v>1980</v>
      </c>
      <c r="S57" s="13" t="s">
        <v>1981</v>
      </c>
      <c r="T57" s="16"/>
      <c r="U57" s="13" t="s">
        <v>1805</v>
      </c>
      <c r="V57" s="13" t="s">
        <v>1806</v>
      </c>
      <c r="W57" s="13" t="s">
        <v>1848</v>
      </c>
      <c r="X57" s="13" t="s">
        <v>1846</v>
      </c>
      <c r="Y57" s="13" t="s">
        <v>1619</v>
      </c>
      <c r="Z57" s="13" t="s">
        <v>1845</v>
      </c>
      <c r="AA57" s="13" t="s">
        <v>1846</v>
      </c>
      <c r="AB57" s="16"/>
      <c r="AC57" s="13" t="s">
        <v>1846</v>
      </c>
      <c r="AD57" s="13" t="s">
        <v>1678</v>
      </c>
      <c r="AE57" s="13" t="s">
        <v>1679</v>
      </c>
      <c r="AF57" s="13" t="s">
        <v>1629</v>
      </c>
      <c r="AG57" s="13" t="s">
        <v>1849</v>
      </c>
      <c r="AH57" s="13" t="s">
        <v>1809</v>
      </c>
      <c r="AI57" s="13" t="s">
        <v>1682</v>
      </c>
      <c r="AJ57" s="13" t="s">
        <v>1633</v>
      </c>
      <c r="AK57" s="13" t="s">
        <v>97</v>
      </c>
      <c r="AL57" s="13" t="s">
        <v>98</v>
      </c>
      <c r="AM57" s="13" t="s">
        <v>1634</v>
      </c>
      <c r="AN57" s="13" t="s">
        <v>1303</v>
      </c>
      <c r="AO57" s="13" t="s">
        <v>1304</v>
      </c>
      <c r="AP57" s="13" t="s">
        <v>1635</v>
      </c>
      <c r="AQ57" s="16"/>
      <c r="AR57" s="13" t="s">
        <v>1308</v>
      </c>
      <c r="AS57" s="15">
        <v>1</v>
      </c>
      <c r="AT57" s="14">
        <v>0</v>
      </c>
      <c r="AU57" s="14">
        <v>0</v>
      </c>
      <c r="AV57" s="14">
        <v>0</v>
      </c>
      <c r="AW57" s="14">
        <v>0</v>
      </c>
      <c r="AX57" s="14">
        <v>1499</v>
      </c>
      <c r="AY57" s="14">
        <v>1499</v>
      </c>
      <c r="AZ57" s="15">
        <v>6000</v>
      </c>
      <c r="BA57" s="15">
        <v>0</v>
      </c>
      <c r="BB57" s="21">
        <v>45925</v>
      </c>
      <c r="BC57" s="21">
        <v>45373</v>
      </c>
      <c r="BD57" s="17">
        <v>2024</v>
      </c>
      <c r="BE57" s="17">
        <v>3</v>
      </c>
      <c r="BF57" s="16"/>
      <c r="BG57" s="16"/>
      <c r="BH57" s="16"/>
      <c r="BI57" s="13" t="s">
        <v>1308</v>
      </c>
      <c r="BJ57" s="16"/>
      <c r="BK57" s="16"/>
      <c r="BL57" s="16"/>
      <c r="BM57" s="16"/>
      <c r="BN57" s="16"/>
      <c r="BO57" s="16"/>
      <c r="BP57" s="16"/>
      <c r="BQ57" s="21">
        <v>45400</v>
      </c>
      <c r="BR57" s="17">
        <v>2024</v>
      </c>
      <c r="BS57" s="17">
        <v>4</v>
      </c>
      <c r="BT57" s="17">
        <v>2026</v>
      </c>
      <c r="BU57" s="17">
        <v>5</v>
      </c>
      <c r="BV57" s="21">
        <v>45400</v>
      </c>
      <c r="BW57" s="17">
        <v>2024</v>
      </c>
      <c r="BX57" s="17">
        <v>4</v>
      </c>
      <c r="BY57" s="17">
        <v>2024</v>
      </c>
      <c r="BZ57" s="17">
        <v>5</v>
      </c>
      <c r="CA57" s="21">
        <v>45924</v>
      </c>
      <c r="CB57" s="17">
        <v>2025</v>
      </c>
      <c r="CC57" s="17">
        <v>9</v>
      </c>
      <c r="CD57" s="13" t="s">
        <v>1636</v>
      </c>
      <c r="CE57" s="13" t="s">
        <v>1637</v>
      </c>
      <c r="CF57" s="13" t="s">
        <v>1308</v>
      </c>
      <c r="CG57" s="13" t="s">
        <v>1638</v>
      </c>
      <c r="CH57" s="13" t="s">
        <v>1639</v>
      </c>
      <c r="CI57" s="13" t="s">
        <v>1640</v>
      </c>
      <c r="CJ57" s="13" t="s">
        <v>1641</v>
      </c>
      <c r="CK57" s="13" t="s">
        <v>1642</v>
      </c>
      <c r="CL57" s="13" t="s">
        <v>1643</v>
      </c>
      <c r="CM57" s="13" t="s">
        <v>1644</v>
      </c>
      <c r="CN57" s="13" t="s">
        <v>1645</v>
      </c>
      <c r="CO57" s="16"/>
      <c r="CP57" s="16"/>
    </row>
    <row r="58" spans="1:94" s="1" customFormat="1" ht="13" thickBot="1" x14ac:dyDescent="0.3">
      <c r="A58" s="13" t="s">
        <v>1982</v>
      </c>
      <c r="B58" s="16"/>
      <c r="C58" s="16"/>
      <c r="D58" s="13" t="s">
        <v>1616</v>
      </c>
      <c r="E58" s="13" t="s">
        <v>1756</v>
      </c>
      <c r="F58" s="13" t="s">
        <v>1618</v>
      </c>
      <c r="G58" s="13" t="s">
        <v>1619</v>
      </c>
      <c r="H58" s="17">
        <v>1</v>
      </c>
      <c r="I58" s="16"/>
      <c r="J58" s="16"/>
      <c r="K58" s="13" t="s">
        <v>1661</v>
      </c>
      <c r="L58" s="13" t="s">
        <v>1308</v>
      </c>
      <c r="M58" s="13" t="s">
        <v>1983</v>
      </c>
      <c r="N58" s="13" t="s">
        <v>1984</v>
      </c>
      <c r="O58" s="13" t="s">
        <v>93</v>
      </c>
      <c r="P58" s="13" t="s">
        <v>976</v>
      </c>
      <c r="Q58" s="13" t="s">
        <v>1623</v>
      </c>
      <c r="R58" s="16"/>
      <c r="S58" s="16"/>
      <c r="T58" s="16"/>
      <c r="U58" s="13" t="s">
        <v>1985</v>
      </c>
      <c r="V58" s="13" t="s">
        <v>1986</v>
      </c>
      <c r="W58" s="13" t="s">
        <v>1987</v>
      </c>
      <c r="X58" s="13" t="s">
        <v>93</v>
      </c>
      <c r="Y58" s="13" t="s">
        <v>1619</v>
      </c>
      <c r="Z58" s="13" t="s">
        <v>1983</v>
      </c>
      <c r="AA58" s="13" t="s">
        <v>93</v>
      </c>
      <c r="AB58" s="16"/>
      <c r="AC58" s="13" t="s">
        <v>93</v>
      </c>
      <c r="AD58" s="13" t="s">
        <v>1678</v>
      </c>
      <c r="AE58" s="13" t="s">
        <v>1679</v>
      </c>
      <c r="AF58" s="13" t="s">
        <v>1629</v>
      </c>
      <c r="AG58" s="13" t="s">
        <v>1988</v>
      </c>
      <c r="AH58" s="13" t="s">
        <v>1989</v>
      </c>
      <c r="AI58" s="13" t="s">
        <v>1728</v>
      </c>
      <c r="AJ58" s="13" t="s">
        <v>1633</v>
      </c>
      <c r="AK58" s="13" t="s">
        <v>35</v>
      </c>
      <c r="AL58" s="13" t="s">
        <v>36</v>
      </c>
      <c r="AM58" s="13" t="s">
        <v>1634</v>
      </c>
      <c r="AN58" s="13" t="s">
        <v>1303</v>
      </c>
      <c r="AO58" s="13" t="s">
        <v>1304</v>
      </c>
      <c r="AP58" s="13" t="s">
        <v>1635</v>
      </c>
      <c r="AQ58" s="16"/>
      <c r="AR58" s="13" t="s">
        <v>1308</v>
      </c>
      <c r="AS58" s="15">
        <v>1</v>
      </c>
      <c r="AT58" s="14">
        <v>0</v>
      </c>
      <c r="AU58" s="14">
        <v>0</v>
      </c>
      <c r="AV58" s="14">
        <v>0</v>
      </c>
      <c r="AW58" s="14">
        <v>0</v>
      </c>
      <c r="AX58" s="14">
        <v>195</v>
      </c>
      <c r="AY58" s="14">
        <v>999</v>
      </c>
      <c r="AZ58" s="15">
        <v>0</v>
      </c>
      <c r="BA58" s="15">
        <v>0</v>
      </c>
      <c r="BB58" s="21">
        <v>43878</v>
      </c>
      <c r="BC58" s="21">
        <v>43848</v>
      </c>
      <c r="BD58" s="17">
        <v>2020</v>
      </c>
      <c r="BE58" s="17">
        <v>7</v>
      </c>
      <c r="BF58" s="16"/>
      <c r="BG58" s="16"/>
      <c r="BH58" s="16"/>
      <c r="BI58" s="13" t="s">
        <v>1308</v>
      </c>
      <c r="BJ58" s="16"/>
      <c r="BK58" s="16"/>
      <c r="BL58" s="16"/>
      <c r="BM58" s="16"/>
      <c r="BN58" s="16"/>
      <c r="BO58" s="16"/>
      <c r="BP58" s="16"/>
      <c r="BQ58" s="21">
        <v>43862</v>
      </c>
      <c r="BR58" s="17">
        <v>2020</v>
      </c>
      <c r="BS58" s="17">
        <v>7</v>
      </c>
      <c r="BT58" s="17">
        <v>2026</v>
      </c>
      <c r="BU58" s="17">
        <v>8</v>
      </c>
      <c r="BV58" s="16"/>
      <c r="BW58" s="16"/>
      <c r="BX58" s="16"/>
      <c r="BY58" s="16"/>
      <c r="BZ58" s="16"/>
      <c r="CA58" s="21">
        <v>43878</v>
      </c>
      <c r="CB58" s="17">
        <v>2020</v>
      </c>
      <c r="CC58" s="17">
        <v>8</v>
      </c>
      <c r="CD58" s="13" t="s">
        <v>1766</v>
      </c>
      <c r="CE58" s="13" t="s">
        <v>1767</v>
      </c>
      <c r="CF58" s="13" t="s">
        <v>1308</v>
      </c>
      <c r="CG58" s="13" t="s">
        <v>1731</v>
      </c>
      <c r="CH58" s="13" t="s">
        <v>1732</v>
      </c>
      <c r="CI58" s="13" t="s">
        <v>1733</v>
      </c>
      <c r="CJ58" s="13" t="s">
        <v>1734</v>
      </c>
      <c r="CK58" s="13" t="s">
        <v>1735</v>
      </c>
      <c r="CL58" s="13" t="s">
        <v>1736</v>
      </c>
      <c r="CM58" s="13" t="s">
        <v>4</v>
      </c>
      <c r="CN58" s="16"/>
      <c r="CO58" s="16"/>
      <c r="CP58" s="16"/>
    </row>
    <row r="59" spans="1:94" s="1" customFormat="1" ht="13" thickBot="1" x14ac:dyDescent="0.3">
      <c r="A59" s="13" t="s">
        <v>1990</v>
      </c>
      <c r="B59" s="16"/>
      <c r="C59" s="16"/>
      <c r="D59" s="13" t="s">
        <v>1616</v>
      </c>
      <c r="E59" s="13" t="s">
        <v>1801</v>
      </c>
      <c r="F59" s="13" t="s">
        <v>1618</v>
      </c>
      <c r="G59" s="13" t="s">
        <v>1619</v>
      </c>
      <c r="H59" s="17">
        <v>44</v>
      </c>
      <c r="I59" s="16"/>
      <c r="J59" s="16"/>
      <c r="K59" s="13" t="s">
        <v>1308</v>
      </c>
      <c r="L59" s="13" t="s">
        <v>1308</v>
      </c>
      <c r="M59" s="13" t="s">
        <v>1991</v>
      </c>
      <c r="N59" s="13" t="s">
        <v>1992</v>
      </c>
      <c r="O59" s="13" t="s">
        <v>62</v>
      </c>
      <c r="P59" s="13" t="s">
        <v>976</v>
      </c>
      <c r="Q59" s="13" t="s">
        <v>1623</v>
      </c>
      <c r="R59" s="16"/>
      <c r="S59" s="16"/>
      <c r="T59" s="16"/>
      <c r="U59" s="13" t="s">
        <v>1853</v>
      </c>
      <c r="V59" s="13" t="s">
        <v>1854</v>
      </c>
      <c r="W59" s="13" t="s">
        <v>1993</v>
      </c>
      <c r="X59" s="13" t="s">
        <v>62</v>
      </c>
      <c r="Y59" s="13" t="s">
        <v>1619</v>
      </c>
      <c r="Z59" s="13" t="s">
        <v>1991</v>
      </c>
      <c r="AA59" s="13" t="s">
        <v>62</v>
      </c>
      <c r="AB59" s="16"/>
      <c r="AC59" s="13" t="s">
        <v>62</v>
      </c>
      <c r="AD59" s="13" t="s">
        <v>1627</v>
      </c>
      <c r="AE59" s="13" t="s">
        <v>1628</v>
      </c>
      <c r="AF59" s="13" t="s">
        <v>1629</v>
      </c>
      <c r="AG59" s="13" t="s">
        <v>1994</v>
      </c>
      <c r="AH59" s="13" t="s">
        <v>1995</v>
      </c>
      <c r="AI59" s="13" t="s">
        <v>1777</v>
      </c>
      <c r="AJ59" s="13" t="s">
        <v>1633</v>
      </c>
      <c r="AK59" s="13" t="s">
        <v>48</v>
      </c>
      <c r="AL59" s="13" t="s">
        <v>49</v>
      </c>
      <c r="AM59" s="13" t="s">
        <v>1634</v>
      </c>
      <c r="AN59" s="13" t="s">
        <v>1303</v>
      </c>
      <c r="AO59" s="13" t="s">
        <v>1304</v>
      </c>
      <c r="AP59" s="13" t="s">
        <v>1635</v>
      </c>
      <c r="AQ59" s="16"/>
      <c r="AR59" s="13" t="s">
        <v>1308</v>
      </c>
      <c r="AS59" s="15">
        <v>1</v>
      </c>
      <c r="AT59" s="14">
        <v>0</v>
      </c>
      <c r="AU59" s="14">
        <v>0</v>
      </c>
      <c r="AV59" s="14">
        <v>0</v>
      </c>
      <c r="AW59" s="14">
        <v>0</v>
      </c>
      <c r="AX59" s="14">
        <v>299</v>
      </c>
      <c r="AY59" s="14">
        <v>299</v>
      </c>
      <c r="AZ59" s="15">
        <v>3588</v>
      </c>
      <c r="BA59" s="15">
        <v>3</v>
      </c>
      <c r="BB59" s="21">
        <v>45789</v>
      </c>
      <c r="BC59" s="21">
        <v>44564</v>
      </c>
      <c r="BD59" s="17">
        <v>2022</v>
      </c>
      <c r="BE59" s="17">
        <v>6</v>
      </c>
      <c r="BF59" s="16"/>
      <c r="BG59" s="16"/>
      <c r="BH59" s="16"/>
      <c r="BI59" s="13" t="s">
        <v>1308</v>
      </c>
      <c r="BJ59" s="16"/>
      <c r="BK59" s="16"/>
      <c r="BL59" s="16"/>
      <c r="BM59" s="16"/>
      <c r="BN59" s="16"/>
      <c r="BO59" s="16"/>
      <c r="BP59" s="16"/>
      <c r="BQ59" s="21">
        <v>44663</v>
      </c>
      <c r="BR59" s="17">
        <v>2022</v>
      </c>
      <c r="BS59" s="17">
        <v>10</v>
      </c>
      <c r="BT59" s="17">
        <v>2026</v>
      </c>
      <c r="BU59" s="17">
        <v>10</v>
      </c>
      <c r="BV59" s="21">
        <v>44676</v>
      </c>
      <c r="BW59" s="17">
        <v>2022</v>
      </c>
      <c r="BX59" s="17">
        <v>10</v>
      </c>
      <c r="BY59" s="17">
        <v>2022</v>
      </c>
      <c r="BZ59" s="17">
        <v>11</v>
      </c>
      <c r="CA59" s="21">
        <v>45777</v>
      </c>
      <c r="CB59" s="17">
        <v>2025</v>
      </c>
      <c r="CC59" s="17">
        <v>5</v>
      </c>
      <c r="CD59" s="13" t="s">
        <v>1766</v>
      </c>
      <c r="CE59" s="13" t="s">
        <v>1767</v>
      </c>
      <c r="CF59" s="13" t="s">
        <v>1308</v>
      </c>
      <c r="CG59" s="13" t="s">
        <v>1731</v>
      </c>
      <c r="CH59" s="13" t="s">
        <v>1732</v>
      </c>
      <c r="CI59" s="13" t="s">
        <v>1733</v>
      </c>
      <c r="CJ59" s="13" t="s">
        <v>1734</v>
      </c>
      <c r="CK59" s="13" t="s">
        <v>1735</v>
      </c>
      <c r="CL59" s="13" t="s">
        <v>1736</v>
      </c>
      <c r="CM59" s="13" t="s">
        <v>4</v>
      </c>
      <c r="CN59" s="16"/>
      <c r="CO59" s="16"/>
      <c r="CP59" s="16"/>
    </row>
    <row r="60" spans="1:94" s="1" customFormat="1" ht="13" thickBot="1" x14ac:dyDescent="0.3">
      <c r="A60" s="13" t="s">
        <v>1714</v>
      </c>
      <c r="B60" s="13" t="s">
        <v>35</v>
      </c>
      <c r="C60" s="13" t="s">
        <v>36</v>
      </c>
      <c r="D60" s="13" t="s">
        <v>1616</v>
      </c>
      <c r="E60" s="13" t="s">
        <v>1617</v>
      </c>
      <c r="F60" s="13" t="s">
        <v>1618</v>
      </c>
      <c r="G60" s="13" t="s">
        <v>1619</v>
      </c>
      <c r="H60" s="17">
        <v>12</v>
      </c>
      <c r="I60" s="16"/>
      <c r="J60" s="13" t="s">
        <v>1712</v>
      </c>
      <c r="K60" s="13" t="s">
        <v>1661</v>
      </c>
      <c r="L60" s="13" t="s">
        <v>1308</v>
      </c>
      <c r="M60" s="13" t="s">
        <v>1712</v>
      </c>
      <c r="N60" s="13" t="s">
        <v>1713</v>
      </c>
      <c r="O60" s="13" t="s">
        <v>125</v>
      </c>
      <c r="P60" s="13" t="s">
        <v>1673</v>
      </c>
      <c r="Q60" s="13" t="s">
        <v>1649</v>
      </c>
      <c r="R60" s="16"/>
      <c r="S60" s="13" t="s">
        <v>1711</v>
      </c>
      <c r="T60" s="16"/>
      <c r="U60" s="13" t="s">
        <v>1715</v>
      </c>
      <c r="V60" s="13" t="s">
        <v>125</v>
      </c>
      <c r="W60" s="13" t="s">
        <v>1716</v>
      </c>
      <c r="X60" s="13" t="s">
        <v>125</v>
      </c>
      <c r="Y60" s="13" t="s">
        <v>1619</v>
      </c>
      <c r="Z60" s="13" t="s">
        <v>1712</v>
      </c>
      <c r="AA60" s="13" t="s">
        <v>125</v>
      </c>
      <c r="AB60" s="16"/>
      <c r="AC60" s="13" t="s">
        <v>125</v>
      </c>
      <c r="AD60" s="13" t="s">
        <v>1627</v>
      </c>
      <c r="AE60" s="13" t="s">
        <v>1628</v>
      </c>
      <c r="AF60" s="13" t="s">
        <v>1629</v>
      </c>
      <c r="AG60" s="13" t="s">
        <v>1717</v>
      </c>
      <c r="AH60" s="13" t="s">
        <v>1718</v>
      </c>
      <c r="AI60" s="13" t="s">
        <v>1719</v>
      </c>
      <c r="AJ60" s="13" t="s">
        <v>1633</v>
      </c>
      <c r="AK60" s="13" t="s">
        <v>1996</v>
      </c>
      <c r="AL60" s="13" t="s">
        <v>1997</v>
      </c>
      <c r="AM60" s="13" t="s">
        <v>1634</v>
      </c>
      <c r="AN60" s="13" t="s">
        <v>1303</v>
      </c>
      <c r="AO60" s="13" t="s">
        <v>1304</v>
      </c>
      <c r="AP60" s="13" t="s">
        <v>1635</v>
      </c>
      <c r="AQ60" s="16"/>
      <c r="AR60" s="13" t="s">
        <v>1308</v>
      </c>
      <c r="AS60" s="15">
        <v>1</v>
      </c>
      <c r="AT60" s="14">
        <v>0</v>
      </c>
      <c r="AU60" s="14">
        <v>0</v>
      </c>
      <c r="AV60" s="14">
        <v>0</v>
      </c>
      <c r="AW60" s="14">
        <v>0</v>
      </c>
      <c r="AX60" s="14">
        <v>789</v>
      </c>
      <c r="AY60" s="14">
        <v>789</v>
      </c>
      <c r="AZ60" s="22">
        <v>5263.56</v>
      </c>
      <c r="BA60" s="15">
        <v>0</v>
      </c>
      <c r="BB60" s="21">
        <v>45274</v>
      </c>
      <c r="BC60" s="21">
        <v>45250</v>
      </c>
      <c r="BD60" s="17">
        <v>2023</v>
      </c>
      <c r="BE60" s="17">
        <v>11</v>
      </c>
      <c r="BF60" s="16"/>
      <c r="BG60" s="16"/>
      <c r="BH60" s="16"/>
      <c r="BI60" s="13" t="s">
        <v>1308</v>
      </c>
      <c r="BJ60" s="16"/>
      <c r="BK60" s="16"/>
      <c r="BL60" s="16"/>
      <c r="BM60" s="16"/>
      <c r="BN60" s="16"/>
      <c r="BO60" s="16"/>
      <c r="BP60" s="16"/>
      <c r="BQ60" s="21">
        <v>45274</v>
      </c>
      <c r="BR60" s="17">
        <v>2023</v>
      </c>
      <c r="BS60" s="17">
        <v>12</v>
      </c>
      <c r="BT60" s="17">
        <v>2026</v>
      </c>
      <c r="BU60" s="17">
        <v>1</v>
      </c>
      <c r="BV60" s="21">
        <v>45272</v>
      </c>
      <c r="BW60" s="17">
        <v>2023</v>
      </c>
      <c r="BX60" s="17">
        <v>12</v>
      </c>
      <c r="BY60" s="17">
        <v>2023</v>
      </c>
      <c r="BZ60" s="17">
        <v>12</v>
      </c>
      <c r="CA60" s="16"/>
      <c r="CB60" s="16"/>
      <c r="CC60" s="16"/>
      <c r="CD60" s="16"/>
      <c r="CE60" s="16"/>
      <c r="CF60" s="16"/>
      <c r="CG60" s="16"/>
      <c r="CH60" s="16"/>
      <c r="CI60" s="16"/>
      <c r="CJ60" s="16"/>
      <c r="CK60" s="16"/>
      <c r="CL60" s="16"/>
      <c r="CM60" s="16"/>
      <c r="CN60" s="16"/>
      <c r="CO60" s="16"/>
      <c r="CP60" s="16"/>
    </row>
    <row r="61" spans="1:94" s="1" customFormat="1" ht="13" thickBot="1" x14ac:dyDescent="0.3">
      <c r="A61" s="13" t="s">
        <v>1998</v>
      </c>
      <c r="B61" s="16"/>
      <c r="C61" s="16"/>
      <c r="D61" s="13" t="s">
        <v>1616</v>
      </c>
      <c r="E61" s="13" t="s">
        <v>1617</v>
      </c>
      <c r="F61" s="13" t="s">
        <v>1618</v>
      </c>
      <c r="G61" s="13" t="s">
        <v>1619</v>
      </c>
      <c r="H61" s="17">
        <v>1</v>
      </c>
      <c r="I61" s="16"/>
      <c r="J61" s="16"/>
      <c r="K61" s="13" t="s">
        <v>1308</v>
      </c>
      <c r="L61" s="13" t="s">
        <v>1308</v>
      </c>
      <c r="M61" s="13" t="s">
        <v>1999</v>
      </c>
      <c r="N61" s="13" t="s">
        <v>2000</v>
      </c>
      <c r="O61" s="13" t="s">
        <v>123</v>
      </c>
      <c r="P61" s="13" t="s">
        <v>976</v>
      </c>
      <c r="Q61" s="13" t="s">
        <v>1623</v>
      </c>
      <c r="R61" s="16"/>
      <c r="S61" s="16"/>
      <c r="T61" s="16"/>
      <c r="U61" s="13" t="s">
        <v>2001</v>
      </c>
      <c r="V61" s="13" t="s">
        <v>2002</v>
      </c>
      <c r="W61" s="13" t="s">
        <v>2003</v>
      </c>
      <c r="X61" s="13" t="s">
        <v>2004</v>
      </c>
      <c r="Y61" s="13" t="s">
        <v>1619</v>
      </c>
      <c r="Z61" s="13" t="s">
        <v>1999</v>
      </c>
      <c r="AA61" s="13" t="s">
        <v>123</v>
      </c>
      <c r="AB61" s="16"/>
      <c r="AC61" s="13" t="s">
        <v>123</v>
      </c>
      <c r="AD61" s="13" t="s">
        <v>1678</v>
      </c>
      <c r="AE61" s="13" t="s">
        <v>1679</v>
      </c>
      <c r="AF61" s="13" t="s">
        <v>1629</v>
      </c>
      <c r="AG61" s="13" t="s">
        <v>2005</v>
      </c>
      <c r="AH61" s="13" t="s">
        <v>2006</v>
      </c>
      <c r="AI61" s="13" t="s">
        <v>1682</v>
      </c>
      <c r="AJ61" s="13" t="s">
        <v>1633</v>
      </c>
      <c r="AK61" s="13" t="s">
        <v>35</v>
      </c>
      <c r="AL61" s="13" t="s">
        <v>36</v>
      </c>
      <c r="AM61" s="13" t="s">
        <v>1634</v>
      </c>
      <c r="AN61" s="13" t="s">
        <v>1303</v>
      </c>
      <c r="AO61" s="13" t="s">
        <v>1304</v>
      </c>
      <c r="AP61" s="13" t="s">
        <v>1635</v>
      </c>
      <c r="AQ61" s="16"/>
      <c r="AR61" s="13" t="s">
        <v>1308</v>
      </c>
      <c r="AS61" s="15">
        <v>1</v>
      </c>
      <c r="AT61" s="14">
        <v>0</v>
      </c>
      <c r="AU61" s="14">
        <v>0</v>
      </c>
      <c r="AV61" s="14">
        <v>0</v>
      </c>
      <c r="AW61" s="14">
        <v>0</v>
      </c>
      <c r="AX61" s="14">
        <v>195</v>
      </c>
      <c r="AY61" s="14">
        <v>299</v>
      </c>
      <c r="AZ61" s="15">
        <v>0</v>
      </c>
      <c r="BA61" s="15">
        <v>0</v>
      </c>
      <c r="BB61" s="21">
        <v>45915</v>
      </c>
      <c r="BC61" s="21">
        <v>43848</v>
      </c>
      <c r="BD61" s="17">
        <v>2020</v>
      </c>
      <c r="BE61" s="17">
        <v>7</v>
      </c>
      <c r="BF61" s="16"/>
      <c r="BG61" s="16"/>
      <c r="BH61" s="16"/>
      <c r="BI61" s="13" t="s">
        <v>1308</v>
      </c>
      <c r="BJ61" s="16"/>
      <c r="BK61" s="16"/>
      <c r="BL61" s="16"/>
      <c r="BM61" s="16"/>
      <c r="BN61" s="16"/>
      <c r="BO61" s="16"/>
      <c r="BP61" s="16"/>
      <c r="BQ61" s="21">
        <v>43862</v>
      </c>
      <c r="BR61" s="17">
        <v>2020</v>
      </c>
      <c r="BS61" s="17">
        <v>7</v>
      </c>
      <c r="BT61" s="17">
        <v>2026</v>
      </c>
      <c r="BU61" s="17">
        <v>8</v>
      </c>
      <c r="BV61" s="16"/>
      <c r="BW61" s="16"/>
      <c r="BX61" s="16"/>
      <c r="BY61" s="16"/>
      <c r="BZ61" s="16"/>
      <c r="CA61" s="21">
        <v>45900</v>
      </c>
      <c r="CB61" s="17">
        <v>2025</v>
      </c>
      <c r="CC61" s="17">
        <v>9</v>
      </c>
      <c r="CD61" s="13" t="s">
        <v>2007</v>
      </c>
      <c r="CE61" s="13" t="s">
        <v>2008</v>
      </c>
      <c r="CF61" s="13" t="s">
        <v>1308</v>
      </c>
      <c r="CG61" s="13" t="s">
        <v>1957</v>
      </c>
      <c r="CH61" s="13" t="s">
        <v>1958</v>
      </c>
      <c r="CI61" s="13" t="s">
        <v>1959</v>
      </c>
      <c r="CJ61" s="13" t="s">
        <v>1960</v>
      </c>
      <c r="CK61" s="13" t="s">
        <v>1735</v>
      </c>
      <c r="CL61" s="13" t="s">
        <v>1736</v>
      </c>
      <c r="CM61" s="13" t="s">
        <v>1961</v>
      </c>
      <c r="CN61" s="13" t="s">
        <v>1962</v>
      </c>
      <c r="CO61" s="16"/>
      <c r="CP61" s="16"/>
    </row>
    <row r="62" spans="1:94" s="1" customFormat="1" ht="13" thickBot="1" x14ac:dyDescent="0.3">
      <c r="A62" s="13" t="s">
        <v>2009</v>
      </c>
      <c r="B62" s="13" t="s">
        <v>35</v>
      </c>
      <c r="C62" s="13" t="s">
        <v>36</v>
      </c>
      <c r="D62" s="13" t="s">
        <v>1616</v>
      </c>
      <c r="E62" s="13" t="s">
        <v>1801</v>
      </c>
      <c r="F62" s="13" t="s">
        <v>1618</v>
      </c>
      <c r="G62" s="13" t="s">
        <v>1619</v>
      </c>
      <c r="H62" s="17">
        <v>60</v>
      </c>
      <c r="I62" s="16"/>
      <c r="J62" s="16"/>
      <c r="K62" s="13" t="s">
        <v>1308</v>
      </c>
      <c r="L62" s="13" t="s">
        <v>1308</v>
      </c>
      <c r="M62" s="13" t="s">
        <v>2010</v>
      </c>
      <c r="N62" s="13" t="s">
        <v>1852</v>
      </c>
      <c r="O62" s="13" t="s">
        <v>64</v>
      </c>
      <c r="P62" s="13" t="s">
        <v>976</v>
      </c>
      <c r="Q62" s="13" t="s">
        <v>1649</v>
      </c>
      <c r="R62" s="16"/>
      <c r="S62" s="13" t="s">
        <v>2011</v>
      </c>
      <c r="T62" s="16"/>
      <c r="U62" s="13" t="s">
        <v>1853</v>
      </c>
      <c r="V62" s="13" t="s">
        <v>1854</v>
      </c>
      <c r="W62" s="13" t="s">
        <v>2012</v>
      </c>
      <c r="X62" s="13" t="s">
        <v>64</v>
      </c>
      <c r="Y62" s="13" t="s">
        <v>1619</v>
      </c>
      <c r="Z62" s="13" t="s">
        <v>2010</v>
      </c>
      <c r="AA62" s="13" t="s">
        <v>64</v>
      </c>
      <c r="AB62" s="16"/>
      <c r="AC62" s="13" t="s">
        <v>64</v>
      </c>
      <c r="AD62" s="13" t="s">
        <v>1627</v>
      </c>
      <c r="AE62" s="13" t="s">
        <v>1628</v>
      </c>
      <c r="AF62" s="13" t="s">
        <v>1629</v>
      </c>
      <c r="AG62" s="13" t="s">
        <v>2013</v>
      </c>
      <c r="AH62" s="13" t="s">
        <v>1857</v>
      </c>
      <c r="AI62" s="13" t="s">
        <v>1777</v>
      </c>
      <c r="AJ62" s="13" t="s">
        <v>1633</v>
      </c>
      <c r="AK62" s="13" t="s">
        <v>48</v>
      </c>
      <c r="AL62" s="13" t="s">
        <v>49</v>
      </c>
      <c r="AM62" s="13" t="s">
        <v>1634</v>
      </c>
      <c r="AN62" s="13" t="s">
        <v>1303</v>
      </c>
      <c r="AO62" s="13" t="s">
        <v>1304</v>
      </c>
      <c r="AP62" s="13" t="s">
        <v>1635</v>
      </c>
      <c r="AQ62" s="16"/>
      <c r="AR62" s="13" t="s">
        <v>1308</v>
      </c>
      <c r="AS62" s="15">
        <v>1</v>
      </c>
      <c r="AT62" s="14">
        <v>0</v>
      </c>
      <c r="AU62" s="14">
        <v>0</v>
      </c>
      <c r="AV62" s="14">
        <v>0</v>
      </c>
      <c r="AW62" s="14">
        <v>0</v>
      </c>
      <c r="AX62" s="14">
        <v>299</v>
      </c>
      <c r="AY62" s="14">
        <v>299</v>
      </c>
      <c r="AZ62" s="15">
        <v>0</v>
      </c>
      <c r="BA62" s="15">
        <v>0</v>
      </c>
      <c r="BB62" s="21">
        <v>45789</v>
      </c>
      <c r="BC62" s="21">
        <v>44033</v>
      </c>
      <c r="BD62" s="17">
        <v>2021</v>
      </c>
      <c r="BE62" s="17">
        <v>1</v>
      </c>
      <c r="BF62" s="16"/>
      <c r="BG62" s="16"/>
      <c r="BH62" s="16"/>
      <c r="BI62" s="13" t="s">
        <v>1308</v>
      </c>
      <c r="BJ62" s="16"/>
      <c r="BK62" s="16"/>
      <c r="BL62" s="16"/>
      <c r="BM62" s="16"/>
      <c r="BN62" s="16"/>
      <c r="BO62" s="16"/>
      <c r="BP62" s="16"/>
      <c r="BQ62" s="21">
        <v>44013</v>
      </c>
      <c r="BR62" s="17">
        <v>2021</v>
      </c>
      <c r="BS62" s="17">
        <v>1</v>
      </c>
      <c r="BT62" s="17">
        <v>2026</v>
      </c>
      <c r="BU62" s="17">
        <v>1</v>
      </c>
      <c r="BV62" s="16"/>
      <c r="BW62" s="16"/>
      <c r="BX62" s="16"/>
      <c r="BY62" s="16"/>
      <c r="BZ62" s="16"/>
      <c r="CA62" s="21">
        <v>45777</v>
      </c>
      <c r="CB62" s="17">
        <v>2025</v>
      </c>
      <c r="CC62" s="17">
        <v>5</v>
      </c>
      <c r="CD62" s="13" t="s">
        <v>1766</v>
      </c>
      <c r="CE62" s="13" t="s">
        <v>1767</v>
      </c>
      <c r="CF62" s="13" t="s">
        <v>1308</v>
      </c>
      <c r="CG62" s="13" t="s">
        <v>1731</v>
      </c>
      <c r="CH62" s="13" t="s">
        <v>1732</v>
      </c>
      <c r="CI62" s="13" t="s">
        <v>1733</v>
      </c>
      <c r="CJ62" s="13" t="s">
        <v>1734</v>
      </c>
      <c r="CK62" s="13" t="s">
        <v>1735</v>
      </c>
      <c r="CL62" s="13" t="s">
        <v>1736</v>
      </c>
      <c r="CM62" s="13" t="s">
        <v>4</v>
      </c>
      <c r="CN62" s="16"/>
      <c r="CO62" s="16"/>
      <c r="CP62" s="16"/>
    </row>
    <row r="63" spans="1:94" s="1" customFormat="1" ht="13" thickBot="1" x14ac:dyDescent="0.3">
      <c r="A63" s="13" t="s">
        <v>2014</v>
      </c>
      <c r="B63" s="16"/>
      <c r="C63" s="16"/>
      <c r="D63" s="13" t="s">
        <v>1616</v>
      </c>
      <c r="E63" s="13" t="s">
        <v>1670</v>
      </c>
      <c r="F63" s="13" t="s">
        <v>1618</v>
      </c>
      <c r="G63" s="13" t="s">
        <v>1619</v>
      </c>
      <c r="H63" s="17">
        <v>7</v>
      </c>
      <c r="I63" s="16"/>
      <c r="J63" s="16"/>
      <c r="K63" s="13" t="s">
        <v>1308</v>
      </c>
      <c r="L63" s="13" t="s">
        <v>1308</v>
      </c>
      <c r="M63" s="13" t="s">
        <v>1814</v>
      </c>
      <c r="N63" s="13" t="s">
        <v>1815</v>
      </c>
      <c r="O63" s="13" t="s">
        <v>66</v>
      </c>
      <c r="P63" s="13" t="s">
        <v>976</v>
      </c>
      <c r="Q63" s="13" t="s">
        <v>1623</v>
      </c>
      <c r="R63" s="13" t="s">
        <v>2015</v>
      </c>
      <c r="S63" s="16"/>
      <c r="T63" s="16"/>
      <c r="U63" s="13" t="s">
        <v>1817</v>
      </c>
      <c r="V63" s="13" t="s">
        <v>1818</v>
      </c>
      <c r="W63" s="13" t="s">
        <v>1819</v>
      </c>
      <c r="X63" s="13" t="s">
        <v>66</v>
      </c>
      <c r="Y63" s="13" t="s">
        <v>1619</v>
      </c>
      <c r="Z63" s="13" t="s">
        <v>1814</v>
      </c>
      <c r="AA63" s="13" t="s">
        <v>66</v>
      </c>
      <c r="AB63" s="16"/>
      <c r="AC63" s="13" t="s">
        <v>66</v>
      </c>
      <c r="AD63" s="13" t="s">
        <v>1678</v>
      </c>
      <c r="AE63" s="13" t="s">
        <v>1679</v>
      </c>
      <c r="AF63" s="13" t="s">
        <v>1629</v>
      </c>
      <c r="AG63" s="13" t="s">
        <v>1820</v>
      </c>
      <c r="AH63" s="13" t="s">
        <v>1821</v>
      </c>
      <c r="AI63" s="13" t="s">
        <v>1682</v>
      </c>
      <c r="AJ63" s="13" t="s">
        <v>1633</v>
      </c>
      <c r="AK63" s="13" t="s">
        <v>67</v>
      </c>
      <c r="AL63" s="13" t="s">
        <v>68</v>
      </c>
      <c r="AM63" s="13" t="s">
        <v>1634</v>
      </c>
      <c r="AN63" s="13" t="s">
        <v>1303</v>
      </c>
      <c r="AO63" s="13" t="s">
        <v>1304</v>
      </c>
      <c r="AP63" s="13" t="s">
        <v>1635</v>
      </c>
      <c r="AQ63" s="16"/>
      <c r="AR63" s="13" t="s">
        <v>1308</v>
      </c>
      <c r="AS63" s="15">
        <v>1</v>
      </c>
      <c r="AT63" s="14">
        <v>0</v>
      </c>
      <c r="AU63" s="14">
        <v>0</v>
      </c>
      <c r="AV63" s="14">
        <v>0</v>
      </c>
      <c r="AW63" s="14">
        <v>0</v>
      </c>
      <c r="AX63" s="14">
        <v>599</v>
      </c>
      <c r="AY63" s="14">
        <v>599</v>
      </c>
      <c r="AZ63" s="15">
        <v>3594</v>
      </c>
      <c r="BA63" s="15">
        <v>0</v>
      </c>
      <c r="BB63" s="21">
        <v>45897</v>
      </c>
      <c r="BC63" s="21">
        <v>45693</v>
      </c>
      <c r="BD63" s="17">
        <v>2025</v>
      </c>
      <c r="BE63" s="17">
        <v>2</v>
      </c>
      <c r="BF63" s="16"/>
      <c r="BG63" s="16"/>
      <c r="BH63" s="16"/>
      <c r="BI63" s="13" t="s">
        <v>1308</v>
      </c>
      <c r="BJ63" s="16"/>
      <c r="BK63" s="16"/>
      <c r="BL63" s="16"/>
      <c r="BM63" s="16"/>
      <c r="BN63" s="16"/>
      <c r="BO63" s="16"/>
      <c r="BP63" s="16"/>
      <c r="BQ63" s="21">
        <v>45699</v>
      </c>
      <c r="BR63" s="17">
        <v>2025</v>
      </c>
      <c r="BS63" s="17">
        <v>2</v>
      </c>
      <c r="BT63" s="17">
        <v>2026</v>
      </c>
      <c r="BU63" s="17">
        <v>2</v>
      </c>
      <c r="BV63" s="16"/>
      <c r="BW63" s="16"/>
      <c r="BX63" s="16"/>
      <c r="BY63" s="16"/>
      <c r="BZ63" s="16"/>
      <c r="CA63" s="21">
        <v>45896</v>
      </c>
      <c r="CB63" s="17">
        <v>2025</v>
      </c>
      <c r="CC63" s="17">
        <v>8</v>
      </c>
      <c r="CD63" s="13" t="s">
        <v>1636</v>
      </c>
      <c r="CE63" s="13" t="s">
        <v>1637</v>
      </c>
      <c r="CF63" s="13" t="s">
        <v>1308</v>
      </c>
      <c r="CG63" s="13" t="s">
        <v>1638</v>
      </c>
      <c r="CH63" s="13" t="s">
        <v>1639</v>
      </c>
      <c r="CI63" s="13" t="s">
        <v>1640</v>
      </c>
      <c r="CJ63" s="13" t="s">
        <v>1641</v>
      </c>
      <c r="CK63" s="13" t="s">
        <v>1642</v>
      </c>
      <c r="CL63" s="13" t="s">
        <v>1643</v>
      </c>
      <c r="CM63" s="13" t="s">
        <v>1644</v>
      </c>
      <c r="CN63" s="13" t="s">
        <v>1645</v>
      </c>
      <c r="CO63" s="16"/>
      <c r="CP63" s="16"/>
    </row>
    <row r="64" spans="1:94" s="1" customFormat="1" ht="13" thickBot="1" x14ac:dyDescent="0.3">
      <c r="A64" s="13" t="s">
        <v>2016</v>
      </c>
      <c r="B64" s="16"/>
      <c r="C64" s="16"/>
      <c r="D64" s="13" t="s">
        <v>1616</v>
      </c>
      <c r="E64" s="13" t="s">
        <v>1756</v>
      </c>
      <c r="F64" s="13" t="s">
        <v>1618</v>
      </c>
      <c r="G64" s="13" t="s">
        <v>1619</v>
      </c>
      <c r="H64" s="17">
        <v>1</v>
      </c>
      <c r="I64" s="16"/>
      <c r="J64" s="16"/>
      <c r="K64" s="13" t="s">
        <v>1308</v>
      </c>
      <c r="L64" s="13" t="s">
        <v>1308</v>
      </c>
      <c r="M64" s="13" t="s">
        <v>1824</v>
      </c>
      <c r="N64" s="13" t="s">
        <v>2017</v>
      </c>
      <c r="O64" s="13" t="s">
        <v>118</v>
      </c>
      <c r="P64" s="13" t="s">
        <v>976</v>
      </c>
      <c r="Q64" s="13" t="s">
        <v>1623</v>
      </c>
      <c r="R64" s="16"/>
      <c r="S64" s="16"/>
      <c r="T64" s="16"/>
      <c r="U64" s="13" t="s">
        <v>1825</v>
      </c>
      <c r="V64" s="13" t="s">
        <v>1826</v>
      </c>
      <c r="W64" s="13" t="s">
        <v>1827</v>
      </c>
      <c r="X64" s="13" t="s">
        <v>118</v>
      </c>
      <c r="Y64" s="13" t="s">
        <v>1619</v>
      </c>
      <c r="Z64" s="13" t="s">
        <v>1828</v>
      </c>
      <c r="AA64" s="13" t="s">
        <v>1829</v>
      </c>
      <c r="AB64" s="16"/>
      <c r="AC64" s="13" t="s">
        <v>118</v>
      </c>
      <c r="AD64" s="13" t="s">
        <v>1678</v>
      </c>
      <c r="AE64" s="13" t="s">
        <v>1679</v>
      </c>
      <c r="AF64" s="13" t="s">
        <v>1629</v>
      </c>
      <c r="AG64" s="13" t="s">
        <v>1830</v>
      </c>
      <c r="AH64" s="13" t="s">
        <v>1831</v>
      </c>
      <c r="AI64" s="13" t="s">
        <v>1682</v>
      </c>
      <c r="AJ64" s="13" t="s">
        <v>1633</v>
      </c>
      <c r="AK64" s="13" t="s">
        <v>35</v>
      </c>
      <c r="AL64" s="13" t="s">
        <v>36</v>
      </c>
      <c r="AM64" s="13" t="s">
        <v>1634</v>
      </c>
      <c r="AN64" s="13" t="s">
        <v>1303</v>
      </c>
      <c r="AO64" s="13" t="s">
        <v>1304</v>
      </c>
      <c r="AP64" s="13" t="s">
        <v>1635</v>
      </c>
      <c r="AQ64" s="16"/>
      <c r="AR64" s="13" t="s">
        <v>1308</v>
      </c>
      <c r="AS64" s="15">
        <v>1</v>
      </c>
      <c r="AT64" s="14">
        <v>0</v>
      </c>
      <c r="AU64" s="14">
        <v>0</v>
      </c>
      <c r="AV64" s="14">
        <v>0</v>
      </c>
      <c r="AW64" s="14">
        <v>0</v>
      </c>
      <c r="AX64" s="14">
        <v>195</v>
      </c>
      <c r="AY64" s="14">
        <v>199</v>
      </c>
      <c r="AZ64" s="15">
        <v>0</v>
      </c>
      <c r="BA64" s="15">
        <v>0</v>
      </c>
      <c r="BB64" s="21">
        <v>45702</v>
      </c>
      <c r="BC64" s="21">
        <v>43848</v>
      </c>
      <c r="BD64" s="17">
        <v>2020</v>
      </c>
      <c r="BE64" s="17">
        <v>7</v>
      </c>
      <c r="BF64" s="16"/>
      <c r="BG64" s="16"/>
      <c r="BH64" s="16"/>
      <c r="BI64" s="13" t="s">
        <v>1308</v>
      </c>
      <c r="BJ64" s="16"/>
      <c r="BK64" s="16"/>
      <c r="BL64" s="16"/>
      <c r="BM64" s="16"/>
      <c r="BN64" s="16"/>
      <c r="BO64" s="16"/>
      <c r="BP64" s="16"/>
      <c r="BQ64" s="21">
        <v>43862</v>
      </c>
      <c r="BR64" s="17">
        <v>2020</v>
      </c>
      <c r="BS64" s="17">
        <v>7</v>
      </c>
      <c r="BT64" s="17">
        <v>2026</v>
      </c>
      <c r="BU64" s="17">
        <v>8</v>
      </c>
      <c r="BV64" s="16"/>
      <c r="BW64" s="16"/>
      <c r="BX64" s="16"/>
      <c r="BY64" s="16"/>
      <c r="BZ64" s="16"/>
      <c r="CA64" s="21">
        <v>45688</v>
      </c>
      <c r="CB64" s="17">
        <v>2025</v>
      </c>
      <c r="CC64" s="17">
        <v>2</v>
      </c>
      <c r="CD64" s="13" t="s">
        <v>1778</v>
      </c>
      <c r="CE64" s="13" t="s">
        <v>1639</v>
      </c>
      <c r="CF64" s="13" t="s">
        <v>1308</v>
      </c>
      <c r="CG64" s="13" t="s">
        <v>1638</v>
      </c>
      <c r="CH64" s="13" t="s">
        <v>1639</v>
      </c>
      <c r="CI64" s="13" t="s">
        <v>1640</v>
      </c>
      <c r="CJ64" s="13" t="s">
        <v>1641</v>
      </c>
      <c r="CK64" s="13" t="s">
        <v>1735</v>
      </c>
      <c r="CL64" s="13" t="s">
        <v>1736</v>
      </c>
      <c r="CM64" s="13" t="s">
        <v>1644</v>
      </c>
      <c r="CN64" s="13" t="s">
        <v>1645</v>
      </c>
      <c r="CO64" s="16"/>
      <c r="CP64" s="16"/>
    </row>
    <row r="65" spans="1:94" s="1" customFormat="1" ht="13" thickBot="1" x14ac:dyDescent="0.3">
      <c r="A65" s="13" t="s">
        <v>2018</v>
      </c>
      <c r="B65" s="16"/>
      <c r="C65" s="16"/>
      <c r="D65" s="13" t="s">
        <v>1616</v>
      </c>
      <c r="E65" s="13" t="s">
        <v>1756</v>
      </c>
      <c r="F65" s="13" t="s">
        <v>1618</v>
      </c>
      <c r="G65" s="13" t="s">
        <v>1619</v>
      </c>
      <c r="H65" s="17">
        <v>7</v>
      </c>
      <c r="I65" s="16"/>
      <c r="J65" s="16"/>
      <c r="K65" s="13" t="s">
        <v>1308</v>
      </c>
      <c r="L65" s="13" t="s">
        <v>1308</v>
      </c>
      <c r="M65" s="13" t="s">
        <v>2019</v>
      </c>
      <c r="N65" s="16"/>
      <c r="O65" s="13" t="s">
        <v>103</v>
      </c>
      <c r="P65" s="13" t="s">
        <v>976</v>
      </c>
      <c r="Q65" s="13" t="s">
        <v>1623</v>
      </c>
      <c r="R65" s="16"/>
      <c r="S65" s="16"/>
      <c r="T65" s="16"/>
      <c r="U65" s="13" t="s">
        <v>2020</v>
      </c>
      <c r="V65" s="13" t="s">
        <v>2021</v>
      </c>
      <c r="W65" s="13" t="s">
        <v>2022</v>
      </c>
      <c r="X65" s="13" t="s">
        <v>103</v>
      </c>
      <c r="Y65" s="13" t="s">
        <v>1619</v>
      </c>
      <c r="Z65" s="13" t="s">
        <v>2023</v>
      </c>
      <c r="AA65" s="13" t="s">
        <v>225</v>
      </c>
      <c r="AB65" s="16"/>
      <c r="AC65" s="13" t="s">
        <v>103</v>
      </c>
      <c r="AD65" s="13" t="s">
        <v>1627</v>
      </c>
      <c r="AE65" s="13" t="s">
        <v>1628</v>
      </c>
      <c r="AF65" s="13" t="s">
        <v>1629</v>
      </c>
      <c r="AG65" s="13" t="s">
        <v>2024</v>
      </c>
      <c r="AH65" s="13" t="s">
        <v>2025</v>
      </c>
      <c r="AI65" s="13" t="s">
        <v>1632</v>
      </c>
      <c r="AJ65" s="13" t="s">
        <v>1633</v>
      </c>
      <c r="AK65" s="13" t="s">
        <v>35</v>
      </c>
      <c r="AL65" s="13" t="s">
        <v>36</v>
      </c>
      <c r="AM65" s="13" t="s">
        <v>1634</v>
      </c>
      <c r="AN65" s="13" t="s">
        <v>1303</v>
      </c>
      <c r="AO65" s="13" t="s">
        <v>1304</v>
      </c>
      <c r="AP65" s="13" t="s">
        <v>1635</v>
      </c>
      <c r="AQ65" s="16"/>
      <c r="AR65" s="13" t="s">
        <v>1308</v>
      </c>
      <c r="AS65" s="15">
        <v>1</v>
      </c>
      <c r="AT65" s="14">
        <v>0</v>
      </c>
      <c r="AU65" s="14">
        <v>0</v>
      </c>
      <c r="AV65" s="14">
        <v>0</v>
      </c>
      <c r="AW65" s="14">
        <v>0</v>
      </c>
      <c r="AX65" s="14">
        <v>195</v>
      </c>
      <c r="AY65" s="14">
        <v>999</v>
      </c>
      <c r="AZ65" s="15">
        <v>0</v>
      </c>
      <c r="BA65" s="15">
        <v>0</v>
      </c>
      <c r="BB65" s="21">
        <v>45322</v>
      </c>
      <c r="BC65" s="21">
        <v>43848</v>
      </c>
      <c r="BD65" s="17">
        <v>2020</v>
      </c>
      <c r="BE65" s="17">
        <v>7</v>
      </c>
      <c r="BF65" s="16"/>
      <c r="BG65" s="16"/>
      <c r="BH65" s="16"/>
      <c r="BI65" s="13" t="s">
        <v>1308</v>
      </c>
      <c r="BJ65" s="16"/>
      <c r="BK65" s="16"/>
      <c r="BL65" s="16"/>
      <c r="BM65" s="16"/>
      <c r="BN65" s="16"/>
      <c r="BO65" s="16"/>
      <c r="BP65" s="16"/>
      <c r="BQ65" s="21">
        <v>43862</v>
      </c>
      <c r="BR65" s="17">
        <v>2020</v>
      </c>
      <c r="BS65" s="17">
        <v>7</v>
      </c>
      <c r="BT65" s="17">
        <v>2026</v>
      </c>
      <c r="BU65" s="17">
        <v>8</v>
      </c>
      <c r="BV65" s="16"/>
      <c r="BW65" s="16"/>
      <c r="BX65" s="16"/>
      <c r="BY65" s="16"/>
      <c r="BZ65" s="16"/>
      <c r="CA65" s="21">
        <v>45322</v>
      </c>
      <c r="CB65" s="17">
        <v>2024</v>
      </c>
      <c r="CC65" s="17">
        <v>1</v>
      </c>
      <c r="CD65" s="13" t="s">
        <v>1766</v>
      </c>
      <c r="CE65" s="13" t="s">
        <v>1767</v>
      </c>
      <c r="CF65" s="13" t="s">
        <v>1308</v>
      </c>
      <c r="CG65" s="13" t="s">
        <v>1731</v>
      </c>
      <c r="CH65" s="13" t="s">
        <v>1732</v>
      </c>
      <c r="CI65" s="13" t="s">
        <v>1733</v>
      </c>
      <c r="CJ65" s="13" t="s">
        <v>1734</v>
      </c>
      <c r="CK65" s="13" t="s">
        <v>1735</v>
      </c>
      <c r="CL65" s="13" t="s">
        <v>1736</v>
      </c>
      <c r="CM65" s="13" t="s">
        <v>4</v>
      </c>
      <c r="CN65" s="16"/>
      <c r="CO65" s="16"/>
      <c r="CP65" s="16"/>
    </row>
    <row r="66" spans="1:94" s="1" customFormat="1" ht="13" thickBot="1" x14ac:dyDescent="0.3">
      <c r="A66" s="13" t="s">
        <v>2011</v>
      </c>
      <c r="B66" s="16"/>
      <c r="C66" s="16"/>
      <c r="D66" s="13" t="s">
        <v>1616</v>
      </c>
      <c r="E66" s="13" t="s">
        <v>1801</v>
      </c>
      <c r="F66" s="13" t="s">
        <v>1618</v>
      </c>
      <c r="G66" s="13" t="s">
        <v>1619</v>
      </c>
      <c r="H66" s="17">
        <v>1</v>
      </c>
      <c r="I66" s="16"/>
      <c r="J66" s="16"/>
      <c r="K66" s="13" t="s">
        <v>1308</v>
      </c>
      <c r="L66" s="13" t="s">
        <v>1308</v>
      </c>
      <c r="M66" s="13" t="s">
        <v>2010</v>
      </c>
      <c r="N66" s="13" t="s">
        <v>1852</v>
      </c>
      <c r="O66" s="13" t="s">
        <v>64</v>
      </c>
      <c r="P66" s="13" t="s">
        <v>976</v>
      </c>
      <c r="Q66" s="13" t="s">
        <v>1623</v>
      </c>
      <c r="R66" s="13" t="s">
        <v>2009</v>
      </c>
      <c r="S66" s="16"/>
      <c r="T66" s="16"/>
      <c r="U66" s="13" t="s">
        <v>1853</v>
      </c>
      <c r="V66" s="13" t="s">
        <v>1854</v>
      </c>
      <c r="W66" s="13" t="s">
        <v>2012</v>
      </c>
      <c r="X66" s="13" t="s">
        <v>64</v>
      </c>
      <c r="Y66" s="13" t="s">
        <v>1619</v>
      </c>
      <c r="Z66" s="13" t="s">
        <v>2010</v>
      </c>
      <c r="AA66" s="13" t="s">
        <v>64</v>
      </c>
      <c r="AB66" s="16"/>
      <c r="AC66" s="13" t="s">
        <v>64</v>
      </c>
      <c r="AD66" s="13" t="s">
        <v>1627</v>
      </c>
      <c r="AE66" s="13" t="s">
        <v>1628</v>
      </c>
      <c r="AF66" s="13" t="s">
        <v>1629</v>
      </c>
      <c r="AG66" s="13" t="s">
        <v>2013</v>
      </c>
      <c r="AH66" s="13" t="s">
        <v>1857</v>
      </c>
      <c r="AI66" s="13" t="s">
        <v>1777</v>
      </c>
      <c r="AJ66" s="13" t="s">
        <v>1633</v>
      </c>
      <c r="AK66" s="13" t="s">
        <v>35</v>
      </c>
      <c r="AL66" s="13" t="s">
        <v>36</v>
      </c>
      <c r="AM66" s="13" t="s">
        <v>1634</v>
      </c>
      <c r="AN66" s="13" t="s">
        <v>1303</v>
      </c>
      <c r="AO66" s="13" t="s">
        <v>1304</v>
      </c>
      <c r="AP66" s="13" t="s">
        <v>1635</v>
      </c>
      <c r="AQ66" s="16"/>
      <c r="AR66" s="13" t="s">
        <v>1308</v>
      </c>
      <c r="AS66" s="15">
        <v>1</v>
      </c>
      <c r="AT66" s="14">
        <v>0</v>
      </c>
      <c r="AU66" s="14">
        <v>0</v>
      </c>
      <c r="AV66" s="14">
        <v>0</v>
      </c>
      <c r="AW66" s="14">
        <v>0</v>
      </c>
      <c r="AX66" s="14">
        <v>195</v>
      </c>
      <c r="AY66" s="14">
        <v>299</v>
      </c>
      <c r="AZ66" s="15">
        <v>0</v>
      </c>
      <c r="BA66" s="15">
        <v>0</v>
      </c>
      <c r="BB66" s="21">
        <v>44036</v>
      </c>
      <c r="BC66" s="21">
        <v>43849</v>
      </c>
      <c r="BD66" s="17">
        <v>2020</v>
      </c>
      <c r="BE66" s="17">
        <v>7</v>
      </c>
      <c r="BF66" s="16"/>
      <c r="BG66" s="16"/>
      <c r="BH66" s="16"/>
      <c r="BI66" s="13" t="s">
        <v>1308</v>
      </c>
      <c r="BJ66" s="16"/>
      <c r="BK66" s="16"/>
      <c r="BL66" s="16"/>
      <c r="BM66" s="16"/>
      <c r="BN66" s="16"/>
      <c r="BO66" s="16"/>
      <c r="BP66" s="16"/>
      <c r="BQ66" s="21">
        <v>43862</v>
      </c>
      <c r="BR66" s="17">
        <v>2020</v>
      </c>
      <c r="BS66" s="17">
        <v>7</v>
      </c>
      <c r="BT66" s="17">
        <v>2026</v>
      </c>
      <c r="BU66" s="17">
        <v>8</v>
      </c>
      <c r="BV66" s="16"/>
      <c r="BW66" s="16"/>
      <c r="BX66" s="16"/>
      <c r="BY66" s="16"/>
      <c r="BZ66" s="16"/>
      <c r="CA66" s="21">
        <v>44012</v>
      </c>
      <c r="CB66" s="17">
        <v>2021</v>
      </c>
      <c r="CC66" s="17">
        <v>1</v>
      </c>
      <c r="CD66" s="13" t="s">
        <v>1636</v>
      </c>
      <c r="CE66" s="13" t="s">
        <v>1637</v>
      </c>
      <c r="CF66" s="13" t="s">
        <v>1308</v>
      </c>
      <c r="CG66" s="13" t="s">
        <v>1638</v>
      </c>
      <c r="CH66" s="13" t="s">
        <v>1639</v>
      </c>
      <c r="CI66" s="13" t="s">
        <v>1640</v>
      </c>
      <c r="CJ66" s="13" t="s">
        <v>1641</v>
      </c>
      <c r="CK66" s="13" t="s">
        <v>1642</v>
      </c>
      <c r="CL66" s="13" t="s">
        <v>1643</v>
      </c>
      <c r="CM66" s="13" t="s">
        <v>1644</v>
      </c>
      <c r="CN66" s="13" t="s">
        <v>1645</v>
      </c>
      <c r="CO66" s="16"/>
      <c r="CP66" s="16"/>
    </row>
    <row r="67" spans="1:94" s="1" customFormat="1" ht="13" thickBot="1" x14ac:dyDescent="0.3">
      <c r="A67" s="13" t="s">
        <v>1901</v>
      </c>
      <c r="B67" s="13" t="s">
        <v>97</v>
      </c>
      <c r="C67" s="13" t="s">
        <v>98</v>
      </c>
      <c r="D67" s="13" t="s">
        <v>1616</v>
      </c>
      <c r="E67" s="13" t="s">
        <v>1756</v>
      </c>
      <c r="F67" s="13" t="s">
        <v>1618</v>
      </c>
      <c r="G67" s="13" t="s">
        <v>1619</v>
      </c>
      <c r="H67" s="17">
        <v>60</v>
      </c>
      <c r="I67" s="16"/>
      <c r="J67" s="13" t="s">
        <v>1899</v>
      </c>
      <c r="K67" s="13" t="s">
        <v>1308</v>
      </c>
      <c r="L67" s="13" t="s">
        <v>1308</v>
      </c>
      <c r="M67" s="13" t="s">
        <v>1899</v>
      </c>
      <c r="N67" s="16"/>
      <c r="O67" s="13" t="s">
        <v>121</v>
      </c>
      <c r="P67" s="13" t="s">
        <v>1673</v>
      </c>
      <c r="Q67" s="13" t="s">
        <v>1649</v>
      </c>
      <c r="R67" s="16"/>
      <c r="S67" s="13" t="s">
        <v>1898</v>
      </c>
      <c r="T67" s="16"/>
      <c r="U67" s="13" t="s">
        <v>1825</v>
      </c>
      <c r="V67" s="13" t="s">
        <v>1826</v>
      </c>
      <c r="W67" s="13" t="s">
        <v>1902</v>
      </c>
      <c r="X67" s="13" t="s">
        <v>121</v>
      </c>
      <c r="Y67" s="13" t="s">
        <v>1619</v>
      </c>
      <c r="Z67" s="13" t="s">
        <v>1828</v>
      </c>
      <c r="AA67" s="13" t="s">
        <v>1829</v>
      </c>
      <c r="AB67" s="16"/>
      <c r="AC67" s="13" t="s">
        <v>1829</v>
      </c>
      <c r="AD67" s="13" t="s">
        <v>1678</v>
      </c>
      <c r="AE67" s="13" t="s">
        <v>1679</v>
      </c>
      <c r="AF67" s="13" t="s">
        <v>1629</v>
      </c>
      <c r="AG67" s="13" t="s">
        <v>1903</v>
      </c>
      <c r="AH67" s="13" t="s">
        <v>1904</v>
      </c>
      <c r="AI67" s="13" t="s">
        <v>1682</v>
      </c>
      <c r="AJ67" s="13" t="s">
        <v>1633</v>
      </c>
      <c r="AK67" s="13" t="s">
        <v>1832</v>
      </c>
      <c r="AL67" s="13" t="s">
        <v>1833</v>
      </c>
      <c r="AM67" s="13" t="s">
        <v>1634</v>
      </c>
      <c r="AN67" s="13" t="s">
        <v>1303</v>
      </c>
      <c r="AO67" s="13" t="s">
        <v>1304</v>
      </c>
      <c r="AP67" s="13" t="s">
        <v>1635</v>
      </c>
      <c r="AQ67" s="16"/>
      <c r="AR67" s="13" t="s">
        <v>1308</v>
      </c>
      <c r="AS67" s="15">
        <v>1</v>
      </c>
      <c r="AT67" s="14">
        <v>0</v>
      </c>
      <c r="AU67" s="14">
        <v>0</v>
      </c>
      <c r="AV67" s="14">
        <v>0</v>
      </c>
      <c r="AW67" s="14">
        <v>0</v>
      </c>
      <c r="AX67" s="14">
        <v>1199</v>
      </c>
      <c r="AY67" s="14">
        <v>1199</v>
      </c>
      <c r="AZ67" s="15">
        <v>0</v>
      </c>
      <c r="BA67" s="15">
        <v>0</v>
      </c>
      <c r="BB67" s="21">
        <v>45714</v>
      </c>
      <c r="BC67" s="21">
        <v>45588</v>
      </c>
      <c r="BD67" s="17">
        <v>2024</v>
      </c>
      <c r="BE67" s="17">
        <v>10</v>
      </c>
      <c r="BF67" s="16"/>
      <c r="BG67" s="16"/>
      <c r="BH67" s="16"/>
      <c r="BI67" s="13" t="s">
        <v>1308</v>
      </c>
      <c r="BJ67" s="16"/>
      <c r="BK67" s="16"/>
      <c r="BL67" s="16"/>
      <c r="BM67" s="16"/>
      <c r="BN67" s="16"/>
      <c r="BO67" s="16"/>
      <c r="BP67" s="16"/>
      <c r="BQ67" s="21">
        <v>45714</v>
      </c>
      <c r="BR67" s="17">
        <v>2025</v>
      </c>
      <c r="BS67" s="17">
        <v>2</v>
      </c>
      <c r="BT67" s="17">
        <v>2026</v>
      </c>
      <c r="BU67" s="17">
        <v>3</v>
      </c>
      <c r="BV67" s="16"/>
      <c r="BW67" s="16"/>
      <c r="BX67" s="16"/>
      <c r="BY67" s="16"/>
      <c r="BZ67" s="16"/>
      <c r="CA67" s="16"/>
      <c r="CB67" s="16"/>
      <c r="CC67" s="16"/>
      <c r="CD67" s="16"/>
      <c r="CE67" s="16"/>
      <c r="CF67" s="16"/>
      <c r="CG67" s="16"/>
      <c r="CH67" s="16"/>
      <c r="CI67" s="16"/>
      <c r="CJ67" s="16"/>
      <c r="CK67" s="16"/>
      <c r="CL67" s="16"/>
      <c r="CM67" s="16"/>
      <c r="CN67" s="16"/>
      <c r="CO67" s="16"/>
      <c r="CP67" s="16"/>
    </row>
    <row r="68" spans="1:94" s="1" customFormat="1" ht="13" thickBot="1" x14ac:dyDescent="0.3">
      <c r="A68" s="13" t="s">
        <v>1981</v>
      </c>
      <c r="B68" s="16"/>
      <c r="C68" s="16"/>
      <c r="D68" s="13" t="s">
        <v>1616</v>
      </c>
      <c r="E68" s="13" t="s">
        <v>1801</v>
      </c>
      <c r="F68" s="13" t="s">
        <v>1618</v>
      </c>
      <c r="G68" s="13" t="s">
        <v>1619</v>
      </c>
      <c r="H68" s="17">
        <v>12</v>
      </c>
      <c r="I68" s="16"/>
      <c r="J68" s="16"/>
      <c r="K68" s="13" t="s">
        <v>1308</v>
      </c>
      <c r="L68" s="13" t="s">
        <v>1308</v>
      </c>
      <c r="M68" s="13" t="s">
        <v>1845</v>
      </c>
      <c r="N68" s="16"/>
      <c r="O68" s="13" t="s">
        <v>1846</v>
      </c>
      <c r="P68" s="13" t="s">
        <v>976</v>
      </c>
      <c r="Q68" s="13" t="s">
        <v>1623</v>
      </c>
      <c r="R68" s="13" t="s">
        <v>1979</v>
      </c>
      <c r="S68" s="16"/>
      <c r="T68" s="16"/>
      <c r="U68" s="13" t="s">
        <v>1805</v>
      </c>
      <c r="V68" s="13" t="s">
        <v>1806</v>
      </c>
      <c r="W68" s="13" t="s">
        <v>1848</v>
      </c>
      <c r="X68" s="13" t="s">
        <v>1846</v>
      </c>
      <c r="Y68" s="13" t="s">
        <v>1619</v>
      </c>
      <c r="Z68" s="13" t="s">
        <v>1845</v>
      </c>
      <c r="AA68" s="13" t="s">
        <v>1846</v>
      </c>
      <c r="AB68" s="16"/>
      <c r="AC68" s="13" t="s">
        <v>1846</v>
      </c>
      <c r="AD68" s="13" t="s">
        <v>1678</v>
      </c>
      <c r="AE68" s="13" t="s">
        <v>1679</v>
      </c>
      <c r="AF68" s="13" t="s">
        <v>1629</v>
      </c>
      <c r="AG68" s="13" t="s">
        <v>1849</v>
      </c>
      <c r="AH68" s="13" t="s">
        <v>1809</v>
      </c>
      <c r="AI68" s="13" t="s">
        <v>1682</v>
      </c>
      <c r="AJ68" s="13" t="s">
        <v>1633</v>
      </c>
      <c r="AK68" s="13" t="s">
        <v>1870</v>
      </c>
      <c r="AL68" s="13" t="s">
        <v>1871</v>
      </c>
      <c r="AM68" s="13" t="s">
        <v>1634</v>
      </c>
      <c r="AN68" s="13" t="s">
        <v>1303</v>
      </c>
      <c r="AO68" s="13" t="s">
        <v>1304</v>
      </c>
      <c r="AP68" s="13" t="s">
        <v>1635</v>
      </c>
      <c r="AQ68" s="16"/>
      <c r="AR68" s="13" t="s">
        <v>1308</v>
      </c>
      <c r="AS68" s="15">
        <v>1</v>
      </c>
      <c r="AT68" s="14">
        <v>0</v>
      </c>
      <c r="AU68" s="14">
        <v>0</v>
      </c>
      <c r="AV68" s="14">
        <v>0</v>
      </c>
      <c r="AW68" s="14">
        <v>0</v>
      </c>
      <c r="AX68" s="14">
        <v>999</v>
      </c>
      <c r="AY68" s="14">
        <v>999</v>
      </c>
      <c r="AZ68" s="15">
        <v>11988</v>
      </c>
      <c r="BA68" s="15">
        <v>0</v>
      </c>
      <c r="BB68" s="21">
        <v>45401</v>
      </c>
      <c r="BC68" s="21">
        <v>44329</v>
      </c>
      <c r="BD68" s="17">
        <v>2021</v>
      </c>
      <c r="BE68" s="17">
        <v>11</v>
      </c>
      <c r="BF68" s="16"/>
      <c r="BG68" s="16"/>
      <c r="BH68" s="16"/>
      <c r="BI68" s="13" t="s">
        <v>1308</v>
      </c>
      <c r="BJ68" s="16"/>
      <c r="BK68" s="16"/>
      <c r="BL68" s="16"/>
      <c r="BM68" s="16"/>
      <c r="BN68" s="16"/>
      <c r="BO68" s="16"/>
      <c r="BP68" s="16"/>
      <c r="BQ68" s="21">
        <v>44355</v>
      </c>
      <c r="BR68" s="17">
        <v>2021</v>
      </c>
      <c r="BS68" s="17">
        <v>12</v>
      </c>
      <c r="BT68" s="17">
        <v>2026</v>
      </c>
      <c r="BU68" s="17">
        <v>12</v>
      </c>
      <c r="BV68" s="21">
        <v>44354</v>
      </c>
      <c r="BW68" s="17">
        <v>2021</v>
      </c>
      <c r="BX68" s="17">
        <v>12</v>
      </c>
      <c r="BY68" s="17">
        <v>2021</v>
      </c>
      <c r="BZ68" s="17">
        <v>12</v>
      </c>
      <c r="CA68" s="21">
        <v>45399</v>
      </c>
      <c r="CB68" s="17">
        <v>2024</v>
      </c>
      <c r="CC68" s="17">
        <v>4</v>
      </c>
      <c r="CD68" s="13" t="s">
        <v>1636</v>
      </c>
      <c r="CE68" s="13" t="s">
        <v>1637</v>
      </c>
      <c r="CF68" s="13" t="s">
        <v>1308</v>
      </c>
      <c r="CG68" s="13" t="s">
        <v>1638</v>
      </c>
      <c r="CH68" s="13" t="s">
        <v>1639</v>
      </c>
      <c r="CI68" s="13" t="s">
        <v>1640</v>
      </c>
      <c r="CJ68" s="13" t="s">
        <v>1641</v>
      </c>
      <c r="CK68" s="13" t="s">
        <v>1642</v>
      </c>
      <c r="CL68" s="13" t="s">
        <v>1643</v>
      </c>
      <c r="CM68" s="13" t="s">
        <v>1644</v>
      </c>
      <c r="CN68" s="13" t="s">
        <v>1645</v>
      </c>
      <c r="CO68" s="16"/>
      <c r="CP68" s="16"/>
    </row>
    <row r="69" spans="1:94" s="1" customFormat="1" ht="13" thickBot="1" x14ac:dyDescent="0.3">
      <c r="A69" s="13" t="s">
        <v>1688</v>
      </c>
      <c r="B69" s="13" t="s">
        <v>87</v>
      </c>
      <c r="C69" s="13" t="s">
        <v>88</v>
      </c>
      <c r="D69" s="13" t="s">
        <v>1616</v>
      </c>
      <c r="E69" s="13" t="s">
        <v>1670</v>
      </c>
      <c r="F69" s="13" t="s">
        <v>1618</v>
      </c>
      <c r="G69" s="13" t="s">
        <v>1619</v>
      </c>
      <c r="H69" s="17">
        <v>60</v>
      </c>
      <c r="I69" s="16"/>
      <c r="J69" s="16"/>
      <c r="K69" s="13" t="s">
        <v>1308</v>
      </c>
      <c r="L69" s="13" t="s">
        <v>1661</v>
      </c>
      <c r="M69" s="13" t="s">
        <v>1686</v>
      </c>
      <c r="N69" s="13" t="s">
        <v>2026</v>
      </c>
      <c r="O69" s="13" t="s">
        <v>86</v>
      </c>
      <c r="P69" s="13" t="s">
        <v>976</v>
      </c>
      <c r="Q69" s="13" t="s">
        <v>1737</v>
      </c>
      <c r="R69" s="16"/>
      <c r="S69" s="13" t="s">
        <v>1685</v>
      </c>
      <c r="T69" s="16"/>
      <c r="U69" s="13" t="s">
        <v>1690</v>
      </c>
      <c r="V69" s="13" t="s">
        <v>1691</v>
      </c>
      <c r="W69" s="13" t="s">
        <v>1692</v>
      </c>
      <c r="X69" s="13" t="s">
        <v>86</v>
      </c>
      <c r="Y69" s="13" t="s">
        <v>1619</v>
      </c>
      <c r="Z69" s="13" t="s">
        <v>1693</v>
      </c>
      <c r="AA69" s="13" t="s">
        <v>1694</v>
      </c>
      <c r="AB69" s="16"/>
      <c r="AC69" s="13" t="s">
        <v>1694</v>
      </c>
      <c r="AD69" s="13" t="s">
        <v>1678</v>
      </c>
      <c r="AE69" s="13" t="s">
        <v>1679</v>
      </c>
      <c r="AF69" s="13" t="s">
        <v>1629</v>
      </c>
      <c r="AG69" s="13" t="s">
        <v>1695</v>
      </c>
      <c r="AH69" s="13" t="s">
        <v>1696</v>
      </c>
      <c r="AI69" s="13" t="s">
        <v>1697</v>
      </c>
      <c r="AJ69" s="13" t="s">
        <v>1633</v>
      </c>
      <c r="AK69" s="13" t="s">
        <v>87</v>
      </c>
      <c r="AL69" s="13" t="s">
        <v>88</v>
      </c>
      <c r="AM69" s="13" t="s">
        <v>1634</v>
      </c>
      <c r="AN69" s="13" t="s">
        <v>1303</v>
      </c>
      <c r="AO69" s="13" t="s">
        <v>1304</v>
      </c>
      <c r="AP69" s="13" t="s">
        <v>1635</v>
      </c>
      <c r="AQ69" s="16"/>
      <c r="AR69" s="13" t="s">
        <v>1308</v>
      </c>
      <c r="AS69" s="15">
        <v>1</v>
      </c>
      <c r="AT69" s="14">
        <v>0</v>
      </c>
      <c r="AU69" s="14">
        <v>0</v>
      </c>
      <c r="AV69" s="14">
        <v>0</v>
      </c>
      <c r="AW69" s="14">
        <v>0</v>
      </c>
      <c r="AX69" s="14">
        <v>0</v>
      </c>
      <c r="AY69" s="14">
        <v>2981</v>
      </c>
      <c r="AZ69" s="15">
        <v>0</v>
      </c>
      <c r="BA69" s="15">
        <v>0</v>
      </c>
      <c r="BB69" s="21">
        <v>45930</v>
      </c>
      <c r="BC69" s="21">
        <v>45379</v>
      </c>
      <c r="BD69" s="17">
        <v>2024</v>
      </c>
      <c r="BE69" s="17">
        <v>3</v>
      </c>
      <c r="BF69" s="16"/>
      <c r="BG69" s="16"/>
      <c r="BH69" s="16"/>
      <c r="BI69" s="13" t="s">
        <v>1308</v>
      </c>
      <c r="BJ69" s="16"/>
      <c r="BK69" s="16"/>
      <c r="BL69" s="16"/>
      <c r="BM69" s="16"/>
      <c r="BN69" s="16"/>
      <c r="BO69" s="16"/>
      <c r="BP69" s="16"/>
      <c r="BQ69" s="21">
        <v>45385</v>
      </c>
      <c r="BR69" s="17">
        <v>2024</v>
      </c>
      <c r="BS69" s="17">
        <v>4</v>
      </c>
      <c r="BT69" s="17">
        <v>2026</v>
      </c>
      <c r="BU69" s="17">
        <v>4</v>
      </c>
      <c r="BV69" s="21">
        <v>45387</v>
      </c>
      <c r="BW69" s="17">
        <v>2024</v>
      </c>
      <c r="BX69" s="17">
        <v>4</v>
      </c>
      <c r="BY69" s="17">
        <v>2024</v>
      </c>
      <c r="BZ69" s="17">
        <v>4</v>
      </c>
      <c r="CA69" s="21">
        <v>45930</v>
      </c>
      <c r="CB69" s="17">
        <v>2025</v>
      </c>
      <c r="CC69" s="17">
        <v>9</v>
      </c>
      <c r="CD69" s="13" t="s">
        <v>2027</v>
      </c>
      <c r="CE69" s="13" t="s">
        <v>2028</v>
      </c>
      <c r="CF69" s="13" t="s">
        <v>1308</v>
      </c>
      <c r="CG69" s="13" t="s">
        <v>1731</v>
      </c>
      <c r="CH69" s="13" t="s">
        <v>1732</v>
      </c>
      <c r="CI69" s="13" t="s">
        <v>1733</v>
      </c>
      <c r="CJ69" s="13" t="s">
        <v>1734</v>
      </c>
      <c r="CK69" s="13" t="s">
        <v>1735</v>
      </c>
      <c r="CL69" s="13" t="s">
        <v>1736</v>
      </c>
      <c r="CM69" s="13" t="s">
        <v>4</v>
      </c>
      <c r="CN69" s="16"/>
      <c r="CO69" s="16"/>
      <c r="CP69" s="16"/>
    </row>
    <row r="70" spans="1:94" s="1" customFormat="1" ht="13" thickBot="1" x14ac:dyDescent="0.3">
      <c r="A70" s="13" t="s">
        <v>2029</v>
      </c>
      <c r="B70" s="16"/>
      <c r="C70" s="16"/>
      <c r="D70" s="13" t="s">
        <v>1616</v>
      </c>
      <c r="E70" s="13" t="s">
        <v>1670</v>
      </c>
      <c r="F70" s="13" t="s">
        <v>1618</v>
      </c>
      <c r="G70" s="13" t="s">
        <v>1619</v>
      </c>
      <c r="H70" s="17">
        <v>7</v>
      </c>
      <c r="I70" s="16"/>
      <c r="J70" s="16"/>
      <c r="K70" s="13" t="s">
        <v>1308</v>
      </c>
      <c r="L70" s="13" t="s">
        <v>1308</v>
      </c>
      <c r="M70" s="13" t="s">
        <v>1814</v>
      </c>
      <c r="N70" s="13" t="s">
        <v>1815</v>
      </c>
      <c r="O70" s="13" t="s">
        <v>66</v>
      </c>
      <c r="P70" s="13" t="s">
        <v>976</v>
      </c>
      <c r="Q70" s="13" t="s">
        <v>1623</v>
      </c>
      <c r="R70" s="16"/>
      <c r="S70" s="16"/>
      <c r="T70" s="16"/>
      <c r="U70" s="13" t="s">
        <v>1817</v>
      </c>
      <c r="V70" s="13" t="s">
        <v>1818</v>
      </c>
      <c r="W70" s="13" t="s">
        <v>1819</v>
      </c>
      <c r="X70" s="13" t="s">
        <v>66</v>
      </c>
      <c r="Y70" s="13" t="s">
        <v>1619</v>
      </c>
      <c r="Z70" s="13" t="s">
        <v>1814</v>
      </c>
      <c r="AA70" s="13" t="s">
        <v>66</v>
      </c>
      <c r="AB70" s="16"/>
      <c r="AC70" s="13" t="s">
        <v>66</v>
      </c>
      <c r="AD70" s="13" t="s">
        <v>1678</v>
      </c>
      <c r="AE70" s="13" t="s">
        <v>1679</v>
      </c>
      <c r="AF70" s="13" t="s">
        <v>1629</v>
      </c>
      <c r="AG70" s="13" t="s">
        <v>1820</v>
      </c>
      <c r="AH70" s="13" t="s">
        <v>1821</v>
      </c>
      <c r="AI70" s="13" t="s">
        <v>1682</v>
      </c>
      <c r="AJ70" s="13" t="s">
        <v>1633</v>
      </c>
      <c r="AK70" s="13" t="s">
        <v>67</v>
      </c>
      <c r="AL70" s="13" t="s">
        <v>68</v>
      </c>
      <c r="AM70" s="13" t="s">
        <v>1634</v>
      </c>
      <c r="AN70" s="13" t="s">
        <v>1303</v>
      </c>
      <c r="AO70" s="13" t="s">
        <v>1304</v>
      </c>
      <c r="AP70" s="13" t="s">
        <v>1635</v>
      </c>
      <c r="AQ70" s="16"/>
      <c r="AR70" s="13" t="s">
        <v>1308</v>
      </c>
      <c r="AS70" s="15">
        <v>1</v>
      </c>
      <c r="AT70" s="14">
        <v>0</v>
      </c>
      <c r="AU70" s="14">
        <v>0</v>
      </c>
      <c r="AV70" s="14">
        <v>0</v>
      </c>
      <c r="AW70" s="14">
        <v>0</v>
      </c>
      <c r="AX70" s="14">
        <v>599</v>
      </c>
      <c r="AY70" s="14">
        <v>599</v>
      </c>
      <c r="AZ70" s="15">
        <v>3594</v>
      </c>
      <c r="BA70" s="15">
        <v>0</v>
      </c>
      <c r="BB70" s="21">
        <v>45943</v>
      </c>
      <c r="BC70" s="21">
        <v>45693</v>
      </c>
      <c r="BD70" s="17">
        <v>2025</v>
      </c>
      <c r="BE70" s="17">
        <v>2</v>
      </c>
      <c r="BF70" s="16"/>
      <c r="BG70" s="16"/>
      <c r="BH70" s="16"/>
      <c r="BI70" s="13" t="s">
        <v>1308</v>
      </c>
      <c r="BJ70" s="16"/>
      <c r="BK70" s="16"/>
      <c r="BL70" s="16"/>
      <c r="BM70" s="16"/>
      <c r="BN70" s="16"/>
      <c r="BO70" s="16"/>
      <c r="BP70" s="16"/>
      <c r="BQ70" s="21">
        <v>45699</v>
      </c>
      <c r="BR70" s="17">
        <v>2025</v>
      </c>
      <c r="BS70" s="17">
        <v>2</v>
      </c>
      <c r="BT70" s="17">
        <v>2026</v>
      </c>
      <c r="BU70" s="17">
        <v>2</v>
      </c>
      <c r="BV70" s="16"/>
      <c r="BW70" s="16"/>
      <c r="BX70" s="16"/>
      <c r="BY70" s="16"/>
      <c r="BZ70" s="16"/>
      <c r="CA70" s="21">
        <v>45930</v>
      </c>
      <c r="CB70" s="17">
        <v>2025</v>
      </c>
      <c r="CC70" s="17">
        <v>10</v>
      </c>
      <c r="CD70" s="13" t="s">
        <v>1738</v>
      </c>
      <c r="CE70" s="13" t="s">
        <v>1739</v>
      </c>
      <c r="CF70" s="13" t="s">
        <v>1661</v>
      </c>
      <c r="CG70" s="13" t="s">
        <v>1740</v>
      </c>
      <c r="CH70" s="13" t="s">
        <v>1741</v>
      </c>
      <c r="CI70" s="13" t="s">
        <v>1742</v>
      </c>
      <c r="CJ70" s="13" t="s">
        <v>1743</v>
      </c>
      <c r="CK70" s="13" t="s">
        <v>1735</v>
      </c>
      <c r="CL70" s="13" t="s">
        <v>1736</v>
      </c>
      <c r="CM70" s="13" t="s">
        <v>1744</v>
      </c>
      <c r="CN70" s="16"/>
      <c r="CO70" s="16"/>
      <c r="CP70" s="16"/>
    </row>
    <row r="71" spans="1:94" s="1" customFormat="1" ht="13" thickBot="1" x14ac:dyDescent="0.3">
      <c r="A71" s="13" t="s">
        <v>1674</v>
      </c>
      <c r="B71" s="13" t="s">
        <v>1668</v>
      </c>
      <c r="C71" s="13" t="s">
        <v>1669</v>
      </c>
      <c r="D71" s="13" t="s">
        <v>1616</v>
      </c>
      <c r="E71" s="13" t="s">
        <v>1670</v>
      </c>
      <c r="F71" s="13" t="s">
        <v>1618</v>
      </c>
      <c r="G71" s="13" t="s">
        <v>1619</v>
      </c>
      <c r="H71" s="17">
        <v>36</v>
      </c>
      <c r="I71" s="16"/>
      <c r="J71" s="16"/>
      <c r="K71" s="13" t="s">
        <v>1308</v>
      </c>
      <c r="L71" s="13" t="s">
        <v>1308</v>
      </c>
      <c r="M71" s="13" t="s">
        <v>1671</v>
      </c>
      <c r="N71" s="13" t="s">
        <v>1672</v>
      </c>
      <c r="O71" s="13" t="s">
        <v>127</v>
      </c>
      <c r="P71" s="13" t="s">
        <v>976</v>
      </c>
      <c r="Q71" s="13" t="s">
        <v>1737</v>
      </c>
      <c r="R71" s="13" t="s">
        <v>1667</v>
      </c>
      <c r="S71" s="13" t="s">
        <v>1975</v>
      </c>
      <c r="T71" s="16"/>
      <c r="U71" s="13" t="s">
        <v>1675</v>
      </c>
      <c r="V71" s="13" t="s">
        <v>1676</v>
      </c>
      <c r="W71" s="13" t="s">
        <v>1677</v>
      </c>
      <c r="X71" s="13" t="s">
        <v>127</v>
      </c>
      <c r="Y71" s="13" t="s">
        <v>1619</v>
      </c>
      <c r="Z71" s="13" t="s">
        <v>1671</v>
      </c>
      <c r="AA71" s="13" t="s">
        <v>127</v>
      </c>
      <c r="AB71" s="16"/>
      <c r="AC71" s="13" t="s">
        <v>127</v>
      </c>
      <c r="AD71" s="13" t="s">
        <v>1678</v>
      </c>
      <c r="AE71" s="13" t="s">
        <v>1679</v>
      </c>
      <c r="AF71" s="13" t="s">
        <v>1629</v>
      </c>
      <c r="AG71" s="13" t="s">
        <v>1680</v>
      </c>
      <c r="AH71" s="13" t="s">
        <v>1681</v>
      </c>
      <c r="AI71" s="13" t="s">
        <v>1682</v>
      </c>
      <c r="AJ71" s="13" t="s">
        <v>1633</v>
      </c>
      <c r="AK71" s="13" t="s">
        <v>1668</v>
      </c>
      <c r="AL71" s="13" t="s">
        <v>1669</v>
      </c>
      <c r="AM71" s="13" t="s">
        <v>1634</v>
      </c>
      <c r="AN71" s="13" t="s">
        <v>1303</v>
      </c>
      <c r="AO71" s="13" t="s">
        <v>1304</v>
      </c>
      <c r="AP71" s="13" t="s">
        <v>1635</v>
      </c>
      <c r="AQ71" s="16"/>
      <c r="AR71" s="13" t="s">
        <v>1308</v>
      </c>
      <c r="AS71" s="15">
        <v>1</v>
      </c>
      <c r="AT71" s="14">
        <v>0</v>
      </c>
      <c r="AU71" s="14">
        <v>0</v>
      </c>
      <c r="AV71" s="14">
        <v>0</v>
      </c>
      <c r="AW71" s="14">
        <v>0</v>
      </c>
      <c r="AX71" s="14">
        <v>1394</v>
      </c>
      <c r="AY71" s="14">
        <v>1394</v>
      </c>
      <c r="AZ71" s="15">
        <v>0</v>
      </c>
      <c r="BA71" s="15">
        <v>0</v>
      </c>
      <c r="BB71" s="21">
        <v>45869</v>
      </c>
      <c r="BC71" s="21">
        <v>44468</v>
      </c>
      <c r="BD71" s="17">
        <v>2022</v>
      </c>
      <c r="BE71" s="17">
        <v>3</v>
      </c>
      <c r="BF71" s="16"/>
      <c r="BG71" s="16"/>
      <c r="BH71" s="16"/>
      <c r="BI71" s="13" t="s">
        <v>1308</v>
      </c>
      <c r="BJ71" s="16"/>
      <c r="BK71" s="16"/>
      <c r="BL71" s="16"/>
      <c r="BM71" s="16"/>
      <c r="BN71" s="16"/>
      <c r="BO71" s="16"/>
      <c r="BP71" s="16"/>
      <c r="BQ71" s="21">
        <v>44473</v>
      </c>
      <c r="BR71" s="17">
        <v>2022</v>
      </c>
      <c r="BS71" s="17">
        <v>4</v>
      </c>
      <c r="BT71" s="17">
        <v>2026</v>
      </c>
      <c r="BU71" s="17">
        <v>4</v>
      </c>
      <c r="BV71" s="21">
        <v>44480</v>
      </c>
      <c r="BW71" s="17">
        <v>2022</v>
      </c>
      <c r="BX71" s="17">
        <v>4</v>
      </c>
      <c r="BY71" s="17">
        <v>2022</v>
      </c>
      <c r="BZ71" s="17">
        <v>4</v>
      </c>
      <c r="CA71" s="21">
        <v>45868</v>
      </c>
      <c r="CB71" s="17">
        <v>2025</v>
      </c>
      <c r="CC71" s="17">
        <v>7</v>
      </c>
      <c r="CD71" s="13" t="s">
        <v>1636</v>
      </c>
      <c r="CE71" s="13" t="s">
        <v>1637</v>
      </c>
      <c r="CF71" s="13" t="s">
        <v>1308</v>
      </c>
      <c r="CG71" s="13" t="s">
        <v>1638</v>
      </c>
      <c r="CH71" s="13" t="s">
        <v>1639</v>
      </c>
      <c r="CI71" s="13" t="s">
        <v>1640</v>
      </c>
      <c r="CJ71" s="13" t="s">
        <v>1641</v>
      </c>
      <c r="CK71" s="13" t="s">
        <v>1642</v>
      </c>
      <c r="CL71" s="13" t="s">
        <v>1643</v>
      </c>
      <c r="CM71" s="13" t="s">
        <v>1644</v>
      </c>
      <c r="CN71" s="13" t="s">
        <v>1645</v>
      </c>
      <c r="CO71" s="16"/>
      <c r="CP71" s="16"/>
    </row>
    <row r="72" spans="1:94" s="1" customFormat="1" ht="13" thickBot="1" x14ac:dyDescent="0.3">
      <c r="A72" s="13" t="s">
        <v>2015</v>
      </c>
      <c r="B72" s="13" t="s">
        <v>67</v>
      </c>
      <c r="C72" s="13" t="s">
        <v>68</v>
      </c>
      <c r="D72" s="13" t="s">
        <v>1616</v>
      </c>
      <c r="E72" s="13" t="s">
        <v>1670</v>
      </c>
      <c r="F72" s="13" t="s">
        <v>1618</v>
      </c>
      <c r="G72" s="13" t="s">
        <v>1619</v>
      </c>
      <c r="H72" s="17">
        <v>36</v>
      </c>
      <c r="I72" s="16"/>
      <c r="J72" s="16"/>
      <c r="K72" s="13" t="s">
        <v>1308</v>
      </c>
      <c r="L72" s="13" t="s">
        <v>1308</v>
      </c>
      <c r="M72" s="13" t="s">
        <v>1814</v>
      </c>
      <c r="N72" s="13" t="s">
        <v>1815</v>
      </c>
      <c r="O72" s="13" t="s">
        <v>66</v>
      </c>
      <c r="P72" s="13" t="s">
        <v>976</v>
      </c>
      <c r="Q72" s="13" t="s">
        <v>1649</v>
      </c>
      <c r="R72" s="16"/>
      <c r="S72" s="13" t="s">
        <v>2014</v>
      </c>
      <c r="T72" s="16"/>
      <c r="U72" s="13" t="s">
        <v>1817</v>
      </c>
      <c r="V72" s="13" t="s">
        <v>1818</v>
      </c>
      <c r="W72" s="13" t="s">
        <v>1819</v>
      </c>
      <c r="X72" s="13" t="s">
        <v>66</v>
      </c>
      <c r="Y72" s="13" t="s">
        <v>1619</v>
      </c>
      <c r="Z72" s="13" t="s">
        <v>1814</v>
      </c>
      <c r="AA72" s="13" t="s">
        <v>66</v>
      </c>
      <c r="AB72" s="16"/>
      <c r="AC72" s="13" t="s">
        <v>66</v>
      </c>
      <c r="AD72" s="13" t="s">
        <v>1678</v>
      </c>
      <c r="AE72" s="13" t="s">
        <v>1679</v>
      </c>
      <c r="AF72" s="13" t="s">
        <v>1629</v>
      </c>
      <c r="AG72" s="13" t="s">
        <v>1820</v>
      </c>
      <c r="AH72" s="13" t="s">
        <v>1821</v>
      </c>
      <c r="AI72" s="13" t="s">
        <v>1682</v>
      </c>
      <c r="AJ72" s="13" t="s">
        <v>1633</v>
      </c>
      <c r="AK72" s="13" t="s">
        <v>67</v>
      </c>
      <c r="AL72" s="13" t="s">
        <v>68</v>
      </c>
      <c r="AM72" s="13" t="s">
        <v>1634</v>
      </c>
      <c r="AN72" s="13" t="s">
        <v>1303</v>
      </c>
      <c r="AO72" s="13" t="s">
        <v>1304</v>
      </c>
      <c r="AP72" s="13" t="s">
        <v>1635</v>
      </c>
      <c r="AQ72" s="16"/>
      <c r="AR72" s="13" t="s">
        <v>1308</v>
      </c>
      <c r="AS72" s="15">
        <v>1</v>
      </c>
      <c r="AT72" s="14">
        <v>0</v>
      </c>
      <c r="AU72" s="14">
        <v>0</v>
      </c>
      <c r="AV72" s="14">
        <v>0</v>
      </c>
      <c r="AW72" s="14">
        <v>0</v>
      </c>
      <c r="AX72" s="14">
        <v>599</v>
      </c>
      <c r="AY72" s="14">
        <v>599</v>
      </c>
      <c r="AZ72" s="15">
        <v>0</v>
      </c>
      <c r="BA72" s="15">
        <v>0</v>
      </c>
      <c r="BB72" s="21">
        <v>45961</v>
      </c>
      <c r="BC72" s="21">
        <v>45798</v>
      </c>
      <c r="BD72" s="17">
        <v>2025</v>
      </c>
      <c r="BE72" s="17">
        <v>5</v>
      </c>
      <c r="BF72" s="16"/>
      <c r="BG72" s="16"/>
      <c r="BH72" s="16"/>
      <c r="BI72" s="13" t="s">
        <v>1308</v>
      </c>
      <c r="BJ72" s="16"/>
      <c r="BK72" s="16"/>
      <c r="BL72" s="16"/>
      <c r="BM72" s="16"/>
      <c r="BN72" s="16"/>
      <c r="BO72" s="16"/>
      <c r="BP72" s="16"/>
      <c r="BQ72" s="21">
        <v>45897</v>
      </c>
      <c r="BR72" s="17">
        <v>2025</v>
      </c>
      <c r="BS72" s="17">
        <v>8</v>
      </c>
      <c r="BT72" s="17">
        <v>2026</v>
      </c>
      <c r="BU72" s="17">
        <v>9</v>
      </c>
      <c r="BV72" s="21">
        <v>45897</v>
      </c>
      <c r="BW72" s="17">
        <v>2025</v>
      </c>
      <c r="BX72" s="17">
        <v>8</v>
      </c>
      <c r="BY72" s="17">
        <v>2025</v>
      </c>
      <c r="BZ72" s="17">
        <v>9</v>
      </c>
      <c r="CA72" s="21">
        <v>45961</v>
      </c>
      <c r="CB72" s="17">
        <v>2025</v>
      </c>
      <c r="CC72" s="17">
        <v>10</v>
      </c>
      <c r="CD72" s="13" t="s">
        <v>1766</v>
      </c>
      <c r="CE72" s="13" t="s">
        <v>1767</v>
      </c>
      <c r="CF72" s="13" t="s">
        <v>1308</v>
      </c>
      <c r="CG72" s="13" t="s">
        <v>1957</v>
      </c>
      <c r="CH72" s="13" t="s">
        <v>1958</v>
      </c>
      <c r="CI72" s="13" t="s">
        <v>1959</v>
      </c>
      <c r="CJ72" s="13" t="s">
        <v>1960</v>
      </c>
      <c r="CK72" s="13" t="s">
        <v>1735</v>
      </c>
      <c r="CL72" s="13" t="s">
        <v>1736</v>
      </c>
      <c r="CM72" s="13" t="s">
        <v>1961</v>
      </c>
      <c r="CN72" s="13" t="s">
        <v>1962</v>
      </c>
      <c r="CO72" s="16"/>
      <c r="CP72" s="16"/>
    </row>
    <row r="73" spans="1:94" s="1" customFormat="1" ht="13" thickBot="1" x14ac:dyDescent="0.3">
      <c r="A73" s="13" t="s">
        <v>2030</v>
      </c>
      <c r="B73" s="16"/>
      <c r="C73" s="16"/>
      <c r="D73" s="13" t="s">
        <v>1616</v>
      </c>
      <c r="E73" s="13" t="s">
        <v>1617</v>
      </c>
      <c r="F73" s="13" t="s">
        <v>1618</v>
      </c>
      <c r="G73" s="13" t="s">
        <v>1619</v>
      </c>
      <c r="H73" s="17">
        <v>1</v>
      </c>
      <c r="I73" s="16"/>
      <c r="J73" s="16"/>
      <c r="K73" s="13" t="s">
        <v>1661</v>
      </c>
      <c r="L73" s="13" t="s">
        <v>1308</v>
      </c>
      <c r="M73" s="13" t="s">
        <v>1949</v>
      </c>
      <c r="N73" s="13" t="s">
        <v>1950</v>
      </c>
      <c r="O73" s="13" t="s">
        <v>71</v>
      </c>
      <c r="P73" s="13" t="s">
        <v>976</v>
      </c>
      <c r="Q73" s="13" t="s">
        <v>1623</v>
      </c>
      <c r="R73" s="16"/>
      <c r="S73" s="16"/>
      <c r="T73" s="16"/>
      <c r="U73" s="13" t="s">
        <v>1951</v>
      </c>
      <c r="V73" s="13" t="s">
        <v>1952</v>
      </c>
      <c r="W73" s="13" t="s">
        <v>1953</v>
      </c>
      <c r="X73" s="13" t="s">
        <v>71</v>
      </c>
      <c r="Y73" s="13" t="s">
        <v>1619</v>
      </c>
      <c r="Z73" s="13" t="s">
        <v>1949</v>
      </c>
      <c r="AA73" s="13" t="s">
        <v>71</v>
      </c>
      <c r="AB73" s="16"/>
      <c r="AC73" s="13" t="s">
        <v>71</v>
      </c>
      <c r="AD73" s="13" t="s">
        <v>1678</v>
      </c>
      <c r="AE73" s="13" t="s">
        <v>1679</v>
      </c>
      <c r="AF73" s="13" t="s">
        <v>1629</v>
      </c>
      <c r="AG73" s="13" t="s">
        <v>1954</v>
      </c>
      <c r="AH73" s="13" t="s">
        <v>1955</v>
      </c>
      <c r="AI73" s="13" t="s">
        <v>1956</v>
      </c>
      <c r="AJ73" s="13" t="s">
        <v>1633</v>
      </c>
      <c r="AK73" s="13" t="s">
        <v>35</v>
      </c>
      <c r="AL73" s="13" t="s">
        <v>36</v>
      </c>
      <c r="AM73" s="13" t="s">
        <v>1634</v>
      </c>
      <c r="AN73" s="13" t="s">
        <v>1303</v>
      </c>
      <c r="AO73" s="13" t="s">
        <v>1304</v>
      </c>
      <c r="AP73" s="13" t="s">
        <v>1635</v>
      </c>
      <c r="AQ73" s="16"/>
      <c r="AR73" s="13" t="s">
        <v>1308</v>
      </c>
      <c r="AS73" s="15">
        <v>1</v>
      </c>
      <c r="AT73" s="14">
        <v>0</v>
      </c>
      <c r="AU73" s="14">
        <v>0</v>
      </c>
      <c r="AV73" s="14">
        <v>0</v>
      </c>
      <c r="AW73" s="14">
        <v>0</v>
      </c>
      <c r="AX73" s="14">
        <v>195</v>
      </c>
      <c r="AY73" s="14">
        <v>1849</v>
      </c>
      <c r="AZ73" s="15">
        <v>0</v>
      </c>
      <c r="BA73" s="15">
        <v>0</v>
      </c>
      <c r="BB73" s="21">
        <v>44664</v>
      </c>
      <c r="BC73" s="21">
        <v>43848</v>
      </c>
      <c r="BD73" s="17">
        <v>2020</v>
      </c>
      <c r="BE73" s="17">
        <v>7</v>
      </c>
      <c r="BF73" s="16"/>
      <c r="BG73" s="16"/>
      <c r="BH73" s="16"/>
      <c r="BI73" s="13" t="s">
        <v>1308</v>
      </c>
      <c r="BJ73" s="16"/>
      <c r="BK73" s="16"/>
      <c r="BL73" s="16"/>
      <c r="BM73" s="16"/>
      <c r="BN73" s="16"/>
      <c r="BO73" s="16"/>
      <c r="BP73" s="16"/>
      <c r="BQ73" s="21">
        <v>43862</v>
      </c>
      <c r="BR73" s="17">
        <v>2020</v>
      </c>
      <c r="BS73" s="17">
        <v>7</v>
      </c>
      <c r="BT73" s="17">
        <v>2026</v>
      </c>
      <c r="BU73" s="17">
        <v>8</v>
      </c>
      <c r="BV73" s="16"/>
      <c r="BW73" s="16"/>
      <c r="BX73" s="16"/>
      <c r="BY73" s="16"/>
      <c r="BZ73" s="16"/>
      <c r="CA73" s="21">
        <v>44651</v>
      </c>
      <c r="CB73" s="17">
        <v>2022</v>
      </c>
      <c r="CC73" s="17">
        <v>10</v>
      </c>
      <c r="CD73" s="13" t="s">
        <v>1778</v>
      </c>
      <c r="CE73" s="13" t="s">
        <v>1639</v>
      </c>
      <c r="CF73" s="13" t="s">
        <v>1308</v>
      </c>
      <c r="CG73" s="13" t="s">
        <v>1638</v>
      </c>
      <c r="CH73" s="13" t="s">
        <v>1639</v>
      </c>
      <c r="CI73" s="13" t="s">
        <v>1640</v>
      </c>
      <c r="CJ73" s="13" t="s">
        <v>1641</v>
      </c>
      <c r="CK73" s="13" t="s">
        <v>1735</v>
      </c>
      <c r="CL73" s="13" t="s">
        <v>1736</v>
      </c>
      <c r="CM73" s="13" t="s">
        <v>1644</v>
      </c>
      <c r="CN73" s="13" t="s">
        <v>1645</v>
      </c>
      <c r="CO73" s="16"/>
      <c r="CP73" s="16"/>
    </row>
    <row r="74" spans="1:94" s="1" customFormat="1" ht="13" thickBot="1" x14ac:dyDescent="0.3">
      <c r="A74" s="13" t="s">
        <v>1663</v>
      </c>
      <c r="B74" s="13" t="s">
        <v>35</v>
      </c>
      <c r="C74" s="13" t="s">
        <v>36</v>
      </c>
      <c r="D74" s="13" t="s">
        <v>1616</v>
      </c>
      <c r="E74" s="13" t="s">
        <v>1617</v>
      </c>
      <c r="F74" s="13" t="s">
        <v>1618</v>
      </c>
      <c r="G74" s="13" t="s">
        <v>1619</v>
      </c>
      <c r="H74" s="17">
        <v>48</v>
      </c>
      <c r="I74" s="16"/>
      <c r="J74" s="16"/>
      <c r="K74" s="13" t="s">
        <v>1661</v>
      </c>
      <c r="L74" s="13" t="s">
        <v>1308</v>
      </c>
      <c r="M74" s="13" t="s">
        <v>46</v>
      </c>
      <c r="N74" s="13" t="s">
        <v>1662</v>
      </c>
      <c r="O74" s="13" t="s">
        <v>47</v>
      </c>
      <c r="P74" s="13" t="s">
        <v>976</v>
      </c>
      <c r="Q74" s="13" t="s">
        <v>1649</v>
      </c>
      <c r="R74" s="13" t="s">
        <v>1889</v>
      </c>
      <c r="S74" s="13" t="s">
        <v>1660</v>
      </c>
      <c r="T74" s="16"/>
      <c r="U74" s="13" t="s">
        <v>1664</v>
      </c>
      <c r="V74" s="13" t="s">
        <v>47</v>
      </c>
      <c r="W74" s="13" t="s">
        <v>1665</v>
      </c>
      <c r="X74" s="13" t="s">
        <v>47</v>
      </c>
      <c r="Y74" s="13" t="s">
        <v>1619</v>
      </c>
      <c r="Z74" s="13" t="s">
        <v>46</v>
      </c>
      <c r="AA74" s="13" t="s">
        <v>47</v>
      </c>
      <c r="AB74" s="16"/>
      <c r="AC74" s="13" t="s">
        <v>47</v>
      </c>
      <c r="AD74" s="13" t="s">
        <v>1627</v>
      </c>
      <c r="AE74" s="13" t="s">
        <v>1628</v>
      </c>
      <c r="AF74" s="13" t="s">
        <v>1629</v>
      </c>
      <c r="AG74" s="13" t="s">
        <v>1666</v>
      </c>
      <c r="AH74" s="13" t="s">
        <v>1631</v>
      </c>
      <c r="AI74" s="13" t="s">
        <v>1632</v>
      </c>
      <c r="AJ74" s="13" t="s">
        <v>1633</v>
      </c>
      <c r="AK74" s="13" t="s">
        <v>48</v>
      </c>
      <c r="AL74" s="13" t="s">
        <v>49</v>
      </c>
      <c r="AM74" s="13" t="s">
        <v>1634</v>
      </c>
      <c r="AN74" s="13" t="s">
        <v>1303</v>
      </c>
      <c r="AO74" s="13" t="s">
        <v>1304</v>
      </c>
      <c r="AP74" s="13" t="s">
        <v>1635</v>
      </c>
      <c r="AQ74" s="16"/>
      <c r="AR74" s="13" t="s">
        <v>1308</v>
      </c>
      <c r="AS74" s="15">
        <v>1</v>
      </c>
      <c r="AT74" s="14">
        <v>0</v>
      </c>
      <c r="AU74" s="14">
        <v>0</v>
      </c>
      <c r="AV74" s="14">
        <v>0</v>
      </c>
      <c r="AW74" s="14">
        <v>0</v>
      </c>
      <c r="AX74" s="14">
        <v>299</v>
      </c>
      <c r="AY74" s="14">
        <v>359</v>
      </c>
      <c r="AZ74" s="15">
        <v>0</v>
      </c>
      <c r="BA74" s="15">
        <v>0</v>
      </c>
      <c r="BB74" s="21">
        <v>45966</v>
      </c>
      <c r="BC74" s="21">
        <v>44046</v>
      </c>
      <c r="BD74" s="17">
        <v>2021</v>
      </c>
      <c r="BE74" s="17">
        <v>1</v>
      </c>
      <c r="BF74" s="16"/>
      <c r="BG74" s="16"/>
      <c r="BH74" s="16"/>
      <c r="BI74" s="13" t="s">
        <v>1308</v>
      </c>
      <c r="BJ74" s="16"/>
      <c r="BK74" s="16"/>
      <c r="BL74" s="16"/>
      <c r="BM74" s="16"/>
      <c r="BN74" s="16"/>
      <c r="BO74" s="16"/>
      <c r="BP74" s="16"/>
      <c r="BQ74" s="21">
        <v>44053</v>
      </c>
      <c r="BR74" s="17">
        <v>2021</v>
      </c>
      <c r="BS74" s="17">
        <v>2</v>
      </c>
      <c r="BT74" s="17">
        <v>2026</v>
      </c>
      <c r="BU74" s="17">
        <v>2</v>
      </c>
      <c r="BV74" s="16"/>
      <c r="BW74" s="16"/>
      <c r="BX74" s="16"/>
      <c r="BY74" s="16"/>
      <c r="BZ74" s="16"/>
      <c r="CA74" s="21">
        <v>45961</v>
      </c>
      <c r="CB74" s="17">
        <v>2025</v>
      </c>
      <c r="CC74" s="17">
        <v>11</v>
      </c>
      <c r="CD74" s="13" t="s">
        <v>1778</v>
      </c>
      <c r="CE74" s="13" t="s">
        <v>1639</v>
      </c>
      <c r="CF74" s="13" t="s">
        <v>1308</v>
      </c>
      <c r="CG74" s="13" t="s">
        <v>1638</v>
      </c>
      <c r="CH74" s="13" t="s">
        <v>1639</v>
      </c>
      <c r="CI74" s="13" t="s">
        <v>1640</v>
      </c>
      <c r="CJ74" s="13" t="s">
        <v>1641</v>
      </c>
      <c r="CK74" s="13" t="s">
        <v>1735</v>
      </c>
      <c r="CL74" s="13" t="s">
        <v>1736</v>
      </c>
      <c r="CM74" s="13" t="s">
        <v>1644</v>
      </c>
      <c r="CN74" s="13" t="s">
        <v>1645</v>
      </c>
      <c r="CO74" s="16"/>
      <c r="CP74" s="16"/>
    </row>
  </sheetData>
  <autoFilter ref="A1:CP1" xr:uid="{B47E2FEC-DD7C-4C84-ACC6-CD3C5482977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D3392-C082-4DEA-9A02-89250C494659}">
  <dimension ref="A1:N554"/>
  <sheetViews>
    <sheetView topLeftCell="I1" workbookViewId="0">
      <pane ySplit="1" topLeftCell="A2" activePane="bottomLeft" state="frozen"/>
      <selection pane="bottomLeft" activeCell="H2" sqref="H2"/>
    </sheetView>
  </sheetViews>
  <sheetFormatPr defaultColWidth="9.1796875" defaultRowHeight="14.5" x14ac:dyDescent="0.35"/>
  <cols>
    <col min="1" max="1" width="12.54296875" style="6" bestFit="1" customWidth="1"/>
    <col min="2" max="2" width="57.1796875" style="6" bestFit="1" customWidth="1"/>
    <col min="3" max="3" width="15.453125" style="6" bestFit="1" customWidth="1"/>
    <col min="4" max="4" width="78.1796875" style="6" bestFit="1" customWidth="1"/>
    <col min="5" max="5" width="29.453125" style="11" bestFit="1" customWidth="1"/>
    <col min="6" max="6" width="9.1796875" style="6"/>
    <col min="7" max="7" width="12.54296875" style="6" bestFit="1" customWidth="1"/>
    <col min="8" max="9" width="86.81640625" style="6" bestFit="1" customWidth="1"/>
    <col min="10" max="10" width="52.54296875" style="6" bestFit="1" customWidth="1"/>
    <col min="11" max="16384" width="9.1796875" style="6"/>
  </cols>
  <sheetData>
    <row r="1" spans="1:10" x14ac:dyDescent="0.35">
      <c r="A1" s="6" t="s">
        <v>1287</v>
      </c>
      <c r="B1" s="6" t="s">
        <v>1290</v>
      </c>
      <c r="C1" s="6" t="s">
        <v>19</v>
      </c>
      <c r="D1" s="6" t="s">
        <v>20</v>
      </c>
      <c r="E1" s="11" t="s">
        <v>1320</v>
      </c>
      <c r="G1" s="6" t="s">
        <v>1287</v>
      </c>
      <c r="H1" s="6" t="s">
        <v>2031</v>
      </c>
      <c r="I1" s="6" t="s">
        <v>2032</v>
      </c>
      <c r="J1" s="6" t="s">
        <v>2033</v>
      </c>
    </row>
    <row r="2" spans="1:10" x14ac:dyDescent="0.35">
      <c r="A2" s="6" t="s">
        <v>744</v>
      </c>
      <c r="B2" s="6" t="s">
        <v>745</v>
      </c>
      <c r="C2" s="6" t="s">
        <v>48</v>
      </c>
      <c r="D2" s="6" t="s">
        <v>49</v>
      </c>
      <c r="E2" s="11">
        <v>322.92</v>
      </c>
      <c r="G2" s="50" t="s">
        <v>744</v>
      </c>
      <c r="H2" s="6" t="str" cm="1">
        <f t="array" ref="H2">IFERROR(INDEX($D$2:$D$554 &amp; " ($" &amp; TEXT($E$2:$E$554, "#,##0.00") &amp; ")", SMALL(IF($A$2:$A$554=$G2, ROW($D$2:$D$554)-ROW($D$2)+1), COLUMN(A2))), "")</f>
        <v>CARWARS STARTER 3500 ($322.92)</v>
      </c>
      <c r="I2" s="6" t="str" cm="1">
        <f t="array" ref="I2">IFERROR(INDEX($D$2:$D$554 &amp; " ($" &amp; TEXT($E$2:$E$554, "#,##0.00") &amp; ")", SMALL(IF($A$2:$A$554=$G2, ROW($D$2:$D$554)-ROW($D$2)+1), COLUMN(B2))), "")</f>
        <v/>
      </c>
      <c r="J2" s="6" t="str" cm="1">
        <f t="array" ref="J2">IFERROR(INDEX($D$2:$D$554 &amp; " ($" &amp; TEXT($E$2:$E$554, "#,##0.00") &amp; ")", SMALL(IF($A$2:$A$554=$G2, ROW($D$2:$D$554)-ROW($D$2)+1), COLUMN(C2))), "")</f>
        <v/>
      </c>
    </row>
    <row r="3" spans="1:10" x14ac:dyDescent="0.35">
      <c r="A3" s="6" t="s">
        <v>731</v>
      </c>
      <c r="B3" s="6" t="s">
        <v>732</v>
      </c>
      <c r="C3" s="6" t="s">
        <v>35</v>
      </c>
      <c r="D3" s="6" t="s">
        <v>36</v>
      </c>
      <c r="E3" s="11">
        <v>279</v>
      </c>
      <c r="G3" s="6" t="s">
        <v>731</v>
      </c>
      <c r="H3" s="6" t="str" cm="1">
        <f t="array" ref="H3">IFERROR(INDEX($D$2:$D$554 &amp; " ($" &amp; TEXT($E$2:$E$554, "#,##0.00") &amp; ")", SMALL(IF($A$2:$A$554=$G3, ROW($D$2:$D$554)-ROW($D$2)+1), COLUMN(A3))), "")</f>
        <v>CRM OUTBOUND TELEPHONY TRACKING (NEW AND CONVERSION) ($279.00)</v>
      </c>
      <c r="I3" s="6" t="str" cm="1">
        <f t="array" ref="I3">IFERROR(INDEX($D$2:$D$554 &amp; " ($" &amp; TEXT($E$2:$E$554, "#,##0.00") &amp; ")", SMALL(IF($A$2:$A$554=$G3, ROW($D$2:$D$554)-ROW($D$2)+1), COLUMN(B3))), "")</f>
        <v>CARWARS PREMIUM SALES ($1,849.00)</v>
      </c>
      <c r="J3" s="6" t="str" cm="1">
        <f t="array" ref="J3">IFERROR(INDEX($D$2:$D$554 &amp; " ($" &amp; TEXT($E$2:$E$554, "#,##0.00") &amp; ")", SMALL(IF($A$2:$A$554=$G3, ROW($D$2:$D$554)-ROW($D$2)+1), COLUMN(C3))), "")</f>
        <v>CARWARS INDEFINITE CALL RECORDINGS ($10.00)</v>
      </c>
    </row>
    <row r="4" spans="1:10" x14ac:dyDescent="0.35">
      <c r="A4" s="6" t="s">
        <v>731</v>
      </c>
      <c r="B4" s="6" t="s">
        <v>732</v>
      </c>
      <c r="C4" s="6" t="s">
        <v>42</v>
      </c>
      <c r="D4" s="6" t="s">
        <v>43</v>
      </c>
      <c r="E4" s="11">
        <v>1849</v>
      </c>
      <c r="G4" s="6" t="s">
        <v>572</v>
      </c>
      <c r="H4" s="6" t="str" cm="1">
        <f t="array" ref="H4">IFERROR(INDEX($D$2:$D$554 &amp; " ($" &amp; TEXT($E$2:$E$554, "#,##0.00") &amp; ")", SMALL(IF($A$2:$A$554=$G4, ROW($D$2:$D$554)-ROW($D$2)+1), COLUMN(A4))), "")</f>
        <v>CARWARS ADVANCED SALES ($999.00)</v>
      </c>
      <c r="I4" s="6" t="str" cm="1">
        <f t="array" ref="I4">IFERROR(INDEX($D$2:$D$554 &amp; " ($" &amp; TEXT($E$2:$E$554, "#,##0.00") &amp; ")", SMALL(IF($A$2:$A$554=$G4, ROW($D$2:$D$554)-ROW($D$2)+1), COLUMN(B4))), "")</f>
        <v>CARWARS INDEFINITE CALL RECORDINGS ($10.00)</v>
      </c>
      <c r="J4" s="6" t="str" cm="1">
        <f t="array" ref="J4">IFERROR(INDEX($D$2:$D$554 &amp; " ($" &amp; TEXT($E$2:$E$554, "#,##0.00") &amp; ")", SMALL(IF($A$2:$A$554=$G4, ROW($D$2:$D$554)-ROW($D$2)+1), COLUMN(C4))), "")</f>
        <v/>
      </c>
    </row>
    <row r="5" spans="1:10" x14ac:dyDescent="0.35">
      <c r="A5" s="6" t="s">
        <v>731</v>
      </c>
      <c r="B5" s="6" t="s">
        <v>732</v>
      </c>
      <c r="C5" s="6" t="s">
        <v>408</v>
      </c>
      <c r="D5" s="6" t="s">
        <v>409</v>
      </c>
      <c r="E5" s="11">
        <v>10</v>
      </c>
      <c r="G5" s="6" t="s">
        <v>178</v>
      </c>
      <c r="H5" s="6" t="str" cm="1">
        <f t="array" ref="H5">IFERROR(INDEX($D$2:$D$554 &amp; " ($" &amp; TEXT($E$2:$E$554, "#,##0.00") &amp; ")", SMALL(IF($A$2:$A$554=$G5, ROW($D$2:$D$554)-ROW($D$2)+1), COLUMN(A5))), "")</f>
        <v>CARWARS ADVANCED SALES ($999.00)</v>
      </c>
      <c r="I5" s="6" t="str" cm="1">
        <f t="array" ref="I5">IFERROR(INDEX($D$2:$D$554 &amp; " ($" &amp; TEXT($E$2:$E$554, "#,##0.00") &amp; ")", SMALL(IF($A$2:$A$554=$G5, ROW($D$2:$D$554)-ROW($D$2)+1), COLUMN(B5))), "")</f>
        <v>CARWARS INDEFINITE CALL RECORDINGS ($20.00)</v>
      </c>
      <c r="J5" s="6" t="str" cm="1">
        <f t="array" ref="J5">IFERROR(INDEX($D$2:$D$554 &amp; " ($" &amp; TEXT($E$2:$E$554, "#,##0.00") &amp; ")", SMALL(IF($A$2:$A$554=$G5, ROW($D$2:$D$554)-ROW($D$2)+1), COLUMN(C5))), "")</f>
        <v/>
      </c>
    </row>
    <row r="6" spans="1:10" x14ac:dyDescent="0.35">
      <c r="A6" s="6" t="s">
        <v>572</v>
      </c>
      <c r="B6" s="6" t="s">
        <v>2034</v>
      </c>
      <c r="C6" s="6" t="s">
        <v>1870</v>
      </c>
      <c r="D6" s="6" t="s">
        <v>1871</v>
      </c>
      <c r="E6" s="11">
        <v>999</v>
      </c>
      <c r="G6" s="6" t="s">
        <v>184</v>
      </c>
      <c r="H6" s="6" t="str" cm="1">
        <f t="array" ref="H6">IFERROR(INDEX($D$2:$D$554 &amp; " ($" &amp; TEXT($E$2:$E$554, "#,##0.00") &amp; ")", SMALL(IF($A$2:$A$554=$G6, ROW($D$2:$D$554)-ROW($D$2)+1), COLUMN(A6))), "")</f>
        <v>CARWARS ADVANCED SALES ($999.00)</v>
      </c>
      <c r="I6" s="6" t="str" cm="1">
        <f t="array" ref="I6">IFERROR(INDEX($D$2:$D$554 &amp; " ($" &amp; TEXT($E$2:$E$554, "#,##0.00") &amp; ")", SMALL(IF($A$2:$A$554=$G6, ROW($D$2:$D$554)-ROW($D$2)+1), COLUMN(B6))), "")</f>
        <v>CARWARS INDEFINITE CALL RECORDINGS ($20.00)</v>
      </c>
      <c r="J6" s="6" t="str" cm="1">
        <f t="array" ref="J6">IFERROR(INDEX($D$2:$D$554 &amp; " ($" &amp; TEXT($E$2:$E$554, "#,##0.00") &amp; ")", SMALL(IF($A$2:$A$554=$G6, ROW($D$2:$D$554)-ROW($D$2)+1), COLUMN(C6))), "")</f>
        <v/>
      </c>
    </row>
    <row r="7" spans="1:10" x14ac:dyDescent="0.35">
      <c r="A7" s="6" t="s">
        <v>572</v>
      </c>
      <c r="B7" s="6" t="s">
        <v>2034</v>
      </c>
      <c r="C7" s="6" t="s">
        <v>408</v>
      </c>
      <c r="D7" s="6" t="s">
        <v>409</v>
      </c>
      <c r="E7" s="11">
        <v>10</v>
      </c>
      <c r="G7" s="6" t="s">
        <v>893</v>
      </c>
      <c r="H7" s="6" t="str" cm="1">
        <f t="array" ref="H7">IFERROR(INDEX($D$2:$D$554 &amp; " ($" &amp; TEXT($E$2:$E$554, "#,##0.00") &amp; ")", SMALL(IF($A$2:$A$554=$G7, ROW($D$2:$D$554)-ROW($D$2)+1), COLUMN(A7))), "")</f>
        <v>CRM OUTBOUND TELEPHONY TRACKING (NEW AND CONVERSION) ($1,274.00)</v>
      </c>
      <c r="I7" s="6" t="str" cm="1">
        <f t="array" ref="I7">IFERROR(INDEX($D$2:$D$554 &amp; " ($" &amp; TEXT($E$2:$E$554, "#,##0.00") &amp; ")", SMALL(IF($A$2:$A$554=$G7, ROW($D$2:$D$554)-ROW($D$2)+1), COLUMN(B7))), "")</f>
        <v>CARWARS INDEFINITE CALL RECORDINGS ($10.00)</v>
      </c>
      <c r="J7" s="6" t="str" cm="1">
        <f t="array" ref="J7">IFERROR(INDEX($D$2:$D$554 &amp; " ($" &amp; TEXT($E$2:$E$554, "#,##0.00") &amp; ")", SMALL(IF($A$2:$A$554=$G7, ROW($D$2:$D$554)-ROW($D$2)+1), COLUMN(C7))), "")</f>
        <v/>
      </c>
    </row>
    <row r="8" spans="1:10" x14ac:dyDescent="0.35">
      <c r="A8" s="6" t="s">
        <v>178</v>
      </c>
      <c r="B8" s="6" t="s">
        <v>2035</v>
      </c>
      <c r="C8" s="6" t="s">
        <v>1870</v>
      </c>
      <c r="D8" s="6" t="s">
        <v>1871</v>
      </c>
      <c r="E8" s="11">
        <v>999</v>
      </c>
      <c r="G8" s="6" t="s">
        <v>650</v>
      </c>
      <c r="H8" s="6" t="str" cm="1">
        <f t="array" ref="H8">IFERROR(INDEX($D$2:$D$554 &amp; " ($" &amp; TEXT($E$2:$E$554, "#,##0.00") &amp; ")", SMALL(IF($A$2:$A$554=$G8, ROW($D$2:$D$554)-ROW($D$2)+1), COLUMN(A8))), "")</f>
        <v>CARWARS PREMIUM SALES ($1,849.00)</v>
      </c>
      <c r="I8" s="6" t="str" cm="1">
        <f t="array" ref="I8">IFERROR(INDEX($D$2:$D$554 &amp; " ($" &amp; TEXT($E$2:$E$554, "#,##0.00") &amp; ")", SMALL(IF($A$2:$A$554=$G8, ROW($D$2:$D$554)-ROW($D$2)+1), COLUMN(B8))), "")</f>
        <v>CARWARS INDEFINITE CALL RECORDINGS ($20.00)</v>
      </c>
      <c r="J8" s="6" t="str" cm="1">
        <f t="array" ref="J8">IFERROR(INDEX($D$2:$D$554 &amp; " ($" &amp; TEXT($E$2:$E$554, "#,##0.00") &amp; ")", SMALL(IF($A$2:$A$554=$G8, ROW($D$2:$D$554)-ROW($D$2)+1), COLUMN(C8))), "")</f>
        <v/>
      </c>
    </row>
    <row r="9" spans="1:10" x14ac:dyDescent="0.35">
      <c r="A9" s="6" t="s">
        <v>178</v>
      </c>
      <c r="B9" s="6" t="s">
        <v>2035</v>
      </c>
      <c r="C9" s="6" t="s">
        <v>408</v>
      </c>
      <c r="D9" s="6" t="s">
        <v>409</v>
      </c>
      <c r="E9" s="11">
        <v>20</v>
      </c>
      <c r="G9" s="6" t="s">
        <v>153</v>
      </c>
      <c r="H9" s="6" t="str" cm="1">
        <f t="array" ref="H9">IFERROR(INDEX($D$2:$D$554 &amp; " ($" &amp; TEXT($E$2:$E$554, "#,##0.00") &amp; ")", SMALL(IF($A$2:$A$554=$G9, ROW($D$2:$D$554)-ROW($D$2)+1), COLUMN(A9))), "")</f>
        <v>CARWARS STARTER 5000 ($599.00)</v>
      </c>
      <c r="I9" s="6" t="str" cm="1">
        <f t="array" ref="I9">IFERROR(INDEX($D$2:$D$554 &amp; " ($" &amp; TEXT($E$2:$E$554, "#,##0.00") &amp; ")", SMALL(IF($A$2:$A$554=$G9, ROW($D$2:$D$554)-ROW($D$2)+1), COLUMN(B9))), "")</f>
        <v/>
      </c>
      <c r="J9" s="6" t="str" cm="1">
        <f t="array" ref="J9">IFERROR(INDEX($D$2:$D$554 &amp; " ($" &amp; TEXT($E$2:$E$554, "#,##0.00") &amp; ")", SMALL(IF($A$2:$A$554=$G9, ROW($D$2:$D$554)-ROW($D$2)+1), COLUMN(C9))), "")</f>
        <v/>
      </c>
    </row>
    <row r="10" spans="1:10" x14ac:dyDescent="0.35">
      <c r="A10" s="6" t="s">
        <v>184</v>
      </c>
      <c r="B10" s="6" t="s">
        <v>185</v>
      </c>
      <c r="C10" s="6" t="s">
        <v>1870</v>
      </c>
      <c r="D10" s="6" t="s">
        <v>1871</v>
      </c>
      <c r="E10" s="11">
        <v>999</v>
      </c>
      <c r="G10" s="6" t="s">
        <v>788</v>
      </c>
      <c r="H10" s="6" t="str" cm="1">
        <f t="array" ref="H10">IFERROR(INDEX($D$2:$D$554 &amp; " ($" &amp; TEXT($E$2:$E$554, "#,##0.00") &amp; ")", SMALL(IF($A$2:$A$554=$G10, ROW($D$2:$D$554)-ROW($D$2)+1), COLUMN(A10))), "")</f>
        <v>CRM OUTBOUND TELEPHONY TRACKING (NEW AND CONVERSION) ($584.73)</v>
      </c>
      <c r="I10" s="6" t="str" cm="1">
        <f t="array" ref="I10">IFERROR(INDEX($D$2:$D$554 &amp; " ($" &amp; TEXT($E$2:$E$554, "#,##0.00") &amp; ")", SMALL(IF($A$2:$A$554=$G10, ROW($D$2:$D$554)-ROW($D$2)+1), COLUMN(B10))), "")</f>
        <v/>
      </c>
      <c r="J10" s="6" t="str" cm="1">
        <f t="array" ref="J10">IFERROR(INDEX($D$2:$D$554 &amp; " ($" &amp; TEXT($E$2:$E$554, "#,##0.00") &amp; ")", SMALL(IF($A$2:$A$554=$G10, ROW($D$2:$D$554)-ROW($D$2)+1), COLUMN(C10))), "")</f>
        <v/>
      </c>
    </row>
    <row r="11" spans="1:10" x14ac:dyDescent="0.35">
      <c r="A11" s="6" t="s">
        <v>184</v>
      </c>
      <c r="B11" s="6" t="s">
        <v>185</v>
      </c>
      <c r="C11" s="6" t="s">
        <v>408</v>
      </c>
      <c r="D11" s="6" t="s">
        <v>409</v>
      </c>
      <c r="E11" s="11">
        <v>20</v>
      </c>
      <c r="G11" s="6" t="s">
        <v>1323</v>
      </c>
      <c r="H11" s="6" t="str" cm="1">
        <f t="array" ref="H11">IFERROR(INDEX($D$2:$D$554 &amp; " ($" &amp; TEXT($E$2:$E$554, "#,##0.00") &amp; ")", SMALL(IF($A$2:$A$554=$G11, ROW($D$2:$D$554)-ROW($D$2)+1), COLUMN(A11))), "")</f>
        <v>OUTBOUND CALL TRACKING PKGS (GM IMR CONVERSION) ($293.02)</v>
      </c>
      <c r="I11" s="6" t="str" cm="1">
        <f t="array" ref="I11">IFERROR(INDEX($D$2:$D$554 &amp; " ($" &amp; TEXT($E$2:$E$554, "#,##0.00") &amp; ")", SMALL(IF($A$2:$A$554=$G11, ROW($D$2:$D$554)-ROW($D$2)+1), COLUMN(B11))), "")</f>
        <v/>
      </c>
      <c r="J11" s="6" t="str" cm="1">
        <f t="array" ref="J11">IFERROR(INDEX($D$2:$D$554 &amp; " ($" &amp; TEXT($E$2:$E$554, "#,##0.00") &amp; ")", SMALL(IF($A$2:$A$554=$G11, ROW($D$2:$D$554)-ROW($D$2)+1), COLUMN(C11))), "")</f>
        <v/>
      </c>
    </row>
    <row r="12" spans="1:10" x14ac:dyDescent="0.35">
      <c r="A12" s="6" t="s">
        <v>893</v>
      </c>
      <c r="B12" s="6" t="s">
        <v>894</v>
      </c>
      <c r="C12" s="6" t="s">
        <v>35</v>
      </c>
      <c r="D12" s="6" t="s">
        <v>36</v>
      </c>
      <c r="E12" s="11">
        <v>1274</v>
      </c>
      <c r="G12" s="6" t="s">
        <v>714</v>
      </c>
      <c r="H12" s="6" t="str" cm="1">
        <f t="array" ref="H12">IFERROR(INDEX($D$2:$D$554 &amp; " ($" &amp; TEXT($E$2:$E$554, "#,##0.00") &amp; ")", SMALL(IF($A$2:$A$554=$G12, ROW($D$2:$D$554)-ROW($D$2)+1), COLUMN(A12))), "")</f>
        <v>CARWARS ELITE LARGE ($3,130.05)</v>
      </c>
      <c r="I12" s="6" t="str" cm="1">
        <f t="array" ref="I12">IFERROR(INDEX($D$2:$D$554 &amp; " ($" &amp; TEXT($E$2:$E$554, "#,##0.00") &amp; ")", SMALL(IF($A$2:$A$554=$G12, ROW($D$2:$D$554)-ROW($D$2)+1), COLUMN(B12))), "")</f>
        <v/>
      </c>
      <c r="J12" s="6" t="str" cm="1">
        <f t="array" ref="J12">IFERROR(INDEX($D$2:$D$554 &amp; " ($" &amp; TEXT($E$2:$E$554, "#,##0.00") &amp; ")", SMALL(IF($A$2:$A$554=$G12, ROW($D$2:$D$554)-ROW($D$2)+1), COLUMN(C12))), "")</f>
        <v/>
      </c>
    </row>
    <row r="13" spans="1:10" x14ac:dyDescent="0.35">
      <c r="A13" s="6" t="s">
        <v>893</v>
      </c>
      <c r="B13" s="6" t="s">
        <v>894</v>
      </c>
      <c r="C13" s="6" t="s">
        <v>408</v>
      </c>
      <c r="D13" s="6" t="s">
        <v>409</v>
      </c>
      <c r="E13" s="11">
        <v>10</v>
      </c>
      <c r="G13" s="6" t="s">
        <v>724</v>
      </c>
      <c r="H13" s="6" t="str" cm="1">
        <f t="array" ref="H13">IFERROR(INDEX($D$2:$D$554 &amp; " ($" &amp; TEXT($E$2:$E$554, "#,##0.00") &amp; ")", SMALL(IF($A$2:$A$554=$G13, ROW($D$2:$D$554)-ROW($D$2)+1), COLUMN(A13))), "")</f>
        <v>CARWARS STARTER 7500 ($541.42)</v>
      </c>
      <c r="I13" s="6" t="str" cm="1">
        <f t="array" ref="I13">IFERROR(INDEX($D$2:$D$554 &amp; " ($" &amp; TEXT($E$2:$E$554, "#,##0.00") &amp; ")", SMALL(IF($A$2:$A$554=$G13, ROW($D$2:$D$554)-ROW($D$2)+1), COLUMN(B13))), "")</f>
        <v/>
      </c>
      <c r="J13" s="6" t="str" cm="1">
        <f t="array" ref="J13">IFERROR(INDEX($D$2:$D$554 &amp; " ($" &amp; TEXT($E$2:$E$554, "#,##0.00") &amp; ")", SMALL(IF($A$2:$A$554=$G13, ROW($D$2:$D$554)-ROW($D$2)+1), COLUMN(C13))), "")</f>
        <v/>
      </c>
    </row>
    <row r="14" spans="1:10" x14ac:dyDescent="0.35">
      <c r="A14" s="6" t="s">
        <v>650</v>
      </c>
      <c r="B14" s="6" t="s">
        <v>651</v>
      </c>
      <c r="C14" s="6" t="s">
        <v>42</v>
      </c>
      <c r="D14" s="6" t="s">
        <v>43</v>
      </c>
      <c r="E14" s="11">
        <v>1849</v>
      </c>
      <c r="G14" s="6" t="s">
        <v>779</v>
      </c>
      <c r="H14" s="6" t="str" cm="1">
        <f t="array" ref="H14">IFERROR(INDEX($D$2:$D$554 &amp; " ($" &amp; TEXT($E$2:$E$554, "#,##0.00") &amp; ")", SMALL(IF($A$2:$A$554=$G14, ROW($D$2:$D$554)-ROW($D$2)+1), COLUMN(A14))), "")</f>
        <v>CRM OUTBOUND TELEPHONY TRACKING (NEW AND CONVERSION) ($584.73)</v>
      </c>
      <c r="I14" s="6" t="str" cm="1">
        <f t="array" ref="I14">IFERROR(INDEX($D$2:$D$554 &amp; " ($" &amp; TEXT($E$2:$E$554, "#,##0.00") &amp; ")", SMALL(IF($A$2:$A$554=$G14, ROW($D$2:$D$554)-ROW($D$2)+1), COLUMN(B14))), "")</f>
        <v/>
      </c>
      <c r="J14" s="6" t="str" cm="1">
        <f t="array" ref="J14">IFERROR(INDEX($D$2:$D$554 &amp; " ($" &amp; TEXT($E$2:$E$554, "#,##0.00") &amp; ")", SMALL(IF($A$2:$A$554=$G14, ROW($D$2:$D$554)-ROW($D$2)+1), COLUMN(C14))), "")</f>
        <v/>
      </c>
    </row>
    <row r="15" spans="1:10" x14ac:dyDescent="0.35">
      <c r="A15" s="6" t="s">
        <v>650</v>
      </c>
      <c r="B15" s="6" t="s">
        <v>651</v>
      </c>
      <c r="C15" s="6" t="s">
        <v>408</v>
      </c>
      <c r="D15" s="6" t="s">
        <v>409</v>
      </c>
      <c r="E15" s="11">
        <v>20</v>
      </c>
      <c r="G15" s="6" t="s">
        <v>130</v>
      </c>
      <c r="H15" s="6" t="str" cm="1">
        <f t="array" ref="H15">IFERROR(INDEX($D$2:$D$554 &amp; " ($" &amp; TEXT($E$2:$E$554, "#,##0.00") &amp; ")", SMALL(IF($A$2:$A$554=$G15, ROW($D$2:$D$554)-ROW($D$2)+1), COLUMN(A15))), "")</f>
        <v>CRM OUTBOUND TELEPHONY TRACKING (NEW AND CONVERSION) ($131.04)</v>
      </c>
      <c r="I15" s="6" t="str" cm="1">
        <f t="array" ref="I15">IFERROR(INDEX($D$2:$D$554 &amp; " ($" &amp; TEXT($E$2:$E$554, "#,##0.00") &amp; ")", SMALL(IF($A$2:$A$554=$G15, ROW($D$2:$D$554)-ROW($D$2)+1), COLUMN(B15))), "")</f>
        <v/>
      </c>
      <c r="J15" s="6" t="str" cm="1">
        <f t="array" ref="J15">IFERROR(INDEX($D$2:$D$554 &amp; " ($" &amp; TEXT($E$2:$E$554, "#,##0.00") &amp; ")", SMALL(IF($A$2:$A$554=$G15, ROW($D$2:$D$554)-ROW($D$2)+1), COLUMN(C15))), "")</f>
        <v/>
      </c>
    </row>
    <row r="16" spans="1:10" x14ac:dyDescent="0.35">
      <c r="A16" s="6" t="s">
        <v>153</v>
      </c>
      <c r="B16" s="6" t="s">
        <v>2036</v>
      </c>
      <c r="C16" s="6" t="s">
        <v>67</v>
      </c>
      <c r="D16" s="6" t="s">
        <v>68</v>
      </c>
      <c r="E16" s="11">
        <v>599</v>
      </c>
      <c r="G16" s="6" t="s">
        <v>175</v>
      </c>
      <c r="H16" s="6" t="str" cm="1">
        <f t="array" ref="H16">IFERROR(INDEX($D$2:$D$554 &amp; " ($" &amp; TEXT($E$2:$E$554, "#,##0.00") &amp; ")", SMALL(IF($A$2:$A$554=$G16, ROW($D$2:$D$554)-ROW($D$2)+1), COLUMN(A16))), "")</f>
        <v>CARWARS ADVANCED SALES ($999.00)</v>
      </c>
      <c r="I16" s="6" t="str" cm="1">
        <f t="array" ref="I16">IFERROR(INDEX($D$2:$D$554 &amp; " ($" &amp; TEXT($E$2:$E$554, "#,##0.00") &amp; ")", SMALL(IF($A$2:$A$554=$G16, ROW($D$2:$D$554)-ROW($D$2)+1), COLUMN(B16))), "")</f>
        <v>CARWARS INDEFINITE CALL RECORDINGS ($20.00)</v>
      </c>
      <c r="J16" s="6" t="str" cm="1">
        <f t="array" ref="J16">IFERROR(INDEX($D$2:$D$554 &amp; " ($" &amp; TEXT($E$2:$E$554, "#,##0.00") &amp; ")", SMALL(IF($A$2:$A$554=$G16, ROW($D$2:$D$554)-ROW($D$2)+1), COLUMN(C16))), "")</f>
        <v/>
      </c>
    </row>
    <row r="17" spans="1:10" x14ac:dyDescent="0.35">
      <c r="A17" s="6" t="s">
        <v>788</v>
      </c>
      <c r="B17" s="6" t="s">
        <v>789</v>
      </c>
      <c r="C17" s="6" t="s">
        <v>35</v>
      </c>
      <c r="D17" s="6" t="s">
        <v>36</v>
      </c>
      <c r="E17" s="11">
        <v>584.73</v>
      </c>
      <c r="G17" s="6" t="s">
        <v>1327</v>
      </c>
      <c r="H17" s="6" t="str" cm="1">
        <f t="array" ref="H17">IFERROR(INDEX($D$2:$D$554 &amp; " ($" &amp; TEXT($E$2:$E$554, "#,##0.00") &amp; ")", SMALL(IF($A$2:$A$554=$G17, ROW($D$2:$D$554)-ROW($D$2)+1), COLUMN(A17))), "")</f>
        <v>CRM TELEPHONY TRACKING ($112.00)</v>
      </c>
      <c r="I17" s="6" t="str" cm="1">
        <f t="array" ref="I17">IFERROR(INDEX($D$2:$D$554 &amp; " ($" &amp; TEXT($E$2:$E$554, "#,##0.00") &amp; ")", SMALL(IF($A$2:$A$554=$G17, ROW($D$2:$D$554)-ROW($D$2)+1), COLUMN(B17))), "")</f>
        <v/>
      </c>
      <c r="J17" s="6" t="str" cm="1">
        <f t="array" ref="J17">IFERROR(INDEX($D$2:$D$554 &amp; " ($" &amp; TEXT($E$2:$E$554, "#,##0.00") &amp; ")", SMALL(IF($A$2:$A$554=$G17, ROW($D$2:$D$554)-ROW($D$2)+1), COLUMN(C17))), "")</f>
        <v/>
      </c>
    </row>
    <row r="18" spans="1:10" x14ac:dyDescent="0.35">
      <c r="A18" s="6" t="s">
        <v>1323</v>
      </c>
      <c r="B18" s="6" t="s">
        <v>1324</v>
      </c>
      <c r="C18" s="6" t="s">
        <v>1325</v>
      </c>
      <c r="D18" s="6" t="s">
        <v>1326</v>
      </c>
      <c r="E18" s="11">
        <v>293.02</v>
      </c>
      <c r="G18" s="6" t="s">
        <v>487</v>
      </c>
      <c r="H18" s="6" t="str" cm="1">
        <f t="array" ref="H18">IFERROR(INDEX($D$2:$D$554 &amp; " ($" &amp; TEXT($E$2:$E$554, "#,##0.00") &amp; ")", SMALL(IF($A$2:$A$554=$G18, ROW($D$2:$D$554)-ROW($D$2)+1), COLUMN(A18))), "")</f>
        <v>CARWARS STARTER 3500 ($299.00)</v>
      </c>
      <c r="I18" s="6" t="str" cm="1">
        <f t="array" ref="I18">IFERROR(INDEX($D$2:$D$554 &amp; " ($" &amp; TEXT($E$2:$E$554, "#,##0.00") &amp; ")", SMALL(IF($A$2:$A$554=$G18, ROW($D$2:$D$554)-ROW($D$2)+1), COLUMN(B18))), "")</f>
        <v/>
      </c>
      <c r="J18" s="6" t="str" cm="1">
        <f t="array" ref="J18">IFERROR(INDEX($D$2:$D$554 &amp; " ($" &amp; TEXT($E$2:$E$554, "#,##0.00") &amp; ")", SMALL(IF($A$2:$A$554=$G18, ROW($D$2:$D$554)-ROW($D$2)+1), COLUMN(C18))), "")</f>
        <v/>
      </c>
    </row>
    <row r="19" spans="1:10" x14ac:dyDescent="0.35">
      <c r="A19" s="6" t="s">
        <v>714</v>
      </c>
      <c r="B19" s="6" t="s">
        <v>715</v>
      </c>
      <c r="C19" s="6" t="s">
        <v>2037</v>
      </c>
      <c r="D19" s="6" t="s">
        <v>2038</v>
      </c>
      <c r="E19" s="11">
        <v>3130.05</v>
      </c>
      <c r="G19" s="6" t="s">
        <v>236</v>
      </c>
      <c r="H19" s="6" t="str" cm="1">
        <f t="array" ref="H19">IFERROR(INDEX($D$2:$D$554 &amp; " ($" &amp; TEXT($E$2:$E$554, "#,##0.00") &amp; ")", SMALL(IF($A$2:$A$554=$G19, ROW($D$2:$D$554)-ROW($D$2)+1), COLUMN(A19))), "")</f>
        <v>CARWARS PREMIUM SALES ($1,294.30)</v>
      </c>
      <c r="I19" s="6" t="str" cm="1">
        <f t="array" ref="I19">IFERROR(INDEX($D$2:$D$554 &amp; " ($" &amp; TEXT($E$2:$E$554, "#,##0.00") &amp; ")", SMALL(IF($A$2:$A$554=$G19, ROW($D$2:$D$554)-ROW($D$2)+1), COLUMN(B19))), "")</f>
        <v/>
      </c>
      <c r="J19" s="6" t="str" cm="1">
        <f t="array" ref="J19">IFERROR(INDEX($D$2:$D$554 &amp; " ($" &amp; TEXT($E$2:$E$554, "#,##0.00") &amp; ")", SMALL(IF($A$2:$A$554=$G19, ROW($D$2:$D$554)-ROW($D$2)+1), COLUMN(C19))), "")</f>
        <v/>
      </c>
    </row>
    <row r="20" spans="1:10" x14ac:dyDescent="0.35">
      <c r="A20" s="6" t="s">
        <v>724</v>
      </c>
      <c r="B20" s="6" t="s">
        <v>725</v>
      </c>
      <c r="C20" s="6" t="s">
        <v>74</v>
      </c>
      <c r="D20" s="6" t="s">
        <v>75</v>
      </c>
      <c r="E20" s="11">
        <v>541.41999999999996</v>
      </c>
      <c r="G20" s="6" t="s">
        <v>1331</v>
      </c>
      <c r="H20" s="6" t="str" cm="1">
        <f t="array" ref="H20">IFERROR(INDEX($D$2:$D$554 &amp; " ($" &amp; TEXT($E$2:$E$554, "#,##0.00") &amp; ")", SMALL(IF($A$2:$A$554=$G20, ROW($D$2:$D$554)-ROW($D$2)+1), COLUMN(A20))), "")</f>
        <v>CRM TELEPHONY TRACKING ($147.46)</v>
      </c>
      <c r="I20" s="6" t="str" cm="1">
        <f t="array" ref="I20">IFERROR(INDEX($D$2:$D$554 &amp; " ($" &amp; TEXT($E$2:$E$554, "#,##0.00") &amp; ")", SMALL(IF($A$2:$A$554=$G20, ROW($D$2:$D$554)-ROW($D$2)+1), COLUMN(B20))), "")</f>
        <v/>
      </c>
      <c r="J20" s="6" t="str" cm="1">
        <f t="array" ref="J20">IFERROR(INDEX($D$2:$D$554 &amp; " ($" &amp; TEXT($E$2:$E$554, "#,##0.00") &amp; ")", SMALL(IF($A$2:$A$554=$G20, ROW($D$2:$D$554)-ROW($D$2)+1), COLUMN(C20))), "")</f>
        <v/>
      </c>
    </row>
    <row r="21" spans="1:10" x14ac:dyDescent="0.35">
      <c r="A21" s="6" t="s">
        <v>779</v>
      </c>
      <c r="B21" s="6" t="s">
        <v>780</v>
      </c>
      <c r="C21" s="6" t="s">
        <v>35</v>
      </c>
      <c r="D21" s="6" t="s">
        <v>36</v>
      </c>
      <c r="E21" s="11">
        <v>584.73</v>
      </c>
      <c r="G21" s="6" t="s">
        <v>332</v>
      </c>
      <c r="H21" s="6" t="str" cm="1">
        <f t="array" ref="H21">IFERROR(INDEX($D$2:$D$554 &amp; " ($" &amp; TEXT($E$2:$E$554, "#,##0.00") &amp; ")", SMALL(IF($A$2:$A$554=$G21, ROW($D$2:$D$554)-ROW($D$2)+1), COLUMN(A21))), "")</f>
        <v>CARWARS CARRIER REGISTRATION ($0.65)</v>
      </c>
      <c r="I21" s="6" t="str" cm="1">
        <f t="array" ref="I21">IFERROR(INDEX($D$2:$D$554 &amp; " ($" &amp; TEXT($E$2:$E$554, "#,##0.00") &amp; ")", SMALL(IF($A$2:$A$554=$G21, ROW($D$2:$D$554)-ROW($D$2)+1), COLUMN(B21))), "")</f>
        <v>CARWARS STARTER 5000 ($38.65)</v>
      </c>
      <c r="J21" s="6" t="str" cm="1">
        <f t="array" ref="J21">IFERROR(INDEX($D$2:$D$554 &amp; " ($" &amp; TEXT($E$2:$E$554, "#,##0.00") &amp; ")", SMALL(IF($A$2:$A$554=$G21, ROW($D$2:$D$554)-ROW($D$2)+1), COLUMN(C21))), "")</f>
        <v/>
      </c>
    </row>
    <row r="22" spans="1:10" x14ac:dyDescent="0.35">
      <c r="A22" s="6" t="s">
        <v>130</v>
      </c>
      <c r="B22" s="6" t="s">
        <v>131</v>
      </c>
      <c r="C22" s="6" t="s">
        <v>35</v>
      </c>
      <c r="D22" s="6" t="s">
        <v>36</v>
      </c>
      <c r="E22" s="11">
        <v>131.04</v>
      </c>
      <c r="G22" s="6" t="s">
        <v>1333</v>
      </c>
      <c r="H22" s="6" t="str" cm="1">
        <f t="array" ref="H22">IFERROR(INDEX($D$2:$D$554 &amp; " ($" &amp; TEXT($E$2:$E$554, "#,##0.00") &amp; ")", SMALL(IF($A$2:$A$554=$G22, ROW($D$2:$D$554)-ROW($D$2)+1), COLUMN(A22))), "")</f>
        <v>CRM TELEPHONY TRACKING ($65.46)</v>
      </c>
      <c r="I22" s="6" t="str" cm="1">
        <f t="array" ref="I22">IFERROR(INDEX($D$2:$D$554 &amp; " ($" &amp; TEXT($E$2:$E$554, "#,##0.00") &amp; ")", SMALL(IF($A$2:$A$554=$G22, ROW($D$2:$D$554)-ROW($D$2)+1), COLUMN(B22))), "")</f>
        <v/>
      </c>
      <c r="J22" s="6" t="str" cm="1">
        <f t="array" ref="J22">IFERROR(INDEX($D$2:$D$554 &amp; " ($" &amp; TEXT($E$2:$E$554, "#,##0.00") &amp; ")", SMALL(IF($A$2:$A$554=$G22, ROW($D$2:$D$554)-ROW($D$2)+1), COLUMN(C22))), "")</f>
        <v/>
      </c>
    </row>
    <row r="23" spans="1:10" x14ac:dyDescent="0.35">
      <c r="A23" s="6" t="s">
        <v>175</v>
      </c>
      <c r="B23" s="6" t="s">
        <v>176</v>
      </c>
      <c r="C23" s="6" t="s">
        <v>1870</v>
      </c>
      <c r="D23" s="6" t="s">
        <v>1871</v>
      </c>
      <c r="E23" s="11">
        <v>999</v>
      </c>
      <c r="G23" s="6" t="s">
        <v>181</v>
      </c>
      <c r="H23" s="6" t="str" cm="1">
        <f t="array" ref="H23">IFERROR(INDEX($D$2:$D$554 &amp; " ($" &amp; TEXT($E$2:$E$554, "#,##0.00") &amp; ")", SMALL(IF($A$2:$A$554=$G23, ROW($D$2:$D$554)-ROW($D$2)+1), COLUMN(A23))), "")</f>
        <v>CARWARS ADVANCED SALES ($999.00)</v>
      </c>
      <c r="I23" s="6" t="str" cm="1">
        <f t="array" ref="I23">IFERROR(INDEX($D$2:$D$554 &amp; " ($" &amp; TEXT($E$2:$E$554, "#,##0.00") &amp; ")", SMALL(IF($A$2:$A$554=$G23, ROW($D$2:$D$554)-ROW($D$2)+1), COLUMN(B23))), "")</f>
        <v>CARWARS INDEFINITE CALL RECORDINGS ($20.00)</v>
      </c>
      <c r="J23" s="6" t="str" cm="1">
        <f t="array" ref="J23">IFERROR(INDEX($D$2:$D$554 &amp; " ($" &amp; TEXT($E$2:$E$554, "#,##0.00") &amp; ")", SMALL(IF($A$2:$A$554=$G23, ROW($D$2:$D$554)-ROW($D$2)+1), COLUMN(C23))), "")</f>
        <v/>
      </c>
    </row>
    <row r="24" spans="1:10" x14ac:dyDescent="0.35">
      <c r="A24" s="6" t="s">
        <v>175</v>
      </c>
      <c r="B24" s="6" t="s">
        <v>176</v>
      </c>
      <c r="C24" s="6" t="s">
        <v>408</v>
      </c>
      <c r="D24" s="6" t="s">
        <v>409</v>
      </c>
      <c r="E24" s="11">
        <v>20</v>
      </c>
      <c r="G24" s="6" t="s">
        <v>1335</v>
      </c>
      <c r="H24" s="6" t="str" cm="1">
        <f t="array" ref="H24">IFERROR(INDEX($D$2:$D$554 &amp; " ($" &amp; TEXT($E$2:$E$554, "#,##0.00") &amp; ")", SMALL(IF($A$2:$A$554=$G24, ROW($D$2:$D$554)-ROW($D$2)+1), COLUMN(A24))), "")</f>
        <v>CRM OUTBOUND TELEPHONY TRACKING (NEW AND CONVERSION) ($0.00)</v>
      </c>
      <c r="I24" s="6" t="str" cm="1">
        <f t="array" ref="I24">IFERROR(INDEX($D$2:$D$554 &amp; " ($" &amp; TEXT($E$2:$E$554, "#,##0.00") &amp; ")", SMALL(IF($A$2:$A$554=$G24, ROW($D$2:$D$554)-ROW($D$2)+1), COLUMN(B24))), "")</f>
        <v/>
      </c>
      <c r="J24" s="6" t="str" cm="1">
        <f t="array" ref="J24">IFERROR(INDEX($D$2:$D$554 &amp; " ($" &amp; TEXT($E$2:$E$554, "#,##0.00") &amp; ")", SMALL(IF($A$2:$A$554=$G24, ROW($D$2:$D$554)-ROW($D$2)+1), COLUMN(C24))), "")</f>
        <v/>
      </c>
    </row>
    <row r="25" spans="1:10" x14ac:dyDescent="0.35">
      <c r="A25" s="6" t="s">
        <v>1327</v>
      </c>
      <c r="B25" s="6" t="s">
        <v>1328</v>
      </c>
      <c r="C25" s="6" t="s">
        <v>1329</v>
      </c>
      <c r="D25" s="6" t="s">
        <v>1330</v>
      </c>
      <c r="E25" s="11">
        <v>112</v>
      </c>
      <c r="G25" s="6" t="s">
        <v>1337</v>
      </c>
      <c r="H25" s="6" t="str" cm="1">
        <f t="array" ref="H25">IFERROR(INDEX($D$2:$D$554 &amp; " ($" &amp; TEXT($E$2:$E$554, "#,##0.00") &amp; ")", SMALL(IF($A$2:$A$554=$G25, ROW($D$2:$D$554)-ROW($D$2)+1), COLUMN(A25))), "")</f>
        <v>CRM OUTBOUND TELEPHONY TRACKING (NEW AND CONVERSION) ($0.00)</v>
      </c>
      <c r="I25" s="6" t="str" cm="1">
        <f t="array" ref="I25">IFERROR(INDEX($D$2:$D$554 &amp; " ($" &amp; TEXT($E$2:$E$554, "#,##0.00") &amp; ")", SMALL(IF($A$2:$A$554=$G25, ROW($D$2:$D$554)-ROW($D$2)+1), COLUMN(B25))), "")</f>
        <v/>
      </c>
      <c r="J25" s="6" t="str" cm="1">
        <f t="array" ref="J25">IFERROR(INDEX($D$2:$D$554 &amp; " ($" &amp; TEXT($E$2:$E$554, "#,##0.00") &amp; ")", SMALL(IF($A$2:$A$554=$G25, ROW($D$2:$D$554)-ROW($D$2)+1), COLUMN(C25))), "")</f>
        <v/>
      </c>
    </row>
    <row r="26" spans="1:10" x14ac:dyDescent="0.35">
      <c r="A26" s="6" t="s">
        <v>487</v>
      </c>
      <c r="B26" s="6" t="s">
        <v>488</v>
      </c>
      <c r="C26" s="6" t="s">
        <v>48</v>
      </c>
      <c r="D26" s="6" t="s">
        <v>49</v>
      </c>
      <c r="E26" s="11">
        <v>299</v>
      </c>
      <c r="G26" s="6" t="s">
        <v>2039</v>
      </c>
      <c r="H26" s="6" t="str" cm="1">
        <f t="array" ref="H26">IFERROR(INDEX($D$2:$D$554 &amp; " ($" &amp; TEXT($E$2:$E$554, "#,##0.00") &amp; ")", SMALL(IF($A$2:$A$554=$G26, ROW($D$2:$D$554)-ROW($D$2)+1), COLUMN(A26))), "")</f>
        <v>CARWARS STARTER 7500 ($499.00)</v>
      </c>
      <c r="I26" s="6" t="str" cm="1">
        <f t="array" ref="I26">IFERROR(INDEX($D$2:$D$554 &amp; " ($" &amp; TEXT($E$2:$E$554, "#,##0.00") &amp; ")", SMALL(IF($A$2:$A$554=$G26, ROW($D$2:$D$554)-ROW($D$2)+1), COLUMN(B26))), "")</f>
        <v/>
      </c>
      <c r="J26" s="6" t="str" cm="1">
        <f t="array" ref="J26">IFERROR(INDEX($D$2:$D$554 &amp; " ($" &amp; TEXT($E$2:$E$554, "#,##0.00") &amp; ")", SMALL(IF($A$2:$A$554=$G26, ROW($D$2:$D$554)-ROW($D$2)+1), COLUMN(C26))), "")</f>
        <v/>
      </c>
    </row>
    <row r="27" spans="1:10" x14ac:dyDescent="0.35">
      <c r="A27" s="6" t="s">
        <v>236</v>
      </c>
      <c r="B27" s="6" t="s">
        <v>237</v>
      </c>
      <c r="C27" s="6" t="s">
        <v>42</v>
      </c>
      <c r="D27" s="6" t="s">
        <v>43</v>
      </c>
      <c r="E27" s="11">
        <v>1294.3</v>
      </c>
      <c r="G27" s="6" t="s">
        <v>2040</v>
      </c>
      <c r="H27" s="6" t="str" cm="1">
        <f t="array" ref="H27">IFERROR(INDEX($D$2:$D$554 &amp; " ($" &amp; TEXT($E$2:$E$554, "#,##0.00") &amp; ")", SMALL(IF($A$2:$A$554=$G27, ROW($D$2:$D$554)-ROW($D$2)+1), COLUMN(A27))), "")</f>
        <v>CARWARS STARTER 3500 ($299.00)</v>
      </c>
      <c r="I27" s="6" t="str" cm="1">
        <f t="array" ref="I27">IFERROR(INDEX($D$2:$D$554 &amp; " ($" &amp; TEXT($E$2:$E$554, "#,##0.00") &amp; ")", SMALL(IF($A$2:$A$554=$G27, ROW($D$2:$D$554)-ROW($D$2)+1), COLUMN(B27))), "")</f>
        <v/>
      </c>
      <c r="J27" s="6" t="str" cm="1">
        <f t="array" ref="J27">IFERROR(INDEX($D$2:$D$554 &amp; " ($" &amp; TEXT($E$2:$E$554, "#,##0.00") &amp; ")", SMALL(IF($A$2:$A$554=$G27, ROW($D$2:$D$554)-ROW($D$2)+1), COLUMN(C27))), "")</f>
        <v/>
      </c>
    </row>
    <row r="28" spans="1:10" x14ac:dyDescent="0.35">
      <c r="A28" s="6" t="s">
        <v>1331</v>
      </c>
      <c r="B28" s="6" t="s">
        <v>1332</v>
      </c>
      <c r="C28" s="6" t="s">
        <v>1329</v>
      </c>
      <c r="D28" s="6" t="s">
        <v>1330</v>
      </c>
      <c r="E28" s="11">
        <v>147.46</v>
      </c>
      <c r="G28" s="6" t="s">
        <v>1339</v>
      </c>
      <c r="H28" s="6" t="str" cm="1">
        <f t="array" ref="H28">IFERROR(INDEX($D$2:$D$554 &amp; " ($" &amp; TEXT($E$2:$E$554, "#,##0.00") &amp; ")", SMALL(IF($A$2:$A$554=$G28, ROW($D$2:$D$554)-ROW($D$2)+1), COLUMN(A28))), "")</f>
        <v>CRM OUTBOUND TELEPHONY TRACKING (NEW AND CONVERSION) ($476.05)</v>
      </c>
      <c r="I28" s="6" t="str" cm="1">
        <f t="array" ref="I28">IFERROR(INDEX($D$2:$D$554 &amp; " ($" &amp; TEXT($E$2:$E$554, "#,##0.00") &amp; ")", SMALL(IF($A$2:$A$554=$G28, ROW($D$2:$D$554)-ROW($D$2)+1), COLUMN(B28))), "")</f>
        <v/>
      </c>
      <c r="J28" s="6" t="str" cm="1">
        <f t="array" ref="J28">IFERROR(INDEX($D$2:$D$554 &amp; " ($" &amp; TEXT($E$2:$E$554, "#,##0.00") &amp; ")", SMALL(IF($A$2:$A$554=$G28, ROW($D$2:$D$554)-ROW($D$2)+1), COLUMN(C28))), "")</f>
        <v/>
      </c>
    </row>
    <row r="29" spans="1:10" x14ac:dyDescent="0.35">
      <c r="A29" s="6" t="s">
        <v>332</v>
      </c>
      <c r="B29" s="6" t="s">
        <v>2041</v>
      </c>
      <c r="C29" s="6" t="s">
        <v>1403</v>
      </c>
      <c r="D29" s="6" t="s">
        <v>1404</v>
      </c>
      <c r="E29" s="11">
        <v>0.65</v>
      </c>
      <c r="G29" s="6" t="s">
        <v>1341</v>
      </c>
      <c r="H29" s="6" t="str" cm="1">
        <f t="array" ref="H29">IFERROR(INDEX($D$2:$D$554 &amp; " ($" &amp; TEXT($E$2:$E$554, "#,##0.00") &amp; ")", SMALL(IF($A$2:$A$554=$G29, ROW($D$2:$D$554)-ROW($D$2)+1), COLUMN(A29))), "")</f>
        <v>CRM OUTBOUND TELEPHONY TRACKING (NEW AND CONVERSION) ($476.05)</v>
      </c>
      <c r="I29" s="6" t="str" cm="1">
        <f t="array" ref="I29">IFERROR(INDEX($D$2:$D$554 &amp; " ($" &amp; TEXT($E$2:$E$554, "#,##0.00") &amp; ")", SMALL(IF($A$2:$A$554=$G29, ROW($D$2:$D$554)-ROW($D$2)+1), COLUMN(B29))), "")</f>
        <v/>
      </c>
      <c r="J29" s="6" t="str" cm="1">
        <f t="array" ref="J29">IFERROR(INDEX($D$2:$D$554 &amp; " ($" &amp; TEXT($E$2:$E$554, "#,##0.00") &amp; ")", SMALL(IF($A$2:$A$554=$G29, ROW($D$2:$D$554)-ROW($D$2)+1), COLUMN(C29))), "")</f>
        <v/>
      </c>
    </row>
    <row r="30" spans="1:10" x14ac:dyDescent="0.35">
      <c r="A30" s="6" t="s">
        <v>332</v>
      </c>
      <c r="B30" s="6" t="s">
        <v>2041</v>
      </c>
      <c r="C30" s="6" t="s">
        <v>67</v>
      </c>
      <c r="D30" s="6" t="s">
        <v>68</v>
      </c>
      <c r="E30" s="11">
        <v>38.65</v>
      </c>
      <c r="G30" s="6" t="s">
        <v>1343</v>
      </c>
      <c r="H30" s="6" t="str" cm="1">
        <f t="array" ref="H30">IFERROR(INDEX($D$2:$D$554 &amp; " ($" &amp; TEXT($E$2:$E$554, "#,##0.00") &amp; ")", SMALL(IF($A$2:$A$554=$G30, ROW($D$2:$D$554)-ROW($D$2)+1), COLUMN(A30))), "")</f>
        <v>CRM OUTBOUND TELEPHONY TRACKING (NEW AND CONVERSION) ($476.05)</v>
      </c>
      <c r="I30" s="6" t="str" cm="1">
        <f t="array" ref="I30">IFERROR(INDEX($D$2:$D$554 &amp; " ($" &amp; TEXT($E$2:$E$554, "#,##0.00") &amp; ")", SMALL(IF($A$2:$A$554=$G30, ROW($D$2:$D$554)-ROW($D$2)+1), COLUMN(B30))), "")</f>
        <v/>
      </c>
      <c r="J30" s="6" t="str" cm="1">
        <f t="array" ref="J30">IFERROR(INDEX($D$2:$D$554 &amp; " ($" &amp; TEXT($E$2:$E$554, "#,##0.00") &amp; ")", SMALL(IF($A$2:$A$554=$G30, ROW($D$2:$D$554)-ROW($D$2)+1), COLUMN(C30))), "")</f>
        <v/>
      </c>
    </row>
    <row r="31" spans="1:10" x14ac:dyDescent="0.35">
      <c r="A31" s="6" t="s">
        <v>1333</v>
      </c>
      <c r="B31" s="6" t="s">
        <v>1334</v>
      </c>
      <c r="C31" s="6" t="s">
        <v>1329</v>
      </c>
      <c r="D31" s="6" t="s">
        <v>1330</v>
      </c>
      <c r="E31" s="11">
        <v>65.459999999999994</v>
      </c>
      <c r="G31" s="6" t="s">
        <v>1345</v>
      </c>
      <c r="H31" s="6" t="str" cm="1">
        <f t="array" ref="H31">IFERROR(INDEX($D$2:$D$554 &amp; " ($" &amp; TEXT($E$2:$E$554, "#,##0.00") &amp; ")", SMALL(IF($A$2:$A$554=$G31, ROW($D$2:$D$554)-ROW($D$2)+1), COLUMN(A31))), "")</f>
        <v>CRM OUTBOUND TELEPHONY TRACKING (NEW AND CONVERSION) ($476.05)</v>
      </c>
      <c r="I31" s="6" t="str" cm="1">
        <f t="array" ref="I31">IFERROR(INDEX($D$2:$D$554 &amp; " ($" &amp; TEXT($E$2:$E$554, "#,##0.00") &amp; ")", SMALL(IF($A$2:$A$554=$G31, ROW($D$2:$D$554)-ROW($D$2)+1), COLUMN(B31))), "")</f>
        <v/>
      </c>
      <c r="J31" s="6" t="str" cm="1">
        <f t="array" ref="J31">IFERROR(INDEX($D$2:$D$554 &amp; " ($" &amp; TEXT($E$2:$E$554, "#,##0.00") &amp; ")", SMALL(IF($A$2:$A$554=$G31, ROW($D$2:$D$554)-ROW($D$2)+1), COLUMN(C31))), "")</f>
        <v/>
      </c>
    </row>
    <row r="32" spans="1:10" x14ac:dyDescent="0.35">
      <c r="A32" s="6" t="s">
        <v>181</v>
      </c>
      <c r="B32" s="6" t="s">
        <v>2042</v>
      </c>
      <c r="C32" s="6" t="s">
        <v>1870</v>
      </c>
      <c r="D32" s="6" t="s">
        <v>1871</v>
      </c>
      <c r="E32" s="11">
        <v>999</v>
      </c>
      <c r="G32" s="6" t="s">
        <v>1347</v>
      </c>
      <c r="H32" s="6" t="str" cm="1">
        <f t="array" ref="H32">IFERROR(INDEX($D$2:$D$554 &amp; " ($" &amp; TEXT($E$2:$E$554, "#,##0.00") &amp; ")", SMALL(IF($A$2:$A$554=$G32, ROW($D$2:$D$554)-ROW($D$2)+1), COLUMN(A32))), "")</f>
        <v>CRM OUTBOUND TELEPHONY TRACKING (NEW AND CONVERSION) ($476.05)</v>
      </c>
      <c r="I32" s="6" t="str" cm="1">
        <f t="array" ref="I32">IFERROR(INDEX($D$2:$D$554 &amp; " ($" &amp; TEXT($E$2:$E$554, "#,##0.00") &amp; ")", SMALL(IF($A$2:$A$554=$G32, ROW($D$2:$D$554)-ROW($D$2)+1), COLUMN(B32))), "")</f>
        <v/>
      </c>
      <c r="J32" s="6" t="str" cm="1">
        <f t="array" ref="J32">IFERROR(INDEX($D$2:$D$554 &amp; " ($" &amp; TEXT($E$2:$E$554, "#,##0.00") &amp; ")", SMALL(IF($A$2:$A$554=$G32, ROW($D$2:$D$554)-ROW($D$2)+1), COLUMN(C32))), "")</f>
        <v/>
      </c>
    </row>
    <row r="33" spans="1:10" x14ac:dyDescent="0.35">
      <c r="A33" s="6" t="s">
        <v>181</v>
      </c>
      <c r="B33" s="6" t="s">
        <v>2042</v>
      </c>
      <c r="C33" s="6" t="s">
        <v>408</v>
      </c>
      <c r="D33" s="6" t="s">
        <v>409</v>
      </c>
      <c r="E33" s="11">
        <v>20</v>
      </c>
      <c r="G33" s="6" t="s">
        <v>1349</v>
      </c>
      <c r="H33" s="6" t="str" cm="1">
        <f t="array" ref="H33">IFERROR(INDEX($D$2:$D$554 &amp; " ($" &amp; TEXT($E$2:$E$554, "#,##0.00") &amp; ")", SMALL(IF($A$2:$A$554=$G33, ROW($D$2:$D$554)-ROW($D$2)+1), COLUMN(A33))), "")</f>
        <v>CRM TELEPHONY TRACKING ($105.00)</v>
      </c>
      <c r="I33" s="6" t="str" cm="1">
        <f t="array" ref="I33">IFERROR(INDEX($D$2:$D$554 &amp; " ($" &amp; TEXT($E$2:$E$554, "#,##0.00") &amp; ")", SMALL(IF($A$2:$A$554=$G33, ROW($D$2:$D$554)-ROW($D$2)+1), COLUMN(B33))), "")</f>
        <v/>
      </c>
      <c r="J33" s="6" t="str" cm="1">
        <f t="array" ref="J33">IFERROR(INDEX($D$2:$D$554 &amp; " ($" &amp; TEXT($E$2:$E$554, "#,##0.00") &amp; ")", SMALL(IF($A$2:$A$554=$G33, ROW($D$2:$D$554)-ROW($D$2)+1), COLUMN(C33))), "")</f>
        <v/>
      </c>
    </row>
    <row r="34" spans="1:10" x14ac:dyDescent="0.35">
      <c r="A34" s="6" t="s">
        <v>1335</v>
      </c>
      <c r="B34" s="6" t="s">
        <v>1336</v>
      </c>
      <c r="C34" s="6" t="s">
        <v>35</v>
      </c>
      <c r="D34" s="6" t="s">
        <v>36</v>
      </c>
      <c r="E34" s="11">
        <v>0</v>
      </c>
      <c r="G34" s="6" t="s">
        <v>2043</v>
      </c>
      <c r="H34" s="6" t="str" cm="1">
        <f t="array" ref="H34">IFERROR(INDEX($D$2:$D$554 &amp; " ($" &amp; TEXT($E$2:$E$554, "#,##0.00") &amp; ")", SMALL(IF($A$2:$A$554=$G34, ROW($D$2:$D$554)-ROW($D$2)+1), COLUMN(A34))), "")</f>
        <v>CARWARS PREMIUM SALES ($1,408.33)</v>
      </c>
      <c r="I34" s="6" t="str" cm="1">
        <f t="array" ref="I34">IFERROR(INDEX($D$2:$D$554 &amp; " ($" &amp; TEXT($E$2:$E$554, "#,##0.00") &amp; ")", SMALL(IF($A$2:$A$554=$G34, ROW($D$2:$D$554)-ROW($D$2)+1), COLUMN(B34))), "")</f>
        <v/>
      </c>
      <c r="J34" s="6" t="str" cm="1">
        <f t="array" ref="J34">IFERROR(INDEX($D$2:$D$554 &amp; " ($" &amp; TEXT($E$2:$E$554, "#,##0.00") &amp; ")", SMALL(IF($A$2:$A$554=$G34, ROW($D$2:$D$554)-ROW($D$2)+1), COLUMN(C34))), "")</f>
        <v/>
      </c>
    </row>
    <row r="35" spans="1:10" x14ac:dyDescent="0.35">
      <c r="A35" s="6" t="s">
        <v>1337</v>
      </c>
      <c r="B35" s="6" t="s">
        <v>1338</v>
      </c>
      <c r="C35" s="6" t="s">
        <v>35</v>
      </c>
      <c r="D35" s="6" t="s">
        <v>36</v>
      </c>
      <c r="E35" s="11">
        <v>0</v>
      </c>
      <c r="G35" s="6" t="s">
        <v>2044</v>
      </c>
      <c r="H35" s="6" t="str" cm="1">
        <f t="array" ref="H35">IFERROR(INDEX($D$2:$D$554 &amp; " ($" &amp; TEXT($E$2:$E$554, "#,##0.00") &amp; ")", SMALL(IF($A$2:$A$554=$G35, ROW($D$2:$D$554)-ROW($D$2)+1), COLUMN(A35))), "")</f>
        <v>CARWARS PREMIUM SALES ($1,408.33)</v>
      </c>
      <c r="I35" s="6" t="str" cm="1">
        <f t="array" ref="I35">IFERROR(INDEX($D$2:$D$554 &amp; " ($" &amp; TEXT($E$2:$E$554, "#,##0.00") &amp; ")", SMALL(IF($A$2:$A$554=$G35, ROW($D$2:$D$554)-ROW($D$2)+1), COLUMN(B35))), "")</f>
        <v/>
      </c>
      <c r="J35" s="6" t="str" cm="1">
        <f t="array" ref="J35">IFERROR(INDEX($D$2:$D$554 &amp; " ($" &amp; TEXT($E$2:$E$554, "#,##0.00") &amp; ")", SMALL(IF($A$2:$A$554=$G35, ROW($D$2:$D$554)-ROW($D$2)+1), COLUMN(C35))), "")</f>
        <v/>
      </c>
    </row>
    <row r="36" spans="1:10" x14ac:dyDescent="0.35">
      <c r="A36" s="6" t="s">
        <v>2039</v>
      </c>
      <c r="B36" s="6" t="s">
        <v>547</v>
      </c>
      <c r="C36" s="6" t="s">
        <v>74</v>
      </c>
      <c r="D36" s="6" t="s">
        <v>75</v>
      </c>
      <c r="E36" s="11">
        <v>499</v>
      </c>
      <c r="G36" s="6" t="s">
        <v>1351</v>
      </c>
      <c r="H36" s="6" t="str" cm="1">
        <f t="array" ref="H36">IFERROR(INDEX($D$2:$D$554 &amp; " ($" &amp; TEXT($E$2:$E$554, "#,##0.00") &amp; ")", SMALL(IF($A$2:$A$554=$G36, ROW($D$2:$D$554)-ROW($D$2)+1), COLUMN(A36))), "")</f>
        <v>CRM TELEPHONY TRACKING ($0.00)</v>
      </c>
      <c r="I36" s="6" t="str" cm="1">
        <f t="array" ref="I36">IFERROR(INDEX($D$2:$D$554 &amp; " ($" &amp; TEXT($E$2:$E$554, "#,##0.00") &amp; ")", SMALL(IF($A$2:$A$554=$G36, ROW($D$2:$D$554)-ROW($D$2)+1), COLUMN(B36))), "")</f>
        <v/>
      </c>
      <c r="J36" s="6" t="str" cm="1">
        <f t="array" ref="J36">IFERROR(INDEX($D$2:$D$554 &amp; " ($" &amp; TEXT($E$2:$E$554, "#,##0.00") &amp; ")", SMALL(IF($A$2:$A$554=$G36, ROW($D$2:$D$554)-ROW($D$2)+1), COLUMN(C36))), "")</f>
        <v/>
      </c>
    </row>
    <row r="37" spans="1:10" x14ac:dyDescent="0.35">
      <c r="A37" s="6" t="s">
        <v>2040</v>
      </c>
      <c r="B37" s="6" t="s">
        <v>470</v>
      </c>
      <c r="C37" s="6" t="s">
        <v>48</v>
      </c>
      <c r="D37" s="6" t="s">
        <v>49</v>
      </c>
      <c r="E37" s="11">
        <v>299</v>
      </c>
      <c r="G37" s="6" t="s">
        <v>1353</v>
      </c>
      <c r="H37" s="6" t="str" cm="1">
        <f t="array" ref="H37">IFERROR(INDEX($D$2:$D$554 &amp; " ($" &amp; TEXT($E$2:$E$554, "#,##0.00") &amp; ")", SMALL(IF($A$2:$A$554=$G37, ROW($D$2:$D$554)-ROW($D$2)+1), COLUMN(A37))), "")</f>
        <v>CRM TELEPHONY TRACKING ($65.46)</v>
      </c>
      <c r="I37" s="6" t="str" cm="1">
        <f t="array" ref="I37">IFERROR(INDEX($D$2:$D$554 &amp; " ($" &amp; TEXT($E$2:$E$554, "#,##0.00") &amp; ")", SMALL(IF($A$2:$A$554=$G37, ROW($D$2:$D$554)-ROW($D$2)+1), COLUMN(B37))), "")</f>
        <v/>
      </c>
      <c r="J37" s="6" t="str" cm="1">
        <f t="array" ref="J37">IFERROR(INDEX($D$2:$D$554 &amp; " ($" &amp; TEXT($E$2:$E$554, "#,##0.00") &amp; ")", SMALL(IF($A$2:$A$554=$G37, ROW($D$2:$D$554)-ROW($D$2)+1), COLUMN(C37))), "")</f>
        <v/>
      </c>
    </row>
    <row r="38" spans="1:10" x14ac:dyDescent="0.35">
      <c r="A38" s="6" t="s">
        <v>1339</v>
      </c>
      <c r="B38" s="6" t="s">
        <v>1340</v>
      </c>
      <c r="C38" s="6" t="s">
        <v>35</v>
      </c>
      <c r="D38" s="6" t="s">
        <v>36</v>
      </c>
      <c r="E38" s="11">
        <v>476.05</v>
      </c>
      <c r="G38" s="6" t="s">
        <v>1355</v>
      </c>
      <c r="H38" s="6" t="str" cm="1">
        <f t="array" ref="H38">IFERROR(INDEX($D$2:$D$554 &amp; " ($" &amp; TEXT($E$2:$E$554, "#,##0.00") &amp; ")", SMALL(IF($A$2:$A$554=$G38, ROW($D$2:$D$554)-ROW($D$2)+1), COLUMN(A38))), "")</f>
        <v>CRM TELEPHONY TRACKING ($65.46)</v>
      </c>
      <c r="I38" s="6" t="str" cm="1">
        <f t="array" ref="I38">IFERROR(INDEX($D$2:$D$554 &amp; " ($" &amp; TEXT($E$2:$E$554, "#,##0.00") &amp; ")", SMALL(IF($A$2:$A$554=$G38, ROW($D$2:$D$554)-ROW($D$2)+1), COLUMN(B38))), "")</f>
        <v/>
      </c>
      <c r="J38" s="6" t="str" cm="1">
        <f t="array" ref="J38">IFERROR(INDEX($D$2:$D$554 &amp; " ($" &amp; TEXT($E$2:$E$554, "#,##0.00") &amp; ")", SMALL(IF($A$2:$A$554=$G38, ROW($D$2:$D$554)-ROW($D$2)+1), COLUMN(C38))), "")</f>
        <v/>
      </c>
    </row>
    <row r="39" spans="1:10" x14ac:dyDescent="0.35">
      <c r="A39" s="6" t="s">
        <v>1341</v>
      </c>
      <c r="B39" s="6" t="s">
        <v>1342</v>
      </c>
      <c r="C39" s="6" t="s">
        <v>35</v>
      </c>
      <c r="D39" s="6" t="s">
        <v>36</v>
      </c>
      <c r="E39" s="11">
        <v>476.05</v>
      </c>
      <c r="G39" s="6" t="s">
        <v>1357</v>
      </c>
      <c r="H39" s="6" t="str" cm="1">
        <f t="array" ref="H39">IFERROR(INDEX($D$2:$D$554 &amp; " ($" &amp; TEXT($E$2:$E$554, "#,##0.00") &amp; ")", SMALL(IF($A$2:$A$554=$G39, ROW($D$2:$D$554)-ROW($D$2)+1), COLUMN(A39))), "")</f>
        <v>CRM TELEPHONY TRACKING ($65.46)</v>
      </c>
      <c r="I39" s="6" t="str" cm="1">
        <f t="array" ref="I39">IFERROR(INDEX($D$2:$D$554 &amp; " ($" &amp; TEXT($E$2:$E$554, "#,##0.00") &amp; ")", SMALL(IF($A$2:$A$554=$G39, ROW($D$2:$D$554)-ROW($D$2)+1), COLUMN(B39))), "")</f>
        <v/>
      </c>
      <c r="J39" s="6" t="str" cm="1">
        <f t="array" ref="J39">IFERROR(INDEX($D$2:$D$554 &amp; " ($" &amp; TEXT($E$2:$E$554, "#,##0.00") &amp; ")", SMALL(IF($A$2:$A$554=$G39, ROW($D$2:$D$554)-ROW($D$2)+1), COLUMN(C39))), "")</f>
        <v/>
      </c>
    </row>
    <row r="40" spans="1:10" x14ac:dyDescent="0.35">
      <c r="A40" s="6" t="s">
        <v>1343</v>
      </c>
      <c r="B40" s="6" t="s">
        <v>1344</v>
      </c>
      <c r="C40" s="6" t="s">
        <v>35</v>
      </c>
      <c r="D40" s="6" t="s">
        <v>36</v>
      </c>
      <c r="E40" s="11">
        <v>476.05</v>
      </c>
      <c r="G40" s="6" t="s">
        <v>1359</v>
      </c>
      <c r="H40" s="6" t="str" cm="1">
        <f t="array" ref="H40">IFERROR(INDEX($D$2:$D$554 &amp; " ($" &amp; TEXT($E$2:$E$554, "#,##0.00") &amp; ")", SMALL(IF($A$2:$A$554=$G40, ROW($D$2:$D$554)-ROW($D$2)+1), COLUMN(A40))), "")</f>
        <v>CRM TELEPHONY TRACKING ($65.46)</v>
      </c>
      <c r="I40" s="6" t="str" cm="1">
        <f t="array" ref="I40">IFERROR(INDEX($D$2:$D$554 &amp; " ($" &amp; TEXT($E$2:$E$554, "#,##0.00") &amp; ")", SMALL(IF($A$2:$A$554=$G40, ROW($D$2:$D$554)-ROW($D$2)+1), COLUMN(B40))), "")</f>
        <v/>
      </c>
      <c r="J40" s="6" t="str" cm="1">
        <f t="array" ref="J40">IFERROR(INDEX($D$2:$D$554 &amp; " ($" &amp; TEXT($E$2:$E$554, "#,##0.00") &amp; ")", SMALL(IF($A$2:$A$554=$G40, ROW($D$2:$D$554)-ROW($D$2)+1), COLUMN(C40))), "")</f>
        <v/>
      </c>
    </row>
    <row r="41" spans="1:10" x14ac:dyDescent="0.35">
      <c r="A41" s="6" t="s">
        <v>1345</v>
      </c>
      <c r="B41" s="6" t="s">
        <v>1346</v>
      </c>
      <c r="C41" s="6" t="s">
        <v>35</v>
      </c>
      <c r="D41" s="6" t="s">
        <v>36</v>
      </c>
      <c r="E41" s="11">
        <v>476.05</v>
      </c>
      <c r="G41" s="6" t="s">
        <v>1361</v>
      </c>
      <c r="H41" s="6" t="str" cm="1">
        <f t="array" ref="H41">IFERROR(INDEX($D$2:$D$554 &amp; " ($" &amp; TEXT($E$2:$E$554, "#,##0.00") &amp; ")", SMALL(IF($A$2:$A$554=$G41, ROW($D$2:$D$554)-ROW($D$2)+1), COLUMN(A41))), "")</f>
        <v>CRM TELEPHONY TRACKING ($65.46)</v>
      </c>
      <c r="I41" s="6" t="str" cm="1">
        <f t="array" ref="I41">IFERROR(INDEX($D$2:$D$554 &amp; " ($" &amp; TEXT($E$2:$E$554, "#,##0.00") &amp; ")", SMALL(IF($A$2:$A$554=$G41, ROW($D$2:$D$554)-ROW($D$2)+1), COLUMN(B41))), "")</f>
        <v/>
      </c>
      <c r="J41" s="6" t="str" cm="1">
        <f t="array" ref="J41">IFERROR(INDEX($D$2:$D$554 &amp; " ($" &amp; TEXT($E$2:$E$554, "#,##0.00") &amp; ")", SMALL(IF($A$2:$A$554=$G41, ROW($D$2:$D$554)-ROW($D$2)+1), COLUMN(C41))), "")</f>
        <v/>
      </c>
    </row>
    <row r="42" spans="1:10" x14ac:dyDescent="0.35">
      <c r="A42" s="6" t="s">
        <v>1347</v>
      </c>
      <c r="B42" s="6" t="s">
        <v>1348</v>
      </c>
      <c r="C42" s="6" t="s">
        <v>35</v>
      </c>
      <c r="D42" s="6" t="s">
        <v>36</v>
      </c>
      <c r="E42" s="11">
        <v>476.05</v>
      </c>
      <c r="G42" s="6" t="s">
        <v>2045</v>
      </c>
      <c r="H42" s="6" t="str" cm="1">
        <f t="array" ref="H42">IFERROR(INDEX($D$2:$D$554 &amp; " ($" &amp; TEXT($E$2:$E$554, "#,##0.00") &amp; ")", SMALL(IF($A$2:$A$554=$G42, ROW($D$2:$D$554)-ROW($D$2)+1), COLUMN(A42))), "")</f>
        <v>EL1OUTCALLTRACK (GM IMR) ($979.02)</v>
      </c>
      <c r="I42" s="6" t="str" cm="1">
        <f t="array" ref="I42">IFERROR(INDEX($D$2:$D$554 &amp; " ($" &amp; TEXT($E$2:$E$554, "#,##0.00") &amp; ")", SMALL(IF($A$2:$A$554=$G42, ROW($D$2:$D$554)-ROW($D$2)+1), COLUMN(B42))), "")</f>
        <v/>
      </c>
      <c r="J42" s="6" t="str" cm="1">
        <f t="array" ref="J42">IFERROR(INDEX($D$2:$D$554 &amp; " ($" &amp; TEXT($E$2:$E$554, "#,##0.00") &amp; ")", SMALL(IF($A$2:$A$554=$G42, ROW($D$2:$D$554)-ROW($D$2)+1), COLUMN(C42))), "")</f>
        <v/>
      </c>
    </row>
    <row r="43" spans="1:10" x14ac:dyDescent="0.35">
      <c r="A43" s="6" t="s">
        <v>1349</v>
      </c>
      <c r="B43" s="6" t="s">
        <v>1350</v>
      </c>
      <c r="C43" s="6" t="s">
        <v>1329</v>
      </c>
      <c r="D43" s="6" t="s">
        <v>1330</v>
      </c>
      <c r="E43" s="11">
        <v>105</v>
      </c>
      <c r="G43" s="6" t="s">
        <v>2046</v>
      </c>
      <c r="H43" s="6" t="str" cm="1">
        <f t="array" ref="H43">IFERROR(INDEX($D$2:$D$554 &amp; " ($" &amp; TEXT($E$2:$E$554, "#,##0.00") &amp; ")", SMALL(IF($A$2:$A$554=$G43, ROW($D$2:$D$554)-ROW($D$2)+1), COLUMN(A43))), "")</f>
        <v>CARWARS ELITE LARGE ($2,981.00)</v>
      </c>
      <c r="I43" s="6" t="str" cm="1">
        <f t="array" ref="I43">IFERROR(INDEX($D$2:$D$554 &amp; " ($" &amp; TEXT($E$2:$E$554, "#,##0.00") &amp; ")", SMALL(IF($A$2:$A$554=$G43, ROW($D$2:$D$554)-ROW($D$2)+1), COLUMN(B43))), "")</f>
        <v/>
      </c>
      <c r="J43" s="6" t="str" cm="1">
        <f t="array" ref="J43">IFERROR(INDEX($D$2:$D$554 &amp; " ($" &amp; TEXT($E$2:$E$554, "#,##0.00") &amp; ")", SMALL(IF($A$2:$A$554=$G43, ROW($D$2:$D$554)-ROW($D$2)+1), COLUMN(C43))), "")</f>
        <v/>
      </c>
    </row>
    <row r="44" spans="1:10" x14ac:dyDescent="0.35">
      <c r="A44" s="6" t="s">
        <v>2043</v>
      </c>
      <c r="B44" s="6" t="s">
        <v>300</v>
      </c>
      <c r="C44" s="6" t="s">
        <v>42</v>
      </c>
      <c r="D44" s="6" t="s">
        <v>43</v>
      </c>
      <c r="E44" s="11">
        <v>1408.33</v>
      </c>
      <c r="G44" s="6" t="s">
        <v>2047</v>
      </c>
      <c r="H44" s="6" t="str" cm="1">
        <f t="array" ref="H44">IFERROR(INDEX($D$2:$D$554 &amp; " ($" &amp; TEXT($E$2:$E$554, "#,##0.00") &amp; ")", SMALL(IF($A$2:$A$554=$G44, ROW($D$2:$D$554)-ROW($D$2)+1), COLUMN(A44))), "")</f>
        <v>CARWARS ELITE 12,500 PACKAGE ($1,499.00)</v>
      </c>
      <c r="I44" s="6" t="str" cm="1">
        <f t="array" ref="I44">IFERROR(INDEX($D$2:$D$554 &amp; " ($" &amp; TEXT($E$2:$E$554, "#,##0.00") &amp; ")", SMALL(IF($A$2:$A$554=$G44, ROW($D$2:$D$554)-ROW($D$2)+1), COLUMN(B44))), "")</f>
        <v/>
      </c>
      <c r="J44" s="6" t="str" cm="1">
        <f t="array" ref="J44">IFERROR(INDEX($D$2:$D$554 &amp; " ($" &amp; TEXT($E$2:$E$554, "#,##0.00") &amp; ")", SMALL(IF($A$2:$A$554=$G44, ROW($D$2:$D$554)-ROW($D$2)+1), COLUMN(C44))), "")</f>
        <v/>
      </c>
    </row>
    <row r="45" spans="1:10" x14ac:dyDescent="0.35">
      <c r="A45" s="6" t="s">
        <v>2044</v>
      </c>
      <c r="B45" s="6" t="s">
        <v>296</v>
      </c>
      <c r="C45" s="6" t="s">
        <v>42</v>
      </c>
      <c r="D45" s="6" t="s">
        <v>43</v>
      </c>
      <c r="E45" s="11">
        <v>1408.33</v>
      </c>
      <c r="G45" s="6" t="s">
        <v>2048</v>
      </c>
      <c r="H45" s="6" t="str" cm="1">
        <f t="array" ref="H45">IFERROR(INDEX($D$2:$D$554 &amp; " ($" &amp; TEXT($E$2:$E$554, "#,##0.00") &amp; ")", SMALL(IF($A$2:$A$554=$G45, ROW($D$2:$D$554)-ROW($D$2)+1), COLUMN(A45))), "")</f>
        <v>CRM OUTBOUND TELEPHONY TRACKING (NEW AND CONVERSION) ($1,107.33)</v>
      </c>
      <c r="I45" s="6" t="str" cm="1">
        <f t="array" ref="I45">IFERROR(INDEX($D$2:$D$554 &amp; " ($" &amp; TEXT($E$2:$E$554, "#,##0.00") &amp; ")", SMALL(IF($A$2:$A$554=$G45, ROW($D$2:$D$554)-ROW($D$2)+1), COLUMN(B45))), "")</f>
        <v>CARWARS ELITE SMALL ($1,199.00)</v>
      </c>
      <c r="J45" s="6" t="str" cm="1">
        <f t="array" ref="J45">IFERROR(INDEX($D$2:$D$554 &amp; " ($" &amp; TEXT($E$2:$E$554, "#,##0.00") &amp; ")", SMALL(IF($A$2:$A$554=$G45, ROW($D$2:$D$554)-ROW($D$2)+1), COLUMN(C45))), "")</f>
        <v/>
      </c>
    </row>
    <row r="46" spans="1:10" x14ac:dyDescent="0.35">
      <c r="A46" s="6" t="s">
        <v>1351</v>
      </c>
      <c r="B46" s="6" t="s">
        <v>1352</v>
      </c>
      <c r="C46" s="6" t="s">
        <v>1329</v>
      </c>
      <c r="D46" s="6" t="s">
        <v>1330</v>
      </c>
      <c r="E46" s="11">
        <v>0</v>
      </c>
      <c r="G46" s="6" t="s">
        <v>1363</v>
      </c>
      <c r="H46" s="6" t="str" cm="1">
        <f t="array" ref="H46">IFERROR(INDEX($D$2:$D$554 &amp; " ($" &amp; TEXT($E$2:$E$554, "#,##0.00") &amp; ")", SMALL(IF($A$2:$A$554=$G46, ROW($D$2:$D$554)-ROW($D$2)+1), COLUMN(A46))), "")</f>
        <v>CRM TELEPHONY TRACKING ($122.13)</v>
      </c>
      <c r="I46" s="6" t="str" cm="1">
        <f t="array" ref="I46">IFERROR(INDEX($D$2:$D$554 &amp; " ($" &amp; TEXT($E$2:$E$554, "#,##0.00") &amp; ")", SMALL(IF($A$2:$A$554=$G46, ROW($D$2:$D$554)-ROW($D$2)+1), COLUMN(B46))), "")</f>
        <v/>
      </c>
      <c r="J46" s="6" t="str" cm="1">
        <f t="array" ref="J46">IFERROR(INDEX($D$2:$D$554 &amp; " ($" &amp; TEXT($E$2:$E$554, "#,##0.00") &amp; ")", SMALL(IF($A$2:$A$554=$G46, ROW($D$2:$D$554)-ROW($D$2)+1), COLUMN(C46))), "")</f>
        <v/>
      </c>
    </row>
    <row r="47" spans="1:10" x14ac:dyDescent="0.35">
      <c r="A47" s="6" t="s">
        <v>1353</v>
      </c>
      <c r="B47" s="6" t="s">
        <v>1354</v>
      </c>
      <c r="C47" s="6" t="s">
        <v>1329</v>
      </c>
      <c r="D47" s="6" t="s">
        <v>1330</v>
      </c>
      <c r="E47" s="11">
        <v>65.459999999999994</v>
      </c>
      <c r="G47" s="6" t="s">
        <v>1365</v>
      </c>
      <c r="H47" s="6" t="str" cm="1">
        <f t="array" ref="H47">IFERROR(INDEX($D$2:$D$554 &amp; " ($" &amp; TEXT($E$2:$E$554, "#,##0.00") &amp; ")", SMALL(IF($A$2:$A$554=$G47, ROW($D$2:$D$554)-ROW($D$2)+1), COLUMN(A47))), "")</f>
        <v>CRM OUTBOUND TELEPHONY TRACKING (NEW AND CONVERSION) ($371.36)</v>
      </c>
      <c r="I47" s="6" t="str" cm="1">
        <f t="array" ref="I47">IFERROR(INDEX($D$2:$D$554 &amp; " ($" &amp; TEXT($E$2:$E$554, "#,##0.00") &amp; ")", SMALL(IF($A$2:$A$554=$G47, ROW($D$2:$D$554)-ROW($D$2)+1), COLUMN(B47))), "")</f>
        <v/>
      </c>
      <c r="J47" s="6" t="str" cm="1">
        <f t="array" ref="J47">IFERROR(INDEX($D$2:$D$554 &amp; " ($" &amp; TEXT($E$2:$E$554, "#,##0.00") &amp; ")", SMALL(IF($A$2:$A$554=$G47, ROW($D$2:$D$554)-ROW($D$2)+1), COLUMN(C47))), "")</f>
        <v/>
      </c>
    </row>
    <row r="48" spans="1:10" x14ac:dyDescent="0.35">
      <c r="A48" s="6" t="s">
        <v>1355</v>
      </c>
      <c r="B48" s="6" t="s">
        <v>1356</v>
      </c>
      <c r="C48" s="6" t="s">
        <v>1329</v>
      </c>
      <c r="D48" s="6" t="s">
        <v>1330</v>
      </c>
      <c r="E48" s="11">
        <v>65.459999999999994</v>
      </c>
      <c r="G48" s="6" t="s">
        <v>1367</v>
      </c>
      <c r="H48" s="6" t="str" cm="1">
        <f t="array" ref="H48">IFERROR(INDEX($D$2:$D$554 &amp; " ($" &amp; TEXT($E$2:$E$554, "#,##0.00") &amp; ")", SMALL(IF($A$2:$A$554=$G48, ROW($D$2:$D$554)-ROW($D$2)+1), COLUMN(A48))), "")</f>
        <v>CALLSOURCE (CONVERSION) ($370.20)</v>
      </c>
      <c r="I48" s="6" t="str" cm="1">
        <f t="array" ref="I48">IFERROR(INDEX($D$2:$D$554 &amp; " ($" &amp; TEXT($E$2:$E$554, "#,##0.00") &amp; ")", SMALL(IF($A$2:$A$554=$G48, ROW($D$2:$D$554)-ROW($D$2)+1), COLUMN(B48))), "")</f>
        <v/>
      </c>
      <c r="J48" s="6" t="str" cm="1">
        <f t="array" ref="J48">IFERROR(INDEX($D$2:$D$554 &amp; " ($" &amp; TEXT($E$2:$E$554, "#,##0.00") &amp; ")", SMALL(IF($A$2:$A$554=$G48, ROW($D$2:$D$554)-ROW($D$2)+1), COLUMN(C48))), "")</f>
        <v/>
      </c>
    </row>
    <row r="49" spans="1:10" x14ac:dyDescent="0.35">
      <c r="A49" s="6" t="s">
        <v>1357</v>
      </c>
      <c r="B49" s="6" t="s">
        <v>1358</v>
      </c>
      <c r="C49" s="6" t="s">
        <v>1329</v>
      </c>
      <c r="D49" s="6" t="s">
        <v>1330</v>
      </c>
      <c r="E49" s="11">
        <v>65.459999999999994</v>
      </c>
      <c r="G49" s="6" t="s">
        <v>1371</v>
      </c>
      <c r="H49" s="6" t="str" cm="1">
        <f t="array" ref="H49">IFERROR(INDEX($D$2:$D$554 &amp; " ($" &amp; TEXT($E$2:$E$554, "#,##0.00") &amp; ")", SMALL(IF($A$2:$A$554=$G49, ROW($D$2:$D$554)-ROW($D$2)+1), COLUMN(A49))), "")</f>
        <v>CRM TELEPHONY TRACKING ($103.00)</v>
      </c>
      <c r="I49" s="6" t="str" cm="1">
        <f t="array" ref="I49">IFERROR(INDEX($D$2:$D$554 &amp; " ($" &amp; TEXT($E$2:$E$554, "#,##0.00") &amp; ")", SMALL(IF($A$2:$A$554=$G49, ROW($D$2:$D$554)-ROW($D$2)+1), COLUMN(B49))), "")</f>
        <v/>
      </c>
      <c r="J49" s="6" t="str" cm="1">
        <f t="array" ref="J49">IFERROR(INDEX($D$2:$D$554 &amp; " ($" &amp; TEXT($E$2:$E$554, "#,##0.00") &amp; ")", SMALL(IF($A$2:$A$554=$G49, ROW($D$2:$D$554)-ROW($D$2)+1), COLUMN(C49))), "")</f>
        <v/>
      </c>
    </row>
    <row r="50" spans="1:10" x14ac:dyDescent="0.35">
      <c r="A50" s="6" t="s">
        <v>1359</v>
      </c>
      <c r="B50" s="6" t="s">
        <v>1360</v>
      </c>
      <c r="C50" s="6" t="s">
        <v>1329</v>
      </c>
      <c r="D50" s="6" t="s">
        <v>1330</v>
      </c>
      <c r="E50" s="11">
        <v>65.459999999999994</v>
      </c>
      <c r="G50" s="6" t="s">
        <v>2049</v>
      </c>
      <c r="H50" s="6" t="str" cm="1">
        <f t="array" ref="H50">IFERROR(INDEX($D$2:$D$554 &amp; " ($" &amp; TEXT($E$2:$E$554, "#,##0.00") &amp; ")", SMALL(IF($A$2:$A$554=$G50, ROW($D$2:$D$554)-ROW($D$2)+1), COLUMN(A50))), "")</f>
        <v>CRM OUTBOUND TELEPHONY TRACKING (NEW AND CONVERSION) ($199.00)</v>
      </c>
      <c r="I50" s="6" t="str" cm="1">
        <f t="array" ref="I50">IFERROR(INDEX($D$2:$D$554 &amp; " ($" &amp; TEXT($E$2:$E$554, "#,##0.00") &amp; ")", SMALL(IF($A$2:$A$554=$G50, ROW($D$2:$D$554)-ROW($D$2)+1), COLUMN(B50))), "")</f>
        <v>CARWARS INDEFINITE CALL RECORDINGS ($10.00)</v>
      </c>
      <c r="J50" s="6" t="str" cm="1">
        <f t="array" ref="J50">IFERROR(INDEX($D$2:$D$554 &amp; " ($" &amp; TEXT($E$2:$E$554, "#,##0.00") &amp; ")", SMALL(IF($A$2:$A$554=$G50, ROW($D$2:$D$554)-ROW($D$2)+1), COLUMN(C50))), "")</f>
        <v/>
      </c>
    </row>
    <row r="51" spans="1:10" x14ac:dyDescent="0.35">
      <c r="A51" s="6" t="s">
        <v>1361</v>
      </c>
      <c r="B51" s="6" t="s">
        <v>1362</v>
      </c>
      <c r="C51" s="6" t="s">
        <v>1329</v>
      </c>
      <c r="D51" s="6" t="s">
        <v>1330</v>
      </c>
      <c r="E51" s="11">
        <v>65.459999999999994</v>
      </c>
      <c r="G51" s="6" t="s">
        <v>1373</v>
      </c>
      <c r="H51" s="6" t="str" cm="1">
        <f t="array" ref="H51">IFERROR(INDEX($D$2:$D$554 &amp; " ($" &amp; TEXT($E$2:$E$554, "#,##0.00") &amp; ")", SMALL(IF($A$2:$A$554=$G51, ROW($D$2:$D$554)-ROW($D$2)+1), COLUMN(A51))), "")</f>
        <v>CRM TELEPHONY TRACKING ($0.00)</v>
      </c>
      <c r="I51" s="6" t="str" cm="1">
        <f t="array" ref="I51">IFERROR(INDEX($D$2:$D$554 &amp; " ($" &amp; TEXT($E$2:$E$554, "#,##0.00") &amp; ")", SMALL(IF($A$2:$A$554=$G51, ROW($D$2:$D$554)-ROW($D$2)+1), COLUMN(B51))), "")</f>
        <v/>
      </c>
      <c r="J51" s="6" t="str" cm="1">
        <f t="array" ref="J51">IFERROR(INDEX($D$2:$D$554 &amp; " ($" &amp; TEXT($E$2:$E$554, "#,##0.00") &amp; ")", SMALL(IF($A$2:$A$554=$G51, ROW($D$2:$D$554)-ROW($D$2)+1), COLUMN(C51))), "")</f>
        <v/>
      </c>
    </row>
    <row r="52" spans="1:10" x14ac:dyDescent="0.35">
      <c r="A52" s="6" t="s">
        <v>2045</v>
      </c>
      <c r="B52" s="6" t="s">
        <v>494</v>
      </c>
      <c r="C52" s="6" t="s">
        <v>87</v>
      </c>
      <c r="D52" s="6" t="s">
        <v>88</v>
      </c>
      <c r="E52" s="11">
        <v>979.02</v>
      </c>
      <c r="G52" s="6" t="s">
        <v>1375</v>
      </c>
      <c r="H52" s="6" t="str" cm="1">
        <f t="array" ref="H52">IFERROR(INDEX($D$2:$D$554 &amp; " ($" &amp; TEXT($E$2:$E$554, "#,##0.00") &amp; ")", SMALL(IF($A$2:$A$554=$G52, ROW($D$2:$D$554)-ROW($D$2)+1), COLUMN(A52))), "")</f>
        <v>CRM TELEPHONY TRACKING ($0.00)</v>
      </c>
      <c r="I52" s="6" t="str" cm="1">
        <f t="array" ref="I52">IFERROR(INDEX($D$2:$D$554 &amp; " ($" &amp; TEXT($E$2:$E$554, "#,##0.00") &amp; ")", SMALL(IF($A$2:$A$554=$G52, ROW($D$2:$D$554)-ROW($D$2)+1), COLUMN(B52))), "")</f>
        <v/>
      </c>
      <c r="J52" s="6" t="str" cm="1">
        <f t="array" ref="J52">IFERROR(INDEX($D$2:$D$554 &amp; " ($" &amp; TEXT($E$2:$E$554, "#,##0.00") &amp; ")", SMALL(IF($A$2:$A$554=$G52, ROW($D$2:$D$554)-ROW($D$2)+1), COLUMN(C52))), "")</f>
        <v/>
      </c>
    </row>
    <row r="53" spans="1:10" x14ac:dyDescent="0.35">
      <c r="A53" s="6" t="s">
        <v>2046</v>
      </c>
      <c r="B53" s="6" t="s">
        <v>621</v>
      </c>
      <c r="C53" s="6" t="s">
        <v>2037</v>
      </c>
      <c r="D53" s="6" t="s">
        <v>2038</v>
      </c>
      <c r="E53" s="11">
        <v>2981</v>
      </c>
      <c r="G53" s="6" t="s">
        <v>1377</v>
      </c>
      <c r="H53" s="6" t="str" cm="1">
        <f t="array" ref="H53">IFERROR(INDEX($D$2:$D$554 &amp; " ($" &amp; TEXT($E$2:$E$554, "#,##0.00") &amp; ")", SMALL(IF($A$2:$A$554=$G53, ROW($D$2:$D$554)-ROW($D$2)+1), COLUMN(A53))), "")</f>
        <v>CRM TELEPHONY TRACKING ($0.00)</v>
      </c>
      <c r="I53" s="6" t="str" cm="1">
        <f t="array" ref="I53">IFERROR(INDEX($D$2:$D$554 &amp; " ($" &amp; TEXT($E$2:$E$554, "#,##0.00") &amp; ")", SMALL(IF($A$2:$A$554=$G53, ROW($D$2:$D$554)-ROW($D$2)+1), COLUMN(B53))), "")</f>
        <v/>
      </c>
      <c r="J53" s="6" t="str" cm="1">
        <f t="array" ref="J53">IFERROR(INDEX($D$2:$D$554 &amp; " ($" &amp; TEXT($E$2:$E$554, "#,##0.00") &amp; ")", SMALL(IF($A$2:$A$554=$G53, ROW($D$2:$D$554)-ROW($D$2)+1), COLUMN(C53))), "")</f>
        <v/>
      </c>
    </row>
    <row r="54" spans="1:10" x14ac:dyDescent="0.35">
      <c r="A54" s="6" t="s">
        <v>2047</v>
      </c>
      <c r="B54" s="6" t="s">
        <v>609</v>
      </c>
      <c r="C54" s="6" t="s">
        <v>97</v>
      </c>
      <c r="D54" s="6" t="s">
        <v>98</v>
      </c>
      <c r="E54" s="11">
        <v>1499</v>
      </c>
      <c r="G54" s="6" t="s">
        <v>2050</v>
      </c>
      <c r="H54" s="6" t="str" cm="1">
        <f t="array" ref="H54">IFERROR(INDEX($D$2:$D$554 &amp; " ($" &amp; TEXT($E$2:$E$554, "#,##0.00") &amp; ")", SMALL(IF($A$2:$A$554=$G54, ROW($D$2:$D$554)-ROW($D$2)+1), COLUMN(A54))), "")</f>
        <v>CARWARS PREMIUM SALES ($1,242.53)</v>
      </c>
      <c r="I54" s="6" t="str" cm="1">
        <f t="array" ref="I54">IFERROR(INDEX($D$2:$D$554 &amp; " ($" &amp; TEXT($E$2:$E$554, "#,##0.00") &amp; ")", SMALL(IF($A$2:$A$554=$G54, ROW($D$2:$D$554)-ROW($D$2)+1), COLUMN(B54))), "")</f>
        <v/>
      </c>
      <c r="J54" s="6" t="str" cm="1">
        <f t="array" ref="J54">IFERROR(INDEX($D$2:$D$554 &amp; " ($" &amp; TEXT($E$2:$E$554, "#,##0.00") &amp; ")", SMALL(IF($A$2:$A$554=$G54, ROW($D$2:$D$554)-ROW($D$2)+1), COLUMN(C54))), "")</f>
        <v/>
      </c>
    </row>
    <row r="55" spans="1:10" x14ac:dyDescent="0.35">
      <c r="A55" s="6" t="s">
        <v>2048</v>
      </c>
      <c r="B55" s="6" t="s">
        <v>940</v>
      </c>
      <c r="C55" s="6" t="s">
        <v>35</v>
      </c>
      <c r="D55" s="6" t="s">
        <v>36</v>
      </c>
      <c r="E55" s="11">
        <v>1107.33</v>
      </c>
      <c r="G55" s="6" t="s">
        <v>2051</v>
      </c>
      <c r="H55" s="6" t="str" cm="1">
        <f t="array" ref="H55">IFERROR(INDEX($D$2:$D$554 &amp; " ($" &amp; TEXT($E$2:$E$554, "#,##0.00") &amp; ")", SMALL(IF($A$2:$A$554=$G55, ROW($D$2:$D$554)-ROW($D$2)+1), COLUMN(A55))), "")</f>
        <v>CARWARS STARTER 7500 ($335.33)</v>
      </c>
      <c r="I55" s="6" t="str" cm="1">
        <f t="array" ref="I55">IFERROR(INDEX($D$2:$D$554 &amp; " ($" &amp; TEXT($E$2:$E$554, "#,##0.00") &amp; ")", SMALL(IF($A$2:$A$554=$G55, ROW($D$2:$D$554)-ROW($D$2)+1), COLUMN(B55))), "")</f>
        <v/>
      </c>
      <c r="J55" s="6" t="str" cm="1">
        <f t="array" ref="J55">IFERROR(INDEX($D$2:$D$554 &amp; " ($" &amp; TEXT($E$2:$E$554, "#,##0.00") &amp; ")", SMALL(IF($A$2:$A$554=$G55, ROW($D$2:$D$554)-ROW($D$2)+1), COLUMN(C55))), "")</f>
        <v/>
      </c>
    </row>
    <row r="56" spans="1:10" x14ac:dyDescent="0.35">
      <c r="A56" s="6" t="s">
        <v>2048</v>
      </c>
      <c r="B56" s="6" t="s">
        <v>940</v>
      </c>
      <c r="C56" s="6" t="s">
        <v>2052</v>
      </c>
      <c r="D56" s="6" t="s">
        <v>2053</v>
      </c>
      <c r="E56" s="11">
        <v>1199</v>
      </c>
      <c r="G56" s="6" t="s">
        <v>2054</v>
      </c>
      <c r="H56" s="6" t="str" cm="1">
        <f t="array" ref="H56">IFERROR(INDEX($D$2:$D$554 &amp; " ($" &amp; TEXT($E$2:$E$554, "#,##0.00") &amp; ")", SMALL(IF($A$2:$A$554=$G56, ROW($D$2:$D$554)-ROW($D$2)+1), COLUMN(A56))), "")</f>
        <v>CARWARS STARTER 3500 ($200.93)</v>
      </c>
      <c r="I56" s="6" t="str" cm="1">
        <f t="array" ref="I56">IFERROR(INDEX($D$2:$D$554 &amp; " ($" &amp; TEXT($E$2:$E$554, "#,##0.00") &amp; ")", SMALL(IF($A$2:$A$554=$G56, ROW($D$2:$D$554)-ROW($D$2)+1), COLUMN(B56))), "")</f>
        <v/>
      </c>
      <c r="J56" s="6" t="str" cm="1">
        <f t="array" ref="J56">IFERROR(INDEX($D$2:$D$554 &amp; " ($" &amp; TEXT($E$2:$E$554, "#,##0.00") &amp; ")", SMALL(IF($A$2:$A$554=$G56, ROW($D$2:$D$554)-ROW($D$2)+1), COLUMN(C56))), "")</f>
        <v/>
      </c>
    </row>
    <row r="57" spans="1:10" x14ac:dyDescent="0.35">
      <c r="A57" s="6" t="s">
        <v>1363</v>
      </c>
      <c r="B57" s="6" t="s">
        <v>1364</v>
      </c>
      <c r="C57" s="6" t="s">
        <v>1329</v>
      </c>
      <c r="D57" s="6" t="s">
        <v>1330</v>
      </c>
      <c r="E57" s="11">
        <v>122.13</v>
      </c>
      <c r="G57" s="6" t="s">
        <v>2055</v>
      </c>
      <c r="H57" s="6" t="str" cm="1">
        <f t="array" ref="H57">IFERROR(INDEX($D$2:$D$554 &amp; " ($" &amp; TEXT($E$2:$E$554, "#,##0.00") &amp; ")", SMALL(IF($A$2:$A$554=$G57, ROW($D$2:$D$554)-ROW($D$2)+1), COLUMN(A57))), "")</f>
        <v>CARWARS ELITE SMALL ($1,199.00)</v>
      </c>
      <c r="I57" s="6" t="str" cm="1">
        <f t="array" ref="I57">IFERROR(INDEX($D$2:$D$554 &amp; " ($" &amp; TEXT($E$2:$E$554, "#,##0.00") &amp; ")", SMALL(IF($A$2:$A$554=$G57, ROW($D$2:$D$554)-ROW($D$2)+1), COLUMN(B57))), "")</f>
        <v>CARWARS ELITE SMALL SERVICE ($399.00)</v>
      </c>
      <c r="J57" s="6" t="str" cm="1">
        <f t="array" ref="J57">IFERROR(INDEX($D$2:$D$554 &amp; " ($" &amp; TEXT($E$2:$E$554, "#,##0.00") &amp; ")", SMALL(IF($A$2:$A$554=$G57, ROW($D$2:$D$554)-ROW($D$2)+1), COLUMN(C57))), "")</f>
        <v>CARWARS CARRIER REGISTRATION ($10.00)</v>
      </c>
    </row>
    <row r="58" spans="1:10" x14ac:dyDescent="0.35">
      <c r="A58" s="6" t="s">
        <v>1365</v>
      </c>
      <c r="B58" s="6" t="s">
        <v>1366</v>
      </c>
      <c r="C58" s="6" t="s">
        <v>35</v>
      </c>
      <c r="D58" s="6" t="s">
        <v>36</v>
      </c>
      <c r="E58" s="11">
        <v>371.36</v>
      </c>
      <c r="G58" s="6" t="s">
        <v>2056</v>
      </c>
      <c r="H58" s="6" t="str" cm="1">
        <f t="array" ref="H58">IFERROR(INDEX($D$2:$D$554 &amp; " ($" &amp; TEXT($E$2:$E$554, "#,##0.00") &amp; ")", SMALL(IF($A$2:$A$554=$G58, ROW($D$2:$D$554)-ROW($D$2)+1), COLUMN(A58))), "")</f>
        <v>CARWARS ELITE SMALL ($1,199.00)</v>
      </c>
      <c r="I58" s="6" t="str" cm="1">
        <f t="array" ref="I58">IFERROR(INDEX($D$2:$D$554 &amp; " ($" &amp; TEXT($E$2:$E$554, "#,##0.00") &amp; ")", SMALL(IF($A$2:$A$554=$G58, ROW($D$2:$D$554)-ROW($D$2)+1), COLUMN(B58))), "")</f>
        <v>CARWARS ELITE SMALL SERVICE ($399.00)</v>
      </c>
      <c r="J58" s="6" t="str" cm="1">
        <f t="array" ref="J58">IFERROR(INDEX($D$2:$D$554 &amp; " ($" &amp; TEXT($E$2:$E$554, "#,##0.00") &amp; ")", SMALL(IF($A$2:$A$554=$G58, ROW($D$2:$D$554)-ROW($D$2)+1), COLUMN(C58))), "")</f>
        <v>CARWARS CARRIER REGISTRATION ($10.00)</v>
      </c>
    </row>
    <row r="59" spans="1:10" x14ac:dyDescent="0.35">
      <c r="A59" s="6" t="s">
        <v>1367</v>
      </c>
      <c r="B59" s="6" t="s">
        <v>1368</v>
      </c>
      <c r="C59" s="6" t="s">
        <v>1369</v>
      </c>
      <c r="D59" s="6" t="s">
        <v>1370</v>
      </c>
      <c r="E59" s="11">
        <v>370.2</v>
      </c>
      <c r="G59" s="6" t="s">
        <v>2057</v>
      </c>
      <c r="H59" s="6" t="str" cm="1">
        <f t="array" ref="H59">IFERROR(INDEX($D$2:$D$554 &amp; " ($" &amp; TEXT($E$2:$E$554, "#,##0.00") &amp; ")", SMALL(IF($A$2:$A$554=$G59, ROW($D$2:$D$554)-ROW($D$2)+1), COLUMN(A59))), "")</f>
        <v>CARWARS STARTER 7500 ($499.00)</v>
      </c>
      <c r="I59" s="6" t="str" cm="1">
        <f t="array" ref="I59">IFERROR(INDEX($D$2:$D$554 &amp; " ($" &amp; TEXT($E$2:$E$554, "#,##0.00") &amp; ")", SMALL(IF($A$2:$A$554=$G59, ROW($D$2:$D$554)-ROW($D$2)+1), COLUMN(B59))), "")</f>
        <v/>
      </c>
      <c r="J59" s="6" t="str" cm="1">
        <f t="array" ref="J59">IFERROR(INDEX($D$2:$D$554 &amp; " ($" &amp; TEXT($E$2:$E$554, "#,##0.00") &amp; ")", SMALL(IF($A$2:$A$554=$G59, ROW($D$2:$D$554)-ROW($D$2)+1), COLUMN(C59))), "")</f>
        <v/>
      </c>
    </row>
    <row r="60" spans="1:10" x14ac:dyDescent="0.35">
      <c r="A60" s="6" t="s">
        <v>1371</v>
      </c>
      <c r="B60" s="6" t="s">
        <v>1372</v>
      </c>
      <c r="C60" s="6" t="s">
        <v>1329</v>
      </c>
      <c r="D60" s="6" t="s">
        <v>1330</v>
      </c>
      <c r="E60" s="11">
        <v>103</v>
      </c>
      <c r="G60" s="6" t="s">
        <v>2023</v>
      </c>
      <c r="H60" s="6" t="str" cm="1">
        <f t="array" ref="H60">IFERROR(INDEX($D$2:$D$554 &amp; " ($" &amp; TEXT($E$2:$E$554, "#,##0.00") &amp; ")", SMALL(IF($A$2:$A$554=$G60, ROW($D$2:$D$554)-ROW($D$2)+1), COLUMN(A60))), "")</f>
        <v>CARWARS PREMIUM SALES ($1,242.53)</v>
      </c>
      <c r="I60" s="6" t="str" cm="1">
        <f t="array" ref="I60">IFERROR(INDEX($D$2:$D$554 &amp; " ($" &amp; TEXT($E$2:$E$554, "#,##0.00") &amp; ")", SMALL(IF($A$2:$A$554=$G60, ROW($D$2:$D$554)-ROW($D$2)+1), COLUMN(B60))), "")</f>
        <v/>
      </c>
      <c r="J60" s="6" t="str" cm="1">
        <f t="array" ref="J60">IFERROR(INDEX($D$2:$D$554 &amp; " ($" &amp; TEXT($E$2:$E$554, "#,##0.00") &amp; ")", SMALL(IF($A$2:$A$554=$G60, ROW($D$2:$D$554)-ROW($D$2)+1), COLUMN(C60))), "")</f>
        <v/>
      </c>
    </row>
    <row r="61" spans="1:10" x14ac:dyDescent="0.35">
      <c r="A61" s="6" t="s">
        <v>2049</v>
      </c>
      <c r="B61" s="6" t="s">
        <v>135</v>
      </c>
      <c r="C61" s="6" t="s">
        <v>35</v>
      </c>
      <c r="D61" s="6" t="s">
        <v>36</v>
      </c>
      <c r="E61" s="11">
        <v>199</v>
      </c>
      <c r="G61" s="6" t="s">
        <v>1379</v>
      </c>
      <c r="H61" s="6" t="str" cm="1">
        <f t="array" ref="H61">IFERROR(INDEX($D$2:$D$554 &amp; " ($" &amp; TEXT($E$2:$E$554, "#,##0.00") &amp; ")", SMALL(IF($A$2:$A$554=$G61, ROW($D$2:$D$554)-ROW($D$2)+1), COLUMN(A61))), "")</f>
        <v>EL1OUTCALLTRACK (GM IMR) ($1,420.02)</v>
      </c>
      <c r="I61" s="6" t="str" cm="1">
        <f t="array" ref="I61">IFERROR(INDEX($D$2:$D$554 &amp; " ($" &amp; TEXT($E$2:$E$554, "#,##0.00") &amp; ")", SMALL(IF($A$2:$A$554=$G61, ROW($D$2:$D$554)-ROW($D$2)+1), COLUMN(B61))), "")</f>
        <v/>
      </c>
      <c r="J61" s="6" t="str" cm="1">
        <f t="array" ref="J61">IFERROR(INDEX($D$2:$D$554 &amp; " ($" &amp; TEXT($E$2:$E$554, "#,##0.00") &amp; ")", SMALL(IF($A$2:$A$554=$G61, ROW($D$2:$D$554)-ROW($D$2)+1), COLUMN(C61))), "")</f>
        <v/>
      </c>
    </row>
    <row r="62" spans="1:10" x14ac:dyDescent="0.35">
      <c r="A62" s="6" t="s">
        <v>2049</v>
      </c>
      <c r="B62" s="6" t="s">
        <v>135</v>
      </c>
      <c r="C62" s="6" t="s">
        <v>408</v>
      </c>
      <c r="D62" s="6" t="s">
        <v>409</v>
      </c>
      <c r="E62" s="11">
        <v>10</v>
      </c>
      <c r="G62" s="6" t="s">
        <v>1381</v>
      </c>
      <c r="H62" s="6" t="str" cm="1">
        <f t="array" ref="H62">IFERROR(INDEX($D$2:$D$554 &amp; " ($" &amp; TEXT($E$2:$E$554, "#,##0.00") &amp; ")", SMALL(IF($A$2:$A$554=$G62, ROW($D$2:$D$554)-ROW($D$2)+1), COLUMN(A62))), "")</f>
        <v>CRM TELEPHONY TRACKING ($0.00)</v>
      </c>
      <c r="I62" s="6" t="str" cm="1">
        <f t="array" ref="I62">IFERROR(INDEX($D$2:$D$554 &amp; " ($" &amp; TEXT($E$2:$E$554, "#,##0.00") &amp; ")", SMALL(IF($A$2:$A$554=$G62, ROW($D$2:$D$554)-ROW($D$2)+1), COLUMN(B62))), "")</f>
        <v/>
      </c>
      <c r="J62" s="6" t="str" cm="1">
        <f t="array" ref="J62">IFERROR(INDEX($D$2:$D$554 &amp; " ($" &amp; TEXT($E$2:$E$554, "#,##0.00") &amp; ")", SMALL(IF($A$2:$A$554=$G62, ROW($D$2:$D$554)-ROW($D$2)+1), COLUMN(C62))), "")</f>
        <v/>
      </c>
    </row>
    <row r="63" spans="1:10" x14ac:dyDescent="0.35">
      <c r="A63" s="6" t="s">
        <v>1373</v>
      </c>
      <c r="B63" s="6" t="s">
        <v>1374</v>
      </c>
      <c r="C63" s="6" t="s">
        <v>1329</v>
      </c>
      <c r="D63" s="6" t="s">
        <v>1330</v>
      </c>
      <c r="E63" s="11">
        <v>0</v>
      </c>
      <c r="G63" s="6" t="s">
        <v>1383</v>
      </c>
      <c r="H63" s="6" t="str" cm="1">
        <f t="array" ref="H63">IFERROR(INDEX($D$2:$D$554 &amp; " ($" &amp; TEXT($E$2:$E$554, "#,##0.00") &amp; ")", SMALL(IF($A$2:$A$554=$G63, ROW($D$2:$D$554)-ROW($D$2)+1), COLUMN(A63))), "")</f>
        <v>CRM TELEPHONY TRACKING ($0.00)</v>
      </c>
      <c r="I63" s="6" t="str" cm="1">
        <f t="array" ref="I63">IFERROR(INDEX($D$2:$D$554 &amp; " ($" &amp; TEXT($E$2:$E$554, "#,##0.00") &amp; ")", SMALL(IF($A$2:$A$554=$G63, ROW($D$2:$D$554)-ROW($D$2)+1), COLUMN(B63))), "")</f>
        <v/>
      </c>
      <c r="J63" s="6" t="str" cm="1">
        <f t="array" ref="J63">IFERROR(INDEX($D$2:$D$554 &amp; " ($" &amp; TEXT($E$2:$E$554, "#,##0.00") &amp; ")", SMALL(IF($A$2:$A$554=$G63, ROW($D$2:$D$554)-ROW($D$2)+1), COLUMN(C63))), "")</f>
        <v/>
      </c>
    </row>
    <row r="64" spans="1:10" x14ac:dyDescent="0.35">
      <c r="A64" s="6" t="s">
        <v>1375</v>
      </c>
      <c r="B64" s="6" t="s">
        <v>1376</v>
      </c>
      <c r="C64" s="6" t="s">
        <v>1329</v>
      </c>
      <c r="D64" s="6" t="s">
        <v>1330</v>
      </c>
      <c r="E64" s="11">
        <v>0</v>
      </c>
      <c r="G64" s="6" t="s">
        <v>2058</v>
      </c>
      <c r="H64" s="6" t="str" cm="1">
        <f t="array" ref="H64">IFERROR(INDEX($D$2:$D$554 &amp; " ($" &amp; TEXT($E$2:$E$554, "#,##0.00") &amp; ")", SMALL(IF($A$2:$A$554=$G64, ROW($D$2:$D$554)-ROW($D$2)+1), COLUMN(A64))), "")</f>
        <v>CARWARS ADVANCED SALES ($745.00)</v>
      </c>
      <c r="I64" s="6" t="str" cm="1">
        <f t="array" ref="I64">IFERROR(INDEX($D$2:$D$554 &amp; " ($" &amp; TEXT($E$2:$E$554, "#,##0.00") &amp; ")", SMALL(IF($A$2:$A$554=$G64, ROW($D$2:$D$554)-ROW($D$2)+1), COLUMN(B64))), "")</f>
        <v>CARWARS TEXTING (STARTER/ADVANCED) ($249.00)</v>
      </c>
      <c r="J64" s="6" t="str" cm="1">
        <f t="array" ref="J64">IFERROR(INDEX($D$2:$D$554 &amp; " ($" &amp; TEXT($E$2:$E$554, "#,##0.00") &amp; ")", SMALL(IF($A$2:$A$554=$G64, ROW($D$2:$D$554)-ROW($D$2)+1), COLUMN(C64))), "")</f>
        <v>CARWARS INDEFINITE CALL RECORDINGS ($10.00)</v>
      </c>
    </row>
    <row r="65" spans="1:10" x14ac:dyDescent="0.35">
      <c r="A65" s="6" t="s">
        <v>1377</v>
      </c>
      <c r="B65" s="6" t="s">
        <v>1378</v>
      </c>
      <c r="C65" s="6" t="s">
        <v>1329</v>
      </c>
      <c r="D65" s="6" t="s">
        <v>1330</v>
      </c>
      <c r="E65" s="11">
        <v>0</v>
      </c>
      <c r="G65" s="6" t="s">
        <v>2059</v>
      </c>
      <c r="H65" s="6" t="str" cm="1">
        <f t="array" ref="H65">IFERROR(INDEX($D$2:$D$554 &amp; " ($" &amp; TEXT($E$2:$E$554, "#,##0.00") &amp; ")", SMALL(IF($A$2:$A$554=$G65, ROW($D$2:$D$554)-ROW($D$2)+1), COLUMN(A65))), "")</f>
        <v>CARWARS INDEFINITE CALL RECORDINGS ($20.00)</v>
      </c>
      <c r="I65" s="6" t="str" cm="1">
        <f t="array" ref="I65">IFERROR(INDEX($D$2:$D$554 &amp; " ($" &amp; TEXT($E$2:$E$554, "#,##0.00") &amp; ")", SMALL(IF($A$2:$A$554=$G65, ROW($D$2:$D$554)-ROW($D$2)+1), COLUMN(B65))), "")</f>
        <v/>
      </c>
      <c r="J65" s="6" t="str" cm="1">
        <f t="array" ref="J65">IFERROR(INDEX($D$2:$D$554 &amp; " ($" &amp; TEXT($E$2:$E$554, "#,##0.00") &amp; ")", SMALL(IF($A$2:$A$554=$G65, ROW($D$2:$D$554)-ROW($D$2)+1), COLUMN(C65))), "")</f>
        <v/>
      </c>
    </row>
    <row r="66" spans="1:10" x14ac:dyDescent="0.35">
      <c r="A66" s="6" t="s">
        <v>2050</v>
      </c>
      <c r="B66" s="6" t="s">
        <v>228</v>
      </c>
      <c r="C66" s="6" t="s">
        <v>42</v>
      </c>
      <c r="D66" s="6" t="s">
        <v>43</v>
      </c>
      <c r="E66" s="11">
        <v>1242.53</v>
      </c>
      <c r="G66" s="6" t="s">
        <v>2060</v>
      </c>
      <c r="H66" s="6" t="str" cm="1">
        <f t="array" ref="H66">IFERROR(INDEX($D$2:$D$554 &amp; " ($" &amp; TEXT($E$2:$E$554, "#,##0.00") &amp; ")", SMALL(IF($A$2:$A$554=$G66, ROW($D$2:$D$554)-ROW($D$2)+1), COLUMN(A66))), "")</f>
        <v>CARWARS ELITE 12,500 PACKAGE ($1,499.00)</v>
      </c>
      <c r="I66" s="6" t="str" cm="1">
        <f t="array" ref="I66">IFERROR(INDEX($D$2:$D$554 &amp; " ($" &amp; TEXT($E$2:$E$554, "#,##0.00") &amp; ")", SMALL(IF($A$2:$A$554=$G66, ROW($D$2:$D$554)-ROW($D$2)+1), COLUMN(B66))), "")</f>
        <v/>
      </c>
      <c r="J66" s="6" t="str" cm="1">
        <f t="array" ref="J66">IFERROR(INDEX($D$2:$D$554 &amp; " ($" &amp; TEXT($E$2:$E$554, "#,##0.00") &amp; ")", SMALL(IF($A$2:$A$554=$G66, ROW($D$2:$D$554)-ROW($D$2)+1), COLUMN(C66))), "")</f>
        <v/>
      </c>
    </row>
    <row r="67" spans="1:10" x14ac:dyDescent="0.35">
      <c r="A67" s="6" t="s">
        <v>2051</v>
      </c>
      <c r="B67" s="6" t="s">
        <v>219</v>
      </c>
      <c r="C67" s="6" t="s">
        <v>74</v>
      </c>
      <c r="D67" s="6" t="s">
        <v>75</v>
      </c>
      <c r="E67" s="11">
        <v>335.33</v>
      </c>
      <c r="G67" s="6" t="s">
        <v>2061</v>
      </c>
      <c r="H67" s="6" t="str" cm="1">
        <f t="array" ref="H67">IFERROR(INDEX($D$2:$D$554 &amp; " ($" &amp; TEXT($E$2:$E$554, "#,##0.00") &amp; ")", SMALL(IF($A$2:$A$554=$G67, ROW($D$2:$D$554)-ROW($D$2)+1), COLUMN(A67))), "")</f>
        <v>CARWARS PREMIUM SALES ($2,295.36)</v>
      </c>
      <c r="I67" s="6" t="str" cm="1">
        <f t="array" ref="I67">IFERROR(INDEX($D$2:$D$554 &amp; " ($" &amp; TEXT($E$2:$E$554, "#,##0.00") &amp; ")", SMALL(IF($A$2:$A$554=$G67, ROW($D$2:$D$554)-ROW($D$2)+1), COLUMN(B67))), "")</f>
        <v/>
      </c>
      <c r="J67" s="6" t="str" cm="1">
        <f t="array" ref="J67">IFERROR(INDEX($D$2:$D$554 &amp; " ($" &amp; TEXT($E$2:$E$554, "#,##0.00") &amp; ")", SMALL(IF($A$2:$A$554=$G67, ROW($D$2:$D$554)-ROW($D$2)+1), COLUMN(C67))), "")</f>
        <v/>
      </c>
    </row>
    <row r="68" spans="1:10" x14ac:dyDescent="0.35">
      <c r="A68" s="6" t="s">
        <v>2054</v>
      </c>
      <c r="B68" s="6" t="s">
        <v>209</v>
      </c>
      <c r="C68" s="6" t="s">
        <v>48</v>
      </c>
      <c r="D68" s="6" t="s">
        <v>49</v>
      </c>
      <c r="E68" s="11">
        <v>200.93</v>
      </c>
      <c r="G68" s="6" t="s">
        <v>2062</v>
      </c>
      <c r="H68" s="6" t="str" cm="1">
        <f t="array" ref="H68">IFERROR(INDEX($D$2:$D$554 &amp; " ($" &amp; TEXT($E$2:$E$554, "#,##0.00") &amp; ")", SMALL(IF($A$2:$A$554=$G68, ROW($D$2:$D$554)-ROW($D$2)+1), COLUMN(A68))), "")</f>
        <v>CRM OUTBOUND TELEPHONY TRACKING (NEW AND CONVERSION) ($1,024.00)</v>
      </c>
      <c r="I68" s="6" t="str" cm="1">
        <f t="array" ref="I68">IFERROR(INDEX($D$2:$D$554 &amp; " ($" &amp; TEXT($E$2:$E$554, "#,##0.00") &amp; ")", SMALL(IF($A$2:$A$554=$G68, ROW($D$2:$D$554)-ROW($D$2)+1), COLUMN(B68))), "")</f>
        <v>CARWARS INDEFINITE CALL RECORDINGS ($10.00)</v>
      </c>
      <c r="J68" s="6" t="str" cm="1">
        <f t="array" ref="J68">IFERROR(INDEX($D$2:$D$554 &amp; " ($" &amp; TEXT($E$2:$E$554, "#,##0.00") &amp; ")", SMALL(IF($A$2:$A$554=$G68, ROW($D$2:$D$554)-ROW($D$2)+1), COLUMN(C68))), "")</f>
        <v/>
      </c>
    </row>
    <row r="69" spans="1:10" x14ac:dyDescent="0.35">
      <c r="A69" s="6" t="s">
        <v>2055</v>
      </c>
      <c r="B69" s="6" t="s">
        <v>822</v>
      </c>
      <c r="C69" s="6" t="s">
        <v>2052</v>
      </c>
      <c r="D69" s="6" t="s">
        <v>2053</v>
      </c>
      <c r="E69" s="11">
        <v>1199</v>
      </c>
      <c r="G69" s="6" t="s">
        <v>2063</v>
      </c>
      <c r="H69" s="6" t="str" cm="1">
        <f t="array" ref="H69">IFERROR(INDEX($D$2:$D$554 &amp; " ($" &amp; TEXT($E$2:$E$554, "#,##0.00") &amp; ")", SMALL(IF($A$2:$A$554=$G69, ROW($D$2:$D$554)-ROW($D$2)+1), COLUMN(A69))), "")</f>
        <v>CARWARS ELITE SMALL ($1,199.00)</v>
      </c>
      <c r="I69" s="6" t="str" cm="1">
        <f t="array" ref="I69">IFERROR(INDEX($D$2:$D$554 &amp; " ($" &amp; TEXT($E$2:$E$554, "#,##0.00") &amp; ")", SMALL(IF($A$2:$A$554=$G69, ROW($D$2:$D$554)-ROW($D$2)+1), COLUMN(B69))), "")</f>
        <v/>
      </c>
      <c r="J69" s="6" t="str" cm="1">
        <f t="array" ref="J69">IFERROR(INDEX($D$2:$D$554 &amp; " ($" &amp; TEXT($E$2:$E$554, "#,##0.00") &amp; ")", SMALL(IF($A$2:$A$554=$G69, ROW($D$2:$D$554)-ROW($D$2)+1), COLUMN(C69))), "")</f>
        <v/>
      </c>
    </row>
    <row r="70" spans="1:10" x14ac:dyDescent="0.35">
      <c r="A70" s="6" t="s">
        <v>2055</v>
      </c>
      <c r="B70" s="6" t="s">
        <v>822</v>
      </c>
      <c r="C70" s="6" t="s">
        <v>2064</v>
      </c>
      <c r="D70" s="6" t="s">
        <v>2065</v>
      </c>
      <c r="E70" s="11">
        <v>399</v>
      </c>
      <c r="G70" s="6" t="s">
        <v>2066</v>
      </c>
      <c r="H70" s="6" t="str" cm="1">
        <f t="array" ref="H70">IFERROR(INDEX($D$2:$D$554 &amp; " ($" &amp; TEXT($E$2:$E$554, "#,##0.00") &amp; ")", SMALL(IF($A$2:$A$554=$G70, ROW($D$2:$D$554)-ROW($D$2)+1), COLUMN(A70))), "")</f>
        <v>CARWARS ELITE SMALL ($1,199.00)</v>
      </c>
      <c r="I70" s="6" t="str" cm="1">
        <f t="array" ref="I70">IFERROR(INDEX($D$2:$D$554 &amp; " ($" &amp; TEXT($E$2:$E$554, "#,##0.00") &amp; ")", SMALL(IF($A$2:$A$554=$G70, ROW($D$2:$D$554)-ROW($D$2)+1), COLUMN(B70))), "")</f>
        <v/>
      </c>
      <c r="J70" s="6" t="str" cm="1">
        <f t="array" ref="J70">IFERROR(INDEX($D$2:$D$554 &amp; " ($" &amp; TEXT($E$2:$E$554, "#,##0.00") &amp; ")", SMALL(IF($A$2:$A$554=$G70, ROW($D$2:$D$554)-ROW($D$2)+1), COLUMN(C70))), "")</f>
        <v/>
      </c>
    </row>
    <row r="71" spans="1:10" x14ac:dyDescent="0.35">
      <c r="A71" s="6" t="s">
        <v>2055</v>
      </c>
      <c r="B71" s="6" t="s">
        <v>822</v>
      </c>
      <c r="C71" s="6" t="s">
        <v>1403</v>
      </c>
      <c r="D71" s="6" t="s">
        <v>1404</v>
      </c>
      <c r="E71" s="11">
        <v>10</v>
      </c>
      <c r="G71" s="6" t="s">
        <v>2067</v>
      </c>
      <c r="H71" s="6" t="str" cm="1">
        <f t="array" ref="H71">IFERROR(INDEX($D$2:$D$554 &amp; " ($" &amp; TEXT($E$2:$E$554, "#,##0.00") &amp; ")", SMALL(IF($A$2:$A$554=$G71, ROW($D$2:$D$554)-ROW($D$2)+1), COLUMN(A71))), "")</f>
        <v>CARWARS ELITE SMALL ($1,199.00)</v>
      </c>
      <c r="I71" s="6" t="str" cm="1">
        <f t="array" ref="I71">IFERROR(INDEX($D$2:$D$554 &amp; " ($" &amp; TEXT($E$2:$E$554, "#,##0.00") &amp; ")", SMALL(IF($A$2:$A$554=$G71, ROW($D$2:$D$554)-ROW($D$2)+1), COLUMN(B71))), "")</f>
        <v/>
      </c>
      <c r="J71" s="6" t="str" cm="1">
        <f t="array" ref="J71">IFERROR(INDEX($D$2:$D$554 &amp; " ($" &amp; TEXT($E$2:$E$554, "#,##0.00") &amp; ")", SMALL(IF($A$2:$A$554=$G71, ROW($D$2:$D$554)-ROW($D$2)+1), COLUMN(C71))), "")</f>
        <v/>
      </c>
    </row>
    <row r="72" spans="1:10" x14ac:dyDescent="0.35">
      <c r="A72" s="6" t="s">
        <v>2056</v>
      </c>
      <c r="B72" s="6" t="s">
        <v>826</v>
      </c>
      <c r="C72" s="6" t="s">
        <v>2052</v>
      </c>
      <c r="D72" s="6" t="s">
        <v>2053</v>
      </c>
      <c r="E72" s="11">
        <v>1199</v>
      </c>
      <c r="G72" s="6" t="s">
        <v>1385</v>
      </c>
      <c r="H72" s="6" t="str" cm="1">
        <f t="array" ref="H72">IFERROR(INDEX($D$2:$D$554 &amp; " ($" &amp; TEXT($E$2:$E$554, "#,##0.00") &amp; ")", SMALL(IF($A$2:$A$554=$G72, ROW($D$2:$D$554)-ROW($D$2)+1), COLUMN(A72))), "")</f>
        <v>CRM TELEPHONY TRACKING ($111.29)</v>
      </c>
      <c r="I72" s="6" t="str" cm="1">
        <f t="array" ref="I72">IFERROR(INDEX($D$2:$D$554 &amp; " ($" &amp; TEXT($E$2:$E$554, "#,##0.00") &amp; ")", SMALL(IF($A$2:$A$554=$G72, ROW($D$2:$D$554)-ROW($D$2)+1), COLUMN(B72))), "")</f>
        <v/>
      </c>
      <c r="J72" s="6" t="str" cm="1">
        <f t="array" ref="J72">IFERROR(INDEX($D$2:$D$554 &amp; " ($" &amp; TEXT($E$2:$E$554, "#,##0.00") &amp; ")", SMALL(IF($A$2:$A$554=$G72, ROW($D$2:$D$554)-ROW($D$2)+1), COLUMN(C72))), "")</f>
        <v/>
      </c>
    </row>
    <row r="73" spans="1:10" x14ac:dyDescent="0.35">
      <c r="A73" s="6" t="s">
        <v>2056</v>
      </c>
      <c r="B73" s="6" t="s">
        <v>826</v>
      </c>
      <c r="C73" s="6" t="s">
        <v>2064</v>
      </c>
      <c r="D73" s="6" t="s">
        <v>2065</v>
      </c>
      <c r="E73" s="11">
        <v>399</v>
      </c>
      <c r="G73" s="6" t="s">
        <v>2068</v>
      </c>
      <c r="H73" s="6" t="str" cm="1">
        <f t="array" ref="H73">IFERROR(INDEX($D$2:$D$554 &amp; " ($" &amp; TEXT($E$2:$E$554, "#,##0.00") &amp; ")", SMALL(IF($A$2:$A$554=$G73, ROW($D$2:$D$554)-ROW($D$2)+1), COLUMN(A73))), "")</f>
        <v>CARWARS STARTER 7500 ($499.00)</v>
      </c>
      <c r="I73" s="6" t="str" cm="1">
        <f t="array" ref="I73">IFERROR(INDEX($D$2:$D$554 &amp; " ($" &amp; TEXT($E$2:$E$554, "#,##0.00") &amp; ")", SMALL(IF($A$2:$A$554=$G73, ROW($D$2:$D$554)-ROW($D$2)+1), COLUMN(B73))), "")</f>
        <v/>
      </c>
      <c r="J73" s="6" t="str" cm="1">
        <f t="array" ref="J73">IFERROR(INDEX($D$2:$D$554 &amp; " ($" &amp; TEXT($E$2:$E$554, "#,##0.00") &amp; ")", SMALL(IF($A$2:$A$554=$G73, ROW($D$2:$D$554)-ROW($D$2)+1), COLUMN(C73))), "")</f>
        <v/>
      </c>
    </row>
    <row r="74" spans="1:10" x14ac:dyDescent="0.35">
      <c r="A74" s="6" t="s">
        <v>2056</v>
      </c>
      <c r="B74" s="6" t="s">
        <v>826</v>
      </c>
      <c r="C74" s="6" t="s">
        <v>1403</v>
      </c>
      <c r="D74" s="6" t="s">
        <v>1404</v>
      </c>
      <c r="E74" s="11">
        <v>10</v>
      </c>
      <c r="G74" s="6" t="s">
        <v>2069</v>
      </c>
      <c r="H74" s="6" t="str" cm="1">
        <f t="array" ref="H74">IFERROR(INDEX($D$2:$D$554 &amp; " ($" &amp; TEXT($E$2:$E$554, "#,##0.00") &amp; ")", SMALL(IF($A$2:$A$554=$G74, ROW($D$2:$D$554)-ROW($D$2)+1), COLUMN(A74))), "")</f>
        <v>CARWARS STARTER 3500 ($299.00)</v>
      </c>
      <c r="I74" s="6" t="str" cm="1">
        <f t="array" ref="I74">IFERROR(INDEX($D$2:$D$554 &amp; " ($" &amp; TEXT($E$2:$E$554, "#,##0.00") &amp; ")", SMALL(IF($A$2:$A$554=$G74, ROW($D$2:$D$554)-ROW($D$2)+1), COLUMN(B74))), "")</f>
        <v/>
      </c>
      <c r="J74" s="6" t="str" cm="1">
        <f t="array" ref="J74">IFERROR(INDEX($D$2:$D$554 &amp; " ($" &amp; TEXT($E$2:$E$554, "#,##0.00") &amp; ")", SMALL(IF($A$2:$A$554=$G74, ROW($D$2:$D$554)-ROW($D$2)+1), COLUMN(C74))), "")</f>
        <v/>
      </c>
    </row>
    <row r="75" spans="1:10" x14ac:dyDescent="0.35">
      <c r="A75" s="6" t="s">
        <v>2057</v>
      </c>
      <c r="B75" s="6" t="s">
        <v>644</v>
      </c>
      <c r="C75" s="6" t="s">
        <v>74</v>
      </c>
      <c r="D75" s="6" t="s">
        <v>75</v>
      </c>
      <c r="E75" s="11">
        <v>499</v>
      </c>
      <c r="G75" s="6" t="s">
        <v>2070</v>
      </c>
      <c r="H75" s="6" t="str" cm="1">
        <f t="array" ref="H75">IFERROR(INDEX($D$2:$D$554 &amp; " ($" &amp; TEXT($E$2:$E$554, "#,##0.00") &amp; ")", SMALL(IF($A$2:$A$554=$G75, ROW($D$2:$D$554)-ROW($D$2)+1), COLUMN(A75))), "")</f>
        <v>CARWARS PREMIUM SALES ($1,849.00)</v>
      </c>
      <c r="I75" s="6" t="str" cm="1">
        <f t="array" ref="I75">IFERROR(INDEX($D$2:$D$554 &amp; " ($" &amp; TEXT($E$2:$E$554, "#,##0.00") &amp; ")", SMALL(IF($A$2:$A$554=$G75, ROW($D$2:$D$554)-ROW($D$2)+1), COLUMN(B75))), "")</f>
        <v>CARWARS INDEFINITE CALL RECORDINGS ($20.00)</v>
      </c>
      <c r="J75" s="6" t="str" cm="1">
        <f t="array" ref="J75">IFERROR(INDEX($D$2:$D$554 &amp; " ($" &amp; TEXT($E$2:$E$554, "#,##0.00") &amp; ")", SMALL(IF($A$2:$A$554=$G75, ROW($D$2:$D$554)-ROW($D$2)+1), COLUMN(C75))), "")</f>
        <v/>
      </c>
    </row>
    <row r="76" spans="1:10" x14ac:dyDescent="0.35">
      <c r="A76" s="6" t="s">
        <v>2023</v>
      </c>
      <c r="B76" s="6" t="s">
        <v>225</v>
      </c>
      <c r="C76" s="6" t="s">
        <v>42</v>
      </c>
      <c r="D76" s="6" t="s">
        <v>43</v>
      </c>
      <c r="E76" s="11">
        <v>1242.53</v>
      </c>
      <c r="G76" s="6" t="s">
        <v>2071</v>
      </c>
      <c r="H76" s="6" t="str" cm="1">
        <f t="array" ref="H76">IFERROR(INDEX($D$2:$D$554 &amp; " ($" &amp; TEXT($E$2:$E$554, "#,##0.00") &amp; ")", SMALL(IF($A$2:$A$554=$G76, ROW($D$2:$D$554)-ROW($D$2)+1), COLUMN(A76))), "")</f>
        <v>CARWARS STARTER 3500 ($200.93)</v>
      </c>
      <c r="I76" s="6" t="str" cm="1">
        <f t="array" ref="I76">IFERROR(INDEX($D$2:$D$554 &amp; " ($" &amp; TEXT($E$2:$E$554, "#,##0.00") &amp; ")", SMALL(IF($A$2:$A$554=$G76, ROW($D$2:$D$554)-ROW($D$2)+1), COLUMN(B76))), "")</f>
        <v/>
      </c>
      <c r="J76" s="6" t="str" cm="1">
        <f t="array" ref="J76">IFERROR(INDEX($D$2:$D$554 &amp; " ($" &amp; TEXT($E$2:$E$554, "#,##0.00") &amp; ")", SMALL(IF($A$2:$A$554=$G76, ROW($D$2:$D$554)-ROW($D$2)+1), COLUMN(C76))), "")</f>
        <v/>
      </c>
    </row>
    <row r="77" spans="1:10" x14ac:dyDescent="0.35">
      <c r="A77" s="6" t="s">
        <v>1379</v>
      </c>
      <c r="B77" s="6" t="s">
        <v>1380</v>
      </c>
      <c r="C77" s="6" t="s">
        <v>87</v>
      </c>
      <c r="D77" s="6" t="s">
        <v>88</v>
      </c>
      <c r="E77" s="11">
        <v>1420.02</v>
      </c>
      <c r="G77" s="6" t="s">
        <v>2072</v>
      </c>
      <c r="H77" s="6" t="str" cm="1">
        <f t="array" ref="H77">IFERROR(INDEX($D$2:$D$554 &amp; " ($" &amp; TEXT($E$2:$E$554, "#,##0.00") &amp; ")", SMALL(IF($A$2:$A$554=$G77, ROW($D$2:$D$554)-ROW($D$2)+1), COLUMN(A77))), "")</f>
        <v>CARWARS ADVANCED SERVICE ($999.00)</v>
      </c>
      <c r="I77" s="6" t="str" cm="1">
        <f t="array" ref="I77">IFERROR(INDEX($D$2:$D$554 &amp; " ($" &amp; TEXT($E$2:$E$554, "#,##0.00") &amp; ")", SMALL(IF($A$2:$A$554=$G77, ROW($D$2:$D$554)-ROW($D$2)+1), COLUMN(B77))), "")</f>
        <v>CARWARS ELITE 12,500 PACKAGE ($1,499.00)</v>
      </c>
      <c r="J77" s="6" t="str" cm="1">
        <f t="array" ref="J77">IFERROR(INDEX($D$2:$D$554 &amp; " ($" &amp; TEXT($E$2:$E$554, "#,##0.00") &amp; ")", SMALL(IF($A$2:$A$554=$G77, ROW($D$2:$D$554)-ROW($D$2)+1), COLUMN(C77))), "")</f>
        <v/>
      </c>
    </row>
    <row r="78" spans="1:10" x14ac:dyDescent="0.35">
      <c r="A78" s="6" t="s">
        <v>1381</v>
      </c>
      <c r="B78" s="6" t="s">
        <v>1382</v>
      </c>
      <c r="C78" s="6" t="s">
        <v>1329</v>
      </c>
      <c r="D78" s="6" t="s">
        <v>1330</v>
      </c>
      <c r="E78" s="11">
        <v>0</v>
      </c>
      <c r="G78" s="6" t="s">
        <v>2073</v>
      </c>
      <c r="H78" s="6" t="str" cm="1">
        <f t="array" ref="H78">IFERROR(INDEX($D$2:$D$554 &amp; " ($" &amp; TEXT($E$2:$E$554, "#,##0.00") &amp; ")", SMALL(IF($A$2:$A$554=$G78, ROW($D$2:$D$554)-ROW($D$2)+1), COLUMN(A78))), "")</f>
        <v>CARWARS STARTER 3500 ($319.00)</v>
      </c>
      <c r="I78" s="6" t="str" cm="1">
        <f t="array" ref="I78">IFERROR(INDEX($D$2:$D$554 &amp; " ($" &amp; TEXT($E$2:$E$554, "#,##0.00") &amp; ")", SMALL(IF($A$2:$A$554=$G78, ROW($D$2:$D$554)-ROW($D$2)+1), COLUMN(B78))), "")</f>
        <v/>
      </c>
      <c r="J78" s="6" t="str" cm="1">
        <f t="array" ref="J78">IFERROR(INDEX($D$2:$D$554 &amp; " ($" &amp; TEXT($E$2:$E$554, "#,##0.00") &amp; ")", SMALL(IF($A$2:$A$554=$G78, ROW($D$2:$D$554)-ROW($D$2)+1), COLUMN(C78))), "")</f>
        <v/>
      </c>
    </row>
    <row r="79" spans="1:10" x14ac:dyDescent="0.35">
      <c r="A79" s="6" t="s">
        <v>1383</v>
      </c>
      <c r="B79" s="6" t="s">
        <v>1384</v>
      </c>
      <c r="C79" s="6" t="s">
        <v>1329</v>
      </c>
      <c r="D79" s="6" t="s">
        <v>1330</v>
      </c>
      <c r="E79" s="11">
        <v>0</v>
      </c>
      <c r="G79" s="6" t="s">
        <v>2074</v>
      </c>
      <c r="H79" s="6" t="str" cm="1">
        <f t="array" ref="H79">IFERROR(INDEX($D$2:$D$554 &amp; " ($" &amp; TEXT($E$2:$E$554, "#,##0.00") &amp; ")", SMALL(IF($A$2:$A$554=$G79, ROW($D$2:$D$554)-ROW($D$2)+1), COLUMN(A79))), "")</f>
        <v>CARWARS ELITE 12,500 PACKAGE ($1,499.00)</v>
      </c>
      <c r="I79" s="6" t="str" cm="1">
        <f t="array" ref="I79">IFERROR(INDEX($D$2:$D$554 &amp; " ($" &amp; TEXT($E$2:$E$554, "#,##0.00") &amp; ")", SMALL(IF($A$2:$A$554=$G79, ROW($D$2:$D$554)-ROW($D$2)+1), COLUMN(B79))), "")</f>
        <v/>
      </c>
      <c r="J79" s="6" t="str" cm="1">
        <f t="array" ref="J79">IFERROR(INDEX($D$2:$D$554 &amp; " ($" &amp; TEXT($E$2:$E$554, "#,##0.00") &amp; ")", SMALL(IF($A$2:$A$554=$G79, ROW($D$2:$D$554)-ROW($D$2)+1), COLUMN(C79))), "")</f>
        <v/>
      </c>
    </row>
    <row r="80" spans="1:10" x14ac:dyDescent="0.35">
      <c r="A80" s="6" t="s">
        <v>2058</v>
      </c>
      <c r="B80" s="6" t="s">
        <v>903</v>
      </c>
      <c r="C80" s="6" t="s">
        <v>1870</v>
      </c>
      <c r="D80" s="6" t="s">
        <v>1871</v>
      </c>
      <c r="E80" s="11">
        <v>745</v>
      </c>
      <c r="G80" s="6" t="s">
        <v>2075</v>
      </c>
      <c r="H80" s="6" t="str" cm="1">
        <f t="array" ref="H80">IFERROR(INDEX($D$2:$D$554 &amp; " ($" &amp; TEXT($E$2:$E$554, "#,##0.00") &amp; ")", SMALL(IF($A$2:$A$554=$G80, ROW($D$2:$D$554)-ROW($D$2)+1), COLUMN(A80))), "")</f>
        <v>CARWARS ELITE 12,500 PACKAGE ($1,499.00)</v>
      </c>
      <c r="I80" s="6" t="str" cm="1">
        <f t="array" ref="I80">IFERROR(INDEX($D$2:$D$554 &amp; " ($" &amp; TEXT($E$2:$E$554, "#,##0.00") &amp; ")", SMALL(IF($A$2:$A$554=$G80, ROW($D$2:$D$554)-ROW($D$2)+1), COLUMN(B80))), "")</f>
        <v/>
      </c>
      <c r="J80" s="6" t="str" cm="1">
        <f t="array" ref="J80">IFERROR(INDEX($D$2:$D$554 &amp; " ($" &amp; TEXT($E$2:$E$554, "#,##0.00") &amp; ")", SMALL(IF($A$2:$A$554=$G80, ROW($D$2:$D$554)-ROW($D$2)+1), COLUMN(C80))), "")</f>
        <v/>
      </c>
    </row>
    <row r="81" spans="1:10" x14ac:dyDescent="0.35">
      <c r="A81" s="6" t="s">
        <v>2058</v>
      </c>
      <c r="B81" s="6" t="s">
        <v>903</v>
      </c>
      <c r="C81" s="6" t="s">
        <v>2076</v>
      </c>
      <c r="D81" s="6" t="s">
        <v>2077</v>
      </c>
      <c r="E81" s="11">
        <v>249</v>
      </c>
      <c r="G81" s="6" t="s">
        <v>2078</v>
      </c>
      <c r="H81" s="6" t="str" cm="1">
        <f t="array" ref="H81">IFERROR(INDEX($D$2:$D$554 &amp; " ($" &amp; TEXT($E$2:$E$554, "#,##0.00") &amp; ")", SMALL(IF($A$2:$A$554=$G81, ROW($D$2:$D$554)-ROW($D$2)+1), COLUMN(A81))), "")</f>
        <v>CRM OUTBOUND TELEPHONY TRACKING (NEW AND CONVERSION) ($338.20)</v>
      </c>
      <c r="I81" s="6" t="str" cm="1">
        <f t="array" ref="I81">IFERROR(INDEX($D$2:$D$554 &amp; " ($" &amp; TEXT($E$2:$E$554, "#,##0.00") &amp; ")", SMALL(IF($A$2:$A$554=$G81, ROW($D$2:$D$554)-ROW($D$2)+1), COLUMN(B81))), "")</f>
        <v/>
      </c>
      <c r="J81" s="6" t="str" cm="1">
        <f t="array" ref="J81">IFERROR(INDEX($D$2:$D$554 &amp; " ($" &amp; TEXT($E$2:$E$554, "#,##0.00") &amp; ")", SMALL(IF($A$2:$A$554=$G81, ROW($D$2:$D$554)-ROW($D$2)+1), COLUMN(C81))), "")</f>
        <v/>
      </c>
    </row>
    <row r="82" spans="1:10" x14ac:dyDescent="0.35">
      <c r="A82" s="6" t="s">
        <v>2058</v>
      </c>
      <c r="B82" s="6" t="s">
        <v>903</v>
      </c>
      <c r="C82" s="6" t="s">
        <v>408</v>
      </c>
      <c r="D82" s="6" t="s">
        <v>409</v>
      </c>
      <c r="E82" s="11">
        <v>10</v>
      </c>
      <c r="G82" s="6" t="s">
        <v>2079</v>
      </c>
      <c r="H82" s="6" t="str" cm="1">
        <f t="array" ref="H82">IFERROR(INDEX($D$2:$D$554 &amp; " ($" &amp; TEXT($E$2:$E$554, "#,##0.00") &amp; ")", SMALL(IF($A$2:$A$554=$G82, ROW($D$2:$D$554)-ROW($D$2)+1), COLUMN(A82))), "")</f>
        <v>CARWARS STARTER 7500 ($499.00)</v>
      </c>
      <c r="I82" s="6" t="str" cm="1">
        <f t="array" ref="I82">IFERROR(INDEX($D$2:$D$554 &amp; " ($" &amp; TEXT($E$2:$E$554, "#,##0.00") &amp; ")", SMALL(IF($A$2:$A$554=$G82, ROW($D$2:$D$554)-ROW($D$2)+1), COLUMN(B82))), "")</f>
        <v/>
      </c>
      <c r="J82" s="6" t="str" cm="1">
        <f t="array" ref="J82">IFERROR(INDEX($D$2:$D$554 &amp; " ($" &amp; TEXT($E$2:$E$554, "#,##0.00") &amp; ")", SMALL(IF($A$2:$A$554=$G82, ROW($D$2:$D$554)-ROW($D$2)+1), COLUMN(C82))), "")</f>
        <v/>
      </c>
    </row>
    <row r="83" spans="1:10" x14ac:dyDescent="0.35">
      <c r="A83" s="6" t="s">
        <v>2059</v>
      </c>
      <c r="B83" s="6" t="s">
        <v>412</v>
      </c>
      <c r="C83" s="6" t="s">
        <v>408</v>
      </c>
      <c r="D83" s="6" t="s">
        <v>409</v>
      </c>
      <c r="E83" s="11">
        <v>20</v>
      </c>
      <c r="G83" s="6" t="s">
        <v>2080</v>
      </c>
      <c r="H83" s="6" t="str" cm="1">
        <f t="array" ref="H83">IFERROR(INDEX($D$2:$D$554 &amp; " ($" &amp; TEXT($E$2:$E$554, "#,##0.00") &amp; ")", SMALL(IF($A$2:$A$554=$G83, ROW($D$2:$D$554)-ROW($D$2)+1), COLUMN(A83))), "")</f>
        <v>CARWARS STARTER 5000 ($599.00)</v>
      </c>
      <c r="I83" s="6" t="str" cm="1">
        <f t="array" ref="I83">IFERROR(INDEX($D$2:$D$554 &amp; " ($" &amp; TEXT($E$2:$E$554, "#,##0.00") &amp; ")", SMALL(IF($A$2:$A$554=$G83, ROW($D$2:$D$554)-ROW($D$2)+1), COLUMN(B83))), "")</f>
        <v/>
      </c>
      <c r="J83" s="6" t="str" cm="1">
        <f t="array" ref="J83">IFERROR(INDEX($D$2:$D$554 &amp; " ($" &amp; TEXT($E$2:$E$554, "#,##0.00") &amp; ")", SMALL(IF($A$2:$A$554=$G83, ROW($D$2:$D$554)-ROW($D$2)+1), COLUMN(C83))), "")</f>
        <v/>
      </c>
    </row>
    <row r="84" spans="1:10" x14ac:dyDescent="0.35">
      <c r="A84" s="6" t="s">
        <v>2060</v>
      </c>
      <c r="B84" s="6" t="s">
        <v>846</v>
      </c>
      <c r="C84" s="6" t="s">
        <v>97</v>
      </c>
      <c r="D84" s="6" t="s">
        <v>98</v>
      </c>
      <c r="E84" s="11">
        <v>1499</v>
      </c>
      <c r="G84" s="6" t="s">
        <v>1387</v>
      </c>
      <c r="H84" s="6" t="str" cm="1">
        <f t="array" ref="H84">IFERROR(INDEX($D$2:$D$554 &amp; " ($" &amp; TEXT($E$2:$E$554, "#,##0.00") &amp; ")", SMALL(IF($A$2:$A$554=$G84, ROW($D$2:$D$554)-ROW($D$2)+1), COLUMN(A84))), "")</f>
        <v>CRM OUTBOUND TELEPHONY TRACKING (NEW AND CONVERSION) ($299.00)</v>
      </c>
      <c r="I84" s="6" t="str" cm="1">
        <f t="array" ref="I84">IFERROR(INDEX($D$2:$D$554 &amp; " ($" &amp; TEXT($E$2:$E$554, "#,##0.00") &amp; ")", SMALL(IF($A$2:$A$554=$G84, ROW($D$2:$D$554)-ROW($D$2)+1), COLUMN(B84))), "")</f>
        <v/>
      </c>
      <c r="J84" s="6" t="str" cm="1">
        <f t="array" ref="J84">IFERROR(INDEX($D$2:$D$554 &amp; " ($" &amp; TEXT($E$2:$E$554, "#,##0.00") &amp; ")", SMALL(IF($A$2:$A$554=$G84, ROW($D$2:$D$554)-ROW($D$2)+1), COLUMN(C84))), "")</f>
        <v/>
      </c>
    </row>
    <row r="85" spans="1:10" x14ac:dyDescent="0.35">
      <c r="A85" s="6" t="s">
        <v>2061</v>
      </c>
      <c r="B85" s="6" t="s">
        <v>856</v>
      </c>
      <c r="C85" s="6" t="s">
        <v>42</v>
      </c>
      <c r="D85" s="6" t="s">
        <v>43</v>
      </c>
      <c r="E85" s="11">
        <v>2295.36</v>
      </c>
      <c r="G85" s="6" t="s">
        <v>2081</v>
      </c>
      <c r="H85" s="6" t="str" cm="1">
        <f t="array" ref="H85">IFERROR(INDEX($D$2:$D$554 &amp; " ($" &amp; TEXT($E$2:$E$554, "#,##0.00") &amp; ")", SMALL(IF($A$2:$A$554=$G85, ROW($D$2:$D$554)-ROW($D$2)+1), COLUMN(A85))), "")</f>
        <v>CARWARS STARTER 3500 ($319.00)</v>
      </c>
      <c r="I85" s="6" t="str" cm="1">
        <f t="array" ref="I85">IFERROR(INDEX($D$2:$D$554 &amp; " ($" &amp; TEXT($E$2:$E$554, "#,##0.00") &amp; ")", SMALL(IF($A$2:$A$554=$G85, ROW($D$2:$D$554)-ROW($D$2)+1), COLUMN(B85))), "")</f>
        <v/>
      </c>
      <c r="J85" s="6" t="str" cm="1">
        <f t="array" ref="J85">IFERROR(INDEX($D$2:$D$554 &amp; " ($" &amp; TEXT($E$2:$E$554, "#,##0.00") &amp; ")", SMALL(IF($A$2:$A$554=$G85, ROW($D$2:$D$554)-ROW($D$2)+1), COLUMN(C85))), "")</f>
        <v/>
      </c>
    </row>
    <row r="86" spans="1:10" x14ac:dyDescent="0.35">
      <c r="A86" s="6" t="s">
        <v>2062</v>
      </c>
      <c r="B86" s="6" t="s">
        <v>918</v>
      </c>
      <c r="C86" s="6" t="s">
        <v>35</v>
      </c>
      <c r="D86" s="6" t="s">
        <v>36</v>
      </c>
      <c r="E86" s="11">
        <v>1024</v>
      </c>
      <c r="G86" s="6" t="s">
        <v>1389</v>
      </c>
      <c r="H86" s="6" t="str" cm="1">
        <f t="array" ref="H86">IFERROR(INDEX($D$2:$D$554 &amp; " ($" &amp; TEXT($E$2:$E$554, "#,##0.00") &amp; ")", SMALL(IF($A$2:$A$554=$G86, ROW($D$2:$D$554)-ROW($D$2)+1), COLUMN(A86))), "")</f>
        <v>EL1OUTCALLTRACK (GM IMR) ($783.02)</v>
      </c>
      <c r="I86" s="6" t="str" cm="1">
        <f t="array" ref="I86">IFERROR(INDEX($D$2:$D$554 &amp; " ($" &amp; TEXT($E$2:$E$554, "#,##0.00") &amp; ")", SMALL(IF($A$2:$A$554=$G86, ROW($D$2:$D$554)-ROW($D$2)+1), COLUMN(B86))), "")</f>
        <v/>
      </c>
      <c r="J86" s="6" t="str" cm="1">
        <f t="array" ref="J86">IFERROR(INDEX($D$2:$D$554 &amp; " ($" &amp; TEXT($E$2:$E$554, "#,##0.00") &amp; ")", SMALL(IF($A$2:$A$554=$G86, ROW($D$2:$D$554)-ROW($D$2)+1), COLUMN(C86))), "")</f>
        <v/>
      </c>
    </row>
    <row r="87" spans="1:10" x14ac:dyDescent="0.35">
      <c r="A87" s="6" t="s">
        <v>2062</v>
      </c>
      <c r="B87" s="6" t="s">
        <v>918</v>
      </c>
      <c r="C87" s="6" t="s">
        <v>408</v>
      </c>
      <c r="D87" s="6" t="s">
        <v>409</v>
      </c>
      <c r="E87" s="11">
        <v>10</v>
      </c>
      <c r="G87" s="6" t="s">
        <v>2082</v>
      </c>
      <c r="H87" s="6" t="str" cm="1">
        <f t="array" ref="H87">IFERROR(INDEX($D$2:$D$554 &amp; " ($" &amp; TEXT($E$2:$E$554, "#,##0.00") &amp; ")", SMALL(IF($A$2:$A$554=$G87, ROW($D$2:$D$554)-ROW($D$2)+1), COLUMN(A87))), "")</f>
        <v>CARWARS ELITE LARGE ($3,219.48)</v>
      </c>
      <c r="I87" s="6" t="str" cm="1">
        <f t="array" ref="I87">IFERROR(INDEX($D$2:$D$554 &amp; " ($" &amp; TEXT($E$2:$E$554, "#,##0.00") &amp; ")", SMALL(IF($A$2:$A$554=$G87, ROW($D$2:$D$554)-ROW($D$2)+1), COLUMN(B87))), "")</f>
        <v/>
      </c>
      <c r="J87" s="6" t="str" cm="1">
        <f t="array" ref="J87">IFERROR(INDEX($D$2:$D$554 &amp; " ($" &amp; TEXT($E$2:$E$554, "#,##0.00") &amp; ")", SMALL(IF($A$2:$A$554=$G87, ROW($D$2:$D$554)-ROW($D$2)+1), COLUMN(C87))), "")</f>
        <v/>
      </c>
    </row>
    <row r="88" spans="1:10" x14ac:dyDescent="0.35">
      <c r="A88" s="6" t="s">
        <v>2063</v>
      </c>
      <c r="B88" s="6" t="s">
        <v>581</v>
      </c>
      <c r="C88" s="6" t="s">
        <v>2052</v>
      </c>
      <c r="D88" s="6" t="s">
        <v>2053</v>
      </c>
      <c r="E88" s="11">
        <v>1199</v>
      </c>
      <c r="G88" s="6" t="s">
        <v>2083</v>
      </c>
      <c r="H88" s="6" t="str" cm="1">
        <f t="array" ref="H88">IFERROR(INDEX($D$2:$D$554 &amp; " ($" &amp; TEXT($E$2:$E$554, "#,##0.00") &amp; ")", SMALL(IF($A$2:$A$554=$G88, ROW($D$2:$D$554)-ROW($D$2)+1), COLUMN(A88))), "")</f>
        <v>CARWARS ELITE 12,500 PACKAGE ($1,499.00)</v>
      </c>
      <c r="I88" s="6" t="str" cm="1">
        <f t="array" ref="I88">IFERROR(INDEX($D$2:$D$554 &amp; " ($" &amp; TEXT($E$2:$E$554, "#,##0.00") &amp; ")", SMALL(IF($A$2:$A$554=$G88, ROW($D$2:$D$554)-ROW($D$2)+1), COLUMN(B88))), "")</f>
        <v/>
      </c>
      <c r="J88" s="6" t="str" cm="1">
        <f t="array" ref="J88">IFERROR(INDEX($D$2:$D$554 &amp; " ($" &amp; TEXT($E$2:$E$554, "#,##0.00") &amp; ")", SMALL(IF($A$2:$A$554=$G88, ROW($D$2:$D$554)-ROW($D$2)+1), COLUMN(C88))), "")</f>
        <v/>
      </c>
    </row>
    <row r="89" spans="1:10" x14ac:dyDescent="0.35">
      <c r="A89" s="6" t="s">
        <v>2066</v>
      </c>
      <c r="B89" s="6" t="s">
        <v>308</v>
      </c>
      <c r="C89" s="6" t="s">
        <v>2052</v>
      </c>
      <c r="D89" s="6" t="s">
        <v>2053</v>
      </c>
      <c r="E89" s="11">
        <v>1199</v>
      </c>
      <c r="G89" s="6" t="s">
        <v>2084</v>
      </c>
      <c r="H89" s="6" t="str" cm="1">
        <f t="array" ref="H89">IFERROR(INDEX($D$2:$D$554 &amp; " ($" &amp; TEXT($E$2:$E$554, "#,##0.00") &amp; ")", SMALL(IF($A$2:$A$554=$G89, ROW($D$2:$D$554)-ROW($D$2)+1), COLUMN(A89))), "")</f>
        <v>CARWARS ELITE LARGE ($2,981.00)</v>
      </c>
      <c r="I89" s="6" t="str" cm="1">
        <f t="array" ref="I89">IFERROR(INDEX($D$2:$D$554 &amp; " ($" &amp; TEXT($E$2:$E$554, "#,##0.00") &amp; ")", SMALL(IF($A$2:$A$554=$G89, ROW($D$2:$D$554)-ROW($D$2)+1), COLUMN(B89))), "")</f>
        <v/>
      </c>
      <c r="J89" s="6" t="str" cm="1">
        <f t="array" ref="J89">IFERROR(INDEX($D$2:$D$554 &amp; " ($" &amp; TEXT($E$2:$E$554, "#,##0.00") &amp; ")", SMALL(IF($A$2:$A$554=$G89, ROW($D$2:$D$554)-ROW($D$2)+1), COLUMN(C89))), "")</f>
        <v/>
      </c>
    </row>
    <row r="90" spans="1:10" x14ac:dyDescent="0.35">
      <c r="A90" s="6" t="s">
        <v>2067</v>
      </c>
      <c r="B90" s="6" t="s">
        <v>305</v>
      </c>
      <c r="C90" s="6" t="s">
        <v>2052</v>
      </c>
      <c r="D90" s="6" t="s">
        <v>2053</v>
      </c>
      <c r="E90" s="11">
        <v>1199</v>
      </c>
      <c r="G90" s="6" t="s">
        <v>2085</v>
      </c>
      <c r="H90" s="6" t="str" cm="1">
        <f t="array" ref="H90">IFERROR(INDEX($D$2:$D$554 &amp; " ($" &amp; TEXT($E$2:$E$554, "#,##0.00") &amp; ")", SMALL(IF($A$2:$A$554=$G90, ROW($D$2:$D$554)-ROW($D$2)+1), COLUMN(A90))), "")</f>
        <v>CARWARS INDEFINITE CALL RECORDINGS ($20.00)</v>
      </c>
      <c r="I90" s="6" t="str" cm="1">
        <f t="array" ref="I90">IFERROR(INDEX($D$2:$D$554 &amp; " ($" &amp; TEXT($E$2:$E$554, "#,##0.00") &amp; ")", SMALL(IF($A$2:$A$554=$G90, ROW($D$2:$D$554)-ROW($D$2)+1), COLUMN(B90))), "")</f>
        <v>CARWARS STARTER 5000 ($599.00)</v>
      </c>
      <c r="J90" s="6" t="str" cm="1">
        <f t="array" ref="J90">IFERROR(INDEX($D$2:$D$554 &amp; " ($" &amp; TEXT($E$2:$E$554, "#,##0.00") &amp; ")", SMALL(IF($A$2:$A$554=$G90, ROW($D$2:$D$554)-ROW($D$2)+1), COLUMN(C90))), "")</f>
        <v/>
      </c>
    </row>
    <row r="91" spans="1:10" x14ac:dyDescent="0.35">
      <c r="A91" s="6" t="s">
        <v>1385</v>
      </c>
      <c r="B91" s="6" t="s">
        <v>1386</v>
      </c>
      <c r="C91" s="6" t="s">
        <v>1329</v>
      </c>
      <c r="D91" s="6" t="s">
        <v>1330</v>
      </c>
      <c r="E91" s="11">
        <v>111.29</v>
      </c>
      <c r="G91" s="6" t="s">
        <v>2086</v>
      </c>
      <c r="H91" s="6" t="str" cm="1">
        <f t="array" ref="H91">IFERROR(INDEX($D$2:$D$554 &amp; " ($" &amp; TEXT($E$2:$E$554, "#,##0.00") &amp; ")", SMALL(IF($A$2:$A$554=$G91, ROW($D$2:$D$554)-ROW($D$2)+1), COLUMN(A91))), "")</f>
        <v>CARWARS STARTER 7500 ($350.30)</v>
      </c>
      <c r="I91" s="6" t="str" cm="1">
        <f t="array" ref="I91">IFERROR(INDEX($D$2:$D$554 &amp; " ($" &amp; TEXT($E$2:$E$554, "#,##0.00") &amp; ")", SMALL(IF($A$2:$A$554=$G91, ROW($D$2:$D$554)-ROW($D$2)+1), COLUMN(B91))), "")</f>
        <v>CARWARS INDEFINITE CALL RECORDINGS ($14.04)</v>
      </c>
      <c r="J91" s="6" t="str" cm="1">
        <f t="array" ref="J91">IFERROR(INDEX($D$2:$D$554 &amp; " ($" &amp; TEXT($E$2:$E$554, "#,##0.00") &amp; ")", SMALL(IF($A$2:$A$554=$G91, ROW($D$2:$D$554)-ROW($D$2)+1), COLUMN(C91))), "")</f>
        <v>CARWARS VOICE RECOGNITION (STARTER/ADV) ($268.92)</v>
      </c>
    </row>
    <row r="92" spans="1:10" x14ac:dyDescent="0.35">
      <c r="A92" s="6" t="s">
        <v>2068</v>
      </c>
      <c r="B92" s="6" t="s">
        <v>507</v>
      </c>
      <c r="C92" s="6" t="s">
        <v>74</v>
      </c>
      <c r="D92" s="6" t="s">
        <v>75</v>
      </c>
      <c r="E92" s="11">
        <v>499</v>
      </c>
      <c r="G92" s="6" t="s">
        <v>2087</v>
      </c>
      <c r="H92" s="6" t="str" cm="1">
        <f t="array" ref="H92">IFERROR(INDEX($D$2:$D$554 &amp; " ($" &amp; TEXT($E$2:$E$554, "#,##0.00") &amp; ")", SMALL(IF($A$2:$A$554=$G92, ROW($D$2:$D$554)-ROW($D$2)+1), COLUMN(A92))), "")</f>
        <v>CARWARS STARTER 7500 ($584.73)</v>
      </c>
      <c r="I92" s="6" t="str" cm="1">
        <f t="array" ref="I92">IFERROR(INDEX($D$2:$D$554 &amp; " ($" &amp; TEXT($E$2:$E$554, "#,##0.00") &amp; ")", SMALL(IF($A$2:$A$554=$G92, ROW($D$2:$D$554)-ROW($D$2)+1), COLUMN(B92))), "")</f>
        <v/>
      </c>
      <c r="J92" s="6" t="str" cm="1">
        <f t="array" ref="J92">IFERROR(INDEX($D$2:$D$554 &amp; " ($" &amp; TEXT($E$2:$E$554, "#,##0.00") &amp; ")", SMALL(IF($A$2:$A$554=$G92, ROW($D$2:$D$554)-ROW($D$2)+1), COLUMN(C92))), "")</f>
        <v/>
      </c>
    </row>
    <row r="93" spans="1:10" x14ac:dyDescent="0.35">
      <c r="A93" s="6" t="s">
        <v>2069</v>
      </c>
      <c r="B93" s="6" t="s">
        <v>490</v>
      </c>
      <c r="C93" s="6" t="s">
        <v>48</v>
      </c>
      <c r="D93" s="6" t="s">
        <v>49</v>
      </c>
      <c r="E93" s="11">
        <v>299</v>
      </c>
      <c r="G93" s="6" t="s">
        <v>2088</v>
      </c>
      <c r="H93" s="6" t="str" cm="1">
        <f t="array" ref="H93">IFERROR(INDEX($D$2:$D$554 &amp; " ($" &amp; TEXT($E$2:$E$554, "#,##0.00") &amp; ")", SMALL(IF($A$2:$A$554=$G93, ROW($D$2:$D$554)-ROW($D$2)+1), COLUMN(A93))), "")</f>
        <v>CARWARS STARTER 3500 ($299.00)</v>
      </c>
      <c r="I93" s="6" t="str" cm="1">
        <f t="array" ref="I93">IFERROR(INDEX($D$2:$D$554 &amp; " ($" &amp; TEXT($E$2:$E$554, "#,##0.00") &amp; ")", SMALL(IF($A$2:$A$554=$G93, ROW($D$2:$D$554)-ROW($D$2)+1), COLUMN(B93))), "")</f>
        <v/>
      </c>
      <c r="J93" s="6" t="str" cm="1">
        <f t="array" ref="J93">IFERROR(INDEX($D$2:$D$554 &amp; " ($" &amp; TEXT($E$2:$E$554, "#,##0.00") &amp; ")", SMALL(IF($A$2:$A$554=$G93, ROW($D$2:$D$554)-ROW($D$2)+1), COLUMN(C93))), "")</f>
        <v/>
      </c>
    </row>
    <row r="94" spans="1:10" x14ac:dyDescent="0.35">
      <c r="A94" s="6" t="s">
        <v>2070</v>
      </c>
      <c r="B94" s="6" t="s">
        <v>653</v>
      </c>
      <c r="C94" s="6" t="s">
        <v>42</v>
      </c>
      <c r="D94" s="6" t="s">
        <v>43</v>
      </c>
      <c r="E94" s="11">
        <v>1849</v>
      </c>
      <c r="G94" s="6" t="s">
        <v>2089</v>
      </c>
      <c r="H94" s="6" t="str" cm="1">
        <f t="array" ref="H94">IFERROR(INDEX($D$2:$D$554 &amp; " ($" &amp; TEXT($E$2:$E$554, "#,##0.00") &amp; ")", SMALL(IF($A$2:$A$554=$G94, ROW($D$2:$D$554)-ROW($D$2)+1), COLUMN(A94))), "")</f>
        <v>CARWARS PREMIUM SALES ($995.00)</v>
      </c>
      <c r="I94" s="6" t="str" cm="1">
        <f t="array" ref="I94">IFERROR(INDEX($D$2:$D$554 &amp; " ($" &amp; TEXT($E$2:$E$554, "#,##0.00") &amp; ")", SMALL(IF($A$2:$A$554=$G94, ROW($D$2:$D$554)-ROW($D$2)+1), COLUMN(B94))), "")</f>
        <v>CARWARS ADVANCED SALES ($999.00)</v>
      </c>
      <c r="J94" s="6" t="str" cm="1">
        <f t="array" ref="J94">IFERROR(INDEX($D$2:$D$554 &amp; " ($" &amp; TEXT($E$2:$E$554, "#,##0.00") &amp; ")", SMALL(IF($A$2:$A$554=$G94, ROW($D$2:$D$554)-ROW($D$2)+1), COLUMN(C94))), "")</f>
        <v/>
      </c>
    </row>
    <row r="95" spans="1:10" x14ac:dyDescent="0.35">
      <c r="A95" s="6" t="s">
        <v>2070</v>
      </c>
      <c r="B95" s="6" t="s">
        <v>653</v>
      </c>
      <c r="C95" s="6" t="s">
        <v>408</v>
      </c>
      <c r="D95" s="6" t="s">
        <v>409</v>
      </c>
      <c r="E95" s="11">
        <v>20</v>
      </c>
      <c r="G95" s="6" t="s">
        <v>2090</v>
      </c>
      <c r="H95" s="6" t="str" cm="1">
        <f t="array" ref="H95">IFERROR(INDEX($D$2:$D$554 &amp; " ($" &amp; TEXT($E$2:$E$554, "#,##0.00") &amp; ")", SMALL(IF($A$2:$A$554=$G95, ROW($D$2:$D$554)-ROW($D$2)+1), COLUMN(A95))), "")</f>
        <v>CARWARS PREMIUM SALES ($1,849.00)</v>
      </c>
      <c r="I95" s="6" t="str" cm="1">
        <f t="array" ref="I95">IFERROR(INDEX($D$2:$D$554 &amp; " ($" &amp; TEXT($E$2:$E$554, "#,##0.00") &amp; ")", SMALL(IF($A$2:$A$554=$G95, ROW($D$2:$D$554)-ROW($D$2)+1), COLUMN(B95))), "")</f>
        <v/>
      </c>
      <c r="J95" s="6" t="str" cm="1">
        <f t="array" ref="J95">IFERROR(INDEX($D$2:$D$554 &amp; " ($" &amp; TEXT($E$2:$E$554, "#,##0.00") &amp; ")", SMALL(IF($A$2:$A$554=$G95, ROW($D$2:$D$554)-ROW($D$2)+1), COLUMN(C95))), "")</f>
        <v/>
      </c>
    </row>
    <row r="96" spans="1:10" x14ac:dyDescent="0.35">
      <c r="A96" s="6" t="s">
        <v>2071</v>
      </c>
      <c r="B96" s="6" t="s">
        <v>217</v>
      </c>
      <c r="C96" s="6" t="s">
        <v>48</v>
      </c>
      <c r="D96" s="6" t="s">
        <v>49</v>
      </c>
      <c r="E96" s="11">
        <v>200.93</v>
      </c>
      <c r="G96" s="6" t="s">
        <v>2091</v>
      </c>
      <c r="H96" s="6" t="str" cm="1">
        <f t="array" ref="H96">IFERROR(INDEX($D$2:$D$554 &amp; " ($" &amp; TEXT($E$2:$E$554, "#,##0.00") &amp; ")", SMALL(IF($A$2:$A$554=$G96, ROW($D$2:$D$554)-ROW($D$2)+1), COLUMN(A96))), "")</f>
        <v>CARWARS INDEFINITE CALL RECORDINGS ($20.00)</v>
      </c>
      <c r="I96" s="6" t="str" cm="1">
        <f t="array" ref="I96">IFERROR(INDEX($D$2:$D$554 &amp; " ($" &amp; TEXT($E$2:$E$554, "#,##0.00") &amp; ")", SMALL(IF($A$2:$A$554=$G96, ROW($D$2:$D$554)-ROW($D$2)+1), COLUMN(B96))), "")</f>
        <v>CARWARS STARTER 5000 ($599.00)</v>
      </c>
      <c r="J96" s="6" t="str" cm="1">
        <f t="array" ref="J96">IFERROR(INDEX($D$2:$D$554 &amp; " ($" &amp; TEXT($E$2:$E$554, "#,##0.00") &amp; ")", SMALL(IF($A$2:$A$554=$G96, ROW($D$2:$D$554)-ROW($D$2)+1), COLUMN(C96))), "")</f>
        <v/>
      </c>
    </row>
    <row r="97" spans="1:10" x14ac:dyDescent="0.35">
      <c r="A97" s="6" t="s">
        <v>2072</v>
      </c>
      <c r="B97" s="6" t="s">
        <v>938</v>
      </c>
      <c r="C97" s="6" t="s">
        <v>1798</v>
      </c>
      <c r="D97" s="6" t="s">
        <v>1799</v>
      </c>
      <c r="E97" s="11">
        <v>999</v>
      </c>
      <c r="G97" s="6" t="s">
        <v>1391</v>
      </c>
      <c r="H97" s="6" t="str" cm="1">
        <f t="array" ref="H97">IFERROR(INDEX($D$2:$D$554 &amp; " ($" &amp; TEXT($E$2:$E$554, "#,##0.00") &amp; ")", SMALL(IF($A$2:$A$554=$G97, ROW($D$2:$D$554)-ROW($D$2)+1), COLUMN(A97))), "")</f>
        <v>CRM TELEPHONY TRACKING ($113.40)</v>
      </c>
      <c r="I97" s="6" t="str" cm="1">
        <f t="array" ref="I97">IFERROR(INDEX($D$2:$D$554 &amp; " ($" &amp; TEXT($E$2:$E$554, "#,##0.00") &amp; ")", SMALL(IF($A$2:$A$554=$G97, ROW($D$2:$D$554)-ROW($D$2)+1), COLUMN(B97))), "")</f>
        <v/>
      </c>
      <c r="J97" s="6" t="str" cm="1">
        <f t="array" ref="J97">IFERROR(INDEX($D$2:$D$554 &amp; " ($" &amp; TEXT($E$2:$E$554, "#,##0.00") &amp; ")", SMALL(IF($A$2:$A$554=$G97, ROW($D$2:$D$554)-ROW($D$2)+1), COLUMN(C97))), "")</f>
        <v/>
      </c>
    </row>
    <row r="98" spans="1:10" x14ac:dyDescent="0.35">
      <c r="A98" s="6" t="s">
        <v>2072</v>
      </c>
      <c r="B98" s="6" t="s">
        <v>938</v>
      </c>
      <c r="C98" s="6" t="s">
        <v>97</v>
      </c>
      <c r="D98" s="6" t="s">
        <v>98</v>
      </c>
      <c r="E98" s="11">
        <v>1499</v>
      </c>
      <c r="G98" s="6" t="s">
        <v>2092</v>
      </c>
      <c r="H98" s="6" t="str" cm="1">
        <f t="array" ref="H98">IFERROR(INDEX($D$2:$D$554 &amp; " ($" &amp; TEXT($E$2:$E$554, "#,##0.00") &amp; ")", SMALL(IF($A$2:$A$554=$G98, ROW($D$2:$D$554)-ROW($D$2)+1), COLUMN(A98))), "")</f>
        <v>CARWARS PREMIUM SALES ($1,941.45)</v>
      </c>
      <c r="I98" s="6" t="str" cm="1">
        <f t="array" ref="I98">IFERROR(INDEX($D$2:$D$554 &amp; " ($" &amp; TEXT($E$2:$E$554, "#,##0.00") &amp; ")", SMALL(IF($A$2:$A$554=$G98, ROW($D$2:$D$554)-ROW($D$2)+1), COLUMN(B98))), "")</f>
        <v/>
      </c>
      <c r="J98" s="6" t="str" cm="1">
        <f t="array" ref="J98">IFERROR(INDEX($D$2:$D$554 &amp; " ($" &amp; TEXT($E$2:$E$554, "#,##0.00") &amp; ")", SMALL(IF($A$2:$A$554=$G98, ROW($D$2:$D$554)-ROW($D$2)+1), COLUMN(C98))), "")</f>
        <v/>
      </c>
    </row>
    <row r="99" spans="1:10" x14ac:dyDescent="0.35">
      <c r="A99" s="6" t="s">
        <v>2073</v>
      </c>
      <c r="B99" s="6" t="s">
        <v>197</v>
      </c>
      <c r="C99" s="6" t="s">
        <v>48</v>
      </c>
      <c r="D99" s="6" t="s">
        <v>49</v>
      </c>
      <c r="E99" s="11">
        <v>319</v>
      </c>
      <c r="G99" s="6" t="s">
        <v>2093</v>
      </c>
      <c r="H99" s="6" t="str" cm="1">
        <f t="array" ref="H99">IFERROR(INDEX($D$2:$D$554 &amp; " ($" &amp; TEXT($E$2:$E$554, "#,##0.00") &amp; ")", SMALL(IF($A$2:$A$554=$G99, ROW($D$2:$D$554)-ROW($D$2)+1), COLUMN(A99))), "")</f>
        <v>CARWARS ELITE 12,500 PACKAGE ($1,499.00)</v>
      </c>
      <c r="I99" s="6" t="str" cm="1">
        <f t="array" ref="I99">IFERROR(INDEX($D$2:$D$554 &amp; " ($" &amp; TEXT($E$2:$E$554, "#,##0.00") &amp; ")", SMALL(IF($A$2:$A$554=$G99, ROW($D$2:$D$554)-ROW($D$2)+1), COLUMN(B99))), "")</f>
        <v/>
      </c>
      <c r="J99" s="6" t="str" cm="1">
        <f t="array" ref="J99">IFERROR(INDEX($D$2:$D$554 &amp; " ($" &amp; TEXT($E$2:$E$554, "#,##0.00") &amp; ")", SMALL(IF($A$2:$A$554=$G99, ROW($D$2:$D$554)-ROW($D$2)+1), COLUMN(C99))), "")</f>
        <v/>
      </c>
    </row>
    <row r="100" spans="1:10" x14ac:dyDescent="0.35">
      <c r="A100" s="6" t="s">
        <v>2074</v>
      </c>
      <c r="B100" s="6" t="s">
        <v>597</v>
      </c>
      <c r="C100" s="6" t="s">
        <v>97</v>
      </c>
      <c r="D100" s="6" t="s">
        <v>98</v>
      </c>
      <c r="E100" s="11">
        <v>1499</v>
      </c>
      <c r="G100" s="6" t="s">
        <v>2094</v>
      </c>
      <c r="H100" s="6" t="str" cm="1">
        <f t="array" ref="H100">IFERROR(INDEX($D$2:$D$554 &amp; " ($" &amp; TEXT($E$2:$E$554, "#,##0.00") &amp; ")", SMALL(IF($A$2:$A$554=$G100, ROW($D$2:$D$554)-ROW($D$2)+1), COLUMN(A100))), "")</f>
        <v>CARWARS STARTER 3500 ($217.23)</v>
      </c>
      <c r="I100" s="6" t="str" cm="1">
        <f t="array" ref="I100">IFERROR(INDEX($D$2:$D$554 &amp; " ($" &amp; TEXT($E$2:$E$554, "#,##0.00") &amp; ")", SMALL(IF($A$2:$A$554=$G100, ROW($D$2:$D$554)-ROW($D$2)+1), COLUMN(B100))), "")</f>
        <v/>
      </c>
      <c r="J100" s="6" t="str" cm="1">
        <f t="array" ref="J100">IFERROR(INDEX($D$2:$D$554 &amp; " ($" &amp; TEXT($E$2:$E$554, "#,##0.00") &amp; ")", SMALL(IF($A$2:$A$554=$G100, ROW($D$2:$D$554)-ROW($D$2)+1), COLUMN(C100))), "")</f>
        <v/>
      </c>
    </row>
    <row r="101" spans="1:10" x14ac:dyDescent="0.35">
      <c r="A101" s="6" t="s">
        <v>2075</v>
      </c>
      <c r="B101" s="6" t="s">
        <v>599</v>
      </c>
      <c r="C101" s="6" t="s">
        <v>97</v>
      </c>
      <c r="D101" s="6" t="s">
        <v>98</v>
      </c>
      <c r="E101" s="11">
        <v>1499</v>
      </c>
      <c r="G101" s="6" t="s">
        <v>2095</v>
      </c>
      <c r="H101" s="6" t="str" cm="1">
        <f t="array" ref="H101">IFERROR(INDEX($D$2:$D$554 &amp; " ($" &amp; TEXT($E$2:$E$554, "#,##0.00") &amp; ")", SMALL(IF($A$2:$A$554=$G101, ROW($D$2:$D$554)-ROW($D$2)+1), COLUMN(A101))), "")</f>
        <v>CARWARS STARTER 3500 ($200.93)</v>
      </c>
      <c r="I101" s="6" t="str" cm="1">
        <f t="array" ref="I101">IFERROR(INDEX($D$2:$D$554 &amp; " ($" &amp; TEXT($E$2:$E$554, "#,##0.00") &amp; ")", SMALL(IF($A$2:$A$554=$G101, ROW($D$2:$D$554)-ROW($D$2)+1), COLUMN(B101))), "")</f>
        <v/>
      </c>
      <c r="J101" s="6" t="str" cm="1">
        <f t="array" ref="J101">IFERROR(INDEX($D$2:$D$554 &amp; " ($" &amp; TEXT($E$2:$E$554, "#,##0.00") &amp; ")", SMALL(IF($A$2:$A$554=$G101, ROW($D$2:$D$554)-ROW($D$2)+1), COLUMN(C101))), "")</f>
        <v/>
      </c>
    </row>
    <row r="102" spans="1:10" x14ac:dyDescent="0.35">
      <c r="A102" s="6" t="s">
        <v>2078</v>
      </c>
      <c r="B102" s="6" t="s">
        <v>771</v>
      </c>
      <c r="C102" s="6" t="s">
        <v>35</v>
      </c>
      <c r="D102" s="6" t="s">
        <v>36</v>
      </c>
      <c r="E102" s="11">
        <v>338.2</v>
      </c>
      <c r="G102" s="6" t="s">
        <v>1393</v>
      </c>
      <c r="H102" s="6" t="str" cm="1">
        <f t="array" ref="H102">IFERROR(INDEX($D$2:$D$554 &amp; " ($" &amp; TEXT($E$2:$E$554, "#,##0.00") &amp; ")", SMALL(IF($A$2:$A$554=$G102, ROW($D$2:$D$554)-ROW($D$2)+1), COLUMN(A102))), "")</f>
        <v>CRM TELEPHONY TRACKING ($111.29)</v>
      </c>
      <c r="I102" s="6" t="str" cm="1">
        <f t="array" ref="I102">IFERROR(INDEX($D$2:$D$554 &amp; " ($" &amp; TEXT($E$2:$E$554, "#,##0.00") &amp; ")", SMALL(IF($A$2:$A$554=$G102, ROW($D$2:$D$554)-ROW($D$2)+1), COLUMN(B102))), "")</f>
        <v/>
      </c>
      <c r="J102" s="6" t="str" cm="1">
        <f t="array" ref="J102">IFERROR(INDEX($D$2:$D$554 &amp; " ($" &amp; TEXT($E$2:$E$554, "#,##0.00") &amp; ")", SMALL(IF($A$2:$A$554=$G102, ROW($D$2:$D$554)-ROW($D$2)+1), COLUMN(C102))), "")</f>
        <v/>
      </c>
    </row>
    <row r="103" spans="1:10" x14ac:dyDescent="0.35">
      <c r="A103" s="6" t="s">
        <v>2079</v>
      </c>
      <c r="B103" s="6" t="s">
        <v>503</v>
      </c>
      <c r="C103" s="6" t="s">
        <v>74</v>
      </c>
      <c r="D103" s="6" t="s">
        <v>75</v>
      </c>
      <c r="E103" s="11">
        <v>499</v>
      </c>
      <c r="G103" s="6" t="s">
        <v>2096</v>
      </c>
      <c r="H103" s="6" t="str" cm="1">
        <f t="array" ref="H103">IFERROR(INDEX($D$2:$D$554 &amp; " ($" &amp; TEXT($E$2:$E$554, "#,##0.00") &amp; ")", SMALL(IF($A$2:$A$554=$G103, ROW($D$2:$D$554)-ROW($D$2)+1), COLUMN(A103))), "")</f>
        <v>CARWARS PREMIUM SALES ($1,386.75)</v>
      </c>
      <c r="I103" s="6" t="str" cm="1">
        <f t="array" ref="I103">IFERROR(INDEX($D$2:$D$554 &amp; " ($" &amp; TEXT($E$2:$E$554, "#,##0.00") &amp; ")", SMALL(IF($A$2:$A$554=$G103, ROW($D$2:$D$554)-ROW($D$2)+1), COLUMN(B103))), "")</f>
        <v/>
      </c>
      <c r="J103" s="6" t="str" cm="1">
        <f t="array" ref="J103">IFERROR(INDEX($D$2:$D$554 &amp; " ($" &amp; TEXT($E$2:$E$554, "#,##0.00") &amp; ")", SMALL(IF($A$2:$A$554=$G103, ROW($D$2:$D$554)-ROW($D$2)+1), COLUMN(C103))), "")</f>
        <v/>
      </c>
    </row>
    <row r="104" spans="1:10" x14ac:dyDescent="0.35">
      <c r="A104" s="6" t="s">
        <v>2080</v>
      </c>
      <c r="B104" s="6" t="s">
        <v>948</v>
      </c>
      <c r="C104" s="6" t="s">
        <v>67</v>
      </c>
      <c r="D104" s="6" t="s">
        <v>68</v>
      </c>
      <c r="E104" s="11">
        <v>599</v>
      </c>
      <c r="G104" s="6" t="s">
        <v>2097</v>
      </c>
      <c r="H104" s="6" t="str" cm="1">
        <f t="array" ref="H104">IFERROR(INDEX($D$2:$D$554 &amp; " ($" &amp; TEXT($E$2:$E$554, "#,##0.00") &amp; ")", SMALL(IF($A$2:$A$554=$G104, ROW($D$2:$D$554)-ROW($D$2)+1), COLUMN(A104))), "")</f>
        <v>CARWARS STARTER 3500 ($319.00)</v>
      </c>
      <c r="I104" s="6" t="str" cm="1">
        <f t="array" ref="I104">IFERROR(INDEX($D$2:$D$554 &amp; " ($" &amp; TEXT($E$2:$E$554, "#,##0.00") &amp; ")", SMALL(IF($A$2:$A$554=$G104, ROW($D$2:$D$554)-ROW($D$2)+1), COLUMN(B104))), "")</f>
        <v/>
      </c>
      <c r="J104" s="6" t="str" cm="1">
        <f t="array" ref="J104">IFERROR(INDEX($D$2:$D$554 &amp; " ($" &amp; TEXT($E$2:$E$554, "#,##0.00") &amp; ")", SMALL(IF($A$2:$A$554=$G104, ROW($D$2:$D$554)-ROW($D$2)+1), COLUMN(C104))), "")</f>
        <v/>
      </c>
    </row>
    <row r="105" spans="1:10" x14ac:dyDescent="0.35">
      <c r="A105" s="6" t="s">
        <v>1387</v>
      </c>
      <c r="B105" s="6" t="s">
        <v>1388</v>
      </c>
      <c r="C105" s="6" t="s">
        <v>35</v>
      </c>
      <c r="D105" s="6" t="s">
        <v>36</v>
      </c>
      <c r="E105" s="11">
        <v>299</v>
      </c>
      <c r="G105" s="6" t="s">
        <v>2098</v>
      </c>
      <c r="H105" s="6" t="str" cm="1">
        <f t="array" ref="H105">IFERROR(INDEX($D$2:$D$554 &amp; " ($" &amp; TEXT($E$2:$E$554, "#,##0.00") &amp; ")", SMALL(IF($A$2:$A$554=$G105, ROW($D$2:$D$554)-ROW($D$2)+1), COLUMN(A105))), "")</f>
        <v>CRM OUTBOUND TELEPHONY TRACKING (NEW AND CONVERSION) ($371.36)</v>
      </c>
      <c r="I105" s="6" t="str" cm="1">
        <f t="array" ref="I105">IFERROR(INDEX($D$2:$D$554 &amp; " ($" &amp; TEXT($E$2:$E$554, "#,##0.00") &amp; ")", SMALL(IF($A$2:$A$554=$G105, ROW($D$2:$D$554)-ROW($D$2)+1), COLUMN(B105))), "")</f>
        <v/>
      </c>
      <c r="J105" s="6" t="str" cm="1">
        <f t="array" ref="J105">IFERROR(INDEX($D$2:$D$554 &amp; " ($" &amp; TEXT($E$2:$E$554, "#,##0.00") &amp; ")", SMALL(IF($A$2:$A$554=$G105, ROW($D$2:$D$554)-ROW($D$2)+1), COLUMN(C105))), "")</f>
        <v/>
      </c>
    </row>
    <row r="106" spans="1:10" x14ac:dyDescent="0.35">
      <c r="A106" s="6" t="s">
        <v>2081</v>
      </c>
      <c r="B106" s="6" t="s">
        <v>674</v>
      </c>
      <c r="C106" s="6" t="s">
        <v>48</v>
      </c>
      <c r="D106" s="6" t="s">
        <v>49</v>
      </c>
      <c r="E106" s="11">
        <v>319</v>
      </c>
      <c r="G106" s="6" t="s">
        <v>2099</v>
      </c>
      <c r="H106" s="6" t="str" cm="1">
        <f t="array" ref="H106">IFERROR(INDEX($D$2:$D$554 &amp; " ($" &amp; TEXT($E$2:$E$554, "#,##0.00") &amp; ")", SMALL(IF($A$2:$A$554=$G106, ROW($D$2:$D$554)-ROW($D$2)+1), COLUMN(A106))), "")</f>
        <v>CRM OUTBOUND TELEPHONY TRACKING (NEW AND CONVERSION) ($619.46)</v>
      </c>
      <c r="I106" s="6" t="str" cm="1">
        <f t="array" ref="I106">IFERROR(INDEX($D$2:$D$554 &amp; " ($" &amp; TEXT($E$2:$E$554, "#,##0.00") &amp; ")", SMALL(IF($A$2:$A$554=$G106, ROW($D$2:$D$554)-ROW($D$2)+1), COLUMN(B106))), "")</f>
        <v/>
      </c>
      <c r="J106" s="6" t="str" cm="1">
        <f t="array" ref="J106">IFERROR(INDEX($D$2:$D$554 &amp; " ($" &amp; TEXT($E$2:$E$554, "#,##0.00") &amp; ")", SMALL(IF($A$2:$A$554=$G106, ROW($D$2:$D$554)-ROW($D$2)+1), COLUMN(C106))), "")</f>
        <v/>
      </c>
    </row>
    <row r="107" spans="1:10" x14ac:dyDescent="0.35">
      <c r="A107" s="6" t="s">
        <v>1389</v>
      </c>
      <c r="B107" s="6" t="s">
        <v>1390</v>
      </c>
      <c r="C107" s="6" t="s">
        <v>87</v>
      </c>
      <c r="D107" s="6" t="s">
        <v>88</v>
      </c>
      <c r="E107" s="11">
        <v>783.02</v>
      </c>
      <c r="G107" s="6" t="s">
        <v>2100</v>
      </c>
      <c r="H107" s="6" t="str" cm="1">
        <f t="array" ref="H107">IFERROR(INDEX($D$2:$D$554 &amp; " ($" &amp; TEXT($E$2:$E$554, "#,##0.00") &amp; ")", SMALL(IF($A$2:$A$554=$G107, ROW($D$2:$D$554)-ROW($D$2)+1), COLUMN(A107))), "")</f>
        <v>CARWARS STARTER 7500 ($499.00)</v>
      </c>
      <c r="I107" s="6" t="str" cm="1">
        <f t="array" ref="I107">IFERROR(INDEX($D$2:$D$554 &amp; " ($" &amp; TEXT($E$2:$E$554, "#,##0.00") &amp; ")", SMALL(IF($A$2:$A$554=$G107, ROW($D$2:$D$554)-ROW($D$2)+1), COLUMN(B107))), "")</f>
        <v/>
      </c>
      <c r="J107" s="6" t="str" cm="1">
        <f t="array" ref="J107">IFERROR(INDEX($D$2:$D$554 &amp; " ($" &amp; TEXT($E$2:$E$554, "#,##0.00") &amp; ")", SMALL(IF($A$2:$A$554=$G107, ROW($D$2:$D$554)-ROW($D$2)+1), COLUMN(C107))), "")</f>
        <v/>
      </c>
    </row>
    <row r="108" spans="1:10" x14ac:dyDescent="0.35">
      <c r="A108" s="6" t="s">
        <v>2082</v>
      </c>
      <c r="B108" s="6" t="s">
        <v>739</v>
      </c>
      <c r="C108" s="6" t="s">
        <v>2037</v>
      </c>
      <c r="D108" s="6" t="s">
        <v>2038</v>
      </c>
      <c r="E108" s="11">
        <v>3219.48</v>
      </c>
      <c r="G108" s="6" t="s">
        <v>2101</v>
      </c>
      <c r="H108" s="6" t="str" cm="1">
        <f t="array" ref="H108">IFERROR(INDEX($D$2:$D$554 &amp; " ($" &amp; TEXT($E$2:$E$554, "#,##0.00") &amp; ")", SMALL(IF($A$2:$A$554=$G108, ROW($D$2:$D$554)-ROW($D$2)+1), COLUMN(A108))), "")</f>
        <v>CARWARS STARTER 3500 ($299.00)</v>
      </c>
      <c r="I108" s="6" t="str" cm="1">
        <f t="array" ref="I108">IFERROR(INDEX($D$2:$D$554 &amp; " ($" &amp; TEXT($E$2:$E$554, "#,##0.00") &amp; ")", SMALL(IF($A$2:$A$554=$G108, ROW($D$2:$D$554)-ROW($D$2)+1), COLUMN(B108))), "")</f>
        <v/>
      </c>
      <c r="J108" s="6" t="str" cm="1">
        <f t="array" ref="J108">IFERROR(INDEX($D$2:$D$554 &amp; " ($" &amp; TEXT($E$2:$E$554, "#,##0.00") &amp; ")", SMALL(IF($A$2:$A$554=$G108, ROW($D$2:$D$554)-ROW($D$2)+1), COLUMN(C108))), "")</f>
        <v/>
      </c>
    </row>
    <row r="109" spans="1:10" x14ac:dyDescent="0.35">
      <c r="A109" s="6" t="s">
        <v>2083</v>
      </c>
      <c r="B109" s="6" t="s">
        <v>591</v>
      </c>
      <c r="C109" s="6" t="s">
        <v>97</v>
      </c>
      <c r="D109" s="6" t="s">
        <v>98</v>
      </c>
      <c r="E109" s="11">
        <v>1499</v>
      </c>
      <c r="G109" s="6" t="s">
        <v>2102</v>
      </c>
      <c r="H109" s="6" t="str" cm="1">
        <f t="array" ref="H109">IFERROR(INDEX($D$2:$D$554 &amp; " ($" &amp; TEXT($E$2:$E$554, "#,##0.00") &amp; ")", SMALL(IF($A$2:$A$554=$G109, ROW($D$2:$D$554)-ROW($D$2)+1), COLUMN(A109))), "")</f>
        <v>CARWARS ELITE 12,500 PACKAGE ($1,499.00)</v>
      </c>
      <c r="I109" s="6" t="str" cm="1">
        <f t="array" ref="I109">IFERROR(INDEX($D$2:$D$554 &amp; " ($" &amp; TEXT($E$2:$E$554, "#,##0.00") &amp; ")", SMALL(IF($A$2:$A$554=$G109, ROW($D$2:$D$554)-ROW($D$2)+1), COLUMN(B109))), "")</f>
        <v/>
      </c>
      <c r="J109" s="6" t="str" cm="1">
        <f t="array" ref="J109">IFERROR(INDEX($D$2:$D$554 &amp; " ($" &amp; TEXT($E$2:$E$554, "#,##0.00") &amp; ")", SMALL(IF($A$2:$A$554=$G109, ROW($D$2:$D$554)-ROW($D$2)+1), COLUMN(C109))), "")</f>
        <v/>
      </c>
    </row>
    <row r="110" spans="1:10" x14ac:dyDescent="0.35">
      <c r="A110" s="6" t="s">
        <v>2084</v>
      </c>
      <c r="B110" s="6" t="s">
        <v>619</v>
      </c>
      <c r="C110" s="6" t="s">
        <v>2037</v>
      </c>
      <c r="D110" s="6" t="s">
        <v>2038</v>
      </c>
      <c r="E110" s="11">
        <v>2981</v>
      </c>
      <c r="G110" s="6" t="s">
        <v>2103</v>
      </c>
      <c r="H110" s="6" t="str" cm="1">
        <f t="array" ref="H110">IFERROR(INDEX($D$2:$D$554 &amp; " ($" &amp; TEXT($E$2:$E$554, "#,##0.00") &amp; ")", SMALL(IF($A$2:$A$554=$G110, ROW($D$2:$D$554)-ROW($D$2)+1), COLUMN(A110))), "")</f>
        <v>CRM OUTBOUND TELEPHONY TRACKING (NEW AND CONVERSION) ($1,024.00)</v>
      </c>
      <c r="I110" s="6" t="str" cm="1">
        <f t="array" ref="I110">IFERROR(INDEX($D$2:$D$554 &amp; " ($" &amp; TEXT($E$2:$E$554, "#,##0.00") &amp; ")", SMALL(IF($A$2:$A$554=$G110, ROW($D$2:$D$554)-ROW($D$2)+1), COLUMN(B110))), "")</f>
        <v>CARWARS INDEFINITE CALL RECORDINGS ($10.00)</v>
      </c>
      <c r="J110" s="6" t="str" cm="1">
        <f t="array" ref="J110">IFERROR(INDEX($D$2:$D$554 &amp; " ($" &amp; TEXT($E$2:$E$554, "#,##0.00") &amp; ")", SMALL(IF($A$2:$A$554=$G110, ROW($D$2:$D$554)-ROW($D$2)+1), COLUMN(C110))), "")</f>
        <v/>
      </c>
    </row>
    <row r="111" spans="1:10" x14ac:dyDescent="0.35">
      <c r="A111" s="6" t="s">
        <v>2085</v>
      </c>
      <c r="B111" s="6" t="s">
        <v>157</v>
      </c>
      <c r="C111" s="6" t="s">
        <v>408</v>
      </c>
      <c r="D111" s="6" t="s">
        <v>409</v>
      </c>
      <c r="E111" s="11">
        <v>20</v>
      </c>
      <c r="G111" s="6" t="s">
        <v>2104</v>
      </c>
      <c r="H111" s="6" t="str" cm="1">
        <f t="array" ref="H111">IFERROR(INDEX($D$2:$D$554 &amp; " ($" &amp; TEXT($E$2:$E$554, "#,##0.00") &amp; ")", SMALL(IF($A$2:$A$554=$G111, ROW($D$2:$D$554)-ROW($D$2)+1), COLUMN(A111))), "")</f>
        <v>CRM OUTBOUND TELEPHONY TRACKING (NEW AND CONVERSION) ($371.18)</v>
      </c>
      <c r="I111" s="6" t="str" cm="1">
        <f t="array" ref="I111">IFERROR(INDEX($D$2:$D$554 &amp; " ($" &amp; TEXT($E$2:$E$554, "#,##0.00") &amp; ")", SMALL(IF($A$2:$A$554=$G111, ROW($D$2:$D$554)-ROW($D$2)+1), COLUMN(B111))), "")</f>
        <v/>
      </c>
      <c r="J111" s="6" t="str" cm="1">
        <f t="array" ref="J111">IFERROR(INDEX($D$2:$D$554 &amp; " ($" &amp; TEXT($E$2:$E$554, "#,##0.00") &amp; ")", SMALL(IF($A$2:$A$554=$G111, ROW($D$2:$D$554)-ROW($D$2)+1), COLUMN(C111))), "")</f>
        <v/>
      </c>
    </row>
    <row r="112" spans="1:10" x14ac:dyDescent="0.35">
      <c r="A112" s="6" t="s">
        <v>2085</v>
      </c>
      <c r="B112" s="6" t="s">
        <v>157</v>
      </c>
      <c r="C112" s="6" t="s">
        <v>67</v>
      </c>
      <c r="D112" s="6" t="s">
        <v>68</v>
      </c>
      <c r="E112" s="11">
        <v>599</v>
      </c>
      <c r="G112" s="6" t="s">
        <v>2105</v>
      </c>
      <c r="H112" s="6" t="str" cm="1">
        <f t="array" ref="H112">IFERROR(INDEX($D$2:$D$554 &amp; " ($" &amp; TEXT($E$2:$E$554, "#,##0.00") &amp; ")", SMALL(IF($A$2:$A$554=$G112, ROW($D$2:$D$554)-ROW($D$2)+1), COLUMN(A112))), "")</f>
        <v>CRM OUTBOUND TELEPHONY TRACKING (NEW AND CONVERSION) ($370.20)</v>
      </c>
      <c r="I112" s="6" t="str" cm="1">
        <f t="array" ref="I112">IFERROR(INDEX($D$2:$D$554 &amp; " ($" &amp; TEXT($E$2:$E$554, "#,##0.00") &amp; ")", SMALL(IF($A$2:$A$554=$G112, ROW($D$2:$D$554)-ROW($D$2)+1), COLUMN(B112))), "")</f>
        <v/>
      </c>
      <c r="J112" s="6" t="str" cm="1">
        <f t="array" ref="J112">IFERROR(INDEX($D$2:$D$554 &amp; " ($" &amp; TEXT($E$2:$E$554, "#,##0.00") &amp; ")", SMALL(IF($A$2:$A$554=$G112, ROW($D$2:$D$554)-ROW($D$2)+1), COLUMN(C112))), "")</f>
        <v/>
      </c>
    </row>
    <row r="113" spans="1:10" x14ac:dyDescent="0.35">
      <c r="A113" s="6" t="s">
        <v>2086</v>
      </c>
      <c r="B113" s="6" t="s">
        <v>319</v>
      </c>
      <c r="C113" s="6" t="s">
        <v>74</v>
      </c>
      <c r="D113" s="6" t="s">
        <v>75</v>
      </c>
      <c r="E113" s="11">
        <v>350.3</v>
      </c>
      <c r="G113" s="6" t="s">
        <v>2106</v>
      </c>
      <c r="H113" s="6" t="str" cm="1">
        <f t="array" ref="H113">IFERROR(INDEX($D$2:$D$554 &amp; " ($" &amp; TEXT($E$2:$E$554, "#,##0.00") &amp; ")", SMALL(IF($A$2:$A$554=$G113, ROW($D$2:$D$554)-ROW($D$2)+1), COLUMN(A113))), "")</f>
        <v>CRM OUTBOUND TELEPHONY TRACKING (NEW AND CONVERSION) ($370.20)</v>
      </c>
      <c r="I113" s="6" t="str" cm="1">
        <f t="array" ref="I113">IFERROR(INDEX($D$2:$D$554 &amp; " ($" &amp; TEXT($E$2:$E$554, "#,##0.00") &amp; ")", SMALL(IF($A$2:$A$554=$G113, ROW($D$2:$D$554)-ROW($D$2)+1), COLUMN(B113))), "")</f>
        <v/>
      </c>
      <c r="J113" s="6" t="str" cm="1">
        <f t="array" ref="J113">IFERROR(INDEX($D$2:$D$554 &amp; " ($" &amp; TEXT($E$2:$E$554, "#,##0.00") &amp; ")", SMALL(IF($A$2:$A$554=$G113, ROW($D$2:$D$554)-ROW($D$2)+1), COLUMN(C113))), "")</f>
        <v/>
      </c>
    </row>
    <row r="114" spans="1:10" x14ac:dyDescent="0.35">
      <c r="A114" s="6" t="s">
        <v>2086</v>
      </c>
      <c r="B114" s="6" t="s">
        <v>319</v>
      </c>
      <c r="C114" s="6" t="s">
        <v>408</v>
      </c>
      <c r="D114" s="6" t="s">
        <v>409</v>
      </c>
      <c r="E114" s="11">
        <v>14.04</v>
      </c>
      <c r="G114" s="6" t="s">
        <v>1934</v>
      </c>
      <c r="H114" s="6" t="str" cm="1">
        <f t="array" ref="H114">IFERROR(INDEX($D$2:$D$554 &amp; " ($" &amp; TEXT($E$2:$E$554, "#,##0.00") &amp; ")", SMALL(IF($A$2:$A$554=$G114, ROW($D$2:$D$554)-ROW($D$2)+1), COLUMN(A114))), "")</f>
        <v>CARWARS ELITE SMALL ($1,199.00)</v>
      </c>
      <c r="I114" s="6" t="str" cm="1">
        <f t="array" ref="I114">IFERROR(INDEX($D$2:$D$554 &amp; " ($" &amp; TEXT($E$2:$E$554, "#,##0.00") &amp; ")", SMALL(IF($A$2:$A$554=$G114, ROW($D$2:$D$554)-ROW($D$2)+1), COLUMN(B114))), "")</f>
        <v>CARWARS CARRIER REGISTRATION ($10.00)</v>
      </c>
      <c r="J114" s="6" t="str" cm="1">
        <f t="array" ref="J114">IFERROR(INDEX($D$2:$D$554 &amp; " ($" &amp; TEXT($E$2:$E$554, "#,##0.00") &amp; ")", SMALL(IF($A$2:$A$554=$G114, ROW($D$2:$D$554)-ROW($D$2)+1), COLUMN(C114))), "")</f>
        <v/>
      </c>
    </row>
    <row r="115" spans="1:10" x14ac:dyDescent="0.35">
      <c r="A115" s="6" t="s">
        <v>2086</v>
      </c>
      <c r="B115" s="6" t="s">
        <v>319</v>
      </c>
      <c r="C115" s="6" t="s">
        <v>2107</v>
      </c>
      <c r="D115" s="6" t="s">
        <v>2108</v>
      </c>
      <c r="E115" s="11">
        <v>268.92</v>
      </c>
      <c r="G115" s="6" t="s">
        <v>2109</v>
      </c>
      <c r="H115" s="6" t="str" cm="1">
        <f t="array" ref="H115">IFERROR(INDEX($D$2:$D$554 &amp; " ($" &amp; TEXT($E$2:$E$554, "#,##0.00") &amp; ")", SMALL(IF($A$2:$A$554=$G115, ROW($D$2:$D$554)-ROW($D$2)+1), COLUMN(A115))), "")</f>
        <v>CRM OUTBOUND TELEPHONY TRACKING (NEW AND CONVERSION) ($142.17)</v>
      </c>
      <c r="I115" s="6" t="str" cm="1">
        <f t="array" ref="I115">IFERROR(INDEX($D$2:$D$554 &amp; " ($" &amp; TEXT($E$2:$E$554, "#,##0.00") &amp; ")", SMALL(IF($A$2:$A$554=$G115, ROW($D$2:$D$554)-ROW($D$2)+1), COLUMN(B115))), "")</f>
        <v/>
      </c>
      <c r="J115" s="6" t="str" cm="1">
        <f t="array" ref="J115">IFERROR(INDEX($D$2:$D$554 &amp; " ($" &amp; TEXT($E$2:$E$554, "#,##0.00") &amp; ")", SMALL(IF($A$2:$A$554=$G115, ROW($D$2:$D$554)-ROW($D$2)+1), COLUMN(C115))), "")</f>
        <v/>
      </c>
    </row>
    <row r="116" spans="1:10" x14ac:dyDescent="0.35">
      <c r="A116" s="6" t="s">
        <v>2087</v>
      </c>
      <c r="B116" s="6" t="s">
        <v>776</v>
      </c>
      <c r="C116" s="6" t="s">
        <v>74</v>
      </c>
      <c r="D116" s="6" t="s">
        <v>75</v>
      </c>
      <c r="E116" s="11">
        <v>584.73</v>
      </c>
      <c r="G116" s="6" t="s">
        <v>2110</v>
      </c>
      <c r="H116" s="6" t="str" cm="1">
        <f t="array" ref="H116">IFERROR(INDEX($D$2:$D$554 &amp; " ($" &amp; TEXT($E$2:$E$554, "#,##0.00") &amp; ")", SMALL(IF($A$2:$A$554=$G116, ROW($D$2:$D$554)-ROW($D$2)+1), COLUMN(A116))), "")</f>
        <v>CRM OUTBOUND TELEPHONY TRACKING (NEW AND CONVERSION) ($435.98)</v>
      </c>
      <c r="I116" s="6" t="str" cm="1">
        <f t="array" ref="I116">IFERROR(INDEX($D$2:$D$554 &amp; " ($" &amp; TEXT($E$2:$E$554, "#,##0.00") &amp; ")", SMALL(IF($A$2:$A$554=$G116, ROW($D$2:$D$554)-ROW($D$2)+1), COLUMN(B116))), "")</f>
        <v/>
      </c>
      <c r="J116" s="6" t="str" cm="1">
        <f t="array" ref="J116">IFERROR(INDEX($D$2:$D$554 &amp; " ($" &amp; TEXT($E$2:$E$554, "#,##0.00") &amp; ")", SMALL(IF($A$2:$A$554=$G116, ROW($D$2:$D$554)-ROW($D$2)+1), COLUMN(C116))), "")</f>
        <v/>
      </c>
    </row>
    <row r="117" spans="1:10" x14ac:dyDescent="0.35">
      <c r="A117" s="6" t="s">
        <v>2088</v>
      </c>
      <c r="B117" s="6" t="s">
        <v>638</v>
      </c>
      <c r="C117" s="6" t="s">
        <v>48</v>
      </c>
      <c r="D117" s="6" t="s">
        <v>49</v>
      </c>
      <c r="E117" s="11">
        <v>299</v>
      </c>
      <c r="G117" s="6" t="s">
        <v>2111</v>
      </c>
      <c r="H117" s="6" t="str" cm="1">
        <f t="array" ref="H117">IFERROR(INDEX($D$2:$D$554 &amp; " ($" &amp; TEXT($E$2:$E$554, "#,##0.00") &amp; ")", SMALL(IF($A$2:$A$554=$G117, ROW($D$2:$D$554)-ROW($D$2)+1), COLUMN(A117))), "")</f>
        <v>CRM OUTBOUND TELEPHONY TRACKING (NEW AND CONVERSION) ($217.99)</v>
      </c>
      <c r="I117" s="6" t="str" cm="1">
        <f t="array" ref="I117">IFERROR(INDEX($D$2:$D$554 &amp; " ($" &amp; TEXT($E$2:$E$554, "#,##0.00") &amp; ")", SMALL(IF($A$2:$A$554=$G117, ROW($D$2:$D$554)-ROW($D$2)+1), COLUMN(B117))), "")</f>
        <v/>
      </c>
      <c r="J117" s="6" t="str" cm="1">
        <f t="array" ref="J117">IFERROR(INDEX($D$2:$D$554 &amp; " ($" &amp; TEXT($E$2:$E$554, "#,##0.00") &amp; ")", SMALL(IF($A$2:$A$554=$G117, ROW($D$2:$D$554)-ROW($D$2)+1), COLUMN(C117))), "")</f>
        <v/>
      </c>
    </row>
    <row r="118" spans="1:10" x14ac:dyDescent="0.35">
      <c r="A118" s="6" t="s">
        <v>2089</v>
      </c>
      <c r="B118" s="6" t="s">
        <v>736</v>
      </c>
      <c r="C118" s="6" t="s">
        <v>42</v>
      </c>
      <c r="D118" s="6" t="s">
        <v>43</v>
      </c>
      <c r="E118" s="11">
        <v>995</v>
      </c>
      <c r="G118" s="6" t="s">
        <v>2112</v>
      </c>
      <c r="H118" s="6" t="str" cm="1">
        <f t="array" ref="H118">IFERROR(INDEX($D$2:$D$554 &amp; " ($" &amp; TEXT($E$2:$E$554, "#,##0.00") &amp; ")", SMALL(IF($A$2:$A$554=$G118, ROW($D$2:$D$554)-ROW($D$2)+1), COLUMN(A118))), "")</f>
        <v>CARWARS ELITE SMALL ($1,199.00)</v>
      </c>
      <c r="I118" s="6" t="str" cm="1">
        <f t="array" ref="I118">IFERROR(INDEX($D$2:$D$554 &amp; " ($" &amp; TEXT($E$2:$E$554, "#,##0.00") &amp; ")", SMALL(IF($A$2:$A$554=$G118, ROW($D$2:$D$554)-ROW($D$2)+1), COLUMN(B118))), "")</f>
        <v>CARWARS CARRIER REGISTRATION ($10.00)</v>
      </c>
      <c r="J118" s="6" t="str" cm="1">
        <f t="array" ref="J118">IFERROR(INDEX($D$2:$D$554 &amp; " ($" &amp; TEXT($E$2:$E$554, "#,##0.00") &amp; ")", SMALL(IF($A$2:$A$554=$G118, ROW($D$2:$D$554)-ROW($D$2)+1), COLUMN(C118))), "")</f>
        <v/>
      </c>
    </row>
    <row r="119" spans="1:10" x14ac:dyDescent="0.35">
      <c r="A119" s="6" t="s">
        <v>2089</v>
      </c>
      <c r="B119" s="6" t="s">
        <v>736</v>
      </c>
      <c r="C119" s="6" t="s">
        <v>1870</v>
      </c>
      <c r="D119" s="6" t="s">
        <v>1871</v>
      </c>
      <c r="E119" s="11">
        <v>999</v>
      </c>
      <c r="G119" s="6" t="s">
        <v>2113</v>
      </c>
      <c r="H119" s="6" t="str" cm="1">
        <f t="array" ref="H119">IFERROR(INDEX($D$2:$D$554 &amp; " ($" &amp; TEXT($E$2:$E$554, "#,##0.00") &amp; ")", SMALL(IF($A$2:$A$554=$G119, ROW($D$2:$D$554)-ROW($D$2)+1), COLUMN(A119))), "")</f>
        <v>CARWARS ELITE SMALL ($1,199.00)</v>
      </c>
      <c r="I119" s="6" t="str" cm="1">
        <f t="array" ref="I119">IFERROR(INDEX($D$2:$D$554 &amp; " ($" &amp; TEXT($E$2:$E$554, "#,##0.00") &amp; ")", SMALL(IF($A$2:$A$554=$G119, ROW($D$2:$D$554)-ROW($D$2)+1), COLUMN(B119))), "")</f>
        <v>CARWARS CARRIER REGISTRATION ($10.00)</v>
      </c>
      <c r="J119" s="6" t="str" cm="1">
        <f t="array" ref="J119">IFERROR(INDEX($D$2:$D$554 &amp; " ($" &amp; TEXT($E$2:$E$554, "#,##0.00") &amp; ")", SMALL(IF($A$2:$A$554=$G119, ROW($D$2:$D$554)-ROW($D$2)+1), COLUMN(C119))), "")</f>
        <v/>
      </c>
    </row>
    <row r="120" spans="1:10" x14ac:dyDescent="0.35">
      <c r="A120" s="6" t="s">
        <v>2090</v>
      </c>
      <c r="B120" s="6" t="s">
        <v>636</v>
      </c>
      <c r="C120" s="6" t="s">
        <v>42</v>
      </c>
      <c r="D120" s="6" t="s">
        <v>43</v>
      </c>
      <c r="E120" s="11">
        <v>1849</v>
      </c>
      <c r="G120" s="6" t="s">
        <v>2114</v>
      </c>
      <c r="H120" s="6" t="str" cm="1">
        <f t="array" ref="H120">IFERROR(INDEX($D$2:$D$554 &amp; " ($" &amp; TEXT($E$2:$E$554, "#,##0.00") &amp; ")", SMALL(IF($A$2:$A$554=$G120, ROW($D$2:$D$554)-ROW($D$2)+1), COLUMN(A120))), "")</f>
        <v>CRM OUTBOUND TELEPHONY TRACKING (NEW AND CONVERSION) ($217.99)</v>
      </c>
      <c r="I120" s="6" t="str" cm="1">
        <f t="array" ref="I120">IFERROR(INDEX($D$2:$D$554 &amp; " ($" &amp; TEXT($E$2:$E$554, "#,##0.00") &amp; ")", SMALL(IF($A$2:$A$554=$G120, ROW($D$2:$D$554)-ROW($D$2)+1), COLUMN(B120))), "")</f>
        <v/>
      </c>
      <c r="J120" s="6" t="str" cm="1">
        <f t="array" ref="J120">IFERROR(INDEX($D$2:$D$554 &amp; " ($" &amp; TEXT($E$2:$E$554, "#,##0.00") &amp; ")", SMALL(IF($A$2:$A$554=$G120, ROW($D$2:$D$554)-ROW($D$2)+1), COLUMN(C120))), "")</f>
        <v/>
      </c>
    </row>
    <row r="121" spans="1:10" x14ac:dyDescent="0.35">
      <c r="A121" s="6" t="s">
        <v>2091</v>
      </c>
      <c r="B121" s="6" t="s">
        <v>661</v>
      </c>
      <c r="C121" s="6" t="s">
        <v>408</v>
      </c>
      <c r="D121" s="6" t="s">
        <v>409</v>
      </c>
      <c r="E121" s="11">
        <v>20</v>
      </c>
      <c r="G121" s="6" t="s">
        <v>1395</v>
      </c>
      <c r="H121" s="6" t="str" cm="1">
        <f t="array" ref="H121">IFERROR(INDEX($D$2:$D$554 &amp; " ($" &amp; TEXT($E$2:$E$554, "#,##0.00") &amp; ")", SMALL(IF($A$2:$A$554=$G121, ROW($D$2:$D$554)-ROW($D$2)+1), COLUMN(A121))), "")</f>
        <v>CRM OUTBOUND TELEPHONY TRACKING (NEW AND CONVERSION) ($134.55)</v>
      </c>
      <c r="I121" s="6" t="str" cm="1">
        <f t="array" ref="I121">IFERROR(INDEX($D$2:$D$554 &amp; " ($" &amp; TEXT($E$2:$E$554, "#,##0.00") &amp; ")", SMALL(IF($A$2:$A$554=$G121, ROW($D$2:$D$554)-ROW($D$2)+1), COLUMN(B121))), "")</f>
        <v/>
      </c>
      <c r="J121" s="6" t="str" cm="1">
        <f t="array" ref="J121">IFERROR(INDEX($D$2:$D$554 &amp; " ($" &amp; TEXT($E$2:$E$554, "#,##0.00") &amp; ")", SMALL(IF($A$2:$A$554=$G121, ROW($D$2:$D$554)-ROW($D$2)+1), COLUMN(C121))), "")</f>
        <v/>
      </c>
    </row>
    <row r="122" spans="1:10" x14ac:dyDescent="0.35">
      <c r="A122" s="6" t="s">
        <v>2091</v>
      </c>
      <c r="B122" s="6" t="s">
        <v>661</v>
      </c>
      <c r="C122" s="6" t="s">
        <v>67</v>
      </c>
      <c r="D122" s="6" t="s">
        <v>68</v>
      </c>
      <c r="E122" s="11">
        <v>599</v>
      </c>
      <c r="G122" s="6" t="s">
        <v>2115</v>
      </c>
      <c r="H122" s="6" t="str" cm="1">
        <f t="array" ref="H122">IFERROR(INDEX($D$2:$D$554 &amp; " ($" &amp; TEXT($E$2:$E$554, "#,##0.00") &amp; ")", SMALL(IF($A$2:$A$554=$G122, ROW($D$2:$D$554)-ROW($D$2)+1), COLUMN(A122))), "")</f>
        <v>CARWARS ELITE SMALL ($1,199.00)</v>
      </c>
      <c r="I122" s="6" t="str" cm="1">
        <f t="array" ref="I122">IFERROR(INDEX($D$2:$D$554 &amp; " ($" &amp; TEXT($E$2:$E$554, "#,##0.00") &amp; ")", SMALL(IF($A$2:$A$554=$G122, ROW($D$2:$D$554)-ROW($D$2)+1), COLUMN(B122))), "")</f>
        <v>CARWARS CARRIER REGISTRATION ($10.00)</v>
      </c>
      <c r="J122" s="6" t="str" cm="1">
        <f t="array" ref="J122">IFERROR(INDEX($D$2:$D$554 &amp; " ($" &amp; TEXT($E$2:$E$554, "#,##0.00") &amp; ")", SMALL(IF($A$2:$A$554=$G122, ROW($D$2:$D$554)-ROW($D$2)+1), COLUMN(C122))), "")</f>
        <v/>
      </c>
    </row>
    <row r="123" spans="1:10" x14ac:dyDescent="0.35">
      <c r="A123" s="6" t="s">
        <v>1391</v>
      </c>
      <c r="B123" s="6" t="s">
        <v>1392</v>
      </c>
      <c r="C123" s="6" t="s">
        <v>1329</v>
      </c>
      <c r="D123" s="6" t="s">
        <v>1330</v>
      </c>
      <c r="E123" s="11">
        <v>113.4</v>
      </c>
      <c r="G123" s="6" t="s">
        <v>2116</v>
      </c>
      <c r="H123" s="6" t="str" cm="1">
        <f t="array" ref="H123">IFERROR(INDEX($D$2:$D$554 &amp; " ($" &amp; TEXT($E$2:$E$554, "#,##0.00") &amp; ")", SMALL(IF($A$2:$A$554=$G123, ROW($D$2:$D$554)-ROW($D$2)+1), COLUMN(A123))), "")</f>
        <v>CARWARS ELITE SMALL ($1,199.00)</v>
      </c>
      <c r="I123" s="6" t="str" cm="1">
        <f t="array" ref="I123">IFERROR(INDEX($D$2:$D$554 &amp; " ($" &amp; TEXT($E$2:$E$554, "#,##0.00") &amp; ")", SMALL(IF($A$2:$A$554=$G123, ROW($D$2:$D$554)-ROW($D$2)+1), COLUMN(B123))), "")</f>
        <v>CARWARS CARRIER REGISTRATION ($10.00)</v>
      </c>
      <c r="J123" s="6" t="str" cm="1">
        <f t="array" ref="J123">IFERROR(INDEX($D$2:$D$554 &amp; " ($" &amp; TEXT($E$2:$E$554, "#,##0.00") &amp; ")", SMALL(IF($A$2:$A$554=$G123, ROW($D$2:$D$554)-ROW($D$2)+1), COLUMN(C123))), "")</f>
        <v/>
      </c>
    </row>
    <row r="124" spans="1:10" x14ac:dyDescent="0.35">
      <c r="A124" s="6" t="s">
        <v>2092</v>
      </c>
      <c r="B124" s="6" t="s">
        <v>712</v>
      </c>
      <c r="C124" s="6" t="s">
        <v>42</v>
      </c>
      <c r="D124" s="6" t="s">
        <v>43</v>
      </c>
      <c r="E124" s="11">
        <v>1941.45</v>
      </c>
      <c r="G124" s="6" t="s">
        <v>2117</v>
      </c>
      <c r="H124" s="6" t="str" cm="1">
        <f t="array" ref="H124">IFERROR(INDEX($D$2:$D$554 &amp; " ($" &amp; TEXT($E$2:$E$554, "#,##0.00") &amp; ")", SMALL(IF($A$2:$A$554=$G124, ROW($D$2:$D$554)-ROW($D$2)+1), COLUMN(A124))), "")</f>
        <v>CARWARS ELITE SMALL ($1,199.00)</v>
      </c>
      <c r="I124" s="6" t="str" cm="1">
        <f t="array" ref="I124">IFERROR(INDEX($D$2:$D$554 &amp; " ($" &amp; TEXT($E$2:$E$554, "#,##0.00") &amp; ")", SMALL(IF($A$2:$A$554=$G124, ROW($D$2:$D$554)-ROW($D$2)+1), COLUMN(B124))), "")</f>
        <v>CARWARS CARRIER REGISTRATION ($10.00)</v>
      </c>
      <c r="J124" s="6" t="str" cm="1">
        <f t="array" ref="J124">IFERROR(INDEX($D$2:$D$554 &amp; " ($" &amp; TEXT($E$2:$E$554, "#,##0.00") &amp; ")", SMALL(IF($A$2:$A$554=$G124, ROW($D$2:$D$554)-ROW($D$2)+1), COLUMN(C124))), "")</f>
        <v/>
      </c>
    </row>
    <row r="125" spans="1:10" x14ac:dyDescent="0.35">
      <c r="A125" s="6" t="s">
        <v>2093</v>
      </c>
      <c r="B125" s="6" t="s">
        <v>634</v>
      </c>
      <c r="C125" s="6" t="s">
        <v>97</v>
      </c>
      <c r="D125" s="6" t="s">
        <v>98</v>
      </c>
      <c r="E125" s="11">
        <v>1499</v>
      </c>
      <c r="G125" s="6" t="s">
        <v>2118</v>
      </c>
      <c r="H125" s="6" t="str" cm="1">
        <f t="array" ref="H125">IFERROR(INDEX($D$2:$D$554 &amp; " ($" &amp; TEXT($E$2:$E$554, "#,##0.00") &amp; ")", SMALL(IF($A$2:$A$554=$G125, ROW($D$2:$D$554)-ROW($D$2)+1), COLUMN(A125))), "")</f>
        <v>CARWARS ELITE SMALL ($1,199.00)</v>
      </c>
      <c r="I125" s="6" t="str" cm="1">
        <f t="array" ref="I125">IFERROR(INDEX($D$2:$D$554 &amp; " ($" &amp; TEXT($E$2:$E$554, "#,##0.00") &amp; ")", SMALL(IF($A$2:$A$554=$G125, ROW($D$2:$D$554)-ROW($D$2)+1), COLUMN(B125))), "")</f>
        <v>CARWARS CARRIER REGISTRATION ($10.00)</v>
      </c>
      <c r="J125" s="6" t="str" cm="1">
        <f t="array" ref="J125">IFERROR(INDEX($D$2:$D$554 &amp; " ($" &amp; TEXT($E$2:$E$554, "#,##0.00") &amp; ")", SMALL(IF($A$2:$A$554=$G125, ROW($D$2:$D$554)-ROW($D$2)+1), COLUMN(C125))), "")</f>
        <v/>
      </c>
    </row>
    <row r="126" spans="1:10" x14ac:dyDescent="0.35">
      <c r="A126" s="6" t="s">
        <v>2094</v>
      </c>
      <c r="B126" s="6" t="s">
        <v>240</v>
      </c>
      <c r="C126" s="6" t="s">
        <v>48</v>
      </c>
      <c r="D126" s="6" t="s">
        <v>49</v>
      </c>
      <c r="E126" s="11">
        <v>217.23</v>
      </c>
      <c r="G126" s="6" t="s">
        <v>2119</v>
      </c>
      <c r="H126" s="6" t="str" cm="1">
        <f t="array" ref="H126">IFERROR(INDEX($D$2:$D$554 &amp; " ($" &amp; TEXT($E$2:$E$554, "#,##0.00") &amp; ")", SMALL(IF($A$2:$A$554=$G126, ROW($D$2:$D$554)-ROW($D$2)+1), COLUMN(A126))), "")</f>
        <v>CRM OUTBOUND TELEPHONY TRACKING (NEW AND CONVERSION) ($145.08)</v>
      </c>
      <c r="I126" s="6" t="str" cm="1">
        <f t="array" ref="I126">IFERROR(INDEX($D$2:$D$554 &amp; " ($" &amp; TEXT($E$2:$E$554, "#,##0.00") &amp; ")", SMALL(IF($A$2:$A$554=$G126, ROW($D$2:$D$554)-ROW($D$2)+1), COLUMN(B126))), "")</f>
        <v/>
      </c>
      <c r="J126" s="6" t="str" cm="1">
        <f t="array" ref="J126">IFERROR(INDEX($D$2:$D$554 &amp; " ($" &amp; TEXT($E$2:$E$554, "#,##0.00") &amp; ")", SMALL(IF($A$2:$A$554=$G126, ROW($D$2:$D$554)-ROW($D$2)+1), COLUMN(C126))), "")</f>
        <v/>
      </c>
    </row>
    <row r="127" spans="1:10" x14ac:dyDescent="0.35">
      <c r="A127" s="6" t="s">
        <v>2095</v>
      </c>
      <c r="B127" s="6" t="s">
        <v>206</v>
      </c>
      <c r="C127" s="6" t="s">
        <v>48</v>
      </c>
      <c r="D127" s="6" t="s">
        <v>49</v>
      </c>
      <c r="E127" s="11">
        <v>200.93</v>
      </c>
      <c r="G127" s="6" t="s">
        <v>2120</v>
      </c>
      <c r="H127" s="6" t="str" cm="1">
        <f t="array" ref="H127">IFERROR(INDEX($D$2:$D$554 &amp; " ($" &amp; TEXT($E$2:$E$554, "#,##0.00") &amp; ")", SMALL(IF($A$2:$A$554=$G127, ROW($D$2:$D$554)-ROW($D$2)+1), COLUMN(A127))), "")</f>
        <v>CARWARS STARTER 3500 ($322.92)</v>
      </c>
      <c r="I127" s="6" t="str" cm="1">
        <f t="array" ref="I127">IFERROR(INDEX($D$2:$D$554 &amp; " ($" &amp; TEXT($E$2:$E$554, "#,##0.00") &amp; ")", SMALL(IF($A$2:$A$554=$G127, ROW($D$2:$D$554)-ROW($D$2)+1), COLUMN(B127))), "")</f>
        <v/>
      </c>
      <c r="J127" s="6" t="str" cm="1">
        <f t="array" ref="J127">IFERROR(INDEX($D$2:$D$554 &amp; " ($" &amp; TEXT($E$2:$E$554, "#,##0.00") &amp; ")", SMALL(IF($A$2:$A$554=$G127, ROW($D$2:$D$554)-ROW($D$2)+1), COLUMN(C127))), "")</f>
        <v/>
      </c>
    </row>
    <row r="128" spans="1:10" x14ac:dyDescent="0.35">
      <c r="A128" s="6" t="s">
        <v>1393</v>
      </c>
      <c r="B128" s="6" t="s">
        <v>1394</v>
      </c>
      <c r="C128" s="6" t="s">
        <v>1329</v>
      </c>
      <c r="D128" s="6" t="s">
        <v>1330</v>
      </c>
      <c r="E128" s="11">
        <v>111.29</v>
      </c>
      <c r="G128" s="6" t="s">
        <v>1397</v>
      </c>
      <c r="H128" s="6" t="str" cm="1">
        <f t="array" ref="H128">IFERROR(INDEX($D$2:$D$554 &amp; " ($" &amp; TEXT($E$2:$E$554, "#,##0.00") &amp; ")", SMALL(IF($A$2:$A$554=$G128, ROW($D$2:$D$554)-ROW($D$2)+1), COLUMN(A128))), "")</f>
        <v>CRM OUTBOUND TELEPHONY TRACKING (NEW AND CONVERSION) ($199.00)</v>
      </c>
      <c r="I128" s="6" t="str" cm="1">
        <f t="array" ref="I128">IFERROR(INDEX($D$2:$D$554 &amp; " ($" &amp; TEXT($E$2:$E$554, "#,##0.00") &amp; ")", SMALL(IF($A$2:$A$554=$G128, ROW($D$2:$D$554)-ROW($D$2)+1), COLUMN(B128))), "")</f>
        <v/>
      </c>
      <c r="J128" s="6" t="str" cm="1">
        <f t="array" ref="J128">IFERROR(INDEX($D$2:$D$554 &amp; " ($" &amp; TEXT($E$2:$E$554, "#,##0.00") &amp; ")", SMALL(IF($A$2:$A$554=$G128, ROW($D$2:$D$554)-ROW($D$2)+1), COLUMN(C128))), "")</f>
        <v/>
      </c>
    </row>
    <row r="129" spans="1:10" x14ac:dyDescent="0.35">
      <c r="A129" s="6" t="s">
        <v>2096</v>
      </c>
      <c r="B129" s="6" t="s">
        <v>193</v>
      </c>
      <c r="C129" s="6" t="s">
        <v>42</v>
      </c>
      <c r="D129" s="6" t="s">
        <v>43</v>
      </c>
      <c r="E129" s="11">
        <v>1386.75</v>
      </c>
      <c r="G129" s="6" t="s">
        <v>2121</v>
      </c>
      <c r="H129" s="6" t="str" cm="1">
        <f t="array" ref="H129">IFERROR(INDEX($D$2:$D$554 &amp; " ($" &amp; TEXT($E$2:$E$554, "#,##0.00") &amp; ")", SMALL(IF($A$2:$A$554=$G129, ROW($D$2:$D$554)-ROW($D$2)+1), COLUMN(A129))), "")</f>
        <v>CRM OUTBOUND TELEPHONY TRACKING (NEW AND CONVERSION) ($2,911.24)</v>
      </c>
      <c r="I129" s="6" t="str" cm="1">
        <f t="array" ref="I129">IFERROR(INDEX($D$2:$D$554 &amp; " ($" &amp; TEXT($E$2:$E$554, "#,##0.00") &amp; ")", SMALL(IF($A$2:$A$554=$G129, ROW($D$2:$D$554)-ROW($D$2)+1), COLUMN(B129))), "")</f>
        <v/>
      </c>
      <c r="J129" s="6" t="str" cm="1">
        <f t="array" ref="J129">IFERROR(INDEX($D$2:$D$554 &amp; " ($" &amp; TEXT($E$2:$E$554, "#,##0.00") &amp; ")", SMALL(IF($A$2:$A$554=$G129, ROW($D$2:$D$554)-ROW($D$2)+1), COLUMN(C129))), "")</f>
        <v/>
      </c>
    </row>
    <row r="130" spans="1:10" x14ac:dyDescent="0.35">
      <c r="A130" s="6" t="s">
        <v>2097</v>
      </c>
      <c r="B130" s="6" t="s">
        <v>943</v>
      </c>
      <c r="C130" s="6" t="s">
        <v>48</v>
      </c>
      <c r="D130" s="6" t="s">
        <v>49</v>
      </c>
      <c r="E130" s="11">
        <v>319</v>
      </c>
      <c r="G130" s="6" t="s">
        <v>2122</v>
      </c>
      <c r="H130" s="6" t="str" cm="1">
        <f t="array" ref="H130">IFERROR(INDEX($D$2:$D$554 &amp; " ($" &amp; TEXT($E$2:$E$554, "#,##0.00") &amp; ")", SMALL(IF($A$2:$A$554=$G130, ROW($D$2:$D$554)-ROW($D$2)+1), COLUMN(A130))), "")</f>
        <v>OUTBOUND CALL TRACKING PKGS (GM IMR CONVERSION) ($2,921.38)</v>
      </c>
      <c r="I130" s="6" t="str" cm="1">
        <f t="array" ref="I130">IFERROR(INDEX($D$2:$D$554 &amp; " ($" &amp; TEXT($E$2:$E$554, "#,##0.00") &amp; ")", SMALL(IF($A$2:$A$554=$G130, ROW($D$2:$D$554)-ROW($D$2)+1), COLUMN(B130))), "")</f>
        <v/>
      </c>
      <c r="J130" s="6" t="str" cm="1">
        <f t="array" ref="J130">IFERROR(INDEX($D$2:$D$554 &amp; " ($" &amp; TEXT($E$2:$E$554, "#,##0.00") &amp; ")", SMALL(IF($A$2:$A$554=$G130, ROW($D$2:$D$554)-ROW($D$2)+1), COLUMN(C130))), "")</f>
        <v/>
      </c>
    </row>
    <row r="131" spans="1:10" x14ac:dyDescent="0.35">
      <c r="A131" s="6" t="s">
        <v>2098</v>
      </c>
      <c r="B131" s="6" t="s">
        <v>817</v>
      </c>
      <c r="C131" s="6" t="s">
        <v>35</v>
      </c>
      <c r="D131" s="6" t="s">
        <v>36</v>
      </c>
      <c r="E131" s="11">
        <v>371.36</v>
      </c>
      <c r="G131" s="6" t="s">
        <v>2123</v>
      </c>
      <c r="H131" s="6" t="str" cm="1">
        <f t="array" ref="H131">IFERROR(INDEX($D$2:$D$554 &amp; " ($" &amp; TEXT($E$2:$E$554, "#,##0.00") &amp; ")", SMALL(IF($A$2:$A$554=$G131, ROW($D$2:$D$554)-ROW($D$2)+1), COLUMN(A131))), "")</f>
        <v>CRM OUTBOUND TELEPHONY TRACKING (NEW AND CONVERSION) ($142.17)</v>
      </c>
      <c r="I131" s="6" t="str" cm="1">
        <f t="array" ref="I131">IFERROR(INDEX($D$2:$D$554 &amp; " ($" &amp; TEXT($E$2:$E$554, "#,##0.00") &amp; ")", SMALL(IF($A$2:$A$554=$G131, ROW($D$2:$D$554)-ROW($D$2)+1), COLUMN(B131))), "")</f>
        <v/>
      </c>
      <c r="J131" s="6" t="str" cm="1">
        <f t="array" ref="J131">IFERROR(INDEX($D$2:$D$554 &amp; " ($" &amp; TEXT($E$2:$E$554, "#,##0.00") &amp; ")", SMALL(IF($A$2:$A$554=$G131, ROW($D$2:$D$554)-ROW($D$2)+1), COLUMN(C131))), "")</f>
        <v/>
      </c>
    </row>
    <row r="132" spans="1:10" x14ac:dyDescent="0.35">
      <c r="A132" s="6" t="s">
        <v>2099</v>
      </c>
      <c r="B132" s="6" t="s">
        <v>828</v>
      </c>
      <c r="C132" s="6" t="s">
        <v>35</v>
      </c>
      <c r="D132" s="6" t="s">
        <v>36</v>
      </c>
      <c r="E132" s="11">
        <v>619.46</v>
      </c>
      <c r="G132" s="6" t="s">
        <v>2124</v>
      </c>
      <c r="H132" s="6" t="str" cm="1">
        <f t="array" ref="H132">IFERROR(INDEX($D$2:$D$554 &amp; " ($" &amp; TEXT($E$2:$E$554, "#,##0.00") &amp; ")", SMALL(IF($A$2:$A$554=$G132, ROW($D$2:$D$554)-ROW($D$2)+1), COLUMN(A132))), "")</f>
        <v>CARWARS STARTER 5000 ($599.00)</v>
      </c>
      <c r="I132" s="6" t="str" cm="1">
        <f t="array" ref="I132">IFERROR(INDEX($D$2:$D$554 &amp; " ($" &amp; TEXT($E$2:$E$554, "#,##0.00") &amp; ")", SMALL(IF($A$2:$A$554=$G132, ROW($D$2:$D$554)-ROW($D$2)+1), COLUMN(B132))), "")</f>
        <v/>
      </c>
      <c r="J132" s="6" t="str" cm="1">
        <f t="array" ref="J132">IFERROR(INDEX($D$2:$D$554 &amp; " ($" &amp; TEXT($E$2:$E$554, "#,##0.00") &amp; ")", SMALL(IF($A$2:$A$554=$G132, ROW($D$2:$D$554)-ROW($D$2)+1), COLUMN(C132))), "")</f>
        <v/>
      </c>
    </row>
    <row r="133" spans="1:10" x14ac:dyDescent="0.35">
      <c r="A133" s="6" t="s">
        <v>2100</v>
      </c>
      <c r="B133" s="6" t="s">
        <v>539</v>
      </c>
      <c r="C133" s="6" t="s">
        <v>74</v>
      </c>
      <c r="D133" s="6" t="s">
        <v>75</v>
      </c>
      <c r="E133" s="11">
        <v>499</v>
      </c>
      <c r="G133" s="6" t="s">
        <v>1399</v>
      </c>
      <c r="H133" s="6" t="str" cm="1">
        <f t="array" ref="H133">IFERROR(INDEX($D$2:$D$554 &amp; " ($" &amp; TEXT($E$2:$E$554, "#,##0.00") &amp; ")", SMALL(IF($A$2:$A$554=$G133, ROW($D$2:$D$554)-ROW($D$2)+1), COLUMN(A133))), "")</f>
        <v>EL1OUTCALLTRACK (GM IMR) ($195.02)</v>
      </c>
      <c r="I133" s="6" t="str" cm="1">
        <f t="array" ref="I133">IFERROR(INDEX($D$2:$D$554 &amp; " ($" &amp; TEXT($E$2:$E$554, "#,##0.00") &amp; ")", SMALL(IF($A$2:$A$554=$G133, ROW($D$2:$D$554)-ROW($D$2)+1), COLUMN(B133))), "")</f>
        <v/>
      </c>
      <c r="J133" s="6" t="str" cm="1">
        <f t="array" ref="J133">IFERROR(INDEX($D$2:$D$554 &amp; " ($" &amp; TEXT($E$2:$E$554, "#,##0.00") &amp; ")", SMALL(IF($A$2:$A$554=$G133, ROW($D$2:$D$554)-ROW($D$2)+1), COLUMN(C133))), "")</f>
        <v/>
      </c>
    </row>
    <row r="134" spans="1:10" x14ac:dyDescent="0.35">
      <c r="A134" s="6" t="s">
        <v>2101</v>
      </c>
      <c r="B134" s="6" t="s">
        <v>481</v>
      </c>
      <c r="C134" s="6" t="s">
        <v>48</v>
      </c>
      <c r="D134" s="6" t="s">
        <v>49</v>
      </c>
      <c r="E134" s="11">
        <v>299</v>
      </c>
      <c r="G134" s="6" t="s">
        <v>2125</v>
      </c>
      <c r="H134" s="6" t="str" cm="1">
        <f t="array" ref="H134">IFERROR(INDEX($D$2:$D$554 &amp; " ($" &amp; TEXT($E$2:$E$554, "#,##0.00") &amp; ")", SMALL(IF($A$2:$A$554=$G134, ROW($D$2:$D$554)-ROW($D$2)+1), COLUMN(A134))), "")</f>
        <v>CARWARS ELITE LARGE ($2,981.00)</v>
      </c>
      <c r="I134" s="6" t="str" cm="1">
        <f t="array" ref="I134">IFERROR(INDEX($D$2:$D$554 &amp; " ($" &amp; TEXT($E$2:$E$554, "#,##0.00") &amp; ")", SMALL(IF($A$2:$A$554=$G134, ROW($D$2:$D$554)-ROW($D$2)+1), COLUMN(B134))), "")</f>
        <v/>
      </c>
      <c r="J134" s="6" t="str" cm="1">
        <f t="array" ref="J134">IFERROR(INDEX($D$2:$D$554 &amp; " ($" &amp; TEXT($E$2:$E$554, "#,##0.00") &amp; ")", SMALL(IF($A$2:$A$554=$G134, ROW($D$2:$D$554)-ROW($D$2)+1), COLUMN(C134))), "")</f>
        <v/>
      </c>
    </row>
    <row r="135" spans="1:10" x14ac:dyDescent="0.35">
      <c r="A135" s="6" t="s">
        <v>2102</v>
      </c>
      <c r="B135" s="6" t="s">
        <v>595</v>
      </c>
      <c r="C135" s="6" t="s">
        <v>97</v>
      </c>
      <c r="D135" s="6" t="s">
        <v>98</v>
      </c>
      <c r="E135" s="11">
        <v>1499</v>
      </c>
      <c r="G135" s="6" t="s">
        <v>1401</v>
      </c>
      <c r="H135" s="6" t="str" cm="1">
        <f t="array" ref="H135">IFERROR(INDEX($D$2:$D$554 &amp; " ($" &amp; TEXT($E$2:$E$554, "#,##0.00") &amp; ")", SMALL(IF($A$2:$A$554=$G135, ROW($D$2:$D$554)-ROW($D$2)+1), COLUMN(A135))), "")</f>
        <v>CARWARS CARRIER REGISTRATION ($10.00)</v>
      </c>
      <c r="I135" s="6" t="str" cm="1">
        <f t="array" ref="I135">IFERROR(INDEX($D$2:$D$554 &amp; " ($" &amp; TEXT($E$2:$E$554, "#,##0.00") &amp; ")", SMALL(IF($A$2:$A$554=$G135, ROW($D$2:$D$554)-ROW($D$2)+1), COLUMN(B135))), "")</f>
        <v/>
      </c>
      <c r="J135" s="6" t="str" cm="1">
        <f t="array" ref="J135">IFERROR(INDEX($D$2:$D$554 &amp; " ($" &amp; TEXT($E$2:$E$554, "#,##0.00") &amp; ")", SMALL(IF($A$2:$A$554=$G135, ROW($D$2:$D$554)-ROW($D$2)+1), COLUMN(C135))), "")</f>
        <v/>
      </c>
    </row>
    <row r="136" spans="1:10" x14ac:dyDescent="0.35">
      <c r="A136" s="6" t="s">
        <v>2103</v>
      </c>
      <c r="B136" s="6" t="s">
        <v>914</v>
      </c>
      <c r="C136" s="6" t="s">
        <v>35</v>
      </c>
      <c r="D136" s="6" t="s">
        <v>36</v>
      </c>
      <c r="E136" s="11">
        <v>1024</v>
      </c>
      <c r="G136" s="6" t="s">
        <v>2126</v>
      </c>
      <c r="H136" s="6" t="str" cm="1">
        <f t="array" ref="H136">IFERROR(INDEX($D$2:$D$554 &amp; " ($" &amp; TEXT($E$2:$E$554, "#,##0.00") &amp; ")", SMALL(IF($A$2:$A$554=$G136, ROW($D$2:$D$554)-ROW($D$2)+1), COLUMN(A136))), "")</f>
        <v>CARWARS STARTER 7500 ($350.30)</v>
      </c>
      <c r="I136" s="6" t="str" cm="1">
        <f t="array" ref="I136">IFERROR(INDEX($D$2:$D$554 &amp; " ($" &amp; TEXT($E$2:$E$554, "#,##0.00") &amp; ")", SMALL(IF($A$2:$A$554=$G136, ROW($D$2:$D$554)-ROW($D$2)+1), COLUMN(B136))), "")</f>
        <v/>
      </c>
      <c r="J136" s="6" t="str" cm="1">
        <f t="array" ref="J136">IFERROR(INDEX($D$2:$D$554 &amp; " ($" &amp; TEXT($E$2:$E$554, "#,##0.00") &amp; ")", SMALL(IF($A$2:$A$554=$G136, ROW($D$2:$D$554)-ROW($D$2)+1), COLUMN(C136))), "")</f>
        <v/>
      </c>
    </row>
    <row r="137" spans="1:10" x14ac:dyDescent="0.35">
      <c r="A137" s="6" t="s">
        <v>2103</v>
      </c>
      <c r="B137" s="6" t="s">
        <v>914</v>
      </c>
      <c r="C137" s="6" t="s">
        <v>408</v>
      </c>
      <c r="D137" s="6" t="s">
        <v>409</v>
      </c>
      <c r="E137" s="11">
        <v>10</v>
      </c>
      <c r="G137" s="6" t="s">
        <v>2127</v>
      </c>
      <c r="H137" s="6" t="str" cm="1">
        <f t="array" ref="H137">IFERROR(INDEX($D$2:$D$554 &amp; " ($" &amp; TEXT($E$2:$E$554, "#,##0.00") &amp; ")", SMALL(IF($A$2:$A$554=$G137, ROW($D$2:$D$554)-ROW($D$2)+1), COLUMN(A137))), "")</f>
        <v>CARWARS INDEFINITE CALL RECORDINGS ($20.00)</v>
      </c>
      <c r="I137" s="6" t="str" cm="1">
        <f t="array" ref="I137">IFERROR(INDEX($D$2:$D$554 &amp; " ($" &amp; TEXT($E$2:$E$554, "#,##0.00") &amp; ")", SMALL(IF($A$2:$A$554=$G137, ROW($D$2:$D$554)-ROW($D$2)+1), COLUMN(B137))), "")</f>
        <v>CARWARS STARTER UNLIMITED (FOR PHONE SYSTEMS) ($799.00)</v>
      </c>
      <c r="J137" s="6" t="str" cm="1">
        <f t="array" ref="J137">IFERROR(INDEX($D$2:$D$554 &amp; " ($" &amp; TEXT($E$2:$E$554, "#,##0.00") &amp; ")", SMALL(IF($A$2:$A$554=$G137, ROW($D$2:$D$554)-ROW($D$2)+1), COLUMN(C137))), "")</f>
        <v/>
      </c>
    </row>
    <row r="138" spans="1:10" x14ac:dyDescent="0.35">
      <c r="A138" s="6" t="s">
        <v>2104</v>
      </c>
      <c r="B138" s="6" t="s">
        <v>803</v>
      </c>
      <c r="C138" s="6" t="s">
        <v>35</v>
      </c>
      <c r="D138" s="6" t="s">
        <v>36</v>
      </c>
      <c r="E138" s="11">
        <v>371.18</v>
      </c>
      <c r="G138" s="6" t="s">
        <v>2128</v>
      </c>
      <c r="H138" s="6" t="str" cm="1">
        <f t="array" ref="H138">IFERROR(INDEX($D$2:$D$554 &amp; " ($" &amp; TEXT($E$2:$E$554, "#,##0.00") &amp; ")", SMALL(IF($A$2:$A$554=$G138, ROW($D$2:$D$554)-ROW($D$2)+1), COLUMN(A138))), "")</f>
        <v>CARWARS PREMIUM SALES ($1,386.75)</v>
      </c>
      <c r="I138" s="6" t="str" cm="1">
        <f t="array" ref="I138">IFERROR(INDEX($D$2:$D$554 &amp; " ($" &amp; TEXT($E$2:$E$554, "#,##0.00") &amp; ")", SMALL(IF($A$2:$A$554=$G138, ROW($D$2:$D$554)-ROW($D$2)+1), COLUMN(B138))), "")</f>
        <v>CRM TELEPHONY TRACKING ($100.00)</v>
      </c>
      <c r="J138" s="6" t="str" cm="1">
        <f t="array" ref="J138">IFERROR(INDEX($D$2:$D$554 &amp; " ($" &amp; TEXT($E$2:$E$554, "#,##0.00") &amp; ")", SMALL(IF($A$2:$A$554=$G138, ROW($D$2:$D$554)-ROW($D$2)+1), COLUMN(C138))), "")</f>
        <v/>
      </c>
    </row>
    <row r="139" spans="1:10" x14ac:dyDescent="0.35">
      <c r="A139" s="6" t="s">
        <v>2105</v>
      </c>
      <c r="B139" s="6" t="s">
        <v>793</v>
      </c>
      <c r="C139" s="6" t="s">
        <v>35</v>
      </c>
      <c r="D139" s="6" t="s">
        <v>36</v>
      </c>
      <c r="E139" s="11">
        <v>370.2</v>
      </c>
      <c r="G139" s="6" t="s">
        <v>2129</v>
      </c>
      <c r="H139" s="6" t="str" cm="1">
        <f t="array" ref="H139">IFERROR(INDEX($D$2:$D$554 &amp; " ($" &amp; TEXT($E$2:$E$554, "#,##0.00") &amp; ")", SMALL(IF($A$2:$A$554=$G139, ROW($D$2:$D$554)-ROW($D$2)+1), COLUMN(A139))), "")</f>
        <v>EL1OUTCALLTRACK (GM IMR) ($293.02)</v>
      </c>
      <c r="I139" s="6" t="str" cm="1">
        <f t="array" ref="I139">IFERROR(INDEX($D$2:$D$554 &amp; " ($" &amp; TEXT($E$2:$E$554, "#,##0.00") &amp; ")", SMALL(IF($A$2:$A$554=$G139, ROW($D$2:$D$554)-ROW($D$2)+1), COLUMN(B139))), "")</f>
        <v/>
      </c>
      <c r="J139" s="6" t="str" cm="1">
        <f t="array" ref="J139">IFERROR(INDEX($D$2:$D$554 &amp; " ($" &amp; TEXT($E$2:$E$554, "#,##0.00") &amp; ")", SMALL(IF($A$2:$A$554=$G139, ROW($D$2:$D$554)-ROW($D$2)+1), COLUMN(C139))), "")</f>
        <v/>
      </c>
    </row>
    <row r="140" spans="1:10" x14ac:dyDescent="0.35">
      <c r="A140" s="6" t="s">
        <v>2106</v>
      </c>
      <c r="B140" s="6" t="s">
        <v>872</v>
      </c>
      <c r="C140" s="6" t="s">
        <v>35</v>
      </c>
      <c r="D140" s="6" t="s">
        <v>36</v>
      </c>
      <c r="E140" s="11">
        <v>370.2</v>
      </c>
      <c r="G140" s="6" t="s">
        <v>2130</v>
      </c>
      <c r="H140" s="6" t="str" cm="1">
        <f t="array" ref="H140">IFERROR(INDEX($D$2:$D$554 &amp; " ($" &amp; TEXT($E$2:$E$554, "#,##0.00") &amp; ")", SMALL(IF($A$2:$A$554=$G140, ROW($D$2:$D$554)-ROW($D$2)+1), COLUMN(A140))), "")</f>
        <v>CARWARS STARTER 3500 ($342.10)</v>
      </c>
      <c r="I140" s="6" t="str" cm="1">
        <f t="array" ref="I140">IFERROR(INDEX($D$2:$D$554 &amp; " ($" &amp; TEXT($E$2:$E$554, "#,##0.00") &amp; ")", SMALL(IF($A$2:$A$554=$G140, ROW($D$2:$D$554)-ROW($D$2)+1), COLUMN(B140))), "")</f>
        <v/>
      </c>
      <c r="J140" s="6" t="str" cm="1">
        <f t="array" ref="J140">IFERROR(INDEX($D$2:$D$554 &amp; " ($" &amp; TEXT($E$2:$E$554, "#,##0.00") &amp; ")", SMALL(IF($A$2:$A$554=$G140, ROW($D$2:$D$554)-ROW($D$2)+1), COLUMN(C140))), "")</f>
        <v/>
      </c>
    </row>
    <row r="141" spans="1:10" x14ac:dyDescent="0.35">
      <c r="A141" s="6" t="s">
        <v>1934</v>
      </c>
      <c r="B141" s="6" t="s">
        <v>454</v>
      </c>
      <c r="C141" s="6" t="s">
        <v>2052</v>
      </c>
      <c r="D141" s="6" t="s">
        <v>2053</v>
      </c>
      <c r="E141" s="11">
        <v>1199</v>
      </c>
      <c r="G141" s="6" t="s">
        <v>2131</v>
      </c>
      <c r="H141" s="6" t="str" cm="1">
        <f t="array" ref="H141">IFERROR(INDEX($D$2:$D$554 &amp; " ($" &amp; TEXT($E$2:$E$554, "#,##0.00") &amp; ")", SMALL(IF($A$2:$A$554=$G141, ROW($D$2:$D$554)-ROW($D$2)+1), COLUMN(A141))), "")</f>
        <v>CARWARS ELITE 12,500 PACKAGE ($1,618.92)</v>
      </c>
      <c r="I141" s="6" t="str" cm="1">
        <f t="array" ref="I141">IFERROR(INDEX($D$2:$D$554 &amp; " ($" &amp; TEXT($E$2:$E$554, "#,##0.00") &amp; ")", SMALL(IF($A$2:$A$554=$G141, ROW($D$2:$D$554)-ROW($D$2)+1), COLUMN(B141))), "")</f>
        <v/>
      </c>
      <c r="J141" s="6" t="str" cm="1">
        <f t="array" ref="J141">IFERROR(INDEX($D$2:$D$554 &amp; " ($" &amp; TEXT($E$2:$E$554, "#,##0.00") &amp; ")", SMALL(IF($A$2:$A$554=$G141, ROW($D$2:$D$554)-ROW($D$2)+1), COLUMN(C141))), "")</f>
        <v/>
      </c>
    </row>
    <row r="142" spans="1:10" x14ac:dyDescent="0.35">
      <c r="A142" s="6" t="s">
        <v>1934</v>
      </c>
      <c r="B142" s="6" t="s">
        <v>454</v>
      </c>
      <c r="C142" s="6" t="s">
        <v>1403</v>
      </c>
      <c r="D142" s="6" t="s">
        <v>1404</v>
      </c>
      <c r="E142" s="11">
        <v>10</v>
      </c>
      <c r="G142" s="6" t="s">
        <v>1405</v>
      </c>
      <c r="H142" s="6" t="str" cm="1">
        <f t="array" ref="H142">IFERROR(INDEX($D$2:$D$554 &amp; " ($" &amp; TEXT($E$2:$E$554, "#,##0.00") &amp; ")", SMALL(IF($A$2:$A$554=$G142, ROW($D$2:$D$554)-ROW($D$2)+1), COLUMN(A142))), "")</f>
        <v>CRM TELEPHONY TRACKING ($104.00)</v>
      </c>
      <c r="I142" s="6" t="str" cm="1">
        <f t="array" ref="I142">IFERROR(INDEX($D$2:$D$554 &amp; " ($" &amp; TEXT($E$2:$E$554, "#,##0.00") &amp; ")", SMALL(IF($A$2:$A$554=$G142, ROW($D$2:$D$554)-ROW($D$2)+1), COLUMN(B142))), "")</f>
        <v/>
      </c>
      <c r="J142" s="6" t="str" cm="1">
        <f t="array" ref="J142">IFERROR(INDEX($D$2:$D$554 &amp; " ($" &amp; TEXT($E$2:$E$554, "#,##0.00") &amp; ")", SMALL(IF($A$2:$A$554=$G142, ROW($D$2:$D$554)-ROW($D$2)+1), COLUMN(C142))), "")</f>
        <v/>
      </c>
    </row>
    <row r="143" spans="1:10" x14ac:dyDescent="0.35">
      <c r="A143" s="6" t="s">
        <v>2109</v>
      </c>
      <c r="B143" s="6" t="s">
        <v>145</v>
      </c>
      <c r="C143" s="6" t="s">
        <v>35</v>
      </c>
      <c r="D143" s="6" t="s">
        <v>36</v>
      </c>
      <c r="E143" s="11">
        <v>142.16999999999999</v>
      </c>
      <c r="G143" s="6" t="s">
        <v>1407</v>
      </c>
      <c r="H143" s="6" t="str" cm="1">
        <f t="array" ref="H143">IFERROR(INDEX($D$2:$D$554 &amp; " ($" &amp; TEXT($E$2:$E$554, "#,##0.00") &amp; ")", SMALL(IF($A$2:$A$554=$G143, ROW($D$2:$D$554)-ROW($D$2)+1), COLUMN(A143))), "")</f>
        <v>CRM TELEPHONY TRACKING ($104.00)</v>
      </c>
      <c r="I143" s="6" t="str" cm="1">
        <f t="array" ref="I143">IFERROR(INDEX($D$2:$D$554 &amp; " ($" &amp; TEXT($E$2:$E$554, "#,##0.00") &amp; ")", SMALL(IF($A$2:$A$554=$G143, ROW($D$2:$D$554)-ROW($D$2)+1), COLUMN(B143))), "")</f>
        <v/>
      </c>
      <c r="J143" s="6" t="str" cm="1">
        <f t="array" ref="J143">IFERROR(INDEX($D$2:$D$554 &amp; " ($" &amp; TEXT($E$2:$E$554, "#,##0.00") &amp; ")", SMALL(IF($A$2:$A$554=$G143, ROW($D$2:$D$554)-ROW($D$2)+1), COLUMN(C143))), "")</f>
        <v/>
      </c>
    </row>
    <row r="144" spans="1:10" x14ac:dyDescent="0.35">
      <c r="A144" s="6" t="s">
        <v>2110</v>
      </c>
      <c r="B144" s="6" t="s">
        <v>926</v>
      </c>
      <c r="C144" s="6" t="s">
        <v>35</v>
      </c>
      <c r="D144" s="6" t="s">
        <v>36</v>
      </c>
      <c r="E144" s="11">
        <v>435.98</v>
      </c>
      <c r="G144" s="6" t="s">
        <v>1409</v>
      </c>
      <c r="H144" s="6" t="str" cm="1">
        <f t="array" ref="H144">IFERROR(INDEX($D$2:$D$554 &amp; " ($" &amp; TEXT($E$2:$E$554, "#,##0.00") &amp; ")", SMALL(IF($A$2:$A$554=$G144, ROW($D$2:$D$554)-ROW($D$2)+1), COLUMN(A144))), "")</f>
        <v>CRM TELEPHONY TRACKING ($104.00)</v>
      </c>
      <c r="I144" s="6" t="str" cm="1">
        <f t="array" ref="I144">IFERROR(INDEX($D$2:$D$554 &amp; " ($" &amp; TEXT($E$2:$E$554, "#,##0.00") &amp; ")", SMALL(IF($A$2:$A$554=$G144, ROW($D$2:$D$554)-ROW($D$2)+1), COLUMN(B144))), "")</f>
        <v/>
      </c>
      <c r="J144" s="6" t="str" cm="1">
        <f t="array" ref="J144">IFERROR(INDEX($D$2:$D$554 &amp; " ($" &amp; TEXT($E$2:$E$554, "#,##0.00") &amp; ")", SMALL(IF($A$2:$A$554=$G144, ROW($D$2:$D$554)-ROW($D$2)+1), COLUMN(C144))), "")</f>
        <v/>
      </c>
    </row>
    <row r="145" spans="1:10" x14ac:dyDescent="0.35">
      <c r="A145" s="6" t="s">
        <v>2111</v>
      </c>
      <c r="B145" s="6" t="s">
        <v>252</v>
      </c>
      <c r="C145" s="6" t="s">
        <v>35</v>
      </c>
      <c r="D145" s="6" t="s">
        <v>36</v>
      </c>
      <c r="E145" s="11">
        <v>217.99</v>
      </c>
      <c r="G145" s="6" t="s">
        <v>1411</v>
      </c>
      <c r="H145" s="6" t="str" cm="1">
        <f t="array" ref="H145">IFERROR(INDEX($D$2:$D$554 &amp; " ($" &amp; TEXT($E$2:$E$554, "#,##0.00") &amp; ")", SMALL(IF($A$2:$A$554=$G145, ROW($D$2:$D$554)-ROW($D$2)+1), COLUMN(A145))), "")</f>
        <v>CRM TELEPHONY TRACKING ($104.00)</v>
      </c>
      <c r="I145" s="6" t="str" cm="1">
        <f t="array" ref="I145">IFERROR(INDEX($D$2:$D$554 &amp; " ($" &amp; TEXT($E$2:$E$554, "#,##0.00") &amp; ")", SMALL(IF($A$2:$A$554=$G145, ROW($D$2:$D$554)-ROW($D$2)+1), COLUMN(B145))), "")</f>
        <v/>
      </c>
      <c r="J145" s="6" t="str" cm="1">
        <f t="array" ref="J145">IFERROR(INDEX($D$2:$D$554 &amp; " ($" &amp; TEXT($E$2:$E$554, "#,##0.00") &amp; ")", SMALL(IF($A$2:$A$554=$G145, ROW($D$2:$D$554)-ROW($D$2)+1), COLUMN(C145))), "")</f>
        <v/>
      </c>
    </row>
    <row r="146" spans="1:10" x14ac:dyDescent="0.35">
      <c r="A146" s="6" t="s">
        <v>2112</v>
      </c>
      <c r="B146" s="6" t="s">
        <v>657</v>
      </c>
      <c r="C146" s="6" t="s">
        <v>2052</v>
      </c>
      <c r="D146" s="6" t="s">
        <v>2053</v>
      </c>
      <c r="E146" s="11">
        <v>1199</v>
      </c>
      <c r="G146" s="6" t="s">
        <v>1413</v>
      </c>
      <c r="H146" s="6" t="str" cm="1">
        <f t="array" ref="H146">IFERROR(INDEX($D$2:$D$554 &amp; " ($" &amp; TEXT($E$2:$E$554, "#,##0.00") &amp; ")", SMALL(IF($A$2:$A$554=$G146, ROW($D$2:$D$554)-ROW($D$2)+1), COLUMN(A146))), "")</f>
        <v>CRM TELEPHONY TRACKING ($104.00)</v>
      </c>
      <c r="I146" s="6" t="str" cm="1">
        <f t="array" ref="I146">IFERROR(INDEX($D$2:$D$554 &amp; " ($" &amp; TEXT($E$2:$E$554, "#,##0.00") &amp; ")", SMALL(IF($A$2:$A$554=$G146, ROW($D$2:$D$554)-ROW($D$2)+1), COLUMN(B146))), "")</f>
        <v/>
      </c>
      <c r="J146" s="6" t="str" cm="1">
        <f t="array" ref="J146">IFERROR(INDEX($D$2:$D$554 &amp; " ($" &amp; TEXT($E$2:$E$554, "#,##0.00") &amp; ")", SMALL(IF($A$2:$A$554=$G146, ROW($D$2:$D$554)-ROW($D$2)+1), COLUMN(C146))), "")</f>
        <v/>
      </c>
    </row>
    <row r="147" spans="1:10" x14ac:dyDescent="0.35">
      <c r="A147" s="6" t="s">
        <v>2112</v>
      </c>
      <c r="B147" s="6" t="s">
        <v>657</v>
      </c>
      <c r="C147" s="6" t="s">
        <v>1403</v>
      </c>
      <c r="D147" s="6" t="s">
        <v>1404</v>
      </c>
      <c r="E147" s="11">
        <v>10</v>
      </c>
      <c r="G147" s="6" t="s">
        <v>2132</v>
      </c>
      <c r="H147" s="6" t="str" cm="1">
        <f t="array" ref="H147">IFERROR(INDEX($D$2:$D$554 &amp; " ($" &amp; TEXT($E$2:$E$554, "#,##0.00") &amp; ")", SMALL(IF($A$2:$A$554=$G147, ROW($D$2:$D$554)-ROW($D$2)+1), COLUMN(A147))), "")</f>
        <v>CARWARS ELITE 12,500 PACKAGE ($1,618.92)</v>
      </c>
      <c r="I147" s="6" t="str" cm="1">
        <f t="array" ref="I147">IFERROR(INDEX($D$2:$D$554 &amp; " ($" &amp; TEXT($E$2:$E$554, "#,##0.00") &amp; ")", SMALL(IF($A$2:$A$554=$G147, ROW($D$2:$D$554)-ROW($D$2)+1), COLUMN(B147))), "")</f>
        <v/>
      </c>
      <c r="J147" s="6" t="str" cm="1">
        <f t="array" ref="J147">IFERROR(INDEX($D$2:$D$554 &amp; " ($" &amp; TEXT($E$2:$E$554, "#,##0.00") &amp; ")", SMALL(IF($A$2:$A$554=$G147, ROW($D$2:$D$554)-ROW($D$2)+1), COLUMN(C147))), "")</f>
        <v/>
      </c>
    </row>
    <row r="148" spans="1:10" x14ac:dyDescent="0.35">
      <c r="A148" s="6" t="s">
        <v>2113</v>
      </c>
      <c r="B148" s="6" t="s">
        <v>950</v>
      </c>
      <c r="C148" s="6" t="s">
        <v>2052</v>
      </c>
      <c r="D148" s="6" t="s">
        <v>2053</v>
      </c>
      <c r="E148" s="11">
        <v>1199</v>
      </c>
      <c r="G148" s="6" t="s">
        <v>2133</v>
      </c>
      <c r="H148" s="6" t="str" cm="1">
        <f t="array" ref="H148">IFERROR(INDEX($D$2:$D$554 &amp; " ($" &amp; TEXT($E$2:$E$554, "#,##0.00") &amp; ")", SMALL(IF($A$2:$A$554=$G148, ROW($D$2:$D$554)-ROW($D$2)+1), COLUMN(A148))), "")</f>
        <v>CARWARS ELITE LARGE ($2,981.00)</v>
      </c>
      <c r="I148" s="6" t="str" cm="1">
        <f t="array" ref="I148">IFERROR(INDEX($D$2:$D$554 &amp; " ($" &amp; TEXT($E$2:$E$554, "#,##0.00") &amp; ")", SMALL(IF($A$2:$A$554=$G148, ROW($D$2:$D$554)-ROW($D$2)+1), COLUMN(B148))), "")</f>
        <v>CARWARS CRM MAINTENANCE ($1,998.00)</v>
      </c>
      <c r="J148" s="6" t="str" cm="1">
        <f t="array" ref="J148">IFERROR(INDEX($D$2:$D$554 &amp; " ($" &amp; TEXT($E$2:$E$554, "#,##0.00") &amp; ")", SMALL(IF($A$2:$A$554=$G148, ROW($D$2:$D$554)-ROW($D$2)+1), COLUMN(C148))), "")</f>
        <v/>
      </c>
    </row>
    <row r="149" spans="1:10" x14ac:dyDescent="0.35">
      <c r="A149" s="6" t="s">
        <v>2113</v>
      </c>
      <c r="B149" s="6" t="s">
        <v>950</v>
      </c>
      <c r="C149" s="6" t="s">
        <v>1403</v>
      </c>
      <c r="D149" s="6" t="s">
        <v>1404</v>
      </c>
      <c r="E149" s="11">
        <v>10</v>
      </c>
      <c r="G149" s="6" t="s">
        <v>2134</v>
      </c>
      <c r="H149" s="6" t="str" cm="1">
        <f t="array" ref="H149">IFERROR(INDEX($D$2:$D$554 &amp; " ($" &amp; TEXT($E$2:$E$554, "#,##0.00") &amp; ")", SMALL(IF($A$2:$A$554=$G149, ROW($D$2:$D$554)-ROW($D$2)+1), COLUMN(A149))), "")</f>
        <v>CARWARS PREMIUM SALES ($1,941.45)</v>
      </c>
      <c r="I149" s="6" t="str" cm="1">
        <f t="array" ref="I149">IFERROR(INDEX($D$2:$D$554 &amp; " ($" &amp; TEXT($E$2:$E$554, "#,##0.00") &amp; ")", SMALL(IF($A$2:$A$554=$G149, ROW($D$2:$D$554)-ROW($D$2)+1), COLUMN(B149))), "")</f>
        <v/>
      </c>
      <c r="J149" s="6" t="str" cm="1">
        <f t="array" ref="J149">IFERROR(INDEX($D$2:$D$554 &amp; " ($" &amp; TEXT($E$2:$E$554, "#,##0.00") &amp; ")", SMALL(IF($A$2:$A$554=$G149, ROW($D$2:$D$554)-ROW($D$2)+1), COLUMN(C149))), "")</f>
        <v/>
      </c>
    </row>
    <row r="150" spans="1:10" x14ac:dyDescent="0.35">
      <c r="A150" s="6" t="s">
        <v>2114</v>
      </c>
      <c r="B150" s="6" t="s">
        <v>249</v>
      </c>
      <c r="C150" s="6" t="s">
        <v>35</v>
      </c>
      <c r="D150" s="6" t="s">
        <v>36</v>
      </c>
      <c r="E150" s="11">
        <v>217.99</v>
      </c>
      <c r="G150" s="6" t="s">
        <v>1415</v>
      </c>
      <c r="H150" s="6" t="str" cm="1">
        <f t="array" ref="H150">IFERROR(INDEX($D$2:$D$554 &amp; " ($" &amp; TEXT($E$2:$E$554, "#,##0.00") &amp; ")", SMALL(IF($A$2:$A$554=$G150, ROW($D$2:$D$554)-ROW($D$2)+1), COLUMN(A150))), "")</f>
        <v>CRM OUTBOUND TELEPHONY TRACKING (NEW AND CONVERSION) ($211.04)</v>
      </c>
      <c r="I150" s="6" t="str" cm="1">
        <f t="array" ref="I150">IFERROR(INDEX($D$2:$D$554 &amp; " ($" &amp; TEXT($E$2:$E$554, "#,##0.00") &amp; ")", SMALL(IF($A$2:$A$554=$G150, ROW($D$2:$D$554)-ROW($D$2)+1), COLUMN(B150))), "")</f>
        <v/>
      </c>
      <c r="J150" s="6" t="str" cm="1">
        <f t="array" ref="J150">IFERROR(INDEX($D$2:$D$554 &amp; " ($" &amp; TEXT($E$2:$E$554, "#,##0.00") &amp; ")", SMALL(IF($A$2:$A$554=$G150, ROW($D$2:$D$554)-ROW($D$2)+1), COLUMN(C150))), "")</f>
        <v/>
      </c>
    </row>
    <row r="151" spans="1:10" x14ac:dyDescent="0.35">
      <c r="A151" s="6" t="s">
        <v>1395</v>
      </c>
      <c r="B151" s="6" t="s">
        <v>1396</v>
      </c>
      <c r="C151" s="6" t="s">
        <v>35</v>
      </c>
      <c r="D151" s="6" t="s">
        <v>36</v>
      </c>
      <c r="E151" s="11">
        <v>134.55000000000001</v>
      </c>
      <c r="G151" s="6" t="s">
        <v>1072</v>
      </c>
      <c r="H151" s="6" t="str" cm="1">
        <f t="array" ref="H151">IFERROR(INDEX($D$2:$D$554 &amp; " ($" &amp; TEXT($E$2:$E$554, "#,##0.00") &amp; ")", SMALL(IF($A$2:$A$554=$G151, ROW($D$2:$D$554)-ROW($D$2)+1), COLUMN(A151))), "")</f>
        <v>CAR WARS CUSTOM PACKAGE--VICTORY AUTO ($1,053.45)</v>
      </c>
      <c r="I151" s="6" t="str" cm="1">
        <f t="array" ref="I151">IFERROR(INDEX($D$2:$D$554 &amp; " ($" &amp; TEXT($E$2:$E$554, "#,##0.00") &amp; ")", SMALL(IF($A$2:$A$554=$G151, ROW($D$2:$D$554)-ROW($D$2)+1), COLUMN(B151))), "")</f>
        <v/>
      </c>
      <c r="J151" s="6" t="str" cm="1">
        <f t="array" ref="J151">IFERROR(INDEX($D$2:$D$554 &amp; " ($" &amp; TEXT($E$2:$E$554, "#,##0.00") &amp; ")", SMALL(IF($A$2:$A$554=$G151, ROW($D$2:$D$554)-ROW($D$2)+1), COLUMN(C151))), "")</f>
        <v/>
      </c>
    </row>
    <row r="152" spans="1:10" x14ac:dyDescent="0.35">
      <c r="A152" s="6" t="s">
        <v>2115</v>
      </c>
      <c r="B152" s="6" t="s">
        <v>627</v>
      </c>
      <c r="C152" s="6" t="s">
        <v>2052</v>
      </c>
      <c r="D152" s="6" t="s">
        <v>2053</v>
      </c>
      <c r="E152" s="11">
        <v>1199</v>
      </c>
      <c r="G152" s="6" t="s">
        <v>1417</v>
      </c>
      <c r="H152" s="6" t="str" cm="1">
        <f t="array" ref="H152">IFERROR(INDEX($D$2:$D$554 &amp; " ($" &amp; TEXT($E$2:$E$554, "#,##0.00") &amp; ")", SMALL(IF($A$2:$A$554=$G152, ROW($D$2:$D$554)-ROW($D$2)+1), COLUMN(A152))), "")</f>
        <v>CRM TELEPHONY TRACKING ($65.46)</v>
      </c>
      <c r="I152" s="6" t="str" cm="1">
        <f t="array" ref="I152">IFERROR(INDEX($D$2:$D$554 &amp; " ($" &amp; TEXT($E$2:$E$554, "#,##0.00") &amp; ")", SMALL(IF($A$2:$A$554=$G152, ROW($D$2:$D$554)-ROW($D$2)+1), COLUMN(B152))), "")</f>
        <v/>
      </c>
      <c r="J152" s="6" t="str" cm="1">
        <f t="array" ref="J152">IFERROR(INDEX($D$2:$D$554 &amp; " ($" &amp; TEXT($E$2:$E$554, "#,##0.00") &amp; ")", SMALL(IF($A$2:$A$554=$G152, ROW($D$2:$D$554)-ROW($D$2)+1), COLUMN(C152))), "")</f>
        <v/>
      </c>
    </row>
    <row r="153" spans="1:10" x14ac:dyDescent="0.35">
      <c r="A153" s="6" t="s">
        <v>2115</v>
      </c>
      <c r="B153" s="6" t="s">
        <v>627</v>
      </c>
      <c r="C153" s="6" t="s">
        <v>1403</v>
      </c>
      <c r="D153" s="6" t="s">
        <v>1404</v>
      </c>
      <c r="E153" s="11">
        <v>10</v>
      </c>
      <c r="G153" s="6" t="s">
        <v>2135</v>
      </c>
      <c r="H153" s="6" t="str" cm="1">
        <f t="array" ref="H153">IFERROR(INDEX($D$2:$D$554 &amp; " ($" &amp; TEXT($E$2:$E$554, "#,##0.00") &amp; ")", SMALL(IF($A$2:$A$554=$G153, ROW($D$2:$D$554)-ROW($D$2)+1), COLUMN(A153))), "")</f>
        <v>CARWARS STARTER 7500 ($350.30)</v>
      </c>
      <c r="I153" s="6" t="str" cm="1">
        <f t="array" ref="I153">IFERROR(INDEX($D$2:$D$554 &amp; " ($" &amp; TEXT($E$2:$E$554, "#,##0.00") &amp; ")", SMALL(IF($A$2:$A$554=$G153, ROW($D$2:$D$554)-ROW($D$2)+1), COLUMN(B153))), "")</f>
        <v/>
      </c>
      <c r="J153" s="6" t="str" cm="1">
        <f t="array" ref="J153">IFERROR(INDEX($D$2:$D$554 &amp; " ($" &amp; TEXT($E$2:$E$554, "#,##0.00") &amp; ")", SMALL(IF($A$2:$A$554=$G153, ROW($D$2:$D$554)-ROW($D$2)+1), COLUMN(C153))), "")</f>
        <v/>
      </c>
    </row>
    <row r="154" spans="1:10" x14ac:dyDescent="0.35">
      <c r="A154" s="6" t="s">
        <v>2116</v>
      </c>
      <c r="B154" s="6" t="s">
        <v>655</v>
      </c>
      <c r="C154" s="6" t="s">
        <v>2052</v>
      </c>
      <c r="D154" s="6" t="s">
        <v>2053</v>
      </c>
      <c r="E154" s="11">
        <v>1199</v>
      </c>
      <c r="G154" s="6" t="s">
        <v>2136</v>
      </c>
      <c r="H154" s="6" t="str" cm="1">
        <f t="array" ref="H154">IFERROR(INDEX($D$2:$D$554 &amp; " ($" &amp; TEXT($E$2:$E$554, "#,##0.00") &amp; ")", SMALL(IF($A$2:$A$554=$G154, ROW($D$2:$D$554)-ROW($D$2)+1), COLUMN(A154))), "")</f>
        <v>CARWARS STARTER 5000 ($599.00)</v>
      </c>
      <c r="I154" s="6" t="str" cm="1">
        <f t="array" ref="I154">IFERROR(INDEX($D$2:$D$554 &amp; " ($" &amp; TEXT($E$2:$E$554, "#,##0.00") &amp; ")", SMALL(IF($A$2:$A$554=$G154, ROW($D$2:$D$554)-ROW($D$2)+1), COLUMN(B154))), "")</f>
        <v/>
      </c>
      <c r="J154" s="6" t="str" cm="1">
        <f t="array" ref="J154">IFERROR(INDEX($D$2:$D$554 &amp; " ($" &amp; TEXT($E$2:$E$554, "#,##0.00") &amp; ")", SMALL(IF($A$2:$A$554=$G154, ROW($D$2:$D$554)-ROW($D$2)+1), COLUMN(C154))), "")</f>
        <v/>
      </c>
    </row>
    <row r="155" spans="1:10" x14ac:dyDescent="0.35">
      <c r="A155" s="6" t="s">
        <v>2116</v>
      </c>
      <c r="B155" s="6" t="s">
        <v>655</v>
      </c>
      <c r="C155" s="6" t="s">
        <v>1403</v>
      </c>
      <c r="D155" s="6" t="s">
        <v>1404</v>
      </c>
      <c r="E155" s="11">
        <v>10</v>
      </c>
      <c r="G155" s="6" t="s">
        <v>2137</v>
      </c>
      <c r="H155" s="6" t="str" cm="1">
        <f t="array" ref="H155">IFERROR(INDEX($D$2:$D$554 &amp; " ($" &amp; TEXT($E$2:$E$554, "#,##0.00") &amp; ")", SMALL(IF($A$2:$A$554=$G155, ROW($D$2:$D$554)-ROW($D$2)+1), COLUMN(A155))), "")</f>
        <v>CARWARS INDEFINITE CALL RECORDINGS ($20.00)</v>
      </c>
      <c r="I155" s="6" t="str" cm="1">
        <f t="array" ref="I155">IFERROR(INDEX($D$2:$D$554 &amp; " ($" &amp; TEXT($E$2:$E$554, "#,##0.00") &amp; ")", SMALL(IF($A$2:$A$554=$G155, ROW($D$2:$D$554)-ROW($D$2)+1), COLUMN(B155))), "")</f>
        <v/>
      </c>
      <c r="J155" s="6" t="str" cm="1">
        <f t="array" ref="J155">IFERROR(INDEX($D$2:$D$554 &amp; " ($" &amp; TEXT($E$2:$E$554, "#,##0.00") &amp; ")", SMALL(IF($A$2:$A$554=$G155, ROW($D$2:$D$554)-ROW($D$2)+1), COLUMN(C155))), "")</f>
        <v/>
      </c>
    </row>
    <row r="156" spans="1:10" x14ac:dyDescent="0.35">
      <c r="A156" s="6" t="s">
        <v>2117</v>
      </c>
      <c r="B156" s="6" t="s">
        <v>659</v>
      </c>
      <c r="C156" s="6" t="s">
        <v>2052</v>
      </c>
      <c r="D156" s="6" t="s">
        <v>2053</v>
      </c>
      <c r="E156" s="11">
        <v>1199</v>
      </c>
      <c r="G156" s="6" t="s">
        <v>1419</v>
      </c>
      <c r="H156" s="6" t="str" cm="1">
        <f t="array" ref="H156">IFERROR(INDEX($D$2:$D$554 &amp; " ($" &amp; TEXT($E$2:$E$554, "#,##0.00") &amp; ")", SMALL(IF($A$2:$A$554=$G156, ROW($D$2:$D$554)-ROW($D$2)+1), COLUMN(A156))), "")</f>
        <v>CRM TELEPHONY TRACKING ($0.00)</v>
      </c>
      <c r="I156" s="6" t="str" cm="1">
        <f t="array" ref="I156">IFERROR(INDEX($D$2:$D$554 &amp; " ($" &amp; TEXT($E$2:$E$554, "#,##0.00") &amp; ")", SMALL(IF($A$2:$A$554=$G156, ROW($D$2:$D$554)-ROW($D$2)+1), COLUMN(B156))), "")</f>
        <v/>
      </c>
      <c r="J156" s="6" t="str" cm="1">
        <f t="array" ref="J156">IFERROR(INDEX($D$2:$D$554 &amp; " ($" &amp; TEXT($E$2:$E$554, "#,##0.00") &amp; ")", SMALL(IF($A$2:$A$554=$G156, ROW($D$2:$D$554)-ROW($D$2)+1), COLUMN(C156))), "")</f>
        <v/>
      </c>
    </row>
    <row r="157" spans="1:10" x14ac:dyDescent="0.35">
      <c r="A157" s="6" t="s">
        <v>2117</v>
      </c>
      <c r="B157" s="6" t="s">
        <v>659</v>
      </c>
      <c r="C157" s="6" t="s">
        <v>1403</v>
      </c>
      <c r="D157" s="6" t="s">
        <v>1404</v>
      </c>
      <c r="E157" s="11">
        <v>10</v>
      </c>
      <c r="G157" s="6" t="s">
        <v>2138</v>
      </c>
      <c r="H157" s="6" t="str" cm="1">
        <f t="array" ref="H157">IFERROR(INDEX($D$2:$D$554 &amp; " ($" &amp; TEXT($E$2:$E$554, "#,##0.00") &amp; ")", SMALL(IF($A$2:$A$554=$G157, ROW($D$2:$D$554)-ROW($D$2)+1), COLUMN(A157))), "")</f>
        <v>CARWARS ELITE LARGE ($2,981.00)</v>
      </c>
      <c r="I157" s="6" t="str" cm="1">
        <f t="array" ref="I157">IFERROR(INDEX($D$2:$D$554 &amp; " ($" &amp; TEXT($E$2:$E$554, "#,##0.00") &amp; ")", SMALL(IF($A$2:$A$554=$G157, ROW($D$2:$D$554)-ROW($D$2)+1), COLUMN(B157))), "")</f>
        <v>CARWARS INDEFINITE CALL RECORDINGS ($20.00)</v>
      </c>
      <c r="J157" s="6" t="str" cm="1">
        <f t="array" ref="J157">IFERROR(INDEX($D$2:$D$554 &amp; " ($" &amp; TEXT($E$2:$E$554, "#,##0.00") &amp; ")", SMALL(IF($A$2:$A$554=$G157, ROW($D$2:$D$554)-ROW($D$2)+1), COLUMN(C157))), "")</f>
        <v/>
      </c>
    </row>
    <row r="158" spans="1:10" x14ac:dyDescent="0.35">
      <c r="A158" s="6" t="s">
        <v>2118</v>
      </c>
      <c r="B158" s="6" t="s">
        <v>456</v>
      </c>
      <c r="C158" s="6" t="s">
        <v>2052</v>
      </c>
      <c r="D158" s="6" t="s">
        <v>2053</v>
      </c>
      <c r="E158" s="11">
        <v>1199</v>
      </c>
      <c r="G158" s="6" t="s">
        <v>2139</v>
      </c>
      <c r="H158" s="6" t="str" cm="1">
        <f t="array" ref="H158">IFERROR(INDEX($D$2:$D$554 &amp; " ($" &amp; TEXT($E$2:$E$554, "#,##0.00") &amp; ")", SMALL(IF($A$2:$A$554=$G158, ROW($D$2:$D$554)-ROW($D$2)+1), COLUMN(A158))), "")</f>
        <v>CARWARS STARTER 3500 ($322.92)</v>
      </c>
      <c r="I158" s="6" t="str" cm="1">
        <f t="array" ref="I158">IFERROR(INDEX($D$2:$D$554 &amp; " ($" &amp; TEXT($E$2:$E$554, "#,##0.00") &amp; ")", SMALL(IF($A$2:$A$554=$G158, ROW($D$2:$D$554)-ROW($D$2)+1), COLUMN(B158))), "")</f>
        <v/>
      </c>
      <c r="J158" s="6" t="str" cm="1">
        <f t="array" ref="J158">IFERROR(INDEX($D$2:$D$554 &amp; " ($" &amp; TEXT($E$2:$E$554, "#,##0.00") &amp; ")", SMALL(IF($A$2:$A$554=$G158, ROW($D$2:$D$554)-ROW($D$2)+1), COLUMN(C158))), "")</f>
        <v/>
      </c>
    </row>
    <row r="159" spans="1:10" x14ac:dyDescent="0.35">
      <c r="A159" s="6" t="s">
        <v>2118</v>
      </c>
      <c r="B159" s="6" t="s">
        <v>456</v>
      </c>
      <c r="C159" s="6" t="s">
        <v>1403</v>
      </c>
      <c r="D159" s="6" t="s">
        <v>1404</v>
      </c>
      <c r="E159" s="11">
        <v>10</v>
      </c>
      <c r="G159" s="6" t="s">
        <v>2140</v>
      </c>
      <c r="H159" s="6" t="str" cm="1">
        <f t="array" ref="H159">IFERROR(INDEX($D$2:$D$554 &amp; " ($" &amp; TEXT($E$2:$E$554, "#,##0.00") &amp; ")", SMALL(IF($A$2:$A$554=$G159, ROW($D$2:$D$554)-ROW($D$2)+1), COLUMN(A159))), "")</f>
        <v>CARWARS ELITE 12,500 PACKAGE ($1,499.00)</v>
      </c>
      <c r="I159" s="6" t="str" cm="1">
        <f t="array" ref="I159">IFERROR(INDEX($D$2:$D$554 &amp; " ($" &amp; TEXT($E$2:$E$554, "#,##0.00") &amp; ")", SMALL(IF($A$2:$A$554=$G159, ROW($D$2:$D$554)-ROW($D$2)+1), COLUMN(B159))), "")</f>
        <v/>
      </c>
      <c r="J159" s="6" t="str" cm="1">
        <f t="array" ref="J159">IFERROR(INDEX($D$2:$D$554 &amp; " ($" &amp; TEXT($E$2:$E$554, "#,##0.00") &amp; ")", SMALL(IF($A$2:$A$554=$G159, ROW($D$2:$D$554)-ROW($D$2)+1), COLUMN(C159))), "")</f>
        <v/>
      </c>
    </row>
    <row r="160" spans="1:10" x14ac:dyDescent="0.35">
      <c r="A160" s="6" t="s">
        <v>2119</v>
      </c>
      <c r="B160" s="6" t="s">
        <v>166</v>
      </c>
      <c r="C160" s="6" t="s">
        <v>35</v>
      </c>
      <c r="D160" s="6" t="s">
        <v>36</v>
      </c>
      <c r="E160" s="11">
        <v>145.08000000000001</v>
      </c>
      <c r="G160" s="6" t="s">
        <v>2141</v>
      </c>
      <c r="H160" s="6" t="str" cm="1">
        <f t="array" ref="H160">IFERROR(INDEX($D$2:$D$554 &amp; " ($" &amp; TEXT($E$2:$E$554, "#,##0.00") &amp; ")", SMALL(IF($A$2:$A$554=$G160, ROW($D$2:$D$554)-ROW($D$2)+1), COLUMN(A160))), "")</f>
        <v>CRM TELEPHONY TRACKING ($70.35)</v>
      </c>
      <c r="I160" s="6" t="str" cm="1">
        <f t="array" ref="I160">IFERROR(INDEX($D$2:$D$554 &amp; " ($" &amp; TEXT($E$2:$E$554, "#,##0.00") &amp; ")", SMALL(IF($A$2:$A$554=$G160, ROW($D$2:$D$554)-ROW($D$2)+1), COLUMN(B160))), "")</f>
        <v>CARWARS INDEFINITE CALL RECORDINGS ($14.00)</v>
      </c>
      <c r="J160" s="6" t="str" cm="1">
        <f t="array" ref="J160">IFERROR(INDEX($D$2:$D$554 &amp; " ($" &amp; TEXT($E$2:$E$554, "#,##0.00") &amp; ")", SMALL(IF($A$2:$A$554=$G160, ROW($D$2:$D$554)-ROW($D$2)+1), COLUMN(C160))), "")</f>
        <v/>
      </c>
    </row>
    <row r="161" spans="1:10" x14ac:dyDescent="0.35">
      <c r="A161" s="6" t="s">
        <v>2120</v>
      </c>
      <c r="B161" s="6" t="s">
        <v>706</v>
      </c>
      <c r="C161" s="6" t="s">
        <v>48</v>
      </c>
      <c r="D161" s="6" t="s">
        <v>49</v>
      </c>
      <c r="E161" s="11">
        <v>322.92</v>
      </c>
      <c r="G161" s="6" t="s">
        <v>1170</v>
      </c>
      <c r="H161" s="6" t="str" cm="1">
        <f t="array" ref="H161">IFERROR(INDEX($D$2:$D$554 &amp; " ($" &amp; TEXT($E$2:$E$554, "#,##0.00") &amp; ")", SMALL(IF($A$2:$A$554=$G161, ROW($D$2:$D$554)-ROW($D$2)+1), COLUMN(A161))), "")</f>
        <v>CRM OUTBOUND TELEPHONY TRACKING (NEW AND CONVERSION) ($445.73)</v>
      </c>
      <c r="I161" s="6" t="str" cm="1">
        <f t="array" ref="I161">IFERROR(INDEX($D$2:$D$554 &amp; " ($" &amp; TEXT($E$2:$E$554, "#,##0.00") &amp; ")", SMALL(IF($A$2:$A$554=$G161, ROW($D$2:$D$554)-ROW($D$2)+1), COLUMN(B161))), "")</f>
        <v/>
      </c>
      <c r="J161" s="6" t="str" cm="1">
        <f t="array" ref="J161">IFERROR(INDEX($D$2:$D$554 &amp; " ($" &amp; TEXT($E$2:$E$554, "#,##0.00") &amp; ")", SMALL(IF($A$2:$A$554=$G161, ROW($D$2:$D$554)-ROW($D$2)+1), COLUMN(C161))), "")</f>
        <v/>
      </c>
    </row>
    <row r="162" spans="1:10" x14ac:dyDescent="0.35">
      <c r="A162" s="6" t="s">
        <v>1397</v>
      </c>
      <c r="B162" s="6" t="s">
        <v>1398</v>
      </c>
      <c r="C162" s="6" t="s">
        <v>35</v>
      </c>
      <c r="D162" s="6" t="s">
        <v>36</v>
      </c>
      <c r="E162" s="11">
        <v>199</v>
      </c>
      <c r="G162" s="6" t="s">
        <v>2142</v>
      </c>
      <c r="H162" s="6" t="str" cm="1">
        <f t="array" ref="H162">IFERROR(INDEX($D$2:$D$554 &amp; " ($" &amp; TEXT($E$2:$E$554, "#,##0.00") &amp; ")", SMALL(IF($A$2:$A$554=$G162, ROW($D$2:$D$554)-ROW($D$2)+1), COLUMN(A162))), "")</f>
        <v>CRM OUTBOUND TELEPHONY TRACKING (NEW AND CONVERSION) ($1,274.00)</v>
      </c>
      <c r="I162" s="6" t="str" cm="1">
        <f t="array" ref="I162">IFERROR(INDEX($D$2:$D$554 &amp; " ($" &amp; TEXT($E$2:$E$554, "#,##0.00") &amp; ")", SMALL(IF($A$2:$A$554=$G162, ROW($D$2:$D$554)-ROW($D$2)+1), COLUMN(B162))), "")</f>
        <v>CARWARS INDEFINITE CALL RECORDINGS ($10.00)</v>
      </c>
      <c r="J162" s="6" t="str" cm="1">
        <f t="array" ref="J162">IFERROR(INDEX($D$2:$D$554 &amp; " ($" &amp; TEXT($E$2:$E$554, "#,##0.00") &amp; ")", SMALL(IF($A$2:$A$554=$G162, ROW($D$2:$D$554)-ROW($D$2)+1), COLUMN(C162))), "")</f>
        <v/>
      </c>
    </row>
    <row r="163" spans="1:10" x14ac:dyDescent="0.35">
      <c r="A163" s="6" t="s">
        <v>2121</v>
      </c>
      <c r="B163" s="6" t="s">
        <v>859</v>
      </c>
      <c r="C163" s="6" t="s">
        <v>35</v>
      </c>
      <c r="D163" s="6" t="s">
        <v>36</v>
      </c>
      <c r="E163" s="11">
        <v>2911.24</v>
      </c>
      <c r="G163" s="6" t="s">
        <v>1421</v>
      </c>
      <c r="H163" s="6" t="str" cm="1">
        <f t="array" ref="H163">IFERROR(INDEX($D$2:$D$554 &amp; " ($" &amp; TEXT($E$2:$E$554, "#,##0.00") &amp; ")", SMALL(IF($A$2:$A$554=$G163, ROW($D$2:$D$554)-ROW($D$2)+1), COLUMN(A163))), "")</f>
        <v>CRM TELEPHONY TRACKING ($0.00)</v>
      </c>
      <c r="I163" s="6" t="str" cm="1">
        <f t="array" ref="I163">IFERROR(INDEX($D$2:$D$554 &amp; " ($" &amp; TEXT($E$2:$E$554, "#,##0.00") &amp; ")", SMALL(IF($A$2:$A$554=$G163, ROW($D$2:$D$554)-ROW($D$2)+1), COLUMN(B163))), "")</f>
        <v/>
      </c>
      <c r="J163" s="6" t="str" cm="1">
        <f t="array" ref="J163">IFERROR(INDEX($D$2:$D$554 &amp; " ($" &amp; TEXT($E$2:$E$554, "#,##0.00") &amp; ")", SMALL(IF($A$2:$A$554=$G163, ROW($D$2:$D$554)-ROW($D$2)+1), COLUMN(C163))), "")</f>
        <v/>
      </c>
    </row>
    <row r="164" spans="1:10" x14ac:dyDescent="0.35">
      <c r="A164" s="6" t="s">
        <v>2122</v>
      </c>
      <c r="B164" s="6" t="s">
        <v>500</v>
      </c>
      <c r="C164" s="6" t="s">
        <v>1325</v>
      </c>
      <c r="D164" s="6" t="s">
        <v>1326</v>
      </c>
      <c r="E164" s="11">
        <v>2921.38</v>
      </c>
      <c r="G164" s="6" t="s">
        <v>2143</v>
      </c>
      <c r="H164" s="6" t="str" cm="1">
        <f t="array" ref="H164">IFERROR(INDEX($D$2:$D$554 &amp; " ($" &amp; TEXT($E$2:$E$554, "#,##0.00") &amp; ")", SMALL(IF($A$2:$A$554=$G164, ROW($D$2:$D$554)-ROW($D$2)+1), COLUMN(A164))), "")</f>
        <v>CARWARS PREMIUM SALES ($1,090.91)</v>
      </c>
      <c r="I164" s="6" t="str" cm="1">
        <f t="array" ref="I164">IFERROR(INDEX($D$2:$D$554 &amp; " ($" &amp; TEXT($E$2:$E$554, "#,##0.00") &amp; ")", SMALL(IF($A$2:$A$554=$G164, ROW($D$2:$D$554)-ROW($D$2)+1), COLUMN(B164))), "")</f>
        <v/>
      </c>
      <c r="J164" s="6" t="str" cm="1">
        <f t="array" ref="J164">IFERROR(INDEX($D$2:$D$554 &amp; " ($" &amp; TEXT($E$2:$E$554, "#,##0.00") &amp; ")", SMALL(IF($A$2:$A$554=$G164, ROW($D$2:$D$554)-ROW($D$2)+1), COLUMN(C164))), "")</f>
        <v/>
      </c>
    </row>
    <row r="165" spans="1:10" x14ac:dyDescent="0.35">
      <c r="A165" s="6" t="s">
        <v>2123</v>
      </c>
      <c r="B165" s="6" t="s">
        <v>151</v>
      </c>
      <c r="C165" s="6" t="s">
        <v>35</v>
      </c>
      <c r="D165" s="6" t="s">
        <v>36</v>
      </c>
      <c r="E165" s="11">
        <v>142.16999999999999</v>
      </c>
      <c r="G165" s="6" t="s">
        <v>2144</v>
      </c>
      <c r="H165" s="6" t="str" cm="1">
        <f t="array" ref="H165">IFERROR(INDEX($D$2:$D$554 &amp; " ($" &amp; TEXT($E$2:$E$554, "#,##0.00") &amp; ")", SMALL(IF($A$2:$A$554=$G165, ROW($D$2:$D$554)-ROW($D$2)+1), COLUMN(A165))), "")</f>
        <v>CRM OUTBOUND TELEPHONY TRACKING (NEW AND CONVERSION) ($422.90)</v>
      </c>
      <c r="I165" s="6" t="str" cm="1">
        <f t="array" ref="I165">IFERROR(INDEX($D$2:$D$554 &amp; " ($" &amp; TEXT($E$2:$E$554, "#,##0.00") &amp; ")", SMALL(IF($A$2:$A$554=$G165, ROW($D$2:$D$554)-ROW($D$2)+1), COLUMN(B165))), "")</f>
        <v>CARWARS ELITE 12,500 PACKAGE ($1,499.00)</v>
      </c>
      <c r="J165" s="6" t="str" cm="1">
        <f t="array" ref="J165">IFERROR(INDEX($D$2:$D$554 &amp; " ($" &amp; TEXT($E$2:$E$554, "#,##0.00") &amp; ")", SMALL(IF($A$2:$A$554=$G165, ROW($D$2:$D$554)-ROW($D$2)+1), COLUMN(C165))), "")</f>
        <v/>
      </c>
    </row>
    <row r="166" spans="1:10" x14ac:dyDescent="0.35">
      <c r="A166" s="6" t="s">
        <v>2124</v>
      </c>
      <c r="B166" s="6" t="s">
        <v>444</v>
      </c>
      <c r="C166" s="6" t="s">
        <v>67</v>
      </c>
      <c r="D166" s="6" t="s">
        <v>68</v>
      </c>
      <c r="E166" s="11">
        <v>599</v>
      </c>
      <c r="G166" s="6" t="s">
        <v>2145</v>
      </c>
      <c r="H166" s="6" t="str" cm="1">
        <f t="array" ref="H166">IFERROR(INDEX($D$2:$D$554 &amp; " ($" &amp; TEXT($E$2:$E$554, "#,##0.00") &amp; ")", SMALL(IF($A$2:$A$554=$G166, ROW($D$2:$D$554)-ROW($D$2)+1), COLUMN(A166))), "")</f>
        <v>OUTBOUND CALL TRACKING PKGS (GM IMR CONVERSION) ($1,812.02)</v>
      </c>
      <c r="I166" s="6" t="str" cm="1">
        <f t="array" ref="I166">IFERROR(INDEX($D$2:$D$554 &amp; " ($" &amp; TEXT($E$2:$E$554, "#,##0.00") &amp; ")", SMALL(IF($A$2:$A$554=$G166, ROW($D$2:$D$554)-ROW($D$2)+1), COLUMN(B166))), "")</f>
        <v/>
      </c>
      <c r="J166" s="6" t="str" cm="1">
        <f t="array" ref="J166">IFERROR(INDEX($D$2:$D$554 &amp; " ($" &amp; TEXT($E$2:$E$554, "#,##0.00") &amp; ")", SMALL(IF($A$2:$A$554=$G166, ROW($D$2:$D$554)-ROW($D$2)+1), COLUMN(C166))), "")</f>
        <v/>
      </c>
    </row>
    <row r="167" spans="1:10" x14ac:dyDescent="0.35">
      <c r="A167" s="6" t="s">
        <v>1399</v>
      </c>
      <c r="B167" s="6" t="s">
        <v>1400</v>
      </c>
      <c r="C167" s="6" t="s">
        <v>87</v>
      </c>
      <c r="D167" s="6" t="s">
        <v>88</v>
      </c>
      <c r="E167" s="11">
        <v>195.02</v>
      </c>
      <c r="G167" s="6" t="s">
        <v>2146</v>
      </c>
      <c r="H167" s="6" t="str" cm="1">
        <f t="array" ref="H167">IFERROR(INDEX($D$2:$D$554 &amp; " ($" &amp; TEXT($E$2:$E$554, "#,##0.00") &amp; ")", SMALL(IF($A$2:$A$554=$G167, ROW($D$2:$D$554)-ROW($D$2)+1), COLUMN(A167))), "")</f>
        <v>CRM OUTBOUND TELEPHONY TRACKING (NEW AND CONVERSION) ($1,044.75)</v>
      </c>
      <c r="I167" s="6" t="str" cm="1">
        <f t="array" ref="I167">IFERROR(INDEX($D$2:$D$554 &amp; " ($" &amp; TEXT($E$2:$E$554, "#,##0.00") &amp; ")", SMALL(IF($A$2:$A$554=$G167, ROW($D$2:$D$554)-ROW($D$2)+1), COLUMN(B167))), "")</f>
        <v/>
      </c>
      <c r="J167" s="6" t="str" cm="1">
        <f t="array" ref="J167">IFERROR(INDEX($D$2:$D$554 &amp; " ($" &amp; TEXT($E$2:$E$554, "#,##0.00") &amp; ")", SMALL(IF($A$2:$A$554=$G167, ROW($D$2:$D$554)-ROW($D$2)+1), COLUMN(C167))), "")</f>
        <v/>
      </c>
    </row>
    <row r="168" spans="1:10" x14ac:dyDescent="0.35">
      <c r="A168" s="6" t="s">
        <v>2125</v>
      </c>
      <c r="B168" s="6" t="s">
        <v>838</v>
      </c>
      <c r="C168" s="6" t="s">
        <v>2037</v>
      </c>
      <c r="D168" s="6" t="s">
        <v>2038</v>
      </c>
      <c r="E168" s="11">
        <v>2981</v>
      </c>
      <c r="G168" s="6" t="s">
        <v>2147</v>
      </c>
      <c r="H168" s="6" t="str" cm="1">
        <f t="array" ref="H168">IFERROR(INDEX($D$2:$D$554 &amp; " ($" &amp; TEXT($E$2:$E$554, "#,##0.00") &amp; ")", SMALL(IF($A$2:$A$554=$G168, ROW($D$2:$D$554)-ROW($D$2)+1), COLUMN(A168))), "")</f>
        <v>CARWARS ELITE 12,500 PACKAGE ($1,499.00)</v>
      </c>
      <c r="I168" s="6" t="str" cm="1">
        <f t="array" ref="I168">IFERROR(INDEX($D$2:$D$554 &amp; " ($" &amp; TEXT($E$2:$E$554, "#,##0.00") &amp; ")", SMALL(IF($A$2:$A$554=$G168, ROW($D$2:$D$554)-ROW($D$2)+1), COLUMN(B168))), "")</f>
        <v/>
      </c>
      <c r="J168" s="6" t="str" cm="1">
        <f t="array" ref="J168">IFERROR(INDEX($D$2:$D$554 &amp; " ($" &amp; TEXT($E$2:$E$554, "#,##0.00") &amp; ")", SMALL(IF($A$2:$A$554=$G168, ROW($D$2:$D$554)-ROW($D$2)+1), COLUMN(C168))), "")</f>
        <v/>
      </c>
    </row>
    <row r="169" spans="1:10" x14ac:dyDescent="0.35">
      <c r="A169" s="6" t="s">
        <v>1401</v>
      </c>
      <c r="B169" s="6" t="s">
        <v>1402</v>
      </c>
      <c r="C169" s="6" t="s">
        <v>1403</v>
      </c>
      <c r="D169" s="6" t="s">
        <v>1404</v>
      </c>
      <c r="E169" s="11">
        <v>10</v>
      </c>
      <c r="G169" s="6" t="s">
        <v>2148</v>
      </c>
      <c r="H169" s="6" t="str" cm="1">
        <f t="array" ref="H169">IFERROR(INDEX($D$2:$D$554 &amp; " ($" &amp; TEXT($E$2:$E$554, "#,##0.00") &amp; ")", SMALL(IF($A$2:$A$554=$G169, ROW($D$2:$D$554)-ROW($D$2)+1), COLUMN(A169))), "")</f>
        <v>CARWARS ELITE 12,500 PACKAGE ($1,499.00)</v>
      </c>
      <c r="I169" s="6" t="str" cm="1">
        <f t="array" ref="I169">IFERROR(INDEX($D$2:$D$554 &amp; " ($" &amp; TEXT($E$2:$E$554, "#,##0.00") &amp; ")", SMALL(IF($A$2:$A$554=$G169, ROW($D$2:$D$554)-ROW($D$2)+1), COLUMN(B169))), "")</f>
        <v/>
      </c>
      <c r="J169" s="6" t="str" cm="1">
        <f t="array" ref="J169">IFERROR(INDEX($D$2:$D$554 &amp; " ($" &amp; TEXT($E$2:$E$554, "#,##0.00") &amp; ")", SMALL(IF($A$2:$A$554=$G169, ROW($D$2:$D$554)-ROW($D$2)+1), COLUMN(C169))), "")</f>
        <v/>
      </c>
    </row>
    <row r="170" spans="1:10" x14ac:dyDescent="0.35">
      <c r="A170" s="6" t="s">
        <v>2126</v>
      </c>
      <c r="B170" s="6" t="s">
        <v>230</v>
      </c>
      <c r="C170" s="6" t="s">
        <v>74</v>
      </c>
      <c r="D170" s="6" t="s">
        <v>75</v>
      </c>
      <c r="E170" s="11">
        <v>350.3</v>
      </c>
      <c r="G170" s="6" t="s">
        <v>1423</v>
      </c>
      <c r="H170" s="6" t="str" cm="1">
        <f t="array" ref="H170">IFERROR(INDEX($D$2:$D$554 &amp; " ($" &amp; TEXT($E$2:$E$554, "#,##0.00") &amp; ")", SMALL(IF($A$2:$A$554=$G170, ROW($D$2:$D$554)-ROW($D$2)+1), COLUMN(A170))), "")</f>
        <v>CRM TELEPHONY TRACKING ($65.46)</v>
      </c>
      <c r="I170" s="6" t="str" cm="1">
        <f t="array" ref="I170">IFERROR(INDEX($D$2:$D$554 &amp; " ($" &amp; TEXT($E$2:$E$554, "#,##0.00") &amp; ")", SMALL(IF($A$2:$A$554=$G170, ROW($D$2:$D$554)-ROW($D$2)+1), COLUMN(B170))), "")</f>
        <v/>
      </c>
      <c r="J170" s="6" t="str" cm="1">
        <f t="array" ref="J170">IFERROR(INDEX($D$2:$D$554 &amp; " ($" &amp; TEXT($E$2:$E$554, "#,##0.00") &amp; ")", SMALL(IF($A$2:$A$554=$G170, ROW($D$2:$D$554)-ROW($D$2)+1), COLUMN(C170))), "")</f>
        <v/>
      </c>
    </row>
    <row r="171" spans="1:10" x14ac:dyDescent="0.35">
      <c r="A171" s="6" t="s">
        <v>2127</v>
      </c>
      <c r="B171" s="6" t="s">
        <v>163</v>
      </c>
      <c r="C171" s="6" t="s">
        <v>408</v>
      </c>
      <c r="D171" s="6" t="s">
        <v>409</v>
      </c>
      <c r="E171" s="11">
        <v>20</v>
      </c>
      <c r="G171" s="6" t="s">
        <v>2149</v>
      </c>
      <c r="H171" s="6" t="str" cm="1">
        <f t="array" ref="H171">IFERROR(INDEX($D$2:$D$554 &amp; " ($" &amp; TEXT($E$2:$E$554, "#,##0.00") &amp; ")", SMALL(IF($A$2:$A$554=$G171, ROW($D$2:$D$554)-ROW($D$2)+1), COLUMN(A171))), "")</f>
        <v>CARWARS INDEFINITE CALL RECORDINGS ($20.00)</v>
      </c>
      <c r="I171" s="6" t="str" cm="1">
        <f t="array" ref="I171">IFERROR(INDEX($D$2:$D$554 &amp; " ($" &amp; TEXT($E$2:$E$554, "#,##0.00") &amp; ")", SMALL(IF($A$2:$A$554=$G171, ROW($D$2:$D$554)-ROW($D$2)+1), COLUMN(B171))), "")</f>
        <v/>
      </c>
      <c r="J171" s="6" t="str" cm="1">
        <f t="array" ref="J171">IFERROR(INDEX($D$2:$D$554 &amp; " ($" &amp; TEXT($E$2:$E$554, "#,##0.00") &amp; ")", SMALL(IF($A$2:$A$554=$G171, ROW($D$2:$D$554)-ROW($D$2)+1), COLUMN(C171))), "")</f>
        <v/>
      </c>
    </row>
    <row r="172" spans="1:10" x14ac:dyDescent="0.35">
      <c r="A172" s="6" t="s">
        <v>2127</v>
      </c>
      <c r="B172" s="6" t="s">
        <v>163</v>
      </c>
      <c r="C172" s="6" t="s">
        <v>2150</v>
      </c>
      <c r="D172" s="6" t="s">
        <v>2151</v>
      </c>
      <c r="E172" s="11">
        <v>799</v>
      </c>
      <c r="G172" s="6" t="s">
        <v>2152</v>
      </c>
      <c r="H172" s="6" t="str" cm="1">
        <f t="array" ref="H172">IFERROR(INDEX($D$2:$D$554 &amp; " ($" &amp; TEXT($E$2:$E$554, "#,##0.00") &amp; ")", SMALL(IF($A$2:$A$554=$G172, ROW($D$2:$D$554)-ROW($D$2)+1), COLUMN(A172))), "")</f>
        <v>CARWARS STARTER 3500 ($337.95)</v>
      </c>
      <c r="I172" s="6" t="str" cm="1">
        <f t="array" ref="I172">IFERROR(INDEX($D$2:$D$554 &amp; " ($" &amp; TEXT($E$2:$E$554, "#,##0.00") &amp; ")", SMALL(IF($A$2:$A$554=$G172, ROW($D$2:$D$554)-ROW($D$2)+1), COLUMN(B172))), "")</f>
        <v/>
      </c>
      <c r="J172" s="6" t="str" cm="1">
        <f t="array" ref="J172">IFERROR(INDEX($D$2:$D$554 &amp; " ($" &amp; TEXT($E$2:$E$554, "#,##0.00") &amp; ")", SMALL(IF($A$2:$A$554=$G172, ROW($D$2:$D$554)-ROW($D$2)+1), COLUMN(C172))), "")</f>
        <v/>
      </c>
    </row>
    <row r="173" spans="1:10" x14ac:dyDescent="0.35">
      <c r="A173" s="6" t="s">
        <v>2128</v>
      </c>
      <c r="B173" s="6" t="s">
        <v>315</v>
      </c>
      <c r="C173" s="6" t="s">
        <v>42</v>
      </c>
      <c r="D173" s="6" t="s">
        <v>43</v>
      </c>
      <c r="E173" s="11">
        <v>1386.75</v>
      </c>
      <c r="G173" s="6" t="s">
        <v>2153</v>
      </c>
      <c r="H173" s="6" t="str" cm="1">
        <f t="array" ref="H173">IFERROR(INDEX($D$2:$D$554 &amp; " ($" &amp; TEXT($E$2:$E$554, "#,##0.00") &amp; ")", SMALL(IF($A$2:$A$554=$G173, ROW($D$2:$D$554)-ROW($D$2)+1), COLUMN(A173))), "")</f>
        <v>CARWARS STARTER 3500 ($319.00)</v>
      </c>
      <c r="I173" s="6" t="str" cm="1">
        <f t="array" ref="I173">IFERROR(INDEX($D$2:$D$554 &amp; " ($" &amp; TEXT($E$2:$E$554, "#,##0.00") &amp; ")", SMALL(IF($A$2:$A$554=$G173, ROW($D$2:$D$554)-ROW($D$2)+1), COLUMN(B173))), "")</f>
        <v/>
      </c>
      <c r="J173" s="6" t="str" cm="1">
        <f t="array" ref="J173">IFERROR(INDEX($D$2:$D$554 &amp; " ($" &amp; TEXT($E$2:$E$554, "#,##0.00") &amp; ")", SMALL(IF($A$2:$A$554=$G173, ROW($D$2:$D$554)-ROW($D$2)+1), COLUMN(C173))), "")</f>
        <v/>
      </c>
    </row>
    <row r="174" spans="1:10" x14ac:dyDescent="0.35">
      <c r="A174" s="6" t="s">
        <v>2128</v>
      </c>
      <c r="B174" s="6" t="s">
        <v>315</v>
      </c>
      <c r="C174" s="6" t="s">
        <v>1329</v>
      </c>
      <c r="D174" s="6" t="s">
        <v>1330</v>
      </c>
      <c r="E174" s="11">
        <v>100</v>
      </c>
      <c r="G174" s="6" t="s">
        <v>2154</v>
      </c>
      <c r="H174" s="6" t="str" cm="1">
        <f t="array" ref="H174">IFERROR(INDEX($D$2:$D$554 &amp; " ($" &amp; TEXT($E$2:$E$554, "#,##0.00") &amp; ")", SMALL(IF($A$2:$A$554=$G174, ROW($D$2:$D$554)-ROW($D$2)+1), COLUMN(A174))), "")</f>
        <v>CRM OUTBOUND TELEPHONY TRACKING (NEW AND CONVERSION) ($142.17)</v>
      </c>
      <c r="I174" s="6" t="str" cm="1">
        <f t="array" ref="I174">IFERROR(INDEX($D$2:$D$554 &amp; " ($" &amp; TEXT($E$2:$E$554, "#,##0.00") &amp; ")", SMALL(IF($A$2:$A$554=$G174, ROW($D$2:$D$554)-ROW($D$2)+1), COLUMN(B174))), "")</f>
        <v/>
      </c>
      <c r="J174" s="6" t="str" cm="1">
        <f t="array" ref="J174">IFERROR(INDEX($D$2:$D$554 &amp; " ($" &amp; TEXT($E$2:$E$554, "#,##0.00") &amp; ")", SMALL(IF($A$2:$A$554=$G174, ROW($D$2:$D$554)-ROW($D$2)+1), COLUMN(C174))), "")</f>
        <v/>
      </c>
    </row>
    <row r="175" spans="1:10" x14ac:dyDescent="0.35">
      <c r="A175" s="6" t="s">
        <v>2129</v>
      </c>
      <c r="B175" s="6" t="s">
        <v>551</v>
      </c>
      <c r="C175" s="6" t="s">
        <v>87</v>
      </c>
      <c r="D175" s="6" t="s">
        <v>88</v>
      </c>
      <c r="E175" s="11">
        <v>293.02</v>
      </c>
      <c r="G175" s="6" t="s">
        <v>2155</v>
      </c>
      <c r="H175" s="6" t="str" cm="1">
        <f t="array" ref="H175">IFERROR(INDEX($D$2:$D$554 &amp; " ($" &amp; TEXT($E$2:$E$554, "#,##0.00") &amp; ")", SMALL(IF($A$2:$A$554=$G175, ROW($D$2:$D$554)-ROW($D$2)+1), COLUMN(A175))), "")</f>
        <v>CARWARS PREMIUM SALES ($1,386.75)</v>
      </c>
      <c r="I175" s="6" t="str" cm="1">
        <f t="array" ref="I175">IFERROR(INDEX($D$2:$D$554 &amp; " ($" &amp; TEXT($E$2:$E$554, "#,##0.00") &amp; ")", SMALL(IF($A$2:$A$554=$G175, ROW($D$2:$D$554)-ROW($D$2)+1), COLUMN(B175))), "")</f>
        <v>CRM TELEPHONY TRACKING ($100.00)</v>
      </c>
      <c r="J175" s="6" t="str" cm="1">
        <f t="array" ref="J175">IFERROR(INDEX($D$2:$D$554 &amp; " ($" &amp; TEXT($E$2:$E$554, "#,##0.00") &amp; ")", SMALL(IF($A$2:$A$554=$G175, ROW($D$2:$D$554)-ROW($D$2)+1), COLUMN(C175))), "")</f>
        <v/>
      </c>
    </row>
    <row r="176" spans="1:10" x14ac:dyDescent="0.35">
      <c r="A176" s="6" t="s">
        <v>2130</v>
      </c>
      <c r="B176" s="6" t="s">
        <v>773</v>
      </c>
      <c r="C176" s="6" t="s">
        <v>48</v>
      </c>
      <c r="D176" s="6" t="s">
        <v>49</v>
      </c>
      <c r="E176" s="11">
        <v>342.1</v>
      </c>
      <c r="G176" s="6" t="s">
        <v>2156</v>
      </c>
      <c r="H176" s="6" t="str" cm="1">
        <f t="array" ref="H176">IFERROR(INDEX($D$2:$D$554 &amp; " ($" &amp; TEXT($E$2:$E$554, "#,##0.00") &amp; ")", SMALL(IF($A$2:$A$554=$G176, ROW($D$2:$D$554)-ROW($D$2)+1), COLUMN(A176))), "")</f>
        <v>CARWARS STARTER 3500 ($200.93)</v>
      </c>
      <c r="I176" s="6" t="str" cm="1">
        <f t="array" ref="I176">IFERROR(INDEX($D$2:$D$554 &amp; " ($" &amp; TEXT($E$2:$E$554, "#,##0.00") &amp; ")", SMALL(IF($A$2:$A$554=$G176, ROW($D$2:$D$554)-ROW($D$2)+1), COLUMN(B176))), "")</f>
        <v/>
      </c>
      <c r="J176" s="6" t="str" cm="1">
        <f t="array" ref="J176">IFERROR(INDEX($D$2:$D$554 &amp; " ($" &amp; TEXT($E$2:$E$554, "#,##0.00") &amp; ")", SMALL(IF($A$2:$A$554=$G176, ROW($D$2:$D$554)-ROW($D$2)+1), COLUMN(C176))), "")</f>
        <v/>
      </c>
    </row>
    <row r="177" spans="1:10" x14ac:dyDescent="0.35">
      <c r="A177" s="6" t="s">
        <v>2131</v>
      </c>
      <c r="B177" s="6" t="s">
        <v>323</v>
      </c>
      <c r="C177" s="6" t="s">
        <v>97</v>
      </c>
      <c r="D177" s="6" t="s">
        <v>98</v>
      </c>
      <c r="E177" s="11">
        <v>1618.92</v>
      </c>
      <c r="G177" s="6" t="s">
        <v>2157</v>
      </c>
      <c r="H177" s="6" t="str" cm="1">
        <f t="array" ref="H177">IFERROR(INDEX($D$2:$D$554 &amp; " ($" &amp; TEXT($E$2:$E$554, "#,##0.00") &amp; ")", SMALL(IF($A$2:$A$554=$G177, ROW($D$2:$D$554)-ROW($D$2)+1), COLUMN(A177))), "")</f>
        <v>CARWARS STARTER 3500 ($200.93)</v>
      </c>
      <c r="I177" s="6" t="str" cm="1">
        <f t="array" ref="I177">IFERROR(INDEX($D$2:$D$554 &amp; " ($" &amp; TEXT($E$2:$E$554, "#,##0.00") &amp; ")", SMALL(IF($A$2:$A$554=$G177, ROW($D$2:$D$554)-ROW($D$2)+1), COLUMN(B177))), "")</f>
        <v/>
      </c>
      <c r="J177" s="6" t="str" cm="1">
        <f t="array" ref="J177">IFERROR(INDEX($D$2:$D$554 &amp; " ($" &amp; TEXT($E$2:$E$554, "#,##0.00") &amp; ")", SMALL(IF($A$2:$A$554=$G177, ROW($D$2:$D$554)-ROW($D$2)+1), COLUMN(C177))), "")</f>
        <v/>
      </c>
    </row>
    <row r="178" spans="1:10" x14ac:dyDescent="0.35">
      <c r="A178" s="6" t="s">
        <v>1405</v>
      </c>
      <c r="B178" s="6" t="s">
        <v>1406</v>
      </c>
      <c r="C178" s="6" t="s">
        <v>1329</v>
      </c>
      <c r="D178" s="6" t="s">
        <v>1330</v>
      </c>
      <c r="E178" s="11">
        <v>104</v>
      </c>
      <c r="G178" s="6" t="s">
        <v>2158</v>
      </c>
      <c r="H178" s="6" t="str" cm="1">
        <f t="array" ref="H178">IFERROR(INDEX($D$2:$D$554 &amp; " ($" &amp; TEXT($E$2:$E$554, "#,##0.00") &amp; ")", SMALL(IF($A$2:$A$554=$G178, ROW($D$2:$D$554)-ROW($D$2)+1), COLUMN(A178))), "")</f>
        <v>CARWARS STARTER 3500 ($200.93)</v>
      </c>
      <c r="I178" s="6" t="str" cm="1">
        <f t="array" ref="I178">IFERROR(INDEX($D$2:$D$554 &amp; " ($" &amp; TEXT($E$2:$E$554, "#,##0.00") &amp; ")", SMALL(IF($A$2:$A$554=$G178, ROW($D$2:$D$554)-ROW($D$2)+1), COLUMN(B178))), "")</f>
        <v/>
      </c>
      <c r="J178" s="6" t="str" cm="1">
        <f t="array" ref="J178">IFERROR(INDEX($D$2:$D$554 &amp; " ($" &amp; TEXT($E$2:$E$554, "#,##0.00") &amp; ")", SMALL(IF($A$2:$A$554=$G178, ROW($D$2:$D$554)-ROW($D$2)+1), COLUMN(C178))), "")</f>
        <v/>
      </c>
    </row>
    <row r="179" spans="1:10" x14ac:dyDescent="0.35">
      <c r="A179" s="6" t="s">
        <v>1407</v>
      </c>
      <c r="B179" s="6" t="s">
        <v>1408</v>
      </c>
      <c r="C179" s="6" t="s">
        <v>1329</v>
      </c>
      <c r="D179" s="6" t="s">
        <v>1330</v>
      </c>
      <c r="E179" s="11">
        <v>104</v>
      </c>
      <c r="G179" s="6" t="s">
        <v>1078</v>
      </c>
      <c r="H179" s="6" t="str" cm="1">
        <f t="array" ref="H179">IFERROR(INDEX($D$2:$D$554 &amp; " ($" &amp; TEXT($E$2:$E$554, "#,##0.00") &amp; ")", SMALL(IF($A$2:$A$554=$G179, ROW($D$2:$D$554)-ROW($D$2)+1), COLUMN(A179))), "")</f>
        <v>CAR WARS CUSTOM PACKAGE--VICTORY AUTO ($1,053.45)</v>
      </c>
      <c r="I179" s="6" t="str" cm="1">
        <f t="array" ref="I179">IFERROR(INDEX($D$2:$D$554 &amp; " ($" &amp; TEXT($E$2:$E$554, "#,##0.00") &amp; ")", SMALL(IF($A$2:$A$554=$G179, ROW($D$2:$D$554)-ROW($D$2)+1), COLUMN(B179))), "")</f>
        <v/>
      </c>
      <c r="J179" s="6" t="str" cm="1">
        <f t="array" ref="J179">IFERROR(INDEX($D$2:$D$554 &amp; " ($" &amp; TEXT($E$2:$E$554, "#,##0.00") &amp; ")", SMALL(IF($A$2:$A$554=$G179, ROW($D$2:$D$554)-ROW($D$2)+1), COLUMN(C179))), "")</f>
        <v/>
      </c>
    </row>
    <row r="180" spans="1:10" x14ac:dyDescent="0.35">
      <c r="A180" s="6" t="s">
        <v>1409</v>
      </c>
      <c r="B180" s="6" t="s">
        <v>1410</v>
      </c>
      <c r="C180" s="6" t="s">
        <v>1329</v>
      </c>
      <c r="D180" s="6" t="s">
        <v>1330</v>
      </c>
      <c r="E180" s="11">
        <v>104</v>
      </c>
      <c r="G180" s="6" t="s">
        <v>1425</v>
      </c>
      <c r="H180" s="6" t="str" cm="1">
        <f t="array" ref="H180">IFERROR(INDEX($D$2:$D$554 &amp; " ($" &amp; TEXT($E$2:$E$554, "#,##0.00") &amp; ")", SMALL(IF($A$2:$A$554=$G180, ROW($D$2:$D$554)-ROW($D$2)+1), COLUMN(A180))), "")</f>
        <v>CRM TELEPHONY TRACKING ($70.35)</v>
      </c>
      <c r="I180" s="6" t="str" cm="1">
        <f t="array" ref="I180">IFERROR(INDEX($D$2:$D$554 &amp; " ($" &amp; TEXT($E$2:$E$554, "#,##0.00") &amp; ")", SMALL(IF($A$2:$A$554=$G180, ROW($D$2:$D$554)-ROW($D$2)+1), COLUMN(B180))), "")</f>
        <v/>
      </c>
      <c r="J180" s="6" t="str" cm="1">
        <f t="array" ref="J180">IFERROR(INDEX($D$2:$D$554 &amp; " ($" &amp; TEXT($E$2:$E$554, "#,##0.00") &amp; ")", SMALL(IF($A$2:$A$554=$G180, ROW($D$2:$D$554)-ROW($D$2)+1), COLUMN(C180))), "")</f>
        <v/>
      </c>
    </row>
    <row r="181" spans="1:10" x14ac:dyDescent="0.35">
      <c r="A181" s="6" t="s">
        <v>1411</v>
      </c>
      <c r="B181" s="6" t="s">
        <v>1412</v>
      </c>
      <c r="C181" s="6" t="s">
        <v>1329</v>
      </c>
      <c r="D181" s="6" t="s">
        <v>1330</v>
      </c>
      <c r="E181" s="11">
        <v>104</v>
      </c>
      <c r="G181" s="6" t="s">
        <v>2159</v>
      </c>
      <c r="H181" s="6" t="str" cm="1">
        <f t="array" ref="H181">IFERROR(INDEX($D$2:$D$554 &amp; " ($" &amp; TEXT($E$2:$E$554, "#,##0.00") &amp; ")", SMALL(IF($A$2:$A$554=$G181, ROW($D$2:$D$554)-ROW($D$2)+1), COLUMN(A181))), "")</f>
        <v>CRM OUTBOUND TELEPHONY TRACKING (NEW AND CONVERSION) ($371.18)</v>
      </c>
      <c r="I181" s="6" t="str" cm="1">
        <f t="array" ref="I181">IFERROR(INDEX($D$2:$D$554 &amp; " ($" &amp; TEXT($E$2:$E$554, "#,##0.00") &amp; ")", SMALL(IF($A$2:$A$554=$G181, ROW($D$2:$D$554)-ROW($D$2)+1), COLUMN(B181))), "")</f>
        <v/>
      </c>
      <c r="J181" s="6" t="str" cm="1">
        <f t="array" ref="J181">IFERROR(INDEX($D$2:$D$554 &amp; " ($" &amp; TEXT($E$2:$E$554, "#,##0.00") &amp; ")", SMALL(IF($A$2:$A$554=$G181, ROW($D$2:$D$554)-ROW($D$2)+1), COLUMN(C181))), "")</f>
        <v/>
      </c>
    </row>
    <row r="182" spans="1:10" x14ac:dyDescent="0.35">
      <c r="A182" s="6" t="s">
        <v>1413</v>
      </c>
      <c r="B182" s="6" t="s">
        <v>1414</v>
      </c>
      <c r="C182" s="6" t="s">
        <v>1329</v>
      </c>
      <c r="D182" s="6" t="s">
        <v>1330</v>
      </c>
      <c r="E182" s="11">
        <v>104</v>
      </c>
      <c r="G182" s="6" t="s">
        <v>2160</v>
      </c>
      <c r="H182" s="6" t="str" cm="1">
        <f t="array" ref="H182">IFERROR(INDEX($D$2:$D$554 &amp; " ($" &amp; TEXT($E$2:$E$554, "#,##0.00") &amp; ")", SMALL(IF($A$2:$A$554=$G182, ROW($D$2:$D$554)-ROW($D$2)+1), COLUMN(A182))), "")</f>
        <v>CRM OUTBOUND TELEPHONY TRACKING (NEW AND CONVERSION) ($371.18)</v>
      </c>
      <c r="I182" s="6" t="str" cm="1">
        <f t="array" ref="I182">IFERROR(INDEX($D$2:$D$554 &amp; " ($" &amp; TEXT($E$2:$E$554, "#,##0.00") &amp; ")", SMALL(IF($A$2:$A$554=$G182, ROW($D$2:$D$554)-ROW($D$2)+1), COLUMN(B182))), "")</f>
        <v/>
      </c>
      <c r="J182" s="6" t="str" cm="1">
        <f t="array" ref="J182">IFERROR(INDEX($D$2:$D$554 &amp; " ($" &amp; TEXT($E$2:$E$554, "#,##0.00") &amp; ")", SMALL(IF($A$2:$A$554=$G182, ROW($D$2:$D$554)-ROW($D$2)+1), COLUMN(C182))), "")</f>
        <v/>
      </c>
    </row>
    <row r="183" spans="1:10" x14ac:dyDescent="0.35">
      <c r="A183" s="6" t="s">
        <v>2132</v>
      </c>
      <c r="B183" s="6" t="s">
        <v>326</v>
      </c>
      <c r="C183" s="6" t="s">
        <v>97</v>
      </c>
      <c r="D183" s="6" t="s">
        <v>98</v>
      </c>
      <c r="E183" s="11">
        <v>1618.92</v>
      </c>
      <c r="G183" s="6" t="s">
        <v>2161</v>
      </c>
      <c r="H183" s="6" t="str" cm="1">
        <f t="array" ref="H183">IFERROR(INDEX($D$2:$D$554 &amp; " ($" &amp; TEXT($E$2:$E$554, "#,##0.00") &amp; ")", SMALL(IF($A$2:$A$554=$G183, ROW($D$2:$D$554)-ROW($D$2)+1), COLUMN(A183))), "")</f>
        <v>CRM OUTBOUND TELEPHONY TRACKING (NEW AND CONVERSION) ($371.18)</v>
      </c>
      <c r="I183" s="6" t="str" cm="1">
        <f t="array" ref="I183">IFERROR(INDEX($D$2:$D$554 &amp; " ($" &amp; TEXT($E$2:$E$554, "#,##0.00") &amp; ")", SMALL(IF($A$2:$A$554=$G183, ROW($D$2:$D$554)-ROW($D$2)+1), COLUMN(B183))), "")</f>
        <v/>
      </c>
      <c r="J183" s="6" t="str" cm="1">
        <f t="array" ref="J183">IFERROR(INDEX($D$2:$D$554 &amp; " ($" &amp; TEXT($E$2:$E$554, "#,##0.00") &amp; ")", SMALL(IF($A$2:$A$554=$G183, ROW($D$2:$D$554)-ROW($D$2)+1), COLUMN(C183))), "")</f>
        <v/>
      </c>
    </row>
    <row r="184" spans="1:10" x14ac:dyDescent="0.35">
      <c r="A184" s="6" t="s">
        <v>2133</v>
      </c>
      <c r="B184" s="6" t="s">
        <v>848</v>
      </c>
      <c r="C184" s="6" t="s">
        <v>2037</v>
      </c>
      <c r="D184" s="6" t="s">
        <v>2038</v>
      </c>
      <c r="E184" s="11">
        <v>2981</v>
      </c>
      <c r="G184" s="6" t="s">
        <v>2162</v>
      </c>
      <c r="H184" s="6" t="str" cm="1">
        <f t="array" ref="H184">IFERROR(INDEX($D$2:$D$554 &amp; " ($" &amp; TEXT($E$2:$E$554, "#,##0.00") &amp; ")", SMALL(IF($A$2:$A$554=$G184, ROW($D$2:$D$554)-ROW($D$2)+1), COLUMN(A184))), "")</f>
        <v>CARWARS STARTER 7500 ($528.64)</v>
      </c>
      <c r="I184" s="6" t="str" cm="1">
        <f t="array" ref="I184">IFERROR(INDEX($D$2:$D$554 &amp; " ($" &amp; TEXT($E$2:$E$554, "#,##0.00") &amp; ")", SMALL(IF($A$2:$A$554=$G184, ROW($D$2:$D$554)-ROW($D$2)+1), COLUMN(B184))), "")</f>
        <v/>
      </c>
      <c r="J184" s="6" t="str" cm="1">
        <f t="array" ref="J184">IFERROR(INDEX($D$2:$D$554 &amp; " ($" &amp; TEXT($E$2:$E$554, "#,##0.00") &amp; ")", SMALL(IF($A$2:$A$554=$G184, ROW($D$2:$D$554)-ROW($D$2)+1), COLUMN(C184))), "")</f>
        <v/>
      </c>
    </row>
    <row r="185" spans="1:10" x14ac:dyDescent="0.35">
      <c r="A185" s="6" t="s">
        <v>2133</v>
      </c>
      <c r="B185" s="6" t="s">
        <v>848</v>
      </c>
      <c r="C185" s="6" t="s">
        <v>2163</v>
      </c>
      <c r="D185" s="6" t="s">
        <v>2164</v>
      </c>
      <c r="E185" s="11">
        <v>1998</v>
      </c>
      <c r="G185" s="6" t="s">
        <v>1036</v>
      </c>
      <c r="H185" s="6" t="str" cm="1">
        <f t="array" ref="H185">IFERROR(INDEX($D$2:$D$554 &amp; " ($" &amp; TEXT($E$2:$E$554, "#,##0.00") &amp; ")", SMALL(IF($A$2:$A$554=$G185, ROW($D$2:$D$554)-ROW($D$2)+1), COLUMN(A185))), "")</f>
        <v>CAR WARS CUSTOM PACKAGE--VICTORY AUTO ($1,053.45)</v>
      </c>
      <c r="I185" s="6" t="str" cm="1">
        <f t="array" ref="I185">IFERROR(INDEX($D$2:$D$554 &amp; " ($" &amp; TEXT($E$2:$E$554, "#,##0.00") &amp; ")", SMALL(IF($A$2:$A$554=$G185, ROW($D$2:$D$554)-ROW($D$2)+1), COLUMN(B185))), "")</f>
        <v/>
      </c>
      <c r="J185" s="6" t="str" cm="1">
        <f t="array" ref="J185">IFERROR(INDEX($D$2:$D$554 &amp; " ($" &amp; TEXT($E$2:$E$554, "#,##0.00") &amp; ")", SMALL(IF($A$2:$A$554=$G185, ROW($D$2:$D$554)-ROW($D$2)+1), COLUMN(C185))), "")</f>
        <v/>
      </c>
    </row>
    <row r="186" spans="1:10" x14ac:dyDescent="0.35">
      <c r="A186" s="6" t="s">
        <v>2134</v>
      </c>
      <c r="B186" s="6" t="s">
        <v>709</v>
      </c>
      <c r="C186" s="6" t="s">
        <v>42</v>
      </c>
      <c r="D186" s="6" t="s">
        <v>43</v>
      </c>
      <c r="E186" s="11">
        <v>1941.45</v>
      </c>
      <c r="G186" s="6" t="s">
        <v>2165</v>
      </c>
      <c r="H186" s="6" t="str" cm="1">
        <f t="array" ref="H186">IFERROR(INDEX($D$2:$D$554 &amp; " ($" &amp; TEXT($E$2:$E$554, "#,##0.00") &amp; ")", SMALL(IF($A$2:$A$554=$G186, ROW($D$2:$D$554)-ROW($D$2)+1), COLUMN(A186))), "")</f>
        <v>CRM OUTBOUND TELEPHONY TRACKING (NEW AND CONVERSION) ($371.18)</v>
      </c>
      <c r="I186" s="6" t="str" cm="1">
        <f t="array" ref="I186">IFERROR(INDEX($D$2:$D$554 &amp; " ($" &amp; TEXT($E$2:$E$554, "#,##0.00") &amp; ")", SMALL(IF($A$2:$A$554=$G186, ROW($D$2:$D$554)-ROW($D$2)+1), COLUMN(B186))), "")</f>
        <v/>
      </c>
      <c r="J186" s="6" t="str" cm="1">
        <f t="array" ref="J186">IFERROR(INDEX($D$2:$D$554 &amp; " ($" &amp; TEXT($E$2:$E$554, "#,##0.00") &amp; ")", SMALL(IF($A$2:$A$554=$G186, ROW($D$2:$D$554)-ROW($D$2)+1), COLUMN(C186))), "")</f>
        <v/>
      </c>
    </row>
    <row r="187" spans="1:10" x14ac:dyDescent="0.35">
      <c r="A187" s="6" t="s">
        <v>1415</v>
      </c>
      <c r="B187" s="6" t="s">
        <v>1416</v>
      </c>
      <c r="C187" s="6" t="s">
        <v>35</v>
      </c>
      <c r="D187" s="6" t="s">
        <v>36</v>
      </c>
      <c r="E187" s="11">
        <v>211.04</v>
      </c>
      <c r="G187" s="6" t="s">
        <v>2166</v>
      </c>
      <c r="H187" s="6" t="str" cm="1">
        <f t="array" ref="H187">IFERROR(INDEX($D$2:$D$554 &amp; " ($" &amp; TEXT($E$2:$E$554, "#,##0.00") &amp; ")", SMALL(IF($A$2:$A$554=$G187, ROW($D$2:$D$554)-ROW($D$2)+1), COLUMN(A187))), "")</f>
        <v>CARWARS STARTER 7500 ($998.00)</v>
      </c>
      <c r="I187" s="6" t="str" cm="1">
        <f t="array" ref="I187">IFERROR(INDEX($D$2:$D$554 &amp; " ($" &amp; TEXT($E$2:$E$554, "#,##0.00") &amp; ")", SMALL(IF($A$2:$A$554=$G187, ROW($D$2:$D$554)-ROW($D$2)+1), COLUMN(B187))), "")</f>
        <v/>
      </c>
      <c r="J187" s="6" t="str" cm="1">
        <f t="array" ref="J187">IFERROR(INDEX($D$2:$D$554 &amp; " ($" &amp; TEXT($E$2:$E$554, "#,##0.00") &amp; ")", SMALL(IF($A$2:$A$554=$G187, ROW($D$2:$D$554)-ROW($D$2)+1), COLUMN(C187))), "")</f>
        <v/>
      </c>
    </row>
    <row r="188" spans="1:10" x14ac:dyDescent="0.35">
      <c r="A188" s="6" t="s">
        <v>1072</v>
      </c>
      <c r="B188" s="6" t="s">
        <v>1073</v>
      </c>
      <c r="C188" s="6" t="s">
        <v>1526</v>
      </c>
      <c r="D188" s="6" t="s">
        <v>971</v>
      </c>
      <c r="E188" s="11">
        <v>1053.45</v>
      </c>
      <c r="G188" s="6" t="s">
        <v>2167</v>
      </c>
      <c r="H188" s="6" t="str" cm="1">
        <f t="array" ref="H188">IFERROR(INDEX($D$2:$D$554 &amp; " ($" &amp; TEXT($E$2:$E$554, "#,##0.00") &amp; ")", SMALL(IF($A$2:$A$554=$G188, ROW($D$2:$D$554)-ROW($D$2)+1), COLUMN(A188))), "")</f>
        <v>CRM OUTBOUND TELEPHONY TRACKING (NEW AND CONVERSION) ($572.06)</v>
      </c>
      <c r="I188" s="6" t="str" cm="1">
        <f t="array" ref="I188">IFERROR(INDEX($D$2:$D$554 &amp; " ($" &amp; TEXT($E$2:$E$554, "#,##0.00") &amp; ")", SMALL(IF($A$2:$A$554=$G188, ROW($D$2:$D$554)-ROW($D$2)+1), COLUMN(B188))), "")</f>
        <v/>
      </c>
      <c r="J188" s="6" t="str" cm="1">
        <f t="array" ref="J188">IFERROR(INDEX($D$2:$D$554 &amp; " ($" &amp; TEXT($E$2:$E$554, "#,##0.00") &amp; ")", SMALL(IF($A$2:$A$554=$G188, ROW($D$2:$D$554)-ROW($D$2)+1), COLUMN(C188))), "")</f>
        <v/>
      </c>
    </row>
    <row r="189" spans="1:10" x14ac:dyDescent="0.35">
      <c r="A189" s="6" t="s">
        <v>1417</v>
      </c>
      <c r="B189" s="6" t="s">
        <v>1418</v>
      </c>
      <c r="C189" s="6" t="s">
        <v>1329</v>
      </c>
      <c r="D189" s="6" t="s">
        <v>1330</v>
      </c>
      <c r="E189" s="11">
        <v>65.459999999999994</v>
      </c>
      <c r="G189" s="6" t="s">
        <v>1427</v>
      </c>
      <c r="H189" s="6" t="str" cm="1">
        <f t="array" ref="H189">IFERROR(INDEX($D$2:$D$554 &amp; " ($" &amp; TEXT($E$2:$E$554, "#,##0.00") &amp; ")", SMALL(IF($A$2:$A$554=$G189, ROW($D$2:$D$554)-ROW($D$2)+1), COLUMN(A189))), "")</f>
        <v>CRM OUTBOUND TELEPHONY TRACKING (NEW AND CONVERSION) ($221.32)</v>
      </c>
      <c r="I189" s="6" t="str" cm="1">
        <f t="array" ref="I189">IFERROR(INDEX($D$2:$D$554 &amp; " ($" &amp; TEXT($E$2:$E$554, "#,##0.00") &amp; ")", SMALL(IF($A$2:$A$554=$G189, ROW($D$2:$D$554)-ROW($D$2)+1), COLUMN(B189))), "")</f>
        <v/>
      </c>
      <c r="J189" s="6" t="str" cm="1">
        <f t="array" ref="J189">IFERROR(INDEX($D$2:$D$554 &amp; " ($" &amp; TEXT($E$2:$E$554, "#,##0.00") &amp; ")", SMALL(IF($A$2:$A$554=$G189, ROW($D$2:$D$554)-ROW($D$2)+1), COLUMN(C189))), "")</f>
        <v/>
      </c>
    </row>
    <row r="190" spans="1:10" x14ac:dyDescent="0.35">
      <c r="A190" s="6" t="s">
        <v>2135</v>
      </c>
      <c r="B190" s="6" t="s">
        <v>243</v>
      </c>
      <c r="C190" s="6" t="s">
        <v>74</v>
      </c>
      <c r="D190" s="6" t="s">
        <v>75</v>
      </c>
      <c r="E190" s="11">
        <v>350.3</v>
      </c>
      <c r="G190" s="6" t="s">
        <v>2168</v>
      </c>
      <c r="H190" s="6" t="str" cm="1">
        <f t="array" ref="H190">IFERROR(INDEX($D$2:$D$554 &amp; " ($" &amp; TEXT($E$2:$E$554, "#,##0.00") &amp; ")", SMALL(IF($A$2:$A$554=$G190, ROW($D$2:$D$554)-ROW($D$2)+1), COLUMN(A190))), "")</f>
        <v>CRM OUTBOUND TELEPHONY TRACKING (NEW AND CONVERSION) ($221.32)</v>
      </c>
      <c r="I190" s="6" t="str" cm="1">
        <f t="array" ref="I190">IFERROR(INDEX($D$2:$D$554 &amp; " ($" &amp; TEXT($E$2:$E$554, "#,##0.00") &amp; ")", SMALL(IF($A$2:$A$554=$G190, ROW($D$2:$D$554)-ROW($D$2)+1), COLUMN(B190))), "")</f>
        <v/>
      </c>
      <c r="J190" s="6" t="str" cm="1">
        <f t="array" ref="J190">IFERROR(INDEX($D$2:$D$554 &amp; " ($" &amp; TEXT($E$2:$E$554, "#,##0.00") &amp; ")", SMALL(IF($A$2:$A$554=$G190, ROW($D$2:$D$554)-ROW($D$2)+1), COLUMN(C190))), "")</f>
        <v/>
      </c>
    </row>
    <row r="191" spans="1:10" x14ac:dyDescent="0.35">
      <c r="A191" s="6" t="s">
        <v>2136</v>
      </c>
      <c r="B191" s="6" t="s">
        <v>440</v>
      </c>
      <c r="C191" s="6" t="s">
        <v>67</v>
      </c>
      <c r="D191" s="6" t="s">
        <v>68</v>
      </c>
      <c r="E191" s="11">
        <v>599</v>
      </c>
      <c r="G191" s="6" t="s">
        <v>2169</v>
      </c>
      <c r="H191" s="6" t="str" cm="1">
        <f t="array" ref="H191">IFERROR(INDEX($D$2:$D$554 &amp; " ($" &amp; TEXT($E$2:$E$554, "#,##0.00") &amp; ")", SMALL(IF($A$2:$A$554=$G191, ROW($D$2:$D$554)-ROW($D$2)+1), COLUMN(A191))), "")</f>
        <v>CARWARS STARTER 3500 ($299.00)</v>
      </c>
      <c r="I191" s="6" t="str" cm="1">
        <f t="array" ref="I191">IFERROR(INDEX($D$2:$D$554 &amp; " ($" &amp; TEXT($E$2:$E$554, "#,##0.00") &amp; ")", SMALL(IF($A$2:$A$554=$G191, ROW($D$2:$D$554)-ROW($D$2)+1), COLUMN(B191))), "")</f>
        <v/>
      </c>
      <c r="J191" s="6" t="str" cm="1">
        <f t="array" ref="J191">IFERROR(INDEX($D$2:$D$554 &amp; " ($" &amp; TEXT($E$2:$E$554, "#,##0.00") &amp; ")", SMALL(IF($A$2:$A$554=$G191, ROW($D$2:$D$554)-ROW($D$2)+1), COLUMN(C191))), "")</f>
        <v/>
      </c>
    </row>
    <row r="192" spans="1:10" x14ac:dyDescent="0.35">
      <c r="A192" s="6" t="s">
        <v>2137</v>
      </c>
      <c r="B192" s="6" t="s">
        <v>2170</v>
      </c>
      <c r="C192" s="6" t="s">
        <v>408</v>
      </c>
      <c r="D192" s="6" t="s">
        <v>409</v>
      </c>
      <c r="E192" s="11">
        <v>20</v>
      </c>
      <c r="G192" s="6" t="s">
        <v>1429</v>
      </c>
      <c r="H192" s="6" t="str" cm="1">
        <f t="array" ref="H192">IFERROR(INDEX($D$2:$D$554 &amp; " ($" &amp; TEXT($E$2:$E$554, "#,##0.00") &amp; ")", SMALL(IF($A$2:$A$554=$G192, ROW($D$2:$D$554)-ROW($D$2)+1), COLUMN(A192))), "")</f>
        <v>CRM TELEPHONY TRACKING ($0.00)</v>
      </c>
      <c r="I192" s="6" t="str" cm="1">
        <f t="array" ref="I192">IFERROR(INDEX($D$2:$D$554 &amp; " ($" &amp; TEXT($E$2:$E$554, "#,##0.00") &amp; ")", SMALL(IF($A$2:$A$554=$G192, ROW($D$2:$D$554)-ROW($D$2)+1), COLUMN(B192))), "")</f>
        <v/>
      </c>
      <c r="J192" s="6" t="str" cm="1">
        <f t="array" ref="J192">IFERROR(INDEX($D$2:$D$554 &amp; " ($" &amp; TEXT($E$2:$E$554, "#,##0.00") &amp; ")", SMALL(IF($A$2:$A$554=$G192, ROW($D$2:$D$554)-ROW($D$2)+1), COLUMN(C192))), "")</f>
        <v/>
      </c>
    </row>
    <row r="193" spans="1:10" x14ac:dyDescent="0.35">
      <c r="A193" s="6" t="s">
        <v>1419</v>
      </c>
      <c r="B193" s="6" t="s">
        <v>1420</v>
      </c>
      <c r="C193" s="6" t="s">
        <v>1329</v>
      </c>
      <c r="D193" s="6" t="s">
        <v>1330</v>
      </c>
      <c r="E193" s="11">
        <v>0</v>
      </c>
      <c r="G193" s="6" t="s">
        <v>1431</v>
      </c>
      <c r="H193" s="6" t="str" cm="1">
        <f t="array" ref="H193">IFERROR(INDEX($D$2:$D$554 &amp; " ($" &amp; TEXT($E$2:$E$554, "#,##0.00") &amp; ")", SMALL(IF($A$2:$A$554=$G193, ROW($D$2:$D$554)-ROW($D$2)+1), COLUMN(A193))), "")</f>
        <v>CALLSOURCE EL ATTRIBUTED SMALL ($78.49)</v>
      </c>
      <c r="I193" s="6" t="str" cm="1">
        <f t="array" ref="I193">IFERROR(INDEX($D$2:$D$554 &amp; " ($" &amp; TEXT($E$2:$E$554, "#,##0.00") &amp; ")", SMALL(IF($A$2:$A$554=$G193, ROW($D$2:$D$554)-ROW($D$2)+1), COLUMN(B193))), "")</f>
        <v/>
      </c>
      <c r="J193" s="6" t="str" cm="1">
        <f t="array" ref="J193">IFERROR(INDEX($D$2:$D$554 &amp; " ($" &amp; TEXT($E$2:$E$554, "#,##0.00") &amp; ")", SMALL(IF($A$2:$A$554=$G193, ROW($D$2:$D$554)-ROW($D$2)+1), COLUMN(C193))), "")</f>
        <v/>
      </c>
    </row>
    <row r="194" spans="1:10" x14ac:dyDescent="0.35">
      <c r="A194" s="6" t="s">
        <v>2138</v>
      </c>
      <c r="B194" s="6" t="s">
        <v>616</v>
      </c>
      <c r="C194" s="6" t="s">
        <v>2037</v>
      </c>
      <c r="D194" s="6" t="s">
        <v>2038</v>
      </c>
      <c r="E194" s="11">
        <v>2981</v>
      </c>
      <c r="G194" s="6" t="s">
        <v>1435</v>
      </c>
      <c r="H194" s="6" t="str" cm="1">
        <f t="array" ref="H194">IFERROR(INDEX($D$2:$D$554 &amp; " ($" &amp; TEXT($E$2:$E$554, "#,##0.00") &amp; ")", SMALL(IF($A$2:$A$554=$G194, ROW($D$2:$D$554)-ROW($D$2)+1), COLUMN(A194))), "")</f>
        <v>CALLSOURCE EL ATTRIBUTED SMALL ($77.96)</v>
      </c>
      <c r="I194" s="6" t="str" cm="1">
        <f t="array" ref="I194">IFERROR(INDEX($D$2:$D$554 &amp; " ($" &amp; TEXT($E$2:$E$554, "#,##0.00") &amp; ")", SMALL(IF($A$2:$A$554=$G194, ROW($D$2:$D$554)-ROW($D$2)+1), COLUMN(B194))), "")</f>
        <v/>
      </c>
      <c r="J194" s="6" t="str" cm="1">
        <f t="array" ref="J194">IFERROR(INDEX($D$2:$D$554 &amp; " ($" &amp; TEXT($E$2:$E$554, "#,##0.00") &amp; ")", SMALL(IF($A$2:$A$554=$G194, ROW($D$2:$D$554)-ROW($D$2)+1), COLUMN(C194))), "")</f>
        <v/>
      </c>
    </row>
    <row r="195" spans="1:10" x14ac:dyDescent="0.35">
      <c r="A195" s="6" t="s">
        <v>2138</v>
      </c>
      <c r="B195" s="6" t="s">
        <v>616</v>
      </c>
      <c r="C195" s="6" t="s">
        <v>408</v>
      </c>
      <c r="D195" s="6" t="s">
        <v>409</v>
      </c>
      <c r="E195" s="11">
        <v>20</v>
      </c>
      <c r="G195" s="6" t="s">
        <v>2171</v>
      </c>
      <c r="H195" s="6" t="str" cm="1">
        <f t="array" ref="H195">IFERROR(INDEX($D$2:$D$554 &amp; " ($" &amp; TEXT($E$2:$E$554, "#,##0.00") &amp; ")", SMALL(IF($A$2:$A$554=$G195, ROW($D$2:$D$554)-ROW($D$2)+1), COLUMN(A195))), "")</f>
        <v>CARWARS STARTER 5000 ($599.00)</v>
      </c>
      <c r="I195" s="6" t="str" cm="1">
        <f t="array" ref="I195">IFERROR(INDEX($D$2:$D$554 &amp; " ($" &amp; TEXT($E$2:$E$554, "#,##0.00") &amp; ")", SMALL(IF($A$2:$A$554=$G195, ROW($D$2:$D$554)-ROW($D$2)+1), COLUMN(B195))), "")</f>
        <v/>
      </c>
      <c r="J195" s="6" t="str" cm="1">
        <f t="array" ref="J195">IFERROR(INDEX($D$2:$D$554 &amp; " ($" &amp; TEXT($E$2:$E$554, "#,##0.00") &amp; ")", SMALL(IF($A$2:$A$554=$G195, ROW($D$2:$D$554)-ROW($D$2)+1), COLUMN(C195))), "")</f>
        <v/>
      </c>
    </row>
    <row r="196" spans="1:10" x14ac:dyDescent="0.35">
      <c r="A196" s="6" t="s">
        <v>2139</v>
      </c>
      <c r="B196" s="6" t="s">
        <v>742</v>
      </c>
      <c r="C196" s="6" t="s">
        <v>48</v>
      </c>
      <c r="D196" s="6" t="s">
        <v>49</v>
      </c>
      <c r="E196" s="11">
        <v>322.92</v>
      </c>
      <c r="G196" s="6" t="s">
        <v>1009</v>
      </c>
      <c r="H196" s="6" t="str" cm="1">
        <f t="array" ref="H196">IFERROR(INDEX($D$2:$D$554 &amp; " ($" &amp; TEXT($E$2:$E$554, "#,##0.00") &amp; ")", SMALL(IF($A$2:$A$554=$G196, ROW($D$2:$D$554)-ROW($D$2)+1), COLUMN(A196))), "")</f>
        <v>CAR WARS CUSTOM PACKAGE--VICTORY AUTO ($1,053.45)</v>
      </c>
      <c r="I196" s="6" t="str" cm="1">
        <f t="array" ref="I196">IFERROR(INDEX($D$2:$D$554 &amp; " ($" &amp; TEXT($E$2:$E$554, "#,##0.00") &amp; ")", SMALL(IF($A$2:$A$554=$G196, ROW($D$2:$D$554)-ROW($D$2)+1), COLUMN(B196))), "")</f>
        <v/>
      </c>
      <c r="J196" s="6" t="str" cm="1">
        <f t="array" ref="J196">IFERROR(INDEX($D$2:$D$554 &amp; " ($" &amp; TEXT($E$2:$E$554, "#,##0.00") &amp; ")", SMALL(IF($A$2:$A$554=$G196, ROW($D$2:$D$554)-ROW($D$2)+1), COLUMN(C196))), "")</f>
        <v/>
      </c>
    </row>
    <row r="197" spans="1:10" x14ac:dyDescent="0.35">
      <c r="A197" s="6" t="s">
        <v>2140</v>
      </c>
      <c r="B197" s="6" t="s">
        <v>607</v>
      </c>
      <c r="C197" s="6" t="s">
        <v>97</v>
      </c>
      <c r="D197" s="6" t="s">
        <v>98</v>
      </c>
      <c r="E197" s="11">
        <v>1499</v>
      </c>
      <c r="G197" s="6" t="s">
        <v>2172</v>
      </c>
      <c r="H197" s="6" t="str" cm="1">
        <f t="array" ref="H197">IFERROR(INDEX($D$2:$D$554 &amp; " ($" &amp; TEXT($E$2:$E$554, "#,##0.00") &amp; ")", SMALL(IF($A$2:$A$554=$G197, ROW($D$2:$D$554)-ROW($D$2)+1), COLUMN(A197))), "")</f>
        <v>CARWARS STARTER 3500 ($200.93)</v>
      </c>
      <c r="I197" s="6" t="str" cm="1">
        <f t="array" ref="I197">IFERROR(INDEX($D$2:$D$554 &amp; " ($" &amp; TEXT($E$2:$E$554, "#,##0.00") &amp; ")", SMALL(IF($A$2:$A$554=$G197, ROW($D$2:$D$554)-ROW($D$2)+1), COLUMN(B197))), "")</f>
        <v/>
      </c>
      <c r="J197" s="6" t="str" cm="1">
        <f t="array" ref="J197">IFERROR(INDEX($D$2:$D$554 &amp; " ($" &amp; TEXT($E$2:$E$554, "#,##0.00") &amp; ")", SMALL(IF($A$2:$A$554=$G197, ROW($D$2:$D$554)-ROW($D$2)+1), COLUMN(C197))), "")</f>
        <v/>
      </c>
    </row>
    <row r="198" spans="1:10" x14ac:dyDescent="0.35">
      <c r="A198" s="6" t="s">
        <v>2141</v>
      </c>
      <c r="B198" s="6" t="s">
        <v>957</v>
      </c>
      <c r="C198" s="6" t="s">
        <v>1329</v>
      </c>
      <c r="D198" s="6" t="s">
        <v>1330</v>
      </c>
      <c r="E198" s="11">
        <v>70.349999999999994</v>
      </c>
      <c r="G198" s="6" t="s">
        <v>2173</v>
      </c>
      <c r="H198" s="6" t="str" cm="1">
        <f t="array" ref="H198">IFERROR(INDEX($D$2:$D$554 &amp; " ($" &amp; TEXT($E$2:$E$554, "#,##0.00") &amp; ")", SMALL(IF($A$2:$A$554=$G198, ROW($D$2:$D$554)-ROW($D$2)+1), COLUMN(A198))), "")</f>
        <v>CRM OUTBOUND TELEPHONY TRACKING (NEW AND CONVERSION) ($313.95)</v>
      </c>
      <c r="I198" s="6" t="str" cm="1">
        <f t="array" ref="I198">IFERROR(INDEX($D$2:$D$554 &amp; " ($" &amp; TEXT($E$2:$E$554, "#,##0.00") &amp; ")", SMALL(IF($A$2:$A$554=$G198, ROW($D$2:$D$554)-ROW($D$2)+1), COLUMN(B198))), "")</f>
        <v/>
      </c>
      <c r="J198" s="6" t="str" cm="1">
        <f t="array" ref="J198">IFERROR(INDEX($D$2:$D$554 &amp; " ($" &amp; TEXT($E$2:$E$554, "#,##0.00") &amp; ")", SMALL(IF($A$2:$A$554=$G198, ROW($D$2:$D$554)-ROW($D$2)+1), COLUMN(C198))), "")</f>
        <v/>
      </c>
    </row>
    <row r="199" spans="1:10" x14ac:dyDescent="0.35">
      <c r="A199" s="6" t="s">
        <v>2141</v>
      </c>
      <c r="B199" s="6" t="s">
        <v>957</v>
      </c>
      <c r="C199" s="6" t="s">
        <v>408</v>
      </c>
      <c r="D199" s="6" t="s">
        <v>409</v>
      </c>
      <c r="E199" s="11">
        <v>14</v>
      </c>
      <c r="G199" s="6" t="s">
        <v>2174</v>
      </c>
      <c r="H199" s="6" t="str" cm="1">
        <f t="array" ref="H199">IFERROR(INDEX($D$2:$D$554 &amp; " ($" &amp; TEXT($E$2:$E$554, "#,##0.00") &amp; ")", SMALL(IF($A$2:$A$554=$G199, ROW($D$2:$D$554)-ROW($D$2)+1), COLUMN(A199))), "")</f>
        <v>CRM OUTBOUND TELEPHONY TRACKING (NEW AND CONVERSION) ($619.46)</v>
      </c>
      <c r="I199" s="6" t="str" cm="1">
        <f t="array" ref="I199">IFERROR(INDEX($D$2:$D$554 &amp; " ($" &amp; TEXT($E$2:$E$554, "#,##0.00") &amp; ")", SMALL(IF($A$2:$A$554=$G199, ROW($D$2:$D$554)-ROW($D$2)+1), COLUMN(B199))), "")</f>
        <v/>
      </c>
      <c r="J199" s="6" t="str" cm="1">
        <f t="array" ref="J199">IFERROR(INDEX($D$2:$D$554 &amp; " ($" &amp; TEXT($E$2:$E$554, "#,##0.00") &amp; ")", SMALL(IF($A$2:$A$554=$G199, ROW($D$2:$D$554)-ROW($D$2)+1), COLUMN(C199))), "")</f>
        <v/>
      </c>
    </row>
    <row r="200" spans="1:10" x14ac:dyDescent="0.35">
      <c r="A200" s="6" t="s">
        <v>1170</v>
      </c>
      <c r="B200" s="6" t="s">
        <v>1171</v>
      </c>
      <c r="C200" s="6" t="s">
        <v>35</v>
      </c>
      <c r="D200" s="6" t="s">
        <v>36</v>
      </c>
      <c r="E200" s="11">
        <v>445.73</v>
      </c>
      <c r="G200" s="6" t="s">
        <v>1437</v>
      </c>
      <c r="H200" s="6" t="str" cm="1">
        <f t="array" ref="H200">IFERROR(INDEX($D$2:$D$554 &amp; " ($" &amp; TEXT($E$2:$E$554, "#,##0.00") &amp; ")", SMALL(IF($A$2:$A$554=$G200, ROW($D$2:$D$554)-ROW($D$2)+1), COLUMN(A200))), "")</f>
        <v>CRM TELEPHONY TRACKING ($147.46)</v>
      </c>
      <c r="I200" s="6" t="str" cm="1">
        <f t="array" ref="I200">IFERROR(INDEX($D$2:$D$554 &amp; " ($" &amp; TEXT($E$2:$E$554, "#,##0.00") &amp; ")", SMALL(IF($A$2:$A$554=$G200, ROW($D$2:$D$554)-ROW($D$2)+1), COLUMN(B200))), "")</f>
        <v/>
      </c>
      <c r="J200" s="6" t="str" cm="1">
        <f t="array" ref="J200">IFERROR(INDEX($D$2:$D$554 &amp; " ($" &amp; TEXT($E$2:$E$554, "#,##0.00") &amp; ")", SMALL(IF($A$2:$A$554=$G200, ROW($D$2:$D$554)-ROW($D$2)+1), COLUMN(C200))), "")</f>
        <v/>
      </c>
    </row>
    <row r="201" spans="1:10" x14ac:dyDescent="0.35">
      <c r="A201" s="6" t="s">
        <v>2142</v>
      </c>
      <c r="B201" s="6" t="s">
        <v>897</v>
      </c>
      <c r="C201" s="6" t="s">
        <v>35</v>
      </c>
      <c r="D201" s="6" t="s">
        <v>36</v>
      </c>
      <c r="E201" s="11">
        <v>1274</v>
      </c>
      <c r="G201" s="6" t="s">
        <v>2175</v>
      </c>
      <c r="H201" s="6" t="str" cm="1">
        <f t="array" ref="H201">IFERROR(INDEX($D$2:$D$554 &amp; " ($" &amp; TEXT($E$2:$E$554, "#,##0.00") &amp; ")", SMALL(IF($A$2:$A$554=$G201, ROW($D$2:$D$554)-ROW($D$2)+1), COLUMN(A201))), "")</f>
        <v>CRM OUTBOUND TELEPHONY TRACKING (NEW AND CONVERSION) ($199.00)</v>
      </c>
      <c r="I201" s="6" t="str" cm="1">
        <f t="array" ref="I201">IFERROR(INDEX($D$2:$D$554 &amp; " ($" &amp; TEXT($E$2:$E$554, "#,##0.00") &amp; ")", SMALL(IF($A$2:$A$554=$G201, ROW($D$2:$D$554)-ROW($D$2)+1), COLUMN(B201))), "")</f>
        <v>CARWARS PREMIUM SALES ($1,849.00)</v>
      </c>
      <c r="J201" s="6" t="str" cm="1">
        <f t="array" ref="J201">IFERROR(INDEX($D$2:$D$554 &amp; " ($" &amp; TEXT($E$2:$E$554, "#,##0.00") &amp; ")", SMALL(IF($A$2:$A$554=$G201, ROW($D$2:$D$554)-ROW($D$2)+1), COLUMN(C201))), "")</f>
        <v/>
      </c>
    </row>
    <row r="202" spans="1:10" x14ac:dyDescent="0.35">
      <c r="A202" s="6" t="s">
        <v>2142</v>
      </c>
      <c r="B202" s="6" t="s">
        <v>897</v>
      </c>
      <c r="C202" s="6" t="s">
        <v>408</v>
      </c>
      <c r="D202" s="6" t="s">
        <v>409</v>
      </c>
      <c r="E202" s="11">
        <v>10</v>
      </c>
      <c r="G202" s="6" t="s">
        <v>2176</v>
      </c>
      <c r="H202" s="6" t="str" cm="1">
        <f t="array" ref="H202">IFERROR(INDEX($D$2:$D$554 &amp; " ($" &amp; TEXT($E$2:$E$554, "#,##0.00") &amp; ")", SMALL(IF($A$2:$A$554=$G202, ROW($D$2:$D$554)-ROW($D$2)+1), COLUMN(A202))), "")</f>
        <v>CARWARS STARTER 7500 ($499.00)</v>
      </c>
      <c r="I202" s="6" t="str" cm="1">
        <f t="array" ref="I202">IFERROR(INDEX($D$2:$D$554 &amp; " ($" &amp; TEXT($E$2:$E$554, "#,##0.00") &amp; ")", SMALL(IF($A$2:$A$554=$G202, ROW($D$2:$D$554)-ROW($D$2)+1), COLUMN(B202))), "")</f>
        <v/>
      </c>
      <c r="J202" s="6" t="str" cm="1">
        <f t="array" ref="J202">IFERROR(INDEX($D$2:$D$554 &amp; " ($" &amp; TEXT($E$2:$E$554, "#,##0.00") &amp; ")", SMALL(IF($A$2:$A$554=$G202, ROW($D$2:$D$554)-ROW($D$2)+1), COLUMN(C202))), "")</f>
        <v/>
      </c>
    </row>
    <row r="203" spans="1:10" x14ac:dyDescent="0.35">
      <c r="A203" s="6" t="s">
        <v>1421</v>
      </c>
      <c r="B203" s="6" t="s">
        <v>1422</v>
      </c>
      <c r="C203" s="6" t="s">
        <v>1329</v>
      </c>
      <c r="D203" s="6" t="s">
        <v>1330</v>
      </c>
      <c r="E203" s="11">
        <v>0</v>
      </c>
      <c r="G203" s="6" t="s">
        <v>2177</v>
      </c>
      <c r="H203" s="6" t="str" cm="1">
        <f t="array" ref="H203">IFERROR(INDEX($D$2:$D$554 &amp; " ($" &amp; TEXT($E$2:$E$554, "#,##0.00") &amp; ")", SMALL(IF($A$2:$A$554=$G203, ROW($D$2:$D$554)-ROW($D$2)+1), COLUMN(A203))), "")</f>
        <v>CRM OUTBOUND TELEPHONY TRACKING (NEW AND CONVERSION) ($342.30)</v>
      </c>
      <c r="I203" s="6" t="str" cm="1">
        <f t="array" ref="I203">IFERROR(INDEX($D$2:$D$554 &amp; " ($" &amp; TEXT($E$2:$E$554, "#,##0.00") &amp; ")", SMALL(IF($A$2:$A$554=$G203, ROW($D$2:$D$554)-ROW($D$2)+1), COLUMN(B203))), "")</f>
        <v/>
      </c>
      <c r="J203" s="6" t="str" cm="1">
        <f t="array" ref="J203">IFERROR(INDEX($D$2:$D$554 &amp; " ($" &amp; TEXT($E$2:$E$554, "#,##0.00") &amp; ")", SMALL(IF($A$2:$A$554=$G203, ROW($D$2:$D$554)-ROW($D$2)+1), COLUMN(C203))), "")</f>
        <v/>
      </c>
    </row>
    <row r="204" spans="1:10" x14ac:dyDescent="0.35">
      <c r="A204" s="6" t="s">
        <v>2143</v>
      </c>
      <c r="B204" s="6" t="s">
        <v>190</v>
      </c>
      <c r="C204" s="6" t="s">
        <v>42</v>
      </c>
      <c r="D204" s="6" t="s">
        <v>43</v>
      </c>
      <c r="E204" s="11">
        <v>1090.9100000000001</v>
      </c>
      <c r="G204" s="6" t="s">
        <v>2178</v>
      </c>
      <c r="H204" s="6" t="str" cm="1">
        <f t="array" ref="H204">IFERROR(INDEX($D$2:$D$554 &amp; " ($" &amp; TEXT($E$2:$E$554, "#,##0.00") &amp; ")", SMALL(IF($A$2:$A$554=$G204, ROW($D$2:$D$554)-ROW($D$2)+1), COLUMN(A204))), "")</f>
        <v>CARWARS ADVANCED SERVICE ($999.00)</v>
      </c>
      <c r="I204" s="6" t="str" cm="1">
        <f t="array" ref="I204">IFERROR(INDEX($D$2:$D$554 &amp; " ($" &amp; TEXT($E$2:$E$554, "#,##0.00") &amp; ")", SMALL(IF($A$2:$A$554=$G204, ROW($D$2:$D$554)-ROW($D$2)+1), COLUMN(B204))), "")</f>
        <v>CARWARS ELITE 12,500 PACKAGE ($1,499.00)</v>
      </c>
      <c r="J204" s="6" t="str" cm="1">
        <f t="array" ref="J204">IFERROR(INDEX($D$2:$D$554 &amp; " ($" &amp; TEXT($E$2:$E$554, "#,##0.00") &amp; ")", SMALL(IF($A$2:$A$554=$G204, ROW($D$2:$D$554)-ROW($D$2)+1), COLUMN(C204))), "")</f>
        <v/>
      </c>
    </row>
    <row r="205" spans="1:10" x14ac:dyDescent="0.35">
      <c r="A205" s="6" t="s">
        <v>2144</v>
      </c>
      <c r="B205" s="6" t="s">
        <v>890</v>
      </c>
      <c r="C205" s="6" t="s">
        <v>35</v>
      </c>
      <c r="D205" s="6" t="s">
        <v>36</v>
      </c>
      <c r="E205" s="11">
        <v>422.9</v>
      </c>
      <c r="G205" s="6" t="s">
        <v>2179</v>
      </c>
      <c r="H205" s="6" t="str" cm="1">
        <f t="array" ref="H205">IFERROR(INDEX($D$2:$D$554 &amp; " ($" &amp; TEXT($E$2:$E$554, "#,##0.00") &amp; ")", SMALL(IF($A$2:$A$554=$G205, ROW($D$2:$D$554)-ROW($D$2)+1), COLUMN(A205))), "")</f>
        <v>CARWARS ADVANCED SALES ($1,078.92)</v>
      </c>
      <c r="I205" s="6" t="str" cm="1">
        <f t="array" ref="I205">IFERROR(INDEX($D$2:$D$554 &amp; " ($" &amp; TEXT($E$2:$E$554, "#,##0.00") &amp; ")", SMALL(IF($A$2:$A$554=$G205, ROW($D$2:$D$554)-ROW($D$2)+1), COLUMN(B205))), "")</f>
        <v/>
      </c>
      <c r="J205" s="6" t="str" cm="1">
        <f t="array" ref="J205">IFERROR(INDEX($D$2:$D$554 &amp; " ($" &amp; TEXT($E$2:$E$554, "#,##0.00") &amp; ")", SMALL(IF($A$2:$A$554=$G205, ROW($D$2:$D$554)-ROW($D$2)+1), COLUMN(C205))), "")</f>
        <v/>
      </c>
    </row>
    <row r="206" spans="1:10" x14ac:dyDescent="0.35">
      <c r="A206" s="6" t="s">
        <v>2144</v>
      </c>
      <c r="B206" s="6" t="s">
        <v>890</v>
      </c>
      <c r="C206" s="6" t="s">
        <v>97</v>
      </c>
      <c r="D206" s="6" t="s">
        <v>98</v>
      </c>
      <c r="E206" s="11">
        <v>1499</v>
      </c>
      <c r="G206" s="6" t="s">
        <v>1439</v>
      </c>
      <c r="H206" s="6" t="str" cm="1">
        <f t="array" ref="H206">IFERROR(INDEX($D$2:$D$554 &amp; " ($" &amp; TEXT($E$2:$E$554, "#,##0.00") &amp; ")", SMALL(IF($A$2:$A$554=$G206, ROW($D$2:$D$554)-ROW($D$2)+1), COLUMN(A206))), "")</f>
        <v>CRM TELEPHONY TRACKING ($68.25)</v>
      </c>
      <c r="I206" s="6" t="str" cm="1">
        <f t="array" ref="I206">IFERROR(INDEX($D$2:$D$554 &amp; " ($" &amp; TEXT($E$2:$E$554, "#,##0.00") &amp; ")", SMALL(IF($A$2:$A$554=$G206, ROW($D$2:$D$554)-ROW($D$2)+1), COLUMN(B206))), "")</f>
        <v/>
      </c>
      <c r="J206" s="6" t="str" cm="1">
        <f t="array" ref="J206">IFERROR(INDEX($D$2:$D$554 &amp; " ($" &amp; TEXT($E$2:$E$554, "#,##0.00") &amp; ")", SMALL(IF($A$2:$A$554=$G206, ROW($D$2:$D$554)-ROW($D$2)+1), COLUMN(C206))), "")</f>
        <v/>
      </c>
    </row>
    <row r="207" spans="1:10" x14ac:dyDescent="0.35">
      <c r="A207" s="6" t="s">
        <v>2145</v>
      </c>
      <c r="B207" s="6" t="s">
        <v>497</v>
      </c>
      <c r="C207" s="6" t="s">
        <v>1325</v>
      </c>
      <c r="D207" s="6" t="s">
        <v>1326</v>
      </c>
      <c r="E207" s="11">
        <v>1812.02</v>
      </c>
      <c r="G207" s="6" t="s">
        <v>2180</v>
      </c>
      <c r="H207" s="6" t="str" cm="1">
        <f t="array" ref="H207">IFERROR(INDEX($D$2:$D$554 &amp; " ($" &amp; TEXT($E$2:$E$554, "#,##0.00") &amp; ")", SMALL(IF($A$2:$A$554=$G207, ROW($D$2:$D$554)-ROW($D$2)+1), COLUMN(A207))), "")</f>
        <v>CARWARS STARTER 3500 ($200.93)</v>
      </c>
      <c r="I207" s="6" t="str" cm="1">
        <f t="array" ref="I207">IFERROR(INDEX($D$2:$D$554 &amp; " ($" &amp; TEXT($E$2:$E$554, "#,##0.00") &amp; ")", SMALL(IF($A$2:$A$554=$G207, ROW($D$2:$D$554)-ROW($D$2)+1), COLUMN(B207))), "")</f>
        <v/>
      </c>
      <c r="J207" s="6" t="str" cm="1">
        <f t="array" ref="J207">IFERROR(INDEX($D$2:$D$554 &amp; " ($" &amp; TEXT($E$2:$E$554, "#,##0.00") &amp; ")", SMALL(IF($A$2:$A$554=$G207, ROW($D$2:$D$554)-ROW($D$2)+1), COLUMN(C207))), "")</f>
        <v/>
      </c>
    </row>
    <row r="208" spans="1:10" x14ac:dyDescent="0.35">
      <c r="A208" s="6" t="s">
        <v>2146</v>
      </c>
      <c r="B208" s="6" t="s">
        <v>852</v>
      </c>
      <c r="C208" s="6" t="s">
        <v>35</v>
      </c>
      <c r="D208" s="6" t="s">
        <v>36</v>
      </c>
      <c r="E208" s="11">
        <v>1044.75</v>
      </c>
      <c r="G208" s="6" t="s">
        <v>2181</v>
      </c>
      <c r="H208" s="6" t="str" cm="1">
        <f t="array" ref="H208">IFERROR(INDEX($D$2:$D$554 &amp; " ($" &amp; TEXT($E$2:$E$554, "#,##0.00") &amp; ")", SMALL(IF($A$2:$A$554=$G208, ROW($D$2:$D$554)-ROW($D$2)+1), COLUMN(A208))), "")</f>
        <v>CRM OUTBOUND TELEPHONY TRACKING (NEW AND CONVERSION) ($339.09)</v>
      </c>
      <c r="I208" s="6" t="str" cm="1">
        <f t="array" ref="I208">IFERROR(INDEX($D$2:$D$554 &amp; " ($" &amp; TEXT($E$2:$E$554, "#,##0.00") &amp; ")", SMALL(IF($A$2:$A$554=$G208, ROW($D$2:$D$554)-ROW($D$2)+1), COLUMN(B208))), "")</f>
        <v/>
      </c>
      <c r="J208" s="6" t="str" cm="1">
        <f t="array" ref="J208">IFERROR(INDEX($D$2:$D$554 &amp; " ($" &amp; TEXT($E$2:$E$554, "#,##0.00") &amp; ")", SMALL(IF($A$2:$A$554=$G208, ROW($D$2:$D$554)-ROW($D$2)+1), COLUMN(C208))), "")</f>
        <v/>
      </c>
    </row>
    <row r="209" spans="1:10" x14ac:dyDescent="0.35">
      <c r="A209" s="6" t="s">
        <v>2147</v>
      </c>
      <c r="B209" s="6" t="s">
        <v>593</v>
      </c>
      <c r="C209" s="6" t="s">
        <v>97</v>
      </c>
      <c r="D209" s="6" t="s">
        <v>98</v>
      </c>
      <c r="E209" s="11">
        <v>1499</v>
      </c>
      <c r="G209" s="6" t="s">
        <v>2182</v>
      </c>
      <c r="H209" s="6" t="str" cm="1">
        <f t="array" ref="H209">IFERROR(INDEX($D$2:$D$554 &amp; " ($" &amp; TEXT($E$2:$E$554, "#,##0.00") &amp; ")", SMALL(IF($A$2:$A$554=$G209, ROW($D$2:$D$554)-ROW($D$2)+1), COLUMN(A209))), "")</f>
        <v>CARWARS STARTER 7500 ($499.00)</v>
      </c>
      <c r="I209" s="6" t="str" cm="1">
        <f t="array" ref="I209">IFERROR(INDEX($D$2:$D$554 &amp; " ($" &amp; TEXT($E$2:$E$554, "#,##0.00") &amp; ")", SMALL(IF($A$2:$A$554=$G209, ROW($D$2:$D$554)-ROW($D$2)+1), COLUMN(B209))), "")</f>
        <v/>
      </c>
      <c r="J209" s="6" t="str" cm="1">
        <f t="array" ref="J209">IFERROR(INDEX($D$2:$D$554 &amp; " ($" &amp; TEXT($E$2:$E$554, "#,##0.00") &amp; ")", SMALL(IF($A$2:$A$554=$G209, ROW($D$2:$D$554)-ROW($D$2)+1), COLUMN(C209))), "")</f>
        <v/>
      </c>
    </row>
    <row r="210" spans="1:10" x14ac:dyDescent="0.35">
      <c r="A210" s="6" t="s">
        <v>2148</v>
      </c>
      <c r="B210" s="6" t="s">
        <v>611</v>
      </c>
      <c r="C210" s="6" t="s">
        <v>97</v>
      </c>
      <c r="D210" s="6" t="s">
        <v>98</v>
      </c>
      <c r="E210" s="11">
        <v>1499</v>
      </c>
      <c r="G210" s="6" t="s">
        <v>2183</v>
      </c>
      <c r="H210" s="6" t="str" cm="1">
        <f t="array" ref="H210">IFERROR(INDEX($D$2:$D$554 &amp; " ($" &amp; TEXT($E$2:$E$554, "#,##0.00") &amp; ")", SMALL(IF($A$2:$A$554=$G210, ROW($D$2:$D$554)-ROW($D$2)+1), COLUMN(A210))), "")</f>
        <v>CARWARS PREMIUM SALES ($1,386.75)</v>
      </c>
      <c r="I210" s="6" t="str" cm="1">
        <f t="array" ref="I210">IFERROR(INDEX($D$2:$D$554 &amp; " ($" &amp; TEXT($E$2:$E$554, "#,##0.00") &amp; ")", SMALL(IF($A$2:$A$554=$G210, ROW($D$2:$D$554)-ROW($D$2)+1), COLUMN(B210))), "")</f>
        <v/>
      </c>
      <c r="J210" s="6" t="str" cm="1">
        <f t="array" ref="J210">IFERROR(INDEX($D$2:$D$554 &amp; " ($" &amp; TEXT($E$2:$E$554, "#,##0.00") &amp; ")", SMALL(IF($A$2:$A$554=$G210, ROW($D$2:$D$554)-ROW($D$2)+1), COLUMN(C210))), "")</f>
        <v/>
      </c>
    </row>
    <row r="211" spans="1:10" x14ac:dyDescent="0.35">
      <c r="A211" s="6" t="s">
        <v>1423</v>
      </c>
      <c r="B211" s="6" t="s">
        <v>1424</v>
      </c>
      <c r="C211" s="6" t="s">
        <v>1329</v>
      </c>
      <c r="D211" s="6" t="s">
        <v>1330</v>
      </c>
      <c r="E211" s="11">
        <v>65.459999999999994</v>
      </c>
      <c r="G211" s="6" t="s">
        <v>2184</v>
      </c>
      <c r="H211" s="6" t="str" cm="1">
        <f t="array" ref="H211">IFERROR(INDEX($D$2:$D$554 &amp; " ($" &amp; TEXT($E$2:$E$554, "#,##0.00") &amp; ")", SMALL(IF($A$2:$A$554=$G211, ROW($D$2:$D$554)-ROW($D$2)+1), COLUMN(A211))), "")</f>
        <v>CRM OUTBOUND TELEPHONY TRACKING (NEW AND CONVERSION) ($261.45)</v>
      </c>
      <c r="I211" s="6" t="str" cm="1">
        <f t="array" ref="I211">IFERROR(INDEX($D$2:$D$554 &amp; " ($" &amp; TEXT($E$2:$E$554, "#,##0.00") &amp; ")", SMALL(IF($A$2:$A$554=$G211, ROW($D$2:$D$554)-ROW($D$2)+1), COLUMN(B211))), "")</f>
        <v>CARWARS INDEFINITE CALL RECORDINGS ($20.00)</v>
      </c>
      <c r="J211" s="6" t="str" cm="1">
        <f t="array" ref="J211">IFERROR(INDEX($D$2:$D$554 &amp; " ($" &amp; TEXT($E$2:$E$554, "#,##0.00") &amp; ")", SMALL(IF($A$2:$A$554=$G211, ROW($D$2:$D$554)-ROW($D$2)+1), COLUMN(C211))), "")</f>
        <v>CARWARS STARTER 5000 ($599.00)</v>
      </c>
    </row>
    <row r="212" spans="1:10" x14ac:dyDescent="0.35">
      <c r="A212" s="6" t="s">
        <v>2149</v>
      </c>
      <c r="B212" s="6" t="s">
        <v>2185</v>
      </c>
      <c r="C212" s="6" t="s">
        <v>408</v>
      </c>
      <c r="D212" s="6" t="s">
        <v>409</v>
      </c>
      <c r="E212" s="11">
        <v>20</v>
      </c>
      <c r="G212" s="6" t="s">
        <v>1164</v>
      </c>
      <c r="H212" s="6" t="str" cm="1">
        <f t="array" ref="H212">IFERROR(INDEX($D$2:$D$554 &amp; " ($" &amp; TEXT($E$2:$E$554, "#,##0.00") &amp; ")", SMALL(IF($A$2:$A$554=$G212, ROW($D$2:$D$554)-ROW($D$2)+1), COLUMN(A212))), "")</f>
        <v>CRM OUTBOUND TELEPHONY TRACKING (NEW AND CONVERSION) ($445.73)</v>
      </c>
      <c r="I212" s="6" t="str" cm="1">
        <f t="array" ref="I212">IFERROR(INDEX($D$2:$D$554 &amp; " ($" &amp; TEXT($E$2:$E$554, "#,##0.00") &amp; ")", SMALL(IF($A$2:$A$554=$G212, ROW($D$2:$D$554)-ROW($D$2)+1), COLUMN(B212))), "")</f>
        <v/>
      </c>
      <c r="J212" s="6" t="str" cm="1">
        <f t="array" ref="J212">IFERROR(INDEX($D$2:$D$554 &amp; " ($" &amp; TEXT($E$2:$E$554, "#,##0.00") &amp; ")", SMALL(IF($A$2:$A$554=$G212, ROW($D$2:$D$554)-ROW($D$2)+1), COLUMN(C212))), "")</f>
        <v/>
      </c>
    </row>
    <row r="213" spans="1:10" x14ac:dyDescent="0.35">
      <c r="A213" s="6" t="s">
        <v>2152</v>
      </c>
      <c r="B213" s="6" t="s">
        <v>365</v>
      </c>
      <c r="C213" s="6" t="s">
        <v>48</v>
      </c>
      <c r="D213" s="6" t="s">
        <v>49</v>
      </c>
      <c r="E213" s="11">
        <v>337.95</v>
      </c>
      <c r="G213" s="6" t="s">
        <v>2186</v>
      </c>
      <c r="H213" s="6" t="str" cm="1">
        <f t="array" ref="H213">IFERROR(INDEX($D$2:$D$554 &amp; " ($" &amp; TEXT($E$2:$E$554, "#,##0.00") &amp; ")", SMALL(IF($A$2:$A$554=$G213, ROW($D$2:$D$554)-ROW($D$2)+1), COLUMN(A213))), "")</f>
        <v>CRM OUTBOUND TELEPHONY TRACKING (NEW AND CONVERSION) ($246.39)</v>
      </c>
      <c r="I213" s="6" t="str" cm="1">
        <f t="array" ref="I213">IFERROR(INDEX($D$2:$D$554 &amp; " ($" &amp; TEXT($E$2:$E$554, "#,##0.00") &amp; ")", SMALL(IF($A$2:$A$554=$G213, ROW($D$2:$D$554)-ROW($D$2)+1), COLUMN(B213))), "")</f>
        <v/>
      </c>
      <c r="J213" s="6" t="str" cm="1">
        <f t="array" ref="J213">IFERROR(INDEX($D$2:$D$554 &amp; " ($" &amp; TEXT($E$2:$E$554, "#,##0.00") &amp; ")", SMALL(IF($A$2:$A$554=$G213, ROW($D$2:$D$554)-ROW($D$2)+1), COLUMN(C213))), "")</f>
        <v/>
      </c>
    </row>
    <row r="214" spans="1:10" x14ac:dyDescent="0.35">
      <c r="A214" s="6" t="s">
        <v>2153</v>
      </c>
      <c r="B214" s="6" t="s">
        <v>2187</v>
      </c>
      <c r="C214" s="6" t="s">
        <v>48</v>
      </c>
      <c r="D214" s="6" t="s">
        <v>49</v>
      </c>
      <c r="E214" s="11">
        <v>319</v>
      </c>
      <c r="G214" s="6" t="s">
        <v>1042</v>
      </c>
      <c r="H214" s="6" t="str" cm="1">
        <f t="array" ref="H214">IFERROR(INDEX($D$2:$D$554 &amp; " ($" &amp; TEXT($E$2:$E$554, "#,##0.00") &amp; ")", SMALL(IF($A$2:$A$554=$G214, ROW($D$2:$D$554)-ROW($D$2)+1), COLUMN(A214))), "")</f>
        <v>CAR WARS CUSTOM PACKAGE--VICTORY AUTO ($1,053.45)</v>
      </c>
      <c r="I214" s="6" t="str" cm="1">
        <f t="array" ref="I214">IFERROR(INDEX($D$2:$D$554 &amp; " ($" &amp; TEXT($E$2:$E$554, "#,##0.00") &amp; ")", SMALL(IF($A$2:$A$554=$G214, ROW($D$2:$D$554)-ROW($D$2)+1), COLUMN(B214))), "")</f>
        <v/>
      </c>
      <c r="J214" s="6" t="str" cm="1">
        <f t="array" ref="J214">IFERROR(INDEX($D$2:$D$554 &amp; " ($" &amp; TEXT($E$2:$E$554, "#,##0.00") &amp; ")", SMALL(IF($A$2:$A$554=$G214, ROW($D$2:$D$554)-ROW($D$2)+1), COLUMN(C214))), "")</f>
        <v/>
      </c>
    </row>
    <row r="215" spans="1:10" x14ac:dyDescent="0.35">
      <c r="A215" s="6" t="s">
        <v>2154</v>
      </c>
      <c r="B215" s="6" t="s">
        <v>149</v>
      </c>
      <c r="C215" s="6" t="s">
        <v>35</v>
      </c>
      <c r="D215" s="6" t="s">
        <v>36</v>
      </c>
      <c r="E215" s="11">
        <v>142.16999999999999</v>
      </c>
      <c r="G215" s="6" t="s">
        <v>1024</v>
      </c>
      <c r="H215" s="6" t="str" cm="1">
        <f t="array" ref="H215">IFERROR(INDEX($D$2:$D$554 &amp; " ($" &amp; TEXT($E$2:$E$554, "#,##0.00") &amp; ")", SMALL(IF($A$2:$A$554=$G215, ROW($D$2:$D$554)-ROW($D$2)+1), COLUMN(A215))), "")</f>
        <v>CAR WARS CUSTOM PACKAGE--VICTORY AUTO ($1,053.45)</v>
      </c>
      <c r="I215" s="6" t="str" cm="1">
        <f t="array" ref="I215">IFERROR(INDEX($D$2:$D$554 &amp; " ($" &amp; TEXT($E$2:$E$554, "#,##0.00") &amp; ")", SMALL(IF($A$2:$A$554=$G215, ROW($D$2:$D$554)-ROW($D$2)+1), COLUMN(B215))), "")</f>
        <v/>
      </c>
      <c r="J215" s="6" t="str" cm="1">
        <f t="array" ref="J215">IFERROR(INDEX($D$2:$D$554 &amp; " ($" &amp; TEXT($E$2:$E$554, "#,##0.00") &amp; ")", SMALL(IF($A$2:$A$554=$G215, ROW($D$2:$D$554)-ROW($D$2)+1), COLUMN(C215))), "")</f>
        <v/>
      </c>
    </row>
    <row r="216" spans="1:10" x14ac:dyDescent="0.35">
      <c r="A216" s="6" t="s">
        <v>2155</v>
      </c>
      <c r="B216" s="6" t="s">
        <v>317</v>
      </c>
      <c r="C216" s="6" t="s">
        <v>42</v>
      </c>
      <c r="D216" s="6" t="s">
        <v>43</v>
      </c>
      <c r="E216" s="11">
        <v>1386.75</v>
      </c>
      <c r="G216" s="6" t="s">
        <v>1099</v>
      </c>
      <c r="H216" s="6" t="str" cm="1">
        <f t="array" ref="H216">IFERROR(INDEX($D$2:$D$554 &amp; " ($" &amp; TEXT($E$2:$E$554, "#,##0.00") &amp; ")", SMALL(IF($A$2:$A$554=$G216, ROW($D$2:$D$554)-ROW($D$2)+1), COLUMN(A216))), "")</f>
        <v>CAR WARS CUSTOM PACKAGE--VICTORY AUTO ($1,053.45)</v>
      </c>
      <c r="I216" s="6" t="str" cm="1">
        <f t="array" ref="I216">IFERROR(INDEX($D$2:$D$554 &amp; " ($" &amp; TEXT($E$2:$E$554, "#,##0.00") &amp; ")", SMALL(IF($A$2:$A$554=$G216, ROW($D$2:$D$554)-ROW($D$2)+1), COLUMN(B216))), "")</f>
        <v/>
      </c>
      <c r="J216" s="6" t="str" cm="1">
        <f t="array" ref="J216">IFERROR(INDEX($D$2:$D$554 &amp; " ($" &amp; TEXT($E$2:$E$554, "#,##0.00") &amp; ")", SMALL(IF($A$2:$A$554=$G216, ROW($D$2:$D$554)-ROW($D$2)+1), COLUMN(C216))), "")</f>
        <v/>
      </c>
    </row>
    <row r="217" spans="1:10" x14ac:dyDescent="0.35">
      <c r="A217" s="6" t="s">
        <v>2155</v>
      </c>
      <c r="B217" s="6" t="s">
        <v>317</v>
      </c>
      <c r="C217" s="6" t="s">
        <v>1329</v>
      </c>
      <c r="D217" s="6" t="s">
        <v>1330</v>
      </c>
      <c r="E217" s="11">
        <v>100</v>
      </c>
      <c r="G217" s="6" t="s">
        <v>1027</v>
      </c>
      <c r="H217" s="6" t="str" cm="1">
        <f t="array" ref="H217">IFERROR(INDEX($D$2:$D$554 &amp; " ($" &amp; TEXT($E$2:$E$554, "#,##0.00") &amp; ")", SMALL(IF($A$2:$A$554=$G217, ROW($D$2:$D$554)-ROW($D$2)+1), COLUMN(A217))), "")</f>
        <v>CAR WARS CUSTOM PACKAGE--VICTORY AUTO ($1,053.45)</v>
      </c>
      <c r="I217" s="6" t="str" cm="1">
        <f t="array" ref="I217">IFERROR(INDEX($D$2:$D$554 &amp; " ($" &amp; TEXT($E$2:$E$554, "#,##0.00") &amp; ")", SMALL(IF($A$2:$A$554=$G217, ROW($D$2:$D$554)-ROW($D$2)+1), COLUMN(B217))), "")</f>
        <v/>
      </c>
      <c r="J217" s="6" t="str" cm="1">
        <f t="array" ref="J217">IFERROR(INDEX($D$2:$D$554 &amp; " ($" &amp; TEXT($E$2:$E$554, "#,##0.00") &amp; ")", SMALL(IF($A$2:$A$554=$G217, ROW($D$2:$D$554)-ROW($D$2)+1), COLUMN(C217))), "")</f>
        <v/>
      </c>
    </row>
    <row r="218" spans="1:10" x14ac:dyDescent="0.35">
      <c r="A218" s="6" t="s">
        <v>2156</v>
      </c>
      <c r="B218" s="6" t="s">
        <v>215</v>
      </c>
      <c r="C218" s="6" t="s">
        <v>48</v>
      </c>
      <c r="D218" s="6" t="s">
        <v>49</v>
      </c>
      <c r="E218" s="11">
        <v>200.93</v>
      </c>
      <c r="G218" s="6" t="s">
        <v>1018</v>
      </c>
      <c r="H218" s="6" t="str" cm="1">
        <f t="array" ref="H218">IFERROR(INDEX($D$2:$D$554 &amp; " ($" &amp; TEXT($E$2:$E$554, "#,##0.00") &amp; ")", SMALL(IF($A$2:$A$554=$G218, ROW($D$2:$D$554)-ROW($D$2)+1), COLUMN(A218))), "")</f>
        <v>CAR WARS CUSTOM PACKAGE--VICTORY AUTO ($1,053.45)</v>
      </c>
      <c r="I218" s="6" t="str" cm="1">
        <f t="array" ref="I218">IFERROR(INDEX($D$2:$D$554 &amp; " ($" &amp; TEXT($E$2:$E$554, "#,##0.00") &amp; ")", SMALL(IF($A$2:$A$554=$G218, ROW($D$2:$D$554)-ROW($D$2)+1), COLUMN(B218))), "")</f>
        <v/>
      </c>
      <c r="J218" s="6" t="str" cm="1">
        <f t="array" ref="J218">IFERROR(INDEX($D$2:$D$554 &amp; " ($" &amp; TEXT($E$2:$E$554, "#,##0.00") &amp; ")", SMALL(IF($A$2:$A$554=$G218, ROW($D$2:$D$554)-ROW($D$2)+1), COLUMN(C218))), "")</f>
        <v/>
      </c>
    </row>
    <row r="219" spans="1:10" x14ac:dyDescent="0.35">
      <c r="A219" s="6" t="s">
        <v>2157</v>
      </c>
      <c r="B219" s="6" t="s">
        <v>160</v>
      </c>
      <c r="C219" s="6" t="s">
        <v>48</v>
      </c>
      <c r="D219" s="6" t="s">
        <v>49</v>
      </c>
      <c r="E219" s="11">
        <v>200.93</v>
      </c>
      <c r="G219" s="6" t="s">
        <v>1015</v>
      </c>
      <c r="H219" s="6" t="str" cm="1">
        <f t="array" ref="H219">IFERROR(INDEX($D$2:$D$554 &amp; " ($" &amp; TEXT($E$2:$E$554, "#,##0.00") &amp; ")", SMALL(IF($A$2:$A$554=$G219, ROW($D$2:$D$554)-ROW($D$2)+1), COLUMN(A219))), "")</f>
        <v>CAR WARS CUSTOM PACKAGE--VICTORY AUTO ($1,053.45)</v>
      </c>
      <c r="I219" s="6" t="str" cm="1">
        <f t="array" ref="I219">IFERROR(INDEX($D$2:$D$554 &amp; " ($" &amp; TEXT($E$2:$E$554, "#,##0.00") &amp; ")", SMALL(IF($A$2:$A$554=$G219, ROW($D$2:$D$554)-ROW($D$2)+1), COLUMN(B219))), "")</f>
        <v/>
      </c>
      <c r="J219" s="6" t="str" cm="1">
        <f t="array" ref="J219">IFERROR(INDEX($D$2:$D$554 &amp; " ($" &amp; TEXT($E$2:$E$554, "#,##0.00") &amp; ")", SMALL(IF($A$2:$A$554=$G219, ROW($D$2:$D$554)-ROW($D$2)+1), COLUMN(C219))), "")</f>
        <v/>
      </c>
    </row>
    <row r="220" spans="1:10" x14ac:dyDescent="0.35">
      <c r="A220" s="6" t="s">
        <v>2158</v>
      </c>
      <c r="B220" s="6" t="s">
        <v>211</v>
      </c>
      <c r="C220" s="6" t="s">
        <v>48</v>
      </c>
      <c r="D220" s="6" t="s">
        <v>49</v>
      </c>
      <c r="E220" s="11">
        <v>200.93</v>
      </c>
      <c r="G220" s="6" t="s">
        <v>1081</v>
      </c>
      <c r="H220" s="6" t="str" cm="1">
        <f t="array" ref="H220">IFERROR(INDEX($D$2:$D$554 &amp; " ($" &amp; TEXT($E$2:$E$554, "#,##0.00") &amp; ")", SMALL(IF($A$2:$A$554=$G220, ROW($D$2:$D$554)-ROW($D$2)+1), COLUMN(A220))), "")</f>
        <v>CAR WARS CUSTOM PACKAGE--VICTORY AUTO ($1,053.45)</v>
      </c>
      <c r="I220" s="6" t="str" cm="1">
        <f t="array" ref="I220">IFERROR(INDEX($D$2:$D$554 &amp; " ($" &amp; TEXT($E$2:$E$554, "#,##0.00") &amp; ")", SMALL(IF($A$2:$A$554=$G220, ROW($D$2:$D$554)-ROW($D$2)+1), COLUMN(B220))), "")</f>
        <v/>
      </c>
      <c r="J220" s="6" t="str" cm="1">
        <f t="array" ref="J220">IFERROR(INDEX($D$2:$D$554 &amp; " ($" &amp; TEXT($E$2:$E$554, "#,##0.00") &amp; ")", SMALL(IF($A$2:$A$554=$G220, ROW($D$2:$D$554)-ROW($D$2)+1), COLUMN(C220))), "")</f>
        <v/>
      </c>
    </row>
    <row r="221" spans="1:10" x14ac:dyDescent="0.35">
      <c r="A221" s="6" t="s">
        <v>1078</v>
      </c>
      <c r="B221" s="6" t="s">
        <v>1079</v>
      </c>
      <c r="C221" s="6" t="s">
        <v>1526</v>
      </c>
      <c r="D221" s="6" t="s">
        <v>971</v>
      </c>
      <c r="E221" s="11">
        <v>1053.45</v>
      </c>
      <c r="G221" s="6" t="s">
        <v>1441</v>
      </c>
      <c r="H221" s="6" t="str" cm="1">
        <f t="array" ref="H221">IFERROR(INDEX($D$2:$D$554 &amp; " ($" &amp; TEXT($E$2:$E$554, "#,##0.00") &amp; ")", SMALL(IF($A$2:$A$554=$G221, ROW($D$2:$D$554)-ROW($D$2)+1), COLUMN(A221))), "")</f>
        <v>CRM TELEPHONY TRACKING ($124.20)</v>
      </c>
      <c r="I221" s="6" t="str" cm="1">
        <f t="array" ref="I221">IFERROR(INDEX($D$2:$D$554 &amp; " ($" &amp; TEXT($E$2:$E$554, "#,##0.00") &amp; ")", SMALL(IF($A$2:$A$554=$G221, ROW($D$2:$D$554)-ROW($D$2)+1), COLUMN(B221))), "")</f>
        <v/>
      </c>
      <c r="J221" s="6" t="str" cm="1">
        <f t="array" ref="J221">IFERROR(INDEX($D$2:$D$554 &amp; " ($" &amp; TEXT($E$2:$E$554, "#,##0.00") &amp; ")", SMALL(IF($A$2:$A$554=$G221, ROW($D$2:$D$554)-ROW($D$2)+1), COLUMN(C221))), "")</f>
        <v/>
      </c>
    </row>
    <row r="222" spans="1:10" x14ac:dyDescent="0.35">
      <c r="A222" s="6" t="s">
        <v>1425</v>
      </c>
      <c r="B222" s="6" t="s">
        <v>1426</v>
      </c>
      <c r="C222" s="6" t="s">
        <v>1329</v>
      </c>
      <c r="D222" s="6" t="s">
        <v>1330</v>
      </c>
      <c r="E222" s="11">
        <v>70.349999999999994</v>
      </c>
      <c r="G222" s="6" t="s">
        <v>1006</v>
      </c>
      <c r="H222" s="6" t="str" cm="1">
        <f t="array" ref="H222">IFERROR(INDEX($D$2:$D$554 &amp; " ($" &amp; TEXT($E$2:$E$554, "#,##0.00") &amp; ")", SMALL(IF($A$2:$A$554=$G222, ROW($D$2:$D$554)-ROW($D$2)+1), COLUMN(A222))), "")</f>
        <v>CAR WARS CUSTOM PACKAGE--VICTORY AUTO ($1,053.45)</v>
      </c>
      <c r="I222" s="6" t="str" cm="1">
        <f t="array" ref="I222">IFERROR(INDEX($D$2:$D$554 &amp; " ($" &amp; TEXT($E$2:$E$554, "#,##0.00") &amp; ")", SMALL(IF($A$2:$A$554=$G222, ROW($D$2:$D$554)-ROW($D$2)+1), COLUMN(B222))), "")</f>
        <v/>
      </c>
      <c r="J222" s="6" t="str" cm="1">
        <f t="array" ref="J222">IFERROR(INDEX($D$2:$D$554 &amp; " ($" &amp; TEXT($E$2:$E$554, "#,##0.00") &amp; ")", SMALL(IF($A$2:$A$554=$G222, ROW($D$2:$D$554)-ROW($D$2)+1), COLUMN(C222))), "")</f>
        <v/>
      </c>
    </row>
    <row r="223" spans="1:10" x14ac:dyDescent="0.35">
      <c r="A223" s="6" t="s">
        <v>2159</v>
      </c>
      <c r="B223" s="6" t="s">
        <v>810</v>
      </c>
      <c r="C223" s="6" t="s">
        <v>35</v>
      </c>
      <c r="D223" s="6" t="s">
        <v>36</v>
      </c>
      <c r="E223" s="11">
        <v>371.18</v>
      </c>
      <c r="G223" s="6" t="s">
        <v>997</v>
      </c>
      <c r="H223" s="6" t="str" cm="1">
        <f t="array" ref="H223">IFERROR(INDEX($D$2:$D$554 &amp; " ($" &amp; TEXT($E$2:$E$554, "#,##0.00") &amp; ")", SMALL(IF($A$2:$A$554=$G223, ROW($D$2:$D$554)-ROW($D$2)+1), COLUMN(A223))), "")</f>
        <v>CAR WARS CUSTOM PACKAGE--VICTORY AUTO ($1,053.45)</v>
      </c>
      <c r="I223" s="6" t="str" cm="1">
        <f t="array" ref="I223">IFERROR(INDEX($D$2:$D$554 &amp; " ($" &amp; TEXT($E$2:$E$554, "#,##0.00") &amp; ")", SMALL(IF($A$2:$A$554=$G223, ROW($D$2:$D$554)-ROW($D$2)+1), COLUMN(B223))), "")</f>
        <v/>
      </c>
      <c r="J223" s="6" t="str" cm="1">
        <f t="array" ref="J223">IFERROR(INDEX($D$2:$D$554 &amp; " ($" &amp; TEXT($E$2:$E$554, "#,##0.00") &amp; ")", SMALL(IF($A$2:$A$554=$G223, ROW($D$2:$D$554)-ROW($D$2)+1), COLUMN(C223))), "")</f>
        <v/>
      </c>
    </row>
    <row r="224" spans="1:10" x14ac:dyDescent="0.35">
      <c r="A224" s="6" t="s">
        <v>2160</v>
      </c>
      <c r="B224" s="6" t="s">
        <v>801</v>
      </c>
      <c r="C224" s="6" t="s">
        <v>35</v>
      </c>
      <c r="D224" s="6" t="s">
        <v>36</v>
      </c>
      <c r="E224" s="11">
        <v>371.18</v>
      </c>
      <c r="G224" s="6" t="s">
        <v>994</v>
      </c>
      <c r="H224" s="6" t="str" cm="1">
        <f t="array" ref="H224">IFERROR(INDEX($D$2:$D$554 &amp; " ($" &amp; TEXT($E$2:$E$554, "#,##0.00") &amp; ")", SMALL(IF($A$2:$A$554=$G224, ROW($D$2:$D$554)-ROW($D$2)+1), COLUMN(A224))), "")</f>
        <v>CAR WARS CUSTOM PACKAGE--VICTORY AUTO ($1,053.45)</v>
      </c>
      <c r="I224" s="6" t="str" cm="1">
        <f t="array" ref="I224">IFERROR(INDEX($D$2:$D$554 &amp; " ($" &amp; TEXT($E$2:$E$554, "#,##0.00") &amp; ")", SMALL(IF($A$2:$A$554=$G224, ROW($D$2:$D$554)-ROW($D$2)+1), COLUMN(B224))), "")</f>
        <v/>
      </c>
      <c r="J224" s="6" t="str" cm="1">
        <f t="array" ref="J224">IFERROR(INDEX($D$2:$D$554 &amp; " ($" &amp; TEXT($E$2:$E$554, "#,##0.00") &amp; ")", SMALL(IF($A$2:$A$554=$G224, ROW($D$2:$D$554)-ROW($D$2)+1), COLUMN(C224))), "")</f>
        <v/>
      </c>
    </row>
    <row r="225" spans="1:10" x14ac:dyDescent="0.35">
      <c r="A225" s="6" t="s">
        <v>2161</v>
      </c>
      <c r="B225" s="6" t="s">
        <v>799</v>
      </c>
      <c r="C225" s="6" t="s">
        <v>35</v>
      </c>
      <c r="D225" s="6" t="s">
        <v>36</v>
      </c>
      <c r="E225" s="11">
        <v>371.18</v>
      </c>
      <c r="G225" s="6" t="s">
        <v>1060</v>
      </c>
      <c r="H225" s="6" t="str" cm="1">
        <f t="array" ref="H225">IFERROR(INDEX($D$2:$D$554 &amp; " ($" &amp; TEXT($E$2:$E$554, "#,##0.00") &amp; ")", SMALL(IF($A$2:$A$554=$G225, ROW($D$2:$D$554)-ROW($D$2)+1), COLUMN(A225))), "")</f>
        <v>CAR WARS CUSTOM PACKAGE--VICTORY AUTO ($1,053.45)</v>
      </c>
      <c r="I225" s="6" t="str" cm="1">
        <f t="array" ref="I225">IFERROR(INDEX($D$2:$D$554 &amp; " ($" &amp; TEXT($E$2:$E$554, "#,##0.00") &amp; ")", SMALL(IF($A$2:$A$554=$G225, ROW($D$2:$D$554)-ROW($D$2)+1), COLUMN(B225))), "")</f>
        <v/>
      </c>
      <c r="J225" s="6" t="str" cm="1">
        <f t="array" ref="J225">IFERROR(INDEX($D$2:$D$554 &amp; " ($" &amp; TEXT($E$2:$E$554, "#,##0.00") &amp; ")", SMALL(IF($A$2:$A$554=$G225, ROW($D$2:$D$554)-ROW($D$2)+1), COLUMN(C225))), "")</f>
        <v/>
      </c>
    </row>
    <row r="226" spans="1:10" x14ac:dyDescent="0.35">
      <c r="A226" s="6" t="s">
        <v>2162</v>
      </c>
      <c r="B226" s="6" t="s">
        <v>704</v>
      </c>
      <c r="C226" s="6" t="s">
        <v>74</v>
      </c>
      <c r="D226" s="6" t="s">
        <v>75</v>
      </c>
      <c r="E226" s="11">
        <v>528.64</v>
      </c>
      <c r="G226" s="6" t="s">
        <v>1045</v>
      </c>
      <c r="H226" s="6" t="str" cm="1">
        <f t="array" ref="H226">IFERROR(INDEX($D$2:$D$554 &amp; " ($" &amp; TEXT($E$2:$E$554, "#,##0.00") &amp; ")", SMALL(IF($A$2:$A$554=$G226, ROW($D$2:$D$554)-ROW($D$2)+1), COLUMN(A226))), "")</f>
        <v>CAR WARS CUSTOM PACKAGE--VICTORY AUTO ($1,053.45)</v>
      </c>
      <c r="I226" s="6" t="str" cm="1">
        <f t="array" ref="I226">IFERROR(INDEX($D$2:$D$554 &amp; " ($" &amp; TEXT($E$2:$E$554, "#,##0.00") &amp; ")", SMALL(IF($A$2:$A$554=$G226, ROW($D$2:$D$554)-ROW($D$2)+1), COLUMN(B226))), "")</f>
        <v/>
      </c>
      <c r="J226" s="6" t="str" cm="1">
        <f t="array" ref="J226">IFERROR(INDEX($D$2:$D$554 &amp; " ($" &amp; TEXT($E$2:$E$554, "#,##0.00") &amp; ")", SMALL(IF($A$2:$A$554=$G226, ROW($D$2:$D$554)-ROW($D$2)+1), COLUMN(C226))), "")</f>
        <v/>
      </c>
    </row>
    <row r="227" spans="1:10" x14ac:dyDescent="0.35">
      <c r="A227" s="6" t="s">
        <v>1036</v>
      </c>
      <c r="B227" s="6" t="s">
        <v>1037</v>
      </c>
      <c r="C227" s="6" t="s">
        <v>1526</v>
      </c>
      <c r="D227" s="6" t="s">
        <v>971</v>
      </c>
      <c r="E227" s="11">
        <v>1053.45</v>
      </c>
      <c r="G227" s="6" t="s">
        <v>988</v>
      </c>
      <c r="H227" s="6" t="str" cm="1">
        <f t="array" ref="H227">IFERROR(INDEX($D$2:$D$554 &amp; " ($" &amp; TEXT($E$2:$E$554, "#,##0.00") &amp; ")", SMALL(IF($A$2:$A$554=$G227, ROW($D$2:$D$554)-ROW($D$2)+1), COLUMN(A227))), "")</f>
        <v>CAR WARS CUSTOM PACKAGE--VICTORY AUTO ($1,053.45)</v>
      </c>
      <c r="I227" s="6" t="str" cm="1">
        <f t="array" ref="I227">IFERROR(INDEX($D$2:$D$554 &amp; " ($" &amp; TEXT($E$2:$E$554, "#,##0.00") &amp; ")", SMALL(IF($A$2:$A$554=$G227, ROW($D$2:$D$554)-ROW($D$2)+1), COLUMN(B227))), "")</f>
        <v/>
      </c>
      <c r="J227" s="6" t="str" cm="1">
        <f t="array" ref="J227">IFERROR(INDEX($D$2:$D$554 &amp; " ($" &amp; TEXT($E$2:$E$554, "#,##0.00") &amp; ")", SMALL(IF($A$2:$A$554=$G227, ROW($D$2:$D$554)-ROW($D$2)+1), COLUMN(C227))), "")</f>
        <v/>
      </c>
    </row>
    <row r="228" spans="1:10" x14ac:dyDescent="0.35">
      <c r="A228" s="6" t="s">
        <v>2165</v>
      </c>
      <c r="B228" s="6" t="s">
        <v>808</v>
      </c>
      <c r="C228" s="6" t="s">
        <v>35</v>
      </c>
      <c r="D228" s="6" t="s">
        <v>36</v>
      </c>
      <c r="E228" s="11">
        <v>371.18</v>
      </c>
      <c r="G228" s="6" t="s">
        <v>1003</v>
      </c>
      <c r="H228" s="6" t="str" cm="1">
        <f t="array" ref="H228">IFERROR(INDEX($D$2:$D$554 &amp; " ($" &amp; TEXT($E$2:$E$554, "#,##0.00") &amp; ")", SMALL(IF($A$2:$A$554=$G228, ROW($D$2:$D$554)-ROW($D$2)+1), COLUMN(A228))), "")</f>
        <v>CAR WARS CUSTOM PACKAGE--VICTORY AUTO ($1,053.45)</v>
      </c>
      <c r="I228" s="6" t="str" cm="1">
        <f t="array" ref="I228">IFERROR(INDEX($D$2:$D$554 &amp; " ($" &amp; TEXT($E$2:$E$554, "#,##0.00") &amp; ")", SMALL(IF($A$2:$A$554=$G228, ROW($D$2:$D$554)-ROW($D$2)+1), COLUMN(B228))), "")</f>
        <v/>
      </c>
      <c r="J228" s="6" t="str" cm="1">
        <f t="array" ref="J228">IFERROR(INDEX($D$2:$D$554 &amp; " ($" &amp; TEXT($E$2:$E$554, "#,##0.00") &amp; ")", SMALL(IF($A$2:$A$554=$G228, ROW($D$2:$D$554)-ROW($D$2)+1), COLUMN(C228))), "")</f>
        <v/>
      </c>
    </row>
    <row r="229" spans="1:10" x14ac:dyDescent="0.35">
      <c r="A229" s="6" t="s">
        <v>2166</v>
      </c>
      <c r="B229" s="6" t="s">
        <v>923</v>
      </c>
      <c r="C229" s="6" t="s">
        <v>74</v>
      </c>
      <c r="D229" s="6" t="s">
        <v>75</v>
      </c>
      <c r="E229" s="11">
        <v>998</v>
      </c>
      <c r="G229" s="6" t="s">
        <v>1069</v>
      </c>
      <c r="H229" s="6" t="str" cm="1">
        <f t="array" ref="H229">IFERROR(INDEX($D$2:$D$554 &amp; " ($" &amp; TEXT($E$2:$E$554, "#,##0.00") &amp; ")", SMALL(IF($A$2:$A$554=$G229, ROW($D$2:$D$554)-ROW($D$2)+1), COLUMN(A229))), "")</f>
        <v>CAR WARS CUSTOM PACKAGE--VICTORY AUTO ($1,053.45)</v>
      </c>
      <c r="I229" s="6" t="str" cm="1">
        <f t="array" ref="I229">IFERROR(INDEX($D$2:$D$554 &amp; " ($" &amp; TEXT($E$2:$E$554, "#,##0.00") &amp; ")", SMALL(IF($A$2:$A$554=$G229, ROW($D$2:$D$554)-ROW($D$2)+1), COLUMN(B229))), "")</f>
        <v/>
      </c>
      <c r="J229" s="6" t="str" cm="1">
        <f t="array" ref="J229">IFERROR(INDEX($D$2:$D$554 &amp; " ($" &amp; TEXT($E$2:$E$554, "#,##0.00") &amp; ")", SMALL(IF($A$2:$A$554=$G229, ROW($D$2:$D$554)-ROW($D$2)+1), COLUMN(C229))), "")</f>
        <v/>
      </c>
    </row>
    <row r="230" spans="1:10" x14ac:dyDescent="0.35">
      <c r="A230" s="6" t="s">
        <v>2167</v>
      </c>
      <c r="B230" s="6" t="s">
        <v>759</v>
      </c>
      <c r="C230" s="6" t="s">
        <v>35</v>
      </c>
      <c r="D230" s="6" t="s">
        <v>36</v>
      </c>
      <c r="E230" s="11">
        <v>572.05999999999995</v>
      </c>
      <c r="G230" s="6" t="s">
        <v>1039</v>
      </c>
      <c r="H230" s="6" t="str" cm="1">
        <f t="array" ref="H230">IFERROR(INDEX($D$2:$D$554 &amp; " ($" &amp; TEXT($E$2:$E$554, "#,##0.00") &amp; ")", SMALL(IF($A$2:$A$554=$G230, ROW($D$2:$D$554)-ROW($D$2)+1), COLUMN(A230))), "")</f>
        <v>CAR WARS CUSTOM PACKAGE--VICTORY AUTO ($1,053.45)</v>
      </c>
      <c r="I230" s="6" t="str" cm="1">
        <f t="array" ref="I230">IFERROR(INDEX($D$2:$D$554 &amp; " ($" &amp; TEXT($E$2:$E$554, "#,##0.00") &amp; ")", SMALL(IF($A$2:$A$554=$G230, ROW($D$2:$D$554)-ROW($D$2)+1), COLUMN(B230))), "")</f>
        <v/>
      </c>
      <c r="J230" s="6" t="str" cm="1">
        <f t="array" ref="J230">IFERROR(INDEX($D$2:$D$554 &amp; " ($" &amp; TEXT($E$2:$E$554, "#,##0.00") &amp; ")", SMALL(IF($A$2:$A$554=$G230, ROW($D$2:$D$554)-ROW($D$2)+1), COLUMN(C230))), "")</f>
        <v/>
      </c>
    </row>
    <row r="231" spans="1:10" x14ac:dyDescent="0.35">
      <c r="A231" s="6" t="s">
        <v>1427</v>
      </c>
      <c r="B231" s="6" t="s">
        <v>1428</v>
      </c>
      <c r="C231" s="6" t="s">
        <v>35</v>
      </c>
      <c r="D231" s="6" t="s">
        <v>36</v>
      </c>
      <c r="E231" s="11">
        <v>221.32</v>
      </c>
      <c r="G231" s="6" t="s">
        <v>2188</v>
      </c>
      <c r="H231" s="6" t="str" cm="1">
        <f t="array" ref="H231">IFERROR(INDEX($D$2:$D$554 &amp; " ($" &amp; TEXT($E$2:$E$554, "#,##0.00") &amp; ")", SMALL(IF($A$2:$A$554=$G231, ROW($D$2:$D$554)-ROW($D$2)+1), COLUMN(A231))), "")</f>
        <v>CARWARS STARTER 3500 ($200.93)</v>
      </c>
      <c r="I231" s="6" t="str" cm="1">
        <f t="array" ref="I231">IFERROR(INDEX($D$2:$D$554 &amp; " ($" &amp; TEXT($E$2:$E$554, "#,##0.00") &amp; ")", SMALL(IF($A$2:$A$554=$G231, ROW($D$2:$D$554)-ROW($D$2)+1), COLUMN(B231))), "")</f>
        <v/>
      </c>
      <c r="J231" s="6" t="str" cm="1">
        <f t="array" ref="J231">IFERROR(INDEX($D$2:$D$554 &amp; " ($" &amp; TEXT($E$2:$E$554, "#,##0.00") &amp; ")", SMALL(IF($A$2:$A$554=$G231, ROW($D$2:$D$554)-ROW($D$2)+1), COLUMN(C231))), "")</f>
        <v/>
      </c>
    </row>
    <row r="232" spans="1:10" x14ac:dyDescent="0.35">
      <c r="A232" s="6" t="s">
        <v>2168</v>
      </c>
      <c r="B232" s="6" t="s">
        <v>929</v>
      </c>
      <c r="C232" s="6" t="s">
        <v>35</v>
      </c>
      <c r="D232" s="6" t="s">
        <v>36</v>
      </c>
      <c r="E232" s="11">
        <v>221.32</v>
      </c>
      <c r="G232" s="6" t="s">
        <v>2189</v>
      </c>
      <c r="H232" s="6" t="str" cm="1">
        <f t="array" ref="H232">IFERROR(INDEX($D$2:$D$554 &amp; " ($" &amp; TEXT($E$2:$E$554, "#,##0.00") &amp; ")", SMALL(IF($A$2:$A$554=$G232, ROW($D$2:$D$554)-ROW($D$2)+1), COLUMN(A232))), "")</f>
        <v>CARWARS STARTER 3500 ($200.93)</v>
      </c>
      <c r="I232" s="6" t="str" cm="1">
        <f t="array" ref="I232">IFERROR(INDEX($D$2:$D$554 &amp; " ($" &amp; TEXT($E$2:$E$554, "#,##0.00") &amp; ")", SMALL(IF($A$2:$A$554=$G232, ROW($D$2:$D$554)-ROW($D$2)+1), COLUMN(B232))), "")</f>
        <v/>
      </c>
      <c r="J232" s="6" t="str" cm="1">
        <f t="array" ref="J232">IFERROR(INDEX($D$2:$D$554 &amp; " ($" &amp; TEXT($E$2:$E$554, "#,##0.00") &amp; ")", SMALL(IF($A$2:$A$554=$G232, ROW($D$2:$D$554)-ROW($D$2)+1), COLUMN(C232))), "")</f>
        <v/>
      </c>
    </row>
    <row r="233" spans="1:10" x14ac:dyDescent="0.35">
      <c r="A233" s="6" t="s">
        <v>2169</v>
      </c>
      <c r="B233" s="6" t="s">
        <v>473</v>
      </c>
      <c r="C233" s="6" t="s">
        <v>48</v>
      </c>
      <c r="D233" s="6" t="s">
        <v>49</v>
      </c>
      <c r="E233" s="11">
        <v>299</v>
      </c>
      <c r="G233" s="6" t="s">
        <v>2190</v>
      </c>
      <c r="H233" s="6" t="str" cm="1">
        <f t="array" ref="H233">IFERROR(INDEX($D$2:$D$554 &amp; " ($" &amp; TEXT($E$2:$E$554, "#,##0.00") &amp; ")", SMALL(IF($A$2:$A$554=$G233, ROW($D$2:$D$554)-ROW($D$2)+1), COLUMN(A233))), "")</f>
        <v>CRM OUTBOUND TELEPHONY TRACKING (NEW AND CONVERSION) ($499.00)</v>
      </c>
      <c r="I233" s="6" t="str" cm="1">
        <f t="array" ref="I233">IFERROR(INDEX($D$2:$D$554 &amp; " ($" &amp; TEXT($E$2:$E$554, "#,##0.00") &amp; ")", SMALL(IF($A$2:$A$554=$G233, ROW($D$2:$D$554)-ROW($D$2)+1), COLUMN(B233))), "")</f>
        <v/>
      </c>
      <c r="J233" s="6" t="str" cm="1">
        <f t="array" ref="J233">IFERROR(INDEX($D$2:$D$554 &amp; " ($" &amp; TEXT($E$2:$E$554, "#,##0.00") &amp; ")", SMALL(IF($A$2:$A$554=$G233, ROW($D$2:$D$554)-ROW($D$2)+1), COLUMN(C233))), "")</f>
        <v/>
      </c>
    </row>
    <row r="234" spans="1:10" x14ac:dyDescent="0.35">
      <c r="A234" s="6" t="s">
        <v>1429</v>
      </c>
      <c r="B234" s="6" t="s">
        <v>1430</v>
      </c>
      <c r="C234" s="6" t="s">
        <v>1329</v>
      </c>
      <c r="D234" s="6" t="s">
        <v>1330</v>
      </c>
      <c r="E234" s="11">
        <v>0</v>
      </c>
      <c r="G234" s="6" t="s">
        <v>1066</v>
      </c>
      <c r="H234" s="6" t="str" cm="1">
        <f t="array" ref="H234">IFERROR(INDEX($D$2:$D$554 &amp; " ($" &amp; TEXT($E$2:$E$554, "#,##0.00") &amp; ")", SMALL(IF($A$2:$A$554=$G234, ROW($D$2:$D$554)-ROW($D$2)+1), COLUMN(A234))), "")</f>
        <v>CAR WARS CUSTOM PACKAGE--VICTORY AUTO ($1,053.45)</v>
      </c>
      <c r="I234" s="6" t="str" cm="1">
        <f t="array" ref="I234">IFERROR(INDEX($D$2:$D$554 &amp; " ($" &amp; TEXT($E$2:$E$554, "#,##0.00") &amp; ")", SMALL(IF($A$2:$A$554=$G234, ROW($D$2:$D$554)-ROW($D$2)+1), COLUMN(B234))), "")</f>
        <v/>
      </c>
      <c r="J234" s="6" t="str" cm="1">
        <f t="array" ref="J234">IFERROR(INDEX($D$2:$D$554 &amp; " ($" &amp; TEXT($E$2:$E$554, "#,##0.00") &amp; ")", SMALL(IF($A$2:$A$554=$G234, ROW($D$2:$D$554)-ROW($D$2)+1), COLUMN(C234))), "")</f>
        <v/>
      </c>
    </row>
    <row r="235" spans="1:10" x14ac:dyDescent="0.35">
      <c r="A235" s="6" t="s">
        <v>1431</v>
      </c>
      <c r="B235" s="6" t="s">
        <v>1432</v>
      </c>
      <c r="C235" s="6" t="s">
        <v>1433</v>
      </c>
      <c r="D235" s="6" t="s">
        <v>1434</v>
      </c>
      <c r="E235" s="11">
        <v>78.489999999999995</v>
      </c>
      <c r="G235" s="6" t="s">
        <v>2191</v>
      </c>
      <c r="H235" s="6" t="str" cm="1">
        <f t="array" ref="H235">IFERROR(INDEX($D$2:$D$554 &amp; " ($" &amp; TEXT($E$2:$E$554, "#,##0.00") &amp; ")", SMALL(IF($A$2:$A$554=$G235, ROW($D$2:$D$554)-ROW($D$2)+1), COLUMN(A235))), "")</f>
        <v>CARWARS STARTER 3500 ($350.38)</v>
      </c>
      <c r="I235" s="6" t="str" cm="1">
        <f t="array" ref="I235">IFERROR(INDEX($D$2:$D$554 &amp; " ($" &amp; TEXT($E$2:$E$554, "#,##0.00") &amp; ")", SMALL(IF($A$2:$A$554=$G235, ROW($D$2:$D$554)-ROW($D$2)+1), COLUMN(B235))), "")</f>
        <v/>
      </c>
      <c r="J235" s="6" t="str" cm="1">
        <f t="array" ref="J235">IFERROR(INDEX($D$2:$D$554 &amp; " ($" &amp; TEXT($E$2:$E$554, "#,##0.00") &amp; ")", SMALL(IF($A$2:$A$554=$G235, ROW($D$2:$D$554)-ROW($D$2)+1), COLUMN(C235))), "")</f>
        <v/>
      </c>
    </row>
    <row r="236" spans="1:10" x14ac:dyDescent="0.35">
      <c r="A236" s="6" t="s">
        <v>1435</v>
      </c>
      <c r="B236" s="6" t="s">
        <v>1436</v>
      </c>
      <c r="C236" s="6" t="s">
        <v>1433</v>
      </c>
      <c r="D236" s="6" t="s">
        <v>1434</v>
      </c>
      <c r="E236" s="11">
        <v>77.959999999999994</v>
      </c>
      <c r="G236" s="6" t="s">
        <v>2192</v>
      </c>
      <c r="H236" s="6" t="str" cm="1">
        <f t="array" ref="H236">IFERROR(INDEX($D$2:$D$554 &amp; " ($" &amp; TEXT($E$2:$E$554, "#,##0.00") &amp; ")", SMALL(IF($A$2:$A$554=$G236, ROW($D$2:$D$554)-ROW($D$2)+1), COLUMN(A236))), "")</f>
        <v>CRM OUTBOUND TELEPHONY TRACKING (NEW AND CONVERSION) ($371.36)</v>
      </c>
      <c r="I236" s="6" t="str" cm="1">
        <f t="array" ref="I236">IFERROR(INDEX($D$2:$D$554 &amp; " ($" &amp; TEXT($E$2:$E$554, "#,##0.00") &amp; ")", SMALL(IF($A$2:$A$554=$G236, ROW($D$2:$D$554)-ROW($D$2)+1), COLUMN(B236))), "")</f>
        <v/>
      </c>
      <c r="J236" s="6" t="str" cm="1">
        <f t="array" ref="J236">IFERROR(INDEX($D$2:$D$554 &amp; " ($" &amp; TEXT($E$2:$E$554, "#,##0.00") &amp; ")", SMALL(IF($A$2:$A$554=$G236, ROW($D$2:$D$554)-ROW($D$2)+1), COLUMN(C236))), "")</f>
        <v/>
      </c>
    </row>
    <row r="237" spans="1:10" x14ac:dyDescent="0.35">
      <c r="A237" s="6" t="s">
        <v>2171</v>
      </c>
      <c r="B237" s="6" t="s">
        <v>646</v>
      </c>
      <c r="C237" s="6" t="s">
        <v>67</v>
      </c>
      <c r="D237" s="6" t="s">
        <v>68</v>
      </c>
      <c r="E237" s="11">
        <v>599</v>
      </c>
      <c r="G237" s="6" t="s">
        <v>2193</v>
      </c>
      <c r="H237" s="6" t="str" cm="1">
        <f t="array" ref="H237">IFERROR(INDEX($D$2:$D$554 &amp; " ($" &amp; TEXT($E$2:$E$554, "#,##0.00") &amp; ")", SMALL(IF($A$2:$A$554=$G237, ROW($D$2:$D$554)-ROW($D$2)+1), COLUMN(A237))), "")</f>
        <v>CARWARS ADVANCED SALES ($999.00)</v>
      </c>
      <c r="I237" s="6" t="str" cm="1">
        <f t="array" ref="I237">IFERROR(INDEX($D$2:$D$554 &amp; " ($" &amp; TEXT($E$2:$E$554, "#,##0.00") &amp; ")", SMALL(IF($A$2:$A$554=$G237, ROW($D$2:$D$554)-ROW($D$2)+1), COLUMN(B237))), "")</f>
        <v/>
      </c>
      <c r="J237" s="6" t="str" cm="1">
        <f t="array" ref="J237">IFERROR(INDEX($D$2:$D$554 &amp; " ($" &amp; TEXT($E$2:$E$554, "#,##0.00") &amp; ")", SMALL(IF($A$2:$A$554=$G237, ROW($D$2:$D$554)-ROW($D$2)+1), COLUMN(C237))), "")</f>
        <v/>
      </c>
    </row>
    <row r="238" spans="1:10" x14ac:dyDescent="0.35">
      <c r="A238" s="6" t="s">
        <v>1009</v>
      </c>
      <c r="B238" s="6" t="s">
        <v>1010</v>
      </c>
      <c r="C238" s="6" t="s">
        <v>1526</v>
      </c>
      <c r="D238" s="6" t="s">
        <v>971</v>
      </c>
      <c r="E238" s="11">
        <v>1053.45</v>
      </c>
      <c r="G238" s="6" t="s">
        <v>1443</v>
      </c>
      <c r="H238" s="6" t="str" cm="1">
        <f t="array" ref="H238">IFERROR(INDEX($D$2:$D$554 &amp; " ($" &amp; TEXT($E$2:$E$554, "#,##0.00") &amp; ")", SMALL(IF($A$2:$A$554=$G238, ROW($D$2:$D$554)-ROW($D$2)+1), COLUMN(A238))), "")</f>
        <v>CRM OUTBOUND TELEPHONY TRACKING (NEW AND CONVERSION) ($1,177.28)</v>
      </c>
      <c r="I238" s="6" t="str" cm="1">
        <f t="array" ref="I238">IFERROR(INDEX($D$2:$D$554 &amp; " ($" &amp; TEXT($E$2:$E$554, "#,##0.00") &amp; ")", SMALL(IF($A$2:$A$554=$G238, ROW($D$2:$D$554)-ROW($D$2)+1), COLUMN(B238))), "")</f>
        <v/>
      </c>
      <c r="J238" s="6" t="str" cm="1">
        <f t="array" ref="J238">IFERROR(INDEX($D$2:$D$554 &amp; " ($" &amp; TEXT($E$2:$E$554, "#,##0.00") &amp; ")", SMALL(IF($A$2:$A$554=$G238, ROW($D$2:$D$554)-ROW($D$2)+1), COLUMN(C238))), "")</f>
        <v/>
      </c>
    </row>
    <row r="239" spans="1:10" x14ac:dyDescent="0.35">
      <c r="A239" s="6" t="s">
        <v>2172</v>
      </c>
      <c r="B239" s="6" t="s">
        <v>200</v>
      </c>
      <c r="C239" s="6" t="s">
        <v>48</v>
      </c>
      <c r="D239" s="6" t="s">
        <v>49</v>
      </c>
      <c r="E239" s="11">
        <v>200.93</v>
      </c>
      <c r="G239" s="6" t="s">
        <v>2194</v>
      </c>
      <c r="H239" s="6" t="str" cm="1">
        <f t="array" ref="H239">IFERROR(INDEX($D$2:$D$554 &amp; " ($" &amp; TEXT($E$2:$E$554, "#,##0.00") &amp; ")", SMALL(IF($A$2:$A$554=$G239, ROW($D$2:$D$554)-ROW($D$2)+1), COLUMN(A239))), "")</f>
        <v>CARWARS PREMIUM SALES ($1,386.75)</v>
      </c>
      <c r="I239" s="6" t="str" cm="1">
        <f t="array" ref="I239">IFERROR(INDEX($D$2:$D$554 &amp; " ($" &amp; TEXT($E$2:$E$554, "#,##0.00") &amp; ")", SMALL(IF($A$2:$A$554=$G239, ROW($D$2:$D$554)-ROW($D$2)+1), COLUMN(B239))), "")</f>
        <v/>
      </c>
      <c r="J239" s="6" t="str" cm="1">
        <f t="array" ref="J239">IFERROR(INDEX($D$2:$D$554 &amp; " ($" &amp; TEXT($E$2:$E$554, "#,##0.00") &amp; ")", SMALL(IF($A$2:$A$554=$G239, ROW($D$2:$D$554)-ROW($D$2)+1), COLUMN(C239))), "")</f>
        <v/>
      </c>
    </row>
    <row r="240" spans="1:10" x14ac:dyDescent="0.35">
      <c r="A240" s="6" t="s">
        <v>2173</v>
      </c>
      <c r="B240" s="6" t="s">
        <v>718</v>
      </c>
      <c r="C240" s="6" t="s">
        <v>35</v>
      </c>
      <c r="D240" s="6" t="s">
        <v>36</v>
      </c>
      <c r="E240" s="11">
        <v>313.95</v>
      </c>
      <c r="G240" s="6" t="s">
        <v>2195</v>
      </c>
      <c r="H240" s="6" t="str" cm="1">
        <f t="array" ref="H240">IFERROR(INDEX($D$2:$D$554 &amp; " ($" &amp; TEXT($E$2:$E$554, "#,##0.00") &amp; ")", SMALL(IF($A$2:$A$554=$G240, ROW($D$2:$D$554)-ROW($D$2)+1), COLUMN(A240))), "")</f>
        <v>CRM OUTBOUND TELEPHONY TRACKING (NEW AND CONVERSION) ($371.18)</v>
      </c>
      <c r="I240" s="6" t="str" cm="1">
        <f t="array" ref="I240">IFERROR(INDEX($D$2:$D$554 &amp; " ($" &amp; TEXT($E$2:$E$554, "#,##0.00") &amp; ")", SMALL(IF($A$2:$A$554=$G240, ROW($D$2:$D$554)-ROW($D$2)+1), COLUMN(B240))), "")</f>
        <v/>
      </c>
      <c r="J240" s="6" t="str" cm="1">
        <f t="array" ref="J240">IFERROR(INDEX($D$2:$D$554 &amp; " ($" &amp; TEXT($E$2:$E$554, "#,##0.00") &amp; ")", SMALL(IF($A$2:$A$554=$G240, ROW($D$2:$D$554)-ROW($D$2)+1), COLUMN(C240))), "")</f>
        <v/>
      </c>
    </row>
    <row r="241" spans="1:10" x14ac:dyDescent="0.35">
      <c r="A241" s="6" t="s">
        <v>2174</v>
      </c>
      <c r="B241" s="6" t="s">
        <v>831</v>
      </c>
      <c r="C241" s="6" t="s">
        <v>35</v>
      </c>
      <c r="D241" s="6" t="s">
        <v>36</v>
      </c>
      <c r="E241" s="11">
        <v>619.46</v>
      </c>
      <c r="G241" s="6" t="s">
        <v>2196</v>
      </c>
      <c r="H241" s="6" t="str" cm="1">
        <f t="array" ref="H241">IFERROR(INDEX($D$2:$D$554 &amp; " ($" &amp; TEXT($E$2:$E$554, "#,##0.00") &amp; ")", SMALL(IF($A$2:$A$554=$G241, ROW($D$2:$D$554)-ROW($D$2)+1), COLUMN(A241))), "")</f>
        <v>CRM OUTBOUND TELEPHONY TRACKING (NEW AND CONVERSION) ($499.00)</v>
      </c>
      <c r="I241" s="6" t="str" cm="1">
        <f t="array" ref="I241">IFERROR(INDEX($D$2:$D$554 &amp; " ($" &amp; TEXT($E$2:$E$554, "#,##0.00") &amp; ")", SMALL(IF($A$2:$A$554=$G241, ROW($D$2:$D$554)-ROW($D$2)+1), COLUMN(B241))), "")</f>
        <v/>
      </c>
      <c r="J241" s="6" t="str" cm="1">
        <f t="array" ref="J241">IFERROR(INDEX($D$2:$D$554 &amp; " ($" &amp; TEXT($E$2:$E$554, "#,##0.00") &amp; ")", SMALL(IF($A$2:$A$554=$G241, ROW($D$2:$D$554)-ROW($D$2)+1), COLUMN(C241))), "")</f>
        <v/>
      </c>
    </row>
    <row r="242" spans="1:10" x14ac:dyDescent="0.35">
      <c r="A242" s="6" t="s">
        <v>1437</v>
      </c>
      <c r="B242" s="6" t="s">
        <v>1438</v>
      </c>
      <c r="C242" s="6" t="s">
        <v>1329</v>
      </c>
      <c r="D242" s="6" t="s">
        <v>1330</v>
      </c>
      <c r="E242" s="11">
        <v>147.46</v>
      </c>
      <c r="G242" s="6" t="s">
        <v>2197</v>
      </c>
      <c r="H242" s="6" t="str" cm="1">
        <f t="array" ref="H242">IFERROR(INDEX($D$2:$D$554 &amp; " ($" &amp; TEXT($E$2:$E$554, "#,##0.00") &amp; ")", SMALL(IF($A$2:$A$554=$G242, ROW($D$2:$D$554)-ROW($D$2)+1), COLUMN(A242))), "")</f>
        <v>CRM OUTBOUND TELEPHONY TRACKING (NEW AND CONVERSION) ($998.00)</v>
      </c>
      <c r="I242" s="6" t="str" cm="1">
        <f t="array" ref="I242">IFERROR(INDEX($D$2:$D$554 &amp; " ($" &amp; TEXT($E$2:$E$554, "#,##0.00") &amp; ")", SMALL(IF($A$2:$A$554=$G242, ROW($D$2:$D$554)-ROW($D$2)+1), COLUMN(B242))), "")</f>
        <v/>
      </c>
      <c r="J242" s="6" t="str" cm="1">
        <f t="array" ref="J242">IFERROR(INDEX($D$2:$D$554 &amp; " ($" &amp; TEXT($E$2:$E$554, "#,##0.00") &amp; ")", SMALL(IF($A$2:$A$554=$G242, ROW($D$2:$D$554)-ROW($D$2)+1), COLUMN(C242))), "")</f>
        <v/>
      </c>
    </row>
    <row r="243" spans="1:10" x14ac:dyDescent="0.35">
      <c r="A243" s="6" t="s">
        <v>2175</v>
      </c>
      <c r="B243" s="6" t="s">
        <v>757</v>
      </c>
      <c r="C243" s="6" t="s">
        <v>35</v>
      </c>
      <c r="D243" s="6" t="s">
        <v>36</v>
      </c>
      <c r="E243" s="11">
        <v>199</v>
      </c>
      <c r="G243" s="6" t="s">
        <v>2198</v>
      </c>
      <c r="H243" s="6" t="str" cm="1">
        <f t="array" ref="H243">IFERROR(INDEX($D$2:$D$554 &amp; " ($" &amp; TEXT($E$2:$E$554, "#,##0.00") &amp; ")", SMALL(IF($A$2:$A$554=$G243, ROW($D$2:$D$554)-ROW($D$2)+1), COLUMN(A243))), "")</f>
        <v>CRM OUTBOUND TELEPHONY TRACKING (NEW AND CONVERSION) ($499.00)</v>
      </c>
      <c r="I243" s="6" t="str" cm="1">
        <f t="array" ref="I243">IFERROR(INDEX($D$2:$D$554 &amp; " ($" &amp; TEXT($E$2:$E$554, "#,##0.00") &amp; ")", SMALL(IF($A$2:$A$554=$G243, ROW($D$2:$D$554)-ROW($D$2)+1), COLUMN(B243))), "")</f>
        <v/>
      </c>
      <c r="J243" s="6" t="str" cm="1">
        <f t="array" ref="J243">IFERROR(INDEX($D$2:$D$554 &amp; " ($" &amp; TEXT($E$2:$E$554, "#,##0.00") &amp; ")", SMALL(IF($A$2:$A$554=$G243, ROW($D$2:$D$554)-ROW($D$2)+1), COLUMN(C243))), "")</f>
        <v/>
      </c>
    </row>
    <row r="244" spans="1:10" x14ac:dyDescent="0.35">
      <c r="A244" s="6" t="s">
        <v>2175</v>
      </c>
      <c r="B244" s="6" t="s">
        <v>757</v>
      </c>
      <c r="C244" s="6" t="s">
        <v>42</v>
      </c>
      <c r="D244" s="6" t="s">
        <v>43</v>
      </c>
      <c r="E244" s="11">
        <v>1849</v>
      </c>
      <c r="G244" s="6" t="s">
        <v>2199</v>
      </c>
      <c r="H244" s="6" t="str" cm="1">
        <f t="array" ref="H244">IFERROR(INDEX($D$2:$D$554 &amp; " ($" &amp; TEXT($E$2:$E$554, "#,##0.00") &amp; ")", SMALL(IF($A$2:$A$554=$G244, ROW($D$2:$D$554)-ROW($D$2)+1), COLUMN(A244))), "")</f>
        <v>CRM OUTBOUND TELEPHONY TRACKING (NEW AND CONVERSION) ($499.00)</v>
      </c>
      <c r="I244" s="6" t="str" cm="1">
        <f t="array" ref="I244">IFERROR(INDEX($D$2:$D$554 &amp; " ($" &amp; TEXT($E$2:$E$554, "#,##0.00") &amp; ")", SMALL(IF($A$2:$A$554=$G244, ROW($D$2:$D$554)-ROW($D$2)+1), COLUMN(B244))), "")</f>
        <v/>
      </c>
      <c r="J244" s="6" t="str" cm="1">
        <f t="array" ref="J244">IFERROR(INDEX($D$2:$D$554 &amp; " ($" &amp; TEXT($E$2:$E$554, "#,##0.00") &amp; ")", SMALL(IF($A$2:$A$554=$G244, ROW($D$2:$D$554)-ROW($D$2)+1), COLUMN(C244))), "")</f>
        <v/>
      </c>
    </row>
    <row r="245" spans="1:10" x14ac:dyDescent="0.35">
      <c r="A245" s="6" t="s">
        <v>2176</v>
      </c>
      <c r="B245" s="6" t="s">
        <v>541</v>
      </c>
      <c r="C245" s="6" t="s">
        <v>74</v>
      </c>
      <c r="D245" s="6" t="s">
        <v>75</v>
      </c>
      <c r="E245" s="11">
        <v>499</v>
      </c>
      <c r="G245" s="6" t="s">
        <v>2200</v>
      </c>
      <c r="H245" s="6" t="str" cm="1">
        <f t="array" ref="H245">IFERROR(INDEX($D$2:$D$554 &amp; " ($" &amp; TEXT($E$2:$E$554, "#,##0.00") &amp; ")", SMALL(IF($A$2:$A$554=$G245, ROW($D$2:$D$554)-ROW($D$2)+1), COLUMN(A245))), "")</f>
        <v>CRM OUTBOUND TELEPHONY TRACKING (NEW AND CONVERSION) ($499.00)</v>
      </c>
      <c r="I245" s="6" t="str" cm="1">
        <f t="array" ref="I245">IFERROR(INDEX($D$2:$D$554 &amp; " ($" &amp; TEXT($E$2:$E$554, "#,##0.00") &amp; ")", SMALL(IF($A$2:$A$554=$G245, ROW($D$2:$D$554)-ROW($D$2)+1), COLUMN(B245))), "")</f>
        <v/>
      </c>
      <c r="J245" s="6" t="str" cm="1">
        <f t="array" ref="J245">IFERROR(INDEX($D$2:$D$554 &amp; " ($" &amp; TEXT($E$2:$E$554, "#,##0.00") &amp; ")", SMALL(IF($A$2:$A$554=$G245, ROW($D$2:$D$554)-ROW($D$2)+1), COLUMN(C245))), "")</f>
        <v/>
      </c>
    </row>
    <row r="246" spans="1:10" x14ac:dyDescent="0.35">
      <c r="A246" s="6" t="s">
        <v>2177</v>
      </c>
      <c r="B246" s="6" t="s">
        <v>436</v>
      </c>
      <c r="C246" s="6" t="s">
        <v>35</v>
      </c>
      <c r="D246" s="6" t="s">
        <v>36</v>
      </c>
      <c r="E246" s="11">
        <v>342.3</v>
      </c>
      <c r="G246" s="6" t="s">
        <v>2201</v>
      </c>
      <c r="H246" s="6" t="str" cm="1">
        <f t="array" ref="H246">IFERROR(INDEX($D$2:$D$554 &amp; " ($" &amp; TEXT($E$2:$E$554, "#,##0.00") &amp; ")", SMALL(IF($A$2:$A$554=$G246, ROW($D$2:$D$554)-ROW($D$2)+1), COLUMN(A246))), "")</f>
        <v>CRM OUTBOUND TELEPHONY TRACKING (NEW AND CONVERSION) ($499.00)</v>
      </c>
      <c r="I246" s="6" t="str" cm="1">
        <f t="array" ref="I246">IFERROR(INDEX($D$2:$D$554 &amp; " ($" &amp; TEXT($E$2:$E$554, "#,##0.00") &amp; ")", SMALL(IF($A$2:$A$554=$G246, ROW($D$2:$D$554)-ROW($D$2)+1), COLUMN(B246))), "")</f>
        <v/>
      </c>
      <c r="J246" s="6" t="str" cm="1">
        <f t="array" ref="J246">IFERROR(INDEX($D$2:$D$554 &amp; " ($" &amp; TEXT($E$2:$E$554, "#,##0.00") &amp; ")", SMALL(IF($A$2:$A$554=$G246, ROW($D$2:$D$554)-ROW($D$2)+1), COLUMN(C246))), "")</f>
        <v/>
      </c>
    </row>
    <row r="247" spans="1:10" x14ac:dyDescent="0.35">
      <c r="A247" s="6" t="s">
        <v>2178</v>
      </c>
      <c r="B247" s="6" t="s">
        <v>885</v>
      </c>
      <c r="C247" s="6" t="s">
        <v>1798</v>
      </c>
      <c r="D247" s="6" t="s">
        <v>1799</v>
      </c>
      <c r="E247" s="11">
        <v>999</v>
      </c>
      <c r="G247" s="6" t="s">
        <v>2202</v>
      </c>
      <c r="H247" s="6" t="str" cm="1">
        <f t="array" ref="H247">IFERROR(INDEX($D$2:$D$554 &amp; " ($" &amp; TEXT($E$2:$E$554, "#,##0.00") &amp; ")", SMALL(IF($A$2:$A$554=$G247, ROW($D$2:$D$554)-ROW($D$2)+1), COLUMN(A247))), "")</f>
        <v>CRM OUTBOUND TELEPHONY TRACKING (NEW AND CONVERSION) ($499.00)</v>
      </c>
      <c r="I247" s="6" t="str" cm="1">
        <f t="array" ref="I247">IFERROR(INDEX($D$2:$D$554 &amp; " ($" &amp; TEXT($E$2:$E$554, "#,##0.00") &amp; ")", SMALL(IF($A$2:$A$554=$G247, ROW($D$2:$D$554)-ROW($D$2)+1), COLUMN(B247))), "")</f>
        <v/>
      </c>
      <c r="J247" s="6" t="str" cm="1">
        <f t="array" ref="J247">IFERROR(INDEX($D$2:$D$554 &amp; " ($" &amp; TEXT($E$2:$E$554, "#,##0.00") &amp; ")", SMALL(IF($A$2:$A$554=$G247, ROW($D$2:$D$554)-ROW($D$2)+1), COLUMN(C247))), "")</f>
        <v/>
      </c>
    </row>
    <row r="248" spans="1:10" x14ac:dyDescent="0.35">
      <c r="A248" s="6" t="s">
        <v>2178</v>
      </c>
      <c r="B248" s="6" t="s">
        <v>885</v>
      </c>
      <c r="C248" s="6" t="s">
        <v>97</v>
      </c>
      <c r="D248" s="6" t="s">
        <v>98</v>
      </c>
      <c r="E248" s="11">
        <v>1499</v>
      </c>
      <c r="G248" s="6" t="s">
        <v>2203</v>
      </c>
      <c r="H248" s="6" t="str" cm="1">
        <f t="array" ref="H248">IFERROR(INDEX($D$2:$D$554 &amp; " ($" &amp; TEXT($E$2:$E$554, "#,##0.00") &amp; ")", SMALL(IF($A$2:$A$554=$G248, ROW($D$2:$D$554)-ROW($D$2)+1), COLUMN(A248))), "")</f>
        <v>CRM OUTBOUND TELEPHONY TRACKING (NEW AND CONVERSION) ($499.00)</v>
      </c>
      <c r="I248" s="6" t="str" cm="1">
        <f t="array" ref="I248">IFERROR(INDEX($D$2:$D$554 &amp; " ($" &amp; TEXT($E$2:$E$554, "#,##0.00") &amp; ")", SMALL(IF($A$2:$A$554=$G248, ROW($D$2:$D$554)-ROW($D$2)+1), COLUMN(B248))), "")</f>
        <v/>
      </c>
      <c r="J248" s="6" t="str" cm="1">
        <f t="array" ref="J248">IFERROR(INDEX($D$2:$D$554 &amp; " ($" &amp; TEXT($E$2:$E$554, "#,##0.00") &amp; ")", SMALL(IF($A$2:$A$554=$G248, ROW($D$2:$D$554)-ROW($D$2)+1), COLUMN(C248))), "")</f>
        <v/>
      </c>
    </row>
    <row r="249" spans="1:10" x14ac:dyDescent="0.35">
      <c r="A249" s="6" t="s">
        <v>2179</v>
      </c>
      <c r="B249" s="6" t="s">
        <v>728</v>
      </c>
      <c r="C249" s="6" t="s">
        <v>1870</v>
      </c>
      <c r="D249" s="6" t="s">
        <v>1871</v>
      </c>
      <c r="E249" s="11">
        <v>1078.92</v>
      </c>
      <c r="G249" s="6" t="s">
        <v>2204</v>
      </c>
      <c r="H249" s="6" t="str" cm="1">
        <f t="array" ref="H249">IFERROR(INDEX($D$2:$D$554 &amp; " ($" &amp; TEXT($E$2:$E$554, "#,##0.00") &amp; ")", SMALL(IF($A$2:$A$554=$G249, ROW($D$2:$D$554)-ROW($D$2)+1), COLUMN(A249))), "")</f>
        <v>CARWARS STARTER 7500 ($499.00)</v>
      </c>
      <c r="I249" s="6" t="str" cm="1">
        <f t="array" ref="I249">IFERROR(INDEX($D$2:$D$554 &amp; " ($" &amp; TEXT($E$2:$E$554, "#,##0.00") &amp; ")", SMALL(IF($A$2:$A$554=$G249, ROW($D$2:$D$554)-ROW($D$2)+1), COLUMN(B249))), "")</f>
        <v/>
      </c>
      <c r="J249" s="6" t="str" cm="1">
        <f t="array" ref="J249">IFERROR(INDEX($D$2:$D$554 &amp; " ($" &amp; TEXT($E$2:$E$554, "#,##0.00") &amp; ")", SMALL(IF($A$2:$A$554=$G249, ROW($D$2:$D$554)-ROW($D$2)+1), COLUMN(C249))), "")</f>
        <v/>
      </c>
    </row>
    <row r="250" spans="1:10" x14ac:dyDescent="0.35">
      <c r="A250" s="6" t="s">
        <v>1439</v>
      </c>
      <c r="B250" s="6" t="s">
        <v>1440</v>
      </c>
      <c r="C250" s="6" t="s">
        <v>1329</v>
      </c>
      <c r="D250" s="6" t="s">
        <v>1330</v>
      </c>
      <c r="E250" s="11">
        <v>68.25</v>
      </c>
      <c r="G250" s="6" t="s">
        <v>2205</v>
      </c>
      <c r="H250" s="6" t="str" cm="1">
        <f t="array" ref="H250">IFERROR(INDEX($D$2:$D$554 &amp; " ($" &amp; TEXT($E$2:$E$554, "#,##0.00") &amp; ")", SMALL(IF($A$2:$A$554=$G250, ROW($D$2:$D$554)-ROW($D$2)+1), COLUMN(A250))), "")</f>
        <v>CARWARS ELITE LARGE ($3,700.63)</v>
      </c>
      <c r="I250" s="6" t="str" cm="1">
        <f t="array" ref="I250">IFERROR(INDEX($D$2:$D$554 &amp; " ($" &amp; TEXT($E$2:$E$554, "#,##0.00") &amp; ")", SMALL(IF($A$2:$A$554=$G250, ROW($D$2:$D$554)-ROW($D$2)+1), COLUMN(B250))), "")</f>
        <v/>
      </c>
      <c r="J250" s="6" t="str" cm="1">
        <f t="array" ref="J250">IFERROR(INDEX($D$2:$D$554 &amp; " ($" &amp; TEXT($E$2:$E$554, "#,##0.00") &amp; ")", SMALL(IF($A$2:$A$554=$G250, ROW($D$2:$D$554)-ROW($D$2)+1), COLUMN(C250))), "")</f>
        <v/>
      </c>
    </row>
    <row r="251" spans="1:10" x14ac:dyDescent="0.35">
      <c r="A251" s="6" t="s">
        <v>2180</v>
      </c>
      <c r="B251" s="6" t="s">
        <v>204</v>
      </c>
      <c r="C251" s="6" t="s">
        <v>48</v>
      </c>
      <c r="D251" s="6" t="s">
        <v>49</v>
      </c>
      <c r="E251" s="11">
        <v>200.93</v>
      </c>
      <c r="G251" s="6" t="s">
        <v>2206</v>
      </c>
      <c r="H251" s="6" t="str" cm="1">
        <f t="array" ref="H251">IFERROR(INDEX($D$2:$D$554 &amp; " ($" &amp; TEXT($E$2:$E$554, "#,##0.00") &amp; ")", SMALL(IF($A$2:$A$554=$G251, ROW($D$2:$D$554)-ROW($D$2)+1), COLUMN(A251))), "")</f>
        <v>CARWARS ELITE 12,500 PACKAGE ($1,915.50)</v>
      </c>
      <c r="I251" s="6" t="str" cm="1">
        <f t="array" ref="I251">IFERROR(INDEX($D$2:$D$554 &amp; " ($" &amp; TEXT($E$2:$E$554, "#,##0.00") &amp; ")", SMALL(IF($A$2:$A$554=$G251, ROW($D$2:$D$554)-ROW($D$2)+1), COLUMN(B251))), "")</f>
        <v/>
      </c>
      <c r="J251" s="6" t="str" cm="1">
        <f t="array" ref="J251">IFERROR(INDEX($D$2:$D$554 &amp; " ($" &amp; TEXT($E$2:$E$554, "#,##0.00") &amp; ")", SMALL(IF($A$2:$A$554=$G251, ROW($D$2:$D$554)-ROW($D$2)+1), COLUMN(C251))), "")</f>
        <v/>
      </c>
    </row>
    <row r="252" spans="1:10" x14ac:dyDescent="0.35">
      <c r="A252" s="6" t="s">
        <v>2181</v>
      </c>
      <c r="B252" s="6" t="s">
        <v>754</v>
      </c>
      <c r="C252" s="6" t="s">
        <v>35</v>
      </c>
      <c r="D252" s="6" t="s">
        <v>36</v>
      </c>
      <c r="E252" s="11">
        <v>339.09</v>
      </c>
      <c r="G252" s="6" t="s">
        <v>1445</v>
      </c>
      <c r="H252" s="6" t="str" cm="1">
        <f t="array" ref="H252">IFERROR(INDEX($D$2:$D$554 &amp; " ($" &amp; TEXT($E$2:$E$554, "#,##0.00") &amp; ")", SMALL(IF($A$2:$A$554=$G252, ROW($D$2:$D$554)-ROW($D$2)+1), COLUMN(A252))), "")</f>
        <v>CRM OUTBOUND TELEPHONY TRACKING (NEW AND CONVERSION) ($241.25)</v>
      </c>
      <c r="I252" s="6" t="str" cm="1">
        <f t="array" ref="I252">IFERROR(INDEX($D$2:$D$554 &amp; " ($" &amp; TEXT($E$2:$E$554, "#,##0.00") &amp; ")", SMALL(IF($A$2:$A$554=$G252, ROW($D$2:$D$554)-ROW($D$2)+1), COLUMN(B252))), "")</f>
        <v/>
      </c>
      <c r="J252" s="6" t="str" cm="1">
        <f t="array" ref="J252">IFERROR(INDEX($D$2:$D$554 &amp; " ($" &amp; TEXT($E$2:$E$554, "#,##0.00") &amp; ")", SMALL(IF($A$2:$A$554=$G252, ROW($D$2:$D$554)-ROW($D$2)+1), COLUMN(C252))), "")</f>
        <v/>
      </c>
    </row>
    <row r="253" spans="1:10" x14ac:dyDescent="0.35">
      <c r="A253" s="6" t="s">
        <v>2182</v>
      </c>
      <c r="B253" s="6" t="s">
        <v>543</v>
      </c>
      <c r="C253" s="6" t="s">
        <v>74</v>
      </c>
      <c r="D253" s="6" t="s">
        <v>75</v>
      </c>
      <c r="E253" s="11">
        <v>499</v>
      </c>
      <c r="G253" s="6" t="s">
        <v>2207</v>
      </c>
      <c r="H253" s="6" t="str" cm="1">
        <f t="array" ref="H253">IFERROR(INDEX($D$2:$D$554 &amp; " ($" &amp; TEXT($E$2:$E$554, "#,##0.00") &amp; ")", SMALL(IF($A$2:$A$554=$G253, ROW($D$2:$D$554)-ROW($D$2)+1), COLUMN(A253))), "")</f>
        <v>CRM OUTBOUND TELEPHONY TRACKING (NEW AND CONVERSION) ($1,028.97)</v>
      </c>
      <c r="I253" s="6" t="str" cm="1">
        <f t="array" ref="I253">IFERROR(INDEX($D$2:$D$554 &amp; " ($" &amp; TEXT($E$2:$E$554, "#,##0.00") &amp; ")", SMALL(IF($A$2:$A$554=$G253, ROW($D$2:$D$554)-ROW($D$2)+1), COLUMN(B253))), "")</f>
        <v/>
      </c>
      <c r="J253" s="6" t="str" cm="1">
        <f t="array" ref="J253">IFERROR(INDEX($D$2:$D$554 &amp; " ($" &amp; TEXT($E$2:$E$554, "#,##0.00") &amp; ")", SMALL(IF($A$2:$A$554=$G253, ROW($D$2:$D$554)-ROW($D$2)+1), COLUMN(C253))), "")</f>
        <v/>
      </c>
    </row>
    <row r="254" spans="1:10" x14ac:dyDescent="0.35">
      <c r="A254" s="6" t="s">
        <v>2183</v>
      </c>
      <c r="B254" s="6" t="s">
        <v>263</v>
      </c>
      <c r="C254" s="6" t="s">
        <v>42</v>
      </c>
      <c r="D254" s="6" t="s">
        <v>43</v>
      </c>
      <c r="E254" s="11">
        <v>1386.75</v>
      </c>
      <c r="G254" s="6" t="s">
        <v>2208</v>
      </c>
      <c r="H254" s="6" t="str" cm="1">
        <f t="array" ref="H254">IFERROR(INDEX($D$2:$D$554 &amp; " ($" &amp; TEXT($E$2:$E$554, "#,##0.00") &amp; ")", SMALL(IF($A$2:$A$554=$G254, ROW($D$2:$D$554)-ROW($D$2)+1), COLUMN(A254))), "")</f>
        <v>CRM OUTBOUND TELEPHONY TRACKING (NEW AND CONVERSION) ($338.20)</v>
      </c>
      <c r="I254" s="6" t="str" cm="1">
        <f t="array" ref="I254">IFERROR(INDEX($D$2:$D$554 &amp; " ($" &amp; TEXT($E$2:$E$554, "#,##0.00") &amp; ")", SMALL(IF($A$2:$A$554=$G254, ROW($D$2:$D$554)-ROW($D$2)+1), COLUMN(B254))), "")</f>
        <v/>
      </c>
      <c r="J254" s="6" t="str" cm="1">
        <f t="array" ref="J254">IFERROR(INDEX($D$2:$D$554 &amp; " ($" &amp; TEXT($E$2:$E$554, "#,##0.00") &amp; ")", SMALL(IF($A$2:$A$554=$G254, ROW($D$2:$D$554)-ROW($D$2)+1), COLUMN(C254))), "")</f>
        <v/>
      </c>
    </row>
    <row r="255" spans="1:10" x14ac:dyDescent="0.35">
      <c r="A255" s="6" t="s">
        <v>2184</v>
      </c>
      <c r="B255" s="6" t="s">
        <v>665</v>
      </c>
      <c r="C255" s="6" t="s">
        <v>35</v>
      </c>
      <c r="D255" s="6" t="s">
        <v>36</v>
      </c>
      <c r="E255" s="11">
        <v>261.45</v>
      </c>
      <c r="G255" s="6" t="s">
        <v>2209</v>
      </c>
      <c r="H255" s="6" t="str" cm="1">
        <f t="array" ref="H255">IFERROR(INDEX($D$2:$D$554 &amp; " ($" &amp; TEXT($E$2:$E$554, "#,##0.00") &amp; ")", SMALL(IF($A$2:$A$554=$G255, ROW($D$2:$D$554)-ROW($D$2)+1), COLUMN(A255))), "")</f>
        <v>CARWARS STARTER 3500 ($299.00)</v>
      </c>
      <c r="I255" s="6" t="str" cm="1">
        <f t="array" ref="I255">IFERROR(INDEX($D$2:$D$554 &amp; " ($" &amp; TEXT($E$2:$E$554, "#,##0.00") &amp; ")", SMALL(IF($A$2:$A$554=$G255, ROW($D$2:$D$554)-ROW($D$2)+1), COLUMN(B255))), "")</f>
        <v/>
      </c>
      <c r="J255" s="6" t="str" cm="1">
        <f t="array" ref="J255">IFERROR(INDEX($D$2:$D$554 &amp; " ($" &amp; TEXT($E$2:$E$554, "#,##0.00") &amp; ")", SMALL(IF($A$2:$A$554=$G255, ROW($D$2:$D$554)-ROW($D$2)+1), COLUMN(C255))), "")</f>
        <v/>
      </c>
    </row>
    <row r="256" spans="1:10" x14ac:dyDescent="0.35">
      <c r="A256" s="6" t="s">
        <v>2184</v>
      </c>
      <c r="B256" s="6" t="s">
        <v>665</v>
      </c>
      <c r="C256" s="6" t="s">
        <v>408</v>
      </c>
      <c r="D256" s="6" t="s">
        <v>409</v>
      </c>
      <c r="E256" s="11">
        <v>20</v>
      </c>
      <c r="G256" s="6" t="s">
        <v>2210</v>
      </c>
      <c r="H256" s="6" t="str" cm="1">
        <f t="array" ref="H256">IFERROR(INDEX($D$2:$D$554 &amp; " ($" &amp; TEXT($E$2:$E$554, "#,##0.00") &amp; ")", SMALL(IF($A$2:$A$554=$G256, ROW($D$2:$D$554)-ROW($D$2)+1), COLUMN(A256))), "")</f>
        <v>EL1OUTCALLTRACK (GM IMR) ($489.02)</v>
      </c>
      <c r="I256" s="6" t="str" cm="1">
        <f t="array" ref="I256">IFERROR(INDEX($D$2:$D$554 &amp; " ($" &amp; TEXT($E$2:$E$554, "#,##0.00") &amp; ")", SMALL(IF($A$2:$A$554=$G256, ROW($D$2:$D$554)-ROW($D$2)+1), COLUMN(B256))), "")</f>
        <v/>
      </c>
      <c r="J256" s="6" t="str" cm="1">
        <f t="array" ref="J256">IFERROR(INDEX($D$2:$D$554 &amp; " ($" &amp; TEXT($E$2:$E$554, "#,##0.00") &amp; ")", SMALL(IF($A$2:$A$554=$G256, ROW($D$2:$D$554)-ROW($D$2)+1), COLUMN(C256))), "")</f>
        <v/>
      </c>
    </row>
    <row r="257" spans="1:10" x14ac:dyDescent="0.35">
      <c r="A257" s="6" t="s">
        <v>2184</v>
      </c>
      <c r="B257" s="6" t="s">
        <v>665</v>
      </c>
      <c r="C257" s="6" t="s">
        <v>67</v>
      </c>
      <c r="D257" s="6" t="s">
        <v>68</v>
      </c>
      <c r="E257" s="11">
        <v>599</v>
      </c>
      <c r="G257" s="6" t="s">
        <v>1151</v>
      </c>
      <c r="H257" s="6" t="str" cm="1">
        <f t="array" ref="H257">IFERROR(INDEX($D$2:$D$554 &amp; " ($" &amp; TEXT($E$2:$E$554, "#,##0.00") &amp; ")", SMALL(IF($A$2:$A$554=$G257, ROW($D$2:$D$554)-ROW($D$2)+1), COLUMN(A257))), "")</f>
        <v>CRM OUTBOUND TELEPHONY TRACKING (NEW AND CONVERSION) ($445.73)</v>
      </c>
      <c r="I257" s="6" t="str" cm="1">
        <f t="array" ref="I257">IFERROR(INDEX($D$2:$D$554 &amp; " ($" &amp; TEXT($E$2:$E$554, "#,##0.00") &amp; ")", SMALL(IF($A$2:$A$554=$G257, ROW($D$2:$D$554)-ROW($D$2)+1), COLUMN(B257))), "")</f>
        <v/>
      </c>
      <c r="J257" s="6" t="str" cm="1">
        <f t="array" ref="J257">IFERROR(INDEX($D$2:$D$554 &amp; " ($" &amp; TEXT($E$2:$E$554, "#,##0.00") &amp; ")", SMALL(IF($A$2:$A$554=$G257, ROW($D$2:$D$554)-ROW($D$2)+1), COLUMN(C257))), "")</f>
        <v/>
      </c>
    </row>
    <row r="258" spans="1:10" x14ac:dyDescent="0.35">
      <c r="A258" s="6" t="s">
        <v>1164</v>
      </c>
      <c r="B258" s="6" t="s">
        <v>1165</v>
      </c>
      <c r="C258" s="6" t="s">
        <v>35</v>
      </c>
      <c r="D258" s="6" t="s">
        <v>36</v>
      </c>
      <c r="E258" s="11">
        <v>445.73</v>
      </c>
      <c r="G258" s="6" t="s">
        <v>2211</v>
      </c>
      <c r="H258" s="6" t="str" cm="1">
        <f t="array" ref="H258">IFERROR(INDEX($D$2:$D$554 &amp; " ($" &amp; TEXT($E$2:$E$554, "#,##0.00") &amp; ")", SMALL(IF($A$2:$A$554=$G258, ROW($D$2:$D$554)-ROW($D$2)+1), COLUMN(A258))), "")</f>
        <v>CRM OUTBOUND TELEPHONY TRACKING (NEW AND CONVERSION) ($371.18)</v>
      </c>
      <c r="I258" s="6" t="str" cm="1">
        <f t="array" ref="I258">IFERROR(INDEX($D$2:$D$554 &amp; " ($" &amp; TEXT($E$2:$E$554, "#,##0.00") &amp; ")", SMALL(IF($A$2:$A$554=$G258, ROW($D$2:$D$554)-ROW($D$2)+1), COLUMN(B258))), "")</f>
        <v/>
      </c>
      <c r="J258" s="6" t="str" cm="1">
        <f t="array" ref="J258">IFERROR(INDEX($D$2:$D$554 &amp; " ($" &amp; TEXT($E$2:$E$554, "#,##0.00") &amp; ")", SMALL(IF($A$2:$A$554=$G258, ROW($D$2:$D$554)-ROW($D$2)+1), COLUMN(C258))), "")</f>
        <v/>
      </c>
    </row>
    <row r="259" spans="1:10" x14ac:dyDescent="0.35">
      <c r="A259" s="6" t="s">
        <v>2186</v>
      </c>
      <c r="B259" s="6" t="s">
        <v>358</v>
      </c>
      <c r="C259" s="6" t="s">
        <v>35</v>
      </c>
      <c r="D259" s="6" t="s">
        <v>36</v>
      </c>
      <c r="E259" s="11">
        <v>246.39</v>
      </c>
      <c r="G259" s="6" t="s">
        <v>1057</v>
      </c>
      <c r="H259" s="6" t="str" cm="1">
        <f t="array" ref="H259">IFERROR(INDEX($D$2:$D$554 &amp; " ($" &amp; TEXT($E$2:$E$554, "#,##0.00") &amp; ")", SMALL(IF($A$2:$A$554=$G259, ROW($D$2:$D$554)-ROW($D$2)+1), COLUMN(A259))), "")</f>
        <v>CAR WARS CUSTOM PACKAGE--VICTORY AUTO ($1,053.45)</v>
      </c>
      <c r="I259" s="6" t="str" cm="1">
        <f t="array" ref="I259">IFERROR(INDEX($D$2:$D$554 &amp; " ($" &amp; TEXT($E$2:$E$554, "#,##0.00") &amp; ")", SMALL(IF($A$2:$A$554=$G259, ROW($D$2:$D$554)-ROW($D$2)+1), COLUMN(B259))), "")</f>
        <v/>
      </c>
      <c r="J259" s="6" t="str" cm="1">
        <f t="array" ref="J259">IFERROR(INDEX($D$2:$D$554 &amp; " ($" &amp; TEXT($E$2:$E$554, "#,##0.00") &amp; ")", SMALL(IF($A$2:$A$554=$G259, ROW($D$2:$D$554)-ROW($D$2)+1), COLUMN(C259))), "")</f>
        <v/>
      </c>
    </row>
    <row r="260" spans="1:10" x14ac:dyDescent="0.35">
      <c r="A260" s="6" t="s">
        <v>1042</v>
      </c>
      <c r="B260" s="6" t="s">
        <v>1043</v>
      </c>
      <c r="C260" s="6" t="s">
        <v>1526</v>
      </c>
      <c r="D260" s="6" t="s">
        <v>971</v>
      </c>
      <c r="E260" s="11">
        <v>1053.45</v>
      </c>
      <c r="G260" s="6" t="s">
        <v>1447</v>
      </c>
      <c r="H260" s="6" t="str" cm="1">
        <f t="array" ref="H260">IFERROR(INDEX($D$2:$D$554 &amp; " ($" &amp; TEXT($E$2:$E$554, "#,##0.00") &amp; ")", SMALL(IF($A$2:$A$554=$G260, ROW($D$2:$D$554)-ROW($D$2)+1), COLUMN(A260))), "")</f>
        <v>CRM TELEPHONY TRACKING ($124.20)</v>
      </c>
      <c r="I260" s="6" t="str" cm="1">
        <f t="array" ref="I260">IFERROR(INDEX($D$2:$D$554 &amp; " ($" &amp; TEXT($E$2:$E$554, "#,##0.00") &amp; ")", SMALL(IF($A$2:$A$554=$G260, ROW($D$2:$D$554)-ROW($D$2)+1), COLUMN(B260))), "")</f>
        <v/>
      </c>
      <c r="J260" s="6" t="str" cm="1">
        <f t="array" ref="J260">IFERROR(INDEX($D$2:$D$554 &amp; " ($" &amp; TEXT($E$2:$E$554, "#,##0.00") &amp; ")", SMALL(IF($A$2:$A$554=$G260, ROW($D$2:$D$554)-ROW($D$2)+1), COLUMN(C260))), "")</f>
        <v/>
      </c>
    </row>
    <row r="261" spans="1:10" x14ac:dyDescent="0.35">
      <c r="A261" s="6" t="s">
        <v>1024</v>
      </c>
      <c r="B261" s="6" t="s">
        <v>1025</v>
      </c>
      <c r="C261" s="6" t="s">
        <v>1526</v>
      </c>
      <c r="D261" s="6" t="s">
        <v>971</v>
      </c>
      <c r="E261" s="11">
        <v>1053.45</v>
      </c>
      <c r="G261" s="6" t="s">
        <v>1148</v>
      </c>
      <c r="H261" s="6" t="str" cm="1">
        <f t="array" ref="H261">IFERROR(INDEX($D$2:$D$554 &amp; " ($" &amp; TEXT($E$2:$E$554, "#,##0.00") &amp; ")", SMALL(IF($A$2:$A$554=$G261, ROW($D$2:$D$554)-ROW($D$2)+1), COLUMN(A261))), "")</f>
        <v>CRM OUTBOUND TELEPHONY TRACKING (NEW AND CONVERSION) ($445.73)</v>
      </c>
      <c r="I261" s="6" t="str" cm="1">
        <f t="array" ref="I261">IFERROR(INDEX($D$2:$D$554 &amp; " ($" &amp; TEXT($E$2:$E$554, "#,##0.00") &amp; ")", SMALL(IF($A$2:$A$554=$G261, ROW($D$2:$D$554)-ROW($D$2)+1), COLUMN(B261))), "")</f>
        <v/>
      </c>
      <c r="J261" s="6" t="str" cm="1">
        <f t="array" ref="J261">IFERROR(INDEX($D$2:$D$554 &amp; " ($" &amp; TEXT($E$2:$E$554, "#,##0.00") &amp; ")", SMALL(IF($A$2:$A$554=$G261, ROW($D$2:$D$554)-ROW($D$2)+1), COLUMN(C261))), "")</f>
        <v/>
      </c>
    </row>
    <row r="262" spans="1:10" x14ac:dyDescent="0.35">
      <c r="A262" s="6" t="s">
        <v>1099</v>
      </c>
      <c r="B262" s="6" t="s">
        <v>1100</v>
      </c>
      <c r="C262" s="6" t="s">
        <v>1526</v>
      </c>
      <c r="D262" s="6" t="s">
        <v>971</v>
      </c>
      <c r="E262" s="11">
        <v>1053.45</v>
      </c>
      <c r="G262" s="6" t="s">
        <v>1185</v>
      </c>
      <c r="H262" s="6" t="str" cm="1">
        <f t="array" ref="H262">IFERROR(INDEX($D$2:$D$554 &amp; " ($" &amp; TEXT($E$2:$E$554, "#,##0.00") &amp; ")", SMALL(IF($A$2:$A$554=$G262, ROW($D$2:$D$554)-ROW($D$2)+1), COLUMN(A262))), "")</f>
        <v>CRM OUTBOUND TELEPHONY TRACKING (NEW AND CONVERSION) ($445.73)</v>
      </c>
      <c r="I262" s="6" t="str" cm="1">
        <f t="array" ref="I262">IFERROR(INDEX($D$2:$D$554 &amp; " ($" &amp; TEXT($E$2:$E$554, "#,##0.00") &amp; ")", SMALL(IF($A$2:$A$554=$G262, ROW($D$2:$D$554)-ROW($D$2)+1), COLUMN(B262))), "")</f>
        <v/>
      </c>
      <c r="J262" s="6" t="str" cm="1">
        <f t="array" ref="J262">IFERROR(INDEX($D$2:$D$554 &amp; " ($" &amp; TEXT($E$2:$E$554, "#,##0.00") &amp; ")", SMALL(IF($A$2:$A$554=$G262, ROW($D$2:$D$554)-ROW($D$2)+1), COLUMN(C262))), "")</f>
        <v/>
      </c>
    </row>
    <row r="263" spans="1:10" x14ac:dyDescent="0.35">
      <c r="A263" s="6" t="s">
        <v>1027</v>
      </c>
      <c r="B263" s="6" t="s">
        <v>1028</v>
      </c>
      <c r="C263" s="6" t="s">
        <v>1526</v>
      </c>
      <c r="D263" s="6" t="s">
        <v>971</v>
      </c>
      <c r="E263" s="11">
        <v>1053.45</v>
      </c>
      <c r="G263" s="6" t="s">
        <v>1141</v>
      </c>
      <c r="H263" s="6" t="str" cm="1">
        <f t="array" ref="H263">IFERROR(INDEX($D$2:$D$554 &amp; " ($" &amp; TEXT($E$2:$E$554, "#,##0.00") &amp; ")", SMALL(IF($A$2:$A$554=$G263, ROW($D$2:$D$554)-ROW($D$2)+1), COLUMN(A263))), "")</f>
        <v>CRM OUTBOUND TELEPHONY TRACKING (NEW AND CONVERSION) ($445.73)</v>
      </c>
      <c r="I263" s="6" t="str" cm="1">
        <f t="array" ref="I263">IFERROR(INDEX($D$2:$D$554 &amp; " ($" &amp; TEXT($E$2:$E$554, "#,##0.00") &amp; ")", SMALL(IF($A$2:$A$554=$G263, ROW($D$2:$D$554)-ROW($D$2)+1), COLUMN(B263))), "")</f>
        <v/>
      </c>
      <c r="J263" s="6" t="str" cm="1">
        <f t="array" ref="J263">IFERROR(INDEX($D$2:$D$554 &amp; " ($" &amp; TEXT($E$2:$E$554, "#,##0.00") &amp; ")", SMALL(IF($A$2:$A$554=$G263, ROW($D$2:$D$554)-ROW($D$2)+1), COLUMN(C263))), "")</f>
        <v/>
      </c>
    </row>
    <row r="264" spans="1:10" x14ac:dyDescent="0.35">
      <c r="A264" s="6" t="s">
        <v>1018</v>
      </c>
      <c r="B264" s="6" t="s">
        <v>1019</v>
      </c>
      <c r="C264" s="6" t="s">
        <v>1526</v>
      </c>
      <c r="D264" s="6" t="s">
        <v>971</v>
      </c>
      <c r="E264" s="11">
        <v>1053.45</v>
      </c>
      <c r="G264" s="6" t="s">
        <v>2212</v>
      </c>
      <c r="H264" s="6" t="str" cm="1">
        <f t="array" ref="H264">IFERROR(INDEX($D$2:$D$554 &amp; " ($" &amp; TEXT($E$2:$E$554, "#,##0.00") &amp; ")", SMALL(IF($A$2:$A$554=$G264, ROW($D$2:$D$554)-ROW($D$2)+1), COLUMN(A264))), "")</f>
        <v>CRM OUTBOUND TELEPHONY TRACKING (NEW AND CONVERSION) ($370.20)</v>
      </c>
      <c r="I264" s="6" t="str" cm="1">
        <f t="array" ref="I264">IFERROR(INDEX($D$2:$D$554 &amp; " ($" &amp; TEXT($E$2:$E$554, "#,##0.00") &amp; ")", SMALL(IF($A$2:$A$554=$G264, ROW($D$2:$D$554)-ROW($D$2)+1), COLUMN(B264))), "")</f>
        <v/>
      </c>
      <c r="J264" s="6" t="str" cm="1">
        <f t="array" ref="J264">IFERROR(INDEX($D$2:$D$554 &amp; " ($" &amp; TEXT($E$2:$E$554, "#,##0.00") &amp; ")", SMALL(IF($A$2:$A$554=$G264, ROW($D$2:$D$554)-ROW($D$2)+1), COLUMN(C264))), "")</f>
        <v/>
      </c>
    </row>
    <row r="265" spans="1:10" x14ac:dyDescent="0.35">
      <c r="A265" s="6" t="s">
        <v>1015</v>
      </c>
      <c r="B265" s="6" t="s">
        <v>1016</v>
      </c>
      <c r="C265" s="6" t="s">
        <v>1526</v>
      </c>
      <c r="D265" s="6" t="s">
        <v>971</v>
      </c>
      <c r="E265" s="11">
        <v>1053.45</v>
      </c>
      <c r="G265" s="6" t="s">
        <v>1449</v>
      </c>
      <c r="H265" s="6" t="str" cm="1">
        <f t="array" ref="H265">IFERROR(INDEX($D$2:$D$554 &amp; " ($" &amp; TEXT($E$2:$E$554, "#,##0.00") &amp; ")", SMALL(IF($A$2:$A$554=$G265, ROW($D$2:$D$554)-ROW($D$2)+1), COLUMN(A265))), "")</f>
        <v>CRM OUTBOUND TELEPHONY TRACKING (NEW AND CONVERSION) ($241.25)</v>
      </c>
      <c r="I265" s="6" t="str" cm="1">
        <f t="array" ref="I265">IFERROR(INDEX($D$2:$D$554 &amp; " ($" &amp; TEXT($E$2:$E$554, "#,##0.00") &amp; ")", SMALL(IF($A$2:$A$554=$G265, ROW($D$2:$D$554)-ROW($D$2)+1), COLUMN(B265))), "")</f>
        <v/>
      </c>
      <c r="J265" s="6" t="str" cm="1">
        <f t="array" ref="J265">IFERROR(INDEX($D$2:$D$554 &amp; " ($" &amp; TEXT($E$2:$E$554, "#,##0.00") &amp; ")", SMALL(IF($A$2:$A$554=$G265, ROW($D$2:$D$554)-ROW($D$2)+1), COLUMN(C265))), "")</f>
        <v/>
      </c>
    </row>
    <row r="266" spans="1:10" x14ac:dyDescent="0.35">
      <c r="A266" s="6" t="s">
        <v>1081</v>
      </c>
      <c r="B266" s="6" t="s">
        <v>1082</v>
      </c>
      <c r="C266" s="6" t="s">
        <v>1526</v>
      </c>
      <c r="D266" s="6" t="s">
        <v>971</v>
      </c>
      <c r="E266" s="11">
        <v>1053.45</v>
      </c>
      <c r="G266" s="6" t="s">
        <v>2213</v>
      </c>
      <c r="H266" s="6" t="str" cm="1">
        <f t="array" ref="H266">IFERROR(INDEX($D$2:$D$554 &amp; " ($" &amp; TEXT($E$2:$E$554, "#,##0.00") &amp; ")", SMALL(IF($A$2:$A$554=$G266, ROW($D$2:$D$554)-ROW($D$2)+1), COLUMN(A266))), "")</f>
        <v>CARWARS ELITE LARGE ($2,981.00)</v>
      </c>
      <c r="I266" s="6" t="str" cm="1">
        <f t="array" ref="I266">IFERROR(INDEX($D$2:$D$554 &amp; " ($" &amp; TEXT($E$2:$E$554, "#,##0.00") &amp; ")", SMALL(IF($A$2:$A$554=$G266, ROW($D$2:$D$554)-ROW($D$2)+1), COLUMN(B266))), "")</f>
        <v/>
      </c>
      <c r="J266" s="6" t="str" cm="1">
        <f t="array" ref="J266">IFERROR(INDEX($D$2:$D$554 &amp; " ($" &amp; TEXT($E$2:$E$554, "#,##0.00") &amp; ")", SMALL(IF($A$2:$A$554=$G266, ROW($D$2:$D$554)-ROW($D$2)+1), COLUMN(C266))), "")</f>
        <v/>
      </c>
    </row>
    <row r="267" spans="1:10" x14ac:dyDescent="0.35">
      <c r="A267" s="6" t="s">
        <v>1441</v>
      </c>
      <c r="B267" s="6" t="s">
        <v>1442</v>
      </c>
      <c r="C267" s="6" t="s">
        <v>1329</v>
      </c>
      <c r="D267" s="6" t="s">
        <v>1330</v>
      </c>
      <c r="E267" s="11">
        <v>124.2</v>
      </c>
      <c r="G267" s="6" t="s">
        <v>2214</v>
      </c>
      <c r="H267" s="6" t="str" cm="1">
        <f t="array" ref="H267">IFERROR(INDEX($D$2:$D$554 &amp; " ($" &amp; TEXT($E$2:$E$554, "#,##0.00") &amp; ")", SMALL(IF($A$2:$A$554=$G267, ROW($D$2:$D$554)-ROW($D$2)+1), COLUMN(A267))), "")</f>
        <v>CRM OUTBOUND TELEPHONY TRACKING (NEW AND CONVERSION) ($499.00)</v>
      </c>
      <c r="I267" s="6" t="str" cm="1">
        <f t="array" ref="I267">IFERROR(INDEX($D$2:$D$554 &amp; " ($" &amp; TEXT($E$2:$E$554, "#,##0.00") &amp; ")", SMALL(IF($A$2:$A$554=$G267, ROW($D$2:$D$554)-ROW($D$2)+1), COLUMN(B267))), "")</f>
        <v/>
      </c>
      <c r="J267" s="6" t="str" cm="1">
        <f t="array" ref="J267">IFERROR(INDEX($D$2:$D$554 &amp; " ($" &amp; TEXT($E$2:$E$554, "#,##0.00") &amp; ")", SMALL(IF($A$2:$A$554=$G267, ROW($D$2:$D$554)-ROW($D$2)+1), COLUMN(C267))), "")</f>
        <v/>
      </c>
    </row>
    <row r="268" spans="1:10" x14ac:dyDescent="0.35">
      <c r="A268" s="6" t="s">
        <v>1006</v>
      </c>
      <c r="B268" s="6" t="s">
        <v>1007</v>
      </c>
      <c r="C268" s="6" t="s">
        <v>1526</v>
      </c>
      <c r="D268" s="6" t="s">
        <v>971</v>
      </c>
      <c r="E268" s="11">
        <v>1053.45</v>
      </c>
      <c r="G268" s="6" t="s">
        <v>1033</v>
      </c>
      <c r="H268" s="6" t="str" cm="1">
        <f t="array" ref="H268">IFERROR(INDEX($D$2:$D$554 &amp; " ($" &amp; TEXT($E$2:$E$554, "#,##0.00") &amp; ")", SMALL(IF($A$2:$A$554=$G268, ROW($D$2:$D$554)-ROW($D$2)+1), COLUMN(A268))), "")</f>
        <v>CAR WARS CUSTOM PACKAGE--VICTORY AUTO ($1,053.45)</v>
      </c>
      <c r="I268" s="6" t="str" cm="1">
        <f t="array" ref="I268">IFERROR(INDEX($D$2:$D$554 &amp; " ($" &amp; TEXT($E$2:$E$554, "#,##0.00") &amp; ")", SMALL(IF($A$2:$A$554=$G268, ROW($D$2:$D$554)-ROW($D$2)+1), COLUMN(B268))), "")</f>
        <v/>
      </c>
      <c r="J268" s="6" t="str" cm="1">
        <f t="array" ref="J268">IFERROR(INDEX($D$2:$D$554 &amp; " ($" &amp; TEXT($E$2:$E$554, "#,##0.00") &amp; ")", SMALL(IF($A$2:$A$554=$G268, ROW($D$2:$D$554)-ROW($D$2)+1), COLUMN(C268))), "")</f>
        <v/>
      </c>
    </row>
    <row r="269" spans="1:10" x14ac:dyDescent="0.35">
      <c r="A269" s="6" t="s">
        <v>997</v>
      </c>
      <c r="B269" s="6" t="s">
        <v>998</v>
      </c>
      <c r="C269" s="6" t="s">
        <v>1526</v>
      </c>
      <c r="D269" s="6" t="s">
        <v>971</v>
      </c>
      <c r="E269" s="11">
        <v>1053.45</v>
      </c>
      <c r="G269" s="6" t="s">
        <v>2215</v>
      </c>
      <c r="H269" s="6" t="str" cm="1">
        <f t="array" ref="H269">IFERROR(INDEX($D$2:$D$554 &amp; " ($" &amp; TEXT($E$2:$E$554, "#,##0.00") &amp; ")", SMALL(IF($A$2:$A$554=$G269, ROW($D$2:$D$554)-ROW($D$2)+1), COLUMN(A269))), "")</f>
        <v>CRM OUTBOUND TELEPHONY TRACKING (NEW AND CONVERSION) ($371.18)</v>
      </c>
      <c r="I269" s="6" t="str" cm="1">
        <f t="array" ref="I269">IFERROR(INDEX($D$2:$D$554 &amp; " ($" &amp; TEXT($E$2:$E$554, "#,##0.00") &amp; ")", SMALL(IF($A$2:$A$554=$G269, ROW($D$2:$D$554)-ROW($D$2)+1), COLUMN(B269))), "")</f>
        <v/>
      </c>
      <c r="J269" s="6" t="str" cm="1">
        <f t="array" ref="J269">IFERROR(INDEX($D$2:$D$554 &amp; " ($" &amp; TEXT($E$2:$E$554, "#,##0.00") &amp; ")", SMALL(IF($A$2:$A$554=$G269, ROW($D$2:$D$554)-ROW($D$2)+1), COLUMN(C269))), "")</f>
        <v/>
      </c>
    </row>
    <row r="270" spans="1:10" x14ac:dyDescent="0.35">
      <c r="A270" s="6" t="s">
        <v>994</v>
      </c>
      <c r="B270" s="6" t="s">
        <v>995</v>
      </c>
      <c r="C270" s="6" t="s">
        <v>1526</v>
      </c>
      <c r="D270" s="6" t="s">
        <v>971</v>
      </c>
      <c r="E270" s="11">
        <v>1053.45</v>
      </c>
      <c r="G270" s="6" t="s">
        <v>2216</v>
      </c>
      <c r="H270" s="6" t="str" cm="1">
        <f t="array" ref="H270">IFERROR(INDEX($D$2:$D$554 &amp; " ($" &amp; TEXT($E$2:$E$554, "#,##0.00") &amp; ")", SMALL(IF($A$2:$A$554=$G270, ROW($D$2:$D$554)-ROW($D$2)+1), COLUMN(A270))), "")</f>
        <v>CARWARS STARTER 7500 ($528.64)</v>
      </c>
      <c r="I270" s="6" t="str" cm="1">
        <f t="array" ref="I270">IFERROR(INDEX($D$2:$D$554 &amp; " ($" &amp; TEXT($E$2:$E$554, "#,##0.00") &amp; ")", SMALL(IF($A$2:$A$554=$G270, ROW($D$2:$D$554)-ROW($D$2)+1), COLUMN(B270))), "")</f>
        <v/>
      </c>
      <c r="J270" s="6" t="str" cm="1">
        <f t="array" ref="J270">IFERROR(INDEX($D$2:$D$554 &amp; " ($" &amp; TEXT($E$2:$E$554, "#,##0.00") &amp; ")", SMALL(IF($A$2:$A$554=$G270, ROW($D$2:$D$554)-ROW($D$2)+1), COLUMN(C270))), "")</f>
        <v/>
      </c>
    </row>
    <row r="271" spans="1:10" x14ac:dyDescent="0.35">
      <c r="A271" s="6" t="s">
        <v>1060</v>
      </c>
      <c r="B271" s="6" t="s">
        <v>1061</v>
      </c>
      <c r="C271" s="6" t="s">
        <v>1526</v>
      </c>
      <c r="D271" s="6" t="s">
        <v>971</v>
      </c>
      <c r="E271" s="11">
        <v>1053.45</v>
      </c>
      <c r="G271" s="6" t="s">
        <v>2217</v>
      </c>
      <c r="H271" s="6" t="str" cm="1">
        <f t="array" ref="H271">IFERROR(INDEX($D$2:$D$554 &amp; " ($" &amp; TEXT($E$2:$E$554, "#,##0.00") &amp; ")", SMALL(IF($A$2:$A$554=$G271, ROW($D$2:$D$554)-ROW($D$2)+1), COLUMN(A271))), "")</f>
        <v>OUTBOUND CALL TRACKING PKGS (GM IMR CONVERSION) ($979.02)</v>
      </c>
      <c r="I271" s="6" t="str" cm="1">
        <f t="array" ref="I271">IFERROR(INDEX($D$2:$D$554 &amp; " ($" &amp; TEXT($E$2:$E$554, "#,##0.00") &amp; ")", SMALL(IF($A$2:$A$554=$G271, ROW($D$2:$D$554)-ROW($D$2)+1), COLUMN(B271))), "")</f>
        <v/>
      </c>
      <c r="J271" s="6" t="str" cm="1">
        <f t="array" ref="J271">IFERROR(INDEX($D$2:$D$554 &amp; " ($" &amp; TEXT($E$2:$E$554, "#,##0.00") &amp; ")", SMALL(IF($A$2:$A$554=$G271, ROW($D$2:$D$554)-ROW($D$2)+1), COLUMN(C271))), "")</f>
        <v/>
      </c>
    </row>
    <row r="272" spans="1:10" x14ac:dyDescent="0.35">
      <c r="A272" s="6" t="s">
        <v>1045</v>
      </c>
      <c r="B272" s="6" t="s">
        <v>1046</v>
      </c>
      <c r="C272" s="6" t="s">
        <v>1526</v>
      </c>
      <c r="D272" s="6" t="s">
        <v>971</v>
      </c>
      <c r="E272" s="11">
        <v>1053.45</v>
      </c>
      <c r="G272" s="6" t="s">
        <v>2218</v>
      </c>
      <c r="H272" s="6" t="str" cm="1">
        <f t="array" ref="H272">IFERROR(INDEX($D$2:$D$554 &amp; " ($" &amp; TEXT($E$2:$E$554, "#,##0.00") &amp; ")", SMALL(IF($A$2:$A$554=$G272, ROW($D$2:$D$554)-ROW($D$2)+1), COLUMN(A272))), "")</f>
        <v>CARWARS ELITE LARGE ($3,158.07)</v>
      </c>
      <c r="I272" s="6" t="str" cm="1">
        <f t="array" ref="I272">IFERROR(INDEX($D$2:$D$554 &amp; " ($" &amp; TEXT($E$2:$E$554, "#,##0.00") &amp; ")", SMALL(IF($A$2:$A$554=$G272, ROW($D$2:$D$554)-ROW($D$2)+1), COLUMN(B272))), "")</f>
        <v/>
      </c>
      <c r="J272" s="6" t="str" cm="1">
        <f t="array" ref="J272">IFERROR(INDEX($D$2:$D$554 &amp; " ($" &amp; TEXT($E$2:$E$554, "#,##0.00") &amp; ")", SMALL(IF($A$2:$A$554=$G272, ROW($D$2:$D$554)-ROW($D$2)+1), COLUMN(C272))), "")</f>
        <v/>
      </c>
    </row>
    <row r="273" spans="1:10" x14ac:dyDescent="0.35">
      <c r="A273" s="6" t="s">
        <v>988</v>
      </c>
      <c r="B273" s="6" t="s">
        <v>989</v>
      </c>
      <c r="C273" s="6" t="s">
        <v>1526</v>
      </c>
      <c r="D273" s="6" t="s">
        <v>971</v>
      </c>
      <c r="E273" s="11">
        <v>1053.45</v>
      </c>
      <c r="G273" s="6" t="s">
        <v>2219</v>
      </c>
      <c r="H273" s="6" t="str" cm="1">
        <f t="array" ref="H273">IFERROR(INDEX($D$2:$D$554 &amp; " ($" &amp; TEXT($E$2:$E$554, "#,##0.00") &amp; ")", SMALL(IF($A$2:$A$554=$G273, ROW($D$2:$D$554)-ROW($D$2)+1), COLUMN(A273))), "")</f>
        <v>EL1OUTCALLTRACK (GM IMR) ($1,469.02)</v>
      </c>
      <c r="I273" s="6" t="str" cm="1">
        <f t="array" ref="I273">IFERROR(INDEX($D$2:$D$554 &amp; " ($" &amp; TEXT($E$2:$E$554, "#,##0.00") &amp; ")", SMALL(IF($A$2:$A$554=$G273, ROW($D$2:$D$554)-ROW($D$2)+1), COLUMN(B273))), "")</f>
        <v/>
      </c>
      <c r="J273" s="6" t="str" cm="1">
        <f t="array" ref="J273">IFERROR(INDEX($D$2:$D$554 &amp; " ($" &amp; TEXT($E$2:$E$554, "#,##0.00") &amp; ")", SMALL(IF($A$2:$A$554=$G273, ROW($D$2:$D$554)-ROW($D$2)+1), COLUMN(C273))), "")</f>
        <v/>
      </c>
    </row>
    <row r="274" spans="1:10" x14ac:dyDescent="0.35">
      <c r="A274" s="6" t="s">
        <v>1003</v>
      </c>
      <c r="B274" s="6" t="s">
        <v>1004</v>
      </c>
      <c r="C274" s="6" t="s">
        <v>1526</v>
      </c>
      <c r="D274" s="6" t="s">
        <v>971</v>
      </c>
      <c r="E274" s="11">
        <v>1053.45</v>
      </c>
      <c r="G274" s="6" t="s">
        <v>1179</v>
      </c>
      <c r="H274" s="6" t="str" cm="1">
        <f t="array" ref="H274">IFERROR(INDEX($D$2:$D$554 &amp; " ($" &amp; TEXT($E$2:$E$554, "#,##0.00") &amp; ")", SMALL(IF($A$2:$A$554=$G274, ROW($D$2:$D$554)-ROW($D$2)+1), COLUMN(A274))), "")</f>
        <v>CRM OUTBOUND TELEPHONY TRACKING (NEW AND CONVERSION) ($445.73)</v>
      </c>
      <c r="I274" s="6" t="str" cm="1">
        <f t="array" ref="I274">IFERROR(INDEX($D$2:$D$554 &amp; " ($" &amp; TEXT($E$2:$E$554, "#,##0.00") &amp; ")", SMALL(IF($A$2:$A$554=$G274, ROW($D$2:$D$554)-ROW($D$2)+1), COLUMN(B274))), "")</f>
        <v/>
      </c>
      <c r="J274" s="6" t="str" cm="1">
        <f t="array" ref="J274">IFERROR(INDEX($D$2:$D$554 &amp; " ($" &amp; TEXT($E$2:$E$554, "#,##0.00") &amp; ")", SMALL(IF($A$2:$A$554=$G274, ROW($D$2:$D$554)-ROW($D$2)+1), COLUMN(C274))), "")</f>
        <v/>
      </c>
    </row>
    <row r="275" spans="1:10" x14ac:dyDescent="0.35">
      <c r="A275" s="6" t="s">
        <v>1069</v>
      </c>
      <c r="B275" s="6" t="s">
        <v>1070</v>
      </c>
      <c r="C275" s="6" t="s">
        <v>1526</v>
      </c>
      <c r="D275" s="6" t="s">
        <v>971</v>
      </c>
      <c r="E275" s="11">
        <v>1053.45</v>
      </c>
      <c r="G275" s="6" t="s">
        <v>1158</v>
      </c>
      <c r="H275" s="6" t="str" cm="1">
        <f t="array" ref="H275">IFERROR(INDEX($D$2:$D$554 &amp; " ($" &amp; TEXT($E$2:$E$554, "#,##0.00") &amp; ")", SMALL(IF($A$2:$A$554=$G275, ROW($D$2:$D$554)-ROW($D$2)+1), COLUMN(A275))), "")</f>
        <v>CRM OUTBOUND TELEPHONY TRACKING (NEW AND CONVERSION) ($445.73)</v>
      </c>
      <c r="I275" s="6" t="str" cm="1">
        <f t="array" ref="I275">IFERROR(INDEX($D$2:$D$554 &amp; " ($" &amp; TEXT($E$2:$E$554, "#,##0.00") &amp; ")", SMALL(IF($A$2:$A$554=$G275, ROW($D$2:$D$554)-ROW($D$2)+1), COLUMN(B275))), "")</f>
        <v/>
      </c>
      <c r="J275" s="6" t="str" cm="1">
        <f t="array" ref="J275">IFERROR(INDEX($D$2:$D$554 &amp; " ($" &amp; TEXT($E$2:$E$554, "#,##0.00") &amp; ")", SMALL(IF($A$2:$A$554=$G275, ROW($D$2:$D$554)-ROW($D$2)+1), COLUMN(C275))), "")</f>
        <v/>
      </c>
    </row>
    <row r="276" spans="1:10" x14ac:dyDescent="0.35">
      <c r="A276" s="6" t="s">
        <v>1039</v>
      </c>
      <c r="B276" s="6" t="s">
        <v>1040</v>
      </c>
      <c r="C276" s="6" t="s">
        <v>1526</v>
      </c>
      <c r="D276" s="6" t="s">
        <v>971</v>
      </c>
      <c r="E276" s="11">
        <v>1053.45</v>
      </c>
      <c r="G276" s="6" t="s">
        <v>2220</v>
      </c>
      <c r="H276" s="6" t="str" cm="1">
        <f t="array" ref="H276">IFERROR(INDEX($D$2:$D$554 &amp; " ($" &amp; TEXT($E$2:$E$554, "#,##0.00") &amp; ")", SMALL(IF($A$2:$A$554=$G276, ROW($D$2:$D$554)-ROW($D$2)+1), COLUMN(A276))), "")</f>
        <v>CARWARS STARTER 7500 ($499.00)</v>
      </c>
      <c r="I276" s="6" t="str" cm="1">
        <f t="array" ref="I276">IFERROR(INDEX($D$2:$D$554 &amp; " ($" &amp; TEXT($E$2:$E$554, "#,##0.00") &amp; ")", SMALL(IF($A$2:$A$554=$G276, ROW($D$2:$D$554)-ROW($D$2)+1), COLUMN(B276))), "")</f>
        <v>CARWARS TEXTING (STARTER/ADVANCED) ($249.00)</v>
      </c>
      <c r="J276" s="6" t="str" cm="1">
        <f t="array" ref="J276">IFERROR(INDEX($D$2:$D$554 &amp; " ($" &amp; TEXT($E$2:$E$554, "#,##0.00") &amp; ")", SMALL(IF($A$2:$A$554=$G276, ROW($D$2:$D$554)-ROW($D$2)+1), COLUMN(C276))), "")</f>
        <v/>
      </c>
    </row>
    <row r="277" spans="1:10" x14ac:dyDescent="0.35">
      <c r="A277" s="6" t="s">
        <v>2188</v>
      </c>
      <c r="B277" s="6" t="s">
        <v>213</v>
      </c>
      <c r="C277" s="6" t="s">
        <v>48</v>
      </c>
      <c r="D277" s="6" t="s">
        <v>49</v>
      </c>
      <c r="E277" s="11">
        <v>200.93</v>
      </c>
      <c r="G277" s="6" t="s">
        <v>1182</v>
      </c>
      <c r="H277" s="6" t="str" cm="1">
        <f t="array" ref="H277">IFERROR(INDEX($D$2:$D$554 &amp; " ($" &amp; TEXT($E$2:$E$554, "#,##0.00") &amp; ")", SMALL(IF($A$2:$A$554=$G277, ROW($D$2:$D$554)-ROW($D$2)+1), COLUMN(A277))), "")</f>
        <v>CRM OUTBOUND TELEPHONY TRACKING (NEW AND CONVERSION) ($445.73)</v>
      </c>
      <c r="I277" s="6" t="str" cm="1">
        <f t="array" ref="I277">IFERROR(INDEX($D$2:$D$554 &amp; " ($" &amp; TEXT($E$2:$E$554, "#,##0.00") &amp; ")", SMALL(IF($A$2:$A$554=$G277, ROW($D$2:$D$554)-ROW($D$2)+1), COLUMN(B277))), "")</f>
        <v/>
      </c>
      <c r="J277" s="6" t="str" cm="1">
        <f t="array" ref="J277">IFERROR(INDEX($D$2:$D$554 &amp; " ($" &amp; TEXT($E$2:$E$554, "#,##0.00") &amp; ")", SMALL(IF($A$2:$A$554=$G277, ROW($D$2:$D$554)-ROW($D$2)+1), COLUMN(C277))), "")</f>
        <v/>
      </c>
    </row>
    <row r="278" spans="1:10" x14ac:dyDescent="0.35">
      <c r="A278" s="6" t="s">
        <v>2189</v>
      </c>
      <c r="B278" s="6" t="s">
        <v>202</v>
      </c>
      <c r="C278" s="6" t="s">
        <v>48</v>
      </c>
      <c r="D278" s="6" t="s">
        <v>49</v>
      </c>
      <c r="E278" s="11">
        <v>200.93</v>
      </c>
      <c r="G278" s="6" t="s">
        <v>2221</v>
      </c>
      <c r="H278" s="6" t="str" cm="1">
        <f t="array" ref="H278">IFERROR(INDEX($D$2:$D$554 &amp; " ($" &amp; TEXT($E$2:$E$554, "#,##0.00") &amp; ")", SMALL(IF($A$2:$A$554=$G278, ROW($D$2:$D$554)-ROW($D$2)+1), COLUMN(A278))), "")</f>
        <v>CARWARS STARTER 3500 ($350.37)</v>
      </c>
      <c r="I278" s="6" t="str" cm="1">
        <f t="array" ref="I278">IFERROR(INDEX($D$2:$D$554 &amp; " ($" &amp; TEXT($E$2:$E$554, "#,##0.00") &amp; ")", SMALL(IF($A$2:$A$554=$G278, ROW($D$2:$D$554)-ROW($D$2)+1), COLUMN(B278))), "")</f>
        <v/>
      </c>
      <c r="J278" s="6" t="str" cm="1">
        <f t="array" ref="J278">IFERROR(INDEX($D$2:$D$554 &amp; " ($" &amp; TEXT($E$2:$E$554, "#,##0.00") &amp; ")", SMALL(IF($A$2:$A$554=$G278, ROW($D$2:$D$554)-ROW($D$2)+1), COLUMN(C278))), "")</f>
        <v/>
      </c>
    </row>
    <row r="279" spans="1:10" x14ac:dyDescent="0.35">
      <c r="A279" s="6" t="s">
        <v>2190</v>
      </c>
      <c r="B279" s="6" t="s">
        <v>523</v>
      </c>
      <c r="C279" s="6" t="s">
        <v>35</v>
      </c>
      <c r="D279" s="6" t="s">
        <v>36</v>
      </c>
      <c r="E279" s="11">
        <v>499</v>
      </c>
      <c r="G279" s="6" t="s">
        <v>1173</v>
      </c>
      <c r="H279" s="6" t="str" cm="1">
        <f t="array" ref="H279">IFERROR(INDEX($D$2:$D$554 &amp; " ($" &amp; TEXT($E$2:$E$554, "#,##0.00") &amp; ")", SMALL(IF($A$2:$A$554=$G279, ROW($D$2:$D$554)-ROW($D$2)+1), COLUMN(A279))), "")</f>
        <v>CRM OUTBOUND TELEPHONY TRACKING (NEW AND CONVERSION) ($445.73)</v>
      </c>
      <c r="I279" s="6" t="str" cm="1">
        <f t="array" ref="I279">IFERROR(INDEX($D$2:$D$554 &amp; " ($" &amp; TEXT($E$2:$E$554, "#,##0.00") &amp; ")", SMALL(IF($A$2:$A$554=$G279, ROW($D$2:$D$554)-ROW($D$2)+1), COLUMN(B279))), "")</f>
        <v/>
      </c>
      <c r="J279" s="6" t="str" cm="1">
        <f t="array" ref="J279">IFERROR(INDEX($D$2:$D$554 &amp; " ($" &amp; TEXT($E$2:$E$554, "#,##0.00") &amp; ")", SMALL(IF($A$2:$A$554=$G279, ROW($D$2:$D$554)-ROW($D$2)+1), COLUMN(C279))), "")</f>
        <v/>
      </c>
    </row>
    <row r="280" spans="1:10" x14ac:dyDescent="0.35">
      <c r="A280" s="6" t="s">
        <v>1066</v>
      </c>
      <c r="B280" s="6" t="s">
        <v>1067</v>
      </c>
      <c r="C280" s="6" t="s">
        <v>1526</v>
      </c>
      <c r="D280" s="6" t="s">
        <v>971</v>
      </c>
      <c r="E280" s="11">
        <v>1053.45</v>
      </c>
      <c r="G280" s="6" t="s">
        <v>2222</v>
      </c>
      <c r="H280" s="6" t="str" cm="1">
        <f t="array" ref="H280">IFERROR(INDEX($D$2:$D$554 &amp; " ($" &amp; TEXT($E$2:$E$554, "#,##0.00") &amp; ")", SMALL(IF($A$2:$A$554=$G280, ROW($D$2:$D$554)-ROW($D$2)+1), COLUMN(A280))), "")</f>
        <v>CARWARS ELITE 12,500 PACKAGE ($1,499.00)</v>
      </c>
      <c r="I280" s="6" t="str" cm="1">
        <f t="array" ref="I280">IFERROR(INDEX($D$2:$D$554 &amp; " ($" &amp; TEXT($E$2:$E$554, "#,##0.00") &amp; ")", SMALL(IF($A$2:$A$554=$G280, ROW($D$2:$D$554)-ROW($D$2)+1), COLUMN(B280))), "")</f>
        <v/>
      </c>
      <c r="J280" s="6" t="str" cm="1">
        <f t="array" ref="J280">IFERROR(INDEX($D$2:$D$554 &amp; " ($" &amp; TEXT($E$2:$E$554, "#,##0.00") &amp; ")", SMALL(IF($A$2:$A$554=$G280, ROW($D$2:$D$554)-ROW($D$2)+1), COLUMN(C280))), "")</f>
        <v/>
      </c>
    </row>
    <row r="281" spans="1:10" x14ac:dyDescent="0.35">
      <c r="A281" s="6" t="s">
        <v>2191</v>
      </c>
      <c r="B281" s="6" t="s">
        <v>368</v>
      </c>
      <c r="C281" s="6" t="s">
        <v>48</v>
      </c>
      <c r="D281" s="6" t="s">
        <v>49</v>
      </c>
      <c r="E281" s="11">
        <v>350.38</v>
      </c>
      <c r="G281" s="6" t="s">
        <v>2223</v>
      </c>
      <c r="H281" s="6" t="str" cm="1">
        <f t="array" ref="H281">IFERROR(INDEX($D$2:$D$554 &amp; " ($" &amp; TEXT($E$2:$E$554, "#,##0.00") &amp; ")", SMALL(IF($A$2:$A$554=$G281, ROW($D$2:$D$554)-ROW($D$2)+1), COLUMN(A281))), "")</f>
        <v>CARWARS PREMIUM SALES ($1,386.75)</v>
      </c>
      <c r="I281" s="6" t="str" cm="1">
        <f t="array" ref="I281">IFERROR(INDEX($D$2:$D$554 &amp; " ($" &amp; TEXT($E$2:$E$554, "#,##0.00") &amp; ")", SMALL(IF($A$2:$A$554=$G281, ROW($D$2:$D$554)-ROW($D$2)+1), COLUMN(B281))), "")</f>
        <v/>
      </c>
      <c r="J281" s="6" t="str" cm="1">
        <f t="array" ref="J281">IFERROR(INDEX($D$2:$D$554 &amp; " ($" &amp; TEXT($E$2:$E$554, "#,##0.00") &amp; ")", SMALL(IF($A$2:$A$554=$G281, ROW($D$2:$D$554)-ROW($D$2)+1), COLUMN(C281))), "")</f>
        <v/>
      </c>
    </row>
    <row r="282" spans="1:10" x14ac:dyDescent="0.35">
      <c r="A282" s="6" t="s">
        <v>2192</v>
      </c>
      <c r="B282" s="6" t="s">
        <v>812</v>
      </c>
      <c r="C282" s="6" t="s">
        <v>35</v>
      </c>
      <c r="D282" s="6" t="s">
        <v>36</v>
      </c>
      <c r="E282" s="11">
        <v>371.36</v>
      </c>
      <c r="G282" s="6" t="s">
        <v>2224</v>
      </c>
      <c r="H282" s="6" t="str" cm="1">
        <f t="array" ref="H282">IFERROR(INDEX($D$2:$D$554 &amp; " ($" &amp; TEXT($E$2:$E$554, "#,##0.00") &amp; ")", SMALL(IF($A$2:$A$554=$G282, ROW($D$2:$D$554)-ROW($D$2)+1), COLUMN(A282))), "")</f>
        <v>CARWARS ELITE 12,500 PACKAGE ($1,756.53)</v>
      </c>
      <c r="I282" s="6" t="str" cm="1">
        <f t="array" ref="I282">IFERROR(INDEX($D$2:$D$554 &amp; " ($" &amp; TEXT($E$2:$E$554, "#,##0.00") &amp; ")", SMALL(IF($A$2:$A$554=$G282, ROW($D$2:$D$554)-ROW($D$2)+1), COLUMN(B282))), "")</f>
        <v/>
      </c>
      <c r="J282" s="6" t="str" cm="1">
        <f t="array" ref="J282">IFERROR(INDEX($D$2:$D$554 &amp; " ($" &amp; TEXT($E$2:$E$554, "#,##0.00") &amp; ")", SMALL(IF($A$2:$A$554=$G282, ROW($D$2:$D$554)-ROW($D$2)+1), COLUMN(C282))), "")</f>
        <v/>
      </c>
    </row>
    <row r="283" spans="1:10" x14ac:dyDescent="0.35">
      <c r="A283" s="6" t="s">
        <v>2193</v>
      </c>
      <c r="B283" s="6" t="s">
        <v>172</v>
      </c>
      <c r="C283" s="6" t="s">
        <v>1870</v>
      </c>
      <c r="D283" s="6" t="s">
        <v>1871</v>
      </c>
      <c r="E283" s="11">
        <v>999</v>
      </c>
      <c r="G283" s="6" t="s">
        <v>2225</v>
      </c>
      <c r="H283" s="6" t="str" cm="1">
        <f t="array" ref="H283">IFERROR(INDEX($D$2:$D$554 &amp; " ($" &amp; TEXT($E$2:$E$554, "#,##0.00") &amp; ")", SMALL(IF($A$2:$A$554=$G283, ROW($D$2:$D$554)-ROW($D$2)+1), COLUMN(A283))), "")</f>
        <v>CRM OUTBOUND TELEPHONY TRACKING (NEW AND CONVERSION) ($619.46)</v>
      </c>
      <c r="I283" s="6" t="str" cm="1">
        <f t="array" ref="I283">IFERROR(INDEX($D$2:$D$554 &amp; " ($" &amp; TEXT($E$2:$E$554, "#,##0.00") &amp; ")", SMALL(IF($A$2:$A$554=$G283, ROW($D$2:$D$554)-ROW($D$2)+1), COLUMN(B283))), "")</f>
        <v/>
      </c>
      <c r="J283" s="6" t="str" cm="1">
        <f t="array" ref="J283">IFERROR(INDEX($D$2:$D$554 &amp; " ($" &amp; TEXT($E$2:$E$554, "#,##0.00") &amp; ")", SMALL(IF($A$2:$A$554=$G283, ROW($D$2:$D$554)-ROW($D$2)+1), COLUMN(C283))), "")</f>
        <v/>
      </c>
    </row>
    <row r="284" spans="1:10" x14ac:dyDescent="0.35">
      <c r="A284" s="6" t="s">
        <v>1443</v>
      </c>
      <c r="B284" s="6" t="s">
        <v>1444</v>
      </c>
      <c r="C284" s="6" t="s">
        <v>35</v>
      </c>
      <c r="D284" s="6" t="s">
        <v>36</v>
      </c>
      <c r="E284" s="11">
        <v>1177.28</v>
      </c>
      <c r="G284" s="6" t="s">
        <v>2226</v>
      </c>
      <c r="H284" s="6" t="str" cm="1">
        <f t="array" ref="H284">IFERROR(INDEX($D$2:$D$554 &amp; " ($" &amp; TEXT($E$2:$E$554, "#,##0.00") &amp; ")", SMALL(IF($A$2:$A$554=$G284, ROW($D$2:$D$554)-ROW($D$2)+1), COLUMN(A284))), "")</f>
        <v>CRM OUTBOUND TELEPHONY TRACKING (NEW AND CONVERSION) ($2,914.82)</v>
      </c>
      <c r="I284" s="6" t="str" cm="1">
        <f t="array" ref="I284">IFERROR(INDEX($D$2:$D$554 &amp; " ($" &amp; TEXT($E$2:$E$554, "#,##0.00") &amp; ")", SMALL(IF($A$2:$A$554=$G284, ROW($D$2:$D$554)-ROW($D$2)+1), COLUMN(B284))), "")</f>
        <v/>
      </c>
      <c r="J284" s="6" t="str" cm="1">
        <f t="array" ref="J284">IFERROR(INDEX($D$2:$D$554 &amp; " ($" &amp; TEXT($E$2:$E$554, "#,##0.00") &amp; ")", SMALL(IF($A$2:$A$554=$G284, ROW($D$2:$D$554)-ROW($D$2)+1), COLUMN(C284))), "")</f>
        <v/>
      </c>
    </row>
    <row r="285" spans="1:10" x14ac:dyDescent="0.35">
      <c r="A285" s="6" t="s">
        <v>2194</v>
      </c>
      <c r="B285" s="6" t="s">
        <v>269</v>
      </c>
      <c r="C285" s="6" t="s">
        <v>42</v>
      </c>
      <c r="D285" s="6" t="s">
        <v>43</v>
      </c>
      <c r="E285" s="11">
        <v>1386.75</v>
      </c>
      <c r="G285" s="6" t="s">
        <v>1191</v>
      </c>
      <c r="H285" s="6" t="str" cm="1">
        <f t="array" ref="H285">IFERROR(INDEX($D$2:$D$554 &amp; " ($" &amp; TEXT($E$2:$E$554, "#,##0.00") &amp; ")", SMALL(IF($A$2:$A$554=$G285, ROW($D$2:$D$554)-ROW($D$2)+1), COLUMN(A285))), "")</f>
        <v>CRM OUTBOUND TELEPHONY TRACKING (NEW AND CONVERSION) ($445.73)</v>
      </c>
      <c r="I285" s="6" t="str" cm="1">
        <f t="array" ref="I285">IFERROR(INDEX($D$2:$D$554 &amp; " ($" &amp; TEXT($E$2:$E$554, "#,##0.00") &amp; ")", SMALL(IF($A$2:$A$554=$G285, ROW($D$2:$D$554)-ROW($D$2)+1), COLUMN(B285))), "")</f>
        <v/>
      </c>
      <c r="J285" s="6" t="str" cm="1">
        <f t="array" ref="J285">IFERROR(INDEX($D$2:$D$554 &amp; " ($" &amp; TEXT($E$2:$E$554, "#,##0.00") &amp; ")", SMALL(IF($A$2:$A$554=$G285, ROW($D$2:$D$554)-ROW($D$2)+1), COLUMN(C285))), "")</f>
        <v/>
      </c>
    </row>
    <row r="286" spans="1:10" x14ac:dyDescent="0.35">
      <c r="A286" s="6" t="s">
        <v>2195</v>
      </c>
      <c r="B286" s="6" t="s">
        <v>880</v>
      </c>
      <c r="C286" s="6" t="s">
        <v>35</v>
      </c>
      <c r="D286" s="6" t="s">
        <v>36</v>
      </c>
      <c r="E286" s="11">
        <v>371.18</v>
      </c>
      <c r="G286" s="6" t="s">
        <v>2227</v>
      </c>
      <c r="H286" s="6" t="str" cm="1">
        <f t="array" ref="H286">IFERROR(INDEX($D$2:$D$554 &amp; " ($" &amp; TEXT($E$2:$E$554, "#,##0.00") &amp; ")", SMALL(IF($A$2:$A$554=$G286, ROW($D$2:$D$554)-ROW($D$2)+1), COLUMN(A286))), "")</f>
        <v>CARWARS PREMIUM SALES ($1,386.75)</v>
      </c>
      <c r="I286" s="6" t="str" cm="1">
        <f t="array" ref="I286">IFERROR(INDEX($D$2:$D$554 &amp; " ($" &amp; TEXT($E$2:$E$554, "#,##0.00") &amp; ")", SMALL(IF($A$2:$A$554=$G286, ROW($D$2:$D$554)-ROW($D$2)+1), COLUMN(B286))), "")</f>
        <v>CRM TELEPHONY TRACKING ($100.00)</v>
      </c>
      <c r="J286" s="6" t="str" cm="1">
        <f t="array" ref="J286">IFERROR(INDEX($D$2:$D$554 &amp; " ($" &amp; TEXT($E$2:$E$554, "#,##0.00") &amp; ")", SMALL(IF($A$2:$A$554=$G286, ROW($D$2:$D$554)-ROW($D$2)+1), COLUMN(C286))), "")</f>
        <v/>
      </c>
    </row>
    <row r="287" spans="1:10" x14ac:dyDescent="0.35">
      <c r="A287" s="6" t="s">
        <v>2196</v>
      </c>
      <c r="B287" s="6" t="s">
        <v>521</v>
      </c>
      <c r="C287" s="6" t="s">
        <v>35</v>
      </c>
      <c r="D287" s="6" t="s">
        <v>36</v>
      </c>
      <c r="E287" s="11">
        <v>499</v>
      </c>
      <c r="G287" s="6" t="s">
        <v>1451</v>
      </c>
      <c r="H287" s="6" t="str" cm="1">
        <f t="array" ref="H287">IFERROR(INDEX($D$2:$D$554 &amp; " ($" &amp; TEXT($E$2:$E$554, "#,##0.00") &amp; ")", SMALL(IF($A$2:$A$554=$G287, ROW($D$2:$D$554)-ROW($D$2)+1), COLUMN(A287))), "")</f>
        <v>CRM OUTBOUND TELEPHONY TRACKING (NEW AND CONVERSION) ($445.73)</v>
      </c>
      <c r="I287" s="6" t="str" cm="1">
        <f t="array" ref="I287">IFERROR(INDEX($D$2:$D$554 &amp; " ($" &amp; TEXT($E$2:$E$554, "#,##0.00") &amp; ")", SMALL(IF($A$2:$A$554=$G287, ROW($D$2:$D$554)-ROW($D$2)+1), COLUMN(B287))), "")</f>
        <v/>
      </c>
      <c r="J287" s="6" t="str" cm="1">
        <f t="array" ref="J287">IFERROR(INDEX($D$2:$D$554 &amp; " ($" &amp; TEXT($E$2:$E$554, "#,##0.00") &amp; ")", SMALL(IF($A$2:$A$554=$G287, ROW($D$2:$D$554)-ROW($D$2)+1), COLUMN(C287))), "")</f>
        <v/>
      </c>
    </row>
    <row r="288" spans="1:10" x14ac:dyDescent="0.35">
      <c r="A288" s="6" t="s">
        <v>2197</v>
      </c>
      <c r="B288" s="6" t="s">
        <v>945</v>
      </c>
      <c r="C288" s="6" t="s">
        <v>35</v>
      </c>
      <c r="D288" s="6" t="s">
        <v>36</v>
      </c>
      <c r="E288" s="11">
        <v>998</v>
      </c>
      <c r="G288" s="6" t="s">
        <v>1194</v>
      </c>
      <c r="H288" s="6" t="str" cm="1">
        <f t="array" ref="H288">IFERROR(INDEX($D$2:$D$554 &amp; " ($" &amp; TEXT($E$2:$E$554, "#,##0.00") &amp; ")", SMALL(IF($A$2:$A$554=$G288, ROW($D$2:$D$554)-ROW($D$2)+1), COLUMN(A288))), "")</f>
        <v>CRM OUTBOUND TELEPHONY TRACKING (NEW AND CONVERSION) ($445.73)</v>
      </c>
      <c r="I288" s="6" t="str" cm="1">
        <f t="array" ref="I288">IFERROR(INDEX($D$2:$D$554 &amp; " ($" &amp; TEXT($E$2:$E$554, "#,##0.00") &amp; ")", SMALL(IF($A$2:$A$554=$G288, ROW($D$2:$D$554)-ROW($D$2)+1), COLUMN(B288))), "")</f>
        <v/>
      </c>
      <c r="J288" s="6" t="str" cm="1">
        <f t="array" ref="J288">IFERROR(INDEX($D$2:$D$554 &amp; " ($" &amp; TEXT($E$2:$E$554, "#,##0.00") &amp; ")", SMALL(IF($A$2:$A$554=$G288, ROW($D$2:$D$554)-ROW($D$2)+1), COLUMN(C288))), "")</f>
        <v/>
      </c>
    </row>
    <row r="289" spans="1:10" x14ac:dyDescent="0.35">
      <c r="A289" s="6" t="s">
        <v>2198</v>
      </c>
      <c r="B289" s="6" t="s">
        <v>465</v>
      </c>
      <c r="C289" s="6" t="s">
        <v>35</v>
      </c>
      <c r="D289" s="6" t="s">
        <v>36</v>
      </c>
      <c r="E289" s="11">
        <v>499</v>
      </c>
      <c r="G289" s="6" t="s">
        <v>2228</v>
      </c>
      <c r="H289" s="6" t="str" cm="1">
        <f t="array" ref="H289">IFERROR(INDEX($D$2:$D$554 &amp; " ($" &amp; TEXT($E$2:$E$554, "#,##0.00") &amp; ")", SMALL(IF($A$2:$A$554=$G289, ROW($D$2:$D$554)-ROW($D$2)+1), COLUMN(A289))), "")</f>
        <v>CARWARS ELITE 12,500 PACKAGE ($1,499.00)</v>
      </c>
      <c r="I289" s="6" t="str" cm="1">
        <f t="array" ref="I289">IFERROR(INDEX($D$2:$D$554 &amp; " ($" &amp; TEXT($E$2:$E$554, "#,##0.00") &amp; ")", SMALL(IF($A$2:$A$554=$G289, ROW($D$2:$D$554)-ROW($D$2)+1), COLUMN(B289))), "")</f>
        <v/>
      </c>
      <c r="J289" s="6" t="str" cm="1">
        <f t="array" ref="J289">IFERROR(INDEX($D$2:$D$554 &amp; " ($" &amp; TEXT($E$2:$E$554, "#,##0.00") &amp; ")", SMALL(IF($A$2:$A$554=$G289, ROW($D$2:$D$554)-ROW($D$2)+1), COLUMN(C289))), "")</f>
        <v/>
      </c>
    </row>
    <row r="290" spans="1:10" x14ac:dyDescent="0.35">
      <c r="A290" s="6" t="s">
        <v>2199</v>
      </c>
      <c r="B290" s="6" t="s">
        <v>531</v>
      </c>
      <c r="C290" s="6" t="s">
        <v>35</v>
      </c>
      <c r="D290" s="6" t="s">
        <v>36</v>
      </c>
      <c r="E290" s="11">
        <v>499</v>
      </c>
      <c r="G290" s="6" t="s">
        <v>2229</v>
      </c>
      <c r="H290" s="6" t="str" cm="1">
        <f t="array" ref="H290">IFERROR(INDEX($D$2:$D$554 &amp; " ($" &amp; TEXT($E$2:$E$554, "#,##0.00") &amp; ")", SMALL(IF($A$2:$A$554=$G290, ROW($D$2:$D$554)-ROW($D$2)+1), COLUMN(A290))), "")</f>
        <v>CARWARS STARTER 3500 ($350.37)</v>
      </c>
      <c r="I290" s="6" t="str" cm="1">
        <f t="array" ref="I290">IFERROR(INDEX($D$2:$D$554 &amp; " ($" &amp; TEXT($E$2:$E$554, "#,##0.00") &amp; ")", SMALL(IF($A$2:$A$554=$G290, ROW($D$2:$D$554)-ROW($D$2)+1), COLUMN(B290))), "")</f>
        <v/>
      </c>
      <c r="J290" s="6" t="str" cm="1">
        <f t="array" ref="J290">IFERROR(INDEX($D$2:$D$554 &amp; " ($" &amp; TEXT($E$2:$E$554, "#,##0.00") &amp; ")", SMALL(IF($A$2:$A$554=$G290, ROW($D$2:$D$554)-ROW($D$2)+1), COLUMN(C290))), "")</f>
        <v/>
      </c>
    </row>
    <row r="291" spans="1:10" x14ac:dyDescent="0.35">
      <c r="A291" s="6" t="s">
        <v>2200</v>
      </c>
      <c r="B291" s="6" t="s">
        <v>527</v>
      </c>
      <c r="C291" s="6" t="s">
        <v>35</v>
      </c>
      <c r="D291" s="6" t="s">
        <v>36</v>
      </c>
      <c r="E291" s="11">
        <v>499</v>
      </c>
      <c r="G291" s="6" t="s">
        <v>2230</v>
      </c>
      <c r="H291" s="6" t="str" cm="1">
        <f t="array" ref="H291">IFERROR(INDEX($D$2:$D$554 &amp; " ($" &amp; TEXT($E$2:$E$554, "#,##0.00") &amp; ")", SMALL(IF($A$2:$A$554=$G291, ROW($D$2:$D$554)-ROW($D$2)+1), COLUMN(A291))), "")</f>
        <v>CARWARS STARTER 7500 ($528.64)</v>
      </c>
      <c r="I291" s="6" t="str" cm="1">
        <f t="array" ref="I291">IFERROR(INDEX($D$2:$D$554 &amp; " ($" &amp; TEXT($E$2:$E$554, "#,##0.00") &amp; ")", SMALL(IF($A$2:$A$554=$G291, ROW($D$2:$D$554)-ROW($D$2)+1), COLUMN(B291))), "")</f>
        <v/>
      </c>
      <c r="J291" s="6" t="str" cm="1">
        <f t="array" ref="J291">IFERROR(INDEX($D$2:$D$554 &amp; " ($" &amp; TEXT($E$2:$E$554, "#,##0.00") &amp; ")", SMALL(IF($A$2:$A$554=$G291, ROW($D$2:$D$554)-ROW($D$2)+1), COLUMN(C291))), "")</f>
        <v/>
      </c>
    </row>
    <row r="292" spans="1:10" x14ac:dyDescent="0.35">
      <c r="A292" s="6" t="s">
        <v>2201</v>
      </c>
      <c r="B292" s="6" t="s">
        <v>525</v>
      </c>
      <c r="C292" s="6" t="s">
        <v>35</v>
      </c>
      <c r="D292" s="6" t="s">
        <v>36</v>
      </c>
      <c r="E292" s="11">
        <v>499</v>
      </c>
      <c r="G292" s="6" t="s">
        <v>2231</v>
      </c>
      <c r="H292" s="6" t="str" cm="1">
        <f t="array" ref="H292">IFERROR(INDEX($D$2:$D$554 &amp; " ($" &amp; TEXT($E$2:$E$554, "#,##0.00") &amp; ")", SMALL(IF($A$2:$A$554=$G292, ROW($D$2:$D$554)-ROW($D$2)+1), COLUMN(A292))), "")</f>
        <v>CARWARS PREMIUM SALES ($1,386.75)</v>
      </c>
      <c r="I292" s="6" t="str" cm="1">
        <f t="array" ref="I292">IFERROR(INDEX($D$2:$D$554 &amp; " ($" &amp; TEXT($E$2:$E$554, "#,##0.00") &amp; ")", SMALL(IF($A$2:$A$554=$G292, ROW($D$2:$D$554)-ROW($D$2)+1), COLUMN(B292))), "")</f>
        <v/>
      </c>
      <c r="J292" s="6" t="str" cm="1">
        <f t="array" ref="J292">IFERROR(INDEX($D$2:$D$554 &amp; " ($" &amp; TEXT($E$2:$E$554, "#,##0.00") &amp; ")", SMALL(IF($A$2:$A$554=$G292, ROW($D$2:$D$554)-ROW($D$2)+1), COLUMN(C292))), "")</f>
        <v/>
      </c>
    </row>
    <row r="293" spans="1:10" x14ac:dyDescent="0.35">
      <c r="A293" s="6" t="s">
        <v>2202</v>
      </c>
      <c r="B293" s="6" t="s">
        <v>245</v>
      </c>
      <c r="C293" s="6" t="s">
        <v>35</v>
      </c>
      <c r="D293" s="6" t="s">
        <v>36</v>
      </c>
      <c r="E293" s="11">
        <v>499</v>
      </c>
      <c r="G293" s="6" t="s">
        <v>2232</v>
      </c>
      <c r="H293" s="6" t="str" cm="1">
        <f t="array" ref="H293">IFERROR(INDEX($D$2:$D$554 &amp; " ($" &amp; TEXT($E$2:$E$554, "#,##0.00") &amp; ")", SMALL(IF($A$2:$A$554=$G293, ROW($D$2:$D$554)-ROW($D$2)+1), COLUMN(A293))), "")</f>
        <v>CARWARS STARTER UNLIMITED (FOR PHONE SYSTEMS) ($799.00)</v>
      </c>
      <c r="I293" s="6" t="str" cm="1">
        <f t="array" ref="I293">IFERROR(INDEX($D$2:$D$554 &amp; " ($" &amp; TEXT($E$2:$E$554, "#,##0.00") &amp; ")", SMALL(IF($A$2:$A$554=$G293, ROW($D$2:$D$554)-ROW($D$2)+1), COLUMN(B293))), "")</f>
        <v/>
      </c>
      <c r="J293" s="6" t="str" cm="1">
        <f t="array" ref="J293">IFERROR(INDEX($D$2:$D$554 &amp; " ($" &amp; TEXT($E$2:$E$554, "#,##0.00") &amp; ")", SMALL(IF($A$2:$A$554=$G293, ROW($D$2:$D$554)-ROW($D$2)+1), COLUMN(C293))), "")</f>
        <v/>
      </c>
    </row>
    <row r="294" spans="1:10" x14ac:dyDescent="0.35">
      <c r="A294" s="6" t="s">
        <v>2203</v>
      </c>
      <c r="B294" s="6" t="s">
        <v>529</v>
      </c>
      <c r="C294" s="6" t="s">
        <v>35</v>
      </c>
      <c r="D294" s="6" t="s">
        <v>36</v>
      </c>
      <c r="E294" s="11">
        <v>499</v>
      </c>
      <c r="G294" s="6" t="s">
        <v>1054</v>
      </c>
      <c r="H294" s="6" t="str" cm="1">
        <f t="array" ref="H294">IFERROR(INDEX($D$2:$D$554 &amp; " ($" &amp; TEXT($E$2:$E$554, "#,##0.00") &amp; ")", SMALL(IF($A$2:$A$554=$G294, ROW($D$2:$D$554)-ROW($D$2)+1), COLUMN(A294))), "")</f>
        <v>CAR WARS CUSTOM PACKAGE--VICTORY AUTO ($1,053.45)</v>
      </c>
      <c r="I294" s="6" t="str" cm="1">
        <f t="array" ref="I294">IFERROR(INDEX($D$2:$D$554 &amp; " ($" &amp; TEXT($E$2:$E$554, "#,##0.00") &amp; ")", SMALL(IF($A$2:$A$554=$G294, ROW($D$2:$D$554)-ROW($D$2)+1), COLUMN(B294))), "")</f>
        <v/>
      </c>
      <c r="J294" s="6" t="str" cm="1">
        <f t="array" ref="J294">IFERROR(INDEX($D$2:$D$554 &amp; " ($" &amp; TEXT($E$2:$E$554, "#,##0.00") &amp; ")", SMALL(IF($A$2:$A$554=$G294, ROW($D$2:$D$554)-ROW($D$2)+1), COLUMN(C294))), "")</f>
        <v/>
      </c>
    </row>
    <row r="295" spans="1:10" x14ac:dyDescent="0.35">
      <c r="A295" s="6" t="s">
        <v>2204</v>
      </c>
      <c r="B295" s="6" t="s">
        <v>511</v>
      </c>
      <c r="C295" s="6" t="s">
        <v>74</v>
      </c>
      <c r="D295" s="6" t="s">
        <v>75</v>
      </c>
      <c r="E295" s="11">
        <v>499</v>
      </c>
      <c r="G295" s="6" t="s">
        <v>2233</v>
      </c>
      <c r="H295" s="6" t="str" cm="1">
        <f t="array" ref="H295">IFERROR(INDEX($D$2:$D$554 &amp; " ($" &amp; TEXT($E$2:$E$554, "#,##0.00") &amp; ")", SMALL(IF($A$2:$A$554=$G295, ROW($D$2:$D$554)-ROW($D$2)+1), COLUMN(A295))), "")</f>
        <v>CRM OUTBOUND TELEPHONY TRACKING (NEW AND CONVERSION) ($995.00)</v>
      </c>
      <c r="I295" s="6" t="str" cm="1">
        <f t="array" ref="I295">IFERROR(INDEX($D$2:$D$554 &amp; " ($" &amp; TEXT($E$2:$E$554, "#,##0.00") &amp; ")", SMALL(IF($A$2:$A$554=$G295, ROW($D$2:$D$554)-ROW($D$2)+1), COLUMN(B295))), "")</f>
        <v/>
      </c>
      <c r="J295" s="6" t="str" cm="1">
        <f t="array" ref="J295">IFERROR(INDEX($D$2:$D$554 &amp; " ($" &amp; TEXT($E$2:$E$554, "#,##0.00") &amp; ")", SMALL(IF($A$2:$A$554=$G295, ROW($D$2:$D$554)-ROW($D$2)+1), COLUMN(C295))), "")</f>
        <v/>
      </c>
    </row>
    <row r="296" spans="1:10" x14ac:dyDescent="0.35">
      <c r="A296" s="6" t="s">
        <v>2205</v>
      </c>
      <c r="B296" s="6" t="s">
        <v>867</v>
      </c>
      <c r="C296" s="6" t="s">
        <v>2037</v>
      </c>
      <c r="D296" s="6" t="s">
        <v>2038</v>
      </c>
      <c r="E296" s="11">
        <v>3700.63</v>
      </c>
      <c r="G296" s="6" t="s">
        <v>1310</v>
      </c>
      <c r="H296" s="6" t="str" cm="1">
        <f t="array" ref="H296">IFERROR(INDEX($D$2:$D$554 &amp; " ($" &amp; TEXT($E$2:$E$554, "#,##0.00") &amp; ")", SMALL(IF($A$2:$A$554=$G296, ROW($D$2:$D$554)-ROW($D$2)+1), COLUMN(A296))), "")</f>
        <v>CRM OUTBOUND TELEPHONY TRACKING (NEW AND CONVERSION) ($0.00)</v>
      </c>
      <c r="I296" s="6" t="str" cm="1">
        <f t="array" ref="I296">IFERROR(INDEX($D$2:$D$554 &amp; " ($" &amp; TEXT($E$2:$E$554, "#,##0.00") &amp; ")", SMALL(IF($A$2:$A$554=$G296, ROW($D$2:$D$554)-ROW($D$2)+1), COLUMN(B296))), "")</f>
        <v/>
      </c>
      <c r="J296" s="6" t="str" cm="1">
        <f t="array" ref="J296">IFERROR(INDEX($D$2:$D$554 &amp; " ($" &amp; TEXT($E$2:$E$554, "#,##0.00") &amp; ")", SMALL(IF($A$2:$A$554=$G296, ROW($D$2:$D$554)-ROW($D$2)+1), COLUMN(C296))), "")</f>
        <v/>
      </c>
    </row>
    <row r="297" spans="1:10" x14ac:dyDescent="0.35">
      <c r="A297" s="6" t="s">
        <v>2206</v>
      </c>
      <c r="B297" s="6" t="s">
        <v>887</v>
      </c>
      <c r="C297" s="6" t="s">
        <v>97</v>
      </c>
      <c r="D297" s="6" t="s">
        <v>98</v>
      </c>
      <c r="E297" s="11">
        <v>1915.5</v>
      </c>
      <c r="G297" s="6" t="s">
        <v>2234</v>
      </c>
      <c r="H297" s="6" t="str" cm="1">
        <f t="array" ref="H297">IFERROR(INDEX($D$2:$D$554 &amp; " ($" &amp; TEXT($E$2:$E$554, "#,##0.00") &amp; ")", SMALL(IF($A$2:$A$554=$G297, ROW($D$2:$D$554)-ROW($D$2)+1), COLUMN(A297))), "")</f>
        <v>CRM OUTBOUND TELEPHONY TRACKING (NEW AND CONVERSION) ($371.36)</v>
      </c>
      <c r="I297" s="6" t="str" cm="1">
        <f t="array" ref="I297">IFERROR(INDEX($D$2:$D$554 &amp; " ($" &amp; TEXT($E$2:$E$554, "#,##0.00") &amp; ")", SMALL(IF($A$2:$A$554=$G297, ROW($D$2:$D$554)-ROW($D$2)+1), COLUMN(B297))), "")</f>
        <v/>
      </c>
      <c r="J297" s="6" t="str" cm="1">
        <f t="array" ref="J297">IFERROR(INDEX($D$2:$D$554 &amp; " ($" &amp; TEXT($E$2:$E$554, "#,##0.00") &amp; ")", SMALL(IF($A$2:$A$554=$G297, ROW($D$2:$D$554)-ROW($D$2)+1), COLUMN(C297))), "")</f>
        <v/>
      </c>
    </row>
    <row r="298" spans="1:10" x14ac:dyDescent="0.35">
      <c r="A298" s="6" t="s">
        <v>1445</v>
      </c>
      <c r="B298" s="6" t="s">
        <v>1446</v>
      </c>
      <c r="C298" s="6" t="s">
        <v>35</v>
      </c>
      <c r="D298" s="6" t="s">
        <v>36</v>
      </c>
      <c r="E298" s="11">
        <v>241.25</v>
      </c>
      <c r="G298" s="6" t="s">
        <v>2235</v>
      </c>
      <c r="H298" s="6" t="str" cm="1">
        <f t="array" ref="H298">IFERROR(INDEX($D$2:$D$554 &amp; " ($" &amp; TEXT($E$2:$E$554, "#,##0.00") &amp; ")", SMALL(IF($A$2:$A$554=$G298, ROW($D$2:$D$554)-ROW($D$2)+1), COLUMN(A298))), "")</f>
        <v>CRM OUTBOUND TELEPHONY TRACKING (NEW AND CONVERSION) ($299.00)</v>
      </c>
      <c r="I298" s="6" t="str" cm="1">
        <f t="array" ref="I298">IFERROR(INDEX($D$2:$D$554 &amp; " ($" &amp; TEXT($E$2:$E$554, "#,##0.00") &amp; ")", SMALL(IF($A$2:$A$554=$G298, ROW($D$2:$D$554)-ROW($D$2)+1), COLUMN(B298))), "")</f>
        <v/>
      </c>
      <c r="J298" s="6" t="str" cm="1">
        <f t="array" ref="J298">IFERROR(INDEX($D$2:$D$554 &amp; " ($" &amp; TEXT($E$2:$E$554, "#,##0.00") &amp; ")", SMALL(IF($A$2:$A$554=$G298, ROW($D$2:$D$554)-ROW($D$2)+1), COLUMN(C298))), "")</f>
        <v/>
      </c>
    </row>
    <row r="299" spans="1:10" x14ac:dyDescent="0.35">
      <c r="A299" s="6" t="s">
        <v>2207</v>
      </c>
      <c r="B299" s="6" t="s">
        <v>688</v>
      </c>
      <c r="C299" s="6" t="s">
        <v>35</v>
      </c>
      <c r="D299" s="6" t="s">
        <v>36</v>
      </c>
      <c r="E299" s="11">
        <v>1028.97</v>
      </c>
      <c r="G299" s="6" t="s">
        <v>2236</v>
      </c>
      <c r="H299" s="6" t="str" cm="1">
        <f t="array" ref="H299">IFERROR(INDEX($D$2:$D$554 &amp; " ($" &amp; TEXT($E$2:$E$554, "#,##0.00") &amp; ")", SMALL(IF($A$2:$A$554=$G299, ROW($D$2:$D$554)-ROW($D$2)+1), COLUMN(A299))), "")</f>
        <v>CRM OUTBOUND TELEPHONY TRACKING (NEW AND CONVERSION) ($499.00)</v>
      </c>
      <c r="I299" s="6" t="str" cm="1">
        <f t="array" ref="I299">IFERROR(INDEX($D$2:$D$554 &amp; " ($" &amp; TEXT($E$2:$E$554, "#,##0.00") &amp; ")", SMALL(IF($A$2:$A$554=$G299, ROW($D$2:$D$554)-ROW($D$2)+1), COLUMN(B299))), "")</f>
        <v/>
      </c>
      <c r="J299" s="6" t="str" cm="1">
        <f t="array" ref="J299">IFERROR(INDEX($D$2:$D$554 &amp; " ($" &amp; TEXT($E$2:$E$554, "#,##0.00") &amp; ")", SMALL(IF($A$2:$A$554=$G299, ROW($D$2:$D$554)-ROW($D$2)+1), COLUMN(C299))), "")</f>
        <v/>
      </c>
    </row>
    <row r="300" spans="1:10" x14ac:dyDescent="0.35">
      <c r="A300" s="6" t="s">
        <v>2208</v>
      </c>
      <c r="B300" s="6" t="s">
        <v>222</v>
      </c>
      <c r="C300" s="6" t="s">
        <v>35</v>
      </c>
      <c r="D300" s="6" t="s">
        <v>36</v>
      </c>
      <c r="E300" s="11">
        <v>338.2</v>
      </c>
      <c r="G300" s="6" t="s">
        <v>2237</v>
      </c>
      <c r="H300" s="6" t="str" cm="1">
        <f t="array" ref="H300">IFERROR(INDEX($D$2:$D$554 &amp; " ($" &amp; TEXT($E$2:$E$554, "#,##0.00") &amp; ")", SMALL(IF($A$2:$A$554=$G300, ROW($D$2:$D$554)-ROW($D$2)+1), COLUMN(A300))), "")</f>
        <v>CRM OUTBOUND TELEPHONY TRACKING (NEW AND CONVERSION) ($499.00)</v>
      </c>
      <c r="I300" s="6" t="str" cm="1">
        <f t="array" ref="I300">IFERROR(INDEX($D$2:$D$554 &amp; " ($" &amp; TEXT($E$2:$E$554, "#,##0.00") &amp; ")", SMALL(IF($A$2:$A$554=$G300, ROW($D$2:$D$554)-ROW($D$2)+1), COLUMN(B300))), "")</f>
        <v/>
      </c>
      <c r="J300" s="6" t="str" cm="1">
        <f t="array" ref="J300">IFERROR(INDEX($D$2:$D$554 &amp; " ($" &amp; TEXT($E$2:$E$554, "#,##0.00") &amp; ")", SMALL(IF($A$2:$A$554=$G300, ROW($D$2:$D$554)-ROW($D$2)+1), COLUMN(C300))), "")</f>
        <v/>
      </c>
    </row>
    <row r="301" spans="1:10" x14ac:dyDescent="0.35">
      <c r="A301" s="6" t="s">
        <v>2209</v>
      </c>
      <c r="B301" s="6" t="s">
        <v>640</v>
      </c>
      <c r="C301" s="6" t="s">
        <v>48</v>
      </c>
      <c r="D301" s="6" t="s">
        <v>49</v>
      </c>
      <c r="E301" s="11">
        <v>299</v>
      </c>
      <c r="G301" s="6" t="s">
        <v>1453</v>
      </c>
      <c r="H301" s="6" t="str" cm="1">
        <f t="array" ref="H301">IFERROR(INDEX($D$2:$D$554 &amp; " ($" &amp; TEXT($E$2:$E$554, "#,##0.00") &amp; ")", SMALL(IF($A$2:$A$554=$G301, ROW($D$2:$D$554)-ROW($D$2)+1), COLUMN(A301))), "")</f>
        <v>CRM TELEPHONY TRACKING ($0.00)</v>
      </c>
      <c r="I301" s="6" t="str" cm="1">
        <f t="array" ref="I301">IFERROR(INDEX($D$2:$D$554 &amp; " ($" &amp; TEXT($E$2:$E$554, "#,##0.00") &amp; ")", SMALL(IF($A$2:$A$554=$G301, ROW($D$2:$D$554)-ROW($D$2)+1), COLUMN(B301))), "")</f>
        <v/>
      </c>
      <c r="J301" s="6" t="str" cm="1">
        <f t="array" ref="J301">IFERROR(INDEX($D$2:$D$554 &amp; " ($" &amp; TEXT($E$2:$E$554, "#,##0.00") &amp; ")", SMALL(IF($A$2:$A$554=$G301, ROW($D$2:$D$554)-ROW($D$2)+1), COLUMN(C301))), "")</f>
        <v/>
      </c>
    </row>
    <row r="302" spans="1:10" x14ac:dyDescent="0.35">
      <c r="A302" s="6" t="s">
        <v>2210</v>
      </c>
      <c r="B302" s="6" t="s">
        <v>467</v>
      </c>
      <c r="C302" s="6" t="s">
        <v>87</v>
      </c>
      <c r="D302" s="6" t="s">
        <v>88</v>
      </c>
      <c r="E302" s="11">
        <v>489.02</v>
      </c>
      <c r="G302" s="6" t="s">
        <v>2238</v>
      </c>
      <c r="H302" s="6" t="str" cm="1">
        <f t="array" ref="H302">IFERROR(INDEX($D$2:$D$554 &amp; " ($" &amp; TEXT($E$2:$E$554, "#,##0.00") &amp; ")", SMALL(IF($A$2:$A$554=$G302, ROW($D$2:$D$554)-ROW($D$2)+1), COLUMN(A302))), "")</f>
        <v>CRM OUTBOUND TELEPHONY TRACKING (NEW AND CONVERSION) ($499.00)</v>
      </c>
      <c r="I302" s="6" t="str" cm="1">
        <f t="array" ref="I302">IFERROR(INDEX($D$2:$D$554 &amp; " ($" &amp; TEXT($E$2:$E$554, "#,##0.00") &amp; ")", SMALL(IF($A$2:$A$554=$G302, ROW($D$2:$D$554)-ROW($D$2)+1), COLUMN(B302))), "")</f>
        <v/>
      </c>
      <c r="J302" s="6" t="str" cm="1">
        <f t="array" ref="J302">IFERROR(INDEX($D$2:$D$554 &amp; " ($" &amp; TEXT($E$2:$E$554, "#,##0.00") &amp; ")", SMALL(IF($A$2:$A$554=$G302, ROW($D$2:$D$554)-ROW($D$2)+1), COLUMN(C302))), "")</f>
        <v/>
      </c>
    </row>
    <row r="303" spans="1:10" x14ac:dyDescent="0.35">
      <c r="A303" s="6" t="s">
        <v>1151</v>
      </c>
      <c r="B303" s="6" t="s">
        <v>1152</v>
      </c>
      <c r="C303" s="6" t="s">
        <v>35</v>
      </c>
      <c r="D303" s="6" t="s">
        <v>36</v>
      </c>
      <c r="E303" s="11">
        <v>445.73</v>
      </c>
      <c r="G303" s="6" t="s">
        <v>2239</v>
      </c>
      <c r="H303" s="6" t="str" cm="1">
        <f t="array" ref="H303">IFERROR(INDEX($D$2:$D$554 &amp; " ($" &amp; TEXT($E$2:$E$554, "#,##0.00") &amp; ")", SMALL(IF($A$2:$A$554=$G303, ROW($D$2:$D$554)-ROW($D$2)+1), COLUMN(A303))), "")</f>
        <v>CRM OUTBOUND TELEPHONY TRACKING (NEW AND CONVERSION) ($995.00)</v>
      </c>
      <c r="I303" s="6" t="str" cm="1">
        <f t="array" ref="I303">IFERROR(INDEX($D$2:$D$554 &amp; " ($" &amp; TEXT($E$2:$E$554, "#,##0.00") &amp; ")", SMALL(IF($A$2:$A$554=$G303, ROW($D$2:$D$554)-ROW($D$2)+1), COLUMN(B303))), "")</f>
        <v>CARWARS INDEFINITE CALL RECORDINGS ($20.00)</v>
      </c>
      <c r="J303" s="6" t="str" cm="1">
        <f t="array" ref="J303">IFERROR(INDEX($D$2:$D$554 &amp; " ($" &amp; TEXT($E$2:$E$554, "#,##0.00") &amp; ")", SMALL(IF($A$2:$A$554=$G303, ROW($D$2:$D$554)-ROW($D$2)+1), COLUMN(C303))), "")</f>
        <v/>
      </c>
    </row>
    <row r="304" spans="1:10" x14ac:dyDescent="0.35">
      <c r="A304" s="6" t="s">
        <v>2211</v>
      </c>
      <c r="B304" s="6" t="s">
        <v>876</v>
      </c>
      <c r="C304" s="6" t="s">
        <v>35</v>
      </c>
      <c r="D304" s="6" t="s">
        <v>36</v>
      </c>
      <c r="E304" s="11">
        <v>371.18</v>
      </c>
      <c r="G304" s="6" t="s">
        <v>2240</v>
      </c>
      <c r="H304" s="6" t="str" cm="1">
        <f t="array" ref="H304">IFERROR(INDEX($D$2:$D$554 &amp; " ($" &amp; TEXT($E$2:$E$554, "#,##0.00") &amp; ")", SMALL(IF($A$2:$A$554=$G304, ROW($D$2:$D$554)-ROW($D$2)+1), COLUMN(A304))), "")</f>
        <v>CRM OUTBOUND TELEPHONY TRACKING (NEW AND CONVERSION) ($2,800.00)</v>
      </c>
      <c r="I304" s="6" t="str" cm="1">
        <f t="array" ref="I304">IFERROR(INDEX($D$2:$D$554 &amp; " ($" &amp; TEXT($E$2:$E$554, "#,##0.00") &amp; ")", SMALL(IF($A$2:$A$554=$G304, ROW($D$2:$D$554)-ROW($D$2)+1), COLUMN(B304))), "")</f>
        <v/>
      </c>
      <c r="J304" s="6" t="str" cm="1">
        <f t="array" ref="J304">IFERROR(INDEX($D$2:$D$554 &amp; " ($" &amp; TEXT($E$2:$E$554, "#,##0.00") &amp; ")", SMALL(IF($A$2:$A$554=$G304, ROW($D$2:$D$554)-ROW($D$2)+1), COLUMN(C304))), "")</f>
        <v/>
      </c>
    </row>
    <row r="305" spans="1:10" x14ac:dyDescent="0.35">
      <c r="A305" s="6" t="s">
        <v>1057</v>
      </c>
      <c r="B305" s="6" t="s">
        <v>1058</v>
      </c>
      <c r="C305" s="6" t="s">
        <v>1526</v>
      </c>
      <c r="D305" s="6" t="s">
        <v>971</v>
      </c>
      <c r="E305" s="11">
        <v>1053.45</v>
      </c>
      <c r="G305" s="6" t="s">
        <v>2241</v>
      </c>
      <c r="H305" s="6" t="str" cm="1">
        <f t="array" ref="H305">IFERROR(INDEX($D$2:$D$554 &amp; " ($" &amp; TEXT($E$2:$E$554, "#,##0.00") &amp; ")", SMALL(IF($A$2:$A$554=$G305, ROW($D$2:$D$554)-ROW($D$2)+1), COLUMN(A305))), "")</f>
        <v>CRM TELEPHONY TRACKING ($100.00)</v>
      </c>
      <c r="I305" s="6" t="str" cm="1">
        <f t="array" ref="I305">IFERROR(INDEX($D$2:$D$554 &amp; " ($" &amp; TEXT($E$2:$E$554, "#,##0.00") &amp; ")", SMALL(IF($A$2:$A$554=$G305, ROW($D$2:$D$554)-ROW($D$2)+1), COLUMN(B305))), "")</f>
        <v>CARWARS STARTER 5000 ($1,198.00)</v>
      </c>
      <c r="J305" s="6" t="str" cm="1">
        <f t="array" ref="J305">IFERROR(INDEX($D$2:$D$554 &amp; " ($" &amp; TEXT($E$2:$E$554, "#,##0.00") &amp; ")", SMALL(IF($A$2:$A$554=$G305, ROW($D$2:$D$554)-ROW($D$2)+1), COLUMN(C305))), "")</f>
        <v/>
      </c>
    </row>
    <row r="306" spans="1:10" x14ac:dyDescent="0.35">
      <c r="A306" s="6" t="s">
        <v>1447</v>
      </c>
      <c r="B306" s="6" t="s">
        <v>1448</v>
      </c>
      <c r="C306" s="6" t="s">
        <v>1329</v>
      </c>
      <c r="D306" s="6" t="s">
        <v>1330</v>
      </c>
      <c r="E306" s="11">
        <v>124.2</v>
      </c>
      <c r="G306" s="6" t="s">
        <v>2242</v>
      </c>
      <c r="H306" s="6" t="str" cm="1">
        <f t="array" ref="H306">IFERROR(INDEX($D$2:$D$554 &amp; " ($" &amp; TEXT($E$2:$E$554, "#,##0.00") &amp; ")", SMALL(IF($A$2:$A$554=$G306, ROW($D$2:$D$554)-ROW($D$2)+1), COLUMN(A306))), "")</f>
        <v>CARWARS ELITE 12,500 PACKAGE ($1,499.00)</v>
      </c>
      <c r="I306" s="6" t="str" cm="1">
        <f t="array" ref="I306">IFERROR(INDEX($D$2:$D$554 &amp; " ($" &amp; TEXT($E$2:$E$554, "#,##0.00") &amp; ")", SMALL(IF($A$2:$A$554=$G306, ROW($D$2:$D$554)-ROW($D$2)+1), COLUMN(B306))), "")</f>
        <v/>
      </c>
      <c r="J306" s="6" t="str" cm="1">
        <f t="array" ref="J306">IFERROR(INDEX($D$2:$D$554 &amp; " ($" &amp; TEXT($E$2:$E$554, "#,##0.00") &amp; ")", SMALL(IF($A$2:$A$554=$G306, ROW($D$2:$D$554)-ROW($D$2)+1), COLUMN(C306))), "")</f>
        <v/>
      </c>
    </row>
    <row r="307" spans="1:10" x14ac:dyDescent="0.35">
      <c r="A307" s="6" t="s">
        <v>1148</v>
      </c>
      <c r="B307" s="6" t="s">
        <v>1149</v>
      </c>
      <c r="C307" s="6" t="s">
        <v>35</v>
      </c>
      <c r="D307" s="6" t="s">
        <v>36</v>
      </c>
      <c r="E307" s="11">
        <v>445.73</v>
      </c>
      <c r="G307" s="6" t="s">
        <v>2243</v>
      </c>
      <c r="H307" s="6" t="str" cm="1">
        <f t="array" ref="H307">IFERROR(INDEX($D$2:$D$554 &amp; " ($" &amp; TEXT($E$2:$E$554, "#,##0.00") &amp; ")", SMALL(IF($A$2:$A$554=$G307, ROW($D$2:$D$554)-ROW($D$2)+1), COLUMN(A307))), "")</f>
        <v>CARWARS ADVANCED SALES ($999.00)</v>
      </c>
      <c r="I307" s="6" t="str" cm="1">
        <f t="array" ref="I307">IFERROR(INDEX($D$2:$D$554 &amp; " ($" &amp; TEXT($E$2:$E$554, "#,##0.00") &amp; ")", SMALL(IF($A$2:$A$554=$G307, ROW($D$2:$D$554)-ROW($D$2)+1), COLUMN(B307))), "")</f>
        <v/>
      </c>
      <c r="J307" s="6" t="str" cm="1">
        <f t="array" ref="J307">IFERROR(INDEX($D$2:$D$554 &amp; " ($" &amp; TEXT($E$2:$E$554, "#,##0.00") &amp; ")", SMALL(IF($A$2:$A$554=$G307, ROW($D$2:$D$554)-ROW($D$2)+1), COLUMN(C307))), "")</f>
        <v/>
      </c>
    </row>
    <row r="308" spans="1:10" x14ac:dyDescent="0.35">
      <c r="A308" s="6" t="s">
        <v>1185</v>
      </c>
      <c r="B308" s="6" t="s">
        <v>1186</v>
      </c>
      <c r="C308" s="6" t="s">
        <v>35</v>
      </c>
      <c r="D308" s="6" t="s">
        <v>36</v>
      </c>
      <c r="E308" s="11">
        <v>445.73</v>
      </c>
      <c r="G308" s="6" t="s">
        <v>2244</v>
      </c>
      <c r="H308" s="6" t="str" cm="1">
        <f t="array" ref="H308">IFERROR(INDEX($D$2:$D$554 &amp; " ($" &amp; TEXT($E$2:$E$554, "#,##0.00") &amp; ")", SMALL(IF($A$2:$A$554=$G308, ROW($D$2:$D$554)-ROW($D$2)+1), COLUMN(A308))), "")</f>
        <v>CRM OUTBOUND TELEPHONY TRACKING (NEW AND CONVERSION) ($310.96)</v>
      </c>
      <c r="I308" s="6" t="str" cm="1">
        <f t="array" ref="I308">IFERROR(INDEX($D$2:$D$554 &amp; " ($" &amp; TEXT($E$2:$E$554, "#,##0.00") &amp; ")", SMALL(IF($A$2:$A$554=$G308, ROW($D$2:$D$554)-ROW($D$2)+1), COLUMN(B308))), "")</f>
        <v/>
      </c>
      <c r="J308" s="6" t="str" cm="1">
        <f t="array" ref="J308">IFERROR(INDEX($D$2:$D$554 &amp; " ($" &amp; TEXT($E$2:$E$554, "#,##0.00") &amp; ")", SMALL(IF($A$2:$A$554=$G308, ROW($D$2:$D$554)-ROW($D$2)+1), COLUMN(C308))), "")</f>
        <v/>
      </c>
    </row>
    <row r="309" spans="1:10" x14ac:dyDescent="0.35">
      <c r="A309" s="6" t="s">
        <v>1141</v>
      </c>
      <c r="B309" s="6" t="s">
        <v>1142</v>
      </c>
      <c r="C309" s="6" t="s">
        <v>35</v>
      </c>
      <c r="D309" s="6" t="s">
        <v>36</v>
      </c>
      <c r="E309" s="11">
        <v>445.73</v>
      </c>
      <c r="G309" s="6" t="s">
        <v>2245</v>
      </c>
      <c r="H309" s="6" t="str" cm="1">
        <f t="array" ref="H309">IFERROR(INDEX($D$2:$D$554 &amp; " ($" &amp; TEXT($E$2:$E$554, "#,##0.00") &amp; ")", SMALL(IF($A$2:$A$554=$G309, ROW($D$2:$D$554)-ROW($D$2)+1), COLUMN(A309))), "")</f>
        <v>CARWARS ELITE 12,500 PACKAGE ($1,499.00)</v>
      </c>
      <c r="I309" s="6" t="str" cm="1">
        <f t="array" ref="I309">IFERROR(INDEX($D$2:$D$554 &amp; " ($" &amp; TEXT($E$2:$E$554, "#,##0.00") &amp; ")", SMALL(IF($A$2:$A$554=$G309, ROW($D$2:$D$554)-ROW($D$2)+1), COLUMN(B309))), "")</f>
        <v/>
      </c>
      <c r="J309" s="6" t="str" cm="1">
        <f t="array" ref="J309">IFERROR(INDEX($D$2:$D$554 &amp; " ($" &amp; TEXT($E$2:$E$554, "#,##0.00") &amp; ")", SMALL(IF($A$2:$A$554=$G309, ROW($D$2:$D$554)-ROW($D$2)+1), COLUMN(C309))), "")</f>
        <v/>
      </c>
    </row>
    <row r="310" spans="1:10" x14ac:dyDescent="0.35">
      <c r="A310" s="6" t="s">
        <v>2212</v>
      </c>
      <c r="B310" s="6" t="s">
        <v>874</v>
      </c>
      <c r="C310" s="6" t="s">
        <v>35</v>
      </c>
      <c r="D310" s="6" t="s">
        <v>36</v>
      </c>
      <c r="E310" s="11">
        <v>370.2</v>
      </c>
      <c r="G310" s="6" t="s">
        <v>2246</v>
      </c>
      <c r="H310" s="6" t="str" cm="1">
        <f t="array" ref="H310">IFERROR(INDEX($D$2:$D$554 &amp; " ($" &amp; TEXT($E$2:$E$554, "#,##0.00") &amp; ")", SMALL(IF($A$2:$A$554=$G310, ROW($D$2:$D$554)-ROW($D$2)+1), COLUMN(A310))), "")</f>
        <v>CARWARS STARTER 3500 ($319.00)</v>
      </c>
      <c r="I310" s="6" t="str" cm="1">
        <f t="array" ref="I310">IFERROR(INDEX($D$2:$D$554 &amp; " ($" &amp; TEXT($E$2:$E$554, "#,##0.00") &amp; ")", SMALL(IF($A$2:$A$554=$G310, ROW($D$2:$D$554)-ROW($D$2)+1), COLUMN(B310))), "")</f>
        <v/>
      </c>
      <c r="J310" s="6" t="str" cm="1">
        <f t="array" ref="J310">IFERROR(INDEX($D$2:$D$554 &amp; " ($" &amp; TEXT($E$2:$E$554, "#,##0.00") &amp; ")", SMALL(IF($A$2:$A$554=$G310, ROW($D$2:$D$554)-ROW($D$2)+1), COLUMN(C310))), "")</f>
        <v/>
      </c>
    </row>
    <row r="311" spans="1:10" x14ac:dyDescent="0.35">
      <c r="A311" s="6" t="s">
        <v>1449</v>
      </c>
      <c r="B311" s="6" t="s">
        <v>1450</v>
      </c>
      <c r="C311" s="6" t="s">
        <v>35</v>
      </c>
      <c r="D311" s="6" t="s">
        <v>36</v>
      </c>
      <c r="E311" s="11">
        <v>241.25</v>
      </c>
      <c r="G311" s="6" t="s">
        <v>2247</v>
      </c>
      <c r="H311" s="6" t="str" cm="1">
        <f t="array" ref="H311">IFERROR(INDEX($D$2:$D$554 &amp; " ($" &amp; TEXT($E$2:$E$554, "#,##0.00") &amp; ")", SMALL(IF($A$2:$A$554=$G311, ROW($D$2:$D$554)-ROW($D$2)+1), COLUMN(A311))), "")</f>
        <v>CARWARS STARTER 3500 ($350.37)</v>
      </c>
      <c r="I311" s="6" t="str" cm="1">
        <f t="array" ref="I311">IFERROR(INDEX($D$2:$D$554 &amp; " ($" &amp; TEXT($E$2:$E$554, "#,##0.00") &amp; ")", SMALL(IF($A$2:$A$554=$G311, ROW($D$2:$D$554)-ROW($D$2)+1), COLUMN(B311))), "")</f>
        <v>CRM OUTBOUND TELEPHONY TRACKING (NEW AND CONVERSION) ($0.00)</v>
      </c>
      <c r="J311" s="6" t="str" cm="1">
        <f t="array" ref="J311">IFERROR(INDEX($D$2:$D$554 &amp; " ($" &amp; TEXT($E$2:$E$554, "#,##0.00") &amp; ")", SMALL(IF($A$2:$A$554=$G311, ROW($D$2:$D$554)-ROW($D$2)+1), COLUMN(C311))), "")</f>
        <v/>
      </c>
    </row>
    <row r="312" spans="1:10" x14ac:dyDescent="0.35">
      <c r="A312" s="6" t="s">
        <v>2213</v>
      </c>
      <c r="B312" s="6" t="s">
        <v>623</v>
      </c>
      <c r="C312" s="6" t="s">
        <v>2037</v>
      </c>
      <c r="D312" s="6" t="s">
        <v>2038</v>
      </c>
      <c r="E312" s="11">
        <v>2981</v>
      </c>
      <c r="G312" s="6" t="s">
        <v>2248</v>
      </c>
      <c r="H312" s="6" t="str" cm="1">
        <f t="array" ref="H312">IFERROR(INDEX($D$2:$D$554 &amp; " ($" &amp; TEXT($E$2:$E$554, "#,##0.00") &amp; ")", SMALL(IF($A$2:$A$554=$G312, ROW($D$2:$D$554)-ROW($D$2)+1), COLUMN(A312))), "")</f>
        <v>CARWARS STARTER 3500 ($350.37)</v>
      </c>
      <c r="I312" s="6" t="str" cm="1">
        <f t="array" ref="I312">IFERROR(INDEX($D$2:$D$554 &amp; " ($" &amp; TEXT($E$2:$E$554, "#,##0.00") &amp; ")", SMALL(IF($A$2:$A$554=$G312, ROW($D$2:$D$554)-ROW($D$2)+1), COLUMN(B312))), "")</f>
        <v>CRM OUTBOUND TELEPHONY TRACKING (NEW AND CONVERSION) ($0.00)</v>
      </c>
      <c r="J312" s="6" t="str" cm="1">
        <f t="array" ref="J312">IFERROR(INDEX($D$2:$D$554 &amp; " ($" &amp; TEXT($E$2:$E$554, "#,##0.00") &amp; ")", SMALL(IF($A$2:$A$554=$G312, ROW($D$2:$D$554)-ROW($D$2)+1), COLUMN(C312))), "")</f>
        <v/>
      </c>
    </row>
    <row r="313" spans="1:10" x14ac:dyDescent="0.35">
      <c r="A313" s="6" t="s">
        <v>2214</v>
      </c>
      <c r="B313" s="6" t="s">
        <v>519</v>
      </c>
      <c r="C313" s="6" t="s">
        <v>35</v>
      </c>
      <c r="D313" s="6" t="s">
        <v>36</v>
      </c>
      <c r="E313" s="11">
        <v>499</v>
      </c>
      <c r="G313" s="6" t="s">
        <v>2249</v>
      </c>
      <c r="H313" s="6" t="str" cm="1">
        <f t="array" ref="H313">IFERROR(INDEX($D$2:$D$554 &amp; " ($" &amp; TEXT($E$2:$E$554, "#,##0.00") &amp; ")", SMALL(IF($A$2:$A$554=$G313, ROW($D$2:$D$554)-ROW($D$2)+1), COLUMN(A313))), "")</f>
        <v>CARWARS STARTER 3500 ($299.00)</v>
      </c>
      <c r="I313" s="6" t="str" cm="1">
        <f t="array" ref="I313">IFERROR(INDEX($D$2:$D$554 &amp; " ($" &amp; TEXT($E$2:$E$554, "#,##0.00") &amp; ")", SMALL(IF($A$2:$A$554=$G313, ROW($D$2:$D$554)-ROW($D$2)+1), COLUMN(B313))), "")</f>
        <v>CRM OUTBOUND TELEPHONY TRACKING (NEW AND CONVERSION) ($0.00)</v>
      </c>
      <c r="J313" s="6" t="str" cm="1">
        <f t="array" ref="J313">IFERROR(INDEX($D$2:$D$554 &amp; " ($" &amp; TEXT($E$2:$E$554, "#,##0.00") &amp; ")", SMALL(IF($A$2:$A$554=$G313, ROW($D$2:$D$554)-ROW($D$2)+1), COLUMN(C313))), "")</f>
        <v/>
      </c>
    </row>
    <row r="314" spans="1:10" x14ac:dyDescent="0.35">
      <c r="A314" s="6" t="s">
        <v>1033</v>
      </c>
      <c r="B314" s="6" t="s">
        <v>1034</v>
      </c>
      <c r="C314" s="6" t="s">
        <v>1526</v>
      </c>
      <c r="D314" s="6" t="s">
        <v>971</v>
      </c>
      <c r="E314" s="11">
        <v>1053.45</v>
      </c>
      <c r="G314" s="6" t="s">
        <v>2250</v>
      </c>
      <c r="H314" s="6" t="str" cm="1">
        <f t="array" ref="H314">IFERROR(INDEX($D$2:$D$554 &amp; " ($" &amp; TEXT($E$2:$E$554, "#,##0.00") &amp; ")", SMALL(IF($A$2:$A$554=$G314, ROW($D$2:$D$554)-ROW($D$2)+1), COLUMN(A314))), "")</f>
        <v>CARWARS STARTER 7500 ($294.41)</v>
      </c>
      <c r="I314" s="6" t="str" cm="1">
        <f t="array" ref="I314">IFERROR(INDEX($D$2:$D$554 &amp; " ($" &amp; TEXT($E$2:$E$554, "#,##0.00") &amp; ")", SMALL(IF($A$2:$A$554=$G314, ROW($D$2:$D$554)-ROW($D$2)+1), COLUMN(B314))), "")</f>
        <v/>
      </c>
      <c r="J314" s="6" t="str" cm="1">
        <f t="array" ref="J314">IFERROR(INDEX($D$2:$D$554 &amp; " ($" &amp; TEXT($E$2:$E$554, "#,##0.00") &amp; ")", SMALL(IF($A$2:$A$554=$G314, ROW($D$2:$D$554)-ROW($D$2)+1), COLUMN(C314))), "")</f>
        <v/>
      </c>
    </row>
    <row r="315" spans="1:10" x14ac:dyDescent="0.35">
      <c r="A315" s="6" t="s">
        <v>2215</v>
      </c>
      <c r="B315" s="6" t="s">
        <v>878</v>
      </c>
      <c r="C315" s="6" t="s">
        <v>35</v>
      </c>
      <c r="D315" s="6" t="s">
        <v>36</v>
      </c>
      <c r="E315" s="11">
        <v>371.18</v>
      </c>
      <c r="G315" s="6" t="s">
        <v>1455</v>
      </c>
      <c r="H315" s="6" t="str" cm="1">
        <f t="array" ref="H315">IFERROR(INDEX($D$2:$D$554 &amp; " ($" &amp; TEXT($E$2:$E$554, "#,##0.00") &amp; ")", SMALL(IF($A$2:$A$554=$G315, ROW($D$2:$D$554)-ROW($D$2)+1), COLUMN(A315))), "")</f>
        <v>CRM TELEPHONY TRACKING ($0.00)</v>
      </c>
      <c r="I315" s="6" t="str" cm="1">
        <f t="array" ref="I315">IFERROR(INDEX($D$2:$D$554 &amp; " ($" &amp; TEXT($E$2:$E$554, "#,##0.00") &amp; ")", SMALL(IF($A$2:$A$554=$G315, ROW($D$2:$D$554)-ROW($D$2)+1), COLUMN(B315))), "")</f>
        <v/>
      </c>
      <c r="J315" s="6" t="str" cm="1">
        <f t="array" ref="J315">IFERROR(INDEX($D$2:$D$554 &amp; " ($" &amp; TEXT($E$2:$E$554, "#,##0.00") &amp; ")", SMALL(IF($A$2:$A$554=$G315, ROW($D$2:$D$554)-ROW($D$2)+1), COLUMN(C315))), "")</f>
        <v/>
      </c>
    </row>
    <row r="316" spans="1:10" x14ac:dyDescent="0.35">
      <c r="A316" s="6" t="s">
        <v>2216</v>
      </c>
      <c r="B316" s="6" t="s">
        <v>702</v>
      </c>
      <c r="C316" s="6" t="s">
        <v>74</v>
      </c>
      <c r="D316" s="6" t="s">
        <v>75</v>
      </c>
      <c r="E316" s="11">
        <v>528.64</v>
      </c>
      <c r="G316" s="6" t="s">
        <v>1457</v>
      </c>
      <c r="H316" s="6" t="str" cm="1">
        <f t="array" ref="H316">IFERROR(INDEX($D$2:$D$554 &amp; " ($" &amp; TEXT($E$2:$E$554, "#,##0.00") &amp; ")", SMALL(IF($A$2:$A$554=$G316, ROW($D$2:$D$554)-ROW($D$2)+1), COLUMN(A316))), "")</f>
        <v>CRM TELEPHONY TRACKING ($0.00)</v>
      </c>
      <c r="I316" s="6" t="str" cm="1">
        <f t="array" ref="I316">IFERROR(INDEX($D$2:$D$554 &amp; " ($" &amp; TEXT($E$2:$E$554, "#,##0.00") &amp; ")", SMALL(IF($A$2:$A$554=$G316, ROW($D$2:$D$554)-ROW($D$2)+1), COLUMN(B316))), "")</f>
        <v/>
      </c>
      <c r="J316" s="6" t="str" cm="1">
        <f t="array" ref="J316">IFERROR(INDEX($D$2:$D$554 &amp; " ($" &amp; TEXT($E$2:$E$554, "#,##0.00") &amp; ")", SMALL(IF($A$2:$A$554=$G316, ROW($D$2:$D$554)-ROW($D$2)+1), COLUMN(C316))), "")</f>
        <v/>
      </c>
    </row>
    <row r="317" spans="1:10" x14ac:dyDescent="0.35">
      <c r="A317" s="6" t="s">
        <v>2217</v>
      </c>
      <c r="B317" s="6" t="s">
        <v>954</v>
      </c>
      <c r="C317" s="6" t="s">
        <v>1325</v>
      </c>
      <c r="D317" s="6" t="s">
        <v>1326</v>
      </c>
      <c r="E317" s="11">
        <v>979.02</v>
      </c>
      <c r="G317" s="6" t="s">
        <v>1021</v>
      </c>
      <c r="H317" s="6" t="str" cm="1">
        <f t="array" ref="H317">IFERROR(INDEX($D$2:$D$554 &amp; " ($" &amp; TEXT($E$2:$E$554, "#,##0.00") &amp; ")", SMALL(IF($A$2:$A$554=$G317, ROW($D$2:$D$554)-ROW($D$2)+1), COLUMN(A317))), "")</f>
        <v>CAR WARS CUSTOM PACKAGE--VICTORY AUTO ($1,053.45)</v>
      </c>
      <c r="I317" s="6" t="str" cm="1">
        <f t="array" ref="I317">IFERROR(INDEX($D$2:$D$554 &amp; " ($" &amp; TEXT($E$2:$E$554, "#,##0.00") &amp; ")", SMALL(IF($A$2:$A$554=$G317, ROW($D$2:$D$554)-ROW($D$2)+1), COLUMN(B317))), "")</f>
        <v/>
      </c>
      <c r="J317" s="6" t="str" cm="1">
        <f t="array" ref="J317">IFERROR(INDEX($D$2:$D$554 &amp; " ($" &amp; TEXT($E$2:$E$554, "#,##0.00") &amp; ")", SMALL(IF($A$2:$A$554=$G317, ROW($D$2:$D$554)-ROW($D$2)+1), COLUMN(C317))), "")</f>
        <v/>
      </c>
    </row>
    <row r="318" spans="1:10" x14ac:dyDescent="0.35">
      <c r="A318" s="6" t="s">
        <v>2218</v>
      </c>
      <c r="B318" s="6" t="s">
        <v>721</v>
      </c>
      <c r="C318" s="6" t="s">
        <v>2037</v>
      </c>
      <c r="D318" s="6" t="s">
        <v>2038</v>
      </c>
      <c r="E318" s="11">
        <v>3158.07</v>
      </c>
      <c r="G318" s="6" t="s">
        <v>2251</v>
      </c>
      <c r="H318" s="6" t="str" cm="1">
        <f t="array" ref="H318">IFERROR(INDEX($D$2:$D$554 &amp; " ($" &amp; TEXT($E$2:$E$554, "#,##0.00") &amp; ")", SMALL(IF($A$2:$A$554=$G318, ROW($D$2:$D$554)-ROW($D$2)+1), COLUMN(A318))), "")</f>
        <v>CRM OUTBOUND TELEPHONY TRACKING (NEW AND CONVERSION) ($247.16)</v>
      </c>
      <c r="I318" s="6" t="str" cm="1">
        <f t="array" ref="I318">IFERROR(INDEX($D$2:$D$554 &amp; " ($" &amp; TEXT($E$2:$E$554, "#,##0.00") &amp; ")", SMALL(IF($A$2:$A$554=$G318, ROW($D$2:$D$554)-ROW($D$2)+1), COLUMN(B318))), "")</f>
        <v/>
      </c>
      <c r="J318" s="6" t="str" cm="1">
        <f t="array" ref="J318">IFERROR(INDEX($D$2:$D$554 &amp; " ($" &amp; TEXT($E$2:$E$554, "#,##0.00") &amp; ")", SMALL(IF($A$2:$A$554=$G318, ROW($D$2:$D$554)-ROW($D$2)+1), COLUMN(C318))), "")</f>
        <v/>
      </c>
    </row>
    <row r="319" spans="1:10" x14ac:dyDescent="0.35">
      <c r="A319" s="6" t="s">
        <v>2219</v>
      </c>
      <c r="B319" s="6" t="s">
        <v>434</v>
      </c>
      <c r="C319" s="6" t="s">
        <v>87</v>
      </c>
      <c r="D319" s="6" t="s">
        <v>88</v>
      </c>
      <c r="E319" s="11">
        <v>1469.02</v>
      </c>
      <c r="G319" s="6" t="s">
        <v>2252</v>
      </c>
      <c r="H319" s="6" t="str" cm="1">
        <f t="array" ref="H319">IFERROR(INDEX($D$2:$D$554 &amp; " ($" &amp; TEXT($E$2:$E$554, "#,##0.00") &amp; ")", SMALL(IF($A$2:$A$554=$G319, ROW($D$2:$D$554)-ROW($D$2)+1), COLUMN(A319))), "")</f>
        <v>CARWARS STARTER 3500 ($371.18)</v>
      </c>
      <c r="I319" s="6" t="str" cm="1">
        <f t="array" ref="I319">IFERROR(INDEX($D$2:$D$554 &amp; " ($" &amp; TEXT($E$2:$E$554, "#,##0.00") &amp; ")", SMALL(IF($A$2:$A$554=$G319, ROW($D$2:$D$554)-ROW($D$2)+1), COLUMN(B319))), "")</f>
        <v/>
      </c>
      <c r="J319" s="6" t="str" cm="1">
        <f t="array" ref="J319">IFERROR(INDEX($D$2:$D$554 &amp; " ($" &amp; TEXT($E$2:$E$554, "#,##0.00") &amp; ")", SMALL(IF($A$2:$A$554=$G319, ROW($D$2:$D$554)-ROW($D$2)+1), COLUMN(C319))), "")</f>
        <v/>
      </c>
    </row>
    <row r="320" spans="1:10" x14ac:dyDescent="0.35">
      <c r="A320" s="6" t="s">
        <v>1179</v>
      </c>
      <c r="B320" s="6" t="s">
        <v>1180</v>
      </c>
      <c r="C320" s="6" t="s">
        <v>35</v>
      </c>
      <c r="D320" s="6" t="s">
        <v>36</v>
      </c>
      <c r="E320" s="11">
        <v>445.73</v>
      </c>
      <c r="G320" s="6" t="s">
        <v>2253</v>
      </c>
      <c r="H320" s="6" t="str" cm="1">
        <f t="array" ref="H320">IFERROR(INDEX($D$2:$D$554 &amp; " ($" &amp; TEXT($E$2:$E$554, "#,##0.00") &amp; ")", SMALL(IF($A$2:$A$554=$G320, ROW($D$2:$D$554)-ROW($D$2)+1), COLUMN(A320))), "")</f>
        <v>CRM OUTBOUND TELEPHONY TRACKING (NEW AND CONVERSION) ($617.83)</v>
      </c>
      <c r="I320" s="6" t="str" cm="1">
        <f t="array" ref="I320">IFERROR(INDEX($D$2:$D$554 &amp; " ($" &amp; TEXT($E$2:$E$554, "#,##0.00") &amp; ")", SMALL(IF($A$2:$A$554=$G320, ROW($D$2:$D$554)-ROW($D$2)+1), COLUMN(B320))), "")</f>
        <v/>
      </c>
      <c r="J320" s="6" t="str" cm="1">
        <f t="array" ref="J320">IFERROR(INDEX($D$2:$D$554 &amp; " ($" &amp; TEXT($E$2:$E$554, "#,##0.00") &amp; ")", SMALL(IF($A$2:$A$554=$G320, ROW($D$2:$D$554)-ROW($D$2)+1), COLUMN(C320))), "")</f>
        <v/>
      </c>
    </row>
    <row r="321" spans="1:10" x14ac:dyDescent="0.35">
      <c r="A321" s="6" t="s">
        <v>1158</v>
      </c>
      <c r="B321" s="6" t="s">
        <v>1159</v>
      </c>
      <c r="C321" s="6" t="s">
        <v>35</v>
      </c>
      <c r="D321" s="6" t="s">
        <v>36</v>
      </c>
      <c r="E321" s="11">
        <v>445.73</v>
      </c>
      <c r="G321" s="6" t="s">
        <v>2254</v>
      </c>
      <c r="H321" s="6" t="str" cm="1">
        <f t="array" ref="H321">IFERROR(INDEX($D$2:$D$554 &amp; " ($" &amp; TEXT($E$2:$E$554, "#,##0.00") &amp; ")", SMALL(IF($A$2:$A$554=$G321, ROW($D$2:$D$554)-ROW($D$2)+1), COLUMN(A321))), "")</f>
        <v>CRM OUTBOUND TELEPHONY TRACKING (NEW AND CONVERSION) ($371.36)</v>
      </c>
      <c r="I321" s="6" t="str" cm="1">
        <f t="array" ref="I321">IFERROR(INDEX($D$2:$D$554 &amp; " ($" &amp; TEXT($E$2:$E$554, "#,##0.00") &amp; ")", SMALL(IF($A$2:$A$554=$G321, ROW($D$2:$D$554)-ROW($D$2)+1), COLUMN(B321))), "")</f>
        <v>CARWARS ELITE 12,500 PACKAGE ($1,499.00)</v>
      </c>
      <c r="J321" s="6" t="str" cm="1">
        <f t="array" ref="J321">IFERROR(INDEX($D$2:$D$554 &amp; " ($" &amp; TEXT($E$2:$E$554, "#,##0.00") &amp; ")", SMALL(IF($A$2:$A$554=$G321, ROW($D$2:$D$554)-ROW($D$2)+1), COLUMN(C321))), "")</f>
        <v/>
      </c>
    </row>
    <row r="322" spans="1:10" x14ac:dyDescent="0.35">
      <c r="A322" s="6" t="s">
        <v>2220</v>
      </c>
      <c r="B322" s="6" t="s">
        <v>569</v>
      </c>
      <c r="C322" s="6" t="s">
        <v>74</v>
      </c>
      <c r="D322" s="6" t="s">
        <v>75</v>
      </c>
      <c r="E322" s="11">
        <v>499</v>
      </c>
      <c r="G322" s="6" t="s">
        <v>1154</v>
      </c>
      <c r="H322" s="6" t="str" cm="1">
        <f t="array" ref="H322">IFERROR(INDEX($D$2:$D$554 &amp; " ($" &amp; TEXT($E$2:$E$554, "#,##0.00") &amp; ")", SMALL(IF($A$2:$A$554=$G322, ROW($D$2:$D$554)-ROW($D$2)+1), COLUMN(A322))), "")</f>
        <v>CRM OUTBOUND TELEPHONY TRACKING (NEW AND CONVERSION) ($445.73)</v>
      </c>
      <c r="I322" s="6" t="str" cm="1">
        <f t="array" ref="I322">IFERROR(INDEX($D$2:$D$554 &amp; " ($" &amp; TEXT($E$2:$E$554, "#,##0.00") &amp; ")", SMALL(IF($A$2:$A$554=$G322, ROW($D$2:$D$554)-ROW($D$2)+1), COLUMN(B322))), "")</f>
        <v/>
      </c>
      <c r="J322" s="6" t="str" cm="1">
        <f t="array" ref="J322">IFERROR(INDEX($D$2:$D$554 &amp; " ($" &amp; TEXT($E$2:$E$554, "#,##0.00") &amp; ")", SMALL(IF($A$2:$A$554=$G322, ROW($D$2:$D$554)-ROW($D$2)+1), COLUMN(C322))), "")</f>
        <v/>
      </c>
    </row>
    <row r="323" spans="1:10" x14ac:dyDescent="0.35">
      <c r="A323" s="6" t="s">
        <v>2220</v>
      </c>
      <c r="B323" s="6" t="s">
        <v>569</v>
      </c>
      <c r="C323" s="6" t="s">
        <v>2076</v>
      </c>
      <c r="D323" s="6" t="s">
        <v>2077</v>
      </c>
      <c r="E323" s="11">
        <v>249</v>
      </c>
      <c r="G323" s="6" t="s">
        <v>2255</v>
      </c>
      <c r="H323" s="6" t="str" cm="1">
        <f t="array" ref="H323">IFERROR(INDEX($D$2:$D$554 &amp; " ($" &amp; TEXT($E$2:$E$554, "#,##0.00") &amp; ")", SMALL(IF($A$2:$A$554=$G323, ROW($D$2:$D$554)-ROW($D$2)+1), COLUMN(A323))), "")</f>
        <v>CRM OUTBOUND TELEPHONY TRACKING (NEW AND CONVERSION) ($1,028.97)</v>
      </c>
      <c r="I323" s="6" t="str" cm="1">
        <f t="array" ref="I323">IFERROR(INDEX($D$2:$D$554 &amp; " ($" &amp; TEXT($E$2:$E$554, "#,##0.00") &amp; ")", SMALL(IF($A$2:$A$554=$G323, ROW($D$2:$D$554)-ROW($D$2)+1), COLUMN(B323))), "")</f>
        <v/>
      </c>
      <c r="J323" s="6" t="str" cm="1">
        <f t="array" ref="J323">IFERROR(INDEX($D$2:$D$554 &amp; " ($" &amp; TEXT($E$2:$E$554, "#,##0.00") &amp; ")", SMALL(IF($A$2:$A$554=$G323, ROW($D$2:$D$554)-ROW($D$2)+1), COLUMN(C323))), "")</f>
        <v/>
      </c>
    </row>
    <row r="324" spans="1:10" x14ac:dyDescent="0.35">
      <c r="A324" s="6" t="s">
        <v>1182</v>
      </c>
      <c r="B324" s="6" t="s">
        <v>1183</v>
      </c>
      <c r="C324" s="6" t="s">
        <v>35</v>
      </c>
      <c r="D324" s="6" t="s">
        <v>36</v>
      </c>
      <c r="E324" s="11">
        <v>445.73</v>
      </c>
      <c r="G324" s="6" t="s">
        <v>1188</v>
      </c>
      <c r="H324" s="6" t="str" cm="1">
        <f t="array" ref="H324">IFERROR(INDEX($D$2:$D$554 &amp; " ($" &amp; TEXT($E$2:$E$554, "#,##0.00") &amp; ")", SMALL(IF($A$2:$A$554=$G324, ROW($D$2:$D$554)-ROW($D$2)+1), COLUMN(A324))), "")</f>
        <v>CRM OUTBOUND TELEPHONY TRACKING (NEW AND CONVERSION) ($445.73)</v>
      </c>
      <c r="I324" s="6" t="str" cm="1">
        <f t="array" ref="I324">IFERROR(INDEX($D$2:$D$554 &amp; " ($" &amp; TEXT($E$2:$E$554, "#,##0.00") &amp; ")", SMALL(IF($A$2:$A$554=$G324, ROW($D$2:$D$554)-ROW($D$2)+1), COLUMN(B324))), "")</f>
        <v/>
      </c>
      <c r="J324" s="6" t="str" cm="1">
        <f t="array" ref="J324">IFERROR(INDEX($D$2:$D$554 &amp; " ($" &amp; TEXT($E$2:$E$554, "#,##0.00") &amp; ")", SMALL(IF($A$2:$A$554=$G324, ROW($D$2:$D$554)-ROW($D$2)+1), COLUMN(C324))), "")</f>
        <v/>
      </c>
    </row>
    <row r="325" spans="1:10" x14ac:dyDescent="0.35">
      <c r="A325" s="6" t="s">
        <v>2221</v>
      </c>
      <c r="B325" s="6" t="s">
        <v>769</v>
      </c>
      <c r="C325" s="6" t="s">
        <v>48</v>
      </c>
      <c r="D325" s="6" t="s">
        <v>49</v>
      </c>
      <c r="E325" s="11">
        <v>350.37</v>
      </c>
      <c r="G325" s="6" t="s">
        <v>1459</v>
      </c>
      <c r="H325" s="6" t="str" cm="1">
        <f t="array" ref="H325">IFERROR(INDEX($D$2:$D$554 &amp; " ($" &amp; TEXT($E$2:$E$554, "#,##0.00") &amp; ")", SMALL(IF($A$2:$A$554=$G325, ROW($D$2:$D$554)-ROW($D$2)+1), COLUMN(A325))), "")</f>
        <v>CRM TELEPHONY TRACKING ($0.00)</v>
      </c>
      <c r="I325" s="6" t="str" cm="1">
        <f t="array" ref="I325">IFERROR(INDEX($D$2:$D$554 &amp; " ($" &amp; TEXT($E$2:$E$554, "#,##0.00") &amp; ")", SMALL(IF($A$2:$A$554=$G325, ROW($D$2:$D$554)-ROW($D$2)+1), COLUMN(B325))), "")</f>
        <v/>
      </c>
      <c r="J325" s="6" t="str" cm="1">
        <f t="array" ref="J325">IFERROR(INDEX($D$2:$D$554 &amp; " ($" &amp; TEXT($E$2:$E$554, "#,##0.00") &amp; ")", SMALL(IF($A$2:$A$554=$G325, ROW($D$2:$D$554)-ROW($D$2)+1), COLUMN(C325))), "")</f>
        <v/>
      </c>
    </row>
    <row r="326" spans="1:10" x14ac:dyDescent="0.35">
      <c r="A326" s="6" t="s">
        <v>1173</v>
      </c>
      <c r="B326" s="6" t="s">
        <v>1174</v>
      </c>
      <c r="C326" s="6" t="s">
        <v>35</v>
      </c>
      <c r="D326" s="6" t="s">
        <v>36</v>
      </c>
      <c r="E326" s="11">
        <v>445.73</v>
      </c>
      <c r="G326" s="6" t="s">
        <v>1461</v>
      </c>
      <c r="H326" s="6" t="str" cm="1">
        <f t="array" ref="H326">IFERROR(INDEX($D$2:$D$554 &amp; " ($" &amp; TEXT($E$2:$E$554, "#,##0.00") &amp; ")", SMALL(IF($A$2:$A$554=$G326, ROW($D$2:$D$554)-ROW($D$2)+1), COLUMN(A326))), "")</f>
        <v>EL1OUTCALLTRACK (GM IMR) ($1,469.02)</v>
      </c>
      <c r="I326" s="6" t="str" cm="1">
        <f t="array" ref="I326">IFERROR(INDEX($D$2:$D$554 &amp; " ($" &amp; TEXT($E$2:$E$554, "#,##0.00") &amp; ")", SMALL(IF($A$2:$A$554=$G326, ROW($D$2:$D$554)-ROW($D$2)+1), COLUMN(B326))), "")</f>
        <v>SERVICE VISION PACKAGE 300 CALLS WINTEL (FOPS CMONITORING WPERFANALYTICS) ($734.49)</v>
      </c>
      <c r="J326" s="6" t="str" cm="1">
        <f t="array" ref="J326">IFERROR(INDEX($D$2:$D$554 &amp; " ($" &amp; TEXT($E$2:$E$554, "#,##0.00") &amp; ")", SMALL(IF($A$2:$A$554=$G326, ROW($D$2:$D$554)-ROW($D$2)+1), COLUMN(C326))), "")</f>
        <v/>
      </c>
    </row>
    <row r="327" spans="1:10" x14ac:dyDescent="0.35">
      <c r="A327" s="6" t="s">
        <v>2222</v>
      </c>
      <c r="B327" s="6" t="s">
        <v>585</v>
      </c>
      <c r="C327" s="6" t="s">
        <v>97</v>
      </c>
      <c r="D327" s="6" t="s">
        <v>98</v>
      </c>
      <c r="E327" s="11">
        <v>1499</v>
      </c>
      <c r="G327" s="6" t="s">
        <v>2256</v>
      </c>
      <c r="H327" s="6" t="str" cm="1">
        <f t="array" ref="H327">IFERROR(INDEX($D$2:$D$554 &amp; " ($" &amp; TEXT($E$2:$E$554, "#,##0.00") &amp; ")", SMALL(IF($A$2:$A$554=$G327, ROW($D$2:$D$554)-ROW($D$2)+1), COLUMN(A327))), "")</f>
        <v>CARWARS PREMIUM SALES ($1,386.75)</v>
      </c>
      <c r="I327" s="6" t="str" cm="1">
        <f t="array" ref="I327">IFERROR(INDEX($D$2:$D$554 &amp; " ($" &amp; TEXT($E$2:$E$554, "#,##0.00") &amp; ")", SMALL(IF($A$2:$A$554=$G327, ROW($D$2:$D$554)-ROW($D$2)+1), COLUMN(B327))), "")</f>
        <v/>
      </c>
      <c r="J327" s="6" t="str" cm="1">
        <f t="array" ref="J327">IFERROR(INDEX($D$2:$D$554 &amp; " ($" &amp; TEXT($E$2:$E$554, "#,##0.00") &amp; ")", SMALL(IF($A$2:$A$554=$G327, ROW($D$2:$D$554)-ROW($D$2)+1), COLUMN(C327))), "")</f>
        <v/>
      </c>
    </row>
    <row r="328" spans="1:10" x14ac:dyDescent="0.35">
      <c r="A328" s="6" t="s">
        <v>2223</v>
      </c>
      <c r="B328" s="6" t="s">
        <v>290</v>
      </c>
      <c r="C328" s="6" t="s">
        <v>42</v>
      </c>
      <c r="D328" s="6" t="s">
        <v>43</v>
      </c>
      <c r="E328" s="11">
        <v>1386.75</v>
      </c>
      <c r="G328" s="6" t="s">
        <v>2257</v>
      </c>
      <c r="H328" s="6" t="str" cm="1">
        <f t="array" ref="H328">IFERROR(INDEX($D$2:$D$554 &amp; " ($" &amp; TEXT($E$2:$E$554, "#,##0.00") &amp; ")", SMALL(IF($A$2:$A$554=$G328, ROW($D$2:$D$554)-ROW($D$2)+1), COLUMN(A328))), "")</f>
        <v>CRM OUTBOUND TELEPHONY TRACKING (NEW AND CONVERSION) ($371.18)</v>
      </c>
      <c r="I328" s="6" t="str" cm="1">
        <f t="array" ref="I328">IFERROR(INDEX($D$2:$D$554 &amp; " ($" &amp; TEXT($E$2:$E$554, "#,##0.00") &amp; ")", SMALL(IF($A$2:$A$554=$G328, ROW($D$2:$D$554)-ROW($D$2)+1), COLUMN(B328))), "")</f>
        <v/>
      </c>
      <c r="J328" s="6" t="str" cm="1">
        <f t="array" ref="J328">IFERROR(INDEX($D$2:$D$554 &amp; " ($" &amp; TEXT($E$2:$E$554, "#,##0.00") &amp; ")", SMALL(IF($A$2:$A$554=$G328, ROW($D$2:$D$554)-ROW($D$2)+1), COLUMN(C328))), "")</f>
        <v/>
      </c>
    </row>
    <row r="329" spans="1:10" x14ac:dyDescent="0.35">
      <c r="A329" s="6" t="s">
        <v>2224</v>
      </c>
      <c r="B329" s="6" t="s">
        <v>785</v>
      </c>
      <c r="C329" s="6" t="s">
        <v>97</v>
      </c>
      <c r="D329" s="6" t="s">
        <v>98</v>
      </c>
      <c r="E329" s="11">
        <v>1756.53</v>
      </c>
      <c r="G329" s="6" t="s">
        <v>1051</v>
      </c>
      <c r="H329" s="6" t="str" cm="1">
        <f t="array" ref="H329">IFERROR(INDEX($D$2:$D$554 &amp; " ($" &amp; TEXT($E$2:$E$554, "#,##0.00") &amp; ")", SMALL(IF($A$2:$A$554=$G329, ROW($D$2:$D$554)-ROW($D$2)+1), COLUMN(A329))), "")</f>
        <v>CAR WARS CUSTOM PACKAGE--VICTORY AUTO ($1,053.45)</v>
      </c>
      <c r="I329" s="6" t="str" cm="1">
        <f t="array" ref="I329">IFERROR(INDEX($D$2:$D$554 &amp; " ($" &amp; TEXT($E$2:$E$554, "#,##0.00") &amp; ")", SMALL(IF($A$2:$A$554=$G329, ROW($D$2:$D$554)-ROW($D$2)+1), COLUMN(B329))), "")</f>
        <v/>
      </c>
      <c r="J329" s="6" t="str" cm="1">
        <f t="array" ref="J329">IFERROR(INDEX($D$2:$D$554 &amp; " ($" &amp; TEXT($E$2:$E$554, "#,##0.00") &amp; ")", SMALL(IF($A$2:$A$554=$G329, ROW($D$2:$D$554)-ROW($D$2)+1), COLUMN(C329))), "")</f>
        <v/>
      </c>
    </row>
    <row r="330" spans="1:10" x14ac:dyDescent="0.35">
      <c r="A330" s="6" t="s">
        <v>2225</v>
      </c>
      <c r="B330" s="6" t="s">
        <v>952</v>
      </c>
      <c r="C330" s="6" t="s">
        <v>35</v>
      </c>
      <c r="D330" s="6" t="s">
        <v>36</v>
      </c>
      <c r="E330" s="11">
        <v>619.46</v>
      </c>
      <c r="G330" s="6" t="s">
        <v>1465</v>
      </c>
      <c r="H330" s="6" t="str" cm="1">
        <f t="array" ref="H330">IFERROR(INDEX($D$2:$D$554 &amp; " ($" &amp; TEXT($E$2:$E$554, "#,##0.00") &amp; ")", SMALL(IF($A$2:$A$554=$G330, ROW($D$2:$D$554)-ROW($D$2)+1), COLUMN(A330))), "")</f>
        <v>CARWARS PREMIUM SALES ($1,904.47)</v>
      </c>
      <c r="I330" s="6" t="str" cm="1">
        <f t="array" ref="I330">IFERROR(INDEX($D$2:$D$554 &amp; " ($" &amp; TEXT($E$2:$E$554, "#,##0.00") &amp; ")", SMALL(IF($A$2:$A$554=$G330, ROW($D$2:$D$554)-ROW($D$2)+1), COLUMN(B330))), "")</f>
        <v/>
      </c>
      <c r="J330" s="6" t="str" cm="1">
        <f t="array" ref="J330">IFERROR(INDEX($D$2:$D$554 &amp; " ($" &amp; TEXT($E$2:$E$554, "#,##0.00") &amp; ")", SMALL(IF($A$2:$A$554=$G330, ROW($D$2:$D$554)-ROW($D$2)+1), COLUMN(C330))), "")</f>
        <v/>
      </c>
    </row>
    <row r="331" spans="1:10" x14ac:dyDescent="0.35">
      <c r="A331" s="6" t="s">
        <v>2226</v>
      </c>
      <c r="B331" s="6" t="s">
        <v>863</v>
      </c>
      <c r="C331" s="6" t="s">
        <v>35</v>
      </c>
      <c r="D331" s="6" t="s">
        <v>36</v>
      </c>
      <c r="E331" s="11">
        <v>2914.82</v>
      </c>
      <c r="G331" s="6" t="s">
        <v>2258</v>
      </c>
      <c r="H331" s="6" t="str" cm="1">
        <f t="array" ref="H331">IFERROR(INDEX($D$2:$D$554 &amp; " ($" &amp; TEXT($E$2:$E$554, "#,##0.00") &amp; ")", SMALL(IF($A$2:$A$554=$G331, ROW($D$2:$D$554)-ROW($D$2)+1), COLUMN(A331))), "")</f>
        <v>CARWARS STARTER 3500 ($299.00)</v>
      </c>
      <c r="I331" s="6" t="str" cm="1">
        <f t="array" ref="I331">IFERROR(INDEX($D$2:$D$554 &amp; " ($" &amp; TEXT($E$2:$E$554, "#,##0.00") &amp; ")", SMALL(IF($A$2:$A$554=$G331, ROW($D$2:$D$554)-ROW($D$2)+1), COLUMN(B331))), "")</f>
        <v/>
      </c>
      <c r="J331" s="6" t="str" cm="1">
        <f t="array" ref="J331">IFERROR(INDEX($D$2:$D$554 &amp; " ($" &amp; TEXT($E$2:$E$554, "#,##0.00") &amp; ")", SMALL(IF($A$2:$A$554=$G331, ROW($D$2:$D$554)-ROW($D$2)+1), COLUMN(C331))), "")</f>
        <v/>
      </c>
    </row>
    <row r="332" spans="1:10" x14ac:dyDescent="0.35">
      <c r="A332" s="6" t="s">
        <v>1191</v>
      </c>
      <c r="B332" s="6" t="s">
        <v>1192</v>
      </c>
      <c r="C332" s="6" t="s">
        <v>35</v>
      </c>
      <c r="D332" s="6" t="s">
        <v>36</v>
      </c>
      <c r="E332" s="11">
        <v>445.73</v>
      </c>
      <c r="G332" s="6" t="s">
        <v>1063</v>
      </c>
      <c r="H332" s="6" t="str" cm="1">
        <f t="array" ref="H332">IFERROR(INDEX($D$2:$D$554 &amp; " ($" &amp; TEXT($E$2:$E$554, "#,##0.00") &amp; ")", SMALL(IF($A$2:$A$554=$G332, ROW($D$2:$D$554)-ROW($D$2)+1), COLUMN(A332))), "")</f>
        <v>CAR WARS CUSTOM PACKAGE--VICTORY AUTO ($1,053.45)</v>
      </c>
      <c r="I332" s="6" t="str" cm="1">
        <f t="array" ref="I332">IFERROR(INDEX($D$2:$D$554 &amp; " ($" &amp; TEXT($E$2:$E$554, "#,##0.00") &amp; ")", SMALL(IF($A$2:$A$554=$G332, ROW($D$2:$D$554)-ROW($D$2)+1), COLUMN(B332))), "")</f>
        <v/>
      </c>
      <c r="J332" s="6" t="str" cm="1">
        <f t="array" ref="J332">IFERROR(INDEX($D$2:$D$554 &amp; " ($" &amp; TEXT($E$2:$E$554, "#,##0.00") &amp; ")", SMALL(IF($A$2:$A$554=$G332, ROW($D$2:$D$554)-ROW($D$2)+1), COLUMN(C332))), "")</f>
        <v/>
      </c>
    </row>
    <row r="333" spans="1:10" x14ac:dyDescent="0.35">
      <c r="A333" s="6" t="s">
        <v>2227</v>
      </c>
      <c r="B333" s="6" t="s">
        <v>312</v>
      </c>
      <c r="C333" s="6" t="s">
        <v>42</v>
      </c>
      <c r="D333" s="6" t="s">
        <v>43</v>
      </c>
      <c r="E333" s="11">
        <v>1386.75</v>
      </c>
      <c r="G333" s="6" t="s">
        <v>1167</v>
      </c>
      <c r="H333" s="6" t="str" cm="1">
        <f t="array" ref="H333">IFERROR(INDEX($D$2:$D$554 &amp; " ($" &amp; TEXT($E$2:$E$554, "#,##0.00") &amp; ")", SMALL(IF($A$2:$A$554=$G333, ROW($D$2:$D$554)-ROW($D$2)+1), COLUMN(A333))), "")</f>
        <v>CRM OUTBOUND TELEPHONY TRACKING (NEW AND CONVERSION) ($445.73)</v>
      </c>
      <c r="I333" s="6" t="str" cm="1">
        <f t="array" ref="I333">IFERROR(INDEX($D$2:$D$554 &amp; " ($" &amp; TEXT($E$2:$E$554, "#,##0.00") &amp; ")", SMALL(IF($A$2:$A$554=$G333, ROW($D$2:$D$554)-ROW($D$2)+1), COLUMN(B333))), "")</f>
        <v/>
      </c>
      <c r="J333" s="6" t="str" cm="1">
        <f t="array" ref="J333">IFERROR(INDEX($D$2:$D$554 &amp; " ($" &amp; TEXT($E$2:$E$554, "#,##0.00") &amp; ")", SMALL(IF($A$2:$A$554=$G333, ROW($D$2:$D$554)-ROW($D$2)+1), COLUMN(C333))), "")</f>
        <v/>
      </c>
    </row>
    <row r="334" spans="1:10" x14ac:dyDescent="0.35">
      <c r="A334" s="6" t="s">
        <v>2227</v>
      </c>
      <c r="B334" s="6" t="s">
        <v>312</v>
      </c>
      <c r="C334" s="6" t="s">
        <v>1329</v>
      </c>
      <c r="D334" s="6" t="s">
        <v>1330</v>
      </c>
      <c r="E334" s="11">
        <v>100</v>
      </c>
      <c r="G334" s="6" t="s">
        <v>1144</v>
      </c>
      <c r="H334" s="6" t="str" cm="1">
        <f t="array" ref="H334">IFERROR(INDEX($D$2:$D$554 &amp; " ($" &amp; TEXT($E$2:$E$554, "#,##0.00") &amp; ")", SMALL(IF($A$2:$A$554=$G334, ROW($D$2:$D$554)-ROW($D$2)+1), COLUMN(A334))), "")</f>
        <v>CRM OUTBOUND TELEPHONY TRACKING (NEW AND CONVERSION) ($445.73)</v>
      </c>
      <c r="I334" s="6" t="str" cm="1">
        <f t="array" ref="I334">IFERROR(INDEX($D$2:$D$554 &amp; " ($" &amp; TEXT($E$2:$E$554, "#,##0.00") &amp; ")", SMALL(IF($A$2:$A$554=$G334, ROW($D$2:$D$554)-ROW($D$2)+1), COLUMN(B334))), "")</f>
        <v/>
      </c>
      <c r="J334" s="6" t="str" cm="1">
        <f t="array" ref="J334">IFERROR(INDEX($D$2:$D$554 &amp; " ($" &amp; TEXT($E$2:$E$554, "#,##0.00") &amp; ")", SMALL(IF($A$2:$A$554=$G334, ROW($D$2:$D$554)-ROW($D$2)+1), COLUMN(C334))), "")</f>
        <v/>
      </c>
    </row>
    <row r="335" spans="1:10" x14ac:dyDescent="0.35">
      <c r="A335" s="6" t="s">
        <v>1451</v>
      </c>
      <c r="B335" s="6" t="s">
        <v>1452</v>
      </c>
      <c r="C335" s="6" t="s">
        <v>35</v>
      </c>
      <c r="D335" s="6" t="s">
        <v>36</v>
      </c>
      <c r="E335" s="11">
        <v>445.73</v>
      </c>
      <c r="G335" s="6" t="s">
        <v>1176</v>
      </c>
      <c r="H335" s="6" t="str" cm="1">
        <f t="array" ref="H335">IFERROR(INDEX($D$2:$D$554 &amp; " ($" &amp; TEXT($E$2:$E$554, "#,##0.00") &amp; ")", SMALL(IF($A$2:$A$554=$G335, ROW($D$2:$D$554)-ROW($D$2)+1), COLUMN(A335))), "")</f>
        <v>CRM OUTBOUND TELEPHONY TRACKING (NEW AND CONVERSION) ($445.73)</v>
      </c>
      <c r="I335" s="6" t="str" cm="1">
        <f t="array" ref="I335">IFERROR(INDEX($D$2:$D$554 &amp; " ($" &amp; TEXT($E$2:$E$554, "#,##0.00") &amp; ")", SMALL(IF($A$2:$A$554=$G335, ROW($D$2:$D$554)-ROW($D$2)+1), COLUMN(B335))), "")</f>
        <v/>
      </c>
      <c r="J335" s="6" t="str" cm="1">
        <f t="array" ref="J335">IFERROR(INDEX($D$2:$D$554 &amp; " ($" &amp; TEXT($E$2:$E$554, "#,##0.00") &amp; ")", SMALL(IF($A$2:$A$554=$G335, ROW($D$2:$D$554)-ROW($D$2)+1), COLUMN(C335))), "")</f>
        <v/>
      </c>
    </row>
    <row r="336" spans="1:10" x14ac:dyDescent="0.35">
      <c r="A336" s="6" t="s">
        <v>1194</v>
      </c>
      <c r="B336" s="6" t="s">
        <v>1195</v>
      </c>
      <c r="C336" s="6" t="s">
        <v>35</v>
      </c>
      <c r="D336" s="6" t="s">
        <v>36</v>
      </c>
      <c r="E336" s="11">
        <v>445.73</v>
      </c>
      <c r="G336" s="6" t="s">
        <v>1161</v>
      </c>
      <c r="H336" s="6" t="str" cm="1">
        <f t="array" ref="H336">IFERROR(INDEX($D$2:$D$554 &amp; " ($" &amp; TEXT($E$2:$E$554, "#,##0.00") &amp; ")", SMALL(IF($A$2:$A$554=$G336, ROW($D$2:$D$554)-ROW($D$2)+1), COLUMN(A336))), "")</f>
        <v>CRM OUTBOUND TELEPHONY TRACKING (NEW AND CONVERSION) ($445.73)</v>
      </c>
      <c r="I336" s="6" t="str" cm="1">
        <f t="array" ref="I336">IFERROR(INDEX($D$2:$D$554 &amp; " ($" &amp; TEXT($E$2:$E$554, "#,##0.00") &amp; ")", SMALL(IF($A$2:$A$554=$G336, ROW($D$2:$D$554)-ROW($D$2)+1), COLUMN(B336))), "")</f>
        <v/>
      </c>
      <c r="J336" s="6" t="str" cm="1">
        <f t="array" ref="J336">IFERROR(INDEX($D$2:$D$554 &amp; " ($" &amp; TEXT($E$2:$E$554, "#,##0.00") &amp; ")", SMALL(IF($A$2:$A$554=$G336, ROW($D$2:$D$554)-ROW($D$2)+1), COLUMN(C336))), "")</f>
        <v/>
      </c>
    </row>
    <row r="337" spans="1:10" x14ac:dyDescent="0.35">
      <c r="A337" s="6" t="s">
        <v>2228</v>
      </c>
      <c r="B337" s="6" t="s">
        <v>587</v>
      </c>
      <c r="C337" s="6" t="s">
        <v>97</v>
      </c>
      <c r="D337" s="6" t="s">
        <v>98</v>
      </c>
      <c r="E337" s="11">
        <v>1499</v>
      </c>
      <c r="G337" s="6" t="s">
        <v>2259</v>
      </c>
      <c r="H337" s="6" t="str" cm="1">
        <f t="array" ref="H337">IFERROR(INDEX($D$2:$D$554 &amp; " ($" &amp; TEXT($E$2:$E$554, "#,##0.00") &amp; ")", SMALL(IF($A$2:$A$554=$G337, ROW($D$2:$D$554)-ROW($D$2)+1), COLUMN(A337))), "")</f>
        <v>CRM OUTBOUND TELEPHONY TRACKING (NEW AND CONVERSION) ($299.00)</v>
      </c>
      <c r="I337" s="6" t="str" cm="1">
        <f t="array" ref="I337">IFERROR(INDEX($D$2:$D$554 &amp; " ($" &amp; TEXT($E$2:$E$554, "#,##0.00") &amp; ")", SMALL(IF($A$2:$A$554=$G337, ROW($D$2:$D$554)-ROW($D$2)+1), COLUMN(B337))), "")</f>
        <v>CARWARS PREMIUM SALES ($1,386.75)</v>
      </c>
      <c r="J337" s="6" t="str" cm="1">
        <f t="array" ref="J337">IFERROR(INDEX($D$2:$D$554 &amp; " ($" &amp; TEXT($E$2:$E$554, "#,##0.00") &amp; ")", SMALL(IF($A$2:$A$554=$G337, ROW($D$2:$D$554)-ROW($D$2)+1), COLUMN(C337))), "")</f>
        <v/>
      </c>
    </row>
    <row r="338" spans="1:10" x14ac:dyDescent="0.35">
      <c r="A338" s="6" t="s">
        <v>2229</v>
      </c>
      <c r="B338" s="6" t="s">
        <v>762</v>
      </c>
      <c r="C338" s="6" t="s">
        <v>48</v>
      </c>
      <c r="D338" s="6" t="s">
        <v>49</v>
      </c>
      <c r="E338" s="11">
        <v>350.37</v>
      </c>
      <c r="G338" s="6" t="s">
        <v>2260</v>
      </c>
      <c r="H338" s="6" t="str" cm="1">
        <f t="array" ref="H338">IFERROR(INDEX($D$2:$D$554 &amp; " ($" &amp; TEXT($E$2:$E$554, "#,##0.00") &amp; ")", SMALL(IF($A$2:$A$554=$G338, ROW($D$2:$D$554)-ROW($D$2)+1), COLUMN(A338))), "")</f>
        <v>CARWARS STARTER 3500 ($322.92)</v>
      </c>
      <c r="I338" s="6" t="str" cm="1">
        <f t="array" ref="I338">IFERROR(INDEX($D$2:$D$554 &amp; " ($" &amp; TEXT($E$2:$E$554, "#,##0.00") &amp; ")", SMALL(IF($A$2:$A$554=$G338, ROW($D$2:$D$554)-ROW($D$2)+1), COLUMN(B338))), "")</f>
        <v/>
      </c>
      <c r="J338" s="6" t="str" cm="1">
        <f t="array" ref="J338">IFERROR(INDEX($D$2:$D$554 &amp; " ($" &amp; TEXT($E$2:$E$554, "#,##0.00") &amp; ")", SMALL(IF($A$2:$A$554=$G338, ROW($D$2:$D$554)-ROW($D$2)+1), COLUMN(C338))), "")</f>
        <v/>
      </c>
    </row>
    <row r="339" spans="1:10" x14ac:dyDescent="0.35">
      <c r="A339" s="6" t="s">
        <v>2230</v>
      </c>
      <c r="B339" s="6" t="s">
        <v>693</v>
      </c>
      <c r="C339" s="6" t="s">
        <v>74</v>
      </c>
      <c r="D339" s="6" t="s">
        <v>75</v>
      </c>
      <c r="E339" s="11">
        <v>528.64</v>
      </c>
      <c r="G339" s="6" t="s">
        <v>2261</v>
      </c>
      <c r="H339" s="6" t="str" cm="1">
        <f t="array" ref="H339">IFERROR(INDEX($D$2:$D$554 &amp; " ($" &amp; TEXT($E$2:$E$554, "#,##0.00") &amp; ")", SMALL(IF($A$2:$A$554=$G339, ROW($D$2:$D$554)-ROW($D$2)+1), COLUMN(A339))), "")</f>
        <v>CARWARS STARTER 7500 ($499.00)</v>
      </c>
      <c r="I339" s="6" t="str" cm="1">
        <f t="array" ref="I339">IFERROR(INDEX($D$2:$D$554 &amp; " ($" &amp; TEXT($E$2:$E$554, "#,##0.00") &amp; ")", SMALL(IF($A$2:$A$554=$G339, ROW($D$2:$D$554)-ROW($D$2)+1), COLUMN(B339))), "")</f>
        <v>CARWARS TEXTING (STARTER/ADVANCED) ($249.00)</v>
      </c>
      <c r="J339" s="6" t="str" cm="1">
        <f t="array" ref="J339">IFERROR(INDEX($D$2:$D$554 &amp; " ($" &amp; TEXT($E$2:$E$554, "#,##0.00") &amp; ")", SMALL(IF($A$2:$A$554=$G339, ROW($D$2:$D$554)-ROW($D$2)+1), COLUMN(C339))), "")</f>
        <v/>
      </c>
    </row>
    <row r="340" spans="1:10" x14ac:dyDescent="0.35">
      <c r="A340" s="6" t="s">
        <v>2231</v>
      </c>
      <c r="B340" s="6" t="s">
        <v>277</v>
      </c>
      <c r="C340" s="6" t="s">
        <v>42</v>
      </c>
      <c r="D340" s="6" t="s">
        <v>43</v>
      </c>
      <c r="E340" s="11">
        <v>1386.75</v>
      </c>
      <c r="G340" s="6" t="s">
        <v>2262</v>
      </c>
      <c r="H340" s="6" t="str" cm="1">
        <f t="array" ref="H340">IFERROR(INDEX($D$2:$D$554 &amp; " ($" &amp; TEXT($E$2:$E$554, "#,##0.00") &amp; ")", SMALL(IF($A$2:$A$554=$G340, ROW($D$2:$D$554)-ROW($D$2)+1), COLUMN(A340))), "")</f>
        <v>CARWARS PREMIUM SALES ($1,469.12)</v>
      </c>
      <c r="I340" s="6" t="str" cm="1">
        <f t="array" ref="I340">IFERROR(INDEX($D$2:$D$554 &amp; " ($" &amp; TEXT($E$2:$E$554, "#,##0.00") &amp; ")", SMALL(IF($A$2:$A$554=$G340, ROW($D$2:$D$554)-ROW($D$2)+1), COLUMN(B340))), "")</f>
        <v/>
      </c>
      <c r="J340" s="6" t="str" cm="1">
        <f t="array" ref="J340">IFERROR(INDEX($D$2:$D$554 &amp; " ($" &amp; TEXT($E$2:$E$554, "#,##0.00") &amp; ")", SMALL(IF($A$2:$A$554=$G340, ROW($D$2:$D$554)-ROW($D$2)+1), COLUMN(C340))), "")</f>
        <v/>
      </c>
    </row>
    <row r="341" spans="1:10" x14ac:dyDescent="0.35">
      <c r="A341" s="6" t="s">
        <v>2232</v>
      </c>
      <c r="B341" s="6" t="s">
        <v>920</v>
      </c>
      <c r="C341" s="6" t="s">
        <v>2150</v>
      </c>
      <c r="D341" s="6" t="s">
        <v>2151</v>
      </c>
      <c r="E341" s="11">
        <v>799</v>
      </c>
      <c r="G341" s="6" t="s">
        <v>2263</v>
      </c>
      <c r="H341" s="6" t="str" cm="1">
        <f t="array" ref="H341">IFERROR(INDEX($D$2:$D$554 &amp; " ($" &amp; TEXT($E$2:$E$554, "#,##0.00") &amp; ")", SMALL(IF($A$2:$A$554=$G341, ROW($D$2:$D$554)-ROW($D$2)+1), COLUMN(A341))), "")</f>
        <v>CARWARS STARTER 3500 ($350.37)</v>
      </c>
      <c r="I341" s="6" t="str" cm="1">
        <f t="array" ref="I341">IFERROR(INDEX($D$2:$D$554 &amp; " ($" &amp; TEXT($E$2:$E$554, "#,##0.00") &amp; ")", SMALL(IF($A$2:$A$554=$G341, ROW($D$2:$D$554)-ROW($D$2)+1), COLUMN(B341))), "")</f>
        <v/>
      </c>
      <c r="J341" s="6" t="str" cm="1">
        <f t="array" ref="J341">IFERROR(INDEX($D$2:$D$554 &amp; " ($" &amp; TEXT($E$2:$E$554, "#,##0.00") &amp; ")", SMALL(IF($A$2:$A$554=$G341, ROW($D$2:$D$554)-ROW($D$2)+1), COLUMN(C341))), "")</f>
        <v/>
      </c>
    </row>
    <row r="342" spans="1:10" x14ac:dyDescent="0.35">
      <c r="A342" s="6" t="s">
        <v>1054</v>
      </c>
      <c r="B342" s="6" t="s">
        <v>1055</v>
      </c>
      <c r="C342" s="6" t="s">
        <v>1526</v>
      </c>
      <c r="D342" s="6" t="s">
        <v>971</v>
      </c>
      <c r="E342" s="11">
        <v>1053.45</v>
      </c>
      <c r="G342" s="6" t="s">
        <v>1075</v>
      </c>
      <c r="H342" s="6" t="str" cm="1">
        <f t="array" ref="H342">IFERROR(INDEX($D$2:$D$554 &amp; " ($" &amp; TEXT($E$2:$E$554, "#,##0.00") &amp; ")", SMALL(IF($A$2:$A$554=$G342, ROW($D$2:$D$554)-ROW($D$2)+1), COLUMN(A342))), "")</f>
        <v>CAR WARS CUSTOM PACKAGE--VICTORY AUTO ($1,053.45)</v>
      </c>
      <c r="I342" s="6" t="str" cm="1">
        <f t="array" ref="I342">IFERROR(INDEX($D$2:$D$554 &amp; " ($" &amp; TEXT($E$2:$E$554, "#,##0.00") &amp; ")", SMALL(IF($A$2:$A$554=$G342, ROW($D$2:$D$554)-ROW($D$2)+1), COLUMN(B342))), "")</f>
        <v/>
      </c>
      <c r="J342" s="6" t="str" cm="1">
        <f t="array" ref="J342">IFERROR(INDEX($D$2:$D$554 &amp; " ($" &amp; TEXT($E$2:$E$554, "#,##0.00") &amp; ")", SMALL(IF($A$2:$A$554=$G342, ROW($D$2:$D$554)-ROW($D$2)+1), COLUMN(C342))), "")</f>
        <v/>
      </c>
    </row>
    <row r="343" spans="1:10" x14ac:dyDescent="0.35">
      <c r="A343" s="6" t="s">
        <v>2233</v>
      </c>
      <c r="B343" s="6" t="s">
        <v>169</v>
      </c>
      <c r="C343" s="6" t="s">
        <v>35</v>
      </c>
      <c r="D343" s="6" t="s">
        <v>36</v>
      </c>
      <c r="E343" s="11">
        <v>995</v>
      </c>
      <c r="G343" s="6" t="s">
        <v>1467</v>
      </c>
      <c r="H343" s="6" t="str" cm="1">
        <f t="array" ref="H343">IFERROR(INDEX($D$2:$D$554 &amp; " ($" &amp; TEXT($E$2:$E$554, "#,##0.00") &amp; ")", SMALL(IF($A$2:$A$554=$G343, ROW($D$2:$D$554)-ROW($D$2)+1), COLUMN(A343))), "")</f>
        <v>CRM TELEPHONY TRACKING ($104.00)</v>
      </c>
      <c r="I343" s="6" t="str" cm="1">
        <f t="array" ref="I343">IFERROR(INDEX($D$2:$D$554 &amp; " ($" &amp; TEXT($E$2:$E$554, "#,##0.00") &amp; ")", SMALL(IF($A$2:$A$554=$G343, ROW($D$2:$D$554)-ROW($D$2)+1), COLUMN(B343))), "")</f>
        <v/>
      </c>
      <c r="J343" s="6" t="str" cm="1">
        <f t="array" ref="J343">IFERROR(INDEX($D$2:$D$554 &amp; " ($" &amp; TEXT($E$2:$E$554, "#,##0.00") &amp; ")", SMALL(IF($A$2:$A$554=$G343, ROW($D$2:$D$554)-ROW($D$2)+1), COLUMN(C343))), "")</f>
        <v/>
      </c>
    </row>
    <row r="344" spans="1:10" x14ac:dyDescent="0.35">
      <c r="A344" s="6" t="s">
        <v>1310</v>
      </c>
      <c r="B344" s="6" t="s">
        <v>328</v>
      </c>
      <c r="C344" s="6" t="s">
        <v>35</v>
      </c>
      <c r="D344" s="6" t="s">
        <v>36</v>
      </c>
      <c r="E344" s="11">
        <v>0</v>
      </c>
      <c r="G344" s="6" t="s">
        <v>1469</v>
      </c>
      <c r="H344" s="6" t="str" cm="1">
        <f t="array" ref="H344">IFERROR(INDEX($D$2:$D$554 &amp; " ($" &amp; TEXT($E$2:$E$554, "#,##0.00") &amp; ")", SMALL(IF($A$2:$A$554=$G344, ROW($D$2:$D$554)-ROW($D$2)+1), COLUMN(A344))), "")</f>
        <v>CRM TELEPHONY TRACKING ($104.00)</v>
      </c>
      <c r="I344" s="6" t="str" cm="1">
        <f t="array" ref="I344">IFERROR(INDEX($D$2:$D$554 &amp; " ($" &amp; TEXT($E$2:$E$554, "#,##0.00") &amp; ")", SMALL(IF($A$2:$A$554=$G344, ROW($D$2:$D$554)-ROW($D$2)+1), COLUMN(B344))), "")</f>
        <v/>
      </c>
      <c r="J344" s="6" t="str" cm="1">
        <f t="array" ref="J344">IFERROR(INDEX($D$2:$D$554 &amp; " ($" &amp; TEXT($E$2:$E$554, "#,##0.00") &amp; ")", SMALL(IF($A$2:$A$554=$G344, ROW($D$2:$D$554)-ROW($D$2)+1), COLUMN(C344))), "")</f>
        <v/>
      </c>
    </row>
    <row r="345" spans="1:10" x14ac:dyDescent="0.35">
      <c r="A345" s="6" t="s">
        <v>2234</v>
      </c>
      <c r="B345" s="6" t="s">
        <v>815</v>
      </c>
      <c r="C345" s="6" t="s">
        <v>35</v>
      </c>
      <c r="D345" s="6" t="s">
        <v>36</v>
      </c>
      <c r="E345" s="11">
        <v>371.36</v>
      </c>
      <c r="G345" s="6" t="s">
        <v>2264</v>
      </c>
      <c r="H345" s="6" t="str" cm="1">
        <f t="array" ref="H345">IFERROR(INDEX($D$2:$D$554 &amp; " ($" &amp; TEXT($E$2:$E$554, "#,##0.00") &amp; ")", SMALL(IF($A$2:$A$554=$G345, ROW($D$2:$D$554)-ROW($D$2)+1), COLUMN(A345))), "")</f>
        <v>CARWARS STARTER 5000 ($599.00)</v>
      </c>
      <c r="I345" s="6" t="str" cm="1">
        <f t="array" ref="I345">IFERROR(INDEX($D$2:$D$554 &amp; " ($" &amp; TEXT($E$2:$E$554, "#,##0.00") &amp; ")", SMALL(IF($A$2:$A$554=$G345, ROW($D$2:$D$554)-ROW($D$2)+1), COLUMN(B345))), "")</f>
        <v/>
      </c>
      <c r="J345" s="6" t="str" cm="1">
        <f t="array" ref="J345">IFERROR(INDEX($D$2:$D$554 &amp; " ($" &amp; TEXT($E$2:$E$554, "#,##0.00") &amp; ")", SMALL(IF($A$2:$A$554=$G345, ROW($D$2:$D$554)-ROW($D$2)+1), COLUMN(C345))), "")</f>
        <v/>
      </c>
    </row>
    <row r="346" spans="1:10" x14ac:dyDescent="0.35">
      <c r="A346" s="6" t="s">
        <v>2235</v>
      </c>
      <c r="B346" s="6" t="s">
        <v>483</v>
      </c>
      <c r="C346" s="6" t="s">
        <v>35</v>
      </c>
      <c r="D346" s="6" t="s">
        <v>36</v>
      </c>
      <c r="E346" s="11">
        <v>299</v>
      </c>
      <c r="G346" s="6" t="s">
        <v>2265</v>
      </c>
      <c r="H346" s="6" t="str" cm="1">
        <f t="array" ref="H346">IFERROR(INDEX($D$2:$D$554 &amp; " ($" &amp; TEXT($E$2:$E$554, "#,##0.00") &amp; ")", SMALL(IF($A$2:$A$554=$G346, ROW($D$2:$D$554)-ROW($D$2)+1), COLUMN(A346))), "")</f>
        <v>CARWARS STARTER 7500 ($1,057.28)</v>
      </c>
      <c r="I346" s="6" t="str" cm="1">
        <f t="array" ref="I346">IFERROR(INDEX($D$2:$D$554 &amp; " ($" &amp; TEXT($E$2:$E$554, "#,##0.00") &amp; ")", SMALL(IF($A$2:$A$554=$G346, ROW($D$2:$D$554)-ROW($D$2)+1), COLUMN(B346))), "")</f>
        <v/>
      </c>
      <c r="J346" s="6" t="str" cm="1">
        <f t="array" ref="J346">IFERROR(INDEX($D$2:$D$554 &amp; " ($" &amp; TEXT($E$2:$E$554, "#,##0.00") &amp; ")", SMALL(IF($A$2:$A$554=$G346, ROW($D$2:$D$554)-ROW($D$2)+1), COLUMN(C346))), "")</f>
        <v/>
      </c>
    </row>
    <row r="347" spans="1:10" x14ac:dyDescent="0.35">
      <c r="A347" s="6" t="s">
        <v>2236</v>
      </c>
      <c r="B347" s="6" t="s">
        <v>537</v>
      </c>
      <c r="C347" s="6" t="s">
        <v>35</v>
      </c>
      <c r="D347" s="6" t="s">
        <v>36</v>
      </c>
      <c r="E347" s="11">
        <v>499</v>
      </c>
      <c r="G347" s="6" t="s">
        <v>1471</v>
      </c>
      <c r="H347" s="6" t="str" cm="1">
        <f t="array" ref="H347">IFERROR(INDEX($D$2:$D$554 &amp; " ($" &amp; TEXT($E$2:$E$554, "#,##0.00") &amp; ")", SMALL(IF($A$2:$A$554=$G347, ROW($D$2:$D$554)-ROW($D$2)+1), COLUMN(A347))), "")</f>
        <v>CRM TELEPHONY TRACKING ($82.95)</v>
      </c>
      <c r="I347" s="6" t="str" cm="1">
        <f t="array" ref="I347">IFERROR(INDEX($D$2:$D$554 &amp; " ($" &amp; TEXT($E$2:$E$554, "#,##0.00") &amp; ")", SMALL(IF($A$2:$A$554=$G347, ROW($D$2:$D$554)-ROW($D$2)+1), COLUMN(B347))), "")</f>
        <v/>
      </c>
      <c r="J347" s="6" t="str" cm="1">
        <f t="array" ref="J347">IFERROR(INDEX($D$2:$D$554 &amp; " ($" &amp; TEXT($E$2:$E$554, "#,##0.00") &amp; ")", SMALL(IF($A$2:$A$554=$G347, ROW($D$2:$D$554)-ROW($D$2)+1), COLUMN(C347))), "")</f>
        <v/>
      </c>
    </row>
    <row r="348" spans="1:10" x14ac:dyDescent="0.35">
      <c r="A348" s="6" t="s">
        <v>2237</v>
      </c>
      <c r="B348" s="6" t="s">
        <v>535</v>
      </c>
      <c r="C348" s="6" t="s">
        <v>35</v>
      </c>
      <c r="D348" s="6" t="s">
        <v>36</v>
      </c>
      <c r="E348" s="11">
        <v>499</v>
      </c>
      <c r="G348" s="6" t="s">
        <v>1473</v>
      </c>
      <c r="H348" s="6" t="str" cm="1">
        <f t="array" ref="H348">IFERROR(INDEX($D$2:$D$554 &amp; " ($" &amp; TEXT($E$2:$E$554, "#,##0.00") &amp; ")", SMALL(IF($A$2:$A$554=$G348, ROW($D$2:$D$554)-ROW($D$2)+1), COLUMN(A348))), "")</f>
        <v>CRM TELEPHONY TRACKING ($123.81)</v>
      </c>
      <c r="I348" s="6" t="str" cm="1">
        <f t="array" ref="I348">IFERROR(INDEX($D$2:$D$554 &amp; " ($" &amp; TEXT($E$2:$E$554, "#,##0.00") &amp; ")", SMALL(IF($A$2:$A$554=$G348, ROW($D$2:$D$554)-ROW($D$2)+1), COLUMN(B348))), "")</f>
        <v/>
      </c>
      <c r="J348" s="6" t="str" cm="1">
        <f t="array" ref="J348">IFERROR(INDEX($D$2:$D$554 &amp; " ($" &amp; TEXT($E$2:$E$554, "#,##0.00") &amp; ")", SMALL(IF($A$2:$A$554=$G348, ROW($D$2:$D$554)-ROW($D$2)+1), COLUMN(C348))), "")</f>
        <v/>
      </c>
    </row>
    <row r="349" spans="1:10" x14ac:dyDescent="0.35">
      <c r="A349" s="6" t="s">
        <v>1453</v>
      </c>
      <c r="B349" s="6" t="s">
        <v>1454</v>
      </c>
      <c r="C349" s="6" t="s">
        <v>1329</v>
      </c>
      <c r="D349" s="6" t="s">
        <v>1330</v>
      </c>
      <c r="E349" s="11">
        <v>0</v>
      </c>
      <c r="G349" s="6" t="s">
        <v>1475</v>
      </c>
      <c r="H349" s="6" t="str" cm="1">
        <f t="array" ref="H349">IFERROR(INDEX($D$2:$D$554 &amp; " ($" &amp; TEXT($E$2:$E$554, "#,##0.00") &amp; ")", SMALL(IF($A$2:$A$554=$G349, ROW($D$2:$D$554)-ROW($D$2)+1), COLUMN(A349))), "")</f>
        <v>CRM TELEPHONY TRACKING ($124.14)</v>
      </c>
      <c r="I349" s="6" t="str" cm="1">
        <f t="array" ref="I349">IFERROR(INDEX($D$2:$D$554 &amp; " ($" &amp; TEXT($E$2:$E$554, "#,##0.00") &amp; ")", SMALL(IF($A$2:$A$554=$G349, ROW($D$2:$D$554)-ROW($D$2)+1), COLUMN(B349))), "")</f>
        <v/>
      </c>
      <c r="J349" s="6" t="str" cm="1">
        <f t="array" ref="J349">IFERROR(INDEX($D$2:$D$554 &amp; " ($" &amp; TEXT($E$2:$E$554, "#,##0.00") &amp; ")", SMALL(IF($A$2:$A$554=$G349, ROW($D$2:$D$554)-ROW($D$2)+1), COLUMN(C349))), "")</f>
        <v/>
      </c>
    </row>
    <row r="350" spans="1:10" x14ac:dyDescent="0.35">
      <c r="A350" s="6" t="s">
        <v>2238</v>
      </c>
      <c r="B350" s="6" t="s">
        <v>533</v>
      </c>
      <c r="C350" s="6" t="s">
        <v>35</v>
      </c>
      <c r="D350" s="6" t="s">
        <v>36</v>
      </c>
      <c r="E350" s="11">
        <v>499</v>
      </c>
      <c r="G350" s="6" t="s">
        <v>1477</v>
      </c>
      <c r="H350" s="6" t="str" cm="1">
        <f t="array" ref="H350">IFERROR(INDEX($D$2:$D$554 &amp; " ($" &amp; TEXT($E$2:$E$554, "#,##0.00") &amp; ")", SMALL(IF($A$2:$A$554=$G350, ROW($D$2:$D$554)-ROW($D$2)+1), COLUMN(A350))), "")</f>
        <v>CRM TELEPHONY TRACKING ($124.14)</v>
      </c>
      <c r="I350" s="6" t="str" cm="1">
        <f t="array" ref="I350">IFERROR(INDEX($D$2:$D$554 &amp; " ($" &amp; TEXT($E$2:$E$554, "#,##0.00") &amp; ")", SMALL(IF($A$2:$A$554=$G350, ROW($D$2:$D$554)-ROW($D$2)+1), COLUMN(B350))), "")</f>
        <v/>
      </c>
      <c r="J350" s="6" t="str" cm="1">
        <f t="array" ref="J350">IFERROR(INDEX($D$2:$D$554 &amp; " ($" &amp; TEXT($E$2:$E$554, "#,##0.00") &amp; ")", SMALL(IF($A$2:$A$554=$G350, ROW($D$2:$D$554)-ROW($D$2)+1), COLUMN(C350))), "")</f>
        <v/>
      </c>
    </row>
    <row r="351" spans="1:10" x14ac:dyDescent="0.35">
      <c r="A351" s="6" t="s">
        <v>2239</v>
      </c>
      <c r="B351" s="6" t="s">
        <v>783</v>
      </c>
      <c r="C351" s="6" t="s">
        <v>35</v>
      </c>
      <c r="D351" s="6" t="s">
        <v>36</v>
      </c>
      <c r="E351" s="11">
        <v>995</v>
      </c>
      <c r="G351" s="6" t="s">
        <v>1479</v>
      </c>
      <c r="H351" s="6" t="str" cm="1">
        <f t="array" ref="H351">IFERROR(INDEX($D$2:$D$554 &amp; " ($" &amp; TEXT($E$2:$E$554, "#,##0.00") &amp; ")", SMALL(IF($A$2:$A$554=$G351, ROW($D$2:$D$554)-ROW($D$2)+1), COLUMN(A351))), "")</f>
        <v>CRM TELEPHONY TRACKING ($105.94)</v>
      </c>
      <c r="I351" s="6" t="str" cm="1">
        <f t="array" ref="I351">IFERROR(INDEX($D$2:$D$554 &amp; " ($" &amp; TEXT($E$2:$E$554, "#,##0.00") &amp; ")", SMALL(IF($A$2:$A$554=$G351, ROW($D$2:$D$554)-ROW($D$2)+1), COLUMN(B351))), "")</f>
        <v/>
      </c>
      <c r="J351" s="6" t="str" cm="1">
        <f t="array" ref="J351">IFERROR(INDEX($D$2:$D$554 &amp; " ($" &amp; TEXT($E$2:$E$554, "#,##0.00") &amp; ")", SMALL(IF($A$2:$A$554=$G351, ROW($D$2:$D$554)-ROW($D$2)+1), COLUMN(C351))), "")</f>
        <v/>
      </c>
    </row>
    <row r="352" spans="1:10" x14ac:dyDescent="0.35">
      <c r="A352" s="6" t="s">
        <v>2239</v>
      </c>
      <c r="B352" s="6" t="s">
        <v>783</v>
      </c>
      <c r="C352" s="6" t="s">
        <v>408</v>
      </c>
      <c r="D352" s="6" t="s">
        <v>409</v>
      </c>
      <c r="E352" s="11">
        <v>20</v>
      </c>
      <c r="G352" s="6" t="s">
        <v>2266</v>
      </c>
      <c r="H352" s="6" t="str" cm="1">
        <f t="array" ref="H352">IFERROR(INDEX($D$2:$D$554 &amp; " ($" &amp; TEXT($E$2:$E$554, "#,##0.00") &amp; ")", SMALL(IF($A$2:$A$554=$G352, ROW($D$2:$D$554)-ROW($D$2)+1), COLUMN(A352))), "")</f>
        <v>CARWARS PREMIUM SALES ($1,386.75)</v>
      </c>
      <c r="I352" s="6" t="str" cm="1">
        <f t="array" ref="I352">IFERROR(INDEX($D$2:$D$554 &amp; " ($" &amp; TEXT($E$2:$E$554, "#,##0.00") &amp; ")", SMALL(IF($A$2:$A$554=$G352, ROW($D$2:$D$554)-ROW($D$2)+1), COLUMN(B352))), "")</f>
        <v/>
      </c>
      <c r="J352" s="6" t="str" cm="1">
        <f t="array" ref="J352">IFERROR(INDEX($D$2:$D$554 &amp; " ($" &amp; TEXT($E$2:$E$554, "#,##0.00") &amp; ")", SMALL(IF($A$2:$A$554=$G352, ROW($D$2:$D$554)-ROW($D$2)+1), COLUMN(C352))), "")</f>
        <v/>
      </c>
    </row>
    <row r="353" spans="1:10" x14ac:dyDescent="0.35">
      <c r="A353" s="6" t="s">
        <v>2240</v>
      </c>
      <c r="B353" s="6" t="s">
        <v>462</v>
      </c>
      <c r="C353" s="6" t="s">
        <v>35</v>
      </c>
      <c r="D353" s="6" t="s">
        <v>36</v>
      </c>
      <c r="E353" s="11">
        <v>2800</v>
      </c>
      <c r="G353" s="6" t="s">
        <v>2267</v>
      </c>
      <c r="H353" s="6" t="str" cm="1">
        <f t="array" ref="H353">IFERROR(INDEX($D$2:$D$554 &amp; " ($" &amp; TEXT($E$2:$E$554, "#,##0.00") &amp; ")", SMALL(IF($A$2:$A$554=$G353, ROW($D$2:$D$554)-ROW($D$2)+1), COLUMN(A353))), "")</f>
        <v>CARWARS STARTER 7500 ($499.00)</v>
      </c>
      <c r="I353" s="6" t="str" cm="1">
        <f t="array" ref="I353">IFERROR(INDEX($D$2:$D$554 &amp; " ($" &amp; TEXT($E$2:$E$554, "#,##0.00") &amp; ")", SMALL(IF($A$2:$A$554=$G353, ROW($D$2:$D$554)-ROW($D$2)+1), COLUMN(B353))), "")</f>
        <v/>
      </c>
      <c r="J353" s="6" t="str" cm="1">
        <f t="array" ref="J353">IFERROR(INDEX($D$2:$D$554 &amp; " ($" &amp; TEXT($E$2:$E$554, "#,##0.00") &amp; ")", SMALL(IF($A$2:$A$554=$G353, ROW($D$2:$D$554)-ROW($D$2)+1), COLUMN(C353))), "")</f>
        <v/>
      </c>
    </row>
    <row r="354" spans="1:10" x14ac:dyDescent="0.35">
      <c r="A354" s="6" t="s">
        <v>2241</v>
      </c>
      <c r="B354" s="6" t="s">
        <v>899</v>
      </c>
      <c r="C354" s="6" t="s">
        <v>1329</v>
      </c>
      <c r="D354" s="6" t="s">
        <v>1330</v>
      </c>
      <c r="E354" s="11">
        <v>100</v>
      </c>
      <c r="G354" s="6" t="s">
        <v>1481</v>
      </c>
      <c r="H354" s="6" t="str" cm="1">
        <f t="array" ref="H354">IFERROR(INDEX($D$2:$D$554 &amp; " ($" &amp; TEXT($E$2:$E$554, "#,##0.00") &amp; ")", SMALL(IF($A$2:$A$554=$G354, ROW($D$2:$D$554)-ROW($D$2)+1), COLUMN(A354))), "")</f>
        <v>CALLSOURCE EL ATTRIBUTED SMALL ($87.59)</v>
      </c>
      <c r="I354" s="6" t="str" cm="1">
        <f t="array" ref="I354">IFERROR(INDEX($D$2:$D$554 &amp; " ($" &amp; TEXT($E$2:$E$554, "#,##0.00") &amp; ")", SMALL(IF($A$2:$A$554=$G354, ROW($D$2:$D$554)-ROW($D$2)+1), COLUMN(B354))), "")</f>
        <v/>
      </c>
      <c r="J354" s="6" t="str" cm="1">
        <f t="array" ref="J354">IFERROR(INDEX($D$2:$D$554 &amp; " ($" &amp; TEXT($E$2:$E$554, "#,##0.00") &amp; ")", SMALL(IF($A$2:$A$554=$G354, ROW($D$2:$D$554)-ROW($D$2)+1), COLUMN(C354))), "")</f>
        <v/>
      </c>
    </row>
    <row r="355" spans="1:10" x14ac:dyDescent="0.35">
      <c r="A355" s="6" t="s">
        <v>2241</v>
      </c>
      <c r="B355" s="6" t="s">
        <v>899</v>
      </c>
      <c r="C355" s="6" t="s">
        <v>67</v>
      </c>
      <c r="D355" s="6" t="s">
        <v>68</v>
      </c>
      <c r="E355" s="11">
        <v>1198</v>
      </c>
      <c r="G355" s="6" t="s">
        <v>1483</v>
      </c>
      <c r="H355" s="6" t="str" cm="1">
        <f t="array" ref="H355">IFERROR(INDEX($D$2:$D$554 &amp; " ($" &amp; TEXT($E$2:$E$554, "#,##0.00") &amp; ")", SMALL(IF($A$2:$A$554=$G355, ROW($D$2:$D$554)-ROW($D$2)+1), COLUMN(A355))), "")</f>
        <v>CALLSOURCE EL ATTRIBUTED SMALL ($87.59)</v>
      </c>
      <c r="I355" s="6" t="str" cm="1">
        <f t="array" ref="I355">IFERROR(INDEX($D$2:$D$554 &amp; " ($" &amp; TEXT($E$2:$E$554, "#,##0.00") &amp; ")", SMALL(IF($A$2:$A$554=$G355, ROW($D$2:$D$554)-ROW($D$2)+1), COLUMN(B355))), "")</f>
        <v/>
      </c>
      <c r="J355" s="6" t="str" cm="1">
        <f t="array" ref="J355">IFERROR(INDEX($D$2:$D$554 &amp; " ($" &amp; TEXT($E$2:$E$554, "#,##0.00") &amp; ")", SMALL(IF($A$2:$A$554=$G355, ROW($D$2:$D$554)-ROW($D$2)+1), COLUMN(C355))), "")</f>
        <v/>
      </c>
    </row>
    <row r="356" spans="1:10" x14ac:dyDescent="0.35">
      <c r="A356" s="6" t="s">
        <v>2242</v>
      </c>
      <c r="B356" s="6" t="s">
        <v>583</v>
      </c>
      <c r="C356" s="6" t="s">
        <v>97</v>
      </c>
      <c r="D356" s="6" t="s">
        <v>98</v>
      </c>
      <c r="E356" s="11">
        <v>1499</v>
      </c>
      <c r="G356" s="6" t="s">
        <v>1485</v>
      </c>
      <c r="H356" s="6" t="str" cm="1">
        <f t="array" ref="H356">IFERROR(INDEX($D$2:$D$554 &amp; " ($" &amp; TEXT($E$2:$E$554, "#,##0.00") &amp; ")", SMALL(IF($A$2:$A$554=$G356, ROW($D$2:$D$554)-ROW($D$2)+1), COLUMN(A356))), "")</f>
        <v>CRM TELEPHONY TRACKING ($0.00)</v>
      </c>
      <c r="I356" s="6" t="str" cm="1">
        <f t="array" ref="I356">IFERROR(INDEX($D$2:$D$554 &amp; " ($" &amp; TEXT($E$2:$E$554, "#,##0.00") &amp; ")", SMALL(IF($A$2:$A$554=$G356, ROW($D$2:$D$554)-ROW($D$2)+1), COLUMN(B356))), "")</f>
        <v/>
      </c>
      <c r="J356" s="6" t="str" cm="1">
        <f t="array" ref="J356">IFERROR(INDEX($D$2:$D$554 &amp; " ($" &amp; TEXT($E$2:$E$554, "#,##0.00") &amp; ")", SMALL(IF($A$2:$A$554=$G356, ROW($D$2:$D$554)-ROW($D$2)+1), COLUMN(C356))), "")</f>
        <v/>
      </c>
    </row>
    <row r="357" spans="1:10" x14ac:dyDescent="0.35">
      <c r="A357" s="6" t="s">
        <v>2243</v>
      </c>
      <c r="B357" s="6" t="s">
        <v>575</v>
      </c>
      <c r="C357" s="6" t="s">
        <v>1870</v>
      </c>
      <c r="D357" s="6" t="s">
        <v>1871</v>
      </c>
      <c r="E357" s="11">
        <v>999</v>
      </c>
      <c r="G357" s="6" t="s">
        <v>2268</v>
      </c>
      <c r="H357" s="6" t="str" cm="1">
        <f t="array" ref="H357">IFERROR(INDEX($D$2:$D$554 &amp; " ($" &amp; TEXT($E$2:$E$554, "#,##0.00") &amp; ")", SMALL(IF($A$2:$A$554=$G357, ROW($D$2:$D$554)-ROW($D$2)+1), COLUMN(A357))), "")</f>
        <v>CARWARS STARTER 3500 ($299.00)</v>
      </c>
      <c r="I357" s="6" t="str" cm="1">
        <f t="array" ref="I357">IFERROR(INDEX($D$2:$D$554 &amp; " ($" &amp; TEXT($E$2:$E$554, "#,##0.00") &amp; ")", SMALL(IF($A$2:$A$554=$G357, ROW($D$2:$D$554)-ROW($D$2)+1), COLUMN(B357))), "")</f>
        <v/>
      </c>
      <c r="J357" s="6" t="str" cm="1">
        <f t="array" ref="J357">IFERROR(INDEX($D$2:$D$554 &amp; " ($" &amp; TEXT($E$2:$E$554, "#,##0.00") &amp; ")", SMALL(IF($A$2:$A$554=$G357, ROW($D$2:$D$554)-ROW($D$2)+1), COLUMN(C357))), "")</f>
        <v/>
      </c>
    </row>
    <row r="358" spans="1:10" x14ac:dyDescent="0.35">
      <c r="A358" s="6" t="s">
        <v>2244</v>
      </c>
      <c r="B358" s="6" t="s">
        <v>428</v>
      </c>
      <c r="C358" s="6" t="s">
        <v>35</v>
      </c>
      <c r="D358" s="6" t="s">
        <v>36</v>
      </c>
      <c r="E358" s="11">
        <v>310.95999999999998</v>
      </c>
      <c r="G358" s="6" t="s">
        <v>2269</v>
      </c>
      <c r="H358" s="6" t="str" cm="1">
        <f t="array" ref="H358">IFERROR(INDEX($D$2:$D$554 &amp; " ($" &amp; TEXT($E$2:$E$554, "#,##0.00") &amp; ")", SMALL(IF($A$2:$A$554=$G358, ROW($D$2:$D$554)-ROW($D$2)+1), COLUMN(A358))), "")</f>
        <v>CARWARS ELITE 12,500 PACKAGE ($1,499.00)</v>
      </c>
      <c r="I358" s="6" t="str" cm="1">
        <f t="array" ref="I358">IFERROR(INDEX($D$2:$D$554 &amp; " ($" &amp; TEXT($E$2:$E$554, "#,##0.00") &amp; ")", SMALL(IF($A$2:$A$554=$G358, ROW($D$2:$D$554)-ROW($D$2)+1), COLUMN(B358))), "")</f>
        <v/>
      </c>
      <c r="J358" s="6" t="str" cm="1">
        <f t="array" ref="J358">IFERROR(INDEX($D$2:$D$554 &amp; " ($" &amp; TEXT($E$2:$E$554, "#,##0.00") &amp; ")", SMALL(IF($A$2:$A$554=$G358, ROW($D$2:$D$554)-ROW($D$2)+1), COLUMN(C358))), "")</f>
        <v/>
      </c>
    </row>
    <row r="359" spans="1:10" x14ac:dyDescent="0.35">
      <c r="A359" s="6" t="s">
        <v>2245</v>
      </c>
      <c r="B359" s="6" t="s">
        <v>603</v>
      </c>
      <c r="C359" s="6" t="s">
        <v>97</v>
      </c>
      <c r="D359" s="6" t="s">
        <v>98</v>
      </c>
      <c r="E359" s="11">
        <v>1499</v>
      </c>
      <c r="G359" s="6" t="s">
        <v>2270</v>
      </c>
      <c r="H359" s="6" t="str" cm="1">
        <f t="array" ref="H359">IFERROR(INDEX($D$2:$D$554 &amp; " ($" &amp; TEXT($E$2:$E$554, "#,##0.00") &amp; ")", SMALL(IF($A$2:$A$554=$G359, ROW($D$2:$D$554)-ROW($D$2)+1), COLUMN(A359))), "")</f>
        <v>CARWARS STARTER 3500 ($213.49)</v>
      </c>
      <c r="I359" s="6" t="str" cm="1">
        <f t="array" ref="I359">IFERROR(INDEX($D$2:$D$554 &amp; " ($" &amp; TEXT($E$2:$E$554, "#,##0.00") &amp; ")", SMALL(IF($A$2:$A$554=$G359, ROW($D$2:$D$554)-ROW($D$2)+1), COLUMN(B359))), "")</f>
        <v/>
      </c>
      <c r="J359" s="6" t="str" cm="1">
        <f t="array" ref="J359">IFERROR(INDEX($D$2:$D$554 &amp; " ($" &amp; TEXT($E$2:$E$554, "#,##0.00") &amp; ")", SMALL(IF($A$2:$A$554=$G359, ROW($D$2:$D$554)-ROW($D$2)+1), COLUMN(C359))), "")</f>
        <v/>
      </c>
    </row>
    <row r="360" spans="1:10" x14ac:dyDescent="0.35">
      <c r="A360" s="6" t="s">
        <v>2246</v>
      </c>
      <c r="B360" s="6" t="s">
        <v>672</v>
      </c>
      <c r="C360" s="6" t="s">
        <v>48</v>
      </c>
      <c r="D360" s="6" t="s">
        <v>49</v>
      </c>
      <c r="E360" s="11">
        <v>319</v>
      </c>
      <c r="G360" s="6" t="s">
        <v>1487</v>
      </c>
      <c r="H360" s="6" t="str" cm="1">
        <f t="array" ref="H360">IFERROR(INDEX($D$2:$D$554 &amp; " ($" &amp; TEXT($E$2:$E$554, "#,##0.00") &amp; ")", SMALL(IF($A$2:$A$554=$G360, ROW($D$2:$D$554)-ROW($D$2)+1), COLUMN(A360))), "")</f>
        <v>CARWARS STARTER 3500 ($322.92)</v>
      </c>
      <c r="I360" s="6" t="str" cm="1">
        <f t="array" ref="I360">IFERROR(INDEX($D$2:$D$554 &amp; " ($" &amp; TEXT($E$2:$E$554, "#,##0.00") &amp; ")", SMALL(IF($A$2:$A$554=$G360, ROW($D$2:$D$554)-ROW($D$2)+1), COLUMN(B360))), "")</f>
        <v/>
      </c>
      <c r="J360" s="6" t="str" cm="1">
        <f t="array" ref="J360">IFERROR(INDEX($D$2:$D$554 &amp; " ($" &amp; TEXT($E$2:$E$554, "#,##0.00") &amp; ")", SMALL(IF($A$2:$A$554=$G360, ROW($D$2:$D$554)-ROW($D$2)+1), COLUMN(C360))), "")</f>
        <v/>
      </c>
    </row>
    <row r="361" spans="1:10" x14ac:dyDescent="0.35">
      <c r="A361" s="6" t="s">
        <v>2247</v>
      </c>
      <c r="B361" s="6" t="s">
        <v>767</v>
      </c>
      <c r="C361" s="6" t="s">
        <v>48</v>
      </c>
      <c r="D361" s="6" t="s">
        <v>49</v>
      </c>
      <c r="E361" s="11">
        <v>350.37</v>
      </c>
      <c r="G361" s="6" t="s">
        <v>1489</v>
      </c>
      <c r="H361" s="6" t="str" cm="1">
        <f t="array" ref="H361">IFERROR(INDEX($D$2:$D$554 &amp; " ($" &amp; TEXT($E$2:$E$554, "#,##0.00") &amp; ")", SMALL(IF($A$2:$A$554=$G361, ROW($D$2:$D$554)-ROW($D$2)+1), COLUMN(A361))), "")</f>
        <v>CARWARS STARTER 3500 ($319.95)</v>
      </c>
      <c r="I361" s="6" t="str" cm="1">
        <f t="array" ref="I361">IFERROR(INDEX($D$2:$D$554 &amp; " ($" &amp; TEXT($E$2:$E$554, "#,##0.00") &amp; ")", SMALL(IF($A$2:$A$554=$G361, ROW($D$2:$D$554)-ROW($D$2)+1), COLUMN(B361))), "")</f>
        <v/>
      </c>
      <c r="J361" s="6" t="str" cm="1">
        <f t="array" ref="J361">IFERROR(INDEX($D$2:$D$554 &amp; " ($" &amp; TEXT($E$2:$E$554, "#,##0.00") &amp; ")", SMALL(IF($A$2:$A$554=$G361, ROW($D$2:$D$554)-ROW($D$2)+1), COLUMN(C361))), "")</f>
        <v/>
      </c>
    </row>
    <row r="362" spans="1:10" x14ac:dyDescent="0.35">
      <c r="A362" s="6" t="s">
        <v>2247</v>
      </c>
      <c r="B362" s="6" t="s">
        <v>767</v>
      </c>
      <c r="C362" s="6" t="s">
        <v>35</v>
      </c>
      <c r="D362" s="6" t="s">
        <v>36</v>
      </c>
      <c r="E362" s="11">
        <v>0</v>
      </c>
      <c r="G362" s="6" t="s">
        <v>984</v>
      </c>
      <c r="H362" s="6" t="str" cm="1">
        <f t="array" ref="H362">IFERROR(INDEX($D$2:$D$554 &amp; " ($" &amp; TEXT($E$2:$E$554, "#,##0.00") &amp; ")", SMALL(IF($A$2:$A$554=$G362, ROW($D$2:$D$554)-ROW($D$2)+1), COLUMN(A362))), "")</f>
        <v>CAR WARS CUSTOM PACKAGE--VICTORY AUTO ($1,053.45)</v>
      </c>
      <c r="I362" s="6" t="str" cm="1">
        <f t="array" ref="I362">IFERROR(INDEX($D$2:$D$554 &amp; " ($" &amp; TEXT($E$2:$E$554, "#,##0.00") &amp; ")", SMALL(IF($A$2:$A$554=$G362, ROW($D$2:$D$554)-ROW($D$2)+1), COLUMN(B362))), "")</f>
        <v/>
      </c>
      <c r="J362" s="6" t="str" cm="1">
        <f t="array" ref="J362">IFERROR(INDEX($D$2:$D$554 &amp; " ($" &amp; TEXT($E$2:$E$554, "#,##0.00") &amp; ")", SMALL(IF($A$2:$A$554=$G362, ROW($D$2:$D$554)-ROW($D$2)+1), COLUMN(C362))), "")</f>
        <v/>
      </c>
    </row>
    <row r="363" spans="1:10" x14ac:dyDescent="0.35">
      <c r="A363" s="6" t="s">
        <v>2248</v>
      </c>
      <c r="B363" s="6" t="s">
        <v>765</v>
      </c>
      <c r="C363" s="6" t="s">
        <v>48</v>
      </c>
      <c r="D363" s="6" t="s">
        <v>49</v>
      </c>
      <c r="E363" s="11">
        <v>350.37</v>
      </c>
      <c r="G363" s="6" t="s">
        <v>2271</v>
      </c>
      <c r="H363" s="6" t="str" cm="1">
        <f t="array" ref="H363">IFERROR(INDEX($D$2:$D$554 &amp; " ($" &amp; TEXT($E$2:$E$554, "#,##0.00") &amp; ")", SMALL(IF($A$2:$A$554=$G363, ROW($D$2:$D$554)-ROW($D$2)+1), COLUMN(A363))), "")</f>
        <v>CARWARS INDEFINITE CALL RECORDINGS ($20.00)</v>
      </c>
      <c r="I363" s="6" t="str" cm="1">
        <f t="array" ref="I363">IFERROR(INDEX($D$2:$D$554 &amp; " ($" &amp; TEXT($E$2:$E$554, "#,##0.00") &amp; ")", SMALL(IF($A$2:$A$554=$G363, ROW($D$2:$D$554)-ROW($D$2)+1), COLUMN(B363))), "")</f>
        <v>CARWARS ELITE 12,500 PACKAGE ($1,499.00)</v>
      </c>
      <c r="J363" s="6" t="str" cm="1">
        <f t="array" ref="J363">IFERROR(INDEX($D$2:$D$554 &amp; " ($" &amp; TEXT($E$2:$E$554, "#,##0.00") &amp; ")", SMALL(IF($A$2:$A$554=$G363, ROW($D$2:$D$554)-ROW($D$2)+1), COLUMN(C363))), "")</f>
        <v/>
      </c>
    </row>
    <row r="364" spans="1:10" x14ac:dyDescent="0.35">
      <c r="A364" s="6" t="s">
        <v>2248</v>
      </c>
      <c r="B364" s="6" t="s">
        <v>765</v>
      </c>
      <c r="C364" s="6" t="s">
        <v>35</v>
      </c>
      <c r="D364" s="6" t="s">
        <v>36</v>
      </c>
      <c r="E364" s="11">
        <v>0</v>
      </c>
      <c r="G364" s="6" t="s">
        <v>1012</v>
      </c>
      <c r="H364" s="6" t="str" cm="1">
        <f t="array" ref="H364">IFERROR(INDEX($D$2:$D$554 &amp; " ($" &amp; TEXT($E$2:$E$554, "#,##0.00") &amp; ")", SMALL(IF($A$2:$A$554=$G364, ROW($D$2:$D$554)-ROW($D$2)+1), COLUMN(A364))), "")</f>
        <v>CAR WARS CUSTOM PACKAGE--VICTORY AUTO ($1,053.45)</v>
      </c>
      <c r="I364" s="6" t="str" cm="1">
        <f t="array" ref="I364">IFERROR(INDEX($D$2:$D$554 &amp; " ($" &amp; TEXT($E$2:$E$554, "#,##0.00") &amp; ")", SMALL(IF($A$2:$A$554=$G364, ROW($D$2:$D$554)-ROW($D$2)+1), COLUMN(B364))), "")</f>
        <v/>
      </c>
      <c r="J364" s="6" t="str" cm="1">
        <f t="array" ref="J364">IFERROR(INDEX($D$2:$D$554 &amp; " ($" &amp; TEXT($E$2:$E$554, "#,##0.00") &amp; ")", SMALL(IF($A$2:$A$554=$G364, ROW($D$2:$D$554)-ROW($D$2)+1), COLUMN(C364))), "")</f>
        <v/>
      </c>
    </row>
    <row r="365" spans="1:10" x14ac:dyDescent="0.35">
      <c r="A365" s="6" t="s">
        <v>2249</v>
      </c>
      <c r="B365" s="6" t="s">
        <v>477</v>
      </c>
      <c r="C365" s="6" t="s">
        <v>48</v>
      </c>
      <c r="D365" s="6" t="s">
        <v>49</v>
      </c>
      <c r="E365" s="11">
        <v>299</v>
      </c>
      <c r="G365" s="6" t="s">
        <v>2272</v>
      </c>
      <c r="H365" s="6" t="str" cm="1">
        <f t="array" ref="H365">IFERROR(INDEX($D$2:$D$554 &amp; " ($" &amp; TEXT($E$2:$E$554, "#,##0.00") &amp; ")", SMALL(IF($A$2:$A$554=$G365, ROW($D$2:$D$554)-ROW($D$2)+1), COLUMN(A365))), "")</f>
        <v>CARWARS STARTER 7500 ($528.64)</v>
      </c>
      <c r="I365" s="6" t="str" cm="1">
        <f t="array" ref="I365">IFERROR(INDEX($D$2:$D$554 &amp; " ($" &amp; TEXT($E$2:$E$554, "#,##0.00") &amp; ")", SMALL(IF($A$2:$A$554=$G365, ROW($D$2:$D$554)-ROW($D$2)+1), COLUMN(B365))), "")</f>
        <v/>
      </c>
      <c r="J365" s="6" t="str" cm="1">
        <f t="array" ref="J365">IFERROR(INDEX($D$2:$D$554 &amp; " ($" &amp; TEXT($E$2:$E$554, "#,##0.00") &amp; ")", SMALL(IF($A$2:$A$554=$G365, ROW($D$2:$D$554)-ROW($D$2)+1), COLUMN(C365))), "")</f>
        <v/>
      </c>
    </row>
    <row r="366" spans="1:10" x14ac:dyDescent="0.35">
      <c r="A366" s="6" t="s">
        <v>2249</v>
      </c>
      <c r="B366" s="6" t="s">
        <v>477</v>
      </c>
      <c r="C366" s="6" t="s">
        <v>35</v>
      </c>
      <c r="D366" s="6" t="s">
        <v>36</v>
      </c>
      <c r="E366" s="11">
        <v>0</v>
      </c>
      <c r="G366" s="6" t="s">
        <v>2273</v>
      </c>
      <c r="H366" s="6" t="str" cm="1">
        <f t="array" ref="H366">IFERROR(INDEX($D$2:$D$554 &amp; " ($" &amp; TEXT($E$2:$E$554, "#,##0.00") &amp; ")", SMALL(IF($A$2:$A$554=$G366, ROW($D$2:$D$554)-ROW($D$2)+1), COLUMN(A366))), "")</f>
        <v>CARWARS STARTER 7500 ($528.64)</v>
      </c>
      <c r="I366" s="6" t="str" cm="1">
        <f t="array" ref="I366">IFERROR(INDEX($D$2:$D$554 &amp; " ($" &amp; TEXT($E$2:$E$554, "#,##0.00") &amp; ")", SMALL(IF($A$2:$A$554=$G366, ROW($D$2:$D$554)-ROW($D$2)+1), COLUMN(B366))), "")</f>
        <v/>
      </c>
      <c r="J366" s="6" t="str" cm="1">
        <f t="array" ref="J366">IFERROR(INDEX($D$2:$D$554 &amp; " ($" &amp; TEXT($E$2:$E$554, "#,##0.00") &amp; ")", SMALL(IF($A$2:$A$554=$G366, ROW($D$2:$D$554)-ROW($D$2)+1), COLUMN(C366))), "")</f>
        <v/>
      </c>
    </row>
    <row r="367" spans="1:10" x14ac:dyDescent="0.35">
      <c r="A367" s="6" t="s">
        <v>2250</v>
      </c>
      <c r="B367" s="6" t="s">
        <v>187</v>
      </c>
      <c r="C367" s="6" t="s">
        <v>74</v>
      </c>
      <c r="D367" s="6" t="s">
        <v>75</v>
      </c>
      <c r="E367" s="11">
        <v>294.41000000000003</v>
      </c>
      <c r="G367" s="6" t="s">
        <v>2274</v>
      </c>
      <c r="H367" s="6" t="str" cm="1">
        <f t="array" ref="H367">IFERROR(INDEX($D$2:$D$554 &amp; " ($" &amp; TEXT($E$2:$E$554, "#,##0.00") &amp; ")", SMALL(IF($A$2:$A$554=$G367, ROW($D$2:$D$554)-ROW($D$2)+1), COLUMN(A367))), "")</f>
        <v>CARWARS STARTER 7500 ($499.00)</v>
      </c>
      <c r="I367" s="6" t="str" cm="1">
        <f t="array" ref="I367">IFERROR(INDEX($D$2:$D$554 &amp; " ($" &amp; TEXT($E$2:$E$554, "#,##0.00") &amp; ")", SMALL(IF($A$2:$A$554=$G367, ROW($D$2:$D$554)-ROW($D$2)+1), COLUMN(B367))), "")</f>
        <v/>
      </c>
      <c r="J367" s="6" t="str" cm="1">
        <f t="array" ref="J367">IFERROR(INDEX($D$2:$D$554 &amp; " ($" &amp; TEXT($E$2:$E$554, "#,##0.00") &amp; ")", SMALL(IF($A$2:$A$554=$G367, ROW($D$2:$D$554)-ROW($D$2)+1), COLUMN(C367))), "")</f>
        <v/>
      </c>
    </row>
    <row r="368" spans="1:10" x14ac:dyDescent="0.35">
      <c r="A368" s="6" t="s">
        <v>1455</v>
      </c>
      <c r="B368" s="6" t="s">
        <v>1456</v>
      </c>
      <c r="C368" s="6" t="s">
        <v>1329</v>
      </c>
      <c r="D368" s="6" t="s">
        <v>1330</v>
      </c>
      <c r="E368" s="11">
        <v>0</v>
      </c>
      <c r="G368" s="6" t="s">
        <v>2275</v>
      </c>
      <c r="H368" s="6" t="str" cm="1">
        <f t="array" ref="H368">IFERROR(INDEX($D$2:$D$554 &amp; " ($" &amp; TEXT($E$2:$E$554, "#,##0.00") &amp; ")", SMALL(IF($A$2:$A$554=$G368, ROW($D$2:$D$554)-ROW($D$2)+1), COLUMN(A368))), "")</f>
        <v>CARWARS STARTER 7500 ($499.00)</v>
      </c>
      <c r="I368" s="6" t="str" cm="1">
        <f t="array" ref="I368">IFERROR(INDEX($D$2:$D$554 &amp; " ($" &amp; TEXT($E$2:$E$554, "#,##0.00") &amp; ")", SMALL(IF($A$2:$A$554=$G368, ROW($D$2:$D$554)-ROW($D$2)+1), COLUMN(B368))), "")</f>
        <v/>
      </c>
      <c r="J368" s="6" t="str" cm="1">
        <f t="array" ref="J368">IFERROR(INDEX($D$2:$D$554 &amp; " ($" &amp; TEXT($E$2:$E$554, "#,##0.00") &amp; ")", SMALL(IF($A$2:$A$554=$G368, ROW($D$2:$D$554)-ROW($D$2)+1), COLUMN(C368))), "")</f>
        <v/>
      </c>
    </row>
    <row r="369" spans="1:10" x14ac:dyDescent="0.35">
      <c r="A369" s="6" t="s">
        <v>1457</v>
      </c>
      <c r="B369" s="6" t="s">
        <v>1458</v>
      </c>
      <c r="C369" s="6" t="s">
        <v>1329</v>
      </c>
      <c r="D369" s="6" t="s">
        <v>1330</v>
      </c>
      <c r="E369" s="11">
        <v>0</v>
      </c>
      <c r="G369" s="6" t="s">
        <v>2276</v>
      </c>
      <c r="H369" s="6" t="str" cm="1">
        <f t="array" ref="H369">IFERROR(INDEX($D$2:$D$554 &amp; " ($" &amp; TEXT($E$2:$E$554, "#,##0.00") &amp; ")", SMALL(IF($A$2:$A$554=$G369, ROW($D$2:$D$554)-ROW($D$2)+1), COLUMN(A369))), "")</f>
        <v>CARWARS STARTER 7500 ($499.00)</v>
      </c>
      <c r="I369" s="6" t="str" cm="1">
        <f t="array" ref="I369">IFERROR(INDEX($D$2:$D$554 &amp; " ($" &amp; TEXT($E$2:$E$554, "#,##0.00") &amp; ")", SMALL(IF($A$2:$A$554=$G369, ROW($D$2:$D$554)-ROW($D$2)+1), COLUMN(B369))), "")</f>
        <v/>
      </c>
      <c r="J369" s="6" t="str" cm="1">
        <f t="array" ref="J369">IFERROR(INDEX($D$2:$D$554 &amp; " ($" &amp; TEXT($E$2:$E$554, "#,##0.00") &amp; ")", SMALL(IF($A$2:$A$554=$G369, ROW($D$2:$D$554)-ROW($D$2)+1), COLUMN(C369))), "")</f>
        <v/>
      </c>
    </row>
    <row r="370" spans="1:10" x14ac:dyDescent="0.35">
      <c r="A370" s="6" t="s">
        <v>1021</v>
      </c>
      <c r="B370" s="6" t="s">
        <v>1022</v>
      </c>
      <c r="C370" s="6" t="s">
        <v>1526</v>
      </c>
      <c r="D370" s="6" t="s">
        <v>971</v>
      </c>
      <c r="E370" s="11">
        <v>1053.45</v>
      </c>
      <c r="G370" s="6" t="s">
        <v>2277</v>
      </c>
      <c r="H370" s="6" t="str" cm="1">
        <f t="array" ref="H370">IFERROR(INDEX($D$2:$D$554 &amp; " ($" &amp; TEXT($E$2:$E$554, "#,##0.00") &amp; ")", SMALL(IF($A$2:$A$554=$G370, ROW($D$2:$D$554)-ROW($D$2)+1), COLUMN(A370))), "")</f>
        <v>CARWARS STARTER 7500 ($499.00)</v>
      </c>
      <c r="I370" s="6" t="str" cm="1">
        <f t="array" ref="I370">IFERROR(INDEX($D$2:$D$554 &amp; " ($" &amp; TEXT($E$2:$E$554, "#,##0.00") &amp; ")", SMALL(IF($A$2:$A$554=$G370, ROW($D$2:$D$554)-ROW($D$2)+1), COLUMN(B370))), "")</f>
        <v/>
      </c>
      <c r="J370" s="6" t="str" cm="1">
        <f t="array" ref="J370">IFERROR(INDEX($D$2:$D$554 &amp; " ($" &amp; TEXT($E$2:$E$554, "#,##0.00") &amp; ")", SMALL(IF($A$2:$A$554=$G370, ROW($D$2:$D$554)-ROW($D$2)+1), COLUMN(C370))), "")</f>
        <v/>
      </c>
    </row>
    <row r="371" spans="1:10" x14ac:dyDescent="0.35">
      <c r="A371" s="6" t="s">
        <v>2251</v>
      </c>
      <c r="B371" s="6" t="s">
        <v>935</v>
      </c>
      <c r="C371" s="6" t="s">
        <v>35</v>
      </c>
      <c r="D371" s="6" t="s">
        <v>36</v>
      </c>
      <c r="E371" s="11">
        <v>247.16</v>
      </c>
      <c r="G371" s="6" t="s">
        <v>2278</v>
      </c>
      <c r="H371" s="6" t="str" cm="1">
        <f t="array" ref="H371">IFERROR(INDEX($D$2:$D$554 &amp; " ($" &amp; TEXT($E$2:$E$554, "#,##0.00") &amp; ")", SMALL(IF($A$2:$A$554=$G371, ROW($D$2:$D$554)-ROW($D$2)+1), COLUMN(A371))), "")</f>
        <v>CARWARS STARTER 7500 ($499.00)</v>
      </c>
      <c r="I371" s="6" t="str" cm="1">
        <f t="array" ref="I371">IFERROR(INDEX($D$2:$D$554 &amp; " ($" &amp; TEXT($E$2:$E$554, "#,##0.00") &amp; ")", SMALL(IF($A$2:$A$554=$G371, ROW($D$2:$D$554)-ROW($D$2)+1), COLUMN(B371))), "")</f>
        <v/>
      </c>
      <c r="J371" s="6" t="str" cm="1">
        <f t="array" ref="J371">IFERROR(INDEX($D$2:$D$554 &amp; " ($" &amp; TEXT($E$2:$E$554, "#,##0.00") &amp; ")", SMALL(IF($A$2:$A$554=$G371, ROW($D$2:$D$554)-ROW($D$2)+1), COLUMN(C371))), "")</f>
        <v/>
      </c>
    </row>
    <row r="372" spans="1:10" x14ac:dyDescent="0.35">
      <c r="A372" s="6" t="s">
        <v>2252</v>
      </c>
      <c r="B372" s="6" t="s">
        <v>805</v>
      </c>
      <c r="C372" s="6" t="s">
        <v>48</v>
      </c>
      <c r="D372" s="6" t="s">
        <v>49</v>
      </c>
      <c r="E372" s="11">
        <v>371.18</v>
      </c>
      <c r="G372" s="6" t="s">
        <v>1491</v>
      </c>
      <c r="H372" s="6" t="str" cm="1">
        <f t="array" ref="H372">IFERROR(INDEX($D$2:$D$554 &amp; " ($" &amp; TEXT($E$2:$E$554, "#,##0.00") &amp; ")", SMALL(IF($A$2:$A$554=$G372, ROW($D$2:$D$554)-ROW($D$2)+1), COLUMN(A372))), "")</f>
        <v>CARWARS STARTER 7500 ($499.00)</v>
      </c>
      <c r="I372" s="6" t="str" cm="1">
        <f t="array" ref="I372">IFERROR(INDEX($D$2:$D$554 &amp; " ($" &amp; TEXT($E$2:$E$554, "#,##0.00") &amp; ")", SMALL(IF($A$2:$A$554=$G372, ROW($D$2:$D$554)-ROW($D$2)+1), COLUMN(B372))), "")</f>
        <v/>
      </c>
      <c r="J372" s="6" t="str" cm="1">
        <f t="array" ref="J372">IFERROR(INDEX($D$2:$D$554 &amp; " ($" &amp; TEXT($E$2:$E$554, "#,##0.00") &amp; ")", SMALL(IF($A$2:$A$554=$G372, ROW($D$2:$D$554)-ROW($D$2)+1), COLUMN(C372))), "")</f>
        <v/>
      </c>
    </row>
    <row r="373" spans="1:10" x14ac:dyDescent="0.35">
      <c r="A373" s="6" t="s">
        <v>2253</v>
      </c>
      <c r="B373" s="6" t="s">
        <v>819</v>
      </c>
      <c r="C373" s="6" t="s">
        <v>35</v>
      </c>
      <c r="D373" s="6" t="s">
        <v>36</v>
      </c>
      <c r="E373" s="11">
        <v>617.83000000000004</v>
      </c>
      <c r="G373" s="6" t="s">
        <v>2279</v>
      </c>
      <c r="H373" s="6" t="str" cm="1">
        <f t="array" ref="H373">IFERROR(INDEX($D$2:$D$554 &amp; " ($" &amp; TEXT($E$2:$E$554, "#,##0.00") &amp; ")", SMALL(IF($A$2:$A$554=$G373, ROW($D$2:$D$554)-ROW($D$2)+1), COLUMN(A373))), "")</f>
        <v>CARWARS ADVANCED SALES ($999.00)</v>
      </c>
      <c r="I373" s="6" t="str" cm="1">
        <f t="array" ref="I373">IFERROR(INDEX($D$2:$D$554 &amp; " ($" &amp; TEXT($E$2:$E$554, "#,##0.00") &amp; ")", SMALL(IF($A$2:$A$554=$G373, ROW($D$2:$D$554)-ROW($D$2)+1), COLUMN(B373))), "")</f>
        <v>CARWARS INDEFINITE CALL RECORDINGS ($20.00)</v>
      </c>
      <c r="J373" s="6" t="str" cm="1">
        <f t="array" ref="J373">IFERROR(INDEX($D$2:$D$554 &amp; " ($" &amp; TEXT($E$2:$E$554, "#,##0.00") &amp; ")", SMALL(IF($A$2:$A$554=$G373, ROW($D$2:$D$554)-ROW($D$2)+1), COLUMN(C373))), "")</f>
        <v/>
      </c>
    </row>
    <row r="374" spans="1:10" x14ac:dyDescent="0.35">
      <c r="A374" s="6" t="s">
        <v>2254</v>
      </c>
      <c r="B374" s="6" t="s">
        <v>870</v>
      </c>
      <c r="C374" s="6" t="s">
        <v>35</v>
      </c>
      <c r="D374" s="6" t="s">
        <v>36</v>
      </c>
      <c r="E374" s="11">
        <v>371.36</v>
      </c>
      <c r="G374" s="6" t="s">
        <v>2280</v>
      </c>
      <c r="H374" s="6" t="str" cm="1">
        <f t="array" ref="H374">IFERROR(INDEX($D$2:$D$554 &amp; " ($" &amp; TEXT($E$2:$E$554, "#,##0.00") &amp; ")", SMALL(IF($A$2:$A$554=$G374, ROW($D$2:$D$554)-ROW($D$2)+1), COLUMN(A374))), "")</f>
        <v>CARWARS STARTER 7500 ($528.64)</v>
      </c>
      <c r="I374" s="6" t="str" cm="1">
        <f t="array" ref="I374">IFERROR(INDEX($D$2:$D$554 &amp; " ($" &amp; TEXT($E$2:$E$554, "#,##0.00") &amp; ")", SMALL(IF($A$2:$A$554=$G374, ROW($D$2:$D$554)-ROW($D$2)+1), COLUMN(B374))), "")</f>
        <v/>
      </c>
      <c r="J374" s="6" t="str" cm="1">
        <f t="array" ref="J374">IFERROR(INDEX($D$2:$D$554 &amp; " ($" &amp; TEXT($E$2:$E$554, "#,##0.00") &amp; ")", SMALL(IF($A$2:$A$554=$G374, ROW($D$2:$D$554)-ROW($D$2)+1), COLUMN(C374))), "")</f>
        <v/>
      </c>
    </row>
    <row r="375" spans="1:10" x14ac:dyDescent="0.35">
      <c r="A375" s="6" t="s">
        <v>2254</v>
      </c>
      <c r="B375" s="6" t="s">
        <v>870</v>
      </c>
      <c r="C375" s="6" t="s">
        <v>97</v>
      </c>
      <c r="D375" s="6" t="s">
        <v>98</v>
      </c>
      <c r="E375" s="11">
        <v>1499</v>
      </c>
      <c r="G375" s="6" t="s">
        <v>2281</v>
      </c>
      <c r="H375" s="6" t="str" cm="1">
        <f t="array" ref="H375">IFERROR(INDEX($D$2:$D$554 &amp; " ($" &amp; TEXT($E$2:$E$554, "#,##0.00") &amp; ")", SMALL(IF($A$2:$A$554=$G375, ROW($D$2:$D$554)-ROW($D$2)+1), COLUMN(A375))), "")</f>
        <v>CARWARS ELITE LARGE ($3,250.78)</v>
      </c>
      <c r="I375" s="6" t="str" cm="1">
        <f t="array" ref="I375">IFERROR(INDEX($D$2:$D$554 &amp; " ($" &amp; TEXT($E$2:$E$554, "#,##0.00") &amp; ")", SMALL(IF($A$2:$A$554=$G375, ROW($D$2:$D$554)-ROW($D$2)+1), COLUMN(B375))), "")</f>
        <v/>
      </c>
      <c r="J375" s="6" t="str" cm="1">
        <f t="array" ref="J375">IFERROR(INDEX($D$2:$D$554 &amp; " ($" &amp; TEXT($E$2:$E$554, "#,##0.00") &amp; ")", SMALL(IF($A$2:$A$554=$G375, ROW($D$2:$D$554)-ROW($D$2)+1), COLUMN(C375))), "")</f>
        <v/>
      </c>
    </row>
    <row r="376" spans="1:10" x14ac:dyDescent="0.35">
      <c r="A376" s="6" t="s">
        <v>1154</v>
      </c>
      <c r="B376" s="6" t="s">
        <v>1155</v>
      </c>
      <c r="C376" s="6" t="s">
        <v>35</v>
      </c>
      <c r="D376" s="6" t="s">
        <v>36</v>
      </c>
      <c r="E376" s="11">
        <v>445.73</v>
      </c>
      <c r="G376" s="6" t="s">
        <v>2282</v>
      </c>
      <c r="H376" s="6" t="str" cm="1">
        <f t="array" ref="H376">IFERROR(INDEX($D$2:$D$554 &amp; " ($" &amp; TEXT($E$2:$E$554, "#,##0.00") &amp; ")", SMALL(IF($A$2:$A$554=$G376, ROW($D$2:$D$554)-ROW($D$2)+1), COLUMN(A376))), "")</f>
        <v>CARWARS LEISURE SMALL (SALES ONLY) ($699.00)</v>
      </c>
      <c r="I376" s="6" t="str" cm="1">
        <f t="array" ref="I376">IFERROR(INDEX($D$2:$D$554 &amp; " ($" &amp; TEXT($E$2:$E$554, "#,##0.00") &amp; ")", SMALL(IF($A$2:$A$554=$G376, ROW($D$2:$D$554)-ROW($D$2)+1), COLUMN(B376))), "")</f>
        <v/>
      </c>
      <c r="J376" s="6" t="str" cm="1">
        <f t="array" ref="J376">IFERROR(INDEX($D$2:$D$554 &amp; " ($" &amp; TEXT($E$2:$E$554, "#,##0.00") &amp; ")", SMALL(IF($A$2:$A$554=$G376, ROW($D$2:$D$554)-ROW($D$2)+1), COLUMN(C376))), "")</f>
        <v/>
      </c>
    </row>
    <row r="377" spans="1:10" x14ac:dyDescent="0.35">
      <c r="A377" s="6" t="s">
        <v>2255</v>
      </c>
      <c r="B377" s="6" t="s">
        <v>691</v>
      </c>
      <c r="C377" s="6" t="s">
        <v>35</v>
      </c>
      <c r="D377" s="6" t="s">
        <v>36</v>
      </c>
      <c r="E377" s="11">
        <v>1028.97</v>
      </c>
      <c r="G377" s="6" t="s">
        <v>1493</v>
      </c>
      <c r="H377" s="6" t="str" cm="1">
        <f t="array" ref="H377">IFERROR(INDEX($D$2:$D$554 &amp; " ($" &amp; TEXT($E$2:$E$554, "#,##0.00") &amp; ")", SMALL(IF($A$2:$A$554=$G377, ROW($D$2:$D$554)-ROW($D$2)+1), COLUMN(A377))), "")</f>
        <v>SERVICE VISION PACKAGE 100 CALLS WINTEL (FOPS CMONITORING WPERFANALYTICS) ($366.45)</v>
      </c>
      <c r="I377" s="6" t="str" cm="1">
        <f t="array" ref="I377">IFERROR(INDEX($D$2:$D$554 &amp; " ($" &amp; TEXT($E$2:$E$554, "#,##0.00") &amp; ")", SMALL(IF($A$2:$A$554=$G377, ROW($D$2:$D$554)-ROW($D$2)+1), COLUMN(B377))), "")</f>
        <v/>
      </c>
      <c r="J377" s="6" t="str" cm="1">
        <f t="array" ref="J377">IFERROR(INDEX($D$2:$D$554 &amp; " ($" &amp; TEXT($E$2:$E$554, "#,##0.00") &amp; ")", SMALL(IF($A$2:$A$554=$G377, ROW($D$2:$D$554)-ROW($D$2)+1), COLUMN(C377))), "")</f>
        <v/>
      </c>
    </row>
    <row r="378" spans="1:10" x14ac:dyDescent="0.35">
      <c r="A378" s="6" t="s">
        <v>1188</v>
      </c>
      <c r="B378" s="6" t="s">
        <v>1189</v>
      </c>
      <c r="C378" s="6" t="s">
        <v>35</v>
      </c>
      <c r="D378" s="6" t="s">
        <v>36</v>
      </c>
      <c r="E378" s="11">
        <v>445.73</v>
      </c>
      <c r="G378" s="6" t="s">
        <v>2283</v>
      </c>
      <c r="H378" s="6" t="str" cm="1">
        <f t="array" ref="H378">IFERROR(INDEX($D$2:$D$554 &amp; " ($" &amp; TEXT($E$2:$E$554, "#,##0.00") &amp; ")", SMALL(IF($A$2:$A$554=$G378, ROW($D$2:$D$554)-ROW($D$2)+1), COLUMN(A378))), "")</f>
        <v>CARWARS INDEFINITE CALL RECORDINGS ($20.00)</v>
      </c>
      <c r="I378" s="6" t="str" cm="1">
        <f t="array" ref="I378">IFERROR(INDEX($D$2:$D$554 &amp; " ($" &amp; TEXT($E$2:$E$554, "#,##0.00") &amp; ")", SMALL(IF($A$2:$A$554=$G378, ROW($D$2:$D$554)-ROW($D$2)+1), COLUMN(B378))), "")</f>
        <v>CARWARS ELITE 12,500 PACKAGE ($1,499.00)</v>
      </c>
      <c r="J378" s="6" t="str" cm="1">
        <f t="array" ref="J378">IFERROR(INDEX($D$2:$D$554 &amp; " ($" &amp; TEXT($E$2:$E$554, "#,##0.00") &amp; ")", SMALL(IF($A$2:$A$554=$G378, ROW($D$2:$D$554)-ROW($D$2)+1), COLUMN(C378))), "")</f>
        <v/>
      </c>
    </row>
    <row r="379" spans="1:10" x14ac:dyDescent="0.35">
      <c r="A379" s="6" t="s">
        <v>1459</v>
      </c>
      <c r="B379" s="6" t="s">
        <v>1460</v>
      </c>
      <c r="C379" s="6" t="s">
        <v>1329</v>
      </c>
      <c r="D379" s="6" t="s">
        <v>1330</v>
      </c>
      <c r="E379" s="11">
        <v>0</v>
      </c>
      <c r="G379" s="6" t="s">
        <v>1497</v>
      </c>
      <c r="H379" s="6" t="str" cm="1">
        <f t="array" ref="H379">IFERROR(INDEX($D$2:$D$554 &amp; " ($" &amp; TEXT($E$2:$E$554, "#,##0.00") &amp; ")", SMALL(IF($A$2:$A$554=$G379, ROW($D$2:$D$554)-ROW($D$2)+1), COLUMN(A379))), "")</f>
        <v>CRM TELEPHONY TRACKING ($105.66)</v>
      </c>
      <c r="I379" s="6" t="str" cm="1">
        <f t="array" ref="I379">IFERROR(INDEX($D$2:$D$554 &amp; " ($" &amp; TEXT($E$2:$E$554, "#,##0.00") &amp; ")", SMALL(IF($A$2:$A$554=$G379, ROW($D$2:$D$554)-ROW($D$2)+1), COLUMN(B379))), "")</f>
        <v/>
      </c>
      <c r="J379" s="6" t="str" cm="1">
        <f t="array" ref="J379">IFERROR(INDEX($D$2:$D$554 &amp; " ($" &amp; TEXT($E$2:$E$554, "#,##0.00") &amp; ")", SMALL(IF($A$2:$A$554=$G379, ROW($D$2:$D$554)-ROW($D$2)+1), COLUMN(C379))), "")</f>
        <v/>
      </c>
    </row>
    <row r="380" spans="1:10" x14ac:dyDescent="0.35">
      <c r="A380" s="6" t="s">
        <v>1461</v>
      </c>
      <c r="B380" s="6" t="s">
        <v>1462</v>
      </c>
      <c r="C380" s="6" t="s">
        <v>87</v>
      </c>
      <c r="D380" s="6" t="s">
        <v>88</v>
      </c>
      <c r="E380" s="11">
        <v>1469.02</v>
      </c>
      <c r="G380" s="6" t="s">
        <v>2284</v>
      </c>
      <c r="H380" s="6" t="str" cm="1">
        <f t="array" ref="H380">IFERROR(INDEX($D$2:$D$554 &amp; " ($" &amp; TEXT($E$2:$E$554, "#,##0.00") &amp; ")", SMALL(IF($A$2:$A$554=$G380, ROW($D$2:$D$554)-ROW($D$2)+1), COLUMN(A380))), "")</f>
        <v>CARWARS STARTER 3500 ($299.00)</v>
      </c>
      <c r="I380" s="6" t="str" cm="1">
        <f t="array" ref="I380">IFERROR(INDEX($D$2:$D$554 &amp; " ($" &amp; TEXT($E$2:$E$554, "#,##0.00") &amp; ")", SMALL(IF($A$2:$A$554=$G380, ROW($D$2:$D$554)-ROW($D$2)+1), COLUMN(B380))), "")</f>
        <v/>
      </c>
      <c r="J380" s="6" t="str" cm="1">
        <f t="array" ref="J380">IFERROR(INDEX($D$2:$D$554 &amp; " ($" &amp; TEXT($E$2:$E$554, "#,##0.00") &amp; ")", SMALL(IF($A$2:$A$554=$G380, ROW($D$2:$D$554)-ROW($D$2)+1), COLUMN(C380))), "")</f>
        <v/>
      </c>
    </row>
    <row r="381" spans="1:10" x14ac:dyDescent="0.35">
      <c r="A381" s="6" t="s">
        <v>1461</v>
      </c>
      <c r="B381" s="6" t="s">
        <v>1462</v>
      </c>
      <c r="C381" s="6" t="s">
        <v>1463</v>
      </c>
      <c r="D381" s="6" t="s">
        <v>1464</v>
      </c>
      <c r="E381" s="11">
        <v>734.49</v>
      </c>
      <c r="G381" s="6" t="s">
        <v>2285</v>
      </c>
      <c r="H381" s="6" t="str" cm="1">
        <f t="array" ref="H381">IFERROR(INDEX($D$2:$D$554 &amp; " ($" &amp; TEXT($E$2:$E$554, "#,##0.00") &amp; ")", SMALL(IF($A$2:$A$554=$G381, ROW($D$2:$D$554)-ROW($D$2)+1), COLUMN(A381))), "")</f>
        <v>CARWARS STARTER 3500 ($299.00)</v>
      </c>
      <c r="I381" s="6" t="str" cm="1">
        <f t="array" ref="I381">IFERROR(INDEX($D$2:$D$554 &amp; " ($" &amp; TEXT($E$2:$E$554, "#,##0.00") &amp; ")", SMALL(IF($A$2:$A$554=$G381, ROW($D$2:$D$554)-ROW($D$2)+1), COLUMN(B381))), "")</f>
        <v/>
      </c>
      <c r="J381" s="6" t="str" cm="1">
        <f t="array" ref="J381">IFERROR(INDEX($D$2:$D$554 &amp; " ($" &amp; TEXT($E$2:$E$554, "#,##0.00") &amp; ")", SMALL(IF($A$2:$A$554=$G381, ROW($D$2:$D$554)-ROW($D$2)+1), COLUMN(C381))), "")</f>
        <v/>
      </c>
    </row>
    <row r="382" spans="1:10" x14ac:dyDescent="0.35">
      <c r="A382" s="6" t="s">
        <v>2256</v>
      </c>
      <c r="B382" s="6" t="s">
        <v>273</v>
      </c>
      <c r="C382" s="6" t="s">
        <v>42</v>
      </c>
      <c r="D382" s="6" t="s">
        <v>43</v>
      </c>
      <c r="E382" s="11">
        <v>1386.75</v>
      </c>
      <c r="G382" s="6" t="s">
        <v>2286</v>
      </c>
      <c r="H382" s="6" t="str" cm="1">
        <f t="array" ref="H382">IFERROR(INDEX($D$2:$D$554 &amp; " ($" &amp; TEXT($E$2:$E$554, "#,##0.00") &amp; ")", SMALL(IF($A$2:$A$554=$G382, ROW($D$2:$D$554)-ROW($D$2)+1), COLUMN(A382))), "")</f>
        <v>CARWARS ELITE SMALL ($1,199.00)</v>
      </c>
      <c r="I382" s="6" t="str" cm="1">
        <f t="array" ref="I382">IFERROR(INDEX($D$2:$D$554 &amp; " ($" &amp; TEXT($E$2:$E$554, "#,##0.00") &amp; ")", SMALL(IF($A$2:$A$554=$G382, ROW($D$2:$D$554)-ROW($D$2)+1), COLUMN(B382))), "")</f>
        <v/>
      </c>
      <c r="J382" s="6" t="str" cm="1">
        <f t="array" ref="J382">IFERROR(INDEX($D$2:$D$554 &amp; " ($" &amp; TEXT($E$2:$E$554, "#,##0.00") &amp; ")", SMALL(IF($A$2:$A$554=$G382, ROW($D$2:$D$554)-ROW($D$2)+1), COLUMN(C382))), "")</f>
        <v/>
      </c>
    </row>
    <row r="383" spans="1:10" x14ac:dyDescent="0.35">
      <c r="A383" s="6" t="s">
        <v>2257</v>
      </c>
      <c r="B383" s="6" t="s">
        <v>796</v>
      </c>
      <c r="C383" s="6" t="s">
        <v>35</v>
      </c>
      <c r="D383" s="6" t="s">
        <v>36</v>
      </c>
      <c r="E383" s="11">
        <v>371.18</v>
      </c>
      <c r="G383" s="6" t="s">
        <v>1132</v>
      </c>
      <c r="H383" s="6" t="str" cm="1">
        <f t="array" ref="H383">IFERROR(INDEX($D$2:$D$554 &amp; " ($" &amp; TEXT($E$2:$E$554, "#,##0.00") &amp; ")", SMALL(IF($A$2:$A$554=$G383, ROW($D$2:$D$554)-ROW($D$2)+1), COLUMN(A383))), "")</f>
        <v>CAR WARS CUSTOM PACKAGE--VICTORY AUTO ($1,053.45)</v>
      </c>
      <c r="I383" s="6" t="str" cm="1">
        <f t="array" ref="I383">IFERROR(INDEX($D$2:$D$554 &amp; " ($" &amp; TEXT($E$2:$E$554, "#,##0.00") &amp; ")", SMALL(IF($A$2:$A$554=$G383, ROW($D$2:$D$554)-ROW($D$2)+1), COLUMN(B383))), "")</f>
        <v/>
      </c>
      <c r="J383" s="6" t="str" cm="1">
        <f t="array" ref="J383">IFERROR(INDEX($D$2:$D$554 &amp; " ($" &amp; TEXT($E$2:$E$554, "#,##0.00") &amp; ")", SMALL(IF($A$2:$A$554=$G383, ROW($D$2:$D$554)-ROW($D$2)+1), COLUMN(C383))), "")</f>
        <v/>
      </c>
    </row>
    <row r="384" spans="1:10" x14ac:dyDescent="0.35">
      <c r="A384" s="6" t="s">
        <v>1051</v>
      </c>
      <c r="B384" s="6" t="s">
        <v>1052</v>
      </c>
      <c r="C384" s="6" t="s">
        <v>1526</v>
      </c>
      <c r="D384" s="6" t="s">
        <v>971</v>
      </c>
      <c r="E384" s="11">
        <v>1053.45</v>
      </c>
      <c r="G384" s="6" t="s">
        <v>1087</v>
      </c>
      <c r="H384" s="6" t="str" cm="1">
        <f t="array" ref="H384">IFERROR(INDEX($D$2:$D$554 &amp; " ($" &amp; TEXT($E$2:$E$554, "#,##0.00") &amp; ")", SMALL(IF($A$2:$A$554=$G384, ROW($D$2:$D$554)-ROW($D$2)+1), COLUMN(A384))), "")</f>
        <v>CAR WARS CUSTOM PACKAGE--VICTORY AUTO ($1,053.45)</v>
      </c>
      <c r="I384" s="6" t="str" cm="1">
        <f t="array" ref="I384">IFERROR(INDEX($D$2:$D$554 &amp; " ($" &amp; TEXT($E$2:$E$554, "#,##0.00") &amp; ")", SMALL(IF($A$2:$A$554=$G384, ROW($D$2:$D$554)-ROW($D$2)+1), COLUMN(B384))), "")</f>
        <v/>
      </c>
      <c r="J384" s="6" t="str" cm="1">
        <f t="array" ref="J384">IFERROR(INDEX($D$2:$D$554 &amp; " ($" &amp; TEXT($E$2:$E$554, "#,##0.00") &amp; ")", SMALL(IF($A$2:$A$554=$G384, ROW($D$2:$D$554)-ROW($D$2)+1), COLUMN(C384))), "")</f>
        <v/>
      </c>
    </row>
    <row r="385" spans="1:10" x14ac:dyDescent="0.35">
      <c r="A385" s="6" t="s">
        <v>1465</v>
      </c>
      <c r="B385" s="6" t="s">
        <v>1466</v>
      </c>
      <c r="C385" s="6" t="s">
        <v>42</v>
      </c>
      <c r="D385" s="6" t="s">
        <v>43</v>
      </c>
      <c r="E385" s="11">
        <v>1904.47</v>
      </c>
      <c r="G385" s="6" t="s">
        <v>2287</v>
      </c>
      <c r="H385" s="6" t="str" cm="1">
        <f t="array" ref="H385">IFERROR(INDEX($D$2:$D$554 &amp; " ($" &amp; TEXT($E$2:$E$554, "#,##0.00") &amp; ")", SMALL(IF($A$2:$A$554=$G385, ROW($D$2:$D$554)-ROW($D$2)+1), COLUMN(A385))), "")</f>
        <v>CARWARS ELITE LARGE ($2,981.00)</v>
      </c>
      <c r="I385" s="6" t="str" cm="1">
        <f t="array" ref="I385">IFERROR(INDEX($D$2:$D$554 &amp; " ($" &amp; TEXT($E$2:$E$554, "#,##0.00") &amp; ")", SMALL(IF($A$2:$A$554=$G385, ROW($D$2:$D$554)-ROW($D$2)+1), COLUMN(B385))), "")</f>
        <v/>
      </c>
      <c r="J385" s="6" t="str" cm="1">
        <f t="array" ref="J385">IFERROR(INDEX($D$2:$D$554 &amp; " ($" &amp; TEXT($E$2:$E$554, "#,##0.00") &amp; ")", SMALL(IF($A$2:$A$554=$G385, ROW($D$2:$D$554)-ROW($D$2)+1), COLUMN(C385))), "")</f>
        <v/>
      </c>
    </row>
    <row r="386" spans="1:10" x14ac:dyDescent="0.35">
      <c r="A386" s="6" t="s">
        <v>2258</v>
      </c>
      <c r="B386" s="6" t="s">
        <v>479</v>
      </c>
      <c r="C386" s="6" t="s">
        <v>48</v>
      </c>
      <c r="D386" s="6" t="s">
        <v>49</v>
      </c>
      <c r="E386" s="11">
        <v>299</v>
      </c>
      <c r="G386" s="6" t="s">
        <v>1030</v>
      </c>
      <c r="H386" s="6" t="str" cm="1">
        <f t="array" ref="H386">IFERROR(INDEX($D$2:$D$554 &amp; " ($" &amp; TEXT($E$2:$E$554, "#,##0.00") &amp; ")", SMALL(IF($A$2:$A$554=$G386, ROW($D$2:$D$554)-ROW($D$2)+1), COLUMN(A386))), "")</f>
        <v>CAR WARS CUSTOM PACKAGE--VICTORY AUTO ($1,053.45)</v>
      </c>
      <c r="I386" s="6" t="str" cm="1">
        <f t="array" ref="I386">IFERROR(INDEX($D$2:$D$554 &amp; " ($" &amp; TEXT($E$2:$E$554, "#,##0.00") &amp; ")", SMALL(IF($A$2:$A$554=$G386, ROW($D$2:$D$554)-ROW($D$2)+1), COLUMN(B386))), "")</f>
        <v/>
      </c>
      <c r="J386" s="6" t="str" cm="1">
        <f t="array" ref="J386">IFERROR(INDEX($D$2:$D$554 &amp; " ($" &amp; TEXT($E$2:$E$554, "#,##0.00") &amp; ")", SMALL(IF($A$2:$A$554=$G386, ROW($D$2:$D$554)-ROW($D$2)+1), COLUMN(C386))), "")</f>
        <v/>
      </c>
    </row>
    <row r="387" spans="1:10" x14ac:dyDescent="0.35">
      <c r="A387" s="6" t="s">
        <v>1063</v>
      </c>
      <c r="B387" s="6" t="s">
        <v>1064</v>
      </c>
      <c r="C387" s="6" t="s">
        <v>1526</v>
      </c>
      <c r="D387" s="6" t="s">
        <v>971</v>
      </c>
      <c r="E387" s="11">
        <v>1053.45</v>
      </c>
      <c r="G387" s="6" t="s">
        <v>2288</v>
      </c>
      <c r="H387" s="6" t="str" cm="1">
        <f t="array" ref="H387">IFERROR(INDEX($D$2:$D$554 &amp; " ($" &amp; TEXT($E$2:$E$554, "#,##0.00") &amp; ")", SMALL(IF($A$2:$A$554=$G387, ROW($D$2:$D$554)-ROW($D$2)+1), COLUMN(A387))), "")</f>
        <v>CARWARS INDEFINITE CALL RECORDINGS ($20.00)</v>
      </c>
      <c r="I387" s="6" t="str" cm="1">
        <f t="array" ref="I387">IFERROR(INDEX($D$2:$D$554 &amp; " ($" &amp; TEXT($E$2:$E$554, "#,##0.00") &amp; ")", SMALL(IF($A$2:$A$554=$G387, ROW($D$2:$D$554)-ROW($D$2)+1), COLUMN(B387))), "")</f>
        <v>CARWARS ELITE 12,500 PACKAGE ($1,499.00)</v>
      </c>
      <c r="J387" s="6" t="str" cm="1">
        <f t="array" ref="J387">IFERROR(INDEX($D$2:$D$554 &amp; " ($" &amp; TEXT($E$2:$E$554, "#,##0.00") &amp; ")", SMALL(IF($A$2:$A$554=$G387, ROW($D$2:$D$554)-ROW($D$2)+1), COLUMN(C387))), "")</f>
        <v/>
      </c>
    </row>
    <row r="388" spans="1:10" x14ac:dyDescent="0.35">
      <c r="A388" s="6" t="s">
        <v>1167</v>
      </c>
      <c r="B388" s="6" t="s">
        <v>1168</v>
      </c>
      <c r="C388" s="6" t="s">
        <v>35</v>
      </c>
      <c r="D388" s="6" t="s">
        <v>36</v>
      </c>
      <c r="E388" s="11">
        <v>445.73</v>
      </c>
      <c r="G388" s="6" t="s">
        <v>2289</v>
      </c>
      <c r="H388" s="6" t="str" cm="1">
        <f t="array" ref="H388">IFERROR(INDEX($D$2:$D$554 &amp; " ($" &amp; TEXT($E$2:$E$554, "#,##0.00") &amp; ")", SMALL(IF($A$2:$A$554=$G388, ROW($D$2:$D$554)-ROW($D$2)+1), COLUMN(A388))), "")</f>
        <v>CARWARS ELITE 12,500 PACKAGE ($1,499.00)</v>
      </c>
      <c r="I388" s="6" t="str" cm="1">
        <f t="array" ref="I388">IFERROR(INDEX($D$2:$D$554 &amp; " ($" &amp; TEXT($E$2:$E$554, "#,##0.00") &amp; ")", SMALL(IF($A$2:$A$554=$G388, ROW($D$2:$D$554)-ROW($D$2)+1), COLUMN(B388))), "")</f>
        <v/>
      </c>
      <c r="J388" s="6" t="str" cm="1">
        <f t="array" ref="J388">IFERROR(INDEX($D$2:$D$554 &amp; " ($" &amp; TEXT($E$2:$E$554, "#,##0.00") &amp; ")", SMALL(IF($A$2:$A$554=$G388, ROW($D$2:$D$554)-ROW($D$2)+1), COLUMN(C388))), "")</f>
        <v/>
      </c>
    </row>
    <row r="389" spans="1:10" x14ac:dyDescent="0.35">
      <c r="A389" s="6" t="s">
        <v>1144</v>
      </c>
      <c r="B389" s="6" t="s">
        <v>1145</v>
      </c>
      <c r="C389" s="6" t="s">
        <v>35</v>
      </c>
      <c r="D389" s="6" t="s">
        <v>36</v>
      </c>
      <c r="E389" s="11">
        <v>445.73</v>
      </c>
      <c r="G389" s="6" t="s">
        <v>2290</v>
      </c>
      <c r="H389" s="6" t="str" cm="1">
        <f t="array" ref="H389">IFERROR(INDEX($D$2:$D$554 &amp; " ($" &amp; TEXT($E$2:$E$554, "#,##0.00") &amp; ")", SMALL(IF($A$2:$A$554=$G389, ROW($D$2:$D$554)-ROW($D$2)+1), COLUMN(A389))), "")</f>
        <v>CARWARS ELITE 12,500 PACKAGE ($1,499.00)</v>
      </c>
      <c r="I389" s="6" t="str" cm="1">
        <f t="array" ref="I389">IFERROR(INDEX($D$2:$D$554 &amp; " ($" &amp; TEXT($E$2:$E$554, "#,##0.00") &amp; ")", SMALL(IF($A$2:$A$554=$G389, ROW($D$2:$D$554)-ROW($D$2)+1), COLUMN(B389))), "")</f>
        <v/>
      </c>
      <c r="J389" s="6" t="str" cm="1">
        <f t="array" ref="J389">IFERROR(INDEX($D$2:$D$554 &amp; " ($" &amp; TEXT($E$2:$E$554, "#,##0.00") &amp; ")", SMALL(IF($A$2:$A$554=$G389, ROW($D$2:$D$554)-ROW($D$2)+1), COLUMN(C389))), "")</f>
        <v/>
      </c>
    </row>
    <row r="390" spans="1:10" x14ac:dyDescent="0.35">
      <c r="A390" s="6" t="s">
        <v>1176</v>
      </c>
      <c r="B390" s="6" t="s">
        <v>1177</v>
      </c>
      <c r="C390" s="6" t="s">
        <v>35</v>
      </c>
      <c r="D390" s="6" t="s">
        <v>36</v>
      </c>
      <c r="E390" s="11">
        <v>445.73</v>
      </c>
      <c r="G390" s="6" t="s">
        <v>2291</v>
      </c>
      <c r="H390" s="6" t="str" cm="1">
        <f t="array" ref="H390">IFERROR(INDEX($D$2:$D$554 &amp; " ($" &amp; TEXT($E$2:$E$554, "#,##0.00") &amp; ")", SMALL(IF($A$2:$A$554=$G390, ROW($D$2:$D$554)-ROW($D$2)+1), COLUMN(A390))), "")</f>
        <v>CARWARS STARTER 3500 ($319.00)</v>
      </c>
      <c r="I390" s="6" t="str" cm="1">
        <f t="array" ref="I390">IFERROR(INDEX($D$2:$D$554 &amp; " ($" &amp; TEXT($E$2:$E$554, "#,##0.00") &amp; ")", SMALL(IF($A$2:$A$554=$G390, ROW($D$2:$D$554)-ROW($D$2)+1), COLUMN(B390))), "")</f>
        <v/>
      </c>
      <c r="J390" s="6" t="str" cm="1">
        <f t="array" ref="J390">IFERROR(INDEX($D$2:$D$554 &amp; " ($" &amp; TEXT($E$2:$E$554, "#,##0.00") &amp; ")", SMALL(IF($A$2:$A$554=$G390, ROW($D$2:$D$554)-ROW($D$2)+1), COLUMN(C390))), "")</f>
        <v/>
      </c>
    </row>
    <row r="391" spans="1:10" x14ac:dyDescent="0.35">
      <c r="A391" s="6" t="s">
        <v>1161</v>
      </c>
      <c r="B391" s="6" t="s">
        <v>1162</v>
      </c>
      <c r="C391" s="6" t="s">
        <v>35</v>
      </c>
      <c r="D391" s="6" t="s">
        <v>36</v>
      </c>
      <c r="E391" s="11">
        <v>445.73</v>
      </c>
      <c r="G391" s="6" t="s">
        <v>2292</v>
      </c>
      <c r="H391" s="6" t="str" cm="1">
        <f t="array" ref="H391">IFERROR(INDEX($D$2:$D$554 &amp; " ($" &amp; TEXT($E$2:$E$554, "#,##0.00") &amp; ")", SMALL(IF($A$2:$A$554=$G391, ROW($D$2:$D$554)-ROW($D$2)+1), COLUMN(A391))), "")</f>
        <v>CARWARS STARTER 7500 ($499.00)</v>
      </c>
      <c r="I391" s="6" t="str" cm="1">
        <f t="array" ref="I391">IFERROR(INDEX($D$2:$D$554 &amp; " ($" &amp; TEXT($E$2:$E$554, "#,##0.00") &amp; ")", SMALL(IF($A$2:$A$554=$G391, ROW($D$2:$D$554)-ROW($D$2)+1), COLUMN(B391))), "")</f>
        <v/>
      </c>
      <c r="J391" s="6" t="str" cm="1">
        <f t="array" ref="J391">IFERROR(INDEX($D$2:$D$554 &amp; " ($" &amp; TEXT($E$2:$E$554, "#,##0.00") &amp; ")", SMALL(IF($A$2:$A$554=$G391, ROW($D$2:$D$554)-ROW($D$2)+1), COLUMN(C391))), "")</f>
        <v/>
      </c>
    </row>
    <row r="392" spans="1:10" x14ac:dyDescent="0.35">
      <c r="A392" s="6" t="s">
        <v>2259</v>
      </c>
      <c r="B392" s="6" t="s">
        <v>459</v>
      </c>
      <c r="C392" s="6" t="s">
        <v>35</v>
      </c>
      <c r="D392" s="6" t="s">
        <v>36</v>
      </c>
      <c r="E392" s="11">
        <v>299</v>
      </c>
      <c r="G392" s="6" t="s">
        <v>2293</v>
      </c>
      <c r="H392" s="6" t="str" cm="1">
        <f t="array" ref="H392">IFERROR(INDEX($D$2:$D$554 &amp; " ($" &amp; TEXT($E$2:$E$554, "#,##0.00") &amp; ")", SMALL(IF($A$2:$A$554=$G392, ROW($D$2:$D$554)-ROW($D$2)+1), COLUMN(A392))), "")</f>
        <v>CARWARS STARTER 3500 ($337.95)</v>
      </c>
      <c r="I392" s="6" t="str" cm="1">
        <f t="array" ref="I392">IFERROR(INDEX($D$2:$D$554 &amp; " ($" &amp; TEXT($E$2:$E$554, "#,##0.00") &amp; ")", SMALL(IF($A$2:$A$554=$G392, ROW($D$2:$D$554)-ROW($D$2)+1), COLUMN(B392))), "")</f>
        <v/>
      </c>
      <c r="J392" s="6" t="str" cm="1">
        <f t="array" ref="J392">IFERROR(INDEX($D$2:$D$554 &amp; " ($" &amp; TEXT($E$2:$E$554, "#,##0.00") &amp; ")", SMALL(IF($A$2:$A$554=$G392, ROW($D$2:$D$554)-ROW($D$2)+1), COLUMN(C392))), "")</f>
        <v/>
      </c>
    </row>
    <row r="393" spans="1:10" x14ac:dyDescent="0.35">
      <c r="A393" s="6" t="s">
        <v>2259</v>
      </c>
      <c r="B393" s="6" t="s">
        <v>459</v>
      </c>
      <c r="C393" s="6" t="s">
        <v>42</v>
      </c>
      <c r="D393" s="6" t="s">
        <v>43</v>
      </c>
      <c r="E393" s="11">
        <v>1386.75</v>
      </c>
      <c r="G393" s="6" t="s">
        <v>2294</v>
      </c>
      <c r="H393" s="6" t="str" cm="1">
        <f t="array" ref="H393">IFERROR(INDEX($D$2:$D$554 &amp; " ($" &amp; TEXT($E$2:$E$554, "#,##0.00") &amp; ")", SMALL(IF($A$2:$A$554=$G393, ROW($D$2:$D$554)-ROW($D$2)+1), COLUMN(A393))), "")</f>
        <v>CARWARS STARTER 3500 ($319.00)</v>
      </c>
      <c r="I393" s="6" t="str" cm="1">
        <f t="array" ref="I393">IFERROR(INDEX($D$2:$D$554 &amp; " ($" &amp; TEXT($E$2:$E$554, "#,##0.00") &amp; ")", SMALL(IF($A$2:$A$554=$G393, ROW($D$2:$D$554)-ROW($D$2)+1), COLUMN(B393))), "")</f>
        <v/>
      </c>
      <c r="J393" s="6" t="str" cm="1">
        <f t="array" ref="J393">IFERROR(INDEX($D$2:$D$554 &amp; " ($" &amp; TEXT($E$2:$E$554, "#,##0.00") &amp; ")", SMALL(IF($A$2:$A$554=$G393, ROW($D$2:$D$554)-ROW($D$2)+1), COLUMN(C393))), "")</f>
        <v/>
      </c>
    </row>
    <row r="394" spans="1:10" x14ac:dyDescent="0.35">
      <c r="A394" s="6" t="s">
        <v>2260</v>
      </c>
      <c r="B394" s="6" t="s">
        <v>747</v>
      </c>
      <c r="C394" s="6" t="s">
        <v>48</v>
      </c>
      <c r="D394" s="6" t="s">
        <v>49</v>
      </c>
      <c r="E394" s="11">
        <v>322.92</v>
      </c>
      <c r="G394" s="6" t="s">
        <v>1000</v>
      </c>
      <c r="H394" s="6" t="str" cm="1">
        <f t="array" ref="H394">IFERROR(INDEX($D$2:$D$554 &amp; " ($" &amp; TEXT($E$2:$E$554, "#,##0.00") &amp; ")", SMALL(IF($A$2:$A$554=$G394, ROW($D$2:$D$554)-ROW($D$2)+1), COLUMN(A394))), "")</f>
        <v>CAR WARS CUSTOM PACKAGE--VICTORY AUTO ($1,053.45)</v>
      </c>
      <c r="I394" s="6" t="str" cm="1">
        <f t="array" ref="I394">IFERROR(INDEX($D$2:$D$554 &amp; " ($" &amp; TEXT($E$2:$E$554, "#,##0.00") &amp; ")", SMALL(IF($A$2:$A$554=$G394, ROW($D$2:$D$554)-ROW($D$2)+1), COLUMN(B394))), "")</f>
        <v/>
      </c>
      <c r="J394" s="6" t="str" cm="1">
        <f t="array" ref="J394">IFERROR(INDEX($D$2:$D$554 &amp; " ($" &amp; TEXT($E$2:$E$554, "#,##0.00") &amp; ")", SMALL(IF($A$2:$A$554=$G394, ROW($D$2:$D$554)-ROW($D$2)+1), COLUMN(C394))), "")</f>
        <v/>
      </c>
    </row>
    <row r="395" spans="1:10" x14ac:dyDescent="0.35">
      <c r="A395" s="6" t="s">
        <v>2261</v>
      </c>
      <c r="B395" s="6" t="s">
        <v>566</v>
      </c>
      <c r="C395" s="6" t="s">
        <v>74</v>
      </c>
      <c r="D395" s="6" t="s">
        <v>75</v>
      </c>
      <c r="E395" s="11">
        <v>499</v>
      </c>
      <c r="G395" s="6" t="s">
        <v>2295</v>
      </c>
      <c r="H395" s="6" t="str" cm="1">
        <f t="array" ref="H395">IFERROR(INDEX($D$2:$D$554 &amp; " ($" &amp; TEXT($E$2:$E$554, "#,##0.00") &amp; ")", SMALL(IF($A$2:$A$554=$G395, ROW($D$2:$D$554)-ROW($D$2)+1), COLUMN(A395))), "")</f>
        <v>CARWARS PREMIUM SALES ($1,386.75)</v>
      </c>
      <c r="I395" s="6" t="str" cm="1">
        <f t="array" ref="I395">IFERROR(INDEX($D$2:$D$554 &amp; " ($" &amp; TEXT($E$2:$E$554, "#,##0.00") &amp; ")", SMALL(IF($A$2:$A$554=$G395, ROW($D$2:$D$554)-ROW($D$2)+1), COLUMN(B395))), "")</f>
        <v/>
      </c>
      <c r="J395" s="6" t="str" cm="1">
        <f t="array" ref="J395">IFERROR(INDEX($D$2:$D$554 &amp; " ($" &amp; TEXT($E$2:$E$554, "#,##0.00") &amp; ")", SMALL(IF($A$2:$A$554=$G395, ROW($D$2:$D$554)-ROW($D$2)+1), COLUMN(C395))), "")</f>
        <v/>
      </c>
    </row>
    <row r="396" spans="1:10" x14ac:dyDescent="0.35">
      <c r="A396" s="6" t="s">
        <v>2261</v>
      </c>
      <c r="B396" s="6" t="s">
        <v>566</v>
      </c>
      <c r="C396" s="6" t="s">
        <v>2076</v>
      </c>
      <c r="D396" s="6" t="s">
        <v>2077</v>
      </c>
      <c r="E396" s="11">
        <v>249</v>
      </c>
      <c r="G396" s="6" t="s">
        <v>2296</v>
      </c>
      <c r="H396" s="6" t="str" cm="1">
        <f t="array" ref="H396">IFERROR(INDEX($D$2:$D$554 &amp; " ($" &amp; TEXT($E$2:$E$554, "#,##0.00") &amp; ")", SMALL(IF($A$2:$A$554=$G396, ROW($D$2:$D$554)-ROW($D$2)+1), COLUMN(A396))), "")</f>
        <v>CARWARS STARTER 5000 ($599.00)</v>
      </c>
      <c r="I396" s="6" t="str" cm="1">
        <f t="array" ref="I396">IFERROR(INDEX($D$2:$D$554 &amp; " ($" &amp; TEXT($E$2:$E$554, "#,##0.00") &amp; ")", SMALL(IF($A$2:$A$554=$G396, ROW($D$2:$D$554)-ROW($D$2)+1), COLUMN(B396))), "")</f>
        <v/>
      </c>
      <c r="J396" s="6" t="str" cm="1">
        <f t="array" ref="J396">IFERROR(INDEX($D$2:$D$554 &amp; " ($" &amp; TEXT($E$2:$E$554, "#,##0.00") &amp; ")", SMALL(IF($A$2:$A$554=$G396, ROW($D$2:$D$554)-ROW($D$2)+1), COLUMN(C396))), "")</f>
        <v/>
      </c>
    </row>
    <row r="397" spans="1:10" x14ac:dyDescent="0.35">
      <c r="A397" s="6" t="s">
        <v>2262</v>
      </c>
      <c r="B397" s="6" t="s">
        <v>302</v>
      </c>
      <c r="C397" s="6" t="s">
        <v>42</v>
      </c>
      <c r="D397" s="6" t="s">
        <v>43</v>
      </c>
      <c r="E397" s="11">
        <v>1469.12</v>
      </c>
      <c r="G397" s="6" t="s">
        <v>1126</v>
      </c>
      <c r="H397" s="6" t="str" cm="1">
        <f t="array" ref="H397">IFERROR(INDEX($D$2:$D$554 &amp; " ($" &amp; TEXT($E$2:$E$554, "#,##0.00") &amp; ")", SMALL(IF($A$2:$A$554=$G397, ROW($D$2:$D$554)-ROW($D$2)+1), COLUMN(A397))), "")</f>
        <v>CARWARS TEXTING (STARTER/ADVANCED) ($498.00)</v>
      </c>
      <c r="I397" s="6" t="str" cm="1">
        <f t="array" ref="I397">IFERROR(INDEX($D$2:$D$554 &amp; " ($" &amp; TEXT($E$2:$E$554, "#,##0.00") &amp; ")", SMALL(IF($A$2:$A$554=$G397, ROW($D$2:$D$554)-ROW($D$2)+1), COLUMN(B397))), "")</f>
        <v>CAR WARS CUSTOM PACKAGE--VICTORY AUTO ($1,053.45)</v>
      </c>
      <c r="J397" s="6" t="str" cm="1">
        <f t="array" ref="J397">IFERROR(INDEX($D$2:$D$554 &amp; " ($" &amp; TEXT($E$2:$E$554, "#,##0.00") &amp; ")", SMALL(IF($A$2:$A$554=$G397, ROW($D$2:$D$554)-ROW($D$2)+1), COLUMN(C397))), "")</f>
        <v/>
      </c>
    </row>
    <row r="398" spans="1:10" x14ac:dyDescent="0.35">
      <c r="A398" s="6" t="s">
        <v>2263</v>
      </c>
      <c r="B398" s="6" t="s">
        <v>791</v>
      </c>
      <c r="C398" s="6" t="s">
        <v>48</v>
      </c>
      <c r="D398" s="6" t="s">
        <v>49</v>
      </c>
      <c r="E398" s="11">
        <v>350.37</v>
      </c>
      <c r="G398" s="6" t="s">
        <v>2297</v>
      </c>
      <c r="H398" s="6" t="str" cm="1">
        <f t="array" ref="H398">IFERROR(INDEX($D$2:$D$554 &amp; " ($" &amp; TEXT($E$2:$E$554, "#,##0.00") &amp; ")", SMALL(IF($A$2:$A$554=$G398, ROW($D$2:$D$554)-ROW($D$2)+1), COLUMN(A398))), "")</f>
        <v>CARWARS STARTER 5000 ($599.00)</v>
      </c>
      <c r="I398" s="6" t="str" cm="1">
        <f t="array" ref="I398">IFERROR(INDEX($D$2:$D$554 &amp; " ($" &amp; TEXT($E$2:$E$554, "#,##0.00") &amp; ")", SMALL(IF($A$2:$A$554=$G398, ROW($D$2:$D$554)-ROW($D$2)+1), COLUMN(B398))), "")</f>
        <v/>
      </c>
      <c r="J398" s="6" t="str" cm="1">
        <f t="array" ref="J398">IFERROR(INDEX($D$2:$D$554 &amp; " ($" &amp; TEXT($E$2:$E$554, "#,##0.00") &amp; ")", SMALL(IF($A$2:$A$554=$G398, ROW($D$2:$D$554)-ROW($D$2)+1), COLUMN(C398))), "")</f>
        <v/>
      </c>
    </row>
    <row r="399" spans="1:10" x14ac:dyDescent="0.35">
      <c r="A399" s="6" t="s">
        <v>1075</v>
      </c>
      <c r="B399" s="6" t="s">
        <v>1076</v>
      </c>
      <c r="C399" s="6" t="s">
        <v>1526</v>
      </c>
      <c r="D399" s="6" t="s">
        <v>971</v>
      </c>
      <c r="E399" s="11">
        <v>1053.45</v>
      </c>
      <c r="G399" s="6" t="s">
        <v>1499</v>
      </c>
      <c r="H399" s="6" t="str" cm="1">
        <f t="array" ref="H399">IFERROR(INDEX($D$2:$D$554 &amp; " ($" &amp; TEXT($E$2:$E$554, "#,##0.00") &amp; ")", SMALL(IF($A$2:$A$554=$G399, ROW($D$2:$D$554)-ROW($D$2)+1), COLUMN(A399))), "")</f>
        <v>CRM TELEPHONY TRACKING ($0.00)</v>
      </c>
      <c r="I399" s="6" t="str" cm="1">
        <f t="array" ref="I399">IFERROR(INDEX($D$2:$D$554 &amp; " ($" &amp; TEXT($E$2:$E$554, "#,##0.00") &amp; ")", SMALL(IF($A$2:$A$554=$G399, ROW($D$2:$D$554)-ROW($D$2)+1), COLUMN(B399))), "")</f>
        <v/>
      </c>
      <c r="J399" s="6" t="str" cm="1">
        <f t="array" ref="J399">IFERROR(INDEX($D$2:$D$554 &amp; " ($" &amp; TEXT($E$2:$E$554, "#,##0.00") &amp; ")", SMALL(IF($A$2:$A$554=$G399, ROW($D$2:$D$554)-ROW($D$2)+1), COLUMN(C399))), "")</f>
        <v/>
      </c>
    </row>
    <row r="400" spans="1:10" x14ac:dyDescent="0.35">
      <c r="A400" s="6" t="s">
        <v>1467</v>
      </c>
      <c r="B400" s="6" t="s">
        <v>1468</v>
      </c>
      <c r="C400" s="6" t="s">
        <v>1329</v>
      </c>
      <c r="D400" s="6" t="s">
        <v>1330</v>
      </c>
      <c r="E400" s="11">
        <v>104</v>
      </c>
      <c r="G400" s="6" t="s">
        <v>2298</v>
      </c>
      <c r="H400" s="6" t="str" cm="1">
        <f t="array" ref="H400">IFERROR(INDEX($D$2:$D$554 &amp; " ($" &amp; TEXT($E$2:$E$554, "#,##0.00") &amp; ")", SMALL(IF($A$2:$A$554=$G400, ROW($D$2:$D$554)-ROW($D$2)+1), COLUMN(A400))), "")</f>
        <v>CARWARS PREMIUM SALES ($1,386.75)</v>
      </c>
      <c r="I400" s="6" t="str" cm="1">
        <f t="array" ref="I400">IFERROR(INDEX($D$2:$D$554 &amp; " ($" &amp; TEXT($E$2:$E$554, "#,##0.00") &amp; ")", SMALL(IF($A$2:$A$554=$G400, ROW($D$2:$D$554)-ROW($D$2)+1), COLUMN(B400))), "")</f>
        <v/>
      </c>
      <c r="J400" s="6" t="str" cm="1">
        <f t="array" ref="J400">IFERROR(INDEX($D$2:$D$554 &amp; " ($" &amp; TEXT($E$2:$E$554, "#,##0.00") &amp; ")", SMALL(IF($A$2:$A$554=$G400, ROW($D$2:$D$554)-ROW($D$2)+1), COLUMN(C400))), "")</f>
        <v/>
      </c>
    </row>
    <row r="401" spans="1:10" x14ac:dyDescent="0.35">
      <c r="A401" s="6" t="s">
        <v>1469</v>
      </c>
      <c r="B401" s="6" t="s">
        <v>1470</v>
      </c>
      <c r="C401" s="6" t="s">
        <v>1329</v>
      </c>
      <c r="D401" s="6" t="s">
        <v>1330</v>
      </c>
      <c r="E401" s="11">
        <v>104</v>
      </c>
      <c r="G401" s="6" t="s">
        <v>2299</v>
      </c>
      <c r="H401" s="6" t="str" cm="1">
        <f t="array" ref="H401">IFERROR(INDEX($D$2:$D$554 &amp; " ($" &amp; TEXT($E$2:$E$554, "#,##0.00") &amp; ")", SMALL(IF($A$2:$A$554=$G401, ROW($D$2:$D$554)-ROW($D$2)+1), COLUMN(A401))), "")</f>
        <v>CARWARS PREMIUM SALES ($1,386.75)</v>
      </c>
      <c r="I401" s="6" t="str" cm="1">
        <f t="array" ref="I401">IFERROR(INDEX($D$2:$D$554 &amp; " ($" &amp; TEXT($E$2:$E$554, "#,##0.00") &amp; ")", SMALL(IF($A$2:$A$554=$G401, ROW($D$2:$D$554)-ROW($D$2)+1), COLUMN(B401))), "")</f>
        <v/>
      </c>
      <c r="J401" s="6" t="str" cm="1">
        <f t="array" ref="J401">IFERROR(INDEX($D$2:$D$554 &amp; " ($" &amp; TEXT($E$2:$E$554, "#,##0.00") &amp; ")", SMALL(IF($A$2:$A$554=$G401, ROW($D$2:$D$554)-ROW($D$2)+1), COLUMN(C401))), "")</f>
        <v/>
      </c>
    </row>
    <row r="402" spans="1:10" x14ac:dyDescent="0.35">
      <c r="A402" s="6" t="s">
        <v>2264</v>
      </c>
      <c r="B402" s="6" t="s">
        <v>438</v>
      </c>
      <c r="C402" s="6" t="s">
        <v>67</v>
      </c>
      <c r="D402" s="6" t="s">
        <v>68</v>
      </c>
      <c r="E402" s="11">
        <v>599</v>
      </c>
      <c r="G402" s="6" t="s">
        <v>2300</v>
      </c>
      <c r="H402" s="6" t="str" cm="1">
        <f t="array" ref="H402">IFERROR(INDEX($D$2:$D$554 &amp; " ($" &amp; TEXT($E$2:$E$554, "#,##0.00") &amp; ")", SMALL(IF($A$2:$A$554=$G402, ROW($D$2:$D$554)-ROW($D$2)+1), COLUMN(A402))), "")</f>
        <v>CARWARS PREMIUM SALES ($1,386.75)</v>
      </c>
      <c r="I402" s="6" t="str" cm="1">
        <f t="array" ref="I402">IFERROR(INDEX($D$2:$D$554 &amp; " ($" &amp; TEXT($E$2:$E$554, "#,##0.00") &amp; ")", SMALL(IF($A$2:$A$554=$G402, ROW($D$2:$D$554)-ROW($D$2)+1), COLUMN(B402))), "")</f>
        <v/>
      </c>
      <c r="J402" s="6" t="str" cm="1">
        <f t="array" ref="J402">IFERROR(INDEX($D$2:$D$554 &amp; " ($" &amp; TEXT($E$2:$E$554, "#,##0.00") &amp; ")", SMALL(IF($A$2:$A$554=$G402, ROW($D$2:$D$554)-ROW($D$2)+1), COLUMN(C402))), "")</f>
        <v/>
      </c>
    </row>
    <row r="403" spans="1:10" x14ac:dyDescent="0.35">
      <c r="A403" s="6" t="s">
        <v>2265</v>
      </c>
      <c r="B403" s="6" t="s">
        <v>932</v>
      </c>
      <c r="C403" s="6" t="s">
        <v>74</v>
      </c>
      <c r="D403" s="6" t="s">
        <v>75</v>
      </c>
      <c r="E403" s="11">
        <v>1057.28</v>
      </c>
      <c r="G403" s="6" t="s">
        <v>2301</v>
      </c>
      <c r="H403" s="6" t="str" cm="1">
        <f t="array" ref="H403">IFERROR(INDEX($D$2:$D$554 &amp; " ($" &amp; TEXT($E$2:$E$554, "#,##0.00") &amp; ")", SMALL(IF($A$2:$A$554=$G403, ROW($D$2:$D$554)-ROW($D$2)+1), COLUMN(A403))), "")</f>
        <v>CARWARS ADVANCED SALES ($999.00)</v>
      </c>
      <c r="I403" s="6" t="str" cm="1">
        <f t="array" ref="I403">IFERROR(INDEX($D$2:$D$554 &amp; " ($" &amp; TEXT($E$2:$E$554, "#,##0.00") &amp; ")", SMALL(IF($A$2:$A$554=$G403, ROW($D$2:$D$554)-ROW($D$2)+1), COLUMN(B403))), "")</f>
        <v/>
      </c>
      <c r="J403" s="6" t="str" cm="1">
        <f t="array" ref="J403">IFERROR(INDEX($D$2:$D$554 &amp; " ($" &amp; TEXT($E$2:$E$554, "#,##0.00") &amp; ")", SMALL(IF($A$2:$A$554=$G403, ROW($D$2:$D$554)-ROW($D$2)+1), COLUMN(C403))), "")</f>
        <v/>
      </c>
    </row>
    <row r="404" spans="1:10" x14ac:dyDescent="0.35">
      <c r="A404" s="6" t="s">
        <v>1471</v>
      </c>
      <c r="B404" s="6" t="s">
        <v>1472</v>
      </c>
      <c r="C404" s="6" t="s">
        <v>1329</v>
      </c>
      <c r="D404" s="6" t="s">
        <v>1330</v>
      </c>
      <c r="E404" s="11">
        <v>82.95</v>
      </c>
      <c r="G404" s="6" t="s">
        <v>1120</v>
      </c>
      <c r="H404" s="6" t="str" cm="1">
        <f t="array" ref="H404">IFERROR(INDEX($D$2:$D$554 &amp; " ($" &amp; TEXT($E$2:$E$554, "#,##0.00") &amp; ")", SMALL(IF($A$2:$A$554=$G404, ROW($D$2:$D$554)-ROW($D$2)+1), COLUMN(A404))), "")</f>
        <v>CAR WARS CUSTOM PACKAGE--VICTORY AUTO ($1,053.45)</v>
      </c>
      <c r="I404" s="6" t="str" cm="1">
        <f t="array" ref="I404">IFERROR(INDEX($D$2:$D$554 &amp; " ($" &amp; TEXT($E$2:$E$554, "#,##0.00") &amp; ")", SMALL(IF($A$2:$A$554=$G404, ROW($D$2:$D$554)-ROW($D$2)+1), COLUMN(B404))), "")</f>
        <v/>
      </c>
      <c r="J404" s="6" t="str" cm="1">
        <f t="array" ref="J404">IFERROR(INDEX($D$2:$D$554 &amp; " ($" &amp; TEXT($E$2:$E$554, "#,##0.00") &amp; ")", SMALL(IF($A$2:$A$554=$G404, ROW($D$2:$D$554)-ROW($D$2)+1), COLUMN(C404))), "")</f>
        <v/>
      </c>
    </row>
    <row r="405" spans="1:10" x14ac:dyDescent="0.35">
      <c r="A405" s="6" t="s">
        <v>1473</v>
      </c>
      <c r="B405" s="6" t="s">
        <v>1474</v>
      </c>
      <c r="C405" s="6" t="s">
        <v>1329</v>
      </c>
      <c r="D405" s="6" t="s">
        <v>1330</v>
      </c>
      <c r="E405" s="11">
        <v>123.81</v>
      </c>
      <c r="G405" s="6" t="s">
        <v>2302</v>
      </c>
      <c r="H405" s="6" t="str" cm="1">
        <f t="array" ref="H405">IFERROR(INDEX($D$2:$D$554 &amp; " ($" &amp; TEXT($E$2:$E$554, "#,##0.00") &amp; ")", SMALL(IF($A$2:$A$554=$G405, ROW($D$2:$D$554)-ROW($D$2)+1), COLUMN(A405))), "")</f>
        <v>CARWARS ELITE SMALL ($1,199.00)</v>
      </c>
      <c r="I405" s="6" t="str" cm="1">
        <f t="array" ref="I405">IFERROR(INDEX($D$2:$D$554 &amp; " ($" &amp; TEXT($E$2:$E$554, "#,##0.00") &amp; ")", SMALL(IF($A$2:$A$554=$G405, ROW($D$2:$D$554)-ROW($D$2)+1), COLUMN(B405))), "")</f>
        <v/>
      </c>
      <c r="J405" s="6" t="str" cm="1">
        <f t="array" ref="J405">IFERROR(INDEX($D$2:$D$554 &amp; " ($" &amp; TEXT($E$2:$E$554, "#,##0.00") &amp; ")", SMALL(IF($A$2:$A$554=$G405, ROW($D$2:$D$554)-ROW($D$2)+1), COLUMN(C405))), "")</f>
        <v/>
      </c>
    </row>
    <row r="406" spans="1:10" x14ac:dyDescent="0.35">
      <c r="A406" s="6" t="s">
        <v>1475</v>
      </c>
      <c r="B406" s="6" t="s">
        <v>1476</v>
      </c>
      <c r="C406" s="6" t="s">
        <v>1329</v>
      </c>
      <c r="D406" s="6" t="s">
        <v>1330</v>
      </c>
      <c r="E406" s="11">
        <v>124.14</v>
      </c>
      <c r="G406" s="6" t="s">
        <v>2303</v>
      </c>
      <c r="H406" s="6" t="str" cm="1">
        <f t="array" ref="H406">IFERROR(INDEX($D$2:$D$554 &amp; " ($" &amp; TEXT($E$2:$E$554, "#,##0.00") &amp; ")", SMALL(IF($A$2:$A$554=$G406, ROW($D$2:$D$554)-ROW($D$2)+1), COLUMN(A406))), "")</f>
        <v>CARWARS ELITE 12,500 PACKAGE ($1,499.00)</v>
      </c>
      <c r="I406" s="6" t="str" cm="1">
        <f t="array" ref="I406">IFERROR(INDEX($D$2:$D$554 &amp; " ($" &amp; TEXT($E$2:$E$554, "#,##0.00") &amp; ")", SMALL(IF($A$2:$A$554=$G406, ROW($D$2:$D$554)-ROW($D$2)+1), COLUMN(B406))), "")</f>
        <v/>
      </c>
      <c r="J406" s="6" t="str" cm="1">
        <f t="array" ref="J406">IFERROR(INDEX($D$2:$D$554 &amp; " ($" &amp; TEXT($E$2:$E$554, "#,##0.00") &amp; ")", SMALL(IF($A$2:$A$554=$G406, ROW($D$2:$D$554)-ROW($D$2)+1), COLUMN(C406))), "")</f>
        <v/>
      </c>
    </row>
    <row r="407" spans="1:10" x14ac:dyDescent="0.35">
      <c r="A407" s="6" t="s">
        <v>1477</v>
      </c>
      <c r="B407" s="6" t="s">
        <v>1478</v>
      </c>
      <c r="C407" s="6" t="s">
        <v>1329</v>
      </c>
      <c r="D407" s="6" t="s">
        <v>1330</v>
      </c>
      <c r="E407" s="11">
        <v>124.14</v>
      </c>
      <c r="G407" s="6" t="s">
        <v>2304</v>
      </c>
      <c r="H407" s="6" t="str" cm="1">
        <f t="array" ref="H407">IFERROR(INDEX($D$2:$D$554 &amp; " ($" &amp; TEXT($E$2:$E$554, "#,##0.00") &amp; ")", SMALL(IF($A$2:$A$554=$G407, ROW($D$2:$D$554)-ROW($D$2)+1), COLUMN(A407))), "")</f>
        <v>CARWARS STARTER 3500 ($319.00)</v>
      </c>
      <c r="I407" s="6" t="str" cm="1">
        <f t="array" ref="I407">IFERROR(INDEX($D$2:$D$554 &amp; " ($" &amp; TEXT($E$2:$E$554, "#,##0.00") &amp; ")", SMALL(IF($A$2:$A$554=$G407, ROW($D$2:$D$554)-ROW($D$2)+1), COLUMN(B407))), "")</f>
        <v/>
      </c>
      <c r="J407" s="6" t="str" cm="1">
        <f t="array" ref="J407">IFERROR(INDEX($D$2:$D$554 &amp; " ($" &amp; TEXT($E$2:$E$554, "#,##0.00") &amp; ")", SMALL(IF($A$2:$A$554=$G407, ROW($D$2:$D$554)-ROW($D$2)+1), COLUMN(C407))), "")</f>
        <v/>
      </c>
    </row>
    <row r="408" spans="1:10" x14ac:dyDescent="0.35">
      <c r="A408" s="6" t="s">
        <v>1479</v>
      </c>
      <c r="B408" s="6" t="s">
        <v>1480</v>
      </c>
      <c r="C408" s="6" t="s">
        <v>1329</v>
      </c>
      <c r="D408" s="6" t="s">
        <v>1330</v>
      </c>
      <c r="E408" s="11">
        <v>105.94</v>
      </c>
      <c r="G408" s="6" t="s">
        <v>1501</v>
      </c>
      <c r="H408" s="6" t="str" cm="1">
        <f t="array" ref="H408">IFERROR(INDEX($D$2:$D$554 &amp; " ($" &amp; TEXT($E$2:$E$554, "#,##0.00") &amp; ")", SMALL(IF($A$2:$A$554=$G408, ROW($D$2:$D$554)-ROW($D$2)+1), COLUMN(A408))), "")</f>
        <v>CARWARS STARTER 3500 ($319.00)</v>
      </c>
      <c r="I408" s="6" t="str" cm="1">
        <f t="array" ref="I408">IFERROR(INDEX($D$2:$D$554 &amp; " ($" &amp; TEXT($E$2:$E$554, "#,##0.00") &amp; ")", SMALL(IF($A$2:$A$554=$G408, ROW($D$2:$D$554)-ROW($D$2)+1), COLUMN(B408))), "")</f>
        <v/>
      </c>
      <c r="J408" s="6" t="str" cm="1">
        <f t="array" ref="J408">IFERROR(INDEX($D$2:$D$554 &amp; " ($" &amp; TEXT($E$2:$E$554, "#,##0.00") &amp; ")", SMALL(IF($A$2:$A$554=$G408, ROW($D$2:$D$554)-ROW($D$2)+1), COLUMN(C408))), "")</f>
        <v/>
      </c>
    </row>
    <row r="409" spans="1:10" x14ac:dyDescent="0.35">
      <c r="A409" s="6" t="s">
        <v>2266</v>
      </c>
      <c r="B409" s="6" t="s">
        <v>275</v>
      </c>
      <c r="C409" s="6" t="s">
        <v>42</v>
      </c>
      <c r="D409" s="6" t="s">
        <v>43</v>
      </c>
      <c r="E409" s="11">
        <v>1386.75</v>
      </c>
      <c r="G409" s="6" t="s">
        <v>1503</v>
      </c>
      <c r="H409" s="6" t="str" cm="1">
        <f t="array" ref="H409">IFERROR(INDEX($D$2:$D$554 &amp; " ($" &amp; TEXT($E$2:$E$554, "#,##0.00") &amp; ")", SMALL(IF($A$2:$A$554=$G409, ROW($D$2:$D$554)-ROW($D$2)+1), COLUMN(A409))), "")</f>
        <v>CARWARS STARTER 7500 ($526.45)</v>
      </c>
      <c r="I409" s="6" t="str" cm="1">
        <f t="array" ref="I409">IFERROR(INDEX($D$2:$D$554 &amp; " ($" &amp; TEXT($E$2:$E$554, "#,##0.00") &amp; ")", SMALL(IF($A$2:$A$554=$G409, ROW($D$2:$D$554)-ROW($D$2)+1), COLUMN(B409))), "")</f>
        <v/>
      </c>
      <c r="J409" s="6" t="str" cm="1">
        <f t="array" ref="J409">IFERROR(INDEX($D$2:$D$554 &amp; " ($" &amp; TEXT($E$2:$E$554, "#,##0.00") &amp; ")", SMALL(IF($A$2:$A$554=$G409, ROW($D$2:$D$554)-ROW($D$2)+1), COLUMN(C409))), "")</f>
        <v/>
      </c>
    </row>
    <row r="410" spans="1:10" x14ac:dyDescent="0.35">
      <c r="A410" s="6" t="s">
        <v>2267</v>
      </c>
      <c r="B410" s="6" t="s">
        <v>2305</v>
      </c>
      <c r="C410" s="6" t="s">
        <v>74</v>
      </c>
      <c r="D410" s="6" t="s">
        <v>75</v>
      </c>
      <c r="E410" s="11">
        <v>499</v>
      </c>
      <c r="G410" s="6" t="s">
        <v>1505</v>
      </c>
      <c r="H410" s="6" t="str" cm="1">
        <f t="array" ref="H410">IFERROR(INDEX($D$2:$D$554 &amp; " ($" &amp; TEXT($E$2:$E$554, "#,##0.00") &amp; ")", SMALL(IF($A$2:$A$554=$G410, ROW($D$2:$D$554)-ROW($D$2)+1), COLUMN(A410))), "")</f>
        <v>CARWARS PREMIUM SALES ($1,849.00)</v>
      </c>
      <c r="I410" s="6" t="str" cm="1">
        <f t="array" ref="I410">IFERROR(INDEX($D$2:$D$554 &amp; " ($" &amp; TEXT($E$2:$E$554, "#,##0.00") &amp; ")", SMALL(IF($A$2:$A$554=$G410, ROW($D$2:$D$554)-ROW($D$2)+1), COLUMN(B410))), "")</f>
        <v>CARWARS CARI AI ($995.00)</v>
      </c>
      <c r="J410" s="6" t="str" cm="1">
        <f t="array" ref="J410">IFERROR(INDEX($D$2:$D$554 &amp; " ($" &amp; TEXT($E$2:$E$554, "#,##0.00") &amp; ")", SMALL(IF($A$2:$A$554=$G410, ROW($D$2:$D$554)-ROW($D$2)+1), COLUMN(C410))), "")</f>
        <v/>
      </c>
    </row>
    <row r="411" spans="1:10" x14ac:dyDescent="0.35">
      <c r="A411" s="6" t="s">
        <v>1481</v>
      </c>
      <c r="B411" s="6" t="s">
        <v>1482</v>
      </c>
      <c r="C411" s="6" t="s">
        <v>1433</v>
      </c>
      <c r="D411" s="6" t="s">
        <v>1434</v>
      </c>
      <c r="E411" s="11">
        <v>87.59</v>
      </c>
      <c r="G411" s="6" t="s">
        <v>1509</v>
      </c>
      <c r="H411" s="6" t="str" cm="1">
        <f t="array" ref="H411">IFERROR(INDEX($D$2:$D$554 &amp; " ($" &amp; TEXT($E$2:$E$554, "#,##0.00") &amp; ")", SMALL(IF($A$2:$A$554=$G411, ROW($D$2:$D$554)-ROW($D$2)+1), COLUMN(A411))), "")</f>
        <v>CARWARS STARTER 3500 ($319.00)</v>
      </c>
      <c r="I411" s="6" t="str" cm="1">
        <f t="array" ref="I411">IFERROR(INDEX($D$2:$D$554 &amp; " ($" &amp; TEXT($E$2:$E$554, "#,##0.00") &amp; ")", SMALL(IF($A$2:$A$554=$G411, ROW($D$2:$D$554)-ROW($D$2)+1), COLUMN(B411))), "")</f>
        <v/>
      </c>
      <c r="J411" s="6" t="str" cm="1">
        <f t="array" ref="J411">IFERROR(INDEX($D$2:$D$554 &amp; " ($" &amp; TEXT($E$2:$E$554, "#,##0.00") &amp; ")", SMALL(IF($A$2:$A$554=$G411, ROW($D$2:$D$554)-ROW($D$2)+1), COLUMN(C411))), "")</f>
        <v/>
      </c>
    </row>
    <row r="412" spans="1:10" x14ac:dyDescent="0.35">
      <c r="A412" s="6" t="s">
        <v>1483</v>
      </c>
      <c r="B412" s="6" t="s">
        <v>1484</v>
      </c>
      <c r="C412" s="6" t="s">
        <v>1433</v>
      </c>
      <c r="D412" s="6" t="s">
        <v>1434</v>
      </c>
      <c r="E412" s="11">
        <v>87.59</v>
      </c>
      <c r="G412" s="6" t="s">
        <v>2306</v>
      </c>
      <c r="H412" s="6" t="str" cm="1">
        <f t="array" ref="H412">IFERROR(INDEX($D$2:$D$554 &amp; " ($" &amp; TEXT($E$2:$E$554, "#,##0.00") &amp; ")", SMALL(IF($A$2:$A$554=$G412, ROW($D$2:$D$554)-ROW($D$2)+1), COLUMN(A412))), "")</f>
        <v>CARWARS STARTER 3500 ($319.00)</v>
      </c>
      <c r="I412" s="6" t="str" cm="1">
        <f t="array" ref="I412">IFERROR(INDEX($D$2:$D$554 &amp; " ($" &amp; TEXT($E$2:$E$554, "#,##0.00") &amp; ")", SMALL(IF($A$2:$A$554=$G412, ROW($D$2:$D$554)-ROW($D$2)+1), COLUMN(B412))), "")</f>
        <v/>
      </c>
      <c r="J412" s="6" t="str" cm="1">
        <f t="array" ref="J412">IFERROR(INDEX($D$2:$D$554 &amp; " ($" &amp; TEXT($E$2:$E$554, "#,##0.00") &amp; ")", SMALL(IF($A$2:$A$554=$G412, ROW($D$2:$D$554)-ROW($D$2)+1), COLUMN(C412))), "")</f>
        <v/>
      </c>
    </row>
    <row r="413" spans="1:10" x14ac:dyDescent="0.35">
      <c r="A413" s="6" t="s">
        <v>1485</v>
      </c>
      <c r="B413" s="6" t="s">
        <v>1486</v>
      </c>
      <c r="C413" s="6" t="s">
        <v>1329</v>
      </c>
      <c r="D413" s="6" t="s">
        <v>1330</v>
      </c>
      <c r="E413" s="11">
        <v>0</v>
      </c>
      <c r="G413" s="6" t="s">
        <v>2307</v>
      </c>
      <c r="H413" s="6" t="str" cm="1">
        <f t="array" ref="H413">IFERROR(INDEX($D$2:$D$554 &amp; " ($" &amp; TEXT($E$2:$E$554, "#,##0.00") &amp; ")", SMALL(IF($A$2:$A$554=$G413, ROW($D$2:$D$554)-ROW($D$2)+1), COLUMN(A413))), "")</f>
        <v>CARWARS STARTER 3500 ($319.00)</v>
      </c>
      <c r="I413" s="6" t="str" cm="1">
        <f t="array" ref="I413">IFERROR(INDEX($D$2:$D$554 &amp; " ($" &amp; TEXT($E$2:$E$554, "#,##0.00") &amp; ")", SMALL(IF($A$2:$A$554=$G413, ROW($D$2:$D$554)-ROW($D$2)+1), COLUMN(B413))), "")</f>
        <v/>
      </c>
      <c r="J413" s="6" t="str" cm="1">
        <f t="array" ref="J413">IFERROR(INDEX($D$2:$D$554 &amp; " ($" &amp; TEXT($E$2:$E$554, "#,##0.00") &amp; ")", SMALL(IF($A$2:$A$554=$G413, ROW($D$2:$D$554)-ROW($D$2)+1), COLUMN(C413))), "")</f>
        <v/>
      </c>
    </row>
    <row r="414" spans="1:10" x14ac:dyDescent="0.35">
      <c r="A414" s="6" t="s">
        <v>2268</v>
      </c>
      <c r="B414" s="6" t="s">
        <v>475</v>
      </c>
      <c r="C414" s="6" t="s">
        <v>48</v>
      </c>
      <c r="D414" s="6" t="s">
        <v>49</v>
      </c>
      <c r="E414" s="11">
        <v>299</v>
      </c>
      <c r="G414" s="6" t="s">
        <v>1511</v>
      </c>
      <c r="H414" s="6" t="str" cm="1">
        <f t="array" ref="H414">IFERROR(INDEX($D$2:$D$554 &amp; " ($" &amp; TEXT($E$2:$E$554, "#,##0.00") &amp; ")", SMALL(IF($A$2:$A$554=$G414, ROW($D$2:$D$554)-ROW($D$2)+1), COLUMN(A414))), "")</f>
        <v>EL1OUTCALLTRACK (GM IMR) ($1,066.24)</v>
      </c>
      <c r="I414" s="6" t="str" cm="1">
        <f t="array" ref="I414">IFERROR(INDEX($D$2:$D$554 &amp; " ($" &amp; TEXT($E$2:$E$554, "#,##0.00") &amp; ")", SMALL(IF($A$2:$A$554=$G414, ROW($D$2:$D$554)-ROW($D$2)+1), COLUMN(B414))), "")</f>
        <v>SERVICE VISION PACKAGE 100 CALLS WINTEL (FOPS CMONITORING WPERFANALYTICS) ($366.45)</v>
      </c>
      <c r="J414" s="6" t="str" cm="1">
        <f t="array" ref="J414">IFERROR(INDEX($D$2:$D$554 &amp; " ($" &amp; TEXT($E$2:$E$554, "#,##0.00") &amp; ")", SMALL(IF($A$2:$A$554=$G414, ROW($D$2:$D$554)-ROW($D$2)+1), COLUMN(C414))), "")</f>
        <v/>
      </c>
    </row>
    <row r="415" spans="1:10" x14ac:dyDescent="0.35">
      <c r="A415" s="6" t="s">
        <v>2269</v>
      </c>
      <c r="B415" s="6" t="s">
        <v>2308</v>
      </c>
      <c r="C415" s="6" t="s">
        <v>97</v>
      </c>
      <c r="D415" s="6" t="s">
        <v>98</v>
      </c>
      <c r="E415" s="11">
        <v>1499</v>
      </c>
      <c r="G415" s="6" t="s">
        <v>1513</v>
      </c>
      <c r="H415" s="6" t="str" cm="1">
        <f t="array" ref="H415">IFERROR(INDEX($D$2:$D$554 &amp; " ($" &amp; TEXT($E$2:$E$554, "#,##0.00") &amp; ")", SMALL(IF($A$2:$A$554=$G415, ROW($D$2:$D$554)-ROW($D$2)+1), COLUMN(A415))), "")</f>
        <v>CARWARS INDEFINITE CALL RECORDINGS ($20.00)</v>
      </c>
      <c r="I415" s="6" t="str" cm="1">
        <f t="array" ref="I415">IFERROR(INDEX($D$2:$D$554 &amp; " ($" &amp; TEXT($E$2:$E$554, "#,##0.00") &amp; ")", SMALL(IF($A$2:$A$554=$G415, ROW($D$2:$D$554)-ROW($D$2)+1), COLUMN(B415))), "")</f>
        <v/>
      </c>
      <c r="J415" s="6" t="str" cm="1">
        <f t="array" ref="J415">IFERROR(INDEX($D$2:$D$554 &amp; " ($" &amp; TEXT($E$2:$E$554, "#,##0.00") &amp; ")", SMALL(IF($A$2:$A$554=$G415, ROW($D$2:$D$554)-ROW($D$2)+1), COLUMN(C415))), "")</f>
        <v/>
      </c>
    </row>
    <row r="416" spans="1:10" x14ac:dyDescent="0.35">
      <c r="A416" s="6" t="s">
        <v>2270</v>
      </c>
      <c r="B416" s="6" t="s">
        <v>233</v>
      </c>
      <c r="C416" s="6" t="s">
        <v>48</v>
      </c>
      <c r="D416" s="6" t="s">
        <v>49</v>
      </c>
      <c r="E416" s="11">
        <v>213.49</v>
      </c>
      <c r="G416" s="6" t="s">
        <v>2309</v>
      </c>
      <c r="H416" s="6" t="str" cm="1">
        <f t="array" ref="H416">IFERROR(INDEX($D$2:$D$554 &amp; " ($" &amp; TEXT($E$2:$E$554, "#,##0.00") &amp; ")", SMALL(IF($A$2:$A$554=$G416, ROW($D$2:$D$554)-ROW($D$2)+1), COLUMN(A416))), "")</f>
        <v>CARWARS ELITE 12,500 PACKAGE ($1,499.00)</v>
      </c>
      <c r="I416" s="6" t="str" cm="1">
        <f t="array" ref="I416">IFERROR(INDEX($D$2:$D$554 &amp; " ($" &amp; TEXT($E$2:$E$554, "#,##0.00") &amp; ")", SMALL(IF($A$2:$A$554=$G416, ROW($D$2:$D$554)-ROW($D$2)+1), COLUMN(B416))), "")</f>
        <v/>
      </c>
      <c r="J416" s="6" t="str" cm="1">
        <f t="array" ref="J416">IFERROR(INDEX($D$2:$D$554 &amp; " ($" &amp; TEXT($E$2:$E$554, "#,##0.00") &amp; ")", SMALL(IF($A$2:$A$554=$G416, ROW($D$2:$D$554)-ROW($D$2)+1), COLUMN(C416))), "")</f>
        <v/>
      </c>
    </row>
    <row r="417" spans="1:10" x14ac:dyDescent="0.35">
      <c r="A417" s="6" t="s">
        <v>1487</v>
      </c>
      <c r="B417" s="6" t="s">
        <v>1488</v>
      </c>
      <c r="C417" s="6" t="s">
        <v>48</v>
      </c>
      <c r="D417" s="6" t="s">
        <v>49</v>
      </c>
      <c r="E417" s="11">
        <v>322.92</v>
      </c>
      <c r="G417" s="6" t="s">
        <v>2310</v>
      </c>
      <c r="H417" s="6" t="str" cm="1">
        <f t="array" ref="H417">IFERROR(INDEX($D$2:$D$554 &amp; " ($" &amp; TEXT($E$2:$E$554, "#,##0.00") &amp; ")", SMALL(IF($A$2:$A$554=$G417, ROW($D$2:$D$554)-ROW($D$2)+1), COLUMN(A417))), "")</f>
        <v>CARWARS STARTER 3500 ($319.00)</v>
      </c>
      <c r="I417" s="6" t="str" cm="1">
        <f t="array" ref="I417">IFERROR(INDEX($D$2:$D$554 &amp; " ($" &amp; TEXT($E$2:$E$554, "#,##0.00") &amp; ")", SMALL(IF($A$2:$A$554=$G417, ROW($D$2:$D$554)-ROW($D$2)+1), COLUMN(B417))), "")</f>
        <v/>
      </c>
      <c r="J417" s="6" t="str" cm="1">
        <f t="array" ref="J417">IFERROR(INDEX($D$2:$D$554 &amp; " ($" &amp; TEXT($E$2:$E$554, "#,##0.00") &amp; ")", SMALL(IF($A$2:$A$554=$G417, ROW($D$2:$D$554)-ROW($D$2)+1), COLUMN(C417))), "")</f>
        <v/>
      </c>
    </row>
    <row r="418" spans="1:10" x14ac:dyDescent="0.35">
      <c r="A418" s="6" t="s">
        <v>1489</v>
      </c>
      <c r="B418" s="6" t="s">
        <v>1490</v>
      </c>
      <c r="C418" s="6" t="s">
        <v>48</v>
      </c>
      <c r="D418" s="6" t="s">
        <v>49</v>
      </c>
      <c r="E418" s="11">
        <v>319.95</v>
      </c>
      <c r="G418" s="6" t="s">
        <v>2311</v>
      </c>
      <c r="H418" s="6" t="str" cm="1">
        <f t="array" ref="H418">IFERROR(INDEX($D$2:$D$554 &amp; " ($" &amp; TEXT($E$2:$E$554, "#,##0.00") &amp; ")", SMALL(IF($A$2:$A$554=$G418, ROW($D$2:$D$554)-ROW($D$2)+1), COLUMN(A418))), "")</f>
        <v>CARWARS STARTER 3500 ($319.00)</v>
      </c>
      <c r="I418" s="6" t="str" cm="1">
        <f t="array" ref="I418">IFERROR(INDEX($D$2:$D$554 &amp; " ($" &amp; TEXT($E$2:$E$554, "#,##0.00") &amp; ")", SMALL(IF($A$2:$A$554=$G418, ROW($D$2:$D$554)-ROW($D$2)+1), COLUMN(B418))), "")</f>
        <v/>
      </c>
      <c r="J418" s="6" t="str" cm="1">
        <f t="array" ref="J418">IFERROR(INDEX($D$2:$D$554 &amp; " ($" &amp; TEXT($E$2:$E$554, "#,##0.00") &amp; ")", SMALL(IF($A$2:$A$554=$G418, ROW($D$2:$D$554)-ROW($D$2)+1), COLUMN(C418))), "")</f>
        <v/>
      </c>
    </row>
    <row r="419" spans="1:10" x14ac:dyDescent="0.35">
      <c r="A419" s="6" t="s">
        <v>984</v>
      </c>
      <c r="B419" s="6" t="s">
        <v>985</v>
      </c>
      <c r="C419" s="6" t="s">
        <v>1526</v>
      </c>
      <c r="D419" s="6" t="s">
        <v>971</v>
      </c>
      <c r="E419" s="11">
        <v>1053.45</v>
      </c>
      <c r="G419" s="6" t="s">
        <v>2312</v>
      </c>
      <c r="H419" s="6" t="str" cm="1">
        <f t="array" ref="H419">IFERROR(INDEX($D$2:$D$554 &amp; " ($" &amp; TEXT($E$2:$E$554, "#,##0.00") &amp; ")", SMALL(IF($A$2:$A$554=$G419, ROW($D$2:$D$554)-ROW($D$2)+1), COLUMN(A419))), "")</f>
        <v>CARWARS STARTER 3500 ($319.00)</v>
      </c>
      <c r="I419" s="6" t="str" cm="1">
        <f t="array" ref="I419">IFERROR(INDEX($D$2:$D$554 &amp; " ($" &amp; TEXT($E$2:$E$554, "#,##0.00") &amp; ")", SMALL(IF($A$2:$A$554=$G419, ROW($D$2:$D$554)-ROW($D$2)+1), COLUMN(B419))), "")</f>
        <v/>
      </c>
      <c r="J419" s="6" t="str" cm="1">
        <f t="array" ref="J419">IFERROR(INDEX($D$2:$D$554 &amp; " ($" &amp; TEXT($E$2:$E$554, "#,##0.00") &amp; ")", SMALL(IF($A$2:$A$554=$G419, ROW($D$2:$D$554)-ROW($D$2)+1), COLUMN(C419))), "")</f>
        <v/>
      </c>
    </row>
    <row r="420" spans="1:10" x14ac:dyDescent="0.35">
      <c r="A420" s="6" t="s">
        <v>2271</v>
      </c>
      <c r="B420" s="6" t="s">
        <v>450</v>
      </c>
      <c r="C420" s="6" t="s">
        <v>408</v>
      </c>
      <c r="D420" s="6" t="s">
        <v>409</v>
      </c>
      <c r="E420" s="11">
        <v>20</v>
      </c>
      <c r="G420" s="6" t="s">
        <v>1084</v>
      </c>
      <c r="H420" s="6" t="str" cm="1">
        <f t="array" ref="H420">IFERROR(INDEX($D$2:$D$554 &amp; " ($" &amp; TEXT($E$2:$E$554, "#,##0.00") &amp; ")", SMALL(IF($A$2:$A$554=$G420, ROW($D$2:$D$554)-ROW($D$2)+1), COLUMN(A420))), "")</f>
        <v>CAR WARS CUSTOM PACKAGE--VICTORY AUTO ($1,053.45)</v>
      </c>
      <c r="I420" s="6" t="str" cm="1">
        <f t="array" ref="I420">IFERROR(INDEX($D$2:$D$554 &amp; " ($" &amp; TEXT($E$2:$E$554, "#,##0.00") &amp; ")", SMALL(IF($A$2:$A$554=$G420, ROW($D$2:$D$554)-ROW($D$2)+1), COLUMN(B420))), "")</f>
        <v/>
      </c>
      <c r="J420" s="6" t="str" cm="1">
        <f t="array" ref="J420">IFERROR(INDEX($D$2:$D$554 &amp; " ($" &amp; TEXT($E$2:$E$554, "#,##0.00") &amp; ")", SMALL(IF($A$2:$A$554=$G420, ROW($D$2:$D$554)-ROW($D$2)+1), COLUMN(C420))), "")</f>
        <v/>
      </c>
    </row>
    <row r="421" spans="1:10" x14ac:dyDescent="0.35">
      <c r="A421" s="6" t="s">
        <v>2271</v>
      </c>
      <c r="B421" s="6" t="s">
        <v>450</v>
      </c>
      <c r="C421" s="6" t="s">
        <v>97</v>
      </c>
      <c r="D421" s="6" t="s">
        <v>98</v>
      </c>
      <c r="E421" s="11">
        <v>1499</v>
      </c>
      <c r="G421" s="6" t="s">
        <v>1129</v>
      </c>
      <c r="H421" s="6" t="str" cm="1">
        <f t="array" ref="H421">IFERROR(INDEX($D$2:$D$554 &amp; " ($" &amp; TEXT($E$2:$E$554, "#,##0.00") &amp; ")", SMALL(IF($A$2:$A$554=$G421, ROW($D$2:$D$554)-ROW($D$2)+1), COLUMN(A421))), "")</f>
        <v>CAR WARS CUSTOM PACKAGE--VICTORY AUTO ($1,053.45)</v>
      </c>
      <c r="I421" s="6" t="str" cm="1">
        <f t="array" ref="I421">IFERROR(INDEX($D$2:$D$554 &amp; " ($" &amp; TEXT($E$2:$E$554, "#,##0.00") &amp; ")", SMALL(IF($A$2:$A$554=$G421, ROW($D$2:$D$554)-ROW($D$2)+1), COLUMN(B421))), "")</f>
        <v/>
      </c>
      <c r="J421" s="6" t="str" cm="1">
        <f t="array" ref="J421">IFERROR(INDEX($D$2:$D$554 &amp; " ($" &amp; TEXT($E$2:$E$554, "#,##0.00") &amp; ")", SMALL(IF($A$2:$A$554=$G421, ROW($D$2:$D$554)-ROW($D$2)+1), COLUMN(C421))), "")</f>
        <v/>
      </c>
    </row>
    <row r="422" spans="1:10" x14ac:dyDescent="0.35">
      <c r="A422" s="6" t="s">
        <v>1012</v>
      </c>
      <c r="B422" s="6" t="s">
        <v>1013</v>
      </c>
      <c r="C422" s="6" t="s">
        <v>1526</v>
      </c>
      <c r="D422" s="6" t="s">
        <v>971</v>
      </c>
      <c r="E422" s="11">
        <v>1053.45</v>
      </c>
      <c r="G422" s="6" t="s">
        <v>2313</v>
      </c>
      <c r="H422" s="6" t="str" cm="1">
        <f t="array" ref="H422">IFERROR(INDEX($D$2:$D$554 &amp; " ($" &amp; TEXT($E$2:$E$554, "#,##0.00") &amp; ")", SMALL(IF($A$2:$A$554=$G422, ROW($D$2:$D$554)-ROW($D$2)+1), COLUMN(A422))), "")</f>
        <v>CARWARS PREMIUM SALES ($1,849.00)</v>
      </c>
      <c r="I422" s="6" t="str" cm="1">
        <f t="array" ref="I422">IFERROR(INDEX($D$2:$D$554 &amp; " ($" &amp; TEXT($E$2:$E$554, "#,##0.00") &amp; ")", SMALL(IF($A$2:$A$554=$G422, ROW($D$2:$D$554)-ROW($D$2)+1), COLUMN(B422))), "")</f>
        <v/>
      </c>
      <c r="J422" s="6" t="str" cm="1">
        <f t="array" ref="J422">IFERROR(INDEX($D$2:$D$554 &amp; " ($" &amp; TEXT($E$2:$E$554, "#,##0.00") &amp; ")", SMALL(IF($A$2:$A$554=$G422, ROW($D$2:$D$554)-ROW($D$2)+1), COLUMN(C422))), "")</f>
        <v/>
      </c>
    </row>
    <row r="423" spans="1:10" x14ac:dyDescent="0.35">
      <c r="A423" s="6" t="s">
        <v>2272</v>
      </c>
      <c r="B423" s="6" t="s">
        <v>696</v>
      </c>
      <c r="C423" s="6" t="s">
        <v>74</v>
      </c>
      <c r="D423" s="6" t="s">
        <v>75</v>
      </c>
      <c r="E423" s="11">
        <v>528.64</v>
      </c>
      <c r="G423" s="6" t="s">
        <v>2314</v>
      </c>
      <c r="H423" s="6" t="str" cm="1">
        <f t="array" ref="H423">IFERROR(INDEX($D$2:$D$554 &amp; " ($" &amp; TEXT($E$2:$E$554, "#,##0.00") &amp; ")", SMALL(IF($A$2:$A$554=$G423, ROW($D$2:$D$554)-ROW($D$2)+1), COLUMN(A423))), "")</f>
        <v>CARWARS INDEFINITE CALL RECORDINGS ($20.00)</v>
      </c>
      <c r="I423" s="6" t="str" cm="1">
        <f t="array" ref="I423">IFERROR(INDEX($D$2:$D$554 &amp; " ($" &amp; TEXT($E$2:$E$554, "#,##0.00") &amp; ")", SMALL(IF($A$2:$A$554=$G423, ROW($D$2:$D$554)-ROW($D$2)+1), COLUMN(B423))), "")</f>
        <v>CARWARS ELITE 12,500 PACKAGE ($1,499.00)</v>
      </c>
      <c r="J423" s="6" t="str" cm="1">
        <f t="array" ref="J423">IFERROR(INDEX($D$2:$D$554 &amp; " ($" &amp; TEXT($E$2:$E$554, "#,##0.00") &amp; ")", SMALL(IF($A$2:$A$554=$G423, ROW($D$2:$D$554)-ROW($D$2)+1), COLUMN(C423))), "")</f>
        <v/>
      </c>
    </row>
    <row r="424" spans="1:10" x14ac:dyDescent="0.35">
      <c r="A424" s="6" t="s">
        <v>2273</v>
      </c>
      <c r="B424" s="6" t="s">
        <v>698</v>
      </c>
      <c r="C424" s="6" t="s">
        <v>74</v>
      </c>
      <c r="D424" s="6" t="s">
        <v>75</v>
      </c>
      <c r="E424" s="11">
        <v>528.64</v>
      </c>
      <c r="G424" s="6" t="s">
        <v>2315</v>
      </c>
      <c r="H424" s="6" t="str" cm="1">
        <f t="array" ref="H424">IFERROR(INDEX($D$2:$D$554 &amp; " ($" &amp; TEXT($E$2:$E$554, "#,##0.00") &amp; ")", SMALL(IF($A$2:$A$554=$G424, ROW($D$2:$D$554)-ROW($D$2)+1), COLUMN(A424))), "")</f>
        <v>CARWARS STARTER 5000 ($599.00)</v>
      </c>
      <c r="I424" s="6" t="str" cm="1">
        <f t="array" ref="I424">IFERROR(INDEX($D$2:$D$554 &amp; " ($" &amp; TEXT($E$2:$E$554, "#,##0.00") &amp; ")", SMALL(IF($A$2:$A$554=$G424, ROW($D$2:$D$554)-ROW($D$2)+1), COLUMN(B424))), "")</f>
        <v/>
      </c>
      <c r="J424" s="6" t="str" cm="1">
        <f t="array" ref="J424">IFERROR(INDEX($D$2:$D$554 &amp; " ($" &amp; TEXT($E$2:$E$554, "#,##0.00") &amp; ")", SMALL(IF($A$2:$A$554=$G424, ROW($D$2:$D$554)-ROW($D$2)+1), COLUMN(C424))), "")</f>
        <v/>
      </c>
    </row>
    <row r="425" spans="1:10" x14ac:dyDescent="0.35">
      <c r="A425" s="6" t="s">
        <v>2274</v>
      </c>
      <c r="B425" s="6" t="s">
        <v>509</v>
      </c>
      <c r="C425" s="6" t="s">
        <v>74</v>
      </c>
      <c r="D425" s="6" t="s">
        <v>75</v>
      </c>
      <c r="E425" s="11">
        <v>499</v>
      </c>
      <c r="G425" s="6" t="s">
        <v>2316</v>
      </c>
      <c r="H425" s="6" t="str" cm="1">
        <f t="array" ref="H425">IFERROR(INDEX($D$2:$D$554 &amp; " ($" &amp; TEXT($E$2:$E$554, "#,##0.00") &amp; ")", SMALL(IF($A$2:$A$554=$G425, ROW($D$2:$D$554)-ROW($D$2)+1), COLUMN(A425))), "")</f>
        <v>CARWARS STARTER 5000 ($599.00)</v>
      </c>
      <c r="I425" s="6" t="str" cm="1">
        <f t="array" ref="I425">IFERROR(INDEX($D$2:$D$554 &amp; " ($" &amp; TEXT($E$2:$E$554, "#,##0.00") &amp; ")", SMALL(IF($A$2:$A$554=$G425, ROW($D$2:$D$554)-ROW($D$2)+1), COLUMN(B425))), "")</f>
        <v/>
      </c>
      <c r="J425" s="6" t="str" cm="1">
        <f t="array" ref="J425">IFERROR(INDEX($D$2:$D$554 &amp; " ($" &amp; TEXT($E$2:$E$554, "#,##0.00") &amp; ")", SMALL(IF($A$2:$A$554=$G425, ROW($D$2:$D$554)-ROW($D$2)+1), COLUMN(C425))), "")</f>
        <v/>
      </c>
    </row>
    <row r="426" spans="1:10" x14ac:dyDescent="0.35">
      <c r="A426" s="6" t="s">
        <v>2275</v>
      </c>
      <c r="B426" s="6" t="s">
        <v>517</v>
      </c>
      <c r="C426" s="6" t="s">
        <v>74</v>
      </c>
      <c r="D426" s="6" t="s">
        <v>75</v>
      </c>
      <c r="E426" s="11">
        <v>499</v>
      </c>
      <c r="G426" s="6" t="s">
        <v>2317</v>
      </c>
      <c r="H426" s="6" t="str" cm="1">
        <f t="array" ref="H426">IFERROR(INDEX($D$2:$D$554 &amp; " ($" &amp; TEXT($E$2:$E$554, "#,##0.00") &amp; ")", SMALL(IF($A$2:$A$554=$G426, ROW($D$2:$D$554)-ROW($D$2)+1), COLUMN(A426))), "")</f>
        <v>CARWARS STARTER 5000 ($599.00)</v>
      </c>
      <c r="I426" s="6" t="str" cm="1">
        <f t="array" ref="I426">IFERROR(INDEX($D$2:$D$554 &amp; " ($" &amp; TEXT($E$2:$E$554, "#,##0.00") &amp; ")", SMALL(IF($A$2:$A$554=$G426, ROW($D$2:$D$554)-ROW($D$2)+1), COLUMN(B426))), "")</f>
        <v/>
      </c>
      <c r="J426" s="6" t="str" cm="1">
        <f t="array" ref="J426">IFERROR(INDEX($D$2:$D$554 &amp; " ($" &amp; TEXT($E$2:$E$554, "#,##0.00") &amp; ")", SMALL(IF($A$2:$A$554=$G426, ROW($D$2:$D$554)-ROW($D$2)+1), COLUMN(C426))), "")</f>
        <v/>
      </c>
    </row>
    <row r="427" spans="1:10" x14ac:dyDescent="0.35">
      <c r="A427" s="6" t="s">
        <v>2276</v>
      </c>
      <c r="B427" s="6" t="s">
        <v>515</v>
      </c>
      <c r="C427" s="6" t="s">
        <v>74</v>
      </c>
      <c r="D427" s="6" t="s">
        <v>75</v>
      </c>
      <c r="E427" s="11">
        <v>499</v>
      </c>
      <c r="G427" s="6" t="s">
        <v>2318</v>
      </c>
      <c r="H427" s="6" t="str" cm="1">
        <f t="array" ref="H427">IFERROR(INDEX($D$2:$D$554 &amp; " ($" &amp; TEXT($E$2:$E$554, "#,##0.00") &amp; ")", SMALL(IF($A$2:$A$554=$G427, ROW($D$2:$D$554)-ROW($D$2)+1), COLUMN(A427))), "")</f>
        <v>CARWARS STARTER 7500 ($499.00)</v>
      </c>
      <c r="I427" s="6" t="str" cm="1">
        <f t="array" ref="I427">IFERROR(INDEX($D$2:$D$554 &amp; " ($" &amp; TEXT($E$2:$E$554, "#,##0.00") &amp; ")", SMALL(IF($A$2:$A$554=$G427, ROW($D$2:$D$554)-ROW($D$2)+1), COLUMN(B427))), "")</f>
        <v/>
      </c>
      <c r="J427" s="6" t="str" cm="1">
        <f t="array" ref="J427">IFERROR(INDEX($D$2:$D$554 &amp; " ($" &amp; TEXT($E$2:$E$554, "#,##0.00") &amp; ")", SMALL(IF($A$2:$A$554=$G427, ROW($D$2:$D$554)-ROW($D$2)+1), COLUMN(C427))), "")</f>
        <v/>
      </c>
    </row>
    <row r="428" spans="1:10" x14ac:dyDescent="0.35">
      <c r="A428" s="6" t="s">
        <v>2277</v>
      </c>
      <c r="B428" s="6" t="s">
        <v>513</v>
      </c>
      <c r="C428" s="6" t="s">
        <v>74</v>
      </c>
      <c r="D428" s="6" t="s">
        <v>75</v>
      </c>
      <c r="E428" s="11">
        <v>499</v>
      </c>
      <c r="G428" s="6" t="s">
        <v>2319</v>
      </c>
      <c r="H428" s="6" t="str" cm="1">
        <f t="array" ref="H428">IFERROR(INDEX($D$2:$D$554 &amp; " ($" &amp; TEXT($E$2:$E$554, "#,##0.00") &amp; ")", SMALL(IF($A$2:$A$554=$G428, ROW($D$2:$D$554)-ROW($D$2)+1), COLUMN(A428))), "")</f>
        <v>CARWARS ELITE 12,500 PACKAGE ($1,499.00)</v>
      </c>
      <c r="I428" s="6" t="str" cm="1">
        <f t="array" ref="I428">IFERROR(INDEX($D$2:$D$554 &amp; " ($" &amp; TEXT($E$2:$E$554, "#,##0.00") &amp; ")", SMALL(IF($A$2:$A$554=$G428, ROW($D$2:$D$554)-ROW($D$2)+1), COLUMN(B428))), "")</f>
        <v/>
      </c>
      <c r="J428" s="6" t="str" cm="1">
        <f t="array" ref="J428">IFERROR(INDEX($D$2:$D$554 &amp; " ($" &amp; TEXT($E$2:$E$554, "#,##0.00") &amp; ")", SMALL(IF($A$2:$A$554=$G428, ROW($D$2:$D$554)-ROW($D$2)+1), COLUMN(C428))), "")</f>
        <v/>
      </c>
    </row>
    <row r="429" spans="1:10" x14ac:dyDescent="0.35">
      <c r="A429" s="6" t="s">
        <v>2278</v>
      </c>
      <c r="B429" s="6" t="s">
        <v>505</v>
      </c>
      <c r="C429" s="6" t="s">
        <v>74</v>
      </c>
      <c r="D429" s="6" t="s">
        <v>75</v>
      </c>
      <c r="E429" s="11">
        <v>499</v>
      </c>
      <c r="G429" s="6" t="s">
        <v>2320</v>
      </c>
      <c r="H429" s="6" t="str" cm="1">
        <f t="array" ref="H429">IFERROR(INDEX($D$2:$D$554 &amp; " ($" &amp; TEXT($E$2:$E$554, "#,##0.00") &amp; ")", SMALL(IF($A$2:$A$554=$G429, ROW($D$2:$D$554)-ROW($D$2)+1), COLUMN(A429))), "")</f>
        <v>CARWARS ADVANCED SERVICE ($999.00)</v>
      </c>
      <c r="I429" s="6" t="str" cm="1">
        <f t="array" ref="I429">IFERROR(INDEX($D$2:$D$554 &amp; " ($" &amp; TEXT($E$2:$E$554, "#,##0.00") &amp; ")", SMALL(IF($A$2:$A$554=$G429, ROW($D$2:$D$554)-ROW($D$2)+1), COLUMN(B429))), "")</f>
        <v>CARWARS ELITE 12,500 PACKAGE ($1,499.00)</v>
      </c>
      <c r="J429" s="6" t="str" cm="1">
        <f t="array" ref="J429">IFERROR(INDEX($D$2:$D$554 &amp; " ($" &amp; TEXT($E$2:$E$554, "#,##0.00") &amp; ")", SMALL(IF($A$2:$A$554=$G429, ROW($D$2:$D$554)-ROW($D$2)+1), COLUMN(C429))), "")</f>
        <v/>
      </c>
    </row>
    <row r="430" spans="1:10" x14ac:dyDescent="0.35">
      <c r="A430" s="6" t="s">
        <v>1491</v>
      </c>
      <c r="B430" s="6" t="s">
        <v>1492</v>
      </c>
      <c r="C430" s="6" t="s">
        <v>74</v>
      </c>
      <c r="D430" s="6" t="s">
        <v>75</v>
      </c>
      <c r="E430" s="11">
        <v>499</v>
      </c>
      <c r="G430" s="6" t="s">
        <v>1135</v>
      </c>
      <c r="H430" s="6" t="str" cm="1">
        <f t="array" ref="H430">IFERROR(INDEX($D$2:$D$554 &amp; " ($" &amp; TEXT($E$2:$E$554, "#,##0.00") &amp; ")", SMALL(IF($A$2:$A$554=$G430, ROW($D$2:$D$554)-ROW($D$2)+1), COLUMN(A430))), "")</f>
        <v>CAR WARS CUSTOM PACKAGE--VICTORY AUTO ($1,053.45)</v>
      </c>
      <c r="I430" s="6" t="str" cm="1">
        <f t="array" ref="I430">IFERROR(INDEX($D$2:$D$554 &amp; " ($" &amp; TEXT($E$2:$E$554, "#,##0.00") &amp; ")", SMALL(IF($A$2:$A$554=$G430, ROW($D$2:$D$554)-ROW($D$2)+1), COLUMN(B430))), "")</f>
        <v/>
      </c>
      <c r="J430" s="6" t="str" cm="1">
        <f t="array" ref="J430">IFERROR(INDEX($D$2:$D$554 &amp; " ($" &amp; TEXT($E$2:$E$554, "#,##0.00") &amp; ")", SMALL(IF($A$2:$A$554=$G430, ROW($D$2:$D$554)-ROW($D$2)+1), COLUMN(C430))), "")</f>
        <v/>
      </c>
    </row>
    <row r="431" spans="1:10" x14ac:dyDescent="0.35">
      <c r="A431" s="6" t="s">
        <v>2279</v>
      </c>
      <c r="B431" s="6" t="s">
        <v>430</v>
      </c>
      <c r="C431" s="6" t="s">
        <v>1870</v>
      </c>
      <c r="D431" s="6" t="s">
        <v>1871</v>
      </c>
      <c r="E431" s="11">
        <v>999</v>
      </c>
      <c r="G431" s="6" t="s">
        <v>2321</v>
      </c>
      <c r="H431" s="6" t="str" cm="1">
        <f t="array" ref="H431">IFERROR(INDEX($D$2:$D$554 &amp; " ($" &amp; TEXT($E$2:$E$554, "#,##0.00") &amp; ")", SMALL(IF($A$2:$A$554=$G431, ROW($D$2:$D$554)-ROW($D$2)+1), COLUMN(A431))), "")</f>
        <v>CARWARS STARTER 5000 ($599.00)</v>
      </c>
      <c r="I431" s="6" t="str" cm="1">
        <f t="array" ref="I431">IFERROR(INDEX($D$2:$D$554 &amp; " ($" &amp; TEXT($E$2:$E$554, "#,##0.00") &amp; ")", SMALL(IF($A$2:$A$554=$G431, ROW($D$2:$D$554)-ROW($D$2)+1), COLUMN(B431))), "")</f>
        <v/>
      </c>
      <c r="J431" s="6" t="str" cm="1">
        <f t="array" ref="J431">IFERROR(INDEX($D$2:$D$554 &amp; " ($" &amp; TEXT($E$2:$E$554, "#,##0.00") &amp; ")", SMALL(IF($A$2:$A$554=$G431, ROW($D$2:$D$554)-ROW($D$2)+1), COLUMN(C431))), "")</f>
        <v/>
      </c>
    </row>
    <row r="432" spans="1:10" x14ac:dyDescent="0.35">
      <c r="A432" s="6" t="s">
        <v>2279</v>
      </c>
      <c r="B432" s="6" t="s">
        <v>430</v>
      </c>
      <c r="C432" s="6" t="s">
        <v>408</v>
      </c>
      <c r="D432" s="6" t="s">
        <v>409</v>
      </c>
      <c r="E432" s="11">
        <v>20</v>
      </c>
      <c r="G432" s="6" t="s">
        <v>2322</v>
      </c>
      <c r="H432" s="6" t="str" cm="1">
        <f t="array" ref="H432">IFERROR(INDEX($D$2:$D$554 &amp; " ($" &amp; TEXT($E$2:$E$554, "#,##0.00") &amp; ")", SMALL(IF($A$2:$A$554=$G432, ROW($D$2:$D$554)-ROW($D$2)+1), COLUMN(A432))), "")</f>
        <v>CARWARS STARTER 5000 ($599.00)</v>
      </c>
      <c r="I432" s="6" t="str" cm="1">
        <f t="array" ref="I432">IFERROR(INDEX($D$2:$D$554 &amp; " ($" &amp; TEXT($E$2:$E$554, "#,##0.00") &amp; ")", SMALL(IF($A$2:$A$554=$G432, ROW($D$2:$D$554)-ROW($D$2)+1), COLUMN(B432))), "")</f>
        <v/>
      </c>
      <c r="J432" s="6" t="str" cm="1">
        <f t="array" ref="J432">IFERROR(INDEX($D$2:$D$554 &amp; " ($" &amp; TEXT($E$2:$E$554, "#,##0.00") &amp; ")", SMALL(IF($A$2:$A$554=$G432, ROW($D$2:$D$554)-ROW($D$2)+1), COLUMN(C432))), "")</f>
        <v/>
      </c>
    </row>
    <row r="433" spans="1:10" x14ac:dyDescent="0.35">
      <c r="A433" s="6" t="s">
        <v>2280</v>
      </c>
      <c r="B433" s="6" t="s">
        <v>700</v>
      </c>
      <c r="C433" s="6" t="s">
        <v>74</v>
      </c>
      <c r="D433" s="6" t="s">
        <v>75</v>
      </c>
      <c r="E433" s="11">
        <v>528.64</v>
      </c>
      <c r="G433" s="6" t="s">
        <v>1515</v>
      </c>
      <c r="H433" s="6" t="str" cm="1">
        <f t="array" ref="H433">IFERROR(INDEX($D$2:$D$554 &amp; " ($" &amp; TEXT($E$2:$E$554, "#,##0.00") &amp; ")", SMALL(IF($A$2:$A$554=$G433, ROW($D$2:$D$554)-ROW($D$2)+1), COLUMN(A433))), "")</f>
        <v>CARWARS STARTER 5000 ($599.00)</v>
      </c>
      <c r="I433" s="6" t="str" cm="1">
        <f t="array" ref="I433">IFERROR(INDEX($D$2:$D$554 &amp; " ($" &amp; TEXT($E$2:$E$554, "#,##0.00") &amp; ")", SMALL(IF($A$2:$A$554=$G433, ROW($D$2:$D$554)-ROW($D$2)+1), COLUMN(B433))), "")</f>
        <v/>
      </c>
      <c r="J433" s="6" t="str" cm="1">
        <f t="array" ref="J433">IFERROR(INDEX($D$2:$D$554 &amp; " ($" &amp; TEXT($E$2:$E$554, "#,##0.00") &amp; ")", SMALL(IF($A$2:$A$554=$G433, ROW($D$2:$D$554)-ROW($D$2)+1), COLUMN(C433))), "")</f>
        <v/>
      </c>
    </row>
    <row r="434" spans="1:10" x14ac:dyDescent="0.35">
      <c r="A434" s="6" t="s">
        <v>2281</v>
      </c>
      <c r="B434" s="6" t="s">
        <v>749</v>
      </c>
      <c r="C434" s="6" t="s">
        <v>2037</v>
      </c>
      <c r="D434" s="6" t="s">
        <v>2038</v>
      </c>
      <c r="E434" s="11">
        <v>3250.78</v>
      </c>
      <c r="G434" s="6" t="s">
        <v>1102</v>
      </c>
      <c r="H434" s="6" t="str" cm="1">
        <f t="array" ref="H434">IFERROR(INDEX($D$2:$D$554 &amp; " ($" &amp; TEXT($E$2:$E$554, "#,##0.00") &amp; ")", SMALL(IF($A$2:$A$554=$G434, ROW($D$2:$D$554)-ROW($D$2)+1), COLUMN(A434))), "")</f>
        <v>CAR WARS CUSTOM PACKAGE--VICTORY AUTO ($1,053.45)</v>
      </c>
      <c r="I434" s="6" t="str" cm="1">
        <f t="array" ref="I434">IFERROR(INDEX($D$2:$D$554 &amp; " ($" &amp; TEXT($E$2:$E$554, "#,##0.00") &amp; ")", SMALL(IF($A$2:$A$554=$G434, ROW($D$2:$D$554)-ROW($D$2)+1), COLUMN(B434))), "")</f>
        <v/>
      </c>
      <c r="J434" s="6" t="str" cm="1">
        <f t="array" ref="J434">IFERROR(INDEX($D$2:$D$554 &amp; " ($" &amp; TEXT($E$2:$E$554, "#,##0.00") &amp; ")", SMALL(IF($A$2:$A$554=$G434, ROW($D$2:$D$554)-ROW($D$2)+1), COLUMN(C434))), "")</f>
        <v/>
      </c>
    </row>
    <row r="435" spans="1:10" x14ac:dyDescent="0.35">
      <c r="A435" s="6" t="s">
        <v>2282</v>
      </c>
      <c r="B435" s="6" t="s">
        <v>844</v>
      </c>
      <c r="C435" s="6" t="s">
        <v>2323</v>
      </c>
      <c r="D435" s="6" t="s">
        <v>114</v>
      </c>
      <c r="E435" s="11">
        <v>699</v>
      </c>
      <c r="G435" s="6" t="s">
        <v>1111</v>
      </c>
      <c r="H435" s="6" t="str" cm="1">
        <f t="array" ref="H435">IFERROR(INDEX($D$2:$D$554 &amp; " ($" &amp; TEXT($E$2:$E$554, "#,##0.00") &amp; ")", SMALL(IF($A$2:$A$554=$G435, ROW($D$2:$D$554)-ROW($D$2)+1), COLUMN(A435))), "")</f>
        <v>CAR WARS CUSTOM PACKAGE--VICTORY AUTO ($1,053.45)</v>
      </c>
      <c r="I435" s="6" t="str" cm="1">
        <f t="array" ref="I435">IFERROR(INDEX($D$2:$D$554 &amp; " ($" &amp; TEXT($E$2:$E$554, "#,##0.00") &amp; ")", SMALL(IF($A$2:$A$554=$G435, ROW($D$2:$D$554)-ROW($D$2)+1), COLUMN(B435))), "")</f>
        <v/>
      </c>
      <c r="J435" s="6" t="str" cm="1">
        <f t="array" ref="J435">IFERROR(INDEX($D$2:$D$554 &amp; " ($" &amp; TEXT($E$2:$E$554, "#,##0.00") &amp; ")", SMALL(IF($A$2:$A$554=$G435, ROW($D$2:$D$554)-ROW($D$2)+1), COLUMN(C435))), "")</f>
        <v/>
      </c>
    </row>
    <row r="436" spans="1:10" x14ac:dyDescent="0.35">
      <c r="A436" s="6" t="s">
        <v>1493</v>
      </c>
      <c r="B436" s="6" t="s">
        <v>1494</v>
      </c>
      <c r="C436" s="6" t="s">
        <v>1495</v>
      </c>
      <c r="D436" s="6" t="s">
        <v>1496</v>
      </c>
      <c r="E436" s="11">
        <v>366.45</v>
      </c>
      <c r="G436" s="6" t="s">
        <v>1114</v>
      </c>
      <c r="H436" s="6" t="str" cm="1">
        <f t="array" ref="H436">IFERROR(INDEX($D$2:$D$554 &amp; " ($" &amp; TEXT($E$2:$E$554, "#,##0.00") &amp; ")", SMALL(IF($A$2:$A$554=$G436, ROW($D$2:$D$554)-ROW($D$2)+1), COLUMN(A436))), "")</f>
        <v>CAR WARS CUSTOM PACKAGE--VICTORY AUTO ($1,053.45)</v>
      </c>
      <c r="I436" s="6" t="str" cm="1">
        <f t="array" ref="I436">IFERROR(INDEX($D$2:$D$554 &amp; " ($" &amp; TEXT($E$2:$E$554, "#,##0.00") &amp; ")", SMALL(IF($A$2:$A$554=$G436, ROW($D$2:$D$554)-ROW($D$2)+1), COLUMN(B436))), "")</f>
        <v/>
      </c>
      <c r="J436" s="6" t="str" cm="1">
        <f t="array" ref="J436">IFERROR(INDEX($D$2:$D$554 &amp; " ($" &amp; TEXT($E$2:$E$554, "#,##0.00") &amp; ")", SMALL(IF($A$2:$A$554=$G436, ROW($D$2:$D$554)-ROW($D$2)+1), COLUMN(C436))), "")</f>
        <v/>
      </c>
    </row>
    <row r="437" spans="1:10" x14ac:dyDescent="0.35">
      <c r="A437" s="6" t="s">
        <v>2283</v>
      </c>
      <c r="B437" s="6" t="s">
        <v>452</v>
      </c>
      <c r="C437" s="6" t="s">
        <v>408</v>
      </c>
      <c r="D437" s="6" t="s">
        <v>409</v>
      </c>
      <c r="E437" s="11">
        <v>20</v>
      </c>
      <c r="G437" s="6" t="s">
        <v>991</v>
      </c>
      <c r="H437" s="6" t="str" cm="1">
        <f t="array" ref="H437">IFERROR(INDEX($D$2:$D$554 &amp; " ($" &amp; TEXT($E$2:$E$554, "#,##0.00") &amp; ")", SMALL(IF($A$2:$A$554=$G437, ROW($D$2:$D$554)-ROW($D$2)+1), COLUMN(A437))), "")</f>
        <v>CAR WARS CUSTOM PACKAGE--VICTORY AUTO ($1,053.45)</v>
      </c>
      <c r="I437" s="6" t="str" cm="1">
        <f t="array" ref="I437">IFERROR(INDEX($D$2:$D$554 &amp; " ($" &amp; TEXT($E$2:$E$554, "#,##0.00") &amp; ")", SMALL(IF($A$2:$A$554=$G437, ROW($D$2:$D$554)-ROW($D$2)+1), COLUMN(B437))), "")</f>
        <v/>
      </c>
      <c r="J437" s="6" t="str" cm="1">
        <f t="array" ref="J437">IFERROR(INDEX($D$2:$D$554 &amp; " ($" &amp; TEXT($E$2:$E$554, "#,##0.00") &amp; ")", SMALL(IF($A$2:$A$554=$G437, ROW($D$2:$D$554)-ROW($D$2)+1), COLUMN(C437))), "")</f>
        <v/>
      </c>
    </row>
    <row r="438" spans="1:10" x14ac:dyDescent="0.35">
      <c r="A438" s="6" t="s">
        <v>2283</v>
      </c>
      <c r="B438" s="6" t="s">
        <v>452</v>
      </c>
      <c r="C438" s="6" t="s">
        <v>97</v>
      </c>
      <c r="D438" s="6" t="s">
        <v>98</v>
      </c>
      <c r="E438" s="11">
        <v>1499</v>
      </c>
      <c r="G438" s="6" t="s">
        <v>2324</v>
      </c>
      <c r="H438" s="6" t="str" cm="1">
        <f t="array" ref="H438">IFERROR(INDEX($D$2:$D$554 &amp; " ($" &amp; TEXT($E$2:$E$554, "#,##0.00") &amp; ")", SMALL(IF($A$2:$A$554=$G438, ROW($D$2:$D$554)-ROW($D$2)+1), COLUMN(A438))), "")</f>
        <v>CARWARS STARTER 5000 ($599.00)</v>
      </c>
      <c r="I438" s="6" t="str" cm="1">
        <f t="array" ref="I438">IFERROR(INDEX($D$2:$D$554 &amp; " ($" &amp; TEXT($E$2:$E$554, "#,##0.00") &amp; ")", SMALL(IF($A$2:$A$554=$G438, ROW($D$2:$D$554)-ROW($D$2)+1), COLUMN(B438))), "")</f>
        <v/>
      </c>
      <c r="J438" s="6" t="str" cm="1">
        <f t="array" ref="J438">IFERROR(INDEX($D$2:$D$554 &amp; " ($" &amp; TEXT($E$2:$E$554, "#,##0.00") &amp; ")", SMALL(IF($A$2:$A$554=$G438, ROW($D$2:$D$554)-ROW($D$2)+1), COLUMN(C438))), "")</f>
        <v/>
      </c>
    </row>
    <row r="439" spans="1:10" x14ac:dyDescent="0.35">
      <c r="A439" s="6" t="s">
        <v>1497</v>
      </c>
      <c r="B439" s="6" t="s">
        <v>1498</v>
      </c>
      <c r="C439" s="6" t="s">
        <v>1329</v>
      </c>
      <c r="D439" s="6" t="s">
        <v>1330</v>
      </c>
      <c r="E439" s="11">
        <v>105.66</v>
      </c>
      <c r="G439" s="6" t="s">
        <v>2325</v>
      </c>
      <c r="H439" s="6" t="str" cm="1">
        <f t="array" ref="H439">IFERROR(INDEX($D$2:$D$554 &amp; " ($" &amp; TEXT($E$2:$E$554, "#,##0.00") &amp; ")", SMALL(IF($A$2:$A$554=$G439, ROW($D$2:$D$554)-ROW($D$2)+1), COLUMN(A439))), "")</f>
        <v>CARWARS STARTER 5000 ($599.00)</v>
      </c>
      <c r="I439" s="6" t="str" cm="1">
        <f t="array" ref="I439">IFERROR(INDEX($D$2:$D$554 &amp; " ($" &amp; TEXT($E$2:$E$554, "#,##0.00") &amp; ")", SMALL(IF($A$2:$A$554=$G439, ROW($D$2:$D$554)-ROW($D$2)+1), COLUMN(B439))), "")</f>
        <v/>
      </c>
      <c r="J439" s="6" t="str" cm="1">
        <f t="array" ref="J439">IFERROR(INDEX($D$2:$D$554 &amp; " ($" &amp; TEXT($E$2:$E$554, "#,##0.00") &amp; ")", SMALL(IF($A$2:$A$554=$G439, ROW($D$2:$D$554)-ROW($D$2)+1), COLUMN(C439))), "")</f>
        <v/>
      </c>
    </row>
    <row r="440" spans="1:10" x14ac:dyDescent="0.35">
      <c r="A440" s="6" t="s">
        <v>2284</v>
      </c>
      <c r="B440" s="6" t="s">
        <v>492</v>
      </c>
      <c r="C440" s="6" t="s">
        <v>48</v>
      </c>
      <c r="D440" s="6" t="s">
        <v>49</v>
      </c>
      <c r="E440" s="11">
        <v>299</v>
      </c>
      <c r="G440" s="6" t="s">
        <v>2326</v>
      </c>
      <c r="H440" s="6" t="str" cm="1">
        <f t="array" ref="H440">IFERROR(INDEX($D$2:$D$554 &amp; " ($" &amp; TEXT($E$2:$E$554, "#,##0.00") &amp; ")", SMALL(IF($A$2:$A$554=$G440, ROW($D$2:$D$554)-ROW($D$2)+1), COLUMN(A440))), "")</f>
        <v>CARWARS CARRIER REGISTRATION ($10.00)</v>
      </c>
      <c r="I440" s="6" t="str" cm="1">
        <f t="array" ref="I440">IFERROR(INDEX($D$2:$D$554 &amp; " ($" &amp; TEXT($E$2:$E$554, "#,##0.00") &amp; ")", SMALL(IF($A$2:$A$554=$G440, ROW($D$2:$D$554)-ROW($D$2)+1), COLUMN(B440))), "")</f>
        <v>CARWARS STARTER 5000 ($599.00)</v>
      </c>
      <c r="J440" s="6" t="str" cm="1">
        <f t="array" ref="J440">IFERROR(INDEX($D$2:$D$554 &amp; " ($" &amp; TEXT($E$2:$E$554, "#,##0.00") &amp; ")", SMALL(IF($A$2:$A$554=$G440, ROW($D$2:$D$554)-ROW($D$2)+1), COLUMN(C440))), "")</f>
        <v/>
      </c>
    </row>
    <row r="441" spans="1:10" x14ac:dyDescent="0.35">
      <c r="A441" s="6" t="s">
        <v>2285</v>
      </c>
      <c r="B441" s="6" t="s">
        <v>485</v>
      </c>
      <c r="C441" s="6" t="s">
        <v>48</v>
      </c>
      <c r="D441" s="6" t="s">
        <v>49</v>
      </c>
      <c r="E441" s="11">
        <v>299</v>
      </c>
      <c r="G441" s="6" t="s">
        <v>2327</v>
      </c>
      <c r="H441" s="6" t="str" cm="1">
        <f t="array" ref="H441">IFERROR(INDEX($D$2:$D$554 &amp; " ($" &amp; TEXT($E$2:$E$554, "#,##0.00") &amp; ")", SMALL(IF($A$2:$A$554=$G441, ROW($D$2:$D$554)-ROW($D$2)+1), COLUMN(A441))), "")</f>
        <v>CARWARS STARTER 5000 ($599.00)</v>
      </c>
      <c r="I441" s="6" t="str" cm="1">
        <f t="array" ref="I441">IFERROR(INDEX($D$2:$D$554 &amp; " ($" &amp; TEXT($E$2:$E$554, "#,##0.00") &amp; ")", SMALL(IF($A$2:$A$554=$G441, ROW($D$2:$D$554)-ROW($D$2)+1), COLUMN(B441))), "")</f>
        <v/>
      </c>
      <c r="J441" s="6" t="str" cm="1">
        <f t="array" ref="J441">IFERROR(INDEX($D$2:$D$554 &amp; " ($" &amp; TEXT($E$2:$E$554, "#,##0.00") &amp; ")", SMALL(IF($A$2:$A$554=$G441, ROW($D$2:$D$554)-ROW($D$2)+1), COLUMN(C441))), "")</f>
        <v/>
      </c>
    </row>
    <row r="442" spans="1:10" x14ac:dyDescent="0.35">
      <c r="A442" s="6" t="s">
        <v>2286</v>
      </c>
      <c r="B442" s="6" t="s">
        <v>310</v>
      </c>
      <c r="C442" s="6" t="s">
        <v>2052</v>
      </c>
      <c r="D442" s="6" t="s">
        <v>2053</v>
      </c>
      <c r="E442" s="11">
        <v>1199</v>
      </c>
      <c r="G442" s="6" t="s">
        <v>1517</v>
      </c>
      <c r="H442" s="6" t="str" cm="1">
        <f t="array" ref="H442">IFERROR(INDEX($D$2:$D$554 &amp; " ($" &amp; TEXT($E$2:$E$554, "#,##0.00") &amp; ")", SMALL(IF($A$2:$A$554=$G442, ROW($D$2:$D$554)-ROW($D$2)+1), COLUMN(A442))), "")</f>
        <v>CARWARS STARTER 5000 ($599.00)</v>
      </c>
      <c r="I442" s="6" t="str" cm="1">
        <f t="array" ref="I442">IFERROR(INDEX($D$2:$D$554 &amp; " ($" &amp; TEXT($E$2:$E$554, "#,##0.00") &amp; ")", SMALL(IF($A$2:$A$554=$G442, ROW($D$2:$D$554)-ROW($D$2)+1), COLUMN(B442))), "")</f>
        <v/>
      </c>
      <c r="J442" s="6" t="str" cm="1">
        <f t="array" ref="J442">IFERROR(INDEX($D$2:$D$554 &amp; " ($" &amp; TEXT($E$2:$E$554, "#,##0.00") &amp; ")", SMALL(IF($A$2:$A$554=$G442, ROW($D$2:$D$554)-ROW($D$2)+1), COLUMN(C442))), "")</f>
        <v/>
      </c>
    </row>
    <row r="443" spans="1:10" x14ac:dyDescent="0.35">
      <c r="A443" s="6" t="s">
        <v>1132</v>
      </c>
      <c r="B443" s="6" t="s">
        <v>1133</v>
      </c>
      <c r="C443" s="6" t="s">
        <v>1526</v>
      </c>
      <c r="D443" s="6" t="s">
        <v>971</v>
      </c>
      <c r="E443" s="11">
        <v>1053.45</v>
      </c>
      <c r="G443" s="6" t="s">
        <v>1138</v>
      </c>
      <c r="H443" s="6" t="str" cm="1">
        <f t="array" ref="H443">IFERROR(INDEX($D$2:$D$554 &amp; " ($" &amp; TEXT($E$2:$E$554, "#,##0.00") &amp; ")", SMALL(IF($A$2:$A$554=$G443, ROW($D$2:$D$554)-ROW($D$2)+1), COLUMN(A443))), "")</f>
        <v>CAR WARS CUSTOM PACKAGE--VICTORY AUTO ($1,053.45)</v>
      </c>
      <c r="I443" s="6" t="str" cm="1">
        <f t="array" ref="I443">IFERROR(INDEX($D$2:$D$554 &amp; " ($" &amp; TEXT($E$2:$E$554, "#,##0.00") &amp; ")", SMALL(IF($A$2:$A$554=$G443, ROW($D$2:$D$554)-ROW($D$2)+1), COLUMN(B443))), "")</f>
        <v/>
      </c>
      <c r="J443" s="6" t="str" cm="1">
        <f t="array" ref="J443">IFERROR(INDEX($D$2:$D$554 &amp; " ($" &amp; TEXT($E$2:$E$554, "#,##0.00") &amp; ")", SMALL(IF($A$2:$A$554=$G443, ROW($D$2:$D$554)-ROW($D$2)+1), COLUMN(C443))), "")</f>
        <v/>
      </c>
    </row>
    <row r="444" spans="1:10" x14ac:dyDescent="0.35">
      <c r="A444" s="6" t="s">
        <v>1087</v>
      </c>
      <c r="B444" s="6" t="s">
        <v>1088</v>
      </c>
      <c r="C444" s="6" t="s">
        <v>1526</v>
      </c>
      <c r="D444" s="6" t="s">
        <v>971</v>
      </c>
      <c r="E444" s="11">
        <v>1053.45</v>
      </c>
      <c r="G444" s="6" t="s">
        <v>2328</v>
      </c>
      <c r="H444" s="6" t="str" cm="1">
        <f t="array" ref="H444">IFERROR(INDEX($D$2:$D$554 &amp; " ($" &amp; TEXT($E$2:$E$554, "#,##0.00") &amp; ")", SMALL(IF($A$2:$A$554=$G444, ROW($D$2:$D$554)-ROW($D$2)+1), COLUMN(A444))), "")</f>
        <v>CARWARS PREMIUM SALES ($1,386.75)</v>
      </c>
      <c r="I444" s="6" t="str" cm="1">
        <f t="array" ref="I444">IFERROR(INDEX($D$2:$D$554 &amp; " ($" &amp; TEXT($E$2:$E$554, "#,##0.00") &amp; ")", SMALL(IF($A$2:$A$554=$G444, ROW($D$2:$D$554)-ROW($D$2)+1), COLUMN(B444))), "")</f>
        <v/>
      </c>
      <c r="J444" s="6" t="str" cm="1">
        <f t="array" ref="J444">IFERROR(INDEX($D$2:$D$554 &amp; " ($" &amp; TEXT($E$2:$E$554, "#,##0.00") &amp; ")", SMALL(IF($A$2:$A$554=$G444, ROW($D$2:$D$554)-ROW($D$2)+1), COLUMN(C444))), "")</f>
        <v/>
      </c>
    </row>
    <row r="445" spans="1:10" x14ac:dyDescent="0.35">
      <c r="A445" s="6" t="s">
        <v>2287</v>
      </c>
      <c r="B445" s="6" t="s">
        <v>625</v>
      </c>
      <c r="C445" s="6" t="s">
        <v>2037</v>
      </c>
      <c r="D445" s="6" t="s">
        <v>2038</v>
      </c>
      <c r="E445" s="11">
        <v>2981</v>
      </c>
      <c r="G445" s="6" t="s">
        <v>2329</v>
      </c>
      <c r="H445" s="6" t="str" cm="1">
        <f t="array" ref="H445">IFERROR(INDEX($D$2:$D$554 &amp; " ($" &amp; TEXT($E$2:$E$554, "#,##0.00") &amp; ")", SMALL(IF($A$2:$A$554=$G445, ROW($D$2:$D$554)-ROW($D$2)+1), COLUMN(A445))), "")</f>
        <v>CARWARS PREMIUM SALES ($1,386.75)</v>
      </c>
      <c r="I445" s="6" t="str" cm="1">
        <f t="array" ref="I445">IFERROR(INDEX($D$2:$D$554 &amp; " ($" &amp; TEXT($E$2:$E$554, "#,##0.00") &amp; ")", SMALL(IF($A$2:$A$554=$G445, ROW($D$2:$D$554)-ROW($D$2)+1), COLUMN(B445))), "")</f>
        <v/>
      </c>
      <c r="J445" s="6" t="str" cm="1">
        <f t="array" ref="J445">IFERROR(INDEX($D$2:$D$554 &amp; " ($" &amp; TEXT($E$2:$E$554, "#,##0.00") &amp; ")", SMALL(IF($A$2:$A$554=$G445, ROW($D$2:$D$554)-ROW($D$2)+1), COLUMN(C445))), "")</f>
        <v/>
      </c>
    </row>
    <row r="446" spans="1:10" x14ac:dyDescent="0.35">
      <c r="A446" s="6" t="s">
        <v>1030</v>
      </c>
      <c r="B446" s="6" t="s">
        <v>1031</v>
      </c>
      <c r="C446" s="6" t="s">
        <v>1526</v>
      </c>
      <c r="D446" s="6" t="s">
        <v>971</v>
      </c>
      <c r="E446" s="11">
        <v>1053.45</v>
      </c>
      <c r="G446" s="6" t="s">
        <v>2330</v>
      </c>
      <c r="H446" s="6" t="str" cm="1">
        <f t="array" ref="H446">IFERROR(INDEX($D$2:$D$554 &amp; " ($" &amp; TEXT($E$2:$E$554, "#,##0.00") &amp; ")", SMALL(IF($A$2:$A$554=$G446, ROW($D$2:$D$554)-ROW($D$2)+1), COLUMN(A446))), "")</f>
        <v>CARWARS PREMIUM SALES ($1,386.75)</v>
      </c>
      <c r="I446" s="6" t="str" cm="1">
        <f t="array" ref="I446">IFERROR(INDEX($D$2:$D$554 &amp; " ($" &amp; TEXT($E$2:$E$554, "#,##0.00") &amp; ")", SMALL(IF($A$2:$A$554=$G446, ROW($D$2:$D$554)-ROW($D$2)+1), COLUMN(B446))), "")</f>
        <v/>
      </c>
      <c r="J446" s="6" t="str" cm="1">
        <f t="array" ref="J446">IFERROR(INDEX($D$2:$D$554 &amp; " ($" &amp; TEXT($E$2:$E$554, "#,##0.00") &amp; ")", SMALL(IF($A$2:$A$554=$G446, ROW($D$2:$D$554)-ROW($D$2)+1), COLUMN(C446))), "")</f>
        <v/>
      </c>
    </row>
    <row r="447" spans="1:10" x14ac:dyDescent="0.35">
      <c r="A447" s="6" t="s">
        <v>2288</v>
      </c>
      <c r="B447" s="6" t="s">
        <v>446</v>
      </c>
      <c r="C447" s="6" t="s">
        <v>408</v>
      </c>
      <c r="D447" s="6" t="s">
        <v>409</v>
      </c>
      <c r="E447" s="11">
        <v>20</v>
      </c>
      <c r="G447" s="6" t="s">
        <v>2331</v>
      </c>
      <c r="H447" s="6" t="str" cm="1">
        <f t="array" ref="H447">IFERROR(INDEX($D$2:$D$554 &amp; " ($" &amp; TEXT($E$2:$E$554, "#,##0.00") &amp; ")", SMALL(IF($A$2:$A$554=$G447, ROW($D$2:$D$554)-ROW($D$2)+1), COLUMN(A447))), "")</f>
        <v>CARWARS PREMIUM SALES ($1,386.75)</v>
      </c>
      <c r="I447" s="6" t="str" cm="1">
        <f t="array" ref="I447">IFERROR(INDEX($D$2:$D$554 &amp; " ($" &amp; TEXT($E$2:$E$554, "#,##0.00") &amp; ")", SMALL(IF($A$2:$A$554=$G447, ROW($D$2:$D$554)-ROW($D$2)+1), COLUMN(B447))), "")</f>
        <v/>
      </c>
      <c r="J447" s="6" t="str" cm="1">
        <f t="array" ref="J447">IFERROR(INDEX($D$2:$D$554 &amp; " ($" &amp; TEXT($E$2:$E$554, "#,##0.00") &amp; ")", SMALL(IF($A$2:$A$554=$G447, ROW($D$2:$D$554)-ROW($D$2)+1), COLUMN(C447))), "")</f>
        <v/>
      </c>
    </row>
    <row r="448" spans="1:10" x14ac:dyDescent="0.35">
      <c r="A448" s="6" t="s">
        <v>2288</v>
      </c>
      <c r="B448" s="6" t="s">
        <v>446</v>
      </c>
      <c r="C448" s="6" t="s">
        <v>97</v>
      </c>
      <c r="D448" s="6" t="s">
        <v>98</v>
      </c>
      <c r="E448" s="11">
        <v>1499</v>
      </c>
      <c r="G448" s="6" t="s">
        <v>2332</v>
      </c>
      <c r="H448" s="6" t="str" cm="1">
        <f t="array" ref="H448">IFERROR(INDEX($D$2:$D$554 &amp; " ($" &amp; TEXT($E$2:$E$554, "#,##0.00") &amp; ")", SMALL(IF($A$2:$A$554=$G448, ROW($D$2:$D$554)-ROW($D$2)+1), COLUMN(A448))), "")</f>
        <v>CARWARS PREMIUM SALES ($1,386.75)</v>
      </c>
      <c r="I448" s="6" t="str" cm="1">
        <f t="array" ref="I448">IFERROR(INDEX($D$2:$D$554 &amp; " ($" &amp; TEXT($E$2:$E$554, "#,##0.00") &amp; ")", SMALL(IF($A$2:$A$554=$G448, ROW($D$2:$D$554)-ROW($D$2)+1), COLUMN(B448))), "")</f>
        <v/>
      </c>
      <c r="J448" s="6" t="str" cm="1">
        <f t="array" ref="J448">IFERROR(INDEX($D$2:$D$554 &amp; " ($" &amp; TEXT($E$2:$E$554, "#,##0.00") &amp; ")", SMALL(IF($A$2:$A$554=$G448, ROW($D$2:$D$554)-ROW($D$2)+1), COLUMN(C448))), "")</f>
        <v/>
      </c>
    </row>
    <row r="449" spans="1:10" x14ac:dyDescent="0.35">
      <c r="A449" s="6" t="s">
        <v>2289</v>
      </c>
      <c r="B449" s="6" t="s">
        <v>632</v>
      </c>
      <c r="C449" s="6" t="s">
        <v>97</v>
      </c>
      <c r="D449" s="6" t="s">
        <v>98</v>
      </c>
      <c r="E449" s="11">
        <v>1499</v>
      </c>
      <c r="G449" s="6" t="s">
        <v>2333</v>
      </c>
      <c r="H449" s="6" t="str" cm="1">
        <f t="array" ref="H449">IFERROR(INDEX($D$2:$D$554 &amp; " ($" &amp; TEXT($E$2:$E$554, "#,##0.00") &amp; ")", SMALL(IF($A$2:$A$554=$G449, ROW($D$2:$D$554)-ROW($D$2)+1), COLUMN(A449))), "")</f>
        <v>CARWARS PREMIUM SALES ($1,386.75)</v>
      </c>
      <c r="I449" s="6" t="str" cm="1">
        <f t="array" ref="I449">IFERROR(INDEX($D$2:$D$554 &amp; " ($" &amp; TEXT($E$2:$E$554, "#,##0.00") &amp; ")", SMALL(IF($A$2:$A$554=$G449, ROW($D$2:$D$554)-ROW($D$2)+1), COLUMN(B449))), "")</f>
        <v/>
      </c>
      <c r="J449" s="6" t="str" cm="1">
        <f t="array" ref="J449">IFERROR(INDEX($D$2:$D$554 &amp; " ($" &amp; TEXT($E$2:$E$554, "#,##0.00") &amp; ")", SMALL(IF($A$2:$A$554=$G449, ROW($D$2:$D$554)-ROW($D$2)+1), COLUMN(C449))), "")</f>
        <v/>
      </c>
    </row>
    <row r="450" spans="1:10" x14ac:dyDescent="0.35">
      <c r="A450" s="6" t="s">
        <v>2290</v>
      </c>
      <c r="B450" s="6" t="s">
        <v>589</v>
      </c>
      <c r="C450" s="6" t="s">
        <v>97</v>
      </c>
      <c r="D450" s="6" t="s">
        <v>98</v>
      </c>
      <c r="E450" s="11">
        <v>1499</v>
      </c>
      <c r="G450" s="6" t="s">
        <v>2334</v>
      </c>
      <c r="H450" s="6" t="str" cm="1">
        <f t="array" ref="H450">IFERROR(INDEX($D$2:$D$554 &amp; " ($" &amp; TEXT($E$2:$E$554, "#,##0.00") &amp; ")", SMALL(IF($A$2:$A$554=$G450, ROW($D$2:$D$554)-ROW($D$2)+1), COLUMN(A450))), "")</f>
        <v>CARWARS PREMIUM SALES ($1,386.75)</v>
      </c>
      <c r="I450" s="6" t="str" cm="1">
        <f t="array" ref="I450">IFERROR(INDEX($D$2:$D$554 &amp; " ($" &amp; TEXT($E$2:$E$554, "#,##0.00") &amp; ")", SMALL(IF($A$2:$A$554=$G450, ROW($D$2:$D$554)-ROW($D$2)+1), COLUMN(B450))), "")</f>
        <v/>
      </c>
      <c r="J450" s="6" t="str" cm="1">
        <f t="array" ref="J450">IFERROR(INDEX($D$2:$D$554 &amp; " ($" &amp; TEXT($E$2:$E$554, "#,##0.00") &amp; ")", SMALL(IF($A$2:$A$554=$G450, ROW($D$2:$D$554)-ROW($D$2)+1), COLUMN(C450))), "")</f>
        <v/>
      </c>
    </row>
    <row r="451" spans="1:10" x14ac:dyDescent="0.35">
      <c r="A451" s="6" t="s">
        <v>2291</v>
      </c>
      <c r="B451" s="6" t="s">
        <v>676</v>
      </c>
      <c r="C451" s="6" t="s">
        <v>48</v>
      </c>
      <c r="D451" s="6" t="s">
        <v>49</v>
      </c>
      <c r="E451" s="11">
        <v>319</v>
      </c>
      <c r="G451" s="6" t="s">
        <v>2335</v>
      </c>
      <c r="H451" s="6" t="str" cm="1">
        <f t="array" ref="H451">IFERROR(INDEX($D$2:$D$554 &amp; " ($" &amp; TEXT($E$2:$E$554, "#,##0.00") &amp; ")", SMALL(IF($A$2:$A$554=$G451, ROW($D$2:$D$554)-ROW($D$2)+1), COLUMN(A451))), "")</f>
        <v>CARWARS PREMIUM SALES ($1,386.75)</v>
      </c>
      <c r="I451" s="6" t="str" cm="1">
        <f t="array" ref="I451">IFERROR(INDEX($D$2:$D$554 &amp; " ($" &amp; TEXT($E$2:$E$554, "#,##0.00") &amp; ")", SMALL(IF($A$2:$A$554=$G451, ROW($D$2:$D$554)-ROW($D$2)+1), COLUMN(B451))), "")</f>
        <v/>
      </c>
      <c r="J451" s="6" t="str" cm="1">
        <f t="array" ref="J451">IFERROR(INDEX($D$2:$D$554 &amp; " ($" &amp; TEXT($E$2:$E$554, "#,##0.00") &amp; ")", SMALL(IF($A$2:$A$554=$G451, ROW($D$2:$D$554)-ROW($D$2)+1), COLUMN(C451))), "")</f>
        <v/>
      </c>
    </row>
    <row r="452" spans="1:10" x14ac:dyDescent="0.35">
      <c r="A452" s="6" t="s">
        <v>2292</v>
      </c>
      <c r="B452" s="6" t="s">
        <v>545</v>
      </c>
      <c r="C452" s="6" t="s">
        <v>74</v>
      </c>
      <c r="D452" s="6" t="s">
        <v>75</v>
      </c>
      <c r="E452" s="11">
        <v>499</v>
      </c>
      <c r="G452" s="6" t="s">
        <v>2336</v>
      </c>
      <c r="H452" s="6" t="str" cm="1">
        <f t="array" ref="H452">IFERROR(INDEX($D$2:$D$554 &amp; " ($" &amp; TEXT($E$2:$E$554, "#,##0.00") &amp; ")", SMALL(IF($A$2:$A$554=$G452, ROW($D$2:$D$554)-ROW($D$2)+1), COLUMN(A452))), "")</f>
        <v>CARWARS ADVANCED SALES ($1,170.63)</v>
      </c>
      <c r="I452" s="6" t="str" cm="1">
        <f t="array" ref="I452">IFERROR(INDEX($D$2:$D$554 &amp; " ($" &amp; TEXT($E$2:$E$554, "#,##0.00") &amp; ")", SMALL(IF($A$2:$A$554=$G452, ROW($D$2:$D$554)-ROW($D$2)+1), COLUMN(B452))), "")</f>
        <v>CARWARS ADVANCED SERVICE ($1,170.63)</v>
      </c>
      <c r="J452" s="6" t="str" cm="1">
        <f t="array" ref="J452">IFERROR(INDEX($D$2:$D$554 &amp; " ($" &amp; TEXT($E$2:$E$554, "#,##0.00") &amp; ")", SMALL(IF($A$2:$A$554=$G452, ROW($D$2:$D$554)-ROW($D$2)+1), COLUMN(C452))), "")</f>
        <v>CARWARS VOICE RECOGNITION (STARTER/ADV) ($249.00)</v>
      </c>
    </row>
    <row r="453" spans="1:10" x14ac:dyDescent="0.35">
      <c r="A453" s="6" t="s">
        <v>2293</v>
      </c>
      <c r="B453" s="6" t="s">
        <v>752</v>
      </c>
      <c r="C453" s="6" t="s">
        <v>48</v>
      </c>
      <c r="D453" s="6" t="s">
        <v>49</v>
      </c>
      <c r="E453" s="11">
        <v>337.95</v>
      </c>
      <c r="G453" s="6" t="s">
        <v>1105</v>
      </c>
      <c r="H453" s="6" t="str" cm="1">
        <f t="array" ref="H453">IFERROR(INDEX($D$2:$D$554 &amp; " ($" &amp; TEXT($E$2:$E$554, "#,##0.00") &amp; ")", SMALL(IF($A$2:$A$554=$G453, ROW($D$2:$D$554)-ROW($D$2)+1), COLUMN(A453))), "")</f>
        <v>CAR WARS CUSTOM PACKAGE--VICTORY AUTO ($1,053.45)</v>
      </c>
      <c r="I453" s="6" t="str" cm="1">
        <f t="array" ref="I453">IFERROR(INDEX($D$2:$D$554 &amp; " ($" &amp; TEXT($E$2:$E$554, "#,##0.00") &amp; ")", SMALL(IF($A$2:$A$554=$G453, ROW($D$2:$D$554)-ROW($D$2)+1), COLUMN(B453))), "")</f>
        <v/>
      </c>
      <c r="J453" s="6" t="str" cm="1">
        <f t="array" ref="J453">IFERROR(INDEX($D$2:$D$554 &amp; " ($" &amp; TEXT($E$2:$E$554, "#,##0.00") &amp; ")", SMALL(IF($A$2:$A$554=$G453, ROW($D$2:$D$554)-ROW($D$2)+1), COLUMN(C453))), "")</f>
        <v/>
      </c>
    </row>
    <row r="454" spans="1:10" x14ac:dyDescent="0.35">
      <c r="A454" s="6" t="s">
        <v>2294</v>
      </c>
      <c r="B454" s="6" t="s">
        <v>678</v>
      </c>
      <c r="C454" s="6" t="s">
        <v>48</v>
      </c>
      <c r="D454" s="6" t="s">
        <v>49</v>
      </c>
      <c r="E454" s="11">
        <v>319</v>
      </c>
      <c r="G454" s="6" t="s">
        <v>1117</v>
      </c>
      <c r="H454" s="6" t="str" cm="1">
        <f t="array" ref="H454">IFERROR(INDEX($D$2:$D$554 &amp; " ($" &amp; TEXT($E$2:$E$554, "#,##0.00") &amp; ")", SMALL(IF($A$2:$A$554=$G454, ROW($D$2:$D$554)-ROW($D$2)+1), COLUMN(A454))), "")</f>
        <v>CAR WARS CUSTOM PACKAGE--VICTORY AUTO ($1,053.45)</v>
      </c>
      <c r="I454" s="6" t="str" cm="1">
        <f t="array" ref="I454">IFERROR(INDEX($D$2:$D$554 &amp; " ($" &amp; TEXT($E$2:$E$554, "#,##0.00") &amp; ")", SMALL(IF($A$2:$A$554=$G454, ROW($D$2:$D$554)-ROW($D$2)+1), COLUMN(B454))), "")</f>
        <v/>
      </c>
      <c r="J454" s="6" t="str" cm="1">
        <f t="array" ref="J454">IFERROR(INDEX($D$2:$D$554 &amp; " ($" &amp; TEXT($E$2:$E$554, "#,##0.00") &amp; ")", SMALL(IF($A$2:$A$554=$G454, ROW($D$2:$D$554)-ROW($D$2)+1), COLUMN(C454))), "")</f>
        <v/>
      </c>
    </row>
    <row r="455" spans="1:10" x14ac:dyDescent="0.35">
      <c r="A455" s="6" t="s">
        <v>1000</v>
      </c>
      <c r="B455" s="6" t="s">
        <v>1001</v>
      </c>
      <c r="C455" s="6" t="s">
        <v>1526</v>
      </c>
      <c r="D455" s="6" t="s">
        <v>971</v>
      </c>
      <c r="E455" s="11">
        <v>1053.45</v>
      </c>
      <c r="G455" s="6" t="s">
        <v>1123</v>
      </c>
      <c r="H455" s="6" t="str" cm="1">
        <f t="array" ref="H455">IFERROR(INDEX($D$2:$D$554 &amp; " ($" &amp; TEXT($E$2:$E$554, "#,##0.00") &amp; ")", SMALL(IF($A$2:$A$554=$G455, ROW($D$2:$D$554)-ROW($D$2)+1), COLUMN(A455))), "")</f>
        <v>CAR WARS CUSTOM PACKAGE--VICTORY AUTO ($1,053.45)</v>
      </c>
      <c r="I455" s="6" t="str" cm="1">
        <f t="array" ref="I455">IFERROR(INDEX($D$2:$D$554 &amp; " ($" &amp; TEXT($E$2:$E$554, "#,##0.00") &amp; ")", SMALL(IF($A$2:$A$554=$G455, ROW($D$2:$D$554)-ROW($D$2)+1), COLUMN(B455))), "")</f>
        <v/>
      </c>
      <c r="J455" s="6" t="str" cm="1">
        <f t="array" ref="J455">IFERROR(INDEX($D$2:$D$554 &amp; " ($" &amp; TEXT($E$2:$E$554, "#,##0.00") &amp; ")", SMALL(IF($A$2:$A$554=$G455, ROW($D$2:$D$554)-ROW($D$2)+1), COLUMN(C455))), "")</f>
        <v/>
      </c>
    </row>
    <row r="456" spans="1:10" x14ac:dyDescent="0.35">
      <c r="A456" s="6" t="s">
        <v>2295</v>
      </c>
      <c r="B456" s="6" t="s">
        <v>279</v>
      </c>
      <c r="C456" s="6" t="s">
        <v>42</v>
      </c>
      <c r="D456" s="6" t="s">
        <v>43</v>
      </c>
      <c r="E456" s="11">
        <v>1386.75</v>
      </c>
      <c r="G456" s="6" t="s">
        <v>2337</v>
      </c>
      <c r="H456" s="6" t="str" cm="1">
        <f t="array" ref="H456">IFERROR(INDEX($D$2:$D$554 &amp; " ($" &amp; TEXT($E$2:$E$554, "#,##0.00") &amp; ")", SMALL(IF($A$2:$A$554=$G456, ROW($D$2:$D$554)-ROW($D$2)+1), COLUMN(A456))), "")</f>
        <v>CARWARS STARTER 5000 ($599.00)</v>
      </c>
      <c r="I456" s="6" t="str" cm="1">
        <f t="array" ref="I456">IFERROR(INDEX($D$2:$D$554 &amp; " ($" &amp; TEXT($E$2:$E$554, "#,##0.00") &amp; ")", SMALL(IF($A$2:$A$554=$G456, ROW($D$2:$D$554)-ROW($D$2)+1), COLUMN(B456))), "")</f>
        <v/>
      </c>
      <c r="J456" s="6" t="str" cm="1">
        <f t="array" ref="J456">IFERROR(INDEX($D$2:$D$554 &amp; " ($" &amp; TEXT($E$2:$E$554, "#,##0.00") &amp; ")", SMALL(IF($A$2:$A$554=$G456, ROW($D$2:$D$554)-ROW($D$2)+1), COLUMN(C456))), "")</f>
        <v/>
      </c>
    </row>
    <row r="457" spans="1:10" x14ac:dyDescent="0.35">
      <c r="A457" s="6" t="s">
        <v>2296</v>
      </c>
      <c r="B457" s="6" t="s">
        <v>648</v>
      </c>
      <c r="C457" s="6" t="s">
        <v>67</v>
      </c>
      <c r="D457" s="6" t="s">
        <v>68</v>
      </c>
      <c r="E457" s="11">
        <v>599</v>
      </c>
      <c r="G457" s="6" t="s">
        <v>2338</v>
      </c>
      <c r="H457" s="6" t="str" cm="1">
        <f t="array" ref="H457">IFERROR(INDEX($D$2:$D$554 &amp; " ($" &amp; TEXT($E$2:$E$554, "#,##0.00") &amp; ")", SMALL(IF($A$2:$A$554=$G457, ROW($D$2:$D$554)-ROW($D$2)+1), COLUMN(A457))), "")</f>
        <v>CARWARS STARTER 5000 ($599.00)</v>
      </c>
      <c r="I457" s="6" t="str" cm="1">
        <f t="array" ref="I457">IFERROR(INDEX($D$2:$D$554 &amp; " ($" &amp; TEXT($E$2:$E$554, "#,##0.00") &amp; ")", SMALL(IF($A$2:$A$554=$G457, ROW($D$2:$D$554)-ROW($D$2)+1), COLUMN(B457))), "")</f>
        <v/>
      </c>
      <c r="J457" s="6" t="str" cm="1">
        <f t="array" ref="J457">IFERROR(INDEX($D$2:$D$554 &amp; " ($" &amp; TEXT($E$2:$E$554, "#,##0.00") &amp; ")", SMALL(IF($A$2:$A$554=$G457, ROW($D$2:$D$554)-ROW($D$2)+1), COLUMN(C457))), "")</f>
        <v/>
      </c>
    </row>
    <row r="458" spans="1:10" x14ac:dyDescent="0.35">
      <c r="A458" s="6" t="s">
        <v>1126</v>
      </c>
      <c r="B458" s="6" t="s">
        <v>1127</v>
      </c>
      <c r="C458" s="6" t="s">
        <v>2076</v>
      </c>
      <c r="D458" s="6" t="s">
        <v>2077</v>
      </c>
      <c r="E458" s="11">
        <v>498</v>
      </c>
      <c r="G458" s="6" t="s">
        <v>1519</v>
      </c>
      <c r="H458" s="6" t="str" cm="1">
        <f t="array" ref="H458">IFERROR(INDEX($D$2:$D$554 &amp; " ($" &amp; TEXT($E$2:$E$554, "#,##0.00") &amp; ")", SMALL(IF($A$2:$A$554=$G458, ROW($D$2:$D$554)-ROW($D$2)+1), COLUMN(A458))), "")</f>
        <v>CRM OUTBOUND TELEPHONY TRACKING (NEW AND CONVERSION) ($320.08)</v>
      </c>
      <c r="I458" s="6" t="str" cm="1">
        <f t="array" ref="I458">IFERROR(INDEX($D$2:$D$554 &amp; " ($" &amp; TEXT($E$2:$E$554, "#,##0.00") &amp; ")", SMALL(IF($A$2:$A$554=$G458, ROW($D$2:$D$554)-ROW($D$2)+1), COLUMN(B458))), "")</f>
        <v/>
      </c>
      <c r="J458" s="6" t="str" cm="1">
        <f t="array" ref="J458">IFERROR(INDEX($D$2:$D$554 &amp; " ($" &amp; TEXT($E$2:$E$554, "#,##0.00") &amp; ")", SMALL(IF($A$2:$A$554=$G458, ROW($D$2:$D$554)-ROW($D$2)+1), COLUMN(C458))), "")</f>
        <v/>
      </c>
    </row>
    <row r="459" spans="1:10" x14ac:dyDescent="0.35">
      <c r="A459" s="6" t="s">
        <v>1126</v>
      </c>
      <c r="B459" s="6" t="s">
        <v>1127</v>
      </c>
      <c r="C459" s="6" t="s">
        <v>1526</v>
      </c>
      <c r="D459" s="6" t="s">
        <v>971</v>
      </c>
      <c r="E459" s="11">
        <v>1053.45</v>
      </c>
      <c r="G459" s="6" t="s">
        <v>1520</v>
      </c>
      <c r="H459" s="6" t="str" cm="1">
        <f t="array" ref="H459">IFERROR(INDEX($D$2:$D$554 &amp; " ($" &amp; TEXT($E$2:$E$554, "#,##0.00") &amp; ")", SMALL(IF($A$2:$A$554=$G459, ROW($D$2:$D$554)-ROW($D$2)+1), COLUMN(A459))), "")</f>
        <v>CRM TELEPHONY TRACKING ($74.94)</v>
      </c>
      <c r="I459" s="6" t="str" cm="1">
        <f t="array" ref="I459">IFERROR(INDEX($D$2:$D$554 &amp; " ($" &amp; TEXT($E$2:$E$554, "#,##0.00") &amp; ")", SMALL(IF($A$2:$A$554=$G459, ROW($D$2:$D$554)-ROW($D$2)+1), COLUMN(B459))), "")</f>
        <v/>
      </c>
      <c r="J459" s="6" t="str" cm="1">
        <f t="array" ref="J459">IFERROR(INDEX($D$2:$D$554 &amp; " ($" &amp; TEXT($E$2:$E$554, "#,##0.00") &amp; ")", SMALL(IF($A$2:$A$554=$G459, ROW($D$2:$D$554)-ROW($D$2)+1), COLUMN(C459))), "")</f>
        <v/>
      </c>
    </row>
    <row r="460" spans="1:10" x14ac:dyDescent="0.35">
      <c r="A460" s="6" t="s">
        <v>2297</v>
      </c>
      <c r="B460" s="6" t="s">
        <v>564</v>
      </c>
      <c r="C460" s="6" t="s">
        <v>67</v>
      </c>
      <c r="D460" s="6" t="s">
        <v>68</v>
      </c>
      <c r="E460" s="11">
        <v>599</v>
      </c>
      <c r="G460" s="6" t="s">
        <v>2339</v>
      </c>
      <c r="H460" s="6" t="str" cm="1">
        <f t="array" ref="H460">IFERROR(INDEX($D$2:$D$554 &amp; " ($" &amp; TEXT($E$2:$E$554, "#,##0.00") &amp; ")", SMALL(IF($A$2:$A$554=$G460, ROW($D$2:$D$554)-ROW($D$2)+1), COLUMN(A460))), "")</f>
        <v>CRM TELEPHONY TRACKING ($74.94)</v>
      </c>
      <c r="I460" s="6" t="str" cm="1">
        <f t="array" ref="I460">IFERROR(INDEX($D$2:$D$554 &amp; " ($" &amp; TEXT($E$2:$E$554, "#,##0.00") &amp; ")", SMALL(IF($A$2:$A$554=$G460, ROW($D$2:$D$554)-ROW($D$2)+1), COLUMN(B460))), "")</f>
        <v>CARWARS CARRIER REGISTRATION ($10.00)</v>
      </c>
      <c r="J460" s="6" t="str" cm="1">
        <f t="array" ref="J460">IFERROR(INDEX($D$2:$D$554 &amp; " ($" &amp; TEXT($E$2:$E$554, "#,##0.00") &amp; ")", SMALL(IF($A$2:$A$554=$G460, ROW($D$2:$D$554)-ROW($D$2)+1), COLUMN(C460))), "")</f>
        <v>CARWARS LEISURE SMALL (SALES ONLY) ($699.00)</v>
      </c>
    </row>
    <row r="461" spans="1:10" x14ac:dyDescent="0.35">
      <c r="A461" s="6" t="s">
        <v>1499</v>
      </c>
      <c r="B461" s="6" t="s">
        <v>1500</v>
      </c>
      <c r="C461" s="6" t="s">
        <v>1329</v>
      </c>
      <c r="D461" s="6" t="s">
        <v>1330</v>
      </c>
      <c r="E461" s="11">
        <v>0</v>
      </c>
      <c r="G461" s="6" t="s">
        <v>2340</v>
      </c>
      <c r="H461" s="6" t="str" cm="1">
        <f t="array" ref="H461">IFERROR(INDEX($D$2:$D$554 &amp; " ($" &amp; TEXT($E$2:$E$554, "#,##0.00") &amp; ")", SMALL(IF($A$2:$A$554=$G461, ROW($D$2:$D$554)-ROW($D$2)+1), COLUMN(A461))), "")</f>
        <v>CARWARS STARTER 3500 ($299.00)</v>
      </c>
      <c r="I461" s="6" t="str" cm="1">
        <f t="array" ref="I461">IFERROR(INDEX($D$2:$D$554 &amp; " ($" &amp; TEXT($E$2:$E$554, "#,##0.00") &amp; ")", SMALL(IF($A$2:$A$554=$G461, ROW($D$2:$D$554)-ROW($D$2)+1), COLUMN(B461))), "")</f>
        <v/>
      </c>
      <c r="J461" s="6" t="str" cm="1">
        <f t="array" ref="J461">IFERROR(INDEX($D$2:$D$554 &amp; " ($" &amp; TEXT($E$2:$E$554, "#,##0.00") &amp; ")", SMALL(IF($A$2:$A$554=$G461, ROW($D$2:$D$554)-ROW($D$2)+1), COLUMN(C461))), "")</f>
        <v/>
      </c>
    </row>
    <row r="462" spans="1:10" x14ac:dyDescent="0.35">
      <c r="A462" s="6" t="s">
        <v>2298</v>
      </c>
      <c r="B462" s="6" t="s">
        <v>267</v>
      </c>
      <c r="C462" s="6" t="s">
        <v>42</v>
      </c>
      <c r="D462" s="6" t="s">
        <v>43</v>
      </c>
      <c r="E462" s="11">
        <v>1386.75</v>
      </c>
      <c r="G462" s="6" t="s">
        <v>1522</v>
      </c>
      <c r="H462" s="6" t="str" cm="1">
        <f t="array" ref="H462">IFERROR(INDEX($D$2:$D$554 &amp; " ($" &amp; TEXT($E$2:$E$554, "#,##0.00") &amp; ")", SMALL(IF($A$2:$A$554=$G462, ROW($D$2:$D$554)-ROW($D$2)+1), COLUMN(A462))), "")</f>
        <v>CRM OUTBOUND TELEPHONY TRACKING (NEW AND CONVERSION) ($213.03)</v>
      </c>
      <c r="I462" s="6" t="str" cm="1">
        <f t="array" ref="I462">IFERROR(INDEX($D$2:$D$554 &amp; " ($" &amp; TEXT($E$2:$E$554, "#,##0.00") &amp; ")", SMALL(IF($A$2:$A$554=$G462, ROW($D$2:$D$554)-ROW($D$2)+1), COLUMN(B462))), "")</f>
        <v/>
      </c>
      <c r="J462" s="6" t="str" cm="1">
        <f t="array" ref="J462">IFERROR(INDEX($D$2:$D$554 &amp; " ($" &amp; TEXT($E$2:$E$554, "#,##0.00") &amp; ")", SMALL(IF($A$2:$A$554=$G462, ROW($D$2:$D$554)-ROW($D$2)+1), COLUMN(C462))), "")</f>
        <v/>
      </c>
    </row>
    <row r="463" spans="1:10" x14ac:dyDescent="0.35">
      <c r="A463" s="6" t="s">
        <v>2299</v>
      </c>
      <c r="B463" s="6" t="s">
        <v>271</v>
      </c>
      <c r="C463" s="6" t="s">
        <v>42</v>
      </c>
      <c r="D463" s="6" t="s">
        <v>43</v>
      </c>
      <c r="E463" s="11">
        <v>1386.75</v>
      </c>
      <c r="G463" s="6" t="s">
        <v>1523</v>
      </c>
      <c r="H463" s="6" t="str" cm="1">
        <f t="array" ref="H463">IFERROR(INDEX($D$2:$D$554 &amp; " ($" &amp; TEXT($E$2:$E$554, "#,##0.00") &amp; ")", SMALL(IF($A$2:$A$554=$G463, ROW($D$2:$D$554)-ROW($D$2)+1), COLUMN(A463))), "")</f>
        <v>CRM TELEPHONY TRACKING ($74.94)</v>
      </c>
      <c r="I463" s="6" t="str" cm="1">
        <f t="array" ref="I463">IFERROR(INDEX($D$2:$D$554 &amp; " ($" &amp; TEXT($E$2:$E$554, "#,##0.00") &amp; ")", SMALL(IF($A$2:$A$554=$G463, ROW($D$2:$D$554)-ROW($D$2)+1), COLUMN(B463))), "")</f>
        <v/>
      </c>
      <c r="J463" s="6" t="str" cm="1">
        <f t="array" ref="J463">IFERROR(INDEX($D$2:$D$554 &amp; " ($" &amp; TEXT($E$2:$E$554, "#,##0.00") &amp; ")", SMALL(IF($A$2:$A$554=$G463, ROW($D$2:$D$554)-ROW($D$2)+1), COLUMN(C463))), "")</f>
        <v/>
      </c>
    </row>
    <row r="464" spans="1:10" x14ac:dyDescent="0.35">
      <c r="A464" s="6" t="s">
        <v>2300</v>
      </c>
      <c r="B464" s="6" t="s">
        <v>281</v>
      </c>
      <c r="C464" s="6" t="s">
        <v>42</v>
      </c>
      <c r="D464" s="6" t="s">
        <v>43</v>
      </c>
      <c r="E464" s="11">
        <v>1386.75</v>
      </c>
      <c r="G464" s="50" t="s">
        <v>1096</v>
      </c>
      <c r="H464" s="6" t="str" cm="1">
        <f t="array" ref="H464">IFERROR(INDEX($D$2:$D$554 &amp; " ($" &amp; TEXT($E$2:$E$554, "#,##0.00") &amp; ")", SMALL(IF($A$2:$A$554=$G464, ROW($D$2:$D$554)-ROW($D$2)+1), COLUMN(A464))), "")</f>
        <v>CAR WARS CUSTOM PACKAGE--VICTORY AUTO ($1,053.45)</v>
      </c>
      <c r="I464" s="6" t="str" cm="1">
        <f t="array" ref="I464">IFERROR(INDEX($D$2:$D$554 &amp; " ($" &amp; TEXT($E$2:$E$554, "#,##0.00") &amp; ")", SMALL(IF($A$2:$A$554=$G464, ROW($D$2:$D$554)-ROW($D$2)+1), COLUMN(B464))), "")</f>
        <v/>
      </c>
      <c r="J464" s="6" t="str" cm="1">
        <f t="array" ref="J464">IFERROR(INDEX($D$2:$D$554 &amp; " ($" &amp; TEXT($E$2:$E$554, "#,##0.00") &amp; ")", SMALL(IF($A$2:$A$554=$G464, ROW($D$2:$D$554)-ROW($D$2)+1), COLUMN(C464))), "")</f>
        <v/>
      </c>
    </row>
    <row r="465" spans="1:14" x14ac:dyDescent="0.35">
      <c r="A465" s="6" t="s">
        <v>2301</v>
      </c>
      <c r="B465" s="6" t="s">
        <v>577</v>
      </c>
      <c r="C465" s="6" t="s">
        <v>1870</v>
      </c>
      <c r="D465" s="6" t="s">
        <v>1871</v>
      </c>
      <c r="E465" s="11">
        <v>999</v>
      </c>
      <c r="G465" s="6" t="s">
        <v>1093</v>
      </c>
      <c r="H465" s="6" t="str" cm="1">
        <f t="array" ref="H465">IFERROR(INDEX($D$2:$D$554 &amp; " ($" &amp; TEXT($E$2:$E$554, "#,##0.00") &amp; ")", SMALL(IF($A$2:$A$554=$G465, ROW($D$2:$D$554)-ROW($D$2)+1), COLUMN(A465))), "")</f>
        <v>CAR WARS CUSTOM PACKAGE--VICTORY AUTO ($1,053.45)</v>
      </c>
      <c r="I465" s="6" t="str" cm="1">
        <f t="array" ref="I465">IFERROR(INDEX($D$2:$D$554 &amp; " ($" &amp; TEXT($E$2:$E$554, "#,##0.00") &amp; ")", SMALL(IF($A$2:$A$554=$G465, ROW($D$2:$D$554)-ROW($D$2)+1), COLUMN(B465))), "")</f>
        <v/>
      </c>
      <c r="J465" s="6" t="str" cm="1">
        <f t="array" ref="J465">IFERROR(INDEX($D$2:$D$554 &amp; " ($" &amp; TEXT($E$2:$E$554, "#,##0.00") &amp; ")", SMALL(IF($A$2:$A$554=$G465, ROW($D$2:$D$554)-ROW($D$2)+1), COLUMN(C465))), "")</f>
        <v/>
      </c>
    </row>
    <row r="466" spans="1:14" x14ac:dyDescent="0.35">
      <c r="A466" s="6" t="s">
        <v>1120</v>
      </c>
      <c r="B466" s="6" t="s">
        <v>1121</v>
      </c>
      <c r="C466" s="6" t="s">
        <v>1526</v>
      </c>
      <c r="D466" s="6" t="s">
        <v>971</v>
      </c>
      <c r="E466" s="11">
        <v>1053.45</v>
      </c>
      <c r="G466" s="6" t="s">
        <v>1108</v>
      </c>
      <c r="H466" s="6" t="str" cm="1">
        <f t="array" ref="H466">IFERROR(INDEX($D$2:$D$554 &amp; " ($" &amp; TEXT($E$2:$E$554, "#,##0.00") &amp; ")", SMALL(IF($A$2:$A$554=$G466, ROW($D$2:$D$554)-ROW($D$2)+1), COLUMN(A466))), "")</f>
        <v>CAR WARS CUSTOM PACKAGE--VICTORY AUTO ($1,053.45)</v>
      </c>
      <c r="I466" s="6" t="str" cm="1">
        <f t="array" ref="I466">IFERROR(INDEX($D$2:$D$554 &amp; " ($" &amp; TEXT($E$2:$E$554, "#,##0.00") &amp; ")", SMALL(IF($A$2:$A$554=$G466, ROW($D$2:$D$554)-ROW($D$2)+1), COLUMN(B466))), "")</f>
        <v/>
      </c>
      <c r="J466" s="6" t="str" cm="1">
        <f t="array" ref="J466">IFERROR(INDEX($D$2:$D$554 &amp; " ($" &amp; TEXT($E$2:$E$554, "#,##0.00") &amp; ")", SMALL(IF($A$2:$A$554=$G466, ROW($D$2:$D$554)-ROW($D$2)+1), COLUMN(C466))), "")</f>
        <v/>
      </c>
    </row>
    <row r="467" spans="1:14" x14ac:dyDescent="0.35">
      <c r="A467" s="6" t="s">
        <v>2302</v>
      </c>
      <c r="B467" s="6" t="s">
        <v>579</v>
      </c>
      <c r="C467" s="6" t="s">
        <v>2052</v>
      </c>
      <c r="D467" s="6" t="s">
        <v>2053</v>
      </c>
      <c r="E467" s="11">
        <v>1199</v>
      </c>
      <c r="G467" s="6" t="s">
        <v>2341</v>
      </c>
      <c r="H467" s="6" t="str" cm="1">
        <f t="array" ref="H467">IFERROR(INDEX($D$2:$D$554 &amp; " ($" &amp; TEXT($E$2:$E$554, "#,##0.00") &amp; ")", SMALL(IF($A$2:$A$554=$G467, ROW($D$2:$D$554)-ROW($D$2)+1), COLUMN(A467))), "")</f>
        <v>CAR WARS CUSTOM PACKAGE--VICTORY AUTO ($1,053.45)</v>
      </c>
      <c r="I467" s="6" t="str" cm="1">
        <f t="array" ref="I467">IFERROR(INDEX($D$2:$D$554 &amp; " ($" &amp; TEXT($E$2:$E$554, "#,##0.00") &amp; ")", SMALL(IF($A$2:$A$554=$G467, ROW($D$2:$D$554)-ROW($D$2)+1), COLUMN(B467))), "")</f>
        <v/>
      </c>
      <c r="J467" s="6" t="str" cm="1">
        <f t="array" ref="J467">IFERROR(INDEX($D$2:$D$554 &amp; " ($" &amp; TEXT($E$2:$E$554, "#,##0.00") &amp; ")", SMALL(IF($A$2:$A$554=$G467, ROW($D$2:$D$554)-ROW($D$2)+1), COLUMN(C467))), "")</f>
        <v/>
      </c>
    </row>
    <row r="468" spans="1:14" x14ac:dyDescent="0.35">
      <c r="A468" s="6" t="s">
        <v>2303</v>
      </c>
      <c r="B468" s="6" t="s">
        <v>549</v>
      </c>
      <c r="C468" s="6" t="s">
        <v>97</v>
      </c>
      <c r="D468" s="6" t="s">
        <v>98</v>
      </c>
      <c r="E468" s="11">
        <v>1499</v>
      </c>
      <c r="G468" s="6" t="s">
        <v>1048</v>
      </c>
      <c r="H468" s="6" t="str" cm="1">
        <f t="array" ref="H468">IFERROR(INDEX($D$2:$D$554 &amp; " ($" &amp; TEXT($E$2:$E$554, "#,##0.00") &amp; ")", SMALL(IF($A$2:$A$554=$G468, ROW($D$2:$D$554)-ROW($D$2)+1), COLUMN(A468))), "")</f>
        <v>CAR WARS CUSTOM PACKAGE--VICTORY AUTO ($1,053.45)</v>
      </c>
      <c r="I468" s="6" t="str" cm="1">
        <f t="array" ref="I468">IFERROR(INDEX($D$2:$D$554 &amp; " ($" &amp; TEXT($E$2:$E$554, "#,##0.00") &amp; ")", SMALL(IF($A$2:$A$554=$G468, ROW($D$2:$D$554)-ROW($D$2)+1), COLUMN(B468))), "")</f>
        <v/>
      </c>
      <c r="J468" s="6" t="str" cm="1">
        <f t="array" ref="J468">IFERROR(INDEX($D$2:$D$554 &amp; " ($" &amp; TEXT($E$2:$E$554, "#,##0.00") &amp; ")", SMALL(IF($A$2:$A$554=$G468, ROW($D$2:$D$554)-ROW($D$2)+1), COLUMN(C468))), "")</f>
        <v/>
      </c>
    </row>
    <row r="469" spans="1:14" x14ac:dyDescent="0.35">
      <c r="A469" s="6" t="s">
        <v>2304</v>
      </c>
      <c r="B469" s="6" t="s">
        <v>670</v>
      </c>
      <c r="C469" s="6" t="s">
        <v>48</v>
      </c>
      <c r="D469" s="6" t="s">
        <v>49</v>
      </c>
      <c r="E469" s="11">
        <v>319</v>
      </c>
      <c r="G469" s="6" t="s">
        <v>1525</v>
      </c>
      <c r="H469" s="6" t="str" cm="1">
        <f t="array" ref="H469">IFERROR(INDEX($D$2:$D$554 &amp; " ($" &amp; TEXT($E$2:$E$554, "#,##0.00") &amp; ")", SMALL(IF($A$2:$A$554=$G469, ROW($D$2:$D$554)-ROW($D$2)+1), COLUMN(A469))), "")</f>
        <v>CAR WARS CUSTOM PACKAGE--VICTORY AUTO ($1,053.45)</v>
      </c>
      <c r="I469" s="6" t="str" cm="1">
        <f t="array" ref="I469">IFERROR(INDEX($D$2:$D$554 &amp; " ($" &amp; TEXT($E$2:$E$554, "#,##0.00") &amp; ")", SMALL(IF($A$2:$A$554=$G469, ROW($D$2:$D$554)-ROW($D$2)+1), COLUMN(B469))), "")</f>
        <v/>
      </c>
      <c r="J469" s="6" t="str" cm="1">
        <f t="array" ref="J469">IFERROR(INDEX($D$2:$D$554 &amp; " ($" &amp; TEXT($E$2:$E$554, "#,##0.00") &amp; ")", SMALL(IF($A$2:$A$554=$G469, ROW($D$2:$D$554)-ROW($D$2)+1), COLUMN(C469))), "")</f>
        <v/>
      </c>
    </row>
    <row r="470" spans="1:14" x14ac:dyDescent="0.35">
      <c r="A470" s="6" t="s">
        <v>1501</v>
      </c>
      <c r="B470" s="6" t="s">
        <v>1502</v>
      </c>
      <c r="C470" s="6" t="s">
        <v>48</v>
      </c>
      <c r="D470" s="6" t="s">
        <v>49</v>
      </c>
      <c r="E470" s="11">
        <v>319</v>
      </c>
      <c r="G470" s="6" t="s">
        <v>1090</v>
      </c>
      <c r="H470" s="6" t="str" cm="1">
        <f t="array" ref="H470">IFERROR(INDEX($D$2:$D$554 &amp; " ($" &amp; TEXT($E$2:$E$554, "#,##0.00") &amp; ")", SMALL(IF($A$2:$A$554=$G470, ROW($D$2:$D$554)-ROW($D$2)+1), COLUMN(A470))), "")</f>
        <v>CAR WARS CUSTOM PACKAGE--VICTORY AUTO ($1,053.45)</v>
      </c>
      <c r="I470" s="6" t="str" cm="1">
        <f t="array" ref="I470">IFERROR(INDEX($D$2:$D$554 &amp; " ($" &amp; TEXT($E$2:$E$554, "#,##0.00") &amp; ")", SMALL(IF($A$2:$A$554=$G470, ROW($D$2:$D$554)-ROW($D$2)+1), COLUMN(B470))), "")</f>
        <v/>
      </c>
      <c r="J470" s="6" t="str" cm="1">
        <f t="array" ref="J470">IFERROR(INDEX($D$2:$D$554 &amp; " ($" &amp; TEXT($E$2:$E$554, "#,##0.00") &amp; ")", SMALL(IF($A$2:$A$554=$G470, ROW($D$2:$D$554)-ROW($D$2)+1), COLUMN(C470))), "")</f>
        <v/>
      </c>
    </row>
    <row r="471" spans="1:14" x14ac:dyDescent="0.35">
      <c r="A471" s="6" t="s">
        <v>1503</v>
      </c>
      <c r="B471" s="6" t="s">
        <v>1504</v>
      </c>
      <c r="C471" s="6" t="s">
        <v>74</v>
      </c>
      <c r="D471" s="6" t="s">
        <v>75</v>
      </c>
      <c r="E471" s="11">
        <v>526.45000000000005</v>
      </c>
      <c r="G471" s="6" t="s">
        <v>2342</v>
      </c>
      <c r="H471" s="6" t="str" cm="1">
        <f t="array" ref="H471">IFERROR(INDEX($D$2:$D$554 &amp; " ($" &amp; TEXT($E$2:$E$554, "#,##0.00") &amp; ")", SMALL(IF($A$2:$A$554=$G471, ROW($D$2:$D$554)-ROW($D$2)+1), COLUMN(A471))), "")</f>
        <v>CARWARS INDEFINITE CALL RECORDINGS ($20.00)</v>
      </c>
      <c r="I471" s="6" t="str" cm="1">
        <f t="array" ref="I471">IFERROR(INDEX($D$2:$D$554 &amp; " ($" &amp; TEXT($E$2:$E$554, "#,##0.00") &amp; ")", SMALL(IF($A$2:$A$554=$G471, ROW($D$2:$D$554)-ROW($D$2)+1), COLUMN(B471))), "")</f>
        <v>CARWARS ELITE 12,500 PACKAGE ($1,499.00)</v>
      </c>
      <c r="J471" s="6" t="str" cm="1">
        <f t="array" ref="J471">IFERROR(INDEX($D$2:$D$554 &amp; " ($" &amp; TEXT($E$2:$E$554, "#,##0.00") &amp; ")", SMALL(IF($A$2:$A$554=$G471, ROW($D$2:$D$554)-ROW($D$2)+1), COLUMN(C471))), "")</f>
        <v/>
      </c>
    </row>
    <row r="472" spans="1:14" x14ac:dyDescent="0.35">
      <c r="A472" s="6" t="s">
        <v>1505</v>
      </c>
      <c r="B472" s="6" t="s">
        <v>1506</v>
      </c>
      <c r="C472" s="6" t="s">
        <v>42</v>
      </c>
      <c r="D472" s="6" t="s">
        <v>43</v>
      </c>
      <c r="E472" s="11">
        <v>1849</v>
      </c>
      <c r="G472" s="6" t="s">
        <v>2343</v>
      </c>
      <c r="H472" s="6" t="str" cm="1">
        <f t="array" ref="H472">IFERROR(INDEX($D$2:$D$554 &amp; " ($" &amp; TEXT($E$2:$E$554, "#,##0.00") &amp; ")", SMALL(IF($A$2:$A$554=$G472, ROW($D$2:$D$554)-ROW($D$2)+1), COLUMN(A472))), "")</f>
        <v>CARWARS INDEFINITE CALL RECORDINGS ($20.00)</v>
      </c>
      <c r="I472" s="6" t="str" cm="1">
        <f t="array" ref="I472">IFERROR(INDEX($D$2:$D$554 &amp; " ($" &amp; TEXT($E$2:$E$554, "#,##0.00") &amp; ")", SMALL(IF($A$2:$A$554=$G472, ROW($D$2:$D$554)-ROW($D$2)+1), COLUMN(B472))), "")</f>
        <v>CARWARS ELITE 12,500 PACKAGE ($1,499.00)</v>
      </c>
      <c r="J472" s="6" t="str" cm="1">
        <f t="array" ref="J472">IFERROR(INDEX($D$2:$D$554 &amp; " ($" &amp; TEXT($E$2:$E$554, "#,##0.00") &amp; ")", SMALL(IF($A$2:$A$554=$G472, ROW($D$2:$D$554)-ROW($D$2)+1), COLUMN(C472))), "")</f>
        <v/>
      </c>
    </row>
    <row r="473" spans="1:14" x14ac:dyDescent="0.35">
      <c r="A473" s="6" t="s">
        <v>1505</v>
      </c>
      <c r="B473" s="6" t="s">
        <v>1506</v>
      </c>
      <c r="C473" s="6" t="s">
        <v>1507</v>
      </c>
      <c r="D473" s="6" t="s">
        <v>1508</v>
      </c>
      <c r="E473" s="11">
        <v>995</v>
      </c>
      <c r="G473" s="6" t="s">
        <v>2344</v>
      </c>
      <c r="H473" s="6" t="str" cm="1">
        <f t="array" ref="H473">IFERROR(INDEX($D$2:$D$554 &amp; " ($" &amp; TEXT($E$2:$E$554, "#,##0.00") &amp; ")", SMALL(IF($A$2:$A$554=$G473, ROW($D$2:$D$554)-ROW($D$2)+1), COLUMN(A473))), "")</f>
        <v>CARWARS ELITE 12,500 PACKAGE ($1,499.00)</v>
      </c>
      <c r="I473" s="6" t="str" cm="1">
        <f t="array" ref="I473">IFERROR(INDEX($D$2:$D$554 &amp; " ($" &amp; TEXT($E$2:$E$554, "#,##0.00") &amp; ")", SMALL(IF($A$2:$A$554=$G473, ROW($D$2:$D$554)-ROW($D$2)+1), COLUMN(B473))), "")</f>
        <v>CARWARS ADDITIONAL BLOCK MINUTES ($999.00)</v>
      </c>
      <c r="J473" s="6" t="str" cm="1">
        <f t="array" ref="J473">IFERROR(INDEX($D$2:$D$554 &amp; " ($" &amp; TEXT($E$2:$E$554, "#,##0.00") &amp; ")", SMALL(IF($A$2:$A$554=$G473, ROW($D$2:$D$554)-ROW($D$2)+1), COLUMN(C473))), "")</f>
        <v/>
      </c>
      <c r="K473" s="6" t="str" cm="1">
        <f t="array" ref="K473">IFERROR(INDEX($D$2:$D$554 &amp; " ($" &amp; TEXT($E$2:$E$554, "#,##0.00") &amp; ")", SMALL(IF($B$2:$B$554=$G473, ROW($D$2:$D$554)-ROW($D$2)+1), COLUMN(E472))), "")</f>
        <v/>
      </c>
      <c r="L473" s="6" t="str" cm="1">
        <f t="array" ref="L473">IFERROR(INDEX($D$2:$D$554 &amp; " ($" &amp; TEXT($E$2:$E$554, "#,##0.00") &amp; ")", SMALL(IF($B$2:$B$554=$G473, ROW($D$2:$D$554)-ROW($D$2)+1), COLUMN(F472))), "")</f>
        <v/>
      </c>
      <c r="M473" s="6" t="str" cm="1">
        <f t="array" ref="M473">IFERROR(INDEX($D$2:$D$554 &amp; " ($" &amp; TEXT($E$2:$E$554, "#,##0.00") &amp; ")", SMALL(IF($B$2:$B$554=$G473, ROW($D$2:$D$554)-ROW($D$2)+1), COLUMN(G472))), "")</f>
        <v/>
      </c>
      <c r="N473" s="6" t="str" cm="1">
        <f t="array" ref="N473">IFERROR(INDEX($D$2:$D$554 &amp; " ($" &amp; TEXT($E$2:$E$554, "#,##0.00") &amp; ")", SMALL(IF($B$2:$B$554=$G473, ROW($D$2:$D$554)-ROW($D$2)+1), COLUMN(H472))), "")</f>
        <v/>
      </c>
    </row>
    <row r="474" spans="1:14" x14ac:dyDescent="0.35">
      <c r="A474" s="6" t="s">
        <v>1509</v>
      </c>
      <c r="B474" s="6" t="s">
        <v>1510</v>
      </c>
      <c r="C474" s="6" t="s">
        <v>48</v>
      </c>
      <c r="D474" s="6" t="s">
        <v>49</v>
      </c>
      <c r="E474" s="11">
        <v>319</v>
      </c>
      <c r="G474" s="6" t="s">
        <v>2345</v>
      </c>
      <c r="H474" s="6" t="str" cm="1">
        <f t="array" ref="H474">IFERROR(INDEX($D$2:$D$554 &amp; " ($" &amp; TEXT($E$2:$E$554, "#,##0.00") &amp; ")", SMALL(IF($A$2:$A$554=$G474, ROW($D$2:$D$554)-ROW($D$2)+1), COLUMN(A474))), "")</f>
        <v>CARWARS ELITE 12,500 PACKAGE ($1,499.00)</v>
      </c>
      <c r="I474" s="6" t="str" cm="1">
        <f t="array" ref="I474">IFERROR(INDEX($D$2:$D$554 &amp; " ($" &amp; TEXT($E$2:$E$554, "#,##0.00") &amp; ")", SMALL(IF($A$2:$A$554=$G474, ROW($D$2:$D$554)-ROW($D$2)+1), COLUMN(B474))), "")</f>
        <v>CARWARS ADDITIONAL BLOCK MINUTES ($999.00)</v>
      </c>
      <c r="J474" s="6" t="str" cm="1">
        <f t="array" ref="J474">IFERROR(INDEX($D$2:$D$554 &amp; " ($" &amp; TEXT($E$2:$E$554, "#,##0.00") &amp; ")", SMALL(IF($A$2:$A$554=$G474, ROW($D$2:$D$554)-ROW($D$2)+1), COLUMN(C474))), "")</f>
        <v/>
      </c>
      <c r="K474" s="6" t="str" cm="1">
        <f t="array" ref="K474">IFERROR(INDEX($D$2:$D$554 &amp; " ($" &amp; TEXT($E$2:$E$554, "#,##0.00") &amp; ")", SMALL(IF($B$2:$B$554=$G474, ROW($D$2:$D$554)-ROW($D$2)+1), COLUMN(E473))), "")</f>
        <v/>
      </c>
      <c r="L474" s="6" t="str" cm="1">
        <f t="array" ref="L474">IFERROR(INDEX($D$2:$D$554 &amp; " ($" &amp; TEXT($E$2:$E$554, "#,##0.00") &amp; ")", SMALL(IF($B$2:$B$554=$G474, ROW($D$2:$D$554)-ROW($D$2)+1), COLUMN(F473))), "")</f>
        <v/>
      </c>
      <c r="M474" s="6" t="str" cm="1">
        <f t="array" ref="M474">IFERROR(INDEX($D$2:$D$554 &amp; " ($" &amp; TEXT($E$2:$E$554, "#,##0.00") &amp; ")", SMALL(IF($B$2:$B$554=$G474, ROW($D$2:$D$554)-ROW($D$2)+1), COLUMN(G473))), "")</f>
        <v/>
      </c>
      <c r="N474" s="6" t="str" cm="1">
        <f t="array" ref="N474">IFERROR(INDEX($D$2:$D$554 &amp; " ($" &amp; TEXT($E$2:$E$554, "#,##0.00") &amp; ")", SMALL(IF($B$2:$B$554=$G474, ROW($D$2:$D$554)-ROW($D$2)+1), COLUMN(H473))), "")</f>
        <v/>
      </c>
    </row>
    <row r="475" spans="1:14" x14ac:dyDescent="0.35">
      <c r="A475" s="6" t="s">
        <v>2306</v>
      </c>
      <c r="B475" s="6" t="s">
        <v>668</v>
      </c>
      <c r="C475" s="6" t="s">
        <v>48</v>
      </c>
      <c r="D475" s="6" t="s">
        <v>49</v>
      </c>
      <c r="E475" s="11">
        <v>319</v>
      </c>
      <c r="G475" s="6" t="s">
        <v>1527</v>
      </c>
      <c r="H475" s="6" t="str" cm="1">
        <f t="array" ref="H475">IFERROR(INDEX($D$2:$D$554 &amp; " ($" &amp; TEXT($E$2:$E$554, "#,##0.00") &amp; ")", SMALL(IF($A$2:$A$554=$G475, ROW($D$2:$D$554)-ROW($D$2)+1), COLUMN(A475))), "")</f>
        <v>CARWARS ELITE 12,500 PACKAGE ($1,499.00)</v>
      </c>
      <c r="I475" s="6" t="str" cm="1">
        <f t="array" ref="I475">IFERROR(INDEX($D$2:$D$554 &amp; " ($" &amp; TEXT($E$2:$E$554, "#,##0.00") &amp; ")", SMALL(IF($A$2:$A$554=$G475, ROW($D$2:$D$554)-ROW($D$2)+1), COLUMN(B475))), "")</f>
        <v>CARWARS ADDITIONAL BLOCK MINUTES ($999.00)</v>
      </c>
      <c r="J475" s="6" t="str" cm="1">
        <f t="array" ref="J475">IFERROR(INDEX($D$2:$D$554 &amp; " ($" &amp; TEXT($E$2:$E$554, "#,##0.00") &amp; ")", SMALL(IF($A$2:$A$554=$G475, ROW($D$2:$D$554)-ROW($D$2)+1), COLUMN(C475))), "")</f>
        <v/>
      </c>
    </row>
    <row r="476" spans="1:14" x14ac:dyDescent="0.35">
      <c r="A476" s="6" t="s">
        <v>2307</v>
      </c>
      <c r="B476" s="6" t="s">
        <v>680</v>
      </c>
      <c r="C476" s="6" t="s">
        <v>48</v>
      </c>
      <c r="D476" s="6" t="s">
        <v>49</v>
      </c>
      <c r="E476" s="11">
        <v>319</v>
      </c>
      <c r="G476" s="6" t="s">
        <v>1530</v>
      </c>
      <c r="H476" s="6" t="str" cm="1">
        <f t="array" ref="H476">IFERROR(INDEX($D$2:$D$554 &amp; " ($" &amp; TEXT($E$2:$E$554, "#,##0.00") &amp; ")", SMALL(IF($A$2:$A$554=$G476, ROW($D$2:$D$554)-ROW($D$2)+1), COLUMN(A476))), "")</f>
        <v>CARWARS ELITE 12,500 PACKAGE ($1,499.00)</v>
      </c>
      <c r="I476" s="6" t="str" cm="1">
        <f t="array" ref="I476">IFERROR(INDEX($D$2:$D$554 &amp; " ($" &amp; TEXT($E$2:$E$554, "#,##0.00") &amp; ")", SMALL(IF($A$2:$A$554=$G476, ROW($D$2:$D$554)-ROW($D$2)+1), COLUMN(B476))), "")</f>
        <v>CARWARS ADDITIONAL BLOCK MINUTES ($999.00)</v>
      </c>
      <c r="J476" s="6" t="str" cm="1">
        <f t="array" ref="J476">IFERROR(INDEX($D$2:$D$554 &amp; " ($" &amp; TEXT($E$2:$E$554, "#,##0.00") &amp; ")", SMALL(IF($A$2:$A$554=$G476, ROW($D$2:$D$554)-ROW($D$2)+1), COLUMN(C476))), "")</f>
        <v/>
      </c>
    </row>
    <row r="477" spans="1:14" x14ac:dyDescent="0.35">
      <c r="A477" s="6" t="s">
        <v>1511</v>
      </c>
      <c r="B477" s="6" t="s">
        <v>1512</v>
      </c>
      <c r="C477" s="6" t="s">
        <v>87</v>
      </c>
      <c r="D477" s="6" t="s">
        <v>88</v>
      </c>
      <c r="E477" s="11">
        <v>1066.24</v>
      </c>
      <c r="G477" s="6" t="s">
        <v>2346</v>
      </c>
      <c r="H477" s="6" t="str" cm="1">
        <f t="array" ref="H477">IFERROR(INDEX($D$2:$D$554 &amp; " ($" &amp; TEXT($E$2:$E$554, "#,##0.00") &amp; ")", SMALL(IF($A$2:$A$554=$G477, ROW($D$2:$D$554)-ROW($D$2)+1), COLUMN(A477))), "")</f>
        <v>CARWARS STARTER 5000 ($599.00)</v>
      </c>
      <c r="I477" s="6" t="str" cm="1">
        <f t="array" ref="I477">IFERROR(INDEX($D$2:$D$554 &amp; " ($" &amp; TEXT($E$2:$E$554, "#,##0.00") &amp; ")", SMALL(IF($A$2:$A$554=$G477, ROW($D$2:$D$554)-ROW($D$2)+1), COLUMN(B477))), "")</f>
        <v/>
      </c>
      <c r="J477" s="6" t="str" cm="1">
        <f t="array" ref="J477">IFERROR(INDEX($D$2:$D$554 &amp; " ($" &amp; TEXT($E$2:$E$554, "#,##0.00") &amp; ")", SMALL(IF($A$2:$A$554=$G477, ROW($D$2:$D$554)-ROW($D$2)+1), COLUMN(C477))), "")</f>
        <v/>
      </c>
    </row>
    <row r="478" spans="1:14" x14ac:dyDescent="0.35">
      <c r="A478" s="6" t="s">
        <v>1511</v>
      </c>
      <c r="B478" s="6" t="s">
        <v>1512</v>
      </c>
      <c r="C478" s="6" t="s">
        <v>1495</v>
      </c>
      <c r="D478" s="6" t="s">
        <v>1496</v>
      </c>
      <c r="E478" s="11">
        <v>366.45</v>
      </c>
    </row>
    <row r="479" spans="1:14" x14ac:dyDescent="0.35">
      <c r="A479" s="6" t="s">
        <v>1513</v>
      </c>
      <c r="B479" s="6" t="s">
        <v>1514</v>
      </c>
      <c r="C479" s="6" t="s">
        <v>408</v>
      </c>
      <c r="D479" s="6" t="s">
        <v>409</v>
      </c>
      <c r="E479" s="11">
        <v>20</v>
      </c>
    </row>
    <row r="480" spans="1:14" x14ac:dyDescent="0.35">
      <c r="A480" s="6" t="s">
        <v>2309</v>
      </c>
      <c r="B480" s="6" t="s">
        <v>605</v>
      </c>
      <c r="C480" s="6" t="s">
        <v>97</v>
      </c>
      <c r="D480" s="6" t="s">
        <v>98</v>
      </c>
      <c r="E480" s="11">
        <v>1499</v>
      </c>
    </row>
    <row r="481" spans="1:5" x14ac:dyDescent="0.35">
      <c r="A481" s="6" t="s">
        <v>2310</v>
      </c>
      <c r="B481" s="6" t="s">
        <v>682</v>
      </c>
      <c r="C481" s="6" t="s">
        <v>48</v>
      </c>
      <c r="D481" s="6" t="s">
        <v>49</v>
      </c>
      <c r="E481" s="11">
        <v>319</v>
      </c>
    </row>
    <row r="482" spans="1:5" x14ac:dyDescent="0.35">
      <c r="A482" s="6" t="s">
        <v>2311</v>
      </c>
      <c r="B482" s="6" t="s">
        <v>684</v>
      </c>
      <c r="C482" s="6" t="s">
        <v>48</v>
      </c>
      <c r="D482" s="6" t="s">
        <v>49</v>
      </c>
      <c r="E482" s="11">
        <v>319</v>
      </c>
    </row>
    <row r="483" spans="1:5" x14ac:dyDescent="0.35">
      <c r="A483" s="6" t="s">
        <v>2312</v>
      </c>
      <c r="B483" s="6" t="s">
        <v>686</v>
      </c>
      <c r="C483" s="6" t="s">
        <v>48</v>
      </c>
      <c r="D483" s="6" t="s">
        <v>49</v>
      </c>
      <c r="E483" s="11">
        <v>319</v>
      </c>
    </row>
    <row r="484" spans="1:5" x14ac:dyDescent="0.35">
      <c r="A484" s="6" t="s">
        <v>1084</v>
      </c>
      <c r="B484" s="6" t="s">
        <v>1085</v>
      </c>
      <c r="C484" s="6" t="s">
        <v>1526</v>
      </c>
      <c r="D484" s="6" t="s">
        <v>971</v>
      </c>
      <c r="E484" s="11">
        <v>1053.45</v>
      </c>
    </row>
    <row r="485" spans="1:5" x14ac:dyDescent="0.35">
      <c r="A485" s="6" t="s">
        <v>1129</v>
      </c>
      <c r="B485" s="6" t="s">
        <v>1130</v>
      </c>
      <c r="C485" s="6" t="s">
        <v>1526</v>
      </c>
      <c r="D485" s="6" t="s">
        <v>971</v>
      </c>
      <c r="E485" s="11">
        <v>1053.45</v>
      </c>
    </row>
    <row r="486" spans="1:5" x14ac:dyDescent="0.35">
      <c r="A486" s="6" t="s">
        <v>2313</v>
      </c>
      <c r="B486" s="6" t="s">
        <v>613</v>
      </c>
      <c r="C486" s="6" t="s">
        <v>42</v>
      </c>
      <c r="D486" s="6" t="s">
        <v>43</v>
      </c>
      <c r="E486" s="11">
        <v>1849</v>
      </c>
    </row>
    <row r="487" spans="1:5" x14ac:dyDescent="0.35">
      <c r="A487" s="6" t="s">
        <v>2314</v>
      </c>
      <c r="B487" s="6" t="s">
        <v>448</v>
      </c>
      <c r="C487" s="6" t="s">
        <v>408</v>
      </c>
      <c r="D487" s="6" t="s">
        <v>409</v>
      </c>
      <c r="E487" s="11">
        <v>20</v>
      </c>
    </row>
    <row r="488" spans="1:5" x14ac:dyDescent="0.35">
      <c r="A488" s="6" t="s">
        <v>2314</v>
      </c>
      <c r="B488" s="6" t="s">
        <v>448</v>
      </c>
      <c r="C488" s="6" t="s">
        <v>97</v>
      </c>
      <c r="D488" s="6" t="s">
        <v>98</v>
      </c>
      <c r="E488" s="11">
        <v>1499</v>
      </c>
    </row>
    <row r="489" spans="1:5" x14ac:dyDescent="0.35">
      <c r="A489" s="6" t="s">
        <v>2315</v>
      </c>
      <c r="B489" s="6" t="s">
        <v>556</v>
      </c>
      <c r="C489" s="6" t="s">
        <v>67</v>
      </c>
      <c r="D489" s="6" t="s">
        <v>68</v>
      </c>
      <c r="E489" s="11">
        <v>599</v>
      </c>
    </row>
    <row r="490" spans="1:5" x14ac:dyDescent="0.35">
      <c r="A490" s="6" t="s">
        <v>2316</v>
      </c>
      <c r="B490" s="6" t="s">
        <v>560</v>
      </c>
      <c r="C490" s="6" t="s">
        <v>67</v>
      </c>
      <c r="D490" s="6" t="s">
        <v>68</v>
      </c>
      <c r="E490" s="11">
        <v>599</v>
      </c>
    </row>
    <row r="491" spans="1:5" x14ac:dyDescent="0.35">
      <c r="A491" s="6" t="s">
        <v>2317</v>
      </c>
      <c r="B491" s="6" t="s">
        <v>432</v>
      </c>
      <c r="C491" s="6" t="s">
        <v>67</v>
      </c>
      <c r="D491" s="6" t="s">
        <v>68</v>
      </c>
      <c r="E491" s="11">
        <v>599</v>
      </c>
    </row>
    <row r="492" spans="1:5" x14ac:dyDescent="0.35">
      <c r="A492" s="6" t="s">
        <v>2318</v>
      </c>
      <c r="B492" s="6" t="s">
        <v>642</v>
      </c>
      <c r="C492" s="6" t="s">
        <v>74</v>
      </c>
      <c r="D492" s="6" t="s">
        <v>75</v>
      </c>
      <c r="E492" s="11">
        <v>499</v>
      </c>
    </row>
    <row r="493" spans="1:5" x14ac:dyDescent="0.35">
      <c r="A493" s="6" t="s">
        <v>2319</v>
      </c>
      <c r="B493" s="6" t="s">
        <v>601</v>
      </c>
      <c r="C493" s="6" t="s">
        <v>97</v>
      </c>
      <c r="D493" s="6" t="s">
        <v>98</v>
      </c>
      <c r="E493" s="11">
        <v>1499</v>
      </c>
    </row>
    <row r="494" spans="1:5" x14ac:dyDescent="0.35">
      <c r="A494" s="6" t="s">
        <v>2320</v>
      </c>
      <c r="B494" s="6" t="s">
        <v>882</v>
      </c>
      <c r="C494" s="6" t="s">
        <v>1798</v>
      </c>
      <c r="D494" s="6" t="s">
        <v>1799</v>
      </c>
      <c r="E494" s="11">
        <v>999</v>
      </c>
    </row>
    <row r="495" spans="1:5" x14ac:dyDescent="0.35">
      <c r="A495" s="6" t="s">
        <v>2320</v>
      </c>
      <c r="B495" s="6" t="s">
        <v>882</v>
      </c>
      <c r="C495" s="6" t="s">
        <v>97</v>
      </c>
      <c r="D495" s="6" t="s">
        <v>98</v>
      </c>
      <c r="E495" s="11">
        <v>1499</v>
      </c>
    </row>
    <row r="496" spans="1:5" x14ac:dyDescent="0.35">
      <c r="A496" s="6" t="s">
        <v>1135</v>
      </c>
      <c r="B496" s="6" t="s">
        <v>1136</v>
      </c>
      <c r="C496" s="6" t="s">
        <v>1526</v>
      </c>
      <c r="D496" s="6" t="s">
        <v>971</v>
      </c>
      <c r="E496" s="11">
        <v>1053.45</v>
      </c>
    </row>
    <row r="497" spans="1:5" x14ac:dyDescent="0.35">
      <c r="A497" s="6" t="s">
        <v>2321</v>
      </c>
      <c r="B497" s="6" t="s">
        <v>836</v>
      </c>
      <c r="C497" s="6" t="s">
        <v>67</v>
      </c>
      <c r="D497" s="6" t="s">
        <v>68</v>
      </c>
      <c r="E497" s="11">
        <v>599</v>
      </c>
    </row>
    <row r="498" spans="1:5" x14ac:dyDescent="0.35">
      <c r="A498" s="6" t="s">
        <v>2322</v>
      </c>
      <c r="B498" s="6" t="s">
        <v>833</v>
      </c>
      <c r="C498" s="6" t="s">
        <v>67</v>
      </c>
      <c r="D498" s="6" t="s">
        <v>68</v>
      </c>
      <c r="E498" s="11">
        <v>599</v>
      </c>
    </row>
    <row r="499" spans="1:5" x14ac:dyDescent="0.35">
      <c r="A499" s="6" t="s">
        <v>1515</v>
      </c>
      <c r="B499" s="6" t="s">
        <v>1516</v>
      </c>
      <c r="C499" s="6" t="s">
        <v>67</v>
      </c>
      <c r="D499" s="6" t="s">
        <v>68</v>
      </c>
      <c r="E499" s="11">
        <v>599</v>
      </c>
    </row>
    <row r="500" spans="1:5" x14ac:dyDescent="0.35">
      <c r="A500" s="6" t="s">
        <v>1102</v>
      </c>
      <c r="B500" s="6" t="s">
        <v>1103</v>
      </c>
      <c r="C500" s="6" t="s">
        <v>1526</v>
      </c>
      <c r="D500" s="6" t="s">
        <v>971</v>
      </c>
      <c r="E500" s="11">
        <v>1053.45</v>
      </c>
    </row>
    <row r="501" spans="1:5" x14ac:dyDescent="0.35">
      <c r="A501" s="6" t="s">
        <v>1111</v>
      </c>
      <c r="B501" s="6" t="s">
        <v>1112</v>
      </c>
      <c r="C501" s="6" t="s">
        <v>1526</v>
      </c>
      <c r="D501" s="6" t="s">
        <v>971</v>
      </c>
      <c r="E501" s="11">
        <v>1053.45</v>
      </c>
    </row>
    <row r="502" spans="1:5" x14ac:dyDescent="0.35">
      <c r="A502" s="6" t="s">
        <v>1114</v>
      </c>
      <c r="B502" s="6" t="s">
        <v>1115</v>
      </c>
      <c r="C502" s="6" t="s">
        <v>1526</v>
      </c>
      <c r="D502" s="6" t="s">
        <v>971</v>
      </c>
      <c r="E502" s="11">
        <v>1053.45</v>
      </c>
    </row>
    <row r="503" spans="1:5" x14ac:dyDescent="0.35">
      <c r="A503" s="6" t="s">
        <v>991</v>
      </c>
      <c r="B503" s="6" t="s">
        <v>992</v>
      </c>
      <c r="C503" s="6" t="s">
        <v>1526</v>
      </c>
      <c r="D503" s="6" t="s">
        <v>971</v>
      </c>
      <c r="E503" s="11">
        <v>1053.45</v>
      </c>
    </row>
    <row r="504" spans="1:5" x14ac:dyDescent="0.35">
      <c r="A504" s="6" t="s">
        <v>2324</v>
      </c>
      <c r="B504" s="6" t="s">
        <v>554</v>
      </c>
      <c r="C504" s="6" t="s">
        <v>67</v>
      </c>
      <c r="D504" s="6" t="s">
        <v>68</v>
      </c>
      <c r="E504" s="11">
        <v>599</v>
      </c>
    </row>
    <row r="505" spans="1:5" x14ac:dyDescent="0.35">
      <c r="A505" s="6" t="s">
        <v>2325</v>
      </c>
      <c r="B505" s="6" t="s">
        <v>558</v>
      </c>
      <c r="C505" s="6" t="s">
        <v>67</v>
      </c>
      <c r="D505" s="6" t="s">
        <v>68</v>
      </c>
      <c r="E505" s="11">
        <v>599</v>
      </c>
    </row>
    <row r="506" spans="1:5" x14ac:dyDescent="0.35">
      <c r="A506" s="6" t="s">
        <v>2326</v>
      </c>
      <c r="B506" s="6" t="s">
        <v>663</v>
      </c>
      <c r="C506" s="6" t="s">
        <v>1403</v>
      </c>
      <c r="D506" s="6" t="s">
        <v>1404</v>
      </c>
      <c r="E506" s="11">
        <v>10</v>
      </c>
    </row>
    <row r="507" spans="1:5" x14ac:dyDescent="0.35">
      <c r="A507" s="6" t="s">
        <v>2326</v>
      </c>
      <c r="B507" s="6" t="s">
        <v>663</v>
      </c>
      <c r="C507" s="6" t="s">
        <v>67</v>
      </c>
      <c r="D507" s="6" t="s">
        <v>68</v>
      </c>
      <c r="E507" s="11">
        <v>599</v>
      </c>
    </row>
    <row r="508" spans="1:5" x14ac:dyDescent="0.35">
      <c r="A508" s="6" t="s">
        <v>2327</v>
      </c>
      <c r="B508" s="6" t="s">
        <v>562</v>
      </c>
      <c r="C508" s="6" t="s">
        <v>67</v>
      </c>
      <c r="D508" s="6" t="s">
        <v>68</v>
      </c>
      <c r="E508" s="11">
        <v>599</v>
      </c>
    </row>
    <row r="509" spans="1:5" x14ac:dyDescent="0.35">
      <c r="A509" s="6" t="s">
        <v>1517</v>
      </c>
      <c r="B509" s="6" t="s">
        <v>1518</v>
      </c>
      <c r="C509" s="6" t="s">
        <v>67</v>
      </c>
      <c r="D509" s="6" t="s">
        <v>68</v>
      </c>
      <c r="E509" s="11">
        <v>599</v>
      </c>
    </row>
    <row r="510" spans="1:5" x14ac:dyDescent="0.35">
      <c r="A510" s="6" t="s">
        <v>1138</v>
      </c>
      <c r="B510" s="6" t="s">
        <v>1139</v>
      </c>
      <c r="C510" s="6" t="s">
        <v>1526</v>
      </c>
      <c r="D510" s="6" t="s">
        <v>971</v>
      </c>
      <c r="E510" s="11">
        <v>1053.45</v>
      </c>
    </row>
    <row r="511" spans="1:5" x14ac:dyDescent="0.35">
      <c r="A511" s="6" t="s">
        <v>2328</v>
      </c>
      <c r="B511" s="6" t="s">
        <v>254</v>
      </c>
      <c r="C511" s="6" t="s">
        <v>42</v>
      </c>
      <c r="D511" s="6" t="s">
        <v>43</v>
      </c>
      <c r="E511" s="11">
        <v>1386.75</v>
      </c>
    </row>
    <row r="512" spans="1:5" x14ac:dyDescent="0.35">
      <c r="A512" s="6" t="s">
        <v>2329</v>
      </c>
      <c r="B512" s="6" t="s">
        <v>2347</v>
      </c>
      <c r="C512" s="6" t="s">
        <v>42</v>
      </c>
      <c r="D512" s="6" t="s">
        <v>43</v>
      </c>
      <c r="E512" s="11">
        <v>1386.75</v>
      </c>
    </row>
    <row r="513" spans="1:5" x14ac:dyDescent="0.35">
      <c r="A513" s="6" t="s">
        <v>2330</v>
      </c>
      <c r="B513" s="6" t="s">
        <v>283</v>
      </c>
      <c r="C513" s="6" t="s">
        <v>42</v>
      </c>
      <c r="D513" s="6" t="s">
        <v>43</v>
      </c>
      <c r="E513" s="11">
        <v>1386.75</v>
      </c>
    </row>
    <row r="514" spans="1:5" x14ac:dyDescent="0.35">
      <c r="A514" s="6" t="s">
        <v>2331</v>
      </c>
      <c r="B514" s="6" t="s">
        <v>287</v>
      </c>
      <c r="C514" s="6" t="s">
        <v>42</v>
      </c>
      <c r="D514" s="6" t="s">
        <v>43</v>
      </c>
      <c r="E514" s="11">
        <v>1386.75</v>
      </c>
    </row>
    <row r="515" spans="1:5" x14ac:dyDescent="0.35">
      <c r="A515" s="6" t="s">
        <v>2332</v>
      </c>
      <c r="B515" s="6" t="s">
        <v>265</v>
      </c>
      <c r="C515" s="6" t="s">
        <v>42</v>
      </c>
      <c r="D515" s="6" t="s">
        <v>43</v>
      </c>
      <c r="E515" s="11">
        <v>1386.75</v>
      </c>
    </row>
    <row r="516" spans="1:5" x14ac:dyDescent="0.35">
      <c r="A516" s="6" t="s">
        <v>2333</v>
      </c>
      <c r="B516" s="6" t="s">
        <v>257</v>
      </c>
      <c r="C516" s="6" t="s">
        <v>42</v>
      </c>
      <c r="D516" s="6" t="s">
        <v>43</v>
      </c>
      <c r="E516" s="11">
        <v>1386.75</v>
      </c>
    </row>
    <row r="517" spans="1:5" x14ac:dyDescent="0.35">
      <c r="A517" s="6" t="s">
        <v>2334</v>
      </c>
      <c r="B517" s="6" t="s">
        <v>259</v>
      </c>
      <c r="C517" s="6" t="s">
        <v>42</v>
      </c>
      <c r="D517" s="6" t="s">
        <v>43</v>
      </c>
      <c r="E517" s="11">
        <v>1386.75</v>
      </c>
    </row>
    <row r="518" spans="1:5" x14ac:dyDescent="0.35">
      <c r="A518" s="6" t="s">
        <v>2335</v>
      </c>
      <c r="B518" s="6" t="s">
        <v>2348</v>
      </c>
      <c r="C518" s="6" t="s">
        <v>42</v>
      </c>
      <c r="D518" s="6" t="s">
        <v>43</v>
      </c>
      <c r="E518" s="11">
        <v>1386.75</v>
      </c>
    </row>
    <row r="519" spans="1:5" x14ac:dyDescent="0.35">
      <c r="A519" s="6" t="s">
        <v>2336</v>
      </c>
      <c r="B519" s="6" t="s">
        <v>907</v>
      </c>
      <c r="C519" s="6" t="s">
        <v>1870</v>
      </c>
      <c r="D519" s="6" t="s">
        <v>1871</v>
      </c>
      <c r="E519" s="11">
        <v>1170.6300000000001</v>
      </c>
    </row>
    <row r="520" spans="1:5" x14ac:dyDescent="0.35">
      <c r="A520" s="6" t="s">
        <v>2336</v>
      </c>
      <c r="B520" s="6" t="s">
        <v>907</v>
      </c>
      <c r="C520" s="6" t="s">
        <v>1798</v>
      </c>
      <c r="D520" s="6" t="s">
        <v>1799</v>
      </c>
      <c r="E520" s="11">
        <v>1170.6300000000001</v>
      </c>
    </row>
    <row r="521" spans="1:5" x14ac:dyDescent="0.35">
      <c r="A521" s="6" t="s">
        <v>2336</v>
      </c>
      <c r="B521" s="6" t="s">
        <v>907</v>
      </c>
      <c r="C521" s="6" t="s">
        <v>2107</v>
      </c>
      <c r="D521" s="6" t="s">
        <v>2108</v>
      </c>
      <c r="E521" s="11">
        <v>249</v>
      </c>
    </row>
    <row r="522" spans="1:5" x14ac:dyDescent="0.35">
      <c r="A522" s="6" t="s">
        <v>1105</v>
      </c>
      <c r="B522" s="6" t="s">
        <v>1106</v>
      </c>
      <c r="C522" s="6" t="s">
        <v>1526</v>
      </c>
      <c r="D522" s="6" t="s">
        <v>971</v>
      </c>
      <c r="E522" s="11">
        <v>1053.45</v>
      </c>
    </row>
    <row r="523" spans="1:5" x14ac:dyDescent="0.35">
      <c r="A523" s="6" t="s">
        <v>1117</v>
      </c>
      <c r="B523" s="6" t="s">
        <v>1118</v>
      </c>
      <c r="C523" s="6" t="s">
        <v>1526</v>
      </c>
      <c r="D523" s="6" t="s">
        <v>971</v>
      </c>
      <c r="E523" s="11">
        <v>1053.45</v>
      </c>
    </row>
    <row r="524" spans="1:5" x14ac:dyDescent="0.35">
      <c r="A524" s="6" t="s">
        <v>1123</v>
      </c>
      <c r="B524" s="6" t="s">
        <v>1124</v>
      </c>
      <c r="C524" s="6" t="s">
        <v>1526</v>
      </c>
      <c r="D524" s="6" t="s">
        <v>971</v>
      </c>
      <c r="E524" s="11">
        <v>1053.45</v>
      </c>
    </row>
    <row r="525" spans="1:5" x14ac:dyDescent="0.35">
      <c r="A525" s="6" t="s">
        <v>2337</v>
      </c>
      <c r="B525" s="6" t="s">
        <v>425</v>
      </c>
      <c r="C525" s="6" t="s">
        <v>67</v>
      </c>
      <c r="D525" s="6" t="s">
        <v>68</v>
      </c>
      <c r="E525" s="11">
        <v>599</v>
      </c>
    </row>
    <row r="526" spans="1:5" x14ac:dyDescent="0.35">
      <c r="A526" s="6" t="s">
        <v>2338</v>
      </c>
      <c r="B526" s="6" t="s">
        <v>442</v>
      </c>
      <c r="C526" s="6" t="s">
        <v>67</v>
      </c>
      <c r="D526" s="6" t="s">
        <v>68</v>
      </c>
      <c r="E526" s="11">
        <v>599</v>
      </c>
    </row>
    <row r="527" spans="1:5" x14ac:dyDescent="0.35">
      <c r="A527" s="6" t="s">
        <v>1519</v>
      </c>
      <c r="B527" s="6" t="s">
        <v>77</v>
      </c>
      <c r="C527" s="6" t="s">
        <v>35</v>
      </c>
      <c r="D527" s="6" t="s">
        <v>36</v>
      </c>
      <c r="E527" s="11">
        <v>320.08</v>
      </c>
    </row>
    <row r="528" spans="1:5" x14ac:dyDescent="0.35">
      <c r="A528" s="6" t="s">
        <v>1520</v>
      </c>
      <c r="B528" s="6" t="s">
        <v>1521</v>
      </c>
      <c r="C528" s="6" t="s">
        <v>1329</v>
      </c>
      <c r="D528" s="6" t="s">
        <v>1330</v>
      </c>
      <c r="E528" s="11">
        <v>74.94</v>
      </c>
    </row>
    <row r="529" spans="1:5" x14ac:dyDescent="0.35">
      <c r="A529" s="6" t="s">
        <v>2339</v>
      </c>
      <c r="B529" s="6" t="s">
        <v>113</v>
      </c>
      <c r="C529" s="6" t="s">
        <v>1329</v>
      </c>
      <c r="D529" s="6" t="s">
        <v>1330</v>
      </c>
      <c r="E529" s="11">
        <v>74.94</v>
      </c>
    </row>
    <row r="530" spans="1:5" x14ac:dyDescent="0.35">
      <c r="A530" s="6" t="s">
        <v>2339</v>
      </c>
      <c r="B530" s="6" t="s">
        <v>113</v>
      </c>
      <c r="C530" s="6" t="s">
        <v>1403</v>
      </c>
      <c r="D530" s="6" t="s">
        <v>1404</v>
      </c>
      <c r="E530" s="11">
        <v>10</v>
      </c>
    </row>
    <row r="531" spans="1:5" x14ac:dyDescent="0.35">
      <c r="A531" s="6" t="s">
        <v>2339</v>
      </c>
      <c r="B531" s="6" t="s">
        <v>113</v>
      </c>
      <c r="C531" s="6" t="s">
        <v>2323</v>
      </c>
      <c r="D531" s="6" t="s">
        <v>114</v>
      </c>
      <c r="E531" s="11">
        <v>699</v>
      </c>
    </row>
    <row r="532" spans="1:5" x14ac:dyDescent="0.35">
      <c r="A532" s="6" t="s">
        <v>2340</v>
      </c>
      <c r="B532" s="6" t="s">
        <v>416</v>
      </c>
      <c r="C532" s="6" t="s">
        <v>48</v>
      </c>
      <c r="D532" s="6" t="s">
        <v>49</v>
      </c>
      <c r="E532" s="11">
        <v>299</v>
      </c>
    </row>
    <row r="533" spans="1:5" x14ac:dyDescent="0.35">
      <c r="A533" s="6" t="s">
        <v>1522</v>
      </c>
      <c r="B533" s="6" t="s">
        <v>79</v>
      </c>
      <c r="C533" s="6" t="s">
        <v>35</v>
      </c>
      <c r="D533" s="6" t="s">
        <v>36</v>
      </c>
      <c r="E533" s="11">
        <v>213.03</v>
      </c>
    </row>
    <row r="534" spans="1:5" x14ac:dyDescent="0.35">
      <c r="A534" s="6" t="s">
        <v>1523</v>
      </c>
      <c r="B534" s="6" t="s">
        <v>1524</v>
      </c>
      <c r="C534" s="6" t="s">
        <v>1329</v>
      </c>
      <c r="D534" s="6" t="s">
        <v>1330</v>
      </c>
      <c r="E534" s="11">
        <v>74.94</v>
      </c>
    </row>
    <row r="535" spans="1:5" x14ac:dyDescent="0.35">
      <c r="A535" s="6" t="s">
        <v>1096</v>
      </c>
      <c r="B535" s="6" t="s">
        <v>1097</v>
      </c>
      <c r="C535" s="6" t="s">
        <v>1526</v>
      </c>
      <c r="D535" s="6" t="s">
        <v>971</v>
      </c>
      <c r="E535" s="11">
        <v>1053.45</v>
      </c>
    </row>
    <row r="536" spans="1:5" x14ac:dyDescent="0.35">
      <c r="A536" s="6" t="s">
        <v>1093</v>
      </c>
      <c r="B536" s="6" t="s">
        <v>1094</v>
      </c>
      <c r="C536" s="6" t="s">
        <v>1526</v>
      </c>
      <c r="D536" s="6" t="s">
        <v>971</v>
      </c>
      <c r="E536" s="11">
        <v>1053.45</v>
      </c>
    </row>
    <row r="537" spans="1:5" x14ac:dyDescent="0.35">
      <c r="A537" s="6" t="s">
        <v>1108</v>
      </c>
      <c r="B537" s="6" t="s">
        <v>1109</v>
      </c>
      <c r="C537" s="6" t="s">
        <v>1526</v>
      </c>
      <c r="D537" s="6" t="s">
        <v>971</v>
      </c>
      <c r="E537" s="11">
        <v>1053.45</v>
      </c>
    </row>
    <row r="538" spans="1:5" x14ac:dyDescent="0.35">
      <c r="A538" s="6" t="s">
        <v>2341</v>
      </c>
      <c r="B538" s="6" t="s">
        <v>2349</v>
      </c>
      <c r="C538" s="6" t="s">
        <v>1526</v>
      </c>
      <c r="D538" s="6" t="s">
        <v>971</v>
      </c>
      <c r="E538" s="11">
        <v>1053.45</v>
      </c>
    </row>
    <row r="539" spans="1:5" x14ac:dyDescent="0.35">
      <c r="A539" s="6" t="s">
        <v>1048</v>
      </c>
      <c r="B539" s="6" t="s">
        <v>1049</v>
      </c>
      <c r="C539" s="6" t="s">
        <v>1526</v>
      </c>
      <c r="D539" s="6" t="s">
        <v>971</v>
      </c>
      <c r="E539" s="11">
        <v>1053.45</v>
      </c>
    </row>
    <row r="540" spans="1:5" x14ac:dyDescent="0.35">
      <c r="A540" s="6" t="s">
        <v>1525</v>
      </c>
      <c r="B540" s="6" t="s">
        <v>975</v>
      </c>
      <c r="C540" s="6" t="s">
        <v>1526</v>
      </c>
      <c r="D540" s="6" t="s">
        <v>971</v>
      </c>
      <c r="E540" s="11">
        <v>1053.45</v>
      </c>
    </row>
    <row r="541" spans="1:5" x14ac:dyDescent="0.35">
      <c r="A541" s="6" t="s">
        <v>1090</v>
      </c>
      <c r="B541" s="6" t="s">
        <v>1091</v>
      </c>
      <c r="C541" s="6" t="s">
        <v>1526</v>
      </c>
      <c r="D541" s="6" t="s">
        <v>971</v>
      </c>
      <c r="E541" s="11">
        <v>1053.45</v>
      </c>
    </row>
    <row r="542" spans="1:5" x14ac:dyDescent="0.35">
      <c r="A542" s="6" t="s">
        <v>2342</v>
      </c>
      <c r="B542" s="6" t="s">
        <v>842</v>
      </c>
      <c r="C542" s="6" t="s">
        <v>408</v>
      </c>
      <c r="D542" s="6" t="s">
        <v>409</v>
      </c>
      <c r="E542" s="11">
        <v>20</v>
      </c>
    </row>
    <row r="543" spans="1:5" x14ac:dyDescent="0.35">
      <c r="A543" s="6" t="s">
        <v>2342</v>
      </c>
      <c r="B543" s="6" t="s">
        <v>842</v>
      </c>
      <c r="C543" s="6" t="s">
        <v>97</v>
      </c>
      <c r="D543" s="6" t="s">
        <v>98</v>
      </c>
      <c r="E543" s="11">
        <v>1499</v>
      </c>
    </row>
    <row r="544" spans="1:5" x14ac:dyDescent="0.35">
      <c r="A544" s="6" t="s">
        <v>2343</v>
      </c>
      <c r="B544" s="6" t="s">
        <v>840</v>
      </c>
      <c r="C544" s="6" t="s">
        <v>408</v>
      </c>
      <c r="D544" s="6" t="s">
        <v>409</v>
      </c>
      <c r="E544" s="11">
        <v>20</v>
      </c>
    </row>
    <row r="545" spans="1:5" x14ac:dyDescent="0.35">
      <c r="A545" s="6" t="s">
        <v>2343</v>
      </c>
      <c r="B545" s="6" t="s">
        <v>840</v>
      </c>
      <c r="C545" s="6" t="s">
        <v>97</v>
      </c>
      <c r="D545" s="6" t="s">
        <v>98</v>
      </c>
      <c r="E545" s="11">
        <v>1499</v>
      </c>
    </row>
    <row r="546" spans="1:5" x14ac:dyDescent="0.35">
      <c r="A546" s="6" t="s">
        <v>2344</v>
      </c>
      <c r="B546" s="6" t="s">
        <v>423</v>
      </c>
      <c r="C546" s="6" t="s">
        <v>97</v>
      </c>
      <c r="D546" s="6" t="s">
        <v>98</v>
      </c>
      <c r="E546" s="11">
        <v>1499</v>
      </c>
    </row>
    <row r="547" spans="1:5" x14ac:dyDescent="0.35">
      <c r="A547" s="6" t="s">
        <v>2344</v>
      </c>
      <c r="B547" s="6" t="s">
        <v>423</v>
      </c>
      <c r="C547" s="6" t="s">
        <v>1528</v>
      </c>
      <c r="D547" s="6" t="s">
        <v>1529</v>
      </c>
      <c r="E547" s="11">
        <v>999</v>
      </c>
    </row>
    <row r="548" spans="1:5" x14ac:dyDescent="0.35">
      <c r="A548" s="6" t="s">
        <v>2345</v>
      </c>
      <c r="B548" s="6" t="s">
        <v>420</v>
      </c>
      <c r="C548" s="6" t="s">
        <v>97</v>
      </c>
      <c r="D548" s="6" t="s">
        <v>98</v>
      </c>
      <c r="E548" s="11">
        <v>1499</v>
      </c>
    </row>
    <row r="549" spans="1:5" x14ac:dyDescent="0.35">
      <c r="A549" s="6" t="s">
        <v>2345</v>
      </c>
      <c r="B549" s="6" t="s">
        <v>420</v>
      </c>
      <c r="C549" s="6" t="s">
        <v>1528</v>
      </c>
      <c r="D549" s="6" t="s">
        <v>1529</v>
      </c>
      <c r="E549" s="11">
        <v>999</v>
      </c>
    </row>
    <row r="550" spans="1:5" x14ac:dyDescent="0.35">
      <c r="A550" s="6" t="s">
        <v>1527</v>
      </c>
      <c r="B550" s="6" t="s">
        <v>420</v>
      </c>
      <c r="C550" s="6" t="s">
        <v>97</v>
      </c>
      <c r="D550" s="6" t="s">
        <v>98</v>
      </c>
      <c r="E550" s="11">
        <v>1499</v>
      </c>
    </row>
    <row r="551" spans="1:5" x14ac:dyDescent="0.35">
      <c r="A551" s="6" t="s">
        <v>1527</v>
      </c>
      <c r="B551" s="6" t="s">
        <v>420</v>
      </c>
      <c r="C551" s="6" t="s">
        <v>1528</v>
      </c>
      <c r="D551" s="6" t="s">
        <v>1529</v>
      </c>
      <c r="E551" s="11">
        <v>999</v>
      </c>
    </row>
    <row r="552" spans="1:5" x14ac:dyDescent="0.35">
      <c r="A552" s="6" t="s">
        <v>1530</v>
      </c>
      <c r="B552" s="6" t="s">
        <v>423</v>
      </c>
      <c r="C552" s="6" t="s">
        <v>97</v>
      </c>
      <c r="D552" s="6" t="s">
        <v>98</v>
      </c>
      <c r="E552" s="11">
        <v>1499</v>
      </c>
    </row>
    <row r="553" spans="1:5" x14ac:dyDescent="0.35">
      <c r="A553" s="6" t="s">
        <v>1530</v>
      </c>
      <c r="B553" s="6" t="s">
        <v>423</v>
      </c>
      <c r="C553" s="6" t="s">
        <v>1528</v>
      </c>
      <c r="D553" s="6" t="s">
        <v>1529</v>
      </c>
      <c r="E553" s="11">
        <v>999</v>
      </c>
    </row>
    <row r="554" spans="1:5" x14ac:dyDescent="0.35">
      <c r="A554" s="6" t="s">
        <v>2346</v>
      </c>
      <c r="B554" s="6" t="s">
        <v>630</v>
      </c>
      <c r="C554" s="6" t="s">
        <v>67</v>
      </c>
      <c r="D554" s="6" t="s">
        <v>68</v>
      </c>
      <c r="E554" s="11">
        <v>599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52AA7-796E-4783-AD0E-09F8F4D6C3E0}">
  <dimension ref="A1:F559"/>
  <sheetViews>
    <sheetView workbookViewId="0">
      <pane xSplit="3" ySplit="4" topLeftCell="D65" activePane="bottomRight" state="frozen"/>
      <selection pane="topRight" activeCell="D1" sqref="D1"/>
      <selection pane="bottomLeft" activeCell="A5" sqref="A5"/>
      <selection pane="bottomRight" activeCell="B75" sqref="B75"/>
    </sheetView>
  </sheetViews>
  <sheetFormatPr defaultColWidth="9.1796875" defaultRowHeight="14.5" x14ac:dyDescent="0.35"/>
  <cols>
    <col min="1" max="1" width="15" style="6" bestFit="1" customWidth="1"/>
    <col min="2" max="2" width="62.54296875" style="6" bestFit="1" customWidth="1"/>
    <col min="3" max="3" width="10.26953125" style="6" bestFit="1" customWidth="1"/>
    <col min="4" max="4" width="83.26953125" style="6" bestFit="1" customWidth="1"/>
    <col min="5" max="5" width="29.7265625" style="6" bestFit="1" customWidth="1"/>
    <col min="6" max="6" width="30.54296875" style="6" bestFit="1" customWidth="1"/>
    <col min="7" max="16384" width="9.1796875" style="6"/>
  </cols>
  <sheetData>
    <row r="1" spans="1:6" x14ac:dyDescent="0.35">
      <c r="A1" s="18" t="s">
        <v>1292</v>
      </c>
      <c r="B1" s="1" t="s">
        <v>1318</v>
      </c>
    </row>
    <row r="2" spans="1:6" x14ac:dyDescent="0.35">
      <c r="A2" s="18" t="s">
        <v>1301</v>
      </c>
      <c r="B2" s="1" t="s">
        <v>1319</v>
      </c>
    </row>
    <row r="3" spans="1:6" x14ac:dyDescent="0.35">
      <c r="A3"/>
      <c r="B3"/>
      <c r="C3"/>
      <c r="D3"/>
      <c r="E3"/>
      <c r="F3"/>
    </row>
    <row r="4" spans="1:6" x14ac:dyDescent="0.35">
      <c r="A4" s="18" t="s">
        <v>1287</v>
      </c>
      <c r="B4" s="18" t="s">
        <v>1290</v>
      </c>
      <c r="C4" s="18" t="s">
        <v>19</v>
      </c>
      <c r="D4" s="18" t="s">
        <v>20</v>
      </c>
      <c r="E4" s="34" t="s">
        <v>1320</v>
      </c>
      <c r="F4" s="1" t="s">
        <v>1322</v>
      </c>
    </row>
    <row r="5" spans="1:6" x14ac:dyDescent="0.35">
      <c r="A5" s="1" t="s">
        <v>744</v>
      </c>
      <c r="B5" s="1" t="s">
        <v>745</v>
      </c>
      <c r="C5" s="1" t="s">
        <v>48</v>
      </c>
      <c r="D5" s="1" t="s">
        <v>49</v>
      </c>
      <c r="E5" s="19">
        <v>322.92</v>
      </c>
      <c r="F5" s="19">
        <v>0</v>
      </c>
    </row>
    <row r="6" spans="1:6" x14ac:dyDescent="0.35">
      <c r="A6" s="1" t="s">
        <v>731</v>
      </c>
      <c r="B6" s="1" t="s">
        <v>732</v>
      </c>
      <c r="C6" s="1" t="s">
        <v>35</v>
      </c>
      <c r="D6" s="1" t="s">
        <v>36</v>
      </c>
      <c r="E6" s="19">
        <v>279</v>
      </c>
      <c r="F6" s="19">
        <v>0</v>
      </c>
    </row>
    <row r="7" spans="1:6" x14ac:dyDescent="0.35">
      <c r="A7" s="1" t="s">
        <v>731</v>
      </c>
      <c r="B7" s="1" t="s">
        <v>732</v>
      </c>
      <c r="C7" s="1" t="s">
        <v>42</v>
      </c>
      <c r="D7" s="1" t="s">
        <v>43</v>
      </c>
      <c r="E7" s="19">
        <v>1849</v>
      </c>
      <c r="F7" s="19">
        <v>0</v>
      </c>
    </row>
    <row r="8" spans="1:6" x14ac:dyDescent="0.35">
      <c r="A8" s="1" t="s">
        <v>731</v>
      </c>
      <c r="B8" s="1" t="s">
        <v>732</v>
      </c>
      <c r="C8" s="1" t="s">
        <v>408</v>
      </c>
      <c r="D8" s="1" t="s">
        <v>409</v>
      </c>
      <c r="E8" s="19">
        <v>10</v>
      </c>
      <c r="F8" s="19">
        <v>0</v>
      </c>
    </row>
    <row r="9" spans="1:6" x14ac:dyDescent="0.35">
      <c r="A9" s="1" t="s">
        <v>572</v>
      </c>
      <c r="B9" s="1" t="s">
        <v>2034</v>
      </c>
      <c r="C9" s="1" t="s">
        <v>1870</v>
      </c>
      <c r="D9" s="1" t="s">
        <v>1871</v>
      </c>
      <c r="E9" s="19">
        <v>999</v>
      </c>
      <c r="F9" s="19">
        <v>0</v>
      </c>
    </row>
    <row r="10" spans="1:6" x14ac:dyDescent="0.35">
      <c r="A10" s="1" t="s">
        <v>572</v>
      </c>
      <c r="B10" s="1" t="s">
        <v>2034</v>
      </c>
      <c r="C10" s="1" t="s">
        <v>408</v>
      </c>
      <c r="D10" s="1" t="s">
        <v>409</v>
      </c>
      <c r="E10" s="19">
        <v>10</v>
      </c>
      <c r="F10" s="19">
        <v>0</v>
      </c>
    </row>
    <row r="11" spans="1:6" x14ac:dyDescent="0.35">
      <c r="A11" s="1" t="s">
        <v>178</v>
      </c>
      <c r="B11" s="1" t="s">
        <v>2035</v>
      </c>
      <c r="C11" s="1" t="s">
        <v>1870</v>
      </c>
      <c r="D11" s="1" t="s">
        <v>1871</v>
      </c>
      <c r="E11" s="19">
        <v>999</v>
      </c>
      <c r="F11" s="19">
        <v>0</v>
      </c>
    </row>
    <row r="12" spans="1:6" x14ac:dyDescent="0.35">
      <c r="A12" s="1" t="s">
        <v>178</v>
      </c>
      <c r="B12" s="1" t="s">
        <v>2035</v>
      </c>
      <c r="C12" s="1" t="s">
        <v>408</v>
      </c>
      <c r="D12" s="1" t="s">
        <v>409</v>
      </c>
      <c r="E12" s="19">
        <v>20</v>
      </c>
      <c r="F12" s="19">
        <v>0</v>
      </c>
    </row>
    <row r="13" spans="1:6" x14ac:dyDescent="0.35">
      <c r="A13" s="1" t="s">
        <v>184</v>
      </c>
      <c r="B13" s="1" t="s">
        <v>185</v>
      </c>
      <c r="C13" s="1" t="s">
        <v>1870</v>
      </c>
      <c r="D13" s="1" t="s">
        <v>1871</v>
      </c>
      <c r="E13" s="19">
        <v>999</v>
      </c>
      <c r="F13" s="19">
        <v>0</v>
      </c>
    </row>
    <row r="14" spans="1:6" x14ac:dyDescent="0.35">
      <c r="A14" s="1" t="s">
        <v>184</v>
      </c>
      <c r="B14" s="1" t="s">
        <v>185</v>
      </c>
      <c r="C14" s="1" t="s">
        <v>408</v>
      </c>
      <c r="D14" s="1" t="s">
        <v>409</v>
      </c>
      <c r="E14" s="19">
        <v>20</v>
      </c>
      <c r="F14" s="19">
        <v>0</v>
      </c>
    </row>
    <row r="15" spans="1:6" x14ac:dyDescent="0.35">
      <c r="A15" s="1" t="s">
        <v>893</v>
      </c>
      <c r="B15" s="1" t="s">
        <v>894</v>
      </c>
      <c r="C15" s="1" t="s">
        <v>35</v>
      </c>
      <c r="D15" s="1" t="s">
        <v>36</v>
      </c>
      <c r="E15" s="19">
        <v>1274</v>
      </c>
      <c r="F15" s="19">
        <v>0</v>
      </c>
    </row>
    <row r="16" spans="1:6" x14ac:dyDescent="0.35">
      <c r="A16" s="1" t="s">
        <v>893</v>
      </c>
      <c r="B16" s="1" t="s">
        <v>894</v>
      </c>
      <c r="C16" s="1" t="s">
        <v>408</v>
      </c>
      <c r="D16" s="1" t="s">
        <v>409</v>
      </c>
      <c r="E16" s="19">
        <v>10</v>
      </c>
      <c r="F16" s="19">
        <v>0</v>
      </c>
    </row>
    <row r="17" spans="1:6" x14ac:dyDescent="0.35">
      <c r="A17" s="1" t="s">
        <v>650</v>
      </c>
      <c r="B17" s="1" t="s">
        <v>651</v>
      </c>
      <c r="C17" s="1" t="s">
        <v>42</v>
      </c>
      <c r="D17" s="1" t="s">
        <v>43</v>
      </c>
      <c r="E17" s="19">
        <v>1849</v>
      </c>
      <c r="F17" s="19">
        <v>0</v>
      </c>
    </row>
    <row r="18" spans="1:6" x14ac:dyDescent="0.35">
      <c r="A18" s="1" t="s">
        <v>650</v>
      </c>
      <c r="B18" s="1" t="s">
        <v>651</v>
      </c>
      <c r="C18" s="1" t="s">
        <v>408</v>
      </c>
      <c r="D18" s="1" t="s">
        <v>409</v>
      </c>
      <c r="E18" s="19">
        <v>20</v>
      </c>
      <c r="F18" s="19">
        <v>0</v>
      </c>
    </row>
    <row r="19" spans="1:6" x14ac:dyDescent="0.35">
      <c r="A19" s="1" t="s">
        <v>153</v>
      </c>
      <c r="B19" s="1" t="s">
        <v>2036</v>
      </c>
      <c r="C19" s="1" t="s">
        <v>67</v>
      </c>
      <c r="D19" s="1" t="s">
        <v>68</v>
      </c>
      <c r="E19" s="19">
        <v>599</v>
      </c>
      <c r="F19" s="19">
        <v>0</v>
      </c>
    </row>
    <row r="20" spans="1:6" x14ac:dyDescent="0.35">
      <c r="A20" s="1" t="s">
        <v>788</v>
      </c>
      <c r="B20" s="1" t="s">
        <v>789</v>
      </c>
      <c r="C20" s="1" t="s">
        <v>35</v>
      </c>
      <c r="D20" s="1" t="s">
        <v>36</v>
      </c>
      <c r="E20" s="19">
        <v>584.73</v>
      </c>
      <c r="F20" s="19">
        <v>0</v>
      </c>
    </row>
    <row r="21" spans="1:6" x14ac:dyDescent="0.35">
      <c r="A21" s="1" t="s">
        <v>1323</v>
      </c>
      <c r="B21" s="1" t="s">
        <v>1324</v>
      </c>
      <c r="C21" s="1" t="s">
        <v>1325</v>
      </c>
      <c r="D21" s="1" t="s">
        <v>1326</v>
      </c>
      <c r="E21" s="19">
        <v>293.02</v>
      </c>
      <c r="F21" s="19">
        <v>0</v>
      </c>
    </row>
    <row r="22" spans="1:6" x14ac:dyDescent="0.35">
      <c r="A22" s="1" t="s">
        <v>714</v>
      </c>
      <c r="B22" s="1" t="s">
        <v>715</v>
      </c>
      <c r="C22" s="1" t="s">
        <v>2037</v>
      </c>
      <c r="D22" s="1" t="s">
        <v>2038</v>
      </c>
      <c r="E22" s="19">
        <v>3130.05</v>
      </c>
      <c r="F22" s="19">
        <v>0</v>
      </c>
    </row>
    <row r="23" spans="1:6" x14ac:dyDescent="0.35">
      <c r="A23" s="1" t="s">
        <v>724</v>
      </c>
      <c r="B23" s="1" t="s">
        <v>725</v>
      </c>
      <c r="C23" s="1" t="s">
        <v>74</v>
      </c>
      <c r="D23" s="1" t="s">
        <v>75</v>
      </c>
      <c r="E23" s="19">
        <v>541.41999999999996</v>
      </c>
      <c r="F23" s="19">
        <v>0</v>
      </c>
    </row>
    <row r="24" spans="1:6" x14ac:dyDescent="0.35">
      <c r="A24" s="1" t="s">
        <v>779</v>
      </c>
      <c r="B24" s="1" t="s">
        <v>780</v>
      </c>
      <c r="C24" s="1" t="s">
        <v>35</v>
      </c>
      <c r="D24" s="1" t="s">
        <v>36</v>
      </c>
      <c r="E24" s="19">
        <v>584.73</v>
      </c>
      <c r="F24" s="19">
        <v>0</v>
      </c>
    </row>
    <row r="25" spans="1:6" x14ac:dyDescent="0.35">
      <c r="A25" s="1" t="s">
        <v>130</v>
      </c>
      <c r="B25" s="1" t="s">
        <v>131</v>
      </c>
      <c r="C25" s="1" t="s">
        <v>35</v>
      </c>
      <c r="D25" s="1" t="s">
        <v>36</v>
      </c>
      <c r="E25" s="19">
        <v>131.04</v>
      </c>
      <c r="F25" s="19">
        <v>0</v>
      </c>
    </row>
    <row r="26" spans="1:6" x14ac:dyDescent="0.35">
      <c r="A26" s="1" t="s">
        <v>175</v>
      </c>
      <c r="B26" s="1" t="s">
        <v>176</v>
      </c>
      <c r="C26" s="1" t="s">
        <v>1870</v>
      </c>
      <c r="D26" s="1" t="s">
        <v>1871</v>
      </c>
      <c r="E26" s="19">
        <v>999</v>
      </c>
      <c r="F26" s="19">
        <v>0</v>
      </c>
    </row>
    <row r="27" spans="1:6" x14ac:dyDescent="0.35">
      <c r="A27" s="1" t="s">
        <v>175</v>
      </c>
      <c r="B27" s="1" t="s">
        <v>176</v>
      </c>
      <c r="C27" s="1" t="s">
        <v>408</v>
      </c>
      <c r="D27" s="1" t="s">
        <v>409</v>
      </c>
      <c r="E27" s="19">
        <v>20</v>
      </c>
      <c r="F27" s="19">
        <v>0</v>
      </c>
    </row>
    <row r="28" spans="1:6" x14ac:dyDescent="0.35">
      <c r="A28" s="1" t="s">
        <v>1327</v>
      </c>
      <c r="B28" s="1" t="s">
        <v>1328</v>
      </c>
      <c r="C28" s="1" t="s">
        <v>1329</v>
      </c>
      <c r="D28" s="1" t="s">
        <v>1330</v>
      </c>
      <c r="E28" s="19">
        <v>112</v>
      </c>
      <c r="F28" s="19">
        <v>0</v>
      </c>
    </row>
    <row r="29" spans="1:6" x14ac:dyDescent="0.35">
      <c r="A29" s="1" t="s">
        <v>487</v>
      </c>
      <c r="B29" s="1" t="s">
        <v>488</v>
      </c>
      <c r="C29" s="1" t="s">
        <v>48</v>
      </c>
      <c r="D29" s="1" t="s">
        <v>49</v>
      </c>
      <c r="E29" s="19">
        <v>299</v>
      </c>
      <c r="F29" s="19">
        <v>0</v>
      </c>
    </row>
    <row r="30" spans="1:6" x14ac:dyDescent="0.35">
      <c r="A30" s="1" t="s">
        <v>236</v>
      </c>
      <c r="B30" s="1" t="s">
        <v>237</v>
      </c>
      <c r="C30" s="1" t="s">
        <v>42</v>
      </c>
      <c r="D30" s="1" t="s">
        <v>43</v>
      </c>
      <c r="E30" s="19">
        <v>1294.3</v>
      </c>
      <c r="F30" s="19">
        <v>0</v>
      </c>
    </row>
    <row r="31" spans="1:6" x14ac:dyDescent="0.35">
      <c r="A31" s="1" t="s">
        <v>1331</v>
      </c>
      <c r="B31" s="1" t="s">
        <v>1332</v>
      </c>
      <c r="C31" s="1" t="s">
        <v>1329</v>
      </c>
      <c r="D31" s="1" t="s">
        <v>1330</v>
      </c>
      <c r="E31" s="19">
        <v>147.46</v>
      </c>
      <c r="F31" s="19">
        <v>0</v>
      </c>
    </row>
    <row r="32" spans="1:6" x14ac:dyDescent="0.35">
      <c r="A32" s="1" t="s">
        <v>332</v>
      </c>
      <c r="B32" s="1" t="s">
        <v>2041</v>
      </c>
      <c r="C32" s="1" t="s">
        <v>1403</v>
      </c>
      <c r="D32" s="1" t="s">
        <v>1404</v>
      </c>
      <c r="E32" s="19">
        <v>0.65</v>
      </c>
      <c r="F32" s="19">
        <v>0</v>
      </c>
    </row>
    <row r="33" spans="1:6" x14ac:dyDescent="0.35">
      <c r="A33" s="1" t="s">
        <v>332</v>
      </c>
      <c r="B33" s="1" t="s">
        <v>2041</v>
      </c>
      <c r="C33" s="1" t="s">
        <v>67</v>
      </c>
      <c r="D33" s="1" t="s">
        <v>68</v>
      </c>
      <c r="E33" s="19">
        <v>38.65</v>
      </c>
      <c r="F33" s="19">
        <v>0</v>
      </c>
    </row>
    <row r="34" spans="1:6" x14ac:dyDescent="0.35">
      <c r="A34" s="1" t="s">
        <v>1333</v>
      </c>
      <c r="B34" s="1" t="s">
        <v>1334</v>
      </c>
      <c r="C34" s="1" t="s">
        <v>1329</v>
      </c>
      <c r="D34" s="1" t="s">
        <v>1330</v>
      </c>
      <c r="E34" s="19">
        <v>65.459999999999994</v>
      </c>
      <c r="F34" s="19">
        <v>0</v>
      </c>
    </row>
    <row r="35" spans="1:6" x14ac:dyDescent="0.35">
      <c r="A35" s="1" t="s">
        <v>181</v>
      </c>
      <c r="B35" s="1" t="s">
        <v>2042</v>
      </c>
      <c r="C35" s="1" t="s">
        <v>1870</v>
      </c>
      <c r="D35" s="1" t="s">
        <v>1871</v>
      </c>
      <c r="E35" s="19">
        <v>999</v>
      </c>
      <c r="F35" s="19">
        <v>0</v>
      </c>
    </row>
    <row r="36" spans="1:6" x14ac:dyDescent="0.35">
      <c r="A36" s="1" t="s">
        <v>181</v>
      </c>
      <c r="B36" s="1" t="s">
        <v>2042</v>
      </c>
      <c r="C36" s="1" t="s">
        <v>408</v>
      </c>
      <c r="D36" s="1" t="s">
        <v>409</v>
      </c>
      <c r="E36" s="19">
        <v>20</v>
      </c>
      <c r="F36" s="19">
        <v>0</v>
      </c>
    </row>
    <row r="37" spans="1:6" x14ac:dyDescent="0.35">
      <c r="A37" s="1" t="s">
        <v>1335</v>
      </c>
      <c r="B37" s="1" t="s">
        <v>1336</v>
      </c>
      <c r="C37" s="1" t="s">
        <v>35</v>
      </c>
      <c r="D37" s="1" t="s">
        <v>36</v>
      </c>
      <c r="E37" s="19">
        <v>0</v>
      </c>
      <c r="F37" s="19">
        <v>0</v>
      </c>
    </row>
    <row r="38" spans="1:6" x14ac:dyDescent="0.35">
      <c r="A38" s="1" t="s">
        <v>1337</v>
      </c>
      <c r="B38" s="1" t="s">
        <v>1338</v>
      </c>
      <c r="C38" s="1" t="s">
        <v>35</v>
      </c>
      <c r="D38" s="1" t="s">
        <v>36</v>
      </c>
      <c r="E38" s="19">
        <v>0</v>
      </c>
      <c r="F38" s="19">
        <v>0</v>
      </c>
    </row>
    <row r="39" spans="1:6" x14ac:dyDescent="0.35">
      <c r="A39" s="1" t="s">
        <v>2039</v>
      </c>
      <c r="B39" s="1" t="s">
        <v>547</v>
      </c>
      <c r="C39" s="1" t="s">
        <v>74</v>
      </c>
      <c r="D39" s="1" t="s">
        <v>75</v>
      </c>
      <c r="E39" s="19">
        <v>499</v>
      </c>
      <c r="F39" s="19">
        <v>0</v>
      </c>
    </row>
    <row r="40" spans="1:6" x14ac:dyDescent="0.35">
      <c r="A40" s="1" t="s">
        <v>2040</v>
      </c>
      <c r="B40" s="1" t="s">
        <v>470</v>
      </c>
      <c r="C40" s="1" t="s">
        <v>48</v>
      </c>
      <c r="D40" s="1" t="s">
        <v>49</v>
      </c>
      <c r="E40" s="19">
        <v>299</v>
      </c>
      <c r="F40" s="19">
        <v>0</v>
      </c>
    </row>
    <row r="41" spans="1:6" x14ac:dyDescent="0.35">
      <c r="A41" s="1" t="s">
        <v>1339</v>
      </c>
      <c r="B41" s="1" t="s">
        <v>1340</v>
      </c>
      <c r="C41" s="1" t="s">
        <v>35</v>
      </c>
      <c r="D41" s="1" t="s">
        <v>36</v>
      </c>
      <c r="E41" s="19">
        <v>476.05</v>
      </c>
      <c r="F41" s="19">
        <v>0</v>
      </c>
    </row>
    <row r="42" spans="1:6" x14ac:dyDescent="0.35">
      <c r="A42" s="1" t="s">
        <v>1341</v>
      </c>
      <c r="B42" s="1" t="s">
        <v>1342</v>
      </c>
      <c r="C42" s="1" t="s">
        <v>35</v>
      </c>
      <c r="D42" s="1" t="s">
        <v>36</v>
      </c>
      <c r="E42" s="19">
        <v>476.05</v>
      </c>
      <c r="F42" s="19">
        <v>0</v>
      </c>
    </row>
    <row r="43" spans="1:6" x14ac:dyDescent="0.35">
      <c r="A43" s="1" t="s">
        <v>1343</v>
      </c>
      <c r="B43" s="1" t="s">
        <v>1344</v>
      </c>
      <c r="C43" s="1" t="s">
        <v>35</v>
      </c>
      <c r="D43" s="1" t="s">
        <v>36</v>
      </c>
      <c r="E43" s="19">
        <v>476.05</v>
      </c>
      <c r="F43" s="19">
        <v>0</v>
      </c>
    </row>
    <row r="44" spans="1:6" x14ac:dyDescent="0.35">
      <c r="A44" s="1" t="s">
        <v>1345</v>
      </c>
      <c r="B44" s="1" t="s">
        <v>1346</v>
      </c>
      <c r="C44" s="1" t="s">
        <v>35</v>
      </c>
      <c r="D44" s="1" t="s">
        <v>36</v>
      </c>
      <c r="E44" s="19">
        <v>476.05</v>
      </c>
      <c r="F44" s="19">
        <v>0</v>
      </c>
    </row>
    <row r="45" spans="1:6" x14ac:dyDescent="0.35">
      <c r="A45" s="1" t="s">
        <v>1347</v>
      </c>
      <c r="B45" s="1" t="s">
        <v>1348</v>
      </c>
      <c r="C45" s="1" t="s">
        <v>35</v>
      </c>
      <c r="D45" s="1" t="s">
        <v>36</v>
      </c>
      <c r="E45" s="19">
        <v>476.05</v>
      </c>
      <c r="F45" s="19">
        <v>0</v>
      </c>
    </row>
    <row r="46" spans="1:6" x14ac:dyDescent="0.35">
      <c r="A46" s="1" t="s">
        <v>1349</v>
      </c>
      <c r="B46" s="1" t="s">
        <v>1350</v>
      </c>
      <c r="C46" s="1" t="s">
        <v>1329</v>
      </c>
      <c r="D46" s="1" t="s">
        <v>1330</v>
      </c>
      <c r="E46" s="19">
        <v>105</v>
      </c>
      <c r="F46" s="19">
        <v>0</v>
      </c>
    </row>
    <row r="47" spans="1:6" x14ac:dyDescent="0.35">
      <c r="A47" s="1" t="s">
        <v>2043</v>
      </c>
      <c r="B47" s="1" t="s">
        <v>300</v>
      </c>
      <c r="C47" s="1" t="s">
        <v>42</v>
      </c>
      <c r="D47" s="1" t="s">
        <v>43</v>
      </c>
      <c r="E47" s="19">
        <v>1408.33</v>
      </c>
      <c r="F47" s="19">
        <v>0</v>
      </c>
    </row>
    <row r="48" spans="1:6" x14ac:dyDescent="0.35">
      <c r="A48" s="1" t="s">
        <v>2044</v>
      </c>
      <c r="B48" s="1" t="s">
        <v>296</v>
      </c>
      <c r="C48" s="1" t="s">
        <v>42</v>
      </c>
      <c r="D48" s="1" t="s">
        <v>43</v>
      </c>
      <c r="E48" s="19">
        <v>1408.33</v>
      </c>
      <c r="F48" s="19">
        <v>0</v>
      </c>
    </row>
    <row r="49" spans="1:6" x14ac:dyDescent="0.35">
      <c r="A49" s="1" t="s">
        <v>1351</v>
      </c>
      <c r="B49" s="1" t="s">
        <v>1352</v>
      </c>
      <c r="C49" s="1" t="s">
        <v>1329</v>
      </c>
      <c r="D49" s="1" t="s">
        <v>1330</v>
      </c>
      <c r="E49" s="19">
        <v>0</v>
      </c>
      <c r="F49" s="19">
        <v>0</v>
      </c>
    </row>
    <row r="50" spans="1:6" x14ac:dyDescent="0.35">
      <c r="A50" s="1" t="s">
        <v>1353</v>
      </c>
      <c r="B50" s="1" t="s">
        <v>1354</v>
      </c>
      <c r="C50" s="1" t="s">
        <v>1329</v>
      </c>
      <c r="D50" s="1" t="s">
        <v>1330</v>
      </c>
      <c r="E50" s="19">
        <v>65.459999999999994</v>
      </c>
      <c r="F50" s="19">
        <v>0</v>
      </c>
    </row>
    <row r="51" spans="1:6" x14ac:dyDescent="0.35">
      <c r="A51" s="1" t="s">
        <v>1355</v>
      </c>
      <c r="B51" s="1" t="s">
        <v>1356</v>
      </c>
      <c r="C51" s="1" t="s">
        <v>1329</v>
      </c>
      <c r="D51" s="1" t="s">
        <v>1330</v>
      </c>
      <c r="E51" s="19">
        <v>65.459999999999994</v>
      </c>
      <c r="F51" s="19">
        <v>0</v>
      </c>
    </row>
    <row r="52" spans="1:6" x14ac:dyDescent="0.35">
      <c r="A52" s="1" t="s">
        <v>1357</v>
      </c>
      <c r="B52" s="1" t="s">
        <v>1358</v>
      </c>
      <c r="C52" s="1" t="s">
        <v>1329</v>
      </c>
      <c r="D52" s="1" t="s">
        <v>1330</v>
      </c>
      <c r="E52" s="19">
        <v>65.459999999999994</v>
      </c>
      <c r="F52" s="19">
        <v>0</v>
      </c>
    </row>
    <row r="53" spans="1:6" x14ac:dyDescent="0.35">
      <c r="A53" s="1" t="s">
        <v>1359</v>
      </c>
      <c r="B53" s="1" t="s">
        <v>1360</v>
      </c>
      <c r="C53" s="1" t="s">
        <v>1329</v>
      </c>
      <c r="D53" s="1" t="s">
        <v>1330</v>
      </c>
      <c r="E53" s="19">
        <v>65.459999999999994</v>
      </c>
      <c r="F53" s="19">
        <v>0</v>
      </c>
    </row>
    <row r="54" spans="1:6" x14ac:dyDescent="0.35">
      <c r="A54" s="1" t="s">
        <v>1361</v>
      </c>
      <c r="B54" s="1" t="s">
        <v>1362</v>
      </c>
      <c r="C54" s="1" t="s">
        <v>1329</v>
      </c>
      <c r="D54" s="1" t="s">
        <v>1330</v>
      </c>
      <c r="E54" s="19">
        <v>65.459999999999994</v>
      </c>
      <c r="F54" s="19">
        <v>0</v>
      </c>
    </row>
    <row r="55" spans="1:6" x14ac:dyDescent="0.35">
      <c r="A55" s="1" t="s">
        <v>2045</v>
      </c>
      <c r="B55" s="1" t="s">
        <v>494</v>
      </c>
      <c r="C55" s="1" t="s">
        <v>87</v>
      </c>
      <c r="D55" s="1" t="s">
        <v>88</v>
      </c>
      <c r="E55" s="19">
        <v>979.02</v>
      </c>
      <c r="F55" s="19">
        <v>0</v>
      </c>
    </row>
    <row r="56" spans="1:6" x14ac:dyDescent="0.35">
      <c r="A56" s="1" t="s">
        <v>2046</v>
      </c>
      <c r="B56" s="1" t="s">
        <v>621</v>
      </c>
      <c r="C56" s="1" t="s">
        <v>2037</v>
      </c>
      <c r="D56" s="1" t="s">
        <v>2038</v>
      </c>
      <c r="E56" s="19">
        <v>2981</v>
      </c>
      <c r="F56" s="19">
        <v>0</v>
      </c>
    </row>
    <row r="57" spans="1:6" x14ac:dyDescent="0.35">
      <c r="A57" s="1" t="s">
        <v>2047</v>
      </c>
      <c r="B57" s="1" t="s">
        <v>609</v>
      </c>
      <c r="C57" s="1" t="s">
        <v>97</v>
      </c>
      <c r="D57" s="1" t="s">
        <v>98</v>
      </c>
      <c r="E57" s="19">
        <v>1499</v>
      </c>
      <c r="F57" s="19">
        <v>0</v>
      </c>
    </row>
    <row r="58" spans="1:6" x14ac:dyDescent="0.35">
      <c r="A58" s="1" t="s">
        <v>2048</v>
      </c>
      <c r="B58" s="1" t="s">
        <v>940</v>
      </c>
      <c r="C58" s="1" t="s">
        <v>35</v>
      </c>
      <c r="D58" s="1" t="s">
        <v>36</v>
      </c>
      <c r="E58" s="19">
        <v>1107.33</v>
      </c>
      <c r="F58" s="19">
        <v>0</v>
      </c>
    </row>
    <row r="59" spans="1:6" x14ac:dyDescent="0.35">
      <c r="A59" s="1" t="s">
        <v>2048</v>
      </c>
      <c r="B59" s="1" t="s">
        <v>940</v>
      </c>
      <c r="C59" s="1" t="s">
        <v>2052</v>
      </c>
      <c r="D59" s="1" t="s">
        <v>2053</v>
      </c>
      <c r="E59" s="19">
        <v>1199</v>
      </c>
      <c r="F59" s="19">
        <v>309.42</v>
      </c>
    </row>
    <row r="60" spans="1:6" x14ac:dyDescent="0.35">
      <c r="A60" s="1" t="s">
        <v>1363</v>
      </c>
      <c r="B60" s="1" t="s">
        <v>1364</v>
      </c>
      <c r="C60" s="1" t="s">
        <v>1329</v>
      </c>
      <c r="D60" s="1" t="s">
        <v>1330</v>
      </c>
      <c r="E60" s="19">
        <v>122.13</v>
      </c>
      <c r="F60" s="19">
        <v>0</v>
      </c>
    </row>
    <row r="61" spans="1:6" x14ac:dyDescent="0.35">
      <c r="A61" s="1" t="s">
        <v>1365</v>
      </c>
      <c r="B61" s="1" t="s">
        <v>1366</v>
      </c>
      <c r="C61" s="1" t="s">
        <v>35</v>
      </c>
      <c r="D61" s="1" t="s">
        <v>36</v>
      </c>
      <c r="E61" s="19">
        <v>371.36</v>
      </c>
      <c r="F61" s="19">
        <v>0</v>
      </c>
    </row>
    <row r="62" spans="1:6" x14ac:dyDescent="0.35">
      <c r="A62" s="1" t="s">
        <v>1367</v>
      </c>
      <c r="B62" s="1" t="s">
        <v>1368</v>
      </c>
      <c r="C62" s="1" t="s">
        <v>1369</v>
      </c>
      <c r="D62" s="1" t="s">
        <v>1370</v>
      </c>
      <c r="E62" s="19">
        <v>370.2</v>
      </c>
      <c r="F62" s="19">
        <v>0</v>
      </c>
    </row>
    <row r="63" spans="1:6" x14ac:dyDescent="0.35">
      <c r="A63" s="1" t="s">
        <v>1371</v>
      </c>
      <c r="B63" s="1" t="s">
        <v>1372</v>
      </c>
      <c r="C63" s="1" t="s">
        <v>1329</v>
      </c>
      <c r="D63" s="1" t="s">
        <v>1330</v>
      </c>
      <c r="E63" s="19">
        <v>103</v>
      </c>
      <c r="F63" s="19">
        <v>0</v>
      </c>
    </row>
    <row r="64" spans="1:6" x14ac:dyDescent="0.35">
      <c r="A64" s="1" t="s">
        <v>2049</v>
      </c>
      <c r="B64" s="1" t="s">
        <v>135</v>
      </c>
      <c r="C64" s="1" t="s">
        <v>35</v>
      </c>
      <c r="D64" s="1" t="s">
        <v>36</v>
      </c>
      <c r="E64" s="19">
        <v>199</v>
      </c>
      <c r="F64" s="19">
        <v>0</v>
      </c>
    </row>
    <row r="65" spans="1:6" x14ac:dyDescent="0.35">
      <c r="A65" s="1" t="s">
        <v>2049</v>
      </c>
      <c r="B65" s="1" t="s">
        <v>135</v>
      </c>
      <c r="C65" s="1" t="s">
        <v>408</v>
      </c>
      <c r="D65" s="1" t="s">
        <v>409</v>
      </c>
      <c r="E65" s="19">
        <v>10</v>
      </c>
      <c r="F65" s="19">
        <v>0</v>
      </c>
    </row>
    <row r="66" spans="1:6" x14ac:dyDescent="0.35">
      <c r="A66" s="1" t="s">
        <v>1373</v>
      </c>
      <c r="B66" s="1" t="s">
        <v>1374</v>
      </c>
      <c r="C66" s="1" t="s">
        <v>1329</v>
      </c>
      <c r="D66" s="1" t="s">
        <v>1330</v>
      </c>
      <c r="E66" s="19">
        <v>0</v>
      </c>
      <c r="F66" s="19">
        <v>0</v>
      </c>
    </row>
    <row r="67" spans="1:6" x14ac:dyDescent="0.35">
      <c r="A67" s="1" t="s">
        <v>1375</v>
      </c>
      <c r="B67" s="1" t="s">
        <v>1376</v>
      </c>
      <c r="C67" s="1" t="s">
        <v>1329</v>
      </c>
      <c r="D67" s="1" t="s">
        <v>1330</v>
      </c>
      <c r="E67" s="19">
        <v>0</v>
      </c>
      <c r="F67" s="19">
        <v>0</v>
      </c>
    </row>
    <row r="68" spans="1:6" x14ac:dyDescent="0.35">
      <c r="A68" s="1" t="s">
        <v>1377</v>
      </c>
      <c r="B68" s="1" t="s">
        <v>1378</v>
      </c>
      <c r="C68" s="1" t="s">
        <v>1329</v>
      </c>
      <c r="D68" s="1" t="s">
        <v>1330</v>
      </c>
      <c r="E68" s="19">
        <v>0</v>
      </c>
      <c r="F68" s="19">
        <v>0</v>
      </c>
    </row>
    <row r="69" spans="1:6" x14ac:dyDescent="0.35">
      <c r="A69" s="1" t="s">
        <v>2050</v>
      </c>
      <c r="B69" s="1" t="s">
        <v>228</v>
      </c>
      <c r="C69" s="1" t="s">
        <v>42</v>
      </c>
      <c r="D69" s="1" t="s">
        <v>43</v>
      </c>
      <c r="E69" s="19">
        <v>1242.53</v>
      </c>
      <c r="F69" s="19">
        <v>0</v>
      </c>
    </row>
    <row r="70" spans="1:6" x14ac:dyDescent="0.35">
      <c r="A70" s="1" t="s">
        <v>2051</v>
      </c>
      <c r="B70" s="1" t="s">
        <v>219</v>
      </c>
      <c r="C70" s="1" t="s">
        <v>74</v>
      </c>
      <c r="D70" s="1" t="s">
        <v>75</v>
      </c>
      <c r="E70" s="19">
        <v>335.33</v>
      </c>
      <c r="F70" s="19">
        <v>0</v>
      </c>
    </row>
    <row r="71" spans="1:6" x14ac:dyDescent="0.35">
      <c r="A71" s="1" t="s">
        <v>2054</v>
      </c>
      <c r="B71" s="1" t="s">
        <v>209</v>
      </c>
      <c r="C71" s="1" t="s">
        <v>48</v>
      </c>
      <c r="D71" s="1" t="s">
        <v>49</v>
      </c>
      <c r="E71" s="19">
        <v>200.93</v>
      </c>
      <c r="F71" s="19">
        <v>0</v>
      </c>
    </row>
    <row r="72" spans="1:6" x14ac:dyDescent="0.35">
      <c r="A72" s="1" t="s">
        <v>2055</v>
      </c>
      <c r="B72" s="1" t="s">
        <v>822</v>
      </c>
      <c r="C72" s="1" t="s">
        <v>2052</v>
      </c>
      <c r="D72" s="1" t="s">
        <v>2053</v>
      </c>
      <c r="E72" s="19">
        <v>1199</v>
      </c>
      <c r="F72" s="19">
        <v>0</v>
      </c>
    </row>
    <row r="73" spans="1:6" x14ac:dyDescent="0.35">
      <c r="A73" s="1" t="s">
        <v>2055</v>
      </c>
      <c r="B73" s="1" t="s">
        <v>822</v>
      </c>
      <c r="C73" s="1" t="s">
        <v>2064</v>
      </c>
      <c r="D73" s="1" t="s">
        <v>2065</v>
      </c>
      <c r="E73" s="19">
        <v>399</v>
      </c>
      <c r="F73" s="19">
        <v>0</v>
      </c>
    </row>
    <row r="74" spans="1:6" x14ac:dyDescent="0.35">
      <c r="A74" s="1" t="s">
        <v>2055</v>
      </c>
      <c r="B74" s="1" t="s">
        <v>822</v>
      </c>
      <c r="C74" s="1" t="s">
        <v>1403</v>
      </c>
      <c r="D74" s="1" t="s">
        <v>1404</v>
      </c>
      <c r="E74" s="19">
        <v>10</v>
      </c>
      <c r="F74" s="19">
        <v>0</v>
      </c>
    </row>
    <row r="75" spans="1:6" x14ac:dyDescent="0.35">
      <c r="A75" s="1" t="s">
        <v>2056</v>
      </c>
      <c r="B75" s="1" t="s">
        <v>826</v>
      </c>
      <c r="C75" s="1" t="s">
        <v>2052</v>
      </c>
      <c r="D75" s="1" t="s">
        <v>2053</v>
      </c>
      <c r="E75" s="19">
        <v>1199</v>
      </c>
      <c r="F75" s="19">
        <v>0</v>
      </c>
    </row>
    <row r="76" spans="1:6" x14ac:dyDescent="0.35">
      <c r="A76" s="1" t="s">
        <v>2056</v>
      </c>
      <c r="B76" s="1" t="s">
        <v>826</v>
      </c>
      <c r="C76" s="1" t="s">
        <v>2064</v>
      </c>
      <c r="D76" s="1" t="s">
        <v>2065</v>
      </c>
      <c r="E76" s="19">
        <v>399</v>
      </c>
      <c r="F76" s="19">
        <v>0</v>
      </c>
    </row>
    <row r="77" spans="1:6" x14ac:dyDescent="0.35">
      <c r="A77" s="1" t="s">
        <v>2056</v>
      </c>
      <c r="B77" s="1" t="s">
        <v>826</v>
      </c>
      <c r="C77" s="1" t="s">
        <v>1403</v>
      </c>
      <c r="D77" s="1" t="s">
        <v>1404</v>
      </c>
      <c r="E77" s="19">
        <v>10</v>
      </c>
      <c r="F77" s="19">
        <v>0</v>
      </c>
    </row>
    <row r="78" spans="1:6" x14ac:dyDescent="0.35">
      <c r="A78" s="1" t="s">
        <v>2057</v>
      </c>
      <c r="B78" s="1" t="s">
        <v>644</v>
      </c>
      <c r="C78" s="1" t="s">
        <v>74</v>
      </c>
      <c r="D78" s="1" t="s">
        <v>75</v>
      </c>
      <c r="E78" s="19">
        <v>499</v>
      </c>
      <c r="F78" s="19">
        <v>0</v>
      </c>
    </row>
    <row r="79" spans="1:6" x14ac:dyDescent="0.35">
      <c r="A79" s="1" t="s">
        <v>2023</v>
      </c>
      <c r="B79" s="1" t="s">
        <v>225</v>
      </c>
      <c r="C79" s="1" t="s">
        <v>42</v>
      </c>
      <c r="D79" s="1" t="s">
        <v>43</v>
      </c>
      <c r="E79" s="19">
        <v>1242.53</v>
      </c>
      <c r="F79" s="19">
        <v>0</v>
      </c>
    </row>
    <row r="80" spans="1:6" x14ac:dyDescent="0.35">
      <c r="A80" s="1" t="s">
        <v>1379</v>
      </c>
      <c r="B80" s="1" t="s">
        <v>1380</v>
      </c>
      <c r="C80" s="1" t="s">
        <v>87</v>
      </c>
      <c r="D80" s="1" t="s">
        <v>88</v>
      </c>
      <c r="E80" s="19">
        <v>1420.02</v>
      </c>
      <c r="F80" s="19">
        <v>0</v>
      </c>
    </row>
    <row r="81" spans="1:6" x14ac:dyDescent="0.35">
      <c r="A81" s="1" t="s">
        <v>1381</v>
      </c>
      <c r="B81" s="1" t="s">
        <v>1382</v>
      </c>
      <c r="C81" s="1" t="s">
        <v>1329</v>
      </c>
      <c r="D81" s="1" t="s">
        <v>1330</v>
      </c>
      <c r="E81" s="19">
        <v>0</v>
      </c>
      <c r="F81" s="19">
        <v>0</v>
      </c>
    </row>
    <row r="82" spans="1:6" x14ac:dyDescent="0.35">
      <c r="A82" s="1" t="s">
        <v>1383</v>
      </c>
      <c r="B82" s="1" t="s">
        <v>1384</v>
      </c>
      <c r="C82" s="1" t="s">
        <v>1329</v>
      </c>
      <c r="D82" s="1" t="s">
        <v>1330</v>
      </c>
      <c r="E82" s="19">
        <v>0</v>
      </c>
      <c r="F82" s="19">
        <v>0</v>
      </c>
    </row>
    <row r="83" spans="1:6" x14ac:dyDescent="0.35">
      <c r="A83" s="1" t="s">
        <v>2058</v>
      </c>
      <c r="B83" s="1" t="s">
        <v>903</v>
      </c>
      <c r="C83" s="1" t="s">
        <v>1870</v>
      </c>
      <c r="D83" s="1" t="s">
        <v>1871</v>
      </c>
      <c r="E83" s="19">
        <v>745</v>
      </c>
      <c r="F83" s="19">
        <v>0</v>
      </c>
    </row>
    <row r="84" spans="1:6" x14ac:dyDescent="0.35">
      <c r="A84" s="1" t="s">
        <v>2058</v>
      </c>
      <c r="B84" s="1" t="s">
        <v>903</v>
      </c>
      <c r="C84" s="1" t="s">
        <v>2076</v>
      </c>
      <c r="D84" s="1" t="s">
        <v>2077</v>
      </c>
      <c r="E84" s="19">
        <v>249</v>
      </c>
      <c r="F84" s="19">
        <v>0</v>
      </c>
    </row>
    <row r="85" spans="1:6" x14ac:dyDescent="0.35">
      <c r="A85" s="1" t="s">
        <v>2058</v>
      </c>
      <c r="B85" s="1" t="s">
        <v>903</v>
      </c>
      <c r="C85" s="1" t="s">
        <v>408</v>
      </c>
      <c r="D85" s="1" t="s">
        <v>409</v>
      </c>
      <c r="E85" s="19">
        <v>10</v>
      </c>
      <c r="F85" s="19">
        <v>0</v>
      </c>
    </row>
    <row r="86" spans="1:6" x14ac:dyDescent="0.35">
      <c r="A86" s="1" t="s">
        <v>2059</v>
      </c>
      <c r="B86" s="1" t="s">
        <v>412</v>
      </c>
      <c r="C86" s="1" t="s">
        <v>408</v>
      </c>
      <c r="D86" s="1" t="s">
        <v>409</v>
      </c>
      <c r="E86" s="19">
        <v>20</v>
      </c>
      <c r="F86" s="19">
        <v>0</v>
      </c>
    </row>
    <row r="87" spans="1:6" x14ac:dyDescent="0.35">
      <c r="A87" s="1" t="s">
        <v>2060</v>
      </c>
      <c r="B87" s="1" t="s">
        <v>846</v>
      </c>
      <c r="C87" s="1" t="s">
        <v>97</v>
      </c>
      <c r="D87" s="1" t="s">
        <v>98</v>
      </c>
      <c r="E87" s="19">
        <v>1499</v>
      </c>
      <c r="F87" s="19">
        <v>0</v>
      </c>
    </row>
    <row r="88" spans="1:6" x14ac:dyDescent="0.35">
      <c r="A88" s="1" t="s">
        <v>2061</v>
      </c>
      <c r="B88" s="1" t="s">
        <v>856</v>
      </c>
      <c r="C88" s="1" t="s">
        <v>42</v>
      </c>
      <c r="D88" s="1" t="s">
        <v>43</v>
      </c>
      <c r="E88" s="19">
        <v>2295.36</v>
      </c>
      <c r="F88" s="19">
        <v>0</v>
      </c>
    </row>
    <row r="89" spans="1:6" x14ac:dyDescent="0.35">
      <c r="A89" s="1" t="s">
        <v>2062</v>
      </c>
      <c r="B89" s="1" t="s">
        <v>918</v>
      </c>
      <c r="C89" s="1" t="s">
        <v>35</v>
      </c>
      <c r="D89" s="1" t="s">
        <v>36</v>
      </c>
      <c r="E89" s="19">
        <v>1024</v>
      </c>
      <c r="F89" s="19">
        <v>0</v>
      </c>
    </row>
    <row r="90" spans="1:6" x14ac:dyDescent="0.35">
      <c r="A90" s="1" t="s">
        <v>2062</v>
      </c>
      <c r="B90" s="1" t="s">
        <v>918</v>
      </c>
      <c r="C90" s="1" t="s">
        <v>408</v>
      </c>
      <c r="D90" s="1" t="s">
        <v>409</v>
      </c>
      <c r="E90" s="19">
        <v>10</v>
      </c>
      <c r="F90" s="19">
        <v>0</v>
      </c>
    </row>
    <row r="91" spans="1:6" x14ac:dyDescent="0.35">
      <c r="A91" s="1" t="s">
        <v>2063</v>
      </c>
      <c r="B91" s="1" t="s">
        <v>581</v>
      </c>
      <c r="C91" s="1" t="s">
        <v>2052</v>
      </c>
      <c r="D91" s="1" t="s">
        <v>2053</v>
      </c>
      <c r="E91" s="19">
        <v>1199</v>
      </c>
      <c r="F91" s="19">
        <v>0</v>
      </c>
    </row>
    <row r="92" spans="1:6" x14ac:dyDescent="0.35">
      <c r="A92" s="1" t="s">
        <v>2066</v>
      </c>
      <c r="B92" s="1" t="s">
        <v>308</v>
      </c>
      <c r="C92" s="1" t="s">
        <v>2052</v>
      </c>
      <c r="D92" s="1" t="s">
        <v>2053</v>
      </c>
      <c r="E92" s="19">
        <v>1199</v>
      </c>
      <c r="F92" s="19">
        <v>0</v>
      </c>
    </row>
    <row r="93" spans="1:6" x14ac:dyDescent="0.35">
      <c r="A93" s="1" t="s">
        <v>2067</v>
      </c>
      <c r="B93" s="1" t="s">
        <v>305</v>
      </c>
      <c r="C93" s="1" t="s">
        <v>2052</v>
      </c>
      <c r="D93" s="1" t="s">
        <v>2053</v>
      </c>
      <c r="E93" s="19">
        <v>1199</v>
      </c>
      <c r="F93" s="19">
        <v>0</v>
      </c>
    </row>
    <row r="94" spans="1:6" x14ac:dyDescent="0.35">
      <c r="A94" s="1" t="s">
        <v>1385</v>
      </c>
      <c r="B94" s="1" t="s">
        <v>1386</v>
      </c>
      <c r="C94" s="1" t="s">
        <v>1329</v>
      </c>
      <c r="D94" s="1" t="s">
        <v>1330</v>
      </c>
      <c r="E94" s="19">
        <v>111.29</v>
      </c>
      <c r="F94" s="19">
        <v>0</v>
      </c>
    </row>
    <row r="95" spans="1:6" x14ac:dyDescent="0.35">
      <c r="A95" s="1" t="s">
        <v>2068</v>
      </c>
      <c r="B95" s="1" t="s">
        <v>507</v>
      </c>
      <c r="C95" s="1" t="s">
        <v>74</v>
      </c>
      <c r="D95" s="1" t="s">
        <v>75</v>
      </c>
      <c r="E95" s="19">
        <v>499</v>
      </c>
      <c r="F95" s="19">
        <v>0</v>
      </c>
    </row>
    <row r="96" spans="1:6" x14ac:dyDescent="0.35">
      <c r="A96" s="1" t="s">
        <v>2069</v>
      </c>
      <c r="B96" s="1" t="s">
        <v>490</v>
      </c>
      <c r="C96" s="1" t="s">
        <v>48</v>
      </c>
      <c r="D96" s="1" t="s">
        <v>49</v>
      </c>
      <c r="E96" s="19">
        <v>299</v>
      </c>
      <c r="F96" s="19">
        <v>0</v>
      </c>
    </row>
    <row r="97" spans="1:6" x14ac:dyDescent="0.35">
      <c r="A97" s="1" t="s">
        <v>2070</v>
      </c>
      <c r="B97" s="1" t="s">
        <v>653</v>
      </c>
      <c r="C97" s="1" t="s">
        <v>42</v>
      </c>
      <c r="D97" s="1" t="s">
        <v>43</v>
      </c>
      <c r="E97" s="19">
        <v>1849</v>
      </c>
      <c r="F97" s="19">
        <v>0</v>
      </c>
    </row>
    <row r="98" spans="1:6" x14ac:dyDescent="0.35">
      <c r="A98" s="1" t="s">
        <v>2070</v>
      </c>
      <c r="B98" s="1" t="s">
        <v>653</v>
      </c>
      <c r="C98" s="1" t="s">
        <v>408</v>
      </c>
      <c r="D98" s="1" t="s">
        <v>409</v>
      </c>
      <c r="E98" s="19">
        <v>20</v>
      </c>
      <c r="F98" s="19">
        <v>0</v>
      </c>
    </row>
    <row r="99" spans="1:6" x14ac:dyDescent="0.35">
      <c r="A99" s="1" t="s">
        <v>2071</v>
      </c>
      <c r="B99" s="1" t="s">
        <v>217</v>
      </c>
      <c r="C99" s="1" t="s">
        <v>48</v>
      </c>
      <c r="D99" s="1" t="s">
        <v>49</v>
      </c>
      <c r="E99" s="19">
        <v>200.93</v>
      </c>
      <c r="F99" s="19">
        <v>0</v>
      </c>
    </row>
    <row r="100" spans="1:6" x14ac:dyDescent="0.35">
      <c r="A100" s="1" t="s">
        <v>2072</v>
      </c>
      <c r="B100" s="1" t="s">
        <v>938</v>
      </c>
      <c r="C100" s="1" t="s">
        <v>1798</v>
      </c>
      <c r="D100" s="1" t="s">
        <v>1799</v>
      </c>
      <c r="E100" s="19">
        <v>999</v>
      </c>
      <c r="F100" s="19">
        <v>0</v>
      </c>
    </row>
    <row r="101" spans="1:6" x14ac:dyDescent="0.35">
      <c r="A101" s="1" t="s">
        <v>2072</v>
      </c>
      <c r="B101" s="1" t="s">
        <v>938</v>
      </c>
      <c r="C101" s="1" t="s">
        <v>97</v>
      </c>
      <c r="D101" s="1" t="s">
        <v>98</v>
      </c>
      <c r="E101" s="19">
        <v>1499</v>
      </c>
      <c r="F101" s="19">
        <v>0</v>
      </c>
    </row>
    <row r="102" spans="1:6" x14ac:dyDescent="0.35">
      <c r="A102" s="1" t="s">
        <v>2073</v>
      </c>
      <c r="B102" s="1" t="s">
        <v>197</v>
      </c>
      <c r="C102" s="1" t="s">
        <v>48</v>
      </c>
      <c r="D102" s="1" t="s">
        <v>49</v>
      </c>
      <c r="E102" s="19">
        <v>319</v>
      </c>
      <c r="F102" s="19">
        <v>0</v>
      </c>
    </row>
    <row r="103" spans="1:6" x14ac:dyDescent="0.35">
      <c r="A103" s="1" t="s">
        <v>2074</v>
      </c>
      <c r="B103" s="1" t="s">
        <v>597</v>
      </c>
      <c r="C103" s="1" t="s">
        <v>97</v>
      </c>
      <c r="D103" s="1" t="s">
        <v>98</v>
      </c>
      <c r="E103" s="19">
        <v>1499</v>
      </c>
      <c r="F103" s="19">
        <v>0</v>
      </c>
    </row>
    <row r="104" spans="1:6" x14ac:dyDescent="0.35">
      <c r="A104" s="1" t="s">
        <v>2075</v>
      </c>
      <c r="B104" s="1" t="s">
        <v>599</v>
      </c>
      <c r="C104" s="1" t="s">
        <v>97</v>
      </c>
      <c r="D104" s="1" t="s">
        <v>98</v>
      </c>
      <c r="E104" s="19">
        <v>1499</v>
      </c>
      <c r="F104" s="19">
        <v>0</v>
      </c>
    </row>
    <row r="105" spans="1:6" x14ac:dyDescent="0.35">
      <c r="A105" s="1" t="s">
        <v>2078</v>
      </c>
      <c r="B105" s="1" t="s">
        <v>771</v>
      </c>
      <c r="C105" s="1" t="s">
        <v>35</v>
      </c>
      <c r="D105" s="1" t="s">
        <v>36</v>
      </c>
      <c r="E105" s="19">
        <v>338.2</v>
      </c>
      <c r="F105" s="19">
        <v>0</v>
      </c>
    </row>
    <row r="106" spans="1:6" x14ac:dyDescent="0.35">
      <c r="A106" s="1" t="s">
        <v>2079</v>
      </c>
      <c r="B106" s="1" t="s">
        <v>503</v>
      </c>
      <c r="C106" s="1" t="s">
        <v>74</v>
      </c>
      <c r="D106" s="1" t="s">
        <v>75</v>
      </c>
      <c r="E106" s="19">
        <v>499</v>
      </c>
      <c r="F106" s="19">
        <v>0</v>
      </c>
    </row>
    <row r="107" spans="1:6" x14ac:dyDescent="0.35">
      <c r="A107" s="1" t="s">
        <v>2080</v>
      </c>
      <c r="B107" s="1" t="s">
        <v>948</v>
      </c>
      <c r="C107" s="1" t="s">
        <v>67</v>
      </c>
      <c r="D107" s="1" t="s">
        <v>68</v>
      </c>
      <c r="E107" s="19">
        <v>599</v>
      </c>
      <c r="F107" s="19">
        <v>0</v>
      </c>
    </row>
    <row r="108" spans="1:6" x14ac:dyDescent="0.35">
      <c r="A108" s="1" t="s">
        <v>1387</v>
      </c>
      <c r="B108" s="1" t="s">
        <v>1388</v>
      </c>
      <c r="C108" s="1" t="s">
        <v>35</v>
      </c>
      <c r="D108" s="1" t="s">
        <v>36</v>
      </c>
      <c r="E108" s="19">
        <v>299</v>
      </c>
      <c r="F108" s="19">
        <v>0</v>
      </c>
    </row>
    <row r="109" spans="1:6" x14ac:dyDescent="0.35">
      <c r="A109" s="1" t="s">
        <v>2081</v>
      </c>
      <c r="B109" s="1" t="s">
        <v>674</v>
      </c>
      <c r="C109" s="1" t="s">
        <v>48</v>
      </c>
      <c r="D109" s="1" t="s">
        <v>49</v>
      </c>
      <c r="E109" s="19">
        <v>319</v>
      </c>
      <c r="F109" s="19">
        <v>0</v>
      </c>
    </row>
    <row r="110" spans="1:6" x14ac:dyDescent="0.35">
      <c r="A110" s="1" t="s">
        <v>1389</v>
      </c>
      <c r="B110" s="1" t="s">
        <v>1390</v>
      </c>
      <c r="C110" s="1" t="s">
        <v>87</v>
      </c>
      <c r="D110" s="1" t="s">
        <v>88</v>
      </c>
      <c r="E110" s="19">
        <v>783.02</v>
      </c>
      <c r="F110" s="19">
        <v>0</v>
      </c>
    </row>
    <row r="111" spans="1:6" x14ac:dyDescent="0.35">
      <c r="A111" s="1" t="s">
        <v>2082</v>
      </c>
      <c r="B111" s="1" t="s">
        <v>739</v>
      </c>
      <c r="C111" s="1" t="s">
        <v>2037</v>
      </c>
      <c r="D111" s="1" t="s">
        <v>2038</v>
      </c>
      <c r="E111" s="19">
        <v>3219.48</v>
      </c>
      <c r="F111" s="19">
        <v>0</v>
      </c>
    </row>
    <row r="112" spans="1:6" x14ac:dyDescent="0.35">
      <c r="A112" s="1" t="s">
        <v>2083</v>
      </c>
      <c r="B112" s="1" t="s">
        <v>591</v>
      </c>
      <c r="C112" s="1" t="s">
        <v>97</v>
      </c>
      <c r="D112" s="1" t="s">
        <v>98</v>
      </c>
      <c r="E112" s="19">
        <v>1499</v>
      </c>
      <c r="F112" s="19">
        <v>0</v>
      </c>
    </row>
    <row r="113" spans="1:6" x14ac:dyDescent="0.35">
      <c r="A113" s="1" t="s">
        <v>2084</v>
      </c>
      <c r="B113" s="1" t="s">
        <v>619</v>
      </c>
      <c r="C113" s="1" t="s">
        <v>2037</v>
      </c>
      <c r="D113" s="1" t="s">
        <v>2038</v>
      </c>
      <c r="E113" s="19">
        <v>2981</v>
      </c>
      <c r="F113" s="19">
        <v>0</v>
      </c>
    </row>
    <row r="114" spans="1:6" x14ac:dyDescent="0.35">
      <c r="A114" s="1" t="s">
        <v>2085</v>
      </c>
      <c r="B114" s="1" t="s">
        <v>157</v>
      </c>
      <c r="C114" s="1" t="s">
        <v>408</v>
      </c>
      <c r="D114" s="1" t="s">
        <v>409</v>
      </c>
      <c r="E114" s="19">
        <v>20</v>
      </c>
      <c r="F114" s="19">
        <v>0</v>
      </c>
    </row>
    <row r="115" spans="1:6" x14ac:dyDescent="0.35">
      <c r="A115" s="1" t="s">
        <v>2085</v>
      </c>
      <c r="B115" s="1" t="s">
        <v>157</v>
      </c>
      <c r="C115" s="1" t="s">
        <v>67</v>
      </c>
      <c r="D115" s="1" t="s">
        <v>68</v>
      </c>
      <c r="E115" s="19">
        <v>599</v>
      </c>
      <c r="F115" s="19">
        <v>0</v>
      </c>
    </row>
    <row r="116" spans="1:6" x14ac:dyDescent="0.35">
      <c r="A116" s="1" t="s">
        <v>2086</v>
      </c>
      <c r="B116" s="1" t="s">
        <v>319</v>
      </c>
      <c r="C116" s="1" t="s">
        <v>74</v>
      </c>
      <c r="D116" s="1" t="s">
        <v>75</v>
      </c>
      <c r="E116" s="19">
        <v>350.3</v>
      </c>
      <c r="F116" s="19">
        <v>0</v>
      </c>
    </row>
    <row r="117" spans="1:6" x14ac:dyDescent="0.35">
      <c r="A117" s="1" t="s">
        <v>2086</v>
      </c>
      <c r="B117" s="1" t="s">
        <v>319</v>
      </c>
      <c r="C117" s="1" t="s">
        <v>408</v>
      </c>
      <c r="D117" s="1" t="s">
        <v>409</v>
      </c>
      <c r="E117" s="19">
        <v>14.04</v>
      </c>
      <c r="F117" s="19">
        <v>0</v>
      </c>
    </row>
    <row r="118" spans="1:6" x14ac:dyDescent="0.35">
      <c r="A118" s="1" t="s">
        <v>2086</v>
      </c>
      <c r="B118" s="1" t="s">
        <v>319</v>
      </c>
      <c r="C118" s="1" t="s">
        <v>2107</v>
      </c>
      <c r="D118" s="1" t="s">
        <v>2108</v>
      </c>
      <c r="E118" s="19">
        <v>268.92</v>
      </c>
      <c r="F118" s="19">
        <v>0</v>
      </c>
    </row>
    <row r="119" spans="1:6" x14ac:dyDescent="0.35">
      <c r="A119" s="1" t="s">
        <v>2087</v>
      </c>
      <c r="B119" s="1" t="s">
        <v>776</v>
      </c>
      <c r="C119" s="1" t="s">
        <v>74</v>
      </c>
      <c r="D119" s="1" t="s">
        <v>75</v>
      </c>
      <c r="E119" s="19">
        <v>584.73</v>
      </c>
      <c r="F119" s="19">
        <v>0</v>
      </c>
    </row>
    <row r="120" spans="1:6" x14ac:dyDescent="0.35">
      <c r="A120" s="1" t="s">
        <v>2088</v>
      </c>
      <c r="B120" s="1" t="s">
        <v>638</v>
      </c>
      <c r="C120" s="1" t="s">
        <v>48</v>
      </c>
      <c r="D120" s="1" t="s">
        <v>49</v>
      </c>
      <c r="E120" s="19">
        <v>299</v>
      </c>
      <c r="F120" s="19">
        <v>0</v>
      </c>
    </row>
    <row r="121" spans="1:6" x14ac:dyDescent="0.35">
      <c r="A121" s="1" t="s">
        <v>2089</v>
      </c>
      <c r="B121" s="1" t="s">
        <v>736</v>
      </c>
      <c r="C121" s="1" t="s">
        <v>42</v>
      </c>
      <c r="D121" s="1" t="s">
        <v>43</v>
      </c>
      <c r="E121" s="19">
        <v>995</v>
      </c>
      <c r="F121" s="19">
        <v>0</v>
      </c>
    </row>
    <row r="122" spans="1:6" x14ac:dyDescent="0.35">
      <c r="A122" s="1" t="s">
        <v>2089</v>
      </c>
      <c r="B122" s="1" t="s">
        <v>736</v>
      </c>
      <c r="C122" s="1" t="s">
        <v>1870</v>
      </c>
      <c r="D122" s="1" t="s">
        <v>1871</v>
      </c>
      <c r="E122" s="19">
        <v>999</v>
      </c>
      <c r="F122" s="19">
        <v>0</v>
      </c>
    </row>
    <row r="123" spans="1:6" x14ac:dyDescent="0.35">
      <c r="A123" s="1" t="s">
        <v>2090</v>
      </c>
      <c r="B123" s="1" t="s">
        <v>636</v>
      </c>
      <c r="C123" s="1" t="s">
        <v>42</v>
      </c>
      <c r="D123" s="1" t="s">
        <v>43</v>
      </c>
      <c r="E123" s="19">
        <v>1849</v>
      </c>
      <c r="F123" s="19">
        <v>0</v>
      </c>
    </row>
    <row r="124" spans="1:6" x14ac:dyDescent="0.35">
      <c r="A124" s="1" t="s">
        <v>2091</v>
      </c>
      <c r="B124" s="1" t="s">
        <v>661</v>
      </c>
      <c r="C124" s="1" t="s">
        <v>408</v>
      </c>
      <c r="D124" s="1" t="s">
        <v>409</v>
      </c>
      <c r="E124" s="19">
        <v>20</v>
      </c>
      <c r="F124" s="19">
        <v>0</v>
      </c>
    </row>
    <row r="125" spans="1:6" x14ac:dyDescent="0.35">
      <c r="A125" s="1" t="s">
        <v>2091</v>
      </c>
      <c r="B125" s="1" t="s">
        <v>661</v>
      </c>
      <c r="C125" s="1" t="s">
        <v>67</v>
      </c>
      <c r="D125" s="1" t="s">
        <v>68</v>
      </c>
      <c r="E125" s="19">
        <v>599</v>
      </c>
      <c r="F125" s="19">
        <v>0</v>
      </c>
    </row>
    <row r="126" spans="1:6" x14ac:dyDescent="0.35">
      <c r="A126" s="1" t="s">
        <v>1391</v>
      </c>
      <c r="B126" s="1" t="s">
        <v>1392</v>
      </c>
      <c r="C126" s="1" t="s">
        <v>1329</v>
      </c>
      <c r="D126" s="1" t="s">
        <v>1330</v>
      </c>
      <c r="E126" s="19">
        <v>113.4</v>
      </c>
      <c r="F126" s="19">
        <v>0</v>
      </c>
    </row>
    <row r="127" spans="1:6" x14ac:dyDescent="0.35">
      <c r="A127" s="1" t="s">
        <v>2092</v>
      </c>
      <c r="B127" s="1" t="s">
        <v>712</v>
      </c>
      <c r="C127" s="1" t="s">
        <v>42</v>
      </c>
      <c r="D127" s="1" t="s">
        <v>43</v>
      </c>
      <c r="E127" s="19">
        <v>1941.45</v>
      </c>
      <c r="F127" s="19">
        <v>0</v>
      </c>
    </row>
    <row r="128" spans="1:6" x14ac:dyDescent="0.35">
      <c r="A128" s="1" t="s">
        <v>2093</v>
      </c>
      <c r="B128" s="1" t="s">
        <v>634</v>
      </c>
      <c r="C128" s="1" t="s">
        <v>97</v>
      </c>
      <c r="D128" s="1" t="s">
        <v>98</v>
      </c>
      <c r="E128" s="19">
        <v>1499</v>
      </c>
      <c r="F128" s="19">
        <v>0</v>
      </c>
    </row>
    <row r="129" spans="1:6" x14ac:dyDescent="0.35">
      <c r="A129" s="1" t="s">
        <v>2094</v>
      </c>
      <c r="B129" s="1" t="s">
        <v>240</v>
      </c>
      <c r="C129" s="1" t="s">
        <v>48</v>
      </c>
      <c r="D129" s="1" t="s">
        <v>49</v>
      </c>
      <c r="E129" s="19">
        <v>217.23</v>
      </c>
      <c r="F129" s="19">
        <v>0</v>
      </c>
    </row>
    <row r="130" spans="1:6" x14ac:dyDescent="0.35">
      <c r="A130" s="1" t="s">
        <v>2095</v>
      </c>
      <c r="B130" s="1" t="s">
        <v>206</v>
      </c>
      <c r="C130" s="1" t="s">
        <v>48</v>
      </c>
      <c r="D130" s="1" t="s">
        <v>49</v>
      </c>
      <c r="E130" s="19">
        <v>200.93</v>
      </c>
      <c r="F130" s="19">
        <v>0</v>
      </c>
    </row>
    <row r="131" spans="1:6" x14ac:dyDescent="0.35">
      <c r="A131" s="1" t="s">
        <v>1393</v>
      </c>
      <c r="B131" s="1" t="s">
        <v>1394</v>
      </c>
      <c r="C131" s="1" t="s">
        <v>1329</v>
      </c>
      <c r="D131" s="1" t="s">
        <v>1330</v>
      </c>
      <c r="E131" s="19">
        <v>111.29</v>
      </c>
      <c r="F131" s="19">
        <v>0</v>
      </c>
    </row>
    <row r="132" spans="1:6" x14ac:dyDescent="0.35">
      <c r="A132" s="1" t="s">
        <v>2096</v>
      </c>
      <c r="B132" s="1" t="s">
        <v>193</v>
      </c>
      <c r="C132" s="1" t="s">
        <v>42</v>
      </c>
      <c r="D132" s="1" t="s">
        <v>43</v>
      </c>
      <c r="E132" s="19">
        <v>1386.75</v>
      </c>
      <c r="F132" s="19">
        <v>0</v>
      </c>
    </row>
    <row r="133" spans="1:6" x14ac:dyDescent="0.35">
      <c r="A133" s="1" t="s">
        <v>2097</v>
      </c>
      <c r="B133" s="1" t="s">
        <v>943</v>
      </c>
      <c r="C133" s="1" t="s">
        <v>48</v>
      </c>
      <c r="D133" s="1" t="s">
        <v>49</v>
      </c>
      <c r="E133" s="19">
        <v>319</v>
      </c>
      <c r="F133" s="19">
        <v>0</v>
      </c>
    </row>
    <row r="134" spans="1:6" x14ac:dyDescent="0.35">
      <c r="A134" s="1" t="s">
        <v>2098</v>
      </c>
      <c r="B134" s="1" t="s">
        <v>817</v>
      </c>
      <c r="C134" s="1" t="s">
        <v>35</v>
      </c>
      <c r="D134" s="1" t="s">
        <v>36</v>
      </c>
      <c r="E134" s="19">
        <v>371.36</v>
      </c>
      <c r="F134" s="19">
        <v>0</v>
      </c>
    </row>
    <row r="135" spans="1:6" x14ac:dyDescent="0.35">
      <c r="A135" s="1" t="s">
        <v>2099</v>
      </c>
      <c r="B135" s="1" t="s">
        <v>828</v>
      </c>
      <c r="C135" s="1" t="s">
        <v>35</v>
      </c>
      <c r="D135" s="1" t="s">
        <v>36</v>
      </c>
      <c r="E135" s="19">
        <v>619.46</v>
      </c>
      <c r="F135" s="19">
        <v>0</v>
      </c>
    </row>
    <row r="136" spans="1:6" x14ac:dyDescent="0.35">
      <c r="A136" s="1" t="s">
        <v>2100</v>
      </c>
      <c r="B136" s="1" t="s">
        <v>539</v>
      </c>
      <c r="C136" s="1" t="s">
        <v>74</v>
      </c>
      <c r="D136" s="1" t="s">
        <v>75</v>
      </c>
      <c r="E136" s="19">
        <v>499</v>
      </c>
      <c r="F136" s="19">
        <v>0</v>
      </c>
    </row>
    <row r="137" spans="1:6" x14ac:dyDescent="0.35">
      <c r="A137" s="1" t="s">
        <v>2101</v>
      </c>
      <c r="B137" s="1" t="s">
        <v>481</v>
      </c>
      <c r="C137" s="1" t="s">
        <v>48</v>
      </c>
      <c r="D137" s="1" t="s">
        <v>49</v>
      </c>
      <c r="E137" s="19">
        <v>299</v>
      </c>
      <c r="F137" s="19">
        <v>0</v>
      </c>
    </row>
    <row r="138" spans="1:6" x14ac:dyDescent="0.35">
      <c r="A138" s="1" t="s">
        <v>2102</v>
      </c>
      <c r="B138" s="1" t="s">
        <v>595</v>
      </c>
      <c r="C138" s="1" t="s">
        <v>97</v>
      </c>
      <c r="D138" s="1" t="s">
        <v>98</v>
      </c>
      <c r="E138" s="19">
        <v>1499</v>
      </c>
      <c r="F138" s="19">
        <v>0</v>
      </c>
    </row>
    <row r="139" spans="1:6" x14ac:dyDescent="0.35">
      <c r="A139" s="1" t="s">
        <v>2103</v>
      </c>
      <c r="B139" s="1" t="s">
        <v>914</v>
      </c>
      <c r="C139" s="1" t="s">
        <v>35</v>
      </c>
      <c r="D139" s="1" t="s">
        <v>36</v>
      </c>
      <c r="E139" s="19">
        <v>1024</v>
      </c>
      <c r="F139" s="19">
        <v>0</v>
      </c>
    </row>
    <row r="140" spans="1:6" x14ac:dyDescent="0.35">
      <c r="A140" s="1" t="s">
        <v>2103</v>
      </c>
      <c r="B140" s="1" t="s">
        <v>914</v>
      </c>
      <c r="C140" s="1" t="s">
        <v>408</v>
      </c>
      <c r="D140" s="1" t="s">
        <v>409</v>
      </c>
      <c r="E140" s="19">
        <v>10</v>
      </c>
      <c r="F140" s="19">
        <v>0</v>
      </c>
    </row>
    <row r="141" spans="1:6" x14ac:dyDescent="0.35">
      <c r="A141" s="1" t="s">
        <v>2104</v>
      </c>
      <c r="B141" s="1" t="s">
        <v>803</v>
      </c>
      <c r="C141" s="1" t="s">
        <v>35</v>
      </c>
      <c r="D141" s="1" t="s">
        <v>36</v>
      </c>
      <c r="E141" s="19">
        <v>371.18</v>
      </c>
      <c r="F141" s="19">
        <v>0</v>
      </c>
    </row>
    <row r="142" spans="1:6" x14ac:dyDescent="0.35">
      <c r="A142" s="1" t="s">
        <v>2105</v>
      </c>
      <c r="B142" s="1" t="s">
        <v>793</v>
      </c>
      <c r="C142" s="1" t="s">
        <v>35</v>
      </c>
      <c r="D142" s="1" t="s">
        <v>36</v>
      </c>
      <c r="E142" s="19">
        <v>370.2</v>
      </c>
      <c r="F142" s="19">
        <v>0</v>
      </c>
    </row>
    <row r="143" spans="1:6" x14ac:dyDescent="0.35">
      <c r="A143" s="1" t="s">
        <v>2106</v>
      </c>
      <c r="B143" s="1" t="s">
        <v>872</v>
      </c>
      <c r="C143" s="1" t="s">
        <v>35</v>
      </c>
      <c r="D143" s="1" t="s">
        <v>36</v>
      </c>
      <c r="E143" s="19">
        <v>370.2</v>
      </c>
      <c r="F143" s="19">
        <v>0</v>
      </c>
    </row>
    <row r="144" spans="1:6" x14ac:dyDescent="0.35">
      <c r="A144" s="1" t="s">
        <v>1934</v>
      </c>
      <c r="B144" s="1" t="s">
        <v>454</v>
      </c>
      <c r="C144" s="1" t="s">
        <v>2052</v>
      </c>
      <c r="D144" s="1" t="s">
        <v>2053</v>
      </c>
      <c r="E144" s="19">
        <v>1199</v>
      </c>
      <c r="F144" s="19">
        <v>0</v>
      </c>
    </row>
    <row r="145" spans="1:6" x14ac:dyDescent="0.35">
      <c r="A145" s="1" t="s">
        <v>1934</v>
      </c>
      <c r="B145" s="1" t="s">
        <v>454</v>
      </c>
      <c r="C145" s="1" t="s">
        <v>1403</v>
      </c>
      <c r="D145" s="1" t="s">
        <v>1404</v>
      </c>
      <c r="E145" s="19">
        <v>10</v>
      </c>
      <c r="F145" s="19">
        <v>0</v>
      </c>
    </row>
    <row r="146" spans="1:6" x14ac:dyDescent="0.35">
      <c r="A146" s="1" t="s">
        <v>2109</v>
      </c>
      <c r="B146" s="1" t="s">
        <v>145</v>
      </c>
      <c r="C146" s="1" t="s">
        <v>35</v>
      </c>
      <c r="D146" s="1" t="s">
        <v>36</v>
      </c>
      <c r="E146" s="19">
        <v>142.16999999999999</v>
      </c>
      <c r="F146" s="19">
        <v>0</v>
      </c>
    </row>
    <row r="147" spans="1:6" x14ac:dyDescent="0.35">
      <c r="A147" s="1" t="s">
        <v>2110</v>
      </c>
      <c r="B147" s="1" t="s">
        <v>926</v>
      </c>
      <c r="C147" s="1" t="s">
        <v>35</v>
      </c>
      <c r="D147" s="1" t="s">
        <v>36</v>
      </c>
      <c r="E147" s="19">
        <v>435.98</v>
      </c>
      <c r="F147" s="19">
        <v>0</v>
      </c>
    </row>
    <row r="148" spans="1:6" x14ac:dyDescent="0.35">
      <c r="A148" s="1" t="s">
        <v>2111</v>
      </c>
      <c r="B148" s="1" t="s">
        <v>252</v>
      </c>
      <c r="C148" s="1" t="s">
        <v>35</v>
      </c>
      <c r="D148" s="1" t="s">
        <v>36</v>
      </c>
      <c r="E148" s="19">
        <v>217.99</v>
      </c>
      <c r="F148" s="19">
        <v>0</v>
      </c>
    </row>
    <row r="149" spans="1:6" x14ac:dyDescent="0.35">
      <c r="A149" s="1" t="s">
        <v>2112</v>
      </c>
      <c r="B149" s="1" t="s">
        <v>657</v>
      </c>
      <c r="C149" s="1" t="s">
        <v>2052</v>
      </c>
      <c r="D149" s="1" t="s">
        <v>2053</v>
      </c>
      <c r="E149" s="19">
        <v>1199</v>
      </c>
      <c r="F149" s="19">
        <v>0</v>
      </c>
    </row>
    <row r="150" spans="1:6" x14ac:dyDescent="0.35">
      <c r="A150" s="1" t="s">
        <v>2112</v>
      </c>
      <c r="B150" s="1" t="s">
        <v>657</v>
      </c>
      <c r="C150" s="1" t="s">
        <v>1403</v>
      </c>
      <c r="D150" s="1" t="s">
        <v>1404</v>
      </c>
      <c r="E150" s="19">
        <v>10</v>
      </c>
      <c r="F150" s="19">
        <v>0</v>
      </c>
    </row>
    <row r="151" spans="1:6" x14ac:dyDescent="0.35">
      <c r="A151" s="1" t="s">
        <v>2113</v>
      </c>
      <c r="B151" s="1" t="s">
        <v>950</v>
      </c>
      <c r="C151" s="1" t="s">
        <v>2052</v>
      </c>
      <c r="D151" s="1" t="s">
        <v>2053</v>
      </c>
      <c r="E151" s="19">
        <v>1199</v>
      </c>
      <c r="F151" s="19">
        <v>0</v>
      </c>
    </row>
    <row r="152" spans="1:6" x14ac:dyDescent="0.35">
      <c r="A152" s="1" t="s">
        <v>2113</v>
      </c>
      <c r="B152" s="1" t="s">
        <v>950</v>
      </c>
      <c r="C152" s="1" t="s">
        <v>1403</v>
      </c>
      <c r="D152" s="1" t="s">
        <v>1404</v>
      </c>
      <c r="E152" s="19">
        <v>10</v>
      </c>
      <c r="F152" s="19">
        <v>0</v>
      </c>
    </row>
    <row r="153" spans="1:6" x14ac:dyDescent="0.35">
      <c r="A153" s="1" t="s">
        <v>2114</v>
      </c>
      <c r="B153" s="1" t="s">
        <v>249</v>
      </c>
      <c r="C153" s="1" t="s">
        <v>35</v>
      </c>
      <c r="D153" s="1" t="s">
        <v>36</v>
      </c>
      <c r="E153" s="19">
        <v>217.99</v>
      </c>
      <c r="F153" s="19">
        <v>0</v>
      </c>
    </row>
    <row r="154" spans="1:6" x14ac:dyDescent="0.35">
      <c r="A154" s="1" t="s">
        <v>1395</v>
      </c>
      <c r="B154" s="1" t="s">
        <v>1396</v>
      </c>
      <c r="C154" s="1" t="s">
        <v>35</v>
      </c>
      <c r="D154" s="1" t="s">
        <v>36</v>
      </c>
      <c r="E154" s="19">
        <v>134.55000000000001</v>
      </c>
      <c r="F154" s="19">
        <v>0</v>
      </c>
    </row>
    <row r="155" spans="1:6" x14ac:dyDescent="0.35">
      <c r="A155" s="1" t="s">
        <v>2115</v>
      </c>
      <c r="B155" s="1" t="s">
        <v>627</v>
      </c>
      <c r="C155" s="1" t="s">
        <v>2052</v>
      </c>
      <c r="D155" s="1" t="s">
        <v>2053</v>
      </c>
      <c r="E155" s="19">
        <v>1199</v>
      </c>
      <c r="F155" s="19">
        <v>0</v>
      </c>
    </row>
    <row r="156" spans="1:6" x14ac:dyDescent="0.35">
      <c r="A156" s="1" t="s">
        <v>2115</v>
      </c>
      <c r="B156" s="1" t="s">
        <v>627</v>
      </c>
      <c r="C156" s="1" t="s">
        <v>1403</v>
      </c>
      <c r="D156" s="1" t="s">
        <v>1404</v>
      </c>
      <c r="E156" s="19">
        <v>10</v>
      </c>
      <c r="F156" s="19">
        <v>0</v>
      </c>
    </row>
    <row r="157" spans="1:6" x14ac:dyDescent="0.35">
      <c r="A157" s="1" t="s">
        <v>2116</v>
      </c>
      <c r="B157" s="1" t="s">
        <v>655</v>
      </c>
      <c r="C157" s="1" t="s">
        <v>2052</v>
      </c>
      <c r="D157" s="1" t="s">
        <v>2053</v>
      </c>
      <c r="E157" s="19">
        <v>1199</v>
      </c>
      <c r="F157" s="19">
        <v>0</v>
      </c>
    </row>
    <row r="158" spans="1:6" x14ac:dyDescent="0.35">
      <c r="A158" s="1" t="s">
        <v>2116</v>
      </c>
      <c r="B158" s="1" t="s">
        <v>655</v>
      </c>
      <c r="C158" s="1" t="s">
        <v>1403</v>
      </c>
      <c r="D158" s="1" t="s">
        <v>1404</v>
      </c>
      <c r="E158" s="19">
        <v>10</v>
      </c>
      <c r="F158" s="19">
        <v>0</v>
      </c>
    </row>
    <row r="159" spans="1:6" x14ac:dyDescent="0.35">
      <c r="A159" s="1" t="s">
        <v>2117</v>
      </c>
      <c r="B159" s="1" t="s">
        <v>659</v>
      </c>
      <c r="C159" s="1" t="s">
        <v>2052</v>
      </c>
      <c r="D159" s="1" t="s">
        <v>2053</v>
      </c>
      <c r="E159" s="19">
        <v>1199</v>
      </c>
      <c r="F159" s="19">
        <v>0</v>
      </c>
    </row>
    <row r="160" spans="1:6" x14ac:dyDescent="0.35">
      <c r="A160" s="1" t="s">
        <v>2117</v>
      </c>
      <c r="B160" s="1" t="s">
        <v>659</v>
      </c>
      <c r="C160" s="1" t="s">
        <v>1403</v>
      </c>
      <c r="D160" s="1" t="s">
        <v>1404</v>
      </c>
      <c r="E160" s="19">
        <v>10</v>
      </c>
      <c r="F160" s="19">
        <v>0</v>
      </c>
    </row>
    <row r="161" spans="1:6" x14ac:dyDescent="0.35">
      <c r="A161" s="1" t="s">
        <v>2118</v>
      </c>
      <c r="B161" s="1" t="s">
        <v>456</v>
      </c>
      <c r="C161" s="1" t="s">
        <v>2052</v>
      </c>
      <c r="D161" s="1" t="s">
        <v>2053</v>
      </c>
      <c r="E161" s="19">
        <v>1199</v>
      </c>
      <c r="F161" s="19">
        <v>0</v>
      </c>
    </row>
    <row r="162" spans="1:6" x14ac:dyDescent="0.35">
      <c r="A162" s="1" t="s">
        <v>2118</v>
      </c>
      <c r="B162" s="1" t="s">
        <v>456</v>
      </c>
      <c r="C162" s="1" t="s">
        <v>1403</v>
      </c>
      <c r="D162" s="1" t="s">
        <v>1404</v>
      </c>
      <c r="E162" s="19">
        <v>10</v>
      </c>
      <c r="F162" s="19">
        <v>0</v>
      </c>
    </row>
    <row r="163" spans="1:6" x14ac:dyDescent="0.35">
      <c r="A163" s="1" t="s">
        <v>2119</v>
      </c>
      <c r="B163" s="1" t="s">
        <v>166</v>
      </c>
      <c r="C163" s="1" t="s">
        <v>35</v>
      </c>
      <c r="D163" s="1" t="s">
        <v>36</v>
      </c>
      <c r="E163" s="19">
        <v>145.08000000000001</v>
      </c>
      <c r="F163" s="19">
        <v>0</v>
      </c>
    </row>
    <row r="164" spans="1:6" x14ac:dyDescent="0.35">
      <c r="A164" s="1" t="s">
        <v>2120</v>
      </c>
      <c r="B164" s="1" t="s">
        <v>706</v>
      </c>
      <c r="C164" s="1" t="s">
        <v>48</v>
      </c>
      <c r="D164" s="1" t="s">
        <v>49</v>
      </c>
      <c r="E164" s="19">
        <v>322.92</v>
      </c>
      <c r="F164" s="19">
        <v>0</v>
      </c>
    </row>
    <row r="165" spans="1:6" x14ac:dyDescent="0.35">
      <c r="A165" s="1" t="s">
        <v>1397</v>
      </c>
      <c r="B165" s="1" t="s">
        <v>1398</v>
      </c>
      <c r="C165" s="1" t="s">
        <v>35</v>
      </c>
      <c r="D165" s="1" t="s">
        <v>36</v>
      </c>
      <c r="E165" s="19">
        <v>199</v>
      </c>
      <c r="F165" s="19">
        <v>0</v>
      </c>
    </row>
    <row r="166" spans="1:6" x14ac:dyDescent="0.35">
      <c r="A166" s="1" t="s">
        <v>2121</v>
      </c>
      <c r="B166" s="1" t="s">
        <v>859</v>
      </c>
      <c r="C166" s="1" t="s">
        <v>35</v>
      </c>
      <c r="D166" s="1" t="s">
        <v>36</v>
      </c>
      <c r="E166" s="19">
        <v>2911.24</v>
      </c>
      <c r="F166" s="19">
        <v>0</v>
      </c>
    </row>
    <row r="167" spans="1:6" x14ac:dyDescent="0.35">
      <c r="A167" s="1" t="s">
        <v>2122</v>
      </c>
      <c r="B167" s="1" t="s">
        <v>500</v>
      </c>
      <c r="C167" s="1" t="s">
        <v>1325</v>
      </c>
      <c r="D167" s="1" t="s">
        <v>1326</v>
      </c>
      <c r="E167" s="19">
        <v>2921.38</v>
      </c>
      <c r="F167" s="19">
        <v>0</v>
      </c>
    </row>
    <row r="168" spans="1:6" x14ac:dyDescent="0.35">
      <c r="A168" s="1" t="s">
        <v>2123</v>
      </c>
      <c r="B168" s="1" t="s">
        <v>151</v>
      </c>
      <c r="C168" s="1" t="s">
        <v>35</v>
      </c>
      <c r="D168" s="1" t="s">
        <v>36</v>
      </c>
      <c r="E168" s="19">
        <v>142.16999999999999</v>
      </c>
      <c r="F168" s="19">
        <v>0</v>
      </c>
    </row>
    <row r="169" spans="1:6" x14ac:dyDescent="0.35">
      <c r="A169" s="1" t="s">
        <v>2124</v>
      </c>
      <c r="B169" s="1" t="s">
        <v>444</v>
      </c>
      <c r="C169" s="1" t="s">
        <v>67</v>
      </c>
      <c r="D169" s="1" t="s">
        <v>68</v>
      </c>
      <c r="E169" s="19">
        <v>599</v>
      </c>
      <c r="F169" s="19">
        <v>0</v>
      </c>
    </row>
    <row r="170" spans="1:6" x14ac:dyDescent="0.35">
      <c r="A170" s="1" t="s">
        <v>1399</v>
      </c>
      <c r="B170" s="1" t="s">
        <v>1400</v>
      </c>
      <c r="C170" s="1" t="s">
        <v>87</v>
      </c>
      <c r="D170" s="1" t="s">
        <v>88</v>
      </c>
      <c r="E170" s="19">
        <v>195.02</v>
      </c>
      <c r="F170" s="19">
        <v>0</v>
      </c>
    </row>
    <row r="171" spans="1:6" x14ac:dyDescent="0.35">
      <c r="A171" s="1" t="s">
        <v>2125</v>
      </c>
      <c r="B171" s="1" t="s">
        <v>838</v>
      </c>
      <c r="C171" s="1" t="s">
        <v>2037</v>
      </c>
      <c r="D171" s="1" t="s">
        <v>2038</v>
      </c>
      <c r="E171" s="19">
        <v>2981</v>
      </c>
      <c r="F171" s="19">
        <v>0</v>
      </c>
    </row>
    <row r="172" spans="1:6" x14ac:dyDescent="0.35">
      <c r="A172" s="1" t="s">
        <v>1401</v>
      </c>
      <c r="B172" s="1" t="s">
        <v>1402</v>
      </c>
      <c r="C172" s="1" t="s">
        <v>1403</v>
      </c>
      <c r="D172" s="1" t="s">
        <v>1404</v>
      </c>
      <c r="E172" s="19">
        <v>10</v>
      </c>
      <c r="F172" s="19">
        <v>0</v>
      </c>
    </row>
    <row r="173" spans="1:6" x14ac:dyDescent="0.35">
      <c r="A173" s="1" t="s">
        <v>2126</v>
      </c>
      <c r="B173" s="1" t="s">
        <v>230</v>
      </c>
      <c r="C173" s="1" t="s">
        <v>74</v>
      </c>
      <c r="D173" s="1" t="s">
        <v>75</v>
      </c>
      <c r="E173" s="19">
        <v>350.3</v>
      </c>
      <c r="F173" s="19">
        <v>0</v>
      </c>
    </row>
    <row r="174" spans="1:6" x14ac:dyDescent="0.35">
      <c r="A174" s="1" t="s">
        <v>2127</v>
      </c>
      <c r="B174" s="1" t="s">
        <v>163</v>
      </c>
      <c r="C174" s="1" t="s">
        <v>408</v>
      </c>
      <c r="D174" s="1" t="s">
        <v>409</v>
      </c>
      <c r="E174" s="19">
        <v>20</v>
      </c>
      <c r="F174" s="19">
        <v>0</v>
      </c>
    </row>
    <row r="175" spans="1:6" x14ac:dyDescent="0.35">
      <c r="A175" s="1" t="s">
        <v>2127</v>
      </c>
      <c r="B175" s="1" t="s">
        <v>163</v>
      </c>
      <c r="C175" s="1" t="s">
        <v>2150</v>
      </c>
      <c r="D175" s="1" t="s">
        <v>2151</v>
      </c>
      <c r="E175" s="19">
        <v>799</v>
      </c>
      <c r="F175" s="19">
        <v>0</v>
      </c>
    </row>
    <row r="176" spans="1:6" x14ac:dyDescent="0.35">
      <c r="A176" s="1" t="s">
        <v>2128</v>
      </c>
      <c r="B176" s="1" t="s">
        <v>315</v>
      </c>
      <c r="C176" s="1" t="s">
        <v>42</v>
      </c>
      <c r="D176" s="1" t="s">
        <v>43</v>
      </c>
      <c r="E176" s="19">
        <v>1386.75</v>
      </c>
      <c r="F176" s="19">
        <v>0</v>
      </c>
    </row>
    <row r="177" spans="1:6" x14ac:dyDescent="0.35">
      <c r="A177" s="1" t="s">
        <v>2128</v>
      </c>
      <c r="B177" s="1" t="s">
        <v>315</v>
      </c>
      <c r="C177" s="1" t="s">
        <v>1329</v>
      </c>
      <c r="D177" s="1" t="s">
        <v>1330</v>
      </c>
      <c r="E177" s="19">
        <v>100</v>
      </c>
      <c r="F177" s="19">
        <v>0</v>
      </c>
    </row>
    <row r="178" spans="1:6" x14ac:dyDescent="0.35">
      <c r="A178" s="1" t="s">
        <v>2129</v>
      </c>
      <c r="B178" s="1" t="s">
        <v>551</v>
      </c>
      <c r="C178" s="1" t="s">
        <v>87</v>
      </c>
      <c r="D178" s="1" t="s">
        <v>88</v>
      </c>
      <c r="E178" s="19">
        <v>293.02</v>
      </c>
      <c r="F178" s="19">
        <v>0</v>
      </c>
    </row>
    <row r="179" spans="1:6" x14ac:dyDescent="0.35">
      <c r="A179" s="1" t="s">
        <v>2130</v>
      </c>
      <c r="B179" s="1" t="s">
        <v>773</v>
      </c>
      <c r="C179" s="1" t="s">
        <v>48</v>
      </c>
      <c r="D179" s="1" t="s">
        <v>49</v>
      </c>
      <c r="E179" s="19">
        <v>342.1</v>
      </c>
      <c r="F179" s="19">
        <v>0</v>
      </c>
    </row>
    <row r="180" spans="1:6" x14ac:dyDescent="0.35">
      <c r="A180" s="1" t="s">
        <v>2131</v>
      </c>
      <c r="B180" s="1" t="s">
        <v>323</v>
      </c>
      <c r="C180" s="1" t="s">
        <v>97</v>
      </c>
      <c r="D180" s="1" t="s">
        <v>98</v>
      </c>
      <c r="E180" s="19">
        <v>1618.92</v>
      </c>
      <c r="F180" s="19">
        <v>0</v>
      </c>
    </row>
    <row r="181" spans="1:6" x14ac:dyDescent="0.35">
      <c r="A181" s="1" t="s">
        <v>1405</v>
      </c>
      <c r="B181" s="1" t="s">
        <v>1406</v>
      </c>
      <c r="C181" s="1" t="s">
        <v>1329</v>
      </c>
      <c r="D181" s="1" t="s">
        <v>1330</v>
      </c>
      <c r="E181" s="19">
        <v>104</v>
      </c>
      <c r="F181" s="19">
        <v>0</v>
      </c>
    </row>
    <row r="182" spans="1:6" x14ac:dyDescent="0.35">
      <c r="A182" s="1" t="s">
        <v>1407</v>
      </c>
      <c r="B182" s="1" t="s">
        <v>1408</v>
      </c>
      <c r="C182" s="1" t="s">
        <v>1329</v>
      </c>
      <c r="D182" s="1" t="s">
        <v>1330</v>
      </c>
      <c r="E182" s="19">
        <v>104</v>
      </c>
      <c r="F182" s="19">
        <v>0</v>
      </c>
    </row>
    <row r="183" spans="1:6" x14ac:dyDescent="0.35">
      <c r="A183" s="1" t="s">
        <v>1409</v>
      </c>
      <c r="B183" s="1" t="s">
        <v>1410</v>
      </c>
      <c r="C183" s="1" t="s">
        <v>1329</v>
      </c>
      <c r="D183" s="1" t="s">
        <v>1330</v>
      </c>
      <c r="E183" s="19">
        <v>104</v>
      </c>
      <c r="F183" s="19">
        <v>0</v>
      </c>
    </row>
    <row r="184" spans="1:6" x14ac:dyDescent="0.35">
      <c r="A184" s="1" t="s">
        <v>1411</v>
      </c>
      <c r="B184" s="1" t="s">
        <v>1412</v>
      </c>
      <c r="C184" s="1" t="s">
        <v>1329</v>
      </c>
      <c r="D184" s="1" t="s">
        <v>1330</v>
      </c>
      <c r="E184" s="19">
        <v>104</v>
      </c>
      <c r="F184" s="19">
        <v>0</v>
      </c>
    </row>
    <row r="185" spans="1:6" x14ac:dyDescent="0.35">
      <c r="A185" s="1" t="s">
        <v>1413</v>
      </c>
      <c r="B185" s="1" t="s">
        <v>1414</v>
      </c>
      <c r="C185" s="1" t="s">
        <v>1329</v>
      </c>
      <c r="D185" s="1" t="s">
        <v>1330</v>
      </c>
      <c r="E185" s="19">
        <v>104</v>
      </c>
      <c r="F185" s="19">
        <v>0</v>
      </c>
    </row>
    <row r="186" spans="1:6" x14ac:dyDescent="0.35">
      <c r="A186" s="1" t="s">
        <v>2132</v>
      </c>
      <c r="B186" s="1" t="s">
        <v>326</v>
      </c>
      <c r="C186" s="1" t="s">
        <v>97</v>
      </c>
      <c r="D186" s="1" t="s">
        <v>98</v>
      </c>
      <c r="E186" s="19">
        <v>1618.92</v>
      </c>
      <c r="F186" s="19">
        <v>0</v>
      </c>
    </row>
    <row r="187" spans="1:6" x14ac:dyDescent="0.35">
      <c r="A187" s="1" t="s">
        <v>2133</v>
      </c>
      <c r="B187" s="1" t="s">
        <v>848</v>
      </c>
      <c r="C187" s="1" t="s">
        <v>2037</v>
      </c>
      <c r="D187" s="1" t="s">
        <v>2038</v>
      </c>
      <c r="E187" s="19">
        <v>2981</v>
      </c>
      <c r="F187" s="19">
        <v>0</v>
      </c>
    </row>
    <row r="188" spans="1:6" x14ac:dyDescent="0.35">
      <c r="A188" s="1" t="s">
        <v>2133</v>
      </c>
      <c r="B188" s="1" t="s">
        <v>848</v>
      </c>
      <c r="C188" s="1" t="s">
        <v>2163</v>
      </c>
      <c r="D188" s="1" t="s">
        <v>2164</v>
      </c>
      <c r="E188" s="19">
        <v>1998</v>
      </c>
      <c r="F188" s="19">
        <v>0</v>
      </c>
    </row>
    <row r="189" spans="1:6" x14ac:dyDescent="0.35">
      <c r="A189" s="1" t="s">
        <v>2134</v>
      </c>
      <c r="B189" s="1" t="s">
        <v>709</v>
      </c>
      <c r="C189" s="1" t="s">
        <v>42</v>
      </c>
      <c r="D189" s="1" t="s">
        <v>43</v>
      </c>
      <c r="E189" s="19">
        <v>1941.45</v>
      </c>
      <c r="F189" s="19">
        <v>0</v>
      </c>
    </row>
    <row r="190" spans="1:6" x14ac:dyDescent="0.35">
      <c r="A190" s="1" t="s">
        <v>1415</v>
      </c>
      <c r="B190" s="1" t="s">
        <v>1416</v>
      </c>
      <c r="C190" s="1" t="s">
        <v>35</v>
      </c>
      <c r="D190" s="1" t="s">
        <v>36</v>
      </c>
      <c r="E190" s="19">
        <v>211.04</v>
      </c>
      <c r="F190" s="19">
        <v>0</v>
      </c>
    </row>
    <row r="191" spans="1:6" x14ac:dyDescent="0.35">
      <c r="A191" s="1" t="s">
        <v>1072</v>
      </c>
      <c r="B191" s="1" t="s">
        <v>1073</v>
      </c>
      <c r="C191" s="1" t="s">
        <v>1526</v>
      </c>
      <c r="D191" s="1" t="s">
        <v>971</v>
      </c>
      <c r="E191" s="19">
        <v>1053.45</v>
      </c>
      <c r="F191" s="19">
        <v>0</v>
      </c>
    </row>
    <row r="192" spans="1:6" x14ac:dyDescent="0.35">
      <c r="A192" s="1" t="s">
        <v>1417</v>
      </c>
      <c r="B192" s="1" t="s">
        <v>1418</v>
      </c>
      <c r="C192" s="1" t="s">
        <v>1329</v>
      </c>
      <c r="D192" s="1" t="s">
        <v>1330</v>
      </c>
      <c r="E192" s="19">
        <v>65.459999999999994</v>
      </c>
      <c r="F192" s="19">
        <v>0</v>
      </c>
    </row>
    <row r="193" spans="1:6" x14ac:dyDescent="0.35">
      <c r="A193" s="1" t="s">
        <v>2135</v>
      </c>
      <c r="B193" s="1" t="s">
        <v>243</v>
      </c>
      <c r="C193" s="1" t="s">
        <v>74</v>
      </c>
      <c r="D193" s="1" t="s">
        <v>75</v>
      </c>
      <c r="E193" s="19">
        <v>350.3</v>
      </c>
      <c r="F193" s="19">
        <v>0</v>
      </c>
    </row>
    <row r="194" spans="1:6" x14ac:dyDescent="0.35">
      <c r="A194" s="1" t="s">
        <v>2136</v>
      </c>
      <c r="B194" s="1" t="s">
        <v>440</v>
      </c>
      <c r="C194" s="1" t="s">
        <v>67</v>
      </c>
      <c r="D194" s="1" t="s">
        <v>68</v>
      </c>
      <c r="E194" s="19">
        <v>599</v>
      </c>
      <c r="F194" s="19">
        <v>0</v>
      </c>
    </row>
    <row r="195" spans="1:6" x14ac:dyDescent="0.35">
      <c r="A195" s="1" t="s">
        <v>2137</v>
      </c>
      <c r="B195" s="1" t="s">
        <v>2170</v>
      </c>
      <c r="C195" s="1" t="s">
        <v>408</v>
      </c>
      <c r="D195" s="1" t="s">
        <v>409</v>
      </c>
      <c r="E195" s="19">
        <v>20</v>
      </c>
      <c r="F195" s="19">
        <v>0</v>
      </c>
    </row>
    <row r="196" spans="1:6" x14ac:dyDescent="0.35">
      <c r="A196" s="1" t="s">
        <v>1419</v>
      </c>
      <c r="B196" s="1" t="s">
        <v>1420</v>
      </c>
      <c r="C196" s="1" t="s">
        <v>1329</v>
      </c>
      <c r="D196" s="1" t="s">
        <v>1330</v>
      </c>
      <c r="E196" s="19">
        <v>0</v>
      </c>
      <c r="F196" s="19">
        <v>0</v>
      </c>
    </row>
    <row r="197" spans="1:6" x14ac:dyDescent="0.35">
      <c r="A197" s="1" t="s">
        <v>2138</v>
      </c>
      <c r="B197" s="1" t="s">
        <v>616</v>
      </c>
      <c r="C197" s="1" t="s">
        <v>2037</v>
      </c>
      <c r="D197" s="1" t="s">
        <v>2038</v>
      </c>
      <c r="E197" s="19">
        <v>2981</v>
      </c>
      <c r="F197" s="19">
        <v>0</v>
      </c>
    </row>
    <row r="198" spans="1:6" x14ac:dyDescent="0.35">
      <c r="A198" s="1" t="s">
        <v>2138</v>
      </c>
      <c r="B198" s="1" t="s">
        <v>616</v>
      </c>
      <c r="C198" s="1" t="s">
        <v>408</v>
      </c>
      <c r="D198" s="1" t="s">
        <v>409</v>
      </c>
      <c r="E198" s="19">
        <v>20</v>
      </c>
      <c r="F198" s="19">
        <v>0</v>
      </c>
    </row>
    <row r="199" spans="1:6" x14ac:dyDescent="0.35">
      <c r="A199" s="1" t="s">
        <v>2139</v>
      </c>
      <c r="B199" s="1" t="s">
        <v>742</v>
      </c>
      <c r="C199" s="1" t="s">
        <v>48</v>
      </c>
      <c r="D199" s="1" t="s">
        <v>49</v>
      </c>
      <c r="E199" s="19">
        <v>322.92</v>
      </c>
      <c r="F199" s="19">
        <v>0</v>
      </c>
    </row>
    <row r="200" spans="1:6" x14ac:dyDescent="0.35">
      <c r="A200" s="1" t="s">
        <v>2140</v>
      </c>
      <c r="B200" s="1" t="s">
        <v>607</v>
      </c>
      <c r="C200" s="1" t="s">
        <v>97</v>
      </c>
      <c r="D200" s="1" t="s">
        <v>98</v>
      </c>
      <c r="E200" s="19">
        <v>1499</v>
      </c>
      <c r="F200" s="19">
        <v>0</v>
      </c>
    </row>
    <row r="201" spans="1:6" x14ac:dyDescent="0.35">
      <c r="A201" s="1" t="s">
        <v>2141</v>
      </c>
      <c r="B201" s="1" t="s">
        <v>957</v>
      </c>
      <c r="C201" s="1" t="s">
        <v>1329</v>
      </c>
      <c r="D201" s="1" t="s">
        <v>1330</v>
      </c>
      <c r="E201" s="19">
        <v>70.349999999999994</v>
      </c>
      <c r="F201" s="19">
        <v>0</v>
      </c>
    </row>
    <row r="202" spans="1:6" x14ac:dyDescent="0.35">
      <c r="A202" s="1" t="s">
        <v>2141</v>
      </c>
      <c r="B202" s="1" t="s">
        <v>957</v>
      </c>
      <c r="C202" s="1" t="s">
        <v>408</v>
      </c>
      <c r="D202" s="1" t="s">
        <v>409</v>
      </c>
      <c r="E202" s="19">
        <v>14</v>
      </c>
      <c r="F202" s="19">
        <v>0</v>
      </c>
    </row>
    <row r="203" spans="1:6" x14ac:dyDescent="0.35">
      <c r="A203" s="1" t="s">
        <v>1170</v>
      </c>
      <c r="B203" s="1" t="s">
        <v>1171</v>
      </c>
      <c r="C203" s="1" t="s">
        <v>35</v>
      </c>
      <c r="D203" s="1" t="s">
        <v>36</v>
      </c>
      <c r="E203" s="19">
        <v>445.73</v>
      </c>
      <c r="F203" s="19">
        <v>0</v>
      </c>
    </row>
    <row r="204" spans="1:6" x14ac:dyDescent="0.35">
      <c r="A204" s="1" t="s">
        <v>2142</v>
      </c>
      <c r="B204" s="1" t="s">
        <v>897</v>
      </c>
      <c r="C204" s="1" t="s">
        <v>35</v>
      </c>
      <c r="D204" s="1" t="s">
        <v>36</v>
      </c>
      <c r="E204" s="19">
        <v>1274</v>
      </c>
      <c r="F204" s="19">
        <v>0</v>
      </c>
    </row>
    <row r="205" spans="1:6" x14ac:dyDescent="0.35">
      <c r="A205" s="1" t="s">
        <v>2142</v>
      </c>
      <c r="B205" s="1" t="s">
        <v>897</v>
      </c>
      <c r="C205" s="1" t="s">
        <v>408</v>
      </c>
      <c r="D205" s="1" t="s">
        <v>409</v>
      </c>
      <c r="E205" s="19">
        <v>10</v>
      </c>
      <c r="F205" s="19">
        <v>0</v>
      </c>
    </row>
    <row r="206" spans="1:6" x14ac:dyDescent="0.35">
      <c r="A206" s="1" t="s">
        <v>1421</v>
      </c>
      <c r="B206" s="1" t="s">
        <v>1422</v>
      </c>
      <c r="C206" s="1" t="s">
        <v>1329</v>
      </c>
      <c r="D206" s="1" t="s">
        <v>1330</v>
      </c>
      <c r="E206" s="19">
        <v>0</v>
      </c>
      <c r="F206" s="19">
        <v>0</v>
      </c>
    </row>
    <row r="207" spans="1:6" x14ac:dyDescent="0.35">
      <c r="A207" s="1" t="s">
        <v>2143</v>
      </c>
      <c r="B207" s="1" t="s">
        <v>190</v>
      </c>
      <c r="C207" s="1" t="s">
        <v>42</v>
      </c>
      <c r="D207" s="1" t="s">
        <v>43</v>
      </c>
      <c r="E207" s="19">
        <v>1090.9100000000001</v>
      </c>
      <c r="F207" s="19">
        <v>0</v>
      </c>
    </row>
    <row r="208" spans="1:6" x14ac:dyDescent="0.35">
      <c r="A208" s="1" t="s">
        <v>2144</v>
      </c>
      <c r="B208" s="1" t="s">
        <v>890</v>
      </c>
      <c r="C208" s="1" t="s">
        <v>35</v>
      </c>
      <c r="D208" s="1" t="s">
        <v>36</v>
      </c>
      <c r="E208" s="19">
        <v>422.9</v>
      </c>
      <c r="F208" s="19">
        <v>0</v>
      </c>
    </row>
    <row r="209" spans="1:6" x14ac:dyDescent="0.35">
      <c r="A209" s="1" t="s">
        <v>2144</v>
      </c>
      <c r="B209" s="1" t="s">
        <v>890</v>
      </c>
      <c r="C209" s="1" t="s">
        <v>97</v>
      </c>
      <c r="D209" s="1" t="s">
        <v>98</v>
      </c>
      <c r="E209" s="19">
        <v>1499</v>
      </c>
      <c r="F209" s="19">
        <v>0</v>
      </c>
    </row>
    <row r="210" spans="1:6" x14ac:dyDescent="0.35">
      <c r="A210" s="1" t="s">
        <v>2145</v>
      </c>
      <c r="B210" s="1" t="s">
        <v>497</v>
      </c>
      <c r="C210" s="1" t="s">
        <v>1325</v>
      </c>
      <c r="D210" s="1" t="s">
        <v>1326</v>
      </c>
      <c r="E210" s="19">
        <v>1812.02</v>
      </c>
      <c r="F210" s="19">
        <v>0</v>
      </c>
    </row>
    <row r="211" spans="1:6" x14ac:dyDescent="0.35">
      <c r="A211" s="1" t="s">
        <v>2146</v>
      </c>
      <c r="B211" s="1" t="s">
        <v>852</v>
      </c>
      <c r="C211" s="1" t="s">
        <v>35</v>
      </c>
      <c r="D211" s="1" t="s">
        <v>36</v>
      </c>
      <c r="E211" s="19">
        <v>1044.75</v>
      </c>
      <c r="F211" s="19">
        <v>0</v>
      </c>
    </row>
    <row r="212" spans="1:6" x14ac:dyDescent="0.35">
      <c r="A212" s="1" t="s">
        <v>2147</v>
      </c>
      <c r="B212" s="1" t="s">
        <v>593</v>
      </c>
      <c r="C212" s="1" t="s">
        <v>97</v>
      </c>
      <c r="D212" s="1" t="s">
        <v>98</v>
      </c>
      <c r="E212" s="19">
        <v>1499</v>
      </c>
      <c r="F212" s="19">
        <v>0</v>
      </c>
    </row>
    <row r="213" spans="1:6" x14ac:dyDescent="0.35">
      <c r="A213" s="1" t="s">
        <v>2148</v>
      </c>
      <c r="B213" s="1" t="s">
        <v>611</v>
      </c>
      <c r="C213" s="1" t="s">
        <v>97</v>
      </c>
      <c r="D213" s="1" t="s">
        <v>98</v>
      </c>
      <c r="E213" s="19">
        <v>1499</v>
      </c>
      <c r="F213" s="19">
        <v>0</v>
      </c>
    </row>
    <row r="214" spans="1:6" x14ac:dyDescent="0.35">
      <c r="A214" s="1" t="s">
        <v>1423</v>
      </c>
      <c r="B214" s="1" t="s">
        <v>1424</v>
      </c>
      <c r="C214" s="1" t="s">
        <v>1329</v>
      </c>
      <c r="D214" s="1" t="s">
        <v>1330</v>
      </c>
      <c r="E214" s="19">
        <v>65.459999999999994</v>
      </c>
      <c r="F214" s="19">
        <v>0</v>
      </c>
    </row>
    <row r="215" spans="1:6" x14ac:dyDescent="0.35">
      <c r="A215" s="1" t="s">
        <v>2149</v>
      </c>
      <c r="B215" s="1" t="s">
        <v>2185</v>
      </c>
      <c r="C215" s="1" t="s">
        <v>408</v>
      </c>
      <c r="D215" s="1" t="s">
        <v>409</v>
      </c>
      <c r="E215" s="19">
        <v>20</v>
      </c>
      <c r="F215" s="19">
        <v>0</v>
      </c>
    </row>
    <row r="216" spans="1:6" x14ac:dyDescent="0.35">
      <c r="A216" s="1" t="s">
        <v>2152</v>
      </c>
      <c r="B216" s="1" t="s">
        <v>365</v>
      </c>
      <c r="C216" s="1" t="s">
        <v>48</v>
      </c>
      <c r="D216" s="1" t="s">
        <v>49</v>
      </c>
      <c r="E216" s="19">
        <v>337.95</v>
      </c>
      <c r="F216" s="19">
        <v>0</v>
      </c>
    </row>
    <row r="217" spans="1:6" x14ac:dyDescent="0.35">
      <c r="A217" s="1" t="s">
        <v>2153</v>
      </c>
      <c r="B217" s="1" t="s">
        <v>2187</v>
      </c>
      <c r="C217" s="1" t="s">
        <v>48</v>
      </c>
      <c r="D217" s="1" t="s">
        <v>49</v>
      </c>
      <c r="E217" s="19">
        <v>319</v>
      </c>
      <c r="F217" s="19">
        <v>0</v>
      </c>
    </row>
    <row r="218" spans="1:6" x14ac:dyDescent="0.35">
      <c r="A218" s="1" t="s">
        <v>2154</v>
      </c>
      <c r="B218" s="1" t="s">
        <v>149</v>
      </c>
      <c r="C218" s="1" t="s">
        <v>35</v>
      </c>
      <c r="D218" s="1" t="s">
        <v>36</v>
      </c>
      <c r="E218" s="19">
        <v>142.16999999999999</v>
      </c>
      <c r="F218" s="19">
        <v>0</v>
      </c>
    </row>
    <row r="219" spans="1:6" x14ac:dyDescent="0.35">
      <c r="A219" s="1" t="s">
        <v>2155</v>
      </c>
      <c r="B219" s="1" t="s">
        <v>317</v>
      </c>
      <c r="C219" s="1" t="s">
        <v>42</v>
      </c>
      <c r="D219" s="1" t="s">
        <v>43</v>
      </c>
      <c r="E219" s="19">
        <v>1386.75</v>
      </c>
      <c r="F219" s="19">
        <v>0</v>
      </c>
    </row>
    <row r="220" spans="1:6" x14ac:dyDescent="0.35">
      <c r="A220" s="1" t="s">
        <v>2155</v>
      </c>
      <c r="B220" s="1" t="s">
        <v>317</v>
      </c>
      <c r="C220" s="1" t="s">
        <v>1329</v>
      </c>
      <c r="D220" s="1" t="s">
        <v>1330</v>
      </c>
      <c r="E220" s="19">
        <v>100</v>
      </c>
      <c r="F220" s="19">
        <v>0</v>
      </c>
    </row>
    <row r="221" spans="1:6" x14ac:dyDescent="0.35">
      <c r="A221" s="1" t="s">
        <v>2156</v>
      </c>
      <c r="B221" s="1" t="s">
        <v>215</v>
      </c>
      <c r="C221" s="1" t="s">
        <v>48</v>
      </c>
      <c r="D221" s="1" t="s">
        <v>49</v>
      </c>
      <c r="E221" s="19">
        <v>200.93</v>
      </c>
      <c r="F221" s="19">
        <v>0</v>
      </c>
    </row>
    <row r="222" spans="1:6" x14ac:dyDescent="0.35">
      <c r="A222" s="1" t="s">
        <v>2157</v>
      </c>
      <c r="B222" s="1" t="s">
        <v>160</v>
      </c>
      <c r="C222" s="1" t="s">
        <v>48</v>
      </c>
      <c r="D222" s="1" t="s">
        <v>49</v>
      </c>
      <c r="E222" s="19">
        <v>200.93</v>
      </c>
      <c r="F222" s="19">
        <v>0</v>
      </c>
    </row>
    <row r="223" spans="1:6" x14ac:dyDescent="0.35">
      <c r="A223" s="1" t="s">
        <v>2158</v>
      </c>
      <c r="B223" s="1" t="s">
        <v>211</v>
      </c>
      <c r="C223" s="1" t="s">
        <v>48</v>
      </c>
      <c r="D223" s="1" t="s">
        <v>49</v>
      </c>
      <c r="E223" s="19">
        <v>200.93</v>
      </c>
      <c r="F223" s="19">
        <v>0</v>
      </c>
    </row>
    <row r="224" spans="1:6" x14ac:dyDescent="0.35">
      <c r="A224" s="1" t="s">
        <v>1078</v>
      </c>
      <c r="B224" s="1" t="s">
        <v>1079</v>
      </c>
      <c r="C224" s="1" t="s">
        <v>1526</v>
      </c>
      <c r="D224" s="1" t="s">
        <v>971</v>
      </c>
      <c r="E224" s="19">
        <v>1053.45</v>
      </c>
      <c r="F224" s="19">
        <v>0</v>
      </c>
    </row>
    <row r="225" spans="1:6" x14ac:dyDescent="0.35">
      <c r="A225" s="1" t="s">
        <v>1425</v>
      </c>
      <c r="B225" s="1" t="s">
        <v>1426</v>
      </c>
      <c r="C225" s="1" t="s">
        <v>1329</v>
      </c>
      <c r="D225" s="1" t="s">
        <v>1330</v>
      </c>
      <c r="E225" s="19">
        <v>70.349999999999994</v>
      </c>
      <c r="F225" s="19">
        <v>0</v>
      </c>
    </row>
    <row r="226" spans="1:6" x14ac:dyDescent="0.35">
      <c r="A226" s="1" t="s">
        <v>2159</v>
      </c>
      <c r="B226" s="1" t="s">
        <v>810</v>
      </c>
      <c r="C226" s="1" t="s">
        <v>35</v>
      </c>
      <c r="D226" s="1" t="s">
        <v>36</v>
      </c>
      <c r="E226" s="19">
        <v>371.18</v>
      </c>
      <c r="F226" s="19">
        <v>0</v>
      </c>
    </row>
    <row r="227" spans="1:6" x14ac:dyDescent="0.35">
      <c r="A227" s="1" t="s">
        <v>2160</v>
      </c>
      <c r="B227" s="1" t="s">
        <v>801</v>
      </c>
      <c r="C227" s="1" t="s">
        <v>35</v>
      </c>
      <c r="D227" s="1" t="s">
        <v>36</v>
      </c>
      <c r="E227" s="19">
        <v>371.18</v>
      </c>
      <c r="F227" s="19">
        <v>0</v>
      </c>
    </row>
    <row r="228" spans="1:6" x14ac:dyDescent="0.35">
      <c r="A228" s="1" t="s">
        <v>2161</v>
      </c>
      <c r="B228" s="1" t="s">
        <v>799</v>
      </c>
      <c r="C228" s="1" t="s">
        <v>35</v>
      </c>
      <c r="D228" s="1" t="s">
        <v>36</v>
      </c>
      <c r="E228" s="19">
        <v>371.18</v>
      </c>
      <c r="F228" s="19">
        <v>0</v>
      </c>
    </row>
    <row r="229" spans="1:6" x14ac:dyDescent="0.35">
      <c r="A229" s="1" t="s">
        <v>2162</v>
      </c>
      <c r="B229" s="1" t="s">
        <v>704</v>
      </c>
      <c r="C229" s="1" t="s">
        <v>74</v>
      </c>
      <c r="D229" s="1" t="s">
        <v>75</v>
      </c>
      <c r="E229" s="19">
        <v>528.64</v>
      </c>
      <c r="F229" s="19">
        <v>0</v>
      </c>
    </row>
    <row r="230" spans="1:6" x14ac:dyDescent="0.35">
      <c r="A230" s="1" t="s">
        <v>1036</v>
      </c>
      <c r="B230" s="1" t="s">
        <v>1037</v>
      </c>
      <c r="C230" s="1" t="s">
        <v>1526</v>
      </c>
      <c r="D230" s="1" t="s">
        <v>971</v>
      </c>
      <c r="E230" s="19">
        <v>1053.45</v>
      </c>
      <c r="F230" s="19">
        <v>0</v>
      </c>
    </row>
    <row r="231" spans="1:6" x14ac:dyDescent="0.35">
      <c r="A231" s="1" t="s">
        <v>2165</v>
      </c>
      <c r="B231" s="1" t="s">
        <v>808</v>
      </c>
      <c r="C231" s="1" t="s">
        <v>35</v>
      </c>
      <c r="D231" s="1" t="s">
        <v>36</v>
      </c>
      <c r="E231" s="19">
        <v>371.18</v>
      </c>
      <c r="F231" s="19">
        <v>0</v>
      </c>
    </row>
    <row r="232" spans="1:6" x14ac:dyDescent="0.35">
      <c r="A232" s="1" t="s">
        <v>2166</v>
      </c>
      <c r="B232" s="1" t="s">
        <v>923</v>
      </c>
      <c r="C232" s="1" t="s">
        <v>74</v>
      </c>
      <c r="D232" s="1" t="s">
        <v>75</v>
      </c>
      <c r="E232" s="19">
        <v>998</v>
      </c>
      <c r="F232" s="19">
        <v>0</v>
      </c>
    </row>
    <row r="233" spans="1:6" x14ac:dyDescent="0.35">
      <c r="A233" s="1" t="s">
        <v>2167</v>
      </c>
      <c r="B233" s="1" t="s">
        <v>759</v>
      </c>
      <c r="C233" s="1" t="s">
        <v>35</v>
      </c>
      <c r="D233" s="1" t="s">
        <v>36</v>
      </c>
      <c r="E233" s="19">
        <v>572.05999999999995</v>
      </c>
      <c r="F233" s="19">
        <v>0</v>
      </c>
    </row>
    <row r="234" spans="1:6" x14ac:dyDescent="0.35">
      <c r="A234" s="1" t="s">
        <v>1427</v>
      </c>
      <c r="B234" s="1" t="s">
        <v>1428</v>
      </c>
      <c r="C234" s="1" t="s">
        <v>35</v>
      </c>
      <c r="D234" s="1" t="s">
        <v>36</v>
      </c>
      <c r="E234" s="19">
        <v>221.32</v>
      </c>
      <c r="F234" s="19">
        <v>0</v>
      </c>
    </row>
    <row r="235" spans="1:6" x14ac:dyDescent="0.35">
      <c r="A235" s="1" t="s">
        <v>2168</v>
      </c>
      <c r="B235" s="1" t="s">
        <v>929</v>
      </c>
      <c r="C235" s="1" t="s">
        <v>35</v>
      </c>
      <c r="D235" s="1" t="s">
        <v>36</v>
      </c>
      <c r="E235" s="19">
        <v>221.32</v>
      </c>
      <c r="F235" s="19">
        <v>0</v>
      </c>
    </row>
    <row r="236" spans="1:6" x14ac:dyDescent="0.35">
      <c r="A236" s="1" t="s">
        <v>2169</v>
      </c>
      <c r="B236" s="1" t="s">
        <v>473</v>
      </c>
      <c r="C236" s="1" t="s">
        <v>48</v>
      </c>
      <c r="D236" s="1" t="s">
        <v>49</v>
      </c>
      <c r="E236" s="19">
        <v>299</v>
      </c>
      <c r="F236" s="19">
        <v>0</v>
      </c>
    </row>
    <row r="237" spans="1:6" x14ac:dyDescent="0.35">
      <c r="A237" s="1" t="s">
        <v>1429</v>
      </c>
      <c r="B237" s="1" t="s">
        <v>1430</v>
      </c>
      <c r="C237" s="1" t="s">
        <v>1329</v>
      </c>
      <c r="D237" s="1" t="s">
        <v>1330</v>
      </c>
      <c r="E237" s="19">
        <v>0</v>
      </c>
      <c r="F237" s="19">
        <v>0</v>
      </c>
    </row>
    <row r="238" spans="1:6" x14ac:dyDescent="0.35">
      <c r="A238" s="1" t="s">
        <v>1431</v>
      </c>
      <c r="B238" s="1" t="s">
        <v>1432</v>
      </c>
      <c r="C238" s="1" t="s">
        <v>1433</v>
      </c>
      <c r="D238" s="1" t="s">
        <v>1434</v>
      </c>
      <c r="E238" s="19">
        <v>78.489999999999995</v>
      </c>
      <c r="F238" s="19">
        <v>0</v>
      </c>
    </row>
    <row r="239" spans="1:6" x14ac:dyDescent="0.35">
      <c r="A239" s="1" t="s">
        <v>1435</v>
      </c>
      <c r="B239" s="1" t="s">
        <v>1436</v>
      </c>
      <c r="C239" s="1" t="s">
        <v>1433</v>
      </c>
      <c r="D239" s="1" t="s">
        <v>1434</v>
      </c>
      <c r="E239" s="19">
        <v>77.959999999999994</v>
      </c>
      <c r="F239" s="19">
        <v>0</v>
      </c>
    </row>
    <row r="240" spans="1:6" x14ac:dyDescent="0.35">
      <c r="A240" s="1" t="s">
        <v>2171</v>
      </c>
      <c r="B240" s="1" t="s">
        <v>646</v>
      </c>
      <c r="C240" s="1" t="s">
        <v>67</v>
      </c>
      <c r="D240" s="1" t="s">
        <v>68</v>
      </c>
      <c r="E240" s="19">
        <v>599</v>
      </c>
      <c r="F240" s="19">
        <v>0</v>
      </c>
    </row>
    <row r="241" spans="1:6" x14ac:dyDescent="0.35">
      <c r="A241" s="1" t="s">
        <v>1009</v>
      </c>
      <c r="B241" s="1" t="s">
        <v>1010</v>
      </c>
      <c r="C241" s="1" t="s">
        <v>1526</v>
      </c>
      <c r="D241" s="1" t="s">
        <v>971</v>
      </c>
      <c r="E241" s="19">
        <v>1053.45</v>
      </c>
      <c r="F241" s="19">
        <v>0</v>
      </c>
    </row>
    <row r="242" spans="1:6" x14ac:dyDescent="0.35">
      <c r="A242" s="1" t="s">
        <v>2172</v>
      </c>
      <c r="B242" s="1" t="s">
        <v>200</v>
      </c>
      <c r="C242" s="1" t="s">
        <v>48</v>
      </c>
      <c r="D242" s="1" t="s">
        <v>49</v>
      </c>
      <c r="E242" s="19">
        <v>200.93</v>
      </c>
      <c r="F242" s="19">
        <v>0</v>
      </c>
    </row>
    <row r="243" spans="1:6" x14ac:dyDescent="0.35">
      <c r="A243" s="1" t="s">
        <v>2173</v>
      </c>
      <c r="B243" s="1" t="s">
        <v>718</v>
      </c>
      <c r="C243" s="1" t="s">
        <v>35</v>
      </c>
      <c r="D243" s="1" t="s">
        <v>36</v>
      </c>
      <c r="E243" s="19">
        <v>313.95</v>
      </c>
      <c r="F243" s="19">
        <v>0</v>
      </c>
    </row>
    <row r="244" spans="1:6" x14ac:dyDescent="0.35">
      <c r="A244" s="1" t="s">
        <v>2174</v>
      </c>
      <c r="B244" s="1" t="s">
        <v>831</v>
      </c>
      <c r="C244" s="1" t="s">
        <v>35</v>
      </c>
      <c r="D244" s="1" t="s">
        <v>36</v>
      </c>
      <c r="E244" s="19">
        <v>619.46</v>
      </c>
      <c r="F244" s="19">
        <v>0</v>
      </c>
    </row>
    <row r="245" spans="1:6" x14ac:dyDescent="0.35">
      <c r="A245" s="1" t="s">
        <v>1437</v>
      </c>
      <c r="B245" s="1" t="s">
        <v>1438</v>
      </c>
      <c r="C245" s="1" t="s">
        <v>1329</v>
      </c>
      <c r="D245" s="1" t="s">
        <v>1330</v>
      </c>
      <c r="E245" s="19">
        <v>147.46</v>
      </c>
      <c r="F245" s="19">
        <v>0</v>
      </c>
    </row>
    <row r="246" spans="1:6" x14ac:dyDescent="0.35">
      <c r="A246" s="1" t="s">
        <v>2175</v>
      </c>
      <c r="B246" s="1" t="s">
        <v>757</v>
      </c>
      <c r="C246" s="1" t="s">
        <v>35</v>
      </c>
      <c r="D246" s="1" t="s">
        <v>36</v>
      </c>
      <c r="E246" s="19">
        <v>199</v>
      </c>
      <c r="F246" s="19">
        <v>0</v>
      </c>
    </row>
    <row r="247" spans="1:6" x14ac:dyDescent="0.35">
      <c r="A247" s="1" t="s">
        <v>2175</v>
      </c>
      <c r="B247" s="1" t="s">
        <v>757</v>
      </c>
      <c r="C247" s="1" t="s">
        <v>42</v>
      </c>
      <c r="D247" s="1" t="s">
        <v>43</v>
      </c>
      <c r="E247" s="19">
        <v>1849</v>
      </c>
      <c r="F247" s="19">
        <v>0</v>
      </c>
    </row>
    <row r="248" spans="1:6" x14ac:dyDescent="0.35">
      <c r="A248" s="1" t="s">
        <v>2176</v>
      </c>
      <c r="B248" s="1" t="s">
        <v>541</v>
      </c>
      <c r="C248" s="1" t="s">
        <v>74</v>
      </c>
      <c r="D248" s="1" t="s">
        <v>75</v>
      </c>
      <c r="E248" s="19">
        <v>499</v>
      </c>
      <c r="F248" s="19">
        <v>0</v>
      </c>
    </row>
    <row r="249" spans="1:6" x14ac:dyDescent="0.35">
      <c r="A249" s="1" t="s">
        <v>2177</v>
      </c>
      <c r="B249" s="1" t="s">
        <v>436</v>
      </c>
      <c r="C249" s="1" t="s">
        <v>35</v>
      </c>
      <c r="D249" s="1" t="s">
        <v>36</v>
      </c>
      <c r="E249" s="19">
        <v>342.3</v>
      </c>
      <c r="F249" s="19">
        <v>0</v>
      </c>
    </row>
    <row r="250" spans="1:6" x14ac:dyDescent="0.35">
      <c r="A250" s="1" t="s">
        <v>2178</v>
      </c>
      <c r="B250" s="1" t="s">
        <v>885</v>
      </c>
      <c r="C250" s="1" t="s">
        <v>1798</v>
      </c>
      <c r="D250" s="1" t="s">
        <v>1799</v>
      </c>
      <c r="E250" s="19">
        <v>999</v>
      </c>
      <c r="F250" s="19">
        <v>0</v>
      </c>
    </row>
    <row r="251" spans="1:6" x14ac:dyDescent="0.35">
      <c r="A251" s="1" t="s">
        <v>2178</v>
      </c>
      <c r="B251" s="1" t="s">
        <v>885</v>
      </c>
      <c r="C251" s="1" t="s">
        <v>97</v>
      </c>
      <c r="D251" s="1" t="s">
        <v>98</v>
      </c>
      <c r="E251" s="19">
        <v>1499</v>
      </c>
      <c r="F251" s="19">
        <v>0</v>
      </c>
    </row>
    <row r="252" spans="1:6" x14ac:dyDescent="0.35">
      <c r="A252" s="1" t="s">
        <v>2179</v>
      </c>
      <c r="B252" s="1" t="s">
        <v>728</v>
      </c>
      <c r="C252" s="1" t="s">
        <v>1870</v>
      </c>
      <c r="D252" s="1" t="s">
        <v>1871</v>
      </c>
      <c r="E252" s="19">
        <v>1078.92</v>
      </c>
      <c r="F252" s="19">
        <v>0</v>
      </c>
    </row>
    <row r="253" spans="1:6" x14ac:dyDescent="0.35">
      <c r="A253" s="1" t="s">
        <v>1439</v>
      </c>
      <c r="B253" s="1" t="s">
        <v>1440</v>
      </c>
      <c r="C253" s="1" t="s">
        <v>1329</v>
      </c>
      <c r="D253" s="1" t="s">
        <v>1330</v>
      </c>
      <c r="E253" s="19">
        <v>68.25</v>
      </c>
      <c r="F253" s="19">
        <v>0</v>
      </c>
    </row>
    <row r="254" spans="1:6" x14ac:dyDescent="0.35">
      <c r="A254" s="1" t="s">
        <v>2180</v>
      </c>
      <c r="B254" s="1" t="s">
        <v>204</v>
      </c>
      <c r="C254" s="1" t="s">
        <v>48</v>
      </c>
      <c r="D254" s="1" t="s">
        <v>49</v>
      </c>
      <c r="E254" s="19">
        <v>200.93</v>
      </c>
      <c r="F254" s="19">
        <v>0</v>
      </c>
    </row>
    <row r="255" spans="1:6" x14ac:dyDescent="0.35">
      <c r="A255" s="1" t="s">
        <v>2181</v>
      </c>
      <c r="B255" s="1" t="s">
        <v>754</v>
      </c>
      <c r="C255" s="1" t="s">
        <v>35</v>
      </c>
      <c r="D255" s="1" t="s">
        <v>36</v>
      </c>
      <c r="E255" s="19">
        <v>339.09</v>
      </c>
      <c r="F255" s="19">
        <v>0</v>
      </c>
    </row>
    <row r="256" spans="1:6" x14ac:dyDescent="0.35">
      <c r="A256" s="1" t="s">
        <v>2182</v>
      </c>
      <c r="B256" s="1" t="s">
        <v>543</v>
      </c>
      <c r="C256" s="1" t="s">
        <v>74</v>
      </c>
      <c r="D256" s="1" t="s">
        <v>75</v>
      </c>
      <c r="E256" s="19">
        <v>499</v>
      </c>
      <c r="F256" s="19">
        <v>0</v>
      </c>
    </row>
    <row r="257" spans="1:6" x14ac:dyDescent="0.35">
      <c r="A257" s="1" t="s">
        <v>2183</v>
      </c>
      <c r="B257" s="1" t="s">
        <v>263</v>
      </c>
      <c r="C257" s="1" t="s">
        <v>42</v>
      </c>
      <c r="D257" s="1" t="s">
        <v>43</v>
      </c>
      <c r="E257" s="19">
        <v>1386.75</v>
      </c>
      <c r="F257" s="19">
        <v>0</v>
      </c>
    </row>
    <row r="258" spans="1:6" x14ac:dyDescent="0.35">
      <c r="A258" s="1" t="s">
        <v>2184</v>
      </c>
      <c r="B258" s="1" t="s">
        <v>665</v>
      </c>
      <c r="C258" s="1" t="s">
        <v>35</v>
      </c>
      <c r="D258" s="1" t="s">
        <v>36</v>
      </c>
      <c r="E258" s="19">
        <v>261.45</v>
      </c>
      <c r="F258" s="19">
        <v>0</v>
      </c>
    </row>
    <row r="259" spans="1:6" x14ac:dyDescent="0.35">
      <c r="A259" s="1" t="s">
        <v>2184</v>
      </c>
      <c r="B259" s="1" t="s">
        <v>665</v>
      </c>
      <c r="C259" s="1" t="s">
        <v>408</v>
      </c>
      <c r="D259" s="1" t="s">
        <v>409</v>
      </c>
      <c r="E259" s="19">
        <v>20</v>
      </c>
      <c r="F259" s="19">
        <v>0</v>
      </c>
    </row>
    <row r="260" spans="1:6" x14ac:dyDescent="0.35">
      <c r="A260" s="1" t="s">
        <v>2184</v>
      </c>
      <c r="B260" s="1" t="s">
        <v>665</v>
      </c>
      <c r="C260" s="1" t="s">
        <v>67</v>
      </c>
      <c r="D260" s="1" t="s">
        <v>68</v>
      </c>
      <c r="E260" s="19">
        <v>599</v>
      </c>
      <c r="F260" s="19">
        <v>0</v>
      </c>
    </row>
    <row r="261" spans="1:6" x14ac:dyDescent="0.35">
      <c r="A261" s="1" t="s">
        <v>1164</v>
      </c>
      <c r="B261" s="1" t="s">
        <v>1165</v>
      </c>
      <c r="C261" s="1" t="s">
        <v>35</v>
      </c>
      <c r="D261" s="1" t="s">
        <v>36</v>
      </c>
      <c r="E261" s="19">
        <v>445.73</v>
      </c>
      <c r="F261" s="19">
        <v>0</v>
      </c>
    </row>
    <row r="262" spans="1:6" x14ac:dyDescent="0.35">
      <c r="A262" s="1" t="s">
        <v>2186</v>
      </c>
      <c r="B262" s="1" t="s">
        <v>358</v>
      </c>
      <c r="C262" s="1" t="s">
        <v>35</v>
      </c>
      <c r="D262" s="1" t="s">
        <v>36</v>
      </c>
      <c r="E262" s="19">
        <v>246.39</v>
      </c>
      <c r="F262" s="19">
        <v>0</v>
      </c>
    </row>
    <row r="263" spans="1:6" x14ac:dyDescent="0.35">
      <c r="A263" s="1" t="s">
        <v>1042</v>
      </c>
      <c r="B263" s="1" t="s">
        <v>1043</v>
      </c>
      <c r="C263" s="1" t="s">
        <v>1526</v>
      </c>
      <c r="D263" s="1" t="s">
        <v>971</v>
      </c>
      <c r="E263" s="19">
        <v>1053.45</v>
      </c>
      <c r="F263" s="19">
        <v>0</v>
      </c>
    </row>
    <row r="264" spans="1:6" x14ac:dyDescent="0.35">
      <c r="A264" s="1" t="s">
        <v>1024</v>
      </c>
      <c r="B264" s="1" t="s">
        <v>1025</v>
      </c>
      <c r="C264" s="1" t="s">
        <v>1526</v>
      </c>
      <c r="D264" s="1" t="s">
        <v>971</v>
      </c>
      <c r="E264" s="19">
        <v>1053.45</v>
      </c>
      <c r="F264" s="19">
        <v>0</v>
      </c>
    </row>
    <row r="265" spans="1:6" x14ac:dyDescent="0.35">
      <c r="A265" s="1" t="s">
        <v>1099</v>
      </c>
      <c r="B265" s="1" t="s">
        <v>1100</v>
      </c>
      <c r="C265" s="1" t="s">
        <v>1526</v>
      </c>
      <c r="D265" s="1" t="s">
        <v>971</v>
      </c>
      <c r="E265" s="19">
        <v>1053.45</v>
      </c>
      <c r="F265" s="19">
        <v>0</v>
      </c>
    </row>
    <row r="266" spans="1:6" x14ac:dyDescent="0.35">
      <c r="A266" s="1" t="s">
        <v>1027</v>
      </c>
      <c r="B266" s="1" t="s">
        <v>1028</v>
      </c>
      <c r="C266" s="1" t="s">
        <v>1526</v>
      </c>
      <c r="D266" s="1" t="s">
        <v>971</v>
      </c>
      <c r="E266" s="19">
        <v>1053.45</v>
      </c>
      <c r="F266" s="19">
        <v>0</v>
      </c>
    </row>
    <row r="267" spans="1:6" x14ac:dyDescent="0.35">
      <c r="A267" s="1" t="s">
        <v>1018</v>
      </c>
      <c r="B267" s="1" t="s">
        <v>1019</v>
      </c>
      <c r="C267" s="1" t="s">
        <v>1526</v>
      </c>
      <c r="D267" s="1" t="s">
        <v>971</v>
      </c>
      <c r="E267" s="19">
        <v>1053.45</v>
      </c>
      <c r="F267" s="19">
        <v>0</v>
      </c>
    </row>
    <row r="268" spans="1:6" x14ac:dyDescent="0.35">
      <c r="A268" s="1" t="s">
        <v>1015</v>
      </c>
      <c r="B268" s="1" t="s">
        <v>1016</v>
      </c>
      <c r="C268" s="1" t="s">
        <v>1526</v>
      </c>
      <c r="D268" s="1" t="s">
        <v>971</v>
      </c>
      <c r="E268" s="19">
        <v>1053.45</v>
      </c>
      <c r="F268" s="19">
        <v>0</v>
      </c>
    </row>
    <row r="269" spans="1:6" x14ac:dyDescent="0.35">
      <c r="A269" s="1" t="s">
        <v>1081</v>
      </c>
      <c r="B269" s="1" t="s">
        <v>1082</v>
      </c>
      <c r="C269" s="1" t="s">
        <v>1526</v>
      </c>
      <c r="D269" s="1" t="s">
        <v>971</v>
      </c>
      <c r="E269" s="19">
        <v>1053.45</v>
      </c>
      <c r="F269" s="19">
        <v>0</v>
      </c>
    </row>
    <row r="270" spans="1:6" x14ac:dyDescent="0.35">
      <c r="A270" s="1" t="s">
        <v>1441</v>
      </c>
      <c r="B270" s="1" t="s">
        <v>1442</v>
      </c>
      <c r="C270" s="1" t="s">
        <v>1329</v>
      </c>
      <c r="D270" s="1" t="s">
        <v>1330</v>
      </c>
      <c r="E270" s="19">
        <v>124.2</v>
      </c>
      <c r="F270" s="19">
        <v>0</v>
      </c>
    </row>
    <row r="271" spans="1:6" x14ac:dyDescent="0.35">
      <c r="A271" s="1" t="s">
        <v>1006</v>
      </c>
      <c r="B271" s="1" t="s">
        <v>1007</v>
      </c>
      <c r="C271" s="1" t="s">
        <v>1526</v>
      </c>
      <c r="D271" s="1" t="s">
        <v>971</v>
      </c>
      <c r="E271" s="19">
        <v>1053.45</v>
      </c>
      <c r="F271" s="19">
        <v>0</v>
      </c>
    </row>
    <row r="272" spans="1:6" x14ac:dyDescent="0.35">
      <c r="A272" s="1" t="s">
        <v>997</v>
      </c>
      <c r="B272" s="1" t="s">
        <v>998</v>
      </c>
      <c r="C272" s="1" t="s">
        <v>1526</v>
      </c>
      <c r="D272" s="1" t="s">
        <v>971</v>
      </c>
      <c r="E272" s="19">
        <v>1053.45</v>
      </c>
      <c r="F272" s="19">
        <v>0</v>
      </c>
    </row>
    <row r="273" spans="1:6" x14ac:dyDescent="0.35">
      <c r="A273" s="1" t="s">
        <v>994</v>
      </c>
      <c r="B273" s="1" t="s">
        <v>995</v>
      </c>
      <c r="C273" s="1" t="s">
        <v>1526</v>
      </c>
      <c r="D273" s="1" t="s">
        <v>971</v>
      </c>
      <c r="E273" s="19">
        <v>1053.45</v>
      </c>
      <c r="F273" s="19">
        <v>0</v>
      </c>
    </row>
    <row r="274" spans="1:6" x14ac:dyDescent="0.35">
      <c r="A274" s="1" t="s">
        <v>1060</v>
      </c>
      <c r="B274" s="1" t="s">
        <v>1061</v>
      </c>
      <c r="C274" s="1" t="s">
        <v>1526</v>
      </c>
      <c r="D274" s="1" t="s">
        <v>971</v>
      </c>
      <c r="E274" s="19">
        <v>1053.45</v>
      </c>
      <c r="F274" s="19">
        <v>0</v>
      </c>
    </row>
    <row r="275" spans="1:6" x14ac:dyDescent="0.35">
      <c r="A275" s="1" t="s">
        <v>1045</v>
      </c>
      <c r="B275" s="1" t="s">
        <v>1046</v>
      </c>
      <c r="C275" s="1" t="s">
        <v>1526</v>
      </c>
      <c r="D275" s="1" t="s">
        <v>971</v>
      </c>
      <c r="E275" s="19">
        <v>1053.45</v>
      </c>
      <c r="F275" s="19">
        <v>0</v>
      </c>
    </row>
    <row r="276" spans="1:6" x14ac:dyDescent="0.35">
      <c r="A276" s="1" t="s">
        <v>988</v>
      </c>
      <c r="B276" s="1" t="s">
        <v>989</v>
      </c>
      <c r="C276" s="1" t="s">
        <v>1526</v>
      </c>
      <c r="D276" s="1" t="s">
        <v>971</v>
      </c>
      <c r="E276" s="19">
        <v>1053.45</v>
      </c>
      <c r="F276" s="19">
        <v>0</v>
      </c>
    </row>
    <row r="277" spans="1:6" x14ac:dyDescent="0.35">
      <c r="A277" s="1" t="s">
        <v>1003</v>
      </c>
      <c r="B277" s="1" t="s">
        <v>1004</v>
      </c>
      <c r="C277" s="1" t="s">
        <v>1526</v>
      </c>
      <c r="D277" s="1" t="s">
        <v>971</v>
      </c>
      <c r="E277" s="19">
        <v>1053.45</v>
      </c>
      <c r="F277" s="19">
        <v>0</v>
      </c>
    </row>
    <row r="278" spans="1:6" x14ac:dyDescent="0.35">
      <c r="A278" s="1" t="s">
        <v>1069</v>
      </c>
      <c r="B278" s="1" t="s">
        <v>1070</v>
      </c>
      <c r="C278" s="1" t="s">
        <v>1526</v>
      </c>
      <c r="D278" s="1" t="s">
        <v>971</v>
      </c>
      <c r="E278" s="19">
        <v>1053.45</v>
      </c>
      <c r="F278" s="19">
        <v>0</v>
      </c>
    </row>
    <row r="279" spans="1:6" x14ac:dyDescent="0.35">
      <c r="A279" s="1" t="s">
        <v>1039</v>
      </c>
      <c r="B279" s="1" t="s">
        <v>1040</v>
      </c>
      <c r="C279" s="1" t="s">
        <v>1526</v>
      </c>
      <c r="D279" s="1" t="s">
        <v>971</v>
      </c>
      <c r="E279" s="19">
        <v>1053.45</v>
      </c>
      <c r="F279" s="19">
        <v>0</v>
      </c>
    </row>
    <row r="280" spans="1:6" x14ac:dyDescent="0.35">
      <c r="A280" s="1" t="s">
        <v>2188</v>
      </c>
      <c r="B280" s="1" t="s">
        <v>213</v>
      </c>
      <c r="C280" s="1" t="s">
        <v>48</v>
      </c>
      <c r="D280" s="1" t="s">
        <v>49</v>
      </c>
      <c r="E280" s="19">
        <v>200.93</v>
      </c>
      <c r="F280" s="19">
        <v>0</v>
      </c>
    </row>
    <row r="281" spans="1:6" x14ac:dyDescent="0.35">
      <c r="A281" s="1" t="s">
        <v>2189</v>
      </c>
      <c r="B281" s="1" t="s">
        <v>202</v>
      </c>
      <c r="C281" s="1" t="s">
        <v>48</v>
      </c>
      <c r="D281" s="1" t="s">
        <v>49</v>
      </c>
      <c r="E281" s="19">
        <v>200.93</v>
      </c>
      <c r="F281" s="19">
        <v>0</v>
      </c>
    </row>
    <row r="282" spans="1:6" x14ac:dyDescent="0.35">
      <c r="A282" s="1" t="s">
        <v>2190</v>
      </c>
      <c r="B282" s="1" t="s">
        <v>523</v>
      </c>
      <c r="C282" s="1" t="s">
        <v>35</v>
      </c>
      <c r="D282" s="1" t="s">
        <v>36</v>
      </c>
      <c r="E282" s="19">
        <v>499</v>
      </c>
      <c r="F282" s="19">
        <v>0</v>
      </c>
    </row>
    <row r="283" spans="1:6" x14ac:dyDescent="0.35">
      <c r="A283" s="1" t="s">
        <v>1066</v>
      </c>
      <c r="B283" s="1" t="s">
        <v>1067</v>
      </c>
      <c r="C283" s="1" t="s">
        <v>1526</v>
      </c>
      <c r="D283" s="1" t="s">
        <v>971</v>
      </c>
      <c r="E283" s="19">
        <v>1053.45</v>
      </c>
      <c r="F283" s="19">
        <v>0</v>
      </c>
    </row>
    <row r="284" spans="1:6" x14ac:dyDescent="0.35">
      <c r="A284" s="1" t="s">
        <v>2191</v>
      </c>
      <c r="B284" s="1" t="s">
        <v>368</v>
      </c>
      <c r="C284" s="1" t="s">
        <v>48</v>
      </c>
      <c r="D284" s="1" t="s">
        <v>49</v>
      </c>
      <c r="E284" s="19">
        <v>350.38</v>
      </c>
      <c r="F284" s="19">
        <v>0</v>
      </c>
    </row>
    <row r="285" spans="1:6" x14ac:dyDescent="0.35">
      <c r="A285" s="1" t="s">
        <v>2192</v>
      </c>
      <c r="B285" s="1" t="s">
        <v>812</v>
      </c>
      <c r="C285" s="1" t="s">
        <v>35</v>
      </c>
      <c r="D285" s="1" t="s">
        <v>36</v>
      </c>
      <c r="E285" s="19">
        <v>371.36</v>
      </c>
      <c r="F285" s="19">
        <v>0</v>
      </c>
    </row>
    <row r="286" spans="1:6" x14ac:dyDescent="0.35">
      <c r="A286" s="1" t="s">
        <v>2193</v>
      </c>
      <c r="B286" s="1" t="s">
        <v>172</v>
      </c>
      <c r="C286" s="1" t="s">
        <v>1870</v>
      </c>
      <c r="D286" s="1" t="s">
        <v>1871</v>
      </c>
      <c r="E286" s="19">
        <v>999</v>
      </c>
      <c r="F286" s="19">
        <v>0</v>
      </c>
    </row>
    <row r="287" spans="1:6" x14ac:dyDescent="0.35">
      <c r="A287" s="1" t="s">
        <v>1443</v>
      </c>
      <c r="B287" s="1" t="s">
        <v>1444</v>
      </c>
      <c r="C287" s="1" t="s">
        <v>35</v>
      </c>
      <c r="D287" s="1" t="s">
        <v>36</v>
      </c>
      <c r="E287" s="19">
        <v>1177.28</v>
      </c>
      <c r="F287" s="19">
        <v>0</v>
      </c>
    </row>
    <row r="288" spans="1:6" x14ac:dyDescent="0.35">
      <c r="A288" s="1" t="s">
        <v>2194</v>
      </c>
      <c r="B288" s="1" t="s">
        <v>269</v>
      </c>
      <c r="C288" s="1" t="s">
        <v>42</v>
      </c>
      <c r="D288" s="1" t="s">
        <v>43</v>
      </c>
      <c r="E288" s="19">
        <v>1386.75</v>
      </c>
      <c r="F288" s="19">
        <v>0</v>
      </c>
    </row>
    <row r="289" spans="1:6" x14ac:dyDescent="0.35">
      <c r="A289" s="1" t="s">
        <v>2195</v>
      </c>
      <c r="B289" s="1" t="s">
        <v>880</v>
      </c>
      <c r="C289" s="1" t="s">
        <v>35</v>
      </c>
      <c r="D289" s="1" t="s">
        <v>36</v>
      </c>
      <c r="E289" s="19">
        <v>371.18</v>
      </c>
      <c r="F289" s="19">
        <v>0</v>
      </c>
    </row>
    <row r="290" spans="1:6" x14ac:dyDescent="0.35">
      <c r="A290" s="1" t="s">
        <v>2196</v>
      </c>
      <c r="B290" s="1" t="s">
        <v>521</v>
      </c>
      <c r="C290" s="1" t="s">
        <v>35</v>
      </c>
      <c r="D290" s="1" t="s">
        <v>36</v>
      </c>
      <c r="E290" s="19">
        <v>499</v>
      </c>
      <c r="F290" s="19">
        <v>0</v>
      </c>
    </row>
    <row r="291" spans="1:6" x14ac:dyDescent="0.35">
      <c r="A291" s="1" t="s">
        <v>2197</v>
      </c>
      <c r="B291" s="1" t="s">
        <v>945</v>
      </c>
      <c r="C291" s="1" t="s">
        <v>35</v>
      </c>
      <c r="D291" s="1" t="s">
        <v>36</v>
      </c>
      <c r="E291" s="19">
        <v>998</v>
      </c>
      <c r="F291" s="19">
        <v>0</v>
      </c>
    </row>
    <row r="292" spans="1:6" x14ac:dyDescent="0.35">
      <c r="A292" s="1" t="s">
        <v>2198</v>
      </c>
      <c r="B292" s="1" t="s">
        <v>465</v>
      </c>
      <c r="C292" s="1" t="s">
        <v>35</v>
      </c>
      <c r="D292" s="1" t="s">
        <v>36</v>
      </c>
      <c r="E292" s="19">
        <v>499</v>
      </c>
      <c r="F292" s="19">
        <v>0</v>
      </c>
    </row>
    <row r="293" spans="1:6" x14ac:dyDescent="0.35">
      <c r="A293" s="1" t="s">
        <v>2199</v>
      </c>
      <c r="B293" s="1" t="s">
        <v>531</v>
      </c>
      <c r="C293" s="1" t="s">
        <v>35</v>
      </c>
      <c r="D293" s="1" t="s">
        <v>36</v>
      </c>
      <c r="E293" s="19">
        <v>499</v>
      </c>
      <c r="F293" s="19">
        <v>0</v>
      </c>
    </row>
    <row r="294" spans="1:6" x14ac:dyDescent="0.35">
      <c r="A294" s="1" t="s">
        <v>2200</v>
      </c>
      <c r="B294" s="1" t="s">
        <v>527</v>
      </c>
      <c r="C294" s="1" t="s">
        <v>35</v>
      </c>
      <c r="D294" s="1" t="s">
        <v>36</v>
      </c>
      <c r="E294" s="19">
        <v>499</v>
      </c>
      <c r="F294" s="19">
        <v>0</v>
      </c>
    </row>
    <row r="295" spans="1:6" x14ac:dyDescent="0.35">
      <c r="A295" s="1" t="s">
        <v>2201</v>
      </c>
      <c r="B295" s="1" t="s">
        <v>525</v>
      </c>
      <c r="C295" s="1" t="s">
        <v>35</v>
      </c>
      <c r="D295" s="1" t="s">
        <v>36</v>
      </c>
      <c r="E295" s="19">
        <v>499</v>
      </c>
      <c r="F295" s="19">
        <v>0</v>
      </c>
    </row>
    <row r="296" spans="1:6" x14ac:dyDescent="0.35">
      <c r="A296" s="1" t="s">
        <v>2202</v>
      </c>
      <c r="B296" s="1" t="s">
        <v>245</v>
      </c>
      <c r="C296" s="1" t="s">
        <v>35</v>
      </c>
      <c r="D296" s="1" t="s">
        <v>36</v>
      </c>
      <c r="E296" s="19">
        <v>499</v>
      </c>
      <c r="F296" s="19">
        <v>0</v>
      </c>
    </row>
    <row r="297" spans="1:6" x14ac:dyDescent="0.35">
      <c r="A297" s="1" t="s">
        <v>2203</v>
      </c>
      <c r="B297" s="1" t="s">
        <v>529</v>
      </c>
      <c r="C297" s="1" t="s">
        <v>35</v>
      </c>
      <c r="D297" s="1" t="s">
        <v>36</v>
      </c>
      <c r="E297" s="19">
        <v>499</v>
      </c>
      <c r="F297" s="19">
        <v>0</v>
      </c>
    </row>
    <row r="298" spans="1:6" x14ac:dyDescent="0.35">
      <c r="A298" s="1" t="s">
        <v>2204</v>
      </c>
      <c r="B298" s="1" t="s">
        <v>511</v>
      </c>
      <c r="C298" s="1" t="s">
        <v>74</v>
      </c>
      <c r="D298" s="1" t="s">
        <v>75</v>
      </c>
      <c r="E298" s="19">
        <v>499</v>
      </c>
      <c r="F298" s="19">
        <v>0</v>
      </c>
    </row>
    <row r="299" spans="1:6" x14ac:dyDescent="0.35">
      <c r="A299" s="1" t="s">
        <v>2205</v>
      </c>
      <c r="B299" s="1" t="s">
        <v>867</v>
      </c>
      <c r="C299" s="1" t="s">
        <v>2037</v>
      </c>
      <c r="D299" s="1" t="s">
        <v>2038</v>
      </c>
      <c r="E299" s="19">
        <v>3700.63</v>
      </c>
      <c r="F299" s="19">
        <v>0</v>
      </c>
    </row>
    <row r="300" spans="1:6" x14ac:dyDescent="0.35">
      <c r="A300" s="1" t="s">
        <v>2206</v>
      </c>
      <c r="B300" s="1" t="s">
        <v>887</v>
      </c>
      <c r="C300" s="1" t="s">
        <v>97</v>
      </c>
      <c r="D300" s="1" t="s">
        <v>98</v>
      </c>
      <c r="E300" s="19">
        <v>1915.5</v>
      </c>
      <c r="F300" s="19">
        <v>0</v>
      </c>
    </row>
    <row r="301" spans="1:6" x14ac:dyDescent="0.35">
      <c r="A301" s="1" t="s">
        <v>1445</v>
      </c>
      <c r="B301" s="1" t="s">
        <v>1446</v>
      </c>
      <c r="C301" s="1" t="s">
        <v>35</v>
      </c>
      <c r="D301" s="1" t="s">
        <v>36</v>
      </c>
      <c r="E301" s="19">
        <v>241.25</v>
      </c>
      <c r="F301" s="19">
        <v>0</v>
      </c>
    </row>
    <row r="302" spans="1:6" x14ac:dyDescent="0.35">
      <c r="A302" s="1" t="s">
        <v>2207</v>
      </c>
      <c r="B302" s="1" t="s">
        <v>688</v>
      </c>
      <c r="C302" s="1" t="s">
        <v>35</v>
      </c>
      <c r="D302" s="1" t="s">
        <v>36</v>
      </c>
      <c r="E302" s="19">
        <v>1028.97</v>
      </c>
      <c r="F302" s="19">
        <v>0</v>
      </c>
    </row>
    <row r="303" spans="1:6" x14ac:dyDescent="0.35">
      <c r="A303" s="1" t="s">
        <v>2208</v>
      </c>
      <c r="B303" s="1" t="s">
        <v>222</v>
      </c>
      <c r="C303" s="1" t="s">
        <v>35</v>
      </c>
      <c r="D303" s="1" t="s">
        <v>36</v>
      </c>
      <c r="E303" s="19">
        <v>338.2</v>
      </c>
      <c r="F303" s="19">
        <v>0</v>
      </c>
    </row>
    <row r="304" spans="1:6" x14ac:dyDescent="0.35">
      <c r="A304" s="1" t="s">
        <v>2209</v>
      </c>
      <c r="B304" s="1" t="s">
        <v>640</v>
      </c>
      <c r="C304" s="1" t="s">
        <v>48</v>
      </c>
      <c r="D304" s="1" t="s">
        <v>49</v>
      </c>
      <c r="E304" s="19">
        <v>299</v>
      </c>
      <c r="F304" s="19">
        <v>0</v>
      </c>
    </row>
    <row r="305" spans="1:6" x14ac:dyDescent="0.35">
      <c r="A305" s="1" t="s">
        <v>2210</v>
      </c>
      <c r="B305" s="1" t="s">
        <v>467</v>
      </c>
      <c r="C305" s="1" t="s">
        <v>87</v>
      </c>
      <c r="D305" s="1" t="s">
        <v>88</v>
      </c>
      <c r="E305" s="19">
        <v>489.02</v>
      </c>
      <c r="F305" s="19">
        <v>0</v>
      </c>
    </row>
    <row r="306" spans="1:6" x14ac:dyDescent="0.35">
      <c r="A306" s="1" t="s">
        <v>1151</v>
      </c>
      <c r="B306" s="1" t="s">
        <v>1152</v>
      </c>
      <c r="C306" s="1" t="s">
        <v>35</v>
      </c>
      <c r="D306" s="1" t="s">
        <v>36</v>
      </c>
      <c r="E306" s="19">
        <v>445.73</v>
      </c>
      <c r="F306" s="19">
        <v>0</v>
      </c>
    </row>
    <row r="307" spans="1:6" x14ac:dyDescent="0.35">
      <c r="A307" s="1" t="s">
        <v>2211</v>
      </c>
      <c r="B307" s="1" t="s">
        <v>876</v>
      </c>
      <c r="C307" s="1" t="s">
        <v>35</v>
      </c>
      <c r="D307" s="1" t="s">
        <v>36</v>
      </c>
      <c r="E307" s="19">
        <v>371.18</v>
      </c>
      <c r="F307" s="19">
        <v>0</v>
      </c>
    </row>
    <row r="308" spans="1:6" x14ac:dyDescent="0.35">
      <c r="A308" s="1" t="s">
        <v>1057</v>
      </c>
      <c r="B308" s="1" t="s">
        <v>1058</v>
      </c>
      <c r="C308" s="1" t="s">
        <v>1526</v>
      </c>
      <c r="D308" s="1" t="s">
        <v>971</v>
      </c>
      <c r="E308" s="19">
        <v>1053.45</v>
      </c>
      <c r="F308" s="19">
        <v>0</v>
      </c>
    </row>
    <row r="309" spans="1:6" x14ac:dyDescent="0.35">
      <c r="A309" s="1" t="s">
        <v>1447</v>
      </c>
      <c r="B309" s="1" t="s">
        <v>1448</v>
      </c>
      <c r="C309" s="1" t="s">
        <v>1329</v>
      </c>
      <c r="D309" s="1" t="s">
        <v>1330</v>
      </c>
      <c r="E309" s="19">
        <v>124.2</v>
      </c>
      <c r="F309" s="19">
        <v>0</v>
      </c>
    </row>
    <row r="310" spans="1:6" x14ac:dyDescent="0.35">
      <c r="A310" s="1" t="s">
        <v>1148</v>
      </c>
      <c r="B310" s="1" t="s">
        <v>1149</v>
      </c>
      <c r="C310" s="1" t="s">
        <v>35</v>
      </c>
      <c r="D310" s="1" t="s">
        <v>36</v>
      </c>
      <c r="E310" s="19">
        <v>445.73</v>
      </c>
      <c r="F310" s="19">
        <v>0</v>
      </c>
    </row>
    <row r="311" spans="1:6" x14ac:dyDescent="0.35">
      <c r="A311" s="1" t="s">
        <v>1185</v>
      </c>
      <c r="B311" s="1" t="s">
        <v>1186</v>
      </c>
      <c r="C311" s="1" t="s">
        <v>35</v>
      </c>
      <c r="D311" s="1" t="s">
        <v>36</v>
      </c>
      <c r="E311" s="19">
        <v>445.73</v>
      </c>
      <c r="F311" s="19">
        <v>0</v>
      </c>
    </row>
    <row r="312" spans="1:6" x14ac:dyDescent="0.35">
      <c r="A312" s="1" t="s">
        <v>1141</v>
      </c>
      <c r="B312" s="1" t="s">
        <v>1142</v>
      </c>
      <c r="C312" s="1" t="s">
        <v>35</v>
      </c>
      <c r="D312" s="1" t="s">
        <v>36</v>
      </c>
      <c r="E312" s="19">
        <v>445.73</v>
      </c>
      <c r="F312" s="19">
        <v>0</v>
      </c>
    </row>
    <row r="313" spans="1:6" x14ac:dyDescent="0.35">
      <c r="A313" s="1" t="s">
        <v>2212</v>
      </c>
      <c r="B313" s="1" t="s">
        <v>874</v>
      </c>
      <c r="C313" s="1" t="s">
        <v>35</v>
      </c>
      <c r="D313" s="1" t="s">
        <v>36</v>
      </c>
      <c r="E313" s="19">
        <v>370.2</v>
      </c>
      <c r="F313" s="19">
        <v>0</v>
      </c>
    </row>
    <row r="314" spans="1:6" x14ac:dyDescent="0.35">
      <c r="A314" s="1" t="s">
        <v>1449</v>
      </c>
      <c r="B314" s="1" t="s">
        <v>1450</v>
      </c>
      <c r="C314" s="1" t="s">
        <v>35</v>
      </c>
      <c r="D314" s="1" t="s">
        <v>36</v>
      </c>
      <c r="E314" s="19">
        <v>241.25</v>
      </c>
      <c r="F314" s="19">
        <v>0</v>
      </c>
    </row>
    <row r="315" spans="1:6" x14ac:dyDescent="0.35">
      <c r="A315" s="1" t="s">
        <v>2213</v>
      </c>
      <c r="B315" s="1" t="s">
        <v>623</v>
      </c>
      <c r="C315" s="1" t="s">
        <v>2037</v>
      </c>
      <c r="D315" s="1" t="s">
        <v>2038</v>
      </c>
      <c r="E315" s="19">
        <v>2981</v>
      </c>
      <c r="F315" s="19">
        <v>0</v>
      </c>
    </row>
    <row r="316" spans="1:6" x14ac:dyDescent="0.35">
      <c r="A316" s="1" t="s">
        <v>2214</v>
      </c>
      <c r="B316" s="1" t="s">
        <v>519</v>
      </c>
      <c r="C316" s="1" t="s">
        <v>35</v>
      </c>
      <c r="D316" s="1" t="s">
        <v>36</v>
      </c>
      <c r="E316" s="19">
        <v>499</v>
      </c>
      <c r="F316" s="19">
        <v>0</v>
      </c>
    </row>
    <row r="317" spans="1:6" x14ac:dyDescent="0.35">
      <c r="A317" s="1" t="s">
        <v>1033</v>
      </c>
      <c r="B317" s="1" t="s">
        <v>1034</v>
      </c>
      <c r="C317" s="1" t="s">
        <v>1526</v>
      </c>
      <c r="D317" s="1" t="s">
        <v>971</v>
      </c>
      <c r="E317" s="19">
        <v>1053.45</v>
      </c>
      <c r="F317" s="19">
        <v>0</v>
      </c>
    </row>
    <row r="318" spans="1:6" x14ac:dyDescent="0.35">
      <c r="A318" s="1" t="s">
        <v>2215</v>
      </c>
      <c r="B318" s="1" t="s">
        <v>878</v>
      </c>
      <c r="C318" s="1" t="s">
        <v>35</v>
      </c>
      <c r="D318" s="1" t="s">
        <v>36</v>
      </c>
      <c r="E318" s="19">
        <v>371.18</v>
      </c>
      <c r="F318" s="19">
        <v>0</v>
      </c>
    </row>
    <row r="319" spans="1:6" x14ac:dyDescent="0.35">
      <c r="A319" s="1" t="s">
        <v>2216</v>
      </c>
      <c r="B319" s="1" t="s">
        <v>702</v>
      </c>
      <c r="C319" s="1" t="s">
        <v>74</v>
      </c>
      <c r="D319" s="1" t="s">
        <v>75</v>
      </c>
      <c r="E319" s="19">
        <v>528.64</v>
      </c>
      <c r="F319" s="19">
        <v>0</v>
      </c>
    </row>
    <row r="320" spans="1:6" x14ac:dyDescent="0.35">
      <c r="A320" s="1" t="s">
        <v>2217</v>
      </c>
      <c r="B320" s="1" t="s">
        <v>954</v>
      </c>
      <c r="C320" s="1" t="s">
        <v>1325</v>
      </c>
      <c r="D320" s="1" t="s">
        <v>1326</v>
      </c>
      <c r="E320" s="19">
        <v>979.02</v>
      </c>
      <c r="F320" s="19">
        <v>0</v>
      </c>
    </row>
    <row r="321" spans="1:6" x14ac:dyDescent="0.35">
      <c r="A321" s="1" t="s">
        <v>2218</v>
      </c>
      <c r="B321" s="1" t="s">
        <v>721</v>
      </c>
      <c r="C321" s="1" t="s">
        <v>2037</v>
      </c>
      <c r="D321" s="1" t="s">
        <v>2038</v>
      </c>
      <c r="E321" s="19">
        <v>3158.07</v>
      </c>
      <c r="F321" s="19">
        <v>0</v>
      </c>
    </row>
    <row r="322" spans="1:6" x14ac:dyDescent="0.35">
      <c r="A322" s="1" t="s">
        <v>2219</v>
      </c>
      <c r="B322" s="1" t="s">
        <v>434</v>
      </c>
      <c r="C322" s="1" t="s">
        <v>87</v>
      </c>
      <c r="D322" s="1" t="s">
        <v>88</v>
      </c>
      <c r="E322" s="19">
        <v>1469.02</v>
      </c>
      <c r="F322" s="19">
        <v>0</v>
      </c>
    </row>
    <row r="323" spans="1:6" x14ac:dyDescent="0.35">
      <c r="A323" s="1" t="s">
        <v>1179</v>
      </c>
      <c r="B323" s="1" t="s">
        <v>1180</v>
      </c>
      <c r="C323" s="1" t="s">
        <v>35</v>
      </c>
      <c r="D323" s="1" t="s">
        <v>36</v>
      </c>
      <c r="E323" s="19">
        <v>445.73</v>
      </c>
      <c r="F323" s="19">
        <v>0</v>
      </c>
    </row>
    <row r="324" spans="1:6" x14ac:dyDescent="0.35">
      <c r="A324" s="1" t="s">
        <v>1158</v>
      </c>
      <c r="B324" s="1" t="s">
        <v>1159</v>
      </c>
      <c r="C324" s="1" t="s">
        <v>35</v>
      </c>
      <c r="D324" s="1" t="s">
        <v>36</v>
      </c>
      <c r="E324" s="19">
        <v>445.73</v>
      </c>
      <c r="F324" s="19">
        <v>0</v>
      </c>
    </row>
    <row r="325" spans="1:6" x14ac:dyDescent="0.35">
      <c r="A325" s="1" t="s">
        <v>2220</v>
      </c>
      <c r="B325" s="1" t="s">
        <v>569</v>
      </c>
      <c r="C325" s="1" t="s">
        <v>74</v>
      </c>
      <c r="D325" s="1" t="s">
        <v>75</v>
      </c>
      <c r="E325" s="19">
        <v>499</v>
      </c>
      <c r="F325" s="19">
        <v>0</v>
      </c>
    </row>
    <row r="326" spans="1:6" x14ac:dyDescent="0.35">
      <c r="A326" s="1" t="s">
        <v>2220</v>
      </c>
      <c r="B326" s="1" t="s">
        <v>569</v>
      </c>
      <c r="C326" s="1" t="s">
        <v>2076</v>
      </c>
      <c r="D326" s="1" t="s">
        <v>2077</v>
      </c>
      <c r="E326" s="19">
        <v>249</v>
      </c>
      <c r="F326" s="19">
        <v>0</v>
      </c>
    </row>
    <row r="327" spans="1:6" x14ac:dyDescent="0.35">
      <c r="A327" s="1" t="s">
        <v>1182</v>
      </c>
      <c r="B327" s="1" t="s">
        <v>1183</v>
      </c>
      <c r="C327" s="1" t="s">
        <v>35</v>
      </c>
      <c r="D327" s="1" t="s">
        <v>36</v>
      </c>
      <c r="E327" s="19">
        <v>445.73</v>
      </c>
      <c r="F327" s="19">
        <v>0</v>
      </c>
    </row>
    <row r="328" spans="1:6" x14ac:dyDescent="0.35">
      <c r="A328" s="1" t="s">
        <v>2221</v>
      </c>
      <c r="B328" s="1" t="s">
        <v>769</v>
      </c>
      <c r="C328" s="1" t="s">
        <v>48</v>
      </c>
      <c r="D328" s="1" t="s">
        <v>49</v>
      </c>
      <c r="E328" s="19">
        <v>350.37</v>
      </c>
      <c r="F328" s="19">
        <v>0</v>
      </c>
    </row>
    <row r="329" spans="1:6" x14ac:dyDescent="0.35">
      <c r="A329" s="1" t="s">
        <v>1173</v>
      </c>
      <c r="B329" s="1" t="s">
        <v>1174</v>
      </c>
      <c r="C329" s="1" t="s">
        <v>35</v>
      </c>
      <c r="D329" s="1" t="s">
        <v>36</v>
      </c>
      <c r="E329" s="19">
        <v>445.73</v>
      </c>
      <c r="F329" s="19">
        <v>0</v>
      </c>
    </row>
    <row r="330" spans="1:6" x14ac:dyDescent="0.35">
      <c r="A330" s="1" t="s">
        <v>2222</v>
      </c>
      <c r="B330" s="1" t="s">
        <v>585</v>
      </c>
      <c r="C330" s="1" t="s">
        <v>97</v>
      </c>
      <c r="D330" s="1" t="s">
        <v>98</v>
      </c>
      <c r="E330" s="19">
        <v>1499</v>
      </c>
      <c r="F330" s="19">
        <v>0</v>
      </c>
    </row>
    <row r="331" spans="1:6" x14ac:dyDescent="0.35">
      <c r="A331" s="1" t="s">
        <v>2223</v>
      </c>
      <c r="B331" s="1" t="s">
        <v>290</v>
      </c>
      <c r="C331" s="1" t="s">
        <v>42</v>
      </c>
      <c r="D331" s="1" t="s">
        <v>43</v>
      </c>
      <c r="E331" s="19">
        <v>1386.75</v>
      </c>
      <c r="F331" s="19">
        <v>0</v>
      </c>
    </row>
    <row r="332" spans="1:6" x14ac:dyDescent="0.35">
      <c r="A332" s="1" t="s">
        <v>2224</v>
      </c>
      <c r="B332" s="1" t="s">
        <v>785</v>
      </c>
      <c r="C332" s="1" t="s">
        <v>97</v>
      </c>
      <c r="D332" s="1" t="s">
        <v>98</v>
      </c>
      <c r="E332" s="19">
        <v>1756.53</v>
      </c>
      <c r="F332" s="19">
        <v>0</v>
      </c>
    </row>
    <row r="333" spans="1:6" x14ac:dyDescent="0.35">
      <c r="A333" s="1" t="s">
        <v>2225</v>
      </c>
      <c r="B333" s="1" t="s">
        <v>952</v>
      </c>
      <c r="C333" s="1" t="s">
        <v>35</v>
      </c>
      <c r="D333" s="1" t="s">
        <v>36</v>
      </c>
      <c r="E333" s="19">
        <v>619.46</v>
      </c>
      <c r="F333" s="19">
        <v>0</v>
      </c>
    </row>
    <row r="334" spans="1:6" x14ac:dyDescent="0.35">
      <c r="A334" s="1" t="s">
        <v>2226</v>
      </c>
      <c r="B334" s="1" t="s">
        <v>863</v>
      </c>
      <c r="C334" s="1" t="s">
        <v>35</v>
      </c>
      <c r="D334" s="1" t="s">
        <v>36</v>
      </c>
      <c r="E334" s="19">
        <v>2914.82</v>
      </c>
      <c r="F334" s="19">
        <v>0</v>
      </c>
    </row>
    <row r="335" spans="1:6" x14ac:dyDescent="0.35">
      <c r="A335" s="1" t="s">
        <v>1191</v>
      </c>
      <c r="B335" s="1" t="s">
        <v>1192</v>
      </c>
      <c r="C335" s="1" t="s">
        <v>35</v>
      </c>
      <c r="D335" s="1" t="s">
        <v>36</v>
      </c>
      <c r="E335" s="19">
        <v>445.73</v>
      </c>
      <c r="F335" s="19">
        <v>0</v>
      </c>
    </row>
    <row r="336" spans="1:6" x14ac:dyDescent="0.35">
      <c r="A336" s="1" t="s">
        <v>2227</v>
      </c>
      <c r="B336" s="1" t="s">
        <v>312</v>
      </c>
      <c r="C336" s="1" t="s">
        <v>42</v>
      </c>
      <c r="D336" s="1" t="s">
        <v>43</v>
      </c>
      <c r="E336" s="19">
        <v>1386.75</v>
      </c>
      <c r="F336" s="19">
        <v>0</v>
      </c>
    </row>
    <row r="337" spans="1:6" x14ac:dyDescent="0.35">
      <c r="A337" s="1" t="s">
        <v>2227</v>
      </c>
      <c r="B337" s="1" t="s">
        <v>312</v>
      </c>
      <c r="C337" s="1" t="s">
        <v>1329</v>
      </c>
      <c r="D337" s="1" t="s">
        <v>1330</v>
      </c>
      <c r="E337" s="19">
        <v>100</v>
      </c>
      <c r="F337" s="19">
        <v>0</v>
      </c>
    </row>
    <row r="338" spans="1:6" x14ac:dyDescent="0.35">
      <c r="A338" s="1" t="s">
        <v>1451</v>
      </c>
      <c r="B338" s="1" t="s">
        <v>1452</v>
      </c>
      <c r="C338" s="1" t="s">
        <v>35</v>
      </c>
      <c r="D338" s="1" t="s">
        <v>36</v>
      </c>
      <c r="E338" s="19">
        <v>445.73</v>
      </c>
      <c r="F338" s="19">
        <v>0</v>
      </c>
    </row>
    <row r="339" spans="1:6" x14ac:dyDescent="0.35">
      <c r="A339" s="1" t="s">
        <v>1194</v>
      </c>
      <c r="B339" s="1" t="s">
        <v>1195</v>
      </c>
      <c r="C339" s="1" t="s">
        <v>35</v>
      </c>
      <c r="D339" s="1" t="s">
        <v>36</v>
      </c>
      <c r="E339" s="19">
        <v>445.73</v>
      </c>
      <c r="F339" s="19">
        <v>0</v>
      </c>
    </row>
    <row r="340" spans="1:6" x14ac:dyDescent="0.35">
      <c r="A340" s="1" t="s">
        <v>2228</v>
      </c>
      <c r="B340" s="1" t="s">
        <v>587</v>
      </c>
      <c r="C340" s="1" t="s">
        <v>97</v>
      </c>
      <c r="D340" s="1" t="s">
        <v>98</v>
      </c>
      <c r="E340" s="19">
        <v>1499</v>
      </c>
      <c r="F340" s="19">
        <v>0</v>
      </c>
    </row>
    <row r="341" spans="1:6" x14ac:dyDescent="0.35">
      <c r="A341" s="1" t="s">
        <v>2229</v>
      </c>
      <c r="B341" s="1" t="s">
        <v>762</v>
      </c>
      <c r="C341" s="1" t="s">
        <v>48</v>
      </c>
      <c r="D341" s="1" t="s">
        <v>49</v>
      </c>
      <c r="E341" s="19">
        <v>350.37</v>
      </c>
      <c r="F341" s="19">
        <v>0</v>
      </c>
    </row>
    <row r="342" spans="1:6" x14ac:dyDescent="0.35">
      <c r="A342" s="1" t="s">
        <v>2230</v>
      </c>
      <c r="B342" s="1" t="s">
        <v>693</v>
      </c>
      <c r="C342" s="1" t="s">
        <v>74</v>
      </c>
      <c r="D342" s="1" t="s">
        <v>75</v>
      </c>
      <c r="E342" s="19">
        <v>528.64</v>
      </c>
      <c r="F342" s="19">
        <v>0</v>
      </c>
    </row>
    <row r="343" spans="1:6" x14ac:dyDescent="0.35">
      <c r="A343" s="1" t="s">
        <v>2231</v>
      </c>
      <c r="B343" s="1" t="s">
        <v>277</v>
      </c>
      <c r="C343" s="1" t="s">
        <v>42</v>
      </c>
      <c r="D343" s="1" t="s">
        <v>43</v>
      </c>
      <c r="E343" s="19">
        <v>1386.75</v>
      </c>
      <c r="F343" s="19">
        <v>0</v>
      </c>
    </row>
    <row r="344" spans="1:6" x14ac:dyDescent="0.35">
      <c r="A344" s="1" t="s">
        <v>2232</v>
      </c>
      <c r="B344" s="1" t="s">
        <v>920</v>
      </c>
      <c r="C344" s="1" t="s">
        <v>2150</v>
      </c>
      <c r="D344" s="1" t="s">
        <v>2151</v>
      </c>
      <c r="E344" s="19">
        <v>799</v>
      </c>
      <c r="F344" s="19">
        <v>0</v>
      </c>
    </row>
    <row r="345" spans="1:6" x14ac:dyDescent="0.35">
      <c r="A345" s="1" t="s">
        <v>1054</v>
      </c>
      <c r="B345" s="1" t="s">
        <v>1055</v>
      </c>
      <c r="C345" s="1" t="s">
        <v>1526</v>
      </c>
      <c r="D345" s="1" t="s">
        <v>971</v>
      </c>
      <c r="E345" s="19">
        <v>1053.45</v>
      </c>
      <c r="F345" s="19">
        <v>0</v>
      </c>
    </row>
    <row r="346" spans="1:6" x14ac:dyDescent="0.35">
      <c r="A346" s="1" t="s">
        <v>2233</v>
      </c>
      <c r="B346" s="1" t="s">
        <v>169</v>
      </c>
      <c r="C346" s="1" t="s">
        <v>35</v>
      </c>
      <c r="D346" s="1" t="s">
        <v>36</v>
      </c>
      <c r="E346" s="19">
        <v>995</v>
      </c>
      <c r="F346" s="19">
        <v>0</v>
      </c>
    </row>
    <row r="347" spans="1:6" x14ac:dyDescent="0.35">
      <c r="A347" s="1" t="s">
        <v>1310</v>
      </c>
      <c r="B347" s="1" t="s">
        <v>328</v>
      </c>
      <c r="C347" s="1" t="s">
        <v>35</v>
      </c>
      <c r="D347" s="1" t="s">
        <v>36</v>
      </c>
      <c r="E347" s="19">
        <v>0</v>
      </c>
      <c r="F347" s="19">
        <v>0</v>
      </c>
    </row>
    <row r="348" spans="1:6" x14ac:dyDescent="0.35">
      <c r="A348" s="1" t="s">
        <v>2234</v>
      </c>
      <c r="B348" s="1" t="s">
        <v>815</v>
      </c>
      <c r="C348" s="1" t="s">
        <v>35</v>
      </c>
      <c r="D348" s="1" t="s">
        <v>36</v>
      </c>
      <c r="E348" s="19">
        <v>371.36</v>
      </c>
      <c r="F348" s="19">
        <v>0</v>
      </c>
    </row>
    <row r="349" spans="1:6" x14ac:dyDescent="0.35">
      <c r="A349" s="1" t="s">
        <v>2235</v>
      </c>
      <c r="B349" s="1" t="s">
        <v>483</v>
      </c>
      <c r="C349" s="1" t="s">
        <v>35</v>
      </c>
      <c r="D349" s="1" t="s">
        <v>36</v>
      </c>
      <c r="E349" s="19">
        <v>299</v>
      </c>
      <c r="F349" s="19">
        <v>0</v>
      </c>
    </row>
    <row r="350" spans="1:6" x14ac:dyDescent="0.35">
      <c r="A350" s="1" t="s">
        <v>2236</v>
      </c>
      <c r="B350" s="1" t="s">
        <v>537</v>
      </c>
      <c r="C350" s="1" t="s">
        <v>35</v>
      </c>
      <c r="D350" s="1" t="s">
        <v>36</v>
      </c>
      <c r="E350" s="19">
        <v>499</v>
      </c>
      <c r="F350" s="19">
        <v>0</v>
      </c>
    </row>
    <row r="351" spans="1:6" x14ac:dyDescent="0.35">
      <c r="A351" s="1" t="s">
        <v>2237</v>
      </c>
      <c r="B351" s="1" t="s">
        <v>535</v>
      </c>
      <c r="C351" s="1" t="s">
        <v>35</v>
      </c>
      <c r="D351" s="1" t="s">
        <v>36</v>
      </c>
      <c r="E351" s="19">
        <v>499</v>
      </c>
      <c r="F351" s="19">
        <v>0</v>
      </c>
    </row>
    <row r="352" spans="1:6" x14ac:dyDescent="0.35">
      <c r="A352" s="1" t="s">
        <v>1453</v>
      </c>
      <c r="B352" s="1" t="s">
        <v>1454</v>
      </c>
      <c r="C352" s="1" t="s">
        <v>1329</v>
      </c>
      <c r="D352" s="1" t="s">
        <v>1330</v>
      </c>
      <c r="E352" s="19">
        <v>0</v>
      </c>
      <c r="F352" s="19">
        <v>0</v>
      </c>
    </row>
    <row r="353" spans="1:6" x14ac:dyDescent="0.35">
      <c r="A353" s="1" t="s">
        <v>2238</v>
      </c>
      <c r="B353" s="1" t="s">
        <v>533</v>
      </c>
      <c r="C353" s="1" t="s">
        <v>35</v>
      </c>
      <c r="D353" s="1" t="s">
        <v>36</v>
      </c>
      <c r="E353" s="19">
        <v>499</v>
      </c>
      <c r="F353" s="19">
        <v>0</v>
      </c>
    </row>
    <row r="354" spans="1:6" x14ac:dyDescent="0.35">
      <c r="A354" s="1" t="s">
        <v>2239</v>
      </c>
      <c r="B354" s="1" t="s">
        <v>783</v>
      </c>
      <c r="C354" s="1" t="s">
        <v>35</v>
      </c>
      <c r="D354" s="1" t="s">
        <v>36</v>
      </c>
      <c r="E354" s="19">
        <v>995</v>
      </c>
      <c r="F354" s="19">
        <v>0</v>
      </c>
    </row>
    <row r="355" spans="1:6" x14ac:dyDescent="0.35">
      <c r="A355" s="1" t="s">
        <v>2239</v>
      </c>
      <c r="B355" s="1" t="s">
        <v>783</v>
      </c>
      <c r="C355" s="1" t="s">
        <v>408</v>
      </c>
      <c r="D355" s="1" t="s">
        <v>409</v>
      </c>
      <c r="E355" s="19">
        <v>20</v>
      </c>
      <c r="F355" s="19">
        <v>0</v>
      </c>
    </row>
    <row r="356" spans="1:6" x14ac:dyDescent="0.35">
      <c r="A356" s="1" t="s">
        <v>2240</v>
      </c>
      <c r="B356" s="1" t="s">
        <v>462</v>
      </c>
      <c r="C356" s="1" t="s">
        <v>35</v>
      </c>
      <c r="D356" s="1" t="s">
        <v>36</v>
      </c>
      <c r="E356" s="19">
        <v>2800</v>
      </c>
      <c r="F356" s="19">
        <v>0</v>
      </c>
    </row>
    <row r="357" spans="1:6" x14ac:dyDescent="0.35">
      <c r="A357" s="1" t="s">
        <v>2241</v>
      </c>
      <c r="B357" s="1" t="s">
        <v>899</v>
      </c>
      <c r="C357" s="1" t="s">
        <v>1329</v>
      </c>
      <c r="D357" s="1" t="s">
        <v>1330</v>
      </c>
      <c r="E357" s="19">
        <v>100</v>
      </c>
      <c r="F357" s="19">
        <v>0</v>
      </c>
    </row>
    <row r="358" spans="1:6" x14ac:dyDescent="0.35">
      <c r="A358" s="1" t="s">
        <v>2241</v>
      </c>
      <c r="B358" s="1" t="s">
        <v>899</v>
      </c>
      <c r="C358" s="1" t="s">
        <v>67</v>
      </c>
      <c r="D358" s="1" t="s">
        <v>68</v>
      </c>
      <c r="E358" s="19">
        <v>1198</v>
      </c>
      <c r="F358" s="19">
        <v>0</v>
      </c>
    </row>
    <row r="359" spans="1:6" x14ac:dyDescent="0.35">
      <c r="A359" s="1" t="s">
        <v>2242</v>
      </c>
      <c r="B359" s="1" t="s">
        <v>583</v>
      </c>
      <c r="C359" s="1" t="s">
        <v>97</v>
      </c>
      <c r="D359" s="1" t="s">
        <v>98</v>
      </c>
      <c r="E359" s="19">
        <v>1499</v>
      </c>
      <c r="F359" s="19">
        <v>0</v>
      </c>
    </row>
    <row r="360" spans="1:6" x14ac:dyDescent="0.35">
      <c r="A360" s="1" t="s">
        <v>2243</v>
      </c>
      <c r="B360" s="1" t="s">
        <v>575</v>
      </c>
      <c r="C360" s="1" t="s">
        <v>1870</v>
      </c>
      <c r="D360" s="1" t="s">
        <v>1871</v>
      </c>
      <c r="E360" s="19">
        <v>999</v>
      </c>
      <c r="F360" s="19">
        <v>0</v>
      </c>
    </row>
    <row r="361" spans="1:6" x14ac:dyDescent="0.35">
      <c r="A361" s="1" t="s">
        <v>2244</v>
      </c>
      <c r="B361" s="1" t="s">
        <v>428</v>
      </c>
      <c r="C361" s="1" t="s">
        <v>35</v>
      </c>
      <c r="D361" s="1" t="s">
        <v>36</v>
      </c>
      <c r="E361" s="19">
        <v>310.95999999999998</v>
      </c>
      <c r="F361" s="19">
        <v>0</v>
      </c>
    </row>
    <row r="362" spans="1:6" x14ac:dyDescent="0.35">
      <c r="A362" s="1" t="s">
        <v>2245</v>
      </c>
      <c r="B362" s="1" t="s">
        <v>603</v>
      </c>
      <c r="C362" s="1" t="s">
        <v>97</v>
      </c>
      <c r="D362" s="1" t="s">
        <v>98</v>
      </c>
      <c r="E362" s="19">
        <v>1499</v>
      </c>
      <c r="F362" s="19">
        <v>0</v>
      </c>
    </row>
    <row r="363" spans="1:6" x14ac:dyDescent="0.35">
      <c r="A363" s="1" t="s">
        <v>2246</v>
      </c>
      <c r="B363" s="1" t="s">
        <v>672</v>
      </c>
      <c r="C363" s="1" t="s">
        <v>48</v>
      </c>
      <c r="D363" s="1" t="s">
        <v>49</v>
      </c>
      <c r="E363" s="19">
        <v>319</v>
      </c>
      <c r="F363" s="19">
        <v>0</v>
      </c>
    </row>
    <row r="364" spans="1:6" x14ac:dyDescent="0.35">
      <c r="A364" s="1" t="s">
        <v>2247</v>
      </c>
      <c r="B364" s="1" t="s">
        <v>767</v>
      </c>
      <c r="C364" s="1" t="s">
        <v>48</v>
      </c>
      <c r="D364" s="1" t="s">
        <v>49</v>
      </c>
      <c r="E364" s="19">
        <v>350.37</v>
      </c>
      <c r="F364" s="19">
        <v>0</v>
      </c>
    </row>
    <row r="365" spans="1:6" x14ac:dyDescent="0.35">
      <c r="A365" s="1" t="s">
        <v>2247</v>
      </c>
      <c r="B365" s="1" t="s">
        <v>767</v>
      </c>
      <c r="C365" s="1" t="s">
        <v>35</v>
      </c>
      <c r="D365" s="1" t="s">
        <v>36</v>
      </c>
      <c r="E365" s="19">
        <v>0</v>
      </c>
      <c r="F365" s="19">
        <v>0</v>
      </c>
    </row>
    <row r="366" spans="1:6" x14ac:dyDescent="0.35">
      <c r="A366" s="1" t="s">
        <v>2248</v>
      </c>
      <c r="B366" s="1" t="s">
        <v>765</v>
      </c>
      <c r="C366" s="1" t="s">
        <v>48</v>
      </c>
      <c r="D366" s="1" t="s">
        <v>49</v>
      </c>
      <c r="E366" s="19">
        <v>350.37</v>
      </c>
      <c r="F366" s="19">
        <v>0</v>
      </c>
    </row>
    <row r="367" spans="1:6" x14ac:dyDescent="0.35">
      <c r="A367" s="1" t="s">
        <v>2248</v>
      </c>
      <c r="B367" s="1" t="s">
        <v>765</v>
      </c>
      <c r="C367" s="1" t="s">
        <v>35</v>
      </c>
      <c r="D367" s="1" t="s">
        <v>36</v>
      </c>
      <c r="E367" s="19">
        <v>0</v>
      </c>
      <c r="F367" s="19">
        <v>0</v>
      </c>
    </row>
    <row r="368" spans="1:6" x14ac:dyDescent="0.35">
      <c r="A368" s="1" t="s">
        <v>2249</v>
      </c>
      <c r="B368" s="1" t="s">
        <v>477</v>
      </c>
      <c r="C368" s="1" t="s">
        <v>48</v>
      </c>
      <c r="D368" s="1" t="s">
        <v>49</v>
      </c>
      <c r="E368" s="19">
        <v>299</v>
      </c>
      <c r="F368" s="19">
        <v>0</v>
      </c>
    </row>
    <row r="369" spans="1:6" x14ac:dyDescent="0.35">
      <c r="A369" s="1" t="s">
        <v>2249</v>
      </c>
      <c r="B369" s="1" t="s">
        <v>477</v>
      </c>
      <c r="C369" s="1" t="s">
        <v>35</v>
      </c>
      <c r="D369" s="1" t="s">
        <v>36</v>
      </c>
      <c r="E369" s="19">
        <v>0</v>
      </c>
      <c r="F369" s="19">
        <v>0</v>
      </c>
    </row>
    <row r="370" spans="1:6" x14ac:dyDescent="0.35">
      <c r="A370" s="1" t="s">
        <v>2250</v>
      </c>
      <c r="B370" s="1" t="s">
        <v>187</v>
      </c>
      <c r="C370" s="1" t="s">
        <v>74</v>
      </c>
      <c r="D370" s="1" t="s">
        <v>75</v>
      </c>
      <c r="E370" s="19">
        <v>294.41000000000003</v>
      </c>
      <c r="F370" s="19">
        <v>0</v>
      </c>
    </row>
    <row r="371" spans="1:6" x14ac:dyDescent="0.35">
      <c r="A371" s="1" t="s">
        <v>1455</v>
      </c>
      <c r="B371" s="1" t="s">
        <v>1456</v>
      </c>
      <c r="C371" s="1" t="s">
        <v>1329</v>
      </c>
      <c r="D371" s="1" t="s">
        <v>1330</v>
      </c>
      <c r="E371" s="19">
        <v>0</v>
      </c>
      <c r="F371" s="19">
        <v>0</v>
      </c>
    </row>
    <row r="372" spans="1:6" x14ac:dyDescent="0.35">
      <c r="A372" s="1" t="s">
        <v>1457</v>
      </c>
      <c r="B372" s="1" t="s">
        <v>1458</v>
      </c>
      <c r="C372" s="1" t="s">
        <v>1329</v>
      </c>
      <c r="D372" s="1" t="s">
        <v>1330</v>
      </c>
      <c r="E372" s="19">
        <v>0</v>
      </c>
      <c r="F372" s="19">
        <v>0</v>
      </c>
    </row>
    <row r="373" spans="1:6" x14ac:dyDescent="0.35">
      <c r="A373" s="1" t="s">
        <v>1021</v>
      </c>
      <c r="B373" s="1" t="s">
        <v>1022</v>
      </c>
      <c r="C373" s="1" t="s">
        <v>1526</v>
      </c>
      <c r="D373" s="1" t="s">
        <v>971</v>
      </c>
      <c r="E373" s="19">
        <v>1053.45</v>
      </c>
      <c r="F373" s="19">
        <v>0</v>
      </c>
    </row>
    <row r="374" spans="1:6" x14ac:dyDescent="0.35">
      <c r="A374" s="1" t="s">
        <v>2251</v>
      </c>
      <c r="B374" s="1" t="s">
        <v>935</v>
      </c>
      <c r="C374" s="1" t="s">
        <v>35</v>
      </c>
      <c r="D374" s="1" t="s">
        <v>36</v>
      </c>
      <c r="E374" s="19">
        <v>247.16</v>
      </c>
      <c r="F374" s="19">
        <v>0</v>
      </c>
    </row>
    <row r="375" spans="1:6" x14ac:dyDescent="0.35">
      <c r="A375" s="1" t="s">
        <v>2252</v>
      </c>
      <c r="B375" s="1" t="s">
        <v>805</v>
      </c>
      <c r="C375" s="1" t="s">
        <v>48</v>
      </c>
      <c r="D375" s="1" t="s">
        <v>49</v>
      </c>
      <c r="E375" s="19">
        <v>371.18</v>
      </c>
      <c r="F375" s="19">
        <v>0</v>
      </c>
    </row>
    <row r="376" spans="1:6" x14ac:dyDescent="0.35">
      <c r="A376" s="1" t="s">
        <v>2253</v>
      </c>
      <c r="B376" s="1" t="s">
        <v>819</v>
      </c>
      <c r="C376" s="1" t="s">
        <v>35</v>
      </c>
      <c r="D376" s="1" t="s">
        <v>36</v>
      </c>
      <c r="E376" s="19">
        <v>617.83000000000004</v>
      </c>
      <c r="F376" s="19">
        <v>0</v>
      </c>
    </row>
    <row r="377" spans="1:6" x14ac:dyDescent="0.35">
      <c r="A377" s="1" t="s">
        <v>2254</v>
      </c>
      <c r="B377" s="1" t="s">
        <v>870</v>
      </c>
      <c r="C377" s="1" t="s">
        <v>35</v>
      </c>
      <c r="D377" s="1" t="s">
        <v>36</v>
      </c>
      <c r="E377" s="19">
        <v>371.36</v>
      </c>
      <c r="F377" s="19">
        <v>0</v>
      </c>
    </row>
    <row r="378" spans="1:6" x14ac:dyDescent="0.35">
      <c r="A378" s="1" t="s">
        <v>2254</v>
      </c>
      <c r="B378" s="1" t="s">
        <v>870</v>
      </c>
      <c r="C378" s="1" t="s">
        <v>97</v>
      </c>
      <c r="D378" s="1" t="s">
        <v>98</v>
      </c>
      <c r="E378" s="19">
        <v>1499</v>
      </c>
      <c r="F378" s="19">
        <v>0</v>
      </c>
    </row>
    <row r="379" spans="1:6" x14ac:dyDescent="0.35">
      <c r="A379" s="1" t="s">
        <v>1154</v>
      </c>
      <c r="B379" s="1" t="s">
        <v>1155</v>
      </c>
      <c r="C379" s="1" t="s">
        <v>35</v>
      </c>
      <c r="D379" s="1" t="s">
        <v>36</v>
      </c>
      <c r="E379" s="19">
        <v>445.73</v>
      </c>
      <c r="F379" s="19">
        <v>0</v>
      </c>
    </row>
    <row r="380" spans="1:6" x14ac:dyDescent="0.35">
      <c r="A380" s="1" t="s">
        <v>2255</v>
      </c>
      <c r="B380" s="1" t="s">
        <v>691</v>
      </c>
      <c r="C380" s="1" t="s">
        <v>35</v>
      </c>
      <c r="D380" s="1" t="s">
        <v>36</v>
      </c>
      <c r="E380" s="19">
        <v>1028.97</v>
      </c>
      <c r="F380" s="19">
        <v>0</v>
      </c>
    </row>
    <row r="381" spans="1:6" x14ac:dyDescent="0.35">
      <c r="A381" s="1" t="s">
        <v>1188</v>
      </c>
      <c r="B381" s="1" t="s">
        <v>1189</v>
      </c>
      <c r="C381" s="1" t="s">
        <v>35</v>
      </c>
      <c r="D381" s="1" t="s">
        <v>36</v>
      </c>
      <c r="E381" s="19">
        <v>445.73</v>
      </c>
      <c r="F381" s="19">
        <v>0</v>
      </c>
    </row>
    <row r="382" spans="1:6" x14ac:dyDescent="0.35">
      <c r="A382" s="1" t="s">
        <v>1459</v>
      </c>
      <c r="B382" s="1" t="s">
        <v>1460</v>
      </c>
      <c r="C382" s="1" t="s">
        <v>1329</v>
      </c>
      <c r="D382" s="1" t="s">
        <v>1330</v>
      </c>
      <c r="E382" s="19">
        <v>0</v>
      </c>
      <c r="F382" s="19">
        <v>0</v>
      </c>
    </row>
    <row r="383" spans="1:6" x14ac:dyDescent="0.35">
      <c r="A383" s="1" t="s">
        <v>1461</v>
      </c>
      <c r="B383" s="1" t="s">
        <v>1462</v>
      </c>
      <c r="C383" s="1" t="s">
        <v>87</v>
      </c>
      <c r="D383" s="1" t="s">
        <v>88</v>
      </c>
      <c r="E383" s="19">
        <v>1469.02</v>
      </c>
      <c r="F383" s="19">
        <v>0</v>
      </c>
    </row>
    <row r="384" spans="1:6" x14ac:dyDescent="0.35">
      <c r="A384" s="1" t="s">
        <v>1461</v>
      </c>
      <c r="B384" s="1" t="s">
        <v>1462</v>
      </c>
      <c r="C384" s="1" t="s">
        <v>1463</v>
      </c>
      <c r="D384" s="1" t="s">
        <v>1464</v>
      </c>
      <c r="E384" s="19">
        <v>734.49</v>
      </c>
      <c r="F384" s="19">
        <v>0</v>
      </c>
    </row>
    <row r="385" spans="1:6" x14ac:dyDescent="0.35">
      <c r="A385" s="1" t="s">
        <v>2256</v>
      </c>
      <c r="B385" s="1" t="s">
        <v>273</v>
      </c>
      <c r="C385" s="1" t="s">
        <v>42</v>
      </c>
      <c r="D385" s="1" t="s">
        <v>43</v>
      </c>
      <c r="E385" s="19">
        <v>1386.75</v>
      </c>
      <c r="F385" s="19">
        <v>0</v>
      </c>
    </row>
    <row r="386" spans="1:6" x14ac:dyDescent="0.35">
      <c r="A386" s="1" t="s">
        <v>2257</v>
      </c>
      <c r="B386" s="1" t="s">
        <v>796</v>
      </c>
      <c r="C386" s="1" t="s">
        <v>35</v>
      </c>
      <c r="D386" s="1" t="s">
        <v>36</v>
      </c>
      <c r="E386" s="19">
        <v>371.18</v>
      </c>
      <c r="F386" s="19">
        <v>0</v>
      </c>
    </row>
    <row r="387" spans="1:6" x14ac:dyDescent="0.35">
      <c r="A387" s="1" t="s">
        <v>1051</v>
      </c>
      <c r="B387" s="1" t="s">
        <v>1052</v>
      </c>
      <c r="C387" s="1" t="s">
        <v>1526</v>
      </c>
      <c r="D387" s="1" t="s">
        <v>971</v>
      </c>
      <c r="E387" s="19">
        <v>1053.45</v>
      </c>
      <c r="F387" s="19">
        <v>0</v>
      </c>
    </row>
    <row r="388" spans="1:6" x14ac:dyDescent="0.35">
      <c r="A388" s="1" t="s">
        <v>1465</v>
      </c>
      <c r="B388" s="1" t="s">
        <v>1466</v>
      </c>
      <c r="C388" s="1" t="s">
        <v>42</v>
      </c>
      <c r="D388" s="1" t="s">
        <v>43</v>
      </c>
      <c r="E388" s="19">
        <v>1904.47</v>
      </c>
      <c r="F388" s="19">
        <v>0</v>
      </c>
    </row>
    <row r="389" spans="1:6" x14ac:dyDescent="0.35">
      <c r="A389" s="1" t="s">
        <v>2258</v>
      </c>
      <c r="B389" s="1" t="s">
        <v>479</v>
      </c>
      <c r="C389" s="1" t="s">
        <v>48</v>
      </c>
      <c r="D389" s="1" t="s">
        <v>49</v>
      </c>
      <c r="E389" s="19">
        <v>299</v>
      </c>
      <c r="F389" s="19">
        <v>0</v>
      </c>
    </row>
    <row r="390" spans="1:6" x14ac:dyDescent="0.35">
      <c r="A390" s="1" t="s">
        <v>1063</v>
      </c>
      <c r="B390" s="1" t="s">
        <v>1064</v>
      </c>
      <c r="C390" s="1" t="s">
        <v>1526</v>
      </c>
      <c r="D390" s="1" t="s">
        <v>971</v>
      </c>
      <c r="E390" s="19">
        <v>1053.45</v>
      </c>
      <c r="F390" s="19">
        <v>0</v>
      </c>
    </row>
    <row r="391" spans="1:6" x14ac:dyDescent="0.35">
      <c r="A391" s="1" t="s">
        <v>1167</v>
      </c>
      <c r="B391" s="1" t="s">
        <v>1168</v>
      </c>
      <c r="C391" s="1" t="s">
        <v>35</v>
      </c>
      <c r="D391" s="1" t="s">
        <v>36</v>
      </c>
      <c r="E391" s="19">
        <v>445.73</v>
      </c>
      <c r="F391" s="19">
        <v>0</v>
      </c>
    </row>
    <row r="392" spans="1:6" x14ac:dyDescent="0.35">
      <c r="A392" s="1" t="s">
        <v>1144</v>
      </c>
      <c r="B392" s="1" t="s">
        <v>1145</v>
      </c>
      <c r="C392" s="1" t="s">
        <v>35</v>
      </c>
      <c r="D392" s="1" t="s">
        <v>36</v>
      </c>
      <c r="E392" s="19">
        <v>445.73</v>
      </c>
      <c r="F392" s="19">
        <v>0</v>
      </c>
    </row>
    <row r="393" spans="1:6" x14ac:dyDescent="0.35">
      <c r="A393" s="1" t="s">
        <v>1176</v>
      </c>
      <c r="B393" s="1" t="s">
        <v>1177</v>
      </c>
      <c r="C393" s="1" t="s">
        <v>35</v>
      </c>
      <c r="D393" s="1" t="s">
        <v>36</v>
      </c>
      <c r="E393" s="19">
        <v>445.73</v>
      </c>
      <c r="F393" s="19">
        <v>0</v>
      </c>
    </row>
    <row r="394" spans="1:6" x14ac:dyDescent="0.35">
      <c r="A394" s="1" t="s">
        <v>1161</v>
      </c>
      <c r="B394" s="1" t="s">
        <v>1162</v>
      </c>
      <c r="C394" s="1" t="s">
        <v>35</v>
      </c>
      <c r="D394" s="1" t="s">
        <v>36</v>
      </c>
      <c r="E394" s="19">
        <v>445.73</v>
      </c>
      <c r="F394" s="19">
        <v>0</v>
      </c>
    </row>
    <row r="395" spans="1:6" x14ac:dyDescent="0.35">
      <c r="A395" s="1" t="s">
        <v>2259</v>
      </c>
      <c r="B395" s="1" t="s">
        <v>459</v>
      </c>
      <c r="C395" s="1" t="s">
        <v>35</v>
      </c>
      <c r="D395" s="1" t="s">
        <v>36</v>
      </c>
      <c r="E395" s="19">
        <v>299</v>
      </c>
      <c r="F395" s="19">
        <v>0</v>
      </c>
    </row>
    <row r="396" spans="1:6" x14ac:dyDescent="0.35">
      <c r="A396" s="1" t="s">
        <v>2259</v>
      </c>
      <c r="B396" s="1" t="s">
        <v>459</v>
      </c>
      <c r="C396" s="1" t="s">
        <v>42</v>
      </c>
      <c r="D396" s="1" t="s">
        <v>43</v>
      </c>
      <c r="E396" s="19">
        <v>1386.75</v>
      </c>
      <c r="F396" s="19">
        <v>0</v>
      </c>
    </row>
    <row r="397" spans="1:6" x14ac:dyDescent="0.35">
      <c r="A397" s="1" t="s">
        <v>2260</v>
      </c>
      <c r="B397" s="1" t="s">
        <v>747</v>
      </c>
      <c r="C397" s="1" t="s">
        <v>48</v>
      </c>
      <c r="D397" s="1" t="s">
        <v>49</v>
      </c>
      <c r="E397" s="19">
        <v>322.92</v>
      </c>
      <c r="F397" s="19">
        <v>0</v>
      </c>
    </row>
    <row r="398" spans="1:6" x14ac:dyDescent="0.35">
      <c r="A398" s="1" t="s">
        <v>2261</v>
      </c>
      <c r="B398" s="1" t="s">
        <v>566</v>
      </c>
      <c r="C398" s="1" t="s">
        <v>74</v>
      </c>
      <c r="D398" s="1" t="s">
        <v>75</v>
      </c>
      <c r="E398" s="19">
        <v>499</v>
      </c>
      <c r="F398" s="19">
        <v>0</v>
      </c>
    </row>
    <row r="399" spans="1:6" x14ac:dyDescent="0.35">
      <c r="A399" s="1" t="s">
        <v>2261</v>
      </c>
      <c r="B399" s="1" t="s">
        <v>566</v>
      </c>
      <c r="C399" s="1" t="s">
        <v>2076</v>
      </c>
      <c r="D399" s="1" t="s">
        <v>2077</v>
      </c>
      <c r="E399" s="19">
        <v>249</v>
      </c>
      <c r="F399" s="19">
        <v>0</v>
      </c>
    </row>
    <row r="400" spans="1:6" x14ac:dyDescent="0.35">
      <c r="A400" s="1" t="s">
        <v>2262</v>
      </c>
      <c r="B400" s="1" t="s">
        <v>302</v>
      </c>
      <c r="C400" s="1" t="s">
        <v>42</v>
      </c>
      <c r="D400" s="1" t="s">
        <v>43</v>
      </c>
      <c r="E400" s="19">
        <v>1469.12</v>
      </c>
      <c r="F400" s="19">
        <v>0</v>
      </c>
    </row>
    <row r="401" spans="1:6" x14ac:dyDescent="0.35">
      <c r="A401" s="1" t="s">
        <v>2263</v>
      </c>
      <c r="B401" s="1" t="s">
        <v>791</v>
      </c>
      <c r="C401" s="1" t="s">
        <v>48</v>
      </c>
      <c r="D401" s="1" t="s">
        <v>49</v>
      </c>
      <c r="E401" s="19">
        <v>350.37</v>
      </c>
      <c r="F401" s="19">
        <v>0</v>
      </c>
    </row>
    <row r="402" spans="1:6" x14ac:dyDescent="0.35">
      <c r="A402" s="1" t="s">
        <v>1075</v>
      </c>
      <c r="B402" s="1" t="s">
        <v>1076</v>
      </c>
      <c r="C402" s="1" t="s">
        <v>1526</v>
      </c>
      <c r="D402" s="1" t="s">
        <v>971</v>
      </c>
      <c r="E402" s="19">
        <v>1053.45</v>
      </c>
      <c r="F402" s="19">
        <v>0</v>
      </c>
    </row>
    <row r="403" spans="1:6" x14ac:dyDescent="0.35">
      <c r="A403" s="1" t="s">
        <v>1467</v>
      </c>
      <c r="B403" s="1" t="s">
        <v>1468</v>
      </c>
      <c r="C403" s="1" t="s">
        <v>1329</v>
      </c>
      <c r="D403" s="1" t="s">
        <v>1330</v>
      </c>
      <c r="E403" s="19">
        <v>104</v>
      </c>
      <c r="F403" s="19">
        <v>0</v>
      </c>
    </row>
    <row r="404" spans="1:6" x14ac:dyDescent="0.35">
      <c r="A404" s="1" t="s">
        <v>1469</v>
      </c>
      <c r="B404" s="1" t="s">
        <v>1470</v>
      </c>
      <c r="C404" s="1" t="s">
        <v>1329</v>
      </c>
      <c r="D404" s="1" t="s">
        <v>1330</v>
      </c>
      <c r="E404" s="19">
        <v>104</v>
      </c>
      <c r="F404" s="19">
        <v>0</v>
      </c>
    </row>
    <row r="405" spans="1:6" x14ac:dyDescent="0.35">
      <c r="A405" s="1" t="s">
        <v>2264</v>
      </c>
      <c r="B405" s="1" t="s">
        <v>438</v>
      </c>
      <c r="C405" s="1" t="s">
        <v>67</v>
      </c>
      <c r="D405" s="1" t="s">
        <v>68</v>
      </c>
      <c r="E405" s="19">
        <v>599</v>
      </c>
      <c r="F405" s="19">
        <v>0</v>
      </c>
    </row>
    <row r="406" spans="1:6" x14ac:dyDescent="0.35">
      <c r="A406" s="1" t="s">
        <v>2265</v>
      </c>
      <c r="B406" s="1" t="s">
        <v>932</v>
      </c>
      <c r="C406" s="1" t="s">
        <v>74</v>
      </c>
      <c r="D406" s="1" t="s">
        <v>75</v>
      </c>
      <c r="E406" s="19">
        <v>1057.28</v>
      </c>
      <c r="F406" s="19">
        <v>0</v>
      </c>
    </row>
    <row r="407" spans="1:6" x14ac:dyDescent="0.35">
      <c r="A407" s="1" t="s">
        <v>1471</v>
      </c>
      <c r="B407" s="1" t="s">
        <v>1472</v>
      </c>
      <c r="C407" s="1" t="s">
        <v>1329</v>
      </c>
      <c r="D407" s="1" t="s">
        <v>1330</v>
      </c>
      <c r="E407" s="19">
        <v>82.95</v>
      </c>
      <c r="F407" s="19">
        <v>0</v>
      </c>
    </row>
    <row r="408" spans="1:6" x14ac:dyDescent="0.35">
      <c r="A408" s="1" t="s">
        <v>1473</v>
      </c>
      <c r="B408" s="1" t="s">
        <v>1474</v>
      </c>
      <c r="C408" s="1" t="s">
        <v>1329</v>
      </c>
      <c r="D408" s="1" t="s">
        <v>1330</v>
      </c>
      <c r="E408" s="19">
        <v>123.81</v>
      </c>
      <c r="F408" s="19">
        <v>0</v>
      </c>
    </row>
    <row r="409" spans="1:6" x14ac:dyDescent="0.35">
      <c r="A409" s="1" t="s">
        <v>1475</v>
      </c>
      <c r="B409" s="1" t="s">
        <v>1476</v>
      </c>
      <c r="C409" s="1" t="s">
        <v>1329</v>
      </c>
      <c r="D409" s="1" t="s">
        <v>1330</v>
      </c>
      <c r="E409" s="19">
        <v>124.14</v>
      </c>
      <c r="F409" s="19">
        <v>0</v>
      </c>
    </row>
    <row r="410" spans="1:6" x14ac:dyDescent="0.35">
      <c r="A410" s="1" t="s">
        <v>1477</v>
      </c>
      <c r="B410" s="1" t="s">
        <v>1478</v>
      </c>
      <c r="C410" s="1" t="s">
        <v>1329</v>
      </c>
      <c r="D410" s="1" t="s">
        <v>1330</v>
      </c>
      <c r="E410" s="19">
        <v>124.14</v>
      </c>
      <c r="F410" s="19">
        <v>0</v>
      </c>
    </row>
    <row r="411" spans="1:6" x14ac:dyDescent="0.35">
      <c r="A411" s="1" t="s">
        <v>1479</v>
      </c>
      <c r="B411" s="1" t="s">
        <v>1480</v>
      </c>
      <c r="C411" s="1" t="s">
        <v>1329</v>
      </c>
      <c r="D411" s="1" t="s">
        <v>1330</v>
      </c>
      <c r="E411" s="19">
        <v>105.94</v>
      </c>
      <c r="F411" s="19">
        <v>0</v>
      </c>
    </row>
    <row r="412" spans="1:6" x14ac:dyDescent="0.35">
      <c r="A412" s="1" t="s">
        <v>2266</v>
      </c>
      <c r="B412" s="1" t="s">
        <v>275</v>
      </c>
      <c r="C412" s="1" t="s">
        <v>42</v>
      </c>
      <c r="D412" s="1" t="s">
        <v>43</v>
      </c>
      <c r="E412" s="19">
        <v>1386.75</v>
      </c>
      <c r="F412" s="19">
        <v>0</v>
      </c>
    </row>
    <row r="413" spans="1:6" x14ac:dyDescent="0.35">
      <c r="A413" s="1" t="s">
        <v>2267</v>
      </c>
      <c r="B413" s="1" t="s">
        <v>2305</v>
      </c>
      <c r="C413" s="1" t="s">
        <v>74</v>
      </c>
      <c r="D413" s="1" t="s">
        <v>75</v>
      </c>
      <c r="E413" s="19">
        <v>499</v>
      </c>
      <c r="F413" s="19">
        <v>0</v>
      </c>
    </row>
    <row r="414" spans="1:6" x14ac:dyDescent="0.35">
      <c r="A414" s="1" t="s">
        <v>1481</v>
      </c>
      <c r="B414" s="1" t="s">
        <v>1482</v>
      </c>
      <c r="C414" s="1" t="s">
        <v>1433</v>
      </c>
      <c r="D414" s="1" t="s">
        <v>1434</v>
      </c>
      <c r="E414" s="19">
        <v>87.59</v>
      </c>
      <c r="F414" s="19">
        <v>0</v>
      </c>
    </row>
    <row r="415" spans="1:6" x14ac:dyDescent="0.35">
      <c r="A415" s="1" t="s">
        <v>1483</v>
      </c>
      <c r="B415" s="1" t="s">
        <v>1484</v>
      </c>
      <c r="C415" s="1" t="s">
        <v>1433</v>
      </c>
      <c r="D415" s="1" t="s">
        <v>1434</v>
      </c>
      <c r="E415" s="19">
        <v>87.59</v>
      </c>
      <c r="F415" s="19">
        <v>0</v>
      </c>
    </row>
    <row r="416" spans="1:6" x14ac:dyDescent="0.35">
      <c r="A416" s="1" t="s">
        <v>1485</v>
      </c>
      <c r="B416" s="1" t="s">
        <v>1486</v>
      </c>
      <c r="C416" s="1" t="s">
        <v>1329</v>
      </c>
      <c r="D416" s="1" t="s">
        <v>1330</v>
      </c>
      <c r="E416" s="19">
        <v>0</v>
      </c>
      <c r="F416" s="19">
        <v>0</v>
      </c>
    </row>
    <row r="417" spans="1:6" x14ac:dyDescent="0.35">
      <c r="A417" s="1" t="s">
        <v>2268</v>
      </c>
      <c r="B417" s="1" t="s">
        <v>475</v>
      </c>
      <c r="C417" s="1" t="s">
        <v>48</v>
      </c>
      <c r="D417" s="1" t="s">
        <v>49</v>
      </c>
      <c r="E417" s="19">
        <v>299</v>
      </c>
      <c r="F417" s="19">
        <v>0</v>
      </c>
    </row>
    <row r="418" spans="1:6" x14ac:dyDescent="0.35">
      <c r="A418" s="1" t="s">
        <v>2269</v>
      </c>
      <c r="B418" s="1" t="s">
        <v>2308</v>
      </c>
      <c r="C418" s="1" t="s">
        <v>97</v>
      </c>
      <c r="D418" s="1" t="s">
        <v>98</v>
      </c>
      <c r="E418" s="19">
        <v>1499</v>
      </c>
      <c r="F418" s="19">
        <v>0</v>
      </c>
    </row>
    <row r="419" spans="1:6" x14ac:dyDescent="0.35">
      <c r="A419" s="1" t="s">
        <v>2270</v>
      </c>
      <c r="B419" s="1" t="s">
        <v>233</v>
      </c>
      <c r="C419" s="1" t="s">
        <v>48</v>
      </c>
      <c r="D419" s="1" t="s">
        <v>49</v>
      </c>
      <c r="E419" s="19">
        <v>213.49</v>
      </c>
      <c r="F419" s="19">
        <v>0</v>
      </c>
    </row>
    <row r="420" spans="1:6" x14ac:dyDescent="0.35">
      <c r="A420" s="1" t="s">
        <v>1487</v>
      </c>
      <c r="B420" s="1" t="s">
        <v>1488</v>
      </c>
      <c r="C420" s="1" t="s">
        <v>48</v>
      </c>
      <c r="D420" s="1" t="s">
        <v>49</v>
      </c>
      <c r="E420" s="19">
        <v>322.92</v>
      </c>
      <c r="F420" s="19">
        <v>0</v>
      </c>
    </row>
    <row r="421" spans="1:6" x14ac:dyDescent="0.35">
      <c r="A421" s="1" t="s">
        <v>1489</v>
      </c>
      <c r="B421" s="1" t="s">
        <v>1490</v>
      </c>
      <c r="C421" s="1" t="s">
        <v>48</v>
      </c>
      <c r="D421" s="1" t="s">
        <v>49</v>
      </c>
      <c r="E421" s="19">
        <v>319.95</v>
      </c>
      <c r="F421" s="19">
        <v>0</v>
      </c>
    </row>
    <row r="422" spans="1:6" x14ac:dyDescent="0.35">
      <c r="A422" s="1" t="s">
        <v>984</v>
      </c>
      <c r="B422" s="1" t="s">
        <v>985</v>
      </c>
      <c r="C422" s="1" t="s">
        <v>1526</v>
      </c>
      <c r="D422" s="1" t="s">
        <v>971</v>
      </c>
      <c r="E422" s="19">
        <v>1053.45</v>
      </c>
      <c r="F422" s="19">
        <v>0</v>
      </c>
    </row>
    <row r="423" spans="1:6" x14ac:dyDescent="0.35">
      <c r="A423" s="1" t="s">
        <v>2271</v>
      </c>
      <c r="B423" s="1" t="s">
        <v>450</v>
      </c>
      <c r="C423" s="1" t="s">
        <v>408</v>
      </c>
      <c r="D423" s="1" t="s">
        <v>409</v>
      </c>
      <c r="E423" s="19">
        <v>20</v>
      </c>
      <c r="F423" s="19">
        <v>0</v>
      </c>
    </row>
    <row r="424" spans="1:6" x14ac:dyDescent="0.35">
      <c r="A424" s="1" t="s">
        <v>2271</v>
      </c>
      <c r="B424" s="1" t="s">
        <v>450</v>
      </c>
      <c r="C424" s="1" t="s">
        <v>97</v>
      </c>
      <c r="D424" s="1" t="s">
        <v>98</v>
      </c>
      <c r="E424" s="19">
        <v>1499</v>
      </c>
      <c r="F424" s="19">
        <v>0</v>
      </c>
    </row>
    <row r="425" spans="1:6" x14ac:dyDescent="0.35">
      <c r="A425" s="1" t="s">
        <v>1012</v>
      </c>
      <c r="B425" s="1" t="s">
        <v>1013</v>
      </c>
      <c r="C425" s="1" t="s">
        <v>1526</v>
      </c>
      <c r="D425" s="1" t="s">
        <v>971</v>
      </c>
      <c r="E425" s="19">
        <v>1053.45</v>
      </c>
      <c r="F425" s="19">
        <v>0</v>
      </c>
    </row>
    <row r="426" spans="1:6" x14ac:dyDescent="0.35">
      <c r="A426" s="1" t="s">
        <v>2272</v>
      </c>
      <c r="B426" s="1" t="s">
        <v>696</v>
      </c>
      <c r="C426" s="1" t="s">
        <v>74</v>
      </c>
      <c r="D426" s="1" t="s">
        <v>75</v>
      </c>
      <c r="E426" s="19">
        <v>528.64</v>
      </c>
      <c r="F426" s="19">
        <v>0</v>
      </c>
    </row>
    <row r="427" spans="1:6" x14ac:dyDescent="0.35">
      <c r="A427" s="1" t="s">
        <v>2273</v>
      </c>
      <c r="B427" s="1" t="s">
        <v>698</v>
      </c>
      <c r="C427" s="1" t="s">
        <v>74</v>
      </c>
      <c r="D427" s="1" t="s">
        <v>75</v>
      </c>
      <c r="E427" s="19">
        <v>528.64</v>
      </c>
      <c r="F427" s="19">
        <v>0</v>
      </c>
    </row>
    <row r="428" spans="1:6" x14ac:dyDescent="0.35">
      <c r="A428" s="1" t="s">
        <v>2274</v>
      </c>
      <c r="B428" s="1" t="s">
        <v>509</v>
      </c>
      <c r="C428" s="1" t="s">
        <v>74</v>
      </c>
      <c r="D428" s="1" t="s">
        <v>75</v>
      </c>
      <c r="E428" s="19">
        <v>499</v>
      </c>
      <c r="F428" s="19">
        <v>0</v>
      </c>
    </row>
    <row r="429" spans="1:6" x14ac:dyDescent="0.35">
      <c r="A429" s="1" t="s">
        <v>2275</v>
      </c>
      <c r="B429" s="1" t="s">
        <v>517</v>
      </c>
      <c r="C429" s="1" t="s">
        <v>74</v>
      </c>
      <c r="D429" s="1" t="s">
        <v>75</v>
      </c>
      <c r="E429" s="19">
        <v>499</v>
      </c>
      <c r="F429" s="19">
        <v>0</v>
      </c>
    </row>
    <row r="430" spans="1:6" x14ac:dyDescent="0.35">
      <c r="A430" s="1" t="s">
        <v>2276</v>
      </c>
      <c r="B430" s="1" t="s">
        <v>515</v>
      </c>
      <c r="C430" s="1" t="s">
        <v>74</v>
      </c>
      <c r="D430" s="1" t="s">
        <v>75</v>
      </c>
      <c r="E430" s="19">
        <v>499</v>
      </c>
      <c r="F430" s="19">
        <v>0</v>
      </c>
    </row>
    <row r="431" spans="1:6" x14ac:dyDescent="0.35">
      <c r="A431" s="1" t="s">
        <v>2277</v>
      </c>
      <c r="B431" s="1" t="s">
        <v>513</v>
      </c>
      <c r="C431" s="1" t="s">
        <v>74</v>
      </c>
      <c r="D431" s="1" t="s">
        <v>75</v>
      </c>
      <c r="E431" s="19">
        <v>499</v>
      </c>
      <c r="F431" s="19">
        <v>0</v>
      </c>
    </row>
    <row r="432" spans="1:6" x14ac:dyDescent="0.35">
      <c r="A432" s="1" t="s">
        <v>2278</v>
      </c>
      <c r="B432" s="1" t="s">
        <v>505</v>
      </c>
      <c r="C432" s="1" t="s">
        <v>74</v>
      </c>
      <c r="D432" s="1" t="s">
        <v>75</v>
      </c>
      <c r="E432" s="19">
        <v>499</v>
      </c>
      <c r="F432" s="19">
        <v>0</v>
      </c>
    </row>
    <row r="433" spans="1:6" x14ac:dyDescent="0.35">
      <c r="A433" s="1" t="s">
        <v>1491</v>
      </c>
      <c r="B433" s="1" t="s">
        <v>1492</v>
      </c>
      <c r="C433" s="1" t="s">
        <v>74</v>
      </c>
      <c r="D433" s="1" t="s">
        <v>75</v>
      </c>
      <c r="E433" s="19">
        <v>499</v>
      </c>
      <c r="F433" s="19">
        <v>0</v>
      </c>
    </row>
    <row r="434" spans="1:6" x14ac:dyDescent="0.35">
      <c r="A434" s="1" t="s">
        <v>2279</v>
      </c>
      <c r="B434" s="1" t="s">
        <v>430</v>
      </c>
      <c r="C434" s="1" t="s">
        <v>1870</v>
      </c>
      <c r="D434" s="1" t="s">
        <v>1871</v>
      </c>
      <c r="E434" s="19">
        <v>999</v>
      </c>
      <c r="F434" s="19">
        <v>0</v>
      </c>
    </row>
    <row r="435" spans="1:6" x14ac:dyDescent="0.35">
      <c r="A435" s="1" t="s">
        <v>2279</v>
      </c>
      <c r="B435" s="1" t="s">
        <v>430</v>
      </c>
      <c r="C435" s="1" t="s">
        <v>408</v>
      </c>
      <c r="D435" s="1" t="s">
        <v>409</v>
      </c>
      <c r="E435" s="19">
        <v>20</v>
      </c>
      <c r="F435" s="19">
        <v>0</v>
      </c>
    </row>
    <row r="436" spans="1:6" x14ac:dyDescent="0.35">
      <c r="A436" s="1" t="s">
        <v>2280</v>
      </c>
      <c r="B436" s="1" t="s">
        <v>700</v>
      </c>
      <c r="C436" s="1" t="s">
        <v>74</v>
      </c>
      <c r="D436" s="1" t="s">
        <v>75</v>
      </c>
      <c r="E436" s="19">
        <v>528.64</v>
      </c>
      <c r="F436" s="19">
        <v>0</v>
      </c>
    </row>
    <row r="437" spans="1:6" x14ac:dyDescent="0.35">
      <c r="A437" s="1" t="s">
        <v>2281</v>
      </c>
      <c r="B437" s="1" t="s">
        <v>749</v>
      </c>
      <c r="C437" s="1" t="s">
        <v>2037</v>
      </c>
      <c r="D437" s="1" t="s">
        <v>2038</v>
      </c>
      <c r="E437" s="19">
        <v>3250.78</v>
      </c>
      <c r="F437" s="19">
        <v>0</v>
      </c>
    </row>
    <row r="438" spans="1:6" x14ac:dyDescent="0.35">
      <c r="A438" s="1" t="s">
        <v>2282</v>
      </c>
      <c r="B438" s="1" t="s">
        <v>844</v>
      </c>
      <c r="C438" s="1" t="s">
        <v>2323</v>
      </c>
      <c r="D438" s="1" t="s">
        <v>114</v>
      </c>
      <c r="E438" s="19">
        <v>699</v>
      </c>
      <c r="F438" s="19">
        <v>0</v>
      </c>
    </row>
    <row r="439" spans="1:6" x14ac:dyDescent="0.35">
      <c r="A439" s="1" t="s">
        <v>1493</v>
      </c>
      <c r="B439" s="1" t="s">
        <v>1494</v>
      </c>
      <c r="C439" s="1" t="s">
        <v>1495</v>
      </c>
      <c r="D439" s="1" t="s">
        <v>1496</v>
      </c>
      <c r="E439" s="19">
        <v>366.45</v>
      </c>
      <c r="F439" s="19">
        <v>0</v>
      </c>
    </row>
    <row r="440" spans="1:6" x14ac:dyDescent="0.35">
      <c r="A440" s="1" t="s">
        <v>2283</v>
      </c>
      <c r="B440" s="1" t="s">
        <v>452</v>
      </c>
      <c r="C440" s="1" t="s">
        <v>408</v>
      </c>
      <c r="D440" s="1" t="s">
        <v>409</v>
      </c>
      <c r="E440" s="19">
        <v>20</v>
      </c>
      <c r="F440" s="19">
        <v>0</v>
      </c>
    </row>
    <row r="441" spans="1:6" x14ac:dyDescent="0.35">
      <c r="A441" s="1" t="s">
        <v>2283</v>
      </c>
      <c r="B441" s="1" t="s">
        <v>452</v>
      </c>
      <c r="C441" s="1" t="s">
        <v>97</v>
      </c>
      <c r="D441" s="1" t="s">
        <v>98</v>
      </c>
      <c r="E441" s="19">
        <v>1499</v>
      </c>
      <c r="F441" s="19">
        <v>0</v>
      </c>
    </row>
    <row r="442" spans="1:6" x14ac:dyDescent="0.35">
      <c r="A442" s="1" t="s">
        <v>1497</v>
      </c>
      <c r="B442" s="1" t="s">
        <v>1498</v>
      </c>
      <c r="C442" s="1" t="s">
        <v>1329</v>
      </c>
      <c r="D442" s="1" t="s">
        <v>1330</v>
      </c>
      <c r="E442" s="19">
        <v>105.66</v>
      </c>
      <c r="F442" s="19">
        <v>0</v>
      </c>
    </row>
    <row r="443" spans="1:6" x14ac:dyDescent="0.35">
      <c r="A443" s="1" t="s">
        <v>2284</v>
      </c>
      <c r="B443" s="1" t="s">
        <v>492</v>
      </c>
      <c r="C443" s="1" t="s">
        <v>48</v>
      </c>
      <c r="D443" s="1" t="s">
        <v>49</v>
      </c>
      <c r="E443" s="19">
        <v>299</v>
      </c>
      <c r="F443" s="19">
        <v>0</v>
      </c>
    </row>
    <row r="444" spans="1:6" x14ac:dyDescent="0.35">
      <c r="A444" s="1" t="s">
        <v>2285</v>
      </c>
      <c r="B444" s="1" t="s">
        <v>485</v>
      </c>
      <c r="C444" s="1" t="s">
        <v>48</v>
      </c>
      <c r="D444" s="1" t="s">
        <v>49</v>
      </c>
      <c r="E444" s="19">
        <v>299</v>
      </c>
      <c r="F444" s="19">
        <v>0</v>
      </c>
    </row>
    <row r="445" spans="1:6" x14ac:dyDescent="0.35">
      <c r="A445" s="1" t="s">
        <v>2286</v>
      </c>
      <c r="B445" s="1" t="s">
        <v>310</v>
      </c>
      <c r="C445" s="1" t="s">
        <v>2052</v>
      </c>
      <c r="D445" s="1" t="s">
        <v>2053</v>
      </c>
      <c r="E445" s="19">
        <v>1199</v>
      </c>
      <c r="F445" s="19">
        <v>0</v>
      </c>
    </row>
    <row r="446" spans="1:6" x14ac:dyDescent="0.35">
      <c r="A446" s="1" t="s">
        <v>1132</v>
      </c>
      <c r="B446" s="1" t="s">
        <v>1133</v>
      </c>
      <c r="C446" s="1" t="s">
        <v>1526</v>
      </c>
      <c r="D446" s="1" t="s">
        <v>971</v>
      </c>
      <c r="E446" s="19">
        <v>1053.45</v>
      </c>
      <c r="F446" s="19">
        <v>0</v>
      </c>
    </row>
    <row r="447" spans="1:6" x14ac:dyDescent="0.35">
      <c r="A447" s="1" t="s">
        <v>1087</v>
      </c>
      <c r="B447" s="1" t="s">
        <v>1088</v>
      </c>
      <c r="C447" s="1" t="s">
        <v>1526</v>
      </c>
      <c r="D447" s="1" t="s">
        <v>971</v>
      </c>
      <c r="E447" s="19">
        <v>1053.45</v>
      </c>
      <c r="F447" s="19">
        <v>0</v>
      </c>
    </row>
    <row r="448" spans="1:6" x14ac:dyDescent="0.35">
      <c r="A448" s="1" t="s">
        <v>2287</v>
      </c>
      <c r="B448" s="1" t="s">
        <v>625</v>
      </c>
      <c r="C448" s="1" t="s">
        <v>2037</v>
      </c>
      <c r="D448" s="1" t="s">
        <v>2038</v>
      </c>
      <c r="E448" s="19">
        <v>2981</v>
      </c>
      <c r="F448" s="19">
        <v>0</v>
      </c>
    </row>
    <row r="449" spans="1:6" x14ac:dyDescent="0.35">
      <c r="A449" s="1" t="s">
        <v>1030</v>
      </c>
      <c r="B449" s="1" t="s">
        <v>1031</v>
      </c>
      <c r="C449" s="1" t="s">
        <v>1526</v>
      </c>
      <c r="D449" s="1" t="s">
        <v>971</v>
      </c>
      <c r="E449" s="19">
        <v>1053.45</v>
      </c>
      <c r="F449" s="19">
        <v>0</v>
      </c>
    </row>
    <row r="450" spans="1:6" x14ac:dyDescent="0.35">
      <c r="A450" s="1" t="s">
        <v>2288</v>
      </c>
      <c r="B450" s="1" t="s">
        <v>446</v>
      </c>
      <c r="C450" s="1" t="s">
        <v>408</v>
      </c>
      <c r="D450" s="1" t="s">
        <v>409</v>
      </c>
      <c r="E450" s="19">
        <v>20</v>
      </c>
      <c r="F450" s="19">
        <v>0</v>
      </c>
    </row>
    <row r="451" spans="1:6" x14ac:dyDescent="0.35">
      <c r="A451" s="1" t="s">
        <v>2288</v>
      </c>
      <c r="B451" s="1" t="s">
        <v>446</v>
      </c>
      <c r="C451" s="1" t="s">
        <v>97</v>
      </c>
      <c r="D451" s="1" t="s">
        <v>98</v>
      </c>
      <c r="E451" s="19">
        <v>1499</v>
      </c>
      <c r="F451" s="19">
        <v>0</v>
      </c>
    </row>
    <row r="452" spans="1:6" x14ac:dyDescent="0.35">
      <c r="A452" s="1" t="s">
        <v>2289</v>
      </c>
      <c r="B452" s="1" t="s">
        <v>632</v>
      </c>
      <c r="C452" s="1" t="s">
        <v>97</v>
      </c>
      <c r="D452" s="1" t="s">
        <v>98</v>
      </c>
      <c r="E452" s="19">
        <v>1499</v>
      </c>
      <c r="F452" s="19">
        <v>0</v>
      </c>
    </row>
    <row r="453" spans="1:6" x14ac:dyDescent="0.35">
      <c r="A453" s="1" t="s">
        <v>2290</v>
      </c>
      <c r="B453" s="1" t="s">
        <v>589</v>
      </c>
      <c r="C453" s="1" t="s">
        <v>97</v>
      </c>
      <c r="D453" s="1" t="s">
        <v>98</v>
      </c>
      <c r="E453" s="19">
        <v>1499</v>
      </c>
      <c r="F453" s="19">
        <v>0</v>
      </c>
    </row>
    <row r="454" spans="1:6" x14ac:dyDescent="0.35">
      <c r="A454" s="1" t="s">
        <v>2291</v>
      </c>
      <c r="B454" s="1" t="s">
        <v>676</v>
      </c>
      <c r="C454" s="1" t="s">
        <v>48</v>
      </c>
      <c r="D454" s="1" t="s">
        <v>49</v>
      </c>
      <c r="E454" s="19">
        <v>319</v>
      </c>
      <c r="F454" s="19">
        <v>0</v>
      </c>
    </row>
    <row r="455" spans="1:6" x14ac:dyDescent="0.35">
      <c r="A455" s="1" t="s">
        <v>2292</v>
      </c>
      <c r="B455" s="1" t="s">
        <v>545</v>
      </c>
      <c r="C455" s="1" t="s">
        <v>74</v>
      </c>
      <c r="D455" s="1" t="s">
        <v>75</v>
      </c>
      <c r="E455" s="19">
        <v>499</v>
      </c>
      <c r="F455" s="19">
        <v>0</v>
      </c>
    </row>
    <row r="456" spans="1:6" x14ac:dyDescent="0.35">
      <c r="A456" s="1" t="s">
        <v>2293</v>
      </c>
      <c r="B456" s="1" t="s">
        <v>752</v>
      </c>
      <c r="C456" s="1" t="s">
        <v>48</v>
      </c>
      <c r="D456" s="1" t="s">
        <v>49</v>
      </c>
      <c r="E456" s="19">
        <v>337.95</v>
      </c>
      <c r="F456" s="19">
        <v>0</v>
      </c>
    </row>
    <row r="457" spans="1:6" x14ac:dyDescent="0.35">
      <c r="A457" s="1" t="s">
        <v>2294</v>
      </c>
      <c r="B457" s="1" t="s">
        <v>678</v>
      </c>
      <c r="C457" s="1" t="s">
        <v>48</v>
      </c>
      <c r="D457" s="1" t="s">
        <v>49</v>
      </c>
      <c r="E457" s="19">
        <v>319</v>
      </c>
      <c r="F457" s="19">
        <v>0</v>
      </c>
    </row>
    <row r="458" spans="1:6" x14ac:dyDescent="0.35">
      <c r="A458" s="1" t="s">
        <v>1000</v>
      </c>
      <c r="B458" s="1" t="s">
        <v>1001</v>
      </c>
      <c r="C458" s="1" t="s">
        <v>1526</v>
      </c>
      <c r="D458" s="1" t="s">
        <v>971</v>
      </c>
      <c r="E458" s="19">
        <v>1053.45</v>
      </c>
      <c r="F458" s="19">
        <v>0</v>
      </c>
    </row>
    <row r="459" spans="1:6" x14ac:dyDescent="0.35">
      <c r="A459" s="1" t="s">
        <v>2295</v>
      </c>
      <c r="B459" s="1" t="s">
        <v>279</v>
      </c>
      <c r="C459" s="1" t="s">
        <v>42</v>
      </c>
      <c r="D459" s="1" t="s">
        <v>43</v>
      </c>
      <c r="E459" s="19">
        <v>1386.75</v>
      </c>
      <c r="F459" s="19">
        <v>0</v>
      </c>
    </row>
    <row r="460" spans="1:6" x14ac:dyDescent="0.35">
      <c r="A460" s="1" t="s">
        <v>2296</v>
      </c>
      <c r="B460" s="1" t="s">
        <v>648</v>
      </c>
      <c r="C460" s="1" t="s">
        <v>67</v>
      </c>
      <c r="D460" s="1" t="s">
        <v>68</v>
      </c>
      <c r="E460" s="19">
        <v>599</v>
      </c>
      <c r="F460" s="19">
        <v>0</v>
      </c>
    </row>
    <row r="461" spans="1:6" x14ac:dyDescent="0.35">
      <c r="A461" s="1" t="s">
        <v>1126</v>
      </c>
      <c r="B461" s="1" t="s">
        <v>1127</v>
      </c>
      <c r="C461" s="1" t="s">
        <v>2076</v>
      </c>
      <c r="D461" s="1" t="s">
        <v>2077</v>
      </c>
      <c r="E461" s="19">
        <v>498</v>
      </c>
      <c r="F461" s="19">
        <v>0</v>
      </c>
    </row>
    <row r="462" spans="1:6" x14ac:dyDescent="0.35">
      <c r="A462" s="1" t="s">
        <v>1126</v>
      </c>
      <c r="B462" s="1" t="s">
        <v>1127</v>
      </c>
      <c r="C462" s="1" t="s">
        <v>1526</v>
      </c>
      <c r="D462" s="1" t="s">
        <v>971</v>
      </c>
      <c r="E462" s="19">
        <v>1053.45</v>
      </c>
      <c r="F462" s="19">
        <v>0</v>
      </c>
    </row>
    <row r="463" spans="1:6" x14ac:dyDescent="0.35">
      <c r="A463" s="1" t="s">
        <v>2297</v>
      </c>
      <c r="B463" s="1" t="s">
        <v>564</v>
      </c>
      <c r="C463" s="1" t="s">
        <v>67</v>
      </c>
      <c r="D463" s="1" t="s">
        <v>68</v>
      </c>
      <c r="E463" s="19">
        <v>599</v>
      </c>
      <c r="F463" s="19">
        <v>0</v>
      </c>
    </row>
    <row r="464" spans="1:6" x14ac:dyDescent="0.35">
      <c r="A464" s="1" t="s">
        <v>1499</v>
      </c>
      <c r="B464" s="1" t="s">
        <v>1500</v>
      </c>
      <c r="C464" s="1" t="s">
        <v>1329</v>
      </c>
      <c r="D464" s="1" t="s">
        <v>1330</v>
      </c>
      <c r="E464" s="19">
        <v>0</v>
      </c>
      <c r="F464" s="19">
        <v>0</v>
      </c>
    </row>
    <row r="465" spans="1:6" x14ac:dyDescent="0.35">
      <c r="A465" s="1" t="s">
        <v>2298</v>
      </c>
      <c r="B465" s="1" t="s">
        <v>267</v>
      </c>
      <c r="C465" s="1" t="s">
        <v>42</v>
      </c>
      <c r="D465" s="1" t="s">
        <v>43</v>
      </c>
      <c r="E465" s="19">
        <v>1386.75</v>
      </c>
      <c r="F465" s="19">
        <v>0</v>
      </c>
    </row>
    <row r="466" spans="1:6" x14ac:dyDescent="0.35">
      <c r="A466" s="1" t="s">
        <v>2299</v>
      </c>
      <c r="B466" s="1" t="s">
        <v>271</v>
      </c>
      <c r="C466" s="1" t="s">
        <v>42</v>
      </c>
      <c r="D466" s="1" t="s">
        <v>43</v>
      </c>
      <c r="E466" s="19">
        <v>1386.75</v>
      </c>
      <c r="F466" s="19">
        <v>0</v>
      </c>
    </row>
    <row r="467" spans="1:6" x14ac:dyDescent="0.35">
      <c r="A467" s="1" t="s">
        <v>2300</v>
      </c>
      <c r="B467" s="1" t="s">
        <v>281</v>
      </c>
      <c r="C467" s="1" t="s">
        <v>42</v>
      </c>
      <c r="D467" s="1" t="s">
        <v>43</v>
      </c>
      <c r="E467" s="19">
        <v>1386.75</v>
      </c>
      <c r="F467" s="19">
        <v>0</v>
      </c>
    </row>
    <row r="468" spans="1:6" x14ac:dyDescent="0.35">
      <c r="A468" s="1" t="s">
        <v>2301</v>
      </c>
      <c r="B468" s="1" t="s">
        <v>577</v>
      </c>
      <c r="C468" s="1" t="s">
        <v>1870</v>
      </c>
      <c r="D468" s="1" t="s">
        <v>1871</v>
      </c>
      <c r="E468" s="19">
        <v>999</v>
      </c>
      <c r="F468" s="19">
        <v>0</v>
      </c>
    </row>
    <row r="469" spans="1:6" x14ac:dyDescent="0.35">
      <c r="A469" s="1" t="s">
        <v>1120</v>
      </c>
      <c r="B469" s="1" t="s">
        <v>1121</v>
      </c>
      <c r="C469" s="1" t="s">
        <v>1526</v>
      </c>
      <c r="D469" s="1" t="s">
        <v>971</v>
      </c>
      <c r="E469" s="19">
        <v>1053.45</v>
      </c>
      <c r="F469" s="19">
        <v>0</v>
      </c>
    </row>
    <row r="470" spans="1:6" x14ac:dyDescent="0.35">
      <c r="A470" s="1" t="s">
        <v>2302</v>
      </c>
      <c r="B470" s="1" t="s">
        <v>579</v>
      </c>
      <c r="C470" s="1" t="s">
        <v>2052</v>
      </c>
      <c r="D470" s="1" t="s">
        <v>2053</v>
      </c>
      <c r="E470" s="19">
        <v>1199</v>
      </c>
      <c r="F470" s="19">
        <v>0</v>
      </c>
    </row>
    <row r="471" spans="1:6" x14ac:dyDescent="0.35">
      <c r="A471" s="1" t="s">
        <v>2303</v>
      </c>
      <c r="B471" s="1" t="s">
        <v>549</v>
      </c>
      <c r="C471" s="1" t="s">
        <v>97</v>
      </c>
      <c r="D471" s="1" t="s">
        <v>98</v>
      </c>
      <c r="E471" s="19">
        <v>1499</v>
      </c>
      <c r="F471" s="19">
        <v>0</v>
      </c>
    </row>
    <row r="472" spans="1:6" x14ac:dyDescent="0.35">
      <c r="A472" s="1" t="s">
        <v>2304</v>
      </c>
      <c r="B472" s="1" t="s">
        <v>670</v>
      </c>
      <c r="C472" s="1" t="s">
        <v>48</v>
      </c>
      <c r="D472" s="1" t="s">
        <v>49</v>
      </c>
      <c r="E472" s="19">
        <v>319</v>
      </c>
      <c r="F472" s="19">
        <v>0</v>
      </c>
    </row>
    <row r="473" spans="1:6" x14ac:dyDescent="0.35">
      <c r="A473" s="1" t="s">
        <v>1501</v>
      </c>
      <c r="B473" s="1" t="s">
        <v>1502</v>
      </c>
      <c r="C473" s="1" t="s">
        <v>48</v>
      </c>
      <c r="D473" s="1" t="s">
        <v>49</v>
      </c>
      <c r="E473" s="19">
        <v>319</v>
      </c>
      <c r="F473" s="19">
        <v>0</v>
      </c>
    </row>
    <row r="474" spans="1:6" x14ac:dyDescent="0.35">
      <c r="A474" s="1" t="s">
        <v>1503</v>
      </c>
      <c r="B474" s="1" t="s">
        <v>1504</v>
      </c>
      <c r="C474" s="1" t="s">
        <v>74</v>
      </c>
      <c r="D474" s="1" t="s">
        <v>75</v>
      </c>
      <c r="E474" s="19">
        <v>526.45000000000005</v>
      </c>
      <c r="F474" s="19">
        <v>0</v>
      </c>
    </row>
    <row r="475" spans="1:6" x14ac:dyDescent="0.35">
      <c r="A475" s="1" t="s">
        <v>1505</v>
      </c>
      <c r="B475" s="1" t="s">
        <v>1506</v>
      </c>
      <c r="C475" s="1" t="s">
        <v>42</v>
      </c>
      <c r="D475" s="1" t="s">
        <v>43</v>
      </c>
      <c r="E475" s="19">
        <v>1849</v>
      </c>
      <c r="F475" s="19">
        <v>0</v>
      </c>
    </row>
    <row r="476" spans="1:6" x14ac:dyDescent="0.35">
      <c r="A476" s="1" t="s">
        <v>1505</v>
      </c>
      <c r="B476" s="1" t="s">
        <v>1506</v>
      </c>
      <c r="C476" s="1" t="s">
        <v>1507</v>
      </c>
      <c r="D476" s="1" t="s">
        <v>1508</v>
      </c>
      <c r="E476" s="19">
        <v>995</v>
      </c>
      <c r="F476" s="19">
        <v>0</v>
      </c>
    </row>
    <row r="477" spans="1:6" x14ac:dyDescent="0.35">
      <c r="A477" s="1" t="s">
        <v>1509</v>
      </c>
      <c r="B477" s="1" t="s">
        <v>1510</v>
      </c>
      <c r="C477" s="1" t="s">
        <v>48</v>
      </c>
      <c r="D477" s="1" t="s">
        <v>49</v>
      </c>
      <c r="E477" s="19">
        <v>319</v>
      </c>
      <c r="F477" s="19">
        <v>0</v>
      </c>
    </row>
    <row r="478" spans="1:6" x14ac:dyDescent="0.35">
      <c r="A478" s="1" t="s">
        <v>2306</v>
      </c>
      <c r="B478" s="1" t="s">
        <v>668</v>
      </c>
      <c r="C478" s="1" t="s">
        <v>48</v>
      </c>
      <c r="D478" s="1" t="s">
        <v>49</v>
      </c>
      <c r="E478" s="19">
        <v>319</v>
      </c>
      <c r="F478" s="19">
        <v>0</v>
      </c>
    </row>
    <row r="479" spans="1:6" x14ac:dyDescent="0.35">
      <c r="A479" s="1" t="s">
        <v>2307</v>
      </c>
      <c r="B479" s="1" t="s">
        <v>680</v>
      </c>
      <c r="C479" s="1" t="s">
        <v>48</v>
      </c>
      <c r="D479" s="1" t="s">
        <v>49</v>
      </c>
      <c r="E479" s="19">
        <v>319</v>
      </c>
      <c r="F479" s="19">
        <v>0</v>
      </c>
    </row>
    <row r="480" spans="1:6" x14ac:dyDescent="0.35">
      <c r="A480" s="1" t="s">
        <v>1511</v>
      </c>
      <c r="B480" s="1" t="s">
        <v>1512</v>
      </c>
      <c r="C480" s="1" t="s">
        <v>87</v>
      </c>
      <c r="D480" s="1" t="s">
        <v>88</v>
      </c>
      <c r="E480" s="19">
        <v>1066.24</v>
      </c>
      <c r="F480" s="19">
        <v>0</v>
      </c>
    </row>
    <row r="481" spans="1:6" x14ac:dyDescent="0.35">
      <c r="A481" s="1" t="s">
        <v>1511</v>
      </c>
      <c r="B481" s="1" t="s">
        <v>1512</v>
      </c>
      <c r="C481" s="1" t="s">
        <v>1495</v>
      </c>
      <c r="D481" s="1" t="s">
        <v>1496</v>
      </c>
      <c r="E481" s="19">
        <v>366.45</v>
      </c>
      <c r="F481" s="19">
        <v>0</v>
      </c>
    </row>
    <row r="482" spans="1:6" x14ac:dyDescent="0.35">
      <c r="A482" s="1" t="s">
        <v>1513</v>
      </c>
      <c r="B482" s="1" t="s">
        <v>1514</v>
      </c>
      <c r="C482" s="1" t="s">
        <v>408</v>
      </c>
      <c r="D482" s="1" t="s">
        <v>409</v>
      </c>
      <c r="E482" s="19">
        <v>20</v>
      </c>
      <c r="F482" s="19">
        <v>0</v>
      </c>
    </row>
    <row r="483" spans="1:6" x14ac:dyDescent="0.35">
      <c r="A483" s="1" t="s">
        <v>2309</v>
      </c>
      <c r="B483" s="1" t="s">
        <v>605</v>
      </c>
      <c r="C483" s="1" t="s">
        <v>97</v>
      </c>
      <c r="D483" s="1" t="s">
        <v>98</v>
      </c>
      <c r="E483" s="19">
        <v>1499</v>
      </c>
      <c r="F483" s="19">
        <v>0</v>
      </c>
    </row>
    <row r="484" spans="1:6" x14ac:dyDescent="0.35">
      <c r="A484" s="1" t="s">
        <v>2310</v>
      </c>
      <c r="B484" s="1" t="s">
        <v>682</v>
      </c>
      <c r="C484" s="1" t="s">
        <v>48</v>
      </c>
      <c r="D484" s="1" t="s">
        <v>49</v>
      </c>
      <c r="E484" s="19">
        <v>319</v>
      </c>
      <c r="F484" s="19">
        <v>0</v>
      </c>
    </row>
    <row r="485" spans="1:6" x14ac:dyDescent="0.35">
      <c r="A485" s="1" t="s">
        <v>2311</v>
      </c>
      <c r="B485" s="1" t="s">
        <v>684</v>
      </c>
      <c r="C485" s="1" t="s">
        <v>48</v>
      </c>
      <c r="D485" s="1" t="s">
        <v>49</v>
      </c>
      <c r="E485" s="19">
        <v>319</v>
      </c>
      <c r="F485" s="19">
        <v>0</v>
      </c>
    </row>
    <row r="486" spans="1:6" x14ac:dyDescent="0.35">
      <c r="A486" s="1" t="s">
        <v>2312</v>
      </c>
      <c r="B486" s="1" t="s">
        <v>686</v>
      </c>
      <c r="C486" s="1" t="s">
        <v>48</v>
      </c>
      <c r="D486" s="1" t="s">
        <v>49</v>
      </c>
      <c r="E486" s="19">
        <v>319</v>
      </c>
      <c r="F486" s="19">
        <v>0</v>
      </c>
    </row>
    <row r="487" spans="1:6" x14ac:dyDescent="0.35">
      <c r="A487" s="1" t="s">
        <v>1084</v>
      </c>
      <c r="B487" s="1" t="s">
        <v>1085</v>
      </c>
      <c r="C487" s="1" t="s">
        <v>1526</v>
      </c>
      <c r="D487" s="1" t="s">
        <v>971</v>
      </c>
      <c r="E487" s="19">
        <v>1053.45</v>
      </c>
      <c r="F487" s="19">
        <v>0</v>
      </c>
    </row>
    <row r="488" spans="1:6" x14ac:dyDescent="0.35">
      <c r="A488" s="1" t="s">
        <v>1129</v>
      </c>
      <c r="B488" s="1" t="s">
        <v>1130</v>
      </c>
      <c r="C488" s="1" t="s">
        <v>1526</v>
      </c>
      <c r="D488" s="1" t="s">
        <v>971</v>
      </c>
      <c r="E488" s="19">
        <v>1053.45</v>
      </c>
      <c r="F488" s="19">
        <v>0</v>
      </c>
    </row>
    <row r="489" spans="1:6" x14ac:dyDescent="0.35">
      <c r="A489" s="1" t="s">
        <v>2313</v>
      </c>
      <c r="B489" s="1" t="s">
        <v>613</v>
      </c>
      <c r="C489" s="1" t="s">
        <v>42</v>
      </c>
      <c r="D489" s="1" t="s">
        <v>43</v>
      </c>
      <c r="E489" s="19">
        <v>1849</v>
      </c>
      <c r="F489" s="19">
        <v>0</v>
      </c>
    </row>
    <row r="490" spans="1:6" x14ac:dyDescent="0.35">
      <c r="A490" s="1" t="s">
        <v>2314</v>
      </c>
      <c r="B490" s="1" t="s">
        <v>448</v>
      </c>
      <c r="C490" s="1" t="s">
        <v>408</v>
      </c>
      <c r="D490" s="1" t="s">
        <v>409</v>
      </c>
      <c r="E490" s="19">
        <v>20</v>
      </c>
      <c r="F490" s="19">
        <v>0</v>
      </c>
    </row>
    <row r="491" spans="1:6" x14ac:dyDescent="0.35">
      <c r="A491" s="1" t="s">
        <v>2314</v>
      </c>
      <c r="B491" s="1" t="s">
        <v>448</v>
      </c>
      <c r="C491" s="1" t="s">
        <v>97</v>
      </c>
      <c r="D491" s="1" t="s">
        <v>98</v>
      </c>
      <c r="E491" s="19">
        <v>1499</v>
      </c>
      <c r="F491" s="19">
        <v>0</v>
      </c>
    </row>
    <row r="492" spans="1:6" x14ac:dyDescent="0.35">
      <c r="A492" s="1" t="s">
        <v>2315</v>
      </c>
      <c r="B492" s="1" t="s">
        <v>556</v>
      </c>
      <c r="C492" s="1" t="s">
        <v>67</v>
      </c>
      <c r="D492" s="1" t="s">
        <v>68</v>
      </c>
      <c r="E492" s="19">
        <v>599</v>
      </c>
      <c r="F492" s="19">
        <v>0</v>
      </c>
    </row>
    <row r="493" spans="1:6" x14ac:dyDescent="0.35">
      <c r="A493" s="1" t="s">
        <v>2316</v>
      </c>
      <c r="B493" s="1" t="s">
        <v>560</v>
      </c>
      <c r="C493" s="1" t="s">
        <v>67</v>
      </c>
      <c r="D493" s="1" t="s">
        <v>68</v>
      </c>
      <c r="E493" s="19">
        <v>599</v>
      </c>
      <c r="F493" s="19">
        <v>0</v>
      </c>
    </row>
    <row r="494" spans="1:6" x14ac:dyDescent="0.35">
      <c r="A494" s="1" t="s">
        <v>2317</v>
      </c>
      <c r="B494" s="1" t="s">
        <v>432</v>
      </c>
      <c r="C494" s="1" t="s">
        <v>67</v>
      </c>
      <c r="D494" s="1" t="s">
        <v>68</v>
      </c>
      <c r="E494" s="19">
        <v>599</v>
      </c>
      <c r="F494" s="19">
        <v>0</v>
      </c>
    </row>
    <row r="495" spans="1:6" x14ac:dyDescent="0.35">
      <c r="A495" s="1" t="s">
        <v>2318</v>
      </c>
      <c r="B495" s="1" t="s">
        <v>642</v>
      </c>
      <c r="C495" s="1" t="s">
        <v>74</v>
      </c>
      <c r="D495" s="1" t="s">
        <v>75</v>
      </c>
      <c r="E495" s="19">
        <v>499</v>
      </c>
      <c r="F495" s="19">
        <v>0</v>
      </c>
    </row>
    <row r="496" spans="1:6" x14ac:dyDescent="0.35">
      <c r="A496" s="1" t="s">
        <v>2319</v>
      </c>
      <c r="B496" s="1" t="s">
        <v>601</v>
      </c>
      <c r="C496" s="1" t="s">
        <v>97</v>
      </c>
      <c r="D496" s="1" t="s">
        <v>98</v>
      </c>
      <c r="E496" s="19">
        <v>1499</v>
      </c>
      <c r="F496" s="19">
        <v>0</v>
      </c>
    </row>
    <row r="497" spans="1:6" x14ac:dyDescent="0.35">
      <c r="A497" s="1" t="s">
        <v>2320</v>
      </c>
      <c r="B497" s="1" t="s">
        <v>882</v>
      </c>
      <c r="C497" s="1" t="s">
        <v>1798</v>
      </c>
      <c r="D497" s="1" t="s">
        <v>1799</v>
      </c>
      <c r="E497" s="19">
        <v>999</v>
      </c>
      <c r="F497" s="19">
        <v>0</v>
      </c>
    </row>
    <row r="498" spans="1:6" x14ac:dyDescent="0.35">
      <c r="A498" s="1" t="s">
        <v>2320</v>
      </c>
      <c r="B498" s="1" t="s">
        <v>882</v>
      </c>
      <c r="C498" s="1" t="s">
        <v>97</v>
      </c>
      <c r="D498" s="1" t="s">
        <v>98</v>
      </c>
      <c r="E498" s="19">
        <v>1499</v>
      </c>
      <c r="F498" s="19">
        <v>0</v>
      </c>
    </row>
    <row r="499" spans="1:6" x14ac:dyDescent="0.35">
      <c r="A499" s="1" t="s">
        <v>1135</v>
      </c>
      <c r="B499" s="1" t="s">
        <v>1136</v>
      </c>
      <c r="C499" s="1" t="s">
        <v>1526</v>
      </c>
      <c r="D499" s="1" t="s">
        <v>971</v>
      </c>
      <c r="E499" s="19">
        <v>1053.45</v>
      </c>
      <c r="F499" s="19">
        <v>0</v>
      </c>
    </row>
    <row r="500" spans="1:6" x14ac:dyDescent="0.35">
      <c r="A500" s="1" t="s">
        <v>2321</v>
      </c>
      <c r="B500" s="1" t="s">
        <v>836</v>
      </c>
      <c r="C500" s="1" t="s">
        <v>67</v>
      </c>
      <c r="D500" s="1" t="s">
        <v>68</v>
      </c>
      <c r="E500" s="19">
        <v>599</v>
      </c>
      <c r="F500" s="19">
        <v>0</v>
      </c>
    </row>
    <row r="501" spans="1:6" x14ac:dyDescent="0.35">
      <c r="A501" s="1" t="s">
        <v>2322</v>
      </c>
      <c r="B501" s="1" t="s">
        <v>833</v>
      </c>
      <c r="C501" s="1" t="s">
        <v>67</v>
      </c>
      <c r="D501" s="1" t="s">
        <v>68</v>
      </c>
      <c r="E501" s="19">
        <v>599</v>
      </c>
      <c r="F501" s="19">
        <v>0</v>
      </c>
    </row>
    <row r="502" spans="1:6" x14ac:dyDescent="0.35">
      <c r="A502" s="1" t="s">
        <v>1515</v>
      </c>
      <c r="B502" s="1" t="s">
        <v>1516</v>
      </c>
      <c r="C502" s="1" t="s">
        <v>67</v>
      </c>
      <c r="D502" s="1" t="s">
        <v>68</v>
      </c>
      <c r="E502" s="19">
        <v>599</v>
      </c>
      <c r="F502" s="19">
        <v>0</v>
      </c>
    </row>
    <row r="503" spans="1:6" x14ac:dyDescent="0.35">
      <c r="A503" s="1" t="s">
        <v>1102</v>
      </c>
      <c r="B503" s="1" t="s">
        <v>1103</v>
      </c>
      <c r="C503" s="1" t="s">
        <v>1526</v>
      </c>
      <c r="D503" s="1" t="s">
        <v>971</v>
      </c>
      <c r="E503" s="19">
        <v>1053.45</v>
      </c>
      <c r="F503" s="19">
        <v>0</v>
      </c>
    </row>
    <row r="504" spans="1:6" x14ac:dyDescent="0.35">
      <c r="A504" s="1" t="s">
        <v>1111</v>
      </c>
      <c r="B504" s="1" t="s">
        <v>1112</v>
      </c>
      <c r="C504" s="1" t="s">
        <v>1526</v>
      </c>
      <c r="D504" s="1" t="s">
        <v>971</v>
      </c>
      <c r="E504" s="19">
        <v>1053.45</v>
      </c>
      <c r="F504" s="19">
        <v>0</v>
      </c>
    </row>
    <row r="505" spans="1:6" x14ac:dyDescent="0.35">
      <c r="A505" s="1" t="s">
        <v>1114</v>
      </c>
      <c r="B505" s="1" t="s">
        <v>1115</v>
      </c>
      <c r="C505" s="1" t="s">
        <v>1526</v>
      </c>
      <c r="D505" s="1" t="s">
        <v>971</v>
      </c>
      <c r="E505" s="19">
        <v>1053.45</v>
      </c>
      <c r="F505" s="19">
        <v>0</v>
      </c>
    </row>
    <row r="506" spans="1:6" x14ac:dyDescent="0.35">
      <c r="A506" s="1" t="s">
        <v>991</v>
      </c>
      <c r="B506" s="1" t="s">
        <v>992</v>
      </c>
      <c r="C506" s="1" t="s">
        <v>1526</v>
      </c>
      <c r="D506" s="1" t="s">
        <v>971</v>
      </c>
      <c r="E506" s="19">
        <v>1053.45</v>
      </c>
      <c r="F506" s="19">
        <v>0</v>
      </c>
    </row>
    <row r="507" spans="1:6" x14ac:dyDescent="0.35">
      <c r="A507" s="1" t="s">
        <v>2324</v>
      </c>
      <c r="B507" s="1" t="s">
        <v>554</v>
      </c>
      <c r="C507" s="1" t="s">
        <v>67</v>
      </c>
      <c r="D507" s="1" t="s">
        <v>68</v>
      </c>
      <c r="E507" s="19">
        <v>599</v>
      </c>
      <c r="F507" s="19">
        <v>0</v>
      </c>
    </row>
    <row r="508" spans="1:6" x14ac:dyDescent="0.35">
      <c r="A508" s="1" t="s">
        <v>2325</v>
      </c>
      <c r="B508" s="1" t="s">
        <v>558</v>
      </c>
      <c r="C508" s="1" t="s">
        <v>67</v>
      </c>
      <c r="D508" s="1" t="s">
        <v>68</v>
      </c>
      <c r="E508" s="19">
        <v>599</v>
      </c>
      <c r="F508" s="19">
        <v>0</v>
      </c>
    </row>
    <row r="509" spans="1:6" x14ac:dyDescent="0.35">
      <c r="A509" s="1" t="s">
        <v>2326</v>
      </c>
      <c r="B509" s="1" t="s">
        <v>663</v>
      </c>
      <c r="C509" s="1" t="s">
        <v>1403</v>
      </c>
      <c r="D509" s="1" t="s">
        <v>1404</v>
      </c>
      <c r="E509" s="19">
        <v>10</v>
      </c>
      <c r="F509" s="19">
        <v>0</v>
      </c>
    </row>
    <row r="510" spans="1:6" x14ac:dyDescent="0.35">
      <c r="A510" s="1" t="s">
        <v>2326</v>
      </c>
      <c r="B510" s="1" t="s">
        <v>663</v>
      </c>
      <c r="C510" s="1" t="s">
        <v>67</v>
      </c>
      <c r="D510" s="1" t="s">
        <v>68</v>
      </c>
      <c r="E510" s="19">
        <v>599</v>
      </c>
      <c r="F510" s="19">
        <v>0</v>
      </c>
    </row>
    <row r="511" spans="1:6" x14ac:dyDescent="0.35">
      <c r="A511" s="1" t="s">
        <v>2327</v>
      </c>
      <c r="B511" s="1" t="s">
        <v>562</v>
      </c>
      <c r="C511" s="1" t="s">
        <v>67</v>
      </c>
      <c r="D511" s="1" t="s">
        <v>68</v>
      </c>
      <c r="E511" s="19">
        <v>599</v>
      </c>
      <c r="F511" s="19">
        <v>0</v>
      </c>
    </row>
    <row r="512" spans="1:6" x14ac:dyDescent="0.35">
      <c r="A512" s="1" t="s">
        <v>1517</v>
      </c>
      <c r="B512" s="1" t="s">
        <v>1518</v>
      </c>
      <c r="C512" s="1" t="s">
        <v>67</v>
      </c>
      <c r="D512" s="1" t="s">
        <v>68</v>
      </c>
      <c r="E512" s="19">
        <v>599</v>
      </c>
      <c r="F512" s="19">
        <v>0</v>
      </c>
    </row>
    <row r="513" spans="1:6" x14ac:dyDescent="0.35">
      <c r="A513" s="1" t="s">
        <v>1138</v>
      </c>
      <c r="B513" s="1" t="s">
        <v>1139</v>
      </c>
      <c r="C513" s="1" t="s">
        <v>1526</v>
      </c>
      <c r="D513" s="1" t="s">
        <v>971</v>
      </c>
      <c r="E513" s="19">
        <v>1053.45</v>
      </c>
      <c r="F513" s="19">
        <v>0</v>
      </c>
    </row>
    <row r="514" spans="1:6" x14ac:dyDescent="0.35">
      <c r="A514" s="1" t="s">
        <v>2328</v>
      </c>
      <c r="B514" s="1" t="s">
        <v>254</v>
      </c>
      <c r="C514" s="1" t="s">
        <v>42</v>
      </c>
      <c r="D514" s="1" t="s">
        <v>43</v>
      </c>
      <c r="E514" s="19">
        <v>1386.75</v>
      </c>
      <c r="F514" s="19">
        <v>0</v>
      </c>
    </row>
    <row r="515" spans="1:6" x14ac:dyDescent="0.35">
      <c r="A515" s="1" t="s">
        <v>2329</v>
      </c>
      <c r="B515" s="1" t="s">
        <v>2347</v>
      </c>
      <c r="C515" s="1" t="s">
        <v>42</v>
      </c>
      <c r="D515" s="1" t="s">
        <v>43</v>
      </c>
      <c r="E515" s="19">
        <v>1386.75</v>
      </c>
      <c r="F515" s="19">
        <v>0</v>
      </c>
    </row>
    <row r="516" spans="1:6" x14ac:dyDescent="0.35">
      <c r="A516" s="1" t="s">
        <v>2330</v>
      </c>
      <c r="B516" s="1" t="s">
        <v>283</v>
      </c>
      <c r="C516" s="1" t="s">
        <v>42</v>
      </c>
      <c r="D516" s="1" t="s">
        <v>43</v>
      </c>
      <c r="E516" s="19">
        <v>1386.75</v>
      </c>
      <c r="F516" s="19">
        <v>0</v>
      </c>
    </row>
    <row r="517" spans="1:6" x14ac:dyDescent="0.35">
      <c r="A517" s="1" t="s">
        <v>2331</v>
      </c>
      <c r="B517" s="1" t="s">
        <v>287</v>
      </c>
      <c r="C517" s="1" t="s">
        <v>42</v>
      </c>
      <c r="D517" s="1" t="s">
        <v>43</v>
      </c>
      <c r="E517" s="19">
        <v>1386.75</v>
      </c>
      <c r="F517" s="19">
        <v>0</v>
      </c>
    </row>
    <row r="518" spans="1:6" x14ac:dyDescent="0.35">
      <c r="A518" s="1" t="s">
        <v>2332</v>
      </c>
      <c r="B518" s="1" t="s">
        <v>265</v>
      </c>
      <c r="C518" s="1" t="s">
        <v>42</v>
      </c>
      <c r="D518" s="1" t="s">
        <v>43</v>
      </c>
      <c r="E518" s="19">
        <v>1386.75</v>
      </c>
      <c r="F518" s="19">
        <v>0</v>
      </c>
    </row>
    <row r="519" spans="1:6" x14ac:dyDescent="0.35">
      <c r="A519" s="1" t="s">
        <v>2333</v>
      </c>
      <c r="B519" s="1" t="s">
        <v>257</v>
      </c>
      <c r="C519" s="1" t="s">
        <v>42</v>
      </c>
      <c r="D519" s="1" t="s">
        <v>43</v>
      </c>
      <c r="E519" s="19">
        <v>1386.75</v>
      </c>
      <c r="F519" s="19">
        <v>0</v>
      </c>
    </row>
    <row r="520" spans="1:6" x14ac:dyDescent="0.35">
      <c r="A520" s="1" t="s">
        <v>2334</v>
      </c>
      <c r="B520" s="1" t="s">
        <v>259</v>
      </c>
      <c r="C520" s="1" t="s">
        <v>42</v>
      </c>
      <c r="D520" s="1" t="s">
        <v>43</v>
      </c>
      <c r="E520" s="19">
        <v>1386.75</v>
      </c>
      <c r="F520" s="19">
        <v>0</v>
      </c>
    </row>
    <row r="521" spans="1:6" x14ac:dyDescent="0.35">
      <c r="A521" s="1" t="s">
        <v>2335</v>
      </c>
      <c r="B521" s="1" t="s">
        <v>2348</v>
      </c>
      <c r="C521" s="1" t="s">
        <v>42</v>
      </c>
      <c r="D521" s="1" t="s">
        <v>43</v>
      </c>
      <c r="E521" s="19">
        <v>1386.75</v>
      </c>
      <c r="F521" s="19">
        <v>0</v>
      </c>
    </row>
    <row r="522" spans="1:6" x14ac:dyDescent="0.35">
      <c r="A522" s="1" t="s">
        <v>2336</v>
      </c>
      <c r="B522" s="1" t="s">
        <v>907</v>
      </c>
      <c r="C522" s="1" t="s">
        <v>1870</v>
      </c>
      <c r="D522" s="1" t="s">
        <v>1871</v>
      </c>
      <c r="E522" s="19">
        <v>1170.6300000000001</v>
      </c>
      <c r="F522" s="19">
        <v>0</v>
      </c>
    </row>
    <row r="523" spans="1:6" x14ac:dyDescent="0.35">
      <c r="A523" s="1" t="s">
        <v>2336</v>
      </c>
      <c r="B523" s="1" t="s">
        <v>907</v>
      </c>
      <c r="C523" s="1" t="s">
        <v>1798</v>
      </c>
      <c r="D523" s="1" t="s">
        <v>1799</v>
      </c>
      <c r="E523" s="19">
        <v>1170.6300000000001</v>
      </c>
      <c r="F523" s="19">
        <v>0</v>
      </c>
    </row>
    <row r="524" spans="1:6" x14ac:dyDescent="0.35">
      <c r="A524" s="1" t="s">
        <v>2336</v>
      </c>
      <c r="B524" s="1" t="s">
        <v>907</v>
      </c>
      <c r="C524" s="1" t="s">
        <v>2107</v>
      </c>
      <c r="D524" s="1" t="s">
        <v>2108</v>
      </c>
      <c r="E524" s="19">
        <v>249</v>
      </c>
      <c r="F524" s="19">
        <v>0</v>
      </c>
    </row>
    <row r="525" spans="1:6" x14ac:dyDescent="0.35">
      <c r="A525" s="1" t="s">
        <v>1105</v>
      </c>
      <c r="B525" s="1" t="s">
        <v>1106</v>
      </c>
      <c r="C525" s="1" t="s">
        <v>1526</v>
      </c>
      <c r="D525" s="1" t="s">
        <v>971</v>
      </c>
      <c r="E525" s="19">
        <v>1053.45</v>
      </c>
      <c r="F525" s="19">
        <v>0</v>
      </c>
    </row>
    <row r="526" spans="1:6" x14ac:dyDescent="0.35">
      <c r="A526" s="1" t="s">
        <v>1117</v>
      </c>
      <c r="B526" s="1" t="s">
        <v>1118</v>
      </c>
      <c r="C526" s="1" t="s">
        <v>1526</v>
      </c>
      <c r="D526" s="1" t="s">
        <v>971</v>
      </c>
      <c r="E526" s="19">
        <v>1053.45</v>
      </c>
      <c r="F526" s="19">
        <v>0</v>
      </c>
    </row>
    <row r="527" spans="1:6" x14ac:dyDescent="0.35">
      <c r="A527" s="1" t="s">
        <v>1123</v>
      </c>
      <c r="B527" s="1" t="s">
        <v>1124</v>
      </c>
      <c r="C527" s="1" t="s">
        <v>1526</v>
      </c>
      <c r="D527" s="1" t="s">
        <v>971</v>
      </c>
      <c r="E527" s="19">
        <v>1053.45</v>
      </c>
      <c r="F527" s="19">
        <v>0</v>
      </c>
    </row>
    <row r="528" spans="1:6" x14ac:dyDescent="0.35">
      <c r="A528" s="1" t="s">
        <v>2337</v>
      </c>
      <c r="B528" s="1" t="s">
        <v>425</v>
      </c>
      <c r="C528" s="1" t="s">
        <v>67</v>
      </c>
      <c r="D528" s="1" t="s">
        <v>68</v>
      </c>
      <c r="E528" s="19">
        <v>599</v>
      </c>
      <c r="F528" s="19">
        <v>0</v>
      </c>
    </row>
    <row r="529" spans="1:6" x14ac:dyDescent="0.35">
      <c r="A529" s="1" t="s">
        <v>2338</v>
      </c>
      <c r="B529" s="1" t="s">
        <v>442</v>
      </c>
      <c r="C529" s="1" t="s">
        <v>67</v>
      </c>
      <c r="D529" s="1" t="s">
        <v>68</v>
      </c>
      <c r="E529" s="19">
        <v>599</v>
      </c>
      <c r="F529" s="19">
        <v>0</v>
      </c>
    </row>
    <row r="530" spans="1:6" x14ac:dyDescent="0.35">
      <c r="A530" s="1" t="s">
        <v>1519</v>
      </c>
      <c r="B530" s="1" t="s">
        <v>77</v>
      </c>
      <c r="C530" s="1" t="s">
        <v>35</v>
      </c>
      <c r="D530" s="1" t="s">
        <v>36</v>
      </c>
      <c r="E530" s="19">
        <v>320.08</v>
      </c>
      <c r="F530" s="19">
        <v>0</v>
      </c>
    </row>
    <row r="531" spans="1:6" x14ac:dyDescent="0.35">
      <c r="A531" s="1" t="s">
        <v>1520</v>
      </c>
      <c r="B531" s="1" t="s">
        <v>1521</v>
      </c>
      <c r="C531" s="1" t="s">
        <v>1329</v>
      </c>
      <c r="D531" s="1" t="s">
        <v>1330</v>
      </c>
      <c r="E531" s="19">
        <v>74.94</v>
      </c>
      <c r="F531" s="19">
        <v>0</v>
      </c>
    </row>
    <row r="532" spans="1:6" x14ac:dyDescent="0.35">
      <c r="A532" s="1" t="s">
        <v>2339</v>
      </c>
      <c r="B532" s="1" t="s">
        <v>113</v>
      </c>
      <c r="C532" s="1" t="s">
        <v>1329</v>
      </c>
      <c r="D532" s="1" t="s">
        <v>1330</v>
      </c>
      <c r="E532" s="19">
        <v>74.94</v>
      </c>
      <c r="F532" s="19">
        <v>0</v>
      </c>
    </row>
    <row r="533" spans="1:6" x14ac:dyDescent="0.35">
      <c r="A533" s="1" t="s">
        <v>2339</v>
      </c>
      <c r="B533" s="1" t="s">
        <v>113</v>
      </c>
      <c r="C533" s="1" t="s">
        <v>1403</v>
      </c>
      <c r="D533" s="1" t="s">
        <v>1404</v>
      </c>
      <c r="E533" s="19">
        <v>10</v>
      </c>
      <c r="F533" s="19">
        <v>0</v>
      </c>
    </row>
    <row r="534" spans="1:6" x14ac:dyDescent="0.35">
      <c r="A534" s="1" t="s">
        <v>2339</v>
      </c>
      <c r="B534" s="1" t="s">
        <v>113</v>
      </c>
      <c r="C534" s="1" t="s">
        <v>2323</v>
      </c>
      <c r="D534" s="1" t="s">
        <v>114</v>
      </c>
      <c r="E534" s="19">
        <v>699</v>
      </c>
      <c r="F534" s="19">
        <v>0</v>
      </c>
    </row>
    <row r="535" spans="1:6" x14ac:dyDescent="0.35">
      <c r="A535" s="1" t="s">
        <v>2340</v>
      </c>
      <c r="B535" s="1" t="s">
        <v>416</v>
      </c>
      <c r="C535" s="1" t="s">
        <v>48</v>
      </c>
      <c r="D535" s="1" t="s">
        <v>49</v>
      </c>
      <c r="E535" s="19">
        <v>299</v>
      </c>
      <c r="F535" s="19">
        <v>0</v>
      </c>
    </row>
    <row r="536" spans="1:6" x14ac:dyDescent="0.35">
      <c r="A536" s="1" t="s">
        <v>1522</v>
      </c>
      <c r="B536" s="1" t="s">
        <v>79</v>
      </c>
      <c r="C536" s="1" t="s">
        <v>35</v>
      </c>
      <c r="D536" s="1" t="s">
        <v>36</v>
      </c>
      <c r="E536" s="19">
        <v>213.03</v>
      </c>
      <c r="F536" s="19">
        <v>0</v>
      </c>
    </row>
    <row r="537" spans="1:6" x14ac:dyDescent="0.35">
      <c r="A537" s="1" t="s">
        <v>1523</v>
      </c>
      <c r="B537" s="1" t="s">
        <v>1524</v>
      </c>
      <c r="C537" s="1" t="s">
        <v>1329</v>
      </c>
      <c r="D537" s="1" t="s">
        <v>1330</v>
      </c>
      <c r="E537" s="19">
        <v>74.94</v>
      </c>
      <c r="F537" s="19">
        <v>0</v>
      </c>
    </row>
    <row r="538" spans="1:6" x14ac:dyDescent="0.35">
      <c r="A538" s="1" t="s">
        <v>1096</v>
      </c>
      <c r="B538" s="1" t="s">
        <v>1097</v>
      </c>
      <c r="C538" s="1" t="s">
        <v>1526</v>
      </c>
      <c r="D538" s="1" t="s">
        <v>971</v>
      </c>
      <c r="E538" s="19">
        <v>1053.45</v>
      </c>
      <c r="F538" s="19">
        <v>0</v>
      </c>
    </row>
    <row r="539" spans="1:6" x14ac:dyDescent="0.35">
      <c r="A539" s="1" t="s">
        <v>1093</v>
      </c>
      <c r="B539" s="1" t="s">
        <v>1094</v>
      </c>
      <c r="C539" s="1" t="s">
        <v>1526</v>
      </c>
      <c r="D539" s="1" t="s">
        <v>971</v>
      </c>
      <c r="E539" s="19">
        <v>1053.45</v>
      </c>
      <c r="F539" s="19">
        <v>0</v>
      </c>
    </row>
    <row r="540" spans="1:6" x14ac:dyDescent="0.35">
      <c r="A540" s="1" t="s">
        <v>1108</v>
      </c>
      <c r="B540" s="1" t="s">
        <v>1109</v>
      </c>
      <c r="C540" s="1" t="s">
        <v>1526</v>
      </c>
      <c r="D540" s="1" t="s">
        <v>971</v>
      </c>
      <c r="E540" s="19">
        <v>1053.45</v>
      </c>
      <c r="F540" s="19">
        <v>0</v>
      </c>
    </row>
    <row r="541" spans="1:6" x14ac:dyDescent="0.35">
      <c r="A541" s="1" t="s">
        <v>2341</v>
      </c>
      <c r="B541" s="1" t="s">
        <v>2349</v>
      </c>
      <c r="C541" s="1" t="s">
        <v>1526</v>
      </c>
      <c r="D541" s="1" t="s">
        <v>971</v>
      </c>
      <c r="E541" s="19">
        <v>1053.45</v>
      </c>
      <c r="F541" s="19">
        <v>0</v>
      </c>
    </row>
    <row r="542" spans="1:6" x14ac:dyDescent="0.35">
      <c r="A542" s="1" t="s">
        <v>1048</v>
      </c>
      <c r="B542" s="1" t="s">
        <v>1049</v>
      </c>
      <c r="C542" s="1" t="s">
        <v>1526</v>
      </c>
      <c r="D542" s="1" t="s">
        <v>971</v>
      </c>
      <c r="E542" s="19">
        <v>1053.45</v>
      </c>
      <c r="F542" s="19">
        <v>0</v>
      </c>
    </row>
    <row r="543" spans="1:6" x14ac:dyDescent="0.35">
      <c r="A543" s="1" t="s">
        <v>1525</v>
      </c>
      <c r="B543" s="1" t="s">
        <v>975</v>
      </c>
      <c r="C543" s="1" t="s">
        <v>1526</v>
      </c>
      <c r="D543" s="1" t="s">
        <v>971</v>
      </c>
      <c r="E543" s="19">
        <v>1053.45</v>
      </c>
      <c r="F543" s="19">
        <v>0</v>
      </c>
    </row>
    <row r="544" spans="1:6" x14ac:dyDescent="0.35">
      <c r="A544" s="1" t="s">
        <v>1090</v>
      </c>
      <c r="B544" s="1" t="s">
        <v>1091</v>
      </c>
      <c r="C544" s="1" t="s">
        <v>1526</v>
      </c>
      <c r="D544" s="1" t="s">
        <v>971</v>
      </c>
      <c r="E544" s="19">
        <v>1053.45</v>
      </c>
      <c r="F544" s="19">
        <v>0</v>
      </c>
    </row>
    <row r="545" spans="1:6" x14ac:dyDescent="0.35">
      <c r="A545" s="1" t="s">
        <v>2342</v>
      </c>
      <c r="B545" s="1" t="s">
        <v>842</v>
      </c>
      <c r="C545" s="1" t="s">
        <v>408</v>
      </c>
      <c r="D545" s="1" t="s">
        <v>409</v>
      </c>
      <c r="E545" s="19">
        <v>20</v>
      </c>
      <c r="F545" s="19">
        <v>0</v>
      </c>
    </row>
    <row r="546" spans="1:6" x14ac:dyDescent="0.35">
      <c r="A546" s="1" t="s">
        <v>2342</v>
      </c>
      <c r="B546" s="1" t="s">
        <v>842</v>
      </c>
      <c r="C546" s="1" t="s">
        <v>97</v>
      </c>
      <c r="D546" s="1" t="s">
        <v>98</v>
      </c>
      <c r="E546" s="19">
        <v>1499</v>
      </c>
      <c r="F546" s="19">
        <v>0</v>
      </c>
    </row>
    <row r="547" spans="1:6" x14ac:dyDescent="0.35">
      <c r="A547" s="1" t="s">
        <v>2343</v>
      </c>
      <c r="B547" s="1" t="s">
        <v>840</v>
      </c>
      <c r="C547" s="1" t="s">
        <v>408</v>
      </c>
      <c r="D547" s="1" t="s">
        <v>409</v>
      </c>
      <c r="E547" s="19">
        <v>20</v>
      </c>
      <c r="F547" s="19">
        <v>7.1</v>
      </c>
    </row>
    <row r="548" spans="1:6" x14ac:dyDescent="0.35">
      <c r="A548" s="1" t="s">
        <v>2343</v>
      </c>
      <c r="B548" s="1" t="s">
        <v>840</v>
      </c>
      <c r="C548" s="1" t="s">
        <v>97</v>
      </c>
      <c r="D548" s="1" t="s">
        <v>98</v>
      </c>
      <c r="E548" s="19">
        <v>1499</v>
      </c>
      <c r="F548" s="19">
        <v>531.9</v>
      </c>
    </row>
    <row r="549" spans="1:6" x14ac:dyDescent="0.35">
      <c r="A549" s="1" t="s">
        <v>2344</v>
      </c>
      <c r="B549" s="1" t="s">
        <v>423</v>
      </c>
      <c r="C549" s="1" t="s">
        <v>97</v>
      </c>
      <c r="D549" s="1" t="s">
        <v>98</v>
      </c>
      <c r="E549" s="19">
        <v>1499</v>
      </c>
      <c r="F549" s="19">
        <v>0</v>
      </c>
    </row>
    <row r="550" spans="1:6" x14ac:dyDescent="0.35">
      <c r="A550" s="1" t="s">
        <v>2344</v>
      </c>
      <c r="B550" s="1" t="s">
        <v>423</v>
      </c>
      <c r="C550" s="1" t="s">
        <v>1528</v>
      </c>
      <c r="D550" s="1" t="s">
        <v>1529</v>
      </c>
      <c r="E550" s="19">
        <v>999</v>
      </c>
      <c r="F550" s="19">
        <v>0</v>
      </c>
    </row>
    <row r="551" spans="1:6" x14ac:dyDescent="0.35">
      <c r="A551" s="1" t="s">
        <v>2345</v>
      </c>
      <c r="B551" s="1" t="s">
        <v>420</v>
      </c>
      <c r="C551" s="1" t="s">
        <v>97</v>
      </c>
      <c r="D551" s="1" t="s">
        <v>98</v>
      </c>
      <c r="E551" s="19">
        <v>1499</v>
      </c>
      <c r="F551" s="19">
        <v>0</v>
      </c>
    </row>
    <row r="552" spans="1:6" x14ac:dyDescent="0.35">
      <c r="A552" s="1" t="s">
        <v>2345</v>
      </c>
      <c r="B552" s="1" t="s">
        <v>420</v>
      </c>
      <c r="C552" s="1" t="s">
        <v>1528</v>
      </c>
      <c r="D552" s="1" t="s">
        <v>1529</v>
      </c>
      <c r="E552" s="19">
        <v>999</v>
      </c>
      <c r="F552" s="19">
        <v>0</v>
      </c>
    </row>
    <row r="553" spans="1:6" x14ac:dyDescent="0.35">
      <c r="A553" s="1" t="s">
        <v>1527</v>
      </c>
      <c r="B553" s="1" t="s">
        <v>420</v>
      </c>
      <c r="C553" s="1" t="s">
        <v>97</v>
      </c>
      <c r="D553" s="1" t="s">
        <v>98</v>
      </c>
      <c r="E553" s="19">
        <v>1499</v>
      </c>
      <c r="F553" s="19">
        <v>0</v>
      </c>
    </row>
    <row r="554" spans="1:6" x14ac:dyDescent="0.35">
      <c r="A554" s="1" t="s">
        <v>1527</v>
      </c>
      <c r="B554" s="1" t="s">
        <v>420</v>
      </c>
      <c r="C554" s="1" t="s">
        <v>1528</v>
      </c>
      <c r="D554" s="1" t="s">
        <v>1529</v>
      </c>
      <c r="E554" s="19">
        <v>999</v>
      </c>
      <c r="F554" s="19">
        <v>0</v>
      </c>
    </row>
    <row r="555" spans="1:6" x14ac:dyDescent="0.35">
      <c r="A555" s="1" t="s">
        <v>1530</v>
      </c>
      <c r="B555" s="1" t="s">
        <v>423</v>
      </c>
      <c r="C555" s="1" t="s">
        <v>97</v>
      </c>
      <c r="D555" s="1" t="s">
        <v>98</v>
      </c>
      <c r="E555" s="19">
        <v>1499</v>
      </c>
      <c r="F555" s="19">
        <v>0</v>
      </c>
    </row>
    <row r="556" spans="1:6" x14ac:dyDescent="0.35">
      <c r="A556" s="1" t="s">
        <v>1530</v>
      </c>
      <c r="B556" s="1" t="s">
        <v>423</v>
      </c>
      <c r="C556" s="1" t="s">
        <v>1528</v>
      </c>
      <c r="D556" s="1" t="s">
        <v>1529</v>
      </c>
      <c r="E556" s="19">
        <v>999</v>
      </c>
      <c r="F556" s="19">
        <v>0</v>
      </c>
    </row>
    <row r="557" spans="1:6" x14ac:dyDescent="0.35">
      <c r="A557" s="1" t="s">
        <v>2346</v>
      </c>
      <c r="B557" s="1" t="s">
        <v>630</v>
      </c>
      <c r="C557" s="1" t="s">
        <v>67</v>
      </c>
      <c r="D557" s="1" t="s">
        <v>68</v>
      </c>
      <c r="E557" s="19">
        <v>599</v>
      </c>
      <c r="F557" s="19">
        <v>0</v>
      </c>
    </row>
    <row r="558" spans="1:6" x14ac:dyDescent="0.35">
      <c r="A558" s="1" t="s">
        <v>289</v>
      </c>
      <c r="B558" s="1" t="s">
        <v>289</v>
      </c>
      <c r="C558" s="1" t="s">
        <v>289</v>
      </c>
      <c r="D558" s="1" t="s">
        <v>289</v>
      </c>
      <c r="E558" s="19"/>
      <c r="F558" s="19"/>
    </row>
    <row r="559" spans="1:6" x14ac:dyDescent="0.35">
      <c r="A559" s="1" t="s">
        <v>1202</v>
      </c>
      <c r="B559" s="1"/>
      <c r="C559" s="1"/>
      <c r="D559" s="1"/>
      <c r="E559" s="19">
        <v>393505.83000000077</v>
      </c>
      <c r="F559" s="19">
        <v>848.42000000000007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25834-02F8-4CD7-B907-2C966DFBC704}">
  <dimension ref="A1:F62"/>
  <sheetViews>
    <sheetView workbookViewId="0">
      <pane xSplit="4" ySplit="3" topLeftCell="E4" activePane="bottomRight" state="frozen"/>
      <selection pane="topRight" activeCell="E1" sqref="E1"/>
      <selection pane="bottomLeft" activeCell="A4" sqref="A4"/>
      <selection pane="bottomRight" activeCell="D4" sqref="D4"/>
    </sheetView>
  </sheetViews>
  <sheetFormatPr defaultColWidth="9.1796875" defaultRowHeight="14.5" x14ac:dyDescent="0.35"/>
  <cols>
    <col min="1" max="1" width="15" style="6" bestFit="1" customWidth="1"/>
    <col min="2" max="2" width="59.26953125" style="6" bestFit="1" customWidth="1"/>
    <col min="3" max="3" width="10.26953125" style="6" bestFit="1" customWidth="1"/>
    <col min="4" max="4" width="24.54296875" style="6" bestFit="1" customWidth="1"/>
    <col min="5" max="5" width="29.7265625" style="6" bestFit="1" customWidth="1"/>
    <col min="6" max="6" width="30.54296875" style="6" bestFit="1" customWidth="1"/>
    <col min="7" max="16384" width="9.1796875" style="6"/>
  </cols>
  <sheetData>
    <row r="1" spans="1:6" x14ac:dyDescent="0.35">
      <c r="A1" s="18" t="s">
        <v>1292</v>
      </c>
      <c r="B1" s="1" t="s">
        <v>1318</v>
      </c>
    </row>
    <row r="3" spans="1:6" x14ac:dyDescent="0.35">
      <c r="A3" s="18" t="s">
        <v>1287</v>
      </c>
      <c r="B3" s="18" t="s">
        <v>1290</v>
      </c>
      <c r="C3" s="18" t="s">
        <v>19</v>
      </c>
      <c r="D3" s="18" t="s">
        <v>20</v>
      </c>
      <c r="E3" s="34" t="s">
        <v>1320</v>
      </c>
      <c r="F3" s="1" t="s">
        <v>1322</v>
      </c>
    </row>
    <row r="4" spans="1:6" x14ac:dyDescent="0.35">
      <c r="A4" s="1" t="s">
        <v>2350</v>
      </c>
      <c r="B4" s="1" t="s">
        <v>2351</v>
      </c>
      <c r="C4" s="1" t="s">
        <v>48</v>
      </c>
      <c r="D4" s="1" t="s">
        <v>49</v>
      </c>
      <c r="E4" s="19">
        <v>0</v>
      </c>
      <c r="F4" s="19">
        <v>16.73</v>
      </c>
    </row>
    <row r="5" spans="1:6" x14ac:dyDescent="0.35">
      <c r="A5" s="1" t="s">
        <v>2040</v>
      </c>
      <c r="B5" s="1" t="s">
        <v>470</v>
      </c>
      <c r="C5" s="1" t="s">
        <v>48</v>
      </c>
      <c r="D5" s="1" t="s">
        <v>49</v>
      </c>
      <c r="E5" s="19">
        <v>0</v>
      </c>
      <c r="F5" s="19">
        <v>187.04</v>
      </c>
    </row>
    <row r="6" spans="1:6" x14ac:dyDescent="0.35">
      <c r="A6" s="1" t="s">
        <v>2047</v>
      </c>
      <c r="B6" s="1" t="s">
        <v>609</v>
      </c>
      <c r="C6" s="1" t="s">
        <v>48</v>
      </c>
      <c r="D6" s="1" t="s">
        <v>49</v>
      </c>
      <c r="E6" s="19">
        <v>0</v>
      </c>
      <c r="F6" s="19">
        <v>27.93</v>
      </c>
    </row>
    <row r="7" spans="1:6" x14ac:dyDescent="0.35">
      <c r="A7" s="1" t="s">
        <v>2049</v>
      </c>
      <c r="B7" s="1" t="s">
        <v>135</v>
      </c>
      <c r="C7" s="1" t="s">
        <v>48</v>
      </c>
      <c r="D7" s="1" t="s">
        <v>49</v>
      </c>
      <c r="E7" s="19">
        <v>0</v>
      </c>
      <c r="F7" s="19">
        <v>174.63</v>
      </c>
    </row>
    <row r="8" spans="1:6" x14ac:dyDescent="0.35">
      <c r="A8" s="1" t="s">
        <v>2051</v>
      </c>
      <c r="B8" s="1" t="s">
        <v>219</v>
      </c>
      <c r="C8" s="1" t="s">
        <v>48</v>
      </c>
      <c r="D8" s="1" t="s">
        <v>49</v>
      </c>
      <c r="E8" s="19">
        <v>0</v>
      </c>
      <c r="F8" s="19">
        <v>429.88</v>
      </c>
    </row>
    <row r="9" spans="1:6" x14ac:dyDescent="0.35">
      <c r="A9" s="1" t="s">
        <v>2058</v>
      </c>
      <c r="B9" s="1" t="s">
        <v>903</v>
      </c>
      <c r="C9" s="1" t="s">
        <v>48</v>
      </c>
      <c r="D9" s="1" t="s">
        <v>49</v>
      </c>
      <c r="E9" s="19">
        <v>0</v>
      </c>
      <c r="F9" s="19">
        <v>208.4</v>
      </c>
    </row>
    <row r="10" spans="1:6" x14ac:dyDescent="0.35">
      <c r="A10" s="1" t="s">
        <v>2062</v>
      </c>
      <c r="B10" s="1" t="s">
        <v>918</v>
      </c>
      <c r="C10" s="1" t="s">
        <v>48</v>
      </c>
      <c r="D10" s="1" t="s">
        <v>49</v>
      </c>
      <c r="E10" s="19">
        <v>0</v>
      </c>
      <c r="F10" s="19">
        <v>42.96</v>
      </c>
    </row>
    <row r="11" spans="1:6" x14ac:dyDescent="0.35">
      <c r="A11" s="1" t="s">
        <v>2069</v>
      </c>
      <c r="B11" s="1" t="s">
        <v>490</v>
      </c>
      <c r="C11" s="1" t="s">
        <v>48</v>
      </c>
      <c r="D11" s="1" t="s">
        <v>49</v>
      </c>
      <c r="E11" s="19">
        <v>0</v>
      </c>
      <c r="F11" s="19">
        <v>133.88999999999999</v>
      </c>
    </row>
    <row r="12" spans="1:6" x14ac:dyDescent="0.35">
      <c r="A12" s="1" t="s">
        <v>2071</v>
      </c>
      <c r="B12" s="1" t="s">
        <v>217</v>
      </c>
      <c r="C12" s="1" t="s">
        <v>48</v>
      </c>
      <c r="D12" s="1" t="s">
        <v>49</v>
      </c>
      <c r="E12" s="19">
        <v>0</v>
      </c>
      <c r="F12" s="19">
        <v>50.68</v>
      </c>
    </row>
    <row r="13" spans="1:6" x14ac:dyDescent="0.35">
      <c r="A13" s="1" t="s">
        <v>2081</v>
      </c>
      <c r="B13" s="1" t="s">
        <v>674</v>
      </c>
      <c r="C13" s="1" t="s">
        <v>48</v>
      </c>
      <c r="D13" s="1" t="s">
        <v>49</v>
      </c>
      <c r="E13" s="19">
        <v>0</v>
      </c>
      <c r="F13" s="19">
        <v>65.88</v>
      </c>
    </row>
    <row r="14" spans="1:6" x14ac:dyDescent="0.35">
      <c r="A14" s="1" t="s">
        <v>2086</v>
      </c>
      <c r="B14" s="1" t="s">
        <v>319</v>
      </c>
      <c r="C14" s="1" t="s">
        <v>48</v>
      </c>
      <c r="D14" s="1" t="s">
        <v>49</v>
      </c>
      <c r="E14" s="19">
        <v>0</v>
      </c>
      <c r="F14" s="19">
        <v>407.64</v>
      </c>
    </row>
    <row r="15" spans="1:6" x14ac:dyDescent="0.35">
      <c r="A15" s="1" t="s">
        <v>2091</v>
      </c>
      <c r="B15" s="1" t="s">
        <v>661</v>
      </c>
      <c r="C15" s="1" t="s">
        <v>48</v>
      </c>
      <c r="D15" s="1" t="s">
        <v>49</v>
      </c>
      <c r="E15" s="19">
        <v>0</v>
      </c>
      <c r="F15" s="19">
        <v>642.6</v>
      </c>
    </row>
    <row r="16" spans="1:6" x14ac:dyDescent="0.35">
      <c r="A16" s="1" t="s">
        <v>2095</v>
      </c>
      <c r="B16" s="1" t="s">
        <v>206</v>
      </c>
      <c r="C16" s="1" t="s">
        <v>48</v>
      </c>
      <c r="D16" s="1" t="s">
        <v>49</v>
      </c>
      <c r="E16" s="19">
        <v>0</v>
      </c>
      <c r="F16" s="19">
        <v>186.02</v>
      </c>
    </row>
    <row r="17" spans="1:6" x14ac:dyDescent="0.35">
      <c r="A17" s="1" t="s">
        <v>2097</v>
      </c>
      <c r="B17" s="1" t="s">
        <v>943</v>
      </c>
      <c r="C17" s="1" t="s">
        <v>48</v>
      </c>
      <c r="D17" s="1" t="s">
        <v>49</v>
      </c>
      <c r="E17" s="19">
        <v>0</v>
      </c>
      <c r="F17" s="19">
        <v>14.33</v>
      </c>
    </row>
    <row r="18" spans="1:6" x14ac:dyDescent="0.35">
      <c r="A18" s="1" t="s">
        <v>1851</v>
      </c>
      <c r="B18" s="1" t="s">
        <v>60</v>
      </c>
      <c r="C18" s="1" t="s">
        <v>48</v>
      </c>
      <c r="D18" s="1" t="s">
        <v>49</v>
      </c>
      <c r="E18" s="19">
        <v>0</v>
      </c>
      <c r="F18" s="19">
        <v>141</v>
      </c>
    </row>
    <row r="19" spans="1:6" x14ac:dyDescent="0.35">
      <c r="A19" s="1" t="s">
        <v>2101</v>
      </c>
      <c r="B19" s="1" t="s">
        <v>481</v>
      </c>
      <c r="C19" s="1" t="s">
        <v>48</v>
      </c>
      <c r="D19" s="1" t="s">
        <v>49</v>
      </c>
      <c r="E19" s="19">
        <v>0</v>
      </c>
      <c r="F19" s="19">
        <v>71.650000000000006</v>
      </c>
    </row>
    <row r="20" spans="1:6" x14ac:dyDescent="0.35">
      <c r="A20" s="1" t="s">
        <v>2352</v>
      </c>
      <c r="B20" s="1" t="s">
        <v>2353</v>
      </c>
      <c r="C20" s="1" t="s">
        <v>48</v>
      </c>
      <c r="D20" s="1" t="s">
        <v>49</v>
      </c>
      <c r="E20" s="19">
        <v>0</v>
      </c>
      <c r="F20" s="19">
        <v>20.66</v>
      </c>
    </row>
    <row r="21" spans="1:6" x14ac:dyDescent="0.35">
      <c r="A21" s="1" t="s">
        <v>2104</v>
      </c>
      <c r="B21" s="1" t="s">
        <v>803</v>
      </c>
      <c r="C21" s="1" t="s">
        <v>48</v>
      </c>
      <c r="D21" s="1" t="s">
        <v>49</v>
      </c>
      <c r="E21" s="19">
        <v>0</v>
      </c>
      <c r="F21" s="19">
        <v>6.07</v>
      </c>
    </row>
    <row r="22" spans="1:6" x14ac:dyDescent="0.35">
      <c r="A22" s="1" t="s">
        <v>2105</v>
      </c>
      <c r="B22" s="1" t="s">
        <v>793</v>
      </c>
      <c r="C22" s="1" t="s">
        <v>48</v>
      </c>
      <c r="D22" s="1" t="s">
        <v>49</v>
      </c>
      <c r="E22" s="19">
        <v>0</v>
      </c>
      <c r="F22" s="19">
        <v>310.77999999999997</v>
      </c>
    </row>
    <row r="23" spans="1:6" x14ac:dyDescent="0.35">
      <c r="A23" s="1" t="s">
        <v>2120</v>
      </c>
      <c r="B23" s="1" t="s">
        <v>706</v>
      </c>
      <c r="C23" s="1" t="s">
        <v>48</v>
      </c>
      <c r="D23" s="1" t="s">
        <v>49</v>
      </c>
      <c r="E23" s="19">
        <v>0</v>
      </c>
      <c r="F23" s="19">
        <v>6.84</v>
      </c>
    </row>
    <row r="24" spans="1:6" x14ac:dyDescent="0.35">
      <c r="A24" s="1" t="s">
        <v>2139</v>
      </c>
      <c r="B24" s="1" t="s">
        <v>742</v>
      </c>
      <c r="C24" s="1" t="s">
        <v>48</v>
      </c>
      <c r="D24" s="1" t="s">
        <v>49</v>
      </c>
      <c r="E24" s="19">
        <v>0</v>
      </c>
      <c r="F24" s="19">
        <v>549.67999999999995</v>
      </c>
    </row>
    <row r="25" spans="1:6" x14ac:dyDescent="0.35">
      <c r="A25" s="1" t="s">
        <v>2152</v>
      </c>
      <c r="B25" s="1" t="s">
        <v>365</v>
      </c>
      <c r="C25" s="1" t="s">
        <v>48</v>
      </c>
      <c r="D25" s="1" t="s">
        <v>49</v>
      </c>
      <c r="E25" s="19">
        <v>0</v>
      </c>
      <c r="F25" s="19">
        <v>130.65</v>
      </c>
    </row>
    <row r="26" spans="1:6" x14ac:dyDescent="0.35">
      <c r="A26" s="1" t="s">
        <v>2156</v>
      </c>
      <c r="B26" s="1" t="s">
        <v>215</v>
      </c>
      <c r="C26" s="1" t="s">
        <v>48</v>
      </c>
      <c r="D26" s="1" t="s">
        <v>49</v>
      </c>
      <c r="E26" s="19">
        <v>0</v>
      </c>
      <c r="F26" s="19">
        <v>674.18</v>
      </c>
    </row>
    <row r="27" spans="1:6" x14ac:dyDescent="0.35">
      <c r="A27" s="1" t="s">
        <v>2019</v>
      </c>
      <c r="B27" s="1" t="s">
        <v>103</v>
      </c>
      <c r="C27" s="1" t="s">
        <v>48</v>
      </c>
      <c r="D27" s="1" t="s">
        <v>49</v>
      </c>
      <c r="E27" s="19">
        <v>0</v>
      </c>
      <c r="F27" s="19">
        <v>54.58</v>
      </c>
    </row>
    <row r="28" spans="1:6" x14ac:dyDescent="0.35">
      <c r="A28" s="1" t="s">
        <v>2161</v>
      </c>
      <c r="B28" s="1" t="s">
        <v>799</v>
      </c>
      <c r="C28" s="1" t="s">
        <v>48</v>
      </c>
      <c r="D28" s="1" t="s">
        <v>49</v>
      </c>
      <c r="E28" s="19">
        <v>0</v>
      </c>
      <c r="F28" s="19">
        <v>177.13</v>
      </c>
    </row>
    <row r="29" spans="1:6" x14ac:dyDescent="0.35">
      <c r="A29" s="1" t="s">
        <v>2166</v>
      </c>
      <c r="B29" s="1" t="s">
        <v>923</v>
      </c>
      <c r="C29" s="1" t="s">
        <v>48</v>
      </c>
      <c r="D29" s="1" t="s">
        <v>49</v>
      </c>
      <c r="E29" s="19">
        <v>0</v>
      </c>
      <c r="F29" s="19">
        <v>181.28</v>
      </c>
    </row>
    <row r="30" spans="1:6" x14ac:dyDescent="0.35">
      <c r="A30" s="1" t="s">
        <v>2167</v>
      </c>
      <c r="B30" s="1" t="s">
        <v>759</v>
      </c>
      <c r="C30" s="1" t="s">
        <v>48</v>
      </c>
      <c r="D30" s="1" t="s">
        <v>49</v>
      </c>
      <c r="E30" s="19">
        <v>0</v>
      </c>
      <c r="F30" s="19">
        <v>616.41999999999996</v>
      </c>
    </row>
    <row r="31" spans="1:6" x14ac:dyDescent="0.35">
      <c r="A31" s="1" t="s">
        <v>2354</v>
      </c>
      <c r="B31" s="1" t="s">
        <v>2355</v>
      </c>
      <c r="C31" s="1" t="s">
        <v>48</v>
      </c>
      <c r="D31" s="1" t="s">
        <v>49</v>
      </c>
      <c r="E31" s="19">
        <v>0</v>
      </c>
      <c r="F31" s="19">
        <v>1.27</v>
      </c>
    </row>
    <row r="32" spans="1:6" x14ac:dyDescent="0.35">
      <c r="A32" s="1" t="s">
        <v>2172</v>
      </c>
      <c r="B32" s="1" t="s">
        <v>200</v>
      </c>
      <c r="C32" s="1" t="s">
        <v>48</v>
      </c>
      <c r="D32" s="1" t="s">
        <v>49</v>
      </c>
      <c r="E32" s="19">
        <v>0</v>
      </c>
      <c r="F32" s="19">
        <v>171.28</v>
      </c>
    </row>
    <row r="33" spans="1:6" x14ac:dyDescent="0.35">
      <c r="A33" s="1" t="s">
        <v>2179</v>
      </c>
      <c r="B33" s="1" t="s">
        <v>728</v>
      </c>
      <c r="C33" s="1" t="s">
        <v>48</v>
      </c>
      <c r="D33" s="1" t="s">
        <v>49</v>
      </c>
      <c r="E33" s="19">
        <v>0</v>
      </c>
      <c r="F33" s="19">
        <v>512.48</v>
      </c>
    </row>
    <row r="34" spans="1:6" x14ac:dyDescent="0.35">
      <c r="A34" s="1" t="s">
        <v>2184</v>
      </c>
      <c r="B34" s="1" t="s">
        <v>665</v>
      </c>
      <c r="C34" s="1" t="s">
        <v>74</v>
      </c>
      <c r="D34" s="1" t="s">
        <v>75</v>
      </c>
      <c r="E34" s="19">
        <v>0</v>
      </c>
      <c r="F34" s="19">
        <v>386.49</v>
      </c>
    </row>
    <row r="35" spans="1:6" x14ac:dyDescent="0.35">
      <c r="A35" s="1" t="s">
        <v>2190</v>
      </c>
      <c r="B35" s="1" t="s">
        <v>523</v>
      </c>
      <c r="C35" s="1" t="s">
        <v>48</v>
      </c>
      <c r="D35" s="1" t="s">
        <v>49</v>
      </c>
      <c r="E35" s="19">
        <v>0</v>
      </c>
      <c r="F35" s="19">
        <v>0.67</v>
      </c>
    </row>
    <row r="36" spans="1:6" x14ac:dyDescent="0.35">
      <c r="A36" s="1" t="s">
        <v>2192</v>
      </c>
      <c r="B36" s="1" t="s">
        <v>812</v>
      </c>
      <c r="C36" s="1" t="s">
        <v>48</v>
      </c>
      <c r="D36" s="1" t="s">
        <v>49</v>
      </c>
      <c r="E36" s="19">
        <v>0</v>
      </c>
      <c r="F36" s="19">
        <v>498.77</v>
      </c>
    </row>
    <row r="37" spans="1:6" x14ac:dyDescent="0.35">
      <c r="A37" s="1" t="s">
        <v>2211</v>
      </c>
      <c r="B37" s="1" t="s">
        <v>876</v>
      </c>
      <c r="C37" s="1" t="s">
        <v>48</v>
      </c>
      <c r="D37" s="1" t="s">
        <v>49</v>
      </c>
      <c r="E37" s="19">
        <v>0</v>
      </c>
      <c r="F37" s="19">
        <v>50.17</v>
      </c>
    </row>
    <row r="38" spans="1:6" x14ac:dyDescent="0.35">
      <c r="A38" s="1" t="s">
        <v>2212</v>
      </c>
      <c r="B38" s="1" t="s">
        <v>874</v>
      </c>
      <c r="C38" s="1" t="s">
        <v>48</v>
      </c>
      <c r="D38" s="1" t="s">
        <v>49</v>
      </c>
      <c r="E38" s="19">
        <v>0</v>
      </c>
      <c r="F38" s="19">
        <v>3.1</v>
      </c>
    </row>
    <row r="39" spans="1:6" x14ac:dyDescent="0.35">
      <c r="A39" s="1" t="s">
        <v>1835</v>
      </c>
      <c r="B39" s="1" t="s">
        <v>1837</v>
      </c>
      <c r="C39" s="1" t="s">
        <v>48</v>
      </c>
      <c r="D39" s="1" t="s">
        <v>49</v>
      </c>
      <c r="E39" s="19">
        <v>0</v>
      </c>
      <c r="F39" s="19">
        <v>103.26</v>
      </c>
    </row>
    <row r="40" spans="1:6" x14ac:dyDescent="0.35">
      <c r="A40" s="1" t="s">
        <v>1702</v>
      </c>
      <c r="B40" s="1" t="s">
        <v>416</v>
      </c>
      <c r="C40" s="1" t="s">
        <v>48</v>
      </c>
      <c r="D40" s="1" t="s">
        <v>49</v>
      </c>
      <c r="E40" s="19">
        <v>0</v>
      </c>
      <c r="F40" s="19">
        <v>393.17</v>
      </c>
    </row>
    <row r="41" spans="1:6" x14ac:dyDescent="0.35">
      <c r="A41" s="1" t="s">
        <v>2234</v>
      </c>
      <c r="B41" s="1" t="s">
        <v>815</v>
      </c>
      <c r="C41" s="1" t="s">
        <v>48</v>
      </c>
      <c r="D41" s="1" t="s">
        <v>49</v>
      </c>
      <c r="E41" s="19">
        <v>0</v>
      </c>
      <c r="F41" s="19">
        <v>867.04</v>
      </c>
    </row>
    <row r="42" spans="1:6" x14ac:dyDescent="0.35">
      <c r="A42" s="1" t="s">
        <v>2236</v>
      </c>
      <c r="B42" s="1" t="s">
        <v>537</v>
      </c>
      <c r="C42" s="1" t="s">
        <v>48</v>
      </c>
      <c r="D42" s="1" t="s">
        <v>49</v>
      </c>
      <c r="E42" s="19">
        <v>0</v>
      </c>
      <c r="F42" s="19">
        <v>244.46</v>
      </c>
    </row>
    <row r="43" spans="1:6" x14ac:dyDescent="0.35">
      <c r="A43" s="1" t="s">
        <v>2239</v>
      </c>
      <c r="B43" s="1" t="s">
        <v>783</v>
      </c>
      <c r="C43" s="1" t="s">
        <v>48</v>
      </c>
      <c r="D43" s="1" t="s">
        <v>49</v>
      </c>
      <c r="E43" s="19">
        <v>0</v>
      </c>
      <c r="F43" s="19">
        <v>293.7</v>
      </c>
    </row>
    <row r="44" spans="1:6" x14ac:dyDescent="0.35">
      <c r="A44" s="1" t="s">
        <v>2356</v>
      </c>
      <c r="B44" s="1" t="s">
        <v>2357</v>
      </c>
      <c r="C44" s="1" t="s">
        <v>48</v>
      </c>
      <c r="D44" s="1" t="s">
        <v>49</v>
      </c>
      <c r="E44" s="19">
        <v>0</v>
      </c>
      <c r="F44" s="19">
        <v>403.97</v>
      </c>
    </row>
    <row r="45" spans="1:6" x14ac:dyDescent="0.35">
      <c r="A45" s="1" t="s">
        <v>2242</v>
      </c>
      <c r="B45" s="1" t="s">
        <v>583</v>
      </c>
      <c r="C45" s="1" t="s">
        <v>48</v>
      </c>
      <c r="D45" s="1" t="s">
        <v>49</v>
      </c>
      <c r="E45" s="19">
        <v>0</v>
      </c>
      <c r="F45" s="19">
        <v>88.61</v>
      </c>
    </row>
    <row r="46" spans="1:6" x14ac:dyDescent="0.35">
      <c r="A46" s="1" t="s">
        <v>2246</v>
      </c>
      <c r="B46" s="1" t="s">
        <v>672</v>
      </c>
      <c r="C46" s="1" t="s">
        <v>48</v>
      </c>
      <c r="D46" s="1" t="s">
        <v>49</v>
      </c>
      <c r="E46" s="19">
        <v>0</v>
      </c>
      <c r="F46" s="19">
        <v>253.59</v>
      </c>
    </row>
    <row r="47" spans="1:6" x14ac:dyDescent="0.35">
      <c r="A47" s="1" t="s">
        <v>2251</v>
      </c>
      <c r="B47" s="1" t="s">
        <v>935</v>
      </c>
      <c r="C47" s="1" t="s">
        <v>48</v>
      </c>
      <c r="D47" s="1" t="s">
        <v>49</v>
      </c>
      <c r="E47" s="19">
        <v>0</v>
      </c>
      <c r="F47" s="19">
        <v>68.349999999999994</v>
      </c>
    </row>
    <row r="48" spans="1:6" x14ac:dyDescent="0.35">
      <c r="A48" s="1" t="s">
        <v>2257</v>
      </c>
      <c r="B48" s="1" t="s">
        <v>796</v>
      </c>
      <c r="C48" s="1" t="s">
        <v>48</v>
      </c>
      <c r="D48" s="1" t="s">
        <v>49</v>
      </c>
      <c r="E48" s="19">
        <v>0</v>
      </c>
      <c r="F48" s="19">
        <v>0.81</v>
      </c>
    </row>
    <row r="49" spans="1:6" x14ac:dyDescent="0.35">
      <c r="A49" s="1" t="s">
        <v>2260</v>
      </c>
      <c r="B49" s="1" t="s">
        <v>747</v>
      </c>
      <c r="C49" s="1" t="s">
        <v>48</v>
      </c>
      <c r="D49" s="1" t="s">
        <v>49</v>
      </c>
      <c r="E49" s="19">
        <v>0</v>
      </c>
      <c r="F49" s="19">
        <v>243.99</v>
      </c>
    </row>
    <row r="50" spans="1:6" x14ac:dyDescent="0.35">
      <c r="A50" s="1" t="s">
        <v>2261</v>
      </c>
      <c r="B50" s="1" t="s">
        <v>566</v>
      </c>
      <c r="C50" s="1" t="s">
        <v>48</v>
      </c>
      <c r="D50" s="1" t="s">
        <v>49</v>
      </c>
      <c r="E50" s="19">
        <v>0</v>
      </c>
      <c r="F50" s="19">
        <v>73.17</v>
      </c>
    </row>
    <row r="51" spans="1:6" x14ac:dyDescent="0.35">
      <c r="A51" s="1" t="s">
        <v>2281</v>
      </c>
      <c r="B51" s="1" t="s">
        <v>749</v>
      </c>
      <c r="C51" s="1" t="s">
        <v>48</v>
      </c>
      <c r="D51" s="1" t="s">
        <v>49</v>
      </c>
      <c r="E51" s="19">
        <v>0</v>
      </c>
      <c r="F51" s="19">
        <v>955.96</v>
      </c>
    </row>
    <row r="52" spans="1:6" x14ac:dyDescent="0.35">
      <c r="A52" s="1" t="s">
        <v>1991</v>
      </c>
      <c r="B52" s="1" t="s">
        <v>62</v>
      </c>
      <c r="C52" s="1" t="s">
        <v>48</v>
      </c>
      <c r="D52" s="1" t="s">
        <v>49</v>
      </c>
      <c r="E52" s="19">
        <v>0</v>
      </c>
      <c r="F52" s="19">
        <v>586.51</v>
      </c>
    </row>
    <row r="53" spans="1:6" x14ac:dyDescent="0.35">
      <c r="A53" s="1" t="s">
        <v>2285</v>
      </c>
      <c r="B53" s="1" t="s">
        <v>485</v>
      </c>
      <c r="C53" s="1" t="s">
        <v>48</v>
      </c>
      <c r="D53" s="1" t="s">
        <v>49</v>
      </c>
      <c r="E53" s="19">
        <v>0</v>
      </c>
      <c r="F53" s="19">
        <v>9.8699999999999992</v>
      </c>
    </row>
    <row r="54" spans="1:6" x14ac:dyDescent="0.35">
      <c r="A54" s="1" t="s">
        <v>2293</v>
      </c>
      <c r="B54" s="1" t="s">
        <v>752</v>
      </c>
      <c r="C54" s="1" t="s">
        <v>48</v>
      </c>
      <c r="D54" s="1" t="s">
        <v>49</v>
      </c>
      <c r="E54" s="19">
        <v>0</v>
      </c>
      <c r="F54" s="19">
        <v>451.37</v>
      </c>
    </row>
    <row r="55" spans="1:6" x14ac:dyDescent="0.35">
      <c r="A55" s="1" t="s">
        <v>2358</v>
      </c>
      <c r="B55" s="1" t="s">
        <v>2359</v>
      </c>
      <c r="C55" s="1" t="s">
        <v>48</v>
      </c>
      <c r="D55" s="1" t="s">
        <v>49</v>
      </c>
      <c r="E55" s="19">
        <v>0</v>
      </c>
      <c r="F55" s="19">
        <v>17.72</v>
      </c>
    </row>
    <row r="56" spans="1:6" x14ac:dyDescent="0.35">
      <c r="A56" s="1" t="s">
        <v>2306</v>
      </c>
      <c r="B56" s="1" t="s">
        <v>668</v>
      </c>
      <c r="C56" s="1" t="s">
        <v>48</v>
      </c>
      <c r="D56" s="1" t="s">
        <v>49</v>
      </c>
      <c r="E56" s="19">
        <v>0</v>
      </c>
      <c r="F56" s="19">
        <v>55.34</v>
      </c>
    </row>
    <row r="57" spans="1:6" x14ac:dyDescent="0.35">
      <c r="A57" s="1" t="s">
        <v>2360</v>
      </c>
      <c r="B57" s="1" t="s">
        <v>492</v>
      </c>
      <c r="C57" s="1" t="s">
        <v>48</v>
      </c>
      <c r="D57" s="1" t="s">
        <v>49</v>
      </c>
      <c r="E57" s="19">
        <v>0</v>
      </c>
      <c r="F57" s="19">
        <v>549.52</v>
      </c>
    </row>
    <row r="58" spans="1:6" x14ac:dyDescent="0.35">
      <c r="A58" s="1" t="s">
        <v>2316</v>
      </c>
      <c r="B58" s="1" t="s">
        <v>560</v>
      </c>
      <c r="C58" s="1" t="s">
        <v>48</v>
      </c>
      <c r="D58" s="1" t="s">
        <v>49</v>
      </c>
      <c r="E58" s="19">
        <v>0</v>
      </c>
      <c r="F58" s="19">
        <v>110.28</v>
      </c>
    </row>
    <row r="59" spans="1:6" x14ac:dyDescent="0.35">
      <c r="A59" s="1" t="s">
        <v>2327</v>
      </c>
      <c r="B59" s="1" t="s">
        <v>562</v>
      </c>
      <c r="C59" s="1" t="s">
        <v>48</v>
      </c>
      <c r="D59" s="1" t="s">
        <v>49</v>
      </c>
      <c r="E59" s="19">
        <v>0</v>
      </c>
      <c r="F59" s="19">
        <v>156.94999999999999</v>
      </c>
    </row>
    <row r="60" spans="1:6" x14ac:dyDescent="0.35">
      <c r="A60" s="1" t="s">
        <v>2361</v>
      </c>
      <c r="B60" s="1" t="s">
        <v>2362</v>
      </c>
      <c r="C60" s="1" t="s">
        <v>48</v>
      </c>
      <c r="D60" s="1" t="s">
        <v>49</v>
      </c>
      <c r="E60" s="19">
        <v>0</v>
      </c>
      <c r="F60" s="19">
        <v>37.68</v>
      </c>
    </row>
    <row r="61" spans="1:6" x14ac:dyDescent="0.35">
      <c r="A61" s="1" t="s">
        <v>2346</v>
      </c>
      <c r="B61" s="1" t="s">
        <v>630</v>
      </c>
      <c r="C61" s="1" t="s">
        <v>48</v>
      </c>
      <c r="D61" s="1" t="s">
        <v>49</v>
      </c>
      <c r="E61" s="19">
        <v>0</v>
      </c>
      <c r="F61" s="19">
        <v>75.02</v>
      </c>
    </row>
    <row r="62" spans="1:6" x14ac:dyDescent="0.35">
      <c r="A62" s="1" t="s">
        <v>1202</v>
      </c>
      <c r="B62" s="1"/>
      <c r="C62" s="1"/>
      <c r="D62" s="1"/>
      <c r="E62" s="19">
        <v>0</v>
      </c>
      <c r="F62" s="19">
        <v>13194.100000000004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939BE-F1F4-48C3-9F1A-F903FF80484B}">
  <dimension ref="A3:G110"/>
  <sheetViews>
    <sheetView workbookViewId="0">
      <pane xSplit="4" ySplit="3" topLeftCell="G20" activePane="bottomRight" state="frozen"/>
      <selection pane="topRight" activeCell="E1" sqref="E1"/>
      <selection pane="bottomLeft" activeCell="A4" sqref="A4"/>
      <selection pane="bottomRight" activeCell="A38" sqref="A38"/>
    </sheetView>
  </sheetViews>
  <sheetFormatPr defaultColWidth="9.1796875" defaultRowHeight="14.5" x14ac:dyDescent="0.35"/>
  <cols>
    <col min="1" max="1" width="15" style="6" bestFit="1" customWidth="1"/>
    <col min="2" max="2" width="52.453125" style="6" bestFit="1" customWidth="1"/>
    <col min="3" max="3" width="17.7265625" style="6" bestFit="1" customWidth="1"/>
    <col min="4" max="4" width="63.1796875" style="6" bestFit="1" customWidth="1"/>
    <col min="5" max="5" width="19.54296875" style="20" bestFit="1" customWidth="1"/>
    <col min="6" max="6" width="12" style="20" bestFit="1" customWidth="1"/>
    <col min="7" max="7" width="15.7265625" style="6" bestFit="1" customWidth="1"/>
    <col min="8" max="8" width="9.1796875" style="6"/>
    <col min="9" max="9" width="7.453125" style="6" bestFit="1" customWidth="1"/>
    <col min="10" max="10" width="8.54296875" style="6" bestFit="1" customWidth="1"/>
    <col min="11" max="11" width="9.1796875" style="6"/>
    <col min="12" max="12" width="7.453125" style="6" bestFit="1" customWidth="1"/>
    <col min="13" max="13" width="8.54296875" style="6" bestFit="1" customWidth="1"/>
    <col min="14" max="16384" width="9.1796875" style="6"/>
  </cols>
  <sheetData>
    <row r="3" spans="1:7" x14ac:dyDescent="0.35">
      <c r="A3" s="6" t="s">
        <v>1287</v>
      </c>
      <c r="B3" s="6" t="s">
        <v>1290</v>
      </c>
      <c r="C3" s="6" t="s">
        <v>19</v>
      </c>
      <c r="D3" s="6" t="s">
        <v>20</v>
      </c>
      <c r="E3" s="20" t="s">
        <v>1589</v>
      </c>
      <c r="F3" s="20" t="s">
        <v>1599</v>
      </c>
      <c r="G3" s="6" t="s">
        <v>2363</v>
      </c>
    </row>
    <row r="4" spans="1:7" x14ac:dyDescent="0.35">
      <c r="A4" s="6" t="s">
        <v>46</v>
      </c>
      <c r="B4" s="6" t="s">
        <v>47</v>
      </c>
      <c r="C4" s="6" t="s">
        <v>48</v>
      </c>
      <c r="D4" s="6" t="s">
        <v>49</v>
      </c>
      <c r="E4" s="20">
        <v>44053</v>
      </c>
      <c r="F4" s="20">
        <v>45961</v>
      </c>
      <c r="G4" s="6">
        <v>1</v>
      </c>
    </row>
    <row r="5" spans="1:7" x14ac:dyDescent="0.35">
      <c r="C5" s="6" t="s">
        <v>35</v>
      </c>
      <c r="D5" s="6" t="s">
        <v>36</v>
      </c>
      <c r="E5" s="20">
        <v>43862</v>
      </c>
      <c r="F5" s="20">
        <v>44052</v>
      </c>
      <c r="G5" s="6">
        <v>1</v>
      </c>
    </row>
    <row r="6" spans="1:7" x14ac:dyDescent="0.35">
      <c r="C6" s="6" t="s">
        <v>67</v>
      </c>
      <c r="D6" s="6" t="s">
        <v>68</v>
      </c>
      <c r="E6" s="20">
        <v>45980</v>
      </c>
      <c r="F6" s="20" t="s">
        <v>289</v>
      </c>
      <c r="G6" s="6">
        <v>1</v>
      </c>
    </row>
    <row r="7" spans="1:7" x14ac:dyDescent="0.35">
      <c r="A7" s="6" t="s">
        <v>2364</v>
      </c>
      <c r="G7" s="6">
        <v>3</v>
      </c>
    </row>
    <row r="8" spans="1:7" x14ac:dyDescent="0.35">
      <c r="A8" s="6" t="s">
        <v>1883</v>
      </c>
      <c r="B8" s="6" t="s">
        <v>110</v>
      </c>
      <c r="C8" s="6" t="s">
        <v>42</v>
      </c>
      <c r="D8" s="6" t="s">
        <v>43</v>
      </c>
      <c r="E8" s="20" t="s">
        <v>289</v>
      </c>
      <c r="F8" s="20" t="s">
        <v>289</v>
      </c>
      <c r="G8" s="6">
        <v>1</v>
      </c>
    </row>
    <row r="9" spans="1:7" x14ac:dyDescent="0.35">
      <c r="A9" s="6" t="s">
        <v>2365</v>
      </c>
      <c r="G9" s="6">
        <v>1</v>
      </c>
    </row>
    <row r="10" spans="1:7" x14ac:dyDescent="0.35">
      <c r="A10" s="6" t="s">
        <v>1647</v>
      </c>
      <c r="B10" s="6" t="s">
        <v>52</v>
      </c>
      <c r="C10" s="6" t="s">
        <v>42</v>
      </c>
      <c r="D10" s="6" t="s">
        <v>43</v>
      </c>
      <c r="E10" s="20">
        <v>44105</v>
      </c>
      <c r="F10" s="20">
        <v>44500</v>
      </c>
      <c r="G10" s="6">
        <v>1</v>
      </c>
    </row>
    <row r="11" spans="1:7" x14ac:dyDescent="0.35">
      <c r="C11" s="6" t="s">
        <v>1940</v>
      </c>
      <c r="D11" s="6" t="s">
        <v>1941</v>
      </c>
      <c r="E11" s="20">
        <v>44298</v>
      </c>
      <c r="F11" s="20">
        <v>44530</v>
      </c>
      <c r="G11" s="6">
        <v>1</v>
      </c>
    </row>
    <row r="12" spans="1:7" x14ac:dyDescent="0.35">
      <c r="C12" s="6" t="s">
        <v>1658</v>
      </c>
      <c r="D12" s="6" t="s">
        <v>1659</v>
      </c>
      <c r="E12" s="20">
        <v>44501</v>
      </c>
      <c r="F12" s="20">
        <v>45278</v>
      </c>
      <c r="G12" s="6">
        <v>1</v>
      </c>
    </row>
    <row r="13" spans="1:7" x14ac:dyDescent="0.35">
      <c r="E13" s="20">
        <v>45279</v>
      </c>
      <c r="F13" s="20">
        <v>45412</v>
      </c>
      <c r="G13" s="6">
        <v>1</v>
      </c>
    </row>
    <row r="14" spans="1:7" x14ac:dyDescent="0.35">
      <c r="E14" s="20">
        <v>45299</v>
      </c>
      <c r="F14" s="20">
        <v>45347</v>
      </c>
      <c r="G14" s="6">
        <v>1</v>
      </c>
    </row>
    <row r="15" spans="1:7" x14ac:dyDescent="0.35">
      <c r="E15" s="20">
        <v>45348</v>
      </c>
      <c r="F15" s="20" t="s">
        <v>289</v>
      </c>
      <c r="G15" s="6">
        <v>1</v>
      </c>
    </row>
    <row r="16" spans="1:7" x14ac:dyDescent="0.35">
      <c r="A16" s="6" t="s">
        <v>2366</v>
      </c>
      <c r="G16" s="6">
        <v>6</v>
      </c>
    </row>
    <row r="17" spans="1:7" x14ac:dyDescent="0.35">
      <c r="A17" s="6" t="s">
        <v>1949</v>
      </c>
      <c r="B17" s="6" t="s">
        <v>71</v>
      </c>
      <c r="C17" s="6" t="s">
        <v>35</v>
      </c>
      <c r="D17" s="6" t="s">
        <v>36</v>
      </c>
      <c r="E17" s="20">
        <v>43862</v>
      </c>
      <c r="F17" s="20">
        <v>44651</v>
      </c>
      <c r="G17" s="6">
        <v>1</v>
      </c>
    </row>
    <row r="18" spans="1:7" x14ac:dyDescent="0.35">
      <c r="C18" s="6" t="s">
        <v>42</v>
      </c>
      <c r="D18" s="6" t="s">
        <v>43</v>
      </c>
      <c r="E18" s="20">
        <v>44657</v>
      </c>
      <c r="F18" s="20">
        <v>45777</v>
      </c>
      <c r="G18" s="6">
        <v>1</v>
      </c>
    </row>
    <row r="19" spans="1:7" x14ac:dyDescent="0.35">
      <c r="A19" s="6" t="s">
        <v>2367</v>
      </c>
      <c r="G19" s="6">
        <v>2</v>
      </c>
    </row>
    <row r="20" spans="1:7" x14ac:dyDescent="0.35">
      <c r="A20" s="6" t="s">
        <v>2010</v>
      </c>
      <c r="B20" s="6" t="s">
        <v>64</v>
      </c>
      <c r="C20" s="6" t="s">
        <v>48</v>
      </c>
      <c r="D20" s="6" t="s">
        <v>49</v>
      </c>
      <c r="E20" s="20">
        <v>44013</v>
      </c>
      <c r="F20" s="20">
        <v>45777</v>
      </c>
      <c r="G20" s="6">
        <v>1</v>
      </c>
    </row>
    <row r="21" spans="1:7" x14ac:dyDescent="0.35">
      <c r="C21" s="6" t="s">
        <v>35</v>
      </c>
      <c r="D21" s="6" t="s">
        <v>36</v>
      </c>
      <c r="E21" s="20">
        <v>43862</v>
      </c>
      <c r="F21" s="20">
        <v>44012</v>
      </c>
      <c r="G21" s="6">
        <v>1</v>
      </c>
    </row>
    <row r="22" spans="1:7" x14ac:dyDescent="0.35">
      <c r="A22" s="6" t="s">
        <v>2368</v>
      </c>
      <c r="G22" s="6">
        <v>2</v>
      </c>
    </row>
    <row r="23" spans="1:7" x14ac:dyDescent="0.35">
      <c r="A23" s="6" t="s">
        <v>1851</v>
      </c>
      <c r="B23" s="6" t="s">
        <v>60</v>
      </c>
      <c r="C23" s="6" t="s">
        <v>48</v>
      </c>
      <c r="D23" s="6" t="s">
        <v>49</v>
      </c>
      <c r="E23" s="20">
        <v>44013</v>
      </c>
      <c r="F23" s="20">
        <v>45777</v>
      </c>
      <c r="G23" s="6">
        <v>1</v>
      </c>
    </row>
    <row r="24" spans="1:7" x14ac:dyDescent="0.35">
      <c r="A24" s="6" t="s">
        <v>2369</v>
      </c>
      <c r="G24" s="6">
        <v>1</v>
      </c>
    </row>
    <row r="25" spans="1:7" x14ac:dyDescent="0.35">
      <c r="A25" s="6" t="s">
        <v>1686</v>
      </c>
      <c r="B25" s="6" t="s">
        <v>86</v>
      </c>
      <c r="C25" s="6" t="s">
        <v>35</v>
      </c>
      <c r="D25" s="6" t="s">
        <v>36</v>
      </c>
      <c r="E25" s="20">
        <v>43862</v>
      </c>
      <c r="F25" s="20">
        <v>43951</v>
      </c>
      <c r="G25" s="6">
        <v>1</v>
      </c>
    </row>
    <row r="26" spans="1:7" x14ac:dyDescent="0.35">
      <c r="C26" s="6" t="s">
        <v>87</v>
      </c>
      <c r="D26" s="6" t="s">
        <v>88</v>
      </c>
      <c r="E26" s="20">
        <v>43965</v>
      </c>
      <c r="F26" s="20">
        <v>44250</v>
      </c>
      <c r="G26" s="6">
        <v>1</v>
      </c>
    </row>
    <row r="27" spans="1:7" x14ac:dyDescent="0.35">
      <c r="E27" s="20">
        <v>44251</v>
      </c>
      <c r="F27" s="20">
        <v>45384</v>
      </c>
      <c r="G27" s="6">
        <v>1</v>
      </c>
    </row>
    <row r="28" spans="1:7" x14ac:dyDescent="0.35">
      <c r="E28" s="20">
        <v>45385</v>
      </c>
      <c r="F28" s="20">
        <v>45930</v>
      </c>
      <c r="G28" s="6">
        <v>1</v>
      </c>
    </row>
    <row r="29" spans="1:7" x14ac:dyDescent="0.35">
      <c r="A29" s="6" t="s">
        <v>2370</v>
      </c>
      <c r="G29" s="6">
        <v>4</v>
      </c>
    </row>
    <row r="30" spans="1:7" x14ac:dyDescent="0.35">
      <c r="A30" s="6" t="s">
        <v>1721</v>
      </c>
      <c r="B30" s="6" t="s">
        <v>57</v>
      </c>
      <c r="C30" s="6" t="s">
        <v>35</v>
      </c>
      <c r="D30" s="6" t="s">
        <v>36</v>
      </c>
      <c r="E30" s="20">
        <v>43862</v>
      </c>
      <c r="F30" s="20">
        <v>45869</v>
      </c>
      <c r="G30" s="6">
        <v>1</v>
      </c>
    </row>
    <row r="31" spans="1:7" x14ac:dyDescent="0.35">
      <c r="A31" s="6" t="s">
        <v>2371</v>
      </c>
      <c r="G31" s="6">
        <v>1</v>
      </c>
    </row>
    <row r="32" spans="1:7" x14ac:dyDescent="0.35">
      <c r="A32" s="6" t="s">
        <v>1928</v>
      </c>
      <c r="B32" s="6" t="s">
        <v>106</v>
      </c>
      <c r="C32" s="6" t="s">
        <v>74</v>
      </c>
      <c r="D32" s="6" t="s">
        <v>75</v>
      </c>
      <c r="E32" s="20">
        <v>44082</v>
      </c>
      <c r="F32" s="20">
        <v>45412</v>
      </c>
      <c r="G32" s="6">
        <v>1</v>
      </c>
    </row>
    <row r="33" spans="1:7" x14ac:dyDescent="0.35">
      <c r="A33" s="6" t="s">
        <v>2372</v>
      </c>
      <c r="G33" s="6">
        <v>1</v>
      </c>
    </row>
    <row r="34" spans="1:7" x14ac:dyDescent="0.35">
      <c r="A34" s="6" t="s">
        <v>1712</v>
      </c>
      <c r="B34" s="6" t="s">
        <v>125</v>
      </c>
      <c r="C34" s="6" t="s">
        <v>35</v>
      </c>
      <c r="D34" s="6" t="s">
        <v>36</v>
      </c>
      <c r="E34" s="20">
        <v>43862</v>
      </c>
      <c r="F34" s="20">
        <v>45273</v>
      </c>
      <c r="G34" s="6">
        <v>1</v>
      </c>
    </row>
    <row r="35" spans="1:7" x14ac:dyDescent="0.35">
      <c r="C35" s="6" t="s">
        <v>1996</v>
      </c>
      <c r="D35" s="6" t="s">
        <v>1997</v>
      </c>
      <c r="E35" s="20">
        <v>45274</v>
      </c>
      <c r="F35" s="20" t="s">
        <v>289</v>
      </c>
      <c r="G35" s="6">
        <v>1</v>
      </c>
    </row>
    <row r="36" spans="1:7" x14ac:dyDescent="0.35">
      <c r="A36" s="6" t="s">
        <v>2373</v>
      </c>
      <c r="G36" s="6">
        <v>2</v>
      </c>
    </row>
    <row r="37" spans="1:7" x14ac:dyDescent="0.35">
      <c r="A37" s="6" t="s">
        <v>1861</v>
      </c>
      <c r="B37" s="6" t="s">
        <v>34</v>
      </c>
      <c r="C37" s="6" t="s">
        <v>35</v>
      </c>
      <c r="D37" s="6" t="s">
        <v>36</v>
      </c>
      <c r="E37" s="20">
        <v>44707</v>
      </c>
      <c r="F37" s="20">
        <v>45808</v>
      </c>
      <c r="G37" s="6">
        <v>1</v>
      </c>
    </row>
    <row r="38" spans="1:7" x14ac:dyDescent="0.35">
      <c r="A38" s="6" t="s">
        <v>2374</v>
      </c>
      <c r="G38" s="6">
        <v>1</v>
      </c>
    </row>
    <row r="39" spans="1:7" x14ac:dyDescent="0.35">
      <c r="A39" s="6" t="s">
        <v>2019</v>
      </c>
      <c r="B39" s="6" t="s">
        <v>103</v>
      </c>
      <c r="C39" s="6" t="s">
        <v>35</v>
      </c>
      <c r="D39" s="6" t="s">
        <v>36</v>
      </c>
      <c r="E39" s="20">
        <v>43862</v>
      </c>
      <c r="F39" s="20">
        <v>45322</v>
      </c>
      <c r="G39" s="6">
        <v>1</v>
      </c>
    </row>
    <row r="40" spans="1:7" x14ac:dyDescent="0.35">
      <c r="A40" s="6" t="s">
        <v>2375</v>
      </c>
      <c r="G40" s="6">
        <v>1</v>
      </c>
    </row>
    <row r="41" spans="1:7" x14ac:dyDescent="0.35">
      <c r="A41" s="6" t="s">
        <v>1983</v>
      </c>
      <c r="B41" s="6" t="s">
        <v>93</v>
      </c>
      <c r="C41" s="6" t="s">
        <v>35</v>
      </c>
      <c r="D41" s="6" t="s">
        <v>36</v>
      </c>
      <c r="E41" s="20">
        <v>43862</v>
      </c>
      <c r="F41" s="20">
        <v>43878</v>
      </c>
      <c r="G41" s="6">
        <v>1</v>
      </c>
    </row>
    <row r="42" spans="1:7" x14ac:dyDescent="0.35">
      <c r="A42" s="6" t="s">
        <v>2376</v>
      </c>
      <c r="G42" s="6">
        <v>1</v>
      </c>
    </row>
    <row r="43" spans="1:7" x14ac:dyDescent="0.35">
      <c r="A43" s="6" t="s">
        <v>1671</v>
      </c>
      <c r="B43" s="6" t="s">
        <v>127</v>
      </c>
      <c r="C43" s="6" t="s">
        <v>35</v>
      </c>
      <c r="D43" s="6" t="s">
        <v>36</v>
      </c>
      <c r="E43" s="20">
        <v>43862</v>
      </c>
      <c r="F43" s="20">
        <v>44500</v>
      </c>
      <c r="G43" s="6">
        <v>1</v>
      </c>
    </row>
    <row r="44" spans="1:7" x14ac:dyDescent="0.35">
      <c r="C44" s="6" t="s">
        <v>1668</v>
      </c>
      <c r="D44" s="6" t="s">
        <v>1669</v>
      </c>
      <c r="E44" s="20">
        <v>43724</v>
      </c>
      <c r="F44" s="20">
        <v>44472</v>
      </c>
      <c r="G44" s="6">
        <v>1</v>
      </c>
    </row>
    <row r="45" spans="1:7" x14ac:dyDescent="0.35">
      <c r="E45" s="20">
        <v>44473</v>
      </c>
      <c r="F45" s="20">
        <v>45868</v>
      </c>
      <c r="G45" s="6">
        <v>1</v>
      </c>
    </row>
    <row r="46" spans="1:7" x14ac:dyDescent="0.35">
      <c r="C46" s="6" t="s">
        <v>1683</v>
      </c>
      <c r="D46" s="6" t="s">
        <v>1684</v>
      </c>
      <c r="E46" s="20">
        <v>45869</v>
      </c>
      <c r="F46" s="20" t="s">
        <v>289</v>
      </c>
      <c r="G46" s="6">
        <v>1</v>
      </c>
    </row>
    <row r="47" spans="1:7" x14ac:dyDescent="0.35">
      <c r="A47" s="6" t="s">
        <v>2377</v>
      </c>
      <c r="G47" s="6">
        <v>4</v>
      </c>
    </row>
    <row r="48" spans="1:7" x14ac:dyDescent="0.35">
      <c r="A48" s="6" t="s">
        <v>1875</v>
      </c>
      <c r="B48" s="6" t="s">
        <v>84</v>
      </c>
      <c r="C48" s="6" t="s">
        <v>74</v>
      </c>
      <c r="D48" s="6" t="s">
        <v>75</v>
      </c>
      <c r="E48" s="20">
        <v>44958</v>
      </c>
      <c r="F48" s="20">
        <v>45930</v>
      </c>
      <c r="G48" s="6">
        <v>1</v>
      </c>
    </row>
    <row r="49" spans="1:7" x14ac:dyDescent="0.35">
      <c r="A49" s="6" t="s">
        <v>2378</v>
      </c>
      <c r="G49" s="6">
        <v>1</v>
      </c>
    </row>
    <row r="50" spans="1:7" x14ac:dyDescent="0.35">
      <c r="A50" s="6" t="s">
        <v>1899</v>
      </c>
      <c r="B50" s="6" t="s">
        <v>121</v>
      </c>
      <c r="C50" s="6" t="s">
        <v>97</v>
      </c>
      <c r="D50" s="6" t="s">
        <v>98</v>
      </c>
      <c r="E50" s="20">
        <v>44461</v>
      </c>
      <c r="F50" s="20">
        <v>45713</v>
      </c>
      <c r="G50" s="6">
        <v>1</v>
      </c>
    </row>
    <row r="51" spans="1:7" x14ac:dyDescent="0.35">
      <c r="C51" s="6" t="s">
        <v>1832</v>
      </c>
      <c r="D51" s="6" t="s">
        <v>1833</v>
      </c>
      <c r="E51" s="20">
        <v>45714</v>
      </c>
      <c r="F51" s="20" t="s">
        <v>289</v>
      </c>
      <c r="G51" s="6">
        <v>1</v>
      </c>
    </row>
    <row r="52" spans="1:7" x14ac:dyDescent="0.35">
      <c r="A52" s="6" t="s">
        <v>2379</v>
      </c>
      <c r="G52" s="6">
        <v>2</v>
      </c>
    </row>
    <row r="53" spans="1:7" x14ac:dyDescent="0.35">
      <c r="A53" s="6" t="s">
        <v>1918</v>
      </c>
      <c r="B53" s="6" t="s">
        <v>339</v>
      </c>
      <c r="C53" s="6" t="s">
        <v>35</v>
      </c>
      <c r="D53" s="6" t="s">
        <v>36</v>
      </c>
      <c r="E53" s="20">
        <v>43862</v>
      </c>
      <c r="F53" s="20">
        <v>44074</v>
      </c>
      <c r="G53" s="6">
        <v>1</v>
      </c>
    </row>
    <row r="54" spans="1:7" x14ac:dyDescent="0.35">
      <c r="A54" s="6" t="s">
        <v>2380</v>
      </c>
      <c r="G54" s="6">
        <v>1</v>
      </c>
    </row>
    <row r="55" spans="1:7" x14ac:dyDescent="0.35">
      <c r="A55" s="6" t="s">
        <v>1824</v>
      </c>
      <c r="B55" s="6" t="s">
        <v>118</v>
      </c>
      <c r="C55" s="6" t="s">
        <v>35</v>
      </c>
      <c r="D55" s="6" t="s">
        <v>36</v>
      </c>
      <c r="E55" s="20">
        <v>43862</v>
      </c>
      <c r="F55" s="20">
        <v>45688</v>
      </c>
      <c r="G55" s="6">
        <v>1</v>
      </c>
    </row>
    <row r="56" spans="1:7" x14ac:dyDescent="0.35">
      <c r="C56" s="6" t="s">
        <v>1832</v>
      </c>
      <c r="D56" s="6" t="s">
        <v>1833</v>
      </c>
      <c r="E56" s="20">
        <v>45701</v>
      </c>
      <c r="F56" s="20" t="s">
        <v>289</v>
      </c>
      <c r="G56" s="6">
        <v>1</v>
      </c>
    </row>
    <row r="57" spans="1:7" x14ac:dyDescent="0.35">
      <c r="A57" s="6" t="s">
        <v>2381</v>
      </c>
      <c r="G57" s="6">
        <v>2</v>
      </c>
    </row>
    <row r="58" spans="1:7" x14ac:dyDescent="0.35">
      <c r="A58" s="6" t="s">
        <v>1746</v>
      </c>
      <c r="B58" s="6" t="s">
        <v>96</v>
      </c>
      <c r="C58" s="6" t="s">
        <v>1798</v>
      </c>
      <c r="D58" s="6" t="s">
        <v>1799</v>
      </c>
      <c r="E58" s="20">
        <v>45390</v>
      </c>
      <c r="F58" s="20">
        <v>45595</v>
      </c>
      <c r="G58" s="6">
        <v>1</v>
      </c>
    </row>
    <row r="59" spans="1:7" x14ac:dyDescent="0.35">
      <c r="C59" s="6" t="s">
        <v>97</v>
      </c>
      <c r="D59" s="6" t="s">
        <v>98</v>
      </c>
      <c r="E59" s="20">
        <v>45390</v>
      </c>
      <c r="F59" s="20">
        <v>45595</v>
      </c>
      <c r="G59" s="6">
        <v>1</v>
      </c>
    </row>
    <row r="60" spans="1:7" x14ac:dyDescent="0.35">
      <c r="A60" s="6" t="s">
        <v>2382</v>
      </c>
      <c r="G60" s="6">
        <v>2</v>
      </c>
    </row>
    <row r="61" spans="1:7" x14ac:dyDescent="0.35">
      <c r="A61" s="6" t="s">
        <v>1999</v>
      </c>
      <c r="B61" s="6" t="s">
        <v>123</v>
      </c>
      <c r="C61" s="6" t="s">
        <v>35</v>
      </c>
      <c r="D61" s="6" t="s">
        <v>36</v>
      </c>
      <c r="E61" s="20">
        <v>43862</v>
      </c>
      <c r="F61" s="20">
        <v>45900</v>
      </c>
      <c r="G61" s="6">
        <v>1</v>
      </c>
    </row>
    <row r="62" spans="1:7" x14ac:dyDescent="0.35">
      <c r="A62" s="6" t="s">
        <v>2383</v>
      </c>
      <c r="G62" s="6">
        <v>1</v>
      </c>
    </row>
    <row r="63" spans="1:7" x14ac:dyDescent="0.35">
      <c r="A63" s="6" t="s">
        <v>1814</v>
      </c>
      <c r="B63" s="6" t="s">
        <v>66</v>
      </c>
      <c r="C63" s="6" t="s">
        <v>42</v>
      </c>
      <c r="D63" s="6" t="s">
        <v>43</v>
      </c>
      <c r="E63" s="20">
        <v>44571</v>
      </c>
      <c r="F63" s="20">
        <v>45544</v>
      </c>
      <c r="G63" s="6">
        <v>1</v>
      </c>
    </row>
    <row r="64" spans="1:7" x14ac:dyDescent="0.35">
      <c r="C64" s="6" t="s">
        <v>1977</v>
      </c>
      <c r="D64" s="6" t="s">
        <v>1978</v>
      </c>
      <c r="E64" s="20">
        <v>45973</v>
      </c>
      <c r="F64" s="20" t="s">
        <v>289</v>
      </c>
      <c r="G64" s="6">
        <v>1</v>
      </c>
    </row>
    <row r="65" spans="1:7" x14ac:dyDescent="0.35">
      <c r="C65" s="6" t="s">
        <v>67</v>
      </c>
      <c r="D65" s="6" t="s">
        <v>68</v>
      </c>
      <c r="E65" s="20">
        <v>45545</v>
      </c>
      <c r="F65" s="20">
        <v>45688</v>
      </c>
      <c r="G65" s="6">
        <v>2</v>
      </c>
    </row>
    <row r="66" spans="1:7" x14ac:dyDescent="0.35">
      <c r="E66" s="20">
        <v>45699</v>
      </c>
      <c r="F66" s="20">
        <v>45896</v>
      </c>
      <c r="G66" s="6">
        <v>1</v>
      </c>
    </row>
    <row r="67" spans="1:7" x14ac:dyDescent="0.35">
      <c r="F67" s="20">
        <v>45930</v>
      </c>
      <c r="G67" s="6">
        <v>1</v>
      </c>
    </row>
    <row r="68" spans="1:7" x14ac:dyDescent="0.35">
      <c r="E68" s="20">
        <v>45897</v>
      </c>
      <c r="F68" s="20">
        <v>45961</v>
      </c>
      <c r="G68" s="6">
        <v>1</v>
      </c>
    </row>
    <row r="69" spans="1:7" x14ac:dyDescent="0.35">
      <c r="A69" s="6" t="s">
        <v>2384</v>
      </c>
      <c r="G69" s="6">
        <v>7</v>
      </c>
    </row>
    <row r="70" spans="1:7" x14ac:dyDescent="0.35">
      <c r="A70" s="6" t="s">
        <v>1891</v>
      </c>
      <c r="B70" s="6" t="s">
        <v>79</v>
      </c>
      <c r="C70" s="6" t="s">
        <v>35</v>
      </c>
      <c r="D70" s="6" t="s">
        <v>36</v>
      </c>
      <c r="E70" s="20">
        <v>43862</v>
      </c>
      <c r="F70" s="20">
        <v>45777</v>
      </c>
      <c r="G70" s="6">
        <v>1</v>
      </c>
    </row>
    <row r="71" spans="1:7" x14ac:dyDescent="0.35">
      <c r="C71" s="6" t="s">
        <v>1329</v>
      </c>
      <c r="D71" s="6" t="s">
        <v>1330</v>
      </c>
      <c r="E71" s="20">
        <v>43862</v>
      </c>
      <c r="F71" s="20">
        <v>45036</v>
      </c>
      <c r="G71" s="6">
        <v>1</v>
      </c>
    </row>
    <row r="72" spans="1:7" x14ac:dyDescent="0.35">
      <c r="A72" s="6" t="s">
        <v>2385</v>
      </c>
      <c r="G72" s="6">
        <v>2</v>
      </c>
    </row>
    <row r="73" spans="1:7" x14ac:dyDescent="0.35">
      <c r="A73" s="6" t="s">
        <v>1835</v>
      </c>
      <c r="B73" s="6" t="s">
        <v>1837</v>
      </c>
      <c r="C73" s="6" t="s">
        <v>35</v>
      </c>
      <c r="D73" s="6" t="s">
        <v>36</v>
      </c>
      <c r="E73" s="20">
        <v>43862</v>
      </c>
      <c r="F73" s="20">
        <v>45036</v>
      </c>
      <c r="G73" s="6">
        <v>1</v>
      </c>
    </row>
    <row r="74" spans="1:7" x14ac:dyDescent="0.35">
      <c r="C74" s="6" t="s">
        <v>1329</v>
      </c>
      <c r="D74" s="6" t="s">
        <v>1330</v>
      </c>
      <c r="E74" s="20">
        <v>43862</v>
      </c>
      <c r="F74" s="20">
        <v>45777</v>
      </c>
      <c r="G74" s="6">
        <v>1</v>
      </c>
    </row>
    <row r="75" spans="1:7" x14ac:dyDescent="0.35">
      <c r="A75" s="6" t="s">
        <v>2386</v>
      </c>
      <c r="G75" s="6">
        <v>2</v>
      </c>
    </row>
    <row r="76" spans="1:7" x14ac:dyDescent="0.35">
      <c r="A76" s="6" t="s">
        <v>1789</v>
      </c>
      <c r="B76" s="6" t="s">
        <v>77</v>
      </c>
      <c r="C76" s="6" t="s">
        <v>35</v>
      </c>
      <c r="D76" s="6" t="s">
        <v>36</v>
      </c>
      <c r="E76" s="20">
        <v>43862</v>
      </c>
      <c r="F76" s="20">
        <v>45777</v>
      </c>
      <c r="G76" s="6">
        <v>1</v>
      </c>
    </row>
    <row r="77" spans="1:7" x14ac:dyDescent="0.35">
      <c r="C77" s="6" t="s">
        <v>1329</v>
      </c>
      <c r="D77" s="6" t="s">
        <v>1330</v>
      </c>
      <c r="E77" s="20">
        <v>43862</v>
      </c>
      <c r="F77" s="20">
        <v>45036</v>
      </c>
      <c r="G77" s="6">
        <v>1</v>
      </c>
    </row>
    <row r="78" spans="1:7" x14ac:dyDescent="0.35">
      <c r="A78" s="6" t="s">
        <v>2387</v>
      </c>
      <c r="G78" s="6">
        <v>2</v>
      </c>
    </row>
    <row r="79" spans="1:7" x14ac:dyDescent="0.35">
      <c r="A79" s="6" t="s">
        <v>1702</v>
      </c>
      <c r="B79" s="6" t="s">
        <v>416</v>
      </c>
      <c r="C79" s="6" t="s">
        <v>48</v>
      </c>
      <c r="D79" s="6" t="s">
        <v>49</v>
      </c>
      <c r="E79" s="20">
        <v>44239</v>
      </c>
      <c r="F79" s="20">
        <v>44316</v>
      </c>
      <c r="G79" s="6">
        <v>1</v>
      </c>
    </row>
    <row r="80" spans="1:7" x14ac:dyDescent="0.35">
      <c r="E80" s="20">
        <v>44363</v>
      </c>
      <c r="F80" s="20">
        <v>45777</v>
      </c>
      <c r="G80" s="6">
        <v>1</v>
      </c>
    </row>
    <row r="81" spans="1:7" x14ac:dyDescent="0.35">
      <c r="C81" s="6" t="s">
        <v>1329</v>
      </c>
      <c r="D81" s="6" t="s">
        <v>1330</v>
      </c>
      <c r="E81" s="20">
        <v>43862</v>
      </c>
      <c r="F81" s="20">
        <v>44238</v>
      </c>
      <c r="G81" s="6">
        <v>1</v>
      </c>
    </row>
    <row r="82" spans="1:7" x14ac:dyDescent="0.35">
      <c r="A82" s="6" t="s">
        <v>2388</v>
      </c>
      <c r="G82" s="6">
        <v>3</v>
      </c>
    </row>
    <row r="83" spans="1:7" x14ac:dyDescent="0.35">
      <c r="A83" s="6" t="s">
        <v>1780</v>
      </c>
      <c r="B83" s="6" t="s">
        <v>82</v>
      </c>
      <c r="C83" s="6" t="s">
        <v>48</v>
      </c>
      <c r="D83" s="6" t="s">
        <v>49</v>
      </c>
      <c r="E83" s="20">
        <v>44118</v>
      </c>
      <c r="F83" s="20">
        <v>44536</v>
      </c>
      <c r="G83" s="6">
        <v>1</v>
      </c>
    </row>
    <row r="84" spans="1:7" x14ac:dyDescent="0.35">
      <c r="E84" s="20">
        <v>44537</v>
      </c>
      <c r="F84" s="20">
        <v>45900</v>
      </c>
      <c r="G84" s="6">
        <v>1</v>
      </c>
    </row>
    <row r="85" spans="1:7" x14ac:dyDescent="0.35">
      <c r="A85" s="6" t="s">
        <v>2389</v>
      </c>
      <c r="G85" s="6">
        <v>2</v>
      </c>
    </row>
    <row r="86" spans="1:7" x14ac:dyDescent="0.35">
      <c r="A86" s="6" t="s">
        <v>1620</v>
      </c>
      <c r="B86" s="6" t="s">
        <v>1622</v>
      </c>
      <c r="C86" s="6" t="s">
        <v>74</v>
      </c>
      <c r="D86" s="6" t="s">
        <v>75</v>
      </c>
      <c r="E86" s="20">
        <v>43955</v>
      </c>
      <c r="F86" s="20">
        <v>44724</v>
      </c>
      <c r="G86" s="6">
        <v>1</v>
      </c>
    </row>
    <row r="87" spans="1:7" x14ac:dyDescent="0.35">
      <c r="A87" s="6" t="s">
        <v>2390</v>
      </c>
      <c r="G87" s="6">
        <v>1</v>
      </c>
    </row>
    <row r="88" spans="1:7" x14ac:dyDescent="0.35">
      <c r="A88" s="6" t="s">
        <v>1769</v>
      </c>
      <c r="B88" s="6" t="s">
        <v>41</v>
      </c>
      <c r="C88" s="6" t="s">
        <v>35</v>
      </c>
      <c r="D88" s="6" t="s">
        <v>36</v>
      </c>
      <c r="E88" s="20">
        <v>43922</v>
      </c>
      <c r="F88" s="20">
        <v>45535</v>
      </c>
      <c r="G88" s="6">
        <v>1</v>
      </c>
    </row>
    <row r="89" spans="1:7" x14ac:dyDescent="0.35">
      <c r="C89" s="6" t="s">
        <v>42</v>
      </c>
      <c r="D89" s="6" t="s">
        <v>43</v>
      </c>
      <c r="E89" s="20">
        <v>45566</v>
      </c>
      <c r="F89" s="20">
        <v>45914</v>
      </c>
      <c r="G89" s="6">
        <v>1</v>
      </c>
    </row>
    <row r="90" spans="1:7" x14ac:dyDescent="0.35">
      <c r="A90" s="6" t="s">
        <v>2391</v>
      </c>
      <c r="G90" s="6">
        <v>2</v>
      </c>
    </row>
    <row r="91" spans="1:7" x14ac:dyDescent="0.35">
      <c r="A91" s="6" t="s">
        <v>1802</v>
      </c>
      <c r="B91" s="6" t="s">
        <v>1803</v>
      </c>
      <c r="C91" s="6" t="s">
        <v>1870</v>
      </c>
      <c r="D91" s="6" t="s">
        <v>1871</v>
      </c>
      <c r="E91" s="20">
        <v>44356</v>
      </c>
      <c r="F91" s="20">
        <v>45399</v>
      </c>
      <c r="G91" s="6">
        <v>1</v>
      </c>
    </row>
    <row r="92" spans="1:7" x14ac:dyDescent="0.35">
      <c r="C92" s="6" t="s">
        <v>97</v>
      </c>
      <c r="D92" s="6" t="s">
        <v>98</v>
      </c>
      <c r="E92" s="20">
        <v>45400</v>
      </c>
      <c r="F92" s="20">
        <v>45924</v>
      </c>
      <c r="G92" s="6">
        <v>1</v>
      </c>
    </row>
    <row r="93" spans="1:7" x14ac:dyDescent="0.35">
      <c r="C93" s="6" t="s">
        <v>1528</v>
      </c>
      <c r="D93" s="6" t="s">
        <v>1529</v>
      </c>
      <c r="E93" s="20">
        <v>45400</v>
      </c>
      <c r="F93" s="20">
        <v>45924</v>
      </c>
      <c r="G93" s="6">
        <v>1</v>
      </c>
    </row>
    <row r="94" spans="1:7" x14ac:dyDescent="0.35">
      <c r="A94" s="6" t="s">
        <v>2392</v>
      </c>
      <c r="G94" s="6">
        <v>3</v>
      </c>
    </row>
    <row r="95" spans="1:7" x14ac:dyDescent="0.35">
      <c r="A95" s="6" t="s">
        <v>1845</v>
      </c>
      <c r="B95" s="6" t="s">
        <v>1846</v>
      </c>
      <c r="C95" s="6" t="s">
        <v>1870</v>
      </c>
      <c r="D95" s="6" t="s">
        <v>1871</v>
      </c>
      <c r="E95" s="20">
        <v>44355</v>
      </c>
      <c r="F95" s="20">
        <v>45399</v>
      </c>
      <c r="G95" s="6">
        <v>1</v>
      </c>
    </row>
    <row r="96" spans="1:7" x14ac:dyDescent="0.35">
      <c r="C96" s="6" t="s">
        <v>97</v>
      </c>
      <c r="D96" s="6" t="s">
        <v>98</v>
      </c>
      <c r="E96" s="20">
        <v>45400</v>
      </c>
      <c r="F96" s="20">
        <v>45924</v>
      </c>
      <c r="G96" s="6">
        <v>1</v>
      </c>
    </row>
    <row r="97" spans="1:7" x14ac:dyDescent="0.35">
      <c r="C97" s="6" t="s">
        <v>1528</v>
      </c>
      <c r="D97" s="6" t="s">
        <v>1529</v>
      </c>
      <c r="E97" s="20">
        <v>45400</v>
      </c>
      <c r="F97" s="20">
        <v>45924</v>
      </c>
      <c r="G97" s="6">
        <v>1</v>
      </c>
    </row>
    <row r="98" spans="1:7" x14ac:dyDescent="0.35">
      <c r="A98" s="6" t="s">
        <v>2393</v>
      </c>
      <c r="G98" s="6">
        <v>3</v>
      </c>
    </row>
    <row r="99" spans="1:7" x14ac:dyDescent="0.35">
      <c r="A99" s="6" t="s">
        <v>1908</v>
      </c>
      <c r="B99" s="6" t="s">
        <v>91</v>
      </c>
      <c r="C99" s="6" t="s">
        <v>48</v>
      </c>
      <c r="D99" s="6" t="s">
        <v>49</v>
      </c>
      <c r="E99" s="20">
        <v>44305</v>
      </c>
      <c r="F99" s="20">
        <v>44530</v>
      </c>
      <c r="G99" s="6">
        <v>1</v>
      </c>
    </row>
    <row r="100" spans="1:7" x14ac:dyDescent="0.35">
      <c r="E100" s="20">
        <v>44531</v>
      </c>
      <c r="F100" s="20">
        <v>45869</v>
      </c>
      <c r="G100" s="6">
        <v>1</v>
      </c>
    </row>
    <row r="101" spans="1:7" x14ac:dyDescent="0.35">
      <c r="A101" s="6" t="s">
        <v>2394</v>
      </c>
      <c r="G101" s="6">
        <v>2</v>
      </c>
    </row>
    <row r="102" spans="1:7" x14ac:dyDescent="0.35">
      <c r="A102" s="6" t="s">
        <v>1757</v>
      </c>
      <c r="B102" s="6" t="s">
        <v>73</v>
      </c>
      <c r="C102" s="6" t="s">
        <v>74</v>
      </c>
      <c r="D102" s="6" t="s">
        <v>75</v>
      </c>
      <c r="E102" s="20">
        <v>44568</v>
      </c>
      <c r="F102" s="20">
        <v>44585</v>
      </c>
      <c r="G102" s="6">
        <v>1</v>
      </c>
    </row>
    <row r="103" spans="1:7" x14ac:dyDescent="0.35">
      <c r="E103" s="20">
        <v>44586</v>
      </c>
      <c r="F103" s="20">
        <v>45089</v>
      </c>
      <c r="G103" s="6">
        <v>1</v>
      </c>
    </row>
    <row r="104" spans="1:7" x14ac:dyDescent="0.35">
      <c r="E104" s="20">
        <v>45090</v>
      </c>
      <c r="F104" s="20">
        <v>45716</v>
      </c>
      <c r="G104" s="6">
        <v>1</v>
      </c>
    </row>
    <row r="105" spans="1:7" x14ac:dyDescent="0.35">
      <c r="A105" s="6" t="s">
        <v>2395</v>
      </c>
      <c r="G105" s="6">
        <v>3</v>
      </c>
    </row>
    <row r="106" spans="1:7" x14ac:dyDescent="0.35">
      <c r="A106" s="6" t="s">
        <v>1991</v>
      </c>
      <c r="B106" s="6" t="s">
        <v>62</v>
      </c>
      <c r="C106" s="6" t="s">
        <v>48</v>
      </c>
      <c r="D106" s="6" t="s">
        <v>49</v>
      </c>
      <c r="E106" s="20">
        <v>44663</v>
      </c>
      <c r="F106" s="20">
        <v>45777</v>
      </c>
      <c r="G106" s="6">
        <v>1</v>
      </c>
    </row>
    <row r="107" spans="1:7" x14ac:dyDescent="0.35">
      <c r="A107" s="6" t="s">
        <v>2396</v>
      </c>
      <c r="G107" s="6">
        <v>1</v>
      </c>
    </row>
    <row r="108" spans="1:7" x14ac:dyDescent="0.35">
      <c r="A108" s="6" t="s">
        <v>1966</v>
      </c>
      <c r="B108" s="6" t="s">
        <v>425</v>
      </c>
      <c r="C108" s="6" t="s">
        <v>67</v>
      </c>
      <c r="D108" s="6" t="s">
        <v>68</v>
      </c>
      <c r="E108" s="20">
        <v>45642</v>
      </c>
      <c r="F108" s="20">
        <v>45740</v>
      </c>
      <c r="G108" s="6">
        <v>1</v>
      </c>
    </row>
    <row r="109" spans="1:7" x14ac:dyDescent="0.35">
      <c r="A109" s="6" t="s">
        <v>2397</v>
      </c>
      <c r="G109" s="6">
        <v>1</v>
      </c>
    </row>
    <row r="110" spans="1:7" x14ac:dyDescent="0.35">
      <c r="A110" s="6" t="s">
        <v>1202</v>
      </c>
      <c r="G110" s="6">
        <v>73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9DEAB-30F3-4245-B711-1D2CBB9AF4FF}">
  <dimension ref="A1:AB631"/>
  <sheetViews>
    <sheetView workbookViewId="0">
      <pane ySplit="1" topLeftCell="A51" activePane="bottomLeft" state="frozen"/>
      <selection activeCell="J1" sqref="J1"/>
      <selection pane="bottomLeft" activeCell="N1" sqref="N1"/>
    </sheetView>
  </sheetViews>
  <sheetFormatPr defaultColWidth="9.1796875" defaultRowHeight="14.5" x14ac:dyDescent="0.35"/>
  <cols>
    <col min="1" max="1" width="18.1796875" style="6" bestFit="1" customWidth="1"/>
    <col min="2" max="3" width="25.54296875" style="6" bestFit="1" customWidth="1"/>
    <col min="4" max="4" width="28.81640625" style="6" bestFit="1" customWidth="1"/>
    <col min="5" max="5" width="20.453125" style="6" bestFit="1" customWidth="1"/>
    <col min="6" max="6" width="13.26953125" style="6" bestFit="1" customWidth="1"/>
    <col min="7" max="7" width="16.7265625" style="6" bestFit="1" customWidth="1"/>
    <col min="8" max="8" width="30.26953125" style="6" bestFit="1" customWidth="1"/>
    <col min="9" max="9" width="22.81640625" style="6" bestFit="1" customWidth="1"/>
    <col min="10" max="10" width="22.7265625" style="6" bestFit="1" customWidth="1"/>
    <col min="11" max="11" width="8.7265625" style="6" bestFit="1" customWidth="1"/>
    <col min="12" max="12" width="12.54296875" style="6" bestFit="1" customWidth="1"/>
    <col min="13" max="14" width="12.54296875" style="6" customWidth="1"/>
    <col min="15" max="15" width="57.1796875" style="6" bestFit="1" customWidth="1"/>
    <col min="16" max="16" width="16" style="6" bestFit="1" customWidth="1"/>
    <col min="17" max="17" width="21.54296875" style="6" bestFit="1" customWidth="1"/>
    <col min="18" max="18" width="14" style="6" bestFit="1" customWidth="1"/>
    <col min="19" max="19" width="15.453125" style="6" bestFit="1" customWidth="1"/>
    <col min="20" max="20" width="78.1796875" style="6" bestFit="1" customWidth="1"/>
    <col min="21" max="21" width="11.81640625" style="6" bestFit="1" customWidth="1"/>
    <col min="22" max="22" width="22.81640625" style="6" bestFit="1" customWidth="1"/>
    <col min="23" max="23" width="17.26953125" style="6" bestFit="1" customWidth="1"/>
    <col min="24" max="24" width="19.26953125" style="6" bestFit="1" customWidth="1"/>
    <col min="25" max="25" width="17" style="6" bestFit="1" customWidth="1"/>
    <col min="26" max="26" width="20.26953125" style="6" bestFit="1" customWidth="1"/>
    <col min="27" max="27" width="19.7265625" style="6" bestFit="1" customWidth="1"/>
    <col min="28" max="16384" width="9.1796875" style="6"/>
  </cols>
  <sheetData>
    <row r="1" spans="1:28" ht="12.75" customHeight="1" x14ac:dyDescent="0.35">
      <c r="A1" s="6" t="s">
        <v>1276</v>
      </c>
      <c r="B1" s="6" t="s">
        <v>1277</v>
      </c>
      <c r="C1" s="6" t="s">
        <v>1278</v>
      </c>
      <c r="D1" s="6" t="s">
        <v>1279</v>
      </c>
      <c r="E1" s="6" t="s">
        <v>1280</v>
      </c>
      <c r="F1" s="6" t="s">
        <v>1281</v>
      </c>
      <c r="G1" s="6" t="s">
        <v>1282</v>
      </c>
      <c r="H1" s="6" t="s">
        <v>1283</v>
      </c>
      <c r="I1" s="6" t="s">
        <v>1284</v>
      </c>
      <c r="J1" s="6" t="s">
        <v>1285</v>
      </c>
      <c r="K1" s="6" t="s">
        <v>1286</v>
      </c>
      <c r="L1" s="6" t="s">
        <v>1287</v>
      </c>
      <c r="M1" s="53" t="s">
        <v>1288</v>
      </c>
      <c r="N1" s="53" t="s">
        <v>1289</v>
      </c>
      <c r="O1" s="6" t="s">
        <v>1290</v>
      </c>
      <c r="P1" s="6" t="s">
        <v>1291</v>
      </c>
      <c r="Q1" s="6" t="s">
        <v>1292</v>
      </c>
      <c r="R1" s="6" t="s">
        <v>1293</v>
      </c>
      <c r="S1" s="6" t="s">
        <v>19</v>
      </c>
      <c r="T1" s="6" t="s">
        <v>20</v>
      </c>
      <c r="U1" s="6" t="s">
        <v>1294</v>
      </c>
      <c r="V1" s="6" t="s">
        <v>1295</v>
      </c>
      <c r="W1" s="6" t="s">
        <v>1296</v>
      </c>
      <c r="X1" s="6" t="s">
        <v>1297</v>
      </c>
      <c r="Y1" s="6" t="s">
        <v>1298</v>
      </c>
      <c r="Z1" s="6" t="s">
        <v>1299</v>
      </c>
      <c r="AA1" s="6" t="s">
        <v>1300</v>
      </c>
      <c r="AB1" s="6" t="s">
        <v>1301</v>
      </c>
    </row>
    <row r="2" spans="1:28" x14ac:dyDescent="0.35">
      <c r="A2" s="6" t="s">
        <v>1302</v>
      </c>
      <c r="B2" s="6" t="s">
        <v>1303</v>
      </c>
      <c r="C2" s="6" t="s">
        <v>1304</v>
      </c>
      <c r="D2" s="6" t="s">
        <v>1305</v>
      </c>
      <c r="E2" s="6" t="s">
        <v>1306</v>
      </c>
      <c r="F2" s="6" t="s">
        <v>1307</v>
      </c>
      <c r="G2" s="6" t="s">
        <v>1308</v>
      </c>
      <c r="H2" s="6" t="s">
        <v>2398</v>
      </c>
      <c r="I2" s="6">
        <v>0</v>
      </c>
      <c r="J2" s="6">
        <v>1053.45</v>
      </c>
      <c r="K2" s="6">
        <v>1</v>
      </c>
      <c r="L2" s="6" t="s">
        <v>1072</v>
      </c>
      <c r="M2" s="23" t="s">
        <v>1072</v>
      </c>
      <c r="N2" s="6" t="str">
        <f>VLOOKUP(L2,VictoryHeitrich!D:D,1,FALSE)</f>
        <v>76125298</v>
      </c>
      <c r="O2" s="6" t="s">
        <v>1073</v>
      </c>
      <c r="P2" s="6" t="s">
        <v>1311</v>
      </c>
      <c r="Q2" s="6" t="s">
        <v>2399</v>
      </c>
      <c r="R2" s="6" t="s">
        <v>2399</v>
      </c>
      <c r="S2" s="6" t="s">
        <v>1526</v>
      </c>
      <c r="T2" s="6" t="s">
        <v>971</v>
      </c>
      <c r="U2" s="6" t="s">
        <v>1313</v>
      </c>
      <c r="V2" s="6" t="s">
        <v>1314</v>
      </c>
      <c r="W2" s="6">
        <v>2025</v>
      </c>
      <c r="X2" s="6">
        <v>11</v>
      </c>
      <c r="Y2" s="6" t="s">
        <v>1315</v>
      </c>
      <c r="Z2" s="6">
        <v>2025</v>
      </c>
      <c r="AA2" s="6" t="s">
        <v>1316</v>
      </c>
      <c r="AB2" s="6" t="str">
        <f>VLOOKUP(S2,Mapping!A:C,3,FALSE)</f>
        <v>Primary</v>
      </c>
    </row>
    <row r="3" spans="1:28" x14ac:dyDescent="0.35">
      <c r="A3" s="6" t="s">
        <v>1302</v>
      </c>
      <c r="B3" s="6" t="s">
        <v>1303</v>
      </c>
      <c r="C3" s="6" t="s">
        <v>1304</v>
      </c>
      <c r="D3" s="6" t="s">
        <v>1305</v>
      </c>
      <c r="E3" s="6" t="s">
        <v>1306</v>
      </c>
      <c r="F3" s="6" t="s">
        <v>1307</v>
      </c>
      <c r="G3" s="6" t="s">
        <v>1308</v>
      </c>
      <c r="H3" s="6" t="s">
        <v>2400</v>
      </c>
      <c r="I3" s="6">
        <v>0</v>
      </c>
      <c r="J3" s="6">
        <v>445.73</v>
      </c>
      <c r="K3" s="6">
        <v>1</v>
      </c>
      <c r="L3" s="6" t="s">
        <v>1170</v>
      </c>
      <c r="M3" s="23" t="s">
        <v>1170</v>
      </c>
      <c r="N3" s="6" t="str">
        <f>VLOOKUP(L3,VictoryHeitrich!D:D,1,FALSE)</f>
        <v>76149019</v>
      </c>
      <c r="O3" s="6" t="s">
        <v>1171</v>
      </c>
      <c r="P3" s="6" t="s">
        <v>1311</v>
      </c>
      <c r="Q3" s="6" t="s">
        <v>2401</v>
      </c>
      <c r="R3" s="6" t="s">
        <v>2401</v>
      </c>
      <c r="S3" s="6" t="s">
        <v>35</v>
      </c>
      <c r="T3" s="6" t="s">
        <v>36</v>
      </c>
      <c r="U3" s="6" t="s">
        <v>1313</v>
      </c>
      <c r="V3" s="6" t="s">
        <v>1314</v>
      </c>
      <c r="W3" s="6">
        <v>2025</v>
      </c>
      <c r="X3" s="6">
        <v>11</v>
      </c>
      <c r="Y3" s="6" t="s">
        <v>1315</v>
      </c>
      <c r="Z3" s="6">
        <v>2025</v>
      </c>
      <c r="AA3" s="6" t="s">
        <v>1316</v>
      </c>
      <c r="AB3" s="6" t="str">
        <f>VLOOKUP(S3,Mapping!A:C,3,FALSE)</f>
        <v>Primary</v>
      </c>
    </row>
    <row r="4" spans="1:28" x14ac:dyDescent="0.35">
      <c r="A4" s="6" t="s">
        <v>1302</v>
      </c>
      <c r="B4" s="6" t="s">
        <v>1303</v>
      </c>
      <c r="C4" s="6" t="s">
        <v>1304</v>
      </c>
      <c r="D4" s="6" t="s">
        <v>1305</v>
      </c>
      <c r="E4" s="6" t="s">
        <v>1306</v>
      </c>
      <c r="F4" s="6" t="s">
        <v>1307</v>
      </c>
      <c r="G4" s="6" t="s">
        <v>1308</v>
      </c>
      <c r="H4" s="6" t="s">
        <v>1742</v>
      </c>
      <c r="I4" s="6">
        <v>0</v>
      </c>
      <c r="J4" s="6">
        <v>1053.45</v>
      </c>
      <c r="K4" s="6">
        <v>1</v>
      </c>
      <c r="L4" s="6" t="s">
        <v>1078</v>
      </c>
      <c r="M4" s="23" t="s">
        <v>1078</v>
      </c>
      <c r="N4" s="6" t="str">
        <f>VLOOKUP(L4,VictoryHeitrich!D:D,1,FALSE)</f>
        <v>76164812</v>
      </c>
      <c r="O4" s="6" t="s">
        <v>1079</v>
      </c>
      <c r="P4" s="6" t="s">
        <v>1311</v>
      </c>
      <c r="Q4" s="6" t="s">
        <v>2402</v>
      </c>
      <c r="R4" s="6" t="s">
        <v>2402</v>
      </c>
      <c r="S4" s="6" t="s">
        <v>1526</v>
      </c>
      <c r="T4" s="6" t="s">
        <v>971</v>
      </c>
      <c r="U4" s="6" t="s">
        <v>1313</v>
      </c>
      <c r="V4" s="6" t="s">
        <v>1314</v>
      </c>
      <c r="W4" s="6">
        <v>2025</v>
      </c>
      <c r="X4" s="6">
        <v>11</v>
      </c>
      <c r="Y4" s="6" t="s">
        <v>1315</v>
      </c>
      <c r="Z4" s="6">
        <v>2025</v>
      </c>
      <c r="AA4" s="6" t="s">
        <v>1316</v>
      </c>
      <c r="AB4" s="6" t="str">
        <f>VLOOKUP(S4,Mapping!A:C,3,FALSE)</f>
        <v>Primary</v>
      </c>
    </row>
    <row r="5" spans="1:28" x14ac:dyDescent="0.35">
      <c r="A5" s="6" t="s">
        <v>1302</v>
      </c>
      <c r="B5" s="6" t="s">
        <v>1303</v>
      </c>
      <c r="C5" s="6" t="s">
        <v>1304</v>
      </c>
      <c r="D5" s="6" t="s">
        <v>1305</v>
      </c>
      <c r="E5" s="6" t="s">
        <v>1306</v>
      </c>
      <c r="F5" s="6" t="s">
        <v>1307</v>
      </c>
      <c r="G5" s="6" t="s">
        <v>1308</v>
      </c>
      <c r="H5" s="6" t="s">
        <v>1742</v>
      </c>
      <c r="I5" s="6">
        <v>0</v>
      </c>
      <c r="J5" s="6">
        <v>1053.45</v>
      </c>
      <c r="K5" s="6">
        <v>1</v>
      </c>
      <c r="L5" s="6" t="s">
        <v>1036</v>
      </c>
      <c r="M5" s="23" t="s">
        <v>1036</v>
      </c>
      <c r="N5" s="6" t="str">
        <f>VLOOKUP(L5,VictoryHeitrich!D:D,1,FALSE)</f>
        <v>76169916</v>
      </c>
      <c r="O5" s="6" t="s">
        <v>1037</v>
      </c>
      <c r="P5" s="6" t="s">
        <v>1311</v>
      </c>
      <c r="Q5" s="6" t="s">
        <v>2403</v>
      </c>
      <c r="R5" s="6" t="s">
        <v>2403</v>
      </c>
      <c r="S5" s="6" t="s">
        <v>1526</v>
      </c>
      <c r="T5" s="6" t="s">
        <v>971</v>
      </c>
      <c r="U5" s="6" t="s">
        <v>1313</v>
      </c>
      <c r="V5" s="6" t="s">
        <v>1314</v>
      </c>
      <c r="W5" s="6">
        <v>2025</v>
      </c>
      <c r="X5" s="6">
        <v>11</v>
      </c>
      <c r="Y5" s="6" t="s">
        <v>1315</v>
      </c>
      <c r="Z5" s="6">
        <v>2025</v>
      </c>
      <c r="AA5" s="6" t="s">
        <v>1316</v>
      </c>
      <c r="AB5" s="6" t="str">
        <f>VLOOKUP(S5,Mapping!A:C,3,FALSE)</f>
        <v>Primary</v>
      </c>
    </row>
    <row r="6" spans="1:28" x14ac:dyDescent="0.35">
      <c r="A6" s="6" t="s">
        <v>1302</v>
      </c>
      <c r="B6" s="6" t="s">
        <v>1303</v>
      </c>
      <c r="C6" s="6" t="s">
        <v>1304</v>
      </c>
      <c r="D6" s="6" t="s">
        <v>1305</v>
      </c>
      <c r="E6" s="6" t="s">
        <v>1306</v>
      </c>
      <c r="F6" s="6" t="s">
        <v>1307</v>
      </c>
      <c r="G6" s="6" t="s">
        <v>1308</v>
      </c>
      <c r="H6" s="6" t="s">
        <v>1742</v>
      </c>
      <c r="I6" s="6">
        <v>0</v>
      </c>
      <c r="J6" s="6">
        <v>1053.45</v>
      </c>
      <c r="K6" s="6">
        <v>1</v>
      </c>
      <c r="L6" s="6" t="s">
        <v>1009</v>
      </c>
      <c r="M6" s="23" t="s">
        <v>1009</v>
      </c>
      <c r="N6" s="6" t="str">
        <f>VLOOKUP(L6,VictoryHeitrich!D:D,1,FALSE)</f>
        <v>76179964</v>
      </c>
      <c r="O6" s="6" t="s">
        <v>1010</v>
      </c>
      <c r="P6" s="6" t="s">
        <v>1311</v>
      </c>
      <c r="Q6" s="6" t="s">
        <v>2404</v>
      </c>
      <c r="R6" s="6" t="s">
        <v>2404</v>
      </c>
      <c r="S6" s="6" t="s">
        <v>1526</v>
      </c>
      <c r="T6" s="6" t="s">
        <v>971</v>
      </c>
      <c r="U6" s="6" t="s">
        <v>1313</v>
      </c>
      <c r="V6" s="6" t="s">
        <v>1314</v>
      </c>
      <c r="W6" s="6">
        <v>2025</v>
      </c>
      <c r="X6" s="6">
        <v>11</v>
      </c>
      <c r="Y6" s="6" t="s">
        <v>1315</v>
      </c>
      <c r="Z6" s="6">
        <v>2025</v>
      </c>
      <c r="AA6" s="6" t="s">
        <v>1316</v>
      </c>
      <c r="AB6" s="6" t="str">
        <f>VLOOKUP(S6,Mapping!A:C,3,FALSE)</f>
        <v>Primary</v>
      </c>
    </row>
    <row r="7" spans="1:28" x14ac:dyDescent="0.35">
      <c r="A7" s="6" t="s">
        <v>1302</v>
      </c>
      <c r="B7" s="6" t="s">
        <v>1303</v>
      </c>
      <c r="C7" s="6" t="s">
        <v>1304</v>
      </c>
      <c r="D7" s="6" t="s">
        <v>1305</v>
      </c>
      <c r="E7" s="6" t="s">
        <v>1306</v>
      </c>
      <c r="F7" s="6" t="s">
        <v>1307</v>
      </c>
      <c r="G7" s="6" t="s">
        <v>1308</v>
      </c>
      <c r="H7" s="6" t="s">
        <v>2400</v>
      </c>
      <c r="I7" s="6">
        <v>0</v>
      </c>
      <c r="J7" s="6">
        <v>445.73</v>
      </c>
      <c r="K7" s="6">
        <v>1</v>
      </c>
      <c r="L7" s="6" t="s">
        <v>1164</v>
      </c>
      <c r="M7" s="23" t="s">
        <v>1164</v>
      </c>
      <c r="N7" s="6" t="str">
        <f>VLOOKUP(L7,VictoryHeitrich!D:D,1,FALSE)</f>
        <v>76195594</v>
      </c>
      <c r="O7" s="6" t="s">
        <v>1165</v>
      </c>
      <c r="P7" s="6" t="s">
        <v>1311</v>
      </c>
      <c r="Q7" s="6" t="s">
        <v>2405</v>
      </c>
      <c r="R7" s="6" t="s">
        <v>2405</v>
      </c>
      <c r="S7" s="6" t="s">
        <v>35</v>
      </c>
      <c r="T7" s="6" t="s">
        <v>36</v>
      </c>
      <c r="U7" s="6" t="s">
        <v>1313</v>
      </c>
      <c r="V7" s="6" t="s">
        <v>1314</v>
      </c>
      <c r="W7" s="6">
        <v>2025</v>
      </c>
      <c r="X7" s="6">
        <v>11</v>
      </c>
      <c r="Y7" s="6" t="s">
        <v>1315</v>
      </c>
      <c r="Z7" s="6">
        <v>2025</v>
      </c>
      <c r="AA7" s="6" t="s">
        <v>1316</v>
      </c>
      <c r="AB7" s="6" t="str">
        <f>VLOOKUP(S7,Mapping!A:C,3,FALSE)</f>
        <v>Primary</v>
      </c>
    </row>
    <row r="8" spans="1:28" x14ac:dyDescent="0.35">
      <c r="A8" s="6" t="s">
        <v>1302</v>
      </c>
      <c r="B8" s="6" t="s">
        <v>1303</v>
      </c>
      <c r="C8" s="6" t="s">
        <v>1304</v>
      </c>
      <c r="D8" s="6" t="s">
        <v>1305</v>
      </c>
      <c r="E8" s="6" t="s">
        <v>1306</v>
      </c>
      <c r="F8" s="6" t="s">
        <v>1307</v>
      </c>
      <c r="G8" s="6" t="s">
        <v>1308</v>
      </c>
      <c r="H8" s="6" t="s">
        <v>1842</v>
      </c>
      <c r="I8" s="6">
        <v>0</v>
      </c>
      <c r="J8" s="6">
        <v>1053.45</v>
      </c>
      <c r="K8" s="6">
        <v>1</v>
      </c>
      <c r="L8" s="6" t="s">
        <v>1042</v>
      </c>
      <c r="M8" s="23" t="s">
        <v>1042</v>
      </c>
      <c r="N8" s="6" t="str">
        <f>VLOOKUP(L8,VictoryHeitrich!D:D,1,FALSE)</f>
        <v>76202353</v>
      </c>
      <c r="O8" s="6" t="s">
        <v>1043</v>
      </c>
      <c r="P8" s="6" t="s">
        <v>1311</v>
      </c>
      <c r="Q8" s="6" t="s">
        <v>2406</v>
      </c>
      <c r="R8" s="6" t="s">
        <v>2406</v>
      </c>
      <c r="S8" s="6" t="s">
        <v>1526</v>
      </c>
      <c r="T8" s="6" t="s">
        <v>971</v>
      </c>
      <c r="U8" s="6" t="s">
        <v>1313</v>
      </c>
      <c r="V8" s="6" t="s">
        <v>1314</v>
      </c>
      <c r="W8" s="6">
        <v>2025</v>
      </c>
      <c r="X8" s="6">
        <v>11</v>
      </c>
      <c r="Y8" s="6" t="s">
        <v>1315</v>
      </c>
      <c r="Z8" s="6">
        <v>2025</v>
      </c>
      <c r="AA8" s="6" t="s">
        <v>1316</v>
      </c>
      <c r="AB8" s="6" t="str">
        <f>VLOOKUP(S8,Mapping!A:C,3,FALSE)</f>
        <v>Primary</v>
      </c>
    </row>
    <row r="9" spans="1:28" x14ac:dyDescent="0.35">
      <c r="A9" s="6" t="s">
        <v>1302</v>
      </c>
      <c r="B9" s="6" t="s">
        <v>1303</v>
      </c>
      <c r="C9" s="6" t="s">
        <v>1304</v>
      </c>
      <c r="D9" s="6" t="s">
        <v>1305</v>
      </c>
      <c r="E9" s="6" t="s">
        <v>1306</v>
      </c>
      <c r="F9" s="6" t="s">
        <v>1307</v>
      </c>
      <c r="G9" s="6" t="s">
        <v>1308</v>
      </c>
      <c r="H9" s="6" t="s">
        <v>2407</v>
      </c>
      <c r="I9" s="6">
        <v>0</v>
      </c>
      <c r="J9" s="6">
        <v>1053.45</v>
      </c>
      <c r="K9" s="6">
        <v>1</v>
      </c>
      <c r="L9" s="6" t="s">
        <v>1024</v>
      </c>
      <c r="M9" s="23" t="s">
        <v>1024</v>
      </c>
      <c r="N9" s="6" t="str">
        <f>VLOOKUP(L9,VictoryHeitrich!D:D,1,FALSE)</f>
        <v>76202355</v>
      </c>
      <c r="O9" s="6" t="s">
        <v>1025</v>
      </c>
      <c r="P9" s="6" t="s">
        <v>1311</v>
      </c>
      <c r="Q9" s="6" t="s">
        <v>2408</v>
      </c>
      <c r="R9" s="6" t="s">
        <v>2408</v>
      </c>
      <c r="S9" s="6" t="s">
        <v>1526</v>
      </c>
      <c r="T9" s="6" t="s">
        <v>971</v>
      </c>
      <c r="U9" s="6" t="s">
        <v>1313</v>
      </c>
      <c r="V9" s="6" t="s">
        <v>1314</v>
      </c>
      <c r="W9" s="6">
        <v>2025</v>
      </c>
      <c r="X9" s="6">
        <v>11</v>
      </c>
      <c r="Y9" s="6" t="s">
        <v>1315</v>
      </c>
      <c r="Z9" s="6">
        <v>2025</v>
      </c>
      <c r="AA9" s="6" t="s">
        <v>1316</v>
      </c>
      <c r="AB9" s="6" t="str">
        <f>VLOOKUP(S9,Mapping!A:C,3,FALSE)</f>
        <v>Primary</v>
      </c>
    </row>
    <row r="10" spans="1:28" x14ac:dyDescent="0.35">
      <c r="A10" s="6" t="s">
        <v>1302</v>
      </c>
      <c r="B10" s="6" t="s">
        <v>1303</v>
      </c>
      <c r="C10" s="6" t="s">
        <v>1304</v>
      </c>
      <c r="D10" s="6" t="s">
        <v>1305</v>
      </c>
      <c r="E10" s="6" t="s">
        <v>1306</v>
      </c>
      <c r="F10" s="6" t="s">
        <v>1307</v>
      </c>
      <c r="G10" s="6" t="s">
        <v>1308</v>
      </c>
      <c r="H10" s="6" t="s">
        <v>1742</v>
      </c>
      <c r="I10" s="6">
        <v>0</v>
      </c>
      <c r="J10" s="6">
        <v>1053.45</v>
      </c>
      <c r="K10" s="6">
        <v>1</v>
      </c>
      <c r="L10" s="6" t="s">
        <v>1099</v>
      </c>
      <c r="M10" s="23" t="s">
        <v>1099</v>
      </c>
      <c r="N10" s="6" t="str">
        <f>VLOOKUP(L10,VictoryHeitrich!D:D,1,FALSE)</f>
        <v>76202358</v>
      </c>
      <c r="O10" s="6" t="s">
        <v>1100</v>
      </c>
      <c r="P10" s="6" t="s">
        <v>1311</v>
      </c>
      <c r="Q10" s="6" t="s">
        <v>2409</v>
      </c>
      <c r="R10" s="6" t="s">
        <v>2409</v>
      </c>
      <c r="S10" s="6" t="s">
        <v>1526</v>
      </c>
      <c r="T10" s="6" t="s">
        <v>971</v>
      </c>
      <c r="U10" s="6" t="s">
        <v>1313</v>
      </c>
      <c r="V10" s="6" t="s">
        <v>1314</v>
      </c>
      <c r="W10" s="6">
        <v>2025</v>
      </c>
      <c r="X10" s="6">
        <v>11</v>
      </c>
      <c r="Y10" s="6" t="s">
        <v>1315</v>
      </c>
      <c r="Z10" s="6">
        <v>2025</v>
      </c>
      <c r="AA10" s="6" t="s">
        <v>1316</v>
      </c>
      <c r="AB10" s="6" t="str">
        <f>VLOOKUP(S10,Mapping!A:C,3,FALSE)</f>
        <v>Primary</v>
      </c>
    </row>
    <row r="11" spans="1:28" x14ac:dyDescent="0.35">
      <c r="A11" s="6" t="s">
        <v>1302</v>
      </c>
      <c r="B11" s="6" t="s">
        <v>1303</v>
      </c>
      <c r="C11" s="6" t="s">
        <v>1304</v>
      </c>
      <c r="D11" s="6" t="s">
        <v>1305</v>
      </c>
      <c r="E11" s="6" t="s">
        <v>1306</v>
      </c>
      <c r="F11" s="6" t="s">
        <v>1307</v>
      </c>
      <c r="G11" s="6" t="s">
        <v>1308</v>
      </c>
      <c r="H11" s="6" t="s">
        <v>2398</v>
      </c>
      <c r="I11" s="6">
        <v>0</v>
      </c>
      <c r="J11" s="6">
        <v>1053.45</v>
      </c>
      <c r="K11" s="6">
        <v>1</v>
      </c>
      <c r="L11" s="6" t="s">
        <v>1027</v>
      </c>
      <c r="M11" s="23" t="s">
        <v>1027</v>
      </c>
      <c r="N11" s="6" t="str">
        <f>VLOOKUP(L11,VictoryHeitrich!D:D,1,FALSE)</f>
        <v>76202360</v>
      </c>
      <c r="O11" s="6" t="s">
        <v>1028</v>
      </c>
      <c r="P11" s="6" t="s">
        <v>1311</v>
      </c>
      <c r="Q11" s="6" t="s">
        <v>2410</v>
      </c>
      <c r="R11" s="6" t="s">
        <v>2410</v>
      </c>
      <c r="S11" s="6" t="s">
        <v>1526</v>
      </c>
      <c r="T11" s="6" t="s">
        <v>971</v>
      </c>
      <c r="U11" s="6" t="s">
        <v>1313</v>
      </c>
      <c r="V11" s="6" t="s">
        <v>1314</v>
      </c>
      <c r="W11" s="6">
        <v>2025</v>
      </c>
      <c r="X11" s="6">
        <v>11</v>
      </c>
      <c r="Y11" s="6" t="s">
        <v>1315</v>
      </c>
      <c r="Z11" s="6">
        <v>2025</v>
      </c>
      <c r="AA11" s="6" t="s">
        <v>1316</v>
      </c>
      <c r="AB11" s="6" t="str">
        <f>VLOOKUP(S11,Mapping!A:C,3,FALSE)</f>
        <v>Primary</v>
      </c>
    </row>
    <row r="12" spans="1:28" x14ac:dyDescent="0.35">
      <c r="A12" s="6" t="s">
        <v>1302</v>
      </c>
      <c r="B12" s="6" t="s">
        <v>1303</v>
      </c>
      <c r="C12" s="6" t="s">
        <v>1304</v>
      </c>
      <c r="D12" s="6" t="s">
        <v>1305</v>
      </c>
      <c r="E12" s="6" t="s">
        <v>1306</v>
      </c>
      <c r="F12" s="6" t="s">
        <v>1307</v>
      </c>
      <c r="G12" s="6" t="s">
        <v>1308</v>
      </c>
      <c r="H12" s="6" t="s">
        <v>2398</v>
      </c>
      <c r="I12" s="6">
        <v>0</v>
      </c>
      <c r="J12" s="6">
        <v>1053.45</v>
      </c>
      <c r="K12" s="6">
        <v>1</v>
      </c>
      <c r="L12" s="6" t="s">
        <v>1018</v>
      </c>
      <c r="M12" s="23" t="s">
        <v>1018</v>
      </c>
      <c r="N12" s="6" t="str">
        <f>VLOOKUP(L12,VictoryHeitrich!D:D,1,FALSE)</f>
        <v>76202491</v>
      </c>
      <c r="O12" s="6" t="s">
        <v>1019</v>
      </c>
      <c r="P12" s="6" t="s">
        <v>1311</v>
      </c>
      <c r="Q12" s="6" t="s">
        <v>2411</v>
      </c>
      <c r="R12" s="6" t="s">
        <v>2411</v>
      </c>
      <c r="S12" s="6" t="s">
        <v>1526</v>
      </c>
      <c r="T12" s="6" t="s">
        <v>971</v>
      </c>
      <c r="U12" s="6" t="s">
        <v>1313</v>
      </c>
      <c r="V12" s="6" t="s">
        <v>1314</v>
      </c>
      <c r="W12" s="6">
        <v>2025</v>
      </c>
      <c r="X12" s="6">
        <v>11</v>
      </c>
      <c r="Y12" s="6" t="s">
        <v>1315</v>
      </c>
      <c r="Z12" s="6">
        <v>2025</v>
      </c>
      <c r="AA12" s="6" t="s">
        <v>1316</v>
      </c>
      <c r="AB12" s="6" t="str">
        <f>VLOOKUP(S12,Mapping!A:C,3,FALSE)</f>
        <v>Primary</v>
      </c>
    </row>
    <row r="13" spans="1:28" x14ac:dyDescent="0.35">
      <c r="A13" s="6" t="s">
        <v>1302</v>
      </c>
      <c r="B13" s="6" t="s">
        <v>1303</v>
      </c>
      <c r="C13" s="6" t="s">
        <v>1304</v>
      </c>
      <c r="D13" s="6" t="s">
        <v>1305</v>
      </c>
      <c r="E13" s="6" t="s">
        <v>1306</v>
      </c>
      <c r="F13" s="6" t="s">
        <v>1307</v>
      </c>
      <c r="G13" s="6" t="s">
        <v>1308</v>
      </c>
      <c r="H13" s="6" t="s">
        <v>1842</v>
      </c>
      <c r="I13" s="6">
        <v>0</v>
      </c>
      <c r="J13" s="6">
        <v>1053.45</v>
      </c>
      <c r="K13" s="6">
        <v>1</v>
      </c>
      <c r="L13" s="6" t="s">
        <v>1015</v>
      </c>
      <c r="M13" s="23" t="s">
        <v>1015</v>
      </c>
      <c r="N13" s="6" t="str">
        <f>VLOOKUP(L13,VictoryHeitrich!D:D,1,FALSE)</f>
        <v>76202492</v>
      </c>
      <c r="O13" s="6" t="s">
        <v>1016</v>
      </c>
      <c r="P13" s="6" t="s">
        <v>1311</v>
      </c>
      <c r="Q13" s="6" t="s">
        <v>2412</v>
      </c>
      <c r="R13" s="6" t="s">
        <v>2412</v>
      </c>
      <c r="S13" s="6" t="s">
        <v>1526</v>
      </c>
      <c r="T13" s="6" t="s">
        <v>971</v>
      </c>
      <c r="U13" s="6" t="s">
        <v>1313</v>
      </c>
      <c r="V13" s="6" t="s">
        <v>1314</v>
      </c>
      <c r="W13" s="6">
        <v>2025</v>
      </c>
      <c r="X13" s="6">
        <v>11</v>
      </c>
      <c r="Y13" s="6" t="s">
        <v>1315</v>
      </c>
      <c r="Z13" s="6">
        <v>2025</v>
      </c>
      <c r="AA13" s="6" t="s">
        <v>1316</v>
      </c>
      <c r="AB13" s="6" t="str">
        <f>VLOOKUP(S13,Mapping!A:C,3,FALSE)</f>
        <v>Primary</v>
      </c>
    </row>
    <row r="14" spans="1:28" x14ac:dyDescent="0.35">
      <c r="A14" s="6" t="s">
        <v>1302</v>
      </c>
      <c r="B14" s="6" t="s">
        <v>1303</v>
      </c>
      <c r="C14" s="6" t="s">
        <v>1304</v>
      </c>
      <c r="D14" s="6" t="s">
        <v>1305</v>
      </c>
      <c r="E14" s="6" t="s">
        <v>1306</v>
      </c>
      <c r="F14" s="6" t="s">
        <v>1307</v>
      </c>
      <c r="G14" s="6" t="s">
        <v>1308</v>
      </c>
      <c r="H14" s="6" t="s">
        <v>1842</v>
      </c>
      <c r="I14" s="6">
        <v>0</v>
      </c>
      <c r="J14" s="6">
        <v>1053.45</v>
      </c>
      <c r="K14" s="6">
        <v>1</v>
      </c>
      <c r="L14" s="6" t="s">
        <v>1081</v>
      </c>
      <c r="M14" s="23" t="s">
        <v>1081</v>
      </c>
      <c r="N14" s="6" t="str">
        <f>VLOOKUP(L14,VictoryHeitrich!D:D,1,FALSE)</f>
        <v>76202493</v>
      </c>
      <c r="O14" s="6" t="s">
        <v>1082</v>
      </c>
      <c r="P14" s="6" t="s">
        <v>1311</v>
      </c>
      <c r="Q14" s="6" t="s">
        <v>2413</v>
      </c>
      <c r="R14" s="6" t="s">
        <v>2413</v>
      </c>
      <c r="S14" s="6" t="s">
        <v>1526</v>
      </c>
      <c r="T14" s="6" t="s">
        <v>971</v>
      </c>
      <c r="U14" s="6" t="s">
        <v>1313</v>
      </c>
      <c r="V14" s="6" t="s">
        <v>1314</v>
      </c>
      <c r="W14" s="6">
        <v>2025</v>
      </c>
      <c r="X14" s="6">
        <v>11</v>
      </c>
      <c r="Y14" s="6" t="s">
        <v>1315</v>
      </c>
      <c r="Z14" s="6">
        <v>2025</v>
      </c>
      <c r="AA14" s="6" t="s">
        <v>1316</v>
      </c>
      <c r="AB14" s="6" t="str">
        <f>VLOOKUP(S14,Mapping!A:C,3,FALSE)</f>
        <v>Primary</v>
      </c>
    </row>
    <row r="15" spans="1:28" x14ac:dyDescent="0.35">
      <c r="A15" s="6" t="s">
        <v>1302</v>
      </c>
      <c r="B15" s="6" t="s">
        <v>1303</v>
      </c>
      <c r="C15" s="6" t="s">
        <v>1304</v>
      </c>
      <c r="D15" s="6" t="s">
        <v>1305</v>
      </c>
      <c r="E15" s="6" t="s">
        <v>1306</v>
      </c>
      <c r="F15" s="6" t="s">
        <v>1307</v>
      </c>
      <c r="G15" s="6" t="s">
        <v>1308</v>
      </c>
      <c r="H15" s="6" t="s">
        <v>1842</v>
      </c>
      <c r="I15" s="6">
        <v>0</v>
      </c>
      <c r="J15" s="6">
        <v>1053.45</v>
      </c>
      <c r="K15" s="6">
        <v>1</v>
      </c>
      <c r="L15" s="6" t="s">
        <v>1006</v>
      </c>
      <c r="M15" s="23" t="s">
        <v>1006</v>
      </c>
      <c r="N15" s="6" t="str">
        <f>VLOOKUP(L15,VictoryHeitrich!D:D,1,FALSE)</f>
        <v>76202498</v>
      </c>
      <c r="O15" s="6" t="s">
        <v>1007</v>
      </c>
      <c r="P15" s="6" t="s">
        <v>1311</v>
      </c>
      <c r="Q15" s="6" t="s">
        <v>2414</v>
      </c>
      <c r="R15" s="6" t="s">
        <v>2414</v>
      </c>
      <c r="S15" s="6" t="s">
        <v>1526</v>
      </c>
      <c r="T15" s="6" t="s">
        <v>971</v>
      </c>
      <c r="U15" s="6" t="s">
        <v>1313</v>
      </c>
      <c r="V15" s="6" t="s">
        <v>1314</v>
      </c>
      <c r="W15" s="6">
        <v>2025</v>
      </c>
      <c r="X15" s="6">
        <v>11</v>
      </c>
      <c r="Y15" s="6" t="s">
        <v>1315</v>
      </c>
      <c r="Z15" s="6">
        <v>2025</v>
      </c>
      <c r="AA15" s="6" t="s">
        <v>1316</v>
      </c>
      <c r="AB15" s="6" t="str">
        <f>VLOOKUP(S15,Mapping!A:C,3,FALSE)</f>
        <v>Primary</v>
      </c>
    </row>
    <row r="16" spans="1:28" x14ac:dyDescent="0.35">
      <c r="A16" s="6" t="s">
        <v>1302</v>
      </c>
      <c r="B16" s="6" t="s">
        <v>1303</v>
      </c>
      <c r="C16" s="6" t="s">
        <v>1304</v>
      </c>
      <c r="D16" s="6" t="s">
        <v>1305</v>
      </c>
      <c r="E16" s="6" t="s">
        <v>1306</v>
      </c>
      <c r="F16" s="6" t="s">
        <v>1307</v>
      </c>
      <c r="G16" s="6" t="s">
        <v>1308</v>
      </c>
      <c r="H16" s="6" t="s">
        <v>1842</v>
      </c>
      <c r="I16" s="6">
        <v>0</v>
      </c>
      <c r="J16" s="6">
        <v>1053.45</v>
      </c>
      <c r="K16" s="6">
        <v>1</v>
      </c>
      <c r="L16" s="6" t="s">
        <v>997</v>
      </c>
      <c r="M16" s="23" t="s">
        <v>997</v>
      </c>
      <c r="N16" s="6" t="str">
        <f>VLOOKUP(L16,VictoryHeitrich!D:D,1,FALSE)</f>
        <v>76202499</v>
      </c>
      <c r="O16" s="6" t="s">
        <v>998</v>
      </c>
      <c r="P16" s="6" t="s">
        <v>1311</v>
      </c>
      <c r="Q16" s="6" t="s">
        <v>2415</v>
      </c>
      <c r="R16" s="6" t="s">
        <v>2415</v>
      </c>
      <c r="S16" s="6" t="s">
        <v>1526</v>
      </c>
      <c r="T16" s="6" t="s">
        <v>971</v>
      </c>
      <c r="U16" s="6" t="s">
        <v>1313</v>
      </c>
      <c r="V16" s="6" t="s">
        <v>1314</v>
      </c>
      <c r="W16" s="6">
        <v>2025</v>
      </c>
      <c r="X16" s="6">
        <v>11</v>
      </c>
      <c r="Y16" s="6" t="s">
        <v>1315</v>
      </c>
      <c r="Z16" s="6">
        <v>2025</v>
      </c>
      <c r="AA16" s="6" t="s">
        <v>1316</v>
      </c>
      <c r="AB16" s="6" t="str">
        <f>VLOOKUP(S16,Mapping!A:C,3,FALSE)</f>
        <v>Primary</v>
      </c>
    </row>
    <row r="17" spans="1:28" x14ac:dyDescent="0.35">
      <c r="A17" s="6" t="s">
        <v>1302</v>
      </c>
      <c r="B17" s="6" t="s">
        <v>1303</v>
      </c>
      <c r="C17" s="6" t="s">
        <v>1304</v>
      </c>
      <c r="D17" s="6" t="s">
        <v>1305</v>
      </c>
      <c r="E17" s="6" t="s">
        <v>1306</v>
      </c>
      <c r="F17" s="6" t="s">
        <v>1307</v>
      </c>
      <c r="G17" s="6" t="s">
        <v>1308</v>
      </c>
      <c r="H17" s="6" t="s">
        <v>2398</v>
      </c>
      <c r="I17" s="6">
        <v>0</v>
      </c>
      <c r="J17" s="6">
        <v>1053.45</v>
      </c>
      <c r="K17" s="6">
        <v>1</v>
      </c>
      <c r="L17" s="6" t="s">
        <v>994</v>
      </c>
      <c r="M17" s="23" t="s">
        <v>994</v>
      </c>
      <c r="N17" s="6" t="str">
        <f>VLOOKUP(L17,VictoryHeitrich!D:D,1,FALSE)</f>
        <v>76202505</v>
      </c>
      <c r="O17" s="6" t="s">
        <v>995</v>
      </c>
      <c r="P17" s="6" t="s">
        <v>1311</v>
      </c>
      <c r="Q17" s="6" t="s">
        <v>2416</v>
      </c>
      <c r="R17" s="6" t="s">
        <v>2416</v>
      </c>
      <c r="S17" s="6" t="s">
        <v>1526</v>
      </c>
      <c r="T17" s="6" t="s">
        <v>971</v>
      </c>
      <c r="U17" s="6" t="s">
        <v>1313</v>
      </c>
      <c r="V17" s="6" t="s">
        <v>1314</v>
      </c>
      <c r="W17" s="6">
        <v>2025</v>
      </c>
      <c r="X17" s="6">
        <v>11</v>
      </c>
      <c r="Y17" s="6" t="s">
        <v>1315</v>
      </c>
      <c r="Z17" s="6">
        <v>2025</v>
      </c>
      <c r="AA17" s="6" t="s">
        <v>1316</v>
      </c>
      <c r="AB17" s="6" t="str">
        <f>VLOOKUP(S17,Mapping!A:C,3,FALSE)</f>
        <v>Primary</v>
      </c>
    </row>
    <row r="18" spans="1:28" x14ac:dyDescent="0.35">
      <c r="A18" s="6" t="s">
        <v>1302</v>
      </c>
      <c r="B18" s="6" t="s">
        <v>1303</v>
      </c>
      <c r="C18" s="6" t="s">
        <v>1304</v>
      </c>
      <c r="D18" s="6" t="s">
        <v>1305</v>
      </c>
      <c r="E18" s="6" t="s">
        <v>1306</v>
      </c>
      <c r="F18" s="6" t="s">
        <v>1307</v>
      </c>
      <c r="G18" s="6" t="s">
        <v>1308</v>
      </c>
      <c r="H18" s="6" t="s">
        <v>1742</v>
      </c>
      <c r="I18" s="6">
        <v>0</v>
      </c>
      <c r="J18" s="6">
        <v>1053.45</v>
      </c>
      <c r="K18" s="6">
        <v>1</v>
      </c>
      <c r="L18" s="6" t="s">
        <v>1060</v>
      </c>
      <c r="M18" s="23" t="s">
        <v>1060</v>
      </c>
      <c r="N18" s="6" t="str">
        <f>VLOOKUP(L18,VictoryHeitrich!D:D,1,FALSE)</f>
        <v>76202508</v>
      </c>
      <c r="O18" s="6" t="s">
        <v>1061</v>
      </c>
      <c r="P18" s="6" t="s">
        <v>1311</v>
      </c>
      <c r="Q18" s="6" t="s">
        <v>2417</v>
      </c>
      <c r="R18" s="6" t="s">
        <v>2417</v>
      </c>
      <c r="S18" s="6" t="s">
        <v>1526</v>
      </c>
      <c r="T18" s="6" t="s">
        <v>971</v>
      </c>
      <c r="U18" s="6" t="s">
        <v>1313</v>
      </c>
      <c r="V18" s="6" t="s">
        <v>1314</v>
      </c>
      <c r="W18" s="6">
        <v>2025</v>
      </c>
      <c r="X18" s="6">
        <v>11</v>
      </c>
      <c r="Y18" s="6" t="s">
        <v>1315</v>
      </c>
      <c r="Z18" s="6">
        <v>2025</v>
      </c>
      <c r="AA18" s="6" t="s">
        <v>1316</v>
      </c>
      <c r="AB18" s="6" t="str">
        <f>VLOOKUP(S18,Mapping!A:C,3,FALSE)</f>
        <v>Primary</v>
      </c>
    </row>
    <row r="19" spans="1:28" x14ac:dyDescent="0.35">
      <c r="A19" s="6" t="s">
        <v>1302</v>
      </c>
      <c r="B19" s="6" t="s">
        <v>1303</v>
      </c>
      <c r="C19" s="6" t="s">
        <v>1304</v>
      </c>
      <c r="D19" s="6" t="s">
        <v>1305</v>
      </c>
      <c r="E19" s="6" t="s">
        <v>1306</v>
      </c>
      <c r="F19" s="6" t="s">
        <v>1307</v>
      </c>
      <c r="G19" s="6" t="s">
        <v>1308</v>
      </c>
      <c r="H19" s="6" t="s">
        <v>1742</v>
      </c>
      <c r="I19" s="6">
        <v>0</v>
      </c>
      <c r="J19" s="6">
        <v>1053.45</v>
      </c>
      <c r="K19" s="6">
        <v>1</v>
      </c>
      <c r="L19" s="6" t="s">
        <v>1045</v>
      </c>
      <c r="M19" s="23" t="s">
        <v>1045</v>
      </c>
      <c r="N19" s="6" t="str">
        <f>VLOOKUP(L19,VictoryHeitrich!D:D,1,FALSE)</f>
        <v>76202509</v>
      </c>
      <c r="O19" s="6" t="s">
        <v>1046</v>
      </c>
      <c r="P19" s="6" t="s">
        <v>1311</v>
      </c>
      <c r="Q19" s="6" t="s">
        <v>2418</v>
      </c>
      <c r="R19" s="6" t="s">
        <v>2418</v>
      </c>
      <c r="S19" s="6" t="s">
        <v>1526</v>
      </c>
      <c r="T19" s="6" t="s">
        <v>971</v>
      </c>
      <c r="U19" s="6" t="s">
        <v>1313</v>
      </c>
      <c r="V19" s="6" t="s">
        <v>1314</v>
      </c>
      <c r="W19" s="6">
        <v>2025</v>
      </c>
      <c r="X19" s="6">
        <v>11</v>
      </c>
      <c r="Y19" s="6" t="s">
        <v>1315</v>
      </c>
      <c r="Z19" s="6">
        <v>2025</v>
      </c>
      <c r="AA19" s="6" t="s">
        <v>1316</v>
      </c>
      <c r="AB19" s="6" t="str">
        <f>VLOOKUP(S19,Mapping!A:C,3,FALSE)</f>
        <v>Primary</v>
      </c>
    </row>
    <row r="20" spans="1:28" x14ac:dyDescent="0.35">
      <c r="A20" s="6" t="s">
        <v>1302</v>
      </c>
      <c r="B20" s="6" t="s">
        <v>1303</v>
      </c>
      <c r="C20" s="6" t="s">
        <v>1304</v>
      </c>
      <c r="D20" s="6" t="s">
        <v>1305</v>
      </c>
      <c r="E20" s="6" t="s">
        <v>1306</v>
      </c>
      <c r="F20" s="6" t="s">
        <v>1307</v>
      </c>
      <c r="G20" s="6" t="s">
        <v>1308</v>
      </c>
      <c r="H20" s="6" t="s">
        <v>1742</v>
      </c>
      <c r="I20" s="6">
        <v>0</v>
      </c>
      <c r="J20" s="6">
        <v>1053.45</v>
      </c>
      <c r="K20" s="6">
        <v>1</v>
      </c>
      <c r="L20" s="6" t="s">
        <v>988</v>
      </c>
      <c r="M20" s="23" t="s">
        <v>988</v>
      </c>
      <c r="N20" s="6" t="str">
        <f>VLOOKUP(L20,VictoryHeitrich!D:D,1,FALSE)</f>
        <v>76202512</v>
      </c>
      <c r="O20" s="6" t="s">
        <v>989</v>
      </c>
      <c r="P20" s="6" t="s">
        <v>1311</v>
      </c>
      <c r="Q20" s="6" t="s">
        <v>2419</v>
      </c>
      <c r="R20" s="6" t="s">
        <v>2419</v>
      </c>
      <c r="S20" s="6" t="s">
        <v>1526</v>
      </c>
      <c r="T20" s="6" t="s">
        <v>971</v>
      </c>
      <c r="U20" s="6" t="s">
        <v>1313</v>
      </c>
      <c r="V20" s="6" t="s">
        <v>1314</v>
      </c>
      <c r="W20" s="6">
        <v>2025</v>
      </c>
      <c r="X20" s="6">
        <v>11</v>
      </c>
      <c r="Y20" s="6" t="s">
        <v>1315</v>
      </c>
      <c r="Z20" s="6">
        <v>2025</v>
      </c>
      <c r="AA20" s="6" t="s">
        <v>1316</v>
      </c>
      <c r="AB20" s="6" t="str">
        <f>VLOOKUP(S20,Mapping!A:C,3,FALSE)</f>
        <v>Primary</v>
      </c>
    </row>
    <row r="21" spans="1:28" x14ac:dyDescent="0.35">
      <c r="A21" s="6" t="s">
        <v>1302</v>
      </c>
      <c r="B21" s="6" t="s">
        <v>1303</v>
      </c>
      <c r="C21" s="6" t="s">
        <v>1304</v>
      </c>
      <c r="D21" s="6" t="s">
        <v>1305</v>
      </c>
      <c r="E21" s="6" t="s">
        <v>1306</v>
      </c>
      <c r="F21" s="6" t="s">
        <v>1307</v>
      </c>
      <c r="G21" s="6" t="s">
        <v>1308</v>
      </c>
      <c r="H21" s="6" t="s">
        <v>1842</v>
      </c>
      <c r="I21" s="6">
        <v>0</v>
      </c>
      <c r="J21" s="6">
        <v>1053.45</v>
      </c>
      <c r="K21" s="6">
        <v>1</v>
      </c>
      <c r="L21" s="6" t="s">
        <v>1003</v>
      </c>
      <c r="M21" s="23" t="s">
        <v>1003</v>
      </c>
      <c r="N21" s="6" t="str">
        <f>VLOOKUP(L21,VictoryHeitrich!D:D,1,FALSE)</f>
        <v>76202568</v>
      </c>
      <c r="O21" s="6" t="s">
        <v>1004</v>
      </c>
      <c r="P21" s="6" t="s">
        <v>1311</v>
      </c>
      <c r="Q21" s="6" t="s">
        <v>2420</v>
      </c>
      <c r="R21" s="6" t="s">
        <v>2420</v>
      </c>
      <c r="S21" s="6" t="s">
        <v>1526</v>
      </c>
      <c r="T21" s="6" t="s">
        <v>971</v>
      </c>
      <c r="U21" s="6" t="s">
        <v>1313</v>
      </c>
      <c r="V21" s="6" t="s">
        <v>1314</v>
      </c>
      <c r="W21" s="6">
        <v>2025</v>
      </c>
      <c r="X21" s="6">
        <v>11</v>
      </c>
      <c r="Y21" s="6" t="s">
        <v>1315</v>
      </c>
      <c r="Z21" s="6">
        <v>2025</v>
      </c>
      <c r="AA21" s="6" t="s">
        <v>1316</v>
      </c>
      <c r="AB21" s="6" t="str">
        <f>VLOOKUP(S21,Mapping!A:C,3,FALSE)</f>
        <v>Primary</v>
      </c>
    </row>
    <row r="22" spans="1:28" x14ac:dyDescent="0.35">
      <c r="A22" s="6" t="s">
        <v>1302</v>
      </c>
      <c r="B22" s="6" t="s">
        <v>1303</v>
      </c>
      <c r="C22" s="6" t="s">
        <v>1304</v>
      </c>
      <c r="D22" s="6" t="s">
        <v>1305</v>
      </c>
      <c r="E22" s="6" t="s">
        <v>1306</v>
      </c>
      <c r="F22" s="6" t="s">
        <v>1307</v>
      </c>
      <c r="G22" s="6" t="s">
        <v>1308</v>
      </c>
      <c r="H22" s="6" t="s">
        <v>1728</v>
      </c>
      <c r="I22" s="6">
        <v>0</v>
      </c>
      <c r="J22" s="6">
        <v>1053.45</v>
      </c>
      <c r="K22" s="6">
        <v>1</v>
      </c>
      <c r="L22" s="6" t="s">
        <v>1069</v>
      </c>
      <c r="M22" s="23" t="s">
        <v>1069</v>
      </c>
      <c r="N22" s="6" t="str">
        <f>VLOOKUP(L22,VictoryHeitrich!D:D,1,FALSE)</f>
        <v>76202671</v>
      </c>
      <c r="O22" s="6" t="s">
        <v>1070</v>
      </c>
      <c r="P22" s="6" t="s">
        <v>1311</v>
      </c>
      <c r="Q22" s="6" t="s">
        <v>2421</v>
      </c>
      <c r="R22" s="6" t="s">
        <v>2421</v>
      </c>
      <c r="S22" s="6" t="s">
        <v>1526</v>
      </c>
      <c r="T22" s="6" t="s">
        <v>971</v>
      </c>
      <c r="U22" s="6" t="s">
        <v>1313</v>
      </c>
      <c r="V22" s="6" t="s">
        <v>1314</v>
      </c>
      <c r="W22" s="6">
        <v>2025</v>
      </c>
      <c r="X22" s="6">
        <v>11</v>
      </c>
      <c r="Y22" s="6" t="s">
        <v>1315</v>
      </c>
      <c r="Z22" s="6">
        <v>2025</v>
      </c>
      <c r="AA22" s="6" t="s">
        <v>1316</v>
      </c>
      <c r="AB22" s="6" t="str">
        <f>VLOOKUP(S22,Mapping!A:C,3,FALSE)</f>
        <v>Primary</v>
      </c>
    </row>
    <row r="23" spans="1:28" x14ac:dyDescent="0.35">
      <c r="A23" s="6" t="s">
        <v>1302</v>
      </c>
      <c r="B23" s="6" t="s">
        <v>1303</v>
      </c>
      <c r="C23" s="6" t="s">
        <v>1304</v>
      </c>
      <c r="D23" s="6" t="s">
        <v>1305</v>
      </c>
      <c r="E23" s="6" t="s">
        <v>1306</v>
      </c>
      <c r="F23" s="6" t="s">
        <v>1307</v>
      </c>
      <c r="G23" s="6" t="s">
        <v>1308</v>
      </c>
      <c r="H23" s="6" t="s">
        <v>1742</v>
      </c>
      <c r="I23" s="6">
        <v>0</v>
      </c>
      <c r="J23" s="6">
        <v>1053.45</v>
      </c>
      <c r="K23" s="6">
        <v>1</v>
      </c>
      <c r="L23" s="6" t="s">
        <v>1039</v>
      </c>
      <c r="M23" s="23" t="s">
        <v>1039</v>
      </c>
      <c r="N23" s="6" t="str">
        <f>VLOOKUP(L23,VictoryHeitrich!D:D,1,FALSE)</f>
        <v>76202911</v>
      </c>
      <c r="O23" s="6" t="s">
        <v>1040</v>
      </c>
      <c r="P23" s="6" t="s">
        <v>1311</v>
      </c>
      <c r="Q23" s="6" t="s">
        <v>2422</v>
      </c>
      <c r="R23" s="6" t="s">
        <v>2422</v>
      </c>
      <c r="S23" s="6" t="s">
        <v>1526</v>
      </c>
      <c r="T23" s="6" t="s">
        <v>971</v>
      </c>
      <c r="U23" s="6" t="s">
        <v>1313</v>
      </c>
      <c r="V23" s="6" t="s">
        <v>1314</v>
      </c>
      <c r="W23" s="6">
        <v>2025</v>
      </c>
      <c r="X23" s="6">
        <v>11</v>
      </c>
      <c r="Y23" s="6" t="s">
        <v>1315</v>
      </c>
      <c r="Z23" s="6">
        <v>2025</v>
      </c>
      <c r="AA23" s="6" t="s">
        <v>1316</v>
      </c>
      <c r="AB23" s="6" t="str">
        <f>VLOOKUP(S23,Mapping!A:C,3,FALSE)</f>
        <v>Primary</v>
      </c>
    </row>
    <row r="24" spans="1:28" x14ac:dyDescent="0.35">
      <c r="A24" s="6" t="s">
        <v>1302</v>
      </c>
      <c r="B24" s="6" t="s">
        <v>1303</v>
      </c>
      <c r="C24" s="6" t="s">
        <v>1304</v>
      </c>
      <c r="D24" s="6" t="s">
        <v>1305</v>
      </c>
      <c r="E24" s="6" t="s">
        <v>1306</v>
      </c>
      <c r="F24" s="6" t="s">
        <v>1307</v>
      </c>
      <c r="G24" s="6" t="s">
        <v>1308</v>
      </c>
      <c r="H24" s="6" t="s">
        <v>1742</v>
      </c>
      <c r="I24" s="6">
        <v>0</v>
      </c>
      <c r="J24" s="6">
        <v>1053.45</v>
      </c>
      <c r="K24" s="6">
        <v>1</v>
      </c>
      <c r="L24" s="6" t="s">
        <v>1066</v>
      </c>
      <c r="M24" s="23" t="s">
        <v>1066</v>
      </c>
      <c r="N24" s="6" t="str">
        <f>VLOOKUP(L24,VictoryHeitrich!D:D,1,FALSE)</f>
        <v>76204566</v>
      </c>
      <c r="O24" s="6" t="s">
        <v>1067</v>
      </c>
      <c r="P24" s="6" t="s">
        <v>1311</v>
      </c>
      <c r="Q24" s="6" t="s">
        <v>2423</v>
      </c>
      <c r="R24" s="6" t="s">
        <v>2423</v>
      </c>
      <c r="S24" s="6" t="s">
        <v>1526</v>
      </c>
      <c r="T24" s="6" t="s">
        <v>971</v>
      </c>
      <c r="U24" s="6" t="s">
        <v>1313</v>
      </c>
      <c r="V24" s="6" t="s">
        <v>1314</v>
      </c>
      <c r="W24" s="6">
        <v>2025</v>
      </c>
      <c r="X24" s="6">
        <v>11</v>
      </c>
      <c r="Y24" s="6" t="s">
        <v>1315</v>
      </c>
      <c r="Z24" s="6">
        <v>2025</v>
      </c>
      <c r="AA24" s="6" t="s">
        <v>1316</v>
      </c>
      <c r="AB24" s="6" t="str">
        <f>VLOOKUP(S24,Mapping!A:C,3,FALSE)</f>
        <v>Primary</v>
      </c>
    </row>
    <row r="25" spans="1:28" x14ac:dyDescent="0.35">
      <c r="A25" s="6" t="s">
        <v>1302</v>
      </c>
      <c r="B25" s="6" t="s">
        <v>1303</v>
      </c>
      <c r="C25" s="6" t="s">
        <v>1304</v>
      </c>
      <c r="D25" s="6" t="s">
        <v>1305</v>
      </c>
      <c r="E25" s="6" t="s">
        <v>1306</v>
      </c>
      <c r="F25" s="6" t="s">
        <v>1307</v>
      </c>
      <c r="G25" s="6" t="s">
        <v>1308</v>
      </c>
      <c r="H25" s="6" t="s">
        <v>1777</v>
      </c>
      <c r="I25" s="6">
        <v>0</v>
      </c>
      <c r="J25" s="6">
        <v>445.73</v>
      </c>
      <c r="K25" s="6">
        <v>1</v>
      </c>
      <c r="L25" s="6" t="s">
        <v>1151</v>
      </c>
      <c r="M25" s="23" t="s">
        <v>1151</v>
      </c>
      <c r="N25" s="6" t="str">
        <f>VLOOKUP(L25,VictoryHeitrich!D:D,1,FALSE)</f>
        <v>76211510</v>
      </c>
      <c r="O25" s="6" t="s">
        <v>1152</v>
      </c>
      <c r="P25" s="6" t="s">
        <v>1311</v>
      </c>
      <c r="Q25" s="6" t="s">
        <v>2424</v>
      </c>
      <c r="R25" s="6" t="s">
        <v>2424</v>
      </c>
      <c r="S25" s="6" t="s">
        <v>35</v>
      </c>
      <c r="T25" s="6" t="s">
        <v>36</v>
      </c>
      <c r="U25" s="6" t="s">
        <v>1313</v>
      </c>
      <c r="V25" s="6" t="s">
        <v>1314</v>
      </c>
      <c r="W25" s="6">
        <v>2025</v>
      </c>
      <c r="X25" s="6">
        <v>11</v>
      </c>
      <c r="Y25" s="6" t="s">
        <v>1315</v>
      </c>
      <c r="Z25" s="6">
        <v>2025</v>
      </c>
      <c r="AA25" s="6" t="s">
        <v>1316</v>
      </c>
      <c r="AB25" s="6" t="str">
        <f>VLOOKUP(S25,Mapping!A:C,3,FALSE)</f>
        <v>Primary</v>
      </c>
    </row>
    <row r="26" spans="1:28" x14ac:dyDescent="0.35">
      <c r="A26" s="6" t="s">
        <v>1302</v>
      </c>
      <c r="B26" s="6" t="s">
        <v>1303</v>
      </c>
      <c r="C26" s="6" t="s">
        <v>1304</v>
      </c>
      <c r="D26" s="6" t="s">
        <v>1305</v>
      </c>
      <c r="E26" s="6" t="s">
        <v>1306</v>
      </c>
      <c r="F26" s="6" t="s">
        <v>1307</v>
      </c>
      <c r="G26" s="6" t="s">
        <v>1308</v>
      </c>
      <c r="H26" s="6" t="s">
        <v>2425</v>
      </c>
      <c r="I26" s="6">
        <v>0</v>
      </c>
      <c r="J26" s="6">
        <v>1053.45</v>
      </c>
      <c r="K26" s="6">
        <v>1</v>
      </c>
      <c r="L26" s="6" t="s">
        <v>1057</v>
      </c>
      <c r="M26" s="23" t="s">
        <v>1057</v>
      </c>
      <c r="N26" s="6" t="str">
        <f>VLOOKUP(L26,VictoryHeitrich!D:D,1,FALSE)</f>
        <v>76211538</v>
      </c>
      <c r="O26" s="6" t="s">
        <v>1058</v>
      </c>
      <c r="P26" s="6" t="s">
        <v>1311</v>
      </c>
      <c r="Q26" s="6" t="s">
        <v>2426</v>
      </c>
      <c r="R26" s="6" t="s">
        <v>2426</v>
      </c>
      <c r="S26" s="6" t="s">
        <v>1526</v>
      </c>
      <c r="T26" s="6" t="s">
        <v>971</v>
      </c>
      <c r="U26" s="6" t="s">
        <v>1313</v>
      </c>
      <c r="V26" s="6" t="s">
        <v>1314</v>
      </c>
      <c r="W26" s="6">
        <v>2025</v>
      </c>
      <c r="X26" s="6">
        <v>11</v>
      </c>
      <c r="Y26" s="6" t="s">
        <v>1315</v>
      </c>
      <c r="Z26" s="6">
        <v>2025</v>
      </c>
      <c r="AA26" s="6" t="s">
        <v>1316</v>
      </c>
      <c r="AB26" s="6" t="str">
        <f>VLOOKUP(S26,Mapping!A:C,3,FALSE)</f>
        <v>Primary</v>
      </c>
    </row>
    <row r="27" spans="1:28" x14ac:dyDescent="0.35">
      <c r="A27" s="6" t="s">
        <v>1302</v>
      </c>
      <c r="B27" s="6" t="s">
        <v>1303</v>
      </c>
      <c r="C27" s="6" t="s">
        <v>1304</v>
      </c>
      <c r="D27" s="6" t="s">
        <v>1305</v>
      </c>
      <c r="E27" s="6" t="s">
        <v>1306</v>
      </c>
      <c r="F27" s="6" t="s">
        <v>1307</v>
      </c>
      <c r="G27" s="6" t="s">
        <v>1308</v>
      </c>
      <c r="H27" s="6" t="s">
        <v>1777</v>
      </c>
      <c r="I27" s="6">
        <v>0</v>
      </c>
      <c r="J27" s="6">
        <v>445.73</v>
      </c>
      <c r="K27" s="6">
        <v>1</v>
      </c>
      <c r="L27" s="6" t="s">
        <v>1148</v>
      </c>
      <c r="M27" s="23" t="s">
        <v>1148</v>
      </c>
      <c r="N27" s="6" t="str">
        <f>VLOOKUP(L27,VictoryHeitrich!D:D,1,FALSE)</f>
        <v>76211548</v>
      </c>
      <c r="O27" s="6" t="s">
        <v>1149</v>
      </c>
      <c r="P27" s="6" t="s">
        <v>1311</v>
      </c>
      <c r="Q27" s="6" t="s">
        <v>2427</v>
      </c>
      <c r="R27" s="6" t="s">
        <v>2427</v>
      </c>
      <c r="S27" s="6" t="s">
        <v>35</v>
      </c>
      <c r="T27" s="6" t="s">
        <v>36</v>
      </c>
      <c r="U27" s="6" t="s">
        <v>1313</v>
      </c>
      <c r="V27" s="6" t="s">
        <v>1314</v>
      </c>
      <c r="W27" s="6">
        <v>2025</v>
      </c>
      <c r="X27" s="6">
        <v>11</v>
      </c>
      <c r="Y27" s="6" t="s">
        <v>1315</v>
      </c>
      <c r="Z27" s="6">
        <v>2025</v>
      </c>
      <c r="AA27" s="6" t="s">
        <v>1316</v>
      </c>
      <c r="AB27" s="6" t="str">
        <f>VLOOKUP(S27,Mapping!A:C,3,FALSE)</f>
        <v>Primary</v>
      </c>
    </row>
    <row r="28" spans="1:28" x14ac:dyDescent="0.35">
      <c r="A28" s="6" t="s">
        <v>1302</v>
      </c>
      <c r="B28" s="6" t="s">
        <v>1303</v>
      </c>
      <c r="C28" s="6" t="s">
        <v>1304</v>
      </c>
      <c r="D28" s="6" t="s">
        <v>1305</v>
      </c>
      <c r="E28" s="6" t="s">
        <v>1306</v>
      </c>
      <c r="F28" s="6" t="s">
        <v>1307</v>
      </c>
      <c r="G28" s="6" t="s">
        <v>1308</v>
      </c>
      <c r="H28" s="6" t="s">
        <v>2400</v>
      </c>
      <c r="I28" s="6">
        <v>0</v>
      </c>
      <c r="J28" s="6">
        <v>445.73</v>
      </c>
      <c r="K28" s="6">
        <v>1</v>
      </c>
      <c r="L28" s="6" t="s">
        <v>1185</v>
      </c>
      <c r="M28" s="23" t="s">
        <v>1185</v>
      </c>
      <c r="N28" s="6" t="str">
        <f>VLOOKUP(L28,VictoryHeitrich!D:D,1,FALSE)</f>
        <v>76211580</v>
      </c>
      <c r="O28" s="6" t="s">
        <v>1186</v>
      </c>
      <c r="P28" s="6" t="s">
        <v>1311</v>
      </c>
      <c r="Q28" s="6" t="s">
        <v>2428</v>
      </c>
      <c r="R28" s="6" t="s">
        <v>2428</v>
      </c>
      <c r="S28" s="6" t="s">
        <v>35</v>
      </c>
      <c r="T28" s="6" t="s">
        <v>36</v>
      </c>
      <c r="U28" s="6" t="s">
        <v>1313</v>
      </c>
      <c r="V28" s="6" t="s">
        <v>1314</v>
      </c>
      <c r="W28" s="6">
        <v>2025</v>
      </c>
      <c r="X28" s="6">
        <v>11</v>
      </c>
      <c r="Y28" s="6" t="s">
        <v>1315</v>
      </c>
      <c r="Z28" s="6">
        <v>2025</v>
      </c>
      <c r="AA28" s="6" t="s">
        <v>1316</v>
      </c>
      <c r="AB28" s="6" t="str">
        <f>VLOOKUP(S28,Mapping!A:C,3,FALSE)</f>
        <v>Primary</v>
      </c>
    </row>
    <row r="29" spans="1:28" x14ac:dyDescent="0.35">
      <c r="A29" s="6" t="s">
        <v>1302</v>
      </c>
      <c r="B29" s="6" t="s">
        <v>1303</v>
      </c>
      <c r="C29" s="6" t="s">
        <v>1304</v>
      </c>
      <c r="D29" s="6" t="s">
        <v>1305</v>
      </c>
      <c r="E29" s="6" t="s">
        <v>1306</v>
      </c>
      <c r="F29" s="6" t="s">
        <v>1307</v>
      </c>
      <c r="G29" s="6" t="s">
        <v>1308</v>
      </c>
      <c r="H29" s="6" t="s">
        <v>2400</v>
      </c>
      <c r="I29" s="6">
        <v>0</v>
      </c>
      <c r="J29" s="6">
        <v>445.73</v>
      </c>
      <c r="K29" s="6">
        <v>1</v>
      </c>
      <c r="L29" s="6" t="s">
        <v>1141</v>
      </c>
      <c r="M29" s="23" t="s">
        <v>1141</v>
      </c>
      <c r="N29" s="6" t="str">
        <f>VLOOKUP(L29,VictoryHeitrich!D:D,1,FALSE)</f>
        <v>76211581</v>
      </c>
      <c r="O29" s="6" t="s">
        <v>1142</v>
      </c>
      <c r="P29" s="6" t="s">
        <v>1311</v>
      </c>
      <c r="Q29" s="6" t="s">
        <v>2429</v>
      </c>
      <c r="R29" s="6" t="s">
        <v>2429</v>
      </c>
      <c r="S29" s="6" t="s">
        <v>35</v>
      </c>
      <c r="T29" s="6" t="s">
        <v>36</v>
      </c>
      <c r="U29" s="6" t="s">
        <v>1313</v>
      </c>
      <c r="V29" s="6" t="s">
        <v>1314</v>
      </c>
      <c r="W29" s="6">
        <v>2025</v>
      </c>
      <c r="X29" s="6">
        <v>11</v>
      </c>
      <c r="Y29" s="6" t="s">
        <v>1315</v>
      </c>
      <c r="Z29" s="6">
        <v>2025</v>
      </c>
      <c r="AA29" s="6" t="s">
        <v>1316</v>
      </c>
      <c r="AB29" s="6" t="str">
        <f>VLOOKUP(S29,Mapping!A:C,3,FALSE)</f>
        <v>Primary</v>
      </c>
    </row>
    <row r="30" spans="1:28" x14ac:dyDescent="0.35">
      <c r="A30" s="6" t="s">
        <v>1302</v>
      </c>
      <c r="B30" s="6" t="s">
        <v>1303</v>
      </c>
      <c r="C30" s="6" t="s">
        <v>1304</v>
      </c>
      <c r="D30" s="6" t="s">
        <v>1305</v>
      </c>
      <c r="E30" s="6" t="s">
        <v>1306</v>
      </c>
      <c r="F30" s="6" t="s">
        <v>1307</v>
      </c>
      <c r="G30" s="6" t="s">
        <v>1308</v>
      </c>
      <c r="H30" s="6" t="s">
        <v>1742</v>
      </c>
      <c r="I30" s="6">
        <v>0</v>
      </c>
      <c r="J30" s="6">
        <v>1053.45</v>
      </c>
      <c r="K30" s="6">
        <v>1</v>
      </c>
      <c r="L30" s="6" t="s">
        <v>1033</v>
      </c>
      <c r="M30" s="23" t="s">
        <v>1033</v>
      </c>
      <c r="N30" s="6" t="str">
        <f>VLOOKUP(L30,VictoryHeitrich!D:D,1,FALSE)</f>
        <v>76211755</v>
      </c>
      <c r="O30" s="6" t="s">
        <v>1034</v>
      </c>
      <c r="P30" s="6" t="s">
        <v>1311</v>
      </c>
      <c r="Q30" s="6" t="s">
        <v>2430</v>
      </c>
      <c r="R30" s="6" t="s">
        <v>2430</v>
      </c>
      <c r="S30" s="6" t="s">
        <v>1526</v>
      </c>
      <c r="T30" s="6" t="s">
        <v>971</v>
      </c>
      <c r="U30" s="6" t="s">
        <v>1313</v>
      </c>
      <c r="V30" s="6" t="s">
        <v>1314</v>
      </c>
      <c r="W30" s="6">
        <v>2025</v>
      </c>
      <c r="X30" s="6">
        <v>11</v>
      </c>
      <c r="Y30" s="6" t="s">
        <v>1315</v>
      </c>
      <c r="Z30" s="6">
        <v>2025</v>
      </c>
      <c r="AA30" s="6" t="s">
        <v>1316</v>
      </c>
      <c r="AB30" s="6" t="str">
        <f>VLOOKUP(S30,Mapping!A:C,3,FALSE)</f>
        <v>Primary</v>
      </c>
    </row>
    <row r="31" spans="1:28" x14ac:dyDescent="0.35">
      <c r="A31" s="6" t="s">
        <v>1302</v>
      </c>
      <c r="B31" s="6" t="s">
        <v>1303</v>
      </c>
      <c r="C31" s="6" t="s">
        <v>1304</v>
      </c>
      <c r="D31" s="6" t="s">
        <v>1305</v>
      </c>
      <c r="E31" s="6" t="s">
        <v>1306</v>
      </c>
      <c r="F31" s="6" t="s">
        <v>1307</v>
      </c>
      <c r="G31" s="6" t="s">
        <v>1308</v>
      </c>
      <c r="H31" s="6" t="s">
        <v>2400</v>
      </c>
      <c r="I31" s="6">
        <v>0</v>
      </c>
      <c r="J31" s="6">
        <v>445.73</v>
      </c>
      <c r="K31" s="6">
        <v>1</v>
      </c>
      <c r="L31" s="6" t="s">
        <v>1179</v>
      </c>
      <c r="M31" s="23" t="s">
        <v>1179</v>
      </c>
      <c r="N31" s="6" t="str">
        <f>VLOOKUP(L31,VictoryHeitrich!D:D,1,FALSE)</f>
        <v>76211981</v>
      </c>
      <c r="O31" s="6" t="s">
        <v>1180</v>
      </c>
      <c r="P31" s="6" t="s">
        <v>1311</v>
      </c>
      <c r="Q31" s="6" t="s">
        <v>2431</v>
      </c>
      <c r="R31" s="6" t="s">
        <v>2431</v>
      </c>
      <c r="S31" s="6" t="s">
        <v>35</v>
      </c>
      <c r="T31" s="6" t="s">
        <v>36</v>
      </c>
      <c r="U31" s="6" t="s">
        <v>1313</v>
      </c>
      <c r="V31" s="6" t="s">
        <v>1314</v>
      </c>
      <c r="W31" s="6">
        <v>2025</v>
      </c>
      <c r="X31" s="6">
        <v>11</v>
      </c>
      <c r="Y31" s="6" t="s">
        <v>1315</v>
      </c>
      <c r="Z31" s="6">
        <v>2025</v>
      </c>
      <c r="AA31" s="6" t="s">
        <v>1316</v>
      </c>
      <c r="AB31" s="6" t="str">
        <f>VLOOKUP(S31,Mapping!A:C,3,FALSE)</f>
        <v>Primary</v>
      </c>
    </row>
    <row r="32" spans="1:28" x14ac:dyDescent="0.35">
      <c r="A32" s="6" t="s">
        <v>1302</v>
      </c>
      <c r="B32" s="6" t="s">
        <v>1303</v>
      </c>
      <c r="C32" s="6" t="s">
        <v>1304</v>
      </c>
      <c r="D32" s="6" t="s">
        <v>1305</v>
      </c>
      <c r="E32" s="6" t="s">
        <v>1306</v>
      </c>
      <c r="F32" s="6" t="s">
        <v>1307</v>
      </c>
      <c r="G32" s="6" t="s">
        <v>1308</v>
      </c>
      <c r="H32" s="6" t="s">
        <v>2400</v>
      </c>
      <c r="I32" s="6">
        <v>0</v>
      </c>
      <c r="J32" s="6">
        <v>445.73</v>
      </c>
      <c r="K32" s="6">
        <v>1</v>
      </c>
      <c r="L32" s="6" t="s">
        <v>1158</v>
      </c>
      <c r="M32" s="23" t="s">
        <v>1158</v>
      </c>
      <c r="N32" s="6" t="str">
        <f>VLOOKUP(L32,VictoryHeitrich!D:D,1,FALSE)</f>
        <v>76211989</v>
      </c>
      <c r="O32" s="6" t="s">
        <v>1159</v>
      </c>
      <c r="P32" s="6" t="s">
        <v>1311</v>
      </c>
      <c r="Q32" s="6" t="s">
        <v>2432</v>
      </c>
      <c r="R32" s="6" t="s">
        <v>2432</v>
      </c>
      <c r="S32" s="6" t="s">
        <v>35</v>
      </c>
      <c r="T32" s="6" t="s">
        <v>36</v>
      </c>
      <c r="U32" s="6" t="s">
        <v>1313</v>
      </c>
      <c r="V32" s="6" t="s">
        <v>1314</v>
      </c>
      <c r="W32" s="6">
        <v>2025</v>
      </c>
      <c r="X32" s="6">
        <v>11</v>
      </c>
      <c r="Y32" s="6" t="s">
        <v>1315</v>
      </c>
      <c r="Z32" s="6">
        <v>2025</v>
      </c>
      <c r="AA32" s="6" t="s">
        <v>1316</v>
      </c>
      <c r="AB32" s="6" t="str">
        <f>VLOOKUP(S32,Mapping!A:C,3,FALSE)</f>
        <v>Primary</v>
      </c>
    </row>
    <row r="33" spans="1:28" x14ac:dyDescent="0.35">
      <c r="A33" s="6" t="s">
        <v>1302</v>
      </c>
      <c r="B33" s="6" t="s">
        <v>1303</v>
      </c>
      <c r="C33" s="6" t="s">
        <v>1304</v>
      </c>
      <c r="D33" s="6" t="s">
        <v>1305</v>
      </c>
      <c r="E33" s="6" t="s">
        <v>1306</v>
      </c>
      <c r="F33" s="6" t="s">
        <v>1307</v>
      </c>
      <c r="G33" s="6" t="s">
        <v>1308</v>
      </c>
      <c r="H33" s="6" t="s">
        <v>1777</v>
      </c>
      <c r="I33" s="6">
        <v>0</v>
      </c>
      <c r="J33" s="6">
        <v>445.73</v>
      </c>
      <c r="K33" s="6">
        <v>1</v>
      </c>
      <c r="L33" s="6" t="s">
        <v>1182</v>
      </c>
      <c r="M33" s="23" t="s">
        <v>1182</v>
      </c>
      <c r="N33" s="6" t="str">
        <f>VLOOKUP(L33,VictoryHeitrich!D:D,1,FALSE)</f>
        <v>76212075</v>
      </c>
      <c r="O33" s="6" t="s">
        <v>1183</v>
      </c>
      <c r="P33" s="6" t="s">
        <v>1311</v>
      </c>
      <c r="Q33" s="6" t="s">
        <v>2433</v>
      </c>
      <c r="R33" s="6" t="s">
        <v>2433</v>
      </c>
      <c r="S33" s="6" t="s">
        <v>35</v>
      </c>
      <c r="T33" s="6" t="s">
        <v>36</v>
      </c>
      <c r="U33" s="6" t="s">
        <v>1313</v>
      </c>
      <c r="V33" s="6" t="s">
        <v>1314</v>
      </c>
      <c r="W33" s="6">
        <v>2025</v>
      </c>
      <c r="X33" s="6">
        <v>11</v>
      </c>
      <c r="Y33" s="6" t="s">
        <v>1315</v>
      </c>
      <c r="Z33" s="6">
        <v>2025</v>
      </c>
      <c r="AA33" s="6" t="s">
        <v>1316</v>
      </c>
      <c r="AB33" s="6" t="str">
        <f>VLOOKUP(S33,Mapping!A:C,3,FALSE)</f>
        <v>Primary</v>
      </c>
    </row>
    <row r="34" spans="1:28" x14ac:dyDescent="0.35">
      <c r="A34" s="6" t="s">
        <v>1302</v>
      </c>
      <c r="B34" s="6" t="s">
        <v>1303</v>
      </c>
      <c r="C34" s="6" t="s">
        <v>1304</v>
      </c>
      <c r="D34" s="6" t="s">
        <v>1305</v>
      </c>
      <c r="E34" s="6" t="s">
        <v>1306</v>
      </c>
      <c r="F34" s="6" t="s">
        <v>1307</v>
      </c>
      <c r="G34" s="6" t="s">
        <v>1308</v>
      </c>
      <c r="H34" s="6" t="s">
        <v>1777</v>
      </c>
      <c r="I34" s="6">
        <v>0</v>
      </c>
      <c r="J34" s="6">
        <v>445.73</v>
      </c>
      <c r="K34" s="6">
        <v>1</v>
      </c>
      <c r="L34" s="6" t="s">
        <v>1173</v>
      </c>
      <c r="M34" s="23" t="s">
        <v>1173</v>
      </c>
      <c r="N34" s="6" t="str">
        <f>VLOOKUP(L34,VictoryHeitrich!D:D,1,FALSE)</f>
        <v>76212090</v>
      </c>
      <c r="O34" s="6" t="s">
        <v>1174</v>
      </c>
      <c r="P34" s="6" t="s">
        <v>1311</v>
      </c>
      <c r="Q34" s="6" t="s">
        <v>2434</v>
      </c>
      <c r="R34" s="6" t="s">
        <v>2434</v>
      </c>
      <c r="S34" s="6" t="s">
        <v>35</v>
      </c>
      <c r="T34" s="6" t="s">
        <v>36</v>
      </c>
      <c r="U34" s="6" t="s">
        <v>1313</v>
      </c>
      <c r="V34" s="6" t="s">
        <v>1314</v>
      </c>
      <c r="W34" s="6">
        <v>2025</v>
      </c>
      <c r="X34" s="6">
        <v>11</v>
      </c>
      <c r="Y34" s="6" t="s">
        <v>1315</v>
      </c>
      <c r="Z34" s="6">
        <v>2025</v>
      </c>
      <c r="AA34" s="6" t="s">
        <v>1316</v>
      </c>
      <c r="AB34" s="6" t="str">
        <f>VLOOKUP(S34,Mapping!A:C,3,FALSE)</f>
        <v>Primary</v>
      </c>
    </row>
    <row r="35" spans="1:28" x14ac:dyDescent="0.35">
      <c r="A35" s="6" t="s">
        <v>1302</v>
      </c>
      <c r="B35" s="6" t="s">
        <v>1303</v>
      </c>
      <c r="C35" s="6" t="s">
        <v>1304</v>
      </c>
      <c r="D35" s="6" t="s">
        <v>1305</v>
      </c>
      <c r="E35" s="6" t="s">
        <v>1306</v>
      </c>
      <c r="F35" s="6" t="s">
        <v>1307</v>
      </c>
      <c r="G35" s="6" t="s">
        <v>1308</v>
      </c>
      <c r="H35" s="6" t="s">
        <v>2400</v>
      </c>
      <c r="I35" s="6">
        <v>0</v>
      </c>
      <c r="J35" s="6">
        <v>445.73</v>
      </c>
      <c r="K35" s="6">
        <v>1</v>
      </c>
      <c r="L35" s="6" t="s">
        <v>1191</v>
      </c>
      <c r="M35" s="23" t="s">
        <v>1191</v>
      </c>
      <c r="N35" s="6" t="str">
        <f>VLOOKUP(L35,VictoryHeitrich!D:D,1,FALSE)</f>
        <v>76212307</v>
      </c>
      <c r="O35" s="6" t="s">
        <v>1192</v>
      </c>
      <c r="P35" s="6" t="s">
        <v>1311</v>
      </c>
      <c r="Q35" s="6" t="s">
        <v>2435</v>
      </c>
      <c r="R35" s="6" t="s">
        <v>2435</v>
      </c>
      <c r="S35" s="6" t="s">
        <v>35</v>
      </c>
      <c r="T35" s="6" t="s">
        <v>36</v>
      </c>
      <c r="U35" s="6" t="s">
        <v>1313</v>
      </c>
      <c r="V35" s="6" t="s">
        <v>1314</v>
      </c>
      <c r="W35" s="6">
        <v>2025</v>
      </c>
      <c r="X35" s="6">
        <v>11</v>
      </c>
      <c r="Y35" s="6" t="s">
        <v>1315</v>
      </c>
      <c r="Z35" s="6">
        <v>2025</v>
      </c>
      <c r="AA35" s="6" t="s">
        <v>1316</v>
      </c>
      <c r="AB35" s="6" t="str">
        <f>VLOOKUP(S35,Mapping!A:C,3,FALSE)</f>
        <v>Primary</v>
      </c>
    </row>
    <row r="36" spans="1:28" x14ac:dyDescent="0.35">
      <c r="A36" s="6" t="s">
        <v>1302</v>
      </c>
      <c r="B36" s="6" t="s">
        <v>1303</v>
      </c>
      <c r="C36" s="6" t="s">
        <v>1304</v>
      </c>
      <c r="D36" s="6" t="s">
        <v>1305</v>
      </c>
      <c r="E36" s="6" t="s">
        <v>1306</v>
      </c>
      <c r="F36" s="6" t="s">
        <v>1307</v>
      </c>
      <c r="G36" s="6" t="s">
        <v>1308</v>
      </c>
      <c r="H36" s="6" t="s">
        <v>2400</v>
      </c>
      <c r="I36" s="6">
        <v>0</v>
      </c>
      <c r="J36" s="6">
        <v>445.73</v>
      </c>
      <c r="K36" s="6">
        <v>1</v>
      </c>
      <c r="L36" s="6" t="s">
        <v>1194</v>
      </c>
      <c r="M36" s="23" t="s">
        <v>1194</v>
      </c>
      <c r="N36" s="6" t="str">
        <f>VLOOKUP(L36,VictoryHeitrich!D:D,1,FALSE)</f>
        <v>76212369</v>
      </c>
      <c r="O36" s="6" t="s">
        <v>1195</v>
      </c>
      <c r="P36" s="6" t="s">
        <v>1311</v>
      </c>
      <c r="Q36" s="6" t="s">
        <v>2436</v>
      </c>
      <c r="R36" s="6" t="s">
        <v>2436</v>
      </c>
      <c r="S36" s="6" t="s">
        <v>35</v>
      </c>
      <c r="T36" s="6" t="s">
        <v>36</v>
      </c>
      <c r="U36" s="6" t="s">
        <v>1313</v>
      </c>
      <c r="V36" s="6" t="s">
        <v>1314</v>
      </c>
      <c r="W36" s="6">
        <v>2025</v>
      </c>
      <c r="X36" s="6">
        <v>11</v>
      </c>
      <c r="Y36" s="6" t="s">
        <v>1315</v>
      </c>
      <c r="Z36" s="6">
        <v>2025</v>
      </c>
      <c r="AA36" s="6" t="s">
        <v>1316</v>
      </c>
      <c r="AB36" s="6" t="str">
        <f>VLOOKUP(S36,Mapping!A:C,3,FALSE)</f>
        <v>Primary</v>
      </c>
    </row>
    <row r="37" spans="1:28" x14ac:dyDescent="0.35">
      <c r="A37" s="6" t="s">
        <v>1302</v>
      </c>
      <c r="B37" s="6" t="s">
        <v>1303</v>
      </c>
      <c r="C37" s="6" t="s">
        <v>1304</v>
      </c>
      <c r="D37" s="6" t="s">
        <v>1305</v>
      </c>
      <c r="E37" s="6" t="s">
        <v>1306</v>
      </c>
      <c r="F37" s="6" t="s">
        <v>1307</v>
      </c>
      <c r="G37" s="6" t="s">
        <v>1308</v>
      </c>
      <c r="H37" s="6" t="s">
        <v>1742</v>
      </c>
      <c r="I37" s="6">
        <v>0</v>
      </c>
      <c r="J37" s="6">
        <v>1053.45</v>
      </c>
      <c r="K37" s="6">
        <v>1</v>
      </c>
      <c r="L37" s="6" t="s">
        <v>1054</v>
      </c>
      <c r="M37" s="23" t="s">
        <v>1054</v>
      </c>
      <c r="N37" s="6" t="str">
        <f>VLOOKUP(L37,VictoryHeitrich!D:D,1,FALSE)</f>
        <v>76212419</v>
      </c>
      <c r="O37" s="6" t="s">
        <v>1055</v>
      </c>
      <c r="P37" s="6" t="s">
        <v>1311</v>
      </c>
      <c r="Q37" s="6" t="s">
        <v>2437</v>
      </c>
      <c r="R37" s="6" t="s">
        <v>2437</v>
      </c>
      <c r="S37" s="6" t="s">
        <v>1526</v>
      </c>
      <c r="T37" s="6" t="s">
        <v>971</v>
      </c>
      <c r="U37" s="6" t="s">
        <v>1313</v>
      </c>
      <c r="V37" s="6" t="s">
        <v>1314</v>
      </c>
      <c r="W37" s="6">
        <v>2025</v>
      </c>
      <c r="X37" s="6">
        <v>11</v>
      </c>
      <c r="Y37" s="6" t="s">
        <v>1315</v>
      </c>
      <c r="Z37" s="6">
        <v>2025</v>
      </c>
      <c r="AA37" s="6" t="s">
        <v>1316</v>
      </c>
      <c r="AB37" s="6" t="str">
        <f>VLOOKUP(S37,Mapping!A:C,3,FALSE)</f>
        <v>Primary</v>
      </c>
    </row>
    <row r="38" spans="1:28" x14ac:dyDescent="0.35">
      <c r="A38" s="6" t="s">
        <v>1302</v>
      </c>
      <c r="B38" s="6" t="s">
        <v>1303</v>
      </c>
      <c r="C38" s="6" t="s">
        <v>1304</v>
      </c>
      <c r="D38" s="6" t="s">
        <v>1305</v>
      </c>
      <c r="E38" s="6" t="s">
        <v>1306</v>
      </c>
      <c r="F38" s="6" t="s">
        <v>1307</v>
      </c>
      <c r="G38" s="6" t="s">
        <v>1308</v>
      </c>
      <c r="H38" s="6" t="s">
        <v>1742</v>
      </c>
      <c r="I38" s="6">
        <v>0</v>
      </c>
      <c r="J38" s="6">
        <v>1053.45</v>
      </c>
      <c r="K38" s="6">
        <v>1</v>
      </c>
      <c r="L38" s="6" t="s">
        <v>1021</v>
      </c>
      <c r="M38" s="23" t="s">
        <v>1021</v>
      </c>
      <c r="N38" s="6" t="str">
        <f>VLOOKUP(L38,VictoryHeitrich!D:D,1,FALSE)</f>
        <v>76214531</v>
      </c>
      <c r="O38" s="6" t="s">
        <v>1022</v>
      </c>
      <c r="P38" s="6" t="s">
        <v>1311</v>
      </c>
      <c r="Q38" s="6" t="s">
        <v>2438</v>
      </c>
      <c r="R38" s="6" t="s">
        <v>2438</v>
      </c>
      <c r="S38" s="6" t="s">
        <v>1526</v>
      </c>
      <c r="T38" s="6" t="s">
        <v>971</v>
      </c>
      <c r="U38" s="6" t="s">
        <v>1313</v>
      </c>
      <c r="V38" s="6" t="s">
        <v>1314</v>
      </c>
      <c r="W38" s="6">
        <v>2025</v>
      </c>
      <c r="X38" s="6">
        <v>11</v>
      </c>
      <c r="Y38" s="6" t="s">
        <v>1315</v>
      </c>
      <c r="Z38" s="6">
        <v>2025</v>
      </c>
      <c r="AA38" s="6" t="s">
        <v>1316</v>
      </c>
      <c r="AB38" s="6" t="str">
        <f>VLOOKUP(S38,Mapping!A:C,3,FALSE)</f>
        <v>Primary</v>
      </c>
    </row>
    <row r="39" spans="1:28" x14ac:dyDescent="0.35">
      <c r="A39" s="6" t="s">
        <v>1302</v>
      </c>
      <c r="B39" s="6" t="s">
        <v>1303</v>
      </c>
      <c r="C39" s="6" t="s">
        <v>1304</v>
      </c>
      <c r="D39" s="6" t="s">
        <v>1305</v>
      </c>
      <c r="E39" s="6" t="s">
        <v>1306</v>
      </c>
      <c r="F39" s="6" t="s">
        <v>1307</v>
      </c>
      <c r="G39" s="6" t="s">
        <v>1308</v>
      </c>
      <c r="H39" s="6" t="s">
        <v>1777</v>
      </c>
      <c r="I39" s="6">
        <v>0</v>
      </c>
      <c r="J39" s="6">
        <v>445.73</v>
      </c>
      <c r="K39" s="6">
        <v>1</v>
      </c>
      <c r="L39" s="6" t="s">
        <v>1154</v>
      </c>
      <c r="M39" s="23" t="s">
        <v>1154</v>
      </c>
      <c r="N39" s="6" t="str">
        <f>VLOOKUP(L39,VictoryHeitrich!D:D,1,FALSE)</f>
        <v>76214817</v>
      </c>
      <c r="O39" s="6" t="s">
        <v>1155</v>
      </c>
      <c r="P39" s="6" t="s">
        <v>1311</v>
      </c>
      <c r="Q39" s="6" t="s">
        <v>2439</v>
      </c>
      <c r="R39" s="6" t="s">
        <v>2439</v>
      </c>
      <c r="S39" s="6" t="s">
        <v>35</v>
      </c>
      <c r="T39" s="6" t="s">
        <v>36</v>
      </c>
      <c r="U39" s="6" t="s">
        <v>1313</v>
      </c>
      <c r="V39" s="6" t="s">
        <v>1314</v>
      </c>
      <c r="W39" s="6">
        <v>2025</v>
      </c>
      <c r="X39" s="6">
        <v>11</v>
      </c>
      <c r="Y39" s="6" t="s">
        <v>1315</v>
      </c>
      <c r="Z39" s="6">
        <v>2025</v>
      </c>
      <c r="AA39" s="6" t="s">
        <v>1316</v>
      </c>
      <c r="AB39" s="6" t="str">
        <f>VLOOKUP(S39,Mapping!A:C,3,FALSE)</f>
        <v>Primary</v>
      </c>
    </row>
    <row r="40" spans="1:28" x14ac:dyDescent="0.35">
      <c r="A40" s="6" t="s">
        <v>1302</v>
      </c>
      <c r="B40" s="6" t="s">
        <v>1303</v>
      </c>
      <c r="C40" s="6" t="s">
        <v>1304</v>
      </c>
      <c r="D40" s="6" t="s">
        <v>1305</v>
      </c>
      <c r="E40" s="6" t="s">
        <v>1306</v>
      </c>
      <c r="F40" s="6" t="s">
        <v>1307</v>
      </c>
      <c r="G40" s="6" t="s">
        <v>1308</v>
      </c>
      <c r="H40" s="6" t="s">
        <v>1777</v>
      </c>
      <c r="I40" s="6">
        <v>0</v>
      </c>
      <c r="J40" s="6">
        <v>445.73</v>
      </c>
      <c r="K40" s="6">
        <v>1</v>
      </c>
      <c r="L40" s="6" t="s">
        <v>1188</v>
      </c>
      <c r="M40" s="23" t="s">
        <v>1188</v>
      </c>
      <c r="N40" s="6" t="str">
        <f>VLOOKUP(L40,VictoryHeitrich!D:D,1,FALSE)</f>
        <v>76215188</v>
      </c>
      <c r="O40" s="6" t="s">
        <v>1189</v>
      </c>
      <c r="P40" s="6" t="s">
        <v>1311</v>
      </c>
      <c r="Q40" s="6" t="s">
        <v>2440</v>
      </c>
      <c r="R40" s="6" t="s">
        <v>2440</v>
      </c>
      <c r="S40" s="6" t="s">
        <v>35</v>
      </c>
      <c r="T40" s="6" t="s">
        <v>36</v>
      </c>
      <c r="U40" s="6" t="s">
        <v>1313</v>
      </c>
      <c r="V40" s="6" t="s">
        <v>1314</v>
      </c>
      <c r="W40" s="6">
        <v>2025</v>
      </c>
      <c r="X40" s="6">
        <v>11</v>
      </c>
      <c r="Y40" s="6" t="s">
        <v>1315</v>
      </c>
      <c r="Z40" s="6">
        <v>2025</v>
      </c>
      <c r="AA40" s="6" t="s">
        <v>1316</v>
      </c>
      <c r="AB40" s="6" t="str">
        <f>VLOOKUP(S40,Mapping!A:C,3,FALSE)</f>
        <v>Primary</v>
      </c>
    </row>
    <row r="41" spans="1:28" x14ac:dyDescent="0.35">
      <c r="A41" s="6" t="s">
        <v>1302</v>
      </c>
      <c r="B41" s="6" t="s">
        <v>1303</v>
      </c>
      <c r="C41" s="6" t="s">
        <v>1304</v>
      </c>
      <c r="D41" s="6" t="s">
        <v>1305</v>
      </c>
      <c r="E41" s="6" t="s">
        <v>1306</v>
      </c>
      <c r="F41" s="6" t="s">
        <v>1307</v>
      </c>
      <c r="G41" s="6" t="s">
        <v>1308</v>
      </c>
      <c r="H41" s="6" t="s">
        <v>2425</v>
      </c>
      <c r="I41" s="6">
        <v>0</v>
      </c>
      <c r="J41" s="6">
        <v>1053.45</v>
      </c>
      <c r="K41" s="6">
        <v>1</v>
      </c>
      <c r="L41" s="6" t="s">
        <v>1051</v>
      </c>
      <c r="M41" s="23" t="s">
        <v>1051</v>
      </c>
      <c r="N41" s="6" t="str">
        <f>VLOOKUP(L41,VictoryHeitrich!D:D,1,FALSE)</f>
        <v>76216792</v>
      </c>
      <c r="O41" s="6" t="s">
        <v>1052</v>
      </c>
      <c r="P41" s="6" t="s">
        <v>1311</v>
      </c>
      <c r="Q41" s="6" t="s">
        <v>2441</v>
      </c>
      <c r="R41" s="6" t="s">
        <v>2441</v>
      </c>
      <c r="S41" s="6" t="s">
        <v>1526</v>
      </c>
      <c r="T41" s="6" t="s">
        <v>971</v>
      </c>
      <c r="U41" s="6" t="s">
        <v>1313</v>
      </c>
      <c r="V41" s="6" t="s">
        <v>1314</v>
      </c>
      <c r="W41" s="6">
        <v>2025</v>
      </c>
      <c r="X41" s="6">
        <v>11</v>
      </c>
      <c r="Y41" s="6" t="s">
        <v>1315</v>
      </c>
      <c r="Z41" s="6">
        <v>2025</v>
      </c>
      <c r="AA41" s="6" t="s">
        <v>1316</v>
      </c>
      <c r="AB41" s="6" t="str">
        <f>VLOOKUP(S41,Mapping!A:C,3,FALSE)</f>
        <v>Primary</v>
      </c>
    </row>
    <row r="42" spans="1:28" x14ac:dyDescent="0.35">
      <c r="A42" s="6" t="s">
        <v>1302</v>
      </c>
      <c r="B42" s="6" t="s">
        <v>1303</v>
      </c>
      <c r="C42" s="6" t="s">
        <v>1304</v>
      </c>
      <c r="D42" s="6" t="s">
        <v>1305</v>
      </c>
      <c r="E42" s="6" t="s">
        <v>1306</v>
      </c>
      <c r="F42" s="6" t="s">
        <v>1307</v>
      </c>
      <c r="G42" s="6" t="s">
        <v>1308</v>
      </c>
      <c r="H42" s="6" t="s">
        <v>1742</v>
      </c>
      <c r="I42" s="6">
        <v>0</v>
      </c>
      <c r="J42" s="6">
        <v>1053.45</v>
      </c>
      <c r="K42" s="6">
        <v>1</v>
      </c>
      <c r="L42" s="6" t="s">
        <v>1063</v>
      </c>
      <c r="M42" s="23" t="s">
        <v>1063</v>
      </c>
      <c r="N42" s="6" t="str">
        <f>VLOOKUP(L42,VictoryHeitrich!D:D,1,FALSE)</f>
        <v>76217403</v>
      </c>
      <c r="O42" s="6" t="s">
        <v>1064</v>
      </c>
      <c r="P42" s="6" t="s">
        <v>1311</v>
      </c>
      <c r="Q42" s="6" t="s">
        <v>2442</v>
      </c>
      <c r="R42" s="6" t="s">
        <v>2442</v>
      </c>
      <c r="S42" s="6" t="s">
        <v>1526</v>
      </c>
      <c r="T42" s="6" t="s">
        <v>971</v>
      </c>
      <c r="U42" s="6" t="s">
        <v>1313</v>
      </c>
      <c r="V42" s="6" t="s">
        <v>1314</v>
      </c>
      <c r="W42" s="6">
        <v>2025</v>
      </c>
      <c r="X42" s="6">
        <v>11</v>
      </c>
      <c r="Y42" s="6" t="s">
        <v>1315</v>
      </c>
      <c r="Z42" s="6">
        <v>2025</v>
      </c>
      <c r="AA42" s="6" t="s">
        <v>1316</v>
      </c>
      <c r="AB42" s="6" t="str">
        <f>VLOOKUP(S42,Mapping!A:C,3,FALSE)</f>
        <v>Primary</v>
      </c>
    </row>
    <row r="43" spans="1:28" x14ac:dyDescent="0.35">
      <c r="A43" s="6" t="s">
        <v>1302</v>
      </c>
      <c r="B43" s="6" t="s">
        <v>1303</v>
      </c>
      <c r="C43" s="6" t="s">
        <v>1304</v>
      </c>
      <c r="D43" s="6" t="s">
        <v>1305</v>
      </c>
      <c r="E43" s="6" t="s">
        <v>1306</v>
      </c>
      <c r="F43" s="6" t="s">
        <v>1307</v>
      </c>
      <c r="G43" s="6" t="s">
        <v>1308</v>
      </c>
      <c r="H43" s="6" t="s">
        <v>1777</v>
      </c>
      <c r="I43" s="6">
        <v>0</v>
      </c>
      <c r="J43" s="6">
        <v>445.73</v>
      </c>
      <c r="K43" s="6">
        <v>1</v>
      </c>
      <c r="L43" s="6" t="s">
        <v>1167</v>
      </c>
      <c r="M43" s="23" t="s">
        <v>1167</v>
      </c>
      <c r="N43" s="6" t="str">
        <f>VLOOKUP(L43,VictoryHeitrich!D:D,1,FALSE)</f>
        <v>76217603</v>
      </c>
      <c r="O43" s="6" t="s">
        <v>1168</v>
      </c>
      <c r="P43" s="6" t="s">
        <v>1311</v>
      </c>
      <c r="Q43" s="6" t="s">
        <v>2443</v>
      </c>
      <c r="R43" s="6" t="s">
        <v>2443</v>
      </c>
      <c r="S43" s="6" t="s">
        <v>35</v>
      </c>
      <c r="T43" s="6" t="s">
        <v>36</v>
      </c>
      <c r="U43" s="6" t="s">
        <v>1313</v>
      </c>
      <c r="V43" s="6" t="s">
        <v>1314</v>
      </c>
      <c r="W43" s="6">
        <v>2025</v>
      </c>
      <c r="X43" s="6">
        <v>11</v>
      </c>
      <c r="Y43" s="6" t="s">
        <v>1315</v>
      </c>
      <c r="Z43" s="6">
        <v>2025</v>
      </c>
      <c r="AA43" s="6" t="s">
        <v>1316</v>
      </c>
      <c r="AB43" s="6" t="str">
        <f>VLOOKUP(S43,Mapping!A:C,3,FALSE)</f>
        <v>Primary</v>
      </c>
    </row>
    <row r="44" spans="1:28" x14ac:dyDescent="0.35">
      <c r="A44" s="6" t="s">
        <v>1302</v>
      </c>
      <c r="B44" s="6" t="s">
        <v>1303</v>
      </c>
      <c r="C44" s="6" t="s">
        <v>1304</v>
      </c>
      <c r="D44" s="6" t="s">
        <v>1305</v>
      </c>
      <c r="E44" s="6" t="s">
        <v>1306</v>
      </c>
      <c r="F44" s="6" t="s">
        <v>1307</v>
      </c>
      <c r="G44" s="6" t="s">
        <v>1308</v>
      </c>
      <c r="H44" s="6" t="s">
        <v>1777</v>
      </c>
      <c r="I44" s="6">
        <v>0</v>
      </c>
      <c r="J44" s="6">
        <v>445.73</v>
      </c>
      <c r="K44" s="6">
        <v>1</v>
      </c>
      <c r="L44" s="6" t="s">
        <v>1144</v>
      </c>
      <c r="M44" s="23" t="s">
        <v>1144</v>
      </c>
      <c r="N44" s="6" t="str">
        <f>VLOOKUP(L44,VictoryHeitrich!D:D,1,FALSE)</f>
        <v>76217649</v>
      </c>
      <c r="O44" s="6" t="s">
        <v>1145</v>
      </c>
      <c r="P44" s="6" t="s">
        <v>1311</v>
      </c>
      <c r="Q44" s="6" t="s">
        <v>2444</v>
      </c>
      <c r="R44" s="6" t="s">
        <v>2444</v>
      </c>
      <c r="S44" s="6" t="s">
        <v>35</v>
      </c>
      <c r="T44" s="6" t="s">
        <v>36</v>
      </c>
      <c r="U44" s="6" t="s">
        <v>1313</v>
      </c>
      <c r="V44" s="6" t="s">
        <v>1314</v>
      </c>
      <c r="W44" s="6">
        <v>2025</v>
      </c>
      <c r="X44" s="6">
        <v>11</v>
      </c>
      <c r="Y44" s="6" t="s">
        <v>1315</v>
      </c>
      <c r="Z44" s="6">
        <v>2025</v>
      </c>
      <c r="AA44" s="6" t="s">
        <v>1316</v>
      </c>
      <c r="AB44" s="6" t="str">
        <f>VLOOKUP(S44,Mapping!A:C,3,FALSE)</f>
        <v>Primary</v>
      </c>
    </row>
    <row r="45" spans="1:28" x14ac:dyDescent="0.35">
      <c r="A45" s="6" t="s">
        <v>1302</v>
      </c>
      <c r="B45" s="6" t="s">
        <v>1303</v>
      </c>
      <c r="C45" s="6" t="s">
        <v>1304</v>
      </c>
      <c r="D45" s="6" t="s">
        <v>1305</v>
      </c>
      <c r="E45" s="6" t="s">
        <v>1306</v>
      </c>
      <c r="F45" s="6" t="s">
        <v>1307</v>
      </c>
      <c r="G45" s="6" t="s">
        <v>1308</v>
      </c>
      <c r="H45" s="6" t="s">
        <v>1777</v>
      </c>
      <c r="I45" s="6">
        <v>0</v>
      </c>
      <c r="J45" s="6">
        <v>445.73</v>
      </c>
      <c r="K45" s="6">
        <v>1</v>
      </c>
      <c r="L45" s="6" t="s">
        <v>1176</v>
      </c>
      <c r="M45" s="23" t="s">
        <v>1176</v>
      </c>
      <c r="N45" s="6" t="str">
        <f>VLOOKUP(L45,VictoryHeitrich!D:D,1,FALSE)</f>
        <v>76218332</v>
      </c>
      <c r="O45" s="6" t="s">
        <v>1177</v>
      </c>
      <c r="P45" s="6" t="s">
        <v>1311</v>
      </c>
      <c r="Q45" s="6" t="s">
        <v>2445</v>
      </c>
      <c r="R45" s="6" t="s">
        <v>2445</v>
      </c>
      <c r="S45" s="6" t="s">
        <v>35</v>
      </c>
      <c r="T45" s="6" t="s">
        <v>36</v>
      </c>
      <c r="U45" s="6" t="s">
        <v>1313</v>
      </c>
      <c r="V45" s="6" t="s">
        <v>1314</v>
      </c>
      <c r="W45" s="6">
        <v>2025</v>
      </c>
      <c r="X45" s="6">
        <v>11</v>
      </c>
      <c r="Y45" s="6" t="s">
        <v>1315</v>
      </c>
      <c r="Z45" s="6">
        <v>2025</v>
      </c>
      <c r="AA45" s="6" t="s">
        <v>1316</v>
      </c>
      <c r="AB45" s="6" t="str">
        <f>VLOOKUP(S45,Mapping!A:C,3,FALSE)</f>
        <v>Primary</v>
      </c>
    </row>
    <row r="46" spans="1:28" x14ac:dyDescent="0.35">
      <c r="A46" s="6" t="s">
        <v>1302</v>
      </c>
      <c r="B46" s="6" t="s">
        <v>1303</v>
      </c>
      <c r="C46" s="6" t="s">
        <v>1304</v>
      </c>
      <c r="D46" s="6" t="s">
        <v>1305</v>
      </c>
      <c r="E46" s="6" t="s">
        <v>1306</v>
      </c>
      <c r="F46" s="6" t="s">
        <v>1307</v>
      </c>
      <c r="G46" s="6" t="s">
        <v>1308</v>
      </c>
      <c r="H46" s="6" t="s">
        <v>1777</v>
      </c>
      <c r="I46" s="6">
        <v>0</v>
      </c>
      <c r="J46" s="6">
        <v>445.73</v>
      </c>
      <c r="K46" s="6">
        <v>1</v>
      </c>
      <c r="L46" s="6" t="s">
        <v>1161</v>
      </c>
      <c r="M46" s="23" t="s">
        <v>1161</v>
      </c>
      <c r="N46" s="6" t="str">
        <f>VLOOKUP(L46,VictoryHeitrich!D:D,1,FALSE)</f>
        <v>76219122</v>
      </c>
      <c r="O46" s="6" t="s">
        <v>1162</v>
      </c>
      <c r="P46" s="6" t="s">
        <v>1311</v>
      </c>
      <c r="Q46" s="6" t="s">
        <v>2446</v>
      </c>
      <c r="R46" s="6" t="s">
        <v>2446</v>
      </c>
      <c r="S46" s="6" t="s">
        <v>35</v>
      </c>
      <c r="T46" s="6" t="s">
        <v>36</v>
      </c>
      <c r="U46" s="6" t="s">
        <v>1313</v>
      </c>
      <c r="V46" s="6" t="s">
        <v>1314</v>
      </c>
      <c r="W46" s="6">
        <v>2025</v>
      </c>
      <c r="X46" s="6">
        <v>11</v>
      </c>
      <c r="Y46" s="6" t="s">
        <v>1315</v>
      </c>
      <c r="Z46" s="6">
        <v>2025</v>
      </c>
      <c r="AA46" s="6" t="s">
        <v>1316</v>
      </c>
      <c r="AB46" s="6" t="str">
        <f>VLOOKUP(S46,Mapping!A:C,3,FALSE)</f>
        <v>Primary</v>
      </c>
    </row>
    <row r="47" spans="1:28" x14ac:dyDescent="0.35">
      <c r="A47" s="6" t="s">
        <v>1302</v>
      </c>
      <c r="B47" s="6" t="s">
        <v>1303</v>
      </c>
      <c r="C47" s="6" t="s">
        <v>1304</v>
      </c>
      <c r="D47" s="6" t="s">
        <v>1305</v>
      </c>
      <c r="E47" s="6" t="s">
        <v>1306</v>
      </c>
      <c r="F47" s="6" t="s">
        <v>1307</v>
      </c>
      <c r="G47" s="6" t="s">
        <v>1308</v>
      </c>
      <c r="H47" s="6" t="s">
        <v>1309</v>
      </c>
      <c r="I47" s="6">
        <v>0</v>
      </c>
      <c r="J47" s="6">
        <v>1053.45</v>
      </c>
      <c r="K47" s="6">
        <v>1</v>
      </c>
      <c r="L47" s="6" t="s">
        <v>1075</v>
      </c>
      <c r="M47" s="23" t="s">
        <v>1075</v>
      </c>
      <c r="N47" s="6" t="str">
        <f>VLOOKUP(L47,VictoryHeitrich!D:D,1,FALSE)</f>
        <v>76221153</v>
      </c>
      <c r="O47" s="6" t="s">
        <v>1076</v>
      </c>
      <c r="P47" s="6" t="s">
        <v>1311</v>
      </c>
      <c r="Q47" s="6" t="s">
        <v>2447</v>
      </c>
      <c r="R47" s="6" t="s">
        <v>2447</v>
      </c>
      <c r="S47" s="6" t="s">
        <v>1526</v>
      </c>
      <c r="T47" s="6" t="s">
        <v>971</v>
      </c>
      <c r="U47" s="6" t="s">
        <v>1313</v>
      </c>
      <c r="V47" s="6" t="s">
        <v>1314</v>
      </c>
      <c r="W47" s="6">
        <v>2025</v>
      </c>
      <c r="X47" s="6">
        <v>11</v>
      </c>
      <c r="Y47" s="6" t="s">
        <v>1315</v>
      </c>
      <c r="Z47" s="6">
        <v>2025</v>
      </c>
      <c r="AA47" s="6" t="s">
        <v>1316</v>
      </c>
      <c r="AB47" s="6" t="str">
        <f>VLOOKUP(S47,Mapping!A:C,3,FALSE)</f>
        <v>Primary</v>
      </c>
    </row>
    <row r="48" spans="1:28" x14ac:dyDescent="0.35">
      <c r="A48" s="6" t="s">
        <v>1302</v>
      </c>
      <c r="B48" s="6" t="s">
        <v>1303</v>
      </c>
      <c r="C48" s="6" t="s">
        <v>1304</v>
      </c>
      <c r="D48" s="6" t="s">
        <v>1305</v>
      </c>
      <c r="E48" s="6" t="s">
        <v>1306</v>
      </c>
      <c r="F48" s="6" t="s">
        <v>1307</v>
      </c>
      <c r="G48" s="6" t="s">
        <v>1308</v>
      </c>
      <c r="H48" s="6" t="s">
        <v>1742</v>
      </c>
      <c r="I48" s="6">
        <v>0</v>
      </c>
      <c r="J48" s="6">
        <v>1053.45</v>
      </c>
      <c r="K48" s="6">
        <v>1</v>
      </c>
      <c r="L48" s="6" t="s">
        <v>984</v>
      </c>
      <c r="M48" s="23" t="s">
        <v>984</v>
      </c>
      <c r="N48" s="6" t="str">
        <f>VLOOKUP(L48,VictoryHeitrich!D:D,1,FALSE)</f>
        <v>76228429</v>
      </c>
      <c r="O48" s="6" t="s">
        <v>985</v>
      </c>
      <c r="P48" s="6" t="s">
        <v>1311</v>
      </c>
      <c r="Q48" s="6" t="s">
        <v>2448</v>
      </c>
      <c r="R48" s="6" t="s">
        <v>2448</v>
      </c>
      <c r="S48" s="6" t="s">
        <v>1526</v>
      </c>
      <c r="T48" s="6" t="s">
        <v>971</v>
      </c>
      <c r="U48" s="6" t="s">
        <v>1313</v>
      </c>
      <c r="V48" s="6" t="s">
        <v>1314</v>
      </c>
      <c r="W48" s="6">
        <v>2025</v>
      </c>
      <c r="X48" s="6">
        <v>11</v>
      </c>
      <c r="Y48" s="6" t="s">
        <v>1315</v>
      </c>
      <c r="Z48" s="6">
        <v>2025</v>
      </c>
      <c r="AA48" s="6" t="s">
        <v>1316</v>
      </c>
      <c r="AB48" s="6" t="str">
        <f>VLOOKUP(S48,Mapping!A:C,3,FALSE)</f>
        <v>Primary</v>
      </c>
    </row>
    <row r="49" spans="1:28" x14ac:dyDescent="0.35">
      <c r="A49" s="6" t="s">
        <v>1302</v>
      </c>
      <c r="B49" s="6" t="s">
        <v>1303</v>
      </c>
      <c r="C49" s="6" t="s">
        <v>1304</v>
      </c>
      <c r="D49" s="6" t="s">
        <v>1305</v>
      </c>
      <c r="E49" s="6" t="s">
        <v>1306</v>
      </c>
      <c r="F49" s="6" t="s">
        <v>1307</v>
      </c>
      <c r="G49" s="6" t="s">
        <v>1308</v>
      </c>
      <c r="H49" s="6" t="s">
        <v>1742</v>
      </c>
      <c r="I49" s="6">
        <v>0</v>
      </c>
      <c r="J49" s="6">
        <v>1053.45</v>
      </c>
      <c r="K49" s="6">
        <v>1</v>
      </c>
      <c r="L49" s="6" t="s">
        <v>1012</v>
      </c>
      <c r="M49" s="23" t="s">
        <v>1012</v>
      </c>
      <c r="N49" s="6" t="str">
        <f>VLOOKUP(L49,VictoryHeitrich!D:D,1,FALSE)</f>
        <v>76228607</v>
      </c>
      <c r="O49" s="6" t="s">
        <v>1013</v>
      </c>
      <c r="P49" s="6" t="s">
        <v>1311</v>
      </c>
      <c r="Q49" s="6" t="s">
        <v>2449</v>
      </c>
      <c r="R49" s="6" t="s">
        <v>2449</v>
      </c>
      <c r="S49" s="6" t="s">
        <v>1526</v>
      </c>
      <c r="T49" s="6" t="s">
        <v>971</v>
      </c>
      <c r="U49" s="6" t="s">
        <v>1313</v>
      </c>
      <c r="V49" s="6" t="s">
        <v>1314</v>
      </c>
      <c r="W49" s="6">
        <v>2025</v>
      </c>
      <c r="X49" s="6">
        <v>11</v>
      </c>
      <c r="Y49" s="6" t="s">
        <v>1315</v>
      </c>
      <c r="Z49" s="6">
        <v>2025</v>
      </c>
      <c r="AA49" s="6" t="s">
        <v>1316</v>
      </c>
      <c r="AB49" s="6" t="str">
        <f>VLOOKUP(S49,Mapping!A:C,3,FALSE)</f>
        <v>Primary</v>
      </c>
    </row>
    <row r="50" spans="1:28" x14ac:dyDescent="0.35">
      <c r="A50" s="6" t="s">
        <v>1302</v>
      </c>
      <c r="B50" s="6" t="s">
        <v>1303</v>
      </c>
      <c r="C50" s="6" t="s">
        <v>1304</v>
      </c>
      <c r="D50" s="6" t="s">
        <v>1305</v>
      </c>
      <c r="E50" s="6" t="s">
        <v>1306</v>
      </c>
      <c r="F50" s="6" t="s">
        <v>1307</v>
      </c>
      <c r="G50" s="6" t="s">
        <v>1308</v>
      </c>
      <c r="H50" s="6" t="s">
        <v>1974</v>
      </c>
      <c r="I50" s="6">
        <v>0</v>
      </c>
      <c r="J50" s="6">
        <v>1053.45</v>
      </c>
      <c r="K50" s="6">
        <v>1</v>
      </c>
      <c r="L50" s="6" t="s">
        <v>1132</v>
      </c>
      <c r="M50" s="23" t="s">
        <v>1132</v>
      </c>
      <c r="N50" s="6" t="str">
        <f>VLOOKUP(L50,VictoryHeitrich!D:D,1,FALSE)</f>
        <v>76232503</v>
      </c>
      <c r="O50" s="6" t="s">
        <v>1133</v>
      </c>
      <c r="P50" s="6" t="s">
        <v>1311</v>
      </c>
      <c r="Q50" s="6" t="s">
        <v>2450</v>
      </c>
      <c r="R50" s="6" t="s">
        <v>2450</v>
      </c>
      <c r="S50" s="6" t="s">
        <v>1526</v>
      </c>
      <c r="T50" s="6" t="s">
        <v>971</v>
      </c>
      <c r="U50" s="6" t="s">
        <v>1313</v>
      </c>
      <c r="V50" s="6" t="s">
        <v>1314</v>
      </c>
      <c r="W50" s="6">
        <v>2025</v>
      </c>
      <c r="X50" s="6">
        <v>11</v>
      </c>
      <c r="Y50" s="6" t="s">
        <v>1315</v>
      </c>
      <c r="Z50" s="6">
        <v>2025</v>
      </c>
      <c r="AA50" s="6" t="s">
        <v>1316</v>
      </c>
      <c r="AB50" s="6" t="str">
        <f>VLOOKUP(S50,Mapping!A:C,3,FALSE)</f>
        <v>Primary</v>
      </c>
    </row>
    <row r="51" spans="1:28" x14ac:dyDescent="0.35">
      <c r="A51" s="6" t="s">
        <v>1302</v>
      </c>
      <c r="B51" s="6" t="s">
        <v>1303</v>
      </c>
      <c r="C51" s="6" t="s">
        <v>1304</v>
      </c>
      <c r="D51" s="6" t="s">
        <v>1305</v>
      </c>
      <c r="E51" s="6" t="s">
        <v>1306</v>
      </c>
      <c r="F51" s="6" t="s">
        <v>1307</v>
      </c>
      <c r="G51" s="6" t="s">
        <v>1308</v>
      </c>
      <c r="H51" s="6" t="s">
        <v>1974</v>
      </c>
      <c r="I51" s="6">
        <v>0</v>
      </c>
      <c r="J51" s="6">
        <v>1053.45</v>
      </c>
      <c r="K51" s="6">
        <v>1</v>
      </c>
      <c r="L51" s="6" t="s">
        <v>1087</v>
      </c>
      <c r="M51" s="23" t="s">
        <v>1087</v>
      </c>
      <c r="N51" s="6" t="str">
        <f>VLOOKUP(L51,VictoryHeitrich!D:D,1,FALSE)</f>
        <v>76232504</v>
      </c>
      <c r="O51" s="6" t="s">
        <v>1088</v>
      </c>
      <c r="P51" s="6" t="s">
        <v>1311</v>
      </c>
      <c r="Q51" s="6" t="s">
        <v>2451</v>
      </c>
      <c r="R51" s="6" t="s">
        <v>2451</v>
      </c>
      <c r="S51" s="6" t="s">
        <v>1526</v>
      </c>
      <c r="T51" s="6" t="s">
        <v>971</v>
      </c>
      <c r="U51" s="6" t="s">
        <v>1313</v>
      </c>
      <c r="V51" s="6" t="s">
        <v>1314</v>
      </c>
      <c r="W51" s="6">
        <v>2025</v>
      </c>
      <c r="X51" s="6">
        <v>11</v>
      </c>
      <c r="Y51" s="6" t="s">
        <v>1315</v>
      </c>
      <c r="Z51" s="6">
        <v>2025</v>
      </c>
      <c r="AA51" s="6" t="s">
        <v>1316</v>
      </c>
      <c r="AB51" s="6" t="str">
        <f>VLOOKUP(S51,Mapping!A:C,3,FALSE)</f>
        <v>Primary</v>
      </c>
    </row>
    <row r="52" spans="1:28" x14ac:dyDescent="0.35">
      <c r="A52" s="6" t="s">
        <v>1302</v>
      </c>
      <c r="B52" s="6" t="s">
        <v>1303</v>
      </c>
      <c r="C52" s="6" t="s">
        <v>1304</v>
      </c>
      <c r="D52" s="6" t="s">
        <v>1305</v>
      </c>
      <c r="E52" s="6" t="s">
        <v>1306</v>
      </c>
      <c r="F52" s="6" t="s">
        <v>1307</v>
      </c>
      <c r="G52" s="6" t="s">
        <v>1308</v>
      </c>
      <c r="H52" s="6" t="s">
        <v>1742</v>
      </c>
      <c r="I52" s="6">
        <v>0</v>
      </c>
      <c r="J52" s="6">
        <v>1053.45</v>
      </c>
      <c r="K52" s="6">
        <v>1</v>
      </c>
      <c r="L52" s="6" t="s">
        <v>1030</v>
      </c>
      <c r="M52" s="23" t="s">
        <v>1030</v>
      </c>
      <c r="N52" s="6" t="str">
        <f>VLOOKUP(L52,VictoryHeitrich!D:D,1,FALSE)</f>
        <v>76232648</v>
      </c>
      <c r="O52" s="6" t="s">
        <v>1031</v>
      </c>
      <c r="P52" s="6" t="s">
        <v>1311</v>
      </c>
      <c r="Q52" s="6" t="s">
        <v>2452</v>
      </c>
      <c r="R52" s="6" t="s">
        <v>2452</v>
      </c>
      <c r="S52" s="6" t="s">
        <v>1526</v>
      </c>
      <c r="T52" s="6" t="s">
        <v>971</v>
      </c>
      <c r="U52" s="6" t="s">
        <v>1313</v>
      </c>
      <c r="V52" s="6" t="s">
        <v>1314</v>
      </c>
      <c r="W52" s="6">
        <v>2025</v>
      </c>
      <c r="X52" s="6">
        <v>11</v>
      </c>
      <c r="Y52" s="6" t="s">
        <v>1315</v>
      </c>
      <c r="Z52" s="6">
        <v>2025</v>
      </c>
      <c r="AA52" s="6" t="s">
        <v>1316</v>
      </c>
      <c r="AB52" s="6" t="str">
        <f>VLOOKUP(S52,Mapping!A:C,3,FALSE)</f>
        <v>Primary</v>
      </c>
    </row>
    <row r="53" spans="1:28" x14ac:dyDescent="0.35">
      <c r="A53" s="6" t="s">
        <v>1302</v>
      </c>
      <c r="B53" s="6" t="s">
        <v>1303</v>
      </c>
      <c r="C53" s="6" t="s">
        <v>1304</v>
      </c>
      <c r="D53" s="6" t="s">
        <v>1305</v>
      </c>
      <c r="E53" s="6" t="s">
        <v>1306</v>
      </c>
      <c r="F53" s="6" t="s">
        <v>1307</v>
      </c>
      <c r="G53" s="6" t="s">
        <v>1308</v>
      </c>
      <c r="H53" s="6" t="s">
        <v>1842</v>
      </c>
      <c r="I53" s="6">
        <v>0</v>
      </c>
      <c r="J53" s="6">
        <v>1053.45</v>
      </c>
      <c r="K53" s="6">
        <v>1</v>
      </c>
      <c r="L53" s="6" t="s">
        <v>1000</v>
      </c>
      <c r="M53" s="23" t="s">
        <v>1000</v>
      </c>
      <c r="N53" s="6" t="str">
        <f>VLOOKUP(L53,VictoryHeitrich!D:D,1,FALSE)</f>
        <v>76235670</v>
      </c>
      <c r="O53" s="6" t="s">
        <v>1001</v>
      </c>
      <c r="P53" s="6" t="s">
        <v>1311</v>
      </c>
      <c r="Q53" s="6" t="s">
        <v>2453</v>
      </c>
      <c r="R53" s="6" t="s">
        <v>2453</v>
      </c>
      <c r="S53" s="6" t="s">
        <v>1526</v>
      </c>
      <c r="T53" s="6" t="s">
        <v>971</v>
      </c>
      <c r="U53" s="6" t="s">
        <v>1313</v>
      </c>
      <c r="V53" s="6" t="s">
        <v>1314</v>
      </c>
      <c r="W53" s="6">
        <v>2025</v>
      </c>
      <c r="X53" s="6">
        <v>11</v>
      </c>
      <c r="Y53" s="6" t="s">
        <v>1315</v>
      </c>
      <c r="Z53" s="6">
        <v>2025</v>
      </c>
      <c r="AA53" s="6" t="s">
        <v>1316</v>
      </c>
      <c r="AB53" s="6" t="str">
        <f>VLOOKUP(S53,Mapping!A:C,3,FALSE)</f>
        <v>Primary</v>
      </c>
    </row>
    <row r="54" spans="1:28" x14ac:dyDescent="0.35">
      <c r="A54" s="6" t="s">
        <v>1302</v>
      </c>
      <c r="B54" s="6" t="s">
        <v>1303</v>
      </c>
      <c r="C54" s="6" t="s">
        <v>1304</v>
      </c>
      <c r="D54" s="6" t="s">
        <v>1305</v>
      </c>
      <c r="E54" s="6" t="s">
        <v>1306</v>
      </c>
      <c r="F54" s="6" t="s">
        <v>1307</v>
      </c>
      <c r="G54" s="6" t="s">
        <v>1308</v>
      </c>
      <c r="H54" s="6" t="s">
        <v>1842</v>
      </c>
      <c r="I54" s="6">
        <v>0</v>
      </c>
      <c r="J54" s="6">
        <v>1053.45</v>
      </c>
      <c r="K54" s="6">
        <v>1</v>
      </c>
      <c r="L54" s="6" t="s">
        <v>1126</v>
      </c>
      <c r="M54" s="23" t="s">
        <v>1126</v>
      </c>
      <c r="N54" s="6" t="str">
        <f>VLOOKUP(L54,VictoryHeitrich!D:D,1,FALSE)</f>
        <v>76236637</v>
      </c>
      <c r="O54" s="6" t="s">
        <v>1127</v>
      </c>
      <c r="P54" s="6" t="s">
        <v>1311</v>
      </c>
      <c r="Q54" s="6" t="s">
        <v>2454</v>
      </c>
      <c r="R54" s="6" t="s">
        <v>2454</v>
      </c>
      <c r="S54" s="6" t="s">
        <v>1526</v>
      </c>
      <c r="T54" s="6" t="s">
        <v>971</v>
      </c>
      <c r="U54" s="6" t="s">
        <v>1313</v>
      </c>
      <c r="V54" s="6" t="s">
        <v>1314</v>
      </c>
      <c r="W54" s="6">
        <v>2025</v>
      </c>
      <c r="X54" s="6">
        <v>11</v>
      </c>
      <c r="Y54" s="6" t="s">
        <v>1315</v>
      </c>
      <c r="Z54" s="6">
        <v>2025</v>
      </c>
      <c r="AA54" s="6" t="s">
        <v>1316</v>
      </c>
      <c r="AB54" s="6" t="str">
        <f>VLOOKUP(S54,Mapping!A:C,3,FALSE)</f>
        <v>Primary</v>
      </c>
    </row>
    <row r="55" spans="1:28" x14ac:dyDescent="0.35">
      <c r="A55" s="6" t="s">
        <v>1302</v>
      </c>
      <c r="B55" s="6" t="s">
        <v>1303</v>
      </c>
      <c r="C55" s="6" t="s">
        <v>1304</v>
      </c>
      <c r="D55" s="6" t="s">
        <v>1305</v>
      </c>
      <c r="E55" s="6" t="s">
        <v>1306</v>
      </c>
      <c r="F55" s="6" t="s">
        <v>1307</v>
      </c>
      <c r="G55" s="6" t="s">
        <v>1308</v>
      </c>
      <c r="H55" s="6" t="s">
        <v>1842</v>
      </c>
      <c r="I55" s="6">
        <v>0</v>
      </c>
      <c r="J55" s="6">
        <v>249</v>
      </c>
      <c r="K55" s="6">
        <v>1</v>
      </c>
      <c r="L55" s="6" t="s">
        <v>1126</v>
      </c>
      <c r="M55" s="23" t="s">
        <v>1126</v>
      </c>
      <c r="N55" s="6" t="str">
        <f>VLOOKUP(L55,VictoryHeitrich!D:D,1,FALSE)</f>
        <v>76236637</v>
      </c>
      <c r="O55" s="6" t="s">
        <v>1127</v>
      </c>
      <c r="P55" s="6" t="s">
        <v>1311</v>
      </c>
      <c r="Q55" s="6" t="s">
        <v>2455</v>
      </c>
      <c r="R55" s="6" t="s">
        <v>2455</v>
      </c>
      <c r="S55" s="6" t="s">
        <v>2076</v>
      </c>
      <c r="T55" s="6" t="s">
        <v>2077</v>
      </c>
      <c r="U55" s="6" t="s">
        <v>1313</v>
      </c>
      <c r="V55" s="6" t="s">
        <v>1314</v>
      </c>
      <c r="W55" s="6">
        <v>2025</v>
      </c>
      <c r="X55" s="6">
        <v>11</v>
      </c>
      <c r="Y55" s="6" t="s">
        <v>1315</v>
      </c>
      <c r="Z55" s="6">
        <v>2025</v>
      </c>
      <c r="AA55" s="6" t="s">
        <v>1316</v>
      </c>
      <c r="AB55" s="6" t="str">
        <f>VLOOKUP(S55,Mapping!A:C,3,FALSE)</f>
        <v>Secondary</v>
      </c>
    </row>
    <row r="56" spans="1:28" x14ac:dyDescent="0.35">
      <c r="A56" s="6" t="s">
        <v>1302</v>
      </c>
      <c r="B56" s="6" t="s">
        <v>1303</v>
      </c>
      <c r="C56" s="6" t="s">
        <v>1304</v>
      </c>
      <c r="D56" s="6" t="s">
        <v>1305</v>
      </c>
      <c r="E56" s="6" t="s">
        <v>1306</v>
      </c>
      <c r="F56" s="6" t="s">
        <v>1307</v>
      </c>
      <c r="G56" s="6" t="s">
        <v>1308</v>
      </c>
      <c r="H56" s="6" t="s">
        <v>1842</v>
      </c>
      <c r="I56" s="6">
        <v>0</v>
      </c>
      <c r="J56" s="6">
        <v>249</v>
      </c>
      <c r="K56" s="6">
        <v>1</v>
      </c>
      <c r="L56" s="6" t="s">
        <v>1126</v>
      </c>
      <c r="M56" s="23" t="s">
        <v>1126</v>
      </c>
      <c r="N56" s="6" t="str">
        <f>VLOOKUP(L56,VictoryHeitrich!D:D,1,FALSE)</f>
        <v>76236637</v>
      </c>
      <c r="O56" s="6" t="s">
        <v>1127</v>
      </c>
      <c r="P56" s="6" t="s">
        <v>1311</v>
      </c>
      <c r="Q56" s="6" t="s">
        <v>2456</v>
      </c>
      <c r="R56" s="6" t="s">
        <v>2456</v>
      </c>
      <c r="S56" s="6" t="s">
        <v>2076</v>
      </c>
      <c r="T56" s="6" t="s">
        <v>2077</v>
      </c>
      <c r="U56" s="6" t="s">
        <v>1313</v>
      </c>
      <c r="V56" s="6" t="s">
        <v>1314</v>
      </c>
      <c r="W56" s="6">
        <v>2025</v>
      </c>
      <c r="X56" s="6">
        <v>11</v>
      </c>
      <c r="Y56" s="6" t="s">
        <v>1315</v>
      </c>
      <c r="Z56" s="6">
        <v>2025</v>
      </c>
      <c r="AA56" s="6" t="s">
        <v>1316</v>
      </c>
      <c r="AB56" s="6" t="str">
        <f>VLOOKUP(S56,Mapping!A:C,3,FALSE)</f>
        <v>Secondary</v>
      </c>
    </row>
    <row r="57" spans="1:28" x14ac:dyDescent="0.35">
      <c r="A57" s="6" t="s">
        <v>1302</v>
      </c>
      <c r="B57" s="6" t="s">
        <v>1303</v>
      </c>
      <c r="C57" s="6" t="s">
        <v>1304</v>
      </c>
      <c r="D57" s="6" t="s">
        <v>1305</v>
      </c>
      <c r="E57" s="6" t="s">
        <v>1306</v>
      </c>
      <c r="F57" s="6" t="s">
        <v>1307</v>
      </c>
      <c r="G57" s="6" t="s">
        <v>1308</v>
      </c>
      <c r="H57" s="6" t="s">
        <v>1974</v>
      </c>
      <c r="I57" s="6">
        <v>0</v>
      </c>
      <c r="J57" s="6">
        <v>1053.45</v>
      </c>
      <c r="K57" s="6">
        <v>1</v>
      </c>
      <c r="L57" s="6" t="s">
        <v>1120</v>
      </c>
      <c r="M57" s="23" t="s">
        <v>1120</v>
      </c>
      <c r="N57" s="6" t="str">
        <f>VLOOKUP(L57,VictoryHeitrich!D:D,1,FALSE)</f>
        <v>76238017</v>
      </c>
      <c r="O57" s="6" t="s">
        <v>1121</v>
      </c>
      <c r="P57" s="6" t="s">
        <v>1311</v>
      </c>
      <c r="Q57" s="6" t="s">
        <v>2457</v>
      </c>
      <c r="R57" s="6" t="s">
        <v>2457</v>
      </c>
      <c r="S57" s="6" t="s">
        <v>1526</v>
      </c>
      <c r="T57" s="6" t="s">
        <v>971</v>
      </c>
      <c r="U57" s="6" t="s">
        <v>1313</v>
      </c>
      <c r="V57" s="6" t="s">
        <v>1314</v>
      </c>
      <c r="W57" s="6">
        <v>2025</v>
      </c>
      <c r="X57" s="6">
        <v>11</v>
      </c>
      <c r="Y57" s="6" t="s">
        <v>1315</v>
      </c>
      <c r="Z57" s="6">
        <v>2025</v>
      </c>
      <c r="AA57" s="6" t="s">
        <v>1316</v>
      </c>
      <c r="AB57" s="6" t="str">
        <f>VLOOKUP(S57,Mapping!A:C,3,FALSE)</f>
        <v>Primary</v>
      </c>
    </row>
    <row r="58" spans="1:28" x14ac:dyDescent="0.35">
      <c r="A58" s="6" t="s">
        <v>1302</v>
      </c>
      <c r="B58" s="6" t="s">
        <v>1303</v>
      </c>
      <c r="C58" s="6" t="s">
        <v>1304</v>
      </c>
      <c r="D58" s="6" t="s">
        <v>1305</v>
      </c>
      <c r="E58" s="6" t="s">
        <v>1306</v>
      </c>
      <c r="F58" s="6" t="s">
        <v>1307</v>
      </c>
      <c r="G58" s="6" t="s">
        <v>1308</v>
      </c>
      <c r="H58" s="6" t="s">
        <v>2458</v>
      </c>
      <c r="I58" s="6">
        <v>0</v>
      </c>
      <c r="J58" s="6">
        <v>1053.45</v>
      </c>
      <c r="K58" s="6">
        <v>1</v>
      </c>
      <c r="L58" s="6" t="s">
        <v>1084</v>
      </c>
      <c r="M58" s="23" t="s">
        <v>1084</v>
      </c>
      <c r="N58" s="6" t="str">
        <f>VLOOKUP(L58,VictoryHeitrich!D:D,1,FALSE)</f>
        <v>76242001</v>
      </c>
      <c r="O58" s="6" t="s">
        <v>1085</v>
      </c>
      <c r="P58" s="6" t="s">
        <v>1311</v>
      </c>
      <c r="Q58" s="6" t="s">
        <v>2459</v>
      </c>
      <c r="R58" s="6" t="s">
        <v>2459</v>
      </c>
      <c r="S58" s="6" t="s">
        <v>1526</v>
      </c>
      <c r="T58" s="6" t="s">
        <v>971</v>
      </c>
      <c r="U58" s="6" t="s">
        <v>1313</v>
      </c>
      <c r="V58" s="6" t="s">
        <v>1314</v>
      </c>
      <c r="W58" s="6">
        <v>2025</v>
      </c>
      <c r="X58" s="6">
        <v>11</v>
      </c>
      <c r="Y58" s="6" t="s">
        <v>1315</v>
      </c>
      <c r="Z58" s="6">
        <v>2025</v>
      </c>
      <c r="AA58" s="6" t="s">
        <v>1316</v>
      </c>
      <c r="AB58" s="6" t="str">
        <f>VLOOKUP(S58,Mapping!A:C,3,FALSE)</f>
        <v>Primary</v>
      </c>
    </row>
    <row r="59" spans="1:28" x14ac:dyDescent="0.35">
      <c r="A59" s="6" t="s">
        <v>1302</v>
      </c>
      <c r="B59" s="6" t="s">
        <v>1303</v>
      </c>
      <c r="C59" s="6" t="s">
        <v>1304</v>
      </c>
      <c r="D59" s="6" t="s">
        <v>1305</v>
      </c>
      <c r="E59" s="6" t="s">
        <v>1306</v>
      </c>
      <c r="F59" s="6" t="s">
        <v>1307</v>
      </c>
      <c r="G59" s="6" t="s">
        <v>1308</v>
      </c>
      <c r="H59" s="6" t="s">
        <v>2458</v>
      </c>
      <c r="I59" s="6">
        <v>0</v>
      </c>
      <c r="J59" s="6">
        <v>1053.45</v>
      </c>
      <c r="K59" s="6">
        <v>1</v>
      </c>
      <c r="L59" s="6" t="s">
        <v>1129</v>
      </c>
      <c r="M59" s="23" t="s">
        <v>1129</v>
      </c>
      <c r="N59" s="6" t="str">
        <f>VLOOKUP(L59,VictoryHeitrich!D:D,1,FALSE)</f>
        <v>76242002</v>
      </c>
      <c r="O59" s="6" t="s">
        <v>1130</v>
      </c>
      <c r="P59" s="6" t="s">
        <v>1311</v>
      </c>
      <c r="Q59" s="6" t="s">
        <v>2460</v>
      </c>
      <c r="R59" s="6" t="s">
        <v>2460</v>
      </c>
      <c r="S59" s="6" t="s">
        <v>1526</v>
      </c>
      <c r="T59" s="6" t="s">
        <v>971</v>
      </c>
      <c r="U59" s="6" t="s">
        <v>1313</v>
      </c>
      <c r="V59" s="6" t="s">
        <v>1314</v>
      </c>
      <c r="W59" s="6">
        <v>2025</v>
      </c>
      <c r="X59" s="6">
        <v>11</v>
      </c>
      <c r="Y59" s="6" t="s">
        <v>1315</v>
      </c>
      <c r="Z59" s="6">
        <v>2025</v>
      </c>
      <c r="AA59" s="6" t="s">
        <v>1316</v>
      </c>
      <c r="AB59" s="6" t="str">
        <f>VLOOKUP(S59,Mapping!A:C,3,FALSE)</f>
        <v>Primary</v>
      </c>
    </row>
    <row r="60" spans="1:28" x14ac:dyDescent="0.35">
      <c r="A60" s="6" t="s">
        <v>1302</v>
      </c>
      <c r="B60" s="6" t="s">
        <v>1303</v>
      </c>
      <c r="C60" s="6" t="s">
        <v>1304</v>
      </c>
      <c r="D60" s="6" t="s">
        <v>1305</v>
      </c>
      <c r="E60" s="6" t="s">
        <v>1306</v>
      </c>
      <c r="F60" s="6" t="s">
        <v>1307</v>
      </c>
      <c r="G60" s="6" t="s">
        <v>1308</v>
      </c>
      <c r="H60" s="6" t="s">
        <v>1974</v>
      </c>
      <c r="I60" s="6">
        <v>0</v>
      </c>
      <c r="J60" s="6">
        <v>1053.45</v>
      </c>
      <c r="K60" s="6">
        <v>1</v>
      </c>
      <c r="L60" s="6" t="s">
        <v>1135</v>
      </c>
      <c r="M60" s="23" t="s">
        <v>1135</v>
      </c>
      <c r="N60" s="6" t="str">
        <f>VLOOKUP(L60,VictoryHeitrich!D:D,1,FALSE)</f>
        <v>76244926</v>
      </c>
      <c r="O60" s="6" t="s">
        <v>1136</v>
      </c>
      <c r="P60" s="6" t="s">
        <v>1311</v>
      </c>
      <c r="Q60" s="6" t="s">
        <v>2461</v>
      </c>
      <c r="R60" s="6" t="s">
        <v>2461</v>
      </c>
      <c r="S60" s="6" t="s">
        <v>1526</v>
      </c>
      <c r="T60" s="6" t="s">
        <v>971</v>
      </c>
      <c r="U60" s="6" t="s">
        <v>1313</v>
      </c>
      <c r="V60" s="6" t="s">
        <v>1314</v>
      </c>
      <c r="W60" s="6">
        <v>2025</v>
      </c>
      <c r="X60" s="6">
        <v>11</v>
      </c>
      <c r="Y60" s="6" t="s">
        <v>1315</v>
      </c>
      <c r="Z60" s="6">
        <v>2025</v>
      </c>
      <c r="AA60" s="6" t="s">
        <v>1316</v>
      </c>
      <c r="AB60" s="6" t="str">
        <f>VLOOKUP(S60,Mapping!A:C,3,FALSE)</f>
        <v>Primary</v>
      </c>
    </row>
    <row r="61" spans="1:28" x14ac:dyDescent="0.35">
      <c r="A61" s="6" t="s">
        <v>1302</v>
      </c>
      <c r="B61" s="6" t="s">
        <v>1303</v>
      </c>
      <c r="C61" s="6" t="s">
        <v>1304</v>
      </c>
      <c r="D61" s="6" t="s">
        <v>1305</v>
      </c>
      <c r="E61" s="6" t="s">
        <v>1306</v>
      </c>
      <c r="F61" s="6" t="s">
        <v>1307</v>
      </c>
      <c r="G61" s="6" t="s">
        <v>1308</v>
      </c>
      <c r="H61" s="6" t="s">
        <v>1974</v>
      </c>
      <c r="I61" s="6">
        <v>0</v>
      </c>
      <c r="J61" s="6">
        <v>1053.45</v>
      </c>
      <c r="K61" s="6">
        <v>1</v>
      </c>
      <c r="L61" s="6" t="s">
        <v>1102</v>
      </c>
      <c r="M61" s="23" t="s">
        <v>1102</v>
      </c>
      <c r="N61" s="6" t="str">
        <f>VLOOKUP(L61,VictoryHeitrich!D:D,1,FALSE)</f>
        <v>76245508</v>
      </c>
      <c r="O61" s="6" t="s">
        <v>1103</v>
      </c>
      <c r="P61" s="6" t="s">
        <v>1311</v>
      </c>
      <c r="Q61" s="6" t="s">
        <v>2462</v>
      </c>
      <c r="R61" s="6" t="s">
        <v>2462</v>
      </c>
      <c r="S61" s="6" t="s">
        <v>1526</v>
      </c>
      <c r="T61" s="6" t="s">
        <v>971</v>
      </c>
      <c r="U61" s="6" t="s">
        <v>1313</v>
      </c>
      <c r="V61" s="6" t="s">
        <v>1314</v>
      </c>
      <c r="W61" s="6">
        <v>2025</v>
      </c>
      <c r="X61" s="6">
        <v>11</v>
      </c>
      <c r="Y61" s="6" t="s">
        <v>1315</v>
      </c>
      <c r="Z61" s="6">
        <v>2025</v>
      </c>
      <c r="AA61" s="6" t="s">
        <v>1316</v>
      </c>
      <c r="AB61" s="6" t="str">
        <f>VLOOKUP(S61,Mapping!A:C,3,FALSE)</f>
        <v>Primary</v>
      </c>
    </row>
    <row r="62" spans="1:28" x14ac:dyDescent="0.35">
      <c r="A62" s="6" t="s">
        <v>1302</v>
      </c>
      <c r="B62" s="6" t="s">
        <v>1303</v>
      </c>
      <c r="C62" s="6" t="s">
        <v>1304</v>
      </c>
      <c r="D62" s="6" t="s">
        <v>1305</v>
      </c>
      <c r="E62" s="6" t="s">
        <v>1306</v>
      </c>
      <c r="F62" s="6" t="s">
        <v>1307</v>
      </c>
      <c r="G62" s="6" t="s">
        <v>1308</v>
      </c>
      <c r="H62" s="6" t="s">
        <v>1657</v>
      </c>
      <c r="I62" s="6">
        <v>0</v>
      </c>
      <c r="J62" s="6">
        <v>1053.45</v>
      </c>
      <c r="K62" s="6">
        <v>1</v>
      </c>
      <c r="L62" s="6" t="s">
        <v>1111</v>
      </c>
      <c r="M62" s="23" t="s">
        <v>1111</v>
      </c>
      <c r="N62" s="6" t="str">
        <f>VLOOKUP(L62,VictoryHeitrich!D:D,1,FALSE)</f>
        <v>76245758</v>
      </c>
      <c r="O62" s="6" t="s">
        <v>1112</v>
      </c>
      <c r="P62" s="6" t="s">
        <v>1311</v>
      </c>
      <c r="Q62" s="6" t="s">
        <v>2463</v>
      </c>
      <c r="R62" s="6" t="s">
        <v>2463</v>
      </c>
      <c r="S62" s="6" t="s">
        <v>1526</v>
      </c>
      <c r="T62" s="6" t="s">
        <v>971</v>
      </c>
      <c r="U62" s="6" t="s">
        <v>1313</v>
      </c>
      <c r="V62" s="6" t="s">
        <v>1314</v>
      </c>
      <c r="W62" s="6">
        <v>2025</v>
      </c>
      <c r="X62" s="6">
        <v>11</v>
      </c>
      <c r="Y62" s="6" t="s">
        <v>1315</v>
      </c>
      <c r="Z62" s="6">
        <v>2025</v>
      </c>
      <c r="AA62" s="6" t="s">
        <v>1316</v>
      </c>
      <c r="AB62" s="6" t="str">
        <f>VLOOKUP(S62,Mapping!A:C,3,FALSE)</f>
        <v>Primary</v>
      </c>
    </row>
    <row r="63" spans="1:28" x14ac:dyDescent="0.35">
      <c r="A63" s="6" t="s">
        <v>1302</v>
      </c>
      <c r="B63" s="6" t="s">
        <v>1303</v>
      </c>
      <c r="C63" s="6" t="s">
        <v>1304</v>
      </c>
      <c r="D63" s="6" t="s">
        <v>1305</v>
      </c>
      <c r="E63" s="6" t="s">
        <v>1306</v>
      </c>
      <c r="F63" s="6" t="s">
        <v>1307</v>
      </c>
      <c r="G63" s="6" t="s">
        <v>1308</v>
      </c>
      <c r="H63" s="6" t="s">
        <v>1842</v>
      </c>
      <c r="I63" s="6">
        <v>0</v>
      </c>
      <c r="J63" s="6">
        <v>1053.45</v>
      </c>
      <c r="K63" s="6">
        <v>1</v>
      </c>
      <c r="L63" s="6" t="s">
        <v>1114</v>
      </c>
      <c r="M63" s="23" t="s">
        <v>1114</v>
      </c>
      <c r="N63" s="6" t="str">
        <f>VLOOKUP(L63,VictoryHeitrich!D:D,1,FALSE)</f>
        <v>76245787</v>
      </c>
      <c r="O63" s="6" t="s">
        <v>1115</v>
      </c>
      <c r="P63" s="6" t="s">
        <v>1311</v>
      </c>
      <c r="Q63" s="6" t="s">
        <v>2464</v>
      </c>
      <c r="R63" s="6" t="s">
        <v>2464</v>
      </c>
      <c r="S63" s="6" t="s">
        <v>1526</v>
      </c>
      <c r="T63" s="6" t="s">
        <v>971</v>
      </c>
      <c r="U63" s="6" t="s">
        <v>1313</v>
      </c>
      <c r="V63" s="6" t="s">
        <v>1314</v>
      </c>
      <c r="W63" s="6">
        <v>2025</v>
      </c>
      <c r="X63" s="6">
        <v>11</v>
      </c>
      <c r="Y63" s="6" t="s">
        <v>1315</v>
      </c>
      <c r="Z63" s="6">
        <v>2025</v>
      </c>
      <c r="AA63" s="6" t="s">
        <v>1316</v>
      </c>
      <c r="AB63" s="6" t="str">
        <f>VLOOKUP(S63,Mapping!A:C,3,FALSE)</f>
        <v>Primary</v>
      </c>
    </row>
    <row r="64" spans="1:28" x14ac:dyDescent="0.35">
      <c r="A64" s="6" t="s">
        <v>1302</v>
      </c>
      <c r="B64" s="6" t="s">
        <v>1303</v>
      </c>
      <c r="C64" s="6" t="s">
        <v>1304</v>
      </c>
      <c r="D64" s="6" t="s">
        <v>1305</v>
      </c>
      <c r="E64" s="6" t="s">
        <v>1306</v>
      </c>
      <c r="F64" s="6" t="s">
        <v>1307</v>
      </c>
      <c r="G64" s="6" t="s">
        <v>1308</v>
      </c>
      <c r="H64" s="6" t="s">
        <v>1742</v>
      </c>
      <c r="I64" s="6">
        <v>0</v>
      </c>
      <c r="J64" s="6">
        <v>1053.45</v>
      </c>
      <c r="K64" s="6">
        <v>1</v>
      </c>
      <c r="L64" s="6" t="s">
        <v>991</v>
      </c>
      <c r="M64" s="23" t="s">
        <v>991</v>
      </c>
      <c r="N64" s="6" t="str">
        <f>VLOOKUP(L64,VictoryHeitrich!D:D,1,FALSE)</f>
        <v>76245927</v>
      </c>
      <c r="O64" s="6" t="s">
        <v>992</v>
      </c>
      <c r="P64" s="6" t="s">
        <v>1311</v>
      </c>
      <c r="Q64" s="6" t="s">
        <v>2465</v>
      </c>
      <c r="R64" s="6" t="s">
        <v>2465</v>
      </c>
      <c r="S64" s="6" t="s">
        <v>1526</v>
      </c>
      <c r="T64" s="6" t="s">
        <v>971</v>
      </c>
      <c r="U64" s="6" t="s">
        <v>1313</v>
      </c>
      <c r="V64" s="6" t="s">
        <v>1314</v>
      </c>
      <c r="W64" s="6">
        <v>2025</v>
      </c>
      <c r="X64" s="6">
        <v>11</v>
      </c>
      <c r="Y64" s="6" t="s">
        <v>1315</v>
      </c>
      <c r="Z64" s="6">
        <v>2025</v>
      </c>
      <c r="AA64" s="6" t="s">
        <v>1316</v>
      </c>
      <c r="AB64" s="6" t="str">
        <f>VLOOKUP(S64,Mapping!A:C,3,FALSE)</f>
        <v>Primary</v>
      </c>
    </row>
    <row r="65" spans="1:28" x14ac:dyDescent="0.35">
      <c r="A65" s="6" t="s">
        <v>1302</v>
      </c>
      <c r="B65" s="6" t="s">
        <v>1303</v>
      </c>
      <c r="C65" s="6" t="s">
        <v>1304</v>
      </c>
      <c r="D65" s="6" t="s">
        <v>1305</v>
      </c>
      <c r="E65" s="6" t="s">
        <v>1306</v>
      </c>
      <c r="F65" s="6" t="s">
        <v>1307</v>
      </c>
      <c r="G65" s="6" t="s">
        <v>1308</v>
      </c>
      <c r="H65" s="6" t="s">
        <v>2466</v>
      </c>
      <c r="I65" s="6">
        <v>0</v>
      </c>
      <c r="J65" s="6">
        <v>1053.45</v>
      </c>
      <c r="K65" s="6">
        <v>1</v>
      </c>
      <c r="L65" s="6" t="s">
        <v>1138</v>
      </c>
      <c r="M65" s="23" t="s">
        <v>1138</v>
      </c>
      <c r="N65" s="6" t="str">
        <f>VLOOKUP(L65,VictoryHeitrich!D:D,1,FALSE)</f>
        <v>76250786</v>
      </c>
      <c r="O65" s="6" t="s">
        <v>1139</v>
      </c>
      <c r="P65" s="6" t="s">
        <v>1311</v>
      </c>
      <c r="Q65" s="6" t="s">
        <v>2467</v>
      </c>
      <c r="R65" s="6" t="s">
        <v>2467</v>
      </c>
      <c r="S65" s="6" t="s">
        <v>1526</v>
      </c>
      <c r="T65" s="6" t="s">
        <v>971</v>
      </c>
      <c r="U65" s="6" t="s">
        <v>1313</v>
      </c>
      <c r="V65" s="6" t="s">
        <v>1314</v>
      </c>
      <c r="W65" s="6">
        <v>2025</v>
      </c>
      <c r="X65" s="6">
        <v>11</v>
      </c>
      <c r="Y65" s="6" t="s">
        <v>1315</v>
      </c>
      <c r="Z65" s="6">
        <v>2025</v>
      </c>
      <c r="AA65" s="6" t="s">
        <v>1316</v>
      </c>
      <c r="AB65" s="6" t="str">
        <f>VLOOKUP(S65,Mapping!A:C,3,FALSE)</f>
        <v>Primary</v>
      </c>
    </row>
    <row r="66" spans="1:28" x14ac:dyDescent="0.35">
      <c r="A66" s="6" t="s">
        <v>1302</v>
      </c>
      <c r="B66" s="6" t="s">
        <v>1303</v>
      </c>
      <c r="C66" s="6" t="s">
        <v>1304</v>
      </c>
      <c r="D66" s="6" t="s">
        <v>1305</v>
      </c>
      <c r="E66" s="6" t="s">
        <v>1306</v>
      </c>
      <c r="F66" s="6" t="s">
        <v>1307</v>
      </c>
      <c r="G66" s="6" t="s">
        <v>1308</v>
      </c>
      <c r="H66" s="6" t="s">
        <v>1742</v>
      </c>
      <c r="I66" s="6">
        <v>0</v>
      </c>
      <c r="J66" s="6">
        <v>1053.45</v>
      </c>
      <c r="K66" s="6">
        <v>1</v>
      </c>
      <c r="L66" s="6" t="s">
        <v>1105</v>
      </c>
      <c r="M66" s="23" t="s">
        <v>1105</v>
      </c>
      <c r="N66" s="6" t="str">
        <f>VLOOKUP(L66,VictoryHeitrich!D:D,1,FALSE)</f>
        <v>76251847</v>
      </c>
      <c r="O66" s="6" t="s">
        <v>1106</v>
      </c>
      <c r="P66" s="6" t="s">
        <v>1311</v>
      </c>
      <c r="Q66" s="6" t="s">
        <v>2468</v>
      </c>
      <c r="R66" s="6" t="s">
        <v>2468</v>
      </c>
      <c r="S66" s="6" t="s">
        <v>1526</v>
      </c>
      <c r="T66" s="6" t="s">
        <v>971</v>
      </c>
      <c r="U66" s="6" t="s">
        <v>1313</v>
      </c>
      <c r="V66" s="6" t="s">
        <v>1314</v>
      </c>
      <c r="W66" s="6">
        <v>2025</v>
      </c>
      <c r="X66" s="6">
        <v>11</v>
      </c>
      <c r="Y66" s="6" t="s">
        <v>1315</v>
      </c>
      <c r="Z66" s="6">
        <v>2025</v>
      </c>
      <c r="AA66" s="6" t="s">
        <v>1316</v>
      </c>
      <c r="AB66" s="6" t="str">
        <f>VLOOKUP(S66,Mapping!A:C,3,FALSE)</f>
        <v>Primary</v>
      </c>
    </row>
    <row r="67" spans="1:28" x14ac:dyDescent="0.35">
      <c r="A67" s="6" t="s">
        <v>1302</v>
      </c>
      <c r="B67" s="6" t="s">
        <v>1303</v>
      </c>
      <c r="C67" s="6" t="s">
        <v>1304</v>
      </c>
      <c r="D67" s="6" t="s">
        <v>1305</v>
      </c>
      <c r="E67" s="6" t="s">
        <v>1306</v>
      </c>
      <c r="F67" s="6" t="s">
        <v>1307</v>
      </c>
      <c r="G67" s="6" t="s">
        <v>1308</v>
      </c>
      <c r="H67" s="6" t="s">
        <v>2458</v>
      </c>
      <c r="I67" s="6">
        <v>0</v>
      </c>
      <c r="J67" s="6">
        <v>1053.45</v>
      </c>
      <c r="K67" s="6">
        <v>1</v>
      </c>
      <c r="L67" s="6" t="s">
        <v>1117</v>
      </c>
      <c r="M67" s="23" t="s">
        <v>1117</v>
      </c>
      <c r="N67" s="6" t="str">
        <f>VLOOKUP(L67,VictoryHeitrich!D:D,1,FALSE)</f>
        <v>76252209</v>
      </c>
      <c r="O67" s="6" t="s">
        <v>1118</v>
      </c>
      <c r="P67" s="6" t="s">
        <v>1311</v>
      </c>
      <c r="Q67" s="6" t="s">
        <v>2469</v>
      </c>
      <c r="R67" s="6" t="s">
        <v>2469</v>
      </c>
      <c r="S67" s="6" t="s">
        <v>1526</v>
      </c>
      <c r="T67" s="6" t="s">
        <v>971</v>
      </c>
      <c r="U67" s="6" t="s">
        <v>1313</v>
      </c>
      <c r="V67" s="6" t="s">
        <v>1314</v>
      </c>
      <c r="W67" s="6">
        <v>2025</v>
      </c>
      <c r="X67" s="6">
        <v>11</v>
      </c>
      <c r="Y67" s="6" t="s">
        <v>1315</v>
      </c>
      <c r="Z67" s="6">
        <v>2025</v>
      </c>
      <c r="AA67" s="6" t="s">
        <v>1316</v>
      </c>
      <c r="AB67" s="6" t="str">
        <f>VLOOKUP(S67,Mapping!A:C,3,FALSE)</f>
        <v>Primary</v>
      </c>
    </row>
    <row r="68" spans="1:28" x14ac:dyDescent="0.35">
      <c r="A68" s="6" t="s">
        <v>1302</v>
      </c>
      <c r="B68" s="6" t="s">
        <v>1303</v>
      </c>
      <c r="C68" s="6" t="s">
        <v>1304</v>
      </c>
      <c r="D68" s="6" t="s">
        <v>1305</v>
      </c>
      <c r="E68" s="6" t="s">
        <v>1306</v>
      </c>
      <c r="F68" s="6" t="s">
        <v>1307</v>
      </c>
      <c r="G68" s="6" t="s">
        <v>1308</v>
      </c>
      <c r="H68" s="6" t="s">
        <v>2458</v>
      </c>
      <c r="I68" s="6">
        <v>0</v>
      </c>
      <c r="J68" s="6">
        <v>1053.45</v>
      </c>
      <c r="K68" s="6">
        <v>1</v>
      </c>
      <c r="L68" s="6" t="s">
        <v>1123</v>
      </c>
      <c r="M68" s="23" t="s">
        <v>1123</v>
      </c>
      <c r="N68" s="6" t="str">
        <f>VLOOKUP(L68,VictoryHeitrich!D:D,1,FALSE)</f>
        <v>76252216</v>
      </c>
      <c r="O68" s="6" t="s">
        <v>1124</v>
      </c>
      <c r="P68" s="6" t="s">
        <v>1311</v>
      </c>
      <c r="Q68" s="6" t="s">
        <v>2470</v>
      </c>
      <c r="R68" s="6" t="s">
        <v>2470</v>
      </c>
      <c r="S68" s="6" t="s">
        <v>1526</v>
      </c>
      <c r="T68" s="6" t="s">
        <v>971</v>
      </c>
      <c r="U68" s="6" t="s">
        <v>1313</v>
      </c>
      <c r="V68" s="6" t="s">
        <v>1314</v>
      </c>
      <c r="W68" s="6">
        <v>2025</v>
      </c>
      <c r="X68" s="6">
        <v>11</v>
      </c>
      <c r="Y68" s="6" t="s">
        <v>1315</v>
      </c>
      <c r="Z68" s="6">
        <v>2025</v>
      </c>
      <c r="AA68" s="6" t="s">
        <v>1316</v>
      </c>
      <c r="AB68" s="6" t="str">
        <f>VLOOKUP(S68,Mapping!A:C,3,FALSE)</f>
        <v>Primary</v>
      </c>
    </row>
    <row r="69" spans="1:28" x14ac:dyDescent="0.35">
      <c r="A69" s="6" t="s">
        <v>1302</v>
      </c>
      <c r="B69" s="6" t="s">
        <v>1303</v>
      </c>
      <c r="C69" s="6" t="s">
        <v>1304</v>
      </c>
      <c r="D69" s="6" t="s">
        <v>1305</v>
      </c>
      <c r="E69" s="6" t="s">
        <v>1306</v>
      </c>
      <c r="F69" s="6" t="s">
        <v>1307</v>
      </c>
      <c r="G69" s="6" t="s">
        <v>1308</v>
      </c>
      <c r="H69" s="6" t="s">
        <v>1309</v>
      </c>
      <c r="I69" s="6">
        <v>0</v>
      </c>
      <c r="J69" s="6">
        <v>370.2</v>
      </c>
      <c r="K69" s="6">
        <v>1</v>
      </c>
      <c r="L69" s="6" t="s">
        <v>1367</v>
      </c>
      <c r="M69" s="6" t="e">
        <f>VLOOKUP(L69,'Nov Inv Recon'!H:H,1,FALSE)</f>
        <v>#N/A</v>
      </c>
      <c r="N69" s="6" t="e">
        <f>VLOOKUP(L69,VictoryHeitrich!D:D,1,FALSE)</f>
        <v>#N/A</v>
      </c>
      <c r="O69" s="6" t="s">
        <v>1368</v>
      </c>
      <c r="P69" s="6" t="s">
        <v>1311</v>
      </c>
      <c r="Q69" s="6" t="s">
        <v>2471</v>
      </c>
      <c r="R69" s="6" t="s">
        <v>2471</v>
      </c>
      <c r="S69" s="6" t="s">
        <v>1369</v>
      </c>
      <c r="T69" s="6" t="s">
        <v>1370</v>
      </c>
      <c r="U69" s="6" t="s">
        <v>1313</v>
      </c>
      <c r="V69" s="6" t="s">
        <v>1314</v>
      </c>
      <c r="W69" s="6">
        <v>2025</v>
      </c>
      <c r="X69" s="6">
        <v>11</v>
      </c>
      <c r="Y69" s="6" t="s">
        <v>1315</v>
      </c>
      <c r="Z69" s="6">
        <v>2025</v>
      </c>
      <c r="AA69" s="6" t="s">
        <v>1316</v>
      </c>
      <c r="AB69" s="6" t="str">
        <f>VLOOKUP(S69,Mapping!A:C,3,FALSE)</f>
        <v>Primary</v>
      </c>
    </row>
    <row r="70" spans="1:28" x14ac:dyDescent="0.35">
      <c r="A70" s="6" t="s">
        <v>1302</v>
      </c>
      <c r="B70" s="6" t="s">
        <v>1303</v>
      </c>
      <c r="C70" s="6" t="s">
        <v>1304</v>
      </c>
      <c r="D70" s="6" t="s">
        <v>1305</v>
      </c>
      <c r="E70" s="6" t="s">
        <v>1306</v>
      </c>
      <c r="F70" s="6" t="s">
        <v>1307</v>
      </c>
      <c r="G70" s="6" t="s">
        <v>1308</v>
      </c>
      <c r="H70" s="6" t="s">
        <v>1682</v>
      </c>
      <c r="I70" s="6">
        <v>0</v>
      </c>
      <c r="J70" s="6">
        <v>77.959999999999994</v>
      </c>
      <c r="K70" s="6">
        <v>1</v>
      </c>
      <c r="L70" s="6" t="s">
        <v>1435</v>
      </c>
      <c r="M70" s="6" t="e">
        <f>VLOOKUP(L70,'Nov Inv Recon'!H:H,1,FALSE)</f>
        <v>#N/A</v>
      </c>
      <c r="N70" s="6" t="e">
        <f>VLOOKUP(L70,VictoryHeitrich!D:D,1,FALSE)</f>
        <v>#N/A</v>
      </c>
      <c r="O70" s="6" t="s">
        <v>1436</v>
      </c>
      <c r="P70" s="6" t="s">
        <v>1311</v>
      </c>
      <c r="Q70" s="6" t="s">
        <v>2472</v>
      </c>
      <c r="R70" s="6" t="s">
        <v>2472</v>
      </c>
      <c r="S70" s="6" t="s">
        <v>1433</v>
      </c>
      <c r="T70" s="6" t="s">
        <v>1434</v>
      </c>
      <c r="U70" s="6" t="s">
        <v>1313</v>
      </c>
      <c r="V70" s="6" t="s">
        <v>1314</v>
      </c>
      <c r="W70" s="6">
        <v>2025</v>
      </c>
      <c r="X70" s="6">
        <v>11</v>
      </c>
      <c r="Y70" s="6" t="s">
        <v>1315</v>
      </c>
      <c r="Z70" s="6">
        <v>2025</v>
      </c>
      <c r="AA70" s="6" t="s">
        <v>1316</v>
      </c>
      <c r="AB70" s="6" t="str">
        <f>VLOOKUP(S70,Mapping!A:C,3,FALSE)</f>
        <v>Primary</v>
      </c>
    </row>
    <row r="71" spans="1:28" x14ac:dyDescent="0.35">
      <c r="A71" s="6" t="s">
        <v>1302</v>
      </c>
      <c r="B71" s="6" t="s">
        <v>1303</v>
      </c>
      <c r="C71" s="6" t="s">
        <v>1304</v>
      </c>
      <c r="D71" s="6" t="s">
        <v>1305</v>
      </c>
      <c r="E71" s="6" t="s">
        <v>1306</v>
      </c>
      <c r="F71" s="6" t="s">
        <v>1307</v>
      </c>
      <c r="G71" s="6" t="s">
        <v>1308</v>
      </c>
      <c r="H71" s="6" t="s">
        <v>1682</v>
      </c>
      <c r="I71" s="6">
        <v>0</v>
      </c>
      <c r="J71" s="6">
        <v>87.59</v>
      </c>
      <c r="K71" s="6">
        <v>1</v>
      </c>
      <c r="L71" s="6" t="s">
        <v>1481</v>
      </c>
      <c r="M71" s="6" t="e">
        <f>VLOOKUP(L71,'Nov Inv Recon'!H:H,1,FALSE)</f>
        <v>#N/A</v>
      </c>
      <c r="N71" s="6" t="e">
        <f>VLOOKUP(L71,VictoryHeitrich!D:D,1,FALSE)</f>
        <v>#N/A</v>
      </c>
      <c r="O71" s="6" t="s">
        <v>1482</v>
      </c>
      <c r="P71" s="6" t="s">
        <v>1311</v>
      </c>
      <c r="Q71" s="6" t="s">
        <v>2473</v>
      </c>
      <c r="R71" s="6" t="s">
        <v>2473</v>
      </c>
      <c r="S71" s="6" t="s">
        <v>1433</v>
      </c>
      <c r="T71" s="6" t="s">
        <v>1434</v>
      </c>
      <c r="U71" s="6" t="s">
        <v>1313</v>
      </c>
      <c r="V71" s="6" t="s">
        <v>1314</v>
      </c>
      <c r="W71" s="6">
        <v>2025</v>
      </c>
      <c r="X71" s="6">
        <v>11</v>
      </c>
      <c r="Y71" s="6" t="s">
        <v>1315</v>
      </c>
      <c r="Z71" s="6">
        <v>2025</v>
      </c>
      <c r="AA71" s="6" t="s">
        <v>1316</v>
      </c>
      <c r="AB71" s="6" t="str">
        <f>VLOOKUP(S71,Mapping!A:C,3,FALSE)</f>
        <v>Primary</v>
      </c>
    </row>
    <row r="72" spans="1:28" x14ac:dyDescent="0.35">
      <c r="A72" s="6" t="s">
        <v>1302</v>
      </c>
      <c r="B72" s="6" t="s">
        <v>1303</v>
      </c>
      <c r="C72" s="6" t="s">
        <v>1304</v>
      </c>
      <c r="D72" s="6" t="s">
        <v>1305</v>
      </c>
      <c r="E72" s="6" t="s">
        <v>1306</v>
      </c>
      <c r="F72" s="6" t="s">
        <v>1307</v>
      </c>
      <c r="G72" s="6" t="s">
        <v>1308</v>
      </c>
      <c r="H72" s="6" t="s">
        <v>1682</v>
      </c>
      <c r="I72" s="6">
        <v>0</v>
      </c>
      <c r="J72" s="6">
        <v>87.59</v>
      </c>
      <c r="K72" s="6">
        <v>1</v>
      </c>
      <c r="L72" s="6" t="s">
        <v>1483</v>
      </c>
      <c r="M72" s="6" t="e">
        <f>VLOOKUP(L72,'Nov Inv Recon'!H:H,1,FALSE)</f>
        <v>#N/A</v>
      </c>
      <c r="N72" s="6" t="e">
        <f>VLOOKUP(L72,VictoryHeitrich!D:D,1,FALSE)</f>
        <v>#N/A</v>
      </c>
      <c r="O72" s="6" t="s">
        <v>1484</v>
      </c>
      <c r="P72" s="6" t="s">
        <v>1311</v>
      </c>
      <c r="Q72" s="6" t="s">
        <v>2474</v>
      </c>
      <c r="R72" s="6" t="s">
        <v>2474</v>
      </c>
      <c r="S72" s="6" t="s">
        <v>1433</v>
      </c>
      <c r="T72" s="6" t="s">
        <v>1434</v>
      </c>
      <c r="U72" s="6" t="s">
        <v>1313</v>
      </c>
      <c r="V72" s="6" t="s">
        <v>1314</v>
      </c>
      <c r="W72" s="6">
        <v>2025</v>
      </c>
      <c r="X72" s="6">
        <v>11</v>
      </c>
      <c r="Y72" s="6" t="s">
        <v>1315</v>
      </c>
      <c r="Z72" s="6">
        <v>2025</v>
      </c>
      <c r="AA72" s="6" t="s">
        <v>1316</v>
      </c>
      <c r="AB72" s="6" t="str">
        <f>VLOOKUP(S72,Mapping!A:C,3,FALSE)</f>
        <v>Primary</v>
      </c>
    </row>
    <row r="73" spans="1:28" x14ac:dyDescent="0.35">
      <c r="A73" s="6" t="s">
        <v>1302</v>
      </c>
      <c r="B73" s="6" t="s">
        <v>1303</v>
      </c>
      <c r="C73" s="6" t="s">
        <v>1304</v>
      </c>
      <c r="D73" s="6" t="s">
        <v>1305</v>
      </c>
      <c r="E73" s="6" t="s">
        <v>1306</v>
      </c>
      <c r="F73" s="6" t="s">
        <v>1307</v>
      </c>
      <c r="G73" s="6" t="s">
        <v>1308</v>
      </c>
      <c r="H73" s="6" t="s">
        <v>1682</v>
      </c>
      <c r="I73" s="6">
        <v>0</v>
      </c>
      <c r="J73" s="6">
        <v>78.489999999999995</v>
      </c>
      <c r="K73" s="6">
        <v>1</v>
      </c>
      <c r="L73" s="6" t="s">
        <v>1431</v>
      </c>
      <c r="M73" s="6" t="e">
        <f>VLOOKUP(L73,'Nov Inv Recon'!H:H,1,FALSE)</f>
        <v>#N/A</v>
      </c>
      <c r="N73" s="6" t="e">
        <f>VLOOKUP(L73,VictoryHeitrich!D:D,1,FALSE)</f>
        <v>#N/A</v>
      </c>
      <c r="O73" s="6" t="s">
        <v>1432</v>
      </c>
      <c r="P73" s="6" t="s">
        <v>1311</v>
      </c>
      <c r="Q73" s="6" t="s">
        <v>2475</v>
      </c>
      <c r="R73" s="6" t="s">
        <v>2475</v>
      </c>
      <c r="S73" s="6" t="s">
        <v>1433</v>
      </c>
      <c r="T73" s="6" t="s">
        <v>1434</v>
      </c>
      <c r="U73" s="6" t="s">
        <v>1313</v>
      </c>
      <c r="V73" s="6" t="s">
        <v>1314</v>
      </c>
      <c r="W73" s="6">
        <v>2025</v>
      </c>
      <c r="X73" s="6">
        <v>11</v>
      </c>
      <c r="Y73" s="6" t="s">
        <v>1315</v>
      </c>
      <c r="Z73" s="6">
        <v>2025</v>
      </c>
      <c r="AA73" s="6" t="s">
        <v>1316</v>
      </c>
      <c r="AB73" s="6" t="str">
        <f>VLOOKUP(S73,Mapping!A:C,3,FALSE)</f>
        <v>Primary</v>
      </c>
    </row>
    <row r="74" spans="1:28" x14ac:dyDescent="0.35">
      <c r="A74" s="6" t="s">
        <v>1302</v>
      </c>
      <c r="B74" s="6" t="s">
        <v>1303</v>
      </c>
      <c r="C74" s="6" t="s">
        <v>1304</v>
      </c>
      <c r="D74" s="6" t="s">
        <v>1305</v>
      </c>
      <c r="E74" s="6" t="s">
        <v>1306</v>
      </c>
      <c r="F74" s="6" t="s">
        <v>1307</v>
      </c>
      <c r="G74" s="6" t="s">
        <v>1308</v>
      </c>
      <c r="H74" s="6" t="s">
        <v>1742</v>
      </c>
      <c r="I74" s="6">
        <v>0</v>
      </c>
      <c r="J74" s="6">
        <v>1053.45</v>
      </c>
      <c r="K74" s="6">
        <v>1</v>
      </c>
      <c r="L74" s="6" t="s">
        <v>1525</v>
      </c>
      <c r="M74" s="6" t="e">
        <f>VLOOKUP(L74,'Nov Inv Recon'!H:H,1,FALSE)</f>
        <v>#N/A</v>
      </c>
      <c r="N74" s="6" t="e">
        <f>VLOOKUP(L74,VictoryHeitrich!D:D,1,FALSE)</f>
        <v>#N/A</v>
      </c>
      <c r="O74" s="6" t="s">
        <v>975</v>
      </c>
      <c r="P74" s="6" t="s">
        <v>1311</v>
      </c>
      <c r="Q74" s="6" t="s">
        <v>2476</v>
      </c>
      <c r="R74" s="6" t="s">
        <v>2476</v>
      </c>
      <c r="S74" s="6" t="s">
        <v>1526</v>
      </c>
      <c r="T74" s="6" t="s">
        <v>971</v>
      </c>
      <c r="U74" s="6" t="s">
        <v>1313</v>
      </c>
      <c r="V74" s="6" t="s">
        <v>1314</v>
      </c>
      <c r="W74" s="6">
        <v>2025</v>
      </c>
      <c r="X74" s="6">
        <v>11</v>
      </c>
      <c r="Y74" s="6" t="s">
        <v>1315</v>
      </c>
      <c r="Z74" s="6">
        <v>2025</v>
      </c>
      <c r="AA74" s="6" t="s">
        <v>1316</v>
      </c>
      <c r="AB74" s="6" t="str">
        <f>VLOOKUP(S74,Mapping!A:C,3,FALSE)</f>
        <v>Primary</v>
      </c>
    </row>
    <row r="75" spans="1:28" x14ac:dyDescent="0.35">
      <c r="A75" s="6" t="s">
        <v>1302</v>
      </c>
      <c r="B75" s="6" t="s">
        <v>1303</v>
      </c>
      <c r="C75" s="6" t="s">
        <v>1304</v>
      </c>
      <c r="D75" s="6" t="s">
        <v>1305</v>
      </c>
      <c r="E75" s="6" t="s">
        <v>1306</v>
      </c>
      <c r="F75" s="6" t="s">
        <v>1307</v>
      </c>
      <c r="G75" s="6" t="s">
        <v>1308</v>
      </c>
      <c r="H75" s="6" t="s">
        <v>2407</v>
      </c>
      <c r="I75" s="6">
        <v>0</v>
      </c>
      <c r="J75" s="6">
        <v>1053.45</v>
      </c>
      <c r="K75" s="6">
        <v>1</v>
      </c>
      <c r="L75" s="6" t="s">
        <v>1096</v>
      </c>
      <c r="M75" s="23" t="s">
        <v>1096</v>
      </c>
      <c r="N75" s="6" t="str">
        <f>VLOOKUP(L75,VictoryHeitrich!D:D,1,FALSE)</f>
        <v>76254199</v>
      </c>
      <c r="O75" s="6" t="s">
        <v>1097</v>
      </c>
      <c r="P75" s="6" t="s">
        <v>1311</v>
      </c>
      <c r="Q75" s="6" t="s">
        <v>2477</v>
      </c>
      <c r="R75" s="6" t="s">
        <v>2477</v>
      </c>
      <c r="S75" s="6" t="s">
        <v>1526</v>
      </c>
      <c r="T75" s="6" t="s">
        <v>971</v>
      </c>
      <c r="U75" s="6" t="s">
        <v>1313</v>
      </c>
      <c r="V75" s="6" t="s">
        <v>1314</v>
      </c>
      <c r="W75" s="6">
        <v>2025</v>
      </c>
      <c r="X75" s="6">
        <v>11</v>
      </c>
      <c r="Y75" s="6" t="s">
        <v>1315</v>
      </c>
      <c r="Z75" s="6">
        <v>2025</v>
      </c>
      <c r="AA75" s="6" t="s">
        <v>1316</v>
      </c>
      <c r="AB75" s="6" t="str">
        <f>VLOOKUP(S75,Mapping!A:C,3,FALSE)</f>
        <v>Primary</v>
      </c>
    </row>
    <row r="76" spans="1:28" x14ac:dyDescent="0.35">
      <c r="A76" s="6" t="s">
        <v>1302</v>
      </c>
      <c r="B76" s="6" t="s">
        <v>1303</v>
      </c>
      <c r="C76" s="6" t="s">
        <v>1304</v>
      </c>
      <c r="D76" s="6" t="s">
        <v>1305</v>
      </c>
      <c r="E76" s="6" t="s">
        <v>1306</v>
      </c>
      <c r="F76" s="6" t="s">
        <v>1307</v>
      </c>
      <c r="G76" s="6" t="s">
        <v>1308</v>
      </c>
      <c r="H76" s="6" t="s">
        <v>2407</v>
      </c>
      <c r="I76" s="6">
        <v>0</v>
      </c>
      <c r="J76" s="6">
        <v>1053.45</v>
      </c>
      <c r="K76" s="6">
        <v>1</v>
      </c>
      <c r="L76" s="6" t="s">
        <v>2341</v>
      </c>
      <c r="M76" s="23" t="s">
        <v>2341</v>
      </c>
      <c r="N76" s="6" t="e">
        <f>VLOOKUP(L76,VictoryHeitrich!D:D,1,FALSE)</f>
        <v>#N/A</v>
      </c>
      <c r="O76" s="6" t="s">
        <v>2349</v>
      </c>
      <c r="P76" s="6" t="s">
        <v>1311</v>
      </c>
      <c r="Q76" s="6" t="s">
        <v>2478</v>
      </c>
      <c r="R76" s="6" t="s">
        <v>2478</v>
      </c>
      <c r="S76" s="6" t="s">
        <v>1526</v>
      </c>
      <c r="T76" s="6" t="s">
        <v>971</v>
      </c>
      <c r="U76" s="6" t="s">
        <v>1313</v>
      </c>
      <c r="V76" s="6" t="s">
        <v>1314</v>
      </c>
      <c r="W76" s="6">
        <v>2025</v>
      </c>
      <c r="X76" s="6">
        <v>11</v>
      </c>
      <c r="Y76" s="6" t="s">
        <v>1315</v>
      </c>
      <c r="Z76" s="6">
        <v>2025</v>
      </c>
      <c r="AA76" s="6" t="s">
        <v>1316</v>
      </c>
      <c r="AB76" s="6" t="str">
        <f>VLOOKUP(S76,Mapping!A:C,3,FALSE)</f>
        <v>Primary</v>
      </c>
    </row>
    <row r="77" spans="1:28" x14ac:dyDescent="0.35">
      <c r="A77" s="6" t="s">
        <v>1302</v>
      </c>
      <c r="B77" s="6" t="s">
        <v>1303</v>
      </c>
      <c r="C77" s="6" t="s">
        <v>1304</v>
      </c>
      <c r="D77" s="6" t="s">
        <v>1305</v>
      </c>
      <c r="E77" s="6" t="s">
        <v>1306</v>
      </c>
      <c r="F77" s="6" t="s">
        <v>1307</v>
      </c>
      <c r="G77" s="6" t="s">
        <v>1308</v>
      </c>
      <c r="H77" s="6" t="s">
        <v>2407</v>
      </c>
      <c r="I77" s="6">
        <v>0</v>
      </c>
      <c r="J77" s="6">
        <v>1053.45</v>
      </c>
      <c r="K77" s="6">
        <v>1</v>
      </c>
      <c r="L77" s="6" t="s">
        <v>1093</v>
      </c>
      <c r="M77" s="23" t="s">
        <v>1093</v>
      </c>
      <c r="N77" s="6" t="str">
        <f>VLOOKUP(L77,VictoryHeitrich!D:D,1,FALSE)</f>
        <v>76254200</v>
      </c>
      <c r="O77" s="6" t="s">
        <v>1094</v>
      </c>
      <c r="P77" s="6" t="s">
        <v>1311</v>
      </c>
      <c r="Q77" s="6" t="s">
        <v>2479</v>
      </c>
      <c r="R77" s="6" t="s">
        <v>2479</v>
      </c>
      <c r="S77" s="6" t="s">
        <v>1526</v>
      </c>
      <c r="T77" s="6" t="s">
        <v>971</v>
      </c>
      <c r="U77" s="6" t="s">
        <v>1313</v>
      </c>
      <c r="V77" s="6" t="s">
        <v>1314</v>
      </c>
      <c r="W77" s="6">
        <v>2025</v>
      </c>
      <c r="X77" s="6">
        <v>11</v>
      </c>
      <c r="Y77" s="6" t="s">
        <v>1315</v>
      </c>
      <c r="Z77" s="6">
        <v>2025</v>
      </c>
      <c r="AA77" s="6" t="s">
        <v>1316</v>
      </c>
      <c r="AB77" s="6" t="str">
        <f>VLOOKUP(S77,Mapping!A:C,3,FALSE)</f>
        <v>Primary</v>
      </c>
    </row>
    <row r="78" spans="1:28" x14ac:dyDescent="0.35">
      <c r="A78" s="6" t="s">
        <v>1302</v>
      </c>
      <c r="B78" s="6" t="s">
        <v>1303</v>
      </c>
      <c r="C78" s="6" t="s">
        <v>1304</v>
      </c>
      <c r="D78" s="6" t="s">
        <v>1305</v>
      </c>
      <c r="E78" s="6" t="s">
        <v>1306</v>
      </c>
      <c r="F78" s="6" t="s">
        <v>1307</v>
      </c>
      <c r="G78" s="6" t="s">
        <v>1308</v>
      </c>
      <c r="H78" s="6" t="s">
        <v>2407</v>
      </c>
      <c r="I78" s="6">
        <v>0</v>
      </c>
      <c r="J78" s="6">
        <v>1053.45</v>
      </c>
      <c r="K78" s="6">
        <v>1</v>
      </c>
      <c r="L78" s="6" t="s">
        <v>1108</v>
      </c>
      <c r="M78" s="23" t="s">
        <v>1108</v>
      </c>
      <c r="N78" s="6" t="str">
        <f>VLOOKUP(L78,VictoryHeitrich!D:D,1,FALSE)</f>
        <v>76254201</v>
      </c>
      <c r="O78" s="6" t="s">
        <v>1109</v>
      </c>
      <c r="P78" s="6" t="s">
        <v>1311</v>
      </c>
      <c r="Q78" s="6" t="s">
        <v>2480</v>
      </c>
      <c r="R78" s="6" t="s">
        <v>2480</v>
      </c>
      <c r="S78" s="6" t="s">
        <v>1526</v>
      </c>
      <c r="T78" s="6" t="s">
        <v>971</v>
      </c>
      <c r="U78" s="6" t="s">
        <v>1313</v>
      </c>
      <c r="V78" s="6" t="s">
        <v>1314</v>
      </c>
      <c r="W78" s="6">
        <v>2025</v>
      </c>
      <c r="X78" s="6">
        <v>11</v>
      </c>
      <c r="Y78" s="6" t="s">
        <v>1315</v>
      </c>
      <c r="Z78" s="6">
        <v>2025</v>
      </c>
      <c r="AA78" s="6" t="s">
        <v>1316</v>
      </c>
      <c r="AB78" s="6" t="str">
        <f>VLOOKUP(S78,Mapping!A:C,3,FALSE)</f>
        <v>Primary</v>
      </c>
    </row>
    <row r="79" spans="1:28" x14ac:dyDescent="0.35">
      <c r="A79" s="6" t="s">
        <v>1302</v>
      </c>
      <c r="B79" s="6" t="s">
        <v>1303</v>
      </c>
      <c r="C79" s="6" t="s">
        <v>1304</v>
      </c>
      <c r="D79" s="6" t="s">
        <v>1305</v>
      </c>
      <c r="E79" s="6" t="s">
        <v>1306</v>
      </c>
      <c r="F79" s="6" t="s">
        <v>1307</v>
      </c>
      <c r="G79" s="6" t="s">
        <v>1308</v>
      </c>
      <c r="H79" s="6" t="s">
        <v>2481</v>
      </c>
      <c r="I79" s="6">
        <v>0</v>
      </c>
      <c r="J79" s="6">
        <v>1053.45</v>
      </c>
      <c r="K79" s="6">
        <v>1</v>
      </c>
      <c r="L79" s="6" t="s">
        <v>1048</v>
      </c>
      <c r="M79" s="6" t="s">
        <v>1048</v>
      </c>
      <c r="N79" s="6" t="str">
        <f>VLOOKUP(L79,VictoryHeitrich!D:D,1,FALSE)</f>
        <v>76255144</v>
      </c>
      <c r="O79" s="6" t="s">
        <v>1049</v>
      </c>
      <c r="P79" s="6" t="s">
        <v>1311</v>
      </c>
      <c r="Q79" s="6" t="s">
        <v>2482</v>
      </c>
      <c r="R79" s="6" t="s">
        <v>2482</v>
      </c>
      <c r="S79" s="6" t="s">
        <v>1526</v>
      </c>
      <c r="T79" s="6" t="s">
        <v>971</v>
      </c>
      <c r="U79" s="6" t="s">
        <v>1313</v>
      </c>
      <c r="V79" s="6" t="s">
        <v>1314</v>
      </c>
      <c r="W79" s="6">
        <v>2025</v>
      </c>
      <c r="X79" s="6">
        <v>11</v>
      </c>
      <c r="Y79" s="6" t="s">
        <v>1315</v>
      </c>
      <c r="Z79" s="6">
        <v>2025</v>
      </c>
      <c r="AA79" s="6" t="s">
        <v>1316</v>
      </c>
      <c r="AB79" s="6" t="str">
        <f>VLOOKUP(S79,Mapping!A:C,3,FALSE)</f>
        <v>Primary</v>
      </c>
    </row>
    <row r="80" spans="1:28" x14ac:dyDescent="0.35">
      <c r="A80" s="6" t="s">
        <v>1302</v>
      </c>
      <c r="B80" s="6" t="s">
        <v>1303</v>
      </c>
      <c r="C80" s="6" t="s">
        <v>1304</v>
      </c>
      <c r="D80" s="6" t="s">
        <v>1305</v>
      </c>
      <c r="E80" s="6" t="s">
        <v>1306</v>
      </c>
      <c r="F80" s="6" t="s">
        <v>1307</v>
      </c>
      <c r="G80" s="6" t="s">
        <v>1308</v>
      </c>
      <c r="H80" s="6" t="s">
        <v>1309</v>
      </c>
      <c r="I80" s="6">
        <v>0</v>
      </c>
      <c r="J80" s="6">
        <v>1053.45</v>
      </c>
      <c r="K80" s="6">
        <v>1</v>
      </c>
      <c r="L80" s="6" t="s">
        <v>1090</v>
      </c>
      <c r="M80" s="23" t="s">
        <v>1090</v>
      </c>
      <c r="N80" s="6" t="str">
        <f>VLOOKUP(L80,VictoryHeitrich!D:D,1,FALSE)</f>
        <v>76256438</v>
      </c>
      <c r="O80" s="6" t="s">
        <v>1091</v>
      </c>
      <c r="P80" s="6" t="s">
        <v>1311</v>
      </c>
      <c r="Q80" s="6" t="s">
        <v>2483</v>
      </c>
      <c r="R80" s="6" t="s">
        <v>2483</v>
      </c>
      <c r="S80" s="6" t="s">
        <v>1526</v>
      </c>
      <c r="T80" s="6" t="s">
        <v>971</v>
      </c>
      <c r="U80" s="6" t="s">
        <v>1313</v>
      </c>
      <c r="V80" s="6" t="s">
        <v>1314</v>
      </c>
      <c r="W80" s="6">
        <v>2025</v>
      </c>
      <c r="X80" s="6">
        <v>11</v>
      </c>
      <c r="Y80" s="6" t="s">
        <v>1315</v>
      </c>
      <c r="Z80" s="6">
        <v>2025</v>
      </c>
      <c r="AA80" s="6" t="s">
        <v>1316</v>
      </c>
      <c r="AB80" s="6" t="str">
        <f>VLOOKUP(S80,Mapping!A:C,3,FALSE)</f>
        <v>Primary</v>
      </c>
    </row>
    <row r="81" spans="1:28" x14ac:dyDescent="0.35">
      <c r="A81" s="6" t="s">
        <v>2484</v>
      </c>
      <c r="B81" s="6" t="s">
        <v>1303</v>
      </c>
      <c r="C81" s="6" t="s">
        <v>1304</v>
      </c>
      <c r="D81" s="6" t="s">
        <v>1305</v>
      </c>
      <c r="E81" s="6" t="s">
        <v>2485</v>
      </c>
      <c r="F81" s="6" t="s">
        <v>1307</v>
      </c>
      <c r="G81" s="6" t="s">
        <v>1308</v>
      </c>
      <c r="H81" s="6" t="s">
        <v>1682</v>
      </c>
      <c r="I81" s="6">
        <v>0</v>
      </c>
      <c r="J81" s="6">
        <v>999</v>
      </c>
      <c r="K81" s="6">
        <v>1</v>
      </c>
      <c r="L81" s="6" t="s">
        <v>2344</v>
      </c>
      <c r="M81" s="6" t="e">
        <f>VLOOKUP(L81,'Nov Inv Recon'!H:H,1,FALSE)</f>
        <v>#N/A</v>
      </c>
      <c r="N81" s="6" t="e">
        <f>VLOOKUP(L81,VictoryHeitrich!D:D,1,FALSE)</f>
        <v>#N/A</v>
      </c>
      <c r="O81" s="6" t="s">
        <v>423</v>
      </c>
      <c r="P81" s="6" t="s">
        <v>1311</v>
      </c>
      <c r="Q81" s="6" t="s">
        <v>1847</v>
      </c>
      <c r="R81" s="6" t="s">
        <v>1847</v>
      </c>
      <c r="S81" s="6" t="s">
        <v>1528</v>
      </c>
      <c r="T81" s="6" t="s">
        <v>1529</v>
      </c>
      <c r="U81" s="6" t="s">
        <v>1313</v>
      </c>
      <c r="V81" s="6" t="s">
        <v>1314</v>
      </c>
      <c r="W81" s="6">
        <v>2025</v>
      </c>
      <c r="X81" s="6">
        <v>11</v>
      </c>
      <c r="Y81" s="6" t="s">
        <v>1315</v>
      </c>
      <c r="Z81" s="6">
        <v>2025</v>
      </c>
      <c r="AA81" s="6" t="s">
        <v>1316</v>
      </c>
      <c r="AB81" s="6" t="str">
        <f>VLOOKUP(S81,Mapping!A:C,3,FALSE)</f>
        <v>Secondary</v>
      </c>
    </row>
    <row r="82" spans="1:28" x14ac:dyDescent="0.35">
      <c r="A82" s="6" t="s">
        <v>2484</v>
      </c>
      <c r="B82" s="6" t="s">
        <v>1303</v>
      </c>
      <c r="C82" s="6" t="s">
        <v>1304</v>
      </c>
      <c r="D82" s="6" t="s">
        <v>1305</v>
      </c>
      <c r="E82" s="6" t="s">
        <v>2485</v>
      </c>
      <c r="F82" s="6" t="s">
        <v>1307</v>
      </c>
      <c r="G82" s="6" t="s">
        <v>1308</v>
      </c>
      <c r="H82" s="6" t="s">
        <v>1682</v>
      </c>
      <c r="I82" s="6">
        <v>0</v>
      </c>
      <c r="J82" s="6">
        <v>999</v>
      </c>
      <c r="K82" s="6">
        <v>1</v>
      </c>
      <c r="L82" s="6" t="s">
        <v>2345</v>
      </c>
      <c r="M82" s="6" t="e">
        <f>VLOOKUP(L82,'Nov Inv Recon'!H:H,1,FALSE)</f>
        <v>#N/A</v>
      </c>
      <c r="N82" s="6" t="e">
        <f>VLOOKUP(L82,VictoryHeitrich!D:D,1,FALSE)</f>
        <v>#N/A</v>
      </c>
      <c r="O82" s="6" t="s">
        <v>420</v>
      </c>
      <c r="P82" s="6" t="s">
        <v>1311</v>
      </c>
      <c r="Q82" s="6" t="s">
        <v>1804</v>
      </c>
      <c r="R82" s="6" t="s">
        <v>1804</v>
      </c>
      <c r="S82" s="6" t="s">
        <v>1528</v>
      </c>
      <c r="T82" s="6" t="s">
        <v>1529</v>
      </c>
      <c r="U82" s="6" t="s">
        <v>1313</v>
      </c>
      <c r="V82" s="6" t="s">
        <v>1314</v>
      </c>
      <c r="W82" s="6">
        <v>2025</v>
      </c>
      <c r="X82" s="6">
        <v>11</v>
      </c>
      <c r="Y82" s="6" t="s">
        <v>1315</v>
      </c>
      <c r="Z82" s="6">
        <v>2025</v>
      </c>
      <c r="AA82" s="6" t="s">
        <v>1316</v>
      </c>
      <c r="AB82" s="6" t="str">
        <f>VLOOKUP(S82,Mapping!A:C,3,FALSE)</f>
        <v>Secondary</v>
      </c>
    </row>
    <row r="83" spans="1:28" x14ac:dyDescent="0.35">
      <c r="A83" s="6" t="s">
        <v>2484</v>
      </c>
      <c r="B83" s="6" t="s">
        <v>1303</v>
      </c>
      <c r="C83" s="6" t="s">
        <v>1304</v>
      </c>
      <c r="D83" s="6" t="s">
        <v>1305</v>
      </c>
      <c r="E83" s="6" t="s">
        <v>2485</v>
      </c>
      <c r="F83" s="6" t="s">
        <v>1307</v>
      </c>
      <c r="G83" s="6" t="s">
        <v>1308</v>
      </c>
      <c r="H83" s="6" t="s">
        <v>1682</v>
      </c>
      <c r="I83" s="6">
        <v>0</v>
      </c>
      <c r="J83" s="6">
        <v>999</v>
      </c>
      <c r="K83" s="6">
        <v>1</v>
      </c>
      <c r="L83" s="6" t="s">
        <v>1530</v>
      </c>
      <c r="M83" s="6" t="e">
        <f>VLOOKUP(L83,'Nov Inv Recon'!H:H,1,FALSE)</f>
        <v>#N/A</v>
      </c>
      <c r="N83" s="6" t="e">
        <f>VLOOKUP(L83,VictoryHeitrich!D:D,1,FALSE)</f>
        <v>#N/A</v>
      </c>
      <c r="O83" s="6" t="s">
        <v>423</v>
      </c>
      <c r="P83" s="6" t="s">
        <v>1311</v>
      </c>
      <c r="Q83" s="6" t="s">
        <v>2486</v>
      </c>
      <c r="R83" s="6" t="s">
        <v>2486</v>
      </c>
      <c r="S83" s="6" t="s">
        <v>1528</v>
      </c>
      <c r="T83" s="6" t="s">
        <v>1529</v>
      </c>
      <c r="U83" s="6" t="s">
        <v>1313</v>
      </c>
      <c r="V83" s="6" t="s">
        <v>1314</v>
      </c>
      <c r="W83" s="6">
        <v>2025</v>
      </c>
      <c r="X83" s="6">
        <v>11</v>
      </c>
      <c r="Y83" s="6" t="s">
        <v>1315</v>
      </c>
      <c r="Z83" s="6">
        <v>2025</v>
      </c>
      <c r="AA83" s="6" t="s">
        <v>1316</v>
      </c>
      <c r="AB83" s="6" t="str">
        <f>VLOOKUP(S83,Mapping!A:C,3,FALSE)</f>
        <v>Secondary</v>
      </c>
    </row>
    <row r="84" spans="1:28" x14ac:dyDescent="0.35">
      <c r="A84" s="6" t="s">
        <v>2484</v>
      </c>
      <c r="B84" s="6" t="s">
        <v>1303</v>
      </c>
      <c r="C84" s="6" t="s">
        <v>1304</v>
      </c>
      <c r="D84" s="6" t="s">
        <v>1305</v>
      </c>
      <c r="E84" s="6" t="s">
        <v>2485</v>
      </c>
      <c r="F84" s="6" t="s">
        <v>1307</v>
      </c>
      <c r="G84" s="6" t="s">
        <v>1308</v>
      </c>
      <c r="H84" s="6" t="s">
        <v>1682</v>
      </c>
      <c r="I84" s="6">
        <v>0</v>
      </c>
      <c r="J84" s="6">
        <v>999</v>
      </c>
      <c r="K84" s="6">
        <v>1</v>
      </c>
      <c r="L84" s="6" t="s">
        <v>1527</v>
      </c>
      <c r="M84" s="6" t="e">
        <f>VLOOKUP(L84,'Nov Inv Recon'!H:H,1,FALSE)</f>
        <v>#N/A</v>
      </c>
      <c r="N84" s="6" t="e">
        <f>VLOOKUP(L84,VictoryHeitrich!D:D,1,FALSE)</f>
        <v>#N/A</v>
      </c>
      <c r="O84" s="6" t="s">
        <v>420</v>
      </c>
      <c r="P84" s="6" t="s">
        <v>1311</v>
      </c>
      <c r="Q84" s="6" t="s">
        <v>2487</v>
      </c>
      <c r="R84" s="6" t="s">
        <v>2487</v>
      </c>
      <c r="S84" s="6" t="s">
        <v>1528</v>
      </c>
      <c r="T84" s="6" t="s">
        <v>1529</v>
      </c>
      <c r="U84" s="6" t="s">
        <v>1313</v>
      </c>
      <c r="V84" s="6" t="s">
        <v>1314</v>
      </c>
      <c r="W84" s="6">
        <v>2025</v>
      </c>
      <c r="X84" s="6">
        <v>11</v>
      </c>
      <c r="Y84" s="6" t="s">
        <v>1315</v>
      </c>
      <c r="Z84" s="6">
        <v>2025</v>
      </c>
      <c r="AA84" s="6" t="s">
        <v>1316</v>
      </c>
      <c r="AB84" s="6" t="str">
        <f>VLOOKUP(S84,Mapping!A:C,3,FALSE)</f>
        <v>Secondary</v>
      </c>
    </row>
    <row r="85" spans="1:28" x14ac:dyDescent="0.35">
      <c r="A85" s="6" t="s">
        <v>2484</v>
      </c>
      <c r="B85" s="6" t="s">
        <v>1303</v>
      </c>
      <c r="C85" s="6" t="s">
        <v>1304</v>
      </c>
      <c r="D85" s="6" t="s">
        <v>1305</v>
      </c>
      <c r="E85" s="6" t="s">
        <v>2485</v>
      </c>
      <c r="F85" s="6" t="s">
        <v>2488</v>
      </c>
      <c r="G85" s="6" t="s">
        <v>1308</v>
      </c>
      <c r="H85" s="6" t="s">
        <v>2466</v>
      </c>
      <c r="I85" s="6">
        <v>0</v>
      </c>
      <c r="J85" s="6">
        <v>999</v>
      </c>
      <c r="K85" s="6">
        <v>1</v>
      </c>
      <c r="L85" s="6" t="s">
        <v>2243</v>
      </c>
      <c r="M85" s="6" t="e">
        <f>VLOOKUP(L85,'Nov Inv Recon'!H:H,1,FALSE)</f>
        <v>#N/A</v>
      </c>
      <c r="N85" s="6" t="e">
        <f>VLOOKUP(L85,VictoryHeitrich!D:D,1,FALSE)</f>
        <v>#N/A</v>
      </c>
      <c r="O85" s="6" t="s">
        <v>575</v>
      </c>
      <c r="P85" s="6" t="s">
        <v>1311</v>
      </c>
      <c r="Q85" s="6" t="s">
        <v>2489</v>
      </c>
      <c r="R85" s="6" t="s">
        <v>2489</v>
      </c>
      <c r="S85" s="6" t="s">
        <v>1870</v>
      </c>
      <c r="T85" s="6" t="s">
        <v>1871</v>
      </c>
      <c r="U85" s="6" t="s">
        <v>1313</v>
      </c>
      <c r="V85" s="6" t="s">
        <v>1314</v>
      </c>
      <c r="W85" s="6">
        <v>2025</v>
      </c>
      <c r="X85" s="6">
        <v>11</v>
      </c>
      <c r="Y85" s="6" t="s">
        <v>1315</v>
      </c>
      <c r="Z85" s="6">
        <v>2025</v>
      </c>
      <c r="AA85" s="6" t="s">
        <v>1316</v>
      </c>
      <c r="AB85" s="6" t="str">
        <f>VLOOKUP(S85,Mapping!A:C,3,FALSE)</f>
        <v>Primary</v>
      </c>
    </row>
    <row r="86" spans="1:28" x14ac:dyDescent="0.35">
      <c r="A86" s="6" t="s">
        <v>2484</v>
      </c>
      <c r="B86" s="6" t="s">
        <v>1303</v>
      </c>
      <c r="C86" s="6" t="s">
        <v>1304</v>
      </c>
      <c r="D86" s="6" t="s">
        <v>1305</v>
      </c>
      <c r="E86" s="6" t="s">
        <v>2485</v>
      </c>
      <c r="F86" s="6" t="s">
        <v>2488</v>
      </c>
      <c r="G86" s="6" t="s">
        <v>1308</v>
      </c>
      <c r="H86" s="6" t="s">
        <v>1765</v>
      </c>
      <c r="I86" s="6">
        <v>0</v>
      </c>
      <c r="J86" s="6">
        <v>999</v>
      </c>
      <c r="K86" s="6">
        <v>1</v>
      </c>
      <c r="L86" s="6" t="s">
        <v>2301</v>
      </c>
      <c r="M86" s="6" t="e">
        <f>VLOOKUP(L86,'Nov Inv Recon'!H:H,1,FALSE)</f>
        <v>#N/A</v>
      </c>
      <c r="N86" s="6" t="e">
        <f>VLOOKUP(L86,VictoryHeitrich!D:D,1,FALSE)</f>
        <v>#N/A</v>
      </c>
      <c r="O86" s="6" t="s">
        <v>577</v>
      </c>
      <c r="P86" s="6" t="s">
        <v>1311</v>
      </c>
      <c r="Q86" s="6" t="s">
        <v>2490</v>
      </c>
      <c r="R86" s="6" t="s">
        <v>2490</v>
      </c>
      <c r="S86" s="6" t="s">
        <v>1870</v>
      </c>
      <c r="T86" s="6" t="s">
        <v>1871</v>
      </c>
      <c r="U86" s="6" t="s">
        <v>1313</v>
      </c>
      <c r="V86" s="6" t="s">
        <v>1314</v>
      </c>
      <c r="W86" s="6">
        <v>2025</v>
      </c>
      <c r="X86" s="6">
        <v>11</v>
      </c>
      <c r="Y86" s="6" t="s">
        <v>1315</v>
      </c>
      <c r="Z86" s="6">
        <v>2025</v>
      </c>
      <c r="AA86" s="6" t="s">
        <v>1316</v>
      </c>
      <c r="AB86" s="6" t="str">
        <f>VLOOKUP(S86,Mapping!A:C,3,FALSE)</f>
        <v>Primary</v>
      </c>
    </row>
    <row r="87" spans="1:28" x14ac:dyDescent="0.35">
      <c r="A87" s="6" t="s">
        <v>2484</v>
      </c>
      <c r="B87" s="6" t="s">
        <v>1303</v>
      </c>
      <c r="C87" s="6" t="s">
        <v>1304</v>
      </c>
      <c r="D87" s="6" t="s">
        <v>1305</v>
      </c>
      <c r="E87" s="6" t="s">
        <v>2485</v>
      </c>
      <c r="F87" s="6" t="s">
        <v>2488</v>
      </c>
      <c r="G87" s="6" t="s">
        <v>1308</v>
      </c>
      <c r="H87" s="6" t="s">
        <v>1632</v>
      </c>
      <c r="I87" s="6">
        <v>0</v>
      </c>
      <c r="J87" s="6">
        <v>745</v>
      </c>
      <c r="K87" s="6">
        <v>1</v>
      </c>
      <c r="L87" s="6" t="s">
        <v>2058</v>
      </c>
      <c r="M87" s="6" t="e">
        <f>VLOOKUP(L87,'Nov Inv Recon'!H:H,1,FALSE)</f>
        <v>#N/A</v>
      </c>
      <c r="N87" s="6" t="e">
        <f>VLOOKUP(L87,VictoryHeitrich!D:D,1,FALSE)</f>
        <v>#N/A</v>
      </c>
      <c r="O87" s="6" t="s">
        <v>903</v>
      </c>
      <c r="P87" s="6" t="s">
        <v>1311</v>
      </c>
      <c r="Q87" s="6" t="s">
        <v>2491</v>
      </c>
      <c r="R87" s="6" t="s">
        <v>2491</v>
      </c>
      <c r="S87" s="6" t="s">
        <v>1870</v>
      </c>
      <c r="T87" s="6" t="s">
        <v>1871</v>
      </c>
      <c r="U87" s="6" t="s">
        <v>1313</v>
      </c>
      <c r="V87" s="6" t="s">
        <v>1314</v>
      </c>
      <c r="W87" s="6">
        <v>2025</v>
      </c>
      <c r="X87" s="6">
        <v>11</v>
      </c>
      <c r="Y87" s="6" t="s">
        <v>1315</v>
      </c>
      <c r="Z87" s="6">
        <v>2025</v>
      </c>
      <c r="AA87" s="6" t="s">
        <v>1316</v>
      </c>
      <c r="AB87" s="6" t="str">
        <f>VLOOKUP(S87,Mapping!A:C,3,FALSE)</f>
        <v>Primary</v>
      </c>
    </row>
    <row r="88" spans="1:28" x14ac:dyDescent="0.35">
      <c r="A88" s="6" t="s">
        <v>2484</v>
      </c>
      <c r="B88" s="6" t="s">
        <v>1303</v>
      </c>
      <c r="C88" s="6" t="s">
        <v>1304</v>
      </c>
      <c r="D88" s="6" t="s">
        <v>1305</v>
      </c>
      <c r="E88" s="6" t="s">
        <v>2485</v>
      </c>
      <c r="F88" s="6" t="s">
        <v>2488</v>
      </c>
      <c r="G88" s="6" t="s">
        <v>1308</v>
      </c>
      <c r="H88" s="6" t="s">
        <v>1632</v>
      </c>
      <c r="I88" s="6">
        <v>0</v>
      </c>
      <c r="J88" s="6">
        <v>999</v>
      </c>
      <c r="K88" s="6">
        <v>1</v>
      </c>
      <c r="L88" s="6" t="s">
        <v>181</v>
      </c>
      <c r="M88" s="6" t="str">
        <f>VLOOKUP(L88,'Nov Inv Recon'!H:H,1,FALSE)</f>
        <v>09700157</v>
      </c>
      <c r="N88" s="6" t="e">
        <f>VLOOKUP(L88,VictoryHeitrich!D:D,1,FALSE)</f>
        <v>#N/A</v>
      </c>
      <c r="O88" s="6" t="s">
        <v>2042</v>
      </c>
      <c r="P88" s="6" t="s">
        <v>1311</v>
      </c>
      <c r="Q88" s="6" t="s">
        <v>2492</v>
      </c>
      <c r="R88" s="6" t="s">
        <v>2492</v>
      </c>
      <c r="S88" s="6" t="s">
        <v>1870</v>
      </c>
      <c r="T88" s="6" t="s">
        <v>1871</v>
      </c>
      <c r="U88" s="6" t="s">
        <v>1313</v>
      </c>
      <c r="V88" s="6" t="s">
        <v>1314</v>
      </c>
      <c r="W88" s="6">
        <v>2025</v>
      </c>
      <c r="X88" s="6">
        <v>11</v>
      </c>
      <c r="Y88" s="6" t="s">
        <v>1315</v>
      </c>
      <c r="Z88" s="6">
        <v>2025</v>
      </c>
      <c r="AA88" s="6" t="s">
        <v>1316</v>
      </c>
      <c r="AB88" s="6" t="str">
        <f>VLOOKUP(S88,Mapping!A:C,3,FALSE)</f>
        <v>Primary</v>
      </c>
    </row>
    <row r="89" spans="1:28" x14ac:dyDescent="0.35">
      <c r="A89" s="6" t="s">
        <v>2484</v>
      </c>
      <c r="B89" s="6" t="s">
        <v>1303</v>
      </c>
      <c r="C89" s="6" t="s">
        <v>1304</v>
      </c>
      <c r="D89" s="6" t="s">
        <v>1305</v>
      </c>
      <c r="E89" s="6" t="s">
        <v>2485</v>
      </c>
      <c r="F89" s="6" t="s">
        <v>2488</v>
      </c>
      <c r="G89" s="6" t="s">
        <v>1308</v>
      </c>
      <c r="H89" s="6" t="s">
        <v>1632</v>
      </c>
      <c r="I89" s="6">
        <v>0</v>
      </c>
      <c r="J89" s="6">
        <v>999</v>
      </c>
      <c r="K89" s="6">
        <v>1</v>
      </c>
      <c r="L89" s="6" t="s">
        <v>178</v>
      </c>
      <c r="M89" s="6" t="str">
        <f>VLOOKUP(L89,'Nov Inv Recon'!H:H,1,FALSE)</f>
        <v>01021824</v>
      </c>
      <c r="N89" s="6" t="e">
        <f>VLOOKUP(L89,VictoryHeitrich!D:D,1,FALSE)</f>
        <v>#N/A</v>
      </c>
      <c r="O89" s="6" t="s">
        <v>2035</v>
      </c>
      <c r="P89" s="6" t="s">
        <v>1311</v>
      </c>
      <c r="Q89" s="6" t="s">
        <v>2493</v>
      </c>
      <c r="R89" s="6" t="s">
        <v>2493</v>
      </c>
      <c r="S89" s="6" t="s">
        <v>1870</v>
      </c>
      <c r="T89" s="6" t="s">
        <v>1871</v>
      </c>
      <c r="U89" s="6" t="s">
        <v>1313</v>
      </c>
      <c r="V89" s="6" t="s">
        <v>1314</v>
      </c>
      <c r="W89" s="6">
        <v>2025</v>
      </c>
      <c r="X89" s="6">
        <v>11</v>
      </c>
      <c r="Y89" s="6" t="s">
        <v>1315</v>
      </c>
      <c r="Z89" s="6">
        <v>2025</v>
      </c>
      <c r="AA89" s="6" t="s">
        <v>1316</v>
      </c>
      <c r="AB89" s="6" t="str">
        <f>VLOOKUP(S89,Mapping!A:C,3,FALSE)</f>
        <v>Primary</v>
      </c>
    </row>
    <row r="90" spans="1:28" x14ac:dyDescent="0.35">
      <c r="A90" s="6" t="s">
        <v>2484</v>
      </c>
      <c r="B90" s="6" t="s">
        <v>1303</v>
      </c>
      <c r="C90" s="6" t="s">
        <v>1304</v>
      </c>
      <c r="D90" s="6" t="s">
        <v>1305</v>
      </c>
      <c r="E90" s="6" t="s">
        <v>2485</v>
      </c>
      <c r="F90" s="6" t="s">
        <v>2488</v>
      </c>
      <c r="G90" s="6" t="s">
        <v>1308</v>
      </c>
      <c r="H90" s="6" t="s">
        <v>1632</v>
      </c>
      <c r="I90" s="6">
        <v>0</v>
      </c>
      <c r="J90" s="6">
        <v>999</v>
      </c>
      <c r="K90" s="6">
        <v>1</v>
      </c>
      <c r="L90" s="6" t="s">
        <v>2193</v>
      </c>
      <c r="M90" s="6" t="e">
        <f>VLOOKUP(L90,'Nov Inv Recon'!H:H,1,FALSE)</f>
        <v>#N/A</v>
      </c>
      <c r="N90" s="6" t="e">
        <f>VLOOKUP(L90,VictoryHeitrich!D:D,1,FALSE)</f>
        <v>#N/A</v>
      </c>
      <c r="O90" s="6" t="s">
        <v>172</v>
      </c>
      <c r="P90" s="6" t="s">
        <v>1311</v>
      </c>
      <c r="Q90" s="6" t="s">
        <v>2494</v>
      </c>
      <c r="R90" s="6" t="s">
        <v>2494</v>
      </c>
      <c r="S90" s="6" t="s">
        <v>1870</v>
      </c>
      <c r="T90" s="6" t="s">
        <v>1871</v>
      </c>
      <c r="U90" s="6" t="s">
        <v>1313</v>
      </c>
      <c r="V90" s="6" t="s">
        <v>1314</v>
      </c>
      <c r="W90" s="6">
        <v>2025</v>
      </c>
      <c r="X90" s="6">
        <v>11</v>
      </c>
      <c r="Y90" s="6" t="s">
        <v>1315</v>
      </c>
      <c r="Z90" s="6">
        <v>2025</v>
      </c>
      <c r="AA90" s="6" t="s">
        <v>1316</v>
      </c>
      <c r="AB90" s="6" t="str">
        <f>VLOOKUP(S90,Mapping!A:C,3,FALSE)</f>
        <v>Primary</v>
      </c>
    </row>
    <row r="91" spans="1:28" x14ac:dyDescent="0.35">
      <c r="A91" s="6" t="s">
        <v>2484</v>
      </c>
      <c r="B91" s="6" t="s">
        <v>1303</v>
      </c>
      <c r="C91" s="6" t="s">
        <v>1304</v>
      </c>
      <c r="D91" s="6" t="s">
        <v>1305</v>
      </c>
      <c r="E91" s="6" t="s">
        <v>2485</v>
      </c>
      <c r="F91" s="6" t="s">
        <v>2488</v>
      </c>
      <c r="G91" s="6" t="s">
        <v>1308</v>
      </c>
      <c r="H91" s="6" t="s">
        <v>1765</v>
      </c>
      <c r="I91" s="6">
        <v>0</v>
      </c>
      <c r="J91" s="6">
        <v>1078.92</v>
      </c>
      <c r="K91" s="6">
        <v>1</v>
      </c>
      <c r="L91" s="6" t="s">
        <v>2179</v>
      </c>
      <c r="M91" s="6" t="e">
        <f>VLOOKUP(L91,'Nov Inv Recon'!H:H,1,FALSE)</f>
        <v>#N/A</v>
      </c>
      <c r="N91" s="6" t="e">
        <f>VLOOKUP(L91,VictoryHeitrich!D:D,1,FALSE)</f>
        <v>#N/A</v>
      </c>
      <c r="O91" s="6" t="s">
        <v>728</v>
      </c>
      <c r="P91" s="6" t="s">
        <v>1311</v>
      </c>
      <c r="Q91" s="6" t="s">
        <v>2495</v>
      </c>
      <c r="R91" s="6" t="s">
        <v>2495</v>
      </c>
      <c r="S91" s="6" t="s">
        <v>1870</v>
      </c>
      <c r="T91" s="6" t="s">
        <v>1871</v>
      </c>
      <c r="U91" s="6" t="s">
        <v>1313</v>
      </c>
      <c r="V91" s="6" t="s">
        <v>1314</v>
      </c>
      <c r="W91" s="6">
        <v>2025</v>
      </c>
      <c r="X91" s="6">
        <v>11</v>
      </c>
      <c r="Y91" s="6" t="s">
        <v>1315</v>
      </c>
      <c r="Z91" s="6">
        <v>2025</v>
      </c>
      <c r="AA91" s="6" t="s">
        <v>1316</v>
      </c>
      <c r="AB91" s="6" t="str">
        <f>VLOOKUP(S91,Mapping!A:C,3,FALSE)</f>
        <v>Primary</v>
      </c>
    </row>
    <row r="92" spans="1:28" x14ac:dyDescent="0.35">
      <c r="A92" s="6" t="s">
        <v>2484</v>
      </c>
      <c r="B92" s="6" t="s">
        <v>1303</v>
      </c>
      <c r="C92" s="6" t="s">
        <v>1304</v>
      </c>
      <c r="D92" s="6" t="s">
        <v>1305</v>
      </c>
      <c r="E92" s="6" t="s">
        <v>2485</v>
      </c>
      <c r="F92" s="6" t="s">
        <v>2488</v>
      </c>
      <c r="G92" s="6" t="s">
        <v>1308</v>
      </c>
      <c r="H92" s="6" t="s">
        <v>1632</v>
      </c>
      <c r="I92" s="6">
        <v>0</v>
      </c>
      <c r="J92" s="6">
        <v>1170.6300000000001</v>
      </c>
      <c r="K92" s="6">
        <v>1</v>
      </c>
      <c r="L92" s="6" t="s">
        <v>2336</v>
      </c>
      <c r="M92" s="6" t="e">
        <f>VLOOKUP(L92,'Nov Inv Recon'!H:H,1,FALSE)</f>
        <v>#N/A</v>
      </c>
      <c r="N92" s="6" t="e">
        <f>VLOOKUP(L92,VictoryHeitrich!D:D,1,FALSE)</f>
        <v>#N/A</v>
      </c>
      <c r="O92" s="6" t="s">
        <v>907</v>
      </c>
      <c r="P92" s="6" t="s">
        <v>1311</v>
      </c>
      <c r="Q92" s="6" t="s">
        <v>2496</v>
      </c>
      <c r="R92" s="6" t="s">
        <v>2496</v>
      </c>
      <c r="S92" s="6" t="s">
        <v>1870</v>
      </c>
      <c r="T92" s="6" t="s">
        <v>1871</v>
      </c>
      <c r="U92" s="6" t="s">
        <v>1313</v>
      </c>
      <c r="V92" s="6" t="s">
        <v>1314</v>
      </c>
      <c r="W92" s="6">
        <v>2025</v>
      </c>
      <c r="X92" s="6">
        <v>11</v>
      </c>
      <c r="Y92" s="6" t="s">
        <v>1315</v>
      </c>
      <c r="Z92" s="6">
        <v>2025</v>
      </c>
      <c r="AA92" s="6" t="s">
        <v>1316</v>
      </c>
      <c r="AB92" s="6" t="str">
        <f>VLOOKUP(S92,Mapping!A:C,3,FALSE)</f>
        <v>Primary</v>
      </c>
    </row>
    <row r="93" spans="1:28" x14ac:dyDescent="0.35">
      <c r="A93" s="6" t="s">
        <v>2484</v>
      </c>
      <c r="B93" s="6" t="s">
        <v>1303</v>
      </c>
      <c r="C93" s="6" t="s">
        <v>1304</v>
      </c>
      <c r="D93" s="6" t="s">
        <v>1305</v>
      </c>
      <c r="E93" s="6" t="s">
        <v>2485</v>
      </c>
      <c r="F93" s="6" t="s">
        <v>2488</v>
      </c>
      <c r="G93" s="6" t="s">
        <v>1308</v>
      </c>
      <c r="H93" s="6" t="s">
        <v>1742</v>
      </c>
      <c r="I93" s="6">
        <v>0</v>
      </c>
      <c r="J93" s="6">
        <v>999</v>
      </c>
      <c r="K93" s="6">
        <v>1</v>
      </c>
      <c r="L93" s="6" t="s">
        <v>2089</v>
      </c>
      <c r="M93" s="6" t="e">
        <f>VLOOKUP(L93,'Nov Inv Recon'!H:H,1,FALSE)</f>
        <v>#N/A</v>
      </c>
      <c r="N93" s="6" t="e">
        <f>VLOOKUP(L93,VictoryHeitrich!D:D,1,FALSE)</f>
        <v>#N/A</v>
      </c>
      <c r="O93" s="6" t="s">
        <v>736</v>
      </c>
      <c r="P93" s="6" t="s">
        <v>1311</v>
      </c>
      <c r="Q93" s="6" t="s">
        <v>2497</v>
      </c>
      <c r="R93" s="6" t="s">
        <v>2497</v>
      </c>
      <c r="S93" s="6" t="s">
        <v>1870</v>
      </c>
      <c r="T93" s="6" t="s">
        <v>1871</v>
      </c>
      <c r="U93" s="6" t="s">
        <v>1313</v>
      </c>
      <c r="V93" s="6" t="s">
        <v>1314</v>
      </c>
      <c r="W93" s="6">
        <v>2025</v>
      </c>
      <c r="X93" s="6">
        <v>11</v>
      </c>
      <c r="Y93" s="6" t="s">
        <v>1315</v>
      </c>
      <c r="Z93" s="6">
        <v>2025</v>
      </c>
      <c r="AA93" s="6" t="s">
        <v>1316</v>
      </c>
      <c r="AB93" s="6" t="str">
        <f>VLOOKUP(S93,Mapping!A:C,3,FALSE)</f>
        <v>Primary</v>
      </c>
    </row>
    <row r="94" spans="1:28" x14ac:dyDescent="0.35">
      <c r="A94" s="6" t="s">
        <v>2484</v>
      </c>
      <c r="B94" s="6" t="s">
        <v>1303</v>
      </c>
      <c r="C94" s="6" t="s">
        <v>1304</v>
      </c>
      <c r="D94" s="6" t="s">
        <v>1305</v>
      </c>
      <c r="E94" s="6" t="s">
        <v>2485</v>
      </c>
      <c r="F94" s="6" t="s">
        <v>2488</v>
      </c>
      <c r="G94" s="6" t="s">
        <v>1308</v>
      </c>
      <c r="H94" s="6" t="s">
        <v>1632</v>
      </c>
      <c r="I94" s="6">
        <v>0</v>
      </c>
      <c r="J94" s="6">
        <v>999</v>
      </c>
      <c r="K94" s="6">
        <v>1</v>
      </c>
      <c r="L94" s="6" t="s">
        <v>184</v>
      </c>
      <c r="M94" s="6" t="str">
        <f>VLOOKUP(L94,'Nov Inv Recon'!H:H,1,FALSE)</f>
        <v>01021828</v>
      </c>
      <c r="N94" s="6" t="e">
        <f>VLOOKUP(L94,VictoryHeitrich!D:D,1,FALSE)</f>
        <v>#N/A</v>
      </c>
      <c r="O94" s="6" t="s">
        <v>185</v>
      </c>
      <c r="P94" s="6" t="s">
        <v>1311</v>
      </c>
      <c r="Q94" s="6" t="s">
        <v>2498</v>
      </c>
      <c r="R94" s="6" t="s">
        <v>2498</v>
      </c>
      <c r="S94" s="6" t="s">
        <v>1870</v>
      </c>
      <c r="T94" s="6" t="s">
        <v>1871</v>
      </c>
      <c r="U94" s="6" t="s">
        <v>1313</v>
      </c>
      <c r="V94" s="6" t="s">
        <v>1314</v>
      </c>
      <c r="W94" s="6">
        <v>2025</v>
      </c>
      <c r="X94" s="6">
        <v>11</v>
      </c>
      <c r="Y94" s="6" t="s">
        <v>1315</v>
      </c>
      <c r="Z94" s="6">
        <v>2025</v>
      </c>
      <c r="AA94" s="6" t="s">
        <v>1316</v>
      </c>
      <c r="AB94" s="6" t="str">
        <f>VLOOKUP(S94,Mapping!A:C,3,FALSE)</f>
        <v>Primary</v>
      </c>
    </row>
    <row r="95" spans="1:28" x14ac:dyDescent="0.35">
      <c r="A95" s="6" t="s">
        <v>2484</v>
      </c>
      <c r="B95" s="6" t="s">
        <v>1303</v>
      </c>
      <c r="C95" s="6" t="s">
        <v>1304</v>
      </c>
      <c r="D95" s="6" t="s">
        <v>1305</v>
      </c>
      <c r="E95" s="6" t="s">
        <v>2485</v>
      </c>
      <c r="F95" s="6" t="s">
        <v>2488</v>
      </c>
      <c r="G95" s="6" t="s">
        <v>1308</v>
      </c>
      <c r="H95" s="6" t="s">
        <v>2407</v>
      </c>
      <c r="I95" s="6">
        <v>0</v>
      </c>
      <c r="J95" s="6">
        <v>999</v>
      </c>
      <c r="K95" s="6">
        <v>1</v>
      </c>
      <c r="L95" s="6" t="s">
        <v>2279</v>
      </c>
      <c r="M95" s="6" t="e">
        <f>VLOOKUP(L95,'Nov Inv Recon'!H:H,1,FALSE)</f>
        <v>#N/A</v>
      </c>
      <c r="N95" s="6" t="e">
        <f>VLOOKUP(L95,VictoryHeitrich!D:D,1,FALSE)</f>
        <v>#N/A</v>
      </c>
      <c r="O95" s="6" t="s">
        <v>430</v>
      </c>
      <c r="P95" s="6" t="s">
        <v>1311</v>
      </c>
      <c r="Q95" s="6" t="s">
        <v>2499</v>
      </c>
      <c r="R95" s="6" t="s">
        <v>2499</v>
      </c>
      <c r="S95" s="6" t="s">
        <v>1870</v>
      </c>
      <c r="T95" s="6" t="s">
        <v>1871</v>
      </c>
      <c r="U95" s="6" t="s">
        <v>1313</v>
      </c>
      <c r="V95" s="6" t="s">
        <v>1314</v>
      </c>
      <c r="W95" s="6">
        <v>2025</v>
      </c>
      <c r="X95" s="6">
        <v>11</v>
      </c>
      <c r="Y95" s="6" t="s">
        <v>1315</v>
      </c>
      <c r="Z95" s="6">
        <v>2025</v>
      </c>
      <c r="AA95" s="6" t="s">
        <v>1316</v>
      </c>
      <c r="AB95" s="6" t="str">
        <f>VLOOKUP(S95,Mapping!A:C,3,FALSE)</f>
        <v>Primary</v>
      </c>
    </row>
    <row r="96" spans="1:28" x14ac:dyDescent="0.35">
      <c r="A96" s="6" t="s">
        <v>2484</v>
      </c>
      <c r="B96" s="6" t="s">
        <v>1303</v>
      </c>
      <c r="C96" s="6" t="s">
        <v>1304</v>
      </c>
      <c r="D96" s="6" t="s">
        <v>1305</v>
      </c>
      <c r="E96" s="6" t="s">
        <v>2485</v>
      </c>
      <c r="F96" s="6" t="s">
        <v>2488</v>
      </c>
      <c r="G96" s="6" t="s">
        <v>1308</v>
      </c>
      <c r="H96" s="6" t="s">
        <v>1632</v>
      </c>
      <c r="I96" s="6">
        <v>0</v>
      </c>
      <c r="J96" s="6">
        <v>999</v>
      </c>
      <c r="K96" s="6">
        <v>1</v>
      </c>
      <c r="L96" s="6" t="s">
        <v>175</v>
      </c>
      <c r="M96" s="6" t="str">
        <f>VLOOKUP(L96,'Nov Inv Recon'!H:H,1,FALSE)</f>
        <v>01327379</v>
      </c>
      <c r="N96" s="6" t="e">
        <f>VLOOKUP(L96,VictoryHeitrich!D:D,1,FALSE)</f>
        <v>#N/A</v>
      </c>
      <c r="O96" s="6" t="s">
        <v>176</v>
      </c>
      <c r="P96" s="6" t="s">
        <v>1311</v>
      </c>
      <c r="Q96" s="6" t="s">
        <v>2500</v>
      </c>
      <c r="R96" s="6" t="s">
        <v>2500</v>
      </c>
      <c r="S96" s="6" t="s">
        <v>1870</v>
      </c>
      <c r="T96" s="6" t="s">
        <v>1871</v>
      </c>
      <c r="U96" s="6" t="s">
        <v>1313</v>
      </c>
      <c r="V96" s="6" t="s">
        <v>1314</v>
      </c>
      <c r="W96" s="6">
        <v>2025</v>
      </c>
      <c r="X96" s="6">
        <v>11</v>
      </c>
      <c r="Y96" s="6" t="s">
        <v>1315</v>
      </c>
      <c r="Z96" s="6">
        <v>2025</v>
      </c>
      <c r="AA96" s="6" t="s">
        <v>1316</v>
      </c>
      <c r="AB96" s="6" t="str">
        <f>VLOOKUP(S96,Mapping!A:C,3,FALSE)</f>
        <v>Primary</v>
      </c>
    </row>
    <row r="97" spans="1:28" x14ac:dyDescent="0.35">
      <c r="A97" s="6" t="s">
        <v>2484</v>
      </c>
      <c r="B97" s="6" t="s">
        <v>1303</v>
      </c>
      <c r="C97" s="6" t="s">
        <v>1304</v>
      </c>
      <c r="D97" s="6" t="s">
        <v>1305</v>
      </c>
      <c r="E97" s="6" t="s">
        <v>2485</v>
      </c>
      <c r="F97" s="6" t="s">
        <v>2488</v>
      </c>
      <c r="G97" s="6" t="s">
        <v>1308</v>
      </c>
      <c r="H97" s="6" t="s">
        <v>1632</v>
      </c>
      <c r="I97" s="6">
        <v>0</v>
      </c>
      <c r="J97" s="6">
        <v>999</v>
      </c>
      <c r="K97" s="6">
        <v>1</v>
      </c>
      <c r="L97" s="6" t="s">
        <v>572</v>
      </c>
      <c r="M97" s="6" t="str">
        <f>VLOOKUP(L97,'Nov Inv Recon'!H:H,1,FALSE)</f>
        <v>01021822</v>
      </c>
      <c r="N97" s="6" t="e">
        <f>VLOOKUP(L97,VictoryHeitrich!D:D,1,FALSE)</f>
        <v>#N/A</v>
      </c>
      <c r="O97" s="6" t="s">
        <v>2034</v>
      </c>
      <c r="P97" s="6" t="s">
        <v>1311</v>
      </c>
      <c r="Q97" s="6" t="s">
        <v>2501</v>
      </c>
      <c r="R97" s="6" t="s">
        <v>2501</v>
      </c>
      <c r="S97" s="6" t="s">
        <v>1870</v>
      </c>
      <c r="T97" s="6" t="s">
        <v>1871</v>
      </c>
      <c r="U97" s="6" t="s">
        <v>1313</v>
      </c>
      <c r="V97" s="6" t="s">
        <v>1314</v>
      </c>
      <c r="W97" s="6">
        <v>2025</v>
      </c>
      <c r="X97" s="6">
        <v>11</v>
      </c>
      <c r="Y97" s="6" t="s">
        <v>1315</v>
      </c>
      <c r="Z97" s="6">
        <v>2025</v>
      </c>
      <c r="AA97" s="6" t="s">
        <v>1316</v>
      </c>
      <c r="AB97" s="6" t="str">
        <f>VLOOKUP(S97,Mapping!A:C,3,FALSE)</f>
        <v>Primary</v>
      </c>
    </row>
    <row r="98" spans="1:28" x14ac:dyDescent="0.35">
      <c r="A98" s="6" t="s">
        <v>1302</v>
      </c>
      <c r="B98" s="6" t="s">
        <v>1303</v>
      </c>
      <c r="C98" s="6" t="s">
        <v>1304</v>
      </c>
      <c r="D98" s="6" t="s">
        <v>1305</v>
      </c>
      <c r="E98" s="6" t="s">
        <v>1306</v>
      </c>
      <c r="F98" s="6" t="s">
        <v>1307</v>
      </c>
      <c r="G98" s="6" t="s">
        <v>1308</v>
      </c>
      <c r="H98" s="6" t="s">
        <v>1632</v>
      </c>
      <c r="I98" s="6">
        <v>0</v>
      </c>
      <c r="J98" s="6">
        <v>1170.6300000000001</v>
      </c>
      <c r="K98" s="6">
        <v>1</v>
      </c>
      <c r="L98" s="6" t="s">
        <v>2336</v>
      </c>
      <c r="M98" s="6" t="e">
        <f>VLOOKUP(L98,'Nov Inv Recon'!H:H,1,FALSE)</f>
        <v>#N/A</v>
      </c>
      <c r="N98" s="6" t="e">
        <f>VLOOKUP(L98,VictoryHeitrich!D:D,1,FALSE)</f>
        <v>#N/A</v>
      </c>
      <c r="O98" s="6" t="s">
        <v>907</v>
      </c>
      <c r="P98" s="6" t="s">
        <v>1311</v>
      </c>
      <c r="Q98" s="6" t="s">
        <v>2502</v>
      </c>
      <c r="R98" s="6" t="s">
        <v>2502</v>
      </c>
      <c r="S98" s="6" t="s">
        <v>1798</v>
      </c>
      <c r="T98" s="6" t="s">
        <v>1799</v>
      </c>
      <c r="U98" s="6" t="s">
        <v>1313</v>
      </c>
      <c r="V98" s="6" t="s">
        <v>1314</v>
      </c>
      <c r="W98" s="6">
        <v>2025</v>
      </c>
      <c r="X98" s="6">
        <v>11</v>
      </c>
      <c r="Y98" s="6" t="s">
        <v>1315</v>
      </c>
      <c r="Z98" s="6">
        <v>2025</v>
      </c>
      <c r="AA98" s="6" t="s">
        <v>1316</v>
      </c>
      <c r="AB98" s="6" t="str">
        <f>VLOOKUP(S98,Mapping!A:C,3,FALSE)</f>
        <v>Secondary</v>
      </c>
    </row>
    <row r="99" spans="1:28" x14ac:dyDescent="0.35">
      <c r="A99" s="6" t="s">
        <v>1302</v>
      </c>
      <c r="B99" s="6" t="s">
        <v>1303</v>
      </c>
      <c r="C99" s="6" t="s">
        <v>1304</v>
      </c>
      <c r="D99" s="6" t="s">
        <v>1305</v>
      </c>
      <c r="E99" s="6" t="s">
        <v>1306</v>
      </c>
      <c r="F99" s="6" t="s">
        <v>1307</v>
      </c>
      <c r="G99" s="6" t="s">
        <v>1308</v>
      </c>
      <c r="H99" s="6" t="s">
        <v>1682</v>
      </c>
      <c r="I99" s="6">
        <v>0</v>
      </c>
      <c r="J99" s="6">
        <v>999</v>
      </c>
      <c r="K99" s="6">
        <v>1</v>
      </c>
      <c r="L99" s="6" t="s">
        <v>2320</v>
      </c>
      <c r="M99" s="6" t="e">
        <f>VLOOKUP(L99,'Nov Inv Recon'!H:H,1,FALSE)</f>
        <v>#N/A</v>
      </c>
      <c r="N99" s="6" t="e">
        <f>VLOOKUP(L99,VictoryHeitrich!D:D,1,FALSE)</f>
        <v>#N/A</v>
      </c>
      <c r="O99" s="6" t="s">
        <v>882</v>
      </c>
      <c r="P99" s="6" t="s">
        <v>1311</v>
      </c>
      <c r="Q99" s="6" t="s">
        <v>2503</v>
      </c>
      <c r="R99" s="6" t="s">
        <v>2503</v>
      </c>
      <c r="S99" s="6" t="s">
        <v>1798</v>
      </c>
      <c r="T99" s="6" t="s">
        <v>1799</v>
      </c>
      <c r="U99" s="6" t="s">
        <v>1313</v>
      </c>
      <c r="V99" s="6" t="s">
        <v>1314</v>
      </c>
      <c r="W99" s="6">
        <v>2025</v>
      </c>
      <c r="X99" s="6">
        <v>11</v>
      </c>
      <c r="Y99" s="6" t="s">
        <v>1315</v>
      </c>
      <c r="Z99" s="6">
        <v>2025</v>
      </c>
      <c r="AA99" s="6" t="s">
        <v>1316</v>
      </c>
      <c r="AB99" s="6" t="str">
        <f>VLOOKUP(S99,Mapping!A:C,3,FALSE)</f>
        <v>Secondary</v>
      </c>
    </row>
    <row r="100" spans="1:28" x14ac:dyDescent="0.35">
      <c r="A100" s="6" t="s">
        <v>1302</v>
      </c>
      <c r="B100" s="6" t="s">
        <v>1303</v>
      </c>
      <c r="C100" s="6" t="s">
        <v>1304</v>
      </c>
      <c r="D100" s="6" t="s">
        <v>1305</v>
      </c>
      <c r="E100" s="6" t="s">
        <v>1306</v>
      </c>
      <c r="F100" s="6" t="s">
        <v>1307</v>
      </c>
      <c r="G100" s="6" t="s">
        <v>1308</v>
      </c>
      <c r="H100" s="6" t="s">
        <v>1682</v>
      </c>
      <c r="I100" s="6">
        <v>0</v>
      </c>
      <c r="J100" s="6">
        <v>999</v>
      </c>
      <c r="K100" s="6">
        <v>1</v>
      </c>
      <c r="L100" s="6" t="s">
        <v>2178</v>
      </c>
      <c r="M100" s="6" t="e">
        <f>VLOOKUP(L100,'Nov Inv Recon'!H:H,1,FALSE)</f>
        <v>#N/A</v>
      </c>
      <c r="N100" s="6" t="e">
        <f>VLOOKUP(L100,VictoryHeitrich!D:D,1,FALSE)</f>
        <v>#N/A</v>
      </c>
      <c r="O100" s="6" t="s">
        <v>885</v>
      </c>
      <c r="P100" s="6" t="s">
        <v>1311</v>
      </c>
      <c r="Q100" s="6" t="s">
        <v>2504</v>
      </c>
      <c r="R100" s="6" t="s">
        <v>2504</v>
      </c>
      <c r="S100" s="6" t="s">
        <v>1798</v>
      </c>
      <c r="T100" s="6" t="s">
        <v>1799</v>
      </c>
      <c r="U100" s="6" t="s">
        <v>1313</v>
      </c>
      <c r="V100" s="6" t="s">
        <v>1314</v>
      </c>
      <c r="W100" s="6">
        <v>2025</v>
      </c>
      <c r="X100" s="6">
        <v>11</v>
      </c>
      <c r="Y100" s="6" t="s">
        <v>1315</v>
      </c>
      <c r="Z100" s="6">
        <v>2025</v>
      </c>
      <c r="AA100" s="6" t="s">
        <v>1316</v>
      </c>
      <c r="AB100" s="6" t="str">
        <f>VLOOKUP(S100,Mapping!A:C,3,FALSE)</f>
        <v>Secondary</v>
      </c>
    </row>
    <row r="101" spans="1:28" x14ac:dyDescent="0.35">
      <c r="A101" s="6" t="s">
        <v>1302</v>
      </c>
      <c r="B101" s="6" t="s">
        <v>1303</v>
      </c>
      <c r="C101" s="6" t="s">
        <v>1304</v>
      </c>
      <c r="D101" s="6" t="s">
        <v>1305</v>
      </c>
      <c r="E101" s="6" t="s">
        <v>1306</v>
      </c>
      <c r="F101" s="6" t="s">
        <v>1307</v>
      </c>
      <c r="G101" s="6" t="s">
        <v>1308</v>
      </c>
      <c r="H101" s="6" t="s">
        <v>2505</v>
      </c>
      <c r="I101" s="6">
        <v>0</v>
      </c>
      <c r="J101" s="6">
        <v>999</v>
      </c>
      <c r="K101" s="6">
        <v>1</v>
      </c>
      <c r="L101" s="6" t="s">
        <v>2072</v>
      </c>
      <c r="M101" s="6" t="e">
        <f>VLOOKUP(L101,'Nov Inv Recon'!H:H,1,FALSE)</f>
        <v>#N/A</v>
      </c>
      <c r="N101" s="6" t="e">
        <f>VLOOKUP(L101,VictoryHeitrich!D:D,1,FALSE)</f>
        <v>#N/A</v>
      </c>
      <c r="O101" s="6" t="s">
        <v>938</v>
      </c>
      <c r="P101" s="6" t="s">
        <v>1311</v>
      </c>
      <c r="Q101" s="6" t="s">
        <v>2506</v>
      </c>
      <c r="R101" s="6" t="s">
        <v>2506</v>
      </c>
      <c r="S101" s="6" t="s">
        <v>1798</v>
      </c>
      <c r="T101" s="6" t="s">
        <v>1799</v>
      </c>
      <c r="U101" s="6" t="s">
        <v>1313</v>
      </c>
      <c r="V101" s="6" t="s">
        <v>1314</v>
      </c>
      <c r="W101" s="6">
        <v>2025</v>
      </c>
      <c r="X101" s="6">
        <v>11</v>
      </c>
      <c r="Y101" s="6" t="s">
        <v>1315</v>
      </c>
      <c r="Z101" s="6">
        <v>2025</v>
      </c>
      <c r="AA101" s="6" t="s">
        <v>1316</v>
      </c>
      <c r="AB101" s="6" t="str">
        <f>VLOOKUP(S101,Mapping!A:C,3,FALSE)</f>
        <v>Secondary</v>
      </c>
    </row>
    <row r="102" spans="1:28" x14ac:dyDescent="0.35">
      <c r="A102" s="6" t="s">
        <v>1302</v>
      </c>
      <c r="B102" s="6" t="s">
        <v>1303</v>
      </c>
      <c r="C102" s="6" t="s">
        <v>1304</v>
      </c>
      <c r="D102" s="6" t="s">
        <v>1305</v>
      </c>
      <c r="E102" s="6" t="s">
        <v>1306</v>
      </c>
      <c r="F102" s="6" t="s">
        <v>1307</v>
      </c>
      <c r="G102" s="6" t="s">
        <v>1308</v>
      </c>
      <c r="H102" s="6" t="s">
        <v>1765</v>
      </c>
      <c r="I102" s="6">
        <v>0</v>
      </c>
      <c r="J102" s="6">
        <v>995</v>
      </c>
      <c r="K102" s="6">
        <v>1</v>
      </c>
      <c r="L102" s="6" t="s">
        <v>1505</v>
      </c>
      <c r="M102" s="6" t="e">
        <f>VLOOKUP(L102,'Nov Inv Recon'!H:H,1,FALSE)</f>
        <v>#N/A</v>
      </c>
      <c r="N102" s="6" t="e">
        <f>VLOOKUP(L102,VictoryHeitrich!D:D,1,FALSE)</f>
        <v>#N/A</v>
      </c>
      <c r="O102" s="6" t="s">
        <v>1506</v>
      </c>
      <c r="P102" s="6" t="s">
        <v>1311</v>
      </c>
      <c r="Q102" s="6" t="s">
        <v>2507</v>
      </c>
      <c r="R102" s="6" t="s">
        <v>2507</v>
      </c>
      <c r="S102" s="6" t="s">
        <v>1507</v>
      </c>
      <c r="T102" s="6" t="s">
        <v>1508</v>
      </c>
      <c r="U102" s="6" t="s">
        <v>1313</v>
      </c>
      <c r="V102" s="6" t="s">
        <v>1314</v>
      </c>
      <c r="W102" s="6">
        <v>2025</v>
      </c>
      <c r="X102" s="6">
        <v>11</v>
      </c>
      <c r="Y102" s="6" t="s">
        <v>1315</v>
      </c>
      <c r="Z102" s="6">
        <v>2025</v>
      </c>
      <c r="AA102" s="6" t="s">
        <v>1316</v>
      </c>
      <c r="AB102" s="6" t="str">
        <f>VLOOKUP(S102,Mapping!A:C,3,FALSE)</f>
        <v>Primary</v>
      </c>
    </row>
    <row r="103" spans="1:28" x14ac:dyDescent="0.35">
      <c r="A103" s="6" t="s">
        <v>1302</v>
      </c>
      <c r="B103" s="6" t="s">
        <v>1303</v>
      </c>
      <c r="C103" s="6" t="s">
        <v>1304</v>
      </c>
      <c r="D103" s="6" t="s">
        <v>1305</v>
      </c>
      <c r="E103" s="6" t="s">
        <v>1306</v>
      </c>
      <c r="F103" s="6" t="s">
        <v>1307</v>
      </c>
      <c r="G103" s="6" t="s">
        <v>1308</v>
      </c>
      <c r="H103" s="6" t="s">
        <v>1937</v>
      </c>
      <c r="I103" s="6">
        <v>0</v>
      </c>
      <c r="J103" s="6">
        <v>10</v>
      </c>
      <c r="K103" s="6">
        <v>1</v>
      </c>
      <c r="L103" s="6" t="s">
        <v>2113</v>
      </c>
      <c r="M103" s="6" t="e">
        <f>VLOOKUP(L103,'Nov Inv Recon'!H:H,1,FALSE)</f>
        <v>#N/A</v>
      </c>
      <c r="N103" s="6" t="e">
        <f>VLOOKUP(L103,VictoryHeitrich!D:D,1,FALSE)</f>
        <v>#N/A</v>
      </c>
      <c r="O103" s="6" t="s">
        <v>950</v>
      </c>
      <c r="P103" s="6" t="s">
        <v>1311</v>
      </c>
      <c r="Q103" s="6" t="s">
        <v>2508</v>
      </c>
      <c r="R103" s="6" t="s">
        <v>2508</v>
      </c>
      <c r="S103" s="6" t="s">
        <v>1403</v>
      </c>
      <c r="T103" s="6" t="s">
        <v>1404</v>
      </c>
      <c r="U103" s="6" t="s">
        <v>1313</v>
      </c>
      <c r="V103" s="6" t="s">
        <v>1314</v>
      </c>
      <c r="W103" s="6">
        <v>2025</v>
      </c>
      <c r="X103" s="6">
        <v>11</v>
      </c>
      <c r="Y103" s="6" t="s">
        <v>1315</v>
      </c>
      <c r="Z103" s="6">
        <v>2025</v>
      </c>
      <c r="AA103" s="6" t="s">
        <v>1316</v>
      </c>
      <c r="AB103" s="6" t="str">
        <f>VLOOKUP(S103,Mapping!A:C,3,FALSE)</f>
        <v>Secondary</v>
      </c>
    </row>
    <row r="104" spans="1:28" x14ac:dyDescent="0.35">
      <c r="A104" s="6" t="s">
        <v>1302</v>
      </c>
      <c r="B104" s="6" t="s">
        <v>1303</v>
      </c>
      <c r="C104" s="6" t="s">
        <v>1304</v>
      </c>
      <c r="D104" s="6" t="s">
        <v>1305</v>
      </c>
      <c r="E104" s="6" t="s">
        <v>1306</v>
      </c>
      <c r="F104" s="6" t="s">
        <v>1307</v>
      </c>
      <c r="G104" s="6" t="s">
        <v>1308</v>
      </c>
      <c r="H104" s="6" t="s">
        <v>1657</v>
      </c>
      <c r="I104" s="6">
        <v>0</v>
      </c>
      <c r="J104" s="6">
        <v>0</v>
      </c>
      <c r="K104" s="6">
        <v>2</v>
      </c>
      <c r="L104" s="6" t="s">
        <v>332</v>
      </c>
      <c r="M104" s="6" t="str">
        <f>VLOOKUP(L104,'Nov Inv Recon'!H:H,1,FALSE)</f>
        <v>08300413</v>
      </c>
      <c r="N104" s="6" t="e">
        <f>VLOOKUP(L104,VictoryHeitrich!D:D,1,FALSE)</f>
        <v>#N/A</v>
      </c>
      <c r="O104" s="6" t="s">
        <v>2041</v>
      </c>
      <c r="P104" s="6" t="s">
        <v>1311</v>
      </c>
      <c r="Q104" s="6" t="s">
        <v>2509</v>
      </c>
      <c r="R104" s="6" t="s">
        <v>2510</v>
      </c>
      <c r="S104" s="6" t="s">
        <v>1403</v>
      </c>
      <c r="T104" s="6" t="s">
        <v>1404</v>
      </c>
      <c r="U104" s="6" t="s">
        <v>1313</v>
      </c>
      <c r="V104" s="6" t="s">
        <v>1314</v>
      </c>
      <c r="W104" s="6">
        <v>2025</v>
      </c>
      <c r="X104" s="6">
        <v>11</v>
      </c>
      <c r="Y104" s="6" t="s">
        <v>1315</v>
      </c>
      <c r="Z104" s="6">
        <v>2025</v>
      </c>
      <c r="AA104" s="6" t="s">
        <v>1316</v>
      </c>
      <c r="AB104" s="6" t="str">
        <f>VLOOKUP(S104,Mapping!A:C,3,FALSE)</f>
        <v>Secondary</v>
      </c>
    </row>
    <row r="105" spans="1:28" x14ac:dyDescent="0.35">
      <c r="A105" s="6" t="s">
        <v>1302</v>
      </c>
      <c r="B105" s="6" t="s">
        <v>1303</v>
      </c>
      <c r="C105" s="6" t="s">
        <v>1304</v>
      </c>
      <c r="D105" s="6" t="s">
        <v>1305</v>
      </c>
      <c r="E105" s="6" t="s">
        <v>1306</v>
      </c>
      <c r="F105" s="6" t="s">
        <v>1307</v>
      </c>
      <c r="G105" s="6" t="s">
        <v>1308</v>
      </c>
      <c r="H105" s="6" t="s">
        <v>1765</v>
      </c>
      <c r="I105" s="6">
        <v>0</v>
      </c>
      <c r="J105" s="6">
        <v>10</v>
      </c>
      <c r="K105" s="6">
        <v>1</v>
      </c>
      <c r="L105" s="6" t="s">
        <v>2056</v>
      </c>
      <c r="M105" s="6" t="e">
        <f>VLOOKUP(L105,'Nov Inv Recon'!H:H,1,FALSE)</f>
        <v>#N/A</v>
      </c>
      <c r="N105" s="6" t="e">
        <f>VLOOKUP(L105,VictoryHeitrich!D:D,1,FALSE)</f>
        <v>#N/A</v>
      </c>
      <c r="O105" s="6" t="s">
        <v>826</v>
      </c>
      <c r="P105" s="6" t="s">
        <v>1311</v>
      </c>
      <c r="Q105" s="6" t="s">
        <v>2511</v>
      </c>
      <c r="R105" s="6" t="s">
        <v>2511</v>
      </c>
      <c r="S105" s="6" t="s">
        <v>1403</v>
      </c>
      <c r="T105" s="6" t="s">
        <v>1404</v>
      </c>
      <c r="U105" s="6" t="s">
        <v>1313</v>
      </c>
      <c r="V105" s="6" t="s">
        <v>1314</v>
      </c>
      <c r="W105" s="6">
        <v>2025</v>
      </c>
      <c r="X105" s="6">
        <v>11</v>
      </c>
      <c r="Y105" s="6" t="s">
        <v>1315</v>
      </c>
      <c r="Z105" s="6">
        <v>2025</v>
      </c>
      <c r="AA105" s="6" t="s">
        <v>1316</v>
      </c>
      <c r="AB105" s="6" t="str">
        <f>VLOOKUP(S105,Mapping!A:C,3,FALSE)</f>
        <v>Secondary</v>
      </c>
    </row>
    <row r="106" spans="1:28" x14ac:dyDescent="0.35">
      <c r="A106" s="6" t="s">
        <v>1302</v>
      </c>
      <c r="B106" s="6" t="s">
        <v>1303</v>
      </c>
      <c r="C106" s="6" t="s">
        <v>1304</v>
      </c>
      <c r="D106" s="6" t="s">
        <v>1305</v>
      </c>
      <c r="E106" s="6" t="s">
        <v>1306</v>
      </c>
      <c r="F106" s="6" t="s">
        <v>1307</v>
      </c>
      <c r="G106" s="6" t="s">
        <v>1308</v>
      </c>
      <c r="H106" s="6" t="s">
        <v>1765</v>
      </c>
      <c r="I106" s="6">
        <v>0</v>
      </c>
      <c r="J106" s="6">
        <v>10</v>
      </c>
      <c r="K106" s="6">
        <v>1</v>
      </c>
      <c r="L106" s="6" t="s">
        <v>2055</v>
      </c>
      <c r="M106" s="6" t="e">
        <f>VLOOKUP(L106,'Nov Inv Recon'!H:H,1,FALSE)</f>
        <v>#N/A</v>
      </c>
      <c r="N106" s="6" t="e">
        <f>VLOOKUP(L106,VictoryHeitrich!D:D,1,FALSE)</f>
        <v>#N/A</v>
      </c>
      <c r="O106" s="6" t="s">
        <v>822</v>
      </c>
      <c r="P106" s="6" t="s">
        <v>1311</v>
      </c>
      <c r="Q106" s="6" t="s">
        <v>2512</v>
      </c>
      <c r="R106" s="6" t="s">
        <v>2512</v>
      </c>
      <c r="S106" s="6" t="s">
        <v>1403</v>
      </c>
      <c r="T106" s="6" t="s">
        <v>1404</v>
      </c>
      <c r="U106" s="6" t="s">
        <v>1313</v>
      </c>
      <c r="V106" s="6" t="s">
        <v>1314</v>
      </c>
      <c r="W106" s="6">
        <v>2025</v>
      </c>
      <c r="X106" s="6">
        <v>11</v>
      </c>
      <c r="Y106" s="6" t="s">
        <v>1315</v>
      </c>
      <c r="Z106" s="6">
        <v>2025</v>
      </c>
      <c r="AA106" s="6" t="s">
        <v>1316</v>
      </c>
      <c r="AB106" s="6" t="str">
        <f>VLOOKUP(S106,Mapping!A:C,3,FALSE)</f>
        <v>Secondary</v>
      </c>
    </row>
    <row r="107" spans="1:28" x14ac:dyDescent="0.35">
      <c r="A107" s="6" t="s">
        <v>1302</v>
      </c>
      <c r="B107" s="6" t="s">
        <v>1303</v>
      </c>
      <c r="C107" s="6" t="s">
        <v>1304</v>
      </c>
      <c r="D107" s="6" t="s">
        <v>1305</v>
      </c>
      <c r="E107" s="6" t="s">
        <v>1306</v>
      </c>
      <c r="F107" s="6" t="s">
        <v>1307</v>
      </c>
      <c r="G107" s="6" t="s">
        <v>1308</v>
      </c>
      <c r="H107" s="6" t="s">
        <v>1682</v>
      </c>
      <c r="I107" s="6">
        <v>0</v>
      </c>
      <c r="J107" s="6">
        <v>10</v>
      </c>
      <c r="K107" s="6">
        <v>1</v>
      </c>
      <c r="L107" s="6" t="s">
        <v>2326</v>
      </c>
      <c r="M107" s="6" t="e">
        <f>VLOOKUP(L107,'Nov Inv Recon'!H:H,1,FALSE)</f>
        <v>#N/A</v>
      </c>
      <c r="N107" s="6" t="e">
        <f>VLOOKUP(L107,VictoryHeitrich!D:D,1,FALSE)</f>
        <v>#N/A</v>
      </c>
      <c r="O107" s="6" t="s">
        <v>663</v>
      </c>
      <c r="P107" s="6" t="s">
        <v>1311</v>
      </c>
      <c r="Q107" s="6" t="s">
        <v>2513</v>
      </c>
      <c r="R107" s="6" t="s">
        <v>2513</v>
      </c>
      <c r="S107" s="6" t="s">
        <v>1403</v>
      </c>
      <c r="T107" s="6" t="s">
        <v>1404</v>
      </c>
      <c r="U107" s="6" t="s">
        <v>1313</v>
      </c>
      <c r="V107" s="6" t="s">
        <v>1314</v>
      </c>
      <c r="W107" s="6">
        <v>2025</v>
      </c>
      <c r="X107" s="6">
        <v>11</v>
      </c>
      <c r="Y107" s="6" t="s">
        <v>1315</v>
      </c>
      <c r="Z107" s="6">
        <v>2025</v>
      </c>
      <c r="AA107" s="6" t="s">
        <v>1316</v>
      </c>
      <c r="AB107" s="6" t="str">
        <f>VLOOKUP(S107,Mapping!A:C,3,FALSE)</f>
        <v>Secondary</v>
      </c>
    </row>
    <row r="108" spans="1:28" x14ac:dyDescent="0.35">
      <c r="A108" s="6" t="s">
        <v>1302</v>
      </c>
      <c r="B108" s="6" t="s">
        <v>1303</v>
      </c>
      <c r="C108" s="6" t="s">
        <v>1304</v>
      </c>
      <c r="D108" s="6" t="s">
        <v>1305</v>
      </c>
      <c r="E108" s="6" t="s">
        <v>1306</v>
      </c>
      <c r="F108" s="6" t="s">
        <v>1307</v>
      </c>
      <c r="G108" s="6" t="s">
        <v>1308</v>
      </c>
      <c r="H108" s="6" t="s">
        <v>1937</v>
      </c>
      <c r="I108" s="6">
        <v>0</v>
      </c>
      <c r="J108" s="6">
        <v>10</v>
      </c>
      <c r="K108" s="6">
        <v>1</v>
      </c>
      <c r="L108" s="6" t="s">
        <v>2117</v>
      </c>
      <c r="M108" s="6" t="e">
        <f>VLOOKUP(L108,'Nov Inv Recon'!H:H,1,FALSE)</f>
        <v>#N/A</v>
      </c>
      <c r="N108" s="6" t="e">
        <f>VLOOKUP(L108,VictoryHeitrich!D:D,1,FALSE)</f>
        <v>#N/A</v>
      </c>
      <c r="O108" s="6" t="s">
        <v>659</v>
      </c>
      <c r="P108" s="6" t="s">
        <v>1311</v>
      </c>
      <c r="Q108" s="6" t="s">
        <v>2514</v>
      </c>
      <c r="R108" s="6" t="s">
        <v>2514</v>
      </c>
      <c r="S108" s="6" t="s">
        <v>1403</v>
      </c>
      <c r="T108" s="6" t="s">
        <v>1404</v>
      </c>
      <c r="U108" s="6" t="s">
        <v>1313</v>
      </c>
      <c r="V108" s="6" t="s">
        <v>1314</v>
      </c>
      <c r="W108" s="6">
        <v>2025</v>
      </c>
      <c r="X108" s="6">
        <v>11</v>
      </c>
      <c r="Y108" s="6" t="s">
        <v>1315</v>
      </c>
      <c r="Z108" s="6">
        <v>2025</v>
      </c>
      <c r="AA108" s="6" t="s">
        <v>1316</v>
      </c>
      <c r="AB108" s="6" t="str">
        <f>VLOOKUP(S108,Mapping!A:C,3,FALSE)</f>
        <v>Secondary</v>
      </c>
    </row>
    <row r="109" spans="1:28" x14ac:dyDescent="0.35">
      <c r="A109" s="6" t="s">
        <v>1302</v>
      </c>
      <c r="B109" s="6" t="s">
        <v>1303</v>
      </c>
      <c r="C109" s="6" t="s">
        <v>1304</v>
      </c>
      <c r="D109" s="6" t="s">
        <v>1305</v>
      </c>
      <c r="E109" s="6" t="s">
        <v>1306</v>
      </c>
      <c r="F109" s="6" t="s">
        <v>1307</v>
      </c>
      <c r="G109" s="6" t="s">
        <v>1308</v>
      </c>
      <c r="H109" s="6" t="s">
        <v>1937</v>
      </c>
      <c r="I109" s="6">
        <v>0</v>
      </c>
      <c r="J109" s="6">
        <v>10</v>
      </c>
      <c r="K109" s="6">
        <v>1</v>
      </c>
      <c r="L109" s="6" t="s">
        <v>2112</v>
      </c>
      <c r="M109" s="6" t="e">
        <f>VLOOKUP(L109,'Nov Inv Recon'!H:H,1,FALSE)</f>
        <v>#N/A</v>
      </c>
      <c r="N109" s="6" t="e">
        <f>VLOOKUP(L109,VictoryHeitrich!D:D,1,FALSE)</f>
        <v>#N/A</v>
      </c>
      <c r="O109" s="6" t="s">
        <v>657</v>
      </c>
      <c r="P109" s="6" t="s">
        <v>1311</v>
      </c>
      <c r="Q109" s="6" t="s">
        <v>2515</v>
      </c>
      <c r="R109" s="6" t="s">
        <v>2515</v>
      </c>
      <c r="S109" s="6" t="s">
        <v>1403</v>
      </c>
      <c r="T109" s="6" t="s">
        <v>1404</v>
      </c>
      <c r="U109" s="6" t="s">
        <v>1313</v>
      </c>
      <c r="V109" s="6" t="s">
        <v>1314</v>
      </c>
      <c r="W109" s="6">
        <v>2025</v>
      </c>
      <c r="X109" s="6">
        <v>11</v>
      </c>
      <c r="Y109" s="6" t="s">
        <v>1315</v>
      </c>
      <c r="Z109" s="6">
        <v>2025</v>
      </c>
      <c r="AA109" s="6" t="s">
        <v>1316</v>
      </c>
      <c r="AB109" s="6" t="str">
        <f>VLOOKUP(S109,Mapping!A:C,3,FALSE)</f>
        <v>Secondary</v>
      </c>
    </row>
    <row r="110" spans="1:28" x14ac:dyDescent="0.35">
      <c r="A110" s="6" t="s">
        <v>1302</v>
      </c>
      <c r="B110" s="6" t="s">
        <v>1303</v>
      </c>
      <c r="C110" s="6" t="s">
        <v>1304</v>
      </c>
      <c r="D110" s="6" t="s">
        <v>1305</v>
      </c>
      <c r="E110" s="6" t="s">
        <v>1306</v>
      </c>
      <c r="F110" s="6" t="s">
        <v>1307</v>
      </c>
      <c r="G110" s="6" t="s">
        <v>1308</v>
      </c>
      <c r="H110" s="6" t="s">
        <v>1842</v>
      </c>
      <c r="I110" s="6">
        <v>0</v>
      </c>
      <c r="J110" s="6">
        <v>10</v>
      </c>
      <c r="K110" s="6">
        <v>1</v>
      </c>
      <c r="L110" s="6" t="s">
        <v>2339</v>
      </c>
      <c r="M110" s="6" t="e">
        <f>VLOOKUP(L110,'Nov Inv Recon'!H:H,1,FALSE)</f>
        <v>#N/A</v>
      </c>
      <c r="N110" s="6" t="e">
        <f>VLOOKUP(L110,VictoryHeitrich!D:D,1,FALSE)</f>
        <v>#N/A</v>
      </c>
      <c r="O110" s="6" t="s">
        <v>113</v>
      </c>
      <c r="P110" s="6" t="s">
        <v>1311</v>
      </c>
      <c r="Q110" s="6" t="s">
        <v>2516</v>
      </c>
      <c r="R110" s="6" t="s">
        <v>2516</v>
      </c>
      <c r="S110" s="6" t="s">
        <v>1403</v>
      </c>
      <c r="T110" s="6" t="s">
        <v>1404</v>
      </c>
      <c r="U110" s="6" t="s">
        <v>1313</v>
      </c>
      <c r="V110" s="6" t="s">
        <v>1314</v>
      </c>
      <c r="W110" s="6">
        <v>2025</v>
      </c>
      <c r="X110" s="6">
        <v>11</v>
      </c>
      <c r="Y110" s="6" t="s">
        <v>1315</v>
      </c>
      <c r="Z110" s="6">
        <v>2025</v>
      </c>
      <c r="AA110" s="6" t="s">
        <v>1316</v>
      </c>
      <c r="AB110" s="6" t="str">
        <f>VLOOKUP(S110,Mapping!A:C,3,FALSE)</f>
        <v>Secondary</v>
      </c>
    </row>
    <row r="111" spans="1:28" x14ac:dyDescent="0.35">
      <c r="A111" s="6" t="s">
        <v>1302</v>
      </c>
      <c r="B111" s="6" t="s">
        <v>1303</v>
      </c>
      <c r="C111" s="6" t="s">
        <v>1304</v>
      </c>
      <c r="D111" s="6" t="s">
        <v>1305</v>
      </c>
      <c r="E111" s="6" t="s">
        <v>1306</v>
      </c>
      <c r="F111" s="6" t="s">
        <v>1307</v>
      </c>
      <c r="G111" s="6" t="s">
        <v>1308</v>
      </c>
      <c r="H111" s="6" t="s">
        <v>1657</v>
      </c>
      <c r="I111" s="6">
        <v>0</v>
      </c>
      <c r="J111" s="6">
        <v>0.65</v>
      </c>
      <c r="K111" s="6">
        <v>2</v>
      </c>
      <c r="L111" s="6" t="s">
        <v>332</v>
      </c>
      <c r="M111" s="6" t="str">
        <f>VLOOKUP(L111,'Nov Inv Recon'!H:H,1,FALSE)</f>
        <v>08300413</v>
      </c>
      <c r="N111" s="6" t="e">
        <f>VLOOKUP(L111,VictoryHeitrich!D:D,1,FALSE)</f>
        <v>#N/A</v>
      </c>
      <c r="O111" s="6" t="s">
        <v>2041</v>
      </c>
      <c r="P111" s="6" t="s">
        <v>1311</v>
      </c>
      <c r="Q111" s="6" t="s">
        <v>2510</v>
      </c>
      <c r="R111" s="6" t="s">
        <v>2510</v>
      </c>
      <c r="S111" s="6" t="s">
        <v>1403</v>
      </c>
      <c r="T111" s="6" t="s">
        <v>1404</v>
      </c>
      <c r="U111" s="6" t="s">
        <v>1313</v>
      </c>
      <c r="V111" s="6" t="s">
        <v>1314</v>
      </c>
      <c r="W111" s="6">
        <v>2025</v>
      </c>
      <c r="X111" s="6">
        <v>11</v>
      </c>
      <c r="Y111" s="6" t="s">
        <v>1315</v>
      </c>
      <c r="Z111" s="6">
        <v>2025</v>
      </c>
      <c r="AA111" s="6" t="s">
        <v>1316</v>
      </c>
      <c r="AB111" s="6" t="str">
        <f>VLOOKUP(S111,Mapping!A:C,3,FALSE)</f>
        <v>Secondary</v>
      </c>
    </row>
    <row r="112" spans="1:28" x14ac:dyDescent="0.35">
      <c r="A112" s="6" t="s">
        <v>1302</v>
      </c>
      <c r="B112" s="6" t="s">
        <v>1303</v>
      </c>
      <c r="C112" s="6" t="s">
        <v>1304</v>
      </c>
      <c r="D112" s="6" t="s">
        <v>1305</v>
      </c>
      <c r="E112" s="6" t="s">
        <v>1306</v>
      </c>
      <c r="F112" s="6" t="s">
        <v>1307</v>
      </c>
      <c r="G112" s="6" t="s">
        <v>1308</v>
      </c>
      <c r="H112" s="6" t="s">
        <v>1937</v>
      </c>
      <c r="I112" s="6">
        <v>0</v>
      </c>
      <c r="J112" s="6">
        <v>10</v>
      </c>
      <c r="K112" s="6">
        <v>1</v>
      </c>
      <c r="L112" s="6" t="s">
        <v>2118</v>
      </c>
      <c r="M112" s="6" t="e">
        <f>VLOOKUP(L112,'Nov Inv Recon'!H:H,1,FALSE)</f>
        <v>#N/A</v>
      </c>
      <c r="N112" s="6" t="e">
        <f>VLOOKUP(L112,VictoryHeitrich!D:D,1,FALSE)</f>
        <v>#N/A</v>
      </c>
      <c r="O112" s="6" t="s">
        <v>456</v>
      </c>
      <c r="P112" s="6" t="s">
        <v>1311</v>
      </c>
      <c r="Q112" s="6" t="s">
        <v>2517</v>
      </c>
      <c r="R112" s="6" t="s">
        <v>2517</v>
      </c>
      <c r="S112" s="6" t="s">
        <v>1403</v>
      </c>
      <c r="T112" s="6" t="s">
        <v>1404</v>
      </c>
      <c r="U112" s="6" t="s">
        <v>1313</v>
      </c>
      <c r="V112" s="6" t="s">
        <v>1314</v>
      </c>
      <c r="W112" s="6">
        <v>2025</v>
      </c>
      <c r="X112" s="6">
        <v>11</v>
      </c>
      <c r="Y112" s="6" t="s">
        <v>1315</v>
      </c>
      <c r="Z112" s="6">
        <v>2025</v>
      </c>
      <c r="AA112" s="6" t="s">
        <v>1316</v>
      </c>
      <c r="AB112" s="6" t="str">
        <f>VLOOKUP(S112,Mapping!A:C,3,FALSE)</f>
        <v>Secondary</v>
      </c>
    </row>
    <row r="113" spans="1:28" x14ac:dyDescent="0.35">
      <c r="A113" s="6" t="s">
        <v>1302</v>
      </c>
      <c r="B113" s="6" t="s">
        <v>1303</v>
      </c>
      <c r="C113" s="6" t="s">
        <v>1304</v>
      </c>
      <c r="D113" s="6" t="s">
        <v>1305</v>
      </c>
      <c r="E113" s="6" t="s">
        <v>1306</v>
      </c>
      <c r="F113" s="6" t="s">
        <v>1307</v>
      </c>
      <c r="G113" s="6" t="s">
        <v>1308</v>
      </c>
      <c r="H113" s="6" t="s">
        <v>1937</v>
      </c>
      <c r="I113" s="6">
        <v>0</v>
      </c>
      <c r="J113" s="6">
        <v>10</v>
      </c>
      <c r="K113" s="6">
        <v>1</v>
      </c>
      <c r="L113" s="6" t="s">
        <v>2115</v>
      </c>
      <c r="M113" s="6" t="e">
        <f>VLOOKUP(L113,'Nov Inv Recon'!H:H,1,FALSE)</f>
        <v>#N/A</v>
      </c>
      <c r="N113" s="6" t="e">
        <f>VLOOKUP(L113,VictoryHeitrich!D:D,1,FALSE)</f>
        <v>#N/A</v>
      </c>
      <c r="O113" s="6" t="s">
        <v>627</v>
      </c>
      <c r="P113" s="6" t="s">
        <v>1311</v>
      </c>
      <c r="Q113" s="6" t="s">
        <v>2518</v>
      </c>
      <c r="R113" s="6" t="s">
        <v>2518</v>
      </c>
      <c r="S113" s="6" t="s">
        <v>1403</v>
      </c>
      <c r="T113" s="6" t="s">
        <v>1404</v>
      </c>
      <c r="U113" s="6" t="s">
        <v>1313</v>
      </c>
      <c r="V113" s="6" t="s">
        <v>1314</v>
      </c>
      <c r="W113" s="6">
        <v>2025</v>
      </c>
      <c r="X113" s="6">
        <v>11</v>
      </c>
      <c r="Y113" s="6" t="s">
        <v>1315</v>
      </c>
      <c r="Z113" s="6">
        <v>2025</v>
      </c>
      <c r="AA113" s="6" t="s">
        <v>1316</v>
      </c>
      <c r="AB113" s="6" t="str">
        <f>VLOOKUP(S113,Mapping!A:C,3,FALSE)</f>
        <v>Secondary</v>
      </c>
    </row>
    <row r="114" spans="1:28" x14ac:dyDescent="0.35">
      <c r="A114" s="6" t="s">
        <v>1302</v>
      </c>
      <c r="B114" s="6" t="s">
        <v>1303</v>
      </c>
      <c r="C114" s="6" t="s">
        <v>1304</v>
      </c>
      <c r="D114" s="6" t="s">
        <v>1305</v>
      </c>
      <c r="E114" s="6" t="s">
        <v>1306</v>
      </c>
      <c r="F114" s="6" t="s">
        <v>1307</v>
      </c>
      <c r="G114" s="6" t="s">
        <v>1308</v>
      </c>
      <c r="H114" s="6" t="s">
        <v>1937</v>
      </c>
      <c r="I114" s="6">
        <v>0</v>
      </c>
      <c r="J114" s="6">
        <v>10</v>
      </c>
      <c r="K114" s="6">
        <v>1</v>
      </c>
      <c r="L114" s="6" t="s">
        <v>1934</v>
      </c>
      <c r="M114" s="6" t="e">
        <f>VLOOKUP(L114,'Nov Inv Recon'!H:H,1,FALSE)</f>
        <v>#N/A</v>
      </c>
      <c r="N114" s="6" t="e">
        <f>VLOOKUP(L114,VictoryHeitrich!D:D,1,FALSE)</f>
        <v>#N/A</v>
      </c>
      <c r="O114" s="6" t="s">
        <v>454</v>
      </c>
      <c r="P114" s="6" t="s">
        <v>1311</v>
      </c>
      <c r="Q114" s="6" t="s">
        <v>2519</v>
      </c>
      <c r="R114" s="6" t="s">
        <v>2519</v>
      </c>
      <c r="S114" s="6" t="s">
        <v>1403</v>
      </c>
      <c r="T114" s="6" t="s">
        <v>1404</v>
      </c>
      <c r="U114" s="6" t="s">
        <v>1313</v>
      </c>
      <c r="V114" s="6" t="s">
        <v>1314</v>
      </c>
      <c r="W114" s="6">
        <v>2025</v>
      </c>
      <c r="X114" s="6">
        <v>11</v>
      </c>
      <c r="Y114" s="6" t="s">
        <v>1315</v>
      </c>
      <c r="Z114" s="6">
        <v>2025</v>
      </c>
      <c r="AA114" s="6" t="s">
        <v>1316</v>
      </c>
      <c r="AB114" s="6" t="str">
        <f>VLOOKUP(S114,Mapping!A:C,3,FALSE)</f>
        <v>Secondary</v>
      </c>
    </row>
    <row r="115" spans="1:28" x14ac:dyDescent="0.35">
      <c r="A115" s="6" t="s">
        <v>1302</v>
      </c>
      <c r="B115" s="6" t="s">
        <v>1303</v>
      </c>
      <c r="C115" s="6" t="s">
        <v>1304</v>
      </c>
      <c r="D115" s="6" t="s">
        <v>1305</v>
      </c>
      <c r="E115" s="6" t="s">
        <v>1306</v>
      </c>
      <c r="F115" s="6" t="s">
        <v>1307</v>
      </c>
      <c r="G115" s="6" t="s">
        <v>1308</v>
      </c>
      <c r="H115" s="6" t="s">
        <v>1937</v>
      </c>
      <c r="I115" s="6">
        <v>0</v>
      </c>
      <c r="J115" s="6">
        <v>10</v>
      </c>
      <c r="K115" s="6">
        <v>1</v>
      </c>
      <c r="L115" s="6" t="s">
        <v>2116</v>
      </c>
      <c r="M115" s="6" t="e">
        <f>VLOOKUP(L115,'Nov Inv Recon'!H:H,1,FALSE)</f>
        <v>#N/A</v>
      </c>
      <c r="N115" s="6" t="e">
        <f>VLOOKUP(L115,VictoryHeitrich!D:D,1,FALSE)</f>
        <v>#N/A</v>
      </c>
      <c r="O115" s="6" t="s">
        <v>655</v>
      </c>
      <c r="P115" s="6" t="s">
        <v>1311</v>
      </c>
      <c r="Q115" s="6" t="s">
        <v>2520</v>
      </c>
      <c r="R115" s="6" t="s">
        <v>2520</v>
      </c>
      <c r="S115" s="6" t="s">
        <v>1403</v>
      </c>
      <c r="T115" s="6" t="s">
        <v>1404</v>
      </c>
      <c r="U115" s="6" t="s">
        <v>1313</v>
      </c>
      <c r="V115" s="6" t="s">
        <v>1314</v>
      </c>
      <c r="W115" s="6">
        <v>2025</v>
      </c>
      <c r="X115" s="6">
        <v>11</v>
      </c>
      <c r="Y115" s="6" t="s">
        <v>1315</v>
      </c>
      <c r="Z115" s="6">
        <v>2025</v>
      </c>
      <c r="AA115" s="6" t="s">
        <v>1316</v>
      </c>
      <c r="AB115" s="6" t="str">
        <f>VLOOKUP(S115,Mapping!A:C,3,FALSE)</f>
        <v>Secondary</v>
      </c>
    </row>
    <row r="116" spans="1:28" x14ac:dyDescent="0.35">
      <c r="A116" s="6" t="s">
        <v>1302</v>
      </c>
      <c r="B116" s="6" t="s">
        <v>1303</v>
      </c>
      <c r="C116" s="6" t="s">
        <v>1304</v>
      </c>
      <c r="D116" s="6" t="s">
        <v>1305</v>
      </c>
      <c r="E116" s="6" t="s">
        <v>1306</v>
      </c>
      <c r="F116" s="6" t="s">
        <v>1307</v>
      </c>
      <c r="G116" s="6" t="s">
        <v>1308</v>
      </c>
      <c r="H116" s="6" t="s">
        <v>2521</v>
      </c>
      <c r="I116" s="6">
        <v>0</v>
      </c>
      <c r="J116" s="6">
        <v>10</v>
      </c>
      <c r="K116" s="6">
        <v>1</v>
      </c>
      <c r="L116" s="6" t="s">
        <v>1401</v>
      </c>
      <c r="M116" s="6" t="e">
        <f>VLOOKUP(L116,'Nov Inv Recon'!H:H,1,FALSE)</f>
        <v>#N/A</v>
      </c>
      <c r="N116" s="6" t="e">
        <f>VLOOKUP(L116,VictoryHeitrich!D:D,1,FALSE)</f>
        <v>#N/A</v>
      </c>
      <c r="O116" s="6" t="s">
        <v>1402</v>
      </c>
      <c r="P116" s="6" t="s">
        <v>1311</v>
      </c>
      <c r="Q116" s="6" t="s">
        <v>2522</v>
      </c>
      <c r="R116" s="6" t="s">
        <v>2522</v>
      </c>
      <c r="S116" s="6" t="s">
        <v>1403</v>
      </c>
      <c r="T116" s="6" t="s">
        <v>1404</v>
      </c>
      <c r="U116" s="6" t="s">
        <v>1313</v>
      </c>
      <c r="V116" s="6" t="s">
        <v>1314</v>
      </c>
      <c r="W116" s="6">
        <v>2025</v>
      </c>
      <c r="X116" s="6">
        <v>11</v>
      </c>
      <c r="Y116" s="6" t="s">
        <v>1315</v>
      </c>
      <c r="Z116" s="6">
        <v>2025</v>
      </c>
      <c r="AA116" s="6" t="s">
        <v>1316</v>
      </c>
      <c r="AB116" s="6" t="str">
        <f>VLOOKUP(S116,Mapping!A:C,3,FALSE)</f>
        <v>Secondary</v>
      </c>
    </row>
    <row r="117" spans="1:28" x14ac:dyDescent="0.35">
      <c r="A117" s="6" t="s">
        <v>1302</v>
      </c>
      <c r="B117" s="6" t="s">
        <v>1303</v>
      </c>
      <c r="C117" s="6" t="s">
        <v>1304</v>
      </c>
      <c r="D117" s="6" t="s">
        <v>1305</v>
      </c>
      <c r="E117" s="6" t="s">
        <v>1306</v>
      </c>
      <c r="F117" s="6" t="s">
        <v>1307</v>
      </c>
      <c r="G117" s="6" t="s">
        <v>1308</v>
      </c>
      <c r="H117" s="6" t="s">
        <v>2523</v>
      </c>
      <c r="I117" s="6">
        <v>0</v>
      </c>
      <c r="J117" s="6">
        <v>1998</v>
      </c>
      <c r="K117" s="6">
        <v>1</v>
      </c>
      <c r="L117" s="6" t="s">
        <v>2133</v>
      </c>
      <c r="M117" s="6" t="e">
        <f>VLOOKUP(L117,'Nov Inv Recon'!H:H,1,FALSE)</f>
        <v>#N/A</v>
      </c>
      <c r="N117" s="6" t="e">
        <f>VLOOKUP(L117,VictoryHeitrich!D:D,1,FALSE)</f>
        <v>#N/A</v>
      </c>
      <c r="O117" s="6" t="s">
        <v>848</v>
      </c>
      <c r="P117" s="6" t="s">
        <v>1311</v>
      </c>
      <c r="Q117" s="6" t="s">
        <v>2524</v>
      </c>
      <c r="R117" s="6" t="s">
        <v>2524</v>
      </c>
      <c r="S117" s="6" t="s">
        <v>2163</v>
      </c>
      <c r="T117" s="6" t="s">
        <v>2164</v>
      </c>
      <c r="U117" s="6" t="s">
        <v>1313</v>
      </c>
      <c r="V117" s="6" t="s">
        <v>1314</v>
      </c>
      <c r="W117" s="6">
        <v>2025</v>
      </c>
      <c r="X117" s="6">
        <v>11</v>
      </c>
      <c r="Y117" s="6" t="s">
        <v>1315</v>
      </c>
      <c r="Z117" s="6">
        <v>2025</v>
      </c>
      <c r="AA117" s="6" t="s">
        <v>1316</v>
      </c>
      <c r="AB117" s="6" t="str">
        <f>VLOOKUP(S117,Mapping!A:C,3,FALSE)</f>
        <v>Secondary</v>
      </c>
    </row>
    <row r="118" spans="1:28" x14ac:dyDescent="0.35">
      <c r="A118" s="6" t="s">
        <v>1302</v>
      </c>
      <c r="B118" s="6" t="s">
        <v>1303</v>
      </c>
      <c r="C118" s="6" t="s">
        <v>1304</v>
      </c>
      <c r="D118" s="6" t="s">
        <v>1305</v>
      </c>
      <c r="E118" s="6" t="s">
        <v>1306</v>
      </c>
      <c r="F118" s="6" t="s">
        <v>1307</v>
      </c>
      <c r="G118" s="6" t="s">
        <v>1308</v>
      </c>
      <c r="H118" s="6" t="s">
        <v>1728</v>
      </c>
      <c r="I118" s="6">
        <v>0</v>
      </c>
      <c r="J118" s="6">
        <v>1499</v>
      </c>
      <c r="K118" s="6">
        <v>1</v>
      </c>
      <c r="L118" s="6" t="s">
        <v>2047</v>
      </c>
      <c r="M118" s="6" t="e">
        <f>VLOOKUP(L118,'Nov Inv Recon'!H:H,1,FALSE)</f>
        <v>#N/A</v>
      </c>
      <c r="N118" s="6" t="e">
        <f>VLOOKUP(L118,VictoryHeitrich!D:D,1,FALSE)</f>
        <v>#N/A</v>
      </c>
      <c r="O118" s="6" t="s">
        <v>609</v>
      </c>
      <c r="P118" s="6" t="s">
        <v>1311</v>
      </c>
      <c r="Q118" s="6" t="s">
        <v>2525</v>
      </c>
      <c r="R118" s="6" t="s">
        <v>2525</v>
      </c>
      <c r="S118" s="6" t="s">
        <v>97</v>
      </c>
      <c r="T118" s="6" t="s">
        <v>98</v>
      </c>
      <c r="U118" s="6" t="s">
        <v>1313</v>
      </c>
      <c r="V118" s="6" t="s">
        <v>1314</v>
      </c>
      <c r="W118" s="6">
        <v>2025</v>
      </c>
      <c r="X118" s="6">
        <v>11</v>
      </c>
      <c r="Y118" s="6" t="s">
        <v>1315</v>
      </c>
      <c r="Z118" s="6">
        <v>2025</v>
      </c>
      <c r="AA118" s="6" t="s">
        <v>1316</v>
      </c>
      <c r="AB118" s="6" t="str">
        <f>VLOOKUP(S118,Mapping!A:C,3,FALSE)</f>
        <v>Primary</v>
      </c>
    </row>
    <row r="119" spans="1:28" x14ac:dyDescent="0.35">
      <c r="A119" s="6" t="s">
        <v>1302</v>
      </c>
      <c r="B119" s="6" t="s">
        <v>1303</v>
      </c>
      <c r="C119" s="6" t="s">
        <v>1304</v>
      </c>
      <c r="D119" s="6" t="s">
        <v>1305</v>
      </c>
      <c r="E119" s="6" t="s">
        <v>1306</v>
      </c>
      <c r="F119" s="6" t="s">
        <v>1307</v>
      </c>
      <c r="G119" s="6" t="s">
        <v>1308</v>
      </c>
      <c r="H119" s="6" t="s">
        <v>2526</v>
      </c>
      <c r="I119" s="6">
        <v>0</v>
      </c>
      <c r="J119" s="6">
        <v>1499</v>
      </c>
      <c r="K119" s="6">
        <v>1</v>
      </c>
      <c r="L119" s="6" t="s">
        <v>2147</v>
      </c>
      <c r="M119" s="6" t="e">
        <f>VLOOKUP(L119,'Nov Inv Recon'!H:H,1,FALSE)</f>
        <v>#N/A</v>
      </c>
      <c r="N119" s="6" t="e">
        <f>VLOOKUP(L119,VictoryHeitrich!D:D,1,FALSE)</f>
        <v>#N/A</v>
      </c>
      <c r="O119" s="6" t="s">
        <v>593</v>
      </c>
      <c r="P119" s="6" t="s">
        <v>1311</v>
      </c>
      <c r="Q119" s="6" t="s">
        <v>2527</v>
      </c>
      <c r="R119" s="6" t="s">
        <v>2527</v>
      </c>
      <c r="S119" s="6" t="s">
        <v>97</v>
      </c>
      <c r="T119" s="6" t="s">
        <v>98</v>
      </c>
      <c r="U119" s="6" t="s">
        <v>1313</v>
      </c>
      <c r="V119" s="6" t="s">
        <v>1314</v>
      </c>
      <c r="W119" s="6">
        <v>2025</v>
      </c>
      <c r="X119" s="6">
        <v>11</v>
      </c>
      <c r="Y119" s="6" t="s">
        <v>1315</v>
      </c>
      <c r="Z119" s="6">
        <v>2025</v>
      </c>
      <c r="AA119" s="6" t="s">
        <v>1316</v>
      </c>
      <c r="AB119" s="6" t="str">
        <f>VLOOKUP(S119,Mapping!A:C,3,FALSE)</f>
        <v>Primary</v>
      </c>
    </row>
    <row r="120" spans="1:28" x14ac:dyDescent="0.35">
      <c r="A120" s="6" t="s">
        <v>1302</v>
      </c>
      <c r="B120" s="6" t="s">
        <v>1303</v>
      </c>
      <c r="C120" s="6" t="s">
        <v>1304</v>
      </c>
      <c r="D120" s="6" t="s">
        <v>1305</v>
      </c>
      <c r="E120" s="6" t="s">
        <v>1306</v>
      </c>
      <c r="F120" s="6" t="s">
        <v>1307</v>
      </c>
      <c r="G120" s="6" t="s">
        <v>1308</v>
      </c>
      <c r="H120" s="6" t="s">
        <v>2528</v>
      </c>
      <c r="I120" s="6">
        <v>0</v>
      </c>
      <c r="J120" s="6">
        <v>1499</v>
      </c>
      <c r="K120" s="6">
        <v>1</v>
      </c>
      <c r="L120" s="6" t="s">
        <v>2309</v>
      </c>
      <c r="M120" s="6" t="e">
        <f>VLOOKUP(L120,'Nov Inv Recon'!H:H,1,FALSE)</f>
        <v>#N/A</v>
      </c>
      <c r="N120" s="6" t="e">
        <f>VLOOKUP(L120,VictoryHeitrich!D:D,1,FALSE)</f>
        <v>#N/A</v>
      </c>
      <c r="O120" s="6" t="s">
        <v>605</v>
      </c>
      <c r="P120" s="6" t="s">
        <v>1311</v>
      </c>
      <c r="Q120" s="6" t="s">
        <v>2529</v>
      </c>
      <c r="R120" s="6" t="s">
        <v>2529</v>
      </c>
      <c r="S120" s="6" t="s">
        <v>97</v>
      </c>
      <c r="T120" s="6" t="s">
        <v>98</v>
      </c>
      <c r="U120" s="6" t="s">
        <v>1313</v>
      </c>
      <c r="V120" s="6" t="s">
        <v>1314</v>
      </c>
      <c r="W120" s="6">
        <v>2025</v>
      </c>
      <c r="X120" s="6">
        <v>11</v>
      </c>
      <c r="Y120" s="6" t="s">
        <v>1315</v>
      </c>
      <c r="Z120" s="6">
        <v>2025</v>
      </c>
      <c r="AA120" s="6" t="s">
        <v>1316</v>
      </c>
      <c r="AB120" s="6" t="str">
        <f>VLOOKUP(S120,Mapping!A:C,3,FALSE)</f>
        <v>Primary</v>
      </c>
    </row>
    <row r="121" spans="1:28" x14ac:dyDescent="0.35">
      <c r="A121" s="6" t="s">
        <v>1302</v>
      </c>
      <c r="B121" s="6" t="s">
        <v>1303</v>
      </c>
      <c r="C121" s="6" t="s">
        <v>1304</v>
      </c>
      <c r="D121" s="6" t="s">
        <v>1305</v>
      </c>
      <c r="E121" s="6" t="s">
        <v>1306</v>
      </c>
      <c r="F121" s="6" t="s">
        <v>1307</v>
      </c>
      <c r="G121" s="6" t="s">
        <v>1308</v>
      </c>
      <c r="H121" s="6" t="s">
        <v>2528</v>
      </c>
      <c r="I121" s="6">
        <v>0</v>
      </c>
      <c r="J121" s="6">
        <v>1499</v>
      </c>
      <c r="K121" s="6">
        <v>1</v>
      </c>
      <c r="L121" s="6" t="s">
        <v>2319</v>
      </c>
      <c r="M121" s="6" t="e">
        <f>VLOOKUP(L121,'Nov Inv Recon'!H:H,1,FALSE)</f>
        <v>#N/A</v>
      </c>
      <c r="N121" s="6" t="e">
        <f>VLOOKUP(L121,VictoryHeitrich!D:D,1,FALSE)</f>
        <v>#N/A</v>
      </c>
      <c r="O121" s="6" t="s">
        <v>601</v>
      </c>
      <c r="P121" s="6" t="s">
        <v>1311</v>
      </c>
      <c r="Q121" s="6" t="s">
        <v>2530</v>
      </c>
      <c r="R121" s="6" t="s">
        <v>2530</v>
      </c>
      <c r="S121" s="6" t="s">
        <v>97</v>
      </c>
      <c r="T121" s="6" t="s">
        <v>98</v>
      </c>
      <c r="U121" s="6" t="s">
        <v>1313</v>
      </c>
      <c r="V121" s="6" t="s">
        <v>1314</v>
      </c>
      <c r="W121" s="6">
        <v>2025</v>
      </c>
      <c r="X121" s="6">
        <v>11</v>
      </c>
      <c r="Y121" s="6" t="s">
        <v>1315</v>
      </c>
      <c r="Z121" s="6">
        <v>2025</v>
      </c>
      <c r="AA121" s="6" t="s">
        <v>1316</v>
      </c>
      <c r="AB121" s="6" t="str">
        <f>VLOOKUP(S121,Mapping!A:C,3,FALSE)</f>
        <v>Primary</v>
      </c>
    </row>
    <row r="122" spans="1:28" x14ac:dyDescent="0.35">
      <c r="A122" s="6" t="s">
        <v>1302</v>
      </c>
      <c r="B122" s="6" t="s">
        <v>1303</v>
      </c>
      <c r="C122" s="6" t="s">
        <v>1304</v>
      </c>
      <c r="D122" s="6" t="s">
        <v>1305</v>
      </c>
      <c r="E122" s="6" t="s">
        <v>1306</v>
      </c>
      <c r="F122" s="6" t="s">
        <v>1307</v>
      </c>
      <c r="G122" s="6" t="s">
        <v>1308</v>
      </c>
      <c r="H122" s="6" t="s">
        <v>1728</v>
      </c>
      <c r="I122" s="6">
        <v>0</v>
      </c>
      <c r="J122" s="6">
        <v>1499</v>
      </c>
      <c r="K122" s="6">
        <v>1</v>
      </c>
      <c r="L122" s="6" t="s">
        <v>2242</v>
      </c>
      <c r="M122" s="6" t="e">
        <f>VLOOKUP(L122,'Nov Inv Recon'!H:H,1,FALSE)</f>
        <v>#N/A</v>
      </c>
      <c r="N122" s="6" t="e">
        <f>VLOOKUP(L122,VictoryHeitrich!D:D,1,FALSE)</f>
        <v>#N/A</v>
      </c>
      <c r="O122" s="6" t="s">
        <v>583</v>
      </c>
      <c r="P122" s="6" t="s">
        <v>1311</v>
      </c>
      <c r="Q122" s="6" t="s">
        <v>2531</v>
      </c>
      <c r="R122" s="6" t="s">
        <v>2531</v>
      </c>
      <c r="S122" s="6" t="s">
        <v>97</v>
      </c>
      <c r="T122" s="6" t="s">
        <v>98</v>
      </c>
      <c r="U122" s="6" t="s">
        <v>1313</v>
      </c>
      <c r="V122" s="6" t="s">
        <v>1314</v>
      </c>
      <c r="W122" s="6">
        <v>2025</v>
      </c>
      <c r="X122" s="6">
        <v>11</v>
      </c>
      <c r="Y122" s="6" t="s">
        <v>1315</v>
      </c>
      <c r="Z122" s="6">
        <v>2025</v>
      </c>
      <c r="AA122" s="6" t="s">
        <v>1316</v>
      </c>
      <c r="AB122" s="6" t="str">
        <f>VLOOKUP(S122,Mapping!A:C,3,FALSE)</f>
        <v>Primary</v>
      </c>
    </row>
    <row r="123" spans="1:28" x14ac:dyDescent="0.35">
      <c r="A123" s="6" t="s">
        <v>1302</v>
      </c>
      <c r="B123" s="6" t="s">
        <v>1303</v>
      </c>
      <c r="C123" s="6" t="s">
        <v>1304</v>
      </c>
      <c r="D123" s="6" t="s">
        <v>1305</v>
      </c>
      <c r="E123" s="6" t="s">
        <v>1306</v>
      </c>
      <c r="F123" s="6" t="s">
        <v>1307</v>
      </c>
      <c r="G123" s="6" t="s">
        <v>1308</v>
      </c>
      <c r="H123" s="6" t="s">
        <v>2526</v>
      </c>
      <c r="I123" s="6">
        <v>0</v>
      </c>
      <c r="J123" s="6">
        <v>1499</v>
      </c>
      <c r="K123" s="6">
        <v>1</v>
      </c>
      <c r="L123" s="6" t="s">
        <v>2083</v>
      </c>
      <c r="M123" s="6" t="e">
        <f>VLOOKUP(L123,'Nov Inv Recon'!H:H,1,FALSE)</f>
        <v>#N/A</v>
      </c>
      <c r="N123" s="6" t="e">
        <f>VLOOKUP(L123,VictoryHeitrich!D:D,1,FALSE)</f>
        <v>#N/A</v>
      </c>
      <c r="O123" s="6" t="s">
        <v>591</v>
      </c>
      <c r="P123" s="6" t="s">
        <v>1311</v>
      </c>
      <c r="Q123" s="6" t="s">
        <v>2532</v>
      </c>
      <c r="R123" s="6" t="s">
        <v>2532</v>
      </c>
      <c r="S123" s="6" t="s">
        <v>97</v>
      </c>
      <c r="T123" s="6" t="s">
        <v>98</v>
      </c>
      <c r="U123" s="6" t="s">
        <v>1313</v>
      </c>
      <c r="V123" s="6" t="s">
        <v>1314</v>
      </c>
      <c r="W123" s="6">
        <v>2025</v>
      </c>
      <c r="X123" s="6">
        <v>11</v>
      </c>
      <c r="Y123" s="6" t="s">
        <v>1315</v>
      </c>
      <c r="Z123" s="6">
        <v>2025</v>
      </c>
      <c r="AA123" s="6" t="s">
        <v>1316</v>
      </c>
      <c r="AB123" s="6" t="str">
        <f>VLOOKUP(S123,Mapping!A:C,3,FALSE)</f>
        <v>Primary</v>
      </c>
    </row>
    <row r="124" spans="1:28" x14ac:dyDescent="0.35">
      <c r="A124" s="6" t="s">
        <v>1302</v>
      </c>
      <c r="B124" s="6" t="s">
        <v>1303</v>
      </c>
      <c r="C124" s="6" t="s">
        <v>1304</v>
      </c>
      <c r="D124" s="6" t="s">
        <v>1305</v>
      </c>
      <c r="E124" s="6" t="s">
        <v>1306</v>
      </c>
      <c r="F124" s="6" t="s">
        <v>1307</v>
      </c>
      <c r="G124" s="6" t="s">
        <v>1308</v>
      </c>
      <c r="H124" s="6" t="s">
        <v>2526</v>
      </c>
      <c r="I124" s="6">
        <v>0</v>
      </c>
      <c r="J124" s="6">
        <v>1499</v>
      </c>
      <c r="K124" s="6">
        <v>1</v>
      </c>
      <c r="L124" s="6" t="s">
        <v>2074</v>
      </c>
      <c r="M124" s="6" t="e">
        <f>VLOOKUP(L124,'Nov Inv Recon'!H:H,1,FALSE)</f>
        <v>#N/A</v>
      </c>
      <c r="N124" s="6" t="e">
        <f>VLOOKUP(L124,VictoryHeitrich!D:D,1,FALSE)</f>
        <v>#N/A</v>
      </c>
      <c r="O124" s="6" t="s">
        <v>597</v>
      </c>
      <c r="P124" s="6" t="s">
        <v>1311</v>
      </c>
      <c r="Q124" s="6" t="s">
        <v>2533</v>
      </c>
      <c r="R124" s="6" t="s">
        <v>2533</v>
      </c>
      <c r="S124" s="6" t="s">
        <v>97</v>
      </c>
      <c r="T124" s="6" t="s">
        <v>98</v>
      </c>
      <c r="U124" s="6" t="s">
        <v>1313</v>
      </c>
      <c r="V124" s="6" t="s">
        <v>1314</v>
      </c>
      <c r="W124" s="6">
        <v>2025</v>
      </c>
      <c r="X124" s="6">
        <v>11</v>
      </c>
      <c r="Y124" s="6" t="s">
        <v>1315</v>
      </c>
      <c r="Z124" s="6">
        <v>2025</v>
      </c>
      <c r="AA124" s="6" t="s">
        <v>1316</v>
      </c>
      <c r="AB124" s="6" t="str">
        <f>VLOOKUP(S124,Mapping!A:C,3,FALSE)</f>
        <v>Primary</v>
      </c>
    </row>
    <row r="125" spans="1:28" x14ac:dyDescent="0.35">
      <c r="A125" s="6" t="s">
        <v>1302</v>
      </c>
      <c r="B125" s="6" t="s">
        <v>1303</v>
      </c>
      <c r="C125" s="6" t="s">
        <v>1304</v>
      </c>
      <c r="D125" s="6" t="s">
        <v>1305</v>
      </c>
      <c r="E125" s="6" t="s">
        <v>1306</v>
      </c>
      <c r="F125" s="6" t="s">
        <v>1307</v>
      </c>
      <c r="G125" s="6" t="s">
        <v>1308</v>
      </c>
      <c r="H125" s="6" t="s">
        <v>1682</v>
      </c>
      <c r="I125" s="6">
        <v>0</v>
      </c>
      <c r="J125" s="6">
        <v>1499</v>
      </c>
      <c r="K125" s="6">
        <v>1</v>
      </c>
      <c r="L125" s="6" t="s">
        <v>1527</v>
      </c>
      <c r="M125" s="6" t="e">
        <f>VLOOKUP(L125,'Nov Inv Recon'!H:H,1,FALSE)</f>
        <v>#N/A</v>
      </c>
      <c r="N125" s="6" t="e">
        <f>VLOOKUP(L125,VictoryHeitrich!D:D,1,FALSE)</f>
        <v>#N/A</v>
      </c>
      <c r="O125" s="6" t="s">
        <v>420</v>
      </c>
      <c r="P125" s="6" t="s">
        <v>1311</v>
      </c>
      <c r="Q125" s="6" t="s">
        <v>2534</v>
      </c>
      <c r="R125" s="6" t="s">
        <v>2534</v>
      </c>
      <c r="S125" s="6" t="s">
        <v>97</v>
      </c>
      <c r="T125" s="6" t="s">
        <v>98</v>
      </c>
      <c r="U125" s="6" t="s">
        <v>1313</v>
      </c>
      <c r="V125" s="6" t="s">
        <v>1314</v>
      </c>
      <c r="W125" s="6">
        <v>2025</v>
      </c>
      <c r="X125" s="6">
        <v>11</v>
      </c>
      <c r="Y125" s="6" t="s">
        <v>1315</v>
      </c>
      <c r="Z125" s="6">
        <v>2025</v>
      </c>
      <c r="AA125" s="6" t="s">
        <v>1316</v>
      </c>
      <c r="AB125" s="6" t="str">
        <f>VLOOKUP(S125,Mapping!A:C,3,FALSE)</f>
        <v>Primary</v>
      </c>
    </row>
    <row r="126" spans="1:28" x14ac:dyDescent="0.35">
      <c r="A126" s="6" t="s">
        <v>1302</v>
      </c>
      <c r="B126" s="6" t="s">
        <v>1303</v>
      </c>
      <c r="C126" s="6" t="s">
        <v>1304</v>
      </c>
      <c r="D126" s="6" t="s">
        <v>1305</v>
      </c>
      <c r="E126" s="6" t="s">
        <v>1306</v>
      </c>
      <c r="F126" s="6" t="s">
        <v>1307</v>
      </c>
      <c r="G126" s="6" t="s">
        <v>1308</v>
      </c>
      <c r="H126" s="6" t="s">
        <v>1657</v>
      </c>
      <c r="I126" s="6">
        <v>0</v>
      </c>
      <c r="J126" s="6">
        <v>1499</v>
      </c>
      <c r="K126" s="6">
        <v>1</v>
      </c>
      <c r="L126" s="6" t="s">
        <v>2342</v>
      </c>
      <c r="M126" s="6" t="e">
        <f>VLOOKUP(L126,'Nov Inv Recon'!H:H,1,FALSE)</f>
        <v>#N/A</v>
      </c>
      <c r="N126" s="6" t="e">
        <f>VLOOKUP(L126,VictoryHeitrich!D:D,1,FALSE)</f>
        <v>#N/A</v>
      </c>
      <c r="O126" s="6" t="s">
        <v>842</v>
      </c>
      <c r="P126" s="6" t="s">
        <v>1311</v>
      </c>
      <c r="Q126" s="6" t="s">
        <v>2535</v>
      </c>
      <c r="R126" s="6" t="s">
        <v>2535</v>
      </c>
      <c r="S126" s="6" t="s">
        <v>97</v>
      </c>
      <c r="T126" s="6" t="s">
        <v>98</v>
      </c>
      <c r="U126" s="6" t="s">
        <v>1313</v>
      </c>
      <c r="V126" s="6" t="s">
        <v>1314</v>
      </c>
      <c r="W126" s="6">
        <v>2025</v>
      </c>
      <c r="X126" s="6">
        <v>11</v>
      </c>
      <c r="Y126" s="6" t="s">
        <v>1315</v>
      </c>
      <c r="Z126" s="6">
        <v>2025</v>
      </c>
      <c r="AA126" s="6" t="s">
        <v>1316</v>
      </c>
      <c r="AB126" s="6" t="str">
        <f>VLOOKUP(S126,Mapping!A:C,3,FALSE)</f>
        <v>Primary</v>
      </c>
    </row>
    <row r="127" spans="1:28" x14ac:dyDescent="0.35">
      <c r="A127" s="6" t="s">
        <v>1302</v>
      </c>
      <c r="B127" s="6" t="s">
        <v>1303</v>
      </c>
      <c r="C127" s="6" t="s">
        <v>1304</v>
      </c>
      <c r="D127" s="6" t="s">
        <v>1305</v>
      </c>
      <c r="E127" s="6" t="s">
        <v>1306</v>
      </c>
      <c r="F127" s="6" t="s">
        <v>1307</v>
      </c>
      <c r="G127" s="6" t="s">
        <v>1308</v>
      </c>
      <c r="H127" s="6" t="s">
        <v>1682</v>
      </c>
      <c r="I127" s="6">
        <v>0</v>
      </c>
      <c r="J127" s="6">
        <v>1499</v>
      </c>
      <c r="K127" s="6">
        <v>1</v>
      </c>
      <c r="L127" s="6" t="s">
        <v>2320</v>
      </c>
      <c r="M127" s="6" t="e">
        <f>VLOOKUP(L127,'Nov Inv Recon'!H:H,1,FALSE)</f>
        <v>#N/A</v>
      </c>
      <c r="N127" s="6" t="e">
        <f>VLOOKUP(L127,VictoryHeitrich!D:D,1,FALSE)</f>
        <v>#N/A</v>
      </c>
      <c r="O127" s="6" t="s">
        <v>882</v>
      </c>
      <c r="P127" s="6" t="s">
        <v>1311</v>
      </c>
      <c r="Q127" s="6" t="s">
        <v>2536</v>
      </c>
      <c r="R127" s="6" t="s">
        <v>2536</v>
      </c>
      <c r="S127" s="6" t="s">
        <v>97</v>
      </c>
      <c r="T127" s="6" t="s">
        <v>98</v>
      </c>
      <c r="U127" s="6" t="s">
        <v>1313</v>
      </c>
      <c r="V127" s="6" t="s">
        <v>1314</v>
      </c>
      <c r="W127" s="6">
        <v>2025</v>
      </c>
      <c r="X127" s="6">
        <v>11</v>
      </c>
      <c r="Y127" s="6" t="s">
        <v>1315</v>
      </c>
      <c r="Z127" s="6">
        <v>2025</v>
      </c>
      <c r="AA127" s="6" t="s">
        <v>1316</v>
      </c>
      <c r="AB127" s="6" t="str">
        <f>VLOOKUP(S127,Mapping!A:C,3,FALSE)</f>
        <v>Primary</v>
      </c>
    </row>
    <row r="128" spans="1:28" x14ac:dyDescent="0.35">
      <c r="A128" s="6" t="s">
        <v>1302</v>
      </c>
      <c r="B128" s="6" t="s">
        <v>1303</v>
      </c>
      <c r="C128" s="6" t="s">
        <v>1304</v>
      </c>
      <c r="D128" s="6" t="s">
        <v>1305</v>
      </c>
      <c r="E128" s="6" t="s">
        <v>1306</v>
      </c>
      <c r="F128" s="6" t="s">
        <v>1307</v>
      </c>
      <c r="G128" s="6" t="s">
        <v>1308</v>
      </c>
      <c r="H128" s="6" t="s">
        <v>2526</v>
      </c>
      <c r="I128" s="6">
        <v>0</v>
      </c>
      <c r="J128" s="6">
        <v>1499</v>
      </c>
      <c r="K128" s="6">
        <v>1</v>
      </c>
      <c r="L128" s="6" t="s">
        <v>2102</v>
      </c>
      <c r="M128" s="6" t="e">
        <f>VLOOKUP(L128,'Nov Inv Recon'!H:H,1,FALSE)</f>
        <v>#N/A</v>
      </c>
      <c r="N128" s="6" t="e">
        <f>VLOOKUP(L128,VictoryHeitrich!D:D,1,FALSE)</f>
        <v>#N/A</v>
      </c>
      <c r="O128" s="6" t="s">
        <v>595</v>
      </c>
      <c r="P128" s="6" t="s">
        <v>1311</v>
      </c>
      <c r="Q128" s="6" t="s">
        <v>2537</v>
      </c>
      <c r="R128" s="6" t="s">
        <v>2537</v>
      </c>
      <c r="S128" s="6" t="s">
        <v>97</v>
      </c>
      <c r="T128" s="6" t="s">
        <v>98</v>
      </c>
      <c r="U128" s="6" t="s">
        <v>1313</v>
      </c>
      <c r="V128" s="6" t="s">
        <v>1314</v>
      </c>
      <c r="W128" s="6">
        <v>2025</v>
      </c>
      <c r="X128" s="6">
        <v>11</v>
      </c>
      <c r="Y128" s="6" t="s">
        <v>1315</v>
      </c>
      <c r="Z128" s="6">
        <v>2025</v>
      </c>
      <c r="AA128" s="6" t="s">
        <v>1316</v>
      </c>
      <c r="AB128" s="6" t="str">
        <f>VLOOKUP(S128,Mapping!A:C,3,FALSE)</f>
        <v>Primary</v>
      </c>
    </row>
    <row r="129" spans="1:28" x14ac:dyDescent="0.35">
      <c r="A129" s="6" t="s">
        <v>1302</v>
      </c>
      <c r="B129" s="6" t="s">
        <v>1303</v>
      </c>
      <c r="C129" s="6" t="s">
        <v>1304</v>
      </c>
      <c r="D129" s="6" t="s">
        <v>1305</v>
      </c>
      <c r="E129" s="6" t="s">
        <v>1306</v>
      </c>
      <c r="F129" s="6" t="s">
        <v>1307</v>
      </c>
      <c r="G129" s="6" t="s">
        <v>1308</v>
      </c>
      <c r="H129" s="6" t="s">
        <v>1719</v>
      </c>
      <c r="I129" s="6">
        <v>0</v>
      </c>
      <c r="J129" s="6">
        <v>1499</v>
      </c>
      <c r="K129" s="6">
        <v>1</v>
      </c>
      <c r="L129" s="6" t="s">
        <v>2283</v>
      </c>
      <c r="M129" s="6" t="e">
        <f>VLOOKUP(L129,'Nov Inv Recon'!H:H,1,FALSE)</f>
        <v>#N/A</v>
      </c>
      <c r="N129" s="6" t="e">
        <f>VLOOKUP(L129,VictoryHeitrich!D:D,1,FALSE)</f>
        <v>#N/A</v>
      </c>
      <c r="O129" s="6" t="s">
        <v>452</v>
      </c>
      <c r="P129" s="6" t="s">
        <v>1311</v>
      </c>
      <c r="Q129" s="6" t="s">
        <v>2538</v>
      </c>
      <c r="R129" s="6" t="s">
        <v>2538</v>
      </c>
      <c r="S129" s="6" t="s">
        <v>97</v>
      </c>
      <c r="T129" s="6" t="s">
        <v>98</v>
      </c>
      <c r="U129" s="6" t="s">
        <v>1313</v>
      </c>
      <c r="V129" s="6" t="s">
        <v>1314</v>
      </c>
      <c r="W129" s="6">
        <v>2025</v>
      </c>
      <c r="X129" s="6">
        <v>11</v>
      </c>
      <c r="Y129" s="6" t="s">
        <v>1315</v>
      </c>
      <c r="Z129" s="6">
        <v>2025</v>
      </c>
      <c r="AA129" s="6" t="s">
        <v>1316</v>
      </c>
      <c r="AB129" s="6" t="str">
        <f>VLOOKUP(S129,Mapping!A:C,3,FALSE)</f>
        <v>Primary</v>
      </c>
    </row>
    <row r="130" spans="1:28" x14ac:dyDescent="0.35">
      <c r="A130" s="6" t="s">
        <v>1302</v>
      </c>
      <c r="B130" s="6" t="s">
        <v>1303</v>
      </c>
      <c r="C130" s="6" t="s">
        <v>1304</v>
      </c>
      <c r="D130" s="6" t="s">
        <v>1305</v>
      </c>
      <c r="E130" s="6" t="s">
        <v>1306</v>
      </c>
      <c r="F130" s="6" t="s">
        <v>1307</v>
      </c>
      <c r="G130" s="6" t="s">
        <v>1308</v>
      </c>
      <c r="H130" s="6" t="s">
        <v>1682</v>
      </c>
      <c r="I130" s="6">
        <v>0</v>
      </c>
      <c r="J130" s="6">
        <v>1499</v>
      </c>
      <c r="K130" s="6">
        <v>1</v>
      </c>
      <c r="L130" s="6" t="s">
        <v>2222</v>
      </c>
      <c r="M130" s="6" t="e">
        <f>VLOOKUP(L130,'Nov Inv Recon'!H:H,1,FALSE)</f>
        <v>#N/A</v>
      </c>
      <c r="N130" s="6" t="e">
        <f>VLOOKUP(L130,VictoryHeitrich!D:D,1,FALSE)</f>
        <v>#N/A</v>
      </c>
      <c r="O130" s="6" t="s">
        <v>585</v>
      </c>
      <c r="P130" s="6" t="s">
        <v>1311</v>
      </c>
      <c r="Q130" s="6" t="s">
        <v>2539</v>
      </c>
      <c r="R130" s="6" t="s">
        <v>2539</v>
      </c>
      <c r="S130" s="6" t="s">
        <v>97</v>
      </c>
      <c r="T130" s="6" t="s">
        <v>98</v>
      </c>
      <c r="U130" s="6" t="s">
        <v>1313</v>
      </c>
      <c r="V130" s="6" t="s">
        <v>1314</v>
      </c>
      <c r="W130" s="6">
        <v>2025</v>
      </c>
      <c r="X130" s="6">
        <v>11</v>
      </c>
      <c r="Y130" s="6" t="s">
        <v>1315</v>
      </c>
      <c r="Z130" s="6">
        <v>2025</v>
      </c>
      <c r="AA130" s="6" t="s">
        <v>1316</v>
      </c>
      <c r="AB130" s="6" t="str">
        <f>VLOOKUP(S130,Mapping!A:C,3,FALSE)</f>
        <v>Primary</v>
      </c>
    </row>
    <row r="131" spans="1:28" x14ac:dyDescent="0.35">
      <c r="A131" s="6" t="s">
        <v>1302</v>
      </c>
      <c r="B131" s="6" t="s">
        <v>1303</v>
      </c>
      <c r="C131" s="6" t="s">
        <v>1304</v>
      </c>
      <c r="D131" s="6" t="s">
        <v>1305</v>
      </c>
      <c r="E131" s="6" t="s">
        <v>1306</v>
      </c>
      <c r="F131" s="6" t="s">
        <v>1307</v>
      </c>
      <c r="G131" s="6" t="s">
        <v>1308</v>
      </c>
      <c r="H131" s="6" t="s">
        <v>2526</v>
      </c>
      <c r="I131" s="6">
        <v>0</v>
      </c>
      <c r="J131" s="6">
        <v>1499</v>
      </c>
      <c r="K131" s="6">
        <v>1</v>
      </c>
      <c r="L131" s="6" t="s">
        <v>2075</v>
      </c>
      <c r="M131" s="6" t="e">
        <f>VLOOKUP(L131,'Nov Inv Recon'!H:H,1,FALSE)</f>
        <v>#N/A</v>
      </c>
      <c r="N131" s="6" t="e">
        <f>VLOOKUP(L131,VictoryHeitrich!D:D,1,FALSE)</f>
        <v>#N/A</v>
      </c>
      <c r="O131" s="6" t="s">
        <v>599</v>
      </c>
      <c r="P131" s="6" t="s">
        <v>1311</v>
      </c>
      <c r="Q131" s="6" t="s">
        <v>2540</v>
      </c>
      <c r="R131" s="6" t="s">
        <v>2540</v>
      </c>
      <c r="S131" s="6" t="s">
        <v>97</v>
      </c>
      <c r="T131" s="6" t="s">
        <v>98</v>
      </c>
      <c r="U131" s="6" t="s">
        <v>1313</v>
      </c>
      <c r="V131" s="6" t="s">
        <v>1314</v>
      </c>
      <c r="W131" s="6">
        <v>2025</v>
      </c>
      <c r="X131" s="6">
        <v>11</v>
      </c>
      <c r="Y131" s="6" t="s">
        <v>1315</v>
      </c>
      <c r="Z131" s="6">
        <v>2025</v>
      </c>
      <c r="AA131" s="6" t="s">
        <v>1316</v>
      </c>
      <c r="AB131" s="6" t="str">
        <f>VLOOKUP(S131,Mapping!A:C,3,FALSE)</f>
        <v>Primary</v>
      </c>
    </row>
    <row r="132" spans="1:28" x14ac:dyDescent="0.35">
      <c r="A132" s="6" t="s">
        <v>1302</v>
      </c>
      <c r="B132" s="6" t="s">
        <v>1303</v>
      </c>
      <c r="C132" s="6" t="s">
        <v>1304</v>
      </c>
      <c r="D132" s="6" t="s">
        <v>1305</v>
      </c>
      <c r="E132" s="6" t="s">
        <v>1306</v>
      </c>
      <c r="F132" s="6" t="s">
        <v>1307</v>
      </c>
      <c r="G132" s="6" t="s">
        <v>1308</v>
      </c>
      <c r="H132" s="6" t="s">
        <v>1682</v>
      </c>
      <c r="I132" s="6">
        <v>0</v>
      </c>
      <c r="J132" s="6">
        <v>1499</v>
      </c>
      <c r="K132" s="6">
        <v>1</v>
      </c>
      <c r="L132" s="6" t="s">
        <v>2344</v>
      </c>
      <c r="M132" s="6" t="e">
        <f>VLOOKUP(L132,'Nov Inv Recon'!H:H,1,FALSE)</f>
        <v>#N/A</v>
      </c>
      <c r="N132" s="6" t="e">
        <f>VLOOKUP(L132,VictoryHeitrich!D:D,1,FALSE)</f>
        <v>#N/A</v>
      </c>
      <c r="O132" s="6" t="s">
        <v>423</v>
      </c>
      <c r="P132" s="6" t="s">
        <v>1311</v>
      </c>
      <c r="Q132" s="6" t="s">
        <v>1980</v>
      </c>
      <c r="R132" s="6" t="s">
        <v>1980</v>
      </c>
      <c r="S132" s="6" t="s">
        <v>97</v>
      </c>
      <c r="T132" s="6" t="s">
        <v>98</v>
      </c>
      <c r="U132" s="6" t="s">
        <v>1313</v>
      </c>
      <c r="V132" s="6" t="s">
        <v>1314</v>
      </c>
      <c r="W132" s="6">
        <v>2025</v>
      </c>
      <c r="X132" s="6">
        <v>11</v>
      </c>
      <c r="Y132" s="6" t="s">
        <v>1315</v>
      </c>
      <c r="Z132" s="6">
        <v>2025</v>
      </c>
      <c r="AA132" s="6" t="s">
        <v>1316</v>
      </c>
      <c r="AB132" s="6" t="str">
        <f>VLOOKUP(S132,Mapping!A:C,3,FALSE)</f>
        <v>Primary</v>
      </c>
    </row>
    <row r="133" spans="1:28" x14ac:dyDescent="0.35">
      <c r="A133" s="6" t="s">
        <v>1302</v>
      </c>
      <c r="B133" s="6" t="s">
        <v>1303</v>
      </c>
      <c r="C133" s="6" t="s">
        <v>1304</v>
      </c>
      <c r="D133" s="6" t="s">
        <v>1305</v>
      </c>
      <c r="E133" s="6" t="s">
        <v>1306</v>
      </c>
      <c r="F133" s="6" t="s">
        <v>1307</v>
      </c>
      <c r="G133" s="6" t="s">
        <v>1308</v>
      </c>
      <c r="H133" s="6" t="s">
        <v>1682</v>
      </c>
      <c r="I133" s="6">
        <v>0</v>
      </c>
      <c r="J133" s="6">
        <v>1499</v>
      </c>
      <c r="K133" s="6">
        <v>1</v>
      </c>
      <c r="L133" s="6" t="s">
        <v>2303</v>
      </c>
      <c r="M133" s="6" t="e">
        <f>VLOOKUP(L133,'Nov Inv Recon'!H:H,1,FALSE)</f>
        <v>#N/A</v>
      </c>
      <c r="N133" s="6" t="e">
        <f>VLOOKUP(L133,VictoryHeitrich!D:D,1,FALSE)</f>
        <v>#N/A</v>
      </c>
      <c r="O133" s="6" t="s">
        <v>549</v>
      </c>
      <c r="P133" s="6" t="s">
        <v>1311</v>
      </c>
      <c r="Q133" s="6" t="s">
        <v>2541</v>
      </c>
      <c r="R133" s="6" t="s">
        <v>2541</v>
      </c>
      <c r="S133" s="6" t="s">
        <v>97</v>
      </c>
      <c r="T133" s="6" t="s">
        <v>98</v>
      </c>
      <c r="U133" s="6" t="s">
        <v>1313</v>
      </c>
      <c r="V133" s="6" t="s">
        <v>1314</v>
      </c>
      <c r="W133" s="6">
        <v>2025</v>
      </c>
      <c r="X133" s="6">
        <v>11</v>
      </c>
      <c r="Y133" s="6" t="s">
        <v>1315</v>
      </c>
      <c r="Z133" s="6">
        <v>2025</v>
      </c>
      <c r="AA133" s="6" t="s">
        <v>1316</v>
      </c>
      <c r="AB133" s="6" t="str">
        <f>VLOOKUP(S133,Mapping!A:C,3,FALSE)</f>
        <v>Primary</v>
      </c>
    </row>
    <row r="134" spans="1:28" x14ac:dyDescent="0.35">
      <c r="A134" s="6" t="s">
        <v>1302</v>
      </c>
      <c r="B134" s="6" t="s">
        <v>1303</v>
      </c>
      <c r="C134" s="6" t="s">
        <v>1304</v>
      </c>
      <c r="D134" s="6" t="s">
        <v>1305</v>
      </c>
      <c r="E134" s="6" t="s">
        <v>1306</v>
      </c>
      <c r="F134" s="6" t="s">
        <v>1307</v>
      </c>
      <c r="G134" s="6" t="s">
        <v>1308</v>
      </c>
      <c r="H134" s="6" t="s">
        <v>1632</v>
      </c>
      <c r="I134" s="6">
        <v>0</v>
      </c>
      <c r="J134" s="6">
        <v>1499</v>
      </c>
      <c r="K134" s="6">
        <v>1</v>
      </c>
      <c r="L134" s="6" t="s">
        <v>2254</v>
      </c>
      <c r="M134" s="6" t="e">
        <f>VLOOKUP(L134,'Nov Inv Recon'!H:H,1,FALSE)</f>
        <v>#N/A</v>
      </c>
      <c r="N134" s="6" t="e">
        <f>VLOOKUP(L134,VictoryHeitrich!D:D,1,FALSE)</f>
        <v>#N/A</v>
      </c>
      <c r="O134" s="6" t="s">
        <v>870</v>
      </c>
      <c r="P134" s="6" t="s">
        <v>1311</v>
      </c>
      <c r="Q134" s="6" t="s">
        <v>2542</v>
      </c>
      <c r="R134" s="6" t="s">
        <v>2542</v>
      </c>
      <c r="S134" s="6" t="s">
        <v>97</v>
      </c>
      <c r="T134" s="6" t="s">
        <v>98</v>
      </c>
      <c r="U134" s="6" t="s">
        <v>1313</v>
      </c>
      <c r="V134" s="6" t="s">
        <v>1314</v>
      </c>
      <c r="W134" s="6">
        <v>2025</v>
      </c>
      <c r="X134" s="6">
        <v>11</v>
      </c>
      <c r="Y134" s="6" t="s">
        <v>1315</v>
      </c>
      <c r="Z134" s="6">
        <v>2025</v>
      </c>
      <c r="AA134" s="6" t="s">
        <v>1316</v>
      </c>
      <c r="AB134" s="6" t="str">
        <f>VLOOKUP(S134,Mapping!A:C,3,FALSE)</f>
        <v>Primary</v>
      </c>
    </row>
    <row r="135" spans="1:28" x14ac:dyDescent="0.35">
      <c r="A135" s="6" t="s">
        <v>1302</v>
      </c>
      <c r="B135" s="6" t="s">
        <v>1303</v>
      </c>
      <c r="C135" s="6" t="s">
        <v>1304</v>
      </c>
      <c r="D135" s="6" t="s">
        <v>1305</v>
      </c>
      <c r="E135" s="6" t="s">
        <v>1306</v>
      </c>
      <c r="F135" s="6" t="s">
        <v>1307</v>
      </c>
      <c r="G135" s="6" t="s">
        <v>1308</v>
      </c>
      <c r="H135" s="6" t="s">
        <v>1697</v>
      </c>
      <c r="I135" s="6">
        <v>0</v>
      </c>
      <c r="J135" s="6">
        <v>1915.5</v>
      </c>
      <c r="K135" s="6">
        <v>1</v>
      </c>
      <c r="L135" s="6" t="s">
        <v>2206</v>
      </c>
      <c r="M135" s="6" t="e">
        <f>VLOOKUP(L135,'Nov Inv Recon'!H:H,1,FALSE)</f>
        <v>#N/A</v>
      </c>
      <c r="N135" s="6" t="e">
        <f>VLOOKUP(L135,VictoryHeitrich!D:D,1,FALSE)</f>
        <v>#N/A</v>
      </c>
      <c r="O135" s="6" t="s">
        <v>887</v>
      </c>
      <c r="P135" s="6" t="s">
        <v>1311</v>
      </c>
      <c r="Q135" s="6" t="s">
        <v>2543</v>
      </c>
      <c r="R135" s="6" t="s">
        <v>2543</v>
      </c>
      <c r="S135" s="6" t="s">
        <v>97</v>
      </c>
      <c r="T135" s="6" t="s">
        <v>98</v>
      </c>
      <c r="U135" s="6" t="s">
        <v>1313</v>
      </c>
      <c r="V135" s="6" t="s">
        <v>1314</v>
      </c>
      <c r="W135" s="6">
        <v>2025</v>
      </c>
      <c r="X135" s="6">
        <v>11</v>
      </c>
      <c r="Y135" s="6" t="s">
        <v>1315</v>
      </c>
      <c r="Z135" s="6">
        <v>2025</v>
      </c>
      <c r="AA135" s="6" t="s">
        <v>1316</v>
      </c>
      <c r="AB135" s="6" t="str">
        <f>VLOOKUP(S135,Mapping!A:C,3,FALSE)</f>
        <v>Primary</v>
      </c>
    </row>
    <row r="136" spans="1:28" x14ac:dyDescent="0.35">
      <c r="A136" s="6" t="s">
        <v>1302</v>
      </c>
      <c r="B136" s="6" t="s">
        <v>1303</v>
      </c>
      <c r="C136" s="6" t="s">
        <v>1304</v>
      </c>
      <c r="D136" s="6" t="s">
        <v>1305</v>
      </c>
      <c r="E136" s="6" t="s">
        <v>1306</v>
      </c>
      <c r="F136" s="6" t="s">
        <v>1307</v>
      </c>
      <c r="G136" s="6" t="s">
        <v>1308</v>
      </c>
      <c r="H136" s="6" t="s">
        <v>1719</v>
      </c>
      <c r="I136" s="6">
        <v>0</v>
      </c>
      <c r="J136" s="6">
        <v>1499</v>
      </c>
      <c r="K136" s="6">
        <v>1</v>
      </c>
      <c r="L136" s="6" t="s">
        <v>2093</v>
      </c>
      <c r="M136" s="6" t="e">
        <f>VLOOKUP(L136,'Nov Inv Recon'!H:H,1,FALSE)</f>
        <v>#N/A</v>
      </c>
      <c r="N136" s="6" t="e">
        <f>VLOOKUP(L136,VictoryHeitrich!D:D,1,FALSE)</f>
        <v>#N/A</v>
      </c>
      <c r="O136" s="6" t="s">
        <v>634</v>
      </c>
      <c r="P136" s="6" t="s">
        <v>1311</v>
      </c>
      <c r="Q136" s="6" t="s">
        <v>2544</v>
      </c>
      <c r="R136" s="6" t="s">
        <v>2544</v>
      </c>
      <c r="S136" s="6" t="s">
        <v>97</v>
      </c>
      <c r="T136" s="6" t="s">
        <v>98</v>
      </c>
      <c r="U136" s="6" t="s">
        <v>1313</v>
      </c>
      <c r="V136" s="6" t="s">
        <v>1314</v>
      </c>
      <c r="W136" s="6">
        <v>2025</v>
      </c>
      <c r="X136" s="6">
        <v>11</v>
      </c>
      <c r="Y136" s="6" t="s">
        <v>1315</v>
      </c>
      <c r="Z136" s="6">
        <v>2025</v>
      </c>
      <c r="AA136" s="6" t="s">
        <v>1316</v>
      </c>
      <c r="AB136" s="6" t="str">
        <f>VLOOKUP(S136,Mapping!A:C,3,FALSE)</f>
        <v>Primary</v>
      </c>
    </row>
    <row r="137" spans="1:28" x14ac:dyDescent="0.35">
      <c r="A137" s="6" t="s">
        <v>1302</v>
      </c>
      <c r="B137" s="6" t="s">
        <v>1303</v>
      </c>
      <c r="C137" s="6" t="s">
        <v>1304</v>
      </c>
      <c r="D137" s="6" t="s">
        <v>1305</v>
      </c>
      <c r="E137" s="6" t="s">
        <v>1306</v>
      </c>
      <c r="F137" s="6" t="s">
        <v>1307</v>
      </c>
      <c r="G137" s="6" t="s">
        <v>1308</v>
      </c>
      <c r="H137" s="6" t="s">
        <v>1682</v>
      </c>
      <c r="I137" s="6">
        <v>0</v>
      </c>
      <c r="J137" s="6">
        <v>1499</v>
      </c>
      <c r="K137" s="6">
        <v>1</v>
      </c>
      <c r="L137" s="6" t="s">
        <v>2060</v>
      </c>
      <c r="M137" s="6" t="e">
        <f>VLOOKUP(L137,'Nov Inv Recon'!H:H,1,FALSE)</f>
        <v>#N/A</v>
      </c>
      <c r="N137" s="6" t="e">
        <f>VLOOKUP(L137,VictoryHeitrich!D:D,1,FALSE)</f>
        <v>#N/A</v>
      </c>
      <c r="O137" s="6" t="s">
        <v>846</v>
      </c>
      <c r="P137" s="6" t="s">
        <v>1311</v>
      </c>
      <c r="Q137" s="6" t="s">
        <v>2545</v>
      </c>
      <c r="R137" s="6" t="s">
        <v>2545</v>
      </c>
      <c r="S137" s="6" t="s">
        <v>97</v>
      </c>
      <c r="T137" s="6" t="s">
        <v>98</v>
      </c>
      <c r="U137" s="6" t="s">
        <v>1313</v>
      </c>
      <c r="V137" s="6" t="s">
        <v>1314</v>
      </c>
      <c r="W137" s="6">
        <v>2025</v>
      </c>
      <c r="X137" s="6">
        <v>11</v>
      </c>
      <c r="Y137" s="6" t="s">
        <v>1315</v>
      </c>
      <c r="Z137" s="6">
        <v>2025</v>
      </c>
      <c r="AA137" s="6" t="s">
        <v>1316</v>
      </c>
      <c r="AB137" s="6" t="str">
        <f>VLOOKUP(S137,Mapping!A:C,3,FALSE)</f>
        <v>Primary</v>
      </c>
    </row>
    <row r="138" spans="1:28" x14ac:dyDescent="0.35">
      <c r="A138" s="6" t="s">
        <v>1302</v>
      </c>
      <c r="B138" s="6" t="s">
        <v>1303</v>
      </c>
      <c r="C138" s="6" t="s">
        <v>1304</v>
      </c>
      <c r="D138" s="6" t="s">
        <v>1305</v>
      </c>
      <c r="E138" s="6" t="s">
        <v>1306</v>
      </c>
      <c r="F138" s="6" t="s">
        <v>1307</v>
      </c>
      <c r="G138" s="6" t="s">
        <v>1308</v>
      </c>
      <c r="H138" s="6" t="s">
        <v>1682</v>
      </c>
      <c r="I138" s="6">
        <v>0</v>
      </c>
      <c r="J138" s="6">
        <v>1499</v>
      </c>
      <c r="K138" s="6">
        <v>1</v>
      </c>
      <c r="L138" s="6" t="s">
        <v>1530</v>
      </c>
      <c r="M138" s="6" t="e">
        <f>VLOOKUP(L138,'Nov Inv Recon'!H:H,1,FALSE)</f>
        <v>#N/A</v>
      </c>
      <c r="N138" s="6" t="e">
        <f>VLOOKUP(L138,VictoryHeitrich!D:D,1,FALSE)</f>
        <v>#N/A</v>
      </c>
      <c r="O138" s="6" t="s">
        <v>423</v>
      </c>
      <c r="P138" s="6" t="s">
        <v>1311</v>
      </c>
      <c r="Q138" s="6" t="s">
        <v>2546</v>
      </c>
      <c r="R138" s="6" t="s">
        <v>2546</v>
      </c>
      <c r="S138" s="6" t="s">
        <v>97</v>
      </c>
      <c r="T138" s="6" t="s">
        <v>98</v>
      </c>
      <c r="U138" s="6" t="s">
        <v>1313</v>
      </c>
      <c r="V138" s="6" t="s">
        <v>1314</v>
      </c>
      <c r="W138" s="6">
        <v>2025</v>
      </c>
      <c r="X138" s="6">
        <v>11</v>
      </c>
      <c r="Y138" s="6" t="s">
        <v>1315</v>
      </c>
      <c r="Z138" s="6">
        <v>2025</v>
      </c>
      <c r="AA138" s="6" t="s">
        <v>1316</v>
      </c>
      <c r="AB138" s="6" t="str">
        <f>VLOOKUP(S138,Mapping!A:C,3,FALSE)</f>
        <v>Primary</v>
      </c>
    </row>
    <row r="139" spans="1:28" x14ac:dyDescent="0.35">
      <c r="A139" s="6" t="s">
        <v>1302</v>
      </c>
      <c r="B139" s="6" t="s">
        <v>1303</v>
      </c>
      <c r="C139" s="6" t="s">
        <v>1304</v>
      </c>
      <c r="D139" s="6" t="s">
        <v>1305</v>
      </c>
      <c r="E139" s="6" t="s">
        <v>1306</v>
      </c>
      <c r="F139" s="6" t="s">
        <v>1307</v>
      </c>
      <c r="G139" s="6" t="s">
        <v>1308</v>
      </c>
      <c r="H139" s="6" t="s">
        <v>1742</v>
      </c>
      <c r="I139" s="6">
        <v>0</v>
      </c>
      <c r="J139" s="6">
        <v>1499</v>
      </c>
      <c r="K139" s="6">
        <v>1</v>
      </c>
      <c r="L139" s="6" t="s">
        <v>2144</v>
      </c>
      <c r="M139" s="6" t="e">
        <f>VLOOKUP(L139,'Nov Inv Recon'!H:H,1,FALSE)</f>
        <v>#N/A</v>
      </c>
      <c r="N139" s="6" t="e">
        <f>VLOOKUP(L139,VictoryHeitrich!D:D,1,FALSE)</f>
        <v>#N/A</v>
      </c>
      <c r="O139" s="6" t="s">
        <v>890</v>
      </c>
      <c r="P139" s="6" t="s">
        <v>1311</v>
      </c>
      <c r="Q139" s="6" t="s">
        <v>2547</v>
      </c>
      <c r="R139" s="6" t="s">
        <v>2547</v>
      </c>
      <c r="S139" s="6" t="s">
        <v>97</v>
      </c>
      <c r="T139" s="6" t="s">
        <v>98</v>
      </c>
      <c r="U139" s="6" t="s">
        <v>1313</v>
      </c>
      <c r="V139" s="6" t="s">
        <v>1314</v>
      </c>
      <c r="W139" s="6">
        <v>2025</v>
      </c>
      <c r="X139" s="6">
        <v>11</v>
      </c>
      <c r="Y139" s="6" t="s">
        <v>1315</v>
      </c>
      <c r="Z139" s="6">
        <v>2025</v>
      </c>
      <c r="AA139" s="6" t="s">
        <v>1316</v>
      </c>
      <c r="AB139" s="6" t="str">
        <f>VLOOKUP(S139,Mapping!A:C,3,FALSE)</f>
        <v>Primary</v>
      </c>
    </row>
    <row r="140" spans="1:28" x14ac:dyDescent="0.35">
      <c r="A140" s="6" t="s">
        <v>1302</v>
      </c>
      <c r="B140" s="6" t="s">
        <v>1303</v>
      </c>
      <c r="C140" s="6" t="s">
        <v>1304</v>
      </c>
      <c r="D140" s="6" t="s">
        <v>1305</v>
      </c>
      <c r="E140" s="6" t="s">
        <v>1306</v>
      </c>
      <c r="F140" s="6" t="s">
        <v>1307</v>
      </c>
      <c r="G140" s="6" t="s">
        <v>1308</v>
      </c>
      <c r="H140" s="6" t="s">
        <v>1742</v>
      </c>
      <c r="I140" s="6">
        <v>0</v>
      </c>
      <c r="J140" s="6">
        <v>1499</v>
      </c>
      <c r="K140" s="6">
        <v>1</v>
      </c>
      <c r="L140" s="6" t="s">
        <v>2289</v>
      </c>
      <c r="M140" s="6" t="e">
        <f>VLOOKUP(L140,'Nov Inv Recon'!H:H,1,FALSE)</f>
        <v>#N/A</v>
      </c>
      <c r="N140" s="6" t="e">
        <f>VLOOKUP(L140,VictoryHeitrich!D:D,1,FALSE)</f>
        <v>#N/A</v>
      </c>
      <c r="O140" s="6" t="s">
        <v>632</v>
      </c>
      <c r="P140" s="6" t="s">
        <v>1311</v>
      </c>
      <c r="Q140" s="6" t="s">
        <v>2548</v>
      </c>
      <c r="R140" s="6" t="s">
        <v>2548</v>
      </c>
      <c r="S140" s="6" t="s">
        <v>97</v>
      </c>
      <c r="T140" s="6" t="s">
        <v>98</v>
      </c>
      <c r="U140" s="6" t="s">
        <v>1313</v>
      </c>
      <c r="V140" s="6" t="s">
        <v>1314</v>
      </c>
      <c r="W140" s="6">
        <v>2025</v>
      </c>
      <c r="X140" s="6">
        <v>11</v>
      </c>
      <c r="Y140" s="6" t="s">
        <v>1315</v>
      </c>
      <c r="Z140" s="6">
        <v>2025</v>
      </c>
      <c r="AA140" s="6" t="s">
        <v>1316</v>
      </c>
      <c r="AB140" s="6" t="str">
        <f>VLOOKUP(S140,Mapping!A:C,3,FALSE)</f>
        <v>Primary</v>
      </c>
    </row>
    <row r="141" spans="1:28" x14ac:dyDescent="0.35">
      <c r="A141" s="6" t="s">
        <v>1302</v>
      </c>
      <c r="B141" s="6" t="s">
        <v>1303</v>
      </c>
      <c r="C141" s="6" t="s">
        <v>1304</v>
      </c>
      <c r="D141" s="6" t="s">
        <v>1305</v>
      </c>
      <c r="E141" s="6" t="s">
        <v>1306</v>
      </c>
      <c r="F141" s="6" t="s">
        <v>1307</v>
      </c>
      <c r="G141" s="6" t="s">
        <v>1308</v>
      </c>
      <c r="H141" s="6" t="s">
        <v>2505</v>
      </c>
      <c r="I141" s="6">
        <v>0</v>
      </c>
      <c r="J141" s="6">
        <v>1618.92</v>
      </c>
      <c r="K141" s="6">
        <v>1</v>
      </c>
      <c r="L141" s="6" t="s">
        <v>2132</v>
      </c>
      <c r="M141" s="6" t="e">
        <f>VLOOKUP(L141,'Nov Inv Recon'!H:H,1,FALSE)</f>
        <v>#N/A</v>
      </c>
      <c r="N141" s="6" t="e">
        <f>VLOOKUP(L141,VictoryHeitrich!D:D,1,FALSE)</f>
        <v>#N/A</v>
      </c>
      <c r="O141" s="6" t="s">
        <v>326</v>
      </c>
      <c r="P141" s="6" t="s">
        <v>1311</v>
      </c>
      <c r="Q141" s="6" t="s">
        <v>2549</v>
      </c>
      <c r="R141" s="6" t="s">
        <v>2549</v>
      </c>
      <c r="S141" s="6" t="s">
        <v>97</v>
      </c>
      <c r="T141" s="6" t="s">
        <v>98</v>
      </c>
      <c r="U141" s="6" t="s">
        <v>1313</v>
      </c>
      <c r="V141" s="6" t="s">
        <v>1314</v>
      </c>
      <c r="W141" s="6">
        <v>2025</v>
      </c>
      <c r="X141" s="6">
        <v>11</v>
      </c>
      <c r="Y141" s="6" t="s">
        <v>1315</v>
      </c>
      <c r="Z141" s="6">
        <v>2025</v>
      </c>
      <c r="AA141" s="6" t="s">
        <v>1316</v>
      </c>
      <c r="AB141" s="6" t="str">
        <f>VLOOKUP(S141,Mapping!A:C,3,FALSE)</f>
        <v>Primary</v>
      </c>
    </row>
    <row r="142" spans="1:28" x14ac:dyDescent="0.35">
      <c r="A142" s="6" t="s">
        <v>1302</v>
      </c>
      <c r="B142" s="6" t="s">
        <v>1303</v>
      </c>
      <c r="C142" s="6" t="s">
        <v>1304</v>
      </c>
      <c r="D142" s="6" t="s">
        <v>1305</v>
      </c>
      <c r="E142" s="6" t="s">
        <v>1306</v>
      </c>
      <c r="F142" s="6" t="s">
        <v>1307</v>
      </c>
      <c r="G142" s="6" t="s">
        <v>1308</v>
      </c>
      <c r="H142" s="6" t="s">
        <v>1765</v>
      </c>
      <c r="I142" s="6">
        <v>0</v>
      </c>
      <c r="J142" s="6">
        <v>1756.53</v>
      </c>
      <c r="K142" s="6">
        <v>1</v>
      </c>
      <c r="L142" s="6" t="s">
        <v>2224</v>
      </c>
      <c r="M142" s="6" t="e">
        <f>VLOOKUP(L142,'Nov Inv Recon'!H:H,1,FALSE)</f>
        <v>#N/A</v>
      </c>
      <c r="N142" s="6" t="e">
        <f>VLOOKUP(L142,VictoryHeitrich!D:D,1,FALSE)</f>
        <v>#N/A</v>
      </c>
      <c r="O142" s="6" t="s">
        <v>785</v>
      </c>
      <c r="P142" s="6" t="s">
        <v>1311</v>
      </c>
      <c r="Q142" s="6" t="s">
        <v>2550</v>
      </c>
      <c r="R142" s="6" t="s">
        <v>2550</v>
      </c>
      <c r="S142" s="6" t="s">
        <v>97</v>
      </c>
      <c r="T142" s="6" t="s">
        <v>98</v>
      </c>
      <c r="U142" s="6" t="s">
        <v>1313</v>
      </c>
      <c r="V142" s="6" t="s">
        <v>1314</v>
      </c>
      <c r="W142" s="6">
        <v>2025</v>
      </c>
      <c r="X142" s="6">
        <v>11</v>
      </c>
      <c r="Y142" s="6" t="s">
        <v>1315</v>
      </c>
      <c r="Z142" s="6">
        <v>2025</v>
      </c>
      <c r="AA142" s="6" t="s">
        <v>1316</v>
      </c>
      <c r="AB142" s="6" t="str">
        <f>VLOOKUP(S142,Mapping!A:C,3,FALSE)</f>
        <v>Primary</v>
      </c>
    </row>
    <row r="143" spans="1:28" x14ac:dyDescent="0.35">
      <c r="A143" s="6" t="s">
        <v>1302</v>
      </c>
      <c r="B143" s="6" t="s">
        <v>1303</v>
      </c>
      <c r="C143" s="6" t="s">
        <v>1304</v>
      </c>
      <c r="D143" s="6" t="s">
        <v>1305</v>
      </c>
      <c r="E143" s="6" t="s">
        <v>1306</v>
      </c>
      <c r="F143" s="6" t="s">
        <v>1307</v>
      </c>
      <c r="G143" s="6" t="s">
        <v>1308</v>
      </c>
      <c r="H143" s="6" t="s">
        <v>1682</v>
      </c>
      <c r="I143" s="6">
        <v>0</v>
      </c>
      <c r="J143" s="6">
        <v>1499</v>
      </c>
      <c r="K143" s="6">
        <v>1</v>
      </c>
      <c r="L143" s="6" t="s">
        <v>2178</v>
      </c>
      <c r="M143" s="6" t="e">
        <f>VLOOKUP(L143,'Nov Inv Recon'!H:H,1,FALSE)</f>
        <v>#N/A</v>
      </c>
      <c r="N143" s="6" t="e">
        <f>VLOOKUP(L143,VictoryHeitrich!D:D,1,FALSE)</f>
        <v>#N/A</v>
      </c>
      <c r="O143" s="6" t="s">
        <v>885</v>
      </c>
      <c r="P143" s="6" t="s">
        <v>1311</v>
      </c>
      <c r="Q143" s="6" t="s">
        <v>2551</v>
      </c>
      <c r="R143" s="6" t="s">
        <v>2551</v>
      </c>
      <c r="S143" s="6" t="s">
        <v>97</v>
      </c>
      <c r="T143" s="6" t="s">
        <v>98</v>
      </c>
      <c r="U143" s="6" t="s">
        <v>1313</v>
      </c>
      <c r="V143" s="6" t="s">
        <v>1314</v>
      </c>
      <c r="W143" s="6">
        <v>2025</v>
      </c>
      <c r="X143" s="6">
        <v>11</v>
      </c>
      <c r="Y143" s="6" t="s">
        <v>1315</v>
      </c>
      <c r="Z143" s="6">
        <v>2025</v>
      </c>
      <c r="AA143" s="6" t="s">
        <v>1316</v>
      </c>
      <c r="AB143" s="6" t="str">
        <f>VLOOKUP(S143,Mapping!A:C,3,FALSE)</f>
        <v>Primary</v>
      </c>
    </row>
    <row r="144" spans="1:28" x14ac:dyDescent="0.35">
      <c r="A144" s="6" t="s">
        <v>1302</v>
      </c>
      <c r="B144" s="6" t="s">
        <v>1303</v>
      </c>
      <c r="C144" s="6" t="s">
        <v>1304</v>
      </c>
      <c r="D144" s="6" t="s">
        <v>1305</v>
      </c>
      <c r="E144" s="6" t="s">
        <v>1306</v>
      </c>
      <c r="F144" s="6" t="s">
        <v>1307</v>
      </c>
      <c r="G144" s="6" t="s">
        <v>1308</v>
      </c>
      <c r="H144" s="6" t="s">
        <v>1682</v>
      </c>
      <c r="I144" s="6">
        <v>0</v>
      </c>
      <c r="J144" s="6">
        <v>1499</v>
      </c>
      <c r="K144" s="6">
        <v>1</v>
      </c>
      <c r="L144" s="6" t="s">
        <v>2345</v>
      </c>
      <c r="M144" s="6" t="e">
        <f>VLOOKUP(L144,'Nov Inv Recon'!H:H,1,FALSE)</f>
        <v>#N/A</v>
      </c>
      <c r="N144" s="6" t="e">
        <f>VLOOKUP(L144,VictoryHeitrich!D:D,1,FALSE)</f>
        <v>#N/A</v>
      </c>
      <c r="O144" s="6" t="s">
        <v>420</v>
      </c>
      <c r="P144" s="6" t="s">
        <v>1311</v>
      </c>
      <c r="Q144" s="6" t="s">
        <v>1872</v>
      </c>
      <c r="R144" s="6" t="s">
        <v>1872</v>
      </c>
      <c r="S144" s="6" t="s">
        <v>97</v>
      </c>
      <c r="T144" s="6" t="s">
        <v>98</v>
      </c>
      <c r="U144" s="6" t="s">
        <v>1313</v>
      </c>
      <c r="V144" s="6" t="s">
        <v>1314</v>
      </c>
      <c r="W144" s="6">
        <v>2025</v>
      </c>
      <c r="X144" s="6">
        <v>11</v>
      </c>
      <c r="Y144" s="6" t="s">
        <v>1315</v>
      </c>
      <c r="Z144" s="6">
        <v>2025</v>
      </c>
      <c r="AA144" s="6" t="s">
        <v>1316</v>
      </c>
      <c r="AB144" s="6" t="str">
        <f>VLOOKUP(S144,Mapping!A:C,3,FALSE)</f>
        <v>Primary</v>
      </c>
    </row>
    <row r="145" spans="1:28" x14ac:dyDescent="0.35">
      <c r="A145" s="6" t="s">
        <v>1302</v>
      </c>
      <c r="B145" s="6" t="s">
        <v>1303</v>
      </c>
      <c r="C145" s="6" t="s">
        <v>1304</v>
      </c>
      <c r="D145" s="6" t="s">
        <v>1305</v>
      </c>
      <c r="E145" s="6" t="s">
        <v>1306</v>
      </c>
      <c r="F145" s="6" t="s">
        <v>1307</v>
      </c>
      <c r="G145" s="6" t="s">
        <v>1308</v>
      </c>
      <c r="H145" s="6" t="s">
        <v>2505</v>
      </c>
      <c r="I145" s="6">
        <v>0</v>
      </c>
      <c r="J145" s="6">
        <v>1618.92</v>
      </c>
      <c r="K145" s="6">
        <v>1</v>
      </c>
      <c r="L145" s="6" t="s">
        <v>2131</v>
      </c>
      <c r="M145" s="6" t="e">
        <f>VLOOKUP(L145,'Nov Inv Recon'!H:H,1,FALSE)</f>
        <v>#N/A</v>
      </c>
      <c r="N145" s="6" t="e">
        <f>VLOOKUP(L145,VictoryHeitrich!D:D,1,FALSE)</f>
        <v>#N/A</v>
      </c>
      <c r="O145" s="6" t="s">
        <v>323</v>
      </c>
      <c r="P145" s="6" t="s">
        <v>1311</v>
      </c>
      <c r="Q145" s="6" t="s">
        <v>2552</v>
      </c>
      <c r="R145" s="6" t="s">
        <v>2552</v>
      </c>
      <c r="S145" s="6" t="s">
        <v>97</v>
      </c>
      <c r="T145" s="6" t="s">
        <v>98</v>
      </c>
      <c r="U145" s="6" t="s">
        <v>1313</v>
      </c>
      <c r="V145" s="6" t="s">
        <v>1314</v>
      </c>
      <c r="W145" s="6">
        <v>2025</v>
      </c>
      <c r="X145" s="6">
        <v>11</v>
      </c>
      <c r="Y145" s="6" t="s">
        <v>1315</v>
      </c>
      <c r="Z145" s="6">
        <v>2025</v>
      </c>
      <c r="AA145" s="6" t="s">
        <v>1316</v>
      </c>
      <c r="AB145" s="6" t="str">
        <f>VLOOKUP(S145,Mapping!A:C,3,FALSE)</f>
        <v>Primary</v>
      </c>
    </row>
    <row r="146" spans="1:28" x14ac:dyDescent="0.35">
      <c r="A146" s="6" t="s">
        <v>1302</v>
      </c>
      <c r="B146" s="6" t="s">
        <v>1303</v>
      </c>
      <c r="C146" s="6" t="s">
        <v>1304</v>
      </c>
      <c r="D146" s="6" t="s">
        <v>1305</v>
      </c>
      <c r="E146" s="6" t="s">
        <v>1306</v>
      </c>
      <c r="F146" s="6" t="s">
        <v>1307</v>
      </c>
      <c r="G146" s="6" t="s">
        <v>1308</v>
      </c>
      <c r="H146" s="6" t="s">
        <v>1719</v>
      </c>
      <c r="I146" s="6">
        <v>0</v>
      </c>
      <c r="J146" s="6">
        <v>1499</v>
      </c>
      <c r="K146" s="6">
        <v>1</v>
      </c>
      <c r="L146" s="6" t="s">
        <v>2314</v>
      </c>
      <c r="M146" s="6" t="e">
        <f>VLOOKUP(L146,'Nov Inv Recon'!H:H,1,FALSE)</f>
        <v>#N/A</v>
      </c>
      <c r="N146" s="6" t="e">
        <f>VLOOKUP(L146,VictoryHeitrich!D:D,1,FALSE)</f>
        <v>#N/A</v>
      </c>
      <c r="O146" s="6" t="s">
        <v>448</v>
      </c>
      <c r="P146" s="6" t="s">
        <v>1311</v>
      </c>
      <c r="Q146" s="6" t="s">
        <v>2553</v>
      </c>
      <c r="R146" s="6" t="s">
        <v>2553</v>
      </c>
      <c r="S146" s="6" t="s">
        <v>97</v>
      </c>
      <c r="T146" s="6" t="s">
        <v>98</v>
      </c>
      <c r="U146" s="6" t="s">
        <v>1313</v>
      </c>
      <c r="V146" s="6" t="s">
        <v>1314</v>
      </c>
      <c r="W146" s="6">
        <v>2025</v>
      </c>
      <c r="X146" s="6">
        <v>11</v>
      </c>
      <c r="Y146" s="6" t="s">
        <v>1315</v>
      </c>
      <c r="Z146" s="6">
        <v>2025</v>
      </c>
      <c r="AA146" s="6" t="s">
        <v>1316</v>
      </c>
      <c r="AB146" s="6" t="str">
        <f>VLOOKUP(S146,Mapping!A:C,3,FALSE)</f>
        <v>Primary</v>
      </c>
    </row>
    <row r="147" spans="1:28" x14ac:dyDescent="0.35">
      <c r="A147" s="6" t="s">
        <v>1302</v>
      </c>
      <c r="B147" s="6" t="s">
        <v>1303</v>
      </c>
      <c r="C147" s="6" t="s">
        <v>1304</v>
      </c>
      <c r="D147" s="6" t="s">
        <v>1305</v>
      </c>
      <c r="E147" s="6" t="s">
        <v>1306</v>
      </c>
      <c r="F147" s="6" t="s">
        <v>1307</v>
      </c>
      <c r="G147" s="6" t="s">
        <v>1308</v>
      </c>
      <c r="H147" s="6" t="s">
        <v>1719</v>
      </c>
      <c r="I147" s="6">
        <v>0</v>
      </c>
      <c r="J147" s="6">
        <v>1499</v>
      </c>
      <c r="K147" s="6">
        <v>1</v>
      </c>
      <c r="L147" s="6" t="s">
        <v>2271</v>
      </c>
      <c r="M147" s="6" t="e">
        <f>VLOOKUP(L147,'Nov Inv Recon'!H:H,1,FALSE)</f>
        <v>#N/A</v>
      </c>
      <c r="N147" s="6" t="e">
        <f>VLOOKUP(L147,VictoryHeitrich!D:D,1,FALSE)</f>
        <v>#N/A</v>
      </c>
      <c r="O147" s="6" t="s">
        <v>450</v>
      </c>
      <c r="P147" s="6" t="s">
        <v>1311</v>
      </c>
      <c r="Q147" s="6" t="s">
        <v>2554</v>
      </c>
      <c r="R147" s="6" t="s">
        <v>2554</v>
      </c>
      <c r="S147" s="6" t="s">
        <v>97</v>
      </c>
      <c r="T147" s="6" t="s">
        <v>98</v>
      </c>
      <c r="U147" s="6" t="s">
        <v>1313</v>
      </c>
      <c r="V147" s="6" t="s">
        <v>1314</v>
      </c>
      <c r="W147" s="6">
        <v>2025</v>
      </c>
      <c r="X147" s="6">
        <v>11</v>
      </c>
      <c r="Y147" s="6" t="s">
        <v>1315</v>
      </c>
      <c r="Z147" s="6">
        <v>2025</v>
      </c>
      <c r="AA147" s="6" t="s">
        <v>1316</v>
      </c>
      <c r="AB147" s="6" t="str">
        <f>VLOOKUP(S147,Mapping!A:C,3,FALSE)</f>
        <v>Primary</v>
      </c>
    </row>
    <row r="148" spans="1:28" x14ac:dyDescent="0.35">
      <c r="A148" s="6" t="s">
        <v>1302</v>
      </c>
      <c r="B148" s="6" t="s">
        <v>1303</v>
      </c>
      <c r="C148" s="6" t="s">
        <v>1304</v>
      </c>
      <c r="D148" s="6" t="s">
        <v>1305</v>
      </c>
      <c r="E148" s="6" t="s">
        <v>1306</v>
      </c>
      <c r="F148" s="6" t="s">
        <v>1307</v>
      </c>
      <c r="G148" s="6" t="s">
        <v>1308</v>
      </c>
      <c r="H148" s="6" t="s">
        <v>1719</v>
      </c>
      <c r="I148" s="6">
        <v>531.9</v>
      </c>
      <c r="J148" s="6">
        <v>0</v>
      </c>
      <c r="K148" s="6">
        <v>11</v>
      </c>
      <c r="L148" s="6" t="s">
        <v>2343</v>
      </c>
      <c r="M148" s="6" t="e">
        <f>VLOOKUP(L148,'Nov Inv Recon'!H:H,1,FALSE)</f>
        <v>#N/A</v>
      </c>
      <c r="N148" s="6" t="e">
        <f>VLOOKUP(L148,VictoryHeitrich!D:D,1,FALSE)</f>
        <v>#N/A</v>
      </c>
      <c r="O148" s="6" t="s">
        <v>840</v>
      </c>
      <c r="P148" s="6" t="s">
        <v>1311</v>
      </c>
      <c r="Q148" s="6" t="s">
        <v>2555</v>
      </c>
      <c r="R148" s="6" t="s">
        <v>2556</v>
      </c>
      <c r="S148" s="6" t="s">
        <v>97</v>
      </c>
      <c r="T148" s="6" t="s">
        <v>98</v>
      </c>
      <c r="U148" s="6" t="s">
        <v>1313</v>
      </c>
      <c r="V148" s="6" t="s">
        <v>1314</v>
      </c>
      <c r="W148" s="6">
        <v>2025</v>
      </c>
      <c r="X148" s="6">
        <v>11</v>
      </c>
      <c r="Y148" s="6" t="s">
        <v>1315</v>
      </c>
      <c r="Z148" s="6">
        <v>2025</v>
      </c>
      <c r="AA148" s="6" t="s">
        <v>1316</v>
      </c>
      <c r="AB148" s="6" t="str">
        <f>VLOOKUP(S148,Mapping!A:C,3,FALSE)</f>
        <v>Primary</v>
      </c>
    </row>
    <row r="149" spans="1:28" x14ac:dyDescent="0.35">
      <c r="A149" s="6" t="s">
        <v>1302</v>
      </c>
      <c r="B149" s="6" t="s">
        <v>1303</v>
      </c>
      <c r="C149" s="6" t="s">
        <v>1304</v>
      </c>
      <c r="D149" s="6" t="s">
        <v>1305</v>
      </c>
      <c r="E149" s="6" t="s">
        <v>1306</v>
      </c>
      <c r="F149" s="6" t="s">
        <v>1307</v>
      </c>
      <c r="G149" s="6" t="s">
        <v>1308</v>
      </c>
      <c r="H149" s="6" t="s">
        <v>2505</v>
      </c>
      <c r="I149" s="6">
        <v>0</v>
      </c>
      <c r="J149" s="6">
        <v>1499</v>
      </c>
      <c r="K149" s="6">
        <v>1</v>
      </c>
      <c r="L149" s="6" t="s">
        <v>2072</v>
      </c>
      <c r="M149" s="6" t="e">
        <f>VLOOKUP(L149,'Nov Inv Recon'!H:H,1,FALSE)</f>
        <v>#N/A</v>
      </c>
      <c r="N149" s="6" t="e">
        <f>VLOOKUP(L149,VictoryHeitrich!D:D,1,FALSE)</f>
        <v>#N/A</v>
      </c>
      <c r="O149" s="6" t="s">
        <v>938</v>
      </c>
      <c r="P149" s="6" t="s">
        <v>1311</v>
      </c>
      <c r="Q149" s="6" t="s">
        <v>2557</v>
      </c>
      <c r="R149" s="6" t="s">
        <v>2557</v>
      </c>
      <c r="S149" s="6" t="s">
        <v>97</v>
      </c>
      <c r="T149" s="6" t="s">
        <v>98</v>
      </c>
      <c r="U149" s="6" t="s">
        <v>1313</v>
      </c>
      <c r="V149" s="6" t="s">
        <v>1314</v>
      </c>
      <c r="W149" s="6">
        <v>2025</v>
      </c>
      <c r="X149" s="6">
        <v>11</v>
      </c>
      <c r="Y149" s="6" t="s">
        <v>1315</v>
      </c>
      <c r="Z149" s="6">
        <v>2025</v>
      </c>
      <c r="AA149" s="6" t="s">
        <v>1316</v>
      </c>
      <c r="AB149" s="6" t="str">
        <f>VLOOKUP(S149,Mapping!A:C,3,FALSE)</f>
        <v>Primary</v>
      </c>
    </row>
    <row r="150" spans="1:28" x14ac:dyDescent="0.35">
      <c r="A150" s="6" t="s">
        <v>1302</v>
      </c>
      <c r="B150" s="6" t="s">
        <v>1303</v>
      </c>
      <c r="C150" s="6" t="s">
        <v>1304</v>
      </c>
      <c r="D150" s="6" t="s">
        <v>1305</v>
      </c>
      <c r="E150" s="6" t="s">
        <v>1306</v>
      </c>
      <c r="F150" s="6" t="s">
        <v>1307</v>
      </c>
      <c r="G150" s="6" t="s">
        <v>1308</v>
      </c>
      <c r="H150" s="6" t="s">
        <v>1974</v>
      </c>
      <c r="I150" s="6">
        <v>0</v>
      </c>
      <c r="J150" s="6">
        <v>1499</v>
      </c>
      <c r="K150" s="6">
        <v>1</v>
      </c>
      <c r="L150" s="6" t="s">
        <v>2140</v>
      </c>
      <c r="M150" s="6" t="e">
        <f>VLOOKUP(L150,'Nov Inv Recon'!H:H,1,FALSE)</f>
        <v>#N/A</v>
      </c>
      <c r="N150" s="6" t="e">
        <f>VLOOKUP(L150,VictoryHeitrich!D:D,1,FALSE)</f>
        <v>#N/A</v>
      </c>
      <c r="O150" s="6" t="s">
        <v>607</v>
      </c>
      <c r="P150" s="6" t="s">
        <v>1311</v>
      </c>
      <c r="Q150" s="6" t="s">
        <v>2558</v>
      </c>
      <c r="R150" s="6" t="s">
        <v>2558</v>
      </c>
      <c r="S150" s="6" t="s">
        <v>97</v>
      </c>
      <c r="T150" s="6" t="s">
        <v>98</v>
      </c>
      <c r="U150" s="6" t="s">
        <v>1313</v>
      </c>
      <c r="V150" s="6" t="s">
        <v>1314</v>
      </c>
      <c r="W150" s="6">
        <v>2025</v>
      </c>
      <c r="X150" s="6">
        <v>11</v>
      </c>
      <c r="Y150" s="6" t="s">
        <v>1315</v>
      </c>
      <c r="Z150" s="6">
        <v>2025</v>
      </c>
      <c r="AA150" s="6" t="s">
        <v>1316</v>
      </c>
      <c r="AB150" s="6" t="str">
        <f>VLOOKUP(S150,Mapping!A:C,3,FALSE)</f>
        <v>Primary</v>
      </c>
    </row>
    <row r="151" spans="1:28" x14ac:dyDescent="0.35">
      <c r="A151" s="6" t="s">
        <v>1302</v>
      </c>
      <c r="B151" s="6" t="s">
        <v>1303</v>
      </c>
      <c r="C151" s="6" t="s">
        <v>1304</v>
      </c>
      <c r="D151" s="6" t="s">
        <v>1305</v>
      </c>
      <c r="E151" s="6" t="s">
        <v>1306</v>
      </c>
      <c r="F151" s="6" t="s">
        <v>1307</v>
      </c>
      <c r="G151" s="6" t="s">
        <v>1308</v>
      </c>
      <c r="H151" s="6" t="s">
        <v>1719</v>
      </c>
      <c r="I151" s="6">
        <v>0</v>
      </c>
      <c r="J151" s="6">
        <v>1499</v>
      </c>
      <c r="K151" s="6">
        <v>1</v>
      </c>
      <c r="L151" s="6" t="s">
        <v>2288</v>
      </c>
      <c r="M151" s="6" t="e">
        <f>VLOOKUP(L151,'Nov Inv Recon'!H:H,1,FALSE)</f>
        <v>#N/A</v>
      </c>
      <c r="N151" s="6" t="e">
        <f>VLOOKUP(L151,VictoryHeitrich!D:D,1,FALSE)</f>
        <v>#N/A</v>
      </c>
      <c r="O151" s="6" t="s">
        <v>446</v>
      </c>
      <c r="P151" s="6" t="s">
        <v>1311</v>
      </c>
      <c r="Q151" s="6" t="s">
        <v>2559</v>
      </c>
      <c r="R151" s="6" t="s">
        <v>2559</v>
      </c>
      <c r="S151" s="6" t="s">
        <v>97</v>
      </c>
      <c r="T151" s="6" t="s">
        <v>98</v>
      </c>
      <c r="U151" s="6" t="s">
        <v>1313</v>
      </c>
      <c r="V151" s="6" t="s">
        <v>1314</v>
      </c>
      <c r="W151" s="6">
        <v>2025</v>
      </c>
      <c r="X151" s="6">
        <v>11</v>
      </c>
      <c r="Y151" s="6" t="s">
        <v>1315</v>
      </c>
      <c r="Z151" s="6">
        <v>2025</v>
      </c>
      <c r="AA151" s="6" t="s">
        <v>1316</v>
      </c>
      <c r="AB151" s="6" t="str">
        <f>VLOOKUP(S151,Mapping!A:C,3,FALSE)</f>
        <v>Primary</v>
      </c>
    </row>
    <row r="152" spans="1:28" x14ac:dyDescent="0.35">
      <c r="A152" s="6" t="s">
        <v>1302</v>
      </c>
      <c r="B152" s="6" t="s">
        <v>1303</v>
      </c>
      <c r="C152" s="6" t="s">
        <v>1304</v>
      </c>
      <c r="D152" s="6" t="s">
        <v>1305</v>
      </c>
      <c r="E152" s="6" t="s">
        <v>1306</v>
      </c>
      <c r="F152" s="6" t="s">
        <v>1307</v>
      </c>
      <c r="G152" s="6" t="s">
        <v>1308</v>
      </c>
      <c r="H152" s="6" t="s">
        <v>1719</v>
      </c>
      <c r="I152" s="6">
        <v>0</v>
      </c>
      <c r="J152" s="6">
        <v>1499</v>
      </c>
      <c r="K152" s="6">
        <v>1</v>
      </c>
      <c r="L152" s="6" t="s">
        <v>2343</v>
      </c>
      <c r="M152" s="6" t="e">
        <f>VLOOKUP(L152,'Nov Inv Recon'!H:H,1,FALSE)</f>
        <v>#N/A</v>
      </c>
      <c r="N152" s="6" t="e">
        <f>VLOOKUP(L152,VictoryHeitrich!D:D,1,FALSE)</f>
        <v>#N/A</v>
      </c>
      <c r="O152" s="6" t="s">
        <v>840</v>
      </c>
      <c r="P152" s="6" t="s">
        <v>1311</v>
      </c>
      <c r="Q152" s="6" t="s">
        <v>2556</v>
      </c>
      <c r="R152" s="6" t="s">
        <v>2556</v>
      </c>
      <c r="S152" s="6" t="s">
        <v>97</v>
      </c>
      <c r="T152" s="6" t="s">
        <v>98</v>
      </c>
      <c r="U152" s="6" t="s">
        <v>1313</v>
      </c>
      <c r="V152" s="6" t="s">
        <v>1314</v>
      </c>
      <c r="W152" s="6">
        <v>2025</v>
      </c>
      <c r="X152" s="6">
        <v>11</v>
      </c>
      <c r="Y152" s="6" t="s">
        <v>1315</v>
      </c>
      <c r="Z152" s="6">
        <v>2025</v>
      </c>
      <c r="AA152" s="6" t="s">
        <v>1316</v>
      </c>
      <c r="AB152" s="6" t="str">
        <f>VLOOKUP(S152,Mapping!A:C,3,FALSE)</f>
        <v>Primary</v>
      </c>
    </row>
    <row r="153" spans="1:28" x14ac:dyDescent="0.35">
      <c r="A153" s="6" t="s">
        <v>1302</v>
      </c>
      <c r="B153" s="6" t="s">
        <v>1303</v>
      </c>
      <c r="C153" s="6" t="s">
        <v>1304</v>
      </c>
      <c r="D153" s="6" t="s">
        <v>1305</v>
      </c>
      <c r="E153" s="6" t="s">
        <v>1306</v>
      </c>
      <c r="F153" s="6" t="s">
        <v>1307</v>
      </c>
      <c r="G153" s="6" t="s">
        <v>1308</v>
      </c>
      <c r="H153" s="6" t="s">
        <v>2400</v>
      </c>
      <c r="I153" s="6">
        <v>0</v>
      </c>
      <c r="J153" s="6">
        <v>1499</v>
      </c>
      <c r="K153" s="6">
        <v>1</v>
      </c>
      <c r="L153" s="6" t="s">
        <v>2290</v>
      </c>
      <c r="M153" s="6" t="e">
        <f>VLOOKUP(L153,'Nov Inv Recon'!H:H,1,FALSE)</f>
        <v>#N/A</v>
      </c>
      <c r="N153" s="6" t="e">
        <f>VLOOKUP(L153,VictoryHeitrich!D:D,1,FALSE)</f>
        <v>#N/A</v>
      </c>
      <c r="O153" s="6" t="s">
        <v>589</v>
      </c>
      <c r="P153" s="6" t="s">
        <v>1311</v>
      </c>
      <c r="Q153" s="6" t="s">
        <v>2560</v>
      </c>
      <c r="R153" s="6" t="s">
        <v>2560</v>
      </c>
      <c r="S153" s="6" t="s">
        <v>97</v>
      </c>
      <c r="T153" s="6" t="s">
        <v>98</v>
      </c>
      <c r="U153" s="6" t="s">
        <v>1313</v>
      </c>
      <c r="V153" s="6" t="s">
        <v>1314</v>
      </c>
      <c r="W153" s="6">
        <v>2025</v>
      </c>
      <c r="X153" s="6">
        <v>11</v>
      </c>
      <c r="Y153" s="6" t="s">
        <v>1315</v>
      </c>
      <c r="Z153" s="6">
        <v>2025</v>
      </c>
      <c r="AA153" s="6" t="s">
        <v>1316</v>
      </c>
      <c r="AB153" s="6" t="str">
        <f>VLOOKUP(S153,Mapping!A:C,3,FALSE)</f>
        <v>Primary</v>
      </c>
    </row>
    <row r="154" spans="1:28" x14ac:dyDescent="0.35">
      <c r="A154" s="6" t="s">
        <v>1302</v>
      </c>
      <c r="B154" s="6" t="s">
        <v>1303</v>
      </c>
      <c r="C154" s="6" t="s">
        <v>1304</v>
      </c>
      <c r="D154" s="6" t="s">
        <v>1305</v>
      </c>
      <c r="E154" s="6" t="s">
        <v>1306</v>
      </c>
      <c r="F154" s="6" t="s">
        <v>1307</v>
      </c>
      <c r="G154" s="6" t="s">
        <v>1308</v>
      </c>
      <c r="H154" s="6" t="s">
        <v>2505</v>
      </c>
      <c r="I154" s="6">
        <v>0</v>
      </c>
      <c r="J154" s="6">
        <v>1499</v>
      </c>
      <c r="K154" s="6">
        <v>1</v>
      </c>
      <c r="L154" s="6" t="s">
        <v>2269</v>
      </c>
      <c r="M154" s="6" t="e">
        <f>VLOOKUP(L154,'Nov Inv Recon'!H:H,1,FALSE)</f>
        <v>#N/A</v>
      </c>
      <c r="N154" s="6" t="e">
        <f>VLOOKUP(L154,VictoryHeitrich!D:D,1,FALSE)</f>
        <v>#N/A</v>
      </c>
      <c r="O154" s="6" t="s">
        <v>2308</v>
      </c>
      <c r="P154" s="6" t="s">
        <v>1311</v>
      </c>
      <c r="Q154" s="6" t="s">
        <v>2561</v>
      </c>
      <c r="R154" s="6" t="s">
        <v>2561</v>
      </c>
      <c r="S154" s="6" t="s">
        <v>97</v>
      </c>
      <c r="T154" s="6" t="s">
        <v>98</v>
      </c>
      <c r="U154" s="6" t="s">
        <v>1313</v>
      </c>
      <c r="V154" s="6" t="s">
        <v>1314</v>
      </c>
      <c r="W154" s="6">
        <v>2025</v>
      </c>
      <c r="X154" s="6">
        <v>11</v>
      </c>
      <c r="Y154" s="6" t="s">
        <v>1315</v>
      </c>
      <c r="Z154" s="6">
        <v>2025</v>
      </c>
      <c r="AA154" s="6" t="s">
        <v>1316</v>
      </c>
      <c r="AB154" s="6" t="str">
        <f>VLOOKUP(S154,Mapping!A:C,3,FALSE)</f>
        <v>Primary</v>
      </c>
    </row>
    <row r="155" spans="1:28" x14ac:dyDescent="0.35">
      <c r="A155" s="6" t="s">
        <v>1302</v>
      </c>
      <c r="B155" s="6" t="s">
        <v>1303</v>
      </c>
      <c r="C155" s="6" t="s">
        <v>1304</v>
      </c>
      <c r="D155" s="6" t="s">
        <v>1305</v>
      </c>
      <c r="E155" s="6" t="s">
        <v>1306</v>
      </c>
      <c r="F155" s="6" t="s">
        <v>1307</v>
      </c>
      <c r="G155" s="6" t="s">
        <v>1308</v>
      </c>
      <c r="H155" s="6" t="s">
        <v>2400</v>
      </c>
      <c r="I155" s="6">
        <v>0</v>
      </c>
      <c r="J155" s="6">
        <v>1499</v>
      </c>
      <c r="K155" s="6">
        <v>1</v>
      </c>
      <c r="L155" s="6" t="s">
        <v>2228</v>
      </c>
      <c r="M155" s="6" t="e">
        <f>VLOOKUP(L155,'Nov Inv Recon'!H:H,1,FALSE)</f>
        <v>#N/A</v>
      </c>
      <c r="N155" s="6" t="e">
        <f>VLOOKUP(L155,VictoryHeitrich!D:D,1,FALSE)</f>
        <v>#N/A</v>
      </c>
      <c r="O155" s="6" t="s">
        <v>587</v>
      </c>
      <c r="P155" s="6" t="s">
        <v>1311</v>
      </c>
      <c r="Q155" s="6" t="s">
        <v>2562</v>
      </c>
      <c r="R155" s="6" t="s">
        <v>2562</v>
      </c>
      <c r="S155" s="6" t="s">
        <v>97</v>
      </c>
      <c r="T155" s="6" t="s">
        <v>98</v>
      </c>
      <c r="U155" s="6" t="s">
        <v>1313</v>
      </c>
      <c r="V155" s="6" t="s">
        <v>1314</v>
      </c>
      <c r="W155" s="6">
        <v>2025</v>
      </c>
      <c r="X155" s="6">
        <v>11</v>
      </c>
      <c r="Y155" s="6" t="s">
        <v>1315</v>
      </c>
      <c r="Z155" s="6">
        <v>2025</v>
      </c>
      <c r="AA155" s="6" t="s">
        <v>1316</v>
      </c>
      <c r="AB155" s="6" t="str">
        <f>VLOOKUP(S155,Mapping!A:C,3,FALSE)</f>
        <v>Primary</v>
      </c>
    </row>
    <row r="156" spans="1:28" x14ac:dyDescent="0.35">
      <c r="A156" s="6" t="s">
        <v>1302</v>
      </c>
      <c r="B156" s="6" t="s">
        <v>1303</v>
      </c>
      <c r="C156" s="6" t="s">
        <v>1304</v>
      </c>
      <c r="D156" s="6" t="s">
        <v>1305</v>
      </c>
      <c r="E156" s="6" t="s">
        <v>1306</v>
      </c>
      <c r="F156" s="6" t="s">
        <v>1307</v>
      </c>
      <c r="G156" s="6" t="s">
        <v>1308</v>
      </c>
      <c r="H156" s="6" t="s">
        <v>1752</v>
      </c>
      <c r="I156" s="6">
        <v>0</v>
      </c>
      <c r="J156" s="6">
        <v>1499</v>
      </c>
      <c r="K156" s="6">
        <v>1</v>
      </c>
      <c r="L156" s="6" t="s">
        <v>2148</v>
      </c>
      <c r="M156" s="6" t="e">
        <f>VLOOKUP(L156,'Nov Inv Recon'!H:H,1,FALSE)</f>
        <v>#N/A</v>
      </c>
      <c r="N156" s="6" t="e">
        <f>VLOOKUP(L156,VictoryHeitrich!D:D,1,FALSE)</f>
        <v>#N/A</v>
      </c>
      <c r="O156" s="6" t="s">
        <v>611</v>
      </c>
      <c r="P156" s="6" t="s">
        <v>1311</v>
      </c>
      <c r="Q156" s="6" t="s">
        <v>2563</v>
      </c>
      <c r="R156" s="6" t="s">
        <v>2563</v>
      </c>
      <c r="S156" s="6" t="s">
        <v>97</v>
      </c>
      <c r="T156" s="6" t="s">
        <v>98</v>
      </c>
      <c r="U156" s="6" t="s">
        <v>1313</v>
      </c>
      <c r="V156" s="6" t="s">
        <v>1314</v>
      </c>
      <c r="W156" s="6">
        <v>2025</v>
      </c>
      <c r="X156" s="6">
        <v>11</v>
      </c>
      <c r="Y156" s="6" t="s">
        <v>1315</v>
      </c>
      <c r="Z156" s="6">
        <v>2025</v>
      </c>
      <c r="AA156" s="6" t="s">
        <v>1316</v>
      </c>
      <c r="AB156" s="6" t="str">
        <f>VLOOKUP(S156,Mapping!A:C,3,FALSE)</f>
        <v>Primary</v>
      </c>
    </row>
    <row r="157" spans="1:28" x14ac:dyDescent="0.35">
      <c r="A157" s="6" t="s">
        <v>1302</v>
      </c>
      <c r="B157" s="6" t="s">
        <v>1303</v>
      </c>
      <c r="C157" s="6" t="s">
        <v>1304</v>
      </c>
      <c r="D157" s="6" t="s">
        <v>1305</v>
      </c>
      <c r="E157" s="6" t="s">
        <v>1306</v>
      </c>
      <c r="F157" s="6" t="s">
        <v>1307</v>
      </c>
      <c r="G157" s="6" t="s">
        <v>1308</v>
      </c>
      <c r="H157" s="6" t="s">
        <v>2528</v>
      </c>
      <c r="I157" s="6">
        <v>0</v>
      </c>
      <c r="J157" s="6">
        <v>1499</v>
      </c>
      <c r="K157" s="6">
        <v>1</v>
      </c>
      <c r="L157" s="6" t="s">
        <v>2245</v>
      </c>
      <c r="M157" s="6" t="e">
        <f>VLOOKUP(L157,'Nov Inv Recon'!H:H,1,FALSE)</f>
        <v>#N/A</v>
      </c>
      <c r="N157" s="6" t="e">
        <f>VLOOKUP(L157,VictoryHeitrich!D:D,1,FALSE)</f>
        <v>#N/A</v>
      </c>
      <c r="O157" s="6" t="s">
        <v>603</v>
      </c>
      <c r="P157" s="6" t="s">
        <v>1311</v>
      </c>
      <c r="Q157" s="6" t="s">
        <v>2564</v>
      </c>
      <c r="R157" s="6" t="s">
        <v>2564</v>
      </c>
      <c r="S157" s="6" t="s">
        <v>97</v>
      </c>
      <c r="T157" s="6" t="s">
        <v>98</v>
      </c>
      <c r="U157" s="6" t="s">
        <v>1313</v>
      </c>
      <c r="V157" s="6" t="s">
        <v>1314</v>
      </c>
      <c r="W157" s="6">
        <v>2025</v>
      </c>
      <c r="X157" s="6">
        <v>11</v>
      </c>
      <c r="Y157" s="6" t="s">
        <v>1315</v>
      </c>
      <c r="Z157" s="6">
        <v>2025</v>
      </c>
      <c r="AA157" s="6" t="s">
        <v>1316</v>
      </c>
      <c r="AB157" s="6" t="str">
        <f>VLOOKUP(S157,Mapping!A:C,3,FALSE)</f>
        <v>Primary</v>
      </c>
    </row>
    <row r="158" spans="1:28" x14ac:dyDescent="0.35">
      <c r="A158" s="6" t="s">
        <v>1302</v>
      </c>
      <c r="B158" s="6" t="s">
        <v>1303</v>
      </c>
      <c r="C158" s="6" t="s">
        <v>1304</v>
      </c>
      <c r="D158" s="6" t="s">
        <v>1305</v>
      </c>
      <c r="E158" s="6" t="s">
        <v>1306</v>
      </c>
      <c r="F158" s="6" t="s">
        <v>1307</v>
      </c>
      <c r="G158" s="6" t="s">
        <v>1308</v>
      </c>
      <c r="H158" s="6" t="s">
        <v>1742</v>
      </c>
      <c r="I158" s="6">
        <v>0</v>
      </c>
      <c r="J158" s="6">
        <v>3250.78</v>
      </c>
      <c r="K158" s="6">
        <v>1</v>
      </c>
      <c r="L158" s="6" t="s">
        <v>2281</v>
      </c>
      <c r="M158" s="6" t="e">
        <f>VLOOKUP(L158,'Nov Inv Recon'!H:H,1,FALSE)</f>
        <v>#N/A</v>
      </c>
      <c r="N158" s="6" t="e">
        <f>VLOOKUP(L158,VictoryHeitrich!D:D,1,FALSE)</f>
        <v>#N/A</v>
      </c>
      <c r="O158" s="6" t="s">
        <v>749</v>
      </c>
      <c r="P158" s="6" t="s">
        <v>1311</v>
      </c>
      <c r="Q158" s="6" t="s">
        <v>2565</v>
      </c>
      <c r="R158" s="6" t="s">
        <v>2565</v>
      </c>
      <c r="S158" s="6" t="s">
        <v>2037</v>
      </c>
      <c r="T158" s="6" t="s">
        <v>2038</v>
      </c>
      <c r="U158" s="6" t="s">
        <v>1313</v>
      </c>
      <c r="V158" s="6" t="s">
        <v>1314</v>
      </c>
      <c r="W158" s="6">
        <v>2025</v>
      </c>
      <c r="X158" s="6">
        <v>11</v>
      </c>
      <c r="Y158" s="6" t="s">
        <v>1315</v>
      </c>
      <c r="Z158" s="6">
        <v>2025</v>
      </c>
      <c r="AA158" s="6" t="s">
        <v>1316</v>
      </c>
      <c r="AB158" s="6" t="str">
        <f>VLOOKUP(S158,Mapping!A:C,3,FALSE)</f>
        <v>Primary</v>
      </c>
    </row>
    <row r="159" spans="1:28" x14ac:dyDescent="0.35">
      <c r="A159" s="6" t="s">
        <v>1302</v>
      </c>
      <c r="B159" s="6" t="s">
        <v>1303</v>
      </c>
      <c r="C159" s="6" t="s">
        <v>1304</v>
      </c>
      <c r="D159" s="6" t="s">
        <v>1305</v>
      </c>
      <c r="E159" s="6" t="s">
        <v>1306</v>
      </c>
      <c r="F159" s="6" t="s">
        <v>1307</v>
      </c>
      <c r="G159" s="6" t="s">
        <v>1308</v>
      </c>
      <c r="H159" s="6" t="s">
        <v>1682</v>
      </c>
      <c r="I159" s="6">
        <v>0</v>
      </c>
      <c r="J159" s="6">
        <v>2981</v>
      </c>
      <c r="K159" s="6">
        <v>1</v>
      </c>
      <c r="L159" s="6" t="s">
        <v>2213</v>
      </c>
      <c r="M159" s="6" t="e">
        <f>VLOOKUP(L159,'Nov Inv Recon'!H:H,1,FALSE)</f>
        <v>#N/A</v>
      </c>
      <c r="N159" s="6" t="e">
        <f>VLOOKUP(L159,VictoryHeitrich!D:D,1,FALSE)</f>
        <v>#N/A</v>
      </c>
      <c r="O159" s="6" t="s">
        <v>623</v>
      </c>
      <c r="P159" s="6" t="s">
        <v>1311</v>
      </c>
      <c r="Q159" s="6" t="s">
        <v>2566</v>
      </c>
      <c r="R159" s="6" t="s">
        <v>2566</v>
      </c>
      <c r="S159" s="6" t="s">
        <v>2037</v>
      </c>
      <c r="T159" s="6" t="s">
        <v>2038</v>
      </c>
      <c r="U159" s="6" t="s">
        <v>1313</v>
      </c>
      <c r="V159" s="6" t="s">
        <v>1314</v>
      </c>
      <c r="W159" s="6">
        <v>2025</v>
      </c>
      <c r="X159" s="6">
        <v>11</v>
      </c>
      <c r="Y159" s="6" t="s">
        <v>1315</v>
      </c>
      <c r="Z159" s="6">
        <v>2025</v>
      </c>
      <c r="AA159" s="6" t="s">
        <v>1316</v>
      </c>
      <c r="AB159" s="6" t="str">
        <f>VLOOKUP(S159,Mapping!A:C,3,FALSE)</f>
        <v>Primary</v>
      </c>
    </row>
    <row r="160" spans="1:28" x14ac:dyDescent="0.35">
      <c r="A160" s="6" t="s">
        <v>1302</v>
      </c>
      <c r="B160" s="6" t="s">
        <v>1303</v>
      </c>
      <c r="C160" s="6" t="s">
        <v>1304</v>
      </c>
      <c r="D160" s="6" t="s">
        <v>1305</v>
      </c>
      <c r="E160" s="6" t="s">
        <v>1306</v>
      </c>
      <c r="F160" s="6" t="s">
        <v>1307</v>
      </c>
      <c r="G160" s="6" t="s">
        <v>1308</v>
      </c>
      <c r="H160" s="6" t="s">
        <v>1682</v>
      </c>
      <c r="I160" s="6">
        <v>0</v>
      </c>
      <c r="J160" s="6">
        <v>3130.05</v>
      </c>
      <c r="K160" s="6">
        <v>1</v>
      </c>
      <c r="L160" s="6" t="s">
        <v>714</v>
      </c>
      <c r="M160" s="6" t="str">
        <f>VLOOKUP(L160,'Nov Inv Recon'!H:H,1,FALSE)</f>
        <v>01262401</v>
      </c>
      <c r="N160" s="6" t="e">
        <f>VLOOKUP(L160,VictoryHeitrich!D:D,1,FALSE)</f>
        <v>#N/A</v>
      </c>
      <c r="O160" s="6" t="s">
        <v>715</v>
      </c>
      <c r="P160" s="6" t="s">
        <v>1311</v>
      </c>
      <c r="Q160" s="6" t="s">
        <v>2567</v>
      </c>
      <c r="R160" s="6" t="s">
        <v>2567</v>
      </c>
      <c r="S160" s="6" t="s">
        <v>2037</v>
      </c>
      <c r="T160" s="6" t="s">
        <v>2038</v>
      </c>
      <c r="U160" s="6" t="s">
        <v>1313</v>
      </c>
      <c r="V160" s="6" t="s">
        <v>1314</v>
      </c>
      <c r="W160" s="6">
        <v>2025</v>
      </c>
      <c r="X160" s="6">
        <v>11</v>
      </c>
      <c r="Y160" s="6" t="s">
        <v>1315</v>
      </c>
      <c r="Z160" s="6">
        <v>2025</v>
      </c>
      <c r="AA160" s="6" t="s">
        <v>1316</v>
      </c>
      <c r="AB160" s="6" t="str">
        <f>VLOOKUP(S160,Mapping!A:C,3,FALSE)</f>
        <v>Primary</v>
      </c>
    </row>
    <row r="161" spans="1:28" x14ac:dyDescent="0.35">
      <c r="A161" s="6" t="s">
        <v>1302</v>
      </c>
      <c r="B161" s="6" t="s">
        <v>1303</v>
      </c>
      <c r="C161" s="6" t="s">
        <v>1304</v>
      </c>
      <c r="D161" s="6" t="s">
        <v>1305</v>
      </c>
      <c r="E161" s="6" t="s">
        <v>1306</v>
      </c>
      <c r="F161" s="6" t="s">
        <v>1307</v>
      </c>
      <c r="G161" s="6" t="s">
        <v>1308</v>
      </c>
      <c r="H161" s="6" t="s">
        <v>1632</v>
      </c>
      <c r="I161" s="6">
        <v>0</v>
      </c>
      <c r="J161" s="6">
        <v>2981</v>
      </c>
      <c r="K161" s="6">
        <v>1</v>
      </c>
      <c r="L161" s="6" t="s">
        <v>2046</v>
      </c>
      <c r="M161" s="6" t="e">
        <f>VLOOKUP(L161,'Nov Inv Recon'!H:H,1,FALSE)</f>
        <v>#N/A</v>
      </c>
      <c r="N161" s="6" t="e">
        <f>VLOOKUP(L161,VictoryHeitrich!D:D,1,FALSE)</f>
        <v>#N/A</v>
      </c>
      <c r="O161" s="6" t="s">
        <v>621</v>
      </c>
      <c r="P161" s="6" t="s">
        <v>1311</v>
      </c>
      <c r="Q161" s="6" t="s">
        <v>2568</v>
      </c>
      <c r="R161" s="6" t="s">
        <v>2568</v>
      </c>
      <c r="S161" s="6" t="s">
        <v>2037</v>
      </c>
      <c r="T161" s="6" t="s">
        <v>2038</v>
      </c>
      <c r="U161" s="6" t="s">
        <v>1313</v>
      </c>
      <c r="V161" s="6" t="s">
        <v>1314</v>
      </c>
      <c r="W161" s="6">
        <v>2025</v>
      </c>
      <c r="X161" s="6">
        <v>11</v>
      </c>
      <c r="Y161" s="6" t="s">
        <v>1315</v>
      </c>
      <c r="Z161" s="6">
        <v>2025</v>
      </c>
      <c r="AA161" s="6" t="s">
        <v>1316</v>
      </c>
      <c r="AB161" s="6" t="str">
        <f>VLOOKUP(S161,Mapping!A:C,3,FALSE)</f>
        <v>Primary</v>
      </c>
    </row>
    <row r="162" spans="1:28" x14ac:dyDescent="0.35">
      <c r="A162" s="6" t="s">
        <v>1302</v>
      </c>
      <c r="B162" s="6" t="s">
        <v>1303</v>
      </c>
      <c r="C162" s="6" t="s">
        <v>1304</v>
      </c>
      <c r="D162" s="6" t="s">
        <v>1305</v>
      </c>
      <c r="E162" s="6" t="s">
        <v>1306</v>
      </c>
      <c r="F162" s="6" t="s">
        <v>1307</v>
      </c>
      <c r="G162" s="6" t="s">
        <v>1308</v>
      </c>
      <c r="H162" s="6" t="s">
        <v>1765</v>
      </c>
      <c r="I162" s="6">
        <v>0</v>
      </c>
      <c r="J162" s="6">
        <v>3219.48</v>
      </c>
      <c r="K162" s="6">
        <v>1</v>
      </c>
      <c r="L162" s="6" t="s">
        <v>2082</v>
      </c>
      <c r="M162" s="6" t="e">
        <f>VLOOKUP(L162,'Nov Inv Recon'!H:H,1,FALSE)</f>
        <v>#N/A</v>
      </c>
      <c r="N162" s="6" t="e">
        <f>VLOOKUP(L162,VictoryHeitrich!D:D,1,FALSE)</f>
        <v>#N/A</v>
      </c>
      <c r="O162" s="6" t="s">
        <v>739</v>
      </c>
      <c r="P162" s="6" t="s">
        <v>1311</v>
      </c>
      <c r="Q162" s="6" t="s">
        <v>2569</v>
      </c>
      <c r="R162" s="6" t="s">
        <v>2569</v>
      </c>
      <c r="S162" s="6" t="s">
        <v>2037</v>
      </c>
      <c r="T162" s="6" t="s">
        <v>2038</v>
      </c>
      <c r="U162" s="6" t="s">
        <v>1313</v>
      </c>
      <c r="V162" s="6" t="s">
        <v>1314</v>
      </c>
      <c r="W162" s="6">
        <v>2025</v>
      </c>
      <c r="X162" s="6">
        <v>11</v>
      </c>
      <c r="Y162" s="6" t="s">
        <v>1315</v>
      </c>
      <c r="Z162" s="6">
        <v>2025</v>
      </c>
      <c r="AA162" s="6" t="s">
        <v>1316</v>
      </c>
      <c r="AB162" s="6" t="str">
        <f>VLOOKUP(S162,Mapping!A:C,3,FALSE)</f>
        <v>Primary</v>
      </c>
    </row>
    <row r="163" spans="1:28" x14ac:dyDescent="0.35">
      <c r="A163" s="6" t="s">
        <v>1302</v>
      </c>
      <c r="B163" s="6" t="s">
        <v>1303</v>
      </c>
      <c r="C163" s="6" t="s">
        <v>1304</v>
      </c>
      <c r="D163" s="6" t="s">
        <v>1305</v>
      </c>
      <c r="E163" s="6" t="s">
        <v>1306</v>
      </c>
      <c r="F163" s="6" t="s">
        <v>1307</v>
      </c>
      <c r="G163" s="6" t="s">
        <v>1308</v>
      </c>
      <c r="H163" s="6" t="s">
        <v>1682</v>
      </c>
      <c r="I163" s="6">
        <v>0</v>
      </c>
      <c r="J163" s="6">
        <v>2981</v>
      </c>
      <c r="K163" s="6">
        <v>1</v>
      </c>
      <c r="L163" s="6" t="s">
        <v>2287</v>
      </c>
      <c r="M163" s="6" t="e">
        <f>VLOOKUP(L163,'Nov Inv Recon'!H:H,1,FALSE)</f>
        <v>#N/A</v>
      </c>
      <c r="N163" s="6" t="e">
        <f>VLOOKUP(L163,VictoryHeitrich!D:D,1,FALSE)</f>
        <v>#N/A</v>
      </c>
      <c r="O163" s="6" t="s">
        <v>625</v>
      </c>
      <c r="P163" s="6" t="s">
        <v>1311</v>
      </c>
      <c r="Q163" s="6" t="s">
        <v>2570</v>
      </c>
      <c r="R163" s="6" t="s">
        <v>2570</v>
      </c>
      <c r="S163" s="6" t="s">
        <v>2037</v>
      </c>
      <c r="T163" s="6" t="s">
        <v>2038</v>
      </c>
      <c r="U163" s="6" t="s">
        <v>1313</v>
      </c>
      <c r="V163" s="6" t="s">
        <v>1314</v>
      </c>
      <c r="W163" s="6">
        <v>2025</v>
      </c>
      <c r="X163" s="6">
        <v>11</v>
      </c>
      <c r="Y163" s="6" t="s">
        <v>1315</v>
      </c>
      <c r="Z163" s="6">
        <v>2025</v>
      </c>
      <c r="AA163" s="6" t="s">
        <v>1316</v>
      </c>
      <c r="AB163" s="6" t="str">
        <f>VLOOKUP(S163,Mapping!A:C,3,FALSE)</f>
        <v>Primary</v>
      </c>
    </row>
    <row r="164" spans="1:28" x14ac:dyDescent="0.35">
      <c r="A164" s="6" t="s">
        <v>1302</v>
      </c>
      <c r="B164" s="6" t="s">
        <v>1303</v>
      </c>
      <c r="C164" s="6" t="s">
        <v>1304</v>
      </c>
      <c r="D164" s="6" t="s">
        <v>1305</v>
      </c>
      <c r="E164" s="6" t="s">
        <v>1306</v>
      </c>
      <c r="F164" s="6" t="s">
        <v>1307</v>
      </c>
      <c r="G164" s="6" t="s">
        <v>1308</v>
      </c>
      <c r="H164" s="6" t="s">
        <v>2521</v>
      </c>
      <c r="I164" s="6">
        <v>0</v>
      </c>
      <c r="J164" s="6">
        <v>2981</v>
      </c>
      <c r="K164" s="6">
        <v>1</v>
      </c>
      <c r="L164" s="6" t="s">
        <v>2125</v>
      </c>
      <c r="M164" s="6" t="e">
        <f>VLOOKUP(L164,'Nov Inv Recon'!H:H,1,FALSE)</f>
        <v>#N/A</v>
      </c>
      <c r="N164" s="6" t="e">
        <f>VLOOKUP(L164,VictoryHeitrich!D:D,1,FALSE)</f>
        <v>#N/A</v>
      </c>
      <c r="O164" s="6" t="s">
        <v>838</v>
      </c>
      <c r="P164" s="6" t="s">
        <v>1311</v>
      </c>
      <c r="Q164" s="6" t="s">
        <v>2571</v>
      </c>
      <c r="R164" s="6" t="s">
        <v>2571</v>
      </c>
      <c r="S164" s="6" t="s">
        <v>2037</v>
      </c>
      <c r="T164" s="6" t="s">
        <v>2038</v>
      </c>
      <c r="U164" s="6" t="s">
        <v>1313</v>
      </c>
      <c r="V164" s="6" t="s">
        <v>1314</v>
      </c>
      <c r="W164" s="6">
        <v>2025</v>
      </c>
      <c r="X164" s="6">
        <v>11</v>
      </c>
      <c r="Y164" s="6" t="s">
        <v>1315</v>
      </c>
      <c r="Z164" s="6">
        <v>2025</v>
      </c>
      <c r="AA164" s="6" t="s">
        <v>1316</v>
      </c>
      <c r="AB164" s="6" t="str">
        <f>VLOOKUP(S164,Mapping!A:C,3,FALSE)</f>
        <v>Primary</v>
      </c>
    </row>
    <row r="165" spans="1:28" x14ac:dyDescent="0.35">
      <c r="A165" s="6" t="s">
        <v>1302</v>
      </c>
      <c r="B165" s="6" t="s">
        <v>1303</v>
      </c>
      <c r="C165" s="6" t="s">
        <v>1304</v>
      </c>
      <c r="D165" s="6" t="s">
        <v>1305</v>
      </c>
      <c r="E165" s="6" t="s">
        <v>1306</v>
      </c>
      <c r="F165" s="6" t="s">
        <v>1307</v>
      </c>
      <c r="G165" s="6" t="s">
        <v>1308</v>
      </c>
      <c r="H165" s="6" t="s">
        <v>2528</v>
      </c>
      <c r="I165" s="6">
        <v>0</v>
      </c>
      <c r="J165" s="6">
        <v>2981</v>
      </c>
      <c r="K165" s="6">
        <v>1</v>
      </c>
      <c r="L165" s="6" t="s">
        <v>2084</v>
      </c>
      <c r="M165" s="6" t="e">
        <f>VLOOKUP(L165,'Nov Inv Recon'!H:H,1,FALSE)</f>
        <v>#N/A</v>
      </c>
      <c r="N165" s="6" t="e">
        <f>VLOOKUP(L165,VictoryHeitrich!D:D,1,FALSE)</f>
        <v>#N/A</v>
      </c>
      <c r="O165" s="6" t="s">
        <v>619</v>
      </c>
      <c r="P165" s="6" t="s">
        <v>1311</v>
      </c>
      <c r="Q165" s="6" t="s">
        <v>2572</v>
      </c>
      <c r="R165" s="6" t="s">
        <v>2572</v>
      </c>
      <c r="S165" s="6" t="s">
        <v>2037</v>
      </c>
      <c r="T165" s="6" t="s">
        <v>2038</v>
      </c>
      <c r="U165" s="6" t="s">
        <v>1313</v>
      </c>
      <c r="V165" s="6" t="s">
        <v>1314</v>
      </c>
      <c r="W165" s="6">
        <v>2025</v>
      </c>
      <c r="X165" s="6">
        <v>11</v>
      </c>
      <c r="Y165" s="6" t="s">
        <v>1315</v>
      </c>
      <c r="Z165" s="6">
        <v>2025</v>
      </c>
      <c r="AA165" s="6" t="s">
        <v>1316</v>
      </c>
      <c r="AB165" s="6" t="str">
        <f>VLOOKUP(S165,Mapping!A:C,3,FALSE)</f>
        <v>Primary</v>
      </c>
    </row>
    <row r="166" spans="1:28" x14ac:dyDescent="0.35">
      <c r="A166" s="6" t="s">
        <v>1302</v>
      </c>
      <c r="B166" s="6" t="s">
        <v>1303</v>
      </c>
      <c r="C166" s="6" t="s">
        <v>1304</v>
      </c>
      <c r="D166" s="6" t="s">
        <v>1305</v>
      </c>
      <c r="E166" s="6" t="s">
        <v>1306</v>
      </c>
      <c r="F166" s="6" t="s">
        <v>1307</v>
      </c>
      <c r="G166" s="6" t="s">
        <v>1308</v>
      </c>
      <c r="H166" s="6" t="s">
        <v>2523</v>
      </c>
      <c r="I166" s="6">
        <v>0</v>
      </c>
      <c r="J166" s="6">
        <v>2981</v>
      </c>
      <c r="K166" s="6">
        <v>1</v>
      </c>
      <c r="L166" s="6" t="s">
        <v>2133</v>
      </c>
      <c r="M166" s="6" t="e">
        <f>VLOOKUP(L166,'Nov Inv Recon'!H:H,1,FALSE)</f>
        <v>#N/A</v>
      </c>
      <c r="N166" s="6" t="e">
        <f>VLOOKUP(L166,VictoryHeitrich!D:D,1,FALSE)</f>
        <v>#N/A</v>
      </c>
      <c r="O166" s="6" t="s">
        <v>848</v>
      </c>
      <c r="P166" s="6" t="s">
        <v>1311</v>
      </c>
      <c r="Q166" s="6" t="s">
        <v>2573</v>
      </c>
      <c r="R166" s="6" t="s">
        <v>2573</v>
      </c>
      <c r="S166" s="6" t="s">
        <v>2037</v>
      </c>
      <c r="T166" s="6" t="s">
        <v>2038</v>
      </c>
      <c r="U166" s="6" t="s">
        <v>1313</v>
      </c>
      <c r="V166" s="6" t="s">
        <v>1314</v>
      </c>
      <c r="W166" s="6">
        <v>2025</v>
      </c>
      <c r="X166" s="6">
        <v>11</v>
      </c>
      <c r="Y166" s="6" t="s">
        <v>1315</v>
      </c>
      <c r="Z166" s="6">
        <v>2025</v>
      </c>
      <c r="AA166" s="6" t="s">
        <v>1316</v>
      </c>
      <c r="AB166" s="6" t="str">
        <f>VLOOKUP(S166,Mapping!A:C,3,FALSE)</f>
        <v>Primary</v>
      </c>
    </row>
    <row r="167" spans="1:28" x14ac:dyDescent="0.35">
      <c r="A167" s="6" t="s">
        <v>1302</v>
      </c>
      <c r="B167" s="6" t="s">
        <v>1303</v>
      </c>
      <c r="C167" s="6" t="s">
        <v>1304</v>
      </c>
      <c r="D167" s="6" t="s">
        <v>1305</v>
      </c>
      <c r="E167" s="6" t="s">
        <v>1306</v>
      </c>
      <c r="F167" s="6" t="s">
        <v>1307</v>
      </c>
      <c r="G167" s="6" t="s">
        <v>1308</v>
      </c>
      <c r="H167" s="6" t="s">
        <v>1742</v>
      </c>
      <c r="I167" s="6">
        <v>0</v>
      </c>
      <c r="J167" s="6">
        <v>3158.07</v>
      </c>
      <c r="K167" s="6">
        <v>1</v>
      </c>
      <c r="L167" s="6" t="s">
        <v>2218</v>
      </c>
      <c r="M167" s="6" t="e">
        <f>VLOOKUP(L167,'Nov Inv Recon'!H:H,1,FALSE)</f>
        <v>#N/A</v>
      </c>
      <c r="N167" s="6" t="e">
        <f>VLOOKUP(L167,VictoryHeitrich!D:D,1,FALSE)</f>
        <v>#N/A</v>
      </c>
      <c r="O167" s="6" t="s">
        <v>721</v>
      </c>
      <c r="P167" s="6" t="s">
        <v>1311</v>
      </c>
      <c r="Q167" s="6" t="s">
        <v>2574</v>
      </c>
      <c r="R167" s="6" t="s">
        <v>2574</v>
      </c>
      <c r="S167" s="6" t="s">
        <v>2037</v>
      </c>
      <c r="T167" s="6" t="s">
        <v>2038</v>
      </c>
      <c r="U167" s="6" t="s">
        <v>1313</v>
      </c>
      <c r="V167" s="6" t="s">
        <v>1314</v>
      </c>
      <c r="W167" s="6">
        <v>2025</v>
      </c>
      <c r="X167" s="6">
        <v>11</v>
      </c>
      <c r="Y167" s="6" t="s">
        <v>1315</v>
      </c>
      <c r="Z167" s="6">
        <v>2025</v>
      </c>
      <c r="AA167" s="6" t="s">
        <v>1316</v>
      </c>
      <c r="AB167" s="6" t="str">
        <f>VLOOKUP(S167,Mapping!A:C,3,FALSE)</f>
        <v>Primary</v>
      </c>
    </row>
    <row r="168" spans="1:28" x14ac:dyDescent="0.35">
      <c r="A168" s="6" t="s">
        <v>1302</v>
      </c>
      <c r="B168" s="6" t="s">
        <v>1303</v>
      </c>
      <c r="C168" s="6" t="s">
        <v>1304</v>
      </c>
      <c r="D168" s="6" t="s">
        <v>1305</v>
      </c>
      <c r="E168" s="6" t="s">
        <v>1306</v>
      </c>
      <c r="F168" s="6" t="s">
        <v>1307</v>
      </c>
      <c r="G168" s="6" t="s">
        <v>1308</v>
      </c>
      <c r="H168" s="6" t="s">
        <v>1632</v>
      </c>
      <c r="I168" s="6">
        <v>0</v>
      </c>
      <c r="J168" s="6">
        <v>2981</v>
      </c>
      <c r="K168" s="6">
        <v>1</v>
      </c>
      <c r="L168" s="6" t="s">
        <v>2138</v>
      </c>
      <c r="M168" s="6" t="e">
        <f>VLOOKUP(L168,'Nov Inv Recon'!H:H,1,FALSE)</f>
        <v>#N/A</v>
      </c>
      <c r="N168" s="6" t="e">
        <f>VLOOKUP(L168,VictoryHeitrich!D:D,1,FALSE)</f>
        <v>#N/A</v>
      </c>
      <c r="O168" s="6" t="s">
        <v>616</v>
      </c>
      <c r="P168" s="6" t="s">
        <v>1311</v>
      </c>
      <c r="Q168" s="6" t="s">
        <v>2575</v>
      </c>
      <c r="R168" s="6" t="s">
        <v>2575</v>
      </c>
      <c r="S168" s="6" t="s">
        <v>2037</v>
      </c>
      <c r="T168" s="6" t="s">
        <v>2038</v>
      </c>
      <c r="U168" s="6" t="s">
        <v>1313</v>
      </c>
      <c r="V168" s="6" t="s">
        <v>1314</v>
      </c>
      <c r="W168" s="6">
        <v>2025</v>
      </c>
      <c r="X168" s="6">
        <v>11</v>
      </c>
      <c r="Y168" s="6" t="s">
        <v>1315</v>
      </c>
      <c r="Z168" s="6">
        <v>2025</v>
      </c>
      <c r="AA168" s="6" t="s">
        <v>1316</v>
      </c>
      <c r="AB168" s="6" t="str">
        <f>VLOOKUP(S168,Mapping!A:C,3,FALSE)</f>
        <v>Primary</v>
      </c>
    </row>
    <row r="169" spans="1:28" x14ac:dyDescent="0.35">
      <c r="A169" s="6" t="s">
        <v>1302</v>
      </c>
      <c r="B169" s="6" t="s">
        <v>1303</v>
      </c>
      <c r="C169" s="6" t="s">
        <v>1304</v>
      </c>
      <c r="D169" s="6" t="s">
        <v>1305</v>
      </c>
      <c r="E169" s="6" t="s">
        <v>1306</v>
      </c>
      <c r="F169" s="6" t="s">
        <v>1307</v>
      </c>
      <c r="G169" s="6" t="s">
        <v>1308</v>
      </c>
      <c r="H169" s="6" t="s">
        <v>1728</v>
      </c>
      <c r="I169" s="6">
        <v>0</v>
      </c>
      <c r="J169" s="6">
        <v>3700.63</v>
      </c>
      <c r="K169" s="6">
        <v>1</v>
      </c>
      <c r="L169" s="6" t="s">
        <v>2205</v>
      </c>
      <c r="M169" s="6" t="e">
        <f>VLOOKUP(L169,'Nov Inv Recon'!H:H,1,FALSE)</f>
        <v>#N/A</v>
      </c>
      <c r="N169" s="6" t="e">
        <f>VLOOKUP(L169,VictoryHeitrich!D:D,1,FALSE)</f>
        <v>#N/A</v>
      </c>
      <c r="O169" s="6" t="s">
        <v>867</v>
      </c>
      <c r="P169" s="6" t="s">
        <v>1311</v>
      </c>
      <c r="Q169" s="6" t="s">
        <v>2576</v>
      </c>
      <c r="R169" s="6" t="s">
        <v>2576</v>
      </c>
      <c r="S169" s="6" t="s">
        <v>2037</v>
      </c>
      <c r="T169" s="6" t="s">
        <v>2038</v>
      </c>
      <c r="U169" s="6" t="s">
        <v>1313</v>
      </c>
      <c r="V169" s="6" t="s">
        <v>1314</v>
      </c>
      <c r="W169" s="6">
        <v>2025</v>
      </c>
      <c r="X169" s="6">
        <v>11</v>
      </c>
      <c r="Y169" s="6" t="s">
        <v>1315</v>
      </c>
      <c r="Z169" s="6">
        <v>2025</v>
      </c>
      <c r="AA169" s="6" t="s">
        <v>1316</v>
      </c>
      <c r="AB169" s="6" t="str">
        <f>VLOOKUP(S169,Mapping!A:C,3,FALSE)</f>
        <v>Primary</v>
      </c>
    </row>
    <row r="170" spans="1:28" x14ac:dyDescent="0.35">
      <c r="A170" s="6" t="s">
        <v>1302</v>
      </c>
      <c r="B170" s="6" t="s">
        <v>1303</v>
      </c>
      <c r="C170" s="6" t="s">
        <v>1304</v>
      </c>
      <c r="D170" s="6" t="s">
        <v>1305</v>
      </c>
      <c r="E170" s="6" t="s">
        <v>1306</v>
      </c>
      <c r="F170" s="6" t="s">
        <v>1307</v>
      </c>
      <c r="G170" s="6" t="s">
        <v>1308</v>
      </c>
      <c r="H170" s="6" t="s">
        <v>1632</v>
      </c>
      <c r="I170" s="6">
        <v>0</v>
      </c>
      <c r="J170" s="6">
        <v>1199</v>
      </c>
      <c r="K170" s="6">
        <v>1</v>
      </c>
      <c r="L170" s="6" t="s">
        <v>2302</v>
      </c>
      <c r="M170" s="6" t="e">
        <f>VLOOKUP(L170,'Nov Inv Recon'!H:H,1,FALSE)</f>
        <v>#N/A</v>
      </c>
      <c r="N170" s="6" t="e">
        <f>VLOOKUP(L170,VictoryHeitrich!D:D,1,FALSE)</f>
        <v>#N/A</v>
      </c>
      <c r="O170" s="6" t="s">
        <v>579</v>
      </c>
      <c r="P170" s="6" t="s">
        <v>1311</v>
      </c>
      <c r="Q170" s="6" t="s">
        <v>2577</v>
      </c>
      <c r="R170" s="6" t="s">
        <v>2577</v>
      </c>
      <c r="S170" s="6" t="s">
        <v>2052</v>
      </c>
      <c r="T170" s="6" t="s">
        <v>2053</v>
      </c>
      <c r="U170" s="6" t="s">
        <v>1313</v>
      </c>
      <c r="V170" s="6" t="s">
        <v>1314</v>
      </c>
      <c r="W170" s="6">
        <v>2025</v>
      </c>
      <c r="X170" s="6">
        <v>11</v>
      </c>
      <c r="Y170" s="6" t="s">
        <v>1315</v>
      </c>
      <c r="Z170" s="6">
        <v>2025</v>
      </c>
      <c r="AA170" s="6" t="s">
        <v>1316</v>
      </c>
      <c r="AB170" s="6" t="str">
        <f>VLOOKUP(S170,Mapping!A:C,3,FALSE)</f>
        <v>Primary</v>
      </c>
    </row>
    <row r="171" spans="1:28" x14ac:dyDescent="0.35">
      <c r="A171" s="6" t="s">
        <v>1302</v>
      </c>
      <c r="B171" s="6" t="s">
        <v>1303</v>
      </c>
      <c r="C171" s="6" t="s">
        <v>1304</v>
      </c>
      <c r="D171" s="6" t="s">
        <v>1305</v>
      </c>
      <c r="E171" s="6" t="s">
        <v>1306</v>
      </c>
      <c r="F171" s="6" t="s">
        <v>1307</v>
      </c>
      <c r="G171" s="6" t="s">
        <v>1308</v>
      </c>
      <c r="H171" s="6" t="s">
        <v>1937</v>
      </c>
      <c r="I171" s="6">
        <v>0</v>
      </c>
      <c r="J171" s="6">
        <v>1199</v>
      </c>
      <c r="K171" s="6">
        <v>1</v>
      </c>
      <c r="L171" s="6" t="s">
        <v>2112</v>
      </c>
      <c r="M171" s="6" t="e">
        <f>VLOOKUP(L171,'Nov Inv Recon'!H:H,1,FALSE)</f>
        <v>#N/A</v>
      </c>
      <c r="N171" s="6" t="e">
        <f>VLOOKUP(L171,VictoryHeitrich!D:D,1,FALSE)</f>
        <v>#N/A</v>
      </c>
      <c r="O171" s="6" t="s">
        <v>657</v>
      </c>
      <c r="P171" s="6" t="s">
        <v>1311</v>
      </c>
      <c r="Q171" s="6" t="s">
        <v>2578</v>
      </c>
      <c r="R171" s="6" t="s">
        <v>2578</v>
      </c>
      <c r="S171" s="6" t="s">
        <v>2052</v>
      </c>
      <c r="T171" s="6" t="s">
        <v>2053</v>
      </c>
      <c r="U171" s="6" t="s">
        <v>1313</v>
      </c>
      <c r="V171" s="6" t="s">
        <v>1314</v>
      </c>
      <c r="W171" s="6">
        <v>2025</v>
      </c>
      <c r="X171" s="6">
        <v>11</v>
      </c>
      <c r="Y171" s="6" t="s">
        <v>1315</v>
      </c>
      <c r="Z171" s="6">
        <v>2025</v>
      </c>
      <c r="AA171" s="6" t="s">
        <v>1316</v>
      </c>
      <c r="AB171" s="6" t="str">
        <f>VLOOKUP(S171,Mapping!A:C,3,FALSE)</f>
        <v>Primary</v>
      </c>
    </row>
    <row r="172" spans="1:28" x14ac:dyDescent="0.35">
      <c r="A172" s="6" t="s">
        <v>1302</v>
      </c>
      <c r="B172" s="6" t="s">
        <v>1303</v>
      </c>
      <c r="C172" s="6" t="s">
        <v>1304</v>
      </c>
      <c r="D172" s="6" t="s">
        <v>1305</v>
      </c>
      <c r="E172" s="6" t="s">
        <v>1306</v>
      </c>
      <c r="F172" s="6" t="s">
        <v>1307</v>
      </c>
      <c r="G172" s="6" t="s">
        <v>1308</v>
      </c>
      <c r="H172" s="6" t="s">
        <v>1937</v>
      </c>
      <c r="I172" s="6">
        <v>0</v>
      </c>
      <c r="J172" s="6">
        <v>1199</v>
      </c>
      <c r="K172" s="6">
        <v>1</v>
      </c>
      <c r="L172" s="6" t="s">
        <v>2118</v>
      </c>
      <c r="M172" s="6" t="e">
        <f>VLOOKUP(L172,'Nov Inv Recon'!H:H,1,FALSE)</f>
        <v>#N/A</v>
      </c>
      <c r="N172" s="6" t="e">
        <f>VLOOKUP(L172,VictoryHeitrich!D:D,1,FALSE)</f>
        <v>#N/A</v>
      </c>
      <c r="O172" s="6" t="s">
        <v>456</v>
      </c>
      <c r="P172" s="6" t="s">
        <v>1311</v>
      </c>
      <c r="Q172" s="6" t="s">
        <v>2579</v>
      </c>
      <c r="R172" s="6" t="s">
        <v>2579</v>
      </c>
      <c r="S172" s="6" t="s">
        <v>2052</v>
      </c>
      <c r="T172" s="6" t="s">
        <v>2053</v>
      </c>
      <c r="U172" s="6" t="s">
        <v>1313</v>
      </c>
      <c r="V172" s="6" t="s">
        <v>1314</v>
      </c>
      <c r="W172" s="6">
        <v>2025</v>
      </c>
      <c r="X172" s="6">
        <v>11</v>
      </c>
      <c r="Y172" s="6" t="s">
        <v>1315</v>
      </c>
      <c r="Z172" s="6">
        <v>2025</v>
      </c>
      <c r="AA172" s="6" t="s">
        <v>1316</v>
      </c>
      <c r="AB172" s="6" t="str">
        <f>VLOOKUP(S172,Mapping!A:C,3,FALSE)</f>
        <v>Primary</v>
      </c>
    </row>
    <row r="173" spans="1:28" x14ac:dyDescent="0.35">
      <c r="A173" s="6" t="s">
        <v>1302</v>
      </c>
      <c r="B173" s="6" t="s">
        <v>1303</v>
      </c>
      <c r="C173" s="6" t="s">
        <v>1304</v>
      </c>
      <c r="D173" s="6" t="s">
        <v>1305</v>
      </c>
      <c r="E173" s="6" t="s">
        <v>1306</v>
      </c>
      <c r="F173" s="6" t="s">
        <v>1307</v>
      </c>
      <c r="G173" s="6" t="s">
        <v>1308</v>
      </c>
      <c r="H173" s="6" t="s">
        <v>2526</v>
      </c>
      <c r="I173" s="6">
        <v>0</v>
      </c>
      <c r="J173" s="6">
        <v>1199</v>
      </c>
      <c r="K173" s="6">
        <v>1</v>
      </c>
      <c r="L173" s="6" t="s">
        <v>2286</v>
      </c>
      <c r="M173" s="6" t="e">
        <f>VLOOKUP(L173,'Nov Inv Recon'!H:H,1,FALSE)</f>
        <v>#N/A</v>
      </c>
      <c r="N173" s="6" t="e">
        <f>VLOOKUP(L173,VictoryHeitrich!D:D,1,FALSE)</f>
        <v>#N/A</v>
      </c>
      <c r="O173" s="6" t="s">
        <v>310</v>
      </c>
      <c r="P173" s="6" t="s">
        <v>1311</v>
      </c>
      <c r="Q173" s="6" t="s">
        <v>2580</v>
      </c>
      <c r="R173" s="6" t="s">
        <v>2580</v>
      </c>
      <c r="S173" s="6" t="s">
        <v>2052</v>
      </c>
      <c r="T173" s="6" t="s">
        <v>2053</v>
      </c>
      <c r="U173" s="6" t="s">
        <v>1313</v>
      </c>
      <c r="V173" s="6" t="s">
        <v>1314</v>
      </c>
      <c r="W173" s="6">
        <v>2025</v>
      </c>
      <c r="X173" s="6">
        <v>11</v>
      </c>
      <c r="Y173" s="6" t="s">
        <v>1315</v>
      </c>
      <c r="Z173" s="6">
        <v>2025</v>
      </c>
      <c r="AA173" s="6" t="s">
        <v>1316</v>
      </c>
      <c r="AB173" s="6" t="str">
        <f>VLOOKUP(S173,Mapping!A:C,3,FALSE)</f>
        <v>Primary</v>
      </c>
    </row>
    <row r="174" spans="1:28" x14ac:dyDescent="0.35">
      <c r="A174" s="6" t="s">
        <v>1302</v>
      </c>
      <c r="B174" s="6" t="s">
        <v>1303</v>
      </c>
      <c r="C174" s="6" t="s">
        <v>1304</v>
      </c>
      <c r="D174" s="6" t="s">
        <v>1305</v>
      </c>
      <c r="E174" s="6" t="s">
        <v>1306</v>
      </c>
      <c r="F174" s="6" t="s">
        <v>1307</v>
      </c>
      <c r="G174" s="6" t="s">
        <v>1308</v>
      </c>
      <c r="H174" s="6" t="s">
        <v>1937</v>
      </c>
      <c r="I174" s="6">
        <v>0</v>
      </c>
      <c r="J174" s="6">
        <v>1199</v>
      </c>
      <c r="K174" s="6">
        <v>1</v>
      </c>
      <c r="L174" s="6" t="s">
        <v>2115</v>
      </c>
      <c r="M174" s="6" t="e">
        <f>VLOOKUP(L174,'Nov Inv Recon'!H:H,1,FALSE)</f>
        <v>#N/A</v>
      </c>
      <c r="N174" s="6" t="e">
        <f>VLOOKUP(L174,VictoryHeitrich!D:D,1,FALSE)</f>
        <v>#N/A</v>
      </c>
      <c r="O174" s="6" t="s">
        <v>627</v>
      </c>
      <c r="P174" s="6" t="s">
        <v>1311</v>
      </c>
      <c r="Q174" s="6" t="s">
        <v>2581</v>
      </c>
      <c r="R174" s="6" t="s">
        <v>2581</v>
      </c>
      <c r="S174" s="6" t="s">
        <v>2052</v>
      </c>
      <c r="T174" s="6" t="s">
        <v>2053</v>
      </c>
      <c r="U174" s="6" t="s">
        <v>1313</v>
      </c>
      <c r="V174" s="6" t="s">
        <v>1314</v>
      </c>
      <c r="W174" s="6">
        <v>2025</v>
      </c>
      <c r="X174" s="6">
        <v>11</v>
      </c>
      <c r="Y174" s="6" t="s">
        <v>1315</v>
      </c>
      <c r="Z174" s="6">
        <v>2025</v>
      </c>
      <c r="AA174" s="6" t="s">
        <v>1316</v>
      </c>
      <c r="AB174" s="6" t="str">
        <f>VLOOKUP(S174,Mapping!A:C,3,FALSE)</f>
        <v>Primary</v>
      </c>
    </row>
    <row r="175" spans="1:28" x14ac:dyDescent="0.35">
      <c r="A175" s="6" t="s">
        <v>1302</v>
      </c>
      <c r="B175" s="6" t="s">
        <v>1303</v>
      </c>
      <c r="C175" s="6" t="s">
        <v>1304</v>
      </c>
      <c r="D175" s="6" t="s">
        <v>1305</v>
      </c>
      <c r="E175" s="6" t="s">
        <v>1306</v>
      </c>
      <c r="F175" s="6" t="s">
        <v>1307</v>
      </c>
      <c r="G175" s="6" t="s">
        <v>1308</v>
      </c>
      <c r="H175" s="6" t="s">
        <v>2526</v>
      </c>
      <c r="I175" s="6">
        <v>0</v>
      </c>
      <c r="J175" s="6">
        <v>1199</v>
      </c>
      <c r="K175" s="6">
        <v>1</v>
      </c>
      <c r="L175" s="6" t="s">
        <v>2067</v>
      </c>
      <c r="M175" s="6" t="e">
        <f>VLOOKUP(L175,'Nov Inv Recon'!H:H,1,FALSE)</f>
        <v>#N/A</v>
      </c>
      <c r="N175" s="6" t="e">
        <f>VLOOKUP(L175,VictoryHeitrich!D:D,1,FALSE)</f>
        <v>#N/A</v>
      </c>
      <c r="O175" s="6" t="s">
        <v>305</v>
      </c>
      <c r="P175" s="6" t="s">
        <v>1311</v>
      </c>
      <c r="Q175" s="6" t="s">
        <v>2582</v>
      </c>
      <c r="R175" s="6" t="s">
        <v>2582</v>
      </c>
      <c r="S175" s="6" t="s">
        <v>2052</v>
      </c>
      <c r="T175" s="6" t="s">
        <v>2053</v>
      </c>
      <c r="U175" s="6" t="s">
        <v>1313</v>
      </c>
      <c r="V175" s="6" t="s">
        <v>1314</v>
      </c>
      <c r="W175" s="6">
        <v>2025</v>
      </c>
      <c r="X175" s="6">
        <v>11</v>
      </c>
      <c r="Y175" s="6" t="s">
        <v>1315</v>
      </c>
      <c r="Z175" s="6">
        <v>2025</v>
      </c>
      <c r="AA175" s="6" t="s">
        <v>1316</v>
      </c>
      <c r="AB175" s="6" t="str">
        <f>VLOOKUP(S175,Mapping!A:C,3,FALSE)</f>
        <v>Primary</v>
      </c>
    </row>
    <row r="176" spans="1:28" x14ac:dyDescent="0.35">
      <c r="A176" s="6" t="s">
        <v>1302</v>
      </c>
      <c r="B176" s="6" t="s">
        <v>1303</v>
      </c>
      <c r="C176" s="6" t="s">
        <v>1304</v>
      </c>
      <c r="D176" s="6" t="s">
        <v>1305</v>
      </c>
      <c r="E176" s="6" t="s">
        <v>1306</v>
      </c>
      <c r="F176" s="6" t="s">
        <v>1307</v>
      </c>
      <c r="G176" s="6" t="s">
        <v>1308</v>
      </c>
      <c r="H176" s="6" t="s">
        <v>1765</v>
      </c>
      <c r="I176" s="6">
        <v>0</v>
      </c>
      <c r="J176" s="6">
        <v>1199</v>
      </c>
      <c r="K176" s="6">
        <v>1</v>
      </c>
      <c r="L176" s="6" t="s">
        <v>2056</v>
      </c>
      <c r="M176" s="6" t="e">
        <f>VLOOKUP(L176,'Nov Inv Recon'!H:H,1,FALSE)</f>
        <v>#N/A</v>
      </c>
      <c r="N176" s="6" t="e">
        <f>VLOOKUP(L176,VictoryHeitrich!D:D,1,FALSE)</f>
        <v>#N/A</v>
      </c>
      <c r="O176" s="6" t="s">
        <v>826</v>
      </c>
      <c r="P176" s="6" t="s">
        <v>1311</v>
      </c>
      <c r="Q176" s="6" t="s">
        <v>2583</v>
      </c>
      <c r="R176" s="6" t="s">
        <v>2583</v>
      </c>
      <c r="S176" s="6" t="s">
        <v>2052</v>
      </c>
      <c r="T176" s="6" t="s">
        <v>2053</v>
      </c>
      <c r="U176" s="6" t="s">
        <v>1313</v>
      </c>
      <c r="V176" s="6" t="s">
        <v>1314</v>
      </c>
      <c r="W176" s="6">
        <v>2025</v>
      </c>
      <c r="X176" s="6">
        <v>11</v>
      </c>
      <c r="Y176" s="6" t="s">
        <v>1315</v>
      </c>
      <c r="Z176" s="6">
        <v>2025</v>
      </c>
      <c r="AA176" s="6" t="s">
        <v>1316</v>
      </c>
      <c r="AB176" s="6" t="str">
        <f>VLOOKUP(S176,Mapping!A:C,3,FALSE)</f>
        <v>Primary</v>
      </c>
    </row>
    <row r="177" spans="1:28" x14ac:dyDescent="0.35">
      <c r="A177" s="6" t="s">
        <v>1302</v>
      </c>
      <c r="B177" s="6" t="s">
        <v>1303</v>
      </c>
      <c r="C177" s="6" t="s">
        <v>1304</v>
      </c>
      <c r="D177" s="6" t="s">
        <v>1305</v>
      </c>
      <c r="E177" s="6" t="s">
        <v>1306</v>
      </c>
      <c r="F177" s="6" t="s">
        <v>1307</v>
      </c>
      <c r="G177" s="6" t="s">
        <v>1308</v>
      </c>
      <c r="H177" s="6" t="s">
        <v>1765</v>
      </c>
      <c r="I177" s="6">
        <v>0</v>
      </c>
      <c r="J177" s="6">
        <v>1199</v>
      </c>
      <c r="K177" s="6">
        <v>1</v>
      </c>
      <c r="L177" s="6" t="s">
        <v>2055</v>
      </c>
      <c r="M177" s="6" t="e">
        <f>VLOOKUP(L177,'Nov Inv Recon'!H:H,1,FALSE)</f>
        <v>#N/A</v>
      </c>
      <c r="N177" s="6" t="e">
        <f>VLOOKUP(L177,VictoryHeitrich!D:D,1,FALSE)</f>
        <v>#N/A</v>
      </c>
      <c r="O177" s="6" t="s">
        <v>822</v>
      </c>
      <c r="P177" s="6" t="s">
        <v>1311</v>
      </c>
      <c r="Q177" s="6" t="s">
        <v>2584</v>
      </c>
      <c r="R177" s="6" t="s">
        <v>2584</v>
      </c>
      <c r="S177" s="6" t="s">
        <v>2052</v>
      </c>
      <c r="T177" s="6" t="s">
        <v>2053</v>
      </c>
      <c r="U177" s="6" t="s">
        <v>1313</v>
      </c>
      <c r="V177" s="6" t="s">
        <v>1314</v>
      </c>
      <c r="W177" s="6">
        <v>2025</v>
      </c>
      <c r="X177" s="6">
        <v>11</v>
      </c>
      <c r="Y177" s="6" t="s">
        <v>1315</v>
      </c>
      <c r="Z177" s="6">
        <v>2025</v>
      </c>
      <c r="AA177" s="6" t="s">
        <v>1316</v>
      </c>
      <c r="AB177" s="6" t="str">
        <f>VLOOKUP(S177,Mapping!A:C,3,FALSE)</f>
        <v>Primary</v>
      </c>
    </row>
    <row r="178" spans="1:28" x14ac:dyDescent="0.35">
      <c r="A178" s="6" t="s">
        <v>1302</v>
      </c>
      <c r="B178" s="6" t="s">
        <v>1303</v>
      </c>
      <c r="C178" s="6" t="s">
        <v>1304</v>
      </c>
      <c r="D178" s="6" t="s">
        <v>1305</v>
      </c>
      <c r="E178" s="6" t="s">
        <v>1306</v>
      </c>
      <c r="F178" s="6" t="s">
        <v>1307</v>
      </c>
      <c r="G178" s="6" t="s">
        <v>1308</v>
      </c>
      <c r="H178" s="6" t="s">
        <v>1682</v>
      </c>
      <c r="I178" s="6">
        <v>309.42</v>
      </c>
      <c r="J178" s="6">
        <v>0</v>
      </c>
      <c r="K178" s="6">
        <v>8</v>
      </c>
      <c r="L178" s="6" t="s">
        <v>2048</v>
      </c>
      <c r="M178" s="6" t="e">
        <f>VLOOKUP(L178,'Nov Inv Recon'!H:H,1,FALSE)</f>
        <v>#N/A</v>
      </c>
      <c r="N178" s="6" t="e">
        <f>VLOOKUP(L178,VictoryHeitrich!D:D,1,FALSE)</f>
        <v>#N/A</v>
      </c>
      <c r="O178" s="6" t="s">
        <v>940</v>
      </c>
      <c r="P178" s="6" t="s">
        <v>1311</v>
      </c>
      <c r="Q178" s="6" t="s">
        <v>2585</v>
      </c>
      <c r="R178" s="6" t="s">
        <v>2586</v>
      </c>
      <c r="S178" s="6" t="s">
        <v>2052</v>
      </c>
      <c r="T178" s="6" t="s">
        <v>2053</v>
      </c>
      <c r="U178" s="6" t="s">
        <v>1313</v>
      </c>
      <c r="V178" s="6" t="s">
        <v>1314</v>
      </c>
      <c r="W178" s="6">
        <v>2025</v>
      </c>
      <c r="X178" s="6">
        <v>11</v>
      </c>
      <c r="Y178" s="6" t="s">
        <v>1315</v>
      </c>
      <c r="Z178" s="6">
        <v>2025</v>
      </c>
      <c r="AA178" s="6" t="s">
        <v>1316</v>
      </c>
      <c r="AB178" s="6" t="str">
        <f>VLOOKUP(S178,Mapping!A:C,3,FALSE)</f>
        <v>Primary</v>
      </c>
    </row>
    <row r="179" spans="1:28" x14ac:dyDescent="0.35">
      <c r="A179" s="6" t="s">
        <v>1302</v>
      </c>
      <c r="B179" s="6" t="s">
        <v>1303</v>
      </c>
      <c r="C179" s="6" t="s">
        <v>1304</v>
      </c>
      <c r="D179" s="6" t="s">
        <v>1305</v>
      </c>
      <c r="E179" s="6" t="s">
        <v>1306</v>
      </c>
      <c r="F179" s="6" t="s">
        <v>1307</v>
      </c>
      <c r="G179" s="6" t="s">
        <v>1308</v>
      </c>
      <c r="H179" s="6" t="s">
        <v>1937</v>
      </c>
      <c r="I179" s="6">
        <v>0</v>
      </c>
      <c r="J179" s="6">
        <v>1199</v>
      </c>
      <c r="K179" s="6">
        <v>1</v>
      </c>
      <c r="L179" s="6" t="s">
        <v>1934</v>
      </c>
      <c r="M179" s="6" t="e">
        <f>VLOOKUP(L179,'Nov Inv Recon'!H:H,1,FALSE)</f>
        <v>#N/A</v>
      </c>
      <c r="N179" s="6" t="e">
        <f>VLOOKUP(L179,VictoryHeitrich!D:D,1,FALSE)</f>
        <v>#N/A</v>
      </c>
      <c r="O179" s="6" t="s">
        <v>454</v>
      </c>
      <c r="P179" s="6" t="s">
        <v>1311</v>
      </c>
      <c r="Q179" s="6" t="s">
        <v>2587</v>
      </c>
      <c r="R179" s="6" t="s">
        <v>2587</v>
      </c>
      <c r="S179" s="6" t="s">
        <v>2052</v>
      </c>
      <c r="T179" s="6" t="s">
        <v>2053</v>
      </c>
      <c r="U179" s="6" t="s">
        <v>1313</v>
      </c>
      <c r="V179" s="6" t="s">
        <v>1314</v>
      </c>
      <c r="W179" s="6">
        <v>2025</v>
      </c>
      <c r="X179" s="6">
        <v>11</v>
      </c>
      <c r="Y179" s="6" t="s">
        <v>1315</v>
      </c>
      <c r="Z179" s="6">
        <v>2025</v>
      </c>
      <c r="AA179" s="6" t="s">
        <v>1316</v>
      </c>
      <c r="AB179" s="6" t="str">
        <f>VLOOKUP(S179,Mapping!A:C,3,FALSE)</f>
        <v>Primary</v>
      </c>
    </row>
    <row r="180" spans="1:28" x14ac:dyDescent="0.35">
      <c r="A180" s="6" t="s">
        <v>1302</v>
      </c>
      <c r="B180" s="6" t="s">
        <v>1303</v>
      </c>
      <c r="C180" s="6" t="s">
        <v>1304</v>
      </c>
      <c r="D180" s="6" t="s">
        <v>1305</v>
      </c>
      <c r="E180" s="6" t="s">
        <v>1306</v>
      </c>
      <c r="F180" s="6" t="s">
        <v>1307</v>
      </c>
      <c r="G180" s="6" t="s">
        <v>1308</v>
      </c>
      <c r="H180" s="6" t="s">
        <v>1937</v>
      </c>
      <c r="I180" s="6">
        <v>0</v>
      </c>
      <c r="J180" s="6">
        <v>1199</v>
      </c>
      <c r="K180" s="6">
        <v>1</v>
      </c>
      <c r="L180" s="6" t="s">
        <v>2116</v>
      </c>
      <c r="M180" s="6" t="e">
        <f>VLOOKUP(L180,'Nov Inv Recon'!H:H,1,FALSE)</f>
        <v>#N/A</v>
      </c>
      <c r="N180" s="6" t="e">
        <f>VLOOKUP(L180,VictoryHeitrich!D:D,1,FALSE)</f>
        <v>#N/A</v>
      </c>
      <c r="O180" s="6" t="s">
        <v>655</v>
      </c>
      <c r="P180" s="6" t="s">
        <v>1311</v>
      </c>
      <c r="Q180" s="6" t="s">
        <v>2588</v>
      </c>
      <c r="R180" s="6" t="s">
        <v>2588</v>
      </c>
      <c r="S180" s="6" t="s">
        <v>2052</v>
      </c>
      <c r="T180" s="6" t="s">
        <v>2053</v>
      </c>
      <c r="U180" s="6" t="s">
        <v>1313</v>
      </c>
      <c r="V180" s="6" t="s">
        <v>1314</v>
      </c>
      <c r="W180" s="6">
        <v>2025</v>
      </c>
      <c r="X180" s="6">
        <v>11</v>
      </c>
      <c r="Y180" s="6" t="s">
        <v>1315</v>
      </c>
      <c r="Z180" s="6">
        <v>2025</v>
      </c>
      <c r="AA180" s="6" t="s">
        <v>1316</v>
      </c>
      <c r="AB180" s="6" t="str">
        <f>VLOOKUP(S180,Mapping!A:C,3,FALSE)</f>
        <v>Primary</v>
      </c>
    </row>
    <row r="181" spans="1:28" x14ac:dyDescent="0.35">
      <c r="A181" s="6" t="s">
        <v>1302</v>
      </c>
      <c r="B181" s="6" t="s">
        <v>1303</v>
      </c>
      <c r="C181" s="6" t="s">
        <v>1304</v>
      </c>
      <c r="D181" s="6" t="s">
        <v>1305</v>
      </c>
      <c r="E181" s="6" t="s">
        <v>1306</v>
      </c>
      <c r="F181" s="6" t="s">
        <v>1307</v>
      </c>
      <c r="G181" s="6" t="s">
        <v>1308</v>
      </c>
      <c r="H181" s="6" t="s">
        <v>1937</v>
      </c>
      <c r="I181" s="6">
        <v>0</v>
      </c>
      <c r="J181" s="6">
        <v>1199</v>
      </c>
      <c r="K181" s="6">
        <v>1</v>
      </c>
      <c r="L181" s="6" t="s">
        <v>2117</v>
      </c>
      <c r="M181" s="6" t="e">
        <f>VLOOKUP(L181,'Nov Inv Recon'!H:H,1,FALSE)</f>
        <v>#N/A</v>
      </c>
      <c r="N181" s="6" t="e">
        <f>VLOOKUP(L181,VictoryHeitrich!D:D,1,FALSE)</f>
        <v>#N/A</v>
      </c>
      <c r="O181" s="6" t="s">
        <v>659</v>
      </c>
      <c r="P181" s="6" t="s">
        <v>1311</v>
      </c>
      <c r="Q181" s="6" t="s">
        <v>2589</v>
      </c>
      <c r="R181" s="6" t="s">
        <v>2589</v>
      </c>
      <c r="S181" s="6" t="s">
        <v>2052</v>
      </c>
      <c r="T181" s="6" t="s">
        <v>2053</v>
      </c>
      <c r="U181" s="6" t="s">
        <v>1313</v>
      </c>
      <c r="V181" s="6" t="s">
        <v>1314</v>
      </c>
      <c r="W181" s="6">
        <v>2025</v>
      </c>
      <c r="X181" s="6">
        <v>11</v>
      </c>
      <c r="Y181" s="6" t="s">
        <v>1315</v>
      </c>
      <c r="Z181" s="6">
        <v>2025</v>
      </c>
      <c r="AA181" s="6" t="s">
        <v>1316</v>
      </c>
      <c r="AB181" s="6" t="str">
        <f>VLOOKUP(S181,Mapping!A:C,3,FALSE)</f>
        <v>Primary</v>
      </c>
    </row>
    <row r="182" spans="1:28" x14ac:dyDescent="0.35">
      <c r="A182" s="6" t="s">
        <v>1302</v>
      </c>
      <c r="B182" s="6" t="s">
        <v>1303</v>
      </c>
      <c r="C182" s="6" t="s">
        <v>1304</v>
      </c>
      <c r="D182" s="6" t="s">
        <v>1305</v>
      </c>
      <c r="E182" s="6" t="s">
        <v>1306</v>
      </c>
      <c r="F182" s="6" t="s">
        <v>1307</v>
      </c>
      <c r="G182" s="6" t="s">
        <v>1308</v>
      </c>
      <c r="H182" s="6" t="s">
        <v>2526</v>
      </c>
      <c r="I182" s="6">
        <v>0</v>
      </c>
      <c r="J182" s="6">
        <v>1199</v>
      </c>
      <c r="K182" s="6">
        <v>1</v>
      </c>
      <c r="L182" s="6" t="s">
        <v>2063</v>
      </c>
      <c r="M182" s="6" t="e">
        <f>VLOOKUP(L182,'Nov Inv Recon'!H:H,1,FALSE)</f>
        <v>#N/A</v>
      </c>
      <c r="N182" s="6" t="e">
        <f>VLOOKUP(L182,VictoryHeitrich!D:D,1,FALSE)</f>
        <v>#N/A</v>
      </c>
      <c r="O182" s="6" t="s">
        <v>581</v>
      </c>
      <c r="P182" s="6" t="s">
        <v>1311</v>
      </c>
      <c r="Q182" s="6" t="s">
        <v>2590</v>
      </c>
      <c r="R182" s="6" t="s">
        <v>2590</v>
      </c>
      <c r="S182" s="6" t="s">
        <v>2052</v>
      </c>
      <c r="T182" s="6" t="s">
        <v>2053</v>
      </c>
      <c r="U182" s="6" t="s">
        <v>1313</v>
      </c>
      <c r="V182" s="6" t="s">
        <v>1314</v>
      </c>
      <c r="W182" s="6">
        <v>2025</v>
      </c>
      <c r="X182" s="6">
        <v>11</v>
      </c>
      <c r="Y182" s="6" t="s">
        <v>1315</v>
      </c>
      <c r="Z182" s="6">
        <v>2025</v>
      </c>
      <c r="AA182" s="6" t="s">
        <v>1316</v>
      </c>
      <c r="AB182" s="6" t="str">
        <f>VLOOKUP(S182,Mapping!A:C,3,FALSE)</f>
        <v>Primary</v>
      </c>
    </row>
    <row r="183" spans="1:28" x14ac:dyDescent="0.35">
      <c r="A183" s="6" t="s">
        <v>1302</v>
      </c>
      <c r="B183" s="6" t="s">
        <v>1303</v>
      </c>
      <c r="C183" s="6" t="s">
        <v>1304</v>
      </c>
      <c r="D183" s="6" t="s">
        <v>1305</v>
      </c>
      <c r="E183" s="6" t="s">
        <v>1306</v>
      </c>
      <c r="F183" s="6" t="s">
        <v>1307</v>
      </c>
      <c r="G183" s="6" t="s">
        <v>1308</v>
      </c>
      <c r="H183" s="6" t="s">
        <v>1937</v>
      </c>
      <c r="I183" s="6">
        <v>0</v>
      </c>
      <c r="J183" s="6">
        <v>1199</v>
      </c>
      <c r="K183" s="6">
        <v>1</v>
      </c>
      <c r="L183" s="6" t="s">
        <v>2113</v>
      </c>
      <c r="M183" s="6" t="e">
        <f>VLOOKUP(L183,'Nov Inv Recon'!H:H,1,FALSE)</f>
        <v>#N/A</v>
      </c>
      <c r="N183" s="6" t="e">
        <f>VLOOKUP(L183,VictoryHeitrich!D:D,1,FALSE)</f>
        <v>#N/A</v>
      </c>
      <c r="O183" s="6" t="s">
        <v>950</v>
      </c>
      <c r="P183" s="6" t="s">
        <v>1311</v>
      </c>
      <c r="Q183" s="6" t="s">
        <v>2591</v>
      </c>
      <c r="R183" s="6" t="s">
        <v>2591</v>
      </c>
      <c r="S183" s="6" t="s">
        <v>2052</v>
      </c>
      <c r="T183" s="6" t="s">
        <v>2053</v>
      </c>
      <c r="U183" s="6" t="s">
        <v>1313</v>
      </c>
      <c r="V183" s="6" t="s">
        <v>1314</v>
      </c>
      <c r="W183" s="6">
        <v>2025</v>
      </c>
      <c r="X183" s="6">
        <v>11</v>
      </c>
      <c r="Y183" s="6" t="s">
        <v>1315</v>
      </c>
      <c r="Z183" s="6">
        <v>2025</v>
      </c>
      <c r="AA183" s="6" t="s">
        <v>1316</v>
      </c>
      <c r="AB183" s="6" t="str">
        <f>VLOOKUP(S183,Mapping!A:C,3,FALSE)</f>
        <v>Primary</v>
      </c>
    </row>
    <row r="184" spans="1:28" x14ac:dyDescent="0.35">
      <c r="A184" s="6" t="s">
        <v>1302</v>
      </c>
      <c r="B184" s="6" t="s">
        <v>1303</v>
      </c>
      <c r="C184" s="6" t="s">
        <v>1304</v>
      </c>
      <c r="D184" s="6" t="s">
        <v>1305</v>
      </c>
      <c r="E184" s="6" t="s">
        <v>1306</v>
      </c>
      <c r="F184" s="6" t="s">
        <v>1307</v>
      </c>
      <c r="G184" s="6" t="s">
        <v>1308</v>
      </c>
      <c r="H184" s="6" t="s">
        <v>1682</v>
      </c>
      <c r="I184" s="6">
        <v>0</v>
      </c>
      <c r="J184" s="6">
        <v>1199</v>
      </c>
      <c r="K184" s="6">
        <v>1</v>
      </c>
      <c r="L184" s="6" t="s">
        <v>2048</v>
      </c>
      <c r="M184" s="6" t="e">
        <f>VLOOKUP(L184,'Nov Inv Recon'!H:H,1,FALSE)</f>
        <v>#N/A</v>
      </c>
      <c r="N184" s="6" t="e">
        <f>VLOOKUP(L184,VictoryHeitrich!D:D,1,FALSE)</f>
        <v>#N/A</v>
      </c>
      <c r="O184" s="6" t="s">
        <v>940</v>
      </c>
      <c r="P184" s="6" t="s">
        <v>1311</v>
      </c>
      <c r="Q184" s="6" t="s">
        <v>2586</v>
      </c>
      <c r="R184" s="6" t="s">
        <v>2586</v>
      </c>
      <c r="S184" s="6" t="s">
        <v>2052</v>
      </c>
      <c r="T184" s="6" t="s">
        <v>2053</v>
      </c>
      <c r="U184" s="6" t="s">
        <v>1313</v>
      </c>
      <c r="V184" s="6" t="s">
        <v>1314</v>
      </c>
      <c r="W184" s="6">
        <v>2025</v>
      </c>
      <c r="X184" s="6">
        <v>11</v>
      </c>
      <c r="Y184" s="6" t="s">
        <v>1315</v>
      </c>
      <c r="Z184" s="6">
        <v>2025</v>
      </c>
      <c r="AA184" s="6" t="s">
        <v>1316</v>
      </c>
      <c r="AB184" s="6" t="str">
        <f>VLOOKUP(S184,Mapping!A:C,3,FALSE)</f>
        <v>Primary</v>
      </c>
    </row>
    <row r="185" spans="1:28" x14ac:dyDescent="0.35">
      <c r="A185" s="6" t="s">
        <v>1302</v>
      </c>
      <c r="B185" s="6" t="s">
        <v>1303</v>
      </c>
      <c r="C185" s="6" t="s">
        <v>1304</v>
      </c>
      <c r="D185" s="6" t="s">
        <v>1305</v>
      </c>
      <c r="E185" s="6" t="s">
        <v>1306</v>
      </c>
      <c r="F185" s="6" t="s">
        <v>1307</v>
      </c>
      <c r="G185" s="6" t="s">
        <v>1308</v>
      </c>
      <c r="H185" s="6" t="s">
        <v>2526</v>
      </c>
      <c r="I185" s="6">
        <v>0</v>
      </c>
      <c r="J185" s="6">
        <v>1199</v>
      </c>
      <c r="K185" s="6">
        <v>1</v>
      </c>
      <c r="L185" s="6" t="s">
        <v>2066</v>
      </c>
      <c r="M185" s="6" t="e">
        <f>VLOOKUP(L185,'Nov Inv Recon'!H:H,1,FALSE)</f>
        <v>#N/A</v>
      </c>
      <c r="N185" s="6" t="e">
        <f>VLOOKUP(L185,VictoryHeitrich!D:D,1,FALSE)</f>
        <v>#N/A</v>
      </c>
      <c r="O185" s="6" t="s">
        <v>308</v>
      </c>
      <c r="P185" s="6" t="s">
        <v>1311</v>
      </c>
      <c r="Q185" s="6" t="s">
        <v>2592</v>
      </c>
      <c r="R185" s="6" t="s">
        <v>2592</v>
      </c>
      <c r="S185" s="6" t="s">
        <v>2052</v>
      </c>
      <c r="T185" s="6" t="s">
        <v>2053</v>
      </c>
      <c r="U185" s="6" t="s">
        <v>1313</v>
      </c>
      <c r="V185" s="6" t="s">
        <v>1314</v>
      </c>
      <c r="W185" s="6">
        <v>2025</v>
      </c>
      <c r="X185" s="6">
        <v>11</v>
      </c>
      <c r="Y185" s="6" t="s">
        <v>1315</v>
      </c>
      <c r="Z185" s="6">
        <v>2025</v>
      </c>
      <c r="AA185" s="6" t="s">
        <v>1316</v>
      </c>
      <c r="AB185" s="6" t="str">
        <f>VLOOKUP(S185,Mapping!A:C,3,FALSE)</f>
        <v>Primary</v>
      </c>
    </row>
    <row r="186" spans="1:28" x14ac:dyDescent="0.35">
      <c r="A186" s="6" t="s">
        <v>1302</v>
      </c>
      <c r="B186" s="6" t="s">
        <v>1303</v>
      </c>
      <c r="C186" s="6" t="s">
        <v>1304</v>
      </c>
      <c r="D186" s="6" t="s">
        <v>1305</v>
      </c>
      <c r="E186" s="6" t="s">
        <v>1306</v>
      </c>
      <c r="F186" s="6" t="s">
        <v>1307</v>
      </c>
      <c r="G186" s="6" t="s">
        <v>1308</v>
      </c>
      <c r="H186" s="6" t="s">
        <v>1765</v>
      </c>
      <c r="I186" s="6">
        <v>0</v>
      </c>
      <c r="J186" s="6">
        <v>399</v>
      </c>
      <c r="K186" s="6">
        <v>1</v>
      </c>
      <c r="L186" s="6" t="s">
        <v>2056</v>
      </c>
      <c r="M186" s="6" t="e">
        <f>VLOOKUP(L186,'Nov Inv Recon'!H:H,1,FALSE)</f>
        <v>#N/A</v>
      </c>
      <c r="N186" s="6" t="e">
        <f>VLOOKUP(L186,VictoryHeitrich!D:D,1,FALSE)</f>
        <v>#N/A</v>
      </c>
      <c r="O186" s="6" t="s">
        <v>826</v>
      </c>
      <c r="P186" s="6" t="s">
        <v>1311</v>
      </c>
      <c r="Q186" s="6" t="s">
        <v>2593</v>
      </c>
      <c r="R186" s="6" t="s">
        <v>2593</v>
      </c>
      <c r="S186" s="6" t="s">
        <v>2064</v>
      </c>
      <c r="T186" s="6" t="s">
        <v>2065</v>
      </c>
      <c r="U186" s="6" t="s">
        <v>1313</v>
      </c>
      <c r="V186" s="6" t="s">
        <v>1314</v>
      </c>
      <c r="W186" s="6">
        <v>2025</v>
      </c>
      <c r="X186" s="6">
        <v>11</v>
      </c>
      <c r="Y186" s="6" t="s">
        <v>1315</v>
      </c>
      <c r="Z186" s="6">
        <v>2025</v>
      </c>
      <c r="AA186" s="6" t="s">
        <v>1316</v>
      </c>
      <c r="AB186" s="6" t="str">
        <f>VLOOKUP(S186,Mapping!A:C,3,FALSE)</f>
        <v>Primary</v>
      </c>
    </row>
    <row r="187" spans="1:28" x14ac:dyDescent="0.35">
      <c r="A187" s="6" t="s">
        <v>1302</v>
      </c>
      <c r="B187" s="6" t="s">
        <v>1303</v>
      </c>
      <c r="C187" s="6" t="s">
        <v>1304</v>
      </c>
      <c r="D187" s="6" t="s">
        <v>1305</v>
      </c>
      <c r="E187" s="6" t="s">
        <v>1306</v>
      </c>
      <c r="F187" s="6" t="s">
        <v>1307</v>
      </c>
      <c r="G187" s="6" t="s">
        <v>1308</v>
      </c>
      <c r="H187" s="6" t="s">
        <v>1765</v>
      </c>
      <c r="I187" s="6">
        <v>0</v>
      </c>
      <c r="J187" s="6">
        <v>399</v>
      </c>
      <c r="K187" s="6">
        <v>1</v>
      </c>
      <c r="L187" s="6" t="s">
        <v>2055</v>
      </c>
      <c r="M187" s="6" t="e">
        <f>VLOOKUP(L187,'Nov Inv Recon'!H:H,1,FALSE)</f>
        <v>#N/A</v>
      </c>
      <c r="N187" s="6" t="e">
        <f>VLOOKUP(L187,VictoryHeitrich!D:D,1,FALSE)</f>
        <v>#N/A</v>
      </c>
      <c r="O187" s="6" t="s">
        <v>822</v>
      </c>
      <c r="P187" s="6" t="s">
        <v>1311</v>
      </c>
      <c r="Q187" s="6" t="s">
        <v>2594</v>
      </c>
      <c r="R187" s="6" t="s">
        <v>2594</v>
      </c>
      <c r="S187" s="6" t="s">
        <v>2064</v>
      </c>
      <c r="T187" s="6" t="s">
        <v>2065</v>
      </c>
      <c r="U187" s="6" t="s">
        <v>1313</v>
      </c>
      <c r="V187" s="6" t="s">
        <v>1314</v>
      </c>
      <c r="W187" s="6">
        <v>2025</v>
      </c>
      <c r="X187" s="6">
        <v>11</v>
      </c>
      <c r="Y187" s="6" t="s">
        <v>1315</v>
      </c>
      <c r="Z187" s="6">
        <v>2025</v>
      </c>
      <c r="AA187" s="6" t="s">
        <v>1316</v>
      </c>
      <c r="AB187" s="6" t="str">
        <f>VLOOKUP(S187,Mapping!A:C,3,FALSE)</f>
        <v>Primary</v>
      </c>
    </row>
    <row r="188" spans="1:28" x14ac:dyDescent="0.35">
      <c r="A188" s="6" t="s">
        <v>1302</v>
      </c>
      <c r="B188" s="6" t="s">
        <v>1303</v>
      </c>
      <c r="C188" s="6" t="s">
        <v>1304</v>
      </c>
      <c r="D188" s="6" t="s">
        <v>1305</v>
      </c>
      <c r="E188" s="6" t="s">
        <v>1306</v>
      </c>
      <c r="F188" s="6" t="s">
        <v>1307</v>
      </c>
      <c r="G188" s="6" t="s">
        <v>1308</v>
      </c>
      <c r="H188" s="6" t="s">
        <v>2398</v>
      </c>
      <c r="I188" s="6">
        <v>0</v>
      </c>
      <c r="J188" s="6">
        <v>20</v>
      </c>
      <c r="K188" s="6">
        <v>1</v>
      </c>
      <c r="L188" s="6" t="s">
        <v>2184</v>
      </c>
      <c r="M188" s="6" t="e">
        <f>VLOOKUP(L188,'Nov Inv Recon'!H:H,1,FALSE)</f>
        <v>#N/A</v>
      </c>
      <c r="N188" s="6" t="e">
        <f>VLOOKUP(L188,VictoryHeitrich!D:D,1,FALSE)</f>
        <v>#N/A</v>
      </c>
      <c r="O188" s="6" t="s">
        <v>665</v>
      </c>
      <c r="P188" s="6" t="s">
        <v>1311</v>
      </c>
      <c r="Q188" s="6" t="s">
        <v>2595</v>
      </c>
      <c r="R188" s="6" t="s">
        <v>2595</v>
      </c>
      <c r="S188" s="6" t="s">
        <v>408</v>
      </c>
      <c r="T188" s="6" t="s">
        <v>409</v>
      </c>
      <c r="U188" s="6" t="s">
        <v>1313</v>
      </c>
      <c r="V188" s="6" t="s">
        <v>1314</v>
      </c>
      <c r="W188" s="6">
        <v>2025</v>
      </c>
      <c r="X188" s="6">
        <v>11</v>
      </c>
      <c r="Y188" s="6" t="s">
        <v>1315</v>
      </c>
      <c r="Z188" s="6">
        <v>2025</v>
      </c>
      <c r="AA188" s="6" t="s">
        <v>1316</v>
      </c>
      <c r="AB188" s="6" t="str">
        <f>VLOOKUP(S188,Mapping!A:C,3,FALSE)</f>
        <v>Secondary</v>
      </c>
    </row>
    <row r="189" spans="1:28" x14ac:dyDescent="0.35">
      <c r="A189" s="6" t="s">
        <v>1302</v>
      </c>
      <c r="B189" s="6" t="s">
        <v>1303</v>
      </c>
      <c r="C189" s="6" t="s">
        <v>1304</v>
      </c>
      <c r="D189" s="6" t="s">
        <v>1305</v>
      </c>
      <c r="E189" s="6" t="s">
        <v>1306</v>
      </c>
      <c r="F189" s="6" t="s">
        <v>1307</v>
      </c>
      <c r="G189" s="6" t="s">
        <v>1308</v>
      </c>
      <c r="H189" s="6" t="s">
        <v>1719</v>
      </c>
      <c r="I189" s="6">
        <v>0</v>
      </c>
      <c r="J189" s="6">
        <v>20</v>
      </c>
      <c r="K189" s="6">
        <v>1</v>
      </c>
      <c r="L189" s="6" t="s">
        <v>2283</v>
      </c>
      <c r="M189" s="6" t="e">
        <f>VLOOKUP(L189,'Nov Inv Recon'!H:H,1,FALSE)</f>
        <v>#N/A</v>
      </c>
      <c r="N189" s="6" t="e">
        <f>VLOOKUP(L189,VictoryHeitrich!D:D,1,FALSE)</f>
        <v>#N/A</v>
      </c>
      <c r="O189" s="6" t="s">
        <v>452</v>
      </c>
      <c r="P189" s="6" t="s">
        <v>1311</v>
      </c>
      <c r="Q189" s="6" t="s">
        <v>2596</v>
      </c>
      <c r="R189" s="6" t="s">
        <v>2596</v>
      </c>
      <c r="S189" s="6" t="s">
        <v>408</v>
      </c>
      <c r="T189" s="6" t="s">
        <v>409</v>
      </c>
      <c r="U189" s="6" t="s">
        <v>1313</v>
      </c>
      <c r="V189" s="6" t="s">
        <v>1314</v>
      </c>
      <c r="W189" s="6">
        <v>2025</v>
      </c>
      <c r="X189" s="6">
        <v>11</v>
      </c>
      <c r="Y189" s="6" t="s">
        <v>1315</v>
      </c>
      <c r="Z189" s="6">
        <v>2025</v>
      </c>
      <c r="AA189" s="6" t="s">
        <v>1316</v>
      </c>
      <c r="AB189" s="6" t="str">
        <f>VLOOKUP(S189,Mapping!A:C,3,FALSE)</f>
        <v>Secondary</v>
      </c>
    </row>
    <row r="190" spans="1:28" x14ac:dyDescent="0.35">
      <c r="A190" s="6" t="s">
        <v>1302</v>
      </c>
      <c r="B190" s="6" t="s">
        <v>1303</v>
      </c>
      <c r="C190" s="6" t="s">
        <v>1304</v>
      </c>
      <c r="D190" s="6" t="s">
        <v>1305</v>
      </c>
      <c r="E190" s="6" t="s">
        <v>1306</v>
      </c>
      <c r="F190" s="6" t="s">
        <v>1307</v>
      </c>
      <c r="G190" s="6" t="s">
        <v>1308</v>
      </c>
      <c r="H190" s="6" t="s">
        <v>1632</v>
      </c>
      <c r="I190" s="6">
        <v>0</v>
      </c>
      <c r="J190" s="6">
        <v>10</v>
      </c>
      <c r="K190" s="6">
        <v>1</v>
      </c>
      <c r="L190" s="6" t="s">
        <v>2142</v>
      </c>
      <c r="M190" s="6" t="e">
        <f>VLOOKUP(L190,'Nov Inv Recon'!H:H,1,FALSE)</f>
        <v>#N/A</v>
      </c>
      <c r="N190" s="6" t="e">
        <f>VLOOKUP(L190,VictoryHeitrich!D:D,1,FALSE)</f>
        <v>#N/A</v>
      </c>
      <c r="O190" s="6" t="s">
        <v>897</v>
      </c>
      <c r="P190" s="6" t="s">
        <v>1311</v>
      </c>
      <c r="Q190" s="6" t="s">
        <v>2597</v>
      </c>
      <c r="R190" s="6" t="s">
        <v>2597</v>
      </c>
      <c r="S190" s="6" t="s">
        <v>408</v>
      </c>
      <c r="T190" s="6" t="s">
        <v>409</v>
      </c>
      <c r="U190" s="6" t="s">
        <v>1313</v>
      </c>
      <c r="V190" s="6" t="s">
        <v>1314</v>
      </c>
      <c r="W190" s="6">
        <v>2025</v>
      </c>
      <c r="X190" s="6">
        <v>11</v>
      </c>
      <c r="Y190" s="6" t="s">
        <v>1315</v>
      </c>
      <c r="Z190" s="6">
        <v>2025</v>
      </c>
      <c r="AA190" s="6" t="s">
        <v>1316</v>
      </c>
      <c r="AB190" s="6" t="str">
        <f>VLOOKUP(S190,Mapping!A:C,3,FALSE)</f>
        <v>Secondary</v>
      </c>
    </row>
    <row r="191" spans="1:28" x14ac:dyDescent="0.35">
      <c r="A191" s="6" t="s">
        <v>1302</v>
      </c>
      <c r="B191" s="6" t="s">
        <v>1303</v>
      </c>
      <c r="C191" s="6" t="s">
        <v>1304</v>
      </c>
      <c r="D191" s="6" t="s">
        <v>1305</v>
      </c>
      <c r="E191" s="6" t="s">
        <v>1306</v>
      </c>
      <c r="F191" s="6" t="s">
        <v>1307</v>
      </c>
      <c r="G191" s="6" t="s">
        <v>1308</v>
      </c>
      <c r="H191" s="6" t="s">
        <v>2528</v>
      </c>
      <c r="I191" s="6">
        <v>0</v>
      </c>
      <c r="J191" s="6">
        <v>14.04</v>
      </c>
      <c r="K191" s="6">
        <v>1</v>
      </c>
      <c r="L191" s="6" t="s">
        <v>2086</v>
      </c>
      <c r="M191" s="6" t="e">
        <f>VLOOKUP(L191,'Nov Inv Recon'!H:H,1,FALSE)</f>
        <v>#N/A</v>
      </c>
      <c r="N191" s="6" t="e">
        <f>VLOOKUP(L191,VictoryHeitrich!D:D,1,FALSE)</f>
        <v>#N/A</v>
      </c>
      <c r="O191" s="6" t="s">
        <v>319</v>
      </c>
      <c r="P191" s="6" t="s">
        <v>1311</v>
      </c>
      <c r="Q191" s="6" t="s">
        <v>2598</v>
      </c>
      <c r="R191" s="6" t="s">
        <v>2598</v>
      </c>
      <c r="S191" s="6" t="s">
        <v>408</v>
      </c>
      <c r="T191" s="6" t="s">
        <v>409</v>
      </c>
      <c r="U191" s="6" t="s">
        <v>1313</v>
      </c>
      <c r="V191" s="6" t="s">
        <v>1314</v>
      </c>
      <c r="W191" s="6">
        <v>2025</v>
      </c>
      <c r="X191" s="6">
        <v>11</v>
      </c>
      <c r="Y191" s="6" t="s">
        <v>1315</v>
      </c>
      <c r="Z191" s="6">
        <v>2025</v>
      </c>
      <c r="AA191" s="6" t="s">
        <v>1316</v>
      </c>
      <c r="AB191" s="6" t="str">
        <f>VLOOKUP(S191,Mapping!A:C,3,FALSE)</f>
        <v>Secondary</v>
      </c>
    </row>
    <row r="192" spans="1:28" x14ac:dyDescent="0.35">
      <c r="A192" s="6" t="s">
        <v>1302</v>
      </c>
      <c r="B192" s="6" t="s">
        <v>1303</v>
      </c>
      <c r="C192" s="6" t="s">
        <v>1304</v>
      </c>
      <c r="D192" s="6" t="s">
        <v>1305</v>
      </c>
      <c r="E192" s="6" t="s">
        <v>1306</v>
      </c>
      <c r="F192" s="6" t="s">
        <v>1307</v>
      </c>
      <c r="G192" s="6" t="s">
        <v>1308</v>
      </c>
      <c r="H192" s="6" t="s">
        <v>1752</v>
      </c>
      <c r="I192" s="6">
        <v>0</v>
      </c>
      <c r="J192" s="6">
        <v>20</v>
      </c>
      <c r="K192" s="6">
        <v>1</v>
      </c>
      <c r="L192" s="6" t="s">
        <v>1513</v>
      </c>
      <c r="M192" s="6" t="e">
        <f>VLOOKUP(L192,'Nov Inv Recon'!H:H,1,FALSE)</f>
        <v>#N/A</v>
      </c>
      <c r="N192" s="6" t="e">
        <f>VLOOKUP(L192,VictoryHeitrich!D:D,1,FALSE)</f>
        <v>#N/A</v>
      </c>
      <c r="O192" s="6" t="s">
        <v>1514</v>
      </c>
      <c r="P192" s="6" t="s">
        <v>1311</v>
      </c>
      <c r="Q192" s="6" t="s">
        <v>2599</v>
      </c>
      <c r="R192" s="6" t="s">
        <v>2599</v>
      </c>
      <c r="S192" s="6" t="s">
        <v>408</v>
      </c>
      <c r="T192" s="6" t="s">
        <v>409</v>
      </c>
      <c r="U192" s="6" t="s">
        <v>1313</v>
      </c>
      <c r="V192" s="6" t="s">
        <v>1314</v>
      </c>
      <c r="W192" s="6">
        <v>2025</v>
      </c>
      <c r="X192" s="6">
        <v>11</v>
      </c>
      <c r="Y192" s="6" t="s">
        <v>1315</v>
      </c>
      <c r="Z192" s="6">
        <v>2025</v>
      </c>
      <c r="AA192" s="6" t="s">
        <v>1316</v>
      </c>
      <c r="AB192" s="6" t="str">
        <f>VLOOKUP(S192,Mapping!A:C,3,FALSE)</f>
        <v>Secondary</v>
      </c>
    </row>
    <row r="193" spans="1:28" x14ac:dyDescent="0.35">
      <c r="A193" s="6" t="s">
        <v>1302</v>
      </c>
      <c r="B193" s="6" t="s">
        <v>1303</v>
      </c>
      <c r="C193" s="6" t="s">
        <v>1304</v>
      </c>
      <c r="D193" s="6" t="s">
        <v>1305</v>
      </c>
      <c r="E193" s="6" t="s">
        <v>1306</v>
      </c>
      <c r="F193" s="6" t="s">
        <v>1307</v>
      </c>
      <c r="G193" s="6" t="s">
        <v>1308</v>
      </c>
      <c r="H193" s="6" t="s">
        <v>1632</v>
      </c>
      <c r="I193" s="6">
        <v>0</v>
      </c>
      <c r="J193" s="6">
        <v>20</v>
      </c>
      <c r="K193" s="6">
        <v>1</v>
      </c>
      <c r="L193" s="6" t="s">
        <v>175</v>
      </c>
      <c r="M193" s="6" t="str">
        <f>VLOOKUP(L193,'Nov Inv Recon'!H:H,1,FALSE)</f>
        <v>01327379</v>
      </c>
      <c r="N193" s="6" t="e">
        <f>VLOOKUP(L193,VictoryHeitrich!D:D,1,FALSE)</f>
        <v>#N/A</v>
      </c>
      <c r="O193" s="6" t="s">
        <v>176</v>
      </c>
      <c r="P193" s="6" t="s">
        <v>1311</v>
      </c>
      <c r="Q193" s="6" t="s">
        <v>2600</v>
      </c>
      <c r="R193" s="6" t="s">
        <v>2600</v>
      </c>
      <c r="S193" s="6" t="s">
        <v>408</v>
      </c>
      <c r="T193" s="6" t="s">
        <v>409</v>
      </c>
      <c r="U193" s="6" t="s">
        <v>1313</v>
      </c>
      <c r="V193" s="6" t="s">
        <v>1314</v>
      </c>
      <c r="W193" s="6">
        <v>2025</v>
      </c>
      <c r="X193" s="6">
        <v>11</v>
      </c>
      <c r="Y193" s="6" t="s">
        <v>1315</v>
      </c>
      <c r="Z193" s="6">
        <v>2025</v>
      </c>
      <c r="AA193" s="6" t="s">
        <v>1316</v>
      </c>
      <c r="AB193" s="6" t="str">
        <f>VLOOKUP(S193,Mapping!A:C,3,FALSE)</f>
        <v>Secondary</v>
      </c>
    </row>
    <row r="194" spans="1:28" x14ac:dyDescent="0.35">
      <c r="A194" s="6" t="s">
        <v>1302</v>
      </c>
      <c r="B194" s="6" t="s">
        <v>1303</v>
      </c>
      <c r="C194" s="6" t="s">
        <v>1304</v>
      </c>
      <c r="D194" s="6" t="s">
        <v>1305</v>
      </c>
      <c r="E194" s="6" t="s">
        <v>1306</v>
      </c>
      <c r="F194" s="6" t="s">
        <v>1307</v>
      </c>
      <c r="G194" s="6" t="s">
        <v>1308</v>
      </c>
      <c r="H194" s="6" t="s">
        <v>1632</v>
      </c>
      <c r="I194" s="6">
        <v>0</v>
      </c>
      <c r="J194" s="6">
        <v>20</v>
      </c>
      <c r="K194" s="6">
        <v>1</v>
      </c>
      <c r="L194" s="6" t="s">
        <v>650</v>
      </c>
      <c r="M194" s="6" t="str">
        <f>VLOOKUP(L194,'Nov Inv Recon'!H:H,1,FALSE)</f>
        <v>01021835</v>
      </c>
      <c r="N194" s="6" t="e">
        <f>VLOOKUP(L194,VictoryHeitrich!D:D,1,FALSE)</f>
        <v>#N/A</v>
      </c>
      <c r="O194" s="6" t="s">
        <v>651</v>
      </c>
      <c r="P194" s="6" t="s">
        <v>1311</v>
      </c>
      <c r="Q194" s="6" t="s">
        <v>2601</v>
      </c>
      <c r="R194" s="6" t="s">
        <v>2601</v>
      </c>
      <c r="S194" s="6" t="s">
        <v>408</v>
      </c>
      <c r="T194" s="6" t="s">
        <v>409</v>
      </c>
      <c r="U194" s="6" t="s">
        <v>1313</v>
      </c>
      <c r="V194" s="6" t="s">
        <v>1314</v>
      </c>
      <c r="W194" s="6">
        <v>2025</v>
      </c>
      <c r="X194" s="6">
        <v>11</v>
      </c>
      <c r="Y194" s="6" t="s">
        <v>1315</v>
      </c>
      <c r="Z194" s="6">
        <v>2025</v>
      </c>
      <c r="AA194" s="6" t="s">
        <v>1316</v>
      </c>
      <c r="AB194" s="6" t="str">
        <f>VLOOKUP(S194,Mapping!A:C,3,FALSE)</f>
        <v>Secondary</v>
      </c>
    </row>
    <row r="195" spans="1:28" x14ac:dyDescent="0.35">
      <c r="A195" s="6" t="s">
        <v>1302</v>
      </c>
      <c r="B195" s="6" t="s">
        <v>1303</v>
      </c>
      <c r="C195" s="6" t="s">
        <v>1304</v>
      </c>
      <c r="D195" s="6" t="s">
        <v>1305</v>
      </c>
      <c r="E195" s="6" t="s">
        <v>1306</v>
      </c>
      <c r="F195" s="6" t="s">
        <v>1307</v>
      </c>
      <c r="G195" s="6" t="s">
        <v>1308</v>
      </c>
      <c r="H195" s="6" t="s">
        <v>1632</v>
      </c>
      <c r="I195" s="6">
        <v>0</v>
      </c>
      <c r="J195" s="6">
        <v>20</v>
      </c>
      <c r="K195" s="6">
        <v>1</v>
      </c>
      <c r="L195" s="6" t="s">
        <v>2070</v>
      </c>
      <c r="M195" s="6" t="e">
        <f>VLOOKUP(L195,'Nov Inv Recon'!H:H,1,FALSE)</f>
        <v>#N/A</v>
      </c>
      <c r="N195" s="6" t="e">
        <f>VLOOKUP(L195,VictoryHeitrich!D:D,1,FALSE)</f>
        <v>#N/A</v>
      </c>
      <c r="O195" s="6" t="s">
        <v>653</v>
      </c>
      <c r="P195" s="6" t="s">
        <v>1311</v>
      </c>
      <c r="Q195" s="6" t="s">
        <v>2602</v>
      </c>
      <c r="R195" s="6" t="s">
        <v>2602</v>
      </c>
      <c r="S195" s="6" t="s">
        <v>408</v>
      </c>
      <c r="T195" s="6" t="s">
        <v>409</v>
      </c>
      <c r="U195" s="6" t="s">
        <v>1313</v>
      </c>
      <c r="V195" s="6" t="s">
        <v>1314</v>
      </c>
      <c r="W195" s="6">
        <v>2025</v>
      </c>
      <c r="X195" s="6">
        <v>11</v>
      </c>
      <c r="Y195" s="6" t="s">
        <v>1315</v>
      </c>
      <c r="Z195" s="6">
        <v>2025</v>
      </c>
      <c r="AA195" s="6" t="s">
        <v>1316</v>
      </c>
      <c r="AB195" s="6" t="str">
        <f>VLOOKUP(S195,Mapping!A:C,3,FALSE)</f>
        <v>Secondary</v>
      </c>
    </row>
    <row r="196" spans="1:28" x14ac:dyDescent="0.35">
      <c r="A196" s="6" t="s">
        <v>1302</v>
      </c>
      <c r="B196" s="6" t="s">
        <v>1303</v>
      </c>
      <c r="C196" s="6" t="s">
        <v>1304</v>
      </c>
      <c r="D196" s="6" t="s">
        <v>1305</v>
      </c>
      <c r="E196" s="6" t="s">
        <v>1306</v>
      </c>
      <c r="F196" s="6" t="s">
        <v>1307</v>
      </c>
      <c r="G196" s="6" t="s">
        <v>1308</v>
      </c>
      <c r="H196" s="6" t="s">
        <v>1632</v>
      </c>
      <c r="I196" s="6">
        <v>0</v>
      </c>
      <c r="J196" s="6">
        <v>10</v>
      </c>
      <c r="K196" s="6">
        <v>1</v>
      </c>
      <c r="L196" s="6" t="s">
        <v>893</v>
      </c>
      <c r="M196" s="6" t="str">
        <f>VLOOKUP(L196,'Nov Inv Recon'!H:H,1,FALSE)</f>
        <v>01021829</v>
      </c>
      <c r="N196" s="6" t="e">
        <f>VLOOKUP(L196,VictoryHeitrich!D:D,1,FALSE)</f>
        <v>#N/A</v>
      </c>
      <c r="O196" s="6" t="s">
        <v>894</v>
      </c>
      <c r="P196" s="6" t="s">
        <v>1311</v>
      </c>
      <c r="Q196" s="6" t="s">
        <v>2603</v>
      </c>
      <c r="R196" s="6" t="s">
        <v>2603</v>
      </c>
      <c r="S196" s="6" t="s">
        <v>408</v>
      </c>
      <c r="T196" s="6" t="s">
        <v>409</v>
      </c>
      <c r="U196" s="6" t="s">
        <v>1313</v>
      </c>
      <c r="V196" s="6" t="s">
        <v>1314</v>
      </c>
      <c r="W196" s="6">
        <v>2025</v>
      </c>
      <c r="X196" s="6">
        <v>11</v>
      </c>
      <c r="Y196" s="6" t="s">
        <v>1315</v>
      </c>
      <c r="Z196" s="6">
        <v>2025</v>
      </c>
      <c r="AA196" s="6" t="s">
        <v>1316</v>
      </c>
      <c r="AB196" s="6" t="str">
        <f>VLOOKUP(S196,Mapping!A:C,3,FALSE)</f>
        <v>Secondary</v>
      </c>
    </row>
    <row r="197" spans="1:28" x14ac:dyDescent="0.35">
      <c r="A197" s="6" t="s">
        <v>1302</v>
      </c>
      <c r="B197" s="6" t="s">
        <v>1303</v>
      </c>
      <c r="C197" s="6" t="s">
        <v>1304</v>
      </c>
      <c r="D197" s="6" t="s">
        <v>1305</v>
      </c>
      <c r="E197" s="6" t="s">
        <v>1306</v>
      </c>
      <c r="F197" s="6" t="s">
        <v>1307</v>
      </c>
      <c r="G197" s="6" t="s">
        <v>1308</v>
      </c>
      <c r="H197" s="6" t="s">
        <v>1632</v>
      </c>
      <c r="I197" s="6">
        <v>0</v>
      </c>
      <c r="J197" s="6">
        <v>20</v>
      </c>
      <c r="K197" s="6">
        <v>1</v>
      </c>
      <c r="L197" s="6" t="s">
        <v>2127</v>
      </c>
      <c r="M197" s="6" t="e">
        <f>VLOOKUP(L197,'Nov Inv Recon'!H:H,1,FALSE)</f>
        <v>#N/A</v>
      </c>
      <c r="N197" s="6" t="e">
        <f>VLOOKUP(L197,VictoryHeitrich!D:D,1,FALSE)</f>
        <v>#N/A</v>
      </c>
      <c r="O197" s="6" t="s">
        <v>163</v>
      </c>
      <c r="P197" s="6" t="s">
        <v>1311</v>
      </c>
      <c r="Q197" s="6" t="s">
        <v>2604</v>
      </c>
      <c r="R197" s="6" t="s">
        <v>2604</v>
      </c>
      <c r="S197" s="6" t="s">
        <v>408</v>
      </c>
      <c r="T197" s="6" t="s">
        <v>409</v>
      </c>
      <c r="U197" s="6" t="s">
        <v>1313</v>
      </c>
      <c r="V197" s="6" t="s">
        <v>1314</v>
      </c>
      <c r="W197" s="6">
        <v>2025</v>
      </c>
      <c r="X197" s="6">
        <v>11</v>
      </c>
      <c r="Y197" s="6" t="s">
        <v>1315</v>
      </c>
      <c r="Z197" s="6">
        <v>2025</v>
      </c>
      <c r="AA197" s="6" t="s">
        <v>1316</v>
      </c>
      <c r="AB197" s="6" t="str">
        <f>VLOOKUP(S197,Mapping!A:C,3,FALSE)</f>
        <v>Secondary</v>
      </c>
    </row>
    <row r="198" spans="1:28" x14ac:dyDescent="0.35">
      <c r="A198" s="6" t="s">
        <v>1302</v>
      </c>
      <c r="B198" s="6" t="s">
        <v>1303</v>
      </c>
      <c r="C198" s="6" t="s">
        <v>1304</v>
      </c>
      <c r="D198" s="6" t="s">
        <v>1305</v>
      </c>
      <c r="E198" s="6" t="s">
        <v>1306</v>
      </c>
      <c r="F198" s="6" t="s">
        <v>1307</v>
      </c>
      <c r="G198" s="6" t="s">
        <v>1308</v>
      </c>
      <c r="H198" s="6" t="s">
        <v>1632</v>
      </c>
      <c r="I198" s="6">
        <v>0</v>
      </c>
      <c r="J198" s="6">
        <v>20</v>
      </c>
      <c r="K198" s="6">
        <v>1</v>
      </c>
      <c r="L198" s="6" t="s">
        <v>2149</v>
      </c>
      <c r="M198" s="6" t="e">
        <f>VLOOKUP(L198,'Nov Inv Recon'!H:H,1,FALSE)</f>
        <v>#N/A</v>
      </c>
      <c r="N198" s="6" t="e">
        <f>VLOOKUP(L198,VictoryHeitrich!D:D,1,FALSE)</f>
        <v>#N/A</v>
      </c>
      <c r="O198" s="6" t="s">
        <v>2185</v>
      </c>
      <c r="P198" s="6" t="s">
        <v>1311</v>
      </c>
      <c r="Q198" s="6" t="s">
        <v>2605</v>
      </c>
      <c r="R198" s="6" t="s">
        <v>2605</v>
      </c>
      <c r="S198" s="6" t="s">
        <v>408</v>
      </c>
      <c r="T198" s="6" t="s">
        <v>409</v>
      </c>
      <c r="U198" s="6" t="s">
        <v>1313</v>
      </c>
      <c r="V198" s="6" t="s">
        <v>1314</v>
      </c>
      <c r="W198" s="6">
        <v>2025</v>
      </c>
      <c r="X198" s="6">
        <v>11</v>
      </c>
      <c r="Y198" s="6" t="s">
        <v>1315</v>
      </c>
      <c r="Z198" s="6">
        <v>2025</v>
      </c>
      <c r="AA198" s="6" t="s">
        <v>1316</v>
      </c>
      <c r="AB198" s="6" t="str">
        <f>VLOOKUP(S198,Mapping!A:C,3,FALSE)</f>
        <v>Secondary</v>
      </c>
    </row>
    <row r="199" spans="1:28" x14ac:dyDescent="0.35">
      <c r="A199" s="6" t="s">
        <v>1302</v>
      </c>
      <c r="B199" s="6" t="s">
        <v>1303</v>
      </c>
      <c r="C199" s="6" t="s">
        <v>1304</v>
      </c>
      <c r="D199" s="6" t="s">
        <v>1305</v>
      </c>
      <c r="E199" s="6" t="s">
        <v>1306</v>
      </c>
      <c r="F199" s="6" t="s">
        <v>1307</v>
      </c>
      <c r="G199" s="6" t="s">
        <v>1308</v>
      </c>
      <c r="H199" s="6" t="s">
        <v>1632</v>
      </c>
      <c r="I199" s="6">
        <v>0</v>
      </c>
      <c r="J199" s="6">
        <v>10</v>
      </c>
      <c r="K199" s="6">
        <v>1</v>
      </c>
      <c r="L199" s="6" t="s">
        <v>2058</v>
      </c>
      <c r="M199" s="6" t="e">
        <f>VLOOKUP(L199,'Nov Inv Recon'!H:H,1,FALSE)</f>
        <v>#N/A</v>
      </c>
      <c r="N199" s="6" t="e">
        <f>VLOOKUP(L199,VictoryHeitrich!D:D,1,FALSE)</f>
        <v>#N/A</v>
      </c>
      <c r="O199" s="6" t="s">
        <v>903</v>
      </c>
      <c r="P199" s="6" t="s">
        <v>1311</v>
      </c>
      <c r="Q199" s="6" t="s">
        <v>2606</v>
      </c>
      <c r="R199" s="6" t="s">
        <v>2606</v>
      </c>
      <c r="S199" s="6" t="s">
        <v>408</v>
      </c>
      <c r="T199" s="6" t="s">
        <v>409</v>
      </c>
      <c r="U199" s="6" t="s">
        <v>1313</v>
      </c>
      <c r="V199" s="6" t="s">
        <v>1314</v>
      </c>
      <c r="W199" s="6">
        <v>2025</v>
      </c>
      <c r="X199" s="6">
        <v>11</v>
      </c>
      <c r="Y199" s="6" t="s">
        <v>1315</v>
      </c>
      <c r="Z199" s="6">
        <v>2025</v>
      </c>
      <c r="AA199" s="6" t="s">
        <v>1316</v>
      </c>
      <c r="AB199" s="6" t="str">
        <f>VLOOKUP(S199,Mapping!A:C,3,FALSE)</f>
        <v>Secondary</v>
      </c>
    </row>
    <row r="200" spans="1:28" x14ac:dyDescent="0.35">
      <c r="A200" s="6" t="s">
        <v>1302</v>
      </c>
      <c r="B200" s="6" t="s">
        <v>1303</v>
      </c>
      <c r="C200" s="6" t="s">
        <v>1304</v>
      </c>
      <c r="D200" s="6" t="s">
        <v>1305</v>
      </c>
      <c r="E200" s="6" t="s">
        <v>1306</v>
      </c>
      <c r="F200" s="6" t="s">
        <v>1307</v>
      </c>
      <c r="G200" s="6" t="s">
        <v>1308</v>
      </c>
      <c r="H200" s="6" t="s">
        <v>1632</v>
      </c>
      <c r="I200" s="6">
        <v>0</v>
      </c>
      <c r="J200" s="6">
        <v>20</v>
      </c>
      <c r="K200" s="6">
        <v>1</v>
      </c>
      <c r="L200" s="6" t="s">
        <v>2059</v>
      </c>
      <c r="M200" s="6" t="e">
        <f>VLOOKUP(L200,'Nov Inv Recon'!H:H,1,FALSE)</f>
        <v>#N/A</v>
      </c>
      <c r="N200" s="6" t="e">
        <f>VLOOKUP(L200,VictoryHeitrich!D:D,1,FALSE)</f>
        <v>#N/A</v>
      </c>
      <c r="O200" s="6" t="s">
        <v>412</v>
      </c>
      <c r="P200" s="6" t="s">
        <v>1311</v>
      </c>
      <c r="Q200" s="6" t="s">
        <v>2607</v>
      </c>
      <c r="R200" s="6" t="s">
        <v>2607</v>
      </c>
      <c r="S200" s="6" t="s">
        <v>408</v>
      </c>
      <c r="T200" s="6" t="s">
        <v>409</v>
      </c>
      <c r="U200" s="6" t="s">
        <v>1313</v>
      </c>
      <c r="V200" s="6" t="s">
        <v>1314</v>
      </c>
      <c r="W200" s="6">
        <v>2025</v>
      </c>
      <c r="X200" s="6">
        <v>11</v>
      </c>
      <c r="Y200" s="6" t="s">
        <v>1315</v>
      </c>
      <c r="Z200" s="6">
        <v>2025</v>
      </c>
      <c r="AA200" s="6" t="s">
        <v>1316</v>
      </c>
      <c r="AB200" s="6" t="str">
        <f>VLOOKUP(S200,Mapping!A:C,3,FALSE)</f>
        <v>Secondary</v>
      </c>
    </row>
    <row r="201" spans="1:28" x14ac:dyDescent="0.35">
      <c r="A201" s="6" t="s">
        <v>1302</v>
      </c>
      <c r="B201" s="6" t="s">
        <v>1303</v>
      </c>
      <c r="C201" s="6" t="s">
        <v>1304</v>
      </c>
      <c r="D201" s="6" t="s">
        <v>1305</v>
      </c>
      <c r="E201" s="6" t="s">
        <v>1306</v>
      </c>
      <c r="F201" s="6" t="s">
        <v>1307</v>
      </c>
      <c r="G201" s="6" t="s">
        <v>1308</v>
      </c>
      <c r="H201" s="6" t="s">
        <v>1632</v>
      </c>
      <c r="I201" s="6">
        <v>0</v>
      </c>
      <c r="J201" s="6">
        <v>10</v>
      </c>
      <c r="K201" s="6">
        <v>1</v>
      </c>
      <c r="L201" s="6" t="s">
        <v>2103</v>
      </c>
      <c r="M201" s="6" t="e">
        <f>VLOOKUP(L201,'Nov Inv Recon'!H:H,1,FALSE)</f>
        <v>#N/A</v>
      </c>
      <c r="N201" s="6" t="e">
        <f>VLOOKUP(L201,VictoryHeitrich!D:D,1,FALSE)</f>
        <v>#N/A</v>
      </c>
      <c r="O201" s="6" t="s">
        <v>914</v>
      </c>
      <c r="P201" s="6" t="s">
        <v>1311</v>
      </c>
      <c r="Q201" s="6" t="s">
        <v>2608</v>
      </c>
      <c r="R201" s="6" t="s">
        <v>2608</v>
      </c>
      <c r="S201" s="6" t="s">
        <v>408</v>
      </c>
      <c r="T201" s="6" t="s">
        <v>409</v>
      </c>
      <c r="U201" s="6" t="s">
        <v>1313</v>
      </c>
      <c r="V201" s="6" t="s">
        <v>1314</v>
      </c>
      <c r="W201" s="6">
        <v>2025</v>
      </c>
      <c r="X201" s="6">
        <v>11</v>
      </c>
      <c r="Y201" s="6" t="s">
        <v>1315</v>
      </c>
      <c r="Z201" s="6">
        <v>2025</v>
      </c>
      <c r="AA201" s="6" t="s">
        <v>1316</v>
      </c>
      <c r="AB201" s="6" t="str">
        <f>VLOOKUP(S201,Mapping!A:C,3,FALSE)</f>
        <v>Secondary</v>
      </c>
    </row>
    <row r="202" spans="1:28" x14ac:dyDescent="0.35">
      <c r="A202" s="6" t="s">
        <v>1302</v>
      </c>
      <c r="B202" s="6" t="s">
        <v>1303</v>
      </c>
      <c r="C202" s="6" t="s">
        <v>1304</v>
      </c>
      <c r="D202" s="6" t="s">
        <v>1305</v>
      </c>
      <c r="E202" s="6" t="s">
        <v>1306</v>
      </c>
      <c r="F202" s="6" t="s">
        <v>1307</v>
      </c>
      <c r="G202" s="6" t="s">
        <v>1308</v>
      </c>
      <c r="H202" s="6" t="s">
        <v>1632</v>
      </c>
      <c r="I202" s="6">
        <v>0</v>
      </c>
      <c r="J202" s="6">
        <v>20</v>
      </c>
      <c r="K202" s="6">
        <v>1</v>
      </c>
      <c r="L202" s="6" t="s">
        <v>181</v>
      </c>
      <c r="M202" s="6" t="str">
        <f>VLOOKUP(L202,'Nov Inv Recon'!H:H,1,FALSE)</f>
        <v>09700157</v>
      </c>
      <c r="N202" s="6" t="e">
        <f>VLOOKUP(L202,VictoryHeitrich!D:D,1,FALSE)</f>
        <v>#N/A</v>
      </c>
      <c r="O202" s="6" t="s">
        <v>2042</v>
      </c>
      <c r="P202" s="6" t="s">
        <v>1311</v>
      </c>
      <c r="Q202" s="6" t="s">
        <v>2609</v>
      </c>
      <c r="R202" s="6" t="s">
        <v>2609</v>
      </c>
      <c r="S202" s="6" t="s">
        <v>408</v>
      </c>
      <c r="T202" s="6" t="s">
        <v>409</v>
      </c>
      <c r="U202" s="6" t="s">
        <v>1313</v>
      </c>
      <c r="V202" s="6" t="s">
        <v>1314</v>
      </c>
      <c r="W202" s="6">
        <v>2025</v>
      </c>
      <c r="X202" s="6">
        <v>11</v>
      </c>
      <c r="Y202" s="6" t="s">
        <v>1315</v>
      </c>
      <c r="Z202" s="6">
        <v>2025</v>
      </c>
      <c r="AA202" s="6" t="s">
        <v>1316</v>
      </c>
      <c r="AB202" s="6" t="str">
        <f>VLOOKUP(S202,Mapping!A:C,3,FALSE)</f>
        <v>Secondary</v>
      </c>
    </row>
    <row r="203" spans="1:28" x14ac:dyDescent="0.35">
      <c r="A203" s="6" t="s">
        <v>1302</v>
      </c>
      <c r="B203" s="6" t="s">
        <v>1303</v>
      </c>
      <c r="C203" s="6" t="s">
        <v>1304</v>
      </c>
      <c r="D203" s="6" t="s">
        <v>1305</v>
      </c>
      <c r="E203" s="6" t="s">
        <v>1306</v>
      </c>
      <c r="F203" s="6" t="s">
        <v>1307</v>
      </c>
      <c r="G203" s="6" t="s">
        <v>1308</v>
      </c>
      <c r="H203" s="6" t="s">
        <v>1632</v>
      </c>
      <c r="I203" s="6">
        <v>0</v>
      </c>
      <c r="J203" s="6">
        <v>10</v>
      </c>
      <c r="K203" s="6">
        <v>1</v>
      </c>
      <c r="L203" s="6" t="s">
        <v>731</v>
      </c>
      <c r="M203" s="6" t="str">
        <f>VLOOKUP(L203,'Nov Inv Recon'!H:H,1,FALSE)</f>
        <v>01021802</v>
      </c>
      <c r="N203" s="6" t="e">
        <f>VLOOKUP(L203,VictoryHeitrich!D:D,1,FALSE)</f>
        <v>#N/A</v>
      </c>
      <c r="O203" s="6" t="s">
        <v>732</v>
      </c>
      <c r="P203" s="6" t="s">
        <v>1311</v>
      </c>
      <c r="Q203" s="6" t="s">
        <v>2610</v>
      </c>
      <c r="R203" s="6" t="s">
        <v>2610</v>
      </c>
      <c r="S203" s="6" t="s">
        <v>408</v>
      </c>
      <c r="T203" s="6" t="s">
        <v>409</v>
      </c>
      <c r="U203" s="6" t="s">
        <v>1313</v>
      </c>
      <c r="V203" s="6" t="s">
        <v>1314</v>
      </c>
      <c r="W203" s="6">
        <v>2025</v>
      </c>
      <c r="X203" s="6">
        <v>11</v>
      </c>
      <c r="Y203" s="6" t="s">
        <v>1315</v>
      </c>
      <c r="Z203" s="6">
        <v>2025</v>
      </c>
      <c r="AA203" s="6" t="s">
        <v>1316</v>
      </c>
      <c r="AB203" s="6" t="str">
        <f>VLOOKUP(S203,Mapping!A:C,3,FALSE)</f>
        <v>Secondary</v>
      </c>
    </row>
    <row r="204" spans="1:28" x14ac:dyDescent="0.35">
      <c r="A204" s="6" t="s">
        <v>1302</v>
      </c>
      <c r="B204" s="6" t="s">
        <v>1303</v>
      </c>
      <c r="C204" s="6" t="s">
        <v>1304</v>
      </c>
      <c r="D204" s="6" t="s">
        <v>1305</v>
      </c>
      <c r="E204" s="6" t="s">
        <v>1306</v>
      </c>
      <c r="F204" s="6" t="s">
        <v>1307</v>
      </c>
      <c r="G204" s="6" t="s">
        <v>1308</v>
      </c>
      <c r="H204" s="6" t="s">
        <v>1657</v>
      </c>
      <c r="I204" s="6">
        <v>0</v>
      </c>
      <c r="J204" s="6">
        <v>20</v>
      </c>
      <c r="K204" s="6">
        <v>1</v>
      </c>
      <c r="L204" s="6" t="s">
        <v>2342</v>
      </c>
      <c r="M204" s="6" t="e">
        <f>VLOOKUP(L204,'Nov Inv Recon'!H:H,1,FALSE)</f>
        <v>#N/A</v>
      </c>
      <c r="N204" s="6" t="e">
        <f>VLOOKUP(L204,VictoryHeitrich!D:D,1,FALSE)</f>
        <v>#N/A</v>
      </c>
      <c r="O204" s="6" t="s">
        <v>842</v>
      </c>
      <c r="P204" s="6" t="s">
        <v>1311</v>
      </c>
      <c r="Q204" s="6" t="s">
        <v>2611</v>
      </c>
      <c r="R204" s="6" t="s">
        <v>2611</v>
      </c>
      <c r="S204" s="6" t="s">
        <v>408</v>
      </c>
      <c r="T204" s="6" t="s">
        <v>409</v>
      </c>
      <c r="U204" s="6" t="s">
        <v>1313</v>
      </c>
      <c r="V204" s="6" t="s">
        <v>1314</v>
      </c>
      <c r="W204" s="6">
        <v>2025</v>
      </c>
      <c r="X204" s="6">
        <v>11</v>
      </c>
      <c r="Y204" s="6" t="s">
        <v>1315</v>
      </c>
      <c r="Z204" s="6">
        <v>2025</v>
      </c>
      <c r="AA204" s="6" t="s">
        <v>1316</v>
      </c>
      <c r="AB204" s="6" t="str">
        <f>VLOOKUP(S204,Mapping!A:C,3,FALSE)</f>
        <v>Secondary</v>
      </c>
    </row>
    <row r="205" spans="1:28" x14ac:dyDescent="0.35">
      <c r="A205" s="6" t="s">
        <v>1302</v>
      </c>
      <c r="B205" s="6" t="s">
        <v>1303</v>
      </c>
      <c r="C205" s="6" t="s">
        <v>1304</v>
      </c>
      <c r="D205" s="6" t="s">
        <v>1305</v>
      </c>
      <c r="E205" s="6" t="s">
        <v>1306</v>
      </c>
      <c r="F205" s="6" t="s">
        <v>1307</v>
      </c>
      <c r="G205" s="6" t="s">
        <v>1308</v>
      </c>
      <c r="H205" s="6" t="s">
        <v>1719</v>
      </c>
      <c r="I205" s="6">
        <v>0</v>
      </c>
      <c r="J205" s="6">
        <v>20</v>
      </c>
      <c r="K205" s="6">
        <v>1</v>
      </c>
      <c r="L205" s="6" t="s">
        <v>2271</v>
      </c>
      <c r="M205" s="6" t="e">
        <f>VLOOKUP(L205,'Nov Inv Recon'!H:H,1,FALSE)</f>
        <v>#N/A</v>
      </c>
      <c r="N205" s="6" t="e">
        <f>VLOOKUP(L205,VictoryHeitrich!D:D,1,FALSE)</f>
        <v>#N/A</v>
      </c>
      <c r="O205" s="6" t="s">
        <v>450</v>
      </c>
      <c r="P205" s="6" t="s">
        <v>1311</v>
      </c>
      <c r="Q205" s="6" t="s">
        <v>2612</v>
      </c>
      <c r="R205" s="6" t="s">
        <v>2612</v>
      </c>
      <c r="S205" s="6" t="s">
        <v>408</v>
      </c>
      <c r="T205" s="6" t="s">
        <v>409</v>
      </c>
      <c r="U205" s="6" t="s">
        <v>1313</v>
      </c>
      <c r="V205" s="6" t="s">
        <v>1314</v>
      </c>
      <c r="W205" s="6">
        <v>2025</v>
      </c>
      <c r="X205" s="6">
        <v>11</v>
      </c>
      <c r="Y205" s="6" t="s">
        <v>1315</v>
      </c>
      <c r="Z205" s="6">
        <v>2025</v>
      </c>
      <c r="AA205" s="6" t="s">
        <v>1316</v>
      </c>
      <c r="AB205" s="6" t="str">
        <f>VLOOKUP(S205,Mapping!A:C,3,FALSE)</f>
        <v>Secondary</v>
      </c>
    </row>
    <row r="206" spans="1:28" x14ac:dyDescent="0.35">
      <c r="A206" s="6" t="s">
        <v>1302</v>
      </c>
      <c r="B206" s="6" t="s">
        <v>1303</v>
      </c>
      <c r="C206" s="6" t="s">
        <v>1304</v>
      </c>
      <c r="D206" s="6" t="s">
        <v>1305</v>
      </c>
      <c r="E206" s="6" t="s">
        <v>1306</v>
      </c>
      <c r="F206" s="6" t="s">
        <v>1307</v>
      </c>
      <c r="G206" s="6" t="s">
        <v>1308</v>
      </c>
      <c r="H206" s="6" t="s">
        <v>1719</v>
      </c>
      <c r="I206" s="6">
        <v>7.1</v>
      </c>
      <c r="J206" s="6">
        <v>0</v>
      </c>
      <c r="K206" s="6">
        <v>11</v>
      </c>
      <c r="L206" s="6" t="s">
        <v>2343</v>
      </c>
      <c r="M206" s="6" t="e">
        <f>VLOOKUP(L206,'Nov Inv Recon'!H:H,1,FALSE)</f>
        <v>#N/A</v>
      </c>
      <c r="N206" s="6" t="e">
        <f>VLOOKUP(L206,VictoryHeitrich!D:D,1,FALSE)</f>
        <v>#N/A</v>
      </c>
      <c r="O206" s="6" t="s">
        <v>840</v>
      </c>
      <c r="P206" s="6" t="s">
        <v>1311</v>
      </c>
      <c r="Q206" s="6" t="s">
        <v>2555</v>
      </c>
      <c r="R206" s="6" t="s">
        <v>2613</v>
      </c>
      <c r="S206" s="6" t="s">
        <v>408</v>
      </c>
      <c r="T206" s="6" t="s">
        <v>409</v>
      </c>
      <c r="U206" s="6" t="s">
        <v>1313</v>
      </c>
      <c r="V206" s="6" t="s">
        <v>1314</v>
      </c>
      <c r="W206" s="6">
        <v>2025</v>
      </c>
      <c r="X206" s="6">
        <v>11</v>
      </c>
      <c r="Y206" s="6" t="s">
        <v>1315</v>
      </c>
      <c r="Z206" s="6">
        <v>2025</v>
      </c>
      <c r="AA206" s="6" t="s">
        <v>1316</v>
      </c>
      <c r="AB206" s="6" t="str">
        <f>VLOOKUP(S206,Mapping!A:C,3,FALSE)</f>
        <v>Secondary</v>
      </c>
    </row>
    <row r="207" spans="1:28" x14ac:dyDescent="0.35">
      <c r="A207" s="6" t="s">
        <v>1302</v>
      </c>
      <c r="B207" s="6" t="s">
        <v>1303</v>
      </c>
      <c r="C207" s="6" t="s">
        <v>1304</v>
      </c>
      <c r="D207" s="6" t="s">
        <v>1305</v>
      </c>
      <c r="E207" s="6" t="s">
        <v>1306</v>
      </c>
      <c r="F207" s="6" t="s">
        <v>1307</v>
      </c>
      <c r="G207" s="6" t="s">
        <v>1308</v>
      </c>
      <c r="H207" s="6" t="s">
        <v>1632</v>
      </c>
      <c r="I207" s="6">
        <v>0</v>
      </c>
      <c r="J207" s="6">
        <v>10</v>
      </c>
      <c r="K207" s="6">
        <v>1</v>
      </c>
      <c r="L207" s="6" t="s">
        <v>572</v>
      </c>
      <c r="M207" s="6" t="str">
        <f>VLOOKUP(L207,'Nov Inv Recon'!H:H,1,FALSE)</f>
        <v>01021822</v>
      </c>
      <c r="N207" s="6" t="e">
        <f>VLOOKUP(L207,VictoryHeitrich!D:D,1,FALSE)</f>
        <v>#N/A</v>
      </c>
      <c r="O207" s="6" t="s">
        <v>2034</v>
      </c>
      <c r="P207" s="6" t="s">
        <v>1311</v>
      </c>
      <c r="Q207" s="6" t="s">
        <v>2614</v>
      </c>
      <c r="R207" s="6" t="s">
        <v>2614</v>
      </c>
      <c r="S207" s="6" t="s">
        <v>408</v>
      </c>
      <c r="T207" s="6" t="s">
        <v>409</v>
      </c>
      <c r="U207" s="6" t="s">
        <v>1313</v>
      </c>
      <c r="V207" s="6" t="s">
        <v>1314</v>
      </c>
      <c r="W207" s="6">
        <v>2025</v>
      </c>
      <c r="X207" s="6">
        <v>11</v>
      </c>
      <c r="Y207" s="6" t="s">
        <v>1315</v>
      </c>
      <c r="Z207" s="6">
        <v>2025</v>
      </c>
      <c r="AA207" s="6" t="s">
        <v>1316</v>
      </c>
      <c r="AB207" s="6" t="str">
        <f>VLOOKUP(S207,Mapping!A:C,3,FALSE)</f>
        <v>Secondary</v>
      </c>
    </row>
    <row r="208" spans="1:28" x14ac:dyDescent="0.35">
      <c r="A208" s="6" t="s">
        <v>1302</v>
      </c>
      <c r="B208" s="6" t="s">
        <v>1303</v>
      </c>
      <c r="C208" s="6" t="s">
        <v>1304</v>
      </c>
      <c r="D208" s="6" t="s">
        <v>1305</v>
      </c>
      <c r="E208" s="6" t="s">
        <v>1306</v>
      </c>
      <c r="F208" s="6" t="s">
        <v>1307</v>
      </c>
      <c r="G208" s="6" t="s">
        <v>1308</v>
      </c>
      <c r="H208" s="6" t="s">
        <v>1632</v>
      </c>
      <c r="I208" s="6">
        <v>0</v>
      </c>
      <c r="J208" s="6">
        <v>20</v>
      </c>
      <c r="K208" s="6">
        <v>1</v>
      </c>
      <c r="L208" s="6" t="s">
        <v>2085</v>
      </c>
      <c r="M208" s="6" t="e">
        <f>VLOOKUP(L208,'Nov Inv Recon'!H:H,1,FALSE)</f>
        <v>#N/A</v>
      </c>
      <c r="N208" s="6" t="e">
        <f>VLOOKUP(L208,VictoryHeitrich!D:D,1,FALSE)</f>
        <v>#N/A</v>
      </c>
      <c r="O208" s="6" t="s">
        <v>157</v>
      </c>
      <c r="P208" s="6" t="s">
        <v>1311</v>
      </c>
      <c r="Q208" s="6" t="s">
        <v>2615</v>
      </c>
      <c r="R208" s="6" t="s">
        <v>2615</v>
      </c>
      <c r="S208" s="6" t="s">
        <v>408</v>
      </c>
      <c r="T208" s="6" t="s">
        <v>409</v>
      </c>
      <c r="U208" s="6" t="s">
        <v>1313</v>
      </c>
      <c r="V208" s="6" t="s">
        <v>1314</v>
      </c>
      <c r="W208" s="6">
        <v>2025</v>
      </c>
      <c r="X208" s="6">
        <v>11</v>
      </c>
      <c r="Y208" s="6" t="s">
        <v>1315</v>
      </c>
      <c r="Z208" s="6">
        <v>2025</v>
      </c>
      <c r="AA208" s="6" t="s">
        <v>1316</v>
      </c>
      <c r="AB208" s="6" t="str">
        <f>VLOOKUP(S208,Mapping!A:C,3,FALSE)</f>
        <v>Secondary</v>
      </c>
    </row>
    <row r="209" spans="1:28" x14ac:dyDescent="0.35">
      <c r="A209" s="6" t="s">
        <v>1302</v>
      </c>
      <c r="B209" s="6" t="s">
        <v>1303</v>
      </c>
      <c r="C209" s="6" t="s">
        <v>1304</v>
      </c>
      <c r="D209" s="6" t="s">
        <v>1305</v>
      </c>
      <c r="E209" s="6" t="s">
        <v>1306</v>
      </c>
      <c r="F209" s="6" t="s">
        <v>1307</v>
      </c>
      <c r="G209" s="6" t="s">
        <v>1308</v>
      </c>
      <c r="H209" s="6" t="s">
        <v>1719</v>
      </c>
      <c r="I209" s="6">
        <v>0</v>
      </c>
      <c r="J209" s="6">
        <v>20</v>
      </c>
      <c r="K209" s="6">
        <v>1</v>
      </c>
      <c r="L209" s="6" t="s">
        <v>2288</v>
      </c>
      <c r="M209" s="6" t="e">
        <f>VLOOKUP(L209,'Nov Inv Recon'!H:H,1,FALSE)</f>
        <v>#N/A</v>
      </c>
      <c r="N209" s="6" t="e">
        <f>VLOOKUP(L209,VictoryHeitrich!D:D,1,FALSE)</f>
        <v>#N/A</v>
      </c>
      <c r="O209" s="6" t="s">
        <v>446</v>
      </c>
      <c r="P209" s="6" t="s">
        <v>1311</v>
      </c>
      <c r="Q209" s="6" t="s">
        <v>2616</v>
      </c>
      <c r="R209" s="6" t="s">
        <v>2616</v>
      </c>
      <c r="S209" s="6" t="s">
        <v>408</v>
      </c>
      <c r="T209" s="6" t="s">
        <v>409</v>
      </c>
      <c r="U209" s="6" t="s">
        <v>1313</v>
      </c>
      <c r="V209" s="6" t="s">
        <v>1314</v>
      </c>
      <c r="W209" s="6">
        <v>2025</v>
      </c>
      <c r="X209" s="6">
        <v>11</v>
      </c>
      <c r="Y209" s="6" t="s">
        <v>1315</v>
      </c>
      <c r="Z209" s="6">
        <v>2025</v>
      </c>
      <c r="AA209" s="6" t="s">
        <v>1316</v>
      </c>
      <c r="AB209" s="6" t="str">
        <f>VLOOKUP(S209,Mapping!A:C,3,FALSE)</f>
        <v>Secondary</v>
      </c>
    </row>
    <row r="210" spans="1:28" x14ac:dyDescent="0.35">
      <c r="A210" s="6" t="s">
        <v>1302</v>
      </c>
      <c r="B210" s="6" t="s">
        <v>1303</v>
      </c>
      <c r="C210" s="6" t="s">
        <v>1304</v>
      </c>
      <c r="D210" s="6" t="s">
        <v>1305</v>
      </c>
      <c r="E210" s="6" t="s">
        <v>1306</v>
      </c>
      <c r="F210" s="6" t="s">
        <v>1307</v>
      </c>
      <c r="G210" s="6" t="s">
        <v>1308</v>
      </c>
      <c r="H210" s="6" t="s">
        <v>2407</v>
      </c>
      <c r="I210" s="6">
        <v>0</v>
      </c>
      <c r="J210" s="6">
        <v>20</v>
      </c>
      <c r="K210" s="6">
        <v>1</v>
      </c>
      <c r="L210" s="6" t="s">
        <v>2279</v>
      </c>
      <c r="M210" s="6" t="e">
        <f>VLOOKUP(L210,'Nov Inv Recon'!H:H,1,FALSE)</f>
        <v>#N/A</v>
      </c>
      <c r="N210" s="6" t="e">
        <f>VLOOKUP(L210,VictoryHeitrich!D:D,1,FALSE)</f>
        <v>#N/A</v>
      </c>
      <c r="O210" s="6" t="s">
        <v>430</v>
      </c>
      <c r="P210" s="6" t="s">
        <v>1311</v>
      </c>
      <c r="Q210" s="6" t="s">
        <v>2617</v>
      </c>
      <c r="R210" s="6" t="s">
        <v>2617</v>
      </c>
      <c r="S210" s="6" t="s">
        <v>408</v>
      </c>
      <c r="T210" s="6" t="s">
        <v>409</v>
      </c>
      <c r="U210" s="6" t="s">
        <v>1313</v>
      </c>
      <c r="V210" s="6" t="s">
        <v>1314</v>
      </c>
      <c r="W210" s="6">
        <v>2025</v>
      </c>
      <c r="X210" s="6">
        <v>11</v>
      </c>
      <c r="Y210" s="6" t="s">
        <v>1315</v>
      </c>
      <c r="Z210" s="6">
        <v>2025</v>
      </c>
      <c r="AA210" s="6" t="s">
        <v>1316</v>
      </c>
      <c r="AB210" s="6" t="str">
        <f>VLOOKUP(S210,Mapping!A:C,3,FALSE)</f>
        <v>Secondary</v>
      </c>
    </row>
    <row r="211" spans="1:28" x14ac:dyDescent="0.35">
      <c r="A211" s="6" t="s">
        <v>1302</v>
      </c>
      <c r="B211" s="6" t="s">
        <v>1303</v>
      </c>
      <c r="C211" s="6" t="s">
        <v>1304</v>
      </c>
      <c r="D211" s="6" t="s">
        <v>1305</v>
      </c>
      <c r="E211" s="6" t="s">
        <v>1306</v>
      </c>
      <c r="F211" s="6" t="s">
        <v>1307</v>
      </c>
      <c r="G211" s="6" t="s">
        <v>1308</v>
      </c>
      <c r="H211" s="6" t="s">
        <v>2528</v>
      </c>
      <c r="I211" s="6">
        <v>0</v>
      </c>
      <c r="J211" s="6">
        <v>14</v>
      </c>
      <c r="K211" s="6">
        <v>1</v>
      </c>
      <c r="L211" s="6" t="s">
        <v>2141</v>
      </c>
      <c r="M211" s="6" t="e">
        <f>VLOOKUP(L211,'Nov Inv Recon'!H:H,1,FALSE)</f>
        <v>#N/A</v>
      </c>
      <c r="N211" s="6" t="e">
        <f>VLOOKUP(L211,VictoryHeitrich!D:D,1,FALSE)</f>
        <v>#N/A</v>
      </c>
      <c r="O211" s="6" t="s">
        <v>957</v>
      </c>
      <c r="P211" s="6" t="s">
        <v>1311</v>
      </c>
      <c r="Q211" s="6" t="s">
        <v>2618</v>
      </c>
      <c r="R211" s="6" t="s">
        <v>2618</v>
      </c>
      <c r="S211" s="6" t="s">
        <v>408</v>
      </c>
      <c r="T211" s="6" t="s">
        <v>409</v>
      </c>
      <c r="U211" s="6" t="s">
        <v>1313</v>
      </c>
      <c r="V211" s="6" t="s">
        <v>1314</v>
      </c>
      <c r="W211" s="6">
        <v>2025</v>
      </c>
      <c r="X211" s="6">
        <v>11</v>
      </c>
      <c r="Y211" s="6" t="s">
        <v>1315</v>
      </c>
      <c r="Z211" s="6">
        <v>2025</v>
      </c>
      <c r="AA211" s="6" t="s">
        <v>1316</v>
      </c>
      <c r="AB211" s="6" t="str">
        <f>VLOOKUP(S211,Mapping!A:C,3,FALSE)</f>
        <v>Secondary</v>
      </c>
    </row>
    <row r="212" spans="1:28" x14ac:dyDescent="0.35">
      <c r="A212" s="6" t="s">
        <v>1302</v>
      </c>
      <c r="B212" s="6" t="s">
        <v>1303</v>
      </c>
      <c r="C212" s="6" t="s">
        <v>1304</v>
      </c>
      <c r="D212" s="6" t="s">
        <v>1305</v>
      </c>
      <c r="E212" s="6" t="s">
        <v>1306</v>
      </c>
      <c r="F212" s="6" t="s">
        <v>1307</v>
      </c>
      <c r="G212" s="6" t="s">
        <v>1308</v>
      </c>
      <c r="H212" s="6" t="s">
        <v>1842</v>
      </c>
      <c r="I212" s="6">
        <v>0</v>
      </c>
      <c r="J212" s="6">
        <v>20</v>
      </c>
      <c r="K212" s="6">
        <v>1</v>
      </c>
      <c r="L212" s="6" t="s">
        <v>2239</v>
      </c>
      <c r="M212" s="6" t="e">
        <f>VLOOKUP(L212,'Nov Inv Recon'!H:H,1,FALSE)</f>
        <v>#N/A</v>
      </c>
      <c r="N212" s="6" t="e">
        <f>VLOOKUP(L212,VictoryHeitrich!D:D,1,FALSE)</f>
        <v>#N/A</v>
      </c>
      <c r="O212" s="6" t="s">
        <v>783</v>
      </c>
      <c r="P212" s="6" t="s">
        <v>1311</v>
      </c>
      <c r="Q212" s="6" t="s">
        <v>2619</v>
      </c>
      <c r="R212" s="6" t="s">
        <v>2619</v>
      </c>
      <c r="S212" s="6" t="s">
        <v>408</v>
      </c>
      <c r="T212" s="6" t="s">
        <v>409</v>
      </c>
      <c r="U212" s="6" t="s">
        <v>1313</v>
      </c>
      <c r="V212" s="6" t="s">
        <v>1314</v>
      </c>
      <c r="W212" s="6">
        <v>2025</v>
      </c>
      <c r="X212" s="6">
        <v>11</v>
      </c>
      <c r="Y212" s="6" t="s">
        <v>1315</v>
      </c>
      <c r="Z212" s="6">
        <v>2025</v>
      </c>
      <c r="AA212" s="6" t="s">
        <v>1316</v>
      </c>
      <c r="AB212" s="6" t="str">
        <f>VLOOKUP(S212,Mapping!A:C,3,FALSE)</f>
        <v>Secondary</v>
      </c>
    </row>
    <row r="213" spans="1:28" x14ac:dyDescent="0.35">
      <c r="A213" s="6" t="s">
        <v>1302</v>
      </c>
      <c r="B213" s="6" t="s">
        <v>1303</v>
      </c>
      <c r="C213" s="6" t="s">
        <v>1304</v>
      </c>
      <c r="D213" s="6" t="s">
        <v>1305</v>
      </c>
      <c r="E213" s="6" t="s">
        <v>1306</v>
      </c>
      <c r="F213" s="6" t="s">
        <v>1307</v>
      </c>
      <c r="G213" s="6" t="s">
        <v>1308</v>
      </c>
      <c r="H213" s="6" t="s">
        <v>2398</v>
      </c>
      <c r="I213" s="6">
        <v>0</v>
      </c>
      <c r="J213" s="6">
        <v>20</v>
      </c>
      <c r="K213" s="6">
        <v>1</v>
      </c>
      <c r="L213" s="6" t="s">
        <v>2091</v>
      </c>
      <c r="M213" s="6" t="e">
        <f>VLOOKUP(L213,'Nov Inv Recon'!H:H,1,FALSE)</f>
        <v>#N/A</v>
      </c>
      <c r="N213" s="6" t="e">
        <f>VLOOKUP(L213,VictoryHeitrich!D:D,1,FALSE)</f>
        <v>#N/A</v>
      </c>
      <c r="O213" s="6" t="s">
        <v>661</v>
      </c>
      <c r="P213" s="6" t="s">
        <v>1311</v>
      </c>
      <c r="Q213" s="6" t="s">
        <v>2620</v>
      </c>
      <c r="R213" s="6" t="s">
        <v>2620</v>
      </c>
      <c r="S213" s="6" t="s">
        <v>408</v>
      </c>
      <c r="T213" s="6" t="s">
        <v>409</v>
      </c>
      <c r="U213" s="6" t="s">
        <v>1313</v>
      </c>
      <c r="V213" s="6" t="s">
        <v>1314</v>
      </c>
      <c r="W213" s="6">
        <v>2025</v>
      </c>
      <c r="X213" s="6">
        <v>11</v>
      </c>
      <c r="Y213" s="6" t="s">
        <v>1315</v>
      </c>
      <c r="Z213" s="6">
        <v>2025</v>
      </c>
      <c r="AA213" s="6" t="s">
        <v>1316</v>
      </c>
      <c r="AB213" s="6" t="str">
        <f>VLOOKUP(S213,Mapping!A:C,3,FALSE)</f>
        <v>Secondary</v>
      </c>
    </row>
    <row r="214" spans="1:28" x14ac:dyDescent="0.35">
      <c r="A214" s="6" t="s">
        <v>1302</v>
      </c>
      <c r="B214" s="6" t="s">
        <v>1303</v>
      </c>
      <c r="C214" s="6" t="s">
        <v>1304</v>
      </c>
      <c r="D214" s="6" t="s">
        <v>1305</v>
      </c>
      <c r="E214" s="6" t="s">
        <v>1306</v>
      </c>
      <c r="F214" s="6" t="s">
        <v>1307</v>
      </c>
      <c r="G214" s="6" t="s">
        <v>1308</v>
      </c>
      <c r="H214" s="6" t="s">
        <v>1632</v>
      </c>
      <c r="I214" s="6">
        <v>0</v>
      </c>
      <c r="J214" s="6">
        <v>20</v>
      </c>
      <c r="K214" s="6">
        <v>1</v>
      </c>
      <c r="L214" s="6" t="s">
        <v>2138</v>
      </c>
      <c r="M214" s="6" t="e">
        <f>VLOOKUP(L214,'Nov Inv Recon'!H:H,1,FALSE)</f>
        <v>#N/A</v>
      </c>
      <c r="N214" s="6" t="e">
        <f>VLOOKUP(L214,VictoryHeitrich!D:D,1,FALSE)</f>
        <v>#N/A</v>
      </c>
      <c r="O214" s="6" t="s">
        <v>616</v>
      </c>
      <c r="P214" s="6" t="s">
        <v>1311</v>
      </c>
      <c r="Q214" s="6" t="s">
        <v>2621</v>
      </c>
      <c r="R214" s="6" t="s">
        <v>2621</v>
      </c>
      <c r="S214" s="6" t="s">
        <v>408</v>
      </c>
      <c r="T214" s="6" t="s">
        <v>409</v>
      </c>
      <c r="U214" s="6" t="s">
        <v>1313</v>
      </c>
      <c r="V214" s="6" t="s">
        <v>1314</v>
      </c>
      <c r="W214" s="6">
        <v>2025</v>
      </c>
      <c r="X214" s="6">
        <v>11</v>
      </c>
      <c r="Y214" s="6" t="s">
        <v>1315</v>
      </c>
      <c r="Z214" s="6">
        <v>2025</v>
      </c>
      <c r="AA214" s="6" t="s">
        <v>1316</v>
      </c>
      <c r="AB214" s="6" t="str">
        <f>VLOOKUP(S214,Mapping!A:C,3,FALSE)</f>
        <v>Secondary</v>
      </c>
    </row>
    <row r="215" spans="1:28" x14ac:dyDescent="0.35">
      <c r="A215" s="6" t="s">
        <v>1302</v>
      </c>
      <c r="B215" s="6" t="s">
        <v>1303</v>
      </c>
      <c r="C215" s="6" t="s">
        <v>1304</v>
      </c>
      <c r="D215" s="6" t="s">
        <v>1305</v>
      </c>
      <c r="E215" s="6" t="s">
        <v>1306</v>
      </c>
      <c r="F215" s="6" t="s">
        <v>1307</v>
      </c>
      <c r="G215" s="6" t="s">
        <v>1308</v>
      </c>
      <c r="H215" s="6" t="s">
        <v>1719</v>
      </c>
      <c r="I215" s="6">
        <v>0</v>
      </c>
      <c r="J215" s="6">
        <v>20</v>
      </c>
      <c r="K215" s="6">
        <v>1</v>
      </c>
      <c r="L215" s="6" t="s">
        <v>2343</v>
      </c>
      <c r="M215" s="6" t="e">
        <f>VLOOKUP(L215,'Nov Inv Recon'!H:H,1,FALSE)</f>
        <v>#N/A</v>
      </c>
      <c r="N215" s="6" t="e">
        <f>VLOOKUP(L215,VictoryHeitrich!D:D,1,FALSE)</f>
        <v>#N/A</v>
      </c>
      <c r="O215" s="6" t="s">
        <v>840</v>
      </c>
      <c r="P215" s="6" t="s">
        <v>1311</v>
      </c>
      <c r="Q215" s="6" t="s">
        <v>2613</v>
      </c>
      <c r="R215" s="6" t="s">
        <v>2613</v>
      </c>
      <c r="S215" s="6" t="s">
        <v>408</v>
      </c>
      <c r="T215" s="6" t="s">
        <v>409</v>
      </c>
      <c r="U215" s="6" t="s">
        <v>1313</v>
      </c>
      <c r="V215" s="6" t="s">
        <v>1314</v>
      </c>
      <c r="W215" s="6">
        <v>2025</v>
      </c>
      <c r="X215" s="6">
        <v>11</v>
      </c>
      <c r="Y215" s="6" t="s">
        <v>1315</v>
      </c>
      <c r="Z215" s="6">
        <v>2025</v>
      </c>
      <c r="AA215" s="6" t="s">
        <v>1316</v>
      </c>
      <c r="AB215" s="6" t="str">
        <f>VLOOKUP(S215,Mapping!A:C,3,FALSE)</f>
        <v>Secondary</v>
      </c>
    </row>
    <row r="216" spans="1:28" x14ac:dyDescent="0.35">
      <c r="A216" s="6" t="s">
        <v>1302</v>
      </c>
      <c r="B216" s="6" t="s">
        <v>1303</v>
      </c>
      <c r="C216" s="6" t="s">
        <v>1304</v>
      </c>
      <c r="D216" s="6" t="s">
        <v>1305</v>
      </c>
      <c r="E216" s="6" t="s">
        <v>1306</v>
      </c>
      <c r="F216" s="6" t="s">
        <v>1307</v>
      </c>
      <c r="G216" s="6" t="s">
        <v>1308</v>
      </c>
      <c r="H216" s="6" t="s">
        <v>1632</v>
      </c>
      <c r="I216" s="6">
        <v>0</v>
      </c>
      <c r="J216" s="6">
        <v>10</v>
      </c>
      <c r="K216" s="6">
        <v>1</v>
      </c>
      <c r="L216" s="6" t="s">
        <v>2049</v>
      </c>
      <c r="M216" s="6" t="e">
        <f>VLOOKUP(L216,'Nov Inv Recon'!H:H,1,FALSE)</f>
        <v>#N/A</v>
      </c>
      <c r="N216" s="6" t="e">
        <f>VLOOKUP(L216,VictoryHeitrich!D:D,1,FALSE)</f>
        <v>#N/A</v>
      </c>
      <c r="O216" s="6" t="s">
        <v>135</v>
      </c>
      <c r="P216" s="6" t="s">
        <v>1311</v>
      </c>
      <c r="Q216" s="6" t="s">
        <v>2622</v>
      </c>
      <c r="R216" s="6" t="s">
        <v>2622</v>
      </c>
      <c r="S216" s="6" t="s">
        <v>408</v>
      </c>
      <c r="T216" s="6" t="s">
        <v>409</v>
      </c>
      <c r="U216" s="6" t="s">
        <v>1313</v>
      </c>
      <c r="V216" s="6" t="s">
        <v>1314</v>
      </c>
      <c r="W216" s="6">
        <v>2025</v>
      </c>
      <c r="X216" s="6">
        <v>11</v>
      </c>
      <c r="Y216" s="6" t="s">
        <v>1315</v>
      </c>
      <c r="Z216" s="6">
        <v>2025</v>
      </c>
      <c r="AA216" s="6" t="s">
        <v>1316</v>
      </c>
      <c r="AB216" s="6" t="str">
        <f>VLOOKUP(S216,Mapping!A:C,3,FALSE)</f>
        <v>Secondary</v>
      </c>
    </row>
    <row r="217" spans="1:28" x14ac:dyDescent="0.35">
      <c r="A217" s="6" t="s">
        <v>1302</v>
      </c>
      <c r="B217" s="6" t="s">
        <v>1303</v>
      </c>
      <c r="C217" s="6" t="s">
        <v>1304</v>
      </c>
      <c r="D217" s="6" t="s">
        <v>1305</v>
      </c>
      <c r="E217" s="6" t="s">
        <v>1306</v>
      </c>
      <c r="F217" s="6" t="s">
        <v>1307</v>
      </c>
      <c r="G217" s="6" t="s">
        <v>1308</v>
      </c>
      <c r="H217" s="6" t="s">
        <v>1632</v>
      </c>
      <c r="I217" s="6">
        <v>0</v>
      </c>
      <c r="J217" s="6">
        <v>20</v>
      </c>
      <c r="K217" s="6">
        <v>1</v>
      </c>
      <c r="L217" s="6" t="s">
        <v>2137</v>
      </c>
      <c r="M217" s="6" t="e">
        <f>VLOOKUP(L217,'Nov Inv Recon'!H:H,1,FALSE)</f>
        <v>#N/A</v>
      </c>
      <c r="N217" s="6" t="e">
        <f>VLOOKUP(L217,VictoryHeitrich!D:D,1,FALSE)</f>
        <v>#N/A</v>
      </c>
      <c r="O217" s="6" t="s">
        <v>2170</v>
      </c>
      <c r="P217" s="6" t="s">
        <v>1311</v>
      </c>
      <c r="Q217" s="6" t="s">
        <v>2623</v>
      </c>
      <c r="R217" s="6" t="s">
        <v>2623</v>
      </c>
      <c r="S217" s="6" t="s">
        <v>408</v>
      </c>
      <c r="T217" s="6" t="s">
        <v>409</v>
      </c>
      <c r="U217" s="6" t="s">
        <v>1313</v>
      </c>
      <c r="V217" s="6" t="s">
        <v>1314</v>
      </c>
      <c r="W217" s="6">
        <v>2025</v>
      </c>
      <c r="X217" s="6">
        <v>11</v>
      </c>
      <c r="Y217" s="6" t="s">
        <v>1315</v>
      </c>
      <c r="Z217" s="6">
        <v>2025</v>
      </c>
      <c r="AA217" s="6" t="s">
        <v>1316</v>
      </c>
      <c r="AB217" s="6" t="str">
        <f>VLOOKUP(S217,Mapping!A:C,3,FALSE)</f>
        <v>Secondary</v>
      </c>
    </row>
    <row r="218" spans="1:28" x14ac:dyDescent="0.35">
      <c r="A218" s="6" t="s">
        <v>1302</v>
      </c>
      <c r="B218" s="6" t="s">
        <v>1303</v>
      </c>
      <c r="C218" s="6" t="s">
        <v>1304</v>
      </c>
      <c r="D218" s="6" t="s">
        <v>1305</v>
      </c>
      <c r="E218" s="6" t="s">
        <v>1306</v>
      </c>
      <c r="F218" s="6" t="s">
        <v>1307</v>
      </c>
      <c r="G218" s="6" t="s">
        <v>1308</v>
      </c>
      <c r="H218" s="6" t="s">
        <v>1632</v>
      </c>
      <c r="I218" s="6">
        <v>0</v>
      </c>
      <c r="J218" s="6">
        <v>20</v>
      </c>
      <c r="K218" s="6">
        <v>1</v>
      </c>
      <c r="L218" s="6" t="s">
        <v>184</v>
      </c>
      <c r="M218" s="6" t="str">
        <f>VLOOKUP(L218,'Nov Inv Recon'!H:H,1,FALSE)</f>
        <v>01021828</v>
      </c>
      <c r="N218" s="6" t="e">
        <f>VLOOKUP(L218,VictoryHeitrich!D:D,1,FALSE)</f>
        <v>#N/A</v>
      </c>
      <c r="O218" s="6" t="s">
        <v>185</v>
      </c>
      <c r="P218" s="6" t="s">
        <v>1311</v>
      </c>
      <c r="Q218" s="6" t="s">
        <v>2624</v>
      </c>
      <c r="R218" s="6" t="s">
        <v>2624</v>
      </c>
      <c r="S218" s="6" t="s">
        <v>408</v>
      </c>
      <c r="T218" s="6" t="s">
        <v>409</v>
      </c>
      <c r="U218" s="6" t="s">
        <v>1313</v>
      </c>
      <c r="V218" s="6" t="s">
        <v>1314</v>
      </c>
      <c r="W218" s="6">
        <v>2025</v>
      </c>
      <c r="X218" s="6">
        <v>11</v>
      </c>
      <c r="Y218" s="6" t="s">
        <v>1315</v>
      </c>
      <c r="Z218" s="6">
        <v>2025</v>
      </c>
      <c r="AA218" s="6" t="s">
        <v>1316</v>
      </c>
      <c r="AB218" s="6" t="str">
        <f>VLOOKUP(S218,Mapping!A:C,3,FALSE)</f>
        <v>Secondary</v>
      </c>
    </row>
    <row r="219" spans="1:28" x14ac:dyDescent="0.35">
      <c r="A219" s="6" t="s">
        <v>1302</v>
      </c>
      <c r="B219" s="6" t="s">
        <v>1303</v>
      </c>
      <c r="C219" s="6" t="s">
        <v>1304</v>
      </c>
      <c r="D219" s="6" t="s">
        <v>1305</v>
      </c>
      <c r="E219" s="6" t="s">
        <v>1306</v>
      </c>
      <c r="F219" s="6" t="s">
        <v>1307</v>
      </c>
      <c r="G219" s="6" t="s">
        <v>1308</v>
      </c>
      <c r="H219" s="6" t="s">
        <v>1719</v>
      </c>
      <c r="I219" s="6">
        <v>0</v>
      </c>
      <c r="J219" s="6">
        <v>20</v>
      </c>
      <c r="K219" s="6">
        <v>1</v>
      </c>
      <c r="L219" s="6" t="s">
        <v>2314</v>
      </c>
      <c r="M219" s="6" t="e">
        <f>VLOOKUP(L219,'Nov Inv Recon'!H:H,1,FALSE)</f>
        <v>#N/A</v>
      </c>
      <c r="N219" s="6" t="e">
        <f>VLOOKUP(L219,VictoryHeitrich!D:D,1,FALSE)</f>
        <v>#N/A</v>
      </c>
      <c r="O219" s="6" t="s">
        <v>448</v>
      </c>
      <c r="P219" s="6" t="s">
        <v>1311</v>
      </c>
      <c r="Q219" s="6" t="s">
        <v>2625</v>
      </c>
      <c r="R219" s="6" t="s">
        <v>2625</v>
      </c>
      <c r="S219" s="6" t="s">
        <v>408</v>
      </c>
      <c r="T219" s="6" t="s">
        <v>409</v>
      </c>
      <c r="U219" s="6" t="s">
        <v>1313</v>
      </c>
      <c r="V219" s="6" t="s">
        <v>1314</v>
      </c>
      <c r="W219" s="6">
        <v>2025</v>
      </c>
      <c r="X219" s="6">
        <v>11</v>
      </c>
      <c r="Y219" s="6" t="s">
        <v>1315</v>
      </c>
      <c r="Z219" s="6">
        <v>2025</v>
      </c>
      <c r="AA219" s="6" t="s">
        <v>1316</v>
      </c>
      <c r="AB219" s="6" t="str">
        <f>VLOOKUP(S219,Mapping!A:C,3,FALSE)</f>
        <v>Secondary</v>
      </c>
    </row>
    <row r="220" spans="1:28" x14ac:dyDescent="0.35">
      <c r="A220" s="6" t="s">
        <v>1302</v>
      </c>
      <c r="B220" s="6" t="s">
        <v>1303</v>
      </c>
      <c r="C220" s="6" t="s">
        <v>1304</v>
      </c>
      <c r="D220" s="6" t="s">
        <v>1305</v>
      </c>
      <c r="E220" s="6" t="s">
        <v>1306</v>
      </c>
      <c r="F220" s="6" t="s">
        <v>1307</v>
      </c>
      <c r="G220" s="6" t="s">
        <v>1308</v>
      </c>
      <c r="H220" s="6" t="s">
        <v>1632</v>
      </c>
      <c r="I220" s="6">
        <v>0</v>
      </c>
      <c r="J220" s="6">
        <v>20</v>
      </c>
      <c r="K220" s="6">
        <v>1</v>
      </c>
      <c r="L220" s="6" t="s">
        <v>178</v>
      </c>
      <c r="M220" s="6" t="str">
        <f>VLOOKUP(L220,'Nov Inv Recon'!H:H,1,FALSE)</f>
        <v>01021824</v>
      </c>
      <c r="N220" s="6" t="e">
        <f>VLOOKUP(L220,VictoryHeitrich!D:D,1,FALSE)</f>
        <v>#N/A</v>
      </c>
      <c r="O220" s="6" t="s">
        <v>2035</v>
      </c>
      <c r="P220" s="6" t="s">
        <v>1311</v>
      </c>
      <c r="Q220" s="6" t="s">
        <v>2626</v>
      </c>
      <c r="R220" s="6" t="s">
        <v>2626</v>
      </c>
      <c r="S220" s="6" t="s">
        <v>408</v>
      </c>
      <c r="T220" s="6" t="s">
        <v>409</v>
      </c>
      <c r="U220" s="6" t="s">
        <v>1313</v>
      </c>
      <c r="V220" s="6" t="s">
        <v>1314</v>
      </c>
      <c r="W220" s="6">
        <v>2025</v>
      </c>
      <c r="X220" s="6">
        <v>11</v>
      </c>
      <c r="Y220" s="6" t="s">
        <v>1315</v>
      </c>
      <c r="Z220" s="6">
        <v>2025</v>
      </c>
      <c r="AA220" s="6" t="s">
        <v>1316</v>
      </c>
      <c r="AB220" s="6" t="str">
        <f>VLOOKUP(S220,Mapping!A:C,3,FALSE)</f>
        <v>Secondary</v>
      </c>
    </row>
    <row r="221" spans="1:28" x14ac:dyDescent="0.35">
      <c r="A221" s="6" t="s">
        <v>1302</v>
      </c>
      <c r="B221" s="6" t="s">
        <v>1303</v>
      </c>
      <c r="C221" s="6" t="s">
        <v>1304</v>
      </c>
      <c r="D221" s="6" t="s">
        <v>1305</v>
      </c>
      <c r="E221" s="6" t="s">
        <v>1306</v>
      </c>
      <c r="F221" s="6" t="s">
        <v>1307</v>
      </c>
      <c r="G221" s="6" t="s">
        <v>1308</v>
      </c>
      <c r="H221" s="6" t="s">
        <v>1632</v>
      </c>
      <c r="I221" s="6">
        <v>0</v>
      </c>
      <c r="J221" s="6">
        <v>10</v>
      </c>
      <c r="K221" s="6">
        <v>1</v>
      </c>
      <c r="L221" s="6" t="s">
        <v>2062</v>
      </c>
      <c r="M221" s="6" t="e">
        <f>VLOOKUP(L221,'Nov Inv Recon'!H:H,1,FALSE)</f>
        <v>#N/A</v>
      </c>
      <c r="N221" s="6" t="e">
        <f>VLOOKUP(L221,VictoryHeitrich!D:D,1,FALSE)</f>
        <v>#N/A</v>
      </c>
      <c r="O221" s="6" t="s">
        <v>918</v>
      </c>
      <c r="P221" s="6" t="s">
        <v>1311</v>
      </c>
      <c r="Q221" s="6" t="s">
        <v>2627</v>
      </c>
      <c r="R221" s="6" t="s">
        <v>2627</v>
      </c>
      <c r="S221" s="6" t="s">
        <v>408</v>
      </c>
      <c r="T221" s="6" t="s">
        <v>409</v>
      </c>
      <c r="U221" s="6" t="s">
        <v>1313</v>
      </c>
      <c r="V221" s="6" t="s">
        <v>1314</v>
      </c>
      <c r="W221" s="6">
        <v>2025</v>
      </c>
      <c r="X221" s="6">
        <v>11</v>
      </c>
      <c r="Y221" s="6" t="s">
        <v>1315</v>
      </c>
      <c r="Z221" s="6">
        <v>2025</v>
      </c>
      <c r="AA221" s="6" t="s">
        <v>1316</v>
      </c>
      <c r="AB221" s="6" t="str">
        <f>VLOOKUP(S221,Mapping!A:C,3,FALSE)</f>
        <v>Secondary</v>
      </c>
    </row>
    <row r="222" spans="1:28" x14ac:dyDescent="0.35">
      <c r="A222" s="6" t="s">
        <v>2484</v>
      </c>
      <c r="B222" s="6" t="s">
        <v>1303</v>
      </c>
      <c r="C222" s="6" t="s">
        <v>1304</v>
      </c>
      <c r="D222" s="6" t="s">
        <v>1305</v>
      </c>
      <c r="E222" s="6" t="s">
        <v>2485</v>
      </c>
      <c r="F222" s="6" t="s">
        <v>1307</v>
      </c>
      <c r="G222" s="6" t="s">
        <v>1308</v>
      </c>
      <c r="H222" s="6" t="s">
        <v>1632</v>
      </c>
      <c r="I222" s="6">
        <v>0</v>
      </c>
      <c r="J222" s="6">
        <v>699</v>
      </c>
      <c r="K222" s="6">
        <v>1</v>
      </c>
      <c r="L222" s="6" t="s">
        <v>2282</v>
      </c>
      <c r="M222" s="6" t="e">
        <f>VLOOKUP(L222,'Nov Inv Recon'!H:H,1,FALSE)</f>
        <v>#N/A</v>
      </c>
      <c r="N222" s="6" t="e">
        <f>VLOOKUP(L222,VictoryHeitrich!D:D,1,FALSE)</f>
        <v>#N/A</v>
      </c>
      <c r="O222" s="6" t="s">
        <v>844</v>
      </c>
      <c r="P222" s="6" t="s">
        <v>1311</v>
      </c>
      <c r="Q222" s="6" t="s">
        <v>2628</v>
      </c>
      <c r="R222" s="6" t="s">
        <v>2628</v>
      </c>
      <c r="S222" s="6" t="s">
        <v>2323</v>
      </c>
      <c r="T222" s="6" t="s">
        <v>114</v>
      </c>
      <c r="U222" s="6" t="s">
        <v>1313</v>
      </c>
      <c r="V222" s="6" t="s">
        <v>1314</v>
      </c>
      <c r="W222" s="6">
        <v>2025</v>
      </c>
      <c r="X222" s="6">
        <v>11</v>
      </c>
      <c r="Y222" s="6" t="s">
        <v>1315</v>
      </c>
      <c r="Z222" s="6">
        <v>2025</v>
      </c>
      <c r="AA222" s="6" t="s">
        <v>1316</v>
      </c>
      <c r="AB222" s="6" t="str">
        <f>VLOOKUP(S222,Mapping!A:C,3,FALSE)</f>
        <v>Primary</v>
      </c>
    </row>
    <row r="223" spans="1:28" x14ac:dyDescent="0.35">
      <c r="A223" s="6" t="s">
        <v>2484</v>
      </c>
      <c r="B223" s="6" t="s">
        <v>1303</v>
      </c>
      <c r="C223" s="6" t="s">
        <v>1304</v>
      </c>
      <c r="D223" s="6" t="s">
        <v>1305</v>
      </c>
      <c r="E223" s="6" t="s">
        <v>2485</v>
      </c>
      <c r="F223" s="6" t="s">
        <v>1307</v>
      </c>
      <c r="G223" s="6" t="s">
        <v>1308</v>
      </c>
      <c r="H223" s="6" t="s">
        <v>1842</v>
      </c>
      <c r="I223" s="6">
        <v>0</v>
      </c>
      <c r="J223" s="6">
        <v>699</v>
      </c>
      <c r="K223" s="6">
        <v>1</v>
      </c>
      <c r="L223" s="6" t="s">
        <v>2339</v>
      </c>
      <c r="M223" s="6" t="e">
        <f>VLOOKUP(L223,'Nov Inv Recon'!H:H,1,FALSE)</f>
        <v>#N/A</v>
      </c>
      <c r="N223" s="6" t="e">
        <f>VLOOKUP(L223,VictoryHeitrich!D:D,1,FALSE)</f>
        <v>#N/A</v>
      </c>
      <c r="O223" s="6" t="s">
        <v>113</v>
      </c>
      <c r="P223" s="6" t="s">
        <v>1311</v>
      </c>
      <c r="Q223" s="6" t="s">
        <v>2629</v>
      </c>
      <c r="R223" s="6" t="s">
        <v>2629</v>
      </c>
      <c r="S223" s="6" t="s">
        <v>2323</v>
      </c>
      <c r="T223" s="6" t="s">
        <v>114</v>
      </c>
      <c r="U223" s="6" t="s">
        <v>1313</v>
      </c>
      <c r="V223" s="6" t="s">
        <v>1314</v>
      </c>
      <c r="W223" s="6">
        <v>2025</v>
      </c>
      <c r="X223" s="6">
        <v>11</v>
      </c>
      <c r="Y223" s="6" t="s">
        <v>1315</v>
      </c>
      <c r="Z223" s="6">
        <v>2025</v>
      </c>
      <c r="AA223" s="6" t="s">
        <v>1316</v>
      </c>
      <c r="AB223" s="6" t="str">
        <f>VLOOKUP(S223,Mapping!A:C,3,FALSE)</f>
        <v>Primary</v>
      </c>
    </row>
    <row r="224" spans="1:28" x14ac:dyDescent="0.35">
      <c r="A224" s="6" t="s">
        <v>1302</v>
      </c>
      <c r="B224" s="6" t="s">
        <v>1303</v>
      </c>
      <c r="C224" s="6" t="s">
        <v>1304</v>
      </c>
      <c r="D224" s="6" t="s">
        <v>1305</v>
      </c>
      <c r="E224" s="6" t="s">
        <v>1306</v>
      </c>
      <c r="F224" s="6" t="s">
        <v>1307</v>
      </c>
      <c r="G224" s="6" t="s">
        <v>1308</v>
      </c>
      <c r="H224" s="6" t="s">
        <v>1728</v>
      </c>
      <c r="I224" s="6">
        <v>0</v>
      </c>
      <c r="J224" s="6">
        <v>1904.47</v>
      </c>
      <c r="K224" s="6">
        <v>1</v>
      </c>
      <c r="L224" s="6" t="s">
        <v>1465</v>
      </c>
      <c r="M224" s="6" t="e">
        <f>VLOOKUP(L224,'Nov Inv Recon'!H:H,1,FALSE)</f>
        <v>#N/A</v>
      </c>
      <c r="N224" s="6" t="e">
        <f>VLOOKUP(L224,VictoryHeitrich!D:D,1,FALSE)</f>
        <v>#N/A</v>
      </c>
      <c r="O224" s="6" t="s">
        <v>1466</v>
      </c>
      <c r="P224" s="6" t="s">
        <v>1311</v>
      </c>
      <c r="Q224" s="6" t="s">
        <v>2630</v>
      </c>
      <c r="R224" s="6" t="s">
        <v>2630</v>
      </c>
      <c r="S224" s="6" t="s">
        <v>42</v>
      </c>
      <c r="T224" s="6" t="s">
        <v>43</v>
      </c>
      <c r="U224" s="6" t="s">
        <v>1313</v>
      </c>
      <c r="V224" s="6" t="s">
        <v>1314</v>
      </c>
      <c r="W224" s="6">
        <v>2025</v>
      </c>
      <c r="X224" s="6">
        <v>11</v>
      </c>
      <c r="Y224" s="6" t="s">
        <v>1315</v>
      </c>
      <c r="Z224" s="6">
        <v>2025</v>
      </c>
      <c r="AA224" s="6" t="s">
        <v>1316</v>
      </c>
      <c r="AB224" s="6" t="str">
        <f>VLOOKUP(S224,Mapping!A:C,3,FALSE)</f>
        <v>Primary</v>
      </c>
    </row>
    <row r="225" spans="1:28" x14ac:dyDescent="0.35">
      <c r="A225" s="6" t="s">
        <v>1302</v>
      </c>
      <c r="B225" s="6" t="s">
        <v>1303</v>
      </c>
      <c r="C225" s="6" t="s">
        <v>1304</v>
      </c>
      <c r="D225" s="6" t="s">
        <v>1305</v>
      </c>
      <c r="E225" s="6" t="s">
        <v>1306</v>
      </c>
      <c r="F225" s="6" t="s">
        <v>1307</v>
      </c>
      <c r="G225" s="6" t="s">
        <v>1308</v>
      </c>
      <c r="H225" s="6" t="s">
        <v>1632</v>
      </c>
      <c r="I225" s="6">
        <v>0</v>
      </c>
      <c r="J225" s="6">
        <v>2295.36</v>
      </c>
      <c r="K225" s="6">
        <v>1</v>
      </c>
      <c r="L225" s="6" t="s">
        <v>2061</v>
      </c>
      <c r="M225" s="6" t="e">
        <f>VLOOKUP(L225,'Nov Inv Recon'!H:H,1,FALSE)</f>
        <v>#N/A</v>
      </c>
      <c r="N225" s="6" t="e">
        <f>VLOOKUP(L225,VictoryHeitrich!D:D,1,FALSE)</f>
        <v>#N/A</v>
      </c>
      <c r="O225" s="6" t="s">
        <v>856</v>
      </c>
      <c r="P225" s="6" t="s">
        <v>1311</v>
      </c>
      <c r="Q225" s="6" t="s">
        <v>2631</v>
      </c>
      <c r="R225" s="6" t="s">
        <v>2631</v>
      </c>
      <c r="S225" s="6" t="s">
        <v>42</v>
      </c>
      <c r="T225" s="6" t="s">
        <v>43</v>
      </c>
      <c r="U225" s="6" t="s">
        <v>1313</v>
      </c>
      <c r="V225" s="6" t="s">
        <v>1314</v>
      </c>
      <c r="W225" s="6">
        <v>2025</v>
      </c>
      <c r="X225" s="6">
        <v>11</v>
      </c>
      <c r="Y225" s="6" t="s">
        <v>1315</v>
      </c>
      <c r="Z225" s="6">
        <v>2025</v>
      </c>
      <c r="AA225" s="6" t="s">
        <v>1316</v>
      </c>
      <c r="AB225" s="6" t="str">
        <f>VLOOKUP(S225,Mapping!A:C,3,FALSE)</f>
        <v>Primary</v>
      </c>
    </row>
    <row r="226" spans="1:28" x14ac:dyDescent="0.35">
      <c r="A226" s="6" t="s">
        <v>1302</v>
      </c>
      <c r="B226" s="6" t="s">
        <v>1303</v>
      </c>
      <c r="C226" s="6" t="s">
        <v>1304</v>
      </c>
      <c r="D226" s="6" t="s">
        <v>1305</v>
      </c>
      <c r="E226" s="6" t="s">
        <v>1306</v>
      </c>
      <c r="F226" s="6" t="s">
        <v>1307</v>
      </c>
      <c r="G226" s="6" t="s">
        <v>1308</v>
      </c>
      <c r="H226" s="6" t="s">
        <v>2528</v>
      </c>
      <c r="I226" s="6">
        <v>0</v>
      </c>
      <c r="J226" s="6">
        <v>1386.75</v>
      </c>
      <c r="K226" s="6">
        <v>1</v>
      </c>
      <c r="L226" s="6" t="s">
        <v>2332</v>
      </c>
      <c r="M226" s="6" t="e">
        <f>VLOOKUP(L226,'Nov Inv Recon'!H:H,1,FALSE)</f>
        <v>#N/A</v>
      </c>
      <c r="N226" s="6" t="e">
        <f>VLOOKUP(L226,VictoryHeitrich!D:D,1,FALSE)</f>
        <v>#N/A</v>
      </c>
      <c r="O226" s="6" t="s">
        <v>265</v>
      </c>
      <c r="P226" s="6" t="s">
        <v>1311</v>
      </c>
      <c r="Q226" s="6" t="s">
        <v>2632</v>
      </c>
      <c r="R226" s="6" t="s">
        <v>2632</v>
      </c>
      <c r="S226" s="6" t="s">
        <v>42</v>
      </c>
      <c r="T226" s="6" t="s">
        <v>43</v>
      </c>
      <c r="U226" s="6" t="s">
        <v>1313</v>
      </c>
      <c r="V226" s="6" t="s">
        <v>1314</v>
      </c>
      <c r="W226" s="6">
        <v>2025</v>
      </c>
      <c r="X226" s="6">
        <v>11</v>
      </c>
      <c r="Y226" s="6" t="s">
        <v>1315</v>
      </c>
      <c r="Z226" s="6">
        <v>2025</v>
      </c>
      <c r="AA226" s="6" t="s">
        <v>1316</v>
      </c>
      <c r="AB226" s="6" t="str">
        <f>VLOOKUP(S226,Mapping!A:C,3,FALSE)</f>
        <v>Primary</v>
      </c>
    </row>
    <row r="227" spans="1:28" ht="12.75" customHeight="1" x14ac:dyDescent="0.35">
      <c r="A227" s="6" t="s">
        <v>1302</v>
      </c>
      <c r="B227" s="6" t="s">
        <v>1303</v>
      </c>
      <c r="C227" s="6" t="s">
        <v>1304</v>
      </c>
      <c r="D227" s="6" t="s">
        <v>1305</v>
      </c>
      <c r="E227" s="6" t="s">
        <v>1306</v>
      </c>
      <c r="F227" s="6" t="s">
        <v>1307</v>
      </c>
      <c r="G227" s="6" t="s">
        <v>1308</v>
      </c>
      <c r="H227" s="6" t="s">
        <v>1632</v>
      </c>
      <c r="I227" s="6">
        <v>0</v>
      </c>
      <c r="J227" s="6">
        <v>1849</v>
      </c>
      <c r="K227" s="6">
        <v>1</v>
      </c>
      <c r="L227" s="6" t="s">
        <v>650</v>
      </c>
      <c r="M227" s="6" t="str">
        <f>VLOOKUP(L227,'Nov Inv Recon'!H:H,1,FALSE)</f>
        <v>01021835</v>
      </c>
      <c r="N227" s="6" t="e">
        <f>VLOOKUP(L227,VictoryHeitrich!D:D,1,FALSE)</f>
        <v>#N/A</v>
      </c>
      <c r="O227" s="6" t="s">
        <v>651</v>
      </c>
      <c r="P227" s="6" t="s">
        <v>1311</v>
      </c>
      <c r="Q227" s="6" t="s">
        <v>2633</v>
      </c>
      <c r="R227" s="6" t="s">
        <v>2633</v>
      </c>
      <c r="S227" s="6" t="s">
        <v>42</v>
      </c>
      <c r="T227" s="6" t="s">
        <v>43</v>
      </c>
      <c r="U227" s="6" t="s">
        <v>1313</v>
      </c>
      <c r="V227" s="6" t="s">
        <v>1314</v>
      </c>
      <c r="W227" s="6">
        <v>2025</v>
      </c>
      <c r="X227" s="6">
        <v>11</v>
      </c>
      <c r="Y227" s="6" t="s">
        <v>1315</v>
      </c>
      <c r="Z227" s="6">
        <v>2025</v>
      </c>
      <c r="AA227" s="6" t="s">
        <v>1316</v>
      </c>
      <c r="AB227" s="6" t="str">
        <f>VLOOKUP(S227,Mapping!A:C,3,FALSE)</f>
        <v>Primary</v>
      </c>
    </row>
    <row r="228" spans="1:28" x14ac:dyDescent="0.35">
      <c r="A228" s="6" t="s">
        <v>1302</v>
      </c>
      <c r="B228" s="6" t="s">
        <v>1303</v>
      </c>
      <c r="C228" s="6" t="s">
        <v>1304</v>
      </c>
      <c r="D228" s="6" t="s">
        <v>1305</v>
      </c>
      <c r="E228" s="6" t="s">
        <v>1306</v>
      </c>
      <c r="F228" s="6" t="s">
        <v>1307</v>
      </c>
      <c r="G228" s="6" t="s">
        <v>1308</v>
      </c>
      <c r="H228" s="6" t="s">
        <v>1956</v>
      </c>
      <c r="I228" s="6">
        <v>0</v>
      </c>
      <c r="J228" s="6">
        <v>1386.75</v>
      </c>
      <c r="K228" s="6">
        <v>1</v>
      </c>
      <c r="L228" s="6" t="s">
        <v>2128</v>
      </c>
      <c r="M228" s="6" t="e">
        <f>VLOOKUP(L228,'Nov Inv Recon'!H:H,1,FALSE)</f>
        <v>#N/A</v>
      </c>
      <c r="N228" s="6" t="e">
        <f>VLOOKUP(L228,VictoryHeitrich!D:D,1,FALSE)</f>
        <v>#N/A</v>
      </c>
      <c r="O228" s="6" t="s">
        <v>315</v>
      </c>
      <c r="P228" s="6" t="s">
        <v>1311</v>
      </c>
      <c r="Q228" s="6" t="s">
        <v>2634</v>
      </c>
      <c r="R228" s="6" t="s">
        <v>2634</v>
      </c>
      <c r="S228" s="6" t="s">
        <v>42</v>
      </c>
      <c r="T228" s="6" t="s">
        <v>43</v>
      </c>
      <c r="U228" s="6" t="s">
        <v>1313</v>
      </c>
      <c r="V228" s="6" t="s">
        <v>1314</v>
      </c>
      <c r="W228" s="6">
        <v>2025</v>
      </c>
      <c r="X228" s="6">
        <v>11</v>
      </c>
      <c r="Y228" s="6" t="s">
        <v>1315</v>
      </c>
      <c r="Z228" s="6">
        <v>2025</v>
      </c>
      <c r="AA228" s="6" t="s">
        <v>1316</v>
      </c>
      <c r="AB228" s="6" t="str">
        <f>VLOOKUP(S228,Mapping!A:C,3,FALSE)</f>
        <v>Primary</v>
      </c>
    </row>
    <row r="229" spans="1:28" x14ac:dyDescent="0.35">
      <c r="A229" s="6" t="s">
        <v>1302</v>
      </c>
      <c r="B229" s="6" t="s">
        <v>1303</v>
      </c>
      <c r="C229" s="6" t="s">
        <v>1304</v>
      </c>
      <c r="D229" s="6" t="s">
        <v>1305</v>
      </c>
      <c r="E229" s="6" t="s">
        <v>1306</v>
      </c>
      <c r="F229" s="6" t="s">
        <v>1307</v>
      </c>
      <c r="G229" s="6" t="s">
        <v>1308</v>
      </c>
      <c r="H229" s="6" t="s">
        <v>1682</v>
      </c>
      <c r="I229" s="6">
        <v>0</v>
      </c>
      <c r="J229" s="6">
        <v>1386.75</v>
      </c>
      <c r="K229" s="6">
        <v>1</v>
      </c>
      <c r="L229" s="6" t="s">
        <v>2333</v>
      </c>
      <c r="M229" s="6" t="e">
        <f>VLOOKUP(L229,'Nov Inv Recon'!H:H,1,FALSE)</f>
        <v>#N/A</v>
      </c>
      <c r="N229" s="6" t="e">
        <f>VLOOKUP(L229,VictoryHeitrich!D:D,1,FALSE)</f>
        <v>#N/A</v>
      </c>
      <c r="O229" s="6" t="s">
        <v>257</v>
      </c>
      <c r="P229" s="6" t="s">
        <v>1311</v>
      </c>
      <c r="Q229" s="6" t="s">
        <v>2635</v>
      </c>
      <c r="R229" s="6" t="s">
        <v>2635</v>
      </c>
      <c r="S229" s="6" t="s">
        <v>42</v>
      </c>
      <c r="T229" s="6" t="s">
        <v>43</v>
      </c>
      <c r="U229" s="6" t="s">
        <v>1313</v>
      </c>
      <c r="V229" s="6" t="s">
        <v>1314</v>
      </c>
      <c r="W229" s="6">
        <v>2025</v>
      </c>
      <c r="X229" s="6">
        <v>11</v>
      </c>
      <c r="Y229" s="6" t="s">
        <v>1315</v>
      </c>
      <c r="Z229" s="6">
        <v>2025</v>
      </c>
      <c r="AA229" s="6" t="s">
        <v>1316</v>
      </c>
      <c r="AB229" s="6" t="str">
        <f>VLOOKUP(S229,Mapping!A:C,3,FALSE)</f>
        <v>Primary</v>
      </c>
    </row>
    <row r="230" spans="1:28" x14ac:dyDescent="0.35">
      <c r="A230" s="6" t="s">
        <v>1302</v>
      </c>
      <c r="B230" s="6" t="s">
        <v>1303</v>
      </c>
      <c r="C230" s="6" t="s">
        <v>1304</v>
      </c>
      <c r="D230" s="6" t="s">
        <v>1305</v>
      </c>
      <c r="E230" s="6" t="s">
        <v>1306</v>
      </c>
      <c r="F230" s="6" t="s">
        <v>1307</v>
      </c>
      <c r="G230" s="6" t="s">
        <v>1308</v>
      </c>
      <c r="H230" s="6" t="s">
        <v>1742</v>
      </c>
      <c r="I230" s="6">
        <v>0</v>
      </c>
      <c r="J230" s="6">
        <v>995</v>
      </c>
      <c r="K230" s="6">
        <v>1</v>
      </c>
      <c r="L230" s="6" t="s">
        <v>2089</v>
      </c>
      <c r="M230" s="6" t="e">
        <f>VLOOKUP(L230,'Nov Inv Recon'!H:H,1,FALSE)</f>
        <v>#N/A</v>
      </c>
      <c r="N230" s="6" t="e">
        <f>VLOOKUP(L230,VictoryHeitrich!D:D,1,FALSE)</f>
        <v>#N/A</v>
      </c>
      <c r="O230" s="6" t="s">
        <v>736</v>
      </c>
      <c r="P230" s="6" t="s">
        <v>1311</v>
      </c>
      <c r="Q230" s="6" t="s">
        <v>2636</v>
      </c>
      <c r="R230" s="6" t="s">
        <v>2636</v>
      </c>
      <c r="S230" s="6" t="s">
        <v>42</v>
      </c>
      <c r="T230" s="6" t="s">
        <v>43</v>
      </c>
      <c r="U230" s="6" t="s">
        <v>1313</v>
      </c>
      <c r="V230" s="6" t="s">
        <v>1314</v>
      </c>
      <c r="W230" s="6">
        <v>2025</v>
      </c>
      <c r="X230" s="6">
        <v>11</v>
      </c>
      <c r="Y230" s="6" t="s">
        <v>1315</v>
      </c>
      <c r="Z230" s="6">
        <v>2025</v>
      </c>
      <c r="AA230" s="6" t="s">
        <v>1316</v>
      </c>
      <c r="AB230" s="6" t="str">
        <f>VLOOKUP(S230,Mapping!A:C,3,FALSE)</f>
        <v>Primary</v>
      </c>
    </row>
    <row r="231" spans="1:28" x14ac:dyDescent="0.35">
      <c r="A231" s="6" t="s">
        <v>1302</v>
      </c>
      <c r="B231" s="6" t="s">
        <v>1303</v>
      </c>
      <c r="C231" s="6" t="s">
        <v>1304</v>
      </c>
      <c r="D231" s="6" t="s">
        <v>1305</v>
      </c>
      <c r="E231" s="6" t="s">
        <v>1306</v>
      </c>
      <c r="F231" s="6" t="s">
        <v>1307</v>
      </c>
      <c r="G231" s="6" t="s">
        <v>1308</v>
      </c>
      <c r="H231" s="6" t="s">
        <v>1742</v>
      </c>
      <c r="I231" s="6">
        <v>0</v>
      </c>
      <c r="J231" s="6">
        <v>1386.75</v>
      </c>
      <c r="K231" s="6">
        <v>1</v>
      </c>
      <c r="L231" s="6" t="s">
        <v>2227</v>
      </c>
      <c r="M231" s="6" t="e">
        <f>VLOOKUP(L231,'Nov Inv Recon'!H:H,1,FALSE)</f>
        <v>#N/A</v>
      </c>
      <c r="N231" s="6" t="e">
        <f>VLOOKUP(L231,VictoryHeitrich!D:D,1,FALSE)</f>
        <v>#N/A</v>
      </c>
      <c r="O231" s="6" t="s">
        <v>312</v>
      </c>
      <c r="P231" s="6" t="s">
        <v>1311</v>
      </c>
      <c r="Q231" s="6" t="s">
        <v>2637</v>
      </c>
      <c r="R231" s="6" t="s">
        <v>2637</v>
      </c>
      <c r="S231" s="6" t="s">
        <v>42</v>
      </c>
      <c r="T231" s="6" t="s">
        <v>43</v>
      </c>
      <c r="U231" s="6" t="s">
        <v>1313</v>
      </c>
      <c r="V231" s="6" t="s">
        <v>1314</v>
      </c>
      <c r="W231" s="6">
        <v>2025</v>
      </c>
      <c r="X231" s="6">
        <v>11</v>
      </c>
      <c r="Y231" s="6" t="s">
        <v>1315</v>
      </c>
      <c r="Z231" s="6">
        <v>2025</v>
      </c>
      <c r="AA231" s="6" t="s">
        <v>1316</v>
      </c>
      <c r="AB231" s="6" t="str">
        <f>VLOOKUP(S231,Mapping!A:C,3,FALSE)</f>
        <v>Primary</v>
      </c>
    </row>
    <row r="232" spans="1:28" x14ac:dyDescent="0.35">
      <c r="A232" s="6" t="s">
        <v>1302</v>
      </c>
      <c r="B232" s="6" t="s">
        <v>1303</v>
      </c>
      <c r="C232" s="6" t="s">
        <v>1304</v>
      </c>
      <c r="D232" s="6" t="s">
        <v>1305</v>
      </c>
      <c r="E232" s="6" t="s">
        <v>1306</v>
      </c>
      <c r="F232" s="6" t="s">
        <v>1307</v>
      </c>
      <c r="G232" s="6" t="s">
        <v>1308</v>
      </c>
      <c r="H232" s="6" t="s">
        <v>1682</v>
      </c>
      <c r="I232" s="6">
        <v>0</v>
      </c>
      <c r="J232" s="6">
        <v>1386.75</v>
      </c>
      <c r="K232" s="6">
        <v>1</v>
      </c>
      <c r="L232" s="6" t="s">
        <v>2334</v>
      </c>
      <c r="M232" s="6" t="e">
        <f>VLOOKUP(L232,'Nov Inv Recon'!H:H,1,FALSE)</f>
        <v>#N/A</v>
      </c>
      <c r="N232" s="6" t="e">
        <f>VLOOKUP(L232,VictoryHeitrich!D:D,1,FALSE)</f>
        <v>#N/A</v>
      </c>
      <c r="O232" s="6" t="s">
        <v>259</v>
      </c>
      <c r="P232" s="6" t="s">
        <v>1311</v>
      </c>
      <c r="Q232" s="6" t="s">
        <v>2638</v>
      </c>
      <c r="R232" s="6" t="s">
        <v>2638</v>
      </c>
      <c r="S232" s="6" t="s">
        <v>42</v>
      </c>
      <c r="T232" s="6" t="s">
        <v>43</v>
      </c>
      <c r="U232" s="6" t="s">
        <v>1313</v>
      </c>
      <c r="V232" s="6" t="s">
        <v>1314</v>
      </c>
      <c r="W232" s="6">
        <v>2025</v>
      </c>
      <c r="X232" s="6">
        <v>11</v>
      </c>
      <c r="Y232" s="6" t="s">
        <v>1315</v>
      </c>
      <c r="Z232" s="6">
        <v>2025</v>
      </c>
      <c r="AA232" s="6" t="s">
        <v>1316</v>
      </c>
      <c r="AB232" s="6" t="str">
        <f>VLOOKUP(S232,Mapping!A:C,3,FALSE)</f>
        <v>Primary</v>
      </c>
    </row>
    <row r="233" spans="1:28" x14ac:dyDescent="0.35">
      <c r="A233" s="6" t="s">
        <v>1302</v>
      </c>
      <c r="B233" s="6" t="s">
        <v>1303</v>
      </c>
      <c r="C233" s="6" t="s">
        <v>1304</v>
      </c>
      <c r="D233" s="6" t="s">
        <v>1305</v>
      </c>
      <c r="E233" s="6" t="s">
        <v>1306</v>
      </c>
      <c r="F233" s="6" t="s">
        <v>1307</v>
      </c>
      <c r="G233" s="6" t="s">
        <v>1308</v>
      </c>
      <c r="H233" s="6" t="s">
        <v>2639</v>
      </c>
      <c r="I233" s="6">
        <v>0</v>
      </c>
      <c r="J233" s="6">
        <v>1386.75</v>
      </c>
      <c r="K233" s="6">
        <v>1</v>
      </c>
      <c r="L233" s="6" t="s">
        <v>2298</v>
      </c>
      <c r="M233" s="6" t="e">
        <f>VLOOKUP(L233,'Nov Inv Recon'!H:H,1,FALSE)</f>
        <v>#N/A</v>
      </c>
      <c r="N233" s="6" t="e">
        <f>VLOOKUP(L233,VictoryHeitrich!D:D,1,FALSE)</f>
        <v>#N/A</v>
      </c>
      <c r="O233" s="6" t="s">
        <v>267</v>
      </c>
      <c r="P233" s="6" t="s">
        <v>1311</v>
      </c>
      <c r="Q233" s="6" t="s">
        <v>2640</v>
      </c>
      <c r="R233" s="6" t="s">
        <v>2640</v>
      </c>
      <c r="S233" s="6" t="s">
        <v>42</v>
      </c>
      <c r="T233" s="6" t="s">
        <v>43</v>
      </c>
      <c r="U233" s="6" t="s">
        <v>1313</v>
      </c>
      <c r="V233" s="6" t="s">
        <v>1314</v>
      </c>
      <c r="W233" s="6">
        <v>2025</v>
      </c>
      <c r="X233" s="6">
        <v>11</v>
      </c>
      <c r="Y233" s="6" t="s">
        <v>1315</v>
      </c>
      <c r="Z233" s="6">
        <v>2025</v>
      </c>
      <c r="AA233" s="6" t="s">
        <v>1316</v>
      </c>
      <c r="AB233" s="6" t="str">
        <f>VLOOKUP(S233,Mapping!A:C,3,FALSE)</f>
        <v>Primary</v>
      </c>
    </row>
    <row r="234" spans="1:28" x14ac:dyDescent="0.35">
      <c r="A234" s="6" t="s">
        <v>1302</v>
      </c>
      <c r="B234" s="6" t="s">
        <v>1303</v>
      </c>
      <c r="C234" s="6" t="s">
        <v>1304</v>
      </c>
      <c r="D234" s="6" t="s">
        <v>1305</v>
      </c>
      <c r="E234" s="6" t="s">
        <v>1306</v>
      </c>
      <c r="F234" s="6" t="s">
        <v>1307</v>
      </c>
      <c r="G234" s="6" t="s">
        <v>1308</v>
      </c>
      <c r="H234" s="6" t="s">
        <v>2641</v>
      </c>
      <c r="I234" s="6">
        <v>0</v>
      </c>
      <c r="J234" s="6">
        <v>1386.75</v>
      </c>
      <c r="K234" s="6">
        <v>1</v>
      </c>
      <c r="L234" s="6" t="s">
        <v>2256</v>
      </c>
      <c r="M234" s="6" t="e">
        <f>VLOOKUP(L234,'Nov Inv Recon'!H:H,1,FALSE)</f>
        <v>#N/A</v>
      </c>
      <c r="N234" s="6" t="e">
        <f>VLOOKUP(L234,VictoryHeitrich!D:D,1,FALSE)</f>
        <v>#N/A</v>
      </c>
      <c r="O234" s="6" t="s">
        <v>273</v>
      </c>
      <c r="P234" s="6" t="s">
        <v>1311</v>
      </c>
      <c r="Q234" s="6" t="s">
        <v>2642</v>
      </c>
      <c r="R234" s="6" t="s">
        <v>2642</v>
      </c>
      <c r="S234" s="6" t="s">
        <v>42</v>
      </c>
      <c r="T234" s="6" t="s">
        <v>43</v>
      </c>
      <c r="U234" s="6" t="s">
        <v>1313</v>
      </c>
      <c r="V234" s="6" t="s">
        <v>1314</v>
      </c>
      <c r="W234" s="6">
        <v>2025</v>
      </c>
      <c r="X234" s="6">
        <v>11</v>
      </c>
      <c r="Y234" s="6" t="s">
        <v>1315</v>
      </c>
      <c r="Z234" s="6">
        <v>2025</v>
      </c>
      <c r="AA234" s="6" t="s">
        <v>1316</v>
      </c>
      <c r="AB234" s="6" t="str">
        <f>VLOOKUP(S234,Mapping!A:C,3,FALSE)</f>
        <v>Primary</v>
      </c>
    </row>
    <row r="235" spans="1:28" x14ac:dyDescent="0.35">
      <c r="A235" s="6" t="s">
        <v>1302</v>
      </c>
      <c r="B235" s="6" t="s">
        <v>1303</v>
      </c>
      <c r="C235" s="6" t="s">
        <v>1304</v>
      </c>
      <c r="D235" s="6" t="s">
        <v>1305</v>
      </c>
      <c r="E235" s="6" t="s">
        <v>1306</v>
      </c>
      <c r="F235" s="6" t="s">
        <v>1307</v>
      </c>
      <c r="G235" s="6" t="s">
        <v>1308</v>
      </c>
      <c r="H235" s="6" t="s">
        <v>2526</v>
      </c>
      <c r="I235" s="6">
        <v>0</v>
      </c>
      <c r="J235" s="6">
        <v>1408.33</v>
      </c>
      <c r="K235" s="6">
        <v>1</v>
      </c>
      <c r="L235" s="6" t="s">
        <v>2044</v>
      </c>
      <c r="M235" s="6" t="e">
        <f>VLOOKUP(L235,'Nov Inv Recon'!H:H,1,FALSE)</f>
        <v>#N/A</v>
      </c>
      <c r="N235" s="6" t="e">
        <f>VLOOKUP(L235,VictoryHeitrich!D:D,1,FALSE)</f>
        <v>#N/A</v>
      </c>
      <c r="O235" s="6" t="s">
        <v>296</v>
      </c>
      <c r="P235" s="6" t="s">
        <v>1311</v>
      </c>
      <c r="Q235" s="6" t="s">
        <v>2643</v>
      </c>
      <c r="R235" s="6" t="s">
        <v>2643</v>
      </c>
      <c r="S235" s="6" t="s">
        <v>42</v>
      </c>
      <c r="T235" s="6" t="s">
        <v>43</v>
      </c>
      <c r="U235" s="6" t="s">
        <v>1313</v>
      </c>
      <c r="V235" s="6" t="s">
        <v>1314</v>
      </c>
      <c r="W235" s="6">
        <v>2025</v>
      </c>
      <c r="X235" s="6">
        <v>11</v>
      </c>
      <c r="Y235" s="6" t="s">
        <v>1315</v>
      </c>
      <c r="Z235" s="6">
        <v>2025</v>
      </c>
      <c r="AA235" s="6" t="s">
        <v>1316</v>
      </c>
      <c r="AB235" s="6" t="str">
        <f>VLOOKUP(S235,Mapping!A:C,3,FALSE)</f>
        <v>Primary</v>
      </c>
    </row>
    <row r="236" spans="1:28" x14ac:dyDescent="0.35">
      <c r="A236" s="6" t="s">
        <v>1302</v>
      </c>
      <c r="B236" s="6" t="s">
        <v>1303</v>
      </c>
      <c r="C236" s="6" t="s">
        <v>1304</v>
      </c>
      <c r="D236" s="6" t="s">
        <v>1305</v>
      </c>
      <c r="E236" s="6" t="s">
        <v>1306</v>
      </c>
      <c r="F236" s="6" t="s">
        <v>1307</v>
      </c>
      <c r="G236" s="6" t="s">
        <v>1308</v>
      </c>
      <c r="H236" s="6" t="s">
        <v>1682</v>
      </c>
      <c r="I236" s="6">
        <v>0</v>
      </c>
      <c r="J236" s="6">
        <v>1386.75</v>
      </c>
      <c r="K236" s="6">
        <v>1</v>
      </c>
      <c r="L236" s="6" t="s">
        <v>2183</v>
      </c>
      <c r="M236" s="6" t="e">
        <f>VLOOKUP(L236,'Nov Inv Recon'!H:H,1,FALSE)</f>
        <v>#N/A</v>
      </c>
      <c r="N236" s="6" t="e">
        <f>VLOOKUP(L236,VictoryHeitrich!D:D,1,FALSE)</f>
        <v>#N/A</v>
      </c>
      <c r="O236" s="6" t="s">
        <v>263</v>
      </c>
      <c r="P236" s="6" t="s">
        <v>1311</v>
      </c>
      <c r="Q236" s="6" t="s">
        <v>2644</v>
      </c>
      <c r="R236" s="6" t="s">
        <v>2644</v>
      </c>
      <c r="S236" s="6" t="s">
        <v>42</v>
      </c>
      <c r="T236" s="6" t="s">
        <v>43</v>
      </c>
      <c r="U236" s="6" t="s">
        <v>1313</v>
      </c>
      <c r="V236" s="6" t="s">
        <v>1314</v>
      </c>
      <c r="W236" s="6">
        <v>2025</v>
      </c>
      <c r="X236" s="6">
        <v>11</v>
      </c>
      <c r="Y236" s="6" t="s">
        <v>1315</v>
      </c>
      <c r="Z236" s="6">
        <v>2025</v>
      </c>
      <c r="AA236" s="6" t="s">
        <v>1316</v>
      </c>
      <c r="AB236" s="6" t="str">
        <f>VLOOKUP(S236,Mapping!A:C,3,FALSE)</f>
        <v>Primary</v>
      </c>
    </row>
    <row r="237" spans="1:28" x14ac:dyDescent="0.35">
      <c r="A237" s="6" t="s">
        <v>1302</v>
      </c>
      <c r="B237" s="6" t="s">
        <v>1303</v>
      </c>
      <c r="C237" s="6" t="s">
        <v>1304</v>
      </c>
      <c r="D237" s="6" t="s">
        <v>1305</v>
      </c>
      <c r="E237" s="6" t="s">
        <v>1306</v>
      </c>
      <c r="F237" s="6" t="s">
        <v>1307</v>
      </c>
      <c r="G237" s="6" t="s">
        <v>1308</v>
      </c>
      <c r="H237" s="6" t="s">
        <v>1728</v>
      </c>
      <c r="I237" s="6">
        <v>0</v>
      </c>
      <c r="J237" s="6">
        <v>1386.75</v>
      </c>
      <c r="K237" s="6">
        <v>1</v>
      </c>
      <c r="L237" s="6" t="s">
        <v>2328</v>
      </c>
      <c r="M237" s="6" t="e">
        <f>VLOOKUP(L237,'Nov Inv Recon'!H:H,1,FALSE)</f>
        <v>#N/A</v>
      </c>
      <c r="N237" s="6" t="e">
        <f>VLOOKUP(L237,VictoryHeitrich!D:D,1,FALSE)</f>
        <v>#N/A</v>
      </c>
      <c r="O237" s="6" t="s">
        <v>254</v>
      </c>
      <c r="P237" s="6" t="s">
        <v>1311</v>
      </c>
      <c r="Q237" s="6" t="s">
        <v>2645</v>
      </c>
      <c r="R237" s="6" t="s">
        <v>2645</v>
      </c>
      <c r="S237" s="6" t="s">
        <v>42</v>
      </c>
      <c r="T237" s="6" t="s">
        <v>43</v>
      </c>
      <c r="U237" s="6" t="s">
        <v>1313</v>
      </c>
      <c r="V237" s="6" t="s">
        <v>1314</v>
      </c>
      <c r="W237" s="6">
        <v>2025</v>
      </c>
      <c r="X237" s="6">
        <v>11</v>
      </c>
      <c r="Y237" s="6" t="s">
        <v>1315</v>
      </c>
      <c r="Z237" s="6">
        <v>2025</v>
      </c>
      <c r="AA237" s="6" t="s">
        <v>1316</v>
      </c>
      <c r="AB237" s="6" t="str">
        <f>VLOOKUP(S237,Mapping!A:C,3,FALSE)</f>
        <v>Primary</v>
      </c>
    </row>
    <row r="238" spans="1:28" x14ac:dyDescent="0.35">
      <c r="A238" s="6" t="s">
        <v>1302</v>
      </c>
      <c r="B238" s="6" t="s">
        <v>1303</v>
      </c>
      <c r="C238" s="6" t="s">
        <v>1304</v>
      </c>
      <c r="D238" s="6" t="s">
        <v>1305</v>
      </c>
      <c r="E238" s="6" t="s">
        <v>1306</v>
      </c>
      <c r="F238" s="6" t="s">
        <v>1307</v>
      </c>
      <c r="G238" s="6" t="s">
        <v>1308</v>
      </c>
      <c r="H238" s="6" t="s">
        <v>2425</v>
      </c>
      <c r="I238" s="6">
        <v>0</v>
      </c>
      <c r="J238" s="6">
        <v>1386.75</v>
      </c>
      <c r="K238" s="6">
        <v>1</v>
      </c>
      <c r="L238" s="6" t="s">
        <v>2299</v>
      </c>
      <c r="M238" s="6" t="e">
        <f>VLOOKUP(L238,'Nov Inv Recon'!H:H,1,FALSE)</f>
        <v>#N/A</v>
      </c>
      <c r="N238" s="6" t="e">
        <f>VLOOKUP(L238,VictoryHeitrich!D:D,1,FALSE)</f>
        <v>#N/A</v>
      </c>
      <c r="O238" s="6" t="s">
        <v>271</v>
      </c>
      <c r="P238" s="6" t="s">
        <v>1311</v>
      </c>
      <c r="Q238" s="6" t="s">
        <v>2646</v>
      </c>
      <c r="R238" s="6" t="s">
        <v>2646</v>
      </c>
      <c r="S238" s="6" t="s">
        <v>42</v>
      </c>
      <c r="T238" s="6" t="s">
        <v>43</v>
      </c>
      <c r="U238" s="6" t="s">
        <v>1313</v>
      </c>
      <c r="V238" s="6" t="s">
        <v>1314</v>
      </c>
      <c r="W238" s="6">
        <v>2025</v>
      </c>
      <c r="X238" s="6">
        <v>11</v>
      </c>
      <c r="Y238" s="6" t="s">
        <v>1315</v>
      </c>
      <c r="Z238" s="6">
        <v>2025</v>
      </c>
      <c r="AA238" s="6" t="s">
        <v>1316</v>
      </c>
      <c r="AB238" s="6" t="str">
        <f>VLOOKUP(S238,Mapping!A:C,3,FALSE)</f>
        <v>Primary</v>
      </c>
    </row>
    <row r="239" spans="1:28" x14ac:dyDescent="0.35">
      <c r="A239" s="6" t="s">
        <v>1302</v>
      </c>
      <c r="B239" s="6" t="s">
        <v>1303</v>
      </c>
      <c r="C239" s="6" t="s">
        <v>1304</v>
      </c>
      <c r="D239" s="6" t="s">
        <v>1305</v>
      </c>
      <c r="E239" s="6" t="s">
        <v>1306</v>
      </c>
      <c r="F239" s="6" t="s">
        <v>1307</v>
      </c>
      <c r="G239" s="6" t="s">
        <v>1308</v>
      </c>
      <c r="H239" s="6" t="s">
        <v>1765</v>
      </c>
      <c r="I239" s="6">
        <v>0</v>
      </c>
      <c r="J239" s="6">
        <v>1849</v>
      </c>
      <c r="K239" s="6">
        <v>1</v>
      </c>
      <c r="L239" s="6" t="s">
        <v>2313</v>
      </c>
      <c r="M239" s="6" t="e">
        <f>VLOOKUP(L239,'Nov Inv Recon'!H:H,1,FALSE)</f>
        <v>#N/A</v>
      </c>
      <c r="N239" s="6" t="e">
        <f>VLOOKUP(L239,VictoryHeitrich!D:D,1,FALSE)</f>
        <v>#N/A</v>
      </c>
      <c r="O239" s="6" t="s">
        <v>613</v>
      </c>
      <c r="P239" s="6" t="s">
        <v>1311</v>
      </c>
      <c r="Q239" s="6" t="s">
        <v>2647</v>
      </c>
      <c r="R239" s="6" t="s">
        <v>2647</v>
      </c>
      <c r="S239" s="6" t="s">
        <v>42</v>
      </c>
      <c r="T239" s="6" t="s">
        <v>43</v>
      </c>
      <c r="U239" s="6" t="s">
        <v>1313</v>
      </c>
      <c r="V239" s="6" t="s">
        <v>1314</v>
      </c>
      <c r="W239" s="6">
        <v>2025</v>
      </c>
      <c r="X239" s="6">
        <v>11</v>
      </c>
      <c r="Y239" s="6" t="s">
        <v>1315</v>
      </c>
      <c r="Z239" s="6">
        <v>2025</v>
      </c>
      <c r="AA239" s="6" t="s">
        <v>1316</v>
      </c>
      <c r="AB239" s="6" t="str">
        <f>VLOOKUP(S239,Mapping!A:C,3,FALSE)</f>
        <v>Primary</v>
      </c>
    </row>
    <row r="240" spans="1:28" x14ac:dyDescent="0.35">
      <c r="A240" s="6" t="s">
        <v>1302</v>
      </c>
      <c r="B240" s="6" t="s">
        <v>1303</v>
      </c>
      <c r="C240" s="6" t="s">
        <v>1304</v>
      </c>
      <c r="D240" s="6" t="s">
        <v>1305</v>
      </c>
      <c r="E240" s="6" t="s">
        <v>1306</v>
      </c>
      <c r="F240" s="6" t="s">
        <v>1307</v>
      </c>
      <c r="G240" s="6" t="s">
        <v>1308</v>
      </c>
      <c r="H240" s="6" t="s">
        <v>1657</v>
      </c>
      <c r="I240" s="6">
        <v>0</v>
      </c>
      <c r="J240" s="6">
        <v>1386.75</v>
      </c>
      <c r="K240" s="6">
        <v>1</v>
      </c>
      <c r="L240" s="6" t="s">
        <v>2295</v>
      </c>
      <c r="M240" s="6" t="e">
        <f>VLOOKUP(L240,'Nov Inv Recon'!H:H,1,FALSE)</f>
        <v>#N/A</v>
      </c>
      <c r="N240" s="6" t="e">
        <f>VLOOKUP(L240,VictoryHeitrich!D:D,1,FALSE)</f>
        <v>#N/A</v>
      </c>
      <c r="O240" s="6" t="s">
        <v>279</v>
      </c>
      <c r="P240" s="6" t="s">
        <v>1311</v>
      </c>
      <c r="Q240" s="6" t="s">
        <v>2648</v>
      </c>
      <c r="R240" s="6" t="s">
        <v>2648</v>
      </c>
      <c r="S240" s="6" t="s">
        <v>42</v>
      </c>
      <c r="T240" s="6" t="s">
        <v>43</v>
      </c>
      <c r="U240" s="6" t="s">
        <v>1313</v>
      </c>
      <c r="V240" s="6" t="s">
        <v>1314</v>
      </c>
      <c r="W240" s="6">
        <v>2025</v>
      </c>
      <c r="X240" s="6">
        <v>11</v>
      </c>
      <c r="Y240" s="6" t="s">
        <v>1315</v>
      </c>
      <c r="Z240" s="6">
        <v>2025</v>
      </c>
      <c r="AA240" s="6" t="s">
        <v>1316</v>
      </c>
      <c r="AB240" s="6" t="str">
        <f>VLOOKUP(S240,Mapping!A:C,3,FALSE)</f>
        <v>Primary</v>
      </c>
    </row>
    <row r="241" spans="1:28" x14ac:dyDescent="0.35">
      <c r="A241" s="6" t="s">
        <v>1302</v>
      </c>
      <c r="B241" s="6" t="s">
        <v>1303</v>
      </c>
      <c r="C241" s="6" t="s">
        <v>1304</v>
      </c>
      <c r="D241" s="6" t="s">
        <v>1305</v>
      </c>
      <c r="E241" s="6" t="s">
        <v>1306</v>
      </c>
      <c r="F241" s="6" t="s">
        <v>1307</v>
      </c>
      <c r="G241" s="6" t="s">
        <v>1308</v>
      </c>
      <c r="H241" s="6" t="s">
        <v>1632</v>
      </c>
      <c r="I241" s="6">
        <v>0</v>
      </c>
      <c r="J241" s="6">
        <v>1242.53</v>
      </c>
      <c r="K241" s="6">
        <v>1</v>
      </c>
      <c r="L241" s="6" t="s">
        <v>2023</v>
      </c>
      <c r="M241" s="6" t="e">
        <f>VLOOKUP(L241,'Nov Inv Recon'!H:H,1,FALSE)</f>
        <v>#N/A</v>
      </c>
      <c r="N241" s="6" t="e">
        <f>VLOOKUP(L241,VictoryHeitrich!D:D,1,FALSE)</f>
        <v>#N/A</v>
      </c>
      <c r="O241" s="6" t="s">
        <v>225</v>
      </c>
      <c r="P241" s="6" t="s">
        <v>1311</v>
      </c>
      <c r="Q241" s="6" t="s">
        <v>2649</v>
      </c>
      <c r="R241" s="6" t="s">
        <v>2649</v>
      </c>
      <c r="S241" s="6" t="s">
        <v>42</v>
      </c>
      <c r="T241" s="6" t="s">
        <v>43</v>
      </c>
      <c r="U241" s="6" t="s">
        <v>1313</v>
      </c>
      <c r="V241" s="6" t="s">
        <v>1314</v>
      </c>
      <c r="W241" s="6">
        <v>2025</v>
      </c>
      <c r="X241" s="6">
        <v>11</v>
      </c>
      <c r="Y241" s="6" t="s">
        <v>1315</v>
      </c>
      <c r="Z241" s="6">
        <v>2025</v>
      </c>
      <c r="AA241" s="6" t="s">
        <v>1316</v>
      </c>
      <c r="AB241" s="6" t="str">
        <f>VLOOKUP(S241,Mapping!A:C,3,FALSE)</f>
        <v>Primary</v>
      </c>
    </row>
    <row r="242" spans="1:28" x14ac:dyDescent="0.35">
      <c r="A242" s="6" t="s">
        <v>1302</v>
      </c>
      <c r="B242" s="6" t="s">
        <v>1303</v>
      </c>
      <c r="C242" s="6" t="s">
        <v>1304</v>
      </c>
      <c r="D242" s="6" t="s">
        <v>1305</v>
      </c>
      <c r="E242" s="6" t="s">
        <v>1306</v>
      </c>
      <c r="F242" s="6" t="s">
        <v>1307</v>
      </c>
      <c r="G242" s="6" t="s">
        <v>1308</v>
      </c>
      <c r="H242" s="6" t="s">
        <v>2650</v>
      </c>
      <c r="I242" s="6">
        <v>0</v>
      </c>
      <c r="J242" s="6">
        <v>1386.75</v>
      </c>
      <c r="K242" s="6">
        <v>1</v>
      </c>
      <c r="L242" s="6" t="s">
        <v>2329</v>
      </c>
      <c r="M242" s="6" t="e">
        <f>VLOOKUP(L242,'Nov Inv Recon'!H:H,1,FALSE)</f>
        <v>#N/A</v>
      </c>
      <c r="N242" s="6" t="e">
        <f>VLOOKUP(L242,VictoryHeitrich!D:D,1,FALSE)</f>
        <v>#N/A</v>
      </c>
      <c r="O242" s="6" t="s">
        <v>2347</v>
      </c>
      <c r="P242" s="6" t="s">
        <v>1311</v>
      </c>
      <c r="Q242" s="6" t="s">
        <v>2651</v>
      </c>
      <c r="R242" s="6" t="s">
        <v>2651</v>
      </c>
      <c r="S242" s="6" t="s">
        <v>42</v>
      </c>
      <c r="T242" s="6" t="s">
        <v>43</v>
      </c>
      <c r="U242" s="6" t="s">
        <v>1313</v>
      </c>
      <c r="V242" s="6" t="s">
        <v>1314</v>
      </c>
      <c r="W242" s="6">
        <v>2025</v>
      </c>
      <c r="X242" s="6">
        <v>11</v>
      </c>
      <c r="Y242" s="6" t="s">
        <v>1315</v>
      </c>
      <c r="Z242" s="6">
        <v>2025</v>
      </c>
      <c r="AA242" s="6" t="s">
        <v>1316</v>
      </c>
      <c r="AB242" s="6" t="str">
        <f>VLOOKUP(S242,Mapping!A:C,3,FALSE)</f>
        <v>Primary</v>
      </c>
    </row>
    <row r="243" spans="1:28" x14ac:dyDescent="0.35">
      <c r="A243" s="6" t="s">
        <v>1302</v>
      </c>
      <c r="B243" s="6" t="s">
        <v>1303</v>
      </c>
      <c r="C243" s="6" t="s">
        <v>1304</v>
      </c>
      <c r="D243" s="6" t="s">
        <v>1305</v>
      </c>
      <c r="E243" s="6" t="s">
        <v>1306</v>
      </c>
      <c r="F243" s="6" t="s">
        <v>1307</v>
      </c>
      <c r="G243" s="6" t="s">
        <v>1308</v>
      </c>
      <c r="H243" s="6" t="s">
        <v>1742</v>
      </c>
      <c r="I243" s="6">
        <v>0</v>
      </c>
      <c r="J243" s="6">
        <v>1386.75</v>
      </c>
      <c r="K243" s="6">
        <v>1</v>
      </c>
      <c r="L243" s="6" t="s">
        <v>2155</v>
      </c>
      <c r="M243" s="6" t="e">
        <f>VLOOKUP(L243,'Nov Inv Recon'!H:H,1,FALSE)</f>
        <v>#N/A</v>
      </c>
      <c r="N243" s="6" t="e">
        <f>VLOOKUP(L243,VictoryHeitrich!D:D,1,FALSE)</f>
        <v>#N/A</v>
      </c>
      <c r="O243" s="6" t="s">
        <v>317</v>
      </c>
      <c r="P243" s="6" t="s">
        <v>1311</v>
      </c>
      <c r="Q243" s="6" t="s">
        <v>2652</v>
      </c>
      <c r="R243" s="6" t="s">
        <v>2652</v>
      </c>
      <c r="S243" s="6" t="s">
        <v>42</v>
      </c>
      <c r="T243" s="6" t="s">
        <v>43</v>
      </c>
      <c r="U243" s="6" t="s">
        <v>1313</v>
      </c>
      <c r="V243" s="6" t="s">
        <v>1314</v>
      </c>
      <c r="W243" s="6">
        <v>2025</v>
      </c>
      <c r="X243" s="6">
        <v>11</v>
      </c>
      <c r="Y243" s="6" t="s">
        <v>1315</v>
      </c>
      <c r="Z243" s="6">
        <v>2025</v>
      </c>
      <c r="AA243" s="6" t="s">
        <v>1316</v>
      </c>
      <c r="AB243" s="6" t="str">
        <f>VLOOKUP(S243,Mapping!A:C,3,FALSE)</f>
        <v>Primary</v>
      </c>
    </row>
    <row r="244" spans="1:28" x14ac:dyDescent="0.35">
      <c r="A244" s="6" t="s">
        <v>1302</v>
      </c>
      <c r="B244" s="6" t="s">
        <v>1303</v>
      </c>
      <c r="C244" s="6" t="s">
        <v>1304</v>
      </c>
      <c r="D244" s="6" t="s">
        <v>1305</v>
      </c>
      <c r="E244" s="6" t="s">
        <v>1306</v>
      </c>
      <c r="F244" s="6" t="s">
        <v>1307</v>
      </c>
      <c r="G244" s="6" t="s">
        <v>1308</v>
      </c>
      <c r="H244" s="6" t="s">
        <v>1657</v>
      </c>
      <c r="I244" s="6">
        <v>0</v>
      </c>
      <c r="J244" s="6">
        <v>1849</v>
      </c>
      <c r="K244" s="6">
        <v>1</v>
      </c>
      <c r="L244" s="6" t="s">
        <v>2090</v>
      </c>
      <c r="M244" s="6" t="e">
        <f>VLOOKUP(L244,'Nov Inv Recon'!H:H,1,FALSE)</f>
        <v>#N/A</v>
      </c>
      <c r="N244" s="6" t="e">
        <f>VLOOKUP(L244,VictoryHeitrich!D:D,1,FALSE)</f>
        <v>#N/A</v>
      </c>
      <c r="O244" s="6" t="s">
        <v>636</v>
      </c>
      <c r="P244" s="6" t="s">
        <v>1311</v>
      </c>
      <c r="Q244" s="6" t="s">
        <v>2653</v>
      </c>
      <c r="R244" s="6" t="s">
        <v>2653</v>
      </c>
      <c r="S244" s="6" t="s">
        <v>42</v>
      </c>
      <c r="T244" s="6" t="s">
        <v>43</v>
      </c>
      <c r="U244" s="6" t="s">
        <v>1313</v>
      </c>
      <c r="V244" s="6" t="s">
        <v>1314</v>
      </c>
      <c r="W244" s="6">
        <v>2025</v>
      </c>
      <c r="X244" s="6">
        <v>11</v>
      </c>
      <c r="Y244" s="6" t="s">
        <v>1315</v>
      </c>
      <c r="Z244" s="6">
        <v>2025</v>
      </c>
      <c r="AA244" s="6" t="s">
        <v>1316</v>
      </c>
      <c r="AB244" s="6" t="str">
        <f>VLOOKUP(S244,Mapping!A:C,3,FALSE)</f>
        <v>Primary</v>
      </c>
    </row>
    <row r="245" spans="1:28" x14ac:dyDescent="0.35">
      <c r="A245" s="6" t="s">
        <v>1302</v>
      </c>
      <c r="B245" s="6" t="s">
        <v>1303</v>
      </c>
      <c r="C245" s="6" t="s">
        <v>1304</v>
      </c>
      <c r="D245" s="6" t="s">
        <v>1305</v>
      </c>
      <c r="E245" s="6" t="s">
        <v>1306</v>
      </c>
      <c r="F245" s="6" t="s">
        <v>1307</v>
      </c>
      <c r="G245" s="6" t="s">
        <v>1308</v>
      </c>
      <c r="H245" s="6" t="s">
        <v>1632</v>
      </c>
      <c r="I245" s="6">
        <v>0</v>
      </c>
      <c r="J245" s="6">
        <v>1849</v>
      </c>
      <c r="K245" s="6">
        <v>1</v>
      </c>
      <c r="L245" s="6" t="s">
        <v>2070</v>
      </c>
      <c r="M245" s="6" t="e">
        <f>VLOOKUP(L245,'Nov Inv Recon'!H:H,1,FALSE)</f>
        <v>#N/A</v>
      </c>
      <c r="N245" s="6" t="e">
        <f>VLOOKUP(L245,VictoryHeitrich!D:D,1,FALSE)</f>
        <v>#N/A</v>
      </c>
      <c r="O245" s="6" t="s">
        <v>653</v>
      </c>
      <c r="P245" s="6" t="s">
        <v>1311</v>
      </c>
      <c r="Q245" s="6" t="s">
        <v>2654</v>
      </c>
      <c r="R245" s="6" t="s">
        <v>2654</v>
      </c>
      <c r="S245" s="6" t="s">
        <v>42</v>
      </c>
      <c r="T245" s="6" t="s">
        <v>43</v>
      </c>
      <c r="U245" s="6" t="s">
        <v>1313</v>
      </c>
      <c r="V245" s="6" t="s">
        <v>1314</v>
      </c>
      <c r="W245" s="6">
        <v>2025</v>
      </c>
      <c r="X245" s="6">
        <v>11</v>
      </c>
      <c r="Y245" s="6" t="s">
        <v>1315</v>
      </c>
      <c r="Z245" s="6">
        <v>2025</v>
      </c>
      <c r="AA245" s="6" t="s">
        <v>1316</v>
      </c>
      <c r="AB245" s="6" t="str">
        <f>VLOOKUP(S245,Mapping!A:C,3,FALSE)</f>
        <v>Primary</v>
      </c>
    </row>
    <row r="246" spans="1:28" x14ac:dyDescent="0.35">
      <c r="A246" s="6" t="s">
        <v>1302</v>
      </c>
      <c r="B246" s="6" t="s">
        <v>1303</v>
      </c>
      <c r="C246" s="6" t="s">
        <v>1304</v>
      </c>
      <c r="D246" s="6" t="s">
        <v>1305</v>
      </c>
      <c r="E246" s="6" t="s">
        <v>1306</v>
      </c>
      <c r="F246" s="6" t="s">
        <v>1307</v>
      </c>
      <c r="G246" s="6" t="s">
        <v>1308</v>
      </c>
      <c r="H246" s="6" t="s">
        <v>2526</v>
      </c>
      <c r="I246" s="6">
        <v>0</v>
      </c>
      <c r="J246" s="6">
        <v>1408.33</v>
      </c>
      <c r="K246" s="6">
        <v>1</v>
      </c>
      <c r="L246" s="6" t="s">
        <v>2043</v>
      </c>
      <c r="M246" s="6" t="e">
        <f>VLOOKUP(L246,'Nov Inv Recon'!H:H,1,FALSE)</f>
        <v>#N/A</v>
      </c>
      <c r="N246" s="6" t="e">
        <f>VLOOKUP(L246,VictoryHeitrich!D:D,1,FALSE)</f>
        <v>#N/A</v>
      </c>
      <c r="O246" s="6" t="s">
        <v>300</v>
      </c>
      <c r="P246" s="6" t="s">
        <v>1311</v>
      </c>
      <c r="Q246" s="6" t="s">
        <v>2655</v>
      </c>
      <c r="R246" s="6" t="s">
        <v>2655</v>
      </c>
      <c r="S246" s="6" t="s">
        <v>42</v>
      </c>
      <c r="T246" s="6" t="s">
        <v>43</v>
      </c>
      <c r="U246" s="6" t="s">
        <v>1313</v>
      </c>
      <c r="V246" s="6" t="s">
        <v>1314</v>
      </c>
      <c r="W246" s="6">
        <v>2025</v>
      </c>
      <c r="X246" s="6">
        <v>11</v>
      </c>
      <c r="Y246" s="6" t="s">
        <v>1315</v>
      </c>
      <c r="Z246" s="6">
        <v>2025</v>
      </c>
      <c r="AA246" s="6" t="s">
        <v>1316</v>
      </c>
      <c r="AB246" s="6" t="str">
        <f>VLOOKUP(S246,Mapping!A:C,3,FALSE)</f>
        <v>Primary</v>
      </c>
    </row>
    <row r="247" spans="1:28" x14ac:dyDescent="0.35">
      <c r="A247" s="6" t="s">
        <v>1302</v>
      </c>
      <c r="B247" s="6" t="s">
        <v>1303</v>
      </c>
      <c r="C247" s="6" t="s">
        <v>1304</v>
      </c>
      <c r="D247" s="6" t="s">
        <v>1305</v>
      </c>
      <c r="E247" s="6" t="s">
        <v>1306</v>
      </c>
      <c r="F247" s="6" t="s">
        <v>1307</v>
      </c>
      <c r="G247" s="6" t="s">
        <v>1308</v>
      </c>
      <c r="H247" s="6" t="s">
        <v>1728</v>
      </c>
      <c r="I247" s="6">
        <v>0</v>
      </c>
      <c r="J247" s="6">
        <v>1090.9100000000001</v>
      </c>
      <c r="K247" s="6">
        <v>1</v>
      </c>
      <c r="L247" s="6" t="s">
        <v>2143</v>
      </c>
      <c r="M247" s="6" t="e">
        <f>VLOOKUP(L247,'Nov Inv Recon'!H:H,1,FALSE)</f>
        <v>#N/A</v>
      </c>
      <c r="N247" s="6" t="e">
        <f>VLOOKUP(L247,VictoryHeitrich!D:D,1,FALSE)</f>
        <v>#N/A</v>
      </c>
      <c r="O247" s="6" t="s">
        <v>190</v>
      </c>
      <c r="P247" s="6" t="s">
        <v>1311</v>
      </c>
      <c r="Q247" s="6" t="s">
        <v>2656</v>
      </c>
      <c r="R247" s="6" t="s">
        <v>2656</v>
      </c>
      <c r="S247" s="6" t="s">
        <v>42</v>
      </c>
      <c r="T247" s="6" t="s">
        <v>43</v>
      </c>
      <c r="U247" s="6" t="s">
        <v>1313</v>
      </c>
      <c r="V247" s="6" t="s">
        <v>1314</v>
      </c>
      <c r="W247" s="6">
        <v>2025</v>
      </c>
      <c r="X247" s="6">
        <v>11</v>
      </c>
      <c r="Y247" s="6" t="s">
        <v>1315</v>
      </c>
      <c r="Z247" s="6">
        <v>2025</v>
      </c>
      <c r="AA247" s="6" t="s">
        <v>1316</v>
      </c>
      <c r="AB247" s="6" t="str">
        <f>VLOOKUP(S247,Mapping!A:C,3,FALSE)</f>
        <v>Primary</v>
      </c>
    </row>
    <row r="248" spans="1:28" x14ac:dyDescent="0.35">
      <c r="A248" s="6" t="s">
        <v>1302</v>
      </c>
      <c r="B248" s="6" t="s">
        <v>1303</v>
      </c>
      <c r="C248" s="6" t="s">
        <v>1304</v>
      </c>
      <c r="D248" s="6" t="s">
        <v>1305</v>
      </c>
      <c r="E248" s="6" t="s">
        <v>1306</v>
      </c>
      <c r="F248" s="6" t="s">
        <v>1307</v>
      </c>
      <c r="G248" s="6" t="s">
        <v>1308</v>
      </c>
      <c r="H248" s="6" t="s">
        <v>1974</v>
      </c>
      <c r="I248" s="6">
        <v>0</v>
      </c>
      <c r="J248" s="6">
        <v>1941.45</v>
      </c>
      <c r="K248" s="6">
        <v>1</v>
      </c>
      <c r="L248" s="6" t="s">
        <v>2092</v>
      </c>
      <c r="M248" s="6" t="e">
        <f>VLOOKUP(L248,'Nov Inv Recon'!H:H,1,FALSE)</f>
        <v>#N/A</v>
      </c>
      <c r="N248" s="6" t="e">
        <f>VLOOKUP(L248,VictoryHeitrich!D:D,1,FALSE)</f>
        <v>#N/A</v>
      </c>
      <c r="O248" s="6" t="s">
        <v>712</v>
      </c>
      <c r="P248" s="6" t="s">
        <v>1311</v>
      </c>
      <c r="Q248" s="6" t="s">
        <v>2657</v>
      </c>
      <c r="R248" s="6" t="s">
        <v>2657</v>
      </c>
      <c r="S248" s="6" t="s">
        <v>42</v>
      </c>
      <c r="T248" s="6" t="s">
        <v>43</v>
      </c>
      <c r="U248" s="6" t="s">
        <v>1313</v>
      </c>
      <c r="V248" s="6" t="s">
        <v>1314</v>
      </c>
      <c r="W248" s="6">
        <v>2025</v>
      </c>
      <c r="X248" s="6">
        <v>11</v>
      </c>
      <c r="Y248" s="6" t="s">
        <v>1315</v>
      </c>
      <c r="Z248" s="6">
        <v>2025</v>
      </c>
      <c r="AA248" s="6" t="s">
        <v>1316</v>
      </c>
      <c r="AB248" s="6" t="str">
        <f>VLOOKUP(S248,Mapping!A:C,3,FALSE)</f>
        <v>Primary</v>
      </c>
    </row>
    <row r="249" spans="1:28" x14ac:dyDescent="0.35">
      <c r="A249" s="6" t="s">
        <v>1302</v>
      </c>
      <c r="B249" s="6" t="s">
        <v>1303</v>
      </c>
      <c r="C249" s="6" t="s">
        <v>1304</v>
      </c>
      <c r="D249" s="6" t="s">
        <v>1305</v>
      </c>
      <c r="E249" s="6" t="s">
        <v>1306</v>
      </c>
      <c r="F249" s="6" t="s">
        <v>1307</v>
      </c>
      <c r="G249" s="6" t="s">
        <v>1308</v>
      </c>
      <c r="H249" s="6" t="s">
        <v>1765</v>
      </c>
      <c r="I249" s="6">
        <v>0</v>
      </c>
      <c r="J249" s="6">
        <v>1849</v>
      </c>
      <c r="K249" s="6">
        <v>1</v>
      </c>
      <c r="L249" s="6" t="s">
        <v>1505</v>
      </c>
      <c r="M249" s="6" t="e">
        <f>VLOOKUP(L249,'Nov Inv Recon'!H:H,1,FALSE)</f>
        <v>#N/A</v>
      </c>
      <c r="N249" s="6" t="e">
        <f>VLOOKUP(L249,VictoryHeitrich!D:D,1,FALSE)</f>
        <v>#N/A</v>
      </c>
      <c r="O249" s="6" t="s">
        <v>1506</v>
      </c>
      <c r="P249" s="6" t="s">
        <v>1311</v>
      </c>
      <c r="Q249" s="6" t="s">
        <v>2658</v>
      </c>
      <c r="R249" s="6" t="s">
        <v>2658</v>
      </c>
      <c r="S249" s="6" t="s">
        <v>42</v>
      </c>
      <c r="T249" s="6" t="s">
        <v>43</v>
      </c>
      <c r="U249" s="6" t="s">
        <v>1313</v>
      </c>
      <c r="V249" s="6" t="s">
        <v>1314</v>
      </c>
      <c r="W249" s="6">
        <v>2025</v>
      </c>
      <c r="X249" s="6">
        <v>11</v>
      </c>
      <c r="Y249" s="6" t="s">
        <v>1315</v>
      </c>
      <c r="Z249" s="6">
        <v>2025</v>
      </c>
      <c r="AA249" s="6" t="s">
        <v>1316</v>
      </c>
      <c r="AB249" s="6" t="str">
        <f>VLOOKUP(S249,Mapping!A:C,3,FALSE)</f>
        <v>Primary</v>
      </c>
    </row>
    <row r="250" spans="1:28" x14ac:dyDescent="0.35">
      <c r="A250" s="6" t="s">
        <v>1302</v>
      </c>
      <c r="B250" s="6" t="s">
        <v>1303</v>
      </c>
      <c r="C250" s="6" t="s">
        <v>1304</v>
      </c>
      <c r="D250" s="6" t="s">
        <v>1305</v>
      </c>
      <c r="E250" s="6" t="s">
        <v>1306</v>
      </c>
      <c r="F250" s="6" t="s">
        <v>1307</v>
      </c>
      <c r="G250" s="6" t="s">
        <v>1308</v>
      </c>
      <c r="H250" s="6" t="s">
        <v>1632</v>
      </c>
      <c r="I250" s="6">
        <v>0</v>
      </c>
      <c r="J250" s="6">
        <v>1849</v>
      </c>
      <c r="K250" s="6">
        <v>1</v>
      </c>
      <c r="L250" s="6" t="s">
        <v>731</v>
      </c>
      <c r="M250" s="6" t="str">
        <f>VLOOKUP(L250,'Nov Inv Recon'!H:H,1,FALSE)</f>
        <v>01021802</v>
      </c>
      <c r="N250" s="6" t="e">
        <f>VLOOKUP(L250,VictoryHeitrich!D:D,1,FALSE)</f>
        <v>#N/A</v>
      </c>
      <c r="O250" s="6" t="s">
        <v>732</v>
      </c>
      <c r="P250" s="6" t="s">
        <v>1311</v>
      </c>
      <c r="Q250" s="6" t="s">
        <v>2659</v>
      </c>
      <c r="R250" s="6" t="s">
        <v>2659</v>
      </c>
      <c r="S250" s="6" t="s">
        <v>42</v>
      </c>
      <c r="T250" s="6" t="s">
        <v>43</v>
      </c>
      <c r="U250" s="6" t="s">
        <v>1313</v>
      </c>
      <c r="V250" s="6" t="s">
        <v>1314</v>
      </c>
      <c r="W250" s="6">
        <v>2025</v>
      </c>
      <c r="X250" s="6">
        <v>11</v>
      </c>
      <c r="Y250" s="6" t="s">
        <v>1315</v>
      </c>
      <c r="Z250" s="6">
        <v>2025</v>
      </c>
      <c r="AA250" s="6" t="s">
        <v>1316</v>
      </c>
      <c r="AB250" s="6" t="str">
        <f>VLOOKUP(S250,Mapping!A:C,3,FALSE)</f>
        <v>Primary</v>
      </c>
    </row>
    <row r="251" spans="1:28" x14ac:dyDescent="0.35">
      <c r="A251" s="6" t="s">
        <v>1302</v>
      </c>
      <c r="B251" s="6" t="s">
        <v>1303</v>
      </c>
      <c r="C251" s="6" t="s">
        <v>1304</v>
      </c>
      <c r="D251" s="6" t="s">
        <v>1305</v>
      </c>
      <c r="E251" s="6" t="s">
        <v>1306</v>
      </c>
      <c r="F251" s="6" t="s">
        <v>1307</v>
      </c>
      <c r="G251" s="6" t="s">
        <v>1308</v>
      </c>
      <c r="H251" s="6" t="s">
        <v>1777</v>
      </c>
      <c r="I251" s="6">
        <v>0</v>
      </c>
      <c r="J251" s="6">
        <v>1469.12</v>
      </c>
      <c r="K251" s="6">
        <v>1</v>
      </c>
      <c r="L251" s="6" t="s">
        <v>2262</v>
      </c>
      <c r="M251" s="6" t="e">
        <f>VLOOKUP(L251,'Nov Inv Recon'!H:H,1,FALSE)</f>
        <v>#N/A</v>
      </c>
      <c r="N251" s="6" t="e">
        <f>VLOOKUP(L251,VictoryHeitrich!D:D,1,FALSE)</f>
        <v>#N/A</v>
      </c>
      <c r="O251" s="6" t="s">
        <v>302</v>
      </c>
      <c r="P251" s="6" t="s">
        <v>1311</v>
      </c>
      <c r="Q251" s="6" t="s">
        <v>2660</v>
      </c>
      <c r="R251" s="6" t="s">
        <v>2660</v>
      </c>
      <c r="S251" s="6" t="s">
        <v>42</v>
      </c>
      <c r="T251" s="6" t="s">
        <v>43</v>
      </c>
      <c r="U251" s="6" t="s">
        <v>1313</v>
      </c>
      <c r="V251" s="6" t="s">
        <v>1314</v>
      </c>
      <c r="W251" s="6">
        <v>2025</v>
      </c>
      <c r="X251" s="6">
        <v>11</v>
      </c>
      <c r="Y251" s="6" t="s">
        <v>1315</v>
      </c>
      <c r="Z251" s="6">
        <v>2025</v>
      </c>
      <c r="AA251" s="6" t="s">
        <v>1316</v>
      </c>
      <c r="AB251" s="6" t="str">
        <f>VLOOKUP(S251,Mapping!A:C,3,FALSE)</f>
        <v>Primary</v>
      </c>
    </row>
    <row r="252" spans="1:28" x14ac:dyDescent="0.35">
      <c r="A252" s="6" t="s">
        <v>1302</v>
      </c>
      <c r="B252" s="6" t="s">
        <v>1303</v>
      </c>
      <c r="C252" s="6" t="s">
        <v>1304</v>
      </c>
      <c r="D252" s="6" t="s">
        <v>1305</v>
      </c>
      <c r="E252" s="6" t="s">
        <v>1306</v>
      </c>
      <c r="F252" s="6" t="s">
        <v>1307</v>
      </c>
      <c r="G252" s="6" t="s">
        <v>1308</v>
      </c>
      <c r="H252" s="6" t="s">
        <v>1719</v>
      </c>
      <c r="I252" s="6">
        <v>0</v>
      </c>
      <c r="J252" s="6">
        <v>1849</v>
      </c>
      <c r="K252" s="6">
        <v>1</v>
      </c>
      <c r="L252" s="6" t="s">
        <v>2175</v>
      </c>
      <c r="M252" s="6" t="e">
        <f>VLOOKUP(L252,'Nov Inv Recon'!H:H,1,FALSE)</f>
        <v>#N/A</v>
      </c>
      <c r="N252" s="6" t="e">
        <f>VLOOKUP(L252,VictoryHeitrich!D:D,1,FALSE)</f>
        <v>#N/A</v>
      </c>
      <c r="O252" s="6" t="s">
        <v>757</v>
      </c>
      <c r="P252" s="6" t="s">
        <v>1311</v>
      </c>
      <c r="Q252" s="6" t="s">
        <v>2661</v>
      </c>
      <c r="R252" s="6" t="s">
        <v>2661</v>
      </c>
      <c r="S252" s="6" t="s">
        <v>42</v>
      </c>
      <c r="T252" s="6" t="s">
        <v>43</v>
      </c>
      <c r="U252" s="6" t="s">
        <v>1313</v>
      </c>
      <c r="V252" s="6" t="s">
        <v>1314</v>
      </c>
      <c r="W252" s="6">
        <v>2025</v>
      </c>
      <c r="X252" s="6">
        <v>11</v>
      </c>
      <c r="Y252" s="6" t="s">
        <v>1315</v>
      </c>
      <c r="Z252" s="6">
        <v>2025</v>
      </c>
      <c r="AA252" s="6" t="s">
        <v>1316</v>
      </c>
      <c r="AB252" s="6" t="str">
        <f>VLOOKUP(S252,Mapping!A:C,3,FALSE)</f>
        <v>Primary</v>
      </c>
    </row>
    <row r="253" spans="1:28" x14ac:dyDescent="0.35">
      <c r="A253" s="6" t="s">
        <v>1302</v>
      </c>
      <c r="B253" s="6" t="s">
        <v>1303</v>
      </c>
      <c r="C253" s="6" t="s">
        <v>1304</v>
      </c>
      <c r="D253" s="6" t="s">
        <v>1305</v>
      </c>
      <c r="E253" s="6" t="s">
        <v>1306</v>
      </c>
      <c r="F253" s="6" t="s">
        <v>1307</v>
      </c>
      <c r="G253" s="6" t="s">
        <v>1308</v>
      </c>
      <c r="H253" s="6" t="s">
        <v>2528</v>
      </c>
      <c r="I253" s="6">
        <v>0</v>
      </c>
      <c r="J253" s="6">
        <v>1294.3</v>
      </c>
      <c r="K253" s="6">
        <v>1</v>
      </c>
      <c r="L253" s="6" t="s">
        <v>236</v>
      </c>
      <c r="M253" s="6" t="str">
        <f>VLOOKUP(L253,'Nov Inv Recon'!H:H,1,FALSE)</f>
        <v>08300018</v>
      </c>
      <c r="N253" s="6" t="e">
        <f>VLOOKUP(L253,VictoryHeitrich!D:D,1,FALSE)</f>
        <v>#N/A</v>
      </c>
      <c r="O253" s="6" t="s">
        <v>237</v>
      </c>
      <c r="P253" s="6" t="s">
        <v>1311</v>
      </c>
      <c r="Q253" s="6" t="s">
        <v>2662</v>
      </c>
      <c r="R253" s="6" t="s">
        <v>2662</v>
      </c>
      <c r="S253" s="6" t="s">
        <v>42</v>
      </c>
      <c r="T253" s="6" t="s">
        <v>43</v>
      </c>
      <c r="U253" s="6" t="s">
        <v>1313</v>
      </c>
      <c r="V253" s="6" t="s">
        <v>1314</v>
      </c>
      <c r="W253" s="6">
        <v>2025</v>
      </c>
      <c r="X253" s="6">
        <v>11</v>
      </c>
      <c r="Y253" s="6" t="s">
        <v>1315</v>
      </c>
      <c r="Z253" s="6">
        <v>2025</v>
      </c>
      <c r="AA253" s="6" t="s">
        <v>1316</v>
      </c>
      <c r="AB253" s="6" t="str">
        <f>VLOOKUP(S253,Mapping!A:C,3,FALSE)</f>
        <v>Primary</v>
      </c>
    </row>
    <row r="254" spans="1:28" x14ac:dyDescent="0.35">
      <c r="A254" s="6" t="s">
        <v>1302</v>
      </c>
      <c r="B254" s="6" t="s">
        <v>1303</v>
      </c>
      <c r="C254" s="6" t="s">
        <v>1304</v>
      </c>
      <c r="D254" s="6" t="s">
        <v>1305</v>
      </c>
      <c r="E254" s="6" t="s">
        <v>1306</v>
      </c>
      <c r="F254" s="6" t="s">
        <v>1307</v>
      </c>
      <c r="G254" s="6" t="s">
        <v>1308</v>
      </c>
      <c r="H254" s="6" t="s">
        <v>2663</v>
      </c>
      <c r="I254" s="6">
        <v>0</v>
      </c>
      <c r="J254" s="6">
        <v>1386.75</v>
      </c>
      <c r="K254" s="6">
        <v>1</v>
      </c>
      <c r="L254" s="6" t="s">
        <v>2194</v>
      </c>
      <c r="M254" s="6" t="e">
        <f>VLOOKUP(L254,'Nov Inv Recon'!H:H,1,FALSE)</f>
        <v>#N/A</v>
      </c>
      <c r="N254" s="6" t="e">
        <f>VLOOKUP(L254,VictoryHeitrich!D:D,1,FALSE)</f>
        <v>#N/A</v>
      </c>
      <c r="O254" s="6" t="s">
        <v>269</v>
      </c>
      <c r="P254" s="6" t="s">
        <v>1311</v>
      </c>
      <c r="Q254" s="6" t="s">
        <v>2664</v>
      </c>
      <c r="R254" s="6" t="s">
        <v>2664</v>
      </c>
      <c r="S254" s="6" t="s">
        <v>42</v>
      </c>
      <c r="T254" s="6" t="s">
        <v>43</v>
      </c>
      <c r="U254" s="6" t="s">
        <v>1313</v>
      </c>
      <c r="V254" s="6" t="s">
        <v>1314</v>
      </c>
      <c r="W254" s="6">
        <v>2025</v>
      </c>
      <c r="X254" s="6">
        <v>11</v>
      </c>
      <c r="Y254" s="6" t="s">
        <v>1315</v>
      </c>
      <c r="Z254" s="6">
        <v>2025</v>
      </c>
      <c r="AA254" s="6" t="s">
        <v>1316</v>
      </c>
      <c r="AB254" s="6" t="str">
        <f>VLOOKUP(S254,Mapping!A:C,3,FALSE)</f>
        <v>Primary</v>
      </c>
    </row>
    <row r="255" spans="1:28" x14ac:dyDescent="0.35">
      <c r="A255" s="6" t="s">
        <v>1302</v>
      </c>
      <c r="B255" s="6" t="s">
        <v>1303</v>
      </c>
      <c r="C255" s="6" t="s">
        <v>1304</v>
      </c>
      <c r="D255" s="6" t="s">
        <v>1305</v>
      </c>
      <c r="E255" s="6" t="s">
        <v>1306</v>
      </c>
      <c r="F255" s="6" t="s">
        <v>1307</v>
      </c>
      <c r="G255" s="6" t="s">
        <v>1308</v>
      </c>
      <c r="H255" s="6" t="s">
        <v>2665</v>
      </c>
      <c r="I255" s="6">
        <v>0</v>
      </c>
      <c r="J255" s="6">
        <v>1386.75</v>
      </c>
      <c r="K255" s="6">
        <v>1</v>
      </c>
      <c r="L255" s="6" t="s">
        <v>2096</v>
      </c>
      <c r="M255" s="6" t="e">
        <f>VLOOKUP(L255,'Nov Inv Recon'!H:H,1,FALSE)</f>
        <v>#N/A</v>
      </c>
      <c r="N255" s="6" t="e">
        <f>VLOOKUP(L255,VictoryHeitrich!D:D,1,FALSE)</f>
        <v>#N/A</v>
      </c>
      <c r="O255" s="6" t="s">
        <v>193</v>
      </c>
      <c r="P255" s="6" t="s">
        <v>1311</v>
      </c>
      <c r="Q255" s="6" t="s">
        <v>2666</v>
      </c>
      <c r="R255" s="6" t="s">
        <v>2666</v>
      </c>
      <c r="S255" s="6" t="s">
        <v>42</v>
      </c>
      <c r="T255" s="6" t="s">
        <v>43</v>
      </c>
      <c r="U255" s="6" t="s">
        <v>1313</v>
      </c>
      <c r="V255" s="6" t="s">
        <v>1314</v>
      </c>
      <c r="W255" s="6">
        <v>2025</v>
      </c>
      <c r="X255" s="6">
        <v>11</v>
      </c>
      <c r="Y255" s="6" t="s">
        <v>1315</v>
      </c>
      <c r="Z255" s="6">
        <v>2025</v>
      </c>
      <c r="AA255" s="6" t="s">
        <v>1316</v>
      </c>
      <c r="AB255" s="6" t="str">
        <f>VLOOKUP(S255,Mapping!A:C,3,FALSE)</f>
        <v>Primary</v>
      </c>
    </row>
    <row r="256" spans="1:28" x14ac:dyDescent="0.35">
      <c r="A256" s="6" t="s">
        <v>1302</v>
      </c>
      <c r="B256" s="6" t="s">
        <v>1303</v>
      </c>
      <c r="C256" s="6" t="s">
        <v>1304</v>
      </c>
      <c r="D256" s="6" t="s">
        <v>1305</v>
      </c>
      <c r="E256" s="6" t="s">
        <v>1306</v>
      </c>
      <c r="F256" s="6" t="s">
        <v>1307</v>
      </c>
      <c r="G256" s="6" t="s">
        <v>1308</v>
      </c>
      <c r="H256" s="6" t="s">
        <v>2667</v>
      </c>
      <c r="I256" s="6">
        <v>0</v>
      </c>
      <c r="J256" s="6">
        <v>1941.45</v>
      </c>
      <c r="K256" s="6">
        <v>1</v>
      </c>
      <c r="L256" s="6" t="s">
        <v>2134</v>
      </c>
      <c r="M256" s="6" t="e">
        <f>VLOOKUP(L256,'Nov Inv Recon'!H:H,1,FALSE)</f>
        <v>#N/A</v>
      </c>
      <c r="N256" s="6" t="e">
        <f>VLOOKUP(L256,VictoryHeitrich!D:D,1,FALSE)</f>
        <v>#N/A</v>
      </c>
      <c r="O256" s="6" t="s">
        <v>709</v>
      </c>
      <c r="P256" s="6" t="s">
        <v>1311</v>
      </c>
      <c r="Q256" s="6" t="s">
        <v>2668</v>
      </c>
      <c r="R256" s="6" t="s">
        <v>2668</v>
      </c>
      <c r="S256" s="6" t="s">
        <v>42</v>
      </c>
      <c r="T256" s="6" t="s">
        <v>43</v>
      </c>
      <c r="U256" s="6" t="s">
        <v>1313</v>
      </c>
      <c r="V256" s="6" t="s">
        <v>1314</v>
      </c>
      <c r="W256" s="6">
        <v>2025</v>
      </c>
      <c r="X256" s="6">
        <v>11</v>
      </c>
      <c r="Y256" s="6" t="s">
        <v>1315</v>
      </c>
      <c r="Z256" s="6">
        <v>2025</v>
      </c>
      <c r="AA256" s="6" t="s">
        <v>1316</v>
      </c>
      <c r="AB256" s="6" t="str">
        <f>VLOOKUP(S256,Mapping!A:C,3,FALSE)</f>
        <v>Primary</v>
      </c>
    </row>
    <row r="257" spans="1:28" x14ac:dyDescent="0.35">
      <c r="A257" s="6" t="s">
        <v>1302</v>
      </c>
      <c r="B257" s="6" t="s">
        <v>1303</v>
      </c>
      <c r="C257" s="6" t="s">
        <v>1304</v>
      </c>
      <c r="D257" s="6" t="s">
        <v>1305</v>
      </c>
      <c r="E257" s="6" t="s">
        <v>1306</v>
      </c>
      <c r="F257" s="6" t="s">
        <v>1307</v>
      </c>
      <c r="G257" s="6" t="s">
        <v>1308</v>
      </c>
      <c r="H257" s="6" t="s">
        <v>1719</v>
      </c>
      <c r="I257" s="6">
        <v>0</v>
      </c>
      <c r="J257" s="6">
        <v>1386.75</v>
      </c>
      <c r="K257" s="6">
        <v>1</v>
      </c>
      <c r="L257" s="6" t="s">
        <v>2330</v>
      </c>
      <c r="M257" s="6" t="e">
        <f>VLOOKUP(L257,'Nov Inv Recon'!H:H,1,FALSE)</f>
        <v>#N/A</v>
      </c>
      <c r="N257" s="6" t="e">
        <f>VLOOKUP(L257,VictoryHeitrich!D:D,1,FALSE)</f>
        <v>#N/A</v>
      </c>
      <c r="O257" s="6" t="s">
        <v>283</v>
      </c>
      <c r="P257" s="6" t="s">
        <v>1311</v>
      </c>
      <c r="Q257" s="6" t="s">
        <v>2669</v>
      </c>
      <c r="R257" s="6" t="s">
        <v>2669</v>
      </c>
      <c r="S257" s="6" t="s">
        <v>42</v>
      </c>
      <c r="T257" s="6" t="s">
        <v>43</v>
      </c>
      <c r="U257" s="6" t="s">
        <v>1313</v>
      </c>
      <c r="V257" s="6" t="s">
        <v>1314</v>
      </c>
      <c r="W257" s="6">
        <v>2025</v>
      </c>
      <c r="X257" s="6">
        <v>11</v>
      </c>
      <c r="Y257" s="6" t="s">
        <v>1315</v>
      </c>
      <c r="Z257" s="6">
        <v>2025</v>
      </c>
      <c r="AA257" s="6" t="s">
        <v>1316</v>
      </c>
      <c r="AB257" s="6" t="str">
        <f>VLOOKUP(S257,Mapping!A:C,3,FALSE)</f>
        <v>Primary</v>
      </c>
    </row>
    <row r="258" spans="1:28" x14ac:dyDescent="0.35">
      <c r="A258" s="6" t="s">
        <v>1302</v>
      </c>
      <c r="B258" s="6" t="s">
        <v>1303</v>
      </c>
      <c r="C258" s="6" t="s">
        <v>1304</v>
      </c>
      <c r="D258" s="6" t="s">
        <v>1305</v>
      </c>
      <c r="E258" s="6" t="s">
        <v>1306</v>
      </c>
      <c r="F258" s="6" t="s">
        <v>1307</v>
      </c>
      <c r="G258" s="6" t="s">
        <v>1308</v>
      </c>
      <c r="H258" s="6" t="s">
        <v>1682</v>
      </c>
      <c r="I258" s="6">
        <v>0</v>
      </c>
      <c r="J258" s="6">
        <v>1386.75</v>
      </c>
      <c r="K258" s="6">
        <v>1</v>
      </c>
      <c r="L258" s="6" t="s">
        <v>2300</v>
      </c>
      <c r="M258" s="6" t="e">
        <f>VLOOKUP(L258,'Nov Inv Recon'!H:H,1,FALSE)</f>
        <v>#N/A</v>
      </c>
      <c r="N258" s="6" t="e">
        <f>VLOOKUP(L258,VictoryHeitrich!D:D,1,FALSE)</f>
        <v>#N/A</v>
      </c>
      <c r="O258" s="6" t="s">
        <v>281</v>
      </c>
      <c r="P258" s="6" t="s">
        <v>1311</v>
      </c>
      <c r="Q258" s="6" t="s">
        <v>2670</v>
      </c>
      <c r="R258" s="6" t="s">
        <v>2670</v>
      </c>
      <c r="S258" s="6" t="s">
        <v>42</v>
      </c>
      <c r="T258" s="6" t="s">
        <v>43</v>
      </c>
      <c r="U258" s="6" t="s">
        <v>1313</v>
      </c>
      <c r="V258" s="6" t="s">
        <v>1314</v>
      </c>
      <c r="W258" s="6">
        <v>2025</v>
      </c>
      <c r="X258" s="6">
        <v>11</v>
      </c>
      <c r="Y258" s="6" t="s">
        <v>1315</v>
      </c>
      <c r="Z258" s="6">
        <v>2025</v>
      </c>
      <c r="AA258" s="6" t="s">
        <v>1316</v>
      </c>
      <c r="AB258" s="6" t="str">
        <f>VLOOKUP(S258,Mapping!A:C,3,FALSE)</f>
        <v>Primary</v>
      </c>
    </row>
    <row r="259" spans="1:28" x14ac:dyDescent="0.35">
      <c r="A259" s="6" t="s">
        <v>1302</v>
      </c>
      <c r="B259" s="6" t="s">
        <v>1303</v>
      </c>
      <c r="C259" s="6" t="s">
        <v>1304</v>
      </c>
      <c r="D259" s="6" t="s">
        <v>1305</v>
      </c>
      <c r="E259" s="6" t="s">
        <v>1306</v>
      </c>
      <c r="F259" s="6" t="s">
        <v>1307</v>
      </c>
      <c r="G259" s="6" t="s">
        <v>1308</v>
      </c>
      <c r="H259" s="6" t="s">
        <v>1632</v>
      </c>
      <c r="I259" s="6">
        <v>0</v>
      </c>
      <c r="J259" s="6">
        <v>1242.53</v>
      </c>
      <c r="K259" s="6">
        <v>1</v>
      </c>
      <c r="L259" s="6" t="s">
        <v>2050</v>
      </c>
      <c r="M259" s="6" t="e">
        <f>VLOOKUP(L259,'Nov Inv Recon'!H:H,1,FALSE)</f>
        <v>#N/A</v>
      </c>
      <c r="N259" s="6" t="e">
        <f>VLOOKUP(L259,VictoryHeitrich!D:D,1,FALSE)</f>
        <v>#N/A</v>
      </c>
      <c r="O259" s="6" t="s">
        <v>228</v>
      </c>
      <c r="P259" s="6" t="s">
        <v>1311</v>
      </c>
      <c r="Q259" s="6" t="s">
        <v>2671</v>
      </c>
      <c r="R259" s="6" t="s">
        <v>2671</v>
      </c>
      <c r="S259" s="6" t="s">
        <v>42</v>
      </c>
      <c r="T259" s="6" t="s">
        <v>43</v>
      </c>
      <c r="U259" s="6" t="s">
        <v>1313</v>
      </c>
      <c r="V259" s="6" t="s">
        <v>1314</v>
      </c>
      <c r="W259" s="6">
        <v>2025</v>
      </c>
      <c r="X259" s="6">
        <v>11</v>
      </c>
      <c r="Y259" s="6" t="s">
        <v>1315</v>
      </c>
      <c r="Z259" s="6">
        <v>2025</v>
      </c>
      <c r="AA259" s="6" t="s">
        <v>1316</v>
      </c>
      <c r="AB259" s="6" t="str">
        <f>VLOOKUP(S259,Mapping!A:C,3,FALSE)</f>
        <v>Primary</v>
      </c>
    </row>
    <row r="260" spans="1:28" x14ac:dyDescent="0.35">
      <c r="A260" s="6" t="s">
        <v>1302</v>
      </c>
      <c r="B260" s="6" t="s">
        <v>1303</v>
      </c>
      <c r="C260" s="6" t="s">
        <v>1304</v>
      </c>
      <c r="D260" s="6" t="s">
        <v>1305</v>
      </c>
      <c r="E260" s="6" t="s">
        <v>1306</v>
      </c>
      <c r="F260" s="6" t="s">
        <v>1307</v>
      </c>
      <c r="G260" s="6" t="s">
        <v>1308</v>
      </c>
      <c r="H260" s="6" t="s">
        <v>2398</v>
      </c>
      <c r="I260" s="6">
        <v>0</v>
      </c>
      <c r="J260" s="6">
        <v>1386.75</v>
      </c>
      <c r="K260" s="6">
        <v>1</v>
      </c>
      <c r="L260" s="6" t="s">
        <v>2259</v>
      </c>
      <c r="M260" s="6" t="e">
        <f>VLOOKUP(L260,'Nov Inv Recon'!H:H,1,FALSE)</f>
        <v>#N/A</v>
      </c>
      <c r="N260" s="6" t="e">
        <f>VLOOKUP(L260,VictoryHeitrich!D:D,1,FALSE)</f>
        <v>#N/A</v>
      </c>
      <c r="O260" s="6" t="s">
        <v>459</v>
      </c>
      <c r="P260" s="6" t="s">
        <v>1311</v>
      </c>
      <c r="Q260" s="6" t="s">
        <v>2672</v>
      </c>
      <c r="R260" s="6" t="s">
        <v>2672</v>
      </c>
      <c r="S260" s="6" t="s">
        <v>42</v>
      </c>
      <c r="T260" s="6" t="s">
        <v>43</v>
      </c>
      <c r="U260" s="6" t="s">
        <v>1313</v>
      </c>
      <c r="V260" s="6" t="s">
        <v>1314</v>
      </c>
      <c r="W260" s="6">
        <v>2025</v>
      </c>
      <c r="X260" s="6">
        <v>11</v>
      </c>
      <c r="Y260" s="6" t="s">
        <v>1315</v>
      </c>
      <c r="Z260" s="6">
        <v>2025</v>
      </c>
      <c r="AA260" s="6" t="s">
        <v>1316</v>
      </c>
      <c r="AB260" s="6" t="str">
        <f>VLOOKUP(S260,Mapping!A:C,3,FALSE)</f>
        <v>Primary</v>
      </c>
    </row>
    <row r="261" spans="1:28" x14ac:dyDescent="0.35">
      <c r="A261" s="6" t="s">
        <v>1302</v>
      </c>
      <c r="B261" s="6" t="s">
        <v>1303</v>
      </c>
      <c r="C261" s="6" t="s">
        <v>1304</v>
      </c>
      <c r="D261" s="6" t="s">
        <v>1305</v>
      </c>
      <c r="E261" s="6" t="s">
        <v>1306</v>
      </c>
      <c r="F261" s="6" t="s">
        <v>1307</v>
      </c>
      <c r="G261" s="6" t="s">
        <v>1308</v>
      </c>
      <c r="H261" s="6" t="s">
        <v>1682</v>
      </c>
      <c r="I261" s="6">
        <v>0</v>
      </c>
      <c r="J261" s="6">
        <v>1386.75</v>
      </c>
      <c r="K261" s="6">
        <v>1</v>
      </c>
      <c r="L261" s="6" t="s">
        <v>2335</v>
      </c>
      <c r="M261" s="6" t="e">
        <f>VLOOKUP(L261,'Nov Inv Recon'!H:H,1,FALSE)</f>
        <v>#N/A</v>
      </c>
      <c r="N261" s="6" t="e">
        <f>VLOOKUP(L261,VictoryHeitrich!D:D,1,FALSE)</f>
        <v>#N/A</v>
      </c>
      <c r="O261" s="6" t="s">
        <v>2348</v>
      </c>
      <c r="P261" s="6" t="s">
        <v>1311</v>
      </c>
      <c r="Q261" s="6" t="s">
        <v>2673</v>
      </c>
      <c r="R261" s="6" t="s">
        <v>2673</v>
      </c>
      <c r="S261" s="6" t="s">
        <v>42</v>
      </c>
      <c r="T261" s="6" t="s">
        <v>43</v>
      </c>
      <c r="U261" s="6" t="s">
        <v>1313</v>
      </c>
      <c r="V261" s="6" t="s">
        <v>1314</v>
      </c>
      <c r="W261" s="6">
        <v>2025</v>
      </c>
      <c r="X261" s="6">
        <v>11</v>
      </c>
      <c r="Y261" s="6" t="s">
        <v>1315</v>
      </c>
      <c r="Z261" s="6">
        <v>2025</v>
      </c>
      <c r="AA261" s="6" t="s">
        <v>1316</v>
      </c>
      <c r="AB261" s="6" t="str">
        <f>VLOOKUP(S261,Mapping!A:C,3,FALSE)</f>
        <v>Primary</v>
      </c>
    </row>
    <row r="262" spans="1:28" x14ac:dyDescent="0.35">
      <c r="A262" s="6" t="s">
        <v>1302</v>
      </c>
      <c r="B262" s="6" t="s">
        <v>1303</v>
      </c>
      <c r="C262" s="6" t="s">
        <v>1304</v>
      </c>
      <c r="D262" s="6" t="s">
        <v>1305</v>
      </c>
      <c r="E262" s="6" t="s">
        <v>1306</v>
      </c>
      <c r="F262" s="6" t="s">
        <v>1307</v>
      </c>
      <c r="G262" s="6" t="s">
        <v>1308</v>
      </c>
      <c r="H262" s="6" t="s">
        <v>2674</v>
      </c>
      <c r="I262" s="6">
        <v>0</v>
      </c>
      <c r="J262" s="6">
        <v>1386.75</v>
      </c>
      <c r="K262" s="6">
        <v>1</v>
      </c>
      <c r="L262" s="6" t="s">
        <v>2331</v>
      </c>
      <c r="M262" s="6" t="e">
        <f>VLOOKUP(L262,'Nov Inv Recon'!H:H,1,FALSE)</f>
        <v>#N/A</v>
      </c>
      <c r="N262" s="6" t="e">
        <f>VLOOKUP(L262,VictoryHeitrich!D:D,1,FALSE)</f>
        <v>#N/A</v>
      </c>
      <c r="O262" s="6" t="s">
        <v>287</v>
      </c>
      <c r="P262" s="6" t="s">
        <v>1311</v>
      </c>
      <c r="Q262" s="6" t="s">
        <v>2675</v>
      </c>
      <c r="R262" s="6" t="s">
        <v>2675</v>
      </c>
      <c r="S262" s="6" t="s">
        <v>42</v>
      </c>
      <c r="T262" s="6" t="s">
        <v>43</v>
      </c>
      <c r="U262" s="6" t="s">
        <v>1313</v>
      </c>
      <c r="V262" s="6" t="s">
        <v>1314</v>
      </c>
      <c r="W262" s="6">
        <v>2025</v>
      </c>
      <c r="X262" s="6">
        <v>11</v>
      </c>
      <c r="Y262" s="6" t="s">
        <v>1315</v>
      </c>
      <c r="Z262" s="6">
        <v>2025</v>
      </c>
      <c r="AA262" s="6" t="s">
        <v>1316</v>
      </c>
      <c r="AB262" s="6" t="str">
        <f>VLOOKUP(S262,Mapping!A:C,3,FALSE)</f>
        <v>Primary</v>
      </c>
    </row>
    <row r="263" spans="1:28" x14ac:dyDescent="0.35">
      <c r="A263" s="6" t="s">
        <v>1302</v>
      </c>
      <c r="B263" s="6" t="s">
        <v>1303</v>
      </c>
      <c r="C263" s="6" t="s">
        <v>1304</v>
      </c>
      <c r="D263" s="6" t="s">
        <v>1305</v>
      </c>
      <c r="E263" s="6" t="s">
        <v>1306</v>
      </c>
      <c r="F263" s="6" t="s">
        <v>1307</v>
      </c>
      <c r="G263" s="6" t="s">
        <v>1308</v>
      </c>
      <c r="H263" s="6" t="s">
        <v>2398</v>
      </c>
      <c r="I263" s="6">
        <v>0</v>
      </c>
      <c r="J263" s="6">
        <v>1386.75</v>
      </c>
      <c r="K263" s="6">
        <v>1</v>
      </c>
      <c r="L263" s="6" t="s">
        <v>2266</v>
      </c>
      <c r="M263" s="6" t="e">
        <f>VLOOKUP(L263,'Nov Inv Recon'!H:H,1,FALSE)</f>
        <v>#N/A</v>
      </c>
      <c r="N263" s="6" t="e">
        <f>VLOOKUP(L263,VictoryHeitrich!D:D,1,FALSE)</f>
        <v>#N/A</v>
      </c>
      <c r="O263" s="6" t="s">
        <v>275</v>
      </c>
      <c r="P263" s="6" t="s">
        <v>1311</v>
      </c>
      <c r="Q263" s="6" t="s">
        <v>2676</v>
      </c>
      <c r="R263" s="6" t="s">
        <v>2676</v>
      </c>
      <c r="S263" s="6" t="s">
        <v>42</v>
      </c>
      <c r="T263" s="6" t="s">
        <v>43</v>
      </c>
      <c r="U263" s="6" t="s">
        <v>1313</v>
      </c>
      <c r="V263" s="6" t="s">
        <v>1314</v>
      </c>
      <c r="W263" s="6">
        <v>2025</v>
      </c>
      <c r="X263" s="6">
        <v>11</v>
      </c>
      <c r="Y263" s="6" t="s">
        <v>1315</v>
      </c>
      <c r="Z263" s="6">
        <v>2025</v>
      </c>
      <c r="AA263" s="6" t="s">
        <v>1316</v>
      </c>
      <c r="AB263" s="6" t="str">
        <f>VLOOKUP(S263,Mapping!A:C,3,FALSE)</f>
        <v>Primary</v>
      </c>
    </row>
    <row r="264" spans="1:28" x14ac:dyDescent="0.35">
      <c r="A264" s="6" t="s">
        <v>1302</v>
      </c>
      <c r="B264" s="6" t="s">
        <v>1303</v>
      </c>
      <c r="C264" s="6" t="s">
        <v>1304</v>
      </c>
      <c r="D264" s="6" t="s">
        <v>1305</v>
      </c>
      <c r="E264" s="6" t="s">
        <v>1306</v>
      </c>
      <c r="F264" s="6" t="s">
        <v>1307</v>
      </c>
      <c r="G264" s="6" t="s">
        <v>1308</v>
      </c>
      <c r="H264" s="6" t="s">
        <v>1682</v>
      </c>
      <c r="I264" s="6">
        <v>0</v>
      </c>
      <c r="J264" s="6">
        <v>1386.75</v>
      </c>
      <c r="K264" s="6">
        <v>1</v>
      </c>
      <c r="L264" s="6" t="s">
        <v>2231</v>
      </c>
      <c r="M264" s="6" t="e">
        <f>VLOOKUP(L264,'Nov Inv Recon'!H:H,1,FALSE)</f>
        <v>#N/A</v>
      </c>
      <c r="N264" s="6" t="e">
        <f>VLOOKUP(L264,VictoryHeitrich!D:D,1,FALSE)</f>
        <v>#N/A</v>
      </c>
      <c r="O264" s="6" t="s">
        <v>277</v>
      </c>
      <c r="P264" s="6" t="s">
        <v>1311</v>
      </c>
      <c r="Q264" s="6" t="s">
        <v>2677</v>
      </c>
      <c r="R264" s="6" t="s">
        <v>2677</v>
      </c>
      <c r="S264" s="6" t="s">
        <v>42</v>
      </c>
      <c r="T264" s="6" t="s">
        <v>43</v>
      </c>
      <c r="U264" s="6" t="s">
        <v>1313</v>
      </c>
      <c r="V264" s="6" t="s">
        <v>1314</v>
      </c>
      <c r="W264" s="6">
        <v>2025</v>
      </c>
      <c r="X264" s="6">
        <v>11</v>
      </c>
      <c r="Y264" s="6" t="s">
        <v>1315</v>
      </c>
      <c r="Z264" s="6">
        <v>2025</v>
      </c>
      <c r="AA264" s="6" t="s">
        <v>1316</v>
      </c>
      <c r="AB264" s="6" t="str">
        <f>VLOOKUP(S264,Mapping!A:C,3,FALSE)</f>
        <v>Primary</v>
      </c>
    </row>
    <row r="265" spans="1:28" x14ac:dyDescent="0.35">
      <c r="A265" s="6" t="s">
        <v>1302</v>
      </c>
      <c r="B265" s="6" t="s">
        <v>1303</v>
      </c>
      <c r="C265" s="6" t="s">
        <v>1304</v>
      </c>
      <c r="D265" s="6" t="s">
        <v>1305</v>
      </c>
      <c r="E265" s="6" t="s">
        <v>1306</v>
      </c>
      <c r="F265" s="6" t="s">
        <v>1307</v>
      </c>
      <c r="G265" s="6" t="s">
        <v>1308</v>
      </c>
      <c r="H265" s="6" t="s">
        <v>1765</v>
      </c>
      <c r="I265" s="6">
        <v>0</v>
      </c>
      <c r="J265" s="6">
        <v>1386.75</v>
      </c>
      <c r="K265" s="6">
        <v>1</v>
      </c>
      <c r="L265" s="6" t="s">
        <v>2223</v>
      </c>
      <c r="M265" s="6" t="e">
        <f>VLOOKUP(L265,'Nov Inv Recon'!H:H,1,FALSE)</f>
        <v>#N/A</v>
      </c>
      <c r="N265" s="6" t="e">
        <f>VLOOKUP(L265,VictoryHeitrich!D:D,1,FALSE)</f>
        <v>#N/A</v>
      </c>
      <c r="O265" s="6" t="s">
        <v>290</v>
      </c>
      <c r="P265" s="6" t="s">
        <v>1311</v>
      </c>
      <c r="Q265" s="6" t="s">
        <v>2678</v>
      </c>
      <c r="R265" s="6" t="s">
        <v>2678</v>
      </c>
      <c r="S265" s="6" t="s">
        <v>42</v>
      </c>
      <c r="T265" s="6" t="s">
        <v>43</v>
      </c>
      <c r="U265" s="6" t="s">
        <v>1313</v>
      </c>
      <c r="V265" s="6" t="s">
        <v>1314</v>
      </c>
      <c r="W265" s="6">
        <v>2025</v>
      </c>
      <c r="X265" s="6">
        <v>11</v>
      </c>
      <c r="Y265" s="6" t="s">
        <v>1315</v>
      </c>
      <c r="Z265" s="6">
        <v>2025</v>
      </c>
      <c r="AA265" s="6" t="s">
        <v>1316</v>
      </c>
      <c r="AB265" s="6" t="str">
        <f>VLOOKUP(S265,Mapping!A:C,3,FALSE)</f>
        <v>Primary</v>
      </c>
    </row>
    <row r="266" spans="1:28" x14ac:dyDescent="0.35">
      <c r="A266" s="6" t="s">
        <v>1302</v>
      </c>
      <c r="B266" s="6" t="s">
        <v>1303</v>
      </c>
      <c r="C266" s="6" t="s">
        <v>1304</v>
      </c>
      <c r="D266" s="6" t="s">
        <v>1305</v>
      </c>
      <c r="E266" s="6" t="s">
        <v>1306</v>
      </c>
      <c r="F266" s="6" t="s">
        <v>1307</v>
      </c>
      <c r="G266" s="6" t="s">
        <v>1308</v>
      </c>
      <c r="H266" s="6" t="s">
        <v>1728</v>
      </c>
      <c r="I266" s="6">
        <v>27.93</v>
      </c>
      <c r="J266" s="6">
        <v>0</v>
      </c>
      <c r="K266" s="6">
        <v>1</v>
      </c>
      <c r="L266" s="6" t="s">
        <v>2047</v>
      </c>
      <c r="M266" s="6" t="e">
        <f>VLOOKUP(L266,'Nov Inv Recon'!H:H,1,FALSE)</f>
        <v>#N/A</v>
      </c>
      <c r="N266" s="6" t="e">
        <f>VLOOKUP(L266,VictoryHeitrich!D:D,1,FALSE)</f>
        <v>#N/A</v>
      </c>
      <c r="O266" s="6" t="s">
        <v>609</v>
      </c>
      <c r="P266" s="6" t="s">
        <v>1311</v>
      </c>
      <c r="Q266" s="6" t="s">
        <v>2679</v>
      </c>
      <c r="S266" s="6" t="s">
        <v>48</v>
      </c>
      <c r="T266" s="6" t="s">
        <v>49</v>
      </c>
      <c r="U266" s="6" t="s">
        <v>1313</v>
      </c>
      <c r="V266" s="6" t="s">
        <v>1314</v>
      </c>
      <c r="W266" s="6">
        <v>2025</v>
      </c>
      <c r="X266" s="6">
        <v>11</v>
      </c>
      <c r="Y266" s="6" t="s">
        <v>1315</v>
      </c>
      <c r="Z266" s="6">
        <v>2025</v>
      </c>
      <c r="AA266" s="6" t="s">
        <v>1316</v>
      </c>
      <c r="AB266" s="6" t="str">
        <f>VLOOKUP(S266,Mapping!A:C,3,FALSE)</f>
        <v>Primary</v>
      </c>
    </row>
    <row r="267" spans="1:28" x14ac:dyDescent="0.35">
      <c r="A267" s="6" t="s">
        <v>1302</v>
      </c>
      <c r="B267" s="6" t="s">
        <v>1303</v>
      </c>
      <c r="C267" s="6" t="s">
        <v>1304</v>
      </c>
      <c r="D267" s="6" t="s">
        <v>1305</v>
      </c>
      <c r="E267" s="6" t="s">
        <v>1306</v>
      </c>
      <c r="F267" s="6" t="s">
        <v>1307</v>
      </c>
      <c r="G267" s="6" t="s">
        <v>1308</v>
      </c>
      <c r="H267" s="6" t="s">
        <v>1728</v>
      </c>
      <c r="I267" s="6">
        <v>73.17</v>
      </c>
      <c r="J267" s="6">
        <v>0</v>
      </c>
      <c r="K267" s="6">
        <v>1</v>
      </c>
      <c r="L267" s="6" t="s">
        <v>2261</v>
      </c>
      <c r="M267" s="6" t="e">
        <f>VLOOKUP(L267,'Nov Inv Recon'!H:H,1,FALSE)</f>
        <v>#N/A</v>
      </c>
      <c r="N267" s="6" t="e">
        <f>VLOOKUP(L267,VictoryHeitrich!D:D,1,FALSE)</f>
        <v>#N/A</v>
      </c>
      <c r="O267" s="6" t="s">
        <v>566</v>
      </c>
      <c r="P267" s="6" t="s">
        <v>1311</v>
      </c>
      <c r="Q267" s="6" t="s">
        <v>2679</v>
      </c>
      <c r="S267" s="6" t="s">
        <v>48</v>
      </c>
      <c r="T267" s="6" t="s">
        <v>49</v>
      </c>
      <c r="U267" s="6" t="s">
        <v>1313</v>
      </c>
      <c r="V267" s="6" t="s">
        <v>1314</v>
      </c>
      <c r="W267" s="6">
        <v>2025</v>
      </c>
      <c r="X267" s="6">
        <v>11</v>
      </c>
      <c r="Y267" s="6" t="s">
        <v>1315</v>
      </c>
      <c r="Z267" s="6">
        <v>2025</v>
      </c>
      <c r="AA267" s="6" t="s">
        <v>1316</v>
      </c>
      <c r="AB267" s="6" t="str">
        <f>VLOOKUP(S267,Mapping!A:C,3,FALSE)</f>
        <v>Primary</v>
      </c>
    </row>
    <row r="268" spans="1:28" x14ac:dyDescent="0.35">
      <c r="A268" s="6" t="s">
        <v>1302</v>
      </c>
      <c r="B268" s="6" t="s">
        <v>1303</v>
      </c>
      <c r="C268" s="6" t="s">
        <v>1304</v>
      </c>
      <c r="D268" s="6" t="s">
        <v>1305</v>
      </c>
      <c r="E268" s="6" t="s">
        <v>1306</v>
      </c>
      <c r="F268" s="6" t="s">
        <v>1307</v>
      </c>
      <c r="G268" s="6" t="s">
        <v>1308</v>
      </c>
      <c r="H268" s="6" t="s">
        <v>1697</v>
      </c>
      <c r="I268" s="6">
        <v>71.650000000000006</v>
      </c>
      <c r="J268" s="6">
        <v>0</v>
      </c>
      <c r="K268" s="6">
        <v>1</v>
      </c>
      <c r="L268" s="6" t="s">
        <v>2101</v>
      </c>
      <c r="M268" s="6" t="e">
        <f>VLOOKUP(L268,'Nov Inv Recon'!H:H,1,FALSE)</f>
        <v>#N/A</v>
      </c>
      <c r="N268" s="6" t="e">
        <f>VLOOKUP(L268,VictoryHeitrich!D:D,1,FALSE)</f>
        <v>#N/A</v>
      </c>
      <c r="O268" s="6" t="s">
        <v>481</v>
      </c>
      <c r="P268" s="6" t="s">
        <v>1311</v>
      </c>
      <c r="Q268" s="6" t="s">
        <v>2679</v>
      </c>
      <c r="S268" s="6" t="s">
        <v>48</v>
      </c>
      <c r="T268" s="6" t="s">
        <v>49</v>
      </c>
      <c r="U268" s="6" t="s">
        <v>1313</v>
      </c>
      <c r="V268" s="6" t="s">
        <v>1314</v>
      </c>
      <c r="W268" s="6">
        <v>2025</v>
      </c>
      <c r="X268" s="6">
        <v>11</v>
      </c>
      <c r="Y268" s="6" t="s">
        <v>1315</v>
      </c>
      <c r="Z268" s="6">
        <v>2025</v>
      </c>
      <c r="AA268" s="6" t="s">
        <v>1316</v>
      </c>
      <c r="AB268" s="6" t="str">
        <f>VLOOKUP(S268,Mapping!A:C,3,FALSE)</f>
        <v>Primary</v>
      </c>
    </row>
    <row r="269" spans="1:28" x14ac:dyDescent="0.35">
      <c r="A269" s="6" t="s">
        <v>1302</v>
      </c>
      <c r="B269" s="6" t="s">
        <v>1303</v>
      </c>
      <c r="C269" s="6" t="s">
        <v>1304</v>
      </c>
      <c r="D269" s="6" t="s">
        <v>1305</v>
      </c>
      <c r="E269" s="6" t="s">
        <v>1306</v>
      </c>
      <c r="F269" s="6" t="s">
        <v>1307</v>
      </c>
      <c r="G269" s="6" t="s">
        <v>1308</v>
      </c>
      <c r="H269" s="6" t="s">
        <v>2665</v>
      </c>
      <c r="I269" s="6">
        <v>0</v>
      </c>
      <c r="J269" s="6">
        <v>299</v>
      </c>
      <c r="K269" s="6">
        <v>1</v>
      </c>
      <c r="L269" s="6" t="s">
        <v>2169</v>
      </c>
      <c r="M269" s="6" t="e">
        <f>VLOOKUP(L269,'Nov Inv Recon'!H:H,1,FALSE)</f>
        <v>#N/A</v>
      </c>
      <c r="N269" s="6" t="e">
        <f>VLOOKUP(L269,VictoryHeitrich!D:D,1,FALSE)</f>
        <v>#N/A</v>
      </c>
      <c r="O269" s="6" t="s">
        <v>473</v>
      </c>
      <c r="P269" s="6" t="s">
        <v>1311</v>
      </c>
      <c r="Q269" s="6" t="s">
        <v>2680</v>
      </c>
      <c r="R269" s="6" t="s">
        <v>2680</v>
      </c>
      <c r="S269" s="6" t="s">
        <v>48</v>
      </c>
      <c r="T269" s="6" t="s">
        <v>49</v>
      </c>
      <c r="U269" s="6" t="s">
        <v>1313</v>
      </c>
      <c r="V269" s="6" t="s">
        <v>1314</v>
      </c>
      <c r="W269" s="6">
        <v>2025</v>
      </c>
      <c r="X269" s="6">
        <v>11</v>
      </c>
      <c r="Y269" s="6" t="s">
        <v>1315</v>
      </c>
      <c r="Z269" s="6">
        <v>2025</v>
      </c>
      <c r="AA269" s="6" t="s">
        <v>1316</v>
      </c>
      <c r="AB269" s="6" t="str">
        <f>VLOOKUP(S269,Mapping!A:C,3,FALSE)</f>
        <v>Primary</v>
      </c>
    </row>
    <row r="270" spans="1:28" x14ac:dyDescent="0.35">
      <c r="A270" s="6" t="s">
        <v>1302</v>
      </c>
      <c r="B270" s="6" t="s">
        <v>1303</v>
      </c>
      <c r="C270" s="6" t="s">
        <v>1304</v>
      </c>
      <c r="D270" s="6" t="s">
        <v>1305</v>
      </c>
      <c r="E270" s="6" t="s">
        <v>1306</v>
      </c>
      <c r="F270" s="6" t="s">
        <v>1307</v>
      </c>
      <c r="G270" s="6" t="s">
        <v>1308</v>
      </c>
      <c r="H270" s="6" t="s">
        <v>1682</v>
      </c>
      <c r="I270" s="6">
        <v>156.94999999999999</v>
      </c>
      <c r="J270" s="6">
        <v>0</v>
      </c>
      <c r="K270" s="6">
        <v>1</v>
      </c>
      <c r="L270" s="6" t="s">
        <v>2327</v>
      </c>
      <c r="M270" s="6" t="e">
        <f>VLOOKUP(L270,'Nov Inv Recon'!H:H,1,FALSE)</f>
        <v>#N/A</v>
      </c>
      <c r="N270" s="6" t="e">
        <f>VLOOKUP(L270,VictoryHeitrich!D:D,1,FALSE)</f>
        <v>#N/A</v>
      </c>
      <c r="O270" s="6" t="s">
        <v>562</v>
      </c>
      <c r="P270" s="6" t="s">
        <v>1311</v>
      </c>
      <c r="Q270" s="6" t="s">
        <v>2679</v>
      </c>
      <c r="S270" s="6" t="s">
        <v>48</v>
      </c>
      <c r="T270" s="6" t="s">
        <v>49</v>
      </c>
      <c r="U270" s="6" t="s">
        <v>1313</v>
      </c>
      <c r="V270" s="6" t="s">
        <v>1314</v>
      </c>
      <c r="W270" s="6">
        <v>2025</v>
      </c>
      <c r="X270" s="6">
        <v>11</v>
      </c>
      <c r="Y270" s="6" t="s">
        <v>1315</v>
      </c>
      <c r="Z270" s="6">
        <v>2025</v>
      </c>
      <c r="AA270" s="6" t="s">
        <v>1316</v>
      </c>
      <c r="AB270" s="6" t="str">
        <f>VLOOKUP(S270,Mapping!A:C,3,FALSE)</f>
        <v>Primary</v>
      </c>
    </row>
    <row r="271" spans="1:28" x14ac:dyDescent="0.35">
      <c r="A271" s="6" t="s">
        <v>1302</v>
      </c>
      <c r="B271" s="6" t="s">
        <v>1303</v>
      </c>
      <c r="C271" s="6" t="s">
        <v>1304</v>
      </c>
      <c r="D271" s="6" t="s">
        <v>1305</v>
      </c>
      <c r="E271" s="6" t="s">
        <v>1306</v>
      </c>
      <c r="F271" s="6" t="s">
        <v>1307</v>
      </c>
      <c r="G271" s="6" t="s">
        <v>1308</v>
      </c>
      <c r="H271" s="6" t="s">
        <v>1682</v>
      </c>
      <c r="I271" s="6">
        <v>55.34</v>
      </c>
      <c r="J271" s="6">
        <v>0</v>
      </c>
      <c r="K271" s="6">
        <v>1</v>
      </c>
      <c r="L271" s="6" t="s">
        <v>2306</v>
      </c>
      <c r="M271" s="6" t="e">
        <f>VLOOKUP(L271,'Nov Inv Recon'!H:H,1,FALSE)</f>
        <v>#N/A</v>
      </c>
      <c r="N271" s="6" t="e">
        <f>VLOOKUP(L271,VictoryHeitrich!D:D,1,FALSE)</f>
        <v>#N/A</v>
      </c>
      <c r="O271" s="6" t="s">
        <v>668</v>
      </c>
      <c r="P271" s="6" t="s">
        <v>1311</v>
      </c>
      <c r="Q271" s="6" t="s">
        <v>2679</v>
      </c>
      <c r="S271" s="6" t="s">
        <v>48</v>
      </c>
      <c r="T271" s="6" t="s">
        <v>49</v>
      </c>
      <c r="U271" s="6" t="s">
        <v>1313</v>
      </c>
      <c r="V271" s="6" t="s">
        <v>1314</v>
      </c>
      <c r="W271" s="6">
        <v>2025</v>
      </c>
      <c r="X271" s="6">
        <v>11</v>
      </c>
      <c r="Y271" s="6" t="s">
        <v>1315</v>
      </c>
      <c r="Z271" s="6">
        <v>2025</v>
      </c>
      <c r="AA271" s="6" t="s">
        <v>1316</v>
      </c>
      <c r="AB271" s="6" t="str">
        <f>VLOOKUP(S271,Mapping!A:C,3,FALSE)</f>
        <v>Primary</v>
      </c>
    </row>
    <row r="272" spans="1:28" x14ac:dyDescent="0.35">
      <c r="A272" s="6" t="s">
        <v>1302</v>
      </c>
      <c r="B272" s="6" t="s">
        <v>1303</v>
      </c>
      <c r="C272" s="6" t="s">
        <v>1304</v>
      </c>
      <c r="D272" s="6" t="s">
        <v>1305</v>
      </c>
      <c r="E272" s="6" t="s">
        <v>1306</v>
      </c>
      <c r="F272" s="6" t="s">
        <v>1307</v>
      </c>
      <c r="G272" s="6" t="s">
        <v>1308</v>
      </c>
      <c r="H272" s="6" t="s">
        <v>1632</v>
      </c>
      <c r="I272" s="6">
        <v>110.28</v>
      </c>
      <c r="J272" s="6">
        <v>0</v>
      </c>
      <c r="K272" s="6">
        <v>1</v>
      </c>
      <c r="L272" s="6" t="s">
        <v>2316</v>
      </c>
      <c r="M272" s="6" t="e">
        <f>VLOOKUP(L272,'Nov Inv Recon'!H:H,1,FALSE)</f>
        <v>#N/A</v>
      </c>
      <c r="N272" s="6" t="e">
        <f>VLOOKUP(L272,VictoryHeitrich!D:D,1,FALSE)</f>
        <v>#N/A</v>
      </c>
      <c r="O272" s="6" t="s">
        <v>560</v>
      </c>
      <c r="P272" s="6" t="s">
        <v>1311</v>
      </c>
      <c r="Q272" s="6" t="s">
        <v>2679</v>
      </c>
      <c r="S272" s="6" t="s">
        <v>48</v>
      </c>
      <c r="T272" s="6" t="s">
        <v>49</v>
      </c>
      <c r="U272" s="6" t="s">
        <v>1313</v>
      </c>
      <c r="V272" s="6" t="s">
        <v>1314</v>
      </c>
      <c r="W272" s="6">
        <v>2025</v>
      </c>
      <c r="X272" s="6">
        <v>11</v>
      </c>
      <c r="Y272" s="6" t="s">
        <v>1315</v>
      </c>
      <c r="Z272" s="6">
        <v>2025</v>
      </c>
      <c r="AA272" s="6" t="s">
        <v>1316</v>
      </c>
      <c r="AB272" s="6" t="str">
        <f>VLOOKUP(S272,Mapping!A:C,3,FALSE)</f>
        <v>Primary</v>
      </c>
    </row>
    <row r="273" spans="1:28" x14ac:dyDescent="0.35">
      <c r="A273" s="6" t="s">
        <v>1302</v>
      </c>
      <c r="B273" s="6" t="s">
        <v>1303</v>
      </c>
      <c r="C273" s="6" t="s">
        <v>1304</v>
      </c>
      <c r="D273" s="6" t="s">
        <v>1305</v>
      </c>
      <c r="E273" s="6" t="s">
        <v>1306</v>
      </c>
      <c r="F273" s="6" t="s">
        <v>1307</v>
      </c>
      <c r="G273" s="6" t="s">
        <v>1308</v>
      </c>
      <c r="H273" s="6" t="s">
        <v>1752</v>
      </c>
      <c r="I273" s="6">
        <v>0</v>
      </c>
      <c r="J273" s="6">
        <v>337.95</v>
      </c>
      <c r="K273" s="6">
        <v>1</v>
      </c>
      <c r="L273" s="6" t="s">
        <v>2293</v>
      </c>
      <c r="M273" s="6" t="e">
        <f>VLOOKUP(L273,'Nov Inv Recon'!H:H,1,FALSE)</f>
        <v>#N/A</v>
      </c>
      <c r="N273" s="6" t="e">
        <f>VLOOKUP(L273,VictoryHeitrich!D:D,1,FALSE)</f>
        <v>#N/A</v>
      </c>
      <c r="O273" s="6" t="s">
        <v>752</v>
      </c>
      <c r="P273" s="6" t="s">
        <v>1311</v>
      </c>
      <c r="Q273" s="6" t="s">
        <v>2681</v>
      </c>
      <c r="R273" s="6" t="s">
        <v>2681</v>
      </c>
      <c r="S273" s="6" t="s">
        <v>48</v>
      </c>
      <c r="T273" s="6" t="s">
        <v>49</v>
      </c>
      <c r="U273" s="6" t="s">
        <v>1313</v>
      </c>
      <c r="V273" s="6" t="s">
        <v>1314</v>
      </c>
      <c r="W273" s="6">
        <v>2025</v>
      </c>
      <c r="X273" s="6">
        <v>11</v>
      </c>
      <c r="Y273" s="6" t="s">
        <v>1315</v>
      </c>
      <c r="Z273" s="6">
        <v>2025</v>
      </c>
      <c r="AA273" s="6" t="s">
        <v>1316</v>
      </c>
      <c r="AB273" s="6" t="str">
        <f>VLOOKUP(S273,Mapping!A:C,3,FALSE)</f>
        <v>Primary</v>
      </c>
    </row>
    <row r="274" spans="1:28" x14ac:dyDescent="0.35">
      <c r="A274" s="6" t="s">
        <v>1302</v>
      </c>
      <c r="B274" s="6" t="s">
        <v>1303</v>
      </c>
      <c r="C274" s="6" t="s">
        <v>1304</v>
      </c>
      <c r="D274" s="6" t="s">
        <v>1305</v>
      </c>
      <c r="E274" s="6" t="s">
        <v>1306</v>
      </c>
      <c r="F274" s="6" t="s">
        <v>1307</v>
      </c>
      <c r="G274" s="6" t="s">
        <v>1308</v>
      </c>
      <c r="H274" s="6" t="s">
        <v>1632</v>
      </c>
      <c r="I274" s="6">
        <v>429.88</v>
      </c>
      <c r="J274" s="6">
        <v>0</v>
      </c>
      <c r="K274" s="6">
        <v>1</v>
      </c>
      <c r="L274" s="6" t="s">
        <v>2051</v>
      </c>
      <c r="M274" s="6" t="e">
        <f>VLOOKUP(L274,'Nov Inv Recon'!H:H,1,FALSE)</f>
        <v>#N/A</v>
      </c>
      <c r="N274" s="6" t="e">
        <f>VLOOKUP(L274,VictoryHeitrich!D:D,1,FALSE)</f>
        <v>#N/A</v>
      </c>
      <c r="O274" s="6" t="s">
        <v>219</v>
      </c>
      <c r="P274" s="6" t="s">
        <v>1311</v>
      </c>
      <c r="Q274" s="6" t="s">
        <v>2679</v>
      </c>
      <c r="S274" s="6" t="s">
        <v>48</v>
      </c>
      <c r="T274" s="6" t="s">
        <v>49</v>
      </c>
      <c r="U274" s="6" t="s">
        <v>1313</v>
      </c>
      <c r="V274" s="6" t="s">
        <v>1314</v>
      </c>
      <c r="W274" s="6">
        <v>2025</v>
      </c>
      <c r="X274" s="6">
        <v>11</v>
      </c>
      <c r="Y274" s="6" t="s">
        <v>1315</v>
      </c>
      <c r="Z274" s="6">
        <v>2025</v>
      </c>
      <c r="AA274" s="6" t="s">
        <v>1316</v>
      </c>
      <c r="AB274" s="6" t="str">
        <f>VLOOKUP(S274,Mapping!A:C,3,FALSE)</f>
        <v>Primary</v>
      </c>
    </row>
    <row r="275" spans="1:28" x14ac:dyDescent="0.35">
      <c r="A275" s="6" t="s">
        <v>1302</v>
      </c>
      <c r="B275" s="6" t="s">
        <v>1303</v>
      </c>
      <c r="C275" s="6" t="s">
        <v>1304</v>
      </c>
      <c r="D275" s="6" t="s">
        <v>1305</v>
      </c>
      <c r="E275" s="6" t="s">
        <v>1306</v>
      </c>
      <c r="F275" s="6" t="s">
        <v>1307</v>
      </c>
      <c r="G275" s="6" t="s">
        <v>1308</v>
      </c>
      <c r="H275" s="6" t="s">
        <v>1632</v>
      </c>
      <c r="I275" s="6">
        <v>50.68</v>
      </c>
      <c r="J275" s="6">
        <v>0</v>
      </c>
      <c r="K275" s="6">
        <v>1</v>
      </c>
      <c r="L275" s="6" t="s">
        <v>2071</v>
      </c>
      <c r="M275" s="6" t="e">
        <f>VLOOKUP(L275,'Nov Inv Recon'!H:H,1,FALSE)</f>
        <v>#N/A</v>
      </c>
      <c r="N275" s="6" t="e">
        <f>VLOOKUP(L275,VictoryHeitrich!D:D,1,FALSE)</f>
        <v>#N/A</v>
      </c>
      <c r="O275" s="6" t="s">
        <v>217</v>
      </c>
      <c r="P275" s="6" t="s">
        <v>1311</v>
      </c>
      <c r="Q275" s="6" t="s">
        <v>2679</v>
      </c>
      <c r="S275" s="6" t="s">
        <v>48</v>
      </c>
      <c r="T275" s="6" t="s">
        <v>49</v>
      </c>
      <c r="U275" s="6" t="s">
        <v>1313</v>
      </c>
      <c r="V275" s="6" t="s">
        <v>1314</v>
      </c>
      <c r="W275" s="6">
        <v>2025</v>
      </c>
      <c r="X275" s="6">
        <v>11</v>
      </c>
      <c r="Y275" s="6" t="s">
        <v>1315</v>
      </c>
      <c r="Z275" s="6">
        <v>2025</v>
      </c>
      <c r="AA275" s="6" t="s">
        <v>1316</v>
      </c>
      <c r="AB275" s="6" t="str">
        <f>VLOOKUP(S275,Mapping!A:C,3,FALSE)</f>
        <v>Primary</v>
      </c>
    </row>
    <row r="276" spans="1:28" x14ac:dyDescent="0.35">
      <c r="A276" s="6" t="s">
        <v>1302</v>
      </c>
      <c r="B276" s="6" t="s">
        <v>1303</v>
      </c>
      <c r="C276" s="6" t="s">
        <v>1304</v>
      </c>
      <c r="D276" s="6" t="s">
        <v>1305</v>
      </c>
      <c r="E276" s="6" t="s">
        <v>1306</v>
      </c>
      <c r="F276" s="6" t="s">
        <v>1307</v>
      </c>
      <c r="G276" s="6" t="s">
        <v>1308</v>
      </c>
      <c r="H276" s="6" t="s">
        <v>1897</v>
      </c>
      <c r="I276" s="6">
        <v>0</v>
      </c>
      <c r="J276" s="6">
        <v>322.92</v>
      </c>
      <c r="K276" s="6">
        <v>1</v>
      </c>
      <c r="L276" s="6" t="s">
        <v>2260</v>
      </c>
      <c r="M276" s="6" t="e">
        <f>VLOOKUP(L276,'Nov Inv Recon'!H:H,1,FALSE)</f>
        <v>#N/A</v>
      </c>
      <c r="N276" s="6" t="e">
        <f>VLOOKUP(L276,VictoryHeitrich!D:D,1,FALSE)</f>
        <v>#N/A</v>
      </c>
      <c r="O276" s="6" t="s">
        <v>747</v>
      </c>
      <c r="P276" s="6" t="s">
        <v>1311</v>
      </c>
      <c r="Q276" s="6" t="s">
        <v>2682</v>
      </c>
      <c r="R276" s="6" t="s">
        <v>2682</v>
      </c>
      <c r="S276" s="6" t="s">
        <v>48</v>
      </c>
      <c r="T276" s="6" t="s">
        <v>49</v>
      </c>
      <c r="U276" s="6" t="s">
        <v>1313</v>
      </c>
      <c r="V276" s="6" t="s">
        <v>1314</v>
      </c>
      <c r="W276" s="6">
        <v>2025</v>
      </c>
      <c r="X276" s="6">
        <v>11</v>
      </c>
      <c r="Y276" s="6" t="s">
        <v>1315</v>
      </c>
      <c r="Z276" s="6">
        <v>2025</v>
      </c>
      <c r="AA276" s="6" t="s">
        <v>1316</v>
      </c>
      <c r="AB276" s="6" t="str">
        <f>VLOOKUP(S276,Mapping!A:C,3,FALSE)</f>
        <v>Primary</v>
      </c>
    </row>
    <row r="277" spans="1:28" x14ac:dyDescent="0.35">
      <c r="A277" s="6" t="s">
        <v>1302</v>
      </c>
      <c r="B277" s="6" t="s">
        <v>1303</v>
      </c>
      <c r="C277" s="6" t="s">
        <v>1304</v>
      </c>
      <c r="D277" s="6" t="s">
        <v>1305</v>
      </c>
      <c r="E277" s="6" t="s">
        <v>1306</v>
      </c>
      <c r="F277" s="6" t="s">
        <v>1307</v>
      </c>
      <c r="G277" s="6" t="s">
        <v>1308</v>
      </c>
      <c r="H277" s="6" t="s">
        <v>1728</v>
      </c>
      <c r="I277" s="6">
        <v>0</v>
      </c>
      <c r="J277" s="6">
        <v>299</v>
      </c>
      <c r="K277" s="6">
        <v>1</v>
      </c>
      <c r="L277" s="6" t="s">
        <v>2268</v>
      </c>
      <c r="M277" s="6" t="e">
        <f>VLOOKUP(L277,'Nov Inv Recon'!H:H,1,FALSE)</f>
        <v>#N/A</v>
      </c>
      <c r="N277" s="6" t="e">
        <f>VLOOKUP(L277,VictoryHeitrich!D:D,1,FALSE)</f>
        <v>#N/A</v>
      </c>
      <c r="O277" s="6" t="s">
        <v>475</v>
      </c>
      <c r="P277" s="6" t="s">
        <v>1311</v>
      </c>
      <c r="Q277" s="6" t="s">
        <v>2683</v>
      </c>
      <c r="R277" s="6" t="s">
        <v>2683</v>
      </c>
      <c r="S277" s="6" t="s">
        <v>48</v>
      </c>
      <c r="T277" s="6" t="s">
        <v>49</v>
      </c>
      <c r="U277" s="6" t="s">
        <v>1313</v>
      </c>
      <c r="V277" s="6" t="s">
        <v>1314</v>
      </c>
      <c r="W277" s="6">
        <v>2025</v>
      </c>
      <c r="X277" s="6">
        <v>11</v>
      </c>
      <c r="Y277" s="6" t="s">
        <v>1315</v>
      </c>
      <c r="Z277" s="6">
        <v>2025</v>
      </c>
      <c r="AA277" s="6" t="s">
        <v>1316</v>
      </c>
      <c r="AB277" s="6" t="str">
        <f>VLOOKUP(S277,Mapping!A:C,3,FALSE)</f>
        <v>Primary</v>
      </c>
    </row>
    <row r="278" spans="1:28" x14ac:dyDescent="0.35">
      <c r="A278" s="6" t="s">
        <v>1302</v>
      </c>
      <c r="B278" s="6" t="s">
        <v>1303</v>
      </c>
      <c r="C278" s="6" t="s">
        <v>1304</v>
      </c>
      <c r="D278" s="6" t="s">
        <v>1305</v>
      </c>
      <c r="E278" s="6" t="s">
        <v>1306</v>
      </c>
      <c r="F278" s="6" t="s">
        <v>1307</v>
      </c>
      <c r="G278" s="6" t="s">
        <v>1308</v>
      </c>
      <c r="H278" s="6" t="s">
        <v>1842</v>
      </c>
      <c r="I278" s="6">
        <v>293.7</v>
      </c>
      <c r="J278" s="6">
        <v>0</v>
      </c>
      <c r="K278" s="6">
        <v>1</v>
      </c>
      <c r="L278" s="6" t="s">
        <v>2239</v>
      </c>
      <c r="M278" s="6" t="e">
        <f>VLOOKUP(L278,'Nov Inv Recon'!H:H,1,FALSE)</f>
        <v>#N/A</v>
      </c>
      <c r="N278" s="6" t="e">
        <f>VLOOKUP(L278,VictoryHeitrich!D:D,1,FALSE)</f>
        <v>#N/A</v>
      </c>
      <c r="O278" s="6" t="s">
        <v>783</v>
      </c>
      <c r="P278" s="6" t="s">
        <v>1311</v>
      </c>
      <c r="Q278" s="6" t="s">
        <v>2679</v>
      </c>
      <c r="S278" s="6" t="s">
        <v>48</v>
      </c>
      <c r="T278" s="6" t="s">
        <v>49</v>
      </c>
      <c r="U278" s="6" t="s">
        <v>1313</v>
      </c>
      <c r="V278" s="6" t="s">
        <v>1314</v>
      </c>
      <c r="W278" s="6">
        <v>2025</v>
      </c>
      <c r="X278" s="6">
        <v>11</v>
      </c>
      <c r="Y278" s="6" t="s">
        <v>1315</v>
      </c>
      <c r="Z278" s="6">
        <v>2025</v>
      </c>
      <c r="AA278" s="6" t="s">
        <v>1316</v>
      </c>
      <c r="AB278" s="6" t="str">
        <f>VLOOKUP(S278,Mapping!A:C,3,FALSE)</f>
        <v>Primary</v>
      </c>
    </row>
    <row r="279" spans="1:28" x14ac:dyDescent="0.35">
      <c r="A279" s="6" t="s">
        <v>1302</v>
      </c>
      <c r="B279" s="6" t="s">
        <v>1303</v>
      </c>
      <c r="C279" s="6" t="s">
        <v>1304</v>
      </c>
      <c r="D279" s="6" t="s">
        <v>1305</v>
      </c>
      <c r="E279" s="6" t="s">
        <v>1306</v>
      </c>
      <c r="F279" s="6" t="s">
        <v>1307</v>
      </c>
      <c r="G279" s="6" t="s">
        <v>1308</v>
      </c>
      <c r="H279" s="6" t="s">
        <v>2684</v>
      </c>
      <c r="I279" s="6">
        <v>0</v>
      </c>
      <c r="J279" s="6">
        <v>299</v>
      </c>
      <c r="K279" s="6">
        <v>1</v>
      </c>
      <c r="L279" s="6" t="s">
        <v>2209</v>
      </c>
      <c r="M279" s="6" t="e">
        <f>VLOOKUP(L279,'Nov Inv Recon'!H:H,1,FALSE)</f>
        <v>#N/A</v>
      </c>
      <c r="N279" s="6" t="e">
        <f>VLOOKUP(L279,VictoryHeitrich!D:D,1,FALSE)</f>
        <v>#N/A</v>
      </c>
      <c r="O279" s="6" t="s">
        <v>640</v>
      </c>
      <c r="P279" s="6" t="s">
        <v>1311</v>
      </c>
      <c r="Q279" s="6" t="s">
        <v>2685</v>
      </c>
      <c r="R279" s="6" t="s">
        <v>2685</v>
      </c>
      <c r="S279" s="6" t="s">
        <v>48</v>
      </c>
      <c r="T279" s="6" t="s">
        <v>49</v>
      </c>
      <c r="U279" s="6" t="s">
        <v>1313</v>
      </c>
      <c r="V279" s="6" t="s">
        <v>1314</v>
      </c>
      <c r="W279" s="6">
        <v>2025</v>
      </c>
      <c r="X279" s="6">
        <v>11</v>
      </c>
      <c r="Y279" s="6" t="s">
        <v>1315</v>
      </c>
      <c r="Z279" s="6">
        <v>2025</v>
      </c>
      <c r="AA279" s="6" t="s">
        <v>1316</v>
      </c>
      <c r="AB279" s="6" t="str">
        <f>VLOOKUP(S279,Mapping!A:C,3,FALSE)</f>
        <v>Primary</v>
      </c>
    </row>
    <row r="280" spans="1:28" x14ac:dyDescent="0.35">
      <c r="A280" s="6" t="s">
        <v>1302</v>
      </c>
      <c r="B280" s="6" t="s">
        <v>1303</v>
      </c>
      <c r="C280" s="6" t="s">
        <v>1304</v>
      </c>
      <c r="D280" s="6" t="s">
        <v>1305</v>
      </c>
      <c r="E280" s="6" t="s">
        <v>1306</v>
      </c>
      <c r="F280" s="6" t="s">
        <v>1307</v>
      </c>
      <c r="G280" s="6" t="s">
        <v>1308</v>
      </c>
      <c r="H280" s="6" t="s">
        <v>1632</v>
      </c>
      <c r="I280" s="6">
        <v>0</v>
      </c>
      <c r="J280" s="6">
        <v>371.18</v>
      </c>
      <c r="K280" s="6">
        <v>1</v>
      </c>
      <c r="L280" s="6" t="s">
        <v>2252</v>
      </c>
      <c r="M280" s="6" t="e">
        <f>VLOOKUP(L280,'Nov Inv Recon'!H:H,1,FALSE)</f>
        <v>#N/A</v>
      </c>
      <c r="N280" s="6" t="e">
        <f>VLOOKUP(L280,VictoryHeitrich!D:D,1,FALSE)</f>
        <v>#N/A</v>
      </c>
      <c r="O280" s="6" t="s">
        <v>805</v>
      </c>
      <c r="P280" s="6" t="s">
        <v>1311</v>
      </c>
      <c r="Q280" s="6" t="s">
        <v>2686</v>
      </c>
      <c r="R280" s="6" t="s">
        <v>2686</v>
      </c>
      <c r="S280" s="6" t="s">
        <v>48</v>
      </c>
      <c r="T280" s="6" t="s">
        <v>49</v>
      </c>
      <c r="U280" s="6" t="s">
        <v>1313</v>
      </c>
      <c r="V280" s="6" t="s">
        <v>1314</v>
      </c>
      <c r="W280" s="6">
        <v>2025</v>
      </c>
      <c r="X280" s="6">
        <v>11</v>
      </c>
      <c r="Y280" s="6" t="s">
        <v>1315</v>
      </c>
      <c r="Z280" s="6">
        <v>2025</v>
      </c>
      <c r="AA280" s="6" t="s">
        <v>1316</v>
      </c>
      <c r="AB280" s="6" t="str">
        <f>VLOOKUP(S280,Mapping!A:C,3,FALSE)</f>
        <v>Primary</v>
      </c>
    </row>
    <row r="281" spans="1:28" x14ac:dyDescent="0.35">
      <c r="A281" s="6" t="s">
        <v>1302</v>
      </c>
      <c r="B281" s="6" t="s">
        <v>1303</v>
      </c>
      <c r="C281" s="6" t="s">
        <v>1304</v>
      </c>
      <c r="D281" s="6" t="s">
        <v>1305</v>
      </c>
      <c r="E281" s="6" t="s">
        <v>1306</v>
      </c>
      <c r="F281" s="6" t="s">
        <v>1307</v>
      </c>
      <c r="G281" s="6" t="s">
        <v>1308</v>
      </c>
      <c r="H281" s="6" t="s">
        <v>2526</v>
      </c>
      <c r="I281" s="6">
        <v>0</v>
      </c>
      <c r="J281" s="6">
        <v>299</v>
      </c>
      <c r="K281" s="6">
        <v>1</v>
      </c>
      <c r="L281" s="6" t="s">
        <v>2040</v>
      </c>
      <c r="M281" s="6" t="e">
        <f>VLOOKUP(L281,'Nov Inv Recon'!H:H,1,FALSE)</f>
        <v>#N/A</v>
      </c>
      <c r="N281" s="6" t="e">
        <f>VLOOKUP(L281,VictoryHeitrich!D:D,1,FALSE)</f>
        <v>#N/A</v>
      </c>
      <c r="O281" s="6" t="s">
        <v>470</v>
      </c>
      <c r="P281" s="6" t="s">
        <v>1311</v>
      </c>
      <c r="Q281" s="6" t="s">
        <v>2687</v>
      </c>
      <c r="R281" s="6" t="s">
        <v>2687</v>
      </c>
      <c r="S281" s="6" t="s">
        <v>48</v>
      </c>
      <c r="T281" s="6" t="s">
        <v>49</v>
      </c>
      <c r="U281" s="6" t="s">
        <v>1313</v>
      </c>
      <c r="V281" s="6" t="s">
        <v>1314</v>
      </c>
      <c r="W281" s="6">
        <v>2025</v>
      </c>
      <c r="X281" s="6">
        <v>11</v>
      </c>
      <c r="Y281" s="6" t="s">
        <v>1315</v>
      </c>
      <c r="Z281" s="6">
        <v>2025</v>
      </c>
      <c r="AA281" s="6" t="s">
        <v>1316</v>
      </c>
      <c r="AB281" s="6" t="str">
        <f>VLOOKUP(S281,Mapping!A:C,3,FALSE)</f>
        <v>Primary</v>
      </c>
    </row>
    <row r="282" spans="1:28" x14ac:dyDescent="0.35">
      <c r="A282" s="6" t="s">
        <v>1302</v>
      </c>
      <c r="B282" s="6" t="s">
        <v>1303</v>
      </c>
      <c r="C282" s="6" t="s">
        <v>1304</v>
      </c>
      <c r="D282" s="6" t="s">
        <v>1305</v>
      </c>
      <c r="E282" s="6" t="s">
        <v>1306</v>
      </c>
      <c r="F282" s="6" t="s">
        <v>1307</v>
      </c>
      <c r="G282" s="6" t="s">
        <v>1308</v>
      </c>
      <c r="H282" s="6" t="s">
        <v>1657</v>
      </c>
      <c r="I282" s="6">
        <v>14.33</v>
      </c>
      <c r="J282" s="6">
        <v>0</v>
      </c>
      <c r="K282" s="6">
        <v>1</v>
      </c>
      <c r="L282" s="6" t="s">
        <v>2097</v>
      </c>
      <c r="M282" s="6" t="e">
        <f>VLOOKUP(L282,'Nov Inv Recon'!H:H,1,FALSE)</f>
        <v>#N/A</v>
      </c>
      <c r="N282" s="6" t="e">
        <f>VLOOKUP(L282,VictoryHeitrich!D:D,1,FALSE)</f>
        <v>#N/A</v>
      </c>
      <c r="O282" s="6" t="s">
        <v>943</v>
      </c>
      <c r="P282" s="6" t="s">
        <v>1311</v>
      </c>
      <c r="Q282" s="6" t="s">
        <v>2679</v>
      </c>
      <c r="S282" s="6" t="s">
        <v>48</v>
      </c>
      <c r="T282" s="6" t="s">
        <v>49</v>
      </c>
      <c r="U282" s="6" t="s">
        <v>1313</v>
      </c>
      <c r="V282" s="6" t="s">
        <v>1314</v>
      </c>
      <c r="W282" s="6">
        <v>2025</v>
      </c>
      <c r="X282" s="6">
        <v>11</v>
      </c>
      <c r="Y282" s="6" t="s">
        <v>1315</v>
      </c>
      <c r="Z282" s="6">
        <v>2025</v>
      </c>
      <c r="AA282" s="6" t="s">
        <v>1316</v>
      </c>
      <c r="AB282" s="6" t="str">
        <f>VLOOKUP(S282,Mapping!A:C,3,FALSE)</f>
        <v>Primary</v>
      </c>
    </row>
    <row r="283" spans="1:28" x14ac:dyDescent="0.35">
      <c r="A283" s="6" t="s">
        <v>1302</v>
      </c>
      <c r="B283" s="6" t="s">
        <v>1303</v>
      </c>
      <c r="C283" s="6" t="s">
        <v>1304</v>
      </c>
      <c r="D283" s="6" t="s">
        <v>1305</v>
      </c>
      <c r="E283" s="6" t="s">
        <v>1306</v>
      </c>
      <c r="F283" s="6" t="s">
        <v>1307</v>
      </c>
      <c r="G283" s="6" t="s">
        <v>1308</v>
      </c>
      <c r="H283" s="6" t="s">
        <v>1752</v>
      </c>
      <c r="I283" s="6">
        <v>403.97</v>
      </c>
      <c r="J283" s="6">
        <v>0</v>
      </c>
      <c r="K283" s="6">
        <v>1</v>
      </c>
      <c r="L283" s="6" t="s">
        <v>2356</v>
      </c>
      <c r="M283" s="6" t="e">
        <f>VLOOKUP(L283,'Nov Inv Recon'!H:H,1,FALSE)</f>
        <v>#N/A</v>
      </c>
      <c r="N283" s="6" t="e">
        <f>VLOOKUP(L283,VictoryHeitrich!D:D,1,FALSE)</f>
        <v>#N/A</v>
      </c>
      <c r="O283" s="6" t="s">
        <v>2357</v>
      </c>
      <c r="P283" s="6" t="s">
        <v>1311</v>
      </c>
      <c r="Q283" s="6" t="s">
        <v>2679</v>
      </c>
      <c r="S283" s="6" t="s">
        <v>48</v>
      </c>
      <c r="T283" s="6" t="s">
        <v>49</v>
      </c>
      <c r="U283" s="6" t="s">
        <v>1313</v>
      </c>
      <c r="V283" s="6" t="s">
        <v>1314</v>
      </c>
      <c r="W283" s="6">
        <v>2025</v>
      </c>
      <c r="X283" s="6">
        <v>11</v>
      </c>
      <c r="Y283" s="6" t="s">
        <v>1315</v>
      </c>
      <c r="Z283" s="6">
        <v>2025</v>
      </c>
      <c r="AA283" s="6" t="s">
        <v>1316</v>
      </c>
      <c r="AB283" s="6" t="str">
        <f>VLOOKUP(S283,Mapping!A:C,3,FALSE)</f>
        <v>Primary</v>
      </c>
    </row>
    <row r="284" spans="1:28" x14ac:dyDescent="0.35">
      <c r="A284" s="6" t="s">
        <v>1302</v>
      </c>
      <c r="B284" s="6" t="s">
        <v>1303</v>
      </c>
      <c r="C284" s="6" t="s">
        <v>1304</v>
      </c>
      <c r="D284" s="6" t="s">
        <v>1305</v>
      </c>
      <c r="E284" s="6" t="s">
        <v>1306</v>
      </c>
      <c r="F284" s="6" t="s">
        <v>1307</v>
      </c>
      <c r="G284" s="6" t="s">
        <v>1308</v>
      </c>
      <c r="H284" s="6" t="s">
        <v>2425</v>
      </c>
      <c r="I284" s="6">
        <v>0</v>
      </c>
      <c r="J284" s="6">
        <v>299</v>
      </c>
      <c r="K284" s="6">
        <v>1</v>
      </c>
      <c r="L284" s="6" t="s">
        <v>2088</v>
      </c>
      <c r="M284" s="6" t="e">
        <f>VLOOKUP(L284,'Nov Inv Recon'!H:H,1,FALSE)</f>
        <v>#N/A</v>
      </c>
      <c r="N284" s="6" t="e">
        <f>VLOOKUP(L284,VictoryHeitrich!D:D,1,FALSE)</f>
        <v>#N/A</v>
      </c>
      <c r="O284" s="6" t="s">
        <v>638</v>
      </c>
      <c r="P284" s="6" t="s">
        <v>1311</v>
      </c>
      <c r="Q284" s="6" t="s">
        <v>2688</v>
      </c>
      <c r="R284" s="6" t="s">
        <v>2688</v>
      </c>
      <c r="S284" s="6" t="s">
        <v>48</v>
      </c>
      <c r="T284" s="6" t="s">
        <v>49</v>
      </c>
      <c r="U284" s="6" t="s">
        <v>1313</v>
      </c>
      <c r="V284" s="6" t="s">
        <v>1314</v>
      </c>
      <c r="W284" s="6">
        <v>2025</v>
      </c>
      <c r="X284" s="6">
        <v>11</v>
      </c>
      <c r="Y284" s="6" t="s">
        <v>1315</v>
      </c>
      <c r="Z284" s="6">
        <v>2025</v>
      </c>
      <c r="AA284" s="6" t="s">
        <v>1316</v>
      </c>
      <c r="AB284" s="6" t="str">
        <f>VLOOKUP(S284,Mapping!A:C,3,FALSE)</f>
        <v>Primary</v>
      </c>
    </row>
    <row r="285" spans="1:28" x14ac:dyDescent="0.35">
      <c r="A285" s="6" t="s">
        <v>1302</v>
      </c>
      <c r="B285" s="6" t="s">
        <v>1303</v>
      </c>
      <c r="C285" s="6" t="s">
        <v>1304</v>
      </c>
      <c r="D285" s="6" t="s">
        <v>1305</v>
      </c>
      <c r="E285" s="6" t="s">
        <v>1306</v>
      </c>
      <c r="F285" s="6" t="s">
        <v>1307</v>
      </c>
      <c r="G285" s="6" t="s">
        <v>1308</v>
      </c>
      <c r="H285" s="6" t="s">
        <v>1309</v>
      </c>
      <c r="I285" s="6">
        <v>0</v>
      </c>
      <c r="J285" s="6">
        <v>319</v>
      </c>
      <c r="K285" s="6">
        <v>1</v>
      </c>
      <c r="L285" s="6" t="s">
        <v>2073</v>
      </c>
      <c r="M285" s="6" t="e">
        <f>VLOOKUP(L285,'Nov Inv Recon'!H:H,1,FALSE)</f>
        <v>#N/A</v>
      </c>
      <c r="N285" s="6" t="e">
        <f>VLOOKUP(L285,VictoryHeitrich!D:D,1,FALSE)</f>
        <v>#N/A</v>
      </c>
      <c r="O285" s="6" t="s">
        <v>197</v>
      </c>
      <c r="P285" s="6" t="s">
        <v>1311</v>
      </c>
      <c r="Q285" s="6" t="s">
        <v>2689</v>
      </c>
      <c r="R285" s="6" t="s">
        <v>2689</v>
      </c>
      <c r="S285" s="6" t="s">
        <v>48</v>
      </c>
      <c r="T285" s="6" t="s">
        <v>49</v>
      </c>
      <c r="U285" s="6" t="s">
        <v>1313</v>
      </c>
      <c r="V285" s="6" t="s">
        <v>1314</v>
      </c>
      <c r="W285" s="6">
        <v>2025</v>
      </c>
      <c r="X285" s="6">
        <v>11</v>
      </c>
      <c r="Y285" s="6" t="s">
        <v>1315</v>
      </c>
      <c r="Z285" s="6">
        <v>2025</v>
      </c>
      <c r="AA285" s="6" t="s">
        <v>1316</v>
      </c>
      <c r="AB285" s="6" t="str">
        <f>VLOOKUP(S285,Mapping!A:C,3,FALSE)</f>
        <v>Primary</v>
      </c>
    </row>
    <row r="286" spans="1:28" x14ac:dyDescent="0.35">
      <c r="A286" s="6" t="s">
        <v>1302</v>
      </c>
      <c r="B286" s="6" t="s">
        <v>1303</v>
      </c>
      <c r="C286" s="6" t="s">
        <v>1304</v>
      </c>
      <c r="D286" s="6" t="s">
        <v>1305</v>
      </c>
      <c r="E286" s="6" t="s">
        <v>1306</v>
      </c>
      <c r="F286" s="6" t="s">
        <v>1307</v>
      </c>
      <c r="G286" s="6" t="s">
        <v>1308</v>
      </c>
      <c r="H286" s="6" t="s">
        <v>1657</v>
      </c>
      <c r="I286" s="6">
        <v>181.28</v>
      </c>
      <c r="J286" s="6">
        <v>0</v>
      </c>
      <c r="K286" s="6">
        <v>1</v>
      </c>
      <c r="L286" s="6" t="s">
        <v>2166</v>
      </c>
      <c r="M286" s="6" t="e">
        <f>VLOOKUP(L286,'Nov Inv Recon'!H:H,1,FALSE)</f>
        <v>#N/A</v>
      </c>
      <c r="N286" s="6" t="e">
        <f>VLOOKUP(L286,VictoryHeitrich!D:D,1,FALSE)</f>
        <v>#N/A</v>
      </c>
      <c r="O286" s="6" t="s">
        <v>923</v>
      </c>
      <c r="P286" s="6" t="s">
        <v>1311</v>
      </c>
      <c r="Q286" s="6" t="s">
        <v>2679</v>
      </c>
      <c r="S286" s="6" t="s">
        <v>48</v>
      </c>
      <c r="T286" s="6" t="s">
        <v>49</v>
      </c>
      <c r="U286" s="6" t="s">
        <v>1313</v>
      </c>
      <c r="V286" s="6" t="s">
        <v>1314</v>
      </c>
      <c r="W286" s="6">
        <v>2025</v>
      </c>
      <c r="X286" s="6">
        <v>11</v>
      </c>
      <c r="Y286" s="6" t="s">
        <v>1315</v>
      </c>
      <c r="Z286" s="6">
        <v>2025</v>
      </c>
      <c r="AA286" s="6" t="s">
        <v>1316</v>
      </c>
      <c r="AB286" s="6" t="str">
        <f>VLOOKUP(S286,Mapping!A:C,3,FALSE)</f>
        <v>Primary</v>
      </c>
    </row>
    <row r="287" spans="1:28" x14ac:dyDescent="0.35">
      <c r="A287" s="6" t="s">
        <v>1302</v>
      </c>
      <c r="B287" s="6" t="s">
        <v>1303</v>
      </c>
      <c r="C287" s="6" t="s">
        <v>1304</v>
      </c>
      <c r="D287" s="6" t="s">
        <v>1305</v>
      </c>
      <c r="E287" s="6" t="s">
        <v>1306</v>
      </c>
      <c r="F287" s="6" t="s">
        <v>1307</v>
      </c>
      <c r="G287" s="6" t="s">
        <v>1308</v>
      </c>
      <c r="H287" s="6" t="s">
        <v>1728</v>
      </c>
      <c r="I287" s="6">
        <v>177.13</v>
      </c>
      <c r="J287" s="6">
        <v>0</v>
      </c>
      <c r="K287" s="6">
        <v>1</v>
      </c>
      <c r="L287" s="6" t="s">
        <v>2161</v>
      </c>
      <c r="M287" s="6" t="e">
        <f>VLOOKUP(L287,'Nov Inv Recon'!H:H,1,FALSE)</f>
        <v>#N/A</v>
      </c>
      <c r="N287" s="6" t="e">
        <f>VLOOKUP(L287,VictoryHeitrich!D:D,1,FALSE)</f>
        <v>#N/A</v>
      </c>
      <c r="O287" s="6" t="s">
        <v>799</v>
      </c>
      <c r="P287" s="6" t="s">
        <v>1311</v>
      </c>
      <c r="Q287" s="6" t="s">
        <v>2679</v>
      </c>
      <c r="S287" s="6" t="s">
        <v>48</v>
      </c>
      <c r="T287" s="6" t="s">
        <v>49</v>
      </c>
      <c r="U287" s="6" t="s">
        <v>1313</v>
      </c>
      <c r="V287" s="6" t="s">
        <v>1314</v>
      </c>
      <c r="W287" s="6">
        <v>2025</v>
      </c>
      <c r="X287" s="6">
        <v>11</v>
      </c>
      <c r="Y287" s="6" t="s">
        <v>1315</v>
      </c>
      <c r="Z287" s="6">
        <v>2025</v>
      </c>
      <c r="AA287" s="6" t="s">
        <v>1316</v>
      </c>
      <c r="AB287" s="6" t="str">
        <f>VLOOKUP(S287,Mapping!A:C,3,FALSE)</f>
        <v>Primary</v>
      </c>
    </row>
    <row r="288" spans="1:28" x14ac:dyDescent="0.35">
      <c r="A288" s="6" t="s">
        <v>1302</v>
      </c>
      <c r="B288" s="6" t="s">
        <v>1303</v>
      </c>
      <c r="C288" s="6" t="s">
        <v>1304</v>
      </c>
      <c r="D288" s="6" t="s">
        <v>1305</v>
      </c>
      <c r="E288" s="6" t="s">
        <v>1306</v>
      </c>
      <c r="F288" s="6" t="s">
        <v>1307</v>
      </c>
      <c r="G288" s="6" t="s">
        <v>1308</v>
      </c>
      <c r="H288" s="6" t="s">
        <v>1897</v>
      </c>
      <c r="I288" s="6">
        <v>243.99</v>
      </c>
      <c r="J288" s="6">
        <v>0</v>
      </c>
      <c r="K288" s="6">
        <v>1</v>
      </c>
      <c r="L288" s="6" t="s">
        <v>2260</v>
      </c>
      <c r="M288" s="6" t="e">
        <f>VLOOKUP(L288,'Nov Inv Recon'!H:H,1,FALSE)</f>
        <v>#N/A</v>
      </c>
      <c r="N288" s="6" t="e">
        <f>VLOOKUP(L288,VictoryHeitrich!D:D,1,FALSE)</f>
        <v>#N/A</v>
      </c>
      <c r="O288" s="6" t="s">
        <v>747</v>
      </c>
      <c r="P288" s="6" t="s">
        <v>1311</v>
      </c>
      <c r="Q288" s="6" t="s">
        <v>2679</v>
      </c>
      <c r="S288" s="6" t="s">
        <v>48</v>
      </c>
      <c r="T288" s="6" t="s">
        <v>49</v>
      </c>
      <c r="U288" s="6" t="s">
        <v>1313</v>
      </c>
      <c r="V288" s="6" t="s">
        <v>1314</v>
      </c>
      <c r="W288" s="6">
        <v>2025</v>
      </c>
      <c r="X288" s="6">
        <v>11</v>
      </c>
      <c r="Y288" s="6" t="s">
        <v>1315</v>
      </c>
      <c r="Z288" s="6">
        <v>2025</v>
      </c>
      <c r="AA288" s="6" t="s">
        <v>1316</v>
      </c>
      <c r="AB288" s="6" t="str">
        <f>VLOOKUP(S288,Mapping!A:C,3,FALSE)</f>
        <v>Primary</v>
      </c>
    </row>
    <row r="289" spans="1:28" x14ac:dyDescent="0.35">
      <c r="A289" s="6" t="s">
        <v>1302</v>
      </c>
      <c r="B289" s="6" t="s">
        <v>1303</v>
      </c>
      <c r="C289" s="6" t="s">
        <v>1304</v>
      </c>
      <c r="D289" s="6" t="s">
        <v>1305</v>
      </c>
      <c r="E289" s="6" t="s">
        <v>1306</v>
      </c>
      <c r="F289" s="6" t="s">
        <v>1307</v>
      </c>
      <c r="G289" s="6" t="s">
        <v>1308</v>
      </c>
      <c r="H289" s="6" t="s">
        <v>2528</v>
      </c>
      <c r="I289" s="6">
        <v>0</v>
      </c>
      <c r="J289" s="6">
        <v>350.37</v>
      </c>
      <c r="K289" s="6">
        <v>1</v>
      </c>
      <c r="L289" s="6" t="s">
        <v>2263</v>
      </c>
      <c r="M289" s="6" t="e">
        <f>VLOOKUP(L289,'Nov Inv Recon'!H:H,1,FALSE)</f>
        <v>#N/A</v>
      </c>
      <c r="N289" s="6" t="e">
        <f>VLOOKUP(L289,VictoryHeitrich!D:D,1,FALSE)</f>
        <v>#N/A</v>
      </c>
      <c r="O289" s="6" t="s">
        <v>791</v>
      </c>
      <c r="P289" s="6" t="s">
        <v>1311</v>
      </c>
      <c r="Q289" s="6" t="s">
        <v>2690</v>
      </c>
      <c r="R289" s="6" t="s">
        <v>2690</v>
      </c>
      <c r="S289" s="6" t="s">
        <v>48</v>
      </c>
      <c r="T289" s="6" t="s">
        <v>49</v>
      </c>
      <c r="U289" s="6" t="s">
        <v>1313</v>
      </c>
      <c r="V289" s="6" t="s">
        <v>1314</v>
      </c>
      <c r="W289" s="6">
        <v>2025</v>
      </c>
      <c r="X289" s="6">
        <v>11</v>
      </c>
      <c r="Y289" s="6" t="s">
        <v>1315</v>
      </c>
      <c r="Z289" s="6">
        <v>2025</v>
      </c>
      <c r="AA289" s="6" t="s">
        <v>1316</v>
      </c>
      <c r="AB289" s="6" t="str">
        <f>VLOOKUP(S289,Mapping!A:C,3,FALSE)</f>
        <v>Primary</v>
      </c>
    </row>
    <row r="290" spans="1:28" x14ac:dyDescent="0.35">
      <c r="A290" s="6" t="s">
        <v>1302</v>
      </c>
      <c r="B290" s="6" t="s">
        <v>1303</v>
      </c>
      <c r="C290" s="6" t="s">
        <v>1304</v>
      </c>
      <c r="D290" s="6" t="s">
        <v>1305</v>
      </c>
      <c r="E290" s="6" t="s">
        <v>1306</v>
      </c>
      <c r="F290" s="6" t="s">
        <v>1307</v>
      </c>
      <c r="G290" s="6" t="s">
        <v>1308</v>
      </c>
      <c r="H290" s="6" t="s">
        <v>1682</v>
      </c>
      <c r="I290" s="6">
        <v>0</v>
      </c>
      <c r="J290" s="6">
        <v>319</v>
      </c>
      <c r="K290" s="6">
        <v>1</v>
      </c>
      <c r="L290" s="6" t="s">
        <v>2246</v>
      </c>
      <c r="M290" s="6" t="e">
        <f>VLOOKUP(L290,'Nov Inv Recon'!H:H,1,FALSE)</f>
        <v>#N/A</v>
      </c>
      <c r="N290" s="6" t="e">
        <f>VLOOKUP(L290,VictoryHeitrich!D:D,1,FALSE)</f>
        <v>#N/A</v>
      </c>
      <c r="O290" s="6" t="s">
        <v>672</v>
      </c>
      <c r="P290" s="6" t="s">
        <v>1311</v>
      </c>
      <c r="Q290" s="6" t="s">
        <v>2691</v>
      </c>
      <c r="R290" s="6" t="s">
        <v>2691</v>
      </c>
      <c r="S290" s="6" t="s">
        <v>48</v>
      </c>
      <c r="T290" s="6" t="s">
        <v>49</v>
      </c>
      <c r="U290" s="6" t="s">
        <v>1313</v>
      </c>
      <c r="V290" s="6" t="s">
        <v>1314</v>
      </c>
      <c r="W290" s="6">
        <v>2025</v>
      </c>
      <c r="X290" s="6">
        <v>11</v>
      </c>
      <c r="Y290" s="6" t="s">
        <v>1315</v>
      </c>
      <c r="Z290" s="6">
        <v>2025</v>
      </c>
      <c r="AA290" s="6" t="s">
        <v>1316</v>
      </c>
      <c r="AB290" s="6" t="str">
        <f>VLOOKUP(S290,Mapping!A:C,3,FALSE)</f>
        <v>Primary</v>
      </c>
    </row>
    <row r="291" spans="1:28" x14ac:dyDescent="0.35">
      <c r="A291" s="6" t="s">
        <v>1302</v>
      </c>
      <c r="B291" s="6" t="s">
        <v>1303</v>
      </c>
      <c r="C291" s="6" t="s">
        <v>1304</v>
      </c>
      <c r="D291" s="6" t="s">
        <v>1305</v>
      </c>
      <c r="E291" s="6" t="s">
        <v>1306</v>
      </c>
      <c r="F291" s="6" t="s">
        <v>1307</v>
      </c>
      <c r="G291" s="6" t="s">
        <v>1308</v>
      </c>
      <c r="H291" s="6" t="s">
        <v>1682</v>
      </c>
      <c r="I291" s="6">
        <v>0</v>
      </c>
      <c r="J291" s="6">
        <v>322.92</v>
      </c>
      <c r="K291" s="6">
        <v>1</v>
      </c>
      <c r="L291" s="6" t="s">
        <v>2120</v>
      </c>
      <c r="M291" s="6" t="e">
        <f>VLOOKUP(L291,'Nov Inv Recon'!H:H,1,FALSE)</f>
        <v>#N/A</v>
      </c>
      <c r="N291" s="6" t="e">
        <f>VLOOKUP(L291,VictoryHeitrich!D:D,1,FALSE)</f>
        <v>#N/A</v>
      </c>
      <c r="O291" s="6" t="s">
        <v>706</v>
      </c>
      <c r="P291" s="6" t="s">
        <v>1311</v>
      </c>
      <c r="Q291" s="6" t="s">
        <v>2692</v>
      </c>
      <c r="R291" s="6" t="s">
        <v>2692</v>
      </c>
      <c r="S291" s="6" t="s">
        <v>48</v>
      </c>
      <c r="T291" s="6" t="s">
        <v>49</v>
      </c>
      <c r="U291" s="6" t="s">
        <v>1313</v>
      </c>
      <c r="V291" s="6" t="s">
        <v>1314</v>
      </c>
      <c r="W291" s="6">
        <v>2025</v>
      </c>
      <c r="X291" s="6">
        <v>11</v>
      </c>
      <c r="Y291" s="6" t="s">
        <v>1315</v>
      </c>
      <c r="Z291" s="6">
        <v>2025</v>
      </c>
      <c r="AA291" s="6" t="s">
        <v>1316</v>
      </c>
      <c r="AB291" s="6" t="str">
        <f>VLOOKUP(S291,Mapping!A:C,3,FALSE)</f>
        <v>Primary</v>
      </c>
    </row>
    <row r="292" spans="1:28" x14ac:dyDescent="0.35">
      <c r="A292" s="6" t="s">
        <v>1302</v>
      </c>
      <c r="B292" s="6" t="s">
        <v>1303</v>
      </c>
      <c r="C292" s="6" t="s">
        <v>1304</v>
      </c>
      <c r="D292" s="6" t="s">
        <v>1305</v>
      </c>
      <c r="E292" s="6" t="s">
        <v>1306</v>
      </c>
      <c r="F292" s="6" t="s">
        <v>1307</v>
      </c>
      <c r="G292" s="6" t="s">
        <v>1308</v>
      </c>
      <c r="H292" s="6" t="s">
        <v>1719</v>
      </c>
      <c r="I292" s="6">
        <v>310.77999999999997</v>
      </c>
      <c r="J292" s="6">
        <v>0</v>
      </c>
      <c r="K292" s="6">
        <v>1</v>
      </c>
      <c r="L292" s="6" t="s">
        <v>2105</v>
      </c>
      <c r="M292" s="6" t="e">
        <f>VLOOKUP(L292,'Nov Inv Recon'!H:H,1,FALSE)</f>
        <v>#N/A</v>
      </c>
      <c r="N292" s="6" t="e">
        <f>VLOOKUP(L292,VictoryHeitrich!D:D,1,FALSE)</f>
        <v>#N/A</v>
      </c>
      <c r="O292" s="6" t="s">
        <v>793</v>
      </c>
      <c r="P292" s="6" t="s">
        <v>1311</v>
      </c>
      <c r="Q292" s="6" t="s">
        <v>2679</v>
      </c>
      <c r="S292" s="6" t="s">
        <v>48</v>
      </c>
      <c r="T292" s="6" t="s">
        <v>49</v>
      </c>
      <c r="U292" s="6" t="s">
        <v>1313</v>
      </c>
      <c r="V292" s="6" t="s">
        <v>1314</v>
      </c>
      <c r="W292" s="6">
        <v>2025</v>
      </c>
      <c r="X292" s="6">
        <v>11</v>
      </c>
      <c r="Y292" s="6" t="s">
        <v>1315</v>
      </c>
      <c r="Z292" s="6">
        <v>2025</v>
      </c>
      <c r="AA292" s="6" t="s">
        <v>1316</v>
      </c>
      <c r="AB292" s="6" t="str">
        <f>VLOOKUP(S292,Mapping!A:C,3,FALSE)</f>
        <v>Primary</v>
      </c>
    </row>
    <row r="293" spans="1:28" x14ac:dyDescent="0.35">
      <c r="A293" s="6" t="s">
        <v>1302</v>
      </c>
      <c r="B293" s="6" t="s">
        <v>1303</v>
      </c>
      <c r="C293" s="6" t="s">
        <v>1304</v>
      </c>
      <c r="D293" s="6" t="s">
        <v>1305</v>
      </c>
      <c r="E293" s="6" t="s">
        <v>1306</v>
      </c>
      <c r="F293" s="6" t="s">
        <v>1307</v>
      </c>
      <c r="G293" s="6" t="s">
        <v>1308</v>
      </c>
      <c r="H293" s="6" t="s">
        <v>1682</v>
      </c>
      <c r="I293" s="6">
        <v>6.84</v>
      </c>
      <c r="J293" s="6">
        <v>0</v>
      </c>
      <c r="K293" s="6">
        <v>1</v>
      </c>
      <c r="L293" s="6" t="s">
        <v>2120</v>
      </c>
      <c r="M293" s="6" t="e">
        <f>VLOOKUP(L293,'Nov Inv Recon'!H:H,1,FALSE)</f>
        <v>#N/A</v>
      </c>
      <c r="N293" s="6" t="e">
        <f>VLOOKUP(L293,VictoryHeitrich!D:D,1,FALSE)</f>
        <v>#N/A</v>
      </c>
      <c r="O293" s="6" t="s">
        <v>706</v>
      </c>
      <c r="P293" s="6" t="s">
        <v>1311</v>
      </c>
      <c r="Q293" s="6" t="s">
        <v>2679</v>
      </c>
      <c r="S293" s="6" t="s">
        <v>48</v>
      </c>
      <c r="T293" s="6" t="s">
        <v>49</v>
      </c>
      <c r="U293" s="6" t="s">
        <v>1313</v>
      </c>
      <c r="V293" s="6" t="s">
        <v>1314</v>
      </c>
      <c r="W293" s="6">
        <v>2025</v>
      </c>
      <c r="X293" s="6">
        <v>11</v>
      </c>
      <c r="Y293" s="6" t="s">
        <v>1315</v>
      </c>
      <c r="Z293" s="6">
        <v>2025</v>
      </c>
      <c r="AA293" s="6" t="s">
        <v>1316</v>
      </c>
      <c r="AB293" s="6" t="str">
        <f>VLOOKUP(S293,Mapping!A:C,3,FALSE)</f>
        <v>Primary</v>
      </c>
    </row>
    <row r="294" spans="1:28" x14ac:dyDescent="0.35">
      <c r="A294" s="6" t="s">
        <v>1302</v>
      </c>
      <c r="B294" s="6" t="s">
        <v>1303</v>
      </c>
      <c r="C294" s="6" t="s">
        <v>1304</v>
      </c>
      <c r="D294" s="6" t="s">
        <v>1305</v>
      </c>
      <c r="E294" s="6" t="s">
        <v>1306</v>
      </c>
      <c r="F294" s="6" t="s">
        <v>1307</v>
      </c>
      <c r="G294" s="6" t="s">
        <v>1308</v>
      </c>
      <c r="H294" s="6" t="s">
        <v>2693</v>
      </c>
      <c r="I294" s="6">
        <v>0</v>
      </c>
      <c r="J294" s="6">
        <v>350.38</v>
      </c>
      <c r="K294" s="6">
        <v>1</v>
      </c>
      <c r="L294" s="6" t="s">
        <v>2191</v>
      </c>
      <c r="M294" s="6" t="e">
        <f>VLOOKUP(L294,'Nov Inv Recon'!H:H,1,FALSE)</f>
        <v>#N/A</v>
      </c>
      <c r="N294" s="6" t="e">
        <f>VLOOKUP(L294,VictoryHeitrich!D:D,1,FALSE)</f>
        <v>#N/A</v>
      </c>
      <c r="O294" s="6" t="s">
        <v>368</v>
      </c>
      <c r="P294" s="6" t="s">
        <v>1311</v>
      </c>
      <c r="Q294" s="6" t="s">
        <v>2694</v>
      </c>
      <c r="R294" s="6" t="s">
        <v>2694</v>
      </c>
      <c r="S294" s="6" t="s">
        <v>48</v>
      </c>
      <c r="T294" s="6" t="s">
        <v>49</v>
      </c>
      <c r="U294" s="6" t="s">
        <v>1313</v>
      </c>
      <c r="V294" s="6" t="s">
        <v>1314</v>
      </c>
      <c r="W294" s="6">
        <v>2025</v>
      </c>
      <c r="X294" s="6">
        <v>11</v>
      </c>
      <c r="Y294" s="6" t="s">
        <v>1315</v>
      </c>
      <c r="Z294" s="6">
        <v>2025</v>
      </c>
      <c r="AA294" s="6" t="s">
        <v>1316</v>
      </c>
      <c r="AB294" s="6" t="str">
        <f>VLOOKUP(S294,Mapping!A:C,3,FALSE)</f>
        <v>Primary</v>
      </c>
    </row>
    <row r="295" spans="1:28" x14ac:dyDescent="0.35">
      <c r="A295" s="6" t="s">
        <v>1302</v>
      </c>
      <c r="B295" s="6" t="s">
        <v>1303</v>
      </c>
      <c r="C295" s="6" t="s">
        <v>1304</v>
      </c>
      <c r="D295" s="6" t="s">
        <v>1305</v>
      </c>
      <c r="E295" s="6" t="s">
        <v>1306</v>
      </c>
      <c r="F295" s="6" t="s">
        <v>1307</v>
      </c>
      <c r="G295" s="6" t="s">
        <v>1308</v>
      </c>
      <c r="H295" s="6" t="s">
        <v>1682</v>
      </c>
      <c r="I295" s="6">
        <v>20.66</v>
      </c>
      <c r="J295" s="6">
        <v>0</v>
      </c>
      <c r="K295" s="6">
        <v>1</v>
      </c>
      <c r="L295" s="6" t="s">
        <v>2352</v>
      </c>
      <c r="M295" s="6" t="e">
        <f>VLOOKUP(L295,'Nov Inv Recon'!H:H,1,FALSE)</f>
        <v>#N/A</v>
      </c>
      <c r="N295" s="6" t="e">
        <f>VLOOKUP(L295,VictoryHeitrich!D:D,1,FALSE)</f>
        <v>#N/A</v>
      </c>
      <c r="O295" s="6" t="s">
        <v>2353</v>
      </c>
      <c r="P295" s="6" t="s">
        <v>1311</v>
      </c>
      <c r="Q295" s="6" t="s">
        <v>2679</v>
      </c>
      <c r="S295" s="6" t="s">
        <v>48</v>
      </c>
      <c r="T295" s="6" t="s">
        <v>49</v>
      </c>
      <c r="U295" s="6" t="s">
        <v>1313</v>
      </c>
      <c r="V295" s="6" t="s">
        <v>1314</v>
      </c>
      <c r="W295" s="6">
        <v>2025</v>
      </c>
      <c r="X295" s="6">
        <v>11</v>
      </c>
      <c r="Y295" s="6" t="s">
        <v>1315</v>
      </c>
      <c r="Z295" s="6">
        <v>2025</v>
      </c>
      <c r="AA295" s="6" t="s">
        <v>1316</v>
      </c>
      <c r="AB295" s="6" t="str">
        <f>VLOOKUP(S295,Mapping!A:C,3,FALSE)</f>
        <v>Primary</v>
      </c>
    </row>
    <row r="296" spans="1:28" x14ac:dyDescent="0.35">
      <c r="A296" s="6" t="s">
        <v>1302</v>
      </c>
      <c r="B296" s="6" t="s">
        <v>1303</v>
      </c>
      <c r="C296" s="6" t="s">
        <v>1304</v>
      </c>
      <c r="D296" s="6" t="s">
        <v>1305</v>
      </c>
      <c r="E296" s="6" t="s">
        <v>1306</v>
      </c>
      <c r="F296" s="6" t="s">
        <v>1307</v>
      </c>
      <c r="G296" s="6" t="s">
        <v>1308</v>
      </c>
      <c r="H296" s="6" t="s">
        <v>2505</v>
      </c>
      <c r="I296" s="6">
        <v>37.68</v>
      </c>
      <c r="J296" s="6">
        <v>0</v>
      </c>
      <c r="K296" s="6">
        <v>1</v>
      </c>
      <c r="L296" s="6" t="s">
        <v>2361</v>
      </c>
      <c r="M296" s="6" t="e">
        <f>VLOOKUP(L296,'Nov Inv Recon'!H:H,1,FALSE)</f>
        <v>#N/A</v>
      </c>
      <c r="N296" s="6" t="e">
        <f>VLOOKUP(L296,VictoryHeitrich!D:D,1,FALSE)</f>
        <v>#N/A</v>
      </c>
      <c r="O296" s="6" t="s">
        <v>2362</v>
      </c>
      <c r="P296" s="6" t="s">
        <v>1311</v>
      </c>
      <c r="Q296" s="6" t="s">
        <v>2679</v>
      </c>
      <c r="S296" s="6" t="s">
        <v>48</v>
      </c>
      <c r="T296" s="6" t="s">
        <v>49</v>
      </c>
      <c r="U296" s="6" t="s">
        <v>1313</v>
      </c>
      <c r="V296" s="6" t="s">
        <v>1314</v>
      </c>
      <c r="W296" s="6">
        <v>2025</v>
      </c>
      <c r="X296" s="6">
        <v>11</v>
      </c>
      <c r="Y296" s="6" t="s">
        <v>1315</v>
      </c>
      <c r="Z296" s="6">
        <v>2025</v>
      </c>
      <c r="AA296" s="6" t="s">
        <v>1316</v>
      </c>
      <c r="AB296" s="6" t="str">
        <f>VLOOKUP(S296,Mapping!A:C,3,FALSE)</f>
        <v>Primary</v>
      </c>
    </row>
    <row r="297" spans="1:28" x14ac:dyDescent="0.35">
      <c r="A297" s="6" t="s">
        <v>1302</v>
      </c>
      <c r="B297" s="6" t="s">
        <v>1303</v>
      </c>
      <c r="C297" s="6" t="s">
        <v>1304</v>
      </c>
      <c r="D297" s="6" t="s">
        <v>1305</v>
      </c>
      <c r="E297" s="6" t="s">
        <v>1306</v>
      </c>
      <c r="F297" s="6" t="s">
        <v>1307</v>
      </c>
      <c r="G297" s="6" t="s">
        <v>1308</v>
      </c>
      <c r="H297" s="6" t="s">
        <v>1682</v>
      </c>
      <c r="I297" s="6">
        <v>0</v>
      </c>
      <c r="J297" s="6">
        <v>299</v>
      </c>
      <c r="K297" s="6">
        <v>1</v>
      </c>
      <c r="L297" s="6" t="s">
        <v>2340</v>
      </c>
      <c r="M297" s="6" t="e">
        <f>VLOOKUP(L297,'Nov Inv Recon'!H:H,1,FALSE)</f>
        <v>#N/A</v>
      </c>
      <c r="N297" s="6" t="e">
        <f>VLOOKUP(L297,VictoryHeitrich!D:D,1,FALSE)</f>
        <v>#N/A</v>
      </c>
      <c r="O297" s="6" t="s">
        <v>416</v>
      </c>
      <c r="P297" s="6" t="s">
        <v>1311</v>
      </c>
      <c r="Q297" s="6" t="s">
        <v>1704</v>
      </c>
      <c r="R297" s="6" t="s">
        <v>1704</v>
      </c>
      <c r="S297" s="6" t="s">
        <v>48</v>
      </c>
      <c r="T297" s="6" t="s">
        <v>49</v>
      </c>
      <c r="U297" s="6" t="s">
        <v>1313</v>
      </c>
      <c r="V297" s="6" t="s">
        <v>1314</v>
      </c>
      <c r="W297" s="6">
        <v>2025</v>
      </c>
      <c r="X297" s="6">
        <v>11</v>
      </c>
      <c r="Y297" s="6" t="s">
        <v>1315</v>
      </c>
      <c r="Z297" s="6">
        <v>2025</v>
      </c>
      <c r="AA297" s="6" t="s">
        <v>1316</v>
      </c>
      <c r="AB297" s="6" t="str">
        <f>VLOOKUP(S297,Mapping!A:C,3,FALSE)</f>
        <v>Primary</v>
      </c>
    </row>
    <row r="298" spans="1:28" x14ac:dyDescent="0.35">
      <c r="A298" s="6" t="s">
        <v>1302</v>
      </c>
      <c r="B298" s="6" t="s">
        <v>1303</v>
      </c>
      <c r="C298" s="6" t="s">
        <v>1304</v>
      </c>
      <c r="D298" s="6" t="s">
        <v>1305</v>
      </c>
      <c r="E298" s="6" t="s">
        <v>1306</v>
      </c>
      <c r="F298" s="6" t="s">
        <v>1307</v>
      </c>
      <c r="G298" s="6" t="s">
        <v>1308</v>
      </c>
      <c r="H298" s="6" t="s">
        <v>1657</v>
      </c>
      <c r="I298" s="6">
        <v>0</v>
      </c>
      <c r="J298" s="6">
        <v>319</v>
      </c>
      <c r="K298" s="6">
        <v>1</v>
      </c>
      <c r="L298" s="6" t="s">
        <v>2081</v>
      </c>
      <c r="M298" s="6" t="e">
        <f>VLOOKUP(L298,'Nov Inv Recon'!H:H,1,FALSE)</f>
        <v>#N/A</v>
      </c>
      <c r="N298" s="6" t="e">
        <f>VLOOKUP(L298,VictoryHeitrich!D:D,1,FALSE)</f>
        <v>#N/A</v>
      </c>
      <c r="O298" s="6" t="s">
        <v>674</v>
      </c>
      <c r="P298" s="6" t="s">
        <v>1311</v>
      </c>
      <c r="Q298" s="6" t="s">
        <v>2695</v>
      </c>
      <c r="R298" s="6" t="s">
        <v>2695</v>
      </c>
      <c r="S298" s="6" t="s">
        <v>48</v>
      </c>
      <c r="T298" s="6" t="s">
        <v>49</v>
      </c>
      <c r="U298" s="6" t="s">
        <v>1313</v>
      </c>
      <c r="V298" s="6" t="s">
        <v>1314</v>
      </c>
      <c r="W298" s="6">
        <v>2025</v>
      </c>
      <c r="X298" s="6">
        <v>11</v>
      </c>
      <c r="Y298" s="6" t="s">
        <v>1315</v>
      </c>
      <c r="Z298" s="6">
        <v>2025</v>
      </c>
      <c r="AA298" s="6" t="s">
        <v>1316</v>
      </c>
      <c r="AB298" s="6" t="str">
        <f>VLOOKUP(S298,Mapping!A:C,3,FALSE)</f>
        <v>Primary</v>
      </c>
    </row>
    <row r="299" spans="1:28" x14ac:dyDescent="0.35">
      <c r="A299" s="6" t="s">
        <v>1302</v>
      </c>
      <c r="B299" s="6" t="s">
        <v>1303</v>
      </c>
      <c r="C299" s="6" t="s">
        <v>1304</v>
      </c>
      <c r="D299" s="6" t="s">
        <v>1305</v>
      </c>
      <c r="E299" s="6" t="s">
        <v>1306</v>
      </c>
      <c r="F299" s="6" t="s">
        <v>1307</v>
      </c>
      <c r="G299" s="6" t="s">
        <v>1308</v>
      </c>
      <c r="H299" s="6" t="s">
        <v>1765</v>
      </c>
      <c r="I299" s="6">
        <v>0</v>
      </c>
      <c r="J299" s="6">
        <v>319</v>
      </c>
      <c r="K299" s="6">
        <v>1</v>
      </c>
      <c r="L299" s="6" t="s">
        <v>1501</v>
      </c>
      <c r="M299" s="6" t="e">
        <f>VLOOKUP(L299,'Nov Inv Recon'!H:H,1,FALSE)</f>
        <v>#N/A</v>
      </c>
      <c r="N299" s="6" t="e">
        <f>VLOOKUP(L299,VictoryHeitrich!D:D,1,FALSE)</f>
        <v>#N/A</v>
      </c>
      <c r="O299" s="6" t="s">
        <v>1502</v>
      </c>
      <c r="P299" s="6" t="s">
        <v>1311</v>
      </c>
      <c r="Q299" s="6" t="s">
        <v>2696</v>
      </c>
      <c r="R299" s="6" t="s">
        <v>2696</v>
      </c>
      <c r="S299" s="6" t="s">
        <v>48</v>
      </c>
      <c r="T299" s="6" t="s">
        <v>49</v>
      </c>
      <c r="U299" s="6" t="s">
        <v>1313</v>
      </c>
      <c r="V299" s="6" t="s">
        <v>1314</v>
      </c>
      <c r="W299" s="6">
        <v>2025</v>
      </c>
      <c r="X299" s="6">
        <v>11</v>
      </c>
      <c r="Y299" s="6" t="s">
        <v>1315</v>
      </c>
      <c r="Z299" s="6">
        <v>2025</v>
      </c>
      <c r="AA299" s="6" t="s">
        <v>1316</v>
      </c>
      <c r="AB299" s="6" t="str">
        <f>VLOOKUP(S299,Mapping!A:C,3,FALSE)</f>
        <v>Primary</v>
      </c>
    </row>
    <row r="300" spans="1:28" x14ac:dyDescent="0.35">
      <c r="A300" s="6" t="s">
        <v>1302</v>
      </c>
      <c r="B300" s="6" t="s">
        <v>1303</v>
      </c>
      <c r="C300" s="6" t="s">
        <v>1304</v>
      </c>
      <c r="D300" s="6" t="s">
        <v>1305</v>
      </c>
      <c r="E300" s="6" t="s">
        <v>1306</v>
      </c>
      <c r="F300" s="6" t="s">
        <v>1307</v>
      </c>
      <c r="G300" s="6" t="s">
        <v>1308</v>
      </c>
      <c r="H300" s="6" t="s">
        <v>2639</v>
      </c>
      <c r="I300" s="6">
        <v>0</v>
      </c>
      <c r="J300" s="6">
        <v>337.95</v>
      </c>
      <c r="K300" s="6">
        <v>1</v>
      </c>
      <c r="L300" s="6" t="s">
        <v>2152</v>
      </c>
      <c r="M300" s="6" t="e">
        <f>VLOOKUP(L300,'Nov Inv Recon'!H:H,1,FALSE)</f>
        <v>#N/A</v>
      </c>
      <c r="N300" s="6" t="e">
        <f>VLOOKUP(L300,VictoryHeitrich!D:D,1,FALSE)</f>
        <v>#N/A</v>
      </c>
      <c r="O300" s="6" t="s">
        <v>365</v>
      </c>
      <c r="P300" s="6" t="s">
        <v>1311</v>
      </c>
      <c r="Q300" s="6" t="s">
        <v>2697</v>
      </c>
      <c r="R300" s="6" t="s">
        <v>2697</v>
      </c>
      <c r="S300" s="6" t="s">
        <v>48</v>
      </c>
      <c r="T300" s="6" t="s">
        <v>49</v>
      </c>
      <c r="U300" s="6" t="s">
        <v>1313</v>
      </c>
      <c r="V300" s="6" t="s">
        <v>1314</v>
      </c>
      <c r="W300" s="6">
        <v>2025</v>
      </c>
      <c r="X300" s="6">
        <v>11</v>
      </c>
      <c r="Y300" s="6" t="s">
        <v>1315</v>
      </c>
      <c r="Z300" s="6">
        <v>2025</v>
      </c>
      <c r="AA300" s="6" t="s">
        <v>1316</v>
      </c>
      <c r="AB300" s="6" t="str">
        <f>VLOOKUP(S300,Mapping!A:C,3,FALSE)</f>
        <v>Primary</v>
      </c>
    </row>
    <row r="301" spans="1:28" x14ac:dyDescent="0.35">
      <c r="A301" s="6" t="s">
        <v>1302</v>
      </c>
      <c r="B301" s="6" t="s">
        <v>1303</v>
      </c>
      <c r="C301" s="6" t="s">
        <v>1304</v>
      </c>
      <c r="D301" s="6" t="s">
        <v>1305</v>
      </c>
      <c r="E301" s="6" t="s">
        <v>1306</v>
      </c>
      <c r="F301" s="6" t="s">
        <v>1307</v>
      </c>
      <c r="G301" s="6" t="s">
        <v>1308</v>
      </c>
      <c r="H301" s="6" t="s">
        <v>2398</v>
      </c>
      <c r="I301" s="6">
        <v>0</v>
      </c>
      <c r="J301" s="6">
        <v>319</v>
      </c>
      <c r="K301" s="6">
        <v>1</v>
      </c>
      <c r="L301" s="6" t="s">
        <v>2312</v>
      </c>
      <c r="M301" s="6" t="e">
        <f>VLOOKUP(L301,'Nov Inv Recon'!H:H,1,FALSE)</f>
        <v>#N/A</v>
      </c>
      <c r="N301" s="6" t="e">
        <f>VLOOKUP(L301,VictoryHeitrich!D:D,1,FALSE)</f>
        <v>#N/A</v>
      </c>
      <c r="O301" s="6" t="s">
        <v>686</v>
      </c>
      <c r="P301" s="6" t="s">
        <v>1311</v>
      </c>
      <c r="Q301" s="6" t="s">
        <v>2698</v>
      </c>
      <c r="R301" s="6" t="s">
        <v>2698</v>
      </c>
      <c r="S301" s="6" t="s">
        <v>48</v>
      </c>
      <c r="T301" s="6" t="s">
        <v>49</v>
      </c>
      <c r="U301" s="6" t="s">
        <v>1313</v>
      </c>
      <c r="V301" s="6" t="s">
        <v>1314</v>
      </c>
      <c r="W301" s="6">
        <v>2025</v>
      </c>
      <c r="X301" s="6">
        <v>11</v>
      </c>
      <c r="Y301" s="6" t="s">
        <v>1315</v>
      </c>
      <c r="Z301" s="6">
        <v>2025</v>
      </c>
      <c r="AA301" s="6" t="s">
        <v>1316</v>
      </c>
      <c r="AB301" s="6" t="str">
        <f>VLOOKUP(S301,Mapping!A:C,3,FALSE)</f>
        <v>Primary</v>
      </c>
    </row>
    <row r="302" spans="1:28" x14ac:dyDescent="0.35">
      <c r="A302" s="6" t="s">
        <v>1302</v>
      </c>
      <c r="B302" s="6" t="s">
        <v>1303</v>
      </c>
      <c r="C302" s="6" t="s">
        <v>1304</v>
      </c>
      <c r="D302" s="6" t="s">
        <v>1305</v>
      </c>
      <c r="E302" s="6" t="s">
        <v>1306</v>
      </c>
      <c r="F302" s="6" t="s">
        <v>1307</v>
      </c>
      <c r="G302" s="6" t="s">
        <v>1308</v>
      </c>
      <c r="H302" s="6" t="s">
        <v>1682</v>
      </c>
      <c r="I302" s="6">
        <v>0</v>
      </c>
      <c r="J302" s="6">
        <v>322.92</v>
      </c>
      <c r="K302" s="6">
        <v>1</v>
      </c>
      <c r="L302" s="6" t="s">
        <v>2139</v>
      </c>
      <c r="M302" s="6" t="e">
        <f>VLOOKUP(L302,'Nov Inv Recon'!H:H,1,FALSE)</f>
        <v>#N/A</v>
      </c>
      <c r="N302" s="6" t="e">
        <f>VLOOKUP(L302,VictoryHeitrich!D:D,1,FALSE)</f>
        <v>#N/A</v>
      </c>
      <c r="O302" s="6" t="s">
        <v>742</v>
      </c>
      <c r="P302" s="6" t="s">
        <v>1311</v>
      </c>
      <c r="Q302" s="6" t="s">
        <v>2699</v>
      </c>
      <c r="R302" s="6" t="s">
        <v>2699</v>
      </c>
      <c r="S302" s="6" t="s">
        <v>48</v>
      </c>
      <c r="T302" s="6" t="s">
        <v>49</v>
      </c>
      <c r="U302" s="6" t="s">
        <v>1313</v>
      </c>
      <c r="V302" s="6" t="s">
        <v>1314</v>
      </c>
      <c r="W302" s="6">
        <v>2025</v>
      </c>
      <c r="X302" s="6">
        <v>11</v>
      </c>
      <c r="Y302" s="6" t="s">
        <v>1315</v>
      </c>
      <c r="Z302" s="6">
        <v>2025</v>
      </c>
      <c r="AA302" s="6" t="s">
        <v>1316</v>
      </c>
      <c r="AB302" s="6" t="str">
        <f>VLOOKUP(S302,Mapping!A:C,3,FALSE)</f>
        <v>Primary</v>
      </c>
    </row>
    <row r="303" spans="1:28" x14ac:dyDescent="0.35">
      <c r="A303" s="6" t="s">
        <v>1302</v>
      </c>
      <c r="B303" s="6" t="s">
        <v>1303</v>
      </c>
      <c r="C303" s="6" t="s">
        <v>1304</v>
      </c>
      <c r="D303" s="6" t="s">
        <v>1305</v>
      </c>
      <c r="E303" s="6" t="s">
        <v>1306</v>
      </c>
      <c r="F303" s="6" t="s">
        <v>1307</v>
      </c>
      <c r="G303" s="6" t="s">
        <v>1308</v>
      </c>
      <c r="H303" s="6" t="s">
        <v>2693</v>
      </c>
      <c r="I303" s="6">
        <v>0</v>
      </c>
      <c r="J303" s="6">
        <v>322.92</v>
      </c>
      <c r="K303" s="6">
        <v>1</v>
      </c>
      <c r="L303" s="6" t="s">
        <v>1487</v>
      </c>
      <c r="M303" s="6" t="e">
        <f>VLOOKUP(L303,'Nov Inv Recon'!H:H,1,FALSE)</f>
        <v>#N/A</v>
      </c>
      <c r="N303" s="6" t="e">
        <f>VLOOKUP(L303,VictoryHeitrich!D:D,1,FALSE)</f>
        <v>#N/A</v>
      </c>
      <c r="O303" s="6" t="s">
        <v>1488</v>
      </c>
      <c r="P303" s="6" t="s">
        <v>1311</v>
      </c>
      <c r="Q303" s="6" t="s">
        <v>2700</v>
      </c>
      <c r="R303" s="6" t="s">
        <v>2700</v>
      </c>
      <c r="S303" s="6" t="s">
        <v>48</v>
      </c>
      <c r="T303" s="6" t="s">
        <v>49</v>
      </c>
      <c r="U303" s="6" t="s">
        <v>1313</v>
      </c>
      <c r="V303" s="6" t="s">
        <v>1314</v>
      </c>
      <c r="W303" s="6">
        <v>2025</v>
      </c>
      <c r="X303" s="6">
        <v>11</v>
      </c>
      <c r="Y303" s="6" t="s">
        <v>1315</v>
      </c>
      <c r="Z303" s="6">
        <v>2025</v>
      </c>
      <c r="AA303" s="6" t="s">
        <v>1316</v>
      </c>
      <c r="AB303" s="6" t="str">
        <f>VLOOKUP(S303,Mapping!A:C,3,FALSE)</f>
        <v>Primary</v>
      </c>
    </row>
    <row r="304" spans="1:28" x14ac:dyDescent="0.35">
      <c r="A304" s="6" t="s">
        <v>1302</v>
      </c>
      <c r="B304" s="6" t="s">
        <v>1303</v>
      </c>
      <c r="C304" s="6" t="s">
        <v>1304</v>
      </c>
      <c r="D304" s="6" t="s">
        <v>1305</v>
      </c>
      <c r="E304" s="6" t="s">
        <v>1306</v>
      </c>
      <c r="F304" s="6" t="s">
        <v>1307</v>
      </c>
      <c r="G304" s="6" t="s">
        <v>1308</v>
      </c>
      <c r="H304" s="6" t="s">
        <v>1632</v>
      </c>
      <c r="I304" s="6">
        <v>0</v>
      </c>
      <c r="J304" s="6">
        <v>200.93</v>
      </c>
      <c r="K304" s="6">
        <v>1</v>
      </c>
      <c r="L304" s="6" t="s">
        <v>2156</v>
      </c>
      <c r="M304" s="6" t="e">
        <f>VLOOKUP(L304,'Nov Inv Recon'!H:H,1,FALSE)</f>
        <v>#N/A</v>
      </c>
      <c r="N304" s="6" t="e">
        <f>VLOOKUP(L304,VictoryHeitrich!D:D,1,FALSE)</f>
        <v>#N/A</v>
      </c>
      <c r="O304" s="6" t="s">
        <v>215</v>
      </c>
      <c r="P304" s="6" t="s">
        <v>1311</v>
      </c>
      <c r="Q304" s="6" t="s">
        <v>2701</v>
      </c>
      <c r="R304" s="6" t="s">
        <v>2701</v>
      </c>
      <c r="S304" s="6" t="s">
        <v>48</v>
      </c>
      <c r="T304" s="6" t="s">
        <v>49</v>
      </c>
      <c r="U304" s="6" t="s">
        <v>1313</v>
      </c>
      <c r="V304" s="6" t="s">
        <v>1314</v>
      </c>
      <c r="W304" s="6">
        <v>2025</v>
      </c>
      <c r="X304" s="6">
        <v>11</v>
      </c>
      <c r="Y304" s="6" t="s">
        <v>1315</v>
      </c>
      <c r="Z304" s="6">
        <v>2025</v>
      </c>
      <c r="AA304" s="6" t="s">
        <v>1316</v>
      </c>
      <c r="AB304" s="6" t="str">
        <f>VLOOKUP(S304,Mapping!A:C,3,FALSE)</f>
        <v>Primary</v>
      </c>
    </row>
    <row r="305" spans="1:28" x14ac:dyDescent="0.35">
      <c r="A305" s="6" t="s">
        <v>1302</v>
      </c>
      <c r="B305" s="6" t="s">
        <v>1303</v>
      </c>
      <c r="C305" s="6" t="s">
        <v>1304</v>
      </c>
      <c r="D305" s="6" t="s">
        <v>1305</v>
      </c>
      <c r="E305" s="6" t="s">
        <v>1306</v>
      </c>
      <c r="F305" s="6" t="s">
        <v>1307</v>
      </c>
      <c r="G305" s="6" t="s">
        <v>1308</v>
      </c>
      <c r="H305" s="6" t="s">
        <v>1632</v>
      </c>
      <c r="I305" s="6">
        <v>0</v>
      </c>
      <c r="J305" s="6">
        <v>200.93</v>
      </c>
      <c r="K305" s="6">
        <v>1</v>
      </c>
      <c r="L305" s="6" t="s">
        <v>2054</v>
      </c>
      <c r="M305" s="6" t="e">
        <f>VLOOKUP(L305,'Nov Inv Recon'!H:H,1,FALSE)</f>
        <v>#N/A</v>
      </c>
      <c r="N305" s="6" t="e">
        <f>VLOOKUP(L305,VictoryHeitrich!D:D,1,FALSE)</f>
        <v>#N/A</v>
      </c>
      <c r="O305" s="6" t="s">
        <v>209</v>
      </c>
      <c r="P305" s="6" t="s">
        <v>1311</v>
      </c>
      <c r="Q305" s="6" t="s">
        <v>2702</v>
      </c>
      <c r="R305" s="6" t="s">
        <v>2702</v>
      </c>
      <c r="S305" s="6" t="s">
        <v>48</v>
      </c>
      <c r="T305" s="6" t="s">
        <v>49</v>
      </c>
      <c r="U305" s="6" t="s">
        <v>1313</v>
      </c>
      <c r="V305" s="6" t="s">
        <v>1314</v>
      </c>
      <c r="W305" s="6">
        <v>2025</v>
      </c>
      <c r="X305" s="6">
        <v>11</v>
      </c>
      <c r="Y305" s="6" t="s">
        <v>1315</v>
      </c>
      <c r="Z305" s="6">
        <v>2025</v>
      </c>
      <c r="AA305" s="6" t="s">
        <v>1316</v>
      </c>
      <c r="AB305" s="6" t="str">
        <f>VLOOKUP(S305,Mapping!A:C,3,FALSE)</f>
        <v>Primary</v>
      </c>
    </row>
    <row r="306" spans="1:28" x14ac:dyDescent="0.35">
      <c r="A306" s="6" t="s">
        <v>1302</v>
      </c>
      <c r="B306" s="6" t="s">
        <v>1303</v>
      </c>
      <c r="C306" s="6" t="s">
        <v>1304</v>
      </c>
      <c r="D306" s="6" t="s">
        <v>1305</v>
      </c>
      <c r="E306" s="6" t="s">
        <v>1306</v>
      </c>
      <c r="F306" s="6" t="s">
        <v>1307</v>
      </c>
      <c r="G306" s="6" t="s">
        <v>1308</v>
      </c>
      <c r="H306" s="6" t="s">
        <v>1632</v>
      </c>
      <c r="I306" s="6">
        <v>0</v>
      </c>
      <c r="J306" s="6">
        <v>200.93</v>
      </c>
      <c r="K306" s="6">
        <v>1</v>
      </c>
      <c r="L306" s="6" t="s">
        <v>2095</v>
      </c>
      <c r="M306" s="6" t="e">
        <f>VLOOKUP(L306,'Nov Inv Recon'!H:H,1,FALSE)</f>
        <v>#N/A</v>
      </c>
      <c r="N306" s="6" t="e">
        <f>VLOOKUP(L306,VictoryHeitrich!D:D,1,FALSE)</f>
        <v>#N/A</v>
      </c>
      <c r="O306" s="6" t="s">
        <v>206</v>
      </c>
      <c r="P306" s="6" t="s">
        <v>1311</v>
      </c>
      <c r="Q306" s="6" t="s">
        <v>2703</v>
      </c>
      <c r="R306" s="6" t="s">
        <v>2703</v>
      </c>
      <c r="S306" s="6" t="s">
        <v>48</v>
      </c>
      <c r="T306" s="6" t="s">
        <v>49</v>
      </c>
      <c r="U306" s="6" t="s">
        <v>1313</v>
      </c>
      <c r="V306" s="6" t="s">
        <v>1314</v>
      </c>
      <c r="W306" s="6">
        <v>2025</v>
      </c>
      <c r="X306" s="6">
        <v>11</v>
      </c>
      <c r="Y306" s="6" t="s">
        <v>1315</v>
      </c>
      <c r="Z306" s="6">
        <v>2025</v>
      </c>
      <c r="AA306" s="6" t="s">
        <v>1316</v>
      </c>
      <c r="AB306" s="6" t="str">
        <f>VLOOKUP(S306,Mapping!A:C,3,FALSE)</f>
        <v>Primary</v>
      </c>
    </row>
    <row r="307" spans="1:28" x14ac:dyDescent="0.35">
      <c r="A307" s="6" t="s">
        <v>1302</v>
      </c>
      <c r="B307" s="6" t="s">
        <v>1303</v>
      </c>
      <c r="C307" s="6" t="s">
        <v>1304</v>
      </c>
      <c r="D307" s="6" t="s">
        <v>1305</v>
      </c>
      <c r="E307" s="6" t="s">
        <v>1306</v>
      </c>
      <c r="F307" s="6" t="s">
        <v>1307</v>
      </c>
      <c r="G307" s="6" t="s">
        <v>1308</v>
      </c>
      <c r="H307" s="6" t="s">
        <v>1632</v>
      </c>
      <c r="I307" s="6">
        <v>174.63</v>
      </c>
      <c r="J307" s="6">
        <v>0</v>
      </c>
      <c r="K307" s="6">
        <v>1</v>
      </c>
      <c r="L307" s="6" t="s">
        <v>2049</v>
      </c>
      <c r="M307" s="6" t="e">
        <f>VLOOKUP(L307,'Nov Inv Recon'!H:H,1,FALSE)</f>
        <v>#N/A</v>
      </c>
      <c r="N307" s="6" t="e">
        <f>VLOOKUP(L307,VictoryHeitrich!D:D,1,FALSE)</f>
        <v>#N/A</v>
      </c>
      <c r="O307" s="6" t="s">
        <v>135</v>
      </c>
      <c r="P307" s="6" t="s">
        <v>1311</v>
      </c>
      <c r="Q307" s="6" t="s">
        <v>2679</v>
      </c>
      <c r="S307" s="6" t="s">
        <v>48</v>
      </c>
      <c r="T307" s="6" t="s">
        <v>49</v>
      </c>
      <c r="U307" s="6" t="s">
        <v>1313</v>
      </c>
      <c r="V307" s="6" t="s">
        <v>1314</v>
      </c>
      <c r="W307" s="6">
        <v>2025</v>
      </c>
      <c r="X307" s="6">
        <v>11</v>
      </c>
      <c r="Y307" s="6" t="s">
        <v>1315</v>
      </c>
      <c r="Z307" s="6">
        <v>2025</v>
      </c>
      <c r="AA307" s="6" t="s">
        <v>1316</v>
      </c>
      <c r="AB307" s="6" t="str">
        <f>VLOOKUP(S307,Mapping!A:C,3,FALSE)</f>
        <v>Primary</v>
      </c>
    </row>
    <row r="308" spans="1:28" x14ac:dyDescent="0.35">
      <c r="A308" s="6" t="s">
        <v>1302</v>
      </c>
      <c r="B308" s="6" t="s">
        <v>1303</v>
      </c>
      <c r="C308" s="6" t="s">
        <v>1304</v>
      </c>
      <c r="D308" s="6" t="s">
        <v>1305</v>
      </c>
      <c r="E308" s="6" t="s">
        <v>1306</v>
      </c>
      <c r="F308" s="6" t="s">
        <v>1307</v>
      </c>
      <c r="G308" s="6" t="s">
        <v>1308</v>
      </c>
      <c r="H308" s="6" t="s">
        <v>1777</v>
      </c>
      <c r="I308" s="6">
        <v>1.27</v>
      </c>
      <c r="J308" s="6">
        <v>0</v>
      </c>
      <c r="K308" s="6">
        <v>1</v>
      </c>
      <c r="L308" s="6" t="s">
        <v>2354</v>
      </c>
      <c r="M308" s="6" t="e">
        <f>VLOOKUP(L308,'Nov Inv Recon'!H:H,1,FALSE)</f>
        <v>#N/A</v>
      </c>
      <c r="N308" s="6" t="e">
        <f>VLOOKUP(L308,VictoryHeitrich!D:D,1,FALSE)</f>
        <v>#N/A</v>
      </c>
      <c r="O308" s="6" t="s">
        <v>2355</v>
      </c>
      <c r="P308" s="6" t="s">
        <v>1311</v>
      </c>
      <c r="Q308" s="6" t="s">
        <v>2679</v>
      </c>
      <c r="S308" s="6" t="s">
        <v>48</v>
      </c>
      <c r="T308" s="6" t="s">
        <v>49</v>
      </c>
      <c r="U308" s="6" t="s">
        <v>1313</v>
      </c>
      <c r="V308" s="6" t="s">
        <v>1314</v>
      </c>
      <c r="W308" s="6">
        <v>2025</v>
      </c>
      <c r="X308" s="6">
        <v>11</v>
      </c>
      <c r="Y308" s="6" t="s">
        <v>1315</v>
      </c>
      <c r="Z308" s="6">
        <v>2025</v>
      </c>
      <c r="AA308" s="6" t="s">
        <v>1316</v>
      </c>
      <c r="AB308" s="6" t="str">
        <f>VLOOKUP(S308,Mapping!A:C,3,FALSE)</f>
        <v>Primary</v>
      </c>
    </row>
    <row r="309" spans="1:28" x14ac:dyDescent="0.35">
      <c r="A309" s="6" t="s">
        <v>1302</v>
      </c>
      <c r="B309" s="6" t="s">
        <v>1303</v>
      </c>
      <c r="C309" s="6" t="s">
        <v>1304</v>
      </c>
      <c r="D309" s="6" t="s">
        <v>1305</v>
      </c>
      <c r="E309" s="6" t="s">
        <v>1306</v>
      </c>
      <c r="F309" s="6" t="s">
        <v>1307</v>
      </c>
      <c r="G309" s="6" t="s">
        <v>1308</v>
      </c>
      <c r="H309" s="6" t="s">
        <v>1632</v>
      </c>
      <c r="I309" s="6">
        <v>16.73</v>
      </c>
      <c r="J309" s="6">
        <v>0</v>
      </c>
      <c r="K309" s="6">
        <v>1</v>
      </c>
      <c r="L309" s="6" t="s">
        <v>2350</v>
      </c>
      <c r="M309" s="6" t="e">
        <f>VLOOKUP(L309,'Nov Inv Recon'!H:H,1,FALSE)</f>
        <v>#N/A</v>
      </c>
      <c r="N309" s="6" t="e">
        <f>VLOOKUP(L309,VictoryHeitrich!D:D,1,FALSE)</f>
        <v>#N/A</v>
      </c>
      <c r="O309" s="6" t="s">
        <v>2351</v>
      </c>
      <c r="P309" s="6" t="s">
        <v>1311</v>
      </c>
      <c r="Q309" s="6" t="s">
        <v>2679</v>
      </c>
      <c r="S309" s="6" t="s">
        <v>48</v>
      </c>
      <c r="T309" s="6" t="s">
        <v>49</v>
      </c>
      <c r="U309" s="6" t="s">
        <v>1313</v>
      </c>
      <c r="V309" s="6" t="s">
        <v>1314</v>
      </c>
      <c r="W309" s="6">
        <v>2025</v>
      </c>
      <c r="X309" s="6">
        <v>11</v>
      </c>
      <c r="Y309" s="6" t="s">
        <v>1315</v>
      </c>
      <c r="Z309" s="6">
        <v>2025</v>
      </c>
      <c r="AA309" s="6" t="s">
        <v>1316</v>
      </c>
      <c r="AB309" s="6" t="str">
        <f>VLOOKUP(S309,Mapping!A:C,3,FALSE)</f>
        <v>Primary</v>
      </c>
    </row>
    <row r="310" spans="1:28" x14ac:dyDescent="0.35">
      <c r="A310" s="6" t="s">
        <v>1302</v>
      </c>
      <c r="B310" s="6" t="s">
        <v>1303</v>
      </c>
      <c r="C310" s="6" t="s">
        <v>1304</v>
      </c>
      <c r="D310" s="6" t="s">
        <v>1305</v>
      </c>
      <c r="E310" s="6" t="s">
        <v>1306</v>
      </c>
      <c r="F310" s="6" t="s">
        <v>1307</v>
      </c>
      <c r="G310" s="6" t="s">
        <v>1308</v>
      </c>
      <c r="H310" s="6" t="s">
        <v>1682</v>
      </c>
      <c r="I310" s="6">
        <v>393.17</v>
      </c>
      <c r="J310" s="6">
        <v>0</v>
      </c>
      <c r="K310" s="6">
        <v>1</v>
      </c>
      <c r="L310" s="6" t="s">
        <v>1702</v>
      </c>
      <c r="M310" s="6" t="e">
        <f>VLOOKUP(L310,'Nov Inv Recon'!H:H,1,FALSE)</f>
        <v>#N/A</v>
      </c>
      <c r="N310" s="6" t="e">
        <f>VLOOKUP(L310,VictoryHeitrich!D:D,1,FALSE)</f>
        <v>#N/A</v>
      </c>
      <c r="O310" s="6" t="s">
        <v>416</v>
      </c>
      <c r="P310" s="6" t="s">
        <v>1311</v>
      </c>
      <c r="Q310" s="6" t="s">
        <v>2679</v>
      </c>
      <c r="S310" s="6" t="s">
        <v>48</v>
      </c>
      <c r="T310" s="6" t="s">
        <v>49</v>
      </c>
      <c r="U310" s="6" t="s">
        <v>1313</v>
      </c>
      <c r="V310" s="6" t="s">
        <v>1314</v>
      </c>
      <c r="W310" s="6">
        <v>2025</v>
      </c>
      <c r="X310" s="6">
        <v>11</v>
      </c>
      <c r="Y310" s="6" t="s">
        <v>1315</v>
      </c>
      <c r="Z310" s="6">
        <v>2025</v>
      </c>
      <c r="AA310" s="6" t="s">
        <v>1316</v>
      </c>
      <c r="AB310" s="6" t="str">
        <f>VLOOKUP(S310,Mapping!A:C,3,FALSE)</f>
        <v>Primary</v>
      </c>
    </row>
    <row r="311" spans="1:28" x14ac:dyDescent="0.35">
      <c r="A311" s="6" t="s">
        <v>1302</v>
      </c>
      <c r="B311" s="6" t="s">
        <v>1303</v>
      </c>
      <c r="C311" s="6" t="s">
        <v>1304</v>
      </c>
      <c r="D311" s="6" t="s">
        <v>1305</v>
      </c>
      <c r="E311" s="6" t="s">
        <v>1306</v>
      </c>
      <c r="F311" s="6" t="s">
        <v>1307</v>
      </c>
      <c r="G311" s="6" t="s">
        <v>1308</v>
      </c>
      <c r="H311" s="6" t="s">
        <v>1632</v>
      </c>
      <c r="I311" s="6">
        <v>498.77</v>
      </c>
      <c r="J311" s="6">
        <v>0</v>
      </c>
      <c r="K311" s="6">
        <v>1</v>
      </c>
      <c r="L311" s="6" t="s">
        <v>2192</v>
      </c>
      <c r="M311" s="6" t="e">
        <f>VLOOKUP(L311,'Nov Inv Recon'!H:H,1,FALSE)</f>
        <v>#N/A</v>
      </c>
      <c r="N311" s="6" t="e">
        <f>VLOOKUP(L311,VictoryHeitrich!D:D,1,FALSE)</f>
        <v>#N/A</v>
      </c>
      <c r="O311" s="6" t="s">
        <v>812</v>
      </c>
      <c r="P311" s="6" t="s">
        <v>1311</v>
      </c>
      <c r="Q311" s="6" t="s">
        <v>2679</v>
      </c>
      <c r="S311" s="6" t="s">
        <v>48</v>
      </c>
      <c r="T311" s="6" t="s">
        <v>49</v>
      </c>
      <c r="U311" s="6" t="s">
        <v>1313</v>
      </c>
      <c r="V311" s="6" t="s">
        <v>1314</v>
      </c>
      <c r="W311" s="6">
        <v>2025</v>
      </c>
      <c r="X311" s="6">
        <v>11</v>
      </c>
      <c r="Y311" s="6" t="s">
        <v>1315</v>
      </c>
      <c r="Z311" s="6">
        <v>2025</v>
      </c>
      <c r="AA311" s="6" t="s">
        <v>1316</v>
      </c>
      <c r="AB311" s="6" t="str">
        <f>VLOOKUP(S311,Mapping!A:C,3,FALSE)</f>
        <v>Primary</v>
      </c>
    </row>
    <row r="312" spans="1:28" x14ac:dyDescent="0.35">
      <c r="A312" s="6" t="s">
        <v>1302</v>
      </c>
      <c r="B312" s="6" t="s">
        <v>1303</v>
      </c>
      <c r="C312" s="6" t="s">
        <v>1304</v>
      </c>
      <c r="D312" s="6" t="s">
        <v>1305</v>
      </c>
      <c r="E312" s="6" t="s">
        <v>1306</v>
      </c>
      <c r="F312" s="6" t="s">
        <v>1307</v>
      </c>
      <c r="G312" s="6" t="s">
        <v>1308</v>
      </c>
      <c r="H312" s="6" t="s">
        <v>1657</v>
      </c>
      <c r="I312" s="6">
        <v>65.88</v>
      </c>
      <c r="J312" s="6">
        <v>0</v>
      </c>
      <c r="K312" s="6">
        <v>1</v>
      </c>
      <c r="L312" s="6" t="s">
        <v>2081</v>
      </c>
      <c r="M312" s="6" t="e">
        <f>VLOOKUP(L312,'Nov Inv Recon'!H:H,1,FALSE)</f>
        <v>#N/A</v>
      </c>
      <c r="N312" s="6" t="e">
        <f>VLOOKUP(L312,VictoryHeitrich!D:D,1,FALSE)</f>
        <v>#N/A</v>
      </c>
      <c r="O312" s="6" t="s">
        <v>674</v>
      </c>
      <c r="P312" s="6" t="s">
        <v>1311</v>
      </c>
      <c r="Q312" s="6" t="s">
        <v>2679</v>
      </c>
      <c r="S312" s="6" t="s">
        <v>48</v>
      </c>
      <c r="T312" s="6" t="s">
        <v>49</v>
      </c>
      <c r="U312" s="6" t="s">
        <v>1313</v>
      </c>
      <c r="V312" s="6" t="s">
        <v>1314</v>
      </c>
      <c r="W312" s="6">
        <v>2025</v>
      </c>
      <c r="X312" s="6">
        <v>11</v>
      </c>
      <c r="Y312" s="6" t="s">
        <v>1315</v>
      </c>
      <c r="Z312" s="6">
        <v>2025</v>
      </c>
      <c r="AA312" s="6" t="s">
        <v>1316</v>
      </c>
      <c r="AB312" s="6" t="str">
        <f>VLOOKUP(S312,Mapping!A:C,3,FALSE)</f>
        <v>Primary</v>
      </c>
    </row>
    <row r="313" spans="1:28" x14ac:dyDescent="0.35">
      <c r="A313" s="6" t="s">
        <v>1302</v>
      </c>
      <c r="B313" s="6" t="s">
        <v>1303</v>
      </c>
      <c r="C313" s="6" t="s">
        <v>1304</v>
      </c>
      <c r="D313" s="6" t="s">
        <v>1305</v>
      </c>
      <c r="E313" s="6" t="s">
        <v>1306</v>
      </c>
      <c r="F313" s="6" t="s">
        <v>1307</v>
      </c>
      <c r="G313" s="6" t="s">
        <v>1308</v>
      </c>
      <c r="H313" s="6" t="s">
        <v>1632</v>
      </c>
      <c r="I313" s="6">
        <v>616.41999999999996</v>
      </c>
      <c r="J313" s="6">
        <v>0</v>
      </c>
      <c r="K313" s="6">
        <v>1</v>
      </c>
      <c r="L313" s="6" t="s">
        <v>2167</v>
      </c>
      <c r="M313" s="6" t="e">
        <f>VLOOKUP(L313,'Nov Inv Recon'!H:H,1,FALSE)</f>
        <v>#N/A</v>
      </c>
      <c r="N313" s="6" t="e">
        <f>VLOOKUP(L313,VictoryHeitrich!D:D,1,FALSE)</f>
        <v>#N/A</v>
      </c>
      <c r="O313" s="6" t="s">
        <v>759</v>
      </c>
      <c r="P313" s="6" t="s">
        <v>1311</v>
      </c>
      <c r="Q313" s="6" t="s">
        <v>2679</v>
      </c>
      <c r="S313" s="6" t="s">
        <v>48</v>
      </c>
      <c r="T313" s="6" t="s">
        <v>49</v>
      </c>
      <c r="U313" s="6" t="s">
        <v>1313</v>
      </c>
      <c r="V313" s="6" t="s">
        <v>1314</v>
      </c>
      <c r="W313" s="6">
        <v>2025</v>
      </c>
      <c r="X313" s="6">
        <v>11</v>
      </c>
      <c r="Y313" s="6" t="s">
        <v>1315</v>
      </c>
      <c r="Z313" s="6">
        <v>2025</v>
      </c>
      <c r="AA313" s="6" t="s">
        <v>1316</v>
      </c>
      <c r="AB313" s="6" t="str">
        <f>VLOOKUP(S313,Mapping!A:C,3,FALSE)</f>
        <v>Primary</v>
      </c>
    </row>
    <row r="314" spans="1:28" x14ac:dyDescent="0.35">
      <c r="A314" s="6" t="s">
        <v>1302</v>
      </c>
      <c r="B314" s="6" t="s">
        <v>1303</v>
      </c>
      <c r="C314" s="6" t="s">
        <v>1304</v>
      </c>
      <c r="D314" s="6" t="s">
        <v>1305</v>
      </c>
      <c r="E314" s="6" t="s">
        <v>1306</v>
      </c>
      <c r="F314" s="6" t="s">
        <v>1307</v>
      </c>
      <c r="G314" s="6" t="s">
        <v>1308</v>
      </c>
      <c r="H314" s="6" t="s">
        <v>2704</v>
      </c>
      <c r="I314" s="6">
        <v>0</v>
      </c>
      <c r="J314" s="6">
        <v>319</v>
      </c>
      <c r="K314" s="6">
        <v>1</v>
      </c>
      <c r="L314" s="6" t="s">
        <v>2153</v>
      </c>
      <c r="M314" s="6" t="e">
        <f>VLOOKUP(L314,'Nov Inv Recon'!H:H,1,FALSE)</f>
        <v>#N/A</v>
      </c>
      <c r="N314" s="6" t="e">
        <f>VLOOKUP(L314,VictoryHeitrich!D:D,1,FALSE)</f>
        <v>#N/A</v>
      </c>
      <c r="O314" s="6" t="s">
        <v>2187</v>
      </c>
      <c r="P314" s="6" t="s">
        <v>1311</v>
      </c>
      <c r="Q314" s="6" t="s">
        <v>2705</v>
      </c>
      <c r="R314" s="6" t="s">
        <v>2705</v>
      </c>
      <c r="S314" s="6" t="s">
        <v>48</v>
      </c>
      <c r="T314" s="6" t="s">
        <v>49</v>
      </c>
      <c r="U314" s="6" t="s">
        <v>1313</v>
      </c>
      <c r="V314" s="6" t="s">
        <v>1314</v>
      </c>
      <c r="W314" s="6">
        <v>2025</v>
      </c>
      <c r="X314" s="6">
        <v>11</v>
      </c>
      <c r="Y314" s="6" t="s">
        <v>1315</v>
      </c>
      <c r="Z314" s="6">
        <v>2025</v>
      </c>
      <c r="AA314" s="6" t="s">
        <v>1316</v>
      </c>
      <c r="AB314" s="6" t="str">
        <f>VLOOKUP(S314,Mapping!A:C,3,FALSE)</f>
        <v>Primary</v>
      </c>
    </row>
    <row r="315" spans="1:28" x14ac:dyDescent="0.35">
      <c r="A315" s="6" t="s">
        <v>1302</v>
      </c>
      <c r="B315" s="6" t="s">
        <v>1303</v>
      </c>
      <c r="C315" s="6" t="s">
        <v>1304</v>
      </c>
      <c r="D315" s="6" t="s">
        <v>1305</v>
      </c>
      <c r="E315" s="6" t="s">
        <v>1306</v>
      </c>
      <c r="F315" s="6" t="s">
        <v>1307</v>
      </c>
      <c r="G315" s="6" t="s">
        <v>1308</v>
      </c>
      <c r="H315" s="6" t="s">
        <v>1765</v>
      </c>
      <c r="I315" s="6">
        <v>0</v>
      </c>
      <c r="J315" s="6">
        <v>299</v>
      </c>
      <c r="K315" s="6">
        <v>1</v>
      </c>
      <c r="L315" s="6" t="s">
        <v>2284</v>
      </c>
      <c r="M315" s="6" t="e">
        <f>VLOOKUP(L315,'Nov Inv Recon'!H:H,1,FALSE)</f>
        <v>#N/A</v>
      </c>
      <c r="N315" s="6" t="e">
        <f>VLOOKUP(L315,VictoryHeitrich!D:D,1,FALSE)</f>
        <v>#N/A</v>
      </c>
      <c r="O315" s="6" t="s">
        <v>492</v>
      </c>
      <c r="P315" s="6" t="s">
        <v>1311</v>
      </c>
      <c r="Q315" s="6" t="s">
        <v>2706</v>
      </c>
      <c r="R315" s="6" t="s">
        <v>2706</v>
      </c>
      <c r="S315" s="6" t="s">
        <v>48</v>
      </c>
      <c r="T315" s="6" t="s">
        <v>49</v>
      </c>
      <c r="U315" s="6" t="s">
        <v>1313</v>
      </c>
      <c r="V315" s="6" t="s">
        <v>1314</v>
      </c>
      <c r="W315" s="6">
        <v>2025</v>
      </c>
      <c r="X315" s="6">
        <v>11</v>
      </c>
      <c r="Y315" s="6" t="s">
        <v>1315</v>
      </c>
      <c r="Z315" s="6">
        <v>2025</v>
      </c>
      <c r="AA315" s="6" t="s">
        <v>1316</v>
      </c>
      <c r="AB315" s="6" t="str">
        <f>VLOOKUP(S315,Mapping!A:C,3,FALSE)</f>
        <v>Primary</v>
      </c>
    </row>
    <row r="316" spans="1:28" x14ac:dyDescent="0.35">
      <c r="A316" s="6" t="s">
        <v>1302</v>
      </c>
      <c r="B316" s="6" t="s">
        <v>1303</v>
      </c>
      <c r="C316" s="6" t="s">
        <v>1304</v>
      </c>
      <c r="D316" s="6" t="s">
        <v>1305</v>
      </c>
      <c r="E316" s="6" t="s">
        <v>1306</v>
      </c>
      <c r="F316" s="6" t="s">
        <v>1307</v>
      </c>
      <c r="G316" s="6" t="s">
        <v>1308</v>
      </c>
      <c r="H316" s="6" t="s">
        <v>1742</v>
      </c>
      <c r="I316" s="6">
        <v>9.8699999999999992</v>
      </c>
      <c r="J316" s="6">
        <v>0</v>
      </c>
      <c r="K316" s="6">
        <v>1</v>
      </c>
      <c r="L316" s="6" t="s">
        <v>2285</v>
      </c>
      <c r="M316" s="6" t="e">
        <f>VLOOKUP(L316,'Nov Inv Recon'!H:H,1,FALSE)</f>
        <v>#N/A</v>
      </c>
      <c r="N316" s="6" t="e">
        <f>VLOOKUP(L316,VictoryHeitrich!D:D,1,FALSE)</f>
        <v>#N/A</v>
      </c>
      <c r="O316" s="6" t="s">
        <v>485</v>
      </c>
      <c r="P316" s="6" t="s">
        <v>1311</v>
      </c>
      <c r="Q316" s="6" t="s">
        <v>2679</v>
      </c>
      <c r="S316" s="6" t="s">
        <v>48</v>
      </c>
      <c r="T316" s="6" t="s">
        <v>49</v>
      </c>
      <c r="U316" s="6" t="s">
        <v>1313</v>
      </c>
      <c r="V316" s="6" t="s">
        <v>1314</v>
      </c>
      <c r="W316" s="6">
        <v>2025</v>
      </c>
      <c r="X316" s="6">
        <v>11</v>
      </c>
      <c r="Y316" s="6" t="s">
        <v>1315</v>
      </c>
      <c r="Z316" s="6">
        <v>2025</v>
      </c>
      <c r="AA316" s="6" t="s">
        <v>1316</v>
      </c>
      <c r="AB316" s="6" t="str">
        <f>VLOOKUP(S316,Mapping!A:C,3,FALSE)</f>
        <v>Primary</v>
      </c>
    </row>
    <row r="317" spans="1:28" x14ac:dyDescent="0.35">
      <c r="A317" s="6" t="s">
        <v>1302</v>
      </c>
      <c r="B317" s="6" t="s">
        <v>1303</v>
      </c>
      <c r="C317" s="6" t="s">
        <v>1304</v>
      </c>
      <c r="D317" s="6" t="s">
        <v>1305</v>
      </c>
      <c r="E317" s="6" t="s">
        <v>1306</v>
      </c>
      <c r="F317" s="6" t="s">
        <v>1307</v>
      </c>
      <c r="G317" s="6" t="s">
        <v>1308</v>
      </c>
      <c r="H317" s="6" t="s">
        <v>1752</v>
      </c>
      <c r="I317" s="6">
        <v>451.37</v>
      </c>
      <c r="J317" s="6">
        <v>0</v>
      </c>
      <c r="K317" s="6">
        <v>1</v>
      </c>
      <c r="L317" s="6" t="s">
        <v>2293</v>
      </c>
      <c r="M317" s="6" t="e">
        <f>VLOOKUP(L317,'Nov Inv Recon'!H:H,1,FALSE)</f>
        <v>#N/A</v>
      </c>
      <c r="N317" s="6" t="e">
        <f>VLOOKUP(L317,VictoryHeitrich!D:D,1,FALSE)</f>
        <v>#N/A</v>
      </c>
      <c r="O317" s="6" t="s">
        <v>752</v>
      </c>
      <c r="P317" s="6" t="s">
        <v>1311</v>
      </c>
      <c r="Q317" s="6" t="s">
        <v>2679</v>
      </c>
      <c r="S317" s="6" t="s">
        <v>48</v>
      </c>
      <c r="T317" s="6" t="s">
        <v>49</v>
      </c>
      <c r="U317" s="6" t="s">
        <v>1313</v>
      </c>
      <c r="V317" s="6" t="s">
        <v>1314</v>
      </c>
      <c r="W317" s="6">
        <v>2025</v>
      </c>
      <c r="X317" s="6">
        <v>11</v>
      </c>
      <c r="Y317" s="6" t="s">
        <v>1315</v>
      </c>
      <c r="Z317" s="6">
        <v>2025</v>
      </c>
      <c r="AA317" s="6" t="s">
        <v>1316</v>
      </c>
      <c r="AB317" s="6" t="str">
        <f>VLOOKUP(S317,Mapping!A:C,3,FALSE)</f>
        <v>Primary</v>
      </c>
    </row>
    <row r="318" spans="1:28" x14ac:dyDescent="0.35">
      <c r="A318" s="6" t="s">
        <v>1302</v>
      </c>
      <c r="B318" s="6" t="s">
        <v>1303</v>
      </c>
      <c r="C318" s="6" t="s">
        <v>1304</v>
      </c>
      <c r="D318" s="6" t="s">
        <v>1305</v>
      </c>
      <c r="E318" s="6" t="s">
        <v>1306</v>
      </c>
      <c r="F318" s="6" t="s">
        <v>1307</v>
      </c>
      <c r="G318" s="6" t="s">
        <v>1308</v>
      </c>
      <c r="H318" s="6" t="s">
        <v>1742</v>
      </c>
      <c r="I318" s="6">
        <v>955.96</v>
      </c>
      <c r="J318" s="6">
        <v>0</v>
      </c>
      <c r="K318" s="6">
        <v>1</v>
      </c>
      <c r="L318" s="6" t="s">
        <v>2281</v>
      </c>
      <c r="M318" s="6" t="e">
        <f>VLOOKUP(L318,'Nov Inv Recon'!H:H,1,FALSE)</f>
        <v>#N/A</v>
      </c>
      <c r="N318" s="6" t="e">
        <f>VLOOKUP(L318,VictoryHeitrich!D:D,1,FALSE)</f>
        <v>#N/A</v>
      </c>
      <c r="O318" s="6" t="s">
        <v>749</v>
      </c>
      <c r="P318" s="6" t="s">
        <v>1311</v>
      </c>
      <c r="Q318" s="6" t="s">
        <v>2679</v>
      </c>
      <c r="S318" s="6" t="s">
        <v>48</v>
      </c>
      <c r="T318" s="6" t="s">
        <v>49</v>
      </c>
      <c r="U318" s="6" t="s">
        <v>1313</v>
      </c>
      <c r="V318" s="6" t="s">
        <v>1314</v>
      </c>
      <c r="W318" s="6">
        <v>2025</v>
      </c>
      <c r="X318" s="6">
        <v>11</v>
      </c>
      <c r="Y318" s="6" t="s">
        <v>1315</v>
      </c>
      <c r="Z318" s="6">
        <v>2025</v>
      </c>
      <c r="AA318" s="6" t="s">
        <v>1316</v>
      </c>
      <c r="AB318" s="6" t="str">
        <f>VLOOKUP(S318,Mapping!A:C,3,FALSE)</f>
        <v>Primary</v>
      </c>
    </row>
    <row r="319" spans="1:28" x14ac:dyDescent="0.35">
      <c r="A319" s="6" t="s">
        <v>1302</v>
      </c>
      <c r="B319" s="6" t="s">
        <v>1303</v>
      </c>
      <c r="C319" s="6" t="s">
        <v>1304</v>
      </c>
      <c r="D319" s="6" t="s">
        <v>1305</v>
      </c>
      <c r="E319" s="6" t="s">
        <v>1306</v>
      </c>
      <c r="F319" s="6" t="s">
        <v>1307</v>
      </c>
      <c r="G319" s="6" t="s">
        <v>1308</v>
      </c>
      <c r="H319" s="6" t="s">
        <v>1632</v>
      </c>
      <c r="I319" s="6">
        <v>0</v>
      </c>
      <c r="J319" s="6">
        <v>200.93</v>
      </c>
      <c r="K319" s="6">
        <v>1</v>
      </c>
      <c r="L319" s="6" t="s">
        <v>2172</v>
      </c>
      <c r="M319" s="6" t="e">
        <f>VLOOKUP(L319,'Nov Inv Recon'!H:H,1,FALSE)</f>
        <v>#N/A</v>
      </c>
      <c r="N319" s="6" t="e">
        <f>VLOOKUP(L319,VictoryHeitrich!D:D,1,FALSE)</f>
        <v>#N/A</v>
      </c>
      <c r="O319" s="6" t="s">
        <v>200</v>
      </c>
      <c r="P319" s="6" t="s">
        <v>1311</v>
      </c>
      <c r="Q319" s="6" t="s">
        <v>2707</v>
      </c>
      <c r="R319" s="6" t="s">
        <v>2707</v>
      </c>
      <c r="S319" s="6" t="s">
        <v>48</v>
      </c>
      <c r="T319" s="6" t="s">
        <v>49</v>
      </c>
      <c r="U319" s="6" t="s">
        <v>1313</v>
      </c>
      <c r="V319" s="6" t="s">
        <v>1314</v>
      </c>
      <c r="W319" s="6">
        <v>2025</v>
      </c>
      <c r="X319" s="6">
        <v>11</v>
      </c>
      <c r="Y319" s="6" t="s">
        <v>1315</v>
      </c>
      <c r="Z319" s="6">
        <v>2025</v>
      </c>
      <c r="AA319" s="6" t="s">
        <v>1316</v>
      </c>
      <c r="AB319" s="6" t="str">
        <f>VLOOKUP(S319,Mapping!A:C,3,FALSE)</f>
        <v>Primary</v>
      </c>
    </row>
    <row r="320" spans="1:28" x14ac:dyDescent="0.35">
      <c r="A320" s="6" t="s">
        <v>1302</v>
      </c>
      <c r="B320" s="6" t="s">
        <v>1303</v>
      </c>
      <c r="C320" s="6" t="s">
        <v>1304</v>
      </c>
      <c r="D320" s="6" t="s">
        <v>1305</v>
      </c>
      <c r="E320" s="6" t="s">
        <v>1306</v>
      </c>
      <c r="F320" s="6" t="s">
        <v>1307</v>
      </c>
      <c r="G320" s="6" t="s">
        <v>1308</v>
      </c>
      <c r="H320" s="6" t="s">
        <v>1682</v>
      </c>
      <c r="I320" s="6">
        <v>0</v>
      </c>
      <c r="J320" s="6">
        <v>322.92</v>
      </c>
      <c r="K320" s="6">
        <v>1</v>
      </c>
      <c r="L320" s="6" t="s">
        <v>744</v>
      </c>
      <c r="M320" s="6" t="str">
        <f>VLOOKUP(L320,'Nov Inv Recon'!H:H,1,FALSE)</f>
        <v>01014818</v>
      </c>
      <c r="N320" s="6" t="e">
        <f>VLOOKUP(L320,VictoryHeitrich!D:D,1,FALSE)</f>
        <v>#N/A</v>
      </c>
      <c r="O320" s="6" t="s">
        <v>745</v>
      </c>
      <c r="P320" s="6" t="s">
        <v>1311</v>
      </c>
      <c r="Q320" s="6" t="s">
        <v>2708</v>
      </c>
      <c r="R320" s="6" t="s">
        <v>2708</v>
      </c>
      <c r="S320" s="6" t="s">
        <v>48</v>
      </c>
      <c r="T320" s="6" t="s">
        <v>49</v>
      </c>
      <c r="U320" s="6" t="s">
        <v>1313</v>
      </c>
      <c r="V320" s="6" t="s">
        <v>1314</v>
      </c>
      <c r="W320" s="6">
        <v>2025</v>
      </c>
      <c r="X320" s="6">
        <v>11</v>
      </c>
      <c r="Y320" s="6" t="s">
        <v>1315</v>
      </c>
      <c r="Z320" s="6">
        <v>2025</v>
      </c>
      <c r="AA320" s="6" t="s">
        <v>1316</v>
      </c>
      <c r="AB320" s="6" t="str">
        <f>VLOOKUP(S320,Mapping!A:C,3,FALSE)</f>
        <v>Primary</v>
      </c>
    </row>
    <row r="321" spans="1:28" x14ac:dyDescent="0.35">
      <c r="A321" s="6" t="s">
        <v>1302</v>
      </c>
      <c r="B321" s="6" t="s">
        <v>1303</v>
      </c>
      <c r="C321" s="6" t="s">
        <v>1304</v>
      </c>
      <c r="D321" s="6" t="s">
        <v>1305</v>
      </c>
      <c r="E321" s="6" t="s">
        <v>1306</v>
      </c>
      <c r="F321" s="6" t="s">
        <v>1307</v>
      </c>
      <c r="G321" s="6" t="s">
        <v>1308</v>
      </c>
      <c r="H321" s="6" t="s">
        <v>1632</v>
      </c>
      <c r="I321" s="6">
        <v>0</v>
      </c>
      <c r="J321" s="6">
        <v>200.93</v>
      </c>
      <c r="K321" s="6">
        <v>1</v>
      </c>
      <c r="L321" s="6" t="s">
        <v>2071</v>
      </c>
      <c r="M321" s="6" t="e">
        <f>VLOOKUP(L321,'Nov Inv Recon'!H:H,1,FALSE)</f>
        <v>#N/A</v>
      </c>
      <c r="N321" s="6" t="e">
        <f>VLOOKUP(L321,VictoryHeitrich!D:D,1,FALSE)</f>
        <v>#N/A</v>
      </c>
      <c r="O321" s="6" t="s">
        <v>217</v>
      </c>
      <c r="P321" s="6" t="s">
        <v>1311</v>
      </c>
      <c r="Q321" s="6" t="s">
        <v>2709</v>
      </c>
      <c r="R321" s="6" t="s">
        <v>2709</v>
      </c>
      <c r="S321" s="6" t="s">
        <v>48</v>
      </c>
      <c r="T321" s="6" t="s">
        <v>49</v>
      </c>
      <c r="U321" s="6" t="s">
        <v>1313</v>
      </c>
      <c r="V321" s="6" t="s">
        <v>1314</v>
      </c>
      <c r="W321" s="6">
        <v>2025</v>
      </c>
      <c r="X321" s="6">
        <v>11</v>
      </c>
      <c r="Y321" s="6" t="s">
        <v>1315</v>
      </c>
      <c r="Z321" s="6">
        <v>2025</v>
      </c>
      <c r="AA321" s="6" t="s">
        <v>1316</v>
      </c>
      <c r="AB321" s="6" t="str">
        <f>VLOOKUP(S321,Mapping!A:C,3,FALSE)</f>
        <v>Primary</v>
      </c>
    </row>
    <row r="322" spans="1:28" x14ac:dyDescent="0.35">
      <c r="A322" s="6" t="s">
        <v>1302</v>
      </c>
      <c r="B322" s="6" t="s">
        <v>1303</v>
      </c>
      <c r="C322" s="6" t="s">
        <v>1304</v>
      </c>
      <c r="D322" s="6" t="s">
        <v>1305</v>
      </c>
      <c r="E322" s="6" t="s">
        <v>1306</v>
      </c>
      <c r="F322" s="6" t="s">
        <v>1307</v>
      </c>
      <c r="G322" s="6" t="s">
        <v>1308</v>
      </c>
      <c r="H322" s="6" t="s">
        <v>1897</v>
      </c>
      <c r="I322" s="6">
        <v>0</v>
      </c>
      <c r="J322" s="6">
        <v>342.1</v>
      </c>
      <c r="K322" s="6">
        <v>1</v>
      </c>
      <c r="L322" s="6" t="s">
        <v>2130</v>
      </c>
      <c r="M322" s="6" t="e">
        <f>VLOOKUP(L322,'Nov Inv Recon'!H:H,1,FALSE)</f>
        <v>#N/A</v>
      </c>
      <c r="N322" s="6" t="e">
        <f>VLOOKUP(L322,VictoryHeitrich!D:D,1,FALSE)</f>
        <v>#N/A</v>
      </c>
      <c r="O322" s="6" t="s">
        <v>773</v>
      </c>
      <c r="P322" s="6" t="s">
        <v>1311</v>
      </c>
      <c r="Q322" s="6" t="s">
        <v>2710</v>
      </c>
      <c r="R322" s="6" t="s">
        <v>2710</v>
      </c>
      <c r="S322" s="6" t="s">
        <v>48</v>
      </c>
      <c r="T322" s="6" t="s">
        <v>49</v>
      </c>
      <c r="U322" s="6" t="s">
        <v>1313</v>
      </c>
      <c r="V322" s="6" t="s">
        <v>1314</v>
      </c>
      <c r="W322" s="6">
        <v>2025</v>
      </c>
      <c r="X322" s="6">
        <v>11</v>
      </c>
      <c r="Y322" s="6" t="s">
        <v>1315</v>
      </c>
      <c r="Z322" s="6">
        <v>2025</v>
      </c>
      <c r="AA322" s="6" t="s">
        <v>1316</v>
      </c>
      <c r="AB322" s="6" t="str">
        <f>VLOOKUP(S322,Mapping!A:C,3,FALSE)</f>
        <v>Primary</v>
      </c>
    </row>
    <row r="323" spans="1:28" x14ac:dyDescent="0.35">
      <c r="A323" s="6" t="s">
        <v>1302</v>
      </c>
      <c r="B323" s="6" t="s">
        <v>1303</v>
      </c>
      <c r="C323" s="6" t="s">
        <v>1304</v>
      </c>
      <c r="D323" s="6" t="s">
        <v>1305</v>
      </c>
      <c r="E323" s="6" t="s">
        <v>1306</v>
      </c>
      <c r="F323" s="6" t="s">
        <v>1307</v>
      </c>
      <c r="G323" s="6" t="s">
        <v>1308</v>
      </c>
      <c r="H323" s="6" t="s">
        <v>1974</v>
      </c>
      <c r="I323" s="6">
        <v>50.17</v>
      </c>
      <c r="J323" s="6">
        <v>0</v>
      </c>
      <c r="K323" s="6">
        <v>1</v>
      </c>
      <c r="L323" s="6" t="s">
        <v>2211</v>
      </c>
      <c r="M323" s="6" t="e">
        <f>VLOOKUP(L323,'Nov Inv Recon'!H:H,1,FALSE)</f>
        <v>#N/A</v>
      </c>
      <c r="N323" s="6" t="e">
        <f>VLOOKUP(L323,VictoryHeitrich!D:D,1,FALSE)</f>
        <v>#N/A</v>
      </c>
      <c r="O323" s="6" t="s">
        <v>876</v>
      </c>
      <c r="P323" s="6" t="s">
        <v>1311</v>
      </c>
      <c r="Q323" s="6" t="s">
        <v>2679</v>
      </c>
      <c r="S323" s="6" t="s">
        <v>48</v>
      </c>
      <c r="T323" s="6" t="s">
        <v>49</v>
      </c>
      <c r="U323" s="6" t="s">
        <v>1313</v>
      </c>
      <c r="V323" s="6" t="s">
        <v>1314</v>
      </c>
      <c r="W323" s="6">
        <v>2025</v>
      </c>
      <c r="X323" s="6">
        <v>11</v>
      </c>
      <c r="Y323" s="6" t="s">
        <v>1315</v>
      </c>
      <c r="Z323" s="6">
        <v>2025</v>
      </c>
      <c r="AA323" s="6" t="s">
        <v>1316</v>
      </c>
      <c r="AB323" s="6" t="str">
        <f>VLOOKUP(S323,Mapping!A:C,3,FALSE)</f>
        <v>Primary</v>
      </c>
    </row>
    <row r="324" spans="1:28" x14ac:dyDescent="0.35">
      <c r="A324" s="6" t="s">
        <v>1302</v>
      </c>
      <c r="B324" s="6" t="s">
        <v>1303</v>
      </c>
      <c r="C324" s="6" t="s">
        <v>1304</v>
      </c>
      <c r="D324" s="6" t="s">
        <v>1305</v>
      </c>
      <c r="E324" s="6" t="s">
        <v>1306</v>
      </c>
      <c r="F324" s="6" t="s">
        <v>1307</v>
      </c>
      <c r="G324" s="6" t="s">
        <v>1308</v>
      </c>
      <c r="H324" s="6" t="s">
        <v>1682</v>
      </c>
      <c r="I324" s="6">
        <v>253.59</v>
      </c>
      <c r="J324" s="6">
        <v>0</v>
      </c>
      <c r="K324" s="6">
        <v>1</v>
      </c>
      <c r="L324" s="6" t="s">
        <v>2246</v>
      </c>
      <c r="M324" s="6" t="e">
        <f>VLOOKUP(L324,'Nov Inv Recon'!H:H,1,FALSE)</f>
        <v>#N/A</v>
      </c>
      <c r="N324" s="6" t="e">
        <f>VLOOKUP(L324,VictoryHeitrich!D:D,1,FALSE)</f>
        <v>#N/A</v>
      </c>
      <c r="O324" s="6" t="s">
        <v>672</v>
      </c>
      <c r="P324" s="6" t="s">
        <v>1311</v>
      </c>
      <c r="Q324" s="6" t="s">
        <v>2679</v>
      </c>
      <c r="S324" s="6" t="s">
        <v>48</v>
      </c>
      <c r="T324" s="6" t="s">
        <v>49</v>
      </c>
      <c r="U324" s="6" t="s">
        <v>1313</v>
      </c>
      <c r="V324" s="6" t="s">
        <v>1314</v>
      </c>
      <c r="W324" s="6">
        <v>2025</v>
      </c>
      <c r="X324" s="6">
        <v>11</v>
      </c>
      <c r="Y324" s="6" t="s">
        <v>1315</v>
      </c>
      <c r="Z324" s="6">
        <v>2025</v>
      </c>
      <c r="AA324" s="6" t="s">
        <v>1316</v>
      </c>
      <c r="AB324" s="6" t="str">
        <f>VLOOKUP(S324,Mapping!A:C,3,FALSE)</f>
        <v>Primary</v>
      </c>
    </row>
    <row r="325" spans="1:28" x14ac:dyDescent="0.35">
      <c r="A325" s="6" t="s">
        <v>1302</v>
      </c>
      <c r="B325" s="6" t="s">
        <v>1303</v>
      </c>
      <c r="C325" s="6" t="s">
        <v>1304</v>
      </c>
      <c r="D325" s="6" t="s">
        <v>1305</v>
      </c>
      <c r="E325" s="6" t="s">
        <v>1306</v>
      </c>
      <c r="F325" s="6" t="s">
        <v>1307</v>
      </c>
      <c r="G325" s="6" t="s">
        <v>1308</v>
      </c>
      <c r="H325" s="6" t="s">
        <v>1842</v>
      </c>
      <c r="I325" s="6">
        <v>103.26</v>
      </c>
      <c r="J325" s="6">
        <v>0</v>
      </c>
      <c r="K325" s="6">
        <v>1</v>
      </c>
      <c r="L325" s="6" t="s">
        <v>1835</v>
      </c>
      <c r="M325" s="6" t="e">
        <f>VLOOKUP(L325,'Nov Inv Recon'!H:H,1,FALSE)</f>
        <v>#N/A</v>
      </c>
      <c r="N325" s="6" t="e">
        <f>VLOOKUP(L325,VictoryHeitrich!D:D,1,FALSE)</f>
        <v>#N/A</v>
      </c>
      <c r="O325" s="6" t="s">
        <v>1837</v>
      </c>
      <c r="P325" s="6" t="s">
        <v>1311</v>
      </c>
      <c r="Q325" s="6" t="s">
        <v>2679</v>
      </c>
      <c r="S325" s="6" t="s">
        <v>48</v>
      </c>
      <c r="T325" s="6" t="s">
        <v>49</v>
      </c>
      <c r="U325" s="6" t="s">
        <v>1313</v>
      </c>
      <c r="V325" s="6" t="s">
        <v>1314</v>
      </c>
      <c r="W325" s="6">
        <v>2025</v>
      </c>
      <c r="X325" s="6">
        <v>11</v>
      </c>
      <c r="Y325" s="6" t="s">
        <v>1315</v>
      </c>
      <c r="Z325" s="6">
        <v>2025</v>
      </c>
      <c r="AA325" s="6" t="s">
        <v>1316</v>
      </c>
      <c r="AB325" s="6" t="str">
        <f>VLOOKUP(S325,Mapping!A:C,3,FALSE)</f>
        <v>Primary</v>
      </c>
    </row>
    <row r="326" spans="1:28" x14ac:dyDescent="0.35">
      <c r="A326" s="6" t="s">
        <v>1302</v>
      </c>
      <c r="B326" s="6" t="s">
        <v>1303</v>
      </c>
      <c r="C326" s="6" t="s">
        <v>1304</v>
      </c>
      <c r="D326" s="6" t="s">
        <v>1305</v>
      </c>
      <c r="E326" s="6" t="s">
        <v>1306</v>
      </c>
      <c r="F326" s="6" t="s">
        <v>1307</v>
      </c>
      <c r="G326" s="6" t="s">
        <v>1308</v>
      </c>
      <c r="H326" s="6" t="s">
        <v>1777</v>
      </c>
      <c r="I326" s="6">
        <v>75.02</v>
      </c>
      <c r="J326" s="6">
        <v>0</v>
      </c>
      <c r="K326" s="6">
        <v>1</v>
      </c>
      <c r="L326" s="6" t="s">
        <v>2346</v>
      </c>
      <c r="M326" s="6" t="e">
        <f>VLOOKUP(L326,'Nov Inv Recon'!H:H,1,FALSE)</f>
        <v>#N/A</v>
      </c>
      <c r="N326" s="6" t="e">
        <f>VLOOKUP(L326,VictoryHeitrich!D:D,1,FALSE)</f>
        <v>#N/A</v>
      </c>
      <c r="O326" s="6" t="s">
        <v>630</v>
      </c>
      <c r="P326" s="6" t="s">
        <v>1311</v>
      </c>
      <c r="Q326" s="6" t="s">
        <v>2679</v>
      </c>
      <c r="S326" s="6" t="s">
        <v>48</v>
      </c>
      <c r="T326" s="6" t="s">
        <v>49</v>
      </c>
      <c r="U326" s="6" t="s">
        <v>1313</v>
      </c>
      <c r="V326" s="6" t="s">
        <v>1314</v>
      </c>
      <c r="W326" s="6">
        <v>2025</v>
      </c>
      <c r="X326" s="6">
        <v>11</v>
      </c>
      <c r="Y326" s="6" t="s">
        <v>1315</v>
      </c>
      <c r="Z326" s="6">
        <v>2025</v>
      </c>
      <c r="AA326" s="6" t="s">
        <v>1316</v>
      </c>
      <c r="AB326" s="6" t="str">
        <f>VLOOKUP(S326,Mapping!A:C,3,FALSE)</f>
        <v>Primary</v>
      </c>
    </row>
    <row r="327" spans="1:28" x14ac:dyDescent="0.35">
      <c r="A327" s="6" t="s">
        <v>1302</v>
      </c>
      <c r="B327" s="6" t="s">
        <v>1303</v>
      </c>
      <c r="C327" s="6" t="s">
        <v>1304</v>
      </c>
      <c r="D327" s="6" t="s">
        <v>1305</v>
      </c>
      <c r="E327" s="6" t="s">
        <v>1306</v>
      </c>
      <c r="F327" s="6" t="s">
        <v>1307</v>
      </c>
      <c r="G327" s="6" t="s">
        <v>1308</v>
      </c>
      <c r="H327" s="6" t="s">
        <v>1777</v>
      </c>
      <c r="I327" s="6">
        <v>141</v>
      </c>
      <c r="J327" s="6">
        <v>0</v>
      </c>
      <c r="K327" s="6">
        <v>1</v>
      </c>
      <c r="L327" s="6" t="s">
        <v>1851</v>
      </c>
      <c r="M327" s="6" t="e">
        <f>VLOOKUP(L327,'Nov Inv Recon'!H:H,1,FALSE)</f>
        <v>#N/A</v>
      </c>
      <c r="N327" s="6" t="e">
        <f>VLOOKUP(L327,VictoryHeitrich!D:D,1,FALSE)</f>
        <v>#N/A</v>
      </c>
      <c r="O327" s="6" t="s">
        <v>60</v>
      </c>
      <c r="P327" s="6" t="s">
        <v>1311</v>
      </c>
      <c r="Q327" s="6" t="s">
        <v>2679</v>
      </c>
      <c r="S327" s="6" t="s">
        <v>48</v>
      </c>
      <c r="T327" s="6" t="s">
        <v>49</v>
      </c>
      <c r="U327" s="6" t="s">
        <v>1313</v>
      </c>
      <c r="V327" s="6" t="s">
        <v>1314</v>
      </c>
      <c r="W327" s="6">
        <v>2025</v>
      </c>
      <c r="X327" s="6">
        <v>11</v>
      </c>
      <c r="Y327" s="6" t="s">
        <v>1315</v>
      </c>
      <c r="Z327" s="6">
        <v>2025</v>
      </c>
      <c r="AA327" s="6" t="s">
        <v>1316</v>
      </c>
      <c r="AB327" s="6" t="str">
        <f>VLOOKUP(S327,Mapping!A:C,3,FALSE)</f>
        <v>Primary</v>
      </c>
    </row>
    <row r="328" spans="1:28" x14ac:dyDescent="0.35">
      <c r="A328" s="6" t="s">
        <v>1302</v>
      </c>
      <c r="B328" s="6" t="s">
        <v>1303</v>
      </c>
      <c r="C328" s="6" t="s">
        <v>1304</v>
      </c>
      <c r="D328" s="6" t="s">
        <v>1305</v>
      </c>
      <c r="E328" s="6" t="s">
        <v>1306</v>
      </c>
      <c r="F328" s="6" t="s">
        <v>1307</v>
      </c>
      <c r="G328" s="6" t="s">
        <v>1308</v>
      </c>
      <c r="H328" s="6" t="s">
        <v>1765</v>
      </c>
      <c r="I328" s="6">
        <v>549.52</v>
      </c>
      <c r="J328" s="6">
        <v>0</v>
      </c>
      <c r="K328" s="6">
        <v>1</v>
      </c>
      <c r="L328" s="6" t="s">
        <v>2360</v>
      </c>
      <c r="M328" s="6" t="e">
        <f>VLOOKUP(L328,'Nov Inv Recon'!H:H,1,FALSE)</f>
        <v>#N/A</v>
      </c>
      <c r="N328" s="6" t="e">
        <f>VLOOKUP(L328,VictoryHeitrich!D:D,1,FALSE)</f>
        <v>#N/A</v>
      </c>
      <c r="O328" s="6" t="s">
        <v>492</v>
      </c>
      <c r="P328" s="6" t="s">
        <v>1311</v>
      </c>
      <c r="Q328" s="6" t="s">
        <v>2679</v>
      </c>
      <c r="S328" s="6" t="s">
        <v>48</v>
      </c>
      <c r="T328" s="6" t="s">
        <v>49</v>
      </c>
      <c r="U328" s="6" t="s">
        <v>1313</v>
      </c>
      <c r="V328" s="6" t="s">
        <v>1314</v>
      </c>
      <c r="W328" s="6">
        <v>2025</v>
      </c>
      <c r="X328" s="6">
        <v>11</v>
      </c>
      <c r="Y328" s="6" t="s">
        <v>1315</v>
      </c>
      <c r="Z328" s="6">
        <v>2025</v>
      </c>
      <c r="AA328" s="6" t="s">
        <v>1316</v>
      </c>
      <c r="AB328" s="6" t="str">
        <f>VLOOKUP(S328,Mapping!A:C,3,FALSE)</f>
        <v>Primary</v>
      </c>
    </row>
    <row r="329" spans="1:28" x14ac:dyDescent="0.35">
      <c r="A329" s="6" t="s">
        <v>1302</v>
      </c>
      <c r="B329" s="6" t="s">
        <v>1303</v>
      </c>
      <c r="C329" s="6" t="s">
        <v>1304</v>
      </c>
      <c r="D329" s="6" t="s">
        <v>1305</v>
      </c>
      <c r="E329" s="6" t="s">
        <v>1306</v>
      </c>
      <c r="F329" s="6" t="s">
        <v>1307</v>
      </c>
      <c r="G329" s="6" t="s">
        <v>1308</v>
      </c>
      <c r="H329" s="6" t="s">
        <v>2398</v>
      </c>
      <c r="I329" s="6">
        <v>0</v>
      </c>
      <c r="J329" s="6">
        <v>319</v>
      </c>
      <c r="K329" s="6">
        <v>1</v>
      </c>
      <c r="L329" s="6" t="s">
        <v>2310</v>
      </c>
      <c r="M329" s="6" t="e">
        <f>VLOOKUP(L329,'Nov Inv Recon'!H:H,1,FALSE)</f>
        <v>#N/A</v>
      </c>
      <c r="N329" s="6" t="e">
        <f>VLOOKUP(L329,VictoryHeitrich!D:D,1,FALSE)</f>
        <v>#N/A</v>
      </c>
      <c r="O329" s="6" t="s">
        <v>682</v>
      </c>
      <c r="P329" s="6" t="s">
        <v>1311</v>
      </c>
      <c r="Q329" s="6" t="s">
        <v>2711</v>
      </c>
      <c r="R329" s="6" t="s">
        <v>2711</v>
      </c>
      <c r="S329" s="6" t="s">
        <v>48</v>
      </c>
      <c r="T329" s="6" t="s">
        <v>49</v>
      </c>
      <c r="U329" s="6" t="s">
        <v>1313</v>
      </c>
      <c r="V329" s="6" t="s">
        <v>1314</v>
      </c>
      <c r="W329" s="6">
        <v>2025</v>
      </c>
      <c r="X329" s="6">
        <v>11</v>
      </c>
      <c r="Y329" s="6" t="s">
        <v>1315</v>
      </c>
      <c r="Z329" s="6">
        <v>2025</v>
      </c>
      <c r="AA329" s="6" t="s">
        <v>1316</v>
      </c>
      <c r="AB329" s="6" t="str">
        <f>VLOOKUP(S329,Mapping!A:C,3,FALSE)</f>
        <v>Primary</v>
      </c>
    </row>
    <row r="330" spans="1:28" x14ac:dyDescent="0.35">
      <c r="A330" s="6" t="s">
        <v>1302</v>
      </c>
      <c r="B330" s="6" t="s">
        <v>1303</v>
      </c>
      <c r="C330" s="6" t="s">
        <v>1304</v>
      </c>
      <c r="D330" s="6" t="s">
        <v>1305</v>
      </c>
      <c r="E330" s="6" t="s">
        <v>1306</v>
      </c>
      <c r="F330" s="6" t="s">
        <v>1307</v>
      </c>
      <c r="G330" s="6" t="s">
        <v>1308</v>
      </c>
      <c r="H330" s="6" t="s">
        <v>2400</v>
      </c>
      <c r="I330" s="6">
        <v>0</v>
      </c>
      <c r="J330" s="6">
        <v>319</v>
      </c>
      <c r="K330" s="6">
        <v>1</v>
      </c>
      <c r="L330" s="6" t="s">
        <v>2291</v>
      </c>
      <c r="M330" s="6" t="e">
        <f>VLOOKUP(L330,'Nov Inv Recon'!H:H,1,FALSE)</f>
        <v>#N/A</v>
      </c>
      <c r="N330" s="6" t="e">
        <f>VLOOKUP(L330,VictoryHeitrich!D:D,1,FALSE)</f>
        <v>#N/A</v>
      </c>
      <c r="O330" s="6" t="s">
        <v>676</v>
      </c>
      <c r="P330" s="6" t="s">
        <v>1311</v>
      </c>
      <c r="Q330" s="6" t="s">
        <v>2712</v>
      </c>
      <c r="R330" s="6" t="s">
        <v>2712</v>
      </c>
      <c r="S330" s="6" t="s">
        <v>48</v>
      </c>
      <c r="T330" s="6" t="s">
        <v>49</v>
      </c>
      <c r="U330" s="6" t="s">
        <v>1313</v>
      </c>
      <c r="V330" s="6" t="s">
        <v>1314</v>
      </c>
      <c r="W330" s="6">
        <v>2025</v>
      </c>
      <c r="X330" s="6">
        <v>11</v>
      </c>
      <c r="Y330" s="6" t="s">
        <v>1315</v>
      </c>
      <c r="Z330" s="6">
        <v>2025</v>
      </c>
      <c r="AA330" s="6" t="s">
        <v>1316</v>
      </c>
      <c r="AB330" s="6" t="str">
        <f>VLOOKUP(S330,Mapping!A:C,3,FALSE)</f>
        <v>Primary</v>
      </c>
    </row>
    <row r="331" spans="1:28" x14ac:dyDescent="0.35">
      <c r="A331" s="6" t="s">
        <v>1302</v>
      </c>
      <c r="B331" s="6" t="s">
        <v>1303</v>
      </c>
      <c r="C331" s="6" t="s">
        <v>1304</v>
      </c>
      <c r="D331" s="6" t="s">
        <v>1305</v>
      </c>
      <c r="E331" s="6" t="s">
        <v>1306</v>
      </c>
      <c r="F331" s="6" t="s">
        <v>1307</v>
      </c>
      <c r="G331" s="6" t="s">
        <v>1308</v>
      </c>
      <c r="H331" s="6" t="s">
        <v>1632</v>
      </c>
      <c r="I331" s="6">
        <v>0</v>
      </c>
      <c r="J331" s="6">
        <v>200.93</v>
      </c>
      <c r="K331" s="6">
        <v>1</v>
      </c>
      <c r="L331" s="6" t="s">
        <v>2180</v>
      </c>
      <c r="M331" s="6" t="e">
        <f>VLOOKUP(L331,'Nov Inv Recon'!H:H,1,FALSE)</f>
        <v>#N/A</v>
      </c>
      <c r="N331" s="6" t="e">
        <f>VLOOKUP(L331,VictoryHeitrich!D:D,1,FALSE)</f>
        <v>#N/A</v>
      </c>
      <c r="O331" s="6" t="s">
        <v>204</v>
      </c>
      <c r="P331" s="6" t="s">
        <v>1311</v>
      </c>
      <c r="Q331" s="6" t="s">
        <v>2713</v>
      </c>
      <c r="R331" s="6" t="s">
        <v>2713</v>
      </c>
      <c r="S331" s="6" t="s">
        <v>48</v>
      </c>
      <c r="T331" s="6" t="s">
        <v>49</v>
      </c>
      <c r="U331" s="6" t="s">
        <v>1313</v>
      </c>
      <c r="V331" s="6" t="s">
        <v>1314</v>
      </c>
      <c r="W331" s="6">
        <v>2025</v>
      </c>
      <c r="X331" s="6">
        <v>11</v>
      </c>
      <c r="Y331" s="6" t="s">
        <v>1315</v>
      </c>
      <c r="Z331" s="6">
        <v>2025</v>
      </c>
      <c r="AA331" s="6" t="s">
        <v>1316</v>
      </c>
      <c r="AB331" s="6" t="str">
        <f>VLOOKUP(S331,Mapping!A:C,3,FALSE)</f>
        <v>Primary</v>
      </c>
    </row>
    <row r="332" spans="1:28" x14ac:dyDescent="0.35">
      <c r="A332" s="6" t="s">
        <v>1302</v>
      </c>
      <c r="B332" s="6" t="s">
        <v>1303</v>
      </c>
      <c r="C332" s="6" t="s">
        <v>1304</v>
      </c>
      <c r="D332" s="6" t="s">
        <v>1305</v>
      </c>
      <c r="E332" s="6" t="s">
        <v>1306</v>
      </c>
      <c r="F332" s="6" t="s">
        <v>1307</v>
      </c>
      <c r="G332" s="6" t="s">
        <v>1308</v>
      </c>
      <c r="H332" s="6" t="s">
        <v>1632</v>
      </c>
      <c r="I332" s="6">
        <v>674.18</v>
      </c>
      <c r="J332" s="6">
        <v>0</v>
      </c>
      <c r="K332" s="6">
        <v>1</v>
      </c>
      <c r="L332" s="6" t="s">
        <v>2156</v>
      </c>
      <c r="M332" s="6" t="e">
        <f>VLOOKUP(L332,'Nov Inv Recon'!H:H,1,FALSE)</f>
        <v>#N/A</v>
      </c>
      <c r="N332" s="6" t="e">
        <f>VLOOKUP(L332,VictoryHeitrich!D:D,1,FALSE)</f>
        <v>#N/A</v>
      </c>
      <c r="O332" s="6" t="s">
        <v>215</v>
      </c>
      <c r="P332" s="6" t="s">
        <v>1311</v>
      </c>
      <c r="Q332" s="6" t="s">
        <v>2679</v>
      </c>
      <c r="S332" s="6" t="s">
        <v>48</v>
      </c>
      <c r="T332" s="6" t="s">
        <v>49</v>
      </c>
      <c r="U332" s="6" t="s">
        <v>1313</v>
      </c>
      <c r="V332" s="6" t="s">
        <v>1314</v>
      </c>
      <c r="W332" s="6">
        <v>2025</v>
      </c>
      <c r="X332" s="6">
        <v>11</v>
      </c>
      <c r="Y332" s="6" t="s">
        <v>1315</v>
      </c>
      <c r="Z332" s="6">
        <v>2025</v>
      </c>
      <c r="AA332" s="6" t="s">
        <v>1316</v>
      </c>
      <c r="AB332" s="6" t="str">
        <f>VLOOKUP(S332,Mapping!A:C,3,FALSE)</f>
        <v>Primary</v>
      </c>
    </row>
    <row r="333" spans="1:28" x14ac:dyDescent="0.35">
      <c r="A333" s="6" t="s">
        <v>1302</v>
      </c>
      <c r="B333" s="6" t="s">
        <v>1303</v>
      </c>
      <c r="C333" s="6" t="s">
        <v>1304</v>
      </c>
      <c r="D333" s="6" t="s">
        <v>1305</v>
      </c>
      <c r="E333" s="6" t="s">
        <v>1306</v>
      </c>
      <c r="F333" s="6" t="s">
        <v>1307</v>
      </c>
      <c r="G333" s="6" t="s">
        <v>1308</v>
      </c>
      <c r="H333" s="6" t="s">
        <v>1632</v>
      </c>
      <c r="I333" s="6">
        <v>171.28</v>
      </c>
      <c r="J333" s="6">
        <v>0</v>
      </c>
      <c r="K333" s="6">
        <v>1</v>
      </c>
      <c r="L333" s="6" t="s">
        <v>2172</v>
      </c>
      <c r="M333" s="6" t="e">
        <f>VLOOKUP(L333,'Nov Inv Recon'!H:H,1,FALSE)</f>
        <v>#N/A</v>
      </c>
      <c r="N333" s="6" t="e">
        <f>VLOOKUP(L333,VictoryHeitrich!D:D,1,FALSE)</f>
        <v>#N/A</v>
      </c>
      <c r="O333" s="6" t="s">
        <v>200</v>
      </c>
      <c r="P333" s="6" t="s">
        <v>1311</v>
      </c>
      <c r="Q333" s="6" t="s">
        <v>2679</v>
      </c>
      <c r="S333" s="6" t="s">
        <v>48</v>
      </c>
      <c r="T333" s="6" t="s">
        <v>49</v>
      </c>
      <c r="U333" s="6" t="s">
        <v>1313</v>
      </c>
      <c r="V333" s="6" t="s">
        <v>1314</v>
      </c>
      <c r="W333" s="6">
        <v>2025</v>
      </c>
      <c r="X333" s="6">
        <v>11</v>
      </c>
      <c r="Y333" s="6" t="s">
        <v>1315</v>
      </c>
      <c r="Z333" s="6">
        <v>2025</v>
      </c>
      <c r="AA333" s="6" t="s">
        <v>1316</v>
      </c>
      <c r="AB333" s="6" t="str">
        <f>VLOOKUP(S333,Mapping!A:C,3,FALSE)</f>
        <v>Primary</v>
      </c>
    </row>
    <row r="334" spans="1:28" x14ac:dyDescent="0.35">
      <c r="A334" s="6" t="s">
        <v>1302</v>
      </c>
      <c r="B334" s="6" t="s">
        <v>1303</v>
      </c>
      <c r="C334" s="6" t="s">
        <v>1304</v>
      </c>
      <c r="D334" s="6" t="s">
        <v>1305</v>
      </c>
      <c r="E334" s="6" t="s">
        <v>1306</v>
      </c>
      <c r="F334" s="6" t="s">
        <v>1307</v>
      </c>
      <c r="G334" s="6" t="s">
        <v>1308</v>
      </c>
      <c r="H334" s="6" t="s">
        <v>1632</v>
      </c>
      <c r="I334" s="6">
        <v>0</v>
      </c>
      <c r="J334" s="6">
        <v>213.49</v>
      </c>
      <c r="K334" s="6">
        <v>1</v>
      </c>
      <c r="L334" s="6" t="s">
        <v>2270</v>
      </c>
      <c r="M334" s="6" t="e">
        <f>VLOOKUP(L334,'Nov Inv Recon'!H:H,1,FALSE)</f>
        <v>#N/A</v>
      </c>
      <c r="N334" s="6" t="e">
        <f>VLOOKUP(L334,VictoryHeitrich!D:D,1,FALSE)</f>
        <v>#N/A</v>
      </c>
      <c r="O334" s="6" t="s">
        <v>233</v>
      </c>
      <c r="P334" s="6" t="s">
        <v>1311</v>
      </c>
      <c r="Q334" s="6" t="s">
        <v>2714</v>
      </c>
      <c r="R334" s="6" t="s">
        <v>2714</v>
      </c>
      <c r="S334" s="6" t="s">
        <v>48</v>
      </c>
      <c r="T334" s="6" t="s">
        <v>49</v>
      </c>
      <c r="U334" s="6" t="s">
        <v>1313</v>
      </c>
      <c r="V334" s="6" t="s">
        <v>1314</v>
      </c>
      <c r="W334" s="6">
        <v>2025</v>
      </c>
      <c r="X334" s="6">
        <v>11</v>
      </c>
      <c r="Y334" s="6" t="s">
        <v>1315</v>
      </c>
      <c r="Z334" s="6">
        <v>2025</v>
      </c>
      <c r="AA334" s="6" t="s">
        <v>1316</v>
      </c>
      <c r="AB334" s="6" t="str">
        <f>VLOOKUP(S334,Mapping!A:C,3,FALSE)</f>
        <v>Primary</v>
      </c>
    </row>
    <row r="335" spans="1:28" x14ac:dyDescent="0.35">
      <c r="A335" s="6" t="s">
        <v>1302</v>
      </c>
      <c r="B335" s="6" t="s">
        <v>1303</v>
      </c>
      <c r="C335" s="6" t="s">
        <v>1304</v>
      </c>
      <c r="D335" s="6" t="s">
        <v>1305</v>
      </c>
      <c r="E335" s="6" t="s">
        <v>1306</v>
      </c>
      <c r="F335" s="6" t="s">
        <v>1307</v>
      </c>
      <c r="G335" s="6" t="s">
        <v>1308</v>
      </c>
      <c r="H335" s="6" t="s">
        <v>1719</v>
      </c>
      <c r="I335" s="6">
        <v>0</v>
      </c>
      <c r="J335" s="6">
        <v>299</v>
      </c>
      <c r="K335" s="6">
        <v>1</v>
      </c>
      <c r="L335" s="6" t="s">
        <v>487</v>
      </c>
      <c r="M335" s="6" t="str">
        <f>VLOOKUP(L335,'Nov Inv Recon'!H:H,1,FALSE)</f>
        <v>08300016</v>
      </c>
      <c r="N335" s="6" t="e">
        <f>VLOOKUP(L335,VictoryHeitrich!D:D,1,FALSE)</f>
        <v>#N/A</v>
      </c>
      <c r="O335" s="6" t="s">
        <v>488</v>
      </c>
      <c r="P335" s="6" t="s">
        <v>1311</v>
      </c>
      <c r="Q335" s="6" t="s">
        <v>2715</v>
      </c>
      <c r="R335" s="6" t="s">
        <v>2715</v>
      </c>
      <c r="S335" s="6" t="s">
        <v>48</v>
      </c>
      <c r="T335" s="6" t="s">
        <v>49</v>
      </c>
      <c r="U335" s="6" t="s">
        <v>1313</v>
      </c>
      <c r="V335" s="6" t="s">
        <v>1314</v>
      </c>
      <c r="W335" s="6">
        <v>2025</v>
      </c>
      <c r="X335" s="6">
        <v>11</v>
      </c>
      <c r="Y335" s="6" t="s">
        <v>1315</v>
      </c>
      <c r="Z335" s="6">
        <v>2025</v>
      </c>
      <c r="AA335" s="6" t="s">
        <v>1316</v>
      </c>
      <c r="AB335" s="6" t="str">
        <f>VLOOKUP(S335,Mapping!A:C,3,FALSE)</f>
        <v>Primary</v>
      </c>
    </row>
    <row r="336" spans="1:28" x14ac:dyDescent="0.35">
      <c r="A336" s="6" t="s">
        <v>1302</v>
      </c>
      <c r="B336" s="6" t="s">
        <v>1303</v>
      </c>
      <c r="C336" s="6" t="s">
        <v>1304</v>
      </c>
      <c r="D336" s="6" t="s">
        <v>1305</v>
      </c>
      <c r="E336" s="6" t="s">
        <v>1306</v>
      </c>
      <c r="F336" s="6" t="s">
        <v>1307</v>
      </c>
      <c r="G336" s="6" t="s">
        <v>1308</v>
      </c>
      <c r="H336" s="6" t="s">
        <v>1632</v>
      </c>
      <c r="I336" s="6">
        <v>208.4</v>
      </c>
      <c r="J336" s="6">
        <v>0</v>
      </c>
      <c r="K336" s="6">
        <v>1</v>
      </c>
      <c r="L336" s="6" t="s">
        <v>2058</v>
      </c>
      <c r="M336" s="6" t="e">
        <f>VLOOKUP(L336,'Nov Inv Recon'!H:H,1,FALSE)</f>
        <v>#N/A</v>
      </c>
      <c r="N336" s="6" t="e">
        <f>VLOOKUP(L336,VictoryHeitrich!D:D,1,FALSE)</f>
        <v>#N/A</v>
      </c>
      <c r="O336" s="6" t="s">
        <v>903</v>
      </c>
      <c r="P336" s="6" t="s">
        <v>1311</v>
      </c>
      <c r="Q336" s="6" t="s">
        <v>2679</v>
      </c>
      <c r="S336" s="6" t="s">
        <v>48</v>
      </c>
      <c r="T336" s="6" t="s">
        <v>49</v>
      </c>
      <c r="U336" s="6" t="s">
        <v>1313</v>
      </c>
      <c r="V336" s="6" t="s">
        <v>1314</v>
      </c>
      <c r="W336" s="6">
        <v>2025</v>
      </c>
      <c r="X336" s="6">
        <v>11</v>
      </c>
      <c r="Y336" s="6" t="s">
        <v>1315</v>
      </c>
      <c r="Z336" s="6">
        <v>2025</v>
      </c>
      <c r="AA336" s="6" t="s">
        <v>1316</v>
      </c>
      <c r="AB336" s="6" t="str">
        <f>VLOOKUP(S336,Mapping!A:C,3,FALSE)</f>
        <v>Primary</v>
      </c>
    </row>
    <row r="337" spans="1:28" x14ac:dyDescent="0.35">
      <c r="A337" s="6" t="s">
        <v>1302</v>
      </c>
      <c r="B337" s="6" t="s">
        <v>1303</v>
      </c>
      <c r="C337" s="6" t="s">
        <v>1304</v>
      </c>
      <c r="D337" s="6" t="s">
        <v>1305</v>
      </c>
      <c r="E337" s="6" t="s">
        <v>1306</v>
      </c>
      <c r="F337" s="6" t="s">
        <v>1307</v>
      </c>
      <c r="G337" s="6" t="s">
        <v>1308</v>
      </c>
      <c r="H337" s="6" t="s">
        <v>1728</v>
      </c>
      <c r="I337" s="6">
        <v>0.81</v>
      </c>
      <c r="J337" s="6">
        <v>0</v>
      </c>
      <c r="K337" s="6">
        <v>1</v>
      </c>
      <c r="L337" s="6" t="s">
        <v>2257</v>
      </c>
      <c r="M337" s="6" t="e">
        <f>VLOOKUP(L337,'Nov Inv Recon'!H:H,1,FALSE)</f>
        <v>#N/A</v>
      </c>
      <c r="N337" s="6" t="e">
        <f>VLOOKUP(L337,VictoryHeitrich!D:D,1,FALSE)</f>
        <v>#N/A</v>
      </c>
      <c r="O337" s="6" t="s">
        <v>796</v>
      </c>
      <c r="P337" s="6" t="s">
        <v>1311</v>
      </c>
      <c r="Q337" s="6" t="s">
        <v>2679</v>
      </c>
      <c r="S337" s="6" t="s">
        <v>48</v>
      </c>
      <c r="T337" s="6" t="s">
        <v>49</v>
      </c>
      <c r="U337" s="6" t="s">
        <v>1313</v>
      </c>
      <c r="V337" s="6" t="s">
        <v>1314</v>
      </c>
      <c r="W337" s="6">
        <v>2025</v>
      </c>
      <c r="X337" s="6">
        <v>11</v>
      </c>
      <c r="Y337" s="6" t="s">
        <v>1315</v>
      </c>
      <c r="Z337" s="6">
        <v>2025</v>
      </c>
      <c r="AA337" s="6" t="s">
        <v>1316</v>
      </c>
      <c r="AB337" s="6" t="str">
        <f>VLOOKUP(S337,Mapping!A:C,3,FALSE)</f>
        <v>Primary</v>
      </c>
    </row>
    <row r="338" spans="1:28" x14ac:dyDescent="0.35">
      <c r="A338" s="6" t="s">
        <v>1302</v>
      </c>
      <c r="B338" s="6" t="s">
        <v>1303</v>
      </c>
      <c r="C338" s="6" t="s">
        <v>1304</v>
      </c>
      <c r="D338" s="6" t="s">
        <v>1305</v>
      </c>
      <c r="E338" s="6" t="s">
        <v>1306</v>
      </c>
      <c r="F338" s="6" t="s">
        <v>1307</v>
      </c>
      <c r="G338" s="6" t="s">
        <v>1308</v>
      </c>
      <c r="H338" s="6" t="s">
        <v>1719</v>
      </c>
      <c r="I338" s="6">
        <v>133.88999999999999</v>
      </c>
      <c r="J338" s="6">
        <v>0</v>
      </c>
      <c r="K338" s="6">
        <v>1</v>
      </c>
      <c r="L338" s="6" t="s">
        <v>2069</v>
      </c>
      <c r="M338" s="6" t="e">
        <f>VLOOKUP(L338,'Nov Inv Recon'!H:H,1,FALSE)</f>
        <v>#N/A</v>
      </c>
      <c r="N338" s="6" t="e">
        <f>VLOOKUP(L338,VictoryHeitrich!D:D,1,FALSE)</f>
        <v>#N/A</v>
      </c>
      <c r="O338" s="6" t="s">
        <v>490</v>
      </c>
      <c r="P338" s="6" t="s">
        <v>1311</v>
      </c>
      <c r="Q338" s="6" t="s">
        <v>2679</v>
      </c>
      <c r="S338" s="6" t="s">
        <v>48</v>
      </c>
      <c r="T338" s="6" t="s">
        <v>49</v>
      </c>
      <c r="U338" s="6" t="s">
        <v>1313</v>
      </c>
      <c r="V338" s="6" t="s">
        <v>1314</v>
      </c>
      <c r="W338" s="6">
        <v>2025</v>
      </c>
      <c r="X338" s="6">
        <v>11</v>
      </c>
      <c r="Y338" s="6" t="s">
        <v>1315</v>
      </c>
      <c r="Z338" s="6">
        <v>2025</v>
      </c>
      <c r="AA338" s="6" t="s">
        <v>1316</v>
      </c>
      <c r="AB338" s="6" t="str">
        <f>VLOOKUP(S338,Mapping!A:C,3,FALSE)</f>
        <v>Primary</v>
      </c>
    </row>
    <row r="339" spans="1:28" x14ac:dyDescent="0.35">
      <c r="A339" s="6" t="s">
        <v>1302</v>
      </c>
      <c r="B339" s="6" t="s">
        <v>1303</v>
      </c>
      <c r="C339" s="6" t="s">
        <v>1304</v>
      </c>
      <c r="D339" s="6" t="s">
        <v>1305</v>
      </c>
      <c r="E339" s="6" t="s">
        <v>1306</v>
      </c>
      <c r="F339" s="6" t="s">
        <v>1307</v>
      </c>
      <c r="G339" s="6" t="s">
        <v>1308</v>
      </c>
      <c r="H339" s="6" t="s">
        <v>1719</v>
      </c>
      <c r="I339" s="6">
        <v>0</v>
      </c>
      <c r="J339" s="6">
        <v>319</v>
      </c>
      <c r="K339" s="6">
        <v>1</v>
      </c>
      <c r="L339" s="6" t="s">
        <v>2307</v>
      </c>
      <c r="M339" s="6" t="e">
        <f>VLOOKUP(L339,'Nov Inv Recon'!H:H,1,FALSE)</f>
        <v>#N/A</v>
      </c>
      <c r="N339" s="6" t="e">
        <f>VLOOKUP(L339,VictoryHeitrich!D:D,1,FALSE)</f>
        <v>#N/A</v>
      </c>
      <c r="O339" s="6" t="s">
        <v>680</v>
      </c>
      <c r="P339" s="6" t="s">
        <v>1311</v>
      </c>
      <c r="Q339" s="6" t="s">
        <v>2716</v>
      </c>
      <c r="R339" s="6" t="s">
        <v>2716</v>
      </c>
      <c r="S339" s="6" t="s">
        <v>48</v>
      </c>
      <c r="T339" s="6" t="s">
        <v>49</v>
      </c>
      <c r="U339" s="6" t="s">
        <v>1313</v>
      </c>
      <c r="V339" s="6" t="s">
        <v>1314</v>
      </c>
      <c r="W339" s="6">
        <v>2025</v>
      </c>
      <c r="X339" s="6">
        <v>11</v>
      </c>
      <c r="Y339" s="6" t="s">
        <v>1315</v>
      </c>
      <c r="Z339" s="6">
        <v>2025</v>
      </c>
      <c r="AA339" s="6" t="s">
        <v>1316</v>
      </c>
      <c r="AB339" s="6" t="str">
        <f>VLOOKUP(S339,Mapping!A:C,3,FALSE)</f>
        <v>Primary</v>
      </c>
    </row>
    <row r="340" spans="1:28" x14ac:dyDescent="0.35">
      <c r="A340" s="6" t="s">
        <v>1302</v>
      </c>
      <c r="B340" s="6" t="s">
        <v>1303</v>
      </c>
      <c r="C340" s="6" t="s">
        <v>1304</v>
      </c>
      <c r="D340" s="6" t="s">
        <v>1305</v>
      </c>
      <c r="E340" s="6" t="s">
        <v>1306</v>
      </c>
      <c r="F340" s="6" t="s">
        <v>1307</v>
      </c>
      <c r="G340" s="6" t="s">
        <v>1308</v>
      </c>
      <c r="H340" s="6" t="s">
        <v>2425</v>
      </c>
      <c r="I340" s="6">
        <v>0</v>
      </c>
      <c r="J340" s="6">
        <v>350.37</v>
      </c>
      <c r="K340" s="6">
        <v>1</v>
      </c>
      <c r="L340" s="6" t="s">
        <v>2247</v>
      </c>
      <c r="M340" s="6" t="e">
        <f>VLOOKUP(L340,'Nov Inv Recon'!H:H,1,FALSE)</f>
        <v>#N/A</v>
      </c>
      <c r="N340" s="6" t="e">
        <f>VLOOKUP(L340,VictoryHeitrich!D:D,1,FALSE)</f>
        <v>#N/A</v>
      </c>
      <c r="O340" s="6" t="s">
        <v>767</v>
      </c>
      <c r="P340" s="6" t="s">
        <v>1311</v>
      </c>
      <c r="Q340" s="6" t="s">
        <v>2717</v>
      </c>
      <c r="R340" s="6" t="s">
        <v>2717</v>
      </c>
      <c r="S340" s="6" t="s">
        <v>48</v>
      </c>
      <c r="T340" s="6" t="s">
        <v>49</v>
      </c>
      <c r="U340" s="6" t="s">
        <v>1313</v>
      </c>
      <c r="V340" s="6" t="s">
        <v>1314</v>
      </c>
      <c r="W340" s="6">
        <v>2025</v>
      </c>
      <c r="X340" s="6">
        <v>11</v>
      </c>
      <c r="Y340" s="6" t="s">
        <v>1315</v>
      </c>
      <c r="Z340" s="6">
        <v>2025</v>
      </c>
      <c r="AA340" s="6" t="s">
        <v>1316</v>
      </c>
      <c r="AB340" s="6" t="str">
        <f>VLOOKUP(S340,Mapping!A:C,3,FALSE)</f>
        <v>Primary</v>
      </c>
    </row>
    <row r="341" spans="1:28" x14ac:dyDescent="0.35">
      <c r="A341" s="6" t="s">
        <v>1302</v>
      </c>
      <c r="B341" s="6" t="s">
        <v>1303</v>
      </c>
      <c r="C341" s="6" t="s">
        <v>1304</v>
      </c>
      <c r="D341" s="6" t="s">
        <v>1305</v>
      </c>
      <c r="E341" s="6" t="s">
        <v>1306</v>
      </c>
      <c r="F341" s="6" t="s">
        <v>1307</v>
      </c>
      <c r="G341" s="6" t="s">
        <v>1308</v>
      </c>
      <c r="H341" s="6" t="s">
        <v>1682</v>
      </c>
      <c r="I341" s="6">
        <v>244.46</v>
      </c>
      <c r="J341" s="6">
        <v>0</v>
      </c>
      <c r="K341" s="6">
        <v>1</v>
      </c>
      <c r="L341" s="6" t="s">
        <v>2236</v>
      </c>
      <c r="M341" s="6" t="e">
        <f>VLOOKUP(L341,'Nov Inv Recon'!H:H,1,FALSE)</f>
        <v>#N/A</v>
      </c>
      <c r="N341" s="6" t="e">
        <f>VLOOKUP(L341,VictoryHeitrich!D:D,1,FALSE)</f>
        <v>#N/A</v>
      </c>
      <c r="O341" s="6" t="s">
        <v>537</v>
      </c>
      <c r="P341" s="6" t="s">
        <v>1311</v>
      </c>
      <c r="Q341" s="6" t="s">
        <v>2679</v>
      </c>
      <c r="S341" s="6" t="s">
        <v>48</v>
      </c>
      <c r="T341" s="6" t="s">
        <v>49</v>
      </c>
      <c r="U341" s="6" t="s">
        <v>1313</v>
      </c>
      <c r="V341" s="6" t="s">
        <v>1314</v>
      </c>
      <c r="W341" s="6">
        <v>2025</v>
      </c>
      <c r="X341" s="6">
        <v>11</v>
      </c>
      <c r="Y341" s="6" t="s">
        <v>1315</v>
      </c>
      <c r="Z341" s="6">
        <v>2025</v>
      </c>
      <c r="AA341" s="6" t="s">
        <v>1316</v>
      </c>
      <c r="AB341" s="6" t="str">
        <f>VLOOKUP(S341,Mapping!A:C,3,FALSE)</f>
        <v>Primary</v>
      </c>
    </row>
    <row r="342" spans="1:28" x14ac:dyDescent="0.35">
      <c r="A342" s="6" t="s">
        <v>1302</v>
      </c>
      <c r="B342" s="6" t="s">
        <v>1303</v>
      </c>
      <c r="C342" s="6" t="s">
        <v>1304</v>
      </c>
      <c r="D342" s="6" t="s">
        <v>1305</v>
      </c>
      <c r="E342" s="6" t="s">
        <v>1306</v>
      </c>
      <c r="F342" s="6" t="s">
        <v>1307</v>
      </c>
      <c r="G342" s="6" t="s">
        <v>1308</v>
      </c>
      <c r="H342" s="6" t="s">
        <v>1765</v>
      </c>
      <c r="I342" s="6">
        <v>0</v>
      </c>
      <c r="J342" s="6">
        <v>319</v>
      </c>
      <c r="K342" s="6">
        <v>1</v>
      </c>
      <c r="L342" s="6" t="s">
        <v>1509</v>
      </c>
      <c r="M342" s="6" t="e">
        <f>VLOOKUP(L342,'Nov Inv Recon'!H:H,1,FALSE)</f>
        <v>#N/A</v>
      </c>
      <c r="N342" s="6" t="e">
        <f>VLOOKUP(L342,VictoryHeitrich!D:D,1,FALSE)</f>
        <v>#N/A</v>
      </c>
      <c r="O342" s="6" t="s">
        <v>1510</v>
      </c>
      <c r="P342" s="6" t="s">
        <v>1311</v>
      </c>
      <c r="Q342" s="6" t="s">
        <v>2718</v>
      </c>
      <c r="R342" s="6" t="s">
        <v>2718</v>
      </c>
      <c r="S342" s="6" t="s">
        <v>48</v>
      </c>
      <c r="T342" s="6" t="s">
        <v>49</v>
      </c>
      <c r="U342" s="6" t="s">
        <v>1313</v>
      </c>
      <c r="V342" s="6" t="s">
        <v>1314</v>
      </c>
      <c r="W342" s="6">
        <v>2025</v>
      </c>
      <c r="X342" s="6">
        <v>11</v>
      </c>
      <c r="Y342" s="6" t="s">
        <v>1315</v>
      </c>
      <c r="Z342" s="6">
        <v>2025</v>
      </c>
      <c r="AA342" s="6" t="s">
        <v>1316</v>
      </c>
      <c r="AB342" s="6" t="str">
        <f>VLOOKUP(S342,Mapping!A:C,3,FALSE)</f>
        <v>Primary</v>
      </c>
    </row>
    <row r="343" spans="1:28" x14ac:dyDescent="0.35">
      <c r="A343" s="6" t="s">
        <v>1302</v>
      </c>
      <c r="B343" s="6" t="s">
        <v>1303</v>
      </c>
      <c r="C343" s="6" t="s">
        <v>1304</v>
      </c>
      <c r="D343" s="6" t="s">
        <v>1305</v>
      </c>
      <c r="E343" s="6" t="s">
        <v>1306</v>
      </c>
      <c r="F343" s="6" t="s">
        <v>1307</v>
      </c>
      <c r="G343" s="6" t="s">
        <v>1308</v>
      </c>
      <c r="H343" s="6" t="s">
        <v>2528</v>
      </c>
      <c r="I343" s="6">
        <v>0</v>
      </c>
      <c r="J343" s="6">
        <v>319</v>
      </c>
      <c r="K343" s="6">
        <v>1</v>
      </c>
      <c r="L343" s="6" t="s">
        <v>2304</v>
      </c>
      <c r="M343" s="6" t="e">
        <f>VLOOKUP(L343,'Nov Inv Recon'!H:H,1,FALSE)</f>
        <v>#N/A</v>
      </c>
      <c r="N343" s="6" t="e">
        <f>VLOOKUP(L343,VictoryHeitrich!D:D,1,FALSE)</f>
        <v>#N/A</v>
      </c>
      <c r="O343" s="6" t="s">
        <v>670</v>
      </c>
      <c r="P343" s="6" t="s">
        <v>1311</v>
      </c>
      <c r="Q343" s="6" t="s">
        <v>2719</v>
      </c>
      <c r="R343" s="6" t="s">
        <v>2719</v>
      </c>
      <c r="S343" s="6" t="s">
        <v>48</v>
      </c>
      <c r="T343" s="6" t="s">
        <v>49</v>
      </c>
      <c r="U343" s="6" t="s">
        <v>1313</v>
      </c>
      <c r="V343" s="6" t="s">
        <v>1314</v>
      </c>
      <c r="W343" s="6">
        <v>2025</v>
      </c>
      <c r="X343" s="6">
        <v>11</v>
      </c>
      <c r="Y343" s="6" t="s">
        <v>1315</v>
      </c>
      <c r="Z343" s="6">
        <v>2025</v>
      </c>
      <c r="AA343" s="6" t="s">
        <v>1316</v>
      </c>
      <c r="AB343" s="6" t="str">
        <f>VLOOKUP(S343,Mapping!A:C,3,FALSE)</f>
        <v>Primary</v>
      </c>
    </row>
    <row r="344" spans="1:28" x14ac:dyDescent="0.35">
      <c r="A344" s="6" t="s">
        <v>1302</v>
      </c>
      <c r="B344" s="6" t="s">
        <v>1303</v>
      </c>
      <c r="C344" s="6" t="s">
        <v>1304</v>
      </c>
      <c r="D344" s="6" t="s">
        <v>1305</v>
      </c>
      <c r="E344" s="6" t="s">
        <v>1306</v>
      </c>
      <c r="F344" s="6" t="s">
        <v>1307</v>
      </c>
      <c r="G344" s="6" t="s">
        <v>1308</v>
      </c>
      <c r="H344" s="6" t="s">
        <v>1728</v>
      </c>
      <c r="I344" s="6">
        <v>0</v>
      </c>
      <c r="J344" s="6">
        <v>319.95</v>
      </c>
      <c r="K344" s="6">
        <v>1</v>
      </c>
      <c r="L344" s="6" t="s">
        <v>1489</v>
      </c>
      <c r="M344" s="6" t="e">
        <f>VLOOKUP(L344,'Nov Inv Recon'!H:H,1,FALSE)</f>
        <v>#N/A</v>
      </c>
      <c r="N344" s="6" t="e">
        <f>VLOOKUP(L344,VictoryHeitrich!D:D,1,FALSE)</f>
        <v>#N/A</v>
      </c>
      <c r="O344" s="6" t="s">
        <v>1490</v>
      </c>
      <c r="P344" s="6" t="s">
        <v>1311</v>
      </c>
      <c r="Q344" s="6" t="s">
        <v>2720</v>
      </c>
      <c r="R344" s="6" t="s">
        <v>2720</v>
      </c>
      <c r="S344" s="6" t="s">
        <v>48</v>
      </c>
      <c r="T344" s="6" t="s">
        <v>49</v>
      </c>
      <c r="U344" s="6" t="s">
        <v>1313</v>
      </c>
      <c r="V344" s="6" t="s">
        <v>1314</v>
      </c>
      <c r="W344" s="6">
        <v>2025</v>
      </c>
      <c r="X344" s="6">
        <v>11</v>
      </c>
      <c r="Y344" s="6" t="s">
        <v>1315</v>
      </c>
      <c r="Z344" s="6">
        <v>2025</v>
      </c>
      <c r="AA344" s="6" t="s">
        <v>1316</v>
      </c>
      <c r="AB344" s="6" t="str">
        <f>VLOOKUP(S344,Mapping!A:C,3,FALSE)</f>
        <v>Primary</v>
      </c>
    </row>
    <row r="345" spans="1:28" x14ac:dyDescent="0.35">
      <c r="A345" s="6" t="s">
        <v>1302</v>
      </c>
      <c r="B345" s="6" t="s">
        <v>1303</v>
      </c>
      <c r="C345" s="6" t="s">
        <v>1304</v>
      </c>
      <c r="D345" s="6" t="s">
        <v>1305</v>
      </c>
      <c r="E345" s="6" t="s">
        <v>1306</v>
      </c>
      <c r="F345" s="6" t="s">
        <v>1307</v>
      </c>
      <c r="G345" s="6" t="s">
        <v>1308</v>
      </c>
      <c r="H345" s="6" t="s">
        <v>1752</v>
      </c>
      <c r="I345" s="6">
        <v>0</v>
      </c>
      <c r="J345" s="6">
        <v>319</v>
      </c>
      <c r="K345" s="6">
        <v>1</v>
      </c>
      <c r="L345" s="6" t="s">
        <v>2294</v>
      </c>
      <c r="M345" s="6" t="e">
        <f>VLOOKUP(L345,'Nov Inv Recon'!H:H,1,FALSE)</f>
        <v>#N/A</v>
      </c>
      <c r="N345" s="6" t="e">
        <f>VLOOKUP(L345,VictoryHeitrich!D:D,1,FALSE)</f>
        <v>#N/A</v>
      </c>
      <c r="O345" s="6" t="s">
        <v>678</v>
      </c>
      <c r="P345" s="6" t="s">
        <v>1311</v>
      </c>
      <c r="Q345" s="6" t="s">
        <v>2721</v>
      </c>
      <c r="R345" s="6" t="s">
        <v>2721</v>
      </c>
      <c r="S345" s="6" t="s">
        <v>48</v>
      </c>
      <c r="T345" s="6" t="s">
        <v>49</v>
      </c>
      <c r="U345" s="6" t="s">
        <v>1313</v>
      </c>
      <c r="V345" s="6" t="s">
        <v>1314</v>
      </c>
      <c r="W345" s="6">
        <v>2025</v>
      </c>
      <c r="X345" s="6">
        <v>11</v>
      </c>
      <c r="Y345" s="6" t="s">
        <v>1315</v>
      </c>
      <c r="Z345" s="6">
        <v>2025</v>
      </c>
      <c r="AA345" s="6" t="s">
        <v>1316</v>
      </c>
      <c r="AB345" s="6" t="str">
        <f>VLOOKUP(S345,Mapping!A:C,3,FALSE)</f>
        <v>Primary</v>
      </c>
    </row>
    <row r="346" spans="1:28" x14ac:dyDescent="0.35">
      <c r="A346" s="6" t="s">
        <v>1302</v>
      </c>
      <c r="B346" s="6" t="s">
        <v>1303</v>
      </c>
      <c r="C346" s="6" t="s">
        <v>1304</v>
      </c>
      <c r="D346" s="6" t="s">
        <v>1305</v>
      </c>
      <c r="E346" s="6" t="s">
        <v>1306</v>
      </c>
      <c r="F346" s="6" t="s">
        <v>1307</v>
      </c>
      <c r="G346" s="6" t="s">
        <v>1308</v>
      </c>
      <c r="H346" s="6" t="s">
        <v>1742</v>
      </c>
      <c r="I346" s="6">
        <v>0</v>
      </c>
      <c r="J346" s="6">
        <v>299</v>
      </c>
      <c r="K346" s="6">
        <v>1</v>
      </c>
      <c r="L346" s="6" t="s">
        <v>2285</v>
      </c>
      <c r="M346" s="6" t="e">
        <f>VLOOKUP(L346,'Nov Inv Recon'!H:H,1,FALSE)</f>
        <v>#N/A</v>
      </c>
      <c r="N346" s="6" t="e">
        <f>VLOOKUP(L346,VictoryHeitrich!D:D,1,FALSE)</f>
        <v>#N/A</v>
      </c>
      <c r="O346" s="6" t="s">
        <v>485</v>
      </c>
      <c r="P346" s="6" t="s">
        <v>1311</v>
      </c>
      <c r="Q346" s="6" t="s">
        <v>2722</v>
      </c>
      <c r="R346" s="6" t="s">
        <v>2722</v>
      </c>
      <c r="S346" s="6" t="s">
        <v>48</v>
      </c>
      <c r="T346" s="6" t="s">
        <v>49</v>
      </c>
      <c r="U346" s="6" t="s">
        <v>1313</v>
      </c>
      <c r="V346" s="6" t="s">
        <v>1314</v>
      </c>
      <c r="W346" s="6">
        <v>2025</v>
      </c>
      <c r="X346" s="6">
        <v>11</v>
      </c>
      <c r="Y346" s="6" t="s">
        <v>1315</v>
      </c>
      <c r="Z346" s="6">
        <v>2025</v>
      </c>
      <c r="AA346" s="6" t="s">
        <v>1316</v>
      </c>
      <c r="AB346" s="6" t="str">
        <f>VLOOKUP(S346,Mapping!A:C,3,FALSE)</f>
        <v>Primary</v>
      </c>
    </row>
    <row r="347" spans="1:28" x14ac:dyDescent="0.35">
      <c r="A347" s="6" t="s">
        <v>1302</v>
      </c>
      <c r="B347" s="6" t="s">
        <v>1303</v>
      </c>
      <c r="C347" s="6" t="s">
        <v>1304</v>
      </c>
      <c r="D347" s="6" t="s">
        <v>1305</v>
      </c>
      <c r="E347" s="6" t="s">
        <v>1306</v>
      </c>
      <c r="F347" s="6" t="s">
        <v>1307</v>
      </c>
      <c r="G347" s="6" t="s">
        <v>1308</v>
      </c>
      <c r="H347" s="6" t="s">
        <v>1632</v>
      </c>
      <c r="I347" s="6">
        <v>186.02</v>
      </c>
      <c r="J347" s="6">
        <v>0</v>
      </c>
      <c r="K347" s="6">
        <v>1</v>
      </c>
      <c r="L347" s="6" t="s">
        <v>2095</v>
      </c>
      <c r="M347" s="6" t="e">
        <f>VLOOKUP(L347,'Nov Inv Recon'!H:H,1,FALSE)</f>
        <v>#N/A</v>
      </c>
      <c r="N347" s="6" t="e">
        <f>VLOOKUP(L347,VictoryHeitrich!D:D,1,FALSE)</f>
        <v>#N/A</v>
      </c>
      <c r="O347" s="6" t="s">
        <v>206</v>
      </c>
      <c r="P347" s="6" t="s">
        <v>1311</v>
      </c>
      <c r="Q347" s="6" t="s">
        <v>2679</v>
      </c>
      <c r="S347" s="6" t="s">
        <v>48</v>
      </c>
      <c r="T347" s="6" t="s">
        <v>49</v>
      </c>
      <c r="U347" s="6" t="s">
        <v>1313</v>
      </c>
      <c r="V347" s="6" t="s">
        <v>1314</v>
      </c>
      <c r="W347" s="6">
        <v>2025</v>
      </c>
      <c r="X347" s="6">
        <v>11</v>
      </c>
      <c r="Y347" s="6" t="s">
        <v>1315</v>
      </c>
      <c r="Z347" s="6">
        <v>2025</v>
      </c>
      <c r="AA347" s="6" t="s">
        <v>1316</v>
      </c>
      <c r="AB347" s="6" t="str">
        <f>VLOOKUP(S347,Mapping!A:C,3,FALSE)</f>
        <v>Primary</v>
      </c>
    </row>
    <row r="348" spans="1:28" x14ac:dyDescent="0.35">
      <c r="A348" s="6" t="s">
        <v>1302</v>
      </c>
      <c r="B348" s="6" t="s">
        <v>1303</v>
      </c>
      <c r="C348" s="6" t="s">
        <v>1304</v>
      </c>
      <c r="D348" s="6" t="s">
        <v>1305</v>
      </c>
      <c r="E348" s="6" t="s">
        <v>1306</v>
      </c>
      <c r="F348" s="6" t="s">
        <v>1307</v>
      </c>
      <c r="G348" s="6" t="s">
        <v>1308</v>
      </c>
      <c r="H348" s="6" t="s">
        <v>1632</v>
      </c>
      <c r="I348" s="6">
        <v>54.58</v>
      </c>
      <c r="J348" s="6">
        <v>0</v>
      </c>
      <c r="K348" s="6">
        <v>1</v>
      </c>
      <c r="L348" s="6" t="s">
        <v>2019</v>
      </c>
      <c r="M348" s="6" t="e">
        <f>VLOOKUP(L348,'Nov Inv Recon'!H:H,1,FALSE)</f>
        <v>#N/A</v>
      </c>
      <c r="N348" s="6" t="e">
        <f>VLOOKUP(L348,VictoryHeitrich!D:D,1,FALSE)</f>
        <v>#N/A</v>
      </c>
      <c r="O348" s="6" t="s">
        <v>103</v>
      </c>
      <c r="P348" s="6" t="s">
        <v>1311</v>
      </c>
      <c r="Q348" s="6" t="s">
        <v>2679</v>
      </c>
      <c r="S348" s="6" t="s">
        <v>48</v>
      </c>
      <c r="T348" s="6" t="s">
        <v>49</v>
      </c>
      <c r="U348" s="6" t="s">
        <v>1313</v>
      </c>
      <c r="V348" s="6" t="s">
        <v>1314</v>
      </c>
      <c r="W348" s="6">
        <v>2025</v>
      </c>
      <c r="X348" s="6">
        <v>11</v>
      </c>
      <c r="Y348" s="6" t="s">
        <v>1315</v>
      </c>
      <c r="Z348" s="6">
        <v>2025</v>
      </c>
      <c r="AA348" s="6" t="s">
        <v>1316</v>
      </c>
      <c r="AB348" s="6" t="str">
        <f>VLOOKUP(S348,Mapping!A:C,3,FALSE)</f>
        <v>Primary</v>
      </c>
    </row>
    <row r="349" spans="1:28" x14ac:dyDescent="0.35">
      <c r="A349" s="6" t="s">
        <v>1302</v>
      </c>
      <c r="B349" s="6" t="s">
        <v>1303</v>
      </c>
      <c r="C349" s="6" t="s">
        <v>1304</v>
      </c>
      <c r="D349" s="6" t="s">
        <v>1305</v>
      </c>
      <c r="E349" s="6" t="s">
        <v>1306</v>
      </c>
      <c r="F349" s="6" t="s">
        <v>1307</v>
      </c>
      <c r="G349" s="6" t="s">
        <v>1308</v>
      </c>
      <c r="H349" s="6" t="s">
        <v>1632</v>
      </c>
      <c r="I349" s="6">
        <v>0</v>
      </c>
      <c r="J349" s="6">
        <v>200.93</v>
      </c>
      <c r="K349" s="6">
        <v>1</v>
      </c>
      <c r="L349" s="6" t="s">
        <v>2188</v>
      </c>
      <c r="M349" s="6" t="e">
        <f>VLOOKUP(L349,'Nov Inv Recon'!H:H,1,FALSE)</f>
        <v>#N/A</v>
      </c>
      <c r="N349" s="6" t="e">
        <f>VLOOKUP(L349,VictoryHeitrich!D:D,1,FALSE)</f>
        <v>#N/A</v>
      </c>
      <c r="O349" s="6" t="s">
        <v>213</v>
      </c>
      <c r="P349" s="6" t="s">
        <v>1311</v>
      </c>
      <c r="Q349" s="6" t="s">
        <v>2723</v>
      </c>
      <c r="R349" s="6" t="s">
        <v>2723</v>
      </c>
      <c r="S349" s="6" t="s">
        <v>48</v>
      </c>
      <c r="T349" s="6" t="s">
        <v>49</v>
      </c>
      <c r="U349" s="6" t="s">
        <v>1313</v>
      </c>
      <c r="V349" s="6" t="s">
        <v>1314</v>
      </c>
      <c r="W349" s="6">
        <v>2025</v>
      </c>
      <c r="X349" s="6">
        <v>11</v>
      </c>
      <c r="Y349" s="6" t="s">
        <v>1315</v>
      </c>
      <c r="Z349" s="6">
        <v>2025</v>
      </c>
      <c r="AA349" s="6" t="s">
        <v>1316</v>
      </c>
      <c r="AB349" s="6" t="str">
        <f>VLOOKUP(S349,Mapping!A:C,3,FALSE)</f>
        <v>Primary</v>
      </c>
    </row>
    <row r="350" spans="1:28" x14ac:dyDescent="0.35">
      <c r="A350" s="6" t="s">
        <v>1302</v>
      </c>
      <c r="B350" s="6" t="s">
        <v>1303</v>
      </c>
      <c r="C350" s="6" t="s">
        <v>1304</v>
      </c>
      <c r="D350" s="6" t="s">
        <v>1305</v>
      </c>
      <c r="E350" s="6" t="s">
        <v>1306</v>
      </c>
      <c r="F350" s="6" t="s">
        <v>1307</v>
      </c>
      <c r="G350" s="6" t="s">
        <v>1308</v>
      </c>
      <c r="H350" s="6" t="s">
        <v>1632</v>
      </c>
      <c r="I350" s="6">
        <v>42.96</v>
      </c>
      <c r="J350" s="6">
        <v>0</v>
      </c>
      <c r="K350" s="6">
        <v>1</v>
      </c>
      <c r="L350" s="6" t="s">
        <v>2062</v>
      </c>
      <c r="M350" s="6" t="e">
        <f>VLOOKUP(L350,'Nov Inv Recon'!H:H,1,FALSE)</f>
        <v>#N/A</v>
      </c>
      <c r="N350" s="6" t="e">
        <f>VLOOKUP(L350,VictoryHeitrich!D:D,1,FALSE)</f>
        <v>#N/A</v>
      </c>
      <c r="O350" s="6" t="s">
        <v>918</v>
      </c>
      <c r="P350" s="6" t="s">
        <v>1311</v>
      </c>
      <c r="Q350" s="6" t="s">
        <v>2679</v>
      </c>
      <c r="S350" s="6" t="s">
        <v>48</v>
      </c>
      <c r="T350" s="6" t="s">
        <v>49</v>
      </c>
      <c r="U350" s="6" t="s">
        <v>1313</v>
      </c>
      <c r="V350" s="6" t="s">
        <v>1314</v>
      </c>
      <c r="W350" s="6">
        <v>2025</v>
      </c>
      <c r="X350" s="6">
        <v>11</v>
      </c>
      <c r="Y350" s="6" t="s">
        <v>1315</v>
      </c>
      <c r="Z350" s="6">
        <v>2025</v>
      </c>
      <c r="AA350" s="6" t="s">
        <v>1316</v>
      </c>
      <c r="AB350" s="6" t="str">
        <f>VLOOKUP(S350,Mapping!A:C,3,FALSE)</f>
        <v>Primary</v>
      </c>
    </row>
    <row r="351" spans="1:28" x14ac:dyDescent="0.35">
      <c r="A351" s="6" t="s">
        <v>1302</v>
      </c>
      <c r="B351" s="6" t="s">
        <v>1303</v>
      </c>
      <c r="C351" s="6" t="s">
        <v>1304</v>
      </c>
      <c r="D351" s="6" t="s">
        <v>1305</v>
      </c>
      <c r="E351" s="6" t="s">
        <v>1306</v>
      </c>
      <c r="F351" s="6" t="s">
        <v>1307</v>
      </c>
      <c r="G351" s="6" t="s">
        <v>1308</v>
      </c>
      <c r="H351" s="6" t="s">
        <v>1682</v>
      </c>
      <c r="I351" s="6">
        <v>0</v>
      </c>
      <c r="J351" s="6">
        <v>299</v>
      </c>
      <c r="K351" s="6">
        <v>1</v>
      </c>
      <c r="L351" s="6" t="s">
        <v>2258</v>
      </c>
      <c r="M351" s="6" t="e">
        <f>VLOOKUP(L351,'Nov Inv Recon'!H:H,1,FALSE)</f>
        <v>#N/A</v>
      </c>
      <c r="N351" s="6" t="e">
        <f>VLOOKUP(L351,VictoryHeitrich!D:D,1,FALSE)</f>
        <v>#N/A</v>
      </c>
      <c r="O351" s="6" t="s">
        <v>479</v>
      </c>
      <c r="P351" s="6" t="s">
        <v>1311</v>
      </c>
      <c r="Q351" s="6" t="s">
        <v>2724</v>
      </c>
      <c r="R351" s="6" t="s">
        <v>2724</v>
      </c>
      <c r="S351" s="6" t="s">
        <v>48</v>
      </c>
      <c r="T351" s="6" t="s">
        <v>49</v>
      </c>
      <c r="U351" s="6" t="s">
        <v>1313</v>
      </c>
      <c r="V351" s="6" t="s">
        <v>1314</v>
      </c>
      <c r="W351" s="6">
        <v>2025</v>
      </c>
      <c r="X351" s="6">
        <v>11</v>
      </c>
      <c r="Y351" s="6" t="s">
        <v>1315</v>
      </c>
      <c r="Z351" s="6">
        <v>2025</v>
      </c>
      <c r="AA351" s="6" t="s">
        <v>1316</v>
      </c>
      <c r="AB351" s="6" t="str">
        <f>VLOOKUP(S351,Mapping!A:C,3,FALSE)</f>
        <v>Primary</v>
      </c>
    </row>
    <row r="352" spans="1:28" x14ac:dyDescent="0.35">
      <c r="A352" s="6" t="s">
        <v>1302</v>
      </c>
      <c r="B352" s="6" t="s">
        <v>1303</v>
      </c>
      <c r="C352" s="6" t="s">
        <v>1304</v>
      </c>
      <c r="D352" s="6" t="s">
        <v>1305</v>
      </c>
      <c r="E352" s="6" t="s">
        <v>1306</v>
      </c>
      <c r="F352" s="6" t="s">
        <v>1307</v>
      </c>
      <c r="G352" s="6" t="s">
        <v>1308</v>
      </c>
      <c r="H352" s="6" t="s">
        <v>1752</v>
      </c>
      <c r="I352" s="6">
        <v>0.67</v>
      </c>
      <c r="J352" s="6">
        <v>0</v>
      </c>
      <c r="K352" s="6">
        <v>1</v>
      </c>
      <c r="L352" s="6" t="s">
        <v>2190</v>
      </c>
      <c r="M352" s="6" t="e">
        <f>VLOOKUP(L352,'Nov Inv Recon'!H:H,1,FALSE)</f>
        <v>#N/A</v>
      </c>
      <c r="N352" s="6" t="e">
        <f>VLOOKUP(L352,VictoryHeitrich!D:D,1,FALSE)</f>
        <v>#N/A</v>
      </c>
      <c r="O352" s="6" t="s">
        <v>523</v>
      </c>
      <c r="P352" s="6" t="s">
        <v>1311</v>
      </c>
      <c r="Q352" s="6" t="s">
        <v>2679</v>
      </c>
      <c r="S352" s="6" t="s">
        <v>48</v>
      </c>
      <c r="T352" s="6" t="s">
        <v>49</v>
      </c>
      <c r="U352" s="6" t="s">
        <v>1313</v>
      </c>
      <c r="V352" s="6" t="s">
        <v>1314</v>
      </c>
      <c r="W352" s="6">
        <v>2025</v>
      </c>
      <c r="X352" s="6">
        <v>11</v>
      </c>
      <c r="Y352" s="6" t="s">
        <v>1315</v>
      </c>
      <c r="Z352" s="6">
        <v>2025</v>
      </c>
      <c r="AA352" s="6" t="s">
        <v>1316</v>
      </c>
      <c r="AB352" s="6" t="str">
        <f>VLOOKUP(S352,Mapping!A:C,3,FALSE)</f>
        <v>Primary</v>
      </c>
    </row>
    <row r="353" spans="1:28" x14ac:dyDescent="0.35">
      <c r="A353" s="6" t="s">
        <v>1302</v>
      </c>
      <c r="B353" s="6" t="s">
        <v>1303</v>
      </c>
      <c r="C353" s="6" t="s">
        <v>1304</v>
      </c>
      <c r="D353" s="6" t="s">
        <v>1305</v>
      </c>
      <c r="E353" s="6" t="s">
        <v>1306</v>
      </c>
      <c r="F353" s="6" t="s">
        <v>1307</v>
      </c>
      <c r="G353" s="6" t="s">
        <v>1308</v>
      </c>
      <c r="H353" s="6" t="s">
        <v>1765</v>
      </c>
      <c r="I353" s="6">
        <v>512.48</v>
      </c>
      <c r="J353" s="6">
        <v>0</v>
      </c>
      <c r="K353" s="6">
        <v>1</v>
      </c>
      <c r="L353" s="6" t="s">
        <v>2179</v>
      </c>
      <c r="M353" s="6" t="e">
        <f>VLOOKUP(L353,'Nov Inv Recon'!H:H,1,FALSE)</f>
        <v>#N/A</v>
      </c>
      <c r="N353" s="6" t="e">
        <f>VLOOKUP(L353,VictoryHeitrich!D:D,1,FALSE)</f>
        <v>#N/A</v>
      </c>
      <c r="O353" s="6" t="s">
        <v>728</v>
      </c>
      <c r="P353" s="6" t="s">
        <v>1311</v>
      </c>
      <c r="Q353" s="6" t="s">
        <v>2679</v>
      </c>
      <c r="S353" s="6" t="s">
        <v>48</v>
      </c>
      <c r="T353" s="6" t="s">
        <v>49</v>
      </c>
      <c r="U353" s="6" t="s">
        <v>1313</v>
      </c>
      <c r="V353" s="6" t="s">
        <v>1314</v>
      </c>
      <c r="W353" s="6">
        <v>2025</v>
      </c>
      <c r="X353" s="6">
        <v>11</v>
      </c>
      <c r="Y353" s="6" t="s">
        <v>1315</v>
      </c>
      <c r="Z353" s="6">
        <v>2025</v>
      </c>
      <c r="AA353" s="6" t="s">
        <v>1316</v>
      </c>
      <c r="AB353" s="6" t="str">
        <f>VLOOKUP(S353,Mapping!A:C,3,FALSE)</f>
        <v>Primary</v>
      </c>
    </row>
    <row r="354" spans="1:28" x14ac:dyDescent="0.35">
      <c r="A354" s="6" t="s">
        <v>1302</v>
      </c>
      <c r="B354" s="6" t="s">
        <v>1303</v>
      </c>
      <c r="C354" s="6" t="s">
        <v>1304</v>
      </c>
      <c r="D354" s="6" t="s">
        <v>1305</v>
      </c>
      <c r="E354" s="6" t="s">
        <v>1306</v>
      </c>
      <c r="F354" s="6" t="s">
        <v>1307</v>
      </c>
      <c r="G354" s="6" t="s">
        <v>1308</v>
      </c>
      <c r="H354" s="6" t="s">
        <v>1682</v>
      </c>
      <c r="I354" s="6">
        <v>0</v>
      </c>
      <c r="J354" s="6">
        <v>319</v>
      </c>
      <c r="K354" s="6">
        <v>1</v>
      </c>
      <c r="L354" s="6" t="s">
        <v>2306</v>
      </c>
      <c r="M354" s="6" t="e">
        <f>VLOOKUP(L354,'Nov Inv Recon'!H:H,1,FALSE)</f>
        <v>#N/A</v>
      </c>
      <c r="N354" s="6" t="e">
        <f>VLOOKUP(L354,VictoryHeitrich!D:D,1,FALSE)</f>
        <v>#N/A</v>
      </c>
      <c r="O354" s="6" t="s">
        <v>668</v>
      </c>
      <c r="P354" s="6" t="s">
        <v>1311</v>
      </c>
      <c r="Q354" s="6" t="s">
        <v>2725</v>
      </c>
      <c r="R354" s="6" t="s">
        <v>2725</v>
      </c>
      <c r="S354" s="6" t="s">
        <v>48</v>
      </c>
      <c r="T354" s="6" t="s">
        <v>49</v>
      </c>
      <c r="U354" s="6" t="s">
        <v>1313</v>
      </c>
      <c r="V354" s="6" t="s">
        <v>1314</v>
      </c>
      <c r="W354" s="6">
        <v>2025</v>
      </c>
      <c r="X354" s="6">
        <v>11</v>
      </c>
      <c r="Y354" s="6" t="s">
        <v>1315</v>
      </c>
      <c r="Z354" s="6">
        <v>2025</v>
      </c>
      <c r="AA354" s="6" t="s">
        <v>1316</v>
      </c>
      <c r="AB354" s="6" t="str">
        <f>VLOOKUP(S354,Mapping!A:C,3,FALSE)</f>
        <v>Primary</v>
      </c>
    </row>
    <row r="355" spans="1:28" x14ac:dyDescent="0.35">
      <c r="A355" s="6" t="s">
        <v>1302</v>
      </c>
      <c r="B355" s="6" t="s">
        <v>1303</v>
      </c>
      <c r="C355" s="6" t="s">
        <v>1304</v>
      </c>
      <c r="D355" s="6" t="s">
        <v>1305</v>
      </c>
      <c r="E355" s="6" t="s">
        <v>1306</v>
      </c>
      <c r="F355" s="6" t="s">
        <v>1307</v>
      </c>
      <c r="G355" s="6" t="s">
        <v>1308</v>
      </c>
      <c r="H355" s="6" t="s">
        <v>1632</v>
      </c>
      <c r="I355" s="6">
        <v>0</v>
      </c>
      <c r="J355" s="6">
        <v>200.93</v>
      </c>
      <c r="K355" s="6">
        <v>1</v>
      </c>
      <c r="L355" s="6" t="s">
        <v>2189</v>
      </c>
      <c r="M355" s="6" t="e">
        <f>VLOOKUP(L355,'Nov Inv Recon'!H:H,1,FALSE)</f>
        <v>#N/A</v>
      </c>
      <c r="N355" s="6" t="e">
        <f>VLOOKUP(L355,VictoryHeitrich!D:D,1,FALSE)</f>
        <v>#N/A</v>
      </c>
      <c r="O355" s="6" t="s">
        <v>202</v>
      </c>
      <c r="P355" s="6" t="s">
        <v>1311</v>
      </c>
      <c r="Q355" s="6" t="s">
        <v>2726</v>
      </c>
      <c r="R355" s="6" t="s">
        <v>2726</v>
      </c>
      <c r="S355" s="6" t="s">
        <v>48</v>
      </c>
      <c r="T355" s="6" t="s">
        <v>49</v>
      </c>
      <c r="U355" s="6" t="s">
        <v>1313</v>
      </c>
      <c r="V355" s="6" t="s">
        <v>1314</v>
      </c>
      <c r="W355" s="6">
        <v>2025</v>
      </c>
      <c r="X355" s="6">
        <v>11</v>
      </c>
      <c r="Y355" s="6" t="s">
        <v>1315</v>
      </c>
      <c r="Z355" s="6">
        <v>2025</v>
      </c>
      <c r="AA355" s="6" t="s">
        <v>1316</v>
      </c>
      <c r="AB355" s="6" t="str">
        <f>VLOOKUP(S355,Mapping!A:C,3,FALSE)</f>
        <v>Primary</v>
      </c>
    </row>
    <row r="356" spans="1:28" x14ac:dyDescent="0.35">
      <c r="A356" s="6" t="s">
        <v>1302</v>
      </c>
      <c r="B356" s="6" t="s">
        <v>1303</v>
      </c>
      <c r="C356" s="6" t="s">
        <v>1304</v>
      </c>
      <c r="D356" s="6" t="s">
        <v>1305</v>
      </c>
      <c r="E356" s="6" t="s">
        <v>1306</v>
      </c>
      <c r="F356" s="6" t="s">
        <v>1307</v>
      </c>
      <c r="G356" s="6" t="s">
        <v>1308</v>
      </c>
      <c r="H356" s="6" t="s">
        <v>1632</v>
      </c>
      <c r="I356" s="6">
        <v>0</v>
      </c>
      <c r="J356" s="6">
        <v>200.93</v>
      </c>
      <c r="K356" s="6">
        <v>1</v>
      </c>
      <c r="L356" s="6" t="s">
        <v>2157</v>
      </c>
      <c r="M356" s="6" t="e">
        <f>VLOOKUP(L356,'Nov Inv Recon'!H:H,1,FALSE)</f>
        <v>#N/A</v>
      </c>
      <c r="N356" s="6" t="e">
        <f>VLOOKUP(L356,VictoryHeitrich!D:D,1,FALSE)</f>
        <v>#N/A</v>
      </c>
      <c r="O356" s="6" t="s">
        <v>160</v>
      </c>
      <c r="P356" s="6" t="s">
        <v>1311</v>
      </c>
      <c r="Q356" s="6" t="s">
        <v>2727</v>
      </c>
      <c r="R356" s="6" t="s">
        <v>2727</v>
      </c>
      <c r="S356" s="6" t="s">
        <v>48</v>
      </c>
      <c r="T356" s="6" t="s">
        <v>49</v>
      </c>
      <c r="U356" s="6" t="s">
        <v>1313</v>
      </c>
      <c r="V356" s="6" t="s">
        <v>1314</v>
      </c>
      <c r="W356" s="6">
        <v>2025</v>
      </c>
      <c r="X356" s="6">
        <v>11</v>
      </c>
      <c r="Y356" s="6" t="s">
        <v>1315</v>
      </c>
      <c r="Z356" s="6">
        <v>2025</v>
      </c>
      <c r="AA356" s="6" t="s">
        <v>1316</v>
      </c>
      <c r="AB356" s="6" t="str">
        <f>VLOOKUP(S356,Mapping!A:C,3,FALSE)</f>
        <v>Primary</v>
      </c>
    </row>
    <row r="357" spans="1:28" x14ac:dyDescent="0.35">
      <c r="A357" s="6" t="s">
        <v>1302</v>
      </c>
      <c r="B357" s="6" t="s">
        <v>1303</v>
      </c>
      <c r="C357" s="6" t="s">
        <v>1304</v>
      </c>
      <c r="D357" s="6" t="s">
        <v>1305</v>
      </c>
      <c r="E357" s="6" t="s">
        <v>1306</v>
      </c>
      <c r="F357" s="6" t="s">
        <v>1307</v>
      </c>
      <c r="G357" s="6" t="s">
        <v>1308</v>
      </c>
      <c r="H357" s="6" t="s">
        <v>2425</v>
      </c>
      <c r="I357" s="6">
        <v>0</v>
      </c>
      <c r="J357" s="6">
        <v>350.37</v>
      </c>
      <c r="K357" s="6">
        <v>1</v>
      </c>
      <c r="L357" s="6" t="s">
        <v>2248</v>
      </c>
      <c r="M357" s="6" t="e">
        <f>VLOOKUP(L357,'Nov Inv Recon'!H:H,1,FALSE)</f>
        <v>#N/A</v>
      </c>
      <c r="N357" s="6" t="e">
        <f>VLOOKUP(L357,VictoryHeitrich!D:D,1,FALSE)</f>
        <v>#N/A</v>
      </c>
      <c r="O357" s="6" t="s">
        <v>765</v>
      </c>
      <c r="P357" s="6" t="s">
        <v>1311</v>
      </c>
      <c r="Q357" s="6" t="s">
        <v>2728</v>
      </c>
      <c r="R357" s="6" t="s">
        <v>2728</v>
      </c>
      <c r="S357" s="6" t="s">
        <v>48</v>
      </c>
      <c r="T357" s="6" t="s">
        <v>49</v>
      </c>
      <c r="U357" s="6" t="s">
        <v>1313</v>
      </c>
      <c r="V357" s="6" t="s">
        <v>1314</v>
      </c>
      <c r="W357" s="6">
        <v>2025</v>
      </c>
      <c r="X357" s="6">
        <v>11</v>
      </c>
      <c r="Y357" s="6" t="s">
        <v>1315</v>
      </c>
      <c r="Z357" s="6">
        <v>2025</v>
      </c>
      <c r="AA357" s="6" t="s">
        <v>1316</v>
      </c>
      <c r="AB357" s="6" t="str">
        <f>VLOOKUP(S357,Mapping!A:C,3,FALSE)</f>
        <v>Primary</v>
      </c>
    </row>
    <row r="358" spans="1:28" x14ac:dyDescent="0.35">
      <c r="A358" s="6" t="s">
        <v>1302</v>
      </c>
      <c r="B358" s="6" t="s">
        <v>1303</v>
      </c>
      <c r="C358" s="6" t="s">
        <v>1304</v>
      </c>
      <c r="D358" s="6" t="s">
        <v>1305</v>
      </c>
      <c r="E358" s="6" t="s">
        <v>1306</v>
      </c>
      <c r="F358" s="6" t="s">
        <v>1307</v>
      </c>
      <c r="G358" s="6" t="s">
        <v>1308</v>
      </c>
      <c r="H358" s="6" t="s">
        <v>1632</v>
      </c>
      <c r="I358" s="6">
        <v>68.349999999999994</v>
      </c>
      <c r="J358" s="6">
        <v>0</v>
      </c>
      <c r="K358" s="6">
        <v>1</v>
      </c>
      <c r="L358" s="6" t="s">
        <v>2251</v>
      </c>
      <c r="M358" s="6" t="e">
        <f>VLOOKUP(L358,'Nov Inv Recon'!H:H,1,FALSE)</f>
        <v>#N/A</v>
      </c>
      <c r="N358" s="6" t="e">
        <f>VLOOKUP(L358,VictoryHeitrich!D:D,1,FALSE)</f>
        <v>#N/A</v>
      </c>
      <c r="O358" s="6" t="s">
        <v>935</v>
      </c>
      <c r="P358" s="6" t="s">
        <v>1311</v>
      </c>
      <c r="Q358" s="6" t="s">
        <v>2679</v>
      </c>
      <c r="S358" s="6" t="s">
        <v>48</v>
      </c>
      <c r="T358" s="6" t="s">
        <v>49</v>
      </c>
      <c r="U358" s="6" t="s">
        <v>1313</v>
      </c>
      <c r="V358" s="6" t="s">
        <v>1314</v>
      </c>
      <c r="W358" s="6">
        <v>2025</v>
      </c>
      <c r="X358" s="6">
        <v>11</v>
      </c>
      <c r="Y358" s="6" t="s">
        <v>1315</v>
      </c>
      <c r="Z358" s="6">
        <v>2025</v>
      </c>
      <c r="AA358" s="6" t="s">
        <v>1316</v>
      </c>
      <c r="AB358" s="6" t="str">
        <f>VLOOKUP(S358,Mapping!A:C,3,FALSE)</f>
        <v>Primary</v>
      </c>
    </row>
    <row r="359" spans="1:28" x14ac:dyDescent="0.35">
      <c r="A359" s="6" t="s">
        <v>1302</v>
      </c>
      <c r="B359" s="6" t="s">
        <v>1303</v>
      </c>
      <c r="C359" s="6" t="s">
        <v>1304</v>
      </c>
      <c r="D359" s="6" t="s">
        <v>1305</v>
      </c>
      <c r="E359" s="6" t="s">
        <v>1306</v>
      </c>
      <c r="F359" s="6" t="s">
        <v>1307</v>
      </c>
      <c r="G359" s="6" t="s">
        <v>1308</v>
      </c>
      <c r="H359" s="6" t="s">
        <v>1728</v>
      </c>
      <c r="I359" s="6">
        <v>88.61</v>
      </c>
      <c r="J359" s="6">
        <v>0</v>
      </c>
      <c r="K359" s="6">
        <v>1</v>
      </c>
      <c r="L359" s="6" t="s">
        <v>2242</v>
      </c>
      <c r="M359" s="6" t="e">
        <f>VLOOKUP(L359,'Nov Inv Recon'!H:H,1,FALSE)</f>
        <v>#N/A</v>
      </c>
      <c r="N359" s="6" t="e">
        <f>VLOOKUP(L359,VictoryHeitrich!D:D,1,FALSE)</f>
        <v>#N/A</v>
      </c>
      <c r="O359" s="6" t="s">
        <v>583</v>
      </c>
      <c r="P359" s="6" t="s">
        <v>1311</v>
      </c>
      <c r="Q359" s="6" t="s">
        <v>2679</v>
      </c>
      <c r="S359" s="6" t="s">
        <v>48</v>
      </c>
      <c r="T359" s="6" t="s">
        <v>49</v>
      </c>
      <c r="U359" s="6" t="s">
        <v>1313</v>
      </c>
      <c r="V359" s="6" t="s">
        <v>1314</v>
      </c>
      <c r="W359" s="6">
        <v>2025</v>
      </c>
      <c r="X359" s="6">
        <v>11</v>
      </c>
      <c r="Y359" s="6" t="s">
        <v>1315</v>
      </c>
      <c r="Z359" s="6">
        <v>2025</v>
      </c>
      <c r="AA359" s="6" t="s">
        <v>1316</v>
      </c>
      <c r="AB359" s="6" t="str">
        <f>VLOOKUP(S359,Mapping!A:C,3,FALSE)</f>
        <v>Primary</v>
      </c>
    </row>
    <row r="360" spans="1:28" x14ac:dyDescent="0.35">
      <c r="A360" s="6" t="s">
        <v>1302</v>
      </c>
      <c r="B360" s="6" t="s">
        <v>1303</v>
      </c>
      <c r="C360" s="6" t="s">
        <v>1304</v>
      </c>
      <c r="D360" s="6" t="s">
        <v>1305</v>
      </c>
      <c r="E360" s="6" t="s">
        <v>1306</v>
      </c>
      <c r="F360" s="6" t="s">
        <v>1307</v>
      </c>
      <c r="G360" s="6" t="s">
        <v>1308</v>
      </c>
      <c r="H360" s="6" t="s">
        <v>1632</v>
      </c>
      <c r="I360" s="6">
        <v>867.04</v>
      </c>
      <c r="J360" s="6">
        <v>0</v>
      </c>
      <c r="K360" s="6">
        <v>1</v>
      </c>
      <c r="L360" s="6" t="s">
        <v>2234</v>
      </c>
      <c r="M360" s="6" t="e">
        <f>VLOOKUP(L360,'Nov Inv Recon'!H:H,1,FALSE)</f>
        <v>#N/A</v>
      </c>
      <c r="N360" s="6" t="e">
        <f>VLOOKUP(L360,VictoryHeitrich!D:D,1,FALSE)</f>
        <v>#N/A</v>
      </c>
      <c r="O360" s="6" t="s">
        <v>815</v>
      </c>
      <c r="P360" s="6" t="s">
        <v>1311</v>
      </c>
      <c r="Q360" s="6" t="s">
        <v>2679</v>
      </c>
      <c r="S360" s="6" t="s">
        <v>48</v>
      </c>
      <c r="T360" s="6" t="s">
        <v>49</v>
      </c>
      <c r="U360" s="6" t="s">
        <v>1313</v>
      </c>
      <c r="V360" s="6" t="s">
        <v>1314</v>
      </c>
      <c r="W360" s="6">
        <v>2025</v>
      </c>
      <c r="X360" s="6">
        <v>11</v>
      </c>
      <c r="Y360" s="6" t="s">
        <v>1315</v>
      </c>
      <c r="Z360" s="6">
        <v>2025</v>
      </c>
      <c r="AA360" s="6" t="s">
        <v>1316</v>
      </c>
      <c r="AB360" s="6" t="str">
        <f>VLOOKUP(S360,Mapping!A:C,3,FALSE)</f>
        <v>Primary</v>
      </c>
    </row>
    <row r="361" spans="1:28" x14ac:dyDescent="0.35">
      <c r="A361" s="6" t="s">
        <v>1302</v>
      </c>
      <c r="B361" s="6" t="s">
        <v>1303</v>
      </c>
      <c r="C361" s="6" t="s">
        <v>1304</v>
      </c>
      <c r="D361" s="6" t="s">
        <v>1305</v>
      </c>
      <c r="E361" s="6" t="s">
        <v>1306</v>
      </c>
      <c r="F361" s="6" t="s">
        <v>1307</v>
      </c>
      <c r="G361" s="6" t="s">
        <v>1308</v>
      </c>
      <c r="H361" s="6" t="s">
        <v>1657</v>
      </c>
      <c r="I361" s="6">
        <v>0</v>
      </c>
      <c r="J361" s="6">
        <v>319</v>
      </c>
      <c r="K361" s="6">
        <v>1</v>
      </c>
      <c r="L361" s="6" t="s">
        <v>2097</v>
      </c>
      <c r="M361" s="6" t="e">
        <f>VLOOKUP(L361,'Nov Inv Recon'!H:H,1,FALSE)</f>
        <v>#N/A</v>
      </c>
      <c r="N361" s="6" t="e">
        <f>VLOOKUP(L361,VictoryHeitrich!D:D,1,FALSE)</f>
        <v>#N/A</v>
      </c>
      <c r="O361" s="6" t="s">
        <v>943</v>
      </c>
      <c r="P361" s="6" t="s">
        <v>1311</v>
      </c>
      <c r="Q361" s="6" t="s">
        <v>2729</v>
      </c>
      <c r="R361" s="6" t="s">
        <v>2729</v>
      </c>
      <c r="S361" s="6" t="s">
        <v>48</v>
      </c>
      <c r="T361" s="6" t="s">
        <v>49</v>
      </c>
      <c r="U361" s="6" t="s">
        <v>1313</v>
      </c>
      <c r="V361" s="6" t="s">
        <v>1314</v>
      </c>
      <c r="W361" s="6">
        <v>2025</v>
      </c>
      <c r="X361" s="6">
        <v>11</v>
      </c>
      <c r="Y361" s="6" t="s">
        <v>1315</v>
      </c>
      <c r="Z361" s="6">
        <v>2025</v>
      </c>
      <c r="AA361" s="6" t="s">
        <v>1316</v>
      </c>
      <c r="AB361" s="6" t="str">
        <f>VLOOKUP(S361,Mapping!A:C,3,FALSE)</f>
        <v>Primary</v>
      </c>
    </row>
    <row r="362" spans="1:28" x14ac:dyDescent="0.35">
      <c r="A362" s="6" t="s">
        <v>1302</v>
      </c>
      <c r="B362" s="6" t="s">
        <v>1303</v>
      </c>
      <c r="C362" s="6" t="s">
        <v>1304</v>
      </c>
      <c r="D362" s="6" t="s">
        <v>1305</v>
      </c>
      <c r="E362" s="6" t="s">
        <v>1306</v>
      </c>
      <c r="F362" s="6" t="s">
        <v>1307</v>
      </c>
      <c r="G362" s="6" t="s">
        <v>1308</v>
      </c>
      <c r="H362" s="6" t="s">
        <v>2526</v>
      </c>
      <c r="I362" s="6">
        <v>187.04</v>
      </c>
      <c r="J362" s="6">
        <v>0</v>
      </c>
      <c r="K362" s="6">
        <v>1</v>
      </c>
      <c r="L362" s="6" t="s">
        <v>2040</v>
      </c>
      <c r="M362" s="6" t="e">
        <f>VLOOKUP(L362,'Nov Inv Recon'!H:H,1,FALSE)</f>
        <v>#N/A</v>
      </c>
      <c r="N362" s="6" t="e">
        <f>VLOOKUP(L362,VictoryHeitrich!D:D,1,FALSE)</f>
        <v>#N/A</v>
      </c>
      <c r="O362" s="6" t="s">
        <v>470</v>
      </c>
      <c r="P362" s="6" t="s">
        <v>1311</v>
      </c>
      <c r="Q362" s="6" t="s">
        <v>2679</v>
      </c>
      <c r="S362" s="6" t="s">
        <v>48</v>
      </c>
      <c r="T362" s="6" t="s">
        <v>49</v>
      </c>
      <c r="U362" s="6" t="s">
        <v>1313</v>
      </c>
      <c r="V362" s="6" t="s">
        <v>1314</v>
      </c>
      <c r="W362" s="6">
        <v>2025</v>
      </c>
      <c r="X362" s="6">
        <v>11</v>
      </c>
      <c r="Y362" s="6" t="s">
        <v>1315</v>
      </c>
      <c r="Z362" s="6">
        <v>2025</v>
      </c>
      <c r="AA362" s="6" t="s">
        <v>1316</v>
      </c>
      <c r="AB362" s="6" t="str">
        <f>VLOOKUP(S362,Mapping!A:C,3,FALSE)</f>
        <v>Primary</v>
      </c>
    </row>
    <row r="363" spans="1:28" x14ac:dyDescent="0.35">
      <c r="A363" s="6" t="s">
        <v>1302</v>
      </c>
      <c r="B363" s="6" t="s">
        <v>1303</v>
      </c>
      <c r="C363" s="6" t="s">
        <v>1304</v>
      </c>
      <c r="D363" s="6" t="s">
        <v>1305</v>
      </c>
      <c r="E363" s="6" t="s">
        <v>1306</v>
      </c>
      <c r="F363" s="6" t="s">
        <v>1307</v>
      </c>
      <c r="G363" s="6" t="s">
        <v>1308</v>
      </c>
      <c r="H363" s="6" t="s">
        <v>1719</v>
      </c>
      <c r="I363" s="6">
        <v>6.07</v>
      </c>
      <c r="J363" s="6">
        <v>0</v>
      </c>
      <c r="K363" s="6">
        <v>1</v>
      </c>
      <c r="L363" s="6" t="s">
        <v>2104</v>
      </c>
      <c r="M363" s="6" t="e">
        <f>VLOOKUP(L363,'Nov Inv Recon'!H:H,1,FALSE)</f>
        <v>#N/A</v>
      </c>
      <c r="N363" s="6" t="e">
        <f>VLOOKUP(L363,VictoryHeitrich!D:D,1,FALSE)</f>
        <v>#N/A</v>
      </c>
      <c r="O363" s="6" t="s">
        <v>803</v>
      </c>
      <c r="P363" s="6" t="s">
        <v>1311</v>
      </c>
      <c r="Q363" s="6" t="s">
        <v>2679</v>
      </c>
      <c r="S363" s="6" t="s">
        <v>48</v>
      </c>
      <c r="T363" s="6" t="s">
        <v>49</v>
      </c>
      <c r="U363" s="6" t="s">
        <v>1313</v>
      </c>
      <c r="V363" s="6" t="s">
        <v>1314</v>
      </c>
      <c r="W363" s="6">
        <v>2025</v>
      </c>
      <c r="X363" s="6">
        <v>11</v>
      </c>
      <c r="Y363" s="6" t="s">
        <v>1315</v>
      </c>
      <c r="Z363" s="6">
        <v>2025</v>
      </c>
      <c r="AA363" s="6" t="s">
        <v>1316</v>
      </c>
      <c r="AB363" s="6" t="str">
        <f>VLOOKUP(S363,Mapping!A:C,3,FALSE)</f>
        <v>Primary</v>
      </c>
    </row>
    <row r="364" spans="1:28" x14ac:dyDescent="0.35">
      <c r="A364" s="6" t="s">
        <v>1302</v>
      </c>
      <c r="B364" s="6" t="s">
        <v>1303</v>
      </c>
      <c r="C364" s="6" t="s">
        <v>1304</v>
      </c>
      <c r="D364" s="6" t="s">
        <v>1305</v>
      </c>
      <c r="E364" s="6" t="s">
        <v>1306</v>
      </c>
      <c r="F364" s="6" t="s">
        <v>1307</v>
      </c>
      <c r="G364" s="6" t="s">
        <v>1308</v>
      </c>
      <c r="H364" s="6" t="s">
        <v>1697</v>
      </c>
      <c r="I364" s="6">
        <v>0</v>
      </c>
      <c r="J364" s="6">
        <v>299</v>
      </c>
      <c r="K364" s="6">
        <v>1</v>
      </c>
      <c r="L364" s="6" t="s">
        <v>2101</v>
      </c>
      <c r="M364" s="6" t="e">
        <f>VLOOKUP(L364,'Nov Inv Recon'!H:H,1,FALSE)</f>
        <v>#N/A</v>
      </c>
      <c r="N364" s="6" t="e">
        <f>VLOOKUP(L364,VictoryHeitrich!D:D,1,FALSE)</f>
        <v>#N/A</v>
      </c>
      <c r="O364" s="6" t="s">
        <v>481</v>
      </c>
      <c r="P364" s="6" t="s">
        <v>1311</v>
      </c>
      <c r="Q364" s="6" t="s">
        <v>2730</v>
      </c>
      <c r="R364" s="6" t="s">
        <v>2730</v>
      </c>
      <c r="S364" s="6" t="s">
        <v>48</v>
      </c>
      <c r="T364" s="6" t="s">
        <v>49</v>
      </c>
      <c r="U364" s="6" t="s">
        <v>1313</v>
      </c>
      <c r="V364" s="6" t="s">
        <v>1314</v>
      </c>
      <c r="W364" s="6">
        <v>2025</v>
      </c>
      <c r="X364" s="6">
        <v>11</v>
      </c>
      <c r="Y364" s="6" t="s">
        <v>1315</v>
      </c>
      <c r="Z364" s="6">
        <v>2025</v>
      </c>
      <c r="AA364" s="6" t="s">
        <v>1316</v>
      </c>
      <c r="AB364" s="6" t="str">
        <f>VLOOKUP(S364,Mapping!A:C,3,FALSE)</f>
        <v>Primary</v>
      </c>
    </row>
    <row r="365" spans="1:28" x14ac:dyDescent="0.35">
      <c r="A365" s="6" t="s">
        <v>1302</v>
      </c>
      <c r="B365" s="6" t="s">
        <v>1303</v>
      </c>
      <c r="C365" s="6" t="s">
        <v>1304</v>
      </c>
      <c r="D365" s="6" t="s">
        <v>1305</v>
      </c>
      <c r="E365" s="6" t="s">
        <v>1306</v>
      </c>
      <c r="F365" s="6" t="s">
        <v>1307</v>
      </c>
      <c r="G365" s="6" t="s">
        <v>1308</v>
      </c>
      <c r="H365" s="6" t="s">
        <v>1742</v>
      </c>
      <c r="I365" s="6">
        <v>0</v>
      </c>
      <c r="J365" s="6">
        <v>217.23</v>
      </c>
      <c r="K365" s="6">
        <v>1</v>
      </c>
      <c r="L365" s="6" t="s">
        <v>2094</v>
      </c>
      <c r="M365" s="6" t="e">
        <f>VLOOKUP(L365,'Nov Inv Recon'!H:H,1,FALSE)</f>
        <v>#N/A</v>
      </c>
      <c r="N365" s="6" t="e">
        <f>VLOOKUP(L365,VictoryHeitrich!D:D,1,FALSE)</f>
        <v>#N/A</v>
      </c>
      <c r="O365" s="6" t="s">
        <v>240</v>
      </c>
      <c r="P365" s="6" t="s">
        <v>1311</v>
      </c>
      <c r="Q365" s="6" t="s">
        <v>2731</v>
      </c>
      <c r="R365" s="6" t="s">
        <v>2731</v>
      </c>
      <c r="S365" s="6" t="s">
        <v>48</v>
      </c>
      <c r="T365" s="6" t="s">
        <v>49</v>
      </c>
      <c r="U365" s="6" t="s">
        <v>1313</v>
      </c>
      <c r="V365" s="6" t="s">
        <v>1314</v>
      </c>
      <c r="W365" s="6">
        <v>2025</v>
      </c>
      <c r="X365" s="6">
        <v>11</v>
      </c>
      <c r="Y365" s="6" t="s">
        <v>1315</v>
      </c>
      <c r="Z365" s="6">
        <v>2025</v>
      </c>
      <c r="AA365" s="6" t="s">
        <v>1316</v>
      </c>
      <c r="AB365" s="6" t="str">
        <f>VLOOKUP(S365,Mapping!A:C,3,FALSE)</f>
        <v>Primary</v>
      </c>
    </row>
    <row r="366" spans="1:28" x14ac:dyDescent="0.35">
      <c r="A366" s="6" t="s">
        <v>1302</v>
      </c>
      <c r="B366" s="6" t="s">
        <v>1303</v>
      </c>
      <c r="C366" s="6" t="s">
        <v>1304</v>
      </c>
      <c r="D366" s="6" t="s">
        <v>1305</v>
      </c>
      <c r="E366" s="6" t="s">
        <v>1306</v>
      </c>
      <c r="F366" s="6" t="s">
        <v>1307</v>
      </c>
      <c r="G366" s="6" t="s">
        <v>1308</v>
      </c>
      <c r="H366" s="6" t="s">
        <v>2398</v>
      </c>
      <c r="I366" s="6">
        <v>642.6</v>
      </c>
      <c r="J366" s="6">
        <v>0</v>
      </c>
      <c r="K366" s="6">
        <v>1</v>
      </c>
      <c r="L366" s="6" t="s">
        <v>2091</v>
      </c>
      <c r="M366" s="6" t="e">
        <f>VLOOKUP(L366,'Nov Inv Recon'!H:H,1,FALSE)</f>
        <v>#N/A</v>
      </c>
      <c r="N366" s="6" t="e">
        <f>VLOOKUP(L366,VictoryHeitrich!D:D,1,FALSE)</f>
        <v>#N/A</v>
      </c>
      <c r="O366" s="6" t="s">
        <v>661</v>
      </c>
      <c r="P366" s="6" t="s">
        <v>1311</v>
      </c>
      <c r="Q366" s="6" t="s">
        <v>2679</v>
      </c>
      <c r="S366" s="6" t="s">
        <v>48</v>
      </c>
      <c r="T366" s="6" t="s">
        <v>49</v>
      </c>
      <c r="U366" s="6" t="s">
        <v>1313</v>
      </c>
      <c r="V366" s="6" t="s">
        <v>1314</v>
      </c>
      <c r="W366" s="6">
        <v>2025</v>
      </c>
      <c r="X366" s="6">
        <v>11</v>
      </c>
      <c r="Y366" s="6" t="s">
        <v>1315</v>
      </c>
      <c r="Z366" s="6">
        <v>2025</v>
      </c>
      <c r="AA366" s="6" t="s">
        <v>1316</v>
      </c>
      <c r="AB366" s="6" t="str">
        <f>VLOOKUP(S366,Mapping!A:C,3,FALSE)</f>
        <v>Primary</v>
      </c>
    </row>
    <row r="367" spans="1:28" x14ac:dyDescent="0.35">
      <c r="A367" s="6" t="s">
        <v>1302</v>
      </c>
      <c r="B367" s="6" t="s">
        <v>1303</v>
      </c>
      <c r="C367" s="6" t="s">
        <v>1304</v>
      </c>
      <c r="D367" s="6" t="s">
        <v>1305</v>
      </c>
      <c r="E367" s="6" t="s">
        <v>1306</v>
      </c>
      <c r="F367" s="6" t="s">
        <v>1307</v>
      </c>
      <c r="G367" s="6" t="s">
        <v>1308</v>
      </c>
      <c r="H367" s="6" t="s">
        <v>2528</v>
      </c>
      <c r="I367" s="6">
        <v>407.64</v>
      </c>
      <c r="J367" s="6">
        <v>0</v>
      </c>
      <c r="K367" s="6">
        <v>1</v>
      </c>
      <c r="L367" s="6" t="s">
        <v>2086</v>
      </c>
      <c r="M367" s="6" t="e">
        <f>VLOOKUP(L367,'Nov Inv Recon'!H:H,1,FALSE)</f>
        <v>#N/A</v>
      </c>
      <c r="N367" s="6" t="e">
        <f>VLOOKUP(L367,VictoryHeitrich!D:D,1,FALSE)</f>
        <v>#N/A</v>
      </c>
      <c r="O367" s="6" t="s">
        <v>319</v>
      </c>
      <c r="P367" s="6" t="s">
        <v>1311</v>
      </c>
      <c r="Q367" s="6" t="s">
        <v>2679</v>
      </c>
      <c r="S367" s="6" t="s">
        <v>48</v>
      </c>
      <c r="T367" s="6" t="s">
        <v>49</v>
      </c>
      <c r="U367" s="6" t="s">
        <v>1313</v>
      </c>
      <c r="V367" s="6" t="s">
        <v>1314</v>
      </c>
      <c r="W367" s="6">
        <v>2025</v>
      </c>
      <c r="X367" s="6">
        <v>11</v>
      </c>
      <c r="Y367" s="6" t="s">
        <v>1315</v>
      </c>
      <c r="Z367" s="6">
        <v>2025</v>
      </c>
      <c r="AA367" s="6" t="s">
        <v>1316</v>
      </c>
      <c r="AB367" s="6" t="str">
        <f>VLOOKUP(S367,Mapping!A:C,3,FALSE)</f>
        <v>Primary</v>
      </c>
    </row>
    <row r="368" spans="1:28" x14ac:dyDescent="0.35">
      <c r="A368" s="6" t="s">
        <v>1302</v>
      </c>
      <c r="B368" s="6" t="s">
        <v>1303</v>
      </c>
      <c r="C368" s="6" t="s">
        <v>1304</v>
      </c>
      <c r="D368" s="6" t="s">
        <v>1305</v>
      </c>
      <c r="E368" s="6" t="s">
        <v>1306</v>
      </c>
      <c r="F368" s="6" t="s">
        <v>1307</v>
      </c>
      <c r="G368" s="6" t="s">
        <v>1308</v>
      </c>
      <c r="H368" s="6" t="s">
        <v>2639</v>
      </c>
      <c r="I368" s="6">
        <v>130.65</v>
      </c>
      <c r="J368" s="6">
        <v>0</v>
      </c>
      <c r="K368" s="6">
        <v>1</v>
      </c>
      <c r="L368" s="6" t="s">
        <v>2152</v>
      </c>
      <c r="M368" s="6" t="e">
        <f>VLOOKUP(L368,'Nov Inv Recon'!H:H,1,FALSE)</f>
        <v>#N/A</v>
      </c>
      <c r="N368" s="6" t="e">
        <f>VLOOKUP(L368,VictoryHeitrich!D:D,1,FALSE)</f>
        <v>#N/A</v>
      </c>
      <c r="O368" s="6" t="s">
        <v>365</v>
      </c>
      <c r="P368" s="6" t="s">
        <v>1311</v>
      </c>
      <c r="Q368" s="6" t="s">
        <v>2679</v>
      </c>
      <c r="S368" s="6" t="s">
        <v>48</v>
      </c>
      <c r="T368" s="6" t="s">
        <v>49</v>
      </c>
      <c r="U368" s="6" t="s">
        <v>1313</v>
      </c>
      <c r="V368" s="6" t="s">
        <v>1314</v>
      </c>
      <c r="W368" s="6">
        <v>2025</v>
      </c>
      <c r="X368" s="6">
        <v>11</v>
      </c>
      <c r="Y368" s="6" t="s">
        <v>1315</v>
      </c>
      <c r="Z368" s="6">
        <v>2025</v>
      </c>
      <c r="AA368" s="6" t="s">
        <v>1316</v>
      </c>
      <c r="AB368" s="6" t="str">
        <f>VLOOKUP(S368,Mapping!A:C,3,FALSE)</f>
        <v>Primary</v>
      </c>
    </row>
    <row r="369" spans="1:28" x14ac:dyDescent="0.35">
      <c r="A369" s="6" t="s">
        <v>1302</v>
      </c>
      <c r="B369" s="6" t="s">
        <v>1303</v>
      </c>
      <c r="C369" s="6" t="s">
        <v>1304</v>
      </c>
      <c r="D369" s="6" t="s">
        <v>1305</v>
      </c>
      <c r="E369" s="6" t="s">
        <v>1306</v>
      </c>
      <c r="F369" s="6" t="s">
        <v>1307</v>
      </c>
      <c r="G369" s="6" t="s">
        <v>1308</v>
      </c>
      <c r="H369" s="6" t="s">
        <v>2398</v>
      </c>
      <c r="I369" s="6">
        <v>0</v>
      </c>
      <c r="J369" s="6">
        <v>319</v>
      </c>
      <c r="K369" s="6">
        <v>1</v>
      </c>
      <c r="L369" s="6" t="s">
        <v>2311</v>
      </c>
      <c r="M369" s="6" t="e">
        <f>VLOOKUP(L369,'Nov Inv Recon'!H:H,1,FALSE)</f>
        <v>#N/A</v>
      </c>
      <c r="N369" s="6" t="e">
        <f>VLOOKUP(L369,VictoryHeitrich!D:D,1,FALSE)</f>
        <v>#N/A</v>
      </c>
      <c r="O369" s="6" t="s">
        <v>684</v>
      </c>
      <c r="P369" s="6" t="s">
        <v>1311</v>
      </c>
      <c r="Q369" s="6" t="s">
        <v>2732</v>
      </c>
      <c r="R369" s="6" t="s">
        <v>2732</v>
      </c>
      <c r="S369" s="6" t="s">
        <v>48</v>
      </c>
      <c r="T369" s="6" t="s">
        <v>49</v>
      </c>
      <c r="U369" s="6" t="s">
        <v>1313</v>
      </c>
      <c r="V369" s="6" t="s">
        <v>1314</v>
      </c>
      <c r="W369" s="6">
        <v>2025</v>
      </c>
      <c r="X369" s="6">
        <v>11</v>
      </c>
      <c r="Y369" s="6" t="s">
        <v>1315</v>
      </c>
      <c r="Z369" s="6">
        <v>2025</v>
      </c>
      <c r="AA369" s="6" t="s">
        <v>1316</v>
      </c>
      <c r="AB369" s="6" t="str">
        <f>VLOOKUP(S369,Mapping!A:C,3,FALSE)</f>
        <v>Primary</v>
      </c>
    </row>
    <row r="370" spans="1:28" x14ac:dyDescent="0.35">
      <c r="A370" s="6" t="s">
        <v>1302</v>
      </c>
      <c r="B370" s="6" t="s">
        <v>1303</v>
      </c>
      <c r="C370" s="6" t="s">
        <v>1304</v>
      </c>
      <c r="D370" s="6" t="s">
        <v>1305</v>
      </c>
      <c r="E370" s="6" t="s">
        <v>1306</v>
      </c>
      <c r="F370" s="6" t="s">
        <v>1307</v>
      </c>
      <c r="G370" s="6" t="s">
        <v>1308</v>
      </c>
      <c r="H370" s="6" t="s">
        <v>2528</v>
      </c>
      <c r="I370" s="6">
        <v>17.72</v>
      </c>
      <c r="J370" s="6">
        <v>0</v>
      </c>
      <c r="K370" s="6">
        <v>1</v>
      </c>
      <c r="L370" s="6" t="s">
        <v>2358</v>
      </c>
      <c r="M370" s="6" t="e">
        <f>VLOOKUP(L370,'Nov Inv Recon'!H:H,1,FALSE)</f>
        <v>#N/A</v>
      </c>
      <c r="N370" s="6" t="e">
        <f>VLOOKUP(L370,VictoryHeitrich!D:D,1,FALSE)</f>
        <v>#N/A</v>
      </c>
      <c r="O370" s="6" t="s">
        <v>2359</v>
      </c>
      <c r="P370" s="6" t="s">
        <v>1311</v>
      </c>
      <c r="Q370" s="6" t="s">
        <v>2733</v>
      </c>
      <c r="S370" s="6" t="s">
        <v>48</v>
      </c>
      <c r="T370" s="6" t="s">
        <v>49</v>
      </c>
      <c r="U370" s="6" t="s">
        <v>1313</v>
      </c>
      <c r="V370" s="6" t="s">
        <v>1314</v>
      </c>
      <c r="W370" s="6">
        <v>2025</v>
      </c>
      <c r="X370" s="6">
        <v>11</v>
      </c>
      <c r="Y370" s="6" t="s">
        <v>1315</v>
      </c>
      <c r="Z370" s="6">
        <v>2025</v>
      </c>
      <c r="AA370" s="6" t="s">
        <v>1316</v>
      </c>
      <c r="AB370" s="6" t="str">
        <f>VLOOKUP(S370,Mapping!A:C,3,FALSE)</f>
        <v>Primary</v>
      </c>
    </row>
    <row r="371" spans="1:28" x14ac:dyDescent="0.35">
      <c r="A371" s="6" t="s">
        <v>1302</v>
      </c>
      <c r="B371" s="6" t="s">
        <v>1303</v>
      </c>
      <c r="C371" s="6" t="s">
        <v>1304</v>
      </c>
      <c r="D371" s="6" t="s">
        <v>1305</v>
      </c>
      <c r="E371" s="6" t="s">
        <v>1306</v>
      </c>
      <c r="F371" s="6" t="s">
        <v>1307</v>
      </c>
      <c r="G371" s="6" t="s">
        <v>1308</v>
      </c>
      <c r="H371" s="6" t="s">
        <v>1682</v>
      </c>
      <c r="I371" s="6">
        <v>549.67999999999995</v>
      </c>
      <c r="J371" s="6">
        <v>0</v>
      </c>
      <c r="K371" s="6">
        <v>1</v>
      </c>
      <c r="L371" s="6" t="s">
        <v>2139</v>
      </c>
      <c r="M371" s="6" t="e">
        <f>VLOOKUP(L371,'Nov Inv Recon'!H:H,1,FALSE)</f>
        <v>#N/A</v>
      </c>
      <c r="N371" s="6" t="e">
        <f>VLOOKUP(L371,VictoryHeitrich!D:D,1,FALSE)</f>
        <v>#N/A</v>
      </c>
      <c r="O371" s="6" t="s">
        <v>742</v>
      </c>
      <c r="P371" s="6" t="s">
        <v>1311</v>
      </c>
      <c r="Q371" s="6" t="s">
        <v>2679</v>
      </c>
      <c r="S371" s="6" t="s">
        <v>48</v>
      </c>
      <c r="T371" s="6" t="s">
        <v>49</v>
      </c>
      <c r="U371" s="6" t="s">
        <v>1313</v>
      </c>
      <c r="V371" s="6" t="s">
        <v>1314</v>
      </c>
      <c r="W371" s="6">
        <v>2025</v>
      </c>
      <c r="X371" s="6">
        <v>11</v>
      </c>
      <c r="Y371" s="6" t="s">
        <v>1315</v>
      </c>
      <c r="Z371" s="6">
        <v>2025</v>
      </c>
      <c r="AA371" s="6" t="s">
        <v>1316</v>
      </c>
      <c r="AB371" s="6" t="str">
        <f>VLOOKUP(S371,Mapping!A:C,3,FALSE)</f>
        <v>Primary</v>
      </c>
    </row>
    <row r="372" spans="1:28" x14ac:dyDescent="0.35">
      <c r="A372" s="6" t="s">
        <v>1302</v>
      </c>
      <c r="B372" s="6" t="s">
        <v>1303</v>
      </c>
      <c r="C372" s="6" t="s">
        <v>1304</v>
      </c>
      <c r="D372" s="6" t="s">
        <v>1305</v>
      </c>
      <c r="E372" s="6" t="s">
        <v>1306</v>
      </c>
      <c r="F372" s="6" t="s">
        <v>1307</v>
      </c>
      <c r="G372" s="6" t="s">
        <v>1308</v>
      </c>
      <c r="H372" s="6" t="s">
        <v>1777</v>
      </c>
      <c r="I372" s="6">
        <v>586.51</v>
      </c>
      <c r="J372" s="6">
        <v>0</v>
      </c>
      <c r="K372" s="6">
        <v>1</v>
      </c>
      <c r="L372" s="6" t="s">
        <v>1991</v>
      </c>
      <c r="M372" s="6" t="e">
        <f>VLOOKUP(L372,'Nov Inv Recon'!H:H,1,FALSE)</f>
        <v>#N/A</v>
      </c>
      <c r="N372" s="6" t="e">
        <f>VLOOKUP(L372,VictoryHeitrich!D:D,1,FALSE)</f>
        <v>#N/A</v>
      </c>
      <c r="O372" s="6" t="s">
        <v>62</v>
      </c>
      <c r="P372" s="6" t="s">
        <v>1311</v>
      </c>
      <c r="Q372" s="6" t="s">
        <v>2679</v>
      </c>
      <c r="S372" s="6" t="s">
        <v>48</v>
      </c>
      <c r="T372" s="6" t="s">
        <v>49</v>
      </c>
      <c r="U372" s="6" t="s">
        <v>1313</v>
      </c>
      <c r="V372" s="6" t="s">
        <v>1314</v>
      </c>
      <c r="W372" s="6">
        <v>2025</v>
      </c>
      <c r="X372" s="6">
        <v>11</v>
      </c>
      <c r="Y372" s="6" t="s">
        <v>1315</v>
      </c>
      <c r="Z372" s="6">
        <v>2025</v>
      </c>
      <c r="AA372" s="6" t="s">
        <v>1316</v>
      </c>
      <c r="AB372" s="6" t="str">
        <f>VLOOKUP(S372,Mapping!A:C,3,FALSE)</f>
        <v>Primary</v>
      </c>
    </row>
    <row r="373" spans="1:28" x14ac:dyDescent="0.35">
      <c r="A373" s="6" t="s">
        <v>1302</v>
      </c>
      <c r="B373" s="6" t="s">
        <v>1303</v>
      </c>
      <c r="C373" s="6" t="s">
        <v>1304</v>
      </c>
      <c r="D373" s="6" t="s">
        <v>1305</v>
      </c>
      <c r="E373" s="6" t="s">
        <v>1306</v>
      </c>
      <c r="F373" s="6" t="s">
        <v>1307</v>
      </c>
      <c r="G373" s="6" t="s">
        <v>1308</v>
      </c>
      <c r="H373" s="6" t="s">
        <v>1632</v>
      </c>
      <c r="I373" s="6">
        <v>0</v>
      </c>
      <c r="J373" s="6">
        <v>200.93</v>
      </c>
      <c r="K373" s="6">
        <v>1</v>
      </c>
      <c r="L373" s="6" t="s">
        <v>2158</v>
      </c>
      <c r="M373" s="6" t="e">
        <f>VLOOKUP(L373,'Nov Inv Recon'!H:H,1,FALSE)</f>
        <v>#N/A</v>
      </c>
      <c r="N373" s="6" t="e">
        <f>VLOOKUP(L373,VictoryHeitrich!D:D,1,FALSE)</f>
        <v>#N/A</v>
      </c>
      <c r="O373" s="6" t="s">
        <v>211</v>
      </c>
      <c r="P373" s="6" t="s">
        <v>1311</v>
      </c>
      <c r="Q373" s="6" t="s">
        <v>2734</v>
      </c>
      <c r="R373" s="6" t="s">
        <v>2734</v>
      </c>
      <c r="S373" s="6" t="s">
        <v>48</v>
      </c>
      <c r="T373" s="6" t="s">
        <v>49</v>
      </c>
      <c r="U373" s="6" t="s">
        <v>1313</v>
      </c>
      <c r="V373" s="6" t="s">
        <v>1314</v>
      </c>
      <c r="W373" s="6">
        <v>2025</v>
      </c>
      <c r="X373" s="6">
        <v>11</v>
      </c>
      <c r="Y373" s="6" t="s">
        <v>1315</v>
      </c>
      <c r="Z373" s="6">
        <v>2025</v>
      </c>
      <c r="AA373" s="6" t="s">
        <v>1316</v>
      </c>
      <c r="AB373" s="6" t="str">
        <f>VLOOKUP(S373,Mapping!A:C,3,FALSE)</f>
        <v>Primary</v>
      </c>
    </row>
    <row r="374" spans="1:28" x14ac:dyDescent="0.35">
      <c r="A374" s="6" t="s">
        <v>1302</v>
      </c>
      <c r="B374" s="6" t="s">
        <v>1303</v>
      </c>
      <c r="C374" s="6" t="s">
        <v>1304</v>
      </c>
      <c r="D374" s="6" t="s">
        <v>1305</v>
      </c>
      <c r="E374" s="6" t="s">
        <v>1306</v>
      </c>
      <c r="F374" s="6" t="s">
        <v>1307</v>
      </c>
      <c r="G374" s="6" t="s">
        <v>1308</v>
      </c>
      <c r="H374" s="6" t="s">
        <v>2425</v>
      </c>
      <c r="I374" s="6">
        <v>0</v>
      </c>
      <c r="J374" s="6">
        <v>299</v>
      </c>
      <c r="K374" s="6">
        <v>1</v>
      </c>
      <c r="L374" s="6" t="s">
        <v>2249</v>
      </c>
      <c r="M374" s="6" t="e">
        <f>VLOOKUP(L374,'Nov Inv Recon'!H:H,1,FALSE)</f>
        <v>#N/A</v>
      </c>
      <c r="N374" s="6" t="e">
        <f>VLOOKUP(L374,VictoryHeitrich!D:D,1,FALSE)</f>
        <v>#N/A</v>
      </c>
      <c r="O374" s="6" t="s">
        <v>477</v>
      </c>
      <c r="P374" s="6" t="s">
        <v>1311</v>
      </c>
      <c r="Q374" s="6" t="s">
        <v>2735</v>
      </c>
      <c r="R374" s="6" t="s">
        <v>2735</v>
      </c>
      <c r="S374" s="6" t="s">
        <v>48</v>
      </c>
      <c r="T374" s="6" t="s">
        <v>49</v>
      </c>
      <c r="U374" s="6" t="s">
        <v>1313</v>
      </c>
      <c r="V374" s="6" t="s">
        <v>1314</v>
      </c>
      <c r="W374" s="6">
        <v>2025</v>
      </c>
      <c r="X374" s="6">
        <v>11</v>
      </c>
      <c r="Y374" s="6" t="s">
        <v>1315</v>
      </c>
      <c r="Z374" s="6">
        <v>2025</v>
      </c>
      <c r="AA374" s="6" t="s">
        <v>1316</v>
      </c>
      <c r="AB374" s="6" t="str">
        <f>VLOOKUP(S374,Mapping!A:C,3,FALSE)</f>
        <v>Primary</v>
      </c>
    </row>
    <row r="375" spans="1:28" x14ac:dyDescent="0.35">
      <c r="A375" s="6" t="s">
        <v>1302</v>
      </c>
      <c r="B375" s="6" t="s">
        <v>1303</v>
      </c>
      <c r="C375" s="6" t="s">
        <v>1304</v>
      </c>
      <c r="D375" s="6" t="s">
        <v>1305</v>
      </c>
      <c r="E375" s="6" t="s">
        <v>1306</v>
      </c>
      <c r="F375" s="6" t="s">
        <v>1307</v>
      </c>
      <c r="G375" s="6" t="s">
        <v>1308</v>
      </c>
      <c r="H375" s="6" t="s">
        <v>1719</v>
      </c>
      <c r="I375" s="6">
        <v>0</v>
      </c>
      <c r="J375" s="6">
        <v>299</v>
      </c>
      <c r="K375" s="6">
        <v>1</v>
      </c>
      <c r="L375" s="6" t="s">
        <v>2069</v>
      </c>
      <c r="M375" s="6" t="e">
        <f>VLOOKUP(L375,'Nov Inv Recon'!H:H,1,FALSE)</f>
        <v>#N/A</v>
      </c>
      <c r="N375" s="6" t="e">
        <f>VLOOKUP(L375,VictoryHeitrich!D:D,1,FALSE)</f>
        <v>#N/A</v>
      </c>
      <c r="O375" s="6" t="s">
        <v>490</v>
      </c>
      <c r="P375" s="6" t="s">
        <v>1311</v>
      </c>
      <c r="Q375" s="6" t="s">
        <v>2736</v>
      </c>
      <c r="R375" s="6" t="s">
        <v>2736</v>
      </c>
      <c r="S375" s="6" t="s">
        <v>48</v>
      </c>
      <c r="T375" s="6" t="s">
        <v>49</v>
      </c>
      <c r="U375" s="6" t="s">
        <v>1313</v>
      </c>
      <c r="V375" s="6" t="s">
        <v>1314</v>
      </c>
      <c r="W375" s="6">
        <v>2025</v>
      </c>
      <c r="X375" s="6">
        <v>11</v>
      </c>
      <c r="Y375" s="6" t="s">
        <v>1315</v>
      </c>
      <c r="Z375" s="6">
        <v>2025</v>
      </c>
      <c r="AA375" s="6" t="s">
        <v>1316</v>
      </c>
      <c r="AB375" s="6" t="str">
        <f>VLOOKUP(S375,Mapping!A:C,3,FALSE)</f>
        <v>Primary</v>
      </c>
    </row>
    <row r="376" spans="1:28" x14ac:dyDescent="0.35">
      <c r="A376" s="6" t="s">
        <v>1302</v>
      </c>
      <c r="B376" s="6" t="s">
        <v>1303</v>
      </c>
      <c r="C376" s="6" t="s">
        <v>1304</v>
      </c>
      <c r="D376" s="6" t="s">
        <v>1305</v>
      </c>
      <c r="E376" s="6" t="s">
        <v>1306</v>
      </c>
      <c r="F376" s="6" t="s">
        <v>1307</v>
      </c>
      <c r="G376" s="6" t="s">
        <v>1308</v>
      </c>
      <c r="H376" s="6" t="s">
        <v>2425</v>
      </c>
      <c r="I376" s="6">
        <v>0</v>
      </c>
      <c r="J376" s="6">
        <v>350.37</v>
      </c>
      <c r="K376" s="6">
        <v>1</v>
      </c>
      <c r="L376" s="6" t="s">
        <v>2229</v>
      </c>
      <c r="M376" s="6" t="e">
        <f>VLOOKUP(L376,'Nov Inv Recon'!H:H,1,FALSE)</f>
        <v>#N/A</v>
      </c>
      <c r="N376" s="6" t="e">
        <f>VLOOKUP(L376,VictoryHeitrich!D:D,1,FALSE)</f>
        <v>#N/A</v>
      </c>
      <c r="O376" s="6" t="s">
        <v>762</v>
      </c>
      <c r="P376" s="6" t="s">
        <v>1311</v>
      </c>
      <c r="Q376" s="6" t="s">
        <v>2737</v>
      </c>
      <c r="R376" s="6" t="s">
        <v>2737</v>
      </c>
      <c r="S376" s="6" t="s">
        <v>48</v>
      </c>
      <c r="T376" s="6" t="s">
        <v>49</v>
      </c>
      <c r="U376" s="6" t="s">
        <v>1313</v>
      </c>
      <c r="V376" s="6" t="s">
        <v>1314</v>
      </c>
      <c r="W376" s="6">
        <v>2025</v>
      </c>
      <c r="X376" s="6">
        <v>11</v>
      </c>
      <c r="Y376" s="6" t="s">
        <v>1315</v>
      </c>
      <c r="Z376" s="6">
        <v>2025</v>
      </c>
      <c r="AA376" s="6" t="s">
        <v>1316</v>
      </c>
      <c r="AB376" s="6" t="str">
        <f>VLOOKUP(S376,Mapping!A:C,3,FALSE)</f>
        <v>Primary</v>
      </c>
    </row>
    <row r="377" spans="1:28" x14ac:dyDescent="0.35">
      <c r="A377" s="6" t="s">
        <v>1302</v>
      </c>
      <c r="B377" s="6" t="s">
        <v>1303</v>
      </c>
      <c r="C377" s="6" t="s">
        <v>1304</v>
      </c>
      <c r="D377" s="6" t="s">
        <v>1305</v>
      </c>
      <c r="E377" s="6" t="s">
        <v>1306</v>
      </c>
      <c r="F377" s="6" t="s">
        <v>1307</v>
      </c>
      <c r="G377" s="6" t="s">
        <v>1308</v>
      </c>
      <c r="H377" s="6" t="s">
        <v>1842</v>
      </c>
      <c r="I377" s="6">
        <v>3.1</v>
      </c>
      <c r="J377" s="6">
        <v>0</v>
      </c>
      <c r="K377" s="6">
        <v>1</v>
      </c>
      <c r="L377" s="6" t="s">
        <v>2212</v>
      </c>
      <c r="M377" s="6" t="e">
        <f>VLOOKUP(L377,'Nov Inv Recon'!H:H,1,FALSE)</f>
        <v>#N/A</v>
      </c>
      <c r="N377" s="6" t="e">
        <f>VLOOKUP(L377,VictoryHeitrich!D:D,1,FALSE)</f>
        <v>#N/A</v>
      </c>
      <c r="O377" s="6" t="s">
        <v>874</v>
      </c>
      <c r="P377" s="6" t="s">
        <v>1311</v>
      </c>
      <c r="Q377" s="6" t="s">
        <v>2679</v>
      </c>
      <c r="S377" s="6" t="s">
        <v>48</v>
      </c>
      <c r="T377" s="6" t="s">
        <v>49</v>
      </c>
      <c r="U377" s="6" t="s">
        <v>1313</v>
      </c>
      <c r="V377" s="6" t="s">
        <v>1314</v>
      </c>
      <c r="W377" s="6">
        <v>2025</v>
      </c>
      <c r="X377" s="6">
        <v>11</v>
      </c>
      <c r="Y377" s="6" t="s">
        <v>1315</v>
      </c>
      <c r="Z377" s="6">
        <v>2025</v>
      </c>
      <c r="AA377" s="6" t="s">
        <v>1316</v>
      </c>
      <c r="AB377" s="6" t="str">
        <f>VLOOKUP(S377,Mapping!A:C,3,FALSE)</f>
        <v>Primary</v>
      </c>
    </row>
    <row r="378" spans="1:28" x14ac:dyDescent="0.35">
      <c r="A378" s="6" t="s">
        <v>1302</v>
      </c>
      <c r="B378" s="6" t="s">
        <v>1303</v>
      </c>
      <c r="C378" s="6" t="s">
        <v>1304</v>
      </c>
      <c r="D378" s="6" t="s">
        <v>1305</v>
      </c>
      <c r="E378" s="6" t="s">
        <v>1306</v>
      </c>
      <c r="F378" s="6" t="s">
        <v>1307</v>
      </c>
      <c r="G378" s="6" t="s">
        <v>1308</v>
      </c>
      <c r="H378" s="6" t="s">
        <v>1728</v>
      </c>
      <c r="I378" s="6">
        <v>0</v>
      </c>
      <c r="J378" s="6">
        <v>350.37</v>
      </c>
      <c r="K378" s="6">
        <v>1</v>
      </c>
      <c r="L378" s="6" t="s">
        <v>2221</v>
      </c>
      <c r="M378" s="6" t="e">
        <f>VLOOKUP(L378,'Nov Inv Recon'!H:H,1,FALSE)</f>
        <v>#N/A</v>
      </c>
      <c r="N378" s="6" t="e">
        <f>VLOOKUP(L378,VictoryHeitrich!D:D,1,FALSE)</f>
        <v>#N/A</v>
      </c>
      <c r="O378" s="6" t="s">
        <v>769</v>
      </c>
      <c r="P378" s="6" t="s">
        <v>1311</v>
      </c>
      <c r="Q378" s="6" t="s">
        <v>2738</v>
      </c>
      <c r="R378" s="6" t="s">
        <v>2738</v>
      </c>
      <c r="S378" s="6" t="s">
        <v>48</v>
      </c>
      <c r="T378" s="6" t="s">
        <v>49</v>
      </c>
      <c r="U378" s="6" t="s">
        <v>1313</v>
      </c>
      <c r="V378" s="6" t="s">
        <v>1314</v>
      </c>
      <c r="W378" s="6">
        <v>2025</v>
      </c>
      <c r="X378" s="6">
        <v>11</v>
      </c>
      <c r="Y378" s="6" t="s">
        <v>1315</v>
      </c>
      <c r="Z378" s="6">
        <v>2025</v>
      </c>
      <c r="AA378" s="6" t="s">
        <v>1316</v>
      </c>
      <c r="AB378" s="6" t="str">
        <f>VLOOKUP(S378,Mapping!A:C,3,FALSE)</f>
        <v>Primary</v>
      </c>
    </row>
    <row r="379" spans="1:28" x14ac:dyDescent="0.35">
      <c r="A379" s="6" t="s">
        <v>1302</v>
      </c>
      <c r="B379" s="6" t="s">
        <v>1303</v>
      </c>
      <c r="C379" s="6" t="s">
        <v>1304</v>
      </c>
      <c r="D379" s="6" t="s">
        <v>1305</v>
      </c>
      <c r="E379" s="6" t="s">
        <v>1306</v>
      </c>
      <c r="F379" s="6" t="s">
        <v>1307</v>
      </c>
      <c r="G379" s="6" t="s">
        <v>1308</v>
      </c>
      <c r="H379" s="6" t="s">
        <v>1632</v>
      </c>
      <c r="I379" s="6">
        <v>0</v>
      </c>
      <c r="J379" s="6">
        <v>599</v>
      </c>
      <c r="K379" s="6">
        <v>1</v>
      </c>
      <c r="L379" s="6" t="s">
        <v>2316</v>
      </c>
      <c r="M379" s="6" t="e">
        <f>VLOOKUP(L379,'Nov Inv Recon'!H:H,1,FALSE)</f>
        <v>#N/A</v>
      </c>
      <c r="N379" s="6" t="e">
        <f>VLOOKUP(L379,VictoryHeitrich!D:D,1,FALSE)</f>
        <v>#N/A</v>
      </c>
      <c r="O379" s="6" t="s">
        <v>560</v>
      </c>
      <c r="P379" s="6" t="s">
        <v>1311</v>
      </c>
      <c r="Q379" s="6" t="s">
        <v>2739</v>
      </c>
      <c r="R379" s="6" t="s">
        <v>2739</v>
      </c>
      <c r="S379" s="6" t="s">
        <v>67</v>
      </c>
      <c r="T379" s="6" t="s">
        <v>68</v>
      </c>
      <c r="U379" s="6" t="s">
        <v>1313</v>
      </c>
      <c r="V379" s="6" t="s">
        <v>1314</v>
      </c>
      <c r="W379" s="6">
        <v>2025</v>
      </c>
      <c r="X379" s="6">
        <v>11</v>
      </c>
      <c r="Y379" s="6" t="s">
        <v>1315</v>
      </c>
      <c r="Z379" s="6">
        <v>2025</v>
      </c>
      <c r="AA379" s="6" t="s">
        <v>1316</v>
      </c>
      <c r="AB379" s="6" t="str">
        <f>VLOOKUP(S379,Mapping!A:C,3,FALSE)</f>
        <v>Primary</v>
      </c>
    </row>
    <row r="380" spans="1:28" x14ac:dyDescent="0.35">
      <c r="A380" s="6" t="s">
        <v>1302</v>
      </c>
      <c r="B380" s="6" t="s">
        <v>1303</v>
      </c>
      <c r="C380" s="6" t="s">
        <v>1304</v>
      </c>
      <c r="D380" s="6" t="s">
        <v>1305</v>
      </c>
      <c r="E380" s="6" t="s">
        <v>1306</v>
      </c>
      <c r="F380" s="6" t="s">
        <v>1307</v>
      </c>
      <c r="G380" s="6" t="s">
        <v>1308</v>
      </c>
      <c r="H380" s="6" t="s">
        <v>1632</v>
      </c>
      <c r="I380" s="6">
        <v>0</v>
      </c>
      <c r="J380" s="6">
        <v>599</v>
      </c>
      <c r="K380" s="6">
        <v>1</v>
      </c>
      <c r="L380" s="6" t="s">
        <v>2325</v>
      </c>
      <c r="M380" s="6" t="e">
        <f>VLOOKUP(L380,'Nov Inv Recon'!H:H,1,FALSE)</f>
        <v>#N/A</v>
      </c>
      <c r="N380" s="6" t="e">
        <f>VLOOKUP(L380,VictoryHeitrich!D:D,1,FALSE)</f>
        <v>#N/A</v>
      </c>
      <c r="O380" s="6" t="s">
        <v>558</v>
      </c>
      <c r="P380" s="6" t="s">
        <v>1311</v>
      </c>
      <c r="Q380" s="6" t="s">
        <v>2740</v>
      </c>
      <c r="R380" s="6" t="s">
        <v>2740</v>
      </c>
      <c r="S380" s="6" t="s">
        <v>67</v>
      </c>
      <c r="T380" s="6" t="s">
        <v>68</v>
      </c>
      <c r="U380" s="6" t="s">
        <v>1313</v>
      </c>
      <c r="V380" s="6" t="s">
        <v>1314</v>
      </c>
      <c r="W380" s="6">
        <v>2025</v>
      </c>
      <c r="X380" s="6">
        <v>11</v>
      </c>
      <c r="Y380" s="6" t="s">
        <v>1315</v>
      </c>
      <c r="Z380" s="6">
        <v>2025</v>
      </c>
      <c r="AA380" s="6" t="s">
        <v>1316</v>
      </c>
      <c r="AB380" s="6" t="str">
        <f>VLOOKUP(S380,Mapping!A:C,3,FALSE)</f>
        <v>Primary</v>
      </c>
    </row>
    <row r="381" spans="1:28" x14ac:dyDescent="0.35">
      <c r="A381" s="6" t="s">
        <v>1302</v>
      </c>
      <c r="B381" s="6" t="s">
        <v>1303</v>
      </c>
      <c r="C381" s="6" t="s">
        <v>1304</v>
      </c>
      <c r="D381" s="6" t="s">
        <v>1305</v>
      </c>
      <c r="E381" s="6" t="s">
        <v>1306</v>
      </c>
      <c r="F381" s="6" t="s">
        <v>1307</v>
      </c>
      <c r="G381" s="6" t="s">
        <v>1308</v>
      </c>
      <c r="H381" s="6" t="s">
        <v>1719</v>
      </c>
      <c r="I381" s="6">
        <v>0</v>
      </c>
      <c r="J381" s="6">
        <v>599</v>
      </c>
      <c r="K381" s="6">
        <v>1</v>
      </c>
      <c r="L381" s="6" t="s">
        <v>2241</v>
      </c>
      <c r="M381" s="6" t="e">
        <f>VLOOKUP(L381,'Nov Inv Recon'!H:H,1,FALSE)</f>
        <v>#N/A</v>
      </c>
      <c r="N381" s="6" t="e">
        <f>VLOOKUP(L381,VictoryHeitrich!D:D,1,FALSE)</f>
        <v>#N/A</v>
      </c>
      <c r="O381" s="6" t="s">
        <v>899</v>
      </c>
      <c r="P381" s="6" t="s">
        <v>1311</v>
      </c>
      <c r="Q381" s="6" t="s">
        <v>2741</v>
      </c>
      <c r="R381" s="6" t="s">
        <v>2741</v>
      </c>
      <c r="S381" s="6" t="s">
        <v>67</v>
      </c>
      <c r="T381" s="6" t="s">
        <v>68</v>
      </c>
      <c r="U381" s="6" t="s">
        <v>1313</v>
      </c>
      <c r="V381" s="6" t="s">
        <v>1314</v>
      </c>
      <c r="W381" s="6">
        <v>2025</v>
      </c>
      <c r="X381" s="6">
        <v>11</v>
      </c>
      <c r="Y381" s="6" t="s">
        <v>1315</v>
      </c>
      <c r="Z381" s="6">
        <v>2025</v>
      </c>
      <c r="AA381" s="6" t="s">
        <v>1316</v>
      </c>
      <c r="AB381" s="6" t="str">
        <f>VLOOKUP(S381,Mapping!A:C,3,FALSE)</f>
        <v>Primary</v>
      </c>
    </row>
    <row r="382" spans="1:28" x14ac:dyDescent="0.35">
      <c r="A382" s="6" t="s">
        <v>1302</v>
      </c>
      <c r="B382" s="6" t="s">
        <v>1303</v>
      </c>
      <c r="C382" s="6" t="s">
        <v>1304</v>
      </c>
      <c r="D382" s="6" t="s">
        <v>1305</v>
      </c>
      <c r="E382" s="6" t="s">
        <v>1306</v>
      </c>
      <c r="F382" s="6" t="s">
        <v>1307</v>
      </c>
      <c r="G382" s="6" t="s">
        <v>1308</v>
      </c>
      <c r="H382" s="6" t="s">
        <v>2398</v>
      </c>
      <c r="I382" s="6">
        <v>0</v>
      </c>
      <c r="J382" s="6">
        <v>599</v>
      </c>
      <c r="K382" s="6">
        <v>1</v>
      </c>
      <c r="L382" s="6" t="s">
        <v>2184</v>
      </c>
      <c r="M382" s="6" t="e">
        <f>VLOOKUP(L382,'Nov Inv Recon'!H:H,1,FALSE)</f>
        <v>#N/A</v>
      </c>
      <c r="N382" s="6" t="e">
        <f>VLOOKUP(L382,VictoryHeitrich!D:D,1,FALSE)</f>
        <v>#N/A</v>
      </c>
      <c r="O382" s="6" t="s">
        <v>665</v>
      </c>
      <c r="P382" s="6" t="s">
        <v>1311</v>
      </c>
      <c r="Q382" s="6" t="s">
        <v>2742</v>
      </c>
      <c r="R382" s="6" t="s">
        <v>2742</v>
      </c>
      <c r="S382" s="6" t="s">
        <v>67</v>
      </c>
      <c r="T382" s="6" t="s">
        <v>68</v>
      </c>
      <c r="U382" s="6" t="s">
        <v>1313</v>
      </c>
      <c r="V382" s="6" t="s">
        <v>1314</v>
      </c>
      <c r="W382" s="6">
        <v>2025</v>
      </c>
      <c r="X382" s="6">
        <v>11</v>
      </c>
      <c r="Y382" s="6" t="s">
        <v>1315</v>
      </c>
      <c r="Z382" s="6">
        <v>2025</v>
      </c>
      <c r="AA382" s="6" t="s">
        <v>1316</v>
      </c>
      <c r="AB382" s="6" t="str">
        <f>VLOOKUP(S382,Mapping!A:C,3,FALSE)</f>
        <v>Primary</v>
      </c>
    </row>
    <row r="383" spans="1:28" x14ac:dyDescent="0.35">
      <c r="A383" s="6" t="s">
        <v>1302</v>
      </c>
      <c r="B383" s="6" t="s">
        <v>1303</v>
      </c>
      <c r="C383" s="6" t="s">
        <v>1304</v>
      </c>
      <c r="D383" s="6" t="s">
        <v>1305</v>
      </c>
      <c r="E383" s="6" t="s">
        <v>1306</v>
      </c>
      <c r="F383" s="6" t="s">
        <v>1307</v>
      </c>
      <c r="G383" s="6" t="s">
        <v>1308</v>
      </c>
      <c r="H383" s="6" t="s">
        <v>1632</v>
      </c>
      <c r="I383" s="6">
        <v>0</v>
      </c>
      <c r="J383" s="6">
        <v>599</v>
      </c>
      <c r="K383" s="6">
        <v>1</v>
      </c>
      <c r="L383" s="6" t="s">
        <v>2315</v>
      </c>
      <c r="M383" s="6" t="e">
        <f>VLOOKUP(L383,'Nov Inv Recon'!H:H,1,FALSE)</f>
        <v>#N/A</v>
      </c>
      <c r="N383" s="6" t="e">
        <f>VLOOKUP(L383,VictoryHeitrich!D:D,1,FALSE)</f>
        <v>#N/A</v>
      </c>
      <c r="O383" s="6" t="s">
        <v>556</v>
      </c>
      <c r="P383" s="6" t="s">
        <v>1311</v>
      </c>
      <c r="Q383" s="6" t="s">
        <v>2743</v>
      </c>
      <c r="R383" s="6" t="s">
        <v>2743</v>
      </c>
      <c r="S383" s="6" t="s">
        <v>67</v>
      </c>
      <c r="T383" s="6" t="s">
        <v>68</v>
      </c>
      <c r="U383" s="6" t="s">
        <v>1313</v>
      </c>
      <c r="V383" s="6" t="s">
        <v>1314</v>
      </c>
      <c r="W383" s="6">
        <v>2025</v>
      </c>
      <c r="X383" s="6">
        <v>11</v>
      </c>
      <c r="Y383" s="6" t="s">
        <v>1315</v>
      </c>
      <c r="Z383" s="6">
        <v>2025</v>
      </c>
      <c r="AA383" s="6" t="s">
        <v>1316</v>
      </c>
      <c r="AB383" s="6" t="str">
        <f>VLOOKUP(S383,Mapping!A:C,3,FALSE)</f>
        <v>Primary</v>
      </c>
    </row>
    <row r="384" spans="1:28" x14ac:dyDescent="0.35">
      <c r="A384" s="6" t="s">
        <v>1302</v>
      </c>
      <c r="B384" s="6" t="s">
        <v>1303</v>
      </c>
      <c r="C384" s="6" t="s">
        <v>1304</v>
      </c>
      <c r="D384" s="6" t="s">
        <v>1305</v>
      </c>
      <c r="E384" s="6" t="s">
        <v>1306</v>
      </c>
      <c r="F384" s="6" t="s">
        <v>1307</v>
      </c>
      <c r="G384" s="6" t="s">
        <v>1308</v>
      </c>
      <c r="H384" s="6" t="s">
        <v>1682</v>
      </c>
      <c r="I384" s="6">
        <v>0</v>
      </c>
      <c r="J384" s="6">
        <v>599</v>
      </c>
      <c r="K384" s="6">
        <v>1</v>
      </c>
      <c r="L384" s="6" t="s">
        <v>2264</v>
      </c>
      <c r="M384" s="6" t="e">
        <f>VLOOKUP(L384,'Nov Inv Recon'!H:H,1,FALSE)</f>
        <v>#N/A</v>
      </c>
      <c r="N384" s="6" t="e">
        <f>VLOOKUP(L384,VictoryHeitrich!D:D,1,FALSE)</f>
        <v>#N/A</v>
      </c>
      <c r="O384" s="6" t="s">
        <v>438</v>
      </c>
      <c r="P384" s="6" t="s">
        <v>1311</v>
      </c>
      <c r="Q384" s="6" t="s">
        <v>2744</v>
      </c>
      <c r="R384" s="6" t="s">
        <v>2744</v>
      </c>
      <c r="S384" s="6" t="s">
        <v>67</v>
      </c>
      <c r="T384" s="6" t="s">
        <v>68</v>
      </c>
      <c r="U384" s="6" t="s">
        <v>1313</v>
      </c>
      <c r="V384" s="6" t="s">
        <v>1314</v>
      </c>
      <c r="W384" s="6">
        <v>2025</v>
      </c>
      <c r="X384" s="6">
        <v>11</v>
      </c>
      <c r="Y384" s="6" t="s">
        <v>1315</v>
      </c>
      <c r="Z384" s="6">
        <v>2025</v>
      </c>
      <c r="AA384" s="6" t="s">
        <v>1316</v>
      </c>
      <c r="AB384" s="6" t="str">
        <f>VLOOKUP(S384,Mapping!A:C,3,FALSE)</f>
        <v>Primary</v>
      </c>
    </row>
    <row r="385" spans="1:28" x14ac:dyDescent="0.35">
      <c r="A385" s="6" t="s">
        <v>1302</v>
      </c>
      <c r="B385" s="6" t="s">
        <v>1303</v>
      </c>
      <c r="C385" s="6" t="s">
        <v>1304</v>
      </c>
      <c r="D385" s="6" t="s">
        <v>1305</v>
      </c>
      <c r="E385" s="6" t="s">
        <v>1306</v>
      </c>
      <c r="F385" s="6" t="s">
        <v>1307</v>
      </c>
      <c r="G385" s="6" t="s">
        <v>1308</v>
      </c>
      <c r="H385" s="6" t="s">
        <v>1777</v>
      </c>
      <c r="I385" s="6">
        <v>0</v>
      </c>
      <c r="J385" s="6">
        <v>599</v>
      </c>
      <c r="K385" s="6">
        <v>1</v>
      </c>
      <c r="L385" s="6" t="s">
        <v>2346</v>
      </c>
      <c r="M385" s="6" t="e">
        <f>VLOOKUP(L385,'Nov Inv Recon'!H:H,1,FALSE)</f>
        <v>#N/A</v>
      </c>
      <c r="N385" s="6" t="e">
        <f>VLOOKUP(L385,VictoryHeitrich!D:D,1,FALSE)</f>
        <v>#N/A</v>
      </c>
      <c r="O385" s="6" t="s">
        <v>630</v>
      </c>
      <c r="P385" s="6" t="s">
        <v>1311</v>
      </c>
      <c r="Q385" s="6" t="s">
        <v>2745</v>
      </c>
      <c r="R385" s="6" t="s">
        <v>2745</v>
      </c>
      <c r="S385" s="6" t="s">
        <v>67</v>
      </c>
      <c r="T385" s="6" t="s">
        <v>68</v>
      </c>
      <c r="U385" s="6" t="s">
        <v>1313</v>
      </c>
      <c r="V385" s="6" t="s">
        <v>1314</v>
      </c>
      <c r="W385" s="6">
        <v>2025</v>
      </c>
      <c r="X385" s="6">
        <v>11</v>
      </c>
      <c r="Y385" s="6" t="s">
        <v>1315</v>
      </c>
      <c r="Z385" s="6">
        <v>2025</v>
      </c>
      <c r="AA385" s="6" t="s">
        <v>1316</v>
      </c>
      <c r="AB385" s="6" t="str">
        <f>VLOOKUP(S385,Mapping!A:C,3,FALSE)</f>
        <v>Primary</v>
      </c>
    </row>
    <row r="386" spans="1:28" x14ac:dyDescent="0.35">
      <c r="A386" s="6" t="s">
        <v>1302</v>
      </c>
      <c r="B386" s="6" t="s">
        <v>1303</v>
      </c>
      <c r="C386" s="6" t="s">
        <v>1304</v>
      </c>
      <c r="D386" s="6" t="s">
        <v>1305</v>
      </c>
      <c r="E386" s="6" t="s">
        <v>1306</v>
      </c>
      <c r="F386" s="6" t="s">
        <v>1307</v>
      </c>
      <c r="G386" s="6" t="s">
        <v>1308</v>
      </c>
      <c r="H386" s="6" t="s">
        <v>1632</v>
      </c>
      <c r="I386" s="6">
        <v>0</v>
      </c>
      <c r="J386" s="6">
        <v>599</v>
      </c>
      <c r="K386" s="6">
        <v>1</v>
      </c>
      <c r="L386" s="6" t="s">
        <v>153</v>
      </c>
      <c r="M386" s="6" t="str">
        <f>VLOOKUP(L386,'Nov Inv Recon'!H:H,1,FALSE)</f>
        <v>01021838</v>
      </c>
      <c r="N386" s="6" t="e">
        <f>VLOOKUP(L386,VictoryHeitrich!D:D,1,FALSE)</f>
        <v>#N/A</v>
      </c>
      <c r="O386" s="6" t="s">
        <v>2036</v>
      </c>
      <c r="P386" s="6" t="s">
        <v>1311</v>
      </c>
      <c r="Q386" s="6" t="s">
        <v>2746</v>
      </c>
      <c r="R386" s="6" t="s">
        <v>2746</v>
      </c>
      <c r="S386" s="6" t="s">
        <v>67</v>
      </c>
      <c r="T386" s="6" t="s">
        <v>68</v>
      </c>
      <c r="U386" s="6" t="s">
        <v>1313</v>
      </c>
      <c r="V386" s="6" t="s">
        <v>1314</v>
      </c>
      <c r="W386" s="6">
        <v>2025</v>
      </c>
      <c r="X386" s="6">
        <v>11</v>
      </c>
      <c r="Y386" s="6" t="s">
        <v>1315</v>
      </c>
      <c r="Z386" s="6">
        <v>2025</v>
      </c>
      <c r="AA386" s="6" t="s">
        <v>1316</v>
      </c>
      <c r="AB386" s="6" t="str">
        <f>VLOOKUP(S386,Mapping!A:C,3,FALSE)</f>
        <v>Primary</v>
      </c>
    </row>
    <row r="387" spans="1:28" x14ac:dyDescent="0.35">
      <c r="A387" s="6" t="s">
        <v>1302</v>
      </c>
      <c r="B387" s="6" t="s">
        <v>1303</v>
      </c>
      <c r="C387" s="6" t="s">
        <v>1304</v>
      </c>
      <c r="D387" s="6" t="s">
        <v>1305</v>
      </c>
      <c r="E387" s="6" t="s">
        <v>1306</v>
      </c>
      <c r="F387" s="6" t="s">
        <v>1307</v>
      </c>
      <c r="G387" s="6" t="s">
        <v>1308</v>
      </c>
      <c r="H387" s="6" t="s">
        <v>1765</v>
      </c>
      <c r="I387" s="6">
        <v>0</v>
      </c>
      <c r="J387" s="6">
        <v>599</v>
      </c>
      <c r="K387" s="6">
        <v>1</v>
      </c>
      <c r="L387" s="6" t="s">
        <v>1517</v>
      </c>
      <c r="M387" s="6" t="e">
        <f>VLOOKUP(L387,'Nov Inv Recon'!H:H,1,FALSE)</f>
        <v>#N/A</v>
      </c>
      <c r="N387" s="6" t="e">
        <f>VLOOKUP(L387,VictoryHeitrich!D:D,1,FALSE)</f>
        <v>#N/A</v>
      </c>
      <c r="O387" s="6" t="s">
        <v>1518</v>
      </c>
      <c r="P387" s="6" t="s">
        <v>1311</v>
      </c>
      <c r="Q387" s="6" t="s">
        <v>2747</v>
      </c>
      <c r="R387" s="6" t="s">
        <v>2747</v>
      </c>
      <c r="S387" s="6" t="s">
        <v>67</v>
      </c>
      <c r="T387" s="6" t="s">
        <v>68</v>
      </c>
      <c r="U387" s="6" t="s">
        <v>1313</v>
      </c>
      <c r="V387" s="6" t="s">
        <v>1314</v>
      </c>
      <c r="W387" s="6">
        <v>2025</v>
      </c>
      <c r="X387" s="6">
        <v>11</v>
      </c>
      <c r="Y387" s="6" t="s">
        <v>1315</v>
      </c>
      <c r="Z387" s="6">
        <v>2025</v>
      </c>
      <c r="AA387" s="6" t="s">
        <v>1316</v>
      </c>
      <c r="AB387" s="6" t="str">
        <f>VLOOKUP(S387,Mapping!A:C,3,FALSE)</f>
        <v>Primary</v>
      </c>
    </row>
    <row r="388" spans="1:28" x14ac:dyDescent="0.35">
      <c r="A388" s="6" t="s">
        <v>1302</v>
      </c>
      <c r="B388" s="6" t="s">
        <v>1303</v>
      </c>
      <c r="C388" s="6" t="s">
        <v>1304</v>
      </c>
      <c r="D388" s="6" t="s">
        <v>1305</v>
      </c>
      <c r="E388" s="6" t="s">
        <v>1306</v>
      </c>
      <c r="F388" s="6" t="s">
        <v>1307</v>
      </c>
      <c r="G388" s="6" t="s">
        <v>1308</v>
      </c>
      <c r="H388" s="6" t="s">
        <v>1682</v>
      </c>
      <c r="I388" s="6">
        <v>0</v>
      </c>
      <c r="J388" s="6">
        <v>599</v>
      </c>
      <c r="K388" s="6">
        <v>1</v>
      </c>
      <c r="L388" s="6" t="s">
        <v>2327</v>
      </c>
      <c r="M388" s="6" t="e">
        <f>VLOOKUP(L388,'Nov Inv Recon'!H:H,1,FALSE)</f>
        <v>#N/A</v>
      </c>
      <c r="N388" s="6" t="e">
        <f>VLOOKUP(L388,VictoryHeitrich!D:D,1,FALSE)</f>
        <v>#N/A</v>
      </c>
      <c r="O388" s="6" t="s">
        <v>562</v>
      </c>
      <c r="P388" s="6" t="s">
        <v>1311</v>
      </c>
      <c r="Q388" s="6" t="s">
        <v>2748</v>
      </c>
      <c r="R388" s="6" t="s">
        <v>2748</v>
      </c>
      <c r="S388" s="6" t="s">
        <v>67</v>
      </c>
      <c r="T388" s="6" t="s">
        <v>68</v>
      </c>
      <c r="U388" s="6" t="s">
        <v>1313</v>
      </c>
      <c r="V388" s="6" t="s">
        <v>1314</v>
      </c>
      <c r="W388" s="6">
        <v>2025</v>
      </c>
      <c r="X388" s="6">
        <v>11</v>
      </c>
      <c r="Y388" s="6" t="s">
        <v>1315</v>
      </c>
      <c r="Z388" s="6">
        <v>2025</v>
      </c>
      <c r="AA388" s="6" t="s">
        <v>1316</v>
      </c>
      <c r="AB388" s="6" t="str">
        <f>VLOOKUP(S388,Mapping!A:C,3,FALSE)</f>
        <v>Primary</v>
      </c>
    </row>
    <row r="389" spans="1:28" x14ac:dyDescent="0.35">
      <c r="A389" s="6" t="s">
        <v>1302</v>
      </c>
      <c r="B389" s="6" t="s">
        <v>1303</v>
      </c>
      <c r="C389" s="6" t="s">
        <v>1304</v>
      </c>
      <c r="D389" s="6" t="s">
        <v>1305</v>
      </c>
      <c r="E389" s="6" t="s">
        <v>1306</v>
      </c>
      <c r="F389" s="6" t="s">
        <v>1307</v>
      </c>
      <c r="G389" s="6" t="s">
        <v>1308</v>
      </c>
      <c r="H389" s="6" t="s">
        <v>1682</v>
      </c>
      <c r="I389" s="6">
        <v>0</v>
      </c>
      <c r="J389" s="6">
        <v>599</v>
      </c>
      <c r="K389" s="6">
        <v>1</v>
      </c>
      <c r="L389" s="6" t="s">
        <v>2326</v>
      </c>
      <c r="M389" s="6" t="e">
        <f>VLOOKUP(L389,'Nov Inv Recon'!H:H,1,FALSE)</f>
        <v>#N/A</v>
      </c>
      <c r="N389" s="6" t="e">
        <f>VLOOKUP(L389,VictoryHeitrich!D:D,1,FALSE)</f>
        <v>#N/A</v>
      </c>
      <c r="O389" s="6" t="s">
        <v>663</v>
      </c>
      <c r="P389" s="6" t="s">
        <v>1311</v>
      </c>
      <c r="Q389" s="6" t="s">
        <v>2749</v>
      </c>
      <c r="R389" s="6" t="s">
        <v>2749</v>
      </c>
      <c r="S389" s="6" t="s">
        <v>67</v>
      </c>
      <c r="T389" s="6" t="s">
        <v>68</v>
      </c>
      <c r="U389" s="6" t="s">
        <v>1313</v>
      </c>
      <c r="V389" s="6" t="s">
        <v>1314</v>
      </c>
      <c r="W389" s="6">
        <v>2025</v>
      </c>
      <c r="X389" s="6">
        <v>11</v>
      </c>
      <c r="Y389" s="6" t="s">
        <v>1315</v>
      </c>
      <c r="Z389" s="6">
        <v>2025</v>
      </c>
      <c r="AA389" s="6" t="s">
        <v>1316</v>
      </c>
      <c r="AB389" s="6" t="str">
        <f>VLOOKUP(S389,Mapping!A:C,3,FALSE)</f>
        <v>Primary</v>
      </c>
    </row>
    <row r="390" spans="1:28" x14ac:dyDescent="0.35">
      <c r="A390" s="6" t="s">
        <v>1302</v>
      </c>
      <c r="B390" s="6" t="s">
        <v>1303</v>
      </c>
      <c r="C390" s="6" t="s">
        <v>1304</v>
      </c>
      <c r="D390" s="6" t="s">
        <v>1305</v>
      </c>
      <c r="E390" s="6" t="s">
        <v>1306</v>
      </c>
      <c r="F390" s="6" t="s">
        <v>1307</v>
      </c>
      <c r="G390" s="6" t="s">
        <v>1308</v>
      </c>
      <c r="H390" s="6" t="s">
        <v>1632</v>
      </c>
      <c r="I390" s="6">
        <v>0</v>
      </c>
      <c r="J390" s="6">
        <v>599</v>
      </c>
      <c r="K390" s="6">
        <v>1</v>
      </c>
      <c r="L390" s="6" t="s">
        <v>2324</v>
      </c>
      <c r="M390" s="6" t="e">
        <f>VLOOKUP(L390,'Nov Inv Recon'!H:H,1,FALSE)</f>
        <v>#N/A</v>
      </c>
      <c r="N390" s="6" t="e">
        <f>VLOOKUP(L390,VictoryHeitrich!D:D,1,FALSE)</f>
        <v>#N/A</v>
      </c>
      <c r="O390" s="6" t="s">
        <v>554</v>
      </c>
      <c r="P390" s="6" t="s">
        <v>1311</v>
      </c>
      <c r="Q390" s="6" t="s">
        <v>2750</v>
      </c>
      <c r="R390" s="6" t="s">
        <v>2750</v>
      </c>
      <c r="S390" s="6" t="s">
        <v>67</v>
      </c>
      <c r="T390" s="6" t="s">
        <v>68</v>
      </c>
      <c r="U390" s="6" t="s">
        <v>1313</v>
      </c>
      <c r="V390" s="6" t="s">
        <v>1314</v>
      </c>
      <c r="W390" s="6">
        <v>2025</v>
      </c>
      <c r="X390" s="6">
        <v>11</v>
      </c>
      <c r="Y390" s="6" t="s">
        <v>1315</v>
      </c>
      <c r="Z390" s="6">
        <v>2025</v>
      </c>
      <c r="AA390" s="6" t="s">
        <v>1316</v>
      </c>
      <c r="AB390" s="6" t="str">
        <f>VLOOKUP(S390,Mapping!A:C,3,FALSE)</f>
        <v>Primary</v>
      </c>
    </row>
    <row r="391" spans="1:28" x14ac:dyDescent="0.35">
      <c r="A391" s="6" t="s">
        <v>1302</v>
      </c>
      <c r="B391" s="6" t="s">
        <v>1303</v>
      </c>
      <c r="C391" s="6" t="s">
        <v>1304</v>
      </c>
      <c r="D391" s="6" t="s">
        <v>1305</v>
      </c>
      <c r="E391" s="6" t="s">
        <v>1306</v>
      </c>
      <c r="F391" s="6" t="s">
        <v>1307</v>
      </c>
      <c r="G391" s="6" t="s">
        <v>1308</v>
      </c>
      <c r="H391" s="6" t="s">
        <v>1632</v>
      </c>
      <c r="I391" s="6">
        <v>0</v>
      </c>
      <c r="J391" s="6">
        <v>599</v>
      </c>
      <c r="K391" s="6">
        <v>1</v>
      </c>
      <c r="L391" s="6" t="s">
        <v>2338</v>
      </c>
      <c r="M391" s="6" t="e">
        <f>VLOOKUP(L391,'Nov Inv Recon'!H:H,1,FALSE)</f>
        <v>#N/A</v>
      </c>
      <c r="N391" s="6" t="e">
        <f>VLOOKUP(L391,VictoryHeitrich!D:D,1,FALSE)</f>
        <v>#N/A</v>
      </c>
      <c r="O391" s="6" t="s">
        <v>442</v>
      </c>
      <c r="P391" s="6" t="s">
        <v>1311</v>
      </c>
      <c r="Q391" s="6" t="s">
        <v>2751</v>
      </c>
      <c r="R391" s="6" t="s">
        <v>2751</v>
      </c>
      <c r="S391" s="6" t="s">
        <v>67</v>
      </c>
      <c r="T391" s="6" t="s">
        <v>68</v>
      </c>
      <c r="U391" s="6" t="s">
        <v>1313</v>
      </c>
      <c r="V391" s="6" t="s">
        <v>1314</v>
      </c>
      <c r="W391" s="6">
        <v>2025</v>
      </c>
      <c r="X391" s="6">
        <v>11</v>
      </c>
      <c r="Y391" s="6" t="s">
        <v>1315</v>
      </c>
      <c r="Z391" s="6">
        <v>2025</v>
      </c>
      <c r="AA391" s="6" t="s">
        <v>1316</v>
      </c>
      <c r="AB391" s="6" t="str">
        <f>VLOOKUP(S391,Mapping!A:C,3,FALSE)</f>
        <v>Primary</v>
      </c>
    </row>
    <row r="392" spans="1:28" x14ac:dyDescent="0.35">
      <c r="A392" s="6" t="s">
        <v>1302</v>
      </c>
      <c r="B392" s="6" t="s">
        <v>1303</v>
      </c>
      <c r="C392" s="6" t="s">
        <v>1304</v>
      </c>
      <c r="D392" s="6" t="s">
        <v>1305</v>
      </c>
      <c r="E392" s="6" t="s">
        <v>1306</v>
      </c>
      <c r="F392" s="6" t="s">
        <v>1307</v>
      </c>
      <c r="G392" s="6" t="s">
        <v>1308</v>
      </c>
      <c r="H392" s="6" t="s">
        <v>1728</v>
      </c>
      <c r="I392" s="6">
        <v>0</v>
      </c>
      <c r="J392" s="6">
        <v>599</v>
      </c>
      <c r="K392" s="6">
        <v>1</v>
      </c>
      <c r="L392" s="6" t="s">
        <v>2124</v>
      </c>
      <c r="M392" s="6" t="e">
        <f>VLOOKUP(L392,'Nov Inv Recon'!H:H,1,FALSE)</f>
        <v>#N/A</v>
      </c>
      <c r="N392" s="6" t="e">
        <f>VLOOKUP(L392,VictoryHeitrich!D:D,1,FALSE)</f>
        <v>#N/A</v>
      </c>
      <c r="O392" s="6" t="s">
        <v>444</v>
      </c>
      <c r="P392" s="6" t="s">
        <v>1311</v>
      </c>
      <c r="Q392" s="6" t="s">
        <v>2752</v>
      </c>
      <c r="R392" s="6" t="s">
        <v>2752</v>
      </c>
      <c r="S392" s="6" t="s">
        <v>67</v>
      </c>
      <c r="T392" s="6" t="s">
        <v>68</v>
      </c>
      <c r="U392" s="6" t="s">
        <v>1313</v>
      </c>
      <c r="V392" s="6" t="s">
        <v>1314</v>
      </c>
      <c r="W392" s="6">
        <v>2025</v>
      </c>
      <c r="X392" s="6">
        <v>11</v>
      </c>
      <c r="Y392" s="6" t="s">
        <v>1315</v>
      </c>
      <c r="Z392" s="6">
        <v>2025</v>
      </c>
      <c r="AA392" s="6" t="s">
        <v>1316</v>
      </c>
      <c r="AB392" s="6" t="str">
        <f>VLOOKUP(S392,Mapping!A:C,3,FALSE)</f>
        <v>Primary</v>
      </c>
    </row>
    <row r="393" spans="1:28" x14ac:dyDescent="0.35">
      <c r="A393" s="6" t="s">
        <v>1302</v>
      </c>
      <c r="B393" s="6" t="s">
        <v>1303</v>
      </c>
      <c r="C393" s="6" t="s">
        <v>1304</v>
      </c>
      <c r="D393" s="6" t="s">
        <v>1305</v>
      </c>
      <c r="E393" s="6" t="s">
        <v>1306</v>
      </c>
      <c r="F393" s="6" t="s">
        <v>1307</v>
      </c>
      <c r="G393" s="6" t="s">
        <v>1308</v>
      </c>
      <c r="H393" s="6" t="s">
        <v>2407</v>
      </c>
      <c r="I393" s="6">
        <v>0</v>
      </c>
      <c r="J393" s="6">
        <v>599</v>
      </c>
      <c r="K393" s="6">
        <v>1</v>
      </c>
      <c r="L393" s="6" t="s">
        <v>2080</v>
      </c>
      <c r="M393" s="6" t="e">
        <f>VLOOKUP(L393,'Nov Inv Recon'!H:H,1,FALSE)</f>
        <v>#N/A</v>
      </c>
      <c r="N393" s="6" t="e">
        <f>VLOOKUP(L393,VictoryHeitrich!D:D,1,FALSE)</f>
        <v>#N/A</v>
      </c>
      <c r="O393" s="6" t="s">
        <v>948</v>
      </c>
      <c r="P393" s="6" t="s">
        <v>1311</v>
      </c>
      <c r="Q393" s="6" t="s">
        <v>2753</v>
      </c>
      <c r="R393" s="6" t="s">
        <v>2753</v>
      </c>
      <c r="S393" s="6" t="s">
        <v>67</v>
      </c>
      <c r="T393" s="6" t="s">
        <v>68</v>
      </c>
      <c r="U393" s="6" t="s">
        <v>1313</v>
      </c>
      <c r="V393" s="6" t="s">
        <v>1314</v>
      </c>
      <c r="W393" s="6">
        <v>2025</v>
      </c>
      <c r="X393" s="6">
        <v>11</v>
      </c>
      <c r="Y393" s="6" t="s">
        <v>1315</v>
      </c>
      <c r="Z393" s="6">
        <v>2025</v>
      </c>
      <c r="AA393" s="6" t="s">
        <v>1316</v>
      </c>
      <c r="AB393" s="6" t="str">
        <f>VLOOKUP(S393,Mapping!A:C,3,FALSE)</f>
        <v>Primary</v>
      </c>
    </row>
    <row r="394" spans="1:28" x14ac:dyDescent="0.35">
      <c r="A394" s="6" t="s">
        <v>1302</v>
      </c>
      <c r="B394" s="6" t="s">
        <v>1303</v>
      </c>
      <c r="C394" s="6" t="s">
        <v>1304</v>
      </c>
      <c r="D394" s="6" t="s">
        <v>1305</v>
      </c>
      <c r="E394" s="6" t="s">
        <v>1306</v>
      </c>
      <c r="F394" s="6" t="s">
        <v>1307</v>
      </c>
      <c r="G394" s="6" t="s">
        <v>1308</v>
      </c>
      <c r="H394" s="6" t="s">
        <v>2407</v>
      </c>
      <c r="I394" s="6">
        <v>0</v>
      </c>
      <c r="J394" s="6">
        <v>599</v>
      </c>
      <c r="K394" s="6">
        <v>1</v>
      </c>
      <c r="L394" s="6" t="s">
        <v>2296</v>
      </c>
      <c r="M394" s="6" t="e">
        <f>VLOOKUP(L394,'Nov Inv Recon'!H:H,1,FALSE)</f>
        <v>#N/A</v>
      </c>
      <c r="N394" s="6" t="e">
        <f>VLOOKUP(L394,VictoryHeitrich!D:D,1,FALSE)</f>
        <v>#N/A</v>
      </c>
      <c r="O394" s="6" t="s">
        <v>648</v>
      </c>
      <c r="P394" s="6" t="s">
        <v>1311</v>
      </c>
      <c r="Q394" s="6" t="s">
        <v>2754</v>
      </c>
      <c r="R394" s="6" t="s">
        <v>2754</v>
      </c>
      <c r="S394" s="6" t="s">
        <v>67</v>
      </c>
      <c r="T394" s="6" t="s">
        <v>68</v>
      </c>
      <c r="U394" s="6" t="s">
        <v>1313</v>
      </c>
      <c r="V394" s="6" t="s">
        <v>1314</v>
      </c>
      <c r="W394" s="6">
        <v>2025</v>
      </c>
      <c r="X394" s="6">
        <v>11</v>
      </c>
      <c r="Y394" s="6" t="s">
        <v>1315</v>
      </c>
      <c r="Z394" s="6">
        <v>2025</v>
      </c>
      <c r="AA394" s="6" t="s">
        <v>1316</v>
      </c>
      <c r="AB394" s="6" t="str">
        <f>VLOOKUP(S394,Mapping!A:C,3,FALSE)</f>
        <v>Primary</v>
      </c>
    </row>
    <row r="395" spans="1:28" x14ac:dyDescent="0.35">
      <c r="A395" s="6" t="s">
        <v>1302</v>
      </c>
      <c r="B395" s="6" t="s">
        <v>1303</v>
      </c>
      <c r="C395" s="6" t="s">
        <v>1304</v>
      </c>
      <c r="D395" s="6" t="s">
        <v>1305</v>
      </c>
      <c r="E395" s="6" t="s">
        <v>1306</v>
      </c>
      <c r="F395" s="6" t="s">
        <v>1307</v>
      </c>
      <c r="G395" s="6" t="s">
        <v>1308</v>
      </c>
      <c r="H395" s="6" t="s">
        <v>1632</v>
      </c>
      <c r="I395" s="6">
        <v>0</v>
      </c>
      <c r="J395" s="6">
        <v>599</v>
      </c>
      <c r="K395" s="6">
        <v>1</v>
      </c>
      <c r="L395" s="6" t="s">
        <v>2322</v>
      </c>
      <c r="M395" s="6" t="e">
        <f>VLOOKUP(L395,'Nov Inv Recon'!H:H,1,FALSE)</f>
        <v>#N/A</v>
      </c>
      <c r="N395" s="6" t="e">
        <f>VLOOKUP(L395,VictoryHeitrich!D:D,1,FALSE)</f>
        <v>#N/A</v>
      </c>
      <c r="O395" s="6" t="s">
        <v>833</v>
      </c>
      <c r="P395" s="6" t="s">
        <v>1311</v>
      </c>
      <c r="Q395" s="6" t="s">
        <v>2755</v>
      </c>
      <c r="R395" s="6" t="s">
        <v>2755</v>
      </c>
      <c r="S395" s="6" t="s">
        <v>67</v>
      </c>
      <c r="T395" s="6" t="s">
        <v>68</v>
      </c>
      <c r="U395" s="6" t="s">
        <v>1313</v>
      </c>
      <c r="V395" s="6" t="s">
        <v>1314</v>
      </c>
      <c r="W395" s="6">
        <v>2025</v>
      </c>
      <c r="X395" s="6">
        <v>11</v>
      </c>
      <c r="Y395" s="6" t="s">
        <v>1315</v>
      </c>
      <c r="Z395" s="6">
        <v>2025</v>
      </c>
      <c r="AA395" s="6" t="s">
        <v>1316</v>
      </c>
      <c r="AB395" s="6" t="str">
        <f>VLOOKUP(S395,Mapping!A:C,3,FALSE)</f>
        <v>Primary</v>
      </c>
    </row>
    <row r="396" spans="1:28" x14ac:dyDescent="0.35">
      <c r="A396" s="6" t="s">
        <v>1302</v>
      </c>
      <c r="B396" s="6" t="s">
        <v>1303</v>
      </c>
      <c r="C396" s="6" t="s">
        <v>1304</v>
      </c>
      <c r="D396" s="6" t="s">
        <v>1305</v>
      </c>
      <c r="E396" s="6" t="s">
        <v>1306</v>
      </c>
      <c r="F396" s="6" t="s">
        <v>1307</v>
      </c>
      <c r="G396" s="6" t="s">
        <v>1308</v>
      </c>
      <c r="H396" s="6" t="s">
        <v>2398</v>
      </c>
      <c r="I396" s="6">
        <v>0</v>
      </c>
      <c r="J396" s="6">
        <v>599</v>
      </c>
      <c r="K396" s="6">
        <v>1</v>
      </c>
      <c r="L396" s="6" t="s">
        <v>2091</v>
      </c>
      <c r="M396" s="6" t="e">
        <f>VLOOKUP(L396,'Nov Inv Recon'!H:H,1,FALSE)</f>
        <v>#N/A</v>
      </c>
      <c r="N396" s="6" t="e">
        <f>VLOOKUP(L396,VictoryHeitrich!D:D,1,FALSE)</f>
        <v>#N/A</v>
      </c>
      <c r="O396" s="6" t="s">
        <v>661</v>
      </c>
      <c r="P396" s="6" t="s">
        <v>1311</v>
      </c>
      <c r="Q396" s="6" t="s">
        <v>2756</v>
      </c>
      <c r="R396" s="6" t="s">
        <v>2756</v>
      </c>
      <c r="S396" s="6" t="s">
        <v>67</v>
      </c>
      <c r="T396" s="6" t="s">
        <v>68</v>
      </c>
      <c r="U396" s="6" t="s">
        <v>1313</v>
      </c>
      <c r="V396" s="6" t="s">
        <v>1314</v>
      </c>
      <c r="W396" s="6">
        <v>2025</v>
      </c>
      <c r="X396" s="6">
        <v>11</v>
      </c>
      <c r="Y396" s="6" t="s">
        <v>1315</v>
      </c>
      <c r="Z396" s="6">
        <v>2025</v>
      </c>
      <c r="AA396" s="6" t="s">
        <v>1316</v>
      </c>
      <c r="AB396" s="6" t="str">
        <f>VLOOKUP(S396,Mapping!A:C,3,FALSE)</f>
        <v>Primary</v>
      </c>
    </row>
    <row r="397" spans="1:28" x14ac:dyDescent="0.35">
      <c r="A397" s="6" t="s">
        <v>1302</v>
      </c>
      <c r="B397" s="6" t="s">
        <v>1303</v>
      </c>
      <c r="C397" s="6" t="s">
        <v>1304</v>
      </c>
      <c r="D397" s="6" t="s">
        <v>1305</v>
      </c>
      <c r="E397" s="6" t="s">
        <v>1306</v>
      </c>
      <c r="F397" s="6" t="s">
        <v>1307</v>
      </c>
      <c r="G397" s="6" t="s">
        <v>1308</v>
      </c>
      <c r="H397" s="6" t="s">
        <v>1632</v>
      </c>
      <c r="I397" s="6">
        <v>0</v>
      </c>
      <c r="J397" s="6">
        <v>599</v>
      </c>
      <c r="K397" s="6">
        <v>1</v>
      </c>
      <c r="L397" s="6" t="s">
        <v>2321</v>
      </c>
      <c r="M397" s="6" t="e">
        <f>VLOOKUP(L397,'Nov Inv Recon'!H:H,1,FALSE)</f>
        <v>#N/A</v>
      </c>
      <c r="N397" s="6" t="e">
        <f>VLOOKUP(L397,VictoryHeitrich!D:D,1,FALSE)</f>
        <v>#N/A</v>
      </c>
      <c r="O397" s="6" t="s">
        <v>836</v>
      </c>
      <c r="P397" s="6" t="s">
        <v>1311</v>
      </c>
      <c r="Q397" s="6" t="s">
        <v>2757</v>
      </c>
      <c r="R397" s="6" t="s">
        <v>2757</v>
      </c>
      <c r="S397" s="6" t="s">
        <v>67</v>
      </c>
      <c r="T397" s="6" t="s">
        <v>68</v>
      </c>
      <c r="U397" s="6" t="s">
        <v>1313</v>
      </c>
      <c r="V397" s="6" t="s">
        <v>1314</v>
      </c>
      <c r="W397" s="6">
        <v>2025</v>
      </c>
      <c r="X397" s="6">
        <v>11</v>
      </c>
      <c r="Y397" s="6" t="s">
        <v>1315</v>
      </c>
      <c r="Z397" s="6">
        <v>2025</v>
      </c>
      <c r="AA397" s="6" t="s">
        <v>1316</v>
      </c>
      <c r="AB397" s="6" t="str">
        <f>VLOOKUP(S397,Mapping!A:C,3,FALSE)</f>
        <v>Primary</v>
      </c>
    </row>
    <row r="398" spans="1:28" x14ac:dyDescent="0.35">
      <c r="A398" s="6" t="s">
        <v>1302</v>
      </c>
      <c r="B398" s="6" t="s">
        <v>1303</v>
      </c>
      <c r="C398" s="6" t="s">
        <v>1304</v>
      </c>
      <c r="D398" s="6" t="s">
        <v>1305</v>
      </c>
      <c r="E398" s="6" t="s">
        <v>1306</v>
      </c>
      <c r="F398" s="6" t="s">
        <v>1307</v>
      </c>
      <c r="G398" s="6" t="s">
        <v>1308</v>
      </c>
      <c r="H398" s="6" t="s">
        <v>1657</v>
      </c>
      <c r="I398" s="6">
        <v>0</v>
      </c>
      <c r="J398" s="6">
        <v>38.65</v>
      </c>
      <c r="K398" s="6">
        <v>2</v>
      </c>
      <c r="L398" s="6" t="s">
        <v>332</v>
      </c>
      <c r="M398" s="6" t="str">
        <f>VLOOKUP(L398,'Nov Inv Recon'!H:H,1,FALSE)</f>
        <v>08300413</v>
      </c>
      <c r="N398" s="6" t="e">
        <f>VLOOKUP(L398,VictoryHeitrich!D:D,1,FALSE)</f>
        <v>#N/A</v>
      </c>
      <c r="O398" s="6" t="s">
        <v>2041</v>
      </c>
      <c r="P398" s="6" t="s">
        <v>1311</v>
      </c>
      <c r="Q398" s="6" t="s">
        <v>2758</v>
      </c>
      <c r="R398" s="6" t="s">
        <v>2758</v>
      </c>
      <c r="S398" s="6" t="s">
        <v>67</v>
      </c>
      <c r="T398" s="6" t="s">
        <v>68</v>
      </c>
      <c r="U398" s="6" t="s">
        <v>1313</v>
      </c>
      <c r="V398" s="6" t="s">
        <v>1314</v>
      </c>
      <c r="W398" s="6">
        <v>2025</v>
      </c>
      <c r="X398" s="6">
        <v>11</v>
      </c>
      <c r="Y398" s="6" t="s">
        <v>1315</v>
      </c>
      <c r="Z398" s="6">
        <v>2025</v>
      </c>
      <c r="AA398" s="6" t="s">
        <v>1316</v>
      </c>
      <c r="AB398" s="6" t="str">
        <f>VLOOKUP(S398,Mapping!A:C,3,FALSE)</f>
        <v>Primary</v>
      </c>
    </row>
    <row r="399" spans="1:28" x14ac:dyDescent="0.35">
      <c r="A399" s="6" t="s">
        <v>1302</v>
      </c>
      <c r="B399" s="6" t="s">
        <v>1303</v>
      </c>
      <c r="C399" s="6" t="s">
        <v>1304</v>
      </c>
      <c r="D399" s="6" t="s">
        <v>1305</v>
      </c>
      <c r="E399" s="6" t="s">
        <v>1306</v>
      </c>
      <c r="F399" s="6" t="s">
        <v>1307</v>
      </c>
      <c r="G399" s="6" t="s">
        <v>1308</v>
      </c>
      <c r="H399" s="6" t="s">
        <v>1742</v>
      </c>
      <c r="I399" s="6">
        <v>0</v>
      </c>
      <c r="J399" s="6">
        <v>599</v>
      </c>
      <c r="K399" s="6">
        <v>1</v>
      </c>
      <c r="L399" s="6" t="s">
        <v>2136</v>
      </c>
      <c r="M399" s="6" t="e">
        <f>VLOOKUP(L399,'Nov Inv Recon'!H:H,1,FALSE)</f>
        <v>#N/A</v>
      </c>
      <c r="N399" s="6" t="e">
        <f>VLOOKUP(L399,VictoryHeitrich!D:D,1,FALSE)</f>
        <v>#N/A</v>
      </c>
      <c r="O399" s="6" t="s">
        <v>440</v>
      </c>
      <c r="P399" s="6" t="s">
        <v>1311</v>
      </c>
      <c r="Q399" s="6" t="s">
        <v>2759</v>
      </c>
      <c r="R399" s="6" t="s">
        <v>2759</v>
      </c>
      <c r="S399" s="6" t="s">
        <v>67</v>
      </c>
      <c r="T399" s="6" t="s">
        <v>68</v>
      </c>
      <c r="U399" s="6" t="s">
        <v>1313</v>
      </c>
      <c r="V399" s="6" t="s">
        <v>1314</v>
      </c>
      <c r="W399" s="6">
        <v>2025</v>
      </c>
      <c r="X399" s="6">
        <v>11</v>
      </c>
      <c r="Y399" s="6" t="s">
        <v>1315</v>
      </c>
      <c r="Z399" s="6">
        <v>2025</v>
      </c>
      <c r="AA399" s="6" t="s">
        <v>1316</v>
      </c>
      <c r="AB399" s="6" t="str">
        <f>VLOOKUP(S399,Mapping!A:C,3,FALSE)</f>
        <v>Primary</v>
      </c>
    </row>
    <row r="400" spans="1:28" x14ac:dyDescent="0.35">
      <c r="A400" s="6" t="s">
        <v>1302</v>
      </c>
      <c r="B400" s="6" t="s">
        <v>1303</v>
      </c>
      <c r="C400" s="6" t="s">
        <v>1304</v>
      </c>
      <c r="D400" s="6" t="s">
        <v>1305</v>
      </c>
      <c r="E400" s="6" t="s">
        <v>1306</v>
      </c>
      <c r="F400" s="6" t="s">
        <v>1307</v>
      </c>
      <c r="G400" s="6" t="s">
        <v>1308</v>
      </c>
      <c r="H400" s="6" t="s">
        <v>1632</v>
      </c>
      <c r="I400" s="6">
        <v>0</v>
      </c>
      <c r="J400" s="6">
        <v>599</v>
      </c>
      <c r="K400" s="6">
        <v>1</v>
      </c>
      <c r="L400" s="6" t="s">
        <v>2297</v>
      </c>
      <c r="M400" s="6" t="e">
        <f>VLOOKUP(L400,'Nov Inv Recon'!H:H,1,FALSE)</f>
        <v>#N/A</v>
      </c>
      <c r="N400" s="6" t="e">
        <f>VLOOKUP(L400,VictoryHeitrich!D:D,1,FALSE)</f>
        <v>#N/A</v>
      </c>
      <c r="O400" s="6" t="s">
        <v>564</v>
      </c>
      <c r="P400" s="6" t="s">
        <v>1311</v>
      </c>
      <c r="Q400" s="6" t="s">
        <v>2760</v>
      </c>
      <c r="R400" s="6" t="s">
        <v>2760</v>
      </c>
      <c r="S400" s="6" t="s">
        <v>67</v>
      </c>
      <c r="T400" s="6" t="s">
        <v>68</v>
      </c>
      <c r="U400" s="6" t="s">
        <v>1313</v>
      </c>
      <c r="V400" s="6" t="s">
        <v>1314</v>
      </c>
      <c r="W400" s="6">
        <v>2025</v>
      </c>
      <c r="X400" s="6">
        <v>11</v>
      </c>
      <c r="Y400" s="6" t="s">
        <v>1315</v>
      </c>
      <c r="Z400" s="6">
        <v>2025</v>
      </c>
      <c r="AA400" s="6" t="s">
        <v>1316</v>
      </c>
      <c r="AB400" s="6" t="str">
        <f>VLOOKUP(S400,Mapping!A:C,3,FALSE)</f>
        <v>Primary</v>
      </c>
    </row>
    <row r="401" spans="1:28" x14ac:dyDescent="0.35">
      <c r="A401" s="6" t="s">
        <v>1302</v>
      </c>
      <c r="B401" s="6" t="s">
        <v>1303</v>
      </c>
      <c r="C401" s="6" t="s">
        <v>1304</v>
      </c>
      <c r="D401" s="6" t="s">
        <v>1305</v>
      </c>
      <c r="E401" s="6" t="s">
        <v>1306</v>
      </c>
      <c r="F401" s="6" t="s">
        <v>1307</v>
      </c>
      <c r="G401" s="6" t="s">
        <v>1308</v>
      </c>
      <c r="H401" s="6" t="s">
        <v>1632</v>
      </c>
      <c r="I401" s="6">
        <v>0</v>
      </c>
      <c r="J401" s="6">
        <v>599</v>
      </c>
      <c r="K401" s="6">
        <v>1</v>
      </c>
      <c r="L401" s="6" t="s">
        <v>2085</v>
      </c>
      <c r="M401" s="6" t="e">
        <f>VLOOKUP(L401,'Nov Inv Recon'!H:H,1,FALSE)</f>
        <v>#N/A</v>
      </c>
      <c r="N401" s="6" t="e">
        <f>VLOOKUP(L401,VictoryHeitrich!D:D,1,FALSE)</f>
        <v>#N/A</v>
      </c>
      <c r="O401" s="6" t="s">
        <v>157</v>
      </c>
      <c r="P401" s="6" t="s">
        <v>1311</v>
      </c>
      <c r="Q401" s="6" t="s">
        <v>2761</v>
      </c>
      <c r="R401" s="6" t="s">
        <v>2761</v>
      </c>
      <c r="S401" s="6" t="s">
        <v>67</v>
      </c>
      <c r="T401" s="6" t="s">
        <v>68</v>
      </c>
      <c r="U401" s="6" t="s">
        <v>1313</v>
      </c>
      <c r="V401" s="6" t="s">
        <v>1314</v>
      </c>
      <c r="W401" s="6">
        <v>2025</v>
      </c>
      <c r="X401" s="6">
        <v>11</v>
      </c>
      <c r="Y401" s="6" t="s">
        <v>1315</v>
      </c>
      <c r="Z401" s="6">
        <v>2025</v>
      </c>
      <c r="AA401" s="6" t="s">
        <v>1316</v>
      </c>
      <c r="AB401" s="6" t="str">
        <f>VLOOKUP(S401,Mapping!A:C,3,FALSE)</f>
        <v>Primary</v>
      </c>
    </row>
    <row r="402" spans="1:28" x14ac:dyDescent="0.35">
      <c r="A402" s="6" t="s">
        <v>1302</v>
      </c>
      <c r="B402" s="6" t="s">
        <v>1303</v>
      </c>
      <c r="C402" s="6" t="s">
        <v>1304</v>
      </c>
      <c r="D402" s="6" t="s">
        <v>1305</v>
      </c>
      <c r="E402" s="6" t="s">
        <v>1306</v>
      </c>
      <c r="F402" s="6" t="s">
        <v>1307</v>
      </c>
      <c r="G402" s="6" t="s">
        <v>1308</v>
      </c>
      <c r="H402" s="6" t="s">
        <v>1632</v>
      </c>
      <c r="I402" s="6">
        <v>0</v>
      </c>
      <c r="J402" s="6">
        <v>599</v>
      </c>
      <c r="K402" s="6">
        <v>1</v>
      </c>
      <c r="L402" s="6" t="s">
        <v>2317</v>
      </c>
      <c r="M402" s="6" t="e">
        <f>VLOOKUP(L402,'Nov Inv Recon'!H:H,1,FALSE)</f>
        <v>#N/A</v>
      </c>
      <c r="N402" s="6" t="e">
        <f>VLOOKUP(L402,VictoryHeitrich!D:D,1,FALSE)</f>
        <v>#N/A</v>
      </c>
      <c r="O402" s="6" t="s">
        <v>432</v>
      </c>
      <c r="P402" s="6" t="s">
        <v>1311</v>
      </c>
      <c r="Q402" s="6" t="s">
        <v>2762</v>
      </c>
      <c r="R402" s="6" t="s">
        <v>2762</v>
      </c>
      <c r="S402" s="6" t="s">
        <v>67</v>
      </c>
      <c r="T402" s="6" t="s">
        <v>68</v>
      </c>
      <c r="U402" s="6" t="s">
        <v>1313</v>
      </c>
      <c r="V402" s="6" t="s">
        <v>1314</v>
      </c>
      <c r="W402" s="6">
        <v>2025</v>
      </c>
      <c r="X402" s="6">
        <v>11</v>
      </c>
      <c r="Y402" s="6" t="s">
        <v>1315</v>
      </c>
      <c r="Z402" s="6">
        <v>2025</v>
      </c>
      <c r="AA402" s="6" t="s">
        <v>1316</v>
      </c>
      <c r="AB402" s="6" t="str">
        <f>VLOOKUP(S402,Mapping!A:C,3,FALSE)</f>
        <v>Primary</v>
      </c>
    </row>
    <row r="403" spans="1:28" x14ac:dyDescent="0.35">
      <c r="A403" s="6" t="s">
        <v>1302</v>
      </c>
      <c r="B403" s="6" t="s">
        <v>1303</v>
      </c>
      <c r="C403" s="6" t="s">
        <v>1304</v>
      </c>
      <c r="D403" s="6" t="s">
        <v>1305</v>
      </c>
      <c r="E403" s="6" t="s">
        <v>1306</v>
      </c>
      <c r="F403" s="6" t="s">
        <v>1307</v>
      </c>
      <c r="G403" s="6" t="s">
        <v>1308</v>
      </c>
      <c r="H403" s="6" t="s">
        <v>1728</v>
      </c>
      <c r="I403" s="6">
        <v>0</v>
      </c>
      <c r="J403" s="6">
        <v>599</v>
      </c>
      <c r="K403" s="6">
        <v>1</v>
      </c>
      <c r="L403" s="6" t="s">
        <v>2171</v>
      </c>
      <c r="M403" s="6" t="e">
        <f>VLOOKUP(L403,'Nov Inv Recon'!H:H,1,FALSE)</f>
        <v>#N/A</v>
      </c>
      <c r="N403" s="6" t="e">
        <f>VLOOKUP(L403,VictoryHeitrich!D:D,1,FALSE)</f>
        <v>#N/A</v>
      </c>
      <c r="O403" s="6" t="s">
        <v>646</v>
      </c>
      <c r="P403" s="6" t="s">
        <v>1311</v>
      </c>
      <c r="Q403" s="6" t="s">
        <v>2763</v>
      </c>
      <c r="R403" s="6" t="s">
        <v>2763</v>
      </c>
      <c r="S403" s="6" t="s">
        <v>67</v>
      </c>
      <c r="T403" s="6" t="s">
        <v>68</v>
      </c>
      <c r="U403" s="6" t="s">
        <v>1313</v>
      </c>
      <c r="V403" s="6" t="s">
        <v>1314</v>
      </c>
      <c r="W403" s="6">
        <v>2025</v>
      </c>
      <c r="X403" s="6">
        <v>11</v>
      </c>
      <c r="Y403" s="6" t="s">
        <v>1315</v>
      </c>
      <c r="Z403" s="6">
        <v>2025</v>
      </c>
      <c r="AA403" s="6" t="s">
        <v>1316</v>
      </c>
      <c r="AB403" s="6" t="str">
        <f>VLOOKUP(S403,Mapping!A:C,3,FALSE)</f>
        <v>Primary</v>
      </c>
    </row>
    <row r="404" spans="1:28" x14ac:dyDescent="0.35">
      <c r="A404" s="6" t="s">
        <v>1302</v>
      </c>
      <c r="B404" s="6" t="s">
        <v>1303</v>
      </c>
      <c r="C404" s="6" t="s">
        <v>1304</v>
      </c>
      <c r="D404" s="6" t="s">
        <v>1305</v>
      </c>
      <c r="E404" s="6" t="s">
        <v>1306</v>
      </c>
      <c r="F404" s="6" t="s">
        <v>1307</v>
      </c>
      <c r="G404" s="6" t="s">
        <v>1308</v>
      </c>
      <c r="H404" s="6" t="s">
        <v>1719</v>
      </c>
      <c r="I404" s="6">
        <v>0</v>
      </c>
      <c r="J404" s="6">
        <v>599</v>
      </c>
      <c r="K404" s="6">
        <v>1</v>
      </c>
      <c r="L404" s="6" t="s">
        <v>2241</v>
      </c>
      <c r="M404" s="6" t="e">
        <f>VLOOKUP(L404,'Nov Inv Recon'!H:H,1,FALSE)</f>
        <v>#N/A</v>
      </c>
      <c r="N404" s="6" t="e">
        <f>VLOOKUP(L404,VictoryHeitrich!D:D,1,FALSE)</f>
        <v>#N/A</v>
      </c>
      <c r="O404" s="6" t="s">
        <v>899</v>
      </c>
      <c r="P404" s="6" t="s">
        <v>1311</v>
      </c>
      <c r="Q404" s="6" t="s">
        <v>2764</v>
      </c>
      <c r="R404" s="6" t="s">
        <v>2764</v>
      </c>
      <c r="S404" s="6" t="s">
        <v>67</v>
      </c>
      <c r="T404" s="6" t="s">
        <v>68</v>
      </c>
      <c r="U404" s="6" t="s">
        <v>1313</v>
      </c>
      <c r="V404" s="6" t="s">
        <v>1314</v>
      </c>
      <c r="W404" s="6">
        <v>2025</v>
      </c>
      <c r="X404" s="6">
        <v>11</v>
      </c>
      <c r="Y404" s="6" t="s">
        <v>1315</v>
      </c>
      <c r="Z404" s="6">
        <v>2025</v>
      </c>
      <c r="AA404" s="6" t="s">
        <v>1316</v>
      </c>
      <c r="AB404" s="6" t="str">
        <f>VLOOKUP(S404,Mapping!A:C,3,FALSE)</f>
        <v>Primary</v>
      </c>
    </row>
    <row r="405" spans="1:28" x14ac:dyDescent="0.35">
      <c r="A405" s="6" t="s">
        <v>1302</v>
      </c>
      <c r="B405" s="6" t="s">
        <v>1303</v>
      </c>
      <c r="C405" s="6" t="s">
        <v>1304</v>
      </c>
      <c r="D405" s="6" t="s">
        <v>1305</v>
      </c>
      <c r="E405" s="6" t="s">
        <v>1306</v>
      </c>
      <c r="F405" s="6" t="s">
        <v>1307</v>
      </c>
      <c r="G405" s="6" t="s">
        <v>1308</v>
      </c>
      <c r="H405" s="6" t="s">
        <v>1974</v>
      </c>
      <c r="I405" s="6">
        <v>0</v>
      </c>
      <c r="J405" s="6">
        <v>599</v>
      </c>
      <c r="K405" s="6">
        <v>1</v>
      </c>
      <c r="L405" s="6" t="s">
        <v>2337</v>
      </c>
      <c r="M405" s="6" t="e">
        <f>VLOOKUP(L405,'Nov Inv Recon'!H:H,1,FALSE)</f>
        <v>#N/A</v>
      </c>
      <c r="N405" s="6" t="e">
        <f>VLOOKUP(L405,VictoryHeitrich!D:D,1,FALSE)</f>
        <v>#N/A</v>
      </c>
      <c r="O405" s="6" t="s">
        <v>425</v>
      </c>
      <c r="P405" s="6" t="s">
        <v>1311</v>
      </c>
      <c r="Q405" s="6" t="s">
        <v>1967</v>
      </c>
      <c r="R405" s="6" t="s">
        <v>1967</v>
      </c>
      <c r="S405" s="6" t="s">
        <v>67</v>
      </c>
      <c r="T405" s="6" t="s">
        <v>68</v>
      </c>
      <c r="U405" s="6" t="s">
        <v>1313</v>
      </c>
      <c r="V405" s="6" t="s">
        <v>1314</v>
      </c>
      <c r="W405" s="6">
        <v>2025</v>
      </c>
      <c r="X405" s="6">
        <v>11</v>
      </c>
      <c r="Y405" s="6" t="s">
        <v>1315</v>
      </c>
      <c r="Z405" s="6">
        <v>2025</v>
      </c>
      <c r="AA405" s="6" t="s">
        <v>1316</v>
      </c>
      <c r="AB405" s="6" t="str">
        <f>VLOOKUP(S405,Mapping!A:C,3,FALSE)</f>
        <v>Primary</v>
      </c>
    </row>
    <row r="406" spans="1:28" x14ac:dyDescent="0.35">
      <c r="A406" s="6" t="s">
        <v>1302</v>
      </c>
      <c r="B406" s="6" t="s">
        <v>1303</v>
      </c>
      <c r="C406" s="6" t="s">
        <v>1304</v>
      </c>
      <c r="D406" s="6" t="s">
        <v>1305</v>
      </c>
      <c r="E406" s="6" t="s">
        <v>1306</v>
      </c>
      <c r="F406" s="6" t="s">
        <v>1307</v>
      </c>
      <c r="G406" s="6" t="s">
        <v>1308</v>
      </c>
      <c r="H406" s="6" t="s">
        <v>1728</v>
      </c>
      <c r="I406" s="6">
        <v>0</v>
      </c>
      <c r="J406" s="6">
        <v>599</v>
      </c>
      <c r="K406" s="6">
        <v>1</v>
      </c>
      <c r="L406" s="6" t="s">
        <v>1515</v>
      </c>
      <c r="M406" s="6" t="e">
        <f>VLOOKUP(L406,'Nov Inv Recon'!H:H,1,FALSE)</f>
        <v>#N/A</v>
      </c>
      <c r="N406" s="6" t="e">
        <f>VLOOKUP(L406,VictoryHeitrich!D:D,1,FALSE)</f>
        <v>#N/A</v>
      </c>
      <c r="O406" s="6" t="s">
        <v>1516</v>
      </c>
      <c r="P406" s="6" t="s">
        <v>1311</v>
      </c>
      <c r="Q406" s="6" t="s">
        <v>2765</v>
      </c>
      <c r="R406" s="6" t="s">
        <v>2765</v>
      </c>
      <c r="S406" s="6" t="s">
        <v>67</v>
      </c>
      <c r="T406" s="6" t="s">
        <v>68</v>
      </c>
      <c r="U406" s="6" t="s">
        <v>1313</v>
      </c>
      <c r="V406" s="6" t="s">
        <v>1314</v>
      </c>
      <c r="W406" s="6">
        <v>2025</v>
      </c>
      <c r="X406" s="6">
        <v>11</v>
      </c>
      <c r="Y406" s="6" t="s">
        <v>1315</v>
      </c>
      <c r="Z406" s="6">
        <v>2025</v>
      </c>
      <c r="AA406" s="6" t="s">
        <v>1316</v>
      </c>
      <c r="AB406" s="6" t="str">
        <f>VLOOKUP(S406,Mapping!A:C,3,FALSE)</f>
        <v>Primary</v>
      </c>
    </row>
    <row r="407" spans="1:28" x14ac:dyDescent="0.35">
      <c r="A407" s="6" t="s">
        <v>1302</v>
      </c>
      <c r="B407" s="6" t="s">
        <v>1303</v>
      </c>
      <c r="C407" s="6" t="s">
        <v>1304</v>
      </c>
      <c r="D407" s="6" t="s">
        <v>1305</v>
      </c>
      <c r="E407" s="6" t="s">
        <v>1306</v>
      </c>
      <c r="F407" s="6" t="s">
        <v>1307</v>
      </c>
      <c r="G407" s="6" t="s">
        <v>1308</v>
      </c>
      <c r="H407" s="6" t="s">
        <v>1657</v>
      </c>
      <c r="I407" s="6">
        <v>0</v>
      </c>
      <c r="J407" s="6">
        <v>0</v>
      </c>
      <c r="K407" s="6">
        <v>2</v>
      </c>
      <c r="L407" s="6" t="s">
        <v>332</v>
      </c>
      <c r="M407" s="6" t="str">
        <f>VLOOKUP(L407,'Nov Inv Recon'!H:H,1,FALSE)</f>
        <v>08300413</v>
      </c>
      <c r="N407" s="6" t="e">
        <f>VLOOKUP(L407,VictoryHeitrich!D:D,1,FALSE)</f>
        <v>#N/A</v>
      </c>
      <c r="O407" s="6" t="s">
        <v>2041</v>
      </c>
      <c r="P407" s="6" t="s">
        <v>1311</v>
      </c>
      <c r="Q407" s="6" t="s">
        <v>2509</v>
      </c>
      <c r="R407" s="6" t="s">
        <v>2758</v>
      </c>
      <c r="S407" s="6" t="s">
        <v>67</v>
      </c>
      <c r="T407" s="6" t="s">
        <v>68</v>
      </c>
      <c r="U407" s="6" t="s">
        <v>1313</v>
      </c>
      <c r="V407" s="6" t="s">
        <v>1314</v>
      </c>
      <c r="W407" s="6">
        <v>2025</v>
      </c>
      <c r="X407" s="6">
        <v>11</v>
      </c>
      <c r="Y407" s="6" t="s">
        <v>1315</v>
      </c>
      <c r="Z407" s="6">
        <v>2025</v>
      </c>
      <c r="AA407" s="6" t="s">
        <v>1316</v>
      </c>
      <c r="AB407" s="6" t="str">
        <f>VLOOKUP(S407,Mapping!A:C,3,FALSE)</f>
        <v>Primary</v>
      </c>
    </row>
    <row r="408" spans="1:28" x14ac:dyDescent="0.35">
      <c r="A408" s="6" t="s">
        <v>1302</v>
      </c>
      <c r="B408" s="6" t="s">
        <v>1303</v>
      </c>
      <c r="C408" s="6" t="s">
        <v>1304</v>
      </c>
      <c r="D408" s="6" t="s">
        <v>1305</v>
      </c>
      <c r="E408" s="6" t="s">
        <v>1306</v>
      </c>
      <c r="F408" s="6" t="s">
        <v>1307</v>
      </c>
      <c r="G408" s="6" t="s">
        <v>1308</v>
      </c>
      <c r="H408" s="6" t="s">
        <v>2398</v>
      </c>
      <c r="I408" s="6">
        <v>386.49</v>
      </c>
      <c r="J408" s="6">
        <v>0</v>
      </c>
      <c r="K408" s="6">
        <v>1</v>
      </c>
      <c r="L408" s="6" t="s">
        <v>2184</v>
      </c>
      <c r="M408" s="6" t="e">
        <f>VLOOKUP(L408,'Nov Inv Recon'!H:H,1,FALSE)</f>
        <v>#N/A</v>
      </c>
      <c r="N408" s="6" t="e">
        <f>VLOOKUP(L408,VictoryHeitrich!D:D,1,FALSE)</f>
        <v>#N/A</v>
      </c>
      <c r="O408" s="6" t="s">
        <v>665</v>
      </c>
      <c r="P408" s="6" t="s">
        <v>1311</v>
      </c>
      <c r="Q408" s="6" t="s">
        <v>2679</v>
      </c>
      <c r="S408" s="6" t="s">
        <v>74</v>
      </c>
      <c r="T408" s="6" t="s">
        <v>75</v>
      </c>
      <c r="U408" s="6" t="s">
        <v>1313</v>
      </c>
      <c r="V408" s="6" t="s">
        <v>1314</v>
      </c>
      <c r="W408" s="6">
        <v>2025</v>
      </c>
      <c r="X408" s="6">
        <v>11</v>
      </c>
      <c r="Y408" s="6" t="s">
        <v>1315</v>
      </c>
      <c r="Z408" s="6">
        <v>2025</v>
      </c>
      <c r="AA408" s="6" t="s">
        <v>1316</v>
      </c>
      <c r="AB408" s="6" t="str">
        <f>VLOOKUP(S408,Mapping!A:C,3,FALSE)</f>
        <v>Primary</v>
      </c>
    </row>
    <row r="409" spans="1:28" x14ac:dyDescent="0.35">
      <c r="A409" s="6" t="s">
        <v>1302</v>
      </c>
      <c r="B409" s="6" t="s">
        <v>1303</v>
      </c>
      <c r="C409" s="6" t="s">
        <v>1304</v>
      </c>
      <c r="D409" s="6" t="s">
        <v>1305</v>
      </c>
      <c r="E409" s="6" t="s">
        <v>1306</v>
      </c>
      <c r="F409" s="6" t="s">
        <v>1307</v>
      </c>
      <c r="G409" s="6" t="s">
        <v>1308</v>
      </c>
      <c r="H409" s="6" t="s">
        <v>1682</v>
      </c>
      <c r="I409" s="6">
        <v>0</v>
      </c>
      <c r="J409" s="6">
        <v>528.64</v>
      </c>
      <c r="K409" s="6">
        <v>1</v>
      </c>
      <c r="L409" s="6" t="s">
        <v>2162</v>
      </c>
      <c r="M409" s="6" t="e">
        <f>VLOOKUP(L409,'Nov Inv Recon'!H:H,1,FALSE)</f>
        <v>#N/A</v>
      </c>
      <c r="N409" s="6" t="e">
        <f>VLOOKUP(L409,VictoryHeitrich!D:D,1,FALSE)</f>
        <v>#N/A</v>
      </c>
      <c r="O409" s="6" t="s">
        <v>704</v>
      </c>
      <c r="P409" s="6" t="s">
        <v>1311</v>
      </c>
      <c r="Q409" s="6" t="s">
        <v>2766</v>
      </c>
      <c r="R409" s="6" t="s">
        <v>2766</v>
      </c>
      <c r="S409" s="6" t="s">
        <v>74</v>
      </c>
      <c r="T409" s="6" t="s">
        <v>75</v>
      </c>
      <c r="U409" s="6" t="s">
        <v>1313</v>
      </c>
      <c r="V409" s="6" t="s">
        <v>1314</v>
      </c>
      <c r="W409" s="6">
        <v>2025</v>
      </c>
      <c r="X409" s="6">
        <v>11</v>
      </c>
      <c r="Y409" s="6" t="s">
        <v>1315</v>
      </c>
      <c r="Z409" s="6">
        <v>2025</v>
      </c>
      <c r="AA409" s="6" t="s">
        <v>1316</v>
      </c>
      <c r="AB409" s="6" t="str">
        <f>VLOOKUP(S409,Mapping!A:C,3,FALSE)</f>
        <v>Primary</v>
      </c>
    </row>
    <row r="410" spans="1:28" x14ac:dyDescent="0.35">
      <c r="A410" s="6" t="s">
        <v>1302</v>
      </c>
      <c r="B410" s="6" t="s">
        <v>1303</v>
      </c>
      <c r="C410" s="6" t="s">
        <v>1304</v>
      </c>
      <c r="D410" s="6" t="s">
        <v>1305</v>
      </c>
      <c r="E410" s="6" t="s">
        <v>1306</v>
      </c>
      <c r="F410" s="6" t="s">
        <v>1307</v>
      </c>
      <c r="G410" s="6" t="s">
        <v>1308</v>
      </c>
      <c r="H410" s="6" t="s">
        <v>2528</v>
      </c>
      <c r="I410" s="6">
        <v>0</v>
      </c>
      <c r="J410" s="6">
        <v>350.3</v>
      </c>
      <c r="K410" s="6">
        <v>1</v>
      </c>
      <c r="L410" s="6" t="s">
        <v>2135</v>
      </c>
      <c r="M410" s="6" t="e">
        <f>VLOOKUP(L410,'Nov Inv Recon'!H:H,1,FALSE)</f>
        <v>#N/A</v>
      </c>
      <c r="N410" s="6" t="e">
        <f>VLOOKUP(L410,VictoryHeitrich!D:D,1,FALSE)</f>
        <v>#N/A</v>
      </c>
      <c r="O410" s="6" t="s">
        <v>243</v>
      </c>
      <c r="P410" s="6" t="s">
        <v>1311</v>
      </c>
      <c r="Q410" s="6" t="s">
        <v>2767</v>
      </c>
      <c r="R410" s="6" t="s">
        <v>2767</v>
      </c>
      <c r="S410" s="6" t="s">
        <v>74</v>
      </c>
      <c r="T410" s="6" t="s">
        <v>75</v>
      </c>
      <c r="U410" s="6" t="s">
        <v>1313</v>
      </c>
      <c r="V410" s="6" t="s">
        <v>1314</v>
      </c>
      <c r="W410" s="6">
        <v>2025</v>
      </c>
      <c r="X410" s="6">
        <v>11</v>
      </c>
      <c r="Y410" s="6" t="s">
        <v>1315</v>
      </c>
      <c r="Z410" s="6">
        <v>2025</v>
      </c>
      <c r="AA410" s="6" t="s">
        <v>1316</v>
      </c>
      <c r="AB410" s="6" t="str">
        <f>VLOOKUP(S410,Mapping!A:C,3,FALSE)</f>
        <v>Primary</v>
      </c>
    </row>
    <row r="411" spans="1:28" x14ac:dyDescent="0.35">
      <c r="A411" s="6" t="s">
        <v>1302</v>
      </c>
      <c r="B411" s="6" t="s">
        <v>1303</v>
      </c>
      <c r="C411" s="6" t="s">
        <v>1304</v>
      </c>
      <c r="D411" s="6" t="s">
        <v>1305</v>
      </c>
      <c r="E411" s="6" t="s">
        <v>1306</v>
      </c>
      <c r="F411" s="6" t="s">
        <v>1307</v>
      </c>
      <c r="G411" s="6" t="s">
        <v>1308</v>
      </c>
      <c r="H411" s="6" t="s">
        <v>1728</v>
      </c>
      <c r="I411" s="6">
        <v>0</v>
      </c>
      <c r="J411" s="6">
        <v>499</v>
      </c>
      <c r="K411" s="6">
        <v>1</v>
      </c>
      <c r="L411" s="6" t="s">
        <v>2261</v>
      </c>
      <c r="M411" s="6" t="e">
        <f>VLOOKUP(L411,'Nov Inv Recon'!H:H,1,FALSE)</f>
        <v>#N/A</v>
      </c>
      <c r="N411" s="6" t="e">
        <f>VLOOKUP(L411,VictoryHeitrich!D:D,1,FALSE)</f>
        <v>#N/A</v>
      </c>
      <c r="O411" s="6" t="s">
        <v>566</v>
      </c>
      <c r="P411" s="6" t="s">
        <v>1311</v>
      </c>
      <c r="Q411" s="6" t="s">
        <v>2768</v>
      </c>
      <c r="R411" s="6" t="s">
        <v>2768</v>
      </c>
      <c r="S411" s="6" t="s">
        <v>74</v>
      </c>
      <c r="T411" s="6" t="s">
        <v>75</v>
      </c>
      <c r="U411" s="6" t="s">
        <v>1313</v>
      </c>
      <c r="V411" s="6" t="s">
        <v>1314</v>
      </c>
      <c r="W411" s="6">
        <v>2025</v>
      </c>
      <c r="X411" s="6">
        <v>11</v>
      </c>
      <c r="Y411" s="6" t="s">
        <v>1315</v>
      </c>
      <c r="Z411" s="6">
        <v>2025</v>
      </c>
      <c r="AA411" s="6" t="s">
        <v>1316</v>
      </c>
      <c r="AB411" s="6" t="str">
        <f>VLOOKUP(S411,Mapping!A:C,3,FALSE)</f>
        <v>Primary</v>
      </c>
    </row>
    <row r="412" spans="1:28" x14ac:dyDescent="0.35">
      <c r="A412" s="6" t="s">
        <v>1302</v>
      </c>
      <c r="B412" s="6" t="s">
        <v>1303</v>
      </c>
      <c r="C412" s="6" t="s">
        <v>1304</v>
      </c>
      <c r="D412" s="6" t="s">
        <v>1305</v>
      </c>
      <c r="E412" s="6" t="s">
        <v>1306</v>
      </c>
      <c r="F412" s="6" t="s">
        <v>1307</v>
      </c>
      <c r="G412" s="6" t="s">
        <v>1308</v>
      </c>
      <c r="H412" s="6" t="s">
        <v>1309</v>
      </c>
      <c r="I412" s="6">
        <v>0</v>
      </c>
      <c r="J412" s="6">
        <v>499</v>
      </c>
      <c r="K412" s="6">
        <v>1</v>
      </c>
      <c r="L412" s="6" t="s">
        <v>2079</v>
      </c>
      <c r="M412" s="6" t="e">
        <f>VLOOKUP(L412,'Nov Inv Recon'!H:H,1,FALSE)</f>
        <v>#N/A</v>
      </c>
      <c r="N412" s="6" t="e">
        <f>VLOOKUP(L412,VictoryHeitrich!D:D,1,FALSE)</f>
        <v>#N/A</v>
      </c>
      <c r="O412" s="6" t="s">
        <v>503</v>
      </c>
      <c r="P412" s="6" t="s">
        <v>1311</v>
      </c>
      <c r="Q412" s="6" t="s">
        <v>2769</v>
      </c>
      <c r="R412" s="6" t="s">
        <v>2769</v>
      </c>
      <c r="S412" s="6" t="s">
        <v>74</v>
      </c>
      <c r="T412" s="6" t="s">
        <v>75</v>
      </c>
      <c r="U412" s="6" t="s">
        <v>1313</v>
      </c>
      <c r="V412" s="6" t="s">
        <v>1314</v>
      </c>
      <c r="W412" s="6">
        <v>2025</v>
      </c>
      <c r="X412" s="6">
        <v>11</v>
      </c>
      <c r="Y412" s="6" t="s">
        <v>1315</v>
      </c>
      <c r="Z412" s="6">
        <v>2025</v>
      </c>
      <c r="AA412" s="6" t="s">
        <v>1316</v>
      </c>
      <c r="AB412" s="6" t="str">
        <f>VLOOKUP(S412,Mapping!A:C,3,FALSE)</f>
        <v>Primary</v>
      </c>
    </row>
    <row r="413" spans="1:28" x14ac:dyDescent="0.35">
      <c r="A413" s="6" t="s">
        <v>1302</v>
      </c>
      <c r="B413" s="6" t="s">
        <v>1303</v>
      </c>
      <c r="C413" s="6" t="s">
        <v>1304</v>
      </c>
      <c r="D413" s="6" t="s">
        <v>1305</v>
      </c>
      <c r="E413" s="6" t="s">
        <v>1306</v>
      </c>
      <c r="F413" s="6" t="s">
        <v>1307</v>
      </c>
      <c r="G413" s="6" t="s">
        <v>1308</v>
      </c>
      <c r="H413" s="6" t="s">
        <v>1632</v>
      </c>
      <c r="I413" s="6">
        <v>0</v>
      </c>
      <c r="J413" s="6">
        <v>499</v>
      </c>
      <c r="K413" s="6">
        <v>1</v>
      </c>
      <c r="L413" s="6" t="s">
        <v>2068</v>
      </c>
      <c r="M413" s="6" t="e">
        <f>VLOOKUP(L413,'Nov Inv Recon'!H:H,1,FALSE)</f>
        <v>#N/A</v>
      </c>
      <c r="N413" s="6" t="e">
        <f>VLOOKUP(L413,VictoryHeitrich!D:D,1,FALSE)</f>
        <v>#N/A</v>
      </c>
      <c r="O413" s="6" t="s">
        <v>507</v>
      </c>
      <c r="P413" s="6" t="s">
        <v>1311</v>
      </c>
      <c r="Q413" s="6" t="s">
        <v>2770</v>
      </c>
      <c r="R413" s="6" t="s">
        <v>2770</v>
      </c>
      <c r="S413" s="6" t="s">
        <v>74</v>
      </c>
      <c r="T413" s="6" t="s">
        <v>75</v>
      </c>
      <c r="U413" s="6" t="s">
        <v>1313</v>
      </c>
      <c r="V413" s="6" t="s">
        <v>1314</v>
      </c>
      <c r="W413" s="6">
        <v>2025</v>
      </c>
      <c r="X413" s="6">
        <v>11</v>
      </c>
      <c r="Y413" s="6" t="s">
        <v>1315</v>
      </c>
      <c r="Z413" s="6">
        <v>2025</v>
      </c>
      <c r="AA413" s="6" t="s">
        <v>1316</v>
      </c>
      <c r="AB413" s="6" t="str">
        <f>VLOOKUP(S413,Mapping!A:C,3,FALSE)</f>
        <v>Primary</v>
      </c>
    </row>
    <row r="414" spans="1:28" x14ac:dyDescent="0.35">
      <c r="A414" s="6" t="s">
        <v>1302</v>
      </c>
      <c r="B414" s="6" t="s">
        <v>1303</v>
      </c>
      <c r="C414" s="6" t="s">
        <v>1304</v>
      </c>
      <c r="D414" s="6" t="s">
        <v>1305</v>
      </c>
      <c r="E414" s="6" t="s">
        <v>1306</v>
      </c>
      <c r="F414" s="6" t="s">
        <v>1307</v>
      </c>
      <c r="G414" s="6" t="s">
        <v>1308</v>
      </c>
      <c r="H414" s="6" t="s">
        <v>1632</v>
      </c>
      <c r="I414" s="6">
        <v>0</v>
      </c>
      <c r="J414" s="6">
        <v>528.64</v>
      </c>
      <c r="K414" s="6">
        <v>1</v>
      </c>
      <c r="L414" s="6" t="s">
        <v>2272</v>
      </c>
      <c r="M414" s="6" t="e">
        <f>VLOOKUP(L414,'Nov Inv Recon'!H:H,1,FALSE)</f>
        <v>#N/A</v>
      </c>
      <c r="N414" s="6" t="e">
        <f>VLOOKUP(L414,VictoryHeitrich!D:D,1,FALSE)</f>
        <v>#N/A</v>
      </c>
      <c r="O414" s="6" t="s">
        <v>696</v>
      </c>
      <c r="P414" s="6" t="s">
        <v>1311</v>
      </c>
      <c r="Q414" s="6" t="s">
        <v>2771</v>
      </c>
      <c r="R414" s="6" t="s">
        <v>2771</v>
      </c>
      <c r="S414" s="6" t="s">
        <v>74</v>
      </c>
      <c r="T414" s="6" t="s">
        <v>75</v>
      </c>
      <c r="U414" s="6" t="s">
        <v>1313</v>
      </c>
      <c r="V414" s="6" t="s">
        <v>1314</v>
      </c>
      <c r="W414" s="6">
        <v>2025</v>
      </c>
      <c r="X414" s="6">
        <v>11</v>
      </c>
      <c r="Y414" s="6" t="s">
        <v>1315</v>
      </c>
      <c r="Z414" s="6">
        <v>2025</v>
      </c>
      <c r="AA414" s="6" t="s">
        <v>1316</v>
      </c>
      <c r="AB414" s="6" t="str">
        <f>VLOOKUP(S414,Mapping!A:C,3,FALSE)</f>
        <v>Primary</v>
      </c>
    </row>
    <row r="415" spans="1:28" x14ac:dyDescent="0.35">
      <c r="A415" s="6" t="s">
        <v>1302</v>
      </c>
      <c r="B415" s="6" t="s">
        <v>1303</v>
      </c>
      <c r="C415" s="6" t="s">
        <v>1304</v>
      </c>
      <c r="D415" s="6" t="s">
        <v>1305</v>
      </c>
      <c r="E415" s="6" t="s">
        <v>1306</v>
      </c>
      <c r="F415" s="6" t="s">
        <v>1307</v>
      </c>
      <c r="G415" s="6" t="s">
        <v>1308</v>
      </c>
      <c r="H415" s="6" t="s">
        <v>1632</v>
      </c>
      <c r="I415" s="6">
        <v>0</v>
      </c>
      <c r="J415" s="6">
        <v>499</v>
      </c>
      <c r="K415" s="6">
        <v>1</v>
      </c>
      <c r="L415" s="6" t="s">
        <v>2277</v>
      </c>
      <c r="M415" s="6" t="e">
        <f>VLOOKUP(L415,'Nov Inv Recon'!H:H,1,FALSE)</f>
        <v>#N/A</v>
      </c>
      <c r="N415" s="6" t="e">
        <f>VLOOKUP(L415,VictoryHeitrich!D:D,1,FALSE)</f>
        <v>#N/A</v>
      </c>
      <c r="O415" s="6" t="s">
        <v>513</v>
      </c>
      <c r="P415" s="6" t="s">
        <v>1311</v>
      </c>
      <c r="Q415" s="6" t="s">
        <v>2772</v>
      </c>
      <c r="R415" s="6" t="s">
        <v>2772</v>
      </c>
      <c r="S415" s="6" t="s">
        <v>74</v>
      </c>
      <c r="T415" s="6" t="s">
        <v>75</v>
      </c>
      <c r="U415" s="6" t="s">
        <v>1313</v>
      </c>
      <c r="V415" s="6" t="s">
        <v>1314</v>
      </c>
      <c r="W415" s="6">
        <v>2025</v>
      </c>
      <c r="X415" s="6">
        <v>11</v>
      </c>
      <c r="Y415" s="6" t="s">
        <v>1315</v>
      </c>
      <c r="Z415" s="6">
        <v>2025</v>
      </c>
      <c r="AA415" s="6" t="s">
        <v>1316</v>
      </c>
      <c r="AB415" s="6" t="str">
        <f>VLOOKUP(S415,Mapping!A:C,3,FALSE)</f>
        <v>Primary</v>
      </c>
    </row>
    <row r="416" spans="1:28" x14ac:dyDescent="0.35">
      <c r="A416" s="6" t="s">
        <v>1302</v>
      </c>
      <c r="B416" s="6" t="s">
        <v>1303</v>
      </c>
      <c r="C416" s="6" t="s">
        <v>1304</v>
      </c>
      <c r="D416" s="6" t="s">
        <v>1305</v>
      </c>
      <c r="E416" s="6" t="s">
        <v>1306</v>
      </c>
      <c r="F416" s="6" t="s">
        <v>1307</v>
      </c>
      <c r="G416" s="6" t="s">
        <v>1308</v>
      </c>
      <c r="H416" s="6" t="s">
        <v>1632</v>
      </c>
      <c r="I416" s="6">
        <v>0</v>
      </c>
      <c r="J416" s="6">
        <v>499</v>
      </c>
      <c r="K416" s="6">
        <v>1</v>
      </c>
      <c r="L416" s="6" t="s">
        <v>2292</v>
      </c>
      <c r="M416" s="6" t="e">
        <f>VLOOKUP(L416,'Nov Inv Recon'!H:H,1,FALSE)</f>
        <v>#N/A</v>
      </c>
      <c r="N416" s="6" t="e">
        <f>VLOOKUP(L416,VictoryHeitrich!D:D,1,FALSE)</f>
        <v>#N/A</v>
      </c>
      <c r="O416" s="6" t="s">
        <v>545</v>
      </c>
      <c r="P416" s="6" t="s">
        <v>1311</v>
      </c>
      <c r="Q416" s="6" t="s">
        <v>2773</v>
      </c>
      <c r="R416" s="6" t="s">
        <v>2773</v>
      </c>
      <c r="S416" s="6" t="s">
        <v>74</v>
      </c>
      <c r="T416" s="6" t="s">
        <v>75</v>
      </c>
      <c r="U416" s="6" t="s">
        <v>1313</v>
      </c>
      <c r="V416" s="6" t="s">
        <v>1314</v>
      </c>
      <c r="W416" s="6">
        <v>2025</v>
      </c>
      <c r="X416" s="6">
        <v>11</v>
      </c>
      <c r="Y416" s="6" t="s">
        <v>1315</v>
      </c>
      <c r="Z416" s="6">
        <v>2025</v>
      </c>
      <c r="AA416" s="6" t="s">
        <v>1316</v>
      </c>
      <c r="AB416" s="6" t="str">
        <f>VLOOKUP(S416,Mapping!A:C,3,FALSE)</f>
        <v>Primary</v>
      </c>
    </row>
    <row r="417" spans="1:28" x14ac:dyDescent="0.35">
      <c r="A417" s="6" t="s">
        <v>1302</v>
      </c>
      <c r="B417" s="6" t="s">
        <v>1303</v>
      </c>
      <c r="C417" s="6" t="s">
        <v>1304</v>
      </c>
      <c r="D417" s="6" t="s">
        <v>1305</v>
      </c>
      <c r="E417" s="6" t="s">
        <v>1306</v>
      </c>
      <c r="F417" s="6" t="s">
        <v>1307</v>
      </c>
      <c r="G417" s="6" t="s">
        <v>1308</v>
      </c>
      <c r="H417" s="6" t="s">
        <v>1632</v>
      </c>
      <c r="I417" s="6">
        <v>0</v>
      </c>
      <c r="J417" s="6">
        <v>499</v>
      </c>
      <c r="K417" s="6">
        <v>1</v>
      </c>
      <c r="L417" s="6" t="s">
        <v>2318</v>
      </c>
      <c r="M417" s="6" t="e">
        <f>VLOOKUP(L417,'Nov Inv Recon'!H:H,1,FALSE)</f>
        <v>#N/A</v>
      </c>
      <c r="N417" s="6" t="e">
        <f>VLOOKUP(L417,VictoryHeitrich!D:D,1,FALSE)</f>
        <v>#N/A</v>
      </c>
      <c r="O417" s="6" t="s">
        <v>642</v>
      </c>
      <c r="P417" s="6" t="s">
        <v>1311</v>
      </c>
      <c r="Q417" s="6" t="s">
        <v>2774</v>
      </c>
      <c r="R417" s="6" t="s">
        <v>2774</v>
      </c>
      <c r="S417" s="6" t="s">
        <v>74</v>
      </c>
      <c r="T417" s="6" t="s">
        <v>75</v>
      </c>
      <c r="U417" s="6" t="s">
        <v>1313</v>
      </c>
      <c r="V417" s="6" t="s">
        <v>1314</v>
      </c>
      <c r="W417" s="6">
        <v>2025</v>
      </c>
      <c r="X417" s="6">
        <v>11</v>
      </c>
      <c r="Y417" s="6" t="s">
        <v>1315</v>
      </c>
      <c r="Z417" s="6">
        <v>2025</v>
      </c>
      <c r="AA417" s="6" t="s">
        <v>1316</v>
      </c>
      <c r="AB417" s="6" t="str">
        <f>VLOOKUP(S417,Mapping!A:C,3,FALSE)</f>
        <v>Primary</v>
      </c>
    </row>
    <row r="418" spans="1:28" x14ac:dyDescent="0.35">
      <c r="A418" s="6" t="s">
        <v>1302</v>
      </c>
      <c r="B418" s="6" t="s">
        <v>1303</v>
      </c>
      <c r="C418" s="6" t="s">
        <v>1304</v>
      </c>
      <c r="D418" s="6" t="s">
        <v>1305</v>
      </c>
      <c r="E418" s="6" t="s">
        <v>1306</v>
      </c>
      <c r="F418" s="6" t="s">
        <v>1307</v>
      </c>
      <c r="G418" s="6" t="s">
        <v>1308</v>
      </c>
      <c r="H418" s="6" t="s">
        <v>1309</v>
      </c>
      <c r="I418" s="6">
        <v>0</v>
      </c>
      <c r="J418" s="6">
        <v>528.64</v>
      </c>
      <c r="K418" s="6">
        <v>1</v>
      </c>
      <c r="L418" s="6" t="s">
        <v>2280</v>
      </c>
      <c r="M418" s="6" t="e">
        <f>VLOOKUP(L418,'Nov Inv Recon'!H:H,1,FALSE)</f>
        <v>#N/A</v>
      </c>
      <c r="N418" s="6" t="e">
        <f>VLOOKUP(L418,VictoryHeitrich!D:D,1,FALSE)</f>
        <v>#N/A</v>
      </c>
      <c r="O418" s="6" t="s">
        <v>700</v>
      </c>
      <c r="P418" s="6" t="s">
        <v>1311</v>
      </c>
      <c r="Q418" s="6" t="s">
        <v>2775</v>
      </c>
      <c r="R418" s="6" t="s">
        <v>2775</v>
      </c>
      <c r="S418" s="6" t="s">
        <v>74</v>
      </c>
      <c r="T418" s="6" t="s">
        <v>75</v>
      </c>
      <c r="U418" s="6" t="s">
        <v>1313</v>
      </c>
      <c r="V418" s="6" t="s">
        <v>1314</v>
      </c>
      <c r="W418" s="6">
        <v>2025</v>
      </c>
      <c r="X418" s="6">
        <v>11</v>
      </c>
      <c r="Y418" s="6" t="s">
        <v>1315</v>
      </c>
      <c r="Z418" s="6">
        <v>2025</v>
      </c>
      <c r="AA418" s="6" t="s">
        <v>1316</v>
      </c>
      <c r="AB418" s="6" t="str">
        <f>VLOOKUP(S418,Mapping!A:C,3,FALSE)</f>
        <v>Primary</v>
      </c>
    </row>
    <row r="419" spans="1:28" x14ac:dyDescent="0.35">
      <c r="A419" s="6" t="s">
        <v>1302</v>
      </c>
      <c r="B419" s="6" t="s">
        <v>1303</v>
      </c>
      <c r="C419" s="6" t="s">
        <v>1304</v>
      </c>
      <c r="D419" s="6" t="s">
        <v>1305</v>
      </c>
      <c r="E419" s="6" t="s">
        <v>1306</v>
      </c>
      <c r="F419" s="6" t="s">
        <v>1307</v>
      </c>
      <c r="G419" s="6" t="s">
        <v>1308</v>
      </c>
      <c r="H419" s="6" t="s">
        <v>1632</v>
      </c>
      <c r="I419" s="6">
        <v>0</v>
      </c>
      <c r="J419" s="6">
        <v>528.64</v>
      </c>
      <c r="K419" s="6">
        <v>1</v>
      </c>
      <c r="L419" s="6" t="s">
        <v>2265</v>
      </c>
      <c r="M419" s="6" t="e">
        <f>VLOOKUP(L419,'Nov Inv Recon'!H:H,1,FALSE)</f>
        <v>#N/A</v>
      </c>
      <c r="N419" s="6" t="e">
        <f>VLOOKUP(L419,VictoryHeitrich!D:D,1,FALSE)</f>
        <v>#N/A</v>
      </c>
      <c r="O419" s="6" t="s">
        <v>932</v>
      </c>
      <c r="P419" s="6" t="s">
        <v>1311</v>
      </c>
      <c r="Q419" s="6" t="s">
        <v>2776</v>
      </c>
      <c r="R419" s="6" t="s">
        <v>2776</v>
      </c>
      <c r="S419" s="6" t="s">
        <v>74</v>
      </c>
      <c r="T419" s="6" t="s">
        <v>75</v>
      </c>
      <c r="U419" s="6" t="s">
        <v>1313</v>
      </c>
      <c r="V419" s="6" t="s">
        <v>1314</v>
      </c>
      <c r="W419" s="6">
        <v>2025</v>
      </c>
      <c r="X419" s="6">
        <v>11</v>
      </c>
      <c r="Y419" s="6" t="s">
        <v>1315</v>
      </c>
      <c r="Z419" s="6">
        <v>2025</v>
      </c>
      <c r="AA419" s="6" t="s">
        <v>1316</v>
      </c>
      <c r="AB419" s="6" t="str">
        <f>VLOOKUP(S419,Mapping!A:C,3,FALSE)</f>
        <v>Primary</v>
      </c>
    </row>
    <row r="420" spans="1:28" x14ac:dyDescent="0.35">
      <c r="A420" s="6" t="s">
        <v>1302</v>
      </c>
      <c r="B420" s="6" t="s">
        <v>1303</v>
      </c>
      <c r="C420" s="6" t="s">
        <v>1304</v>
      </c>
      <c r="D420" s="6" t="s">
        <v>1305</v>
      </c>
      <c r="E420" s="6" t="s">
        <v>1306</v>
      </c>
      <c r="F420" s="6" t="s">
        <v>1307</v>
      </c>
      <c r="G420" s="6" t="s">
        <v>1308</v>
      </c>
      <c r="H420" s="6" t="s">
        <v>2481</v>
      </c>
      <c r="I420" s="6">
        <v>0</v>
      </c>
      <c r="J420" s="6">
        <v>499</v>
      </c>
      <c r="K420" s="6">
        <v>1</v>
      </c>
      <c r="L420" s="6" t="s">
        <v>2267</v>
      </c>
      <c r="M420" s="6" t="e">
        <f>VLOOKUP(L420,'Nov Inv Recon'!H:H,1,FALSE)</f>
        <v>#N/A</v>
      </c>
      <c r="N420" s="6" t="e">
        <f>VLOOKUP(L420,VictoryHeitrich!D:D,1,FALSE)</f>
        <v>#N/A</v>
      </c>
      <c r="O420" s="6" t="s">
        <v>2305</v>
      </c>
      <c r="P420" s="6" t="s">
        <v>1311</v>
      </c>
      <c r="Q420" s="6" t="s">
        <v>2777</v>
      </c>
      <c r="R420" s="6" t="s">
        <v>2777</v>
      </c>
      <c r="S420" s="6" t="s">
        <v>74</v>
      </c>
      <c r="T420" s="6" t="s">
        <v>75</v>
      </c>
      <c r="U420" s="6" t="s">
        <v>1313</v>
      </c>
      <c r="V420" s="6" t="s">
        <v>1314</v>
      </c>
      <c r="W420" s="6">
        <v>2025</v>
      </c>
      <c r="X420" s="6">
        <v>11</v>
      </c>
      <c r="Y420" s="6" t="s">
        <v>1315</v>
      </c>
      <c r="Z420" s="6">
        <v>2025</v>
      </c>
      <c r="AA420" s="6" t="s">
        <v>1316</v>
      </c>
      <c r="AB420" s="6" t="str">
        <f>VLOOKUP(S420,Mapping!A:C,3,FALSE)</f>
        <v>Primary</v>
      </c>
    </row>
    <row r="421" spans="1:28" x14ac:dyDescent="0.35">
      <c r="A421" s="6" t="s">
        <v>1302</v>
      </c>
      <c r="B421" s="6" t="s">
        <v>1303</v>
      </c>
      <c r="C421" s="6" t="s">
        <v>1304</v>
      </c>
      <c r="D421" s="6" t="s">
        <v>1305</v>
      </c>
      <c r="E421" s="6" t="s">
        <v>1306</v>
      </c>
      <c r="F421" s="6" t="s">
        <v>1307</v>
      </c>
      <c r="G421" s="6" t="s">
        <v>1308</v>
      </c>
      <c r="H421" s="6" t="s">
        <v>1682</v>
      </c>
      <c r="I421" s="6">
        <v>0</v>
      </c>
      <c r="J421" s="6">
        <v>528.64</v>
      </c>
      <c r="K421" s="6">
        <v>1</v>
      </c>
      <c r="L421" s="6" t="s">
        <v>2216</v>
      </c>
      <c r="M421" s="6" t="e">
        <f>VLOOKUP(L421,'Nov Inv Recon'!H:H,1,FALSE)</f>
        <v>#N/A</v>
      </c>
      <c r="N421" s="6" t="e">
        <f>VLOOKUP(L421,VictoryHeitrich!D:D,1,FALSE)</f>
        <v>#N/A</v>
      </c>
      <c r="O421" s="6" t="s">
        <v>702</v>
      </c>
      <c r="P421" s="6" t="s">
        <v>1311</v>
      </c>
      <c r="Q421" s="6" t="s">
        <v>2778</v>
      </c>
      <c r="R421" s="6" t="s">
        <v>2778</v>
      </c>
      <c r="S421" s="6" t="s">
        <v>74</v>
      </c>
      <c r="T421" s="6" t="s">
        <v>75</v>
      </c>
      <c r="U421" s="6" t="s">
        <v>1313</v>
      </c>
      <c r="V421" s="6" t="s">
        <v>1314</v>
      </c>
      <c r="W421" s="6">
        <v>2025</v>
      </c>
      <c r="X421" s="6">
        <v>11</v>
      </c>
      <c r="Y421" s="6" t="s">
        <v>1315</v>
      </c>
      <c r="Z421" s="6">
        <v>2025</v>
      </c>
      <c r="AA421" s="6" t="s">
        <v>1316</v>
      </c>
      <c r="AB421" s="6" t="str">
        <f>VLOOKUP(S421,Mapping!A:C,3,FALSE)</f>
        <v>Primary</v>
      </c>
    </row>
    <row r="422" spans="1:28" x14ac:dyDescent="0.35">
      <c r="A422" s="6" t="s">
        <v>1302</v>
      </c>
      <c r="B422" s="6" t="s">
        <v>1303</v>
      </c>
      <c r="C422" s="6" t="s">
        <v>1304</v>
      </c>
      <c r="D422" s="6" t="s">
        <v>1305</v>
      </c>
      <c r="E422" s="6" t="s">
        <v>1306</v>
      </c>
      <c r="F422" s="6" t="s">
        <v>1307</v>
      </c>
      <c r="G422" s="6" t="s">
        <v>1308</v>
      </c>
      <c r="H422" s="6" t="s">
        <v>2526</v>
      </c>
      <c r="I422" s="6">
        <v>0</v>
      </c>
      <c r="J422" s="6">
        <v>499</v>
      </c>
      <c r="K422" s="6">
        <v>1</v>
      </c>
      <c r="L422" s="6" t="s">
        <v>2039</v>
      </c>
      <c r="M422" s="6" t="e">
        <f>VLOOKUP(L422,'Nov Inv Recon'!H:H,1,FALSE)</f>
        <v>#N/A</v>
      </c>
      <c r="N422" s="6" t="e">
        <f>VLOOKUP(L422,VictoryHeitrich!D:D,1,FALSE)</f>
        <v>#N/A</v>
      </c>
      <c r="O422" s="6" t="s">
        <v>547</v>
      </c>
      <c r="P422" s="6" t="s">
        <v>1311</v>
      </c>
      <c r="Q422" s="6" t="s">
        <v>2779</v>
      </c>
      <c r="R422" s="6" t="s">
        <v>2779</v>
      </c>
      <c r="S422" s="6" t="s">
        <v>74</v>
      </c>
      <c r="T422" s="6" t="s">
        <v>75</v>
      </c>
      <c r="U422" s="6" t="s">
        <v>1313</v>
      </c>
      <c r="V422" s="6" t="s">
        <v>1314</v>
      </c>
      <c r="W422" s="6">
        <v>2025</v>
      </c>
      <c r="X422" s="6">
        <v>11</v>
      </c>
      <c r="Y422" s="6" t="s">
        <v>1315</v>
      </c>
      <c r="Z422" s="6">
        <v>2025</v>
      </c>
      <c r="AA422" s="6" t="s">
        <v>1316</v>
      </c>
      <c r="AB422" s="6" t="str">
        <f>VLOOKUP(S422,Mapping!A:C,3,FALSE)</f>
        <v>Primary</v>
      </c>
    </row>
    <row r="423" spans="1:28" x14ac:dyDescent="0.35">
      <c r="A423" s="6" t="s">
        <v>1302</v>
      </c>
      <c r="B423" s="6" t="s">
        <v>1303</v>
      </c>
      <c r="C423" s="6" t="s">
        <v>1304</v>
      </c>
      <c r="D423" s="6" t="s">
        <v>1305</v>
      </c>
      <c r="E423" s="6" t="s">
        <v>1306</v>
      </c>
      <c r="F423" s="6" t="s">
        <v>1307</v>
      </c>
      <c r="G423" s="6" t="s">
        <v>1308</v>
      </c>
      <c r="H423" s="6" t="s">
        <v>1632</v>
      </c>
      <c r="I423" s="6">
        <v>0</v>
      </c>
      <c r="J423" s="6">
        <v>499</v>
      </c>
      <c r="K423" s="6">
        <v>1</v>
      </c>
      <c r="L423" s="6" t="s">
        <v>2204</v>
      </c>
      <c r="M423" s="6" t="e">
        <f>VLOOKUP(L423,'Nov Inv Recon'!H:H,1,FALSE)</f>
        <v>#N/A</v>
      </c>
      <c r="N423" s="6" t="e">
        <f>VLOOKUP(L423,VictoryHeitrich!D:D,1,FALSE)</f>
        <v>#N/A</v>
      </c>
      <c r="O423" s="6" t="s">
        <v>511</v>
      </c>
      <c r="P423" s="6" t="s">
        <v>1311</v>
      </c>
      <c r="Q423" s="6" t="s">
        <v>2780</v>
      </c>
      <c r="R423" s="6" t="s">
        <v>2780</v>
      </c>
      <c r="S423" s="6" t="s">
        <v>74</v>
      </c>
      <c r="T423" s="6" t="s">
        <v>75</v>
      </c>
      <c r="U423" s="6" t="s">
        <v>1313</v>
      </c>
      <c r="V423" s="6" t="s">
        <v>1314</v>
      </c>
      <c r="W423" s="6">
        <v>2025</v>
      </c>
      <c r="X423" s="6">
        <v>11</v>
      </c>
      <c r="Y423" s="6" t="s">
        <v>1315</v>
      </c>
      <c r="Z423" s="6">
        <v>2025</v>
      </c>
      <c r="AA423" s="6" t="s">
        <v>1316</v>
      </c>
      <c r="AB423" s="6" t="str">
        <f>VLOOKUP(S423,Mapping!A:C,3,FALSE)</f>
        <v>Primary</v>
      </c>
    </row>
    <row r="424" spans="1:28" x14ac:dyDescent="0.35">
      <c r="A424" s="6" t="s">
        <v>1302</v>
      </c>
      <c r="B424" s="6" t="s">
        <v>1303</v>
      </c>
      <c r="C424" s="6" t="s">
        <v>1304</v>
      </c>
      <c r="D424" s="6" t="s">
        <v>1305</v>
      </c>
      <c r="E424" s="6" t="s">
        <v>1306</v>
      </c>
      <c r="F424" s="6" t="s">
        <v>1307</v>
      </c>
      <c r="G424" s="6" t="s">
        <v>1308</v>
      </c>
      <c r="H424" s="6" t="s">
        <v>1632</v>
      </c>
      <c r="I424" s="6">
        <v>0</v>
      </c>
      <c r="J424" s="6">
        <v>528.64</v>
      </c>
      <c r="K424" s="6">
        <v>1</v>
      </c>
      <c r="L424" s="6" t="s">
        <v>2273</v>
      </c>
      <c r="M424" s="6" t="e">
        <f>VLOOKUP(L424,'Nov Inv Recon'!H:H,1,FALSE)</f>
        <v>#N/A</v>
      </c>
      <c r="N424" s="6" t="e">
        <f>VLOOKUP(L424,VictoryHeitrich!D:D,1,FALSE)</f>
        <v>#N/A</v>
      </c>
      <c r="O424" s="6" t="s">
        <v>698</v>
      </c>
      <c r="P424" s="6" t="s">
        <v>1311</v>
      </c>
      <c r="Q424" s="6" t="s">
        <v>2781</v>
      </c>
      <c r="R424" s="6" t="s">
        <v>2781</v>
      </c>
      <c r="S424" s="6" t="s">
        <v>74</v>
      </c>
      <c r="T424" s="6" t="s">
        <v>75</v>
      </c>
      <c r="U424" s="6" t="s">
        <v>1313</v>
      </c>
      <c r="V424" s="6" t="s">
        <v>1314</v>
      </c>
      <c r="W424" s="6">
        <v>2025</v>
      </c>
      <c r="X424" s="6">
        <v>11</v>
      </c>
      <c r="Y424" s="6" t="s">
        <v>1315</v>
      </c>
      <c r="Z424" s="6">
        <v>2025</v>
      </c>
      <c r="AA424" s="6" t="s">
        <v>1316</v>
      </c>
      <c r="AB424" s="6" t="str">
        <f>VLOOKUP(S424,Mapping!A:C,3,FALSE)</f>
        <v>Primary</v>
      </c>
    </row>
    <row r="425" spans="1:28" x14ac:dyDescent="0.35">
      <c r="A425" s="6" t="s">
        <v>1302</v>
      </c>
      <c r="B425" s="6" t="s">
        <v>1303</v>
      </c>
      <c r="C425" s="6" t="s">
        <v>1304</v>
      </c>
      <c r="D425" s="6" t="s">
        <v>1305</v>
      </c>
      <c r="E425" s="6" t="s">
        <v>1306</v>
      </c>
      <c r="F425" s="6" t="s">
        <v>1307</v>
      </c>
      <c r="G425" s="6" t="s">
        <v>1308</v>
      </c>
      <c r="H425" s="6" t="s">
        <v>1632</v>
      </c>
      <c r="I425" s="6">
        <v>0</v>
      </c>
      <c r="J425" s="6">
        <v>499</v>
      </c>
      <c r="K425" s="6">
        <v>1</v>
      </c>
      <c r="L425" s="6" t="s">
        <v>2275</v>
      </c>
      <c r="M425" s="6" t="e">
        <f>VLOOKUP(L425,'Nov Inv Recon'!H:H,1,FALSE)</f>
        <v>#N/A</v>
      </c>
      <c r="N425" s="6" t="e">
        <f>VLOOKUP(L425,VictoryHeitrich!D:D,1,FALSE)</f>
        <v>#N/A</v>
      </c>
      <c r="O425" s="6" t="s">
        <v>517</v>
      </c>
      <c r="P425" s="6" t="s">
        <v>1311</v>
      </c>
      <c r="Q425" s="6" t="s">
        <v>2782</v>
      </c>
      <c r="R425" s="6" t="s">
        <v>2782</v>
      </c>
      <c r="S425" s="6" t="s">
        <v>74</v>
      </c>
      <c r="T425" s="6" t="s">
        <v>75</v>
      </c>
      <c r="U425" s="6" t="s">
        <v>1313</v>
      </c>
      <c r="V425" s="6" t="s">
        <v>1314</v>
      </c>
      <c r="W425" s="6">
        <v>2025</v>
      </c>
      <c r="X425" s="6">
        <v>11</v>
      </c>
      <c r="Y425" s="6" t="s">
        <v>1315</v>
      </c>
      <c r="Z425" s="6">
        <v>2025</v>
      </c>
      <c r="AA425" s="6" t="s">
        <v>1316</v>
      </c>
      <c r="AB425" s="6" t="str">
        <f>VLOOKUP(S425,Mapping!A:C,3,FALSE)</f>
        <v>Primary</v>
      </c>
    </row>
    <row r="426" spans="1:28" x14ac:dyDescent="0.35">
      <c r="A426" s="6" t="s">
        <v>1302</v>
      </c>
      <c r="B426" s="6" t="s">
        <v>1303</v>
      </c>
      <c r="C426" s="6" t="s">
        <v>1304</v>
      </c>
      <c r="D426" s="6" t="s">
        <v>1305</v>
      </c>
      <c r="E426" s="6" t="s">
        <v>1306</v>
      </c>
      <c r="F426" s="6" t="s">
        <v>1307</v>
      </c>
      <c r="G426" s="6" t="s">
        <v>1308</v>
      </c>
      <c r="H426" s="6" t="s">
        <v>1632</v>
      </c>
      <c r="I426" s="6">
        <v>0</v>
      </c>
      <c r="J426" s="6">
        <v>499</v>
      </c>
      <c r="K426" s="6">
        <v>1</v>
      </c>
      <c r="L426" s="6" t="s">
        <v>2278</v>
      </c>
      <c r="M426" s="6" t="e">
        <f>VLOOKUP(L426,'Nov Inv Recon'!H:H,1,FALSE)</f>
        <v>#N/A</v>
      </c>
      <c r="N426" s="6" t="e">
        <f>VLOOKUP(L426,VictoryHeitrich!D:D,1,FALSE)</f>
        <v>#N/A</v>
      </c>
      <c r="O426" s="6" t="s">
        <v>505</v>
      </c>
      <c r="P426" s="6" t="s">
        <v>1311</v>
      </c>
      <c r="Q426" s="6" t="s">
        <v>2783</v>
      </c>
      <c r="R426" s="6" t="s">
        <v>2783</v>
      </c>
      <c r="S426" s="6" t="s">
        <v>74</v>
      </c>
      <c r="T426" s="6" t="s">
        <v>75</v>
      </c>
      <c r="U426" s="6" t="s">
        <v>1313</v>
      </c>
      <c r="V426" s="6" t="s">
        <v>1314</v>
      </c>
      <c r="W426" s="6">
        <v>2025</v>
      </c>
      <c r="X426" s="6">
        <v>11</v>
      </c>
      <c r="Y426" s="6" t="s">
        <v>1315</v>
      </c>
      <c r="Z426" s="6">
        <v>2025</v>
      </c>
      <c r="AA426" s="6" t="s">
        <v>1316</v>
      </c>
      <c r="AB426" s="6" t="str">
        <f>VLOOKUP(S426,Mapping!A:C,3,FALSE)</f>
        <v>Primary</v>
      </c>
    </row>
    <row r="427" spans="1:28" x14ac:dyDescent="0.35">
      <c r="A427" s="6" t="s">
        <v>1302</v>
      </c>
      <c r="B427" s="6" t="s">
        <v>1303</v>
      </c>
      <c r="C427" s="6" t="s">
        <v>1304</v>
      </c>
      <c r="D427" s="6" t="s">
        <v>1305</v>
      </c>
      <c r="E427" s="6" t="s">
        <v>1306</v>
      </c>
      <c r="F427" s="6" t="s">
        <v>1307</v>
      </c>
      <c r="G427" s="6" t="s">
        <v>1308</v>
      </c>
      <c r="H427" s="6" t="s">
        <v>1632</v>
      </c>
      <c r="I427" s="6">
        <v>0</v>
      </c>
      <c r="J427" s="6">
        <v>541.41999999999996</v>
      </c>
      <c r="K427" s="6">
        <v>1</v>
      </c>
      <c r="L427" s="6" t="s">
        <v>724</v>
      </c>
      <c r="M427" s="6" t="str">
        <f>VLOOKUP(L427,'Nov Inv Recon'!H:H,1,FALSE)</f>
        <v>01273001</v>
      </c>
      <c r="N427" s="6" t="e">
        <f>VLOOKUP(L427,VictoryHeitrich!D:D,1,FALSE)</f>
        <v>#N/A</v>
      </c>
      <c r="O427" s="6" t="s">
        <v>725</v>
      </c>
      <c r="P427" s="6" t="s">
        <v>1311</v>
      </c>
      <c r="Q427" s="6" t="s">
        <v>2784</v>
      </c>
      <c r="R427" s="6" t="s">
        <v>2784</v>
      </c>
      <c r="S427" s="6" t="s">
        <v>74</v>
      </c>
      <c r="T427" s="6" t="s">
        <v>75</v>
      </c>
      <c r="U427" s="6" t="s">
        <v>1313</v>
      </c>
      <c r="V427" s="6" t="s">
        <v>1314</v>
      </c>
      <c r="W427" s="6">
        <v>2025</v>
      </c>
      <c r="X427" s="6">
        <v>11</v>
      </c>
      <c r="Y427" s="6" t="s">
        <v>1315</v>
      </c>
      <c r="Z427" s="6">
        <v>2025</v>
      </c>
      <c r="AA427" s="6" t="s">
        <v>1316</v>
      </c>
      <c r="AB427" s="6" t="str">
        <f>VLOOKUP(S427,Mapping!A:C,3,FALSE)</f>
        <v>Primary</v>
      </c>
    </row>
    <row r="428" spans="1:28" x14ac:dyDescent="0.35">
      <c r="A428" s="6" t="s">
        <v>1302</v>
      </c>
      <c r="B428" s="6" t="s">
        <v>1303</v>
      </c>
      <c r="C428" s="6" t="s">
        <v>1304</v>
      </c>
      <c r="D428" s="6" t="s">
        <v>1305</v>
      </c>
      <c r="E428" s="6" t="s">
        <v>1306</v>
      </c>
      <c r="F428" s="6" t="s">
        <v>1307</v>
      </c>
      <c r="G428" s="6" t="s">
        <v>1308</v>
      </c>
      <c r="H428" s="6" t="s">
        <v>1742</v>
      </c>
      <c r="I428" s="6">
        <v>0</v>
      </c>
      <c r="J428" s="6">
        <v>499</v>
      </c>
      <c r="K428" s="6">
        <v>1</v>
      </c>
      <c r="L428" s="6" t="s">
        <v>1491</v>
      </c>
      <c r="M428" s="6" t="e">
        <f>VLOOKUP(L428,'Nov Inv Recon'!H:H,1,FALSE)</f>
        <v>#N/A</v>
      </c>
      <c r="N428" s="6" t="e">
        <f>VLOOKUP(L428,VictoryHeitrich!D:D,1,FALSE)</f>
        <v>#N/A</v>
      </c>
      <c r="O428" s="6" t="s">
        <v>1492</v>
      </c>
      <c r="P428" s="6" t="s">
        <v>1311</v>
      </c>
      <c r="Q428" s="6" t="s">
        <v>2785</v>
      </c>
      <c r="R428" s="6" t="s">
        <v>2785</v>
      </c>
      <c r="S428" s="6" t="s">
        <v>74</v>
      </c>
      <c r="T428" s="6" t="s">
        <v>75</v>
      </c>
      <c r="U428" s="6" t="s">
        <v>1313</v>
      </c>
      <c r="V428" s="6" t="s">
        <v>1314</v>
      </c>
      <c r="W428" s="6">
        <v>2025</v>
      </c>
      <c r="X428" s="6">
        <v>11</v>
      </c>
      <c r="Y428" s="6" t="s">
        <v>1315</v>
      </c>
      <c r="Z428" s="6">
        <v>2025</v>
      </c>
      <c r="AA428" s="6" t="s">
        <v>1316</v>
      </c>
      <c r="AB428" s="6" t="str">
        <f>VLOOKUP(S428,Mapping!A:C,3,FALSE)</f>
        <v>Primary</v>
      </c>
    </row>
    <row r="429" spans="1:28" x14ac:dyDescent="0.35">
      <c r="A429" s="6" t="s">
        <v>1302</v>
      </c>
      <c r="B429" s="6" t="s">
        <v>1303</v>
      </c>
      <c r="C429" s="6" t="s">
        <v>1304</v>
      </c>
      <c r="D429" s="6" t="s">
        <v>1305</v>
      </c>
      <c r="E429" s="6" t="s">
        <v>1306</v>
      </c>
      <c r="F429" s="6" t="s">
        <v>1307</v>
      </c>
      <c r="G429" s="6" t="s">
        <v>1308</v>
      </c>
      <c r="H429" s="6" t="s">
        <v>1632</v>
      </c>
      <c r="I429" s="6">
        <v>0</v>
      </c>
      <c r="J429" s="6">
        <v>499</v>
      </c>
      <c r="K429" s="6">
        <v>1</v>
      </c>
      <c r="L429" s="6" t="s">
        <v>2276</v>
      </c>
      <c r="M429" s="6" t="e">
        <f>VLOOKUP(L429,'Nov Inv Recon'!H:H,1,FALSE)</f>
        <v>#N/A</v>
      </c>
      <c r="N429" s="6" t="e">
        <f>VLOOKUP(L429,VictoryHeitrich!D:D,1,FALSE)</f>
        <v>#N/A</v>
      </c>
      <c r="O429" s="6" t="s">
        <v>515</v>
      </c>
      <c r="P429" s="6" t="s">
        <v>1311</v>
      </c>
      <c r="Q429" s="6" t="s">
        <v>2786</v>
      </c>
      <c r="R429" s="6" t="s">
        <v>2786</v>
      </c>
      <c r="S429" s="6" t="s">
        <v>74</v>
      </c>
      <c r="T429" s="6" t="s">
        <v>75</v>
      </c>
      <c r="U429" s="6" t="s">
        <v>1313</v>
      </c>
      <c r="V429" s="6" t="s">
        <v>1314</v>
      </c>
      <c r="W429" s="6">
        <v>2025</v>
      </c>
      <c r="X429" s="6">
        <v>11</v>
      </c>
      <c r="Y429" s="6" t="s">
        <v>1315</v>
      </c>
      <c r="Z429" s="6">
        <v>2025</v>
      </c>
      <c r="AA429" s="6" t="s">
        <v>1316</v>
      </c>
      <c r="AB429" s="6" t="str">
        <f>VLOOKUP(S429,Mapping!A:C,3,FALSE)</f>
        <v>Primary</v>
      </c>
    </row>
    <row r="430" spans="1:28" x14ac:dyDescent="0.35">
      <c r="A430" s="6" t="s">
        <v>1302</v>
      </c>
      <c r="B430" s="6" t="s">
        <v>1303</v>
      </c>
      <c r="C430" s="6" t="s">
        <v>1304</v>
      </c>
      <c r="D430" s="6" t="s">
        <v>1305</v>
      </c>
      <c r="E430" s="6" t="s">
        <v>1306</v>
      </c>
      <c r="F430" s="6" t="s">
        <v>1307</v>
      </c>
      <c r="G430" s="6" t="s">
        <v>1308</v>
      </c>
      <c r="H430" s="6" t="s">
        <v>1728</v>
      </c>
      <c r="I430" s="6">
        <v>0</v>
      </c>
      <c r="J430" s="6">
        <v>294.41000000000003</v>
      </c>
      <c r="K430" s="6">
        <v>1</v>
      </c>
      <c r="L430" s="6" t="s">
        <v>2250</v>
      </c>
      <c r="M430" s="6" t="e">
        <f>VLOOKUP(L430,'Nov Inv Recon'!H:H,1,FALSE)</f>
        <v>#N/A</v>
      </c>
      <c r="N430" s="6" t="e">
        <f>VLOOKUP(L430,VictoryHeitrich!D:D,1,FALSE)</f>
        <v>#N/A</v>
      </c>
      <c r="O430" s="6" t="s">
        <v>187</v>
      </c>
      <c r="P430" s="6" t="s">
        <v>1311</v>
      </c>
      <c r="Q430" s="6" t="s">
        <v>2787</v>
      </c>
      <c r="R430" s="6" t="s">
        <v>2787</v>
      </c>
      <c r="S430" s="6" t="s">
        <v>74</v>
      </c>
      <c r="T430" s="6" t="s">
        <v>75</v>
      </c>
      <c r="U430" s="6" t="s">
        <v>1313</v>
      </c>
      <c r="V430" s="6" t="s">
        <v>1314</v>
      </c>
      <c r="W430" s="6">
        <v>2025</v>
      </c>
      <c r="X430" s="6">
        <v>11</v>
      </c>
      <c r="Y430" s="6" t="s">
        <v>1315</v>
      </c>
      <c r="Z430" s="6">
        <v>2025</v>
      </c>
      <c r="AA430" s="6" t="s">
        <v>1316</v>
      </c>
      <c r="AB430" s="6" t="str">
        <f>VLOOKUP(S430,Mapping!A:C,3,FALSE)</f>
        <v>Primary</v>
      </c>
    </row>
    <row r="431" spans="1:28" x14ac:dyDescent="0.35">
      <c r="A431" s="6" t="s">
        <v>1302</v>
      </c>
      <c r="B431" s="6" t="s">
        <v>1303</v>
      </c>
      <c r="C431" s="6" t="s">
        <v>1304</v>
      </c>
      <c r="D431" s="6" t="s">
        <v>1305</v>
      </c>
      <c r="E431" s="6" t="s">
        <v>1306</v>
      </c>
      <c r="F431" s="6" t="s">
        <v>1307</v>
      </c>
      <c r="G431" s="6" t="s">
        <v>1308</v>
      </c>
      <c r="H431" s="6" t="s">
        <v>2526</v>
      </c>
      <c r="I431" s="6">
        <v>0</v>
      </c>
      <c r="J431" s="6">
        <v>499</v>
      </c>
      <c r="K431" s="6">
        <v>1</v>
      </c>
      <c r="L431" s="6" t="s">
        <v>2182</v>
      </c>
      <c r="M431" s="6" t="e">
        <f>VLOOKUP(L431,'Nov Inv Recon'!H:H,1,FALSE)</f>
        <v>#N/A</v>
      </c>
      <c r="N431" s="6" t="e">
        <f>VLOOKUP(L431,VictoryHeitrich!D:D,1,FALSE)</f>
        <v>#N/A</v>
      </c>
      <c r="O431" s="6" t="s">
        <v>543</v>
      </c>
      <c r="P431" s="6" t="s">
        <v>1311</v>
      </c>
      <c r="Q431" s="6" t="s">
        <v>2788</v>
      </c>
      <c r="R431" s="6" t="s">
        <v>2788</v>
      </c>
      <c r="S431" s="6" t="s">
        <v>74</v>
      </c>
      <c r="T431" s="6" t="s">
        <v>75</v>
      </c>
      <c r="U431" s="6" t="s">
        <v>1313</v>
      </c>
      <c r="V431" s="6" t="s">
        <v>1314</v>
      </c>
      <c r="W431" s="6">
        <v>2025</v>
      </c>
      <c r="X431" s="6">
        <v>11</v>
      </c>
      <c r="Y431" s="6" t="s">
        <v>1315</v>
      </c>
      <c r="Z431" s="6">
        <v>2025</v>
      </c>
      <c r="AA431" s="6" t="s">
        <v>1316</v>
      </c>
      <c r="AB431" s="6" t="str">
        <f>VLOOKUP(S431,Mapping!A:C,3,FALSE)</f>
        <v>Primary</v>
      </c>
    </row>
    <row r="432" spans="1:28" x14ac:dyDescent="0.35">
      <c r="A432" s="6" t="s">
        <v>1302</v>
      </c>
      <c r="B432" s="6" t="s">
        <v>1303</v>
      </c>
      <c r="C432" s="6" t="s">
        <v>1304</v>
      </c>
      <c r="D432" s="6" t="s">
        <v>1305</v>
      </c>
      <c r="E432" s="6" t="s">
        <v>1306</v>
      </c>
      <c r="F432" s="6" t="s">
        <v>1307</v>
      </c>
      <c r="G432" s="6" t="s">
        <v>1308</v>
      </c>
      <c r="H432" s="6" t="s">
        <v>1632</v>
      </c>
      <c r="I432" s="6">
        <v>0</v>
      </c>
      <c r="J432" s="6">
        <v>584.73</v>
      </c>
      <c r="K432" s="6">
        <v>1</v>
      </c>
      <c r="L432" s="6" t="s">
        <v>2087</v>
      </c>
      <c r="M432" s="6" t="e">
        <f>VLOOKUP(L432,'Nov Inv Recon'!H:H,1,FALSE)</f>
        <v>#N/A</v>
      </c>
      <c r="N432" s="6" t="e">
        <f>VLOOKUP(L432,VictoryHeitrich!D:D,1,FALSE)</f>
        <v>#N/A</v>
      </c>
      <c r="O432" s="6" t="s">
        <v>776</v>
      </c>
      <c r="P432" s="6" t="s">
        <v>1311</v>
      </c>
      <c r="Q432" s="6" t="s">
        <v>2789</v>
      </c>
      <c r="R432" s="6" t="s">
        <v>2789</v>
      </c>
      <c r="S432" s="6" t="s">
        <v>74</v>
      </c>
      <c r="T432" s="6" t="s">
        <v>75</v>
      </c>
      <c r="U432" s="6" t="s">
        <v>1313</v>
      </c>
      <c r="V432" s="6" t="s">
        <v>1314</v>
      </c>
      <c r="W432" s="6">
        <v>2025</v>
      </c>
      <c r="X432" s="6">
        <v>11</v>
      </c>
      <c r="Y432" s="6" t="s">
        <v>1315</v>
      </c>
      <c r="Z432" s="6">
        <v>2025</v>
      </c>
      <c r="AA432" s="6" t="s">
        <v>1316</v>
      </c>
      <c r="AB432" s="6" t="str">
        <f>VLOOKUP(S432,Mapping!A:C,3,FALSE)</f>
        <v>Primary</v>
      </c>
    </row>
    <row r="433" spans="1:28" x14ac:dyDescent="0.35">
      <c r="A433" s="6" t="s">
        <v>1302</v>
      </c>
      <c r="B433" s="6" t="s">
        <v>1303</v>
      </c>
      <c r="C433" s="6" t="s">
        <v>1304</v>
      </c>
      <c r="D433" s="6" t="s">
        <v>1305</v>
      </c>
      <c r="E433" s="6" t="s">
        <v>1306</v>
      </c>
      <c r="F433" s="6" t="s">
        <v>1307</v>
      </c>
      <c r="G433" s="6" t="s">
        <v>1308</v>
      </c>
      <c r="H433" s="6" t="s">
        <v>1657</v>
      </c>
      <c r="I433" s="6">
        <v>0</v>
      </c>
      <c r="J433" s="6">
        <v>499</v>
      </c>
      <c r="K433" s="6">
        <v>1</v>
      </c>
      <c r="L433" s="6" t="s">
        <v>2166</v>
      </c>
      <c r="M433" s="6" t="e">
        <f>VLOOKUP(L433,'Nov Inv Recon'!H:H,1,FALSE)</f>
        <v>#N/A</v>
      </c>
      <c r="N433" s="6" t="e">
        <f>VLOOKUP(L433,VictoryHeitrich!D:D,1,FALSE)</f>
        <v>#N/A</v>
      </c>
      <c r="O433" s="6" t="s">
        <v>923</v>
      </c>
      <c r="P433" s="6" t="s">
        <v>1311</v>
      </c>
      <c r="Q433" s="6" t="s">
        <v>2790</v>
      </c>
      <c r="R433" s="6" t="s">
        <v>2790</v>
      </c>
      <c r="S433" s="6" t="s">
        <v>74</v>
      </c>
      <c r="T433" s="6" t="s">
        <v>75</v>
      </c>
      <c r="U433" s="6" t="s">
        <v>1313</v>
      </c>
      <c r="V433" s="6" t="s">
        <v>1314</v>
      </c>
      <c r="W433" s="6">
        <v>2025</v>
      </c>
      <c r="X433" s="6">
        <v>11</v>
      </c>
      <c r="Y433" s="6" t="s">
        <v>1315</v>
      </c>
      <c r="Z433" s="6">
        <v>2025</v>
      </c>
      <c r="AA433" s="6" t="s">
        <v>1316</v>
      </c>
      <c r="AB433" s="6" t="str">
        <f>VLOOKUP(S433,Mapping!A:C,3,FALSE)</f>
        <v>Primary</v>
      </c>
    </row>
    <row r="434" spans="1:28" x14ac:dyDescent="0.35">
      <c r="A434" s="6" t="s">
        <v>1302</v>
      </c>
      <c r="B434" s="6" t="s">
        <v>1303</v>
      </c>
      <c r="C434" s="6" t="s">
        <v>1304</v>
      </c>
      <c r="D434" s="6" t="s">
        <v>1305</v>
      </c>
      <c r="E434" s="6" t="s">
        <v>1306</v>
      </c>
      <c r="F434" s="6" t="s">
        <v>1307</v>
      </c>
      <c r="G434" s="6" t="s">
        <v>1308</v>
      </c>
      <c r="H434" s="6" t="s">
        <v>1657</v>
      </c>
      <c r="I434" s="6">
        <v>0</v>
      </c>
      <c r="J434" s="6">
        <v>499</v>
      </c>
      <c r="K434" s="6">
        <v>1</v>
      </c>
      <c r="L434" s="6" t="s">
        <v>2166</v>
      </c>
      <c r="M434" s="6" t="e">
        <f>VLOOKUP(L434,'Nov Inv Recon'!H:H,1,FALSE)</f>
        <v>#N/A</v>
      </c>
      <c r="N434" s="6" t="e">
        <f>VLOOKUP(L434,VictoryHeitrich!D:D,1,FALSE)</f>
        <v>#N/A</v>
      </c>
      <c r="O434" s="6" t="s">
        <v>923</v>
      </c>
      <c r="P434" s="6" t="s">
        <v>1311</v>
      </c>
      <c r="Q434" s="6" t="s">
        <v>2791</v>
      </c>
      <c r="R434" s="6" t="s">
        <v>2791</v>
      </c>
      <c r="S434" s="6" t="s">
        <v>74</v>
      </c>
      <c r="T434" s="6" t="s">
        <v>75</v>
      </c>
      <c r="U434" s="6" t="s">
        <v>1313</v>
      </c>
      <c r="V434" s="6" t="s">
        <v>1314</v>
      </c>
      <c r="W434" s="6">
        <v>2025</v>
      </c>
      <c r="X434" s="6">
        <v>11</v>
      </c>
      <c r="Y434" s="6" t="s">
        <v>1315</v>
      </c>
      <c r="Z434" s="6">
        <v>2025</v>
      </c>
      <c r="AA434" s="6" t="s">
        <v>1316</v>
      </c>
      <c r="AB434" s="6" t="str">
        <f>VLOOKUP(S434,Mapping!A:C,3,FALSE)</f>
        <v>Primary</v>
      </c>
    </row>
    <row r="435" spans="1:28" x14ac:dyDescent="0.35">
      <c r="A435" s="6" t="s">
        <v>1302</v>
      </c>
      <c r="B435" s="6" t="s">
        <v>1303</v>
      </c>
      <c r="C435" s="6" t="s">
        <v>1304</v>
      </c>
      <c r="D435" s="6" t="s">
        <v>1305</v>
      </c>
      <c r="E435" s="6" t="s">
        <v>1306</v>
      </c>
      <c r="F435" s="6" t="s">
        <v>1307</v>
      </c>
      <c r="G435" s="6" t="s">
        <v>1308</v>
      </c>
      <c r="H435" s="6" t="s">
        <v>1632</v>
      </c>
      <c r="I435" s="6">
        <v>0</v>
      </c>
      <c r="J435" s="6">
        <v>499</v>
      </c>
      <c r="K435" s="6">
        <v>1</v>
      </c>
      <c r="L435" s="6" t="s">
        <v>2274</v>
      </c>
      <c r="M435" s="6" t="e">
        <f>VLOOKUP(L435,'Nov Inv Recon'!H:H,1,FALSE)</f>
        <v>#N/A</v>
      </c>
      <c r="N435" s="6" t="e">
        <f>VLOOKUP(L435,VictoryHeitrich!D:D,1,FALSE)</f>
        <v>#N/A</v>
      </c>
      <c r="O435" s="6" t="s">
        <v>509</v>
      </c>
      <c r="P435" s="6" t="s">
        <v>1311</v>
      </c>
      <c r="Q435" s="6" t="s">
        <v>2792</v>
      </c>
      <c r="R435" s="6" t="s">
        <v>2792</v>
      </c>
      <c r="S435" s="6" t="s">
        <v>74</v>
      </c>
      <c r="T435" s="6" t="s">
        <v>75</v>
      </c>
      <c r="U435" s="6" t="s">
        <v>1313</v>
      </c>
      <c r="V435" s="6" t="s">
        <v>1314</v>
      </c>
      <c r="W435" s="6">
        <v>2025</v>
      </c>
      <c r="X435" s="6">
        <v>11</v>
      </c>
      <c r="Y435" s="6" t="s">
        <v>1315</v>
      </c>
      <c r="Z435" s="6">
        <v>2025</v>
      </c>
      <c r="AA435" s="6" t="s">
        <v>1316</v>
      </c>
      <c r="AB435" s="6" t="str">
        <f>VLOOKUP(S435,Mapping!A:C,3,FALSE)</f>
        <v>Primary</v>
      </c>
    </row>
    <row r="436" spans="1:28" x14ac:dyDescent="0.35">
      <c r="A436" s="6" t="s">
        <v>1302</v>
      </c>
      <c r="B436" s="6" t="s">
        <v>1303</v>
      </c>
      <c r="C436" s="6" t="s">
        <v>1304</v>
      </c>
      <c r="D436" s="6" t="s">
        <v>1305</v>
      </c>
      <c r="E436" s="6" t="s">
        <v>1306</v>
      </c>
      <c r="F436" s="6" t="s">
        <v>1307</v>
      </c>
      <c r="G436" s="6" t="s">
        <v>1308</v>
      </c>
      <c r="H436" s="6" t="s">
        <v>1719</v>
      </c>
      <c r="I436" s="6">
        <v>0</v>
      </c>
      <c r="J436" s="6">
        <v>499</v>
      </c>
      <c r="K436" s="6">
        <v>1</v>
      </c>
      <c r="L436" s="6" t="s">
        <v>2057</v>
      </c>
      <c r="M436" s="6" t="e">
        <f>VLOOKUP(L436,'Nov Inv Recon'!H:H,1,FALSE)</f>
        <v>#N/A</v>
      </c>
      <c r="N436" s="6" t="e">
        <f>VLOOKUP(L436,VictoryHeitrich!D:D,1,FALSE)</f>
        <v>#N/A</v>
      </c>
      <c r="O436" s="6" t="s">
        <v>644</v>
      </c>
      <c r="P436" s="6" t="s">
        <v>1311</v>
      </c>
      <c r="Q436" s="6" t="s">
        <v>2793</v>
      </c>
      <c r="R436" s="6" t="s">
        <v>2793</v>
      </c>
      <c r="S436" s="6" t="s">
        <v>74</v>
      </c>
      <c r="T436" s="6" t="s">
        <v>75</v>
      </c>
      <c r="U436" s="6" t="s">
        <v>1313</v>
      </c>
      <c r="V436" s="6" t="s">
        <v>1314</v>
      </c>
      <c r="W436" s="6">
        <v>2025</v>
      </c>
      <c r="X436" s="6">
        <v>11</v>
      </c>
      <c r="Y436" s="6" t="s">
        <v>1315</v>
      </c>
      <c r="Z436" s="6">
        <v>2025</v>
      </c>
      <c r="AA436" s="6" t="s">
        <v>1316</v>
      </c>
      <c r="AB436" s="6" t="str">
        <f>VLOOKUP(S436,Mapping!A:C,3,FALSE)</f>
        <v>Primary</v>
      </c>
    </row>
    <row r="437" spans="1:28" x14ac:dyDescent="0.35">
      <c r="A437" s="6" t="s">
        <v>1302</v>
      </c>
      <c r="B437" s="6" t="s">
        <v>1303</v>
      </c>
      <c r="C437" s="6" t="s">
        <v>1304</v>
      </c>
      <c r="D437" s="6" t="s">
        <v>1305</v>
      </c>
      <c r="E437" s="6" t="s">
        <v>1306</v>
      </c>
      <c r="F437" s="6" t="s">
        <v>1307</v>
      </c>
      <c r="G437" s="6" t="s">
        <v>1308</v>
      </c>
      <c r="H437" s="6" t="s">
        <v>1657</v>
      </c>
      <c r="I437" s="6">
        <v>0</v>
      </c>
      <c r="J437" s="6">
        <v>499</v>
      </c>
      <c r="K437" s="6">
        <v>1</v>
      </c>
      <c r="L437" s="6" t="s">
        <v>2100</v>
      </c>
      <c r="M437" s="6" t="e">
        <f>VLOOKUP(L437,'Nov Inv Recon'!H:H,1,FALSE)</f>
        <v>#N/A</v>
      </c>
      <c r="N437" s="6" t="e">
        <f>VLOOKUP(L437,VictoryHeitrich!D:D,1,FALSE)</f>
        <v>#N/A</v>
      </c>
      <c r="O437" s="6" t="s">
        <v>539</v>
      </c>
      <c r="P437" s="6" t="s">
        <v>1311</v>
      </c>
      <c r="Q437" s="6" t="s">
        <v>2794</v>
      </c>
      <c r="R437" s="6" t="s">
        <v>2794</v>
      </c>
      <c r="S437" s="6" t="s">
        <v>74</v>
      </c>
      <c r="T437" s="6" t="s">
        <v>75</v>
      </c>
      <c r="U437" s="6" t="s">
        <v>1313</v>
      </c>
      <c r="V437" s="6" t="s">
        <v>1314</v>
      </c>
      <c r="W437" s="6">
        <v>2025</v>
      </c>
      <c r="X437" s="6">
        <v>11</v>
      </c>
      <c r="Y437" s="6" t="s">
        <v>1315</v>
      </c>
      <c r="Z437" s="6">
        <v>2025</v>
      </c>
      <c r="AA437" s="6" t="s">
        <v>1316</v>
      </c>
      <c r="AB437" s="6" t="str">
        <f>VLOOKUP(S437,Mapping!A:C,3,FALSE)</f>
        <v>Primary</v>
      </c>
    </row>
    <row r="438" spans="1:28" x14ac:dyDescent="0.35">
      <c r="A438" s="6" t="s">
        <v>1302</v>
      </c>
      <c r="B438" s="6" t="s">
        <v>1303</v>
      </c>
      <c r="C438" s="6" t="s">
        <v>1304</v>
      </c>
      <c r="D438" s="6" t="s">
        <v>1305</v>
      </c>
      <c r="E438" s="6" t="s">
        <v>1306</v>
      </c>
      <c r="F438" s="6" t="s">
        <v>1307</v>
      </c>
      <c r="G438" s="6" t="s">
        <v>1308</v>
      </c>
      <c r="H438" s="6" t="s">
        <v>1657</v>
      </c>
      <c r="I438" s="6">
        <v>0</v>
      </c>
      <c r="J438" s="6">
        <v>499</v>
      </c>
      <c r="K438" s="6">
        <v>1</v>
      </c>
      <c r="L438" s="6" t="s">
        <v>2176</v>
      </c>
      <c r="M438" s="6" t="e">
        <f>VLOOKUP(L438,'Nov Inv Recon'!H:H,1,FALSE)</f>
        <v>#N/A</v>
      </c>
      <c r="N438" s="6" t="e">
        <f>VLOOKUP(L438,VictoryHeitrich!D:D,1,FALSE)</f>
        <v>#N/A</v>
      </c>
      <c r="O438" s="6" t="s">
        <v>541</v>
      </c>
      <c r="P438" s="6" t="s">
        <v>1311</v>
      </c>
      <c r="Q438" s="6" t="s">
        <v>2795</v>
      </c>
      <c r="R438" s="6" t="s">
        <v>2795</v>
      </c>
      <c r="S438" s="6" t="s">
        <v>74</v>
      </c>
      <c r="T438" s="6" t="s">
        <v>75</v>
      </c>
      <c r="U438" s="6" t="s">
        <v>1313</v>
      </c>
      <c r="V438" s="6" t="s">
        <v>1314</v>
      </c>
      <c r="W438" s="6">
        <v>2025</v>
      </c>
      <c r="X438" s="6">
        <v>11</v>
      </c>
      <c r="Y438" s="6" t="s">
        <v>1315</v>
      </c>
      <c r="Z438" s="6">
        <v>2025</v>
      </c>
      <c r="AA438" s="6" t="s">
        <v>1316</v>
      </c>
      <c r="AB438" s="6" t="str">
        <f>VLOOKUP(S438,Mapping!A:C,3,FALSE)</f>
        <v>Primary</v>
      </c>
    </row>
    <row r="439" spans="1:28" x14ac:dyDescent="0.35">
      <c r="A439" s="6" t="s">
        <v>1302</v>
      </c>
      <c r="B439" s="6" t="s">
        <v>1303</v>
      </c>
      <c r="C439" s="6" t="s">
        <v>1304</v>
      </c>
      <c r="D439" s="6" t="s">
        <v>1305</v>
      </c>
      <c r="E439" s="6" t="s">
        <v>1306</v>
      </c>
      <c r="F439" s="6" t="s">
        <v>1307</v>
      </c>
      <c r="G439" s="6" t="s">
        <v>1308</v>
      </c>
      <c r="H439" s="6" t="s">
        <v>1765</v>
      </c>
      <c r="I439" s="6">
        <v>0</v>
      </c>
      <c r="J439" s="6">
        <v>526.45000000000005</v>
      </c>
      <c r="K439" s="6">
        <v>1</v>
      </c>
      <c r="L439" s="6" t="s">
        <v>1503</v>
      </c>
      <c r="M439" s="6" t="e">
        <f>VLOOKUP(L439,'Nov Inv Recon'!H:H,1,FALSE)</f>
        <v>#N/A</v>
      </c>
      <c r="N439" s="6" t="e">
        <f>VLOOKUP(L439,VictoryHeitrich!D:D,1,FALSE)</f>
        <v>#N/A</v>
      </c>
      <c r="O439" s="6" t="s">
        <v>1504</v>
      </c>
      <c r="P439" s="6" t="s">
        <v>1311</v>
      </c>
      <c r="Q439" s="6" t="s">
        <v>2796</v>
      </c>
      <c r="R439" s="6" t="s">
        <v>2796</v>
      </c>
      <c r="S439" s="6" t="s">
        <v>74</v>
      </c>
      <c r="T439" s="6" t="s">
        <v>75</v>
      </c>
      <c r="U439" s="6" t="s">
        <v>1313</v>
      </c>
      <c r="V439" s="6" t="s">
        <v>1314</v>
      </c>
      <c r="W439" s="6">
        <v>2025</v>
      </c>
      <c r="X439" s="6">
        <v>11</v>
      </c>
      <c r="Y439" s="6" t="s">
        <v>1315</v>
      </c>
      <c r="Z439" s="6">
        <v>2025</v>
      </c>
      <c r="AA439" s="6" t="s">
        <v>1316</v>
      </c>
      <c r="AB439" s="6" t="str">
        <f>VLOOKUP(S439,Mapping!A:C,3,FALSE)</f>
        <v>Primary</v>
      </c>
    </row>
    <row r="440" spans="1:28" x14ac:dyDescent="0.35">
      <c r="A440" s="6" t="s">
        <v>1302</v>
      </c>
      <c r="B440" s="6" t="s">
        <v>1303</v>
      </c>
      <c r="C440" s="6" t="s">
        <v>1304</v>
      </c>
      <c r="D440" s="6" t="s">
        <v>1305</v>
      </c>
      <c r="E440" s="6" t="s">
        <v>1306</v>
      </c>
      <c r="F440" s="6" t="s">
        <v>1307</v>
      </c>
      <c r="G440" s="6" t="s">
        <v>1308</v>
      </c>
      <c r="H440" s="6" t="s">
        <v>2528</v>
      </c>
      <c r="I440" s="6">
        <v>0</v>
      </c>
      <c r="J440" s="6">
        <v>350.3</v>
      </c>
      <c r="K440" s="6">
        <v>1</v>
      </c>
      <c r="L440" s="6" t="s">
        <v>2126</v>
      </c>
      <c r="M440" s="6" t="e">
        <f>VLOOKUP(L440,'Nov Inv Recon'!H:H,1,FALSE)</f>
        <v>#N/A</v>
      </c>
      <c r="N440" s="6" t="e">
        <f>VLOOKUP(L440,VictoryHeitrich!D:D,1,FALSE)</f>
        <v>#N/A</v>
      </c>
      <c r="O440" s="6" t="s">
        <v>230</v>
      </c>
      <c r="P440" s="6" t="s">
        <v>1311</v>
      </c>
      <c r="Q440" s="6" t="s">
        <v>2797</v>
      </c>
      <c r="R440" s="6" t="s">
        <v>2797</v>
      </c>
      <c r="S440" s="6" t="s">
        <v>74</v>
      </c>
      <c r="T440" s="6" t="s">
        <v>75</v>
      </c>
      <c r="U440" s="6" t="s">
        <v>1313</v>
      </c>
      <c r="V440" s="6" t="s">
        <v>1314</v>
      </c>
      <c r="W440" s="6">
        <v>2025</v>
      </c>
      <c r="X440" s="6">
        <v>11</v>
      </c>
      <c r="Y440" s="6" t="s">
        <v>1315</v>
      </c>
      <c r="Z440" s="6">
        <v>2025</v>
      </c>
      <c r="AA440" s="6" t="s">
        <v>1316</v>
      </c>
      <c r="AB440" s="6" t="str">
        <f>VLOOKUP(S440,Mapping!A:C,3,FALSE)</f>
        <v>Primary</v>
      </c>
    </row>
    <row r="441" spans="1:28" x14ac:dyDescent="0.35">
      <c r="A441" s="6" t="s">
        <v>1302</v>
      </c>
      <c r="B441" s="6" t="s">
        <v>1303</v>
      </c>
      <c r="C441" s="6" t="s">
        <v>1304</v>
      </c>
      <c r="D441" s="6" t="s">
        <v>1305</v>
      </c>
      <c r="E441" s="6" t="s">
        <v>1306</v>
      </c>
      <c r="F441" s="6" t="s">
        <v>1307</v>
      </c>
      <c r="G441" s="6" t="s">
        <v>1308</v>
      </c>
      <c r="H441" s="6" t="s">
        <v>1632</v>
      </c>
      <c r="I441" s="6">
        <v>0</v>
      </c>
      <c r="J441" s="6">
        <v>528.64</v>
      </c>
      <c r="K441" s="6">
        <v>1</v>
      </c>
      <c r="L441" s="6" t="s">
        <v>2265</v>
      </c>
      <c r="M441" s="6" t="e">
        <f>VLOOKUP(L441,'Nov Inv Recon'!H:H,1,FALSE)</f>
        <v>#N/A</v>
      </c>
      <c r="N441" s="6" t="e">
        <f>VLOOKUP(L441,VictoryHeitrich!D:D,1,FALSE)</f>
        <v>#N/A</v>
      </c>
      <c r="O441" s="6" t="s">
        <v>932</v>
      </c>
      <c r="P441" s="6" t="s">
        <v>1311</v>
      </c>
      <c r="Q441" s="6" t="s">
        <v>2798</v>
      </c>
      <c r="R441" s="6" t="s">
        <v>2798</v>
      </c>
      <c r="S441" s="6" t="s">
        <v>74</v>
      </c>
      <c r="T441" s="6" t="s">
        <v>75</v>
      </c>
      <c r="U441" s="6" t="s">
        <v>1313</v>
      </c>
      <c r="V441" s="6" t="s">
        <v>1314</v>
      </c>
      <c r="W441" s="6">
        <v>2025</v>
      </c>
      <c r="X441" s="6">
        <v>11</v>
      </c>
      <c r="Y441" s="6" t="s">
        <v>1315</v>
      </c>
      <c r="Z441" s="6">
        <v>2025</v>
      </c>
      <c r="AA441" s="6" t="s">
        <v>1316</v>
      </c>
      <c r="AB441" s="6" t="str">
        <f>VLOOKUP(S441,Mapping!A:C,3,FALSE)</f>
        <v>Primary</v>
      </c>
    </row>
    <row r="442" spans="1:28" x14ac:dyDescent="0.35">
      <c r="A442" s="6" t="s">
        <v>1302</v>
      </c>
      <c r="B442" s="6" t="s">
        <v>1303</v>
      </c>
      <c r="C442" s="6" t="s">
        <v>1304</v>
      </c>
      <c r="D442" s="6" t="s">
        <v>1305</v>
      </c>
      <c r="E442" s="6" t="s">
        <v>1306</v>
      </c>
      <c r="F442" s="6" t="s">
        <v>1307</v>
      </c>
      <c r="G442" s="6" t="s">
        <v>1308</v>
      </c>
      <c r="H442" s="6" t="s">
        <v>1632</v>
      </c>
      <c r="I442" s="6">
        <v>0</v>
      </c>
      <c r="J442" s="6">
        <v>335.33</v>
      </c>
      <c r="K442" s="6">
        <v>1</v>
      </c>
      <c r="L442" s="6" t="s">
        <v>2051</v>
      </c>
      <c r="M442" s="6" t="e">
        <f>VLOOKUP(L442,'Nov Inv Recon'!H:H,1,FALSE)</f>
        <v>#N/A</v>
      </c>
      <c r="N442" s="6" t="e">
        <f>VLOOKUP(L442,VictoryHeitrich!D:D,1,FALSE)</f>
        <v>#N/A</v>
      </c>
      <c r="O442" s="6" t="s">
        <v>219</v>
      </c>
      <c r="P442" s="6" t="s">
        <v>1311</v>
      </c>
      <c r="Q442" s="6" t="s">
        <v>2799</v>
      </c>
      <c r="R442" s="6" t="s">
        <v>2799</v>
      </c>
      <c r="S442" s="6" t="s">
        <v>74</v>
      </c>
      <c r="T442" s="6" t="s">
        <v>75</v>
      </c>
      <c r="U442" s="6" t="s">
        <v>1313</v>
      </c>
      <c r="V442" s="6" t="s">
        <v>1314</v>
      </c>
      <c r="W442" s="6">
        <v>2025</v>
      </c>
      <c r="X442" s="6">
        <v>11</v>
      </c>
      <c r="Y442" s="6" t="s">
        <v>1315</v>
      </c>
      <c r="Z442" s="6">
        <v>2025</v>
      </c>
      <c r="AA442" s="6" t="s">
        <v>1316</v>
      </c>
      <c r="AB442" s="6" t="str">
        <f>VLOOKUP(S442,Mapping!A:C,3,FALSE)</f>
        <v>Primary</v>
      </c>
    </row>
    <row r="443" spans="1:28" x14ac:dyDescent="0.35">
      <c r="A443" s="6" t="s">
        <v>1302</v>
      </c>
      <c r="B443" s="6" t="s">
        <v>1303</v>
      </c>
      <c r="C443" s="6" t="s">
        <v>1304</v>
      </c>
      <c r="D443" s="6" t="s">
        <v>1305</v>
      </c>
      <c r="E443" s="6" t="s">
        <v>1306</v>
      </c>
      <c r="F443" s="6" t="s">
        <v>1307</v>
      </c>
      <c r="G443" s="6" t="s">
        <v>1308</v>
      </c>
      <c r="H443" s="6" t="s">
        <v>1842</v>
      </c>
      <c r="I443" s="6">
        <v>0</v>
      </c>
      <c r="J443" s="6">
        <v>499</v>
      </c>
      <c r="K443" s="6">
        <v>1</v>
      </c>
      <c r="L443" s="6" t="s">
        <v>2220</v>
      </c>
      <c r="M443" s="6" t="e">
        <f>VLOOKUP(L443,'Nov Inv Recon'!H:H,1,FALSE)</f>
        <v>#N/A</v>
      </c>
      <c r="N443" s="6" t="e">
        <f>VLOOKUP(L443,VictoryHeitrich!D:D,1,FALSE)</f>
        <v>#N/A</v>
      </c>
      <c r="O443" s="6" t="s">
        <v>569</v>
      </c>
      <c r="P443" s="6" t="s">
        <v>1311</v>
      </c>
      <c r="Q443" s="6" t="s">
        <v>2800</v>
      </c>
      <c r="R443" s="6" t="s">
        <v>2800</v>
      </c>
      <c r="S443" s="6" t="s">
        <v>74</v>
      </c>
      <c r="T443" s="6" t="s">
        <v>75</v>
      </c>
      <c r="U443" s="6" t="s">
        <v>1313</v>
      </c>
      <c r="V443" s="6" t="s">
        <v>1314</v>
      </c>
      <c r="W443" s="6">
        <v>2025</v>
      </c>
      <c r="X443" s="6">
        <v>11</v>
      </c>
      <c r="Y443" s="6" t="s">
        <v>1315</v>
      </c>
      <c r="Z443" s="6">
        <v>2025</v>
      </c>
      <c r="AA443" s="6" t="s">
        <v>1316</v>
      </c>
      <c r="AB443" s="6" t="str">
        <f>VLOOKUP(S443,Mapping!A:C,3,FALSE)</f>
        <v>Primary</v>
      </c>
    </row>
    <row r="444" spans="1:28" x14ac:dyDescent="0.35">
      <c r="A444" s="6" t="s">
        <v>1302</v>
      </c>
      <c r="B444" s="6" t="s">
        <v>1303</v>
      </c>
      <c r="C444" s="6" t="s">
        <v>1304</v>
      </c>
      <c r="D444" s="6" t="s">
        <v>1305</v>
      </c>
      <c r="E444" s="6" t="s">
        <v>1306</v>
      </c>
      <c r="F444" s="6" t="s">
        <v>1307</v>
      </c>
      <c r="G444" s="6" t="s">
        <v>1308</v>
      </c>
      <c r="H444" s="6" t="s">
        <v>2528</v>
      </c>
      <c r="I444" s="6">
        <v>0</v>
      </c>
      <c r="J444" s="6">
        <v>350.3</v>
      </c>
      <c r="K444" s="6">
        <v>1</v>
      </c>
      <c r="L444" s="6" t="s">
        <v>2086</v>
      </c>
      <c r="M444" s="6" t="e">
        <f>VLOOKUP(L444,'Nov Inv Recon'!H:H,1,FALSE)</f>
        <v>#N/A</v>
      </c>
      <c r="N444" s="6" t="e">
        <f>VLOOKUP(L444,VictoryHeitrich!D:D,1,FALSE)</f>
        <v>#N/A</v>
      </c>
      <c r="O444" s="6" t="s">
        <v>319</v>
      </c>
      <c r="P444" s="6" t="s">
        <v>1311</v>
      </c>
      <c r="Q444" s="6" t="s">
        <v>2801</v>
      </c>
      <c r="R444" s="6" t="s">
        <v>2801</v>
      </c>
      <c r="S444" s="6" t="s">
        <v>74</v>
      </c>
      <c r="T444" s="6" t="s">
        <v>75</v>
      </c>
      <c r="U444" s="6" t="s">
        <v>1313</v>
      </c>
      <c r="V444" s="6" t="s">
        <v>1314</v>
      </c>
      <c r="W444" s="6">
        <v>2025</v>
      </c>
      <c r="X444" s="6">
        <v>11</v>
      </c>
      <c r="Y444" s="6" t="s">
        <v>1315</v>
      </c>
      <c r="Z444" s="6">
        <v>2025</v>
      </c>
      <c r="AA444" s="6" t="s">
        <v>1316</v>
      </c>
      <c r="AB444" s="6" t="str">
        <f>VLOOKUP(S444,Mapping!A:C,3,FALSE)</f>
        <v>Primary</v>
      </c>
    </row>
    <row r="445" spans="1:28" x14ac:dyDescent="0.35">
      <c r="A445" s="6" t="s">
        <v>1302</v>
      </c>
      <c r="B445" s="6" t="s">
        <v>1303</v>
      </c>
      <c r="C445" s="6" t="s">
        <v>1304</v>
      </c>
      <c r="D445" s="6" t="s">
        <v>1305</v>
      </c>
      <c r="E445" s="6" t="s">
        <v>1306</v>
      </c>
      <c r="F445" s="6" t="s">
        <v>1307</v>
      </c>
      <c r="G445" s="6" t="s">
        <v>1308</v>
      </c>
      <c r="H445" s="6" t="s">
        <v>1682</v>
      </c>
      <c r="I445" s="6">
        <v>0</v>
      </c>
      <c r="J445" s="6">
        <v>528.64</v>
      </c>
      <c r="K445" s="6">
        <v>1</v>
      </c>
      <c r="L445" s="6" t="s">
        <v>2230</v>
      </c>
      <c r="M445" s="6" t="e">
        <f>VLOOKUP(L445,'Nov Inv Recon'!H:H,1,FALSE)</f>
        <v>#N/A</v>
      </c>
      <c r="N445" s="6" t="e">
        <f>VLOOKUP(L445,VictoryHeitrich!D:D,1,FALSE)</f>
        <v>#N/A</v>
      </c>
      <c r="O445" s="6" t="s">
        <v>693</v>
      </c>
      <c r="P445" s="6" t="s">
        <v>1311</v>
      </c>
      <c r="Q445" s="6" t="s">
        <v>2802</v>
      </c>
      <c r="R445" s="6" t="s">
        <v>2802</v>
      </c>
      <c r="S445" s="6" t="s">
        <v>74</v>
      </c>
      <c r="T445" s="6" t="s">
        <v>75</v>
      </c>
      <c r="U445" s="6" t="s">
        <v>1313</v>
      </c>
      <c r="V445" s="6" t="s">
        <v>1314</v>
      </c>
      <c r="W445" s="6">
        <v>2025</v>
      </c>
      <c r="X445" s="6">
        <v>11</v>
      </c>
      <c r="Y445" s="6" t="s">
        <v>1315</v>
      </c>
      <c r="Z445" s="6">
        <v>2025</v>
      </c>
      <c r="AA445" s="6" t="s">
        <v>1316</v>
      </c>
      <c r="AB445" s="6" t="str">
        <f>VLOOKUP(S445,Mapping!A:C,3,FALSE)</f>
        <v>Primary</v>
      </c>
    </row>
    <row r="446" spans="1:28" x14ac:dyDescent="0.35">
      <c r="A446" s="6" t="s">
        <v>1302</v>
      </c>
      <c r="B446" s="6" t="s">
        <v>1303</v>
      </c>
      <c r="C446" s="6" t="s">
        <v>1304</v>
      </c>
      <c r="D446" s="6" t="s">
        <v>1305</v>
      </c>
      <c r="E446" s="6" t="s">
        <v>1306</v>
      </c>
      <c r="F446" s="6" t="s">
        <v>1307</v>
      </c>
      <c r="G446" s="6" t="s">
        <v>1308</v>
      </c>
      <c r="H446" s="6" t="s">
        <v>1765</v>
      </c>
      <c r="I446" s="6">
        <v>0</v>
      </c>
      <c r="J446" s="6">
        <v>799</v>
      </c>
      <c r="K446" s="6">
        <v>1</v>
      </c>
      <c r="L446" s="6" t="s">
        <v>2232</v>
      </c>
      <c r="M446" s="6" t="e">
        <f>VLOOKUP(L446,'Nov Inv Recon'!H:H,1,FALSE)</f>
        <v>#N/A</v>
      </c>
      <c r="N446" s="6" t="e">
        <f>VLOOKUP(L446,VictoryHeitrich!D:D,1,FALSE)</f>
        <v>#N/A</v>
      </c>
      <c r="O446" s="6" t="s">
        <v>920</v>
      </c>
      <c r="P446" s="6" t="s">
        <v>1311</v>
      </c>
      <c r="Q446" s="6" t="s">
        <v>2803</v>
      </c>
      <c r="R446" s="6" t="s">
        <v>2803</v>
      </c>
      <c r="S446" s="6" t="s">
        <v>2150</v>
      </c>
      <c r="T446" s="6" t="s">
        <v>2151</v>
      </c>
      <c r="U446" s="6" t="s">
        <v>1313</v>
      </c>
      <c r="V446" s="6" t="s">
        <v>1314</v>
      </c>
      <c r="W446" s="6">
        <v>2025</v>
      </c>
      <c r="X446" s="6">
        <v>11</v>
      </c>
      <c r="Y446" s="6" t="s">
        <v>1315</v>
      </c>
      <c r="Z446" s="6">
        <v>2025</v>
      </c>
      <c r="AA446" s="6" t="s">
        <v>1316</v>
      </c>
      <c r="AB446" s="6" t="str">
        <f>VLOOKUP(S446,Mapping!A:C,3,FALSE)</f>
        <v>Primary</v>
      </c>
    </row>
    <row r="447" spans="1:28" x14ac:dyDescent="0.35">
      <c r="A447" s="6" t="s">
        <v>1302</v>
      </c>
      <c r="B447" s="6" t="s">
        <v>1303</v>
      </c>
      <c r="C447" s="6" t="s">
        <v>1304</v>
      </c>
      <c r="D447" s="6" t="s">
        <v>1305</v>
      </c>
      <c r="E447" s="6" t="s">
        <v>1306</v>
      </c>
      <c r="F447" s="6" t="s">
        <v>1307</v>
      </c>
      <c r="G447" s="6" t="s">
        <v>1308</v>
      </c>
      <c r="H447" s="6" t="s">
        <v>1632</v>
      </c>
      <c r="I447" s="6">
        <v>0</v>
      </c>
      <c r="J447" s="6">
        <v>799</v>
      </c>
      <c r="K447" s="6">
        <v>1</v>
      </c>
      <c r="L447" s="6" t="s">
        <v>2127</v>
      </c>
      <c r="M447" s="6" t="e">
        <f>VLOOKUP(L447,'Nov Inv Recon'!H:H,1,FALSE)</f>
        <v>#N/A</v>
      </c>
      <c r="N447" s="6" t="e">
        <f>VLOOKUP(L447,VictoryHeitrich!D:D,1,FALSE)</f>
        <v>#N/A</v>
      </c>
      <c r="O447" s="6" t="s">
        <v>163</v>
      </c>
      <c r="P447" s="6" t="s">
        <v>1311</v>
      </c>
      <c r="Q447" s="6" t="s">
        <v>2804</v>
      </c>
      <c r="R447" s="6" t="s">
        <v>2804</v>
      </c>
      <c r="S447" s="6" t="s">
        <v>2150</v>
      </c>
      <c r="T447" s="6" t="s">
        <v>2151</v>
      </c>
      <c r="U447" s="6" t="s">
        <v>1313</v>
      </c>
      <c r="V447" s="6" t="s">
        <v>1314</v>
      </c>
      <c r="W447" s="6">
        <v>2025</v>
      </c>
      <c r="X447" s="6">
        <v>11</v>
      </c>
      <c r="Y447" s="6" t="s">
        <v>1315</v>
      </c>
      <c r="Z447" s="6">
        <v>2025</v>
      </c>
      <c r="AA447" s="6" t="s">
        <v>1316</v>
      </c>
      <c r="AB447" s="6" t="str">
        <f>VLOOKUP(S447,Mapping!A:C,3,FALSE)</f>
        <v>Primary</v>
      </c>
    </row>
    <row r="448" spans="1:28" x14ac:dyDescent="0.35">
      <c r="A448" s="6" t="s">
        <v>1302</v>
      </c>
      <c r="B448" s="6" t="s">
        <v>1303</v>
      </c>
      <c r="C448" s="6" t="s">
        <v>1304</v>
      </c>
      <c r="D448" s="6" t="s">
        <v>1305</v>
      </c>
      <c r="E448" s="6" t="s">
        <v>1306</v>
      </c>
      <c r="F448" s="6" t="s">
        <v>1307</v>
      </c>
      <c r="G448" s="6" t="s">
        <v>1308</v>
      </c>
      <c r="H448" s="6" t="s">
        <v>1842</v>
      </c>
      <c r="I448" s="6">
        <v>0</v>
      </c>
      <c r="J448" s="6">
        <v>249</v>
      </c>
      <c r="K448" s="6">
        <v>1</v>
      </c>
      <c r="L448" s="6" t="s">
        <v>2220</v>
      </c>
      <c r="M448" s="6" t="e">
        <f>VLOOKUP(L448,'Nov Inv Recon'!H:H,1,FALSE)</f>
        <v>#N/A</v>
      </c>
      <c r="N448" s="6" t="e">
        <f>VLOOKUP(L448,VictoryHeitrich!D:D,1,FALSE)</f>
        <v>#N/A</v>
      </c>
      <c r="O448" s="6" t="s">
        <v>569</v>
      </c>
      <c r="P448" s="6" t="s">
        <v>1311</v>
      </c>
      <c r="Q448" s="6" t="s">
        <v>2805</v>
      </c>
      <c r="R448" s="6" t="s">
        <v>2805</v>
      </c>
      <c r="S448" s="6" t="s">
        <v>2076</v>
      </c>
      <c r="T448" s="6" t="s">
        <v>2077</v>
      </c>
      <c r="U448" s="6" t="s">
        <v>1313</v>
      </c>
      <c r="V448" s="6" t="s">
        <v>1314</v>
      </c>
      <c r="W448" s="6">
        <v>2025</v>
      </c>
      <c r="X448" s="6">
        <v>11</v>
      </c>
      <c r="Y448" s="6" t="s">
        <v>1315</v>
      </c>
      <c r="Z448" s="6">
        <v>2025</v>
      </c>
      <c r="AA448" s="6" t="s">
        <v>1316</v>
      </c>
      <c r="AB448" s="6" t="str">
        <f>VLOOKUP(S448,Mapping!A:C,3,FALSE)</f>
        <v>Secondary</v>
      </c>
    </row>
    <row r="449" spans="1:28" x14ac:dyDescent="0.35">
      <c r="A449" s="6" t="s">
        <v>1302</v>
      </c>
      <c r="B449" s="6" t="s">
        <v>1303</v>
      </c>
      <c r="C449" s="6" t="s">
        <v>1304</v>
      </c>
      <c r="D449" s="6" t="s">
        <v>1305</v>
      </c>
      <c r="E449" s="6" t="s">
        <v>1306</v>
      </c>
      <c r="F449" s="6" t="s">
        <v>1307</v>
      </c>
      <c r="G449" s="6" t="s">
        <v>1308</v>
      </c>
      <c r="H449" s="6" t="s">
        <v>1632</v>
      </c>
      <c r="I449" s="6">
        <v>0</v>
      </c>
      <c r="J449" s="6">
        <v>249</v>
      </c>
      <c r="K449" s="6">
        <v>1</v>
      </c>
      <c r="L449" s="6" t="s">
        <v>2058</v>
      </c>
      <c r="M449" s="6" t="e">
        <f>VLOOKUP(L449,'Nov Inv Recon'!H:H,1,FALSE)</f>
        <v>#N/A</v>
      </c>
      <c r="N449" s="6" t="e">
        <f>VLOOKUP(L449,VictoryHeitrich!D:D,1,FALSE)</f>
        <v>#N/A</v>
      </c>
      <c r="O449" s="6" t="s">
        <v>903</v>
      </c>
      <c r="P449" s="6" t="s">
        <v>1311</v>
      </c>
      <c r="Q449" s="6" t="s">
        <v>2806</v>
      </c>
      <c r="R449" s="6" t="s">
        <v>2806</v>
      </c>
      <c r="S449" s="6" t="s">
        <v>2076</v>
      </c>
      <c r="T449" s="6" t="s">
        <v>2077</v>
      </c>
      <c r="U449" s="6" t="s">
        <v>1313</v>
      </c>
      <c r="V449" s="6" t="s">
        <v>1314</v>
      </c>
      <c r="W449" s="6">
        <v>2025</v>
      </c>
      <c r="X449" s="6">
        <v>11</v>
      </c>
      <c r="Y449" s="6" t="s">
        <v>1315</v>
      </c>
      <c r="Z449" s="6">
        <v>2025</v>
      </c>
      <c r="AA449" s="6" t="s">
        <v>1316</v>
      </c>
      <c r="AB449" s="6" t="str">
        <f>VLOOKUP(S449,Mapping!A:C,3,FALSE)</f>
        <v>Secondary</v>
      </c>
    </row>
    <row r="450" spans="1:28" x14ac:dyDescent="0.35">
      <c r="A450" s="6" t="s">
        <v>1302</v>
      </c>
      <c r="B450" s="6" t="s">
        <v>1303</v>
      </c>
      <c r="C450" s="6" t="s">
        <v>1304</v>
      </c>
      <c r="D450" s="6" t="s">
        <v>1305</v>
      </c>
      <c r="E450" s="6" t="s">
        <v>1306</v>
      </c>
      <c r="F450" s="6" t="s">
        <v>1307</v>
      </c>
      <c r="G450" s="6" t="s">
        <v>1308</v>
      </c>
      <c r="H450" s="6" t="s">
        <v>1728</v>
      </c>
      <c r="I450" s="6">
        <v>0</v>
      </c>
      <c r="J450" s="6">
        <v>249</v>
      </c>
      <c r="K450" s="6">
        <v>1</v>
      </c>
      <c r="L450" s="6" t="s">
        <v>2261</v>
      </c>
      <c r="M450" s="6" t="e">
        <f>VLOOKUP(L450,'Nov Inv Recon'!H:H,1,FALSE)</f>
        <v>#N/A</v>
      </c>
      <c r="N450" s="6" t="e">
        <f>VLOOKUP(L450,VictoryHeitrich!D:D,1,FALSE)</f>
        <v>#N/A</v>
      </c>
      <c r="O450" s="6" t="s">
        <v>566</v>
      </c>
      <c r="P450" s="6" t="s">
        <v>1311</v>
      </c>
      <c r="Q450" s="6" t="s">
        <v>2807</v>
      </c>
      <c r="R450" s="6" t="s">
        <v>2807</v>
      </c>
      <c r="S450" s="6" t="s">
        <v>2076</v>
      </c>
      <c r="T450" s="6" t="s">
        <v>2077</v>
      </c>
      <c r="U450" s="6" t="s">
        <v>1313</v>
      </c>
      <c r="V450" s="6" t="s">
        <v>1314</v>
      </c>
      <c r="W450" s="6">
        <v>2025</v>
      </c>
      <c r="X450" s="6">
        <v>11</v>
      </c>
      <c r="Y450" s="6" t="s">
        <v>1315</v>
      </c>
      <c r="Z450" s="6">
        <v>2025</v>
      </c>
      <c r="AA450" s="6" t="s">
        <v>1316</v>
      </c>
      <c r="AB450" s="6" t="str">
        <f>VLOOKUP(S450,Mapping!A:C,3,FALSE)</f>
        <v>Secondary</v>
      </c>
    </row>
    <row r="451" spans="1:28" x14ac:dyDescent="0.35">
      <c r="A451" s="6" t="s">
        <v>1302</v>
      </c>
      <c r="B451" s="6" t="s">
        <v>1303</v>
      </c>
      <c r="C451" s="6" t="s">
        <v>1304</v>
      </c>
      <c r="D451" s="6" t="s">
        <v>1305</v>
      </c>
      <c r="E451" s="6" t="s">
        <v>1306</v>
      </c>
      <c r="F451" s="6" t="s">
        <v>1307</v>
      </c>
      <c r="G451" s="6" t="s">
        <v>1308</v>
      </c>
      <c r="H451" s="6" t="s">
        <v>2528</v>
      </c>
      <c r="I451" s="6">
        <v>0</v>
      </c>
      <c r="J451" s="6">
        <v>268.92</v>
      </c>
      <c r="K451" s="6">
        <v>1</v>
      </c>
      <c r="L451" s="6" t="s">
        <v>2086</v>
      </c>
      <c r="M451" s="6" t="e">
        <f>VLOOKUP(L451,'Nov Inv Recon'!H:H,1,FALSE)</f>
        <v>#N/A</v>
      </c>
      <c r="N451" s="6" t="e">
        <f>VLOOKUP(L451,VictoryHeitrich!D:D,1,FALSE)</f>
        <v>#N/A</v>
      </c>
      <c r="O451" s="6" t="s">
        <v>319</v>
      </c>
      <c r="P451" s="6" t="s">
        <v>1311</v>
      </c>
      <c r="Q451" s="6" t="s">
        <v>2808</v>
      </c>
      <c r="R451" s="6" t="s">
        <v>2808</v>
      </c>
      <c r="S451" s="6" t="s">
        <v>2107</v>
      </c>
      <c r="T451" s="6" t="s">
        <v>2108</v>
      </c>
      <c r="U451" s="6" t="s">
        <v>1313</v>
      </c>
      <c r="V451" s="6" t="s">
        <v>1314</v>
      </c>
      <c r="W451" s="6">
        <v>2025</v>
      </c>
      <c r="X451" s="6">
        <v>11</v>
      </c>
      <c r="Y451" s="6" t="s">
        <v>1315</v>
      </c>
      <c r="Z451" s="6">
        <v>2025</v>
      </c>
      <c r="AA451" s="6" t="s">
        <v>1316</v>
      </c>
      <c r="AB451" s="6" t="str">
        <f>VLOOKUP(S451,Mapping!A:C,3,FALSE)</f>
        <v>Secondary</v>
      </c>
    </row>
    <row r="452" spans="1:28" x14ac:dyDescent="0.35">
      <c r="A452" s="6" t="s">
        <v>1302</v>
      </c>
      <c r="B452" s="6" t="s">
        <v>1303</v>
      </c>
      <c r="C452" s="6" t="s">
        <v>1304</v>
      </c>
      <c r="D452" s="6" t="s">
        <v>1305</v>
      </c>
      <c r="E452" s="6" t="s">
        <v>1306</v>
      </c>
      <c r="F452" s="6" t="s">
        <v>1307</v>
      </c>
      <c r="G452" s="6" t="s">
        <v>1308</v>
      </c>
      <c r="H452" s="6" t="s">
        <v>1632</v>
      </c>
      <c r="I452" s="6">
        <v>0</v>
      </c>
      <c r="J452" s="6">
        <v>249</v>
      </c>
      <c r="K452" s="6">
        <v>1</v>
      </c>
      <c r="L452" s="6" t="s">
        <v>2336</v>
      </c>
      <c r="M452" s="6" t="e">
        <f>VLOOKUP(L452,'Nov Inv Recon'!H:H,1,FALSE)</f>
        <v>#N/A</v>
      </c>
      <c r="N452" s="6" t="e">
        <f>VLOOKUP(L452,VictoryHeitrich!D:D,1,FALSE)</f>
        <v>#N/A</v>
      </c>
      <c r="O452" s="6" t="s">
        <v>907</v>
      </c>
      <c r="P452" s="6" t="s">
        <v>1311</v>
      </c>
      <c r="Q452" s="6" t="s">
        <v>2809</v>
      </c>
      <c r="R452" s="6" t="s">
        <v>2809</v>
      </c>
      <c r="S452" s="6" t="s">
        <v>2107</v>
      </c>
      <c r="T452" s="6" t="s">
        <v>2108</v>
      </c>
      <c r="U452" s="6" t="s">
        <v>1313</v>
      </c>
      <c r="V452" s="6" t="s">
        <v>1314</v>
      </c>
      <c r="W452" s="6">
        <v>2025</v>
      </c>
      <c r="X452" s="6">
        <v>11</v>
      </c>
      <c r="Y452" s="6" t="s">
        <v>1315</v>
      </c>
      <c r="Z452" s="6">
        <v>2025</v>
      </c>
      <c r="AA452" s="6" t="s">
        <v>1316</v>
      </c>
      <c r="AB452" s="6" t="str">
        <f>VLOOKUP(S452,Mapping!A:C,3,FALSE)</f>
        <v>Secondary</v>
      </c>
    </row>
    <row r="453" spans="1:28" x14ac:dyDescent="0.35">
      <c r="A453" s="6" t="s">
        <v>1302</v>
      </c>
      <c r="B453" s="6" t="s">
        <v>1303</v>
      </c>
      <c r="C453" s="6" t="s">
        <v>1304</v>
      </c>
      <c r="D453" s="6" t="s">
        <v>1305</v>
      </c>
      <c r="E453" s="6" t="s">
        <v>1306</v>
      </c>
      <c r="F453" s="6" t="s">
        <v>1307</v>
      </c>
      <c r="G453" s="6" t="s">
        <v>1308</v>
      </c>
      <c r="H453" s="6" t="s">
        <v>1937</v>
      </c>
      <c r="I453" s="6">
        <v>0</v>
      </c>
      <c r="J453" s="6">
        <v>142.16999999999999</v>
      </c>
      <c r="K453" s="6">
        <v>1</v>
      </c>
      <c r="L453" s="6" t="s">
        <v>2109</v>
      </c>
      <c r="M453" s="6" t="e">
        <f>VLOOKUP(L453,'Nov Inv Recon'!H:H,1,FALSE)</f>
        <v>#N/A</v>
      </c>
      <c r="N453" s="6" t="e">
        <f>VLOOKUP(L453,VictoryHeitrich!D:D,1,FALSE)</f>
        <v>#N/A</v>
      </c>
      <c r="O453" s="6" t="s">
        <v>145</v>
      </c>
      <c r="P453" s="6" t="s">
        <v>1311</v>
      </c>
      <c r="Q453" s="6" t="s">
        <v>2810</v>
      </c>
      <c r="R453" s="6" t="s">
        <v>2810</v>
      </c>
      <c r="S453" s="6" t="s">
        <v>35</v>
      </c>
      <c r="T453" s="6" t="s">
        <v>36</v>
      </c>
      <c r="U453" s="6" t="s">
        <v>1313</v>
      </c>
      <c r="V453" s="6" t="s">
        <v>1314</v>
      </c>
      <c r="W453" s="6">
        <v>2025</v>
      </c>
      <c r="X453" s="6">
        <v>11</v>
      </c>
      <c r="Y453" s="6" t="s">
        <v>1315</v>
      </c>
      <c r="Z453" s="6">
        <v>2025</v>
      </c>
      <c r="AA453" s="6" t="s">
        <v>1316</v>
      </c>
      <c r="AB453" s="6" t="str">
        <f>VLOOKUP(S453,Mapping!A:C,3,FALSE)</f>
        <v>Primary</v>
      </c>
    </row>
    <row r="454" spans="1:28" x14ac:dyDescent="0.35">
      <c r="A454" s="6" t="s">
        <v>1302</v>
      </c>
      <c r="B454" s="6" t="s">
        <v>1303</v>
      </c>
      <c r="C454" s="6" t="s">
        <v>1304</v>
      </c>
      <c r="D454" s="6" t="s">
        <v>1305</v>
      </c>
      <c r="E454" s="6" t="s">
        <v>1306</v>
      </c>
      <c r="F454" s="6" t="s">
        <v>1307</v>
      </c>
      <c r="G454" s="6" t="s">
        <v>1308</v>
      </c>
      <c r="H454" s="6" t="s">
        <v>1937</v>
      </c>
      <c r="I454" s="6">
        <v>0</v>
      </c>
      <c r="J454" s="6">
        <v>217.99</v>
      </c>
      <c r="K454" s="6">
        <v>1</v>
      </c>
      <c r="L454" s="6" t="s">
        <v>2110</v>
      </c>
      <c r="M454" s="6" t="e">
        <f>VLOOKUP(L454,'Nov Inv Recon'!H:H,1,FALSE)</f>
        <v>#N/A</v>
      </c>
      <c r="N454" s="6" t="e">
        <f>VLOOKUP(L454,VictoryHeitrich!D:D,1,FALSE)</f>
        <v>#N/A</v>
      </c>
      <c r="O454" s="6" t="s">
        <v>926</v>
      </c>
      <c r="P454" s="6" t="s">
        <v>1311</v>
      </c>
      <c r="Q454" s="6" t="s">
        <v>2811</v>
      </c>
      <c r="R454" s="6" t="s">
        <v>2811</v>
      </c>
      <c r="S454" s="6" t="s">
        <v>35</v>
      </c>
      <c r="T454" s="6" t="s">
        <v>36</v>
      </c>
      <c r="U454" s="6" t="s">
        <v>1313</v>
      </c>
      <c r="V454" s="6" t="s">
        <v>1314</v>
      </c>
      <c r="W454" s="6">
        <v>2025</v>
      </c>
      <c r="X454" s="6">
        <v>11</v>
      </c>
      <c r="Y454" s="6" t="s">
        <v>1315</v>
      </c>
      <c r="Z454" s="6">
        <v>2025</v>
      </c>
      <c r="AA454" s="6" t="s">
        <v>1316</v>
      </c>
      <c r="AB454" s="6" t="str">
        <f>VLOOKUP(S454,Mapping!A:C,3,FALSE)</f>
        <v>Primary</v>
      </c>
    </row>
    <row r="455" spans="1:28" x14ac:dyDescent="0.35">
      <c r="A455" s="6" t="s">
        <v>1302</v>
      </c>
      <c r="B455" s="6" t="s">
        <v>1303</v>
      </c>
      <c r="C455" s="6" t="s">
        <v>1304</v>
      </c>
      <c r="D455" s="6" t="s">
        <v>1305</v>
      </c>
      <c r="E455" s="6" t="s">
        <v>1306</v>
      </c>
      <c r="F455" s="6" t="s">
        <v>1307</v>
      </c>
      <c r="G455" s="6" t="s">
        <v>1308</v>
      </c>
      <c r="H455" s="6" t="s">
        <v>1682</v>
      </c>
      <c r="I455" s="6">
        <v>0</v>
      </c>
      <c r="J455" s="6">
        <v>370.2</v>
      </c>
      <c r="K455" s="6">
        <v>1</v>
      </c>
      <c r="L455" s="6" t="s">
        <v>2106</v>
      </c>
      <c r="M455" s="6" t="e">
        <f>VLOOKUP(L455,'Nov Inv Recon'!H:H,1,FALSE)</f>
        <v>#N/A</v>
      </c>
      <c r="N455" s="6" t="e">
        <f>VLOOKUP(L455,VictoryHeitrich!D:D,1,FALSE)</f>
        <v>#N/A</v>
      </c>
      <c r="O455" s="6" t="s">
        <v>872</v>
      </c>
      <c r="P455" s="6" t="s">
        <v>1311</v>
      </c>
      <c r="Q455" s="6" t="s">
        <v>2812</v>
      </c>
      <c r="R455" s="6" t="s">
        <v>2812</v>
      </c>
      <c r="S455" s="6" t="s">
        <v>35</v>
      </c>
      <c r="T455" s="6" t="s">
        <v>36</v>
      </c>
      <c r="U455" s="6" t="s">
        <v>1313</v>
      </c>
      <c r="V455" s="6" t="s">
        <v>1314</v>
      </c>
      <c r="W455" s="6">
        <v>2025</v>
      </c>
      <c r="X455" s="6">
        <v>11</v>
      </c>
      <c r="Y455" s="6" t="s">
        <v>1315</v>
      </c>
      <c r="Z455" s="6">
        <v>2025</v>
      </c>
      <c r="AA455" s="6" t="s">
        <v>1316</v>
      </c>
      <c r="AB455" s="6" t="str">
        <f>VLOOKUP(S455,Mapping!A:C,3,FALSE)</f>
        <v>Primary</v>
      </c>
    </row>
    <row r="456" spans="1:28" x14ac:dyDescent="0.35">
      <c r="A456" s="6" t="s">
        <v>1302</v>
      </c>
      <c r="B456" s="6" t="s">
        <v>1303</v>
      </c>
      <c r="C456" s="6" t="s">
        <v>1304</v>
      </c>
      <c r="D456" s="6" t="s">
        <v>1305</v>
      </c>
      <c r="E456" s="6" t="s">
        <v>1306</v>
      </c>
      <c r="F456" s="6" t="s">
        <v>1307</v>
      </c>
      <c r="G456" s="6" t="s">
        <v>1308</v>
      </c>
      <c r="H456" s="6" t="s">
        <v>1765</v>
      </c>
      <c r="I456" s="6">
        <v>0</v>
      </c>
      <c r="J456" s="6">
        <v>339.09</v>
      </c>
      <c r="K456" s="6">
        <v>1</v>
      </c>
      <c r="L456" s="6" t="s">
        <v>2181</v>
      </c>
      <c r="M456" s="6" t="e">
        <f>VLOOKUP(L456,'Nov Inv Recon'!H:H,1,FALSE)</f>
        <v>#N/A</v>
      </c>
      <c r="N456" s="6" t="e">
        <f>VLOOKUP(L456,VictoryHeitrich!D:D,1,FALSE)</f>
        <v>#N/A</v>
      </c>
      <c r="O456" s="6" t="s">
        <v>754</v>
      </c>
      <c r="P456" s="6" t="s">
        <v>1311</v>
      </c>
      <c r="Q456" s="6" t="s">
        <v>2813</v>
      </c>
      <c r="R456" s="6" t="s">
        <v>2813</v>
      </c>
      <c r="S456" s="6" t="s">
        <v>35</v>
      </c>
      <c r="T456" s="6" t="s">
        <v>36</v>
      </c>
      <c r="U456" s="6" t="s">
        <v>1313</v>
      </c>
      <c r="V456" s="6" t="s">
        <v>1314</v>
      </c>
      <c r="W456" s="6">
        <v>2025</v>
      </c>
      <c r="X456" s="6">
        <v>11</v>
      </c>
      <c r="Y456" s="6" t="s">
        <v>1315</v>
      </c>
      <c r="Z456" s="6">
        <v>2025</v>
      </c>
      <c r="AA456" s="6" t="s">
        <v>1316</v>
      </c>
      <c r="AB456" s="6" t="str">
        <f>VLOOKUP(S456,Mapping!A:C,3,FALSE)</f>
        <v>Primary</v>
      </c>
    </row>
    <row r="457" spans="1:28" x14ac:dyDescent="0.35">
      <c r="A457" s="6" t="s">
        <v>1302</v>
      </c>
      <c r="B457" s="6" t="s">
        <v>1303</v>
      </c>
      <c r="C457" s="6" t="s">
        <v>1304</v>
      </c>
      <c r="D457" s="6" t="s">
        <v>1305</v>
      </c>
      <c r="E457" s="6" t="s">
        <v>1306</v>
      </c>
      <c r="F457" s="6" t="s">
        <v>1307</v>
      </c>
      <c r="G457" s="6" t="s">
        <v>1308</v>
      </c>
      <c r="H457" s="6" t="s">
        <v>2398</v>
      </c>
      <c r="I457" s="6">
        <v>0</v>
      </c>
      <c r="J457" s="6">
        <v>261.45</v>
      </c>
      <c r="K457" s="6">
        <v>1</v>
      </c>
      <c r="L457" s="6" t="s">
        <v>2184</v>
      </c>
      <c r="M457" s="6" t="e">
        <f>VLOOKUP(L457,'Nov Inv Recon'!H:H,1,FALSE)</f>
        <v>#N/A</v>
      </c>
      <c r="N457" s="6" t="e">
        <f>VLOOKUP(L457,VictoryHeitrich!D:D,1,FALSE)</f>
        <v>#N/A</v>
      </c>
      <c r="O457" s="6" t="s">
        <v>665</v>
      </c>
      <c r="P457" s="6" t="s">
        <v>1311</v>
      </c>
      <c r="Q457" s="6" t="s">
        <v>2814</v>
      </c>
      <c r="R457" s="6" t="s">
        <v>2814</v>
      </c>
      <c r="S457" s="6" t="s">
        <v>35</v>
      </c>
      <c r="T457" s="6" t="s">
        <v>36</v>
      </c>
      <c r="U457" s="6" t="s">
        <v>1313</v>
      </c>
      <c r="V457" s="6" t="s">
        <v>1314</v>
      </c>
      <c r="W457" s="6">
        <v>2025</v>
      </c>
      <c r="X457" s="6">
        <v>11</v>
      </c>
      <c r="Y457" s="6" t="s">
        <v>1315</v>
      </c>
      <c r="Z457" s="6">
        <v>2025</v>
      </c>
      <c r="AA457" s="6" t="s">
        <v>1316</v>
      </c>
      <c r="AB457" s="6" t="str">
        <f>VLOOKUP(S457,Mapping!A:C,3,FALSE)</f>
        <v>Primary</v>
      </c>
    </row>
    <row r="458" spans="1:28" x14ac:dyDescent="0.35">
      <c r="A458" s="6" t="s">
        <v>1302</v>
      </c>
      <c r="B458" s="6" t="s">
        <v>1303</v>
      </c>
      <c r="C458" s="6" t="s">
        <v>1304</v>
      </c>
      <c r="D458" s="6" t="s">
        <v>1305</v>
      </c>
      <c r="E458" s="6" t="s">
        <v>1306</v>
      </c>
      <c r="F458" s="6" t="s">
        <v>1307</v>
      </c>
      <c r="G458" s="6" t="s">
        <v>1308</v>
      </c>
      <c r="H458" s="6" t="s">
        <v>1752</v>
      </c>
      <c r="I458" s="6">
        <v>0</v>
      </c>
      <c r="J458" s="6">
        <v>320.08</v>
      </c>
      <c r="K458" s="6">
        <v>1</v>
      </c>
      <c r="L458" s="6" t="s">
        <v>1519</v>
      </c>
      <c r="M458" s="6" t="e">
        <f>VLOOKUP(L458,'Nov Inv Recon'!H:H,1,FALSE)</f>
        <v>#N/A</v>
      </c>
      <c r="N458" s="6" t="e">
        <f>VLOOKUP(L458,VictoryHeitrich!D:D,1,FALSE)</f>
        <v>#N/A</v>
      </c>
      <c r="O458" s="6" t="s">
        <v>77</v>
      </c>
      <c r="P458" s="6" t="s">
        <v>1311</v>
      </c>
      <c r="Q458" s="6" t="s">
        <v>1964</v>
      </c>
      <c r="R458" s="6" t="s">
        <v>1964</v>
      </c>
      <c r="S458" s="6" t="s">
        <v>35</v>
      </c>
      <c r="T458" s="6" t="s">
        <v>36</v>
      </c>
      <c r="U458" s="6" t="s">
        <v>1313</v>
      </c>
      <c r="V458" s="6" t="s">
        <v>1314</v>
      </c>
      <c r="W458" s="6">
        <v>2025</v>
      </c>
      <c r="X458" s="6">
        <v>11</v>
      </c>
      <c r="Y458" s="6" t="s">
        <v>1315</v>
      </c>
      <c r="Z458" s="6">
        <v>2025</v>
      </c>
      <c r="AA458" s="6" t="s">
        <v>1316</v>
      </c>
      <c r="AB458" s="6" t="str">
        <f>VLOOKUP(S458,Mapping!A:C,3,FALSE)</f>
        <v>Primary</v>
      </c>
    </row>
    <row r="459" spans="1:28" x14ac:dyDescent="0.35">
      <c r="A459" s="6" t="s">
        <v>1302</v>
      </c>
      <c r="B459" s="6" t="s">
        <v>1303</v>
      </c>
      <c r="C459" s="6" t="s">
        <v>1304</v>
      </c>
      <c r="D459" s="6" t="s">
        <v>1305</v>
      </c>
      <c r="E459" s="6" t="s">
        <v>1306</v>
      </c>
      <c r="F459" s="6" t="s">
        <v>1307</v>
      </c>
      <c r="G459" s="6" t="s">
        <v>1308</v>
      </c>
      <c r="H459" s="6" t="s">
        <v>1682</v>
      </c>
      <c r="I459" s="6">
        <v>0</v>
      </c>
      <c r="J459" s="6">
        <v>299</v>
      </c>
      <c r="K459" s="6">
        <v>1</v>
      </c>
      <c r="L459" s="6" t="s">
        <v>1387</v>
      </c>
      <c r="M459" s="6" t="e">
        <f>VLOOKUP(L459,'Nov Inv Recon'!H:H,1,FALSE)</f>
        <v>#N/A</v>
      </c>
      <c r="N459" s="6" t="e">
        <f>VLOOKUP(L459,VictoryHeitrich!D:D,1,FALSE)</f>
        <v>#N/A</v>
      </c>
      <c r="O459" s="6" t="s">
        <v>1388</v>
      </c>
      <c r="P459" s="6" t="s">
        <v>1311</v>
      </c>
      <c r="Q459" s="6" t="s">
        <v>2815</v>
      </c>
      <c r="R459" s="6" t="s">
        <v>2815</v>
      </c>
      <c r="S459" s="6" t="s">
        <v>35</v>
      </c>
      <c r="T459" s="6" t="s">
        <v>36</v>
      </c>
      <c r="U459" s="6" t="s">
        <v>1313</v>
      </c>
      <c r="V459" s="6" t="s">
        <v>1314</v>
      </c>
      <c r="W459" s="6">
        <v>2025</v>
      </c>
      <c r="X459" s="6">
        <v>11</v>
      </c>
      <c r="Y459" s="6" t="s">
        <v>1315</v>
      </c>
      <c r="Z459" s="6">
        <v>2025</v>
      </c>
      <c r="AA459" s="6" t="s">
        <v>1316</v>
      </c>
      <c r="AB459" s="6" t="str">
        <f>VLOOKUP(S459,Mapping!A:C,3,FALSE)</f>
        <v>Primary</v>
      </c>
    </row>
    <row r="460" spans="1:28" x14ac:dyDescent="0.35">
      <c r="A460" s="6" t="s">
        <v>1302</v>
      </c>
      <c r="B460" s="6" t="s">
        <v>1303</v>
      </c>
      <c r="C460" s="6" t="s">
        <v>1304</v>
      </c>
      <c r="D460" s="6" t="s">
        <v>1305</v>
      </c>
      <c r="E460" s="6" t="s">
        <v>1306</v>
      </c>
      <c r="F460" s="6" t="s">
        <v>1307</v>
      </c>
      <c r="G460" s="6" t="s">
        <v>1308</v>
      </c>
      <c r="H460" s="6" t="s">
        <v>1632</v>
      </c>
      <c r="I460" s="6">
        <v>0</v>
      </c>
      <c r="J460" s="6">
        <v>279</v>
      </c>
      <c r="K460" s="6">
        <v>1</v>
      </c>
      <c r="L460" s="6" t="s">
        <v>2142</v>
      </c>
      <c r="M460" s="6" t="e">
        <f>VLOOKUP(L460,'Nov Inv Recon'!H:H,1,FALSE)</f>
        <v>#N/A</v>
      </c>
      <c r="N460" s="6" t="e">
        <f>VLOOKUP(L460,VictoryHeitrich!D:D,1,FALSE)</f>
        <v>#N/A</v>
      </c>
      <c r="O460" s="6" t="s">
        <v>897</v>
      </c>
      <c r="P460" s="6" t="s">
        <v>1311</v>
      </c>
      <c r="Q460" s="6" t="s">
        <v>2816</v>
      </c>
      <c r="R460" s="6" t="s">
        <v>2816</v>
      </c>
      <c r="S460" s="6" t="s">
        <v>35</v>
      </c>
      <c r="T460" s="6" t="s">
        <v>36</v>
      </c>
      <c r="U460" s="6" t="s">
        <v>1313</v>
      </c>
      <c r="V460" s="6" t="s">
        <v>1314</v>
      </c>
      <c r="W460" s="6">
        <v>2025</v>
      </c>
      <c r="X460" s="6">
        <v>11</v>
      </c>
      <c r="Y460" s="6" t="s">
        <v>1315</v>
      </c>
      <c r="Z460" s="6">
        <v>2025</v>
      </c>
      <c r="AA460" s="6" t="s">
        <v>1316</v>
      </c>
      <c r="AB460" s="6" t="str">
        <f>VLOOKUP(S460,Mapping!A:C,3,FALSE)</f>
        <v>Primary</v>
      </c>
    </row>
    <row r="461" spans="1:28" x14ac:dyDescent="0.35">
      <c r="A461" s="6" t="s">
        <v>1302</v>
      </c>
      <c r="B461" s="6" t="s">
        <v>1303</v>
      </c>
      <c r="C461" s="6" t="s">
        <v>1304</v>
      </c>
      <c r="D461" s="6" t="s">
        <v>1305</v>
      </c>
      <c r="E461" s="6" t="s">
        <v>1306</v>
      </c>
      <c r="F461" s="6" t="s">
        <v>1307</v>
      </c>
      <c r="G461" s="6" t="s">
        <v>1308</v>
      </c>
      <c r="H461" s="6" t="s">
        <v>1632</v>
      </c>
      <c r="I461" s="6">
        <v>0</v>
      </c>
      <c r="J461" s="6">
        <v>745</v>
      </c>
      <c r="K461" s="6">
        <v>1</v>
      </c>
      <c r="L461" s="6" t="s">
        <v>2062</v>
      </c>
      <c r="M461" s="6" t="e">
        <f>VLOOKUP(L461,'Nov Inv Recon'!H:H,1,FALSE)</f>
        <v>#N/A</v>
      </c>
      <c r="N461" s="6" t="e">
        <f>VLOOKUP(L461,VictoryHeitrich!D:D,1,FALSE)</f>
        <v>#N/A</v>
      </c>
      <c r="O461" s="6" t="s">
        <v>918</v>
      </c>
      <c r="P461" s="6" t="s">
        <v>1311</v>
      </c>
      <c r="Q461" s="6" t="s">
        <v>2817</v>
      </c>
      <c r="R461" s="6" t="s">
        <v>2817</v>
      </c>
      <c r="S461" s="6" t="s">
        <v>35</v>
      </c>
      <c r="T461" s="6" t="s">
        <v>36</v>
      </c>
      <c r="U461" s="6" t="s">
        <v>1313</v>
      </c>
      <c r="V461" s="6" t="s">
        <v>1314</v>
      </c>
      <c r="W461" s="6">
        <v>2025</v>
      </c>
      <c r="X461" s="6">
        <v>11</v>
      </c>
      <c r="Y461" s="6" t="s">
        <v>1315</v>
      </c>
      <c r="Z461" s="6">
        <v>2025</v>
      </c>
      <c r="AA461" s="6" t="s">
        <v>1316</v>
      </c>
      <c r="AB461" s="6" t="str">
        <f>VLOOKUP(S461,Mapping!A:C,3,FALSE)</f>
        <v>Primary</v>
      </c>
    </row>
    <row r="462" spans="1:28" x14ac:dyDescent="0.35">
      <c r="A462" s="6" t="s">
        <v>1302</v>
      </c>
      <c r="B462" s="6" t="s">
        <v>1303</v>
      </c>
      <c r="C462" s="6" t="s">
        <v>1304</v>
      </c>
      <c r="D462" s="6" t="s">
        <v>1305</v>
      </c>
      <c r="E462" s="6" t="s">
        <v>1306</v>
      </c>
      <c r="F462" s="6" t="s">
        <v>1307</v>
      </c>
      <c r="G462" s="6" t="s">
        <v>1308</v>
      </c>
      <c r="H462" s="6" t="s">
        <v>1752</v>
      </c>
      <c r="I462" s="6">
        <v>0</v>
      </c>
      <c r="J462" s="6">
        <v>499</v>
      </c>
      <c r="K462" s="6">
        <v>1</v>
      </c>
      <c r="L462" s="6" t="s">
        <v>2238</v>
      </c>
      <c r="M462" s="6" t="e">
        <f>VLOOKUP(L462,'Nov Inv Recon'!H:H,1,FALSE)</f>
        <v>#N/A</v>
      </c>
      <c r="N462" s="6" t="e">
        <f>VLOOKUP(L462,VictoryHeitrich!D:D,1,FALSE)</f>
        <v>#N/A</v>
      </c>
      <c r="O462" s="6" t="s">
        <v>533</v>
      </c>
      <c r="P462" s="6" t="s">
        <v>1311</v>
      </c>
      <c r="Q462" s="6" t="s">
        <v>2818</v>
      </c>
      <c r="R462" s="6" t="s">
        <v>2818</v>
      </c>
      <c r="S462" s="6" t="s">
        <v>35</v>
      </c>
      <c r="T462" s="6" t="s">
        <v>36</v>
      </c>
      <c r="U462" s="6" t="s">
        <v>1313</v>
      </c>
      <c r="V462" s="6" t="s">
        <v>1314</v>
      </c>
      <c r="W462" s="6">
        <v>2025</v>
      </c>
      <c r="X462" s="6">
        <v>11</v>
      </c>
      <c r="Y462" s="6" t="s">
        <v>1315</v>
      </c>
      <c r="Z462" s="6">
        <v>2025</v>
      </c>
      <c r="AA462" s="6" t="s">
        <v>1316</v>
      </c>
      <c r="AB462" s="6" t="str">
        <f>VLOOKUP(S462,Mapping!A:C,3,FALSE)</f>
        <v>Primary</v>
      </c>
    </row>
    <row r="463" spans="1:28" x14ac:dyDescent="0.35">
      <c r="A463" s="6" t="s">
        <v>1302</v>
      </c>
      <c r="B463" s="6" t="s">
        <v>1303</v>
      </c>
      <c r="C463" s="6" t="s">
        <v>1304</v>
      </c>
      <c r="D463" s="6" t="s">
        <v>1305</v>
      </c>
      <c r="E463" s="6" t="s">
        <v>1306</v>
      </c>
      <c r="F463" s="6" t="s">
        <v>1307</v>
      </c>
      <c r="G463" s="6" t="s">
        <v>1308</v>
      </c>
      <c r="H463" s="6" t="s">
        <v>1309</v>
      </c>
      <c r="I463" s="6">
        <v>0</v>
      </c>
      <c r="J463" s="6">
        <v>0</v>
      </c>
      <c r="K463" s="6">
        <v>1</v>
      </c>
      <c r="L463" s="6" t="s">
        <v>1310</v>
      </c>
      <c r="M463" s="6" t="e">
        <f>VLOOKUP(L463,'Nov Inv Recon'!H:H,1,FALSE)</f>
        <v>#N/A</v>
      </c>
      <c r="N463" s="6" t="e">
        <f>VLOOKUP(L463,VictoryHeitrich!D:D,1,FALSE)</f>
        <v>#N/A</v>
      </c>
      <c r="O463" s="6" t="s">
        <v>328</v>
      </c>
      <c r="P463" s="6" t="s">
        <v>1311</v>
      </c>
      <c r="Q463" s="6" t="s">
        <v>1312</v>
      </c>
      <c r="R463" s="6" t="s">
        <v>1312</v>
      </c>
      <c r="S463" s="6" t="s">
        <v>35</v>
      </c>
      <c r="T463" s="6" t="s">
        <v>36</v>
      </c>
      <c r="U463" s="6" t="s">
        <v>1313</v>
      </c>
      <c r="V463" s="6" t="s">
        <v>1314</v>
      </c>
      <c r="W463" s="6">
        <v>2025</v>
      </c>
      <c r="X463" s="6">
        <v>11</v>
      </c>
      <c r="Y463" s="6" t="s">
        <v>1315</v>
      </c>
      <c r="Z463" s="6">
        <v>2025</v>
      </c>
      <c r="AA463" s="6" t="s">
        <v>1316</v>
      </c>
      <c r="AB463" s="6" t="str">
        <f>VLOOKUP(S463,Mapping!A:C,3,FALSE)</f>
        <v>Primary</v>
      </c>
    </row>
    <row r="464" spans="1:28" x14ac:dyDescent="0.35">
      <c r="A464" s="6" t="s">
        <v>1302</v>
      </c>
      <c r="B464" s="6" t="s">
        <v>1303</v>
      </c>
      <c r="C464" s="6" t="s">
        <v>1304</v>
      </c>
      <c r="D464" s="6" t="s">
        <v>1305</v>
      </c>
      <c r="E464" s="6" t="s">
        <v>1306</v>
      </c>
      <c r="F464" s="6" t="s">
        <v>1307</v>
      </c>
      <c r="G464" s="6" t="s">
        <v>1308</v>
      </c>
      <c r="H464" s="6" t="s">
        <v>1309</v>
      </c>
      <c r="I464" s="6">
        <v>0</v>
      </c>
      <c r="J464" s="6">
        <v>310.95999999999998</v>
      </c>
      <c r="K464" s="6">
        <v>1</v>
      </c>
      <c r="L464" s="6" t="s">
        <v>2244</v>
      </c>
      <c r="M464" s="6" t="e">
        <f>VLOOKUP(L464,'Nov Inv Recon'!H:H,1,FALSE)</f>
        <v>#N/A</v>
      </c>
      <c r="N464" s="6" t="e">
        <f>VLOOKUP(L464,VictoryHeitrich!D:D,1,FALSE)</f>
        <v>#N/A</v>
      </c>
      <c r="O464" s="6" t="s">
        <v>428</v>
      </c>
      <c r="P464" s="6" t="s">
        <v>1311</v>
      </c>
      <c r="Q464" s="6" t="s">
        <v>2819</v>
      </c>
      <c r="R464" s="6" t="s">
        <v>2819</v>
      </c>
      <c r="S464" s="6" t="s">
        <v>35</v>
      </c>
      <c r="T464" s="6" t="s">
        <v>36</v>
      </c>
      <c r="U464" s="6" t="s">
        <v>1313</v>
      </c>
      <c r="V464" s="6" t="s">
        <v>1314</v>
      </c>
      <c r="W464" s="6">
        <v>2025</v>
      </c>
      <c r="X464" s="6">
        <v>11</v>
      </c>
      <c r="Y464" s="6" t="s">
        <v>1315</v>
      </c>
      <c r="Z464" s="6">
        <v>2025</v>
      </c>
      <c r="AA464" s="6" t="s">
        <v>1316</v>
      </c>
      <c r="AB464" s="6" t="str">
        <f>VLOOKUP(S464,Mapping!A:C,3,FALSE)</f>
        <v>Primary</v>
      </c>
    </row>
    <row r="465" spans="1:28" x14ac:dyDescent="0.35">
      <c r="A465" s="6" t="s">
        <v>1302</v>
      </c>
      <c r="B465" s="6" t="s">
        <v>1303</v>
      </c>
      <c r="C465" s="6" t="s">
        <v>1304</v>
      </c>
      <c r="D465" s="6" t="s">
        <v>1305</v>
      </c>
      <c r="E465" s="6" t="s">
        <v>1306</v>
      </c>
      <c r="F465" s="6" t="s">
        <v>1307</v>
      </c>
      <c r="G465" s="6" t="s">
        <v>1308</v>
      </c>
      <c r="H465" s="6" t="s">
        <v>2528</v>
      </c>
      <c r="I465" s="6">
        <v>0</v>
      </c>
      <c r="J465" s="6">
        <v>499</v>
      </c>
      <c r="K465" s="6">
        <v>1</v>
      </c>
      <c r="L465" s="6" t="s">
        <v>2197</v>
      </c>
      <c r="M465" s="6" t="e">
        <f>VLOOKUP(L465,'Nov Inv Recon'!H:H,1,FALSE)</f>
        <v>#N/A</v>
      </c>
      <c r="N465" s="6" t="e">
        <f>VLOOKUP(L465,VictoryHeitrich!D:D,1,FALSE)</f>
        <v>#N/A</v>
      </c>
      <c r="O465" s="6" t="s">
        <v>945</v>
      </c>
      <c r="P465" s="6" t="s">
        <v>1311</v>
      </c>
      <c r="Q465" s="6" t="s">
        <v>2820</v>
      </c>
      <c r="R465" s="6" t="s">
        <v>2820</v>
      </c>
      <c r="S465" s="6" t="s">
        <v>35</v>
      </c>
      <c r="T465" s="6" t="s">
        <v>36</v>
      </c>
      <c r="U465" s="6" t="s">
        <v>1313</v>
      </c>
      <c r="V465" s="6" t="s">
        <v>1314</v>
      </c>
      <c r="W465" s="6">
        <v>2025</v>
      </c>
      <c r="X465" s="6">
        <v>11</v>
      </c>
      <c r="Y465" s="6" t="s">
        <v>1315</v>
      </c>
      <c r="Z465" s="6">
        <v>2025</v>
      </c>
      <c r="AA465" s="6" t="s">
        <v>1316</v>
      </c>
      <c r="AB465" s="6" t="str">
        <f>VLOOKUP(S465,Mapping!A:C,3,FALSE)</f>
        <v>Primary</v>
      </c>
    </row>
    <row r="466" spans="1:28" x14ac:dyDescent="0.35">
      <c r="A466" s="6" t="s">
        <v>1302</v>
      </c>
      <c r="B466" s="6" t="s">
        <v>1303</v>
      </c>
      <c r="C466" s="6" t="s">
        <v>1304</v>
      </c>
      <c r="D466" s="6" t="s">
        <v>1305</v>
      </c>
      <c r="E466" s="6" t="s">
        <v>1306</v>
      </c>
      <c r="F466" s="6" t="s">
        <v>1307</v>
      </c>
      <c r="G466" s="6" t="s">
        <v>1308</v>
      </c>
      <c r="H466" s="6" t="s">
        <v>1632</v>
      </c>
      <c r="I466" s="6">
        <v>0</v>
      </c>
      <c r="J466" s="6">
        <v>371.36</v>
      </c>
      <c r="K466" s="6">
        <v>1</v>
      </c>
      <c r="L466" s="6" t="s">
        <v>2254</v>
      </c>
      <c r="M466" s="6" t="e">
        <f>VLOOKUP(L466,'Nov Inv Recon'!H:H,1,FALSE)</f>
        <v>#N/A</v>
      </c>
      <c r="N466" s="6" t="e">
        <f>VLOOKUP(L466,VictoryHeitrich!D:D,1,FALSE)</f>
        <v>#N/A</v>
      </c>
      <c r="O466" s="6" t="s">
        <v>870</v>
      </c>
      <c r="P466" s="6" t="s">
        <v>1311</v>
      </c>
      <c r="Q466" s="6" t="s">
        <v>2821</v>
      </c>
      <c r="R466" s="6" t="s">
        <v>2821</v>
      </c>
      <c r="S466" s="6" t="s">
        <v>35</v>
      </c>
      <c r="T466" s="6" t="s">
        <v>36</v>
      </c>
      <c r="U466" s="6" t="s">
        <v>1313</v>
      </c>
      <c r="V466" s="6" t="s">
        <v>1314</v>
      </c>
      <c r="W466" s="6">
        <v>2025</v>
      </c>
      <c r="X466" s="6">
        <v>11</v>
      </c>
      <c r="Y466" s="6" t="s">
        <v>1315</v>
      </c>
      <c r="Z466" s="6">
        <v>2025</v>
      </c>
      <c r="AA466" s="6" t="s">
        <v>1316</v>
      </c>
      <c r="AB466" s="6" t="str">
        <f>VLOOKUP(S466,Mapping!A:C,3,FALSE)</f>
        <v>Primary</v>
      </c>
    </row>
    <row r="467" spans="1:28" x14ac:dyDescent="0.35">
      <c r="A467" s="6" t="s">
        <v>1302</v>
      </c>
      <c r="B467" s="6" t="s">
        <v>1303</v>
      </c>
      <c r="C467" s="6" t="s">
        <v>1304</v>
      </c>
      <c r="D467" s="6" t="s">
        <v>1305</v>
      </c>
      <c r="E467" s="6" t="s">
        <v>1306</v>
      </c>
      <c r="F467" s="6" t="s">
        <v>1307</v>
      </c>
      <c r="G467" s="6" t="s">
        <v>1308</v>
      </c>
      <c r="H467" s="6" t="s">
        <v>2481</v>
      </c>
      <c r="I467" s="6">
        <v>0</v>
      </c>
      <c r="J467" s="6">
        <v>476.05</v>
      </c>
      <c r="K467" s="6">
        <v>1</v>
      </c>
      <c r="L467" s="6" t="s">
        <v>1343</v>
      </c>
      <c r="M467" s="6" t="e">
        <f>VLOOKUP(L467,'Nov Inv Recon'!H:H,1,FALSE)</f>
        <v>#N/A</v>
      </c>
      <c r="N467" s="6" t="e">
        <f>VLOOKUP(L467,VictoryHeitrich!D:D,1,FALSE)</f>
        <v>#N/A</v>
      </c>
      <c r="O467" s="6" t="s">
        <v>1344</v>
      </c>
      <c r="P467" s="6" t="s">
        <v>1311</v>
      </c>
      <c r="Q467" s="6" t="s">
        <v>2822</v>
      </c>
      <c r="R467" s="6" t="s">
        <v>2822</v>
      </c>
      <c r="S467" s="6" t="s">
        <v>35</v>
      </c>
      <c r="T467" s="6" t="s">
        <v>36</v>
      </c>
      <c r="U467" s="6" t="s">
        <v>1313</v>
      </c>
      <c r="V467" s="6" t="s">
        <v>1314</v>
      </c>
      <c r="W467" s="6">
        <v>2025</v>
      </c>
      <c r="X467" s="6">
        <v>11</v>
      </c>
      <c r="Y467" s="6" t="s">
        <v>1315</v>
      </c>
      <c r="Z467" s="6">
        <v>2025</v>
      </c>
      <c r="AA467" s="6" t="s">
        <v>1316</v>
      </c>
      <c r="AB467" s="6" t="str">
        <f>VLOOKUP(S467,Mapping!A:C,3,FALSE)</f>
        <v>Primary</v>
      </c>
    </row>
    <row r="468" spans="1:28" x14ac:dyDescent="0.35">
      <c r="A468" s="6" t="s">
        <v>1302</v>
      </c>
      <c r="B468" s="6" t="s">
        <v>1303</v>
      </c>
      <c r="C468" s="6" t="s">
        <v>1304</v>
      </c>
      <c r="D468" s="6" t="s">
        <v>1305</v>
      </c>
      <c r="E468" s="6" t="s">
        <v>1306</v>
      </c>
      <c r="F468" s="6" t="s">
        <v>1307</v>
      </c>
      <c r="G468" s="6" t="s">
        <v>1308</v>
      </c>
      <c r="H468" s="6" t="s">
        <v>1632</v>
      </c>
      <c r="I468" s="6">
        <v>0</v>
      </c>
      <c r="J468" s="6">
        <v>199</v>
      </c>
      <c r="K468" s="6">
        <v>1</v>
      </c>
      <c r="L468" s="6" t="s">
        <v>2049</v>
      </c>
      <c r="M468" s="6" t="e">
        <f>VLOOKUP(L468,'Nov Inv Recon'!H:H,1,FALSE)</f>
        <v>#N/A</v>
      </c>
      <c r="N468" s="6" t="e">
        <f>VLOOKUP(L468,VictoryHeitrich!D:D,1,FALSE)</f>
        <v>#N/A</v>
      </c>
      <c r="O468" s="6" t="s">
        <v>135</v>
      </c>
      <c r="P468" s="6" t="s">
        <v>1311</v>
      </c>
      <c r="Q468" s="6" t="s">
        <v>2823</v>
      </c>
      <c r="R468" s="6" t="s">
        <v>2823</v>
      </c>
      <c r="S468" s="6" t="s">
        <v>35</v>
      </c>
      <c r="T468" s="6" t="s">
        <v>36</v>
      </c>
      <c r="U468" s="6" t="s">
        <v>1313</v>
      </c>
      <c r="V468" s="6" t="s">
        <v>1314</v>
      </c>
      <c r="W468" s="6">
        <v>2025</v>
      </c>
      <c r="X468" s="6">
        <v>11</v>
      </c>
      <c r="Y468" s="6" t="s">
        <v>1315</v>
      </c>
      <c r="Z468" s="6">
        <v>2025</v>
      </c>
      <c r="AA468" s="6" t="s">
        <v>1316</v>
      </c>
      <c r="AB468" s="6" t="str">
        <f>VLOOKUP(S468,Mapping!A:C,3,FALSE)</f>
        <v>Primary</v>
      </c>
    </row>
    <row r="469" spans="1:28" x14ac:dyDescent="0.35">
      <c r="A469" s="6" t="s">
        <v>1302</v>
      </c>
      <c r="B469" s="6" t="s">
        <v>1303</v>
      </c>
      <c r="C469" s="6" t="s">
        <v>1304</v>
      </c>
      <c r="D469" s="6" t="s">
        <v>1305</v>
      </c>
      <c r="E469" s="6" t="s">
        <v>1306</v>
      </c>
      <c r="F469" s="6" t="s">
        <v>1307</v>
      </c>
      <c r="G469" s="6" t="s">
        <v>1308</v>
      </c>
      <c r="H469" s="6" t="s">
        <v>1728</v>
      </c>
      <c r="I469" s="6">
        <v>0</v>
      </c>
      <c r="J469" s="6">
        <v>371.18</v>
      </c>
      <c r="K469" s="6">
        <v>1</v>
      </c>
      <c r="L469" s="6" t="s">
        <v>2257</v>
      </c>
      <c r="M469" s="6" t="e">
        <f>VLOOKUP(L469,'Nov Inv Recon'!H:H,1,FALSE)</f>
        <v>#N/A</v>
      </c>
      <c r="N469" s="6" t="e">
        <f>VLOOKUP(L469,VictoryHeitrich!D:D,1,FALSE)</f>
        <v>#N/A</v>
      </c>
      <c r="O469" s="6" t="s">
        <v>796</v>
      </c>
      <c r="P469" s="6" t="s">
        <v>1311</v>
      </c>
      <c r="Q469" s="6" t="s">
        <v>2824</v>
      </c>
      <c r="R469" s="6" t="s">
        <v>2824</v>
      </c>
      <c r="S469" s="6" t="s">
        <v>35</v>
      </c>
      <c r="T469" s="6" t="s">
        <v>36</v>
      </c>
      <c r="U469" s="6" t="s">
        <v>1313</v>
      </c>
      <c r="V469" s="6" t="s">
        <v>1314</v>
      </c>
      <c r="W469" s="6">
        <v>2025</v>
      </c>
      <c r="X469" s="6">
        <v>11</v>
      </c>
      <c r="Y469" s="6" t="s">
        <v>1315</v>
      </c>
      <c r="Z469" s="6">
        <v>2025</v>
      </c>
      <c r="AA469" s="6" t="s">
        <v>1316</v>
      </c>
      <c r="AB469" s="6" t="str">
        <f>VLOOKUP(S469,Mapping!A:C,3,FALSE)</f>
        <v>Primary</v>
      </c>
    </row>
    <row r="470" spans="1:28" x14ac:dyDescent="0.35">
      <c r="A470" s="6" t="s">
        <v>1302</v>
      </c>
      <c r="B470" s="6" t="s">
        <v>1303</v>
      </c>
      <c r="C470" s="6" t="s">
        <v>1304</v>
      </c>
      <c r="D470" s="6" t="s">
        <v>1305</v>
      </c>
      <c r="E470" s="6" t="s">
        <v>1306</v>
      </c>
      <c r="F470" s="6" t="s">
        <v>1307</v>
      </c>
      <c r="G470" s="6" t="s">
        <v>1308</v>
      </c>
      <c r="H470" s="6" t="s">
        <v>1777</v>
      </c>
      <c r="I470" s="6">
        <v>0</v>
      </c>
      <c r="J470" s="6">
        <v>199</v>
      </c>
      <c r="K470" s="6">
        <v>1</v>
      </c>
      <c r="L470" s="6" t="s">
        <v>2168</v>
      </c>
      <c r="M470" s="6" t="e">
        <f>VLOOKUP(L470,'Nov Inv Recon'!H:H,1,FALSE)</f>
        <v>#N/A</v>
      </c>
      <c r="N470" s="6" t="e">
        <f>VLOOKUP(L470,VictoryHeitrich!D:D,1,FALSE)</f>
        <v>#N/A</v>
      </c>
      <c r="O470" s="6" t="s">
        <v>929</v>
      </c>
      <c r="P470" s="6" t="s">
        <v>1311</v>
      </c>
      <c r="Q470" s="6" t="s">
        <v>2825</v>
      </c>
      <c r="R470" s="6" t="s">
        <v>2825</v>
      </c>
      <c r="S470" s="6" t="s">
        <v>35</v>
      </c>
      <c r="T470" s="6" t="s">
        <v>36</v>
      </c>
      <c r="U470" s="6" t="s">
        <v>1313</v>
      </c>
      <c r="V470" s="6" t="s">
        <v>1314</v>
      </c>
      <c r="W470" s="6">
        <v>2025</v>
      </c>
      <c r="X470" s="6">
        <v>11</v>
      </c>
      <c r="Y470" s="6" t="s">
        <v>1315</v>
      </c>
      <c r="Z470" s="6">
        <v>2025</v>
      </c>
      <c r="AA470" s="6" t="s">
        <v>1316</v>
      </c>
      <c r="AB470" s="6" t="str">
        <f>VLOOKUP(S470,Mapping!A:C,3,FALSE)</f>
        <v>Primary</v>
      </c>
    </row>
    <row r="471" spans="1:28" x14ac:dyDescent="0.35">
      <c r="A471" s="6" t="s">
        <v>1302</v>
      </c>
      <c r="B471" s="6" t="s">
        <v>1303</v>
      </c>
      <c r="C471" s="6" t="s">
        <v>1304</v>
      </c>
      <c r="D471" s="6" t="s">
        <v>1305</v>
      </c>
      <c r="E471" s="6" t="s">
        <v>1306</v>
      </c>
      <c r="F471" s="6" t="s">
        <v>1307</v>
      </c>
      <c r="G471" s="6" t="s">
        <v>1308</v>
      </c>
      <c r="H471" s="6" t="s">
        <v>1842</v>
      </c>
      <c r="I471" s="6">
        <v>0</v>
      </c>
      <c r="J471" s="6">
        <v>499</v>
      </c>
      <c r="K471" s="6">
        <v>1</v>
      </c>
      <c r="L471" s="6" t="s">
        <v>2214</v>
      </c>
      <c r="M471" s="6" t="e">
        <f>VLOOKUP(L471,'Nov Inv Recon'!H:H,1,FALSE)</f>
        <v>#N/A</v>
      </c>
      <c r="N471" s="6" t="e">
        <f>VLOOKUP(L471,VictoryHeitrich!D:D,1,FALSE)</f>
        <v>#N/A</v>
      </c>
      <c r="O471" s="6" t="s">
        <v>519</v>
      </c>
      <c r="P471" s="6" t="s">
        <v>1311</v>
      </c>
      <c r="Q471" s="6" t="s">
        <v>2826</v>
      </c>
      <c r="R471" s="6" t="s">
        <v>2826</v>
      </c>
      <c r="S471" s="6" t="s">
        <v>35</v>
      </c>
      <c r="T471" s="6" t="s">
        <v>36</v>
      </c>
      <c r="U471" s="6" t="s">
        <v>1313</v>
      </c>
      <c r="V471" s="6" t="s">
        <v>1314</v>
      </c>
      <c r="W471" s="6">
        <v>2025</v>
      </c>
      <c r="X471" s="6">
        <v>11</v>
      </c>
      <c r="Y471" s="6" t="s">
        <v>1315</v>
      </c>
      <c r="Z471" s="6">
        <v>2025</v>
      </c>
      <c r="AA471" s="6" t="s">
        <v>1316</v>
      </c>
      <c r="AB471" s="6" t="str">
        <f>VLOOKUP(S471,Mapping!A:C,3,FALSE)</f>
        <v>Primary</v>
      </c>
    </row>
    <row r="472" spans="1:28" x14ac:dyDescent="0.35">
      <c r="A472" s="6" t="s">
        <v>1302</v>
      </c>
      <c r="B472" s="6" t="s">
        <v>1303</v>
      </c>
      <c r="C472" s="6" t="s">
        <v>1304</v>
      </c>
      <c r="D472" s="6" t="s">
        <v>1305</v>
      </c>
      <c r="E472" s="6" t="s">
        <v>1306</v>
      </c>
      <c r="F472" s="6" t="s">
        <v>1307</v>
      </c>
      <c r="G472" s="6" t="s">
        <v>1308</v>
      </c>
      <c r="H472" s="6" t="s">
        <v>2528</v>
      </c>
      <c r="I472" s="6">
        <v>0</v>
      </c>
      <c r="J472" s="6">
        <v>499</v>
      </c>
      <c r="K472" s="6">
        <v>1</v>
      </c>
      <c r="L472" s="6" t="s">
        <v>2197</v>
      </c>
      <c r="M472" s="6" t="e">
        <f>VLOOKUP(L472,'Nov Inv Recon'!H:H,1,FALSE)</f>
        <v>#N/A</v>
      </c>
      <c r="N472" s="6" t="e">
        <f>VLOOKUP(L472,VictoryHeitrich!D:D,1,FALSE)</f>
        <v>#N/A</v>
      </c>
      <c r="O472" s="6" t="s">
        <v>945</v>
      </c>
      <c r="P472" s="6" t="s">
        <v>1311</v>
      </c>
      <c r="Q472" s="6" t="s">
        <v>2827</v>
      </c>
      <c r="R472" s="6" t="s">
        <v>2827</v>
      </c>
      <c r="S472" s="6" t="s">
        <v>35</v>
      </c>
      <c r="T472" s="6" t="s">
        <v>36</v>
      </c>
      <c r="U472" s="6" t="s">
        <v>1313</v>
      </c>
      <c r="V472" s="6" t="s">
        <v>1314</v>
      </c>
      <c r="W472" s="6">
        <v>2025</v>
      </c>
      <c r="X472" s="6">
        <v>11</v>
      </c>
      <c r="Y472" s="6" t="s">
        <v>1315</v>
      </c>
      <c r="Z472" s="6">
        <v>2025</v>
      </c>
      <c r="AA472" s="6" t="s">
        <v>1316</v>
      </c>
      <c r="AB472" s="6" t="str">
        <f>VLOOKUP(S472,Mapping!A:C,3,FALSE)</f>
        <v>Primary</v>
      </c>
    </row>
    <row r="473" spans="1:28" x14ac:dyDescent="0.35">
      <c r="A473" s="6" t="s">
        <v>1302</v>
      </c>
      <c r="B473" s="6" t="s">
        <v>1303</v>
      </c>
      <c r="C473" s="6" t="s">
        <v>1304</v>
      </c>
      <c r="D473" s="6" t="s">
        <v>1305</v>
      </c>
      <c r="E473" s="6" t="s">
        <v>1306</v>
      </c>
      <c r="F473" s="6" t="s">
        <v>1307</v>
      </c>
      <c r="G473" s="6" t="s">
        <v>1308</v>
      </c>
      <c r="H473" s="6" t="s">
        <v>2528</v>
      </c>
      <c r="I473" s="6">
        <v>0</v>
      </c>
      <c r="J473" s="6">
        <v>619.46</v>
      </c>
      <c r="K473" s="6">
        <v>1</v>
      </c>
      <c r="L473" s="6" t="s">
        <v>2225</v>
      </c>
      <c r="M473" s="6" t="e">
        <f>VLOOKUP(L473,'Nov Inv Recon'!H:H,1,FALSE)</f>
        <v>#N/A</v>
      </c>
      <c r="N473" s="6" t="e">
        <f>VLOOKUP(L473,VictoryHeitrich!D:D,1,FALSE)</f>
        <v>#N/A</v>
      </c>
      <c r="O473" s="6" t="s">
        <v>952</v>
      </c>
      <c r="P473" s="6" t="s">
        <v>1311</v>
      </c>
      <c r="Q473" s="6" t="s">
        <v>2828</v>
      </c>
      <c r="R473" s="6" t="s">
        <v>2828</v>
      </c>
      <c r="S473" s="6" t="s">
        <v>35</v>
      </c>
      <c r="T473" s="6" t="s">
        <v>36</v>
      </c>
      <c r="U473" s="6" t="s">
        <v>1313</v>
      </c>
      <c r="V473" s="6" t="s">
        <v>1314</v>
      </c>
      <c r="W473" s="6">
        <v>2025</v>
      </c>
      <c r="X473" s="6">
        <v>11</v>
      </c>
      <c r="Y473" s="6" t="s">
        <v>1315</v>
      </c>
      <c r="Z473" s="6">
        <v>2025</v>
      </c>
      <c r="AA473" s="6" t="s">
        <v>1316</v>
      </c>
      <c r="AB473" s="6" t="str">
        <f>VLOOKUP(S473,Mapping!A:C,3,FALSE)</f>
        <v>Primary</v>
      </c>
    </row>
    <row r="474" spans="1:28" x14ac:dyDescent="0.35">
      <c r="A474" s="6" t="s">
        <v>1302</v>
      </c>
      <c r="B474" s="6" t="s">
        <v>1303</v>
      </c>
      <c r="C474" s="6" t="s">
        <v>1304</v>
      </c>
      <c r="D474" s="6" t="s">
        <v>1305</v>
      </c>
      <c r="E474" s="6" t="s">
        <v>1306</v>
      </c>
      <c r="F474" s="6" t="s">
        <v>1307</v>
      </c>
      <c r="G474" s="6" t="s">
        <v>1308</v>
      </c>
      <c r="H474" s="6" t="s">
        <v>1752</v>
      </c>
      <c r="I474" s="6">
        <v>0</v>
      </c>
      <c r="J474" s="6">
        <v>499</v>
      </c>
      <c r="K474" s="6">
        <v>1</v>
      </c>
      <c r="L474" s="6" t="s">
        <v>2190</v>
      </c>
      <c r="M474" s="6" t="e">
        <f>VLOOKUP(L474,'Nov Inv Recon'!H:H,1,FALSE)</f>
        <v>#N/A</v>
      </c>
      <c r="N474" s="6" t="e">
        <f>VLOOKUP(L474,VictoryHeitrich!D:D,1,FALSE)</f>
        <v>#N/A</v>
      </c>
      <c r="O474" s="6" t="s">
        <v>523</v>
      </c>
      <c r="P474" s="6" t="s">
        <v>1311</v>
      </c>
      <c r="Q474" s="6" t="s">
        <v>2829</v>
      </c>
      <c r="R474" s="6" t="s">
        <v>2829</v>
      </c>
      <c r="S474" s="6" t="s">
        <v>35</v>
      </c>
      <c r="T474" s="6" t="s">
        <v>36</v>
      </c>
      <c r="U474" s="6" t="s">
        <v>1313</v>
      </c>
      <c r="V474" s="6" t="s">
        <v>1314</v>
      </c>
      <c r="W474" s="6">
        <v>2025</v>
      </c>
      <c r="X474" s="6">
        <v>11</v>
      </c>
      <c r="Y474" s="6" t="s">
        <v>1315</v>
      </c>
      <c r="Z474" s="6">
        <v>2025</v>
      </c>
      <c r="AA474" s="6" t="s">
        <v>1316</v>
      </c>
      <c r="AB474" s="6" t="str">
        <f>VLOOKUP(S474,Mapping!A:C,3,FALSE)</f>
        <v>Primary</v>
      </c>
    </row>
    <row r="475" spans="1:28" x14ac:dyDescent="0.35">
      <c r="A475" s="6" t="s">
        <v>1302</v>
      </c>
      <c r="B475" s="6" t="s">
        <v>1303</v>
      </c>
      <c r="C475" s="6" t="s">
        <v>1304</v>
      </c>
      <c r="D475" s="6" t="s">
        <v>1305</v>
      </c>
      <c r="E475" s="6" t="s">
        <v>1306</v>
      </c>
      <c r="F475" s="6" t="s">
        <v>1307</v>
      </c>
      <c r="G475" s="6" t="s">
        <v>1308</v>
      </c>
      <c r="H475" s="6" t="s">
        <v>1777</v>
      </c>
      <c r="I475" s="6">
        <v>0</v>
      </c>
      <c r="J475" s="6">
        <v>22.32</v>
      </c>
      <c r="K475" s="6">
        <v>1</v>
      </c>
      <c r="L475" s="6" t="s">
        <v>1427</v>
      </c>
      <c r="M475" s="6" t="e">
        <f>VLOOKUP(L475,'Nov Inv Recon'!H:H,1,FALSE)</f>
        <v>#N/A</v>
      </c>
      <c r="N475" s="6" t="e">
        <f>VLOOKUP(L475,VictoryHeitrich!D:D,1,FALSE)</f>
        <v>#N/A</v>
      </c>
      <c r="O475" s="6" t="s">
        <v>1428</v>
      </c>
      <c r="P475" s="6" t="s">
        <v>1311</v>
      </c>
      <c r="Q475" s="6" t="s">
        <v>2830</v>
      </c>
      <c r="R475" s="6" t="s">
        <v>2830</v>
      </c>
      <c r="S475" s="6" t="s">
        <v>35</v>
      </c>
      <c r="T475" s="6" t="s">
        <v>36</v>
      </c>
      <c r="U475" s="6" t="s">
        <v>1313</v>
      </c>
      <c r="V475" s="6" t="s">
        <v>1314</v>
      </c>
      <c r="W475" s="6">
        <v>2025</v>
      </c>
      <c r="X475" s="6">
        <v>11</v>
      </c>
      <c r="Y475" s="6" t="s">
        <v>1315</v>
      </c>
      <c r="Z475" s="6">
        <v>2025</v>
      </c>
      <c r="AA475" s="6" t="s">
        <v>1316</v>
      </c>
      <c r="AB475" s="6" t="str">
        <f>VLOOKUP(S475,Mapping!A:C,3,FALSE)</f>
        <v>Primary</v>
      </c>
    </row>
    <row r="476" spans="1:28" x14ac:dyDescent="0.35">
      <c r="A476" s="6" t="s">
        <v>1302</v>
      </c>
      <c r="B476" s="6" t="s">
        <v>1303</v>
      </c>
      <c r="C476" s="6" t="s">
        <v>1304</v>
      </c>
      <c r="D476" s="6" t="s">
        <v>1305</v>
      </c>
      <c r="E476" s="6" t="s">
        <v>1306</v>
      </c>
      <c r="F476" s="6" t="s">
        <v>1307</v>
      </c>
      <c r="G476" s="6" t="s">
        <v>1308</v>
      </c>
      <c r="H476" s="6" t="s">
        <v>1719</v>
      </c>
      <c r="I476" s="6">
        <v>0</v>
      </c>
      <c r="J476" s="6">
        <v>371.18</v>
      </c>
      <c r="K476" s="6">
        <v>1</v>
      </c>
      <c r="L476" s="6" t="s">
        <v>2104</v>
      </c>
      <c r="M476" s="6" t="e">
        <f>VLOOKUP(L476,'Nov Inv Recon'!H:H,1,FALSE)</f>
        <v>#N/A</v>
      </c>
      <c r="N476" s="6" t="e">
        <f>VLOOKUP(L476,VictoryHeitrich!D:D,1,FALSE)</f>
        <v>#N/A</v>
      </c>
      <c r="O476" s="6" t="s">
        <v>803</v>
      </c>
      <c r="P476" s="6" t="s">
        <v>1311</v>
      </c>
      <c r="Q476" s="6" t="s">
        <v>2831</v>
      </c>
      <c r="R476" s="6" t="s">
        <v>2831</v>
      </c>
      <c r="S476" s="6" t="s">
        <v>35</v>
      </c>
      <c r="T476" s="6" t="s">
        <v>36</v>
      </c>
      <c r="U476" s="6" t="s">
        <v>1313</v>
      </c>
      <c r="V476" s="6" t="s">
        <v>1314</v>
      </c>
      <c r="W476" s="6">
        <v>2025</v>
      </c>
      <c r="X476" s="6">
        <v>11</v>
      </c>
      <c r="Y476" s="6" t="s">
        <v>1315</v>
      </c>
      <c r="Z476" s="6">
        <v>2025</v>
      </c>
      <c r="AA476" s="6" t="s">
        <v>1316</v>
      </c>
      <c r="AB476" s="6" t="str">
        <f>VLOOKUP(S476,Mapping!A:C,3,FALSE)</f>
        <v>Primary</v>
      </c>
    </row>
    <row r="477" spans="1:28" x14ac:dyDescent="0.35">
      <c r="A477" s="6" t="s">
        <v>1302</v>
      </c>
      <c r="B477" s="6" t="s">
        <v>1303</v>
      </c>
      <c r="C477" s="6" t="s">
        <v>1304</v>
      </c>
      <c r="D477" s="6" t="s">
        <v>1305</v>
      </c>
      <c r="E477" s="6" t="s">
        <v>1306</v>
      </c>
      <c r="F477" s="6" t="s">
        <v>1307</v>
      </c>
      <c r="G477" s="6" t="s">
        <v>1308</v>
      </c>
      <c r="H477" s="6" t="s">
        <v>1937</v>
      </c>
      <c r="I477" s="6">
        <v>0</v>
      </c>
      <c r="J477" s="6">
        <v>145.08000000000001</v>
      </c>
      <c r="K477" s="6">
        <v>1</v>
      </c>
      <c r="L477" s="6" t="s">
        <v>2119</v>
      </c>
      <c r="M477" s="6" t="e">
        <f>VLOOKUP(L477,'Nov Inv Recon'!H:H,1,FALSE)</f>
        <v>#N/A</v>
      </c>
      <c r="N477" s="6" t="e">
        <f>VLOOKUP(L477,VictoryHeitrich!D:D,1,FALSE)</f>
        <v>#N/A</v>
      </c>
      <c r="O477" s="6" t="s">
        <v>166</v>
      </c>
      <c r="P477" s="6" t="s">
        <v>1311</v>
      </c>
      <c r="Q477" s="6" t="s">
        <v>2832</v>
      </c>
      <c r="R477" s="6" t="s">
        <v>2832</v>
      </c>
      <c r="S477" s="6" t="s">
        <v>35</v>
      </c>
      <c r="T477" s="6" t="s">
        <v>36</v>
      </c>
      <c r="U477" s="6" t="s">
        <v>1313</v>
      </c>
      <c r="V477" s="6" t="s">
        <v>1314</v>
      </c>
      <c r="W477" s="6">
        <v>2025</v>
      </c>
      <c r="X477" s="6">
        <v>11</v>
      </c>
      <c r="Y477" s="6" t="s">
        <v>1315</v>
      </c>
      <c r="Z477" s="6">
        <v>2025</v>
      </c>
      <c r="AA477" s="6" t="s">
        <v>1316</v>
      </c>
      <c r="AB477" s="6" t="str">
        <f>VLOOKUP(S477,Mapping!A:C,3,FALSE)</f>
        <v>Primary</v>
      </c>
    </row>
    <row r="478" spans="1:28" x14ac:dyDescent="0.35">
      <c r="A478" s="6" t="s">
        <v>1302</v>
      </c>
      <c r="B478" s="6" t="s">
        <v>1303</v>
      </c>
      <c r="C478" s="6" t="s">
        <v>1304</v>
      </c>
      <c r="D478" s="6" t="s">
        <v>1305</v>
      </c>
      <c r="E478" s="6" t="s">
        <v>1306</v>
      </c>
      <c r="F478" s="6" t="s">
        <v>1307</v>
      </c>
      <c r="G478" s="6" t="s">
        <v>1308</v>
      </c>
      <c r="H478" s="6" t="s">
        <v>1937</v>
      </c>
      <c r="I478" s="6">
        <v>0</v>
      </c>
      <c r="J478" s="6">
        <v>217.99</v>
      </c>
      <c r="K478" s="6">
        <v>1</v>
      </c>
      <c r="L478" s="6" t="s">
        <v>2114</v>
      </c>
      <c r="M478" s="6" t="e">
        <f>VLOOKUP(L478,'Nov Inv Recon'!H:H,1,FALSE)</f>
        <v>#N/A</v>
      </c>
      <c r="N478" s="6" t="e">
        <f>VLOOKUP(L478,VictoryHeitrich!D:D,1,FALSE)</f>
        <v>#N/A</v>
      </c>
      <c r="O478" s="6" t="s">
        <v>249</v>
      </c>
      <c r="P478" s="6" t="s">
        <v>1311</v>
      </c>
      <c r="Q478" s="6" t="s">
        <v>2833</v>
      </c>
      <c r="R478" s="6" t="s">
        <v>2833</v>
      </c>
      <c r="S478" s="6" t="s">
        <v>35</v>
      </c>
      <c r="T478" s="6" t="s">
        <v>36</v>
      </c>
      <c r="U478" s="6" t="s">
        <v>1313</v>
      </c>
      <c r="V478" s="6" t="s">
        <v>1314</v>
      </c>
      <c r="W478" s="6">
        <v>2025</v>
      </c>
      <c r="X478" s="6">
        <v>11</v>
      </c>
      <c r="Y478" s="6" t="s">
        <v>1315</v>
      </c>
      <c r="Z478" s="6">
        <v>2025</v>
      </c>
      <c r="AA478" s="6" t="s">
        <v>1316</v>
      </c>
      <c r="AB478" s="6" t="str">
        <f>VLOOKUP(S478,Mapping!A:C,3,FALSE)</f>
        <v>Primary</v>
      </c>
    </row>
    <row r="479" spans="1:28" x14ac:dyDescent="0.35">
      <c r="A479" s="6" t="s">
        <v>1302</v>
      </c>
      <c r="B479" s="6" t="s">
        <v>1303</v>
      </c>
      <c r="C479" s="6" t="s">
        <v>1304</v>
      </c>
      <c r="D479" s="6" t="s">
        <v>1305</v>
      </c>
      <c r="E479" s="6" t="s">
        <v>1306</v>
      </c>
      <c r="F479" s="6" t="s">
        <v>1307</v>
      </c>
      <c r="G479" s="6" t="s">
        <v>1308</v>
      </c>
      <c r="H479" s="6" t="s">
        <v>1937</v>
      </c>
      <c r="I479" s="6">
        <v>0</v>
      </c>
      <c r="J479" s="6">
        <v>217.99</v>
      </c>
      <c r="K479" s="6">
        <v>1</v>
      </c>
      <c r="L479" s="6" t="s">
        <v>2111</v>
      </c>
      <c r="M479" s="6" t="e">
        <f>VLOOKUP(L479,'Nov Inv Recon'!H:H,1,FALSE)</f>
        <v>#N/A</v>
      </c>
      <c r="N479" s="6" t="e">
        <f>VLOOKUP(L479,VictoryHeitrich!D:D,1,FALSE)</f>
        <v>#N/A</v>
      </c>
      <c r="O479" s="6" t="s">
        <v>252</v>
      </c>
      <c r="P479" s="6" t="s">
        <v>1311</v>
      </c>
      <c r="Q479" s="6" t="s">
        <v>2834</v>
      </c>
      <c r="R479" s="6" t="s">
        <v>2834</v>
      </c>
      <c r="S479" s="6" t="s">
        <v>35</v>
      </c>
      <c r="T479" s="6" t="s">
        <v>36</v>
      </c>
      <c r="U479" s="6" t="s">
        <v>1313</v>
      </c>
      <c r="V479" s="6" t="s">
        <v>1314</v>
      </c>
      <c r="W479" s="6">
        <v>2025</v>
      </c>
      <c r="X479" s="6">
        <v>11</v>
      </c>
      <c r="Y479" s="6" t="s">
        <v>1315</v>
      </c>
      <c r="Z479" s="6">
        <v>2025</v>
      </c>
      <c r="AA479" s="6" t="s">
        <v>1316</v>
      </c>
      <c r="AB479" s="6" t="str">
        <f>VLOOKUP(S479,Mapping!A:C,3,FALSE)</f>
        <v>Primary</v>
      </c>
    </row>
    <row r="480" spans="1:28" x14ac:dyDescent="0.35">
      <c r="A480" s="6" t="s">
        <v>1302</v>
      </c>
      <c r="B480" s="6" t="s">
        <v>1303</v>
      </c>
      <c r="C480" s="6" t="s">
        <v>1304</v>
      </c>
      <c r="D480" s="6" t="s">
        <v>1305</v>
      </c>
      <c r="E480" s="6" t="s">
        <v>1306</v>
      </c>
      <c r="F480" s="6" t="s">
        <v>1307</v>
      </c>
      <c r="G480" s="6" t="s">
        <v>1308</v>
      </c>
      <c r="H480" s="6" t="s">
        <v>1632</v>
      </c>
      <c r="I480" s="6">
        <v>0</v>
      </c>
      <c r="J480" s="6">
        <v>371.36</v>
      </c>
      <c r="K480" s="6">
        <v>1</v>
      </c>
      <c r="L480" s="6" t="s">
        <v>2192</v>
      </c>
      <c r="M480" s="6" t="e">
        <f>VLOOKUP(L480,'Nov Inv Recon'!H:H,1,FALSE)</f>
        <v>#N/A</v>
      </c>
      <c r="N480" s="6" t="e">
        <f>VLOOKUP(L480,VictoryHeitrich!D:D,1,FALSE)</f>
        <v>#N/A</v>
      </c>
      <c r="O480" s="6" t="s">
        <v>812</v>
      </c>
      <c r="P480" s="6" t="s">
        <v>1311</v>
      </c>
      <c r="Q480" s="6" t="s">
        <v>2835</v>
      </c>
      <c r="R480" s="6" t="s">
        <v>2835</v>
      </c>
      <c r="S480" s="6" t="s">
        <v>35</v>
      </c>
      <c r="T480" s="6" t="s">
        <v>36</v>
      </c>
      <c r="U480" s="6" t="s">
        <v>1313</v>
      </c>
      <c r="V480" s="6" t="s">
        <v>1314</v>
      </c>
      <c r="W480" s="6">
        <v>2025</v>
      </c>
      <c r="X480" s="6">
        <v>11</v>
      </c>
      <c r="Y480" s="6" t="s">
        <v>1315</v>
      </c>
      <c r="Z480" s="6">
        <v>2025</v>
      </c>
      <c r="AA480" s="6" t="s">
        <v>1316</v>
      </c>
      <c r="AB480" s="6" t="str">
        <f>VLOOKUP(S480,Mapping!A:C,3,FALSE)</f>
        <v>Primary</v>
      </c>
    </row>
    <row r="481" spans="1:28" x14ac:dyDescent="0.35">
      <c r="A481" s="6" t="s">
        <v>1302</v>
      </c>
      <c r="B481" s="6" t="s">
        <v>1303</v>
      </c>
      <c r="C481" s="6" t="s">
        <v>1304</v>
      </c>
      <c r="D481" s="6" t="s">
        <v>1305</v>
      </c>
      <c r="E481" s="6" t="s">
        <v>1306</v>
      </c>
      <c r="F481" s="6" t="s">
        <v>1307</v>
      </c>
      <c r="G481" s="6" t="s">
        <v>1308</v>
      </c>
      <c r="H481" s="6" t="s">
        <v>1682</v>
      </c>
      <c r="I481" s="6">
        <v>0</v>
      </c>
      <c r="J481" s="6">
        <v>619.46</v>
      </c>
      <c r="K481" s="6">
        <v>1</v>
      </c>
      <c r="L481" s="6" t="s">
        <v>2099</v>
      </c>
      <c r="M481" s="6" t="e">
        <f>VLOOKUP(L481,'Nov Inv Recon'!H:H,1,FALSE)</f>
        <v>#N/A</v>
      </c>
      <c r="N481" s="6" t="e">
        <f>VLOOKUP(L481,VictoryHeitrich!D:D,1,FALSE)</f>
        <v>#N/A</v>
      </c>
      <c r="O481" s="6" t="s">
        <v>828</v>
      </c>
      <c r="P481" s="6" t="s">
        <v>1311</v>
      </c>
      <c r="Q481" s="6" t="s">
        <v>2836</v>
      </c>
      <c r="R481" s="6" t="s">
        <v>2836</v>
      </c>
      <c r="S481" s="6" t="s">
        <v>35</v>
      </c>
      <c r="T481" s="6" t="s">
        <v>36</v>
      </c>
      <c r="U481" s="6" t="s">
        <v>1313</v>
      </c>
      <c r="V481" s="6" t="s">
        <v>1314</v>
      </c>
      <c r="W481" s="6">
        <v>2025</v>
      </c>
      <c r="X481" s="6">
        <v>11</v>
      </c>
      <c r="Y481" s="6" t="s">
        <v>1315</v>
      </c>
      <c r="Z481" s="6">
        <v>2025</v>
      </c>
      <c r="AA481" s="6" t="s">
        <v>1316</v>
      </c>
      <c r="AB481" s="6" t="str">
        <f>VLOOKUP(S481,Mapping!A:C,3,FALSE)</f>
        <v>Primary</v>
      </c>
    </row>
    <row r="482" spans="1:28" x14ac:dyDescent="0.35">
      <c r="A482" s="6" t="s">
        <v>1302</v>
      </c>
      <c r="B482" s="6" t="s">
        <v>1303</v>
      </c>
      <c r="C482" s="6" t="s">
        <v>1304</v>
      </c>
      <c r="D482" s="6" t="s">
        <v>1305</v>
      </c>
      <c r="E482" s="6" t="s">
        <v>1306</v>
      </c>
      <c r="F482" s="6" t="s">
        <v>1307</v>
      </c>
      <c r="G482" s="6" t="s">
        <v>1308</v>
      </c>
      <c r="H482" s="6" t="s">
        <v>1728</v>
      </c>
      <c r="I482" s="6">
        <v>0</v>
      </c>
      <c r="J482" s="6">
        <v>371.18</v>
      </c>
      <c r="K482" s="6">
        <v>1</v>
      </c>
      <c r="L482" s="6" t="s">
        <v>2165</v>
      </c>
      <c r="M482" s="6" t="e">
        <f>VLOOKUP(L482,'Nov Inv Recon'!H:H,1,FALSE)</f>
        <v>#N/A</v>
      </c>
      <c r="N482" s="6" t="e">
        <f>VLOOKUP(L482,VictoryHeitrich!D:D,1,FALSE)</f>
        <v>#N/A</v>
      </c>
      <c r="O482" s="6" t="s">
        <v>808</v>
      </c>
      <c r="P482" s="6" t="s">
        <v>1311</v>
      </c>
      <c r="Q482" s="6" t="s">
        <v>2837</v>
      </c>
      <c r="R482" s="6" t="s">
        <v>2837</v>
      </c>
      <c r="S482" s="6" t="s">
        <v>35</v>
      </c>
      <c r="T482" s="6" t="s">
        <v>36</v>
      </c>
      <c r="U482" s="6" t="s">
        <v>1313</v>
      </c>
      <c r="V482" s="6" t="s">
        <v>1314</v>
      </c>
      <c r="W482" s="6">
        <v>2025</v>
      </c>
      <c r="X482" s="6">
        <v>11</v>
      </c>
      <c r="Y482" s="6" t="s">
        <v>1315</v>
      </c>
      <c r="Z482" s="6">
        <v>2025</v>
      </c>
      <c r="AA482" s="6" t="s">
        <v>1316</v>
      </c>
      <c r="AB482" s="6" t="str">
        <f>VLOOKUP(S482,Mapping!A:C,3,FALSE)</f>
        <v>Primary</v>
      </c>
    </row>
    <row r="483" spans="1:28" x14ac:dyDescent="0.35">
      <c r="A483" s="6" t="s">
        <v>1302</v>
      </c>
      <c r="B483" s="6" t="s">
        <v>1303</v>
      </c>
      <c r="C483" s="6" t="s">
        <v>1304</v>
      </c>
      <c r="D483" s="6" t="s">
        <v>1305</v>
      </c>
      <c r="E483" s="6" t="s">
        <v>1306</v>
      </c>
      <c r="F483" s="6" t="s">
        <v>1307</v>
      </c>
      <c r="G483" s="6" t="s">
        <v>1308</v>
      </c>
      <c r="H483" s="6" t="s">
        <v>1728</v>
      </c>
      <c r="I483" s="6">
        <v>0</v>
      </c>
      <c r="J483" s="6">
        <v>371.18</v>
      </c>
      <c r="K483" s="6">
        <v>1</v>
      </c>
      <c r="L483" s="6" t="s">
        <v>2161</v>
      </c>
      <c r="M483" s="6" t="e">
        <f>VLOOKUP(L483,'Nov Inv Recon'!H:H,1,FALSE)</f>
        <v>#N/A</v>
      </c>
      <c r="N483" s="6" t="e">
        <f>VLOOKUP(L483,VictoryHeitrich!D:D,1,FALSE)</f>
        <v>#N/A</v>
      </c>
      <c r="O483" s="6" t="s">
        <v>799</v>
      </c>
      <c r="P483" s="6" t="s">
        <v>1311</v>
      </c>
      <c r="Q483" s="6" t="s">
        <v>2838</v>
      </c>
      <c r="R483" s="6" t="s">
        <v>2838</v>
      </c>
      <c r="S483" s="6" t="s">
        <v>35</v>
      </c>
      <c r="T483" s="6" t="s">
        <v>36</v>
      </c>
      <c r="U483" s="6" t="s">
        <v>1313</v>
      </c>
      <c r="V483" s="6" t="s">
        <v>1314</v>
      </c>
      <c r="W483" s="6">
        <v>2025</v>
      </c>
      <c r="X483" s="6">
        <v>11</v>
      </c>
      <c r="Y483" s="6" t="s">
        <v>1315</v>
      </c>
      <c r="Z483" s="6">
        <v>2025</v>
      </c>
      <c r="AA483" s="6" t="s">
        <v>1316</v>
      </c>
      <c r="AB483" s="6" t="str">
        <f>VLOOKUP(S483,Mapping!A:C,3,FALSE)</f>
        <v>Primary</v>
      </c>
    </row>
    <row r="484" spans="1:28" x14ac:dyDescent="0.35">
      <c r="A484" s="6" t="s">
        <v>1302</v>
      </c>
      <c r="B484" s="6" t="s">
        <v>1303</v>
      </c>
      <c r="C484" s="6" t="s">
        <v>1304</v>
      </c>
      <c r="D484" s="6" t="s">
        <v>1305</v>
      </c>
      <c r="E484" s="6" t="s">
        <v>1306</v>
      </c>
      <c r="F484" s="6" t="s">
        <v>1307</v>
      </c>
      <c r="G484" s="6" t="s">
        <v>1308</v>
      </c>
      <c r="H484" s="6" t="s">
        <v>1632</v>
      </c>
      <c r="I484" s="6">
        <v>0</v>
      </c>
      <c r="J484" s="6">
        <v>279</v>
      </c>
      <c r="K484" s="6">
        <v>1</v>
      </c>
      <c r="L484" s="6" t="s">
        <v>731</v>
      </c>
      <c r="M484" s="6" t="str">
        <f>VLOOKUP(L484,'Nov Inv Recon'!H:H,1,FALSE)</f>
        <v>01021802</v>
      </c>
      <c r="N484" s="6" t="e">
        <f>VLOOKUP(L484,VictoryHeitrich!D:D,1,FALSE)</f>
        <v>#N/A</v>
      </c>
      <c r="O484" s="6" t="s">
        <v>732</v>
      </c>
      <c r="P484" s="6" t="s">
        <v>1311</v>
      </c>
      <c r="Q484" s="6" t="s">
        <v>2839</v>
      </c>
      <c r="R484" s="6" t="s">
        <v>2839</v>
      </c>
      <c r="S484" s="6" t="s">
        <v>35</v>
      </c>
      <c r="T484" s="6" t="s">
        <v>36</v>
      </c>
      <c r="U484" s="6" t="s">
        <v>1313</v>
      </c>
      <c r="V484" s="6" t="s">
        <v>1314</v>
      </c>
      <c r="W484" s="6">
        <v>2025</v>
      </c>
      <c r="X484" s="6">
        <v>11</v>
      </c>
      <c r="Y484" s="6" t="s">
        <v>1315</v>
      </c>
      <c r="Z484" s="6">
        <v>2025</v>
      </c>
      <c r="AA484" s="6" t="s">
        <v>1316</v>
      </c>
      <c r="AB484" s="6" t="str">
        <f>VLOOKUP(S484,Mapping!A:C,3,FALSE)</f>
        <v>Primary</v>
      </c>
    </row>
    <row r="485" spans="1:28" x14ac:dyDescent="0.35">
      <c r="A485" s="6" t="s">
        <v>1302</v>
      </c>
      <c r="B485" s="6" t="s">
        <v>1303</v>
      </c>
      <c r="C485" s="6" t="s">
        <v>1304</v>
      </c>
      <c r="D485" s="6" t="s">
        <v>1305</v>
      </c>
      <c r="E485" s="6" t="s">
        <v>1306</v>
      </c>
      <c r="F485" s="6" t="s">
        <v>1307</v>
      </c>
      <c r="G485" s="6" t="s">
        <v>1308</v>
      </c>
      <c r="H485" s="6" t="s">
        <v>1682</v>
      </c>
      <c r="I485" s="6">
        <v>0</v>
      </c>
      <c r="J485" s="6">
        <v>499</v>
      </c>
      <c r="K485" s="6">
        <v>1</v>
      </c>
      <c r="L485" s="6" t="s">
        <v>2236</v>
      </c>
      <c r="M485" s="6" t="e">
        <f>VLOOKUP(L485,'Nov Inv Recon'!H:H,1,FALSE)</f>
        <v>#N/A</v>
      </c>
      <c r="N485" s="6" t="e">
        <f>VLOOKUP(L485,VictoryHeitrich!D:D,1,FALSE)</f>
        <v>#N/A</v>
      </c>
      <c r="O485" s="6" t="s">
        <v>537</v>
      </c>
      <c r="P485" s="6" t="s">
        <v>1311</v>
      </c>
      <c r="Q485" s="6" t="s">
        <v>2840</v>
      </c>
      <c r="R485" s="6" t="s">
        <v>2840</v>
      </c>
      <c r="S485" s="6" t="s">
        <v>35</v>
      </c>
      <c r="T485" s="6" t="s">
        <v>36</v>
      </c>
      <c r="U485" s="6" t="s">
        <v>1313</v>
      </c>
      <c r="V485" s="6" t="s">
        <v>1314</v>
      </c>
      <c r="W485" s="6">
        <v>2025</v>
      </c>
      <c r="X485" s="6">
        <v>11</v>
      </c>
      <c r="Y485" s="6" t="s">
        <v>1315</v>
      </c>
      <c r="Z485" s="6">
        <v>2025</v>
      </c>
      <c r="AA485" s="6" t="s">
        <v>1316</v>
      </c>
      <c r="AB485" s="6" t="str">
        <f>VLOOKUP(S485,Mapping!A:C,3,FALSE)</f>
        <v>Primary</v>
      </c>
    </row>
    <row r="486" spans="1:28" x14ac:dyDescent="0.35">
      <c r="A486" s="6" t="s">
        <v>1302</v>
      </c>
      <c r="B486" s="6" t="s">
        <v>1303</v>
      </c>
      <c r="C486" s="6" t="s">
        <v>1304</v>
      </c>
      <c r="D486" s="6" t="s">
        <v>1305</v>
      </c>
      <c r="E486" s="6" t="s">
        <v>1306</v>
      </c>
      <c r="F486" s="6" t="s">
        <v>1307</v>
      </c>
      <c r="G486" s="6" t="s">
        <v>1308</v>
      </c>
      <c r="H486" s="6" t="s">
        <v>1742</v>
      </c>
      <c r="I486" s="6">
        <v>0</v>
      </c>
      <c r="J486" s="6">
        <v>619.46</v>
      </c>
      <c r="K486" s="6">
        <v>1</v>
      </c>
      <c r="L486" s="6" t="s">
        <v>2226</v>
      </c>
      <c r="M486" s="6" t="e">
        <f>VLOOKUP(L486,'Nov Inv Recon'!H:H,1,FALSE)</f>
        <v>#N/A</v>
      </c>
      <c r="N486" s="6" t="e">
        <f>VLOOKUP(L486,VictoryHeitrich!D:D,1,FALSE)</f>
        <v>#N/A</v>
      </c>
      <c r="O486" s="6" t="s">
        <v>863</v>
      </c>
      <c r="P486" s="6" t="s">
        <v>1311</v>
      </c>
      <c r="Q486" s="6" t="s">
        <v>2841</v>
      </c>
      <c r="R486" s="6" t="s">
        <v>2841</v>
      </c>
      <c r="S486" s="6" t="s">
        <v>35</v>
      </c>
      <c r="T486" s="6" t="s">
        <v>36</v>
      </c>
      <c r="U486" s="6" t="s">
        <v>1313</v>
      </c>
      <c r="V486" s="6" t="s">
        <v>1314</v>
      </c>
      <c r="W486" s="6">
        <v>2025</v>
      </c>
      <c r="X486" s="6">
        <v>11</v>
      </c>
      <c r="Y486" s="6" t="s">
        <v>1315</v>
      </c>
      <c r="Z486" s="6">
        <v>2025</v>
      </c>
      <c r="AA486" s="6" t="s">
        <v>1316</v>
      </c>
      <c r="AB486" s="6" t="str">
        <f>VLOOKUP(S486,Mapping!A:C,3,FALSE)</f>
        <v>Primary</v>
      </c>
    </row>
    <row r="487" spans="1:28" x14ac:dyDescent="0.35">
      <c r="A487" s="6" t="s">
        <v>1302</v>
      </c>
      <c r="B487" s="6" t="s">
        <v>1303</v>
      </c>
      <c r="C487" s="6" t="s">
        <v>1304</v>
      </c>
      <c r="D487" s="6" t="s">
        <v>1305</v>
      </c>
      <c r="E487" s="6" t="s">
        <v>1306</v>
      </c>
      <c r="F487" s="6" t="s">
        <v>1307</v>
      </c>
      <c r="G487" s="6" t="s">
        <v>1308</v>
      </c>
      <c r="H487" s="6" t="s">
        <v>1728</v>
      </c>
      <c r="I487" s="6">
        <v>0</v>
      </c>
      <c r="J487" s="6">
        <v>2800</v>
      </c>
      <c r="K487" s="6">
        <v>1</v>
      </c>
      <c r="L487" s="6" t="s">
        <v>2240</v>
      </c>
      <c r="M487" s="6" t="e">
        <f>VLOOKUP(L487,'Nov Inv Recon'!H:H,1,FALSE)</f>
        <v>#N/A</v>
      </c>
      <c r="N487" s="6" t="e">
        <f>VLOOKUP(L487,VictoryHeitrich!D:D,1,FALSE)</f>
        <v>#N/A</v>
      </c>
      <c r="O487" s="6" t="s">
        <v>462</v>
      </c>
      <c r="P487" s="6" t="s">
        <v>1311</v>
      </c>
      <c r="Q487" s="6" t="s">
        <v>2842</v>
      </c>
      <c r="R487" s="6" t="s">
        <v>2842</v>
      </c>
      <c r="S487" s="6" t="s">
        <v>35</v>
      </c>
      <c r="T487" s="6" t="s">
        <v>36</v>
      </c>
      <c r="U487" s="6" t="s">
        <v>1313</v>
      </c>
      <c r="V487" s="6" t="s">
        <v>1314</v>
      </c>
      <c r="W487" s="6">
        <v>2025</v>
      </c>
      <c r="X487" s="6">
        <v>11</v>
      </c>
      <c r="Y487" s="6" t="s">
        <v>1315</v>
      </c>
      <c r="Z487" s="6">
        <v>2025</v>
      </c>
      <c r="AA487" s="6" t="s">
        <v>1316</v>
      </c>
      <c r="AB487" s="6" t="str">
        <f>VLOOKUP(S487,Mapping!A:C,3,FALSE)</f>
        <v>Primary</v>
      </c>
    </row>
    <row r="488" spans="1:28" x14ac:dyDescent="0.35">
      <c r="A488" s="6" t="s">
        <v>1302</v>
      </c>
      <c r="B488" s="6" t="s">
        <v>1303</v>
      </c>
      <c r="C488" s="6" t="s">
        <v>1304</v>
      </c>
      <c r="D488" s="6" t="s">
        <v>1305</v>
      </c>
      <c r="E488" s="6" t="s">
        <v>1306</v>
      </c>
      <c r="F488" s="6" t="s">
        <v>1307</v>
      </c>
      <c r="G488" s="6" t="s">
        <v>1308</v>
      </c>
      <c r="H488" s="6" t="s">
        <v>1682</v>
      </c>
      <c r="I488" s="6">
        <v>0</v>
      </c>
      <c r="J488" s="6">
        <v>241.25</v>
      </c>
      <c r="K488" s="6">
        <v>1</v>
      </c>
      <c r="L488" s="6" t="s">
        <v>1449</v>
      </c>
      <c r="M488" s="6" t="e">
        <f>VLOOKUP(L488,'Nov Inv Recon'!H:H,1,FALSE)</f>
        <v>#N/A</v>
      </c>
      <c r="N488" s="6" t="e">
        <f>VLOOKUP(L488,VictoryHeitrich!D:D,1,FALSE)</f>
        <v>#N/A</v>
      </c>
      <c r="O488" s="6" t="s">
        <v>1450</v>
      </c>
      <c r="P488" s="6" t="s">
        <v>1311</v>
      </c>
      <c r="Q488" s="6" t="s">
        <v>2843</v>
      </c>
      <c r="R488" s="6" t="s">
        <v>2843</v>
      </c>
      <c r="S488" s="6" t="s">
        <v>35</v>
      </c>
      <c r="T488" s="6" t="s">
        <v>36</v>
      </c>
      <c r="U488" s="6" t="s">
        <v>1313</v>
      </c>
      <c r="V488" s="6" t="s">
        <v>1314</v>
      </c>
      <c r="W488" s="6">
        <v>2025</v>
      </c>
      <c r="X488" s="6">
        <v>11</v>
      </c>
      <c r="Y488" s="6" t="s">
        <v>1315</v>
      </c>
      <c r="Z488" s="6">
        <v>2025</v>
      </c>
      <c r="AA488" s="6" t="s">
        <v>1316</v>
      </c>
      <c r="AB488" s="6" t="str">
        <f>VLOOKUP(S488,Mapping!A:C,3,FALSE)</f>
        <v>Primary</v>
      </c>
    </row>
    <row r="489" spans="1:28" x14ac:dyDescent="0.35">
      <c r="A489" s="6" t="s">
        <v>1302</v>
      </c>
      <c r="B489" s="6" t="s">
        <v>1303</v>
      </c>
      <c r="C489" s="6" t="s">
        <v>1304</v>
      </c>
      <c r="D489" s="6" t="s">
        <v>1305</v>
      </c>
      <c r="E489" s="6" t="s">
        <v>1306</v>
      </c>
      <c r="F489" s="6" t="s">
        <v>1307</v>
      </c>
      <c r="G489" s="6" t="s">
        <v>1308</v>
      </c>
      <c r="H489" s="6" t="s">
        <v>1752</v>
      </c>
      <c r="I489" s="6">
        <v>0</v>
      </c>
      <c r="J489" s="6">
        <v>499</v>
      </c>
      <c r="K489" s="6">
        <v>1</v>
      </c>
      <c r="L489" s="6" t="s">
        <v>2200</v>
      </c>
      <c r="M489" s="6" t="e">
        <f>VLOOKUP(L489,'Nov Inv Recon'!H:H,1,FALSE)</f>
        <v>#N/A</v>
      </c>
      <c r="N489" s="6" t="e">
        <f>VLOOKUP(L489,VictoryHeitrich!D:D,1,FALSE)</f>
        <v>#N/A</v>
      </c>
      <c r="O489" s="6" t="s">
        <v>527</v>
      </c>
      <c r="P489" s="6" t="s">
        <v>1311</v>
      </c>
      <c r="Q489" s="6" t="s">
        <v>2844</v>
      </c>
      <c r="R489" s="6" t="s">
        <v>2844</v>
      </c>
      <c r="S489" s="6" t="s">
        <v>35</v>
      </c>
      <c r="T489" s="6" t="s">
        <v>36</v>
      </c>
      <c r="U489" s="6" t="s">
        <v>1313</v>
      </c>
      <c r="V489" s="6" t="s">
        <v>1314</v>
      </c>
      <c r="W489" s="6">
        <v>2025</v>
      </c>
      <c r="X489" s="6">
        <v>11</v>
      </c>
      <c r="Y489" s="6" t="s">
        <v>1315</v>
      </c>
      <c r="Z489" s="6">
        <v>2025</v>
      </c>
      <c r="AA489" s="6" t="s">
        <v>1316</v>
      </c>
      <c r="AB489" s="6" t="str">
        <f>VLOOKUP(S489,Mapping!A:C,3,FALSE)</f>
        <v>Primary</v>
      </c>
    </row>
    <row r="490" spans="1:28" x14ac:dyDescent="0.35">
      <c r="A490" s="6" t="s">
        <v>1302</v>
      </c>
      <c r="B490" s="6" t="s">
        <v>1303</v>
      </c>
      <c r="C490" s="6" t="s">
        <v>1304</v>
      </c>
      <c r="D490" s="6" t="s">
        <v>1305</v>
      </c>
      <c r="E490" s="6" t="s">
        <v>1306</v>
      </c>
      <c r="F490" s="6" t="s">
        <v>1307</v>
      </c>
      <c r="G490" s="6" t="s">
        <v>1308</v>
      </c>
      <c r="H490" s="6" t="s">
        <v>2425</v>
      </c>
      <c r="I490" s="6">
        <v>0</v>
      </c>
      <c r="J490" s="6">
        <v>0</v>
      </c>
      <c r="K490" s="6">
        <v>1</v>
      </c>
      <c r="L490" s="6" t="s">
        <v>2247</v>
      </c>
      <c r="M490" s="6" t="e">
        <f>VLOOKUP(L490,'Nov Inv Recon'!H:H,1,FALSE)</f>
        <v>#N/A</v>
      </c>
      <c r="N490" s="6" t="e">
        <f>VLOOKUP(L490,VictoryHeitrich!D:D,1,FALSE)</f>
        <v>#N/A</v>
      </c>
      <c r="O490" s="6" t="s">
        <v>767</v>
      </c>
      <c r="P490" s="6" t="s">
        <v>1311</v>
      </c>
      <c r="Q490" s="6" t="s">
        <v>2845</v>
      </c>
      <c r="R490" s="6" t="s">
        <v>2845</v>
      </c>
      <c r="S490" s="6" t="s">
        <v>35</v>
      </c>
      <c r="T490" s="6" t="s">
        <v>36</v>
      </c>
      <c r="U490" s="6" t="s">
        <v>1313</v>
      </c>
      <c r="V490" s="6" t="s">
        <v>1314</v>
      </c>
      <c r="W490" s="6">
        <v>2025</v>
      </c>
      <c r="X490" s="6">
        <v>11</v>
      </c>
      <c r="Y490" s="6" t="s">
        <v>1315</v>
      </c>
      <c r="Z490" s="6">
        <v>2025</v>
      </c>
      <c r="AA490" s="6" t="s">
        <v>1316</v>
      </c>
      <c r="AB490" s="6" t="str">
        <f>VLOOKUP(S490,Mapping!A:C,3,FALSE)</f>
        <v>Primary</v>
      </c>
    </row>
    <row r="491" spans="1:28" x14ac:dyDescent="0.35">
      <c r="A491" s="6" t="s">
        <v>1302</v>
      </c>
      <c r="B491" s="6" t="s">
        <v>1303</v>
      </c>
      <c r="C491" s="6" t="s">
        <v>1304</v>
      </c>
      <c r="D491" s="6" t="s">
        <v>1305</v>
      </c>
      <c r="E491" s="6" t="s">
        <v>1306</v>
      </c>
      <c r="F491" s="6" t="s">
        <v>1307</v>
      </c>
      <c r="G491" s="6" t="s">
        <v>1308</v>
      </c>
      <c r="H491" s="6" t="s">
        <v>1752</v>
      </c>
      <c r="I491" s="6">
        <v>0</v>
      </c>
      <c r="J491" s="6">
        <v>499</v>
      </c>
      <c r="K491" s="6">
        <v>1</v>
      </c>
      <c r="L491" s="6" t="s">
        <v>2198</v>
      </c>
      <c r="M491" s="6" t="e">
        <f>VLOOKUP(L491,'Nov Inv Recon'!H:H,1,FALSE)</f>
        <v>#N/A</v>
      </c>
      <c r="N491" s="6" t="e">
        <f>VLOOKUP(L491,VictoryHeitrich!D:D,1,FALSE)</f>
        <v>#N/A</v>
      </c>
      <c r="O491" s="6" t="s">
        <v>465</v>
      </c>
      <c r="P491" s="6" t="s">
        <v>1311</v>
      </c>
      <c r="Q491" s="6" t="s">
        <v>2846</v>
      </c>
      <c r="R491" s="6" t="s">
        <v>2846</v>
      </c>
      <c r="S491" s="6" t="s">
        <v>35</v>
      </c>
      <c r="T491" s="6" t="s">
        <v>36</v>
      </c>
      <c r="U491" s="6" t="s">
        <v>1313</v>
      </c>
      <c r="V491" s="6" t="s">
        <v>1314</v>
      </c>
      <c r="W491" s="6">
        <v>2025</v>
      </c>
      <c r="X491" s="6">
        <v>11</v>
      </c>
      <c r="Y491" s="6" t="s">
        <v>1315</v>
      </c>
      <c r="Z491" s="6">
        <v>2025</v>
      </c>
      <c r="AA491" s="6" t="s">
        <v>1316</v>
      </c>
      <c r="AB491" s="6" t="str">
        <f>VLOOKUP(S491,Mapping!A:C,3,FALSE)</f>
        <v>Primary</v>
      </c>
    </row>
    <row r="492" spans="1:28" x14ac:dyDescent="0.35">
      <c r="A492" s="6" t="s">
        <v>1302</v>
      </c>
      <c r="B492" s="6" t="s">
        <v>1303</v>
      </c>
      <c r="C492" s="6" t="s">
        <v>1304</v>
      </c>
      <c r="D492" s="6" t="s">
        <v>1305</v>
      </c>
      <c r="E492" s="6" t="s">
        <v>1306</v>
      </c>
      <c r="F492" s="6" t="s">
        <v>1307</v>
      </c>
      <c r="G492" s="6" t="s">
        <v>1308</v>
      </c>
      <c r="H492" s="6" t="s">
        <v>1842</v>
      </c>
      <c r="I492" s="6">
        <v>0</v>
      </c>
      <c r="J492" s="6">
        <v>995</v>
      </c>
      <c r="K492" s="6">
        <v>1</v>
      </c>
      <c r="L492" s="6" t="s">
        <v>2239</v>
      </c>
      <c r="M492" s="6" t="e">
        <f>VLOOKUP(L492,'Nov Inv Recon'!H:H,1,FALSE)</f>
        <v>#N/A</v>
      </c>
      <c r="N492" s="6" t="e">
        <f>VLOOKUP(L492,VictoryHeitrich!D:D,1,FALSE)</f>
        <v>#N/A</v>
      </c>
      <c r="O492" s="6" t="s">
        <v>783</v>
      </c>
      <c r="P492" s="6" t="s">
        <v>1311</v>
      </c>
      <c r="Q492" s="6" t="s">
        <v>2847</v>
      </c>
      <c r="R492" s="6" t="s">
        <v>2847</v>
      </c>
      <c r="S492" s="6" t="s">
        <v>35</v>
      </c>
      <c r="T492" s="6" t="s">
        <v>36</v>
      </c>
      <c r="U492" s="6" t="s">
        <v>1313</v>
      </c>
      <c r="V492" s="6" t="s">
        <v>1314</v>
      </c>
      <c r="W492" s="6">
        <v>2025</v>
      </c>
      <c r="X492" s="6">
        <v>11</v>
      </c>
      <c r="Y492" s="6" t="s">
        <v>1315</v>
      </c>
      <c r="Z492" s="6">
        <v>2025</v>
      </c>
      <c r="AA492" s="6" t="s">
        <v>1316</v>
      </c>
      <c r="AB492" s="6" t="str">
        <f>VLOOKUP(S492,Mapping!A:C,3,FALSE)</f>
        <v>Primary</v>
      </c>
    </row>
    <row r="493" spans="1:28" x14ac:dyDescent="0.35">
      <c r="A493" s="6" t="s">
        <v>1302</v>
      </c>
      <c r="B493" s="6" t="s">
        <v>1303</v>
      </c>
      <c r="C493" s="6" t="s">
        <v>1304</v>
      </c>
      <c r="D493" s="6" t="s">
        <v>1305</v>
      </c>
      <c r="E493" s="6" t="s">
        <v>1306</v>
      </c>
      <c r="F493" s="6" t="s">
        <v>1307</v>
      </c>
      <c r="G493" s="6" t="s">
        <v>1308</v>
      </c>
      <c r="H493" s="6" t="s">
        <v>2481</v>
      </c>
      <c r="I493" s="6">
        <v>0</v>
      </c>
      <c r="J493" s="6">
        <v>476.05</v>
      </c>
      <c r="K493" s="6">
        <v>1</v>
      </c>
      <c r="L493" s="6" t="s">
        <v>1345</v>
      </c>
      <c r="M493" s="6" t="e">
        <f>VLOOKUP(L493,'Nov Inv Recon'!H:H,1,FALSE)</f>
        <v>#N/A</v>
      </c>
      <c r="N493" s="6" t="e">
        <f>VLOOKUP(L493,VictoryHeitrich!D:D,1,FALSE)</f>
        <v>#N/A</v>
      </c>
      <c r="O493" s="6" t="s">
        <v>1346</v>
      </c>
      <c r="P493" s="6" t="s">
        <v>1311</v>
      </c>
      <c r="Q493" s="6" t="s">
        <v>2848</v>
      </c>
      <c r="R493" s="6" t="s">
        <v>2848</v>
      </c>
      <c r="S493" s="6" t="s">
        <v>35</v>
      </c>
      <c r="T493" s="6" t="s">
        <v>36</v>
      </c>
      <c r="U493" s="6" t="s">
        <v>1313</v>
      </c>
      <c r="V493" s="6" t="s">
        <v>1314</v>
      </c>
      <c r="W493" s="6">
        <v>2025</v>
      </c>
      <c r="X493" s="6">
        <v>11</v>
      </c>
      <c r="Y493" s="6" t="s">
        <v>1315</v>
      </c>
      <c r="Z493" s="6">
        <v>2025</v>
      </c>
      <c r="AA493" s="6" t="s">
        <v>1316</v>
      </c>
      <c r="AB493" s="6" t="str">
        <f>VLOOKUP(S493,Mapping!A:C,3,FALSE)</f>
        <v>Primary</v>
      </c>
    </row>
    <row r="494" spans="1:28" x14ac:dyDescent="0.35">
      <c r="A494" s="6" t="s">
        <v>1302</v>
      </c>
      <c r="B494" s="6" t="s">
        <v>1303</v>
      </c>
      <c r="C494" s="6" t="s">
        <v>1304</v>
      </c>
      <c r="D494" s="6" t="s">
        <v>1305</v>
      </c>
      <c r="E494" s="6" t="s">
        <v>1306</v>
      </c>
      <c r="F494" s="6" t="s">
        <v>1307</v>
      </c>
      <c r="G494" s="6" t="s">
        <v>1308</v>
      </c>
      <c r="H494" s="6" t="s">
        <v>1728</v>
      </c>
      <c r="I494" s="6">
        <v>0</v>
      </c>
      <c r="J494" s="6">
        <v>0</v>
      </c>
      <c r="K494" s="6">
        <v>1</v>
      </c>
      <c r="L494" s="6" t="s">
        <v>1337</v>
      </c>
      <c r="M494" s="6" t="e">
        <f>VLOOKUP(L494,'Nov Inv Recon'!H:H,1,FALSE)</f>
        <v>#N/A</v>
      </c>
      <c r="N494" s="6" t="e">
        <f>VLOOKUP(L494,VictoryHeitrich!D:D,1,FALSE)</f>
        <v>#N/A</v>
      </c>
      <c r="O494" s="6" t="s">
        <v>1338</v>
      </c>
      <c r="P494" s="6" t="s">
        <v>1311</v>
      </c>
      <c r="Q494" s="6" t="s">
        <v>2849</v>
      </c>
      <c r="R494" s="6" t="s">
        <v>2849</v>
      </c>
      <c r="S494" s="6" t="s">
        <v>35</v>
      </c>
      <c r="T494" s="6" t="s">
        <v>36</v>
      </c>
      <c r="U494" s="6" t="s">
        <v>1313</v>
      </c>
      <c r="V494" s="6" t="s">
        <v>1314</v>
      </c>
      <c r="W494" s="6">
        <v>2025</v>
      </c>
      <c r="X494" s="6">
        <v>11</v>
      </c>
      <c r="Y494" s="6" t="s">
        <v>1315</v>
      </c>
      <c r="Z494" s="6">
        <v>2025</v>
      </c>
      <c r="AA494" s="6" t="s">
        <v>1316</v>
      </c>
      <c r="AB494" s="6" t="str">
        <f>VLOOKUP(S494,Mapping!A:C,3,FALSE)</f>
        <v>Primary</v>
      </c>
    </row>
    <row r="495" spans="1:28" x14ac:dyDescent="0.35">
      <c r="A495" s="6" t="s">
        <v>1302</v>
      </c>
      <c r="B495" s="6" t="s">
        <v>1303</v>
      </c>
      <c r="C495" s="6" t="s">
        <v>1304</v>
      </c>
      <c r="D495" s="6" t="s">
        <v>1305</v>
      </c>
      <c r="E495" s="6" t="s">
        <v>1306</v>
      </c>
      <c r="F495" s="6" t="s">
        <v>1307</v>
      </c>
      <c r="G495" s="6" t="s">
        <v>1308</v>
      </c>
      <c r="H495" s="6" t="s">
        <v>2481</v>
      </c>
      <c r="I495" s="6">
        <v>0</v>
      </c>
      <c r="J495" s="6">
        <v>476.05</v>
      </c>
      <c r="K495" s="6">
        <v>1</v>
      </c>
      <c r="L495" s="6" t="s">
        <v>1339</v>
      </c>
      <c r="M495" s="6" t="e">
        <f>VLOOKUP(L495,'Nov Inv Recon'!H:H,1,FALSE)</f>
        <v>#N/A</v>
      </c>
      <c r="N495" s="6" t="e">
        <f>VLOOKUP(L495,VictoryHeitrich!D:D,1,FALSE)</f>
        <v>#N/A</v>
      </c>
      <c r="O495" s="6" t="s">
        <v>1340</v>
      </c>
      <c r="P495" s="6" t="s">
        <v>1311</v>
      </c>
      <c r="Q495" s="6" t="s">
        <v>2850</v>
      </c>
      <c r="R495" s="6" t="s">
        <v>2850</v>
      </c>
      <c r="S495" s="6" t="s">
        <v>35</v>
      </c>
      <c r="T495" s="6" t="s">
        <v>36</v>
      </c>
      <c r="U495" s="6" t="s">
        <v>1313</v>
      </c>
      <c r="V495" s="6" t="s">
        <v>1314</v>
      </c>
      <c r="W495" s="6">
        <v>2025</v>
      </c>
      <c r="X495" s="6">
        <v>11</v>
      </c>
      <c r="Y495" s="6" t="s">
        <v>1315</v>
      </c>
      <c r="Z495" s="6">
        <v>2025</v>
      </c>
      <c r="AA495" s="6" t="s">
        <v>1316</v>
      </c>
      <c r="AB495" s="6" t="str">
        <f>VLOOKUP(S495,Mapping!A:C,3,FALSE)</f>
        <v>Primary</v>
      </c>
    </row>
    <row r="496" spans="1:28" x14ac:dyDescent="0.35">
      <c r="A496" s="6" t="s">
        <v>1302</v>
      </c>
      <c r="B496" s="6" t="s">
        <v>1303</v>
      </c>
      <c r="C496" s="6" t="s">
        <v>1304</v>
      </c>
      <c r="D496" s="6" t="s">
        <v>1305</v>
      </c>
      <c r="E496" s="6" t="s">
        <v>1306</v>
      </c>
      <c r="F496" s="6" t="s">
        <v>1307</v>
      </c>
      <c r="G496" s="6" t="s">
        <v>1308</v>
      </c>
      <c r="H496" s="6" t="s">
        <v>1682</v>
      </c>
      <c r="I496" s="6">
        <v>0</v>
      </c>
      <c r="J496" s="6">
        <v>2296.44</v>
      </c>
      <c r="K496" s="6">
        <v>1</v>
      </c>
      <c r="L496" s="6" t="s">
        <v>2121</v>
      </c>
      <c r="M496" s="6" t="e">
        <f>VLOOKUP(L496,'Nov Inv Recon'!H:H,1,FALSE)</f>
        <v>#N/A</v>
      </c>
      <c r="N496" s="6" t="e">
        <f>VLOOKUP(L496,VictoryHeitrich!D:D,1,FALSE)</f>
        <v>#N/A</v>
      </c>
      <c r="O496" s="6" t="s">
        <v>859</v>
      </c>
      <c r="P496" s="6" t="s">
        <v>1311</v>
      </c>
      <c r="Q496" s="6" t="s">
        <v>2851</v>
      </c>
      <c r="R496" s="6" t="s">
        <v>2851</v>
      </c>
      <c r="S496" s="6" t="s">
        <v>35</v>
      </c>
      <c r="T496" s="6" t="s">
        <v>36</v>
      </c>
      <c r="U496" s="6" t="s">
        <v>1313</v>
      </c>
      <c r="V496" s="6" t="s">
        <v>1314</v>
      </c>
      <c r="W496" s="6">
        <v>2025</v>
      </c>
      <c r="X496" s="6">
        <v>11</v>
      </c>
      <c r="Y496" s="6" t="s">
        <v>1315</v>
      </c>
      <c r="Z496" s="6">
        <v>2025</v>
      </c>
      <c r="AA496" s="6" t="s">
        <v>1316</v>
      </c>
      <c r="AB496" s="6" t="str">
        <f>VLOOKUP(S496,Mapping!A:C,3,FALSE)</f>
        <v>Primary</v>
      </c>
    </row>
    <row r="497" spans="1:28" x14ac:dyDescent="0.35">
      <c r="A497" s="6" t="s">
        <v>1302</v>
      </c>
      <c r="B497" s="6" t="s">
        <v>1303</v>
      </c>
      <c r="C497" s="6" t="s">
        <v>1304</v>
      </c>
      <c r="D497" s="6" t="s">
        <v>1305</v>
      </c>
      <c r="E497" s="6" t="s">
        <v>1306</v>
      </c>
      <c r="F497" s="6" t="s">
        <v>1307</v>
      </c>
      <c r="G497" s="6" t="s">
        <v>1308</v>
      </c>
      <c r="H497" s="6" t="s">
        <v>1974</v>
      </c>
      <c r="I497" s="6">
        <v>0</v>
      </c>
      <c r="J497" s="6">
        <v>371.18</v>
      </c>
      <c r="K497" s="6">
        <v>1</v>
      </c>
      <c r="L497" s="6" t="s">
        <v>2211</v>
      </c>
      <c r="M497" s="6" t="e">
        <f>VLOOKUP(L497,'Nov Inv Recon'!H:H,1,FALSE)</f>
        <v>#N/A</v>
      </c>
      <c r="N497" s="6" t="e">
        <f>VLOOKUP(L497,VictoryHeitrich!D:D,1,FALSE)</f>
        <v>#N/A</v>
      </c>
      <c r="O497" s="6" t="s">
        <v>876</v>
      </c>
      <c r="P497" s="6" t="s">
        <v>1311</v>
      </c>
      <c r="Q497" s="6" t="s">
        <v>2852</v>
      </c>
      <c r="R497" s="6" t="s">
        <v>2852</v>
      </c>
      <c r="S497" s="6" t="s">
        <v>35</v>
      </c>
      <c r="T497" s="6" t="s">
        <v>36</v>
      </c>
      <c r="U497" s="6" t="s">
        <v>1313</v>
      </c>
      <c r="V497" s="6" t="s">
        <v>1314</v>
      </c>
      <c r="W497" s="6">
        <v>2025</v>
      </c>
      <c r="X497" s="6">
        <v>11</v>
      </c>
      <c r="Y497" s="6" t="s">
        <v>1315</v>
      </c>
      <c r="Z497" s="6">
        <v>2025</v>
      </c>
      <c r="AA497" s="6" t="s">
        <v>1316</v>
      </c>
      <c r="AB497" s="6" t="str">
        <f>VLOOKUP(S497,Mapping!A:C,3,FALSE)</f>
        <v>Primary</v>
      </c>
    </row>
    <row r="498" spans="1:28" x14ac:dyDescent="0.35">
      <c r="A498" s="6" t="s">
        <v>1302</v>
      </c>
      <c r="B498" s="6" t="s">
        <v>1303</v>
      </c>
      <c r="C498" s="6" t="s">
        <v>1304</v>
      </c>
      <c r="D498" s="6" t="s">
        <v>1305</v>
      </c>
      <c r="E498" s="6" t="s">
        <v>1306</v>
      </c>
      <c r="F498" s="6" t="s">
        <v>1307</v>
      </c>
      <c r="G498" s="6" t="s">
        <v>1308</v>
      </c>
      <c r="H498" s="6" t="s">
        <v>1632</v>
      </c>
      <c r="I498" s="6">
        <v>0</v>
      </c>
      <c r="J498" s="6">
        <v>279</v>
      </c>
      <c r="K498" s="6">
        <v>1</v>
      </c>
      <c r="L498" s="6" t="s">
        <v>893</v>
      </c>
      <c r="M498" s="6" t="str">
        <f>VLOOKUP(L498,'Nov Inv Recon'!H:H,1,FALSE)</f>
        <v>01021829</v>
      </c>
      <c r="N498" s="6" t="e">
        <f>VLOOKUP(L498,VictoryHeitrich!D:D,1,FALSE)</f>
        <v>#N/A</v>
      </c>
      <c r="O498" s="6" t="s">
        <v>894</v>
      </c>
      <c r="P498" s="6" t="s">
        <v>1311</v>
      </c>
      <c r="Q498" s="6" t="s">
        <v>2853</v>
      </c>
      <c r="R498" s="6" t="s">
        <v>2853</v>
      </c>
      <c r="S498" s="6" t="s">
        <v>35</v>
      </c>
      <c r="T498" s="6" t="s">
        <v>36</v>
      </c>
      <c r="U498" s="6" t="s">
        <v>1313</v>
      </c>
      <c r="V498" s="6" t="s">
        <v>1314</v>
      </c>
      <c r="W498" s="6">
        <v>2025</v>
      </c>
      <c r="X498" s="6">
        <v>11</v>
      </c>
      <c r="Y498" s="6" t="s">
        <v>1315</v>
      </c>
      <c r="Z498" s="6">
        <v>2025</v>
      </c>
      <c r="AA498" s="6" t="s">
        <v>1316</v>
      </c>
      <c r="AB498" s="6" t="str">
        <f>VLOOKUP(S498,Mapping!A:C,3,FALSE)</f>
        <v>Primary</v>
      </c>
    </row>
    <row r="499" spans="1:28" x14ac:dyDescent="0.35">
      <c r="A499" s="6" t="s">
        <v>1302</v>
      </c>
      <c r="B499" s="6" t="s">
        <v>1303</v>
      </c>
      <c r="C499" s="6" t="s">
        <v>1304</v>
      </c>
      <c r="D499" s="6" t="s">
        <v>1305</v>
      </c>
      <c r="E499" s="6" t="s">
        <v>1306</v>
      </c>
      <c r="F499" s="6" t="s">
        <v>1307</v>
      </c>
      <c r="G499" s="6" t="s">
        <v>1308</v>
      </c>
      <c r="H499" s="6" t="s">
        <v>2425</v>
      </c>
      <c r="I499" s="6">
        <v>0</v>
      </c>
      <c r="J499" s="6">
        <v>0</v>
      </c>
      <c r="K499" s="6">
        <v>1</v>
      </c>
      <c r="L499" s="6" t="s">
        <v>2248</v>
      </c>
      <c r="M499" s="6" t="e">
        <f>VLOOKUP(L499,'Nov Inv Recon'!H:H,1,FALSE)</f>
        <v>#N/A</v>
      </c>
      <c r="N499" s="6" t="e">
        <f>VLOOKUP(L499,VictoryHeitrich!D:D,1,FALSE)</f>
        <v>#N/A</v>
      </c>
      <c r="O499" s="6" t="s">
        <v>765</v>
      </c>
      <c r="P499" s="6" t="s">
        <v>1311</v>
      </c>
      <c r="Q499" s="6" t="s">
        <v>2854</v>
      </c>
      <c r="R499" s="6" t="s">
        <v>2854</v>
      </c>
      <c r="S499" s="6" t="s">
        <v>35</v>
      </c>
      <c r="T499" s="6" t="s">
        <v>36</v>
      </c>
      <c r="U499" s="6" t="s">
        <v>1313</v>
      </c>
      <c r="V499" s="6" t="s">
        <v>1314</v>
      </c>
      <c r="W499" s="6">
        <v>2025</v>
      </c>
      <c r="X499" s="6">
        <v>11</v>
      </c>
      <c r="Y499" s="6" t="s">
        <v>1315</v>
      </c>
      <c r="Z499" s="6">
        <v>2025</v>
      </c>
      <c r="AA499" s="6" t="s">
        <v>1316</v>
      </c>
      <c r="AB499" s="6" t="str">
        <f>VLOOKUP(S499,Mapping!A:C,3,FALSE)</f>
        <v>Primary</v>
      </c>
    </row>
    <row r="500" spans="1:28" x14ac:dyDescent="0.35">
      <c r="A500" s="6" t="s">
        <v>1302</v>
      </c>
      <c r="B500" s="6" t="s">
        <v>1303</v>
      </c>
      <c r="C500" s="6" t="s">
        <v>1304</v>
      </c>
      <c r="D500" s="6" t="s">
        <v>1305</v>
      </c>
      <c r="E500" s="6" t="s">
        <v>1306</v>
      </c>
      <c r="F500" s="6" t="s">
        <v>1307</v>
      </c>
      <c r="G500" s="6" t="s">
        <v>1308</v>
      </c>
      <c r="H500" s="6" t="s">
        <v>1777</v>
      </c>
      <c r="I500" s="6">
        <v>0</v>
      </c>
      <c r="J500" s="6">
        <v>22.32</v>
      </c>
      <c r="K500" s="6">
        <v>1</v>
      </c>
      <c r="L500" s="6" t="s">
        <v>2168</v>
      </c>
      <c r="M500" s="6" t="e">
        <f>VLOOKUP(L500,'Nov Inv Recon'!H:H,1,FALSE)</f>
        <v>#N/A</v>
      </c>
      <c r="N500" s="6" t="e">
        <f>VLOOKUP(L500,VictoryHeitrich!D:D,1,FALSE)</f>
        <v>#N/A</v>
      </c>
      <c r="O500" s="6" t="s">
        <v>929</v>
      </c>
      <c r="P500" s="6" t="s">
        <v>1311</v>
      </c>
      <c r="Q500" s="6" t="s">
        <v>2855</v>
      </c>
      <c r="R500" s="6" t="s">
        <v>2855</v>
      </c>
      <c r="S500" s="6" t="s">
        <v>35</v>
      </c>
      <c r="T500" s="6" t="s">
        <v>36</v>
      </c>
      <c r="U500" s="6" t="s">
        <v>1313</v>
      </c>
      <c r="V500" s="6" t="s">
        <v>1314</v>
      </c>
      <c r="W500" s="6">
        <v>2025</v>
      </c>
      <c r="X500" s="6">
        <v>11</v>
      </c>
      <c r="Y500" s="6" t="s">
        <v>1315</v>
      </c>
      <c r="Z500" s="6">
        <v>2025</v>
      </c>
      <c r="AA500" s="6" t="s">
        <v>1316</v>
      </c>
      <c r="AB500" s="6" t="str">
        <f>VLOOKUP(S500,Mapping!A:C,3,FALSE)</f>
        <v>Primary</v>
      </c>
    </row>
    <row r="501" spans="1:28" x14ac:dyDescent="0.35">
      <c r="A501" s="6" t="s">
        <v>1302</v>
      </c>
      <c r="B501" s="6" t="s">
        <v>1303</v>
      </c>
      <c r="C501" s="6" t="s">
        <v>1304</v>
      </c>
      <c r="D501" s="6" t="s">
        <v>1305</v>
      </c>
      <c r="E501" s="6" t="s">
        <v>1306</v>
      </c>
      <c r="F501" s="6" t="s">
        <v>1307</v>
      </c>
      <c r="G501" s="6" t="s">
        <v>1308</v>
      </c>
      <c r="H501" s="6" t="s">
        <v>1728</v>
      </c>
      <c r="I501" s="6">
        <v>0</v>
      </c>
      <c r="J501" s="6">
        <v>499</v>
      </c>
      <c r="K501" s="6">
        <v>1</v>
      </c>
      <c r="L501" s="6" t="s">
        <v>2196</v>
      </c>
      <c r="M501" s="6" t="e">
        <f>VLOOKUP(L501,'Nov Inv Recon'!H:H,1,FALSE)</f>
        <v>#N/A</v>
      </c>
      <c r="N501" s="6" t="e">
        <f>VLOOKUP(L501,VictoryHeitrich!D:D,1,FALSE)</f>
        <v>#N/A</v>
      </c>
      <c r="O501" s="6" t="s">
        <v>521</v>
      </c>
      <c r="P501" s="6" t="s">
        <v>1311</v>
      </c>
      <c r="Q501" s="6" t="s">
        <v>2856</v>
      </c>
      <c r="R501" s="6" t="s">
        <v>2856</v>
      </c>
      <c r="S501" s="6" t="s">
        <v>35</v>
      </c>
      <c r="T501" s="6" t="s">
        <v>36</v>
      </c>
      <c r="U501" s="6" t="s">
        <v>1313</v>
      </c>
      <c r="V501" s="6" t="s">
        <v>1314</v>
      </c>
      <c r="W501" s="6">
        <v>2025</v>
      </c>
      <c r="X501" s="6">
        <v>11</v>
      </c>
      <c r="Y501" s="6" t="s">
        <v>1315</v>
      </c>
      <c r="Z501" s="6">
        <v>2025</v>
      </c>
      <c r="AA501" s="6" t="s">
        <v>1316</v>
      </c>
      <c r="AB501" s="6" t="str">
        <f>VLOOKUP(S501,Mapping!A:C,3,FALSE)</f>
        <v>Primary</v>
      </c>
    </row>
    <row r="502" spans="1:28" x14ac:dyDescent="0.35">
      <c r="A502" s="6" t="s">
        <v>1302</v>
      </c>
      <c r="B502" s="6" t="s">
        <v>1303</v>
      </c>
      <c r="C502" s="6" t="s">
        <v>1304</v>
      </c>
      <c r="D502" s="6" t="s">
        <v>1305</v>
      </c>
      <c r="E502" s="6" t="s">
        <v>1306</v>
      </c>
      <c r="F502" s="6" t="s">
        <v>1307</v>
      </c>
      <c r="G502" s="6" t="s">
        <v>1308</v>
      </c>
      <c r="H502" s="6" t="s">
        <v>1752</v>
      </c>
      <c r="I502" s="6">
        <v>0</v>
      </c>
      <c r="J502" s="6">
        <v>499</v>
      </c>
      <c r="K502" s="6">
        <v>1</v>
      </c>
      <c r="L502" s="6" t="s">
        <v>2199</v>
      </c>
      <c r="M502" s="6" t="e">
        <f>VLOOKUP(L502,'Nov Inv Recon'!H:H,1,FALSE)</f>
        <v>#N/A</v>
      </c>
      <c r="N502" s="6" t="e">
        <f>VLOOKUP(L502,VictoryHeitrich!D:D,1,FALSE)</f>
        <v>#N/A</v>
      </c>
      <c r="O502" s="6" t="s">
        <v>531</v>
      </c>
      <c r="P502" s="6" t="s">
        <v>1311</v>
      </c>
      <c r="Q502" s="6" t="s">
        <v>2857</v>
      </c>
      <c r="R502" s="6" t="s">
        <v>2857</v>
      </c>
      <c r="S502" s="6" t="s">
        <v>35</v>
      </c>
      <c r="T502" s="6" t="s">
        <v>36</v>
      </c>
      <c r="U502" s="6" t="s">
        <v>1313</v>
      </c>
      <c r="V502" s="6" t="s">
        <v>1314</v>
      </c>
      <c r="W502" s="6">
        <v>2025</v>
      </c>
      <c r="X502" s="6">
        <v>11</v>
      </c>
      <c r="Y502" s="6" t="s">
        <v>1315</v>
      </c>
      <c r="Z502" s="6">
        <v>2025</v>
      </c>
      <c r="AA502" s="6" t="s">
        <v>1316</v>
      </c>
      <c r="AB502" s="6" t="str">
        <f>VLOOKUP(S502,Mapping!A:C,3,FALSE)</f>
        <v>Primary</v>
      </c>
    </row>
    <row r="503" spans="1:28" x14ac:dyDescent="0.35">
      <c r="A503" s="6" t="s">
        <v>1302</v>
      </c>
      <c r="B503" s="6" t="s">
        <v>1303</v>
      </c>
      <c r="C503" s="6" t="s">
        <v>1304</v>
      </c>
      <c r="D503" s="6" t="s">
        <v>1305</v>
      </c>
      <c r="E503" s="6" t="s">
        <v>1306</v>
      </c>
      <c r="F503" s="6" t="s">
        <v>1307</v>
      </c>
      <c r="G503" s="6" t="s">
        <v>1308</v>
      </c>
      <c r="H503" s="6" t="s">
        <v>1682</v>
      </c>
      <c r="I503" s="6">
        <v>0</v>
      </c>
      <c r="J503" s="6">
        <v>241.25</v>
      </c>
      <c r="K503" s="6">
        <v>1</v>
      </c>
      <c r="L503" s="6" t="s">
        <v>1445</v>
      </c>
      <c r="M503" s="6" t="e">
        <f>VLOOKUP(L503,'Nov Inv Recon'!H:H,1,FALSE)</f>
        <v>#N/A</v>
      </c>
      <c r="N503" s="6" t="e">
        <f>VLOOKUP(L503,VictoryHeitrich!D:D,1,FALSE)</f>
        <v>#N/A</v>
      </c>
      <c r="O503" s="6" t="s">
        <v>1446</v>
      </c>
      <c r="P503" s="6" t="s">
        <v>1311</v>
      </c>
      <c r="Q503" s="6" t="s">
        <v>2858</v>
      </c>
      <c r="R503" s="6" t="s">
        <v>2858</v>
      </c>
      <c r="S503" s="6" t="s">
        <v>35</v>
      </c>
      <c r="T503" s="6" t="s">
        <v>36</v>
      </c>
      <c r="U503" s="6" t="s">
        <v>1313</v>
      </c>
      <c r="V503" s="6" t="s">
        <v>1314</v>
      </c>
      <c r="W503" s="6">
        <v>2025</v>
      </c>
      <c r="X503" s="6">
        <v>11</v>
      </c>
      <c r="Y503" s="6" t="s">
        <v>1315</v>
      </c>
      <c r="Z503" s="6">
        <v>2025</v>
      </c>
      <c r="AA503" s="6" t="s">
        <v>1316</v>
      </c>
      <c r="AB503" s="6" t="str">
        <f>VLOOKUP(S503,Mapping!A:C,3,FALSE)</f>
        <v>Primary</v>
      </c>
    </row>
    <row r="504" spans="1:28" x14ac:dyDescent="0.35">
      <c r="A504" s="6" t="s">
        <v>1302</v>
      </c>
      <c r="B504" s="6" t="s">
        <v>1303</v>
      </c>
      <c r="C504" s="6" t="s">
        <v>1304</v>
      </c>
      <c r="D504" s="6" t="s">
        <v>1305</v>
      </c>
      <c r="E504" s="6" t="s">
        <v>1306</v>
      </c>
      <c r="F504" s="6" t="s">
        <v>1307</v>
      </c>
      <c r="G504" s="6" t="s">
        <v>1308</v>
      </c>
      <c r="H504" s="6" t="s">
        <v>1752</v>
      </c>
      <c r="I504" s="6">
        <v>0</v>
      </c>
      <c r="J504" s="6">
        <v>499</v>
      </c>
      <c r="K504" s="6">
        <v>1</v>
      </c>
      <c r="L504" s="6" t="s">
        <v>2201</v>
      </c>
      <c r="M504" s="6" t="e">
        <f>VLOOKUP(L504,'Nov Inv Recon'!H:H,1,FALSE)</f>
        <v>#N/A</v>
      </c>
      <c r="N504" s="6" t="e">
        <f>VLOOKUP(L504,VictoryHeitrich!D:D,1,FALSE)</f>
        <v>#N/A</v>
      </c>
      <c r="O504" s="6" t="s">
        <v>525</v>
      </c>
      <c r="P504" s="6" t="s">
        <v>1311</v>
      </c>
      <c r="Q504" s="6" t="s">
        <v>2859</v>
      </c>
      <c r="R504" s="6" t="s">
        <v>2859</v>
      </c>
      <c r="S504" s="6" t="s">
        <v>35</v>
      </c>
      <c r="T504" s="6" t="s">
        <v>36</v>
      </c>
      <c r="U504" s="6" t="s">
        <v>1313</v>
      </c>
      <c r="V504" s="6" t="s">
        <v>1314</v>
      </c>
      <c r="W504" s="6">
        <v>2025</v>
      </c>
      <c r="X504" s="6">
        <v>11</v>
      </c>
      <c r="Y504" s="6" t="s">
        <v>1315</v>
      </c>
      <c r="Z504" s="6">
        <v>2025</v>
      </c>
      <c r="AA504" s="6" t="s">
        <v>1316</v>
      </c>
      <c r="AB504" s="6" t="str">
        <f>VLOOKUP(S504,Mapping!A:C,3,FALSE)</f>
        <v>Primary</v>
      </c>
    </row>
    <row r="505" spans="1:28" x14ac:dyDescent="0.35">
      <c r="A505" s="6" t="s">
        <v>1302</v>
      </c>
      <c r="B505" s="6" t="s">
        <v>1303</v>
      </c>
      <c r="C505" s="6" t="s">
        <v>1304</v>
      </c>
      <c r="D505" s="6" t="s">
        <v>1305</v>
      </c>
      <c r="E505" s="6" t="s">
        <v>1306</v>
      </c>
      <c r="F505" s="6" t="s">
        <v>1307</v>
      </c>
      <c r="G505" s="6" t="s">
        <v>1308</v>
      </c>
      <c r="H505" s="6" t="s">
        <v>1937</v>
      </c>
      <c r="I505" s="6">
        <v>0</v>
      </c>
      <c r="J505" s="6">
        <v>142.16999999999999</v>
      </c>
      <c r="K505" s="6">
        <v>1</v>
      </c>
      <c r="L505" s="6" t="s">
        <v>2154</v>
      </c>
      <c r="M505" s="6" t="e">
        <f>VLOOKUP(L505,'Nov Inv Recon'!H:H,1,FALSE)</f>
        <v>#N/A</v>
      </c>
      <c r="N505" s="6" t="e">
        <f>VLOOKUP(L505,VictoryHeitrich!D:D,1,FALSE)</f>
        <v>#N/A</v>
      </c>
      <c r="O505" s="6" t="s">
        <v>149</v>
      </c>
      <c r="P505" s="6" t="s">
        <v>1311</v>
      </c>
      <c r="Q505" s="6" t="s">
        <v>2860</v>
      </c>
      <c r="R505" s="6" t="s">
        <v>2860</v>
      </c>
      <c r="S505" s="6" t="s">
        <v>35</v>
      </c>
      <c r="T505" s="6" t="s">
        <v>36</v>
      </c>
      <c r="U505" s="6" t="s">
        <v>1313</v>
      </c>
      <c r="V505" s="6" t="s">
        <v>1314</v>
      </c>
      <c r="W505" s="6">
        <v>2025</v>
      </c>
      <c r="X505" s="6">
        <v>11</v>
      </c>
      <c r="Y505" s="6" t="s">
        <v>1315</v>
      </c>
      <c r="Z505" s="6">
        <v>2025</v>
      </c>
      <c r="AA505" s="6" t="s">
        <v>1316</v>
      </c>
      <c r="AB505" s="6" t="str">
        <f>VLOOKUP(S505,Mapping!A:C,3,FALSE)</f>
        <v>Primary</v>
      </c>
    </row>
    <row r="506" spans="1:28" x14ac:dyDescent="0.35">
      <c r="A506" s="6" t="s">
        <v>1302</v>
      </c>
      <c r="B506" s="6" t="s">
        <v>1303</v>
      </c>
      <c r="C506" s="6" t="s">
        <v>1304</v>
      </c>
      <c r="D506" s="6" t="s">
        <v>1305</v>
      </c>
      <c r="E506" s="6" t="s">
        <v>1306</v>
      </c>
      <c r="F506" s="6" t="s">
        <v>1307</v>
      </c>
      <c r="G506" s="6" t="s">
        <v>1308</v>
      </c>
      <c r="H506" s="6" t="s">
        <v>1937</v>
      </c>
      <c r="I506" s="6">
        <v>0</v>
      </c>
      <c r="J506" s="6">
        <v>142.16999999999999</v>
      </c>
      <c r="K506" s="6">
        <v>1</v>
      </c>
      <c r="L506" s="6" t="s">
        <v>2123</v>
      </c>
      <c r="M506" s="6" t="e">
        <f>VLOOKUP(L506,'Nov Inv Recon'!H:H,1,FALSE)</f>
        <v>#N/A</v>
      </c>
      <c r="N506" s="6" t="e">
        <f>VLOOKUP(L506,VictoryHeitrich!D:D,1,FALSE)</f>
        <v>#N/A</v>
      </c>
      <c r="O506" s="6" t="s">
        <v>151</v>
      </c>
      <c r="P506" s="6" t="s">
        <v>1311</v>
      </c>
      <c r="Q506" s="6" t="s">
        <v>2861</v>
      </c>
      <c r="R506" s="6" t="s">
        <v>2861</v>
      </c>
      <c r="S506" s="6" t="s">
        <v>35</v>
      </c>
      <c r="T506" s="6" t="s">
        <v>36</v>
      </c>
      <c r="U506" s="6" t="s">
        <v>1313</v>
      </c>
      <c r="V506" s="6" t="s">
        <v>1314</v>
      </c>
      <c r="W506" s="6">
        <v>2025</v>
      </c>
      <c r="X506" s="6">
        <v>11</v>
      </c>
      <c r="Y506" s="6" t="s">
        <v>1315</v>
      </c>
      <c r="Z506" s="6">
        <v>2025</v>
      </c>
      <c r="AA506" s="6" t="s">
        <v>1316</v>
      </c>
      <c r="AB506" s="6" t="str">
        <f>VLOOKUP(S506,Mapping!A:C,3,FALSE)</f>
        <v>Primary</v>
      </c>
    </row>
    <row r="507" spans="1:28" x14ac:dyDescent="0.35">
      <c r="A507" s="6" t="s">
        <v>1302</v>
      </c>
      <c r="B507" s="6" t="s">
        <v>1303</v>
      </c>
      <c r="C507" s="6" t="s">
        <v>1304</v>
      </c>
      <c r="D507" s="6" t="s">
        <v>1305</v>
      </c>
      <c r="E507" s="6" t="s">
        <v>1306</v>
      </c>
      <c r="F507" s="6" t="s">
        <v>1307</v>
      </c>
      <c r="G507" s="6" t="s">
        <v>1308</v>
      </c>
      <c r="H507" s="6" t="s">
        <v>1682</v>
      </c>
      <c r="I507" s="6">
        <v>0</v>
      </c>
      <c r="J507" s="6">
        <v>614.79999999999995</v>
      </c>
      <c r="K507" s="6">
        <v>1</v>
      </c>
      <c r="L507" s="6" t="s">
        <v>2121</v>
      </c>
      <c r="M507" s="6" t="e">
        <f>VLOOKUP(L507,'Nov Inv Recon'!H:H,1,FALSE)</f>
        <v>#N/A</v>
      </c>
      <c r="N507" s="6" t="e">
        <f>VLOOKUP(L507,VictoryHeitrich!D:D,1,FALSE)</f>
        <v>#N/A</v>
      </c>
      <c r="O507" s="6" t="s">
        <v>859</v>
      </c>
      <c r="P507" s="6" t="s">
        <v>1311</v>
      </c>
      <c r="Q507" s="6" t="s">
        <v>2862</v>
      </c>
      <c r="R507" s="6" t="s">
        <v>2862</v>
      </c>
      <c r="S507" s="6" t="s">
        <v>35</v>
      </c>
      <c r="T507" s="6" t="s">
        <v>36</v>
      </c>
      <c r="U507" s="6" t="s">
        <v>1313</v>
      </c>
      <c r="V507" s="6" t="s">
        <v>1314</v>
      </c>
      <c r="W507" s="6">
        <v>2025</v>
      </c>
      <c r="X507" s="6">
        <v>11</v>
      </c>
      <c r="Y507" s="6" t="s">
        <v>1315</v>
      </c>
      <c r="Z507" s="6">
        <v>2025</v>
      </c>
      <c r="AA507" s="6" t="s">
        <v>1316</v>
      </c>
      <c r="AB507" s="6" t="str">
        <f>VLOOKUP(S507,Mapping!A:C,3,FALSE)</f>
        <v>Primary</v>
      </c>
    </row>
    <row r="508" spans="1:28" x14ac:dyDescent="0.35">
      <c r="A508" s="6" t="s">
        <v>1302</v>
      </c>
      <c r="B508" s="6" t="s">
        <v>1303</v>
      </c>
      <c r="C508" s="6" t="s">
        <v>1304</v>
      </c>
      <c r="D508" s="6" t="s">
        <v>1305</v>
      </c>
      <c r="E508" s="6" t="s">
        <v>1306</v>
      </c>
      <c r="F508" s="6" t="s">
        <v>1307</v>
      </c>
      <c r="G508" s="6" t="s">
        <v>1308</v>
      </c>
      <c r="H508" s="6" t="s">
        <v>1682</v>
      </c>
      <c r="I508" s="6">
        <v>0</v>
      </c>
      <c r="J508" s="6">
        <v>371.36</v>
      </c>
      <c r="K508" s="6">
        <v>1</v>
      </c>
      <c r="L508" s="6" t="s">
        <v>2098</v>
      </c>
      <c r="M508" s="6" t="e">
        <f>VLOOKUP(L508,'Nov Inv Recon'!H:H,1,FALSE)</f>
        <v>#N/A</v>
      </c>
      <c r="N508" s="6" t="e">
        <f>VLOOKUP(L508,VictoryHeitrich!D:D,1,FALSE)</f>
        <v>#N/A</v>
      </c>
      <c r="O508" s="6" t="s">
        <v>817</v>
      </c>
      <c r="P508" s="6" t="s">
        <v>1311</v>
      </c>
      <c r="Q508" s="6" t="s">
        <v>2863</v>
      </c>
      <c r="R508" s="6" t="s">
        <v>2863</v>
      </c>
      <c r="S508" s="6" t="s">
        <v>35</v>
      </c>
      <c r="T508" s="6" t="s">
        <v>36</v>
      </c>
      <c r="U508" s="6" t="s">
        <v>1313</v>
      </c>
      <c r="V508" s="6" t="s">
        <v>1314</v>
      </c>
      <c r="W508" s="6">
        <v>2025</v>
      </c>
      <c r="X508" s="6">
        <v>11</v>
      </c>
      <c r="Y508" s="6" t="s">
        <v>1315</v>
      </c>
      <c r="Z508" s="6">
        <v>2025</v>
      </c>
      <c r="AA508" s="6" t="s">
        <v>1316</v>
      </c>
      <c r="AB508" s="6" t="str">
        <f>VLOOKUP(S508,Mapping!A:C,3,FALSE)</f>
        <v>Primary</v>
      </c>
    </row>
    <row r="509" spans="1:28" x14ac:dyDescent="0.35">
      <c r="A509" s="6" t="s">
        <v>1302</v>
      </c>
      <c r="B509" s="6" t="s">
        <v>1303</v>
      </c>
      <c r="C509" s="6" t="s">
        <v>1304</v>
      </c>
      <c r="D509" s="6" t="s">
        <v>1305</v>
      </c>
      <c r="E509" s="6" t="s">
        <v>1306</v>
      </c>
      <c r="F509" s="6" t="s">
        <v>1307</v>
      </c>
      <c r="G509" s="6" t="s">
        <v>1308</v>
      </c>
      <c r="H509" s="6" t="s">
        <v>2505</v>
      </c>
      <c r="I509" s="6">
        <v>0</v>
      </c>
      <c r="J509" s="6">
        <v>313.95</v>
      </c>
      <c r="K509" s="6">
        <v>1</v>
      </c>
      <c r="L509" s="6" t="s">
        <v>2173</v>
      </c>
      <c r="M509" s="6" t="e">
        <f>VLOOKUP(L509,'Nov Inv Recon'!H:H,1,FALSE)</f>
        <v>#N/A</v>
      </c>
      <c r="N509" s="6" t="e">
        <f>VLOOKUP(L509,VictoryHeitrich!D:D,1,FALSE)</f>
        <v>#N/A</v>
      </c>
      <c r="O509" s="6" t="s">
        <v>718</v>
      </c>
      <c r="P509" s="6" t="s">
        <v>1311</v>
      </c>
      <c r="Q509" s="6" t="s">
        <v>2864</v>
      </c>
      <c r="R509" s="6" t="s">
        <v>2864</v>
      </c>
      <c r="S509" s="6" t="s">
        <v>35</v>
      </c>
      <c r="T509" s="6" t="s">
        <v>36</v>
      </c>
      <c r="U509" s="6" t="s">
        <v>1313</v>
      </c>
      <c r="V509" s="6" t="s">
        <v>1314</v>
      </c>
      <c r="W509" s="6">
        <v>2025</v>
      </c>
      <c r="X509" s="6">
        <v>11</v>
      </c>
      <c r="Y509" s="6" t="s">
        <v>1315</v>
      </c>
      <c r="Z509" s="6">
        <v>2025</v>
      </c>
      <c r="AA509" s="6" t="s">
        <v>1316</v>
      </c>
      <c r="AB509" s="6" t="str">
        <f>VLOOKUP(S509,Mapping!A:C,3,FALSE)</f>
        <v>Primary</v>
      </c>
    </row>
    <row r="510" spans="1:28" x14ac:dyDescent="0.35">
      <c r="A510" s="6" t="s">
        <v>1302</v>
      </c>
      <c r="B510" s="6" t="s">
        <v>1303</v>
      </c>
      <c r="C510" s="6" t="s">
        <v>1304</v>
      </c>
      <c r="D510" s="6" t="s">
        <v>1305</v>
      </c>
      <c r="E510" s="6" t="s">
        <v>1306</v>
      </c>
      <c r="F510" s="6" t="s">
        <v>1307</v>
      </c>
      <c r="G510" s="6" t="s">
        <v>1308</v>
      </c>
      <c r="H510" s="6" t="s">
        <v>1897</v>
      </c>
      <c r="I510" s="6">
        <v>0</v>
      </c>
      <c r="J510" s="6">
        <v>213.03</v>
      </c>
      <c r="K510" s="6">
        <v>1</v>
      </c>
      <c r="L510" s="6" t="s">
        <v>1522</v>
      </c>
      <c r="M510" s="6" t="e">
        <f>VLOOKUP(L510,'Nov Inv Recon'!H:H,1,FALSE)</f>
        <v>#N/A</v>
      </c>
      <c r="N510" s="6" t="e">
        <f>VLOOKUP(L510,VictoryHeitrich!D:D,1,FALSE)</f>
        <v>#N/A</v>
      </c>
      <c r="O510" s="6" t="s">
        <v>79</v>
      </c>
      <c r="P510" s="6" t="s">
        <v>1311</v>
      </c>
      <c r="Q510" s="6" t="s">
        <v>1926</v>
      </c>
      <c r="R510" s="6" t="s">
        <v>1926</v>
      </c>
      <c r="S510" s="6" t="s">
        <v>35</v>
      </c>
      <c r="T510" s="6" t="s">
        <v>36</v>
      </c>
      <c r="U510" s="6" t="s">
        <v>1313</v>
      </c>
      <c r="V510" s="6" t="s">
        <v>1314</v>
      </c>
      <c r="W510" s="6">
        <v>2025</v>
      </c>
      <c r="X510" s="6">
        <v>11</v>
      </c>
      <c r="Y510" s="6" t="s">
        <v>1315</v>
      </c>
      <c r="Z510" s="6">
        <v>2025</v>
      </c>
      <c r="AA510" s="6" t="s">
        <v>1316</v>
      </c>
      <c r="AB510" s="6" t="str">
        <f>VLOOKUP(S510,Mapping!A:C,3,FALSE)</f>
        <v>Primary</v>
      </c>
    </row>
    <row r="511" spans="1:28" x14ac:dyDescent="0.35">
      <c r="A511" s="6" t="s">
        <v>1302</v>
      </c>
      <c r="B511" s="6" t="s">
        <v>1303</v>
      </c>
      <c r="C511" s="6" t="s">
        <v>1304</v>
      </c>
      <c r="D511" s="6" t="s">
        <v>1305</v>
      </c>
      <c r="E511" s="6" t="s">
        <v>1306</v>
      </c>
      <c r="F511" s="6" t="s">
        <v>1307</v>
      </c>
      <c r="G511" s="6" t="s">
        <v>1308</v>
      </c>
      <c r="H511" s="6" t="s">
        <v>2466</v>
      </c>
      <c r="I511" s="6">
        <v>0</v>
      </c>
      <c r="J511" s="6">
        <v>338.2</v>
      </c>
      <c r="K511" s="6">
        <v>1</v>
      </c>
      <c r="L511" s="6" t="s">
        <v>2078</v>
      </c>
      <c r="M511" s="6" t="e">
        <f>VLOOKUP(L511,'Nov Inv Recon'!H:H,1,FALSE)</f>
        <v>#N/A</v>
      </c>
      <c r="N511" s="6" t="e">
        <f>VLOOKUP(L511,VictoryHeitrich!D:D,1,FALSE)</f>
        <v>#N/A</v>
      </c>
      <c r="O511" s="6" t="s">
        <v>771</v>
      </c>
      <c r="P511" s="6" t="s">
        <v>1311</v>
      </c>
      <c r="Q511" s="6" t="s">
        <v>2865</v>
      </c>
      <c r="R511" s="6" t="s">
        <v>2865</v>
      </c>
      <c r="S511" s="6" t="s">
        <v>35</v>
      </c>
      <c r="T511" s="6" t="s">
        <v>36</v>
      </c>
      <c r="U511" s="6" t="s">
        <v>1313</v>
      </c>
      <c r="V511" s="6" t="s">
        <v>1314</v>
      </c>
      <c r="W511" s="6">
        <v>2025</v>
      </c>
      <c r="X511" s="6">
        <v>11</v>
      </c>
      <c r="Y511" s="6" t="s">
        <v>1315</v>
      </c>
      <c r="Z511" s="6">
        <v>2025</v>
      </c>
      <c r="AA511" s="6" t="s">
        <v>1316</v>
      </c>
      <c r="AB511" s="6" t="str">
        <f>VLOOKUP(S511,Mapping!A:C,3,FALSE)</f>
        <v>Primary</v>
      </c>
    </row>
    <row r="512" spans="1:28" x14ac:dyDescent="0.35">
      <c r="A512" s="6" t="s">
        <v>1302</v>
      </c>
      <c r="B512" s="6" t="s">
        <v>1303</v>
      </c>
      <c r="C512" s="6" t="s">
        <v>1304</v>
      </c>
      <c r="D512" s="6" t="s">
        <v>1305</v>
      </c>
      <c r="E512" s="6" t="s">
        <v>1306</v>
      </c>
      <c r="F512" s="6" t="s">
        <v>1307</v>
      </c>
      <c r="G512" s="6" t="s">
        <v>1308</v>
      </c>
      <c r="H512" s="6" t="s">
        <v>1742</v>
      </c>
      <c r="I512" s="6">
        <v>0</v>
      </c>
      <c r="J512" s="6">
        <v>422.9</v>
      </c>
      <c r="K512" s="6">
        <v>1</v>
      </c>
      <c r="L512" s="6" t="s">
        <v>2144</v>
      </c>
      <c r="M512" s="6" t="e">
        <f>VLOOKUP(L512,'Nov Inv Recon'!H:H,1,FALSE)</f>
        <v>#N/A</v>
      </c>
      <c r="N512" s="6" t="e">
        <f>VLOOKUP(L512,VictoryHeitrich!D:D,1,FALSE)</f>
        <v>#N/A</v>
      </c>
      <c r="O512" s="6" t="s">
        <v>890</v>
      </c>
      <c r="P512" s="6" t="s">
        <v>1311</v>
      </c>
      <c r="Q512" s="6" t="s">
        <v>2866</v>
      </c>
      <c r="R512" s="6" t="s">
        <v>2866</v>
      </c>
      <c r="S512" s="6" t="s">
        <v>35</v>
      </c>
      <c r="T512" s="6" t="s">
        <v>36</v>
      </c>
      <c r="U512" s="6" t="s">
        <v>1313</v>
      </c>
      <c r="V512" s="6" t="s">
        <v>1314</v>
      </c>
      <c r="W512" s="6">
        <v>2025</v>
      </c>
      <c r="X512" s="6">
        <v>11</v>
      </c>
      <c r="Y512" s="6" t="s">
        <v>1315</v>
      </c>
      <c r="Z512" s="6">
        <v>2025</v>
      </c>
      <c r="AA512" s="6" t="s">
        <v>1316</v>
      </c>
      <c r="AB512" s="6" t="str">
        <f>VLOOKUP(S512,Mapping!A:C,3,FALSE)</f>
        <v>Primary</v>
      </c>
    </row>
    <row r="513" spans="1:28" x14ac:dyDescent="0.35">
      <c r="A513" s="6" t="s">
        <v>1302</v>
      </c>
      <c r="B513" s="6" t="s">
        <v>1303</v>
      </c>
      <c r="C513" s="6" t="s">
        <v>1304</v>
      </c>
      <c r="D513" s="6" t="s">
        <v>1305</v>
      </c>
      <c r="E513" s="6" t="s">
        <v>1306</v>
      </c>
      <c r="F513" s="6" t="s">
        <v>1307</v>
      </c>
      <c r="G513" s="6" t="s">
        <v>1308</v>
      </c>
      <c r="H513" s="6" t="s">
        <v>1632</v>
      </c>
      <c r="I513" s="6">
        <v>0</v>
      </c>
      <c r="J513" s="6">
        <v>745</v>
      </c>
      <c r="K513" s="6">
        <v>1</v>
      </c>
      <c r="L513" s="6" t="s">
        <v>2103</v>
      </c>
      <c r="M513" s="6" t="e">
        <f>VLOOKUP(L513,'Nov Inv Recon'!H:H,1,FALSE)</f>
        <v>#N/A</v>
      </c>
      <c r="N513" s="6" t="e">
        <f>VLOOKUP(L513,VictoryHeitrich!D:D,1,FALSE)</f>
        <v>#N/A</v>
      </c>
      <c r="O513" s="6" t="s">
        <v>914</v>
      </c>
      <c r="P513" s="6" t="s">
        <v>1311</v>
      </c>
      <c r="Q513" s="6" t="s">
        <v>2867</v>
      </c>
      <c r="R513" s="6" t="s">
        <v>2867</v>
      </c>
      <c r="S513" s="6" t="s">
        <v>35</v>
      </c>
      <c r="T513" s="6" t="s">
        <v>36</v>
      </c>
      <c r="U513" s="6" t="s">
        <v>1313</v>
      </c>
      <c r="V513" s="6" t="s">
        <v>1314</v>
      </c>
      <c r="W513" s="6">
        <v>2025</v>
      </c>
      <c r="X513" s="6">
        <v>11</v>
      </c>
      <c r="Y513" s="6" t="s">
        <v>1315</v>
      </c>
      <c r="Z513" s="6">
        <v>2025</v>
      </c>
      <c r="AA513" s="6" t="s">
        <v>1316</v>
      </c>
      <c r="AB513" s="6" t="str">
        <f>VLOOKUP(S513,Mapping!A:C,3,FALSE)</f>
        <v>Primary</v>
      </c>
    </row>
    <row r="514" spans="1:28" x14ac:dyDescent="0.35">
      <c r="A514" s="6" t="s">
        <v>1302</v>
      </c>
      <c r="B514" s="6" t="s">
        <v>1303</v>
      </c>
      <c r="C514" s="6" t="s">
        <v>1304</v>
      </c>
      <c r="D514" s="6" t="s">
        <v>1305</v>
      </c>
      <c r="E514" s="6" t="s">
        <v>1306</v>
      </c>
      <c r="F514" s="6" t="s">
        <v>1307</v>
      </c>
      <c r="G514" s="6" t="s">
        <v>1308</v>
      </c>
      <c r="H514" s="6" t="s">
        <v>1632</v>
      </c>
      <c r="I514" s="6">
        <v>0</v>
      </c>
      <c r="J514" s="6">
        <v>279</v>
      </c>
      <c r="K514" s="6">
        <v>1</v>
      </c>
      <c r="L514" s="6" t="s">
        <v>2062</v>
      </c>
      <c r="M514" s="6" t="e">
        <f>VLOOKUP(L514,'Nov Inv Recon'!H:H,1,FALSE)</f>
        <v>#N/A</v>
      </c>
      <c r="N514" s="6" t="e">
        <f>VLOOKUP(L514,VictoryHeitrich!D:D,1,FALSE)</f>
        <v>#N/A</v>
      </c>
      <c r="O514" s="6" t="s">
        <v>918</v>
      </c>
      <c r="P514" s="6" t="s">
        <v>1311</v>
      </c>
      <c r="Q514" s="6" t="s">
        <v>2868</v>
      </c>
      <c r="R514" s="6" t="s">
        <v>2868</v>
      </c>
      <c r="S514" s="6" t="s">
        <v>35</v>
      </c>
      <c r="T514" s="6" t="s">
        <v>36</v>
      </c>
      <c r="U514" s="6" t="s">
        <v>1313</v>
      </c>
      <c r="V514" s="6" t="s">
        <v>1314</v>
      </c>
      <c r="W514" s="6">
        <v>2025</v>
      </c>
      <c r="X514" s="6">
        <v>11</v>
      </c>
      <c r="Y514" s="6" t="s">
        <v>1315</v>
      </c>
      <c r="Z514" s="6">
        <v>2025</v>
      </c>
      <c r="AA514" s="6" t="s">
        <v>1316</v>
      </c>
      <c r="AB514" s="6" t="str">
        <f>VLOOKUP(S514,Mapping!A:C,3,FALSE)</f>
        <v>Primary</v>
      </c>
    </row>
    <row r="515" spans="1:28" x14ac:dyDescent="0.35">
      <c r="A515" s="6" t="s">
        <v>1302</v>
      </c>
      <c r="B515" s="6" t="s">
        <v>1303</v>
      </c>
      <c r="C515" s="6" t="s">
        <v>1304</v>
      </c>
      <c r="D515" s="6" t="s">
        <v>1305</v>
      </c>
      <c r="E515" s="6" t="s">
        <v>1306</v>
      </c>
      <c r="F515" s="6" t="s">
        <v>1307</v>
      </c>
      <c r="G515" s="6" t="s">
        <v>1308</v>
      </c>
      <c r="H515" s="6" t="s">
        <v>1632</v>
      </c>
      <c r="I515" s="6">
        <v>0</v>
      </c>
      <c r="J515" s="6">
        <v>279</v>
      </c>
      <c r="K515" s="6">
        <v>1</v>
      </c>
      <c r="L515" s="6" t="s">
        <v>2103</v>
      </c>
      <c r="M515" s="6" t="e">
        <f>VLOOKUP(L515,'Nov Inv Recon'!H:H,1,FALSE)</f>
        <v>#N/A</v>
      </c>
      <c r="N515" s="6" t="e">
        <f>VLOOKUP(L515,VictoryHeitrich!D:D,1,FALSE)</f>
        <v>#N/A</v>
      </c>
      <c r="O515" s="6" t="s">
        <v>914</v>
      </c>
      <c r="P515" s="6" t="s">
        <v>1311</v>
      </c>
      <c r="Q515" s="6" t="s">
        <v>2869</v>
      </c>
      <c r="R515" s="6" t="s">
        <v>2869</v>
      </c>
      <c r="S515" s="6" t="s">
        <v>35</v>
      </c>
      <c r="T515" s="6" t="s">
        <v>36</v>
      </c>
      <c r="U515" s="6" t="s">
        <v>1313</v>
      </c>
      <c r="V515" s="6" t="s">
        <v>1314</v>
      </c>
      <c r="W515" s="6">
        <v>2025</v>
      </c>
      <c r="X515" s="6">
        <v>11</v>
      </c>
      <c r="Y515" s="6" t="s">
        <v>1315</v>
      </c>
      <c r="Z515" s="6">
        <v>2025</v>
      </c>
      <c r="AA515" s="6" t="s">
        <v>1316</v>
      </c>
      <c r="AB515" s="6" t="str">
        <f>VLOOKUP(S515,Mapping!A:C,3,FALSE)</f>
        <v>Primary</v>
      </c>
    </row>
    <row r="516" spans="1:28" x14ac:dyDescent="0.35">
      <c r="A516" s="6" t="s">
        <v>1302</v>
      </c>
      <c r="B516" s="6" t="s">
        <v>1303</v>
      </c>
      <c r="C516" s="6" t="s">
        <v>1304</v>
      </c>
      <c r="D516" s="6" t="s">
        <v>1305</v>
      </c>
      <c r="E516" s="6" t="s">
        <v>1306</v>
      </c>
      <c r="F516" s="6" t="s">
        <v>1307</v>
      </c>
      <c r="G516" s="6" t="s">
        <v>1308</v>
      </c>
      <c r="H516" s="6" t="s">
        <v>1742</v>
      </c>
      <c r="I516" s="6">
        <v>0</v>
      </c>
      <c r="J516" s="6">
        <v>2295.36</v>
      </c>
      <c r="K516" s="6">
        <v>1</v>
      </c>
      <c r="L516" s="6" t="s">
        <v>2226</v>
      </c>
      <c r="M516" s="6" t="e">
        <f>VLOOKUP(L516,'Nov Inv Recon'!H:H,1,FALSE)</f>
        <v>#N/A</v>
      </c>
      <c r="N516" s="6" t="e">
        <f>VLOOKUP(L516,VictoryHeitrich!D:D,1,FALSE)</f>
        <v>#N/A</v>
      </c>
      <c r="O516" s="6" t="s">
        <v>863</v>
      </c>
      <c r="P516" s="6" t="s">
        <v>1311</v>
      </c>
      <c r="Q516" s="6" t="s">
        <v>2870</v>
      </c>
      <c r="R516" s="6" t="s">
        <v>2870</v>
      </c>
      <c r="S516" s="6" t="s">
        <v>35</v>
      </c>
      <c r="T516" s="6" t="s">
        <v>36</v>
      </c>
      <c r="U516" s="6" t="s">
        <v>1313</v>
      </c>
      <c r="V516" s="6" t="s">
        <v>1314</v>
      </c>
      <c r="W516" s="6">
        <v>2025</v>
      </c>
      <c r="X516" s="6">
        <v>11</v>
      </c>
      <c r="Y516" s="6" t="s">
        <v>1315</v>
      </c>
      <c r="Z516" s="6">
        <v>2025</v>
      </c>
      <c r="AA516" s="6" t="s">
        <v>1316</v>
      </c>
      <c r="AB516" s="6" t="str">
        <f>VLOOKUP(S516,Mapping!A:C,3,FALSE)</f>
        <v>Primary</v>
      </c>
    </row>
    <row r="517" spans="1:28" x14ac:dyDescent="0.35">
      <c r="A517" s="6" t="s">
        <v>1302</v>
      </c>
      <c r="B517" s="6" t="s">
        <v>1303</v>
      </c>
      <c r="C517" s="6" t="s">
        <v>1304</v>
      </c>
      <c r="D517" s="6" t="s">
        <v>1305</v>
      </c>
      <c r="E517" s="6" t="s">
        <v>1306</v>
      </c>
      <c r="F517" s="6" t="s">
        <v>1307</v>
      </c>
      <c r="G517" s="6" t="s">
        <v>1308</v>
      </c>
      <c r="H517" s="6" t="s">
        <v>1657</v>
      </c>
      <c r="I517" s="6">
        <v>0</v>
      </c>
      <c r="J517" s="6">
        <v>1028.97</v>
      </c>
      <c r="K517" s="6">
        <v>1</v>
      </c>
      <c r="L517" s="6" t="s">
        <v>2255</v>
      </c>
      <c r="M517" s="6" t="e">
        <f>VLOOKUP(L517,'Nov Inv Recon'!H:H,1,FALSE)</f>
        <v>#N/A</v>
      </c>
      <c r="N517" s="6" t="e">
        <f>VLOOKUP(L517,VictoryHeitrich!D:D,1,FALSE)</f>
        <v>#N/A</v>
      </c>
      <c r="O517" s="6" t="s">
        <v>691</v>
      </c>
      <c r="P517" s="6" t="s">
        <v>1311</v>
      </c>
      <c r="Q517" s="6" t="s">
        <v>2871</v>
      </c>
      <c r="R517" s="6" t="s">
        <v>2871</v>
      </c>
      <c r="S517" s="6" t="s">
        <v>35</v>
      </c>
      <c r="T517" s="6" t="s">
        <v>36</v>
      </c>
      <c r="U517" s="6" t="s">
        <v>1313</v>
      </c>
      <c r="V517" s="6" t="s">
        <v>1314</v>
      </c>
      <c r="W517" s="6">
        <v>2025</v>
      </c>
      <c r="X517" s="6">
        <v>11</v>
      </c>
      <c r="Y517" s="6" t="s">
        <v>1315</v>
      </c>
      <c r="Z517" s="6">
        <v>2025</v>
      </c>
      <c r="AA517" s="6" t="s">
        <v>1316</v>
      </c>
      <c r="AB517" s="6" t="str">
        <f>VLOOKUP(S517,Mapping!A:C,3,FALSE)</f>
        <v>Primary</v>
      </c>
    </row>
    <row r="518" spans="1:28" x14ac:dyDescent="0.35">
      <c r="A518" s="6" t="s">
        <v>1302</v>
      </c>
      <c r="B518" s="6" t="s">
        <v>1303</v>
      </c>
      <c r="C518" s="6" t="s">
        <v>1304</v>
      </c>
      <c r="D518" s="6" t="s">
        <v>1305</v>
      </c>
      <c r="E518" s="6" t="s">
        <v>1306</v>
      </c>
      <c r="F518" s="6" t="s">
        <v>1307</v>
      </c>
      <c r="G518" s="6" t="s">
        <v>1308</v>
      </c>
      <c r="H518" s="6" t="s">
        <v>1632</v>
      </c>
      <c r="I518" s="6">
        <v>0</v>
      </c>
      <c r="J518" s="6">
        <v>371.36</v>
      </c>
      <c r="K518" s="6">
        <v>1</v>
      </c>
      <c r="L518" s="6" t="s">
        <v>2234</v>
      </c>
      <c r="M518" s="6" t="e">
        <f>VLOOKUP(L518,'Nov Inv Recon'!H:H,1,FALSE)</f>
        <v>#N/A</v>
      </c>
      <c r="N518" s="6" t="e">
        <f>VLOOKUP(L518,VictoryHeitrich!D:D,1,FALSE)</f>
        <v>#N/A</v>
      </c>
      <c r="O518" s="6" t="s">
        <v>815</v>
      </c>
      <c r="P518" s="6" t="s">
        <v>1311</v>
      </c>
      <c r="Q518" s="6" t="s">
        <v>2872</v>
      </c>
      <c r="R518" s="6" t="s">
        <v>2872</v>
      </c>
      <c r="S518" s="6" t="s">
        <v>35</v>
      </c>
      <c r="T518" s="6" t="s">
        <v>36</v>
      </c>
      <c r="U518" s="6" t="s">
        <v>1313</v>
      </c>
      <c r="V518" s="6" t="s">
        <v>1314</v>
      </c>
      <c r="W518" s="6">
        <v>2025</v>
      </c>
      <c r="X518" s="6">
        <v>11</v>
      </c>
      <c r="Y518" s="6" t="s">
        <v>1315</v>
      </c>
      <c r="Z518" s="6">
        <v>2025</v>
      </c>
      <c r="AA518" s="6" t="s">
        <v>1316</v>
      </c>
      <c r="AB518" s="6" t="str">
        <f>VLOOKUP(S518,Mapping!A:C,3,FALSE)</f>
        <v>Primary</v>
      </c>
    </row>
    <row r="519" spans="1:28" x14ac:dyDescent="0.35">
      <c r="A519" s="6" t="s">
        <v>1302</v>
      </c>
      <c r="B519" s="6" t="s">
        <v>1303</v>
      </c>
      <c r="C519" s="6" t="s">
        <v>1304</v>
      </c>
      <c r="D519" s="6" t="s">
        <v>1305</v>
      </c>
      <c r="E519" s="6" t="s">
        <v>1306</v>
      </c>
      <c r="F519" s="6" t="s">
        <v>1307</v>
      </c>
      <c r="G519" s="6" t="s">
        <v>1308</v>
      </c>
      <c r="H519" s="6" t="s">
        <v>1632</v>
      </c>
      <c r="I519" s="6">
        <v>0</v>
      </c>
      <c r="J519" s="6">
        <v>247.16</v>
      </c>
      <c r="K519" s="6">
        <v>1</v>
      </c>
      <c r="L519" s="6" t="s">
        <v>2251</v>
      </c>
      <c r="M519" s="6" t="e">
        <f>VLOOKUP(L519,'Nov Inv Recon'!H:H,1,FALSE)</f>
        <v>#N/A</v>
      </c>
      <c r="N519" s="6" t="e">
        <f>VLOOKUP(L519,VictoryHeitrich!D:D,1,FALSE)</f>
        <v>#N/A</v>
      </c>
      <c r="O519" s="6" t="s">
        <v>935</v>
      </c>
      <c r="P519" s="6" t="s">
        <v>1311</v>
      </c>
      <c r="Q519" s="6" t="s">
        <v>2873</v>
      </c>
      <c r="R519" s="6" t="s">
        <v>2873</v>
      </c>
      <c r="S519" s="6" t="s">
        <v>35</v>
      </c>
      <c r="T519" s="6" t="s">
        <v>36</v>
      </c>
      <c r="U519" s="6" t="s">
        <v>1313</v>
      </c>
      <c r="V519" s="6" t="s">
        <v>1314</v>
      </c>
      <c r="W519" s="6">
        <v>2025</v>
      </c>
      <c r="X519" s="6">
        <v>11</v>
      </c>
      <c r="Y519" s="6" t="s">
        <v>1315</v>
      </c>
      <c r="Z519" s="6">
        <v>2025</v>
      </c>
      <c r="AA519" s="6" t="s">
        <v>1316</v>
      </c>
      <c r="AB519" s="6" t="str">
        <f>VLOOKUP(S519,Mapping!A:C,3,FALSE)</f>
        <v>Primary</v>
      </c>
    </row>
    <row r="520" spans="1:28" x14ac:dyDescent="0.35">
      <c r="A520" s="6" t="s">
        <v>1302</v>
      </c>
      <c r="B520" s="6" t="s">
        <v>1303</v>
      </c>
      <c r="C520" s="6" t="s">
        <v>1304</v>
      </c>
      <c r="D520" s="6" t="s">
        <v>1305</v>
      </c>
      <c r="E520" s="6" t="s">
        <v>1306</v>
      </c>
      <c r="F520" s="6" t="s">
        <v>1307</v>
      </c>
      <c r="G520" s="6" t="s">
        <v>1308</v>
      </c>
      <c r="H520" s="6" t="s">
        <v>2407</v>
      </c>
      <c r="I520" s="6">
        <v>0</v>
      </c>
      <c r="J520" s="6">
        <v>1177.28</v>
      </c>
      <c r="K520" s="6">
        <v>1</v>
      </c>
      <c r="L520" s="6" t="s">
        <v>1443</v>
      </c>
      <c r="M520" s="6" t="e">
        <f>VLOOKUP(L520,'Nov Inv Recon'!H:H,1,FALSE)</f>
        <v>#N/A</v>
      </c>
      <c r="N520" s="6" t="e">
        <f>VLOOKUP(L520,VictoryHeitrich!D:D,1,FALSE)</f>
        <v>#N/A</v>
      </c>
      <c r="O520" s="6" t="s">
        <v>1444</v>
      </c>
      <c r="P520" s="6" t="s">
        <v>1311</v>
      </c>
      <c r="Q520" s="6" t="s">
        <v>2874</v>
      </c>
      <c r="R520" s="6" t="s">
        <v>2874</v>
      </c>
      <c r="S520" s="6" t="s">
        <v>35</v>
      </c>
      <c r="T520" s="6" t="s">
        <v>36</v>
      </c>
      <c r="U520" s="6" t="s">
        <v>1313</v>
      </c>
      <c r="V520" s="6" t="s">
        <v>1314</v>
      </c>
      <c r="W520" s="6">
        <v>2025</v>
      </c>
      <c r="X520" s="6">
        <v>11</v>
      </c>
      <c r="Y520" s="6" t="s">
        <v>1315</v>
      </c>
      <c r="Z520" s="6">
        <v>2025</v>
      </c>
      <c r="AA520" s="6" t="s">
        <v>1316</v>
      </c>
      <c r="AB520" s="6" t="str">
        <f>VLOOKUP(S520,Mapping!A:C,3,FALSE)</f>
        <v>Primary</v>
      </c>
    </row>
    <row r="521" spans="1:28" x14ac:dyDescent="0.35">
      <c r="A521" s="6" t="s">
        <v>1302</v>
      </c>
      <c r="B521" s="6" t="s">
        <v>1303</v>
      </c>
      <c r="C521" s="6" t="s">
        <v>1304</v>
      </c>
      <c r="D521" s="6" t="s">
        <v>1305</v>
      </c>
      <c r="E521" s="6" t="s">
        <v>1306</v>
      </c>
      <c r="F521" s="6" t="s">
        <v>1307</v>
      </c>
      <c r="G521" s="6" t="s">
        <v>1308</v>
      </c>
      <c r="H521" s="6" t="s">
        <v>1842</v>
      </c>
      <c r="I521" s="6">
        <v>0</v>
      </c>
      <c r="J521" s="6">
        <v>371.36</v>
      </c>
      <c r="K521" s="6">
        <v>1</v>
      </c>
      <c r="L521" s="6" t="s">
        <v>1365</v>
      </c>
      <c r="M521" s="6" t="e">
        <f>VLOOKUP(L521,'Nov Inv Recon'!H:H,1,FALSE)</f>
        <v>#N/A</v>
      </c>
      <c r="N521" s="6" t="e">
        <f>VLOOKUP(L521,VictoryHeitrich!D:D,1,FALSE)</f>
        <v>#N/A</v>
      </c>
      <c r="O521" s="6" t="s">
        <v>1366</v>
      </c>
      <c r="P521" s="6" t="s">
        <v>1311</v>
      </c>
      <c r="Q521" s="6" t="s">
        <v>2875</v>
      </c>
      <c r="R521" s="6" t="s">
        <v>2875</v>
      </c>
      <c r="S521" s="6" t="s">
        <v>35</v>
      </c>
      <c r="T521" s="6" t="s">
        <v>36</v>
      </c>
      <c r="U521" s="6" t="s">
        <v>1313</v>
      </c>
      <c r="V521" s="6" t="s">
        <v>1314</v>
      </c>
      <c r="W521" s="6">
        <v>2025</v>
      </c>
      <c r="X521" s="6">
        <v>11</v>
      </c>
      <c r="Y521" s="6" t="s">
        <v>1315</v>
      </c>
      <c r="Z521" s="6">
        <v>2025</v>
      </c>
      <c r="AA521" s="6" t="s">
        <v>1316</v>
      </c>
      <c r="AB521" s="6" t="str">
        <f>VLOOKUP(S521,Mapping!A:C,3,FALSE)</f>
        <v>Primary</v>
      </c>
    </row>
    <row r="522" spans="1:28" x14ac:dyDescent="0.35">
      <c r="A522" s="6" t="s">
        <v>1302</v>
      </c>
      <c r="B522" s="6" t="s">
        <v>1303</v>
      </c>
      <c r="C522" s="6" t="s">
        <v>1304</v>
      </c>
      <c r="D522" s="6" t="s">
        <v>1305</v>
      </c>
      <c r="E522" s="6" t="s">
        <v>1306</v>
      </c>
      <c r="F522" s="6" t="s">
        <v>1307</v>
      </c>
      <c r="G522" s="6" t="s">
        <v>1308</v>
      </c>
      <c r="H522" s="6" t="s">
        <v>1719</v>
      </c>
      <c r="I522" s="6">
        <v>0</v>
      </c>
      <c r="J522" s="6">
        <v>370.2</v>
      </c>
      <c r="K522" s="6">
        <v>1</v>
      </c>
      <c r="L522" s="6" t="s">
        <v>2105</v>
      </c>
      <c r="M522" s="6" t="e">
        <f>VLOOKUP(L522,'Nov Inv Recon'!H:H,1,FALSE)</f>
        <v>#N/A</v>
      </c>
      <c r="N522" s="6" t="e">
        <f>VLOOKUP(L522,VictoryHeitrich!D:D,1,FALSE)</f>
        <v>#N/A</v>
      </c>
      <c r="O522" s="6" t="s">
        <v>793</v>
      </c>
      <c r="P522" s="6" t="s">
        <v>1311</v>
      </c>
      <c r="Q522" s="6" t="s">
        <v>2876</v>
      </c>
      <c r="R522" s="6" t="s">
        <v>2876</v>
      </c>
      <c r="S522" s="6" t="s">
        <v>35</v>
      </c>
      <c r="T522" s="6" t="s">
        <v>36</v>
      </c>
      <c r="U522" s="6" t="s">
        <v>1313</v>
      </c>
      <c r="V522" s="6" t="s">
        <v>1314</v>
      </c>
      <c r="W522" s="6">
        <v>2025</v>
      </c>
      <c r="X522" s="6">
        <v>11</v>
      </c>
      <c r="Y522" s="6" t="s">
        <v>1315</v>
      </c>
      <c r="Z522" s="6">
        <v>2025</v>
      </c>
      <c r="AA522" s="6" t="s">
        <v>1316</v>
      </c>
      <c r="AB522" s="6" t="str">
        <f>VLOOKUP(S522,Mapping!A:C,3,FALSE)</f>
        <v>Primary</v>
      </c>
    </row>
    <row r="523" spans="1:28" x14ac:dyDescent="0.35">
      <c r="A523" s="6" t="s">
        <v>1302</v>
      </c>
      <c r="B523" s="6" t="s">
        <v>1303</v>
      </c>
      <c r="C523" s="6" t="s">
        <v>1304</v>
      </c>
      <c r="D523" s="6" t="s">
        <v>1305</v>
      </c>
      <c r="E523" s="6" t="s">
        <v>1306</v>
      </c>
      <c r="F523" s="6" t="s">
        <v>1307</v>
      </c>
      <c r="G523" s="6" t="s">
        <v>1308</v>
      </c>
      <c r="H523" s="6" t="s">
        <v>2528</v>
      </c>
      <c r="I523" s="6">
        <v>0</v>
      </c>
      <c r="J523" s="6">
        <v>619.46</v>
      </c>
      <c r="K523" s="6">
        <v>1</v>
      </c>
      <c r="L523" s="6" t="s">
        <v>2174</v>
      </c>
      <c r="M523" s="6" t="e">
        <f>VLOOKUP(L523,'Nov Inv Recon'!H:H,1,FALSE)</f>
        <v>#N/A</v>
      </c>
      <c r="N523" s="6" t="e">
        <f>VLOOKUP(L523,VictoryHeitrich!D:D,1,FALSE)</f>
        <v>#N/A</v>
      </c>
      <c r="O523" s="6" t="s">
        <v>831</v>
      </c>
      <c r="P523" s="6" t="s">
        <v>1311</v>
      </c>
      <c r="Q523" s="6" t="s">
        <v>2877</v>
      </c>
      <c r="R523" s="6" t="s">
        <v>2877</v>
      </c>
      <c r="S523" s="6" t="s">
        <v>35</v>
      </c>
      <c r="T523" s="6" t="s">
        <v>36</v>
      </c>
      <c r="U523" s="6" t="s">
        <v>1313</v>
      </c>
      <c r="V523" s="6" t="s">
        <v>1314</v>
      </c>
      <c r="W523" s="6">
        <v>2025</v>
      </c>
      <c r="X523" s="6">
        <v>11</v>
      </c>
      <c r="Y523" s="6" t="s">
        <v>1315</v>
      </c>
      <c r="Z523" s="6">
        <v>2025</v>
      </c>
      <c r="AA523" s="6" t="s">
        <v>1316</v>
      </c>
      <c r="AB523" s="6" t="str">
        <f>VLOOKUP(S523,Mapping!A:C,3,FALSE)</f>
        <v>Primary</v>
      </c>
    </row>
    <row r="524" spans="1:28" x14ac:dyDescent="0.35">
      <c r="A524" s="6" t="s">
        <v>1302</v>
      </c>
      <c r="B524" s="6" t="s">
        <v>1303</v>
      </c>
      <c r="C524" s="6" t="s">
        <v>1304</v>
      </c>
      <c r="D524" s="6" t="s">
        <v>1305</v>
      </c>
      <c r="E524" s="6" t="s">
        <v>1306</v>
      </c>
      <c r="F524" s="6" t="s">
        <v>1307</v>
      </c>
      <c r="G524" s="6" t="s">
        <v>1308</v>
      </c>
      <c r="H524" s="6" t="s">
        <v>1632</v>
      </c>
      <c r="I524" s="6">
        <v>0</v>
      </c>
      <c r="J524" s="6">
        <v>572.05999999999995</v>
      </c>
      <c r="K524" s="6">
        <v>1</v>
      </c>
      <c r="L524" s="6" t="s">
        <v>2167</v>
      </c>
      <c r="M524" s="6" t="e">
        <f>VLOOKUP(L524,'Nov Inv Recon'!H:H,1,FALSE)</f>
        <v>#N/A</v>
      </c>
      <c r="N524" s="6" t="e">
        <f>VLOOKUP(L524,VictoryHeitrich!D:D,1,FALSE)</f>
        <v>#N/A</v>
      </c>
      <c r="O524" s="6" t="s">
        <v>759</v>
      </c>
      <c r="P524" s="6" t="s">
        <v>1311</v>
      </c>
      <c r="Q524" s="6" t="s">
        <v>2878</v>
      </c>
      <c r="R524" s="6" t="s">
        <v>2878</v>
      </c>
      <c r="S524" s="6" t="s">
        <v>35</v>
      </c>
      <c r="T524" s="6" t="s">
        <v>36</v>
      </c>
      <c r="U524" s="6" t="s">
        <v>1313</v>
      </c>
      <c r="V524" s="6" t="s">
        <v>1314</v>
      </c>
      <c r="W524" s="6">
        <v>2025</v>
      </c>
      <c r="X524" s="6">
        <v>11</v>
      </c>
      <c r="Y524" s="6" t="s">
        <v>1315</v>
      </c>
      <c r="Z524" s="6">
        <v>2025</v>
      </c>
      <c r="AA524" s="6" t="s">
        <v>1316</v>
      </c>
      <c r="AB524" s="6" t="str">
        <f>VLOOKUP(S524,Mapping!A:C,3,FALSE)</f>
        <v>Primary</v>
      </c>
    </row>
    <row r="525" spans="1:28" x14ac:dyDescent="0.35">
      <c r="A525" s="6" t="s">
        <v>1302</v>
      </c>
      <c r="B525" s="6" t="s">
        <v>1303</v>
      </c>
      <c r="C525" s="6" t="s">
        <v>1304</v>
      </c>
      <c r="D525" s="6" t="s">
        <v>1305</v>
      </c>
      <c r="E525" s="6" t="s">
        <v>1306</v>
      </c>
      <c r="F525" s="6" t="s">
        <v>1307</v>
      </c>
      <c r="G525" s="6" t="s">
        <v>1308</v>
      </c>
      <c r="H525" s="6" t="s">
        <v>1632</v>
      </c>
      <c r="I525" s="6">
        <v>0</v>
      </c>
      <c r="J525" s="6">
        <v>995</v>
      </c>
      <c r="K525" s="6">
        <v>1</v>
      </c>
      <c r="L525" s="6" t="s">
        <v>893</v>
      </c>
      <c r="M525" s="6" t="str">
        <f>VLOOKUP(L525,'Nov Inv Recon'!H:H,1,FALSE)</f>
        <v>01021829</v>
      </c>
      <c r="N525" s="6" t="e">
        <f>VLOOKUP(L525,VictoryHeitrich!D:D,1,FALSE)</f>
        <v>#N/A</v>
      </c>
      <c r="O525" s="6" t="s">
        <v>894</v>
      </c>
      <c r="P525" s="6" t="s">
        <v>1311</v>
      </c>
      <c r="Q525" s="6" t="s">
        <v>2879</v>
      </c>
      <c r="R525" s="6" t="s">
        <v>2879</v>
      </c>
      <c r="S525" s="6" t="s">
        <v>35</v>
      </c>
      <c r="T525" s="6" t="s">
        <v>36</v>
      </c>
      <c r="U525" s="6" t="s">
        <v>1313</v>
      </c>
      <c r="V525" s="6" t="s">
        <v>1314</v>
      </c>
      <c r="W525" s="6">
        <v>2025</v>
      </c>
      <c r="X525" s="6">
        <v>11</v>
      </c>
      <c r="Y525" s="6" t="s">
        <v>1315</v>
      </c>
      <c r="Z525" s="6">
        <v>2025</v>
      </c>
      <c r="AA525" s="6" t="s">
        <v>1316</v>
      </c>
      <c r="AB525" s="6" t="str">
        <f>VLOOKUP(S525,Mapping!A:C,3,FALSE)</f>
        <v>Primary</v>
      </c>
    </row>
    <row r="526" spans="1:28" x14ac:dyDescent="0.35">
      <c r="A526" s="6" t="s">
        <v>1302</v>
      </c>
      <c r="B526" s="6" t="s">
        <v>1303</v>
      </c>
      <c r="C526" s="6" t="s">
        <v>1304</v>
      </c>
      <c r="D526" s="6" t="s">
        <v>1305</v>
      </c>
      <c r="E526" s="6" t="s">
        <v>1306</v>
      </c>
      <c r="F526" s="6" t="s">
        <v>1307</v>
      </c>
      <c r="G526" s="6" t="s">
        <v>1308</v>
      </c>
      <c r="H526" s="6" t="s">
        <v>2528</v>
      </c>
      <c r="I526" s="6">
        <v>0</v>
      </c>
      <c r="J526" s="6">
        <v>584.73</v>
      </c>
      <c r="K526" s="6">
        <v>1</v>
      </c>
      <c r="L526" s="6" t="s">
        <v>779</v>
      </c>
      <c r="M526" s="6" t="str">
        <f>VLOOKUP(L526,'Nov Inv Recon'!H:H,1,FALSE)</f>
        <v>01325978</v>
      </c>
      <c r="N526" s="6" t="e">
        <f>VLOOKUP(L526,VictoryHeitrich!D:D,1,FALSE)</f>
        <v>#N/A</v>
      </c>
      <c r="O526" s="6" t="s">
        <v>780</v>
      </c>
      <c r="P526" s="6" t="s">
        <v>1311</v>
      </c>
      <c r="Q526" s="6" t="s">
        <v>2880</v>
      </c>
      <c r="R526" s="6" t="s">
        <v>2880</v>
      </c>
      <c r="S526" s="6" t="s">
        <v>35</v>
      </c>
      <c r="T526" s="6" t="s">
        <v>36</v>
      </c>
      <c r="U526" s="6" t="s">
        <v>1313</v>
      </c>
      <c r="V526" s="6" t="s">
        <v>1314</v>
      </c>
      <c r="W526" s="6">
        <v>2025</v>
      </c>
      <c r="X526" s="6">
        <v>11</v>
      </c>
      <c r="Y526" s="6" t="s">
        <v>1315</v>
      </c>
      <c r="Z526" s="6">
        <v>2025</v>
      </c>
      <c r="AA526" s="6" t="s">
        <v>1316</v>
      </c>
      <c r="AB526" s="6" t="str">
        <f>VLOOKUP(S526,Mapping!A:C,3,FALSE)</f>
        <v>Primary</v>
      </c>
    </row>
    <row r="527" spans="1:28" x14ac:dyDescent="0.35">
      <c r="A527" s="6" t="s">
        <v>1302</v>
      </c>
      <c r="B527" s="6" t="s">
        <v>1303</v>
      </c>
      <c r="C527" s="6" t="s">
        <v>1304</v>
      </c>
      <c r="D527" s="6" t="s">
        <v>1305</v>
      </c>
      <c r="E527" s="6" t="s">
        <v>1306</v>
      </c>
      <c r="F527" s="6" t="s">
        <v>1307</v>
      </c>
      <c r="G527" s="6" t="s">
        <v>1308</v>
      </c>
      <c r="H527" s="6" t="s">
        <v>1719</v>
      </c>
      <c r="I527" s="6">
        <v>0</v>
      </c>
      <c r="J527" s="6">
        <v>199</v>
      </c>
      <c r="K527" s="6">
        <v>1</v>
      </c>
      <c r="L527" s="6" t="s">
        <v>2175</v>
      </c>
      <c r="M527" s="6" t="e">
        <f>VLOOKUP(L527,'Nov Inv Recon'!H:H,1,FALSE)</f>
        <v>#N/A</v>
      </c>
      <c r="N527" s="6" t="e">
        <f>VLOOKUP(L527,VictoryHeitrich!D:D,1,FALSE)</f>
        <v>#N/A</v>
      </c>
      <c r="O527" s="6" t="s">
        <v>757</v>
      </c>
      <c r="P527" s="6" t="s">
        <v>1311</v>
      </c>
      <c r="Q527" s="6" t="s">
        <v>2881</v>
      </c>
      <c r="R527" s="6" t="s">
        <v>2881</v>
      </c>
      <c r="S527" s="6" t="s">
        <v>35</v>
      </c>
      <c r="T527" s="6" t="s">
        <v>36</v>
      </c>
      <c r="U527" s="6" t="s">
        <v>1313</v>
      </c>
      <c r="V527" s="6" t="s">
        <v>1314</v>
      </c>
      <c r="W527" s="6">
        <v>2025</v>
      </c>
      <c r="X527" s="6">
        <v>11</v>
      </c>
      <c r="Y527" s="6" t="s">
        <v>1315</v>
      </c>
      <c r="Z527" s="6">
        <v>2025</v>
      </c>
      <c r="AA527" s="6" t="s">
        <v>1316</v>
      </c>
      <c r="AB527" s="6" t="str">
        <f>VLOOKUP(S527,Mapping!A:C,3,FALSE)</f>
        <v>Primary</v>
      </c>
    </row>
    <row r="528" spans="1:28" x14ac:dyDescent="0.35">
      <c r="A528" s="6" t="s">
        <v>1302</v>
      </c>
      <c r="B528" s="6" t="s">
        <v>1303</v>
      </c>
      <c r="C528" s="6" t="s">
        <v>1304</v>
      </c>
      <c r="D528" s="6" t="s">
        <v>1305</v>
      </c>
      <c r="E528" s="6" t="s">
        <v>1306</v>
      </c>
      <c r="F528" s="6" t="s">
        <v>1307</v>
      </c>
      <c r="G528" s="6" t="s">
        <v>1308</v>
      </c>
      <c r="H528" s="6" t="s">
        <v>1632</v>
      </c>
      <c r="I528" s="6">
        <v>0</v>
      </c>
      <c r="J528" s="6">
        <v>338.2</v>
      </c>
      <c r="K528" s="6">
        <v>1</v>
      </c>
      <c r="L528" s="6" t="s">
        <v>2208</v>
      </c>
      <c r="M528" s="6" t="e">
        <f>VLOOKUP(L528,'Nov Inv Recon'!H:H,1,FALSE)</f>
        <v>#N/A</v>
      </c>
      <c r="N528" s="6" t="e">
        <f>VLOOKUP(L528,VictoryHeitrich!D:D,1,FALSE)</f>
        <v>#N/A</v>
      </c>
      <c r="O528" s="6" t="s">
        <v>222</v>
      </c>
      <c r="P528" s="6" t="s">
        <v>1311</v>
      </c>
      <c r="Q528" s="6" t="s">
        <v>2882</v>
      </c>
      <c r="R528" s="6" t="s">
        <v>2882</v>
      </c>
      <c r="S528" s="6" t="s">
        <v>35</v>
      </c>
      <c r="T528" s="6" t="s">
        <v>36</v>
      </c>
      <c r="U528" s="6" t="s">
        <v>1313</v>
      </c>
      <c r="V528" s="6" t="s">
        <v>1314</v>
      </c>
      <c r="W528" s="6">
        <v>2025</v>
      </c>
      <c r="X528" s="6">
        <v>11</v>
      </c>
      <c r="Y528" s="6" t="s">
        <v>1315</v>
      </c>
      <c r="Z528" s="6">
        <v>2025</v>
      </c>
      <c r="AA528" s="6" t="s">
        <v>1316</v>
      </c>
      <c r="AB528" s="6" t="str">
        <f>VLOOKUP(S528,Mapping!A:C,3,FALSE)</f>
        <v>Primary</v>
      </c>
    </row>
    <row r="529" spans="1:28" x14ac:dyDescent="0.35">
      <c r="A529" s="6" t="s">
        <v>1302</v>
      </c>
      <c r="B529" s="6" t="s">
        <v>1303</v>
      </c>
      <c r="C529" s="6" t="s">
        <v>1304</v>
      </c>
      <c r="D529" s="6" t="s">
        <v>1305</v>
      </c>
      <c r="E529" s="6" t="s">
        <v>1306</v>
      </c>
      <c r="F529" s="6" t="s">
        <v>1307</v>
      </c>
      <c r="G529" s="6" t="s">
        <v>1308</v>
      </c>
      <c r="H529" s="6" t="s">
        <v>2526</v>
      </c>
      <c r="I529" s="6">
        <v>0</v>
      </c>
      <c r="J529" s="6">
        <v>445.73</v>
      </c>
      <c r="K529" s="6">
        <v>1</v>
      </c>
      <c r="L529" s="6" t="s">
        <v>1451</v>
      </c>
      <c r="M529" s="6" t="e">
        <f>VLOOKUP(L529,'Nov Inv Recon'!H:H,1,FALSE)</f>
        <v>#N/A</v>
      </c>
      <c r="N529" s="6" t="e">
        <f>VLOOKUP(L529,VictoryHeitrich!D:D,1,FALSE)</f>
        <v>#N/A</v>
      </c>
      <c r="O529" s="6" t="s">
        <v>1452</v>
      </c>
      <c r="P529" s="6" t="s">
        <v>1311</v>
      </c>
      <c r="Q529" s="6" t="s">
        <v>2883</v>
      </c>
      <c r="R529" s="6" t="s">
        <v>2883</v>
      </c>
      <c r="S529" s="6" t="s">
        <v>35</v>
      </c>
      <c r="T529" s="6" t="s">
        <v>36</v>
      </c>
      <c r="U529" s="6" t="s">
        <v>1313</v>
      </c>
      <c r="V529" s="6" t="s">
        <v>1314</v>
      </c>
      <c r="W529" s="6">
        <v>2025</v>
      </c>
      <c r="X529" s="6">
        <v>11</v>
      </c>
      <c r="Y529" s="6" t="s">
        <v>1315</v>
      </c>
      <c r="Z529" s="6">
        <v>2025</v>
      </c>
      <c r="AA529" s="6" t="s">
        <v>1316</v>
      </c>
      <c r="AB529" s="6" t="str">
        <f>VLOOKUP(S529,Mapping!A:C,3,FALSE)</f>
        <v>Primary</v>
      </c>
    </row>
    <row r="530" spans="1:28" x14ac:dyDescent="0.35">
      <c r="A530" s="6" t="s">
        <v>1302</v>
      </c>
      <c r="B530" s="6" t="s">
        <v>1303</v>
      </c>
      <c r="C530" s="6" t="s">
        <v>1304</v>
      </c>
      <c r="D530" s="6" t="s">
        <v>1305</v>
      </c>
      <c r="E530" s="6" t="s">
        <v>1306</v>
      </c>
      <c r="F530" s="6" t="s">
        <v>1307</v>
      </c>
      <c r="G530" s="6" t="s">
        <v>1308</v>
      </c>
      <c r="H530" s="6" t="s">
        <v>1752</v>
      </c>
      <c r="I530" s="6">
        <v>0</v>
      </c>
      <c r="J530" s="6">
        <v>499</v>
      </c>
      <c r="K530" s="6">
        <v>1</v>
      </c>
      <c r="L530" s="6" t="s">
        <v>2202</v>
      </c>
      <c r="M530" s="6" t="e">
        <f>VLOOKUP(L530,'Nov Inv Recon'!H:H,1,FALSE)</f>
        <v>#N/A</v>
      </c>
      <c r="N530" s="6" t="e">
        <f>VLOOKUP(L530,VictoryHeitrich!D:D,1,FALSE)</f>
        <v>#N/A</v>
      </c>
      <c r="O530" s="6" t="s">
        <v>245</v>
      </c>
      <c r="P530" s="6" t="s">
        <v>1311</v>
      </c>
      <c r="Q530" s="6" t="s">
        <v>2884</v>
      </c>
      <c r="R530" s="6" t="s">
        <v>2884</v>
      </c>
      <c r="S530" s="6" t="s">
        <v>35</v>
      </c>
      <c r="T530" s="6" t="s">
        <v>36</v>
      </c>
      <c r="U530" s="6" t="s">
        <v>1313</v>
      </c>
      <c r="V530" s="6" t="s">
        <v>1314</v>
      </c>
      <c r="W530" s="6">
        <v>2025</v>
      </c>
      <c r="X530" s="6">
        <v>11</v>
      </c>
      <c r="Y530" s="6" t="s">
        <v>1315</v>
      </c>
      <c r="Z530" s="6">
        <v>2025</v>
      </c>
      <c r="AA530" s="6" t="s">
        <v>1316</v>
      </c>
      <c r="AB530" s="6" t="str">
        <f>VLOOKUP(S530,Mapping!A:C,3,FALSE)</f>
        <v>Primary</v>
      </c>
    </row>
    <row r="531" spans="1:28" x14ac:dyDescent="0.35">
      <c r="A531" s="6" t="s">
        <v>1302</v>
      </c>
      <c r="B531" s="6" t="s">
        <v>1303</v>
      </c>
      <c r="C531" s="6" t="s">
        <v>1304</v>
      </c>
      <c r="D531" s="6" t="s">
        <v>1305</v>
      </c>
      <c r="E531" s="6" t="s">
        <v>1306</v>
      </c>
      <c r="F531" s="6" t="s">
        <v>1307</v>
      </c>
      <c r="G531" s="6" t="s">
        <v>1308</v>
      </c>
      <c r="H531" s="6" t="s">
        <v>2528</v>
      </c>
      <c r="I531" s="6">
        <v>0</v>
      </c>
      <c r="J531" s="6">
        <v>371.18</v>
      </c>
      <c r="K531" s="6">
        <v>1</v>
      </c>
      <c r="L531" s="6" t="s">
        <v>2195</v>
      </c>
      <c r="M531" s="6" t="e">
        <f>VLOOKUP(L531,'Nov Inv Recon'!H:H,1,FALSE)</f>
        <v>#N/A</v>
      </c>
      <c r="N531" s="6" t="e">
        <f>VLOOKUP(L531,VictoryHeitrich!D:D,1,FALSE)</f>
        <v>#N/A</v>
      </c>
      <c r="O531" s="6" t="s">
        <v>880</v>
      </c>
      <c r="P531" s="6" t="s">
        <v>1311</v>
      </c>
      <c r="Q531" s="6" t="s">
        <v>2885</v>
      </c>
      <c r="R531" s="6" t="s">
        <v>2885</v>
      </c>
      <c r="S531" s="6" t="s">
        <v>35</v>
      </c>
      <c r="T531" s="6" t="s">
        <v>36</v>
      </c>
      <c r="U531" s="6" t="s">
        <v>1313</v>
      </c>
      <c r="V531" s="6" t="s">
        <v>1314</v>
      </c>
      <c r="W531" s="6">
        <v>2025</v>
      </c>
      <c r="X531" s="6">
        <v>11</v>
      </c>
      <c r="Y531" s="6" t="s">
        <v>1315</v>
      </c>
      <c r="Z531" s="6">
        <v>2025</v>
      </c>
      <c r="AA531" s="6" t="s">
        <v>1316</v>
      </c>
      <c r="AB531" s="6" t="str">
        <f>VLOOKUP(S531,Mapping!A:C,3,FALSE)</f>
        <v>Primary</v>
      </c>
    </row>
    <row r="532" spans="1:28" x14ac:dyDescent="0.35">
      <c r="A532" s="6" t="s">
        <v>1302</v>
      </c>
      <c r="B532" s="6" t="s">
        <v>1303</v>
      </c>
      <c r="C532" s="6" t="s">
        <v>1304</v>
      </c>
      <c r="D532" s="6" t="s">
        <v>1305</v>
      </c>
      <c r="E532" s="6" t="s">
        <v>1306</v>
      </c>
      <c r="F532" s="6" t="s">
        <v>1307</v>
      </c>
      <c r="G532" s="6" t="s">
        <v>1308</v>
      </c>
      <c r="H532" s="6" t="s">
        <v>1682</v>
      </c>
      <c r="I532" s="6">
        <v>0</v>
      </c>
      <c r="J532" s="6">
        <v>1107.33</v>
      </c>
      <c r="K532" s="6">
        <v>1</v>
      </c>
      <c r="L532" s="6" t="s">
        <v>2048</v>
      </c>
      <c r="M532" s="6" t="e">
        <f>VLOOKUP(L532,'Nov Inv Recon'!H:H,1,FALSE)</f>
        <v>#N/A</v>
      </c>
      <c r="N532" s="6" t="e">
        <f>VLOOKUP(L532,VictoryHeitrich!D:D,1,FALSE)</f>
        <v>#N/A</v>
      </c>
      <c r="O532" s="6" t="s">
        <v>940</v>
      </c>
      <c r="P532" s="6" t="s">
        <v>1311</v>
      </c>
      <c r="Q532" s="6" t="s">
        <v>2886</v>
      </c>
      <c r="R532" s="6" t="s">
        <v>2886</v>
      </c>
      <c r="S532" s="6" t="s">
        <v>35</v>
      </c>
      <c r="T532" s="6" t="s">
        <v>36</v>
      </c>
      <c r="U532" s="6" t="s">
        <v>1313</v>
      </c>
      <c r="V532" s="6" t="s">
        <v>1314</v>
      </c>
      <c r="W532" s="6">
        <v>2025</v>
      </c>
      <c r="X532" s="6">
        <v>11</v>
      </c>
      <c r="Y532" s="6" t="s">
        <v>1315</v>
      </c>
      <c r="Z532" s="6">
        <v>2025</v>
      </c>
      <c r="AA532" s="6" t="s">
        <v>1316</v>
      </c>
      <c r="AB532" s="6" t="str">
        <f>VLOOKUP(S532,Mapping!A:C,3,FALSE)</f>
        <v>Primary</v>
      </c>
    </row>
    <row r="533" spans="1:28" x14ac:dyDescent="0.35">
      <c r="A533" s="6" t="s">
        <v>1302</v>
      </c>
      <c r="B533" s="6" t="s">
        <v>1303</v>
      </c>
      <c r="C533" s="6" t="s">
        <v>1304</v>
      </c>
      <c r="D533" s="6" t="s">
        <v>1305</v>
      </c>
      <c r="E533" s="6" t="s">
        <v>1306</v>
      </c>
      <c r="F533" s="6" t="s">
        <v>1307</v>
      </c>
      <c r="G533" s="6" t="s">
        <v>1308</v>
      </c>
      <c r="H533" s="6" t="s">
        <v>2481</v>
      </c>
      <c r="I533" s="6">
        <v>0</v>
      </c>
      <c r="J533" s="6">
        <v>476.05</v>
      </c>
      <c r="K533" s="6">
        <v>1</v>
      </c>
      <c r="L533" s="6" t="s">
        <v>1347</v>
      </c>
      <c r="M533" s="6" t="e">
        <f>VLOOKUP(L533,'Nov Inv Recon'!H:H,1,FALSE)</f>
        <v>#N/A</v>
      </c>
      <c r="N533" s="6" t="e">
        <f>VLOOKUP(L533,VictoryHeitrich!D:D,1,FALSE)</f>
        <v>#N/A</v>
      </c>
      <c r="O533" s="6" t="s">
        <v>1348</v>
      </c>
      <c r="P533" s="6" t="s">
        <v>1311</v>
      </c>
      <c r="Q533" s="6" t="s">
        <v>2887</v>
      </c>
      <c r="R533" s="6" t="s">
        <v>2887</v>
      </c>
      <c r="S533" s="6" t="s">
        <v>35</v>
      </c>
      <c r="T533" s="6" t="s">
        <v>36</v>
      </c>
      <c r="U533" s="6" t="s">
        <v>1313</v>
      </c>
      <c r="V533" s="6" t="s">
        <v>1314</v>
      </c>
      <c r="W533" s="6">
        <v>2025</v>
      </c>
      <c r="X533" s="6">
        <v>11</v>
      </c>
      <c r="Y533" s="6" t="s">
        <v>1315</v>
      </c>
      <c r="Z533" s="6">
        <v>2025</v>
      </c>
      <c r="AA533" s="6" t="s">
        <v>1316</v>
      </c>
      <c r="AB533" s="6" t="str">
        <f>VLOOKUP(S533,Mapping!A:C,3,FALSE)</f>
        <v>Primary</v>
      </c>
    </row>
    <row r="534" spans="1:28" x14ac:dyDescent="0.35">
      <c r="A534" s="6" t="s">
        <v>1302</v>
      </c>
      <c r="B534" s="6" t="s">
        <v>1303</v>
      </c>
      <c r="C534" s="6" t="s">
        <v>1304</v>
      </c>
      <c r="D534" s="6" t="s">
        <v>1305</v>
      </c>
      <c r="E534" s="6" t="s">
        <v>1306</v>
      </c>
      <c r="F534" s="6" t="s">
        <v>1307</v>
      </c>
      <c r="G534" s="6" t="s">
        <v>1308</v>
      </c>
      <c r="H534" s="6" t="s">
        <v>2481</v>
      </c>
      <c r="I534" s="6">
        <v>0</v>
      </c>
      <c r="J534" s="6">
        <v>476.05</v>
      </c>
      <c r="K534" s="6">
        <v>1</v>
      </c>
      <c r="L534" s="6" t="s">
        <v>1341</v>
      </c>
      <c r="M534" s="6" t="e">
        <f>VLOOKUP(L534,'Nov Inv Recon'!H:H,1,FALSE)</f>
        <v>#N/A</v>
      </c>
      <c r="N534" s="6" t="e">
        <f>VLOOKUP(L534,VictoryHeitrich!D:D,1,FALSE)</f>
        <v>#N/A</v>
      </c>
      <c r="O534" s="6" t="s">
        <v>1342</v>
      </c>
      <c r="P534" s="6" t="s">
        <v>1311</v>
      </c>
      <c r="Q534" s="6" t="s">
        <v>2888</v>
      </c>
      <c r="R534" s="6" t="s">
        <v>2888</v>
      </c>
      <c r="S534" s="6" t="s">
        <v>35</v>
      </c>
      <c r="T534" s="6" t="s">
        <v>36</v>
      </c>
      <c r="U534" s="6" t="s">
        <v>1313</v>
      </c>
      <c r="V534" s="6" t="s">
        <v>1314</v>
      </c>
      <c r="W534" s="6">
        <v>2025</v>
      </c>
      <c r="X534" s="6">
        <v>11</v>
      </c>
      <c r="Y534" s="6" t="s">
        <v>1315</v>
      </c>
      <c r="Z534" s="6">
        <v>2025</v>
      </c>
      <c r="AA534" s="6" t="s">
        <v>1316</v>
      </c>
      <c r="AB534" s="6" t="str">
        <f>VLOOKUP(S534,Mapping!A:C,3,FALSE)</f>
        <v>Primary</v>
      </c>
    </row>
    <row r="535" spans="1:28" x14ac:dyDescent="0.35">
      <c r="A535" s="6" t="s">
        <v>1302</v>
      </c>
      <c r="B535" s="6" t="s">
        <v>1303</v>
      </c>
      <c r="C535" s="6" t="s">
        <v>1304</v>
      </c>
      <c r="D535" s="6" t="s">
        <v>1305</v>
      </c>
      <c r="E535" s="6" t="s">
        <v>1306</v>
      </c>
      <c r="F535" s="6" t="s">
        <v>1307</v>
      </c>
      <c r="G535" s="6" t="s">
        <v>1308</v>
      </c>
      <c r="H535" s="6" t="s">
        <v>1937</v>
      </c>
      <c r="I535" s="6">
        <v>0</v>
      </c>
      <c r="J535" s="6">
        <v>134.55000000000001</v>
      </c>
      <c r="K535" s="6">
        <v>1</v>
      </c>
      <c r="L535" s="6" t="s">
        <v>1395</v>
      </c>
      <c r="M535" s="6" t="e">
        <f>VLOOKUP(L535,'Nov Inv Recon'!H:H,1,FALSE)</f>
        <v>#N/A</v>
      </c>
      <c r="N535" s="6" t="e">
        <f>VLOOKUP(L535,VictoryHeitrich!D:D,1,FALSE)</f>
        <v>#N/A</v>
      </c>
      <c r="O535" s="6" t="s">
        <v>1396</v>
      </c>
      <c r="P535" s="6" t="s">
        <v>1311</v>
      </c>
      <c r="Q535" s="6" t="s">
        <v>2889</v>
      </c>
      <c r="R535" s="6" t="s">
        <v>2889</v>
      </c>
      <c r="S535" s="6" t="s">
        <v>35</v>
      </c>
      <c r="T535" s="6" t="s">
        <v>36</v>
      </c>
      <c r="U535" s="6" t="s">
        <v>1313</v>
      </c>
      <c r="V535" s="6" t="s">
        <v>1314</v>
      </c>
      <c r="W535" s="6">
        <v>2025</v>
      </c>
      <c r="X535" s="6">
        <v>11</v>
      </c>
      <c r="Y535" s="6" t="s">
        <v>1315</v>
      </c>
      <c r="Z535" s="6">
        <v>2025</v>
      </c>
      <c r="AA535" s="6" t="s">
        <v>1316</v>
      </c>
      <c r="AB535" s="6" t="str">
        <f>VLOOKUP(S535,Mapping!A:C,3,FALSE)</f>
        <v>Primary</v>
      </c>
    </row>
    <row r="536" spans="1:28" x14ac:dyDescent="0.35">
      <c r="A536" s="6" t="s">
        <v>1302</v>
      </c>
      <c r="B536" s="6" t="s">
        <v>1303</v>
      </c>
      <c r="C536" s="6" t="s">
        <v>1304</v>
      </c>
      <c r="D536" s="6" t="s">
        <v>1305</v>
      </c>
      <c r="E536" s="6" t="s">
        <v>1306</v>
      </c>
      <c r="F536" s="6" t="s">
        <v>1307</v>
      </c>
      <c r="G536" s="6" t="s">
        <v>1308</v>
      </c>
      <c r="H536" s="6" t="s">
        <v>1937</v>
      </c>
      <c r="I536" s="6">
        <v>0</v>
      </c>
      <c r="J536" s="6">
        <v>217.99</v>
      </c>
      <c r="K536" s="6">
        <v>1</v>
      </c>
      <c r="L536" s="6" t="s">
        <v>2110</v>
      </c>
      <c r="M536" s="6" t="e">
        <f>VLOOKUP(L536,'Nov Inv Recon'!H:H,1,FALSE)</f>
        <v>#N/A</v>
      </c>
      <c r="N536" s="6" t="e">
        <f>VLOOKUP(L536,VictoryHeitrich!D:D,1,FALSE)</f>
        <v>#N/A</v>
      </c>
      <c r="O536" s="6" t="s">
        <v>926</v>
      </c>
      <c r="P536" s="6" t="s">
        <v>1311</v>
      </c>
      <c r="Q536" s="6" t="s">
        <v>2890</v>
      </c>
      <c r="R536" s="6" t="s">
        <v>2890</v>
      </c>
      <c r="S536" s="6" t="s">
        <v>35</v>
      </c>
      <c r="T536" s="6" t="s">
        <v>36</v>
      </c>
      <c r="U536" s="6" t="s">
        <v>1313</v>
      </c>
      <c r="V536" s="6" t="s">
        <v>1314</v>
      </c>
      <c r="W536" s="6">
        <v>2025</v>
      </c>
      <c r="X536" s="6">
        <v>11</v>
      </c>
      <c r="Y536" s="6" t="s">
        <v>1315</v>
      </c>
      <c r="Z536" s="6">
        <v>2025</v>
      </c>
      <c r="AA536" s="6" t="s">
        <v>1316</v>
      </c>
      <c r="AB536" s="6" t="str">
        <f>VLOOKUP(S536,Mapping!A:C,3,FALSE)</f>
        <v>Primary</v>
      </c>
    </row>
    <row r="537" spans="1:28" x14ac:dyDescent="0.35">
      <c r="A537" s="6" t="s">
        <v>1302</v>
      </c>
      <c r="B537" s="6" t="s">
        <v>1303</v>
      </c>
      <c r="C537" s="6" t="s">
        <v>1304</v>
      </c>
      <c r="D537" s="6" t="s">
        <v>1305</v>
      </c>
      <c r="E537" s="6" t="s">
        <v>1306</v>
      </c>
      <c r="F537" s="6" t="s">
        <v>1307</v>
      </c>
      <c r="G537" s="6" t="s">
        <v>1308</v>
      </c>
      <c r="H537" s="6" t="s">
        <v>1842</v>
      </c>
      <c r="I537" s="6">
        <v>0</v>
      </c>
      <c r="J537" s="6">
        <v>584.73</v>
      </c>
      <c r="K537" s="6">
        <v>1</v>
      </c>
      <c r="L537" s="6" t="s">
        <v>788</v>
      </c>
      <c r="M537" s="6" t="str">
        <f>VLOOKUP(L537,'Nov Inv Recon'!H:H,1,FALSE)</f>
        <v>01179304</v>
      </c>
      <c r="N537" s="6" t="e">
        <f>VLOOKUP(L537,VictoryHeitrich!D:D,1,FALSE)</f>
        <v>#N/A</v>
      </c>
      <c r="O537" s="6" t="s">
        <v>789</v>
      </c>
      <c r="P537" s="6" t="s">
        <v>1311</v>
      </c>
      <c r="Q537" s="6" t="s">
        <v>2891</v>
      </c>
      <c r="R537" s="6" t="s">
        <v>2891</v>
      </c>
      <c r="S537" s="6" t="s">
        <v>35</v>
      </c>
      <c r="T537" s="6" t="s">
        <v>36</v>
      </c>
      <c r="U537" s="6" t="s">
        <v>1313</v>
      </c>
      <c r="V537" s="6" t="s">
        <v>1314</v>
      </c>
      <c r="W537" s="6">
        <v>2025</v>
      </c>
      <c r="X537" s="6">
        <v>11</v>
      </c>
      <c r="Y537" s="6" t="s">
        <v>1315</v>
      </c>
      <c r="Z537" s="6">
        <v>2025</v>
      </c>
      <c r="AA537" s="6" t="s">
        <v>1316</v>
      </c>
      <c r="AB537" s="6" t="str">
        <f>VLOOKUP(S537,Mapping!A:C,3,FALSE)</f>
        <v>Primary</v>
      </c>
    </row>
    <row r="538" spans="1:28" x14ac:dyDescent="0.35">
      <c r="A538" s="6" t="s">
        <v>1302</v>
      </c>
      <c r="B538" s="6" t="s">
        <v>1303</v>
      </c>
      <c r="C538" s="6" t="s">
        <v>1304</v>
      </c>
      <c r="D538" s="6" t="s">
        <v>1305</v>
      </c>
      <c r="E538" s="6" t="s">
        <v>1306</v>
      </c>
      <c r="F538" s="6" t="s">
        <v>1307</v>
      </c>
      <c r="G538" s="6" t="s">
        <v>1308</v>
      </c>
      <c r="H538" s="6" t="s">
        <v>1728</v>
      </c>
      <c r="I538" s="6">
        <v>0</v>
      </c>
      <c r="J538" s="6">
        <v>342.3</v>
      </c>
      <c r="K538" s="6">
        <v>1</v>
      </c>
      <c r="L538" s="6" t="s">
        <v>2177</v>
      </c>
      <c r="M538" s="6" t="e">
        <f>VLOOKUP(L538,'Nov Inv Recon'!H:H,1,FALSE)</f>
        <v>#N/A</v>
      </c>
      <c r="N538" s="6" t="e">
        <f>VLOOKUP(L538,VictoryHeitrich!D:D,1,FALSE)</f>
        <v>#N/A</v>
      </c>
      <c r="O538" s="6" t="s">
        <v>436</v>
      </c>
      <c r="P538" s="6" t="s">
        <v>1311</v>
      </c>
      <c r="Q538" s="6" t="s">
        <v>2892</v>
      </c>
      <c r="R538" s="6" t="s">
        <v>2892</v>
      </c>
      <c r="S538" s="6" t="s">
        <v>35</v>
      </c>
      <c r="T538" s="6" t="s">
        <v>36</v>
      </c>
      <c r="U538" s="6" t="s">
        <v>1313</v>
      </c>
      <c r="V538" s="6" t="s">
        <v>1314</v>
      </c>
      <c r="W538" s="6">
        <v>2025</v>
      </c>
      <c r="X538" s="6">
        <v>11</v>
      </c>
      <c r="Y538" s="6" t="s">
        <v>1315</v>
      </c>
      <c r="Z538" s="6">
        <v>2025</v>
      </c>
      <c r="AA538" s="6" t="s">
        <v>1316</v>
      </c>
      <c r="AB538" s="6" t="str">
        <f>VLOOKUP(S538,Mapping!A:C,3,FALSE)</f>
        <v>Primary</v>
      </c>
    </row>
    <row r="539" spans="1:28" x14ac:dyDescent="0.35">
      <c r="A539" s="6" t="s">
        <v>1302</v>
      </c>
      <c r="B539" s="6" t="s">
        <v>1303</v>
      </c>
      <c r="C539" s="6" t="s">
        <v>1304</v>
      </c>
      <c r="D539" s="6" t="s">
        <v>1305</v>
      </c>
      <c r="E539" s="6" t="s">
        <v>1306</v>
      </c>
      <c r="F539" s="6" t="s">
        <v>1307</v>
      </c>
      <c r="G539" s="6" t="s">
        <v>1308</v>
      </c>
      <c r="H539" s="6" t="s">
        <v>1728</v>
      </c>
      <c r="I539" s="6">
        <v>0</v>
      </c>
      <c r="J539" s="6">
        <v>371.18</v>
      </c>
      <c r="K539" s="6">
        <v>1</v>
      </c>
      <c r="L539" s="6" t="s">
        <v>2160</v>
      </c>
      <c r="M539" s="6" t="e">
        <f>VLOOKUP(L539,'Nov Inv Recon'!H:H,1,FALSE)</f>
        <v>#N/A</v>
      </c>
      <c r="N539" s="6" t="e">
        <f>VLOOKUP(L539,VictoryHeitrich!D:D,1,FALSE)</f>
        <v>#N/A</v>
      </c>
      <c r="O539" s="6" t="s">
        <v>801</v>
      </c>
      <c r="P539" s="6" t="s">
        <v>1311</v>
      </c>
      <c r="Q539" s="6" t="s">
        <v>2893</v>
      </c>
      <c r="R539" s="6" t="s">
        <v>2893</v>
      </c>
      <c r="S539" s="6" t="s">
        <v>35</v>
      </c>
      <c r="T539" s="6" t="s">
        <v>36</v>
      </c>
      <c r="U539" s="6" t="s">
        <v>1313</v>
      </c>
      <c r="V539" s="6" t="s">
        <v>1314</v>
      </c>
      <c r="W539" s="6">
        <v>2025</v>
      </c>
      <c r="X539" s="6">
        <v>11</v>
      </c>
      <c r="Y539" s="6" t="s">
        <v>1315</v>
      </c>
      <c r="Z539" s="6">
        <v>2025</v>
      </c>
      <c r="AA539" s="6" t="s">
        <v>1316</v>
      </c>
      <c r="AB539" s="6" t="str">
        <f>VLOOKUP(S539,Mapping!A:C,3,FALSE)</f>
        <v>Primary</v>
      </c>
    </row>
    <row r="540" spans="1:28" x14ac:dyDescent="0.35">
      <c r="A540" s="6" t="s">
        <v>1302</v>
      </c>
      <c r="B540" s="6" t="s">
        <v>1303</v>
      </c>
      <c r="C540" s="6" t="s">
        <v>1304</v>
      </c>
      <c r="D540" s="6" t="s">
        <v>1305</v>
      </c>
      <c r="E540" s="6" t="s">
        <v>1306</v>
      </c>
      <c r="F540" s="6" t="s">
        <v>1307</v>
      </c>
      <c r="G540" s="6" t="s">
        <v>1308</v>
      </c>
      <c r="H540" s="6" t="s">
        <v>2425</v>
      </c>
      <c r="I540" s="6">
        <v>0</v>
      </c>
      <c r="J540" s="6">
        <v>0</v>
      </c>
      <c r="K540" s="6">
        <v>1</v>
      </c>
      <c r="L540" s="6" t="s">
        <v>2249</v>
      </c>
      <c r="M540" s="6" t="e">
        <f>VLOOKUP(L540,'Nov Inv Recon'!H:H,1,FALSE)</f>
        <v>#N/A</v>
      </c>
      <c r="N540" s="6" t="e">
        <f>VLOOKUP(L540,VictoryHeitrich!D:D,1,FALSE)</f>
        <v>#N/A</v>
      </c>
      <c r="O540" s="6" t="s">
        <v>477</v>
      </c>
      <c r="P540" s="6" t="s">
        <v>1311</v>
      </c>
      <c r="Q540" s="6" t="s">
        <v>2894</v>
      </c>
      <c r="R540" s="6" t="s">
        <v>2894</v>
      </c>
      <c r="S540" s="6" t="s">
        <v>35</v>
      </c>
      <c r="T540" s="6" t="s">
        <v>36</v>
      </c>
      <c r="U540" s="6" t="s">
        <v>1313</v>
      </c>
      <c r="V540" s="6" t="s">
        <v>1314</v>
      </c>
      <c r="W540" s="6">
        <v>2025</v>
      </c>
      <c r="X540" s="6">
        <v>11</v>
      </c>
      <c r="Y540" s="6" t="s">
        <v>1315</v>
      </c>
      <c r="Z540" s="6">
        <v>2025</v>
      </c>
      <c r="AA540" s="6" t="s">
        <v>1316</v>
      </c>
      <c r="AB540" s="6" t="str">
        <f>VLOOKUP(S540,Mapping!A:C,3,FALSE)</f>
        <v>Primary</v>
      </c>
    </row>
    <row r="541" spans="1:28" x14ac:dyDescent="0.35">
      <c r="A541" s="6" t="s">
        <v>1302</v>
      </c>
      <c r="B541" s="6" t="s">
        <v>1303</v>
      </c>
      <c r="C541" s="6" t="s">
        <v>1304</v>
      </c>
      <c r="D541" s="6" t="s">
        <v>1305</v>
      </c>
      <c r="E541" s="6" t="s">
        <v>1306</v>
      </c>
      <c r="F541" s="6" t="s">
        <v>1307</v>
      </c>
      <c r="G541" s="6" t="s">
        <v>1308</v>
      </c>
      <c r="H541" s="6" t="s">
        <v>1842</v>
      </c>
      <c r="I541" s="6">
        <v>0</v>
      </c>
      <c r="J541" s="6">
        <v>995</v>
      </c>
      <c r="K541" s="6">
        <v>1</v>
      </c>
      <c r="L541" s="6" t="s">
        <v>2233</v>
      </c>
      <c r="M541" s="6" t="e">
        <f>VLOOKUP(L541,'Nov Inv Recon'!H:H,1,FALSE)</f>
        <v>#N/A</v>
      </c>
      <c r="N541" s="6" t="e">
        <f>VLOOKUP(L541,VictoryHeitrich!D:D,1,FALSE)</f>
        <v>#N/A</v>
      </c>
      <c r="O541" s="6" t="s">
        <v>169</v>
      </c>
      <c r="P541" s="6" t="s">
        <v>1311</v>
      </c>
      <c r="Q541" s="6" t="s">
        <v>2895</v>
      </c>
      <c r="R541" s="6" t="s">
        <v>2895</v>
      </c>
      <c r="S541" s="6" t="s">
        <v>35</v>
      </c>
      <c r="T541" s="6" t="s">
        <v>36</v>
      </c>
      <c r="U541" s="6" t="s">
        <v>1313</v>
      </c>
      <c r="V541" s="6" t="s">
        <v>1314</v>
      </c>
      <c r="W541" s="6">
        <v>2025</v>
      </c>
      <c r="X541" s="6">
        <v>11</v>
      </c>
      <c r="Y541" s="6" t="s">
        <v>1315</v>
      </c>
      <c r="Z541" s="6">
        <v>2025</v>
      </c>
      <c r="AA541" s="6" t="s">
        <v>1316</v>
      </c>
      <c r="AB541" s="6" t="str">
        <f>VLOOKUP(S541,Mapping!A:C,3,FALSE)</f>
        <v>Primary</v>
      </c>
    </row>
    <row r="542" spans="1:28" x14ac:dyDescent="0.35">
      <c r="A542" s="6" t="s">
        <v>1302</v>
      </c>
      <c r="B542" s="6" t="s">
        <v>1303</v>
      </c>
      <c r="C542" s="6" t="s">
        <v>1304</v>
      </c>
      <c r="D542" s="6" t="s">
        <v>1305</v>
      </c>
      <c r="E542" s="6" t="s">
        <v>1306</v>
      </c>
      <c r="F542" s="6" t="s">
        <v>1307</v>
      </c>
      <c r="G542" s="6" t="s">
        <v>1308</v>
      </c>
      <c r="H542" s="6" t="s">
        <v>1632</v>
      </c>
      <c r="I542" s="6">
        <v>0</v>
      </c>
      <c r="J542" s="6">
        <v>617.83000000000004</v>
      </c>
      <c r="K542" s="6">
        <v>1</v>
      </c>
      <c r="L542" s="6" t="s">
        <v>2253</v>
      </c>
      <c r="M542" s="6" t="e">
        <f>VLOOKUP(L542,'Nov Inv Recon'!H:H,1,FALSE)</f>
        <v>#N/A</v>
      </c>
      <c r="N542" s="6" t="e">
        <f>VLOOKUP(L542,VictoryHeitrich!D:D,1,FALSE)</f>
        <v>#N/A</v>
      </c>
      <c r="O542" s="6" t="s">
        <v>819</v>
      </c>
      <c r="P542" s="6" t="s">
        <v>1311</v>
      </c>
      <c r="Q542" s="6" t="s">
        <v>2896</v>
      </c>
      <c r="R542" s="6" t="s">
        <v>2896</v>
      </c>
      <c r="S542" s="6" t="s">
        <v>35</v>
      </c>
      <c r="T542" s="6" t="s">
        <v>36</v>
      </c>
      <c r="U542" s="6" t="s">
        <v>1313</v>
      </c>
      <c r="V542" s="6" t="s">
        <v>1314</v>
      </c>
      <c r="W542" s="6">
        <v>2025</v>
      </c>
      <c r="X542" s="6">
        <v>11</v>
      </c>
      <c r="Y542" s="6" t="s">
        <v>1315</v>
      </c>
      <c r="Z542" s="6">
        <v>2025</v>
      </c>
      <c r="AA542" s="6" t="s">
        <v>1316</v>
      </c>
      <c r="AB542" s="6" t="str">
        <f>VLOOKUP(S542,Mapping!A:C,3,FALSE)</f>
        <v>Primary</v>
      </c>
    </row>
    <row r="543" spans="1:28" x14ac:dyDescent="0.35">
      <c r="A543" s="6" t="s">
        <v>1302</v>
      </c>
      <c r="B543" s="6" t="s">
        <v>1303</v>
      </c>
      <c r="C543" s="6" t="s">
        <v>1304</v>
      </c>
      <c r="D543" s="6" t="s">
        <v>1305</v>
      </c>
      <c r="E543" s="6" t="s">
        <v>1306</v>
      </c>
      <c r="F543" s="6" t="s">
        <v>1307</v>
      </c>
      <c r="G543" s="6" t="s">
        <v>1308</v>
      </c>
      <c r="H543" s="6" t="s">
        <v>1777</v>
      </c>
      <c r="I543" s="6">
        <v>0</v>
      </c>
      <c r="J543" s="6">
        <v>371.18</v>
      </c>
      <c r="K543" s="6">
        <v>1</v>
      </c>
      <c r="L543" s="6" t="s">
        <v>2215</v>
      </c>
      <c r="M543" s="6" t="e">
        <f>VLOOKUP(L543,'Nov Inv Recon'!H:H,1,FALSE)</f>
        <v>#N/A</v>
      </c>
      <c r="N543" s="6" t="e">
        <f>VLOOKUP(L543,VictoryHeitrich!D:D,1,FALSE)</f>
        <v>#N/A</v>
      </c>
      <c r="O543" s="6" t="s">
        <v>878</v>
      </c>
      <c r="P543" s="6" t="s">
        <v>1311</v>
      </c>
      <c r="Q543" s="6" t="s">
        <v>2897</v>
      </c>
      <c r="R543" s="6" t="s">
        <v>2897</v>
      </c>
      <c r="S543" s="6" t="s">
        <v>35</v>
      </c>
      <c r="T543" s="6" t="s">
        <v>36</v>
      </c>
      <c r="U543" s="6" t="s">
        <v>1313</v>
      </c>
      <c r="V543" s="6" t="s">
        <v>1314</v>
      </c>
      <c r="W543" s="6">
        <v>2025</v>
      </c>
      <c r="X543" s="6">
        <v>11</v>
      </c>
      <c r="Y543" s="6" t="s">
        <v>1315</v>
      </c>
      <c r="Z543" s="6">
        <v>2025</v>
      </c>
      <c r="AA543" s="6" t="s">
        <v>1316</v>
      </c>
      <c r="AB543" s="6" t="str">
        <f>VLOOKUP(S543,Mapping!A:C,3,FALSE)</f>
        <v>Primary</v>
      </c>
    </row>
    <row r="544" spans="1:28" x14ac:dyDescent="0.35">
      <c r="A544" s="6" t="s">
        <v>1302</v>
      </c>
      <c r="B544" s="6" t="s">
        <v>1303</v>
      </c>
      <c r="C544" s="6" t="s">
        <v>1304</v>
      </c>
      <c r="D544" s="6" t="s">
        <v>1305</v>
      </c>
      <c r="E544" s="6" t="s">
        <v>1306</v>
      </c>
      <c r="F544" s="6" t="s">
        <v>1307</v>
      </c>
      <c r="G544" s="6" t="s">
        <v>1308</v>
      </c>
      <c r="H544" s="6" t="s">
        <v>1657</v>
      </c>
      <c r="I544" s="6">
        <v>0</v>
      </c>
      <c r="J544" s="6">
        <v>1028.97</v>
      </c>
      <c r="K544" s="6">
        <v>1</v>
      </c>
      <c r="L544" s="6" t="s">
        <v>2207</v>
      </c>
      <c r="M544" s="6" t="e">
        <f>VLOOKUP(L544,'Nov Inv Recon'!H:H,1,FALSE)</f>
        <v>#N/A</v>
      </c>
      <c r="N544" s="6" t="e">
        <f>VLOOKUP(L544,VictoryHeitrich!D:D,1,FALSE)</f>
        <v>#N/A</v>
      </c>
      <c r="O544" s="6" t="s">
        <v>688</v>
      </c>
      <c r="P544" s="6" t="s">
        <v>1311</v>
      </c>
      <c r="Q544" s="6" t="s">
        <v>2898</v>
      </c>
      <c r="R544" s="6" t="s">
        <v>2898</v>
      </c>
      <c r="S544" s="6" t="s">
        <v>35</v>
      </c>
      <c r="T544" s="6" t="s">
        <v>36</v>
      </c>
      <c r="U544" s="6" t="s">
        <v>1313</v>
      </c>
      <c r="V544" s="6" t="s">
        <v>1314</v>
      </c>
      <c r="W544" s="6">
        <v>2025</v>
      </c>
      <c r="X544" s="6">
        <v>11</v>
      </c>
      <c r="Y544" s="6" t="s">
        <v>1315</v>
      </c>
      <c r="Z544" s="6">
        <v>2025</v>
      </c>
      <c r="AA544" s="6" t="s">
        <v>1316</v>
      </c>
      <c r="AB544" s="6" t="str">
        <f>VLOOKUP(S544,Mapping!A:C,3,FALSE)</f>
        <v>Primary</v>
      </c>
    </row>
    <row r="545" spans="1:28" x14ac:dyDescent="0.35">
      <c r="A545" s="6" t="s">
        <v>1302</v>
      </c>
      <c r="B545" s="6" t="s">
        <v>1303</v>
      </c>
      <c r="C545" s="6" t="s">
        <v>1304</v>
      </c>
      <c r="D545" s="6" t="s">
        <v>1305</v>
      </c>
      <c r="E545" s="6" t="s">
        <v>1306</v>
      </c>
      <c r="F545" s="6" t="s">
        <v>1307</v>
      </c>
      <c r="G545" s="6" t="s">
        <v>1308</v>
      </c>
      <c r="H545" s="6" t="s">
        <v>1842</v>
      </c>
      <c r="I545" s="6">
        <v>0</v>
      </c>
      <c r="J545" s="6">
        <v>370.2</v>
      </c>
      <c r="K545" s="6">
        <v>1</v>
      </c>
      <c r="L545" s="6" t="s">
        <v>2212</v>
      </c>
      <c r="M545" s="6" t="e">
        <f>VLOOKUP(L545,'Nov Inv Recon'!H:H,1,FALSE)</f>
        <v>#N/A</v>
      </c>
      <c r="N545" s="6" t="e">
        <f>VLOOKUP(L545,VictoryHeitrich!D:D,1,FALSE)</f>
        <v>#N/A</v>
      </c>
      <c r="O545" s="6" t="s">
        <v>874</v>
      </c>
      <c r="P545" s="6" t="s">
        <v>1311</v>
      </c>
      <c r="Q545" s="6" t="s">
        <v>2899</v>
      </c>
      <c r="R545" s="6" t="s">
        <v>2899</v>
      </c>
      <c r="S545" s="6" t="s">
        <v>35</v>
      </c>
      <c r="T545" s="6" t="s">
        <v>36</v>
      </c>
      <c r="U545" s="6" t="s">
        <v>1313</v>
      </c>
      <c r="V545" s="6" t="s">
        <v>1314</v>
      </c>
      <c r="W545" s="6">
        <v>2025</v>
      </c>
      <c r="X545" s="6">
        <v>11</v>
      </c>
      <c r="Y545" s="6" t="s">
        <v>1315</v>
      </c>
      <c r="Z545" s="6">
        <v>2025</v>
      </c>
      <c r="AA545" s="6" t="s">
        <v>1316</v>
      </c>
      <c r="AB545" s="6" t="str">
        <f>VLOOKUP(S545,Mapping!A:C,3,FALSE)</f>
        <v>Primary</v>
      </c>
    </row>
    <row r="546" spans="1:28" x14ac:dyDescent="0.35">
      <c r="A546" s="6" t="s">
        <v>1302</v>
      </c>
      <c r="B546" s="6" t="s">
        <v>1303</v>
      </c>
      <c r="C546" s="6" t="s">
        <v>1304</v>
      </c>
      <c r="D546" s="6" t="s">
        <v>1305</v>
      </c>
      <c r="E546" s="6" t="s">
        <v>1306</v>
      </c>
      <c r="F546" s="6" t="s">
        <v>1307</v>
      </c>
      <c r="G546" s="6" t="s">
        <v>1308</v>
      </c>
      <c r="H546" s="6" t="s">
        <v>1728</v>
      </c>
      <c r="I546" s="6">
        <v>0</v>
      </c>
      <c r="J546" s="6">
        <v>0</v>
      </c>
      <c r="K546" s="6">
        <v>1</v>
      </c>
      <c r="L546" s="6" t="s">
        <v>1335</v>
      </c>
      <c r="M546" s="6" t="e">
        <f>VLOOKUP(L546,'Nov Inv Recon'!H:H,1,FALSE)</f>
        <v>#N/A</v>
      </c>
      <c r="N546" s="6" t="e">
        <f>VLOOKUP(L546,VictoryHeitrich!D:D,1,FALSE)</f>
        <v>#N/A</v>
      </c>
      <c r="O546" s="6" t="s">
        <v>1336</v>
      </c>
      <c r="P546" s="6" t="s">
        <v>1311</v>
      </c>
      <c r="Q546" s="6" t="s">
        <v>2900</v>
      </c>
      <c r="R546" s="6" t="s">
        <v>2900</v>
      </c>
      <c r="S546" s="6" t="s">
        <v>35</v>
      </c>
      <c r="T546" s="6" t="s">
        <v>36</v>
      </c>
      <c r="U546" s="6" t="s">
        <v>1313</v>
      </c>
      <c r="V546" s="6" t="s">
        <v>1314</v>
      </c>
      <c r="W546" s="6">
        <v>2025</v>
      </c>
      <c r="X546" s="6">
        <v>11</v>
      </c>
      <c r="Y546" s="6" t="s">
        <v>1315</v>
      </c>
      <c r="Z546" s="6">
        <v>2025</v>
      </c>
      <c r="AA546" s="6" t="s">
        <v>1316</v>
      </c>
      <c r="AB546" s="6" t="str">
        <f>VLOOKUP(S546,Mapping!A:C,3,FALSE)</f>
        <v>Primary</v>
      </c>
    </row>
    <row r="547" spans="1:28" x14ac:dyDescent="0.35">
      <c r="A547" s="6" t="s">
        <v>1302</v>
      </c>
      <c r="B547" s="6" t="s">
        <v>1303</v>
      </c>
      <c r="C547" s="6" t="s">
        <v>1304</v>
      </c>
      <c r="D547" s="6" t="s">
        <v>1305</v>
      </c>
      <c r="E547" s="6" t="s">
        <v>1306</v>
      </c>
      <c r="F547" s="6" t="s">
        <v>1307</v>
      </c>
      <c r="G547" s="6" t="s">
        <v>1308</v>
      </c>
      <c r="H547" s="6" t="s">
        <v>1765</v>
      </c>
      <c r="I547" s="6">
        <v>0</v>
      </c>
      <c r="J547" s="6">
        <v>199</v>
      </c>
      <c r="K547" s="6">
        <v>1</v>
      </c>
      <c r="L547" s="6" t="s">
        <v>1397</v>
      </c>
      <c r="M547" s="6" t="e">
        <f>VLOOKUP(L547,'Nov Inv Recon'!H:H,1,FALSE)</f>
        <v>#N/A</v>
      </c>
      <c r="N547" s="6" t="e">
        <f>VLOOKUP(L547,VictoryHeitrich!D:D,1,FALSE)</f>
        <v>#N/A</v>
      </c>
      <c r="O547" s="6" t="s">
        <v>1398</v>
      </c>
      <c r="P547" s="6" t="s">
        <v>1311</v>
      </c>
      <c r="Q547" s="6" t="s">
        <v>2901</v>
      </c>
      <c r="R547" s="6" t="s">
        <v>2901</v>
      </c>
      <c r="S547" s="6" t="s">
        <v>35</v>
      </c>
      <c r="T547" s="6" t="s">
        <v>36</v>
      </c>
      <c r="U547" s="6" t="s">
        <v>1313</v>
      </c>
      <c r="V547" s="6" t="s">
        <v>1314</v>
      </c>
      <c r="W547" s="6">
        <v>2025</v>
      </c>
      <c r="X547" s="6">
        <v>11</v>
      </c>
      <c r="Y547" s="6" t="s">
        <v>1315</v>
      </c>
      <c r="Z547" s="6">
        <v>2025</v>
      </c>
      <c r="AA547" s="6" t="s">
        <v>1316</v>
      </c>
      <c r="AB547" s="6" t="str">
        <f>VLOOKUP(S547,Mapping!A:C,3,FALSE)</f>
        <v>Primary</v>
      </c>
    </row>
    <row r="548" spans="1:28" x14ac:dyDescent="0.35">
      <c r="A548" s="6" t="s">
        <v>1302</v>
      </c>
      <c r="B548" s="6" t="s">
        <v>1303</v>
      </c>
      <c r="C548" s="6" t="s">
        <v>1304</v>
      </c>
      <c r="D548" s="6" t="s">
        <v>1305</v>
      </c>
      <c r="E548" s="6" t="s">
        <v>1306</v>
      </c>
      <c r="F548" s="6" t="s">
        <v>1307</v>
      </c>
      <c r="G548" s="6" t="s">
        <v>1308</v>
      </c>
      <c r="H548" s="6" t="s">
        <v>2693</v>
      </c>
      <c r="I548" s="6">
        <v>0</v>
      </c>
      <c r="J548" s="6">
        <v>246.39</v>
      </c>
      <c r="K548" s="6">
        <v>1</v>
      </c>
      <c r="L548" s="6" t="s">
        <v>2186</v>
      </c>
      <c r="M548" s="6" t="e">
        <f>VLOOKUP(L548,'Nov Inv Recon'!H:H,1,FALSE)</f>
        <v>#N/A</v>
      </c>
      <c r="N548" s="6" t="e">
        <f>VLOOKUP(L548,VictoryHeitrich!D:D,1,FALSE)</f>
        <v>#N/A</v>
      </c>
      <c r="O548" s="6" t="s">
        <v>358</v>
      </c>
      <c r="P548" s="6" t="s">
        <v>1311</v>
      </c>
      <c r="Q548" s="6" t="s">
        <v>2902</v>
      </c>
      <c r="R548" s="6" t="s">
        <v>2902</v>
      </c>
      <c r="S548" s="6" t="s">
        <v>35</v>
      </c>
      <c r="T548" s="6" t="s">
        <v>36</v>
      </c>
      <c r="U548" s="6" t="s">
        <v>1313</v>
      </c>
      <c r="V548" s="6" t="s">
        <v>1314</v>
      </c>
      <c r="W548" s="6">
        <v>2025</v>
      </c>
      <c r="X548" s="6">
        <v>11</v>
      </c>
      <c r="Y548" s="6" t="s">
        <v>1315</v>
      </c>
      <c r="Z548" s="6">
        <v>2025</v>
      </c>
      <c r="AA548" s="6" t="s">
        <v>1316</v>
      </c>
      <c r="AB548" s="6" t="str">
        <f>VLOOKUP(S548,Mapping!A:C,3,FALSE)</f>
        <v>Primary</v>
      </c>
    </row>
    <row r="549" spans="1:28" x14ac:dyDescent="0.35">
      <c r="A549" s="6" t="s">
        <v>1302</v>
      </c>
      <c r="B549" s="6" t="s">
        <v>1303</v>
      </c>
      <c r="C549" s="6" t="s">
        <v>1304</v>
      </c>
      <c r="D549" s="6" t="s">
        <v>1305</v>
      </c>
      <c r="E549" s="6" t="s">
        <v>1306</v>
      </c>
      <c r="F549" s="6" t="s">
        <v>1307</v>
      </c>
      <c r="G549" s="6" t="s">
        <v>1308</v>
      </c>
      <c r="H549" s="6" t="s">
        <v>1728</v>
      </c>
      <c r="I549" s="6">
        <v>0</v>
      </c>
      <c r="J549" s="6">
        <v>371.18</v>
      </c>
      <c r="K549" s="6">
        <v>1</v>
      </c>
      <c r="L549" s="6" t="s">
        <v>2159</v>
      </c>
      <c r="M549" s="6" t="e">
        <f>VLOOKUP(L549,'Nov Inv Recon'!H:H,1,FALSE)</f>
        <v>#N/A</v>
      </c>
      <c r="N549" s="6" t="e">
        <f>VLOOKUP(L549,VictoryHeitrich!D:D,1,FALSE)</f>
        <v>#N/A</v>
      </c>
      <c r="O549" s="6" t="s">
        <v>810</v>
      </c>
      <c r="P549" s="6" t="s">
        <v>1311</v>
      </c>
      <c r="Q549" s="6" t="s">
        <v>2903</v>
      </c>
      <c r="R549" s="6" t="s">
        <v>2903</v>
      </c>
      <c r="S549" s="6" t="s">
        <v>35</v>
      </c>
      <c r="T549" s="6" t="s">
        <v>36</v>
      </c>
      <c r="U549" s="6" t="s">
        <v>1313</v>
      </c>
      <c r="V549" s="6" t="s">
        <v>1314</v>
      </c>
      <c r="W549" s="6">
        <v>2025</v>
      </c>
      <c r="X549" s="6">
        <v>11</v>
      </c>
      <c r="Y549" s="6" t="s">
        <v>1315</v>
      </c>
      <c r="Z549" s="6">
        <v>2025</v>
      </c>
      <c r="AA549" s="6" t="s">
        <v>1316</v>
      </c>
      <c r="AB549" s="6" t="str">
        <f>VLOOKUP(S549,Mapping!A:C,3,FALSE)</f>
        <v>Primary</v>
      </c>
    </row>
    <row r="550" spans="1:28" x14ac:dyDescent="0.35">
      <c r="A550" s="6" t="s">
        <v>1302</v>
      </c>
      <c r="B550" s="6" t="s">
        <v>1303</v>
      </c>
      <c r="C550" s="6" t="s">
        <v>1304</v>
      </c>
      <c r="D550" s="6" t="s">
        <v>1305</v>
      </c>
      <c r="E550" s="6" t="s">
        <v>1306</v>
      </c>
      <c r="F550" s="6" t="s">
        <v>1307</v>
      </c>
      <c r="G550" s="6" t="s">
        <v>1308</v>
      </c>
      <c r="H550" s="6" t="s">
        <v>1765</v>
      </c>
      <c r="I550" s="6">
        <v>0</v>
      </c>
      <c r="J550" s="6">
        <v>211.04</v>
      </c>
      <c r="K550" s="6">
        <v>1</v>
      </c>
      <c r="L550" s="6" t="s">
        <v>1415</v>
      </c>
      <c r="M550" s="6" t="e">
        <f>VLOOKUP(L550,'Nov Inv Recon'!H:H,1,FALSE)</f>
        <v>#N/A</v>
      </c>
      <c r="N550" s="6" t="e">
        <f>VLOOKUP(L550,VictoryHeitrich!D:D,1,FALSE)</f>
        <v>#N/A</v>
      </c>
      <c r="O550" s="6" t="s">
        <v>1416</v>
      </c>
      <c r="P550" s="6" t="s">
        <v>1311</v>
      </c>
      <c r="Q550" s="6" t="s">
        <v>2904</v>
      </c>
      <c r="R550" s="6" t="s">
        <v>2904</v>
      </c>
      <c r="S550" s="6" t="s">
        <v>35</v>
      </c>
      <c r="T550" s="6" t="s">
        <v>36</v>
      </c>
      <c r="U550" s="6" t="s">
        <v>1313</v>
      </c>
      <c r="V550" s="6" t="s">
        <v>1314</v>
      </c>
      <c r="W550" s="6">
        <v>2025</v>
      </c>
      <c r="X550" s="6">
        <v>11</v>
      </c>
      <c r="Y550" s="6" t="s">
        <v>1315</v>
      </c>
      <c r="Z550" s="6">
        <v>2025</v>
      </c>
      <c r="AA550" s="6" t="s">
        <v>1316</v>
      </c>
      <c r="AB550" s="6" t="str">
        <f>VLOOKUP(S550,Mapping!A:C,3,FALSE)</f>
        <v>Primary</v>
      </c>
    </row>
    <row r="551" spans="1:28" x14ac:dyDescent="0.35">
      <c r="A551" s="6" t="s">
        <v>1302</v>
      </c>
      <c r="B551" s="6" t="s">
        <v>1303</v>
      </c>
      <c r="C551" s="6" t="s">
        <v>1304</v>
      </c>
      <c r="D551" s="6" t="s">
        <v>1305</v>
      </c>
      <c r="E551" s="6" t="s">
        <v>1306</v>
      </c>
      <c r="F551" s="6" t="s">
        <v>1307</v>
      </c>
      <c r="G551" s="6" t="s">
        <v>1308</v>
      </c>
      <c r="H551" s="6" t="s">
        <v>1632</v>
      </c>
      <c r="I551" s="6">
        <v>0</v>
      </c>
      <c r="J551" s="6">
        <v>995</v>
      </c>
      <c r="K551" s="6">
        <v>1</v>
      </c>
      <c r="L551" s="6" t="s">
        <v>2142</v>
      </c>
      <c r="M551" s="6" t="e">
        <f>VLOOKUP(L551,'Nov Inv Recon'!H:H,1,FALSE)</f>
        <v>#N/A</v>
      </c>
      <c r="N551" s="6" t="e">
        <f>VLOOKUP(L551,VictoryHeitrich!D:D,1,FALSE)</f>
        <v>#N/A</v>
      </c>
      <c r="O551" s="6" t="s">
        <v>897</v>
      </c>
      <c r="P551" s="6" t="s">
        <v>1311</v>
      </c>
      <c r="Q551" s="6" t="s">
        <v>2905</v>
      </c>
      <c r="R551" s="6" t="s">
        <v>2905</v>
      </c>
      <c r="S551" s="6" t="s">
        <v>35</v>
      </c>
      <c r="T551" s="6" t="s">
        <v>36</v>
      </c>
      <c r="U551" s="6" t="s">
        <v>1313</v>
      </c>
      <c r="V551" s="6" t="s">
        <v>1314</v>
      </c>
      <c r="W551" s="6">
        <v>2025</v>
      </c>
      <c r="X551" s="6">
        <v>11</v>
      </c>
      <c r="Y551" s="6" t="s">
        <v>1315</v>
      </c>
      <c r="Z551" s="6">
        <v>2025</v>
      </c>
      <c r="AA551" s="6" t="s">
        <v>1316</v>
      </c>
      <c r="AB551" s="6" t="str">
        <f>VLOOKUP(S551,Mapping!A:C,3,FALSE)</f>
        <v>Primary</v>
      </c>
    </row>
    <row r="552" spans="1:28" x14ac:dyDescent="0.35">
      <c r="A552" s="6" t="s">
        <v>1302</v>
      </c>
      <c r="B552" s="6" t="s">
        <v>1303</v>
      </c>
      <c r="C552" s="6" t="s">
        <v>1304</v>
      </c>
      <c r="D552" s="6" t="s">
        <v>1305</v>
      </c>
      <c r="E552" s="6" t="s">
        <v>1306</v>
      </c>
      <c r="F552" s="6" t="s">
        <v>1307</v>
      </c>
      <c r="G552" s="6" t="s">
        <v>1308</v>
      </c>
      <c r="H552" s="6" t="s">
        <v>2398</v>
      </c>
      <c r="I552" s="6">
        <v>0</v>
      </c>
      <c r="J552" s="6">
        <v>299</v>
      </c>
      <c r="K552" s="6">
        <v>1</v>
      </c>
      <c r="L552" s="6" t="s">
        <v>2259</v>
      </c>
      <c r="M552" s="6" t="e">
        <f>VLOOKUP(L552,'Nov Inv Recon'!H:H,1,FALSE)</f>
        <v>#N/A</v>
      </c>
      <c r="N552" s="6" t="e">
        <f>VLOOKUP(L552,VictoryHeitrich!D:D,1,FALSE)</f>
        <v>#N/A</v>
      </c>
      <c r="O552" s="6" t="s">
        <v>459</v>
      </c>
      <c r="P552" s="6" t="s">
        <v>1311</v>
      </c>
      <c r="Q552" s="6" t="s">
        <v>2906</v>
      </c>
      <c r="R552" s="6" t="s">
        <v>2906</v>
      </c>
      <c r="S552" s="6" t="s">
        <v>35</v>
      </c>
      <c r="T552" s="6" t="s">
        <v>36</v>
      </c>
      <c r="U552" s="6" t="s">
        <v>1313</v>
      </c>
      <c r="V552" s="6" t="s">
        <v>1314</v>
      </c>
      <c r="W552" s="6">
        <v>2025</v>
      </c>
      <c r="X552" s="6">
        <v>11</v>
      </c>
      <c r="Y552" s="6" t="s">
        <v>1315</v>
      </c>
      <c r="Z552" s="6">
        <v>2025</v>
      </c>
      <c r="AA552" s="6" t="s">
        <v>1316</v>
      </c>
      <c r="AB552" s="6" t="str">
        <f>VLOOKUP(S552,Mapping!A:C,3,FALSE)</f>
        <v>Primary</v>
      </c>
    </row>
    <row r="553" spans="1:28" x14ac:dyDescent="0.35">
      <c r="A553" s="6" t="s">
        <v>1302</v>
      </c>
      <c r="B553" s="6" t="s">
        <v>1303</v>
      </c>
      <c r="C553" s="6" t="s">
        <v>1304</v>
      </c>
      <c r="D553" s="6" t="s">
        <v>1305</v>
      </c>
      <c r="E553" s="6" t="s">
        <v>1306</v>
      </c>
      <c r="F553" s="6" t="s">
        <v>1307</v>
      </c>
      <c r="G553" s="6" t="s">
        <v>1308</v>
      </c>
      <c r="H553" s="6" t="s">
        <v>1632</v>
      </c>
      <c r="I553" s="6">
        <v>0</v>
      </c>
      <c r="J553" s="6">
        <v>131.04</v>
      </c>
      <c r="K553" s="6">
        <v>1</v>
      </c>
      <c r="L553" s="6" t="s">
        <v>130</v>
      </c>
      <c r="M553" s="6" t="str">
        <f>VLOOKUP(L553,'Nov Inv Recon'!H:H,1,FALSE)</f>
        <v>01326364</v>
      </c>
      <c r="N553" s="6" t="e">
        <f>VLOOKUP(L553,VictoryHeitrich!D:D,1,FALSE)</f>
        <v>#N/A</v>
      </c>
      <c r="O553" s="6" t="s">
        <v>131</v>
      </c>
      <c r="P553" s="6" t="s">
        <v>1311</v>
      </c>
      <c r="Q553" s="6" t="s">
        <v>2907</v>
      </c>
      <c r="R553" s="6" t="s">
        <v>2907</v>
      </c>
      <c r="S553" s="6" t="s">
        <v>35</v>
      </c>
      <c r="T553" s="6" t="s">
        <v>36</v>
      </c>
      <c r="U553" s="6" t="s">
        <v>1313</v>
      </c>
      <c r="V553" s="6" t="s">
        <v>1314</v>
      </c>
      <c r="W553" s="6">
        <v>2025</v>
      </c>
      <c r="X553" s="6">
        <v>11</v>
      </c>
      <c r="Y553" s="6" t="s">
        <v>1315</v>
      </c>
      <c r="Z553" s="6">
        <v>2025</v>
      </c>
      <c r="AA553" s="6" t="s">
        <v>1316</v>
      </c>
      <c r="AB553" s="6" t="str">
        <f>VLOOKUP(S553,Mapping!A:C,3,FALSE)</f>
        <v>Primary</v>
      </c>
    </row>
    <row r="554" spans="1:28" x14ac:dyDescent="0.35">
      <c r="A554" s="6" t="s">
        <v>1302</v>
      </c>
      <c r="B554" s="6" t="s">
        <v>1303</v>
      </c>
      <c r="C554" s="6" t="s">
        <v>1304</v>
      </c>
      <c r="D554" s="6" t="s">
        <v>1305</v>
      </c>
      <c r="E554" s="6" t="s">
        <v>1306</v>
      </c>
      <c r="F554" s="6" t="s">
        <v>1307</v>
      </c>
      <c r="G554" s="6" t="s">
        <v>1308</v>
      </c>
      <c r="H554" s="6" t="s">
        <v>1777</v>
      </c>
      <c r="I554" s="6">
        <v>0</v>
      </c>
      <c r="J554" s="6">
        <v>199</v>
      </c>
      <c r="K554" s="6">
        <v>1</v>
      </c>
      <c r="L554" s="6" t="s">
        <v>1427</v>
      </c>
      <c r="M554" s="6" t="e">
        <f>VLOOKUP(L554,'Nov Inv Recon'!H:H,1,FALSE)</f>
        <v>#N/A</v>
      </c>
      <c r="N554" s="6" t="e">
        <f>VLOOKUP(L554,VictoryHeitrich!D:D,1,FALSE)</f>
        <v>#N/A</v>
      </c>
      <c r="O554" s="6" t="s">
        <v>1428</v>
      </c>
      <c r="P554" s="6" t="s">
        <v>1311</v>
      </c>
      <c r="Q554" s="6" t="s">
        <v>2908</v>
      </c>
      <c r="R554" s="6" t="s">
        <v>2908</v>
      </c>
      <c r="S554" s="6" t="s">
        <v>35</v>
      </c>
      <c r="T554" s="6" t="s">
        <v>36</v>
      </c>
      <c r="U554" s="6" t="s">
        <v>1313</v>
      </c>
      <c r="V554" s="6" t="s">
        <v>1314</v>
      </c>
      <c r="W554" s="6">
        <v>2025</v>
      </c>
      <c r="X554" s="6">
        <v>11</v>
      </c>
      <c r="Y554" s="6" t="s">
        <v>1315</v>
      </c>
      <c r="Z554" s="6">
        <v>2025</v>
      </c>
      <c r="AA554" s="6" t="s">
        <v>1316</v>
      </c>
      <c r="AB554" s="6" t="str">
        <f>VLOOKUP(S554,Mapping!A:C,3,FALSE)</f>
        <v>Primary</v>
      </c>
    </row>
    <row r="555" spans="1:28" x14ac:dyDescent="0.35">
      <c r="A555" s="6" t="s">
        <v>1302</v>
      </c>
      <c r="B555" s="6" t="s">
        <v>1303</v>
      </c>
      <c r="C555" s="6" t="s">
        <v>1304</v>
      </c>
      <c r="D555" s="6" t="s">
        <v>1305</v>
      </c>
      <c r="E555" s="6" t="s">
        <v>1306</v>
      </c>
      <c r="F555" s="6" t="s">
        <v>1307</v>
      </c>
      <c r="G555" s="6" t="s">
        <v>1308</v>
      </c>
      <c r="H555" s="6" t="s">
        <v>1752</v>
      </c>
      <c r="I555" s="6">
        <v>0</v>
      </c>
      <c r="J555" s="6">
        <v>499</v>
      </c>
      <c r="K555" s="6">
        <v>1</v>
      </c>
      <c r="L555" s="6" t="s">
        <v>2203</v>
      </c>
      <c r="M555" s="6" t="e">
        <f>VLOOKUP(L555,'Nov Inv Recon'!H:H,1,FALSE)</f>
        <v>#N/A</v>
      </c>
      <c r="N555" s="6" t="e">
        <f>VLOOKUP(L555,VictoryHeitrich!D:D,1,FALSE)</f>
        <v>#N/A</v>
      </c>
      <c r="O555" s="6" t="s">
        <v>529</v>
      </c>
      <c r="P555" s="6" t="s">
        <v>1311</v>
      </c>
      <c r="Q555" s="6" t="s">
        <v>2909</v>
      </c>
      <c r="R555" s="6" t="s">
        <v>2909</v>
      </c>
      <c r="S555" s="6" t="s">
        <v>35</v>
      </c>
      <c r="T555" s="6" t="s">
        <v>36</v>
      </c>
      <c r="U555" s="6" t="s">
        <v>1313</v>
      </c>
      <c r="V555" s="6" t="s">
        <v>1314</v>
      </c>
      <c r="W555" s="6">
        <v>2025</v>
      </c>
      <c r="X555" s="6">
        <v>11</v>
      </c>
      <c r="Y555" s="6" t="s">
        <v>1315</v>
      </c>
      <c r="Z555" s="6">
        <v>2025</v>
      </c>
      <c r="AA555" s="6" t="s">
        <v>1316</v>
      </c>
      <c r="AB555" s="6" t="str">
        <f>VLOOKUP(S555,Mapping!A:C,3,FALSE)</f>
        <v>Primary</v>
      </c>
    </row>
    <row r="556" spans="1:28" x14ac:dyDescent="0.35">
      <c r="A556" s="6" t="s">
        <v>1302</v>
      </c>
      <c r="B556" s="6" t="s">
        <v>1303</v>
      </c>
      <c r="C556" s="6" t="s">
        <v>1304</v>
      </c>
      <c r="D556" s="6" t="s">
        <v>1305</v>
      </c>
      <c r="E556" s="6" t="s">
        <v>1306</v>
      </c>
      <c r="F556" s="6" t="s">
        <v>1307</v>
      </c>
      <c r="G556" s="6" t="s">
        <v>1308</v>
      </c>
      <c r="H556" s="6" t="s">
        <v>2528</v>
      </c>
      <c r="I556" s="6">
        <v>0</v>
      </c>
      <c r="J556" s="6">
        <v>499</v>
      </c>
      <c r="K556" s="6">
        <v>1</v>
      </c>
      <c r="L556" s="6" t="s">
        <v>2237</v>
      </c>
      <c r="M556" s="6" t="e">
        <f>VLOOKUP(L556,'Nov Inv Recon'!H:H,1,FALSE)</f>
        <v>#N/A</v>
      </c>
      <c r="N556" s="6" t="e">
        <f>VLOOKUP(L556,VictoryHeitrich!D:D,1,FALSE)</f>
        <v>#N/A</v>
      </c>
      <c r="O556" s="6" t="s">
        <v>535</v>
      </c>
      <c r="P556" s="6" t="s">
        <v>1311</v>
      </c>
      <c r="Q556" s="6" t="s">
        <v>2910</v>
      </c>
      <c r="R556" s="6" t="s">
        <v>2910</v>
      </c>
      <c r="S556" s="6" t="s">
        <v>35</v>
      </c>
      <c r="T556" s="6" t="s">
        <v>36</v>
      </c>
      <c r="U556" s="6" t="s">
        <v>1313</v>
      </c>
      <c r="V556" s="6" t="s">
        <v>1314</v>
      </c>
      <c r="W556" s="6">
        <v>2025</v>
      </c>
      <c r="X556" s="6">
        <v>11</v>
      </c>
      <c r="Y556" s="6" t="s">
        <v>1315</v>
      </c>
      <c r="Z556" s="6">
        <v>2025</v>
      </c>
      <c r="AA556" s="6" t="s">
        <v>1316</v>
      </c>
      <c r="AB556" s="6" t="str">
        <f>VLOOKUP(S556,Mapping!A:C,3,FALSE)</f>
        <v>Primary</v>
      </c>
    </row>
    <row r="557" spans="1:28" x14ac:dyDescent="0.35">
      <c r="A557" s="6" t="s">
        <v>1302</v>
      </c>
      <c r="B557" s="6" t="s">
        <v>1303</v>
      </c>
      <c r="C557" s="6" t="s">
        <v>1304</v>
      </c>
      <c r="D557" s="6" t="s">
        <v>1305</v>
      </c>
      <c r="E557" s="6" t="s">
        <v>1306</v>
      </c>
      <c r="F557" s="6" t="s">
        <v>1307</v>
      </c>
      <c r="G557" s="6" t="s">
        <v>1308</v>
      </c>
      <c r="H557" s="6" t="s">
        <v>1682</v>
      </c>
      <c r="I557" s="6">
        <v>0</v>
      </c>
      <c r="J557" s="6">
        <v>299</v>
      </c>
      <c r="K557" s="6">
        <v>1</v>
      </c>
      <c r="L557" s="6" t="s">
        <v>2235</v>
      </c>
      <c r="M557" s="6" t="e">
        <f>VLOOKUP(L557,'Nov Inv Recon'!H:H,1,FALSE)</f>
        <v>#N/A</v>
      </c>
      <c r="N557" s="6" t="e">
        <f>VLOOKUP(L557,VictoryHeitrich!D:D,1,FALSE)</f>
        <v>#N/A</v>
      </c>
      <c r="O557" s="6" t="s">
        <v>483</v>
      </c>
      <c r="P557" s="6" t="s">
        <v>1311</v>
      </c>
      <c r="Q557" s="6" t="s">
        <v>2911</v>
      </c>
      <c r="R557" s="6" t="s">
        <v>2911</v>
      </c>
      <c r="S557" s="6" t="s">
        <v>35</v>
      </c>
      <c r="T557" s="6" t="s">
        <v>36</v>
      </c>
      <c r="U557" s="6" t="s">
        <v>1313</v>
      </c>
      <c r="V557" s="6" t="s">
        <v>1314</v>
      </c>
      <c r="W557" s="6">
        <v>2025</v>
      </c>
      <c r="X557" s="6">
        <v>11</v>
      </c>
      <c r="Y557" s="6" t="s">
        <v>1315</v>
      </c>
      <c r="Z557" s="6">
        <v>2025</v>
      </c>
      <c r="AA557" s="6" t="s">
        <v>1316</v>
      </c>
      <c r="AB557" s="6" t="str">
        <f>VLOOKUP(S557,Mapping!A:C,3,FALSE)</f>
        <v>Primary</v>
      </c>
    </row>
    <row r="558" spans="1:28" x14ac:dyDescent="0.35">
      <c r="A558" s="6" t="s">
        <v>1302</v>
      </c>
      <c r="B558" s="6" t="s">
        <v>1303</v>
      </c>
      <c r="C558" s="6" t="s">
        <v>1304</v>
      </c>
      <c r="D558" s="6" t="s">
        <v>1305</v>
      </c>
      <c r="E558" s="6" t="s">
        <v>1306</v>
      </c>
      <c r="F558" s="6" t="s">
        <v>1307</v>
      </c>
      <c r="G558" s="6" t="s">
        <v>1308</v>
      </c>
      <c r="H558" s="6" t="s">
        <v>1682</v>
      </c>
      <c r="I558" s="6">
        <v>0</v>
      </c>
      <c r="J558" s="6">
        <v>1044.75</v>
      </c>
      <c r="K558" s="6">
        <v>1</v>
      </c>
      <c r="L558" s="6" t="s">
        <v>2146</v>
      </c>
      <c r="M558" s="6" t="e">
        <f>VLOOKUP(L558,'Nov Inv Recon'!H:H,1,FALSE)</f>
        <v>#N/A</v>
      </c>
      <c r="N558" s="6" t="e">
        <f>VLOOKUP(L558,VictoryHeitrich!D:D,1,FALSE)</f>
        <v>#N/A</v>
      </c>
      <c r="O558" s="6" t="s">
        <v>852</v>
      </c>
      <c r="P558" s="6" t="s">
        <v>1311</v>
      </c>
      <c r="Q558" s="6" t="s">
        <v>2912</v>
      </c>
      <c r="R558" s="6" t="s">
        <v>2912</v>
      </c>
      <c r="S558" s="6" t="s">
        <v>35</v>
      </c>
      <c r="T558" s="6" t="s">
        <v>36</v>
      </c>
      <c r="U558" s="6" t="s">
        <v>1313</v>
      </c>
      <c r="V558" s="6" t="s">
        <v>1314</v>
      </c>
      <c r="W558" s="6">
        <v>2025</v>
      </c>
      <c r="X558" s="6">
        <v>11</v>
      </c>
      <c r="Y558" s="6" t="s">
        <v>1315</v>
      </c>
      <c r="Z558" s="6">
        <v>2025</v>
      </c>
      <c r="AA558" s="6" t="s">
        <v>1316</v>
      </c>
      <c r="AB558" s="6" t="str">
        <f>VLOOKUP(S558,Mapping!A:C,3,FALSE)</f>
        <v>Primary</v>
      </c>
    </row>
    <row r="559" spans="1:28" x14ac:dyDescent="0.35">
      <c r="A559" s="6" t="s">
        <v>1302</v>
      </c>
      <c r="B559" s="6" t="s">
        <v>1303</v>
      </c>
      <c r="C559" s="6" t="s">
        <v>1304</v>
      </c>
      <c r="D559" s="6" t="s">
        <v>1305</v>
      </c>
      <c r="E559" s="6" t="s">
        <v>1306</v>
      </c>
      <c r="F559" s="6" t="s">
        <v>1307</v>
      </c>
      <c r="G559" s="6" t="s">
        <v>1308</v>
      </c>
      <c r="H559" s="6" t="s">
        <v>2674</v>
      </c>
      <c r="I559" s="6">
        <v>0</v>
      </c>
      <c r="J559" s="6">
        <v>103</v>
      </c>
      <c r="K559" s="6">
        <v>1</v>
      </c>
      <c r="L559" s="6" t="s">
        <v>1371</v>
      </c>
      <c r="M559" s="6" t="e">
        <f>VLOOKUP(L559,'Nov Inv Recon'!H:H,1,FALSE)</f>
        <v>#N/A</v>
      </c>
      <c r="N559" s="6" t="e">
        <f>VLOOKUP(L559,VictoryHeitrich!D:D,1,FALSE)</f>
        <v>#N/A</v>
      </c>
      <c r="O559" s="6" t="s">
        <v>1372</v>
      </c>
      <c r="P559" s="6" t="s">
        <v>1311</v>
      </c>
      <c r="Q559" s="6" t="s">
        <v>2913</v>
      </c>
      <c r="R559" s="6" t="s">
        <v>2913</v>
      </c>
      <c r="S559" s="6" t="s">
        <v>1329</v>
      </c>
      <c r="T559" s="6" t="s">
        <v>1330</v>
      </c>
      <c r="U559" s="6" t="s">
        <v>1313</v>
      </c>
      <c r="V559" s="6" t="s">
        <v>1314</v>
      </c>
      <c r="W559" s="6">
        <v>2025</v>
      </c>
      <c r="X559" s="6">
        <v>11</v>
      </c>
      <c r="Y559" s="6" t="s">
        <v>1315</v>
      </c>
      <c r="Z559" s="6">
        <v>2025</v>
      </c>
      <c r="AA559" s="6" t="s">
        <v>1316</v>
      </c>
      <c r="AB559" s="6" t="str">
        <f>VLOOKUP(S559,Mapping!A:C,3,FALSE)</f>
        <v>Primary</v>
      </c>
    </row>
    <row r="560" spans="1:28" x14ac:dyDescent="0.35">
      <c r="A560" s="6" t="s">
        <v>1302</v>
      </c>
      <c r="B560" s="6" t="s">
        <v>1303</v>
      </c>
      <c r="C560" s="6" t="s">
        <v>1304</v>
      </c>
      <c r="D560" s="6" t="s">
        <v>1305</v>
      </c>
      <c r="E560" s="6" t="s">
        <v>1306</v>
      </c>
      <c r="F560" s="6" t="s">
        <v>1307</v>
      </c>
      <c r="G560" s="6" t="s">
        <v>1308</v>
      </c>
      <c r="H560" s="6" t="s">
        <v>1842</v>
      </c>
      <c r="I560" s="6">
        <v>0</v>
      </c>
      <c r="J560" s="6">
        <v>74.94</v>
      </c>
      <c r="K560" s="6">
        <v>1</v>
      </c>
      <c r="L560" s="6" t="s">
        <v>2339</v>
      </c>
      <c r="M560" s="6" t="e">
        <f>VLOOKUP(L560,'Nov Inv Recon'!H:H,1,FALSE)</f>
        <v>#N/A</v>
      </c>
      <c r="N560" s="6" t="e">
        <f>VLOOKUP(L560,VictoryHeitrich!D:D,1,FALSE)</f>
        <v>#N/A</v>
      </c>
      <c r="O560" s="6" t="s">
        <v>113</v>
      </c>
      <c r="P560" s="6" t="s">
        <v>1311</v>
      </c>
      <c r="Q560" s="6" t="s">
        <v>1946</v>
      </c>
      <c r="R560" s="6" t="s">
        <v>1946</v>
      </c>
      <c r="S560" s="6" t="s">
        <v>1329</v>
      </c>
      <c r="T560" s="6" t="s">
        <v>1330</v>
      </c>
      <c r="U560" s="6" t="s">
        <v>1313</v>
      </c>
      <c r="V560" s="6" t="s">
        <v>1314</v>
      </c>
      <c r="W560" s="6">
        <v>2025</v>
      </c>
      <c r="X560" s="6">
        <v>11</v>
      </c>
      <c r="Y560" s="6" t="s">
        <v>1315</v>
      </c>
      <c r="Z560" s="6">
        <v>2025</v>
      </c>
      <c r="AA560" s="6" t="s">
        <v>1316</v>
      </c>
      <c r="AB560" s="6" t="str">
        <f>VLOOKUP(S560,Mapping!A:C,3,FALSE)</f>
        <v>Primary</v>
      </c>
    </row>
    <row r="561" spans="1:28" x14ac:dyDescent="0.35">
      <c r="A561" s="6" t="s">
        <v>1302</v>
      </c>
      <c r="B561" s="6" t="s">
        <v>1303</v>
      </c>
      <c r="C561" s="6" t="s">
        <v>1304</v>
      </c>
      <c r="D561" s="6" t="s">
        <v>1305</v>
      </c>
      <c r="E561" s="6" t="s">
        <v>1306</v>
      </c>
      <c r="F561" s="6" t="s">
        <v>1307</v>
      </c>
      <c r="G561" s="6" t="s">
        <v>1308</v>
      </c>
      <c r="H561" s="6" t="s">
        <v>2425</v>
      </c>
      <c r="I561" s="6">
        <v>0</v>
      </c>
      <c r="J561" s="6">
        <v>113.4</v>
      </c>
      <c r="K561" s="6">
        <v>1</v>
      </c>
      <c r="L561" s="6" t="s">
        <v>1391</v>
      </c>
      <c r="M561" s="6" t="e">
        <f>VLOOKUP(L561,'Nov Inv Recon'!H:H,1,FALSE)</f>
        <v>#N/A</v>
      </c>
      <c r="N561" s="6" t="e">
        <f>VLOOKUP(L561,VictoryHeitrich!D:D,1,FALSE)</f>
        <v>#N/A</v>
      </c>
      <c r="O561" s="6" t="s">
        <v>1392</v>
      </c>
      <c r="P561" s="6" t="s">
        <v>1311</v>
      </c>
      <c r="Q561" s="6" t="s">
        <v>2914</v>
      </c>
      <c r="R561" s="6" t="s">
        <v>2914</v>
      </c>
      <c r="S561" s="6" t="s">
        <v>1329</v>
      </c>
      <c r="T561" s="6" t="s">
        <v>1330</v>
      </c>
      <c r="U561" s="6" t="s">
        <v>1313</v>
      </c>
      <c r="V561" s="6" t="s">
        <v>1314</v>
      </c>
      <c r="W561" s="6">
        <v>2025</v>
      </c>
      <c r="X561" s="6">
        <v>11</v>
      </c>
      <c r="Y561" s="6" t="s">
        <v>1315</v>
      </c>
      <c r="Z561" s="6">
        <v>2025</v>
      </c>
      <c r="AA561" s="6" t="s">
        <v>1316</v>
      </c>
      <c r="AB561" s="6" t="str">
        <f>VLOOKUP(S561,Mapping!A:C,3,FALSE)</f>
        <v>Primary</v>
      </c>
    </row>
    <row r="562" spans="1:28" x14ac:dyDescent="0.35">
      <c r="A562" s="6" t="s">
        <v>1302</v>
      </c>
      <c r="B562" s="6" t="s">
        <v>1303</v>
      </c>
      <c r="C562" s="6" t="s">
        <v>1304</v>
      </c>
      <c r="D562" s="6" t="s">
        <v>1305</v>
      </c>
      <c r="E562" s="6" t="s">
        <v>1306</v>
      </c>
      <c r="F562" s="6" t="s">
        <v>1307</v>
      </c>
      <c r="G562" s="6" t="s">
        <v>1308</v>
      </c>
      <c r="H562" s="6" t="s">
        <v>2505</v>
      </c>
      <c r="I562" s="6">
        <v>0</v>
      </c>
      <c r="J562" s="6">
        <v>111.29</v>
      </c>
      <c r="K562" s="6">
        <v>1</v>
      </c>
      <c r="L562" s="6" t="s">
        <v>1393</v>
      </c>
      <c r="M562" s="6" t="e">
        <f>VLOOKUP(L562,'Nov Inv Recon'!H:H,1,FALSE)</f>
        <v>#N/A</v>
      </c>
      <c r="N562" s="6" t="e">
        <f>VLOOKUP(L562,VictoryHeitrich!D:D,1,FALSE)</f>
        <v>#N/A</v>
      </c>
      <c r="O562" s="6" t="s">
        <v>1394</v>
      </c>
      <c r="P562" s="6" t="s">
        <v>1311</v>
      </c>
      <c r="Q562" s="6" t="s">
        <v>2915</v>
      </c>
      <c r="R562" s="6" t="s">
        <v>2915</v>
      </c>
      <c r="S562" s="6" t="s">
        <v>1329</v>
      </c>
      <c r="T562" s="6" t="s">
        <v>1330</v>
      </c>
      <c r="U562" s="6" t="s">
        <v>1313</v>
      </c>
      <c r="V562" s="6" t="s">
        <v>1314</v>
      </c>
      <c r="W562" s="6">
        <v>2025</v>
      </c>
      <c r="X562" s="6">
        <v>11</v>
      </c>
      <c r="Y562" s="6" t="s">
        <v>1315</v>
      </c>
      <c r="Z562" s="6">
        <v>2025</v>
      </c>
      <c r="AA562" s="6" t="s">
        <v>1316</v>
      </c>
      <c r="AB562" s="6" t="str">
        <f>VLOOKUP(S562,Mapping!A:C,3,FALSE)</f>
        <v>Primary</v>
      </c>
    </row>
    <row r="563" spans="1:28" x14ac:dyDescent="0.35">
      <c r="A563" s="6" t="s">
        <v>1302</v>
      </c>
      <c r="B563" s="6" t="s">
        <v>1303</v>
      </c>
      <c r="C563" s="6" t="s">
        <v>1304</v>
      </c>
      <c r="D563" s="6" t="s">
        <v>1305</v>
      </c>
      <c r="E563" s="6" t="s">
        <v>1306</v>
      </c>
      <c r="F563" s="6" t="s">
        <v>1307</v>
      </c>
      <c r="G563" s="6" t="s">
        <v>1308</v>
      </c>
      <c r="H563" s="6" t="s">
        <v>1657</v>
      </c>
      <c r="I563" s="6">
        <v>0</v>
      </c>
      <c r="J563" s="6">
        <v>65.459999999999994</v>
      </c>
      <c r="K563" s="6">
        <v>1</v>
      </c>
      <c r="L563" s="6" t="s">
        <v>1359</v>
      </c>
      <c r="M563" s="6" t="e">
        <f>VLOOKUP(L563,'Nov Inv Recon'!H:H,1,FALSE)</f>
        <v>#N/A</v>
      </c>
      <c r="N563" s="6" t="e">
        <f>VLOOKUP(L563,VictoryHeitrich!D:D,1,FALSE)</f>
        <v>#N/A</v>
      </c>
      <c r="O563" s="6" t="s">
        <v>1360</v>
      </c>
      <c r="P563" s="6" t="s">
        <v>1311</v>
      </c>
      <c r="Q563" s="6" t="s">
        <v>2916</v>
      </c>
      <c r="R563" s="6" t="s">
        <v>2916</v>
      </c>
      <c r="S563" s="6" t="s">
        <v>1329</v>
      </c>
      <c r="T563" s="6" t="s">
        <v>1330</v>
      </c>
      <c r="U563" s="6" t="s">
        <v>1313</v>
      </c>
      <c r="V563" s="6" t="s">
        <v>1314</v>
      </c>
      <c r="W563" s="6">
        <v>2025</v>
      </c>
      <c r="X563" s="6">
        <v>11</v>
      </c>
      <c r="Y563" s="6" t="s">
        <v>1315</v>
      </c>
      <c r="Z563" s="6">
        <v>2025</v>
      </c>
      <c r="AA563" s="6" t="s">
        <v>1316</v>
      </c>
      <c r="AB563" s="6" t="str">
        <f>VLOOKUP(S563,Mapping!A:C,3,FALSE)</f>
        <v>Primary</v>
      </c>
    </row>
    <row r="564" spans="1:28" x14ac:dyDescent="0.35">
      <c r="A564" s="6" t="s">
        <v>1302</v>
      </c>
      <c r="B564" s="6" t="s">
        <v>1303</v>
      </c>
      <c r="C564" s="6" t="s">
        <v>1304</v>
      </c>
      <c r="D564" s="6" t="s">
        <v>1305</v>
      </c>
      <c r="E564" s="6" t="s">
        <v>1306</v>
      </c>
      <c r="F564" s="6" t="s">
        <v>1307</v>
      </c>
      <c r="G564" s="6" t="s">
        <v>1308</v>
      </c>
      <c r="H564" s="6" t="s">
        <v>1777</v>
      </c>
      <c r="I564" s="6">
        <v>0</v>
      </c>
      <c r="J564" s="6">
        <v>65.459999999999994</v>
      </c>
      <c r="K564" s="6">
        <v>1</v>
      </c>
      <c r="L564" s="6" t="s">
        <v>1355</v>
      </c>
      <c r="M564" s="6" t="e">
        <f>VLOOKUP(L564,'Nov Inv Recon'!H:H,1,FALSE)</f>
        <v>#N/A</v>
      </c>
      <c r="N564" s="6" t="e">
        <f>VLOOKUP(L564,VictoryHeitrich!D:D,1,FALSE)</f>
        <v>#N/A</v>
      </c>
      <c r="O564" s="6" t="s">
        <v>1356</v>
      </c>
      <c r="P564" s="6" t="s">
        <v>1311</v>
      </c>
      <c r="Q564" s="6" t="s">
        <v>2917</v>
      </c>
      <c r="R564" s="6" t="s">
        <v>2917</v>
      </c>
      <c r="S564" s="6" t="s">
        <v>1329</v>
      </c>
      <c r="T564" s="6" t="s">
        <v>1330</v>
      </c>
      <c r="U564" s="6" t="s">
        <v>1313</v>
      </c>
      <c r="V564" s="6" t="s">
        <v>1314</v>
      </c>
      <c r="W564" s="6">
        <v>2025</v>
      </c>
      <c r="X564" s="6">
        <v>11</v>
      </c>
      <c r="Y564" s="6" t="s">
        <v>1315</v>
      </c>
      <c r="Z564" s="6">
        <v>2025</v>
      </c>
      <c r="AA564" s="6" t="s">
        <v>1316</v>
      </c>
      <c r="AB564" s="6" t="str">
        <f>VLOOKUP(S564,Mapping!A:C,3,FALSE)</f>
        <v>Primary</v>
      </c>
    </row>
    <row r="565" spans="1:28" x14ac:dyDescent="0.35">
      <c r="A565" s="6" t="s">
        <v>1302</v>
      </c>
      <c r="B565" s="6" t="s">
        <v>1303</v>
      </c>
      <c r="C565" s="6" t="s">
        <v>1304</v>
      </c>
      <c r="D565" s="6" t="s">
        <v>1305</v>
      </c>
      <c r="E565" s="6" t="s">
        <v>1306</v>
      </c>
      <c r="F565" s="6" t="s">
        <v>1307</v>
      </c>
      <c r="G565" s="6" t="s">
        <v>1308</v>
      </c>
      <c r="H565" s="6" t="s">
        <v>2667</v>
      </c>
      <c r="I565" s="6">
        <v>0</v>
      </c>
      <c r="J565" s="6">
        <v>105.66</v>
      </c>
      <c r="K565" s="6">
        <v>1</v>
      </c>
      <c r="L565" s="6" t="s">
        <v>1497</v>
      </c>
      <c r="M565" s="6" t="e">
        <f>VLOOKUP(L565,'Nov Inv Recon'!H:H,1,FALSE)</f>
        <v>#N/A</v>
      </c>
      <c r="N565" s="6" t="e">
        <f>VLOOKUP(L565,VictoryHeitrich!D:D,1,FALSE)</f>
        <v>#N/A</v>
      </c>
      <c r="O565" s="6" t="s">
        <v>1498</v>
      </c>
      <c r="P565" s="6" t="s">
        <v>1311</v>
      </c>
      <c r="Q565" s="6" t="s">
        <v>2918</v>
      </c>
      <c r="R565" s="6" t="s">
        <v>2918</v>
      </c>
      <c r="S565" s="6" t="s">
        <v>1329</v>
      </c>
      <c r="T565" s="6" t="s">
        <v>1330</v>
      </c>
      <c r="U565" s="6" t="s">
        <v>1313</v>
      </c>
      <c r="V565" s="6" t="s">
        <v>1314</v>
      </c>
      <c r="W565" s="6">
        <v>2025</v>
      </c>
      <c r="X565" s="6">
        <v>11</v>
      </c>
      <c r="Y565" s="6" t="s">
        <v>1315</v>
      </c>
      <c r="Z565" s="6">
        <v>2025</v>
      </c>
      <c r="AA565" s="6" t="s">
        <v>1316</v>
      </c>
      <c r="AB565" s="6" t="str">
        <f>VLOOKUP(S565,Mapping!A:C,3,FALSE)</f>
        <v>Primary</v>
      </c>
    </row>
    <row r="566" spans="1:28" x14ac:dyDescent="0.35">
      <c r="A566" s="6" t="s">
        <v>1302</v>
      </c>
      <c r="B566" s="6" t="s">
        <v>1303</v>
      </c>
      <c r="C566" s="6" t="s">
        <v>1304</v>
      </c>
      <c r="D566" s="6" t="s">
        <v>1305</v>
      </c>
      <c r="E566" s="6" t="s">
        <v>1306</v>
      </c>
      <c r="F566" s="6" t="s">
        <v>1307</v>
      </c>
      <c r="G566" s="6" t="s">
        <v>1308</v>
      </c>
      <c r="H566" s="6" t="s">
        <v>1657</v>
      </c>
      <c r="I566" s="6">
        <v>0</v>
      </c>
      <c r="J566" s="6">
        <v>122.13</v>
      </c>
      <c r="K566" s="6">
        <v>1</v>
      </c>
      <c r="L566" s="6" t="s">
        <v>1363</v>
      </c>
      <c r="M566" s="6" t="e">
        <f>VLOOKUP(L566,'Nov Inv Recon'!H:H,1,FALSE)</f>
        <v>#N/A</v>
      </c>
      <c r="N566" s="6" t="e">
        <f>VLOOKUP(L566,VictoryHeitrich!D:D,1,FALSE)</f>
        <v>#N/A</v>
      </c>
      <c r="O566" s="6" t="s">
        <v>1364</v>
      </c>
      <c r="P566" s="6" t="s">
        <v>1311</v>
      </c>
      <c r="Q566" s="6" t="s">
        <v>2919</v>
      </c>
      <c r="R566" s="6" t="s">
        <v>2919</v>
      </c>
      <c r="S566" s="6" t="s">
        <v>1329</v>
      </c>
      <c r="T566" s="6" t="s">
        <v>1330</v>
      </c>
      <c r="U566" s="6" t="s">
        <v>1313</v>
      </c>
      <c r="V566" s="6" t="s">
        <v>1314</v>
      </c>
      <c r="W566" s="6">
        <v>2025</v>
      </c>
      <c r="X566" s="6">
        <v>11</v>
      </c>
      <c r="Y566" s="6" t="s">
        <v>1315</v>
      </c>
      <c r="Z566" s="6">
        <v>2025</v>
      </c>
      <c r="AA566" s="6" t="s">
        <v>1316</v>
      </c>
      <c r="AB566" s="6" t="str">
        <f>VLOOKUP(S566,Mapping!A:C,3,FALSE)</f>
        <v>Primary</v>
      </c>
    </row>
    <row r="567" spans="1:28" x14ac:dyDescent="0.35">
      <c r="A567" s="6" t="s">
        <v>1302</v>
      </c>
      <c r="B567" s="6" t="s">
        <v>1303</v>
      </c>
      <c r="C567" s="6" t="s">
        <v>1304</v>
      </c>
      <c r="D567" s="6" t="s">
        <v>1305</v>
      </c>
      <c r="E567" s="6" t="s">
        <v>1306</v>
      </c>
      <c r="F567" s="6" t="s">
        <v>1307</v>
      </c>
      <c r="G567" s="6" t="s">
        <v>1308</v>
      </c>
      <c r="H567" s="6" t="s">
        <v>1842</v>
      </c>
      <c r="I567" s="6">
        <v>0</v>
      </c>
      <c r="J567" s="6">
        <v>0</v>
      </c>
      <c r="K567" s="6">
        <v>1</v>
      </c>
      <c r="L567" s="6" t="s">
        <v>1485</v>
      </c>
      <c r="M567" s="6" t="e">
        <f>VLOOKUP(L567,'Nov Inv Recon'!H:H,1,FALSE)</f>
        <v>#N/A</v>
      </c>
      <c r="N567" s="6" t="e">
        <f>VLOOKUP(L567,VictoryHeitrich!D:D,1,FALSE)</f>
        <v>#N/A</v>
      </c>
      <c r="O567" s="6" t="s">
        <v>1486</v>
      </c>
      <c r="P567" s="6" t="s">
        <v>1311</v>
      </c>
      <c r="Q567" s="6" t="s">
        <v>2920</v>
      </c>
      <c r="R567" s="6" t="s">
        <v>2920</v>
      </c>
      <c r="S567" s="6" t="s">
        <v>1329</v>
      </c>
      <c r="T567" s="6" t="s">
        <v>1330</v>
      </c>
      <c r="U567" s="6" t="s">
        <v>1313</v>
      </c>
      <c r="V567" s="6" t="s">
        <v>1314</v>
      </c>
      <c r="W567" s="6">
        <v>2025</v>
      </c>
      <c r="X567" s="6">
        <v>11</v>
      </c>
      <c r="Y567" s="6" t="s">
        <v>1315</v>
      </c>
      <c r="Z567" s="6">
        <v>2025</v>
      </c>
      <c r="AA567" s="6" t="s">
        <v>1316</v>
      </c>
      <c r="AB567" s="6" t="str">
        <f>VLOOKUP(S567,Mapping!A:C,3,FALSE)</f>
        <v>Primary</v>
      </c>
    </row>
    <row r="568" spans="1:28" x14ac:dyDescent="0.35">
      <c r="A568" s="6" t="s">
        <v>1302</v>
      </c>
      <c r="B568" s="6" t="s">
        <v>1303</v>
      </c>
      <c r="C568" s="6" t="s">
        <v>1304</v>
      </c>
      <c r="D568" s="6" t="s">
        <v>1305</v>
      </c>
      <c r="E568" s="6" t="s">
        <v>1306</v>
      </c>
      <c r="F568" s="6" t="s">
        <v>1307</v>
      </c>
      <c r="G568" s="6" t="s">
        <v>1308</v>
      </c>
      <c r="H568" s="6" t="s">
        <v>1842</v>
      </c>
      <c r="I568" s="6">
        <v>0</v>
      </c>
      <c r="J568" s="6">
        <v>124.14</v>
      </c>
      <c r="K568" s="6">
        <v>1</v>
      </c>
      <c r="L568" s="6" t="s">
        <v>1477</v>
      </c>
      <c r="M568" s="6" t="e">
        <f>VLOOKUP(L568,'Nov Inv Recon'!H:H,1,FALSE)</f>
        <v>#N/A</v>
      </c>
      <c r="N568" s="6" t="e">
        <f>VLOOKUP(L568,VictoryHeitrich!D:D,1,FALSE)</f>
        <v>#N/A</v>
      </c>
      <c r="O568" s="6" t="s">
        <v>1478</v>
      </c>
      <c r="P568" s="6" t="s">
        <v>1311</v>
      </c>
      <c r="Q568" s="6" t="s">
        <v>2921</v>
      </c>
      <c r="R568" s="6" t="s">
        <v>2921</v>
      </c>
      <c r="S568" s="6" t="s">
        <v>1329</v>
      </c>
      <c r="T568" s="6" t="s">
        <v>1330</v>
      </c>
      <c r="U568" s="6" t="s">
        <v>1313</v>
      </c>
      <c r="V568" s="6" t="s">
        <v>1314</v>
      </c>
      <c r="W568" s="6">
        <v>2025</v>
      </c>
      <c r="X568" s="6">
        <v>11</v>
      </c>
      <c r="Y568" s="6" t="s">
        <v>1315</v>
      </c>
      <c r="Z568" s="6">
        <v>2025</v>
      </c>
      <c r="AA568" s="6" t="s">
        <v>1316</v>
      </c>
      <c r="AB568" s="6" t="str">
        <f>VLOOKUP(S568,Mapping!A:C,3,FALSE)</f>
        <v>Primary</v>
      </c>
    </row>
    <row r="569" spans="1:28" x14ac:dyDescent="0.35">
      <c r="A569" s="6" t="s">
        <v>1302</v>
      </c>
      <c r="B569" s="6" t="s">
        <v>1303</v>
      </c>
      <c r="C569" s="6" t="s">
        <v>1304</v>
      </c>
      <c r="D569" s="6" t="s">
        <v>1305</v>
      </c>
      <c r="E569" s="6" t="s">
        <v>1306</v>
      </c>
      <c r="F569" s="6" t="s">
        <v>1307</v>
      </c>
      <c r="G569" s="6" t="s">
        <v>1308</v>
      </c>
      <c r="H569" s="6" t="s">
        <v>1752</v>
      </c>
      <c r="I569" s="6">
        <v>0</v>
      </c>
      <c r="J569" s="6">
        <v>123.81</v>
      </c>
      <c r="K569" s="6">
        <v>1</v>
      </c>
      <c r="L569" s="6" t="s">
        <v>1473</v>
      </c>
      <c r="M569" s="6" t="e">
        <f>VLOOKUP(L569,'Nov Inv Recon'!H:H,1,FALSE)</f>
        <v>#N/A</v>
      </c>
      <c r="N569" s="6" t="e">
        <f>VLOOKUP(L569,VictoryHeitrich!D:D,1,FALSE)</f>
        <v>#N/A</v>
      </c>
      <c r="O569" s="6" t="s">
        <v>1474</v>
      </c>
      <c r="P569" s="6" t="s">
        <v>1311</v>
      </c>
      <c r="Q569" s="6" t="s">
        <v>2922</v>
      </c>
      <c r="R569" s="6" t="s">
        <v>2922</v>
      </c>
      <c r="S569" s="6" t="s">
        <v>1329</v>
      </c>
      <c r="T569" s="6" t="s">
        <v>1330</v>
      </c>
      <c r="U569" s="6" t="s">
        <v>1313</v>
      </c>
      <c r="V569" s="6" t="s">
        <v>1314</v>
      </c>
      <c r="W569" s="6">
        <v>2025</v>
      </c>
      <c r="X569" s="6">
        <v>11</v>
      </c>
      <c r="Y569" s="6" t="s">
        <v>1315</v>
      </c>
      <c r="Z569" s="6">
        <v>2025</v>
      </c>
      <c r="AA569" s="6" t="s">
        <v>1316</v>
      </c>
      <c r="AB569" s="6" t="str">
        <f>VLOOKUP(S569,Mapping!A:C,3,FALSE)</f>
        <v>Primary</v>
      </c>
    </row>
    <row r="570" spans="1:28" x14ac:dyDescent="0.35">
      <c r="A570" s="6" t="s">
        <v>1302</v>
      </c>
      <c r="B570" s="6" t="s">
        <v>1303</v>
      </c>
      <c r="C570" s="6" t="s">
        <v>1304</v>
      </c>
      <c r="D570" s="6" t="s">
        <v>1305</v>
      </c>
      <c r="E570" s="6" t="s">
        <v>1306</v>
      </c>
      <c r="F570" s="6" t="s">
        <v>1307</v>
      </c>
      <c r="G570" s="6" t="s">
        <v>1308</v>
      </c>
      <c r="H570" s="6" t="s">
        <v>1728</v>
      </c>
      <c r="I570" s="6">
        <v>0</v>
      </c>
      <c r="J570" s="6">
        <v>0</v>
      </c>
      <c r="K570" s="6">
        <v>2</v>
      </c>
      <c r="L570" s="6" t="s">
        <v>1459</v>
      </c>
      <c r="M570" s="6" t="e">
        <f>VLOOKUP(L570,'Nov Inv Recon'!H:H,1,FALSE)</f>
        <v>#N/A</v>
      </c>
      <c r="N570" s="6" t="e">
        <f>VLOOKUP(L570,VictoryHeitrich!D:D,1,FALSE)</f>
        <v>#N/A</v>
      </c>
      <c r="O570" s="6" t="s">
        <v>1460</v>
      </c>
      <c r="P570" s="6" t="s">
        <v>1311</v>
      </c>
      <c r="Q570" s="6" t="s">
        <v>2923</v>
      </c>
      <c r="R570" s="6" t="s">
        <v>2923</v>
      </c>
      <c r="S570" s="6" t="s">
        <v>1329</v>
      </c>
      <c r="T570" s="6" t="s">
        <v>1330</v>
      </c>
      <c r="U570" s="6" t="s">
        <v>1313</v>
      </c>
      <c r="V570" s="6" t="s">
        <v>1314</v>
      </c>
      <c r="W570" s="6">
        <v>2025</v>
      </c>
      <c r="X570" s="6">
        <v>11</v>
      </c>
      <c r="Y570" s="6" t="s">
        <v>1315</v>
      </c>
      <c r="Z570" s="6">
        <v>2025</v>
      </c>
      <c r="AA570" s="6" t="s">
        <v>1316</v>
      </c>
      <c r="AB570" s="6" t="str">
        <f>VLOOKUP(S570,Mapping!A:C,3,FALSE)</f>
        <v>Primary</v>
      </c>
    </row>
    <row r="571" spans="1:28" x14ac:dyDescent="0.35">
      <c r="A571" s="6" t="s">
        <v>1302</v>
      </c>
      <c r="B571" s="6" t="s">
        <v>1303</v>
      </c>
      <c r="C571" s="6" t="s">
        <v>1304</v>
      </c>
      <c r="D571" s="6" t="s">
        <v>1305</v>
      </c>
      <c r="E571" s="6" t="s">
        <v>1306</v>
      </c>
      <c r="F571" s="6" t="s">
        <v>1307</v>
      </c>
      <c r="G571" s="6" t="s">
        <v>1308</v>
      </c>
      <c r="H571" s="6" t="s">
        <v>2528</v>
      </c>
      <c r="I571" s="6">
        <v>0</v>
      </c>
      <c r="J571" s="6">
        <v>70.349999999999994</v>
      </c>
      <c r="K571" s="6">
        <v>1</v>
      </c>
      <c r="L571" s="6" t="s">
        <v>2141</v>
      </c>
      <c r="M571" s="6" t="e">
        <f>VLOOKUP(L571,'Nov Inv Recon'!H:H,1,FALSE)</f>
        <v>#N/A</v>
      </c>
      <c r="N571" s="6" t="e">
        <f>VLOOKUP(L571,VictoryHeitrich!D:D,1,FALSE)</f>
        <v>#N/A</v>
      </c>
      <c r="O571" s="6" t="s">
        <v>957</v>
      </c>
      <c r="P571" s="6" t="s">
        <v>1311</v>
      </c>
      <c r="Q571" s="6" t="s">
        <v>2924</v>
      </c>
      <c r="R571" s="6" t="s">
        <v>2924</v>
      </c>
      <c r="S571" s="6" t="s">
        <v>1329</v>
      </c>
      <c r="T571" s="6" t="s">
        <v>1330</v>
      </c>
      <c r="U571" s="6" t="s">
        <v>1313</v>
      </c>
      <c r="V571" s="6" t="s">
        <v>1314</v>
      </c>
      <c r="W571" s="6">
        <v>2025</v>
      </c>
      <c r="X571" s="6">
        <v>11</v>
      </c>
      <c r="Y571" s="6" t="s">
        <v>1315</v>
      </c>
      <c r="Z571" s="6">
        <v>2025</v>
      </c>
      <c r="AA571" s="6" t="s">
        <v>1316</v>
      </c>
      <c r="AB571" s="6" t="str">
        <f>VLOOKUP(S571,Mapping!A:C,3,FALSE)</f>
        <v>Primary</v>
      </c>
    </row>
    <row r="572" spans="1:28" x14ac:dyDescent="0.35">
      <c r="A572" s="6" t="s">
        <v>1302</v>
      </c>
      <c r="B572" s="6" t="s">
        <v>1303</v>
      </c>
      <c r="C572" s="6" t="s">
        <v>1304</v>
      </c>
      <c r="D572" s="6" t="s">
        <v>1305</v>
      </c>
      <c r="E572" s="6" t="s">
        <v>1306</v>
      </c>
      <c r="F572" s="6" t="s">
        <v>1307</v>
      </c>
      <c r="G572" s="6" t="s">
        <v>1308</v>
      </c>
      <c r="H572" s="6" t="s">
        <v>1719</v>
      </c>
      <c r="I572" s="6">
        <v>0</v>
      </c>
      <c r="J572" s="6">
        <v>124.2</v>
      </c>
      <c r="K572" s="6">
        <v>1</v>
      </c>
      <c r="L572" s="6" t="s">
        <v>1447</v>
      </c>
      <c r="M572" s="6" t="e">
        <f>VLOOKUP(L572,'Nov Inv Recon'!H:H,1,FALSE)</f>
        <v>#N/A</v>
      </c>
      <c r="N572" s="6" t="e">
        <f>VLOOKUP(L572,VictoryHeitrich!D:D,1,FALSE)</f>
        <v>#N/A</v>
      </c>
      <c r="O572" s="6" t="s">
        <v>1448</v>
      </c>
      <c r="P572" s="6" t="s">
        <v>1311</v>
      </c>
      <c r="Q572" s="6" t="s">
        <v>2925</v>
      </c>
      <c r="R572" s="6" t="s">
        <v>2925</v>
      </c>
      <c r="S572" s="6" t="s">
        <v>1329</v>
      </c>
      <c r="T572" s="6" t="s">
        <v>1330</v>
      </c>
      <c r="U572" s="6" t="s">
        <v>1313</v>
      </c>
      <c r="V572" s="6" t="s">
        <v>1314</v>
      </c>
      <c r="W572" s="6">
        <v>2025</v>
      </c>
      <c r="X572" s="6">
        <v>11</v>
      </c>
      <c r="Y572" s="6" t="s">
        <v>1315</v>
      </c>
      <c r="Z572" s="6">
        <v>2025</v>
      </c>
      <c r="AA572" s="6" t="s">
        <v>1316</v>
      </c>
      <c r="AB572" s="6" t="str">
        <f>VLOOKUP(S572,Mapping!A:C,3,FALSE)</f>
        <v>Primary</v>
      </c>
    </row>
    <row r="573" spans="1:28" x14ac:dyDescent="0.35">
      <c r="A573" s="6" t="s">
        <v>1302</v>
      </c>
      <c r="B573" s="6" t="s">
        <v>1303</v>
      </c>
      <c r="C573" s="6" t="s">
        <v>1304</v>
      </c>
      <c r="D573" s="6" t="s">
        <v>1305</v>
      </c>
      <c r="E573" s="6" t="s">
        <v>1306</v>
      </c>
      <c r="F573" s="6" t="s">
        <v>1307</v>
      </c>
      <c r="G573" s="6" t="s">
        <v>1308</v>
      </c>
      <c r="H573" s="6" t="s">
        <v>1742</v>
      </c>
      <c r="I573" s="6">
        <v>0</v>
      </c>
      <c r="J573" s="6">
        <v>0</v>
      </c>
      <c r="K573" s="6">
        <v>1</v>
      </c>
      <c r="L573" s="6" t="s">
        <v>1453</v>
      </c>
      <c r="M573" s="6" t="e">
        <f>VLOOKUP(L573,'Nov Inv Recon'!H:H,1,FALSE)</f>
        <v>#N/A</v>
      </c>
      <c r="N573" s="6" t="e">
        <f>VLOOKUP(L573,VictoryHeitrich!D:D,1,FALSE)</f>
        <v>#N/A</v>
      </c>
      <c r="O573" s="6" t="s">
        <v>1454</v>
      </c>
      <c r="P573" s="6" t="s">
        <v>1311</v>
      </c>
      <c r="Q573" s="6" t="s">
        <v>2926</v>
      </c>
      <c r="R573" s="6" t="s">
        <v>2926</v>
      </c>
      <c r="S573" s="6" t="s">
        <v>1329</v>
      </c>
      <c r="T573" s="6" t="s">
        <v>1330</v>
      </c>
      <c r="U573" s="6" t="s">
        <v>1313</v>
      </c>
      <c r="V573" s="6" t="s">
        <v>1314</v>
      </c>
      <c r="W573" s="6">
        <v>2025</v>
      </c>
      <c r="X573" s="6">
        <v>11</v>
      </c>
      <c r="Y573" s="6" t="s">
        <v>1315</v>
      </c>
      <c r="Z573" s="6">
        <v>2025</v>
      </c>
      <c r="AA573" s="6" t="s">
        <v>1316</v>
      </c>
      <c r="AB573" s="6" t="str">
        <f>VLOOKUP(S573,Mapping!A:C,3,FALSE)</f>
        <v>Primary</v>
      </c>
    </row>
    <row r="574" spans="1:28" x14ac:dyDescent="0.35">
      <c r="A574" s="6" t="s">
        <v>1302</v>
      </c>
      <c r="B574" s="6" t="s">
        <v>1303</v>
      </c>
      <c r="C574" s="6" t="s">
        <v>1304</v>
      </c>
      <c r="D574" s="6" t="s">
        <v>1305</v>
      </c>
      <c r="E574" s="6" t="s">
        <v>1306</v>
      </c>
      <c r="F574" s="6" t="s">
        <v>1307</v>
      </c>
      <c r="G574" s="6" t="s">
        <v>1308</v>
      </c>
      <c r="H574" s="6" t="s">
        <v>1777</v>
      </c>
      <c r="I574" s="6">
        <v>0</v>
      </c>
      <c r="J574" s="6">
        <v>65.459999999999994</v>
      </c>
      <c r="K574" s="6">
        <v>1</v>
      </c>
      <c r="L574" s="6" t="s">
        <v>1423</v>
      </c>
      <c r="M574" s="6" t="e">
        <f>VLOOKUP(L574,'Nov Inv Recon'!H:H,1,FALSE)</f>
        <v>#N/A</v>
      </c>
      <c r="N574" s="6" t="e">
        <f>VLOOKUP(L574,VictoryHeitrich!D:D,1,FALSE)</f>
        <v>#N/A</v>
      </c>
      <c r="O574" s="6" t="s">
        <v>1424</v>
      </c>
      <c r="P574" s="6" t="s">
        <v>1311</v>
      </c>
      <c r="Q574" s="6" t="s">
        <v>2927</v>
      </c>
      <c r="R574" s="6" t="s">
        <v>2927</v>
      </c>
      <c r="S574" s="6" t="s">
        <v>1329</v>
      </c>
      <c r="T574" s="6" t="s">
        <v>1330</v>
      </c>
      <c r="U574" s="6" t="s">
        <v>1313</v>
      </c>
      <c r="V574" s="6" t="s">
        <v>1314</v>
      </c>
      <c r="W574" s="6">
        <v>2025</v>
      </c>
      <c r="X574" s="6">
        <v>11</v>
      </c>
      <c r="Y574" s="6" t="s">
        <v>1315</v>
      </c>
      <c r="Z574" s="6">
        <v>2025</v>
      </c>
      <c r="AA574" s="6" t="s">
        <v>1316</v>
      </c>
      <c r="AB574" s="6" t="str">
        <f>VLOOKUP(S574,Mapping!A:C,3,FALSE)</f>
        <v>Primary</v>
      </c>
    </row>
    <row r="575" spans="1:28" x14ac:dyDescent="0.35">
      <c r="A575" s="6" t="s">
        <v>1302</v>
      </c>
      <c r="B575" s="6" t="s">
        <v>1303</v>
      </c>
      <c r="C575" s="6" t="s">
        <v>1304</v>
      </c>
      <c r="D575" s="6" t="s">
        <v>1305</v>
      </c>
      <c r="E575" s="6" t="s">
        <v>1306</v>
      </c>
      <c r="F575" s="6" t="s">
        <v>1307</v>
      </c>
      <c r="G575" s="6" t="s">
        <v>1308</v>
      </c>
      <c r="H575" s="6" t="s">
        <v>1742</v>
      </c>
      <c r="I575" s="6">
        <v>0</v>
      </c>
      <c r="J575" s="6">
        <v>100</v>
      </c>
      <c r="K575" s="6">
        <v>1</v>
      </c>
      <c r="L575" s="6" t="s">
        <v>2155</v>
      </c>
      <c r="M575" s="6" t="e">
        <f>VLOOKUP(L575,'Nov Inv Recon'!H:H,1,FALSE)</f>
        <v>#N/A</v>
      </c>
      <c r="N575" s="6" t="e">
        <f>VLOOKUP(L575,VictoryHeitrich!D:D,1,FALSE)</f>
        <v>#N/A</v>
      </c>
      <c r="O575" s="6" t="s">
        <v>317</v>
      </c>
      <c r="P575" s="6" t="s">
        <v>1311</v>
      </c>
      <c r="Q575" s="6" t="s">
        <v>2928</v>
      </c>
      <c r="R575" s="6" t="s">
        <v>2928</v>
      </c>
      <c r="S575" s="6" t="s">
        <v>1329</v>
      </c>
      <c r="T575" s="6" t="s">
        <v>1330</v>
      </c>
      <c r="U575" s="6" t="s">
        <v>1313</v>
      </c>
      <c r="V575" s="6" t="s">
        <v>1314</v>
      </c>
      <c r="W575" s="6">
        <v>2025</v>
      </c>
      <c r="X575" s="6">
        <v>11</v>
      </c>
      <c r="Y575" s="6" t="s">
        <v>1315</v>
      </c>
      <c r="Z575" s="6">
        <v>2025</v>
      </c>
      <c r="AA575" s="6" t="s">
        <v>1316</v>
      </c>
      <c r="AB575" s="6" t="str">
        <f>VLOOKUP(S575,Mapping!A:C,3,FALSE)</f>
        <v>Primary</v>
      </c>
    </row>
    <row r="576" spans="1:28" x14ac:dyDescent="0.35">
      <c r="A576" s="6" t="s">
        <v>1302</v>
      </c>
      <c r="B576" s="6" t="s">
        <v>1303</v>
      </c>
      <c r="C576" s="6" t="s">
        <v>1304</v>
      </c>
      <c r="D576" s="6" t="s">
        <v>1305</v>
      </c>
      <c r="E576" s="6" t="s">
        <v>1306</v>
      </c>
      <c r="F576" s="6" t="s">
        <v>1307</v>
      </c>
      <c r="G576" s="6" t="s">
        <v>1308</v>
      </c>
      <c r="H576" s="6" t="s">
        <v>1742</v>
      </c>
      <c r="I576" s="6">
        <v>0</v>
      </c>
      <c r="J576" s="6">
        <v>0</v>
      </c>
      <c r="K576" s="6">
        <v>1</v>
      </c>
      <c r="L576" s="6" t="s">
        <v>1429</v>
      </c>
      <c r="M576" s="6" t="e">
        <f>VLOOKUP(L576,'Nov Inv Recon'!H:H,1,FALSE)</f>
        <v>#N/A</v>
      </c>
      <c r="N576" s="6" t="e">
        <f>VLOOKUP(L576,VictoryHeitrich!D:D,1,FALSE)</f>
        <v>#N/A</v>
      </c>
      <c r="O576" s="6" t="s">
        <v>1430</v>
      </c>
      <c r="P576" s="6" t="s">
        <v>1311</v>
      </c>
      <c r="Q576" s="6" t="s">
        <v>2929</v>
      </c>
      <c r="R576" s="6" t="s">
        <v>2929</v>
      </c>
      <c r="S576" s="6" t="s">
        <v>1329</v>
      </c>
      <c r="T576" s="6" t="s">
        <v>1330</v>
      </c>
      <c r="U576" s="6" t="s">
        <v>1313</v>
      </c>
      <c r="V576" s="6" t="s">
        <v>1314</v>
      </c>
      <c r="W576" s="6">
        <v>2025</v>
      </c>
      <c r="X576" s="6">
        <v>11</v>
      </c>
      <c r="Y576" s="6" t="s">
        <v>1315</v>
      </c>
      <c r="Z576" s="6">
        <v>2025</v>
      </c>
      <c r="AA576" s="6" t="s">
        <v>1316</v>
      </c>
      <c r="AB576" s="6" t="str">
        <f>VLOOKUP(S576,Mapping!A:C,3,FALSE)</f>
        <v>Primary</v>
      </c>
    </row>
    <row r="577" spans="1:28" x14ac:dyDescent="0.35">
      <c r="A577" s="6" t="s">
        <v>1302</v>
      </c>
      <c r="B577" s="6" t="s">
        <v>1303</v>
      </c>
      <c r="C577" s="6" t="s">
        <v>1304</v>
      </c>
      <c r="D577" s="6" t="s">
        <v>1305</v>
      </c>
      <c r="E577" s="6" t="s">
        <v>1306</v>
      </c>
      <c r="F577" s="6" t="s">
        <v>1307</v>
      </c>
      <c r="G577" s="6" t="s">
        <v>1308</v>
      </c>
      <c r="H577" s="6" t="s">
        <v>1682</v>
      </c>
      <c r="I577" s="6">
        <v>0</v>
      </c>
      <c r="J577" s="6">
        <v>0</v>
      </c>
      <c r="K577" s="6">
        <v>1</v>
      </c>
      <c r="L577" s="6" t="s">
        <v>1457</v>
      </c>
      <c r="M577" s="6" t="e">
        <f>VLOOKUP(L577,'Nov Inv Recon'!H:H,1,FALSE)</f>
        <v>#N/A</v>
      </c>
      <c r="N577" s="6" t="e">
        <f>VLOOKUP(L577,VictoryHeitrich!D:D,1,FALSE)</f>
        <v>#N/A</v>
      </c>
      <c r="O577" s="6" t="s">
        <v>1458</v>
      </c>
      <c r="P577" s="6" t="s">
        <v>1311</v>
      </c>
      <c r="Q577" s="6" t="s">
        <v>2930</v>
      </c>
      <c r="R577" s="6" t="s">
        <v>2930</v>
      </c>
      <c r="S577" s="6" t="s">
        <v>1329</v>
      </c>
      <c r="T577" s="6" t="s">
        <v>1330</v>
      </c>
      <c r="U577" s="6" t="s">
        <v>1313</v>
      </c>
      <c r="V577" s="6" t="s">
        <v>1314</v>
      </c>
      <c r="W577" s="6">
        <v>2025</v>
      </c>
      <c r="X577" s="6">
        <v>11</v>
      </c>
      <c r="Y577" s="6" t="s">
        <v>1315</v>
      </c>
      <c r="Z577" s="6">
        <v>2025</v>
      </c>
      <c r="AA577" s="6" t="s">
        <v>1316</v>
      </c>
      <c r="AB577" s="6" t="str">
        <f>VLOOKUP(S577,Mapping!A:C,3,FALSE)</f>
        <v>Primary</v>
      </c>
    </row>
    <row r="578" spans="1:28" x14ac:dyDescent="0.35">
      <c r="A578" s="6" t="s">
        <v>1302</v>
      </c>
      <c r="B578" s="6" t="s">
        <v>1303</v>
      </c>
      <c r="C578" s="6" t="s">
        <v>1304</v>
      </c>
      <c r="D578" s="6" t="s">
        <v>1305</v>
      </c>
      <c r="E578" s="6" t="s">
        <v>1306</v>
      </c>
      <c r="F578" s="6" t="s">
        <v>1307</v>
      </c>
      <c r="G578" s="6" t="s">
        <v>1308</v>
      </c>
      <c r="H578" s="6" t="s">
        <v>1742</v>
      </c>
      <c r="I578" s="6">
        <v>0</v>
      </c>
      <c r="J578" s="6">
        <v>104</v>
      </c>
      <c r="K578" s="6">
        <v>1</v>
      </c>
      <c r="L578" s="6" t="s">
        <v>1405</v>
      </c>
      <c r="M578" s="6" t="e">
        <f>VLOOKUP(L578,'Nov Inv Recon'!H:H,1,FALSE)</f>
        <v>#N/A</v>
      </c>
      <c r="N578" s="6" t="e">
        <f>VLOOKUP(L578,VictoryHeitrich!D:D,1,FALSE)</f>
        <v>#N/A</v>
      </c>
      <c r="O578" s="6" t="s">
        <v>1406</v>
      </c>
      <c r="P578" s="6" t="s">
        <v>1311</v>
      </c>
      <c r="Q578" s="6" t="s">
        <v>2931</v>
      </c>
      <c r="R578" s="6" t="s">
        <v>2931</v>
      </c>
      <c r="S578" s="6" t="s">
        <v>1329</v>
      </c>
      <c r="T578" s="6" t="s">
        <v>1330</v>
      </c>
      <c r="U578" s="6" t="s">
        <v>1313</v>
      </c>
      <c r="V578" s="6" t="s">
        <v>1314</v>
      </c>
      <c r="W578" s="6">
        <v>2025</v>
      </c>
      <c r="X578" s="6">
        <v>11</v>
      </c>
      <c r="Y578" s="6" t="s">
        <v>1315</v>
      </c>
      <c r="Z578" s="6">
        <v>2025</v>
      </c>
      <c r="AA578" s="6" t="s">
        <v>1316</v>
      </c>
      <c r="AB578" s="6" t="str">
        <f>VLOOKUP(S578,Mapping!A:C,3,FALSE)</f>
        <v>Primary</v>
      </c>
    </row>
    <row r="579" spans="1:28" x14ac:dyDescent="0.35">
      <c r="A579" s="6" t="s">
        <v>1302</v>
      </c>
      <c r="B579" s="6" t="s">
        <v>1303</v>
      </c>
      <c r="C579" s="6" t="s">
        <v>1304</v>
      </c>
      <c r="D579" s="6" t="s">
        <v>1305</v>
      </c>
      <c r="E579" s="6" t="s">
        <v>1306</v>
      </c>
      <c r="F579" s="6" t="s">
        <v>1307</v>
      </c>
      <c r="G579" s="6" t="s">
        <v>1308</v>
      </c>
      <c r="H579" s="6" t="s">
        <v>1765</v>
      </c>
      <c r="I579" s="6">
        <v>0</v>
      </c>
      <c r="J579" s="6">
        <v>70.349999999999994</v>
      </c>
      <c r="K579" s="6">
        <v>1</v>
      </c>
      <c r="L579" s="6" t="s">
        <v>1425</v>
      </c>
      <c r="M579" s="6" t="e">
        <f>VLOOKUP(L579,'Nov Inv Recon'!H:H,1,FALSE)</f>
        <v>#N/A</v>
      </c>
      <c r="N579" s="6" t="e">
        <f>VLOOKUP(L579,VictoryHeitrich!D:D,1,FALSE)</f>
        <v>#N/A</v>
      </c>
      <c r="O579" s="6" t="s">
        <v>1426</v>
      </c>
      <c r="P579" s="6" t="s">
        <v>1311</v>
      </c>
      <c r="Q579" s="6" t="s">
        <v>2932</v>
      </c>
      <c r="R579" s="6" t="s">
        <v>2932</v>
      </c>
      <c r="S579" s="6" t="s">
        <v>1329</v>
      </c>
      <c r="T579" s="6" t="s">
        <v>1330</v>
      </c>
      <c r="U579" s="6" t="s">
        <v>1313</v>
      </c>
      <c r="V579" s="6" t="s">
        <v>1314</v>
      </c>
      <c r="W579" s="6">
        <v>2025</v>
      </c>
      <c r="X579" s="6">
        <v>11</v>
      </c>
      <c r="Y579" s="6" t="s">
        <v>1315</v>
      </c>
      <c r="Z579" s="6">
        <v>2025</v>
      </c>
      <c r="AA579" s="6" t="s">
        <v>1316</v>
      </c>
      <c r="AB579" s="6" t="str">
        <f>VLOOKUP(S579,Mapping!A:C,3,FALSE)</f>
        <v>Primary</v>
      </c>
    </row>
    <row r="580" spans="1:28" x14ac:dyDescent="0.35">
      <c r="A580" s="6" t="s">
        <v>1302</v>
      </c>
      <c r="B580" s="6" t="s">
        <v>1303</v>
      </c>
      <c r="C580" s="6" t="s">
        <v>1304</v>
      </c>
      <c r="D580" s="6" t="s">
        <v>1305</v>
      </c>
      <c r="E580" s="6" t="s">
        <v>1306</v>
      </c>
      <c r="F580" s="6" t="s">
        <v>1307</v>
      </c>
      <c r="G580" s="6" t="s">
        <v>1308</v>
      </c>
      <c r="H580" s="6" t="s">
        <v>1742</v>
      </c>
      <c r="I580" s="6">
        <v>0</v>
      </c>
      <c r="J580" s="6">
        <v>104</v>
      </c>
      <c r="K580" s="6">
        <v>1</v>
      </c>
      <c r="L580" s="6" t="s">
        <v>1467</v>
      </c>
      <c r="M580" s="6" t="e">
        <f>VLOOKUP(L580,'Nov Inv Recon'!H:H,1,FALSE)</f>
        <v>#N/A</v>
      </c>
      <c r="N580" s="6" t="e">
        <f>VLOOKUP(L580,VictoryHeitrich!D:D,1,FALSE)</f>
        <v>#N/A</v>
      </c>
      <c r="O580" s="6" t="s">
        <v>1468</v>
      </c>
      <c r="P580" s="6" t="s">
        <v>1311</v>
      </c>
      <c r="Q580" s="6" t="s">
        <v>2933</v>
      </c>
      <c r="R580" s="6" t="s">
        <v>2933</v>
      </c>
      <c r="S580" s="6" t="s">
        <v>1329</v>
      </c>
      <c r="T580" s="6" t="s">
        <v>1330</v>
      </c>
      <c r="U580" s="6" t="s">
        <v>1313</v>
      </c>
      <c r="V580" s="6" t="s">
        <v>1314</v>
      </c>
      <c r="W580" s="6">
        <v>2025</v>
      </c>
      <c r="X580" s="6">
        <v>11</v>
      </c>
      <c r="Y580" s="6" t="s">
        <v>1315</v>
      </c>
      <c r="Z580" s="6">
        <v>2025</v>
      </c>
      <c r="AA580" s="6" t="s">
        <v>1316</v>
      </c>
      <c r="AB580" s="6" t="str">
        <f>VLOOKUP(S580,Mapping!A:C,3,FALSE)</f>
        <v>Primary</v>
      </c>
    </row>
    <row r="581" spans="1:28" x14ac:dyDescent="0.35">
      <c r="A581" s="6" t="s">
        <v>1302</v>
      </c>
      <c r="B581" s="6" t="s">
        <v>1303</v>
      </c>
      <c r="C581" s="6" t="s">
        <v>1304</v>
      </c>
      <c r="D581" s="6" t="s">
        <v>1305</v>
      </c>
      <c r="E581" s="6" t="s">
        <v>1306</v>
      </c>
      <c r="F581" s="6" t="s">
        <v>1307</v>
      </c>
      <c r="G581" s="6" t="s">
        <v>1308</v>
      </c>
      <c r="H581" s="6" t="s">
        <v>1842</v>
      </c>
      <c r="I581" s="6">
        <v>0</v>
      </c>
      <c r="J581" s="6">
        <v>124.2</v>
      </c>
      <c r="K581" s="6">
        <v>1</v>
      </c>
      <c r="L581" s="6" t="s">
        <v>1441</v>
      </c>
      <c r="M581" s="6" t="e">
        <f>VLOOKUP(L581,'Nov Inv Recon'!H:H,1,FALSE)</f>
        <v>#N/A</v>
      </c>
      <c r="N581" s="6" t="e">
        <f>VLOOKUP(L581,VictoryHeitrich!D:D,1,FALSE)</f>
        <v>#N/A</v>
      </c>
      <c r="O581" s="6" t="s">
        <v>1442</v>
      </c>
      <c r="P581" s="6" t="s">
        <v>1311</v>
      </c>
      <c r="Q581" s="6" t="s">
        <v>2934</v>
      </c>
      <c r="R581" s="6" t="s">
        <v>2934</v>
      </c>
      <c r="S581" s="6" t="s">
        <v>1329</v>
      </c>
      <c r="T581" s="6" t="s">
        <v>1330</v>
      </c>
      <c r="U581" s="6" t="s">
        <v>1313</v>
      </c>
      <c r="V581" s="6" t="s">
        <v>1314</v>
      </c>
      <c r="W581" s="6">
        <v>2025</v>
      </c>
      <c r="X581" s="6">
        <v>11</v>
      </c>
      <c r="Y581" s="6" t="s">
        <v>1315</v>
      </c>
      <c r="Z581" s="6">
        <v>2025</v>
      </c>
      <c r="AA581" s="6" t="s">
        <v>1316</v>
      </c>
      <c r="AB581" s="6" t="str">
        <f>VLOOKUP(S581,Mapping!A:C,3,FALSE)</f>
        <v>Primary</v>
      </c>
    </row>
    <row r="582" spans="1:28" x14ac:dyDescent="0.35">
      <c r="A582" s="6" t="s">
        <v>1302</v>
      </c>
      <c r="B582" s="6" t="s">
        <v>1303</v>
      </c>
      <c r="C582" s="6" t="s">
        <v>1304</v>
      </c>
      <c r="D582" s="6" t="s">
        <v>1305</v>
      </c>
      <c r="E582" s="6" t="s">
        <v>1306</v>
      </c>
      <c r="F582" s="6" t="s">
        <v>1307</v>
      </c>
      <c r="G582" s="6" t="s">
        <v>1308</v>
      </c>
      <c r="H582" s="6" t="s">
        <v>1682</v>
      </c>
      <c r="I582" s="6">
        <v>0</v>
      </c>
      <c r="J582" s="6">
        <v>74.94</v>
      </c>
      <c r="K582" s="6">
        <v>1</v>
      </c>
      <c r="L582" s="6" t="s">
        <v>1523</v>
      </c>
      <c r="M582" s="6" t="e">
        <f>VLOOKUP(L582,'Nov Inv Recon'!H:H,1,FALSE)</f>
        <v>#N/A</v>
      </c>
      <c r="N582" s="6" t="e">
        <f>VLOOKUP(L582,VictoryHeitrich!D:D,1,FALSE)</f>
        <v>#N/A</v>
      </c>
      <c r="O582" s="6" t="s">
        <v>1524</v>
      </c>
      <c r="P582" s="6" t="s">
        <v>1311</v>
      </c>
      <c r="Q582" s="6" t="s">
        <v>2935</v>
      </c>
      <c r="R582" s="6" t="s">
        <v>2935</v>
      </c>
      <c r="S582" s="6" t="s">
        <v>1329</v>
      </c>
      <c r="T582" s="6" t="s">
        <v>1330</v>
      </c>
      <c r="U582" s="6" t="s">
        <v>1313</v>
      </c>
      <c r="V582" s="6" t="s">
        <v>1314</v>
      </c>
      <c r="W582" s="6">
        <v>2025</v>
      </c>
      <c r="X582" s="6">
        <v>11</v>
      </c>
      <c r="Y582" s="6" t="s">
        <v>1315</v>
      </c>
      <c r="Z582" s="6">
        <v>2025</v>
      </c>
      <c r="AA582" s="6" t="s">
        <v>1316</v>
      </c>
      <c r="AB582" s="6" t="str">
        <f>VLOOKUP(S582,Mapping!A:C,3,FALSE)</f>
        <v>Primary</v>
      </c>
    </row>
    <row r="583" spans="1:28" x14ac:dyDescent="0.35">
      <c r="A583" s="6" t="s">
        <v>1302</v>
      </c>
      <c r="B583" s="6" t="s">
        <v>1303</v>
      </c>
      <c r="C583" s="6" t="s">
        <v>1304</v>
      </c>
      <c r="D583" s="6" t="s">
        <v>1305</v>
      </c>
      <c r="E583" s="6" t="s">
        <v>1306</v>
      </c>
      <c r="F583" s="6" t="s">
        <v>1307</v>
      </c>
      <c r="G583" s="6" t="s">
        <v>1308</v>
      </c>
      <c r="H583" s="6" t="s">
        <v>1657</v>
      </c>
      <c r="I583" s="6">
        <v>0</v>
      </c>
      <c r="J583" s="6">
        <v>65.459999999999994</v>
      </c>
      <c r="K583" s="6">
        <v>1</v>
      </c>
      <c r="L583" s="6" t="s">
        <v>1353</v>
      </c>
      <c r="M583" s="6" t="e">
        <f>VLOOKUP(L583,'Nov Inv Recon'!H:H,1,FALSE)</f>
        <v>#N/A</v>
      </c>
      <c r="N583" s="6" t="e">
        <f>VLOOKUP(L583,VictoryHeitrich!D:D,1,FALSE)</f>
        <v>#N/A</v>
      </c>
      <c r="O583" s="6" t="s">
        <v>1354</v>
      </c>
      <c r="P583" s="6" t="s">
        <v>1311</v>
      </c>
      <c r="Q583" s="6" t="s">
        <v>2936</v>
      </c>
      <c r="R583" s="6" t="s">
        <v>2936</v>
      </c>
      <c r="S583" s="6" t="s">
        <v>1329</v>
      </c>
      <c r="T583" s="6" t="s">
        <v>1330</v>
      </c>
      <c r="U583" s="6" t="s">
        <v>1313</v>
      </c>
      <c r="V583" s="6" t="s">
        <v>1314</v>
      </c>
      <c r="W583" s="6">
        <v>2025</v>
      </c>
      <c r="X583" s="6">
        <v>11</v>
      </c>
      <c r="Y583" s="6" t="s">
        <v>1315</v>
      </c>
      <c r="Z583" s="6">
        <v>2025</v>
      </c>
      <c r="AA583" s="6" t="s">
        <v>1316</v>
      </c>
      <c r="AB583" s="6" t="str">
        <f>VLOOKUP(S583,Mapping!A:C,3,FALSE)</f>
        <v>Primary</v>
      </c>
    </row>
    <row r="584" spans="1:28" x14ac:dyDescent="0.35">
      <c r="A584" s="6" t="s">
        <v>1302</v>
      </c>
      <c r="B584" s="6" t="s">
        <v>1303</v>
      </c>
      <c r="C584" s="6" t="s">
        <v>1304</v>
      </c>
      <c r="D584" s="6" t="s">
        <v>1305</v>
      </c>
      <c r="E584" s="6" t="s">
        <v>1306</v>
      </c>
      <c r="F584" s="6" t="s">
        <v>1307</v>
      </c>
      <c r="G584" s="6" t="s">
        <v>1308</v>
      </c>
      <c r="H584" s="6" t="s">
        <v>1657</v>
      </c>
      <c r="I584" s="6">
        <v>0</v>
      </c>
      <c r="J584" s="6">
        <v>65.459999999999994</v>
      </c>
      <c r="K584" s="6">
        <v>1</v>
      </c>
      <c r="L584" s="6" t="s">
        <v>1361</v>
      </c>
      <c r="M584" s="6" t="e">
        <f>VLOOKUP(L584,'Nov Inv Recon'!H:H,1,FALSE)</f>
        <v>#N/A</v>
      </c>
      <c r="N584" s="6" t="e">
        <f>VLOOKUP(L584,VictoryHeitrich!D:D,1,FALSE)</f>
        <v>#N/A</v>
      </c>
      <c r="O584" s="6" t="s">
        <v>1362</v>
      </c>
      <c r="P584" s="6" t="s">
        <v>1311</v>
      </c>
      <c r="Q584" s="6" t="s">
        <v>2937</v>
      </c>
      <c r="R584" s="6" t="s">
        <v>2937</v>
      </c>
      <c r="S584" s="6" t="s">
        <v>1329</v>
      </c>
      <c r="T584" s="6" t="s">
        <v>1330</v>
      </c>
      <c r="U584" s="6" t="s">
        <v>1313</v>
      </c>
      <c r="V584" s="6" t="s">
        <v>1314</v>
      </c>
      <c r="W584" s="6">
        <v>2025</v>
      </c>
      <c r="X584" s="6">
        <v>11</v>
      </c>
      <c r="Y584" s="6" t="s">
        <v>1315</v>
      </c>
      <c r="Z584" s="6">
        <v>2025</v>
      </c>
      <c r="AA584" s="6" t="s">
        <v>1316</v>
      </c>
      <c r="AB584" s="6" t="str">
        <f>VLOOKUP(S584,Mapping!A:C,3,FALSE)</f>
        <v>Primary</v>
      </c>
    </row>
    <row r="585" spans="1:28" x14ac:dyDescent="0.35">
      <c r="A585" s="6" t="s">
        <v>1302</v>
      </c>
      <c r="B585" s="6" t="s">
        <v>1303</v>
      </c>
      <c r="C585" s="6" t="s">
        <v>1304</v>
      </c>
      <c r="D585" s="6" t="s">
        <v>1305</v>
      </c>
      <c r="E585" s="6" t="s">
        <v>1306</v>
      </c>
      <c r="F585" s="6" t="s">
        <v>1307</v>
      </c>
      <c r="G585" s="6" t="s">
        <v>1308</v>
      </c>
      <c r="H585" s="6" t="s">
        <v>1742</v>
      </c>
      <c r="I585" s="6">
        <v>0</v>
      </c>
      <c r="J585" s="6">
        <v>0</v>
      </c>
      <c r="K585" s="6">
        <v>1</v>
      </c>
      <c r="L585" s="6" t="s">
        <v>1375</v>
      </c>
      <c r="M585" s="6" t="e">
        <f>VLOOKUP(L585,'Nov Inv Recon'!H:H,1,FALSE)</f>
        <v>#N/A</v>
      </c>
      <c r="N585" s="6" t="e">
        <f>VLOOKUP(L585,VictoryHeitrich!D:D,1,FALSE)</f>
        <v>#N/A</v>
      </c>
      <c r="O585" s="6" t="s">
        <v>1376</v>
      </c>
      <c r="P585" s="6" t="s">
        <v>1311</v>
      </c>
      <c r="Q585" s="6" t="s">
        <v>2938</v>
      </c>
      <c r="R585" s="6" t="s">
        <v>2938</v>
      </c>
      <c r="S585" s="6" t="s">
        <v>1329</v>
      </c>
      <c r="T585" s="6" t="s">
        <v>1330</v>
      </c>
      <c r="U585" s="6" t="s">
        <v>1313</v>
      </c>
      <c r="V585" s="6" t="s">
        <v>1314</v>
      </c>
      <c r="W585" s="6">
        <v>2025</v>
      </c>
      <c r="X585" s="6">
        <v>11</v>
      </c>
      <c r="Y585" s="6" t="s">
        <v>1315</v>
      </c>
      <c r="Z585" s="6">
        <v>2025</v>
      </c>
      <c r="AA585" s="6" t="s">
        <v>1316</v>
      </c>
      <c r="AB585" s="6" t="str">
        <f>VLOOKUP(S585,Mapping!A:C,3,FALSE)</f>
        <v>Primary</v>
      </c>
    </row>
    <row r="586" spans="1:28" x14ac:dyDescent="0.35">
      <c r="A586" s="6" t="s">
        <v>1302</v>
      </c>
      <c r="B586" s="6" t="s">
        <v>1303</v>
      </c>
      <c r="C586" s="6" t="s">
        <v>1304</v>
      </c>
      <c r="D586" s="6" t="s">
        <v>1305</v>
      </c>
      <c r="E586" s="6" t="s">
        <v>1306</v>
      </c>
      <c r="F586" s="6" t="s">
        <v>1307</v>
      </c>
      <c r="G586" s="6" t="s">
        <v>1308</v>
      </c>
      <c r="H586" s="6" t="s">
        <v>1742</v>
      </c>
      <c r="I586" s="6">
        <v>0</v>
      </c>
      <c r="J586" s="6">
        <v>0</v>
      </c>
      <c r="K586" s="6">
        <v>1</v>
      </c>
      <c r="L586" s="6" t="s">
        <v>1381</v>
      </c>
      <c r="M586" s="6" t="e">
        <f>VLOOKUP(L586,'Nov Inv Recon'!H:H,1,FALSE)</f>
        <v>#N/A</v>
      </c>
      <c r="N586" s="6" t="e">
        <f>VLOOKUP(L586,VictoryHeitrich!D:D,1,FALSE)</f>
        <v>#N/A</v>
      </c>
      <c r="O586" s="6" t="s">
        <v>1382</v>
      </c>
      <c r="P586" s="6" t="s">
        <v>1311</v>
      </c>
      <c r="Q586" s="6" t="s">
        <v>2939</v>
      </c>
      <c r="R586" s="6" t="s">
        <v>2939</v>
      </c>
      <c r="S586" s="6" t="s">
        <v>1329</v>
      </c>
      <c r="T586" s="6" t="s">
        <v>1330</v>
      </c>
      <c r="U586" s="6" t="s">
        <v>1313</v>
      </c>
      <c r="V586" s="6" t="s">
        <v>1314</v>
      </c>
      <c r="W586" s="6">
        <v>2025</v>
      </c>
      <c r="X586" s="6">
        <v>11</v>
      </c>
      <c r="Y586" s="6" t="s">
        <v>1315</v>
      </c>
      <c r="Z586" s="6">
        <v>2025</v>
      </c>
      <c r="AA586" s="6" t="s">
        <v>1316</v>
      </c>
      <c r="AB586" s="6" t="str">
        <f>VLOOKUP(S586,Mapping!A:C,3,FALSE)</f>
        <v>Primary</v>
      </c>
    </row>
    <row r="587" spans="1:28" x14ac:dyDescent="0.35">
      <c r="A587" s="6" t="s">
        <v>1302</v>
      </c>
      <c r="B587" s="6" t="s">
        <v>1303</v>
      </c>
      <c r="C587" s="6" t="s">
        <v>1304</v>
      </c>
      <c r="D587" s="6" t="s">
        <v>1305</v>
      </c>
      <c r="E587" s="6" t="s">
        <v>1306</v>
      </c>
      <c r="F587" s="6" t="s">
        <v>1307</v>
      </c>
      <c r="G587" s="6" t="s">
        <v>1308</v>
      </c>
      <c r="H587" s="6" t="s">
        <v>1777</v>
      </c>
      <c r="I587" s="6">
        <v>0</v>
      </c>
      <c r="J587" s="6">
        <v>65.459999999999994</v>
      </c>
      <c r="K587" s="6">
        <v>1</v>
      </c>
      <c r="L587" s="6" t="s">
        <v>1357</v>
      </c>
      <c r="M587" s="6" t="e">
        <f>VLOOKUP(L587,'Nov Inv Recon'!H:H,1,FALSE)</f>
        <v>#N/A</v>
      </c>
      <c r="N587" s="6" t="e">
        <f>VLOOKUP(L587,VictoryHeitrich!D:D,1,FALSE)</f>
        <v>#N/A</v>
      </c>
      <c r="O587" s="6" t="s">
        <v>1358</v>
      </c>
      <c r="P587" s="6" t="s">
        <v>1311</v>
      </c>
      <c r="Q587" s="6" t="s">
        <v>2940</v>
      </c>
      <c r="R587" s="6" t="s">
        <v>2940</v>
      </c>
      <c r="S587" s="6" t="s">
        <v>1329</v>
      </c>
      <c r="T587" s="6" t="s">
        <v>1330</v>
      </c>
      <c r="U587" s="6" t="s">
        <v>1313</v>
      </c>
      <c r="V587" s="6" t="s">
        <v>1314</v>
      </c>
      <c r="W587" s="6">
        <v>2025</v>
      </c>
      <c r="X587" s="6">
        <v>11</v>
      </c>
      <c r="Y587" s="6" t="s">
        <v>1315</v>
      </c>
      <c r="Z587" s="6">
        <v>2025</v>
      </c>
      <c r="AA587" s="6" t="s">
        <v>1316</v>
      </c>
      <c r="AB587" s="6" t="str">
        <f>VLOOKUP(S587,Mapping!A:C,3,FALSE)</f>
        <v>Primary</v>
      </c>
    </row>
    <row r="588" spans="1:28" x14ac:dyDescent="0.35">
      <c r="A588" s="6" t="s">
        <v>1302</v>
      </c>
      <c r="B588" s="6" t="s">
        <v>1303</v>
      </c>
      <c r="C588" s="6" t="s">
        <v>1304</v>
      </c>
      <c r="D588" s="6" t="s">
        <v>1305</v>
      </c>
      <c r="E588" s="6" t="s">
        <v>1306</v>
      </c>
      <c r="F588" s="6" t="s">
        <v>1307</v>
      </c>
      <c r="G588" s="6" t="s">
        <v>1308</v>
      </c>
      <c r="H588" s="6" t="s">
        <v>1742</v>
      </c>
      <c r="I588" s="6">
        <v>0</v>
      </c>
      <c r="J588" s="6">
        <v>104</v>
      </c>
      <c r="K588" s="6">
        <v>1</v>
      </c>
      <c r="L588" s="6" t="s">
        <v>1413</v>
      </c>
      <c r="M588" s="6" t="e">
        <f>VLOOKUP(L588,'Nov Inv Recon'!H:H,1,FALSE)</f>
        <v>#N/A</v>
      </c>
      <c r="N588" s="6" t="e">
        <f>VLOOKUP(L588,VictoryHeitrich!D:D,1,FALSE)</f>
        <v>#N/A</v>
      </c>
      <c r="O588" s="6" t="s">
        <v>1414</v>
      </c>
      <c r="P588" s="6" t="s">
        <v>1311</v>
      </c>
      <c r="Q588" s="6" t="s">
        <v>2941</v>
      </c>
      <c r="R588" s="6" t="s">
        <v>2941</v>
      </c>
      <c r="S588" s="6" t="s">
        <v>1329</v>
      </c>
      <c r="T588" s="6" t="s">
        <v>1330</v>
      </c>
      <c r="U588" s="6" t="s">
        <v>1313</v>
      </c>
      <c r="V588" s="6" t="s">
        <v>1314</v>
      </c>
      <c r="W588" s="6">
        <v>2025</v>
      </c>
      <c r="X588" s="6">
        <v>11</v>
      </c>
      <c r="Y588" s="6" t="s">
        <v>1315</v>
      </c>
      <c r="Z588" s="6">
        <v>2025</v>
      </c>
      <c r="AA588" s="6" t="s">
        <v>1316</v>
      </c>
      <c r="AB588" s="6" t="str">
        <f>VLOOKUP(S588,Mapping!A:C,3,FALSE)</f>
        <v>Primary</v>
      </c>
    </row>
    <row r="589" spans="1:28" x14ac:dyDescent="0.35">
      <c r="A589" s="6" t="s">
        <v>1302</v>
      </c>
      <c r="B589" s="6" t="s">
        <v>1303</v>
      </c>
      <c r="C589" s="6" t="s">
        <v>1304</v>
      </c>
      <c r="D589" s="6" t="s">
        <v>1305</v>
      </c>
      <c r="E589" s="6" t="s">
        <v>1306</v>
      </c>
      <c r="F589" s="6" t="s">
        <v>1307</v>
      </c>
      <c r="G589" s="6" t="s">
        <v>1308</v>
      </c>
      <c r="H589" s="6" t="s">
        <v>1657</v>
      </c>
      <c r="I589" s="6">
        <v>0</v>
      </c>
      <c r="J589" s="6">
        <v>65.459999999999994</v>
      </c>
      <c r="K589" s="6">
        <v>1</v>
      </c>
      <c r="L589" s="6" t="s">
        <v>1333</v>
      </c>
      <c r="M589" s="6" t="e">
        <f>VLOOKUP(L589,'Nov Inv Recon'!H:H,1,FALSE)</f>
        <v>#N/A</v>
      </c>
      <c r="N589" s="6" t="e">
        <f>VLOOKUP(L589,VictoryHeitrich!D:D,1,FALSE)</f>
        <v>#N/A</v>
      </c>
      <c r="O589" s="6" t="s">
        <v>1334</v>
      </c>
      <c r="P589" s="6" t="s">
        <v>1311</v>
      </c>
      <c r="Q589" s="6" t="s">
        <v>2942</v>
      </c>
      <c r="R589" s="6" t="s">
        <v>2942</v>
      </c>
      <c r="S589" s="6" t="s">
        <v>1329</v>
      </c>
      <c r="T589" s="6" t="s">
        <v>1330</v>
      </c>
      <c r="U589" s="6" t="s">
        <v>1313</v>
      </c>
      <c r="V589" s="6" t="s">
        <v>1314</v>
      </c>
      <c r="W589" s="6">
        <v>2025</v>
      </c>
      <c r="X589" s="6">
        <v>11</v>
      </c>
      <c r="Y589" s="6" t="s">
        <v>1315</v>
      </c>
      <c r="Z589" s="6">
        <v>2025</v>
      </c>
      <c r="AA589" s="6" t="s">
        <v>1316</v>
      </c>
      <c r="AB589" s="6" t="str">
        <f>VLOOKUP(S589,Mapping!A:C,3,FALSE)</f>
        <v>Primary</v>
      </c>
    </row>
    <row r="590" spans="1:28" x14ac:dyDescent="0.35">
      <c r="A590" s="6" t="s">
        <v>1302</v>
      </c>
      <c r="B590" s="6" t="s">
        <v>1303</v>
      </c>
      <c r="C590" s="6" t="s">
        <v>1304</v>
      </c>
      <c r="D590" s="6" t="s">
        <v>1305</v>
      </c>
      <c r="E590" s="6" t="s">
        <v>1306</v>
      </c>
      <c r="F590" s="6" t="s">
        <v>1307</v>
      </c>
      <c r="G590" s="6" t="s">
        <v>1308</v>
      </c>
      <c r="H590" s="6" t="s">
        <v>1742</v>
      </c>
      <c r="I590" s="6">
        <v>0</v>
      </c>
      <c r="J590" s="6">
        <v>104</v>
      </c>
      <c r="K590" s="6">
        <v>1</v>
      </c>
      <c r="L590" s="6" t="s">
        <v>1409</v>
      </c>
      <c r="M590" s="6" t="e">
        <f>VLOOKUP(L590,'Nov Inv Recon'!H:H,1,FALSE)</f>
        <v>#N/A</v>
      </c>
      <c r="N590" s="6" t="e">
        <f>VLOOKUP(L590,VictoryHeitrich!D:D,1,FALSE)</f>
        <v>#N/A</v>
      </c>
      <c r="O590" s="6" t="s">
        <v>1410</v>
      </c>
      <c r="P590" s="6" t="s">
        <v>1311</v>
      </c>
      <c r="Q590" s="6" t="s">
        <v>2943</v>
      </c>
      <c r="R590" s="6" t="s">
        <v>2943</v>
      </c>
      <c r="S590" s="6" t="s">
        <v>1329</v>
      </c>
      <c r="T590" s="6" t="s">
        <v>1330</v>
      </c>
      <c r="U590" s="6" t="s">
        <v>1313</v>
      </c>
      <c r="V590" s="6" t="s">
        <v>1314</v>
      </c>
      <c r="W590" s="6">
        <v>2025</v>
      </c>
      <c r="X590" s="6">
        <v>11</v>
      </c>
      <c r="Y590" s="6" t="s">
        <v>1315</v>
      </c>
      <c r="Z590" s="6">
        <v>2025</v>
      </c>
      <c r="AA590" s="6" t="s">
        <v>1316</v>
      </c>
      <c r="AB590" s="6" t="str">
        <f>VLOOKUP(S590,Mapping!A:C,3,FALSE)</f>
        <v>Primary</v>
      </c>
    </row>
    <row r="591" spans="1:28" x14ac:dyDescent="0.35">
      <c r="A591" s="6" t="s">
        <v>1302</v>
      </c>
      <c r="B591" s="6" t="s">
        <v>1303</v>
      </c>
      <c r="C591" s="6" t="s">
        <v>1304</v>
      </c>
      <c r="D591" s="6" t="s">
        <v>1305</v>
      </c>
      <c r="E591" s="6" t="s">
        <v>1306</v>
      </c>
      <c r="F591" s="6" t="s">
        <v>1307</v>
      </c>
      <c r="G591" s="6" t="s">
        <v>1308</v>
      </c>
      <c r="H591" s="6" t="s">
        <v>1742</v>
      </c>
      <c r="I591" s="6">
        <v>0</v>
      </c>
      <c r="J591" s="6">
        <v>112</v>
      </c>
      <c r="K591" s="6">
        <v>1</v>
      </c>
      <c r="L591" s="6" t="s">
        <v>1327</v>
      </c>
      <c r="M591" s="6" t="e">
        <f>VLOOKUP(L591,'Nov Inv Recon'!H:H,1,FALSE)</f>
        <v>#N/A</v>
      </c>
      <c r="N591" s="6" t="e">
        <f>VLOOKUP(L591,VictoryHeitrich!D:D,1,FALSE)</f>
        <v>#N/A</v>
      </c>
      <c r="O591" s="6" t="s">
        <v>1328</v>
      </c>
      <c r="P591" s="6" t="s">
        <v>1311</v>
      </c>
      <c r="Q591" s="6" t="s">
        <v>2944</v>
      </c>
      <c r="R591" s="6" t="s">
        <v>2944</v>
      </c>
      <c r="S591" s="6" t="s">
        <v>1329</v>
      </c>
      <c r="T591" s="6" t="s">
        <v>1330</v>
      </c>
      <c r="U591" s="6" t="s">
        <v>1313</v>
      </c>
      <c r="V591" s="6" t="s">
        <v>1314</v>
      </c>
      <c r="W591" s="6">
        <v>2025</v>
      </c>
      <c r="X591" s="6">
        <v>11</v>
      </c>
      <c r="Y591" s="6" t="s">
        <v>1315</v>
      </c>
      <c r="Z591" s="6">
        <v>2025</v>
      </c>
      <c r="AA591" s="6" t="s">
        <v>1316</v>
      </c>
      <c r="AB591" s="6" t="str">
        <f>VLOOKUP(S591,Mapping!A:C,3,FALSE)</f>
        <v>Primary</v>
      </c>
    </row>
    <row r="592" spans="1:28" x14ac:dyDescent="0.35">
      <c r="A592" s="6" t="s">
        <v>1302</v>
      </c>
      <c r="B592" s="6" t="s">
        <v>1303</v>
      </c>
      <c r="C592" s="6" t="s">
        <v>1304</v>
      </c>
      <c r="D592" s="6" t="s">
        <v>1305</v>
      </c>
      <c r="E592" s="6" t="s">
        <v>1306</v>
      </c>
      <c r="F592" s="6" t="s">
        <v>1307</v>
      </c>
      <c r="G592" s="6" t="s">
        <v>1308</v>
      </c>
      <c r="H592" s="6" t="s">
        <v>1842</v>
      </c>
      <c r="I592" s="6">
        <v>0</v>
      </c>
      <c r="J592" s="6">
        <v>124.14</v>
      </c>
      <c r="K592" s="6">
        <v>1</v>
      </c>
      <c r="L592" s="6" t="s">
        <v>1475</v>
      </c>
      <c r="M592" s="6" t="e">
        <f>VLOOKUP(L592,'Nov Inv Recon'!H:H,1,FALSE)</f>
        <v>#N/A</v>
      </c>
      <c r="N592" s="6" t="e">
        <f>VLOOKUP(L592,VictoryHeitrich!D:D,1,FALSE)</f>
        <v>#N/A</v>
      </c>
      <c r="O592" s="6" t="s">
        <v>1476</v>
      </c>
      <c r="P592" s="6" t="s">
        <v>1311</v>
      </c>
      <c r="Q592" s="6" t="s">
        <v>2945</v>
      </c>
      <c r="R592" s="6" t="s">
        <v>2945</v>
      </c>
      <c r="S592" s="6" t="s">
        <v>1329</v>
      </c>
      <c r="T592" s="6" t="s">
        <v>1330</v>
      </c>
      <c r="U592" s="6" t="s">
        <v>1313</v>
      </c>
      <c r="V592" s="6" t="s">
        <v>1314</v>
      </c>
      <c r="W592" s="6">
        <v>2025</v>
      </c>
      <c r="X592" s="6">
        <v>11</v>
      </c>
      <c r="Y592" s="6" t="s">
        <v>1315</v>
      </c>
      <c r="Z592" s="6">
        <v>2025</v>
      </c>
      <c r="AA592" s="6" t="s">
        <v>1316</v>
      </c>
      <c r="AB592" s="6" t="str">
        <f>VLOOKUP(S592,Mapping!A:C,3,FALSE)</f>
        <v>Primary</v>
      </c>
    </row>
    <row r="593" spans="1:28" x14ac:dyDescent="0.35">
      <c r="A593" s="6" t="s">
        <v>1302</v>
      </c>
      <c r="B593" s="6" t="s">
        <v>1303</v>
      </c>
      <c r="C593" s="6" t="s">
        <v>1304</v>
      </c>
      <c r="D593" s="6" t="s">
        <v>1305</v>
      </c>
      <c r="E593" s="6" t="s">
        <v>1306</v>
      </c>
      <c r="F593" s="6" t="s">
        <v>1307</v>
      </c>
      <c r="G593" s="6" t="s">
        <v>1308</v>
      </c>
      <c r="H593" s="6" t="s">
        <v>1742</v>
      </c>
      <c r="I593" s="6">
        <v>0</v>
      </c>
      <c r="J593" s="6">
        <v>0</v>
      </c>
      <c r="K593" s="6">
        <v>1</v>
      </c>
      <c r="L593" s="6" t="s">
        <v>1377</v>
      </c>
      <c r="M593" s="6" t="e">
        <f>VLOOKUP(L593,'Nov Inv Recon'!H:H,1,FALSE)</f>
        <v>#N/A</v>
      </c>
      <c r="N593" s="6" t="e">
        <f>VLOOKUP(L593,VictoryHeitrich!D:D,1,FALSE)</f>
        <v>#N/A</v>
      </c>
      <c r="O593" s="6" t="s">
        <v>1378</v>
      </c>
      <c r="P593" s="6" t="s">
        <v>1311</v>
      </c>
      <c r="Q593" s="6" t="s">
        <v>2946</v>
      </c>
      <c r="R593" s="6" t="s">
        <v>2946</v>
      </c>
      <c r="S593" s="6" t="s">
        <v>1329</v>
      </c>
      <c r="T593" s="6" t="s">
        <v>1330</v>
      </c>
      <c r="U593" s="6" t="s">
        <v>1313</v>
      </c>
      <c r="V593" s="6" t="s">
        <v>1314</v>
      </c>
      <c r="W593" s="6">
        <v>2025</v>
      </c>
      <c r="X593" s="6">
        <v>11</v>
      </c>
      <c r="Y593" s="6" t="s">
        <v>1315</v>
      </c>
      <c r="Z593" s="6">
        <v>2025</v>
      </c>
      <c r="AA593" s="6" t="s">
        <v>1316</v>
      </c>
      <c r="AB593" s="6" t="str">
        <f>VLOOKUP(S593,Mapping!A:C,3,FALSE)</f>
        <v>Primary</v>
      </c>
    </row>
    <row r="594" spans="1:28" x14ac:dyDescent="0.35">
      <c r="A594" s="6" t="s">
        <v>1302</v>
      </c>
      <c r="B594" s="6" t="s">
        <v>1303</v>
      </c>
      <c r="C594" s="6" t="s">
        <v>1304</v>
      </c>
      <c r="D594" s="6" t="s">
        <v>1305</v>
      </c>
      <c r="E594" s="6" t="s">
        <v>1306</v>
      </c>
      <c r="F594" s="6" t="s">
        <v>1307</v>
      </c>
      <c r="G594" s="6" t="s">
        <v>1308</v>
      </c>
      <c r="H594" s="6" t="s">
        <v>1956</v>
      </c>
      <c r="I594" s="6">
        <v>0</v>
      </c>
      <c r="J594" s="6">
        <v>100</v>
      </c>
      <c r="K594" s="6">
        <v>1</v>
      </c>
      <c r="L594" s="6" t="s">
        <v>2128</v>
      </c>
      <c r="M594" s="6" t="e">
        <f>VLOOKUP(L594,'Nov Inv Recon'!H:H,1,FALSE)</f>
        <v>#N/A</v>
      </c>
      <c r="N594" s="6" t="e">
        <f>VLOOKUP(L594,VictoryHeitrich!D:D,1,FALSE)</f>
        <v>#N/A</v>
      </c>
      <c r="O594" s="6" t="s">
        <v>315</v>
      </c>
      <c r="P594" s="6" t="s">
        <v>1311</v>
      </c>
      <c r="Q594" s="6" t="s">
        <v>2947</v>
      </c>
      <c r="R594" s="6" t="s">
        <v>2947</v>
      </c>
      <c r="S594" s="6" t="s">
        <v>1329</v>
      </c>
      <c r="T594" s="6" t="s">
        <v>1330</v>
      </c>
      <c r="U594" s="6" t="s">
        <v>1313</v>
      </c>
      <c r="V594" s="6" t="s">
        <v>1314</v>
      </c>
      <c r="W594" s="6">
        <v>2025</v>
      </c>
      <c r="X594" s="6">
        <v>11</v>
      </c>
      <c r="Y594" s="6" t="s">
        <v>1315</v>
      </c>
      <c r="Z594" s="6">
        <v>2025</v>
      </c>
      <c r="AA594" s="6" t="s">
        <v>1316</v>
      </c>
      <c r="AB594" s="6" t="str">
        <f>VLOOKUP(S594,Mapping!A:C,3,FALSE)</f>
        <v>Primary</v>
      </c>
    </row>
    <row r="595" spans="1:28" x14ac:dyDescent="0.35">
      <c r="A595" s="6" t="s">
        <v>1302</v>
      </c>
      <c r="B595" s="6" t="s">
        <v>1303</v>
      </c>
      <c r="C595" s="6" t="s">
        <v>1304</v>
      </c>
      <c r="D595" s="6" t="s">
        <v>1305</v>
      </c>
      <c r="E595" s="6" t="s">
        <v>1306</v>
      </c>
      <c r="F595" s="6" t="s">
        <v>1307</v>
      </c>
      <c r="G595" s="6" t="s">
        <v>1308</v>
      </c>
      <c r="H595" s="6" t="s">
        <v>1742</v>
      </c>
      <c r="I595" s="6">
        <v>0</v>
      </c>
      <c r="J595" s="6">
        <v>100</v>
      </c>
      <c r="K595" s="6">
        <v>1</v>
      </c>
      <c r="L595" s="6" t="s">
        <v>2227</v>
      </c>
      <c r="M595" s="6" t="e">
        <f>VLOOKUP(L595,'Nov Inv Recon'!H:H,1,FALSE)</f>
        <v>#N/A</v>
      </c>
      <c r="N595" s="6" t="e">
        <f>VLOOKUP(L595,VictoryHeitrich!D:D,1,FALSE)</f>
        <v>#N/A</v>
      </c>
      <c r="O595" s="6" t="s">
        <v>312</v>
      </c>
      <c r="P595" s="6" t="s">
        <v>1311</v>
      </c>
      <c r="Q595" s="6" t="s">
        <v>2948</v>
      </c>
      <c r="R595" s="6" t="s">
        <v>2948</v>
      </c>
      <c r="S595" s="6" t="s">
        <v>1329</v>
      </c>
      <c r="T595" s="6" t="s">
        <v>1330</v>
      </c>
      <c r="U595" s="6" t="s">
        <v>1313</v>
      </c>
      <c r="V595" s="6" t="s">
        <v>1314</v>
      </c>
      <c r="W595" s="6">
        <v>2025</v>
      </c>
      <c r="X595" s="6">
        <v>11</v>
      </c>
      <c r="Y595" s="6" t="s">
        <v>1315</v>
      </c>
      <c r="Z595" s="6">
        <v>2025</v>
      </c>
      <c r="AA595" s="6" t="s">
        <v>1316</v>
      </c>
      <c r="AB595" s="6" t="str">
        <f>VLOOKUP(S595,Mapping!A:C,3,FALSE)</f>
        <v>Primary</v>
      </c>
    </row>
    <row r="596" spans="1:28" x14ac:dyDescent="0.35">
      <c r="A596" s="6" t="s">
        <v>1302</v>
      </c>
      <c r="B596" s="6" t="s">
        <v>1303</v>
      </c>
      <c r="C596" s="6" t="s">
        <v>1304</v>
      </c>
      <c r="D596" s="6" t="s">
        <v>1305</v>
      </c>
      <c r="E596" s="6" t="s">
        <v>1306</v>
      </c>
      <c r="F596" s="6" t="s">
        <v>1307</v>
      </c>
      <c r="G596" s="6" t="s">
        <v>1308</v>
      </c>
      <c r="H596" s="6" t="s">
        <v>2481</v>
      </c>
      <c r="I596" s="6">
        <v>0</v>
      </c>
      <c r="J596" s="6">
        <v>105</v>
      </c>
      <c r="K596" s="6">
        <v>1</v>
      </c>
      <c r="L596" s="6" t="s">
        <v>1349</v>
      </c>
      <c r="M596" s="6" t="e">
        <f>VLOOKUP(L596,'Nov Inv Recon'!H:H,1,FALSE)</f>
        <v>#N/A</v>
      </c>
      <c r="N596" s="6" t="e">
        <f>VLOOKUP(L596,VictoryHeitrich!D:D,1,FALSE)</f>
        <v>#N/A</v>
      </c>
      <c r="O596" s="6" t="s">
        <v>1350</v>
      </c>
      <c r="P596" s="6" t="s">
        <v>1311</v>
      </c>
      <c r="Q596" s="6" t="s">
        <v>2949</v>
      </c>
      <c r="R596" s="6" t="s">
        <v>2949</v>
      </c>
      <c r="S596" s="6" t="s">
        <v>1329</v>
      </c>
      <c r="T596" s="6" t="s">
        <v>1330</v>
      </c>
      <c r="U596" s="6" t="s">
        <v>1313</v>
      </c>
      <c r="V596" s="6" t="s">
        <v>1314</v>
      </c>
      <c r="W596" s="6">
        <v>2025</v>
      </c>
      <c r="X596" s="6">
        <v>11</v>
      </c>
      <c r="Y596" s="6" t="s">
        <v>1315</v>
      </c>
      <c r="Z596" s="6">
        <v>2025</v>
      </c>
      <c r="AA596" s="6" t="s">
        <v>1316</v>
      </c>
      <c r="AB596" s="6" t="str">
        <f>VLOOKUP(S596,Mapping!A:C,3,FALSE)</f>
        <v>Primary</v>
      </c>
    </row>
    <row r="597" spans="1:28" x14ac:dyDescent="0.35">
      <c r="A597" s="6" t="s">
        <v>1302</v>
      </c>
      <c r="B597" s="6" t="s">
        <v>1303</v>
      </c>
      <c r="C597" s="6" t="s">
        <v>1304</v>
      </c>
      <c r="D597" s="6" t="s">
        <v>1305</v>
      </c>
      <c r="E597" s="6" t="s">
        <v>1306</v>
      </c>
      <c r="F597" s="6" t="s">
        <v>1307</v>
      </c>
      <c r="G597" s="6" t="s">
        <v>1308</v>
      </c>
      <c r="H597" s="6" t="s">
        <v>2425</v>
      </c>
      <c r="I597" s="6">
        <v>0</v>
      </c>
      <c r="J597" s="6">
        <v>0</v>
      </c>
      <c r="K597" s="6">
        <v>1</v>
      </c>
      <c r="L597" s="6" t="s">
        <v>1351</v>
      </c>
      <c r="M597" s="6" t="e">
        <f>VLOOKUP(L597,'Nov Inv Recon'!H:H,1,FALSE)</f>
        <v>#N/A</v>
      </c>
      <c r="N597" s="6" t="e">
        <f>VLOOKUP(L597,VictoryHeitrich!D:D,1,FALSE)</f>
        <v>#N/A</v>
      </c>
      <c r="O597" s="6" t="s">
        <v>1352</v>
      </c>
      <c r="P597" s="6" t="s">
        <v>1311</v>
      </c>
      <c r="Q597" s="6" t="s">
        <v>2950</v>
      </c>
      <c r="R597" s="6" t="s">
        <v>2950</v>
      </c>
      <c r="S597" s="6" t="s">
        <v>1329</v>
      </c>
      <c r="T597" s="6" t="s">
        <v>1330</v>
      </c>
      <c r="U597" s="6" t="s">
        <v>1313</v>
      </c>
      <c r="V597" s="6" t="s">
        <v>1314</v>
      </c>
      <c r="W597" s="6">
        <v>2025</v>
      </c>
      <c r="X597" s="6">
        <v>11</v>
      </c>
      <c r="Y597" s="6" t="s">
        <v>1315</v>
      </c>
      <c r="Z597" s="6">
        <v>2025</v>
      </c>
      <c r="AA597" s="6" t="s">
        <v>1316</v>
      </c>
      <c r="AB597" s="6" t="str">
        <f>VLOOKUP(S597,Mapping!A:C,3,FALSE)</f>
        <v>Primary</v>
      </c>
    </row>
    <row r="598" spans="1:28" x14ac:dyDescent="0.35">
      <c r="A598" s="6" t="s">
        <v>1302</v>
      </c>
      <c r="B598" s="6" t="s">
        <v>1303</v>
      </c>
      <c r="C598" s="6" t="s">
        <v>1304</v>
      </c>
      <c r="D598" s="6" t="s">
        <v>1305</v>
      </c>
      <c r="E598" s="6" t="s">
        <v>1306</v>
      </c>
      <c r="F598" s="6" t="s">
        <v>1307</v>
      </c>
      <c r="G598" s="6" t="s">
        <v>1308</v>
      </c>
      <c r="H598" s="6" t="s">
        <v>1742</v>
      </c>
      <c r="I598" s="6">
        <v>0</v>
      </c>
      <c r="J598" s="6">
        <v>0</v>
      </c>
      <c r="K598" s="6">
        <v>1</v>
      </c>
      <c r="L598" s="6" t="s">
        <v>1383</v>
      </c>
      <c r="M598" s="6" t="e">
        <f>VLOOKUP(L598,'Nov Inv Recon'!H:H,1,FALSE)</f>
        <v>#N/A</v>
      </c>
      <c r="N598" s="6" t="e">
        <f>VLOOKUP(L598,VictoryHeitrich!D:D,1,FALSE)</f>
        <v>#N/A</v>
      </c>
      <c r="O598" s="6" t="s">
        <v>1384</v>
      </c>
      <c r="P598" s="6" t="s">
        <v>1311</v>
      </c>
      <c r="Q598" s="6" t="s">
        <v>2951</v>
      </c>
      <c r="R598" s="6" t="s">
        <v>2951</v>
      </c>
      <c r="S598" s="6" t="s">
        <v>1329</v>
      </c>
      <c r="T598" s="6" t="s">
        <v>1330</v>
      </c>
      <c r="U598" s="6" t="s">
        <v>1313</v>
      </c>
      <c r="V598" s="6" t="s">
        <v>1314</v>
      </c>
      <c r="W598" s="6">
        <v>2025</v>
      </c>
      <c r="X598" s="6">
        <v>11</v>
      </c>
      <c r="Y598" s="6" t="s">
        <v>1315</v>
      </c>
      <c r="Z598" s="6">
        <v>2025</v>
      </c>
      <c r="AA598" s="6" t="s">
        <v>1316</v>
      </c>
      <c r="AB598" s="6" t="str">
        <f>VLOOKUP(S598,Mapping!A:C,3,FALSE)</f>
        <v>Primary</v>
      </c>
    </row>
    <row r="599" spans="1:28" x14ac:dyDescent="0.35">
      <c r="A599" s="6" t="s">
        <v>1302</v>
      </c>
      <c r="B599" s="6" t="s">
        <v>1303</v>
      </c>
      <c r="C599" s="6" t="s">
        <v>1304</v>
      </c>
      <c r="D599" s="6" t="s">
        <v>1305</v>
      </c>
      <c r="E599" s="6" t="s">
        <v>1306</v>
      </c>
      <c r="F599" s="6" t="s">
        <v>1307</v>
      </c>
      <c r="G599" s="6" t="s">
        <v>1308</v>
      </c>
      <c r="H599" s="6" t="s">
        <v>1742</v>
      </c>
      <c r="I599" s="6">
        <v>0</v>
      </c>
      <c r="J599" s="6">
        <v>0</v>
      </c>
      <c r="K599" s="6">
        <v>1</v>
      </c>
      <c r="L599" s="6" t="s">
        <v>1419</v>
      </c>
      <c r="M599" s="6" t="e">
        <f>VLOOKUP(L599,'Nov Inv Recon'!H:H,1,FALSE)</f>
        <v>#N/A</v>
      </c>
      <c r="N599" s="6" t="e">
        <f>VLOOKUP(L599,VictoryHeitrich!D:D,1,FALSE)</f>
        <v>#N/A</v>
      </c>
      <c r="O599" s="6" t="s">
        <v>1420</v>
      </c>
      <c r="P599" s="6" t="s">
        <v>1311</v>
      </c>
      <c r="Q599" s="6" t="s">
        <v>2952</v>
      </c>
      <c r="R599" s="6" t="s">
        <v>2952</v>
      </c>
      <c r="S599" s="6" t="s">
        <v>1329</v>
      </c>
      <c r="T599" s="6" t="s">
        <v>1330</v>
      </c>
      <c r="U599" s="6" t="s">
        <v>1313</v>
      </c>
      <c r="V599" s="6" t="s">
        <v>1314</v>
      </c>
      <c r="W599" s="6">
        <v>2025</v>
      </c>
      <c r="X599" s="6">
        <v>11</v>
      </c>
      <c r="Y599" s="6" t="s">
        <v>1315</v>
      </c>
      <c r="Z599" s="6">
        <v>2025</v>
      </c>
      <c r="AA599" s="6" t="s">
        <v>1316</v>
      </c>
      <c r="AB599" s="6" t="str">
        <f>VLOOKUP(S599,Mapping!A:C,3,FALSE)</f>
        <v>Primary</v>
      </c>
    </row>
    <row r="600" spans="1:28" x14ac:dyDescent="0.35">
      <c r="A600" s="6" t="s">
        <v>1302</v>
      </c>
      <c r="B600" s="6" t="s">
        <v>1303</v>
      </c>
      <c r="C600" s="6" t="s">
        <v>1304</v>
      </c>
      <c r="D600" s="6" t="s">
        <v>1305</v>
      </c>
      <c r="E600" s="6" t="s">
        <v>1306</v>
      </c>
      <c r="F600" s="6" t="s">
        <v>1307</v>
      </c>
      <c r="G600" s="6" t="s">
        <v>1308</v>
      </c>
      <c r="H600" s="6" t="s">
        <v>2481</v>
      </c>
      <c r="I600" s="6">
        <v>0</v>
      </c>
      <c r="J600" s="6">
        <v>68.25</v>
      </c>
      <c r="K600" s="6">
        <v>1</v>
      </c>
      <c r="L600" s="6" t="s">
        <v>1439</v>
      </c>
      <c r="M600" s="6" t="e">
        <f>VLOOKUP(L600,'Nov Inv Recon'!H:H,1,FALSE)</f>
        <v>#N/A</v>
      </c>
      <c r="N600" s="6" t="e">
        <f>VLOOKUP(L600,VictoryHeitrich!D:D,1,FALSE)</f>
        <v>#N/A</v>
      </c>
      <c r="O600" s="6" t="s">
        <v>1440</v>
      </c>
      <c r="P600" s="6" t="s">
        <v>1311</v>
      </c>
      <c r="Q600" s="6" t="s">
        <v>2953</v>
      </c>
      <c r="R600" s="6" t="s">
        <v>2953</v>
      </c>
      <c r="S600" s="6" t="s">
        <v>1329</v>
      </c>
      <c r="T600" s="6" t="s">
        <v>1330</v>
      </c>
      <c r="U600" s="6" t="s">
        <v>1313</v>
      </c>
      <c r="V600" s="6" t="s">
        <v>1314</v>
      </c>
      <c r="W600" s="6">
        <v>2025</v>
      </c>
      <c r="X600" s="6">
        <v>11</v>
      </c>
      <c r="Y600" s="6" t="s">
        <v>1315</v>
      </c>
      <c r="Z600" s="6">
        <v>2025</v>
      </c>
      <c r="AA600" s="6" t="s">
        <v>1316</v>
      </c>
      <c r="AB600" s="6" t="str">
        <f>VLOOKUP(S600,Mapping!A:C,3,FALSE)</f>
        <v>Primary</v>
      </c>
    </row>
    <row r="601" spans="1:28" x14ac:dyDescent="0.35">
      <c r="A601" s="6" t="s">
        <v>1302</v>
      </c>
      <c r="B601" s="6" t="s">
        <v>1303</v>
      </c>
      <c r="C601" s="6" t="s">
        <v>1304</v>
      </c>
      <c r="D601" s="6" t="s">
        <v>1305</v>
      </c>
      <c r="E601" s="6" t="s">
        <v>1306</v>
      </c>
      <c r="F601" s="6" t="s">
        <v>1307</v>
      </c>
      <c r="G601" s="6" t="s">
        <v>1308</v>
      </c>
      <c r="H601" s="6" t="s">
        <v>1842</v>
      </c>
      <c r="I601" s="6">
        <v>0</v>
      </c>
      <c r="J601" s="6">
        <v>105.94</v>
      </c>
      <c r="K601" s="6">
        <v>1</v>
      </c>
      <c r="L601" s="6" t="s">
        <v>1479</v>
      </c>
      <c r="M601" s="6" t="e">
        <f>VLOOKUP(L601,'Nov Inv Recon'!H:H,1,FALSE)</f>
        <v>#N/A</v>
      </c>
      <c r="N601" s="6" t="e">
        <f>VLOOKUP(L601,VictoryHeitrich!D:D,1,FALSE)</f>
        <v>#N/A</v>
      </c>
      <c r="O601" s="6" t="s">
        <v>1480</v>
      </c>
      <c r="P601" s="6" t="s">
        <v>1311</v>
      </c>
      <c r="Q601" s="6" t="s">
        <v>2954</v>
      </c>
      <c r="R601" s="6" t="s">
        <v>2954</v>
      </c>
      <c r="S601" s="6" t="s">
        <v>1329</v>
      </c>
      <c r="T601" s="6" t="s">
        <v>1330</v>
      </c>
      <c r="U601" s="6" t="s">
        <v>1313</v>
      </c>
      <c r="V601" s="6" t="s">
        <v>1314</v>
      </c>
      <c r="W601" s="6">
        <v>2025</v>
      </c>
      <c r="X601" s="6">
        <v>11</v>
      </c>
      <c r="Y601" s="6" t="s">
        <v>1315</v>
      </c>
      <c r="Z601" s="6">
        <v>2025</v>
      </c>
      <c r="AA601" s="6" t="s">
        <v>1316</v>
      </c>
      <c r="AB601" s="6" t="str">
        <f>VLOOKUP(S601,Mapping!A:C,3,FALSE)</f>
        <v>Primary</v>
      </c>
    </row>
    <row r="602" spans="1:28" x14ac:dyDescent="0.35">
      <c r="A602" s="6" t="s">
        <v>1302</v>
      </c>
      <c r="B602" s="6" t="s">
        <v>1303</v>
      </c>
      <c r="C602" s="6" t="s">
        <v>1304</v>
      </c>
      <c r="D602" s="6" t="s">
        <v>1305</v>
      </c>
      <c r="E602" s="6" t="s">
        <v>1306</v>
      </c>
      <c r="F602" s="6" t="s">
        <v>1307</v>
      </c>
      <c r="G602" s="6" t="s">
        <v>1308</v>
      </c>
      <c r="H602" s="6" t="s">
        <v>1842</v>
      </c>
      <c r="I602" s="6">
        <v>0</v>
      </c>
      <c r="J602" s="6">
        <v>0</v>
      </c>
      <c r="K602" s="6">
        <v>1</v>
      </c>
      <c r="L602" s="6" t="s">
        <v>1499</v>
      </c>
      <c r="M602" s="6" t="e">
        <f>VLOOKUP(L602,'Nov Inv Recon'!H:H,1,FALSE)</f>
        <v>#N/A</v>
      </c>
      <c r="N602" s="6" t="e">
        <f>VLOOKUP(L602,VictoryHeitrich!D:D,1,FALSE)</f>
        <v>#N/A</v>
      </c>
      <c r="O602" s="6" t="s">
        <v>1500</v>
      </c>
      <c r="P602" s="6" t="s">
        <v>1311</v>
      </c>
      <c r="Q602" s="6" t="s">
        <v>2955</v>
      </c>
      <c r="R602" s="6" t="s">
        <v>2955</v>
      </c>
      <c r="S602" s="6" t="s">
        <v>1329</v>
      </c>
      <c r="T602" s="6" t="s">
        <v>1330</v>
      </c>
      <c r="U602" s="6" t="s">
        <v>1313</v>
      </c>
      <c r="V602" s="6" t="s">
        <v>1314</v>
      </c>
      <c r="W602" s="6">
        <v>2025</v>
      </c>
      <c r="X602" s="6">
        <v>11</v>
      </c>
      <c r="Y602" s="6" t="s">
        <v>1315</v>
      </c>
      <c r="Z602" s="6">
        <v>2025</v>
      </c>
      <c r="AA602" s="6" t="s">
        <v>1316</v>
      </c>
      <c r="AB602" s="6" t="str">
        <f>VLOOKUP(S602,Mapping!A:C,3,FALSE)</f>
        <v>Primary</v>
      </c>
    </row>
    <row r="603" spans="1:28" x14ac:dyDescent="0.35">
      <c r="A603" s="6" t="s">
        <v>1302</v>
      </c>
      <c r="B603" s="6" t="s">
        <v>1303</v>
      </c>
      <c r="C603" s="6" t="s">
        <v>1304</v>
      </c>
      <c r="D603" s="6" t="s">
        <v>1305</v>
      </c>
      <c r="E603" s="6" t="s">
        <v>1306</v>
      </c>
      <c r="F603" s="6" t="s">
        <v>1307</v>
      </c>
      <c r="G603" s="6" t="s">
        <v>1308</v>
      </c>
      <c r="H603" s="6" t="s">
        <v>1742</v>
      </c>
      <c r="I603" s="6">
        <v>0</v>
      </c>
      <c r="J603" s="6">
        <v>104</v>
      </c>
      <c r="K603" s="6">
        <v>1</v>
      </c>
      <c r="L603" s="6" t="s">
        <v>1469</v>
      </c>
      <c r="M603" s="6" t="e">
        <f>VLOOKUP(L603,'Nov Inv Recon'!H:H,1,FALSE)</f>
        <v>#N/A</v>
      </c>
      <c r="N603" s="6" t="e">
        <f>VLOOKUP(L603,VictoryHeitrich!D:D,1,FALSE)</f>
        <v>#N/A</v>
      </c>
      <c r="O603" s="6" t="s">
        <v>1470</v>
      </c>
      <c r="P603" s="6" t="s">
        <v>1311</v>
      </c>
      <c r="Q603" s="6" t="s">
        <v>2956</v>
      </c>
      <c r="R603" s="6" t="s">
        <v>2956</v>
      </c>
      <c r="S603" s="6" t="s">
        <v>1329</v>
      </c>
      <c r="T603" s="6" t="s">
        <v>1330</v>
      </c>
      <c r="U603" s="6" t="s">
        <v>1313</v>
      </c>
      <c r="V603" s="6" t="s">
        <v>1314</v>
      </c>
      <c r="W603" s="6">
        <v>2025</v>
      </c>
      <c r="X603" s="6">
        <v>11</v>
      </c>
      <c r="Y603" s="6" t="s">
        <v>1315</v>
      </c>
      <c r="Z603" s="6">
        <v>2025</v>
      </c>
      <c r="AA603" s="6" t="s">
        <v>1316</v>
      </c>
      <c r="AB603" s="6" t="str">
        <f>VLOOKUP(S603,Mapping!A:C,3,FALSE)</f>
        <v>Primary</v>
      </c>
    </row>
    <row r="604" spans="1:28" x14ac:dyDescent="0.35">
      <c r="A604" s="6" t="s">
        <v>1302</v>
      </c>
      <c r="B604" s="6" t="s">
        <v>1303</v>
      </c>
      <c r="C604" s="6" t="s">
        <v>1304</v>
      </c>
      <c r="D604" s="6" t="s">
        <v>1305</v>
      </c>
      <c r="E604" s="6" t="s">
        <v>1306</v>
      </c>
      <c r="F604" s="6" t="s">
        <v>1307</v>
      </c>
      <c r="G604" s="6" t="s">
        <v>1308</v>
      </c>
      <c r="H604" s="6" t="s">
        <v>1682</v>
      </c>
      <c r="I604" s="6">
        <v>0</v>
      </c>
      <c r="J604" s="6">
        <v>0</v>
      </c>
      <c r="K604" s="6">
        <v>1</v>
      </c>
      <c r="L604" s="6" t="s">
        <v>1455</v>
      </c>
      <c r="M604" s="6" t="e">
        <f>VLOOKUP(L604,'Nov Inv Recon'!H:H,1,FALSE)</f>
        <v>#N/A</v>
      </c>
      <c r="N604" s="6" t="e">
        <f>VLOOKUP(L604,VictoryHeitrich!D:D,1,FALSE)</f>
        <v>#N/A</v>
      </c>
      <c r="O604" s="6" t="s">
        <v>1456</v>
      </c>
      <c r="P604" s="6" t="s">
        <v>1311</v>
      </c>
      <c r="Q604" s="6" t="s">
        <v>2957</v>
      </c>
      <c r="R604" s="6" t="s">
        <v>2957</v>
      </c>
      <c r="S604" s="6" t="s">
        <v>1329</v>
      </c>
      <c r="T604" s="6" t="s">
        <v>1330</v>
      </c>
      <c r="U604" s="6" t="s">
        <v>1313</v>
      </c>
      <c r="V604" s="6" t="s">
        <v>1314</v>
      </c>
      <c r="W604" s="6">
        <v>2025</v>
      </c>
      <c r="X604" s="6">
        <v>11</v>
      </c>
      <c r="Y604" s="6" t="s">
        <v>1315</v>
      </c>
      <c r="Z604" s="6">
        <v>2025</v>
      </c>
      <c r="AA604" s="6" t="s">
        <v>1316</v>
      </c>
      <c r="AB604" s="6" t="str">
        <f>VLOOKUP(S604,Mapping!A:C,3,FALSE)</f>
        <v>Primary</v>
      </c>
    </row>
    <row r="605" spans="1:28" x14ac:dyDescent="0.35">
      <c r="A605" s="6" t="s">
        <v>1302</v>
      </c>
      <c r="B605" s="6" t="s">
        <v>1303</v>
      </c>
      <c r="C605" s="6" t="s">
        <v>1304</v>
      </c>
      <c r="D605" s="6" t="s">
        <v>1305</v>
      </c>
      <c r="E605" s="6" t="s">
        <v>1306</v>
      </c>
      <c r="F605" s="6" t="s">
        <v>1307</v>
      </c>
      <c r="G605" s="6" t="s">
        <v>1308</v>
      </c>
      <c r="H605" s="6" t="s">
        <v>1742</v>
      </c>
      <c r="I605" s="6">
        <v>0</v>
      </c>
      <c r="J605" s="6">
        <v>0</v>
      </c>
      <c r="K605" s="6">
        <v>1</v>
      </c>
      <c r="L605" s="6" t="s">
        <v>1373</v>
      </c>
      <c r="M605" s="6" t="e">
        <f>VLOOKUP(L605,'Nov Inv Recon'!H:H,1,FALSE)</f>
        <v>#N/A</v>
      </c>
      <c r="N605" s="6" t="e">
        <f>VLOOKUP(L605,VictoryHeitrich!D:D,1,FALSE)</f>
        <v>#N/A</v>
      </c>
      <c r="O605" s="6" t="s">
        <v>1374</v>
      </c>
      <c r="P605" s="6" t="s">
        <v>1311</v>
      </c>
      <c r="Q605" s="6" t="s">
        <v>2958</v>
      </c>
      <c r="R605" s="6" t="s">
        <v>2958</v>
      </c>
      <c r="S605" s="6" t="s">
        <v>1329</v>
      </c>
      <c r="T605" s="6" t="s">
        <v>1330</v>
      </c>
      <c r="U605" s="6" t="s">
        <v>1313</v>
      </c>
      <c r="V605" s="6" t="s">
        <v>1314</v>
      </c>
      <c r="W605" s="6">
        <v>2025</v>
      </c>
      <c r="X605" s="6">
        <v>11</v>
      </c>
      <c r="Y605" s="6" t="s">
        <v>1315</v>
      </c>
      <c r="Z605" s="6">
        <v>2025</v>
      </c>
      <c r="AA605" s="6" t="s">
        <v>1316</v>
      </c>
      <c r="AB605" s="6" t="str">
        <f>VLOOKUP(S605,Mapping!A:C,3,FALSE)</f>
        <v>Primary</v>
      </c>
    </row>
    <row r="606" spans="1:28" x14ac:dyDescent="0.35">
      <c r="A606" s="6" t="s">
        <v>1302</v>
      </c>
      <c r="B606" s="6" t="s">
        <v>1303</v>
      </c>
      <c r="C606" s="6" t="s">
        <v>1304</v>
      </c>
      <c r="D606" s="6" t="s">
        <v>1305</v>
      </c>
      <c r="E606" s="6" t="s">
        <v>1306</v>
      </c>
      <c r="F606" s="6" t="s">
        <v>1307</v>
      </c>
      <c r="G606" s="6" t="s">
        <v>1308</v>
      </c>
      <c r="H606" s="6" t="s">
        <v>2959</v>
      </c>
      <c r="I606" s="6">
        <v>0</v>
      </c>
      <c r="J606" s="6">
        <v>147.46</v>
      </c>
      <c r="K606" s="6">
        <v>1</v>
      </c>
      <c r="L606" s="6" t="s">
        <v>1437</v>
      </c>
      <c r="M606" s="6" t="e">
        <f>VLOOKUP(L606,'Nov Inv Recon'!H:H,1,FALSE)</f>
        <v>#N/A</v>
      </c>
      <c r="N606" s="6" t="e">
        <f>VLOOKUP(L606,VictoryHeitrich!D:D,1,FALSE)</f>
        <v>#N/A</v>
      </c>
      <c r="O606" s="6" t="s">
        <v>1438</v>
      </c>
      <c r="P606" s="6" t="s">
        <v>1311</v>
      </c>
      <c r="Q606" s="6" t="s">
        <v>2960</v>
      </c>
      <c r="R606" s="6" t="s">
        <v>2960</v>
      </c>
      <c r="S606" s="6" t="s">
        <v>1329</v>
      </c>
      <c r="T606" s="6" t="s">
        <v>1330</v>
      </c>
      <c r="U606" s="6" t="s">
        <v>1313</v>
      </c>
      <c r="V606" s="6" t="s">
        <v>1314</v>
      </c>
      <c r="W606" s="6">
        <v>2025</v>
      </c>
      <c r="X606" s="6">
        <v>11</v>
      </c>
      <c r="Y606" s="6" t="s">
        <v>1315</v>
      </c>
      <c r="Z606" s="6">
        <v>2025</v>
      </c>
      <c r="AA606" s="6" t="s">
        <v>1316</v>
      </c>
      <c r="AB606" s="6" t="str">
        <f>VLOOKUP(S606,Mapping!A:C,3,FALSE)</f>
        <v>Primary</v>
      </c>
    </row>
    <row r="607" spans="1:28" x14ac:dyDescent="0.35">
      <c r="A607" s="6" t="s">
        <v>1302</v>
      </c>
      <c r="B607" s="6" t="s">
        <v>1303</v>
      </c>
      <c r="C607" s="6" t="s">
        <v>1304</v>
      </c>
      <c r="D607" s="6" t="s">
        <v>1305</v>
      </c>
      <c r="E607" s="6" t="s">
        <v>1306</v>
      </c>
      <c r="F607" s="6" t="s">
        <v>1307</v>
      </c>
      <c r="G607" s="6" t="s">
        <v>1308</v>
      </c>
      <c r="H607" s="6" t="s">
        <v>1632</v>
      </c>
      <c r="I607" s="6">
        <v>0</v>
      </c>
      <c r="J607" s="6">
        <v>74.94</v>
      </c>
      <c r="K607" s="6">
        <v>1</v>
      </c>
      <c r="L607" s="6" t="s">
        <v>1520</v>
      </c>
      <c r="M607" s="6" t="e">
        <f>VLOOKUP(L607,'Nov Inv Recon'!H:H,1,FALSE)</f>
        <v>#N/A</v>
      </c>
      <c r="N607" s="6" t="e">
        <f>VLOOKUP(L607,VictoryHeitrich!D:D,1,FALSE)</f>
        <v>#N/A</v>
      </c>
      <c r="O607" s="6" t="s">
        <v>1521</v>
      </c>
      <c r="P607" s="6" t="s">
        <v>1311</v>
      </c>
      <c r="Q607" s="6" t="s">
        <v>2961</v>
      </c>
      <c r="R607" s="6" t="s">
        <v>2961</v>
      </c>
      <c r="S607" s="6" t="s">
        <v>1329</v>
      </c>
      <c r="T607" s="6" t="s">
        <v>1330</v>
      </c>
      <c r="U607" s="6" t="s">
        <v>1313</v>
      </c>
      <c r="V607" s="6" t="s">
        <v>1314</v>
      </c>
      <c r="W607" s="6">
        <v>2025</v>
      </c>
      <c r="X607" s="6">
        <v>11</v>
      </c>
      <c r="Y607" s="6" t="s">
        <v>1315</v>
      </c>
      <c r="Z607" s="6">
        <v>2025</v>
      </c>
      <c r="AA607" s="6" t="s">
        <v>1316</v>
      </c>
      <c r="AB607" s="6" t="str">
        <f>VLOOKUP(S607,Mapping!A:C,3,FALSE)</f>
        <v>Primary</v>
      </c>
    </row>
    <row r="608" spans="1:28" x14ac:dyDescent="0.35">
      <c r="A608" s="6" t="s">
        <v>1302</v>
      </c>
      <c r="B608" s="6" t="s">
        <v>1303</v>
      </c>
      <c r="C608" s="6" t="s">
        <v>1304</v>
      </c>
      <c r="D608" s="6" t="s">
        <v>1305</v>
      </c>
      <c r="E608" s="6" t="s">
        <v>1306</v>
      </c>
      <c r="F608" s="6" t="s">
        <v>1307</v>
      </c>
      <c r="G608" s="6" t="s">
        <v>1308</v>
      </c>
      <c r="H608" s="6" t="s">
        <v>1742</v>
      </c>
      <c r="I608" s="6">
        <v>0</v>
      </c>
      <c r="J608" s="6">
        <v>104</v>
      </c>
      <c r="K608" s="6">
        <v>1</v>
      </c>
      <c r="L608" s="6" t="s">
        <v>1407</v>
      </c>
      <c r="M608" s="6" t="e">
        <f>VLOOKUP(L608,'Nov Inv Recon'!H:H,1,FALSE)</f>
        <v>#N/A</v>
      </c>
      <c r="N608" s="6" t="e">
        <f>VLOOKUP(L608,VictoryHeitrich!D:D,1,FALSE)</f>
        <v>#N/A</v>
      </c>
      <c r="O608" s="6" t="s">
        <v>1408</v>
      </c>
      <c r="P608" s="6" t="s">
        <v>1311</v>
      </c>
      <c r="Q608" s="6" t="s">
        <v>2962</v>
      </c>
      <c r="R608" s="6" t="s">
        <v>2962</v>
      </c>
      <c r="S608" s="6" t="s">
        <v>1329</v>
      </c>
      <c r="T608" s="6" t="s">
        <v>1330</v>
      </c>
      <c r="U608" s="6" t="s">
        <v>1313</v>
      </c>
      <c r="V608" s="6" t="s">
        <v>1314</v>
      </c>
      <c r="W608" s="6">
        <v>2025</v>
      </c>
      <c r="X608" s="6">
        <v>11</v>
      </c>
      <c r="Y608" s="6" t="s">
        <v>1315</v>
      </c>
      <c r="Z608" s="6">
        <v>2025</v>
      </c>
      <c r="AA608" s="6" t="s">
        <v>1316</v>
      </c>
      <c r="AB608" s="6" t="str">
        <f>VLOOKUP(S608,Mapping!A:C,3,FALSE)</f>
        <v>Primary</v>
      </c>
    </row>
    <row r="609" spans="1:28" x14ac:dyDescent="0.35">
      <c r="A609" s="6" t="s">
        <v>1302</v>
      </c>
      <c r="B609" s="6" t="s">
        <v>1303</v>
      </c>
      <c r="C609" s="6" t="s">
        <v>1304</v>
      </c>
      <c r="D609" s="6" t="s">
        <v>1305</v>
      </c>
      <c r="E609" s="6" t="s">
        <v>1306</v>
      </c>
      <c r="F609" s="6" t="s">
        <v>1307</v>
      </c>
      <c r="G609" s="6" t="s">
        <v>1308</v>
      </c>
      <c r="H609" s="6" t="s">
        <v>1657</v>
      </c>
      <c r="I609" s="6">
        <v>0</v>
      </c>
      <c r="J609" s="6">
        <v>65.459999999999994</v>
      </c>
      <c r="K609" s="6">
        <v>1</v>
      </c>
      <c r="L609" s="6" t="s">
        <v>1417</v>
      </c>
      <c r="M609" s="6" t="e">
        <f>VLOOKUP(L609,'Nov Inv Recon'!H:H,1,FALSE)</f>
        <v>#N/A</v>
      </c>
      <c r="N609" s="6" t="e">
        <f>VLOOKUP(L609,VictoryHeitrich!D:D,1,FALSE)</f>
        <v>#N/A</v>
      </c>
      <c r="O609" s="6" t="s">
        <v>1418</v>
      </c>
      <c r="P609" s="6" t="s">
        <v>1311</v>
      </c>
      <c r="Q609" s="6" t="s">
        <v>2963</v>
      </c>
      <c r="R609" s="6" t="s">
        <v>2963</v>
      </c>
      <c r="S609" s="6" t="s">
        <v>1329</v>
      </c>
      <c r="T609" s="6" t="s">
        <v>1330</v>
      </c>
      <c r="U609" s="6" t="s">
        <v>1313</v>
      </c>
      <c r="V609" s="6" t="s">
        <v>1314</v>
      </c>
      <c r="W609" s="6">
        <v>2025</v>
      </c>
      <c r="X609" s="6">
        <v>11</v>
      </c>
      <c r="Y609" s="6" t="s">
        <v>1315</v>
      </c>
      <c r="Z609" s="6">
        <v>2025</v>
      </c>
      <c r="AA609" s="6" t="s">
        <v>1316</v>
      </c>
      <c r="AB609" s="6" t="str">
        <f>VLOOKUP(S609,Mapping!A:C,3,FALSE)</f>
        <v>Primary</v>
      </c>
    </row>
    <row r="610" spans="1:28" x14ac:dyDescent="0.35">
      <c r="A610" s="6" t="s">
        <v>1302</v>
      </c>
      <c r="B610" s="6" t="s">
        <v>1303</v>
      </c>
      <c r="C610" s="6" t="s">
        <v>1304</v>
      </c>
      <c r="D610" s="6" t="s">
        <v>1305</v>
      </c>
      <c r="E610" s="6" t="s">
        <v>1306</v>
      </c>
      <c r="F610" s="6" t="s">
        <v>1307</v>
      </c>
      <c r="G610" s="6" t="s">
        <v>1308</v>
      </c>
      <c r="H610" s="6" t="s">
        <v>1777</v>
      </c>
      <c r="I610" s="6">
        <v>0</v>
      </c>
      <c r="J610" s="6">
        <v>111.29</v>
      </c>
      <c r="K610" s="6">
        <v>1</v>
      </c>
      <c r="L610" s="6" t="s">
        <v>1385</v>
      </c>
      <c r="M610" s="6" t="e">
        <f>VLOOKUP(L610,'Nov Inv Recon'!H:H,1,FALSE)</f>
        <v>#N/A</v>
      </c>
      <c r="N610" s="6" t="e">
        <f>VLOOKUP(L610,VictoryHeitrich!D:D,1,FALSE)</f>
        <v>#N/A</v>
      </c>
      <c r="O610" s="6" t="s">
        <v>1386</v>
      </c>
      <c r="P610" s="6" t="s">
        <v>1311</v>
      </c>
      <c r="Q610" s="6" t="s">
        <v>2964</v>
      </c>
      <c r="R610" s="6" t="s">
        <v>2964</v>
      </c>
      <c r="S610" s="6" t="s">
        <v>1329</v>
      </c>
      <c r="T610" s="6" t="s">
        <v>1330</v>
      </c>
      <c r="U610" s="6" t="s">
        <v>1313</v>
      </c>
      <c r="V610" s="6" t="s">
        <v>1314</v>
      </c>
      <c r="W610" s="6">
        <v>2025</v>
      </c>
      <c r="X610" s="6">
        <v>11</v>
      </c>
      <c r="Y610" s="6" t="s">
        <v>1315</v>
      </c>
      <c r="Z610" s="6">
        <v>2025</v>
      </c>
      <c r="AA610" s="6" t="s">
        <v>1316</v>
      </c>
      <c r="AB610" s="6" t="str">
        <f>VLOOKUP(S610,Mapping!A:C,3,FALSE)</f>
        <v>Primary</v>
      </c>
    </row>
    <row r="611" spans="1:28" x14ac:dyDescent="0.35">
      <c r="A611" s="6" t="s">
        <v>1302</v>
      </c>
      <c r="B611" s="6" t="s">
        <v>1303</v>
      </c>
      <c r="C611" s="6" t="s">
        <v>1304</v>
      </c>
      <c r="D611" s="6" t="s">
        <v>1305</v>
      </c>
      <c r="E611" s="6" t="s">
        <v>1306</v>
      </c>
      <c r="F611" s="6" t="s">
        <v>1307</v>
      </c>
      <c r="G611" s="6" t="s">
        <v>1308</v>
      </c>
      <c r="H611" s="6" t="s">
        <v>2505</v>
      </c>
      <c r="I611" s="6">
        <v>0</v>
      </c>
      <c r="J611" s="6">
        <v>0</v>
      </c>
      <c r="K611" s="6">
        <v>1</v>
      </c>
      <c r="L611" s="6" t="s">
        <v>1421</v>
      </c>
      <c r="M611" s="6" t="e">
        <f>VLOOKUP(L611,'Nov Inv Recon'!H:H,1,FALSE)</f>
        <v>#N/A</v>
      </c>
      <c r="N611" s="6" t="e">
        <f>VLOOKUP(L611,VictoryHeitrich!D:D,1,FALSE)</f>
        <v>#N/A</v>
      </c>
      <c r="O611" s="6" t="s">
        <v>1422</v>
      </c>
      <c r="P611" s="6" t="s">
        <v>1311</v>
      </c>
      <c r="Q611" s="6" t="s">
        <v>2965</v>
      </c>
      <c r="R611" s="6" t="s">
        <v>2965</v>
      </c>
      <c r="S611" s="6" t="s">
        <v>1329</v>
      </c>
      <c r="T611" s="6" t="s">
        <v>1330</v>
      </c>
      <c r="U611" s="6" t="s">
        <v>1313</v>
      </c>
      <c r="V611" s="6" t="s">
        <v>1314</v>
      </c>
      <c r="W611" s="6">
        <v>2025</v>
      </c>
      <c r="X611" s="6">
        <v>11</v>
      </c>
      <c r="Y611" s="6" t="s">
        <v>1315</v>
      </c>
      <c r="Z611" s="6">
        <v>2025</v>
      </c>
      <c r="AA611" s="6" t="s">
        <v>1316</v>
      </c>
      <c r="AB611" s="6" t="str">
        <f>VLOOKUP(S611,Mapping!A:C,3,FALSE)</f>
        <v>Primary</v>
      </c>
    </row>
    <row r="612" spans="1:28" x14ac:dyDescent="0.35">
      <c r="A612" s="6" t="s">
        <v>1302</v>
      </c>
      <c r="B612" s="6" t="s">
        <v>1303</v>
      </c>
      <c r="C612" s="6" t="s">
        <v>1304</v>
      </c>
      <c r="D612" s="6" t="s">
        <v>1305</v>
      </c>
      <c r="E612" s="6" t="s">
        <v>1306</v>
      </c>
      <c r="F612" s="6" t="s">
        <v>1307</v>
      </c>
      <c r="G612" s="6" t="s">
        <v>1308</v>
      </c>
      <c r="H612" s="6" t="s">
        <v>1742</v>
      </c>
      <c r="I612" s="6">
        <v>0</v>
      </c>
      <c r="J612" s="6">
        <v>104</v>
      </c>
      <c r="K612" s="6">
        <v>1</v>
      </c>
      <c r="L612" s="6" t="s">
        <v>1411</v>
      </c>
      <c r="M612" s="6" t="e">
        <f>VLOOKUP(L612,'Nov Inv Recon'!H:H,1,FALSE)</f>
        <v>#N/A</v>
      </c>
      <c r="N612" s="6" t="e">
        <f>VLOOKUP(L612,VictoryHeitrich!D:D,1,FALSE)</f>
        <v>#N/A</v>
      </c>
      <c r="O612" s="6" t="s">
        <v>1412</v>
      </c>
      <c r="P612" s="6" t="s">
        <v>1311</v>
      </c>
      <c r="Q612" s="6" t="s">
        <v>2966</v>
      </c>
      <c r="R612" s="6" t="s">
        <v>2966</v>
      </c>
      <c r="S612" s="6" t="s">
        <v>1329</v>
      </c>
      <c r="T612" s="6" t="s">
        <v>1330</v>
      </c>
      <c r="U612" s="6" t="s">
        <v>1313</v>
      </c>
      <c r="V612" s="6" t="s">
        <v>1314</v>
      </c>
      <c r="W612" s="6">
        <v>2025</v>
      </c>
      <c r="X612" s="6">
        <v>11</v>
      </c>
      <c r="Y612" s="6" t="s">
        <v>1315</v>
      </c>
      <c r="Z612" s="6">
        <v>2025</v>
      </c>
      <c r="AA612" s="6" t="s">
        <v>1316</v>
      </c>
      <c r="AB612" s="6" t="str">
        <f>VLOOKUP(S612,Mapping!A:C,3,FALSE)</f>
        <v>Primary</v>
      </c>
    </row>
    <row r="613" spans="1:28" x14ac:dyDescent="0.35">
      <c r="A613" s="6" t="s">
        <v>1302</v>
      </c>
      <c r="B613" s="6" t="s">
        <v>1303</v>
      </c>
      <c r="C613" s="6" t="s">
        <v>1304</v>
      </c>
      <c r="D613" s="6" t="s">
        <v>1305</v>
      </c>
      <c r="E613" s="6" t="s">
        <v>1306</v>
      </c>
      <c r="F613" s="6" t="s">
        <v>1307</v>
      </c>
      <c r="G613" s="6" t="s">
        <v>1308</v>
      </c>
      <c r="H613" s="6" t="s">
        <v>2959</v>
      </c>
      <c r="I613" s="6">
        <v>0</v>
      </c>
      <c r="J613" s="6">
        <v>147.46</v>
      </c>
      <c r="K613" s="6">
        <v>1</v>
      </c>
      <c r="L613" s="6" t="s">
        <v>1331</v>
      </c>
      <c r="M613" s="6" t="e">
        <f>VLOOKUP(L613,'Nov Inv Recon'!H:H,1,FALSE)</f>
        <v>#N/A</v>
      </c>
      <c r="N613" s="6" t="e">
        <f>VLOOKUP(L613,VictoryHeitrich!D:D,1,FALSE)</f>
        <v>#N/A</v>
      </c>
      <c r="O613" s="6" t="s">
        <v>1332</v>
      </c>
      <c r="P613" s="6" t="s">
        <v>1311</v>
      </c>
      <c r="Q613" s="6" t="s">
        <v>2967</v>
      </c>
      <c r="R613" s="6" t="s">
        <v>2967</v>
      </c>
      <c r="S613" s="6" t="s">
        <v>1329</v>
      </c>
      <c r="T613" s="6" t="s">
        <v>1330</v>
      </c>
      <c r="U613" s="6" t="s">
        <v>1313</v>
      </c>
      <c r="V613" s="6" t="s">
        <v>1314</v>
      </c>
      <c r="W613" s="6">
        <v>2025</v>
      </c>
      <c r="X613" s="6">
        <v>11</v>
      </c>
      <c r="Y613" s="6" t="s">
        <v>1315</v>
      </c>
      <c r="Z613" s="6">
        <v>2025</v>
      </c>
      <c r="AA613" s="6" t="s">
        <v>1316</v>
      </c>
      <c r="AB613" s="6" t="str">
        <f>VLOOKUP(S613,Mapping!A:C,3,FALSE)</f>
        <v>Primary</v>
      </c>
    </row>
    <row r="614" spans="1:28" x14ac:dyDescent="0.35">
      <c r="A614" s="6" t="s">
        <v>1302</v>
      </c>
      <c r="B614" s="6" t="s">
        <v>1303</v>
      </c>
      <c r="C614" s="6" t="s">
        <v>1304</v>
      </c>
      <c r="D614" s="6" t="s">
        <v>1305</v>
      </c>
      <c r="E614" s="6" t="s">
        <v>1306</v>
      </c>
      <c r="F614" s="6" t="s">
        <v>1307</v>
      </c>
      <c r="G614" s="6" t="s">
        <v>1308</v>
      </c>
      <c r="H614" s="6" t="s">
        <v>2968</v>
      </c>
      <c r="I614" s="6">
        <v>0</v>
      </c>
      <c r="J614" s="6">
        <v>82.95</v>
      </c>
      <c r="K614" s="6">
        <v>1</v>
      </c>
      <c r="L614" s="6" t="s">
        <v>1471</v>
      </c>
      <c r="M614" s="6" t="e">
        <f>VLOOKUP(L614,'Nov Inv Recon'!H:H,1,FALSE)</f>
        <v>#N/A</v>
      </c>
      <c r="N614" s="6" t="e">
        <f>VLOOKUP(L614,VictoryHeitrich!D:D,1,FALSE)</f>
        <v>#N/A</v>
      </c>
      <c r="O614" s="6" t="s">
        <v>1472</v>
      </c>
      <c r="P614" s="6" t="s">
        <v>1311</v>
      </c>
      <c r="Q614" s="6" t="s">
        <v>2969</v>
      </c>
      <c r="R614" s="6" t="s">
        <v>2969</v>
      </c>
      <c r="S614" s="6" t="s">
        <v>1329</v>
      </c>
      <c r="T614" s="6" t="s">
        <v>1330</v>
      </c>
      <c r="U614" s="6" t="s">
        <v>1313</v>
      </c>
      <c r="V614" s="6" t="s">
        <v>1314</v>
      </c>
      <c r="W614" s="6">
        <v>2025</v>
      </c>
      <c r="X614" s="6">
        <v>11</v>
      </c>
      <c r="Y614" s="6" t="s">
        <v>1315</v>
      </c>
      <c r="Z614" s="6">
        <v>2025</v>
      </c>
      <c r="AA614" s="6" t="s">
        <v>1316</v>
      </c>
      <c r="AB614" s="6" t="str">
        <f>VLOOKUP(S614,Mapping!A:C,3,FALSE)</f>
        <v>Primary</v>
      </c>
    </row>
    <row r="615" spans="1:28" x14ac:dyDescent="0.35">
      <c r="A615" s="6" t="s">
        <v>1302</v>
      </c>
      <c r="B615" s="6" t="s">
        <v>1303</v>
      </c>
      <c r="C615" s="6" t="s">
        <v>1304</v>
      </c>
      <c r="D615" s="6" t="s">
        <v>1305</v>
      </c>
      <c r="E615" s="6" t="s">
        <v>1306</v>
      </c>
      <c r="F615" s="6" t="s">
        <v>1307</v>
      </c>
      <c r="G615" s="6" t="s">
        <v>1308</v>
      </c>
      <c r="H615" s="6" t="s">
        <v>1719</v>
      </c>
      <c r="I615" s="6">
        <v>0</v>
      </c>
      <c r="J615" s="6">
        <v>100</v>
      </c>
      <c r="K615" s="6">
        <v>1</v>
      </c>
      <c r="L615" s="6" t="s">
        <v>2241</v>
      </c>
      <c r="M615" s="6" t="e">
        <f>VLOOKUP(L615,'Nov Inv Recon'!H:H,1,FALSE)</f>
        <v>#N/A</v>
      </c>
      <c r="N615" s="6" t="e">
        <f>VLOOKUP(L615,VictoryHeitrich!D:D,1,FALSE)</f>
        <v>#N/A</v>
      </c>
      <c r="O615" s="6" t="s">
        <v>899</v>
      </c>
      <c r="P615" s="6" t="s">
        <v>1311</v>
      </c>
      <c r="Q615" s="6" t="s">
        <v>2970</v>
      </c>
      <c r="R615" s="6" t="s">
        <v>2970</v>
      </c>
      <c r="S615" s="6" t="s">
        <v>1329</v>
      </c>
      <c r="T615" s="6" t="s">
        <v>1330</v>
      </c>
      <c r="U615" s="6" t="s">
        <v>1313</v>
      </c>
      <c r="V615" s="6" t="s">
        <v>1314</v>
      </c>
      <c r="W615" s="6">
        <v>2025</v>
      </c>
      <c r="X615" s="6">
        <v>11</v>
      </c>
      <c r="Y615" s="6" t="s">
        <v>1315</v>
      </c>
      <c r="Z615" s="6">
        <v>2025</v>
      </c>
      <c r="AA615" s="6" t="s">
        <v>1316</v>
      </c>
      <c r="AB615" s="6" t="str">
        <f>VLOOKUP(S615,Mapping!A:C,3,FALSE)</f>
        <v>Primary</v>
      </c>
    </row>
    <row r="616" spans="1:28" x14ac:dyDescent="0.35">
      <c r="A616" s="6" t="s">
        <v>1302</v>
      </c>
      <c r="B616" s="6" t="s">
        <v>1303</v>
      </c>
      <c r="C616" s="6" t="s">
        <v>1304</v>
      </c>
      <c r="D616" s="6" t="s">
        <v>1305</v>
      </c>
      <c r="E616" s="6" t="s">
        <v>1306</v>
      </c>
      <c r="F616" s="6" t="s">
        <v>1307</v>
      </c>
      <c r="G616" s="6" t="s">
        <v>1308</v>
      </c>
      <c r="H616" s="6" t="s">
        <v>1752</v>
      </c>
      <c r="I616" s="6">
        <v>0</v>
      </c>
      <c r="J616" s="6">
        <v>1066.24</v>
      </c>
      <c r="K616" s="6">
        <v>1</v>
      </c>
      <c r="L616" s="6" t="s">
        <v>1511</v>
      </c>
      <c r="M616" s="6" t="e">
        <f>VLOOKUP(L616,'Nov Inv Recon'!H:H,1,FALSE)</f>
        <v>#N/A</v>
      </c>
      <c r="N616" s="6" t="e">
        <f>VLOOKUP(L616,VictoryHeitrich!D:D,1,FALSE)</f>
        <v>#N/A</v>
      </c>
      <c r="O616" s="6" t="s">
        <v>1512</v>
      </c>
      <c r="P616" s="6" t="s">
        <v>1311</v>
      </c>
      <c r="Q616" s="6" t="s">
        <v>2971</v>
      </c>
      <c r="R616" s="6" t="s">
        <v>2971</v>
      </c>
      <c r="S616" s="6" t="s">
        <v>87</v>
      </c>
      <c r="T616" s="6" t="s">
        <v>88</v>
      </c>
      <c r="U616" s="6" t="s">
        <v>1313</v>
      </c>
      <c r="V616" s="6" t="s">
        <v>1314</v>
      </c>
      <c r="W616" s="6">
        <v>2025</v>
      </c>
      <c r="X616" s="6">
        <v>11</v>
      </c>
      <c r="Y616" s="6" t="s">
        <v>1315</v>
      </c>
      <c r="Z616" s="6">
        <v>2025</v>
      </c>
      <c r="AA616" s="6" t="s">
        <v>1316</v>
      </c>
      <c r="AB616" s="6" t="str">
        <f>VLOOKUP(S616,Mapping!A:C,3,FALSE)</f>
        <v>Primary</v>
      </c>
    </row>
    <row r="617" spans="1:28" x14ac:dyDescent="0.35">
      <c r="A617" s="6" t="s">
        <v>1302</v>
      </c>
      <c r="B617" s="6" t="s">
        <v>1303</v>
      </c>
      <c r="C617" s="6" t="s">
        <v>1304</v>
      </c>
      <c r="D617" s="6" t="s">
        <v>1305</v>
      </c>
      <c r="E617" s="6" t="s">
        <v>1306</v>
      </c>
      <c r="F617" s="6" t="s">
        <v>1307</v>
      </c>
      <c r="G617" s="6" t="s">
        <v>1308</v>
      </c>
      <c r="H617" s="6" t="s">
        <v>1632</v>
      </c>
      <c r="I617" s="6">
        <v>0</v>
      </c>
      <c r="J617" s="6">
        <v>195.02</v>
      </c>
      <c r="K617" s="6">
        <v>1</v>
      </c>
      <c r="L617" s="6" t="s">
        <v>1399</v>
      </c>
      <c r="M617" s="6" t="e">
        <f>VLOOKUP(L617,'Nov Inv Recon'!H:H,1,FALSE)</f>
        <v>#N/A</v>
      </c>
      <c r="N617" s="6" t="e">
        <f>VLOOKUP(L617,VictoryHeitrich!D:D,1,FALSE)</f>
        <v>#N/A</v>
      </c>
      <c r="O617" s="6" t="s">
        <v>1400</v>
      </c>
      <c r="P617" s="6" t="s">
        <v>1311</v>
      </c>
      <c r="Q617" s="6" t="s">
        <v>2972</v>
      </c>
      <c r="R617" s="6" t="s">
        <v>2972</v>
      </c>
      <c r="S617" s="6" t="s">
        <v>87</v>
      </c>
      <c r="T617" s="6" t="s">
        <v>88</v>
      </c>
      <c r="U617" s="6" t="s">
        <v>1313</v>
      </c>
      <c r="V617" s="6" t="s">
        <v>1314</v>
      </c>
      <c r="W617" s="6">
        <v>2025</v>
      </c>
      <c r="X617" s="6">
        <v>11</v>
      </c>
      <c r="Y617" s="6" t="s">
        <v>1315</v>
      </c>
      <c r="Z617" s="6">
        <v>2025</v>
      </c>
      <c r="AA617" s="6" t="s">
        <v>1316</v>
      </c>
      <c r="AB617" s="6" t="str">
        <f>VLOOKUP(S617,Mapping!A:C,3,FALSE)</f>
        <v>Primary</v>
      </c>
    </row>
    <row r="618" spans="1:28" x14ac:dyDescent="0.35">
      <c r="A618" s="6" t="s">
        <v>1302</v>
      </c>
      <c r="B618" s="6" t="s">
        <v>1303</v>
      </c>
      <c r="C618" s="6" t="s">
        <v>1304</v>
      </c>
      <c r="D618" s="6" t="s">
        <v>1305</v>
      </c>
      <c r="E618" s="6" t="s">
        <v>1306</v>
      </c>
      <c r="F618" s="6" t="s">
        <v>1307</v>
      </c>
      <c r="G618" s="6" t="s">
        <v>1308</v>
      </c>
      <c r="H618" s="6" t="s">
        <v>2398</v>
      </c>
      <c r="I618" s="6">
        <v>0</v>
      </c>
      <c r="J618" s="6">
        <v>293.02</v>
      </c>
      <c r="K618" s="6">
        <v>1</v>
      </c>
      <c r="L618" s="6" t="s">
        <v>2129</v>
      </c>
      <c r="M618" s="6" t="e">
        <f>VLOOKUP(L618,'Nov Inv Recon'!H:H,1,FALSE)</f>
        <v>#N/A</v>
      </c>
      <c r="N618" s="6" t="e">
        <f>VLOOKUP(L618,VictoryHeitrich!D:D,1,FALSE)</f>
        <v>#N/A</v>
      </c>
      <c r="O618" s="6" t="s">
        <v>551</v>
      </c>
      <c r="P618" s="6" t="s">
        <v>1311</v>
      </c>
      <c r="Q618" s="6" t="s">
        <v>2973</v>
      </c>
      <c r="R618" s="6" t="s">
        <v>2973</v>
      </c>
      <c r="S618" s="6" t="s">
        <v>87</v>
      </c>
      <c r="T618" s="6" t="s">
        <v>88</v>
      </c>
      <c r="U618" s="6" t="s">
        <v>1313</v>
      </c>
      <c r="V618" s="6" t="s">
        <v>1314</v>
      </c>
      <c r="W618" s="6">
        <v>2025</v>
      </c>
      <c r="X618" s="6">
        <v>11</v>
      </c>
      <c r="Y618" s="6" t="s">
        <v>1315</v>
      </c>
      <c r="Z618" s="6">
        <v>2025</v>
      </c>
      <c r="AA618" s="6" t="s">
        <v>1316</v>
      </c>
      <c r="AB618" s="6" t="str">
        <f>VLOOKUP(S618,Mapping!A:C,3,FALSE)</f>
        <v>Primary</v>
      </c>
    </row>
    <row r="619" spans="1:28" x14ac:dyDescent="0.35">
      <c r="A619" s="6" t="s">
        <v>1302</v>
      </c>
      <c r="B619" s="6" t="s">
        <v>1303</v>
      </c>
      <c r="C619" s="6" t="s">
        <v>1304</v>
      </c>
      <c r="D619" s="6" t="s">
        <v>1305</v>
      </c>
      <c r="E619" s="6" t="s">
        <v>1306</v>
      </c>
      <c r="F619" s="6" t="s">
        <v>1307</v>
      </c>
      <c r="G619" s="6" t="s">
        <v>1308</v>
      </c>
      <c r="H619" s="6" t="s">
        <v>2526</v>
      </c>
      <c r="I619" s="6">
        <v>0</v>
      </c>
      <c r="J619" s="6">
        <v>979.02</v>
      </c>
      <c r="K619" s="6">
        <v>1</v>
      </c>
      <c r="L619" s="6" t="s">
        <v>2045</v>
      </c>
      <c r="M619" s="6" t="e">
        <f>VLOOKUP(L619,'Nov Inv Recon'!H:H,1,FALSE)</f>
        <v>#N/A</v>
      </c>
      <c r="N619" s="6" t="e">
        <f>VLOOKUP(L619,VictoryHeitrich!D:D,1,FALSE)</f>
        <v>#N/A</v>
      </c>
      <c r="O619" s="6" t="s">
        <v>494</v>
      </c>
      <c r="P619" s="6" t="s">
        <v>1311</v>
      </c>
      <c r="Q619" s="6" t="s">
        <v>2974</v>
      </c>
      <c r="R619" s="6" t="s">
        <v>2974</v>
      </c>
      <c r="S619" s="6" t="s">
        <v>87</v>
      </c>
      <c r="T619" s="6" t="s">
        <v>88</v>
      </c>
      <c r="U619" s="6" t="s">
        <v>1313</v>
      </c>
      <c r="V619" s="6" t="s">
        <v>1314</v>
      </c>
      <c r="W619" s="6">
        <v>2025</v>
      </c>
      <c r="X619" s="6">
        <v>11</v>
      </c>
      <c r="Y619" s="6" t="s">
        <v>1315</v>
      </c>
      <c r="Z619" s="6">
        <v>2025</v>
      </c>
      <c r="AA619" s="6" t="s">
        <v>1316</v>
      </c>
      <c r="AB619" s="6" t="str">
        <f>VLOOKUP(S619,Mapping!A:C,3,FALSE)</f>
        <v>Primary</v>
      </c>
    </row>
    <row r="620" spans="1:28" x14ac:dyDescent="0.35">
      <c r="A620" s="6" t="s">
        <v>1302</v>
      </c>
      <c r="B620" s="6" t="s">
        <v>1303</v>
      </c>
      <c r="C620" s="6" t="s">
        <v>1304</v>
      </c>
      <c r="D620" s="6" t="s">
        <v>1305</v>
      </c>
      <c r="E620" s="6" t="s">
        <v>1306</v>
      </c>
      <c r="F620" s="6" t="s">
        <v>1307</v>
      </c>
      <c r="G620" s="6" t="s">
        <v>1308</v>
      </c>
      <c r="H620" s="6" t="s">
        <v>1682</v>
      </c>
      <c r="I620" s="6">
        <v>0</v>
      </c>
      <c r="J620" s="6">
        <v>489.02</v>
      </c>
      <c r="K620" s="6">
        <v>1</v>
      </c>
      <c r="L620" s="6" t="s">
        <v>2210</v>
      </c>
      <c r="M620" s="6" t="e">
        <f>VLOOKUP(L620,'Nov Inv Recon'!H:H,1,FALSE)</f>
        <v>#N/A</v>
      </c>
      <c r="N620" s="6" t="e">
        <f>VLOOKUP(L620,VictoryHeitrich!D:D,1,FALSE)</f>
        <v>#N/A</v>
      </c>
      <c r="O620" s="6" t="s">
        <v>467</v>
      </c>
      <c r="P620" s="6" t="s">
        <v>1311</v>
      </c>
      <c r="Q620" s="6" t="s">
        <v>2975</v>
      </c>
      <c r="R620" s="6" t="s">
        <v>2975</v>
      </c>
      <c r="S620" s="6" t="s">
        <v>87</v>
      </c>
      <c r="T620" s="6" t="s">
        <v>88</v>
      </c>
      <c r="U620" s="6" t="s">
        <v>1313</v>
      </c>
      <c r="V620" s="6" t="s">
        <v>1314</v>
      </c>
      <c r="W620" s="6">
        <v>2025</v>
      </c>
      <c r="X620" s="6">
        <v>11</v>
      </c>
      <c r="Y620" s="6" t="s">
        <v>1315</v>
      </c>
      <c r="Z620" s="6">
        <v>2025</v>
      </c>
      <c r="AA620" s="6" t="s">
        <v>1316</v>
      </c>
      <c r="AB620" s="6" t="str">
        <f>VLOOKUP(S620,Mapping!A:C,3,FALSE)</f>
        <v>Primary</v>
      </c>
    </row>
    <row r="621" spans="1:28" x14ac:dyDescent="0.35">
      <c r="A621" s="6" t="s">
        <v>1302</v>
      </c>
      <c r="B621" s="6" t="s">
        <v>1303</v>
      </c>
      <c r="C621" s="6" t="s">
        <v>1304</v>
      </c>
      <c r="D621" s="6" t="s">
        <v>1305</v>
      </c>
      <c r="E621" s="6" t="s">
        <v>1306</v>
      </c>
      <c r="F621" s="6" t="s">
        <v>1307</v>
      </c>
      <c r="G621" s="6" t="s">
        <v>1308</v>
      </c>
      <c r="H621" s="6" t="s">
        <v>1697</v>
      </c>
      <c r="I621" s="6">
        <v>0</v>
      </c>
      <c r="J621" s="6">
        <v>1469.02</v>
      </c>
      <c r="K621" s="6">
        <v>1</v>
      </c>
      <c r="L621" s="6" t="s">
        <v>2219</v>
      </c>
      <c r="M621" s="6" t="e">
        <f>VLOOKUP(L621,'Nov Inv Recon'!H:H,1,FALSE)</f>
        <v>#N/A</v>
      </c>
      <c r="N621" s="6" t="e">
        <f>VLOOKUP(L621,VictoryHeitrich!D:D,1,FALSE)</f>
        <v>#N/A</v>
      </c>
      <c r="O621" s="6" t="s">
        <v>434</v>
      </c>
      <c r="P621" s="6" t="s">
        <v>1311</v>
      </c>
      <c r="Q621" s="6" t="s">
        <v>2976</v>
      </c>
      <c r="R621" s="6" t="s">
        <v>2976</v>
      </c>
      <c r="S621" s="6" t="s">
        <v>87</v>
      </c>
      <c r="T621" s="6" t="s">
        <v>88</v>
      </c>
      <c r="U621" s="6" t="s">
        <v>1313</v>
      </c>
      <c r="V621" s="6" t="s">
        <v>1314</v>
      </c>
      <c r="W621" s="6">
        <v>2025</v>
      </c>
      <c r="X621" s="6">
        <v>11</v>
      </c>
      <c r="Y621" s="6" t="s">
        <v>1315</v>
      </c>
      <c r="Z621" s="6">
        <v>2025</v>
      </c>
      <c r="AA621" s="6" t="s">
        <v>1316</v>
      </c>
      <c r="AB621" s="6" t="str">
        <f>VLOOKUP(S621,Mapping!A:C,3,FALSE)</f>
        <v>Primary</v>
      </c>
    </row>
    <row r="622" spans="1:28" x14ac:dyDescent="0.35">
      <c r="A622" s="6" t="s">
        <v>1302</v>
      </c>
      <c r="B622" s="6" t="s">
        <v>1303</v>
      </c>
      <c r="C622" s="6" t="s">
        <v>1304</v>
      </c>
      <c r="D622" s="6" t="s">
        <v>1305</v>
      </c>
      <c r="E622" s="6" t="s">
        <v>1306</v>
      </c>
      <c r="F622" s="6" t="s">
        <v>1307</v>
      </c>
      <c r="G622" s="6" t="s">
        <v>1308</v>
      </c>
      <c r="H622" s="6" t="s">
        <v>2526</v>
      </c>
      <c r="I622" s="6">
        <v>0</v>
      </c>
      <c r="J622" s="6">
        <v>1420.02</v>
      </c>
      <c r="K622" s="6">
        <v>1</v>
      </c>
      <c r="L622" s="6" t="s">
        <v>1379</v>
      </c>
      <c r="M622" s="6" t="e">
        <f>VLOOKUP(L622,'Nov Inv Recon'!H:H,1,FALSE)</f>
        <v>#N/A</v>
      </c>
      <c r="N622" s="6" t="e">
        <f>VLOOKUP(L622,VictoryHeitrich!D:D,1,FALSE)</f>
        <v>#N/A</v>
      </c>
      <c r="O622" s="6" t="s">
        <v>1380</v>
      </c>
      <c r="P622" s="6" t="s">
        <v>1311</v>
      </c>
      <c r="Q622" s="6" t="s">
        <v>2977</v>
      </c>
      <c r="R622" s="6" t="s">
        <v>2977</v>
      </c>
      <c r="S622" s="6" t="s">
        <v>87</v>
      </c>
      <c r="T622" s="6" t="s">
        <v>88</v>
      </c>
      <c r="U622" s="6" t="s">
        <v>1313</v>
      </c>
      <c r="V622" s="6" t="s">
        <v>1314</v>
      </c>
      <c r="W622" s="6">
        <v>2025</v>
      </c>
      <c r="X622" s="6">
        <v>11</v>
      </c>
      <c r="Y622" s="6" t="s">
        <v>1315</v>
      </c>
      <c r="Z622" s="6">
        <v>2025</v>
      </c>
      <c r="AA622" s="6" t="s">
        <v>1316</v>
      </c>
      <c r="AB622" s="6" t="str">
        <f>VLOOKUP(S622,Mapping!A:C,3,FALSE)</f>
        <v>Primary</v>
      </c>
    </row>
    <row r="623" spans="1:28" x14ac:dyDescent="0.35">
      <c r="A623" s="6" t="s">
        <v>1302</v>
      </c>
      <c r="B623" s="6" t="s">
        <v>1303</v>
      </c>
      <c r="C623" s="6" t="s">
        <v>1304</v>
      </c>
      <c r="D623" s="6" t="s">
        <v>1305</v>
      </c>
      <c r="E623" s="6" t="s">
        <v>1306</v>
      </c>
      <c r="F623" s="6" t="s">
        <v>1307</v>
      </c>
      <c r="G623" s="6" t="s">
        <v>1308</v>
      </c>
      <c r="H623" s="6" t="s">
        <v>1719</v>
      </c>
      <c r="I623" s="6">
        <v>0</v>
      </c>
      <c r="J623" s="6">
        <v>1469.02</v>
      </c>
      <c r="K623" s="6">
        <v>1</v>
      </c>
      <c r="L623" s="6" t="s">
        <v>1461</v>
      </c>
      <c r="M623" s="6" t="e">
        <f>VLOOKUP(L623,'Nov Inv Recon'!H:H,1,FALSE)</f>
        <v>#N/A</v>
      </c>
      <c r="N623" s="6" t="e">
        <f>VLOOKUP(L623,VictoryHeitrich!D:D,1,FALSE)</f>
        <v>#N/A</v>
      </c>
      <c r="O623" s="6" t="s">
        <v>1462</v>
      </c>
      <c r="P623" s="6" t="s">
        <v>1311</v>
      </c>
      <c r="Q623" s="6" t="s">
        <v>2978</v>
      </c>
      <c r="R623" s="6" t="s">
        <v>2978</v>
      </c>
      <c r="S623" s="6" t="s">
        <v>87</v>
      </c>
      <c r="T623" s="6" t="s">
        <v>88</v>
      </c>
      <c r="U623" s="6" t="s">
        <v>1313</v>
      </c>
      <c r="V623" s="6" t="s">
        <v>1314</v>
      </c>
      <c r="W623" s="6">
        <v>2025</v>
      </c>
      <c r="X623" s="6">
        <v>11</v>
      </c>
      <c r="Y623" s="6" t="s">
        <v>1315</v>
      </c>
      <c r="Z623" s="6">
        <v>2025</v>
      </c>
      <c r="AA623" s="6" t="s">
        <v>1316</v>
      </c>
      <c r="AB623" s="6" t="str">
        <f>VLOOKUP(S623,Mapping!A:C,3,FALSE)</f>
        <v>Primary</v>
      </c>
    </row>
    <row r="624" spans="1:28" x14ac:dyDescent="0.35">
      <c r="A624" s="6" t="s">
        <v>1302</v>
      </c>
      <c r="B624" s="6" t="s">
        <v>1303</v>
      </c>
      <c r="C624" s="6" t="s">
        <v>1304</v>
      </c>
      <c r="D624" s="6" t="s">
        <v>1305</v>
      </c>
      <c r="E624" s="6" t="s">
        <v>1306</v>
      </c>
      <c r="F624" s="6" t="s">
        <v>1307</v>
      </c>
      <c r="G624" s="6" t="s">
        <v>1308</v>
      </c>
      <c r="H624" s="6" t="s">
        <v>1777</v>
      </c>
      <c r="I624" s="6">
        <v>0</v>
      </c>
      <c r="J624" s="6">
        <v>783.02</v>
      </c>
      <c r="K624" s="6">
        <v>1</v>
      </c>
      <c r="L624" s="6" t="s">
        <v>1389</v>
      </c>
      <c r="M624" s="6" t="e">
        <f>VLOOKUP(L624,'Nov Inv Recon'!H:H,1,FALSE)</f>
        <v>#N/A</v>
      </c>
      <c r="N624" s="6" t="e">
        <f>VLOOKUP(L624,VictoryHeitrich!D:D,1,FALSE)</f>
        <v>#N/A</v>
      </c>
      <c r="O624" s="6" t="s">
        <v>1390</v>
      </c>
      <c r="P624" s="6" t="s">
        <v>1311</v>
      </c>
      <c r="Q624" s="6" t="s">
        <v>2979</v>
      </c>
      <c r="R624" s="6" t="s">
        <v>2979</v>
      </c>
      <c r="S624" s="6" t="s">
        <v>87</v>
      </c>
      <c r="T624" s="6" t="s">
        <v>88</v>
      </c>
      <c r="U624" s="6" t="s">
        <v>1313</v>
      </c>
      <c r="V624" s="6" t="s">
        <v>1314</v>
      </c>
      <c r="W624" s="6">
        <v>2025</v>
      </c>
      <c r="X624" s="6">
        <v>11</v>
      </c>
      <c r="Y624" s="6" t="s">
        <v>1315</v>
      </c>
      <c r="Z624" s="6">
        <v>2025</v>
      </c>
      <c r="AA624" s="6" t="s">
        <v>1316</v>
      </c>
      <c r="AB624" s="6" t="str">
        <f>VLOOKUP(S624,Mapping!A:C,3,FALSE)</f>
        <v>Primary</v>
      </c>
    </row>
    <row r="625" spans="1:28" x14ac:dyDescent="0.35">
      <c r="A625" s="6" t="s">
        <v>1302</v>
      </c>
      <c r="B625" s="6" t="s">
        <v>1303</v>
      </c>
      <c r="C625" s="6" t="s">
        <v>1304</v>
      </c>
      <c r="D625" s="6" t="s">
        <v>1305</v>
      </c>
      <c r="E625" s="6" t="s">
        <v>1306</v>
      </c>
      <c r="F625" s="6" t="s">
        <v>1307</v>
      </c>
      <c r="G625" s="6" t="s">
        <v>1308</v>
      </c>
      <c r="H625" s="6" t="s">
        <v>2523</v>
      </c>
      <c r="I625" s="6">
        <v>0</v>
      </c>
      <c r="J625" s="6">
        <v>2921.38</v>
      </c>
      <c r="K625" s="6">
        <v>1</v>
      </c>
      <c r="L625" s="6" t="s">
        <v>2122</v>
      </c>
      <c r="M625" s="6" t="e">
        <f>VLOOKUP(L625,'Nov Inv Recon'!H:H,1,FALSE)</f>
        <v>#N/A</v>
      </c>
      <c r="N625" s="6" t="e">
        <f>VLOOKUP(L625,VictoryHeitrich!D:D,1,FALSE)</f>
        <v>#N/A</v>
      </c>
      <c r="O625" s="6" t="s">
        <v>500</v>
      </c>
      <c r="P625" s="6" t="s">
        <v>1311</v>
      </c>
      <c r="Q625" s="6" t="s">
        <v>2980</v>
      </c>
      <c r="R625" s="6" t="s">
        <v>2980</v>
      </c>
      <c r="S625" s="6" t="s">
        <v>1325</v>
      </c>
      <c r="T625" s="6" t="s">
        <v>1326</v>
      </c>
      <c r="U625" s="6" t="s">
        <v>1313</v>
      </c>
      <c r="V625" s="6" t="s">
        <v>1314</v>
      </c>
      <c r="W625" s="6">
        <v>2025</v>
      </c>
      <c r="X625" s="6">
        <v>11</v>
      </c>
      <c r="Y625" s="6" t="s">
        <v>1315</v>
      </c>
      <c r="Z625" s="6">
        <v>2025</v>
      </c>
      <c r="AA625" s="6" t="s">
        <v>1316</v>
      </c>
      <c r="AB625" s="6" t="str">
        <f>VLOOKUP(S625,Mapping!A:C,3,FALSE)</f>
        <v>Primary</v>
      </c>
    </row>
    <row r="626" spans="1:28" x14ac:dyDescent="0.35">
      <c r="A626" s="6" t="s">
        <v>1302</v>
      </c>
      <c r="B626" s="6" t="s">
        <v>1303</v>
      </c>
      <c r="C626" s="6" t="s">
        <v>1304</v>
      </c>
      <c r="D626" s="6" t="s">
        <v>1305</v>
      </c>
      <c r="E626" s="6" t="s">
        <v>1306</v>
      </c>
      <c r="F626" s="6" t="s">
        <v>1307</v>
      </c>
      <c r="G626" s="6" t="s">
        <v>1308</v>
      </c>
      <c r="H626" s="6" t="s">
        <v>2425</v>
      </c>
      <c r="I626" s="6">
        <v>0</v>
      </c>
      <c r="J626" s="6">
        <v>1812.02</v>
      </c>
      <c r="K626" s="6">
        <v>1</v>
      </c>
      <c r="L626" s="6" t="s">
        <v>2145</v>
      </c>
      <c r="M626" s="6" t="e">
        <f>VLOOKUP(L626,'Nov Inv Recon'!H:H,1,FALSE)</f>
        <v>#N/A</v>
      </c>
      <c r="N626" s="6" t="e">
        <f>VLOOKUP(L626,VictoryHeitrich!D:D,1,FALSE)</f>
        <v>#N/A</v>
      </c>
      <c r="O626" s="6" t="s">
        <v>497</v>
      </c>
      <c r="P626" s="6" t="s">
        <v>1311</v>
      </c>
      <c r="Q626" s="6" t="s">
        <v>2981</v>
      </c>
      <c r="R626" s="6" t="s">
        <v>2981</v>
      </c>
      <c r="S626" s="6" t="s">
        <v>1325</v>
      </c>
      <c r="T626" s="6" t="s">
        <v>1326</v>
      </c>
      <c r="U626" s="6" t="s">
        <v>1313</v>
      </c>
      <c r="V626" s="6" t="s">
        <v>1314</v>
      </c>
      <c r="W626" s="6">
        <v>2025</v>
      </c>
      <c r="X626" s="6">
        <v>11</v>
      </c>
      <c r="Y626" s="6" t="s">
        <v>1315</v>
      </c>
      <c r="Z626" s="6">
        <v>2025</v>
      </c>
      <c r="AA626" s="6" t="s">
        <v>1316</v>
      </c>
      <c r="AB626" s="6" t="str">
        <f>VLOOKUP(S626,Mapping!A:C,3,FALSE)</f>
        <v>Primary</v>
      </c>
    </row>
    <row r="627" spans="1:28" x14ac:dyDescent="0.35">
      <c r="A627" s="6" t="s">
        <v>1302</v>
      </c>
      <c r="B627" s="6" t="s">
        <v>1303</v>
      </c>
      <c r="C627" s="6" t="s">
        <v>1304</v>
      </c>
      <c r="D627" s="6" t="s">
        <v>1305</v>
      </c>
      <c r="E627" s="6" t="s">
        <v>1306</v>
      </c>
      <c r="F627" s="6" t="s">
        <v>1307</v>
      </c>
      <c r="G627" s="6" t="s">
        <v>1308</v>
      </c>
      <c r="H627" s="6" t="s">
        <v>1842</v>
      </c>
      <c r="I627" s="6">
        <v>0</v>
      </c>
      <c r="J627" s="6">
        <v>979.02</v>
      </c>
      <c r="K627" s="6">
        <v>1</v>
      </c>
      <c r="L627" s="6" t="s">
        <v>2217</v>
      </c>
      <c r="M627" s="6" t="e">
        <f>VLOOKUP(L627,'Nov Inv Recon'!H:H,1,FALSE)</f>
        <v>#N/A</v>
      </c>
      <c r="N627" s="6" t="e">
        <f>VLOOKUP(L627,VictoryHeitrich!D:D,1,FALSE)</f>
        <v>#N/A</v>
      </c>
      <c r="O627" s="6" t="s">
        <v>954</v>
      </c>
      <c r="P627" s="6" t="s">
        <v>1311</v>
      </c>
      <c r="Q627" s="6" t="s">
        <v>2982</v>
      </c>
      <c r="R627" s="6" t="s">
        <v>2982</v>
      </c>
      <c r="S627" s="6" t="s">
        <v>1325</v>
      </c>
      <c r="T627" s="6" t="s">
        <v>1326</v>
      </c>
      <c r="U627" s="6" t="s">
        <v>1313</v>
      </c>
      <c r="V627" s="6" t="s">
        <v>1314</v>
      </c>
      <c r="W627" s="6">
        <v>2025</v>
      </c>
      <c r="X627" s="6">
        <v>11</v>
      </c>
      <c r="Y627" s="6" t="s">
        <v>1315</v>
      </c>
      <c r="Z627" s="6">
        <v>2025</v>
      </c>
      <c r="AA627" s="6" t="s">
        <v>1316</v>
      </c>
      <c r="AB627" s="6" t="str">
        <f>VLOOKUP(S627,Mapping!A:C,3,FALSE)</f>
        <v>Primary</v>
      </c>
    </row>
    <row r="628" spans="1:28" x14ac:dyDescent="0.35">
      <c r="A628" s="6" t="s">
        <v>1302</v>
      </c>
      <c r="B628" s="6" t="s">
        <v>1303</v>
      </c>
      <c r="C628" s="6" t="s">
        <v>1304</v>
      </c>
      <c r="D628" s="6" t="s">
        <v>1305</v>
      </c>
      <c r="E628" s="6" t="s">
        <v>1306</v>
      </c>
      <c r="F628" s="6" t="s">
        <v>1307</v>
      </c>
      <c r="G628" s="6" t="s">
        <v>1308</v>
      </c>
      <c r="H628" s="6" t="s">
        <v>1682</v>
      </c>
      <c r="I628" s="6">
        <v>0</v>
      </c>
      <c r="J628" s="6">
        <v>293.02</v>
      </c>
      <c r="K628" s="6">
        <v>1</v>
      </c>
      <c r="L628" s="6" t="s">
        <v>1323</v>
      </c>
      <c r="M628" s="6" t="e">
        <f>VLOOKUP(L628,'Nov Inv Recon'!H:H,1,FALSE)</f>
        <v>#N/A</v>
      </c>
      <c r="N628" s="6" t="e">
        <f>VLOOKUP(L628,VictoryHeitrich!D:D,1,FALSE)</f>
        <v>#N/A</v>
      </c>
      <c r="O628" s="6" t="s">
        <v>1324</v>
      </c>
      <c r="P628" s="6" t="s">
        <v>1311</v>
      </c>
      <c r="Q628" s="6" t="s">
        <v>2983</v>
      </c>
      <c r="R628" s="6" t="s">
        <v>2983</v>
      </c>
      <c r="S628" s="6" t="s">
        <v>1325</v>
      </c>
      <c r="T628" s="6" t="s">
        <v>1326</v>
      </c>
      <c r="U628" s="6" t="s">
        <v>1313</v>
      </c>
      <c r="V628" s="6" t="s">
        <v>1314</v>
      </c>
      <c r="W628" s="6">
        <v>2025</v>
      </c>
      <c r="X628" s="6">
        <v>11</v>
      </c>
      <c r="Y628" s="6" t="s">
        <v>1315</v>
      </c>
      <c r="Z628" s="6">
        <v>2025</v>
      </c>
      <c r="AA628" s="6" t="s">
        <v>1316</v>
      </c>
      <c r="AB628" s="6" t="str">
        <f>VLOOKUP(S628,Mapping!A:C,3,FALSE)</f>
        <v>Primary</v>
      </c>
    </row>
    <row r="629" spans="1:28" x14ac:dyDescent="0.35">
      <c r="A629" s="6" t="s">
        <v>1302</v>
      </c>
      <c r="B629" s="6" t="s">
        <v>1303</v>
      </c>
      <c r="C629" s="6" t="s">
        <v>1304</v>
      </c>
      <c r="D629" s="6" t="s">
        <v>1305</v>
      </c>
      <c r="E629" s="6" t="s">
        <v>1306</v>
      </c>
      <c r="F629" s="6" t="s">
        <v>1307</v>
      </c>
      <c r="G629" s="6" t="s">
        <v>1308</v>
      </c>
      <c r="H629" s="6" t="s">
        <v>1752</v>
      </c>
      <c r="I629" s="6">
        <v>0</v>
      </c>
      <c r="J629" s="6">
        <v>366.45</v>
      </c>
      <c r="K629" s="6">
        <v>1</v>
      </c>
      <c r="L629" s="6" t="s">
        <v>1511</v>
      </c>
      <c r="M629" s="6" t="e">
        <f>VLOOKUP(L629,'Nov Inv Recon'!H:H,1,FALSE)</f>
        <v>#N/A</v>
      </c>
      <c r="N629" s="6" t="e">
        <f>VLOOKUP(L629,VictoryHeitrich!D:D,1,FALSE)</f>
        <v>#N/A</v>
      </c>
      <c r="O629" s="6" t="s">
        <v>1512</v>
      </c>
      <c r="P629" s="6" t="s">
        <v>1311</v>
      </c>
      <c r="Q629" s="6" t="s">
        <v>2984</v>
      </c>
      <c r="R629" s="6" t="s">
        <v>2984</v>
      </c>
      <c r="S629" s="6" t="s">
        <v>1495</v>
      </c>
      <c r="T629" s="6" t="s">
        <v>1496</v>
      </c>
      <c r="U629" s="6" t="s">
        <v>1313</v>
      </c>
      <c r="V629" s="6" t="s">
        <v>1314</v>
      </c>
      <c r="W629" s="6">
        <v>2025</v>
      </c>
      <c r="X629" s="6">
        <v>11</v>
      </c>
      <c r="Y629" s="6" t="s">
        <v>1315</v>
      </c>
      <c r="Z629" s="6">
        <v>2025</v>
      </c>
      <c r="AA629" s="6" t="s">
        <v>1316</v>
      </c>
      <c r="AB629" s="6" t="str">
        <f>VLOOKUP(S629,Mapping!A:C,3,FALSE)</f>
        <v>Primary</v>
      </c>
    </row>
    <row r="630" spans="1:28" x14ac:dyDescent="0.35">
      <c r="A630" s="6" t="s">
        <v>1302</v>
      </c>
      <c r="B630" s="6" t="s">
        <v>1303</v>
      </c>
      <c r="C630" s="6" t="s">
        <v>1304</v>
      </c>
      <c r="D630" s="6" t="s">
        <v>1305</v>
      </c>
      <c r="E630" s="6" t="s">
        <v>1306</v>
      </c>
      <c r="F630" s="6" t="s">
        <v>1307</v>
      </c>
      <c r="G630" s="6" t="s">
        <v>1308</v>
      </c>
      <c r="H630" s="6" t="s">
        <v>1728</v>
      </c>
      <c r="I630" s="6">
        <v>0</v>
      </c>
      <c r="J630" s="6">
        <v>366.45</v>
      </c>
      <c r="K630" s="6">
        <v>1</v>
      </c>
      <c r="L630" s="6" t="s">
        <v>1493</v>
      </c>
      <c r="M630" s="6" t="e">
        <f>VLOOKUP(L630,'Nov Inv Recon'!H:H,1,FALSE)</f>
        <v>#N/A</v>
      </c>
      <c r="N630" s="6" t="e">
        <f>VLOOKUP(L630,VictoryHeitrich!D:D,1,FALSE)</f>
        <v>#N/A</v>
      </c>
      <c r="O630" s="6" t="s">
        <v>1494</v>
      </c>
      <c r="P630" s="6" t="s">
        <v>1311</v>
      </c>
      <c r="Q630" s="6" t="s">
        <v>2985</v>
      </c>
      <c r="R630" s="6" t="s">
        <v>2985</v>
      </c>
      <c r="S630" s="6" t="s">
        <v>1495</v>
      </c>
      <c r="T630" s="6" t="s">
        <v>1496</v>
      </c>
      <c r="U630" s="6" t="s">
        <v>1313</v>
      </c>
      <c r="V630" s="6" t="s">
        <v>1314</v>
      </c>
      <c r="W630" s="6">
        <v>2025</v>
      </c>
      <c r="X630" s="6">
        <v>11</v>
      </c>
      <c r="Y630" s="6" t="s">
        <v>1315</v>
      </c>
      <c r="Z630" s="6">
        <v>2025</v>
      </c>
      <c r="AA630" s="6" t="s">
        <v>1316</v>
      </c>
      <c r="AB630" s="6" t="str">
        <f>VLOOKUP(S630,Mapping!A:C,3,FALSE)</f>
        <v>Primary</v>
      </c>
    </row>
    <row r="631" spans="1:28" x14ac:dyDescent="0.35">
      <c r="A631" s="6" t="s">
        <v>1302</v>
      </c>
      <c r="B631" s="6" t="s">
        <v>1303</v>
      </c>
      <c r="C631" s="6" t="s">
        <v>1304</v>
      </c>
      <c r="D631" s="6" t="s">
        <v>1305</v>
      </c>
      <c r="E631" s="6" t="s">
        <v>1306</v>
      </c>
      <c r="F631" s="6" t="s">
        <v>1307</v>
      </c>
      <c r="G631" s="6" t="s">
        <v>1308</v>
      </c>
      <c r="H631" s="6" t="s">
        <v>1719</v>
      </c>
      <c r="I631" s="6">
        <v>0</v>
      </c>
      <c r="J631" s="6">
        <v>734.49</v>
      </c>
      <c r="K631" s="6">
        <v>1</v>
      </c>
      <c r="L631" s="6" t="s">
        <v>1461</v>
      </c>
      <c r="M631" s="6" t="e">
        <f>VLOOKUP(L631,'Nov Inv Recon'!H:H,1,FALSE)</f>
        <v>#N/A</v>
      </c>
      <c r="N631" s="6" t="e">
        <f>VLOOKUP(L631,VictoryHeitrich!D:D,1,FALSE)</f>
        <v>#N/A</v>
      </c>
      <c r="O631" s="6" t="s">
        <v>1462</v>
      </c>
      <c r="P631" s="6" t="s">
        <v>1311</v>
      </c>
      <c r="Q631" s="6" t="s">
        <v>2986</v>
      </c>
      <c r="R631" s="6" t="s">
        <v>2986</v>
      </c>
      <c r="S631" s="6" t="s">
        <v>1463</v>
      </c>
      <c r="T631" s="6" t="s">
        <v>1464</v>
      </c>
      <c r="U631" s="6" t="s">
        <v>1313</v>
      </c>
      <c r="V631" s="6" t="s">
        <v>1314</v>
      </c>
      <c r="W631" s="6">
        <v>2025</v>
      </c>
      <c r="X631" s="6">
        <v>11</v>
      </c>
      <c r="Y631" s="6" t="s">
        <v>1315</v>
      </c>
      <c r="Z631" s="6">
        <v>2025</v>
      </c>
      <c r="AA631" s="6" t="s">
        <v>1316</v>
      </c>
      <c r="AB631" s="6" t="str">
        <f>VLOOKUP(S631,Mapping!A:C,3,FALSE)</f>
        <v>Primary</v>
      </c>
    </row>
  </sheetData>
  <autoFilter ref="A1:AB631" xr:uid="{C3A9DEAB-30F3-4245-B711-1D2CBB9AF4FF}"/>
  <sortState xmlns:xlrd2="http://schemas.microsoft.com/office/spreadsheetml/2017/richdata2" ref="A2:AB631">
    <sortCondition ref="N2:N631"/>
  </sortState>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CD5BA-D334-471F-8987-F896A9DE19D3}">
  <dimension ref="A1:C29"/>
  <sheetViews>
    <sheetView workbookViewId="0">
      <pane ySplit="1" topLeftCell="A2" activePane="bottomLeft" state="frozen"/>
      <selection pane="bottomLeft" activeCell="C13" sqref="C13"/>
    </sheetView>
  </sheetViews>
  <sheetFormatPr defaultColWidth="9.1796875" defaultRowHeight="14.5" x14ac:dyDescent="0.35"/>
  <cols>
    <col min="1" max="1" width="15.453125" style="6" bestFit="1" customWidth="1"/>
    <col min="2" max="2" width="78.1796875" style="6" bestFit="1" customWidth="1"/>
    <col min="3" max="16384" width="9.1796875" style="6"/>
  </cols>
  <sheetData>
    <row r="1" spans="1:3" x14ac:dyDescent="0.35">
      <c r="A1" s="6" t="s">
        <v>19</v>
      </c>
      <c r="B1" s="6" t="s">
        <v>20</v>
      </c>
      <c r="C1" s="6" t="s">
        <v>1301</v>
      </c>
    </row>
    <row r="2" spans="1:3" x14ac:dyDescent="0.35">
      <c r="A2" s="6" t="s">
        <v>48</v>
      </c>
      <c r="B2" s="6" t="s">
        <v>49</v>
      </c>
      <c r="C2" s="6" t="s">
        <v>1317</v>
      </c>
    </row>
    <row r="3" spans="1:3" x14ac:dyDescent="0.35">
      <c r="A3" s="6" t="s">
        <v>35</v>
      </c>
      <c r="B3" s="6" t="s">
        <v>36</v>
      </c>
      <c r="C3" s="6" t="s">
        <v>1317</v>
      </c>
    </row>
    <row r="4" spans="1:3" x14ac:dyDescent="0.35">
      <c r="A4" s="6" t="s">
        <v>42</v>
      </c>
      <c r="B4" s="6" t="s">
        <v>43</v>
      </c>
      <c r="C4" s="6" t="s">
        <v>1317</v>
      </c>
    </row>
    <row r="5" spans="1:3" x14ac:dyDescent="0.35">
      <c r="A5" s="6" t="s">
        <v>408</v>
      </c>
      <c r="B5" s="6" t="s">
        <v>409</v>
      </c>
      <c r="C5" s="6" t="s">
        <v>2987</v>
      </c>
    </row>
    <row r="6" spans="1:3" x14ac:dyDescent="0.35">
      <c r="A6" s="6" t="s">
        <v>1870</v>
      </c>
      <c r="B6" s="6" t="s">
        <v>1871</v>
      </c>
      <c r="C6" s="6" t="s">
        <v>1317</v>
      </c>
    </row>
    <row r="7" spans="1:3" x14ac:dyDescent="0.35">
      <c r="A7" s="6" t="s">
        <v>67</v>
      </c>
      <c r="B7" s="6" t="s">
        <v>68</v>
      </c>
      <c r="C7" s="6" t="s">
        <v>1317</v>
      </c>
    </row>
    <row r="8" spans="1:3" x14ac:dyDescent="0.35">
      <c r="A8" s="6" t="s">
        <v>1325</v>
      </c>
      <c r="B8" s="6" t="s">
        <v>1326</v>
      </c>
      <c r="C8" s="6" t="s">
        <v>1317</v>
      </c>
    </row>
    <row r="9" spans="1:3" x14ac:dyDescent="0.35">
      <c r="A9" s="6" t="s">
        <v>2037</v>
      </c>
      <c r="B9" s="6" t="s">
        <v>2038</v>
      </c>
      <c r="C9" s="6" t="s">
        <v>1317</v>
      </c>
    </row>
    <row r="10" spans="1:3" x14ac:dyDescent="0.35">
      <c r="A10" s="6" t="s">
        <v>74</v>
      </c>
      <c r="B10" s="6" t="s">
        <v>75</v>
      </c>
      <c r="C10" s="6" t="s">
        <v>1317</v>
      </c>
    </row>
    <row r="11" spans="1:3" x14ac:dyDescent="0.35">
      <c r="A11" s="6" t="s">
        <v>1329</v>
      </c>
      <c r="B11" s="6" t="s">
        <v>1330</v>
      </c>
      <c r="C11" s="6" t="s">
        <v>1317</v>
      </c>
    </row>
    <row r="12" spans="1:3" x14ac:dyDescent="0.35">
      <c r="A12" s="6" t="s">
        <v>1403</v>
      </c>
      <c r="B12" s="6" t="s">
        <v>1404</v>
      </c>
      <c r="C12" s="6" t="s">
        <v>2987</v>
      </c>
    </row>
    <row r="13" spans="1:3" x14ac:dyDescent="0.35">
      <c r="A13" s="6" t="s">
        <v>87</v>
      </c>
      <c r="B13" s="6" t="s">
        <v>88</v>
      </c>
      <c r="C13" s="6" t="s">
        <v>1317</v>
      </c>
    </row>
    <row r="14" spans="1:3" x14ac:dyDescent="0.35">
      <c r="A14" s="6" t="s">
        <v>97</v>
      </c>
      <c r="B14" s="6" t="s">
        <v>98</v>
      </c>
      <c r="C14" s="6" t="s">
        <v>1317</v>
      </c>
    </row>
    <row r="15" spans="1:3" x14ac:dyDescent="0.35">
      <c r="A15" s="6" t="s">
        <v>2052</v>
      </c>
      <c r="B15" s="6" t="s">
        <v>2053</v>
      </c>
      <c r="C15" s="6" t="s">
        <v>1317</v>
      </c>
    </row>
    <row r="16" spans="1:3" x14ac:dyDescent="0.35">
      <c r="A16" s="6" t="s">
        <v>1369</v>
      </c>
      <c r="B16" s="6" t="s">
        <v>1370</v>
      </c>
      <c r="C16" s="6" t="s">
        <v>1317</v>
      </c>
    </row>
    <row r="17" spans="1:3" x14ac:dyDescent="0.35">
      <c r="A17" s="6" t="s">
        <v>2064</v>
      </c>
      <c r="B17" s="6" t="s">
        <v>2065</v>
      </c>
      <c r="C17" s="6" t="s">
        <v>1317</v>
      </c>
    </row>
    <row r="18" spans="1:3" x14ac:dyDescent="0.35">
      <c r="A18" s="6" t="s">
        <v>2076</v>
      </c>
      <c r="B18" s="6" t="s">
        <v>2077</v>
      </c>
      <c r="C18" s="6" t="s">
        <v>2987</v>
      </c>
    </row>
    <row r="19" spans="1:3" x14ac:dyDescent="0.35">
      <c r="A19" s="6" t="s">
        <v>1798</v>
      </c>
      <c r="B19" s="6" t="s">
        <v>1799</v>
      </c>
      <c r="C19" s="6" t="s">
        <v>2987</v>
      </c>
    </row>
    <row r="20" spans="1:3" x14ac:dyDescent="0.35">
      <c r="A20" s="6" t="s">
        <v>2107</v>
      </c>
      <c r="B20" s="6" t="s">
        <v>2108</v>
      </c>
      <c r="C20" s="6" t="s">
        <v>2987</v>
      </c>
    </row>
    <row r="21" spans="1:3" x14ac:dyDescent="0.35">
      <c r="A21" s="6" t="s">
        <v>2150</v>
      </c>
      <c r="B21" s="6" t="s">
        <v>2151</v>
      </c>
      <c r="C21" s="6" t="s">
        <v>1317</v>
      </c>
    </row>
    <row r="22" spans="1:3" x14ac:dyDescent="0.35">
      <c r="A22" s="6" t="s">
        <v>2163</v>
      </c>
      <c r="B22" s="6" t="s">
        <v>2164</v>
      </c>
      <c r="C22" s="6" t="s">
        <v>2987</v>
      </c>
    </row>
    <row r="23" spans="1:3" x14ac:dyDescent="0.35">
      <c r="A23" s="6" t="s">
        <v>1526</v>
      </c>
      <c r="B23" s="6" t="s">
        <v>971</v>
      </c>
      <c r="C23" s="6" t="s">
        <v>1317</v>
      </c>
    </row>
    <row r="24" spans="1:3" x14ac:dyDescent="0.35">
      <c r="A24" s="6" t="s">
        <v>1433</v>
      </c>
      <c r="B24" s="6" t="s">
        <v>1434</v>
      </c>
      <c r="C24" s="6" t="s">
        <v>1317</v>
      </c>
    </row>
    <row r="25" spans="1:3" x14ac:dyDescent="0.35">
      <c r="A25" s="6" t="s">
        <v>1463</v>
      </c>
      <c r="B25" s="6" t="s">
        <v>1464</v>
      </c>
      <c r="C25" s="6" t="s">
        <v>1317</v>
      </c>
    </row>
    <row r="26" spans="1:3" x14ac:dyDescent="0.35">
      <c r="A26" s="6" t="s">
        <v>2323</v>
      </c>
      <c r="B26" s="6" t="s">
        <v>114</v>
      </c>
      <c r="C26" s="6" t="s">
        <v>1317</v>
      </c>
    </row>
    <row r="27" spans="1:3" x14ac:dyDescent="0.35">
      <c r="A27" s="6" t="s">
        <v>1495</v>
      </c>
      <c r="B27" s="6" t="s">
        <v>1496</v>
      </c>
      <c r="C27" s="6" t="s">
        <v>1317</v>
      </c>
    </row>
    <row r="28" spans="1:3" x14ac:dyDescent="0.35">
      <c r="A28" s="6" t="s">
        <v>1507</v>
      </c>
      <c r="B28" s="6" t="s">
        <v>1508</v>
      </c>
      <c r="C28" s="6" t="s">
        <v>1317</v>
      </c>
    </row>
    <row r="29" spans="1:3" x14ac:dyDescent="0.35">
      <c r="A29" s="6" t="s">
        <v>1528</v>
      </c>
      <c r="B29" s="6" t="s">
        <v>1529</v>
      </c>
      <c r="C29" s="6" t="s">
        <v>2987</v>
      </c>
    </row>
  </sheetData>
  <sortState xmlns:xlrd2="http://schemas.microsoft.com/office/spreadsheetml/2017/richdata2" ref="A2:B2993">
    <sortCondition ref="B2:B299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Nov Inv Recon</vt:lpstr>
      <vt:lpstr>VictoryHeitrich</vt:lpstr>
      <vt:lpstr>Detail1</vt:lpstr>
      <vt:lpstr>Nov Inv Recon Pivot</vt:lpstr>
      <vt:lpstr>Nov Vendor Inv Detail</vt:lpstr>
      <vt:lpstr>Vendor Inv Pivot</vt:lpstr>
      <vt:lpstr>Detail2</vt:lpstr>
      <vt:lpstr>Billing CDK pivot</vt:lpstr>
      <vt:lpstr>Billing CDK pivot (No match)</vt:lpstr>
      <vt:lpstr>Cognos - CDK Contract Detail</vt:lpstr>
      <vt:lpstr>Cognos - Inv Detail Packages</vt:lpstr>
      <vt:lpstr>Billing CDK pivot (by package)</vt:lpstr>
      <vt:lpstr>Billing CDK pivot (overages)</vt:lpstr>
      <vt:lpstr>CDK Contract Dtl Pivot</vt:lpstr>
      <vt:lpstr>Cognos - Nov Billing CDK</vt:lpstr>
      <vt:lpstr>Mapping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Muntanion, Christine</dc:creator>
  <cp:keywords/>
  <dc:description/>
  <cp:lastModifiedBy>Arunachalmath, Raviraj S</cp:lastModifiedBy>
  <cp:revision/>
  <dcterms:created xsi:type="dcterms:W3CDTF">2025-12-08T02:01:10Z</dcterms:created>
  <dcterms:modified xsi:type="dcterms:W3CDTF">2026-04-30T14:04:51Z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